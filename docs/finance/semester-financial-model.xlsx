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Dashboard" sheetId="2" state="visible" r:id="rId4"/>
    <sheet name="Compare" sheetId="3" state="visible" r:id="rId5"/>
    <sheet name="Checks" sheetId="4" state="visible" r:id="rId6"/>
    <sheet name="Scenarios" sheetId="5" state="visible" r:id="rId7"/>
    <sheet name="Assumptions" sheetId="6" state="visible" r:id="rId8"/>
    <sheet name="Headcount" sheetId="7" state="visible" r:id="rId9"/>
    <sheet name="Schedules" sheetId="8" state="visible" r:id="rId10"/>
    <sheet name="Cons" sheetId="9" state="visible" r:id="rId11"/>
    <sheet name="Base" sheetId="10" state="visible" r:id="rId12"/>
    <sheet name="Aggr" sheetId="11" state="visible" r:id="rId13"/>
    <sheet name="EntDelay" sheetId="12" state="visible" r:id="rId14"/>
    <sheet name="HiAI" sheetId="13" state="visible" r:id="rId15"/>
    <sheet name="Incident" sheetId="14" state="visible" r:id="rId16"/>
    <sheet name="EntGated" sheetId="15" state="visible" r:id="rId17"/>
    <sheet name="FullScope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<sst xmlns="http://schemas.openxmlformats.org/spreadsheetml/2006/main" count="5730" uniqueCount="1028">
  <si>
    <t xml:space="preserve">Semester financial operating model: three-year, driver-based, monthly</t>
  </si>
  <si>
    <t xml:space="preserve">STATUS: PLANNING MODEL. Not an approved budget, price book, forecast or accounting record. No figure here is a legal, tax or accounting conclusion.</t>
  </si>
  <si>
    <t xml:space="preserve">How to read it</t>
  </si>
  <si>
    <t xml:space="preserve">1. Assumptions holds every input, tagged: FACT (in the repository), POLICY (proposed default already in deal-desk.ts), HYP (hypothesis, no evidence yet), VENDOR (verify the vendor price), PRO (needs a qualified professional), ILLUS (placeholder), DECIDE (a founder / authorized-reviewer decision not yet made, mainly gate timing).</t>
  </si>
  <si>
    <t xml:space="preserve">2. Scenarios holds the seven scenario columns. Each scenario has its own calculation sheet (Cons, Base, Aggr, EntDelay, HiAI, Incident, EntGated, FullScope) built from identical formulas.</t>
  </si>
  <si>
    <t xml:space="preserve">3. Headcount and Schedules hold the hiring plan and the institutional pipeline schedule. Change them there, not in formulas.</t>
  </si>
  <si>
    <t xml:space="preserve">4. Dashboard shows one scenario (pick 1-8 in B3). Compare shows all seven side by side. Checks must all read OK.</t>
  </si>
  <si>
    <t xml:space="preserve">5. Blue cells are inputs. Black cells are formulas. Nothing is pasted from a calculation.</t>
  </si>
  <si>
    <t xml:space="preserve">Conventions</t>
  </si>
  <si>
    <t xml:space="preserve">Month 1 = January 2027. USD. Revenue is recognized as a PLANNING PROXY (ratable for subscriptions, pilots and add-ons; services over 3 months). The real policy is an accountant determination.</t>
  </si>
  <si>
    <t xml:space="preserve">Institutional counts are expected values, so fractions of an account appear. Collection lag on invoiced billings is fixed at 2 months. No income tax, D&amp;A, capitalized software or financing costs are modeled.</t>
  </si>
  <si>
    <t xml:space="preserve">Opening capital is ILLUSTRATIVE and only drives the cash-out month. The honest funding number is "peak cumulative burn" on the Compare sheet.</t>
  </si>
  <si>
    <t xml:space="preserve">Regenerate: python3 docs/finance/model/build_workbook.py, then python3 docs/finance/model/verify.py (recalculates in LibreOffice and compares with the Python reference run).</t>
  </si>
  <si>
    <t xml:space="preserve">Dashboard: one scenario at a time</t>
  </si>
  <si>
    <t xml:space="preserve">Scenario (1-8)</t>
  </si>
  <si>
    <t xml:space="preserve">1 Conservative, 2 Base, 3 Aggressive, 4 Enterprise-delayed, 5 High AI cost, 6 Incident, 7 Enterprise-delayed with gated hiring, 8 Full-scope staffing (CTO pack)</t>
  </si>
  <si>
    <t xml:space="preserve">Revenue and margin</t>
  </si>
  <si>
    <t xml:space="preserve">Year 1 (2027)</t>
  </si>
  <si>
    <t xml:space="preserve">Year 2 (2028)</t>
  </si>
  <si>
    <t xml:space="preserve">Year 3 (2029)</t>
  </si>
  <si>
    <t xml:space="preserve">Student subscriptions</t>
  </si>
  <si>
    <t xml:space="preserve">Pilot software</t>
  </si>
  <si>
    <t xml:space="preserve">Institutional platform</t>
  </si>
  <si>
    <t xml:space="preserve">Implementation services</t>
  </si>
  <si>
    <t xml:space="preserve">AI capacity add-on</t>
  </si>
  <si>
    <t xml:space="preserve">Alumni module</t>
  </si>
  <si>
    <t xml:space="preserve">Career / employer</t>
  </si>
  <si>
    <t xml:space="preserve">Marketplace (net take)</t>
  </si>
  <si>
    <t xml:space="preserve">TOTAL REVENUE</t>
  </si>
  <si>
    <t xml:space="preserve">Cost of revenue</t>
  </si>
  <si>
    <t xml:space="preserve">Gross profit</t>
  </si>
  <si>
    <t xml:space="preserve">Operating expenses</t>
  </si>
  <si>
    <t xml:space="preserve">Engineering and product</t>
  </si>
  <si>
    <t xml:space="preserve">Security and privacy</t>
  </si>
  <si>
    <t xml:space="preserve">Sales and partnerships</t>
  </si>
  <si>
    <t xml:space="preserve">Marketing</t>
  </si>
  <si>
    <t xml:space="preserve">Legal</t>
  </si>
  <si>
    <t xml:space="preserve">Insurance</t>
  </si>
  <si>
    <t xml:space="preserve">G&amp;A</t>
  </si>
  <si>
    <t xml:space="preserve">Incident response</t>
  </si>
  <si>
    <t xml:space="preserve">TOTAL OPERATING EXPENSES</t>
  </si>
  <si>
    <t xml:space="preserve">Operating result (EBITDA)</t>
  </si>
  <si>
    <t xml:space="preserve">Cash</t>
  </si>
  <si>
    <t xml:space="preserve">Cash collected</t>
  </si>
  <si>
    <t xml:space="preserve">Operating cash flow</t>
  </si>
  <si>
    <t xml:space="preserve">Cumulative operating cash flow</t>
  </si>
  <si>
    <t xml:space="preserve">Illustrative cash balance</t>
  </si>
  <si>
    <t xml:space="preserve">Deferred revenue</t>
  </si>
  <si>
    <t xml:space="preserve">Receivables</t>
  </si>
  <si>
    <t xml:space="preserve">Scale</t>
  </si>
  <si>
    <t xml:space="preserve">ARR</t>
  </si>
  <si>
    <t xml:space="preserve">ARR, institutional</t>
  </si>
  <si>
    <t xml:space="preserve">ARR, student</t>
  </si>
  <si>
    <t xml:space="preserve">Annual logos</t>
  </si>
  <si>
    <t xml:space="preserve">Pilots running</t>
  </si>
  <si>
    <t xml:space="preserve">Paying students</t>
  </si>
  <si>
    <t xml:space="preserve">Active free students</t>
  </si>
  <si>
    <t xml:space="preserve">Sponsored students</t>
  </si>
  <si>
    <t xml:space="preserve">All monthly-active users</t>
  </si>
  <si>
    <t xml:space="preserve">Headcount (FTE)</t>
  </si>
  <si>
    <t xml:space="preserve">Unit-economics dashboard</t>
  </si>
  <si>
    <t xml:space="preserve">Total revenue</t>
  </si>
  <si>
    <t xml:space="preserve">ARR at year end</t>
  </si>
  <si>
    <t xml:space="preserve">Gross margin</t>
  </si>
  <si>
    <t xml:space="preserve">Contribution margin</t>
  </si>
  <si>
    <t xml:space="preserve">Variable gross margin: student subscriptions (incl. free-user cost)</t>
  </si>
  <si>
    <t xml:space="preserve">Gross margin: institutional platform, pilots and add-ons (incl. customer success)</t>
  </si>
  <si>
    <t xml:space="preserve">Implementation margin (actual team cost)</t>
  </si>
  <si>
    <t xml:space="preserve">Implementation margin at standard cost (pricing check)</t>
  </si>
  <si>
    <t xml:space="preserve">Implementation utilization (demand / capacity)</t>
  </si>
  <si>
    <t xml:space="preserve">Net burn (negative operating cash flow)</t>
  </si>
  <si>
    <t xml:space="preserve">Cumulative operating cash flow at year end</t>
  </si>
  <si>
    <t xml:space="preserve">Illustrative cash balance at year end</t>
  </si>
  <si>
    <t xml:space="preserve">Net new ARR</t>
  </si>
  <si>
    <t xml:space="preserve">Burn multiple (net burn / net new ARR)</t>
  </si>
  <si>
    <t xml:space="preserve">Student CAC (paid test budget + half of marketing) / new paying subscribers</t>
  </si>
  <si>
    <t xml:space="preserve">Student CAC, fully loaded (test budget + half of marketing + free-tier cost) / new paying subscribers</t>
  </si>
  <si>
    <t xml:space="preserve">Student ARPU, monthly (average subscribers)</t>
  </si>
  <si>
    <t xml:space="preserve">Margin on paying subscribers (own variable cost only)</t>
  </si>
  <si>
    <t xml:space="preserve">Student CAC payback (months, on paying-subscriber margin)</t>
  </si>
  <si>
    <t xml:space="preserve">Institution CAC per new annual contract (sales + half of non-student marketing)</t>
  </si>
  <si>
    <t xml:space="preserve">Institution CAC per new institution started (pilot or direct)</t>
  </si>
  <si>
    <t xml:space="preserve">Net revenue retention, core platform (renewal x expansion)</t>
  </si>
  <si>
    <t xml:space="preserve">Gross logo retention, institutions</t>
  </si>
  <si>
    <t xml:space="preserve">Annual logos at year end</t>
  </si>
  <si>
    <t xml:space="preserve">Paying subscribers at year end</t>
  </si>
  <si>
    <t xml:space="preserve">Monthly-active users at year end</t>
  </si>
  <si>
    <t xml:space="preserve">AI cost per MAU per month (average)</t>
  </si>
  <si>
    <t xml:space="preserve">AI cost as share of revenue</t>
  </si>
  <si>
    <t xml:space="preserve">Headcount at year end (FTE)</t>
  </si>
  <si>
    <t xml:space="preserve">ARR per FTE at year end</t>
  </si>
  <si>
    <t xml:space="preserve">Paying-subscriber churn per month (incl. non-renewals)</t>
  </si>
  <si>
    <t xml:space="preserve">Student LTV (ARPU x paying-subscriber margin / monthly churn)</t>
  </si>
  <si>
    <t xml:space="preserve">Student LTV / CAC</t>
  </si>
  <si>
    <t xml:space="preserve">Annual variable cost of serving free users</t>
  </si>
  <si>
    <t xml:space="preserve">Free-user cost as share of student revenue</t>
  </si>
  <si>
    <t xml:space="preserve">Paying share of consumer users at year end</t>
  </si>
  <si>
    <t xml:space="preserve">Monthly series (selected scenario)</t>
  </si>
  <si>
    <t xml:space="preserve">Month</t>
  </si>
  <si>
    <t xml:space="preserve">Monthly revenue</t>
  </si>
  <si>
    <t xml:space="preserve">Scenario comparison (live: every cell reads the scenario sheets)</t>
  </si>
  <si>
    <t xml:space="preserve">Metric</t>
  </si>
  <si>
    <t xml:space="preserve">Conservative</t>
  </si>
  <si>
    <t xml:space="preserve">Base</t>
  </si>
  <si>
    <t xml:space="preserve">Aggressive</t>
  </si>
  <si>
    <t xml:space="preserve">Enterprise-delayed</t>
  </si>
  <si>
    <t xml:space="preserve">High AI cost</t>
  </si>
  <si>
    <t xml:space="preserve">Incident (SEV-0, month 14)</t>
  </si>
  <si>
    <t xml:space="preserve">Enterprise-delayed, gated hiring (mitigation)</t>
  </si>
  <si>
    <t xml:space="preserve">Full-scope staffing (CTO pack S1-S4), Base revenue</t>
  </si>
  <si>
    <t xml:space="preserve">Revenue, Year 1</t>
  </si>
  <si>
    <t xml:space="preserve">Revenue, Year 2</t>
  </si>
  <si>
    <t xml:space="preserve">Revenue, Year 3</t>
  </si>
  <si>
    <t xml:space="preserve">ARR, month 12</t>
  </si>
  <si>
    <t xml:space="preserve">ARR, month 24</t>
  </si>
  <si>
    <t xml:space="preserve">ARR, month 36</t>
  </si>
  <si>
    <t xml:space="preserve">Annual logos, month 36</t>
  </si>
  <si>
    <t xml:space="preserve">Paying students, month 36</t>
  </si>
  <si>
    <t xml:space="preserve">Gross margin, Year 3</t>
  </si>
  <si>
    <t xml:space="preserve">Contribution margin, Year 3</t>
  </si>
  <si>
    <t xml:space="preserve">Operating result, Year 1</t>
  </si>
  <si>
    <t xml:space="preserve">Operating result, Year 2</t>
  </si>
  <si>
    <t xml:space="preserve">Operating result, Year 3</t>
  </si>
  <si>
    <t xml:space="preserve">Net burn, Year 1</t>
  </si>
  <si>
    <t xml:space="preserve">Net burn, Year 2</t>
  </si>
  <si>
    <t xml:space="preserve">Net burn, Year 3</t>
  </si>
  <si>
    <t xml:space="preserve">Cumulative cash need through month 12</t>
  </si>
  <si>
    <t xml:space="preserve">Cumulative cash need through month 24</t>
  </si>
  <si>
    <t xml:space="preserve">Cumulative cash need through month 36</t>
  </si>
  <si>
    <t xml:space="preserve">PEAK FUNDING NEED (deepest cumulative cash trough, months 1-36)</t>
  </si>
  <si>
    <t xml:space="preserve">Month cash runs out on the illustrative opening capital (blank = not within 36 months)</t>
  </si>
  <si>
    <t xml:space="preserve">Burn multiple, Year 3</t>
  </si>
  <si>
    <t xml:space="preserve">Implementation margin, Year 3 (actual team cost)</t>
  </si>
  <si>
    <t xml:space="preserve">Implementation utilization, Year 3</t>
  </si>
  <si>
    <t xml:space="preserve">Student LTV / CAC, Year 3</t>
  </si>
  <si>
    <t xml:space="preserve">AI cost as share of revenue, Year 3</t>
  </si>
  <si>
    <t xml:space="preserve">Headcount, month 36 (FTE)</t>
  </si>
  <si>
    <t xml:space="preserve">Model integrity checks (every line must read OK)</t>
  </si>
  <si>
    <t xml:space="preserve">Check</t>
  </si>
  <si>
    <t xml:space="preserve">Cons</t>
  </si>
  <si>
    <t xml:space="preserve">Aggr</t>
  </si>
  <si>
    <t xml:space="preserve">EntDelay</t>
  </si>
  <si>
    <t xml:space="preserve">HiAI</t>
  </si>
  <si>
    <t xml:space="preserve">Incident</t>
  </si>
  <si>
    <t xml:space="preserve">EntGated</t>
  </si>
  <si>
    <t xml:space="preserve">FullScope</t>
  </si>
  <si>
    <t xml:space="preserve">Cost-of-revenue lines sum to the allocated total (max abs difference &lt; $0.01)</t>
  </si>
  <si>
    <t xml:space="preserve">Deferred revenue never negative</t>
  </si>
  <si>
    <t xml:space="preserve">Receivables never negative</t>
  </si>
  <si>
    <t xml:space="preserve">Cumulative cash equals the sum of monthly operating cash flow</t>
  </si>
  <si>
    <t xml:space="preserve">Billings less revenue equals deferred revenue at month 36</t>
  </si>
  <si>
    <t xml:space="preserve">Headcount at month 36 equals month-1 headcount plus hires from month 2</t>
  </si>
  <si>
    <t xml:space="preserve">No subscriber, user or logo count below zero</t>
  </si>
  <si>
    <t xml:space="preserve">Seasonality index sums to 12</t>
  </si>
  <si>
    <t xml:space="preserve">ALL CHECKS</t>
  </si>
  <si>
    <t xml:space="preserve">Scenario parameters</t>
  </si>
  <si>
    <t xml:space="preserve">Parameter</t>
  </si>
  <si>
    <t xml:space="preserve">Unit</t>
  </si>
  <si>
    <t xml:space="preserve">Note</t>
  </si>
  <si>
    <t xml:space="preserve">Organic student acquisition multiplier</t>
  </si>
  <si>
    <t xml:space="preserve">x</t>
  </si>
  <si>
    <t xml:space="preserve">Free-to-paid conversion multiplier</t>
  </si>
  <si>
    <t xml:space="preserve">Churn multiplier (students and institutions)</t>
  </si>
  <si>
    <t xml:space="preserve">Pilot and direct-deal volume multiplier</t>
  </si>
  <si>
    <t xml:space="preserve">Pilot-to-annual conversion multiplier</t>
  </si>
  <si>
    <t xml:space="preserve">Institutional gates slip by (months)</t>
  </si>
  <si>
    <t xml:space="preserve">months</t>
  </si>
  <si>
    <t xml:space="preserve">Slips (negative = earlier) the paid-pilot, direct and enterprise gates (and design-partner conversion).</t>
  </si>
  <si>
    <t xml:space="preserve">Institutional price realization multiplier</t>
  </si>
  <si>
    <t xml:space="preserve">Paid acquisition cost multiplier</t>
  </si>
  <si>
    <t xml:space="preserve">AI unit cost multiplier (price or model-mix shift)</t>
  </si>
  <si>
    <t xml:space="preserve">AI usage multiplier (requests per user)</t>
  </si>
  <si>
    <t xml:space="preserve">Incident switch (1 = on)</t>
  </si>
  <si>
    <t xml:space="preserve">0/1</t>
  </si>
  <si>
    <t xml:space="preserve">Delay for gated hires (months)</t>
  </si>
  <si>
    <t xml:space="preserve">Mitigation lever: sales, implementation, CS, partnerships roles wait for the evidence gate.</t>
  </si>
  <si>
    <t xml:space="preserve">Full-scope staffing switch (1 = include the CTO-pack staffing roles)</t>
  </si>
  <si>
    <t xml:space="preserve">Same revenue as Base; costs the staffing plan proposed in docs/target-architecture/08.</t>
  </si>
  <si>
    <t xml:space="preserve">Incident cost inputs live on Assumptions (group: Incident scenario). They apply only where the incident switch is 1.</t>
  </si>
  <si>
    <t xml:space="preserve">Assumptions register (every number is a planning assumption unless tagged FACT)</t>
  </si>
  <si>
    <t xml:space="preserve">ID</t>
  </si>
  <si>
    <t xml:space="preserve">Assumption</t>
  </si>
  <si>
    <t xml:space="preserve">Value</t>
  </si>
  <si>
    <t xml:space="preserve">Tag</t>
  </si>
  <si>
    <t xml:space="preserve">Source / what would change it</t>
  </si>
  <si>
    <t xml:space="preserve">Go / no-go gates (controlling document: GO-NO-GO-DECISION.md, 3 Oct 2026)</t>
  </si>
  <si>
    <t xml:space="preserve">gate_plus</t>
  </si>
  <si>
    <t xml:space="preserve">Month broad / paid individual acquisition may begin (checkout hold lifted)</t>
  </si>
  <si>
    <t xml:space="preserve">month</t>
  </si>
  <si>
    <t xml:space="preserve">DECIDE</t>
  </si>
  <si>
    <t xml:space="preserve">Today NO-GO (INDIVIDUAL_PAID_ACQUISITION_ENABLED = false). Needs invitation-validation closeout + a separate broad-rollout decision.</t>
  </si>
  <si>
    <t xml:space="preserve">pre_gate_share</t>
  </si>
  <si>
    <t xml:space="preserve">Share of organic signups before that gate (invitation-only, unpaid validation cohorts)</t>
  </si>
  <si>
    <t xml:space="preserve">%</t>
  </si>
  <si>
    <t xml:space="preserve">Conditional GO covers invitation-only, unpaid validation only.</t>
  </si>
  <si>
    <t xml:space="preserve">gate_pilot</t>
  </si>
  <si>
    <t xml:space="preserve">Month the first PAID institutional pilot may begin</t>
  </si>
  <si>
    <t xml:space="preserve">Today NO-GO. Reconsidered only after a design-partner pilot has an approved activation record and a measured 26-week closeout (D-134).</t>
  </si>
  <si>
    <t xml:space="preserve">gate_direct</t>
  </si>
  <si>
    <t xml:space="preserve">Month direct annual sales (no pilot first) may begin</t>
  </si>
  <si>
    <t xml:space="preserve">After the first pilot-to-annual conversions are evidenced.</t>
  </si>
  <si>
    <t xml:space="preserve">gate_ent</t>
  </si>
  <si>
    <t xml:space="preserve">Month System-tier / broad enterprise sale may begin</t>
  </si>
  <si>
    <t xml:space="preserve">Last motion to reconsider: repeated deployments and independent assurance first.</t>
  </si>
  <si>
    <t xml:space="preserve">dp_rho</t>
  </si>
  <si>
    <t xml:space="preserve">Design-partner pilot to paid annual conversion</t>
  </si>
  <si>
    <t xml:space="preserve">HYP</t>
  </si>
  <si>
    <t xml:space="preserve">Unpaid design partners; converts only after the paid-pilot gate.</t>
  </si>
  <si>
    <t xml:space="preserve">Student subscription</t>
  </si>
  <si>
    <t xml:space="preserve">price_m</t>
  </si>
  <si>
    <t xml:space="preserve">Plus list price, monthly</t>
  </si>
  <si>
    <t xml:space="preserve">$/mo</t>
  </si>
  <si>
    <t xml:space="preserve">FACT</t>
  </si>
  <si>
    <t xml:space="preserve">D-134 and docs/COMMERCIAL-CORE.md; the catalog charges this.</t>
  </si>
  <si>
    <t xml:space="preserve">price_a</t>
  </si>
  <si>
    <t xml:space="preserve">Plus list price, annual</t>
  </si>
  <si>
    <t xml:space="preserve">$/yr</t>
  </si>
  <si>
    <t xml:space="preserve">D-134. Effective $4.92/mo.</t>
  </si>
  <si>
    <t xml:space="preserve">stud_disc</t>
  </si>
  <si>
    <t xml:space="preserve">Average promotional / edu discount on list</t>
  </si>
  <si>
    <t xml:space="preserve">No promo program exists. Counsel to review any student-pricing claim.</t>
  </si>
  <si>
    <t xml:space="preserve">refund</t>
  </si>
  <si>
    <t xml:space="preserve">Refunds + chargebacks, share of billings</t>
  </si>
  <si>
    <t xml:space="preserve">Contra-revenue. Refund policy is not yet approved.</t>
  </si>
  <si>
    <t xml:space="preserve">organic_start</t>
  </si>
  <si>
    <t xml:space="preserve">Organic + campus-led free signups, month 1</t>
  </si>
  <si>
    <t xml:space="preserve">users/mo</t>
  </si>
  <si>
    <t xml:space="preserve">No acquisition history. Pre-seasonality trend.</t>
  </si>
  <si>
    <t xml:space="preserve">cps</t>
  </si>
  <si>
    <t xml:space="preserve">Paid acquisition: cost per free signup</t>
  </si>
  <si>
    <t xml:space="preserve">$</t>
  </si>
  <si>
    <t xml:space="preserve">Test in paid channels before scaling; student CPI varies widely.</t>
  </si>
  <si>
    <t xml:space="preserve">activation</t>
  </si>
  <si>
    <t xml:space="preserve">Signups that become monthly-active</t>
  </si>
  <si>
    <t xml:space="preserve">Measure with the activation definition in ANALYTICS.md.</t>
  </si>
  <si>
    <t xml:space="preserve">free_churn</t>
  </si>
  <si>
    <t xml:space="preserve">Monthly churn of active free users</t>
  </si>
  <si>
    <t xml:space="preserve">Academic-calendar driven; calibrate on cohorts.</t>
  </si>
  <si>
    <t xml:space="preserve">conv</t>
  </si>
  <si>
    <t xml:space="preserve">Free-to-paid conversion, monthly, of active free base</t>
  </si>
  <si>
    <t xml:space="preserve">No paying cohort evidenced. Single most sensitive consumer input.</t>
  </si>
  <si>
    <t xml:space="preserve">annual_mix</t>
  </si>
  <si>
    <t xml:space="preserve">Share of new paid on annual plan</t>
  </si>
  <si>
    <t xml:space="preserve">churn_m</t>
  </si>
  <si>
    <t xml:space="preserve">Monthly plan churn (per month)</t>
  </si>
  <si>
    <t xml:space="preserve">Summer and graduation churn are folded into the average.</t>
  </si>
  <si>
    <t xml:space="preserve">renew_a</t>
  </si>
  <si>
    <t xml:space="preserve">Annual plan renewal rate at term</t>
  </si>
  <si>
    <t xml:space="preserve">iap_share</t>
  </si>
  <si>
    <t xml:space="preserve">Student billings through app stores (native apps)</t>
  </si>
  <si>
    <t xml:space="preserve">PRO</t>
  </si>
  <si>
    <t xml:space="preserve">App-store purchase rules for digital subscriptions: platform-policy and counsel review.</t>
  </si>
  <si>
    <t xml:space="preserve">iap_fee</t>
  </si>
  <si>
    <t xml:space="preserve">App-store commission</t>
  </si>
  <si>
    <t xml:space="preserve">VENDOR</t>
  </si>
  <si>
    <t xml:space="preserve">Assumes a reduced-rate program; verify current store terms.</t>
  </si>
  <si>
    <t xml:space="preserve">stripe_pct</t>
  </si>
  <si>
    <t xml:space="preserve">Card processing, percent</t>
  </si>
  <si>
    <t xml:space="preserve">Verify current Stripe pricing and any negotiated rate.</t>
  </si>
  <si>
    <t xml:space="preserve">stripe_fix</t>
  </si>
  <si>
    <t xml:space="preserve">Card processing, fixed fee per charge</t>
  </si>
  <si>
    <t xml:space="preserve">Verify.</t>
  </si>
  <si>
    <t xml:space="preserve">inst_disc</t>
  </si>
  <si>
    <t xml:space="preserve">Average realized discount off institutional list</t>
  </si>
  <si>
    <t xml:space="preserve">POLICY</t>
  </si>
  <si>
    <t xml:space="preserve">Within the deal-desk ladder (&lt;=20% needs finance).</t>
  </si>
  <si>
    <t xml:space="preserve">rr_i</t>
  </si>
  <si>
    <t xml:space="preserve">Gross logo renewal rate at term</t>
  </si>
  <si>
    <t xml:space="preserve">No contract has reached term.</t>
  </si>
  <si>
    <t xml:space="preserve">expansion</t>
  </si>
  <si>
    <t xml:space="preserve">Expansion on retained contract value (modules, bands)</t>
  </si>
  <si>
    <t xml:space="preserve">NRR (core) = renewal x (1 + expansion).</t>
  </si>
  <si>
    <t xml:space="preserve">pilot_share</t>
  </si>
  <si>
    <t xml:space="preserve">Share of full rollout active during a pilot</t>
  </si>
  <si>
    <t xml:space="preserve">Pilot is a bounded cohort (D-134: 26 weeks).</t>
  </si>
  <si>
    <t xml:space="preserve">bad_debt</t>
  </si>
  <si>
    <t xml:space="preserve">Bad debt, share of institutional billings</t>
  </si>
  <si>
    <t xml:space="preserve">Accountant to set reserve method.</t>
  </si>
  <si>
    <t xml:space="preserve">attach_int</t>
  </si>
  <si>
    <t xml:space="preserve">New institutions buying an integration package</t>
  </si>
  <si>
    <t xml:space="preserve">SIS/LMS connectors scoped separately (PRICING-AND-PACKAGING.md).</t>
  </si>
  <si>
    <t xml:space="preserve">int_fee</t>
  </si>
  <si>
    <t xml:space="preserve">Integration package fee</t>
  </si>
  <si>
    <t xml:space="preserve">int_hours</t>
  </si>
  <si>
    <t xml:space="preserve">Integration package delivery hours</t>
  </si>
  <si>
    <t xml:space="preserve">hours</t>
  </si>
  <si>
    <t xml:space="preserve">Measure on the first integration.</t>
  </si>
  <si>
    <t xml:space="preserve">loaded_rate</t>
  </si>
  <si>
    <t xml:space="preserve">Loaded implementation cost per hour</t>
  </si>
  <si>
    <t xml:space="preserve">$/hr</t>
  </si>
  <si>
    <t xml:space="preserve">~$100k salary x 1.22 burden / ~1,430 productive hours.</t>
  </si>
  <si>
    <t xml:space="preserve">hrs_per_fte</t>
  </si>
  <si>
    <t xml:space="preserve">Billable implementation hours per FTE per month</t>
  </si>
  <si>
    <t xml:space="preserve">comm_rate</t>
  </si>
  <si>
    <t xml:space="preserve">Sales commission on new-logo bookings</t>
  </si>
  <si>
    <t xml:space="preserve">Plan not designed; counsel/accountant review of commission accounting.</t>
  </si>
  <si>
    <t xml:space="preserve">Add-on streams</t>
  </si>
  <si>
    <t xml:space="preserve">ai_start</t>
  </si>
  <si>
    <t xml:space="preserve">AI capacity add-on available from month</t>
  </si>
  <si>
    <t xml:space="preserve">ai_attach</t>
  </si>
  <si>
    <t xml:space="preserve">Annual institutions buying the AI add-on</t>
  </si>
  <si>
    <t xml:space="preserve">alu_start</t>
  </si>
  <si>
    <t xml:space="preserve">Alumni module available from month</t>
  </si>
  <si>
    <t xml:space="preserve">Needs live annual customers first; no replacement claim before it is earned.</t>
  </si>
  <si>
    <t xml:space="preserve">alu_attach</t>
  </si>
  <si>
    <t xml:space="preserve">Campus/System institutions buying alumni module</t>
  </si>
  <si>
    <t xml:space="preserve">career_start</t>
  </si>
  <si>
    <t xml:space="preserve">Career/employer product sells from month</t>
  </si>
  <si>
    <t xml:space="preserve">Employment-law and anti-discrimination review first (PRO).</t>
  </si>
  <si>
    <t xml:space="preserve">career_acv</t>
  </si>
  <si>
    <t xml:space="preserve">Employer account ACV</t>
  </si>
  <si>
    <t xml:space="preserve">career_churn</t>
  </si>
  <si>
    <t xml:space="preserve">Employer account monthly churn</t>
  </si>
  <si>
    <t xml:space="preserve">mk_start</t>
  </si>
  <si>
    <t xml:space="preserve">Marketplace opens from month</t>
  </si>
  <si>
    <t xml:space="preserve">ADVERTISING-AND-MONETIZATION-POLICY.md and provider governance must be mature first.</t>
  </si>
  <si>
    <t xml:space="preserve">mk_init</t>
  </si>
  <si>
    <t xml:space="preserve">Marketplace providers at opening</t>
  </si>
  <si>
    <t xml:space="preserve">providers</t>
  </si>
  <si>
    <t xml:space="preserve">mk_adds</t>
  </si>
  <si>
    <t xml:space="preserve">Marketplace provider adds per month</t>
  </si>
  <si>
    <t xml:space="preserve">mk_churn</t>
  </si>
  <si>
    <t xml:space="preserve">Provider monthly churn</t>
  </si>
  <si>
    <t xml:space="preserve">mk_orders_pp</t>
  </si>
  <si>
    <t xml:space="preserve">Orders per provider per month</t>
  </si>
  <si>
    <t xml:space="preserve">orders</t>
  </si>
  <si>
    <t xml:space="preserve">mk_aov</t>
  </si>
  <si>
    <t xml:space="preserve">Average order value</t>
  </si>
  <si>
    <t xml:space="preserve">mk_take</t>
  </si>
  <si>
    <t xml:space="preserve">Platform take rate on GMV</t>
  </si>
  <si>
    <t xml:space="preserve">Net-vs-gross presentation (principal/agent) is an accountant determination.</t>
  </si>
  <si>
    <t xml:space="preserve">mk_dispute</t>
  </si>
  <si>
    <t xml:space="preserve">Refund/dispute reserve, share of GMV</t>
  </si>
  <si>
    <t xml:space="preserve">mk_ts_order</t>
  </si>
  <si>
    <t xml:space="preserve">Trust &amp; safety cost per order</t>
  </si>
  <si>
    <t xml:space="preserve">Infrastructure (variable, per monthly-active user, all classes)</t>
  </si>
  <si>
    <t xml:space="preserve">infra_compute</t>
  </si>
  <si>
    <t xml:space="preserve">Database + compute + functions</t>
  </si>
  <si>
    <t xml:space="preserve">$/MAU/mo</t>
  </si>
  <si>
    <t xml:space="preserve">Planning allowance. Verify against Supabase / Vercel plans at scale.</t>
  </si>
  <si>
    <t xml:space="preserve">gb_per_mau</t>
  </si>
  <si>
    <t xml:space="preserve">Stored data per active user</t>
  </si>
  <si>
    <t xml:space="preserve">GB</t>
  </si>
  <si>
    <t xml:space="preserve">Documents, media, attachments.</t>
  </si>
  <si>
    <t xml:space="preserve">storage_price</t>
  </si>
  <si>
    <t xml:space="preserve">Object storage price</t>
  </si>
  <si>
    <t xml:space="preserve">$/GB-mo</t>
  </si>
  <si>
    <t xml:space="preserve">repl_factor</t>
  </si>
  <si>
    <t xml:space="preserve">Storage multiplier for backups and DR copy</t>
  </si>
  <si>
    <t xml:space="preserve">RESTORE.md / DR posture.</t>
  </si>
  <si>
    <t xml:space="preserve">egress_gb</t>
  </si>
  <si>
    <t xml:space="preserve">Data egress per active user</t>
  </si>
  <si>
    <t xml:space="preserve">GB/mo</t>
  </si>
  <si>
    <t xml:space="preserve">egress_price</t>
  </si>
  <si>
    <t xml:space="preserve">Egress price</t>
  </si>
  <si>
    <t xml:space="preserve">$/GB</t>
  </si>
  <si>
    <t xml:space="preserve">cdn_offload</t>
  </si>
  <si>
    <t xml:space="preserve">Share of egress absorbed by CDN cache</t>
  </si>
  <si>
    <t xml:space="preserve">search_per_mau</t>
  </si>
  <si>
    <t xml:space="preserve">Search + vector index</t>
  </si>
  <si>
    <t xml:space="preserve">notif_per_mau</t>
  </si>
  <si>
    <t xml:space="preserve">Email / push / SMS notifications</t>
  </si>
  <si>
    <t xml:space="preserve">obs_per_mau</t>
  </si>
  <si>
    <t xml:space="preserve">Observability and logging</t>
  </si>
  <si>
    <t xml:space="preserve">AI inference</t>
  </si>
  <si>
    <t xml:space="preserve">in_h</t>
  </si>
  <si>
    <t xml:space="preserve">Haiku 4.5 input price</t>
  </si>
  <si>
    <t xml:space="preserve">$/M tok</t>
  </si>
  <si>
    <t xml:space="preserve">Anthropic first-party API price table, cached 2026-09-25.</t>
  </si>
  <si>
    <t xml:space="preserve">out_h</t>
  </si>
  <si>
    <t xml:space="preserve">Haiku 4.5 output price</t>
  </si>
  <si>
    <t xml:space="preserve">in_s</t>
  </si>
  <si>
    <t xml:space="preserve">Sonnet 5.5 input price</t>
  </si>
  <si>
    <t xml:space="preserve">out_s</t>
  </si>
  <si>
    <t xml:space="preserve">Sonnet 5.5 output price</t>
  </si>
  <si>
    <t xml:space="preserve">in_o</t>
  </si>
  <si>
    <t xml:space="preserve">Opus 5.5 input price</t>
  </si>
  <si>
    <t xml:space="preserve">out_o</t>
  </si>
  <si>
    <t xml:space="preserve">Opus 5.5 output price</t>
  </si>
  <si>
    <t xml:space="preserve">mix_h</t>
  </si>
  <si>
    <t xml:space="preserve">Request share routed to Haiku class</t>
  </si>
  <si>
    <t xml:space="preserve">Routing policy: classification and extraction on the small model.</t>
  </si>
  <si>
    <t xml:space="preserve">mix_s</t>
  </si>
  <si>
    <t xml:space="preserve">Request share routed to Sonnet class</t>
  </si>
  <si>
    <t xml:space="preserve">mix_o</t>
  </si>
  <si>
    <t xml:space="preserve">Request share routed to Opus class</t>
  </si>
  <si>
    <t xml:space="preserve">tok_in</t>
  </si>
  <si>
    <t xml:space="preserve">Input tokens per request (incl. retrieved context)</t>
  </si>
  <si>
    <t xml:space="preserve">tokens</t>
  </si>
  <si>
    <t xml:space="preserve">Measure from usage.ts / private.ai_usage_month.</t>
  </si>
  <si>
    <t xml:space="preserve">tok_out</t>
  </si>
  <si>
    <t xml:space="preserve">Output tokens per request</t>
  </si>
  <si>
    <t xml:space="preserve">think_mult</t>
  </si>
  <si>
    <t xml:space="preserve">Output multiplier for reasoning tokens</t>
  </si>
  <si>
    <t xml:space="preserve">cache_share</t>
  </si>
  <si>
    <t xml:space="preserve">Share of input that is cacheable prefix</t>
  </si>
  <si>
    <t xml:space="preserve">cache_hit</t>
  </si>
  <si>
    <t xml:space="preserve">Cache hit rate on cacheable prefix</t>
  </si>
  <si>
    <t xml:space="preserve">cache_read</t>
  </si>
  <si>
    <t xml:space="preserve">Cache read price as share of input price</t>
  </si>
  <si>
    <t xml:space="preserve">Sonnet 5.5 $0.20 vs $2.00; blended.</t>
  </si>
  <si>
    <t xml:space="preserve">ai_overhead</t>
  </si>
  <si>
    <t xml:space="preserve">Embeddings, retrieval, moderation overhead on top of inference</t>
  </si>
  <si>
    <t xml:space="preserve">req_free</t>
  </si>
  <si>
    <t xml:space="preserve">AI requests per free active user per month (capped)</t>
  </si>
  <si>
    <t xml:space="preserve">req</t>
  </si>
  <si>
    <t xml:space="preserve">Free-tier cap is a product decision.</t>
  </si>
  <si>
    <t xml:space="preserve">req_paid</t>
  </si>
  <si>
    <t xml:space="preserve">AI requests per paying user per month</t>
  </si>
  <si>
    <t xml:space="preserve">req_inst</t>
  </si>
  <si>
    <t xml:space="preserve">AI requests per institution-sponsored active user per month</t>
  </si>
  <si>
    <t xml:space="preserve">Integrations, support</t>
  </si>
  <si>
    <t xml:space="preserve">conn_cost</t>
  </si>
  <si>
    <t xml:space="preserve">Connector / iPaaS cost per integrated institution</t>
  </si>
  <si>
    <t xml:space="preserve">conn_attach</t>
  </si>
  <si>
    <t xml:space="preserve">Institutions with a live connector</t>
  </si>
  <si>
    <t xml:space="preserve">sso_cost</t>
  </si>
  <si>
    <t xml:space="preserve">SSO / SCIM cost per institution connection</t>
  </si>
  <si>
    <t xml:space="preserve">Verify the identity vendor price per connection.</t>
  </si>
  <si>
    <t xml:space="preserve">tk_c</t>
  </si>
  <si>
    <t xml:space="preserve">Support tickets per 100 consumer MAU per month</t>
  </si>
  <si>
    <t xml:space="preserve">tickets</t>
  </si>
  <si>
    <t xml:space="preserve">Support contact rate is a defined measure; no reading yet.</t>
  </si>
  <si>
    <t xml:space="preserve">tk_i</t>
  </si>
  <si>
    <t xml:space="preserve">Support tickets per 100 institutional MAU per month</t>
  </si>
  <si>
    <t xml:space="preserve">overflow_share</t>
  </si>
  <si>
    <t xml:space="preserve">Tickets handled by outsourced tier-1 overflow</t>
  </si>
  <si>
    <t xml:space="preserve">overflow_cost</t>
  </si>
  <si>
    <t xml:space="preserve">Cost per overflow ticket</t>
  </si>
  <si>
    <t xml:space="preserve">People and overhead</t>
  </si>
  <si>
    <t xml:space="preserve">burden</t>
  </si>
  <si>
    <t xml:space="preserve">Payroll burden (taxes, benefits, workers comp)</t>
  </si>
  <si>
    <t xml:space="preserve">PEO / benefits broker and payroll provider to confirm.</t>
  </si>
  <si>
    <t xml:space="preserve">sw_per_fte</t>
  </si>
  <si>
    <t xml:space="preserve">Software and tools per FTE</t>
  </si>
  <si>
    <t xml:space="preserve">rent_per_fte</t>
  </si>
  <si>
    <t xml:space="preserve">Workspace per FTE</t>
  </si>
  <si>
    <t xml:space="preserve">Hybrid / coworking.</t>
  </si>
  <si>
    <t xml:space="preserve">train_per_fte</t>
  </si>
  <si>
    <t xml:space="preserve">Training per FTE</t>
  </si>
  <si>
    <t xml:space="preserve">recruit_per_hire</t>
  </si>
  <si>
    <t xml:space="preserve">Recruiting cost per hire (month 2 onward)</t>
  </si>
  <si>
    <t xml:space="preserve">Agency or referral mix.</t>
  </si>
  <si>
    <t xml:space="preserve">equip_per_hire</t>
  </si>
  <si>
    <t xml:space="preserve">Equipment per hire</t>
  </si>
  <si>
    <t xml:space="preserve">contingency</t>
  </si>
  <si>
    <t xml:space="preserve">Contingency on non-payroll operating lines</t>
  </si>
  <si>
    <t xml:space="preserve">capital_available</t>
  </si>
  <si>
    <t xml:space="preserve">Cash available at start (ILLUSTRATIVE, not a plan)</t>
  </si>
  <si>
    <t xml:space="preserve">ILLUS</t>
  </si>
  <si>
    <t xml:space="preserve">Used only to show a cash-out month. Set to the real figure.</t>
  </si>
  <si>
    <t xml:space="preserve">Incident scenario (applies only when the scenario switch is on)</t>
  </si>
  <si>
    <t xml:space="preserve">inc_month</t>
  </si>
  <si>
    <t xml:space="preserve">Month the SEV-0 incident occurs</t>
  </si>
  <si>
    <t xml:space="preserve">Cross-tenant exposure or confirmed data breach (CRISIS-RESPONSE-RUNBOOK.md).</t>
  </si>
  <si>
    <t xml:space="preserve">inc_forensics</t>
  </si>
  <si>
    <t xml:space="preserve">Forensics and incident-response retainer</t>
  </si>
  <si>
    <t xml:space="preserve">Quote from IR firm / cyber insurer panel.</t>
  </si>
  <si>
    <t xml:space="preserve">inc_counsel</t>
  </si>
  <si>
    <t xml:space="preserve">Outside counsel and notification letters</t>
  </si>
  <si>
    <t xml:space="preserve">inc_records</t>
  </si>
  <si>
    <t xml:space="preserve">People whose records are affected</t>
  </si>
  <si>
    <t xml:space="preserve">people</t>
  </si>
  <si>
    <t xml:space="preserve">inc_notify</t>
  </si>
  <si>
    <t xml:space="preserve">Notification, call center and monitoring per person</t>
  </si>
  <si>
    <t xml:space="preserve">Verify with insurer / vendor quote.</t>
  </si>
  <si>
    <t xml:space="preserve">inc_regulatory</t>
  </si>
  <si>
    <t xml:space="preserve">Regulatory and contractual response</t>
  </si>
  <si>
    <t xml:space="preserve">inc_remediation</t>
  </si>
  <si>
    <t xml:space="preserve">Emergency remediation engineering (contractors)</t>
  </si>
  <si>
    <t xml:space="preserve">inc_recovery</t>
  </si>
  <si>
    <t xml:space="preserve">Insurance recovery counted</t>
  </si>
  <si>
    <t xml:space="preserve">Zero until the policy, retention and exclusions are confirmed with the broker.</t>
  </si>
  <si>
    <t xml:space="preserve">inc_credit_pct</t>
  </si>
  <si>
    <t xml:space="preserve">Service credits to institutions, share of core ARR (one month)</t>
  </si>
  <si>
    <t xml:space="preserve">Contract-dependent.</t>
  </si>
  <si>
    <t xml:space="preserve">inc_student_churn</t>
  </si>
  <si>
    <t xml:space="preserve">Extra monthly churn on paid students for 3 months after</t>
  </si>
  <si>
    <t xml:space="preserve">inc_rr_hit</t>
  </si>
  <si>
    <t xml:space="preserve">Cut to institutional renewal rate for renewals in the next 12 months</t>
  </si>
  <si>
    <t xml:space="preserve">inc_pilot_mult</t>
  </si>
  <si>
    <t xml:space="preserve">Multiplier on new pilot/direct starts for 6 months after</t>
  </si>
  <si>
    <t xml:space="preserve">Institutional tiers</t>
  </si>
  <si>
    <t xml:space="preserve">ID prefix</t>
  </si>
  <si>
    <t xml:space="preserve">Department</t>
  </si>
  <si>
    <t xml:space="preserve">Campus</t>
  </si>
  <si>
    <t xml:space="preserve">System</t>
  </si>
  <si>
    <t xml:space="preserve">acv</t>
  </si>
  <si>
    <t xml:space="preserve">List annual platform ACV</t>
  </si>
  <si>
    <t xml:space="preserve">Set just above the deal-desk minimums ($25k / $75k / $200k).</t>
  </si>
  <si>
    <t xml:space="preserve">pilotfee</t>
  </si>
  <si>
    <t xml:space="preserve">Pilot software fee (26 weeks)</t>
  </si>
  <si>
    <t xml:space="preserve">Department equals the $15k pilot minimum; D-134 fixes 26 weeks.</t>
  </si>
  <si>
    <t xml:space="preserve">impl</t>
  </si>
  <si>
    <t xml:space="preserve">Implementation fee</t>
  </si>
  <si>
    <t xml:space="preserve">Above the $10k implementation-fee floor.</t>
  </si>
  <si>
    <t xml:space="preserve">Standard implementation hours</t>
  </si>
  <si>
    <t xml:space="preserve">Measure on the first pilot.</t>
  </si>
  <si>
    <t xml:space="preserve">students</t>
  </si>
  <si>
    <t xml:space="preserve">Active students per fully rolled-out account</t>
  </si>
  <si>
    <t xml:space="preserve">users</t>
  </si>
  <si>
    <t xml:space="preserve">credit</t>
  </si>
  <si>
    <t xml:space="preserve">Pilot credit applied at conversion</t>
  </si>
  <si>
    <t xml:space="preserve">50% of the pilot software fee: the deal-desk maximum.</t>
  </si>
  <si>
    <t xml:space="preserve">rho</t>
  </si>
  <si>
    <t xml:space="preserve">Pilot-to-annual conversion</t>
  </si>
  <si>
    <t xml:space="preserve">Defined measure; no pilot has run.</t>
  </si>
  <si>
    <t xml:space="preserve">ai_price</t>
  </si>
  <si>
    <t xml:space="preserve">AI capacity add-on, annual</t>
  </si>
  <si>
    <t xml:space="preserve">Year-dependent assumptions</t>
  </si>
  <si>
    <t xml:space="preserve">Volume drivers</t>
  </si>
  <si>
    <t xml:space="preserve">g</t>
  </si>
  <si>
    <t xml:space="preserve">Organic growth, monthly compounding</t>
  </si>
  <si>
    <t xml:space="preserve">%/mo</t>
  </si>
  <si>
    <t xml:space="preserve">paid_budget</t>
  </si>
  <si>
    <t xml:space="preserve">Paid student acquisition TEST budget</t>
  </si>
  <si>
    <t xml:space="preserve">A test budget, not a scaling plan: released in tranches only against a measured cost per paying subscriber (see 05).</t>
  </si>
  <si>
    <t xml:space="preserve">infra_fixed</t>
  </si>
  <si>
    <t xml:space="preserve">Fixed platform infrastructure (prod, staging, DR, tooling)</t>
  </si>
  <si>
    <t xml:space="preserve">ai_fixed</t>
  </si>
  <si>
    <t xml:space="preserve">AI evaluation, red-team and monitoring runs</t>
  </si>
  <si>
    <t xml:space="preserve">AI-RECOMMENDATION-EVALUATION-HARNESS.md.</t>
  </si>
  <si>
    <t xml:space="preserve">Security, privacy, accessibility programs ($/yr)</t>
  </si>
  <si>
    <t xml:space="preserve">sec_pentest</t>
  </si>
  <si>
    <t xml:space="preserve">Penetration test</t>
  </si>
  <si>
    <t xml:space="preserve">Quote required.</t>
  </si>
  <si>
    <t xml:space="preserve">sec_soc2</t>
  </si>
  <si>
    <t xml:space="preserve">SOC 2 readiness, tooling and audit</t>
  </si>
  <si>
    <t xml:space="preserve">Auditor and platform quotes required.</t>
  </si>
  <si>
    <t xml:space="preserve">sec_a11y</t>
  </si>
  <si>
    <t xml:space="preserve">Accessibility audit, VPAT/ACR</t>
  </si>
  <si>
    <t xml:space="preserve">sec_grc</t>
  </si>
  <si>
    <t xml:space="preserve">GRC and security tooling</t>
  </si>
  <si>
    <t xml:space="preserve">sec_privacy</t>
  </si>
  <si>
    <t xml:space="preserve">Privacy assessments, HECVAT upkeep</t>
  </si>
  <si>
    <t xml:space="preserve">sec_bounty</t>
  </si>
  <si>
    <t xml:space="preserve">Bug bounty</t>
  </si>
  <si>
    <t xml:space="preserve">Legal and insurance ($/yr)</t>
  </si>
  <si>
    <t xml:space="preserve">legal_retainer</t>
  </si>
  <si>
    <t xml:space="preserve">Outside counsel (privacy, contracts, student data, employment)</t>
  </si>
  <si>
    <t xml:space="preserve">Counsel quote required; LEGAL-REVIEW-QUEUE.md.</t>
  </si>
  <si>
    <t xml:space="preserve">legal_ip</t>
  </si>
  <si>
    <t xml:space="preserve">Trademark and IP</t>
  </si>
  <si>
    <t xml:space="preserve">legal_contracts</t>
  </si>
  <si>
    <t xml:space="preserve">Contract templates, DPA playbook build</t>
  </si>
  <si>
    <t xml:space="preserve">ins_cyber</t>
  </si>
  <si>
    <t xml:space="preserve">Cyber + tech E&amp;O</t>
  </si>
  <si>
    <t xml:space="preserve">Broker quote; student-data limits drive premium.</t>
  </si>
  <si>
    <t xml:space="preserve">ins_gl</t>
  </si>
  <si>
    <t xml:space="preserve">General liability and property</t>
  </si>
  <si>
    <t xml:space="preserve">ins_do</t>
  </si>
  <si>
    <t xml:space="preserve">Directors and officers</t>
  </si>
  <si>
    <t xml:space="preserve">Finance and administration ($/yr)</t>
  </si>
  <si>
    <t xml:space="preserve">acct</t>
  </si>
  <si>
    <t xml:space="preserve">Bookkeeping, tax preparation, payroll</t>
  </si>
  <si>
    <t xml:space="preserve">audit</t>
  </si>
  <si>
    <t xml:space="preserve">Financial statement review or audit</t>
  </si>
  <si>
    <t xml:space="preserve">Needed for institutional diligence and investors.</t>
  </si>
  <si>
    <t xml:space="preserve">finsys</t>
  </si>
  <si>
    <t xml:space="preserve">Billing, spend management, FP&amp;A systems</t>
  </si>
  <si>
    <t xml:space="preserve">travel_int</t>
  </si>
  <si>
    <t xml:space="preserve">Internal travel and offsites</t>
  </si>
  <si>
    <t xml:space="preserve">Sales and marketing ($/yr)</t>
  </si>
  <si>
    <t xml:space="preserve">sales_tools</t>
  </si>
  <si>
    <t xml:space="preserve">CRM, data, sales tooling</t>
  </si>
  <si>
    <t xml:space="preserve">events</t>
  </si>
  <si>
    <t xml:space="preserve">Conferences and events</t>
  </si>
  <si>
    <t xml:space="preserve">travel_sales</t>
  </si>
  <si>
    <t xml:space="preserve">Sales travel (campus visits)</t>
  </si>
  <si>
    <t xml:space="preserve">rfp</t>
  </si>
  <si>
    <t xml:space="preserve">RFP / procurement response support</t>
  </si>
  <si>
    <t xml:space="preserve">mk_brand</t>
  </si>
  <si>
    <t xml:space="preserve">Brand, website, content</t>
  </si>
  <si>
    <t xml:space="preserve">mk_amb</t>
  </si>
  <si>
    <t xml:space="preserve">Campus ambassador program stipends</t>
  </si>
  <si>
    <t xml:space="preserve">Tax and employment classification: PRO.</t>
  </si>
  <si>
    <t xml:space="preserve">mk_pr</t>
  </si>
  <si>
    <t xml:space="preserve">PR and community events</t>
  </si>
  <si>
    <t xml:space="preserve">mk_ux</t>
  </si>
  <si>
    <t xml:space="preserve">User research incentives</t>
  </si>
  <si>
    <t xml:space="preserve">Seasonality index (academic calendar; sums to 12)</t>
  </si>
  <si>
    <t xml:space="preserve">season_1</t>
  </si>
  <si>
    <t xml:space="preserve">Jan</t>
  </si>
  <si>
    <t xml:space="preserve">season_2</t>
  </si>
  <si>
    <t xml:space="preserve">Feb</t>
  </si>
  <si>
    <t xml:space="preserve">season_3</t>
  </si>
  <si>
    <t xml:space="preserve">Mar</t>
  </si>
  <si>
    <t xml:space="preserve">season_4</t>
  </si>
  <si>
    <t xml:space="preserve">Apr</t>
  </si>
  <si>
    <t xml:space="preserve">season_5</t>
  </si>
  <si>
    <t xml:space="preserve">May</t>
  </si>
  <si>
    <t xml:space="preserve">season_6</t>
  </si>
  <si>
    <t xml:space="preserve">Jun</t>
  </si>
  <si>
    <t xml:space="preserve">season_7</t>
  </si>
  <si>
    <t xml:space="preserve">Jul</t>
  </si>
  <si>
    <t xml:space="preserve">season_8</t>
  </si>
  <si>
    <t xml:space="preserve">Aug</t>
  </si>
  <si>
    <t xml:space="preserve">season_9</t>
  </si>
  <si>
    <t xml:space="preserve">Sep</t>
  </si>
  <si>
    <t xml:space="preserve">season_10</t>
  </si>
  <si>
    <t xml:space="preserve">Oct</t>
  </si>
  <si>
    <t xml:space="preserve">season_11</t>
  </si>
  <si>
    <t xml:space="preserve">Nov</t>
  </si>
  <si>
    <t xml:space="preserve">season_12</t>
  </si>
  <si>
    <t xml:space="preserve">Dec</t>
  </si>
  <si>
    <t xml:space="preserve">Sum (must be 12)</t>
  </si>
  <si>
    <t xml:space="preserve">Derived (formulas)</t>
  </si>
  <si>
    <t xml:space="preserve">p_in</t>
  </si>
  <si>
    <t xml:space="preserve">Blended input price</t>
  </si>
  <si>
    <t xml:space="preserve">Formula.</t>
  </si>
  <si>
    <t xml:space="preserve">p_out</t>
  </si>
  <si>
    <t xml:space="preserve">Blended output price</t>
  </si>
  <si>
    <t xml:space="preserve">ai_cpr</t>
  </si>
  <si>
    <t xml:space="preserve">AI cost per request (before scenario multipliers)</t>
  </si>
  <si>
    <t xml:space="preserve">$/req</t>
  </si>
  <si>
    <t xml:space="preserve">Hiring plan (gated roles shift by the scenario hiring delay)</t>
  </si>
  <si>
    <t xml:space="preserve">Role</t>
  </si>
  <si>
    <t xml:space="preserve">Function</t>
  </si>
  <si>
    <t xml:space="preserve">FTE</t>
  </si>
  <si>
    <t xml:space="preserve">Start month</t>
  </si>
  <si>
    <t xml:space="preserve">Base salary</t>
  </si>
  <si>
    <t xml:space="preserve">Gated (1 = waits for evidence gate)</t>
  </si>
  <si>
    <t xml:space="preserve">P&amp;L placement</t>
  </si>
  <si>
    <t xml:space="preserve">Extra (1 = only in full-scope staffing)</t>
  </si>
  <si>
    <t xml:space="preserve">GA-1</t>
  </si>
  <si>
    <t xml:space="preserve">CEO / founder</t>
  </si>
  <si>
    <t xml:space="preserve">GA</t>
  </si>
  <si>
    <t xml:space="preserve">GA-2</t>
  </si>
  <si>
    <t xml:space="preserve">Fractional CFO / controller (0.4 FTE)</t>
  </si>
  <si>
    <t xml:space="preserve">GA-3</t>
  </si>
  <si>
    <t xml:space="preserve">Compliance and privacy manager</t>
  </si>
  <si>
    <t xml:space="preserve">GA-4</t>
  </si>
  <si>
    <t xml:space="preserve">Finance and RevOps manager</t>
  </si>
  <si>
    <t xml:space="preserve">GA-5</t>
  </si>
  <si>
    <t xml:space="preserve">Executive operations / people</t>
  </si>
  <si>
    <t xml:space="preserve">EN-1</t>
  </si>
  <si>
    <t xml:space="preserve">CTO / co-founder</t>
  </si>
  <si>
    <t xml:space="preserve">ENG</t>
  </si>
  <si>
    <t xml:space="preserve">Engineering</t>
  </si>
  <si>
    <t xml:space="preserve">EN-2</t>
  </si>
  <si>
    <t xml:space="preserve">Senior engineers (platform, web)</t>
  </si>
  <si>
    <t xml:space="preserve">EN-3</t>
  </si>
  <si>
    <t xml:space="preserve">Data / AI engineer</t>
  </si>
  <si>
    <t xml:space="preserve">EN-4</t>
  </si>
  <si>
    <t xml:space="preserve">Senior engineer</t>
  </si>
  <si>
    <t xml:space="preserve">EN-5</t>
  </si>
  <si>
    <t xml:space="preserve">Mobile engineer (iOS / Android, offline sync)</t>
  </si>
  <si>
    <t xml:space="preserve">EN-6</t>
  </si>
  <si>
    <t xml:space="preserve">EN-7</t>
  </si>
  <si>
    <t xml:space="preserve">SRE / DevOps</t>
  </si>
  <si>
    <t xml:space="preserve">EN-8</t>
  </si>
  <si>
    <t xml:space="preserve">QA / SDET</t>
  </si>
  <si>
    <t xml:space="preserve">EN-9</t>
  </si>
  <si>
    <t xml:space="preserve">PR-1</t>
  </si>
  <si>
    <t xml:space="preserve">Product designer</t>
  </si>
  <si>
    <t xml:space="preserve">PROD</t>
  </si>
  <si>
    <t xml:space="preserve">Product, design, accessibility</t>
  </si>
  <si>
    <t xml:space="preserve">PR-2</t>
  </si>
  <si>
    <t xml:space="preserve">Product manager</t>
  </si>
  <si>
    <t xml:space="preserve">PR-3</t>
  </si>
  <si>
    <t xml:space="preserve">Accessibility specialist</t>
  </si>
  <si>
    <t xml:space="preserve">SE-1</t>
  </si>
  <si>
    <t xml:space="preserve">Security engineer</t>
  </si>
  <si>
    <t xml:space="preserve">SEC</t>
  </si>
  <si>
    <t xml:space="preserve">Security</t>
  </si>
  <si>
    <t xml:space="preserve">SU-1</t>
  </si>
  <si>
    <t xml:space="preserve">Support specialist</t>
  </si>
  <si>
    <t xml:space="preserve">SUPPORT</t>
  </si>
  <si>
    <t xml:space="preserve">Support (COGS)</t>
  </si>
  <si>
    <t xml:space="preserve">SU-2</t>
  </si>
  <si>
    <t xml:space="preserve">Support lead</t>
  </si>
  <si>
    <t xml:space="preserve">SU-3</t>
  </si>
  <si>
    <t xml:space="preserve">SU-4</t>
  </si>
  <si>
    <t xml:space="preserve">IM-1</t>
  </si>
  <si>
    <t xml:space="preserve">Implementation engineer</t>
  </si>
  <si>
    <t xml:space="preserve">IMPL</t>
  </si>
  <si>
    <t xml:space="preserve">Implementation (COGS)</t>
  </si>
  <si>
    <t xml:space="preserve">IM-2</t>
  </si>
  <si>
    <t xml:space="preserve">IM-3</t>
  </si>
  <si>
    <t xml:space="preserve">IM-4</t>
  </si>
  <si>
    <t xml:space="preserve">IM-5</t>
  </si>
  <si>
    <t xml:space="preserve">IM-6</t>
  </si>
  <si>
    <t xml:space="preserve">IM-7</t>
  </si>
  <si>
    <t xml:space="preserve">IM-8</t>
  </si>
  <si>
    <t xml:space="preserve">CS-1</t>
  </si>
  <si>
    <t xml:space="preserve">Customer success manager</t>
  </si>
  <si>
    <t xml:space="preserve">CS</t>
  </si>
  <si>
    <t xml:space="preserve">Customer success (COGS)</t>
  </si>
  <si>
    <t xml:space="preserve">CS-2</t>
  </si>
  <si>
    <t xml:space="preserve">TS-1</t>
  </si>
  <si>
    <t xml:space="preserve">Trust and safety / marketplace moderation</t>
  </si>
  <si>
    <t xml:space="preserve">TS</t>
  </si>
  <si>
    <t xml:space="preserve">Trust &amp; safety (COGS)</t>
  </si>
  <si>
    <t xml:space="preserve">SA-1</t>
  </si>
  <si>
    <t xml:space="preserve">Account executive</t>
  </si>
  <si>
    <t xml:space="preserve">SALES</t>
  </si>
  <si>
    <t xml:space="preserve">Sales &amp; partnerships</t>
  </si>
  <si>
    <t xml:space="preserve">SA-2</t>
  </si>
  <si>
    <t xml:space="preserve">Sales engineer</t>
  </si>
  <si>
    <t xml:space="preserve">SA-3</t>
  </si>
  <si>
    <t xml:space="preserve">SA-4</t>
  </si>
  <si>
    <t xml:space="preserve">Partnerships / marketplace manager</t>
  </si>
  <si>
    <t xml:space="preserve">MK-1</t>
  </si>
  <si>
    <t xml:space="preserve">Growth and lifecycle marketing manager</t>
  </si>
  <si>
    <t xml:space="preserve">MKT</t>
  </si>
  <si>
    <t xml:space="preserve">MK-2</t>
  </si>
  <si>
    <t xml:space="preserve">Campus program coordinator</t>
  </si>
  <si>
    <t xml:space="preserve">MK-3</t>
  </si>
  <si>
    <t xml:space="preserve">Content and social</t>
  </si>
  <si>
    <t xml:space="preserve">X-01</t>
  </si>
  <si>
    <t xml:space="preserve">Senior platform / SRE engineer (CTO pack S1)</t>
  </si>
  <si>
    <t xml:space="preserve">X-02</t>
  </si>
  <si>
    <t xml:space="preserve">Sync and offline engineer</t>
  </si>
  <si>
    <t xml:space="preserve">X-03</t>
  </si>
  <si>
    <t xml:space="preserve">Integrations engineer (LTI / SIS / SCIM)</t>
  </si>
  <si>
    <t xml:space="preserve">X-04</t>
  </si>
  <si>
    <t xml:space="preserve">Integrations engineer</t>
  </si>
  <si>
    <t xml:space="preserve">X-05</t>
  </si>
  <si>
    <t xml:space="preserve">AI platform engineer</t>
  </si>
  <si>
    <t xml:space="preserve">X-06</t>
  </si>
  <si>
    <t xml:space="preserve">Mobile engineer</t>
  </si>
  <si>
    <t xml:space="preserve">X-07</t>
  </si>
  <si>
    <t xml:space="preserve">Accessibility engineer</t>
  </si>
  <si>
    <t xml:space="preserve">X-08</t>
  </si>
  <si>
    <t xml:space="preserve">Domain engineer: academic</t>
  </si>
  <si>
    <t xml:space="preserve">X-09</t>
  </si>
  <si>
    <t xml:space="preserve">X-10</t>
  </si>
  <si>
    <t xml:space="preserve">Data engineer</t>
  </si>
  <si>
    <t xml:space="preserve">X-11</t>
  </si>
  <si>
    <t xml:space="preserve">Domain engineer: finance and commerce</t>
  </si>
  <si>
    <t xml:space="preserve">X-12</t>
  </si>
  <si>
    <t xml:space="preserve">Engineering manager</t>
  </si>
  <si>
    <t xml:space="preserve">X-13</t>
  </si>
  <si>
    <t xml:space="preserve">Domain engineer: campus and community</t>
  </si>
  <si>
    <t xml:space="preserve">X-14</t>
  </si>
  <si>
    <t xml:space="preserve">X-15</t>
  </si>
  <si>
    <t xml:space="preserve">Domain engineer: career</t>
  </si>
  <si>
    <t xml:space="preserve">X-16</t>
  </si>
  <si>
    <t xml:space="preserve">X-17</t>
  </si>
  <si>
    <t xml:space="preserve">Domain engineer: learning</t>
  </si>
  <si>
    <t xml:space="preserve">X-18</t>
  </si>
  <si>
    <t xml:space="preserve">Staff / principal engineer</t>
  </si>
  <si>
    <t xml:space="preserve">X-19</t>
  </si>
  <si>
    <t xml:space="preserve">X-20</t>
  </si>
  <si>
    <t xml:space="preserve">X-21</t>
  </si>
  <si>
    <t xml:space="preserve">Domain engineer: family and guardian</t>
  </si>
  <si>
    <t xml:space="preserve">X-22</t>
  </si>
  <si>
    <t xml:space="preserve">Data / analytics engineer</t>
  </si>
  <si>
    <t xml:space="preserve">X-23</t>
  </si>
  <si>
    <t xml:space="preserve">X-24</t>
  </si>
  <si>
    <t xml:space="preserve">Domain engineer</t>
  </si>
  <si>
    <t xml:space="preserve">X-25</t>
  </si>
  <si>
    <t xml:space="preserve">X-26</t>
  </si>
  <si>
    <t xml:space="preserve">X-27</t>
  </si>
  <si>
    <t xml:space="preserve">X-28</t>
  </si>
  <si>
    <t xml:space="preserve">X-29</t>
  </si>
  <si>
    <t xml:space="preserve">X-30</t>
  </si>
  <si>
    <t xml:space="preserve">Pipeline schedules by month (month 1 = Jan 2027). Counts are expected values.</t>
  </si>
  <si>
    <t xml:space="preserve">Schedule</t>
  </si>
  <si>
    <t xml:space="preserve">Total</t>
  </si>
  <si>
    <t xml:space="preserve">pilot_D</t>
  </si>
  <si>
    <t xml:space="preserve">Paid pilot starts, Department (month 1 = gate_pilot)</t>
  </si>
  <si>
    <t xml:space="preserve">pilot_C</t>
  </si>
  <si>
    <t xml:space="preserve">Paid pilot starts, Campus (month 1 = gate_pilot)</t>
  </si>
  <si>
    <t xml:space="preserve">pilot_Y</t>
  </si>
  <si>
    <t xml:space="preserve">Paid pilot starts, System (month 1 = gate_ent)</t>
  </si>
  <si>
    <t xml:space="preserve">direct_D</t>
  </si>
  <si>
    <t xml:space="preserve">Direct annual starts, Department (month 1 = gate_direct)</t>
  </si>
  <si>
    <t xml:space="preserve">direct_C</t>
  </si>
  <si>
    <t xml:space="preserve">Direct annual starts, Campus (month 1 = gate_direct)</t>
  </si>
  <si>
    <t xml:space="preserve">direct_Y</t>
  </si>
  <si>
    <t xml:space="preserve">Direct annual starts, System (month 1 = gate_ent)</t>
  </si>
  <si>
    <t xml:space="preserve">dp_D</t>
  </si>
  <si>
    <t xml:space="preserve">Unpaid design-partner pilot starts, Department (absolute month)</t>
  </si>
  <si>
    <t xml:space="preserve">dp_C</t>
  </si>
  <si>
    <t xml:space="preserve">Unpaid design-partner pilot starts, Campus (absolute month)</t>
  </si>
  <si>
    <t xml:space="preserve">dp_Y</t>
  </si>
  <si>
    <t xml:space="preserve">Unpaid design-partner pilot starts, System (absolute month)</t>
  </si>
  <si>
    <t xml:space="preserve">career_adds</t>
  </si>
  <si>
    <t xml:space="preserve">Employer accounts added (absolute month)</t>
  </si>
  <si>
    <t xml:space="preserve">Scenario 1: Conservative</t>
  </si>
  <si>
    <t xml:space="preserve">All cells are formulas on Assumptions, Headcount, Schedules and the scenario parameters below.</t>
  </si>
  <si>
    <t xml:space="preserve">Scenario parameters (linked to Scenarios sheet)</t>
  </si>
  <si>
    <t xml:space="preserve">Year 1</t>
  </si>
  <si>
    <t xml:space="preserve">Year 2</t>
  </si>
  <si>
    <t xml:space="preserve">Year 3</t>
  </si>
  <si>
    <t xml:space="preserve">Calendar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</si>
  <si>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</si>
  <si>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</si>
  <si>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</si>
  <si>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</si>
  <si>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</si>
  <si>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Jun-27</t>
  </si>
  <si>
    <t xml:space="preserve">Jul-27</t>
  </si>
  <si>
    <t xml:space="preserve">Aug-27</t>
  </si>
  <si>
    <t xml:space="preserve">Sep-27</t>
  </si>
  <si>
    <t xml:space="preserve">Oct-27</t>
  </si>
  <si>
    <t xml:space="preserve">Nov-27</t>
  </si>
  <si>
    <t xml:space="preserve">Dec-27</t>
  </si>
  <si>
    <t xml:space="preserve">Jan-28</t>
  </si>
  <si>
    <t xml:space="preserve">Feb-28</t>
  </si>
  <si>
    <t xml:space="preserve">Mar-28</t>
  </si>
  <si>
    <t xml:space="preserve">Apr-28</t>
  </si>
  <si>
    <t xml:space="preserve">May-28</t>
  </si>
  <si>
    <t xml:space="preserve">Jun-28</t>
  </si>
  <si>
    <t xml:space="preserve">Jul-28</t>
  </si>
  <si>
    <t xml:space="preserve">Aug-28</t>
  </si>
  <si>
    <t xml:space="preserve">Sep-28</t>
  </si>
  <si>
    <t xml:space="preserve">Oct-28</t>
  </si>
  <si>
    <t xml:space="preserve">Nov-28</t>
  </si>
  <si>
    <t xml:space="preserve">Dec-28</t>
  </si>
  <si>
    <t xml:space="preserve">Jan-29</t>
  </si>
  <si>
    <t xml:space="preserve">Feb-29</t>
  </si>
  <si>
    <t xml:space="preserve">Mar-29</t>
  </si>
  <si>
    <t xml:space="preserve">Apr-29</t>
  </si>
  <si>
    <t xml:space="preserve">May-29</t>
  </si>
  <si>
    <t xml:space="preserve">Jun-29</t>
  </si>
  <si>
    <t xml:space="preserve">Jul-29</t>
  </si>
  <si>
    <t xml:space="preserve">Aug-29</t>
  </si>
  <si>
    <t xml:space="preserve">Sep-29</t>
  </si>
  <si>
    <t xml:space="preserve">Oct-29</t>
  </si>
  <si>
    <t xml:space="preserve">Nov-29</t>
  </si>
  <si>
    <t xml:space="preserve">Dec-29</t>
  </si>
  <si>
    <t xml:space="preserve">2027</t>
  </si>
  <si>
    <t xml:space="preserve">2028</t>
  </si>
  <si>
    <t xml:space="preserve">2029</t>
  </si>
  <si>
    <t xml:space="preserve">Year</t>
  </si>
  <si>
    <t xml:space="preserve">Month of year</t>
  </si>
  <si>
    <t xml:space="preserve">Student subscription: funnel and subscribers</t>
  </si>
  <si>
    <t xml:space="preserve">Organic signup trend (pre-seasonality)</t>
  </si>
  <si>
    <t xml:space="preserve">Organic + campus-led free signups</t>
  </si>
  <si>
    <t xml:space="preserve">Paid-acquisition free signups</t>
  </si>
  <si>
    <t xml:space="preserve">New monthly-active free users</t>
  </si>
  <si>
    <t xml:space="preserve">New paying subscribers (conversions)</t>
  </si>
  <si>
    <t xml:space="preserve">Active free users (end of month)</t>
  </si>
  <si>
    <t xml:space="preserve">Incident: extra monthly paid churn</t>
  </si>
  <si>
    <t xml:space="preserve">Effective monthly plan churn</t>
  </si>
  <si>
    <t xml:space="preserve">New monthly-plan subscribers</t>
  </si>
  <si>
    <t xml:space="preserve">New annual-plan subscribers</t>
  </si>
  <si>
    <t xml:space="preserve">Monthly-plan subscribers (end)</t>
  </si>
  <si>
    <t xml:space="preserve">Effective annual renewal rate</t>
  </si>
  <si>
    <t xml:space="preserve">Annual renewals this month</t>
  </si>
  <si>
    <t xml:space="preserve">Annual plan starts (new + renewals)</t>
  </si>
  <si>
    <t xml:space="preserve">Annual-plan subscribers (end)</t>
  </si>
  <si>
    <t xml:space="preserve">Paying subscribers (end)</t>
  </si>
  <si>
    <t xml:space="preserve">Subscribers lost (churn + non-renewal)</t>
  </si>
  <si>
    <t xml:space="preserve">Student billings (net of refunds)</t>
  </si>
  <si>
    <t xml:space="preserve">Student subscription revenue</t>
  </si>
  <si>
    <t xml:space="preserve">Institutional platform: pilots, contracts, logos</t>
  </si>
  <si>
    <t xml:space="preserve">Incident: multiplier on new starts</t>
  </si>
  <si>
    <t xml:space="preserve">Effective gross logo renewal rate</t>
  </si>
  <si>
    <t xml:space="preserve">Paid pilot starts, Department</t>
  </si>
  <si>
    <t xml:space="preserve">accts</t>
  </si>
  <si>
    <t xml:space="preserve">Unpaid design-partner pilot starts, Department</t>
  </si>
  <si>
    <t xml:space="preserve">All pilot starts, Department</t>
  </si>
  <si>
    <t xml:space="preserve">Direct annual starts, Department</t>
  </si>
  <si>
    <t xml:space="preserve">New billable institutions (paid pilot or direct), Department</t>
  </si>
  <si>
    <t xml:space="preserve">Pilots running (paid + unpaid), Department</t>
  </si>
  <si>
    <t xml:space="preserve">Paid pilots running, Department</t>
  </si>
  <si>
    <t xml:space="preserve">Paid pilots converting to annual, Department</t>
  </si>
  <si>
    <t xml:space="preserve">Design partners converting to annual, Department</t>
  </si>
  <si>
    <t xml:space="preserve">New annual contracts, Department</t>
  </si>
  <si>
    <t xml:space="preserve">Annual contract starts (new + renewals), Department</t>
  </si>
  <si>
    <t xml:space="preserve">Annual logos active, Department</t>
  </si>
  <si>
    <t xml:space="preserve">Net ACV per new contract, Department</t>
  </si>
  <si>
    <t xml:space="preserve">Contract value started or renewed, Department</t>
  </si>
  <si>
    <t xml:space="preserve">Pilot credit given at conversion, Department</t>
  </si>
  <si>
    <t xml:space="preserve">Platform subscription revenue, Department</t>
  </si>
  <si>
    <t xml:space="preserve">Platform billings, Department</t>
  </si>
  <si>
    <t xml:space="preserve">Pilot software revenue, Department</t>
  </si>
  <si>
    <t xml:space="preserve">Pilot billings, Department</t>
  </si>
  <si>
    <t xml:space="preserve">Services fee per new billable institution, Department</t>
  </si>
  <si>
    <t xml:space="preserve">Implementation services revenue, Department</t>
  </si>
  <si>
    <t xml:space="preserve">Implementation billings, Department</t>
  </si>
  <si>
    <t xml:space="preserve">Implementation hours demanded, Department</t>
  </si>
  <si>
    <t xml:space="preserve">Paid pilot starts, Campus</t>
  </si>
  <si>
    <t xml:space="preserve">Unpaid design-partner pilot starts, Campus</t>
  </si>
  <si>
    <t xml:space="preserve">All pilot starts, Campus</t>
  </si>
  <si>
    <t xml:space="preserve">Direct annual starts, Campus</t>
  </si>
  <si>
    <t xml:space="preserve">New billable institutions (paid pilot or direct), Campus</t>
  </si>
  <si>
    <t xml:space="preserve">Pilots running (paid + unpaid), Campus</t>
  </si>
  <si>
    <t xml:space="preserve">Paid pilots running, Campus</t>
  </si>
  <si>
    <t xml:space="preserve">Paid pilots converting to annual, Campus</t>
  </si>
  <si>
    <t xml:space="preserve">Design partners converting to annual, Campus</t>
  </si>
  <si>
    <t xml:space="preserve">New annual contracts, Campus</t>
  </si>
  <si>
    <t xml:space="preserve">Annual contract starts (new + renewals), Campus</t>
  </si>
  <si>
    <t xml:space="preserve">Annual logos active, Campus</t>
  </si>
  <si>
    <t xml:space="preserve">Net ACV per new contract, Campus</t>
  </si>
  <si>
    <t xml:space="preserve">Contract value started or renewed, Campus</t>
  </si>
  <si>
    <t xml:space="preserve">Pilot credit given at conversion, Campus</t>
  </si>
  <si>
    <t xml:space="preserve">Platform subscription revenue, Campus</t>
  </si>
  <si>
    <t xml:space="preserve">Platform billings, Campus</t>
  </si>
  <si>
    <t xml:space="preserve">Pilot software revenue, Campus</t>
  </si>
  <si>
    <t xml:space="preserve">Pilot billings, Campus</t>
  </si>
  <si>
    <t xml:space="preserve">Services fee per new billable institution, Campus</t>
  </si>
  <si>
    <t xml:space="preserve">Implementation services revenue, Campus</t>
  </si>
  <si>
    <t xml:space="preserve">Implementation billings, Campus</t>
  </si>
  <si>
    <t xml:space="preserve">Implementation hours demanded, Campus</t>
  </si>
  <si>
    <t xml:space="preserve">Paid pilot starts, System</t>
  </si>
  <si>
    <t xml:space="preserve">Unpaid design-partner pilot starts, System</t>
  </si>
  <si>
    <t xml:space="preserve">All pilot starts, System</t>
  </si>
  <si>
    <t xml:space="preserve">Direct annual starts, System</t>
  </si>
  <si>
    <t xml:space="preserve">New billable institutions (paid pilot or direct), System</t>
  </si>
  <si>
    <t xml:space="preserve">Pilots running (paid + unpaid), System</t>
  </si>
  <si>
    <t xml:space="preserve">Paid pilots running, System</t>
  </si>
  <si>
    <t xml:space="preserve">Paid pilots converting to annual, System</t>
  </si>
  <si>
    <t xml:space="preserve">Design partners converting to annual, System</t>
  </si>
  <si>
    <t xml:space="preserve">New annual contracts, System</t>
  </si>
  <si>
    <t xml:space="preserve">Annual contract starts (new + renewals), System</t>
  </si>
  <si>
    <t xml:space="preserve">Annual logos active, System</t>
  </si>
  <si>
    <t xml:space="preserve">Net ACV per new contract, System</t>
  </si>
  <si>
    <t xml:space="preserve">Contract value started or renewed, System</t>
  </si>
  <si>
    <t xml:space="preserve">Pilot credit given at conversion, System</t>
  </si>
  <si>
    <t xml:space="preserve">Platform subscription revenue, System</t>
  </si>
  <si>
    <t xml:space="preserve">Platform billings, System</t>
  </si>
  <si>
    <t xml:space="preserve">Pilot software revenue, System</t>
  </si>
  <si>
    <t xml:space="preserve">Pilot billings, System</t>
  </si>
  <si>
    <t xml:space="preserve">Services fee per new billable institution, System</t>
  </si>
  <si>
    <t xml:space="preserve">Implementation services revenue, System</t>
  </si>
  <si>
    <t xml:space="preserve">Implementation billings, System</t>
  </si>
  <si>
    <t xml:space="preserve">Implementation hours demanded, System</t>
  </si>
  <si>
    <t xml:space="preserve">Institutional totals</t>
  </si>
  <si>
    <t xml:space="preserve">All pilot starts</t>
  </si>
  <si>
    <t xml:space="preserve">Paid pilot starts</t>
  </si>
  <si>
    <t xml:space="preserve">Unpaid design-partner pilot starts</t>
  </si>
  <si>
    <t xml:space="preserve">Direct annual starts</t>
  </si>
  <si>
    <t xml:space="preserve">New billable institutions (paid pilot or direct)</t>
  </si>
  <si>
    <t xml:space="preserve">New annual contracts</t>
  </si>
  <si>
    <t xml:space="preserve">Annual logos active</t>
  </si>
  <si>
    <t xml:space="preserve">Pilots running (paid + unpaid)</t>
  </si>
  <si>
    <t xml:space="preserve">Platform subscription revenue before incident credits</t>
  </si>
  <si>
    <t xml:space="preserve">Incident service credits (contra-revenue, cash refund)</t>
  </si>
  <si>
    <t xml:space="preserve">Institution-sponsored active students</t>
  </si>
  <si>
    <t xml:space="preserve">Platform subscription revenue</t>
  </si>
  <si>
    <t xml:space="preserve">Platform billings</t>
  </si>
  <si>
    <t xml:space="preserve">Pilot software revenue</t>
  </si>
  <si>
    <t xml:space="preserve">Pilot billings</t>
  </si>
  <si>
    <t xml:space="preserve">Implementation services revenue</t>
  </si>
  <si>
    <t xml:space="preserve">Implementation billings</t>
  </si>
  <si>
    <t xml:space="preserve">Implementation hours demanded</t>
  </si>
  <si>
    <t xml:space="preserve">New-logo bookings (pilot + services + first-year ACV)</t>
  </si>
  <si>
    <t xml:space="preserve">Add-on streams: AI capacity, alumni, career, marketplace</t>
  </si>
  <si>
    <t xml:space="preserve">AI capacity add-on revenue</t>
  </si>
  <si>
    <t xml:space="preserve">Alumni module revenue</t>
  </si>
  <si>
    <t xml:space="preserve">Employer accounts added</t>
  </si>
  <si>
    <t xml:space="preserve">Employer accounts (end)</t>
  </si>
  <si>
    <t xml:space="preserve">Career / employer revenue</t>
  </si>
  <si>
    <t xml:space="preserve">Marketplace providers (end)</t>
  </si>
  <si>
    <t xml:space="preserve">Marketplace orders</t>
  </si>
  <si>
    <t xml:space="preserve">Marketplace GMV</t>
  </si>
  <si>
    <t xml:space="preserve">Marketplace revenue (take rate, net presentation, PRO)</t>
  </si>
  <si>
    <t xml:space="preserve">Revenue, billings, cash collections</t>
  </si>
  <si>
    <t xml:space="preserve">Recurring revenue (subscriptions + add-ons)</t>
  </si>
  <si>
    <t xml:space="preserve">ARR (recurring revenue x 12)</t>
  </si>
  <si>
    <t xml:space="preserve">ARR, institutional (platform + add-ons)</t>
  </si>
  <si>
    <t xml:space="preserve">ARR, student subscriptions</t>
  </si>
  <si>
    <t xml:space="preserve">TOTAL BILLINGS</t>
  </si>
  <si>
    <t xml:space="preserve">Billings on invoice terms (pilot, platform, services)</t>
  </si>
  <si>
    <t xml:space="preserve">Deferred revenue balance (billed, not yet recognized)</t>
  </si>
  <si>
    <t xml:space="preserve">Receivables, net of reserve (collection lag fixed at 2 months)</t>
  </si>
  <si>
    <t xml:space="preserve">Monthly-active users, all classes</t>
  </si>
  <si>
    <t xml:space="preserve">Database, compute, functions</t>
  </si>
  <si>
    <t xml:space="preserve">Storage incl. backups and DR copy</t>
  </si>
  <si>
    <t xml:space="preserve">Bandwidth / egress</t>
  </si>
  <si>
    <t xml:space="preserve">Search and vector index</t>
  </si>
  <si>
    <t xml:space="preserve">Notifications (email, push, SMS)</t>
  </si>
  <si>
    <t xml:space="preserve">Fixed platform infrastructure</t>
  </si>
  <si>
    <t xml:space="preserve">AI inference (variable)</t>
  </si>
  <si>
    <t xml:space="preserve">AI evaluation, red-team and monitoring runs (fixed)</t>
  </si>
  <si>
    <t xml:space="preserve">AI inference + evaluation runs</t>
  </si>
  <si>
    <t xml:space="preserve">Integrations: connectors and SSO/SCIM</t>
  </si>
  <si>
    <t xml:space="preserve">Support tickets</t>
  </si>
  <si>
    <t xml:space="preserve">Support: outsourced overflow</t>
  </si>
  <si>
    <t xml:space="preserve">Payroll: support</t>
  </si>
  <si>
    <t xml:space="preserve">Payroll: implementation</t>
  </si>
  <si>
    <t xml:space="preserve">Payroll: customer success</t>
  </si>
  <si>
    <t xml:space="preserve">Payroll: trust and safety</t>
  </si>
  <si>
    <t xml:space="preserve">Payment processing + app-store fees (student)</t>
  </si>
  <si>
    <t xml:space="preserve">Marketplace payments, disputes, moderation</t>
  </si>
  <si>
    <t xml:space="preserve">Variable pool (per-user infrastructure, AI inference, support overflow)</t>
  </si>
  <si>
    <t xml:space="preserve">Consumer share of active users</t>
  </si>
  <si>
    <t xml:space="preserve">COGS (variable): student subscriptions</t>
  </si>
  <si>
    <t xml:space="preserve">COGS: institutional platform (variable cost, integrations, customer success)</t>
  </si>
  <si>
    <t xml:space="preserve">COGS (fixed, unallocated): platform infrastructure, AI evaluation, support team</t>
  </si>
  <si>
    <t xml:space="preserve">COGS: implementation team</t>
  </si>
  <si>
    <t xml:space="preserve">COGS: marketplace</t>
  </si>
  <si>
    <t xml:space="preserve">TOTAL COST OF REVENUE</t>
  </si>
  <si>
    <t xml:space="preserve">Check: direct sum of cost-of-revenue lines minus total (must be 0)</t>
  </si>
  <si>
    <t xml:space="preserve">Variable cost of serving free users</t>
  </si>
  <si>
    <t xml:space="preserve">Variable cost of serving paying subscribers (incl. payment fees)</t>
  </si>
  <si>
    <t xml:space="preserve">Subscribers at start of month</t>
  </si>
  <si>
    <t xml:space="preserve">Payroll: Engineering</t>
  </si>
  <si>
    <t xml:space="preserve">Payroll: Product, design, accessibility</t>
  </si>
  <si>
    <t xml:space="preserve">Payroll: Security</t>
  </si>
  <si>
    <t xml:space="preserve">Payroll: Sales &amp; partnerships</t>
  </si>
  <si>
    <t xml:space="preserve">Payroll: Marketing</t>
  </si>
  <si>
    <t xml:space="preserve">Payroll: G&amp;A</t>
  </si>
  <si>
    <t xml:space="preserve">Headcount, FTE (end)</t>
  </si>
  <si>
    <t xml:space="preserve">Implementation FTE</t>
  </si>
  <si>
    <t xml:space="preserve">Hires starting this month (from month 2)</t>
  </si>
  <si>
    <t xml:space="preserve">Security, privacy, accessibility programs</t>
  </si>
  <si>
    <t xml:space="preserve">Accounting, audit, finance systems</t>
  </si>
  <si>
    <t xml:space="preserve">Sales commissions</t>
  </si>
  <si>
    <t xml:space="preserve">Sales tools, events, travel, RFP support</t>
  </si>
  <si>
    <t xml:space="preserve">Paid student acquisition</t>
  </si>
  <si>
    <t xml:space="preserve">Brand, ambassadors, PR, user research</t>
  </si>
  <si>
    <t xml:space="preserve">Software, workspace, training (per FTE)</t>
  </si>
  <si>
    <t xml:space="preserve">Recruiting and equipment for new hires</t>
  </si>
  <si>
    <t xml:space="preserve">Contingency</t>
  </si>
  <si>
    <t xml:space="preserve">Bad debt expense</t>
  </si>
  <si>
    <t xml:space="preserve">Incident response (one-time)</t>
  </si>
  <si>
    <t xml:space="preserve">G&amp;A (leadership, finance, people, tools, bad debt, contingency)</t>
  </si>
  <si>
    <t xml:space="preserve">Profit, cash and runway</t>
  </si>
  <si>
    <t xml:space="preserve">Contribution (gross profit less paid acquisition and commissions)</t>
  </si>
  <si>
    <t xml:space="preserve">Operating result (EBITDA; no D&amp;A or tax modeled)</t>
  </si>
  <si>
    <t xml:space="preserve">Cash balance (illustrative opening capital + cumulative flow)</t>
  </si>
  <si>
    <t xml:space="preserve">Cash balance below zero (1 = yes)</t>
  </si>
  <si>
    <t xml:space="preserve">flag</t>
  </si>
  <si>
    <t xml:space="preserve">Implementation standard cost (hours x loaded rate)</t>
  </si>
  <si>
    <t xml:space="preserve">Implementation capacity (billable hours)</t>
  </si>
  <si>
    <t xml:space="preserve">Annual KPIs (Year 1 to Year 3 in the three right-hand columns)</t>
  </si>
  <si>
    <t xml:space="preserve">Scenario 2: Base</t>
  </si>
  <si>
    <t xml:space="preserve">Scenario 3: Aggressive</t>
  </si>
  <si>
    <t xml:space="preserve">Scenario 4: Enterprise-delayed</t>
  </si>
  <si>
    <t xml:space="preserve">Scenario 5: High AI cost</t>
  </si>
  <si>
    <t xml:space="preserve">Scenario 6: Incident (SEV-0, month 14)</t>
  </si>
  <si>
    <t xml:space="preserve">Scenario 7: Enterprise-delayed, gated hiring (mitigation)</t>
  </si>
  <si>
    <t xml:space="preserve">Scenario 8: Full-scope staffing (CTO pack S1-S4), Base revenue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</si>
</sst>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-"/>
    <numFmt numFmtId="166" formatCode="0.0%;\(0.0%\);\-"/>
    <numFmt numFmtId="167" formatCode="#,##0.0;\(#,##0.0\);\-"/>
    <numFmt numFmtId="168" formatCode="#,##0.00;\(#,##0.00\);\-"/>
    <numFmt numFmtId="169" formatCode="#,##0"/>
    <numFmt numFmtId="170" formatCode="0.0%"/>
    <numFmt numFmtId="171" formatCode="#,##0.00"/>
    <numFmt numFmtId="172" formatCode="#,##0.000"/>
    <numFmt numFmtId="173" formatCode="#,##0.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A5F"/>
      <name val="Cambria"/>
      <family val="0"/>
      <charset val="1"/>
    </font>
    <font>
      <b val="true"/>
      <sz val="11"/>
      <color rgb="FF1F3A5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4"/>
      <color rgb="FF1F3A5F"/>
      <name val="Cambria"/>
      <family val="0"/>
      <charset val="1"/>
    </font>
    <font>
      <b val="true"/>
      <sz val="13"/>
      <color rgb="FF0000FF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11"/>
      <color rgb="FF667085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FF"/>
      <name val="Cambria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9E5"/>
        <bgColor rgb="FFFFFFFF"/>
      </patternFill>
    </fill>
    <fill>
      <patternFill patternType="solid">
        <fgColor rgb="FF1F3A5F"/>
        <bgColor rgb="FF333333"/>
      </patternFill>
    </fill>
    <fill>
      <patternFill patternType="solid">
        <fgColor rgb="FFFFF2CC"/>
        <bgColor rgb="FFFFF9E5"/>
      </patternFill>
    </fill>
    <fill>
      <patternFill patternType="solid">
        <fgColor rgb="FFEAF1FB"/>
        <bgColor rgb="FFFFF9E5"/>
      </patternFill>
    </fill>
    <fill>
      <patternFill patternType="solid">
        <fgColor rgb="FFCFE2F3"/>
        <bgColor rgb="FFE4DFEC"/>
      </patternFill>
    </fill>
    <fill>
      <patternFill patternType="solid">
        <fgColor rgb="FFD9EAD3"/>
        <bgColor rgb="FFD9D9D9"/>
      </patternFill>
    </fill>
    <fill>
      <patternFill patternType="solid">
        <fgColor rgb="FFF4CCCC"/>
        <bgColor rgb="FFD9D9D9"/>
      </patternFill>
    </fill>
    <fill>
      <patternFill patternType="solid">
        <fgColor rgb="FFFCE5CD"/>
        <bgColor rgb="FFFFF2CC"/>
      </patternFill>
    </fill>
    <fill>
      <patternFill patternType="solid">
        <fgColor rgb="FFE4DFEC"/>
        <bgColor rgb="FFD9D9D9"/>
      </patternFill>
    </fill>
    <fill>
      <patternFill patternType="solid">
        <fgColor rgb="FFD9D9D9"/>
        <bgColor rgb="FFE4DF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9E5"/>
      <rgbColor rgb="FFEAF1FB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FEC"/>
      <rgbColor rgb="FFD9EAD3"/>
      <rgbColor rgb="FFFFF2CC"/>
      <rgbColor rgb="FF99CCFF"/>
      <rgbColor rgb="FFFCE5CD"/>
      <rgbColor rgb="FFCC99FF"/>
      <rgbColor rgb="FFF4CCCC"/>
      <rgbColor rgb="FF4A7EBB"/>
      <rgbColor rgb="FF33CCCC"/>
      <rgbColor rgb="FF99CC00"/>
      <rgbColor rgb="FFFFCC00"/>
      <rgbColor rgb="FFFF9900"/>
      <rgbColor rgb="FFFF6600"/>
      <rgbColor rgb="FF66708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ARR (selected scenario)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Dashboard!A93</c:f>
              <c:strCache>
                <c:ptCount val="1"/>
                <c:pt idx="0">
                  <c:v>ARR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Dashboard!$B$92:$AK$92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Dashboard!$B$93:$AK$93</c:f>
              <c:numCache>
                <c:formatCode>#,##0;\(#,##0\);\-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15840</c:v>
                </c:pt>
                <c:pt idx="12">
                  <c:v>16151.5761222341</c:v>
                </c:pt>
                <c:pt idx="13">
                  <c:v>16836.886822386</c:v>
                </c:pt>
                <c:pt idx="14">
                  <c:v>62678.373122551</c:v>
                </c:pt>
                <c:pt idx="15">
                  <c:v>63828.8052262519</c:v>
                </c:pt>
                <c:pt idx="16">
                  <c:v>65117.3960437029</c:v>
                </c:pt>
                <c:pt idx="17">
                  <c:v>66470.1501284794</c:v>
                </c:pt>
                <c:pt idx="18">
                  <c:v>67849.7732678161</c:v>
                </c:pt>
                <c:pt idx="19">
                  <c:v>85725.5938498793</c:v>
                </c:pt>
                <c:pt idx="20">
                  <c:v>87558.75206357</c:v>
                </c:pt>
                <c:pt idx="21">
                  <c:v>89785.0474258275</c:v>
                </c:pt>
                <c:pt idx="22">
                  <c:v>161717.144218873</c:v>
                </c:pt>
                <c:pt idx="23">
                  <c:v>163394.40054726</c:v>
                </c:pt>
                <c:pt idx="24">
                  <c:v>177655.428790061</c:v>
                </c:pt>
                <c:pt idx="25">
                  <c:v>354127.542255186</c:v>
                </c:pt>
                <c:pt idx="26">
                  <c:v>366259.594903373</c:v>
                </c:pt>
                <c:pt idx="27">
                  <c:v>380126.33932058</c:v>
                </c:pt>
                <c:pt idx="28">
                  <c:v>584786.934186259</c:v>
                </c:pt>
                <c:pt idx="29">
                  <c:v>605052.020772747</c:v>
                </c:pt>
                <c:pt idx="30">
                  <c:v>629988.879422103</c:v>
                </c:pt>
                <c:pt idx="31">
                  <c:v>861933.108497633</c:v>
                </c:pt>
                <c:pt idx="32">
                  <c:v>886280.672971703</c:v>
                </c:pt>
                <c:pt idx="33">
                  <c:v>910571.381695137</c:v>
                </c:pt>
                <c:pt idx="34">
                  <c:v>1289568.33484474</c:v>
                </c:pt>
                <c:pt idx="35">
                  <c:v>1527680.38281984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625542"/>
        <c:axId val="7526303"/>
      </c:lineChart>
      <c:catAx>
        <c:axId val="636255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26303"/>
        <c:crosses val="autoZero"/>
        <c:auto val="1"/>
        <c:lblAlgn val="ctr"/>
        <c:lblOffset val="100"/>
        <c:noMultiLvlLbl val="0"/>
      </c:catAx>
      <c:valAx>
        <c:axId val="75263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6255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operating cash flow (selected scenario)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Dashboard!A96</c:f>
              <c:strCache>
                <c:ptCount val="1"/>
                <c:pt idx="0">
                  <c:v>Cumulative operating cash flow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Dashboard!$B$92:$AK$92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Dashboard!$B$96:$AK$96</c:f>
              <c:numCache>
                <c:formatCode>#,##0;\(#,##0\);\-</c:formatCode>
                <c:ptCount val="36"/>
                <c:pt idx="0">
                  <c:v>-104365.441631733</c:v>
                </c:pt>
                <c:pt idx="1">
                  <c:v>-208783.021249147</c:v>
                </c:pt>
                <c:pt idx="2">
                  <c:v>-339105.159975809</c:v>
                </c:pt>
                <c:pt idx="3">
                  <c:v>-484540.961269915</c:v>
                </c:pt>
                <c:pt idx="4">
                  <c:v>-670324.842809702</c:v>
                </c:pt>
                <c:pt idx="5">
                  <c:v>-883743.776184904</c:v>
                </c:pt>
                <c:pt idx="6">
                  <c:v>-1101488.27291528</c:v>
                </c:pt>
                <c:pt idx="7">
                  <c:v>-1308221.28350688</c:v>
                </c:pt>
                <c:pt idx="8">
                  <c:v>-1586765.51220181</c:v>
                </c:pt>
                <c:pt idx="9">
                  <c:v>-1854294.182381</c:v>
                </c:pt>
                <c:pt idx="10">
                  <c:v>-2156299.62087962</c:v>
                </c:pt>
                <c:pt idx="11">
                  <c:v>-2455738.97477917</c:v>
                </c:pt>
                <c:pt idx="12">
                  <c:v>-2835486.2900357</c:v>
                </c:pt>
                <c:pt idx="13">
                  <c:v>-3200268.87061355</c:v>
                </c:pt>
                <c:pt idx="14">
                  <c:v>-3586083.40392513</c:v>
                </c:pt>
                <c:pt idx="15">
                  <c:v>-3991249.4021214</c:v>
                </c:pt>
                <c:pt idx="16">
                  <c:v>-4341976.99022504</c:v>
                </c:pt>
                <c:pt idx="17">
                  <c:v>-4670397.88854143</c:v>
                </c:pt>
                <c:pt idx="18">
                  <c:v>-5123470.75034373</c:v>
                </c:pt>
                <c:pt idx="19">
                  <c:v>-5597998.87521576</c:v>
                </c:pt>
                <c:pt idx="20">
                  <c:v>-5901810.77437845</c:v>
                </c:pt>
                <c:pt idx="21">
                  <c:v>-6403226.62734914</c:v>
                </c:pt>
                <c:pt idx="22">
                  <c:v>-6886403.97845931</c:v>
                </c:pt>
                <c:pt idx="23">
                  <c:v>-7236028.24594439</c:v>
                </c:pt>
                <c:pt idx="24">
                  <c:v>-7723091.00819797</c:v>
                </c:pt>
                <c:pt idx="25">
                  <c:v>-8317845.01111026</c:v>
                </c:pt>
                <c:pt idx="26">
                  <c:v>-8701027.58523616</c:v>
                </c:pt>
                <c:pt idx="27">
                  <c:v>-9124225.04265147</c:v>
                </c:pt>
                <c:pt idx="28">
                  <c:v>-9695161.22670145</c:v>
                </c:pt>
                <c:pt idx="29">
                  <c:v>-10064837.9919966</c:v>
                </c:pt>
                <c:pt idx="30">
                  <c:v>-10450442.794569</c:v>
                </c:pt>
                <c:pt idx="31">
                  <c:v>-10941746.4223088</c:v>
                </c:pt>
                <c:pt idx="32">
                  <c:v>-11319638.1581111</c:v>
                </c:pt>
                <c:pt idx="33">
                  <c:v>-11687181.7640332</c:v>
                </c:pt>
                <c:pt idx="34">
                  <c:v>-12354863.4328735</c:v>
                </c:pt>
                <c:pt idx="35">
                  <c:v>-12727188.0348273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7067074"/>
        <c:axId val="45872618"/>
      </c:lineChart>
      <c:catAx>
        <c:axId val="870670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872618"/>
        <c:crosses val="autoZero"/>
        <c:auto val="1"/>
        <c:lblAlgn val="ctr"/>
        <c:lblOffset val="100"/>
        <c:noMultiLvlLbl val="0"/>
      </c:catAx>
      <c:valAx>
        <c:axId val="458726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0670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146160</xdr:rowOff>
    </xdr:from>
    <xdr:to>
      <xdr:col>14</xdr:col>
      <xdr:colOff>370080</xdr:colOff>
      <xdr:row>20</xdr:row>
      <xdr:rowOff>157680</xdr:rowOff>
    </xdr:to>
    <xdr:graphicFrame>
      <xdr:nvGraphicFramePr>
        <xdr:cNvPr id="0" name="Chart 1"/>
        <xdr:cNvGraphicFramePr/>
      </xdr:nvGraphicFramePr>
      <xdr:xfrm>
        <a:off x="12849120" y="95256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23</xdr:row>
      <xdr:rowOff>146160</xdr:rowOff>
    </xdr:from>
    <xdr:to>
      <xdr:col>14</xdr:col>
      <xdr:colOff>370080</xdr:colOff>
      <xdr:row>39</xdr:row>
      <xdr:rowOff>157680</xdr:rowOff>
    </xdr:to>
    <xdr:graphicFrame>
      <xdr:nvGraphicFramePr>
        <xdr:cNvPr id="1" name="Chart 2"/>
        <xdr:cNvGraphicFramePr/>
      </xdr:nvGraphicFramePr>
      <xdr:xfrm>
        <a:off x="12849120" y="457200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0"/>
  </cols>
  <sheetData>
    <row r="1" customFormat="false" ht="16.4" hidden="false" customHeight="false" outlineLevel="0" collapsed="false">
      <c r="A1" s="1" t="s">
        <v>0</v>
      </c>
    </row>
    <row r="2" customFormat="false" ht="28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2" t="s">
        <v>2</v>
      </c>
    </row>
    <row r="5" customFormat="false" ht="41.75" hidden="false" customHeight="false" outlineLevel="0" collapsed="false">
      <c r="A5" s="3" t="s">
        <v>3</v>
      </c>
    </row>
    <row r="6" customFormat="false" ht="28.3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2" t="s">
        <v>8</v>
      </c>
    </row>
    <row r="12" customFormat="false" ht="28.35" hidden="false" customHeight="false" outlineLevel="0" collapsed="false">
      <c r="A12" s="3" t="s">
        <v>9</v>
      </c>
    </row>
    <row r="13" customFormat="false" ht="28.3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/>
    </row>
    <row r="16" customFormat="false" ht="28.35" hidden="false" customHeight="false" outlineLevel="0" collapsed="false">
      <c r="A16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8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4" t="s">
        <v>13</v>
      </c>
    </row>
    <row r="3" customFormat="false" ht="16.15" hidden="false" customHeight="false" outlineLevel="0" collapsed="false">
      <c r="A3" s="0" t="s">
        <v>14</v>
      </c>
      <c r="B3" s="5" t="n">
        <v>2</v>
      </c>
      <c r="C3" s="6" t="str">
        <f aca="false">INDEX(Scenarios!$C$3:$J$3,B3)</f>
        <v>Base</v>
      </c>
    </row>
    <row r="4" customFormat="false" ht="15" hidden="false" customHeight="false" outlineLevel="0" collapsed="false">
      <c r="A4" s="7" t="s">
        <v>15</v>
      </c>
    </row>
    <row r="6" customFormat="false" ht="15" hidden="false" customHeight="false" outlineLevel="0" collapsed="false">
      <c r="A6" s="8" t="s">
        <v>16</v>
      </c>
      <c r="B6" s="8" t="s">
        <v>17</v>
      </c>
      <c r="C6" s="8" t="s">
        <v>18</v>
      </c>
      <c r="D6" s="8" t="s">
        <v>19</v>
      </c>
    </row>
    <row r="7" customFormat="false" ht="15" hidden="false" customHeight="false" outlineLevel="0" collapsed="false">
      <c r="A7" s="0" t="s">
        <v>20</v>
      </c>
      <c r="B7" s="9" t="n">
        <f aca="false">CHOOSE($B$3,Cons!AN42,Base!AN42,Aggr!AN42,EntDelay!AN42,HiAI!AN42,Incident!AN42,EntGated!AN42,FullScope!AN42)</f>
        <v>0</v>
      </c>
      <c r="C7" s="9" t="n">
        <f aca="false">CHOOSE($B$3,Cons!AO42,Base!AO42,Aggr!AO42,EntDelay!AO42,HiAI!AO42,Incident!AO42,EntGated!AO42,FullScope!AO42)</f>
        <v>7305.29823656931</v>
      </c>
      <c r="D7" s="9" t="n">
        <f aca="false">CHOOSE($B$3,Cons!AP42,Base!AP42,Aggr!AP42,EntDelay!AP42,HiAI!AP42,Incident!AP42,EntGated!AP42,FullScope!AP42)</f>
        <v>33510.9390928872</v>
      </c>
    </row>
    <row r="8" customFormat="false" ht="15" hidden="false" customHeight="false" outlineLevel="0" collapsed="false">
      <c r="A8" s="0" t="s">
        <v>21</v>
      </c>
      <c r="B8" s="9" t="n">
        <f aca="false">CHOOSE($B$3,Cons!AN129,Base!AN129,Aggr!AN129,EntDelay!AN129,HiAI!AN129,Incident!AN129,EntGated!AN129,FullScope!AN129)</f>
        <v>0</v>
      </c>
      <c r="C8" s="9" t="n">
        <f aca="false">CHOOSE($B$3,Cons!AO129,Base!AO129,Aggr!AO129,EntDelay!AO129,HiAI!AO129,Incident!AO129,EntGated!AO129,FullScope!AO129)</f>
        <v>150000</v>
      </c>
      <c r="D8" s="9" t="n">
        <f aca="false">CHOOSE($B$3,Cons!AP129,Base!AP129,Aggr!AP129,EntDelay!AP129,HiAI!AP129,Incident!AP129,EntGated!AP129,FullScope!AP129)</f>
        <v>445000</v>
      </c>
    </row>
    <row r="9" customFormat="false" ht="15" hidden="false" customHeight="false" outlineLevel="0" collapsed="false">
      <c r="A9" s="0" t="s">
        <v>22</v>
      </c>
      <c r="B9" s="9" t="n">
        <f aca="false">CHOOSE($B$3,Cons!AN127,Base!AN127,Aggr!AN127,EntDelay!AN127,HiAI!AN127,Incident!AN127,EntGated!AN127,FullScope!AN127)</f>
        <v>1320</v>
      </c>
      <c r="C9" s="9" t="n">
        <f aca="false">CHOOSE($B$3,Cons!AO127,Base!AO127,Aggr!AO127,EntDelay!AO127,HiAI!AO127,Incident!AO127,EntGated!AO127,FullScope!AO127)</f>
        <v>67595.26</v>
      </c>
      <c r="D9" s="9" t="n">
        <f aca="false">CHOOSE($B$3,Cons!AP127,Base!AP127,Aggr!AP127,EntDelay!AP127,HiAI!AP127,Incident!AP127,EntGated!AP127,FullScope!AP127)</f>
        <v>528450.378346667</v>
      </c>
    </row>
    <row r="10" customFormat="false" ht="15" hidden="false" customHeight="false" outlineLevel="0" collapsed="false">
      <c r="A10" s="0" t="s">
        <v>23</v>
      </c>
      <c r="B10" s="9" t="n">
        <f aca="false">CHOOSE($B$3,Cons!AN131,Base!AN131,Aggr!AN131,EntDelay!AN131,HiAI!AN131,Incident!AN131,EntGated!AN131,FullScope!AN131)</f>
        <v>0</v>
      </c>
      <c r="C10" s="9" t="n">
        <f aca="false">CHOOSE($B$3,Cons!AO131,Base!AO131,Aggr!AO131,EntDelay!AO131,HiAI!AO131,Incident!AO131,EntGated!AO131,FullScope!AO131)</f>
        <v>278000</v>
      </c>
      <c r="D10" s="9" t="n">
        <f aca="false">CHOOSE($B$3,Cons!AP131,Base!AP131,Aggr!AP131,EntDelay!AP131,HiAI!AP131,Incident!AP131,EntGated!AP131,FullScope!AP131)</f>
        <v>1125000</v>
      </c>
    </row>
    <row r="11" customFormat="false" ht="15" hidden="false" customHeight="false" outlineLevel="0" collapsed="false">
      <c r="A11" s="0" t="s">
        <v>24</v>
      </c>
      <c r="B11" s="9" t="n">
        <f aca="false">CHOOSE($B$3,Cons!AN136,Base!AN136,Aggr!AN136,EntDelay!AN136,HiAI!AN136,Incident!AN136,EntGated!AN136,FullScope!AN136)</f>
        <v>0</v>
      </c>
      <c r="C11" s="9" t="n">
        <f aca="false">CHOOSE($B$3,Cons!AO136,Base!AO136,Aggr!AO136,EntDelay!AO136,HiAI!AO136,Incident!AO136,EntGated!AO136,FullScope!AO136)</f>
        <v>4025.6</v>
      </c>
      <c r="D11" s="9" t="n">
        <f aca="false">CHOOSE($B$3,Cons!AP136,Base!AP136,Aggr!AP136,EntDelay!AP136,HiAI!AP136,Incident!AP136,EntGated!AP136,FullScope!AP136)</f>
        <v>53345.728</v>
      </c>
    </row>
    <row r="12" customFormat="false" ht="15" hidden="false" customHeight="false" outlineLevel="0" collapsed="false">
      <c r="A12" s="0" t="s">
        <v>25</v>
      </c>
      <c r="B12" s="9" t="n">
        <f aca="false">CHOOSE($B$3,Cons!AN137,Base!AN137,Aggr!AN137,EntDelay!AN137,HiAI!AN137,Incident!AN137,EntGated!AN137,FullScope!AN137)</f>
        <v>0</v>
      </c>
      <c r="C12" s="9" t="n">
        <f aca="false">CHOOSE($B$3,Cons!AO137,Base!AO137,Aggr!AO137,EntDelay!AO137,HiAI!AO137,Incident!AO137,EntGated!AO137,FullScope!AO137)</f>
        <v>0</v>
      </c>
      <c r="D12" s="9" t="n">
        <f aca="false">CHOOSE($B$3,Cons!AP137,Base!AP137,Aggr!AP137,EntDelay!AP137,HiAI!AP137,Incident!AP137,EntGated!AP137,FullScope!AP137)</f>
        <v>6325.7</v>
      </c>
    </row>
    <row r="13" customFormat="false" ht="15" hidden="false" customHeight="false" outlineLevel="0" collapsed="false">
      <c r="A13" s="0" t="s">
        <v>26</v>
      </c>
      <c r="B13" s="9" t="n">
        <f aca="false">CHOOSE($B$3,Cons!AN140,Base!AN140,Aggr!AN140,EntDelay!AN140,HiAI!AN140,Incident!AN140,EntGated!AN140,FullScope!AN140)</f>
        <v>0</v>
      </c>
      <c r="C13" s="9" t="n">
        <f aca="false">CHOOSE($B$3,Cons!AO140,Base!AO140,Aggr!AO140,EntDelay!AO140,HiAI!AO140,Incident!AO140,EntGated!AO140,FullScope!AO140)</f>
        <v>0</v>
      </c>
      <c r="D13" s="9" t="n">
        <f aca="false">CHOOSE($B$3,Cons!AP140,Base!AP140,Aggr!AP140,EntDelay!AP140,HiAI!AP140,Incident!AP140,EntGated!AP140,FullScope!AP140)</f>
        <v>92869.8062670601</v>
      </c>
    </row>
    <row r="14" customFormat="false" ht="15" hidden="false" customHeight="false" outlineLevel="0" collapsed="false">
      <c r="A14" s="0" t="s">
        <v>27</v>
      </c>
      <c r="B14" s="9" t="n">
        <f aca="false">CHOOSE($B$3,Cons!AN144,Base!AN144,Aggr!AN144,EntDelay!AN144,HiAI!AN144,Incident!AN144,EntGated!AN144,FullScope!AN144)</f>
        <v>0</v>
      </c>
      <c r="C14" s="9" t="n">
        <f aca="false">CHOOSE($B$3,Cons!AO144,Base!AO144,Aggr!AO144,EntDelay!AO144,HiAI!AO144,Incident!AO144,EntGated!AO144,FullScope!AO144)</f>
        <v>0</v>
      </c>
      <c r="D14" s="9" t="n">
        <f aca="false">CHOOSE($B$3,Cons!AP144,Base!AP144,Aggr!AP144,EntDelay!AP144,HiAI!AP144,Incident!AP144,EntGated!AP144,FullScope!AP144)</f>
        <v>17439.157792512</v>
      </c>
    </row>
    <row r="15" customFormat="false" ht="15" hidden="false" customHeight="false" outlineLevel="0" collapsed="false">
      <c r="A15" s="10" t="s">
        <v>28</v>
      </c>
      <c r="B15" s="11" t="n">
        <f aca="false">CHOOSE($B$3,Cons!AN146,Base!AN146,Aggr!AN146,EntDelay!AN146,HiAI!AN146,Incident!AN146,EntGated!AN146,FullScope!AN146)</f>
        <v>1320</v>
      </c>
      <c r="C15" s="11" t="n">
        <f aca="false">CHOOSE($B$3,Cons!AO146,Base!AO146,Aggr!AO146,EntDelay!AO146,HiAI!AO146,Incident!AO146,EntGated!AO146,FullScope!AO146)</f>
        <v>506926.158236569</v>
      </c>
      <c r="D15" s="11" t="n">
        <f aca="false">CHOOSE($B$3,Cons!AP146,Base!AP146,Aggr!AP146,EntDelay!AP146,HiAI!AP146,Incident!AP146,EntGated!AP146,FullScope!AP146)</f>
        <v>2301941.70949913</v>
      </c>
    </row>
    <row r="16" customFormat="false" ht="15" hidden="false" customHeight="false" outlineLevel="0" collapsed="false">
      <c r="A16" s="0" t="s">
        <v>29</v>
      </c>
      <c r="B16" s="9" t="n">
        <f aca="false">CHOOSE($B$3,Cons!AN184,Base!AN184,Aggr!AN184,EntDelay!AN184,HiAI!AN184,Incident!AN184,EntGated!AN184,FullScope!AN184)</f>
        <v>208558.37477917</v>
      </c>
      <c r="C16" s="9" t="n">
        <f aca="false">CHOOSE($B$3,Cons!AO184,Base!AO184,Aggr!AO184,EntDelay!AO184,HiAI!AO184,Incident!AO184,EntGated!AO184,FullScope!AO184)</f>
        <v>867095.117322343</v>
      </c>
      <c r="D16" s="9" t="n">
        <f aca="false">CHOOSE($B$3,Cons!AP184,Base!AP184,Aggr!AP184,EntDelay!AP184,HiAI!AP184,Incident!AP184,EntGated!AP184,FullScope!AP184)</f>
        <v>1936630.79601637</v>
      </c>
    </row>
    <row r="17" customFormat="false" ht="15" hidden="false" customHeight="false" outlineLevel="0" collapsed="false">
      <c r="A17" s="10" t="s">
        <v>30</v>
      </c>
      <c r="B17" s="11" t="n">
        <f aca="false">CHOOSE($B$3,Cons!AN223,Base!AN223,Aggr!AN223,EntDelay!AN223,HiAI!AN223,Incident!AN223,EntGated!AN223,FullScope!AN223)</f>
        <v>-207238.37477917</v>
      </c>
      <c r="C17" s="11" t="n">
        <f aca="false">CHOOSE($B$3,Cons!AO223,Base!AO223,Aggr!AO223,EntDelay!AO223,HiAI!AO223,Incident!AO223,EntGated!AO223,FullScope!AO223)</f>
        <v>-360168.959085774</v>
      </c>
      <c r="D17" s="11" t="n">
        <f aca="false">CHOOSE($B$3,Cons!AP223,Base!AP223,Aggr!AP223,EntDelay!AP223,HiAI!AP223,Incident!AP223,EntGated!AP223,FullScope!AP223)</f>
        <v>365310.91348276</v>
      </c>
    </row>
    <row r="19" customFormat="false" ht="15" hidden="false" customHeight="false" outlineLevel="0" collapsed="false">
      <c r="A19" s="8" t="s">
        <v>31</v>
      </c>
      <c r="B19" s="8" t="s">
        <v>17</v>
      </c>
      <c r="C19" s="8" t="s">
        <v>18</v>
      </c>
      <c r="D19" s="8" t="s">
        <v>19</v>
      </c>
    </row>
    <row r="20" customFormat="false" ht="15" hidden="false" customHeight="false" outlineLevel="0" collapsed="false">
      <c r="A20" s="0" t="s">
        <v>32</v>
      </c>
      <c r="B20" s="9" t="n">
        <f aca="false">CHOOSE($B$3,Cons!AN213,Base!AN213,Aggr!AN213,EntDelay!AN213,HiAI!AN213,Incident!AN213,EntGated!AN213,FullScope!AN213)</f>
        <v>1091391.66666667</v>
      </c>
      <c r="C20" s="9" t="n">
        <f aca="false">CHOOSE($B$3,Cons!AO213,Base!AO213,Aggr!AO213,EntDelay!AO213,HiAI!AO213,Incident!AO213,EntGated!AO213,FullScope!AO213)</f>
        <v>1931666.66666667</v>
      </c>
      <c r="D20" s="9" t="n">
        <f aca="false">CHOOSE($B$3,Cons!AP213,Base!AP213,Aggr!AP213,EntDelay!AP213,HiAI!AP213,Incident!AP213,EntGated!AP213,FullScope!AP213)</f>
        <v>2192950</v>
      </c>
    </row>
    <row r="21" customFormat="false" ht="15" hidden="false" customHeight="false" outlineLevel="0" collapsed="false">
      <c r="A21" s="0" t="s">
        <v>33</v>
      </c>
      <c r="B21" s="9" t="n">
        <f aca="false">CHOOSE($B$3,Cons!AN214,Base!AN214,Aggr!AN214,EntDelay!AN214,HiAI!AN214,Incident!AN214,EntGated!AN214,FullScope!AN214)</f>
        <v>209500</v>
      </c>
      <c r="C21" s="9" t="n">
        <f aca="false">CHOOSE($B$3,Cons!AO214,Base!AO214,Aggr!AO214,EntDelay!AO214,HiAI!AO214,Incident!AO214,EntGated!AO214,FullScope!AO214)</f>
        <v>353000</v>
      </c>
      <c r="D21" s="9" t="n">
        <f aca="false">CHOOSE($B$3,Cons!AP214,Base!AP214,Aggr!AP214,EntDelay!AP214,HiAI!AP214,Incident!AP214,EntGated!AP214,FullScope!AP214)</f>
        <v>418000</v>
      </c>
    </row>
    <row r="22" customFormat="false" ht="15" hidden="false" customHeight="false" outlineLevel="0" collapsed="false">
      <c r="A22" s="0" t="s">
        <v>34</v>
      </c>
      <c r="B22" s="9" t="n">
        <f aca="false">CHOOSE($B$3,Cons!AN215,Base!AN215,Aggr!AN215,EntDelay!AN215,HiAI!AN215,Incident!AN215,EntGated!AN215,FullScope!AN215)</f>
        <v>83633.8666666667</v>
      </c>
      <c r="C22" s="9" t="n">
        <f aca="false">CHOOSE($B$3,Cons!AO215,Base!AO215,Aggr!AO215,EntDelay!AO215,HiAI!AO215,Incident!AO215,EntGated!AO215,FullScope!AO215)</f>
        <v>504057.2</v>
      </c>
      <c r="D22" s="9" t="n">
        <f aca="false">CHOOSE($B$3,Cons!AP215,Base!AP215,Aggr!AP215,EntDelay!AP215,HiAI!AP215,Incident!AP215,EntGated!AP215,FullScope!AP215)</f>
        <v>980858</v>
      </c>
    </row>
    <row r="23" customFormat="false" ht="15" hidden="false" customHeight="false" outlineLevel="0" collapsed="false">
      <c r="A23" s="0" t="s">
        <v>35</v>
      </c>
      <c r="B23" s="9" t="n">
        <f aca="false">CHOOSE($B$3,Cons!AN216,Base!AN216,Aggr!AN216,EntDelay!AN216,HiAI!AN216,Incident!AN216,EntGated!AN216,FullScope!AN216)</f>
        <v>139333.333333333</v>
      </c>
      <c r="C23" s="9" t="n">
        <f aca="false">CHOOSE($B$3,Cons!AO216,Base!AO216,Aggr!AO216,EntDelay!AO216,HiAI!AO216,Incident!AO216,EntGated!AO216,FullScope!AO216)</f>
        <v>419608.333333333</v>
      </c>
      <c r="D23" s="9" t="n">
        <f aca="false">CHOOSE($B$3,Cons!AP216,Base!AP216,Aggr!AP216,EntDelay!AP216,HiAI!AP216,Incident!AP216,EntGated!AP216,FullScope!AP216)</f>
        <v>601100</v>
      </c>
    </row>
    <row r="24" customFormat="false" ht="15" hidden="false" customHeight="false" outlineLevel="0" collapsed="false">
      <c r="A24" s="0" t="s">
        <v>36</v>
      </c>
      <c r="B24" s="9" t="n">
        <f aca="false">CHOOSE($B$3,Cons!AN217,Base!AN217,Aggr!AN217,EntDelay!AN217,HiAI!AN217,Incident!AN217,EntGated!AN217,FullScope!AN217)</f>
        <v>95000</v>
      </c>
      <c r="C24" s="9" t="n">
        <f aca="false">CHOOSE($B$3,Cons!AO217,Base!AO217,Aggr!AO217,EntDelay!AO217,HiAI!AO217,Incident!AO217,EntGated!AO217,FullScope!AO217)</f>
        <v>112000</v>
      </c>
      <c r="D24" s="9" t="n">
        <f aca="false">CHOOSE($B$3,Cons!AP217,Base!AP217,Aggr!AP217,EntDelay!AP217,HiAI!AP217,Incident!AP217,EntGated!AP217,FullScope!AP217)</f>
        <v>155000</v>
      </c>
    </row>
    <row r="25" customFormat="false" ht="15" hidden="false" customHeight="false" outlineLevel="0" collapsed="false">
      <c r="A25" s="0" t="s">
        <v>37</v>
      </c>
      <c r="B25" s="9" t="n">
        <f aca="false">CHOOSE($B$3,Cons!AN218,Base!AN218,Aggr!AN218,EntDelay!AN218,HiAI!AN218,Incident!AN218,EntGated!AN218,FullScope!AN218)</f>
        <v>41000</v>
      </c>
      <c r="C25" s="9" t="n">
        <f aca="false">CHOOSE($B$3,Cons!AO218,Base!AO218,Aggr!AO218,EntDelay!AO218,HiAI!AO218,Incident!AO218,EntGated!AO218,FullScope!AO218)</f>
        <v>70000</v>
      </c>
      <c r="D25" s="9" t="n">
        <f aca="false">CHOOSE($B$3,Cons!AP218,Base!AP218,Aggr!AP218,EntDelay!AP218,HiAI!AP218,Incident!AP218,EntGated!AP218,FullScope!AP218)</f>
        <v>120000</v>
      </c>
    </row>
    <row r="26" customFormat="false" ht="15" hidden="false" customHeight="false" outlineLevel="0" collapsed="false">
      <c r="A26" s="0" t="s">
        <v>38</v>
      </c>
      <c r="B26" s="11" t="n">
        <f aca="false">CHOOSE($B$3,Cons!AN219,Base!AN219,Aggr!AN219,EntDelay!AN219,HiAI!AN219,Incident!AN219,EntGated!AN219,FullScope!AN219)</f>
        <v>587321.733333333</v>
      </c>
      <c r="C26" s="11" t="n">
        <f aca="false">CHOOSE($B$3,Cons!AO219,Base!AO219,Aggr!AO219,EntDelay!AO219,HiAI!AO219,Incident!AO219,EntGated!AO219,FullScope!AO219)</f>
        <v>1047095.89786667</v>
      </c>
      <c r="D26" s="11" t="n">
        <f aca="false">CHOOSE($B$3,Cons!AP219,Base!AP219,Aggr!AP219,EntDelay!AP219,HiAI!AP219,Incident!AP219,EntGated!AP219,FullScope!AP219)</f>
        <v>1342888.2958016</v>
      </c>
    </row>
    <row r="27" customFormat="false" ht="15" hidden="false" customHeight="false" outlineLevel="0" collapsed="false">
      <c r="A27" s="0" t="s">
        <v>39</v>
      </c>
      <c r="B27" s="9" t="n">
        <f aca="false">CHOOSE($B$3,Cons!AN220,Base!AN220,Aggr!AN220,EntDelay!AN220,HiAI!AN220,Incident!AN220,EntGated!AN220,FullScope!AN220)</f>
        <v>0</v>
      </c>
      <c r="C27" s="9" t="n">
        <f aca="false">CHOOSE($B$3,Cons!AO220,Base!AO220,Aggr!AO220,EntDelay!AO220,HiAI!AO220,Incident!AO220,EntGated!AO220,FullScope!AO220)</f>
        <v>0</v>
      </c>
      <c r="D27" s="9" t="n">
        <f aca="false">CHOOSE($B$3,Cons!AP220,Base!AP220,Aggr!AP220,EntDelay!AP220,HiAI!AP220,Incident!AP220,EntGated!AP220,FullScope!AP220)</f>
        <v>0</v>
      </c>
    </row>
    <row r="28" customFormat="false" ht="15" hidden="false" customHeight="false" outlineLevel="0" collapsed="false">
      <c r="A28" s="10" t="s">
        <v>40</v>
      </c>
      <c r="B28" s="11" t="n">
        <f aca="false">CHOOSE($B$3,Cons!AN221,Base!AN221,Aggr!AN221,EntDelay!AN221,HiAI!AN221,Incident!AN221,EntGated!AN221,FullScope!AN221)</f>
        <v>2247180.6</v>
      </c>
      <c r="C28" s="11" t="n">
        <f aca="false">CHOOSE($B$3,Cons!AO221,Base!AO221,Aggr!AO221,EntDelay!AO221,HiAI!AO221,Incident!AO221,EntGated!AO221,FullScope!AO221)</f>
        <v>4437428.09786667</v>
      </c>
      <c r="D28" s="11" t="n">
        <f aca="false">CHOOSE($B$3,Cons!AP221,Base!AP221,Aggr!AP221,EntDelay!AP221,HiAI!AP221,Incident!AP221,EntGated!AP221,FullScope!AP221)</f>
        <v>5810796.2958016</v>
      </c>
    </row>
    <row r="29" customFormat="false" ht="15" hidden="false" customHeight="false" outlineLevel="0" collapsed="false">
      <c r="A29" s="10" t="s">
        <v>41</v>
      </c>
      <c r="B29" s="11" t="n">
        <f aca="false">CHOOSE($B$3,Cons!AN225,Base!AN225,Aggr!AN225,EntDelay!AN225,HiAI!AN225,Incident!AN225,EntGated!AN225,FullScope!AN225)</f>
        <v>-2454418.97477917</v>
      </c>
      <c r="C29" s="11" t="n">
        <f aca="false">CHOOSE($B$3,Cons!AO225,Base!AO225,Aggr!AO225,EntDelay!AO225,HiAI!AO225,Incident!AO225,EntGated!AO225,FullScope!AO225)</f>
        <v>-4797597.05695244</v>
      </c>
      <c r="D29" s="11" t="n">
        <f aca="false">CHOOSE($B$3,Cons!AP225,Base!AP225,Aggr!AP225,EntDelay!AP225,HiAI!AP225,Incident!AP225,EntGated!AP225,FullScope!AP225)</f>
        <v>-5445485.38231884</v>
      </c>
    </row>
    <row r="31" customFormat="false" ht="15" hidden="false" customHeight="false" outlineLevel="0" collapsed="false">
      <c r="A31" s="8" t="s">
        <v>42</v>
      </c>
      <c r="B31" s="8" t="s">
        <v>17</v>
      </c>
      <c r="C31" s="8" t="s">
        <v>18</v>
      </c>
      <c r="D31" s="8" t="s">
        <v>19</v>
      </c>
    </row>
    <row r="32" customFormat="false" ht="15" hidden="false" customHeight="false" outlineLevel="0" collapsed="false">
      <c r="A32" s="0" t="s">
        <v>43</v>
      </c>
      <c r="B32" s="9" t="n">
        <f aca="false">CHOOSE($B$3,Cons!AN153,Base!AN153,Aggr!AN153,EntDelay!AN153,HiAI!AN153,Incident!AN153,EntGated!AN153,FullScope!AN153)</f>
        <v>0</v>
      </c>
      <c r="C32" s="9" t="n">
        <f aca="false">CHOOSE($B$3,Cons!AO153,Base!AO153,Aggr!AO153,EntDelay!AO153,HiAI!AO153,Incident!AO153,EntGated!AO153,FullScope!AO153)</f>
        <v>524233.944023793</v>
      </c>
      <c r="D32" s="9" t="n">
        <f aca="false">CHOOSE($B$3,Cons!AP153,Base!AP153,Aggr!AP153,EntDelay!AP153,HiAI!AP153,Incident!AP153,EntGated!AP153,FullScope!AP153)</f>
        <v>2256267.30293509</v>
      </c>
    </row>
    <row r="33" customFormat="false" ht="15" hidden="false" customHeight="false" outlineLevel="0" collapsed="false">
      <c r="A33" s="0" t="s">
        <v>44</v>
      </c>
      <c r="B33" s="9" t="n">
        <f aca="false">CHOOSE($B$3,Cons!AN226,Base!AN226,Aggr!AN226,EntDelay!AN226,HiAI!AN226,Incident!AN226,EntGated!AN226,FullScope!AN226)</f>
        <v>-2455738.97477917</v>
      </c>
      <c r="C33" s="9" t="n">
        <f aca="false">CHOOSE($B$3,Cons!AO226,Base!AO226,Aggr!AO226,EntDelay!AO226,HiAI!AO226,Incident!AO226,EntGated!AO226,FullScope!AO226)</f>
        <v>-4780289.27116522</v>
      </c>
      <c r="D33" s="9" t="n">
        <f aca="false">CHOOSE($B$3,Cons!AP226,Base!AP226,Aggr!AP226,EntDelay!AP226,HiAI!AP226,Incident!AP226,EntGated!AP226,FullScope!AP226)</f>
        <v>-5491159.78888288</v>
      </c>
    </row>
    <row r="34" customFormat="false" ht="15" hidden="false" customHeight="false" outlineLevel="0" collapsed="false">
      <c r="A34" s="0" t="s">
        <v>45</v>
      </c>
      <c r="B34" s="9" t="n">
        <f aca="false">CHOOSE($B$3,Cons!AN227,Base!AN227,Aggr!AN227,EntDelay!AN227,HiAI!AN227,Incident!AN227,EntGated!AN227,FullScope!AN227)</f>
        <v>-2455738.97477917</v>
      </c>
      <c r="C34" s="9" t="n">
        <f aca="false">CHOOSE($B$3,Cons!AO227,Base!AO227,Aggr!AO227,EntDelay!AO227,HiAI!AO227,Incident!AO227,EntGated!AO227,FullScope!AO227)</f>
        <v>-7236028.24594439</v>
      </c>
      <c r="D34" s="9" t="n">
        <f aca="false">CHOOSE($B$3,Cons!AP227,Base!AP227,Aggr!AP227,EntDelay!AP227,HiAI!AP227,Incident!AP227,EntGated!AP227,FullScope!AP227)</f>
        <v>-12727188.0348273</v>
      </c>
    </row>
    <row r="35" customFormat="false" ht="15" hidden="false" customHeight="false" outlineLevel="0" collapsed="false">
      <c r="A35" s="0" t="s">
        <v>46</v>
      </c>
      <c r="B35" s="9" t="n">
        <f aca="false">CHOOSE($B$3,Cons!AN228,Base!AN228,Aggr!AN228,EntDelay!AN228,HiAI!AN228,Incident!AN228,EntGated!AN228,FullScope!AN228)</f>
        <v>544261.02522083</v>
      </c>
      <c r="C35" s="9" t="n">
        <f aca="false">CHOOSE($B$3,Cons!AO228,Base!AO228,Aggr!AO228,EntDelay!AO228,HiAI!AO228,Incident!AO228,EntGated!AO228,FullScope!AO228)</f>
        <v>-4236028.24594439</v>
      </c>
      <c r="D35" s="9" t="n">
        <f aca="false">CHOOSE($B$3,Cons!AP228,Base!AP228,Aggr!AP228,EntDelay!AP228,HiAI!AP228,Incident!AP228,EntGated!AP228,FullScope!AP228)</f>
        <v>-9727188.03482726</v>
      </c>
    </row>
    <row r="36" customFormat="false" ht="15" hidden="false" customHeight="false" outlineLevel="0" collapsed="false">
      <c r="A36" s="0" t="s">
        <v>47</v>
      </c>
      <c r="B36" s="9" t="n">
        <f aca="false">CHOOSE($B$3,Cons!AN154,Base!AN154,Aggr!AN154,EntDelay!AN154,HiAI!AN154,Incident!AN154,EntGated!AN154,FullScope!AN154)</f>
        <v>14520</v>
      </c>
      <c r="C36" s="9" t="n">
        <f aca="false">CHOOSE($B$3,Cons!AO154,Base!AO154,Aggr!AO154,EntDelay!AO154,HiAI!AO154,Incident!AO154,EntGated!AO154,FullScope!AO154)</f>
        <v>120222.605787223</v>
      </c>
      <c r="D36" s="9" t="n">
        <f aca="false">CHOOSE($B$3,Cons!AP154,Base!AP154,Aggr!AP154,EntDelay!AP154,HiAI!AP154,Incident!AP154,EntGated!AP154,FullScope!AP154)</f>
        <v>1013459.16498319</v>
      </c>
    </row>
    <row r="37" customFormat="false" ht="15" hidden="false" customHeight="false" outlineLevel="0" collapsed="false">
      <c r="A37" s="0" t="s">
        <v>48</v>
      </c>
      <c r="B37" s="9" t="n">
        <f aca="false">CHOOSE($B$3,Cons!AN155,Base!AN155,Aggr!AN155,EntDelay!AN155,HiAI!AN155,Incident!AN155,EntGated!AN155,FullScope!AN155)</f>
        <v>15681.6</v>
      </c>
      <c r="C37" s="9" t="n">
        <f aca="false">CHOOSE($B$3,Cons!AO155,Base!AO155,Aggr!AO155,EntDelay!AO155,HiAI!AO155,Incident!AO155,EntGated!AO155,FullScope!AO155)</f>
        <v>98102.1888</v>
      </c>
      <c r="D37" s="9" t="n">
        <f aca="false">CHOOSE($B$3,Cons!AP155,Base!AP155,Aggr!AP155,EntDelay!AP155,HiAI!AP155,Incident!AP155,EntGated!AP155,FullScope!AP155)</f>
        <v>1007154.8587584</v>
      </c>
    </row>
    <row r="39" customFormat="false" ht="15" hidden="false" customHeight="false" outlineLevel="0" collapsed="false">
      <c r="A39" s="8" t="s">
        <v>49</v>
      </c>
      <c r="B39" s="8" t="s">
        <v>17</v>
      </c>
      <c r="C39" s="8" t="s">
        <v>18</v>
      </c>
      <c r="D39" s="8" t="s">
        <v>19</v>
      </c>
    </row>
    <row r="40" customFormat="false" ht="15" hidden="false" customHeight="false" outlineLevel="0" collapsed="false">
      <c r="A40" s="0" t="s">
        <v>50</v>
      </c>
      <c r="B40" s="11" t="n">
        <f aca="false">CHOOSE($B$3,Cons!AN148,Base!AN148,Aggr!AN148,EntDelay!AN148,HiAI!AN148,Incident!AN148,EntGated!AN148,FullScope!AN148)</f>
        <v>15840</v>
      </c>
      <c r="C40" s="11" t="n">
        <f aca="false">CHOOSE($B$3,Cons!AO148,Base!AO148,Aggr!AO148,EntDelay!AO148,HiAI!AO148,Incident!AO148,EntGated!AO148,FullScope!AO148)</f>
        <v>163394.40054726</v>
      </c>
      <c r="D40" s="11" t="n">
        <f aca="false">CHOOSE($B$3,Cons!AP148,Base!AP148,Aggr!AP148,EntDelay!AP148,HiAI!AP148,Incident!AP148,EntGated!AP148,FullScope!AP148)</f>
        <v>1527680.38281984</v>
      </c>
    </row>
    <row r="41" customFormat="false" ht="15" hidden="false" customHeight="false" outlineLevel="0" collapsed="false">
      <c r="A41" s="0" t="s">
        <v>51</v>
      </c>
      <c r="B41" s="9" t="n">
        <f aca="false">CHOOSE($B$3,Cons!AN149,Base!AN149,Aggr!AN149,EntDelay!AN149,HiAI!AN149,Incident!AN149,EntGated!AN149,FullScope!AN149)</f>
        <v>15840</v>
      </c>
      <c r="C41" s="9" t="n">
        <f aca="false">CHOOSE($B$3,Cons!AO149,Base!AO149,Aggr!AO149,EntDelay!AO149,HiAI!AO149,Incident!AO149,EntGated!AO149,FullScope!AO149)</f>
        <v>146050.32</v>
      </c>
      <c r="D41" s="9" t="n">
        <f aca="false">CHOOSE($B$3,Cons!AP149,Base!AP149,Aggr!AP149,EntDelay!AP149,HiAI!AP149,Incident!AP149,EntGated!AP149,FullScope!AP149)</f>
        <v>1479349.25340072</v>
      </c>
    </row>
    <row r="42" customFormat="false" ht="15" hidden="false" customHeight="false" outlineLevel="0" collapsed="false">
      <c r="A42" s="0" t="s">
        <v>52</v>
      </c>
      <c r="B42" s="9" t="n">
        <f aca="false">CHOOSE($B$3,Cons!AN150,Base!AN150,Aggr!AN150,EntDelay!AN150,HiAI!AN150,Incident!AN150,EntGated!AN150,FullScope!AN150)</f>
        <v>0</v>
      </c>
      <c r="C42" s="9" t="n">
        <f aca="false">CHOOSE($B$3,Cons!AO150,Base!AO150,Aggr!AO150,EntDelay!AO150,HiAI!AO150,Incident!AO150,EntGated!AO150,FullScope!AO150)</f>
        <v>17344.0805472603</v>
      </c>
      <c r="D42" s="9" t="n">
        <f aca="false">CHOOSE($B$3,Cons!AP150,Base!AP150,Aggr!AP150,EntDelay!AP150,HiAI!AP150,Incident!AP150,EntGated!AP150,FullScope!AP150)</f>
        <v>48331.1294191236</v>
      </c>
    </row>
    <row r="43" customFormat="false" ht="15" hidden="false" customHeight="false" outlineLevel="0" collapsed="false">
      <c r="A43" s="0" t="s">
        <v>53</v>
      </c>
      <c r="B43" s="9" t="n">
        <f aca="false">CHOOSE($B$3,Cons!AN122,Base!AN122,Aggr!AN122,EntDelay!AN122,HiAI!AN122,Incident!AN122,EntGated!AN122,FullScope!AN122)</f>
        <v>0.6</v>
      </c>
      <c r="C43" s="9" t="n">
        <f aca="false">CHOOSE($B$3,Cons!AO122,Base!AO122,Aggr!AO122,EntDelay!AO122,HiAI!AO122,Incident!AO122,EntGated!AO122,FullScope!AO122)</f>
        <v>3.578</v>
      </c>
      <c r="D43" s="9" t="n">
        <f aca="false">CHOOSE($B$3,Cons!AP122,Base!AP122,Aggr!AP122,EntDelay!AP122,HiAI!AP122,Incident!AP122,EntGated!AP122,FullScope!AP122)</f>
        <v>24.39864</v>
      </c>
    </row>
    <row r="44" customFormat="false" ht="15" hidden="false" customHeight="false" outlineLevel="0" collapsed="false">
      <c r="A44" s="0" t="s">
        <v>54</v>
      </c>
      <c r="B44" s="9" t="n">
        <f aca="false">CHOOSE($B$3,Cons!AN123,Base!AN123,Aggr!AN123,EntDelay!AN123,HiAI!AN123,Incident!AN123,EntGated!AN123,FullScope!AN123)</f>
        <v>1</v>
      </c>
      <c r="C44" s="9" t="n">
        <f aca="false">CHOOSE($B$3,Cons!AO123,Base!AO123,Aggr!AO123,EntDelay!AO123,HiAI!AO123,Incident!AO123,EntGated!AO123,FullScope!AO123)</f>
        <v>6</v>
      </c>
      <c r="D44" s="9" t="n">
        <f aca="false">CHOOSE($B$3,Cons!AP123,Base!AP123,Aggr!AP123,EntDelay!AP123,HiAI!AP123,Incident!AP123,EntGated!AP123,FullScope!AP123)</f>
        <v>12</v>
      </c>
    </row>
    <row r="45" customFormat="false" ht="15" hidden="false" customHeight="false" outlineLevel="0" collapsed="false">
      <c r="A45" s="0" t="s">
        <v>55</v>
      </c>
      <c r="B45" s="9" t="n">
        <f aca="false">CHOOSE($B$3,Cons!AN39,Base!AN39,Aggr!AN39,EntDelay!AN39,HiAI!AN39,Incident!AN39,EntGated!AN39,FullScope!AN39)</f>
        <v>0</v>
      </c>
      <c r="C45" s="9" t="n">
        <f aca="false">CHOOSE($B$3,Cons!AO39,Base!AO39,Aggr!AO39,EntDelay!AO39,HiAI!AO39,Incident!AO39,EntGated!AO39,FullScope!AO39)</f>
        <v>256.966398049017</v>
      </c>
      <c r="D45" s="9" t="n">
        <f aca="false">CHOOSE($B$3,Cons!AP39,Base!AP39,Aggr!AP39,EntDelay!AP39,HiAI!AP39,Incident!AP39,EntGated!AP39,FullScope!AP39)</f>
        <v>719.967198361525</v>
      </c>
    </row>
    <row r="46" customFormat="false" ht="15" hidden="false" customHeight="false" outlineLevel="0" collapsed="false">
      <c r="A46" s="0" t="s">
        <v>56</v>
      </c>
      <c r="B46" s="9" t="n">
        <f aca="false">CHOOSE($B$3,Cons!AN29,Base!AN29,Aggr!AN29,EntDelay!AN29,HiAI!AN29,Incident!AN29,EntGated!AN29,FullScope!AN29)</f>
        <v>1806.21574138794</v>
      </c>
      <c r="C46" s="9" t="n">
        <f aca="false">CHOOSE($B$3,Cons!AO29,Base!AO29,Aggr!AO29,EntDelay!AO29,HiAI!AO29,Incident!AO29,EntGated!AO29,FullScope!AO29)</f>
        <v>16506.2482160617</v>
      </c>
      <c r="D46" s="9" t="n">
        <f aca="false">CHOOSE($B$3,Cons!AP29,Base!AP29,Aggr!AP29,EntDelay!AP29,HiAI!AP29,Incident!AP29,EntGated!AP29,FullScope!AP29)</f>
        <v>27287.7987044966</v>
      </c>
    </row>
    <row r="47" customFormat="false" ht="15" hidden="false" customHeight="false" outlineLevel="0" collapsed="false">
      <c r="A47" s="0" t="s">
        <v>57</v>
      </c>
      <c r="B47" s="9" t="n">
        <f aca="false">CHOOSE($B$3,Cons!AN126,Base!AN126,Aggr!AN126,EntDelay!AN126,HiAI!AN126,Incident!AN126,EntGated!AN126,FullScope!AN126)</f>
        <v>1235</v>
      </c>
      <c r="C47" s="9" t="n">
        <f aca="false">CHOOSE($B$3,Cons!AO126,Base!AO126,Aggr!AO126,EntDelay!AO126,HiAI!AO126,Incident!AO126,EntGated!AO126,FullScope!AO126)</f>
        <v>6731.8</v>
      </c>
      <c r="D47" s="9" t="n">
        <f aca="false">CHOOSE($B$3,Cons!AP126,Base!AP126,Aggr!AP126,EntDelay!AP126,HiAI!AP126,Incident!AP126,EntGated!AP126,FullScope!AP126)</f>
        <v>46689.784</v>
      </c>
    </row>
    <row r="48" customFormat="false" ht="15" hidden="false" customHeight="false" outlineLevel="0" collapsed="false">
      <c r="A48" s="0" t="s">
        <v>58</v>
      </c>
      <c r="B48" s="9" t="n">
        <f aca="false">CHOOSE($B$3,Cons!AN157,Base!AN157,Aggr!AN157,EntDelay!AN157,HiAI!AN157,Incident!AN157,EntGated!AN157,FullScope!AN157)</f>
        <v>3041.21574138794</v>
      </c>
      <c r="C48" s="9" t="n">
        <f aca="false">CHOOSE($B$3,Cons!AO157,Base!AO157,Aggr!AO157,EntDelay!AO157,HiAI!AO157,Incident!AO157,EntGated!AO157,FullScope!AO157)</f>
        <v>23495.0146141107</v>
      </c>
      <c r="D48" s="9" t="n">
        <f aca="false">CHOOSE($B$3,Cons!AP157,Base!AP157,Aggr!AP157,EntDelay!AP157,HiAI!AP157,Incident!AP157,EntGated!AP157,FullScope!AP157)</f>
        <v>74697.5499028581</v>
      </c>
    </row>
    <row r="49" customFormat="false" ht="15" hidden="false" customHeight="false" outlineLevel="0" collapsed="false">
      <c r="A49" s="0" t="s">
        <v>59</v>
      </c>
      <c r="B49" s="9" t="n">
        <f aca="false">CHOOSE($B$3,Cons!AN196,Base!AN196,Aggr!AN196,EntDelay!AN196,HiAI!AN196,Incident!AN196,EntGated!AN196,FullScope!AN196)</f>
        <v>18.4</v>
      </c>
      <c r="C49" s="9" t="n">
        <f aca="false">CHOOSE($B$3,Cons!AO196,Base!AO196,Aggr!AO196,EntDelay!AO196,HiAI!AO196,Incident!AO196,EntGated!AO196,FullScope!AO196)</f>
        <v>31.4</v>
      </c>
      <c r="D49" s="9" t="n">
        <f aca="false">CHOOSE($B$3,Cons!AP196,Base!AP196,Aggr!AP196,EntDelay!AP196,HiAI!AP196,Incident!AP196,EntGated!AP196,FullScope!AP196)</f>
        <v>40.4</v>
      </c>
    </row>
    <row r="51" customFormat="false" ht="15" hidden="false" customHeight="false" outlineLevel="0" collapsed="false">
      <c r="A51" s="8" t="s">
        <v>60</v>
      </c>
      <c r="B51" s="8" t="s">
        <v>17</v>
      </c>
      <c r="C51" s="8" t="s">
        <v>18</v>
      </c>
      <c r="D51" s="8" t="s">
        <v>19</v>
      </c>
    </row>
    <row r="52" customFormat="false" ht="15" hidden="false" customHeight="false" outlineLevel="0" collapsed="false">
      <c r="A52" s="0" t="s">
        <v>61</v>
      </c>
      <c r="B52" s="9" t="n">
        <f aca="false">CHOOSE($B$3,Cons!AN235,Base!AN235,Aggr!AN235,EntDelay!AN235,HiAI!AN235,Incident!AN235,EntGated!AN235,FullScope!AN235)</f>
        <v>1320</v>
      </c>
      <c r="C52" s="9" t="n">
        <f aca="false">CHOOSE($B$3,Cons!AO235,Base!AO235,Aggr!AO235,EntDelay!AO235,HiAI!AO235,Incident!AO235,EntGated!AO235,FullScope!AO235)</f>
        <v>506926.158236569</v>
      </c>
      <c r="D52" s="9" t="n">
        <f aca="false">CHOOSE($B$3,Cons!AP235,Base!AP235,Aggr!AP235,EntDelay!AP235,HiAI!AP235,Incident!AP235,EntGated!AP235,FullScope!AP235)</f>
        <v>2301941.70949913</v>
      </c>
    </row>
    <row r="53" customFormat="false" ht="15" hidden="false" customHeight="false" outlineLevel="0" collapsed="false">
      <c r="A53" s="0" t="s">
        <v>62</v>
      </c>
      <c r="B53" s="9" t="n">
        <f aca="false">CHOOSE($B$3,Cons!AN236,Base!AN236,Aggr!AN236,EntDelay!AN236,HiAI!AN236,Incident!AN236,EntGated!AN236,FullScope!AN236)</f>
        <v>15840</v>
      </c>
      <c r="C53" s="9" t="n">
        <f aca="false">CHOOSE($B$3,Cons!AO236,Base!AO236,Aggr!AO236,EntDelay!AO236,HiAI!AO236,Incident!AO236,EntGated!AO236,FullScope!AO236)</f>
        <v>163394.40054726</v>
      </c>
      <c r="D53" s="9" t="n">
        <f aca="false">CHOOSE($B$3,Cons!AP236,Base!AP236,Aggr!AP236,EntDelay!AP236,HiAI!AP236,Incident!AP236,EntGated!AP236,FullScope!AP236)</f>
        <v>1527680.38281984</v>
      </c>
    </row>
    <row r="54" customFormat="false" ht="15" hidden="false" customHeight="false" outlineLevel="0" collapsed="false">
      <c r="A54" s="0" t="s">
        <v>63</v>
      </c>
      <c r="B54" s="12" t="n">
        <f aca="false">CHOOSE($B$3,Cons!AN237,Base!AN237,Aggr!AN237,EntDelay!AN237,HiAI!AN237,Incident!AN237,EntGated!AN237,FullScope!AN237)</f>
        <v>-156.998768772099</v>
      </c>
      <c r="C54" s="12" t="n">
        <f aca="false">CHOOSE($B$3,Cons!AO237,Base!AO237,Aggr!AO237,EntDelay!AO237,HiAI!AO237,Incident!AO237,EntGated!AO237,FullScope!AO237)</f>
        <v>-0.710495904055699</v>
      </c>
      <c r="D54" s="12" t="n">
        <f aca="false">CHOOSE($B$3,Cons!AP237,Base!AP237,Aggr!AP237,EntDelay!AP237,HiAI!AP237,Incident!AP237,EntGated!AP237,FullScope!AP237)</f>
        <v>0.158696856647272</v>
      </c>
    </row>
    <row r="55" customFormat="false" ht="15" hidden="false" customHeight="false" outlineLevel="0" collapsed="false">
      <c r="A55" s="0" t="s">
        <v>64</v>
      </c>
      <c r="B55" s="12" t="n">
        <f aca="false">CHOOSE($B$3,Cons!AN238,Base!AN238,Aggr!AN238,EntDelay!AN238,HiAI!AN238,Incident!AN238,EntGated!AN238,FullScope!AN238)</f>
        <v>-157.958768772099</v>
      </c>
      <c r="C55" s="12" t="n">
        <f aca="false">CHOOSE($B$3,Cons!AO238,Base!AO238,Aggr!AO238,EntDelay!AO238,HiAI!AO238,Incident!AO238,EntGated!AO238,FullScope!AO238)</f>
        <v>-0.875622912476788</v>
      </c>
      <c r="D55" s="12" t="n">
        <f aca="false">CHOOSE($B$3,Cons!AP238,Base!AP238,Aggr!AP238,EntDelay!AP238,HiAI!AP238,Incident!AP238,EntGated!AP238,FullScope!AP238)</f>
        <v>0.0313226495637237</v>
      </c>
    </row>
    <row r="56" customFormat="false" ht="15" hidden="false" customHeight="false" outlineLevel="0" collapsed="false">
      <c r="A56" s="0" t="s">
        <v>65</v>
      </c>
      <c r="B56" s="12" t="n">
        <f aca="false">CHOOSE($B$3,Cons!AN239,Base!AN239,Aggr!AN239,EntDelay!AN239,HiAI!AN239,Incident!AN239,EntGated!AN239,FullScope!AN239)</f>
        <v>0</v>
      </c>
      <c r="C56" s="12" t="n">
        <f aca="false">CHOOSE($B$3,Cons!AO239,Base!AO239,Aggr!AO239,EntDelay!AO239,HiAI!AO239,Incident!AO239,EntGated!AO239,FullScope!AO239)</f>
        <v>-4.97587657767419</v>
      </c>
      <c r="D56" s="12" t="n">
        <f aca="false">CHOOSE($B$3,Cons!AP239,Base!AP239,Aggr!AP239,EntDelay!AP239,HiAI!AP239,Incident!AP239,EntGated!AP239,FullScope!AP239)</f>
        <v>-2.1546170609268</v>
      </c>
    </row>
    <row r="57" customFormat="false" ht="15" hidden="false" customHeight="false" outlineLevel="0" collapsed="false">
      <c r="A57" s="0" t="s">
        <v>66</v>
      </c>
      <c r="B57" s="12" t="n">
        <f aca="false">CHOOSE($B$3,Cons!AN240,Base!AN240,Aggr!AN240,EntDelay!AN240,HiAI!AN240,Incident!AN240,EntGated!AN240,FullScope!AN240)</f>
        <v>-3.25823020623205</v>
      </c>
      <c r="C57" s="12" t="n">
        <f aca="false">CHOOSE($B$3,Cons!AO240,Base!AO240,Aggr!AO240,EntDelay!AO240,HiAI!AO240,Incident!AO240,EntGated!AO240,FullScope!AO240)</f>
        <v>0.521068443809077</v>
      </c>
      <c r="D57" s="12" t="n">
        <f aca="false">CHOOSE($B$3,Cons!AP240,Base!AP240,Aggr!AP240,EntDelay!AP240,HiAI!AP240,Incident!AP240,EntGated!AP240,FullScope!AP240)</f>
        <v>0.664278768403001</v>
      </c>
    </row>
    <row r="58" customFormat="false" ht="15" hidden="false" customHeight="false" outlineLevel="0" collapsed="false">
      <c r="A58" s="0" t="s">
        <v>67</v>
      </c>
      <c r="B58" s="12" t="n">
        <f aca="false">CHOOSE($B$3,Cons!AN241,Base!AN241,Aggr!AN241,EntDelay!AN241,HiAI!AN241,Incident!AN241,EntGated!AN241,FullScope!AN241)</f>
        <v>0</v>
      </c>
      <c r="C58" s="12" t="n">
        <f aca="false">CHOOSE($B$3,Cons!AO241,Base!AO241,Aggr!AO241,EntDelay!AO241,HiAI!AO241,Incident!AO241,EntGated!AO241,FullScope!AO241)</f>
        <v>-0.572541966426859</v>
      </c>
      <c r="D58" s="12" t="n">
        <f aca="false">CHOOSE($B$3,Cons!AP241,Base!AP241,Aggr!AP241,EntDelay!AP241,HiAI!AP241,Incident!AP241,EntGated!AP241,FullScope!AP241)</f>
        <v>0.213777777777778</v>
      </c>
    </row>
    <row r="59" customFormat="false" ht="15" hidden="false" customHeight="false" outlineLevel="0" collapsed="false">
      <c r="A59" s="0" t="s">
        <v>68</v>
      </c>
      <c r="B59" s="12" t="n">
        <f aca="false">CHOOSE($B$3,Cons!AN242,Base!AN242,Aggr!AN242,EntDelay!AN242,HiAI!AN242,Incident!AN242,EntGated!AN242,FullScope!AN242)</f>
        <v>0</v>
      </c>
      <c r="C59" s="12" t="n">
        <f aca="false">CHOOSE($B$3,Cons!AO242,Base!AO242,Aggr!AO242,EntDelay!AO242,HiAI!AO242,Incident!AO242,EntGated!AO242,FullScope!AO242)</f>
        <v>0.316636690647482</v>
      </c>
      <c r="D59" s="12" t="n">
        <f aca="false">CHOOSE($B$3,Cons!AP242,Base!AP242,Aggr!AP242,EntDelay!AP242,HiAI!AP242,Incident!AP242,EntGated!AP242,FullScope!AP242)</f>
        <v>0.21732</v>
      </c>
    </row>
    <row r="60" customFormat="false" ht="15" hidden="false" customHeight="false" outlineLevel="0" collapsed="false">
      <c r="A60" s="0" t="s">
        <v>69</v>
      </c>
      <c r="B60" s="12" t="n">
        <f aca="false">CHOOSE($B$3,Cons!AN243,Base!AN243,Aggr!AN243,EntDelay!AN243,HiAI!AN243,Incident!AN243,EntGated!AN243,FullScope!AN243)</f>
        <v>0.404545454545455</v>
      </c>
      <c r="C60" s="12" t="n">
        <f aca="false">CHOOSE($B$3,Cons!AO243,Base!AO243,Aggr!AO243,EntDelay!AO243,HiAI!AO243,Incident!AO243,EntGated!AO243,FullScope!AO243)</f>
        <v>0.472515856236787</v>
      </c>
      <c r="D60" s="12" t="n">
        <f aca="false">CHOOSE($B$3,Cons!AP243,Base!AP243,Aggr!AP243,EntDelay!AP243,HiAI!AP243,Incident!AP243,EntGated!AP243,FullScope!AP243)</f>
        <v>1.08244514106583</v>
      </c>
    </row>
    <row r="61" customFormat="false" ht="15" hidden="false" customHeight="false" outlineLevel="0" collapsed="false">
      <c r="A61" s="0" t="s">
        <v>41</v>
      </c>
      <c r="B61" s="9" t="n">
        <f aca="false">CHOOSE($B$3,Cons!AN244,Base!AN244,Aggr!AN244,EntDelay!AN244,HiAI!AN244,Incident!AN244,EntGated!AN244,FullScope!AN244)</f>
        <v>-2454418.97477917</v>
      </c>
      <c r="C61" s="9" t="n">
        <f aca="false">CHOOSE($B$3,Cons!AO244,Base!AO244,Aggr!AO244,EntDelay!AO244,HiAI!AO244,Incident!AO244,EntGated!AO244,FullScope!AO244)</f>
        <v>-4797597.05695244</v>
      </c>
      <c r="D61" s="9" t="n">
        <f aca="false">CHOOSE($B$3,Cons!AP244,Base!AP244,Aggr!AP244,EntDelay!AP244,HiAI!AP244,Incident!AP244,EntGated!AP244,FullScope!AP244)</f>
        <v>-5445485.38231884</v>
      </c>
    </row>
    <row r="62" customFormat="false" ht="15" hidden="false" customHeight="false" outlineLevel="0" collapsed="false">
      <c r="A62" s="0" t="s">
        <v>70</v>
      </c>
      <c r="B62" s="9" t="n">
        <f aca="false">CHOOSE($B$3,Cons!AN245,Base!AN245,Aggr!AN245,EntDelay!AN245,HiAI!AN245,Incident!AN245,EntGated!AN245,FullScope!AN245)</f>
        <v>2455738.97477917</v>
      </c>
      <c r="C62" s="9" t="n">
        <f aca="false">CHOOSE($B$3,Cons!AO245,Base!AO245,Aggr!AO245,EntDelay!AO245,HiAI!AO245,Incident!AO245,EntGated!AO245,FullScope!AO245)</f>
        <v>4780289.27116522</v>
      </c>
      <c r="D62" s="9" t="n">
        <f aca="false">CHOOSE($B$3,Cons!AP245,Base!AP245,Aggr!AP245,EntDelay!AP245,HiAI!AP245,Incident!AP245,EntGated!AP245,FullScope!AP245)</f>
        <v>5491159.78888288</v>
      </c>
    </row>
    <row r="63" customFormat="false" ht="15" hidden="false" customHeight="false" outlineLevel="0" collapsed="false">
      <c r="A63" s="0" t="s">
        <v>71</v>
      </c>
      <c r="B63" s="9" t="n">
        <f aca="false">CHOOSE($B$3,Cons!AN246,Base!AN246,Aggr!AN246,EntDelay!AN246,HiAI!AN246,Incident!AN246,EntGated!AN246,FullScope!AN246)</f>
        <v>-2455738.97477917</v>
      </c>
      <c r="C63" s="9" t="n">
        <f aca="false">CHOOSE($B$3,Cons!AO246,Base!AO246,Aggr!AO246,EntDelay!AO246,HiAI!AO246,Incident!AO246,EntGated!AO246,FullScope!AO246)</f>
        <v>-7236028.24594439</v>
      </c>
      <c r="D63" s="9" t="n">
        <f aca="false">CHOOSE($B$3,Cons!AP246,Base!AP246,Aggr!AP246,EntDelay!AP246,HiAI!AP246,Incident!AP246,EntGated!AP246,FullScope!AP246)</f>
        <v>-12727188.0348273</v>
      </c>
    </row>
    <row r="64" customFormat="false" ht="15" hidden="false" customHeight="false" outlineLevel="0" collapsed="false">
      <c r="A64" s="0" t="s">
        <v>72</v>
      </c>
      <c r="B64" s="9" t="n">
        <f aca="false">CHOOSE($B$3,Cons!AN247,Base!AN247,Aggr!AN247,EntDelay!AN247,HiAI!AN247,Incident!AN247,EntGated!AN247,FullScope!AN247)</f>
        <v>544261.02522083</v>
      </c>
      <c r="C64" s="9" t="n">
        <f aca="false">CHOOSE($B$3,Cons!AO247,Base!AO247,Aggr!AO247,EntDelay!AO247,HiAI!AO247,Incident!AO247,EntGated!AO247,FullScope!AO247)</f>
        <v>-4236028.24594439</v>
      </c>
      <c r="D64" s="9" t="n">
        <f aca="false">CHOOSE($B$3,Cons!AP247,Base!AP247,Aggr!AP247,EntDelay!AP247,HiAI!AP247,Incident!AP247,EntGated!AP247,FullScope!AP247)</f>
        <v>-9727188.03482726</v>
      </c>
    </row>
    <row r="65" customFormat="false" ht="15" hidden="false" customHeight="false" outlineLevel="0" collapsed="false">
      <c r="A65" s="0" t="s">
        <v>73</v>
      </c>
      <c r="B65" s="9" t="n">
        <f aca="false">CHOOSE($B$3,Cons!AN248,Base!AN248,Aggr!AN248,EntDelay!AN248,HiAI!AN248,Incident!AN248,EntGated!AN248,FullScope!AN248)</f>
        <v>15840</v>
      </c>
      <c r="C65" s="9" t="n">
        <f aca="false">CHOOSE($B$3,Cons!AO248,Base!AO248,Aggr!AO248,EntDelay!AO248,HiAI!AO248,Incident!AO248,EntGated!AO248,FullScope!AO248)</f>
        <v>147554.40054726</v>
      </c>
      <c r="D65" s="9" t="n">
        <f aca="false">CHOOSE($B$3,Cons!AP248,Base!AP248,Aggr!AP248,EntDelay!AP248,HiAI!AP248,Incident!AP248,EntGated!AP248,FullScope!AP248)</f>
        <v>1364285.98227258</v>
      </c>
    </row>
    <row r="66" customFormat="false" ht="15" hidden="false" customHeight="false" outlineLevel="0" collapsed="false">
      <c r="A66" s="0" t="s">
        <v>74</v>
      </c>
      <c r="B66" s="13" t="n">
        <f aca="false">CHOOSE($B$3,Cons!AN249,Base!AN249,Aggr!AN249,EntDelay!AN249,HiAI!AN249,Incident!AN249,EntGated!AN249,FullScope!AN249)</f>
        <v>155.034026185554</v>
      </c>
      <c r="C66" s="13" t="n">
        <f aca="false">CHOOSE($B$3,Cons!AO249,Base!AO249,Aggr!AO249,EntDelay!AO249,HiAI!AO249,Incident!AO249,EntGated!AO249,FullScope!AO249)</f>
        <v>32.3967923249713</v>
      </c>
      <c r="D66" s="13" t="n">
        <f aca="false">CHOOSE($B$3,Cons!AP249,Base!AP249,Aggr!AP249,EntDelay!AP249,HiAI!AP249,Incident!AP249,EntGated!AP249,FullScope!AP249)</f>
        <v>4.0249330860498</v>
      </c>
    </row>
    <row r="67" customFormat="false" ht="15" hidden="false" customHeight="false" outlineLevel="0" collapsed="false">
      <c r="A67" s="0" t="s">
        <v>75</v>
      </c>
      <c r="B67" s="13" t="n">
        <f aca="false">CHOOSE($B$3,Cons!AN251,Base!AN251,Aggr!AN251,EntDelay!AN251,HiAI!AN251,Incident!AN251,EntGated!AN251,FullScope!AN251)</f>
        <v>0</v>
      </c>
      <c r="C67" s="13" t="n">
        <f aca="false">CHOOSE($B$3,Cons!AO251,Base!AO251,Aggr!AO251,EntDelay!AO251,HiAI!AO251,Incident!AO251,EntGated!AO251,FullScope!AO251)</f>
        <v>932.4116298671</v>
      </c>
      <c r="D67" s="13" t="n">
        <f aca="false">CHOOSE($B$3,Cons!AP251,Base!AP251,Aggr!AP251,EntDelay!AP251,HiAI!AP251,Incident!AP251,EntGated!AP251,FullScope!AP251)</f>
        <v>622.401245684949</v>
      </c>
    </row>
    <row r="68" customFormat="false" ht="15" hidden="false" customHeight="false" outlineLevel="0" collapsed="false">
      <c r="A68" s="0" t="s">
        <v>76</v>
      </c>
      <c r="B68" s="13" t="n">
        <f aca="false">CHOOSE($B$3,Cons!AN251,Base!AN251,Aggr!AN251,EntDelay!AN251,HiAI!AN251,Incident!AN251,EntGated!AN251,FullScope!AN251)</f>
        <v>0</v>
      </c>
      <c r="C68" s="13" t="n">
        <f aca="false">CHOOSE($B$3,Cons!AO251,Base!AO251,Aggr!AO251,EntDelay!AO251,HiAI!AO251,Incident!AO251,EntGated!AO251,FullScope!AO251)</f>
        <v>932.4116298671</v>
      </c>
      <c r="D68" s="13" t="n">
        <f aca="false">CHOOSE($B$3,Cons!AP251,Base!AP251,Aggr!AP251,EntDelay!AP251,HiAI!AP251,Incident!AP251,EntGated!AP251,FullScope!AP251)</f>
        <v>622.401245684949</v>
      </c>
    </row>
    <row r="69" customFormat="false" ht="15" hidden="false" customHeight="false" outlineLevel="0" collapsed="false">
      <c r="A69" s="0" t="s">
        <v>77</v>
      </c>
      <c r="B69" s="14" t="n">
        <f aca="false">CHOOSE($B$3,Cons!AN252,Base!AN252,Aggr!AN252,EntDelay!AN252,HiAI!AN252,Incident!AN252,EntGated!AN252,FullScope!AN252)</f>
        <v>0</v>
      </c>
      <c r="C69" s="14" t="n">
        <f aca="false">CHOOSE($B$3,Cons!AO252,Base!AO252,Aggr!AO252,EntDelay!AO252,HiAI!AO252,Incident!AO252,EntGated!AO252,FullScope!AO252)</f>
        <v>4.73816699513621</v>
      </c>
      <c r="D69" s="14" t="n">
        <f aca="false">CHOOSE($B$3,Cons!AP252,Base!AP252,Aggr!AP252,EntDelay!AP252,HiAI!AP252,Incident!AP252,EntGated!AP252,FullScope!AP252)</f>
        <v>5.71702778571874</v>
      </c>
    </row>
    <row r="70" customFormat="false" ht="15" hidden="false" customHeight="false" outlineLevel="0" collapsed="false">
      <c r="A70" s="0" t="s">
        <v>78</v>
      </c>
      <c r="B70" s="12" t="n">
        <f aca="false">CHOOSE($B$3,Cons!AN253,Base!AN253,Aggr!AN253,EntDelay!AN253,HiAI!AN253,Incident!AN253,EntGated!AN253,FullScope!AN253)</f>
        <v>0</v>
      </c>
      <c r="C70" s="12" t="n">
        <f aca="false">CHOOSE($B$3,Cons!AO253,Base!AO253,Aggr!AO253,EntDelay!AO253,HiAI!AO253,Incident!AO253,EntGated!AO253,FullScope!AO253)</f>
        <v>0.744948314218905</v>
      </c>
      <c r="D70" s="12" t="n">
        <f aca="false">CHOOSE($B$3,Cons!AP253,Base!AP253,Aggr!AP253,EntDelay!AP253,HiAI!AP253,Incident!AP253,EntGated!AP253,FullScope!AP253)</f>
        <v>0.766761624389786</v>
      </c>
    </row>
    <row r="71" customFormat="false" ht="15" hidden="false" customHeight="false" outlineLevel="0" collapsed="false">
      <c r="A71" s="0" t="s">
        <v>79</v>
      </c>
      <c r="B71" s="13" t="n">
        <f aca="false">CHOOSE($B$3,Cons!AN254,Base!AN254,Aggr!AN254,EntDelay!AN254,HiAI!AN254,Incident!AN254,EntGated!AN254,FullScope!AN254)</f>
        <v>0</v>
      </c>
      <c r="C71" s="13" t="n">
        <f aca="false">CHOOSE($B$3,Cons!AO254,Base!AO254,Aggr!AO254,EntDelay!AO254,HiAI!AO254,Incident!AO254,EntGated!AO254,FullScope!AO254)</f>
        <v>264.162506579909</v>
      </c>
      <c r="D71" s="13" t="n">
        <f aca="false">CHOOSE($B$3,Cons!AP254,Base!AP254,Aggr!AP254,EntDelay!AP254,HiAI!AP254,Incident!AP254,EntGated!AP254,FullScope!AP254)</f>
        <v>141.984122408483</v>
      </c>
    </row>
    <row r="72" customFormat="false" ht="15" hidden="false" customHeight="false" outlineLevel="0" collapsed="false">
      <c r="A72" s="0" t="s">
        <v>80</v>
      </c>
      <c r="B72" s="9" t="n">
        <f aca="false">CHOOSE($B$3,Cons!AN255,Base!AN255,Aggr!AN255,EntDelay!AN255,HiAI!AN255,Incident!AN255,EntGated!AN255,FullScope!AN255)</f>
        <v>255500.888888889</v>
      </c>
      <c r="C72" s="9" t="n">
        <f aca="false">CHOOSE($B$3,Cons!AO255,Base!AO255,Aggr!AO255,EntDelay!AO255,HiAI!AO255,Incident!AO255,EntGated!AO255,FullScope!AO255)</f>
        <v>228151.267759563</v>
      </c>
      <c r="D72" s="9" t="n">
        <f aca="false">CHOOSE($B$3,Cons!AP255,Base!AP255,Aggr!AP255,EntDelay!AP255,HiAI!AP255,Incident!AP255,EntGated!AP255,FullScope!AP255)</f>
        <v>58889.7882352941</v>
      </c>
    </row>
    <row r="73" customFormat="false" ht="15" hidden="false" customHeight="false" outlineLevel="0" collapsed="false">
      <c r="A73" s="0" t="s">
        <v>81</v>
      </c>
      <c r="B73" s="9" t="n">
        <f aca="false">CHOOSE($B$3,Cons!AN256,Base!AN256,Aggr!AN256,EntDelay!AN256,HiAI!AN256,Incident!AN256,EntGated!AN256,FullScope!AN256)</f>
        <v>0</v>
      </c>
      <c r="C73" s="9" t="n">
        <f aca="false">CHOOSE($B$3,Cons!AO256,Base!AO256,Aggr!AO256,EntDelay!AO256,HiAI!AO256,Incident!AO256,EntGated!AO256,FullScope!AO256)</f>
        <v>69586.1366666667</v>
      </c>
      <c r="D73" s="9" t="n">
        <f aca="false">CHOOSE($B$3,Cons!AP256,Base!AP256,Aggr!AP256,EntDelay!AP256,HiAI!AP256,Incident!AP256,EntGated!AP256,FullScope!AP256)</f>
        <v>34761.3333333333</v>
      </c>
    </row>
    <row r="74" customFormat="false" ht="15" hidden="false" customHeight="false" outlineLevel="0" collapsed="false">
      <c r="A74" s="0" t="s">
        <v>82</v>
      </c>
      <c r="B74" s="12" t="n">
        <f aca="false">CHOOSE($B$3,Cons!AN257,Base!AN257,Aggr!AN257,EntDelay!AN257,HiAI!AN257,Incident!AN257,EntGated!AN257,FullScope!AN257)</f>
        <v>0.968</v>
      </c>
      <c r="C74" s="12" t="n">
        <f aca="false">CHOOSE($B$3,Cons!AO257,Base!AO257,Aggr!AO257,EntDelay!AO257,HiAI!AO257,Incident!AO257,EntGated!AO257,FullScope!AO257)</f>
        <v>0.968</v>
      </c>
      <c r="D74" s="12" t="n">
        <f aca="false">CHOOSE($B$3,Cons!AP257,Base!AP257,Aggr!AP257,EntDelay!AP257,HiAI!AP257,Incident!AP257,EntGated!AP257,FullScope!AP257)</f>
        <v>0.968</v>
      </c>
    </row>
    <row r="75" customFormat="false" ht="15" hidden="false" customHeight="false" outlineLevel="0" collapsed="false">
      <c r="A75" s="0" t="s">
        <v>83</v>
      </c>
      <c r="B75" s="12" t="n">
        <f aca="false">CHOOSE($B$3,Cons!AN258,Base!AN258,Aggr!AN258,EntDelay!AN258,HiAI!AN258,Incident!AN258,EntGated!AN258,FullScope!AN258)</f>
        <v>0.88</v>
      </c>
      <c r="C75" s="12" t="n">
        <f aca="false">CHOOSE($B$3,Cons!AO258,Base!AO258,Aggr!AO258,EntDelay!AO258,HiAI!AO258,Incident!AO258,EntGated!AO258,FullScope!AO258)</f>
        <v>0.88</v>
      </c>
      <c r="D75" s="12" t="n">
        <f aca="false">CHOOSE($B$3,Cons!AP258,Base!AP258,Aggr!AP258,EntDelay!AP258,HiAI!AP258,Incident!AP258,EntGated!AP258,FullScope!AP258)</f>
        <v>0.88</v>
      </c>
    </row>
    <row r="76" customFormat="false" ht="15" hidden="false" customHeight="false" outlineLevel="0" collapsed="false">
      <c r="A76" s="0" t="s">
        <v>84</v>
      </c>
      <c r="B76" s="13" t="n">
        <f aca="false">CHOOSE($B$3,Cons!AN259,Base!AN259,Aggr!AN259,EntDelay!AN259,HiAI!AN259,Incident!AN259,EntGated!AN259,FullScope!AN259)</f>
        <v>0.6</v>
      </c>
      <c r="C76" s="13" t="n">
        <f aca="false">CHOOSE($B$3,Cons!AO259,Base!AO259,Aggr!AO259,EntDelay!AO259,HiAI!AO259,Incident!AO259,EntGated!AO259,FullScope!AO259)</f>
        <v>3.578</v>
      </c>
      <c r="D76" s="13" t="n">
        <f aca="false">CHOOSE($B$3,Cons!AP259,Base!AP259,Aggr!AP259,EntDelay!AP259,HiAI!AP259,Incident!AP259,EntGated!AP259,FullScope!AP259)</f>
        <v>24.39864</v>
      </c>
    </row>
    <row r="77" customFormat="false" ht="15" hidden="false" customHeight="false" outlineLevel="0" collapsed="false">
      <c r="A77" s="0" t="s">
        <v>85</v>
      </c>
      <c r="B77" s="9" t="n">
        <f aca="false">CHOOSE($B$3,Cons!AN260,Base!AN260,Aggr!AN260,EntDelay!AN260,HiAI!AN260,Incident!AN260,EntGated!AN260,FullScope!AN260)</f>
        <v>0</v>
      </c>
      <c r="C77" s="9" t="n">
        <f aca="false">CHOOSE($B$3,Cons!AO260,Base!AO260,Aggr!AO260,EntDelay!AO260,HiAI!AO260,Incident!AO260,EntGated!AO260,FullScope!AO260)</f>
        <v>256.966398049017</v>
      </c>
      <c r="D77" s="9" t="n">
        <f aca="false">CHOOSE($B$3,Cons!AP260,Base!AP260,Aggr!AP260,EntDelay!AP260,HiAI!AP260,Incident!AP260,EntGated!AP260,FullScope!AP260)</f>
        <v>719.967198361525</v>
      </c>
    </row>
    <row r="78" customFormat="false" ht="15" hidden="false" customHeight="false" outlineLevel="0" collapsed="false">
      <c r="A78" s="0" t="s">
        <v>86</v>
      </c>
      <c r="B78" s="9" t="n">
        <f aca="false">CHOOSE($B$3,Cons!AN261,Base!AN261,Aggr!AN261,EntDelay!AN261,HiAI!AN261,Incident!AN261,EntGated!AN261,FullScope!AN261)</f>
        <v>3041.21574138794</v>
      </c>
      <c r="C78" s="9" t="n">
        <f aca="false">CHOOSE($B$3,Cons!AO261,Base!AO261,Aggr!AO261,EntDelay!AO261,HiAI!AO261,Incident!AO261,EntGated!AO261,FullScope!AO261)</f>
        <v>23495.0146141107</v>
      </c>
      <c r="D78" s="9" t="n">
        <f aca="false">CHOOSE($B$3,Cons!AP261,Base!AP261,Aggr!AP261,EntDelay!AP261,HiAI!AP261,Incident!AP261,EntGated!AP261,FullScope!AP261)</f>
        <v>74697.5499028581</v>
      </c>
    </row>
    <row r="79" customFormat="false" ht="15" hidden="false" customHeight="false" outlineLevel="0" collapsed="false">
      <c r="A79" s="0" t="s">
        <v>87</v>
      </c>
      <c r="B79" s="14" t="n">
        <f aca="false">CHOOSE($B$3,Cons!AN262,Base!AN262,Aggr!AN262,EntDelay!AN262,HiAI!AN262,Incident!AN262,EntGated!AN262,FullScope!AN262)</f>
        <v>1.50599710904444</v>
      </c>
      <c r="C79" s="14" t="n">
        <f aca="false">CHOOSE($B$3,Cons!AO262,Base!AO262,Aggr!AO262,EntDelay!AO262,HiAI!AO262,Incident!AO262,EntGated!AO262,FullScope!AO262)</f>
        <v>0.429271467504525</v>
      </c>
      <c r="D79" s="14" t="n">
        <f aca="false">CHOOSE($B$3,Cons!AP262,Base!AP262,Aggr!AP262,EntDelay!AP262,HiAI!AP262,Incident!AP262,EntGated!AP262,FullScope!AP262)</f>
        <v>0.308850915452562</v>
      </c>
    </row>
    <row r="80" customFormat="false" ht="15" hidden="false" customHeight="false" outlineLevel="0" collapsed="false">
      <c r="A80" s="0" t="s">
        <v>88</v>
      </c>
      <c r="B80" s="12" t="n">
        <f aca="false">CHOOSE($B$3,Cons!AN263,Base!AN263,Aggr!AN263,EntDelay!AN263,HiAI!AN263,Incident!AN263,EntGated!AN263,FullScope!AN263)</f>
        <v>20.8184641568667</v>
      </c>
      <c r="C80" s="12" t="n">
        <f aca="false">CHOOSE($B$3,Cons!AO263,Base!AO263,Aggr!AO263,EntDelay!AO263,HiAI!AO263,Incident!AO263,EntGated!AO263,FullScope!AO263)</f>
        <v>0.134827288294249</v>
      </c>
      <c r="D80" s="12" t="n">
        <f aca="false">CHOOSE($B$3,Cons!AP263,Base!AP263,Aggr!AP263,EntDelay!AP263,HiAI!AP263,Incident!AP263,EntGated!AP263,FullScope!AP263)</f>
        <v>0.0790468237746106</v>
      </c>
    </row>
    <row r="81" customFormat="false" ht="15" hidden="false" customHeight="false" outlineLevel="0" collapsed="false">
      <c r="A81" s="0" t="s">
        <v>89</v>
      </c>
      <c r="B81" s="13" t="n">
        <f aca="false">CHOOSE($B$3,Cons!AN264,Base!AN264,Aggr!AN264,EntDelay!AN264,HiAI!AN264,Incident!AN264,EntGated!AN264,FullScope!AN264)</f>
        <v>18.4</v>
      </c>
      <c r="C81" s="13" t="n">
        <f aca="false">CHOOSE($B$3,Cons!AO264,Base!AO264,Aggr!AO264,EntDelay!AO264,HiAI!AO264,Incident!AO264,EntGated!AO264,FullScope!AO264)</f>
        <v>31.4</v>
      </c>
      <c r="D81" s="13" t="n">
        <f aca="false">CHOOSE($B$3,Cons!AP264,Base!AP264,Aggr!AP264,EntDelay!AP264,HiAI!AP264,Incident!AP264,EntGated!AP264,FullScope!AP264)</f>
        <v>40.4</v>
      </c>
    </row>
    <row r="82" customFormat="false" ht="15" hidden="false" customHeight="false" outlineLevel="0" collapsed="false">
      <c r="A82" s="0" t="s">
        <v>90</v>
      </c>
      <c r="B82" s="9" t="n">
        <f aca="false">CHOOSE($B$3,Cons!AN265,Base!AN265,Aggr!AN265,EntDelay!AN265,HiAI!AN265,Incident!AN265,EntGated!AN265,FullScope!AN265)</f>
        <v>860.869565217391</v>
      </c>
      <c r="C82" s="9" t="n">
        <f aca="false">CHOOSE($B$3,Cons!AO265,Base!AO265,Aggr!AO265,EntDelay!AO265,HiAI!AO265,Incident!AO265,EntGated!AO265,FullScope!AO265)</f>
        <v>5203.64332953058</v>
      </c>
      <c r="D82" s="9" t="n">
        <f aca="false">CHOOSE($B$3,Cons!AP265,Base!AP265,Aggr!AP265,EntDelay!AP265,HiAI!AP265,Incident!AP265,EntGated!AP265,FullScope!AP265)</f>
        <v>37813.8708618773</v>
      </c>
    </row>
    <row r="83" customFormat="false" ht="15" hidden="false" customHeight="false" outlineLevel="0" collapsed="false">
      <c r="A83" s="0" t="s">
        <v>91</v>
      </c>
      <c r="B83" s="12" t="n">
        <f aca="false">CHOOSE($B$3,Cons!AN266,Base!AN266,Aggr!AN266,EntDelay!AN266,HiAI!AN266,Incident!AN266,EntGated!AN266,FullScope!AN266)</f>
        <v>0</v>
      </c>
      <c r="C83" s="12" t="n">
        <f aca="false">CHOOSE($B$3,Cons!AO266,Base!AO266,Aggr!AO266,EntDelay!AO266,HiAI!AO266,Incident!AO266,EntGated!AO266,FullScope!AO266)</f>
        <v>0.0258846896897066</v>
      </c>
      <c r="D83" s="12" t="n">
        <f aca="false">CHOOSE($B$3,Cons!AP266,Base!AP266,Aggr!AP266,EntDelay!AP266,HiAI!AP266,Incident!AP266,EntGated!AP266,FullScope!AP266)</f>
        <v>0.0351852873588045</v>
      </c>
    </row>
    <row r="84" customFormat="false" ht="15" hidden="false" customHeight="false" outlineLevel="0" collapsed="false">
      <c r="A84" s="0" t="s">
        <v>92</v>
      </c>
      <c r="B84" s="13" t="n">
        <f aca="false">CHOOSE($B$3,Cons!AN267,Base!AN267,Aggr!AN267,EntDelay!AN267,HiAI!AN267,Incident!AN267,EntGated!AN267,FullScope!AN267)</f>
        <v>0</v>
      </c>
      <c r="C84" s="13" t="n">
        <f aca="false">CHOOSE($B$3,Cons!AO267,Base!AO267,Aggr!AO267,EntDelay!AO267,HiAI!AO267,Incident!AO267,EntGated!AO267,FullScope!AO267)</f>
        <v>136.362056405799</v>
      </c>
      <c r="D84" s="13" t="n">
        <f aca="false">CHOOSE($B$3,Cons!AP267,Base!AP267,Aggr!AP267,EntDelay!AP267,HiAI!AP267,Incident!AP267,EntGated!AP267,FullScope!AP267)</f>
        <v>124.586093811234</v>
      </c>
    </row>
    <row r="85" customFormat="false" ht="15" hidden="false" customHeight="false" outlineLevel="0" collapsed="false">
      <c r="A85" s="0" t="s">
        <v>93</v>
      </c>
      <c r="B85" s="14" t="n">
        <f aca="false">CHOOSE($B$3,Cons!AN268,Base!AN268,Aggr!AN268,EntDelay!AN268,HiAI!AN268,Incident!AN268,EntGated!AN268,FullScope!AN268)</f>
        <v>0</v>
      </c>
      <c r="C85" s="14" t="n">
        <f aca="false">CHOOSE($B$3,Cons!AO268,Base!AO268,Aggr!AO268,EntDelay!AO268,HiAI!AO268,Incident!AO268,EntGated!AO268,FullScope!AO268)</f>
        <v>0.146246627602913</v>
      </c>
      <c r="D85" s="14" t="n">
        <f aca="false">CHOOSE($B$3,Cons!AP268,Base!AP268,Aggr!AP268,EntDelay!AP268,HiAI!AP268,Incident!AP268,EntGated!AP268,FullScope!AP268)</f>
        <v>0.200170058583555</v>
      </c>
    </row>
    <row r="86" customFormat="false" ht="15" hidden="false" customHeight="false" outlineLevel="0" collapsed="false">
      <c r="A86" s="0" t="s">
        <v>94</v>
      </c>
      <c r="B86" s="9" t="n">
        <f aca="false">CHOOSE($B$3,Cons!AN269,Base!AN269,Aggr!AN269,EntDelay!AN269,HiAI!AN269,Incident!AN269,EntGated!AN269,FullScope!AN269)</f>
        <v>3481.4412051703</v>
      </c>
      <c r="C86" s="9" t="n">
        <f aca="false">CHOOSE($B$3,Cons!AO269,Base!AO269,Aggr!AO269,EntDelay!AO269,HiAI!AO269,Incident!AO269,EntGated!AO269,FullScope!AO269)</f>
        <v>36765.9756966124</v>
      </c>
      <c r="D86" s="9" t="n">
        <f aca="false">CHOOSE($B$3,Cons!AP269,Base!AP269,Aggr!AP269,EntDelay!AP269,HiAI!AP269,Incident!AP269,EntGated!AP269,FullScope!AP269)</f>
        <v>78480.6244616909</v>
      </c>
    </row>
    <row r="87" customFormat="false" ht="15" hidden="false" customHeight="false" outlineLevel="0" collapsed="false">
      <c r="A87" s="0" t="s">
        <v>95</v>
      </c>
      <c r="B87" s="12" t="n">
        <f aca="false">CHOOSE($B$3,Cons!AN270,Base!AN270,Aggr!AN270,EntDelay!AN270,HiAI!AN270,Incident!AN270,EntGated!AN270,FullScope!AN270)</f>
        <v>0</v>
      </c>
      <c r="C87" s="12" t="n">
        <f aca="false">CHOOSE($B$3,Cons!AO270,Base!AO270,Aggr!AO270,EntDelay!AO270,HiAI!AO270,Incident!AO270,EntGated!AO270,FullScope!AO270)</f>
        <v>5.03278230484376</v>
      </c>
      <c r="D87" s="12" t="n">
        <f aca="false">CHOOSE($B$3,Cons!AP270,Base!AP270,Aggr!AP270,EntDelay!AP270,HiAI!AP270,Incident!AP270,EntGated!AP270,FullScope!AP270)</f>
        <v>2.34194047036863</v>
      </c>
    </row>
    <row r="88" customFormat="false" ht="15" hidden="false" customHeight="false" outlineLevel="0" collapsed="false">
      <c r="A88" s="0" t="s">
        <v>96</v>
      </c>
      <c r="B88" s="12" t="n">
        <f aca="false">CHOOSE($B$3,Cons!AN271,Base!AN271,Aggr!AN271,EntDelay!AN271,HiAI!AN271,Incident!AN271,EntGated!AN271,FullScope!AN271)</f>
        <v>0</v>
      </c>
      <c r="C88" s="12" t="n">
        <f aca="false">CHOOSE($B$3,Cons!AO271,Base!AO271,Aggr!AO271,EntDelay!AO271,HiAI!AO271,Incident!AO271,EntGated!AO271,FullScope!AO271)</f>
        <v>0.0153291838089761</v>
      </c>
      <c r="D88" s="12" t="n">
        <f aca="false">CHOOSE($B$3,Cons!AP271,Base!AP271,Aggr!AP271,EntDelay!AP271,HiAI!AP271,Incident!AP271,EntGated!AP271,FullScope!AP271)</f>
        <v>0.0257059845779436</v>
      </c>
    </row>
    <row r="91" customFormat="false" ht="15" hidden="false" customHeight="false" outlineLevel="0" collapsed="false">
      <c r="A91" s="15" t="s">
        <v>97</v>
      </c>
    </row>
    <row r="92" customFormat="false" ht="15" hidden="false" customHeight="false" outlineLevel="0" collapsed="false">
      <c r="A92" s="0" t="s">
        <v>98</v>
      </c>
      <c r="B92" s="0" t="n">
        <v>1</v>
      </c>
      <c r="C92" s="0" t="n">
        <v>2</v>
      </c>
      <c r="D92" s="0" t="n">
        <v>3</v>
      </c>
      <c r="E92" s="0" t="n">
        <v>4</v>
      </c>
      <c r="F92" s="0" t="n">
        <v>5</v>
      </c>
      <c r="G92" s="0" t="n">
        <v>6</v>
      </c>
      <c r="H92" s="0" t="n">
        <v>7</v>
      </c>
      <c r="I92" s="0" t="n">
        <v>8</v>
      </c>
      <c r="J92" s="0" t="n">
        <v>9</v>
      </c>
      <c r="K92" s="0" t="n">
        <v>10</v>
      </c>
      <c r="L92" s="0" t="n">
        <v>11</v>
      </c>
      <c r="M92" s="0" t="n">
        <v>12</v>
      </c>
      <c r="N92" s="0" t="n">
        <v>13</v>
      </c>
      <c r="O92" s="0" t="n">
        <v>14</v>
      </c>
      <c r="P92" s="0" t="n">
        <v>15</v>
      </c>
      <c r="Q92" s="0" t="n">
        <v>16</v>
      </c>
      <c r="R92" s="0" t="n">
        <v>17</v>
      </c>
      <c r="S92" s="0" t="n">
        <v>18</v>
      </c>
      <c r="T92" s="0" t="n">
        <v>19</v>
      </c>
      <c r="U92" s="0" t="n">
        <v>20</v>
      </c>
      <c r="V92" s="0" t="n">
        <v>21</v>
      </c>
      <c r="W92" s="0" t="n">
        <v>22</v>
      </c>
      <c r="X92" s="0" t="n">
        <v>23</v>
      </c>
      <c r="Y92" s="0" t="n">
        <v>24</v>
      </c>
      <c r="Z92" s="0" t="n">
        <v>25</v>
      </c>
      <c r="AA92" s="0" t="n">
        <v>26</v>
      </c>
      <c r="AB92" s="0" t="n">
        <v>27</v>
      </c>
      <c r="AC92" s="0" t="n">
        <v>28</v>
      </c>
      <c r="AD92" s="0" t="n">
        <v>29</v>
      </c>
      <c r="AE92" s="0" t="n">
        <v>30</v>
      </c>
      <c r="AF92" s="0" t="n">
        <v>31</v>
      </c>
      <c r="AG92" s="0" t="n">
        <v>32</v>
      </c>
      <c r="AH92" s="0" t="n">
        <v>33</v>
      </c>
      <c r="AI92" s="0" t="n">
        <v>34</v>
      </c>
      <c r="AJ92" s="0" t="n">
        <v>35</v>
      </c>
      <c r="AK92" s="0" t="n">
        <v>36</v>
      </c>
    </row>
    <row r="93" customFormat="false" ht="15" hidden="false" customHeight="false" outlineLevel="0" collapsed="false">
      <c r="A93" s="0" t="s">
        <v>50</v>
      </c>
      <c r="B93" s="9" t="n">
        <f aca="false">CHOOSE($B$3,Cons!C148,Base!C148,Aggr!C148,EntDelay!C148,HiAI!C148,Incident!C148,EntGated!C148,FullScope!C148)</f>
        <v>0</v>
      </c>
      <c r="C93" s="9" t="n">
        <f aca="false">CHOOSE($B$3,Cons!D148,Base!D148,Aggr!D148,EntDelay!D148,HiAI!D148,Incident!D148,EntGated!D148,FullScope!D148)</f>
        <v>0</v>
      </c>
      <c r="D93" s="9" t="n">
        <f aca="false">CHOOSE($B$3,Cons!E148,Base!E148,Aggr!E148,EntDelay!E148,HiAI!E148,Incident!E148,EntGated!E148,FullScope!E148)</f>
        <v>0</v>
      </c>
      <c r="E93" s="9" t="n">
        <f aca="false">CHOOSE($B$3,Cons!F148,Base!F148,Aggr!F148,EntDelay!F148,HiAI!F148,Incident!F148,EntGated!F148,FullScope!F148)</f>
        <v>0</v>
      </c>
      <c r="F93" s="9" t="n">
        <f aca="false">CHOOSE($B$3,Cons!G148,Base!G148,Aggr!G148,EntDelay!G148,HiAI!G148,Incident!G148,EntGated!G148,FullScope!G148)</f>
        <v>0</v>
      </c>
      <c r="G93" s="9" t="n">
        <f aca="false">CHOOSE($B$3,Cons!H148,Base!H148,Aggr!H148,EntDelay!H148,HiAI!H148,Incident!H148,EntGated!H148,FullScope!H148)</f>
        <v>0</v>
      </c>
      <c r="H93" s="9" t="n">
        <f aca="false">CHOOSE($B$3,Cons!I148,Base!I148,Aggr!I148,EntDelay!I148,HiAI!I148,Incident!I148,EntGated!I148,FullScope!I148)</f>
        <v>0</v>
      </c>
      <c r="I93" s="9" t="n">
        <f aca="false">CHOOSE($B$3,Cons!J148,Base!J148,Aggr!J148,EntDelay!J148,HiAI!J148,Incident!J148,EntGated!J148,FullScope!J148)</f>
        <v>0</v>
      </c>
      <c r="J93" s="9" t="n">
        <f aca="false">CHOOSE($B$3,Cons!K148,Base!K148,Aggr!K148,EntDelay!K148,HiAI!K148,Incident!K148,EntGated!K148,FullScope!K148)</f>
        <v>0</v>
      </c>
      <c r="K93" s="9" t="n">
        <f aca="false">CHOOSE($B$3,Cons!L148,Base!L148,Aggr!L148,EntDelay!L148,HiAI!L148,Incident!L148,EntGated!L148,FullScope!L148)</f>
        <v>0</v>
      </c>
      <c r="L93" s="9" t="n">
        <f aca="false">CHOOSE($B$3,Cons!M148,Base!M148,Aggr!M148,EntDelay!M148,HiAI!M148,Incident!M148,EntGated!M148,FullScope!M148)</f>
        <v>0</v>
      </c>
      <c r="M93" s="9" t="n">
        <f aca="false">CHOOSE($B$3,Cons!N148,Base!N148,Aggr!N148,EntDelay!N148,HiAI!N148,Incident!N148,EntGated!N148,FullScope!N148)</f>
        <v>15840</v>
      </c>
      <c r="N93" s="9" t="n">
        <f aca="false">CHOOSE($B$3,Cons!O148,Base!O148,Aggr!O148,EntDelay!O148,HiAI!O148,Incident!O148,EntGated!O148,FullScope!O148)</f>
        <v>16151.5761222341</v>
      </c>
      <c r="O93" s="9" t="n">
        <f aca="false">CHOOSE($B$3,Cons!P148,Base!P148,Aggr!P148,EntDelay!P148,HiAI!P148,Incident!P148,EntGated!P148,FullScope!P148)</f>
        <v>16836.886822386</v>
      </c>
      <c r="P93" s="9" t="n">
        <f aca="false">CHOOSE($B$3,Cons!Q148,Base!Q148,Aggr!Q148,EntDelay!Q148,HiAI!Q148,Incident!Q148,EntGated!Q148,FullScope!Q148)</f>
        <v>62678.373122551</v>
      </c>
      <c r="Q93" s="9" t="n">
        <f aca="false">CHOOSE($B$3,Cons!R148,Base!R148,Aggr!R148,EntDelay!R148,HiAI!R148,Incident!R148,EntGated!R148,FullScope!R148)</f>
        <v>63828.8052262519</v>
      </c>
      <c r="R93" s="9" t="n">
        <f aca="false">CHOOSE($B$3,Cons!S148,Base!S148,Aggr!S148,EntDelay!S148,HiAI!S148,Incident!S148,EntGated!S148,FullScope!S148)</f>
        <v>65117.3960437029</v>
      </c>
      <c r="S93" s="9" t="n">
        <f aca="false">CHOOSE($B$3,Cons!T148,Base!T148,Aggr!T148,EntDelay!T148,HiAI!T148,Incident!T148,EntGated!T148,FullScope!T148)</f>
        <v>66470.1501284794</v>
      </c>
      <c r="T93" s="9" t="n">
        <f aca="false">CHOOSE($B$3,Cons!U148,Base!U148,Aggr!U148,EntDelay!U148,HiAI!U148,Incident!U148,EntGated!U148,FullScope!U148)</f>
        <v>67849.7732678161</v>
      </c>
      <c r="U93" s="9" t="n">
        <f aca="false">CHOOSE($B$3,Cons!V148,Base!V148,Aggr!V148,EntDelay!V148,HiAI!V148,Incident!V148,EntGated!V148,FullScope!V148)</f>
        <v>85725.5938498793</v>
      </c>
      <c r="V93" s="9" t="n">
        <f aca="false">CHOOSE($B$3,Cons!W148,Base!W148,Aggr!W148,EntDelay!W148,HiAI!W148,Incident!W148,EntGated!W148,FullScope!W148)</f>
        <v>87558.75206357</v>
      </c>
      <c r="W93" s="9" t="n">
        <f aca="false">CHOOSE($B$3,Cons!X148,Base!X148,Aggr!X148,EntDelay!X148,HiAI!X148,Incident!X148,EntGated!X148,FullScope!X148)</f>
        <v>89785.0474258275</v>
      </c>
      <c r="X93" s="9" t="n">
        <f aca="false">CHOOSE($B$3,Cons!Y148,Base!Y148,Aggr!Y148,EntDelay!Y148,HiAI!Y148,Incident!Y148,EntGated!Y148,FullScope!Y148)</f>
        <v>161717.144218873</v>
      </c>
      <c r="Y93" s="9" t="n">
        <f aca="false">CHOOSE($B$3,Cons!Z148,Base!Z148,Aggr!Z148,EntDelay!Z148,HiAI!Z148,Incident!Z148,EntGated!Z148,FullScope!Z148)</f>
        <v>163394.40054726</v>
      </c>
      <c r="Z93" s="9" t="n">
        <f aca="false">CHOOSE($B$3,Cons!AA148,Base!AA148,Aggr!AA148,EntDelay!AA148,HiAI!AA148,Incident!AA148,EntGated!AA148,FullScope!AA148)</f>
        <v>177655.428790061</v>
      </c>
      <c r="AA93" s="9" t="n">
        <f aca="false">CHOOSE($B$3,Cons!AB148,Base!AB148,Aggr!AB148,EntDelay!AB148,HiAI!AB148,Incident!AB148,EntGated!AB148,FullScope!AB148)</f>
        <v>354127.542255186</v>
      </c>
      <c r="AB93" s="9" t="n">
        <f aca="false">CHOOSE($B$3,Cons!AC148,Base!AC148,Aggr!AC148,EntDelay!AC148,HiAI!AC148,Incident!AC148,EntGated!AC148,FullScope!AC148)</f>
        <v>366259.594903373</v>
      </c>
      <c r="AC93" s="9" t="n">
        <f aca="false">CHOOSE($B$3,Cons!AD148,Base!AD148,Aggr!AD148,EntDelay!AD148,HiAI!AD148,Incident!AD148,EntGated!AD148,FullScope!AD148)</f>
        <v>380126.33932058</v>
      </c>
      <c r="AD93" s="9" t="n">
        <f aca="false">CHOOSE($B$3,Cons!AE148,Base!AE148,Aggr!AE148,EntDelay!AE148,HiAI!AE148,Incident!AE148,EntGated!AE148,FullScope!AE148)</f>
        <v>584786.934186259</v>
      </c>
      <c r="AE93" s="9" t="n">
        <f aca="false">CHOOSE($B$3,Cons!AF148,Base!AF148,Aggr!AF148,EntDelay!AF148,HiAI!AF148,Incident!AF148,EntGated!AF148,FullScope!AF148)</f>
        <v>605052.020772747</v>
      </c>
      <c r="AF93" s="9" t="n">
        <f aca="false">CHOOSE($B$3,Cons!AG148,Base!AG148,Aggr!AG148,EntDelay!AG148,HiAI!AG148,Incident!AG148,EntGated!AG148,FullScope!AG148)</f>
        <v>629988.879422103</v>
      </c>
      <c r="AG93" s="9" t="n">
        <f aca="false">CHOOSE($B$3,Cons!AH148,Base!AH148,Aggr!AH148,EntDelay!AH148,HiAI!AH148,Incident!AH148,EntGated!AH148,FullScope!AH148)</f>
        <v>861933.108497633</v>
      </c>
      <c r="AH93" s="9" t="n">
        <f aca="false">CHOOSE($B$3,Cons!AI148,Base!AI148,Aggr!AI148,EntDelay!AI148,HiAI!AI148,Incident!AI148,EntGated!AI148,FullScope!AI148)</f>
        <v>886280.672971703</v>
      </c>
      <c r="AI93" s="9" t="n">
        <f aca="false">CHOOSE($B$3,Cons!AJ148,Base!AJ148,Aggr!AJ148,EntDelay!AJ148,HiAI!AJ148,Incident!AJ148,EntGated!AJ148,FullScope!AJ148)</f>
        <v>910571.381695137</v>
      </c>
      <c r="AJ93" s="9" t="n">
        <f aca="false">CHOOSE($B$3,Cons!AK148,Base!AK148,Aggr!AK148,EntDelay!AK148,HiAI!AK148,Incident!AK148,EntGated!AK148,FullScope!AK148)</f>
        <v>1289568.33484474</v>
      </c>
      <c r="AK93" s="9" t="n">
        <f aca="false">CHOOSE($B$3,Cons!AL148,Base!AL148,Aggr!AL148,EntDelay!AL148,HiAI!AL148,Incident!AL148,EntGated!AL148,FullScope!AL148)</f>
        <v>1527680.38281984</v>
      </c>
    </row>
    <row r="94" customFormat="false" ht="15" hidden="false" customHeight="false" outlineLevel="0" collapsed="false">
      <c r="A94" s="0" t="s">
        <v>99</v>
      </c>
      <c r="B94" s="9" t="n">
        <f aca="false">CHOOSE($B$3,Cons!C146,Base!C146,Aggr!C146,EntDelay!C146,HiAI!C146,Incident!C146,EntGated!C146,FullScope!C146)</f>
        <v>0</v>
      </c>
      <c r="C94" s="9" t="n">
        <f aca="false">CHOOSE($B$3,Cons!D146,Base!D146,Aggr!D146,EntDelay!D146,HiAI!D146,Incident!D146,EntGated!D146,FullScope!D146)</f>
        <v>0</v>
      </c>
      <c r="D94" s="9" t="n">
        <f aca="false">CHOOSE($B$3,Cons!E146,Base!E146,Aggr!E146,EntDelay!E146,HiAI!E146,Incident!E146,EntGated!E146,FullScope!E146)</f>
        <v>0</v>
      </c>
      <c r="E94" s="9" t="n">
        <f aca="false">CHOOSE($B$3,Cons!F146,Base!F146,Aggr!F146,EntDelay!F146,HiAI!F146,Incident!F146,EntGated!F146,FullScope!F146)</f>
        <v>0</v>
      </c>
      <c r="F94" s="9" t="n">
        <f aca="false">CHOOSE($B$3,Cons!G146,Base!G146,Aggr!G146,EntDelay!G146,HiAI!G146,Incident!G146,EntGated!G146,FullScope!G146)</f>
        <v>0</v>
      </c>
      <c r="G94" s="9" t="n">
        <f aca="false">CHOOSE($B$3,Cons!H146,Base!H146,Aggr!H146,EntDelay!H146,HiAI!H146,Incident!H146,EntGated!H146,FullScope!H146)</f>
        <v>0</v>
      </c>
      <c r="H94" s="9" t="n">
        <f aca="false">CHOOSE($B$3,Cons!I146,Base!I146,Aggr!I146,EntDelay!I146,HiAI!I146,Incident!I146,EntGated!I146,FullScope!I146)</f>
        <v>0</v>
      </c>
      <c r="I94" s="9" t="n">
        <f aca="false">CHOOSE($B$3,Cons!J146,Base!J146,Aggr!J146,EntDelay!J146,HiAI!J146,Incident!J146,EntGated!J146,FullScope!J146)</f>
        <v>0</v>
      </c>
      <c r="J94" s="9" t="n">
        <f aca="false">CHOOSE($B$3,Cons!K146,Base!K146,Aggr!K146,EntDelay!K146,HiAI!K146,Incident!K146,EntGated!K146,FullScope!K146)</f>
        <v>0</v>
      </c>
      <c r="K94" s="9" t="n">
        <f aca="false">CHOOSE($B$3,Cons!L146,Base!L146,Aggr!L146,EntDelay!L146,HiAI!L146,Incident!L146,EntGated!L146,FullScope!L146)</f>
        <v>0</v>
      </c>
      <c r="L94" s="9" t="n">
        <f aca="false">CHOOSE($B$3,Cons!M146,Base!M146,Aggr!M146,EntDelay!M146,HiAI!M146,Incident!M146,EntGated!M146,FullScope!M146)</f>
        <v>0</v>
      </c>
      <c r="M94" s="9" t="n">
        <f aca="false">CHOOSE($B$3,Cons!N146,Base!N146,Aggr!N146,EntDelay!N146,HiAI!N146,Incident!N146,EntGated!N146,FullScope!N146)</f>
        <v>1320</v>
      </c>
      <c r="N94" s="9" t="n">
        <f aca="false">CHOOSE($B$3,Cons!O146,Base!O146,Aggr!O146,EntDelay!O146,HiAI!O146,Incident!O146,EntGated!O146,FullScope!O146)</f>
        <v>10845.9646768528</v>
      </c>
      <c r="O94" s="9" t="n">
        <f aca="false">CHOOSE($B$3,Cons!P146,Base!P146,Aggr!P146,EntDelay!P146,HiAI!P146,Incident!P146,EntGated!P146,FullScope!P146)</f>
        <v>10903.0739018655</v>
      </c>
      <c r="P94" s="9" t="n">
        <f aca="false">CHOOSE($B$3,Cons!Q146,Base!Q146,Aggr!Q146,EntDelay!Q146,HiAI!Q146,Incident!Q146,EntGated!Q146,FullScope!Q146)</f>
        <v>14723.1977602126</v>
      </c>
      <c r="Q94" s="9" t="n">
        <f aca="false">CHOOSE($B$3,Cons!R146,Base!R146,Aggr!R146,EntDelay!R146,HiAI!R146,Incident!R146,EntGated!R146,FullScope!R146)</f>
        <v>37652.400435521</v>
      </c>
      <c r="R94" s="9" t="n">
        <f aca="false">CHOOSE($B$3,Cons!S146,Base!S146,Aggr!S146,EntDelay!S146,HiAI!S146,Incident!S146,EntGated!S146,FullScope!S146)</f>
        <v>37759.7830036419</v>
      </c>
      <c r="S94" s="9" t="n">
        <f aca="false">CHOOSE($B$3,Cons!T146,Base!T146,Aggr!T146,EntDelay!T146,HiAI!T146,Incident!T146,EntGated!T146,FullScope!T146)</f>
        <v>37872.5125107066</v>
      </c>
      <c r="T94" s="9" t="n">
        <f aca="false">CHOOSE($B$3,Cons!U146,Base!U146,Aggr!U146,EntDelay!U146,HiAI!U146,Incident!U146,EntGated!U146,FullScope!U146)</f>
        <v>52487.4811056513</v>
      </c>
      <c r="U94" s="9" t="n">
        <f aca="false">CHOOSE($B$3,Cons!V146,Base!V146,Aggr!V146,EntDelay!V146,HiAI!V146,Incident!V146,EntGated!V146,FullScope!V146)</f>
        <v>53977.1328208233</v>
      </c>
      <c r="V94" s="9" t="n">
        <f aca="false">CHOOSE($B$3,Cons!W146,Base!W146,Aggr!W146,EntDelay!W146,HiAI!W146,Incident!W146,EntGated!W146,FullScope!W146)</f>
        <v>54129.8960052975</v>
      </c>
      <c r="W94" s="9" t="n">
        <f aca="false">CHOOSE($B$3,Cons!X146,Base!X146,Aggr!X146,EntDelay!X146,HiAI!X146,Incident!X146,EntGated!X146,FullScope!X146)</f>
        <v>56815.420618819</v>
      </c>
      <c r="X94" s="9" t="n">
        <f aca="false">CHOOSE($B$3,Cons!Y146,Base!Y146,Aggr!Y146,EntDelay!Y146,HiAI!Y146,Incident!Y146,EntGated!Y146,FullScope!Y146)</f>
        <v>69809.7620182395</v>
      </c>
      <c r="Y94" s="9" t="n">
        <f aca="false">CHOOSE($B$3,Cons!Z146,Base!Z146,Aggr!Z146,EntDelay!Z146,HiAI!Z146,Incident!Z146,EntGated!Z146,FullScope!Z146)</f>
        <v>69949.5333789384</v>
      </c>
      <c r="Z94" s="9" t="n">
        <f aca="false">CHOOSE($B$3,Cons!AA146,Base!AA146,Aggr!AA146,EntDelay!AA146,HiAI!AA146,Incident!AA146,EntGated!AA146,FullScope!AA146)</f>
        <v>80637.9523991718</v>
      </c>
      <c r="AA94" s="9" t="n">
        <f aca="false">CHOOSE($B$3,Cons!AB146,Base!AB146,Aggr!AB146,EntDelay!AB146,HiAI!AB146,Incident!AB146,EntGated!AB146,FullScope!AB146)</f>
        <v>110677.295187932</v>
      </c>
      <c r="AB94" s="9" t="n">
        <f aca="false">CHOOSE($B$3,Cons!AC146,Base!AC146,Aggr!AC146,EntDelay!AC146,HiAI!AC146,Incident!AC146,EntGated!AC146,FullScope!AC146)</f>
        <v>111688.299575281</v>
      </c>
      <c r="AC94" s="9" t="n">
        <f aca="false">CHOOSE($B$3,Cons!AD146,Base!AD146,Aggr!AD146,EntDelay!AD146,HiAI!AD146,Incident!AD146,EntGated!AD146,FullScope!AD146)</f>
        <v>135677.194943382</v>
      </c>
      <c r="AD94" s="9" t="n">
        <f aca="false">CHOOSE($B$3,Cons!AE146,Base!AE146,Aggr!AE146,EntDelay!AE146,HiAI!AE146,Incident!AE146,EntGated!AE146,FullScope!AE146)</f>
        <v>159732.244515522</v>
      </c>
      <c r="AE94" s="9" t="n">
        <f aca="false">CHOOSE($B$3,Cons!AF146,Base!AF146,Aggr!AF146,EntDelay!AF146,HiAI!AF146,Incident!AF146,EntGated!AF146,FullScope!AF146)</f>
        <v>206754.335064396</v>
      </c>
      <c r="AF94" s="9" t="n">
        <f aca="false">CHOOSE($B$3,Cons!AG146,Base!AG146,Aggr!AG146,EntDelay!AG146,HiAI!AG146,Incident!AG146,EntGated!AG146,FullScope!AG146)</f>
        <v>215452.406618509</v>
      </c>
      <c r="AG94" s="9" t="n">
        <f aca="false">CHOOSE($B$3,Cons!AH146,Base!AH146,Aggr!AH146,EntDelay!AH146,HiAI!AH146,Incident!AH146,EntGated!AH146,FullScope!AH146)</f>
        <v>235323.792374803</v>
      </c>
      <c r="AH94" s="9" t="n">
        <f aca="false">CHOOSE($B$3,Cons!AI146,Base!AI146,Aggr!AI146,EntDelay!AI146,HiAI!AI146,Incident!AI146,EntGated!AI146,FullScope!AI146)</f>
        <v>202540.414747642</v>
      </c>
      <c r="AI94" s="9" t="n">
        <f aca="false">CHOOSE($B$3,Cons!AJ146,Base!AJ146,Aggr!AJ146,EntDelay!AJ146,HiAI!AJ146,Incident!AJ146,EntGated!AJ146,FullScope!AJ146)</f>
        <v>214564.792794595</v>
      </c>
      <c r="AJ94" s="9" t="n">
        <f aca="false">CHOOSE($B$3,Cons!AK146,Base!AK146,Aggr!AK146,EntDelay!AK146,HiAI!AK146,Incident!AK146,EntGated!AK146,FullScope!AK146)</f>
        <v>268961.351784262</v>
      </c>
      <c r="AK94" s="9" t="n">
        <f aca="false">CHOOSE($B$3,Cons!AL146,Base!AL146,Aggr!AL146,EntDelay!AL146,HiAI!AL146,Incident!AL146,EntGated!AL146,FullScope!AL146)</f>
        <v>359931.629493632</v>
      </c>
    </row>
    <row r="95" customFormat="false" ht="15" hidden="false" customHeight="false" outlineLevel="0" collapsed="false">
      <c r="A95" s="0" t="s">
        <v>44</v>
      </c>
      <c r="B95" s="9" t="n">
        <f aca="false">CHOOSE($B$3,Cons!C226,Base!C226,Aggr!C226,EntDelay!C226,HiAI!C226,Incident!C226,EntGated!C226,FullScope!C226)</f>
        <v>-104365.441631733</v>
      </c>
      <c r="C95" s="9" t="n">
        <f aca="false">CHOOSE($B$3,Cons!D226,Base!D226,Aggr!D226,EntDelay!D226,HiAI!D226,Incident!D226,EntGated!D226,FullScope!D226)</f>
        <v>-104417.579617413</v>
      </c>
      <c r="D95" s="9" t="n">
        <f aca="false">CHOOSE($B$3,Cons!E226,Base!E226,Aggr!E226,EntDelay!E226,HiAI!E226,Incident!E226,EntGated!E226,FullScope!E226)</f>
        <v>-130322.138726663</v>
      </c>
      <c r="E95" s="9" t="n">
        <f aca="false">CHOOSE($B$3,Cons!F226,Base!F226,Aggr!F226,EntDelay!F226,HiAI!F226,Incident!F226,EntGated!F226,FullScope!F226)</f>
        <v>-145435.801294106</v>
      </c>
      <c r="F95" s="9" t="n">
        <f aca="false">CHOOSE($B$3,Cons!G226,Base!G226,Aggr!G226,EntDelay!G226,HiAI!G226,Incident!G226,EntGated!G226,FullScope!G226)</f>
        <v>-185783.881539787</v>
      </c>
      <c r="G95" s="9" t="n">
        <f aca="false">CHOOSE($B$3,Cons!H226,Base!H226,Aggr!H226,EntDelay!H226,HiAI!H226,Incident!H226,EntGated!H226,FullScope!H226)</f>
        <v>-213418.933375202</v>
      </c>
      <c r="H95" s="9" t="n">
        <f aca="false">CHOOSE($B$3,Cons!I226,Base!I226,Aggr!I226,EntDelay!I226,HiAI!I226,Incident!I226,EntGated!I226,FullScope!I226)</f>
        <v>-217744.496730379</v>
      </c>
      <c r="I95" s="9" t="n">
        <f aca="false">CHOOSE($B$3,Cons!J226,Base!J226,Aggr!J226,EntDelay!J226,HiAI!J226,Incident!J226,EntGated!J226,FullScope!J226)</f>
        <v>-206733.010591593</v>
      </c>
      <c r="J95" s="9" t="n">
        <f aca="false">CHOOSE($B$3,Cons!K226,Base!K226,Aggr!K226,EntDelay!K226,HiAI!K226,Incident!K226,EntGated!K226,FullScope!K226)</f>
        <v>-278544.228694931</v>
      </c>
      <c r="K95" s="9" t="n">
        <f aca="false">CHOOSE($B$3,Cons!L226,Base!L226,Aggr!L226,EntDelay!L226,HiAI!L226,Incident!L226,EntGated!L226,FullScope!L226)</f>
        <v>-267528.670179195</v>
      </c>
      <c r="L95" s="9" t="n">
        <f aca="false">CHOOSE($B$3,Cons!M226,Base!M226,Aggr!M226,EntDelay!M226,HiAI!M226,Incident!M226,EntGated!M226,FullScope!M226)</f>
        <v>-302005.438498614</v>
      </c>
      <c r="M95" s="9" t="n">
        <f aca="false">CHOOSE($B$3,Cons!N226,Base!N226,Aggr!N226,EntDelay!N226,HiAI!N226,Incident!N226,EntGated!N226,FullScope!N226)</f>
        <v>-299439.353899555</v>
      </c>
      <c r="N95" s="9" t="n">
        <f aca="false">CHOOSE($B$3,Cons!O226,Base!O226,Aggr!O226,EntDelay!O226,HiAI!O226,Incident!O226,EntGated!O226,FullScope!O226)</f>
        <v>-379747.315256531</v>
      </c>
      <c r="O95" s="9" t="n">
        <f aca="false">CHOOSE($B$3,Cons!P226,Base!P226,Aggr!P226,EntDelay!P226,HiAI!P226,Incident!P226,EntGated!P226,FullScope!P226)</f>
        <v>-364782.580577844</v>
      </c>
      <c r="P95" s="9" t="n">
        <f aca="false">CHOOSE($B$3,Cons!Q226,Base!Q226,Aggr!Q226,EntDelay!Q226,HiAI!Q226,Incident!Q226,EntGated!Q226,FullScope!Q226)</f>
        <v>-385814.533311584</v>
      </c>
      <c r="Q95" s="9" t="n">
        <f aca="false">CHOOSE($B$3,Cons!R226,Base!R226,Aggr!R226,EntDelay!R226,HiAI!R226,Incident!R226,EntGated!R226,FullScope!R226)</f>
        <v>-405165.998196269</v>
      </c>
      <c r="R95" s="9" t="n">
        <f aca="false">CHOOSE($B$3,Cons!S226,Base!S226,Aggr!S226,EntDelay!S226,HiAI!S226,Incident!S226,EntGated!S226,FullScope!S226)</f>
        <v>-350727.58810364</v>
      </c>
      <c r="S95" s="9" t="n">
        <f aca="false">CHOOSE($B$3,Cons!T226,Base!T226,Aggr!T226,EntDelay!T226,HiAI!T226,Incident!T226,EntGated!T226,FullScope!T226)</f>
        <v>-328420.898316391</v>
      </c>
      <c r="T95" s="9" t="n">
        <f aca="false">CHOOSE($B$3,Cons!U226,Base!U226,Aggr!U226,EntDelay!U226,HiAI!U226,Incident!U226,EntGated!U226,FullScope!U226)</f>
        <v>-453072.861802299</v>
      </c>
      <c r="U95" s="9" t="n">
        <f aca="false">CHOOSE($B$3,Cons!V226,Base!V226,Aggr!V226,EntDelay!V226,HiAI!V226,Incident!V226,EntGated!V226,FullScope!V226)</f>
        <v>-474528.124872032</v>
      </c>
      <c r="V95" s="9" t="n">
        <f aca="false">CHOOSE($B$3,Cons!W226,Base!W226,Aggr!W226,EntDelay!W226,HiAI!W226,Incident!W226,EntGated!W226,FullScope!W226)</f>
        <v>-303811.899162692</v>
      </c>
      <c r="W95" s="9" t="n">
        <f aca="false">CHOOSE($B$3,Cons!X226,Base!X226,Aggr!X226,EntDelay!X226,HiAI!X226,Incident!X226,EntGated!X226,FullScope!X226)</f>
        <v>-501415.852970686</v>
      </c>
      <c r="X95" s="9" t="n">
        <f aca="false">CHOOSE($B$3,Cons!Y226,Base!Y226,Aggr!Y226,EntDelay!Y226,HiAI!Y226,Incident!Y226,EntGated!Y226,FullScope!Y226)</f>
        <v>-483177.35111017</v>
      </c>
      <c r="Y95" s="9" t="n">
        <f aca="false">CHOOSE($B$3,Cons!Z226,Base!Z226,Aggr!Z226,EntDelay!Z226,HiAI!Z226,Incident!Z226,EntGated!Z226,FullScope!Z226)</f>
        <v>-349624.267485079</v>
      </c>
      <c r="Z95" s="9" t="n">
        <f aca="false">CHOOSE($B$3,Cons!AA226,Base!AA226,Aggr!AA226,EntDelay!AA226,HiAI!AA226,Incident!AA226,EntGated!AA226,FullScope!AA226)</f>
        <v>-487062.762253585</v>
      </c>
      <c r="AA95" s="9" t="n">
        <f aca="false">CHOOSE($B$3,Cons!AB226,Base!AB226,Aggr!AB226,EntDelay!AB226,HiAI!AB226,Incident!AB226,EntGated!AB226,FullScope!AB226)</f>
        <v>-594754.002912292</v>
      </c>
      <c r="AB95" s="9" t="n">
        <f aca="false">CHOOSE($B$3,Cons!AC226,Base!AC226,Aggr!AC226,EntDelay!AC226,HiAI!AC226,Incident!AC226,EntGated!AC226,FullScope!AC226)</f>
        <v>-383182.574125896</v>
      </c>
      <c r="AC95" s="9" t="n">
        <f aca="false">CHOOSE($B$3,Cons!AD226,Base!AD226,Aggr!AD226,EntDelay!AD226,HiAI!AD226,Incident!AD226,EntGated!AD226,FullScope!AD226)</f>
        <v>-423197.457415317</v>
      </c>
      <c r="AD95" s="9" t="n">
        <f aca="false">CHOOSE($B$3,Cons!AE226,Base!AE226,Aggr!AE226,EntDelay!AE226,HiAI!AE226,Incident!AE226,EntGated!AE226,FullScope!AE226)</f>
        <v>-570936.184049972</v>
      </c>
      <c r="AE95" s="9" t="n">
        <f aca="false">CHOOSE($B$3,Cons!AF226,Base!AF226,Aggr!AF226,EntDelay!AF226,HiAI!AF226,Incident!AF226,EntGated!AF226,FullScope!AF226)</f>
        <v>-369676.765295166</v>
      </c>
      <c r="AF95" s="9" t="n">
        <f aca="false">CHOOSE($B$3,Cons!AG226,Base!AG226,Aggr!AG226,EntDelay!AG226,HiAI!AG226,Incident!AG226,EntGated!AG226,FullScope!AG226)</f>
        <v>-385604.802572379</v>
      </c>
      <c r="AG95" s="9" t="n">
        <f aca="false">CHOOSE($B$3,Cons!AH226,Base!AH226,Aggr!AH226,EntDelay!AH226,HiAI!AH226,Incident!AH226,EntGated!AH226,FullScope!AH226)</f>
        <v>-491303.62773984</v>
      </c>
      <c r="AH95" s="9" t="n">
        <f aca="false">CHOOSE($B$3,Cons!AI226,Base!AI226,Aggr!AI226,EntDelay!AI226,HiAI!AI226,Incident!AI226,EntGated!AI226,FullScope!AI226)</f>
        <v>-377891.735802228</v>
      </c>
      <c r="AI95" s="9" t="n">
        <f aca="false">CHOOSE($B$3,Cons!AJ226,Base!AJ226,Aggr!AJ226,EntDelay!AJ226,HiAI!AJ226,Incident!AJ226,EntGated!AJ226,FullScope!AJ226)</f>
        <v>-367543.605922147</v>
      </c>
      <c r="AJ95" s="9" t="n">
        <f aca="false">CHOOSE($B$3,Cons!AK226,Base!AK226,Aggr!AK226,EntDelay!AK226,HiAI!AK226,Incident!AK226,EntGated!AK226,FullScope!AK226)</f>
        <v>-667681.668840317</v>
      </c>
      <c r="AK95" s="9" t="n">
        <f aca="false">CHOOSE($B$3,Cons!AL226,Base!AL226,Aggr!AL226,EntDelay!AL226,HiAI!AL226,Incident!AL226,EntGated!AL226,FullScope!AL226)</f>
        <v>-372324.601953737</v>
      </c>
    </row>
    <row r="96" customFormat="false" ht="15" hidden="false" customHeight="false" outlineLevel="0" collapsed="false">
      <c r="A96" s="0" t="s">
        <v>45</v>
      </c>
      <c r="B96" s="9" t="n">
        <f aca="false">CHOOSE($B$3,Cons!C227,Base!C227,Aggr!C227,EntDelay!C227,HiAI!C227,Incident!C227,EntGated!C227,FullScope!C227)</f>
        <v>-104365.441631733</v>
      </c>
      <c r="C96" s="9" t="n">
        <f aca="false">CHOOSE($B$3,Cons!D227,Base!D227,Aggr!D227,EntDelay!D227,HiAI!D227,Incident!D227,EntGated!D227,FullScope!D227)</f>
        <v>-208783.021249147</v>
      </c>
      <c r="D96" s="9" t="n">
        <f aca="false">CHOOSE($B$3,Cons!E227,Base!E227,Aggr!E227,EntDelay!E227,HiAI!E227,Incident!E227,EntGated!E227,FullScope!E227)</f>
        <v>-339105.159975809</v>
      </c>
      <c r="E96" s="9" t="n">
        <f aca="false">CHOOSE($B$3,Cons!F227,Base!F227,Aggr!F227,EntDelay!F227,HiAI!F227,Incident!F227,EntGated!F227,FullScope!F227)</f>
        <v>-484540.961269915</v>
      </c>
      <c r="F96" s="9" t="n">
        <f aca="false">CHOOSE($B$3,Cons!G227,Base!G227,Aggr!G227,EntDelay!G227,HiAI!G227,Incident!G227,EntGated!G227,FullScope!G227)</f>
        <v>-670324.842809702</v>
      </c>
      <c r="G96" s="9" t="n">
        <f aca="false">CHOOSE($B$3,Cons!H227,Base!H227,Aggr!H227,EntDelay!H227,HiAI!H227,Incident!H227,EntGated!H227,FullScope!H227)</f>
        <v>-883743.776184904</v>
      </c>
      <c r="H96" s="9" t="n">
        <f aca="false">CHOOSE($B$3,Cons!I227,Base!I227,Aggr!I227,EntDelay!I227,HiAI!I227,Incident!I227,EntGated!I227,FullScope!I227)</f>
        <v>-1101488.27291528</v>
      </c>
      <c r="I96" s="9" t="n">
        <f aca="false">CHOOSE($B$3,Cons!J227,Base!J227,Aggr!J227,EntDelay!J227,HiAI!J227,Incident!J227,EntGated!J227,FullScope!J227)</f>
        <v>-1308221.28350688</v>
      </c>
      <c r="J96" s="9" t="n">
        <f aca="false">CHOOSE($B$3,Cons!K227,Base!K227,Aggr!K227,EntDelay!K227,HiAI!K227,Incident!K227,EntGated!K227,FullScope!K227)</f>
        <v>-1586765.51220181</v>
      </c>
      <c r="K96" s="9" t="n">
        <f aca="false">CHOOSE($B$3,Cons!L227,Base!L227,Aggr!L227,EntDelay!L227,HiAI!L227,Incident!L227,EntGated!L227,FullScope!L227)</f>
        <v>-1854294.182381</v>
      </c>
      <c r="L96" s="9" t="n">
        <f aca="false">CHOOSE($B$3,Cons!M227,Base!M227,Aggr!M227,EntDelay!M227,HiAI!M227,Incident!M227,EntGated!M227,FullScope!M227)</f>
        <v>-2156299.62087962</v>
      </c>
      <c r="M96" s="9" t="n">
        <f aca="false">CHOOSE($B$3,Cons!N227,Base!N227,Aggr!N227,EntDelay!N227,HiAI!N227,Incident!N227,EntGated!N227,FullScope!N227)</f>
        <v>-2455738.97477917</v>
      </c>
      <c r="N96" s="9" t="n">
        <f aca="false">CHOOSE($B$3,Cons!O227,Base!O227,Aggr!O227,EntDelay!O227,HiAI!O227,Incident!O227,EntGated!O227,FullScope!O227)</f>
        <v>-2835486.2900357</v>
      </c>
      <c r="O96" s="9" t="n">
        <f aca="false">CHOOSE($B$3,Cons!P227,Base!P227,Aggr!P227,EntDelay!P227,HiAI!P227,Incident!P227,EntGated!P227,FullScope!P227)</f>
        <v>-3200268.87061355</v>
      </c>
      <c r="P96" s="9" t="n">
        <f aca="false">CHOOSE($B$3,Cons!Q227,Base!Q227,Aggr!Q227,EntDelay!Q227,HiAI!Q227,Incident!Q227,EntGated!Q227,FullScope!Q227)</f>
        <v>-3586083.40392513</v>
      </c>
      <c r="Q96" s="9" t="n">
        <f aca="false">CHOOSE($B$3,Cons!R227,Base!R227,Aggr!R227,EntDelay!R227,HiAI!R227,Incident!R227,EntGated!R227,FullScope!R227)</f>
        <v>-3991249.4021214</v>
      </c>
      <c r="R96" s="9" t="n">
        <f aca="false">CHOOSE($B$3,Cons!S227,Base!S227,Aggr!S227,EntDelay!S227,HiAI!S227,Incident!S227,EntGated!S227,FullScope!S227)</f>
        <v>-4341976.99022504</v>
      </c>
      <c r="S96" s="9" t="n">
        <f aca="false">CHOOSE($B$3,Cons!T227,Base!T227,Aggr!T227,EntDelay!T227,HiAI!T227,Incident!T227,EntGated!T227,FullScope!T227)</f>
        <v>-4670397.88854143</v>
      </c>
      <c r="T96" s="9" t="n">
        <f aca="false">CHOOSE($B$3,Cons!U227,Base!U227,Aggr!U227,EntDelay!U227,HiAI!U227,Incident!U227,EntGated!U227,FullScope!U227)</f>
        <v>-5123470.75034373</v>
      </c>
      <c r="U96" s="9" t="n">
        <f aca="false">CHOOSE($B$3,Cons!V227,Base!V227,Aggr!V227,EntDelay!V227,HiAI!V227,Incident!V227,EntGated!V227,FullScope!V227)</f>
        <v>-5597998.87521576</v>
      </c>
      <c r="V96" s="9" t="n">
        <f aca="false">CHOOSE($B$3,Cons!W227,Base!W227,Aggr!W227,EntDelay!W227,HiAI!W227,Incident!W227,EntGated!W227,FullScope!W227)</f>
        <v>-5901810.77437845</v>
      </c>
      <c r="W96" s="9" t="n">
        <f aca="false">CHOOSE($B$3,Cons!X227,Base!X227,Aggr!X227,EntDelay!X227,HiAI!X227,Incident!X227,EntGated!X227,FullScope!X227)</f>
        <v>-6403226.62734914</v>
      </c>
      <c r="X96" s="9" t="n">
        <f aca="false">CHOOSE($B$3,Cons!Y227,Base!Y227,Aggr!Y227,EntDelay!Y227,HiAI!Y227,Incident!Y227,EntGated!Y227,FullScope!Y227)</f>
        <v>-6886403.97845931</v>
      </c>
      <c r="Y96" s="9" t="n">
        <f aca="false">CHOOSE($B$3,Cons!Z227,Base!Z227,Aggr!Z227,EntDelay!Z227,HiAI!Z227,Incident!Z227,EntGated!Z227,FullScope!Z227)</f>
        <v>-7236028.24594439</v>
      </c>
      <c r="Z96" s="9" t="n">
        <f aca="false">CHOOSE($B$3,Cons!AA227,Base!AA227,Aggr!AA227,EntDelay!AA227,HiAI!AA227,Incident!AA227,EntGated!AA227,FullScope!AA227)</f>
        <v>-7723091.00819797</v>
      </c>
      <c r="AA96" s="9" t="n">
        <f aca="false">CHOOSE($B$3,Cons!AB227,Base!AB227,Aggr!AB227,EntDelay!AB227,HiAI!AB227,Incident!AB227,EntGated!AB227,FullScope!AB227)</f>
        <v>-8317845.01111026</v>
      </c>
      <c r="AB96" s="9" t="n">
        <f aca="false">CHOOSE($B$3,Cons!AC227,Base!AC227,Aggr!AC227,EntDelay!AC227,HiAI!AC227,Incident!AC227,EntGated!AC227,FullScope!AC227)</f>
        <v>-8701027.58523616</v>
      </c>
      <c r="AC96" s="9" t="n">
        <f aca="false">CHOOSE($B$3,Cons!AD227,Base!AD227,Aggr!AD227,EntDelay!AD227,HiAI!AD227,Incident!AD227,EntGated!AD227,FullScope!AD227)</f>
        <v>-9124225.04265147</v>
      </c>
      <c r="AD96" s="9" t="n">
        <f aca="false">CHOOSE($B$3,Cons!AE227,Base!AE227,Aggr!AE227,EntDelay!AE227,HiAI!AE227,Incident!AE227,EntGated!AE227,FullScope!AE227)</f>
        <v>-9695161.22670145</v>
      </c>
      <c r="AE96" s="9" t="n">
        <f aca="false">CHOOSE($B$3,Cons!AF227,Base!AF227,Aggr!AF227,EntDelay!AF227,HiAI!AF227,Incident!AF227,EntGated!AF227,FullScope!AF227)</f>
        <v>-10064837.9919966</v>
      </c>
      <c r="AF96" s="9" t="n">
        <f aca="false">CHOOSE($B$3,Cons!AG227,Base!AG227,Aggr!AG227,EntDelay!AG227,HiAI!AG227,Incident!AG227,EntGated!AG227,FullScope!AG227)</f>
        <v>-10450442.794569</v>
      </c>
      <c r="AG96" s="9" t="n">
        <f aca="false">CHOOSE($B$3,Cons!AH227,Base!AH227,Aggr!AH227,EntDelay!AH227,HiAI!AH227,Incident!AH227,EntGated!AH227,FullScope!AH227)</f>
        <v>-10941746.4223088</v>
      </c>
      <c r="AH96" s="9" t="n">
        <f aca="false">CHOOSE($B$3,Cons!AI227,Base!AI227,Aggr!AI227,EntDelay!AI227,HiAI!AI227,Incident!AI227,EntGated!AI227,FullScope!AI227)</f>
        <v>-11319638.1581111</v>
      </c>
      <c r="AI96" s="9" t="n">
        <f aca="false">CHOOSE($B$3,Cons!AJ227,Base!AJ227,Aggr!AJ227,EntDelay!AJ227,HiAI!AJ227,Incident!AJ227,EntGated!AJ227,FullScope!AJ227)</f>
        <v>-11687181.7640332</v>
      </c>
      <c r="AJ96" s="9" t="n">
        <f aca="false">CHOOSE($B$3,Cons!AK227,Base!AK227,Aggr!AK227,EntDelay!AK227,HiAI!AK227,Incident!AK227,EntGated!AK227,FullScope!AK227)</f>
        <v>-12354863.4328735</v>
      </c>
      <c r="AK96" s="9" t="n">
        <f aca="false">CHOOSE($B$3,Cons!AL227,Base!AL227,Aggr!AL227,EntDelay!AL227,HiAI!AL227,Incident!AL227,EntGated!AL227,FullScope!AL227)</f>
        <v>-12727188.0348273</v>
      </c>
    </row>
  </sheetData>
  <dataValidations count="1">
    <dataValidation allowBlank="false" errorStyle="stop" operator="between" showDropDown="false" showErrorMessage="false" showInputMessage="false" sqref="B3" type="whole">
      <formula1>1</formula1>
      <formula2>8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9" min="2" style="0" width="17"/>
  </cols>
  <sheetData>
    <row r="1" customFormat="false" ht="17.35" hidden="false" customHeight="false" outlineLevel="0" collapsed="false">
      <c r="A1" s="4" t="s">
        <v>100</v>
      </c>
    </row>
    <row r="3" customFormat="false" ht="48" hidden="false" customHeight="true" outlineLevel="0" collapsed="false">
      <c r="A3" s="8" t="s">
        <v>101</v>
      </c>
      <c r="B3" s="8" t="s">
        <v>102</v>
      </c>
      <c r="C3" s="8" t="s">
        <v>103</v>
      </c>
      <c r="D3" s="8" t="s">
        <v>104</v>
      </c>
      <c r="E3" s="8" t="s">
        <v>105</v>
      </c>
      <c r="F3" s="8" t="s">
        <v>106</v>
      </c>
      <c r="G3" s="8" t="s">
        <v>107</v>
      </c>
      <c r="H3" s="8" t="s">
        <v>108</v>
      </c>
      <c r="I3" s="8" t="s">
        <v>109</v>
      </c>
    </row>
    <row r="4" customFormat="false" ht="15" hidden="false" customHeight="false" outlineLevel="0" collapsed="false">
      <c r="A4" s="0" t="s">
        <v>110</v>
      </c>
      <c r="B4" s="9" t="n">
        <f aca="false">Cons!AN146</f>
        <v>0</v>
      </c>
      <c r="C4" s="9" t="n">
        <f aca="false">Base!AN146</f>
        <v>1320</v>
      </c>
      <c r="D4" s="9" t="n">
        <f aca="false">Aggr!AN146</f>
        <v>28052</v>
      </c>
      <c r="E4" s="9" t="n">
        <f aca="false">EntDelay!AN146</f>
        <v>0</v>
      </c>
      <c r="F4" s="9" t="n">
        <f aca="false">HiAI!AN146</f>
        <v>1320</v>
      </c>
      <c r="G4" s="9" t="n">
        <f aca="false">Incident!AN146</f>
        <v>1320</v>
      </c>
      <c r="H4" s="9" t="n">
        <f aca="false">EntGated!AN146</f>
        <v>0</v>
      </c>
      <c r="I4" s="9" t="n">
        <f aca="false">FullScope!AN146</f>
        <v>1320</v>
      </c>
    </row>
    <row r="5" customFormat="false" ht="15" hidden="false" customHeight="false" outlineLevel="0" collapsed="false">
      <c r="A5" s="0" t="s">
        <v>111</v>
      </c>
      <c r="B5" s="9" t="n">
        <f aca="false">Cons!AO146</f>
        <v>227178.666962508</v>
      </c>
      <c r="C5" s="9" t="n">
        <f aca="false">Base!AO146</f>
        <v>506926.158236569</v>
      </c>
      <c r="D5" s="9" t="n">
        <f aca="false">Aggr!AO146</f>
        <v>915384.649535145</v>
      </c>
      <c r="E5" s="9" t="n">
        <f aca="false">EntDelay!AO146</f>
        <v>166843.298236569</v>
      </c>
      <c r="F5" s="9" t="n">
        <f aca="false">HiAI!AO146</f>
        <v>506926.158236569</v>
      </c>
      <c r="G5" s="9" t="n">
        <f aca="false">Incident!AO146</f>
        <v>343437.133575626</v>
      </c>
      <c r="H5" s="9" t="n">
        <f aca="false">EntGated!AO146</f>
        <v>166843.298236569</v>
      </c>
      <c r="I5" s="9" t="n">
        <f aca="false">FullScope!AO146</f>
        <v>506926.158236569</v>
      </c>
    </row>
    <row r="6" customFormat="false" ht="15" hidden="false" customHeight="false" outlineLevel="0" collapsed="false">
      <c r="A6" s="0" t="s">
        <v>112</v>
      </c>
      <c r="B6" s="9" t="n">
        <f aca="false">Cons!AP146</f>
        <v>1059403.86069886</v>
      </c>
      <c r="C6" s="9" t="n">
        <f aca="false">Base!AP146</f>
        <v>2301941.70949913</v>
      </c>
      <c r="D6" s="9" t="n">
        <f aca="false">Aggr!AP146</f>
        <v>3998129.85170198</v>
      </c>
      <c r="E6" s="9" t="n">
        <f aca="false">EntDelay!AP146</f>
        <v>1255579.22048579</v>
      </c>
      <c r="F6" s="9" t="n">
        <f aca="false">HiAI!AP146</f>
        <v>2301941.70949913</v>
      </c>
      <c r="G6" s="9" t="n">
        <f aca="false">Incident!AP146</f>
        <v>2244826.85006845</v>
      </c>
      <c r="H6" s="9" t="n">
        <f aca="false">EntGated!AP146</f>
        <v>1255579.22048579</v>
      </c>
      <c r="I6" s="9" t="n">
        <f aca="false">FullScope!AP146</f>
        <v>2301941.70949913</v>
      </c>
    </row>
    <row r="7" customFormat="false" ht="15" hidden="false" customHeight="false" outlineLevel="0" collapsed="false">
      <c r="A7" s="0" t="s">
        <v>113</v>
      </c>
      <c r="B7" s="9" t="n">
        <f aca="false">Cons!AN148</f>
        <v>0</v>
      </c>
      <c r="C7" s="9" t="n">
        <f aca="false">Base!AN148</f>
        <v>15840</v>
      </c>
      <c r="D7" s="9" t="n">
        <f aca="false">Aggr!AN148</f>
        <v>17424</v>
      </c>
      <c r="E7" s="9" t="n">
        <f aca="false">EntDelay!AN148</f>
        <v>0</v>
      </c>
      <c r="F7" s="9" t="n">
        <f aca="false">HiAI!AN148</f>
        <v>15840</v>
      </c>
      <c r="G7" s="9" t="n">
        <f aca="false">Incident!AN148</f>
        <v>15840</v>
      </c>
      <c r="H7" s="9" t="n">
        <f aca="false">EntGated!AN148</f>
        <v>0</v>
      </c>
      <c r="I7" s="9" t="n">
        <f aca="false">FullScope!AN148</f>
        <v>15840</v>
      </c>
    </row>
    <row r="8" customFormat="false" ht="15" hidden="false" customHeight="false" outlineLevel="0" collapsed="false">
      <c r="A8" s="0" t="s">
        <v>114</v>
      </c>
      <c r="B8" s="9" t="n">
        <f aca="false">Cons!AO148</f>
        <v>64050.3281511358</v>
      </c>
      <c r="C8" s="9" t="n">
        <f aca="false">Base!AO148</f>
        <v>163394.40054726</v>
      </c>
      <c r="D8" s="9" t="n">
        <f aca="false">Aggr!AO148</f>
        <v>456730.182658475</v>
      </c>
      <c r="E8" s="9" t="n">
        <f aca="false">EntDelay!AO148</f>
        <v>77176.0805472603</v>
      </c>
      <c r="F8" s="9" t="n">
        <f aca="false">HiAI!AO148</f>
        <v>163394.40054726</v>
      </c>
      <c r="G8" s="9" t="n">
        <f aca="false">Incident!AO148</f>
        <v>135929.74869589</v>
      </c>
      <c r="H8" s="9" t="n">
        <f aca="false">EntGated!AO148</f>
        <v>77176.0805472603</v>
      </c>
      <c r="I8" s="9" t="n">
        <f aca="false">FullScope!AO148</f>
        <v>163394.40054726</v>
      </c>
    </row>
    <row r="9" customFormat="false" ht="15" hidden="false" customHeight="false" outlineLevel="0" collapsed="false">
      <c r="A9" s="0" t="s">
        <v>115</v>
      </c>
      <c r="B9" s="9" t="n">
        <f aca="false">Cons!AP148</f>
        <v>531664.386240593</v>
      </c>
      <c r="C9" s="9" t="n">
        <f aca="false">Base!AP148</f>
        <v>1527680.38281984</v>
      </c>
      <c r="D9" s="9" t="n">
        <f aca="false">Aggr!AP148</f>
        <v>2818093.13453222</v>
      </c>
      <c r="E9" s="9" t="n">
        <f aca="false">EntDelay!AP148</f>
        <v>728214.210659844</v>
      </c>
      <c r="F9" s="9" t="n">
        <f aca="false">HiAI!AP148</f>
        <v>1527680.38281984</v>
      </c>
      <c r="G9" s="9" t="n">
        <f aca="false">Incident!AP148</f>
        <v>1463532.26618784</v>
      </c>
      <c r="H9" s="9" t="n">
        <f aca="false">EntGated!AP148</f>
        <v>728214.210659844</v>
      </c>
      <c r="I9" s="9" t="n">
        <f aca="false">FullScope!AP148</f>
        <v>1527680.38281984</v>
      </c>
    </row>
    <row r="10" customFormat="false" ht="15" hidden="false" customHeight="false" outlineLevel="0" collapsed="false">
      <c r="A10" s="0" t="s">
        <v>116</v>
      </c>
      <c r="B10" s="13" t="n">
        <f aca="false">Cons!AP122</f>
        <v>9.204</v>
      </c>
      <c r="C10" s="13" t="n">
        <f aca="false">Base!AP122</f>
        <v>24.39864</v>
      </c>
      <c r="D10" s="13" t="n">
        <f aca="false">Aggr!AP122</f>
        <v>45.95097464</v>
      </c>
      <c r="E10" s="13" t="n">
        <f aca="false">EntDelay!AP122</f>
        <v>10.8654</v>
      </c>
      <c r="F10" s="13" t="n">
        <f aca="false">HiAI!AP122</f>
        <v>24.39864</v>
      </c>
      <c r="G10" s="13" t="n">
        <f aca="false">Incident!AP122</f>
        <v>22.94784</v>
      </c>
      <c r="H10" s="13" t="n">
        <f aca="false">EntGated!AP122</f>
        <v>10.8654</v>
      </c>
      <c r="I10" s="13" t="n">
        <f aca="false">FullScope!AP122</f>
        <v>24.39864</v>
      </c>
    </row>
    <row r="11" customFormat="false" ht="15" hidden="false" customHeight="false" outlineLevel="0" collapsed="false">
      <c r="A11" s="0" t="s">
        <v>117</v>
      </c>
      <c r="B11" s="9" t="n">
        <f aca="false">Cons!AP39</f>
        <v>354.293778323747</v>
      </c>
      <c r="C11" s="9" t="n">
        <f aca="false">Base!AP39</f>
        <v>719.967198361525</v>
      </c>
      <c r="D11" s="9" t="n">
        <f aca="false">Aggr!AP39</f>
        <v>1266.85462109737</v>
      </c>
      <c r="E11" s="9" t="n">
        <f aca="false">EntDelay!AP39</f>
        <v>719.967198361525</v>
      </c>
      <c r="F11" s="9" t="n">
        <f aca="false">HiAI!AP39</f>
        <v>719.967198361525</v>
      </c>
      <c r="G11" s="9" t="n">
        <f aca="false">Incident!AP39</f>
        <v>718.963130165871</v>
      </c>
      <c r="H11" s="9" t="n">
        <f aca="false">EntGated!AP39</f>
        <v>719.967198361525</v>
      </c>
      <c r="I11" s="9" t="n">
        <f aca="false">FullScope!AP39</f>
        <v>719.967198361525</v>
      </c>
    </row>
    <row r="12" customFormat="false" ht="15" hidden="false" customHeight="false" outlineLevel="0" collapsed="false">
      <c r="A12" s="0" t="s">
        <v>118</v>
      </c>
      <c r="B12" s="12" t="n">
        <f aca="false">Cons!AP237</f>
        <v>-0.689990501680483</v>
      </c>
      <c r="C12" s="12" t="n">
        <f aca="false">Base!AP237</f>
        <v>0.158696856647272</v>
      </c>
      <c r="D12" s="12" t="n">
        <f aca="false">Aggr!AP237</f>
        <v>0.462840029095419</v>
      </c>
      <c r="E12" s="12" t="n">
        <f aca="false">EntDelay!AP237</f>
        <v>-0.451850411845235</v>
      </c>
      <c r="F12" s="12" t="n">
        <f aca="false">HiAI!AP237</f>
        <v>0.0129967090701054</v>
      </c>
      <c r="G12" s="12" t="n">
        <f aca="false">Incident!AP237</f>
        <v>0.144021037042501</v>
      </c>
      <c r="H12" s="12" t="n">
        <f aca="false">EntGated!AP237</f>
        <v>-0.204886040124142</v>
      </c>
      <c r="I12" s="12" t="n">
        <f aca="false">FullScope!AP237</f>
        <v>0.158696856647272</v>
      </c>
    </row>
    <row r="13" customFormat="false" ht="15" hidden="false" customHeight="false" outlineLevel="0" collapsed="false">
      <c r="A13" s="0" t="s">
        <v>119</v>
      </c>
      <c r="B13" s="12" t="n">
        <f aca="false">Cons!AP238</f>
        <v>-0.833334924741035</v>
      </c>
      <c r="C13" s="12" t="n">
        <f aca="false">Base!AP238</f>
        <v>0.0313226495637237</v>
      </c>
      <c r="D13" s="12" t="n">
        <f aca="false">Aggr!AP238</f>
        <v>0.352323478510674</v>
      </c>
      <c r="E13" s="12" t="n">
        <f aca="false">EntDelay!AP238</f>
        <v>-0.595169891065651</v>
      </c>
      <c r="F13" s="12" t="n">
        <f aca="false">HiAI!AP238</f>
        <v>-0.114377498013443</v>
      </c>
      <c r="G13" s="12" t="n">
        <f aca="false">Incident!AP238</f>
        <v>0.0146902960140132</v>
      </c>
      <c r="H13" s="12" t="n">
        <f aca="false">EntGated!AP238</f>
        <v>-0.348205519344558</v>
      </c>
      <c r="I13" s="12" t="n">
        <f aca="false">FullScope!AP238</f>
        <v>0.0313226495637237</v>
      </c>
    </row>
    <row r="14" customFormat="false" ht="15" hidden="false" customHeight="false" outlineLevel="0" collapsed="false">
      <c r="A14" s="0" t="s">
        <v>120</v>
      </c>
      <c r="B14" s="9" t="n">
        <f aca="false">Cons!AN225</f>
        <v>-2452578.1292251</v>
      </c>
      <c r="C14" s="9" t="n">
        <f aca="false">Base!AN225</f>
        <v>-2454418.97477917</v>
      </c>
      <c r="D14" s="9" t="n">
        <f aca="false">Aggr!AN225</f>
        <v>-2435255.31510656</v>
      </c>
      <c r="E14" s="9" t="n">
        <f aca="false">EntDelay!AN225</f>
        <v>-2453970.70570717</v>
      </c>
      <c r="F14" s="9" t="n">
        <f aca="false">HiAI!AN225</f>
        <v>-2463989.9996686</v>
      </c>
      <c r="G14" s="9" t="n">
        <f aca="false">Incident!AN225</f>
        <v>-2454418.97477917</v>
      </c>
      <c r="H14" s="9" t="n">
        <f aca="false">EntGated!AN225</f>
        <v>-2318170.70570717</v>
      </c>
      <c r="I14" s="9" t="n">
        <f aca="false">FullScope!AN225</f>
        <v>-3138185.64144584</v>
      </c>
    </row>
    <row r="15" customFormat="false" ht="15" hidden="false" customHeight="false" outlineLevel="0" collapsed="false">
      <c r="A15" s="0" t="s">
        <v>121</v>
      </c>
      <c r="B15" s="9" t="n">
        <f aca="false">Cons!AO225</f>
        <v>-5018193.02103304</v>
      </c>
      <c r="C15" s="9" t="n">
        <f aca="false">Base!AO225</f>
        <v>-4797597.05695244</v>
      </c>
      <c r="D15" s="9" t="n">
        <f aca="false">Aggr!AO225</f>
        <v>-4505533.56838354</v>
      </c>
      <c r="E15" s="9" t="n">
        <f aca="false">EntDelay!AO225</f>
        <v>-5076094.52187868</v>
      </c>
      <c r="F15" s="9" t="n">
        <f aca="false">HiAI!AO225</f>
        <v>-4886552.6249737</v>
      </c>
      <c r="G15" s="9" t="n">
        <f aca="false">Incident!AO225</f>
        <v>-5634046.30066341</v>
      </c>
      <c r="H15" s="9" t="n">
        <f aca="false">EntGated!AO225</f>
        <v>-4620244.52187868</v>
      </c>
      <c r="I15" s="9" t="n">
        <f aca="false">FullScope!AO225</f>
        <v>-8109980.39028577</v>
      </c>
    </row>
    <row r="16" customFormat="false" ht="15" hidden="false" customHeight="false" outlineLevel="0" collapsed="false">
      <c r="A16" s="0" t="s">
        <v>122</v>
      </c>
      <c r="B16" s="9" t="n">
        <f aca="false">Cons!AP225</f>
        <v>-6382264.84676585</v>
      </c>
      <c r="C16" s="9" t="n">
        <f aca="false">Base!AP225</f>
        <v>-5445485.38231884</v>
      </c>
      <c r="D16" s="9" t="n">
        <f aca="false">Aggr!AP225</f>
        <v>-4129633.23046728</v>
      </c>
      <c r="E16" s="9" t="n">
        <f aca="false">EntDelay!AP225</f>
        <v>-6250150.81052083</v>
      </c>
      <c r="F16" s="9" t="n">
        <f aca="false">HiAI!AP225</f>
        <v>-5780878.6291069</v>
      </c>
      <c r="G16" s="9" t="n">
        <f aca="false">Incident!AP225</f>
        <v>-5484038.80234589</v>
      </c>
      <c r="H16" s="9" t="n">
        <f aca="false">EntGated!AP225</f>
        <v>-5816367.47718749</v>
      </c>
      <c r="I16" s="9" t="n">
        <f aca="false">FullScope!AP225</f>
        <v>-10842352.0489855</v>
      </c>
    </row>
    <row r="17" customFormat="false" ht="15" hidden="false" customHeight="false" outlineLevel="0" collapsed="false">
      <c r="A17" s="0" t="s">
        <v>123</v>
      </c>
      <c r="B17" s="9" t="n">
        <f aca="false">Cons!AN245</f>
        <v>2452578.1292251</v>
      </c>
      <c r="C17" s="9" t="n">
        <f aca="false">Base!AN245</f>
        <v>2455738.97477917</v>
      </c>
      <c r="D17" s="9" t="n">
        <f aca="false">Aggr!AN245</f>
        <v>2463307.31510656</v>
      </c>
      <c r="E17" s="9" t="n">
        <f aca="false">EntDelay!AN245</f>
        <v>2453970.70570717</v>
      </c>
      <c r="F17" s="9" t="n">
        <f aca="false">HiAI!AN245</f>
        <v>2465309.9996686</v>
      </c>
      <c r="G17" s="9" t="n">
        <f aca="false">Incident!AN245</f>
        <v>2455738.97477917</v>
      </c>
      <c r="H17" s="9" t="n">
        <f aca="false">EntGated!AN245</f>
        <v>2318170.70570717</v>
      </c>
      <c r="I17" s="9" t="n">
        <f aca="false">FullScope!AN245</f>
        <v>3139505.64144584</v>
      </c>
    </row>
    <row r="18" customFormat="false" ht="15" hidden="false" customHeight="false" outlineLevel="0" collapsed="false">
      <c r="A18" s="0" t="s">
        <v>124</v>
      </c>
      <c r="B18" s="9" t="n">
        <f aca="false">Cons!AO245</f>
        <v>5019727.70457168</v>
      </c>
      <c r="C18" s="9" t="n">
        <f aca="false">Base!AO245</f>
        <v>4780289.27116522</v>
      </c>
      <c r="D18" s="9" t="n">
        <f aca="false">Aggr!AO245</f>
        <v>4575996.77172079</v>
      </c>
      <c r="E18" s="9" t="n">
        <f aca="false">EntDelay!AO245</f>
        <v>5028976.25609146</v>
      </c>
      <c r="F18" s="9" t="n">
        <f aca="false">HiAI!AO245</f>
        <v>4869244.83918648</v>
      </c>
      <c r="G18" s="9" t="n">
        <f aca="false">Incident!AO245</f>
        <v>5611294.35487619</v>
      </c>
      <c r="H18" s="9" t="n">
        <f aca="false">EntGated!AO245</f>
        <v>4573126.25609146</v>
      </c>
      <c r="I18" s="9" t="n">
        <f aca="false">FullScope!AO245</f>
        <v>8092672.60449855</v>
      </c>
    </row>
    <row r="19" customFormat="false" ht="15" hidden="false" customHeight="false" outlineLevel="0" collapsed="false">
      <c r="A19" s="0" t="s">
        <v>125</v>
      </c>
      <c r="B19" s="9" t="n">
        <f aca="false">Cons!AP245</f>
        <v>6258663.36785283</v>
      </c>
      <c r="C19" s="9" t="n">
        <f aca="false">Base!AP245</f>
        <v>5491159.78888288</v>
      </c>
      <c r="D19" s="9" t="n">
        <f aca="false">Aggr!AP245</f>
        <v>3620884.77743681</v>
      </c>
      <c r="E19" s="9" t="n">
        <f aca="false">EntDelay!AP245</f>
        <v>6254569.49911153</v>
      </c>
      <c r="F19" s="9" t="n">
        <f aca="false">HiAI!AP245</f>
        <v>5826553.03567093</v>
      </c>
      <c r="G19" s="9" t="n">
        <f aca="false">Incident!AP245</f>
        <v>5530591.47450993</v>
      </c>
      <c r="H19" s="9" t="n">
        <f aca="false">EntGated!AP245</f>
        <v>5820786.16577819</v>
      </c>
      <c r="I19" s="9" t="n">
        <f aca="false">FullScope!AP245</f>
        <v>10888026.4555495</v>
      </c>
    </row>
    <row r="20" customFormat="false" ht="15" hidden="false" customHeight="false" outlineLevel="0" collapsed="false">
      <c r="A20" s="0" t="s">
        <v>126</v>
      </c>
      <c r="B20" s="9" t="n">
        <f aca="false">-Cons!AN227</f>
        <v>2452578.1292251</v>
      </c>
      <c r="C20" s="9" t="n">
        <f aca="false">-Base!AN227</f>
        <v>2455738.97477917</v>
      </c>
      <c r="D20" s="9" t="n">
        <f aca="false">-Aggr!AN227</f>
        <v>2463307.31510656</v>
      </c>
      <c r="E20" s="9" t="n">
        <f aca="false">-EntDelay!AN227</f>
        <v>2453970.70570717</v>
      </c>
      <c r="F20" s="9" t="n">
        <f aca="false">-HiAI!AN227</f>
        <v>2465309.9996686</v>
      </c>
      <c r="G20" s="9" t="n">
        <f aca="false">-Incident!AN227</f>
        <v>2455738.97477917</v>
      </c>
      <c r="H20" s="9" t="n">
        <f aca="false">-EntGated!AN227</f>
        <v>2318170.70570717</v>
      </c>
      <c r="I20" s="9" t="n">
        <f aca="false">-FullScope!AN227</f>
        <v>3139505.64144584</v>
      </c>
    </row>
    <row r="21" customFormat="false" ht="15" hidden="false" customHeight="false" outlineLevel="0" collapsed="false">
      <c r="A21" s="0" t="s">
        <v>127</v>
      </c>
      <c r="B21" s="9" t="n">
        <f aca="false">-Cons!AO227</f>
        <v>7472305.83379679</v>
      </c>
      <c r="C21" s="9" t="n">
        <f aca="false">-Base!AO227</f>
        <v>7236028.24594439</v>
      </c>
      <c r="D21" s="9" t="n">
        <f aca="false">-Aggr!AO227</f>
        <v>7039304.08682735</v>
      </c>
      <c r="E21" s="9" t="n">
        <f aca="false">-EntDelay!AO227</f>
        <v>7482946.96179863</v>
      </c>
      <c r="F21" s="9" t="n">
        <f aca="false">-HiAI!AO227</f>
        <v>7334554.83885507</v>
      </c>
      <c r="G21" s="9" t="n">
        <f aca="false">-Incident!AO227</f>
        <v>8067033.32965536</v>
      </c>
      <c r="H21" s="9" t="n">
        <f aca="false">-EntGated!AO227</f>
        <v>6891296.96179863</v>
      </c>
      <c r="I21" s="9" t="n">
        <f aca="false">-FullScope!AO227</f>
        <v>11232178.2459444</v>
      </c>
    </row>
    <row r="22" customFormat="false" ht="15" hidden="false" customHeight="false" outlineLevel="0" collapsed="false">
      <c r="A22" s="0" t="s">
        <v>128</v>
      </c>
      <c r="B22" s="9" t="n">
        <f aca="false">-Cons!AP227</f>
        <v>13730969.2016496</v>
      </c>
      <c r="C22" s="9" t="n">
        <f aca="false">-Base!AP227</f>
        <v>12727188.0348273</v>
      </c>
      <c r="D22" s="9" t="n">
        <f aca="false">-Aggr!AP227</f>
        <v>10660188.8642642</v>
      </c>
      <c r="E22" s="9" t="n">
        <f aca="false">-EntDelay!AP227</f>
        <v>13737516.4609101</v>
      </c>
      <c r="F22" s="9" t="n">
        <f aca="false">-HiAI!AP227</f>
        <v>13161107.874526</v>
      </c>
      <c r="G22" s="9" t="n">
        <f aca="false">-Incident!AP227</f>
        <v>13597624.8041653</v>
      </c>
      <c r="H22" s="9" t="n">
        <f aca="false">-EntGated!AP227</f>
        <v>12712083.1275768</v>
      </c>
      <c r="I22" s="9" t="n">
        <f aca="false">-FullScope!AP227</f>
        <v>22120204.7014939</v>
      </c>
    </row>
    <row r="23" customFormat="false" ht="15" hidden="false" customHeight="false" outlineLevel="0" collapsed="false">
      <c r="A23" s="16" t="s">
        <v>129</v>
      </c>
      <c r="B23" s="17" t="n">
        <f aca="false">-MIN(Cons!C227:AL227)</f>
        <v>13730969.2016496</v>
      </c>
      <c r="C23" s="17" t="n">
        <f aca="false">-MIN(Base!C227:AL227)</f>
        <v>12727188.0348273</v>
      </c>
      <c r="D23" s="17" t="n">
        <f aca="false">-MIN(Aggr!C227:AL227)</f>
        <v>10694710.1952342</v>
      </c>
      <c r="E23" s="17" t="n">
        <f aca="false">-MIN(EntDelay!C227:AL227)</f>
        <v>13737516.4609101</v>
      </c>
      <c r="F23" s="17" t="n">
        <f aca="false">-MIN(HiAI!C227:AL227)</f>
        <v>13161107.874526</v>
      </c>
      <c r="G23" s="17" t="n">
        <f aca="false">-MIN(Incident!C227:AL227)</f>
        <v>13597624.8041653</v>
      </c>
      <c r="H23" s="17" t="n">
        <f aca="false">-MIN(EntGated!C227:AL227)</f>
        <v>12712083.1275768</v>
      </c>
      <c r="I23" s="17" t="n">
        <f aca="false">-MIN(FullScope!C227:AL227)</f>
        <v>22120204.7014939</v>
      </c>
    </row>
    <row r="24" customFormat="false" ht="15" hidden="false" customHeight="false" outlineLevel="0" collapsed="false">
      <c r="A24" s="0" t="s">
        <v>130</v>
      </c>
      <c r="B24" s="9" t="n">
        <f aca="false">IFERROR(MATCH(1,Cons!C229:AL229,0),"")</f>
        <v>14</v>
      </c>
      <c r="C24" s="9" t="n">
        <f aca="false">IFERROR(MATCH(1,Base!C229:AL229,0),"")</f>
        <v>14</v>
      </c>
      <c r="D24" s="9" t="n">
        <f aca="false">IFERROR(MATCH(1,Aggr!C229:AL229,0),"")</f>
        <v>14</v>
      </c>
      <c r="E24" s="9" t="n">
        <f aca="false">IFERROR(MATCH(1,EntDelay!C229:AL229,0),"")</f>
        <v>14</v>
      </c>
      <c r="F24" s="9" t="n">
        <f aca="false">IFERROR(MATCH(1,HiAI!C229:AL229,0),"")</f>
        <v>14</v>
      </c>
      <c r="G24" s="9" t="n">
        <f aca="false">IFERROR(MATCH(1,Incident!C229:AL229,0),"")</f>
        <v>14</v>
      </c>
      <c r="H24" s="9" t="n">
        <f aca="false">IFERROR(MATCH(1,EntGated!C229:AL229,0),"")</f>
        <v>15</v>
      </c>
      <c r="I24" s="9" t="n">
        <f aca="false">IFERROR(MATCH(1,FullScope!C229:AL229,0),"")</f>
        <v>12</v>
      </c>
    </row>
    <row r="25" customFormat="false" ht="15" hidden="false" customHeight="false" outlineLevel="0" collapsed="false">
      <c r="A25" s="0" t="s">
        <v>131</v>
      </c>
      <c r="B25" s="13" t="n">
        <f aca="false">Cons!AP249</f>
        <v>13.384249809392</v>
      </c>
      <c r="C25" s="13" t="n">
        <f aca="false">Base!AP249</f>
        <v>4.0249330860498</v>
      </c>
      <c r="D25" s="13" t="n">
        <f aca="false">Aggr!AP249</f>
        <v>1.53338764570844</v>
      </c>
      <c r="E25" s="13" t="n">
        <f aca="false">EntDelay!AP249</f>
        <v>9.60707093765757</v>
      </c>
      <c r="F25" s="13" t="n">
        <f aca="false">HiAI!AP249</f>
        <v>4.27077101969871</v>
      </c>
      <c r="G25" s="13" t="n">
        <f aca="false">Incident!AP249</f>
        <v>4.16584889049326</v>
      </c>
      <c r="H25" s="13" t="n">
        <f aca="false">EntGated!AP249</f>
        <v>8.94077611824612</v>
      </c>
      <c r="I25" s="13" t="n">
        <f aca="false">FullScope!AP249</f>
        <v>7.98075080813527</v>
      </c>
    </row>
    <row r="26" customFormat="false" ht="15" hidden="false" customHeight="false" outlineLevel="0" collapsed="false">
      <c r="A26" s="0" t="s">
        <v>132</v>
      </c>
      <c r="B26" s="12" t="n">
        <f aca="false">Cons!AP241</f>
        <v>-0.695581328476948</v>
      </c>
      <c r="C26" s="12" t="n">
        <f aca="false">Base!AP241</f>
        <v>0.213777777777778</v>
      </c>
      <c r="D26" s="12" t="n">
        <f aca="false">Aggr!AP241</f>
        <v>0.543837029396596</v>
      </c>
      <c r="E26" s="12" t="n">
        <f aca="false">EntDelay!AP241</f>
        <v>-0.422025723472669</v>
      </c>
      <c r="F26" s="12" t="n">
        <f aca="false">HiAI!AP241</f>
        <v>0.213777777777778</v>
      </c>
      <c r="G26" s="12" t="n">
        <f aca="false">Incident!AP241</f>
        <v>0.213777777777778</v>
      </c>
      <c r="H26" s="12" t="n">
        <f aca="false">EntGated!AP241</f>
        <v>-0.0787781350482315</v>
      </c>
      <c r="I26" s="12" t="n">
        <f aca="false">FullScope!AP241</f>
        <v>0.213777777777778</v>
      </c>
    </row>
    <row r="27" customFormat="false" ht="15" hidden="false" customHeight="false" outlineLevel="0" collapsed="false">
      <c r="A27" s="0" t="s">
        <v>133</v>
      </c>
      <c r="B27" s="12" t="n">
        <f aca="false">Cons!AP243</f>
        <v>0.476802507836991</v>
      </c>
      <c r="C27" s="12" t="n">
        <f aca="false">Base!AP243</f>
        <v>1.08244514106583</v>
      </c>
      <c r="D27" s="12" t="n">
        <f aca="false">Aggr!AP243</f>
        <v>1.69462904911181</v>
      </c>
      <c r="E27" s="12" t="n">
        <f aca="false">EntDelay!AP243</f>
        <v>0.59435736677116</v>
      </c>
      <c r="F27" s="12" t="n">
        <f aca="false">HiAI!AP243</f>
        <v>1.08244514106583</v>
      </c>
      <c r="G27" s="12" t="n">
        <f aca="false">Incident!AP243</f>
        <v>1.08244514106583</v>
      </c>
      <c r="H27" s="12" t="n">
        <f aca="false">EntGated!AP243</f>
        <v>0.783471074380165</v>
      </c>
      <c r="I27" s="12" t="n">
        <f aca="false">FullScope!AP243</f>
        <v>1.08244514106583</v>
      </c>
    </row>
    <row r="28" customFormat="false" ht="15" hidden="false" customHeight="false" outlineLevel="0" collapsed="false">
      <c r="A28" s="0" t="s">
        <v>134</v>
      </c>
      <c r="B28" s="14" t="n">
        <f aca="false">Cons!AP268</f>
        <v>0.0901558143899769</v>
      </c>
      <c r="C28" s="14" t="n">
        <f aca="false">Base!AP268</f>
        <v>0.200170058583555</v>
      </c>
      <c r="D28" s="14" t="n">
        <f aca="false">Aggr!AP268</f>
        <v>0.36857617397923</v>
      </c>
      <c r="E28" s="14" t="n">
        <f aca="false">EntDelay!AP268</f>
        <v>0.200170058583555</v>
      </c>
      <c r="F28" s="14" t="n">
        <f aca="false">HiAI!AP268</f>
        <v>0.0924565882916429</v>
      </c>
      <c r="G28" s="14" t="n">
        <f aca="false">Incident!AP268</f>
        <v>0.200319596181263</v>
      </c>
      <c r="H28" s="14" t="n">
        <f aca="false">EntGated!AP268</f>
        <v>0.200170058583555</v>
      </c>
      <c r="I28" s="14" t="n">
        <f aca="false">FullScope!AP268</f>
        <v>0.200170058583555</v>
      </c>
    </row>
    <row r="29" customFormat="false" ht="15" hidden="false" customHeight="false" outlineLevel="0" collapsed="false">
      <c r="A29" s="0" t="s">
        <v>135</v>
      </c>
      <c r="B29" s="12" t="n">
        <f aca="false">Cons!AP263</f>
        <v>0.11501074601363</v>
      </c>
      <c r="C29" s="12" t="n">
        <f aca="false">Base!AP263</f>
        <v>0.0790468237746106</v>
      </c>
      <c r="D29" s="12" t="n">
        <f aca="false">Aggr!AP263</f>
        <v>0.0680243114038812</v>
      </c>
      <c r="E29" s="12" t="n">
        <f aca="false">EntDelay!AP263</f>
        <v>0.107265714289653</v>
      </c>
      <c r="F29" s="12" t="n">
        <f aca="false">HiAI!AP263</f>
        <v>0.224746971351778</v>
      </c>
      <c r="G29" s="12" t="n">
        <f aca="false">Incident!AP263</f>
        <v>0.0782157139109859</v>
      </c>
      <c r="H29" s="12" t="n">
        <f aca="false">EntGated!AP263</f>
        <v>0.107265714289653</v>
      </c>
      <c r="I29" s="12" t="n">
        <f aca="false">FullScope!AP263</f>
        <v>0.0790468237746106</v>
      </c>
    </row>
    <row r="30" customFormat="false" ht="15" hidden="false" customHeight="false" outlineLevel="0" collapsed="false">
      <c r="A30" s="0" t="s">
        <v>136</v>
      </c>
      <c r="B30" s="13" t="n">
        <f aca="false">Cons!AP196</f>
        <v>40.4</v>
      </c>
      <c r="C30" s="13" t="n">
        <f aca="false">Base!AP196</f>
        <v>40.4</v>
      </c>
      <c r="D30" s="13" t="n">
        <f aca="false">Aggr!AP196</f>
        <v>40.4</v>
      </c>
      <c r="E30" s="13" t="n">
        <f aca="false">EntDelay!AP196</f>
        <v>40.4</v>
      </c>
      <c r="F30" s="13" t="n">
        <f aca="false">HiAI!AP196</f>
        <v>40.4</v>
      </c>
      <c r="G30" s="13" t="n">
        <f aca="false">Incident!AP196</f>
        <v>40.4</v>
      </c>
      <c r="H30" s="13" t="n">
        <f aca="false">EntGated!AP196</f>
        <v>38.4</v>
      </c>
      <c r="I30" s="13" t="n">
        <f aca="false">FullScope!AP196</f>
        <v>70.4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9" min="2" style="0" width="12"/>
  </cols>
  <sheetData>
    <row r="1" customFormat="false" ht="17.35" hidden="false" customHeight="false" outlineLevel="0" collapsed="false">
      <c r="A1" s="4" t="s">
        <v>137</v>
      </c>
    </row>
    <row r="3" customFormat="false" ht="15" hidden="false" customHeight="false" outlineLevel="0" collapsed="false">
      <c r="A3" s="8" t="s">
        <v>138</v>
      </c>
      <c r="B3" s="8" t="s">
        <v>139</v>
      </c>
      <c r="C3" s="8" t="s">
        <v>103</v>
      </c>
      <c r="D3" s="8" t="s">
        <v>140</v>
      </c>
      <c r="E3" s="8" t="s">
        <v>141</v>
      </c>
      <c r="F3" s="8" t="s">
        <v>142</v>
      </c>
      <c r="G3" s="8" t="s">
        <v>143</v>
      </c>
      <c r="H3" s="8" t="s">
        <v>144</v>
      </c>
      <c r="I3" s="8" t="s">
        <v>145</v>
      </c>
    </row>
    <row r="4" customFormat="false" ht="15" hidden="false" customHeight="false" outlineLevel="0" collapsed="false">
      <c r="A4" s="0" t="s">
        <v>146</v>
      </c>
      <c r="B4" s="0" t="str">
        <f aca="false">IF(AND(MAX(Cons!C185:AL185)&lt;0.01,MIN(Cons!C185:AL185)&gt;-0.01),"OK","FAIL")</f>
        <v>OK</v>
      </c>
      <c r="C4" s="0" t="str">
        <f aca="false">IF(AND(MAX(Base!C185:AL185)&lt;0.01,MIN(Base!C185:AL185)&gt;-0.01),"OK","FAIL")</f>
        <v>OK</v>
      </c>
      <c r="D4" s="0" t="str">
        <f aca="false">IF(AND(MAX(Aggr!C185:AL185)&lt;0.01,MIN(Aggr!C185:AL185)&gt;-0.01),"OK","FAIL")</f>
        <v>OK</v>
      </c>
      <c r="E4" s="0" t="str">
        <f aca="false">IF(AND(MAX(EntDelay!C185:AL185)&lt;0.01,MIN(EntDelay!C185:AL185)&gt;-0.01),"OK","FAIL")</f>
        <v>OK</v>
      </c>
      <c r="F4" s="0" t="str">
        <f aca="false">IF(AND(MAX(HiAI!C185:AL185)&lt;0.01,MIN(HiAI!C185:AL185)&gt;-0.01),"OK","FAIL")</f>
        <v>OK</v>
      </c>
      <c r="G4" s="0" t="str">
        <f aca="false">IF(AND(MAX(Incident!C185:AL185)&lt;0.01,MIN(Incident!C185:AL185)&gt;-0.01),"OK","FAIL")</f>
        <v>OK</v>
      </c>
      <c r="H4" s="0" t="str">
        <f aca="false">IF(AND(MAX(EntGated!C185:AL185)&lt;0.01,MIN(EntGated!C185:AL185)&gt;-0.01),"OK","FAIL")</f>
        <v>OK</v>
      </c>
      <c r="I4" s="0" t="str">
        <f aca="false">IF(AND(MAX(FullScope!C185:AL185)&lt;0.01,MIN(FullScope!C185:AL185)&gt;-0.01),"OK","FAIL")</f>
        <v>OK</v>
      </c>
    </row>
    <row r="5" customFormat="false" ht="15" hidden="false" customHeight="false" outlineLevel="0" collapsed="false">
      <c r="A5" s="0" t="s">
        <v>147</v>
      </c>
      <c r="B5" s="0" t="str">
        <f aca="false">IF(MIN(Cons!C154:AL154)&gt;-0.01,"OK","FAIL")</f>
        <v>OK</v>
      </c>
      <c r="C5" s="0" t="str">
        <f aca="false">IF(MIN(Base!C154:AL154)&gt;-0.01,"OK","FAIL")</f>
        <v>OK</v>
      </c>
      <c r="D5" s="0" t="str">
        <f aca="false">IF(MIN(Aggr!C154:AL154)&gt;-0.01,"OK","FAIL")</f>
        <v>OK</v>
      </c>
      <c r="E5" s="0" t="str">
        <f aca="false">IF(MIN(EntDelay!C154:AL154)&gt;-0.01,"OK","FAIL")</f>
        <v>OK</v>
      </c>
      <c r="F5" s="0" t="str">
        <f aca="false">IF(MIN(HiAI!C154:AL154)&gt;-0.01,"OK","FAIL")</f>
        <v>OK</v>
      </c>
      <c r="G5" s="0" t="str">
        <f aca="false">IF(MIN(Incident!C154:AL154)&gt;-0.01,"OK","FAIL")</f>
        <v>OK</v>
      </c>
      <c r="H5" s="0" t="str">
        <f aca="false">IF(MIN(EntGated!C154:AL154)&gt;-0.01,"OK","FAIL")</f>
        <v>OK</v>
      </c>
      <c r="I5" s="0" t="str">
        <f aca="false">IF(MIN(FullScope!C154:AL154)&gt;-0.01,"OK","FAIL")</f>
        <v>OK</v>
      </c>
    </row>
    <row r="6" customFormat="false" ht="15" hidden="false" customHeight="false" outlineLevel="0" collapsed="false">
      <c r="A6" s="0" t="s">
        <v>148</v>
      </c>
      <c r="B6" s="0" t="str">
        <f aca="false">IF(MIN(Cons!C155:AL155)&gt;-0.01,"OK","FAIL")</f>
        <v>OK</v>
      </c>
      <c r="C6" s="0" t="str">
        <f aca="false">IF(MIN(Base!C155:AL155)&gt;-0.01,"OK","FAIL")</f>
        <v>OK</v>
      </c>
      <c r="D6" s="0" t="str">
        <f aca="false">IF(MIN(Aggr!C155:AL155)&gt;-0.01,"OK","FAIL")</f>
        <v>OK</v>
      </c>
      <c r="E6" s="0" t="str">
        <f aca="false">IF(MIN(EntDelay!C155:AL155)&gt;-0.01,"OK","FAIL")</f>
        <v>OK</v>
      </c>
      <c r="F6" s="0" t="str">
        <f aca="false">IF(MIN(HiAI!C155:AL155)&gt;-0.01,"OK","FAIL")</f>
        <v>OK</v>
      </c>
      <c r="G6" s="0" t="str">
        <f aca="false">IF(MIN(Incident!C155:AL155)&gt;-0.01,"OK","FAIL")</f>
        <v>OK</v>
      </c>
      <c r="H6" s="0" t="str">
        <f aca="false">IF(MIN(EntGated!C155:AL155)&gt;-0.01,"OK","FAIL")</f>
        <v>OK</v>
      </c>
      <c r="I6" s="0" t="str">
        <f aca="false">IF(MIN(FullScope!C155:AL155)&gt;-0.01,"OK","FAIL")</f>
        <v>OK</v>
      </c>
    </row>
    <row r="7" customFormat="false" ht="15" hidden="false" customHeight="false" outlineLevel="0" collapsed="false">
      <c r="A7" s="0" t="s">
        <v>149</v>
      </c>
      <c r="B7" s="0" t="str">
        <f aca="false">IF(ABS(SUM(Cons!C226:AL226)-Cons!AL227)&lt;0.01,"OK","FAIL")</f>
        <v>OK</v>
      </c>
      <c r="C7" s="0" t="str">
        <f aca="false">IF(ABS(SUM(Base!C226:AL226)-Base!AL227)&lt;0.01,"OK","FAIL")</f>
        <v>OK</v>
      </c>
      <c r="D7" s="0" t="str">
        <f aca="false">IF(ABS(SUM(Aggr!C226:AL226)-Aggr!AL227)&lt;0.01,"OK","FAIL")</f>
        <v>OK</v>
      </c>
      <c r="E7" s="0" t="str">
        <f aca="false">IF(ABS(SUM(EntDelay!C226:AL226)-EntDelay!AL227)&lt;0.01,"OK","FAIL")</f>
        <v>OK</v>
      </c>
      <c r="F7" s="0" t="str">
        <f aca="false">IF(ABS(SUM(HiAI!C226:AL226)-HiAI!AL227)&lt;0.01,"OK","FAIL")</f>
        <v>OK</v>
      </c>
      <c r="G7" s="0" t="str">
        <f aca="false">IF(ABS(SUM(Incident!C226:AL226)-Incident!AL227)&lt;0.01,"OK","FAIL")</f>
        <v>OK</v>
      </c>
      <c r="H7" s="0" t="str">
        <f aca="false">IF(ABS(SUM(EntGated!C226:AL226)-EntGated!AL227)&lt;0.01,"OK","FAIL")</f>
        <v>OK</v>
      </c>
      <c r="I7" s="0" t="str">
        <f aca="false">IF(ABS(SUM(FullScope!C226:AL226)-FullScope!AL227)&lt;0.01,"OK","FAIL")</f>
        <v>OK</v>
      </c>
    </row>
    <row r="8" customFormat="false" ht="15" hidden="false" customHeight="false" outlineLevel="0" collapsed="false">
      <c r="A8" s="0" t="s">
        <v>150</v>
      </c>
      <c r="B8" s="0" t="str">
        <f aca="false">IF(ABS(SUM(Cons!C151:AL151)-SUM(Cons!C146:AL146)-Cons!AL154)&lt;0.01,"OK","FAIL")</f>
        <v>OK</v>
      </c>
      <c r="C8" s="0" t="str">
        <f aca="false">IF(ABS(SUM(Base!C151:AL151)-SUM(Base!C146:AL146)-Base!AL154)&lt;0.01,"OK","FAIL")</f>
        <v>OK</v>
      </c>
      <c r="D8" s="0" t="str">
        <f aca="false">IF(ABS(SUM(Aggr!C151:AL151)-SUM(Aggr!C146:AL146)-Aggr!AL154)&lt;0.01,"OK","FAIL")</f>
        <v>OK</v>
      </c>
      <c r="E8" s="0" t="str">
        <f aca="false">IF(ABS(SUM(EntDelay!C151:AL151)-SUM(EntDelay!C146:AL146)-EntDelay!AL154)&lt;0.01,"OK","FAIL")</f>
        <v>OK</v>
      </c>
      <c r="F8" s="0" t="str">
        <f aca="false">IF(ABS(SUM(HiAI!C151:AL151)-SUM(HiAI!C146:AL146)-HiAI!AL154)&lt;0.01,"OK","FAIL")</f>
        <v>OK</v>
      </c>
      <c r="G8" s="0" t="str">
        <f aca="false">IF(ABS(SUM(Incident!C151:AL151)-SUM(Incident!C146:AL146)-Incident!AL154)&lt;0.01,"OK","FAIL")</f>
        <v>OK</v>
      </c>
      <c r="H8" s="0" t="str">
        <f aca="false">IF(ABS(SUM(EntGated!C151:AL151)-SUM(EntGated!C146:AL146)-EntGated!AL154)&lt;0.01,"OK","FAIL")</f>
        <v>OK</v>
      </c>
      <c r="I8" s="0" t="str">
        <f aca="false">IF(ABS(SUM(FullScope!C151:AL151)-SUM(FullScope!C146:AL146)-FullScope!AL154)&lt;0.01,"OK","FAIL")</f>
        <v>OK</v>
      </c>
    </row>
    <row r="9" customFormat="false" ht="15" hidden="false" customHeight="false" outlineLevel="0" collapsed="false">
      <c r="A9" s="0" t="s">
        <v>151</v>
      </c>
      <c r="B9" s="0" t="str">
        <f aca="false">IF(ABS(Cons!C196+SUM(Cons!D198:AL198)-Cons!AL196)&lt;0.001,"OK","FAIL")</f>
        <v>OK</v>
      </c>
      <c r="C9" s="0" t="str">
        <f aca="false">IF(ABS(Base!C196+SUM(Base!D198:AL198)-Base!AL196)&lt;0.001,"OK","FAIL")</f>
        <v>OK</v>
      </c>
      <c r="D9" s="0" t="str">
        <f aca="false">IF(ABS(Aggr!C196+SUM(Aggr!D198:AL198)-Aggr!AL196)&lt;0.001,"OK","FAIL")</f>
        <v>OK</v>
      </c>
      <c r="E9" s="0" t="str">
        <f aca="false">IF(ABS(EntDelay!C196+SUM(EntDelay!D198:AL198)-EntDelay!AL196)&lt;0.001,"OK","FAIL")</f>
        <v>OK</v>
      </c>
      <c r="F9" s="0" t="str">
        <f aca="false">IF(ABS(HiAI!C196+SUM(HiAI!D198:AL198)-HiAI!AL196)&lt;0.001,"OK","FAIL")</f>
        <v>OK</v>
      </c>
      <c r="G9" s="0" t="str">
        <f aca="false">IF(ABS(Incident!C196+SUM(Incident!D198:AL198)-Incident!AL196)&lt;0.001,"OK","FAIL")</f>
        <v>OK</v>
      </c>
      <c r="H9" s="0" t="str">
        <f aca="false">IF(ABS(EntGated!C196+SUM(EntGated!D198:AL198)-EntGated!AL196)&lt;0.001,"OK","FAIL")</f>
        <v>OK</v>
      </c>
      <c r="I9" s="0" t="str">
        <f aca="false">IF(ABS(FullScope!C196+SUM(FullScope!D198:AL198)-FullScope!AL196)&lt;0.001,"OK","FAIL")</f>
        <v>OK</v>
      </c>
    </row>
    <row r="10" customFormat="false" ht="15" hidden="false" customHeight="false" outlineLevel="0" collapsed="false">
      <c r="A10" s="0" t="s">
        <v>152</v>
      </c>
      <c r="B10" s="0" t="str">
        <f aca="false">IF(MIN(Cons!C29:AL29,Cons!C39:AL39,Cons!C122:AL122)&gt;-0.001,"OK","FAIL")</f>
        <v>OK</v>
      </c>
      <c r="C10" s="0" t="str">
        <f aca="false">IF(MIN(Base!C29:AL29,Base!C39:AL39,Base!C122:AL122)&gt;-0.001,"OK","FAIL")</f>
        <v>OK</v>
      </c>
      <c r="D10" s="0" t="str">
        <f aca="false">IF(MIN(Aggr!C29:AL29,Aggr!C39:AL39,Aggr!C122:AL122)&gt;-0.001,"OK","FAIL")</f>
        <v>OK</v>
      </c>
      <c r="E10" s="0" t="str">
        <f aca="false">IF(MIN(EntDelay!C29:AL29,EntDelay!C39:AL39,EntDelay!C122:AL122)&gt;-0.001,"OK","FAIL")</f>
        <v>OK</v>
      </c>
      <c r="F10" s="0" t="str">
        <f aca="false">IF(MIN(HiAI!C29:AL29,HiAI!C39:AL39,HiAI!C122:AL122)&gt;-0.001,"OK","FAIL")</f>
        <v>OK</v>
      </c>
      <c r="G10" s="0" t="str">
        <f aca="false">IF(MIN(Incident!C29:AL29,Incident!C39:AL39,Incident!C122:AL122)&gt;-0.001,"OK","FAIL")</f>
        <v>OK</v>
      </c>
      <c r="H10" s="0" t="str">
        <f aca="false">IF(MIN(EntGated!C29:AL29,EntGated!C39:AL39,EntGated!C122:AL122)&gt;-0.001,"OK","FAIL")</f>
        <v>OK</v>
      </c>
      <c r="I10" s="0" t="str">
        <f aca="false">IF(MIN(FullScope!C29:AL29,FullScope!C39:AL39,FullScope!C122:AL122)&gt;-0.001,"OK","FAIL")</f>
        <v>OK</v>
      </c>
    </row>
    <row r="11" customFormat="false" ht="15" hidden="false" customHeight="false" outlineLevel="0" collapsed="false">
      <c r="A11" s="0" t="s">
        <v>153</v>
      </c>
      <c r="B11" s="0" t="str">
        <f aca="false">IF(ABS(Assumptions!$C$179-12)&lt;0.0001,"OK","FAIL")</f>
        <v>OK</v>
      </c>
    </row>
    <row r="12" customFormat="false" ht="15" hidden="false" customHeight="false" outlineLevel="0" collapsed="false">
      <c r="A12" s="10" t="s">
        <v>154</v>
      </c>
      <c r="B12" s="10" t="str">
        <f aca="false">IF(COUNTIF(B4:I11,"FAIL")=0,"OK","FAIL")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9"/>
    <col collapsed="false" customWidth="true" hidden="false" outlineLevel="0" max="10" min="3" style="0" width="17"/>
    <col collapsed="false" customWidth="true" hidden="false" outlineLevel="0" max="11" min="11" style="0" width="70"/>
  </cols>
  <sheetData>
    <row r="1" customFormat="false" ht="16.15" hidden="false" customHeight="false" outlineLevel="0" collapsed="false">
      <c r="A1" s="18" t="s">
        <v>155</v>
      </c>
    </row>
    <row r="3" customFormat="false" ht="48" hidden="false" customHeight="true" outlineLevel="0" collapsed="false">
      <c r="A3" s="8" t="s">
        <v>156</v>
      </c>
      <c r="B3" s="8" t="s">
        <v>157</v>
      </c>
      <c r="C3" s="8" t="s">
        <v>102</v>
      </c>
      <c r="D3" s="8" t="s">
        <v>103</v>
      </c>
      <c r="E3" s="8" t="s">
        <v>104</v>
      </c>
      <c r="F3" s="8" t="s">
        <v>105</v>
      </c>
      <c r="G3" s="8" t="s">
        <v>106</v>
      </c>
      <c r="H3" s="8" t="s">
        <v>107</v>
      </c>
      <c r="I3" s="8" t="s">
        <v>108</v>
      </c>
      <c r="J3" s="8" t="s">
        <v>109</v>
      </c>
      <c r="K3" s="8" t="s">
        <v>158</v>
      </c>
    </row>
    <row r="4" customFormat="false" ht="15" hidden="false" customHeight="false" outlineLevel="0" collapsed="false">
      <c r="A4" s="0" t="s">
        <v>159</v>
      </c>
      <c r="B4" s="0" t="s">
        <v>160</v>
      </c>
      <c r="C4" s="19" t="n">
        <v>0.6</v>
      </c>
      <c r="D4" s="19" t="n">
        <v>1</v>
      </c>
      <c r="E4" s="19" t="n">
        <v>1.5</v>
      </c>
      <c r="F4" s="19" t="n">
        <v>1</v>
      </c>
      <c r="G4" s="19" t="n">
        <v>1</v>
      </c>
      <c r="H4" s="19" t="n">
        <v>1</v>
      </c>
      <c r="I4" s="19" t="n">
        <v>1</v>
      </c>
      <c r="J4" s="19" t="n">
        <v>1</v>
      </c>
    </row>
    <row r="5" customFormat="false" ht="15" hidden="false" customHeight="false" outlineLevel="0" collapsed="false">
      <c r="A5" s="0" t="s">
        <v>161</v>
      </c>
      <c r="B5" s="0" t="s">
        <v>160</v>
      </c>
      <c r="C5" s="19" t="n">
        <v>0.8</v>
      </c>
      <c r="D5" s="19" t="n">
        <v>1</v>
      </c>
      <c r="E5" s="19" t="n">
        <v>1.2</v>
      </c>
      <c r="F5" s="19" t="n">
        <v>1</v>
      </c>
      <c r="G5" s="19" t="n">
        <v>1</v>
      </c>
      <c r="H5" s="19" t="n">
        <v>1</v>
      </c>
      <c r="I5" s="19" t="n">
        <v>1</v>
      </c>
      <c r="J5" s="19" t="n">
        <v>1</v>
      </c>
    </row>
    <row r="6" customFormat="false" ht="15" hidden="false" customHeight="false" outlineLevel="0" collapsed="false">
      <c r="A6" s="0" t="s">
        <v>162</v>
      </c>
      <c r="B6" s="0" t="s">
        <v>160</v>
      </c>
      <c r="C6" s="19" t="n">
        <v>1.25</v>
      </c>
      <c r="D6" s="19" t="n">
        <v>1</v>
      </c>
      <c r="E6" s="19" t="n">
        <v>0.85</v>
      </c>
      <c r="F6" s="19" t="n">
        <v>1</v>
      </c>
      <c r="G6" s="19" t="n">
        <v>1</v>
      </c>
      <c r="H6" s="19" t="n">
        <v>1</v>
      </c>
      <c r="I6" s="19" t="n">
        <v>1</v>
      </c>
      <c r="J6" s="19" t="n">
        <v>1</v>
      </c>
    </row>
    <row r="7" customFormat="false" ht="15" hidden="false" customHeight="false" outlineLevel="0" collapsed="false">
      <c r="A7" s="0" t="s">
        <v>163</v>
      </c>
      <c r="B7" s="0" t="s">
        <v>160</v>
      </c>
      <c r="C7" s="19" t="n">
        <v>0.6</v>
      </c>
      <c r="D7" s="19" t="n">
        <v>1</v>
      </c>
      <c r="E7" s="19" t="n">
        <v>1.4</v>
      </c>
      <c r="F7" s="19" t="n">
        <v>1</v>
      </c>
      <c r="G7" s="19" t="n">
        <v>1</v>
      </c>
      <c r="H7" s="19" t="n">
        <v>1</v>
      </c>
      <c r="I7" s="19" t="n">
        <v>1</v>
      </c>
      <c r="J7" s="19" t="n">
        <v>1</v>
      </c>
    </row>
    <row r="8" customFormat="false" ht="15" hidden="false" customHeight="false" outlineLevel="0" collapsed="false">
      <c r="A8" s="0" t="s">
        <v>164</v>
      </c>
      <c r="B8" s="0" t="s">
        <v>160</v>
      </c>
      <c r="C8" s="19" t="n">
        <v>0.8</v>
      </c>
      <c r="D8" s="19" t="n">
        <v>1</v>
      </c>
      <c r="E8" s="19" t="n">
        <v>1.1</v>
      </c>
      <c r="F8" s="19" t="n">
        <v>0.9</v>
      </c>
      <c r="G8" s="19" t="n">
        <v>1</v>
      </c>
      <c r="H8" s="19" t="n">
        <v>1</v>
      </c>
      <c r="I8" s="19" t="n">
        <v>0.9</v>
      </c>
      <c r="J8" s="19" t="n">
        <v>1</v>
      </c>
    </row>
    <row r="9" customFormat="false" ht="15" hidden="false" customHeight="false" outlineLevel="0" collapsed="false">
      <c r="A9" s="0" t="s">
        <v>165</v>
      </c>
      <c r="B9" s="0" t="s">
        <v>166</v>
      </c>
      <c r="C9" s="19" t="n">
        <v>2</v>
      </c>
      <c r="D9" s="19" t="n">
        <v>0</v>
      </c>
      <c r="E9" s="19" t="n">
        <v>-2</v>
      </c>
      <c r="F9" s="19" t="n">
        <v>6</v>
      </c>
      <c r="G9" s="19" t="n">
        <v>0</v>
      </c>
      <c r="H9" s="19" t="n">
        <v>0</v>
      </c>
      <c r="I9" s="19" t="n">
        <v>6</v>
      </c>
      <c r="J9" s="19" t="n">
        <v>0</v>
      </c>
      <c r="K9" s="20" t="s">
        <v>167</v>
      </c>
    </row>
    <row r="10" customFormat="false" ht="15" hidden="false" customHeight="false" outlineLevel="0" collapsed="false">
      <c r="A10" s="0" t="s">
        <v>168</v>
      </c>
      <c r="B10" s="0" t="s">
        <v>160</v>
      </c>
      <c r="C10" s="19" t="n">
        <v>0.95</v>
      </c>
      <c r="D10" s="19" t="n">
        <v>1</v>
      </c>
      <c r="E10" s="19" t="n">
        <v>1</v>
      </c>
      <c r="F10" s="19" t="n">
        <v>1</v>
      </c>
      <c r="G10" s="19" t="n">
        <v>1</v>
      </c>
      <c r="H10" s="19" t="n">
        <v>1</v>
      </c>
      <c r="I10" s="19" t="n">
        <v>1</v>
      </c>
      <c r="J10" s="19" t="n">
        <v>1</v>
      </c>
    </row>
    <row r="11" customFormat="false" ht="15" hidden="false" customHeight="false" outlineLevel="0" collapsed="false">
      <c r="A11" s="0" t="s">
        <v>169</v>
      </c>
      <c r="B11" s="0" t="s">
        <v>160</v>
      </c>
      <c r="C11" s="19" t="n">
        <v>1.25</v>
      </c>
      <c r="D11" s="19" t="n">
        <v>1</v>
      </c>
      <c r="E11" s="19" t="n">
        <v>0.85</v>
      </c>
      <c r="F11" s="19" t="n">
        <v>1</v>
      </c>
      <c r="G11" s="19" t="n">
        <v>1</v>
      </c>
      <c r="H11" s="19" t="n">
        <v>1</v>
      </c>
      <c r="I11" s="19" t="n">
        <v>1</v>
      </c>
      <c r="J11" s="19" t="n">
        <v>1</v>
      </c>
    </row>
    <row r="12" customFormat="false" ht="15" hidden="false" customHeight="false" outlineLevel="0" collapsed="false">
      <c r="A12" s="0" t="s">
        <v>170</v>
      </c>
      <c r="B12" s="0" t="s">
        <v>160</v>
      </c>
      <c r="C12" s="19" t="n">
        <v>1</v>
      </c>
      <c r="D12" s="19" t="n">
        <v>1</v>
      </c>
      <c r="E12" s="19" t="n">
        <v>1</v>
      </c>
      <c r="F12" s="19" t="n">
        <v>1</v>
      </c>
      <c r="G12" s="19" t="n">
        <v>2.5</v>
      </c>
      <c r="H12" s="19" t="n">
        <v>1</v>
      </c>
      <c r="I12" s="19" t="n">
        <v>1</v>
      </c>
      <c r="J12" s="19" t="n">
        <v>1</v>
      </c>
    </row>
    <row r="13" customFormat="false" ht="15" hidden="false" customHeight="false" outlineLevel="0" collapsed="false">
      <c r="A13" s="0" t="s">
        <v>171</v>
      </c>
      <c r="B13" s="0" t="s">
        <v>160</v>
      </c>
      <c r="C13" s="19" t="n">
        <v>1</v>
      </c>
      <c r="D13" s="19" t="n">
        <v>1</v>
      </c>
      <c r="E13" s="19" t="n">
        <v>1</v>
      </c>
      <c r="F13" s="19" t="n">
        <v>1</v>
      </c>
      <c r="G13" s="19" t="n">
        <v>1.5</v>
      </c>
      <c r="H13" s="19" t="n">
        <v>1</v>
      </c>
      <c r="I13" s="19" t="n">
        <v>1</v>
      </c>
      <c r="J13" s="19" t="n">
        <v>1</v>
      </c>
    </row>
    <row r="14" customFormat="false" ht="15" hidden="false" customHeight="false" outlineLevel="0" collapsed="false">
      <c r="A14" s="0" t="s">
        <v>172</v>
      </c>
      <c r="B14" s="0" t="s">
        <v>173</v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1</v>
      </c>
      <c r="I14" s="19" t="n">
        <v>0</v>
      </c>
      <c r="J14" s="19" t="n">
        <v>0</v>
      </c>
    </row>
    <row r="15" customFormat="false" ht="15" hidden="false" customHeight="false" outlineLevel="0" collapsed="false">
      <c r="A15" s="0" t="s">
        <v>174</v>
      </c>
      <c r="B15" s="0" t="s">
        <v>166</v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6</v>
      </c>
      <c r="J15" s="19" t="n">
        <v>0</v>
      </c>
      <c r="K15" s="20" t="s">
        <v>175</v>
      </c>
    </row>
    <row r="16" customFormat="false" ht="15" hidden="false" customHeight="false" outlineLevel="0" collapsed="false">
      <c r="A16" s="0" t="s">
        <v>176</v>
      </c>
      <c r="B16" s="0" t="s">
        <v>173</v>
      </c>
      <c r="C16" s="19" t="n">
        <v>0</v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1</v>
      </c>
      <c r="K16" s="20" t="s">
        <v>177</v>
      </c>
    </row>
    <row r="19" customFormat="false" ht="15" hidden="false" customHeight="false" outlineLevel="0" collapsed="false">
      <c r="A19" s="0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2"/>
    <col collapsed="false" customWidth="true" hidden="false" outlineLevel="0" max="5" min="3" style="0" width="15"/>
    <col collapsed="false" customWidth="true" hidden="false" outlineLevel="0" max="6" min="6" style="0" width="10"/>
    <col collapsed="false" customWidth="true" hidden="false" outlineLevel="0" max="7" min="7" style="0" width="60"/>
  </cols>
  <sheetData>
    <row r="1" customFormat="false" ht="16.15" hidden="false" customHeight="false" outlineLevel="0" collapsed="false">
      <c r="A1" s="18" t="s">
        <v>179</v>
      </c>
    </row>
    <row r="3" customFormat="false" ht="55.2" hidden="false" customHeight="false" outlineLevel="0" collapsed="false">
      <c r="A3" s="8" t="s">
        <v>180</v>
      </c>
      <c r="B3" s="8" t="s">
        <v>181</v>
      </c>
      <c r="C3" s="8" t="s">
        <v>182</v>
      </c>
      <c r="D3" s="8" t="s">
        <v>157</v>
      </c>
      <c r="E3" s="8" t="s">
        <v>183</v>
      </c>
      <c r="F3" s="8" t="s">
        <v>184</v>
      </c>
    </row>
    <row r="4" customFormat="false" ht="15" hidden="false" customHeight="false" outlineLevel="0" collapsed="false">
      <c r="A4" s="21" t="s">
        <v>185</v>
      </c>
      <c r="B4" s="22"/>
      <c r="C4" s="22"/>
      <c r="D4" s="22"/>
      <c r="E4" s="22"/>
      <c r="F4" s="22"/>
    </row>
    <row r="5" customFormat="false" ht="15" hidden="false" customHeight="false" outlineLevel="0" collapsed="false">
      <c r="A5" s="0" t="s">
        <v>186</v>
      </c>
      <c r="B5" s="0" t="s">
        <v>187</v>
      </c>
      <c r="C5" s="23" t="n">
        <v>13</v>
      </c>
      <c r="D5" s="20" t="s">
        <v>188</v>
      </c>
      <c r="E5" s="24" t="s">
        <v>189</v>
      </c>
      <c r="F5" s="20" t="s">
        <v>190</v>
      </c>
    </row>
    <row r="6" customFormat="false" ht="15" hidden="false" customHeight="false" outlineLevel="0" collapsed="false">
      <c r="A6" s="0" t="s">
        <v>191</v>
      </c>
      <c r="B6" s="0" t="s">
        <v>192</v>
      </c>
      <c r="C6" s="25" t="n">
        <v>0.25</v>
      </c>
      <c r="D6" s="20" t="s">
        <v>193</v>
      </c>
      <c r="E6" s="24" t="s">
        <v>189</v>
      </c>
      <c r="F6" s="20" t="s">
        <v>194</v>
      </c>
    </row>
    <row r="7" customFormat="false" ht="15" hidden="false" customHeight="false" outlineLevel="0" collapsed="false">
      <c r="A7" s="0" t="s">
        <v>195</v>
      </c>
      <c r="B7" s="0" t="s">
        <v>196</v>
      </c>
      <c r="C7" s="23" t="n">
        <v>12</v>
      </c>
      <c r="D7" s="20" t="s">
        <v>188</v>
      </c>
      <c r="E7" s="24" t="s">
        <v>189</v>
      </c>
      <c r="F7" s="20" t="s">
        <v>197</v>
      </c>
    </row>
    <row r="8" customFormat="false" ht="15" hidden="false" customHeight="false" outlineLevel="0" collapsed="false">
      <c r="A8" s="0" t="s">
        <v>198</v>
      </c>
      <c r="B8" s="0" t="s">
        <v>199</v>
      </c>
      <c r="C8" s="23" t="n">
        <v>22</v>
      </c>
      <c r="D8" s="20" t="s">
        <v>188</v>
      </c>
      <c r="E8" s="24" t="s">
        <v>189</v>
      </c>
      <c r="F8" s="20" t="s">
        <v>200</v>
      </c>
    </row>
    <row r="9" customFormat="false" ht="15" hidden="false" customHeight="false" outlineLevel="0" collapsed="false">
      <c r="A9" s="0" t="s">
        <v>201</v>
      </c>
      <c r="B9" s="0" t="s">
        <v>202</v>
      </c>
      <c r="C9" s="23" t="n">
        <v>26</v>
      </c>
      <c r="D9" s="20" t="s">
        <v>188</v>
      </c>
      <c r="E9" s="24" t="s">
        <v>189</v>
      </c>
      <c r="F9" s="20" t="s">
        <v>203</v>
      </c>
    </row>
    <row r="10" customFormat="false" ht="15" hidden="false" customHeight="false" outlineLevel="0" collapsed="false">
      <c r="A10" s="0" t="s">
        <v>204</v>
      </c>
      <c r="B10" s="0" t="s">
        <v>205</v>
      </c>
      <c r="C10" s="25" t="n">
        <v>0.6</v>
      </c>
      <c r="D10" s="20" t="s">
        <v>193</v>
      </c>
      <c r="E10" s="26" t="s">
        <v>206</v>
      </c>
      <c r="F10" s="20" t="s">
        <v>207</v>
      </c>
    </row>
    <row r="11" customFormat="false" ht="15" hidden="false" customHeight="false" outlineLevel="0" collapsed="false">
      <c r="A11" s="21" t="s">
        <v>208</v>
      </c>
      <c r="B11" s="22"/>
      <c r="C11" s="22"/>
      <c r="D11" s="22"/>
      <c r="E11" s="22"/>
      <c r="F11" s="22"/>
    </row>
    <row r="12" customFormat="false" ht="15" hidden="false" customHeight="false" outlineLevel="0" collapsed="false">
      <c r="A12" s="0" t="s">
        <v>209</v>
      </c>
      <c r="B12" s="0" t="s">
        <v>210</v>
      </c>
      <c r="C12" s="27" t="n">
        <v>7.99</v>
      </c>
      <c r="D12" s="20" t="s">
        <v>211</v>
      </c>
      <c r="E12" s="28" t="s">
        <v>212</v>
      </c>
      <c r="F12" s="20" t="s">
        <v>213</v>
      </c>
    </row>
    <row r="13" customFormat="false" ht="15" hidden="false" customHeight="false" outlineLevel="0" collapsed="false">
      <c r="A13" s="0" t="s">
        <v>214</v>
      </c>
      <c r="B13" s="0" t="s">
        <v>215</v>
      </c>
      <c r="C13" s="27" t="n">
        <v>59</v>
      </c>
      <c r="D13" s="20" t="s">
        <v>216</v>
      </c>
      <c r="E13" s="28" t="s">
        <v>212</v>
      </c>
      <c r="F13" s="20" t="s">
        <v>217</v>
      </c>
    </row>
    <row r="14" customFormat="false" ht="15" hidden="false" customHeight="false" outlineLevel="0" collapsed="false">
      <c r="A14" s="0" t="s">
        <v>218</v>
      </c>
      <c r="B14" s="0" t="s">
        <v>219</v>
      </c>
      <c r="C14" s="25" t="n">
        <v>0.1</v>
      </c>
      <c r="D14" s="20" t="s">
        <v>193</v>
      </c>
      <c r="E14" s="26" t="s">
        <v>206</v>
      </c>
      <c r="F14" s="20" t="s">
        <v>220</v>
      </c>
    </row>
    <row r="15" customFormat="false" ht="15" hidden="false" customHeight="false" outlineLevel="0" collapsed="false">
      <c r="A15" s="0" t="s">
        <v>221</v>
      </c>
      <c r="B15" s="0" t="s">
        <v>222</v>
      </c>
      <c r="C15" s="25" t="n">
        <v>0.033</v>
      </c>
      <c r="D15" s="20" t="s">
        <v>193</v>
      </c>
      <c r="E15" s="26" t="s">
        <v>206</v>
      </c>
      <c r="F15" s="20" t="s">
        <v>223</v>
      </c>
    </row>
    <row r="16" customFormat="false" ht="15" hidden="false" customHeight="false" outlineLevel="0" collapsed="false">
      <c r="A16" s="0" t="s">
        <v>224</v>
      </c>
      <c r="B16" s="0" t="s">
        <v>225</v>
      </c>
      <c r="C16" s="23" t="n">
        <v>1200</v>
      </c>
      <c r="D16" s="20" t="s">
        <v>226</v>
      </c>
      <c r="E16" s="26" t="s">
        <v>206</v>
      </c>
      <c r="F16" s="20" t="s">
        <v>227</v>
      </c>
    </row>
    <row r="17" customFormat="false" ht="15" hidden="false" customHeight="false" outlineLevel="0" collapsed="false">
      <c r="A17" s="0" t="s">
        <v>228</v>
      </c>
      <c r="B17" s="0" t="s">
        <v>229</v>
      </c>
      <c r="C17" s="27" t="n">
        <v>3</v>
      </c>
      <c r="D17" s="20" t="s">
        <v>230</v>
      </c>
      <c r="E17" s="26" t="s">
        <v>206</v>
      </c>
      <c r="F17" s="20" t="s">
        <v>231</v>
      </c>
    </row>
    <row r="18" customFormat="false" ht="15" hidden="false" customHeight="false" outlineLevel="0" collapsed="false">
      <c r="A18" s="0" t="s">
        <v>232</v>
      </c>
      <c r="B18" s="0" t="s">
        <v>233</v>
      </c>
      <c r="C18" s="25" t="n">
        <v>0.6</v>
      </c>
      <c r="D18" s="20" t="s">
        <v>193</v>
      </c>
      <c r="E18" s="26" t="s">
        <v>206</v>
      </c>
      <c r="F18" s="20" t="s">
        <v>234</v>
      </c>
    </row>
    <row r="19" customFormat="false" ht="15" hidden="false" customHeight="false" outlineLevel="0" collapsed="false">
      <c r="A19" s="0" t="s">
        <v>235</v>
      </c>
      <c r="B19" s="0" t="s">
        <v>236</v>
      </c>
      <c r="C19" s="25" t="n">
        <v>0.12</v>
      </c>
      <c r="D19" s="20" t="s">
        <v>193</v>
      </c>
      <c r="E19" s="26" t="s">
        <v>206</v>
      </c>
      <c r="F19" s="20" t="s">
        <v>237</v>
      </c>
    </row>
    <row r="20" customFormat="false" ht="15" hidden="false" customHeight="false" outlineLevel="0" collapsed="false">
      <c r="A20" s="0" t="s">
        <v>238</v>
      </c>
      <c r="B20" s="0" t="s">
        <v>239</v>
      </c>
      <c r="C20" s="25" t="n">
        <v>0.0025</v>
      </c>
      <c r="D20" s="20" t="s">
        <v>193</v>
      </c>
      <c r="E20" s="26" t="s">
        <v>206</v>
      </c>
      <c r="F20" s="20" t="s">
        <v>240</v>
      </c>
    </row>
    <row r="21" customFormat="false" ht="15" hidden="false" customHeight="false" outlineLevel="0" collapsed="false">
      <c r="A21" s="0" t="s">
        <v>241</v>
      </c>
      <c r="B21" s="0" t="s">
        <v>242</v>
      </c>
      <c r="C21" s="25" t="n">
        <v>0.45</v>
      </c>
      <c r="D21" s="20" t="s">
        <v>193</v>
      </c>
      <c r="E21" s="26" t="s">
        <v>206</v>
      </c>
    </row>
    <row r="22" customFormat="false" ht="15" hidden="false" customHeight="false" outlineLevel="0" collapsed="false">
      <c r="A22" s="0" t="s">
        <v>243</v>
      </c>
      <c r="B22" s="0" t="s">
        <v>244</v>
      </c>
      <c r="C22" s="25" t="n">
        <v>0.05</v>
      </c>
      <c r="D22" s="20" t="s">
        <v>193</v>
      </c>
      <c r="E22" s="26" t="s">
        <v>206</v>
      </c>
      <c r="F22" s="20" t="s">
        <v>245</v>
      </c>
    </row>
    <row r="23" customFormat="false" ht="15" hidden="false" customHeight="false" outlineLevel="0" collapsed="false">
      <c r="A23" s="0" t="s">
        <v>246</v>
      </c>
      <c r="B23" s="0" t="s">
        <v>247</v>
      </c>
      <c r="C23" s="25" t="n">
        <v>0.55</v>
      </c>
      <c r="D23" s="20" t="s">
        <v>193</v>
      </c>
      <c r="E23" s="26" t="s">
        <v>206</v>
      </c>
    </row>
    <row r="24" customFormat="false" ht="15" hidden="false" customHeight="false" outlineLevel="0" collapsed="false">
      <c r="A24" s="0" t="s">
        <v>248</v>
      </c>
      <c r="B24" s="0" t="s">
        <v>249</v>
      </c>
      <c r="C24" s="25" t="n">
        <v>0.25</v>
      </c>
      <c r="D24" s="20" t="s">
        <v>193</v>
      </c>
      <c r="E24" s="29" t="s">
        <v>250</v>
      </c>
      <c r="F24" s="20" t="s">
        <v>251</v>
      </c>
    </row>
    <row r="25" customFormat="false" ht="15" hidden="false" customHeight="false" outlineLevel="0" collapsed="false">
      <c r="A25" s="0" t="s">
        <v>252</v>
      </c>
      <c r="B25" s="0" t="s">
        <v>253</v>
      </c>
      <c r="C25" s="25" t="n">
        <v>0.15</v>
      </c>
      <c r="D25" s="20" t="s">
        <v>193</v>
      </c>
      <c r="E25" s="30" t="s">
        <v>254</v>
      </c>
      <c r="F25" s="20" t="s">
        <v>255</v>
      </c>
    </row>
    <row r="26" customFormat="false" ht="15" hidden="false" customHeight="false" outlineLevel="0" collapsed="false">
      <c r="A26" s="0" t="s">
        <v>256</v>
      </c>
      <c r="B26" s="0" t="s">
        <v>257</v>
      </c>
      <c r="C26" s="25" t="n">
        <v>0.029</v>
      </c>
      <c r="D26" s="20" t="s">
        <v>193</v>
      </c>
      <c r="E26" s="30" t="s">
        <v>254</v>
      </c>
      <c r="F26" s="20" t="s">
        <v>258</v>
      </c>
    </row>
    <row r="27" customFormat="false" ht="15" hidden="false" customHeight="false" outlineLevel="0" collapsed="false">
      <c r="A27" s="0" t="s">
        <v>259</v>
      </c>
      <c r="B27" s="0" t="s">
        <v>260</v>
      </c>
      <c r="C27" s="31" t="n">
        <v>0.3</v>
      </c>
      <c r="D27" s="20" t="s">
        <v>230</v>
      </c>
      <c r="E27" s="30" t="s">
        <v>254</v>
      </c>
      <c r="F27" s="20" t="s">
        <v>261</v>
      </c>
    </row>
    <row r="28" customFormat="false" ht="15" hidden="false" customHeight="false" outlineLevel="0" collapsed="false">
      <c r="A28" s="21" t="s">
        <v>22</v>
      </c>
      <c r="B28" s="22"/>
      <c r="C28" s="22"/>
      <c r="D28" s="22"/>
      <c r="E28" s="22"/>
      <c r="F28" s="22"/>
    </row>
    <row r="29" customFormat="false" ht="15" hidden="false" customHeight="false" outlineLevel="0" collapsed="false">
      <c r="A29" s="0" t="s">
        <v>262</v>
      </c>
      <c r="B29" s="0" t="s">
        <v>263</v>
      </c>
      <c r="C29" s="25" t="n">
        <v>0.12</v>
      </c>
      <c r="D29" s="20" t="s">
        <v>193</v>
      </c>
      <c r="E29" s="32" t="s">
        <v>264</v>
      </c>
      <c r="F29" s="20" t="s">
        <v>265</v>
      </c>
    </row>
    <row r="30" customFormat="false" ht="15" hidden="false" customHeight="false" outlineLevel="0" collapsed="false">
      <c r="A30" s="0" t="s">
        <v>266</v>
      </c>
      <c r="B30" s="0" t="s">
        <v>267</v>
      </c>
      <c r="C30" s="25" t="n">
        <v>0.88</v>
      </c>
      <c r="D30" s="20" t="s">
        <v>193</v>
      </c>
      <c r="E30" s="26" t="s">
        <v>206</v>
      </c>
      <c r="F30" s="20" t="s">
        <v>268</v>
      </c>
    </row>
    <row r="31" customFormat="false" ht="15" hidden="false" customHeight="false" outlineLevel="0" collapsed="false">
      <c r="A31" s="0" t="s">
        <v>269</v>
      </c>
      <c r="B31" s="0" t="s">
        <v>270</v>
      </c>
      <c r="C31" s="25" t="n">
        <v>0.1</v>
      </c>
      <c r="D31" s="20" t="s">
        <v>193</v>
      </c>
      <c r="E31" s="26" t="s">
        <v>206</v>
      </c>
      <c r="F31" s="20" t="s">
        <v>271</v>
      </c>
    </row>
    <row r="32" customFormat="false" ht="15" hidden="false" customHeight="false" outlineLevel="0" collapsed="false">
      <c r="A32" s="0" t="s">
        <v>272</v>
      </c>
      <c r="B32" s="0" t="s">
        <v>273</v>
      </c>
      <c r="C32" s="25" t="n">
        <v>0.35</v>
      </c>
      <c r="D32" s="20" t="s">
        <v>193</v>
      </c>
      <c r="E32" s="26" t="s">
        <v>206</v>
      </c>
      <c r="F32" s="20" t="s">
        <v>274</v>
      </c>
    </row>
    <row r="33" customFormat="false" ht="15" hidden="false" customHeight="false" outlineLevel="0" collapsed="false">
      <c r="A33" s="0" t="s">
        <v>275</v>
      </c>
      <c r="B33" s="0" t="s">
        <v>276</v>
      </c>
      <c r="C33" s="25" t="n">
        <v>0.01</v>
      </c>
      <c r="D33" s="20" t="s">
        <v>193</v>
      </c>
      <c r="E33" s="26" t="s">
        <v>206</v>
      </c>
      <c r="F33" s="20" t="s">
        <v>277</v>
      </c>
    </row>
    <row r="34" customFormat="false" ht="15" hidden="false" customHeight="false" outlineLevel="0" collapsed="false">
      <c r="A34" s="0" t="s">
        <v>278</v>
      </c>
      <c r="B34" s="0" t="s">
        <v>279</v>
      </c>
      <c r="C34" s="25" t="n">
        <v>0.4</v>
      </c>
      <c r="D34" s="20" t="s">
        <v>193</v>
      </c>
      <c r="E34" s="26" t="s">
        <v>206</v>
      </c>
      <c r="F34" s="20" t="s">
        <v>280</v>
      </c>
    </row>
    <row r="35" customFormat="false" ht="15" hidden="false" customHeight="false" outlineLevel="0" collapsed="false">
      <c r="A35" s="0" t="s">
        <v>281</v>
      </c>
      <c r="B35" s="0" t="s">
        <v>282</v>
      </c>
      <c r="C35" s="23" t="n">
        <v>15000</v>
      </c>
      <c r="D35" s="20" t="s">
        <v>230</v>
      </c>
      <c r="E35" s="26" t="s">
        <v>206</v>
      </c>
    </row>
    <row r="36" customFormat="false" ht="15" hidden="false" customHeight="false" outlineLevel="0" collapsed="false">
      <c r="A36" s="0" t="s">
        <v>283</v>
      </c>
      <c r="B36" s="0" t="s">
        <v>284</v>
      </c>
      <c r="C36" s="23" t="n">
        <v>110</v>
      </c>
      <c r="D36" s="20" t="s">
        <v>285</v>
      </c>
      <c r="E36" s="26" t="s">
        <v>206</v>
      </c>
      <c r="F36" s="20" t="s">
        <v>286</v>
      </c>
    </row>
    <row r="37" customFormat="false" ht="15" hidden="false" customHeight="false" outlineLevel="0" collapsed="false">
      <c r="A37" s="0" t="s">
        <v>287</v>
      </c>
      <c r="B37" s="0" t="s">
        <v>288</v>
      </c>
      <c r="C37" s="23" t="n">
        <v>85</v>
      </c>
      <c r="D37" s="20" t="s">
        <v>289</v>
      </c>
      <c r="E37" s="26" t="s">
        <v>206</v>
      </c>
      <c r="F37" s="20" t="s">
        <v>290</v>
      </c>
    </row>
    <row r="38" customFormat="false" ht="15" hidden="false" customHeight="false" outlineLevel="0" collapsed="false">
      <c r="A38" s="0" t="s">
        <v>291</v>
      </c>
      <c r="B38" s="0" t="s">
        <v>292</v>
      </c>
      <c r="C38" s="23" t="n">
        <v>110</v>
      </c>
      <c r="D38" s="20" t="s">
        <v>285</v>
      </c>
      <c r="E38" s="26" t="s">
        <v>206</v>
      </c>
    </row>
    <row r="39" customFormat="false" ht="15" hidden="false" customHeight="false" outlineLevel="0" collapsed="false">
      <c r="A39" s="0" t="s">
        <v>293</v>
      </c>
      <c r="B39" s="0" t="s">
        <v>294</v>
      </c>
      <c r="C39" s="25" t="n">
        <v>0.08</v>
      </c>
      <c r="D39" s="20" t="s">
        <v>193</v>
      </c>
      <c r="E39" s="26" t="s">
        <v>206</v>
      </c>
      <c r="F39" s="20" t="s">
        <v>295</v>
      </c>
    </row>
    <row r="40" customFormat="false" ht="15" hidden="false" customHeight="false" outlineLevel="0" collapsed="false">
      <c r="A40" s="21" t="s">
        <v>296</v>
      </c>
      <c r="B40" s="22"/>
      <c r="C40" s="22"/>
      <c r="D40" s="22"/>
      <c r="E40" s="22"/>
      <c r="F40" s="22"/>
    </row>
    <row r="41" customFormat="false" ht="15" hidden="false" customHeight="false" outlineLevel="0" collapsed="false">
      <c r="A41" s="0" t="s">
        <v>297</v>
      </c>
      <c r="B41" s="0" t="s">
        <v>298</v>
      </c>
      <c r="C41" s="23" t="n">
        <v>20</v>
      </c>
      <c r="D41" s="20" t="s">
        <v>188</v>
      </c>
      <c r="E41" s="26" t="s">
        <v>206</v>
      </c>
    </row>
    <row r="42" customFormat="false" ht="15" hidden="false" customHeight="false" outlineLevel="0" collapsed="false">
      <c r="A42" s="0" t="s">
        <v>299</v>
      </c>
      <c r="B42" s="0" t="s">
        <v>300</v>
      </c>
      <c r="C42" s="25" t="n">
        <v>0.4</v>
      </c>
      <c r="D42" s="20" t="s">
        <v>193</v>
      </c>
      <c r="E42" s="26" t="s">
        <v>206</v>
      </c>
    </row>
    <row r="43" customFormat="false" ht="15" hidden="false" customHeight="false" outlineLevel="0" collapsed="false">
      <c r="A43" s="0" t="s">
        <v>301</v>
      </c>
      <c r="B43" s="0" t="s">
        <v>302</v>
      </c>
      <c r="C43" s="23" t="n">
        <v>30</v>
      </c>
      <c r="D43" s="20" t="s">
        <v>188</v>
      </c>
      <c r="E43" s="26" t="s">
        <v>206</v>
      </c>
      <c r="F43" s="20" t="s">
        <v>303</v>
      </c>
    </row>
    <row r="44" customFormat="false" ht="15" hidden="false" customHeight="false" outlineLevel="0" collapsed="false">
      <c r="A44" s="0" t="s">
        <v>304</v>
      </c>
      <c r="B44" s="0" t="s">
        <v>305</v>
      </c>
      <c r="C44" s="25" t="n">
        <v>0.15</v>
      </c>
      <c r="D44" s="20" t="s">
        <v>193</v>
      </c>
      <c r="E44" s="26" t="s">
        <v>206</v>
      </c>
    </row>
    <row r="45" customFormat="false" ht="15" hidden="false" customHeight="false" outlineLevel="0" collapsed="false">
      <c r="A45" s="0" t="s">
        <v>306</v>
      </c>
      <c r="B45" s="0" t="s">
        <v>307</v>
      </c>
      <c r="C45" s="23" t="n">
        <v>25</v>
      </c>
      <c r="D45" s="20" t="s">
        <v>188</v>
      </c>
      <c r="E45" s="26" t="s">
        <v>206</v>
      </c>
      <c r="F45" s="20" t="s">
        <v>308</v>
      </c>
    </row>
    <row r="46" customFormat="false" ht="15" hidden="false" customHeight="false" outlineLevel="0" collapsed="false">
      <c r="A46" s="0" t="s">
        <v>309</v>
      </c>
      <c r="B46" s="0" t="s">
        <v>310</v>
      </c>
      <c r="C46" s="23" t="n">
        <v>4000</v>
      </c>
      <c r="D46" s="20" t="s">
        <v>216</v>
      </c>
      <c r="E46" s="26" t="s">
        <v>206</v>
      </c>
    </row>
    <row r="47" customFormat="false" ht="15" hidden="false" customHeight="false" outlineLevel="0" collapsed="false">
      <c r="A47" s="0" t="s">
        <v>311</v>
      </c>
      <c r="B47" s="0" t="s">
        <v>312</v>
      </c>
      <c r="C47" s="25" t="n">
        <v>0.02</v>
      </c>
      <c r="D47" s="20" t="s">
        <v>193</v>
      </c>
      <c r="E47" s="26" t="s">
        <v>206</v>
      </c>
    </row>
    <row r="48" customFormat="false" ht="15" hidden="false" customHeight="false" outlineLevel="0" collapsed="false">
      <c r="A48" s="0" t="s">
        <v>313</v>
      </c>
      <c r="B48" s="0" t="s">
        <v>314</v>
      </c>
      <c r="C48" s="23" t="n">
        <v>31</v>
      </c>
      <c r="D48" s="20" t="s">
        <v>188</v>
      </c>
      <c r="E48" s="26" t="s">
        <v>206</v>
      </c>
      <c r="F48" s="20" t="s">
        <v>315</v>
      </c>
    </row>
    <row r="49" customFormat="false" ht="15" hidden="false" customHeight="false" outlineLevel="0" collapsed="false">
      <c r="A49" s="0" t="s">
        <v>316</v>
      </c>
      <c r="B49" s="0" t="s">
        <v>317</v>
      </c>
      <c r="C49" s="23" t="n">
        <v>40</v>
      </c>
      <c r="D49" s="20" t="s">
        <v>318</v>
      </c>
      <c r="E49" s="26" t="s">
        <v>206</v>
      </c>
    </row>
    <row r="50" customFormat="false" ht="15" hidden="false" customHeight="false" outlineLevel="0" collapsed="false">
      <c r="A50" s="0" t="s">
        <v>319</v>
      </c>
      <c r="B50" s="0" t="s">
        <v>320</v>
      </c>
      <c r="C50" s="23" t="n">
        <v>15</v>
      </c>
      <c r="D50" s="20" t="s">
        <v>318</v>
      </c>
      <c r="E50" s="26" t="s">
        <v>206</v>
      </c>
    </row>
    <row r="51" customFormat="false" ht="15" hidden="false" customHeight="false" outlineLevel="0" collapsed="false">
      <c r="A51" s="0" t="s">
        <v>321</v>
      </c>
      <c r="B51" s="0" t="s">
        <v>322</v>
      </c>
      <c r="C51" s="25" t="n">
        <v>0.04</v>
      </c>
      <c r="D51" s="20" t="s">
        <v>193</v>
      </c>
      <c r="E51" s="26" t="s">
        <v>206</v>
      </c>
    </row>
    <row r="52" customFormat="false" ht="15" hidden="false" customHeight="false" outlineLevel="0" collapsed="false">
      <c r="A52" s="0" t="s">
        <v>323</v>
      </c>
      <c r="B52" s="0" t="s">
        <v>324</v>
      </c>
      <c r="C52" s="23" t="n">
        <v>6</v>
      </c>
      <c r="D52" s="20" t="s">
        <v>325</v>
      </c>
      <c r="E52" s="26" t="s">
        <v>206</v>
      </c>
    </row>
    <row r="53" customFormat="false" ht="15" hidden="false" customHeight="false" outlineLevel="0" collapsed="false">
      <c r="A53" s="0" t="s">
        <v>326</v>
      </c>
      <c r="B53" s="0" t="s">
        <v>327</v>
      </c>
      <c r="C53" s="23" t="n">
        <v>45</v>
      </c>
      <c r="D53" s="20" t="s">
        <v>230</v>
      </c>
      <c r="E53" s="26" t="s">
        <v>206</v>
      </c>
    </row>
    <row r="54" customFormat="false" ht="15" hidden="false" customHeight="false" outlineLevel="0" collapsed="false">
      <c r="A54" s="0" t="s">
        <v>328</v>
      </c>
      <c r="B54" s="0" t="s">
        <v>329</v>
      </c>
      <c r="C54" s="25" t="n">
        <v>0.15</v>
      </c>
      <c r="D54" s="20" t="s">
        <v>193</v>
      </c>
      <c r="E54" s="26" t="s">
        <v>206</v>
      </c>
      <c r="F54" s="20" t="s">
        <v>330</v>
      </c>
    </row>
    <row r="55" customFormat="false" ht="15" hidden="false" customHeight="false" outlineLevel="0" collapsed="false">
      <c r="A55" s="0" t="s">
        <v>331</v>
      </c>
      <c r="B55" s="0" t="s">
        <v>332</v>
      </c>
      <c r="C55" s="25" t="n">
        <v>0.015</v>
      </c>
      <c r="D55" s="20" t="s">
        <v>193</v>
      </c>
      <c r="E55" s="26" t="s">
        <v>206</v>
      </c>
    </row>
    <row r="56" customFormat="false" ht="15" hidden="false" customHeight="false" outlineLevel="0" collapsed="false">
      <c r="A56" s="0" t="s">
        <v>333</v>
      </c>
      <c r="B56" s="0" t="s">
        <v>334</v>
      </c>
      <c r="C56" s="31" t="n">
        <v>0.4</v>
      </c>
      <c r="D56" s="20" t="s">
        <v>230</v>
      </c>
      <c r="E56" s="26" t="s">
        <v>206</v>
      </c>
    </row>
    <row r="57" customFormat="false" ht="15" hidden="false" customHeight="false" outlineLevel="0" collapsed="false">
      <c r="A57" s="21" t="s">
        <v>335</v>
      </c>
      <c r="B57" s="22"/>
      <c r="C57" s="22"/>
      <c r="D57" s="22"/>
      <c r="E57" s="22"/>
      <c r="F57" s="22"/>
    </row>
    <row r="58" customFormat="false" ht="15" hidden="false" customHeight="false" outlineLevel="0" collapsed="false">
      <c r="A58" s="0" t="s">
        <v>336</v>
      </c>
      <c r="B58" s="0" t="s">
        <v>337</v>
      </c>
      <c r="C58" s="31" t="n">
        <v>0.03</v>
      </c>
      <c r="D58" s="20" t="s">
        <v>338</v>
      </c>
      <c r="E58" s="30" t="s">
        <v>254</v>
      </c>
      <c r="F58" s="20" t="s">
        <v>339</v>
      </c>
    </row>
    <row r="59" customFormat="false" ht="15" hidden="false" customHeight="false" outlineLevel="0" collapsed="false">
      <c r="A59" s="0" t="s">
        <v>340</v>
      </c>
      <c r="B59" s="0" t="s">
        <v>341</v>
      </c>
      <c r="C59" s="31" t="n">
        <v>0.4</v>
      </c>
      <c r="D59" s="20" t="s">
        <v>342</v>
      </c>
      <c r="E59" s="26" t="s">
        <v>206</v>
      </c>
      <c r="F59" s="20" t="s">
        <v>343</v>
      </c>
    </row>
    <row r="60" customFormat="false" ht="15" hidden="false" customHeight="false" outlineLevel="0" collapsed="false">
      <c r="A60" s="0" t="s">
        <v>344</v>
      </c>
      <c r="B60" s="0" t="s">
        <v>345</v>
      </c>
      <c r="C60" s="31" t="n">
        <v>0.021</v>
      </c>
      <c r="D60" s="20" t="s">
        <v>346</v>
      </c>
      <c r="E60" s="30" t="s">
        <v>254</v>
      </c>
      <c r="F60" s="20" t="s">
        <v>261</v>
      </c>
    </row>
    <row r="61" customFormat="false" ht="15" hidden="false" customHeight="false" outlineLevel="0" collapsed="false">
      <c r="A61" s="0" t="s">
        <v>347</v>
      </c>
      <c r="B61" s="0" t="s">
        <v>348</v>
      </c>
      <c r="C61" s="27" t="n">
        <v>2</v>
      </c>
      <c r="D61" s="20" t="s">
        <v>160</v>
      </c>
      <c r="E61" s="26" t="s">
        <v>206</v>
      </c>
      <c r="F61" s="20" t="s">
        <v>349</v>
      </c>
    </row>
    <row r="62" customFormat="false" ht="15" hidden="false" customHeight="false" outlineLevel="0" collapsed="false">
      <c r="A62" s="0" t="s">
        <v>350</v>
      </c>
      <c r="B62" s="0" t="s">
        <v>351</v>
      </c>
      <c r="C62" s="31" t="n">
        <v>0.5</v>
      </c>
      <c r="D62" s="20" t="s">
        <v>352</v>
      </c>
      <c r="E62" s="26" t="s">
        <v>206</v>
      </c>
    </row>
    <row r="63" customFormat="false" ht="15" hidden="false" customHeight="false" outlineLevel="0" collapsed="false">
      <c r="A63" s="0" t="s">
        <v>353</v>
      </c>
      <c r="B63" s="0" t="s">
        <v>354</v>
      </c>
      <c r="C63" s="31" t="n">
        <v>0.09</v>
      </c>
      <c r="D63" s="20" t="s">
        <v>355</v>
      </c>
      <c r="E63" s="30" t="s">
        <v>254</v>
      </c>
      <c r="F63" s="20" t="s">
        <v>261</v>
      </c>
    </row>
    <row r="64" customFormat="false" ht="15" hidden="false" customHeight="false" outlineLevel="0" collapsed="false">
      <c r="A64" s="0" t="s">
        <v>356</v>
      </c>
      <c r="B64" s="0" t="s">
        <v>357</v>
      </c>
      <c r="C64" s="25" t="n">
        <v>0.5</v>
      </c>
      <c r="D64" s="20" t="s">
        <v>193</v>
      </c>
      <c r="E64" s="26" t="s">
        <v>206</v>
      </c>
    </row>
    <row r="65" customFormat="false" ht="15" hidden="false" customHeight="false" outlineLevel="0" collapsed="false">
      <c r="A65" s="0" t="s">
        <v>358</v>
      </c>
      <c r="B65" s="0" t="s">
        <v>359</v>
      </c>
      <c r="C65" s="31" t="n">
        <v>0.012</v>
      </c>
      <c r="D65" s="20" t="s">
        <v>338</v>
      </c>
      <c r="E65" s="30" t="s">
        <v>254</v>
      </c>
    </row>
    <row r="66" customFormat="false" ht="15" hidden="false" customHeight="false" outlineLevel="0" collapsed="false">
      <c r="A66" s="0" t="s">
        <v>360</v>
      </c>
      <c r="B66" s="0" t="s">
        <v>361</v>
      </c>
      <c r="C66" s="31" t="n">
        <v>0.02</v>
      </c>
      <c r="D66" s="20" t="s">
        <v>338</v>
      </c>
      <c r="E66" s="30" t="s">
        <v>254</v>
      </c>
    </row>
    <row r="67" customFormat="false" ht="15" hidden="false" customHeight="false" outlineLevel="0" collapsed="false">
      <c r="A67" s="0" t="s">
        <v>362</v>
      </c>
      <c r="B67" s="0" t="s">
        <v>363</v>
      </c>
      <c r="C67" s="31" t="n">
        <v>0.01</v>
      </c>
      <c r="D67" s="20" t="s">
        <v>338</v>
      </c>
      <c r="E67" s="30" t="s">
        <v>254</v>
      </c>
    </row>
    <row r="68" customFormat="false" ht="15" hidden="false" customHeight="false" outlineLevel="0" collapsed="false">
      <c r="A68" s="21" t="s">
        <v>364</v>
      </c>
      <c r="B68" s="22"/>
      <c r="C68" s="22"/>
      <c r="D68" s="22"/>
      <c r="E68" s="22"/>
      <c r="F68" s="22"/>
    </row>
    <row r="69" customFormat="false" ht="15" hidden="false" customHeight="false" outlineLevel="0" collapsed="false">
      <c r="A69" s="0" t="s">
        <v>365</v>
      </c>
      <c r="B69" s="0" t="s">
        <v>366</v>
      </c>
      <c r="C69" s="27" t="n">
        <v>1</v>
      </c>
      <c r="D69" s="20" t="s">
        <v>367</v>
      </c>
      <c r="E69" s="28" t="s">
        <v>212</v>
      </c>
      <c r="F69" s="20" t="s">
        <v>368</v>
      </c>
    </row>
    <row r="70" customFormat="false" ht="15" hidden="false" customHeight="false" outlineLevel="0" collapsed="false">
      <c r="A70" s="0" t="s">
        <v>369</v>
      </c>
      <c r="B70" s="0" t="s">
        <v>370</v>
      </c>
      <c r="C70" s="27" t="n">
        <v>5</v>
      </c>
      <c r="D70" s="20" t="s">
        <v>367</v>
      </c>
      <c r="E70" s="28" t="s">
        <v>212</v>
      </c>
    </row>
    <row r="71" customFormat="false" ht="15" hidden="false" customHeight="false" outlineLevel="0" collapsed="false">
      <c r="A71" s="0" t="s">
        <v>371</v>
      </c>
      <c r="B71" s="0" t="s">
        <v>372</v>
      </c>
      <c r="C71" s="27" t="n">
        <v>2</v>
      </c>
      <c r="D71" s="20" t="s">
        <v>367</v>
      </c>
      <c r="E71" s="28" t="s">
        <v>212</v>
      </c>
    </row>
    <row r="72" customFormat="false" ht="15" hidden="false" customHeight="false" outlineLevel="0" collapsed="false">
      <c r="A72" s="0" t="s">
        <v>373</v>
      </c>
      <c r="B72" s="0" t="s">
        <v>374</v>
      </c>
      <c r="C72" s="27" t="n">
        <v>10</v>
      </c>
      <c r="D72" s="20" t="s">
        <v>367</v>
      </c>
      <c r="E72" s="28" t="s">
        <v>212</v>
      </c>
    </row>
    <row r="73" customFormat="false" ht="15" hidden="false" customHeight="false" outlineLevel="0" collapsed="false">
      <c r="A73" s="0" t="s">
        <v>375</v>
      </c>
      <c r="B73" s="0" t="s">
        <v>376</v>
      </c>
      <c r="C73" s="27" t="n">
        <v>4</v>
      </c>
      <c r="D73" s="20" t="s">
        <v>367</v>
      </c>
      <c r="E73" s="28" t="s">
        <v>212</v>
      </c>
    </row>
    <row r="74" customFormat="false" ht="15" hidden="false" customHeight="false" outlineLevel="0" collapsed="false">
      <c r="A74" s="0" t="s">
        <v>377</v>
      </c>
      <c r="B74" s="0" t="s">
        <v>378</v>
      </c>
      <c r="C74" s="27" t="n">
        <v>20</v>
      </c>
      <c r="D74" s="20" t="s">
        <v>367</v>
      </c>
      <c r="E74" s="28" t="s">
        <v>212</v>
      </c>
    </row>
    <row r="75" customFormat="false" ht="15" hidden="false" customHeight="false" outlineLevel="0" collapsed="false">
      <c r="A75" s="0" t="s">
        <v>379</v>
      </c>
      <c r="B75" s="0" t="s">
        <v>380</v>
      </c>
      <c r="C75" s="25" t="n">
        <v>0.7</v>
      </c>
      <c r="D75" s="20" t="s">
        <v>193</v>
      </c>
      <c r="E75" s="26" t="s">
        <v>206</v>
      </c>
      <c r="F75" s="20" t="s">
        <v>381</v>
      </c>
    </row>
    <row r="76" customFormat="false" ht="15" hidden="false" customHeight="false" outlineLevel="0" collapsed="false">
      <c r="A76" s="0" t="s">
        <v>382</v>
      </c>
      <c r="B76" s="0" t="s">
        <v>383</v>
      </c>
      <c r="C76" s="25" t="n">
        <v>0.28</v>
      </c>
      <c r="D76" s="20" t="s">
        <v>193</v>
      </c>
      <c r="E76" s="26" t="s">
        <v>206</v>
      </c>
    </row>
    <row r="77" customFormat="false" ht="15" hidden="false" customHeight="false" outlineLevel="0" collapsed="false">
      <c r="A77" s="0" t="s">
        <v>384</v>
      </c>
      <c r="B77" s="0" t="s">
        <v>385</v>
      </c>
      <c r="C77" s="25" t="n">
        <v>0.02</v>
      </c>
      <c r="D77" s="20" t="s">
        <v>193</v>
      </c>
      <c r="E77" s="26" t="s">
        <v>206</v>
      </c>
    </row>
    <row r="78" customFormat="false" ht="15" hidden="false" customHeight="false" outlineLevel="0" collapsed="false">
      <c r="A78" s="0" t="s">
        <v>386</v>
      </c>
      <c r="B78" s="0" t="s">
        <v>387</v>
      </c>
      <c r="C78" s="23" t="n">
        <v>6000</v>
      </c>
      <c r="D78" s="20" t="s">
        <v>388</v>
      </c>
      <c r="E78" s="26" t="s">
        <v>206</v>
      </c>
      <c r="F78" s="20" t="s">
        <v>389</v>
      </c>
    </row>
    <row r="79" customFormat="false" ht="15" hidden="false" customHeight="false" outlineLevel="0" collapsed="false">
      <c r="A79" s="0" t="s">
        <v>390</v>
      </c>
      <c r="B79" s="0" t="s">
        <v>391</v>
      </c>
      <c r="C79" s="23" t="n">
        <v>700</v>
      </c>
      <c r="D79" s="20" t="s">
        <v>388</v>
      </c>
      <c r="E79" s="26" t="s">
        <v>206</v>
      </c>
    </row>
    <row r="80" customFormat="false" ht="15" hidden="false" customHeight="false" outlineLevel="0" collapsed="false">
      <c r="A80" s="0" t="s">
        <v>392</v>
      </c>
      <c r="B80" s="0" t="s">
        <v>393</v>
      </c>
      <c r="C80" s="27" t="n">
        <v>1.5</v>
      </c>
      <c r="D80" s="20" t="s">
        <v>160</v>
      </c>
      <c r="E80" s="26" t="s">
        <v>206</v>
      </c>
    </row>
    <row r="81" customFormat="false" ht="15" hidden="false" customHeight="false" outlineLevel="0" collapsed="false">
      <c r="A81" s="0" t="s">
        <v>394</v>
      </c>
      <c r="B81" s="0" t="s">
        <v>395</v>
      </c>
      <c r="C81" s="25" t="n">
        <v>0.5</v>
      </c>
      <c r="D81" s="20" t="s">
        <v>193</v>
      </c>
      <c r="E81" s="26" t="s">
        <v>206</v>
      </c>
    </row>
    <row r="82" customFormat="false" ht="15" hidden="false" customHeight="false" outlineLevel="0" collapsed="false">
      <c r="A82" s="0" t="s">
        <v>396</v>
      </c>
      <c r="B82" s="0" t="s">
        <v>397</v>
      </c>
      <c r="C82" s="25" t="n">
        <v>0.7</v>
      </c>
      <c r="D82" s="20" t="s">
        <v>193</v>
      </c>
      <c r="E82" s="26" t="s">
        <v>206</v>
      </c>
    </row>
    <row r="83" customFormat="false" ht="15" hidden="false" customHeight="false" outlineLevel="0" collapsed="false">
      <c r="A83" s="0" t="s">
        <v>398</v>
      </c>
      <c r="B83" s="0" t="s">
        <v>399</v>
      </c>
      <c r="C83" s="25" t="n">
        <v>0.1</v>
      </c>
      <c r="D83" s="20" t="s">
        <v>193</v>
      </c>
      <c r="E83" s="28" t="s">
        <v>212</v>
      </c>
      <c r="F83" s="20" t="s">
        <v>400</v>
      </c>
    </row>
    <row r="84" customFormat="false" ht="15" hidden="false" customHeight="false" outlineLevel="0" collapsed="false">
      <c r="A84" s="0" t="s">
        <v>401</v>
      </c>
      <c r="B84" s="0" t="s">
        <v>402</v>
      </c>
      <c r="C84" s="25" t="n">
        <v>0.15</v>
      </c>
      <c r="D84" s="20" t="s">
        <v>193</v>
      </c>
      <c r="E84" s="26" t="s">
        <v>206</v>
      </c>
    </row>
    <row r="85" customFormat="false" ht="15" hidden="false" customHeight="false" outlineLevel="0" collapsed="false">
      <c r="A85" s="0" t="s">
        <v>403</v>
      </c>
      <c r="B85" s="0" t="s">
        <v>404</v>
      </c>
      <c r="C85" s="23" t="n">
        <v>10</v>
      </c>
      <c r="D85" s="20" t="s">
        <v>405</v>
      </c>
      <c r="E85" s="26" t="s">
        <v>206</v>
      </c>
      <c r="F85" s="20" t="s">
        <v>406</v>
      </c>
    </row>
    <row r="86" customFormat="false" ht="15" hidden="false" customHeight="false" outlineLevel="0" collapsed="false">
      <c r="A86" s="0" t="s">
        <v>407</v>
      </c>
      <c r="B86" s="0" t="s">
        <v>408</v>
      </c>
      <c r="C86" s="23" t="n">
        <v>45</v>
      </c>
      <c r="D86" s="20" t="s">
        <v>405</v>
      </c>
      <c r="E86" s="26" t="s">
        <v>206</v>
      </c>
    </row>
    <row r="87" customFormat="false" ht="15" hidden="false" customHeight="false" outlineLevel="0" collapsed="false">
      <c r="A87" s="0" t="s">
        <v>409</v>
      </c>
      <c r="B87" s="0" t="s">
        <v>410</v>
      </c>
      <c r="C87" s="23" t="n">
        <v>20</v>
      </c>
      <c r="D87" s="20" t="s">
        <v>405</v>
      </c>
      <c r="E87" s="26" t="s">
        <v>206</v>
      </c>
    </row>
    <row r="88" customFormat="false" ht="15" hidden="false" customHeight="false" outlineLevel="0" collapsed="false">
      <c r="A88" s="21" t="s">
        <v>411</v>
      </c>
      <c r="B88" s="22"/>
      <c r="C88" s="22"/>
      <c r="D88" s="22"/>
      <c r="E88" s="22"/>
      <c r="F88" s="22"/>
    </row>
    <row r="89" customFormat="false" ht="15" hidden="false" customHeight="false" outlineLevel="0" collapsed="false">
      <c r="A89" s="0" t="s">
        <v>412</v>
      </c>
      <c r="B89" s="0" t="s">
        <v>413</v>
      </c>
      <c r="C89" s="23" t="n">
        <v>300</v>
      </c>
      <c r="D89" s="20" t="s">
        <v>211</v>
      </c>
      <c r="E89" s="30" t="s">
        <v>254</v>
      </c>
    </row>
    <row r="90" customFormat="false" ht="15" hidden="false" customHeight="false" outlineLevel="0" collapsed="false">
      <c r="A90" s="0" t="s">
        <v>414</v>
      </c>
      <c r="B90" s="0" t="s">
        <v>415</v>
      </c>
      <c r="C90" s="25" t="n">
        <v>0.6</v>
      </c>
      <c r="D90" s="20" t="s">
        <v>193</v>
      </c>
      <c r="E90" s="26" t="s">
        <v>206</v>
      </c>
    </row>
    <row r="91" customFormat="false" ht="15" hidden="false" customHeight="false" outlineLevel="0" collapsed="false">
      <c r="A91" s="0" t="s">
        <v>416</v>
      </c>
      <c r="B91" s="0" t="s">
        <v>417</v>
      </c>
      <c r="C91" s="23" t="n">
        <v>125</v>
      </c>
      <c r="D91" s="20" t="s">
        <v>211</v>
      </c>
      <c r="E91" s="30" t="s">
        <v>254</v>
      </c>
      <c r="F91" s="20" t="s">
        <v>418</v>
      </c>
    </row>
    <row r="92" customFormat="false" ht="15" hidden="false" customHeight="false" outlineLevel="0" collapsed="false">
      <c r="A92" s="0" t="s">
        <v>419</v>
      </c>
      <c r="B92" s="0" t="s">
        <v>420</v>
      </c>
      <c r="C92" s="27" t="n">
        <v>2.5</v>
      </c>
      <c r="D92" s="20" t="s">
        <v>421</v>
      </c>
      <c r="E92" s="26" t="s">
        <v>206</v>
      </c>
      <c r="F92" s="20" t="s">
        <v>422</v>
      </c>
    </row>
    <row r="93" customFormat="false" ht="15" hidden="false" customHeight="false" outlineLevel="0" collapsed="false">
      <c r="A93" s="0" t="s">
        <v>423</v>
      </c>
      <c r="B93" s="0" t="s">
        <v>424</v>
      </c>
      <c r="C93" s="27" t="n">
        <v>3.5</v>
      </c>
      <c r="D93" s="20" t="s">
        <v>421</v>
      </c>
      <c r="E93" s="26" t="s">
        <v>206</v>
      </c>
    </row>
    <row r="94" customFormat="false" ht="15" hidden="false" customHeight="false" outlineLevel="0" collapsed="false">
      <c r="A94" s="0" t="s">
        <v>425</v>
      </c>
      <c r="B94" s="0" t="s">
        <v>426</v>
      </c>
      <c r="C94" s="25" t="n">
        <v>0.25</v>
      </c>
      <c r="D94" s="20" t="s">
        <v>193</v>
      </c>
      <c r="E94" s="26" t="s">
        <v>206</v>
      </c>
    </row>
    <row r="95" customFormat="false" ht="15" hidden="false" customHeight="false" outlineLevel="0" collapsed="false">
      <c r="A95" s="0" t="s">
        <v>427</v>
      </c>
      <c r="B95" s="0" t="s">
        <v>428</v>
      </c>
      <c r="C95" s="27" t="n">
        <v>5</v>
      </c>
      <c r="D95" s="20" t="s">
        <v>230</v>
      </c>
      <c r="E95" s="26" t="s">
        <v>206</v>
      </c>
    </row>
    <row r="96" customFormat="false" ht="15" hidden="false" customHeight="false" outlineLevel="0" collapsed="false">
      <c r="A96" s="21" t="s">
        <v>429</v>
      </c>
      <c r="B96" s="22"/>
      <c r="C96" s="22"/>
      <c r="D96" s="22"/>
      <c r="E96" s="22"/>
      <c r="F96" s="22"/>
    </row>
    <row r="97" customFormat="false" ht="15" hidden="false" customHeight="false" outlineLevel="0" collapsed="false">
      <c r="A97" s="0" t="s">
        <v>430</v>
      </c>
      <c r="B97" s="0" t="s">
        <v>431</v>
      </c>
      <c r="C97" s="25" t="n">
        <v>0.22</v>
      </c>
      <c r="D97" s="20" t="s">
        <v>193</v>
      </c>
      <c r="E97" s="29" t="s">
        <v>250</v>
      </c>
      <c r="F97" s="20" t="s">
        <v>432</v>
      </c>
    </row>
    <row r="98" customFormat="false" ht="15" hidden="false" customHeight="false" outlineLevel="0" collapsed="false">
      <c r="A98" s="0" t="s">
        <v>433</v>
      </c>
      <c r="B98" s="0" t="s">
        <v>434</v>
      </c>
      <c r="C98" s="23" t="n">
        <v>400</v>
      </c>
      <c r="D98" s="20" t="s">
        <v>211</v>
      </c>
      <c r="E98" s="26" t="s">
        <v>206</v>
      </c>
    </row>
    <row r="99" customFormat="false" ht="15" hidden="false" customHeight="false" outlineLevel="0" collapsed="false">
      <c r="A99" s="0" t="s">
        <v>435</v>
      </c>
      <c r="B99" s="0" t="s">
        <v>436</v>
      </c>
      <c r="C99" s="23" t="n">
        <v>350</v>
      </c>
      <c r="D99" s="20" t="s">
        <v>211</v>
      </c>
      <c r="E99" s="26" t="s">
        <v>206</v>
      </c>
      <c r="F99" s="20" t="s">
        <v>437</v>
      </c>
    </row>
    <row r="100" customFormat="false" ht="15" hidden="false" customHeight="false" outlineLevel="0" collapsed="false">
      <c r="A100" s="0" t="s">
        <v>438</v>
      </c>
      <c r="B100" s="0" t="s">
        <v>439</v>
      </c>
      <c r="C100" s="23" t="n">
        <v>100</v>
      </c>
      <c r="D100" s="20" t="s">
        <v>211</v>
      </c>
      <c r="E100" s="26" t="s">
        <v>206</v>
      </c>
    </row>
    <row r="101" customFormat="false" ht="15" hidden="false" customHeight="false" outlineLevel="0" collapsed="false">
      <c r="A101" s="0" t="s">
        <v>440</v>
      </c>
      <c r="B101" s="0" t="s">
        <v>441</v>
      </c>
      <c r="C101" s="23" t="n">
        <v>9000</v>
      </c>
      <c r="D101" s="20" t="s">
        <v>230</v>
      </c>
      <c r="E101" s="26" t="s">
        <v>206</v>
      </c>
      <c r="F101" s="20" t="s">
        <v>442</v>
      </c>
    </row>
    <row r="102" customFormat="false" ht="15" hidden="false" customHeight="false" outlineLevel="0" collapsed="false">
      <c r="A102" s="0" t="s">
        <v>443</v>
      </c>
      <c r="B102" s="0" t="s">
        <v>444</v>
      </c>
      <c r="C102" s="23" t="n">
        <v>2800</v>
      </c>
      <c r="D102" s="20" t="s">
        <v>230</v>
      </c>
      <c r="E102" s="26" t="s">
        <v>206</v>
      </c>
    </row>
    <row r="103" customFormat="false" ht="15" hidden="false" customHeight="false" outlineLevel="0" collapsed="false">
      <c r="A103" s="0" t="s">
        <v>445</v>
      </c>
      <c r="B103" s="0" t="s">
        <v>446</v>
      </c>
      <c r="C103" s="25" t="n">
        <v>0.05</v>
      </c>
      <c r="D103" s="20" t="s">
        <v>193</v>
      </c>
      <c r="E103" s="26" t="s">
        <v>206</v>
      </c>
    </row>
    <row r="104" customFormat="false" ht="15" hidden="false" customHeight="false" outlineLevel="0" collapsed="false">
      <c r="A104" s="0" t="s">
        <v>447</v>
      </c>
      <c r="B104" s="0" t="s">
        <v>448</v>
      </c>
      <c r="C104" s="23" t="n">
        <v>3000000</v>
      </c>
      <c r="D104" s="20" t="s">
        <v>230</v>
      </c>
      <c r="E104" s="33" t="s">
        <v>449</v>
      </c>
      <c r="F104" s="20" t="s">
        <v>450</v>
      </c>
    </row>
    <row r="105" customFormat="false" ht="15" hidden="false" customHeight="false" outlineLevel="0" collapsed="false">
      <c r="A105" s="21" t="s">
        <v>451</v>
      </c>
      <c r="B105" s="22"/>
      <c r="C105" s="22"/>
      <c r="D105" s="22"/>
      <c r="E105" s="22"/>
      <c r="F105" s="22"/>
    </row>
    <row r="106" customFormat="false" ht="15" hidden="false" customHeight="false" outlineLevel="0" collapsed="false">
      <c r="A106" s="0" t="s">
        <v>452</v>
      </c>
      <c r="B106" s="0" t="s">
        <v>453</v>
      </c>
      <c r="C106" s="23" t="n">
        <v>14</v>
      </c>
      <c r="D106" s="20" t="s">
        <v>188</v>
      </c>
      <c r="E106" s="26" t="s">
        <v>206</v>
      </c>
      <c r="F106" s="20" t="s">
        <v>454</v>
      </c>
    </row>
    <row r="107" customFormat="false" ht="15" hidden="false" customHeight="false" outlineLevel="0" collapsed="false">
      <c r="A107" s="0" t="s">
        <v>455</v>
      </c>
      <c r="B107" s="0" t="s">
        <v>456</v>
      </c>
      <c r="C107" s="23" t="n">
        <v>120000</v>
      </c>
      <c r="D107" s="20" t="s">
        <v>230</v>
      </c>
      <c r="E107" s="29" t="s">
        <v>250</v>
      </c>
      <c r="F107" s="20" t="s">
        <v>457</v>
      </c>
    </row>
    <row r="108" customFormat="false" ht="15" hidden="false" customHeight="false" outlineLevel="0" collapsed="false">
      <c r="A108" s="0" t="s">
        <v>458</v>
      </c>
      <c r="B108" s="0" t="s">
        <v>459</v>
      </c>
      <c r="C108" s="23" t="n">
        <v>150000</v>
      </c>
      <c r="D108" s="20" t="s">
        <v>230</v>
      </c>
      <c r="E108" s="29" t="s">
        <v>250</v>
      </c>
    </row>
    <row r="109" customFormat="false" ht="15" hidden="false" customHeight="false" outlineLevel="0" collapsed="false">
      <c r="A109" s="0" t="s">
        <v>460</v>
      </c>
      <c r="B109" s="0" t="s">
        <v>461</v>
      </c>
      <c r="C109" s="23" t="n">
        <v>25000</v>
      </c>
      <c r="D109" s="20" t="s">
        <v>462</v>
      </c>
      <c r="E109" s="26" t="s">
        <v>206</v>
      </c>
    </row>
    <row r="110" customFormat="false" ht="15" hidden="false" customHeight="false" outlineLevel="0" collapsed="false">
      <c r="A110" s="0" t="s">
        <v>463</v>
      </c>
      <c r="B110" s="0" t="s">
        <v>464</v>
      </c>
      <c r="C110" s="27" t="n">
        <v>6</v>
      </c>
      <c r="D110" s="20" t="s">
        <v>230</v>
      </c>
      <c r="E110" s="29" t="s">
        <v>250</v>
      </c>
      <c r="F110" s="20" t="s">
        <v>465</v>
      </c>
    </row>
    <row r="111" customFormat="false" ht="15" hidden="false" customHeight="false" outlineLevel="0" collapsed="false">
      <c r="A111" s="0" t="s">
        <v>466</v>
      </c>
      <c r="B111" s="0" t="s">
        <v>467</v>
      </c>
      <c r="C111" s="23" t="n">
        <v>100000</v>
      </c>
      <c r="D111" s="20" t="s">
        <v>230</v>
      </c>
      <c r="E111" s="29" t="s">
        <v>250</v>
      </c>
    </row>
    <row r="112" customFormat="false" ht="15" hidden="false" customHeight="false" outlineLevel="0" collapsed="false">
      <c r="A112" s="0" t="s">
        <v>468</v>
      </c>
      <c r="B112" s="0" t="s">
        <v>469</v>
      </c>
      <c r="C112" s="23" t="n">
        <v>180000</v>
      </c>
      <c r="D112" s="20" t="s">
        <v>230</v>
      </c>
      <c r="E112" s="26" t="s">
        <v>206</v>
      </c>
    </row>
    <row r="113" customFormat="false" ht="15" hidden="false" customHeight="false" outlineLevel="0" collapsed="false">
      <c r="A113" s="0" t="s">
        <v>470</v>
      </c>
      <c r="B113" s="0" t="s">
        <v>471</v>
      </c>
      <c r="C113" s="23" t="n">
        <v>0</v>
      </c>
      <c r="D113" s="20" t="s">
        <v>230</v>
      </c>
      <c r="E113" s="29" t="s">
        <v>250</v>
      </c>
      <c r="F113" s="20" t="s">
        <v>472</v>
      </c>
    </row>
    <row r="114" customFormat="false" ht="15" hidden="false" customHeight="false" outlineLevel="0" collapsed="false">
      <c r="A114" s="0" t="s">
        <v>473</v>
      </c>
      <c r="B114" s="0" t="s">
        <v>474</v>
      </c>
      <c r="C114" s="25" t="n">
        <v>0.05</v>
      </c>
      <c r="D114" s="20" t="s">
        <v>193</v>
      </c>
      <c r="E114" s="26" t="s">
        <v>206</v>
      </c>
      <c r="F114" s="20" t="s">
        <v>475</v>
      </c>
    </row>
    <row r="115" customFormat="false" ht="15" hidden="false" customHeight="false" outlineLevel="0" collapsed="false">
      <c r="A115" s="0" t="s">
        <v>476</v>
      </c>
      <c r="B115" s="0" t="s">
        <v>477</v>
      </c>
      <c r="C115" s="25" t="n">
        <v>0.06</v>
      </c>
      <c r="D115" s="20" t="s">
        <v>193</v>
      </c>
      <c r="E115" s="26" t="s">
        <v>206</v>
      </c>
    </row>
    <row r="116" customFormat="false" ht="15" hidden="false" customHeight="false" outlineLevel="0" collapsed="false">
      <c r="A116" s="0" t="s">
        <v>478</v>
      </c>
      <c r="B116" s="0" t="s">
        <v>479</v>
      </c>
      <c r="C116" s="25" t="n">
        <v>0.15</v>
      </c>
      <c r="D116" s="20" t="s">
        <v>193</v>
      </c>
      <c r="E116" s="26" t="s">
        <v>206</v>
      </c>
    </row>
    <row r="117" customFormat="false" ht="15" hidden="false" customHeight="false" outlineLevel="0" collapsed="false">
      <c r="A117" s="0" t="s">
        <v>480</v>
      </c>
      <c r="B117" s="0" t="s">
        <v>481</v>
      </c>
      <c r="C117" s="31" t="n">
        <v>0.4</v>
      </c>
      <c r="D117" s="20" t="s">
        <v>160</v>
      </c>
      <c r="E117" s="26" t="s">
        <v>206</v>
      </c>
    </row>
    <row r="119" customFormat="false" ht="15" hidden="false" customHeight="false" outlineLevel="0" collapsed="false">
      <c r="A119" s="15" t="s">
        <v>482</v>
      </c>
    </row>
    <row r="120" customFormat="false" ht="15" hidden="false" customHeight="false" outlineLevel="0" collapsed="false">
      <c r="A120" s="8" t="s">
        <v>483</v>
      </c>
      <c r="B120" s="8" t="s">
        <v>181</v>
      </c>
      <c r="C120" s="8" t="s">
        <v>484</v>
      </c>
      <c r="D120" s="8" t="s">
        <v>485</v>
      </c>
      <c r="E120" s="8" t="s">
        <v>486</v>
      </c>
      <c r="F120" s="8" t="s">
        <v>183</v>
      </c>
      <c r="G120" s="8" t="s">
        <v>184</v>
      </c>
      <c r="H120" s="8" t="s">
        <v>157</v>
      </c>
    </row>
    <row r="121" customFormat="false" ht="15" hidden="false" customHeight="false" outlineLevel="0" collapsed="false">
      <c r="A121" s="0" t="s">
        <v>487</v>
      </c>
      <c r="B121" s="0" t="s">
        <v>488</v>
      </c>
      <c r="C121" s="23" t="n">
        <v>30000</v>
      </c>
      <c r="D121" s="23" t="n">
        <v>85000</v>
      </c>
      <c r="E121" s="23" t="n">
        <v>220000</v>
      </c>
      <c r="F121" s="32" t="s">
        <v>264</v>
      </c>
      <c r="G121" s="20" t="s">
        <v>489</v>
      </c>
      <c r="H121" s="20" t="s">
        <v>216</v>
      </c>
    </row>
    <row r="122" customFormat="false" ht="15" hidden="false" customHeight="false" outlineLevel="0" collapsed="false">
      <c r="A122" s="0" t="s">
        <v>490</v>
      </c>
      <c r="B122" s="0" t="s">
        <v>491</v>
      </c>
      <c r="C122" s="23" t="n">
        <v>15000</v>
      </c>
      <c r="D122" s="23" t="n">
        <v>30000</v>
      </c>
      <c r="E122" s="23" t="n">
        <v>60000</v>
      </c>
      <c r="F122" s="32" t="s">
        <v>264</v>
      </c>
      <c r="G122" s="20" t="s">
        <v>492</v>
      </c>
      <c r="H122" s="20" t="s">
        <v>230</v>
      </c>
    </row>
    <row r="123" customFormat="false" ht="15" hidden="false" customHeight="false" outlineLevel="0" collapsed="false">
      <c r="A123" s="0" t="s">
        <v>493</v>
      </c>
      <c r="B123" s="0" t="s">
        <v>494</v>
      </c>
      <c r="C123" s="23" t="n">
        <v>15000</v>
      </c>
      <c r="D123" s="23" t="n">
        <v>40000</v>
      </c>
      <c r="E123" s="23" t="n">
        <v>100000</v>
      </c>
      <c r="F123" s="32" t="s">
        <v>264</v>
      </c>
      <c r="G123" s="20" t="s">
        <v>495</v>
      </c>
      <c r="H123" s="20" t="s">
        <v>230</v>
      </c>
    </row>
    <row r="124" customFormat="false" ht="15" hidden="false" customHeight="false" outlineLevel="0" collapsed="false">
      <c r="A124" s="0" t="s">
        <v>285</v>
      </c>
      <c r="B124" s="0" t="s">
        <v>496</v>
      </c>
      <c r="C124" s="23" t="n">
        <v>115</v>
      </c>
      <c r="D124" s="23" t="n">
        <v>330</v>
      </c>
      <c r="E124" s="23" t="n">
        <v>800</v>
      </c>
      <c r="F124" s="26" t="s">
        <v>206</v>
      </c>
      <c r="G124" s="20" t="s">
        <v>497</v>
      </c>
      <c r="H124" s="20" t="s">
        <v>285</v>
      </c>
    </row>
    <row r="125" customFormat="false" ht="15" hidden="false" customHeight="false" outlineLevel="0" collapsed="false">
      <c r="A125" s="0" t="s">
        <v>498</v>
      </c>
      <c r="B125" s="0" t="s">
        <v>499</v>
      </c>
      <c r="C125" s="23" t="n">
        <v>600</v>
      </c>
      <c r="D125" s="23" t="n">
        <v>2500</v>
      </c>
      <c r="E125" s="23" t="n">
        <v>9000</v>
      </c>
      <c r="F125" s="26" t="s">
        <v>206</v>
      </c>
      <c r="H125" s="20" t="s">
        <v>500</v>
      </c>
    </row>
    <row r="126" customFormat="false" ht="15" hidden="false" customHeight="false" outlineLevel="0" collapsed="false">
      <c r="A126" s="0" t="s">
        <v>501</v>
      </c>
      <c r="B126" s="0" t="s">
        <v>502</v>
      </c>
      <c r="C126" s="23" t="n">
        <v>7500</v>
      </c>
      <c r="D126" s="23" t="n">
        <v>15000</v>
      </c>
      <c r="E126" s="23" t="n">
        <v>30000</v>
      </c>
      <c r="F126" s="32" t="s">
        <v>264</v>
      </c>
      <c r="G126" s="20" t="s">
        <v>503</v>
      </c>
      <c r="H126" s="20" t="s">
        <v>230</v>
      </c>
    </row>
    <row r="127" customFormat="false" ht="15" hidden="false" customHeight="false" outlineLevel="0" collapsed="false">
      <c r="A127" s="0" t="s">
        <v>504</v>
      </c>
      <c r="B127" s="0" t="s">
        <v>505</v>
      </c>
      <c r="C127" s="25" t="n">
        <v>0.5</v>
      </c>
      <c r="D127" s="25" t="n">
        <v>0.45</v>
      </c>
      <c r="E127" s="25" t="n">
        <v>0.4</v>
      </c>
      <c r="F127" s="26" t="s">
        <v>206</v>
      </c>
      <c r="G127" s="20" t="s">
        <v>506</v>
      </c>
      <c r="H127" s="20" t="s">
        <v>193</v>
      </c>
    </row>
    <row r="128" customFormat="false" ht="15" hidden="false" customHeight="false" outlineLevel="0" collapsed="false">
      <c r="A128" s="0" t="s">
        <v>507</v>
      </c>
      <c r="B128" s="0" t="s">
        <v>508</v>
      </c>
      <c r="C128" s="23" t="n">
        <v>6000</v>
      </c>
      <c r="D128" s="23" t="n">
        <v>18000</v>
      </c>
      <c r="E128" s="23" t="n">
        <v>45000</v>
      </c>
      <c r="F128" s="26" t="s">
        <v>206</v>
      </c>
      <c r="H128" s="20" t="s">
        <v>216</v>
      </c>
    </row>
    <row r="130" customFormat="false" ht="15" hidden="false" customHeight="false" outlineLevel="0" collapsed="false">
      <c r="A130" s="15" t="s">
        <v>509</v>
      </c>
    </row>
    <row r="131" customFormat="false" ht="15" hidden="false" customHeight="false" outlineLevel="0" collapsed="false">
      <c r="A131" s="8" t="s">
        <v>180</v>
      </c>
      <c r="B131" s="8" t="s">
        <v>181</v>
      </c>
      <c r="C131" s="8" t="s">
        <v>17</v>
      </c>
      <c r="D131" s="8" t="s">
        <v>18</v>
      </c>
      <c r="E131" s="8" t="s">
        <v>19</v>
      </c>
      <c r="F131" s="8" t="s">
        <v>183</v>
      </c>
      <c r="G131" s="8" t="s">
        <v>184</v>
      </c>
      <c r="H131" s="8" t="s">
        <v>157</v>
      </c>
    </row>
    <row r="132" customFormat="false" ht="15" hidden="false" customHeight="false" outlineLevel="0" collapsed="false">
      <c r="A132" s="21" t="s">
        <v>510</v>
      </c>
      <c r="B132" s="22"/>
      <c r="C132" s="22"/>
      <c r="D132" s="22"/>
      <c r="E132" s="22"/>
      <c r="F132" s="22"/>
      <c r="G132" s="22"/>
      <c r="H132" s="22"/>
    </row>
    <row r="133" customFormat="false" ht="15" hidden="false" customHeight="false" outlineLevel="0" collapsed="false">
      <c r="A133" s="0" t="s">
        <v>511</v>
      </c>
      <c r="B133" s="0" t="s">
        <v>512</v>
      </c>
      <c r="C133" s="25" t="n">
        <v>0.06</v>
      </c>
      <c r="D133" s="25" t="n">
        <v>0.04</v>
      </c>
      <c r="E133" s="25" t="n">
        <v>0.025</v>
      </c>
      <c r="F133" s="26" t="s">
        <v>206</v>
      </c>
      <c r="H133" s="20" t="s">
        <v>513</v>
      </c>
    </row>
    <row r="134" customFormat="false" ht="15" hidden="false" customHeight="false" outlineLevel="0" collapsed="false">
      <c r="A134" s="0" t="s">
        <v>514</v>
      </c>
      <c r="B134" s="0" t="s">
        <v>515</v>
      </c>
      <c r="C134" s="23" t="n">
        <v>1000</v>
      </c>
      <c r="D134" s="23" t="n">
        <v>3000</v>
      </c>
      <c r="E134" s="23" t="n">
        <v>5000</v>
      </c>
      <c r="F134" s="26" t="s">
        <v>206</v>
      </c>
      <c r="G134" s="20" t="s">
        <v>516</v>
      </c>
      <c r="H134" s="20" t="s">
        <v>211</v>
      </c>
    </row>
    <row r="135" customFormat="false" ht="15" hidden="false" customHeight="false" outlineLevel="0" collapsed="false">
      <c r="A135" s="0" t="s">
        <v>517</v>
      </c>
      <c r="B135" s="0" t="s">
        <v>518</v>
      </c>
      <c r="C135" s="23" t="n">
        <v>4000</v>
      </c>
      <c r="D135" s="23" t="n">
        <v>9000</v>
      </c>
      <c r="E135" s="23" t="n">
        <v>16000</v>
      </c>
      <c r="F135" s="30" t="s">
        <v>254</v>
      </c>
      <c r="H135" s="20" t="s">
        <v>211</v>
      </c>
    </row>
    <row r="136" customFormat="false" ht="15" hidden="false" customHeight="false" outlineLevel="0" collapsed="false">
      <c r="A136" s="0" t="s">
        <v>519</v>
      </c>
      <c r="B136" s="0" t="s">
        <v>520</v>
      </c>
      <c r="C136" s="23" t="n">
        <v>2000</v>
      </c>
      <c r="D136" s="23" t="n">
        <v>3000</v>
      </c>
      <c r="E136" s="23" t="n">
        <v>5000</v>
      </c>
      <c r="F136" s="26" t="s">
        <v>206</v>
      </c>
      <c r="G136" s="20" t="s">
        <v>521</v>
      </c>
      <c r="H136" s="20" t="s">
        <v>211</v>
      </c>
    </row>
    <row r="137" customFormat="false" ht="15" hidden="false" customHeight="false" outlineLevel="0" collapsed="false">
      <c r="A137" s="21" t="s">
        <v>522</v>
      </c>
      <c r="B137" s="22"/>
      <c r="C137" s="22"/>
      <c r="D137" s="22"/>
      <c r="E137" s="22"/>
      <c r="F137" s="22"/>
      <c r="G137" s="22"/>
      <c r="H137" s="22"/>
    </row>
    <row r="138" customFormat="false" ht="15" hidden="false" customHeight="false" outlineLevel="0" collapsed="false">
      <c r="A138" s="0" t="s">
        <v>523</v>
      </c>
      <c r="B138" s="0" t="s">
        <v>524</v>
      </c>
      <c r="C138" s="23" t="n">
        <v>25000</v>
      </c>
      <c r="D138" s="23" t="n">
        <v>40000</v>
      </c>
      <c r="E138" s="23" t="n">
        <v>60000</v>
      </c>
      <c r="F138" s="30" t="s">
        <v>254</v>
      </c>
      <c r="G138" s="20" t="s">
        <v>525</v>
      </c>
      <c r="H138" s="20" t="s">
        <v>216</v>
      </c>
    </row>
    <row r="139" customFormat="false" ht="15" hidden="false" customHeight="false" outlineLevel="0" collapsed="false">
      <c r="A139" s="0" t="s">
        <v>526</v>
      </c>
      <c r="B139" s="0" t="s">
        <v>527</v>
      </c>
      <c r="C139" s="23" t="n">
        <v>50000</v>
      </c>
      <c r="D139" s="23" t="n">
        <v>55000</v>
      </c>
      <c r="E139" s="23" t="n">
        <v>65000</v>
      </c>
      <c r="F139" s="30" t="s">
        <v>254</v>
      </c>
      <c r="G139" s="20" t="s">
        <v>528</v>
      </c>
      <c r="H139" s="20" t="s">
        <v>216</v>
      </c>
    </row>
    <row r="140" customFormat="false" ht="15" hidden="false" customHeight="false" outlineLevel="0" collapsed="false">
      <c r="A140" s="0" t="s">
        <v>529</v>
      </c>
      <c r="B140" s="0" t="s">
        <v>530</v>
      </c>
      <c r="C140" s="23" t="n">
        <v>20000</v>
      </c>
      <c r="D140" s="23" t="n">
        <v>25000</v>
      </c>
      <c r="E140" s="23" t="n">
        <v>25000</v>
      </c>
      <c r="F140" s="30" t="s">
        <v>254</v>
      </c>
      <c r="H140" s="20" t="s">
        <v>216</v>
      </c>
    </row>
    <row r="141" customFormat="false" ht="15" hidden="false" customHeight="false" outlineLevel="0" collapsed="false">
      <c r="A141" s="0" t="s">
        <v>531</v>
      </c>
      <c r="B141" s="0" t="s">
        <v>532</v>
      </c>
      <c r="C141" s="23" t="n">
        <v>18000</v>
      </c>
      <c r="D141" s="23" t="n">
        <v>30000</v>
      </c>
      <c r="E141" s="23" t="n">
        <v>45000</v>
      </c>
      <c r="F141" s="30" t="s">
        <v>254</v>
      </c>
      <c r="H141" s="20" t="s">
        <v>216</v>
      </c>
    </row>
    <row r="142" customFormat="false" ht="15" hidden="false" customHeight="false" outlineLevel="0" collapsed="false">
      <c r="A142" s="0" t="s">
        <v>533</v>
      </c>
      <c r="B142" s="0" t="s">
        <v>534</v>
      </c>
      <c r="C142" s="23" t="n">
        <v>5000</v>
      </c>
      <c r="D142" s="23" t="n">
        <v>10000</v>
      </c>
      <c r="E142" s="23" t="n">
        <v>15000</v>
      </c>
      <c r="F142" s="26" t="s">
        <v>206</v>
      </c>
      <c r="H142" s="20" t="s">
        <v>216</v>
      </c>
    </row>
    <row r="143" customFormat="false" ht="15" hidden="false" customHeight="false" outlineLevel="0" collapsed="false">
      <c r="A143" s="0" t="s">
        <v>535</v>
      </c>
      <c r="B143" s="0" t="s">
        <v>536</v>
      </c>
      <c r="C143" s="23" t="n">
        <v>0</v>
      </c>
      <c r="D143" s="23" t="n">
        <v>10000</v>
      </c>
      <c r="E143" s="23" t="n">
        <v>25000</v>
      </c>
      <c r="F143" s="26" t="s">
        <v>206</v>
      </c>
      <c r="H143" s="20" t="s">
        <v>216</v>
      </c>
    </row>
    <row r="144" customFormat="false" ht="15" hidden="false" customHeight="false" outlineLevel="0" collapsed="false">
      <c r="A144" s="21" t="s">
        <v>537</v>
      </c>
      <c r="B144" s="22"/>
      <c r="C144" s="22"/>
      <c r="D144" s="22"/>
      <c r="E144" s="22"/>
      <c r="F144" s="22"/>
      <c r="G144" s="22"/>
      <c r="H144" s="22"/>
    </row>
    <row r="145" customFormat="false" ht="15" hidden="false" customHeight="false" outlineLevel="0" collapsed="false">
      <c r="A145" s="0" t="s">
        <v>538</v>
      </c>
      <c r="B145" s="0" t="s">
        <v>539</v>
      </c>
      <c r="C145" s="23" t="n">
        <v>60000</v>
      </c>
      <c r="D145" s="23" t="n">
        <v>90000</v>
      </c>
      <c r="E145" s="23" t="n">
        <v>130000</v>
      </c>
      <c r="F145" s="29" t="s">
        <v>250</v>
      </c>
      <c r="G145" s="20" t="s">
        <v>540</v>
      </c>
      <c r="H145" s="20" t="s">
        <v>216</v>
      </c>
    </row>
    <row r="146" customFormat="false" ht="15" hidden="false" customHeight="false" outlineLevel="0" collapsed="false">
      <c r="A146" s="0" t="s">
        <v>541</v>
      </c>
      <c r="B146" s="0" t="s">
        <v>542</v>
      </c>
      <c r="C146" s="23" t="n">
        <v>10000</v>
      </c>
      <c r="D146" s="23" t="n">
        <v>12000</v>
      </c>
      <c r="E146" s="23" t="n">
        <v>15000</v>
      </c>
      <c r="F146" s="29" t="s">
        <v>250</v>
      </c>
      <c r="H146" s="20" t="s">
        <v>216</v>
      </c>
    </row>
    <row r="147" customFormat="false" ht="15" hidden="false" customHeight="false" outlineLevel="0" collapsed="false">
      <c r="A147" s="0" t="s">
        <v>543</v>
      </c>
      <c r="B147" s="0" t="s">
        <v>544</v>
      </c>
      <c r="C147" s="23" t="n">
        <v>25000</v>
      </c>
      <c r="D147" s="23" t="n">
        <v>10000</v>
      </c>
      <c r="E147" s="23" t="n">
        <v>10000</v>
      </c>
      <c r="F147" s="29" t="s">
        <v>250</v>
      </c>
      <c r="H147" s="20" t="s">
        <v>216</v>
      </c>
    </row>
    <row r="148" customFormat="false" ht="15" hidden="false" customHeight="false" outlineLevel="0" collapsed="false">
      <c r="A148" s="0" t="s">
        <v>545</v>
      </c>
      <c r="B148" s="0" t="s">
        <v>546</v>
      </c>
      <c r="C148" s="23" t="n">
        <v>28000</v>
      </c>
      <c r="D148" s="23" t="n">
        <v>48000</v>
      </c>
      <c r="E148" s="23" t="n">
        <v>85000</v>
      </c>
      <c r="F148" s="29" t="s">
        <v>250</v>
      </c>
      <c r="G148" s="20" t="s">
        <v>547</v>
      </c>
      <c r="H148" s="20" t="s">
        <v>216</v>
      </c>
    </row>
    <row r="149" customFormat="false" ht="15" hidden="false" customHeight="false" outlineLevel="0" collapsed="false">
      <c r="A149" s="0" t="s">
        <v>548</v>
      </c>
      <c r="B149" s="0" t="s">
        <v>549</v>
      </c>
      <c r="C149" s="23" t="n">
        <v>5000</v>
      </c>
      <c r="D149" s="23" t="n">
        <v>7000</v>
      </c>
      <c r="E149" s="23" t="n">
        <v>10000</v>
      </c>
      <c r="F149" s="29" t="s">
        <v>250</v>
      </c>
      <c r="H149" s="20" t="s">
        <v>216</v>
      </c>
    </row>
    <row r="150" customFormat="false" ht="15" hidden="false" customHeight="false" outlineLevel="0" collapsed="false">
      <c r="A150" s="0" t="s">
        <v>550</v>
      </c>
      <c r="B150" s="0" t="s">
        <v>551</v>
      </c>
      <c r="C150" s="23" t="n">
        <v>8000</v>
      </c>
      <c r="D150" s="23" t="n">
        <v>15000</v>
      </c>
      <c r="E150" s="23" t="n">
        <v>25000</v>
      </c>
      <c r="F150" s="29" t="s">
        <v>250</v>
      </c>
      <c r="H150" s="20" t="s">
        <v>216</v>
      </c>
    </row>
    <row r="151" customFormat="false" ht="15" hidden="false" customHeight="false" outlineLevel="0" collapsed="false">
      <c r="A151" s="21" t="s">
        <v>552</v>
      </c>
      <c r="B151" s="22"/>
      <c r="C151" s="22"/>
      <c r="D151" s="22"/>
      <c r="E151" s="22"/>
      <c r="F151" s="22"/>
      <c r="G151" s="22"/>
      <c r="H151" s="22"/>
    </row>
    <row r="152" customFormat="false" ht="15" hidden="false" customHeight="false" outlineLevel="0" collapsed="false">
      <c r="A152" s="0" t="s">
        <v>553</v>
      </c>
      <c r="B152" s="0" t="s">
        <v>554</v>
      </c>
      <c r="C152" s="23" t="n">
        <v>36000</v>
      </c>
      <c r="D152" s="23" t="n">
        <v>50000</v>
      </c>
      <c r="E152" s="23" t="n">
        <v>70000</v>
      </c>
      <c r="F152" s="26" t="s">
        <v>206</v>
      </c>
      <c r="H152" s="20" t="s">
        <v>216</v>
      </c>
    </row>
    <row r="153" customFormat="false" ht="15" hidden="false" customHeight="false" outlineLevel="0" collapsed="false">
      <c r="A153" s="0" t="s">
        <v>555</v>
      </c>
      <c r="B153" s="0" t="s">
        <v>556</v>
      </c>
      <c r="C153" s="23" t="n">
        <v>0</v>
      </c>
      <c r="D153" s="23" t="n">
        <v>25000</v>
      </c>
      <c r="E153" s="23" t="n">
        <v>45000</v>
      </c>
      <c r="F153" s="29" t="s">
        <v>250</v>
      </c>
      <c r="G153" s="20" t="s">
        <v>557</v>
      </c>
      <c r="H153" s="20" t="s">
        <v>216</v>
      </c>
    </row>
    <row r="154" customFormat="false" ht="15" hidden="false" customHeight="false" outlineLevel="0" collapsed="false">
      <c r="A154" s="0" t="s">
        <v>558</v>
      </c>
      <c r="B154" s="0" t="s">
        <v>559</v>
      </c>
      <c r="C154" s="23" t="n">
        <v>12000</v>
      </c>
      <c r="D154" s="23" t="n">
        <v>24000</v>
      </c>
      <c r="E154" s="23" t="n">
        <v>36000</v>
      </c>
      <c r="F154" s="30" t="s">
        <v>254</v>
      </c>
      <c r="H154" s="20" t="s">
        <v>216</v>
      </c>
    </row>
    <row r="155" customFormat="false" ht="15" hidden="false" customHeight="false" outlineLevel="0" collapsed="false">
      <c r="A155" s="0" t="s">
        <v>560</v>
      </c>
      <c r="B155" s="0" t="s">
        <v>561</v>
      </c>
      <c r="C155" s="23" t="n">
        <v>10000</v>
      </c>
      <c r="D155" s="23" t="n">
        <v>20000</v>
      </c>
      <c r="E155" s="23" t="n">
        <v>30000</v>
      </c>
      <c r="F155" s="26" t="s">
        <v>206</v>
      </c>
      <c r="H155" s="20" t="s">
        <v>216</v>
      </c>
    </row>
    <row r="156" customFormat="false" ht="15" hidden="false" customHeight="false" outlineLevel="0" collapsed="false">
      <c r="A156" s="21" t="s">
        <v>562</v>
      </c>
      <c r="B156" s="22"/>
      <c r="C156" s="22"/>
      <c r="D156" s="22"/>
      <c r="E156" s="22"/>
      <c r="F156" s="22"/>
      <c r="G156" s="22"/>
      <c r="H156" s="22"/>
    </row>
    <row r="157" customFormat="false" ht="15" hidden="false" customHeight="false" outlineLevel="0" collapsed="false">
      <c r="A157" s="0" t="s">
        <v>563</v>
      </c>
      <c r="B157" s="0" t="s">
        <v>564</v>
      </c>
      <c r="C157" s="23" t="n">
        <v>10000</v>
      </c>
      <c r="D157" s="23" t="n">
        <v>25000</v>
      </c>
      <c r="E157" s="23" t="n">
        <v>45000</v>
      </c>
      <c r="F157" s="30" t="s">
        <v>254</v>
      </c>
      <c r="H157" s="20" t="s">
        <v>216</v>
      </c>
    </row>
    <row r="158" customFormat="false" ht="15" hidden="false" customHeight="false" outlineLevel="0" collapsed="false">
      <c r="A158" s="0" t="s">
        <v>565</v>
      </c>
      <c r="B158" s="0" t="s">
        <v>566</v>
      </c>
      <c r="C158" s="23" t="n">
        <v>25000</v>
      </c>
      <c r="D158" s="23" t="n">
        <v>50000</v>
      </c>
      <c r="E158" s="23" t="n">
        <v>80000</v>
      </c>
      <c r="F158" s="26" t="s">
        <v>206</v>
      </c>
      <c r="H158" s="20" t="s">
        <v>216</v>
      </c>
    </row>
    <row r="159" customFormat="false" ht="15" hidden="false" customHeight="false" outlineLevel="0" collapsed="false">
      <c r="A159" s="0" t="s">
        <v>567</v>
      </c>
      <c r="B159" s="0" t="s">
        <v>568</v>
      </c>
      <c r="C159" s="23" t="n">
        <v>20000</v>
      </c>
      <c r="D159" s="23" t="n">
        <v>45000</v>
      </c>
      <c r="E159" s="23" t="n">
        <v>80000</v>
      </c>
      <c r="F159" s="26" t="s">
        <v>206</v>
      </c>
      <c r="H159" s="20" t="s">
        <v>216</v>
      </c>
    </row>
    <row r="160" customFormat="false" ht="15" hidden="false" customHeight="false" outlineLevel="0" collapsed="false">
      <c r="A160" s="0" t="s">
        <v>569</v>
      </c>
      <c r="B160" s="0" t="s">
        <v>570</v>
      </c>
      <c r="C160" s="23" t="n">
        <v>5000</v>
      </c>
      <c r="D160" s="23" t="n">
        <v>10000</v>
      </c>
      <c r="E160" s="23" t="n">
        <v>15000</v>
      </c>
      <c r="F160" s="26" t="s">
        <v>206</v>
      </c>
      <c r="H160" s="20" t="s">
        <v>216</v>
      </c>
    </row>
    <row r="161" customFormat="false" ht="15" hidden="false" customHeight="false" outlineLevel="0" collapsed="false">
      <c r="A161" s="0" t="s">
        <v>571</v>
      </c>
      <c r="B161" s="0" t="s">
        <v>572</v>
      </c>
      <c r="C161" s="23" t="n">
        <v>30000</v>
      </c>
      <c r="D161" s="23" t="n">
        <v>60000</v>
      </c>
      <c r="E161" s="23" t="n">
        <v>100000</v>
      </c>
      <c r="F161" s="26" t="s">
        <v>206</v>
      </c>
      <c r="H161" s="20" t="s">
        <v>216</v>
      </c>
    </row>
    <row r="162" customFormat="false" ht="15" hidden="false" customHeight="false" outlineLevel="0" collapsed="false">
      <c r="A162" s="0" t="s">
        <v>573</v>
      </c>
      <c r="B162" s="0" t="s">
        <v>574</v>
      </c>
      <c r="C162" s="23" t="n">
        <v>12000</v>
      </c>
      <c r="D162" s="23" t="n">
        <v>36000</v>
      </c>
      <c r="E162" s="23" t="n">
        <v>72000</v>
      </c>
      <c r="F162" s="26" t="s">
        <v>206</v>
      </c>
      <c r="G162" s="20" t="s">
        <v>575</v>
      </c>
      <c r="H162" s="20" t="s">
        <v>216</v>
      </c>
    </row>
    <row r="163" customFormat="false" ht="15" hidden="false" customHeight="false" outlineLevel="0" collapsed="false">
      <c r="A163" s="0" t="s">
        <v>576</v>
      </c>
      <c r="B163" s="0" t="s">
        <v>577</v>
      </c>
      <c r="C163" s="23" t="n">
        <v>10000</v>
      </c>
      <c r="D163" s="23" t="n">
        <v>25000</v>
      </c>
      <c r="E163" s="23" t="n">
        <v>40000</v>
      </c>
      <c r="F163" s="26" t="s">
        <v>206</v>
      </c>
      <c r="H163" s="20" t="s">
        <v>216</v>
      </c>
    </row>
    <row r="164" customFormat="false" ht="15" hidden="false" customHeight="false" outlineLevel="0" collapsed="false">
      <c r="A164" s="0" t="s">
        <v>578</v>
      </c>
      <c r="B164" s="0" t="s">
        <v>579</v>
      </c>
      <c r="C164" s="23" t="n">
        <v>6000</v>
      </c>
      <c r="D164" s="23" t="n">
        <v>12000</v>
      </c>
      <c r="E164" s="23" t="n">
        <v>18000</v>
      </c>
      <c r="F164" s="26" t="s">
        <v>206</v>
      </c>
      <c r="H164" s="20" t="s">
        <v>216</v>
      </c>
    </row>
    <row r="166" customFormat="false" ht="15" hidden="false" customHeight="false" outlineLevel="0" collapsed="false">
      <c r="A166" s="15" t="s">
        <v>580</v>
      </c>
    </row>
    <row r="167" customFormat="false" ht="15" hidden="false" customHeight="false" outlineLevel="0" collapsed="false">
      <c r="A167" s="0" t="s">
        <v>581</v>
      </c>
      <c r="B167" s="0" t="s">
        <v>582</v>
      </c>
      <c r="C167" s="34" t="n">
        <v>1.3</v>
      </c>
      <c r="E167" s="26" t="s">
        <v>206</v>
      </c>
    </row>
    <row r="168" customFormat="false" ht="15" hidden="false" customHeight="false" outlineLevel="0" collapsed="false">
      <c r="A168" s="0" t="s">
        <v>583</v>
      </c>
      <c r="B168" s="0" t="s">
        <v>584</v>
      </c>
      <c r="C168" s="34" t="n">
        <v>1.1</v>
      </c>
      <c r="E168" s="26" t="s">
        <v>206</v>
      </c>
    </row>
    <row r="169" customFormat="false" ht="15" hidden="false" customHeight="false" outlineLevel="0" collapsed="false">
      <c r="A169" s="0" t="s">
        <v>585</v>
      </c>
      <c r="B169" s="0" t="s">
        <v>586</v>
      </c>
      <c r="C169" s="34" t="n">
        <v>0.9</v>
      </c>
      <c r="E169" s="26" t="s">
        <v>206</v>
      </c>
    </row>
    <row r="170" customFormat="false" ht="15" hidden="false" customHeight="false" outlineLevel="0" collapsed="false">
      <c r="A170" s="0" t="s">
        <v>587</v>
      </c>
      <c r="B170" s="0" t="s">
        <v>588</v>
      </c>
      <c r="C170" s="34" t="n">
        <v>0.8</v>
      </c>
      <c r="E170" s="26" t="s">
        <v>206</v>
      </c>
    </row>
    <row r="171" customFormat="false" ht="15" hidden="false" customHeight="false" outlineLevel="0" collapsed="false">
      <c r="A171" s="0" t="s">
        <v>589</v>
      </c>
      <c r="B171" s="0" t="s">
        <v>590</v>
      </c>
      <c r="C171" s="34" t="n">
        <v>0.6</v>
      </c>
      <c r="E171" s="26" t="s">
        <v>206</v>
      </c>
    </row>
    <row r="172" customFormat="false" ht="15" hidden="false" customHeight="false" outlineLevel="0" collapsed="false">
      <c r="A172" s="0" t="s">
        <v>591</v>
      </c>
      <c r="B172" s="0" t="s">
        <v>592</v>
      </c>
      <c r="C172" s="34" t="n">
        <v>0.5</v>
      </c>
      <c r="E172" s="26" t="s">
        <v>206</v>
      </c>
    </row>
    <row r="173" customFormat="false" ht="15" hidden="false" customHeight="false" outlineLevel="0" collapsed="false">
      <c r="A173" s="0" t="s">
        <v>593</v>
      </c>
      <c r="B173" s="0" t="s">
        <v>594</v>
      </c>
      <c r="C173" s="34" t="n">
        <v>0.7</v>
      </c>
      <c r="E173" s="26" t="s">
        <v>206</v>
      </c>
    </row>
    <row r="174" customFormat="false" ht="15" hidden="false" customHeight="false" outlineLevel="0" collapsed="false">
      <c r="A174" s="0" t="s">
        <v>595</v>
      </c>
      <c r="B174" s="0" t="s">
        <v>596</v>
      </c>
      <c r="C174" s="34" t="n">
        <v>1.6</v>
      </c>
      <c r="E174" s="26" t="s">
        <v>206</v>
      </c>
    </row>
    <row r="175" customFormat="false" ht="15" hidden="false" customHeight="false" outlineLevel="0" collapsed="false">
      <c r="A175" s="0" t="s">
        <v>597</v>
      </c>
      <c r="B175" s="0" t="s">
        <v>598</v>
      </c>
      <c r="C175" s="34" t="n">
        <v>1.8</v>
      </c>
      <c r="E175" s="26" t="s">
        <v>206</v>
      </c>
    </row>
    <row r="176" customFormat="false" ht="15" hidden="false" customHeight="false" outlineLevel="0" collapsed="false">
      <c r="A176" s="0" t="s">
        <v>599</v>
      </c>
      <c r="B176" s="0" t="s">
        <v>600</v>
      </c>
      <c r="C176" s="34" t="n">
        <v>1.1</v>
      </c>
      <c r="E176" s="26" t="s">
        <v>206</v>
      </c>
    </row>
    <row r="177" customFormat="false" ht="15" hidden="false" customHeight="false" outlineLevel="0" collapsed="false">
      <c r="A177" s="0" t="s">
        <v>601</v>
      </c>
      <c r="B177" s="0" t="s">
        <v>602</v>
      </c>
      <c r="C177" s="34" t="n">
        <v>0.9</v>
      </c>
      <c r="E177" s="26" t="s">
        <v>206</v>
      </c>
    </row>
    <row r="178" customFormat="false" ht="15" hidden="false" customHeight="false" outlineLevel="0" collapsed="false">
      <c r="A178" s="0" t="s">
        <v>603</v>
      </c>
      <c r="B178" s="0" t="s">
        <v>604</v>
      </c>
      <c r="C178" s="34" t="n">
        <v>0.7</v>
      </c>
      <c r="E178" s="26" t="s">
        <v>206</v>
      </c>
    </row>
    <row r="179" customFormat="false" ht="15" hidden="false" customHeight="false" outlineLevel="0" collapsed="false">
      <c r="B179" s="0" t="s">
        <v>605</v>
      </c>
      <c r="C179" s="0" t="n">
        <f aca="false">SUM(C167:C178)</f>
        <v>12</v>
      </c>
    </row>
    <row r="181" customFormat="false" ht="15" hidden="false" customHeight="false" outlineLevel="0" collapsed="false">
      <c r="A181" s="15" t="s">
        <v>606</v>
      </c>
    </row>
    <row r="182" customFormat="false" ht="15" hidden="false" customHeight="false" outlineLevel="0" collapsed="false">
      <c r="A182" s="0" t="s">
        <v>607</v>
      </c>
      <c r="B182" s="0" t="s">
        <v>608</v>
      </c>
      <c r="C182" s="35" t="n">
        <f aca="false">((($C$75*$C$69)+($C$76*$C$71))+($C$77*$C$73))</f>
        <v>1.34</v>
      </c>
      <c r="D182" s="20" t="s">
        <v>367</v>
      </c>
      <c r="F182" s="20" t="s">
        <v>609</v>
      </c>
    </row>
    <row r="183" customFormat="false" ht="15" hidden="false" customHeight="false" outlineLevel="0" collapsed="false">
      <c r="A183" s="0" t="s">
        <v>610</v>
      </c>
      <c r="B183" s="0" t="s">
        <v>611</v>
      </c>
      <c r="C183" s="35" t="n">
        <f aca="false">((($C$75*$C$70)+($C$76*$C$72))+($C$77*$C$74))</f>
        <v>6.7</v>
      </c>
      <c r="D183" s="20" t="s">
        <v>367</v>
      </c>
      <c r="F183" s="20" t="s">
        <v>609</v>
      </c>
    </row>
    <row r="184" customFormat="false" ht="15" hidden="false" customHeight="false" outlineLevel="0" collapsed="false">
      <c r="A184" s="0" t="s">
        <v>612</v>
      </c>
      <c r="B184" s="0" t="s">
        <v>613</v>
      </c>
      <c r="C184" s="35" t="n">
        <f aca="false">((((($C$78/1000000)*$C$182)*(1-(($C$81*$C$82)*(1-$C$83))))+((($C$79/1000000)*$C$183)*$C$80))*(1+$C$84))</f>
        <v>0.01442376</v>
      </c>
      <c r="D184" s="20" t="s">
        <v>614</v>
      </c>
      <c r="F184" s="20" t="s">
        <v>609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8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34"/>
    <col collapsed="false" customWidth="true" hidden="false" outlineLevel="0" max="9" min="9" style="0" width="20"/>
  </cols>
  <sheetData>
    <row r="1" customFormat="false" ht="16.15" hidden="false" customHeight="false" outlineLevel="0" collapsed="false">
      <c r="A1" s="18" t="s">
        <v>615</v>
      </c>
    </row>
    <row r="3" customFormat="false" ht="45" hidden="false" customHeight="true" outlineLevel="0" collapsed="false">
      <c r="A3" s="8" t="s">
        <v>180</v>
      </c>
      <c r="B3" s="8" t="s">
        <v>616</v>
      </c>
      <c r="C3" s="8" t="s">
        <v>617</v>
      </c>
      <c r="D3" s="8" t="s">
        <v>618</v>
      </c>
      <c r="E3" s="8" t="s">
        <v>619</v>
      </c>
      <c r="F3" s="8" t="s">
        <v>620</v>
      </c>
      <c r="G3" s="8" t="s">
        <v>621</v>
      </c>
      <c r="H3" s="8" t="s">
        <v>622</v>
      </c>
      <c r="I3" s="8" t="s">
        <v>623</v>
      </c>
    </row>
    <row r="5" customFormat="false" ht="15" hidden="false" customHeight="false" outlineLevel="0" collapsed="false">
      <c r="A5" s="0" t="s">
        <v>624</v>
      </c>
      <c r="B5" s="0" t="s">
        <v>625</v>
      </c>
      <c r="C5" s="0" t="s">
        <v>626</v>
      </c>
      <c r="D5" s="34" t="n">
        <v>1</v>
      </c>
      <c r="E5" s="34" t="n">
        <v>1</v>
      </c>
      <c r="F5" s="23" t="n">
        <v>90000</v>
      </c>
      <c r="G5" s="34" t="n">
        <v>0</v>
      </c>
      <c r="H5" s="20" t="s">
        <v>38</v>
      </c>
      <c r="I5" s="34" t="n">
        <v>0</v>
      </c>
    </row>
    <row r="6" customFormat="false" ht="15" hidden="false" customHeight="false" outlineLevel="0" collapsed="false">
      <c r="A6" s="0" t="s">
        <v>627</v>
      </c>
      <c r="B6" s="0" t="s">
        <v>628</v>
      </c>
      <c r="C6" s="0" t="s">
        <v>626</v>
      </c>
      <c r="D6" s="34" t="n">
        <v>0.4</v>
      </c>
      <c r="E6" s="34" t="n">
        <v>1</v>
      </c>
      <c r="F6" s="23" t="n">
        <v>150000</v>
      </c>
      <c r="G6" s="34" t="n">
        <v>0</v>
      </c>
      <c r="H6" s="20" t="s">
        <v>38</v>
      </c>
      <c r="I6" s="34" t="n">
        <v>0</v>
      </c>
    </row>
    <row r="7" customFormat="false" ht="15" hidden="false" customHeight="false" outlineLevel="0" collapsed="false">
      <c r="A7" s="0" t="s">
        <v>629</v>
      </c>
      <c r="B7" s="0" t="s">
        <v>630</v>
      </c>
      <c r="C7" s="0" t="s">
        <v>626</v>
      </c>
      <c r="D7" s="34" t="n">
        <v>1</v>
      </c>
      <c r="E7" s="34" t="n">
        <v>9</v>
      </c>
      <c r="F7" s="23" t="n">
        <v>125000</v>
      </c>
      <c r="G7" s="34" t="n">
        <v>0</v>
      </c>
      <c r="H7" s="20" t="s">
        <v>38</v>
      </c>
      <c r="I7" s="34" t="n">
        <v>0</v>
      </c>
    </row>
    <row r="8" customFormat="false" ht="15" hidden="false" customHeight="false" outlineLevel="0" collapsed="false">
      <c r="A8" s="0" t="s">
        <v>631</v>
      </c>
      <c r="B8" s="0" t="s">
        <v>632</v>
      </c>
      <c r="C8" s="0" t="s">
        <v>626</v>
      </c>
      <c r="D8" s="34" t="n">
        <v>1</v>
      </c>
      <c r="E8" s="34" t="n">
        <v>15</v>
      </c>
      <c r="F8" s="23" t="n">
        <v>120000</v>
      </c>
      <c r="G8" s="34" t="n">
        <v>0</v>
      </c>
      <c r="H8" s="20" t="s">
        <v>38</v>
      </c>
      <c r="I8" s="34" t="n">
        <v>0</v>
      </c>
    </row>
    <row r="9" customFormat="false" ht="15" hidden="false" customHeight="false" outlineLevel="0" collapsed="false">
      <c r="A9" s="0" t="s">
        <v>633</v>
      </c>
      <c r="B9" s="0" t="s">
        <v>634</v>
      </c>
      <c r="C9" s="0" t="s">
        <v>626</v>
      </c>
      <c r="D9" s="34" t="n">
        <v>1</v>
      </c>
      <c r="E9" s="34" t="n">
        <v>24</v>
      </c>
      <c r="F9" s="23" t="n">
        <v>85000</v>
      </c>
      <c r="G9" s="34" t="n">
        <v>0</v>
      </c>
      <c r="H9" s="20" t="s">
        <v>38</v>
      </c>
      <c r="I9" s="34" t="n">
        <v>0</v>
      </c>
    </row>
    <row r="10" customFormat="false" ht="15" hidden="false" customHeight="false" outlineLevel="0" collapsed="false">
      <c r="A10" s="0" t="s">
        <v>635</v>
      </c>
      <c r="B10" s="0" t="s">
        <v>636</v>
      </c>
      <c r="C10" s="0" t="s">
        <v>637</v>
      </c>
      <c r="D10" s="34" t="n">
        <v>1</v>
      </c>
      <c r="E10" s="34" t="n">
        <v>1</v>
      </c>
      <c r="F10" s="23" t="n">
        <v>110000</v>
      </c>
      <c r="G10" s="34" t="n">
        <v>0</v>
      </c>
      <c r="H10" s="20" t="s">
        <v>638</v>
      </c>
      <c r="I10" s="34" t="n">
        <v>0</v>
      </c>
    </row>
    <row r="11" customFormat="false" ht="15" hidden="false" customHeight="false" outlineLevel="0" collapsed="false">
      <c r="A11" s="0" t="s">
        <v>639</v>
      </c>
      <c r="B11" s="0" t="s">
        <v>640</v>
      </c>
      <c r="C11" s="0" t="s">
        <v>637</v>
      </c>
      <c r="D11" s="34" t="n">
        <v>2</v>
      </c>
      <c r="E11" s="34" t="n">
        <v>1</v>
      </c>
      <c r="F11" s="23" t="n">
        <v>150000</v>
      </c>
      <c r="G11" s="34" t="n">
        <v>0</v>
      </c>
      <c r="H11" s="20" t="s">
        <v>638</v>
      </c>
      <c r="I11" s="34" t="n">
        <v>0</v>
      </c>
    </row>
    <row r="12" customFormat="false" ht="15" hidden="false" customHeight="false" outlineLevel="0" collapsed="false">
      <c r="A12" s="0" t="s">
        <v>641</v>
      </c>
      <c r="B12" s="0" t="s">
        <v>642</v>
      </c>
      <c r="C12" s="0" t="s">
        <v>637</v>
      </c>
      <c r="D12" s="34" t="n">
        <v>1</v>
      </c>
      <c r="E12" s="34" t="n">
        <v>5</v>
      </c>
      <c r="F12" s="23" t="n">
        <v>160000</v>
      </c>
      <c r="G12" s="34" t="n">
        <v>0</v>
      </c>
      <c r="H12" s="20" t="s">
        <v>638</v>
      </c>
      <c r="I12" s="34" t="n">
        <v>0</v>
      </c>
    </row>
    <row r="13" customFormat="false" ht="15" hidden="false" customHeight="false" outlineLevel="0" collapsed="false">
      <c r="A13" s="0" t="s">
        <v>643</v>
      </c>
      <c r="B13" s="0" t="s">
        <v>644</v>
      </c>
      <c r="C13" s="0" t="s">
        <v>637</v>
      </c>
      <c r="D13" s="34" t="n">
        <v>1</v>
      </c>
      <c r="E13" s="34" t="n">
        <v>6</v>
      </c>
      <c r="F13" s="23" t="n">
        <v>150000</v>
      </c>
      <c r="G13" s="34" t="n">
        <v>0</v>
      </c>
      <c r="H13" s="20" t="s">
        <v>638</v>
      </c>
      <c r="I13" s="34" t="n">
        <v>0</v>
      </c>
    </row>
    <row r="14" customFormat="false" ht="15" hidden="false" customHeight="false" outlineLevel="0" collapsed="false">
      <c r="A14" s="0" t="s">
        <v>645</v>
      </c>
      <c r="B14" s="0" t="s">
        <v>646</v>
      </c>
      <c r="C14" s="0" t="s">
        <v>637</v>
      </c>
      <c r="D14" s="34" t="n">
        <v>1</v>
      </c>
      <c r="E14" s="34" t="n">
        <v>9</v>
      </c>
      <c r="F14" s="23" t="n">
        <v>145000</v>
      </c>
      <c r="G14" s="34" t="n">
        <v>0</v>
      </c>
      <c r="H14" s="20" t="s">
        <v>638</v>
      </c>
      <c r="I14" s="34" t="n">
        <v>0</v>
      </c>
    </row>
    <row r="15" customFormat="false" ht="15" hidden="false" customHeight="false" outlineLevel="0" collapsed="false">
      <c r="A15" s="0" t="s">
        <v>647</v>
      </c>
      <c r="B15" s="0" t="s">
        <v>644</v>
      </c>
      <c r="C15" s="0" t="s">
        <v>637</v>
      </c>
      <c r="D15" s="34" t="n">
        <v>1</v>
      </c>
      <c r="E15" s="34" t="n">
        <v>13</v>
      </c>
      <c r="F15" s="23" t="n">
        <v>150000</v>
      </c>
      <c r="G15" s="34" t="n">
        <v>0</v>
      </c>
      <c r="H15" s="20" t="s">
        <v>638</v>
      </c>
      <c r="I15" s="34" t="n">
        <v>0</v>
      </c>
    </row>
    <row r="16" customFormat="false" ht="15" hidden="false" customHeight="false" outlineLevel="0" collapsed="false">
      <c r="A16" s="0" t="s">
        <v>648</v>
      </c>
      <c r="B16" s="0" t="s">
        <v>649</v>
      </c>
      <c r="C16" s="0" t="s">
        <v>637</v>
      </c>
      <c r="D16" s="34" t="n">
        <v>1</v>
      </c>
      <c r="E16" s="34" t="n">
        <v>14</v>
      </c>
      <c r="F16" s="23" t="n">
        <v>150000</v>
      </c>
      <c r="G16" s="34" t="n">
        <v>0</v>
      </c>
      <c r="H16" s="20" t="s">
        <v>638</v>
      </c>
      <c r="I16" s="34" t="n">
        <v>0</v>
      </c>
    </row>
    <row r="17" customFormat="false" ht="15" hidden="false" customHeight="false" outlineLevel="0" collapsed="false">
      <c r="A17" s="0" t="s">
        <v>650</v>
      </c>
      <c r="B17" s="0" t="s">
        <v>651</v>
      </c>
      <c r="C17" s="0" t="s">
        <v>637</v>
      </c>
      <c r="D17" s="34" t="n">
        <v>1</v>
      </c>
      <c r="E17" s="34" t="n">
        <v>20</v>
      </c>
      <c r="F17" s="23" t="n">
        <v>110000</v>
      </c>
      <c r="G17" s="34" t="n">
        <v>0</v>
      </c>
      <c r="H17" s="20" t="s">
        <v>638</v>
      </c>
      <c r="I17" s="34" t="n">
        <v>0</v>
      </c>
    </row>
    <row r="18" customFormat="false" ht="15" hidden="false" customHeight="false" outlineLevel="0" collapsed="false">
      <c r="A18" s="0" t="s">
        <v>652</v>
      </c>
      <c r="B18" s="0" t="s">
        <v>644</v>
      </c>
      <c r="C18" s="0" t="s">
        <v>637</v>
      </c>
      <c r="D18" s="34" t="n">
        <v>1</v>
      </c>
      <c r="E18" s="34" t="n">
        <v>26</v>
      </c>
      <c r="F18" s="23" t="n">
        <v>150000</v>
      </c>
      <c r="G18" s="34" t="n">
        <v>0</v>
      </c>
      <c r="H18" s="20" t="s">
        <v>638</v>
      </c>
      <c r="I18" s="34" t="n">
        <v>0</v>
      </c>
    </row>
    <row r="19" customFormat="false" ht="15" hidden="false" customHeight="false" outlineLevel="0" collapsed="false">
      <c r="A19" s="0" t="s">
        <v>653</v>
      </c>
      <c r="B19" s="0" t="s">
        <v>654</v>
      </c>
      <c r="C19" s="0" t="s">
        <v>655</v>
      </c>
      <c r="D19" s="34" t="n">
        <v>1</v>
      </c>
      <c r="E19" s="34" t="n">
        <v>3</v>
      </c>
      <c r="F19" s="23" t="n">
        <v>130000</v>
      </c>
      <c r="G19" s="34" t="n">
        <v>0</v>
      </c>
      <c r="H19" s="20" t="s">
        <v>656</v>
      </c>
      <c r="I19" s="34" t="n">
        <v>0</v>
      </c>
    </row>
    <row r="20" customFormat="false" ht="15" hidden="false" customHeight="false" outlineLevel="0" collapsed="false">
      <c r="A20" s="0" t="s">
        <v>657</v>
      </c>
      <c r="B20" s="0" t="s">
        <v>658</v>
      </c>
      <c r="C20" s="0" t="s">
        <v>655</v>
      </c>
      <c r="D20" s="34" t="n">
        <v>1</v>
      </c>
      <c r="E20" s="34" t="n">
        <v>4</v>
      </c>
      <c r="F20" s="23" t="n">
        <v>140000</v>
      </c>
      <c r="G20" s="34" t="n">
        <v>0</v>
      </c>
      <c r="H20" s="20" t="s">
        <v>656</v>
      </c>
      <c r="I20" s="34" t="n">
        <v>0</v>
      </c>
    </row>
    <row r="21" customFormat="false" ht="15" hidden="false" customHeight="false" outlineLevel="0" collapsed="false">
      <c r="A21" s="0" t="s">
        <v>659</v>
      </c>
      <c r="B21" s="0" t="s">
        <v>660</v>
      </c>
      <c r="C21" s="0" t="s">
        <v>655</v>
      </c>
      <c r="D21" s="34" t="n">
        <v>1</v>
      </c>
      <c r="E21" s="34" t="n">
        <v>10</v>
      </c>
      <c r="F21" s="23" t="n">
        <v>115000</v>
      </c>
      <c r="G21" s="34" t="n">
        <v>0</v>
      </c>
      <c r="H21" s="20" t="s">
        <v>656</v>
      </c>
      <c r="I21" s="34" t="n">
        <v>0</v>
      </c>
    </row>
    <row r="22" customFormat="false" ht="15" hidden="false" customHeight="false" outlineLevel="0" collapsed="false">
      <c r="A22" s="0" t="s">
        <v>661</v>
      </c>
      <c r="B22" s="0" t="s">
        <v>662</v>
      </c>
      <c r="C22" s="0" t="s">
        <v>663</v>
      </c>
      <c r="D22" s="34" t="n">
        <v>1</v>
      </c>
      <c r="E22" s="34" t="n">
        <v>7</v>
      </c>
      <c r="F22" s="23" t="n">
        <v>150000</v>
      </c>
      <c r="G22" s="34" t="n">
        <v>0</v>
      </c>
      <c r="H22" s="20" t="s">
        <v>664</v>
      </c>
      <c r="I22" s="34" t="n">
        <v>0</v>
      </c>
    </row>
    <row r="23" customFormat="false" ht="15" hidden="false" customHeight="false" outlineLevel="0" collapsed="false">
      <c r="A23" s="0" t="s">
        <v>665</v>
      </c>
      <c r="B23" s="0" t="s">
        <v>666</v>
      </c>
      <c r="C23" s="0" t="s">
        <v>667</v>
      </c>
      <c r="D23" s="34" t="n">
        <v>1</v>
      </c>
      <c r="E23" s="34" t="n">
        <v>9</v>
      </c>
      <c r="F23" s="23" t="n">
        <v>62000</v>
      </c>
      <c r="G23" s="34" t="n">
        <v>0</v>
      </c>
      <c r="H23" s="20" t="s">
        <v>668</v>
      </c>
      <c r="I23" s="34" t="n">
        <v>0</v>
      </c>
    </row>
    <row r="24" customFormat="false" ht="15" hidden="false" customHeight="false" outlineLevel="0" collapsed="false">
      <c r="A24" s="0" t="s">
        <v>669</v>
      </c>
      <c r="B24" s="0" t="s">
        <v>670</v>
      </c>
      <c r="C24" s="0" t="s">
        <v>667</v>
      </c>
      <c r="D24" s="34" t="n">
        <v>1</v>
      </c>
      <c r="E24" s="34" t="n">
        <v>18</v>
      </c>
      <c r="F24" s="23" t="n">
        <v>85000</v>
      </c>
      <c r="G24" s="34" t="n">
        <v>0</v>
      </c>
      <c r="H24" s="20" t="s">
        <v>668</v>
      </c>
      <c r="I24" s="34" t="n">
        <v>0</v>
      </c>
    </row>
    <row r="25" customFormat="false" ht="15" hidden="false" customHeight="false" outlineLevel="0" collapsed="false">
      <c r="A25" s="0" t="s">
        <v>671</v>
      </c>
      <c r="B25" s="0" t="s">
        <v>666</v>
      </c>
      <c r="C25" s="0" t="s">
        <v>667</v>
      </c>
      <c r="D25" s="34" t="n">
        <v>1</v>
      </c>
      <c r="E25" s="34" t="n">
        <v>26</v>
      </c>
      <c r="F25" s="23" t="n">
        <v>62000</v>
      </c>
      <c r="G25" s="34" t="n">
        <v>0</v>
      </c>
      <c r="H25" s="20" t="s">
        <v>668</v>
      </c>
      <c r="I25" s="34" t="n">
        <v>0</v>
      </c>
    </row>
    <row r="26" customFormat="false" ht="15" hidden="false" customHeight="false" outlineLevel="0" collapsed="false">
      <c r="A26" s="0" t="s">
        <v>672</v>
      </c>
      <c r="B26" s="0" t="s">
        <v>666</v>
      </c>
      <c r="C26" s="0" t="s">
        <v>667</v>
      </c>
      <c r="D26" s="34" t="n">
        <v>1</v>
      </c>
      <c r="E26" s="34" t="n">
        <v>33</v>
      </c>
      <c r="F26" s="23" t="n">
        <v>62000</v>
      </c>
      <c r="G26" s="34" t="n">
        <v>0</v>
      </c>
      <c r="H26" s="20" t="s">
        <v>668</v>
      </c>
      <c r="I26" s="34" t="n">
        <v>0</v>
      </c>
    </row>
    <row r="27" customFormat="false" ht="15" hidden="false" customHeight="false" outlineLevel="0" collapsed="false">
      <c r="A27" s="0" t="s">
        <v>673</v>
      </c>
      <c r="B27" s="0" t="s">
        <v>674</v>
      </c>
      <c r="C27" s="0" t="s">
        <v>675</v>
      </c>
      <c r="D27" s="34" t="n">
        <v>1</v>
      </c>
      <c r="E27" s="34" t="n">
        <v>5</v>
      </c>
      <c r="F27" s="23" t="n">
        <v>100000</v>
      </c>
      <c r="G27" s="34" t="n">
        <v>1</v>
      </c>
      <c r="H27" s="20" t="s">
        <v>676</v>
      </c>
      <c r="I27" s="34" t="n">
        <v>0</v>
      </c>
    </row>
    <row r="28" customFormat="false" ht="15" hidden="false" customHeight="false" outlineLevel="0" collapsed="false">
      <c r="A28" s="0" t="s">
        <v>677</v>
      </c>
      <c r="B28" s="0" t="s">
        <v>674</v>
      </c>
      <c r="C28" s="0" t="s">
        <v>675</v>
      </c>
      <c r="D28" s="34" t="n">
        <v>1</v>
      </c>
      <c r="E28" s="34" t="n">
        <v>11</v>
      </c>
      <c r="F28" s="23" t="n">
        <v>100000</v>
      </c>
      <c r="G28" s="34" t="n">
        <v>1</v>
      </c>
      <c r="H28" s="20" t="s">
        <v>676</v>
      </c>
      <c r="I28" s="34" t="n">
        <v>0</v>
      </c>
    </row>
    <row r="29" customFormat="false" ht="15" hidden="false" customHeight="false" outlineLevel="0" collapsed="false">
      <c r="A29" s="0" t="s">
        <v>678</v>
      </c>
      <c r="B29" s="0" t="s">
        <v>674</v>
      </c>
      <c r="C29" s="0" t="s">
        <v>675</v>
      </c>
      <c r="D29" s="34" t="n">
        <v>1</v>
      </c>
      <c r="E29" s="34" t="n">
        <v>15</v>
      </c>
      <c r="F29" s="23" t="n">
        <v>100000</v>
      </c>
      <c r="G29" s="34" t="n">
        <v>1</v>
      </c>
      <c r="H29" s="20" t="s">
        <v>676</v>
      </c>
      <c r="I29" s="34" t="n">
        <v>0</v>
      </c>
    </row>
    <row r="30" customFormat="false" ht="15" hidden="false" customHeight="false" outlineLevel="0" collapsed="false">
      <c r="A30" s="0" t="s">
        <v>679</v>
      </c>
      <c r="B30" s="0" t="s">
        <v>674</v>
      </c>
      <c r="C30" s="0" t="s">
        <v>675</v>
      </c>
      <c r="D30" s="34" t="n">
        <v>1</v>
      </c>
      <c r="E30" s="34" t="n">
        <v>19</v>
      </c>
      <c r="F30" s="23" t="n">
        <v>100000</v>
      </c>
      <c r="G30" s="34" t="n">
        <v>1</v>
      </c>
      <c r="H30" s="20" t="s">
        <v>676</v>
      </c>
      <c r="I30" s="34" t="n">
        <v>0</v>
      </c>
    </row>
    <row r="31" customFormat="false" ht="15" hidden="false" customHeight="false" outlineLevel="0" collapsed="false">
      <c r="A31" s="0" t="s">
        <v>680</v>
      </c>
      <c r="B31" s="0" t="s">
        <v>674</v>
      </c>
      <c r="C31" s="0" t="s">
        <v>675</v>
      </c>
      <c r="D31" s="34" t="n">
        <v>1</v>
      </c>
      <c r="E31" s="34" t="n">
        <v>22</v>
      </c>
      <c r="F31" s="23" t="n">
        <v>100000</v>
      </c>
      <c r="G31" s="34" t="n">
        <v>1</v>
      </c>
      <c r="H31" s="20" t="s">
        <v>676</v>
      </c>
      <c r="I31" s="34" t="n">
        <v>0</v>
      </c>
    </row>
    <row r="32" customFormat="false" ht="15" hidden="false" customHeight="false" outlineLevel="0" collapsed="false">
      <c r="A32" s="0" t="s">
        <v>681</v>
      </c>
      <c r="B32" s="0" t="s">
        <v>674</v>
      </c>
      <c r="C32" s="0" t="s">
        <v>675</v>
      </c>
      <c r="D32" s="34" t="n">
        <v>1</v>
      </c>
      <c r="E32" s="34" t="n">
        <v>25</v>
      </c>
      <c r="F32" s="23" t="n">
        <v>100000</v>
      </c>
      <c r="G32" s="34" t="n">
        <v>1</v>
      </c>
      <c r="H32" s="20" t="s">
        <v>676</v>
      </c>
      <c r="I32" s="34" t="n">
        <v>0</v>
      </c>
    </row>
    <row r="33" customFormat="false" ht="15" hidden="false" customHeight="false" outlineLevel="0" collapsed="false">
      <c r="A33" s="0" t="s">
        <v>682</v>
      </c>
      <c r="B33" s="0" t="s">
        <v>674</v>
      </c>
      <c r="C33" s="0" t="s">
        <v>675</v>
      </c>
      <c r="D33" s="34" t="n">
        <v>1</v>
      </c>
      <c r="E33" s="34" t="n">
        <v>28</v>
      </c>
      <c r="F33" s="23" t="n">
        <v>100000</v>
      </c>
      <c r="G33" s="34" t="n">
        <v>1</v>
      </c>
      <c r="H33" s="20" t="s">
        <v>676</v>
      </c>
      <c r="I33" s="34" t="n">
        <v>0</v>
      </c>
    </row>
    <row r="34" customFormat="false" ht="15" hidden="false" customHeight="false" outlineLevel="0" collapsed="false">
      <c r="A34" s="0" t="s">
        <v>683</v>
      </c>
      <c r="B34" s="0" t="s">
        <v>674</v>
      </c>
      <c r="C34" s="0" t="s">
        <v>675</v>
      </c>
      <c r="D34" s="34" t="n">
        <v>1</v>
      </c>
      <c r="E34" s="34" t="n">
        <v>31</v>
      </c>
      <c r="F34" s="23" t="n">
        <v>100000</v>
      </c>
      <c r="G34" s="34" t="n">
        <v>1</v>
      </c>
      <c r="H34" s="20" t="s">
        <v>676</v>
      </c>
      <c r="I34" s="34" t="n">
        <v>0</v>
      </c>
    </row>
    <row r="35" customFormat="false" ht="15" hidden="false" customHeight="false" outlineLevel="0" collapsed="false">
      <c r="A35" s="0" t="s">
        <v>684</v>
      </c>
      <c r="B35" s="0" t="s">
        <v>685</v>
      </c>
      <c r="C35" s="0" t="s">
        <v>686</v>
      </c>
      <c r="D35" s="34" t="n">
        <v>1</v>
      </c>
      <c r="E35" s="34" t="n">
        <v>18</v>
      </c>
      <c r="F35" s="23" t="n">
        <v>100000</v>
      </c>
      <c r="G35" s="34" t="n">
        <v>1</v>
      </c>
      <c r="H35" s="20" t="s">
        <v>687</v>
      </c>
      <c r="I35" s="34" t="n">
        <v>0</v>
      </c>
    </row>
    <row r="36" customFormat="false" ht="15" hidden="false" customHeight="false" outlineLevel="0" collapsed="false">
      <c r="A36" s="0" t="s">
        <v>688</v>
      </c>
      <c r="B36" s="0" t="s">
        <v>685</v>
      </c>
      <c r="C36" s="0" t="s">
        <v>686</v>
      </c>
      <c r="D36" s="34" t="n">
        <v>1</v>
      </c>
      <c r="E36" s="34" t="n">
        <v>30</v>
      </c>
      <c r="F36" s="23" t="n">
        <v>100000</v>
      </c>
      <c r="G36" s="34" t="n">
        <v>1</v>
      </c>
      <c r="H36" s="20" t="s">
        <v>687</v>
      </c>
      <c r="I36" s="34" t="n">
        <v>0</v>
      </c>
    </row>
    <row r="37" customFormat="false" ht="15" hidden="false" customHeight="false" outlineLevel="0" collapsed="false">
      <c r="A37" s="0" t="s">
        <v>689</v>
      </c>
      <c r="B37" s="0" t="s">
        <v>690</v>
      </c>
      <c r="C37" s="0" t="s">
        <v>691</v>
      </c>
      <c r="D37" s="34" t="n">
        <v>1</v>
      </c>
      <c r="E37" s="34" t="n">
        <v>32</v>
      </c>
      <c r="F37" s="23" t="n">
        <v>70000</v>
      </c>
      <c r="G37" s="34" t="n">
        <v>1</v>
      </c>
      <c r="H37" s="20" t="s">
        <v>692</v>
      </c>
      <c r="I37" s="34" t="n">
        <v>0</v>
      </c>
    </row>
    <row r="38" customFormat="false" ht="15" hidden="false" customHeight="false" outlineLevel="0" collapsed="false">
      <c r="A38" s="0" t="s">
        <v>693</v>
      </c>
      <c r="B38" s="0" t="s">
        <v>694</v>
      </c>
      <c r="C38" s="0" t="s">
        <v>695</v>
      </c>
      <c r="D38" s="34" t="n">
        <v>1</v>
      </c>
      <c r="E38" s="34" t="n">
        <v>11</v>
      </c>
      <c r="F38" s="23" t="n">
        <v>110000</v>
      </c>
      <c r="G38" s="34" t="n">
        <v>1</v>
      </c>
      <c r="H38" s="20" t="s">
        <v>696</v>
      </c>
      <c r="I38" s="34" t="n">
        <v>0</v>
      </c>
    </row>
    <row r="39" customFormat="false" ht="15" hidden="false" customHeight="false" outlineLevel="0" collapsed="false">
      <c r="A39" s="0" t="s">
        <v>697</v>
      </c>
      <c r="B39" s="0" t="s">
        <v>698</v>
      </c>
      <c r="C39" s="0" t="s">
        <v>695</v>
      </c>
      <c r="D39" s="34" t="n">
        <v>1</v>
      </c>
      <c r="E39" s="34" t="n">
        <v>13</v>
      </c>
      <c r="F39" s="23" t="n">
        <v>130000</v>
      </c>
      <c r="G39" s="34" t="n">
        <v>1</v>
      </c>
      <c r="H39" s="20" t="s">
        <v>696</v>
      </c>
      <c r="I39" s="34" t="n">
        <v>0</v>
      </c>
    </row>
    <row r="40" customFormat="false" ht="15" hidden="false" customHeight="false" outlineLevel="0" collapsed="false">
      <c r="A40" s="0" t="s">
        <v>699</v>
      </c>
      <c r="B40" s="0" t="s">
        <v>694</v>
      </c>
      <c r="C40" s="0" t="s">
        <v>695</v>
      </c>
      <c r="D40" s="34" t="n">
        <v>1</v>
      </c>
      <c r="E40" s="34" t="n">
        <v>22</v>
      </c>
      <c r="F40" s="23" t="n">
        <v>110000</v>
      </c>
      <c r="G40" s="34" t="n">
        <v>1</v>
      </c>
      <c r="H40" s="20" t="s">
        <v>696</v>
      </c>
      <c r="I40" s="34" t="n">
        <v>0</v>
      </c>
    </row>
    <row r="41" customFormat="false" ht="15" hidden="false" customHeight="false" outlineLevel="0" collapsed="false">
      <c r="A41" s="0" t="s">
        <v>700</v>
      </c>
      <c r="B41" s="0" t="s">
        <v>701</v>
      </c>
      <c r="C41" s="0" t="s">
        <v>695</v>
      </c>
      <c r="D41" s="34" t="n">
        <v>1</v>
      </c>
      <c r="E41" s="34" t="n">
        <v>28</v>
      </c>
      <c r="F41" s="23" t="n">
        <v>110000</v>
      </c>
      <c r="G41" s="34" t="n">
        <v>1</v>
      </c>
      <c r="H41" s="20" t="s">
        <v>696</v>
      </c>
      <c r="I41" s="34" t="n">
        <v>0</v>
      </c>
    </row>
    <row r="42" customFormat="false" ht="15" hidden="false" customHeight="false" outlineLevel="0" collapsed="false">
      <c r="A42" s="0" t="s">
        <v>702</v>
      </c>
      <c r="B42" s="0" t="s">
        <v>703</v>
      </c>
      <c r="C42" s="0" t="s">
        <v>704</v>
      </c>
      <c r="D42" s="34" t="n">
        <v>1</v>
      </c>
      <c r="E42" s="34" t="n">
        <v>6</v>
      </c>
      <c r="F42" s="23" t="n">
        <v>105000</v>
      </c>
      <c r="G42" s="34" t="n">
        <v>0</v>
      </c>
      <c r="H42" s="20" t="s">
        <v>35</v>
      </c>
      <c r="I42" s="34" t="n">
        <v>0</v>
      </c>
    </row>
    <row r="43" customFormat="false" ht="15" hidden="false" customHeight="false" outlineLevel="0" collapsed="false">
      <c r="A43" s="0" t="s">
        <v>705</v>
      </c>
      <c r="B43" s="0" t="s">
        <v>706</v>
      </c>
      <c r="C43" s="0" t="s">
        <v>704</v>
      </c>
      <c r="D43" s="34" t="n">
        <v>1</v>
      </c>
      <c r="E43" s="34" t="n">
        <v>12</v>
      </c>
      <c r="F43" s="23" t="n">
        <v>65000</v>
      </c>
      <c r="G43" s="34" t="n">
        <v>0</v>
      </c>
      <c r="H43" s="20" t="s">
        <v>35</v>
      </c>
      <c r="I43" s="34" t="n">
        <v>0</v>
      </c>
    </row>
    <row r="44" customFormat="false" ht="15" hidden="false" customHeight="false" outlineLevel="0" collapsed="false">
      <c r="A44" s="0" t="s">
        <v>707</v>
      </c>
      <c r="B44" s="0" t="s">
        <v>708</v>
      </c>
      <c r="C44" s="0" t="s">
        <v>704</v>
      </c>
      <c r="D44" s="34" t="n">
        <v>1</v>
      </c>
      <c r="E44" s="34" t="n">
        <v>20</v>
      </c>
      <c r="F44" s="23" t="n">
        <v>85000</v>
      </c>
      <c r="G44" s="34" t="n">
        <v>0</v>
      </c>
      <c r="H44" s="20" t="s">
        <v>35</v>
      </c>
      <c r="I44" s="34" t="n">
        <v>0</v>
      </c>
    </row>
    <row r="45" customFormat="false" ht="15" hidden="false" customHeight="false" outlineLevel="0" collapsed="false">
      <c r="A45" s="0" t="s">
        <v>709</v>
      </c>
      <c r="B45" s="0" t="s">
        <v>710</v>
      </c>
      <c r="C45" s="0" t="s">
        <v>637</v>
      </c>
      <c r="D45" s="34" t="n">
        <v>1</v>
      </c>
      <c r="E45" s="34" t="n">
        <v>2</v>
      </c>
      <c r="F45" s="23" t="n">
        <v>150000</v>
      </c>
      <c r="G45" s="34" t="n">
        <v>0</v>
      </c>
      <c r="H45" s="20" t="s">
        <v>638</v>
      </c>
      <c r="I45" s="34" t="n">
        <v>1</v>
      </c>
    </row>
    <row r="46" customFormat="false" ht="15" hidden="false" customHeight="false" outlineLevel="0" collapsed="false">
      <c r="A46" s="0" t="s">
        <v>711</v>
      </c>
      <c r="B46" s="0" t="s">
        <v>712</v>
      </c>
      <c r="C46" s="0" t="s">
        <v>637</v>
      </c>
      <c r="D46" s="34" t="n">
        <v>1</v>
      </c>
      <c r="E46" s="34" t="n">
        <v>6</v>
      </c>
      <c r="F46" s="23" t="n">
        <v>150000</v>
      </c>
      <c r="G46" s="34" t="n">
        <v>0</v>
      </c>
      <c r="H46" s="20" t="s">
        <v>638</v>
      </c>
      <c r="I46" s="34" t="n">
        <v>1</v>
      </c>
    </row>
    <row r="47" customFormat="false" ht="15" hidden="false" customHeight="false" outlineLevel="0" collapsed="false">
      <c r="A47" s="0" t="s">
        <v>713</v>
      </c>
      <c r="B47" s="0" t="s">
        <v>714</v>
      </c>
      <c r="C47" s="0" t="s">
        <v>637</v>
      </c>
      <c r="D47" s="34" t="n">
        <v>1</v>
      </c>
      <c r="E47" s="34" t="n">
        <v>7</v>
      </c>
      <c r="F47" s="23" t="n">
        <v>150000</v>
      </c>
      <c r="G47" s="34" t="n">
        <v>0</v>
      </c>
      <c r="H47" s="20" t="s">
        <v>638</v>
      </c>
      <c r="I47" s="34" t="n">
        <v>1</v>
      </c>
    </row>
    <row r="48" customFormat="false" ht="15" hidden="false" customHeight="false" outlineLevel="0" collapsed="false">
      <c r="A48" s="0" t="s">
        <v>715</v>
      </c>
      <c r="B48" s="0" t="s">
        <v>716</v>
      </c>
      <c r="C48" s="0" t="s">
        <v>637</v>
      </c>
      <c r="D48" s="34" t="n">
        <v>1</v>
      </c>
      <c r="E48" s="34" t="n">
        <v>10</v>
      </c>
      <c r="F48" s="23" t="n">
        <v>150000</v>
      </c>
      <c r="G48" s="34" t="n">
        <v>0</v>
      </c>
      <c r="H48" s="20" t="s">
        <v>638</v>
      </c>
      <c r="I48" s="34" t="n">
        <v>1</v>
      </c>
    </row>
    <row r="49" customFormat="false" ht="15" hidden="false" customHeight="false" outlineLevel="0" collapsed="false">
      <c r="A49" s="0" t="s">
        <v>717</v>
      </c>
      <c r="B49" s="0" t="s">
        <v>718</v>
      </c>
      <c r="C49" s="0" t="s">
        <v>637</v>
      </c>
      <c r="D49" s="34" t="n">
        <v>1</v>
      </c>
      <c r="E49" s="34" t="n">
        <v>10</v>
      </c>
      <c r="F49" s="23" t="n">
        <v>160000</v>
      </c>
      <c r="G49" s="34" t="n">
        <v>0</v>
      </c>
      <c r="H49" s="20" t="s">
        <v>638</v>
      </c>
      <c r="I49" s="34" t="n">
        <v>1</v>
      </c>
    </row>
    <row r="50" customFormat="false" ht="15" hidden="false" customHeight="false" outlineLevel="0" collapsed="false">
      <c r="A50" s="0" t="s">
        <v>719</v>
      </c>
      <c r="B50" s="0" t="s">
        <v>720</v>
      </c>
      <c r="C50" s="0" t="s">
        <v>637</v>
      </c>
      <c r="D50" s="34" t="n">
        <v>1</v>
      </c>
      <c r="E50" s="34" t="n">
        <v>11</v>
      </c>
      <c r="F50" s="23" t="n">
        <v>145000</v>
      </c>
      <c r="G50" s="34" t="n">
        <v>0</v>
      </c>
      <c r="H50" s="20" t="s">
        <v>638</v>
      </c>
      <c r="I50" s="34" t="n">
        <v>1</v>
      </c>
    </row>
    <row r="51" customFormat="false" ht="15" hidden="false" customHeight="false" outlineLevel="0" collapsed="false">
      <c r="A51" s="0" t="s">
        <v>721</v>
      </c>
      <c r="B51" s="0" t="s">
        <v>722</v>
      </c>
      <c r="C51" s="0" t="s">
        <v>637</v>
      </c>
      <c r="D51" s="34" t="n">
        <v>1</v>
      </c>
      <c r="E51" s="34" t="n">
        <v>11</v>
      </c>
      <c r="F51" s="23" t="n">
        <v>140000</v>
      </c>
      <c r="G51" s="34" t="n">
        <v>0</v>
      </c>
      <c r="H51" s="20" t="s">
        <v>638</v>
      </c>
      <c r="I51" s="34" t="n">
        <v>1</v>
      </c>
    </row>
    <row r="52" customFormat="false" ht="15" hidden="false" customHeight="false" outlineLevel="0" collapsed="false">
      <c r="A52" s="0" t="s">
        <v>723</v>
      </c>
      <c r="B52" s="0" t="s">
        <v>724</v>
      </c>
      <c r="C52" s="0" t="s">
        <v>637</v>
      </c>
      <c r="D52" s="34" t="n">
        <v>1</v>
      </c>
      <c r="E52" s="34" t="n">
        <v>12</v>
      </c>
      <c r="F52" s="23" t="n">
        <v>150000</v>
      </c>
      <c r="G52" s="34" t="n">
        <v>0</v>
      </c>
      <c r="H52" s="20" t="s">
        <v>638</v>
      </c>
      <c r="I52" s="34" t="n">
        <v>1</v>
      </c>
    </row>
    <row r="53" customFormat="false" ht="15" hidden="false" customHeight="false" outlineLevel="0" collapsed="false">
      <c r="A53" s="0" t="s">
        <v>725</v>
      </c>
      <c r="B53" s="0" t="s">
        <v>654</v>
      </c>
      <c r="C53" s="0" t="s">
        <v>655</v>
      </c>
      <c r="D53" s="34" t="n">
        <v>1</v>
      </c>
      <c r="E53" s="34" t="n">
        <v>12</v>
      </c>
      <c r="F53" s="23" t="n">
        <v>130000</v>
      </c>
      <c r="G53" s="34" t="n">
        <v>0</v>
      </c>
      <c r="H53" s="20" t="s">
        <v>656</v>
      </c>
      <c r="I53" s="34" t="n">
        <v>1</v>
      </c>
    </row>
    <row r="54" customFormat="false" ht="15" hidden="false" customHeight="false" outlineLevel="0" collapsed="false">
      <c r="A54" s="0" t="s">
        <v>726</v>
      </c>
      <c r="B54" s="0" t="s">
        <v>727</v>
      </c>
      <c r="C54" s="0" t="s">
        <v>637</v>
      </c>
      <c r="D54" s="34" t="n">
        <v>1</v>
      </c>
      <c r="E54" s="34" t="n">
        <v>13</v>
      </c>
      <c r="F54" s="23" t="n">
        <v>160000</v>
      </c>
      <c r="G54" s="34" t="n">
        <v>0</v>
      </c>
      <c r="H54" s="20" t="s">
        <v>638</v>
      </c>
      <c r="I54" s="34" t="n">
        <v>1</v>
      </c>
    </row>
    <row r="55" customFormat="false" ht="15" hidden="false" customHeight="false" outlineLevel="0" collapsed="false">
      <c r="A55" s="0" t="s">
        <v>728</v>
      </c>
      <c r="B55" s="0" t="s">
        <v>729</v>
      </c>
      <c r="C55" s="0" t="s">
        <v>637</v>
      </c>
      <c r="D55" s="34" t="n">
        <v>1</v>
      </c>
      <c r="E55" s="34" t="n">
        <v>13</v>
      </c>
      <c r="F55" s="23" t="n">
        <v>150000</v>
      </c>
      <c r="G55" s="34" t="n">
        <v>0</v>
      </c>
      <c r="H55" s="20" t="s">
        <v>638</v>
      </c>
      <c r="I55" s="34" t="n">
        <v>1</v>
      </c>
    </row>
    <row r="56" customFormat="false" ht="15" hidden="false" customHeight="false" outlineLevel="0" collapsed="false">
      <c r="A56" s="0" t="s">
        <v>730</v>
      </c>
      <c r="B56" s="0" t="s">
        <v>731</v>
      </c>
      <c r="C56" s="0" t="s">
        <v>637</v>
      </c>
      <c r="D56" s="34" t="n">
        <v>1</v>
      </c>
      <c r="E56" s="34" t="n">
        <v>14</v>
      </c>
      <c r="F56" s="23" t="n">
        <v>190000</v>
      </c>
      <c r="G56" s="34" t="n">
        <v>0</v>
      </c>
      <c r="H56" s="20" t="s">
        <v>638</v>
      </c>
      <c r="I56" s="34" t="n">
        <v>1</v>
      </c>
    </row>
    <row r="57" customFormat="false" ht="15" hidden="false" customHeight="false" outlineLevel="0" collapsed="false">
      <c r="A57" s="0" t="s">
        <v>732</v>
      </c>
      <c r="B57" s="0" t="s">
        <v>733</v>
      </c>
      <c r="C57" s="0" t="s">
        <v>637</v>
      </c>
      <c r="D57" s="34" t="n">
        <v>1</v>
      </c>
      <c r="E57" s="34" t="n">
        <v>14</v>
      </c>
      <c r="F57" s="23" t="n">
        <v>150000</v>
      </c>
      <c r="G57" s="34" t="n">
        <v>0</v>
      </c>
      <c r="H57" s="20" t="s">
        <v>638</v>
      </c>
      <c r="I57" s="34" t="n">
        <v>1</v>
      </c>
    </row>
    <row r="58" customFormat="false" ht="15" hidden="false" customHeight="false" outlineLevel="0" collapsed="false">
      <c r="A58" s="0" t="s">
        <v>734</v>
      </c>
      <c r="B58" s="0" t="s">
        <v>654</v>
      </c>
      <c r="C58" s="0" t="s">
        <v>655</v>
      </c>
      <c r="D58" s="34" t="n">
        <v>1</v>
      </c>
      <c r="E58" s="34" t="n">
        <v>15</v>
      </c>
      <c r="F58" s="23" t="n">
        <v>130000</v>
      </c>
      <c r="G58" s="34" t="n">
        <v>0</v>
      </c>
      <c r="H58" s="20" t="s">
        <v>656</v>
      </c>
      <c r="I58" s="34" t="n">
        <v>1</v>
      </c>
    </row>
    <row r="59" customFormat="false" ht="15" hidden="false" customHeight="false" outlineLevel="0" collapsed="false">
      <c r="A59" s="0" t="s">
        <v>735</v>
      </c>
      <c r="B59" s="0" t="s">
        <v>736</v>
      </c>
      <c r="C59" s="0" t="s">
        <v>637</v>
      </c>
      <c r="D59" s="34" t="n">
        <v>1</v>
      </c>
      <c r="E59" s="34" t="n">
        <v>16</v>
      </c>
      <c r="F59" s="23" t="n">
        <v>150000</v>
      </c>
      <c r="G59" s="34" t="n">
        <v>0</v>
      </c>
      <c r="H59" s="20" t="s">
        <v>638</v>
      </c>
      <c r="I59" s="34" t="n">
        <v>1</v>
      </c>
    </row>
    <row r="60" customFormat="false" ht="15" hidden="false" customHeight="false" outlineLevel="0" collapsed="false">
      <c r="A60" s="0" t="s">
        <v>737</v>
      </c>
      <c r="B60" s="0" t="s">
        <v>724</v>
      </c>
      <c r="C60" s="0" t="s">
        <v>637</v>
      </c>
      <c r="D60" s="34" t="n">
        <v>1</v>
      </c>
      <c r="E60" s="34" t="n">
        <v>19</v>
      </c>
      <c r="F60" s="23" t="n">
        <v>150000</v>
      </c>
      <c r="G60" s="34" t="n">
        <v>0</v>
      </c>
      <c r="H60" s="20" t="s">
        <v>638</v>
      </c>
      <c r="I60" s="34" t="n">
        <v>1</v>
      </c>
    </row>
    <row r="61" customFormat="false" ht="15" hidden="false" customHeight="false" outlineLevel="0" collapsed="false">
      <c r="A61" s="0" t="s">
        <v>738</v>
      </c>
      <c r="B61" s="0" t="s">
        <v>739</v>
      </c>
      <c r="C61" s="0" t="s">
        <v>637</v>
      </c>
      <c r="D61" s="34" t="n">
        <v>1</v>
      </c>
      <c r="E61" s="34" t="n">
        <v>21</v>
      </c>
      <c r="F61" s="23" t="n">
        <v>150000</v>
      </c>
      <c r="G61" s="34" t="n">
        <v>0</v>
      </c>
      <c r="H61" s="20" t="s">
        <v>638</v>
      </c>
      <c r="I61" s="34" t="n">
        <v>1</v>
      </c>
    </row>
    <row r="62" customFormat="false" ht="15" hidden="false" customHeight="false" outlineLevel="0" collapsed="false">
      <c r="A62" s="0" t="s">
        <v>740</v>
      </c>
      <c r="B62" s="0" t="s">
        <v>741</v>
      </c>
      <c r="C62" s="0" t="s">
        <v>637</v>
      </c>
      <c r="D62" s="34" t="n">
        <v>1</v>
      </c>
      <c r="E62" s="34" t="n">
        <v>21</v>
      </c>
      <c r="F62" s="23" t="n">
        <v>190000</v>
      </c>
      <c r="G62" s="34" t="n">
        <v>0</v>
      </c>
      <c r="H62" s="20" t="s">
        <v>638</v>
      </c>
      <c r="I62" s="34" t="n">
        <v>1</v>
      </c>
    </row>
    <row r="63" customFormat="false" ht="15" hidden="false" customHeight="false" outlineLevel="0" collapsed="false">
      <c r="A63" s="0" t="s">
        <v>742</v>
      </c>
      <c r="B63" s="0" t="s">
        <v>731</v>
      </c>
      <c r="C63" s="0" t="s">
        <v>637</v>
      </c>
      <c r="D63" s="34" t="n">
        <v>1</v>
      </c>
      <c r="E63" s="34" t="n">
        <v>22</v>
      </c>
      <c r="F63" s="23" t="n">
        <v>190000</v>
      </c>
      <c r="G63" s="34" t="n">
        <v>0</v>
      </c>
      <c r="H63" s="20" t="s">
        <v>638</v>
      </c>
      <c r="I63" s="34" t="n">
        <v>1</v>
      </c>
    </row>
    <row r="64" customFormat="false" ht="15" hidden="false" customHeight="false" outlineLevel="0" collapsed="false">
      <c r="A64" s="0" t="s">
        <v>743</v>
      </c>
      <c r="B64" s="0" t="s">
        <v>662</v>
      </c>
      <c r="C64" s="0" t="s">
        <v>663</v>
      </c>
      <c r="D64" s="34" t="n">
        <v>1</v>
      </c>
      <c r="E64" s="34" t="n">
        <v>23</v>
      </c>
      <c r="F64" s="23" t="n">
        <v>150000</v>
      </c>
      <c r="G64" s="34" t="n">
        <v>0</v>
      </c>
      <c r="H64" s="20" t="s">
        <v>664</v>
      </c>
      <c r="I64" s="34" t="n">
        <v>1</v>
      </c>
    </row>
    <row r="65" customFormat="false" ht="15" hidden="false" customHeight="false" outlineLevel="0" collapsed="false">
      <c r="A65" s="0" t="s">
        <v>744</v>
      </c>
      <c r="B65" s="0" t="s">
        <v>745</v>
      </c>
      <c r="C65" s="0" t="s">
        <v>637</v>
      </c>
      <c r="D65" s="34" t="n">
        <v>1</v>
      </c>
      <c r="E65" s="34" t="n">
        <v>24</v>
      </c>
      <c r="F65" s="23" t="n">
        <v>150000</v>
      </c>
      <c r="G65" s="34" t="n">
        <v>0</v>
      </c>
      <c r="H65" s="20" t="s">
        <v>638</v>
      </c>
      <c r="I65" s="34" t="n">
        <v>1</v>
      </c>
    </row>
    <row r="66" customFormat="false" ht="15" hidden="false" customHeight="false" outlineLevel="0" collapsed="false">
      <c r="A66" s="0" t="s">
        <v>746</v>
      </c>
      <c r="B66" s="0" t="s">
        <v>747</v>
      </c>
      <c r="C66" s="0" t="s">
        <v>637</v>
      </c>
      <c r="D66" s="34" t="n">
        <v>1</v>
      </c>
      <c r="E66" s="34" t="n">
        <v>24</v>
      </c>
      <c r="F66" s="23" t="n">
        <v>160000</v>
      </c>
      <c r="G66" s="34" t="n">
        <v>0</v>
      </c>
      <c r="H66" s="20" t="s">
        <v>638</v>
      </c>
      <c r="I66" s="34" t="n">
        <v>1</v>
      </c>
    </row>
    <row r="67" customFormat="false" ht="15" hidden="false" customHeight="false" outlineLevel="0" collapsed="false">
      <c r="A67" s="0" t="s">
        <v>748</v>
      </c>
      <c r="B67" s="0" t="s">
        <v>654</v>
      </c>
      <c r="C67" s="0" t="s">
        <v>655</v>
      </c>
      <c r="D67" s="34" t="n">
        <v>1</v>
      </c>
      <c r="E67" s="34" t="n">
        <v>25</v>
      </c>
      <c r="F67" s="23" t="n">
        <v>130000</v>
      </c>
      <c r="G67" s="34" t="n">
        <v>0</v>
      </c>
      <c r="H67" s="20" t="s">
        <v>656</v>
      </c>
      <c r="I67" s="34" t="n">
        <v>1</v>
      </c>
    </row>
    <row r="68" customFormat="false" ht="15" hidden="false" customHeight="false" outlineLevel="0" collapsed="false">
      <c r="A68" s="0" t="s">
        <v>749</v>
      </c>
      <c r="B68" s="0" t="s">
        <v>750</v>
      </c>
      <c r="C68" s="0" t="s">
        <v>637</v>
      </c>
      <c r="D68" s="34" t="n">
        <v>1</v>
      </c>
      <c r="E68" s="34" t="n">
        <v>26</v>
      </c>
      <c r="F68" s="23" t="n">
        <v>150000</v>
      </c>
      <c r="G68" s="34" t="n">
        <v>0</v>
      </c>
      <c r="H68" s="20" t="s">
        <v>638</v>
      </c>
      <c r="I68" s="34" t="n">
        <v>1</v>
      </c>
    </row>
    <row r="69" customFormat="false" ht="15" hidden="false" customHeight="false" outlineLevel="0" collapsed="false">
      <c r="A69" s="0" t="s">
        <v>751</v>
      </c>
      <c r="B69" s="0" t="s">
        <v>741</v>
      </c>
      <c r="C69" s="0" t="s">
        <v>637</v>
      </c>
      <c r="D69" s="34" t="n">
        <v>1</v>
      </c>
      <c r="E69" s="34" t="n">
        <v>27</v>
      </c>
      <c r="F69" s="23" t="n">
        <v>190000</v>
      </c>
      <c r="G69" s="34" t="n">
        <v>0</v>
      </c>
      <c r="H69" s="20" t="s">
        <v>638</v>
      </c>
      <c r="I69" s="34" t="n">
        <v>1</v>
      </c>
    </row>
    <row r="70" customFormat="false" ht="15" hidden="false" customHeight="false" outlineLevel="0" collapsed="false">
      <c r="A70" s="0" t="s">
        <v>752</v>
      </c>
      <c r="B70" s="0" t="s">
        <v>662</v>
      </c>
      <c r="C70" s="0" t="s">
        <v>663</v>
      </c>
      <c r="D70" s="34" t="n">
        <v>1</v>
      </c>
      <c r="E70" s="34" t="n">
        <v>28</v>
      </c>
      <c r="F70" s="23" t="n">
        <v>150000</v>
      </c>
      <c r="G70" s="34" t="n">
        <v>0</v>
      </c>
      <c r="H70" s="20" t="s">
        <v>664</v>
      </c>
      <c r="I70" s="34" t="n">
        <v>1</v>
      </c>
    </row>
    <row r="71" customFormat="false" ht="15" hidden="false" customHeight="false" outlineLevel="0" collapsed="false">
      <c r="A71" s="0" t="s">
        <v>753</v>
      </c>
      <c r="B71" s="0" t="s">
        <v>750</v>
      </c>
      <c r="C71" s="0" t="s">
        <v>637</v>
      </c>
      <c r="D71" s="34" t="n">
        <v>1</v>
      </c>
      <c r="E71" s="34" t="n">
        <v>32</v>
      </c>
      <c r="F71" s="23" t="n">
        <v>150000</v>
      </c>
      <c r="G71" s="34" t="n">
        <v>0</v>
      </c>
      <c r="H71" s="20" t="s">
        <v>638</v>
      </c>
      <c r="I71" s="34" t="n">
        <v>1</v>
      </c>
    </row>
    <row r="72" customFormat="false" ht="15" hidden="false" customHeight="false" outlineLevel="0" collapsed="false">
      <c r="A72" s="0" t="s">
        <v>754</v>
      </c>
      <c r="B72" s="0" t="s">
        <v>741</v>
      </c>
      <c r="C72" s="0" t="s">
        <v>637</v>
      </c>
      <c r="D72" s="34" t="n">
        <v>1</v>
      </c>
      <c r="E72" s="34" t="n">
        <v>33</v>
      </c>
      <c r="F72" s="23" t="n">
        <v>190000</v>
      </c>
      <c r="G72" s="34" t="n">
        <v>0</v>
      </c>
      <c r="H72" s="20" t="s">
        <v>638</v>
      </c>
      <c r="I72" s="34" t="n">
        <v>1</v>
      </c>
    </row>
    <row r="73" customFormat="false" ht="15" hidden="false" customHeight="false" outlineLevel="0" collapsed="false">
      <c r="A73" s="0" t="s">
        <v>755</v>
      </c>
      <c r="B73" s="0" t="s">
        <v>750</v>
      </c>
      <c r="C73" s="0" t="s">
        <v>637</v>
      </c>
      <c r="D73" s="34" t="n">
        <v>1</v>
      </c>
      <c r="E73" s="34" t="n">
        <v>34</v>
      </c>
      <c r="F73" s="23" t="n">
        <v>150000</v>
      </c>
      <c r="G73" s="34" t="n">
        <v>0</v>
      </c>
      <c r="H73" s="20" t="s">
        <v>638</v>
      </c>
      <c r="I73" s="34" t="n">
        <v>1</v>
      </c>
    </row>
    <row r="74" customFormat="false" ht="15" hidden="false" customHeight="false" outlineLevel="0" collapsed="false">
      <c r="A74" s="0" t="s">
        <v>756</v>
      </c>
      <c r="B74" s="0" t="s">
        <v>747</v>
      </c>
      <c r="C74" s="0" t="s">
        <v>637</v>
      </c>
      <c r="D74" s="34" t="n">
        <v>1</v>
      </c>
      <c r="E74" s="34" t="n">
        <v>35</v>
      </c>
      <c r="F74" s="23" t="n">
        <v>160000</v>
      </c>
      <c r="G74" s="34" t="n">
        <v>0</v>
      </c>
      <c r="H74" s="20" t="s">
        <v>638</v>
      </c>
      <c r="I74" s="3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</cols>
  <sheetData>
    <row r="1" customFormat="false" ht="16.15" hidden="false" customHeight="false" outlineLevel="0" collapsed="false">
      <c r="A1" s="18" t="s">
        <v>757</v>
      </c>
    </row>
    <row r="3" customFormat="false" ht="15" hidden="false" customHeight="false" outlineLevel="0" collapsed="false">
      <c r="A3" s="8" t="s">
        <v>180</v>
      </c>
      <c r="B3" s="8" t="s">
        <v>758</v>
      </c>
      <c r="C3" s="8" t="n">
        <v>1</v>
      </c>
      <c r="D3" s="8" t="n">
        <v>2</v>
      </c>
      <c r="E3" s="8" t="n">
        <v>3</v>
      </c>
      <c r="F3" s="8" t="n">
        <v>4</v>
      </c>
      <c r="G3" s="8" t="n">
        <v>5</v>
      </c>
      <c r="H3" s="8" t="n">
        <v>6</v>
      </c>
      <c r="I3" s="8" t="n">
        <v>7</v>
      </c>
      <c r="J3" s="8" t="n">
        <v>8</v>
      </c>
      <c r="K3" s="8" t="n">
        <v>9</v>
      </c>
      <c r="L3" s="8" t="n">
        <v>10</v>
      </c>
      <c r="M3" s="8" t="n">
        <v>11</v>
      </c>
      <c r="N3" s="8" t="n">
        <v>12</v>
      </c>
      <c r="O3" s="8" t="n">
        <v>13</v>
      </c>
      <c r="P3" s="8" t="n">
        <v>14</v>
      </c>
      <c r="Q3" s="8" t="n">
        <v>15</v>
      </c>
      <c r="R3" s="8" t="n">
        <v>16</v>
      </c>
      <c r="S3" s="8" t="n">
        <v>17</v>
      </c>
      <c r="T3" s="8" t="n">
        <v>18</v>
      </c>
      <c r="U3" s="8" t="n">
        <v>19</v>
      </c>
      <c r="V3" s="8" t="n">
        <v>20</v>
      </c>
      <c r="W3" s="8" t="n">
        <v>21</v>
      </c>
      <c r="X3" s="8" t="n">
        <v>22</v>
      </c>
      <c r="Y3" s="8" t="n">
        <v>23</v>
      </c>
      <c r="Z3" s="8" t="n">
        <v>24</v>
      </c>
      <c r="AA3" s="8" t="n">
        <v>25</v>
      </c>
      <c r="AB3" s="8" t="n">
        <v>26</v>
      </c>
      <c r="AC3" s="8" t="n">
        <v>27</v>
      </c>
      <c r="AD3" s="8" t="n">
        <v>28</v>
      </c>
      <c r="AE3" s="8" t="n">
        <v>29</v>
      </c>
      <c r="AF3" s="8" t="n">
        <v>30</v>
      </c>
      <c r="AG3" s="8" t="n">
        <v>31</v>
      </c>
      <c r="AH3" s="8" t="n">
        <v>32</v>
      </c>
      <c r="AI3" s="8" t="n">
        <v>33</v>
      </c>
      <c r="AJ3" s="8" t="n">
        <v>34</v>
      </c>
      <c r="AK3" s="8" t="n">
        <v>35</v>
      </c>
      <c r="AL3" s="8" t="n">
        <v>36</v>
      </c>
      <c r="AM3" s="8" t="s">
        <v>759</v>
      </c>
    </row>
    <row r="5" customFormat="false" ht="15" hidden="false" customHeight="false" outlineLevel="0" collapsed="false">
      <c r="A5" s="0" t="s">
        <v>760</v>
      </c>
      <c r="B5" s="0" t="s">
        <v>761</v>
      </c>
      <c r="C5" s="34" t="n">
        <v>0</v>
      </c>
      <c r="D5" s="34" t="n">
        <v>1</v>
      </c>
      <c r="E5" s="34" t="n">
        <v>0</v>
      </c>
      <c r="F5" s="34" t="n">
        <v>0</v>
      </c>
      <c r="G5" s="34" t="n">
        <v>1</v>
      </c>
      <c r="H5" s="34" t="n">
        <v>0</v>
      </c>
      <c r="I5" s="34" t="n">
        <v>0</v>
      </c>
      <c r="J5" s="34" t="n">
        <v>2</v>
      </c>
      <c r="K5" s="34" t="n">
        <v>0</v>
      </c>
      <c r="L5" s="34" t="n">
        <v>0</v>
      </c>
      <c r="M5" s="34" t="n">
        <v>2</v>
      </c>
      <c r="N5" s="34" t="n">
        <v>0</v>
      </c>
      <c r="O5" s="34" t="n">
        <v>0</v>
      </c>
      <c r="P5" s="34" t="n">
        <v>3</v>
      </c>
      <c r="Q5" s="34" t="n">
        <v>0</v>
      </c>
      <c r="R5" s="34" t="n">
        <v>0</v>
      </c>
      <c r="S5" s="34" t="n">
        <v>3</v>
      </c>
      <c r="T5" s="34" t="n">
        <v>0</v>
      </c>
      <c r="U5" s="34" t="n">
        <v>0</v>
      </c>
      <c r="V5" s="34" t="n">
        <v>3</v>
      </c>
      <c r="W5" s="34" t="n">
        <v>0</v>
      </c>
      <c r="X5" s="34" t="n">
        <v>0</v>
      </c>
      <c r="Y5" s="34" t="n">
        <v>4</v>
      </c>
      <c r="Z5" s="34" t="n">
        <v>0</v>
      </c>
      <c r="AA5" s="34" t="n">
        <v>0</v>
      </c>
      <c r="AB5" s="34" t="n">
        <v>4</v>
      </c>
      <c r="AC5" s="34" t="n">
        <v>0</v>
      </c>
      <c r="AD5" s="34" t="n">
        <v>0</v>
      </c>
      <c r="AE5" s="34" t="n">
        <v>4</v>
      </c>
      <c r="AF5" s="34" t="n">
        <v>0</v>
      </c>
      <c r="AG5" s="34" t="n">
        <v>0</v>
      </c>
      <c r="AH5" s="34" t="n">
        <v>5</v>
      </c>
      <c r="AI5" s="34" t="n">
        <v>0</v>
      </c>
      <c r="AJ5" s="34" t="n">
        <v>0</v>
      </c>
      <c r="AK5" s="34" t="n">
        <v>5</v>
      </c>
      <c r="AL5" s="34" t="n">
        <v>0</v>
      </c>
      <c r="AM5" s="20" t="n">
        <f aca="false">SUM(C5:AL5)</f>
        <v>37</v>
      </c>
    </row>
    <row r="6" customFormat="false" ht="15" hidden="false" customHeight="false" outlineLevel="0" collapsed="false">
      <c r="A6" s="0" t="s">
        <v>762</v>
      </c>
      <c r="B6" s="0" t="s">
        <v>763</v>
      </c>
      <c r="C6" s="34" t="n">
        <v>0</v>
      </c>
      <c r="D6" s="34" t="n">
        <v>0</v>
      </c>
      <c r="E6" s="34" t="n">
        <v>0</v>
      </c>
      <c r="F6" s="34" t="n">
        <v>0</v>
      </c>
      <c r="G6" s="34" t="n">
        <v>1</v>
      </c>
      <c r="H6" s="34" t="n">
        <v>0</v>
      </c>
      <c r="I6" s="34" t="n">
        <v>0</v>
      </c>
      <c r="J6" s="34" t="n">
        <v>1</v>
      </c>
      <c r="K6" s="34" t="n">
        <v>0</v>
      </c>
      <c r="L6" s="34" t="n">
        <v>0</v>
      </c>
      <c r="M6" s="34" t="n">
        <v>1</v>
      </c>
      <c r="N6" s="34" t="n">
        <v>0</v>
      </c>
      <c r="O6" s="34" t="n">
        <v>0</v>
      </c>
      <c r="P6" s="34" t="n">
        <v>1</v>
      </c>
      <c r="Q6" s="34" t="n">
        <v>0</v>
      </c>
      <c r="R6" s="34" t="n">
        <v>0</v>
      </c>
      <c r="S6" s="34" t="n">
        <v>2</v>
      </c>
      <c r="T6" s="34" t="n">
        <v>0</v>
      </c>
      <c r="U6" s="34" t="n">
        <v>0</v>
      </c>
      <c r="V6" s="34" t="n">
        <v>2</v>
      </c>
      <c r="W6" s="34" t="n">
        <v>0</v>
      </c>
      <c r="X6" s="34" t="n">
        <v>0</v>
      </c>
      <c r="Y6" s="34" t="n">
        <v>2</v>
      </c>
      <c r="Z6" s="34" t="n">
        <v>0</v>
      </c>
      <c r="AA6" s="34" t="n">
        <v>0</v>
      </c>
      <c r="AB6" s="34" t="n">
        <v>2</v>
      </c>
      <c r="AC6" s="34" t="n">
        <v>0</v>
      </c>
      <c r="AD6" s="34" t="n">
        <v>0</v>
      </c>
      <c r="AE6" s="34" t="n">
        <v>3</v>
      </c>
      <c r="AF6" s="34" t="n">
        <v>0</v>
      </c>
      <c r="AG6" s="34" t="n">
        <v>0</v>
      </c>
      <c r="AH6" s="34" t="n">
        <v>3</v>
      </c>
      <c r="AI6" s="34" t="n">
        <v>0</v>
      </c>
      <c r="AJ6" s="34" t="n">
        <v>0</v>
      </c>
      <c r="AK6" s="34" t="n">
        <v>3</v>
      </c>
      <c r="AL6" s="34" t="n">
        <v>0</v>
      </c>
      <c r="AM6" s="20" t="n">
        <f aca="false">SUM(C6:AL6)</f>
        <v>21</v>
      </c>
    </row>
    <row r="7" customFormat="false" ht="15" hidden="false" customHeight="false" outlineLevel="0" collapsed="false">
      <c r="A7" s="0" t="s">
        <v>764</v>
      </c>
      <c r="B7" s="0" t="s">
        <v>765</v>
      </c>
      <c r="C7" s="34" t="n">
        <v>0</v>
      </c>
      <c r="D7" s="34" t="n">
        <v>0</v>
      </c>
      <c r="E7" s="34" t="n">
        <v>0</v>
      </c>
      <c r="F7" s="34" t="n">
        <v>0</v>
      </c>
      <c r="G7" s="34" t="n">
        <v>1</v>
      </c>
      <c r="H7" s="34" t="n">
        <v>0</v>
      </c>
      <c r="I7" s="34" t="n">
        <v>0</v>
      </c>
      <c r="J7" s="34" t="n">
        <v>0</v>
      </c>
      <c r="K7" s="34" t="n">
        <v>0</v>
      </c>
      <c r="L7" s="34" t="n">
        <v>0</v>
      </c>
      <c r="M7" s="34" t="n">
        <v>1</v>
      </c>
      <c r="N7" s="34" t="n">
        <v>0</v>
      </c>
      <c r="O7" s="34" t="n">
        <v>0</v>
      </c>
      <c r="P7" s="34" t="n">
        <v>1</v>
      </c>
      <c r="Q7" s="34" t="n">
        <v>0</v>
      </c>
      <c r="R7" s="34" t="n">
        <v>0</v>
      </c>
      <c r="S7" s="34" t="n">
        <v>1</v>
      </c>
      <c r="T7" s="34" t="n">
        <v>0</v>
      </c>
      <c r="U7" s="34" t="n">
        <v>0</v>
      </c>
      <c r="V7" s="34" t="n">
        <v>1</v>
      </c>
      <c r="W7" s="34" t="n">
        <v>0</v>
      </c>
      <c r="X7" s="34" t="n">
        <v>0</v>
      </c>
      <c r="Y7" s="34" t="n">
        <v>1</v>
      </c>
      <c r="Z7" s="34" t="n">
        <v>0</v>
      </c>
      <c r="AA7" s="34" t="n">
        <v>0</v>
      </c>
      <c r="AB7" s="34" t="n">
        <v>1</v>
      </c>
      <c r="AC7" s="34" t="n">
        <v>0</v>
      </c>
      <c r="AD7" s="34" t="n">
        <v>0</v>
      </c>
      <c r="AE7" s="34" t="n">
        <v>1</v>
      </c>
      <c r="AF7" s="34" t="n">
        <v>0</v>
      </c>
      <c r="AG7" s="34" t="n">
        <v>0</v>
      </c>
      <c r="AH7" s="34" t="n">
        <v>1</v>
      </c>
      <c r="AI7" s="34" t="n">
        <v>0</v>
      </c>
      <c r="AJ7" s="34" t="n">
        <v>0</v>
      </c>
      <c r="AK7" s="34" t="n">
        <v>1</v>
      </c>
      <c r="AL7" s="34" t="n">
        <v>0</v>
      </c>
      <c r="AM7" s="20" t="n">
        <f aca="false">SUM(C7:AL7)</f>
        <v>10</v>
      </c>
    </row>
    <row r="8" customFormat="false" ht="15" hidden="false" customHeight="false" outlineLevel="0" collapsed="false">
      <c r="A8" s="0" t="s">
        <v>766</v>
      </c>
      <c r="B8" s="0" t="s">
        <v>767</v>
      </c>
      <c r="C8" s="34" t="n">
        <v>0</v>
      </c>
      <c r="D8" s="34" t="n">
        <v>1</v>
      </c>
      <c r="E8" s="34" t="n">
        <v>0</v>
      </c>
      <c r="F8" s="34" t="n">
        <v>0</v>
      </c>
      <c r="G8" s="34" t="n">
        <v>1</v>
      </c>
      <c r="H8" s="34" t="n">
        <v>0</v>
      </c>
      <c r="I8" s="34" t="n">
        <v>0</v>
      </c>
      <c r="J8" s="34" t="n">
        <v>2</v>
      </c>
      <c r="K8" s="34" t="n">
        <v>0</v>
      </c>
      <c r="L8" s="34" t="n">
        <v>0</v>
      </c>
      <c r="M8" s="34" t="n">
        <v>2</v>
      </c>
      <c r="N8" s="34" t="n">
        <v>0</v>
      </c>
      <c r="O8" s="34" t="n">
        <v>0</v>
      </c>
      <c r="P8" s="34" t="n">
        <v>3</v>
      </c>
      <c r="Q8" s="34" t="n">
        <v>0</v>
      </c>
      <c r="R8" s="34" t="n">
        <v>0</v>
      </c>
      <c r="S8" s="34" t="n">
        <v>3</v>
      </c>
      <c r="T8" s="34" t="n">
        <v>0</v>
      </c>
      <c r="U8" s="34" t="n">
        <v>0</v>
      </c>
      <c r="V8" s="34" t="n">
        <v>3</v>
      </c>
      <c r="W8" s="34" t="n">
        <v>0</v>
      </c>
      <c r="X8" s="34" t="n">
        <v>0</v>
      </c>
      <c r="Y8" s="34" t="n">
        <v>3</v>
      </c>
      <c r="Z8" s="34" t="n">
        <v>0</v>
      </c>
      <c r="AA8" s="34" t="n">
        <v>0</v>
      </c>
      <c r="AB8" s="34" t="n">
        <v>3</v>
      </c>
      <c r="AC8" s="34" t="n">
        <v>0</v>
      </c>
      <c r="AD8" s="34" t="n">
        <v>0</v>
      </c>
      <c r="AE8" s="34" t="n">
        <v>3</v>
      </c>
      <c r="AF8" s="34" t="n">
        <v>0</v>
      </c>
      <c r="AG8" s="34" t="n">
        <v>0</v>
      </c>
      <c r="AH8" s="34" t="n">
        <v>3</v>
      </c>
      <c r="AI8" s="34" t="n">
        <v>0</v>
      </c>
      <c r="AJ8" s="34" t="n">
        <v>0</v>
      </c>
      <c r="AK8" s="34" t="n">
        <v>3</v>
      </c>
      <c r="AL8" s="34" t="n">
        <v>0</v>
      </c>
      <c r="AM8" s="20" t="n">
        <f aca="false">SUM(C8:AL8)</f>
        <v>30</v>
      </c>
    </row>
    <row r="9" customFormat="false" ht="15" hidden="false" customHeight="false" outlineLevel="0" collapsed="false">
      <c r="A9" s="0" t="s">
        <v>768</v>
      </c>
      <c r="B9" s="0" t="s">
        <v>769</v>
      </c>
      <c r="C9" s="34" t="n">
        <v>0</v>
      </c>
      <c r="D9" s="34" t="n">
        <v>0</v>
      </c>
      <c r="E9" s="34" t="n">
        <v>0</v>
      </c>
      <c r="F9" s="34" t="n">
        <v>0</v>
      </c>
      <c r="G9" s="34" t="n">
        <v>1</v>
      </c>
      <c r="H9" s="34" t="n">
        <v>0</v>
      </c>
      <c r="I9" s="34" t="n">
        <v>0</v>
      </c>
      <c r="J9" s="34" t="n">
        <v>1</v>
      </c>
      <c r="K9" s="34" t="n">
        <v>0</v>
      </c>
      <c r="L9" s="34" t="n">
        <v>0</v>
      </c>
      <c r="M9" s="34" t="n">
        <v>1</v>
      </c>
      <c r="N9" s="34" t="n">
        <v>0</v>
      </c>
      <c r="O9" s="34" t="n">
        <v>0</v>
      </c>
      <c r="P9" s="34" t="n">
        <v>2</v>
      </c>
      <c r="Q9" s="34" t="n">
        <v>0</v>
      </c>
      <c r="R9" s="34" t="n">
        <v>0</v>
      </c>
      <c r="S9" s="34" t="n">
        <v>2</v>
      </c>
      <c r="T9" s="34" t="n">
        <v>0</v>
      </c>
      <c r="U9" s="34" t="n">
        <v>0</v>
      </c>
      <c r="V9" s="34" t="n">
        <v>2</v>
      </c>
      <c r="W9" s="34" t="n">
        <v>0</v>
      </c>
      <c r="X9" s="34" t="n">
        <v>0</v>
      </c>
      <c r="Y9" s="34" t="n">
        <v>2</v>
      </c>
      <c r="Z9" s="34" t="n">
        <v>0</v>
      </c>
      <c r="AA9" s="34" t="n">
        <v>0</v>
      </c>
      <c r="AB9" s="34" t="n">
        <v>2</v>
      </c>
      <c r="AC9" s="34" t="n">
        <v>0</v>
      </c>
      <c r="AD9" s="34" t="n">
        <v>0</v>
      </c>
      <c r="AE9" s="34" t="n">
        <v>2</v>
      </c>
      <c r="AF9" s="34" t="n">
        <v>0</v>
      </c>
      <c r="AG9" s="34" t="n">
        <v>0</v>
      </c>
      <c r="AH9" s="34" t="n">
        <v>2</v>
      </c>
      <c r="AI9" s="34" t="n">
        <v>0</v>
      </c>
      <c r="AJ9" s="34" t="n">
        <v>0</v>
      </c>
      <c r="AK9" s="34" t="n">
        <v>2</v>
      </c>
      <c r="AL9" s="34" t="n">
        <v>0</v>
      </c>
      <c r="AM9" s="20" t="n">
        <f aca="false">SUM(C9:AL9)</f>
        <v>19</v>
      </c>
    </row>
    <row r="10" customFormat="false" ht="15" hidden="false" customHeight="false" outlineLevel="0" collapsed="false">
      <c r="A10" s="0" t="s">
        <v>770</v>
      </c>
      <c r="B10" s="0" t="s">
        <v>771</v>
      </c>
      <c r="C10" s="34" t="n">
        <v>0</v>
      </c>
      <c r="D10" s="34" t="n">
        <v>0</v>
      </c>
      <c r="E10" s="34" t="n">
        <v>0</v>
      </c>
      <c r="F10" s="34" t="n">
        <v>0</v>
      </c>
      <c r="G10" s="34" t="n">
        <v>0</v>
      </c>
      <c r="H10" s="34" t="n">
        <v>0</v>
      </c>
      <c r="I10" s="34" t="n">
        <v>0</v>
      </c>
      <c r="J10" s="34" t="n">
        <v>0</v>
      </c>
      <c r="K10" s="34" t="n">
        <v>0</v>
      </c>
      <c r="L10" s="34" t="n">
        <v>0</v>
      </c>
      <c r="M10" s="34" t="n">
        <v>1</v>
      </c>
      <c r="N10" s="34" t="n">
        <v>0</v>
      </c>
      <c r="O10" s="34" t="n">
        <v>0</v>
      </c>
      <c r="P10" s="34" t="n">
        <v>1</v>
      </c>
      <c r="Q10" s="34" t="n">
        <v>0</v>
      </c>
      <c r="R10" s="34" t="n">
        <v>0</v>
      </c>
      <c r="S10" s="34" t="n">
        <v>1</v>
      </c>
      <c r="T10" s="34" t="n">
        <v>0</v>
      </c>
      <c r="U10" s="34" t="n">
        <v>0</v>
      </c>
      <c r="V10" s="34" t="n">
        <v>1</v>
      </c>
      <c r="W10" s="34" t="n">
        <v>0</v>
      </c>
      <c r="X10" s="34" t="n">
        <v>0</v>
      </c>
      <c r="Y10" s="34" t="n">
        <v>1</v>
      </c>
      <c r="Z10" s="34" t="n">
        <v>0</v>
      </c>
      <c r="AA10" s="34" t="n">
        <v>0</v>
      </c>
      <c r="AB10" s="34" t="n">
        <v>1</v>
      </c>
      <c r="AC10" s="34" t="n">
        <v>0</v>
      </c>
      <c r="AD10" s="34" t="n">
        <v>0</v>
      </c>
      <c r="AE10" s="34" t="n">
        <v>1</v>
      </c>
      <c r="AF10" s="34" t="n">
        <v>0</v>
      </c>
      <c r="AG10" s="34" t="n">
        <v>0</v>
      </c>
      <c r="AH10" s="34" t="n">
        <v>1</v>
      </c>
      <c r="AI10" s="34" t="n">
        <v>0</v>
      </c>
      <c r="AJ10" s="34" t="n">
        <v>0</v>
      </c>
      <c r="AK10" s="34" t="n">
        <v>1</v>
      </c>
      <c r="AL10" s="34" t="n">
        <v>0</v>
      </c>
      <c r="AM10" s="20" t="n">
        <f aca="false">SUM(C10:AL10)</f>
        <v>9</v>
      </c>
    </row>
    <row r="11" customFormat="false" ht="15" hidden="false" customHeight="false" outlineLevel="0" collapsed="false">
      <c r="A11" s="0" t="s">
        <v>772</v>
      </c>
      <c r="B11" s="0" t="s">
        <v>773</v>
      </c>
      <c r="C11" s="34" t="n">
        <v>0</v>
      </c>
      <c r="D11" s="34" t="n">
        <v>0</v>
      </c>
      <c r="E11" s="34" t="n">
        <v>0</v>
      </c>
      <c r="F11" s="34" t="n">
        <v>0</v>
      </c>
      <c r="G11" s="34" t="n">
        <v>1</v>
      </c>
      <c r="H11" s="34" t="n">
        <v>0</v>
      </c>
      <c r="I11" s="34" t="n">
        <v>0</v>
      </c>
      <c r="J11" s="34" t="n">
        <v>0</v>
      </c>
      <c r="K11" s="34" t="n">
        <v>0</v>
      </c>
      <c r="L11" s="34" t="n">
        <v>0</v>
      </c>
      <c r="M11" s="34" t="n">
        <v>0</v>
      </c>
      <c r="N11" s="34" t="n">
        <v>0</v>
      </c>
      <c r="O11" s="34" t="n">
        <v>0</v>
      </c>
      <c r="P11" s="34" t="n">
        <v>0</v>
      </c>
      <c r="Q11" s="34" t="n">
        <v>0</v>
      </c>
      <c r="R11" s="34" t="n">
        <v>0</v>
      </c>
      <c r="S11" s="34" t="n">
        <v>0</v>
      </c>
      <c r="T11" s="34" t="n">
        <v>0</v>
      </c>
      <c r="U11" s="34" t="n">
        <v>0</v>
      </c>
      <c r="V11" s="34" t="n">
        <v>0</v>
      </c>
      <c r="W11" s="34" t="n">
        <v>0</v>
      </c>
      <c r="X11" s="34" t="n">
        <v>0</v>
      </c>
      <c r="Y11" s="34" t="n">
        <v>0</v>
      </c>
      <c r="Z11" s="34" t="n">
        <v>0</v>
      </c>
      <c r="AA11" s="34" t="n">
        <v>0</v>
      </c>
      <c r="AB11" s="34" t="n">
        <v>0</v>
      </c>
      <c r="AC11" s="34" t="n">
        <v>0</v>
      </c>
      <c r="AD11" s="34" t="n">
        <v>0</v>
      </c>
      <c r="AE11" s="34" t="n">
        <v>0</v>
      </c>
      <c r="AF11" s="34" t="n">
        <v>0</v>
      </c>
      <c r="AG11" s="34" t="n">
        <v>0</v>
      </c>
      <c r="AH11" s="34" t="n">
        <v>0</v>
      </c>
      <c r="AI11" s="34" t="n">
        <v>0</v>
      </c>
      <c r="AJ11" s="34" t="n">
        <v>0</v>
      </c>
      <c r="AK11" s="34" t="n">
        <v>0</v>
      </c>
      <c r="AL11" s="34" t="n">
        <v>0</v>
      </c>
      <c r="AM11" s="20" t="n">
        <f aca="false">SUM(C11:AL11)</f>
        <v>1</v>
      </c>
    </row>
    <row r="12" customFormat="false" ht="15" hidden="false" customHeight="false" outlineLevel="0" collapsed="false">
      <c r="A12" s="0" t="s">
        <v>774</v>
      </c>
      <c r="B12" s="0" t="s">
        <v>775</v>
      </c>
      <c r="C12" s="34" t="n">
        <v>0</v>
      </c>
      <c r="D12" s="34" t="n">
        <v>0</v>
      </c>
      <c r="E12" s="34" t="n">
        <v>0</v>
      </c>
      <c r="F12" s="34" t="n">
        <v>0</v>
      </c>
      <c r="G12" s="34" t="n">
        <v>0</v>
      </c>
      <c r="H12" s="34" t="n">
        <v>0</v>
      </c>
      <c r="I12" s="34" t="n">
        <v>0</v>
      </c>
      <c r="J12" s="34" t="n">
        <v>1</v>
      </c>
      <c r="K12" s="34" t="n">
        <v>0</v>
      </c>
      <c r="L12" s="34" t="n">
        <v>0</v>
      </c>
      <c r="M12" s="34" t="n">
        <v>0</v>
      </c>
      <c r="N12" s="34" t="n">
        <v>0</v>
      </c>
      <c r="O12" s="34" t="n">
        <v>0</v>
      </c>
      <c r="P12" s="34" t="n">
        <v>0</v>
      </c>
      <c r="Q12" s="34" t="n">
        <v>0</v>
      </c>
      <c r="R12" s="34" t="n">
        <v>0</v>
      </c>
      <c r="S12" s="34" t="n">
        <v>0</v>
      </c>
      <c r="T12" s="34" t="n">
        <v>0</v>
      </c>
      <c r="U12" s="34" t="n">
        <v>0</v>
      </c>
      <c r="V12" s="34" t="n">
        <v>0</v>
      </c>
      <c r="W12" s="34" t="n">
        <v>0</v>
      </c>
      <c r="X12" s="34" t="n">
        <v>0</v>
      </c>
      <c r="Y12" s="34" t="n">
        <v>0</v>
      </c>
      <c r="Z12" s="34" t="n">
        <v>0</v>
      </c>
      <c r="AA12" s="34" t="n">
        <v>0</v>
      </c>
      <c r="AB12" s="34" t="n">
        <v>0</v>
      </c>
      <c r="AC12" s="34" t="n">
        <v>0</v>
      </c>
      <c r="AD12" s="34" t="n">
        <v>0</v>
      </c>
      <c r="AE12" s="34" t="n">
        <v>0</v>
      </c>
      <c r="AF12" s="34" t="n">
        <v>0</v>
      </c>
      <c r="AG12" s="34" t="n">
        <v>0</v>
      </c>
      <c r="AH12" s="34" t="n">
        <v>0</v>
      </c>
      <c r="AI12" s="34" t="n">
        <v>0</v>
      </c>
      <c r="AJ12" s="34" t="n">
        <v>0</v>
      </c>
      <c r="AK12" s="34" t="n">
        <v>0</v>
      </c>
      <c r="AL12" s="34" t="n">
        <v>0</v>
      </c>
      <c r="AM12" s="20" t="n">
        <f aca="false">SUM(C12:AL12)</f>
        <v>1</v>
      </c>
    </row>
    <row r="13" customFormat="false" ht="15" hidden="false" customHeight="false" outlineLevel="0" collapsed="false">
      <c r="A13" s="0" t="s">
        <v>776</v>
      </c>
      <c r="B13" s="0" t="s">
        <v>777</v>
      </c>
      <c r="C13" s="34" t="n">
        <v>0</v>
      </c>
      <c r="D13" s="34" t="n">
        <v>0</v>
      </c>
      <c r="E13" s="34" t="n">
        <v>0</v>
      </c>
      <c r="F13" s="34" t="n">
        <v>0</v>
      </c>
      <c r="G13" s="34" t="n">
        <v>0</v>
      </c>
      <c r="H13" s="34" t="n">
        <v>0</v>
      </c>
      <c r="I13" s="34" t="n">
        <v>0</v>
      </c>
      <c r="J13" s="34" t="n">
        <v>0</v>
      </c>
      <c r="K13" s="34" t="n">
        <v>0</v>
      </c>
      <c r="L13" s="34" t="n">
        <v>0</v>
      </c>
      <c r="M13" s="34" t="n">
        <v>0</v>
      </c>
      <c r="N13" s="34" t="n">
        <v>0</v>
      </c>
      <c r="O13" s="34" t="n">
        <v>0</v>
      </c>
      <c r="P13" s="34" t="n">
        <v>0</v>
      </c>
      <c r="Q13" s="34" t="n">
        <v>0</v>
      </c>
      <c r="R13" s="34" t="n">
        <v>0</v>
      </c>
      <c r="S13" s="34" t="n">
        <v>0</v>
      </c>
      <c r="T13" s="34" t="n">
        <v>0</v>
      </c>
      <c r="U13" s="34" t="n">
        <v>0</v>
      </c>
      <c r="V13" s="34" t="n">
        <v>0</v>
      </c>
      <c r="W13" s="34" t="n">
        <v>0</v>
      </c>
      <c r="X13" s="34" t="n">
        <v>0</v>
      </c>
      <c r="Y13" s="34" t="n">
        <v>0</v>
      </c>
      <c r="Z13" s="34" t="n">
        <v>0</v>
      </c>
      <c r="AA13" s="34" t="n">
        <v>0</v>
      </c>
      <c r="AB13" s="34" t="n">
        <v>0</v>
      </c>
      <c r="AC13" s="34" t="n">
        <v>0</v>
      </c>
      <c r="AD13" s="34" t="n">
        <v>0</v>
      </c>
      <c r="AE13" s="34" t="n">
        <v>0</v>
      </c>
      <c r="AF13" s="34" t="n">
        <v>0</v>
      </c>
      <c r="AG13" s="34" t="n">
        <v>0</v>
      </c>
      <c r="AH13" s="34" t="n">
        <v>0</v>
      </c>
      <c r="AI13" s="34" t="n">
        <v>0</v>
      </c>
      <c r="AJ13" s="34" t="n">
        <v>0</v>
      </c>
      <c r="AK13" s="34" t="n">
        <v>0</v>
      </c>
      <c r="AL13" s="34" t="n">
        <v>0</v>
      </c>
      <c r="AM13" s="20" t="n">
        <f aca="false">SUM(C13:AL13)</f>
        <v>0</v>
      </c>
    </row>
    <row r="14" customFormat="false" ht="15" hidden="false" customHeight="false" outlineLevel="0" collapsed="false">
      <c r="A14" s="0" t="s">
        <v>778</v>
      </c>
      <c r="B14" s="0" t="s">
        <v>779</v>
      </c>
      <c r="C14" s="34" t="n">
        <v>0</v>
      </c>
      <c r="D14" s="34" t="n">
        <v>0</v>
      </c>
      <c r="E14" s="34" t="n">
        <v>0</v>
      </c>
      <c r="F14" s="34" t="n">
        <v>0</v>
      </c>
      <c r="G14" s="34" t="n">
        <v>0</v>
      </c>
      <c r="H14" s="34" t="n">
        <v>0</v>
      </c>
      <c r="I14" s="34" t="n">
        <v>0</v>
      </c>
      <c r="J14" s="34" t="n">
        <v>0</v>
      </c>
      <c r="K14" s="34" t="n">
        <v>0</v>
      </c>
      <c r="L14" s="34" t="n">
        <v>0</v>
      </c>
      <c r="M14" s="34" t="n">
        <v>0</v>
      </c>
      <c r="N14" s="34" t="n">
        <v>0</v>
      </c>
      <c r="O14" s="34" t="n">
        <v>0</v>
      </c>
      <c r="P14" s="34" t="n">
        <v>0</v>
      </c>
      <c r="Q14" s="34" t="n">
        <v>0</v>
      </c>
      <c r="R14" s="34" t="n">
        <v>0</v>
      </c>
      <c r="S14" s="34" t="n">
        <v>0</v>
      </c>
      <c r="T14" s="34" t="n">
        <v>0</v>
      </c>
      <c r="U14" s="34" t="n">
        <v>0</v>
      </c>
      <c r="V14" s="34" t="n">
        <v>0</v>
      </c>
      <c r="W14" s="34" t="n">
        <v>0</v>
      </c>
      <c r="X14" s="34" t="n">
        <v>0</v>
      </c>
      <c r="Y14" s="34" t="n">
        <v>0</v>
      </c>
      <c r="Z14" s="34" t="n">
        <v>0</v>
      </c>
      <c r="AA14" s="34" t="n">
        <v>3</v>
      </c>
      <c r="AB14" s="34" t="n">
        <v>3</v>
      </c>
      <c r="AC14" s="34" t="n">
        <v>3</v>
      </c>
      <c r="AD14" s="34" t="n">
        <v>3</v>
      </c>
      <c r="AE14" s="34" t="n">
        <v>3</v>
      </c>
      <c r="AF14" s="34" t="n">
        <v>3</v>
      </c>
      <c r="AG14" s="34" t="n">
        <v>6</v>
      </c>
      <c r="AH14" s="34" t="n">
        <v>6</v>
      </c>
      <c r="AI14" s="34" t="n">
        <v>6</v>
      </c>
      <c r="AJ14" s="34" t="n">
        <v>6</v>
      </c>
      <c r="AK14" s="34" t="n">
        <v>6</v>
      </c>
      <c r="AL14" s="34" t="n">
        <v>6</v>
      </c>
      <c r="AM14" s="20" t="n">
        <f aca="false">SUM(C14:AL14)</f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3" topLeftCell="C24" activePane="bottomRight" state="frozen"/>
      <selection pane="topLeft" activeCell="A1" activeCellId="0" sqref="A1"/>
      <selection pane="topRight" activeCell="C1" activeCellId="0" sqref="C1"/>
      <selection pane="bottomLeft" activeCell="A24" activeCellId="0" sqref="A2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9"/>
    <col collapsed="false" customWidth="true" hidden="false" outlineLevel="0" max="38" min="3" style="0" width="11"/>
    <col collapsed="false" customWidth="true" hidden="false" outlineLevel="0" max="39" min="39" style="0" width="3"/>
    <col collapsed="false" customWidth="true" hidden="false" outlineLevel="0" max="42" min="40" style="0" width="14"/>
  </cols>
  <sheetData>
    <row r="1" customFormat="false" ht="16.15" hidden="false" customHeight="false" outlineLevel="0" collapsed="false">
      <c r="A1" s="18" t="s">
        <v>780</v>
      </c>
    </row>
    <row r="2" customFormat="false" ht="15" hidden="false" customHeight="false" outlineLevel="0" collapsed="false">
      <c r="A2" s="0" t="s">
        <v>781</v>
      </c>
    </row>
    <row r="3" customFormat="false" ht="15" hidden="false" customHeight="false" outlineLevel="0" collapsed="false">
      <c r="A3" s="15" t="s">
        <v>782</v>
      </c>
    </row>
    <row r="4" customFormat="false" ht="15" hidden="false" customHeight="false" outlineLevel="0" collapsed="false">
      <c r="A4" s="0" t="s">
        <v>159</v>
      </c>
      <c r="B4" s="0" t="s">
        <v>160</v>
      </c>
      <c r="C4" s="0" t="n">
        <f aca="false">Scenarios!C4</f>
        <v>0.6</v>
      </c>
    </row>
    <row r="5" customFormat="false" ht="15" hidden="false" customHeight="false" outlineLevel="0" collapsed="false">
      <c r="A5" s="0" t="s">
        <v>161</v>
      </c>
      <c r="B5" s="0" t="s">
        <v>160</v>
      </c>
      <c r="C5" s="0" t="n">
        <f aca="false">Scenarios!C5</f>
        <v>0.8</v>
      </c>
    </row>
    <row r="6" customFormat="false" ht="15" hidden="false" customHeight="false" outlineLevel="0" collapsed="false">
      <c r="A6" s="0" t="s">
        <v>162</v>
      </c>
      <c r="B6" s="0" t="s">
        <v>160</v>
      </c>
      <c r="C6" s="0" t="n">
        <f aca="false">Scenarios!C6</f>
        <v>1.25</v>
      </c>
    </row>
    <row r="7" customFormat="false" ht="15" hidden="false" customHeight="false" outlineLevel="0" collapsed="false">
      <c r="A7" s="0" t="s">
        <v>163</v>
      </c>
      <c r="B7" s="0" t="s">
        <v>160</v>
      </c>
      <c r="C7" s="0" t="n">
        <f aca="false">Scenarios!C7</f>
        <v>0.6</v>
      </c>
    </row>
    <row r="8" customFormat="false" ht="15" hidden="false" customHeight="false" outlineLevel="0" collapsed="false">
      <c r="A8" s="0" t="s">
        <v>164</v>
      </c>
      <c r="B8" s="0" t="s">
        <v>160</v>
      </c>
      <c r="C8" s="0" t="n">
        <f aca="false">Scenarios!C8</f>
        <v>0.8</v>
      </c>
    </row>
    <row r="9" customFormat="false" ht="15" hidden="false" customHeight="false" outlineLevel="0" collapsed="false">
      <c r="A9" s="0" t="s">
        <v>165</v>
      </c>
      <c r="B9" s="0" t="s">
        <v>166</v>
      </c>
      <c r="C9" s="0" t="n">
        <f aca="false">Scenarios!C9</f>
        <v>2</v>
      </c>
    </row>
    <row r="10" customFormat="false" ht="15" hidden="false" customHeight="false" outlineLevel="0" collapsed="false">
      <c r="A10" s="0" t="s">
        <v>168</v>
      </c>
      <c r="B10" s="0" t="s">
        <v>160</v>
      </c>
      <c r="C10" s="0" t="n">
        <f aca="false">Scenarios!C10</f>
        <v>0.95</v>
      </c>
    </row>
    <row r="11" customFormat="false" ht="15" hidden="false" customHeight="false" outlineLevel="0" collapsed="false">
      <c r="A11" s="0" t="s">
        <v>169</v>
      </c>
      <c r="B11" s="0" t="s">
        <v>160</v>
      </c>
      <c r="C11" s="0" t="n">
        <f aca="false">Scenarios!C11</f>
        <v>1.25</v>
      </c>
    </row>
    <row r="12" customFormat="false" ht="15" hidden="false" customHeight="false" outlineLevel="0" collapsed="false">
      <c r="A12" s="0" t="s">
        <v>170</v>
      </c>
      <c r="B12" s="0" t="s">
        <v>160</v>
      </c>
      <c r="C12" s="0" t="n">
        <f aca="false">Scenarios!C12</f>
        <v>1</v>
      </c>
    </row>
    <row r="13" customFormat="false" ht="15" hidden="false" customHeight="false" outlineLevel="0" collapsed="false">
      <c r="A13" s="0" t="s">
        <v>171</v>
      </c>
      <c r="B13" s="0" t="s">
        <v>160</v>
      </c>
      <c r="C13" s="0" t="n">
        <f aca="false">Scenarios!C13</f>
        <v>1</v>
      </c>
    </row>
    <row r="14" customFormat="false" ht="15" hidden="false" customHeight="false" outlineLevel="0" collapsed="false">
      <c r="A14" s="0" t="s">
        <v>172</v>
      </c>
      <c r="B14" s="0" t="s">
        <v>173</v>
      </c>
      <c r="C14" s="0" t="n">
        <f aca="false">Scenarios!C14</f>
        <v>0</v>
      </c>
    </row>
    <row r="15" customFormat="false" ht="15" hidden="false" customHeight="false" outlineLevel="0" collapsed="false">
      <c r="A15" s="0" t="s">
        <v>174</v>
      </c>
      <c r="B15" s="0" t="s">
        <v>166</v>
      </c>
      <c r="C15" s="0" t="n">
        <f aca="false">Scenarios!C15</f>
        <v>0</v>
      </c>
    </row>
    <row r="16" customFormat="false" ht="15" hidden="false" customHeight="false" outlineLevel="0" collapsed="false">
      <c r="A16" s="0" t="s">
        <v>176</v>
      </c>
      <c r="B16" s="0" t="s">
        <v>173</v>
      </c>
      <c r="C16" s="0" t="n">
        <f aca="false">Scenarios!C16</f>
        <v>0</v>
      </c>
    </row>
    <row r="18" customFormat="false" ht="15" hidden="false" customHeight="false" outlineLevel="0" collapsed="false">
      <c r="A18" s="8" t="s">
        <v>98</v>
      </c>
      <c r="B18" s="8"/>
      <c r="C18" s="8" t="n">
        <v>1</v>
      </c>
      <c r="D18" s="8" t="n">
        <v>2</v>
      </c>
      <c r="E18" s="8" t="n">
        <v>3</v>
      </c>
      <c r="F18" s="8" t="n">
        <v>4</v>
      </c>
      <c r="G18" s="8" t="n">
        <v>5</v>
      </c>
      <c r="H18" s="8" t="n">
        <v>6</v>
      </c>
      <c r="I18" s="8" t="n">
        <v>7</v>
      </c>
      <c r="J18" s="8" t="n">
        <v>8</v>
      </c>
      <c r="K18" s="8" t="n">
        <v>9</v>
      </c>
      <c r="L18" s="8" t="n">
        <v>10</v>
      </c>
      <c r="M18" s="8" t="n">
        <v>11</v>
      </c>
      <c r="N18" s="8" t="n">
        <v>12</v>
      </c>
      <c r="O18" s="8" t="n">
        <v>13</v>
      </c>
      <c r="P18" s="8" t="n">
        <v>14</v>
      </c>
      <c r="Q18" s="8" t="n">
        <v>15</v>
      </c>
      <c r="R18" s="8" t="n">
        <v>16</v>
      </c>
      <c r="S18" s="8" t="n">
        <v>17</v>
      </c>
      <c r="T18" s="8" t="n">
        <v>18</v>
      </c>
      <c r="U18" s="8" t="n">
        <v>19</v>
      </c>
      <c r="V18" s="8" t="n">
        <v>20</v>
      </c>
      <c r="W18" s="8" t="n">
        <v>21</v>
      </c>
      <c r="X18" s="8" t="n">
        <v>22</v>
      </c>
      <c r="Y18" s="8" t="n">
        <v>23</v>
      </c>
      <c r="Z18" s="8" t="n">
        <v>24</v>
      </c>
      <c r="AA18" s="8" t="n">
        <v>25</v>
      </c>
      <c r="AB18" s="8" t="n">
        <v>26</v>
      </c>
      <c r="AC18" s="8" t="n">
        <v>27</v>
      </c>
      <c r="AD18" s="8" t="n">
        <v>28</v>
      </c>
      <c r="AE18" s="8" t="n">
        <v>29</v>
      </c>
      <c r="AF18" s="8" t="n">
        <v>30</v>
      </c>
      <c r="AG18" s="8" t="n">
        <v>31</v>
      </c>
      <c r="AH18" s="8" t="n">
        <v>32</v>
      </c>
      <c r="AI18" s="8" t="n">
        <v>33</v>
      </c>
      <c r="AJ18" s="8" t="n">
        <v>34</v>
      </c>
      <c r="AK18" s="8" t="n">
        <v>35</v>
      </c>
      <c r="AL18" s="8" t="n">
        <v>36</v>
      </c>
      <c r="AM18" s="8"/>
      <c r="AN18" s="8" t="s">
        <v>783</v>
      </c>
      <c r="AO18" s="8" t="s">
        <v>784</v>
      </c>
      <c r="AP18" s="8" t="s">
        <v>785</v>
      </c>
    </row>
    <row r="19" customFormat="false" ht="15" hidden="false" customHeight="false" outlineLevel="0" collapsed="false">
      <c r="A19" s="0" t="s">
        <v>786</v>
      </c>
      <c r="C19" s="0" t="s">
        <v>787</v>
      </c>
      <c r="D19" s="0" t="s">
        <v>788</v>
      </c>
      <c r="E19" s="0" t="s">
        <v>789</v>
      </c>
      <c r="F19" s="0" t="s">
        <v>790</v>
      </c>
      <c r="G19" s="0" t="s">
        <v>791</v>
      </c>
      <c r="H19" s="0" t="s">
        <v>792</v>
      </c>
      <c r="I19" s="0" t="s">
        <v>793</v>
      </c>
      <c r="J19" s="0" t="s">
        <v>794</v>
      </c>
      <c r="K19" s="0" t="s">
        <v>795</v>
      </c>
      <c r="L19" s="0" t="s">
        <v>796</v>
      </c>
      <c r="M19" s="0" t="s">
        <v>797</v>
      </c>
      <c r="N19" s="0" t="s">
        <v>798</v>
      </c>
      <c r="O19" s="0" t="s">
        <v>799</v>
      </c>
      <c r="P19" s="0" t="s">
        <v>800</v>
      </c>
      <c r="Q19" s="0" t="s">
        <v>801</v>
      </c>
      <c r="R19" s="0" t="s">
        <v>802</v>
      </c>
      <c r="S19" s="0" t="s">
        <v>803</v>
      </c>
      <c r="T19" s="0" t="s">
        <v>804</v>
      </c>
      <c r="U19" s="0" t="s">
        <v>805</v>
      </c>
      <c r="V19" s="0" t="s">
        <v>806</v>
      </c>
      <c r="W19" s="0" t="s">
        <v>807</v>
      </c>
      <c r="X19" s="0" t="s">
        <v>808</v>
      </c>
      <c r="Y19" s="0" t="s">
        <v>809</v>
      </c>
      <c r="Z19" s="0" t="s">
        <v>810</v>
      </c>
      <c r="AA19" s="0" t="s">
        <v>811</v>
      </c>
      <c r="AB19" s="0" t="s">
        <v>812</v>
      </c>
      <c r="AC19" s="0" t="s">
        <v>813</v>
      </c>
      <c r="AD19" s="0" t="s">
        <v>814</v>
      </c>
      <c r="AE19" s="0" t="s">
        <v>815</v>
      </c>
      <c r="AF19" s="0" t="s">
        <v>816</v>
      </c>
      <c r="AG19" s="0" t="s">
        <v>817</v>
      </c>
      <c r="AH19" s="0" t="s">
        <v>818</v>
      </c>
      <c r="AI19" s="0" t="s">
        <v>819</v>
      </c>
      <c r="AJ19" s="0" t="s">
        <v>820</v>
      </c>
      <c r="AK19" s="0" t="s">
        <v>821</v>
      </c>
      <c r="AL19" s="0" t="s">
        <v>822</v>
      </c>
      <c r="AN19" s="0" t="s">
        <v>823</v>
      </c>
      <c r="AO19" s="0" t="s">
        <v>824</v>
      </c>
      <c r="AP19" s="0" t="s">
        <v>825</v>
      </c>
    </row>
    <row r="20" customFormat="false" ht="15" hidden="false" customHeight="false" outlineLevel="0" collapsed="false">
      <c r="A20" s="0" t="s">
        <v>826</v>
      </c>
      <c r="C20" s="0" t="n">
        <f aca="false">INT((C18-1)/12)+1</f>
        <v>1</v>
      </c>
      <c r="D20" s="0" t="n">
        <f aca="false">INT((D18-1)/12)+1</f>
        <v>1</v>
      </c>
      <c r="E20" s="0" t="n">
        <f aca="false">INT((E18-1)/12)+1</f>
        <v>1</v>
      </c>
      <c r="F20" s="0" t="n">
        <f aca="false">INT((F18-1)/12)+1</f>
        <v>1</v>
      </c>
      <c r="G20" s="0" t="n">
        <f aca="false">INT((G18-1)/12)+1</f>
        <v>1</v>
      </c>
      <c r="H20" s="0" t="n">
        <f aca="false">INT((H18-1)/12)+1</f>
        <v>1</v>
      </c>
      <c r="I20" s="0" t="n">
        <f aca="false">INT((I18-1)/12)+1</f>
        <v>1</v>
      </c>
      <c r="J20" s="0" t="n">
        <f aca="false">INT((J18-1)/12)+1</f>
        <v>1</v>
      </c>
      <c r="K20" s="0" t="n">
        <f aca="false">INT((K18-1)/12)+1</f>
        <v>1</v>
      </c>
      <c r="L20" s="0" t="n">
        <f aca="false">INT((L18-1)/12)+1</f>
        <v>1</v>
      </c>
      <c r="M20" s="0" t="n">
        <f aca="false">INT((M18-1)/12)+1</f>
        <v>1</v>
      </c>
      <c r="N20" s="0" t="n">
        <f aca="false">INT((N18-1)/12)+1</f>
        <v>1</v>
      </c>
      <c r="O20" s="0" t="n">
        <f aca="false">INT((O18-1)/12)+1</f>
        <v>2</v>
      </c>
      <c r="P20" s="0" t="n">
        <f aca="false">INT((P18-1)/12)+1</f>
        <v>2</v>
      </c>
      <c r="Q20" s="0" t="n">
        <f aca="false">INT((Q18-1)/12)+1</f>
        <v>2</v>
      </c>
      <c r="R20" s="0" t="n">
        <f aca="false">INT((R18-1)/12)+1</f>
        <v>2</v>
      </c>
      <c r="S20" s="0" t="n">
        <f aca="false">INT((S18-1)/12)+1</f>
        <v>2</v>
      </c>
      <c r="T20" s="0" t="n">
        <f aca="false">INT((T18-1)/12)+1</f>
        <v>2</v>
      </c>
      <c r="U20" s="0" t="n">
        <f aca="false">INT((U18-1)/12)+1</f>
        <v>2</v>
      </c>
      <c r="V20" s="0" t="n">
        <f aca="false">INT((V18-1)/12)+1</f>
        <v>2</v>
      </c>
      <c r="W20" s="0" t="n">
        <f aca="false">INT((W18-1)/12)+1</f>
        <v>2</v>
      </c>
      <c r="X20" s="0" t="n">
        <f aca="false">INT((X18-1)/12)+1</f>
        <v>2</v>
      </c>
      <c r="Y20" s="0" t="n">
        <f aca="false">INT((Y18-1)/12)+1</f>
        <v>2</v>
      </c>
      <c r="Z20" s="0" t="n">
        <f aca="false">INT((Z18-1)/12)+1</f>
        <v>2</v>
      </c>
      <c r="AA20" s="0" t="n">
        <f aca="false">INT((AA18-1)/12)+1</f>
        <v>3</v>
      </c>
      <c r="AB20" s="0" t="n">
        <f aca="false">INT((AB18-1)/12)+1</f>
        <v>3</v>
      </c>
      <c r="AC20" s="0" t="n">
        <f aca="false">INT((AC18-1)/12)+1</f>
        <v>3</v>
      </c>
      <c r="AD20" s="0" t="n">
        <f aca="false">INT((AD18-1)/12)+1</f>
        <v>3</v>
      </c>
      <c r="AE20" s="0" t="n">
        <f aca="false">INT((AE18-1)/12)+1</f>
        <v>3</v>
      </c>
      <c r="AF20" s="0" t="n">
        <f aca="false">INT((AF18-1)/12)+1</f>
        <v>3</v>
      </c>
      <c r="AG20" s="0" t="n">
        <f aca="false">INT((AG18-1)/12)+1</f>
        <v>3</v>
      </c>
      <c r="AH20" s="0" t="n">
        <f aca="false">INT((AH18-1)/12)+1</f>
        <v>3</v>
      </c>
      <c r="AI20" s="0" t="n">
        <f aca="false">INT((AI18-1)/12)+1</f>
        <v>3</v>
      </c>
      <c r="AJ20" s="0" t="n">
        <f aca="false">INT((AJ18-1)/12)+1</f>
        <v>3</v>
      </c>
      <c r="AK20" s="0" t="n">
        <f aca="false">INT((AK18-1)/12)+1</f>
        <v>3</v>
      </c>
      <c r="AL20" s="0" t="n">
        <f aca="false">INT((AL18-1)/12)+1</f>
        <v>3</v>
      </c>
    </row>
    <row r="21" customFormat="false" ht="15" hidden="false" customHeight="false" outlineLevel="0" collapsed="false">
      <c r="A21" s="0" t="s">
        <v>827</v>
      </c>
      <c r="C21" s="0" t="n">
        <f aca="false">MOD(C18-1,12)+1</f>
        <v>1</v>
      </c>
      <c r="D21" s="0" t="n">
        <f aca="false">MOD(D18-1,12)+1</f>
        <v>2</v>
      </c>
      <c r="E21" s="0" t="n">
        <f aca="false">MOD(E18-1,12)+1</f>
        <v>3</v>
      </c>
      <c r="F21" s="0" t="n">
        <f aca="false">MOD(F18-1,12)+1</f>
        <v>4</v>
      </c>
      <c r="G21" s="0" t="n">
        <f aca="false">MOD(G18-1,12)+1</f>
        <v>5</v>
      </c>
      <c r="H21" s="0" t="n">
        <f aca="false">MOD(H18-1,12)+1</f>
        <v>6</v>
      </c>
      <c r="I21" s="0" t="n">
        <f aca="false">MOD(I18-1,12)+1</f>
        <v>7</v>
      </c>
      <c r="J21" s="0" t="n">
        <f aca="false">MOD(J18-1,12)+1</f>
        <v>8</v>
      </c>
      <c r="K21" s="0" t="n">
        <f aca="false">MOD(K18-1,12)+1</f>
        <v>9</v>
      </c>
      <c r="L21" s="0" t="n">
        <f aca="false">MOD(L18-1,12)+1</f>
        <v>10</v>
      </c>
      <c r="M21" s="0" t="n">
        <f aca="false">MOD(M18-1,12)+1</f>
        <v>11</v>
      </c>
      <c r="N21" s="0" t="n">
        <f aca="false">MOD(N18-1,12)+1</f>
        <v>12</v>
      </c>
      <c r="O21" s="0" t="n">
        <f aca="false">MOD(O18-1,12)+1</f>
        <v>1</v>
      </c>
      <c r="P21" s="0" t="n">
        <f aca="false">MOD(P18-1,12)+1</f>
        <v>2</v>
      </c>
      <c r="Q21" s="0" t="n">
        <f aca="false">MOD(Q18-1,12)+1</f>
        <v>3</v>
      </c>
      <c r="R21" s="0" t="n">
        <f aca="false">MOD(R18-1,12)+1</f>
        <v>4</v>
      </c>
      <c r="S21" s="0" t="n">
        <f aca="false">MOD(S18-1,12)+1</f>
        <v>5</v>
      </c>
      <c r="T21" s="0" t="n">
        <f aca="false">MOD(T18-1,12)+1</f>
        <v>6</v>
      </c>
      <c r="U21" s="0" t="n">
        <f aca="false">MOD(U18-1,12)+1</f>
        <v>7</v>
      </c>
      <c r="V21" s="0" t="n">
        <f aca="false">MOD(V18-1,12)+1</f>
        <v>8</v>
      </c>
      <c r="W21" s="0" t="n">
        <f aca="false">MOD(W18-1,12)+1</f>
        <v>9</v>
      </c>
      <c r="X21" s="0" t="n">
        <f aca="false">MOD(X18-1,12)+1</f>
        <v>10</v>
      </c>
      <c r="Y21" s="0" t="n">
        <f aca="false">MOD(Y18-1,12)+1</f>
        <v>11</v>
      </c>
      <c r="Z21" s="0" t="n">
        <f aca="false">MOD(Z18-1,12)+1</f>
        <v>12</v>
      </c>
      <c r="AA21" s="0" t="n">
        <f aca="false">MOD(AA18-1,12)+1</f>
        <v>1</v>
      </c>
      <c r="AB21" s="0" t="n">
        <f aca="false">MOD(AB18-1,12)+1</f>
        <v>2</v>
      </c>
      <c r="AC21" s="0" t="n">
        <f aca="false">MOD(AC18-1,12)+1</f>
        <v>3</v>
      </c>
      <c r="AD21" s="0" t="n">
        <f aca="false">MOD(AD18-1,12)+1</f>
        <v>4</v>
      </c>
      <c r="AE21" s="0" t="n">
        <f aca="false">MOD(AE18-1,12)+1</f>
        <v>5</v>
      </c>
      <c r="AF21" s="0" t="n">
        <f aca="false">MOD(AF18-1,12)+1</f>
        <v>6</v>
      </c>
      <c r="AG21" s="0" t="n">
        <f aca="false">MOD(AG18-1,12)+1</f>
        <v>7</v>
      </c>
      <c r="AH21" s="0" t="n">
        <f aca="false">MOD(AH18-1,12)+1</f>
        <v>8</v>
      </c>
      <c r="AI21" s="0" t="n">
        <f aca="false">MOD(AI18-1,12)+1</f>
        <v>9</v>
      </c>
      <c r="AJ21" s="0" t="n">
        <f aca="false">MOD(AJ18-1,12)+1</f>
        <v>10</v>
      </c>
      <c r="AK21" s="0" t="n">
        <f aca="false">MOD(AK18-1,12)+1</f>
        <v>11</v>
      </c>
      <c r="AL21" s="0" t="n">
        <f aca="false">MOD(AL18-1,12)+1</f>
        <v>12</v>
      </c>
    </row>
    <row r="23" customFormat="false" ht="15" hidden="false" customHeight="false" outlineLevel="0" collapsed="false">
      <c r="A23" s="21" t="s">
        <v>828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</row>
    <row r="24" customFormat="false" ht="15" hidden="false" customHeight="false" outlineLevel="0" collapsed="false">
      <c r="A24" s="0" t="s">
        <v>829</v>
      </c>
      <c r="B24" s="0" t="s">
        <v>500</v>
      </c>
      <c r="C24" s="9" t="n">
        <f aca="false">IF((C$18=1),Assumptions!$C$16,(0*(1+Assumptions!$C$133)))</f>
        <v>1200</v>
      </c>
      <c r="D24" s="9" t="n">
        <f aca="false">IF((D$18=1),Assumptions!$C$16,(C24*(1+Assumptions!$C$133)))</f>
        <v>1272</v>
      </c>
      <c r="E24" s="9" t="n">
        <f aca="false">IF((E$18=1),Assumptions!$C$16,(D24*(1+Assumptions!$C$133)))</f>
        <v>1348.32</v>
      </c>
      <c r="F24" s="9" t="n">
        <f aca="false">IF((F$18=1),Assumptions!$C$16,(E24*(1+Assumptions!$C$133)))</f>
        <v>1429.2192</v>
      </c>
      <c r="G24" s="9" t="n">
        <f aca="false">IF((G$18=1),Assumptions!$C$16,(F24*(1+Assumptions!$C$133)))</f>
        <v>1514.972352</v>
      </c>
      <c r="H24" s="9" t="n">
        <f aca="false">IF((H$18=1),Assumptions!$C$16,(G24*(1+Assumptions!$C$133)))</f>
        <v>1605.87069312</v>
      </c>
      <c r="I24" s="9" t="n">
        <f aca="false">IF((I$18=1),Assumptions!$C$16,(H24*(1+Assumptions!$C$133)))</f>
        <v>1702.2229347072</v>
      </c>
      <c r="J24" s="9" t="n">
        <f aca="false">IF((J$18=1),Assumptions!$C$16,(I24*(1+Assumptions!$C$133)))</f>
        <v>1804.35631078963</v>
      </c>
      <c r="K24" s="9" t="n">
        <f aca="false">IF((K$18=1),Assumptions!$C$16,(J24*(1+Assumptions!$C$133)))</f>
        <v>1912.61768943701</v>
      </c>
      <c r="L24" s="9" t="n">
        <f aca="false">IF((L$18=1),Assumptions!$C$16,(K24*(1+Assumptions!$C$133)))</f>
        <v>2027.37475080323</v>
      </c>
      <c r="M24" s="9" t="n">
        <f aca="false">IF((M$18=1),Assumptions!$C$16,(L24*(1+Assumptions!$C$133)))</f>
        <v>2149.01723585143</v>
      </c>
      <c r="N24" s="9" t="n">
        <f aca="false">IF((N$18=1),Assumptions!$C$16,(M24*(1+Assumptions!$C$133)))</f>
        <v>2277.95827000251</v>
      </c>
      <c r="O24" s="9" t="n">
        <f aca="false">IF((O$18=1),Assumptions!$C$16,(N24*(1+Assumptions!$D$133)))</f>
        <v>2369.07660080261</v>
      </c>
      <c r="P24" s="9" t="n">
        <f aca="false">IF((P$18=1),Assumptions!$C$16,(O24*(1+Assumptions!$D$133)))</f>
        <v>2463.83966483472</v>
      </c>
      <c r="Q24" s="9" t="n">
        <f aca="false">IF((Q$18=1),Assumptions!$C$16,(P24*(1+Assumptions!$D$133)))</f>
        <v>2562.39325142811</v>
      </c>
      <c r="R24" s="9" t="n">
        <f aca="false">IF((R$18=1),Assumptions!$C$16,(Q24*(1+Assumptions!$D$133)))</f>
        <v>2664.88898148523</v>
      </c>
      <c r="S24" s="9" t="n">
        <f aca="false">IF((S$18=1),Assumptions!$C$16,(R24*(1+Assumptions!$D$133)))</f>
        <v>2771.48454074464</v>
      </c>
      <c r="T24" s="9" t="n">
        <f aca="false">IF((T$18=1),Assumptions!$C$16,(S24*(1+Assumptions!$D$133)))</f>
        <v>2882.34392237442</v>
      </c>
      <c r="U24" s="9" t="n">
        <f aca="false">IF((U$18=1),Assumptions!$C$16,(T24*(1+Assumptions!$D$133)))</f>
        <v>2997.6376792694</v>
      </c>
      <c r="V24" s="9" t="n">
        <f aca="false">IF((V$18=1),Assumptions!$C$16,(U24*(1+Assumptions!$D$133)))</f>
        <v>3117.54318644018</v>
      </c>
      <c r="W24" s="9" t="n">
        <f aca="false">IF((W$18=1),Assumptions!$C$16,(V24*(1+Assumptions!$D$133)))</f>
        <v>3242.24491389778</v>
      </c>
      <c r="X24" s="9" t="n">
        <f aca="false">IF((X$18=1),Assumptions!$C$16,(W24*(1+Assumptions!$D$133)))</f>
        <v>3371.9347104537</v>
      </c>
      <c r="Y24" s="9" t="n">
        <f aca="false">IF((Y$18=1),Assumptions!$C$16,(X24*(1+Assumptions!$D$133)))</f>
        <v>3506.81209887184</v>
      </c>
      <c r="Z24" s="9" t="n">
        <f aca="false">IF((Z$18=1),Assumptions!$C$16,(Y24*(1+Assumptions!$D$133)))</f>
        <v>3647.08458282672</v>
      </c>
      <c r="AA24" s="9" t="n">
        <f aca="false">IF((AA$18=1),Assumptions!$C$16,(Z24*(1+Assumptions!$E$133)))</f>
        <v>3738.26169739739</v>
      </c>
      <c r="AB24" s="9" t="n">
        <f aca="false">IF((AB$18=1),Assumptions!$C$16,(AA24*(1+Assumptions!$E$133)))</f>
        <v>3831.71823983232</v>
      </c>
      <c r="AC24" s="9" t="n">
        <f aca="false">IF((AC$18=1),Assumptions!$C$16,(AB24*(1+Assumptions!$E$133)))</f>
        <v>3927.51119582813</v>
      </c>
      <c r="AD24" s="9" t="n">
        <f aca="false">IF((AD$18=1),Assumptions!$C$16,(AC24*(1+Assumptions!$E$133)))</f>
        <v>4025.69897572383</v>
      </c>
      <c r="AE24" s="9" t="n">
        <f aca="false">IF((AE$18=1),Assumptions!$C$16,(AD24*(1+Assumptions!$E$133)))</f>
        <v>4126.34145011693</v>
      </c>
      <c r="AF24" s="9" t="n">
        <f aca="false">IF((AF$18=1),Assumptions!$C$16,(AE24*(1+Assumptions!$E$133)))</f>
        <v>4229.49998636985</v>
      </c>
      <c r="AG24" s="9" t="n">
        <f aca="false">IF((AG$18=1),Assumptions!$C$16,(AF24*(1+Assumptions!$E$133)))</f>
        <v>4335.2374860291</v>
      </c>
      <c r="AH24" s="9" t="n">
        <f aca="false">IF((AH$18=1),Assumptions!$C$16,(AG24*(1+Assumptions!$E$133)))</f>
        <v>4443.61842317982</v>
      </c>
      <c r="AI24" s="9" t="n">
        <f aca="false">IF((AI$18=1),Assumptions!$C$16,(AH24*(1+Assumptions!$E$133)))</f>
        <v>4554.70888375932</v>
      </c>
      <c r="AJ24" s="9" t="n">
        <f aca="false">IF((AJ$18=1),Assumptions!$C$16,(AI24*(1+Assumptions!$E$133)))</f>
        <v>4668.5766058533</v>
      </c>
      <c r="AK24" s="9" t="n">
        <f aca="false">IF((AK$18=1),Assumptions!$C$16,(AJ24*(1+Assumptions!$E$133)))</f>
        <v>4785.29102099963</v>
      </c>
      <c r="AL24" s="9" t="n">
        <f aca="false">IF((AL$18=1),Assumptions!$C$16,(AK24*(1+Assumptions!$E$133)))</f>
        <v>4904.92329652462</v>
      </c>
    </row>
    <row r="25" customFormat="false" ht="15" hidden="false" customHeight="false" outlineLevel="0" collapsed="false">
      <c r="A25" s="0" t="s">
        <v>830</v>
      </c>
      <c r="B25" s="0" t="s">
        <v>500</v>
      </c>
      <c r="C25" s="9" t="n">
        <f aca="false">(((C24*INDEX(Assumptions!$C$167:$C$178,C$21))*$C$4)*IF((C$18&lt;Assumptions!$C$5),Assumptions!$C$6,1))</f>
        <v>234</v>
      </c>
      <c r="D25" s="9" t="n">
        <f aca="false">(((D24*INDEX(Assumptions!$C$167:$C$178,D$21))*$C$4)*IF((D$18&lt;Assumptions!$C$5),Assumptions!$C$6,1))</f>
        <v>209.88</v>
      </c>
      <c r="E25" s="9" t="n">
        <f aca="false">(((E24*INDEX(Assumptions!$C$167:$C$178,E$21))*$C$4)*IF((E$18&lt;Assumptions!$C$5),Assumptions!$C$6,1))</f>
        <v>182.0232</v>
      </c>
      <c r="F25" s="9" t="n">
        <f aca="false">(((F24*INDEX(Assumptions!$C$167:$C$178,F$21))*$C$4)*IF((F$18&lt;Assumptions!$C$5),Assumptions!$C$6,1))</f>
        <v>171.506304</v>
      </c>
      <c r="G25" s="9" t="n">
        <f aca="false">(((G24*INDEX(Assumptions!$C$167:$C$178,G$21))*$C$4)*IF((G$18&lt;Assumptions!$C$5),Assumptions!$C$6,1))</f>
        <v>136.34751168</v>
      </c>
      <c r="H25" s="9" t="n">
        <f aca="false">(((H24*INDEX(Assumptions!$C$167:$C$178,H$21))*$C$4)*IF((H$18&lt;Assumptions!$C$5),Assumptions!$C$6,1))</f>
        <v>120.440301984</v>
      </c>
      <c r="I25" s="9" t="n">
        <f aca="false">(((I24*INDEX(Assumptions!$C$167:$C$178,I$21))*$C$4)*IF((I$18&lt;Assumptions!$C$5),Assumptions!$C$6,1))</f>
        <v>178.733408144256</v>
      </c>
      <c r="J25" s="9" t="n">
        <f aca="false">(((J24*INDEX(Assumptions!$C$167:$C$178,J$21))*$C$4)*IF((J$18&lt;Assumptions!$C$5),Assumptions!$C$6,1))</f>
        <v>433.045514589512</v>
      </c>
      <c r="K25" s="9" t="n">
        <f aca="false">(((K24*INDEX(Assumptions!$C$167:$C$178,K$21))*$C$4)*IF((K$18&lt;Assumptions!$C$5),Assumptions!$C$6,1))</f>
        <v>516.406776147993</v>
      </c>
      <c r="L25" s="9" t="n">
        <f aca="false">(((L24*INDEX(Assumptions!$C$167:$C$178,L$21))*$C$4)*IF((L$18&lt;Assumptions!$C$5),Assumptions!$C$6,1))</f>
        <v>334.516833882533</v>
      </c>
      <c r="M25" s="9" t="n">
        <f aca="false">(((M24*INDEX(Assumptions!$C$167:$C$178,M$21))*$C$4)*IF((M$18&lt;Assumptions!$C$5),Assumptions!$C$6,1))</f>
        <v>290.117326839942</v>
      </c>
      <c r="N25" s="9" t="n">
        <f aca="false">(((N24*INDEX(Assumptions!$C$167:$C$178,N$21))*$C$4)*IF((N$18&lt;Assumptions!$C$5),Assumptions!$C$6,1))</f>
        <v>239.185618350264</v>
      </c>
      <c r="O25" s="9" t="n">
        <f aca="false">(((O24*INDEX(Assumptions!$C$167:$C$178,O$21))*$C$4)*IF((O$18&lt;Assumptions!$C$5),Assumptions!$C$6,1))</f>
        <v>1847.87974862604</v>
      </c>
      <c r="P25" s="9" t="n">
        <f aca="false">(((P24*INDEX(Assumptions!$C$167:$C$178,P$21))*$C$4)*IF((P$18&lt;Assumptions!$C$5),Assumptions!$C$6,1))</f>
        <v>1626.13417879091</v>
      </c>
      <c r="Q25" s="9" t="n">
        <f aca="false">(((Q24*INDEX(Assumptions!$C$167:$C$178,Q$21))*$C$4)*IF((Q$18&lt;Assumptions!$C$5),Assumptions!$C$6,1))</f>
        <v>1383.69235577118</v>
      </c>
      <c r="R25" s="9" t="n">
        <f aca="false">(((R24*INDEX(Assumptions!$C$167:$C$178,R$21))*$C$4)*IF((R$18&lt;Assumptions!$C$5),Assumptions!$C$6,1))</f>
        <v>1279.14671111291</v>
      </c>
      <c r="S25" s="9" t="n">
        <f aca="false">(((S24*INDEX(Assumptions!$C$167:$C$178,S$21))*$C$4)*IF((S$18&lt;Assumptions!$C$5),Assumptions!$C$6,1))</f>
        <v>997.73443466807</v>
      </c>
      <c r="T25" s="9" t="n">
        <f aca="false">(((T24*INDEX(Assumptions!$C$167:$C$178,T$21))*$C$4)*IF((T$18&lt;Assumptions!$C$5),Assumptions!$C$6,1))</f>
        <v>864.703176712327</v>
      </c>
      <c r="U25" s="9" t="n">
        <f aca="false">(((U24*INDEX(Assumptions!$C$167:$C$178,U$21))*$C$4)*IF((U$18&lt;Assumptions!$C$5),Assumptions!$C$6,1))</f>
        <v>1259.00782529315</v>
      </c>
      <c r="V25" s="9" t="n">
        <f aca="false">(((V24*INDEX(Assumptions!$C$167:$C$178,V$21))*$C$4)*IF((V$18&lt;Assumptions!$C$5),Assumptions!$C$6,1))</f>
        <v>2992.84145898257</v>
      </c>
      <c r="W25" s="9" t="n">
        <f aca="false">(((W24*INDEX(Assumptions!$C$167:$C$178,W$21))*$C$4)*IF((W$18&lt;Assumptions!$C$5),Assumptions!$C$6,1))</f>
        <v>3501.62450700961</v>
      </c>
      <c r="X25" s="9" t="n">
        <f aca="false">(((X24*INDEX(Assumptions!$C$167:$C$178,X$21))*$C$4)*IF((X$18&lt;Assumptions!$C$5),Assumptions!$C$6,1))</f>
        <v>2225.47690889944</v>
      </c>
      <c r="Y25" s="9" t="n">
        <f aca="false">(((Y24*INDEX(Assumptions!$C$167:$C$178,Y$21))*$C$4)*IF((Y$18&lt;Assumptions!$C$5),Assumptions!$C$6,1))</f>
        <v>1893.6785333908</v>
      </c>
      <c r="Z25" s="9" t="n">
        <f aca="false">(((Z24*INDEX(Assumptions!$C$167:$C$178,Z$21))*$C$4)*IF((Z$18&lt;Assumptions!$C$5),Assumptions!$C$6,1))</f>
        <v>1531.77552478722</v>
      </c>
      <c r="AA25" s="9" t="n">
        <f aca="false">(((AA24*INDEX(Assumptions!$C$167:$C$178,AA$21))*$C$4)*IF((AA$18&lt;Assumptions!$C$5),Assumptions!$C$6,1))</f>
        <v>2915.84412396996</v>
      </c>
      <c r="AB25" s="9" t="n">
        <f aca="false">(((AB24*INDEX(Assumptions!$C$167:$C$178,AB$21))*$C$4)*IF((AB$18&lt;Assumptions!$C$5),Assumptions!$C$6,1))</f>
        <v>2528.93403828933</v>
      </c>
      <c r="AC25" s="9" t="n">
        <f aca="false">(((AC24*INDEX(Assumptions!$C$167:$C$178,AC$21))*$C$4)*IF((AC$18&lt;Assumptions!$C$5),Assumptions!$C$6,1))</f>
        <v>2120.85604574719</v>
      </c>
      <c r="AD25" s="9" t="n">
        <f aca="false">(((AD24*INDEX(Assumptions!$C$167:$C$178,AD$21))*$C$4)*IF((AD$18&lt;Assumptions!$C$5),Assumptions!$C$6,1))</f>
        <v>1932.33550834744</v>
      </c>
      <c r="AE25" s="9" t="n">
        <f aca="false">(((AE24*INDEX(Assumptions!$C$167:$C$178,AE$21))*$C$4)*IF((AE$18&lt;Assumptions!$C$5),Assumptions!$C$6,1))</f>
        <v>1485.48292204209</v>
      </c>
      <c r="AF25" s="9" t="n">
        <f aca="false">(((AF24*INDEX(Assumptions!$C$167:$C$178,AF$21))*$C$4)*IF((AF$18&lt;Assumptions!$C$5),Assumptions!$C$6,1))</f>
        <v>1268.84999591095</v>
      </c>
      <c r="AG25" s="9" t="n">
        <f aca="false">(((AG24*INDEX(Assumptions!$C$167:$C$178,AG$21))*$C$4)*IF((AG$18&lt;Assumptions!$C$5),Assumptions!$C$6,1))</f>
        <v>1820.79974413222</v>
      </c>
      <c r="AH25" s="9" t="n">
        <f aca="false">(((AH24*INDEX(Assumptions!$C$167:$C$178,AH$21))*$C$4)*IF((AH$18&lt;Assumptions!$C$5),Assumptions!$C$6,1))</f>
        <v>4265.87368625263</v>
      </c>
      <c r="AI25" s="9" t="n">
        <f aca="false">(((AI24*INDEX(Assumptions!$C$167:$C$178,AI$21))*$C$4)*IF((AI$18&lt;Assumptions!$C$5),Assumptions!$C$6,1))</f>
        <v>4919.08559446006</v>
      </c>
      <c r="AJ25" s="9" t="n">
        <f aca="false">(((AJ24*INDEX(Assumptions!$C$167:$C$178,AJ$21))*$C$4)*IF((AJ$18&lt;Assumptions!$C$5),Assumptions!$C$6,1))</f>
        <v>3081.26055986318</v>
      </c>
      <c r="AK25" s="9" t="n">
        <f aca="false">(((AK24*INDEX(Assumptions!$C$167:$C$178,AK$21))*$C$4)*IF((AK$18&lt;Assumptions!$C$5),Assumptions!$C$6,1))</f>
        <v>2584.0571513398</v>
      </c>
      <c r="AL25" s="9" t="n">
        <f aca="false">(((AL24*INDEX(Assumptions!$C$167:$C$178,AL$21))*$C$4)*IF((AL$18&lt;Assumptions!$C$5),Assumptions!$C$6,1))</f>
        <v>2060.06778454034</v>
      </c>
      <c r="AN25" s="11" t="n">
        <f aca="false">SUM(C25:N25)</f>
        <v>3046.2027956185</v>
      </c>
      <c r="AO25" s="11" t="n">
        <f aca="false">SUM(O25:Z25)</f>
        <v>21403.6953640442</v>
      </c>
      <c r="AP25" s="11" t="n">
        <f aca="false">SUM(AA25:AL25)</f>
        <v>30983.4471548952</v>
      </c>
    </row>
    <row r="26" customFormat="false" ht="15" hidden="false" customHeight="false" outlineLevel="0" collapsed="false">
      <c r="A26" s="0" t="s">
        <v>831</v>
      </c>
      <c r="B26" s="0" t="s">
        <v>500</v>
      </c>
      <c r="C26" s="9" t="n">
        <f aca="false">IF((C$18&gt;=Assumptions!$C$5),(Assumptions!$C$134/(Assumptions!$C$17*$C$11)),0)</f>
        <v>0</v>
      </c>
      <c r="D26" s="9" t="n">
        <f aca="false">IF((D$18&gt;=Assumptions!$C$5),(Assumptions!$C$134/(Assumptions!$C$17*$C$11)),0)</f>
        <v>0</v>
      </c>
      <c r="E26" s="9" t="n">
        <f aca="false">IF((E$18&gt;=Assumptions!$C$5),(Assumptions!$C$134/(Assumptions!$C$17*$C$11)),0)</f>
        <v>0</v>
      </c>
      <c r="F26" s="9" t="n">
        <f aca="false">IF((F$18&gt;=Assumptions!$C$5),(Assumptions!$C$134/(Assumptions!$C$17*$C$11)),0)</f>
        <v>0</v>
      </c>
      <c r="G26" s="9" t="n">
        <f aca="false">IF((G$18&gt;=Assumptions!$C$5),(Assumptions!$C$134/(Assumptions!$C$17*$C$11)),0)</f>
        <v>0</v>
      </c>
      <c r="H26" s="9" t="n">
        <f aca="false">IF((H$18&gt;=Assumptions!$C$5),(Assumptions!$C$134/(Assumptions!$C$17*$C$11)),0)</f>
        <v>0</v>
      </c>
      <c r="I26" s="9" t="n">
        <f aca="false">IF((I$18&gt;=Assumptions!$C$5),(Assumptions!$C$134/(Assumptions!$C$17*$C$11)),0)</f>
        <v>0</v>
      </c>
      <c r="J26" s="9" t="n">
        <f aca="false">IF((J$18&gt;=Assumptions!$C$5),(Assumptions!$C$134/(Assumptions!$C$17*$C$11)),0)</f>
        <v>0</v>
      </c>
      <c r="K26" s="9" t="n">
        <f aca="false">IF((K$18&gt;=Assumptions!$C$5),(Assumptions!$C$134/(Assumptions!$C$17*$C$11)),0)</f>
        <v>0</v>
      </c>
      <c r="L26" s="9" t="n">
        <f aca="false">IF((L$18&gt;=Assumptions!$C$5),(Assumptions!$C$134/(Assumptions!$C$17*$C$11)),0)</f>
        <v>0</v>
      </c>
      <c r="M26" s="9" t="n">
        <f aca="false">IF((M$18&gt;=Assumptions!$C$5),(Assumptions!$C$134/(Assumptions!$C$17*$C$11)),0)</f>
        <v>0</v>
      </c>
      <c r="N26" s="9" t="n">
        <f aca="false">IF((N$18&gt;=Assumptions!$C$5),(Assumptions!$C$134/(Assumptions!$C$17*$C$11)),0)</f>
        <v>0</v>
      </c>
      <c r="O26" s="9" t="n">
        <f aca="false">IF((O$18&gt;=Assumptions!$C$5),(Assumptions!$D$134/(Assumptions!$C$17*$C$11)),0)</f>
        <v>800</v>
      </c>
      <c r="P26" s="9" t="n">
        <f aca="false">IF((P$18&gt;=Assumptions!$C$5),(Assumptions!$D$134/(Assumptions!$C$17*$C$11)),0)</f>
        <v>800</v>
      </c>
      <c r="Q26" s="9" t="n">
        <f aca="false">IF((Q$18&gt;=Assumptions!$C$5),(Assumptions!$D$134/(Assumptions!$C$17*$C$11)),0)</f>
        <v>800</v>
      </c>
      <c r="R26" s="9" t="n">
        <f aca="false">IF((R$18&gt;=Assumptions!$C$5),(Assumptions!$D$134/(Assumptions!$C$17*$C$11)),0)</f>
        <v>800</v>
      </c>
      <c r="S26" s="9" t="n">
        <f aca="false">IF((S$18&gt;=Assumptions!$C$5),(Assumptions!$D$134/(Assumptions!$C$17*$C$11)),0)</f>
        <v>800</v>
      </c>
      <c r="T26" s="9" t="n">
        <f aca="false">IF((T$18&gt;=Assumptions!$C$5),(Assumptions!$D$134/(Assumptions!$C$17*$C$11)),0)</f>
        <v>800</v>
      </c>
      <c r="U26" s="9" t="n">
        <f aca="false">IF((U$18&gt;=Assumptions!$C$5),(Assumptions!$D$134/(Assumptions!$C$17*$C$11)),0)</f>
        <v>800</v>
      </c>
      <c r="V26" s="9" t="n">
        <f aca="false">IF((V$18&gt;=Assumptions!$C$5),(Assumptions!$D$134/(Assumptions!$C$17*$C$11)),0)</f>
        <v>800</v>
      </c>
      <c r="W26" s="9" t="n">
        <f aca="false">IF((W$18&gt;=Assumptions!$C$5),(Assumptions!$D$134/(Assumptions!$C$17*$C$11)),0)</f>
        <v>800</v>
      </c>
      <c r="X26" s="9" t="n">
        <f aca="false">IF((X$18&gt;=Assumptions!$C$5),(Assumptions!$D$134/(Assumptions!$C$17*$C$11)),0)</f>
        <v>800</v>
      </c>
      <c r="Y26" s="9" t="n">
        <f aca="false">IF((Y$18&gt;=Assumptions!$C$5),(Assumptions!$D$134/(Assumptions!$C$17*$C$11)),0)</f>
        <v>800</v>
      </c>
      <c r="Z26" s="9" t="n">
        <f aca="false">IF((Z$18&gt;=Assumptions!$C$5),(Assumptions!$D$134/(Assumptions!$C$17*$C$11)),0)</f>
        <v>800</v>
      </c>
      <c r="AA26" s="9" t="n">
        <f aca="false">IF((AA$18&gt;=Assumptions!$C$5),(Assumptions!$E$134/(Assumptions!$C$17*$C$11)),0)</f>
        <v>1333.33333333333</v>
      </c>
      <c r="AB26" s="9" t="n">
        <f aca="false">IF((AB$18&gt;=Assumptions!$C$5),(Assumptions!$E$134/(Assumptions!$C$17*$C$11)),0)</f>
        <v>1333.33333333333</v>
      </c>
      <c r="AC26" s="9" t="n">
        <f aca="false">IF((AC$18&gt;=Assumptions!$C$5),(Assumptions!$E$134/(Assumptions!$C$17*$C$11)),0)</f>
        <v>1333.33333333333</v>
      </c>
      <c r="AD26" s="9" t="n">
        <f aca="false">IF((AD$18&gt;=Assumptions!$C$5),(Assumptions!$E$134/(Assumptions!$C$17*$C$11)),0)</f>
        <v>1333.33333333333</v>
      </c>
      <c r="AE26" s="9" t="n">
        <f aca="false">IF((AE$18&gt;=Assumptions!$C$5),(Assumptions!$E$134/(Assumptions!$C$17*$C$11)),0)</f>
        <v>1333.33333333333</v>
      </c>
      <c r="AF26" s="9" t="n">
        <f aca="false">IF((AF$18&gt;=Assumptions!$C$5),(Assumptions!$E$134/(Assumptions!$C$17*$C$11)),0)</f>
        <v>1333.33333333333</v>
      </c>
      <c r="AG26" s="9" t="n">
        <f aca="false">IF((AG$18&gt;=Assumptions!$C$5),(Assumptions!$E$134/(Assumptions!$C$17*$C$11)),0)</f>
        <v>1333.33333333333</v>
      </c>
      <c r="AH26" s="9" t="n">
        <f aca="false">IF((AH$18&gt;=Assumptions!$C$5),(Assumptions!$E$134/(Assumptions!$C$17*$C$11)),0)</f>
        <v>1333.33333333333</v>
      </c>
      <c r="AI26" s="9" t="n">
        <f aca="false">IF((AI$18&gt;=Assumptions!$C$5),(Assumptions!$E$134/(Assumptions!$C$17*$C$11)),0)</f>
        <v>1333.33333333333</v>
      </c>
      <c r="AJ26" s="9" t="n">
        <f aca="false">IF((AJ$18&gt;=Assumptions!$C$5),(Assumptions!$E$134/(Assumptions!$C$17*$C$11)),0)</f>
        <v>1333.33333333333</v>
      </c>
      <c r="AK26" s="9" t="n">
        <f aca="false">IF((AK$18&gt;=Assumptions!$C$5),(Assumptions!$E$134/(Assumptions!$C$17*$C$11)),0)</f>
        <v>1333.33333333333</v>
      </c>
      <c r="AL26" s="9" t="n">
        <f aca="false">IF((AL$18&gt;=Assumptions!$C$5),(Assumptions!$E$134/(Assumptions!$C$17*$C$11)),0)</f>
        <v>1333.33333333333</v>
      </c>
      <c r="AN26" s="11" t="n">
        <f aca="false">SUM(C26:N26)</f>
        <v>0</v>
      </c>
      <c r="AO26" s="11" t="n">
        <f aca="false">SUM(O26:Z26)</f>
        <v>9600</v>
      </c>
      <c r="AP26" s="11" t="n">
        <f aca="false">SUM(AA26:AL26)</f>
        <v>16000</v>
      </c>
    </row>
    <row r="27" customFormat="false" ht="15" hidden="false" customHeight="false" outlineLevel="0" collapsed="false">
      <c r="A27" s="0" t="s">
        <v>832</v>
      </c>
      <c r="B27" s="0" t="s">
        <v>500</v>
      </c>
      <c r="C27" s="9" t="n">
        <f aca="false">((C25+C26)*Assumptions!$C$18)</f>
        <v>140.4</v>
      </c>
      <c r="D27" s="9" t="n">
        <f aca="false">((D25+D26)*Assumptions!$C$18)</f>
        <v>125.928</v>
      </c>
      <c r="E27" s="9" t="n">
        <f aca="false">((E25+E26)*Assumptions!$C$18)</f>
        <v>109.21392</v>
      </c>
      <c r="F27" s="9" t="n">
        <f aca="false">((F25+F26)*Assumptions!$C$18)</f>
        <v>102.9037824</v>
      </c>
      <c r="G27" s="9" t="n">
        <f aca="false">((G25+G26)*Assumptions!$C$18)</f>
        <v>81.808507008</v>
      </c>
      <c r="H27" s="9" t="n">
        <f aca="false">((H25+H26)*Assumptions!$C$18)</f>
        <v>72.2641811904</v>
      </c>
      <c r="I27" s="9" t="n">
        <f aca="false">((I25+I26)*Assumptions!$C$18)</f>
        <v>107.240044886554</v>
      </c>
      <c r="J27" s="9" t="n">
        <f aca="false">((J25+J26)*Assumptions!$C$18)</f>
        <v>259.827308753707</v>
      </c>
      <c r="K27" s="9" t="n">
        <f aca="false">((K25+K26)*Assumptions!$C$18)</f>
        <v>309.844065688796</v>
      </c>
      <c r="L27" s="9" t="n">
        <f aca="false">((L25+L26)*Assumptions!$C$18)</f>
        <v>200.71010032952</v>
      </c>
      <c r="M27" s="9" t="n">
        <f aca="false">((M25+M26)*Assumptions!$C$18)</f>
        <v>174.070396103965</v>
      </c>
      <c r="N27" s="9" t="n">
        <f aca="false">((N25+N26)*Assumptions!$C$18)</f>
        <v>143.511371010158</v>
      </c>
      <c r="O27" s="9" t="n">
        <f aca="false">((O25+O26)*Assumptions!$C$18)</f>
        <v>1588.72784917562</v>
      </c>
      <c r="P27" s="9" t="n">
        <f aca="false">((P25+P26)*Assumptions!$C$18)</f>
        <v>1455.68050727455</v>
      </c>
      <c r="Q27" s="9" t="n">
        <f aca="false">((Q25+Q26)*Assumptions!$C$18)</f>
        <v>1310.21541346271</v>
      </c>
      <c r="R27" s="9" t="n">
        <f aca="false">((R25+R26)*Assumptions!$C$18)</f>
        <v>1247.48802666775</v>
      </c>
      <c r="S27" s="9" t="n">
        <f aca="false">((S25+S26)*Assumptions!$C$18)</f>
        <v>1078.64066080084</v>
      </c>
      <c r="T27" s="9" t="n">
        <f aca="false">((T25+T26)*Assumptions!$C$18)</f>
        <v>998.821906027396</v>
      </c>
      <c r="U27" s="9" t="n">
        <f aca="false">((U25+U26)*Assumptions!$C$18)</f>
        <v>1235.40469517589</v>
      </c>
      <c r="V27" s="9" t="n">
        <f aca="false">((V25+V26)*Assumptions!$C$18)</f>
        <v>2275.70487538954</v>
      </c>
      <c r="W27" s="9" t="n">
        <f aca="false">((W25+W26)*Assumptions!$C$18)</f>
        <v>2580.97470420576</v>
      </c>
      <c r="X27" s="9" t="n">
        <f aca="false">((X25+X26)*Assumptions!$C$18)</f>
        <v>1815.28614533966</v>
      </c>
      <c r="Y27" s="9" t="n">
        <f aca="false">((Y25+Y26)*Assumptions!$C$18)</f>
        <v>1616.20712003448</v>
      </c>
      <c r="Z27" s="9" t="n">
        <f aca="false">((Z25+Z26)*Assumptions!$C$18)</f>
        <v>1399.06531487233</v>
      </c>
      <c r="AA27" s="9" t="n">
        <f aca="false">((AA25+AA26)*Assumptions!$C$18)</f>
        <v>2549.50647438198</v>
      </c>
      <c r="AB27" s="9" t="n">
        <f aca="false">((AB25+AB26)*Assumptions!$C$18)</f>
        <v>2317.3604229736</v>
      </c>
      <c r="AC27" s="9" t="n">
        <f aca="false">((AC25+AC26)*Assumptions!$C$18)</f>
        <v>2072.51362744831</v>
      </c>
      <c r="AD27" s="9" t="n">
        <f aca="false">((AD25+AD26)*Assumptions!$C$18)</f>
        <v>1959.40130500846</v>
      </c>
      <c r="AE27" s="9" t="n">
        <f aca="false">((AE25+AE26)*Assumptions!$C$18)</f>
        <v>1691.28975322526</v>
      </c>
      <c r="AF27" s="9" t="n">
        <f aca="false">((AF25+AF26)*Assumptions!$C$18)</f>
        <v>1561.30999754657</v>
      </c>
      <c r="AG27" s="9" t="n">
        <f aca="false">((AG25+AG26)*Assumptions!$C$18)</f>
        <v>1892.47984647933</v>
      </c>
      <c r="AH27" s="9" t="n">
        <f aca="false">((AH25+AH26)*Assumptions!$C$18)</f>
        <v>3359.52421175158</v>
      </c>
      <c r="AI27" s="9" t="n">
        <f aca="false">((AI25+AI26)*Assumptions!$C$18)</f>
        <v>3751.45135667604</v>
      </c>
      <c r="AJ27" s="9" t="n">
        <f aca="false">((AJ25+AJ26)*Assumptions!$C$18)</f>
        <v>2648.75633591791</v>
      </c>
      <c r="AK27" s="9" t="n">
        <f aca="false">((AK25+AK26)*Assumptions!$C$18)</f>
        <v>2350.43429080388</v>
      </c>
      <c r="AL27" s="9" t="n">
        <f aca="false">((AL25+AL26)*Assumptions!$C$18)</f>
        <v>2036.0406707242</v>
      </c>
      <c r="AN27" s="11" t="n">
        <f aca="false">SUM(C27:N27)</f>
        <v>1827.7216773711</v>
      </c>
      <c r="AO27" s="11" t="n">
        <f aca="false">SUM(O27:Z27)</f>
        <v>18602.2172184265</v>
      </c>
      <c r="AP27" s="11" t="n">
        <f aca="false">SUM(AA27:AL27)</f>
        <v>28190.0682929371</v>
      </c>
    </row>
    <row r="28" customFormat="false" ht="15" hidden="false" customHeight="false" outlineLevel="0" collapsed="false">
      <c r="A28" s="0" t="s">
        <v>833</v>
      </c>
      <c r="B28" s="0" t="s">
        <v>500</v>
      </c>
      <c r="C28" s="9" t="n">
        <f aca="false">IF((C$18&gt;=Assumptions!$C$5),((Assumptions!$C$20*$C$5)*0),0)</f>
        <v>0</v>
      </c>
      <c r="D28" s="9" t="n">
        <f aca="false">IF((D$18&gt;=Assumptions!$C$5),((Assumptions!$C$20*$C$5)*C29),0)</f>
        <v>0</v>
      </c>
      <c r="E28" s="9" t="n">
        <f aca="false">IF((E$18&gt;=Assumptions!$C$5),((Assumptions!$C$20*$C$5)*D29),0)</f>
        <v>0</v>
      </c>
      <c r="F28" s="9" t="n">
        <f aca="false">IF((F$18&gt;=Assumptions!$C$5),((Assumptions!$C$20*$C$5)*E29),0)</f>
        <v>0</v>
      </c>
      <c r="G28" s="9" t="n">
        <f aca="false">IF((G$18&gt;=Assumptions!$C$5),((Assumptions!$C$20*$C$5)*F29),0)</f>
        <v>0</v>
      </c>
      <c r="H28" s="9" t="n">
        <f aca="false">IF((H$18&gt;=Assumptions!$C$5),((Assumptions!$C$20*$C$5)*G29),0)</f>
        <v>0</v>
      </c>
      <c r="I28" s="9" t="n">
        <f aca="false">IF((I$18&gt;=Assumptions!$C$5),((Assumptions!$C$20*$C$5)*H29),0)</f>
        <v>0</v>
      </c>
      <c r="J28" s="9" t="n">
        <f aca="false">IF((J$18&gt;=Assumptions!$C$5),((Assumptions!$C$20*$C$5)*I29),0)</f>
        <v>0</v>
      </c>
      <c r="K28" s="9" t="n">
        <f aca="false">IF((K$18&gt;=Assumptions!$C$5),((Assumptions!$C$20*$C$5)*J29),0)</f>
        <v>0</v>
      </c>
      <c r="L28" s="9" t="n">
        <f aca="false">IF((L$18&gt;=Assumptions!$C$5),((Assumptions!$C$20*$C$5)*K29),0)</f>
        <v>0</v>
      </c>
      <c r="M28" s="9" t="n">
        <f aca="false">IF((M$18&gt;=Assumptions!$C$5),((Assumptions!$C$20*$C$5)*L29),0)</f>
        <v>0</v>
      </c>
      <c r="N28" s="9" t="n">
        <f aca="false">IF((N$18&gt;=Assumptions!$C$5),((Assumptions!$C$20*$C$5)*M29),0)</f>
        <v>0</v>
      </c>
      <c r="O28" s="9" t="n">
        <f aca="false">IF((O$18&gt;=Assumptions!$C$5),((Assumptions!$C$20*$C$5)*N29),0)</f>
        <v>2.16745888966553</v>
      </c>
      <c r="P28" s="9" t="n">
        <f aca="false">IF((P$18&gt;=Assumptions!$C$5),((Assumptions!$C$20*$C$5)*O29),0)</f>
        <v>5.08048460347758</v>
      </c>
      <c r="Q28" s="9" t="n">
        <f aca="false">IF((Q$18&gt;=Assumptions!$C$5),((Assumptions!$C$20*$C$5)*P29),0)</f>
        <v>7.37202649640241</v>
      </c>
      <c r="R28" s="9" t="n">
        <f aca="false">IF((R$18&gt;=Assumptions!$C$5),((Assumptions!$C$20*$C$5)*Q29),0)</f>
        <v>9.09307009076673</v>
      </c>
      <c r="S28" s="9" t="n">
        <f aca="false">IF((S$18&gt;=Assumptions!$C$5),((Assumptions!$C$20*$C$5)*R29),0)</f>
        <v>10.4786915930287</v>
      </c>
      <c r="T28" s="9" t="n">
        <f aca="false">IF((T$18&gt;=Assumptions!$C$5),((Assumptions!$C$20*$C$5)*S29),0)</f>
        <v>11.3575725402809</v>
      </c>
      <c r="U28" s="9" t="n">
        <f aca="false">IF((U$18&gt;=Assumptions!$C$5),((Assumptions!$C$20*$C$5)*T29),0)</f>
        <v>11.9695925024214</v>
      </c>
      <c r="V28" s="9" t="n">
        <f aca="false">IF((V$18&gt;=Assumptions!$C$5),((Assumptions!$C$20*$C$5)*U29),0)</f>
        <v>12.9801116074778</v>
      </c>
      <c r="W28" s="9" t="n">
        <f aca="false">IF((W$18&gt;=Assumptions!$C$5),((Assumptions!$C$20*$C$5)*V29),0)</f>
        <v>15.9479477421446</v>
      </c>
      <c r="X28" s="9" t="n">
        <f aca="false">IF((X$18&gt;=Assumptions!$C$5),((Assumptions!$C$20*$C$5)*W29),0)</f>
        <v>19.1642475260144</v>
      </c>
      <c r="Y28" s="9" t="n">
        <f aca="false">IF((Y$18&gt;=Assumptions!$C$5),((Assumptions!$C$20*$C$5)*X29),0)</f>
        <v>20.45678161852</v>
      </c>
      <c r="Z28" s="9" t="n">
        <f aca="false">IF((Z$18&gt;=Assumptions!$C$5),((Assumptions!$C$20*$C$5)*Y29),0)</f>
        <v>21.1934685011295</v>
      </c>
      <c r="AA28" s="9" t="n">
        <f aca="false">IF((AA$18&gt;=Assumptions!$C$5),((Assumptions!$C$20*$C$5)*Z29),0)</f>
        <v>21.4059959737364</v>
      </c>
      <c r="AB28" s="9" t="n">
        <f aca="false">IF((AB$18&gt;=Assumptions!$C$5),((Assumptions!$C$20*$C$5)*AA29),0)</f>
        <v>23.8934774137045</v>
      </c>
      <c r="AC28" s="9" t="n">
        <f aca="false">IF((AC$18&gt;=Assumptions!$C$5),((Assumptions!$C$20*$C$5)*AB29),0)</f>
        <v>25.6131940151797</v>
      </c>
      <c r="AD28" s="9" t="n">
        <f aca="false">IF((AD$18&gt;=Assumptions!$C$5),((Assumptions!$C$20*$C$5)*AC29),0)</f>
        <v>26.6334116002245</v>
      </c>
      <c r="AE28" s="9" t="n">
        <f aca="false">IF((AE$18&gt;=Assumptions!$C$5),((Assumptions!$C$20*$C$5)*AD29),0)</f>
        <v>27.302937995014</v>
      </c>
      <c r="AF28" s="9" t="n">
        <f aca="false">IF((AF$18&gt;=Assumptions!$C$5),((Assumptions!$C$20*$C$5)*AE29),0)</f>
        <v>27.3545590660728</v>
      </c>
      <c r="AG28" s="9" t="n">
        <f aca="false">IF((AG$18&gt;=Assumptions!$C$5),((Assumptions!$C$20*$C$5)*AF29),0)</f>
        <v>27.1399228551051</v>
      </c>
      <c r="AH28" s="9" t="n">
        <f aca="false">IF((AH$18&gt;=Assumptions!$C$5),((Assumptions!$C$20*$C$5)*AG29),0)</f>
        <v>27.6138119597409</v>
      </c>
      <c r="AI28" s="9" t="n">
        <f aca="false">IF((AI$18&gt;=Assumptions!$C$5),((Assumptions!$C$20*$C$5)*AH29),0)</f>
        <v>30.9639753241557</v>
      </c>
      <c r="AJ28" s="9" t="n">
        <f aca="false">IF((AJ$18&gt;=Assumptions!$C$5),((Assumptions!$C$20*$C$5)*AI29),0)</f>
        <v>34.6892730479608</v>
      </c>
      <c r="AK28" s="9" t="n">
        <f aca="false">IF((AK$18&gt;=Assumptions!$C$5),((Assumptions!$C$20*$C$5)*AJ29),0)</f>
        <v>35.7546944079454</v>
      </c>
      <c r="AL28" s="9" t="n">
        <f aca="false">IF((AL$18&gt;=Assumptions!$C$5),((Assumptions!$C$20*$C$5)*AK29),0)</f>
        <v>36.0934902717838</v>
      </c>
      <c r="AN28" s="11" t="n">
        <f aca="false">SUM(C28:N28)</f>
        <v>0</v>
      </c>
      <c r="AO28" s="11" t="n">
        <f aca="false">SUM(O28:Z28)</f>
        <v>147.26145371133</v>
      </c>
      <c r="AP28" s="11" t="n">
        <f aca="false">SUM(AA28:AL28)</f>
        <v>344.458743930623</v>
      </c>
    </row>
    <row r="29" customFormat="false" ht="15" hidden="false" customHeight="false" outlineLevel="0" collapsed="false">
      <c r="A29" s="0" t="s">
        <v>834</v>
      </c>
      <c r="B29" s="0" t="s">
        <v>500</v>
      </c>
      <c r="C29" s="9" t="n">
        <f aca="false">MAX(0,(((0*(1-Assumptions!$C$19))+C27)-C28))</f>
        <v>140.4</v>
      </c>
      <c r="D29" s="9" t="n">
        <f aca="false">MAX(0,(((C29*(1-Assumptions!$C$19))+D27)-D28))</f>
        <v>249.48</v>
      </c>
      <c r="E29" s="9" t="n">
        <f aca="false">MAX(0,(((D29*(1-Assumptions!$C$19))+E27)-E28))</f>
        <v>328.75632</v>
      </c>
      <c r="F29" s="9" t="n">
        <f aca="false">MAX(0,(((E29*(1-Assumptions!$C$19))+F27)-F28))</f>
        <v>392.209344</v>
      </c>
      <c r="G29" s="9" t="n">
        <f aca="false">MAX(0,(((F29*(1-Assumptions!$C$19))+G27)-G28))</f>
        <v>426.952729728</v>
      </c>
      <c r="H29" s="9" t="n">
        <f aca="false">MAX(0,(((G29*(1-Assumptions!$C$19))+H27)-H28))</f>
        <v>447.98258335104</v>
      </c>
      <c r="I29" s="9" t="n">
        <f aca="false">MAX(0,(((H29*(1-Assumptions!$C$19))+I27)-I28))</f>
        <v>501.464718235469</v>
      </c>
      <c r="J29" s="9" t="n">
        <f aca="false">MAX(0,(((I29*(1-Assumptions!$C$19))+J27)-J28))</f>
        <v>701.11626080092</v>
      </c>
      <c r="K29" s="9" t="n">
        <f aca="false">MAX(0,(((J29*(1-Assumptions!$C$19))+K27)-K28))</f>
        <v>926.826375193605</v>
      </c>
      <c r="L29" s="9" t="n">
        <f aca="false">MAX(0,(((K29*(1-Assumptions!$C$19))+L27)-L28))</f>
        <v>1016.31731049989</v>
      </c>
      <c r="M29" s="9" t="n">
        <f aca="false">MAX(0,(((L29*(1-Assumptions!$C$19))+M27)-M28))</f>
        <v>1068.42962934387</v>
      </c>
      <c r="N29" s="9" t="n">
        <f aca="false">MAX(0,(((M29*(1-Assumptions!$C$19))+N27)-N28))</f>
        <v>1083.72944483276</v>
      </c>
      <c r="O29" s="9" t="n">
        <f aca="false">MAX(0,(((N29*(1-Assumptions!$C$19))+O27)-O28))</f>
        <v>2540.24230173879</v>
      </c>
      <c r="P29" s="9" t="n">
        <f aca="false">MAX(0,(((O29*(1-Assumptions!$C$19))+P27)-P28))</f>
        <v>3686.0132482012</v>
      </c>
      <c r="Q29" s="9" t="n">
        <f aca="false">MAX(0,(((P29*(1-Assumptions!$C$19))+Q27)-Q28))</f>
        <v>4546.53504538336</v>
      </c>
      <c r="R29" s="9" t="n">
        <f aca="false">MAX(0,(((Q29*(1-Assumptions!$C$19))+R27)-R28))</f>
        <v>5239.34579651434</v>
      </c>
      <c r="S29" s="9" t="n">
        <f aca="false">MAX(0,(((R29*(1-Assumptions!$C$19))+S27)-S28))</f>
        <v>5678.78627014043</v>
      </c>
      <c r="T29" s="9" t="n">
        <f aca="false">MAX(0,(((S29*(1-Assumptions!$C$19))+T27)-T28))</f>
        <v>5984.7962512107</v>
      </c>
      <c r="U29" s="9" t="n">
        <f aca="false">MAX(0,(((T29*(1-Assumptions!$C$19))+U27)-U28))</f>
        <v>6490.05580373888</v>
      </c>
      <c r="V29" s="9" t="n">
        <f aca="false">MAX(0,(((U29*(1-Assumptions!$C$19))+V27)-V28))</f>
        <v>7973.97387107228</v>
      </c>
      <c r="W29" s="9" t="n">
        <f aca="false">MAX(0,(((V29*(1-Assumptions!$C$19))+W27)-W28))</f>
        <v>9582.12376300722</v>
      </c>
      <c r="X29" s="9" t="n">
        <f aca="false">MAX(0,(((W29*(1-Assumptions!$C$19))+X27)-X28))</f>
        <v>10228.39080926</v>
      </c>
      <c r="Y29" s="9" t="n">
        <f aca="false">MAX(0,(((X29*(1-Assumptions!$C$19))+Y27)-Y28))</f>
        <v>10596.7342505648</v>
      </c>
      <c r="Z29" s="9" t="n">
        <f aca="false">MAX(0,(((Y29*(1-Assumptions!$C$19))+Z27)-Z28))</f>
        <v>10702.9979868682</v>
      </c>
      <c r="AA29" s="9" t="n">
        <f aca="false">MAX(0,(((Z29*(1-Assumptions!$C$19))+AA27)-AA28))</f>
        <v>11946.7387068523</v>
      </c>
      <c r="AB29" s="9" t="n">
        <f aca="false">MAX(0,(((AA29*(1-Assumptions!$C$19))+AB27)-AB28))</f>
        <v>12806.5970075899</v>
      </c>
      <c r="AC29" s="9" t="n">
        <f aca="false">MAX(0,(((AB29*(1-Assumptions!$C$19))+AC27)-AC28))</f>
        <v>13316.7058001122</v>
      </c>
      <c r="AD29" s="9" t="n">
        <f aca="false">MAX(0,(((AC29*(1-Assumptions!$C$19))+AD27)-AD28))</f>
        <v>13651.468997507</v>
      </c>
      <c r="AE29" s="9" t="n">
        <f aca="false">MAX(0,(((AD29*(1-Assumptions!$C$19))+AE27)-AE28))</f>
        <v>13677.2795330364</v>
      </c>
      <c r="AF29" s="9" t="n">
        <f aca="false">MAX(0,(((AE29*(1-Assumptions!$C$19))+AF27)-AF28))</f>
        <v>13569.9614275525</v>
      </c>
      <c r="AG29" s="9" t="n">
        <f aca="false">MAX(0,(((AF29*(1-Assumptions!$C$19))+AG27)-AG28))</f>
        <v>13806.9059798705</v>
      </c>
      <c r="AH29" s="9" t="n">
        <f aca="false">MAX(0,(((AG29*(1-Assumptions!$C$19))+AH27)-AH28))</f>
        <v>15481.9876620778</v>
      </c>
      <c r="AI29" s="9" t="n">
        <f aca="false">MAX(0,(((AH29*(1-Assumptions!$C$19))+AI27)-AI28))</f>
        <v>17344.6365239804</v>
      </c>
      <c r="AJ29" s="9" t="n">
        <f aca="false">MAX(0,(((AI29*(1-Assumptions!$C$19))+AJ27)-AJ28))</f>
        <v>17877.3472039727</v>
      </c>
      <c r="AK29" s="9" t="n">
        <f aca="false">MAX(0,(((AJ29*(1-Assumptions!$C$19))+AK27)-AK28))</f>
        <v>18046.7451358919</v>
      </c>
      <c r="AL29" s="9" t="n">
        <f aca="false">MAX(0,(((AK29*(1-Assumptions!$C$19))+AL27)-AL28))</f>
        <v>17881.0829000373</v>
      </c>
      <c r="AN29" s="11" t="n">
        <f aca="false">N29</f>
        <v>1083.72944483276</v>
      </c>
      <c r="AO29" s="11" t="n">
        <f aca="false">Z29</f>
        <v>10702.9979868682</v>
      </c>
      <c r="AP29" s="11" t="n">
        <f aca="false">AL29</f>
        <v>17881.0829000373</v>
      </c>
    </row>
    <row r="30" customFormat="false" ht="15" hidden="false" customHeight="false" outlineLevel="0" collapsed="false">
      <c r="A30" s="0" t="s">
        <v>835</v>
      </c>
      <c r="B30" s="0" t="s">
        <v>193</v>
      </c>
      <c r="C30" s="12" t="n">
        <f aca="false">IF(AND(($C$14=1),(C$18&gt;=(Assumptions!$C$106+1)),(C$18&lt;=(Assumptions!$C$106+3))),Assumptions!$C$115,0)</f>
        <v>0</v>
      </c>
      <c r="D30" s="12" t="n">
        <f aca="false">IF(AND(($C$14=1),(D$18&gt;=(Assumptions!$C$106+1)),(D$18&lt;=(Assumptions!$C$106+3))),Assumptions!$C$115,0)</f>
        <v>0</v>
      </c>
      <c r="E30" s="12" t="n">
        <f aca="false">IF(AND(($C$14=1),(E$18&gt;=(Assumptions!$C$106+1)),(E$18&lt;=(Assumptions!$C$106+3))),Assumptions!$C$115,0)</f>
        <v>0</v>
      </c>
      <c r="F30" s="12" t="n">
        <f aca="false">IF(AND(($C$14=1),(F$18&gt;=(Assumptions!$C$106+1)),(F$18&lt;=(Assumptions!$C$106+3))),Assumptions!$C$115,0)</f>
        <v>0</v>
      </c>
      <c r="G30" s="12" t="n">
        <f aca="false">IF(AND(($C$14=1),(G$18&gt;=(Assumptions!$C$106+1)),(G$18&lt;=(Assumptions!$C$106+3))),Assumptions!$C$115,0)</f>
        <v>0</v>
      </c>
      <c r="H30" s="12" t="n">
        <f aca="false">IF(AND(($C$14=1),(H$18&gt;=(Assumptions!$C$106+1)),(H$18&lt;=(Assumptions!$C$106+3))),Assumptions!$C$115,0)</f>
        <v>0</v>
      </c>
      <c r="I30" s="12" t="n">
        <f aca="false">IF(AND(($C$14=1),(I$18&gt;=(Assumptions!$C$106+1)),(I$18&lt;=(Assumptions!$C$106+3))),Assumptions!$C$115,0)</f>
        <v>0</v>
      </c>
      <c r="J30" s="12" t="n">
        <f aca="false">IF(AND(($C$14=1),(J$18&gt;=(Assumptions!$C$106+1)),(J$18&lt;=(Assumptions!$C$106+3))),Assumptions!$C$115,0)</f>
        <v>0</v>
      </c>
      <c r="K30" s="12" t="n">
        <f aca="false">IF(AND(($C$14=1),(K$18&gt;=(Assumptions!$C$106+1)),(K$18&lt;=(Assumptions!$C$106+3))),Assumptions!$C$115,0)</f>
        <v>0</v>
      </c>
      <c r="L30" s="12" t="n">
        <f aca="false">IF(AND(($C$14=1),(L$18&gt;=(Assumptions!$C$106+1)),(L$18&lt;=(Assumptions!$C$106+3))),Assumptions!$C$115,0)</f>
        <v>0</v>
      </c>
      <c r="M30" s="12" t="n">
        <f aca="false">IF(AND(($C$14=1),(M$18&gt;=(Assumptions!$C$106+1)),(M$18&lt;=(Assumptions!$C$106+3))),Assumptions!$C$115,0)</f>
        <v>0</v>
      </c>
      <c r="N30" s="12" t="n">
        <f aca="false">IF(AND(($C$14=1),(N$18&gt;=(Assumptions!$C$106+1)),(N$18&lt;=(Assumptions!$C$106+3))),Assumptions!$C$115,0)</f>
        <v>0</v>
      </c>
      <c r="O30" s="12" t="n">
        <f aca="false">IF(AND(($C$14=1),(O$18&gt;=(Assumptions!$C$106+1)),(O$18&lt;=(Assumptions!$C$106+3))),Assumptions!$C$115,0)</f>
        <v>0</v>
      </c>
      <c r="P30" s="12" t="n">
        <f aca="false">IF(AND(($C$14=1),(P$18&gt;=(Assumptions!$C$106+1)),(P$18&lt;=(Assumptions!$C$106+3))),Assumptions!$C$115,0)</f>
        <v>0</v>
      </c>
      <c r="Q30" s="12" t="n">
        <f aca="false">IF(AND(($C$14=1),(Q$18&gt;=(Assumptions!$C$106+1)),(Q$18&lt;=(Assumptions!$C$106+3))),Assumptions!$C$115,0)</f>
        <v>0</v>
      </c>
      <c r="R30" s="12" t="n">
        <f aca="false">IF(AND(($C$14=1),(R$18&gt;=(Assumptions!$C$106+1)),(R$18&lt;=(Assumptions!$C$106+3))),Assumptions!$C$115,0)</f>
        <v>0</v>
      </c>
      <c r="S30" s="12" t="n">
        <f aca="false">IF(AND(($C$14=1),(S$18&gt;=(Assumptions!$C$106+1)),(S$18&lt;=(Assumptions!$C$106+3))),Assumptions!$C$115,0)</f>
        <v>0</v>
      </c>
      <c r="T30" s="12" t="n">
        <f aca="false">IF(AND(($C$14=1),(T$18&gt;=(Assumptions!$C$106+1)),(T$18&lt;=(Assumptions!$C$106+3))),Assumptions!$C$115,0)</f>
        <v>0</v>
      </c>
      <c r="U30" s="12" t="n">
        <f aca="false">IF(AND(($C$14=1),(U$18&gt;=(Assumptions!$C$106+1)),(U$18&lt;=(Assumptions!$C$106+3))),Assumptions!$C$115,0)</f>
        <v>0</v>
      </c>
      <c r="V30" s="12" t="n">
        <f aca="false">IF(AND(($C$14=1),(V$18&gt;=(Assumptions!$C$106+1)),(V$18&lt;=(Assumptions!$C$106+3))),Assumptions!$C$115,0)</f>
        <v>0</v>
      </c>
      <c r="W30" s="12" t="n">
        <f aca="false">IF(AND(($C$14=1),(W$18&gt;=(Assumptions!$C$106+1)),(W$18&lt;=(Assumptions!$C$106+3))),Assumptions!$C$115,0)</f>
        <v>0</v>
      </c>
      <c r="X30" s="12" t="n">
        <f aca="false">IF(AND(($C$14=1),(X$18&gt;=(Assumptions!$C$106+1)),(X$18&lt;=(Assumptions!$C$106+3))),Assumptions!$C$115,0)</f>
        <v>0</v>
      </c>
      <c r="Y30" s="12" t="n">
        <f aca="false">IF(AND(($C$14=1),(Y$18&gt;=(Assumptions!$C$106+1)),(Y$18&lt;=(Assumptions!$C$106+3))),Assumptions!$C$115,0)</f>
        <v>0</v>
      </c>
      <c r="Z30" s="12" t="n">
        <f aca="false">IF(AND(($C$14=1),(Z$18&gt;=(Assumptions!$C$106+1)),(Z$18&lt;=(Assumptions!$C$106+3))),Assumptions!$C$115,0)</f>
        <v>0</v>
      </c>
      <c r="AA30" s="12" t="n">
        <f aca="false">IF(AND(($C$14=1),(AA$18&gt;=(Assumptions!$C$106+1)),(AA$18&lt;=(Assumptions!$C$106+3))),Assumptions!$C$115,0)</f>
        <v>0</v>
      </c>
      <c r="AB30" s="12" t="n">
        <f aca="false">IF(AND(($C$14=1),(AB$18&gt;=(Assumptions!$C$106+1)),(AB$18&lt;=(Assumptions!$C$106+3))),Assumptions!$C$115,0)</f>
        <v>0</v>
      </c>
      <c r="AC30" s="12" t="n">
        <f aca="false">IF(AND(($C$14=1),(AC$18&gt;=(Assumptions!$C$106+1)),(AC$18&lt;=(Assumptions!$C$106+3))),Assumptions!$C$115,0)</f>
        <v>0</v>
      </c>
      <c r="AD30" s="12" t="n">
        <f aca="false">IF(AND(($C$14=1),(AD$18&gt;=(Assumptions!$C$106+1)),(AD$18&lt;=(Assumptions!$C$106+3))),Assumptions!$C$115,0)</f>
        <v>0</v>
      </c>
      <c r="AE30" s="12" t="n">
        <f aca="false">IF(AND(($C$14=1),(AE$18&gt;=(Assumptions!$C$106+1)),(AE$18&lt;=(Assumptions!$C$106+3))),Assumptions!$C$115,0)</f>
        <v>0</v>
      </c>
      <c r="AF30" s="12" t="n">
        <f aca="false">IF(AND(($C$14=1),(AF$18&gt;=(Assumptions!$C$106+1)),(AF$18&lt;=(Assumptions!$C$106+3))),Assumptions!$C$115,0)</f>
        <v>0</v>
      </c>
      <c r="AG30" s="12" t="n">
        <f aca="false">IF(AND(($C$14=1),(AG$18&gt;=(Assumptions!$C$106+1)),(AG$18&lt;=(Assumptions!$C$106+3))),Assumptions!$C$115,0)</f>
        <v>0</v>
      </c>
      <c r="AH30" s="12" t="n">
        <f aca="false">IF(AND(($C$14=1),(AH$18&gt;=(Assumptions!$C$106+1)),(AH$18&lt;=(Assumptions!$C$106+3))),Assumptions!$C$115,0)</f>
        <v>0</v>
      </c>
      <c r="AI30" s="12" t="n">
        <f aca="false">IF(AND(($C$14=1),(AI$18&gt;=(Assumptions!$C$106+1)),(AI$18&lt;=(Assumptions!$C$106+3))),Assumptions!$C$115,0)</f>
        <v>0</v>
      </c>
      <c r="AJ30" s="12" t="n">
        <f aca="false">IF(AND(($C$14=1),(AJ$18&gt;=(Assumptions!$C$106+1)),(AJ$18&lt;=(Assumptions!$C$106+3))),Assumptions!$C$115,0)</f>
        <v>0</v>
      </c>
      <c r="AK30" s="12" t="n">
        <f aca="false">IF(AND(($C$14=1),(AK$18&gt;=(Assumptions!$C$106+1)),(AK$18&lt;=(Assumptions!$C$106+3))),Assumptions!$C$115,0)</f>
        <v>0</v>
      </c>
      <c r="AL30" s="12" t="n">
        <f aca="false">IF(AND(($C$14=1),(AL$18&gt;=(Assumptions!$C$106+1)),(AL$18&lt;=(Assumptions!$C$106+3))),Assumptions!$C$115,0)</f>
        <v>0</v>
      </c>
    </row>
    <row r="31" customFormat="false" ht="15" hidden="false" customHeight="false" outlineLevel="0" collapsed="false">
      <c r="A31" s="0" t="s">
        <v>836</v>
      </c>
      <c r="B31" s="0" t="s">
        <v>193</v>
      </c>
      <c r="C31" s="12" t="n">
        <f aca="false">MIN(1,((Assumptions!$C$22*$C$6)+C30))</f>
        <v>0.0625</v>
      </c>
      <c r="D31" s="12" t="n">
        <f aca="false">MIN(1,((Assumptions!$C$22*$C$6)+D30))</f>
        <v>0.0625</v>
      </c>
      <c r="E31" s="12" t="n">
        <f aca="false">MIN(1,((Assumptions!$C$22*$C$6)+E30))</f>
        <v>0.0625</v>
      </c>
      <c r="F31" s="12" t="n">
        <f aca="false">MIN(1,((Assumptions!$C$22*$C$6)+F30))</f>
        <v>0.0625</v>
      </c>
      <c r="G31" s="12" t="n">
        <f aca="false">MIN(1,((Assumptions!$C$22*$C$6)+G30))</f>
        <v>0.0625</v>
      </c>
      <c r="H31" s="12" t="n">
        <f aca="false">MIN(1,((Assumptions!$C$22*$C$6)+H30))</f>
        <v>0.0625</v>
      </c>
      <c r="I31" s="12" t="n">
        <f aca="false">MIN(1,((Assumptions!$C$22*$C$6)+I30))</f>
        <v>0.0625</v>
      </c>
      <c r="J31" s="12" t="n">
        <f aca="false">MIN(1,((Assumptions!$C$22*$C$6)+J30))</f>
        <v>0.0625</v>
      </c>
      <c r="K31" s="12" t="n">
        <f aca="false">MIN(1,((Assumptions!$C$22*$C$6)+K30))</f>
        <v>0.0625</v>
      </c>
      <c r="L31" s="12" t="n">
        <f aca="false">MIN(1,((Assumptions!$C$22*$C$6)+L30))</f>
        <v>0.0625</v>
      </c>
      <c r="M31" s="12" t="n">
        <f aca="false">MIN(1,((Assumptions!$C$22*$C$6)+M30))</f>
        <v>0.0625</v>
      </c>
      <c r="N31" s="12" t="n">
        <f aca="false">MIN(1,((Assumptions!$C$22*$C$6)+N30))</f>
        <v>0.0625</v>
      </c>
      <c r="O31" s="12" t="n">
        <f aca="false">MIN(1,((Assumptions!$C$22*$C$6)+O30))</f>
        <v>0.0625</v>
      </c>
      <c r="P31" s="12" t="n">
        <f aca="false">MIN(1,((Assumptions!$C$22*$C$6)+P30))</f>
        <v>0.0625</v>
      </c>
      <c r="Q31" s="12" t="n">
        <f aca="false">MIN(1,((Assumptions!$C$22*$C$6)+Q30))</f>
        <v>0.0625</v>
      </c>
      <c r="R31" s="12" t="n">
        <f aca="false">MIN(1,((Assumptions!$C$22*$C$6)+R30))</f>
        <v>0.0625</v>
      </c>
      <c r="S31" s="12" t="n">
        <f aca="false">MIN(1,((Assumptions!$C$22*$C$6)+S30))</f>
        <v>0.0625</v>
      </c>
      <c r="T31" s="12" t="n">
        <f aca="false">MIN(1,((Assumptions!$C$22*$C$6)+T30))</f>
        <v>0.0625</v>
      </c>
      <c r="U31" s="12" t="n">
        <f aca="false">MIN(1,((Assumptions!$C$22*$C$6)+U30))</f>
        <v>0.0625</v>
      </c>
      <c r="V31" s="12" t="n">
        <f aca="false">MIN(1,((Assumptions!$C$22*$C$6)+V30))</f>
        <v>0.0625</v>
      </c>
      <c r="W31" s="12" t="n">
        <f aca="false">MIN(1,((Assumptions!$C$22*$C$6)+W30))</f>
        <v>0.0625</v>
      </c>
      <c r="X31" s="12" t="n">
        <f aca="false">MIN(1,((Assumptions!$C$22*$C$6)+X30))</f>
        <v>0.0625</v>
      </c>
      <c r="Y31" s="12" t="n">
        <f aca="false">MIN(1,((Assumptions!$C$22*$C$6)+Y30))</f>
        <v>0.0625</v>
      </c>
      <c r="Z31" s="12" t="n">
        <f aca="false">MIN(1,((Assumptions!$C$22*$C$6)+Z30))</f>
        <v>0.0625</v>
      </c>
      <c r="AA31" s="12" t="n">
        <f aca="false">MIN(1,((Assumptions!$C$22*$C$6)+AA30))</f>
        <v>0.0625</v>
      </c>
      <c r="AB31" s="12" t="n">
        <f aca="false">MIN(1,((Assumptions!$C$22*$C$6)+AB30))</f>
        <v>0.0625</v>
      </c>
      <c r="AC31" s="12" t="n">
        <f aca="false">MIN(1,((Assumptions!$C$22*$C$6)+AC30))</f>
        <v>0.0625</v>
      </c>
      <c r="AD31" s="12" t="n">
        <f aca="false">MIN(1,((Assumptions!$C$22*$C$6)+AD30))</f>
        <v>0.0625</v>
      </c>
      <c r="AE31" s="12" t="n">
        <f aca="false">MIN(1,((Assumptions!$C$22*$C$6)+AE30))</f>
        <v>0.0625</v>
      </c>
      <c r="AF31" s="12" t="n">
        <f aca="false">MIN(1,((Assumptions!$C$22*$C$6)+AF30))</f>
        <v>0.0625</v>
      </c>
      <c r="AG31" s="12" t="n">
        <f aca="false">MIN(1,((Assumptions!$C$22*$C$6)+AG30))</f>
        <v>0.0625</v>
      </c>
      <c r="AH31" s="12" t="n">
        <f aca="false">MIN(1,((Assumptions!$C$22*$C$6)+AH30))</f>
        <v>0.0625</v>
      </c>
      <c r="AI31" s="12" t="n">
        <f aca="false">MIN(1,((Assumptions!$C$22*$C$6)+AI30))</f>
        <v>0.0625</v>
      </c>
      <c r="AJ31" s="12" t="n">
        <f aca="false">MIN(1,((Assumptions!$C$22*$C$6)+AJ30))</f>
        <v>0.0625</v>
      </c>
      <c r="AK31" s="12" t="n">
        <f aca="false">MIN(1,((Assumptions!$C$22*$C$6)+AK30))</f>
        <v>0.0625</v>
      </c>
      <c r="AL31" s="12" t="n">
        <f aca="false">MIN(1,((Assumptions!$C$22*$C$6)+AL30))</f>
        <v>0.0625</v>
      </c>
    </row>
    <row r="32" customFormat="false" ht="15" hidden="false" customHeight="false" outlineLevel="0" collapsed="false">
      <c r="A32" s="0" t="s">
        <v>837</v>
      </c>
      <c r="B32" s="0" t="s">
        <v>500</v>
      </c>
      <c r="C32" s="9" t="n">
        <f aca="false">(C28*(1-Assumptions!$C$21))</f>
        <v>0</v>
      </c>
      <c r="D32" s="9" t="n">
        <f aca="false">(D28*(1-Assumptions!$C$21))</f>
        <v>0</v>
      </c>
      <c r="E32" s="9" t="n">
        <f aca="false">(E28*(1-Assumptions!$C$21))</f>
        <v>0</v>
      </c>
      <c r="F32" s="9" t="n">
        <f aca="false">(F28*(1-Assumptions!$C$21))</f>
        <v>0</v>
      </c>
      <c r="G32" s="9" t="n">
        <f aca="false">(G28*(1-Assumptions!$C$21))</f>
        <v>0</v>
      </c>
      <c r="H32" s="9" t="n">
        <f aca="false">(H28*(1-Assumptions!$C$21))</f>
        <v>0</v>
      </c>
      <c r="I32" s="9" t="n">
        <f aca="false">(I28*(1-Assumptions!$C$21))</f>
        <v>0</v>
      </c>
      <c r="J32" s="9" t="n">
        <f aca="false">(J28*(1-Assumptions!$C$21))</f>
        <v>0</v>
      </c>
      <c r="K32" s="9" t="n">
        <f aca="false">(K28*(1-Assumptions!$C$21))</f>
        <v>0</v>
      </c>
      <c r="L32" s="9" t="n">
        <f aca="false">(L28*(1-Assumptions!$C$21))</f>
        <v>0</v>
      </c>
      <c r="M32" s="9" t="n">
        <f aca="false">(M28*(1-Assumptions!$C$21))</f>
        <v>0</v>
      </c>
      <c r="N32" s="9" t="n">
        <f aca="false">(N28*(1-Assumptions!$C$21))</f>
        <v>0</v>
      </c>
      <c r="O32" s="9" t="n">
        <f aca="false">(O28*(1-Assumptions!$C$21))</f>
        <v>1.19210238931604</v>
      </c>
      <c r="P32" s="9" t="n">
        <f aca="false">(P28*(1-Assumptions!$C$21))</f>
        <v>2.79426653191267</v>
      </c>
      <c r="Q32" s="9" t="n">
        <f aca="false">(Q28*(1-Assumptions!$C$21))</f>
        <v>4.05461457302133</v>
      </c>
      <c r="R32" s="9" t="n">
        <f aca="false">(R28*(1-Assumptions!$C$21))</f>
        <v>5.0011885499217</v>
      </c>
      <c r="S32" s="9" t="n">
        <f aca="false">(S28*(1-Assumptions!$C$21))</f>
        <v>5.76328037616578</v>
      </c>
      <c r="T32" s="9" t="n">
        <f aca="false">(T28*(1-Assumptions!$C$21))</f>
        <v>6.24666489715448</v>
      </c>
      <c r="U32" s="9" t="n">
        <f aca="false">(U28*(1-Assumptions!$C$21))</f>
        <v>6.58327587633177</v>
      </c>
      <c r="V32" s="9" t="n">
        <f aca="false">(V28*(1-Assumptions!$C$21))</f>
        <v>7.13906138411277</v>
      </c>
      <c r="W32" s="9" t="n">
        <f aca="false">(W28*(1-Assumptions!$C$21))</f>
        <v>8.77137125817951</v>
      </c>
      <c r="X32" s="9" t="n">
        <f aca="false">(X28*(1-Assumptions!$C$21))</f>
        <v>10.5403361393079</v>
      </c>
      <c r="Y32" s="9" t="n">
        <f aca="false">(Y28*(1-Assumptions!$C$21))</f>
        <v>11.251229890186</v>
      </c>
      <c r="Z32" s="9" t="n">
        <f aca="false">(Z28*(1-Assumptions!$C$21))</f>
        <v>11.6564076756212</v>
      </c>
      <c r="AA32" s="9" t="n">
        <f aca="false">(AA28*(1-Assumptions!$C$21))</f>
        <v>11.773297785555</v>
      </c>
      <c r="AB32" s="9" t="n">
        <f aca="false">(AB28*(1-Assumptions!$C$21))</f>
        <v>13.1414125775375</v>
      </c>
      <c r="AC32" s="9" t="n">
        <f aca="false">(AC28*(1-Assumptions!$C$21))</f>
        <v>14.0872567083489</v>
      </c>
      <c r="AD32" s="9" t="n">
        <f aca="false">(AD28*(1-Assumptions!$C$21))</f>
        <v>14.6483763801234</v>
      </c>
      <c r="AE32" s="9" t="n">
        <f aca="false">(AE28*(1-Assumptions!$C$21))</f>
        <v>15.0166158972577</v>
      </c>
      <c r="AF32" s="9" t="n">
        <f aca="false">(AF28*(1-Assumptions!$C$21))</f>
        <v>15.04500748634</v>
      </c>
      <c r="AG32" s="9" t="n">
        <f aca="false">(AG28*(1-Assumptions!$C$21))</f>
        <v>14.9269575703078</v>
      </c>
      <c r="AH32" s="9" t="n">
        <f aca="false">(AH28*(1-Assumptions!$C$21))</f>
        <v>15.1875965778575</v>
      </c>
      <c r="AI32" s="9" t="n">
        <f aca="false">(AI28*(1-Assumptions!$C$21))</f>
        <v>17.0301864282856</v>
      </c>
      <c r="AJ32" s="9" t="n">
        <f aca="false">(AJ28*(1-Assumptions!$C$21))</f>
        <v>19.0791001763784</v>
      </c>
      <c r="AK32" s="9" t="n">
        <f aca="false">(AK28*(1-Assumptions!$C$21))</f>
        <v>19.6650819243699</v>
      </c>
      <c r="AL32" s="9" t="n">
        <f aca="false">(AL28*(1-Assumptions!$C$21))</f>
        <v>19.8514196494811</v>
      </c>
      <c r="AN32" s="11" t="n">
        <f aca="false">SUM(C32:N32)</f>
        <v>0</v>
      </c>
      <c r="AO32" s="11" t="n">
        <f aca="false">SUM(O32:Z32)</f>
        <v>80.9937995412312</v>
      </c>
      <c r="AP32" s="11" t="n">
        <f aca="false">SUM(AA32:AL32)</f>
        <v>189.452309161843</v>
      </c>
    </row>
    <row r="33" customFormat="false" ht="15" hidden="false" customHeight="false" outlineLevel="0" collapsed="false">
      <c r="A33" s="0" t="s">
        <v>838</v>
      </c>
      <c r="B33" s="0" t="s">
        <v>500</v>
      </c>
      <c r="C33" s="9" t="n">
        <f aca="false">(C28*Assumptions!$C$21)</f>
        <v>0</v>
      </c>
      <c r="D33" s="9" t="n">
        <f aca="false">(D28*Assumptions!$C$21)</f>
        <v>0</v>
      </c>
      <c r="E33" s="9" t="n">
        <f aca="false">(E28*Assumptions!$C$21)</f>
        <v>0</v>
      </c>
      <c r="F33" s="9" t="n">
        <f aca="false">(F28*Assumptions!$C$21)</f>
        <v>0</v>
      </c>
      <c r="G33" s="9" t="n">
        <f aca="false">(G28*Assumptions!$C$21)</f>
        <v>0</v>
      </c>
      <c r="H33" s="9" t="n">
        <f aca="false">(H28*Assumptions!$C$21)</f>
        <v>0</v>
      </c>
      <c r="I33" s="9" t="n">
        <f aca="false">(I28*Assumptions!$C$21)</f>
        <v>0</v>
      </c>
      <c r="J33" s="9" t="n">
        <f aca="false">(J28*Assumptions!$C$21)</f>
        <v>0</v>
      </c>
      <c r="K33" s="9" t="n">
        <f aca="false">(K28*Assumptions!$C$21)</f>
        <v>0</v>
      </c>
      <c r="L33" s="9" t="n">
        <f aca="false">(L28*Assumptions!$C$21)</f>
        <v>0</v>
      </c>
      <c r="M33" s="9" t="n">
        <f aca="false">(M28*Assumptions!$C$21)</f>
        <v>0</v>
      </c>
      <c r="N33" s="9" t="n">
        <f aca="false">(N28*Assumptions!$C$21)</f>
        <v>0</v>
      </c>
      <c r="O33" s="9" t="n">
        <f aca="false">(O28*Assumptions!$C$21)</f>
        <v>0.975356500349488</v>
      </c>
      <c r="P33" s="9" t="n">
        <f aca="false">(P28*Assumptions!$C$21)</f>
        <v>2.28621807156491</v>
      </c>
      <c r="Q33" s="9" t="n">
        <f aca="false">(Q28*Assumptions!$C$21)</f>
        <v>3.31741192338108</v>
      </c>
      <c r="R33" s="9" t="n">
        <f aca="false">(R28*Assumptions!$C$21)</f>
        <v>4.09188154084503</v>
      </c>
      <c r="S33" s="9" t="n">
        <f aca="false">(S28*Assumptions!$C$21)</f>
        <v>4.71541121686291</v>
      </c>
      <c r="T33" s="9" t="n">
        <f aca="false">(T28*Assumptions!$C$21)</f>
        <v>5.11090764312639</v>
      </c>
      <c r="U33" s="9" t="n">
        <f aca="false">(U28*Assumptions!$C$21)</f>
        <v>5.38631662608963</v>
      </c>
      <c r="V33" s="9" t="n">
        <f aca="false">(V28*Assumptions!$C$21)</f>
        <v>5.84105022336499</v>
      </c>
      <c r="W33" s="9" t="n">
        <f aca="false">(W28*Assumptions!$C$21)</f>
        <v>7.17657648396505</v>
      </c>
      <c r="X33" s="9" t="n">
        <f aca="false">(X28*Assumptions!$C$21)</f>
        <v>8.6239113867065</v>
      </c>
      <c r="Y33" s="9" t="n">
        <f aca="false">(Y28*Assumptions!$C$21)</f>
        <v>9.20555172833401</v>
      </c>
      <c r="Z33" s="9" t="n">
        <f aca="false">(Z28*Assumptions!$C$21)</f>
        <v>9.53706082550829</v>
      </c>
      <c r="AA33" s="9" t="n">
        <f aca="false">(AA28*Assumptions!$C$21)</f>
        <v>9.63269818818138</v>
      </c>
      <c r="AB33" s="9" t="n">
        <f aca="false">(AB28*Assumptions!$C$21)</f>
        <v>10.752064836167</v>
      </c>
      <c r="AC33" s="9" t="n">
        <f aca="false">(AC28*Assumptions!$C$21)</f>
        <v>11.5259373068309</v>
      </c>
      <c r="AD33" s="9" t="n">
        <f aca="false">(AD28*Assumptions!$C$21)</f>
        <v>11.985035220101</v>
      </c>
      <c r="AE33" s="9" t="n">
        <f aca="false">(AE28*Assumptions!$C$21)</f>
        <v>12.2863220977563</v>
      </c>
      <c r="AF33" s="9" t="n">
        <f aca="false">(AF28*Assumptions!$C$21)</f>
        <v>12.3095515797328</v>
      </c>
      <c r="AG33" s="9" t="n">
        <f aca="false">(AG28*Assumptions!$C$21)</f>
        <v>12.2129652847973</v>
      </c>
      <c r="AH33" s="9" t="n">
        <f aca="false">(AH28*Assumptions!$C$21)</f>
        <v>12.4262153818834</v>
      </c>
      <c r="AI33" s="9" t="n">
        <f aca="false">(AI28*Assumptions!$C$21)</f>
        <v>13.9337888958701</v>
      </c>
      <c r="AJ33" s="9" t="n">
        <f aca="false">(AJ28*Assumptions!$C$21)</f>
        <v>15.6101728715823</v>
      </c>
      <c r="AK33" s="9" t="n">
        <f aca="false">(AK28*Assumptions!$C$21)</f>
        <v>16.0896124835754</v>
      </c>
      <c r="AL33" s="9" t="n">
        <f aca="false">(AL28*Assumptions!$C$21)</f>
        <v>16.2420706223027</v>
      </c>
      <c r="AN33" s="11" t="n">
        <f aca="false">SUM(C33:N33)</f>
        <v>0</v>
      </c>
      <c r="AO33" s="11" t="n">
        <f aca="false">SUM(O33:Z33)</f>
        <v>66.2676541700983</v>
      </c>
      <c r="AP33" s="11" t="n">
        <f aca="false">SUM(AA33:AL33)</f>
        <v>155.006434768781</v>
      </c>
    </row>
    <row r="34" customFormat="false" ht="15" hidden="false" customHeight="false" outlineLevel="0" collapsed="false">
      <c r="A34" s="0" t="s">
        <v>839</v>
      </c>
      <c r="B34" s="0" t="s">
        <v>500</v>
      </c>
      <c r="C34" s="9" t="n">
        <f aca="false">((0*(1-C31))+C32)</f>
        <v>0</v>
      </c>
      <c r="D34" s="9" t="n">
        <f aca="false">((C34*(1-D31))+D32)</f>
        <v>0</v>
      </c>
      <c r="E34" s="9" t="n">
        <f aca="false">((D34*(1-E31))+E32)</f>
        <v>0</v>
      </c>
      <c r="F34" s="9" t="n">
        <f aca="false">((E34*(1-F31))+F32)</f>
        <v>0</v>
      </c>
      <c r="G34" s="9" t="n">
        <f aca="false">((F34*(1-G31))+G32)</f>
        <v>0</v>
      </c>
      <c r="H34" s="9" t="n">
        <f aca="false">((G34*(1-H31))+H32)</f>
        <v>0</v>
      </c>
      <c r="I34" s="9" t="n">
        <f aca="false">((H34*(1-I31))+I32)</f>
        <v>0</v>
      </c>
      <c r="J34" s="9" t="n">
        <f aca="false">((I34*(1-J31))+J32)</f>
        <v>0</v>
      </c>
      <c r="K34" s="9" t="n">
        <f aca="false">((J34*(1-K31))+K32)</f>
        <v>0</v>
      </c>
      <c r="L34" s="9" t="n">
        <f aca="false">((K34*(1-L31))+L32)</f>
        <v>0</v>
      </c>
      <c r="M34" s="9" t="n">
        <f aca="false">((L34*(1-M31))+M32)</f>
        <v>0</v>
      </c>
      <c r="N34" s="9" t="n">
        <f aca="false">((M34*(1-N31))+N32)</f>
        <v>0</v>
      </c>
      <c r="O34" s="9" t="n">
        <f aca="false">((N34*(1-O31))+O32)</f>
        <v>1.19210238931604</v>
      </c>
      <c r="P34" s="9" t="n">
        <f aca="false">((O34*(1-P31))+P32)</f>
        <v>3.91186252189646</v>
      </c>
      <c r="Q34" s="9" t="n">
        <f aca="false">((P34*(1-Q31))+Q32)</f>
        <v>7.72198568729925</v>
      </c>
      <c r="R34" s="9" t="n">
        <f aca="false">((Q34*(1-R31))+R32)</f>
        <v>12.2405501317648</v>
      </c>
      <c r="S34" s="9" t="n">
        <f aca="false">((R34*(1-S31))+S32)</f>
        <v>17.2387961246952</v>
      </c>
      <c r="T34" s="9" t="n">
        <f aca="false">((S34*(1-T31))+T32)</f>
        <v>22.4080362640563</v>
      </c>
      <c r="U34" s="9" t="n">
        <f aca="false">((T34*(1-U31))+U32)</f>
        <v>27.5908098738845</v>
      </c>
      <c r="V34" s="9" t="n">
        <f aca="false">((U34*(1-V31))+V32)</f>
        <v>33.0054456408795</v>
      </c>
      <c r="W34" s="9" t="n">
        <f aca="false">((V34*(1-W31))+W32)</f>
        <v>39.713976546504</v>
      </c>
      <c r="X34" s="9" t="n">
        <f aca="false">((W34*(1-X31))+X32)</f>
        <v>47.7721891516555</v>
      </c>
      <c r="Y34" s="9" t="n">
        <f aca="false">((X34*(1-Y31))+Y32)</f>
        <v>56.037657219863</v>
      </c>
      <c r="Z34" s="9" t="n">
        <f aca="false">((Y34*(1-Z31))+Z32)</f>
        <v>64.1917113192428</v>
      </c>
      <c r="AA34" s="9" t="n">
        <f aca="false">((Z34*(1-AA31))+AA32)</f>
        <v>71.9530271473452</v>
      </c>
      <c r="AB34" s="9" t="n">
        <f aca="false">((AA34*(1-AB31))+AB32)</f>
        <v>80.5973755281736</v>
      </c>
      <c r="AC34" s="9" t="n">
        <f aca="false">((AB34*(1-AC31))+AC32)</f>
        <v>89.6472962660116</v>
      </c>
      <c r="AD34" s="9" t="n">
        <f aca="false">((AC34*(1-AD31))+AD32)</f>
        <v>98.6927166295093</v>
      </c>
      <c r="AE34" s="9" t="n">
        <f aca="false">((AD34*(1-AE31))+AE32)</f>
        <v>107.541037737423</v>
      </c>
      <c r="AF34" s="9" t="n">
        <f aca="false">((AE34*(1-AF31))+AF32)</f>
        <v>115.864730365174</v>
      </c>
      <c r="AG34" s="9" t="n">
        <f aca="false">((AF34*(1-AG31))+AG32)</f>
        <v>123.550142287658</v>
      </c>
      <c r="AH34" s="9" t="n">
        <f aca="false">((AG34*(1-AH31))+AH32)</f>
        <v>131.015854972537</v>
      </c>
      <c r="AI34" s="9" t="n">
        <f aca="false">((AH34*(1-AI31))+AI32)</f>
        <v>139.857550465039</v>
      </c>
      <c r="AJ34" s="9" t="n">
        <f aca="false">((AI34*(1-AJ31))+AJ32)</f>
        <v>150.195553737353</v>
      </c>
      <c r="AK34" s="9" t="n">
        <f aca="false">((AJ34*(1-AK31))+AK32)</f>
        <v>160.473413553138</v>
      </c>
      <c r="AL34" s="9" t="n">
        <f aca="false">((AK34*(1-AL31))+AL32)</f>
        <v>170.295244855548</v>
      </c>
      <c r="AN34" s="11" t="n">
        <f aca="false">N34</f>
        <v>0</v>
      </c>
      <c r="AO34" s="11" t="n">
        <f aca="false">Z34</f>
        <v>64.1917113192428</v>
      </c>
      <c r="AP34" s="11" t="n">
        <f aca="false">AL34</f>
        <v>170.295244855548</v>
      </c>
    </row>
    <row r="35" customFormat="false" ht="15" hidden="false" customHeight="false" outlineLevel="0" collapsed="false">
      <c r="A35" s="0" t="s">
        <v>840</v>
      </c>
      <c r="B35" s="0" t="s">
        <v>193</v>
      </c>
      <c r="C35" s="12" t="n">
        <f aca="false">MAX(0,(1-((1-Assumptions!$C$23)*$C$6)))</f>
        <v>0.4375</v>
      </c>
      <c r="D35" s="12" t="n">
        <f aca="false">MAX(0,(1-((1-Assumptions!$C$23)*$C$6)))</f>
        <v>0.4375</v>
      </c>
      <c r="E35" s="12" t="n">
        <f aca="false">MAX(0,(1-((1-Assumptions!$C$23)*$C$6)))</f>
        <v>0.4375</v>
      </c>
      <c r="F35" s="12" t="n">
        <f aca="false">MAX(0,(1-((1-Assumptions!$C$23)*$C$6)))</f>
        <v>0.4375</v>
      </c>
      <c r="G35" s="12" t="n">
        <f aca="false">MAX(0,(1-((1-Assumptions!$C$23)*$C$6)))</f>
        <v>0.4375</v>
      </c>
      <c r="H35" s="12" t="n">
        <f aca="false">MAX(0,(1-((1-Assumptions!$C$23)*$C$6)))</f>
        <v>0.4375</v>
      </c>
      <c r="I35" s="12" t="n">
        <f aca="false">MAX(0,(1-((1-Assumptions!$C$23)*$C$6)))</f>
        <v>0.4375</v>
      </c>
      <c r="J35" s="12" t="n">
        <f aca="false">MAX(0,(1-((1-Assumptions!$C$23)*$C$6)))</f>
        <v>0.4375</v>
      </c>
      <c r="K35" s="12" t="n">
        <f aca="false">MAX(0,(1-((1-Assumptions!$C$23)*$C$6)))</f>
        <v>0.4375</v>
      </c>
      <c r="L35" s="12" t="n">
        <f aca="false">MAX(0,(1-((1-Assumptions!$C$23)*$C$6)))</f>
        <v>0.4375</v>
      </c>
      <c r="M35" s="12" t="n">
        <f aca="false">MAX(0,(1-((1-Assumptions!$C$23)*$C$6)))</f>
        <v>0.4375</v>
      </c>
      <c r="N35" s="12" t="n">
        <f aca="false">MAX(0,(1-((1-Assumptions!$C$23)*$C$6)))</f>
        <v>0.4375</v>
      </c>
      <c r="O35" s="12" t="n">
        <f aca="false">MAX(0,(1-((1-Assumptions!$C$23)*$C$6)))</f>
        <v>0.4375</v>
      </c>
      <c r="P35" s="12" t="n">
        <f aca="false">MAX(0,(1-((1-Assumptions!$C$23)*$C$6)))</f>
        <v>0.4375</v>
      </c>
      <c r="Q35" s="12" t="n">
        <f aca="false">MAX(0,(1-((1-Assumptions!$C$23)*$C$6)))</f>
        <v>0.4375</v>
      </c>
      <c r="R35" s="12" t="n">
        <f aca="false">MAX(0,(1-((1-Assumptions!$C$23)*$C$6)))</f>
        <v>0.4375</v>
      </c>
      <c r="S35" s="12" t="n">
        <f aca="false">MAX(0,(1-((1-Assumptions!$C$23)*$C$6)))</f>
        <v>0.4375</v>
      </c>
      <c r="T35" s="12" t="n">
        <f aca="false">MAX(0,(1-((1-Assumptions!$C$23)*$C$6)))</f>
        <v>0.4375</v>
      </c>
      <c r="U35" s="12" t="n">
        <f aca="false">MAX(0,(1-((1-Assumptions!$C$23)*$C$6)))</f>
        <v>0.4375</v>
      </c>
      <c r="V35" s="12" t="n">
        <f aca="false">MAX(0,(1-((1-Assumptions!$C$23)*$C$6)))</f>
        <v>0.4375</v>
      </c>
      <c r="W35" s="12" t="n">
        <f aca="false">MAX(0,(1-((1-Assumptions!$C$23)*$C$6)))</f>
        <v>0.4375</v>
      </c>
      <c r="X35" s="12" t="n">
        <f aca="false">MAX(0,(1-((1-Assumptions!$C$23)*$C$6)))</f>
        <v>0.4375</v>
      </c>
      <c r="Y35" s="12" t="n">
        <f aca="false">MAX(0,(1-((1-Assumptions!$C$23)*$C$6)))</f>
        <v>0.4375</v>
      </c>
      <c r="Z35" s="12" t="n">
        <f aca="false">MAX(0,(1-((1-Assumptions!$C$23)*$C$6)))</f>
        <v>0.4375</v>
      </c>
      <c r="AA35" s="12" t="n">
        <f aca="false">MAX(0,(1-((1-Assumptions!$C$23)*$C$6)))</f>
        <v>0.4375</v>
      </c>
      <c r="AB35" s="12" t="n">
        <f aca="false">MAX(0,(1-((1-Assumptions!$C$23)*$C$6)))</f>
        <v>0.4375</v>
      </c>
      <c r="AC35" s="12" t="n">
        <f aca="false">MAX(0,(1-((1-Assumptions!$C$23)*$C$6)))</f>
        <v>0.4375</v>
      </c>
      <c r="AD35" s="12" t="n">
        <f aca="false">MAX(0,(1-((1-Assumptions!$C$23)*$C$6)))</f>
        <v>0.4375</v>
      </c>
      <c r="AE35" s="12" t="n">
        <f aca="false">MAX(0,(1-((1-Assumptions!$C$23)*$C$6)))</f>
        <v>0.4375</v>
      </c>
      <c r="AF35" s="12" t="n">
        <f aca="false">MAX(0,(1-((1-Assumptions!$C$23)*$C$6)))</f>
        <v>0.4375</v>
      </c>
      <c r="AG35" s="12" t="n">
        <f aca="false">MAX(0,(1-((1-Assumptions!$C$23)*$C$6)))</f>
        <v>0.4375</v>
      </c>
      <c r="AH35" s="12" t="n">
        <f aca="false">MAX(0,(1-((1-Assumptions!$C$23)*$C$6)))</f>
        <v>0.4375</v>
      </c>
      <c r="AI35" s="12" t="n">
        <f aca="false">MAX(0,(1-((1-Assumptions!$C$23)*$C$6)))</f>
        <v>0.4375</v>
      </c>
      <c r="AJ35" s="12" t="n">
        <f aca="false">MAX(0,(1-((1-Assumptions!$C$23)*$C$6)))</f>
        <v>0.4375</v>
      </c>
      <c r="AK35" s="12" t="n">
        <f aca="false">MAX(0,(1-((1-Assumptions!$C$23)*$C$6)))</f>
        <v>0.4375</v>
      </c>
      <c r="AL35" s="12" t="n">
        <f aca="false">MAX(0,(1-((1-Assumptions!$C$23)*$C$6)))</f>
        <v>0.4375</v>
      </c>
    </row>
    <row r="36" customFormat="false" ht="15" hidden="false" customHeight="false" outlineLevel="0" collapsed="false">
      <c r="A36" s="0" t="s">
        <v>841</v>
      </c>
      <c r="B36" s="0" t="s">
        <v>500</v>
      </c>
      <c r="C36" s="9" t="n">
        <f aca="false">(C35*0)</f>
        <v>0</v>
      </c>
      <c r="D36" s="9" t="n">
        <f aca="false">(D35*0)</f>
        <v>0</v>
      </c>
      <c r="E36" s="9" t="n">
        <f aca="false">(E35*0)</f>
        <v>0</v>
      </c>
      <c r="F36" s="9" t="n">
        <f aca="false">(F35*0)</f>
        <v>0</v>
      </c>
      <c r="G36" s="9" t="n">
        <f aca="false">(G35*0)</f>
        <v>0</v>
      </c>
      <c r="H36" s="9" t="n">
        <f aca="false">(H35*0)</f>
        <v>0</v>
      </c>
      <c r="I36" s="9" t="n">
        <f aca="false">(I35*0)</f>
        <v>0</v>
      </c>
      <c r="J36" s="9" t="n">
        <f aca="false">(J35*0)</f>
        <v>0</v>
      </c>
      <c r="K36" s="9" t="n">
        <f aca="false">(K35*0)</f>
        <v>0</v>
      </c>
      <c r="L36" s="9" t="n">
        <f aca="false">(L35*0)</f>
        <v>0</v>
      </c>
      <c r="M36" s="9" t="n">
        <f aca="false">(M35*0)</f>
        <v>0</v>
      </c>
      <c r="N36" s="9" t="n">
        <f aca="false">(N35*0)</f>
        <v>0</v>
      </c>
      <c r="O36" s="9" t="n">
        <f aca="false">(O35*C37)</f>
        <v>0</v>
      </c>
      <c r="P36" s="9" t="n">
        <f aca="false">(P35*D37)</f>
        <v>0</v>
      </c>
      <c r="Q36" s="9" t="n">
        <f aca="false">(Q35*E37)</f>
        <v>0</v>
      </c>
      <c r="R36" s="9" t="n">
        <f aca="false">(R35*F37)</f>
        <v>0</v>
      </c>
      <c r="S36" s="9" t="n">
        <f aca="false">(S35*G37)</f>
        <v>0</v>
      </c>
      <c r="T36" s="9" t="n">
        <f aca="false">(T35*H37)</f>
        <v>0</v>
      </c>
      <c r="U36" s="9" t="n">
        <f aca="false">(U35*I37)</f>
        <v>0</v>
      </c>
      <c r="V36" s="9" t="n">
        <f aca="false">(V35*J37)</f>
        <v>0</v>
      </c>
      <c r="W36" s="9" t="n">
        <f aca="false">(W35*K37)</f>
        <v>0</v>
      </c>
      <c r="X36" s="9" t="n">
        <f aca="false">(X35*L37)</f>
        <v>0</v>
      </c>
      <c r="Y36" s="9" t="n">
        <f aca="false">(Y35*M37)</f>
        <v>0</v>
      </c>
      <c r="Z36" s="9" t="n">
        <f aca="false">(Z35*N37)</f>
        <v>0</v>
      </c>
      <c r="AA36" s="9" t="n">
        <f aca="false">(AA35*O37)</f>
        <v>0.426718468902901</v>
      </c>
      <c r="AB36" s="9" t="n">
        <f aca="false">(AB35*P37)</f>
        <v>1.00022040630965</v>
      </c>
      <c r="AC36" s="9" t="n">
        <f aca="false">(AC35*Q37)</f>
        <v>1.45136771647922</v>
      </c>
      <c r="AD36" s="9" t="n">
        <f aca="false">(AD35*R37)</f>
        <v>1.7901981741197</v>
      </c>
      <c r="AE36" s="9" t="n">
        <f aca="false">(AE35*S37)</f>
        <v>2.06299240737752</v>
      </c>
      <c r="AF36" s="9" t="n">
        <f aca="false">(AF35*T37)</f>
        <v>2.2360220938678</v>
      </c>
      <c r="AG36" s="9" t="n">
        <f aca="false">(AG35*U37)</f>
        <v>2.35651352391421</v>
      </c>
      <c r="AH36" s="9" t="n">
        <f aca="false">(AH35*V37)</f>
        <v>2.55545947272218</v>
      </c>
      <c r="AI36" s="9" t="n">
        <f aca="false">(AI35*W37)</f>
        <v>3.13975221173471</v>
      </c>
      <c r="AJ36" s="9" t="n">
        <f aca="false">(AJ35*X37)</f>
        <v>3.77296123168409</v>
      </c>
      <c r="AK36" s="9" t="n">
        <f aca="false">(AK35*Y37)</f>
        <v>4.02742888114613</v>
      </c>
      <c r="AL36" s="9" t="n">
        <f aca="false">(AL35*Z37)</f>
        <v>4.17246411115988</v>
      </c>
      <c r="AN36" s="11" t="n">
        <f aca="false">SUM(C36:N36)</f>
        <v>0</v>
      </c>
      <c r="AO36" s="11" t="n">
        <f aca="false">SUM(O36:Z36)</f>
        <v>0</v>
      </c>
      <c r="AP36" s="11" t="n">
        <f aca="false">SUM(AA36:AL36)</f>
        <v>28.992098699418</v>
      </c>
    </row>
    <row r="37" customFormat="false" ht="15" hidden="false" customHeight="false" outlineLevel="0" collapsed="false">
      <c r="A37" s="0" t="s">
        <v>842</v>
      </c>
      <c r="B37" s="0" t="s">
        <v>500</v>
      </c>
      <c r="C37" s="9" t="n">
        <f aca="false">(C33+C36)</f>
        <v>0</v>
      </c>
      <c r="D37" s="9" t="n">
        <f aca="false">(D33+D36)</f>
        <v>0</v>
      </c>
      <c r="E37" s="9" t="n">
        <f aca="false">(E33+E36)</f>
        <v>0</v>
      </c>
      <c r="F37" s="9" t="n">
        <f aca="false">(F33+F36)</f>
        <v>0</v>
      </c>
      <c r="G37" s="9" t="n">
        <f aca="false">(G33+G36)</f>
        <v>0</v>
      </c>
      <c r="H37" s="9" t="n">
        <f aca="false">(H33+H36)</f>
        <v>0</v>
      </c>
      <c r="I37" s="9" t="n">
        <f aca="false">(I33+I36)</f>
        <v>0</v>
      </c>
      <c r="J37" s="9" t="n">
        <f aca="false">(J33+J36)</f>
        <v>0</v>
      </c>
      <c r="K37" s="9" t="n">
        <f aca="false">(K33+K36)</f>
        <v>0</v>
      </c>
      <c r="L37" s="9" t="n">
        <f aca="false">(L33+L36)</f>
        <v>0</v>
      </c>
      <c r="M37" s="9" t="n">
        <f aca="false">(M33+M36)</f>
        <v>0</v>
      </c>
      <c r="N37" s="9" t="n">
        <f aca="false">(N33+N36)</f>
        <v>0</v>
      </c>
      <c r="O37" s="9" t="n">
        <f aca="false">(O33+O36)</f>
        <v>0.975356500349488</v>
      </c>
      <c r="P37" s="9" t="n">
        <f aca="false">(P33+P36)</f>
        <v>2.28621807156491</v>
      </c>
      <c r="Q37" s="9" t="n">
        <f aca="false">(Q33+Q36)</f>
        <v>3.31741192338108</v>
      </c>
      <c r="R37" s="9" t="n">
        <f aca="false">(R33+R36)</f>
        <v>4.09188154084503</v>
      </c>
      <c r="S37" s="9" t="n">
        <f aca="false">(S33+S36)</f>
        <v>4.71541121686291</v>
      </c>
      <c r="T37" s="9" t="n">
        <f aca="false">(T33+T36)</f>
        <v>5.11090764312639</v>
      </c>
      <c r="U37" s="9" t="n">
        <f aca="false">(U33+U36)</f>
        <v>5.38631662608963</v>
      </c>
      <c r="V37" s="9" t="n">
        <f aca="false">(V33+V36)</f>
        <v>5.84105022336499</v>
      </c>
      <c r="W37" s="9" t="n">
        <f aca="false">(W33+W36)</f>
        <v>7.17657648396505</v>
      </c>
      <c r="X37" s="9" t="n">
        <f aca="false">(X33+X36)</f>
        <v>8.6239113867065</v>
      </c>
      <c r="Y37" s="9" t="n">
        <f aca="false">(Y33+Y36)</f>
        <v>9.20555172833401</v>
      </c>
      <c r="Z37" s="9" t="n">
        <f aca="false">(Z33+Z36)</f>
        <v>9.53706082550829</v>
      </c>
      <c r="AA37" s="9" t="n">
        <f aca="false">(AA33+AA36)</f>
        <v>10.0594166570843</v>
      </c>
      <c r="AB37" s="9" t="n">
        <f aca="false">(AB33+AB36)</f>
        <v>11.7522852424767</v>
      </c>
      <c r="AC37" s="9" t="n">
        <f aca="false">(AC33+AC36)</f>
        <v>12.9773050233101</v>
      </c>
      <c r="AD37" s="9" t="n">
        <f aca="false">(AD33+AD36)</f>
        <v>13.7752333942207</v>
      </c>
      <c r="AE37" s="9" t="n">
        <f aca="false">(AE33+AE36)</f>
        <v>14.3493145051338</v>
      </c>
      <c r="AF37" s="9" t="n">
        <f aca="false">(AF33+AF36)</f>
        <v>14.5455736736006</v>
      </c>
      <c r="AG37" s="9" t="n">
        <f aca="false">(AG33+AG36)</f>
        <v>14.5694788087115</v>
      </c>
      <c r="AH37" s="9" t="n">
        <f aca="false">(AH33+AH36)</f>
        <v>14.9816748546056</v>
      </c>
      <c r="AI37" s="9" t="n">
        <f aca="false">(AI33+AI36)</f>
        <v>17.0735411076048</v>
      </c>
      <c r="AJ37" s="9" t="n">
        <f aca="false">(AJ33+AJ36)</f>
        <v>19.3831341032664</v>
      </c>
      <c r="AK37" s="9" t="n">
        <f aca="false">(AK33+AK36)</f>
        <v>20.1170413647215</v>
      </c>
      <c r="AL37" s="9" t="n">
        <f aca="false">(AL33+AL36)</f>
        <v>20.4145347334626</v>
      </c>
      <c r="AN37" s="11" t="n">
        <f aca="false">SUM(C37:N37)</f>
        <v>0</v>
      </c>
      <c r="AO37" s="11" t="n">
        <f aca="false">SUM(O37:Z37)</f>
        <v>66.2676541700983</v>
      </c>
      <c r="AP37" s="11" t="n">
        <f aca="false">SUM(AA37:AL37)</f>
        <v>183.998533468199</v>
      </c>
    </row>
    <row r="38" customFormat="false" ht="15" hidden="false" customHeight="false" outlineLevel="0" collapsed="false">
      <c r="A38" s="0" t="s">
        <v>843</v>
      </c>
      <c r="B38" s="0" t="s">
        <v>500</v>
      </c>
      <c r="C38" s="9" t="n">
        <f aca="false">C37</f>
        <v>0</v>
      </c>
      <c r="D38" s="9" t="n">
        <f aca="false">SUM(C37:D37)</f>
        <v>0</v>
      </c>
      <c r="E38" s="9" t="n">
        <f aca="false">SUM(C37:E37)</f>
        <v>0</v>
      </c>
      <c r="F38" s="9" t="n">
        <f aca="false">SUM(C37:F37)</f>
        <v>0</v>
      </c>
      <c r="G38" s="9" t="n">
        <f aca="false">SUM(C37:G37)</f>
        <v>0</v>
      </c>
      <c r="H38" s="9" t="n">
        <f aca="false">SUM(C37:H37)</f>
        <v>0</v>
      </c>
      <c r="I38" s="9" t="n">
        <f aca="false">SUM(C37:I37)</f>
        <v>0</v>
      </c>
      <c r="J38" s="9" t="n">
        <f aca="false">SUM(C37:J37)</f>
        <v>0</v>
      </c>
      <c r="K38" s="9" t="n">
        <f aca="false">SUM(C37:K37)</f>
        <v>0</v>
      </c>
      <c r="L38" s="9" t="n">
        <f aca="false">SUM(C37:L37)</f>
        <v>0</v>
      </c>
      <c r="M38" s="9" t="n">
        <f aca="false">SUM(C37:M37)</f>
        <v>0</v>
      </c>
      <c r="N38" s="9" t="n">
        <f aca="false">SUM(C37:N37)</f>
        <v>0</v>
      </c>
      <c r="O38" s="9" t="n">
        <f aca="false">SUM(D37:O37)</f>
        <v>0.975356500349488</v>
      </c>
      <c r="P38" s="9" t="n">
        <f aca="false">SUM(E37:P37)</f>
        <v>3.2615745719144</v>
      </c>
      <c r="Q38" s="9" t="n">
        <f aca="false">SUM(F37:Q37)</f>
        <v>6.57898649529548</v>
      </c>
      <c r="R38" s="9" t="n">
        <f aca="false">SUM(G37:R37)</f>
        <v>10.6708680361405</v>
      </c>
      <c r="S38" s="9" t="n">
        <f aca="false">SUM(H37:S37)</f>
        <v>15.3862792530034</v>
      </c>
      <c r="T38" s="9" t="n">
        <f aca="false">SUM(I37:T37)</f>
        <v>20.4971868961298</v>
      </c>
      <c r="U38" s="9" t="n">
        <f aca="false">SUM(J37:U37)</f>
        <v>25.8835035222194</v>
      </c>
      <c r="V38" s="9" t="n">
        <f aca="false">SUM(K37:V37)</f>
        <v>31.7245537455844</v>
      </c>
      <c r="W38" s="9" t="n">
        <f aca="false">SUM(L37:W37)</f>
        <v>38.9011302295495</v>
      </c>
      <c r="X38" s="9" t="n">
        <f aca="false">SUM(M37:X37)</f>
        <v>47.525041616256</v>
      </c>
      <c r="Y38" s="9" t="n">
        <f aca="false">SUM(N37:Y37)</f>
        <v>56.73059334459</v>
      </c>
      <c r="Z38" s="9" t="n">
        <f aca="false">SUM(O37:Z37)</f>
        <v>66.2676541700983</v>
      </c>
      <c r="AA38" s="9" t="n">
        <f aca="false">SUM(P37:AA37)</f>
        <v>75.3517143268331</v>
      </c>
      <c r="AB38" s="9" t="n">
        <f aca="false">SUM(Q37:AB37)</f>
        <v>84.8177814977448</v>
      </c>
      <c r="AC38" s="9" t="n">
        <f aca="false">SUM(R37:AC37)</f>
        <v>94.4776745976738</v>
      </c>
      <c r="AD38" s="9" t="n">
        <f aca="false">SUM(S37:AD37)</f>
        <v>104.16102645105</v>
      </c>
      <c r="AE38" s="9" t="n">
        <f aca="false">SUM(T37:AE37)</f>
        <v>113.79492973932</v>
      </c>
      <c r="AF38" s="9" t="n">
        <f aca="false">SUM(U37:AF37)</f>
        <v>123.229595769795</v>
      </c>
      <c r="AG38" s="9" t="n">
        <f aca="false">SUM(V37:AG37)</f>
        <v>132.412757952416</v>
      </c>
      <c r="AH38" s="9" t="n">
        <f aca="false">SUM(W37:AH37)</f>
        <v>141.553382583657</v>
      </c>
      <c r="AI38" s="9" t="n">
        <f aca="false">SUM(X37:AI37)</f>
        <v>151.450347207297</v>
      </c>
      <c r="AJ38" s="9" t="n">
        <f aca="false">SUM(Y37:AJ37)</f>
        <v>162.209569923857</v>
      </c>
      <c r="AK38" s="9" t="n">
        <f aca="false">SUM(Z37:AK37)</f>
        <v>173.121059560244</v>
      </c>
      <c r="AL38" s="9" t="n">
        <f aca="false">SUM(AA37:AL37)</f>
        <v>183.998533468199</v>
      </c>
      <c r="AN38" s="11" t="n">
        <f aca="false">N38</f>
        <v>0</v>
      </c>
      <c r="AO38" s="11" t="n">
        <f aca="false">Z38</f>
        <v>66.2676541700983</v>
      </c>
      <c r="AP38" s="11" t="n">
        <f aca="false">AL38</f>
        <v>183.998533468199</v>
      </c>
    </row>
    <row r="39" customFormat="false" ht="15" hidden="false" customHeight="false" outlineLevel="0" collapsed="false">
      <c r="A39" s="0" t="s">
        <v>844</v>
      </c>
      <c r="B39" s="0" t="s">
        <v>500</v>
      </c>
      <c r="C39" s="9" t="n">
        <f aca="false">(C34+C38)</f>
        <v>0</v>
      </c>
      <c r="D39" s="9" t="n">
        <f aca="false">(D34+D38)</f>
        <v>0</v>
      </c>
      <c r="E39" s="9" t="n">
        <f aca="false">(E34+E38)</f>
        <v>0</v>
      </c>
      <c r="F39" s="9" t="n">
        <f aca="false">(F34+F38)</f>
        <v>0</v>
      </c>
      <c r="G39" s="9" t="n">
        <f aca="false">(G34+G38)</f>
        <v>0</v>
      </c>
      <c r="H39" s="9" t="n">
        <f aca="false">(H34+H38)</f>
        <v>0</v>
      </c>
      <c r="I39" s="9" t="n">
        <f aca="false">(I34+I38)</f>
        <v>0</v>
      </c>
      <c r="J39" s="9" t="n">
        <f aca="false">(J34+J38)</f>
        <v>0</v>
      </c>
      <c r="K39" s="9" t="n">
        <f aca="false">(K34+K38)</f>
        <v>0</v>
      </c>
      <c r="L39" s="9" t="n">
        <f aca="false">(L34+L38)</f>
        <v>0</v>
      </c>
      <c r="M39" s="9" t="n">
        <f aca="false">(M34+M38)</f>
        <v>0</v>
      </c>
      <c r="N39" s="9" t="n">
        <f aca="false">(N34+N38)</f>
        <v>0</v>
      </c>
      <c r="O39" s="9" t="n">
        <f aca="false">(O34+O38)</f>
        <v>2.16745888966553</v>
      </c>
      <c r="P39" s="9" t="n">
        <f aca="false">(P34+P38)</f>
        <v>7.17343709381086</v>
      </c>
      <c r="Q39" s="9" t="n">
        <f aca="false">(Q34+Q38)</f>
        <v>14.3009721825947</v>
      </c>
      <c r="R39" s="9" t="n">
        <f aca="false">(R34+R38)</f>
        <v>22.9114181679053</v>
      </c>
      <c r="S39" s="9" t="n">
        <f aca="false">(S34+S38)</f>
        <v>32.6250753776987</v>
      </c>
      <c r="T39" s="9" t="n">
        <f aca="false">(T34+T38)</f>
        <v>42.9052231601861</v>
      </c>
      <c r="U39" s="9" t="n">
        <f aca="false">(U34+U38)</f>
        <v>53.4743133961039</v>
      </c>
      <c r="V39" s="9" t="n">
        <f aca="false">(V34+V38)</f>
        <v>64.7299993864639</v>
      </c>
      <c r="W39" s="9" t="n">
        <f aca="false">(W34+W38)</f>
        <v>78.6151067760535</v>
      </c>
      <c r="X39" s="9" t="n">
        <f aca="false">(X34+X38)</f>
        <v>95.2972307679115</v>
      </c>
      <c r="Y39" s="9" t="n">
        <f aca="false">(Y34+Y38)</f>
        <v>112.768250564453</v>
      </c>
      <c r="Z39" s="9" t="n">
        <f aca="false">(Z34+Z38)</f>
        <v>130.459365489341</v>
      </c>
      <c r="AA39" s="9" t="n">
        <f aca="false">(AA34+AA38)</f>
        <v>147.304741474178</v>
      </c>
      <c r="AB39" s="9" t="n">
        <f aca="false">(AB34+AB38)</f>
        <v>165.415157025918</v>
      </c>
      <c r="AC39" s="9" t="n">
        <f aca="false">(AC34+AC38)</f>
        <v>184.124970863685</v>
      </c>
      <c r="AD39" s="9" t="n">
        <f aca="false">(AD34+AD38)</f>
        <v>202.853743080559</v>
      </c>
      <c r="AE39" s="9" t="n">
        <f aca="false">(AE34+AE38)</f>
        <v>221.335967476743</v>
      </c>
      <c r="AF39" s="9" t="n">
        <f aca="false">(AF34+AF38)</f>
        <v>239.094326134968</v>
      </c>
      <c r="AG39" s="9" t="n">
        <f aca="false">(AG34+AG38)</f>
        <v>255.962900240075</v>
      </c>
      <c r="AH39" s="9" t="n">
        <f aca="false">(AH34+AH38)</f>
        <v>272.569237556194</v>
      </c>
      <c r="AI39" s="9" t="n">
        <f aca="false">(AI34+AI38)</f>
        <v>291.307897672336</v>
      </c>
      <c r="AJ39" s="9" t="n">
        <f aca="false">(AJ34+AJ38)</f>
        <v>312.405123661209</v>
      </c>
      <c r="AK39" s="9" t="n">
        <f aca="false">(AK34+AK38)</f>
        <v>333.594473113382</v>
      </c>
      <c r="AL39" s="9" t="n">
        <f aca="false">(AL34+AL38)</f>
        <v>354.293778323747</v>
      </c>
      <c r="AN39" s="11" t="n">
        <f aca="false">N39</f>
        <v>0</v>
      </c>
      <c r="AO39" s="11" t="n">
        <f aca="false">Z39</f>
        <v>130.459365489341</v>
      </c>
      <c r="AP39" s="11" t="n">
        <f aca="false">AL39</f>
        <v>354.293778323747</v>
      </c>
    </row>
    <row r="40" customFormat="false" ht="15" hidden="false" customHeight="false" outlineLevel="0" collapsed="false">
      <c r="A40" s="0" t="s">
        <v>845</v>
      </c>
      <c r="B40" s="0" t="s">
        <v>500</v>
      </c>
      <c r="C40" s="9" t="n">
        <f aca="false">((0+C28)-C39)</f>
        <v>0</v>
      </c>
      <c r="D40" s="9" t="n">
        <f aca="false">((C39+D28)-D39)</f>
        <v>0</v>
      </c>
      <c r="E40" s="9" t="n">
        <f aca="false">((D39+E28)-E39)</f>
        <v>0</v>
      </c>
      <c r="F40" s="9" t="n">
        <f aca="false">((E39+F28)-F39)</f>
        <v>0</v>
      </c>
      <c r="G40" s="9" t="n">
        <f aca="false">((F39+G28)-G39)</f>
        <v>0</v>
      </c>
      <c r="H40" s="9" t="n">
        <f aca="false">((G39+H28)-H39)</f>
        <v>0</v>
      </c>
      <c r="I40" s="9" t="n">
        <f aca="false">((H39+I28)-I39)</f>
        <v>0</v>
      </c>
      <c r="J40" s="9" t="n">
        <f aca="false">((I39+J28)-J39)</f>
        <v>0</v>
      </c>
      <c r="K40" s="9" t="n">
        <f aca="false">((J39+K28)-K39)</f>
        <v>0</v>
      </c>
      <c r="L40" s="9" t="n">
        <f aca="false">((K39+L28)-L39)</f>
        <v>0</v>
      </c>
      <c r="M40" s="9" t="n">
        <f aca="false">((L39+M28)-M39)</f>
        <v>0</v>
      </c>
      <c r="N40" s="9" t="n">
        <f aca="false">((M39+N28)-N39)</f>
        <v>0</v>
      </c>
      <c r="O40" s="9" t="n">
        <f aca="false">((N39+O28)-O39)</f>
        <v>0</v>
      </c>
      <c r="P40" s="9" t="n">
        <f aca="false">((O39+P28)-P39)</f>
        <v>0.0745063993322521</v>
      </c>
      <c r="Q40" s="9" t="n">
        <f aca="false">((P39+Q28)-Q39)</f>
        <v>0.244491407618529</v>
      </c>
      <c r="R40" s="9" t="n">
        <f aca="false">((Q39+R28)-R39)</f>
        <v>0.4826241054562</v>
      </c>
      <c r="S40" s="9" t="n">
        <f aca="false">((R39+S28)-S39)</f>
        <v>0.765034383235296</v>
      </c>
      <c r="T40" s="9" t="n">
        <f aca="false">((S39+T28)-T39)</f>
        <v>1.07742475779345</v>
      </c>
      <c r="U40" s="9" t="n">
        <f aca="false">((T39+U28)-U39)</f>
        <v>1.40050226650352</v>
      </c>
      <c r="V40" s="9" t="n">
        <f aca="false">((U39+V28)-V39)</f>
        <v>1.72442561711777</v>
      </c>
      <c r="W40" s="9" t="n">
        <f aca="false">((V39+W28)-W39)</f>
        <v>2.06284035255497</v>
      </c>
      <c r="X40" s="9" t="n">
        <f aca="false">((W39+X28)-X39)</f>
        <v>2.4821235341565</v>
      </c>
      <c r="Y40" s="9" t="n">
        <f aca="false">((X39+Y28)-Y39)</f>
        <v>2.98576182197846</v>
      </c>
      <c r="Z40" s="9" t="n">
        <f aca="false">((Y39+Z28)-Z39)</f>
        <v>3.50235357624146</v>
      </c>
      <c r="AA40" s="9" t="n">
        <f aca="false">((Z39+AA28)-AA39)</f>
        <v>4.56061998889928</v>
      </c>
      <c r="AB40" s="9" t="n">
        <f aca="false">((AA39+AB28)-AB39)</f>
        <v>5.78306186196431</v>
      </c>
      <c r="AC40" s="9" t="n">
        <f aca="false">((AB39+AC28)-AC39)</f>
        <v>6.90338017741271</v>
      </c>
      <c r="AD40" s="9" t="n">
        <f aca="false">((AC39+AD28)-AD39)</f>
        <v>7.90463938335105</v>
      </c>
      <c r="AE40" s="9" t="n">
        <f aca="false">((AD39+AE28)-AE39)</f>
        <v>8.82071359882971</v>
      </c>
      <c r="AF40" s="9" t="n">
        <f aca="false">((AE39+AF28)-AF39)</f>
        <v>9.59620040784751</v>
      </c>
      <c r="AG40" s="9" t="n">
        <f aca="false">((AF39+AG28)-AG39)</f>
        <v>10.2713487499988</v>
      </c>
      <c r="AH40" s="9" t="n">
        <f aca="false">((AG39+AH28)-AH39)</f>
        <v>11.0074746436214</v>
      </c>
      <c r="AI40" s="9" t="n">
        <f aca="false">((AH39+AI28)-AI39)</f>
        <v>12.2253152080139</v>
      </c>
      <c r="AJ40" s="9" t="n">
        <f aca="false">((AI39+AJ28)-AJ39)</f>
        <v>13.5920470590874</v>
      </c>
      <c r="AK40" s="9" t="n">
        <f aca="false">((AJ39+AK28)-AK39)</f>
        <v>14.5653449557724</v>
      </c>
      <c r="AL40" s="9" t="n">
        <f aca="false">((AK39+AL28)-AL39)</f>
        <v>15.3941850614195</v>
      </c>
      <c r="AN40" s="11" t="n">
        <f aca="false">SUM(C40:N40)</f>
        <v>0</v>
      </c>
      <c r="AO40" s="11" t="n">
        <f aca="false">SUM(O40:Z40)</f>
        <v>16.8020882219884</v>
      </c>
      <c r="AP40" s="11" t="n">
        <f aca="false">SUM(AA40:AL40)</f>
        <v>120.624331096218</v>
      </c>
    </row>
    <row r="41" customFormat="false" ht="15" hidden="false" customHeight="false" outlineLevel="0" collapsed="false">
      <c r="A41" s="0" t="s">
        <v>846</v>
      </c>
      <c r="B41" s="0" t="s">
        <v>230</v>
      </c>
      <c r="C41" s="9" t="n">
        <f aca="false">((((Assumptions!$C$12*(1-Assumptions!$C$14))*C34)+((Assumptions!$C$13*(1-Assumptions!$C$14))*C37))*(1-Assumptions!$C$15))</f>
        <v>0</v>
      </c>
      <c r="D41" s="9" t="n">
        <f aca="false">((((Assumptions!$C$12*(1-Assumptions!$C$14))*D34)+((Assumptions!$C$13*(1-Assumptions!$C$14))*D37))*(1-Assumptions!$C$15))</f>
        <v>0</v>
      </c>
      <c r="E41" s="9" t="n">
        <f aca="false">((((Assumptions!$C$12*(1-Assumptions!$C$14))*E34)+((Assumptions!$C$13*(1-Assumptions!$C$14))*E37))*(1-Assumptions!$C$15))</f>
        <v>0</v>
      </c>
      <c r="F41" s="9" t="n">
        <f aca="false">((((Assumptions!$C$12*(1-Assumptions!$C$14))*F34)+((Assumptions!$C$13*(1-Assumptions!$C$14))*F37))*(1-Assumptions!$C$15))</f>
        <v>0</v>
      </c>
      <c r="G41" s="9" t="n">
        <f aca="false">((((Assumptions!$C$12*(1-Assumptions!$C$14))*G34)+((Assumptions!$C$13*(1-Assumptions!$C$14))*G37))*(1-Assumptions!$C$15))</f>
        <v>0</v>
      </c>
      <c r="H41" s="9" t="n">
        <f aca="false">((((Assumptions!$C$12*(1-Assumptions!$C$14))*H34)+((Assumptions!$C$13*(1-Assumptions!$C$14))*H37))*(1-Assumptions!$C$15))</f>
        <v>0</v>
      </c>
      <c r="I41" s="9" t="n">
        <f aca="false">((((Assumptions!$C$12*(1-Assumptions!$C$14))*I34)+((Assumptions!$C$13*(1-Assumptions!$C$14))*I37))*(1-Assumptions!$C$15))</f>
        <v>0</v>
      </c>
      <c r="J41" s="9" t="n">
        <f aca="false">((((Assumptions!$C$12*(1-Assumptions!$C$14))*J34)+((Assumptions!$C$13*(1-Assumptions!$C$14))*J37))*(1-Assumptions!$C$15))</f>
        <v>0</v>
      </c>
      <c r="K41" s="9" t="n">
        <f aca="false">((((Assumptions!$C$12*(1-Assumptions!$C$14))*K34)+((Assumptions!$C$13*(1-Assumptions!$C$14))*K37))*(1-Assumptions!$C$15))</f>
        <v>0</v>
      </c>
      <c r="L41" s="9" t="n">
        <f aca="false">((((Assumptions!$C$12*(1-Assumptions!$C$14))*L34)+((Assumptions!$C$13*(1-Assumptions!$C$14))*L37))*(1-Assumptions!$C$15))</f>
        <v>0</v>
      </c>
      <c r="M41" s="9" t="n">
        <f aca="false">((((Assumptions!$C$12*(1-Assumptions!$C$14))*M34)+((Assumptions!$C$13*(1-Assumptions!$C$14))*M37))*(1-Assumptions!$C$15))</f>
        <v>0</v>
      </c>
      <c r="N41" s="9" t="n">
        <f aca="false">((((Assumptions!$C$12*(1-Assumptions!$C$14))*N34)+((Assumptions!$C$13*(1-Assumptions!$C$14))*N37))*(1-Assumptions!$C$15))</f>
        <v>0</v>
      </c>
      <c r="O41" s="9" t="n">
        <f aca="false">((((Assumptions!$C$12*(1-Assumptions!$C$14))*O34)+((Assumptions!$C$13*(1-Assumptions!$C$14))*O37))*(1-Assumptions!$C$15))</f>
        <v>58.3718317812752</v>
      </c>
      <c r="P41" s="9" t="n">
        <f aca="false">((((Assumptions!$C$12*(1-Assumptions!$C$14))*P34)+((Assumptions!$C$13*(1-Assumptions!$C$14))*P37))*(1-Assumptions!$C$15))</f>
        <v>144.593946356217</v>
      </c>
      <c r="Q41" s="9" t="n">
        <f aca="false">((((Assumptions!$C$12*(1-Assumptions!$C$14))*Q34)+((Assumptions!$C$13*(1-Assumptions!$C$14))*Q37))*(1-Assumptions!$C$15))</f>
        <v>224.037820926011</v>
      </c>
      <c r="R41" s="9" t="n">
        <f aca="false">((((Assumptions!$C$12*(1-Assumptions!$C$14))*R34)+((Assumptions!$C$13*(1-Assumptions!$C$14))*R37))*(1-Assumptions!$C$15))</f>
        <v>295.22578252445</v>
      </c>
      <c r="S41" s="9" t="n">
        <f aca="false">((((Assumptions!$C$12*(1-Assumptions!$C$14))*S34)+((Assumptions!$C$13*(1-Assumptions!$C$14))*S37))*(1-Assumptions!$C$15))</f>
        <v>361.998885436016</v>
      </c>
      <c r="T41" s="9" t="n">
        <f aca="false">((((Assumptions!$C$12*(1-Assumptions!$C$14))*T34)+((Assumptions!$C$13*(1-Assumptions!$C$14))*T37))*(1-Assumptions!$C$15))</f>
        <v>418.25204693222</v>
      </c>
      <c r="U41" s="9" t="n">
        <f aca="false">((((Assumptions!$C$12*(1-Assumptions!$C$14))*U34)+((Assumptions!$C$13*(1-Assumptions!$C$14))*U37))*(1-Assumptions!$C$15))</f>
        <v>468.433102069063</v>
      </c>
      <c r="V41" s="9" t="n">
        <f aca="false">((((Assumptions!$C$12*(1-Assumptions!$C$14))*V34)+((Assumptions!$C$13*(1-Assumptions!$C$14))*V37))*(1-Assumptions!$C$15))</f>
        <v>529.434362890925</v>
      </c>
      <c r="W41" s="9" t="n">
        <f aca="false">((((Assumptions!$C$12*(1-Assumptions!$C$14))*W34)+((Assumptions!$C$13*(1-Assumptions!$C$14))*W37))*(1-Assumptions!$C$15))</f>
        <v>644.659655895188</v>
      </c>
      <c r="X41" s="9" t="n">
        <f aca="false">((((Assumptions!$C$12*(1-Assumptions!$C$14))*X34)+((Assumptions!$C$13*(1-Assumptions!$C$14))*X37))*(1-Assumptions!$C$15))</f>
        <v>775.011343098489</v>
      </c>
      <c r="Y41" s="9" t="n">
        <f aca="false">((((Assumptions!$C$12*(1-Assumptions!$C$14))*Y34)+((Assumptions!$C$13*(1-Assumptions!$C$14))*Y37))*(1-Assumptions!$C$15))</f>
        <v>862.352797377766</v>
      </c>
      <c r="Z41" s="9" t="n">
        <f aca="false">((((Assumptions!$C$12*(1-Assumptions!$C$14))*Z34)+((Assumptions!$C$13*(1-Assumptions!$C$14))*Z37))*(1-Assumptions!$C$15))</f>
        <v>936.075848575437</v>
      </c>
      <c r="AA41" s="9" t="n">
        <f aca="false">((((Assumptions!$C$12*(1-Assumptions!$C$14))*AA34)+((Assumptions!$C$13*(1-Assumptions!$C$14))*AA37))*(1-Assumptions!$C$15))</f>
        <v>1016.86745769838</v>
      </c>
      <c r="AB41" s="9" t="n">
        <f aca="false">((((Assumptions!$C$12*(1-Assumptions!$C$14))*AB34)+((Assumptions!$C$13*(1-Assumptions!$C$14))*AB37))*(1-Assumptions!$C$15))</f>
        <v>1163.90254536325</v>
      </c>
      <c r="AC41" s="9" t="n">
        <f aca="false">((((Assumptions!$C$12*(1-Assumptions!$C$14))*AC34)+((Assumptions!$C$13*(1-Assumptions!$C$14))*AC37))*(1-Assumptions!$C$15))</f>
        <v>1289.7349002485</v>
      </c>
      <c r="AD41" s="9" t="n">
        <f aca="false">((((Assumptions!$C$12*(1-Assumptions!$C$14))*AD34)+((Assumptions!$C$13*(1-Assumptions!$C$14))*AD37))*(1-Assumptions!$C$15))</f>
        <v>1393.6057993049</v>
      </c>
      <c r="AE41" s="9" t="n">
        <f aca="false">((((Assumptions!$C$12*(1-Assumptions!$C$14))*AE34)+((Assumptions!$C$13*(1-Assumptions!$C$14))*AE37))*(1-Assumptions!$C$15))</f>
        <v>1484.61208790686</v>
      </c>
      <c r="AF41" s="9" t="n">
        <f aca="false">((((Assumptions!$C$12*(1-Assumptions!$C$14))*AF34)+((Assumptions!$C$13*(1-Assumptions!$C$14))*AF37))*(1-Assumptions!$C$15))</f>
        <v>1552.56998126606</v>
      </c>
      <c r="AG41" s="9" t="n">
        <f aca="false">((((Assumptions!$C$12*(1-Assumptions!$C$14))*AG34)+((Assumptions!$C$13*(1-Assumptions!$C$14))*AG37))*(1-Assumptions!$C$15))</f>
        <v>1607.23948080134</v>
      </c>
      <c r="AH41" s="9" t="n">
        <f aca="false">((((Assumptions!$C$12*(1-Assumptions!$C$14))*AH34)+((Assumptions!$C$13*(1-Assumptions!$C$14))*AH37))*(1-Assumptions!$C$15))</f>
        <v>1680.3191036068</v>
      </c>
      <c r="AI41" s="9" t="n">
        <f aca="false">((((Assumptions!$C$12*(1-Assumptions!$C$14))*AI34)+((Assumptions!$C$13*(1-Assumptions!$C$14))*AI37))*(1-Assumptions!$C$15))</f>
        <v>1849.21409582705</v>
      </c>
      <c r="AJ41" s="9" t="n">
        <f aca="false">((((Assumptions!$C$12*(1-Assumptions!$C$14))*AJ34)+((Assumptions!$C$13*(1-Assumptions!$C$14))*AJ37))*(1-Assumptions!$C$15))</f>
        <v>2039.69372643106</v>
      </c>
      <c r="AK41" s="9" t="n">
        <f aca="false">((((Assumptions!$C$12*(1-Assumptions!$C$14))*AK34)+((Assumptions!$C$13*(1-Assumptions!$C$14))*AK37))*(1-Assumptions!$C$15))</f>
        <v>2148.84729928753</v>
      </c>
      <c r="AL41" s="9" t="n">
        <f aca="false">((((Assumptions!$C$12*(1-Assumptions!$C$14))*AL34)+((Assumptions!$C$13*(1-Assumptions!$C$14))*AL37))*(1-Assumptions!$C$15))</f>
        <v>2232.42093839971</v>
      </c>
      <c r="AN41" s="11" t="n">
        <f aca="false">SUM(C41:N41)</f>
        <v>0</v>
      </c>
      <c r="AO41" s="11" t="n">
        <f aca="false">SUM(O41:Z41)</f>
        <v>5718.44742386306</v>
      </c>
      <c r="AP41" s="11" t="n">
        <f aca="false">SUM(AA41:AL41)</f>
        <v>19459.0274161414</v>
      </c>
    </row>
    <row r="42" customFormat="false" ht="15" hidden="false" customHeight="false" outlineLevel="0" collapsed="false">
      <c r="A42" s="0" t="s">
        <v>847</v>
      </c>
      <c r="B42" s="0" t="s">
        <v>230</v>
      </c>
      <c r="C42" s="9" t="n">
        <f aca="false">((((Assumptions!$C$12*(1-Assumptions!$C$14))*C34)+(((Assumptions!$C$13*(1-Assumptions!$C$14))/12)*C38))*(1-Assumptions!$C$15))</f>
        <v>0</v>
      </c>
      <c r="D42" s="9" t="n">
        <f aca="false">((((Assumptions!$C$12*(1-Assumptions!$C$14))*D34)+(((Assumptions!$C$13*(1-Assumptions!$C$14))/12)*D38))*(1-Assumptions!$C$15))</f>
        <v>0</v>
      </c>
      <c r="E42" s="9" t="n">
        <f aca="false">((((Assumptions!$C$12*(1-Assumptions!$C$14))*E34)+(((Assumptions!$C$13*(1-Assumptions!$C$14))/12)*E38))*(1-Assumptions!$C$15))</f>
        <v>0</v>
      </c>
      <c r="F42" s="9" t="n">
        <f aca="false">((((Assumptions!$C$12*(1-Assumptions!$C$14))*F34)+(((Assumptions!$C$13*(1-Assumptions!$C$14))/12)*F38))*(1-Assumptions!$C$15))</f>
        <v>0</v>
      </c>
      <c r="G42" s="9" t="n">
        <f aca="false">((((Assumptions!$C$12*(1-Assumptions!$C$14))*G34)+(((Assumptions!$C$13*(1-Assumptions!$C$14))/12)*G38))*(1-Assumptions!$C$15))</f>
        <v>0</v>
      </c>
      <c r="H42" s="9" t="n">
        <f aca="false">((((Assumptions!$C$12*(1-Assumptions!$C$14))*H34)+(((Assumptions!$C$13*(1-Assumptions!$C$14))/12)*H38))*(1-Assumptions!$C$15))</f>
        <v>0</v>
      </c>
      <c r="I42" s="9" t="n">
        <f aca="false">((((Assumptions!$C$12*(1-Assumptions!$C$14))*I34)+(((Assumptions!$C$13*(1-Assumptions!$C$14))/12)*I38))*(1-Assumptions!$C$15))</f>
        <v>0</v>
      </c>
      <c r="J42" s="9" t="n">
        <f aca="false">((((Assumptions!$C$12*(1-Assumptions!$C$14))*J34)+(((Assumptions!$C$13*(1-Assumptions!$C$14))/12)*J38))*(1-Assumptions!$C$15))</f>
        <v>0</v>
      </c>
      <c r="K42" s="9" t="n">
        <f aca="false">((((Assumptions!$C$12*(1-Assumptions!$C$14))*K34)+(((Assumptions!$C$13*(1-Assumptions!$C$14))/12)*K38))*(1-Assumptions!$C$15))</f>
        <v>0</v>
      </c>
      <c r="L42" s="9" t="n">
        <f aca="false">((((Assumptions!$C$12*(1-Assumptions!$C$14))*L34)+(((Assumptions!$C$13*(1-Assumptions!$C$14))/12)*L38))*(1-Assumptions!$C$15))</f>
        <v>0</v>
      </c>
      <c r="M42" s="9" t="n">
        <f aca="false">((((Assumptions!$C$12*(1-Assumptions!$C$14))*M34)+(((Assumptions!$C$13*(1-Assumptions!$C$14))/12)*M38))*(1-Assumptions!$C$15))</f>
        <v>0</v>
      </c>
      <c r="N42" s="9" t="n">
        <f aca="false">((((Assumptions!$C$12*(1-Assumptions!$C$14))*N34)+(((Assumptions!$C$13*(1-Assumptions!$C$14))/12)*N38))*(1-Assumptions!$C$15))</f>
        <v>0</v>
      </c>
      <c r="O42" s="9" t="n">
        <f aca="false">((((Assumptions!$C$12*(1-Assumptions!$C$14))*O34)+(((Assumptions!$C$13*(1-Assumptions!$C$14))/12)*O38))*(1-Assumptions!$C$15))</f>
        <v>12.4630448893627</v>
      </c>
      <c r="P42" s="9" t="n">
        <f aca="false">((((Assumptions!$C$12*(1-Assumptions!$C$14))*P34)+(((Assumptions!$C$13*(1-Assumptions!$C$14))/12)*P38))*(1-Assumptions!$C$15))</f>
        <v>41.1581027367813</v>
      </c>
      <c r="Q42" s="9" t="n">
        <f aca="false">((((Assumptions!$C$12*(1-Assumptions!$C$14))*Q34)+(((Assumptions!$C$13*(1-Assumptions!$C$14))/12)*Q38))*(1-Assumptions!$C$15))</f>
        <v>81.8476674465228</v>
      </c>
      <c r="R42" s="9" t="n">
        <f aca="false">((((Assumptions!$C$12*(1-Assumptions!$C$14))*R34)+(((Assumptions!$C$13*(1-Assumptions!$C$14))/12)*R38))*(1-Assumptions!$C$15))</f>
        <v>130.777454284547</v>
      </c>
      <c r="S42" s="9" t="n">
        <f aca="false">((((Assumptions!$C$12*(1-Assumptions!$C$14))*S34)+(((Assumptions!$C$13*(1-Assumptions!$C$14))/12)*S38))*(1-Assumptions!$C$15))</f>
        <v>185.710869162525</v>
      </c>
      <c r="T42" s="9" t="n">
        <f aca="false">((((Assumptions!$C$12*(1-Assumptions!$C$14))*T34)+(((Assumptions!$C$13*(1-Assumptions!$C$14))/12)*T38))*(1-Assumptions!$C$15))</f>
        <v>243.525644844126</v>
      </c>
      <c r="U42" s="9" t="n">
        <f aca="false">((((Assumptions!$C$12*(1-Assumptions!$C$14))*U34)+(((Assumptions!$C$13*(1-Assumptions!$C$14))/12)*U38))*(1-Assumptions!$C$15))</f>
        <v>302.61299633159</v>
      </c>
      <c r="V42" s="9" t="n">
        <f aca="false">((((Assumptions!$C$12*(1-Assumptions!$C$14))*V34)+(((Assumptions!$C$13*(1-Assumptions!$C$14))/12)*V38))*(1-Assumptions!$C$15))</f>
        <v>365.258440700159</v>
      </c>
      <c r="W42" s="9" t="n">
        <f aca="false">((((Assumptions!$C$12*(1-Assumptions!$C$14))*W34)+(((Assumptions!$C$13*(1-Assumptions!$C$14))/12)*W38))*(1-Assumptions!$C$15))</f>
        <v>442.615923293482</v>
      </c>
      <c r="X42" s="9" t="n">
        <f aca="false">((((Assumptions!$C$12*(1-Assumptions!$C$14))*X34)+(((Assumptions!$C$13*(1-Assumptions!$C$14))/12)*X38))*(1-Assumptions!$C$15))</f>
        <v>535.551793337218</v>
      </c>
      <c r="Y42" s="9" t="n">
        <f aca="false">((((Assumptions!$C$12*(1-Assumptions!$C$14))*Y34)+(((Assumptions!$C$13*(1-Assumptions!$C$14))/12)*Y38))*(1-Assumptions!$C$15))</f>
        <v>632.417679553457</v>
      </c>
      <c r="Z42" s="9" t="n">
        <f aca="false">((((Assumptions!$C$12*(1-Assumptions!$C$14))*Z34)+(((Assumptions!$C$13*(1-Assumptions!$C$14))/12)*Z38))*(1-Assumptions!$C$15))</f>
        <v>729.927345927981</v>
      </c>
      <c r="AA42" s="9" t="n">
        <f aca="false">((((Assumptions!$C$12*(1-Assumptions!$C$14))*AA34)+(((Assumptions!$C$13*(1-Assumptions!$C$14))/12)*AA38))*(1-Assumptions!$C$15))</f>
        <v>822.767650827073</v>
      </c>
      <c r="AB42" s="9" t="n">
        <f aca="false">((((Assumptions!$C$12*(1-Assumptions!$C$14))*AB34)+(((Assumptions!$C$13*(1-Assumptions!$C$14))/12)*AB38))*(1-Assumptions!$C$15))</f>
        <v>923.382895002447</v>
      </c>
      <c r="AC42" s="9" t="n">
        <f aca="false">((((Assumptions!$C$12*(1-Assumptions!$C$14))*AC34)+(((Assumptions!$C$13*(1-Assumptions!$C$14))/12)*AC38))*(1-Assumptions!$C$15))</f>
        <v>1027.64774276466</v>
      </c>
      <c r="AD42" s="9" t="n">
        <f aca="false">((((Assumptions!$C$12*(1-Assumptions!$C$14))*AD34)+(((Assumptions!$C$13*(1-Assumptions!$C$14))/12)*AD38))*(1-Assumptions!$C$15))</f>
        <v>1131.98167570685</v>
      </c>
      <c r="AE42" s="9" t="n">
        <f aca="false">((((Assumptions!$C$12*(1-Assumptions!$C$14))*AE34)+(((Assumptions!$C$13*(1-Assumptions!$C$14))/12)*AE38))*(1-Assumptions!$C$15))</f>
        <v>1234.73345097291</v>
      </c>
      <c r="AF42" s="9" t="n">
        <f aca="false">((((Assumptions!$C$12*(1-Assumptions!$C$14))*AF34)+(((Assumptions!$C$13*(1-Assumptions!$C$14))/12)*AF38))*(1-Assumptions!$C$15))</f>
        <v>1332.98458750517</v>
      </c>
      <c r="AG42" s="9" t="n">
        <f aca="false">((((Assumptions!$C$12*(1-Assumptions!$C$14))*AG34)+(((Assumptions!$C$13*(1-Assumptions!$C$14))/12)*AG38))*(1-Assumptions!$C$15))</f>
        <v>1425.7211347347</v>
      </c>
      <c r="AH42" s="9" t="n">
        <f aca="false">((((Assumptions!$C$12*(1-Assumptions!$C$14))*AH34)+(((Assumptions!$C$13*(1-Assumptions!$C$14))/12)*AH38))*(1-Assumptions!$C$15))</f>
        <v>1516.74794291587</v>
      </c>
      <c r="AI42" s="9" t="n">
        <f aca="false">((((Assumptions!$C$12*(1-Assumptions!$C$14))*AI34)+(((Assumptions!$C$13*(1-Assumptions!$C$14))/12)*AI38))*(1-Assumptions!$C$15))</f>
        <v>1620.57927853743</v>
      </c>
      <c r="AJ42" s="9" t="n">
        <f aca="false">((((Assumptions!$C$12*(1-Assumptions!$C$14))*AJ34)+(((Assumptions!$C$13*(1-Assumptions!$C$14))/12)*AJ38))*(1-Assumptions!$C$15))</f>
        <v>1738.5050659017</v>
      </c>
      <c r="AK42" s="9" t="n">
        <f aca="false">((((Assumptions!$C$12*(1-Assumptions!$C$14))*AK34)+(((Assumptions!$C$13*(1-Assumptions!$C$14))/12)*AK38))*(1-Assumptions!$C$15))</f>
        <v>1856.66418023601</v>
      </c>
      <c r="AL42" s="9" t="n">
        <f aca="false">((((Assumptions!$C$12*(1-Assumptions!$C$14))*AL34)+(((Assumptions!$C$13*(1-Assumptions!$C$14))/12)*AL38))*(1-Assumptions!$C$15))</f>
        <v>1971.50665801337</v>
      </c>
      <c r="AN42" s="11" t="n">
        <f aca="false">SUM(C42:N42)</f>
        <v>0</v>
      </c>
      <c r="AO42" s="11" t="n">
        <f aca="false">SUM(O42:Z42)</f>
        <v>3703.86696250775</v>
      </c>
      <c r="AP42" s="11" t="n">
        <f aca="false">SUM(AA42:AL42)</f>
        <v>16603.2222631182</v>
      </c>
    </row>
    <row r="43" customFormat="false" ht="15" hidden="false" customHeight="false" outlineLevel="0" collapsed="false">
      <c r="A43" s="21" t="s">
        <v>848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</row>
    <row r="44" customFormat="false" ht="15" hidden="false" customHeight="false" outlineLevel="0" collapsed="false">
      <c r="A44" s="0" t="s">
        <v>849</v>
      </c>
      <c r="B44" s="0" t="s">
        <v>160</v>
      </c>
      <c r="C44" s="14" t="n">
        <f aca="false">IF(AND(($C$14=1),(C$18&gt;=(Assumptions!$C$106+1)),(C$18&lt;=(Assumptions!$C$106+6))),Assumptions!$C$117,1)</f>
        <v>1</v>
      </c>
      <c r="D44" s="14" t="n">
        <f aca="false">IF(AND(($C$14=1),(D$18&gt;=(Assumptions!$C$106+1)),(D$18&lt;=(Assumptions!$C$106+6))),Assumptions!$C$117,1)</f>
        <v>1</v>
      </c>
      <c r="E44" s="14" t="n">
        <f aca="false">IF(AND(($C$14=1),(E$18&gt;=(Assumptions!$C$106+1)),(E$18&lt;=(Assumptions!$C$106+6))),Assumptions!$C$117,1)</f>
        <v>1</v>
      </c>
      <c r="F44" s="14" t="n">
        <f aca="false">IF(AND(($C$14=1),(F$18&gt;=(Assumptions!$C$106+1)),(F$18&lt;=(Assumptions!$C$106+6))),Assumptions!$C$117,1)</f>
        <v>1</v>
      </c>
      <c r="G44" s="14" t="n">
        <f aca="false">IF(AND(($C$14=1),(G$18&gt;=(Assumptions!$C$106+1)),(G$18&lt;=(Assumptions!$C$106+6))),Assumptions!$C$117,1)</f>
        <v>1</v>
      </c>
      <c r="H44" s="14" t="n">
        <f aca="false">IF(AND(($C$14=1),(H$18&gt;=(Assumptions!$C$106+1)),(H$18&lt;=(Assumptions!$C$106+6))),Assumptions!$C$117,1)</f>
        <v>1</v>
      </c>
      <c r="I44" s="14" t="n">
        <f aca="false">IF(AND(($C$14=1),(I$18&gt;=(Assumptions!$C$106+1)),(I$18&lt;=(Assumptions!$C$106+6))),Assumptions!$C$117,1)</f>
        <v>1</v>
      </c>
      <c r="J44" s="14" t="n">
        <f aca="false">IF(AND(($C$14=1),(J$18&gt;=(Assumptions!$C$106+1)),(J$18&lt;=(Assumptions!$C$106+6))),Assumptions!$C$117,1)</f>
        <v>1</v>
      </c>
      <c r="K44" s="14" t="n">
        <f aca="false">IF(AND(($C$14=1),(K$18&gt;=(Assumptions!$C$106+1)),(K$18&lt;=(Assumptions!$C$106+6))),Assumptions!$C$117,1)</f>
        <v>1</v>
      </c>
      <c r="L44" s="14" t="n">
        <f aca="false">IF(AND(($C$14=1),(L$18&gt;=(Assumptions!$C$106+1)),(L$18&lt;=(Assumptions!$C$106+6))),Assumptions!$C$117,1)</f>
        <v>1</v>
      </c>
      <c r="M44" s="14" t="n">
        <f aca="false">IF(AND(($C$14=1),(M$18&gt;=(Assumptions!$C$106+1)),(M$18&lt;=(Assumptions!$C$106+6))),Assumptions!$C$117,1)</f>
        <v>1</v>
      </c>
      <c r="N44" s="14" t="n">
        <f aca="false">IF(AND(($C$14=1),(N$18&gt;=(Assumptions!$C$106+1)),(N$18&lt;=(Assumptions!$C$106+6))),Assumptions!$C$117,1)</f>
        <v>1</v>
      </c>
      <c r="O44" s="14" t="n">
        <f aca="false">IF(AND(($C$14=1),(O$18&gt;=(Assumptions!$C$106+1)),(O$18&lt;=(Assumptions!$C$106+6))),Assumptions!$C$117,1)</f>
        <v>1</v>
      </c>
      <c r="P44" s="14" t="n">
        <f aca="false">IF(AND(($C$14=1),(P$18&gt;=(Assumptions!$C$106+1)),(P$18&lt;=(Assumptions!$C$106+6))),Assumptions!$C$117,1)</f>
        <v>1</v>
      </c>
      <c r="Q44" s="14" t="n">
        <f aca="false">IF(AND(($C$14=1),(Q$18&gt;=(Assumptions!$C$106+1)),(Q$18&lt;=(Assumptions!$C$106+6))),Assumptions!$C$117,1)</f>
        <v>1</v>
      </c>
      <c r="R44" s="14" t="n">
        <f aca="false">IF(AND(($C$14=1),(R$18&gt;=(Assumptions!$C$106+1)),(R$18&lt;=(Assumptions!$C$106+6))),Assumptions!$C$117,1)</f>
        <v>1</v>
      </c>
      <c r="S44" s="14" t="n">
        <f aca="false">IF(AND(($C$14=1),(S$18&gt;=(Assumptions!$C$106+1)),(S$18&lt;=(Assumptions!$C$106+6))),Assumptions!$C$117,1)</f>
        <v>1</v>
      </c>
      <c r="T44" s="14" t="n">
        <f aca="false">IF(AND(($C$14=1),(T$18&gt;=(Assumptions!$C$106+1)),(T$18&lt;=(Assumptions!$C$106+6))),Assumptions!$C$117,1)</f>
        <v>1</v>
      </c>
      <c r="U44" s="14" t="n">
        <f aca="false">IF(AND(($C$14=1),(U$18&gt;=(Assumptions!$C$106+1)),(U$18&lt;=(Assumptions!$C$106+6))),Assumptions!$C$117,1)</f>
        <v>1</v>
      </c>
      <c r="V44" s="14" t="n">
        <f aca="false">IF(AND(($C$14=1),(V$18&gt;=(Assumptions!$C$106+1)),(V$18&lt;=(Assumptions!$C$106+6))),Assumptions!$C$117,1)</f>
        <v>1</v>
      </c>
      <c r="W44" s="14" t="n">
        <f aca="false">IF(AND(($C$14=1),(W$18&gt;=(Assumptions!$C$106+1)),(W$18&lt;=(Assumptions!$C$106+6))),Assumptions!$C$117,1)</f>
        <v>1</v>
      </c>
      <c r="X44" s="14" t="n">
        <f aca="false">IF(AND(($C$14=1),(X$18&gt;=(Assumptions!$C$106+1)),(X$18&lt;=(Assumptions!$C$106+6))),Assumptions!$C$117,1)</f>
        <v>1</v>
      </c>
      <c r="Y44" s="14" t="n">
        <f aca="false">IF(AND(($C$14=1),(Y$18&gt;=(Assumptions!$C$106+1)),(Y$18&lt;=(Assumptions!$C$106+6))),Assumptions!$C$117,1)</f>
        <v>1</v>
      </c>
      <c r="Z44" s="14" t="n">
        <f aca="false">IF(AND(($C$14=1),(Z$18&gt;=(Assumptions!$C$106+1)),(Z$18&lt;=(Assumptions!$C$106+6))),Assumptions!$C$117,1)</f>
        <v>1</v>
      </c>
      <c r="AA44" s="14" t="n">
        <f aca="false">IF(AND(($C$14=1),(AA$18&gt;=(Assumptions!$C$106+1)),(AA$18&lt;=(Assumptions!$C$106+6))),Assumptions!$C$117,1)</f>
        <v>1</v>
      </c>
      <c r="AB44" s="14" t="n">
        <f aca="false">IF(AND(($C$14=1),(AB$18&gt;=(Assumptions!$C$106+1)),(AB$18&lt;=(Assumptions!$C$106+6))),Assumptions!$C$117,1)</f>
        <v>1</v>
      </c>
      <c r="AC44" s="14" t="n">
        <f aca="false">IF(AND(($C$14=1),(AC$18&gt;=(Assumptions!$C$106+1)),(AC$18&lt;=(Assumptions!$C$106+6))),Assumptions!$C$117,1)</f>
        <v>1</v>
      </c>
      <c r="AD44" s="14" t="n">
        <f aca="false">IF(AND(($C$14=1),(AD$18&gt;=(Assumptions!$C$106+1)),(AD$18&lt;=(Assumptions!$C$106+6))),Assumptions!$C$117,1)</f>
        <v>1</v>
      </c>
      <c r="AE44" s="14" t="n">
        <f aca="false">IF(AND(($C$14=1),(AE$18&gt;=(Assumptions!$C$106+1)),(AE$18&lt;=(Assumptions!$C$106+6))),Assumptions!$C$117,1)</f>
        <v>1</v>
      </c>
      <c r="AF44" s="14" t="n">
        <f aca="false">IF(AND(($C$14=1),(AF$18&gt;=(Assumptions!$C$106+1)),(AF$18&lt;=(Assumptions!$C$106+6))),Assumptions!$C$117,1)</f>
        <v>1</v>
      </c>
      <c r="AG44" s="14" t="n">
        <f aca="false">IF(AND(($C$14=1),(AG$18&gt;=(Assumptions!$C$106+1)),(AG$18&lt;=(Assumptions!$C$106+6))),Assumptions!$C$117,1)</f>
        <v>1</v>
      </c>
      <c r="AH44" s="14" t="n">
        <f aca="false">IF(AND(($C$14=1),(AH$18&gt;=(Assumptions!$C$106+1)),(AH$18&lt;=(Assumptions!$C$106+6))),Assumptions!$C$117,1)</f>
        <v>1</v>
      </c>
      <c r="AI44" s="14" t="n">
        <f aca="false">IF(AND(($C$14=1),(AI$18&gt;=(Assumptions!$C$106+1)),(AI$18&lt;=(Assumptions!$C$106+6))),Assumptions!$C$117,1)</f>
        <v>1</v>
      </c>
      <c r="AJ44" s="14" t="n">
        <f aca="false">IF(AND(($C$14=1),(AJ$18&gt;=(Assumptions!$C$106+1)),(AJ$18&lt;=(Assumptions!$C$106+6))),Assumptions!$C$117,1)</f>
        <v>1</v>
      </c>
      <c r="AK44" s="14" t="n">
        <f aca="false">IF(AND(($C$14=1),(AK$18&gt;=(Assumptions!$C$106+1)),(AK$18&lt;=(Assumptions!$C$106+6))),Assumptions!$C$117,1)</f>
        <v>1</v>
      </c>
      <c r="AL44" s="14" t="n">
        <f aca="false">IF(AND(($C$14=1),(AL$18&gt;=(Assumptions!$C$106+1)),(AL$18&lt;=(Assumptions!$C$106+6))),Assumptions!$C$117,1)</f>
        <v>1</v>
      </c>
    </row>
    <row r="45" customFormat="false" ht="15" hidden="false" customHeight="false" outlineLevel="0" collapsed="false">
      <c r="A45" s="0" t="s">
        <v>850</v>
      </c>
      <c r="B45" s="0" t="s">
        <v>193</v>
      </c>
      <c r="C45" s="12" t="n">
        <f aca="false">MAX(0,((1-((1-Assumptions!$C$30)*$C$6))-IF(AND(($C$14=1),(C$18&gt;=Assumptions!$C$106),(C$18&lt;=(Assumptions!$C$106+11))),Assumptions!$C$116,0)))</f>
        <v>0.85</v>
      </c>
      <c r="D45" s="12" t="n">
        <f aca="false">MAX(0,((1-((1-Assumptions!$C$30)*$C$6))-IF(AND(($C$14=1),(D$18&gt;=Assumptions!$C$106),(D$18&lt;=(Assumptions!$C$106+11))),Assumptions!$C$116,0)))</f>
        <v>0.85</v>
      </c>
      <c r="E45" s="12" t="n">
        <f aca="false">MAX(0,((1-((1-Assumptions!$C$30)*$C$6))-IF(AND(($C$14=1),(E$18&gt;=Assumptions!$C$106),(E$18&lt;=(Assumptions!$C$106+11))),Assumptions!$C$116,0)))</f>
        <v>0.85</v>
      </c>
      <c r="F45" s="12" t="n">
        <f aca="false">MAX(0,((1-((1-Assumptions!$C$30)*$C$6))-IF(AND(($C$14=1),(F$18&gt;=Assumptions!$C$106),(F$18&lt;=(Assumptions!$C$106+11))),Assumptions!$C$116,0)))</f>
        <v>0.85</v>
      </c>
      <c r="G45" s="12" t="n">
        <f aca="false">MAX(0,((1-((1-Assumptions!$C$30)*$C$6))-IF(AND(($C$14=1),(G$18&gt;=Assumptions!$C$106),(G$18&lt;=(Assumptions!$C$106+11))),Assumptions!$C$116,0)))</f>
        <v>0.85</v>
      </c>
      <c r="H45" s="12" t="n">
        <f aca="false">MAX(0,((1-((1-Assumptions!$C$30)*$C$6))-IF(AND(($C$14=1),(H$18&gt;=Assumptions!$C$106),(H$18&lt;=(Assumptions!$C$106+11))),Assumptions!$C$116,0)))</f>
        <v>0.85</v>
      </c>
      <c r="I45" s="12" t="n">
        <f aca="false">MAX(0,((1-((1-Assumptions!$C$30)*$C$6))-IF(AND(($C$14=1),(I$18&gt;=Assumptions!$C$106),(I$18&lt;=(Assumptions!$C$106+11))),Assumptions!$C$116,0)))</f>
        <v>0.85</v>
      </c>
      <c r="J45" s="12" t="n">
        <f aca="false">MAX(0,((1-((1-Assumptions!$C$30)*$C$6))-IF(AND(($C$14=1),(J$18&gt;=Assumptions!$C$106),(J$18&lt;=(Assumptions!$C$106+11))),Assumptions!$C$116,0)))</f>
        <v>0.85</v>
      </c>
      <c r="K45" s="12" t="n">
        <f aca="false">MAX(0,((1-((1-Assumptions!$C$30)*$C$6))-IF(AND(($C$14=1),(K$18&gt;=Assumptions!$C$106),(K$18&lt;=(Assumptions!$C$106+11))),Assumptions!$C$116,0)))</f>
        <v>0.85</v>
      </c>
      <c r="L45" s="12" t="n">
        <f aca="false">MAX(0,((1-((1-Assumptions!$C$30)*$C$6))-IF(AND(($C$14=1),(L$18&gt;=Assumptions!$C$106),(L$18&lt;=(Assumptions!$C$106+11))),Assumptions!$C$116,0)))</f>
        <v>0.85</v>
      </c>
      <c r="M45" s="12" t="n">
        <f aca="false">MAX(0,((1-((1-Assumptions!$C$30)*$C$6))-IF(AND(($C$14=1),(M$18&gt;=Assumptions!$C$106),(M$18&lt;=(Assumptions!$C$106+11))),Assumptions!$C$116,0)))</f>
        <v>0.85</v>
      </c>
      <c r="N45" s="12" t="n">
        <f aca="false">MAX(0,((1-((1-Assumptions!$C$30)*$C$6))-IF(AND(($C$14=1),(N$18&gt;=Assumptions!$C$106),(N$18&lt;=(Assumptions!$C$106+11))),Assumptions!$C$116,0)))</f>
        <v>0.85</v>
      </c>
      <c r="O45" s="12" t="n">
        <f aca="false">MAX(0,((1-((1-Assumptions!$C$30)*$C$6))-IF(AND(($C$14=1),(O$18&gt;=Assumptions!$C$106),(O$18&lt;=(Assumptions!$C$106+11))),Assumptions!$C$116,0)))</f>
        <v>0.85</v>
      </c>
      <c r="P45" s="12" t="n">
        <f aca="false">MAX(0,((1-((1-Assumptions!$C$30)*$C$6))-IF(AND(($C$14=1),(P$18&gt;=Assumptions!$C$106),(P$18&lt;=(Assumptions!$C$106+11))),Assumptions!$C$116,0)))</f>
        <v>0.85</v>
      </c>
      <c r="Q45" s="12" t="n">
        <f aca="false">MAX(0,((1-((1-Assumptions!$C$30)*$C$6))-IF(AND(($C$14=1),(Q$18&gt;=Assumptions!$C$106),(Q$18&lt;=(Assumptions!$C$106+11))),Assumptions!$C$116,0)))</f>
        <v>0.85</v>
      </c>
      <c r="R45" s="12" t="n">
        <f aca="false">MAX(0,((1-((1-Assumptions!$C$30)*$C$6))-IF(AND(($C$14=1),(R$18&gt;=Assumptions!$C$106),(R$18&lt;=(Assumptions!$C$106+11))),Assumptions!$C$116,0)))</f>
        <v>0.85</v>
      </c>
      <c r="S45" s="12" t="n">
        <f aca="false">MAX(0,((1-((1-Assumptions!$C$30)*$C$6))-IF(AND(($C$14=1),(S$18&gt;=Assumptions!$C$106),(S$18&lt;=(Assumptions!$C$106+11))),Assumptions!$C$116,0)))</f>
        <v>0.85</v>
      </c>
      <c r="T45" s="12" t="n">
        <f aca="false">MAX(0,((1-((1-Assumptions!$C$30)*$C$6))-IF(AND(($C$14=1),(T$18&gt;=Assumptions!$C$106),(T$18&lt;=(Assumptions!$C$106+11))),Assumptions!$C$116,0)))</f>
        <v>0.85</v>
      </c>
      <c r="U45" s="12" t="n">
        <f aca="false">MAX(0,((1-((1-Assumptions!$C$30)*$C$6))-IF(AND(($C$14=1),(U$18&gt;=Assumptions!$C$106),(U$18&lt;=(Assumptions!$C$106+11))),Assumptions!$C$116,0)))</f>
        <v>0.85</v>
      </c>
      <c r="V45" s="12" t="n">
        <f aca="false">MAX(0,((1-((1-Assumptions!$C$30)*$C$6))-IF(AND(($C$14=1),(V$18&gt;=Assumptions!$C$106),(V$18&lt;=(Assumptions!$C$106+11))),Assumptions!$C$116,0)))</f>
        <v>0.85</v>
      </c>
      <c r="W45" s="12" t="n">
        <f aca="false">MAX(0,((1-((1-Assumptions!$C$30)*$C$6))-IF(AND(($C$14=1),(W$18&gt;=Assumptions!$C$106),(W$18&lt;=(Assumptions!$C$106+11))),Assumptions!$C$116,0)))</f>
        <v>0.85</v>
      </c>
      <c r="X45" s="12" t="n">
        <f aca="false">MAX(0,((1-((1-Assumptions!$C$30)*$C$6))-IF(AND(($C$14=1),(X$18&gt;=Assumptions!$C$106),(X$18&lt;=(Assumptions!$C$106+11))),Assumptions!$C$116,0)))</f>
        <v>0.85</v>
      </c>
      <c r="Y45" s="12" t="n">
        <f aca="false">MAX(0,((1-((1-Assumptions!$C$30)*$C$6))-IF(AND(($C$14=1),(Y$18&gt;=Assumptions!$C$106),(Y$18&lt;=(Assumptions!$C$106+11))),Assumptions!$C$116,0)))</f>
        <v>0.85</v>
      </c>
      <c r="Z45" s="12" t="n">
        <f aca="false">MAX(0,((1-((1-Assumptions!$C$30)*$C$6))-IF(AND(($C$14=1),(Z$18&gt;=Assumptions!$C$106),(Z$18&lt;=(Assumptions!$C$106+11))),Assumptions!$C$116,0)))</f>
        <v>0.85</v>
      </c>
      <c r="AA45" s="12" t="n">
        <f aca="false">MAX(0,((1-((1-Assumptions!$C$30)*$C$6))-IF(AND(($C$14=1),(AA$18&gt;=Assumptions!$C$106),(AA$18&lt;=(Assumptions!$C$106+11))),Assumptions!$C$116,0)))</f>
        <v>0.85</v>
      </c>
      <c r="AB45" s="12" t="n">
        <f aca="false">MAX(0,((1-((1-Assumptions!$C$30)*$C$6))-IF(AND(($C$14=1),(AB$18&gt;=Assumptions!$C$106),(AB$18&lt;=(Assumptions!$C$106+11))),Assumptions!$C$116,0)))</f>
        <v>0.85</v>
      </c>
      <c r="AC45" s="12" t="n">
        <f aca="false">MAX(0,((1-((1-Assumptions!$C$30)*$C$6))-IF(AND(($C$14=1),(AC$18&gt;=Assumptions!$C$106),(AC$18&lt;=(Assumptions!$C$106+11))),Assumptions!$C$116,0)))</f>
        <v>0.85</v>
      </c>
      <c r="AD45" s="12" t="n">
        <f aca="false">MAX(0,((1-((1-Assumptions!$C$30)*$C$6))-IF(AND(($C$14=1),(AD$18&gt;=Assumptions!$C$106),(AD$18&lt;=(Assumptions!$C$106+11))),Assumptions!$C$116,0)))</f>
        <v>0.85</v>
      </c>
      <c r="AE45" s="12" t="n">
        <f aca="false">MAX(0,((1-((1-Assumptions!$C$30)*$C$6))-IF(AND(($C$14=1),(AE$18&gt;=Assumptions!$C$106),(AE$18&lt;=(Assumptions!$C$106+11))),Assumptions!$C$116,0)))</f>
        <v>0.85</v>
      </c>
      <c r="AF45" s="12" t="n">
        <f aca="false">MAX(0,((1-((1-Assumptions!$C$30)*$C$6))-IF(AND(($C$14=1),(AF$18&gt;=Assumptions!$C$106),(AF$18&lt;=(Assumptions!$C$106+11))),Assumptions!$C$116,0)))</f>
        <v>0.85</v>
      </c>
      <c r="AG45" s="12" t="n">
        <f aca="false">MAX(0,((1-((1-Assumptions!$C$30)*$C$6))-IF(AND(($C$14=1),(AG$18&gt;=Assumptions!$C$106),(AG$18&lt;=(Assumptions!$C$106+11))),Assumptions!$C$116,0)))</f>
        <v>0.85</v>
      </c>
      <c r="AH45" s="12" t="n">
        <f aca="false">MAX(0,((1-((1-Assumptions!$C$30)*$C$6))-IF(AND(($C$14=1),(AH$18&gt;=Assumptions!$C$106),(AH$18&lt;=(Assumptions!$C$106+11))),Assumptions!$C$116,0)))</f>
        <v>0.85</v>
      </c>
      <c r="AI45" s="12" t="n">
        <f aca="false">MAX(0,((1-((1-Assumptions!$C$30)*$C$6))-IF(AND(($C$14=1),(AI$18&gt;=Assumptions!$C$106),(AI$18&lt;=(Assumptions!$C$106+11))),Assumptions!$C$116,0)))</f>
        <v>0.85</v>
      </c>
      <c r="AJ45" s="12" t="n">
        <f aca="false">MAX(0,((1-((1-Assumptions!$C$30)*$C$6))-IF(AND(($C$14=1),(AJ$18&gt;=Assumptions!$C$106),(AJ$18&lt;=(Assumptions!$C$106+11))),Assumptions!$C$116,0)))</f>
        <v>0.85</v>
      </c>
      <c r="AK45" s="12" t="n">
        <f aca="false">MAX(0,((1-((1-Assumptions!$C$30)*$C$6))-IF(AND(($C$14=1),(AK$18&gt;=Assumptions!$C$106),(AK$18&lt;=(Assumptions!$C$106+11))),Assumptions!$C$116,0)))</f>
        <v>0.85</v>
      </c>
      <c r="AL45" s="12" t="n">
        <f aca="false">MAX(0,((1-((1-Assumptions!$C$30)*$C$6))-IF(AND(($C$14=1),(AL$18&gt;=Assumptions!$C$106),(AL$18&lt;=(Assumptions!$C$106+11))),Assumptions!$C$116,0)))</f>
        <v>0.85</v>
      </c>
    </row>
    <row r="46" customFormat="false" ht="15" hidden="false" customHeight="false" outlineLevel="0" collapsed="false">
      <c r="A46" s="0" t="s">
        <v>851</v>
      </c>
      <c r="B46" s="0" t="s">
        <v>852</v>
      </c>
      <c r="C46" s="14" t="n">
        <f aca="false">((IF(OR((C$18-(Assumptions!$C$7-1)-$C$9)&lt;1,(C$18-(Assumptions!$C$7-1)-$C$9)&gt;36),0,INDEX(Schedules!$C$5:$AL$5,(C$18-(Assumptions!$C$7-1)-$C$9)))*$C$7)*C44)</f>
        <v>0</v>
      </c>
      <c r="D46" s="14" t="n">
        <f aca="false">((IF(OR((D$18-(Assumptions!$C$7-1)-$C$9)&lt;1,(D$18-(Assumptions!$C$7-1)-$C$9)&gt;36),0,INDEX(Schedules!$C$5:$AL$5,(D$18-(Assumptions!$C$7-1)-$C$9)))*$C$7)*D44)</f>
        <v>0</v>
      </c>
      <c r="E46" s="14" t="n">
        <f aca="false">((IF(OR((E$18-(Assumptions!$C$7-1)-$C$9)&lt;1,(E$18-(Assumptions!$C$7-1)-$C$9)&gt;36),0,INDEX(Schedules!$C$5:$AL$5,(E$18-(Assumptions!$C$7-1)-$C$9)))*$C$7)*E44)</f>
        <v>0</v>
      </c>
      <c r="F46" s="14" t="n">
        <f aca="false">((IF(OR((F$18-(Assumptions!$C$7-1)-$C$9)&lt;1,(F$18-(Assumptions!$C$7-1)-$C$9)&gt;36),0,INDEX(Schedules!$C$5:$AL$5,(F$18-(Assumptions!$C$7-1)-$C$9)))*$C$7)*F44)</f>
        <v>0</v>
      </c>
      <c r="G46" s="14" t="n">
        <f aca="false">((IF(OR((G$18-(Assumptions!$C$7-1)-$C$9)&lt;1,(G$18-(Assumptions!$C$7-1)-$C$9)&gt;36),0,INDEX(Schedules!$C$5:$AL$5,(G$18-(Assumptions!$C$7-1)-$C$9)))*$C$7)*G44)</f>
        <v>0</v>
      </c>
      <c r="H46" s="14" t="n">
        <f aca="false">((IF(OR((H$18-(Assumptions!$C$7-1)-$C$9)&lt;1,(H$18-(Assumptions!$C$7-1)-$C$9)&gt;36),0,INDEX(Schedules!$C$5:$AL$5,(H$18-(Assumptions!$C$7-1)-$C$9)))*$C$7)*H44)</f>
        <v>0</v>
      </c>
      <c r="I46" s="14" t="n">
        <f aca="false">((IF(OR((I$18-(Assumptions!$C$7-1)-$C$9)&lt;1,(I$18-(Assumptions!$C$7-1)-$C$9)&gt;36),0,INDEX(Schedules!$C$5:$AL$5,(I$18-(Assumptions!$C$7-1)-$C$9)))*$C$7)*I44)</f>
        <v>0</v>
      </c>
      <c r="J46" s="14" t="n">
        <f aca="false">((IF(OR((J$18-(Assumptions!$C$7-1)-$C$9)&lt;1,(J$18-(Assumptions!$C$7-1)-$C$9)&gt;36),0,INDEX(Schedules!$C$5:$AL$5,(J$18-(Assumptions!$C$7-1)-$C$9)))*$C$7)*J44)</f>
        <v>0</v>
      </c>
      <c r="K46" s="14" t="n">
        <f aca="false">((IF(OR((K$18-(Assumptions!$C$7-1)-$C$9)&lt;1,(K$18-(Assumptions!$C$7-1)-$C$9)&gt;36),0,INDEX(Schedules!$C$5:$AL$5,(K$18-(Assumptions!$C$7-1)-$C$9)))*$C$7)*K44)</f>
        <v>0</v>
      </c>
      <c r="L46" s="14" t="n">
        <f aca="false">((IF(OR((L$18-(Assumptions!$C$7-1)-$C$9)&lt;1,(L$18-(Assumptions!$C$7-1)-$C$9)&gt;36),0,INDEX(Schedules!$C$5:$AL$5,(L$18-(Assumptions!$C$7-1)-$C$9)))*$C$7)*L44)</f>
        <v>0</v>
      </c>
      <c r="M46" s="14" t="n">
        <f aca="false">((IF(OR((M$18-(Assumptions!$C$7-1)-$C$9)&lt;1,(M$18-(Assumptions!$C$7-1)-$C$9)&gt;36),0,INDEX(Schedules!$C$5:$AL$5,(M$18-(Assumptions!$C$7-1)-$C$9)))*$C$7)*M44)</f>
        <v>0</v>
      </c>
      <c r="N46" s="14" t="n">
        <f aca="false">((IF(OR((N$18-(Assumptions!$C$7-1)-$C$9)&lt;1,(N$18-(Assumptions!$C$7-1)-$C$9)&gt;36),0,INDEX(Schedules!$C$5:$AL$5,(N$18-(Assumptions!$C$7-1)-$C$9)))*$C$7)*N44)</f>
        <v>0</v>
      </c>
      <c r="O46" s="14" t="n">
        <f aca="false">((IF(OR((O$18-(Assumptions!$C$7-1)-$C$9)&lt;1,(O$18-(Assumptions!$C$7-1)-$C$9)&gt;36),0,INDEX(Schedules!$C$5:$AL$5,(O$18-(Assumptions!$C$7-1)-$C$9)))*$C$7)*O44)</f>
        <v>0</v>
      </c>
      <c r="P46" s="14" t="n">
        <f aca="false">((IF(OR((P$18-(Assumptions!$C$7-1)-$C$9)&lt;1,(P$18-(Assumptions!$C$7-1)-$C$9)&gt;36),0,INDEX(Schedules!$C$5:$AL$5,(P$18-(Assumptions!$C$7-1)-$C$9)))*$C$7)*P44)</f>
        <v>0</v>
      </c>
      <c r="Q46" s="14" t="n">
        <f aca="false">((IF(OR((Q$18-(Assumptions!$C$7-1)-$C$9)&lt;1,(Q$18-(Assumptions!$C$7-1)-$C$9)&gt;36),0,INDEX(Schedules!$C$5:$AL$5,(Q$18-(Assumptions!$C$7-1)-$C$9)))*$C$7)*Q44)</f>
        <v>0.6</v>
      </c>
      <c r="R46" s="14" t="n">
        <f aca="false">((IF(OR((R$18-(Assumptions!$C$7-1)-$C$9)&lt;1,(R$18-(Assumptions!$C$7-1)-$C$9)&gt;36),0,INDEX(Schedules!$C$5:$AL$5,(R$18-(Assumptions!$C$7-1)-$C$9)))*$C$7)*R44)</f>
        <v>0</v>
      </c>
      <c r="S46" s="14" t="n">
        <f aca="false">((IF(OR((S$18-(Assumptions!$C$7-1)-$C$9)&lt;1,(S$18-(Assumptions!$C$7-1)-$C$9)&gt;36),0,INDEX(Schedules!$C$5:$AL$5,(S$18-(Assumptions!$C$7-1)-$C$9)))*$C$7)*S44)</f>
        <v>0</v>
      </c>
      <c r="T46" s="14" t="n">
        <f aca="false">((IF(OR((T$18-(Assumptions!$C$7-1)-$C$9)&lt;1,(T$18-(Assumptions!$C$7-1)-$C$9)&gt;36),0,INDEX(Schedules!$C$5:$AL$5,(T$18-(Assumptions!$C$7-1)-$C$9)))*$C$7)*T44)</f>
        <v>0.6</v>
      </c>
      <c r="U46" s="14" t="n">
        <f aca="false">((IF(OR((U$18-(Assumptions!$C$7-1)-$C$9)&lt;1,(U$18-(Assumptions!$C$7-1)-$C$9)&gt;36),0,INDEX(Schedules!$C$5:$AL$5,(U$18-(Assumptions!$C$7-1)-$C$9)))*$C$7)*U44)</f>
        <v>0</v>
      </c>
      <c r="V46" s="14" t="n">
        <f aca="false">((IF(OR((V$18-(Assumptions!$C$7-1)-$C$9)&lt;1,(V$18-(Assumptions!$C$7-1)-$C$9)&gt;36),0,INDEX(Schedules!$C$5:$AL$5,(V$18-(Assumptions!$C$7-1)-$C$9)))*$C$7)*V44)</f>
        <v>0</v>
      </c>
      <c r="W46" s="14" t="n">
        <f aca="false">((IF(OR((W$18-(Assumptions!$C$7-1)-$C$9)&lt;1,(W$18-(Assumptions!$C$7-1)-$C$9)&gt;36),0,INDEX(Schedules!$C$5:$AL$5,(W$18-(Assumptions!$C$7-1)-$C$9)))*$C$7)*W44)</f>
        <v>1.2</v>
      </c>
      <c r="X46" s="14" t="n">
        <f aca="false">((IF(OR((X$18-(Assumptions!$C$7-1)-$C$9)&lt;1,(X$18-(Assumptions!$C$7-1)-$C$9)&gt;36),0,INDEX(Schedules!$C$5:$AL$5,(X$18-(Assumptions!$C$7-1)-$C$9)))*$C$7)*X44)</f>
        <v>0</v>
      </c>
      <c r="Y46" s="14" t="n">
        <f aca="false">((IF(OR((Y$18-(Assumptions!$C$7-1)-$C$9)&lt;1,(Y$18-(Assumptions!$C$7-1)-$C$9)&gt;36),0,INDEX(Schedules!$C$5:$AL$5,(Y$18-(Assumptions!$C$7-1)-$C$9)))*$C$7)*Y44)</f>
        <v>0</v>
      </c>
      <c r="Z46" s="14" t="n">
        <f aca="false">((IF(OR((Z$18-(Assumptions!$C$7-1)-$C$9)&lt;1,(Z$18-(Assumptions!$C$7-1)-$C$9)&gt;36),0,INDEX(Schedules!$C$5:$AL$5,(Z$18-(Assumptions!$C$7-1)-$C$9)))*$C$7)*Z44)</f>
        <v>1.2</v>
      </c>
      <c r="AA46" s="14" t="n">
        <f aca="false">((IF(OR((AA$18-(Assumptions!$C$7-1)-$C$9)&lt;1,(AA$18-(Assumptions!$C$7-1)-$C$9)&gt;36),0,INDEX(Schedules!$C$5:$AL$5,(AA$18-(Assumptions!$C$7-1)-$C$9)))*$C$7)*AA44)</f>
        <v>0</v>
      </c>
      <c r="AB46" s="14" t="n">
        <f aca="false">((IF(OR((AB$18-(Assumptions!$C$7-1)-$C$9)&lt;1,(AB$18-(Assumptions!$C$7-1)-$C$9)&gt;36),0,INDEX(Schedules!$C$5:$AL$5,(AB$18-(Assumptions!$C$7-1)-$C$9)))*$C$7)*AB44)</f>
        <v>0</v>
      </c>
      <c r="AC46" s="14" t="n">
        <f aca="false">((IF(OR((AC$18-(Assumptions!$C$7-1)-$C$9)&lt;1,(AC$18-(Assumptions!$C$7-1)-$C$9)&gt;36),0,INDEX(Schedules!$C$5:$AL$5,(AC$18-(Assumptions!$C$7-1)-$C$9)))*$C$7)*AC44)</f>
        <v>1.8</v>
      </c>
      <c r="AD46" s="14" t="n">
        <f aca="false">((IF(OR((AD$18-(Assumptions!$C$7-1)-$C$9)&lt;1,(AD$18-(Assumptions!$C$7-1)-$C$9)&gt;36),0,INDEX(Schedules!$C$5:$AL$5,(AD$18-(Assumptions!$C$7-1)-$C$9)))*$C$7)*AD44)</f>
        <v>0</v>
      </c>
      <c r="AE46" s="14" t="n">
        <f aca="false">((IF(OR((AE$18-(Assumptions!$C$7-1)-$C$9)&lt;1,(AE$18-(Assumptions!$C$7-1)-$C$9)&gt;36),0,INDEX(Schedules!$C$5:$AL$5,(AE$18-(Assumptions!$C$7-1)-$C$9)))*$C$7)*AE44)</f>
        <v>0</v>
      </c>
      <c r="AF46" s="14" t="n">
        <f aca="false">((IF(OR((AF$18-(Assumptions!$C$7-1)-$C$9)&lt;1,(AF$18-(Assumptions!$C$7-1)-$C$9)&gt;36),0,INDEX(Schedules!$C$5:$AL$5,(AF$18-(Assumptions!$C$7-1)-$C$9)))*$C$7)*AF44)</f>
        <v>1.8</v>
      </c>
      <c r="AG46" s="14" t="n">
        <f aca="false">((IF(OR((AG$18-(Assumptions!$C$7-1)-$C$9)&lt;1,(AG$18-(Assumptions!$C$7-1)-$C$9)&gt;36),0,INDEX(Schedules!$C$5:$AL$5,(AG$18-(Assumptions!$C$7-1)-$C$9)))*$C$7)*AG44)</f>
        <v>0</v>
      </c>
      <c r="AH46" s="14" t="n">
        <f aca="false">((IF(OR((AH$18-(Assumptions!$C$7-1)-$C$9)&lt;1,(AH$18-(Assumptions!$C$7-1)-$C$9)&gt;36),0,INDEX(Schedules!$C$5:$AL$5,(AH$18-(Assumptions!$C$7-1)-$C$9)))*$C$7)*AH44)</f>
        <v>0</v>
      </c>
      <c r="AI46" s="14" t="n">
        <f aca="false">((IF(OR((AI$18-(Assumptions!$C$7-1)-$C$9)&lt;1,(AI$18-(Assumptions!$C$7-1)-$C$9)&gt;36),0,INDEX(Schedules!$C$5:$AL$5,(AI$18-(Assumptions!$C$7-1)-$C$9)))*$C$7)*AI44)</f>
        <v>1.8</v>
      </c>
      <c r="AJ46" s="14" t="n">
        <f aca="false">((IF(OR((AJ$18-(Assumptions!$C$7-1)-$C$9)&lt;1,(AJ$18-(Assumptions!$C$7-1)-$C$9)&gt;36),0,INDEX(Schedules!$C$5:$AL$5,(AJ$18-(Assumptions!$C$7-1)-$C$9)))*$C$7)*AJ44)</f>
        <v>0</v>
      </c>
      <c r="AK46" s="14" t="n">
        <f aca="false">((IF(OR((AK$18-(Assumptions!$C$7-1)-$C$9)&lt;1,(AK$18-(Assumptions!$C$7-1)-$C$9)&gt;36),0,INDEX(Schedules!$C$5:$AL$5,(AK$18-(Assumptions!$C$7-1)-$C$9)))*$C$7)*AK44)</f>
        <v>0</v>
      </c>
      <c r="AL46" s="14" t="n">
        <f aca="false">((IF(OR((AL$18-(Assumptions!$C$7-1)-$C$9)&lt;1,(AL$18-(Assumptions!$C$7-1)-$C$9)&gt;36),0,INDEX(Schedules!$C$5:$AL$5,(AL$18-(Assumptions!$C$7-1)-$C$9)))*$C$7)*AL44)</f>
        <v>2.4</v>
      </c>
      <c r="AN46" s="36" t="n">
        <f aca="false">SUM(C46:N46)</f>
        <v>0</v>
      </c>
      <c r="AO46" s="36" t="n">
        <f aca="false">SUM(O46:Z46)</f>
        <v>3.6</v>
      </c>
      <c r="AP46" s="36" t="n">
        <f aca="false">SUM(AA46:AL46)</f>
        <v>7.8</v>
      </c>
    </row>
    <row r="47" customFormat="false" ht="15" hidden="false" customHeight="false" outlineLevel="0" collapsed="false">
      <c r="A47" s="0" t="s">
        <v>853</v>
      </c>
      <c r="B47" s="0" t="s">
        <v>852</v>
      </c>
      <c r="C47" s="14" t="n">
        <f aca="false">INDEX(Schedules!$C$11:$AL$11,C$18)</f>
        <v>0</v>
      </c>
      <c r="D47" s="14" t="n">
        <f aca="false">INDEX(Schedules!$C$11:$AL$11,D$18)</f>
        <v>0</v>
      </c>
      <c r="E47" s="14" t="n">
        <f aca="false">INDEX(Schedules!$C$11:$AL$11,E$18)</f>
        <v>0</v>
      </c>
      <c r="F47" s="14" t="n">
        <f aca="false">INDEX(Schedules!$C$11:$AL$11,F$18)</f>
        <v>0</v>
      </c>
      <c r="G47" s="14" t="n">
        <f aca="false">INDEX(Schedules!$C$11:$AL$11,G$18)</f>
        <v>1</v>
      </c>
      <c r="H47" s="14" t="n">
        <f aca="false">INDEX(Schedules!$C$11:$AL$11,H$18)</f>
        <v>0</v>
      </c>
      <c r="I47" s="14" t="n">
        <f aca="false">INDEX(Schedules!$C$11:$AL$11,I$18)</f>
        <v>0</v>
      </c>
      <c r="J47" s="14" t="n">
        <f aca="false">INDEX(Schedules!$C$11:$AL$11,J$18)</f>
        <v>0</v>
      </c>
      <c r="K47" s="14" t="n">
        <f aca="false">INDEX(Schedules!$C$11:$AL$11,K$18)</f>
        <v>0</v>
      </c>
      <c r="L47" s="14" t="n">
        <f aca="false">INDEX(Schedules!$C$11:$AL$11,L$18)</f>
        <v>0</v>
      </c>
      <c r="M47" s="14" t="n">
        <f aca="false">INDEX(Schedules!$C$11:$AL$11,M$18)</f>
        <v>0</v>
      </c>
      <c r="N47" s="14" t="n">
        <f aca="false">INDEX(Schedules!$C$11:$AL$11,N$18)</f>
        <v>0</v>
      </c>
      <c r="O47" s="14" t="n">
        <f aca="false">INDEX(Schedules!$C$11:$AL$11,O$18)</f>
        <v>0</v>
      </c>
      <c r="P47" s="14" t="n">
        <f aca="false">INDEX(Schedules!$C$11:$AL$11,P$18)</f>
        <v>0</v>
      </c>
      <c r="Q47" s="14" t="n">
        <f aca="false">INDEX(Schedules!$C$11:$AL$11,Q$18)</f>
        <v>0</v>
      </c>
      <c r="R47" s="14" t="n">
        <f aca="false">INDEX(Schedules!$C$11:$AL$11,R$18)</f>
        <v>0</v>
      </c>
      <c r="S47" s="14" t="n">
        <f aca="false">INDEX(Schedules!$C$11:$AL$11,S$18)</f>
        <v>0</v>
      </c>
      <c r="T47" s="14" t="n">
        <f aca="false">INDEX(Schedules!$C$11:$AL$11,T$18)</f>
        <v>0</v>
      </c>
      <c r="U47" s="14" t="n">
        <f aca="false">INDEX(Schedules!$C$11:$AL$11,U$18)</f>
        <v>0</v>
      </c>
      <c r="V47" s="14" t="n">
        <f aca="false">INDEX(Schedules!$C$11:$AL$11,V$18)</f>
        <v>0</v>
      </c>
      <c r="W47" s="14" t="n">
        <f aca="false">INDEX(Schedules!$C$11:$AL$11,W$18)</f>
        <v>0</v>
      </c>
      <c r="X47" s="14" t="n">
        <f aca="false">INDEX(Schedules!$C$11:$AL$11,X$18)</f>
        <v>0</v>
      </c>
      <c r="Y47" s="14" t="n">
        <f aca="false">INDEX(Schedules!$C$11:$AL$11,Y$18)</f>
        <v>0</v>
      </c>
      <c r="Z47" s="14" t="n">
        <f aca="false">INDEX(Schedules!$C$11:$AL$11,Z$18)</f>
        <v>0</v>
      </c>
      <c r="AA47" s="14" t="n">
        <f aca="false">INDEX(Schedules!$C$11:$AL$11,AA$18)</f>
        <v>0</v>
      </c>
      <c r="AB47" s="14" t="n">
        <f aca="false">INDEX(Schedules!$C$11:$AL$11,AB$18)</f>
        <v>0</v>
      </c>
      <c r="AC47" s="14" t="n">
        <f aca="false">INDEX(Schedules!$C$11:$AL$11,AC$18)</f>
        <v>0</v>
      </c>
      <c r="AD47" s="14" t="n">
        <f aca="false">INDEX(Schedules!$C$11:$AL$11,AD$18)</f>
        <v>0</v>
      </c>
      <c r="AE47" s="14" t="n">
        <f aca="false">INDEX(Schedules!$C$11:$AL$11,AE$18)</f>
        <v>0</v>
      </c>
      <c r="AF47" s="14" t="n">
        <f aca="false">INDEX(Schedules!$C$11:$AL$11,AF$18)</f>
        <v>0</v>
      </c>
      <c r="AG47" s="14" t="n">
        <f aca="false">INDEX(Schedules!$C$11:$AL$11,AG$18)</f>
        <v>0</v>
      </c>
      <c r="AH47" s="14" t="n">
        <f aca="false">INDEX(Schedules!$C$11:$AL$11,AH$18)</f>
        <v>0</v>
      </c>
      <c r="AI47" s="14" t="n">
        <f aca="false">INDEX(Schedules!$C$11:$AL$11,AI$18)</f>
        <v>0</v>
      </c>
      <c r="AJ47" s="14" t="n">
        <f aca="false">INDEX(Schedules!$C$11:$AL$11,AJ$18)</f>
        <v>0</v>
      </c>
      <c r="AK47" s="14" t="n">
        <f aca="false">INDEX(Schedules!$C$11:$AL$11,AK$18)</f>
        <v>0</v>
      </c>
      <c r="AL47" s="14" t="n">
        <f aca="false">INDEX(Schedules!$C$11:$AL$11,AL$18)</f>
        <v>0</v>
      </c>
      <c r="AN47" s="36" t="n">
        <f aca="false">SUM(C47:N47)</f>
        <v>1</v>
      </c>
      <c r="AO47" s="36" t="n">
        <f aca="false">SUM(O47:Z47)</f>
        <v>0</v>
      </c>
      <c r="AP47" s="36" t="n">
        <f aca="false">SUM(AA47:AL47)</f>
        <v>0</v>
      </c>
    </row>
    <row r="48" customFormat="false" ht="15" hidden="false" customHeight="false" outlineLevel="0" collapsed="false">
      <c r="A48" s="0" t="s">
        <v>854</v>
      </c>
      <c r="B48" s="0" t="s">
        <v>852</v>
      </c>
      <c r="C48" s="14" t="n">
        <f aca="false">(C46+C47)</f>
        <v>0</v>
      </c>
      <c r="D48" s="14" t="n">
        <f aca="false">(D46+D47)</f>
        <v>0</v>
      </c>
      <c r="E48" s="14" t="n">
        <f aca="false">(E46+E47)</f>
        <v>0</v>
      </c>
      <c r="F48" s="14" t="n">
        <f aca="false">(F46+F47)</f>
        <v>0</v>
      </c>
      <c r="G48" s="14" t="n">
        <f aca="false">(G46+G47)</f>
        <v>1</v>
      </c>
      <c r="H48" s="14" t="n">
        <f aca="false">(H46+H47)</f>
        <v>0</v>
      </c>
      <c r="I48" s="14" t="n">
        <f aca="false">(I46+I47)</f>
        <v>0</v>
      </c>
      <c r="J48" s="14" t="n">
        <f aca="false">(J46+J47)</f>
        <v>0</v>
      </c>
      <c r="K48" s="14" t="n">
        <f aca="false">(K46+K47)</f>
        <v>0</v>
      </c>
      <c r="L48" s="14" t="n">
        <f aca="false">(L46+L47)</f>
        <v>0</v>
      </c>
      <c r="M48" s="14" t="n">
        <f aca="false">(M46+M47)</f>
        <v>0</v>
      </c>
      <c r="N48" s="14" t="n">
        <f aca="false">(N46+N47)</f>
        <v>0</v>
      </c>
      <c r="O48" s="14" t="n">
        <f aca="false">(O46+O47)</f>
        <v>0</v>
      </c>
      <c r="P48" s="14" t="n">
        <f aca="false">(P46+P47)</f>
        <v>0</v>
      </c>
      <c r="Q48" s="14" t="n">
        <f aca="false">(Q46+Q47)</f>
        <v>0.6</v>
      </c>
      <c r="R48" s="14" t="n">
        <f aca="false">(R46+R47)</f>
        <v>0</v>
      </c>
      <c r="S48" s="14" t="n">
        <f aca="false">(S46+S47)</f>
        <v>0</v>
      </c>
      <c r="T48" s="14" t="n">
        <f aca="false">(T46+T47)</f>
        <v>0.6</v>
      </c>
      <c r="U48" s="14" t="n">
        <f aca="false">(U46+U47)</f>
        <v>0</v>
      </c>
      <c r="V48" s="14" t="n">
        <f aca="false">(V46+V47)</f>
        <v>0</v>
      </c>
      <c r="W48" s="14" t="n">
        <f aca="false">(W46+W47)</f>
        <v>1.2</v>
      </c>
      <c r="X48" s="14" t="n">
        <f aca="false">(X46+X47)</f>
        <v>0</v>
      </c>
      <c r="Y48" s="14" t="n">
        <f aca="false">(Y46+Y47)</f>
        <v>0</v>
      </c>
      <c r="Z48" s="14" t="n">
        <f aca="false">(Z46+Z47)</f>
        <v>1.2</v>
      </c>
      <c r="AA48" s="14" t="n">
        <f aca="false">(AA46+AA47)</f>
        <v>0</v>
      </c>
      <c r="AB48" s="14" t="n">
        <f aca="false">(AB46+AB47)</f>
        <v>0</v>
      </c>
      <c r="AC48" s="14" t="n">
        <f aca="false">(AC46+AC47)</f>
        <v>1.8</v>
      </c>
      <c r="AD48" s="14" t="n">
        <f aca="false">(AD46+AD47)</f>
        <v>0</v>
      </c>
      <c r="AE48" s="14" t="n">
        <f aca="false">(AE46+AE47)</f>
        <v>0</v>
      </c>
      <c r="AF48" s="14" t="n">
        <f aca="false">(AF46+AF47)</f>
        <v>1.8</v>
      </c>
      <c r="AG48" s="14" t="n">
        <f aca="false">(AG46+AG47)</f>
        <v>0</v>
      </c>
      <c r="AH48" s="14" t="n">
        <f aca="false">(AH46+AH47)</f>
        <v>0</v>
      </c>
      <c r="AI48" s="14" t="n">
        <f aca="false">(AI46+AI47)</f>
        <v>1.8</v>
      </c>
      <c r="AJ48" s="14" t="n">
        <f aca="false">(AJ46+AJ47)</f>
        <v>0</v>
      </c>
      <c r="AK48" s="14" t="n">
        <f aca="false">(AK46+AK47)</f>
        <v>0</v>
      </c>
      <c r="AL48" s="14" t="n">
        <f aca="false">(AL46+AL47)</f>
        <v>2.4</v>
      </c>
      <c r="AN48" s="36" t="n">
        <f aca="false">SUM(C48:N48)</f>
        <v>1</v>
      </c>
      <c r="AO48" s="36" t="n">
        <f aca="false">SUM(O48:Z48)</f>
        <v>3.6</v>
      </c>
      <c r="AP48" s="36" t="n">
        <f aca="false">SUM(AA48:AL48)</f>
        <v>7.8</v>
      </c>
    </row>
    <row r="49" customFormat="false" ht="15" hidden="false" customHeight="false" outlineLevel="0" collapsed="false">
      <c r="A49" s="0" t="s">
        <v>855</v>
      </c>
      <c r="B49" s="0" t="s">
        <v>852</v>
      </c>
      <c r="C49" s="14" t="n">
        <f aca="false">((IF(OR((C$18-(Assumptions!$C$8-1)-$C$9)&lt;1,(C$18-(Assumptions!$C$8-1)-$C$9)&gt;36),0,INDEX(Schedules!$C$8:$AL$8,(C$18-(Assumptions!$C$8-1)-$C$9)))*$C$7)*C44)</f>
        <v>0</v>
      </c>
      <c r="D49" s="14" t="n">
        <f aca="false">((IF(OR((D$18-(Assumptions!$C$8-1)-$C$9)&lt;1,(D$18-(Assumptions!$C$8-1)-$C$9)&gt;36),0,INDEX(Schedules!$C$8:$AL$8,(D$18-(Assumptions!$C$8-1)-$C$9)))*$C$7)*D44)</f>
        <v>0</v>
      </c>
      <c r="E49" s="14" t="n">
        <f aca="false">((IF(OR((E$18-(Assumptions!$C$8-1)-$C$9)&lt;1,(E$18-(Assumptions!$C$8-1)-$C$9)&gt;36),0,INDEX(Schedules!$C$8:$AL$8,(E$18-(Assumptions!$C$8-1)-$C$9)))*$C$7)*E44)</f>
        <v>0</v>
      </c>
      <c r="F49" s="14" t="n">
        <f aca="false">((IF(OR((F$18-(Assumptions!$C$8-1)-$C$9)&lt;1,(F$18-(Assumptions!$C$8-1)-$C$9)&gt;36),0,INDEX(Schedules!$C$8:$AL$8,(F$18-(Assumptions!$C$8-1)-$C$9)))*$C$7)*F44)</f>
        <v>0</v>
      </c>
      <c r="G49" s="14" t="n">
        <f aca="false">((IF(OR((G$18-(Assumptions!$C$8-1)-$C$9)&lt;1,(G$18-(Assumptions!$C$8-1)-$C$9)&gt;36),0,INDEX(Schedules!$C$8:$AL$8,(G$18-(Assumptions!$C$8-1)-$C$9)))*$C$7)*G44)</f>
        <v>0</v>
      </c>
      <c r="H49" s="14" t="n">
        <f aca="false">((IF(OR((H$18-(Assumptions!$C$8-1)-$C$9)&lt;1,(H$18-(Assumptions!$C$8-1)-$C$9)&gt;36),0,INDEX(Schedules!$C$8:$AL$8,(H$18-(Assumptions!$C$8-1)-$C$9)))*$C$7)*H44)</f>
        <v>0</v>
      </c>
      <c r="I49" s="14" t="n">
        <f aca="false">((IF(OR((I$18-(Assumptions!$C$8-1)-$C$9)&lt;1,(I$18-(Assumptions!$C$8-1)-$C$9)&gt;36),0,INDEX(Schedules!$C$8:$AL$8,(I$18-(Assumptions!$C$8-1)-$C$9)))*$C$7)*I44)</f>
        <v>0</v>
      </c>
      <c r="J49" s="14" t="n">
        <f aca="false">((IF(OR((J$18-(Assumptions!$C$8-1)-$C$9)&lt;1,(J$18-(Assumptions!$C$8-1)-$C$9)&gt;36),0,INDEX(Schedules!$C$8:$AL$8,(J$18-(Assumptions!$C$8-1)-$C$9)))*$C$7)*J44)</f>
        <v>0</v>
      </c>
      <c r="K49" s="14" t="n">
        <f aca="false">((IF(OR((K$18-(Assumptions!$C$8-1)-$C$9)&lt;1,(K$18-(Assumptions!$C$8-1)-$C$9)&gt;36),0,INDEX(Schedules!$C$8:$AL$8,(K$18-(Assumptions!$C$8-1)-$C$9)))*$C$7)*K44)</f>
        <v>0</v>
      </c>
      <c r="L49" s="14" t="n">
        <f aca="false">((IF(OR((L$18-(Assumptions!$C$8-1)-$C$9)&lt;1,(L$18-(Assumptions!$C$8-1)-$C$9)&gt;36),0,INDEX(Schedules!$C$8:$AL$8,(L$18-(Assumptions!$C$8-1)-$C$9)))*$C$7)*L44)</f>
        <v>0</v>
      </c>
      <c r="M49" s="14" t="n">
        <f aca="false">((IF(OR((M$18-(Assumptions!$C$8-1)-$C$9)&lt;1,(M$18-(Assumptions!$C$8-1)-$C$9)&gt;36),0,INDEX(Schedules!$C$8:$AL$8,(M$18-(Assumptions!$C$8-1)-$C$9)))*$C$7)*M44)</f>
        <v>0</v>
      </c>
      <c r="N49" s="14" t="n">
        <f aca="false">((IF(OR((N$18-(Assumptions!$C$8-1)-$C$9)&lt;1,(N$18-(Assumptions!$C$8-1)-$C$9)&gt;36),0,INDEX(Schedules!$C$8:$AL$8,(N$18-(Assumptions!$C$8-1)-$C$9)))*$C$7)*N44)</f>
        <v>0</v>
      </c>
      <c r="O49" s="14" t="n">
        <f aca="false">((IF(OR((O$18-(Assumptions!$C$8-1)-$C$9)&lt;1,(O$18-(Assumptions!$C$8-1)-$C$9)&gt;36),0,INDEX(Schedules!$C$8:$AL$8,(O$18-(Assumptions!$C$8-1)-$C$9)))*$C$7)*O44)</f>
        <v>0</v>
      </c>
      <c r="P49" s="14" t="n">
        <f aca="false">((IF(OR((P$18-(Assumptions!$C$8-1)-$C$9)&lt;1,(P$18-(Assumptions!$C$8-1)-$C$9)&gt;36),0,INDEX(Schedules!$C$8:$AL$8,(P$18-(Assumptions!$C$8-1)-$C$9)))*$C$7)*P44)</f>
        <v>0</v>
      </c>
      <c r="Q49" s="14" t="n">
        <f aca="false">((IF(OR((Q$18-(Assumptions!$C$8-1)-$C$9)&lt;1,(Q$18-(Assumptions!$C$8-1)-$C$9)&gt;36),0,INDEX(Schedules!$C$8:$AL$8,(Q$18-(Assumptions!$C$8-1)-$C$9)))*$C$7)*Q44)</f>
        <v>0</v>
      </c>
      <c r="R49" s="14" t="n">
        <f aca="false">((IF(OR((R$18-(Assumptions!$C$8-1)-$C$9)&lt;1,(R$18-(Assumptions!$C$8-1)-$C$9)&gt;36),0,INDEX(Schedules!$C$8:$AL$8,(R$18-(Assumptions!$C$8-1)-$C$9)))*$C$7)*R44)</f>
        <v>0</v>
      </c>
      <c r="S49" s="14" t="n">
        <f aca="false">((IF(OR((S$18-(Assumptions!$C$8-1)-$C$9)&lt;1,(S$18-(Assumptions!$C$8-1)-$C$9)&gt;36),0,INDEX(Schedules!$C$8:$AL$8,(S$18-(Assumptions!$C$8-1)-$C$9)))*$C$7)*S44)</f>
        <v>0</v>
      </c>
      <c r="T49" s="14" t="n">
        <f aca="false">((IF(OR((T$18-(Assumptions!$C$8-1)-$C$9)&lt;1,(T$18-(Assumptions!$C$8-1)-$C$9)&gt;36),0,INDEX(Schedules!$C$8:$AL$8,(T$18-(Assumptions!$C$8-1)-$C$9)))*$C$7)*T44)</f>
        <v>0</v>
      </c>
      <c r="U49" s="14" t="n">
        <f aca="false">((IF(OR((U$18-(Assumptions!$C$8-1)-$C$9)&lt;1,(U$18-(Assumptions!$C$8-1)-$C$9)&gt;36),0,INDEX(Schedules!$C$8:$AL$8,(U$18-(Assumptions!$C$8-1)-$C$9)))*$C$7)*U44)</f>
        <v>0</v>
      </c>
      <c r="V49" s="14" t="n">
        <f aca="false">((IF(OR((V$18-(Assumptions!$C$8-1)-$C$9)&lt;1,(V$18-(Assumptions!$C$8-1)-$C$9)&gt;36),0,INDEX(Schedules!$C$8:$AL$8,(V$18-(Assumptions!$C$8-1)-$C$9)))*$C$7)*V44)</f>
        <v>0</v>
      </c>
      <c r="W49" s="14" t="n">
        <f aca="false">((IF(OR((W$18-(Assumptions!$C$8-1)-$C$9)&lt;1,(W$18-(Assumptions!$C$8-1)-$C$9)&gt;36),0,INDEX(Schedules!$C$8:$AL$8,(W$18-(Assumptions!$C$8-1)-$C$9)))*$C$7)*W44)</f>
        <v>0</v>
      </c>
      <c r="X49" s="14" t="n">
        <f aca="false">((IF(OR((X$18-(Assumptions!$C$8-1)-$C$9)&lt;1,(X$18-(Assumptions!$C$8-1)-$C$9)&gt;36),0,INDEX(Schedules!$C$8:$AL$8,(X$18-(Assumptions!$C$8-1)-$C$9)))*$C$7)*X44)</f>
        <v>0</v>
      </c>
      <c r="Y49" s="14" t="n">
        <f aca="false">((IF(OR((Y$18-(Assumptions!$C$8-1)-$C$9)&lt;1,(Y$18-(Assumptions!$C$8-1)-$C$9)&gt;36),0,INDEX(Schedules!$C$8:$AL$8,(Y$18-(Assumptions!$C$8-1)-$C$9)))*$C$7)*Y44)</f>
        <v>0</v>
      </c>
      <c r="Z49" s="14" t="n">
        <f aca="false">((IF(OR((Z$18-(Assumptions!$C$8-1)-$C$9)&lt;1,(Z$18-(Assumptions!$C$8-1)-$C$9)&gt;36),0,INDEX(Schedules!$C$8:$AL$8,(Z$18-(Assumptions!$C$8-1)-$C$9)))*$C$7)*Z44)</f>
        <v>0</v>
      </c>
      <c r="AA49" s="14" t="n">
        <f aca="false">((IF(OR((AA$18-(Assumptions!$C$8-1)-$C$9)&lt;1,(AA$18-(Assumptions!$C$8-1)-$C$9)&gt;36),0,INDEX(Schedules!$C$8:$AL$8,(AA$18-(Assumptions!$C$8-1)-$C$9)))*$C$7)*AA44)</f>
        <v>0.6</v>
      </c>
      <c r="AB49" s="14" t="n">
        <f aca="false">((IF(OR((AB$18-(Assumptions!$C$8-1)-$C$9)&lt;1,(AB$18-(Assumptions!$C$8-1)-$C$9)&gt;36),0,INDEX(Schedules!$C$8:$AL$8,(AB$18-(Assumptions!$C$8-1)-$C$9)))*$C$7)*AB44)</f>
        <v>0</v>
      </c>
      <c r="AC49" s="14" t="n">
        <f aca="false">((IF(OR((AC$18-(Assumptions!$C$8-1)-$C$9)&lt;1,(AC$18-(Assumptions!$C$8-1)-$C$9)&gt;36),0,INDEX(Schedules!$C$8:$AL$8,(AC$18-(Assumptions!$C$8-1)-$C$9)))*$C$7)*AC44)</f>
        <v>0</v>
      </c>
      <c r="AD49" s="14" t="n">
        <f aca="false">((IF(OR((AD$18-(Assumptions!$C$8-1)-$C$9)&lt;1,(AD$18-(Assumptions!$C$8-1)-$C$9)&gt;36),0,INDEX(Schedules!$C$8:$AL$8,(AD$18-(Assumptions!$C$8-1)-$C$9)))*$C$7)*AD44)</f>
        <v>0.6</v>
      </c>
      <c r="AE49" s="14" t="n">
        <f aca="false">((IF(OR((AE$18-(Assumptions!$C$8-1)-$C$9)&lt;1,(AE$18-(Assumptions!$C$8-1)-$C$9)&gt;36),0,INDEX(Schedules!$C$8:$AL$8,(AE$18-(Assumptions!$C$8-1)-$C$9)))*$C$7)*AE44)</f>
        <v>0</v>
      </c>
      <c r="AF49" s="14" t="n">
        <f aca="false">((IF(OR((AF$18-(Assumptions!$C$8-1)-$C$9)&lt;1,(AF$18-(Assumptions!$C$8-1)-$C$9)&gt;36),0,INDEX(Schedules!$C$8:$AL$8,(AF$18-(Assumptions!$C$8-1)-$C$9)))*$C$7)*AF44)</f>
        <v>0</v>
      </c>
      <c r="AG49" s="14" t="n">
        <f aca="false">((IF(OR((AG$18-(Assumptions!$C$8-1)-$C$9)&lt;1,(AG$18-(Assumptions!$C$8-1)-$C$9)&gt;36),0,INDEX(Schedules!$C$8:$AL$8,(AG$18-(Assumptions!$C$8-1)-$C$9)))*$C$7)*AG44)</f>
        <v>1.2</v>
      </c>
      <c r="AH49" s="14" t="n">
        <f aca="false">((IF(OR((AH$18-(Assumptions!$C$8-1)-$C$9)&lt;1,(AH$18-(Assumptions!$C$8-1)-$C$9)&gt;36),0,INDEX(Schedules!$C$8:$AL$8,(AH$18-(Assumptions!$C$8-1)-$C$9)))*$C$7)*AH44)</f>
        <v>0</v>
      </c>
      <c r="AI49" s="14" t="n">
        <f aca="false">((IF(OR((AI$18-(Assumptions!$C$8-1)-$C$9)&lt;1,(AI$18-(Assumptions!$C$8-1)-$C$9)&gt;36),0,INDEX(Schedules!$C$8:$AL$8,(AI$18-(Assumptions!$C$8-1)-$C$9)))*$C$7)*AI44)</f>
        <v>0</v>
      </c>
      <c r="AJ49" s="14" t="n">
        <f aca="false">((IF(OR((AJ$18-(Assumptions!$C$8-1)-$C$9)&lt;1,(AJ$18-(Assumptions!$C$8-1)-$C$9)&gt;36),0,INDEX(Schedules!$C$8:$AL$8,(AJ$18-(Assumptions!$C$8-1)-$C$9)))*$C$7)*AJ44)</f>
        <v>1.2</v>
      </c>
      <c r="AK49" s="14" t="n">
        <f aca="false">((IF(OR((AK$18-(Assumptions!$C$8-1)-$C$9)&lt;1,(AK$18-(Assumptions!$C$8-1)-$C$9)&gt;36),0,INDEX(Schedules!$C$8:$AL$8,(AK$18-(Assumptions!$C$8-1)-$C$9)))*$C$7)*AK44)</f>
        <v>0</v>
      </c>
      <c r="AL49" s="14" t="n">
        <f aca="false">((IF(OR((AL$18-(Assumptions!$C$8-1)-$C$9)&lt;1,(AL$18-(Assumptions!$C$8-1)-$C$9)&gt;36),0,INDEX(Schedules!$C$8:$AL$8,(AL$18-(Assumptions!$C$8-1)-$C$9)))*$C$7)*AL44)</f>
        <v>0</v>
      </c>
      <c r="AN49" s="36" t="n">
        <f aca="false">SUM(C49:N49)</f>
        <v>0</v>
      </c>
      <c r="AO49" s="36" t="n">
        <f aca="false">SUM(O49:Z49)</f>
        <v>0</v>
      </c>
      <c r="AP49" s="36" t="n">
        <f aca="false">SUM(AA49:AL49)</f>
        <v>3.6</v>
      </c>
    </row>
    <row r="50" customFormat="false" ht="15" hidden="false" customHeight="false" outlineLevel="0" collapsed="false">
      <c r="A50" s="0" t="s">
        <v>856</v>
      </c>
      <c r="B50" s="0" t="s">
        <v>852</v>
      </c>
      <c r="C50" s="14" t="n">
        <f aca="false">(C46+C49)</f>
        <v>0</v>
      </c>
      <c r="D50" s="14" t="n">
        <f aca="false">(D46+D49)</f>
        <v>0</v>
      </c>
      <c r="E50" s="14" t="n">
        <f aca="false">(E46+E49)</f>
        <v>0</v>
      </c>
      <c r="F50" s="14" t="n">
        <f aca="false">(F46+F49)</f>
        <v>0</v>
      </c>
      <c r="G50" s="14" t="n">
        <f aca="false">(G46+G49)</f>
        <v>0</v>
      </c>
      <c r="H50" s="14" t="n">
        <f aca="false">(H46+H49)</f>
        <v>0</v>
      </c>
      <c r="I50" s="14" t="n">
        <f aca="false">(I46+I49)</f>
        <v>0</v>
      </c>
      <c r="J50" s="14" t="n">
        <f aca="false">(J46+J49)</f>
        <v>0</v>
      </c>
      <c r="K50" s="14" t="n">
        <f aca="false">(K46+K49)</f>
        <v>0</v>
      </c>
      <c r="L50" s="14" t="n">
        <f aca="false">(L46+L49)</f>
        <v>0</v>
      </c>
      <c r="M50" s="14" t="n">
        <f aca="false">(M46+M49)</f>
        <v>0</v>
      </c>
      <c r="N50" s="14" t="n">
        <f aca="false">(N46+N49)</f>
        <v>0</v>
      </c>
      <c r="O50" s="14" t="n">
        <f aca="false">(O46+O49)</f>
        <v>0</v>
      </c>
      <c r="P50" s="14" t="n">
        <f aca="false">(P46+P49)</f>
        <v>0</v>
      </c>
      <c r="Q50" s="14" t="n">
        <f aca="false">(Q46+Q49)</f>
        <v>0.6</v>
      </c>
      <c r="R50" s="14" t="n">
        <f aca="false">(R46+R49)</f>
        <v>0</v>
      </c>
      <c r="S50" s="14" t="n">
        <f aca="false">(S46+S49)</f>
        <v>0</v>
      </c>
      <c r="T50" s="14" t="n">
        <f aca="false">(T46+T49)</f>
        <v>0.6</v>
      </c>
      <c r="U50" s="14" t="n">
        <f aca="false">(U46+U49)</f>
        <v>0</v>
      </c>
      <c r="V50" s="14" t="n">
        <f aca="false">(V46+V49)</f>
        <v>0</v>
      </c>
      <c r="W50" s="14" t="n">
        <f aca="false">(W46+W49)</f>
        <v>1.2</v>
      </c>
      <c r="X50" s="14" t="n">
        <f aca="false">(X46+X49)</f>
        <v>0</v>
      </c>
      <c r="Y50" s="14" t="n">
        <f aca="false">(Y46+Y49)</f>
        <v>0</v>
      </c>
      <c r="Z50" s="14" t="n">
        <f aca="false">(Z46+Z49)</f>
        <v>1.2</v>
      </c>
      <c r="AA50" s="14" t="n">
        <f aca="false">(AA46+AA49)</f>
        <v>0.6</v>
      </c>
      <c r="AB50" s="14" t="n">
        <f aca="false">(AB46+AB49)</f>
        <v>0</v>
      </c>
      <c r="AC50" s="14" t="n">
        <f aca="false">(AC46+AC49)</f>
        <v>1.8</v>
      </c>
      <c r="AD50" s="14" t="n">
        <f aca="false">(AD46+AD49)</f>
        <v>0.6</v>
      </c>
      <c r="AE50" s="14" t="n">
        <f aca="false">(AE46+AE49)</f>
        <v>0</v>
      </c>
      <c r="AF50" s="14" t="n">
        <f aca="false">(AF46+AF49)</f>
        <v>1.8</v>
      </c>
      <c r="AG50" s="14" t="n">
        <f aca="false">(AG46+AG49)</f>
        <v>1.2</v>
      </c>
      <c r="AH50" s="14" t="n">
        <f aca="false">(AH46+AH49)</f>
        <v>0</v>
      </c>
      <c r="AI50" s="14" t="n">
        <f aca="false">(AI46+AI49)</f>
        <v>1.8</v>
      </c>
      <c r="AJ50" s="14" t="n">
        <f aca="false">(AJ46+AJ49)</f>
        <v>1.2</v>
      </c>
      <c r="AK50" s="14" t="n">
        <f aca="false">(AK46+AK49)</f>
        <v>0</v>
      </c>
      <c r="AL50" s="14" t="n">
        <f aca="false">(AL46+AL49)</f>
        <v>2.4</v>
      </c>
      <c r="AN50" s="36" t="n">
        <f aca="false">SUM(C50:N50)</f>
        <v>0</v>
      </c>
      <c r="AO50" s="36" t="n">
        <f aca="false">SUM(O50:Z50)</f>
        <v>3.6</v>
      </c>
      <c r="AP50" s="36" t="n">
        <f aca="false">SUM(AA50:AL50)</f>
        <v>11.4</v>
      </c>
    </row>
    <row r="51" customFormat="false" ht="15" hidden="false" customHeight="false" outlineLevel="0" collapsed="false">
      <c r="A51" s="0" t="s">
        <v>857</v>
      </c>
      <c r="B51" s="0" t="s">
        <v>852</v>
      </c>
      <c r="C51" s="14" t="n">
        <f aca="false">C48</f>
        <v>0</v>
      </c>
      <c r="D51" s="14" t="n">
        <f aca="false">SUM(C48:D48)</f>
        <v>0</v>
      </c>
      <c r="E51" s="14" t="n">
        <f aca="false">SUM(C48:E48)</f>
        <v>0</v>
      </c>
      <c r="F51" s="14" t="n">
        <f aca="false">SUM(C48:F48)</f>
        <v>0</v>
      </c>
      <c r="G51" s="14" t="n">
        <f aca="false">SUM(C48:G48)</f>
        <v>1</v>
      </c>
      <c r="H51" s="14" t="n">
        <f aca="false">SUM(C48:H48)</f>
        <v>1</v>
      </c>
      <c r="I51" s="14" t="n">
        <f aca="false">SUM(D48:I48)</f>
        <v>1</v>
      </c>
      <c r="J51" s="14" t="n">
        <f aca="false">SUM(E48:J48)</f>
        <v>1</v>
      </c>
      <c r="K51" s="14" t="n">
        <f aca="false">SUM(F48:K48)</f>
        <v>1</v>
      </c>
      <c r="L51" s="14" t="n">
        <f aca="false">SUM(G48:L48)</f>
        <v>1</v>
      </c>
      <c r="M51" s="14" t="n">
        <f aca="false">SUM(H48:M48)</f>
        <v>0</v>
      </c>
      <c r="N51" s="14" t="n">
        <f aca="false">SUM(I48:N48)</f>
        <v>0</v>
      </c>
      <c r="O51" s="14" t="n">
        <f aca="false">SUM(J48:O48)</f>
        <v>0</v>
      </c>
      <c r="P51" s="14" t="n">
        <f aca="false">SUM(K48:P48)</f>
        <v>0</v>
      </c>
      <c r="Q51" s="14" t="n">
        <f aca="false">SUM(L48:Q48)</f>
        <v>0.6</v>
      </c>
      <c r="R51" s="14" t="n">
        <f aca="false">SUM(M48:R48)</f>
        <v>0.6</v>
      </c>
      <c r="S51" s="14" t="n">
        <f aca="false">SUM(N48:S48)</f>
        <v>0.6</v>
      </c>
      <c r="T51" s="14" t="n">
        <f aca="false">SUM(O48:T48)</f>
        <v>1.2</v>
      </c>
      <c r="U51" s="14" t="n">
        <f aca="false">SUM(P48:U48)</f>
        <v>1.2</v>
      </c>
      <c r="V51" s="14" t="n">
        <f aca="false">SUM(Q48:V48)</f>
        <v>1.2</v>
      </c>
      <c r="W51" s="14" t="n">
        <f aca="false">SUM(R48:W48)</f>
        <v>1.8</v>
      </c>
      <c r="X51" s="14" t="n">
        <f aca="false">SUM(S48:X48)</f>
        <v>1.8</v>
      </c>
      <c r="Y51" s="14" t="n">
        <f aca="false">SUM(T48:Y48)</f>
        <v>1.8</v>
      </c>
      <c r="Z51" s="14" t="n">
        <f aca="false">SUM(U48:Z48)</f>
        <v>2.4</v>
      </c>
      <c r="AA51" s="14" t="n">
        <f aca="false">SUM(V48:AA48)</f>
        <v>2.4</v>
      </c>
      <c r="AB51" s="14" t="n">
        <f aca="false">SUM(W48:AB48)</f>
        <v>2.4</v>
      </c>
      <c r="AC51" s="14" t="n">
        <f aca="false">SUM(X48:AC48)</f>
        <v>3</v>
      </c>
      <c r="AD51" s="14" t="n">
        <f aca="false">SUM(Y48:AD48)</f>
        <v>3</v>
      </c>
      <c r="AE51" s="14" t="n">
        <f aca="false">SUM(Z48:AE48)</f>
        <v>3</v>
      </c>
      <c r="AF51" s="14" t="n">
        <f aca="false">SUM(AA48:AF48)</f>
        <v>3.6</v>
      </c>
      <c r="AG51" s="14" t="n">
        <f aca="false">SUM(AB48:AG48)</f>
        <v>3.6</v>
      </c>
      <c r="AH51" s="14" t="n">
        <f aca="false">SUM(AC48:AH48)</f>
        <v>3.6</v>
      </c>
      <c r="AI51" s="14" t="n">
        <f aca="false">SUM(AD48:AI48)</f>
        <v>3.6</v>
      </c>
      <c r="AJ51" s="14" t="n">
        <f aca="false">SUM(AE48:AJ48)</f>
        <v>3.6</v>
      </c>
      <c r="AK51" s="14" t="n">
        <f aca="false">SUM(AF48:AK48)</f>
        <v>3.6</v>
      </c>
      <c r="AL51" s="14" t="n">
        <f aca="false">SUM(AG48:AL48)</f>
        <v>4.2</v>
      </c>
      <c r="AN51" s="36" t="n">
        <f aca="false">N51</f>
        <v>0</v>
      </c>
      <c r="AO51" s="36" t="n">
        <f aca="false">Z51</f>
        <v>2.4</v>
      </c>
      <c r="AP51" s="36" t="n">
        <f aca="false">AL51</f>
        <v>4.2</v>
      </c>
    </row>
    <row r="52" customFormat="false" ht="15" hidden="false" customHeight="false" outlineLevel="0" collapsed="false">
      <c r="A52" s="0" t="s">
        <v>858</v>
      </c>
      <c r="B52" s="0" t="s">
        <v>852</v>
      </c>
      <c r="C52" s="14" t="n">
        <f aca="false">C46</f>
        <v>0</v>
      </c>
      <c r="D52" s="14" t="n">
        <f aca="false">SUM(C46:D46)</f>
        <v>0</v>
      </c>
      <c r="E52" s="14" t="n">
        <f aca="false">SUM(C46:E46)</f>
        <v>0</v>
      </c>
      <c r="F52" s="14" t="n">
        <f aca="false">SUM(C46:F46)</f>
        <v>0</v>
      </c>
      <c r="G52" s="14" t="n">
        <f aca="false">SUM(C46:G46)</f>
        <v>0</v>
      </c>
      <c r="H52" s="14" t="n">
        <f aca="false">SUM(C46:H46)</f>
        <v>0</v>
      </c>
      <c r="I52" s="14" t="n">
        <f aca="false">SUM(D46:I46)</f>
        <v>0</v>
      </c>
      <c r="J52" s="14" t="n">
        <f aca="false">SUM(E46:J46)</f>
        <v>0</v>
      </c>
      <c r="K52" s="14" t="n">
        <f aca="false">SUM(F46:K46)</f>
        <v>0</v>
      </c>
      <c r="L52" s="14" t="n">
        <f aca="false">SUM(G46:L46)</f>
        <v>0</v>
      </c>
      <c r="M52" s="14" t="n">
        <f aca="false">SUM(H46:M46)</f>
        <v>0</v>
      </c>
      <c r="N52" s="14" t="n">
        <f aca="false">SUM(I46:N46)</f>
        <v>0</v>
      </c>
      <c r="O52" s="14" t="n">
        <f aca="false">SUM(J46:O46)</f>
        <v>0</v>
      </c>
      <c r="P52" s="14" t="n">
        <f aca="false">SUM(K46:P46)</f>
        <v>0</v>
      </c>
      <c r="Q52" s="14" t="n">
        <f aca="false">SUM(L46:Q46)</f>
        <v>0.6</v>
      </c>
      <c r="R52" s="14" t="n">
        <f aca="false">SUM(M46:R46)</f>
        <v>0.6</v>
      </c>
      <c r="S52" s="14" t="n">
        <f aca="false">SUM(N46:S46)</f>
        <v>0.6</v>
      </c>
      <c r="T52" s="14" t="n">
        <f aca="false">SUM(O46:T46)</f>
        <v>1.2</v>
      </c>
      <c r="U52" s="14" t="n">
        <f aca="false">SUM(P46:U46)</f>
        <v>1.2</v>
      </c>
      <c r="V52" s="14" t="n">
        <f aca="false">SUM(Q46:V46)</f>
        <v>1.2</v>
      </c>
      <c r="W52" s="14" t="n">
        <f aca="false">SUM(R46:W46)</f>
        <v>1.8</v>
      </c>
      <c r="X52" s="14" t="n">
        <f aca="false">SUM(S46:X46)</f>
        <v>1.8</v>
      </c>
      <c r="Y52" s="14" t="n">
        <f aca="false">SUM(T46:Y46)</f>
        <v>1.8</v>
      </c>
      <c r="Z52" s="14" t="n">
        <f aca="false">SUM(U46:Z46)</f>
        <v>2.4</v>
      </c>
      <c r="AA52" s="14" t="n">
        <f aca="false">SUM(V46:AA46)</f>
        <v>2.4</v>
      </c>
      <c r="AB52" s="14" t="n">
        <f aca="false">SUM(W46:AB46)</f>
        <v>2.4</v>
      </c>
      <c r="AC52" s="14" t="n">
        <f aca="false">SUM(X46:AC46)</f>
        <v>3</v>
      </c>
      <c r="AD52" s="14" t="n">
        <f aca="false">SUM(Y46:AD46)</f>
        <v>3</v>
      </c>
      <c r="AE52" s="14" t="n">
        <f aca="false">SUM(Z46:AE46)</f>
        <v>3</v>
      </c>
      <c r="AF52" s="14" t="n">
        <f aca="false">SUM(AA46:AF46)</f>
        <v>3.6</v>
      </c>
      <c r="AG52" s="14" t="n">
        <f aca="false">SUM(AB46:AG46)</f>
        <v>3.6</v>
      </c>
      <c r="AH52" s="14" t="n">
        <f aca="false">SUM(AC46:AH46)</f>
        <v>3.6</v>
      </c>
      <c r="AI52" s="14" t="n">
        <f aca="false">SUM(AD46:AI46)</f>
        <v>3.6</v>
      </c>
      <c r="AJ52" s="14" t="n">
        <f aca="false">SUM(AE46:AJ46)</f>
        <v>3.6</v>
      </c>
      <c r="AK52" s="14" t="n">
        <f aca="false">SUM(AF46:AK46)</f>
        <v>3.6</v>
      </c>
      <c r="AL52" s="14" t="n">
        <f aca="false">SUM(AG46:AL46)</f>
        <v>4.2</v>
      </c>
      <c r="AN52" s="36" t="n">
        <f aca="false">N52</f>
        <v>0</v>
      </c>
      <c r="AO52" s="36" t="n">
        <f aca="false">Z52</f>
        <v>2.4</v>
      </c>
      <c r="AP52" s="36" t="n">
        <f aca="false">AL52</f>
        <v>4.2</v>
      </c>
    </row>
    <row r="53" customFormat="false" ht="15" hidden="false" customHeight="false" outlineLevel="0" collapsed="false">
      <c r="A53" s="0" t="s">
        <v>859</v>
      </c>
      <c r="B53" s="0" t="s">
        <v>852</v>
      </c>
      <c r="C53" s="14" t="n">
        <f aca="false">((Assumptions!$C$127*$C$8)*0)</f>
        <v>0</v>
      </c>
      <c r="D53" s="14" t="n">
        <f aca="false">((Assumptions!$C$127*$C$8)*0)</f>
        <v>0</v>
      </c>
      <c r="E53" s="14" t="n">
        <f aca="false">((Assumptions!$C$127*$C$8)*0)</f>
        <v>0</v>
      </c>
      <c r="F53" s="14" t="n">
        <f aca="false">((Assumptions!$C$127*$C$8)*0)</f>
        <v>0</v>
      </c>
      <c r="G53" s="14" t="n">
        <f aca="false">((Assumptions!$C$127*$C$8)*0)</f>
        <v>0</v>
      </c>
      <c r="H53" s="14" t="n">
        <f aca="false">((Assumptions!$C$127*$C$8)*0)</f>
        <v>0</v>
      </c>
      <c r="I53" s="14" t="n">
        <f aca="false">((Assumptions!$C$127*$C$8)*0)</f>
        <v>0</v>
      </c>
      <c r="J53" s="14" t="n">
        <f aca="false">((Assumptions!$C$127*$C$8)*C46)</f>
        <v>0</v>
      </c>
      <c r="K53" s="14" t="n">
        <f aca="false">((Assumptions!$C$127*$C$8)*D46)</f>
        <v>0</v>
      </c>
      <c r="L53" s="14" t="n">
        <f aca="false">((Assumptions!$C$127*$C$8)*E46)</f>
        <v>0</v>
      </c>
      <c r="M53" s="14" t="n">
        <f aca="false">((Assumptions!$C$127*$C$8)*F46)</f>
        <v>0</v>
      </c>
      <c r="N53" s="14" t="n">
        <f aca="false">((Assumptions!$C$127*$C$8)*G46)</f>
        <v>0</v>
      </c>
      <c r="O53" s="14" t="n">
        <f aca="false">((Assumptions!$C$127*$C$8)*H46)</f>
        <v>0</v>
      </c>
      <c r="P53" s="14" t="n">
        <f aca="false">((Assumptions!$C$127*$C$8)*I46)</f>
        <v>0</v>
      </c>
      <c r="Q53" s="14" t="n">
        <f aca="false">((Assumptions!$C$127*$C$8)*J46)</f>
        <v>0</v>
      </c>
      <c r="R53" s="14" t="n">
        <f aca="false">((Assumptions!$C$127*$C$8)*K46)</f>
        <v>0</v>
      </c>
      <c r="S53" s="14" t="n">
        <f aca="false">((Assumptions!$C$127*$C$8)*L46)</f>
        <v>0</v>
      </c>
      <c r="T53" s="14" t="n">
        <f aca="false">((Assumptions!$C$127*$C$8)*M46)</f>
        <v>0</v>
      </c>
      <c r="U53" s="14" t="n">
        <f aca="false">((Assumptions!$C$127*$C$8)*N46)</f>
        <v>0</v>
      </c>
      <c r="V53" s="14" t="n">
        <f aca="false">((Assumptions!$C$127*$C$8)*O46)</f>
        <v>0</v>
      </c>
      <c r="W53" s="14" t="n">
        <f aca="false">((Assumptions!$C$127*$C$8)*P46)</f>
        <v>0</v>
      </c>
      <c r="X53" s="14" t="n">
        <f aca="false">((Assumptions!$C$127*$C$8)*Q46)</f>
        <v>0.24</v>
      </c>
      <c r="Y53" s="14" t="n">
        <f aca="false">((Assumptions!$C$127*$C$8)*R46)</f>
        <v>0</v>
      </c>
      <c r="Z53" s="14" t="n">
        <f aca="false">((Assumptions!$C$127*$C$8)*S46)</f>
        <v>0</v>
      </c>
      <c r="AA53" s="14" t="n">
        <f aca="false">((Assumptions!$C$127*$C$8)*T46)</f>
        <v>0.24</v>
      </c>
      <c r="AB53" s="14" t="n">
        <f aca="false">((Assumptions!$C$127*$C$8)*U46)</f>
        <v>0</v>
      </c>
      <c r="AC53" s="14" t="n">
        <f aca="false">((Assumptions!$C$127*$C$8)*V46)</f>
        <v>0</v>
      </c>
      <c r="AD53" s="14" t="n">
        <f aca="false">((Assumptions!$C$127*$C$8)*W46)</f>
        <v>0.48</v>
      </c>
      <c r="AE53" s="14" t="n">
        <f aca="false">((Assumptions!$C$127*$C$8)*X46)</f>
        <v>0</v>
      </c>
      <c r="AF53" s="14" t="n">
        <f aca="false">((Assumptions!$C$127*$C$8)*Y46)</f>
        <v>0</v>
      </c>
      <c r="AG53" s="14" t="n">
        <f aca="false">((Assumptions!$C$127*$C$8)*Z46)</f>
        <v>0.48</v>
      </c>
      <c r="AH53" s="14" t="n">
        <f aca="false">((Assumptions!$C$127*$C$8)*AA46)</f>
        <v>0</v>
      </c>
      <c r="AI53" s="14" t="n">
        <f aca="false">((Assumptions!$C$127*$C$8)*AB46)</f>
        <v>0</v>
      </c>
      <c r="AJ53" s="14" t="n">
        <f aca="false">((Assumptions!$C$127*$C$8)*AC46)</f>
        <v>0.72</v>
      </c>
      <c r="AK53" s="14" t="n">
        <f aca="false">((Assumptions!$C$127*$C$8)*AD46)</f>
        <v>0</v>
      </c>
      <c r="AL53" s="14" t="n">
        <f aca="false">((Assumptions!$C$127*$C$8)*AE46)</f>
        <v>0</v>
      </c>
      <c r="AN53" s="36" t="n">
        <f aca="false">SUM(C53:N53)</f>
        <v>0</v>
      </c>
      <c r="AO53" s="36" t="n">
        <f aca="false">SUM(O53:Z53)</f>
        <v>0.24</v>
      </c>
      <c r="AP53" s="36" t="n">
        <f aca="false">SUM(AA53:AL53)</f>
        <v>1.92</v>
      </c>
    </row>
    <row r="54" customFormat="false" ht="15" hidden="false" customHeight="false" outlineLevel="0" collapsed="false">
      <c r="A54" s="0" t="s">
        <v>860</v>
      </c>
      <c r="B54" s="0" t="s">
        <v>852</v>
      </c>
      <c r="C54" s="14" t="n">
        <f aca="false">((Assumptions!$C$10*$C$8)*IF((C$18=(Assumptions!$C$7+$C$9)),0,IF((C$18&gt;(Assumptions!$C$7+$C$9)),0,0)))</f>
        <v>0</v>
      </c>
      <c r="D54" s="14" t="n">
        <f aca="false">((Assumptions!$C$10*$C$8)*IF((D$18=(Assumptions!$C$7+$C$9)),0,IF((D$18&gt;(Assumptions!$C$7+$C$9)),0,0)))</f>
        <v>0</v>
      </c>
      <c r="E54" s="14" t="n">
        <f aca="false">((Assumptions!$C$10*$C$8)*IF((E$18=(Assumptions!$C$7+$C$9)),0,IF((E$18&gt;(Assumptions!$C$7+$C$9)),0,0)))</f>
        <v>0</v>
      </c>
      <c r="F54" s="14" t="n">
        <f aca="false">((Assumptions!$C$10*$C$8)*IF((F$18=(Assumptions!$C$7+$C$9)),0,IF((F$18&gt;(Assumptions!$C$7+$C$9)),0,0)))</f>
        <v>0</v>
      </c>
      <c r="G54" s="14" t="n">
        <f aca="false">((Assumptions!$C$10*$C$8)*IF((G$18=(Assumptions!$C$7+$C$9)),0,IF((G$18&gt;(Assumptions!$C$7+$C$9)),0,0)))</f>
        <v>0</v>
      </c>
      <c r="H54" s="14" t="n">
        <f aca="false">((Assumptions!$C$10*$C$8)*IF((H$18=(Assumptions!$C$7+$C$9)),0,IF((H$18&gt;(Assumptions!$C$7+$C$9)),0,0)))</f>
        <v>0</v>
      </c>
      <c r="I54" s="14" t="n">
        <f aca="false">((Assumptions!$C$10*$C$8)*IF((I$18=(Assumptions!$C$7+$C$9)),0,IF((I$18&gt;(Assumptions!$C$7+$C$9)),0,0)))</f>
        <v>0</v>
      </c>
      <c r="J54" s="14" t="n">
        <f aca="false">((Assumptions!$C$10*$C$8)*IF((J$18=(Assumptions!$C$7+$C$9)),C47,IF((J$18&gt;(Assumptions!$C$7+$C$9)),C47,0)))</f>
        <v>0</v>
      </c>
      <c r="K54" s="14" t="n">
        <f aca="false">((Assumptions!$C$10*$C$8)*IF((K$18=(Assumptions!$C$7+$C$9)),SUM(C47:D47),IF((K$18&gt;(Assumptions!$C$7+$C$9)),D47,0)))</f>
        <v>0</v>
      </c>
      <c r="L54" s="14" t="n">
        <f aca="false">((Assumptions!$C$10*$C$8)*IF((L$18=(Assumptions!$C$7+$C$9)),SUM(C47:E47),IF((L$18&gt;(Assumptions!$C$7+$C$9)),E47,0)))</f>
        <v>0</v>
      </c>
      <c r="M54" s="14" t="n">
        <f aca="false">((Assumptions!$C$10*$C$8)*IF((M$18=(Assumptions!$C$7+$C$9)),SUM(C47:F47),IF((M$18&gt;(Assumptions!$C$7+$C$9)),F47,0)))</f>
        <v>0</v>
      </c>
      <c r="N54" s="14" t="n">
        <f aca="false">((Assumptions!$C$10*$C$8)*IF((N$18=(Assumptions!$C$7+$C$9)),SUM(C47:G47),IF((N$18&gt;(Assumptions!$C$7+$C$9)),G47,0)))</f>
        <v>0</v>
      </c>
      <c r="O54" s="14" t="n">
        <f aca="false">((Assumptions!$C$10*$C$8)*IF((O$18=(Assumptions!$C$7+$C$9)),SUM(C47:H47),IF((O$18&gt;(Assumptions!$C$7+$C$9)),H47,0)))</f>
        <v>0</v>
      </c>
      <c r="P54" s="14" t="n">
        <f aca="false">((Assumptions!$C$10*$C$8)*IF((P$18=(Assumptions!$C$7+$C$9)),SUM(C47:I47),IF((P$18&gt;(Assumptions!$C$7+$C$9)),I47,0)))</f>
        <v>0.48</v>
      </c>
      <c r="Q54" s="14" t="n">
        <f aca="false">((Assumptions!$C$10*$C$8)*IF((Q$18=(Assumptions!$C$7+$C$9)),SUM(C47:J47),IF((Q$18&gt;(Assumptions!$C$7+$C$9)),J47,0)))</f>
        <v>0</v>
      </c>
      <c r="R54" s="14" t="n">
        <f aca="false">((Assumptions!$C$10*$C$8)*IF((R$18=(Assumptions!$C$7+$C$9)),SUM(C47:K47),IF((R$18&gt;(Assumptions!$C$7+$C$9)),K47,0)))</f>
        <v>0</v>
      </c>
      <c r="S54" s="14" t="n">
        <f aca="false">((Assumptions!$C$10*$C$8)*IF((S$18=(Assumptions!$C$7+$C$9)),SUM(C47:L47),IF((S$18&gt;(Assumptions!$C$7+$C$9)),L47,0)))</f>
        <v>0</v>
      </c>
      <c r="T54" s="14" t="n">
        <f aca="false">((Assumptions!$C$10*$C$8)*IF((T$18=(Assumptions!$C$7+$C$9)),SUM(C47:M47),IF((T$18&gt;(Assumptions!$C$7+$C$9)),M47,0)))</f>
        <v>0</v>
      </c>
      <c r="U54" s="14" t="n">
        <f aca="false">((Assumptions!$C$10*$C$8)*IF((U$18=(Assumptions!$C$7+$C$9)),SUM(C47:N47),IF((U$18&gt;(Assumptions!$C$7+$C$9)),N47,0)))</f>
        <v>0</v>
      </c>
      <c r="V54" s="14" t="n">
        <f aca="false">((Assumptions!$C$10*$C$8)*IF((V$18=(Assumptions!$C$7+$C$9)),SUM(C47:O47),IF((V$18&gt;(Assumptions!$C$7+$C$9)),O47,0)))</f>
        <v>0</v>
      </c>
      <c r="W54" s="14" t="n">
        <f aca="false">((Assumptions!$C$10*$C$8)*IF((W$18=(Assumptions!$C$7+$C$9)),SUM(C47:P47),IF((W$18&gt;(Assumptions!$C$7+$C$9)),P47,0)))</f>
        <v>0</v>
      </c>
      <c r="X54" s="14" t="n">
        <f aca="false">((Assumptions!$C$10*$C$8)*IF((X$18=(Assumptions!$C$7+$C$9)),SUM(C47:Q47),IF((X$18&gt;(Assumptions!$C$7+$C$9)),Q47,0)))</f>
        <v>0</v>
      </c>
      <c r="Y54" s="14" t="n">
        <f aca="false">((Assumptions!$C$10*$C$8)*IF((Y$18=(Assumptions!$C$7+$C$9)),SUM(C47:R47),IF((Y$18&gt;(Assumptions!$C$7+$C$9)),R47,0)))</f>
        <v>0</v>
      </c>
      <c r="Z54" s="14" t="n">
        <f aca="false">((Assumptions!$C$10*$C$8)*IF((Z$18=(Assumptions!$C$7+$C$9)),SUM(C47:S47),IF((Z$18&gt;(Assumptions!$C$7+$C$9)),S47,0)))</f>
        <v>0</v>
      </c>
      <c r="AA54" s="14" t="n">
        <f aca="false">((Assumptions!$C$10*$C$8)*IF((AA$18=(Assumptions!$C$7+$C$9)),SUM(C47:T47),IF((AA$18&gt;(Assumptions!$C$7+$C$9)),T47,0)))</f>
        <v>0</v>
      </c>
      <c r="AB54" s="14" t="n">
        <f aca="false">((Assumptions!$C$10*$C$8)*IF((AB$18=(Assumptions!$C$7+$C$9)),SUM(C47:U47),IF((AB$18&gt;(Assumptions!$C$7+$C$9)),U47,0)))</f>
        <v>0</v>
      </c>
      <c r="AC54" s="14" t="n">
        <f aca="false">((Assumptions!$C$10*$C$8)*IF((AC$18=(Assumptions!$C$7+$C$9)),SUM(C47:V47),IF((AC$18&gt;(Assumptions!$C$7+$C$9)),V47,0)))</f>
        <v>0</v>
      </c>
      <c r="AD54" s="14" t="n">
        <f aca="false">((Assumptions!$C$10*$C$8)*IF((AD$18=(Assumptions!$C$7+$C$9)),SUM(C47:W47),IF((AD$18&gt;(Assumptions!$C$7+$C$9)),W47,0)))</f>
        <v>0</v>
      </c>
      <c r="AE54" s="14" t="n">
        <f aca="false">((Assumptions!$C$10*$C$8)*IF((AE$18=(Assumptions!$C$7+$C$9)),SUM(C47:X47),IF((AE$18&gt;(Assumptions!$C$7+$C$9)),X47,0)))</f>
        <v>0</v>
      </c>
      <c r="AF54" s="14" t="n">
        <f aca="false">((Assumptions!$C$10*$C$8)*IF((AF$18=(Assumptions!$C$7+$C$9)),SUM(C47:Y47),IF((AF$18&gt;(Assumptions!$C$7+$C$9)),Y47,0)))</f>
        <v>0</v>
      </c>
      <c r="AG54" s="14" t="n">
        <f aca="false">((Assumptions!$C$10*$C$8)*IF((AG$18=(Assumptions!$C$7+$C$9)),SUM(C47:Z47),IF((AG$18&gt;(Assumptions!$C$7+$C$9)),Z47,0)))</f>
        <v>0</v>
      </c>
      <c r="AH54" s="14" t="n">
        <f aca="false">((Assumptions!$C$10*$C$8)*IF((AH$18=(Assumptions!$C$7+$C$9)),SUM(C47:AA47),IF((AH$18&gt;(Assumptions!$C$7+$C$9)),AA47,0)))</f>
        <v>0</v>
      </c>
      <c r="AI54" s="14" t="n">
        <f aca="false">((Assumptions!$C$10*$C$8)*IF((AI$18=(Assumptions!$C$7+$C$9)),SUM(C47:AB47),IF((AI$18&gt;(Assumptions!$C$7+$C$9)),AB47,0)))</f>
        <v>0</v>
      </c>
      <c r="AJ54" s="14" t="n">
        <f aca="false">((Assumptions!$C$10*$C$8)*IF((AJ$18=(Assumptions!$C$7+$C$9)),SUM(C47:AC47),IF((AJ$18&gt;(Assumptions!$C$7+$C$9)),AC47,0)))</f>
        <v>0</v>
      </c>
      <c r="AK54" s="14" t="n">
        <f aca="false">((Assumptions!$C$10*$C$8)*IF((AK$18=(Assumptions!$C$7+$C$9)),SUM(C47:AD47),IF((AK$18&gt;(Assumptions!$C$7+$C$9)),AD47,0)))</f>
        <v>0</v>
      </c>
      <c r="AL54" s="14" t="n">
        <f aca="false">((Assumptions!$C$10*$C$8)*IF((AL$18=(Assumptions!$C$7+$C$9)),SUM(C47:AE47),IF((AL$18&gt;(Assumptions!$C$7+$C$9)),AE47,0)))</f>
        <v>0</v>
      </c>
      <c r="AN54" s="36" t="n">
        <f aca="false">SUM(C54:N54)</f>
        <v>0</v>
      </c>
      <c r="AO54" s="36" t="n">
        <f aca="false">SUM(O54:Z54)</f>
        <v>0.48</v>
      </c>
      <c r="AP54" s="36" t="n">
        <f aca="false">SUM(AA54:AL54)</f>
        <v>0</v>
      </c>
    </row>
    <row r="55" customFormat="false" ht="15" hidden="false" customHeight="false" outlineLevel="0" collapsed="false">
      <c r="A55" s="0" t="s">
        <v>861</v>
      </c>
      <c r="B55" s="0" t="s">
        <v>852</v>
      </c>
      <c r="C55" s="14" t="n">
        <f aca="false">((C53+C54)+C49)</f>
        <v>0</v>
      </c>
      <c r="D55" s="14" t="n">
        <f aca="false">((D53+D54)+D49)</f>
        <v>0</v>
      </c>
      <c r="E55" s="14" t="n">
        <f aca="false">((E53+E54)+E49)</f>
        <v>0</v>
      </c>
      <c r="F55" s="14" t="n">
        <f aca="false">((F53+F54)+F49)</f>
        <v>0</v>
      </c>
      <c r="G55" s="14" t="n">
        <f aca="false">((G53+G54)+G49)</f>
        <v>0</v>
      </c>
      <c r="H55" s="14" t="n">
        <f aca="false">((H53+H54)+H49)</f>
        <v>0</v>
      </c>
      <c r="I55" s="14" t="n">
        <f aca="false">((I53+I54)+I49)</f>
        <v>0</v>
      </c>
      <c r="J55" s="14" t="n">
        <f aca="false">((J53+J54)+J49)</f>
        <v>0</v>
      </c>
      <c r="K55" s="14" t="n">
        <f aca="false">((K53+K54)+K49)</f>
        <v>0</v>
      </c>
      <c r="L55" s="14" t="n">
        <f aca="false">((L53+L54)+L49)</f>
        <v>0</v>
      </c>
      <c r="M55" s="14" t="n">
        <f aca="false">((M53+M54)+M49)</f>
        <v>0</v>
      </c>
      <c r="N55" s="14" t="n">
        <f aca="false">((N53+N54)+N49)</f>
        <v>0</v>
      </c>
      <c r="O55" s="14" t="n">
        <f aca="false">((O53+O54)+O49)</f>
        <v>0</v>
      </c>
      <c r="P55" s="14" t="n">
        <f aca="false">((P53+P54)+P49)</f>
        <v>0.48</v>
      </c>
      <c r="Q55" s="14" t="n">
        <f aca="false">((Q53+Q54)+Q49)</f>
        <v>0</v>
      </c>
      <c r="R55" s="14" t="n">
        <f aca="false">((R53+R54)+R49)</f>
        <v>0</v>
      </c>
      <c r="S55" s="14" t="n">
        <f aca="false">((S53+S54)+S49)</f>
        <v>0</v>
      </c>
      <c r="T55" s="14" t="n">
        <f aca="false">((T53+T54)+T49)</f>
        <v>0</v>
      </c>
      <c r="U55" s="14" t="n">
        <f aca="false">((U53+U54)+U49)</f>
        <v>0</v>
      </c>
      <c r="V55" s="14" t="n">
        <f aca="false">((V53+V54)+V49)</f>
        <v>0</v>
      </c>
      <c r="W55" s="14" t="n">
        <f aca="false">((W53+W54)+W49)</f>
        <v>0</v>
      </c>
      <c r="X55" s="14" t="n">
        <f aca="false">((X53+X54)+X49)</f>
        <v>0.24</v>
      </c>
      <c r="Y55" s="14" t="n">
        <f aca="false">((Y53+Y54)+Y49)</f>
        <v>0</v>
      </c>
      <c r="Z55" s="14" t="n">
        <f aca="false">((Z53+Z54)+Z49)</f>
        <v>0</v>
      </c>
      <c r="AA55" s="14" t="n">
        <f aca="false">((AA53+AA54)+AA49)</f>
        <v>0.84</v>
      </c>
      <c r="AB55" s="14" t="n">
        <f aca="false">((AB53+AB54)+AB49)</f>
        <v>0</v>
      </c>
      <c r="AC55" s="14" t="n">
        <f aca="false">((AC53+AC54)+AC49)</f>
        <v>0</v>
      </c>
      <c r="AD55" s="14" t="n">
        <f aca="false">((AD53+AD54)+AD49)</f>
        <v>1.08</v>
      </c>
      <c r="AE55" s="14" t="n">
        <f aca="false">((AE53+AE54)+AE49)</f>
        <v>0</v>
      </c>
      <c r="AF55" s="14" t="n">
        <f aca="false">((AF53+AF54)+AF49)</f>
        <v>0</v>
      </c>
      <c r="AG55" s="14" t="n">
        <f aca="false">((AG53+AG54)+AG49)</f>
        <v>1.68</v>
      </c>
      <c r="AH55" s="14" t="n">
        <f aca="false">((AH53+AH54)+AH49)</f>
        <v>0</v>
      </c>
      <c r="AI55" s="14" t="n">
        <f aca="false">((AI53+AI54)+AI49)</f>
        <v>0</v>
      </c>
      <c r="AJ55" s="14" t="n">
        <f aca="false">((AJ53+AJ54)+AJ49)</f>
        <v>1.92</v>
      </c>
      <c r="AK55" s="14" t="n">
        <f aca="false">((AK53+AK54)+AK49)</f>
        <v>0</v>
      </c>
      <c r="AL55" s="14" t="n">
        <f aca="false">((AL53+AL54)+AL49)</f>
        <v>0</v>
      </c>
      <c r="AN55" s="36" t="n">
        <f aca="false">SUM(C55:N55)</f>
        <v>0</v>
      </c>
      <c r="AO55" s="36" t="n">
        <f aca="false">SUM(O55:Z55)</f>
        <v>0.72</v>
      </c>
      <c r="AP55" s="36" t="n">
        <f aca="false">SUM(AA55:AL55)</f>
        <v>5.52</v>
      </c>
    </row>
    <row r="56" customFormat="false" ht="15" hidden="false" customHeight="false" outlineLevel="0" collapsed="false">
      <c r="A56" s="0" t="s">
        <v>862</v>
      </c>
      <c r="B56" s="0" t="s">
        <v>852</v>
      </c>
      <c r="C56" s="14" t="n">
        <f aca="false">(C55+(C45*0))</f>
        <v>0</v>
      </c>
      <c r="D56" s="14" t="n">
        <f aca="false">(D55+(D45*0))</f>
        <v>0</v>
      </c>
      <c r="E56" s="14" t="n">
        <f aca="false">(E55+(E45*0))</f>
        <v>0</v>
      </c>
      <c r="F56" s="14" t="n">
        <f aca="false">(F55+(F45*0))</f>
        <v>0</v>
      </c>
      <c r="G56" s="14" t="n">
        <f aca="false">(G55+(G45*0))</f>
        <v>0</v>
      </c>
      <c r="H56" s="14" t="n">
        <f aca="false">(H55+(H45*0))</f>
        <v>0</v>
      </c>
      <c r="I56" s="14" t="n">
        <f aca="false">(I55+(I45*0))</f>
        <v>0</v>
      </c>
      <c r="J56" s="14" t="n">
        <f aca="false">(J55+(J45*0))</f>
        <v>0</v>
      </c>
      <c r="K56" s="14" t="n">
        <f aca="false">(K55+(K45*0))</f>
        <v>0</v>
      </c>
      <c r="L56" s="14" t="n">
        <f aca="false">(L55+(L45*0))</f>
        <v>0</v>
      </c>
      <c r="M56" s="14" t="n">
        <f aca="false">(M55+(M45*0))</f>
        <v>0</v>
      </c>
      <c r="N56" s="14" t="n">
        <f aca="false">(N55+(N45*0))</f>
        <v>0</v>
      </c>
      <c r="O56" s="14" t="n">
        <f aca="false">(O55+(O45*C56))</f>
        <v>0</v>
      </c>
      <c r="P56" s="14" t="n">
        <f aca="false">(P55+(P45*D56))</f>
        <v>0.48</v>
      </c>
      <c r="Q56" s="14" t="n">
        <f aca="false">(Q55+(Q45*E56))</f>
        <v>0</v>
      </c>
      <c r="R56" s="14" t="n">
        <f aca="false">(R55+(R45*F56))</f>
        <v>0</v>
      </c>
      <c r="S56" s="14" t="n">
        <f aca="false">(S55+(S45*G56))</f>
        <v>0</v>
      </c>
      <c r="T56" s="14" t="n">
        <f aca="false">(T55+(T45*H56))</f>
        <v>0</v>
      </c>
      <c r="U56" s="14" t="n">
        <f aca="false">(U55+(U45*I56))</f>
        <v>0</v>
      </c>
      <c r="V56" s="14" t="n">
        <f aca="false">(V55+(V45*J56))</f>
        <v>0</v>
      </c>
      <c r="W56" s="14" t="n">
        <f aca="false">(W55+(W45*K56))</f>
        <v>0</v>
      </c>
      <c r="X56" s="14" t="n">
        <f aca="false">(X55+(X45*L56))</f>
        <v>0.24</v>
      </c>
      <c r="Y56" s="14" t="n">
        <f aca="false">(Y55+(Y45*M56))</f>
        <v>0</v>
      </c>
      <c r="Z56" s="14" t="n">
        <f aca="false">(Z55+(Z45*N56))</f>
        <v>0</v>
      </c>
      <c r="AA56" s="14" t="n">
        <f aca="false">(AA55+(AA45*O56))</f>
        <v>0.84</v>
      </c>
      <c r="AB56" s="14" t="n">
        <f aca="false">(AB55+(AB45*P56))</f>
        <v>0.408</v>
      </c>
      <c r="AC56" s="14" t="n">
        <f aca="false">(AC55+(AC45*Q56))</f>
        <v>0</v>
      </c>
      <c r="AD56" s="14" t="n">
        <f aca="false">(AD55+(AD45*R56))</f>
        <v>1.08</v>
      </c>
      <c r="AE56" s="14" t="n">
        <f aca="false">(AE55+(AE45*S56))</f>
        <v>0</v>
      </c>
      <c r="AF56" s="14" t="n">
        <f aca="false">(AF55+(AF45*T56))</f>
        <v>0</v>
      </c>
      <c r="AG56" s="14" t="n">
        <f aca="false">(AG55+(AG45*U56))</f>
        <v>1.68</v>
      </c>
      <c r="AH56" s="14" t="n">
        <f aca="false">(AH55+(AH45*V56))</f>
        <v>0</v>
      </c>
      <c r="AI56" s="14" t="n">
        <f aca="false">(AI55+(AI45*W56))</f>
        <v>0</v>
      </c>
      <c r="AJ56" s="14" t="n">
        <f aca="false">(AJ55+(AJ45*X56))</f>
        <v>2.124</v>
      </c>
      <c r="AK56" s="14" t="n">
        <f aca="false">(AK55+(AK45*Y56))</f>
        <v>0</v>
      </c>
      <c r="AL56" s="14" t="n">
        <f aca="false">(AL55+(AL45*Z56))</f>
        <v>0</v>
      </c>
      <c r="AN56" s="36" t="n">
        <f aca="false">SUM(C56:N56)</f>
        <v>0</v>
      </c>
      <c r="AO56" s="36" t="n">
        <f aca="false">SUM(O56:Z56)</f>
        <v>0.72</v>
      </c>
      <c r="AP56" s="36" t="n">
        <f aca="false">SUM(AA56:AL56)</f>
        <v>6.132</v>
      </c>
    </row>
    <row r="57" customFormat="false" ht="15" hidden="false" customHeight="false" outlineLevel="0" collapsed="false">
      <c r="A57" s="0" t="s">
        <v>863</v>
      </c>
      <c r="B57" s="0" t="s">
        <v>852</v>
      </c>
      <c r="C57" s="14" t="n">
        <f aca="false">C56</f>
        <v>0</v>
      </c>
      <c r="D57" s="14" t="n">
        <f aca="false">SUM(C56:D56)</f>
        <v>0</v>
      </c>
      <c r="E57" s="14" t="n">
        <f aca="false">SUM(C56:E56)</f>
        <v>0</v>
      </c>
      <c r="F57" s="14" t="n">
        <f aca="false">SUM(C56:F56)</f>
        <v>0</v>
      </c>
      <c r="G57" s="14" t="n">
        <f aca="false">SUM(C56:G56)</f>
        <v>0</v>
      </c>
      <c r="H57" s="14" t="n">
        <f aca="false">SUM(C56:H56)</f>
        <v>0</v>
      </c>
      <c r="I57" s="14" t="n">
        <f aca="false">SUM(C56:I56)</f>
        <v>0</v>
      </c>
      <c r="J57" s="14" t="n">
        <f aca="false">SUM(C56:J56)</f>
        <v>0</v>
      </c>
      <c r="K57" s="14" t="n">
        <f aca="false">SUM(C56:K56)</f>
        <v>0</v>
      </c>
      <c r="L57" s="14" t="n">
        <f aca="false">SUM(C56:L56)</f>
        <v>0</v>
      </c>
      <c r="M57" s="14" t="n">
        <f aca="false">SUM(C56:M56)</f>
        <v>0</v>
      </c>
      <c r="N57" s="14" t="n">
        <f aca="false">SUM(C56:N56)</f>
        <v>0</v>
      </c>
      <c r="O57" s="14" t="n">
        <f aca="false">SUM(D56:O56)</f>
        <v>0</v>
      </c>
      <c r="P57" s="14" t="n">
        <f aca="false">SUM(E56:P56)</f>
        <v>0.48</v>
      </c>
      <c r="Q57" s="14" t="n">
        <f aca="false">SUM(F56:Q56)</f>
        <v>0.48</v>
      </c>
      <c r="R57" s="14" t="n">
        <f aca="false">SUM(G56:R56)</f>
        <v>0.48</v>
      </c>
      <c r="S57" s="14" t="n">
        <f aca="false">SUM(H56:S56)</f>
        <v>0.48</v>
      </c>
      <c r="T57" s="14" t="n">
        <f aca="false">SUM(I56:T56)</f>
        <v>0.48</v>
      </c>
      <c r="U57" s="14" t="n">
        <f aca="false">SUM(J56:U56)</f>
        <v>0.48</v>
      </c>
      <c r="V57" s="14" t="n">
        <f aca="false">SUM(K56:V56)</f>
        <v>0.48</v>
      </c>
      <c r="W57" s="14" t="n">
        <f aca="false">SUM(L56:W56)</f>
        <v>0.48</v>
      </c>
      <c r="X57" s="14" t="n">
        <f aca="false">SUM(M56:X56)</f>
        <v>0.72</v>
      </c>
      <c r="Y57" s="14" t="n">
        <f aca="false">SUM(N56:Y56)</f>
        <v>0.72</v>
      </c>
      <c r="Z57" s="14" t="n">
        <f aca="false">SUM(O56:Z56)</f>
        <v>0.72</v>
      </c>
      <c r="AA57" s="14" t="n">
        <f aca="false">SUM(P56:AA56)</f>
        <v>1.56</v>
      </c>
      <c r="AB57" s="14" t="n">
        <f aca="false">SUM(Q56:AB56)</f>
        <v>1.488</v>
      </c>
      <c r="AC57" s="14" t="n">
        <f aca="false">SUM(R56:AC56)</f>
        <v>1.488</v>
      </c>
      <c r="AD57" s="14" t="n">
        <f aca="false">SUM(S56:AD56)</f>
        <v>2.568</v>
      </c>
      <c r="AE57" s="14" t="n">
        <f aca="false">SUM(T56:AE56)</f>
        <v>2.568</v>
      </c>
      <c r="AF57" s="14" t="n">
        <f aca="false">SUM(U56:AF56)</f>
        <v>2.568</v>
      </c>
      <c r="AG57" s="14" t="n">
        <f aca="false">SUM(V56:AG56)</f>
        <v>4.248</v>
      </c>
      <c r="AH57" s="14" t="n">
        <f aca="false">SUM(W56:AH56)</f>
        <v>4.248</v>
      </c>
      <c r="AI57" s="14" t="n">
        <f aca="false">SUM(X56:AI56)</f>
        <v>4.248</v>
      </c>
      <c r="AJ57" s="14" t="n">
        <f aca="false">SUM(Y56:AJ56)</f>
        <v>6.132</v>
      </c>
      <c r="AK57" s="14" t="n">
        <f aca="false">SUM(Z56:AK56)</f>
        <v>6.132</v>
      </c>
      <c r="AL57" s="14" t="n">
        <f aca="false">SUM(AA56:AL56)</f>
        <v>6.132</v>
      </c>
      <c r="AN57" s="36" t="n">
        <f aca="false">N57</f>
        <v>0</v>
      </c>
      <c r="AO57" s="36" t="n">
        <f aca="false">Z57</f>
        <v>0.72</v>
      </c>
      <c r="AP57" s="36" t="n">
        <f aca="false">AL57</f>
        <v>6.132</v>
      </c>
    </row>
    <row r="58" customFormat="false" ht="15" hidden="false" customHeight="false" outlineLevel="0" collapsed="false">
      <c r="A58" s="0" t="s">
        <v>864</v>
      </c>
      <c r="B58" s="0" t="s">
        <v>230</v>
      </c>
      <c r="C58" s="9" t="n">
        <f aca="false">((Assumptions!$C$121*(1-Assumptions!$C$29))*$C$10)</f>
        <v>25080</v>
      </c>
      <c r="D58" s="9" t="n">
        <f aca="false">((Assumptions!$C$121*(1-Assumptions!$C$29))*$C$10)</f>
        <v>25080</v>
      </c>
      <c r="E58" s="9" t="n">
        <f aca="false">((Assumptions!$C$121*(1-Assumptions!$C$29))*$C$10)</f>
        <v>25080</v>
      </c>
      <c r="F58" s="9" t="n">
        <f aca="false">((Assumptions!$C$121*(1-Assumptions!$C$29))*$C$10)</f>
        <v>25080</v>
      </c>
      <c r="G58" s="9" t="n">
        <f aca="false">((Assumptions!$C$121*(1-Assumptions!$C$29))*$C$10)</f>
        <v>25080</v>
      </c>
      <c r="H58" s="9" t="n">
        <f aca="false">((Assumptions!$C$121*(1-Assumptions!$C$29))*$C$10)</f>
        <v>25080</v>
      </c>
      <c r="I58" s="9" t="n">
        <f aca="false">((Assumptions!$C$121*(1-Assumptions!$C$29))*$C$10)</f>
        <v>25080</v>
      </c>
      <c r="J58" s="9" t="n">
        <f aca="false">((Assumptions!$C$121*(1-Assumptions!$C$29))*$C$10)</f>
        <v>25080</v>
      </c>
      <c r="K58" s="9" t="n">
        <f aca="false">((Assumptions!$C$121*(1-Assumptions!$C$29))*$C$10)</f>
        <v>25080</v>
      </c>
      <c r="L58" s="9" t="n">
        <f aca="false">((Assumptions!$C$121*(1-Assumptions!$C$29))*$C$10)</f>
        <v>25080</v>
      </c>
      <c r="M58" s="9" t="n">
        <f aca="false">((Assumptions!$C$121*(1-Assumptions!$C$29))*$C$10)</f>
        <v>25080</v>
      </c>
      <c r="N58" s="9" t="n">
        <f aca="false">((Assumptions!$C$121*(1-Assumptions!$C$29))*$C$10)</f>
        <v>25080</v>
      </c>
      <c r="O58" s="9" t="n">
        <f aca="false">((Assumptions!$C$121*(1-Assumptions!$C$29))*$C$10)</f>
        <v>25080</v>
      </c>
      <c r="P58" s="9" t="n">
        <f aca="false">((Assumptions!$C$121*(1-Assumptions!$C$29))*$C$10)</f>
        <v>25080</v>
      </c>
      <c r="Q58" s="9" t="n">
        <f aca="false">((Assumptions!$C$121*(1-Assumptions!$C$29))*$C$10)</f>
        <v>25080</v>
      </c>
      <c r="R58" s="9" t="n">
        <f aca="false">((Assumptions!$C$121*(1-Assumptions!$C$29))*$C$10)</f>
        <v>25080</v>
      </c>
      <c r="S58" s="9" t="n">
        <f aca="false">((Assumptions!$C$121*(1-Assumptions!$C$29))*$C$10)</f>
        <v>25080</v>
      </c>
      <c r="T58" s="9" t="n">
        <f aca="false">((Assumptions!$C$121*(1-Assumptions!$C$29))*$C$10)</f>
        <v>25080</v>
      </c>
      <c r="U58" s="9" t="n">
        <f aca="false">((Assumptions!$C$121*(1-Assumptions!$C$29))*$C$10)</f>
        <v>25080</v>
      </c>
      <c r="V58" s="9" t="n">
        <f aca="false">((Assumptions!$C$121*(1-Assumptions!$C$29))*$C$10)</f>
        <v>25080</v>
      </c>
      <c r="W58" s="9" t="n">
        <f aca="false">((Assumptions!$C$121*(1-Assumptions!$C$29))*$C$10)</f>
        <v>25080</v>
      </c>
      <c r="X58" s="9" t="n">
        <f aca="false">((Assumptions!$C$121*(1-Assumptions!$C$29))*$C$10)</f>
        <v>25080</v>
      </c>
      <c r="Y58" s="9" t="n">
        <f aca="false">((Assumptions!$C$121*(1-Assumptions!$C$29))*$C$10)</f>
        <v>25080</v>
      </c>
      <c r="Z58" s="9" t="n">
        <f aca="false">((Assumptions!$C$121*(1-Assumptions!$C$29))*$C$10)</f>
        <v>25080</v>
      </c>
      <c r="AA58" s="9" t="n">
        <f aca="false">((Assumptions!$C$121*(1-Assumptions!$C$29))*$C$10)</f>
        <v>25080</v>
      </c>
      <c r="AB58" s="9" t="n">
        <f aca="false">((Assumptions!$C$121*(1-Assumptions!$C$29))*$C$10)</f>
        <v>25080</v>
      </c>
      <c r="AC58" s="9" t="n">
        <f aca="false">((Assumptions!$C$121*(1-Assumptions!$C$29))*$C$10)</f>
        <v>25080</v>
      </c>
      <c r="AD58" s="9" t="n">
        <f aca="false">((Assumptions!$C$121*(1-Assumptions!$C$29))*$C$10)</f>
        <v>25080</v>
      </c>
      <c r="AE58" s="9" t="n">
        <f aca="false">((Assumptions!$C$121*(1-Assumptions!$C$29))*$C$10)</f>
        <v>25080</v>
      </c>
      <c r="AF58" s="9" t="n">
        <f aca="false">((Assumptions!$C$121*(1-Assumptions!$C$29))*$C$10)</f>
        <v>25080</v>
      </c>
      <c r="AG58" s="9" t="n">
        <f aca="false">((Assumptions!$C$121*(1-Assumptions!$C$29))*$C$10)</f>
        <v>25080</v>
      </c>
      <c r="AH58" s="9" t="n">
        <f aca="false">((Assumptions!$C$121*(1-Assumptions!$C$29))*$C$10)</f>
        <v>25080</v>
      </c>
      <c r="AI58" s="9" t="n">
        <f aca="false">((Assumptions!$C$121*(1-Assumptions!$C$29))*$C$10)</f>
        <v>25080</v>
      </c>
      <c r="AJ58" s="9" t="n">
        <f aca="false">((Assumptions!$C$121*(1-Assumptions!$C$29))*$C$10)</f>
        <v>25080</v>
      </c>
      <c r="AK58" s="9" t="n">
        <f aca="false">((Assumptions!$C$121*(1-Assumptions!$C$29))*$C$10)</f>
        <v>25080</v>
      </c>
      <c r="AL58" s="9" t="n">
        <f aca="false">((Assumptions!$C$121*(1-Assumptions!$C$29))*$C$10)</f>
        <v>25080</v>
      </c>
    </row>
    <row r="59" customFormat="false" ht="15" hidden="false" customHeight="false" outlineLevel="0" collapsed="false">
      <c r="A59" s="0" t="s">
        <v>865</v>
      </c>
      <c r="B59" s="0" t="s">
        <v>230</v>
      </c>
      <c r="C59" s="9" t="n">
        <f aca="false">((C55*C58)+((C45*(1+Assumptions!$C$31))*0))</f>
        <v>0</v>
      </c>
      <c r="D59" s="9" t="n">
        <f aca="false">((D55*D58)+((D45*(1+Assumptions!$C$31))*0))</f>
        <v>0</v>
      </c>
      <c r="E59" s="9" t="n">
        <f aca="false">((E55*E58)+((E45*(1+Assumptions!$C$31))*0))</f>
        <v>0</v>
      </c>
      <c r="F59" s="9" t="n">
        <f aca="false">((F55*F58)+((F45*(1+Assumptions!$C$31))*0))</f>
        <v>0</v>
      </c>
      <c r="G59" s="9" t="n">
        <f aca="false">((G55*G58)+((G45*(1+Assumptions!$C$31))*0))</f>
        <v>0</v>
      </c>
      <c r="H59" s="9" t="n">
        <f aca="false">((H55*H58)+((H45*(1+Assumptions!$C$31))*0))</f>
        <v>0</v>
      </c>
      <c r="I59" s="9" t="n">
        <f aca="false">((I55*I58)+((I45*(1+Assumptions!$C$31))*0))</f>
        <v>0</v>
      </c>
      <c r="J59" s="9" t="n">
        <f aca="false">((J55*J58)+((J45*(1+Assumptions!$C$31))*0))</f>
        <v>0</v>
      </c>
      <c r="K59" s="9" t="n">
        <f aca="false">((K55*K58)+((K45*(1+Assumptions!$C$31))*0))</f>
        <v>0</v>
      </c>
      <c r="L59" s="9" t="n">
        <f aca="false">((L55*L58)+((L45*(1+Assumptions!$C$31))*0))</f>
        <v>0</v>
      </c>
      <c r="M59" s="9" t="n">
        <f aca="false">((M55*M58)+((M45*(1+Assumptions!$C$31))*0))</f>
        <v>0</v>
      </c>
      <c r="N59" s="9" t="n">
        <f aca="false">((N55*N58)+((N45*(1+Assumptions!$C$31))*0))</f>
        <v>0</v>
      </c>
      <c r="O59" s="9" t="n">
        <f aca="false">((O55*O58)+((O45*(1+Assumptions!$C$31))*C59))</f>
        <v>0</v>
      </c>
      <c r="P59" s="9" t="n">
        <f aca="false">((P55*P58)+((P45*(1+Assumptions!$C$31))*D59))</f>
        <v>12038.4</v>
      </c>
      <c r="Q59" s="9" t="n">
        <f aca="false">((Q55*Q58)+((Q45*(1+Assumptions!$C$31))*E59))</f>
        <v>0</v>
      </c>
      <c r="R59" s="9" t="n">
        <f aca="false">((R55*R58)+((R45*(1+Assumptions!$C$31))*F59))</f>
        <v>0</v>
      </c>
      <c r="S59" s="9" t="n">
        <f aca="false">((S55*S58)+((S45*(1+Assumptions!$C$31))*G59))</f>
        <v>0</v>
      </c>
      <c r="T59" s="9" t="n">
        <f aca="false">((T55*T58)+((T45*(1+Assumptions!$C$31))*H59))</f>
        <v>0</v>
      </c>
      <c r="U59" s="9" t="n">
        <f aca="false">((U55*U58)+((U45*(1+Assumptions!$C$31))*I59))</f>
        <v>0</v>
      </c>
      <c r="V59" s="9" t="n">
        <f aca="false">((V55*V58)+((V45*(1+Assumptions!$C$31))*J59))</f>
        <v>0</v>
      </c>
      <c r="W59" s="9" t="n">
        <f aca="false">((W55*W58)+((W45*(1+Assumptions!$C$31))*K59))</f>
        <v>0</v>
      </c>
      <c r="X59" s="9" t="n">
        <f aca="false">((X55*X58)+((X45*(1+Assumptions!$C$31))*L59))</f>
        <v>6019.2</v>
      </c>
      <c r="Y59" s="9" t="n">
        <f aca="false">((Y55*Y58)+((Y45*(1+Assumptions!$C$31))*M59))</f>
        <v>0</v>
      </c>
      <c r="Z59" s="9" t="n">
        <f aca="false">((Z55*Z58)+((Z45*(1+Assumptions!$C$31))*N59))</f>
        <v>0</v>
      </c>
      <c r="AA59" s="9" t="n">
        <f aca="false">((AA55*AA58)+((AA45*(1+Assumptions!$C$31))*O59))</f>
        <v>21067.2</v>
      </c>
      <c r="AB59" s="9" t="n">
        <f aca="false">((AB55*AB58)+((AB45*(1+Assumptions!$C$31))*P59))</f>
        <v>11255.904</v>
      </c>
      <c r="AC59" s="9" t="n">
        <f aca="false">((AC55*AC58)+((AC45*(1+Assumptions!$C$31))*Q59))</f>
        <v>0</v>
      </c>
      <c r="AD59" s="9" t="n">
        <f aca="false">((AD55*AD58)+((AD45*(1+Assumptions!$C$31))*R59))</f>
        <v>27086.4</v>
      </c>
      <c r="AE59" s="9" t="n">
        <f aca="false">((AE55*AE58)+((AE45*(1+Assumptions!$C$31))*S59))</f>
        <v>0</v>
      </c>
      <c r="AF59" s="9" t="n">
        <f aca="false">((AF55*AF58)+((AF45*(1+Assumptions!$C$31))*T59))</f>
        <v>0</v>
      </c>
      <c r="AG59" s="9" t="n">
        <f aca="false">((AG55*AG58)+((AG45*(1+Assumptions!$C$31))*U59))</f>
        <v>42134.4</v>
      </c>
      <c r="AH59" s="9" t="n">
        <f aca="false">((AH55*AH58)+((AH45*(1+Assumptions!$C$31))*V59))</f>
        <v>0</v>
      </c>
      <c r="AI59" s="9" t="n">
        <f aca="false">((AI55*AI58)+((AI45*(1+Assumptions!$C$31))*W59))</f>
        <v>0</v>
      </c>
      <c r="AJ59" s="9" t="n">
        <f aca="false">((AJ55*AJ58)+((AJ45*(1+Assumptions!$C$31))*X59))</f>
        <v>53781.552</v>
      </c>
      <c r="AK59" s="9" t="n">
        <f aca="false">((AK55*AK58)+((AK45*(1+Assumptions!$C$31))*Y59))</f>
        <v>0</v>
      </c>
      <c r="AL59" s="9" t="n">
        <f aca="false">((AL55*AL58)+((AL45*(1+Assumptions!$C$31))*Z59))</f>
        <v>0</v>
      </c>
      <c r="AN59" s="11" t="n">
        <f aca="false">SUM(C59:N59)</f>
        <v>0</v>
      </c>
      <c r="AO59" s="11" t="n">
        <f aca="false">SUM(O59:Z59)</f>
        <v>18057.6</v>
      </c>
      <c r="AP59" s="11" t="n">
        <f aca="false">SUM(AA59:AL59)</f>
        <v>155325.456</v>
      </c>
    </row>
    <row r="60" customFormat="false" ht="15" hidden="false" customHeight="false" outlineLevel="0" collapsed="false">
      <c r="A60" s="0" t="s">
        <v>866</v>
      </c>
      <c r="B60" s="0" t="s">
        <v>230</v>
      </c>
      <c r="C60" s="9" t="n">
        <f aca="false">(Assumptions!$C$126*C53)</f>
        <v>0</v>
      </c>
      <c r="D60" s="9" t="n">
        <f aca="false">(Assumptions!$C$126*D53)</f>
        <v>0</v>
      </c>
      <c r="E60" s="9" t="n">
        <f aca="false">(Assumptions!$C$126*E53)</f>
        <v>0</v>
      </c>
      <c r="F60" s="9" t="n">
        <f aca="false">(Assumptions!$C$126*F53)</f>
        <v>0</v>
      </c>
      <c r="G60" s="9" t="n">
        <f aca="false">(Assumptions!$C$126*G53)</f>
        <v>0</v>
      </c>
      <c r="H60" s="9" t="n">
        <f aca="false">(Assumptions!$C$126*H53)</f>
        <v>0</v>
      </c>
      <c r="I60" s="9" t="n">
        <f aca="false">(Assumptions!$C$126*I53)</f>
        <v>0</v>
      </c>
      <c r="J60" s="9" t="n">
        <f aca="false">(Assumptions!$C$126*J53)</f>
        <v>0</v>
      </c>
      <c r="K60" s="9" t="n">
        <f aca="false">(Assumptions!$C$126*K53)</f>
        <v>0</v>
      </c>
      <c r="L60" s="9" t="n">
        <f aca="false">(Assumptions!$C$126*L53)</f>
        <v>0</v>
      </c>
      <c r="M60" s="9" t="n">
        <f aca="false">(Assumptions!$C$126*M53)</f>
        <v>0</v>
      </c>
      <c r="N60" s="9" t="n">
        <f aca="false">(Assumptions!$C$126*N53)</f>
        <v>0</v>
      </c>
      <c r="O60" s="9" t="n">
        <f aca="false">(Assumptions!$C$126*O53)</f>
        <v>0</v>
      </c>
      <c r="P60" s="9" t="n">
        <f aca="false">(Assumptions!$C$126*P53)</f>
        <v>0</v>
      </c>
      <c r="Q60" s="9" t="n">
        <f aca="false">(Assumptions!$C$126*Q53)</f>
        <v>0</v>
      </c>
      <c r="R60" s="9" t="n">
        <f aca="false">(Assumptions!$C$126*R53)</f>
        <v>0</v>
      </c>
      <c r="S60" s="9" t="n">
        <f aca="false">(Assumptions!$C$126*S53)</f>
        <v>0</v>
      </c>
      <c r="T60" s="9" t="n">
        <f aca="false">(Assumptions!$C$126*T53)</f>
        <v>0</v>
      </c>
      <c r="U60" s="9" t="n">
        <f aca="false">(Assumptions!$C$126*U53)</f>
        <v>0</v>
      </c>
      <c r="V60" s="9" t="n">
        <f aca="false">(Assumptions!$C$126*V53)</f>
        <v>0</v>
      </c>
      <c r="W60" s="9" t="n">
        <f aca="false">(Assumptions!$C$126*W53)</f>
        <v>0</v>
      </c>
      <c r="X60" s="9" t="n">
        <f aca="false">(Assumptions!$C$126*X53)</f>
        <v>1800</v>
      </c>
      <c r="Y60" s="9" t="n">
        <f aca="false">(Assumptions!$C$126*Y53)</f>
        <v>0</v>
      </c>
      <c r="Z60" s="9" t="n">
        <f aca="false">(Assumptions!$C$126*Z53)</f>
        <v>0</v>
      </c>
      <c r="AA60" s="9" t="n">
        <f aca="false">(Assumptions!$C$126*AA53)</f>
        <v>1800</v>
      </c>
      <c r="AB60" s="9" t="n">
        <f aca="false">(Assumptions!$C$126*AB53)</f>
        <v>0</v>
      </c>
      <c r="AC60" s="9" t="n">
        <f aca="false">(Assumptions!$C$126*AC53)</f>
        <v>0</v>
      </c>
      <c r="AD60" s="9" t="n">
        <f aca="false">(Assumptions!$C$126*AD53)</f>
        <v>3600</v>
      </c>
      <c r="AE60" s="9" t="n">
        <f aca="false">(Assumptions!$C$126*AE53)</f>
        <v>0</v>
      </c>
      <c r="AF60" s="9" t="n">
        <f aca="false">(Assumptions!$C$126*AF53)</f>
        <v>0</v>
      </c>
      <c r="AG60" s="9" t="n">
        <f aca="false">(Assumptions!$C$126*AG53)</f>
        <v>3600</v>
      </c>
      <c r="AH60" s="9" t="n">
        <f aca="false">(Assumptions!$C$126*AH53)</f>
        <v>0</v>
      </c>
      <c r="AI60" s="9" t="n">
        <f aca="false">(Assumptions!$C$126*AI53)</f>
        <v>0</v>
      </c>
      <c r="AJ60" s="9" t="n">
        <f aca="false">(Assumptions!$C$126*AJ53)</f>
        <v>5400</v>
      </c>
      <c r="AK60" s="9" t="n">
        <f aca="false">(Assumptions!$C$126*AK53)</f>
        <v>0</v>
      </c>
      <c r="AL60" s="9" t="n">
        <f aca="false">(Assumptions!$C$126*AL53)</f>
        <v>0</v>
      </c>
      <c r="AN60" s="11" t="n">
        <f aca="false">SUM(C60:N60)</f>
        <v>0</v>
      </c>
      <c r="AO60" s="11" t="n">
        <f aca="false">SUM(O60:Z60)</f>
        <v>1800</v>
      </c>
      <c r="AP60" s="11" t="n">
        <f aca="false">SUM(AA60:AL60)</f>
        <v>14400</v>
      </c>
    </row>
    <row r="61" customFormat="false" ht="15" hidden="false" customHeight="false" outlineLevel="0" collapsed="false">
      <c r="A61" s="0" t="s">
        <v>867</v>
      </c>
      <c r="B61" s="0" t="s">
        <v>230</v>
      </c>
      <c r="C61" s="9" t="n">
        <f aca="false">((C59-C60)/12)</f>
        <v>0</v>
      </c>
      <c r="D61" s="9" t="n">
        <f aca="false">((SUM(C59:D59)-SUM(C60:D60))/12)</f>
        <v>0</v>
      </c>
      <c r="E61" s="9" t="n">
        <f aca="false">((SUM(C59:E59)-SUM(C60:E60))/12)</f>
        <v>0</v>
      </c>
      <c r="F61" s="9" t="n">
        <f aca="false">((SUM(C59:F59)-SUM(C60:F60))/12)</f>
        <v>0</v>
      </c>
      <c r="G61" s="9" t="n">
        <f aca="false">((SUM(C59:G59)-SUM(C60:G60))/12)</f>
        <v>0</v>
      </c>
      <c r="H61" s="9" t="n">
        <f aca="false">((SUM(C59:H59)-SUM(C60:H60))/12)</f>
        <v>0</v>
      </c>
      <c r="I61" s="9" t="n">
        <f aca="false">((SUM(C59:I59)-SUM(C60:I60))/12)</f>
        <v>0</v>
      </c>
      <c r="J61" s="9" t="n">
        <f aca="false">((SUM(C59:J59)-SUM(C60:J60))/12)</f>
        <v>0</v>
      </c>
      <c r="K61" s="9" t="n">
        <f aca="false">((SUM(C59:K59)-SUM(C60:K60))/12)</f>
        <v>0</v>
      </c>
      <c r="L61" s="9" t="n">
        <f aca="false">((SUM(C59:L59)-SUM(C60:L60))/12)</f>
        <v>0</v>
      </c>
      <c r="M61" s="9" t="n">
        <f aca="false">((SUM(C59:M59)-SUM(C60:M60))/12)</f>
        <v>0</v>
      </c>
      <c r="N61" s="9" t="n">
        <f aca="false">((SUM(C59:N59)-SUM(C60:N60))/12)</f>
        <v>0</v>
      </c>
      <c r="O61" s="9" t="n">
        <f aca="false">((SUM(D59:O59)-SUM(D60:O60))/12)</f>
        <v>0</v>
      </c>
      <c r="P61" s="9" t="n">
        <f aca="false">((SUM(E59:P59)-SUM(E60:P60))/12)</f>
        <v>1003.2</v>
      </c>
      <c r="Q61" s="9" t="n">
        <f aca="false">((SUM(F59:Q59)-SUM(F60:Q60))/12)</f>
        <v>1003.2</v>
      </c>
      <c r="R61" s="9" t="n">
        <f aca="false">((SUM(G59:R59)-SUM(G60:R60))/12)</f>
        <v>1003.2</v>
      </c>
      <c r="S61" s="9" t="n">
        <f aca="false">((SUM(H59:S59)-SUM(H60:S60))/12)</f>
        <v>1003.2</v>
      </c>
      <c r="T61" s="9" t="n">
        <f aca="false">((SUM(I59:T59)-SUM(I60:T60))/12)</f>
        <v>1003.2</v>
      </c>
      <c r="U61" s="9" t="n">
        <f aca="false">((SUM(J59:U59)-SUM(J60:U60))/12)</f>
        <v>1003.2</v>
      </c>
      <c r="V61" s="9" t="n">
        <f aca="false">((SUM(K59:V59)-SUM(K60:V60))/12)</f>
        <v>1003.2</v>
      </c>
      <c r="W61" s="9" t="n">
        <f aca="false">((SUM(L59:W59)-SUM(L60:W60))/12)</f>
        <v>1003.2</v>
      </c>
      <c r="X61" s="9" t="n">
        <f aca="false">((SUM(M59:X59)-SUM(M60:X60))/12)</f>
        <v>1354.8</v>
      </c>
      <c r="Y61" s="9" t="n">
        <f aca="false">((SUM(N59:Y59)-SUM(N60:Y60))/12)</f>
        <v>1354.8</v>
      </c>
      <c r="Z61" s="9" t="n">
        <f aca="false">((SUM(O59:Z59)-SUM(O60:Z60))/12)</f>
        <v>1354.8</v>
      </c>
      <c r="AA61" s="9" t="n">
        <f aca="false">((SUM(P59:AA59)-SUM(P60:AA60))/12)</f>
        <v>2960.4</v>
      </c>
      <c r="AB61" s="9" t="n">
        <f aca="false">((SUM(Q59:AB59)-SUM(Q60:AB60))/12)</f>
        <v>2895.192</v>
      </c>
      <c r="AC61" s="9" t="n">
        <f aca="false">((SUM(R59:AC59)-SUM(R60:AC60))/12)</f>
        <v>2895.192</v>
      </c>
      <c r="AD61" s="9" t="n">
        <f aca="false">((SUM(S59:AD59)-SUM(S60:AD60))/12)</f>
        <v>4852.392</v>
      </c>
      <c r="AE61" s="9" t="n">
        <f aca="false">((SUM(T59:AE59)-SUM(T60:AE60))/12)</f>
        <v>4852.392</v>
      </c>
      <c r="AF61" s="9" t="n">
        <f aca="false">((SUM(U59:AF59)-SUM(U60:AF60))/12)</f>
        <v>4852.392</v>
      </c>
      <c r="AG61" s="9" t="n">
        <f aca="false">((SUM(V59:AG59)-SUM(V60:AG60))/12)</f>
        <v>8063.592</v>
      </c>
      <c r="AH61" s="9" t="n">
        <f aca="false">((SUM(W59:AH59)-SUM(W60:AH60))/12)</f>
        <v>8063.592</v>
      </c>
      <c r="AI61" s="9" t="n">
        <f aca="false">((SUM(X59:AI59)-SUM(X60:AI60))/12)</f>
        <v>8063.592</v>
      </c>
      <c r="AJ61" s="9" t="n">
        <f aca="false">((SUM(Y59:AJ59)-SUM(Y60:AJ60))/12)</f>
        <v>11743.788</v>
      </c>
      <c r="AK61" s="9" t="n">
        <f aca="false">((SUM(Z59:AK59)-SUM(Z60:AK60))/12)</f>
        <v>11743.788</v>
      </c>
      <c r="AL61" s="9" t="n">
        <f aca="false">((SUM(AA59:AL59)-SUM(AA60:AL60))/12)</f>
        <v>11743.788</v>
      </c>
      <c r="AN61" s="11" t="n">
        <f aca="false">SUM(C61:N61)</f>
        <v>0</v>
      </c>
      <c r="AO61" s="11" t="n">
        <f aca="false">SUM(O61:Z61)</f>
        <v>12090</v>
      </c>
      <c r="AP61" s="11" t="n">
        <f aca="false">SUM(AA61:AL61)</f>
        <v>82730.1</v>
      </c>
    </row>
    <row r="62" customFormat="false" ht="15" hidden="false" customHeight="false" outlineLevel="0" collapsed="false">
      <c r="A62" s="0" t="s">
        <v>868</v>
      </c>
      <c r="B62" s="0" t="s">
        <v>230</v>
      </c>
      <c r="C62" s="9" t="n">
        <f aca="false">(C59-C60)</f>
        <v>0</v>
      </c>
      <c r="D62" s="9" t="n">
        <f aca="false">(D59-D60)</f>
        <v>0</v>
      </c>
      <c r="E62" s="9" t="n">
        <f aca="false">(E59-E60)</f>
        <v>0</v>
      </c>
      <c r="F62" s="9" t="n">
        <f aca="false">(F59-F60)</f>
        <v>0</v>
      </c>
      <c r="G62" s="9" t="n">
        <f aca="false">(G59-G60)</f>
        <v>0</v>
      </c>
      <c r="H62" s="9" t="n">
        <f aca="false">(H59-H60)</f>
        <v>0</v>
      </c>
      <c r="I62" s="9" t="n">
        <f aca="false">(I59-I60)</f>
        <v>0</v>
      </c>
      <c r="J62" s="9" t="n">
        <f aca="false">(J59-J60)</f>
        <v>0</v>
      </c>
      <c r="K62" s="9" t="n">
        <f aca="false">(K59-K60)</f>
        <v>0</v>
      </c>
      <c r="L62" s="9" t="n">
        <f aca="false">(L59-L60)</f>
        <v>0</v>
      </c>
      <c r="M62" s="9" t="n">
        <f aca="false">(M59-M60)</f>
        <v>0</v>
      </c>
      <c r="N62" s="9" t="n">
        <f aca="false">(N59-N60)</f>
        <v>0</v>
      </c>
      <c r="O62" s="9" t="n">
        <f aca="false">(O59-O60)</f>
        <v>0</v>
      </c>
      <c r="P62" s="9" t="n">
        <f aca="false">(P59-P60)</f>
        <v>12038.4</v>
      </c>
      <c r="Q62" s="9" t="n">
        <f aca="false">(Q59-Q60)</f>
        <v>0</v>
      </c>
      <c r="R62" s="9" t="n">
        <f aca="false">(R59-R60)</f>
        <v>0</v>
      </c>
      <c r="S62" s="9" t="n">
        <f aca="false">(S59-S60)</f>
        <v>0</v>
      </c>
      <c r="T62" s="9" t="n">
        <f aca="false">(T59-T60)</f>
        <v>0</v>
      </c>
      <c r="U62" s="9" t="n">
        <f aca="false">(U59-U60)</f>
        <v>0</v>
      </c>
      <c r="V62" s="9" t="n">
        <f aca="false">(V59-V60)</f>
        <v>0</v>
      </c>
      <c r="W62" s="9" t="n">
        <f aca="false">(W59-W60)</f>
        <v>0</v>
      </c>
      <c r="X62" s="9" t="n">
        <f aca="false">(X59-X60)</f>
        <v>4219.2</v>
      </c>
      <c r="Y62" s="9" t="n">
        <f aca="false">(Y59-Y60)</f>
        <v>0</v>
      </c>
      <c r="Z62" s="9" t="n">
        <f aca="false">(Z59-Z60)</f>
        <v>0</v>
      </c>
      <c r="AA62" s="9" t="n">
        <f aca="false">(AA59-AA60)</f>
        <v>19267.2</v>
      </c>
      <c r="AB62" s="9" t="n">
        <f aca="false">(AB59-AB60)</f>
        <v>11255.904</v>
      </c>
      <c r="AC62" s="9" t="n">
        <f aca="false">(AC59-AC60)</f>
        <v>0</v>
      </c>
      <c r="AD62" s="9" t="n">
        <f aca="false">(AD59-AD60)</f>
        <v>23486.4</v>
      </c>
      <c r="AE62" s="9" t="n">
        <f aca="false">(AE59-AE60)</f>
        <v>0</v>
      </c>
      <c r="AF62" s="9" t="n">
        <f aca="false">(AF59-AF60)</f>
        <v>0</v>
      </c>
      <c r="AG62" s="9" t="n">
        <f aca="false">(AG59-AG60)</f>
        <v>38534.4</v>
      </c>
      <c r="AH62" s="9" t="n">
        <f aca="false">(AH59-AH60)</f>
        <v>0</v>
      </c>
      <c r="AI62" s="9" t="n">
        <f aca="false">(AI59-AI60)</f>
        <v>0</v>
      </c>
      <c r="AJ62" s="9" t="n">
        <f aca="false">(AJ59-AJ60)</f>
        <v>48381.552</v>
      </c>
      <c r="AK62" s="9" t="n">
        <f aca="false">(AK59-AK60)</f>
        <v>0</v>
      </c>
      <c r="AL62" s="9" t="n">
        <f aca="false">(AL59-AL60)</f>
        <v>0</v>
      </c>
      <c r="AN62" s="11" t="n">
        <f aca="false">SUM(C62:N62)</f>
        <v>0</v>
      </c>
      <c r="AO62" s="11" t="n">
        <f aca="false">SUM(O62:Z62)</f>
        <v>16257.6</v>
      </c>
      <c r="AP62" s="11" t="n">
        <f aca="false">SUM(AA62:AL62)</f>
        <v>140925.456</v>
      </c>
    </row>
    <row r="63" customFormat="false" ht="15" hidden="false" customHeight="false" outlineLevel="0" collapsed="false">
      <c r="A63" s="0" t="s">
        <v>869</v>
      </c>
      <c r="B63" s="0" t="s">
        <v>230</v>
      </c>
      <c r="C63" s="9" t="n">
        <f aca="false">(((Assumptions!$C$122*$C$10)/6)*C52)</f>
        <v>0</v>
      </c>
      <c r="D63" s="9" t="n">
        <f aca="false">(((Assumptions!$C$122*$C$10)/6)*D52)</f>
        <v>0</v>
      </c>
      <c r="E63" s="9" t="n">
        <f aca="false">(((Assumptions!$C$122*$C$10)/6)*E52)</f>
        <v>0</v>
      </c>
      <c r="F63" s="9" t="n">
        <f aca="false">(((Assumptions!$C$122*$C$10)/6)*F52)</f>
        <v>0</v>
      </c>
      <c r="G63" s="9" t="n">
        <f aca="false">(((Assumptions!$C$122*$C$10)/6)*G52)</f>
        <v>0</v>
      </c>
      <c r="H63" s="9" t="n">
        <f aca="false">(((Assumptions!$C$122*$C$10)/6)*H52)</f>
        <v>0</v>
      </c>
      <c r="I63" s="9" t="n">
        <f aca="false">(((Assumptions!$C$122*$C$10)/6)*I52)</f>
        <v>0</v>
      </c>
      <c r="J63" s="9" t="n">
        <f aca="false">(((Assumptions!$C$122*$C$10)/6)*J52)</f>
        <v>0</v>
      </c>
      <c r="K63" s="9" t="n">
        <f aca="false">(((Assumptions!$C$122*$C$10)/6)*K52)</f>
        <v>0</v>
      </c>
      <c r="L63" s="9" t="n">
        <f aca="false">(((Assumptions!$C$122*$C$10)/6)*L52)</f>
        <v>0</v>
      </c>
      <c r="M63" s="9" t="n">
        <f aca="false">(((Assumptions!$C$122*$C$10)/6)*M52)</f>
        <v>0</v>
      </c>
      <c r="N63" s="9" t="n">
        <f aca="false">(((Assumptions!$C$122*$C$10)/6)*N52)</f>
        <v>0</v>
      </c>
      <c r="O63" s="9" t="n">
        <f aca="false">(((Assumptions!$C$122*$C$10)/6)*O52)</f>
        <v>0</v>
      </c>
      <c r="P63" s="9" t="n">
        <f aca="false">(((Assumptions!$C$122*$C$10)/6)*P52)</f>
        <v>0</v>
      </c>
      <c r="Q63" s="9" t="n">
        <f aca="false">(((Assumptions!$C$122*$C$10)/6)*Q52)</f>
        <v>1425</v>
      </c>
      <c r="R63" s="9" t="n">
        <f aca="false">(((Assumptions!$C$122*$C$10)/6)*R52)</f>
        <v>1425</v>
      </c>
      <c r="S63" s="9" t="n">
        <f aca="false">(((Assumptions!$C$122*$C$10)/6)*S52)</f>
        <v>1425</v>
      </c>
      <c r="T63" s="9" t="n">
        <f aca="false">(((Assumptions!$C$122*$C$10)/6)*T52)</f>
        <v>2850</v>
      </c>
      <c r="U63" s="9" t="n">
        <f aca="false">(((Assumptions!$C$122*$C$10)/6)*U52)</f>
        <v>2850</v>
      </c>
      <c r="V63" s="9" t="n">
        <f aca="false">(((Assumptions!$C$122*$C$10)/6)*V52)</f>
        <v>2850</v>
      </c>
      <c r="W63" s="9" t="n">
        <f aca="false">(((Assumptions!$C$122*$C$10)/6)*W52)</f>
        <v>4275</v>
      </c>
      <c r="X63" s="9" t="n">
        <f aca="false">(((Assumptions!$C$122*$C$10)/6)*X52)</f>
        <v>4275</v>
      </c>
      <c r="Y63" s="9" t="n">
        <f aca="false">(((Assumptions!$C$122*$C$10)/6)*Y52)</f>
        <v>4275</v>
      </c>
      <c r="Z63" s="9" t="n">
        <f aca="false">(((Assumptions!$C$122*$C$10)/6)*Z52)</f>
        <v>5700</v>
      </c>
      <c r="AA63" s="9" t="n">
        <f aca="false">(((Assumptions!$C$122*$C$10)/6)*AA52)</f>
        <v>5700</v>
      </c>
      <c r="AB63" s="9" t="n">
        <f aca="false">(((Assumptions!$C$122*$C$10)/6)*AB52)</f>
        <v>5700</v>
      </c>
      <c r="AC63" s="9" t="n">
        <f aca="false">(((Assumptions!$C$122*$C$10)/6)*AC52)</f>
        <v>7125</v>
      </c>
      <c r="AD63" s="9" t="n">
        <f aca="false">(((Assumptions!$C$122*$C$10)/6)*AD52)</f>
        <v>7125</v>
      </c>
      <c r="AE63" s="9" t="n">
        <f aca="false">(((Assumptions!$C$122*$C$10)/6)*AE52)</f>
        <v>7125</v>
      </c>
      <c r="AF63" s="9" t="n">
        <f aca="false">(((Assumptions!$C$122*$C$10)/6)*AF52)</f>
        <v>8550</v>
      </c>
      <c r="AG63" s="9" t="n">
        <f aca="false">(((Assumptions!$C$122*$C$10)/6)*AG52)</f>
        <v>8550</v>
      </c>
      <c r="AH63" s="9" t="n">
        <f aca="false">(((Assumptions!$C$122*$C$10)/6)*AH52)</f>
        <v>8550</v>
      </c>
      <c r="AI63" s="9" t="n">
        <f aca="false">(((Assumptions!$C$122*$C$10)/6)*AI52)</f>
        <v>8550</v>
      </c>
      <c r="AJ63" s="9" t="n">
        <f aca="false">(((Assumptions!$C$122*$C$10)/6)*AJ52)</f>
        <v>8550</v>
      </c>
      <c r="AK63" s="9" t="n">
        <f aca="false">(((Assumptions!$C$122*$C$10)/6)*AK52)</f>
        <v>8550</v>
      </c>
      <c r="AL63" s="9" t="n">
        <f aca="false">(((Assumptions!$C$122*$C$10)/6)*AL52)</f>
        <v>9975</v>
      </c>
      <c r="AN63" s="11" t="n">
        <f aca="false">SUM(C63:N63)</f>
        <v>0</v>
      </c>
      <c r="AO63" s="11" t="n">
        <f aca="false">SUM(O63:Z63)</f>
        <v>31350</v>
      </c>
      <c r="AP63" s="11" t="n">
        <f aca="false">SUM(AA63:AL63)</f>
        <v>94050</v>
      </c>
    </row>
    <row r="64" customFormat="false" ht="15" hidden="false" customHeight="false" outlineLevel="0" collapsed="false">
      <c r="A64" s="0" t="s">
        <v>870</v>
      </c>
      <c r="B64" s="0" t="s">
        <v>230</v>
      </c>
      <c r="C64" s="9" t="n">
        <f aca="false">((Assumptions!$C$122*$C$10)*C46)</f>
        <v>0</v>
      </c>
      <c r="D64" s="9" t="n">
        <f aca="false">((Assumptions!$C$122*$C$10)*D46)</f>
        <v>0</v>
      </c>
      <c r="E64" s="9" t="n">
        <f aca="false">((Assumptions!$C$122*$C$10)*E46)</f>
        <v>0</v>
      </c>
      <c r="F64" s="9" t="n">
        <f aca="false">((Assumptions!$C$122*$C$10)*F46)</f>
        <v>0</v>
      </c>
      <c r="G64" s="9" t="n">
        <f aca="false">((Assumptions!$C$122*$C$10)*G46)</f>
        <v>0</v>
      </c>
      <c r="H64" s="9" t="n">
        <f aca="false">((Assumptions!$C$122*$C$10)*H46)</f>
        <v>0</v>
      </c>
      <c r="I64" s="9" t="n">
        <f aca="false">((Assumptions!$C$122*$C$10)*I46)</f>
        <v>0</v>
      </c>
      <c r="J64" s="9" t="n">
        <f aca="false">((Assumptions!$C$122*$C$10)*J46)</f>
        <v>0</v>
      </c>
      <c r="K64" s="9" t="n">
        <f aca="false">((Assumptions!$C$122*$C$10)*K46)</f>
        <v>0</v>
      </c>
      <c r="L64" s="9" t="n">
        <f aca="false">((Assumptions!$C$122*$C$10)*L46)</f>
        <v>0</v>
      </c>
      <c r="M64" s="9" t="n">
        <f aca="false">((Assumptions!$C$122*$C$10)*M46)</f>
        <v>0</v>
      </c>
      <c r="N64" s="9" t="n">
        <f aca="false">((Assumptions!$C$122*$C$10)*N46)</f>
        <v>0</v>
      </c>
      <c r="O64" s="9" t="n">
        <f aca="false">((Assumptions!$C$122*$C$10)*O46)</f>
        <v>0</v>
      </c>
      <c r="P64" s="9" t="n">
        <f aca="false">((Assumptions!$C$122*$C$10)*P46)</f>
        <v>0</v>
      </c>
      <c r="Q64" s="9" t="n">
        <f aca="false">((Assumptions!$C$122*$C$10)*Q46)</f>
        <v>8550</v>
      </c>
      <c r="R64" s="9" t="n">
        <f aca="false">((Assumptions!$C$122*$C$10)*R46)</f>
        <v>0</v>
      </c>
      <c r="S64" s="9" t="n">
        <f aca="false">((Assumptions!$C$122*$C$10)*S46)</f>
        <v>0</v>
      </c>
      <c r="T64" s="9" t="n">
        <f aca="false">((Assumptions!$C$122*$C$10)*T46)</f>
        <v>8550</v>
      </c>
      <c r="U64" s="9" t="n">
        <f aca="false">((Assumptions!$C$122*$C$10)*U46)</f>
        <v>0</v>
      </c>
      <c r="V64" s="9" t="n">
        <f aca="false">((Assumptions!$C$122*$C$10)*V46)</f>
        <v>0</v>
      </c>
      <c r="W64" s="9" t="n">
        <f aca="false">((Assumptions!$C$122*$C$10)*W46)</f>
        <v>17100</v>
      </c>
      <c r="X64" s="9" t="n">
        <f aca="false">((Assumptions!$C$122*$C$10)*X46)</f>
        <v>0</v>
      </c>
      <c r="Y64" s="9" t="n">
        <f aca="false">((Assumptions!$C$122*$C$10)*Y46)</f>
        <v>0</v>
      </c>
      <c r="Z64" s="9" t="n">
        <f aca="false">((Assumptions!$C$122*$C$10)*Z46)</f>
        <v>17100</v>
      </c>
      <c r="AA64" s="9" t="n">
        <f aca="false">((Assumptions!$C$122*$C$10)*AA46)</f>
        <v>0</v>
      </c>
      <c r="AB64" s="9" t="n">
        <f aca="false">((Assumptions!$C$122*$C$10)*AB46)</f>
        <v>0</v>
      </c>
      <c r="AC64" s="9" t="n">
        <f aca="false">((Assumptions!$C$122*$C$10)*AC46)</f>
        <v>25650</v>
      </c>
      <c r="AD64" s="9" t="n">
        <f aca="false">((Assumptions!$C$122*$C$10)*AD46)</f>
        <v>0</v>
      </c>
      <c r="AE64" s="9" t="n">
        <f aca="false">((Assumptions!$C$122*$C$10)*AE46)</f>
        <v>0</v>
      </c>
      <c r="AF64" s="9" t="n">
        <f aca="false">((Assumptions!$C$122*$C$10)*AF46)</f>
        <v>25650</v>
      </c>
      <c r="AG64" s="9" t="n">
        <f aca="false">((Assumptions!$C$122*$C$10)*AG46)</f>
        <v>0</v>
      </c>
      <c r="AH64" s="9" t="n">
        <f aca="false">((Assumptions!$C$122*$C$10)*AH46)</f>
        <v>0</v>
      </c>
      <c r="AI64" s="9" t="n">
        <f aca="false">((Assumptions!$C$122*$C$10)*AI46)</f>
        <v>25650</v>
      </c>
      <c r="AJ64" s="9" t="n">
        <f aca="false">((Assumptions!$C$122*$C$10)*AJ46)</f>
        <v>0</v>
      </c>
      <c r="AK64" s="9" t="n">
        <f aca="false">((Assumptions!$C$122*$C$10)*AK46)</f>
        <v>0</v>
      </c>
      <c r="AL64" s="9" t="n">
        <f aca="false">((Assumptions!$C$122*$C$10)*AL46)</f>
        <v>34200</v>
      </c>
      <c r="AN64" s="11" t="n">
        <f aca="false">SUM(C64:N64)</f>
        <v>0</v>
      </c>
      <c r="AO64" s="11" t="n">
        <f aca="false">SUM(O64:Z64)</f>
        <v>51300</v>
      </c>
      <c r="AP64" s="11" t="n">
        <f aca="false">SUM(AA64:AL64)</f>
        <v>111150</v>
      </c>
    </row>
    <row r="65" customFormat="false" ht="15" hidden="false" customHeight="false" outlineLevel="0" collapsed="false">
      <c r="A65" s="0" t="s">
        <v>871</v>
      </c>
      <c r="B65" s="0" t="s">
        <v>230</v>
      </c>
      <c r="C65" s="9" t="n">
        <f aca="false">((Assumptions!$C$123*$C$10)+(Assumptions!$C$34*Assumptions!$C$35))</f>
        <v>20250</v>
      </c>
      <c r="D65" s="9" t="n">
        <f aca="false">((Assumptions!$C$123*$C$10)+(Assumptions!$C$34*Assumptions!$C$35))</f>
        <v>20250</v>
      </c>
      <c r="E65" s="9" t="n">
        <f aca="false">((Assumptions!$C$123*$C$10)+(Assumptions!$C$34*Assumptions!$C$35))</f>
        <v>20250</v>
      </c>
      <c r="F65" s="9" t="n">
        <f aca="false">((Assumptions!$C$123*$C$10)+(Assumptions!$C$34*Assumptions!$C$35))</f>
        <v>20250</v>
      </c>
      <c r="G65" s="9" t="n">
        <f aca="false">((Assumptions!$C$123*$C$10)+(Assumptions!$C$34*Assumptions!$C$35))</f>
        <v>20250</v>
      </c>
      <c r="H65" s="9" t="n">
        <f aca="false">((Assumptions!$C$123*$C$10)+(Assumptions!$C$34*Assumptions!$C$35))</f>
        <v>20250</v>
      </c>
      <c r="I65" s="9" t="n">
        <f aca="false">((Assumptions!$C$123*$C$10)+(Assumptions!$C$34*Assumptions!$C$35))</f>
        <v>20250</v>
      </c>
      <c r="J65" s="9" t="n">
        <f aca="false">((Assumptions!$C$123*$C$10)+(Assumptions!$C$34*Assumptions!$C$35))</f>
        <v>20250</v>
      </c>
      <c r="K65" s="9" t="n">
        <f aca="false">((Assumptions!$C$123*$C$10)+(Assumptions!$C$34*Assumptions!$C$35))</f>
        <v>20250</v>
      </c>
      <c r="L65" s="9" t="n">
        <f aca="false">((Assumptions!$C$123*$C$10)+(Assumptions!$C$34*Assumptions!$C$35))</f>
        <v>20250</v>
      </c>
      <c r="M65" s="9" t="n">
        <f aca="false">((Assumptions!$C$123*$C$10)+(Assumptions!$C$34*Assumptions!$C$35))</f>
        <v>20250</v>
      </c>
      <c r="N65" s="9" t="n">
        <f aca="false">((Assumptions!$C$123*$C$10)+(Assumptions!$C$34*Assumptions!$C$35))</f>
        <v>20250</v>
      </c>
      <c r="O65" s="9" t="n">
        <f aca="false">((Assumptions!$C$123*$C$10)+(Assumptions!$C$34*Assumptions!$C$35))</f>
        <v>20250</v>
      </c>
      <c r="P65" s="9" t="n">
        <f aca="false">((Assumptions!$C$123*$C$10)+(Assumptions!$C$34*Assumptions!$C$35))</f>
        <v>20250</v>
      </c>
      <c r="Q65" s="9" t="n">
        <f aca="false">((Assumptions!$C$123*$C$10)+(Assumptions!$C$34*Assumptions!$C$35))</f>
        <v>20250</v>
      </c>
      <c r="R65" s="9" t="n">
        <f aca="false">((Assumptions!$C$123*$C$10)+(Assumptions!$C$34*Assumptions!$C$35))</f>
        <v>20250</v>
      </c>
      <c r="S65" s="9" t="n">
        <f aca="false">((Assumptions!$C$123*$C$10)+(Assumptions!$C$34*Assumptions!$C$35))</f>
        <v>20250</v>
      </c>
      <c r="T65" s="9" t="n">
        <f aca="false">((Assumptions!$C$123*$C$10)+(Assumptions!$C$34*Assumptions!$C$35))</f>
        <v>20250</v>
      </c>
      <c r="U65" s="9" t="n">
        <f aca="false">((Assumptions!$C$123*$C$10)+(Assumptions!$C$34*Assumptions!$C$35))</f>
        <v>20250</v>
      </c>
      <c r="V65" s="9" t="n">
        <f aca="false">((Assumptions!$C$123*$C$10)+(Assumptions!$C$34*Assumptions!$C$35))</f>
        <v>20250</v>
      </c>
      <c r="W65" s="9" t="n">
        <f aca="false">((Assumptions!$C$123*$C$10)+(Assumptions!$C$34*Assumptions!$C$35))</f>
        <v>20250</v>
      </c>
      <c r="X65" s="9" t="n">
        <f aca="false">((Assumptions!$C$123*$C$10)+(Assumptions!$C$34*Assumptions!$C$35))</f>
        <v>20250</v>
      </c>
      <c r="Y65" s="9" t="n">
        <f aca="false">((Assumptions!$C$123*$C$10)+(Assumptions!$C$34*Assumptions!$C$35))</f>
        <v>20250</v>
      </c>
      <c r="Z65" s="9" t="n">
        <f aca="false">((Assumptions!$C$123*$C$10)+(Assumptions!$C$34*Assumptions!$C$35))</f>
        <v>20250</v>
      </c>
      <c r="AA65" s="9" t="n">
        <f aca="false">((Assumptions!$C$123*$C$10)+(Assumptions!$C$34*Assumptions!$C$35))</f>
        <v>20250</v>
      </c>
      <c r="AB65" s="9" t="n">
        <f aca="false">((Assumptions!$C$123*$C$10)+(Assumptions!$C$34*Assumptions!$C$35))</f>
        <v>20250</v>
      </c>
      <c r="AC65" s="9" t="n">
        <f aca="false">((Assumptions!$C$123*$C$10)+(Assumptions!$C$34*Assumptions!$C$35))</f>
        <v>20250</v>
      </c>
      <c r="AD65" s="9" t="n">
        <f aca="false">((Assumptions!$C$123*$C$10)+(Assumptions!$C$34*Assumptions!$C$35))</f>
        <v>20250</v>
      </c>
      <c r="AE65" s="9" t="n">
        <f aca="false">((Assumptions!$C$123*$C$10)+(Assumptions!$C$34*Assumptions!$C$35))</f>
        <v>20250</v>
      </c>
      <c r="AF65" s="9" t="n">
        <f aca="false">((Assumptions!$C$123*$C$10)+(Assumptions!$C$34*Assumptions!$C$35))</f>
        <v>20250</v>
      </c>
      <c r="AG65" s="9" t="n">
        <f aca="false">((Assumptions!$C$123*$C$10)+(Assumptions!$C$34*Assumptions!$C$35))</f>
        <v>20250</v>
      </c>
      <c r="AH65" s="9" t="n">
        <f aca="false">((Assumptions!$C$123*$C$10)+(Assumptions!$C$34*Assumptions!$C$35))</f>
        <v>20250</v>
      </c>
      <c r="AI65" s="9" t="n">
        <f aca="false">((Assumptions!$C$123*$C$10)+(Assumptions!$C$34*Assumptions!$C$35))</f>
        <v>20250</v>
      </c>
      <c r="AJ65" s="9" t="n">
        <f aca="false">((Assumptions!$C$123*$C$10)+(Assumptions!$C$34*Assumptions!$C$35))</f>
        <v>20250</v>
      </c>
      <c r="AK65" s="9" t="n">
        <f aca="false">((Assumptions!$C$123*$C$10)+(Assumptions!$C$34*Assumptions!$C$35))</f>
        <v>20250</v>
      </c>
      <c r="AL65" s="9" t="n">
        <f aca="false">((Assumptions!$C$123*$C$10)+(Assumptions!$C$34*Assumptions!$C$35))</f>
        <v>20250</v>
      </c>
    </row>
    <row r="66" customFormat="false" ht="15" hidden="false" customHeight="false" outlineLevel="0" collapsed="false">
      <c r="A66" s="0" t="s">
        <v>872</v>
      </c>
      <c r="B66" s="0" t="s">
        <v>230</v>
      </c>
      <c r="C66" s="9" t="n">
        <f aca="false">((C65/3)*C50)</f>
        <v>0</v>
      </c>
      <c r="D66" s="9" t="n">
        <f aca="false">((D65/3)*SUM(C50:D50))</f>
        <v>0</v>
      </c>
      <c r="E66" s="9" t="n">
        <f aca="false">((E65/3)*SUM(C50:E50))</f>
        <v>0</v>
      </c>
      <c r="F66" s="9" t="n">
        <f aca="false">((F65/3)*SUM(D50:F50))</f>
        <v>0</v>
      </c>
      <c r="G66" s="9" t="n">
        <f aca="false">((G65/3)*SUM(E50:G50))</f>
        <v>0</v>
      </c>
      <c r="H66" s="9" t="n">
        <f aca="false">((H65/3)*SUM(F50:H50))</f>
        <v>0</v>
      </c>
      <c r="I66" s="9" t="n">
        <f aca="false">((I65/3)*SUM(G50:I50))</f>
        <v>0</v>
      </c>
      <c r="J66" s="9" t="n">
        <f aca="false">((J65/3)*SUM(H50:J50))</f>
        <v>0</v>
      </c>
      <c r="K66" s="9" t="n">
        <f aca="false">((K65/3)*SUM(I50:K50))</f>
        <v>0</v>
      </c>
      <c r="L66" s="9" t="n">
        <f aca="false">((L65/3)*SUM(J50:L50))</f>
        <v>0</v>
      </c>
      <c r="M66" s="9" t="n">
        <f aca="false">((M65/3)*SUM(K50:M50))</f>
        <v>0</v>
      </c>
      <c r="N66" s="9" t="n">
        <f aca="false">((N65/3)*SUM(L50:N50))</f>
        <v>0</v>
      </c>
      <c r="O66" s="9" t="n">
        <f aca="false">((O65/3)*SUM(M50:O50))</f>
        <v>0</v>
      </c>
      <c r="P66" s="9" t="n">
        <f aca="false">((P65/3)*SUM(N50:P50))</f>
        <v>0</v>
      </c>
      <c r="Q66" s="9" t="n">
        <f aca="false">((Q65/3)*SUM(O50:Q50))</f>
        <v>4050</v>
      </c>
      <c r="R66" s="9" t="n">
        <f aca="false">((R65/3)*SUM(P50:R50))</f>
        <v>4050</v>
      </c>
      <c r="S66" s="9" t="n">
        <f aca="false">((S65/3)*SUM(Q50:S50))</f>
        <v>4050</v>
      </c>
      <c r="T66" s="9" t="n">
        <f aca="false">((T65/3)*SUM(R50:T50))</f>
        <v>4050</v>
      </c>
      <c r="U66" s="9" t="n">
        <f aca="false">((U65/3)*SUM(S50:U50))</f>
        <v>4050</v>
      </c>
      <c r="V66" s="9" t="n">
        <f aca="false">((V65/3)*SUM(T50:V50))</f>
        <v>4050</v>
      </c>
      <c r="W66" s="9" t="n">
        <f aca="false">((W65/3)*SUM(U50:W50))</f>
        <v>8100</v>
      </c>
      <c r="X66" s="9" t="n">
        <f aca="false">((X65/3)*SUM(V50:X50))</f>
        <v>8100</v>
      </c>
      <c r="Y66" s="9" t="n">
        <f aca="false">((Y65/3)*SUM(W50:Y50))</f>
        <v>8100</v>
      </c>
      <c r="Z66" s="9" t="n">
        <f aca="false">((Z65/3)*SUM(X50:Z50))</f>
        <v>8100</v>
      </c>
      <c r="AA66" s="9" t="n">
        <f aca="false">((AA65/3)*SUM(Y50:AA50))</f>
        <v>12150</v>
      </c>
      <c r="AB66" s="9" t="n">
        <f aca="false">((AB65/3)*SUM(Z50:AB50))</f>
        <v>12150</v>
      </c>
      <c r="AC66" s="9" t="n">
        <f aca="false">((AC65/3)*SUM(AA50:AC50))</f>
        <v>16200</v>
      </c>
      <c r="AD66" s="9" t="n">
        <f aca="false">((AD65/3)*SUM(AB50:AD50))</f>
        <v>16200</v>
      </c>
      <c r="AE66" s="9" t="n">
        <f aca="false">((AE65/3)*SUM(AC50:AE50))</f>
        <v>16200</v>
      </c>
      <c r="AF66" s="9" t="n">
        <f aca="false">((AF65/3)*SUM(AD50:AF50))</f>
        <v>16200</v>
      </c>
      <c r="AG66" s="9" t="n">
        <f aca="false">((AG65/3)*SUM(AE50:AG50))</f>
        <v>20250</v>
      </c>
      <c r="AH66" s="9" t="n">
        <f aca="false">((AH65/3)*SUM(AF50:AH50))</f>
        <v>20250</v>
      </c>
      <c r="AI66" s="9" t="n">
        <f aca="false">((AI65/3)*SUM(AG50:AI50))</f>
        <v>20250</v>
      </c>
      <c r="AJ66" s="9" t="n">
        <f aca="false">((AJ65/3)*SUM(AH50:AJ50))</f>
        <v>20250</v>
      </c>
      <c r="AK66" s="9" t="n">
        <f aca="false">((AK65/3)*SUM(AI50:AK50))</f>
        <v>20250</v>
      </c>
      <c r="AL66" s="9" t="n">
        <f aca="false">((AL65/3)*SUM(AJ50:AL50))</f>
        <v>24300</v>
      </c>
      <c r="AN66" s="11" t="n">
        <f aca="false">SUM(C66:N66)</f>
        <v>0</v>
      </c>
      <c r="AO66" s="11" t="n">
        <f aca="false">SUM(O66:Z66)</f>
        <v>56700</v>
      </c>
      <c r="AP66" s="11" t="n">
        <f aca="false">SUM(AA66:AL66)</f>
        <v>214650</v>
      </c>
    </row>
    <row r="67" customFormat="false" ht="15" hidden="false" customHeight="false" outlineLevel="0" collapsed="false">
      <c r="A67" s="0" t="s">
        <v>873</v>
      </c>
      <c r="B67" s="0" t="s">
        <v>230</v>
      </c>
      <c r="C67" s="9" t="n">
        <f aca="false">(C65*C50)</f>
        <v>0</v>
      </c>
      <c r="D67" s="9" t="n">
        <f aca="false">(D65*D50)</f>
        <v>0</v>
      </c>
      <c r="E67" s="9" t="n">
        <f aca="false">(E65*E50)</f>
        <v>0</v>
      </c>
      <c r="F67" s="9" t="n">
        <f aca="false">(F65*F50)</f>
        <v>0</v>
      </c>
      <c r="G67" s="9" t="n">
        <f aca="false">(G65*G50)</f>
        <v>0</v>
      </c>
      <c r="H67" s="9" t="n">
        <f aca="false">(H65*H50)</f>
        <v>0</v>
      </c>
      <c r="I67" s="9" t="n">
        <f aca="false">(I65*I50)</f>
        <v>0</v>
      </c>
      <c r="J67" s="9" t="n">
        <f aca="false">(J65*J50)</f>
        <v>0</v>
      </c>
      <c r="K67" s="9" t="n">
        <f aca="false">(K65*K50)</f>
        <v>0</v>
      </c>
      <c r="L67" s="9" t="n">
        <f aca="false">(L65*L50)</f>
        <v>0</v>
      </c>
      <c r="M67" s="9" t="n">
        <f aca="false">(M65*M50)</f>
        <v>0</v>
      </c>
      <c r="N67" s="9" t="n">
        <f aca="false">(N65*N50)</f>
        <v>0</v>
      </c>
      <c r="O67" s="9" t="n">
        <f aca="false">(O65*O50)</f>
        <v>0</v>
      </c>
      <c r="P67" s="9" t="n">
        <f aca="false">(P65*P50)</f>
        <v>0</v>
      </c>
      <c r="Q67" s="9" t="n">
        <f aca="false">(Q65*Q50)</f>
        <v>12150</v>
      </c>
      <c r="R67" s="9" t="n">
        <f aca="false">(R65*R50)</f>
        <v>0</v>
      </c>
      <c r="S67" s="9" t="n">
        <f aca="false">(S65*S50)</f>
        <v>0</v>
      </c>
      <c r="T67" s="9" t="n">
        <f aca="false">(T65*T50)</f>
        <v>12150</v>
      </c>
      <c r="U67" s="9" t="n">
        <f aca="false">(U65*U50)</f>
        <v>0</v>
      </c>
      <c r="V67" s="9" t="n">
        <f aca="false">(V65*V50)</f>
        <v>0</v>
      </c>
      <c r="W67" s="9" t="n">
        <f aca="false">(W65*W50)</f>
        <v>24300</v>
      </c>
      <c r="X67" s="9" t="n">
        <f aca="false">(X65*X50)</f>
        <v>0</v>
      </c>
      <c r="Y67" s="9" t="n">
        <f aca="false">(Y65*Y50)</f>
        <v>0</v>
      </c>
      <c r="Z67" s="9" t="n">
        <f aca="false">(Z65*Z50)</f>
        <v>24300</v>
      </c>
      <c r="AA67" s="9" t="n">
        <f aca="false">(AA65*AA50)</f>
        <v>12150</v>
      </c>
      <c r="AB67" s="9" t="n">
        <f aca="false">(AB65*AB50)</f>
        <v>0</v>
      </c>
      <c r="AC67" s="9" t="n">
        <f aca="false">(AC65*AC50)</f>
        <v>36450</v>
      </c>
      <c r="AD67" s="9" t="n">
        <f aca="false">(AD65*AD50)</f>
        <v>12150</v>
      </c>
      <c r="AE67" s="9" t="n">
        <f aca="false">(AE65*AE50)</f>
        <v>0</v>
      </c>
      <c r="AF67" s="9" t="n">
        <f aca="false">(AF65*AF50)</f>
        <v>36450</v>
      </c>
      <c r="AG67" s="9" t="n">
        <f aca="false">(AG65*AG50)</f>
        <v>24300</v>
      </c>
      <c r="AH67" s="9" t="n">
        <f aca="false">(AH65*AH50)</f>
        <v>0</v>
      </c>
      <c r="AI67" s="9" t="n">
        <f aca="false">(AI65*AI50)</f>
        <v>36450</v>
      </c>
      <c r="AJ67" s="9" t="n">
        <f aca="false">(AJ65*AJ50)</f>
        <v>24300</v>
      </c>
      <c r="AK67" s="9" t="n">
        <f aca="false">(AK65*AK50)</f>
        <v>0</v>
      </c>
      <c r="AL67" s="9" t="n">
        <f aca="false">(AL65*AL50)</f>
        <v>48600</v>
      </c>
      <c r="AN67" s="11" t="n">
        <f aca="false">SUM(C67:N67)</f>
        <v>0</v>
      </c>
      <c r="AO67" s="11" t="n">
        <f aca="false">SUM(O67:Z67)</f>
        <v>72900</v>
      </c>
      <c r="AP67" s="11" t="n">
        <f aca="false">SUM(AA67:AL67)</f>
        <v>230850</v>
      </c>
    </row>
    <row r="68" customFormat="false" ht="15" hidden="false" customHeight="false" outlineLevel="0" collapsed="false">
      <c r="A68" s="0" t="s">
        <v>874</v>
      </c>
      <c r="B68" s="0" t="s">
        <v>285</v>
      </c>
      <c r="C68" s="9" t="n">
        <f aca="false">((C47*Assumptions!$C$124)+(C50*(Assumptions!$C$124+(Assumptions!$C$34*Assumptions!$C$36))))</f>
        <v>0</v>
      </c>
      <c r="D68" s="9" t="n">
        <f aca="false">((D47*Assumptions!$C$124)+(D50*(Assumptions!$C$124+(Assumptions!$C$34*Assumptions!$C$36))))</f>
        <v>0</v>
      </c>
      <c r="E68" s="9" t="n">
        <f aca="false">((E47*Assumptions!$C$124)+(E50*(Assumptions!$C$124+(Assumptions!$C$34*Assumptions!$C$36))))</f>
        <v>0</v>
      </c>
      <c r="F68" s="9" t="n">
        <f aca="false">((F47*Assumptions!$C$124)+(F50*(Assumptions!$C$124+(Assumptions!$C$34*Assumptions!$C$36))))</f>
        <v>0</v>
      </c>
      <c r="G68" s="9" t="n">
        <f aca="false">((G47*Assumptions!$C$124)+(G50*(Assumptions!$C$124+(Assumptions!$C$34*Assumptions!$C$36))))</f>
        <v>115</v>
      </c>
      <c r="H68" s="9" t="n">
        <f aca="false">((H47*Assumptions!$C$124)+(H50*(Assumptions!$C$124+(Assumptions!$C$34*Assumptions!$C$36))))</f>
        <v>0</v>
      </c>
      <c r="I68" s="9" t="n">
        <f aca="false">((I47*Assumptions!$C$124)+(I50*(Assumptions!$C$124+(Assumptions!$C$34*Assumptions!$C$36))))</f>
        <v>0</v>
      </c>
      <c r="J68" s="9" t="n">
        <f aca="false">((J47*Assumptions!$C$124)+(J50*(Assumptions!$C$124+(Assumptions!$C$34*Assumptions!$C$36))))</f>
        <v>0</v>
      </c>
      <c r="K68" s="9" t="n">
        <f aca="false">((K47*Assumptions!$C$124)+(K50*(Assumptions!$C$124+(Assumptions!$C$34*Assumptions!$C$36))))</f>
        <v>0</v>
      </c>
      <c r="L68" s="9" t="n">
        <f aca="false">((L47*Assumptions!$C$124)+(L50*(Assumptions!$C$124+(Assumptions!$C$34*Assumptions!$C$36))))</f>
        <v>0</v>
      </c>
      <c r="M68" s="9" t="n">
        <f aca="false">((M47*Assumptions!$C$124)+(M50*(Assumptions!$C$124+(Assumptions!$C$34*Assumptions!$C$36))))</f>
        <v>0</v>
      </c>
      <c r="N68" s="9" t="n">
        <f aca="false">((N47*Assumptions!$C$124)+(N50*(Assumptions!$C$124+(Assumptions!$C$34*Assumptions!$C$36))))</f>
        <v>0</v>
      </c>
      <c r="O68" s="9" t="n">
        <f aca="false">((O47*Assumptions!$C$124)+(O50*(Assumptions!$C$124+(Assumptions!$C$34*Assumptions!$C$36))))</f>
        <v>0</v>
      </c>
      <c r="P68" s="9" t="n">
        <f aca="false">((P47*Assumptions!$C$124)+(P50*(Assumptions!$C$124+(Assumptions!$C$34*Assumptions!$C$36))))</f>
        <v>0</v>
      </c>
      <c r="Q68" s="9" t="n">
        <f aca="false">((Q47*Assumptions!$C$124)+(Q50*(Assumptions!$C$124+(Assumptions!$C$34*Assumptions!$C$36))))</f>
        <v>95.4</v>
      </c>
      <c r="R68" s="9" t="n">
        <f aca="false">((R47*Assumptions!$C$124)+(R50*(Assumptions!$C$124+(Assumptions!$C$34*Assumptions!$C$36))))</f>
        <v>0</v>
      </c>
      <c r="S68" s="9" t="n">
        <f aca="false">((S47*Assumptions!$C$124)+(S50*(Assumptions!$C$124+(Assumptions!$C$34*Assumptions!$C$36))))</f>
        <v>0</v>
      </c>
      <c r="T68" s="9" t="n">
        <f aca="false">((T47*Assumptions!$C$124)+(T50*(Assumptions!$C$124+(Assumptions!$C$34*Assumptions!$C$36))))</f>
        <v>95.4</v>
      </c>
      <c r="U68" s="9" t="n">
        <f aca="false">((U47*Assumptions!$C$124)+(U50*(Assumptions!$C$124+(Assumptions!$C$34*Assumptions!$C$36))))</f>
        <v>0</v>
      </c>
      <c r="V68" s="9" t="n">
        <f aca="false">((V47*Assumptions!$C$124)+(V50*(Assumptions!$C$124+(Assumptions!$C$34*Assumptions!$C$36))))</f>
        <v>0</v>
      </c>
      <c r="W68" s="9" t="n">
        <f aca="false">((W47*Assumptions!$C$124)+(W50*(Assumptions!$C$124+(Assumptions!$C$34*Assumptions!$C$36))))</f>
        <v>190.8</v>
      </c>
      <c r="X68" s="9" t="n">
        <f aca="false">((X47*Assumptions!$C$124)+(X50*(Assumptions!$C$124+(Assumptions!$C$34*Assumptions!$C$36))))</f>
        <v>0</v>
      </c>
      <c r="Y68" s="9" t="n">
        <f aca="false">((Y47*Assumptions!$C$124)+(Y50*(Assumptions!$C$124+(Assumptions!$C$34*Assumptions!$C$36))))</f>
        <v>0</v>
      </c>
      <c r="Z68" s="9" t="n">
        <f aca="false">((Z47*Assumptions!$C$124)+(Z50*(Assumptions!$C$124+(Assumptions!$C$34*Assumptions!$C$36))))</f>
        <v>190.8</v>
      </c>
      <c r="AA68" s="9" t="n">
        <f aca="false">((AA47*Assumptions!$C$124)+(AA50*(Assumptions!$C$124+(Assumptions!$C$34*Assumptions!$C$36))))</f>
        <v>95.4</v>
      </c>
      <c r="AB68" s="9" t="n">
        <f aca="false">((AB47*Assumptions!$C$124)+(AB50*(Assumptions!$C$124+(Assumptions!$C$34*Assumptions!$C$36))))</f>
        <v>0</v>
      </c>
      <c r="AC68" s="9" t="n">
        <f aca="false">((AC47*Assumptions!$C$124)+(AC50*(Assumptions!$C$124+(Assumptions!$C$34*Assumptions!$C$36))))</f>
        <v>286.2</v>
      </c>
      <c r="AD68" s="9" t="n">
        <f aca="false">((AD47*Assumptions!$C$124)+(AD50*(Assumptions!$C$124+(Assumptions!$C$34*Assumptions!$C$36))))</f>
        <v>95.4</v>
      </c>
      <c r="AE68" s="9" t="n">
        <f aca="false">((AE47*Assumptions!$C$124)+(AE50*(Assumptions!$C$124+(Assumptions!$C$34*Assumptions!$C$36))))</f>
        <v>0</v>
      </c>
      <c r="AF68" s="9" t="n">
        <f aca="false">((AF47*Assumptions!$C$124)+(AF50*(Assumptions!$C$124+(Assumptions!$C$34*Assumptions!$C$36))))</f>
        <v>286.2</v>
      </c>
      <c r="AG68" s="9" t="n">
        <f aca="false">((AG47*Assumptions!$C$124)+(AG50*(Assumptions!$C$124+(Assumptions!$C$34*Assumptions!$C$36))))</f>
        <v>190.8</v>
      </c>
      <c r="AH68" s="9" t="n">
        <f aca="false">((AH47*Assumptions!$C$124)+(AH50*(Assumptions!$C$124+(Assumptions!$C$34*Assumptions!$C$36))))</f>
        <v>0</v>
      </c>
      <c r="AI68" s="9" t="n">
        <f aca="false">((AI47*Assumptions!$C$124)+(AI50*(Assumptions!$C$124+(Assumptions!$C$34*Assumptions!$C$36))))</f>
        <v>286.2</v>
      </c>
      <c r="AJ68" s="9" t="n">
        <f aca="false">((AJ47*Assumptions!$C$124)+(AJ50*(Assumptions!$C$124+(Assumptions!$C$34*Assumptions!$C$36))))</f>
        <v>190.8</v>
      </c>
      <c r="AK68" s="9" t="n">
        <f aca="false">((AK47*Assumptions!$C$124)+(AK50*(Assumptions!$C$124+(Assumptions!$C$34*Assumptions!$C$36))))</f>
        <v>0</v>
      </c>
      <c r="AL68" s="9" t="n">
        <f aca="false">((AL47*Assumptions!$C$124)+(AL50*(Assumptions!$C$124+(Assumptions!$C$34*Assumptions!$C$36))))</f>
        <v>381.6</v>
      </c>
      <c r="AN68" s="11" t="n">
        <f aca="false">SUM(C68:N68)</f>
        <v>115</v>
      </c>
      <c r="AO68" s="11" t="n">
        <f aca="false">SUM(O68:Z68)</f>
        <v>572.4</v>
      </c>
      <c r="AP68" s="11" t="n">
        <f aca="false">SUM(AA68:AL68)</f>
        <v>1812.6</v>
      </c>
    </row>
    <row r="69" customFormat="false" ht="15" hidden="false" customHeight="false" outlineLevel="0" collapsed="false">
      <c r="A69" s="0" t="s">
        <v>875</v>
      </c>
      <c r="B69" s="0" t="s">
        <v>852</v>
      </c>
      <c r="C69" s="14" t="n">
        <f aca="false">((IF(OR((C$18-(Assumptions!$C$7-1)-$C$9)&lt;1,(C$18-(Assumptions!$C$7-1)-$C$9)&gt;36),0,INDEX(Schedules!$C$6:$AL$6,(C$18-(Assumptions!$C$7-1)-$C$9)))*$C$7)*C44)</f>
        <v>0</v>
      </c>
      <c r="D69" s="14" t="n">
        <f aca="false">((IF(OR((D$18-(Assumptions!$C$7-1)-$C$9)&lt;1,(D$18-(Assumptions!$C$7-1)-$C$9)&gt;36),0,INDEX(Schedules!$C$6:$AL$6,(D$18-(Assumptions!$C$7-1)-$C$9)))*$C$7)*D44)</f>
        <v>0</v>
      </c>
      <c r="E69" s="14" t="n">
        <f aca="false">((IF(OR((E$18-(Assumptions!$C$7-1)-$C$9)&lt;1,(E$18-(Assumptions!$C$7-1)-$C$9)&gt;36),0,INDEX(Schedules!$C$6:$AL$6,(E$18-(Assumptions!$C$7-1)-$C$9)))*$C$7)*E44)</f>
        <v>0</v>
      </c>
      <c r="F69" s="14" t="n">
        <f aca="false">((IF(OR((F$18-(Assumptions!$C$7-1)-$C$9)&lt;1,(F$18-(Assumptions!$C$7-1)-$C$9)&gt;36),0,INDEX(Schedules!$C$6:$AL$6,(F$18-(Assumptions!$C$7-1)-$C$9)))*$C$7)*F44)</f>
        <v>0</v>
      </c>
      <c r="G69" s="14" t="n">
        <f aca="false">((IF(OR((G$18-(Assumptions!$C$7-1)-$C$9)&lt;1,(G$18-(Assumptions!$C$7-1)-$C$9)&gt;36),0,INDEX(Schedules!$C$6:$AL$6,(G$18-(Assumptions!$C$7-1)-$C$9)))*$C$7)*G44)</f>
        <v>0</v>
      </c>
      <c r="H69" s="14" t="n">
        <f aca="false">((IF(OR((H$18-(Assumptions!$C$7-1)-$C$9)&lt;1,(H$18-(Assumptions!$C$7-1)-$C$9)&gt;36),0,INDEX(Schedules!$C$6:$AL$6,(H$18-(Assumptions!$C$7-1)-$C$9)))*$C$7)*H44)</f>
        <v>0</v>
      </c>
      <c r="I69" s="14" t="n">
        <f aca="false">((IF(OR((I$18-(Assumptions!$C$7-1)-$C$9)&lt;1,(I$18-(Assumptions!$C$7-1)-$C$9)&gt;36),0,INDEX(Schedules!$C$6:$AL$6,(I$18-(Assumptions!$C$7-1)-$C$9)))*$C$7)*I44)</f>
        <v>0</v>
      </c>
      <c r="J69" s="14" t="n">
        <f aca="false">((IF(OR((J$18-(Assumptions!$C$7-1)-$C$9)&lt;1,(J$18-(Assumptions!$C$7-1)-$C$9)&gt;36),0,INDEX(Schedules!$C$6:$AL$6,(J$18-(Assumptions!$C$7-1)-$C$9)))*$C$7)*J44)</f>
        <v>0</v>
      </c>
      <c r="K69" s="14" t="n">
        <f aca="false">((IF(OR((K$18-(Assumptions!$C$7-1)-$C$9)&lt;1,(K$18-(Assumptions!$C$7-1)-$C$9)&gt;36),0,INDEX(Schedules!$C$6:$AL$6,(K$18-(Assumptions!$C$7-1)-$C$9)))*$C$7)*K44)</f>
        <v>0</v>
      </c>
      <c r="L69" s="14" t="n">
        <f aca="false">((IF(OR((L$18-(Assumptions!$C$7-1)-$C$9)&lt;1,(L$18-(Assumptions!$C$7-1)-$C$9)&gt;36),0,INDEX(Schedules!$C$6:$AL$6,(L$18-(Assumptions!$C$7-1)-$C$9)))*$C$7)*L44)</f>
        <v>0</v>
      </c>
      <c r="M69" s="14" t="n">
        <f aca="false">((IF(OR((M$18-(Assumptions!$C$7-1)-$C$9)&lt;1,(M$18-(Assumptions!$C$7-1)-$C$9)&gt;36),0,INDEX(Schedules!$C$6:$AL$6,(M$18-(Assumptions!$C$7-1)-$C$9)))*$C$7)*M44)</f>
        <v>0</v>
      </c>
      <c r="N69" s="14" t="n">
        <f aca="false">((IF(OR((N$18-(Assumptions!$C$7-1)-$C$9)&lt;1,(N$18-(Assumptions!$C$7-1)-$C$9)&gt;36),0,INDEX(Schedules!$C$6:$AL$6,(N$18-(Assumptions!$C$7-1)-$C$9)))*$C$7)*N44)</f>
        <v>0</v>
      </c>
      <c r="O69" s="14" t="n">
        <f aca="false">((IF(OR((O$18-(Assumptions!$C$7-1)-$C$9)&lt;1,(O$18-(Assumptions!$C$7-1)-$C$9)&gt;36),0,INDEX(Schedules!$C$6:$AL$6,(O$18-(Assumptions!$C$7-1)-$C$9)))*$C$7)*O44)</f>
        <v>0</v>
      </c>
      <c r="P69" s="14" t="n">
        <f aca="false">((IF(OR((P$18-(Assumptions!$C$7-1)-$C$9)&lt;1,(P$18-(Assumptions!$C$7-1)-$C$9)&gt;36),0,INDEX(Schedules!$C$6:$AL$6,(P$18-(Assumptions!$C$7-1)-$C$9)))*$C$7)*P44)</f>
        <v>0</v>
      </c>
      <c r="Q69" s="14" t="n">
        <f aca="false">((IF(OR((Q$18-(Assumptions!$C$7-1)-$C$9)&lt;1,(Q$18-(Assumptions!$C$7-1)-$C$9)&gt;36),0,INDEX(Schedules!$C$6:$AL$6,(Q$18-(Assumptions!$C$7-1)-$C$9)))*$C$7)*Q44)</f>
        <v>0</v>
      </c>
      <c r="R69" s="14" t="n">
        <f aca="false">((IF(OR((R$18-(Assumptions!$C$7-1)-$C$9)&lt;1,(R$18-(Assumptions!$C$7-1)-$C$9)&gt;36),0,INDEX(Schedules!$C$6:$AL$6,(R$18-(Assumptions!$C$7-1)-$C$9)))*$C$7)*R44)</f>
        <v>0</v>
      </c>
      <c r="S69" s="14" t="n">
        <f aca="false">((IF(OR((S$18-(Assumptions!$C$7-1)-$C$9)&lt;1,(S$18-(Assumptions!$C$7-1)-$C$9)&gt;36),0,INDEX(Schedules!$C$6:$AL$6,(S$18-(Assumptions!$C$7-1)-$C$9)))*$C$7)*S44)</f>
        <v>0</v>
      </c>
      <c r="T69" s="14" t="n">
        <f aca="false">((IF(OR((T$18-(Assumptions!$C$7-1)-$C$9)&lt;1,(T$18-(Assumptions!$C$7-1)-$C$9)&gt;36),0,INDEX(Schedules!$C$6:$AL$6,(T$18-(Assumptions!$C$7-1)-$C$9)))*$C$7)*T44)</f>
        <v>0.6</v>
      </c>
      <c r="U69" s="14" t="n">
        <f aca="false">((IF(OR((U$18-(Assumptions!$C$7-1)-$C$9)&lt;1,(U$18-(Assumptions!$C$7-1)-$C$9)&gt;36),0,INDEX(Schedules!$C$6:$AL$6,(U$18-(Assumptions!$C$7-1)-$C$9)))*$C$7)*U44)</f>
        <v>0</v>
      </c>
      <c r="V69" s="14" t="n">
        <f aca="false">((IF(OR((V$18-(Assumptions!$C$7-1)-$C$9)&lt;1,(V$18-(Assumptions!$C$7-1)-$C$9)&gt;36),0,INDEX(Schedules!$C$6:$AL$6,(V$18-(Assumptions!$C$7-1)-$C$9)))*$C$7)*V44)</f>
        <v>0</v>
      </c>
      <c r="W69" s="14" t="n">
        <f aca="false">((IF(OR((W$18-(Assumptions!$C$7-1)-$C$9)&lt;1,(W$18-(Assumptions!$C$7-1)-$C$9)&gt;36),0,INDEX(Schedules!$C$6:$AL$6,(W$18-(Assumptions!$C$7-1)-$C$9)))*$C$7)*W44)</f>
        <v>0.6</v>
      </c>
      <c r="X69" s="14" t="n">
        <f aca="false">((IF(OR((X$18-(Assumptions!$C$7-1)-$C$9)&lt;1,(X$18-(Assumptions!$C$7-1)-$C$9)&gt;36),0,INDEX(Schedules!$C$6:$AL$6,(X$18-(Assumptions!$C$7-1)-$C$9)))*$C$7)*X44)</f>
        <v>0</v>
      </c>
      <c r="Y69" s="14" t="n">
        <f aca="false">((IF(OR((Y$18-(Assumptions!$C$7-1)-$C$9)&lt;1,(Y$18-(Assumptions!$C$7-1)-$C$9)&gt;36),0,INDEX(Schedules!$C$6:$AL$6,(Y$18-(Assumptions!$C$7-1)-$C$9)))*$C$7)*Y44)</f>
        <v>0</v>
      </c>
      <c r="Z69" s="14" t="n">
        <f aca="false">((IF(OR((Z$18-(Assumptions!$C$7-1)-$C$9)&lt;1,(Z$18-(Assumptions!$C$7-1)-$C$9)&gt;36),0,INDEX(Schedules!$C$6:$AL$6,(Z$18-(Assumptions!$C$7-1)-$C$9)))*$C$7)*Z44)</f>
        <v>0.6</v>
      </c>
      <c r="AA69" s="14" t="n">
        <f aca="false">((IF(OR((AA$18-(Assumptions!$C$7-1)-$C$9)&lt;1,(AA$18-(Assumptions!$C$7-1)-$C$9)&gt;36),0,INDEX(Schedules!$C$6:$AL$6,(AA$18-(Assumptions!$C$7-1)-$C$9)))*$C$7)*AA44)</f>
        <v>0</v>
      </c>
      <c r="AB69" s="14" t="n">
        <f aca="false">((IF(OR((AB$18-(Assumptions!$C$7-1)-$C$9)&lt;1,(AB$18-(Assumptions!$C$7-1)-$C$9)&gt;36),0,INDEX(Schedules!$C$6:$AL$6,(AB$18-(Assumptions!$C$7-1)-$C$9)))*$C$7)*AB44)</f>
        <v>0</v>
      </c>
      <c r="AC69" s="14" t="n">
        <f aca="false">((IF(OR((AC$18-(Assumptions!$C$7-1)-$C$9)&lt;1,(AC$18-(Assumptions!$C$7-1)-$C$9)&gt;36),0,INDEX(Schedules!$C$6:$AL$6,(AC$18-(Assumptions!$C$7-1)-$C$9)))*$C$7)*AC44)</f>
        <v>0.6</v>
      </c>
      <c r="AD69" s="14" t="n">
        <f aca="false">((IF(OR((AD$18-(Assumptions!$C$7-1)-$C$9)&lt;1,(AD$18-(Assumptions!$C$7-1)-$C$9)&gt;36),0,INDEX(Schedules!$C$6:$AL$6,(AD$18-(Assumptions!$C$7-1)-$C$9)))*$C$7)*AD44)</f>
        <v>0</v>
      </c>
      <c r="AE69" s="14" t="n">
        <f aca="false">((IF(OR((AE$18-(Assumptions!$C$7-1)-$C$9)&lt;1,(AE$18-(Assumptions!$C$7-1)-$C$9)&gt;36),0,INDEX(Schedules!$C$6:$AL$6,(AE$18-(Assumptions!$C$7-1)-$C$9)))*$C$7)*AE44)</f>
        <v>0</v>
      </c>
      <c r="AF69" s="14" t="n">
        <f aca="false">((IF(OR((AF$18-(Assumptions!$C$7-1)-$C$9)&lt;1,(AF$18-(Assumptions!$C$7-1)-$C$9)&gt;36),0,INDEX(Schedules!$C$6:$AL$6,(AF$18-(Assumptions!$C$7-1)-$C$9)))*$C$7)*AF44)</f>
        <v>1.2</v>
      </c>
      <c r="AG69" s="14" t="n">
        <f aca="false">((IF(OR((AG$18-(Assumptions!$C$7-1)-$C$9)&lt;1,(AG$18-(Assumptions!$C$7-1)-$C$9)&gt;36),0,INDEX(Schedules!$C$6:$AL$6,(AG$18-(Assumptions!$C$7-1)-$C$9)))*$C$7)*AG44)</f>
        <v>0</v>
      </c>
      <c r="AH69" s="14" t="n">
        <f aca="false">((IF(OR((AH$18-(Assumptions!$C$7-1)-$C$9)&lt;1,(AH$18-(Assumptions!$C$7-1)-$C$9)&gt;36),0,INDEX(Schedules!$C$6:$AL$6,(AH$18-(Assumptions!$C$7-1)-$C$9)))*$C$7)*AH44)</f>
        <v>0</v>
      </c>
      <c r="AI69" s="14" t="n">
        <f aca="false">((IF(OR((AI$18-(Assumptions!$C$7-1)-$C$9)&lt;1,(AI$18-(Assumptions!$C$7-1)-$C$9)&gt;36),0,INDEX(Schedules!$C$6:$AL$6,(AI$18-(Assumptions!$C$7-1)-$C$9)))*$C$7)*AI44)</f>
        <v>1.2</v>
      </c>
      <c r="AJ69" s="14" t="n">
        <f aca="false">((IF(OR((AJ$18-(Assumptions!$C$7-1)-$C$9)&lt;1,(AJ$18-(Assumptions!$C$7-1)-$C$9)&gt;36),0,INDEX(Schedules!$C$6:$AL$6,(AJ$18-(Assumptions!$C$7-1)-$C$9)))*$C$7)*AJ44)</f>
        <v>0</v>
      </c>
      <c r="AK69" s="14" t="n">
        <f aca="false">((IF(OR((AK$18-(Assumptions!$C$7-1)-$C$9)&lt;1,(AK$18-(Assumptions!$C$7-1)-$C$9)&gt;36),0,INDEX(Schedules!$C$6:$AL$6,(AK$18-(Assumptions!$C$7-1)-$C$9)))*$C$7)*AK44)</f>
        <v>0</v>
      </c>
      <c r="AL69" s="14" t="n">
        <f aca="false">((IF(OR((AL$18-(Assumptions!$C$7-1)-$C$9)&lt;1,(AL$18-(Assumptions!$C$7-1)-$C$9)&gt;36),0,INDEX(Schedules!$C$6:$AL$6,(AL$18-(Assumptions!$C$7-1)-$C$9)))*$C$7)*AL44)</f>
        <v>1.2</v>
      </c>
      <c r="AN69" s="36" t="n">
        <f aca="false">SUM(C69:N69)</f>
        <v>0</v>
      </c>
      <c r="AO69" s="36" t="n">
        <f aca="false">SUM(O69:Z69)</f>
        <v>1.8</v>
      </c>
      <c r="AP69" s="36" t="n">
        <f aca="false">SUM(AA69:AL69)</f>
        <v>4.2</v>
      </c>
    </row>
    <row r="70" customFormat="false" ht="15" hidden="false" customHeight="false" outlineLevel="0" collapsed="false">
      <c r="A70" s="0" t="s">
        <v>876</v>
      </c>
      <c r="B70" s="0" t="s">
        <v>852</v>
      </c>
      <c r="C70" s="14" t="n">
        <f aca="false">INDEX(Schedules!$C$12:$AL$12,C$18)</f>
        <v>0</v>
      </c>
      <c r="D70" s="14" t="n">
        <f aca="false">INDEX(Schedules!$C$12:$AL$12,D$18)</f>
        <v>0</v>
      </c>
      <c r="E70" s="14" t="n">
        <f aca="false">INDEX(Schedules!$C$12:$AL$12,E$18)</f>
        <v>0</v>
      </c>
      <c r="F70" s="14" t="n">
        <f aca="false">INDEX(Schedules!$C$12:$AL$12,F$18)</f>
        <v>0</v>
      </c>
      <c r="G70" s="14" t="n">
        <f aca="false">INDEX(Schedules!$C$12:$AL$12,G$18)</f>
        <v>0</v>
      </c>
      <c r="H70" s="14" t="n">
        <f aca="false">INDEX(Schedules!$C$12:$AL$12,H$18)</f>
        <v>0</v>
      </c>
      <c r="I70" s="14" t="n">
        <f aca="false">INDEX(Schedules!$C$12:$AL$12,I$18)</f>
        <v>0</v>
      </c>
      <c r="J70" s="14" t="n">
        <f aca="false">INDEX(Schedules!$C$12:$AL$12,J$18)</f>
        <v>1</v>
      </c>
      <c r="K70" s="14" t="n">
        <f aca="false">INDEX(Schedules!$C$12:$AL$12,K$18)</f>
        <v>0</v>
      </c>
      <c r="L70" s="14" t="n">
        <f aca="false">INDEX(Schedules!$C$12:$AL$12,L$18)</f>
        <v>0</v>
      </c>
      <c r="M70" s="14" t="n">
        <f aca="false">INDEX(Schedules!$C$12:$AL$12,M$18)</f>
        <v>0</v>
      </c>
      <c r="N70" s="14" t="n">
        <f aca="false">INDEX(Schedules!$C$12:$AL$12,N$18)</f>
        <v>0</v>
      </c>
      <c r="O70" s="14" t="n">
        <f aca="false">INDEX(Schedules!$C$12:$AL$12,O$18)</f>
        <v>0</v>
      </c>
      <c r="P70" s="14" t="n">
        <f aca="false">INDEX(Schedules!$C$12:$AL$12,P$18)</f>
        <v>0</v>
      </c>
      <c r="Q70" s="14" t="n">
        <f aca="false">INDEX(Schedules!$C$12:$AL$12,Q$18)</f>
        <v>0</v>
      </c>
      <c r="R70" s="14" t="n">
        <f aca="false">INDEX(Schedules!$C$12:$AL$12,R$18)</f>
        <v>0</v>
      </c>
      <c r="S70" s="14" t="n">
        <f aca="false">INDEX(Schedules!$C$12:$AL$12,S$18)</f>
        <v>0</v>
      </c>
      <c r="T70" s="14" t="n">
        <f aca="false">INDEX(Schedules!$C$12:$AL$12,T$18)</f>
        <v>0</v>
      </c>
      <c r="U70" s="14" t="n">
        <f aca="false">INDEX(Schedules!$C$12:$AL$12,U$18)</f>
        <v>0</v>
      </c>
      <c r="V70" s="14" t="n">
        <f aca="false">INDEX(Schedules!$C$12:$AL$12,V$18)</f>
        <v>0</v>
      </c>
      <c r="W70" s="14" t="n">
        <f aca="false">INDEX(Schedules!$C$12:$AL$12,W$18)</f>
        <v>0</v>
      </c>
      <c r="X70" s="14" t="n">
        <f aca="false">INDEX(Schedules!$C$12:$AL$12,X$18)</f>
        <v>0</v>
      </c>
      <c r="Y70" s="14" t="n">
        <f aca="false">INDEX(Schedules!$C$12:$AL$12,Y$18)</f>
        <v>0</v>
      </c>
      <c r="Z70" s="14" t="n">
        <f aca="false">INDEX(Schedules!$C$12:$AL$12,Z$18)</f>
        <v>0</v>
      </c>
      <c r="AA70" s="14" t="n">
        <f aca="false">INDEX(Schedules!$C$12:$AL$12,AA$18)</f>
        <v>0</v>
      </c>
      <c r="AB70" s="14" t="n">
        <f aca="false">INDEX(Schedules!$C$12:$AL$12,AB$18)</f>
        <v>0</v>
      </c>
      <c r="AC70" s="14" t="n">
        <f aca="false">INDEX(Schedules!$C$12:$AL$12,AC$18)</f>
        <v>0</v>
      </c>
      <c r="AD70" s="14" t="n">
        <f aca="false">INDEX(Schedules!$C$12:$AL$12,AD$18)</f>
        <v>0</v>
      </c>
      <c r="AE70" s="14" t="n">
        <f aca="false">INDEX(Schedules!$C$12:$AL$12,AE$18)</f>
        <v>0</v>
      </c>
      <c r="AF70" s="14" t="n">
        <f aca="false">INDEX(Schedules!$C$12:$AL$12,AF$18)</f>
        <v>0</v>
      </c>
      <c r="AG70" s="14" t="n">
        <f aca="false">INDEX(Schedules!$C$12:$AL$12,AG$18)</f>
        <v>0</v>
      </c>
      <c r="AH70" s="14" t="n">
        <f aca="false">INDEX(Schedules!$C$12:$AL$12,AH$18)</f>
        <v>0</v>
      </c>
      <c r="AI70" s="14" t="n">
        <f aca="false">INDEX(Schedules!$C$12:$AL$12,AI$18)</f>
        <v>0</v>
      </c>
      <c r="AJ70" s="14" t="n">
        <f aca="false">INDEX(Schedules!$C$12:$AL$12,AJ$18)</f>
        <v>0</v>
      </c>
      <c r="AK70" s="14" t="n">
        <f aca="false">INDEX(Schedules!$C$12:$AL$12,AK$18)</f>
        <v>0</v>
      </c>
      <c r="AL70" s="14" t="n">
        <f aca="false">INDEX(Schedules!$C$12:$AL$12,AL$18)</f>
        <v>0</v>
      </c>
      <c r="AN70" s="36" t="n">
        <f aca="false">SUM(C70:N70)</f>
        <v>1</v>
      </c>
      <c r="AO70" s="36" t="n">
        <f aca="false">SUM(O70:Z70)</f>
        <v>0</v>
      </c>
      <c r="AP70" s="36" t="n">
        <f aca="false">SUM(AA70:AL70)</f>
        <v>0</v>
      </c>
    </row>
    <row r="71" customFormat="false" ht="15" hidden="false" customHeight="false" outlineLevel="0" collapsed="false">
      <c r="A71" s="0" t="s">
        <v>877</v>
      </c>
      <c r="B71" s="0" t="s">
        <v>852</v>
      </c>
      <c r="C71" s="14" t="n">
        <f aca="false">(C69+C70)</f>
        <v>0</v>
      </c>
      <c r="D71" s="14" t="n">
        <f aca="false">(D69+D70)</f>
        <v>0</v>
      </c>
      <c r="E71" s="14" t="n">
        <f aca="false">(E69+E70)</f>
        <v>0</v>
      </c>
      <c r="F71" s="14" t="n">
        <f aca="false">(F69+F70)</f>
        <v>0</v>
      </c>
      <c r="G71" s="14" t="n">
        <f aca="false">(G69+G70)</f>
        <v>0</v>
      </c>
      <c r="H71" s="14" t="n">
        <f aca="false">(H69+H70)</f>
        <v>0</v>
      </c>
      <c r="I71" s="14" t="n">
        <f aca="false">(I69+I70)</f>
        <v>0</v>
      </c>
      <c r="J71" s="14" t="n">
        <f aca="false">(J69+J70)</f>
        <v>1</v>
      </c>
      <c r="K71" s="14" t="n">
        <f aca="false">(K69+K70)</f>
        <v>0</v>
      </c>
      <c r="L71" s="14" t="n">
        <f aca="false">(L69+L70)</f>
        <v>0</v>
      </c>
      <c r="M71" s="14" t="n">
        <f aca="false">(M69+M70)</f>
        <v>0</v>
      </c>
      <c r="N71" s="14" t="n">
        <f aca="false">(N69+N70)</f>
        <v>0</v>
      </c>
      <c r="O71" s="14" t="n">
        <f aca="false">(O69+O70)</f>
        <v>0</v>
      </c>
      <c r="P71" s="14" t="n">
        <f aca="false">(P69+P70)</f>
        <v>0</v>
      </c>
      <c r="Q71" s="14" t="n">
        <f aca="false">(Q69+Q70)</f>
        <v>0</v>
      </c>
      <c r="R71" s="14" t="n">
        <f aca="false">(R69+R70)</f>
        <v>0</v>
      </c>
      <c r="S71" s="14" t="n">
        <f aca="false">(S69+S70)</f>
        <v>0</v>
      </c>
      <c r="T71" s="14" t="n">
        <f aca="false">(T69+T70)</f>
        <v>0.6</v>
      </c>
      <c r="U71" s="14" t="n">
        <f aca="false">(U69+U70)</f>
        <v>0</v>
      </c>
      <c r="V71" s="14" t="n">
        <f aca="false">(V69+V70)</f>
        <v>0</v>
      </c>
      <c r="W71" s="14" t="n">
        <f aca="false">(W69+W70)</f>
        <v>0.6</v>
      </c>
      <c r="X71" s="14" t="n">
        <f aca="false">(X69+X70)</f>
        <v>0</v>
      </c>
      <c r="Y71" s="14" t="n">
        <f aca="false">(Y69+Y70)</f>
        <v>0</v>
      </c>
      <c r="Z71" s="14" t="n">
        <f aca="false">(Z69+Z70)</f>
        <v>0.6</v>
      </c>
      <c r="AA71" s="14" t="n">
        <f aca="false">(AA69+AA70)</f>
        <v>0</v>
      </c>
      <c r="AB71" s="14" t="n">
        <f aca="false">(AB69+AB70)</f>
        <v>0</v>
      </c>
      <c r="AC71" s="14" t="n">
        <f aca="false">(AC69+AC70)</f>
        <v>0.6</v>
      </c>
      <c r="AD71" s="14" t="n">
        <f aca="false">(AD69+AD70)</f>
        <v>0</v>
      </c>
      <c r="AE71" s="14" t="n">
        <f aca="false">(AE69+AE70)</f>
        <v>0</v>
      </c>
      <c r="AF71" s="14" t="n">
        <f aca="false">(AF69+AF70)</f>
        <v>1.2</v>
      </c>
      <c r="AG71" s="14" t="n">
        <f aca="false">(AG69+AG70)</f>
        <v>0</v>
      </c>
      <c r="AH71" s="14" t="n">
        <f aca="false">(AH69+AH70)</f>
        <v>0</v>
      </c>
      <c r="AI71" s="14" t="n">
        <f aca="false">(AI69+AI70)</f>
        <v>1.2</v>
      </c>
      <c r="AJ71" s="14" t="n">
        <f aca="false">(AJ69+AJ70)</f>
        <v>0</v>
      </c>
      <c r="AK71" s="14" t="n">
        <f aca="false">(AK69+AK70)</f>
        <v>0</v>
      </c>
      <c r="AL71" s="14" t="n">
        <f aca="false">(AL69+AL70)</f>
        <v>1.2</v>
      </c>
      <c r="AN71" s="36" t="n">
        <f aca="false">SUM(C71:N71)</f>
        <v>1</v>
      </c>
      <c r="AO71" s="36" t="n">
        <f aca="false">SUM(O71:Z71)</f>
        <v>1.8</v>
      </c>
      <c r="AP71" s="36" t="n">
        <f aca="false">SUM(AA71:AL71)</f>
        <v>4.2</v>
      </c>
    </row>
    <row r="72" customFormat="false" ht="15" hidden="false" customHeight="false" outlineLevel="0" collapsed="false">
      <c r="A72" s="0" t="s">
        <v>878</v>
      </c>
      <c r="B72" s="0" t="s">
        <v>852</v>
      </c>
      <c r="C72" s="14" t="n">
        <f aca="false">((IF(OR((C$18-(Assumptions!$C$8-1)-$C$9)&lt;1,(C$18-(Assumptions!$C$8-1)-$C$9)&gt;36),0,INDEX(Schedules!$C$9:$AL$9,(C$18-(Assumptions!$C$8-1)-$C$9)))*$C$7)*C44)</f>
        <v>0</v>
      </c>
      <c r="D72" s="14" t="n">
        <f aca="false">((IF(OR((D$18-(Assumptions!$C$8-1)-$C$9)&lt;1,(D$18-(Assumptions!$C$8-1)-$C$9)&gt;36),0,INDEX(Schedules!$C$9:$AL$9,(D$18-(Assumptions!$C$8-1)-$C$9)))*$C$7)*D44)</f>
        <v>0</v>
      </c>
      <c r="E72" s="14" t="n">
        <f aca="false">((IF(OR((E$18-(Assumptions!$C$8-1)-$C$9)&lt;1,(E$18-(Assumptions!$C$8-1)-$C$9)&gt;36),0,INDEX(Schedules!$C$9:$AL$9,(E$18-(Assumptions!$C$8-1)-$C$9)))*$C$7)*E44)</f>
        <v>0</v>
      </c>
      <c r="F72" s="14" t="n">
        <f aca="false">((IF(OR((F$18-(Assumptions!$C$8-1)-$C$9)&lt;1,(F$18-(Assumptions!$C$8-1)-$C$9)&gt;36),0,INDEX(Schedules!$C$9:$AL$9,(F$18-(Assumptions!$C$8-1)-$C$9)))*$C$7)*F44)</f>
        <v>0</v>
      </c>
      <c r="G72" s="14" t="n">
        <f aca="false">((IF(OR((G$18-(Assumptions!$C$8-1)-$C$9)&lt;1,(G$18-(Assumptions!$C$8-1)-$C$9)&gt;36),0,INDEX(Schedules!$C$9:$AL$9,(G$18-(Assumptions!$C$8-1)-$C$9)))*$C$7)*G44)</f>
        <v>0</v>
      </c>
      <c r="H72" s="14" t="n">
        <f aca="false">((IF(OR((H$18-(Assumptions!$C$8-1)-$C$9)&lt;1,(H$18-(Assumptions!$C$8-1)-$C$9)&gt;36),0,INDEX(Schedules!$C$9:$AL$9,(H$18-(Assumptions!$C$8-1)-$C$9)))*$C$7)*H44)</f>
        <v>0</v>
      </c>
      <c r="I72" s="14" t="n">
        <f aca="false">((IF(OR((I$18-(Assumptions!$C$8-1)-$C$9)&lt;1,(I$18-(Assumptions!$C$8-1)-$C$9)&gt;36),0,INDEX(Schedules!$C$9:$AL$9,(I$18-(Assumptions!$C$8-1)-$C$9)))*$C$7)*I44)</f>
        <v>0</v>
      </c>
      <c r="J72" s="14" t="n">
        <f aca="false">((IF(OR((J$18-(Assumptions!$C$8-1)-$C$9)&lt;1,(J$18-(Assumptions!$C$8-1)-$C$9)&gt;36),0,INDEX(Schedules!$C$9:$AL$9,(J$18-(Assumptions!$C$8-1)-$C$9)))*$C$7)*J44)</f>
        <v>0</v>
      </c>
      <c r="K72" s="14" t="n">
        <f aca="false">((IF(OR((K$18-(Assumptions!$C$8-1)-$C$9)&lt;1,(K$18-(Assumptions!$C$8-1)-$C$9)&gt;36),0,INDEX(Schedules!$C$9:$AL$9,(K$18-(Assumptions!$C$8-1)-$C$9)))*$C$7)*K44)</f>
        <v>0</v>
      </c>
      <c r="L72" s="14" t="n">
        <f aca="false">((IF(OR((L$18-(Assumptions!$C$8-1)-$C$9)&lt;1,(L$18-(Assumptions!$C$8-1)-$C$9)&gt;36),0,INDEX(Schedules!$C$9:$AL$9,(L$18-(Assumptions!$C$8-1)-$C$9)))*$C$7)*L44)</f>
        <v>0</v>
      </c>
      <c r="M72" s="14" t="n">
        <f aca="false">((IF(OR((M$18-(Assumptions!$C$8-1)-$C$9)&lt;1,(M$18-(Assumptions!$C$8-1)-$C$9)&gt;36),0,INDEX(Schedules!$C$9:$AL$9,(M$18-(Assumptions!$C$8-1)-$C$9)))*$C$7)*M44)</f>
        <v>0</v>
      </c>
      <c r="N72" s="14" t="n">
        <f aca="false">((IF(OR((N$18-(Assumptions!$C$8-1)-$C$9)&lt;1,(N$18-(Assumptions!$C$8-1)-$C$9)&gt;36),0,INDEX(Schedules!$C$9:$AL$9,(N$18-(Assumptions!$C$8-1)-$C$9)))*$C$7)*N44)</f>
        <v>0</v>
      </c>
      <c r="O72" s="14" t="n">
        <f aca="false">((IF(OR((O$18-(Assumptions!$C$8-1)-$C$9)&lt;1,(O$18-(Assumptions!$C$8-1)-$C$9)&gt;36),0,INDEX(Schedules!$C$9:$AL$9,(O$18-(Assumptions!$C$8-1)-$C$9)))*$C$7)*O44)</f>
        <v>0</v>
      </c>
      <c r="P72" s="14" t="n">
        <f aca="false">((IF(OR((P$18-(Assumptions!$C$8-1)-$C$9)&lt;1,(P$18-(Assumptions!$C$8-1)-$C$9)&gt;36),0,INDEX(Schedules!$C$9:$AL$9,(P$18-(Assumptions!$C$8-1)-$C$9)))*$C$7)*P44)</f>
        <v>0</v>
      </c>
      <c r="Q72" s="14" t="n">
        <f aca="false">((IF(OR((Q$18-(Assumptions!$C$8-1)-$C$9)&lt;1,(Q$18-(Assumptions!$C$8-1)-$C$9)&gt;36),0,INDEX(Schedules!$C$9:$AL$9,(Q$18-(Assumptions!$C$8-1)-$C$9)))*$C$7)*Q44)</f>
        <v>0</v>
      </c>
      <c r="R72" s="14" t="n">
        <f aca="false">((IF(OR((R$18-(Assumptions!$C$8-1)-$C$9)&lt;1,(R$18-(Assumptions!$C$8-1)-$C$9)&gt;36),0,INDEX(Schedules!$C$9:$AL$9,(R$18-(Assumptions!$C$8-1)-$C$9)))*$C$7)*R44)</f>
        <v>0</v>
      </c>
      <c r="S72" s="14" t="n">
        <f aca="false">((IF(OR((S$18-(Assumptions!$C$8-1)-$C$9)&lt;1,(S$18-(Assumptions!$C$8-1)-$C$9)&gt;36),0,INDEX(Schedules!$C$9:$AL$9,(S$18-(Assumptions!$C$8-1)-$C$9)))*$C$7)*S44)</f>
        <v>0</v>
      </c>
      <c r="T72" s="14" t="n">
        <f aca="false">((IF(OR((T$18-(Assumptions!$C$8-1)-$C$9)&lt;1,(T$18-(Assumptions!$C$8-1)-$C$9)&gt;36),0,INDEX(Schedules!$C$9:$AL$9,(T$18-(Assumptions!$C$8-1)-$C$9)))*$C$7)*T44)</f>
        <v>0</v>
      </c>
      <c r="U72" s="14" t="n">
        <f aca="false">((IF(OR((U$18-(Assumptions!$C$8-1)-$C$9)&lt;1,(U$18-(Assumptions!$C$8-1)-$C$9)&gt;36),0,INDEX(Schedules!$C$9:$AL$9,(U$18-(Assumptions!$C$8-1)-$C$9)))*$C$7)*U44)</f>
        <v>0</v>
      </c>
      <c r="V72" s="14" t="n">
        <f aca="false">((IF(OR((V$18-(Assumptions!$C$8-1)-$C$9)&lt;1,(V$18-(Assumptions!$C$8-1)-$C$9)&gt;36),0,INDEX(Schedules!$C$9:$AL$9,(V$18-(Assumptions!$C$8-1)-$C$9)))*$C$7)*V44)</f>
        <v>0</v>
      </c>
      <c r="W72" s="14" t="n">
        <f aca="false">((IF(OR((W$18-(Assumptions!$C$8-1)-$C$9)&lt;1,(W$18-(Assumptions!$C$8-1)-$C$9)&gt;36),0,INDEX(Schedules!$C$9:$AL$9,(W$18-(Assumptions!$C$8-1)-$C$9)))*$C$7)*W44)</f>
        <v>0</v>
      </c>
      <c r="X72" s="14" t="n">
        <f aca="false">((IF(OR((X$18-(Assumptions!$C$8-1)-$C$9)&lt;1,(X$18-(Assumptions!$C$8-1)-$C$9)&gt;36),0,INDEX(Schedules!$C$9:$AL$9,(X$18-(Assumptions!$C$8-1)-$C$9)))*$C$7)*X44)</f>
        <v>0</v>
      </c>
      <c r="Y72" s="14" t="n">
        <f aca="false">((IF(OR((Y$18-(Assumptions!$C$8-1)-$C$9)&lt;1,(Y$18-(Assumptions!$C$8-1)-$C$9)&gt;36),0,INDEX(Schedules!$C$9:$AL$9,(Y$18-(Assumptions!$C$8-1)-$C$9)))*$C$7)*Y44)</f>
        <v>0</v>
      </c>
      <c r="Z72" s="14" t="n">
        <f aca="false">((IF(OR((Z$18-(Assumptions!$C$8-1)-$C$9)&lt;1,(Z$18-(Assumptions!$C$8-1)-$C$9)&gt;36),0,INDEX(Schedules!$C$9:$AL$9,(Z$18-(Assumptions!$C$8-1)-$C$9)))*$C$7)*Z44)</f>
        <v>0</v>
      </c>
      <c r="AA72" s="14" t="n">
        <f aca="false">((IF(OR((AA$18-(Assumptions!$C$8-1)-$C$9)&lt;1,(AA$18-(Assumptions!$C$8-1)-$C$9)&gt;36),0,INDEX(Schedules!$C$9:$AL$9,(AA$18-(Assumptions!$C$8-1)-$C$9)))*$C$7)*AA44)</f>
        <v>0</v>
      </c>
      <c r="AB72" s="14" t="n">
        <f aca="false">((IF(OR((AB$18-(Assumptions!$C$8-1)-$C$9)&lt;1,(AB$18-(Assumptions!$C$8-1)-$C$9)&gt;36),0,INDEX(Schedules!$C$9:$AL$9,(AB$18-(Assumptions!$C$8-1)-$C$9)))*$C$7)*AB44)</f>
        <v>0</v>
      </c>
      <c r="AC72" s="14" t="n">
        <f aca="false">((IF(OR((AC$18-(Assumptions!$C$8-1)-$C$9)&lt;1,(AC$18-(Assumptions!$C$8-1)-$C$9)&gt;36),0,INDEX(Schedules!$C$9:$AL$9,(AC$18-(Assumptions!$C$8-1)-$C$9)))*$C$7)*AC44)</f>
        <v>0</v>
      </c>
      <c r="AD72" s="14" t="n">
        <f aca="false">((IF(OR((AD$18-(Assumptions!$C$8-1)-$C$9)&lt;1,(AD$18-(Assumptions!$C$8-1)-$C$9)&gt;36),0,INDEX(Schedules!$C$9:$AL$9,(AD$18-(Assumptions!$C$8-1)-$C$9)))*$C$7)*AD44)</f>
        <v>0.6</v>
      </c>
      <c r="AE72" s="14" t="n">
        <f aca="false">((IF(OR((AE$18-(Assumptions!$C$8-1)-$C$9)&lt;1,(AE$18-(Assumptions!$C$8-1)-$C$9)&gt;36),0,INDEX(Schedules!$C$9:$AL$9,(AE$18-(Assumptions!$C$8-1)-$C$9)))*$C$7)*AE44)</f>
        <v>0</v>
      </c>
      <c r="AF72" s="14" t="n">
        <f aca="false">((IF(OR((AF$18-(Assumptions!$C$8-1)-$C$9)&lt;1,(AF$18-(Assumptions!$C$8-1)-$C$9)&gt;36),0,INDEX(Schedules!$C$9:$AL$9,(AF$18-(Assumptions!$C$8-1)-$C$9)))*$C$7)*AF44)</f>
        <v>0</v>
      </c>
      <c r="AG72" s="14" t="n">
        <f aca="false">((IF(OR((AG$18-(Assumptions!$C$8-1)-$C$9)&lt;1,(AG$18-(Assumptions!$C$8-1)-$C$9)&gt;36),0,INDEX(Schedules!$C$9:$AL$9,(AG$18-(Assumptions!$C$8-1)-$C$9)))*$C$7)*AG44)</f>
        <v>0.6</v>
      </c>
      <c r="AH72" s="14" t="n">
        <f aca="false">((IF(OR((AH$18-(Assumptions!$C$8-1)-$C$9)&lt;1,(AH$18-(Assumptions!$C$8-1)-$C$9)&gt;36),0,INDEX(Schedules!$C$9:$AL$9,(AH$18-(Assumptions!$C$8-1)-$C$9)))*$C$7)*AH44)</f>
        <v>0</v>
      </c>
      <c r="AI72" s="14" t="n">
        <f aca="false">((IF(OR((AI$18-(Assumptions!$C$8-1)-$C$9)&lt;1,(AI$18-(Assumptions!$C$8-1)-$C$9)&gt;36),0,INDEX(Schedules!$C$9:$AL$9,(AI$18-(Assumptions!$C$8-1)-$C$9)))*$C$7)*AI44)</f>
        <v>0</v>
      </c>
      <c r="AJ72" s="14" t="n">
        <f aca="false">((IF(OR((AJ$18-(Assumptions!$C$8-1)-$C$9)&lt;1,(AJ$18-(Assumptions!$C$8-1)-$C$9)&gt;36),0,INDEX(Schedules!$C$9:$AL$9,(AJ$18-(Assumptions!$C$8-1)-$C$9)))*$C$7)*AJ44)</f>
        <v>0.6</v>
      </c>
      <c r="AK72" s="14" t="n">
        <f aca="false">((IF(OR((AK$18-(Assumptions!$C$8-1)-$C$9)&lt;1,(AK$18-(Assumptions!$C$8-1)-$C$9)&gt;36),0,INDEX(Schedules!$C$9:$AL$9,(AK$18-(Assumptions!$C$8-1)-$C$9)))*$C$7)*AK44)</f>
        <v>0</v>
      </c>
      <c r="AL72" s="14" t="n">
        <f aca="false">((IF(OR((AL$18-(Assumptions!$C$8-1)-$C$9)&lt;1,(AL$18-(Assumptions!$C$8-1)-$C$9)&gt;36),0,INDEX(Schedules!$C$9:$AL$9,(AL$18-(Assumptions!$C$8-1)-$C$9)))*$C$7)*AL44)</f>
        <v>0</v>
      </c>
      <c r="AN72" s="36" t="n">
        <f aca="false">SUM(C72:N72)</f>
        <v>0</v>
      </c>
      <c r="AO72" s="36" t="n">
        <f aca="false">SUM(O72:Z72)</f>
        <v>0</v>
      </c>
      <c r="AP72" s="36" t="n">
        <f aca="false">SUM(AA72:AL72)</f>
        <v>1.8</v>
      </c>
    </row>
    <row r="73" customFormat="false" ht="15" hidden="false" customHeight="false" outlineLevel="0" collapsed="false">
      <c r="A73" s="0" t="s">
        <v>879</v>
      </c>
      <c r="B73" s="0" t="s">
        <v>852</v>
      </c>
      <c r="C73" s="14" t="n">
        <f aca="false">(C69+C72)</f>
        <v>0</v>
      </c>
      <c r="D73" s="14" t="n">
        <f aca="false">(D69+D72)</f>
        <v>0</v>
      </c>
      <c r="E73" s="14" t="n">
        <f aca="false">(E69+E72)</f>
        <v>0</v>
      </c>
      <c r="F73" s="14" t="n">
        <f aca="false">(F69+F72)</f>
        <v>0</v>
      </c>
      <c r="G73" s="14" t="n">
        <f aca="false">(G69+G72)</f>
        <v>0</v>
      </c>
      <c r="H73" s="14" t="n">
        <f aca="false">(H69+H72)</f>
        <v>0</v>
      </c>
      <c r="I73" s="14" t="n">
        <f aca="false">(I69+I72)</f>
        <v>0</v>
      </c>
      <c r="J73" s="14" t="n">
        <f aca="false">(J69+J72)</f>
        <v>0</v>
      </c>
      <c r="K73" s="14" t="n">
        <f aca="false">(K69+K72)</f>
        <v>0</v>
      </c>
      <c r="L73" s="14" t="n">
        <f aca="false">(L69+L72)</f>
        <v>0</v>
      </c>
      <c r="M73" s="14" t="n">
        <f aca="false">(M69+M72)</f>
        <v>0</v>
      </c>
      <c r="N73" s="14" t="n">
        <f aca="false">(N69+N72)</f>
        <v>0</v>
      </c>
      <c r="O73" s="14" t="n">
        <f aca="false">(O69+O72)</f>
        <v>0</v>
      </c>
      <c r="P73" s="14" t="n">
        <f aca="false">(P69+P72)</f>
        <v>0</v>
      </c>
      <c r="Q73" s="14" t="n">
        <f aca="false">(Q69+Q72)</f>
        <v>0</v>
      </c>
      <c r="R73" s="14" t="n">
        <f aca="false">(R69+R72)</f>
        <v>0</v>
      </c>
      <c r="S73" s="14" t="n">
        <f aca="false">(S69+S72)</f>
        <v>0</v>
      </c>
      <c r="T73" s="14" t="n">
        <f aca="false">(T69+T72)</f>
        <v>0.6</v>
      </c>
      <c r="U73" s="14" t="n">
        <f aca="false">(U69+U72)</f>
        <v>0</v>
      </c>
      <c r="V73" s="14" t="n">
        <f aca="false">(V69+V72)</f>
        <v>0</v>
      </c>
      <c r="W73" s="14" t="n">
        <f aca="false">(W69+W72)</f>
        <v>0.6</v>
      </c>
      <c r="X73" s="14" t="n">
        <f aca="false">(X69+X72)</f>
        <v>0</v>
      </c>
      <c r="Y73" s="14" t="n">
        <f aca="false">(Y69+Y72)</f>
        <v>0</v>
      </c>
      <c r="Z73" s="14" t="n">
        <f aca="false">(Z69+Z72)</f>
        <v>0.6</v>
      </c>
      <c r="AA73" s="14" t="n">
        <f aca="false">(AA69+AA72)</f>
        <v>0</v>
      </c>
      <c r="AB73" s="14" t="n">
        <f aca="false">(AB69+AB72)</f>
        <v>0</v>
      </c>
      <c r="AC73" s="14" t="n">
        <f aca="false">(AC69+AC72)</f>
        <v>0.6</v>
      </c>
      <c r="AD73" s="14" t="n">
        <f aca="false">(AD69+AD72)</f>
        <v>0.6</v>
      </c>
      <c r="AE73" s="14" t="n">
        <f aca="false">(AE69+AE72)</f>
        <v>0</v>
      </c>
      <c r="AF73" s="14" t="n">
        <f aca="false">(AF69+AF72)</f>
        <v>1.2</v>
      </c>
      <c r="AG73" s="14" t="n">
        <f aca="false">(AG69+AG72)</f>
        <v>0.6</v>
      </c>
      <c r="AH73" s="14" t="n">
        <f aca="false">(AH69+AH72)</f>
        <v>0</v>
      </c>
      <c r="AI73" s="14" t="n">
        <f aca="false">(AI69+AI72)</f>
        <v>1.2</v>
      </c>
      <c r="AJ73" s="14" t="n">
        <f aca="false">(AJ69+AJ72)</f>
        <v>0.6</v>
      </c>
      <c r="AK73" s="14" t="n">
        <f aca="false">(AK69+AK72)</f>
        <v>0</v>
      </c>
      <c r="AL73" s="14" t="n">
        <f aca="false">(AL69+AL72)</f>
        <v>1.2</v>
      </c>
      <c r="AN73" s="36" t="n">
        <f aca="false">SUM(C73:N73)</f>
        <v>0</v>
      </c>
      <c r="AO73" s="36" t="n">
        <f aca="false">SUM(O73:Z73)</f>
        <v>1.8</v>
      </c>
      <c r="AP73" s="36" t="n">
        <f aca="false">SUM(AA73:AL73)</f>
        <v>6</v>
      </c>
    </row>
    <row r="74" customFormat="false" ht="15" hidden="false" customHeight="false" outlineLevel="0" collapsed="false">
      <c r="A74" s="0" t="s">
        <v>880</v>
      </c>
      <c r="B74" s="0" t="s">
        <v>852</v>
      </c>
      <c r="C74" s="14" t="n">
        <f aca="false">C71</f>
        <v>0</v>
      </c>
      <c r="D74" s="14" t="n">
        <f aca="false">SUM(C71:D71)</f>
        <v>0</v>
      </c>
      <c r="E74" s="14" t="n">
        <f aca="false">SUM(C71:E71)</f>
        <v>0</v>
      </c>
      <c r="F74" s="14" t="n">
        <f aca="false">SUM(C71:F71)</f>
        <v>0</v>
      </c>
      <c r="G74" s="14" t="n">
        <f aca="false">SUM(C71:G71)</f>
        <v>0</v>
      </c>
      <c r="H74" s="14" t="n">
        <f aca="false">SUM(C71:H71)</f>
        <v>0</v>
      </c>
      <c r="I74" s="14" t="n">
        <f aca="false">SUM(D71:I71)</f>
        <v>0</v>
      </c>
      <c r="J74" s="14" t="n">
        <f aca="false">SUM(E71:J71)</f>
        <v>1</v>
      </c>
      <c r="K74" s="14" t="n">
        <f aca="false">SUM(F71:K71)</f>
        <v>1</v>
      </c>
      <c r="L74" s="14" t="n">
        <f aca="false">SUM(G71:L71)</f>
        <v>1</v>
      </c>
      <c r="M74" s="14" t="n">
        <f aca="false">SUM(H71:M71)</f>
        <v>1</v>
      </c>
      <c r="N74" s="14" t="n">
        <f aca="false">SUM(I71:N71)</f>
        <v>1</v>
      </c>
      <c r="O74" s="14" t="n">
        <f aca="false">SUM(J71:O71)</f>
        <v>1</v>
      </c>
      <c r="P74" s="14" t="n">
        <f aca="false">SUM(K71:P71)</f>
        <v>0</v>
      </c>
      <c r="Q74" s="14" t="n">
        <f aca="false">SUM(L71:Q71)</f>
        <v>0</v>
      </c>
      <c r="R74" s="14" t="n">
        <f aca="false">SUM(M71:R71)</f>
        <v>0</v>
      </c>
      <c r="S74" s="14" t="n">
        <f aca="false">SUM(N71:S71)</f>
        <v>0</v>
      </c>
      <c r="T74" s="14" t="n">
        <f aca="false">SUM(O71:T71)</f>
        <v>0.6</v>
      </c>
      <c r="U74" s="14" t="n">
        <f aca="false">SUM(P71:U71)</f>
        <v>0.6</v>
      </c>
      <c r="V74" s="14" t="n">
        <f aca="false">SUM(Q71:V71)</f>
        <v>0.6</v>
      </c>
      <c r="W74" s="14" t="n">
        <f aca="false">SUM(R71:W71)</f>
        <v>1.2</v>
      </c>
      <c r="X74" s="14" t="n">
        <f aca="false">SUM(S71:X71)</f>
        <v>1.2</v>
      </c>
      <c r="Y74" s="14" t="n">
        <f aca="false">SUM(T71:Y71)</f>
        <v>1.2</v>
      </c>
      <c r="Z74" s="14" t="n">
        <f aca="false">SUM(U71:Z71)</f>
        <v>1.2</v>
      </c>
      <c r="AA74" s="14" t="n">
        <f aca="false">SUM(V71:AA71)</f>
        <v>1.2</v>
      </c>
      <c r="AB74" s="14" t="n">
        <f aca="false">SUM(W71:AB71)</f>
        <v>1.2</v>
      </c>
      <c r="AC74" s="14" t="n">
        <f aca="false">SUM(X71:AC71)</f>
        <v>1.2</v>
      </c>
      <c r="AD74" s="14" t="n">
        <f aca="false">SUM(Y71:AD71)</f>
        <v>1.2</v>
      </c>
      <c r="AE74" s="14" t="n">
        <f aca="false">SUM(Z71:AE71)</f>
        <v>1.2</v>
      </c>
      <c r="AF74" s="14" t="n">
        <f aca="false">SUM(AA71:AF71)</f>
        <v>1.8</v>
      </c>
      <c r="AG74" s="14" t="n">
        <f aca="false">SUM(AB71:AG71)</f>
        <v>1.8</v>
      </c>
      <c r="AH74" s="14" t="n">
        <f aca="false">SUM(AC71:AH71)</f>
        <v>1.8</v>
      </c>
      <c r="AI74" s="14" t="n">
        <f aca="false">SUM(AD71:AI71)</f>
        <v>2.4</v>
      </c>
      <c r="AJ74" s="14" t="n">
        <f aca="false">SUM(AE71:AJ71)</f>
        <v>2.4</v>
      </c>
      <c r="AK74" s="14" t="n">
        <f aca="false">SUM(AF71:AK71)</f>
        <v>2.4</v>
      </c>
      <c r="AL74" s="14" t="n">
        <f aca="false">SUM(AG71:AL71)</f>
        <v>2.4</v>
      </c>
      <c r="AN74" s="36" t="n">
        <f aca="false">N74</f>
        <v>1</v>
      </c>
      <c r="AO74" s="36" t="n">
        <f aca="false">Z74</f>
        <v>1.2</v>
      </c>
      <c r="AP74" s="36" t="n">
        <f aca="false">AL74</f>
        <v>2.4</v>
      </c>
    </row>
    <row r="75" customFormat="false" ht="15" hidden="false" customHeight="false" outlineLevel="0" collapsed="false">
      <c r="A75" s="0" t="s">
        <v>881</v>
      </c>
      <c r="B75" s="0" t="s">
        <v>852</v>
      </c>
      <c r="C75" s="14" t="n">
        <f aca="false">C69</f>
        <v>0</v>
      </c>
      <c r="D75" s="14" t="n">
        <f aca="false">SUM(C69:D69)</f>
        <v>0</v>
      </c>
      <c r="E75" s="14" t="n">
        <f aca="false">SUM(C69:E69)</f>
        <v>0</v>
      </c>
      <c r="F75" s="14" t="n">
        <f aca="false">SUM(C69:F69)</f>
        <v>0</v>
      </c>
      <c r="G75" s="14" t="n">
        <f aca="false">SUM(C69:G69)</f>
        <v>0</v>
      </c>
      <c r="H75" s="14" t="n">
        <f aca="false">SUM(C69:H69)</f>
        <v>0</v>
      </c>
      <c r="I75" s="14" t="n">
        <f aca="false">SUM(D69:I69)</f>
        <v>0</v>
      </c>
      <c r="J75" s="14" t="n">
        <f aca="false">SUM(E69:J69)</f>
        <v>0</v>
      </c>
      <c r="K75" s="14" t="n">
        <f aca="false">SUM(F69:K69)</f>
        <v>0</v>
      </c>
      <c r="L75" s="14" t="n">
        <f aca="false">SUM(G69:L69)</f>
        <v>0</v>
      </c>
      <c r="M75" s="14" t="n">
        <f aca="false">SUM(H69:M69)</f>
        <v>0</v>
      </c>
      <c r="N75" s="14" t="n">
        <f aca="false">SUM(I69:N69)</f>
        <v>0</v>
      </c>
      <c r="O75" s="14" t="n">
        <f aca="false">SUM(J69:O69)</f>
        <v>0</v>
      </c>
      <c r="P75" s="14" t="n">
        <f aca="false">SUM(K69:P69)</f>
        <v>0</v>
      </c>
      <c r="Q75" s="14" t="n">
        <f aca="false">SUM(L69:Q69)</f>
        <v>0</v>
      </c>
      <c r="R75" s="14" t="n">
        <f aca="false">SUM(M69:R69)</f>
        <v>0</v>
      </c>
      <c r="S75" s="14" t="n">
        <f aca="false">SUM(N69:S69)</f>
        <v>0</v>
      </c>
      <c r="T75" s="14" t="n">
        <f aca="false">SUM(O69:T69)</f>
        <v>0.6</v>
      </c>
      <c r="U75" s="14" t="n">
        <f aca="false">SUM(P69:U69)</f>
        <v>0.6</v>
      </c>
      <c r="V75" s="14" t="n">
        <f aca="false">SUM(Q69:V69)</f>
        <v>0.6</v>
      </c>
      <c r="W75" s="14" t="n">
        <f aca="false">SUM(R69:W69)</f>
        <v>1.2</v>
      </c>
      <c r="X75" s="14" t="n">
        <f aca="false">SUM(S69:X69)</f>
        <v>1.2</v>
      </c>
      <c r="Y75" s="14" t="n">
        <f aca="false">SUM(T69:Y69)</f>
        <v>1.2</v>
      </c>
      <c r="Z75" s="14" t="n">
        <f aca="false">SUM(U69:Z69)</f>
        <v>1.2</v>
      </c>
      <c r="AA75" s="14" t="n">
        <f aca="false">SUM(V69:AA69)</f>
        <v>1.2</v>
      </c>
      <c r="AB75" s="14" t="n">
        <f aca="false">SUM(W69:AB69)</f>
        <v>1.2</v>
      </c>
      <c r="AC75" s="14" t="n">
        <f aca="false">SUM(X69:AC69)</f>
        <v>1.2</v>
      </c>
      <c r="AD75" s="14" t="n">
        <f aca="false">SUM(Y69:AD69)</f>
        <v>1.2</v>
      </c>
      <c r="AE75" s="14" t="n">
        <f aca="false">SUM(Z69:AE69)</f>
        <v>1.2</v>
      </c>
      <c r="AF75" s="14" t="n">
        <f aca="false">SUM(AA69:AF69)</f>
        <v>1.8</v>
      </c>
      <c r="AG75" s="14" t="n">
        <f aca="false">SUM(AB69:AG69)</f>
        <v>1.8</v>
      </c>
      <c r="AH75" s="14" t="n">
        <f aca="false">SUM(AC69:AH69)</f>
        <v>1.8</v>
      </c>
      <c r="AI75" s="14" t="n">
        <f aca="false">SUM(AD69:AI69)</f>
        <v>2.4</v>
      </c>
      <c r="AJ75" s="14" t="n">
        <f aca="false">SUM(AE69:AJ69)</f>
        <v>2.4</v>
      </c>
      <c r="AK75" s="14" t="n">
        <f aca="false">SUM(AF69:AK69)</f>
        <v>2.4</v>
      </c>
      <c r="AL75" s="14" t="n">
        <f aca="false">SUM(AG69:AL69)</f>
        <v>2.4</v>
      </c>
      <c r="AN75" s="36" t="n">
        <f aca="false">N75</f>
        <v>0</v>
      </c>
      <c r="AO75" s="36" t="n">
        <f aca="false">Z75</f>
        <v>1.2</v>
      </c>
      <c r="AP75" s="36" t="n">
        <f aca="false">AL75</f>
        <v>2.4</v>
      </c>
    </row>
    <row r="76" customFormat="false" ht="15" hidden="false" customHeight="false" outlineLevel="0" collapsed="false">
      <c r="A76" s="0" t="s">
        <v>882</v>
      </c>
      <c r="B76" s="0" t="s">
        <v>852</v>
      </c>
      <c r="C76" s="14" t="n">
        <f aca="false">((Assumptions!$D$127*$C$8)*0)</f>
        <v>0</v>
      </c>
      <c r="D76" s="14" t="n">
        <f aca="false">((Assumptions!$D$127*$C$8)*0)</f>
        <v>0</v>
      </c>
      <c r="E76" s="14" t="n">
        <f aca="false">((Assumptions!$D$127*$C$8)*0)</f>
        <v>0</v>
      </c>
      <c r="F76" s="14" t="n">
        <f aca="false">((Assumptions!$D$127*$C$8)*0)</f>
        <v>0</v>
      </c>
      <c r="G76" s="14" t="n">
        <f aca="false">((Assumptions!$D$127*$C$8)*0)</f>
        <v>0</v>
      </c>
      <c r="H76" s="14" t="n">
        <f aca="false">((Assumptions!$D$127*$C$8)*0)</f>
        <v>0</v>
      </c>
      <c r="I76" s="14" t="n">
        <f aca="false">((Assumptions!$D$127*$C$8)*0)</f>
        <v>0</v>
      </c>
      <c r="J76" s="14" t="n">
        <f aca="false">((Assumptions!$D$127*$C$8)*C69)</f>
        <v>0</v>
      </c>
      <c r="K76" s="14" t="n">
        <f aca="false">((Assumptions!$D$127*$C$8)*D69)</f>
        <v>0</v>
      </c>
      <c r="L76" s="14" t="n">
        <f aca="false">((Assumptions!$D$127*$C$8)*E69)</f>
        <v>0</v>
      </c>
      <c r="M76" s="14" t="n">
        <f aca="false">((Assumptions!$D$127*$C$8)*F69)</f>
        <v>0</v>
      </c>
      <c r="N76" s="14" t="n">
        <f aca="false">((Assumptions!$D$127*$C$8)*G69)</f>
        <v>0</v>
      </c>
      <c r="O76" s="14" t="n">
        <f aca="false">((Assumptions!$D$127*$C$8)*H69)</f>
        <v>0</v>
      </c>
      <c r="P76" s="14" t="n">
        <f aca="false">((Assumptions!$D$127*$C$8)*I69)</f>
        <v>0</v>
      </c>
      <c r="Q76" s="14" t="n">
        <f aca="false">((Assumptions!$D$127*$C$8)*J69)</f>
        <v>0</v>
      </c>
      <c r="R76" s="14" t="n">
        <f aca="false">((Assumptions!$D$127*$C$8)*K69)</f>
        <v>0</v>
      </c>
      <c r="S76" s="14" t="n">
        <f aca="false">((Assumptions!$D$127*$C$8)*L69)</f>
        <v>0</v>
      </c>
      <c r="T76" s="14" t="n">
        <f aca="false">((Assumptions!$D$127*$C$8)*M69)</f>
        <v>0</v>
      </c>
      <c r="U76" s="14" t="n">
        <f aca="false">((Assumptions!$D$127*$C$8)*N69)</f>
        <v>0</v>
      </c>
      <c r="V76" s="14" t="n">
        <f aca="false">((Assumptions!$D$127*$C$8)*O69)</f>
        <v>0</v>
      </c>
      <c r="W76" s="14" t="n">
        <f aca="false">((Assumptions!$D$127*$C$8)*P69)</f>
        <v>0</v>
      </c>
      <c r="X76" s="14" t="n">
        <f aca="false">((Assumptions!$D$127*$C$8)*Q69)</f>
        <v>0</v>
      </c>
      <c r="Y76" s="14" t="n">
        <f aca="false">((Assumptions!$D$127*$C$8)*R69)</f>
        <v>0</v>
      </c>
      <c r="Z76" s="14" t="n">
        <f aca="false">((Assumptions!$D$127*$C$8)*S69)</f>
        <v>0</v>
      </c>
      <c r="AA76" s="14" t="n">
        <f aca="false">((Assumptions!$D$127*$C$8)*T69)</f>
        <v>0.216</v>
      </c>
      <c r="AB76" s="14" t="n">
        <f aca="false">((Assumptions!$D$127*$C$8)*U69)</f>
        <v>0</v>
      </c>
      <c r="AC76" s="14" t="n">
        <f aca="false">((Assumptions!$D$127*$C$8)*V69)</f>
        <v>0</v>
      </c>
      <c r="AD76" s="14" t="n">
        <f aca="false">((Assumptions!$D$127*$C$8)*W69)</f>
        <v>0.216</v>
      </c>
      <c r="AE76" s="14" t="n">
        <f aca="false">((Assumptions!$D$127*$C$8)*X69)</f>
        <v>0</v>
      </c>
      <c r="AF76" s="14" t="n">
        <f aca="false">((Assumptions!$D$127*$C$8)*Y69)</f>
        <v>0</v>
      </c>
      <c r="AG76" s="14" t="n">
        <f aca="false">((Assumptions!$D$127*$C$8)*Z69)</f>
        <v>0.216</v>
      </c>
      <c r="AH76" s="14" t="n">
        <f aca="false">((Assumptions!$D$127*$C$8)*AA69)</f>
        <v>0</v>
      </c>
      <c r="AI76" s="14" t="n">
        <f aca="false">((Assumptions!$D$127*$C$8)*AB69)</f>
        <v>0</v>
      </c>
      <c r="AJ76" s="14" t="n">
        <f aca="false">((Assumptions!$D$127*$C$8)*AC69)</f>
        <v>0.216</v>
      </c>
      <c r="AK76" s="14" t="n">
        <f aca="false">((Assumptions!$D$127*$C$8)*AD69)</f>
        <v>0</v>
      </c>
      <c r="AL76" s="14" t="n">
        <f aca="false">((Assumptions!$D$127*$C$8)*AE69)</f>
        <v>0</v>
      </c>
      <c r="AN76" s="36" t="n">
        <f aca="false">SUM(C76:N76)</f>
        <v>0</v>
      </c>
      <c r="AO76" s="36" t="n">
        <f aca="false">SUM(O76:Z76)</f>
        <v>0</v>
      </c>
      <c r="AP76" s="36" t="n">
        <f aca="false">SUM(AA76:AL76)</f>
        <v>0.864</v>
      </c>
    </row>
    <row r="77" customFormat="false" ht="15" hidden="false" customHeight="false" outlineLevel="0" collapsed="false">
      <c r="A77" s="0" t="s">
        <v>883</v>
      </c>
      <c r="B77" s="0" t="s">
        <v>852</v>
      </c>
      <c r="C77" s="14" t="n">
        <f aca="false">((Assumptions!$C$10*$C$8)*IF((C$18=(Assumptions!$C$7+$C$9)),0,IF((C$18&gt;(Assumptions!$C$7+$C$9)),0,0)))</f>
        <v>0</v>
      </c>
      <c r="D77" s="14" t="n">
        <f aca="false">((Assumptions!$C$10*$C$8)*IF((D$18=(Assumptions!$C$7+$C$9)),0,IF((D$18&gt;(Assumptions!$C$7+$C$9)),0,0)))</f>
        <v>0</v>
      </c>
      <c r="E77" s="14" t="n">
        <f aca="false">((Assumptions!$C$10*$C$8)*IF((E$18=(Assumptions!$C$7+$C$9)),0,IF((E$18&gt;(Assumptions!$C$7+$C$9)),0,0)))</f>
        <v>0</v>
      </c>
      <c r="F77" s="14" t="n">
        <f aca="false">((Assumptions!$C$10*$C$8)*IF((F$18=(Assumptions!$C$7+$C$9)),0,IF((F$18&gt;(Assumptions!$C$7+$C$9)),0,0)))</f>
        <v>0</v>
      </c>
      <c r="G77" s="14" t="n">
        <f aca="false">((Assumptions!$C$10*$C$8)*IF((G$18=(Assumptions!$C$7+$C$9)),0,IF((G$18&gt;(Assumptions!$C$7+$C$9)),0,0)))</f>
        <v>0</v>
      </c>
      <c r="H77" s="14" t="n">
        <f aca="false">((Assumptions!$C$10*$C$8)*IF((H$18=(Assumptions!$C$7+$C$9)),0,IF((H$18&gt;(Assumptions!$C$7+$C$9)),0,0)))</f>
        <v>0</v>
      </c>
      <c r="I77" s="14" t="n">
        <f aca="false">((Assumptions!$C$10*$C$8)*IF((I$18=(Assumptions!$C$7+$C$9)),0,IF((I$18&gt;(Assumptions!$C$7+$C$9)),0,0)))</f>
        <v>0</v>
      </c>
      <c r="J77" s="14" t="n">
        <f aca="false">((Assumptions!$C$10*$C$8)*IF((J$18=(Assumptions!$C$7+$C$9)),C70,IF((J$18&gt;(Assumptions!$C$7+$C$9)),C70,0)))</f>
        <v>0</v>
      </c>
      <c r="K77" s="14" t="n">
        <f aca="false">((Assumptions!$C$10*$C$8)*IF((K$18=(Assumptions!$C$7+$C$9)),SUM(C70:D70),IF((K$18&gt;(Assumptions!$C$7+$C$9)),D70,0)))</f>
        <v>0</v>
      </c>
      <c r="L77" s="14" t="n">
        <f aca="false">((Assumptions!$C$10*$C$8)*IF((L$18=(Assumptions!$C$7+$C$9)),SUM(C70:E70),IF((L$18&gt;(Assumptions!$C$7+$C$9)),E70,0)))</f>
        <v>0</v>
      </c>
      <c r="M77" s="14" t="n">
        <f aca="false">((Assumptions!$C$10*$C$8)*IF((M$18=(Assumptions!$C$7+$C$9)),SUM(C70:F70),IF((M$18&gt;(Assumptions!$C$7+$C$9)),F70,0)))</f>
        <v>0</v>
      </c>
      <c r="N77" s="14" t="n">
        <f aca="false">((Assumptions!$C$10*$C$8)*IF((N$18=(Assumptions!$C$7+$C$9)),SUM(C70:G70),IF((N$18&gt;(Assumptions!$C$7+$C$9)),G70,0)))</f>
        <v>0</v>
      </c>
      <c r="O77" s="14" t="n">
        <f aca="false">((Assumptions!$C$10*$C$8)*IF((O$18=(Assumptions!$C$7+$C$9)),SUM(C70:H70),IF((O$18&gt;(Assumptions!$C$7+$C$9)),H70,0)))</f>
        <v>0</v>
      </c>
      <c r="P77" s="14" t="n">
        <f aca="false">((Assumptions!$C$10*$C$8)*IF((P$18=(Assumptions!$C$7+$C$9)),SUM(C70:I70),IF((P$18&gt;(Assumptions!$C$7+$C$9)),I70,0)))</f>
        <v>0</v>
      </c>
      <c r="Q77" s="14" t="n">
        <f aca="false">((Assumptions!$C$10*$C$8)*IF((Q$18=(Assumptions!$C$7+$C$9)),SUM(C70:J70),IF((Q$18&gt;(Assumptions!$C$7+$C$9)),J70,0)))</f>
        <v>0.48</v>
      </c>
      <c r="R77" s="14" t="n">
        <f aca="false">((Assumptions!$C$10*$C$8)*IF((R$18=(Assumptions!$C$7+$C$9)),SUM(C70:K70),IF((R$18&gt;(Assumptions!$C$7+$C$9)),K70,0)))</f>
        <v>0</v>
      </c>
      <c r="S77" s="14" t="n">
        <f aca="false">((Assumptions!$C$10*$C$8)*IF((S$18=(Assumptions!$C$7+$C$9)),SUM(C70:L70),IF((S$18&gt;(Assumptions!$C$7+$C$9)),L70,0)))</f>
        <v>0</v>
      </c>
      <c r="T77" s="14" t="n">
        <f aca="false">((Assumptions!$C$10*$C$8)*IF((T$18=(Assumptions!$C$7+$C$9)),SUM(C70:M70),IF((T$18&gt;(Assumptions!$C$7+$C$9)),M70,0)))</f>
        <v>0</v>
      </c>
      <c r="U77" s="14" t="n">
        <f aca="false">((Assumptions!$C$10*$C$8)*IF((U$18=(Assumptions!$C$7+$C$9)),SUM(C70:N70),IF((U$18&gt;(Assumptions!$C$7+$C$9)),N70,0)))</f>
        <v>0</v>
      </c>
      <c r="V77" s="14" t="n">
        <f aca="false">((Assumptions!$C$10*$C$8)*IF((V$18=(Assumptions!$C$7+$C$9)),SUM(C70:O70),IF((V$18&gt;(Assumptions!$C$7+$C$9)),O70,0)))</f>
        <v>0</v>
      </c>
      <c r="W77" s="14" t="n">
        <f aca="false">((Assumptions!$C$10*$C$8)*IF((W$18=(Assumptions!$C$7+$C$9)),SUM(C70:P70),IF((W$18&gt;(Assumptions!$C$7+$C$9)),P70,0)))</f>
        <v>0</v>
      </c>
      <c r="X77" s="14" t="n">
        <f aca="false">((Assumptions!$C$10*$C$8)*IF((X$18=(Assumptions!$C$7+$C$9)),SUM(C70:Q70),IF((X$18&gt;(Assumptions!$C$7+$C$9)),Q70,0)))</f>
        <v>0</v>
      </c>
      <c r="Y77" s="14" t="n">
        <f aca="false">((Assumptions!$C$10*$C$8)*IF((Y$18=(Assumptions!$C$7+$C$9)),SUM(C70:R70),IF((Y$18&gt;(Assumptions!$C$7+$C$9)),R70,0)))</f>
        <v>0</v>
      </c>
      <c r="Z77" s="14" t="n">
        <f aca="false">((Assumptions!$C$10*$C$8)*IF((Z$18=(Assumptions!$C$7+$C$9)),SUM(C70:S70),IF((Z$18&gt;(Assumptions!$C$7+$C$9)),S70,0)))</f>
        <v>0</v>
      </c>
      <c r="AA77" s="14" t="n">
        <f aca="false">((Assumptions!$C$10*$C$8)*IF((AA$18=(Assumptions!$C$7+$C$9)),SUM(C70:T70),IF((AA$18&gt;(Assumptions!$C$7+$C$9)),T70,0)))</f>
        <v>0</v>
      </c>
      <c r="AB77" s="14" t="n">
        <f aca="false">((Assumptions!$C$10*$C$8)*IF((AB$18=(Assumptions!$C$7+$C$9)),SUM(C70:U70),IF((AB$18&gt;(Assumptions!$C$7+$C$9)),U70,0)))</f>
        <v>0</v>
      </c>
      <c r="AC77" s="14" t="n">
        <f aca="false">((Assumptions!$C$10*$C$8)*IF((AC$18=(Assumptions!$C$7+$C$9)),SUM(C70:V70),IF((AC$18&gt;(Assumptions!$C$7+$C$9)),V70,0)))</f>
        <v>0</v>
      </c>
      <c r="AD77" s="14" t="n">
        <f aca="false">((Assumptions!$C$10*$C$8)*IF((AD$18=(Assumptions!$C$7+$C$9)),SUM(C70:W70),IF((AD$18&gt;(Assumptions!$C$7+$C$9)),W70,0)))</f>
        <v>0</v>
      </c>
      <c r="AE77" s="14" t="n">
        <f aca="false">((Assumptions!$C$10*$C$8)*IF((AE$18=(Assumptions!$C$7+$C$9)),SUM(C70:X70),IF((AE$18&gt;(Assumptions!$C$7+$C$9)),X70,0)))</f>
        <v>0</v>
      </c>
      <c r="AF77" s="14" t="n">
        <f aca="false">((Assumptions!$C$10*$C$8)*IF((AF$18=(Assumptions!$C$7+$C$9)),SUM(C70:Y70),IF((AF$18&gt;(Assumptions!$C$7+$C$9)),Y70,0)))</f>
        <v>0</v>
      </c>
      <c r="AG77" s="14" t="n">
        <f aca="false">((Assumptions!$C$10*$C$8)*IF((AG$18=(Assumptions!$C$7+$C$9)),SUM(C70:Z70),IF((AG$18&gt;(Assumptions!$C$7+$C$9)),Z70,0)))</f>
        <v>0</v>
      </c>
      <c r="AH77" s="14" t="n">
        <f aca="false">((Assumptions!$C$10*$C$8)*IF((AH$18=(Assumptions!$C$7+$C$9)),SUM(C70:AA70),IF((AH$18&gt;(Assumptions!$C$7+$C$9)),AA70,0)))</f>
        <v>0</v>
      </c>
      <c r="AI77" s="14" t="n">
        <f aca="false">((Assumptions!$C$10*$C$8)*IF((AI$18=(Assumptions!$C$7+$C$9)),SUM(C70:AB70),IF((AI$18&gt;(Assumptions!$C$7+$C$9)),AB70,0)))</f>
        <v>0</v>
      </c>
      <c r="AJ77" s="14" t="n">
        <f aca="false">((Assumptions!$C$10*$C$8)*IF((AJ$18=(Assumptions!$C$7+$C$9)),SUM(C70:AC70),IF((AJ$18&gt;(Assumptions!$C$7+$C$9)),AC70,0)))</f>
        <v>0</v>
      </c>
      <c r="AK77" s="14" t="n">
        <f aca="false">((Assumptions!$C$10*$C$8)*IF((AK$18=(Assumptions!$C$7+$C$9)),SUM(C70:AD70),IF((AK$18&gt;(Assumptions!$C$7+$C$9)),AD70,0)))</f>
        <v>0</v>
      </c>
      <c r="AL77" s="14" t="n">
        <f aca="false">((Assumptions!$C$10*$C$8)*IF((AL$18=(Assumptions!$C$7+$C$9)),SUM(C70:AE70),IF((AL$18&gt;(Assumptions!$C$7+$C$9)),AE70,0)))</f>
        <v>0</v>
      </c>
      <c r="AN77" s="36" t="n">
        <f aca="false">SUM(C77:N77)</f>
        <v>0</v>
      </c>
      <c r="AO77" s="36" t="n">
        <f aca="false">SUM(O77:Z77)</f>
        <v>0.48</v>
      </c>
      <c r="AP77" s="36" t="n">
        <f aca="false">SUM(AA77:AL77)</f>
        <v>0</v>
      </c>
    </row>
    <row r="78" customFormat="false" ht="15" hidden="false" customHeight="false" outlineLevel="0" collapsed="false">
      <c r="A78" s="0" t="s">
        <v>884</v>
      </c>
      <c r="B78" s="0" t="s">
        <v>852</v>
      </c>
      <c r="C78" s="14" t="n">
        <f aca="false">((C76+C77)+C72)</f>
        <v>0</v>
      </c>
      <c r="D78" s="14" t="n">
        <f aca="false">((D76+D77)+D72)</f>
        <v>0</v>
      </c>
      <c r="E78" s="14" t="n">
        <f aca="false">((E76+E77)+E72)</f>
        <v>0</v>
      </c>
      <c r="F78" s="14" t="n">
        <f aca="false">((F76+F77)+F72)</f>
        <v>0</v>
      </c>
      <c r="G78" s="14" t="n">
        <f aca="false">((G76+G77)+G72)</f>
        <v>0</v>
      </c>
      <c r="H78" s="14" t="n">
        <f aca="false">((H76+H77)+H72)</f>
        <v>0</v>
      </c>
      <c r="I78" s="14" t="n">
        <f aca="false">((I76+I77)+I72)</f>
        <v>0</v>
      </c>
      <c r="J78" s="14" t="n">
        <f aca="false">((J76+J77)+J72)</f>
        <v>0</v>
      </c>
      <c r="K78" s="14" t="n">
        <f aca="false">((K76+K77)+K72)</f>
        <v>0</v>
      </c>
      <c r="L78" s="14" t="n">
        <f aca="false">((L76+L77)+L72)</f>
        <v>0</v>
      </c>
      <c r="M78" s="14" t="n">
        <f aca="false">((M76+M77)+M72)</f>
        <v>0</v>
      </c>
      <c r="N78" s="14" t="n">
        <f aca="false">((N76+N77)+N72)</f>
        <v>0</v>
      </c>
      <c r="O78" s="14" t="n">
        <f aca="false">((O76+O77)+O72)</f>
        <v>0</v>
      </c>
      <c r="P78" s="14" t="n">
        <f aca="false">((P76+P77)+P72)</f>
        <v>0</v>
      </c>
      <c r="Q78" s="14" t="n">
        <f aca="false">((Q76+Q77)+Q72)</f>
        <v>0.48</v>
      </c>
      <c r="R78" s="14" t="n">
        <f aca="false">((R76+R77)+R72)</f>
        <v>0</v>
      </c>
      <c r="S78" s="14" t="n">
        <f aca="false">((S76+S77)+S72)</f>
        <v>0</v>
      </c>
      <c r="T78" s="14" t="n">
        <f aca="false">((T76+T77)+T72)</f>
        <v>0</v>
      </c>
      <c r="U78" s="14" t="n">
        <f aca="false">((U76+U77)+U72)</f>
        <v>0</v>
      </c>
      <c r="V78" s="14" t="n">
        <f aca="false">((V76+V77)+V72)</f>
        <v>0</v>
      </c>
      <c r="W78" s="14" t="n">
        <f aca="false">((W76+W77)+W72)</f>
        <v>0</v>
      </c>
      <c r="X78" s="14" t="n">
        <f aca="false">((X76+X77)+X72)</f>
        <v>0</v>
      </c>
      <c r="Y78" s="14" t="n">
        <f aca="false">((Y76+Y77)+Y72)</f>
        <v>0</v>
      </c>
      <c r="Z78" s="14" t="n">
        <f aca="false">((Z76+Z77)+Z72)</f>
        <v>0</v>
      </c>
      <c r="AA78" s="14" t="n">
        <f aca="false">((AA76+AA77)+AA72)</f>
        <v>0.216</v>
      </c>
      <c r="AB78" s="14" t="n">
        <f aca="false">((AB76+AB77)+AB72)</f>
        <v>0</v>
      </c>
      <c r="AC78" s="14" t="n">
        <f aca="false">((AC76+AC77)+AC72)</f>
        <v>0</v>
      </c>
      <c r="AD78" s="14" t="n">
        <f aca="false">((AD76+AD77)+AD72)</f>
        <v>0.816</v>
      </c>
      <c r="AE78" s="14" t="n">
        <f aca="false">((AE76+AE77)+AE72)</f>
        <v>0</v>
      </c>
      <c r="AF78" s="14" t="n">
        <f aca="false">((AF76+AF77)+AF72)</f>
        <v>0</v>
      </c>
      <c r="AG78" s="14" t="n">
        <f aca="false">((AG76+AG77)+AG72)</f>
        <v>0.816</v>
      </c>
      <c r="AH78" s="14" t="n">
        <f aca="false">((AH76+AH77)+AH72)</f>
        <v>0</v>
      </c>
      <c r="AI78" s="14" t="n">
        <f aca="false">((AI76+AI77)+AI72)</f>
        <v>0</v>
      </c>
      <c r="AJ78" s="14" t="n">
        <f aca="false">((AJ76+AJ77)+AJ72)</f>
        <v>0.816</v>
      </c>
      <c r="AK78" s="14" t="n">
        <f aca="false">((AK76+AK77)+AK72)</f>
        <v>0</v>
      </c>
      <c r="AL78" s="14" t="n">
        <f aca="false">((AL76+AL77)+AL72)</f>
        <v>0</v>
      </c>
      <c r="AN78" s="36" t="n">
        <f aca="false">SUM(C78:N78)</f>
        <v>0</v>
      </c>
      <c r="AO78" s="36" t="n">
        <f aca="false">SUM(O78:Z78)</f>
        <v>0.48</v>
      </c>
      <c r="AP78" s="36" t="n">
        <f aca="false">SUM(AA78:AL78)</f>
        <v>2.664</v>
      </c>
    </row>
    <row r="79" customFormat="false" ht="15" hidden="false" customHeight="false" outlineLevel="0" collapsed="false">
      <c r="A79" s="0" t="s">
        <v>885</v>
      </c>
      <c r="B79" s="0" t="s">
        <v>852</v>
      </c>
      <c r="C79" s="14" t="n">
        <f aca="false">(C78+(C45*0))</f>
        <v>0</v>
      </c>
      <c r="D79" s="14" t="n">
        <f aca="false">(D78+(D45*0))</f>
        <v>0</v>
      </c>
      <c r="E79" s="14" t="n">
        <f aca="false">(E78+(E45*0))</f>
        <v>0</v>
      </c>
      <c r="F79" s="14" t="n">
        <f aca="false">(F78+(F45*0))</f>
        <v>0</v>
      </c>
      <c r="G79" s="14" t="n">
        <f aca="false">(G78+(G45*0))</f>
        <v>0</v>
      </c>
      <c r="H79" s="14" t="n">
        <f aca="false">(H78+(H45*0))</f>
        <v>0</v>
      </c>
      <c r="I79" s="14" t="n">
        <f aca="false">(I78+(I45*0))</f>
        <v>0</v>
      </c>
      <c r="J79" s="14" t="n">
        <f aca="false">(J78+(J45*0))</f>
        <v>0</v>
      </c>
      <c r="K79" s="14" t="n">
        <f aca="false">(K78+(K45*0))</f>
        <v>0</v>
      </c>
      <c r="L79" s="14" t="n">
        <f aca="false">(L78+(L45*0))</f>
        <v>0</v>
      </c>
      <c r="M79" s="14" t="n">
        <f aca="false">(M78+(M45*0))</f>
        <v>0</v>
      </c>
      <c r="N79" s="14" t="n">
        <f aca="false">(N78+(N45*0))</f>
        <v>0</v>
      </c>
      <c r="O79" s="14" t="n">
        <f aca="false">(O78+(O45*C79))</f>
        <v>0</v>
      </c>
      <c r="P79" s="14" t="n">
        <f aca="false">(P78+(P45*D79))</f>
        <v>0</v>
      </c>
      <c r="Q79" s="14" t="n">
        <f aca="false">(Q78+(Q45*E79))</f>
        <v>0.48</v>
      </c>
      <c r="R79" s="14" t="n">
        <f aca="false">(R78+(R45*F79))</f>
        <v>0</v>
      </c>
      <c r="S79" s="14" t="n">
        <f aca="false">(S78+(S45*G79))</f>
        <v>0</v>
      </c>
      <c r="T79" s="14" t="n">
        <f aca="false">(T78+(T45*H79))</f>
        <v>0</v>
      </c>
      <c r="U79" s="14" t="n">
        <f aca="false">(U78+(U45*I79))</f>
        <v>0</v>
      </c>
      <c r="V79" s="14" t="n">
        <f aca="false">(V78+(V45*J79))</f>
        <v>0</v>
      </c>
      <c r="W79" s="14" t="n">
        <f aca="false">(W78+(W45*K79))</f>
        <v>0</v>
      </c>
      <c r="X79" s="14" t="n">
        <f aca="false">(X78+(X45*L79))</f>
        <v>0</v>
      </c>
      <c r="Y79" s="14" t="n">
        <f aca="false">(Y78+(Y45*M79))</f>
        <v>0</v>
      </c>
      <c r="Z79" s="14" t="n">
        <f aca="false">(Z78+(Z45*N79))</f>
        <v>0</v>
      </c>
      <c r="AA79" s="14" t="n">
        <f aca="false">(AA78+(AA45*O79))</f>
        <v>0.216</v>
      </c>
      <c r="AB79" s="14" t="n">
        <f aca="false">(AB78+(AB45*P79))</f>
        <v>0</v>
      </c>
      <c r="AC79" s="14" t="n">
        <f aca="false">(AC78+(AC45*Q79))</f>
        <v>0.408</v>
      </c>
      <c r="AD79" s="14" t="n">
        <f aca="false">(AD78+(AD45*R79))</f>
        <v>0.816</v>
      </c>
      <c r="AE79" s="14" t="n">
        <f aca="false">(AE78+(AE45*S79))</f>
        <v>0</v>
      </c>
      <c r="AF79" s="14" t="n">
        <f aca="false">(AF78+(AF45*T79))</f>
        <v>0</v>
      </c>
      <c r="AG79" s="14" t="n">
        <f aca="false">(AG78+(AG45*U79))</f>
        <v>0.816</v>
      </c>
      <c r="AH79" s="14" t="n">
        <f aca="false">(AH78+(AH45*V79))</f>
        <v>0</v>
      </c>
      <c r="AI79" s="14" t="n">
        <f aca="false">(AI78+(AI45*W79))</f>
        <v>0</v>
      </c>
      <c r="AJ79" s="14" t="n">
        <f aca="false">(AJ78+(AJ45*X79))</f>
        <v>0.816</v>
      </c>
      <c r="AK79" s="14" t="n">
        <f aca="false">(AK78+(AK45*Y79))</f>
        <v>0</v>
      </c>
      <c r="AL79" s="14" t="n">
        <f aca="false">(AL78+(AL45*Z79))</f>
        <v>0</v>
      </c>
      <c r="AN79" s="36" t="n">
        <f aca="false">SUM(C79:N79)</f>
        <v>0</v>
      </c>
      <c r="AO79" s="36" t="n">
        <f aca="false">SUM(O79:Z79)</f>
        <v>0.48</v>
      </c>
      <c r="AP79" s="36" t="n">
        <f aca="false">SUM(AA79:AL79)</f>
        <v>3.072</v>
      </c>
    </row>
    <row r="80" customFormat="false" ht="15" hidden="false" customHeight="false" outlineLevel="0" collapsed="false">
      <c r="A80" s="0" t="s">
        <v>886</v>
      </c>
      <c r="B80" s="0" t="s">
        <v>852</v>
      </c>
      <c r="C80" s="14" t="n">
        <f aca="false">C79</f>
        <v>0</v>
      </c>
      <c r="D80" s="14" t="n">
        <f aca="false">SUM(C79:D79)</f>
        <v>0</v>
      </c>
      <c r="E80" s="14" t="n">
        <f aca="false">SUM(C79:E79)</f>
        <v>0</v>
      </c>
      <c r="F80" s="14" t="n">
        <f aca="false">SUM(C79:F79)</f>
        <v>0</v>
      </c>
      <c r="G80" s="14" t="n">
        <f aca="false">SUM(C79:G79)</f>
        <v>0</v>
      </c>
      <c r="H80" s="14" t="n">
        <f aca="false">SUM(C79:H79)</f>
        <v>0</v>
      </c>
      <c r="I80" s="14" t="n">
        <f aca="false">SUM(C79:I79)</f>
        <v>0</v>
      </c>
      <c r="J80" s="14" t="n">
        <f aca="false">SUM(C79:J79)</f>
        <v>0</v>
      </c>
      <c r="K80" s="14" t="n">
        <f aca="false">SUM(C79:K79)</f>
        <v>0</v>
      </c>
      <c r="L80" s="14" t="n">
        <f aca="false">SUM(C79:L79)</f>
        <v>0</v>
      </c>
      <c r="M80" s="14" t="n">
        <f aca="false">SUM(C79:M79)</f>
        <v>0</v>
      </c>
      <c r="N80" s="14" t="n">
        <f aca="false">SUM(C79:N79)</f>
        <v>0</v>
      </c>
      <c r="O80" s="14" t="n">
        <f aca="false">SUM(D79:O79)</f>
        <v>0</v>
      </c>
      <c r="P80" s="14" t="n">
        <f aca="false">SUM(E79:P79)</f>
        <v>0</v>
      </c>
      <c r="Q80" s="14" t="n">
        <f aca="false">SUM(F79:Q79)</f>
        <v>0.48</v>
      </c>
      <c r="R80" s="14" t="n">
        <f aca="false">SUM(G79:R79)</f>
        <v>0.48</v>
      </c>
      <c r="S80" s="14" t="n">
        <f aca="false">SUM(H79:S79)</f>
        <v>0.48</v>
      </c>
      <c r="T80" s="14" t="n">
        <f aca="false">SUM(I79:T79)</f>
        <v>0.48</v>
      </c>
      <c r="U80" s="14" t="n">
        <f aca="false">SUM(J79:U79)</f>
        <v>0.48</v>
      </c>
      <c r="V80" s="14" t="n">
        <f aca="false">SUM(K79:V79)</f>
        <v>0.48</v>
      </c>
      <c r="W80" s="14" t="n">
        <f aca="false">SUM(L79:W79)</f>
        <v>0.48</v>
      </c>
      <c r="X80" s="14" t="n">
        <f aca="false">SUM(M79:X79)</f>
        <v>0.48</v>
      </c>
      <c r="Y80" s="14" t="n">
        <f aca="false">SUM(N79:Y79)</f>
        <v>0.48</v>
      </c>
      <c r="Z80" s="14" t="n">
        <f aca="false">SUM(O79:Z79)</f>
        <v>0.48</v>
      </c>
      <c r="AA80" s="14" t="n">
        <f aca="false">SUM(P79:AA79)</f>
        <v>0.696</v>
      </c>
      <c r="AB80" s="14" t="n">
        <f aca="false">SUM(Q79:AB79)</f>
        <v>0.696</v>
      </c>
      <c r="AC80" s="14" t="n">
        <f aca="false">SUM(R79:AC79)</f>
        <v>0.624</v>
      </c>
      <c r="AD80" s="14" t="n">
        <f aca="false">SUM(S79:AD79)</f>
        <v>1.44</v>
      </c>
      <c r="AE80" s="14" t="n">
        <f aca="false">SUM(T79:AE79)</f>
        <v>1.44</v>
      </c>
      <c r="AF80" s="14" t="n">
        <f aca="false">SUM(U79:AF79)</f>
        <v>1.44</v>
      </c>
      <c r="AG80" s="14" t="n">
        <f aca="false">SUM(V79:AG79)</f>
        <v>2.256</v>
      </c>
      <c r="AH80" s="14" t="n">
        <f aca="false">SUM(W79:AH79)</f>
        <v>2.256</v>
      </c>
      <c r="AI80" s="14" t="n">
        <f aca="false">SUM(X79:AI79)</f>
        <v>2.256</v>
      </c>
      <c r="AJ80" s="14" t="n">
        <f aca="false">SUM(Y79:AJ79)</f>
        <v>3.072</v>
      </c>
      <c r="AK80" s="14" t="n">
        <f aca="false">SUM(Z79:AK79)</f>
        <v>3.072</v>
      </c>
      <c r="AL80" s="14" t="n">
        <f aca="false">SUM(AA79:AL79)</f>
        <v>3.072</v>
      </c>
      <c r="AN80" s="36" t="n">
        <f aca="false">N80</f>
        <v>0</v>
      </c>
      <c r="AO80" s="36" t="n">
        <f aca="false">Z80</f>
        <v>0.48</v>
      </c>
      <c r="AP80" s="36" t="n">
        <f aca="false">AL80</f>
        <v>3.072</v>
      </c>
    </row>
    <row r="81" customFormat="false" ht="15" hidden="false" customHeight="false" outlineLevel="0" collapsed="false">
      <c r="A81" s="0" t="s">
        <v>887</v>
      </c>
      <c r="B81" s="0" t="s">
        <v>230</v>
      </c>
      <c r="C81" s="9" t="n">
        <f aca="false">((Assumptions!$D$121*(1-Assumptions!$C$29))*$C$10)</f>
        <v>71060</v>
      </c>
      <c r="D81" s="9" t="n">
        <f aca="false">((Assumptions!$D$121*(1-Assumptions!$C$29))*$C$10)</f>
        <v>71060</v>
      </c>
      <c r="E81" s="9" t="n">
        <f aca="false">((Assumptions!$D$121*(1-Assumptions!$C$29))*$C$10)</f>
        <v>71060</v>
      </c>
      <c r="F81" s="9" t="n">
        <f aca="false">((Assumptions!$D$121*(1-Assumptions!$C$29))*$C$10)</f>
        <v>71060</v>
      </c>
      <c r="G81" s="9" t="n">
        <f aca="false">((Assumptions!$D$121*(1-Assumptions!$C$29))*$C$10)</f>
        <v>71060</v>
      </c>
      <c r="H81" s="9" t="n">
        <f aca="false">((Assumptions!$D$121*(1-Assumptions!$C$29))*$C$10)</f>
        <v>71060</v>
      </c>
      <c r="I81" s="9" t="n">
        <f aca="false">((Assumptions!$D$121*(1-Assumptions!$C$29))*$C$10)</f>
        <v>71060</v>
      </c>
      <c r="J81" s="9" t="n">
        <f aca="false">((Assumptions!$D$121*(1-Assumptions!$C$29))*$C$10)</f>
        <v>71060</v>
      </c>
      <c r="K81" s="9" t="n">
        <f aca="false">((Assumptions!$D$121*(1-Assumptions!$C$29))*$C$10)</f>
        <v>71060</v>
      </c>
      <c r="L81" s="9" t="n">
        <f aca="false">((Assumptions!$D$121*(1-Assumptions!$C$29))*$C$10)</f>
        <v>71060</v>
      </c>
      <c r="M81" s="9" t="n">
        <f aca="false">((Assumptions!$D$121*(1-Assumptions!$C$29))*$C$10)</f>
        <v>71060</v>
      </c>
      <c r="N81" s="9" t="n">
        <f aca="false">((Assumptions!$D$121*(1-Assumptions!$C$29))*$C$10)</f>
        <v>71060</v>
      </c>
      <c r="O81" s="9" t="n">
        <f aca="false">((Assumptions!$D$121*(1-Assumptions!$C$29))*$C$10)</f>
        <v>71060</v>
      </c>
      <c r="P81" s="9" t="n">
        <f aca="false">((Assumptions!$D$121*(1-Assumptions!$C$29))*$C$10)</f>
        <v>71060</v>
      </c>
      <c r="Q81" s="9" t="n">
        <f aca="false">((Assumptions!$D$121*(1-Assumptions!$C$29))*$C$10)</f>
        <v>71060</v>
      </c>
      <c r="R81" s="9" t="n">
        <f aca="false">((Assumptions!$D$121*(1-Assumptions!$C$29))*$C$10)</f>
        <v>71060</v>
      </c>
      <c r="S81" s="9" t="n">
        <f aca="false">((Assumptions!$D$121*(1-Assumptions!$C$29))*$C$10)</f>
        <v>71060</v>
      </c>
      <c r="T81" s="9" t="n">
        <f aca="false">((Assumptions!$D$121*(1-Assumptions!$C$29))*$C$10)</f>
        <v>71060</v>
      </c>
      <c r="U81" s="9" t="n">
        <f aca="false">((Assumptions!$D$121*(1-Assumptions!$C$29))*$C$10)</f>
        <v>71060</v>
      </c>
      <c r="V81" s="9" t="n">
        <f aca="false">((Assumptions!$D$121*(1-Assumptions!$C$29))*$C$10)</f>
        <v>71060</v>
      </c>
      <c r="W81" s="9" t="n">
        <f aca="false">((Assumptions!$D$121*(1-Assumptions!$C$29))*$C$10)</f>
        <v>71060</v>
      </c>
      <c r="X81" s="9" t="n">
        <f aca="false">((Assumptions!$D$121*(1-Assumptions!$C$29))*$C$10)</f>
        <v>71060</v>
      </c>
      <c r="Y81" s="9" t="n">
        <f aca="false">((Assumptions!$D$121*(1-Assumptions!$C$29))*$C$10)</f>
        <v>71060</v>
      </c>
      <c r="Z81" s="9" t="n">
        <f aca="false">((Assumptions!$D$121*(1-Assumptions!$C$29))*$C$10)</f>
        <v>71060</v>
      </c>
      <c r="AA81" s="9" t="n">
        <f aca="false">((Assumptions!$D$121*(1-Assumptions!$C$29))*$C$10)</f>
        <v>71060</v>
      </c>
      <c r="AB81" s="9" t="n">
        <f aca="false">((Assumptions!$D$121*(1-Assumptions!$C$29))*$C$10)</f>
        <v>71060</v>
      </c>
      <c r="AC81" s="9" t="n">
        <f aca="false">((Assumptions!$D$121*(1-Assumptions!$C$29))*$C$10)</f>
        <v>71060</v>
      </c>
      <c r="AD81" s="9" t="n">
        <f aca="false">((Assumptions!$D$121*(1-Assumptions!$C$29))*$C$10)</f>
        <v>71060</v>
      </c>
      <c r="AE81" s="9" t="n">
        <f aca="false">((Assumptions!$D$121*(1-Assumptions!$C$29))*$C$10)</f>
        <v>71060</v>
      </c>
      <c r="AF81" s="9" t="n">
        <f aca="false">((Assumptions!$D$121*(1-Assumptions!$C$29))*$C$10)</f>
        <v>71060</v>
      </c>
      <c r="AG81" s="9" t="n">
        <f aca="false">((Assumptions!$D$121*(1-Assumptions!$C$29))*$C$10)</f>
        <v>71060</v>
      </c>
      <c r="AH81" s="9" t="n">
        <f aca="false">((Assumptions!$D$121*(1-Assumptions!$C$29))*$C$10)</f>
        <v>71060</v>
      </c>
      <c r="AI81" s="9" t="n">
        <f aca="false">((Assumptions!$D$121*(1-Assumptions!$C$29))*$C$10)</f>
        <v>71060</v>
      </c>
      <c r="AJ81" s="9" t="n">
        <f aca="false">((Assumptions!$D$121*(1-Assumptions!$C$29))*$C$10)</f>
        <v>71060</v>
      </c>
      <c r="AK81" s="9" t="n">
        <f aca="false">((Assumptions!$D$121*(1-Assumptions!$C$29))*$C$10)</f>
        <v>71060</v>
      </c>
      <c r="AL81" s="9" t="n">
        <f aca="false">((Assumptions!$D$121*(1-Assumptions!$C$29))*$C$10)</f>
        <v>71060</v>
      </c>
    </row>
    <row r="82" customFormat="false" ht="15" hidden="false" customHeight="false" outlineLevel="0" collapsed="false">
      <c r="A82" s="0" t="s">
        <v>888</v>
      </c>
      <c r="B82" s="0" t="s">
        <v>230</v>
      </c>
      <c r="C82" s="9" t="n">
        <f aca="false">((C78*C81)+((C45*(1+Assumptions!$C$31))*0))</f>
        <v>0</v>
      </c>
      <c r="D82" s="9" t="n">
        <f aca="false">((D78*D81)+((D45*(1+Assumptions!$C$31))*0))</f>
        <v>0</v>
      </c>
      <c r="E82" s="9" t="n">
        <f aca="false">((E78*E81)+((E45*(1+Assumptions!$C$31))*0))</f>
        <v>0</v>
      </c>
      <c r="F82" s="9" t="n">
        <f aca="false">((F78*F81)+((F45*(1+Assumptions!$C$31))*0))</f>
        <v>0</v>
      </c>
      <c r="G82" s="9" t="n">
        <f aca="false">((G78*G81)+((G45*(1+Assumptions!$C$31))*0))</f>
        <v>0</v>
      </c>
      <c r="H82" s="9" t="n">
        <f aca="false">((H78*H81)+((H45*(1+Assumptions!$C$31))*0))</f>
        <v>0</v>
      </c>
      <c r="I82" s="9" t="n">
        <f aca="false">((I78*I81)+((I45*(1+Assumptions!$C$31))*0))</f>
        <v>0</v>
      </c>
      <c r="J82" s="9" t="n">
        <f aca="false">((J78*J81)+((J45*(1+Assumptions!$C$31))*0))</f>
        <v>0</v>
      </c>
      <c r="K82" s="9" t="n">
        <f aca="false">((K78*K81)+((K45*(1+Assumptions!$C$31))*0))</f>
        <v>0</v>
      </c>
      <c r="L82" s="9" t="n">
        <f aca="false">((L78*L81)+((L45*(1+Assumptions!$C$31))*0))</f>
        <v>0</v>
      </c>
      <c r="M82" s="9" t="n">
        <f aca="false">((M78*M81)+((M45*(1+Assumptions!$C$31))*0))</f>
        <v>0</v>
      </c>
      <c r="N82" s="9" t="n">
        <f aca="false">((N78*N81)+((N45*(1+Assumptions!$C$31))*0))</f>
        <v>0</v>
      </c>
      <c r="O82" s="9" t="n">
        <f aca="false">((O78*O81)+((O45*(1+Assumptions!$C$31))*C82))</f>
        <v>0</v>
      </c>
      <c r="P82" s="9" t="n">
        <f aca="false">((P78*P81)+((P45*(1+Assumptions!$C$31))*D82))</f>
        <v>0</v>
      </c>
      <c r="Q82" s="9" t="n">
        <f aca="false">((Q78*Q81)+((Q45*(1+Assumptions!$C$31))*E82))</f>
        <v>34108.8</v>
      </c>
      <c r="R82" s="9" t="n">
        <f aca="false">((R78*R81)+((R45*(1+Assumptions!$C$31))*F82))</f>
        <v>0</v>
      </c>
      <c r="S82" s="9" t="n">
        <f aca="false">((S78*S81)+((S45*(1+Assumptions!$C$31))*G82))</f>
        <v>0</v>
      </c>
      <c r="T82" s="9" t="n">
        <f aca="false">((T78*T81)+((T45*(1+Assumptions!$C$31))*H82))</f>
        <v>0</v>
      </c>
      <c r="U82" s="9" t="n">
        <f aca="false">((U78*U81)+((U45*(1+Assumptions!$C$31))*I82))</f>
        <v>0</v>
      </c>
      <c r="V82" s="9" t="n">
        <f aca="false">((V78*V81)+((V45*(1+Assumptions!$C$31))*J82))</f>
        <v>0</v>
      </c>
      <c r="W82" s="9" t="n">
        <f aca="false">((W78*W81)+((W45*(1+Assumptions!$C$31))*K82))</f>
        <v>0</v>
      </c>
      <c r="X82" s="9" t="n">
        <f aca="false">((X78*X81)+((X45*(1+Assumptions!$C$31))*L82))</f>
        <v>0</v>
      </c>
      <c r="Y82" s="9" t="n">
        <f aca="false">((Y78*Y81)+((Y45*(1+Assumptions!$C$31))*M82))</f>
        <v>0</v>
      </c>
      <c r="Z82" s="9" t="n">
        <f aca="false">((Z78*Z81)+((Z45*(1+Assumptions!$C$31))*N82))</f>
        <v>0</v>
      </c>
      <c r="AA82" s="9" t="n">
        <f aca="false">((AA78*AA81)+((AA45*(1+Assumptions!$C$31))*O82))</f>
        <v>15348.96</v>
      </c>
      <c r="AB82" s="9" t="n">
        <f aca="false">((AB78*AB81)+((AB45*(1+Assumptions!$C$31))*P82))</f>
        <v>0</v>
      </c>
      <c r="AC82" s="9" t="n">
        <f aca="false">((AC78*AC81)+((AC45*(1+Assumptions!$C$31))*Q82))</f>
        <v>31891.728</v>
      </c>
      <c r="AD82" s="9" t="n">
        <f aca="false">((AD78*AD81)+((AD45*(1+Assumptions!$C$31))*R82))</f>
        <v>57984.96</v>
      </c>
      <c r="AE82" s="9" t="n">
        <f aca="false">((AE78*AE81)+((AE45*(1+Assumptions!$C$31))*S82))</f>
        <v>0</v>
      </c>
      <c r="AF82" s="9" t="n">
        <f aca="false">((AF78*AF81)+((AF45*(1+Assumptions!$C$31))*T82))</f>
        <v>0</v>
      </c>
      <c r="AG82" s="9" t="n">
        <f aca="false">((AG78*AG81)+((AG45*(1+Assumptions!$C$31))*U82))</f>
        <v>57984.96</v>
      </c>
      <c r="AH82" s="9" t="n">
        <f aca="false">((AH78*AH81)+((AH45*(1+Assumptions!$C$31))*V82))</f>
        <v>0</v>
      </c>
      <c r="AI82" s="9" t="n">
        <f aca="false">((AI78*AI81)+((AI45*(1+Assumptions!$C$31))*W82))</f>
        <v>0</v>
      </c>
      <c r="AJ82" s="9" t="n">
        <f aca="false">((AJ78*AJ81)+((AJ45*(1+Assumptions!$C$31))*X82))</f>
        <v>57984.96</v>
      </c>
      <c r="AK82" s="9" t="n">
        <f aca="false">((AK78*AK81)+((AK45*(1+Assumptions!$C$31))*Y82))</f>
        <v>0</v>
      </c>
      <c r="AL82" s="9" t="n">
        <f aca="false">((AL78*AL81)+((AL45*(1+Assumptions!$C$31))*Z82))</f>
        <v>0</v>
      </c>
      <c r="AN82" s="11" t="n">
        <f aca="false">SUM(C82:N82)</f>
        <v>0</v>
      </c>
      <c r="AO82" s="11" t="n">
        <f aca="false">SUM(O82:Z82)</f>
        <v>34108.8</v>
      </c>
      <c r="AP82" s="11" t="n">
        <f aca="false">SUM(AA82:AL82)</f>
        <v>221195.568</v>
      </c>
    </row>
    <row r="83" customFormat="false" ht="15" hidden="false" customHeight="false" outlineLevel="0" collapsed="false">
      <c r="A83" s="0" t="s">
        <v>889</v>
      </c>
      <c r="B83" s="0" t="s">
        <v>230</v>
      </c>
      <c r="C83" s="9" t="n">
        <f aca="false">(Assumptions!$D$126*C76)</f>
        <v>0</v>
      </c>
      <c r="D83" s="9" t="n">
        <f aca="false">(Assumptions!$D$126*D76)</f>
        <v>0</v>
      </c>
      <c r="E83" s="9" t="n">
        <f aca="false">(Assumptions!$D$126*E76)</f>
        <v>0</v>
      </c>
      <c r="F83" s="9" t="n">
        <f aca="false">(Assumptions!$D$126*F76)</f>
        <v>0</v>
      </c>
      <c r="G83" s="9" t="n">
        <f aca="false">(Assumptions!$D$126*G76)</f>
        <v>0</v>
      </c>
      <c r="H83" s="9" t="n">
        <f aca="false">(Assumptions!$D$126*H76)</f>
        <v>0</v>
      </c>
      <c r="I83" s="9" t="n">
        <f aca="false">(Assumptions!$D$126*I76)</f>
        <v>0</v>
      </c>
      <c r="J83" s="9" t="n">
        <f aca="false">(Assumptions!$D$126*J76)</f>
        <v>0</v>
      </c>
      <c r="K83" s="9" t="n">
        <f aca="false">(Assumptions!$D$126*K76)</f>
        <v>0</v>
      </c>
      <c r="L83" s="9" t="n">
        <f aca="false">(Assumptions!$D$126*L76)</f>
        <v>0</v>
      </c>
      <c r="M83" s="9" t="n">
        <f aca="false">(Assumptions!$D$126*M76)</f>
        <v>0</v>
      </c>
      <c r="N83" s="9" t="n">
        <f aca="false">(Assumptions!$D$126*N76)</f>
        <v>0</v>
      </c>
      <c r="O83" s="9" t="n">
        <f aca="false">(Assumptions!$D$126*O76)</f>
        <v>0</v>
      </c>
      <c r="P83" s="9" t="n">
        <f aca="false">(Assumptions!$D$126*P76)</f>
        <v>0</v>
      </c>
      <c r="Q83" s="9" t="n">
        <f aca="false">(Assumptions!$D$126*Q76)</f>
        <v>0</v>
      </c>
      <c r="R83" s="9" t="n">
        <f aca="false">(Assumptions!$D$126*R76)</f>
        <v>0</v>
      </c>
      <c r="S83" s="9" t="n">
        <f aca="false">(Assumptions!$D$126*S76)</f>
        <v>0</v>
      </c>
      <c r="T83" s="9" t="n">
        <f aca="false">(Assumptions!$D$126*T76)</f>
        <v>0</v>
      </c>
      <c r="U83" s="9" t="n">
        <f aca="false">(Assumptions!$D$126*U76)</f>
        <v>0</v>
      </c>
      <c r="V83" s="9" t="n">
        <f aca="false">(Assumptions!$D$126*V76)</f>
        <v>0</v>
      </c>
      <c r="W83" s="9" t="n">
        <f aca="false">(Assumptions!$D$126*W76)</f>
        <v>0</v>
      </c>
      <c r="X83" s="9" t="n">
        <f aca="false">(Assumptions!$D$126*X76)</f>
        <v>0</v>
      </c>
      <c r="Y83" s="9" t="n">
        <f aca="false">(Assumptions!$D$126*Y76)</f>
        <v>0</v>
      </c>
      <c r="Z83" s="9" t="n">
        <f aca="false">(Assumptions!$D$126*Z76)</f>
        <v>0</v>
      </c>
      <c r="AA83" s="9" t="n">
        <f aca="false">(Assumptions!$D$126*AA76)</f>
        <v>3240</v>
      </c>
      <c r="AB83" s="9" t="n">
        <f aca="false">(Assumptions!$D$126*AB76)</f>
        <v>0</v>
      </c>
      <c r="AC83" s="9" t="n">
        <f aca="false">(Assumptions!$D$126*AC76)</f>
        <v>0</v>
      </c>
      <c r="AD83" s="9" t="n">
        <f aca="false">(Assumptions!$D$126*AD76)</f>
        <v>3240</v>
      </c>
      <c r="AE83" s="9" t="n">
        <f aca="false">(Assumptions!$D$126*AE76)</f>
        <v>0</v>
      </c>
      <c r="AF83" s="9" t="n">
        <f aca="false">(Assumptions!$D$126*AF76)</f>
        <v>0</v>
      </c>
      <c r="AG83" s="9" t="n">
        <f aca="false">(Assumptions!$D$126*AG76)</f>
        <v>3240</v>
      </c>
      <c r="AH83" s="9" t="n">
        <f aca="false">(Assumptions!$D$126*AH76)</f>
        <v>0</v>
      </c>
      <c r="AI83" s="9" t="n">
        <f aca="false">(Assumptions!$D$126*AI76)</f>
        <v>0</v>
      </c>
      <c r="AJ83" s="9" t="n">
        <f aca="false">(Assumptions!$D$126*AJ76)</f>
        <v>3240</v>
      </c>
      <c r="AK83" s="9" t="n">
        <f aca="false">(Assumptions!$D$126*AK76)</f>
        <v>0</v>
      </c>
      <c r="AL83" s="9" t="n">
        <f aca="false">(Assumptions!$D$126*AL76)</f>
        <v>0</v>
      </c>
      <c r="AN83" s="11" t="n">
        <f aca="false">SUM(C83:N83)</f>
        <v>0</v>
      </c>
      <c r="AO83" s="11" t="n">
        <f aca="false">SUM(O83:Z83)</f>
        <v>0</v>
      </c>
      <c r="AP83" s="11" t="n">
        <f aca="false">SUM(AA83:AL83)</f>
        <v>12960</v>
      </c>
    </row>
    <row r="84" customFormat="false" ht="15" hidden="false" customHeight="false" outlineLevel="0" collapsed="false">
      <c r="A84" s="0" t="s">
        <v>890</v>
      </c>
      <c r="B84" s="0" t="s">
        <v>230</v>
      </c>
      <c r="C84" s="9" t="n">
        <f aca="false">((C82-C83)/12)</f>
        <v>0</v>
      </c>
      <c r="D84" s="9" t="n">
        <f aca="false">((SUM(C82:D82)-SUM(C83:D83))/12)</f>
        <v>0</v>
      </c>
      <c r="E84" s="9" t="n">
        <f aca="false">((SUM(C82:E82)-SUM(C83:E83))/12)</f>
        <v>0</v>
      </c>
      <c r="F84" s="9" t="n">
        <f aca="false">((SUM(C82:F82)-SUM(C83:F83))/12)</f>
        <v>0</v>
      </c>
      <c r="G84" s="9" t="n">
        <f aca="false">((SUM(C82:G82)-SUM(C83:G83))/12)</f>
        <v>0</v>
      </c>
      <c r="H84" s="9" t="n">
        <f aca="false">((SUM(C82:H82)-SUM(C83:H83))/12)</f>
        <v>0</v>
      </c>
      <c r="I84" s="9" t="n">
        <f aca="false">((SUM(C82:I82)-SUM(C83:I83))/12)</f>
        <v>0</v>
      </c>
      <c r="J84" s="9" t="n">
        <f aca="false">((SUM(C82:J82)-SUM(C83:J83))/12)</f>
        <v>0</v>
      </c>
      <c r="K84" s="9" t="n">
        <f aca="false">((SUM(C82:K82)-SUM(C83:K83))/12)</f>
        <v>0</v>
      </c>
      <c r="L84" s="9" t="n">
        <f aca="false">((SUM(C82:L82)-SUM(C83:L83))/12)</f>
        <v>0</v>
      </c>
      <c r="M84" s="9" t="n">
        <f aca="false">((SUM(C82:M82)-SUM(C83:M83))/12)</f>
        <v>0</v>
      </c>
      <c r="N84" s="9" t="n">
        <f aca="false">((SUM(C82:N82)-SUM(C83:N83))/12)</f>
        <v>0</v>
      </c>
      <c r="O84" s="9" t="n">
        <f aca="false">((SUM(D82:O82)-SUM(D83:O83))/12)</f>
        <v>0</v>
      </c>
      <c r="P84" s="9" t="n">
        <f aca="false">((SUM(E82:P82)-SUM(E83:P83))/12)</f>
        <v>0</v>
      </c>
      <c r="Q84" s="9" t="n">
        <f aca="false">((SUM(F82:Q82)-SUM(F83:Q83))/12)</f>
        <v>2842.4</v>
      </c>
      <c r="R84" s="9" t="n">
        <f aca="false">((SUM(G82:R82)-SUM(G83:R83))/12)</f>
        <v>2842.4</v>
      </c>
      <c r="S84" s="9" t="n">
        <f aca="false">((SUM(H82:S82)-SUM(H83:S83))/12)</f>
        <v>2842.4</v>
      </c>
      <c r="T84" s="9" t="n">
        <f aca="false">((SUM(I82:T82)-SUM(I83:T83))/12)</f>
        <v>2842.4</v>
      </c>
      <c r="U84" s="9" t="n">
        <f aca="false">((SUM(J82:U82)-SUM(J83:U83))/12)</f>
        <v>2842.4</v>
      </c>
      <c r="V84" s="9" t="n">
        <f aca="false">((SUM(K82:V82)-SUM(K83:V83))/12)</f>
        <v>2842.4</v>
      </c>
      <c r="W84" s="9" t="n">
        <f aca="false">((SUM(L82:W82)-SUM(L83:W83))/12)</f>
        <v>2842.4</v>
      </c>
      <c r="X84" s="9" t="n">
        <f aca="false">((SUM(M82:X82)-SUM(M83:X83))/12)</f>
        <v>2842.4</v>
      </c>
      <c r="Y84" s="9" t="n">
        <f aca="false">((SUM(N82:Y82)-SUM(N83:Y83))/12)</f>
        <v>2842.4</v>
      </c>
      <c r="Z84" s="9" t="n">
        <f aca="false">((SUM(O82:Z82)-SUM(O83:Z83))/12)</f>
        <v>2842.4</v>
      </c>
      <c r="AA84" s="9" t="n">
        <f aca="false">((SUM(P82:AA82)-SUM(P83:AA83))/12)</f>
        <v>3851.48</v>
      </c>
      <c r="AB84" s="9" t="n">
        <f aca="false">((SUM(Q82:AB82)-SUM(Q83:AB83))/12)</f>
        <v>3851.48</v>
      </c>
      <c r="AC84" s="9" t="n">
        <f aca="false">((SUM(R82:AC82)-SUM(R83:AC83))/12)</f>
        <v>3666.724</v>
      </c>
      <c r="AD84" s="9" t="n">
        <f aca="false">((SUM(S82:AD82)-SUM(S83:AD83))/12)</f>
        <v>8228.804</v>
      </c>
      <c r="AE84" s="9" t="n">
        <f aca="false">((SUM(T82:AE82)-SUM(T83:AE83))/12)</f>
        <v>8228.804</v>
      </c>
      <c r="AF84" s="9" t="n">
        <f aca="false">((SUM(U82:AF82)-SUM(U83:AF83))/12)</f>
        <v>8228.804</v>
      </c>
      <c r="AG84" s="9" t="n">
        <f aca="false">((SUM(V82:AG82)-SUM(V83:AG83))/12)</f>
        <v>12790.884</v>
      </c>
      <c r="AH84" s="9" t="n">
        <f aca="false">((SUM(W82:AH82)-SUM(W83:AH83))/12)</f>
        <v>12790.884</v>
      </c>
      <c r="AI84" s="9" t="n">
        <f aca="false">((SUM(X82:AI82)-SUM(X83:AI83))/12)</f>
        <v>12790.884</v>
      </c>
      <c r="AJ84" s="9" t="n">
        <f aca="false">((SUM(Y82:AJ82)-SUM(Y83:AJ83))/12)</f>
        <v>17352.964</v>
      </c>
      <c r="AK84" s="9" t="n">
        <f aca="false">((SUM(Z82:AK82)-SUM(Z83:AK83))/12)</f>
        <v>17352.964</v>
      </c>
      <c r="AL84" s="9" t="n">
        <f aca="false">((SUM(AA82:AL82)-SUM(AA83:AL83))/12)</f>
        <v>17352.964</v>
      </c>
      <c r="AN84" s="11" t="n">
        <f aca="false">SUM(C84:N84)</f>
        <v>0</v>
      </c>
      <c r="AO84" s="11" t="n">
        <f aca="false">SUM(O84:Z84)</f>
        <v>28424</v>
      </c>
      <c r="AP84" s="11" t="n">
        <f aca="false">SUM(AA84:AL84)</f>
        <v>126487.64</v>
      </c>
    </row>
    <row r="85" customFormat="false" ht="15" hidden="false" customHeight="false" outlineLevel="0" collapsed="false">
      <c r="A85" s="0" t="s">
        <v>891</v>
      </c>
      <c r="B85" s="0" t="s">
        <v>230</v>
      </c>
      <c r="C85" s="9" t="n">
        <f aca="false">(C82-C83)</f>
        <v>0</v>
      </c>
      <c r="D85" s="9" t="n">
        <f aca="false">(D82-D83)</f>
        <v>0</v>
      </c>
      <c r="E85" s="9" t="n">
        <f aca="false">(E82-E83)</f>
        <v>0</v>
      </c>
      <c r="F85" s="9" t="n">
        <f aca="false">(F82-F83)</f>
        <v>0</v>
      </c>
      <c r="G85" s="9" t="n">
        <f aca="false">(G82-G83)</f>
        <v>0</v>
      </c>
      <c r="H85" s="9" t="n">
        <f aca="false">(H82-H83)</f>
        <v>0</v>
      </c>
      <c r="I85" s="9" t="n">
        <f aca="false">(I82-I83)</f>
        <v>0</v>
      </c>
      <c r="J85" s="9" t="n">
        <f aca="false">(J82-J83)</f>
        <v>0</v>
      </c>
      <c r="K85" s="9" t="n">
        <f aca="false">(K82-K83)</f>
        <v>0</v>
      </c>
      <c r="L85" s="9" t="n">
        <f aca="false">(L82-L83)</f>
        <v>0</v>
      </c>
      <c r="M85" s="9" t="n">
        <f aca="false">(M82-M83)</f>
        <v>0</v>
      </c>
      <c r="N85" s="9" t="n">
        <f aca="false">(N82-N83)</f>
        <v>0</v>
      </c>
      <c r="O85" s="9" t="n">
        <f aca="false">(O82-O83)</f>
        <v>0</v>
      </c>
      <c r="P85" s="9" t="n">
        <f aca="false">(P82-P83)</f>
        <v>0</v>
      </c>
      <c r="Q85" s="9" t="n">
        <f aca="false">(Q82-Q83)</f>
        <v>34108.8</v>
      </c>
      <c r="R85" s="9" t="n">
        <f aca="false">(R82-R83)</f>
        <v>0</v>
      </c>
      <c r="S85" s="9" t="n">
        <f aca="false">(S82-S83)</f>
        <v>0</v>
      </c>
      <c r="T85" s="9" t="n">
        <f aca="false">(T82-T83)</f>
        <v>0</v>
      </c>
      <c r="U85" s="9" t="n">
        <f aca="false">(U82-U83)</f>
        <v>0</v>
      </c>
      <c r="V85" s="9" t="n">
        <f aca="false">(V82-V83)</f>
        <v>0</v>
      </c>
      <c r="W85" s="9" t="n">
        <f aca="false">(W82-W83)</f>
        <v>0</v>
      </c>
      <c r="X85" s="9" t="n">
        <f aca="false">(X82-X83)</f>
        <v>0</v>
      </c>
      <c r="Y85" s="9" t="n">
        <f aca="false">(Y82-Y83)</f>
        <v>0</v>
      </c>
      <c r="Z85" s="9" t="n">
        <f aca="false">(Z82-Z83)</f>
        <v>0</v>
      </c>
      <c r="AA85" s="9" t="n">
        <f aca="false">(AA82-AA83)</f>
        <v>12108.96</v>
      </c>
      <c r="AB85" s="9" t="n">
        <f aca="false">(AB82-AB83)</f>
        <v>0</v>
      </c>
      <c r="AC85" s="9" t="n">
        <f aca="false">(AC82-AC83)</f>
        <v>31891.728</v>
      </c>
      <c r="AD85" s="9" t="n">
        <f aca="false">(AD82-AD83)</f>
        <v>54744.96</v>
      </c>
      <c r="AE85" s="9" t="n">
        <f aca="false">(AE82-AE83)</f>
        <v>0</v>
      </c>
      <c r="AF85" s="9" t="n">
        <f aca="false">(AF82-AF83)</f>
        <v>0</v>
      </c>
      <c r="AG85" s="9" t="n">
        <f aca="false">(AG82-AG83)</f>
        <v>54744.96</v>
      </c>
      <c r="AH85" s="9" t="n">
        <f aca="false">(AH82-AH83)</f>
        <v>0</v>
      </c>
      <c r="AI85" s="9" t="n">
        <f aca="false">(AI82-AI83)</f>
        <v>0</v>
      </c>
      <c r="AJ85" s="9" t="n">
        <f aca="false">(AJ82-AJ83)</f>
        <v>54744.96</v>
      </c>
      <c r="AK85" s="9" t="n">
        <f aca="false">(AK82-AK83)</f>
        <v>0</v>
      </c>
      <c r="AL85" s="9" t="n">
        <f aca="false">(AL82-AL83)</f>
        <v>0</v>
      </c>
      <c r="AN85" s="11" t="n">
        <f aca="false">SUM(C85:N85)</f>
        <v>0</v>
      </c>
      <c r="AO85" s="11" t="n">
        <f aca="false">SUM(O85:Z85)</f>
        <v>34108.8</v>
      </c>
      <c r="AP85" s="11" t="n">
        <f aca="false">SUM(AA85:AL85)</f>
        <v>208235.568</v>
      </c>
    </row>
    <row r="86" customFormat="false" ht="15" hidden="false" customHeight="false" outlineLevel="0" collapsed="false">
      <c r="A86" s="0" t="s">
        <v>892</v>
      </c>
      <c r="B86" s="0" t="s">
        <v>230</v>
      </c>
      <c r="C86" s="9" t="n">
        <f aca="false">(((Assumptions!$D$122*$C$10)/6)*C75)</f>
        <v>0</v>
      </c>
      <c r="D86" s="9" t="n">
        <f aca="false">(((Assumptions!$D$122*$C$10)/6)*D75)</f>
        <v>0</v>
      </c>
      <c r="E86" s="9" t="n">
        <f aca="false">(((Assumptions!$D$122*$C$10)/6)*E75)</f>
        <v>0</v>
      </c>
      <c r="F86" s="9" t="n">
        <f aca="false">(((Assumptions!$D$122*$C$10)/6)*F75)</f>
        <v>0</v>
      </c>
      <c r="G86" s="9" t="n">
        <f aca="false">(((Assumptions!$D$122*$C$10)/6)*G75)</f>
        <v>0</v>
      </c>
      <c r="H86" s="9" t="n">
        <f aca="false">(((Assumptions!$D$122*$C$10)/6)*H75)</f>
        <v>0</v>
      </c>
      <c r="I86" s="9" t="n">
        <f aca="false">(((Assumptions!$D$122*$C$10)/6)*I75)</f>
        <v>0</v>
      </c>
      <c r="J86" s="9" t="n">
        <f aca="false">(((Assumptions!$D$122*$C$10)/6)*J75)</f>
        <v>0</v>
      </c>
      <c r="K86" s="9" t="n">
        <f aca="false">(((Assumptions!$D$122*$C$10)/6)*K75)</f>
        <v>0</v>
      </c>
      <c r="L86" s="9" t="n">
        <f aca="false">(((Assumptions!$D$122*$C$10)/6)*L75)</f>
        <v>0</v>
      </c>
      <c r="M86" s="9" t="n">
        <f aca="false">(((Assumptions!$D$122*$C$10)/6)*M75)</f>
        <v>0</v>
      </c>
      <c r="N86" s="9" t="n">
        <f aca="false">(((Assumptions!$D$122*$C$10)/6)*N75)</f>
        <v>0</v>
      </c>
      <c r="O86" s="9" t="n">
        <f aca="false">(((Assumptions!$D$122*$C$10)/6)*O75)</f>
        <v>0</v>
      </c>
      <c r="P86" s="9" t="n">
        <f aca="false">(((Assumptions!$D$122*$C$10)/6)*P75)</f>
        <v>0</v>
      </c>
      <c r="Q86" s="9" t="n">
        <f aca="false">(((Assumptions!$D$122*$C$10)/6)*Q75)</f>
        <v>0</v>
      </c>
      <c r="R86" s="9" t="n">
        <f aca="false">(((Assumptions!$D$122*$C$10)/6)*R75)</f>
        <v>0</v>
      </c>
      <c r="S86" s="9" t="n">
        <f aca="false">(((Assumptions!$D$122*$C$10)/6)*S75)</f>
        <v>0</v>
      </c>
      <c r="T86" s="9" t="n">
        <f aca="false">(((Assumptions!$D$122*$C$10)/6)*T75)</f>
        <v>2850</v>
      </c>
      <c r="U86" s="9" t="n">
        <f aca="false">(((Assumptions!$D$122*$C$10)/6)*U75)</f>
        <v>2850</v>
      </c>
      <c r="V86" s="9" t="n">
        <f aca="false">(((Assumptions!$D$122*$C$10)/6)*V75)</f>
        <v>2850</v>
      </c>
      <c r="W86" s="9" t="n">
        <f aca="false">(((Assumptions!$D$122*$C$10)/6)*W75)</f>
        <v>5700</v>
      </c>
      <c r="X86" s="9" t="n">
        <f aca="false">(((Assumptions!$D$122*$C$10)/6)*X75)</f>
        <v>5700</v>
      </c>
      <c r="Y86" s="9" t="n">
        <f aca="false">(((Assumptions!$D$122*$C$10)/6)*Y75)</f>
        <v>5700</v>
      </c>
      <c r="Z86" s="9" t="n">
        <f aca="false">(((Assumptions!$D$122*$C$10)/6)*Z75)</f>
        <v>5700</v>
      </c>
      <c r="AA86" s="9" t="n">
        <f aca="false">(((Assumptions!$D$122*$C$10)/6)*AA75)</f>
        <v>5700</v>
      </c>
      <c r="AB86" s="9" t="n">
        <f aca="false">(((Assumptions!$D$122*$C$10)/6)*AB75)</f>
        <v>5700</v>
      </c>
      <c r="AC86" s="9" t="n">
        <f aca="false">(((Assumptions!$D$122*$C$10)/6)*AC75)</f>
        <v>5700</v>
      </c>
      <c r="AD86" s="9" t="n">
        <f aca="false">(((Assumptions!$D$122*$C$10)/6)*AD75)</f>
        <v>5700</v>
      </c>
      <c r="AE86" s="9" t="n">
        <f aca="false">(((Assumptions!$D$122*$C$10)/6)*AE75)</f>
        <v>5700</v>
      </c>
      <c r="AF86" s="9" t="n">
        <f aca="false">(((Assumptions!$D$122*$C$10)/6)*AF75)</f>
        <v>8550</v>
      </c>
      <c r="AG86" s="9" t="n">
        <f aca="false">(((Assumptions!$D$122*$C$10)/6)*AG75)</f>
        <v>8550</v>
      </c>
      <c r="AH86" s="9" t="n">
        <f aca="false">(((Assumptions!$D$122*$C$10)/6)*AH75)</f>
        <v>8550</v>
      </c>
      <c r="AI86" s="9" t="n">
        <f aca="false">(((Assumptions!$D$122*$C$10)/6)*AI75)</f>
        <v>11400</v>
      </c>
      <c r="AJ86" s="9" t="n">
        <f aca="false">(((Assumptions!$D$122*$C$10)/6)*AJ75)</f>
        <v>11400</v>
      </c>
      <c r="AK86" s="9" t="n">
        <f aca="false">(((Assumptions!$D$122*$C$10)/6)*AK75)</f>
        <v>11400</v>
      </c>
      <c r="AL86" s="9" t="n">
        <f aca="false">(((Assumptions!$D$122*$C$10)/6)*AL75)</f>
        <v>11400</v>
      </c>
      <c r="AN86" s="11" t="n">
        <f aca="false">SUM(C86:N86)</f>
        <v>0</v>
      </c>
      <c r="AO86" s="11" t="n">
        <f aca="false">SUM(O86:Z86)</f>
        <v>31350</v>
      </c>
      <c r="AP86" s="11" t="n">
        <f aca="false">SUM(AA86:AL86)</f>
        <v>99750</v>
      </c>
    </row>
    <row r="87" customFormat="false" ht="15" hidden="false" customHeight="false" outlineLevel="0" collapsed="false">
      <c r="A87" s="0" t="s">
        <v>893</v>
      </c>
      <c r="B87" s="0" t="s">
        <v>230</v>
      </c>
      <c r="C87" s="9" t="n">
        <f aca="false">((Assumptions!$D$122*$C$10)*C69)</f>
        <v>0</v>
      </c>
      <c r="D87" s="9" t="n">
        <f aca="false">((Assumptions!$D$122*$C$10)*D69)</f>
        <v>0</v>
      </c>
      <c r="E87" s="9" t="n">
        <f aca="false">((Assumptions!$D$122*$C$10)*E69)</f>
        <v>0</v>
      </c>
      <c r="F87" s="9" t="n">
        <f aca="false">((Assumptions!$D$122*$C$10)*F69)</f>
        <v>0</v>
      </c>
      <c r="G87" s="9" t="n">
        <f aca="false">((Assumptions!$D$122*$C$10)*G69)</f>
        <v>0</v>
      </c>
      <c r="H87" s="9" t="n">
        <f aca="false">((Assumptions!$D$122*$C$10)*H69)</f>
        <v>0</v>
      </c>
      <c r="I87" s="9" t="n">
        <f aca="false">((Assumptions!$D$122*$C$10)*I69)</f>
        <v>0</v>
      </c>
      <c r="J87" s="9" t="n">
        <f aca="false">((Assumptions!$D$122*$C$10)*J69)</f>
        <v>0</v>
      </c>
      <c r="K87" s="9" t="n">
        <f aca="false">((Assumptions!$D$122*$C$10)*K69)</f>
        <v>0</v>
      </c>
      <c r="L87" s="9" t="n">
        <f aca="false">((Assumptions!$D$122*$C$10)*L69)</f>
        <v>0</v>
      </c>
      <c r="M87" s="9" t="n">
        <f aca="false">((Assumptions!$D$122*$C$10)*M69)</f>
        <v>0</v>
      </c>
      <c r="N87" s="9" t="n">
        <f aca="false">((Assumptions!$D$122*$C$10)*N69)</f>
        <v>0</v>
      </c>
      <c r="O87" s="9" t="n">
        <f aca="false">((Assumptions!$D$122*$C$10)*O69)</f>
        <v>0</v>
      </c>
      <c r="P87" s="9" t="n">
        <f aca="false">((Assumptions!$D$122*$C$10)*P69)</f>
        <v>0</v>
      </c>
      <c r="Q87" s="9" t="n">
        <f aca="false">((Assumptions!$D$122*$C$10)*Q69)</f>
        <v>0</v>
      </c>
      <c r="R87" s="9" t="n">
        <f aca="false">((Assumptions!$D$122*$C$10)*R69)</f>
        <v>0</v>
      </c>
      <c r="S87" s="9" t="n">
        <f aca="false">((Assumptions!$D$122*$C$10)*S69)</f>
        <v>0</v>
      </c>
      <c r="T87" s="9" t="n">
        <f aca="false">((Assumptions!$D$122*$C$10)*T69)</f>
        <v>17100</v>
      </c>
      <c r="U87" s="9" t="n">
        <f aca="false">((Assumptions!$D$122*$C$10)*U69)</f>
        <v>0</v>
      </c>
      <c r="V87" s="9" t="n">
        <f aca="false">((Assumptions!$D$122*$C$10)*V69)</f>
        <v>0</v>
      </c>
      <c r="W87" s="9" t="n">
        <f aca="false">((Assumptions!$D$122*$C$10)*W69)</f>
        <v>17100</v>
      </c>
      <c r="X87" s="9" t="n">
        <f aca="false">((Assumptions!$D$122*$C$10)*X69)</f>
        <v>0</v>
      </c>
      <c r="Y87" s="9" t="n">
        <f aca="false">((Assumptions!$D$122*$C$10)*Y69)</f>
        <v>0</v>
      </c>
      <c r="Z87" s="9" t="n">
        <f aca="false">((Assumptions!$D$122*$C$10)*Z69)</f>
        <v>17100</v>
      </c>
      <c r="AA87" s="9" t="n">
        <f aca="false">((Assumptions!$D$122*$C$10)*AA69)</f>
        <v>0</v>
      </c>
      <c r="AB87" s="9" t="n">
        <f aca="false">((Assumptions!$D$122*$C$10)*AB69)</f>
        <v>0</v>
      </c>
      <c r="AC87" s="9" t="n">
        <f aca="false">((Assumptions!$D$122*$C$10)*AC69)</f>
        <v>17100</v>
      </c>
      <c r="AD87" s="9" t="n">
        <f aca="false">((Assumptions!$D$122*$C$10)*AD69)</f>
        <v>0</v>
      </c>
      <c r="AE87" s="9" t="n">
        <f aca="false">((Assumptions!$D$122*$C$10)*AE69)</f>
        <v>0</v>
      </c>
      <c r="AF87" s="9" t="n">
        <f aca="false">((Assumptions!$D$122*$C$10)*AF69)</f>
        <v>34200</v>
      </c>
      <c r="AG87" s="9" t="n">
        <f aca="false">((Assumptions!$D$122*$C$10)*AG69)</f>
        <v>0</v>
      </c>
      <c r="AH87" s="9" t="n">
        <f aca="false">((Assumptions!$D$122*$C$10)*AH69)</f>
        <v>0</v>
      </c>
      <c r="AI87" s="9" t="n">
        <f aca="false">((Assumptions!$D$122*$C$10)*AI69)</f>
        <v>34200</v>
      </c>
      <c r="AJ87" s="9" t="n">
        <f aca="false">((Assumptions!$D$122*$C$10)*AJ69)</f>
        <v>0</v>
      </c>
      <c r="AK87" s="9" t="n">
        <f aca="false">((Assumptions!$D$122*$C$10)*AK69)</f>
        <v>0</v>
      </c>
      <c r="AL87" s="9" t="n">
        <f aca="false">((Assumptions!$D$122*$C$10)*AL69)</f>
        <v>34200</v>
      </c>
      <c r="AN87" s="11" t="n">
        <f aca="false">SUM(C87:N87)</f>
        <v>0</v>
      </c>
      <c r="AO87" s="11" t="n">
        <f aca="false">SUM(O87:Z87)</f>
        <v>51300</v>
      </c>
      <c r="AP87" s="11" t="n">
        <f aca="false">SUM(AA87:AL87)</f>
        <v>119700</v>
      </c>
    </row>
    <row r="88" customFormat="false" ht="15" hidden="false" customHeight="false" outlineLevel="0" collapsed="false">
      <c r="A88" s="0" t="s">
        <v>894</v>
      </c>
      <c r="B88" s="0" t="s">
        <v>230</v>
      </c>
      <c r="C88" s="9" t="n">
        <f aca="false">((Assumptions!$D$123*$C$10)+(Assumptions!$C$34*Assumptions!$C$35))</f>
        <v>44000</v>
      </c>
      <c r="D88" s="9" t="n">
        <f aca="false">((Assumptions!$D$123*$C$10)+(Assumptions!$C$34*Assumptions!$C$35))</f>
        <v>44000</v>
      </c>
      <c r="E88" s="9" t="n">
        <f aca="false">((Assumptions!$D$123*$C$10)+(Assumptions!$C$34*Assumptions!$C$35))</f>
        <v>44000</v>
      </c>
      <c r="F88" s="9" t="n">
        <f aca="false">((Assumptions!$D$123*$C$10)+(Assumptions!$C$34*Assumptions!$C$35))</f>
        <v>44000</v>
      </c>
      <c r="G88" s="9" t="n">
        <f aca="false">((Assumptions!$D$123*$C$10)+(Assumptions!$C$34*Assumptions!$C$35))</f>
        <v>44000</v>
      </c>
      <c r="H88" s="9" t="n">
        <f aca="false">((Assumptions!$D$123*$C$10)+(Assumptions!$C$34*Assumptions!$C$35))</f>
        <v>44000</v>
      </c>
      <c r="I88" s="9" t="n">
        <f aca="false">((Assumptions!$D$123*$C$10)+(Assumptions!$C$34*Assumptions!$C$35))</f>
        <v>44000</v>
      </c>
      <c r="J88" s="9" t="n">
        <f aca="false">((Assumptions!$D$123*$C$10)+(Assumptions!$C$34*Assumptions!$C$35))</f>
        <v>44000</v>
      </c>
      <c r="K88" s="9" t="n">
        <f aca="false">((Assumptions!$D$123*$C$10)+(Assumptions!$C$34*Assumptions!$C$35))</f>
        <v>44000</v>
      </c>
      <c r="L88" s="9" t="n">
        <f aca="false">((Assumptions!$D$123*$C$10)+(Assumptions!$C$34*Assumptions!$C$35))</f>
        <v>44000</v>
      </c>
      <c r="M88" s="9" t="n">
        <f aca="false">((Assumptions!$D$123*$C$10)+(Assumptions!$C$34*Assumptions!$C$35))</f>
        <v>44000</v>
      </c>
      <c r="N88" s="9" t="n">
        <f aca="false">((Assumptions!$D$123*$C$10)+(Assumptions!$C$34*Assumptions!$C$35))</f>
        <v>44000</v>
      </c>
      <c r="O88" s="9" t="n">
        <f aca="false">((Assumptions!$D$123*$C$10)+(Assumptions!$C$34*Assumptions!$C$35))</f>
        <v>44000</v>
      </c>
      <c r="P88" s="9" t="n">
        <f aca="false">((Assumptions!$D$123*$C$10)+(Assumptions!$C$34*Assumptions!$C$35))</f>
        <v>44000</v>
      </c>
      <c r="Q88" s="9" t="n">
        <f aca="false">((Assumptions!$D$123*$C$10)+(Assumptions!$C$34*Assumptions!$C$35))</f>
        <v>44000</v>
      </c>
      <c r="R88" s="9" t="n">
        <f aca="false">((Assumptions!$D$123*$C$10)+(Assumptions!$C$34*Assumptions!$C$35))</f>
        <v>44000</v>
      </c>
      <c r="S88" s="9" t="n">
        <f aca="false">((Assumptions!$D$123*$C$10)+(Assumptions!$C$34*Assumptions!$C$35))</f>
        <v>44000</v>
      </c>
      <c r="T88" s="9" t="n">
        <f aca="false">((Assumptions!$D$123*$C$10)+(Assumptions!$C$34*Assumptions!$C$35))</f>
        <v>44000</v>
      </c>
      <c r="U88" s="9" t="n">
        <f aca="false">((Assumptions!$D$123*$C$10)+(Assumptions!$C$34*Assumptions!$C$35))</f>
        <v>44000</v>
      </c>
      <c r="V88" s="9" t="n">
        <f aca="false">((Assumptions!$D$123*$C$10)+(Assumptions!$C$34*Assumptions!$C$35))</f>
        <v>44000</v>
      </c>
      <c r="W88" s="9" t="n">
        <f aca="false">((Assumptions!$D$123*$C$10)+(Assumptions!$C$34*Assumptions!$C$35))</f>
        <v>44000</v>
      </c>
      <c r="X88" s="9" t="n">
        <f aca="false">((Assumptions!$D$123*$C$10)+(Assumptions!$C$34*Assumptions!$C$35))</f>
        <v>44000</v>
      </c>
      <c r="Y88" s="9" t="n">
        <f aca="false">((Assumptions!$D$123*$C$10)+(Assumptions!$C$34*Assumptions!$C$35))</f>
        <v>44000</v>
      </c>
      <c r="Z88" s="9" t="n">
        <f aca="false">((Assumptions!$D$123*$C$10)+(Assumptions!$C$34*Assumptions!$C$35))</f>
        <v>44000</v>
      </c>
      <c r="AA88" s="9" t="n">
        <f aca="false">((Assumptions!$D$123*$C$10)+(Assumptions!$C$34*Assumptions!$C$35))</f>
        <v>44000</v>
      </c>
      <c r="AB88" s="9" t="n">
        <f aca="false">((Assumptions!$D$123*$C$10)+(Assumptions!$C$34*Assumptions!$C$35))</f>
        <v>44000</v>
      </c>
      <c r="AC88" s="9" t="n">
        <f aca="false">((Assumptions!$D$123*$C$10)+(Assumptions!$C$34*Assumptions!$C$35))</f>
        <v>44000</v>
      </c>
      <c r="AD88" s="9" t="n">
        <f aca="false">((Assumptions!$D$123*$C$10)+(Assumptions!$C$34*Assumptions!$C$35))</f>
        <v>44000</v>
      </c>
      <c r="AE88" s="9" t="n">
        <f aca="false">((Assumptions!$D$123*$C$10)+(Assumptions!$C$34*Assumptions!$C$35))</f>
        <v>44000</v>
      </c>
      <c r="AF88" s="9" t="n">
        <f aca="false">((Assumptions!$D$123*$C$10)+(Assumptions!$C$34*Assumptions!$C$35))</f>
        <v>44000</v>
      </c>
      <c r="AG88" s="9" t="n">
        <f aca="false">((Assumptions!$D$123*$C$10)+(Assumptions!$C$34*Assumptions!$C$35))</f>
        <v>44000</v>
      </c>
      <c r="AH88" s="9" t="n">
        <f aca="false">((Assumptions!$D$123*$C$10)+(Assumptions!$C$34*Assumptions!$C$35))</f>
        <v>44000</v>
      </c>
      <c r="AI88" s="9" t="n">
        <f aca="false">((Assumptions!$D$123*$C$10)+(Assumptions!$C$34*Assumptions!$C$35))</f>
        <v>44000</v>
      </c>
      <c r="AJ88" s="9" t="n">
        <f aca="false">((Assumptions!$D$123*$C$10)+(Assumptions!$C$34*Assumptions!$C$35))</f>
        <v>44000</v>
      </c>
      <c r="AK88" s="9" t="n">
        <f aca="false">((Assumptions!$D$123*$C$10)+(Assumptions!$C$34*Assumptions!$C$35))</f>
        <v>44000</v>
      </c>
      <c r="AL88" s="9" t="n">
        <f aca="false">((Assumptions!$D$123*$C$10)+(Assumptions!$C$34*Assumptions!$C$35))</f>
        <v>44000</v>
      </c>
    </row>
    <row r="89" customFormat="false" ht="15" hidden="false" customHeight="false" outlineLevel="0" collapsed="false">
      <c r="A89" s="0" t="s">
        <v>895</v>
      </c>
      <c r="B89" s="0" t="s">
        <v>230</v>
      </c>
      <c r="C89" s="9" t="n">
        <f aca="false">((C88/3)*C73)</f>
        <v>0</v>
      </c>
      <c r="D89" s="9" t="n">
        <f aca="false">((D88/3)*SUM(C73:D73))</f>
        <v>0</v>
      </c>
      <c r="E89" s="9" t="n">
        <f aca="false">((E88/3)*SUM(C73:E73))</f>
        <v>0</v>
      </c>
      <c r="F89" s="9" t="n">
        <f aca="false">((F88/3)*SUM(D73:F73))</f>
        <v>0</v>
      </c>
      <c r="G89" s="9" t="n">
        <f aca="false">((G88/3)*SUM(E73:G73))</f>
        <v>0</v>
      </c>
      <c r="H89" s="9" t="n">
        <f aca="false">((H88/3)*SUM(F73:H73))</f>
        <v>0</v>
      </c>
      <c r="I89" s="9" t="n">
        <f aca="false">((I88/3)*SUM(G73:I73))</f>
        <v>0</v>
      </c>
      <c r="J89" s="9" t="n">
        <f aca="false">((J88/3)*SUM(H73:J73))</f>
        <v>0</v>
      </c>
      <c r="K89" s="9" t="n">
        <f aca="false">((K88/3)*SUM(I73:K73))</f>
        <v>0</v>
      </c>
      <c r="L89" s="9" t="n">
        <f aca="false">((L88/3)*SUM(J73:L73))</f>
        <v>0</v>
      </c>
      <c r="M89" s="9" t="n">
        <f aca="false">((M88/3)*SUM(K73:M73))</f>
        <v>0</v>
      </c>
      <c r="N89" s="9" t="n">
        <f aca="false">((N88/3)*SUM(L73:N73))</f>
        <v>0</v>
      </c>
      <c r="O89" s="9" t="n">
        <f aca="false">((O88/3)*SUM(M73:O73))</f>
        <v>0</v>
      </c>
      <c r="P89" s="9" t="n">
        <f aca="false">((P88/3)*SUM(N73:P73))</f>
        <v>0</v>
      </c>
      <c r="Q89" s="9" t="n">
        <f aca="false">((Q88/3)*SUM(O73:Q73))</f>
        <v>0</v>
      </c>
      <c r="R89" s="9" t="n">
        <f aca="false">((R88/3)*SUM(P73:R73))</f>
        <v>0</v>
      </c>
      <c r="S89" s="9" t="n">
        <f aca="false">((S88/3)*SUM(Q73:S73))</f>
        <v>0</v>
      </c>
      <c r="T89" s="9" t="n">
        <f aca="false">((T88/3)*SUM(R73:T73))</f>
        <v>8800</v>
      </c>
      <c r="U89" s="9" t="n">
        <f aca="false">((U88/3)*SUM(S73:U73))</f>
        <v>8800</v>
      </c>
      <c r="V89" s="9" t="n">
        <f aca="false">((V88/3)*SUM(T73:V73))</f>
        <v>8800</v>
      </c>
      <c r="W89" s="9" t="n">
        <f aca="false">((W88/3)*SUM(U73:W73))</f>
        <v>8800</v>
      </c>
      <c r="X89" s="9" t="n">
        <f aca="false">((X88/3)*SUM(V73:X73))</f>
        <v>8800</v>
      </c>
      <c r="Y89" s="9" t="n">
        <f aca="false">((Y88/3)*SUM(W73:Y73))</f>
        <v>8800</v>
      </c>
      <c r="Z89" s="9" t="n">
        <f aca="false">((Z88/3)*SUM(X73:Z73))</f>
        <v>8800</v>
      </c>
      <c r="AA89" s="9" t="n">
        <f aca="false">((AA88/3)*SUM(Y73:AA73))</f>
        <v>8800</v>
      </c>
      <c r="AB89" s="9" t="n">
        <f aca="false">((AB88/3)*SUM(Z73:AB73))</f>
        <v>8800</v>
      </c>
      <c r="AC89" s="9" t="n">
        <f aca="false">((AC88/3)*SUM(AA73:AC73))</f>
        <v>8800</v>
      </c>
      <c r="AD89" s="9" t="n">
        <f aca="false">((AD88/3)*SUM(AB73:AD73))</f>
        <v>17600</v>
      </c>
      <c r="AE89" s="9" t="n">
        <f aca="false">((AE88/3)*SUM(AC73:AE73))</f>
        <v>17600</v>
      </c>
      <c r="AF89" s="9" t="n">
        <f aca="false">((AF88/3)*SUM(AD73:AF73))</f>
        <v>26400</v>
      </c>
      <c r="AG89" s="9" t="n">
        <f aca="false">((AG88/3)*SUM(AE73:AG73))</f>
        <v>26400</v>
      </c>
      <c r="AH89" s="9" t="n">
        <f aca="false">((AH88/3)*SUM(AF73:AH73))</f>
        <v>26400</v>
      </c>
      <c r="AI89" s="9" t="n">
        <f aca="false">((AI88/3)*SUM(AG73:AI73))</f>
        <v>26400</v>
      </c>
      <c r="AJ89" s="9" t="n">
        <f aca="false">((AJ88/3)*SUM(AH73:AJ73))</f>
        <v>26400</v>
      </c>
      <c r="AK89" s="9" t="n">
        <f aca="false">((AK88/3)*SUM(AI73:AK73))</f>
        <v>26400</v>
      </c>
      <c r="AL89" s="9" t="n">
        <f aca="false">((AL88/3)*SUM(AJ73:AL73))</f>
        <v>26400</v>
      </c>
      <c r="AN89" s="11" t="n">
        <f aca="false">SUM(C89:N89)</f>
        <v>0</v>
      </c>
      <c r="AO89" s="11" t="n">
        <f aca="false">SUM(O89:Z89)</f>
        <v>61600</v>
      </c>
      <c r="AP89" s="11" t="n">
        <f aca="false">SUM(AA89:AL89)</f>
        <v>246400</v>
      </c>
    </row>
    <row r="90" customFormat="false" ht="15" hidden="false" customHeight="false" outlineLevel="0" collapsed="false">
      <c r="A90" s="0" t="s">
        <v>896</v>
      </c>
      <c r="B90" s="0" t="s">
        <v>230</v>
      </c>
      <c r="C90" s="9" t="n">
        <f aca="false">(C88*C73)</f>
        <v>0</v>
      </c>
      <c r="D90" s="9" t="n">
        <f aca="false">(D88*D73)</f>
        <v>0</v>
      </c>
      <c r="E90" s="9" t="n">
        <f aca="false">(E88*E73)</f>
        <v>0</v>
      </c>
      <c r="F90" s="9" t="n">
        <f aca="false">(F88*F73)</f>
        <v>0</v>
      </c>
      <c r="G90" s="9" t="n">
        <f aca="false">(G88*G73)</f>
        <v>0</v>
      </c>
      <c r="H90" s="9" t="n">
        <f aca="false">(H88*H73)</f>
        <v>0</v>
      </c>
      <c r="I90" s="9" t="n">
        <f aca="false">(I88*I73)</f>
        <v>0</v>
      </c>
      <c r="J90" s="9" t="n">
        <f aca="false">(J88*J73)</f>
        <v>0</v>
      </c>
      <c r="K90" s="9" t="n">
        <f aca="false">(K88*K73)</f>
        <v>0</v>
      </c>
      <c r="L90" s="9" t="n">
        <f aca="false">(L88*L73)</f>
        <v>0</v>
      </c>
      <c r="M90" s="9" t="n">
        <f aca="false">(M88*M73)</f>
        <v>0</v>
      </c>
      <c r="N90" s="9" t="n">
        <f aca="false">(N88*N73)</f>
        <v>0</v>
      </c>
      <c r="O90" s="9" t="n">
        <f aca="false">(O88*O73)</f>
        <v>0</v>
      </c>
      <c r="P90" s="9" t="n">
        <f aca="false">(P88*P73)</f>
        <v>0</v>
      </c>
      <c r="Q90" s="9" t="n">
        <f aca="false">(Q88*Q73)</f>
        <v>0</v>
      </c>
      <c r="R90" s="9" t="n">
        <f aca="false">(R88*R73)</f>
        <v>0</v>
      </c>
      <c r="S90" s="9" t="n">
        <f aca="false">(S88*S73)</f>
        <v>0</v>
      </c>
      <c r="T90" s="9" t="n">
        <f aca="false">(T88*T73)</f>
        <v>26400</v>
      </c>
      <c r="U90" s="9" t="n">
        <f aca="false">(U88*U73)</f>
        <v>0</v>
      </c>
      <c r="V90" s="9" t="n">
        <f aca="false">(V88*V73)</f>
        <v>0</v>
      </c>
      <c r="W90" s="9" t="n">
        <f aca="false">(W88*W73)</f>
        <v>26400</v>
      </c>
      <c r="X90" s="9" t="n">
        <f aca="false">(X88*X73)</f>
        <v>0</v>
      </c>
      <c r="Y90" s="9" t="n">
        <f aca="false">(Y88*Y73)</f>
        <v>0</v>
      </c>
      <c r="Z90" s="9" t="n">
        <f aca="false">(Z88*Z73)</f>
        <v>26400</v>
      </c>
      <c r="AA90" s="9" t="n">
        <f aca="false">(AA88*AA73)</f>
        <v>0</v>
      </c>
      <c r="AB90" s="9" t="n">
        <f aca="false">(AB88*AB73)</f>
        <v>0</v>
      </c>
      <c r="AC90" s="9" t="n">
        <f aca="false">(AC88*AC73)</f>
        <v>26400</v>
      </c>
      <c r="AD90" s="9" t="n">
        <f aca="false">(AD88*AD73)</f>
        <v>26400</v>
      </c>
      <c r="AE90" s="9" t="n">
        <f aca="false">(AE88*AE73)</f>
        <v>0</v>
      </c>
      <c r="AF90" s="9" t="n">
        <f aca="false">(AF88*AF73)</f>
        <v>52800</v>
      </c>
      <c r="AG90" s="9" t="n">
        <f aca="false">(AG88*AG73)</f>
        <v>26400</v>
      </c>
      <c r="AH90" s="9" t="n">
        <f aca="false">(AH88*AH73)</f>
        <v>0</v>
      </c>
      <c r="AI90" s="9" t="n">
        <f aca="false">(AI88*AI73)</f>
        <v>52800</v>
      </c>
      <c r="AJ90" s="9" t="n">
        <f aca="false">(AJ88*AJ73)</f>
        <v>26400</v>
      </c>
      <c r="AK90" s="9" t="n">
        <f aca="false">(AK88*AK73)</f>
        <v>0</v>
      </c>
      <c r="AL90" s="9" t="n">
        <f aca="false">(AL88*AL73)</f>
        <v>52800</v>
      </c>
      <c r="AN90" s="11" t="n">
        <f aca="false">SUM(C90:N90)</f>
        <v>0</v>
      </c>
      <c r="AO90" s="11" t="n">
        <f aca="false">SUM(O90:Z90)</f>
        <v>79200</v>
      </c>
      <c r="AP90" s="11" t="n">
        <f aca="false">SUM(AA90:AL90)</f>
        <v>264000</v>
      </c>
    </row>
    <row r="91" customFormat="false" ht="15" hidden="false" customHeight="false" outlineLevel="0" collapsed="false">
      <c r="A91" s="0" t="s">
        <v>897</v>
      </c>
      <c r="B91" s="0" t="s">
        <v>285</v>
      </c>
      <c r="C91" s="9" t="n">
        <f aca="false">((C70*Assumptions!$D$124)+(C73*(Assumptions!$D$124+(Assumptions!$C$34*Assumptions!$C$36))))</f>
        <v>0</v>
      </c>
      <c r="D91" s="9" t="n">
        <f aca="false">((D70*Assumptions!$D$124)+(D73*(Assumptions!$D$124+(Assumptions!$C$34*Assumptions!$C$36))))</f>
        <v>0</v>
      </c>
      <c r="E91" s="9" t="n">
        <f aca="false">((E70*Assumptions!$D$124)+(E73*(Assumptions!$D$124+(Assumptions!$C$34*Assumptions!$C$36))))</f>
        <v>0</v>
      </c>
      <c r="F91" s="9" t="n">
        <f aca="false">((F70*Assumptions!$D$124)+(F73*(Assumptions!$D$124+(Assumptions!$C$34*Assumptions!$C$36))))</f>
        <v>0</v>
      </c>
      <c r="G91" s="9" t="n">
        <f aca="false">((G70*Assumptions!$D$124)+(G73*(Assumptions!$D$124+(Assumptions!$C$34*Assumptions!$C$36))))</f>
        <v>0</v>
      </c>
      <c r="H91" s="9" t="n">
        <f aca="false">((H70*Assumptions!$D$124)+(H73*(Assumptions!$D$124+(Assumptions!$C$34*Assumptions!$C$36))))</f>
        <v>0</v>
      </c>
      <c r="I91" s="9" t="n">
        <f aca="false">((I70*Assumptions!$D$124)+(I73*(Assumptions!$D$124+(Assumptions!$C$34*Assumptions!$C$36))))</f>
        <v>0</v>
      </c>
      <c r="J91" s="9" t="n">
        <f aca="false">((J70*Assumptions!$D$124)+(J73*(Assumptions!$D$124+(Assumptions!$C$34*Assumptions!$C$36))))</f>
        <v>330</v>
      </c>
      <c r="K91" s="9" t="n">
        <f aca="false">((K70*Assumptions!$D$124)+(K73*(Assumptions!$D$124+(Assumptions!$C$34*Assumptions!$C$36))))</f>
        <v>0</v>
      </c>
      <c r="L91" s="9" t="n">
        <f aca="false">((L70*Assumptions!$D$124)+(L73*(Assumptions!$D$124+(Assumptions!$C$34*Assumptions!$C$36))))</f>
        <v>0</v>
      </c>
      <c r="M91" s="9" t="n">
        <f aca="false">((M70*Assumptions!$D$124)+(M73*(Assumptions!$D$124+(Assumptions!$C$34*Assumptions!$C$36))))</f>
        <v>0</v>
      </c>
      <c r="N91" s="9" t="n">
        <f aca="false">((N70*Assumptions!$D$124)+(N73*(Assumptions!$D$124+(Assumptions!$C$34*Assumptions!$C$36))))</f>
        <v>0</v>
      </c>
      <c r="O91" s="9" t="n">
        <f aca="false">((O70*Assumptions!$D$124)+(O73*(Assumptions!$D$124+(Assumptions!$C$34*Assumptions!$C$36))))</f>
        <v>0</v>
      </c>
      <c r="P91" s="9" t="n">
        <f aca="false">((P70*Assumptions!$D$124)+(P73*(Assumptions!$D$124+(Assumptions!$C$34*Assumptions!$C$36))))</f>
        <v>0</v>
      </c>
      <c r="Q91" s="9" t="n">
        <f aca="false">((Q70*Assumptions!$D$124)+(Q73*(Assumptions!$D$124+(Assumptions!$C$34*Assumptions!$C$36))))</f>
        <v>0</v>
      </c>
      <c r="R91" s="9" t="n">
        <f aca="false">((R70*Assumptions!$D$124)+(R73*(Assumptions!$D$124+(Assumptions!$C$34*Assumptions!$C$36))))</f>
        <v>0</v>
      </c>
      <c r="S91" s="9" t="n">
        <f aca="false">((S70*Assumptions!$D$124)+(S73*(Assumptions!$D$124+(Assumptions!$C$34*Assumptions!$C$36))))</f>
        <v>0</v>
      </c>
      <c r="T91" s="9" t="n">
        <f aca="false">((T70*Assumptions!$D$124)+(T73*(Assumptions!$D$124+(Assumptions!$C$34*Assumptions!$C$36))))</f>
        <v>224.4</v>
      </c>
      <c r="U91" s="9" t="n">
        <f aca="false">((U70*Assumptions!$D$124)+(U73*(Assumptions!$D$124+(Assumptions!$C$34*Assumptions!$C$36))))</f>
        <v>0</v>
      </c>
      <c r="V91" s="9" t="n">
        <f aca="false">((V70*Assumptions!$D$124)+(V73*(Assumptions!$D$124+(Assumptions!$C$34*Assumptions!$C$36))))</f>
        <v>0</v>
      </c>
      <c r="W91" s="9" t="n">
        <f aca="false">((W70*Assumptions!$D$124)+(W73*(Assumptions!$D$124+(Assumptions!$C$34*Assumptions!$C$36))))</f>
        <v>224.4</v>
      </c>
      <c r="X91" s="9" t="n">
        <f aca="false">((X70*Assumptions!$D$124)+(X73*(Assumptions!$D$124+(Assumptions!$C$34*Assumptions!$C$36))))</f>
        <v>0</v>
      </c>
      <c r="Y91" s="9" t="n">
        <f aca="false">((Y70*Assumptions!$D$124)+(Y73*(Assumptions!$D$124+(Assumptions!$C$34*Assumptions!$C$36))))</f>
        <v>0</v>
      </c>
      <c r="Z91" s="9" t="n">
        <f aca="false">((Z70*Assumptions!$D$124)+(Z73*(Assumptions!$D$124+(Assumptions!$C$34*Assumptions!$C$36))))</f>
        <v>224.4</v>
      </c>
      <c r="AA91" s="9" t="n">
        <f aca="false">((AA70*Assumptions!$D$124)+(AA73*(Assumptions!$D$124+(Assumptions!$C$34*Assumptions!$C$36))))</f>
        <v>0</v>
      </c>
      <c r="AB91" s="9" t="n">
        <f aca="false">((AB70*Assumptions!$D$124)+(AB73*(Assumptions!$D$124+(Assumptions!$C$34*Assumptions!$C$36))))</f>
        <v>0</v>
      </c>
      <c r="AC91" s="9" t="n">
        <f aca="false">((AC70*Assumptions!$D$124)+(AC73*(Assumptions!$D$124+(Assumptions!$C$34*Assumptions!$C$36))))</f>
        <v>224.4</v>
      </c>
      <c r="AD91" s="9" t="n">
        <f aca="false">((AD70*Assumptions!$D$124)+(AD73*(Assumptions!$D$124+(Assumptions!$C$34*Assumptions!$C$36))))</f>
        <v>224.4</v>
      </c>
      <c r="AE91" s="9" t="n">
        <f aca="false">((AE70*Assumptions!$D$124)+(AE73*(Assumptions!$D$124+(Assumptions!$C$34*Assumptions!$C$36))))</f>
        <v>0</v>
      </c>
      <c r="AF91" s="9" t="n">
        <f aca="false">((AF70*Assumptions!$D$124)+(AF73*(Assumptions!$D$124+(Assumptions!$C$34*Assumptions!$C$36))))</f>
        <v>448.8</v>
      </c>
      <c r="AG91" s="9" t="n">
        <f aca="false">((AG70*Assumptions!$D$124)+(AG73*(Assumptions!$D$124+(Assumptions!$C$34*Assumptions!$C$36))))</f>
        <v>224.4</v>
      </c>
      <c r="AH91" s="9" t="n">
        <f aca="false">((AH70*Assumptions!$D$124)+(AH73*(Assumptions!$D$124+(Assumptions!$C$34*Assumptions!$C$36))))</f>
        <v>0</v>
      </c>
      <c r="AI91" s="9" t="n">
        <f aca="false">((AI70*Assumptions!$D$124)+(AI73*(Assumptions!$D$124+(Assumptions!$C$34*Assumptions!$C$36))))</f>
        <v>448.8</v>
      </c>
      <c r="AJ91" s="9" t="n">
        <f aca="false">((AJ70*Assumptions!$D$124)+(AJ73*(Assumptions!$D$124+(Assumptions!$C$34*Assumptions!$C$36))))</f>
        <v>224.4</v>
      </c>
      <c r="AK91" s="9" t="n">
        <f aca="false">((AK70*Assumptions!$D$124)+(AK73*(Assumptions!$D$124+(Assumptions!$C$34*Assumptions!$C$36))))</f>
        <v>0</v>
      </c>
      <c r="AL91" s="9" t="n">
        <f aca="false">((AL70*Assumptions!$D$124)+(AL73*(Assumptions!$D$124+(Assumptions!$C$34*Assumptions!$C$36))))</f>
        <v>448.8</v>
      </c>
      <c r="AN91" s="11" t="n">
        <f aca="false">SUM(C91:N91)</f>
        <v>330</v>
      </c>
      <c r="AO91" s="11" t="n">
        <f aca="false">SUM(O91:Z91)</f>
        <v>673.2</v>
      </c>
      <c r="AP91" s="11" t="n">
        <f aca="false">SUM(AA91:AL91)</f>
        <v>2244</v>
      </c>
    </row>
    <row r="92" customFormat="false" ht="15" hidden="false" customHeight="false" outlineLevel="0" collapsed="false">
      <c r="A92" s="0" t="s">
        <v>898</v>
      </c>
      <c r="B92" s="0" t="s">
        <v>852</v>
      </c>
      <c r="C92" s="14" t="n">
        <f aca="false">((IF(OR((C$18-(Assumptions!$C$9-1)-$C$9)&lt;1,(C$18-(Assumptions!$C$9-1)-$C$9)&gt;36),0,INDEX(Schedules!$C$7:$AL$7,(C$18-(Assumptions!$C$9-1)-$C$9)))*$C$7)*C44)</f>
        <v>0</v>
      </c>
      <c r="D92" s="14" t="n">
        <f aca="false">((IF(OR((D$18-(Assumptions!$C$9-1)-$C$9)&lt;1,(D$18-(Assumptions!$C$9-1)-$C$9)&gt;36),0,INDEX(Schedules!$C$7:$AL$7,(D$18-(Assumptions!$C$9-1)-$C$9)))*$C$7)*D44)</f>
        <v>0</v>
      </c>
      <c r="E92" s="14" t="n">
        <f aca="false">((IF(OR((E$18-(Assumptions!$C$9-1)-$C$9)&lt;1,(E$18-(Assumptions!$C$9-1)-$C$9)&gt;36),0,INDEX(Schedules!$C$7:$AL$7,(E$18-(Assumptions!$C$9-1)-$C$9)))*$C$7)*E44)</f>
        <v>0</v>
      </c>
      <c r="F92" s="14" t="n">
        <f aca="false">((IF(OR((F$18-(Assumptions!$C$9-1)-$C$9)&lt;1,(F$18-(Assumptions!$C$9-1)-$C$9)&gt;36),0,INDEX(Schedules!$C$7:$AL$7,(F$18-(Assumptions!$C$9-1)-$C$9)))*$C$7)*F44)</f>
        <v>0</v>
      </c>
      <c r="G92" s="14" t="n">
        <f aca="false">((IF(OR((G$18-(Assumptions!$C$9-1)-$C$9)&lt;1,(G$18-(Assumptions!$C$9-1)-$C$9)&gt;36),0,INDEX(Schedules!$C$7:$AL$7,(G$18-(Assumptions!$C$9-1)-$C$9)))*$C$7)*G44)</f>
        <v>0</v>
      </c>
      <c r="H92" s="14" t="n">
        <f aca="false">((IF(OR((H$18-(Assumptions!$C$9-1)-$C$9)&lt;1,(H$18-(Assumptions!$C$9-1)-$C$9)&gt;36),0,INDEX(Schedules!$C$7:$AL$7,(H$18-(Assumptions!$C$9-1)-$C$9)))*$C$7)*H44)</f>
        <v>0</v>
      </c>
      <c r="I92" s="14" t="n">
        <f aca="false">((IF(OR((I$18-(Assumptions!$C$9-1)-$C$9)&lt;1,(I$18-(Assumptions!$C$9-1)-$C$9)&gt;36),0,INDEX(Schedules!$C$7:$AL$7,(I$18-(Assumptions!$C$9-1)-$C$9)))*$C$7)*I44)</f>
        <v>0</v>
      </c>
      <c r="J92" s="14" t="n">
        <f aca="false">((IF(OR((J$18-(Assumptions!$C$9-1)-$C$9)&lt;1,(J$18-(Assumptions!$C$9-1)-$C$9)&gt;36),0,INDEX(Schedules!$C$7:$AL$7,(J$18-(Assumptions!$C$9-1)-$C$9)))*$C$7)*J44)</f>
        <v>0</v>
      </c>
      <c r="K92" s="14" t="n">
        <f aca="false">((IF(OR((K$18-(Assumptions!$C$9-1)-$C$9)&lt;1,(K$18-(Assumptions!$C$9-1)-$C$9)&gt;36),0,INDEX(Schedules!$C$7:$AL$7,(K$18-(Assumptions!$C$9-1)-$C$9)))*$C$7)*K44)</f>
        <v>0</v>
      </c>
      <c r="L92" s="14" t="n">
        <f aca="false">((IF(OR((L$18-(Assumptions!$C$9-1)-$C$9)&lt;1,(L$18-(Assumptions!$C$9-1)-$C$9)&gt;36),0,INDEX(Schedules!$C$7:$AL$7,(L$18-(Assumptions!$C$9-1)-$C$9)))*$C$7)*L44)</f>
        <v>0</v>
      </c>
      <c r="M92" s="14" t="n">
        <f aca="false">((IF(OR((M$18-(Assumptions!$C$9-1)-$C$9)&lt;1,(M$18-(Assumptions!$C$9-1)-$C$9)&gt;36),0,INDEX(Schedules!$C$7:$AL$7,(M$18-(Assumptions!$C$9-1)-$C$9)))*$C$7)*M44)</f>
        <v>0</v>
      </c>
      <c r="N92" s="14" t="n">
        <f aca="false">((IF(OR((N$18-(Assumptions!$C$9-1)-$C$9)&lt;1,(N$18-(Assumptions!$C$9-1)-$C$9)&gt;36),0,INDEX(Schedules!$C$7:$AL$7,(N$18-(Assumptions!$C$9-1)-$C$9)))*$C$7)*N44)</f>
        <v>0</v>
      </c>
      <c r="O92" s="14" t="n">
        <f aca="false">((IF(OR((O$18-(Assumptions!$C$9-1)-$C$9)&lt;1,(O$18-(Assumptions!$C$9-1)-$C$9)&gt;36),0,INDEX(Schedules!$C$7:$AL$7,(O$18-(Assumptions!$C$9-1)-$C$9)))*$C$7)*O44)</f>
        <v>0</v>
      </c>
      <c r="P92" s="14" t="n">
        <f aca="false">((IF(OR((P$18-(Assumptions!$C$9-1)-$C$9)&lt;1,(P$18-(Assumptions!$C$9-1)-$C$9)&gt;36),0,INDEX(Schedules!$C$7:$AL$7,(P$18-(Assumptions!$C$9-1)-$C$9)))*$C$7)*P44)</f>
        <v>0</v>
      </c>
      <c r="Q92" s="14" t="n">
        <f aca="false">((IF(OR((Q$18-(Assumptions!$C$9-1)-$C$9)&lt;1,(Q$18-(Assumptions!$C$9-1)-$C$9)&gt;36),0,INDEX(Schedules!$C$7:$AL$7,(Q$18-(Assumptions!$C$9-1)-$C$9)))*$C$7)*Q44)</f>
        <v>0</v>
      </c>
      <c r="R92" s="14" t="n">
        <f aca="false">((IF(OR((R$18-(Assumptions!$C$9-1)-$C$9)&lt;1,(R$18-(Assumptions!$C$9-1)-$C$9)&gt;36),0,INDEX(Schedules!$C$7:$AL$7,(R$18-(Assumptions!$C$9-1)-$C$9)))*$C$7)*R44)</f>
        <v>0</v>
      </c>
      <c r="S92" s="14" t="n">
        <f aca="false">((IF(OR((S$18-(Assumptions!$C$9-1)-$C$9)&lt;1,(S$18-(Assumptions!$C$9-1)-$C$9)&gt;36),0,INDEX(Schedules!$C$7:$AL$7,(S$18-(Assumptions!$C$9-1)-$C$9)))*$C$7)*S44)</f>
        <v>0</v>
      </c>
      <c r="T92" s="14" t="n">
        <f aca="false">((IF(OR((T$18-(Assumptions!$C$9-1)-$C$9)&lt;1,(T$18-(Assumptions!$C$9-1)-$C$9)&gt;36),0,INDEX(Schedules!$C$7:$AL$7,(T$18-(Assumptions!$C$9-1)-$C$9)))*$C$7)*T44)</f>
        <v>0</v>
      </c>
      <c r="U92" s="14" t="n">
        <f aca="false">((IF(OR((U$18-(Assumptions!$C$9-1)-$C$9)&lt;1,(U$18-(Assumptions!$C$9-1)-$C$9)&gt;36),0,INDEX(Schedules!$C$7:$AL$7,(U$18-(Assumptions!$C$9-1)-$C$9)))*$C$7)*U44)</f>
        <v>0</v>
      </c>
      <c r="V92" s="14" t="n">
        <f aca="false">((IF(OR((V$18-(Assumptions!$C$9-1)-$C$9)&lt;1,(V$18-(Assumptions!$C$9-1)-$C$9)&gt;36),0,INDEX(Schedules!$C$7:$AL$7,(V$18-(Assumptions!$C$9-1)-$C$9)))*$C$7)*V44)</f>
        <v>0</v>
      </c>
      <c r="W92" s="14" t="n">
        <f aca="false">((IF(OR((W$18-(Assumptions!$C$9-1)-$C$9)&lt;1,(W$18-(Assumptions!$C$9-1)-$C$9)&gt;36),0,INDEX(Schedules!$C$7:$AL$7,(W$18-(Assumptions!$C$9-1)-$C$9)))*$C$7)*W44)</f>
        <v>0</v>
      </c>
      <c r="X92" s="14" t="n">
        <f aca="false">((IF(OR((X$18-(Assumptions!$C$9-1)-$C$9)&lt;1,(X$18-(Assumptions!$C$9-1)-$C$9)&gt;36),0,INDEX(Schedules!$C$7:$AL$7,(X$18-(Assumptions!$C$9-1)-$C$9)))*$C$7)*X44)</f>
        <v>0</v>
      </c>
      <c r="Y92" s="14" t="n">
        <f aca="false">((IF(OR((Y$18-(Assumptions!$C$9-1)-$C$9)&lt;1,(Y$18-(Assumptions!$C$9-1)-$C$9)&gt;36),0,INDEX(Schedules!$C$7:$AL$7,(Y$18-(Assumptions!$C$9-1)-$C$9)))*$C$7)*Y44)</f>
        <v>0</v>
      </c>
      <c r="Z92" s="14" t="n">
        <f aca="false">((IF(OR((Z$18-(Assumptions!$C$9-1)-$C$9)&lt;1,(Z$18-(Assumptions!$C$9-1)-$C$9)&gt;36),0,INDEX(Schedules!$C$7:$AL$7,(Z$18-(Assumptions!$C$9-1)-$C$9)))*$C$7)*Z44)</f>
        <v>0</v>
      </c>
      <c r="AA92" s="14" t="n">
        <f aca="false">((IF(OR((AA$18-(Assumptions!$C$9-1)-$C$9)&lt;1,(AA$18-(Assumptions!$C$9-1)-$C$9)&gt;36),0,INDEX(Schedules!$C$7:$AL$7,(AA$18-(Assumptions!$C$9-1)-$C$9)))*$C$7)*AA44)</f>
        <v>0</v>
      </c>
      <c r="AB92" s="14" t="n">
        <f aca="false">((IF(OR((AB$18-(Assumptions!$C$9-1)-$C$9)&lt;1,(AB$18-(Assumptions!$C$9-1)-$C$9)&gt;36),0,INDEX(Schedules!$C$7:$AL$7,(AB$18-(Assumptions!$C$9-1)-$C$9)))*$C$7)*AB44)</f>
        <v>0</v>
      </c>
      <c r="AC92" s="14" t="n">
        <f aca="false">((IF(OR((AC$18-(Assumptions!$C$9-1)-$C$9)&lt;1,(AC$18-(Assumptions!$C$9-1)-$C$9)&gt;36),0,INDEX(Schedules!$C$7:$AL$7,(AC$18-(Assumptions!$C$9-1)-$C$9)))*$C$7)*AC44)</f>
        <v>0</v>
      </c>
      <c r="AD92" s="14" t="n">
        <f aca="false">((IF(OR((AD$18-(Assumptions!$C$9-1)-$C$9)&lt;1,(AD$18-(Assumptions!$C$9-1)-$C$9)&gt;36),0,INDEX(Schedules!$C$7:$AL$7,(AD$18-(Assumptions!$C$9-1)-$C$9)))*$C$7)*AD44)</f>
        <v>0</v>
      </c>
      <c r="AE92" s="14" t="n">
        <f aca="false">((IF(OR((AE$18-(Assumptions!$C$9-1)-$C$9)&lt;1,(AE$18-(Assumptions!$C$9-1)-$C$9)&gt;36),0,INDEX(Schedules!$C$7:$AL$7,(AE$18-(Assumptions!$C$9-1)-$C$9)))*$C$7)*AE44)</f>
        <v>0</v>
      </c>
      <c r="AF92" s="14" t="n">
        <f aca="false">((IF(OR((AF$18-(Assumptions!$C$9-1)-$C$9)&lt;1,(AF$18-(Assumptions!$C$9-1)-$C$9)&gt;36),0,INDEX(Schedules!$C$7:$AL$7,(AF$18-(Assumptions!$C$9-1)-$C$9)))*$C$7)*AF44)</f>
        <v>0</v>
      </c>
      <c r="AG92" s="14" t="n">
        <f aca="false">((IF(OR((AG$18-(Assumptions!$C$9-1)-$C$9)&lt;1,(AG$18-(Assumptions!$C$9-1)-$C$9)&gt;36),0,INDEX(Schedules!$C$7:$AL$7,(AG$18-(Assumptions!$C$9-1)-$C$9)))*$C$7)*AG44)</f>
        <v>0</v>
      </c>
      <c r="AH92" s="14" t="n">
        <f aca="false">((IF(OR((AH$18-(Assumptions!$C$9-1)-$C$9)&lt;1,(AH$18-(Assumptions!$C$9-1)-$C$9)&gt;36),0,INDEX(Schedules!$C$7:$AL$7,(AH$18-(Assumptions!$C$9-1)-$C$9)))*$C$7)*AH44)</f>
        <v>0.6</v>
      </c>
      <c r="AI92" s="14" t="n">
        <f aca="false">((IF(OR((AI$18-(Assumptions!$C$9-1)-$C$9)&lt;1,(AI$18-(Assumptions!$C$9-1)-$C$9)&gt;36),0,INDEX(Schedules!$C$7:$AL$7,(AI$18-(Assumptions!$C$9-1)-$C$9)))*$C$7)*AI44)</f>
        <v>0</v>
      </c>
      <c r="AJ92" s="14" t="n">
        <f aca="false">((IF(OR((AJ$18-(Assumptions!$C$9-1)-$C$9)&lt;1,(AJ$18-(Assumptions!$C$9-1)-$C$9)&gt;36),0,INDEX(Schedules!$C$7:$AL$7,(AJ$18-(Assumptions!$C$9-1)-$C$9)))*$C$7)*AJ44)</f>
        <v>0</v>
      </c>
      <c r="AK92" s="14" t="n">
        <f aca="false">((IF(OR((AK$18-(Assumptions!$C$9-1)-$C$9)&lt;1,(AK$18-(Assumptions!$C$9-1)-$C$9)&gt;36),0,INDEX(Schedules!$C$7:$AL$7,(AK$18-(Assumptions!$C$9-1)-$C$9)))*$C$7)*AK44)</f>
        <v>0</v>
      </c>
      <c r="AL92" s="14" t="n">
        <f aca="false">((IF(OR((AL$18-(Assumptions!$C$9-1)-$C$9)&lt;1,(AL$18-(Assumptions!$C$9-1)-$C$9)&gt;36),0,INDEX(Schedules!$C$7:$AL$7,(AL$18-(Assumptions!$C$9-1)-$C$9)))*$C$7)*AL44)</f>
        <v>0</v>
      </c>
      <c r="AN92" s="36" t="n">
        <f aca="false">SUM(C92:N92)</f>
        <v>0</v>
      </c>
      <c r="AO92" s="36" t="n">
        <f aca="false">SUM(O92:Z92)</f>
        <v>0</v>
      </c>
      <c r="AP92" s="36" t="n">
        <f aca="false">SUM(AA92:AL92)</f>
        <v>0.6</v>
      </c>
    </row>
    <row r="93" customFormat="false" ht="15" hidden="false" customHeight="false" outlineLevel="0" collapsed="false">
      <c r="A93" s="0" t="s">
        <v>899</v>
      </c>
      <c r="B93" s="0" t="s">
        <v>852</v>
      </c>
      <c r="C93" s="14" t="n">
        <f aca="false">INDEX(Schedules!$C$13:$AL$13,C$18)</f>
        <v>0</v>
      </c>
      <c r="D93" s="14" t="n">
        <f aca="false">INDEX(Schedules!$C$13:$AL$13,D$18)</f>
        <v>0</v>
      </c>
      <c r="E93" s="14" t="n">
        <f aca="false">INDEX(Schedules!$C$13:$AL$13,E$18)</f>
        <v>0</v>
      </c>
      <c r="F93" s="14" t="n">
        <f aca="false">INDEX(Schedules!$C$13:$AL$13,F$18)</f>
        <v>0</v>
      </c>
      <c r="G93" s="14" t="n">
        <f aca="false">INDEX(Schedules!$C$13:$AL$13,G$18)</f>
        <v>0</v>
      </c>
      <c r="H93" s="14" t="n">
        <f aca="false">INDEX(Schedules!$C$13:$AL$13,H$18)</f>
        <v>0</v>
      </c>
      <c r="I93" s="14" t="n">
        <f aca="false">INDEX(Schedules!$C$13:$AL$13,I$18)</f>
        <v>0</v>
      </c>
      <c r="J93" s="14" t="n">
        <f aca="false">INDEX(Schedules!$C$13:$AL$13,J$18)</f>
        <v>0</v>
      </c>
      <c r="K93" s="14" t="n">
        <f aca="false">INDEX(Schedules!$C$13:$AL$13,K$18)</f>
        <v>0</v>
      </c>
      <c r="L93" s="14" t="n">
        <f aca="false">INDEX(Schedules!$C$13:$AL$13,L$18)</f>
        <v>0</v>
      </c>
      <c r="M93" s="14" t="n">
        <f aca="false">INDEX(Schedules!$C$13:$AL$13,M$18)</f>
        <v>0</v>
      </c>
      <c r="N93" s="14" t="n">
        <f aca="false">INDEX(Schedules!$C$13:$AL$13,N$18)</f>
        <v>0</v>
      </c>
      <c r="O93" s="14" t="n">
        <f aca="false">INDEX(Schedules!$C$13:$AL$13,O$18)</f>
        <v>0</v>
      </c>
      <c r="P93" s="14" t="n">
        <f aca="false">INDEX(Schedules!$C$13:$AL$13,P$18)</f>
        <v>0</v>
      </c>
      <c r="Q93" s="14" t="n">
        <f aca="false">INDEX(Schedules!$C$13:$AL$13,Q$18)</f>
        <v>0</v>
      </c>
      <c r="R93" s="14" t="n">
        <f aca="false">INDEX(Schedules!$C$13:$AL$13,R$18)</f>
        <v>0</v>
      </c>
      <c r="S93" s="14" t="n">
        <f aca="false">INDEX(Schedules!$C$13:$AL$13,S$18)</f>
        <v>0</v>
      </c>
      <c r="T93" s="14" t="n">
        <f aca="false">INDEX(Schedules!$C$13:$AL$13,T$18)</f>
        <v>0</v>
      </c>
      <c r="U93" s="14" t="n">
        <f aca="false">INDEX(Schedules!$C$13:$AL$13,U$18)</f>
        <v>0</v>
      </c>
      <c r="V93" s="14" t="n">
        <f aca="false">INDEX(Schedules!$C$13:$AL$13,V$18)</f>
        <v>0</v>
      </c>
      <c r="W93" s="14" t="n">
        <f aca="false">INDEX(Schedules!$C$13:$AL$13,W$18)</f>
        <v>0</v>
      </c>
      <c r="X93" s="14" t="n">
        <f aca="false">INDEX(Schedules!$C$13:$AL$13,X$18)</f>
        <v>0</v>
      </c>
      <c r="Y93" s="14" t="n">
        <f aca="false">INDEX(Schedules!$C$13:$AL$13,Y$18)</f>
        <v>0</v>
      </c>
      <c r="Z93" s="14" t="n">
        <f aca="false">INDEX(Schedules!$C$13:$AL$13,Z$18)</f>
        <v>0</v>
      </c>
      <c r="AA93" s="14" t="n">
        <f aca="false">INDEX(Schedules!$C$13:$AL$13,AA$18)</f>
        <v>0</v>
      </c>
      <c r="AB93" s="14" t="n">
        <f aca="false">INDEX(Schedules!$C$13:$AL$13,AB$18)</f>
        <v>0</v>
      </c>
      <c r="AC93" s="14" t="n">
        <f aca="false">INDEX(Schedules!$C$13:$AL$13,AC$18)</f>
        <v>0</v>
      </c>
      <c r="AD93" s="14" t="n">
        <f aca="false">INDEX(Schedules!$C$13:$AL$13,AD$18)</f>
        <v>0</v>
      </c>
      <c r="AE93" s="14" t="n">
        <f aca="false">INDEX(Schedules!$C$13:$AL$13,AE$18)</f>
        <v>0</v>
      </c>
      <c r="AF93" s="14" t="n">
        <f aca="false">INDEX(Schedules!$C$13:$AL$13,AF$18)</f>
        <v>0</v>
      </c>
      <c r="AG93" s="14" t="n">
        <f aca="false">INDEX(Schedules!$C$13:$AL$13,AG$18)</f>
        <v>0</v>
      </c>
      <c r="AH93" s="14" t="n">
        <f aca="false">INDEX(Schedules!$C$13:$AL$13,AH$18)</f>
        <v>0</v>
      </c>
      <c r="AI93" s="14" t="n">
        <f aca="false">INDEX(Schedules!$C$13:$AL$13,AI$18)</f>
        <v>0</v>
      </c>
      <c r="AJ93" s="14" t="n">
        <f aca="false">INDEX(Schedules!$C$13:$AL$13,AJ$18)</f>
        <v>0</v>
      </c>
      <c r="AK93" s="14" t="n">
        <f aca="false">INDEX(Schedules!$C$13:$AL$13,AK$18)</f>
        <v>0</v>
      </c>
      <c r="AL93" s="14" t="n">
        <f aca="false">INDEX(Schedules!$C$13:$AL$13,AL$18)</f>
        <v>0</v>
      </c>
      <c r="AN93" s="36" t="n">
        <f aca="false">SUM(C93:N93)</f>
        <v>0</v>
      </c>
      <c r="AO93" s="36" t="n">
        <f aca="false">SUM(O93:Z93)</f>
        <v>0</v>
      </c>
      <c r="AP93" s="36" t="n">
        <f aca="false">SUM(AA93:AL93)</f>
        <v>0</v>
      </c>
    </row>
    <row r="94" customFormat="false" ht="15" hidden="false" customHeight="false" outlineLevel="0" collapsed="false">
      <c r="A94" s="0" t="s">
        <v>900</v>
      </c>
      <c r="B94" s="0" t="s">
        <v>852</v>
      </c>
      <c r="C94" s="14" t="n">
        <f aca="false">(C92+C93)</f>
        <v>0</v>
      </c>
      <c r="D94" s="14" t="n">
        <f aca="false">(D92+D93)</f>
        <v>0</v>
      </c>
      <c r="E94" s="14" t="n">
        <f aca="false">(E92+E93)</f>
        <v>0</v>
      </c>
      <c r="F94" s="14" t="n">
        <f aca="false">(F92+F93)</f>
        <v>0</v>
      </c>
      <c r="G94" s="14" t="n">
        <f aca="false">(G92+G93)</f>
        <v>0</v>
      </c>
      <c r="H94" s="14" t="n">
        <f aca="false">(H92+H93)</f>
        <v>0</v>
      </c>
      <c r="I94" s="14" t="n">
        <f aca="false">(I92+I93)</f>
        <v>0</v>
      </c>
      <c r="J94" s="14" t="n">
        <f aca="false">(J92+J93)</f>
        <v>0</v>
      </c>
      <c r="K94" s="14" t="n">
        <f aca="false">(K92+K93)</f>
        <v>0</v>
      </c>
      <c r="L94" s="14" t="n">
        <f aca="false">(L92+L93)</f>
        <v>0</v>
      </c>
      <c r="M94" s="14" t="n">
        <f aca="false">(M92+M93)</f>
        <v>0</v>
      </c>
      <c r="N94" s="14" t="n">
        <f aca="false">(N92+N93)</f>
        <v>0</v>
      </c>
      <c r="O94" s="14" t="n">
        <f aca="false">(O92+O93)</f>
        <v>0</v>
      </c>
      <c r="P94" s="14" t="n">
        <f aca="false">(P92+P93)</f>
        <v>0</v>
      </c>
      <c r="Q94" s="14" t="n">
        <f aca="false">(Q92+Q93)</f>
        <v>0</v>
      </c>
      <c r="R94" s="14" t="n">
        <f aca="false">(R92+R93)</f>
        <v>0</v>
      </c>
      <c r="S94" s="14" t="n">
        <f aca="false">(S92+S93)</f>
        <v>0</v>
      </c>
      <c r="T94" s="14" t="n">
        <f aca="false">(T92+T93)</f>
        <v>0</v>
      </c>
      <c r="U94" s="14" t="n">
        <f aca="false">(U92+U93)</f>
        <v>0</v>
      </c>
      <c r="V94" s="14" t="n">
        <f aca="false">(V92+V93)</f>
        <v>0</v>
      </c>
      <c r="W94" s="14" t="n">
        <f aca="false">(W92+W93)</f>
        <v>0</v>
      </c>
      <c r="X94" s="14" t="n">
        <f aca="false">(X92+X93)</f>
        <v>0</v>
      </c>
      <c r="Y94" s="14" t="n">
        <f aca="false">(Y92+Y93)</f>
        <v>0</v>
      </c>
      <c r="Z94" s="14" t="n">
        <f aca="false">(Z92+Z93)</f>
        <v>0</v>
      </c>
      <c r="AA94" s="14" t="n">
        <f aca="false">(AA92+AA93)</f>
        <v>0</v>
      </c>
      <c r="AB94" s="14" t="n">
        <f aca="false">(AB92+AB93)</f>
        <v>0</v>
      </c>
      <c r="AC94" s="14" t="n">
        <f aca="false">(AC92+AC93)</f>
        <v>0</v>
      </c>
      <c r="AD94" s="14" t="n">
        <f aca="false">(AD92+AD93)</f>
        <v>0</v>
      </c>
      <c r="AE94" s="14" t="n">
        <f aca="false">(AE92+AE93)</f>
        <v>0</v>
      </c>
      <c r="AF94" s="14" t="n">
        <f aca="false">(AF92+AF93)</f>
        <v>0</v>
      </c>
      <c r="AG94" s="14" t="n">
        <f aca="false">(AG92+AG93)</f>
        <v>0</v>
      </c>
      <c r="AH94" s="14" t="n">
        <f aca="false">(AH92+AH93)</f>
        <v>0.6</v>
      </c>
      <c r="AI94" s="14" t="n">
        <f aca="false">(AI92+AI93)</f>
        <v>0</v>
      </c>
      <c r="AJ94" s="14" t="n">
        <f aca="false">(AJ92+AJ93)</f>
        <v>0</v>
      </c>
      <c r="AK94" s="14" t="n">
        <f aca="false">(AK92+AK93)</f>
        <v>0</v>
      </c>
      <c r="AL94" s="14" t="n">
        <f aca="false">(AL92+AL93)</f>
        <v>0</v>
      </c>
      <c r="AN94" s="36" t="n">
        <f aca="false">SUM(C94:N94)</f>
        <v>0</v>
      </c>
      <c r="AO94" s="36" t="n">
        <f aca="false">SUM(O94:Z94)</f>
        <v>0</v>
      </c>
      <c r="AP94" s="36" t="n">
        <f aca="false">SUM(AA94:AL94)</f>
        <v>0.6</v>
      </c>
    </row>
    <row r="95" customFormat="false" ht="15" hidden="false" customHeight="false" outlineLevel="0" collapsed="false">
      <c r="A95" s="0" t="s">
        <v>901</v>
      </c>
      <c r="B95" s="0" t="s">
        <v>852</v>
      </c>
      <c r="C95" s="14" t="n">
        <f aca="false">((IF(OR((C$18-(Assumptions!$C$9-1)-$C$9)&lt;1,(C$18-(Assumptions!$C$9-1)-$C$9)&gt;36),0,INDEX(Schedules!$C$10:$AL$10,(C$18-(Assumptions!$C$9-1)-$C$9)))*$C$7)*C44)</f>
        <v>0</v>
      </c>
      <c r="D95" s="14" t="n">
        <f aca="false">((IF(OR((D$18-(Assumptions!$C$9-1)-$C$9)&lt;1,(D$18-(Assumptions!$C$9-1)-$C$9)&gt;36),0,INDEX(Schedules!$C$10:$AL$10,(D$18-(Assumptions!$C$9-1)-$C$9)))*$C$7)*D44)</f>
        <v>0</v>
      </c>
      <c r="E95" s="14" t="n">
        <f aca="false">((IF(OR((E$18-(Assumptions!$C$9-1)-$C$9)&lt;1,(E$18-(Assumptions!$C$9-1)-$C$9)&gt;36),0,INDEX(Schedules!$C$10:$AL$10,(E$18-(Assumptions!$C$9-1)-$C$9)))*$C$7)*E44)</f>
        <v>0</v>
      </c>
      <c r="F95" s="14" t="n">
        <f aca="false">((IF(OR((F$18-(Assumptions!$C$9-1)-$C$9)&lt;1,(F$18-(Assumptions!$C$9-1)-$C$9)&gt;36),0,INDEX(Schedules!$C$10:$AL$10,(F$18-(Assumptions!$C$9-1)-$C$9)))*$C$7)*F44)</f>
        <v>0</v>
      </c>
      <c r="G95" s="14" t="n">
        <f aca="false">((IF(OR((G$18-(Assumptions!$C$9-1)-$C$9)&lt;1,(G$18-(Assumptions!$C$9-1)-$C$9)&gt;36),0,INDEX(Schedules!$C$10:$AL$10,(G$18-(Assumptions!$C$9-1)-$C$9)))*$C$7)*G44)</f>
        <v>0</v>
      </c>
      <c r="H95" s="14" t="n">
        <f aca="false">((IF(OR((H$18-(Assumptions!$C$9-1)-$C$9)&lt;1,(H$18-(Assumptions!$C$9-1)-$C$9)&gt;36),0,INDEX(Schedules!$C$10:$AL$10,(H$18-(Assumptions!$C$9-1)-$C$9)))*$C$7)*H44)</f>
        <v>0</v>
      </c>
      <c r="I95" s="14" t="n">
        <f aca="false">((IF(OR((I$18-(Assumptions!$C$9-1)-$C$9)&lt;1,(I$18-(Assumptions!$C$9-1)-$C$9)&gt;36),0,INDEX(Schedules!$C$10:$AL$10,(I$18-(Assumptions!$C$9-1)-$C$9)))*$C$7)*I44)</f>
        <v>0</v>
      </c>
      <c r="J95" s="14" t="n">
        <f aca="false">((IF(OR((J$18-(Assumptions!$C$9-1)-$C$9)&lt;1,(J$18-(Assumptions!$C$9-1)-$C$9)&gt;36),0,INDEX(Schedules!$C$10:$AL$10,(J$18-(Assumptions!$C$9-1)-$C$9)))*$C$7)*J44)</f>
        <v>0</v>
      </c>
      <c r="K95" s="14" t="n">
        <f aca="false">((IF(OR((K$18-(Assumptions!$C$9-1)-$C$9)&lt;1,(K$18-(Assumptions!$C$9-1)-$C$9)&gt;36),0,INDEX(Schedules!$C$10:$AL$10,(K$18-(Assumptions!$C$9-1)-$C$9)))*$C$7)*K44)</f>
        <v>0</v>
      </c>
      <c r="L95" s="14" t="n">
        <f aca="false">((IF(OR((L$18-(Assumptions!$C$9-1)-$C$9)&lt;1,(L$18-(Assumptions!$C$9-1)-$C$9)&gt;36),0,INDEX(Schedules!$C$10:$AL$10,(L$18-(Assumptions!$C$9-1)-$C$9)))*$C$7)*L44)</f>
        <v>0</v>
      </c>
      <c r="M95" s="14" t="n">
        <f aca="false">((IF(OR((M$18-(Assumptions!$C$9-1)-$C$9)&lt;1,(M$18-(Assumptions!$C$9-1)-$C$9)&gt;36),0,INDEX(Schedules!$C$10:$AL$10,(M$18-(Assumptions!$C$9-1)-$C$9)))*$C$7)*M44)</f>
        <v>0</v>
      </c>
      <c r="N95" s="14" t="n">
        <f aca="false">((IF(OR((N$18-(Assumptions!$C$9-1)-$C$9)&lt;1,(N$18-(Assumptions!$C$9-1)-$C$9)&gt;36),0,INDEX(Schedules!$C$10:$AL$10,(N$18-(Assumptions!$C$9-1)-$C$9)))*$C$7)*N44)</f>
        <v>0</v>
      </c>
      <c r="O95" s="14" t="n">
        <f aca="false">((IF(OR((O$18-(Assumptions!$C$9-1)-$C$9)&lt;1,(O$18-(Assumptions!$C$9-1)-$C$9)&gt;36),0,INDEX(Schedules!$C$10:$AL$10,(O$18-(Assumptions!$C$9-1)-$C$9)))*$C$7)*O44)</f>
        <v>0</v>
      </c>
      <c r="P95" s="14" t="n">
        <f aca="false">((IF(OR((P$18-(Assumptions!$C$9-1)-$C$9)&lt;1,(P$18-(Assumptions!$C$9-1)-$C$9)&gt;36),0,INDEX(Schedules!$C$10:$AL$10,(P$18-(Assumptions!$C$9-1)-$C$9)))*$C$7)*P44)</f>
        <v>0</v>
      </c>
      <c r="Q95" s="14" t="n">
        <f aca="false">((IF(OR((Q$18-(Assumptions!$C$9-1)-$C$9)&lt;1,(Q$18-(Assumptions!$C$9-1)-$C$9)&gt;36),0,INDEX(Schedules!$C$10:$AL$10,(Q$18-(Assumptions!$C$9-1)-$C$9)))*$C$7)*Q44)</f>
        <v>0</v>
      </c>
      <c r="R95" s="14" t="n">
        <f aca="false">((IF(OR((R$18-(Assumptions!$C$9-1)-$C$9)&lt;1,(R$18-(Assumptions!$C$9-1)-$C$9)&gt;36),0,INDEX(Schedules!$C$10:$AL$10,(R$18-(Assumptions!$C$9-1)-$C$9)))*$C$7)*R44)</f>
        <v>0</v>
      </c>
      <c r="S95" s="14" t="n">
        <f aca="false">((IF(OR((S$18-(Assumptions!$C$9-1)-$C$9)&lt;1,(S$18-(Assumptions!$C$9-1)-$C$9)&gt;36),0,INDEX(Schedules!$C$10:$AL$10,(S$18-(Assumptions!$C$9-1)-$C$9)))*$C$7)*S44)</f>
        <v>0</v>
      </c>
      <c r="T95" s="14" t="n">
        <f aca="false">((IF(OR((T$18-(Assumptions!$C$9-1)-$C$9)&lt;1,(T$18-(Assumptions!$C$9-1)-$C$9)&gt;36),0,INDEX(Schedules!$C$10:$AL$10,(T$18-(Assumptions!$C$9-1)-$C$9)))*$C$7)*T44)</f>
        <v>0</v>
      </c>
      <c r="U95" s="14" t="n">
        <f aca="false">((IF(OR((U$18-(Assumptions!$C$9-1)-$C$9)&lt;1,(U$18-(Assumptions!$C$9-1)-$C$9)&gt;36),0,INDEX(Schedules!$C$10:$AL$10,(U$18-(Assumptions!$C$9-1)-$C$9)))*$C$7)*U44)</f>
        <v>0</v>
      </c>
      <c r="V95" s="14" t="n">
        <f aca="false">((IF(OR((V$18-(Assumptions!$C$9-1)-$C$9)&lt;1,(V$18-(Assumptions!$C$9-1)-$C$9)&gt;36),0,INDEX(Schedules!$C$10:$AL$10,(V$18-(Assumptions!$C$9-1)-$C$9)))*$C$7)*V44)</f>
        <v>0</v>
      </c>
      <c r="W95" s="14" t="n">
        <f aca="false">((IF(OR((W$18-(Assumptions!$C$9-1)-$C$9)&lt;1,(W$18-(Assumptions!$C$9-1)-$C$9)&gt;36),0,INDEX(Schedules!$C$10:$AL$10,(W$18-(Assumptions!$C$9-1)-$C$9)))*$C$7)*W44)</f>
        <v>0</v>
      </c>
      <c r="X95" s="14" t="n">
        <f aca="false">((IF(OR((X$18-(Assumptions!$C$9-1)-$C$9)&lt;1,(X$18-(Assumptions!$C$9-1)-$C$9)&gt;36),0,INDEX(Schedules!$C$10:$AL$10,(X$18-(Assumptions!$C$9-1)-$C$9)))*$C$7)*X44)</f>
        <v>0</v>
      </c>
      <c r="Y95" s="14" t="n">
        <f aca="false">((IF(OR((Y$18-(Assumptions!$C$9-1)-$C$9)&lt;1,(Y$18-(Assumptions!$C$9-1)-$C$9)&gt;36),0,INDEX(Schedules!$C$10:$AL$10,(Y$18-(Assumptions!$C$9-1)-$C$9)))*$C$7)*Y44)</f>
        <v>0</v>
      </c>
      <c r="Z95" s="14" t="n">
        <f aca="false">((IF(OR((Z$18-(Assumptions!$C$9-1)-$C$9)&lt;1,(Z$18-(Assumptions!$C$9-1)-$C$9)&gt;36),0,INDEX(Schedules!$C$10:$AL$10,(Z$18-(Assumptions!$C$9-1)-$C$9)))*$C$7)*Z44)</f>
        <v>0</v>
      </c>
      <c r="AA95" s="14" t="n">
        <f aca="false">((IF(OR((AA$18-(Assumptions!$C$9-1)-$C$9)&lt;1,(AA$18-(Assumptions!$C$9-1)-$C$9)&gt;36),0,INDEX(Schedules!$C$10:$AL$10,(AA$18-(Assumptions!$C$9-1)-$C$9)))*$C$7)*AA44)</f>
        <v>0</v>
      </c>
      <c r="AB95" s="14" t="n">
        <f aca="false">((IF(OR((AB$18-(Assumptions!$C$9-1)-$C$9)&lt;1,(AB$18-(Assumptions!$C$9-1)-$C$9)&gt;36),0,INDEX(Schedules!$C$10:$AL$10,(AB$18-(Assumptions!$C$9-1)-$C$9)))*$C$7)*AB44)</f>
        <v>0</v>
      </c>
      <c r="AC95" s="14" t="n">
        <f aca="false">((IF(OR((AC$18-(Assumptions!$C$9-1)-$C$9)&lt;1,(AC$18-(Assumptions!$C$9-1)-$C$9)&gt;36),0,INDEX(Schedules!$C$10:$AL$10,(AC$18-(Assumptions!$C$9-1)-$C$9)))*$C$7)*AC44)</f>
        <v>0</v>
      </c>
      <c r="AD95" s="14" t="n">
        <f aca="false">((IF(OR((AD$18-(Assumptions!$C$9-1)-$C$9)&lt;1,(AD$18-(Assumptions!$C$9-1)-$C$9)&gt;36),0,INDEX(Schedules!$C$10:$AL$10,(AD$18-(Assumptions!$C$9-1)-$C$9)))*$C$7)*AD44)</f>
        <v>0</v>
      </c>
      <c r="AE95" s="14" t="n">
        <f aca="false">((IF(OR((AE$18-(Assumptions!$C$9-1)-$C$9)&lt;1,(AE$18-(Assumptions!$C$9-1)-$C$9)&gt;36),0,INDEX(Schedules!$C$10:$AL$10,(AE$18-(Assumptions!$C$9-1)-$C$9)))*$C$7)*AE44)</f>
        <v>0</v>
      </c>
      <c r="AF95" s="14" t="n">
        <f aca="false">((IF(OR((AF$18-(Assumptions!$C$9-1)-$C$9)&lt;1,(AF$18-(Assumptions!$C$9-1)-$C$9)&gt;36),0,INDEX(Schedules!$C$10:$AL$10,(AF$18-(Assumptions!$C$9-1)-$C$9)))*$C$7)*AF44)</f>
        <v>0</v>
      </c>
      <c r="AG95" s="14" t="n">
        <f aca="false">((IF(OR((AG$18-(Assumptions!$C$9-1)-$C$9)&lt;1,(AG$18-(Assumptions!$C$9-1)-$C$9)&gt;36),0,INDEX(Schedules!$C$10:$AL$10,(AG$18-(Assumptions!$C$9-1)-$C$9)))*$C$7)*AG44)</f>
        <v>0</v>
      </c>
      <c r="AH95" s="14" t="n">
        <f aca="false">((IF(OR((AH$18-(Assumptions!$C$9-1)-$C$9)&lt;1,(AH$18-(Assumptions!$C$9-1)-$C$9)&gt;36),0,INDEX(Schedules!$C$10:$AL$10,(AH$18-(Assumptions!$C$9-1)-$C$9)))*$C$7)*AH44)</f>
        <v>0</v>
      </c>
      <c r="AI95" s="14" t="n">
        <f aca="false">((IF(OR((AI$18-(Assumptions!$C$9-1)-$C$9)&lt;1,(AI$18-(Assumptions!$C$9-1)-$C$9)&gt;36),0,INDEX(Schedules!$C$10:$AL$10,(AI$18-(Assumptions!$C$9-1)-$C$9)))*$C$7)*AI44)</f>
        <v>0</v>
      </c>
      <c r="AJ95" s="14" t="n">
        <f aca="false">((IF(OR((AJ$18-(Assumptions!$C$9-1)-$C$9)&lt;1,(AJ$18-(Assumptions!$C$9-1)-$C$9)&gt;36),0,INDEX(Schedules!$C$10:$AL$10,(AJ$18-(Assumptions!$C$9-1)-$C$9)))*$C$7)*AJ44)</f>
        <v>0</v>
      </c>
      <c r="AK95" s="14" t="n">
        <f aca="false">((IF(OR((AK$18-(Assumptions!$C$9-1)-$C$9)&lt;1,(AK$18-(Assumptions!$C$9-1)-$C$9)&gt;36),0,INDEX(Schedules!$C$10:$AL$10,(AK$18-(Assumptions!$C$9-1)-$C$9)))*$C$7)*AK44)</f>
        <v>0</v>
      </c>
      <c r="AL95" s="14" t="n">
        <f aca="false">((IF(OR((AL$18-(Assumptions!$C$9-1)-$C$9)&lt;1,(AL$18-(Assumptions!$C$9-1)-$C$9)&gt;36),0,INDEX(Schedules!$C$10:$AL$10,(AL$18-(Assumptions!$C$9-1)-$C$9)))*$C$7)*AL44)</f>
        <v>0</v>
      </c>
      <c r="AN95" s="36" t="n">
        <f aca="false">SUM(C95:N95)</f>
        <v>0</v>
      </c>
      <c r="AO95" s="36" t="n">
        <f aca="false">SUM(O95:Z95)</f>
        <v>0</v>
      </c>
      <c r="AP95" s="36" t="n">
        <f aca="false">SUM(AA95:AL95)</f>
        <v>0</v>
      </c>
    </row>
    <row r="96" customFormat="false" ht="15" hidden="false" customHeight="false" outlineLevel="0" collapsed="false">
      <c r="A96" s="0" t="s">
        <v>902</v>
      </c>
      <c r="B96" s="0" t="s">
        <v>852</v>
      </c>
      <c r="C96" s="14" t="n">
        <f aca="false">(C92+C95)</f>
        <v>0</v>
      </c>
      <c r="D96" s="14" t="n">
        <f aca="false">(D92+D95)</f>
        <v>0</v>
      </c>
      <c r="E96" s="14" t="n">
        <f aca="false">(E92+E95)</f>
        <v>0</v>
      </c>
      <c r="F96" s="14" t="n">
        <f aca="false">(F92+F95)</f>
        <v>0</v>
      </c>
      <c r="G96" s="14" t="n">
        <f aca="false">(G92+G95)</f>
        <v>0</v>
      </c>
      <c r="H96" s="14" t="n">
        <f aca="false">(H92+H95)</f>
        <v>0</v>
      </c>
      <c r="I96" s="14" t="n">
        <f aca="false">(I92+I95)</f>
        <v>0</v>
      </c>
      <c r="J96" s="14" t="n">
        <f aca="false">(J92+J95)</f>
        <v>0</v>
      </c>
      <c r="K96" s="14" t="n">
        <f aca="false">(K92+K95)</f>
        <v>0</v>
      </c>
      <c r="L96" s="14" t="n">
        <f aca="false">(L92+L95)</f>
        <v>0</v>
      </c>
      <c r="M96" s="14" t="n">
        <f aca="false">(M92+M95)</f>
        <v>0</v>
      </c>
      <c r="N96" s="14" t="n">
        <f aca="false">(N92+N95)</f>
        <v>0</v>
      </c>
      <c r="O96" s="14" t="n">
        <f aca="false">(O92+O95)</f>
        <v>0</v>
      </c>
      <c r="P96" s="14" t="n">
        <f aca="false">(P92+P95)</f>
        <v>0</v>
      </c>
      <c r="Q96" s="14" t="n">
        <f aca="false">(Q92+Q95)</f>
        <v>0</v>
      </c>
      <c r="R96" s="14" t="n">
        <f aca="false">(R92+R95)</f>
        <v>0</v>
      </c>
      <c r="S96" s="14" t="n">
        <f aca="false">(S92+S95)</f>
        <v>0</v>
      </c>
      <c r="T96" s="14" t="n">
        <f aca="false">(T92+T95)</f>
        <v>0</v>
      </c>
      <c r="U96" s="14" t="n">
        <f aca="false">(U92+U95)</f>
        <v>0</v>
      </c>
      <c r="V96" s="14" t="n">
        <f aca="false">(V92+V95)</f>
        <v>0</v>
      </c>
      <c r="W96" s="14" t="n">
        <f aca="false">(W92+W95)</f>
        <v>0</v>
      </c>
      <c r="X96" s="14" t="n">
        <f aca="false">(X92+X95)</f>
        <v>0</v>
      </c>
      <c r="Y96" s="14" t="n">
        <f aca="false">(Y92+Y95)</f>
        <v>0</v>
      </c>
      <c r="Z96" s="14" t="n">
        <f aca="false">(Z92+Z95)</f>
        <v>0</v>
      </c>
      <c r="AA96" s="14" t="n">
        <f aca="false">(AA92+AA95)</f>
        <v>0</v>
      </c>
      <c r="AB96" s="14" t="n">
        <f aca="false">(AB92+AB95)</f>
        <v>0</v>
      </c>
      <c r="AC96" s="14" t="n">
        <f aca="false">(AC92+AC95)</f>
        <v>0</v>
      </c>
      <c r="AD96" s="14" t="n">
        <f aca="false">(AD92+AD95)</f>
        <v>0</v>
      </c>
      <c r="AE96" s="14" t="n">
        <f aca="false">(AE92+AE95)</f>
        <v>0</v>
      </c>
      <c r="AF96" s="14" t="n">
        <f aca="false">(AF92+AF95)</f>
        <v>0</v>
      </c>
      <c r="AG96" s="14" t="n">
        <f aca="false">(AG92+AG95)</f>
        <v>0</v>
      </c>
      <c r="AH96" s="14" t="n">
        <f aca="false">(AH92+AH95)</f>
        <v>0.6</v>
      </c>
      <c r="AI96" s="14" t="n">
        <f aca="false">(AI92+AI95)</f>
        <v>0</v>
      </c>
      <c r="AJ96" s="14" t="n">
        <f aca="false">(AJ92+AJ95)</f>
        <v>0</v>
      </c>
      <c r="AK96" s="14" t="n">
        <f aca="false">(AK92+AK95)</f>
        <v>0</v>
      </c>
      <c r="AL96" s="14" t="n">
        <f aca="false">(AL92+AL95)</f>
        <v>0</v>
      </c>
      <c r="AN96" s="36" t="n">
        <f aca="false">SUM(C96:N96)</f>
        <v>0</v>
      </c>
      <c r="AO96" s="36" t="n">
        <f aca="false">SUM(O96:Z96)</f>
        <v>0</v>
      </c>
      <c r="AP96" s="36" t="n">
        <f aca="false">SUM(AA96:AL96)</f>
        <v>0.6</v>
      </c>
    </row>
    <row r="97" customFormat="false" ht="15" hidden="false" customHeight="false" outlineLevel="0" collapsed="false">
      <c r="A97" s="0" t="s">
        <v>903</v>
      </c>
      <c r="B97" s="0" t="s">
        <v>852</v>
      </c>
      <c r="C97" s="14" t="n">
        <f aca="false">C94</f>
        <v>0</v>
      </c>
      <c r="D97" s="14" t="n">
        <f aca="false">SUM(C94:D94)</f>
        <v>0</v>
      </c>
      <c r="E97" s="14" t="n">
        <f aca="false">SUM(C94:E94)</f>
        <v>0</v>
      </c>
      <c r="F97" s="14" t="n">
        <f aca="false">SUM(C94:F94)</f>
        <v>0</v>
      </c>
      <c r="G97" s="14" t="n">
        <f aca="false">SUM(C94:G94)</f>
        <v>0</v>
      </c>
      <c r="H97" s="14" t="n">
        <f aca="false">SUM(C94:H94)</f>
        <v>0</v>
      </c>
      <c r="I97" s="14" t="n">
        <f aca="false">SUM(D94:I94)</f>
        <v>0</v>
      </c>
      <c r="J97" s="14" t="n">
        <f aca="false">SUM(E94:J94)</f>
        <v>0</v>
      </c>
      <c r="K97" s="14" t="n">
        <f aca="false">SUM(F94:K94)</f>
        <v>0</v>
      </c>
      <c r="L97" s="14" t="n">
        <f aca="false">SUM(G94:L94)</f>
        <v>0</v>
      </c>
      <c r="M97" s="14" t="n">
        <f aca="false">SUM(H94:M94)</f>
        <v>0</v>
      </c>
      <c r="N97" s="14" t="n">
        <f aca="false">SUM(I94:N94)</f>
        <v>0</v>
      </c>
      <c r="O97" s="14" t="n">
        <f aca="false">SUM(J94:O94)</f>
        <v>0</v>
      </c>
      <c r="P97" s="14" t="n">
        <f aca="false">SUM(K94:P94)</f>
        <v>0</v>
      </c>
      <c r="Q97" s="14" t="n">
        <f aca="false">SUM(L94:Q94)</f>
        <v>0</v>
      </c>
      <c r="R97" s="14" t="n">
        <f aca="false">SUM(M94:R94)</f>
        <v>0</v>
      </c>
      <c r="S97" s="14" t="n">
        <f aca="false">SUM(N94:S94)</f>
        <v>0</v>
      </c>
      <c r="T97" s="14" t="n">
        <f aca="false">SUM(O94:T94)</f>
        <v>0</v>
      </c>
      <c r="U97" s="14" t="n">
        <f aca="false">SUM(P94:U94)</f>
        <v>0</v>
      </c>
      <c r="V97" s="14" t="n">
        <f aca="false">SUM(Q94:V94)</f>
        <v>0</v>
      </c>
      <c r="W97" s="14" t="n">
        <f aca="false">SUM(R94:W94)</f>
        <v>0</v>
      </c>
      <c r="X97" s="14" t="n">
        <f aca="false">SUM(S94:X94)</f>
        <v>0</v>
      </c>
      <c r="Y97" s="14" t="n">
        <f aca="false">SUM(T94:Y94)</f>
        <v>0</v>
      </c>
      <c r="Z97" s="14" t="n">
        <f aca="false">SUM(U94:Z94)</f>
        <v>0</v>
      </c>
      <c r="AA97" s="14" t="n">
        <f aca="false">SUM(V94:AA94)</f>
        <v>0</v>
      </c>
      <c r="AB97" s="14" t="n">
        <f aca="false">SUM(W94:AB94)</f>
        <v>0</v>
      </c>
      <c r="AC97" s="14" t="n">
        <f aca="false">SUM(X94:AC94)</f>
        <v>0</v>
      </c>
      <c r="AD97" s="14" t="n">
        <f aca="false">SUM(Y94:AD94)</f>
        <v>0</v>
      </c>
      <c r="AE97" s="14" t="n">
        <f aca="false">SUM(Z94:AE94)</f>
        <v>0</v>
      </c>
      <c r="AF97" s="14" t="n">
        <f aca="false">SUM(AA94:AF94)</f>
        <v>0</v>
      </c>
      <c r="AG97" s="14" t="n">
        <f aca="false">SUM(AB94:AG94)</f>
        <v>0</v>
      </c>
      <c r="AH97" s="14" t="n">
        <f aca="false">SUM(AC94:AH94)</f>
        <v>0.6</v>
      </c>
      <c r="AI97" s="14" t="n">
        <f aca="false">SUM(AD94:AI94)</f>
        <v>0.6</v>
      </c>
      <c r="AJ97" s="14" t="n">
        <f aca="false">SUM(AE94:AJ94)</f>
        <v>0.6</v>
      </c>
      <c r="AK97" s="14" t="n">
        <f aca="false">SUM(AF94:AK94)</f>
        <v>0.6</v>
      </c>
      <c r="AL97" s="14" t="n">
        <f aca="false">SUM(AG94:AL94)</f>
        <v>0.6</v>
      </c>
      <c r="AN97" s="36" t="n">
        <f aca="false">N97</f>
        <v>0</v>
      </c>
      <c r="AO97" s="36" t="n">
        <f aca="false">Z97</f>
        <v>0</v>
      </c>
      <c r="AP97" s="36" t="n">
        <f aca="false">AL97</f>
        <v>0.6</v>
      </c>
    </row>
    <row r="98" customFormat="false" ht="15" hidden="false" customHeight="false" outlineLevel="0" collapsed="false">
      <c r="A98" s="0" t="s">
        <v>904</v>
      </c>
      <c r="B98" s="0" t="s">
        <v>852</v>
      </c>
      <c r="C98" s="14" t="n">
        <f aca="false">C92</f>
        <v>0</v>
      </c>
      <c r="D98" s="14" t="n">
        <f aca="false">SUM(C92:D92)</f>
        <v>0</v>
      </c>
      <c r="E98" s="14" t="n">
        <f aca="false">SUM(C92:E92)</f>
        <v>0</v>
      </c>
      <c r="F98" s="14" t="n">
        <f aca="false">SUM(C92:F92)</f>
        <v>0</v>
      </c>
      <c r="G98" s="14" t="n">
        <f aca="false">SUM(C92:G92)</f>
        <v>0</v>
      </c>
      <c r="H98" s="14" t="n">
        <f aca="false">SUM(C92:H92)</f>
        <v>0</v>
      </c>
      <c r="I98" s="14" t="n">
        <f aca="false">SUM(D92:I92)</f>
        <v>0</v>
      </c>
      <c r="J98" s="14" t="n">
        <f aca="false">SUM(E92:J92)</f>
        <v>0</v>
      </c>
      <c r="K98" s="14" t="n">
        <f aca="false">SUM(F92:K92)</f>
        <v>0</v>
      </c>
      <c r="L98" s="14" t="n">
        <f aca="false">SUM(G92:L92)</f>
        <v>0</v>
      </c>
      <c r="M98" s="14" t="n">
        <f aca="false">SUM(H92:M92)</f>
        <v>0</v>
      </c>
      <c r="N98" s="14" t="n">
        <f aca="false">SUM(I92:N92)</f>
        <v>0</v>
      </c>
      <c r="O98" s="14" t="n">
        <f aca="false">SUM(J92:O92)</f>
        <v>0</v>
      </c>
      <c r="P98" s="14" t="n">
        <f aca="false">SUM(K92:P92)</f>
        <v>0</v>
      </c>
      <c r="Q98" s="14" t="n">
        <f aca="false">SUM(L92:Q92)</f>
        <v>0</v>
      </c>
      <c r="R98" s="14" t="n">
        <f aca="false">SUM(M92:R92)</f>
        <v>0</v>
      </c>
      <c r="S98" s="14" t="n">
        <f aca="false">SUM(N92:S92)</f>
        <v>0</v>
      </c>
      <c r="T98" s="14" t="n">
        <f aca="false">SUM(O92:T92)</f>
        <v>0</v>
      </c>
      <c r="U98" s="14" t="n">
        <f aca="false">SUM(P92:U92)</f>
        <v>0</v>
      </c>
      <c r="V98" s="14" t="n">
        <f aca="false">SUM(Q92:V92)</f>
        <v>0</v>
      </c>
      <c r="W98" s="14" t="n">
        <f aca="false">SUM(R92:W92)</f>
        <v>0</v>
      </c>
      <c r="X98" s="14" t="n">
        <f aca="false">SUM(S92:X92)</f>
        <v>0</v>
      </c>
      <c r="Y98" s="14" t="n">
        <f aca="false">SUM(T92:Y92)</f>
        <v>0</v>
      </c>
      <c r="Z98" s="14" t="n">
        <f aca="false">SUM(U92:Z92)</f>
        <v>0</v>
      </c>
      <c r="AA98" s="14" t="n">
        <f aca="false">SUM(V92:AA92)</f>
        <v>0</v>
      </c>
      <c r="AB98" s="14" t="n">
        <f aca="false">SUM(W92:AB92)</f>
        <v>0</v>
      </c>
      <c r="AC98" s="14" t="n">
        <f aca="false">SUM(X92:AC92)</f>
        <v>0</v>
      </c>
      <c r="AD98" s="14" t="n">
        <f aca="false">SUM(Y92:AD92)</f>
        <v>0</v>
      </c>
      <c r="AE98" s="14" t="n">
        <f aca="false">SUM(Z92:AE92)</f>
        <v>0</v>
      </c>
      <c r="AF98" s="14" t="n">
        <f aca="false">SUM(AA92:AF92)</f>
        <v>0</v>
      </c>
      <c r="AG98" s="14" t="n">
        <f aca="false">SUM(AB92:AG92)</f>
        <v>0</v>
      </c>
      <c r="AH98" s="14" t="n">
        <f aca="false">SUM(AC92:AH92)</f>
        <v>0.6</v>
      </c>
      <c r="AI98" s="14" t="n">
        <f aca="false">SUM(AD92:AI92)</f>
        <v>0.6</v>
      </c>
      <c r="AJ98" s="14" t="n">
        <f aca="false">SUM(AE92:AJ92)</f>
        <v>0.6</v>
      </c>
      <c r="AK98" s="14" t="n">
        <f aca="false">SUM(AF92:AK92)</f>
        <v>0.6</v>
      </c>
      <c r="AL98" s="14" t="n">
        <f aca="false">SUM(AG92:AL92)</f>
        <v>0.6</v>
      </c>
      <c r="AN98" s="36" t="n">
        <f aca="false">N98</f>
        <v>0</v>
      </c>
      <c r="AO98" s="36" t="n">
        <f aca="false">Z98</f>
        <v>0</v>
      </c>
      <c r="AP98" s="36" t="n">
        <f aca="false">AL98</f>
        <v>0.6</v>
      </c>
    </row>
    <row r="99" customFormat="false" ht="15" hidden="false" customHeight="false" outlineLevel="0" collapsed="false">
      <c r="A99" s="0" t="s">
        <v>905</v>
      </c>
      <c r="B99" s="0" t="s">
        <v>852</v>
      </c>
      <c r="C99" s="14" t="n">
        <f aca="false">((Assumptions!$E$127*$C$8)*0)</f>
        <v>0</v>
      </c>
      <c r="D99" s="14" t="n">
        <f aca="false">((Assumptions!$E$127*$C$8)*0)</f>
        <v>0</v>
      </c>
      <c r="E99" s="14" t="n">
        <f aca="false">((Assumptions!$E$127*$C$8)*0)</f>
        <v>0</v>
      </c>
      <c r="F99" s="14" t="n">
        <f aca="false">((Assumptions!$E$127*$C$8)*0)</f>
        <v>0</v>
      </c>
      <c r="G99" s="14" t="n">
        <f aca="false">((Assumptions!$E$127*$C$8)*0)</f>
        <v>0</v>
      </c>
      <c r="H99" s="14" t="n">
        <f aca="false">((Assumptions!$E$127*$C$8)*0)</f>
        <v>0</v>
      </c>
      <c r="I99" s="14" t="n">
        <f aca="false">((Assumptions!$E$127*$C$8)*0)</f>
        <v>0</v>
      </c>
      <c r="J99" s="14" t="n">
        <f aca="false">((Assumptions!$E$127*$C$8)*C92)</f>
        <v>0</v>
      </c>
      <c r="K99" s="14" t="n">
        <f aca="false">((Assumptions!$E$127*$C$8)*D92)</f>
        <v>0</v>
      </c>
      <c r="L99" s="14" t="n">
        <f aca="false">((Assumptions!$E$127*$C$8)*E92)</f>
        <v>0</v>
      </c>
      <c r="M99" s="14" t="n">
        <f aca="false">((Assumptions!$E$127*$C$8)*F92)</f>
        <v>0</v>
      </c>
      <c r="N99" s="14" t="n">
        <f aca="false">((Assumptions!$E$127*$C$8)*G92)</f>
        <v>0</v>
      </c>
      <c r="O99" s="14" t="n">
        <f aca="false">((Assumptions!$E$127*$C$8)*H92)</f>
        <v>0</v>
      </c>
      <c r="P99" s="14" t="n">
        <f aca="false">((Assumptions!$E$127*$C$8)*I92)</f>
        <v>0</v>
      </c>
      <c r="Q99" s="14" t="n">
        <f aca="false">((Assumptions!$E$127*$C$8)*J92)</f>
        <v>0</v>
      </c>
      <c r="R99" s="14" t="n">
        <f aca="false">((Assumptions!$E$127*$C$8)*K92)</f>
        <v>0</v>
      </c>
      <c r="S99" s="14" t="n">
        <f aca="false">((Assumptions!$E$127*$C$8)*L92)</f>
        <v>0</v>
      </c>
      <c r="T99" s="14" t="n">
        <f aca="false">((Assumptions!$E$127*$C$8)*M92)</f>
        <v>0</v>
      </c>
      <c r="U99" s="14" t="n">
        <f aca="false">((Assumptions!$E$127*$C$8)*N92)</f>
        <v>0</v>
      </c>
      <c r="V99" s="14" t="n">
        <f aca="false">((Assumptions!$E$127*$C$8)*O92)</f>
        <v>0</v>
      </c>
      <c r="W99" s="14" t="n">
        <f aca="false">((Assumptions!$E$127*$C$8)*P92)</f>
        <v>0</v>
      </c>
      <c r="X99" s="14" t="n">
        <f aca="false">((Assumptions!$E$127*$C$8)*Q92)</f>
        <v>0</v>
      </c>
      <c r="Y99" s="14" t="n">
        <f aca="false">((Assumptions!$E$127*$C$8)*R92)</f>
        <v>0</v>
      </c>
      <c r="Z99" s="14" t="n">
        <f aca="false">((Assumptions!$E$127*$C$8)*S92)</f>
        <v>0</v>
      </c>
      <c r="AA99" s="14" t="n">
        <f aca="false">((Assumptions!$E$127*$C$8)*T92)</f>
        <v>0</v>
      </c>
      <c r="AB99" s="14" t="n">
        <f aca="false">((Assumptions!$E$127*$C$8)*U92)</f>
        <v>0</v>
      </c>
      <c r="AC99" s="14" t="n">
        <f aca="false">((Assumptions!$E$127*$C$8)*V92)</f>
        <v>0</v>
      </c>
      <c r="AD99" s="14" t="n">
        <f aca="false">((Assumptions!$E$127*$C$8)*W92)</f>
        <v>0</v>
      </c>
      <c r="AE99" s="14" t="n">
        <f aca="false">((Assumptions!$E$127*$C$8)*X92)</f>
        <v>0</v>
      </c>
      <c r="AF99" s="14" t="n">
        <f aca="false">((Assumptions!$E$127*$C$8)*Y92)</f>
        <v>0</v>
      </c>
      <c r="AG99" s="14" t="n">
        <f aca="false">((Assumptions!$E$127*$C$8)*Z92)</f>
        <v>0</v>
      </c>
      <c r="AH99" s="14" t="n">
        <f aca="false">((Assumptions!$E$127*$C$8)*AA92)</f>
        <v>0</v>
      </c>
      <c r="AI99" s="14" t="n">
        <f aca="false">((Assumptions!$E$127*$C$8)*AB92)</f>
        <v>0</v>
      </c>
      <c r="AJ99" s="14" t="n">
        <f aca="false">((Assumptions!$E$127*$C$8)*AC92)</f>
        <v>0</v>
      </c>
      <c r="AK99" s="14" t="n">
        <f aca="false">((Assumptions!$E$127*$C$8)*AD92)</f>
        <v>0</v>
      </c>
      <c r="AL99" s="14" t="n">
        <f aca="false">((Assumptions!$E$127*$C$8)*AE92)</f>
        <v>0</v>
      </c>
      <c r="AN99" s="36" t="n">
        <f aca="false">SUM(C99:N99)</f>
        <v>0</v>
      </c>
      <c r="AO99" s="36" t="n">
        <f aca="false">SUM(O99:Z99)</f>
        <v>0</v>
      </c>
      <c r="AP99" s="36" t="n">
        <f aca="false">SUM(AA99:AL99)</f>
        <v>0</v>
      </c>
    </row>
    <row r="100" customFormat="false" ht="15" hidden="false" customHeight="false" outlineLevel="0" collapsed="false">
      <c r="A100" s="0" t="s">
        <v>906</v>
      </c>
      <c r="B100" s="0" t="s">
        <v>852</v>
      </c>
      <c r="C100" s="14" t="n">
        <f aca="false">((Assumptions!$C$10*$C$8)*IF((C$18=(Assumptions!$C$9+$C$9)),0,IF((C$18&gt;(Assumptions!$C$9+$C$9)),0,0)))</f>
        <v>0</v>
      </c>
      <c r="D100" s="14" t="n">
        <f aca="false">((Assumptions!$C$10*$C$8)*IF((D$18=(Assumptions!$C$9+$C$9)),0,IF((D$18&gt;(Assumptions!$C$9+$C$9)),0,0)))</f>
        <v>0</v>
      </c>
      <c r="E100" s="14" t="n">
        <f aca="false">((Assumptions!$C$10*$C$8)*IF((E$18=(Assumptions!$C$9+$C$9)),0,IF((E$18&gt;(Assumptions!$C$9+$C$9)),0,0)))</f>
        <v>0</v>
      </c>
      <c r="F100" s="14" t="n">
        <f aca="false">((Assumptions!$C$10*$C$8)*IF((F$18=(Assumptions!$C$9+$C$9)),0,IF((F$18&gt;(Assumptions!$C$9+$C$9)),0,0)))</f>
        <v>0</v>
      </c>
      <c r="G100" s="14" t="n">
        <f aca="false">((Assumptions!$C$10*$C$8)*IF((G$18=(Assumptions!$C$9+$C$9)),0,IF((G$18&gt;(Assumptions!$C$9+$C$9)),0,0)))</f>
        <v>0</v>
      </c>
      <c r="H100" s="14" t="n">
        <f aca="false">((Assumptions!$C$10*$C$8)*IF((H$18=(Assumptions!$C$9+$C$9)),0,IF((H$18&gt;(Assumptions!$C$9+$C$9)),0,0)))</f>
        <v>0</v>
      </c>
      <c r="I100" s="14" t="n">
        <f aca="false">((Assumptions!$C$10*$C$8)*IF((I$18=(Assumptions!$C$9+$C$9)),0,IF((I$18&gt;(Assumptions!$C$9+$C$9)),0,0)))</f>
        <v>0</v>
      </c>
      <c r="J100" s="14" t="n">
        <f aca="false">((Assumptions!$C$10*$C$8)*IF((J$18=(Assumptions!$C$9+$C$9)),C93,IF((J$18&gt;(Assumptions!$C$9+$C$9)),C93,0)))</f>
        <v>0</v>
      </c>
      <c r="K100" s="14" t="n">
        <f aca="false">((Assumptions!$C$10*$C$8)*IF((K$18=(Assumptions!$C$9+$C$9)),SUM(C93:D93),IF((K$18&gt;(Assumptions!$C$9+$C$9)),D93,0)))</f>
        <v>0</v>
      </c>
      <c r="L100" s="14" t="n">
        <f aca="false">((Assumptions!$C$10*$C$8)*IF((L$18=(Assumptions!$C$9+$C$9)),SUM(C93:E93),IF((L$18&gt;(Assumptions!$C$9+$C$9)),E93,0)))</f>
        <v>0</v>
      </c>
      <c r="M100" s="14" t="n">
        <f aca="false">((Assumptions!$C$10*$C$8)*IF((M$18=(Assumptions!$C$9+$C$9)),SUM(C93:F93),IF((M$18&gt;(Assumptions!$C$9+$C$9)),F93,0)))</f>
        <v>0</v>
      </c>
      <c r="N100" s="14" t="n">
        <f aca="false">((Assumptions!$C$10*$C$8)*IF((N$18=(Assumptions!$C$9+$C$9)),SUM(C93:G93),IF((N$18&gt;(Assumptions!$C$9+$C$9)),G93,0)))</f>
        <v>0</v>
      </c>
      <c r="O100" s="14" t="n">
        <f aca="false">((Assumptions!$C$10*$C$8)*IF((O$18=(Assumptions!$C$9+$C$9)),SUM(C93:H93),IF((O$18&gt;(Assumptions!$C$9+$C$9)),H93,0)))</f>
        <v>0</v>
      </c>
      <c r="P100" s="14" t="n">
        <f aca="false">((Assumptions!$C$10*$C$8)*IF((P$18=(Assumptions!$C$9+$C$9)),SUM(C93:I93),IF((P$18&gt;(Assumptions!$C$9+$C$9)),I93,0)))</f>
        <v>0</v>
      </c>
      <c r="Q100" s="14" t="n">
        <f aca="false">((Assumptions!$C$10*$C$8)*IF((Q$18=(Assumptions!$C$9+$C$9)),SUM(C93:J93),IF((Q$18&gt;(Assumptions!$C$9+$C$9)),J93,0)))</f>
        <v>0</v>
      </c>
      <c r="R100" s="14" t="n">
        <f aca="false">((Assumptions!$C$10*$C$8)*IF((R$18=(Assumptions!$C$9+$C$9)),SUM(C93:K93),IF((R$18&gt;(Assumptions!$C$9+$C$9)),K93,0)))</f>
        <v>0</v>
      </c>
      <c r="S100" s="14" t="n">
        <f aca="false">((Assumptions!$C$10*$C$8)*IF((S$18=(Assumptions!$C$9+$C$9)),SUM(C93:L93),IF((S$18&gt;(Assumptions!$C$9+$C$9)),L93,0)))</f>
        <v>0</v>
      </c>
      <c r="T100" s="14" t="n">
        <f aca="false">((Assumptions!$C$10*$C$8)*IF((T$18=(Assumptions!$C$9+$C$9)),SUM(C93:M93),IF((T$18&gt;(Assumptions!$C$9+$C$9)),M93,0)))</f>
        <v>0</v>
      </c>
      <c r="U100" s="14" t="n">
        <f aca="false">((Assumptions!$C$10*$C$8)*IF((U$18=(Assumptions!$C$9+$C$9)),SUM(C93:N93),IF((U$18&gt;(Assumptions!$C$9+$C$9)),N93,0)))</f>
        <v>0</v>
      </c>
      <c r="V100" s="14" t="n">
        <f aca="false">((Assumptions!$C$10*$C$8)*IF((V$18=(Assumptions!$C$9+$C$9)),SUM(C93:O93),IF((V$18&gt;(Assumptions!$C$9+$C$9)),O93,0)))</f>
        <v>0</v>
      </c>
      <c r="W100" s="14" t="n">
        <f aca="false">((Assumptions!$C$10*$C$8)*IF((W$18=(Assumptions!$C$9+$C$9)),SUM(C93:P93),IF((W$18&gt;(Assumptions!$C$9+$C$9)),P93,0)))</f>
        <v>0</v>
      </c>
      <c r="X100" s="14" t="n">
        <f aca="false">((Assumptions!$C$10*$C$8)*IF((X$18=(Assumptions!$C$9+$C$9)),SUM(C93:Q93),IF((X$18&gt;(Assumptions!$C$9+$C$9)),Q93,0)))</f>
        <v>0</v>
      </c>
      <c r="Y100" s="14" t="n">
        <f aca="false">((Assumptions!$C$10*$C$8)*IF((Y$18=(Assumptions!$C$9+$C$9)),SUM(C93:R93),IF((Y$18&gt;(Assumptions!$C$9+$C$9)),R93,0)))</f>
        <v>0</v>
      </c>
      <c r="Z100" s="14" t="n">
        <f aca="false">((Assumptions!$C$10*$C$8)*IF((Z$18=(Assumptions!$C$9+$C$9)),SUM(C93:S93),IF((Z$18&gt;(Assumptions!$C$9+$C$9)),S93,0)))</f>
        <v>0</v>
      </c>
      <c r="AA100" s="14" t="n">
        <f aca="false">((Assumptions!$C$10*$C$8)*IF((AA$18=(Assumptions!$C$9+$C$9)),SUM(C93:T93),IF((AA$18&gt;(Assumptions!$C$9+$C$9)),T93,0)))</f>
        <v>0</v>
      </c>
      <c r="AB100" s="14" t="n">
        <f aca="false">((Assumptions!$C$10*$C$8)*IF((AB$18=(Assumptions!$C$9+$C$9)),SUM(C93:U93),IF((AB$18&gt;(Assumptions!$C$9+$C$9)),U93,0)))</f>
        <v>0</v>
      </c>
      <c r="AC100" s="14" t="n">
        <f aca="false">((Assumptions!$C$10*$C$8)*IF((AC$18=(Assumptions!$C$9+$C$9)),SUM(C93:V93),IF((AC$18&gt;(Assumptions!$C$9+$C$9)),V93,0)))</f>
        <v>0</v>
      </c>
      <c r="AD100" s="14" t="n">
        <f aca="false">((Assumptions!$C$10*$C$8)*IF((AD$18=(Assumptions!$C$9+$C$9)),SUM(C93:W93),IF((AD$18&gt;(Assumptions!$C$9+$C$9)),W93,0)))</f>
        <v>0</v>
      </c>
      <c r="AE100" s="14" t="n">
        <f aca="false">((Assumptions!$C$10*$C$8)*IF((AE$18=(Assumptions!$C$9+$C$9)),SUM(C93:X93),IF((AE$18&gt;(Assumptions!$C$9+$C$9)),X93,0)))</f>
        <v>0</v>
      </c>
      <c r="AF100" s="14" t="n">
        <f aca="false">((Assumptions!$C$10*$C$8)*IF((AF$18=(Assumptions!$C$9+$C$9)),SUM(C93:Y93),IF((AF$18&gt;(Assumptions!$C$9+$C$9)),Y93,0)))</f>
        <v>0</v>
      </c>
      <c r="AG100" s="14" t="n">
        <f aca="false">((Assumptions!$C$10*$C$8)*IF((AG$18=(Assumptions!$C$9+$C$9)),SUM(C93:Z93),IF((AG$18&gt;(Assumptions!$C$9+$C$9)),Z93,0)))</f>
        <v>0</v>
      </c>
      <c r="AH100" s="14" t="n">
        <f aca="false">((Assumptions!$C$10*$C$8)*IF((AH$18=(Assumptions!$C$9+$C$9)),SUM(C93:AA93),IF((AH$18&gt;(Assumptions!$C$9+$C$9)),AA93,0)))</f>
        <v>0</v>
      </c>
      <c r="AI100" s="14" t="n">
        <f aca="false">((Assumptions!$C$10*$C$8)*IF((AI$18=(Assumptions!$C$9+$C$9)),SUM(C93:AB93),IF((AI$18&gt;(Assumptions!$C$9+$C$9)),AB93,0)))</f>
        <v>0</v>
      </c>
      <c r="AJ100" s="14" t="n">
        <f aca="false">((Assumptions!$C$10*$C$8)*IF((AJ$18=(Assumptions!$C$9+$C$9)),SUM(C93:AC93),IF((AJ$18&gt;(Assumptions!$C$9+$C$9)),AC93,0)))</f>
        <v>0</v>
      </c>
      <c r="AK100" s="14" t="n">
        <f aca="false">((Assumptions!$C$10*$C$8)*IF((AK$18=(Assumptions!$C$9+$C$9)),SUM(C93:AD93),IF((AK$18&gt;(Assumptions!$C$9+$C$9)),AD93,0)))</f>
        <v>0</v>
      </c>
      <c r="AL100" s="14" t="n">
        <f aca="false">((Assumptions!$C$10*$C$8)*IF((AL$18=(Assumptions!$C$9+$C$9)),SUM(C93:AE93),IF((AL$18&gt;(Assumptions!$C$9+$C$9)),AE93,0)))</f>
        <v>0</v>
      </c>
      <c r="AN100" s="36" t="n">
        <f aca="false">SUM(C100:N100)</f>
        <v>0</v>
      </c>
      <c r="AO100" s="36" t="n">
        <f aca="false">SUM(O100:Z100)</f>
        <v>0</v>
      </c>
      <c r="AP100" s="36" t="n">
        <f aca="false">SUM(AA100:AL100)</f>
        <v>0</v>
      </c>
    </row>
    <row r="101" customFormat="false" ht="15" hidden="false" customHeight="false" outlineLevel="0" collapsed="false">
      <c r="A101" s="0" t="s">
        <v>907</v>
      </c>
      <c r="B101" s="0" t="s">
        <v>852</v>
      </c>
      <c r="C101" s="14" t="n">
        <f aca="false">((C99+C100)+C95)</f>
        <v>0</v>
      </c>
      <c r="D101" s="14" t="n">
        <f aca="false">((D99+D100)+D95)</f>
        <v>0</v>
      </c>
      <c r="E101" s="14" t="n">
        <f aca="false">((E99+E100)+E95)</f>
        <v>0</v>
      </c>
      <c r="F101" s="14" t="n">
        <f aca="false">((F99+F100)+F95)</f>
        <v>0</v>
      </c>
      <c r="G101" s="14" t="n">
        <f aca="false">((G99+G100)+G95)</f>
        <v>0</v>
      </c>
      <c r="H101" s="14" t="n">
        <f aca="false">((H99+H100)+H95)</f>
        <v>0</v>
      </c>
      <c r="I101" s="14" t="n">
        <f aca="false">((I99+I100)+I95)</f>
        <v>0</v>
      </c>
      <c r="J101" s="14" t="n">
        <f aca="false">((J99+J100)+J95)</f>
        <v>0</v>
      </c>
      <c r="K101" s="14" t="n">
        <f aca="false">((K99+K100)+K95)</f>
        <v>0</v>
      </c>
      <c r="L101" s="14" t="n">
        <f aca="false">((L99+L100)+L95)</f>
        <v>0</v>
      </c>
      <c r="M101" s="14" t="n">
        <f aca="false">((M99+M100)+M95)</f>
        <v>0</v>
      </c>
      <c r="N101" s="14" t="n">
        <f aca="false">((N99+N100)+N95)</f>
        <v>0</v>
      </c>
      <c r="O101" s="14" t="n">
        <f aca="false">((O99+O100)+O95)</f>
        <v>0</v>
      </c>
      <c r="P101" s="14" t="n">
        <f aca="false">((P99+P100)+P95)</f>
        <v>0</v>
      </c>
      <c r="Q101" s="14" t="n">
        <f aca="false">((Q99+Q100)+Q95)</f>
        <v>0</v>
      </c>
      <c r="R101" s="14" t="n">
        <f aca="false">((R99+R100)+R95)</f>
        <v>0</v>
      </c>
      <c r="S101" s="14" t="n">
        <f aca="false">((S99+S100)+S95)</f>
        <v>0</v>
      </c>
      <c r="T101" s="14" t="n">
        <f aca="false">((T99+T100)+T95)</f>
        <v>0</v>
      </c>
      <c r="U101" s="14" t="n">
        <f aca="false">((U99+U100)+U95)</f>
        <v>0</v>
      </c>
      <c r="V101" s="14" t="n">
        <f aca="false">((V99+V100)+V95)</f>
        <v>0</v>
      </c>
      <c r="W101" s="14" t="n">
        <f aca="false">((W99+W100)+W95)</f>
        <v>0</v>
      </c>
      <c r="X101" s="14" t="n">
        <f aca="false">((X99+X100)+X95)</f>
        <v>0</v>
      </c>
      <c r="Y101" s="14" t="n">
        <f aca="false">((Y99+Y100)+Y95)</f>
        <v>0</v>
      </c>
      <c r="Z101" s="14" t="n">
        <f aca="false">((Z99+Z100)+Z95)</f>
        <v>0</v>
      </c>
      <c r="AA101" s="14" t="n">
        <f aca="false">((AA99+AA100)+AA95)</f>
        <v>0</v>
      </c>
      <c r="AB101" s="14" t="n">
        <f aca="false">((AB99+AB100)+AB95)</f>
        <v>0</v>
      </c>
      <c r="AC101" s="14" t="n">
        <f aca="false">((AC99+AC100)+AC95)</f>
        <v>0</v>
      </c>
      <c r="AD101" s="14" t="n">
        <f aca="false">((AD99+AD100)+AD95)</f>
        <v>0</v>
      </c>
      <c r="AE101" s="14" t="n">
        <f aca="false">((AE99+AE100)+AE95)</f>
        <v>0</v>
      </c>
      <c r="AF101" s="14" t="n">
        <f aca="false">((AF99+AF100)+AF95)</f>
        <v>0</v>
      </c>
      <c r="AG101" s="14" t="n">
        <f aca="false">((AG99+AG100)+AG95)</f>
        <v>0</v>
      </c>
      <c r="AH101" s="14" t="n">
        <f aca="false">((AH99+AH100)+AH95)</f>
        <v>0</v>
      </c>
      <c r="AI101" s="14" t="n">
        <f aca="false">((AI99+AI100)+AI95)</f>
        <v>0</v>
      </c>
      <c r="AJ101" s="14" t="n">
        <f aca="false">((AJ99+AJ100)+AJ95)</f>
        <v>0</v>
      </c>
      <c r="AK101" s="14" t="n">
        <f aca="false">((AK99+AK100)+AK95)</f>
        <v>0</v>
      </c>
      <c r="AL101" s="14" t="n">
        <f aca="false">((AL99+AL100)+AL95)</f>
        <v>0</v>
      </c>
      <c r="AN101" s="36" t="n">
        <f aca="false">SUM(C101:N101)</f>
        <v>0</v>
      </c>
      <c r="AO101" s="36" t="n">
        <f aca="false">SUM(O101:Z101)</f>
        <v>0</v>
      </c>
      <c r="AP101" s="36" t="n">
        <f aca="false">SUM(AA101:AL101)</f>
        <v>0</v>
      </c>
    </row>
    <row r="102" customFormat="false" ht="15" hidden="false" customHeight="false" outlineLevel="0" collapsed="false">
      <c r="A102" s="0" t="s">
        <v>908</v>
      </c>
      <c r="B102" s="0" t="s">
        <v>852</v>
      </c>
      <c r="C102" s="14" t="n">
        <f aca="false">(C101+(C45*0))</f>
        <v>0</v>
      </c>
      <c r="D102" s="14" t="n">
        <f aca="false">(D101+(D45*0))</f>
        <v>0</v>
      </c>
      <c r="E102" s="14" t="n">
        <f aca="false">(E101+(E45*0))</f>
        <v>0</v>
      </c>
      <c r="F102" s="14" t="n">
        <f aca="false">(F101+(F45*0))</f>
        <v>0</v>
      </c>
      <c r="G102" s="14" t="n">
        <f aca="false">(G101+(G45*0))</f>
        <v>0</v>
      </c>
      <c r="H102" s="14" t="n">
        <f aca="false">(H101+(H45*0))</f>
        <v>0</v>
      </c>
      <c r="I102" s="14" t="n">
        <f aca="false">(I101+(I45*0))</f>
        <v>0</v>
      </c>
      <c r="J102" s="14" t="n">
        <f aca="false">(J101+(J45*0))</f>
        <v>0</v>
      </c>
      <c r="K102" s="14" t="n">
        <f aca="false">(K101+(K45*0))</f>
        <v>0</v>
      </c>
      <c r="L102" s="14" t="n">
        <f aca="false">(L101+(L45*0))</f>
        <v>0</v>
      </c>
      <c r="M102" s="14" t="n">
        <f aca="false">(M101+(M45*0))</f>
        <v>0</v>
      </c>
      <c r="N102" s="14" t="n">
        <f aca="false">(N101+(N45*0))</f>
        <v>0</v>
      </c>
      <c r="O102" s="14" t="n">
        <f aca="false">(O101+(O45*C102))</f>
        <v>0</v>
      </c>
      <c r="P102" s="14" t="n">
        <f aca="false">(P101+(P45*D102))</f>
        <v>0</v>
      </c>
      <c r="Q102" s="14" t="n">
        <f aca="false">(Q101+(Q45*E102))</f>
        <v>0</v>
      </c>
      <c r="R102" s="14" t="n">
        <f aca="false">(R101+(R45*F102))</f>
        <v>0</v>
      </c>
      <c r="S102" s="14" t="n">
        <f aca="false">(S101+(S45*G102))</f>
        <v>0</v>
      </c>
      <c r="T102" s="14" t="n">
        <f aca="false">(T101+(T45*H102))</f>
        <v>0</v>
      </c>
      <c r="U102" s="14" t="n">
        <f aca="false">(U101+(U45*I102))</f>
        <v>0</v>
      </c>
      <c r="V102" s="14" t="n">
        <f aca="false">(V101+(V45*J102))</f>
        <v>0</v>
      </c>
      <c r="W102" s="14" t="n">
        <f aca="false">(W101+(W45*K102))</f>
        <v>0</v>
      </c>
      <c r="X102" s="14" t="n">
        <f aca="false">(X101+(X45*L102))</f>
        <v>0</v>
      </c>
      <c r="Y102" s="14" t="n">
        <f aca="false">(Y101+(Y45*M102))</f>
        <v>0</v>
      </c>
      <c r="Z102" s="14" t="n">
        <f aca="false">(Z101+(Z45*N102))</f>
        <v>0</v>
      </c>
      <c r="AA102" s="14" t="n">
        <f aca="false">(AA101+(AA45*O102))</f>
        <v>0</v>
      </c>
      <c r="AB102" s="14" t="n">
        <f aca="false">(AB101+(AB45*P102))</f>
        <v>0</v>
      </c>
      <c r="AC102" s="14" t="n">
        <f aca="false">(AC101+(AC45*Q102))</f>
        <v>0</v>
      </c>
      <c r="AD102" s="14" t="n">
        <f aca="false">(AD101+(AD45*R102))</f>
        <v>0</v>
      </c>
      <c r="AE102" s="14" t="n">
        <f aca="false">(AE101+(AE45*S102))</f>
        <v>0</v>
      </c>
      <c r="AF102" s="14" t="n">
        <f aca="false">(AF101+(AF45*T102))</f>
        <v>0</v>
      </c>
      <c r="AG102" s="14" t="n">
        <f aca="false">(AG101+(AG45*U102))</f>
        <v>0</v>
      </c>
      <c r="AH102" s="14" t="n">
        <f aca="false">(AH101+(AH45*V102))</f>
        <v>0</v>
      </c>
      <c r="AI102" s="14" t="n">
        <f aca="false">(AI101+(AI45*W102))</f>
        <v>0</v>
      </c>
      <c r="AJ102" s="14" t="n">
        <f aca="false">(AJ101+(AJ45*X102))</f>
        <v>0</v>
      </c>
      <c r="AK102" s="14" t="n">
        <f aca="false">(AK101+(AK45*Y102))</f>
        <v>0</v>
      </c>
      <c r="AL102" s="14" t="n">
        <f aca="false">(AL101+(AL45*Z102))</f>
        <v>0</v>
      </c>
      <c r="AN102" s="36" t="n">
        <f aca="false">SUM(C102:N102)</f>
        <v>0</v>
      </c>
      <c r="AO102" s="36" t="n">
        <f aca="false">SUM(O102:Z102)</f>
        <v>0</v>
      </c>
      <c r="AP102" s="36" t="n">
        <f aca="false">SUM(AA102:AL102)</f>
        <v>0</v>
      </c>
    </row>
    <row r="103" customFormat="false" ht="15" hidden="false" customHeight="false" outlineLevel="0" collapsed="false">
      <c r="A103" s="0" t="s">
        <v>909</v>
      </c>
      <c r="B103" s="0" t="s">
        <v>852</v>
      </c>
      <c r="C103" s="14" t="n">
        <f aca="false">C102</f>
        <v>0</v>
      </c>
      <c r="D103" s="14" t="n">
        <f aca="false">SUM(C102:D102)</f>
        <v>0</v>
      </c>
      <c r="E103" s="14" t="n">
        <f aca="false">SUM(C102:E102)</f>
        <v>0</v>
      </c>
      <c r="F103" s="14" t="n">
        <f aca="false">SUM(C102:F102)</f>
        <v>0</v>
      </c>
      <c r="G103" s="14" t="n">
        <f aca="false">SUM(C102:G102)</f>
        <v>0</v>
      </c>
      <c r="H103" s="14" t="n">
        <f aca="false">SUM(C102:H102)</f>
        <v>0</v>
      </c>
      <c r="I103" s="14" t="n">
        <f aca="false">SUM(C102:I102)</f>
        <v>0</v>
      </c>
      <c r="J103" s="14" t="n">
        <f aca="false">SUM(C102:J102)</f>
        <v>0</v>
      </c>
      <c r="K103" s="14" t="n">
        <f aca="false">SUM(C102:K102)</f>
        <v>0</v>
      </c>
      <c r="L103" s="14" t="n">
        <f aca="false">SUM(C102:L102)</f>
        <v>0</v>
      </c>
      <c r="M103" s="14" t="n">
        <f aca="false">SUM(C102:M102)</f>
        <v>0</v>
      </c>
      <c r="N103" s="14" t="n">
        <f aca="false">SUM(C102:N102)</f>
        <v>0</v>
      </c>
      <c r="O103" s="14" t="n">
        <f aca="false">SUM(D102:O102)</f>
        <v>0</v>
      </c>
      <c r="P103" s="14" t="n">
        <f aca="false">SUM(E102:P102)</f>
        <v>0</v>
      </c>
      <c r="Q103" s="14" t="n">
        <f aca="false">SUM(F102:Q102)</f>
        <v>0</v>
      </c>
      <c r="R103" s="14" t="n">
        <f aca="false">SUM(G102:R102)</f>
        <v>0</v>
      </c>
      <c r="S103" s="14" t="n">
        <f aca="false">SUM(H102:S102)</f>
        <v>0</v>
      </c>
      <c r="T103" s="14" t="n">
        <f aca="false">SUM(I102:T102)</f>
        <v>0</v>
      </c>
      <c r="U103" s="14" t="n">
        <f aca="false">SUM(J102:U102)</f>
        <v>0</v>
      </c>
      <c r="V103" s="14" t="n">
        <f aca="false">SUM(K102:V102)</f>
        <v>0</v>
      </c>
      <c r="W103" s="14" t="n">
        <f aca="false">SUM(L102:W102)</f>
        <v>0</v>
      </c>
      <c r="X103" s="14" t="n">
        <f aca="false">SUM(M102:X102)</f>
        <v>0</v>
      </c>
      <c r="Y103" s="14" t="n">
        <f aca="false">SUM(N102:Y102)</f>
        <v>0</v>
      </c>
      <c r="Z103" s="14" t="n">
        <f aca="false">SUM(O102:Z102)</f>
        <v>0</v>
      </c>
      <c r="AA103" s="14" t="n">
        <f aca="false">SUM(P102:AA102)</f>
        <v>0</v>
      </c>
      <c r="AB103" s="14" t="n">
        <f aca="false">SUM(Q102:AB102)</f>
        <v>0</v>
      </c>
      <c r="AC103" s="14" t="n">
        <f aca="false">SUM(R102:AC102)</f>
        <v>0</v>
      </c>
      <c r="AD103" s="14" t="n">
        <f aca="false">SUM(S102:AD102)</f>
        <v>0</v>
      </c>
      <c r="AE103" s="14" t="n">
        <f aca="false">SUM(T102:AE102)</f>
        <v>0</v>
      </c>
      <c r="AF103" s="14" t="n">
        <f aca="false">SUM(U102:AF102)</f>
        <v>0</v>
      </c>
      <c r="AG103" s="14" t="n">
        <f aca="false">SUM(V102:AG102)</f>
        <v>0</v>
      </c>
      <c r="AH103" s="14" t="n">
        <f aca="false">SUM(W102:AH102)</f>
        <v>0</v>
      </c>
      <c r="AI103" s="14" t="n">
        <f aca="false">SUM(X102:AI102)</f>
        <v>0</v>
      </c>
      <c r="AJ103" s="14" t="n">
        <f aca="false">SUM(Y102:AJ102)</f>
        <v>0</v>
      </c>
      <c r="AK103" s="14" t="n">
        <f aca="false">SUM(Z102:AK102)</f>
        <v>0</v>
      </c>
      <c r="AL103" s="14" t="n">
        <f aca="false">SUM(AA102:AL102)</f>
        <v>0</v>
      </c>
      <c r="AN103" s="36" t="n">
        <f aca="false">N103</f>
        <v>0</v>
      </c>
      <c r="AO103" s="36" t="n">
        <f aca="false">Z103</f>
        <v>0</v>
      </c>
      <c r="AP103" s="36" t="n">
        <f aca="false">AL103</f>
        <v>0</v>
      </c>
    </row>
    <row r="104" customFormat="false" ht="15" hidden="false" customHeight="false" outlineLevel="0" collapsed="false">
      <c r="A104" s="0" t="s">
        <v>910</v>
      </c>
      <c r="B104" s="0" t="s">
        <v>230</v>
      </c>
      <c r="C104" s="9" t="n">
        <f aca="false">((Assumptions!$E$121*(1-Assumptions!$C$29))*$C$10)</f>
        <v>183920</v>
      </c>
      <c r="D104" s="9" t="n">
        <f aca="false">((Assumptions!$E$121*(1-Assumptions!$C$29))*$C$10)</f>
        <v>183920</v>
      </c>
      <c r="E104" s="9" t="n">
        <f aca="false">((Assumptions!$E$121*(1-Assumptions!$C$29))*$C$10)</f>
        <v>183920</v>
      </c>
      <c r="F104" s="9" t="n">
        <f aca="false">((Assumptions!$E$121*(1-Assumptions!$C$29))*$C$10)</f>
        <v>183920</v>
      </c>
      <c r="G104" s="9" t="n">
        <f aca="false">((Assumptions!$E$121*(1-Assumptions!$C$29))*$C$10)</f>
        <v>183920</v>
      </c>
      <c r="H104" s="9" t="n">
        <f aca="false">((Assumptions!$E$121*(1-Assumptions!$C$29))*$C$10)</f>
        <v>183920</v>
      </c>
      <c r="I104" s="9" t="n">
        <f aca="false">((Assumptions!$E$121*(1-Assumptions!$C$29))*$C$10)</f>
        <v>183920</v>
      </c>
      <c r="J104" s="9" t="n">
        <f aca="false">((Assumptions!$E$121*(1-Assumptions!$C$29))*$C$10)</f>
        <v>183920</v>
      </c>
      <c r="K104" s="9" t="n">
        <f aca="false">((Assumptions!$E$121*(1-Assumptions!$C$29))*$C$10)</f>
        <v>183920</v>
      </c>
      <c r="L104" s="9" t="n">
        <f aca="false">((Assumptions!$E$121*(1-Assumptions!$C$29))*$C$10)</f>
        <v>183920</v>
      </c>
      <c r="M104" s="9" t="n">
        <f aca="false">((Assumptions!$E$121*(1-Assumptions!$C$29))*$C$10)</f>
        <v>183920</v>
      </c>
      <c r="N104" s="9" t="n">
        <f aca="false">((Assumptions!$E$121*(1-Assumptions!$C$29))*$C$10)</f>
        <v>183920</v>
      </c>
      <c r="O104" s="9" t="n">
        <f aca="false">((Assumptions!$E$121*(1-Assumptions!$C$29))*$C$10)</f>
        <v>183920</v>
      </c>
      <c r="P104" s="9" t="n">
        <f aca="false">((Assumptions!$E$121*(1-Assumptions!$C$29))*$C$10)</f>
        <v>183920</v>
      </c>
      <c r="Q104" s="9" t="n">
        <f aca="false">((Assumptions!$E$121*(1-Assumptions!$C$29))*$C$10)</f>
        <v>183920</v>
      </c>
      <c r="R104" s="9" t="n">
        <f aca="false">((Assumptions!$E$121*(1-Assumptions!$C$29))*$C$10)</f>
        <v>183920</v>
      </c>
      <c r="S104" s="9" t="n">
        <f aca="false">((Assumptions!$E$121*(1-Assumptions!$C$29))*$C$10)</f>
        <v>183920</v>
      </c>
      <c r="T104" s="9" t="n">
        <f aca="false">((Assumptions!$E$121*(1-Assumptions!$C$29))*$C$10)</f>
        <v>183920</v>
      </c>
      <c r="U104" s="9" t="n">
        <f aca="false">((Assumptions!$E$121*(1-Assumptions!$C$29))*$C$10)</f>
        <v>183920</v>
      </c>
      <c r="V104" s="9" t="n">
        <f aca="false">((Assumptions!$E$121*(1-Assumptions!$C$29))*$C$10)</f>
        <v>183920</v>
      </c>
      <c r="W104" s="9" t="n">
        <f aca="false">((Assumptions!$E$121*(1-Assumptions!$C$29))*$C$10)</f>
        <v>183920</v>
      </c>
      <c r="X104" s="9" t="n">
        <f aca="false">((Assumptions!$E$121*(1-Assumptions!$C$29))*$C$10)</f>
        <v>183920</v>
      </c>
      <c r="Y104" s="9" t="n">
        <f aca="false">((Assumptions!$E$121*(1-Assumptions!$C$29))*$C$10)</f>
        <v>183920</v>
      </c>
      <c r="Z104" s="9" t="n">
        <f aca="false">((Assumptions!$E$121*(1-Assumptions!$C$29))*$C$10)</f>
        <v>183920</v>
      </c>
      <c r="AA104" s="9" t="n">
        <f aca="false">((Assumptions!$E$121*(1-Assumptions!$C$29))*$C$10)</f>
        <v>183920</v>
      </c>
      <c r="AB104" s="9" t="n">
        <f aca="false">((Assumptions!$E$121*(1-Assumptions!$C$29))*$C$10)</f>
        <v>183920</v>
      </c>
      <c r="AC104" s="9" t="n">
        <f aca="false">((Assumptions!$E$121*(1-Assumptions!$C$29))*$C$10)</f>
        <v>183920</v>
      </c>
      <c r="AD104" s="9" t="n">
        <f aca="false">((Assumptions!$E$121*(1-Assumptions!$C$29))*$C$10)</f>
        <v>183920</v>
      </c>
      <c r="AE104" s="9" t="n">
        <f aca="false">((Assumptions!$E$121*(1-Assumptions!$C$29))*$C$10)</f>
        <v>183920</v>
      </c>
      <c r="AF104" s="9" t="n">
        <f aca="false">((Assumptions!$E$121*(1-Assumptions!$C$29))*$C$10)</f>
        <v>183920</v>
      </c>
      <c r="AG104" s="9" t="n">
        <f aca="false">((Assumptions!$E$121*(1-Assumptions!$C$29))*$C$10)</f>
        <v>183920</v>
      </c>
      <c r="AH104" s="9" t="n">
        <f aca="false">((Assumptions!$E$121*(1-Assumptions!$C$29))*$C$10)</f>
        <v>183920</v>
      </c>
      <c r="AI104" s="9" t="n">
        <f aca="false">((Assumptions!$E$121*(1-Assumptions!$C$29))*$C$10)</f>
        <v>183920</v>
      </c>
      <c r="AJ104" s="9" t="n">
        <f aca="false">((Assumptions!$E$121*(1-Assumptions!$C$29))*$C$10)</f>
        <v>183920</v>
      </c>
      <c r="AK104" s="9" t="n">
        <f aca="false">((Assumptions!$E$121*(1-Assumptions!$C$29))*$C$10)</f>
        <v>183920</v>
      </c>
      <c r="AL104" s="9" t="n">
        <f aca="false">((Assumptions!$E$121*(1-Assumptions!$C$29))*$C$10)</f>
        <v>183920</v>
      </c>
    </row>
    <row r="105" customFormat="false" ht="15" hidden="false" customHeight="false" outlineLevel="0" collapsed="false">
      <c r="A105" s="0" t="s">
        <v>911</v>
      </c>
      <c r="B105" s="0" t="s">
        <v>230</v>
      </c>
      <c r="C105" s="9" t="n">
        <f aca="false">((C101*C104)+((C45*(1+Assumptions!$C$31))*0))</f>
        <v>0</v>
      </c>
      <c r="D105" s="9" t="n">
        <f aca="false">((D101*D104)+((D45*(1+Assumptions!$C$31))*0))</f>
        <v>0</v>
      </c>
      <c r="E105" s="9" t="n">
        <f aca="false">((E101*E104)+((E45*(1+Assumptions!$C$31))*0))</f>
        <v>0</v>
      </c>
      <c r="F105" s="9" t="n">
        <f aca="false">((F101*F104)+((F45*(1+Assumptions!$C$31))*0))</f>
        <v>0</v>
      </c>
      <c r="G105" s="9" t="n">
        <f aca="false">((G101*G104)+((G45*(1+Assumptions!$C$31))*0))</f>
        <v>0</v>
      </c>
      <c r="H105" s="9" t="n">
        <f aca="false">((H101*H104)+((H45*(1+Assumptions!$C$31))*0))</f>
        <v>0</v>
      </c>
      <c r="I105" s="9" t="n">
        <f aca="false">((I101*I104)+((I45*(1+Assumptions!$C$31))*0))</f>
        <v>0</v>
      </c>
      <c r="J105" s="9" t="n">
        <f aca="false">((J101*J104)+((J45*(1+Assumptions!$C$31))*0))</f>
        <v>0</v>
      </c>
      <c r="K105" s="9" t="n">
        <f aca="false">((K101*K104)+((K45*(1+Assumptions!$C$31))*0))</f>
        <v>0</v>
      </c>
      <c r="L105" s="9" t="n">
        <f aca="false">((L101*L104)+((L45*(1+Assumptions!$C$31))*0))</f>
        <v>0</v>
      </c>
      <c r="M105" s="9" t="n">
        <f aca="false">((M101*M104)+((M45*(1+Assumptions!$C$31))*0))</f>
        <v>0</v>
      </c>
      <c r="N105" s="9" t="n">
        <f aca="false">((N101*N104)+((N45*(1+Assumptions!$C$31))*0))</f>
        <v>0</v>
      </c>
      <c r="O105" s="9" t="n">
        <f aca="false">((O101*O104)+((O45*(1+Assumptions!$C$31))*C105))</f>
        <v>0</v>
      </c>
      <c r="P105" s="9" t="n">
        <f aca="false">((P101*P104)+((P45*(1+Assumptions!$C$31))*D105))</f>
        <v>0</v>
      </c>
      <c r="Q105" s="9" t="n">
        <f aca="false">((Q101*Q104)+((Q45*(1+Assumptions!$C$31))*E105))</f>
        <v>0</v>
      </c>
      <c r="R105" s="9" t="n">
        <f aca="false">((R101*R104)+((R45*(1+Assumptions!$C$31))*F105))</f>
        <v>0</v>
      </c>
      <c r="S105" s="9" t="n">
        <f aca="false">((S101*S104)+((S45*(1+Assumptions!$C$31))*G105))</f>
        <v>0</v>
      </c>
      <c r="T105" s="9" t="n">
        <f aca="false">((T101*T104)+((T45*(1+Assumptions!$C$31))*H105))</f>
        <v>0</v>
      </c>
      <c r="U105" s="9" t="n">
        <f aca="false">((U101*U104)+((U45*(1+Assumptions!$C$31))*I105))</f>
        <v>0</v>
      </c>
      <c r="V105" s="9" t="n">
        <f aca="false">((V101*V104)+((V45*(1+Assumptions!$C$31))*J105))</f>
        <v>0</v>
      </c>
      <c r="W105" s="9" t="n">
        <f aca="false">((W101*W104)+((W45*(1+Assumptions!$C$31))*K105))</f>
        <v>0</v>
      </c>
      <c r="X105" s="9" t="n">
        <f aca="false">((X101*X104)+((X45*(1+Assumptions!$C$31))*L105))</f>
        <v>0</v>
      </c>
      <c r="Y105" s="9" t="n">
        <f aca="false">((Y101*Y104)+((Y45*(1+Assumptions!$C$31))*M105))</f>
        <v>0</v>
      </c>
      <c r="Z105" s="9" t="n">
        <f aca="false">((Z101*Z104)+((Z45*(1+Assumptions!$C$31))*N105))</f>
        <v>0</v>
      </c>
      <c r="AA105" s="9" t="n">
        <f aca="false">((AA101*AA104)+((AA45*(1+Assumptions!$C$31))*O105))</f>
        <v>0</v>
      </c>
      <c r="AB105" s="9" t="n">
        <f aca="false">((AB101*AB104)+((AB45*(1+Assumptions!$C$31))*P105))</f>
        <v>0</v>
      </c>
      <c r="AC105" s="9" t="n">
        <f aca="false">((AC101*AC104)+((AC45*(1+Assumptions!$C$31))*Q105))</f>
        <v>0</v>
      </c>
      <c r="AD105" s="9" t="n">
        <f aca="false">((AD101*AD104)+((AD45*(1+Assumptions!$C$31))*R105))</f>
        <v>0</v>
      </c>
      <c r="AE105" s="9" t="n">
        <f aca="false">((AE101*AE104)+((AE45*(1+Assumptions!$C$31))*S105))</f>
        <v>0</v>
      </c>
      <c r="AF105" s="9" t="n">
        <f aca="false">((AF101*AF104)+((AF45*(1+Assumptions!$C$31))*T105))</f>
        <v>0</v>
      </c>
      <c r="AG105" s="9" t="n">
        <f aca="false">((AG101*AG104)+((AG45*(1+Assumptions!$C$31))*U105))</f>
        <v>0</v>
      </c>
      <c r="AH105" s="9" t="n">
        <f aca="false">((AH101*AH104)+((AH45*(1+Assumptions!$C$31))*V105))</f>
        <v>0</v>
      </c>
      <c r="AI105" s="9" t="n">
        <f aca="false">((AI101*AI104)+((AI45*(1+Assumptions!$C$31))*W105))</f>
        <v>0</v>
      </c>
      <c r="AJ105" s="9" t="n">
        <f aca="false">((AJ101*AJ104)+((AJ45*(1+Assumptions!$C$31))*X105))</f>
        <v>0</v>
      </c>
      <c r="AK105" s="9" t="n">
        <f aca="false">((AK101*AK104)+((AK45*(1+Assumptions!$C$31))*Y105))</f>
        <v>0</v>
      </c>
      <c r="AL105" s="9" t="n">
        <f aca="false">((AL101*AL104)+((AL45*(1+Assumptions!$C$31))*Z105))</f>
        <v>0</v>
      </c>
      <c r="AN105" s="11" t="n">
        <f aca="false">SUM(C105:N105)</f>
        <v>0</v>
      </c>
      <c r="AO105" s="11" t="n">
        <f aca="false">SUM(O105:Z105)</f>
        <v>0</v>
      </c>
      <c r="AP105" s="11" t="n">
        <f aca="false">SUM(AA105:AL105)</f>
        <v>0</v>
      </c>
    </row>
    <row r="106" customFormat="false" ht="15" hidden="false" customHeight="false" outlineLevel="0" collapsed="false">
      <c r="A106" s="0" t="s">
        <v>912</v>
      </c>
      <c r="B106" s="0" t="s">
        <v>230</v>
      </c>
      <c r="C106" s="9" t="n">
        <f aca="false">(Assumptions!$E$126*C99)</f>
        <v>0</v>
      </c>
      <c r="D106" s="9" t="n">
        <f aca="false">(Assumptions!$E$126*D99)</f>
        <v>0</v>
      </c>
      <c r="E106" s="9" t="n">
        <f aca="false">(Assumptions!$E$126*E99)</f>
        <v>0</v>
      </c>
      <c r="F106" s="9" t="n">
        <f aca="false">(Assumptions!$E$126*F99)</f>
        <v>0</v>
      </c>
      <c r="G106" s="9" t="n">
        <f aca="false">(Assumptions!$E$126*G99)</f>
        <v>0</v>
      </c>
      <c r="H106" s="9" t="n">
        <f aca="false">(Assumptions!$E$126*H99)</f>
        <v>0</v>
      </c>
      <c r="I106" s="9" t="n">
        <f aca="false">(Assumptions!$E$126*I99)</f>
        <v>0</v>
      </c>
      <c r="J106" s="9" t="n">
        <f aca="false">(Assumptions!$E$126*J99)</f>
        <v>0</v>
      </c>
      <c r="K106" s="9" t="n">
        <f aca="false">(Assumptions!$E$126*K99)</f>
        <v>0</v>
      </c>
      <c r="L106" s="9" t="n">
        <f aca="false">(Assumptions!$E$126*L99)</f>
        <v>0</v>
      </c>
      <c r="M106" s="9" t="n">
        <f aca="false">(Assumptions!$E$126*M99)</f>
        <v>0</v>
      </c>
      <c r="N106" s="9" t="n">
        <f aca="false">(Assumptions!$E$126*N99)</f>
        <v>0</v>
      </c>
      <c r="O106" s="9" t="n">
        <f aca="false">(Assumptions!$E$126*O99)</f>
        <v>0</v>
      </c>
      <c r="P106" s="9" t="n">
        <f aca="false">(Assumptions!$E$126*P99)</f>
        <v>0</v>
      </c>
      <c r="Q106" s="9" t="n">
        <f aca="false">(Assumptions!$E$126*Q99)</f>
        <v>0</v>
      </c>
      <c r="R106" s="9" t="n">
        <f aca="false">(Assumptions!$E$126*R99)</f>
        <v>0</v>
      </c>
      <c r="S106" s="9" t="n">
        <f aca="false">(Assumptions!$E$126*S99)</f>
        <v>0</v>
      </c>
      <c r="T106" s="9" t="n">
        <f aca="false">(Assumptions!$E$126*T99)</f>
        <v>0</v>
      </c>
      <c r="U106" s="9" t="n">
        <f aca="false">(Assumptions!$E$126*U99)</f>
        <v>0</v>
      </c>
      <c r="V106" s="9" t="n">
        <f aca="false">(Assumptions!$E$126*V99)</f>
        <v>0</v>
      </c>
      <c r="W106" s="9" t="n">
        <f aca="false">(Assumptions!$E$126*W99)</f>
        <v>0</v>
      </c>
      <c r="X106" s="9" t="n">
        <f aca="false">(Assumptions!$E$126*X99)</f>
        <v>0</v>
      </c>
      <c r="Y106" s="9" t="n">
        <f aca="false">(Assumptions!$E$126*Y99)</f>
        <v>0</v>
      </c>
      <c r="Z106" s="9" t="n">
        <f aca="false">(Assumptions!$E$126*Z99)</f>
        <v>0</v>
      </c>
      <c r="AA106" s="9" t="n">
        <f aca="false">(Assumptions!$E$126*AA99)</f>
        <v>0</v>
      </c>
      <c r="AB106" s="9" t="n">
        <f aca="false">(Assumptions!$E$126*AB99)</f>
        <v>0</v>
      </c>
      <c r="AC106" s="9" t="n">
        <f aca="false">(Assumptions!$E$126*AC99)</f>
        <v>0</v>
      </c>
      <c r="AD106" s="9" t="n">
        <f aca="false">(Assumptions!$E$126*AD99)</f>
        <v>0</v>
      </c>
      <c r="AE106" s="9" t="n">
        <f aca="false">(Assumptions!$E$126*AE99)</f>
        <v>0</v>
      </c>
      <c r="AF106" s="9" t="n">
        <f aca="false">(Assumptions!$E$126*AF99)</f>
        <v>0</v>
      </c>
      <c r="AG106" s="9" t="n">
        <f aca="false">(Assumptions!$E$126*AG99)</f>
        <v>0</v>
      </c>
      <c r="AH106" s="9" t="n">
        <f aca="false">(Assumptions!$E$126*AH99)</f>
        <v>0</v>
      </c>
      <c r="AI106" s="9" t="n">
        <f aca="false">(Assumptions!$E$126*AI99)</f>
        <v>0</v>
      </c>
      <c r="AJ106" s="9" t="n">
        <f aca="false">(Assumptions!$E$126*AJ99)</f>
        <v>0</v>
      </c>
      <c r="AK106" s="9" t="n">
        <f aca="false">(Assumptions!$E$126*AK99)</f>
        <v>0</v>
      </c>
      <c r="AL106" s="9" t="n">
        <f aca="false">(Assumptions!$E$126*AL99)</f>
        <v>0</v>
      </c>
      <c r="AN106" s="11" t="n">
        <f aca="false">SUM(C106:N106)</f>
        <v>0</v>
      </c>
      <c r="AO106" s="11" t="n">
        <f aca="false">SUM(O106:Z106)</f>
        <v>0</v>
      </c>
      <c r="AP106" s="11" t="n">
        <f aca="false">SUM(AA106:AL106)</f>
        <v>0</v>
      </c>
    </row>
    <row r="107" customFormat="false" ht="15" hidden="false" customHeight="false" outlineLevel="0" collapsed="false">
      <c r="A107" s="0" t="s">
        <v>913</v>
      </c>
      <c r="B107" s="0" t="s">
        <v>230</v>
      </c>
      <c r="C107" s="9" t="n">
        <f aca="false">((C105-C106)/12)</f>
        <v>0</v>
      </c>
      <c r="D107" s="9" t="n">
        <f aca="false">((SUM(C105:D105)-SUM(C106:D106))/12)</f>
        <v>0</v>
      </c>
      <c r="E107" s="9" t="n">
        <f aca="false">((SUM(C105:E105)-SUM(C106:E106))/12)</f>
        <v>0</v>
      </c>
      <c r="F107" s="9" t="n">
        <f aca="false">((SUM(C105:F105)-SUM(C106:F106))/12)</f>
        <v>0</v>
      </c>
      <c r="G107" s="9" t="n">
        <f aca="false">((SUM(C105:G105)-SUM(C106:G106))/12)</f>
        <v>0</v>
      </c>
      <c r="H107" s="9" t="n">
        <f aca="false">((SUM(C105:H105)-SUM(C106:H106))/12)</f>
        <v>0</v>
      </c>
      <c r="I107" s="9" t="n">
        <f aca="false">((SUM(C105:I105)-SUM(C106:I106))/12)</f>
        <v>0</v>
      </c>
      <c r="J107" s="9" t="n">
        <f aca="false">((SUM(C105:J105)-SUM(C106:J106))/12)</f>
        <v>0</v>
      </c>
      <c r="K107" s="9" t="n">
        <f aca="false">((SUM(C105:K105)-SUM(C106:K106))/12)</f>
        <v>0</v>
      </c>
      <c r="L107" s="9" t="n">
        <f aca="false">((SUM(C105:L105)-SUM(C106:L106))/12)</f>
        <v>0</v>
      </c>
      <c r="M107" s="9" t="n">
        <f aca="false">((SUM(C105:M105)-SUM(C106:M106))/12)</f>
        <v>0</v>
      </c>
      <c r="N107" s="9" t="n">
        <f aca="false">((SUM(C105:N105)-SUM(C106:N106))/12)</f>
        <v>0</v>
      </c>
      <c r="O107" s="9" t="n">
        <f aca="false">((SUM(D105:O105)-SUM(D106:O106))/12)</f>
        <v>0</v>
      </c>
      <c r="P107" s="9" t="n">
        <f aca="false">((SUM(E105:P105)-SUM(E106:P106))/12)</f>
        <v>0</v>
      </c>
      <c r="Q107" s="9" t="n">
        <f aca="false">((SUM(F105:Q105)-SUM(F106:Q106))/12)</f>
        <v>0</v>
      </c>
      <c r="R107" s="9" t="n">
        <f aca="false">((SUM(G105:R105)-SUM(G106:R106))/12)</f>
        <v>0</v>
      </c>
      <c r="S107" s="9" t="n">
        <f aca="false">((SUM(H105:S105)-SUM(H106:S106))/12)</f>
        <v>0</v>
      </c>
      <c r="T107" s="9" t="n">
        <f aca="false">((SUM(I105:T105)-SUM(I106:T106))/12)</f>
        <v>0</v>
      </c>
      <c r="U107" s="9" t="n">
        <f aca="false">((SUM(J105:U105)-SUM(J106:U106))/12)</f>
        <v>0</v>
      </c>
      <c r="V107" s="9" t="n">
        <f aca="false">((SUM(K105:V105)-SUM(K106:V106))/12)</f>
        <v>0</v>
      </c>
      <c r="W107" s="9" t="n">
        <f aca="false">((SUM(L105:W105)-SUM(L106:W106))/12)</f>
        <v>0</v>
      </c>
      <c r="X107" s="9" t="n">
        <f aca="false">((SUM(M105:X105)-SUM(M106:X106))/12)</f>
        <v>0</v>
      </c>
      <c r="Y107" s="9" t="n">
        <f aca="false">((SUM(N105:Y105)-SUM(N106:Y106))/12)</f>
        <v>0</v>
      </c>
      <c r="Z107" s="9" t="n">
        <f aca="false">((SUM(O105:Z105)-SUM(O106:Z106))/12)</f>
        <v>0</v>
      </c>
      <c r="AA107" s="9" t="n">
        <f aca="false">((SUM(P105:AA105)-SUM(P106:AA106))/12)</f>
        <v>0</v>
      </c>
      <c r="AB107" s="9" t="n">
        <f aca="false">((SUM(Q105:AB105)-SUM(Q106:AB106))/12)</f>
        <v>0</v>
      </c>
      <c r="AC107" s="9" t="n">
        <f aca="false">((SUM(R105:AC105)-SUM(R106:AC106))/12)</f>
        <v>0</v>
      </c>
      <c r="AD107" s="9" t="n">
        <f aca="false">((SUM(S105:AD105)-SUM(S106:AD106))/12)</f>
        <v>0</v>
      </c>
      <c r="AE107" s="9" t="n">
        <f aca="false">((SUM(T105:AE105)-SUM(T106:AE106))/12)</f>
        <v>0</v>
      </c>
      <c r="AF107" s="9" t="n">
        <f aca="false">((SUM(U105:AF105)-SUM(U106:AF106))/12)</f>
        <v>0</v>
      </c>
      <c r="AG107" s="9" t="n">
        <f aca="false">((SUM(V105:AG105)-SUM(V106:AG106))/12)</f>
        <v>0</v>
      </c>
      <c r="AH107" s="9" t="n">
        <f aca="false">((SUM(W105:AH105)-SUM(W106:AH106))/12)</f>
        <v>0</v>
      </c>
      <c r="AI107" s="9" t="n">
        <f aca="false">((SUM(X105:AI105)-SUM(X106:AI106))/12)</f>
        <v>0</v>
      </c>
      <c r="AJ107" s="9" t="n">
        <f aca="false">((SUM(Y105:AJ105)-SUM(Y106:AJ106))/12)</f>
        <v>0</v>
      </c>
      <c r="AK107" s="9" t="n">
        <f aca="false">((SUM(Z105:AK105)-SUM(Z106:AK106))/12)</f>
        <v>0</v>
      </c>
      <c r="AL107" s="9" t="n">
        <f aca="false">((SUM(AA105:AL105)-SUM(AA106:AL106))/12)</f>
        <v>0</v>
      </c>
      <c r="AN107" s="11" t="n">
        <f aca="false">SUM(C107:N107)</f>
        <v>0</v>
      </c>
      <c r="AO107" s="11" t="n">
        <f aca="false">SUM(O107:Z107)</f>
        <v>0</v>
      </c>
      <c r="AP107" s="11" t="n">
        <f aca="false">SUM(AA107:AL107)</f>
        <v>0</v>
      </c>
    </row>
    <row r="108" customFormat="false" ht="15" hidden="false" customHeight="false" outlineLevel="0" collapsed="false">
      <c r="A108" s="0" t="s">
        <v>914</v>
      </c>
      <c r="B108" s="0" t="s">
        <v>230</v>
      </c>
      <c r="C108" s="9" t="n">
        <f aca="false">(C105-C106)</f>
        <v>0</v>
      </c>
      <c r="D108" s="9" t="n">
        <f aca="false">(D105-D106)</f>
        <v>0</v>
      </c>
      <c r="E108" s="9" t="n">
        <f aca="false">(E105-E106)</f>
        <v>0</v>
      </c>
      <c r="F108" s="9" t="n">
        <f aca="false">(F105-F106)</f>
        <v>0</v>
      </c>
      <c r="G108" s="9" t="n">
        <f aca="false">(G105-G106)</f>
        <v>0</v>
      </c>
      <c r="H108" s="9" t="n">
        <f aca="false">(H105-H106)</f>
        <v>0</v>
      </c>
      <c r="I108" s="9" t="n">
        <f aca="false">(I105-I106)</f>
        <v>0</v>
      </c>
      <c r="J108" s="9" t="n">
        <f aca="false">(J105-J106)</f>
        <v>0</v>
      </c>
      <c r="K108" s="9" t="n">
        <f aca="false">(K105-K106)</f>
        <v>0</v>
      </c>
      <c r="L108" s="9" t="n">
        <f aca="false">(L105-L106)</f>
        <v>0</v>
      </c>
      <c r="M108" s="9" t="n">
        <f aca="false">(M105-M106)</f>
        <v>0</v>
      </c>
      <c r="N108" s="9" t="n">
        <f aca="false">(N105-N106)</f>
        <v>0</v>
      </c>
      <c r="O108" s="9" t="n">
        <f aca="false">(O105-O106)</f>
        <v>0</v>
      </c>
      <c r="P108" s="9" t="n">
        <f aca="false">(P105-P106)</f>
        <v>0</v>
      </c>
      <c r="Q108" s="9" t="n">
        <f aca="false">(Q105-Q106)</f>
        <v>0</v>
      </c>
      <c r="R108" s="9" t="n">
        <f aca="false">(R105-R106)</f>
        <v>0</v>
      </c>
      <c r="S108" s="9" t="n">
        <f aca="false">(S105-S106)</f>
        <v>0</v>
      </c>
      <c r="T108" s="9" t="n">
        <f aca="false">(T105-T106)</f>
        <v>0</v>
      </c>
      <c r="U108" s="9" t="n">
        <f aca="false">(U105-U106)</f>
        <v>0</v>
      </c>
      <c r="V108" s="9" t="n">
        <f aca="false">(V105-V106)</f>
        <v>0</v>
      </c>
      <c r="W108" s="9" t="n">
        <f aca="false">(W105-W106)</f>
        <v>0</v>
      </c>
      <c r="X108" s="9" t="n">
        <f aca="false">(X105-X106)</f>
        <v>0</v>
      </c>
      <c r="Y108" s="9" t="n">
        <f aca="false">(Y105-Y106)</f>
        <v>0</v>
      </c>
      <c r="Z108" s="9" t="n">
        <f aca="false">(Z105-Z106)</f>
        <v>0</v>
      </c>
      <c r="AA108" s="9" t="n">
        <f aca="false">(AA105-AA106)</f>
        <v>0</v>
      </c>
      <c r="AB108" s="9" t="n">
        <f aca="false">(AB105-AB106)</f>
        <v>0</v>
      </c>
      <c r="AC108" s="9" t="n">
        <f aca="false">(AC105-AC106)</f>
        <v>0</v>
      </c>
      <c r="AD108" s="9" t="n">
        <f aca="false">(AD105-AD106)</f>
        <v>0</v>
      </c>
      <c r="AE108" s="9" t="n">
        <f aca="false">(AE105-AE106)</f>
        <v>0</v>
      </c>
      <c r="AF108" s="9" t="n">
        <f aca="false">(AF105-AF106)</f>
        <v>0</v>
      </c>
      <c r="AG108" s="9" t="n">
        <f aca="false">(AG105-AG106)</f>
        <v>0</v>
      </c>
      <c r="AH108" s="9" t="n">
        <f aca="false">(AH105-AH106)</f>
        <v>0</v>
      </c>
      <c r="AI108" s="9" t="n">
        <f aca="false">(AI105-AI106)</f>
        <v>0</v>
      </c>
      <c r="AJ108" s="9" t="n">
        <f aca="false">(AJ105-AJ106)</f>
        <v>0</v>
      </c>
      <c r="AK108" s="9" t="n">
        <f aca="false">(AK105-AK106)</f>
        <v>0</v>
      </c>
      <c r="AL108" s="9" t="n">
        <f aca="false">(AL105-AL106)</f>
        <v>0</v>
      </c>
      <c r="AN108" s="11" t="n">
        <f aca="false">SUM(C108:N108)</f>
        <v>0</v>
      </c>
      <c r="AO108" s="11" t="n">
        <f aca="false">SUM(O108:Z108)</f>
        <v>0</v>
      </c>
      <c r="AP108" s="11" t="n">
        <f aca="false">SUM(AA108:AL108)</f>
        <v>0</v>
      </c>
    </row>
    <row r="109" customFormat="false" ht="15" hidden="false" customHeight="false" outlineLevel="0" collapsed="false">
      <c r="A109" s="0" t="s">
        <v>915</v>
      </c>
      <c r="B109" s="0" t="s">
        <v>230</v>
      </c>
      <c r="C109" s="9" t="n">
        <f aca="false">(((Assumptions!$E$122*$C$10)/6)*C98)</f>
        <v>0</v>
      </c>
      <c r="D109" s="9" t="n">
        <f aca="false">(((Assumptions!$E$122*$C$10)/6)*D98)</f>
        <v>0</v>
      </c>
      <c r="E109" s="9" t="n">
        <f aca="false">(((Assumptions!$E$122*$C$10)/6)*E98)</f>
        <v>0</v>
      </c>
      <c r="F109" s="9" t="n">
        <f aca="false">(((Assumptions!$E$122*$C$10)/6)*F98)</f>
        <v>0</v>
      </c>
      <c r="G109" s="9" t="n">
        <f aca="false">(((Assumptions!$E$122*$C$10)/6)*G98)</f>
        <v>0</v>
      </c>
      <c r="H109" s="9" t="n">
        <f aca="false">(((Assumptions!$E$122*$C$10)/6)*H98)</f>
        <v>0</v>
      </c>
      <c r="I109" s="9" t="n">
        <f aca="false">(((Assumptions!$E$122*$C$10)/6)*I98)</f>
        <v>0</v>
      </c>
      <c r="J109" s="9" t="n">
        <f aca="false">(((Assumptions!$E$122*$C$10)/6)*J98)</f>
        <v>0</v>
      </c>
      <c r="K109" s="9" t="n">
        <f aca="false">(((Assumptions!$E$122*$C$10)/6)*K98)</f>
        <v>0</v>
      </c>
      <c r="L109" s="9" t="n">
        <f aca="false">(((Assumptions!$E$122*$C$10)/6)*L98)</f>
        <v>0</v>
      </c>
      <c r="M109" s="9" t="n">
        <f aca="false">(((Assumptions!$E$122*$C$10)/6)*M98)</f>
        <v>0</v>
      </c>
      <c r="N109" s="9" t="n">
        <f aca="false">(((Assumptions!$E$122*$C$10)/6)*N98)</f>
        <v>0</v>
      </c>
      <c r="O109" s="9" t="n">
        <f aca="false">(((Assumptions!$E$122*$C$10)/6)*O98)</f>
        <v>0</v>
      </c>
      <c r="P109" s="9" t="n">
        <f aca="false">(((Assumptions!$E$122*$C$10)/6)*P98)</f>
        <v>0</v>
      </c>
      <c r="Q109" s="9" t="n">
        <f aca="false">(((Assumptions!$E$122*$C$10)/6)*Q98)</f>
        <v>0</v>
      </c>
      <c r="R109" s="9" t="n">
        <f aca="false">(((Assumptions!$E$122*$C$10)/6)*R98)</f>
        <v>0</v>
      </c>
      <c r="S109" s="9" t="n">
        <f aca="false">(((Assumptions!$E$122*$C$10)/6)*S98)</f>
        <v>0</v>
      </c>
      <c r="T109" s="9" t="n">
        <f aca="false">(((Assumptions!$E$122*$C$10)/6)*T98)</f>
        <v>0</v>
      </c>
      <c r="U109" s="9" t="n">
        <f aca="false">(((Assumptions!$E$122*$C$10)/6)*U98)</f>
        <v>0</v>
      </c>
      <c r="V109" s="9" t="n">
        <f aca="false">(((Assumptions!$E$122*$C$10)/6)*V98)</f>
        <v>0</v>
      </c>
      <c r="W109" s="9" t="n">
        <f aca="false">(((Assumptions!$E$122*$C$10)/6)*W98)</f>
        <v>0</v>
      </c>
      <c r="X109" s="9" t="n">
        <f aca="false">(((Assumptions!$E$122*$C$10)/6)*X98)</f>
        <v>0</v>
      </c>
      <c r="Y109" s="9" t="n">
        <f aca="false">(((Assumptions!$E$122*$C$10)/6)*Y98)</f>
        <v>0</v>
      </c>
      <c r="Z109" s="9" t="n">
        <f aca="false">(((Assumptions!$E$122*$C$10)/6)*Z98)</f>
        <v>0</v>
      </c>
      <c r="AA109" s="9" t="n">
        <f aca="false">(((Assumptions!$E$122*$C$10)/6)*AA98)</f>
        <v>0</v>
      </c>
      <c r="AB109" s="9" t="n">
        <f aca="false">(((Assumptions!$E$122*$C$10)/6)*AB98)</f>
        <v>0</v>
      </c>
      <c r="AC109" s="9" t="n">
        <f aca="false">(((Assumptions!$E$122*$C$10)/6)*AC98)</f>
        <v>0</v>
      </c>
      <c r="AD109" s="9" t="n">
        <f aca="false">(((Assumptions!$E$122*$C$10)/6)*AD98)</f>
        <v>0</v>
      </c>
      <c r="AE109" s="9" t="n">
        <f aca="false">(((Assumptions!$E$122*$C$10)/6)*AE98)</f>
        <v>0</v>
      </c>
      <c r="AF109" s="9" t="n">
        <f aca="false">(((Assumptions!$E$122*$C$10)/6)*AF98)</f>
        <v>0</v>
      </c>
      <c r="AG109" s="9" t="n">
        <f aca="false">(((Assumptions!$E$122*$C$10)/6)*AG98)</f>
        <v>0</v>
      </c>
      <c r="AH109" s="9" t="n">
        <f aca="false">(((Assumptions!$E$122*$C$10)/6)*AH98)</f>
        <v>5700</v>
      </c>
      <c r="AI109" s="9" t="n">
        <f aca="false">(((Assumptions!$E$122*$C$10)/6)*AI98)</f>
        <v>5700</v>
      </c>
      <c r="AJ109" s="9" t="n">
        <f aca="false">(((Assumptions!$E$122*$C$10)/6)*AJ98)</f>
        <v>5700</v>
      </c>
      <c r="AK109" s="9" t="n">
        <f aca="false">(((Assumptions!$E$122*$C$10)/6)*AK98)</f>
        <v>5700</v>
      </c>
      <c r="AL109" s="9" t="n">
        <f aca="false">(((Assumptions!$E$122*$C$10)/6)*AL98)</f>
        <v>5700</v>
      </c>
      <c r="AN109" s="11" t="n">
        <f aca="false">SUM(C109:N109)</f>
        <v>0</v>
      </c>
      <c r="AO109" s="11" t="n">
        <f aca="false">SUM(O109:Z109)</f>
        <v>0</v>
      </c>
      <c r="AP109" s="11" t="n">
        <f aca="false">SUM(AA109:AL109)</f>
        <v>28500</v>
      </c>
    </row>
    <row r="110" customFormat="false" ht="15" hidden="false" customHeight="false" outlineLevel="0" collapsed="false">
      <c r="A110" s="0" t="s">
        <v>916</v>
      </c>
      <c r="B110" s="0" t="s">
        <v>230</v>
      </c>
      <c r="C110" s="9" t="n">
        <f aca="false">((Assumptions!$E$122*$C$10)*C92)</f>
        <v>0</v>
      </c>
      <c r="D110" s="9" t="n">
        <f aca="false">((Assumptions!$E$122*$C$10)*D92)</f>
        <v>0</v>
      </c>
      <c r="E110" s="9" t="n">
        <f aca="false">((Assumptions!$E$122*$C$10)*E92)</f>
        <v>0</v>
      </c>
      <c r="F110" s="9" t="n">
        <f aca="false">((Assumptions!$E$122*$C$10)*F92)</f>
        <v>0</v>
      </c>
      <c r="G110" s="9" t="n">
        <f aca="false">((Assumptions!$E$122*$C$10)*G92)</f>
        <v>0</v>
      </c>
      <c r="H110" s="9" t="n">
        <f aca="false">((Assumptions!$E$122*$C$10)*H92)</f>
        <v>0</v>
      </c>
      <c r="I110" s="9" t="n">
        <f aca="false">((Assumptions!$E$122*$C$10)*I92)</f>
        <v>0</v>
      </c>
      <c r="J110" s="9" t="n">
        <f aca="false">((Assumptions!$E$122*$C$10)*J92)</f>
        <v>0</v>
      </c>
      <c r="K110" s="9" t="n">
        <f aca="false">((Assumptions!$E$122*$C$10)*K92)</f>
        <v>0</v>
      </c>
      <c r="L110" s="9" t="n">
        <f aca="false">((Assumptions!$E$122*$C$10)*L92)</f>
        <v>0</v>
      </c>
      <c r="M110" s="9" t="n">
        <f aca="false">((Assumptions!$E$122*$C$10)*M92)</f>
        <v>0</v>
      </c>
      <c r="N110" s="9" t="n">
        <f aca="false">((Assumptions!$E$122*$C$10)*N92)</f>
        <v>0</v>
      </c>
      <c r="O110" s="9" t="n">
        <f aca="false">((Assumptions!$E$122*$C$10)*O92)</f>
        <v>0</v>
      </c>
      <c r="P110" s="9" t="n">
        <f aca="false">((Assumptions!$E$122*$C$10)*P92)</f>
        <v>0</v>
      </c>
      <c r="Q110" s="9" t="n">
        <f aca="false">((Assumptions!$E$122*$C$10)*Q92)</f>
        <v>0</v>
      </c>
      <c r="R110" s="9" t="n">
        <f aca="false">((Assumptions!$E$122*$C$10)*R92)</f>
        <v>0</v>
      </c>
      <c r="S110" s="9" t="n">
        <f aca="false">((Assumptions!$E$122*$C$10)*S92)</f>
        <v>0</v>
      </c>
      <c r="T110" s="9" t="n">
        <f aca="false">((Assumptions!$E$122*$C$10)*T92)</f>
        <v>0</v>
      </c>
      <c r="U110" s="9" t="n">
        <f aca="false">((Assumptions!$E$122*$C$10)*U92)</f>
        <v>0</v>
      </c>
      <c r="V110" s="9" t="n">
        <f aca="false">((Assumptions!$E$122*$C$10)*V92)</f>
        <v>0</v>
      </c>
      <c r="W110" s="9" t="n">
        <f aca="false">((Assumptions!$E$122*$C$10)*W92)</f>
        <v>0</v>
      </c>
      <c r="X110" s="9" t="n">
        <f aca="false">((Assumptions!$E$122*$C$10)*X92)</f>
        <v>0</v>
      </c>
      <c r="Y110" s="9" t="n">
        <f aca="false">((Assumptions!$E$122*$C$10)*Y92)</f>
        <v>0</v>
      </c>
      <c r="Z110" s="9" t="n">
        <f aca="false">((Assumptions!$E$122*$C$10)*Z92)</f>
        <v>0</v>
      </c>
      <c r="AA110" s="9" t="n">
        <f aca="false">((Assumptions!$E$122*$C$10)*AA92)</f>
        <v>0</v>
      </c>
      <c r="AB110" s="9" t="n">
        <f aca="false">((Assumptions!$E$122*$C$10)*AB92)</f>
        <v>0</v>
      </c>
      <c r="AC110" s="9" t="n">
        <f aca="false">((Assumptions!$E$122*$C$10)*AC92)</f>
        <v>0</v>
      </c>
      <c r="AD110" s="9" t="n">
        <f aca="false">((Assumptions!$E$122*$C$10)*AD92)</f>
        <v>0</v>
      </c>
      <c r="AE110" s="9" t="n">
        <f aca="false">((Assumptions!$E$122*$C$10)*AE92)</f>
        <v>0</v>
      </c>
      <c r="AF110" s="9" t="n">
        <f aca="false">((Assumptions!$E$122*$C$10)*AF92)</f>
        <v>0</v>
      </c>
      <c r="AG110" s="9" t="n">
        <f aca="false">((Assumptions!$E$122*$C$10)*AG92)</f>
        <v>0</v>
      </c>
      <c r="AH110" s="9" t="n">
        <f aca="false">((Assumptions!$E$122*$C$10)*AH92)</f>
        <v>34200</v>
      </c>
      <c r="AI110" s="9" t="n">
        <f aca="false">((Assumptions!$E$122*$C$10)*AI92)</f>
        <v>0</v>
      </c>
      <c r="AJ110" s="9" t="n">
        <f aca="false">((Assumptions!$E$122*$C$10)*AJ92)</f>
        <v>0</v>
      </c>
      <c r="AK110" s="9" t="n">
        <f aca="false">((Assumptions!$E$122*$C$10)*AK92)</f>
        <v>0</v>
      </c>
      <c r="AL110" s="9" t="n">
        <f aca="false">((Assumptions!$E$122*$C$10)*AL92)</f>
        <v>0</v>
      </c>
      <c r="AN110" s="11" t="n">
        <f aca="false">SUM(C110:N110)</f>
        <v>0</v>
      </c>
      <c r="AO110" s="11" t="n">
        <f aca="false">SUM(O110:Z110)</f>
        <v>0</v>
      </c>
      <c r="AP110" s="11" t="n">
        <f aca="false">SUM(AA110:AL110)</f>
        <v>34200</v>
      </c>
    </row>
    <row r="111" customFormat="false" ht="15" hidden="false" customHeight="false" outlineLevel="0" collapsed="false">
      <c r="A111" s="0" t="s">
        <v>917</v>
      </c>
      <c r="B111" s="0" t="s">
        <v>230</v>
      </c>
      <c r="C111" s="9" t="n">
        <f aca="false">((Assumptions!$E$123*$C$10)+(Assumptions!$C$34*Assumptions!$C$35))</f>
        <v>101000</v>
      </c>
      <c r="D111" s="9" t="n">
        <f aca="false">((Assumptions!$E$123*$C$10)+(Assumptions!$C$34*Assumptions!$C$35))</f>
        <v>101000</v>
      </c>
      <c r="E111" s="9" t="n">
        <f aca="false">((Assumptions!$E$123*$C$10)+(Assumptions!$C$34*Assumptions!$C$35))</f>
        <v>101000</v>
      </c>
      <c r="F111" s="9" t="n">
        <f aca="false">((Assumptions!$E$123*$C$10)+(Assumptions!$C$34*Assumptions!$C$35))</f>
        <v>101000</v>
      </c>
      <c r="G111" s="9" t="n">
        <f aca="false">((Assumptions!$E$123*$C$10)+(Assumptions!$C$34*Assumptions!$C$35))</f>
        <v>101000</v>
      </c>
      <c r="H111" s="9" t="n">
        <f aca="false">((Assumptions!$E$123*$C$10)+(Assumptions!$C$34*Assumptions!$C$35))</f>
        <v>101000</v>
      </c>
      <c r="I111" s="9" t="n">
        <f aca="false">((Assumptions!$E$123*$C$10)+(Assumptions!$C$34*Assumptions!$C$35))</f>
        <v>101000</v>
      </c>
      <c r="J111" s="9" t="n">
        <f aca="false">((Assumptions!$E$123*$C$10)+(Assumptions!$C$34*Assumptions!$C$35))</f>
        <v>101000</v>
      </c>
      <c r="K111" s="9" t="n">
        <f aca="false">((Assumptions!$E$123*$C$10)+(Assumptions!$C$34*Assumptions!$C$35))</f>
        <v>101000</v>
      </c>
      <c r="L111" s="9" t="n">
        <f aca="false">((Assumptions!$E$123*$C$10)+(Assumptions!$C$34*Assumptions!$C$35))</f>
        <v>101000</v>
      </c>
      <c r="M111" s="9" t="n">
        <f aca="false">((Assumptions!$E$123*$C$10)+(Assumptions!$C$34*Assumptions!$C$35))</f>
        <v>101000</v>
      </c>
      <c r="N111" s="9" t="n">
        <f aca="false">((Assumptions!$E$123*$C$10)+(Assumptions!$C$34*Assumptions!$C$35))</f>
        <v>101000</v>
      </c>
      <c r="O111" s="9" t="n">
        <f aca="false">((Assumptions!$E$123*$C$10)+(Assumptions!$C$34*Assumptions!$C$35))</f>
        <v>101000</v>
      </c>
      <c r="P111" s="9" t="n">
        <f aca="false">((Assumptions!$E$123*$C$10)+(Assumptions!$C$34*Assumptions!$C$35))</f>
        <v>101000</v>
      </c>
      <c r="Q111" s="9" t="n">
        <f aca="false">((Assumptions!$E$123*$C$10)+(Assumptions!$C$34*Assumptions!$C$35))</f>
        <v>101000</v>
      </c>
      <c r="R111" s="9" t="n">
        <f aca="false">((Assumptions!$E$123*$C$10)+(Assumptions!$C$34*Assumptions!$C$35))</f>
        <v>101000</v>
      </c>
      <c r="S111" s="9" t="n">
        <f aca="false">((Assumptions!$E$123*$C$10)+(Assumptions!$C$34*Assumptions!$C$35))</f>
        <v>101000</v>
      </c>
      <c r="T111" s="9" t="n">
        <f aca="false">((Assumptions!$E$123*$C$10)+(Assumptions!$C$34*Assumptions!$C$35))</f>
        <v>101000</v>
      </c>
      <c r="U111" s="9" t="n">
        <f aca="false">((Assumptions!$E$123*$C$10)+(Assumptions!$C$34*Assumptions!$C$35))</f>
        <v>101000</v>
      </c>
      <c r="V111" s="9" t="n">
        <f aca="false">((Assumptions!$E$123*$C$10)+(Assumptions!$C$34*Assumptions!$C$35))</f>
        <v>101000</v>
      </c>
      <c r="W111" s="9" t="n">
        <f aca="false">((Assumptions!$E$123*$C$10)+(Assumptions!$C$34*Assumptions!$C$35))</f>
        <v>101000</v>
      </c>
      <c r="X111" s="9" t="n">
        <f aca="false">((Assumptions!$E$123*$C$10)+(Assumptions!$C$34*Assumptions!$C$35))</f>
        <v>101000</v>
      </c>
      <c r="Y111" s="9" t="n">
        <f aca="false">((Assumptions!$E$123*$C$10)+(Assumptions!$C$34*Assumptions!$C$35))</f>
        <v>101000</v>
      </c>
      <c r="Z111" s="9" t="n">
        <f aca="false">((Assumptions!$E$123*$C$10)+(Assumptions!$C$34*Assumptions!$C$35))</f>
        <v>101000</v>
      </c>
      <c r="AA111" s="9" t="n">
        <f aca="false">((Assumptions!$E$123*$C$10)+(Assumptions!$C$34*Assumptions!$C$35))</f>
        <v>101000</v>
      </c>
      <c r="AB111" s="9" t="n">
        <f aca="false">((Assumptions!$E$123*$C$10)+(Assumptions!$C$34*Assumptions!$C$35))</f>
        <v>101000</v>
      </c>
      <c r="AC111" s="9" t="n">
        <f aca="false">((Assumptions!$E$123*$C$10)+(Assumptions!$C$34*Assumptions!$C$35))</f>
        <v>101000</v>
      </c>
      <c r="AD111" s="9" t="n">
        <f aca="false">((Assumptions!$E$123*$C$10)+(Assumptions!$C$34*Assumptions!$C$35))</f>
        <v>101000</v>
      </c>
      <c r="AE111" s="9" t="n">
        <f aca="false">((Assumptions!$E$123*$C$10)+(Assumptions!$C$34*Assumptions!$C$35))</f>
        <v>101000</v>
      </c>
      <c r="AF111" s="9" t="n">
        <f aca="false">((Assumptions!$E$123*$C$10)+(Assumptions!$C$34*Assumptions!$C$35))</f>
        <v>101000</v>
      </c>
      <c r="AG111" s="9" t="n">
        <f aca="false">((Assumptions!$E$123*$C$10)+(Assumptions!$C$34*Assumptions!$C$35))</f>
        <v>101000</v>
      </c>
      <c r="AH111" s="9" t="n">
        <f aca="false">((Assumptions!$E$123*$C$10)+(Assumptions!$C$34*Assumptions!$C$35))</f>
        <v>101000</v>
      </c>
      <c r="AI111" s="9" t="n">
        <f aca="false">((Assumptions!$E$123*$C$10)+(Assumptions!$C$34*Assumptions!$C$35))</f>
        <v>101000</v>
      </c>
      <c r="AJ111" s="9" t="n">
        <f aca="false">((Assumptions!$E$123*$C$10)+(Assumptions!$C$34*Assumptions!$C$35))</f>
        <v>101000</v>
      </c>
      <c r="AK111" s="9" t="n">
        <f aca="false">((Assumptions!$E$123*$C$10)+(Assumptions!$C$34*Assumptions!$C$35))</f>
        <v>101000</v>
      </c>
      <c r="AL111" s="9" t="n">
        <f aca="false">((Assumptions!$E$123*$C$10)+(Assumptions!$C$34*Assumptions!$C$35))</f>
        <v>101000</v>
      </c>
    </row>
    <row r="112" customFormat="false" ht="15" hidden="false" customHeight="false" outlineLevel="0" collapsed="false">
      <c r="A112" s="0" t="s">
        <v>918</v>
      </c>
      <c r="B112" s="0" t="s">
        <v>230</v>
      </c>
      <c r="C112" s="9" t="n">
        <f aca="false">((C111/3)*C96)</f>
        <v>0</v>
      </c>
      <c r="D112" s="9" t="n">
        <f aca="false">((D111/3)*SUM(C96:D96))</f>
        <v>0</v>
      </c>
      <c r="E112" s="9" t="n">
        <f aca="false">((E111/3)*SUM(C96:E96))</f>
        <v>0</v>
      </c>
      <c r="F112" s="9" t="n">
        <f aca="false">((F111/3)*SUM(D96:F96))</f>
        <v>0</v>
      </c>
      <c r="G112" s="9" t="n">
        <f aca="false">((G111/3)*SUM(E96:G96))</f>
        <v>0</v>
      </c>
      <c r="H112" s="9" t="n">
        <f aca="false">((H111/3)*SUM(F96:H96))</f>
        <v>0</v>
      </c>
      <c r="I112" s="9" t="n">
        <f aca="false">((I111/3)*SUM(G96:I96))</f>
        <v>0</v>
      </c>
      <c r="J112" s="9" t="n">
        <f aca="false">((J111/3)*SUM(H96:J96))</f>
        <v>0</v>
      </c>
      <c r="K112" s="9" t="n">
        <f aca="false">((K111/3)*SUM(I96:K96))</f>
        <v>0</v>
      </c>
      <c r="L112" s="9" t="n">
        <f aca="false">((L111/3)*SUM(J96:L96))</f>
        <v>0</v>
      </c>
      <c r="M112" s="9" t="n">
        <f aca="false">((M111/3)*SUM(K96:M96))</f>
        <v>0</v>
      </c>
      <c r="N112" s="9" t="n">
        <f aca="false">((N111/3)*SUM(L96:N96))</f>
        <v>0</v>
      </c>
      <c r="O112" s="9" t="n">
        <f aca="false">((O111/3)*SUM(M96:O96))</f>
        <v>0</v>
      </c>
      <c r="P112" s="9" t="n">
        <f aca="false">((P111/3)*SUM(N96:P96))</f>
        <v>0</v>
      </c>
      <c r="Q112" s="9" t="n">
        <f aca="false">((Q111/3)*SUM(O96:Q96))</f>
        <v>0</v>
      </c>
      <c r="R112" s="9" t="n">
        <f aca="false">((R111/3)*SUM(P96:R96))</f>
        <v>0</v>
      </c>
      <c r="S112" s="9" t="n">
        <f aca="false">((S111/3)*SUM(Q96:S96))</f>
        <v>0</v>
      </c>
      <c r="T112" s="9" t="n">
        <f aca="false">((T111/3)*SUM(R96:T96))</f>
        <v>0</v>
      </c>
      <c r="U112" s="9" t="n">
        <f aca="false">((U111/3)*SUM(S96:U96))</f>
        <v>0</v>
      </c>
      <c r="V112" s="9" t="n">
        <f aca="false">((V111/3)*SUM(T96:V96))</f>
        <v>0</v>
      </c>
      <c r="W112" s="9" t="n">
        <f aca="false">((W111/3)*SUM(U96:W96))</f>
        <v>0</v>
      </c>
      <c r="X112" s="9" t="n">
        <f aca="false">((X111/3)*SUM(V96:X96))</f>
        <v>0</v>
      </c>
      <c r="Y112" s="9" t="n">
        <f aca="false">((Y111/3)*SUM(W96:Y96))</f>
        <v>0</v>
      </c>
      <c r="Z112" s="9" t="n">
        <f aca="false">((Z111/3)*SUM(X96:Z96))</f>
        <v>0</v>
      </c>
      <c r="AA112" s="9" t="n">
        <f aca="false">((AA111/3)*SUM(Y96:AA96))</f>
        <v>0</v>
      </c>
      <c r="AB112" s="9" t="n">
        <f aca="false">((AB111/3)*SUM(Z96:AB96))</f>
        <v>0</v>
      </c>
      <c r="AC112" s="9" t="n">
        <f aca="false">((AC111/3)*SUM(AA96:AC96))</f>
        <v>0</v>
      </c>
      <c r="AD112" s="9" t="n">
        <f aca="false">((AD111/3)*SUM(AB96:AD96))</f>
        <v>0</v>
      </c>
      <c r="AE112" s="9" t="n">
        <f aca="false">((AE111/3)*SUM(AC96:AE96))</f>
        <v>0</v>
      </c>
      <c r="AF112" s="9" t="n">
        <f aca="false">((AF111/3)*SUM(AD96:AF96))</f>
        <v>0</v>
      </c>
      <c r="AG112" s="9" t="n">
        <f aca="false">((AG111/3)*SUM(AE96:AG96))</f>
        <v>0</v>
      </c>
      <c r="AH112" s="9" t="n">
        <f aca="false">((AH111/3)*SUM(AF96:AH96))</f>
        <v>20200</v>
      </c>
      <c r="AI112" s="9" t="n">
        <f aca="false">((AI111/3)*SUM(AG96:AI96))</f>
        <v>20200</v>
      </c>
      <c r="AJ112" s="9" t="n">
        <f aca="false">((AJ111/3)*SUM(AH96:AJ96))</f>
        <v>20200</v>
      </c>
      <c r="AK112" s="9" t="n">
        <f aca="false">((AK111/3)*SUM(AI96:AK96))</f>
        <v>0</v>
      </c>
      <c r="AL112" s="9" t="n">
        <f aca="false">((AL111/3)*SUM(AJ96:AL96))</f>
        <v>0</v>
      </c>
      <c r="AN112" s="11" t="n">
        <f aca="false">SUM(C112:N112)</f>
        <v>0</v>
      </c>
      <c r="AO112" s="11" t="n">
        <f aca="false">SUM(O112:Z112)</f>
        <v>0</v>
      </c>
      <c r="AP112" s="11" t="n">
        <f aca="false">SUM(AA112:AL112)</f>
        <v>60600</v>
      </c>
    </row>
    <row r="113" customFormat="false" ht="15" hidden="false" customHeight="false" outlineLevel="0" collapsed="false">
      <c r="A113" s="0" t="s">
        <v>919</v>
      </c>
      <c r="B113" s="0" t="s">
        <v>230</v>
      </c>
      <c r="C113" s="9" t="n">
        <f aca="false">(C111*C96)</f>
        <v>0</v>
      </c>
      <c r="D113" s="9" t="n">
        <f aca="false">(D111*D96)</f>
        <v>0</v>
      </c>
      <c r="E113" s="9" t="n">
        <f aca="false">(E111*E96)</f>
        <v>0</v>
      </c>
      <c r="F113" s="9" t="n">
        <f aca="false">(F111*F96)</f>
        <v>0</v>
      </c>
      <c r="G113" s="9" t="n">
        <f aca="false">(G111*G96)</f>
        <v>0</v>
      </c>
      <c r="H113" s="9" t="n">
        <f aca="false">(H111*H96)</f>
        <v>0</v>
      </c>
      <c r="I113" s="9" t="n">
        <f aca="false">(I111*I96)</f>
        <v>0</v>
      </c>
      <c r="J113" s="9" t="n">
        <f aca="false">(J111*J96)</f>
        <v>0</v>
      </c>
      <c r="K113" s="9" t="n">
        <f aca="false">(K111*K96)</f>
        <v>0</v>
      </c>
      <c r="L113" s="9" t="n">
        <f aca="false">(L111*L96)</f>
        <v>0</v>
      </c>
      <c r="M113" s="9" t="n">
        <f aca="false">(M111*M96)</f>
        <v>0</v>
      </c>
      <c r="N113" s="9" t="n">
        <f aca="false">(N111*N96)</f>
        <v>0</v>
      </c>
      <c r="O113" s="9" t="n">
        <f aca="false">(O111*O96)</f>
        <v>0</v>
      </c>
      <c r="P113" s="9" t="n">
        <f aca="false">(P111*P96)</f>
        <v>0</v>
      </c>
      <c r="Q113" s="9" t="n">
        <f aca="false">(Q111*Q96)</f>
        <v>0</v>
      </c>
      <c r="R113" s="9" t="n">
        <f aca="false">(R111*R96)</f>
        <v>0</v>
      </c>
      <c r="S113" s="9" t="n">
        <f aca="false">(S111*S96)</f>
        <v>0</v>
      </c>
      <c r="T113" s="9" t="n">
        <f aca="false">(T111*T96)</f>
        <v>0</v>
      </c>
      <c r="U113" s="9" t="n">
        <f aca="false">(U111*U96)</f>
        <v>0</v>
      </c>
      <c r="V113" s="9" t="n">
        <f aca="false">(V111*V96)</f>
        <v>0</v>
      </c>
      <c r="W113" s="9" t="n">
        <f aca="false">(W111*W96)</f>
        <v>0</v>
      </c>
      <c r="X113" s="9" t="n">
        <f aca="false">(X111*X96)</f>
        <v>0</v>
      </c>
      <c r="Y113" s="9" t="n">
        <f aca="false">(Y111*Y96)</f>
        <v>0</v>
      </c>
      <c r="Z113" s="9" t="n">
        <f aca="false">(Z111*Z96)</f>
        <v>0</v>
      </c>
      <c r="AA113" s="9" t="n">
        <f aca="false">(AA111*AA96)</f>
        <v>0</v>
      </c>
      <c r="AB113" s="9" t="n">
        <f aca="false">(AB111*AB96)</f>
        <v>0</v>
      </c>
      <c r="AC113" s="9" t="n">
        <f aca="false">(AC111*AC96)</f>
        <v>0</v>
      </c>
      <c r="AD113" s="9" t="n">
        <f aca="false">(AD111*AD96)</f>
        <v>0</v>
      </c>
      <c r="AE113" s="9" t="n">
        <f aca="false">(AE111*AE96)</f>
        <v>0</v>
      </c>
      <c r="AF113" s="9" t="n">
        <f aca="false">(AF111*AF96)</f>
        <v>0</v>
      </c>
      <c r="AG113" s="9" t="n">
        <f aca="false">(AG111*AG96)</f>
        <v>0</v>
      </c>
      <c r="AH113" s="9" t="n">
        <f aca="false">(AH111*AH96)</f>
        <v>60600</v>
      </c>
      <c r="AI113" s="9" t="n">
        <f aca="false">(AI111*AI96)</f>
        <v>0</v>
      </c>
      <c r="AJ113" s="9" t="n">
        <f aca="false">(AJ111*AJ96)</f>
        <v>0</v>
      </c>
      <c r="AK113" s="9" t="n">
        <f aca="false">(AK111*AK96)</f>
        <v>0</v>
      </c>
      <c r="AL113" s="9" t="n">
        <f aca="false">(AL111*AL96)</f>
        <v>0</v>
      </c>
      <c r="AN113" s="11" t="n">
        <f aca="false">SUM(C113:N113)</f>
        <v>0</v>
      </c>
      <c r="AO113" s="11" t="n">
        <f aca="false">SUM(O113:Z113)</f>
        <v>0</v>
      </c>
      <c r="AP113" s="11" t="n">
        <f aca="false">SUM(AA113:AL113)</f>
        <v>60600</v>
      </c>
    </row>
    <row r="114" customFormat="false" ht="15" hidden="false" customHeight="false" outlineLevel="0" collapsed="false">
      <c r="A114" s="0" t="s">
        <v>920</v>
      </c>
      <c r="B114" s="0" t="s">
        <v>285</v>
      </c>
      <c r="C114" s="9" t="n">
        <f aca="false">((C93*Assumptions!$E$124)+(C96*(Assumptions!$E$124+(Assumptions!$C$34*Assumptions!$C$36))))</f>
        <v>0</v>
      </c>
      <c r="D114" s="9" t="n">
        <f aca="false">((D93*Assumptions!$E$124)+(D96*(Assumptions!$E$124+(Assumptions!$C$34*Assumptions!$C$36))))</f>
        <v>0</v>
      </c>
      <c r="E114" s="9" t="n">
        <f aca="false">((E93*Assumptions!$E$124)+(E96*(Assumptions!$E$124+(Assumptions!$C$34*Assumptions!$C$36))))</f>
        <v>0</v>
      </c>
      <c r="F114" s="9" t="n">
        <f aca="false">((F93*Assumptions!$E$124)+(F96*(Assumptions!$E$124+(Assumptions!$C$34*Assumptions!$C$36))))</f>
        <v>0</v>
      </c>
      <c r="G114" s="9" t="n">
        <f aca="false">((G93*Assumptions!$E$124)+(G96*(Assumptions!$E$124+(Assumptions!$C$34*Assumptions!$C$36))))</f>
        <v>0</v>
      </c>
      <c r="H114" s="9" t="n">
        <f aca="false">((H93*Assumptions!$E$124)+(H96*(Assumptions!$E$124+(Assumptions!$C$34*Assumptions!$C$36))))</f>
        <v>0</v>
      </c>
      <c r="I114" s="9" t="n">
        <f aca="false">((I93*Assumptions!$E$124)+(I96*(Assumptions!$E$124+(Assumptions!$C$34*Assumptions!$C$36))))</f>
        <v>0</v>
      </c>
      <c r="J114" s="9" t="n">
        <f aca="false">((J93*Assumptions!$E$124)+(J96*(Assumptions!$E$124+(Assumptions!$C$34*Assumptions!$C$36))))</f>
        <v>0</v>
      </c>
      <c r="K114" s="9" t="n">
        <f aca="false">((K93*Assumptions!$E$124)+(K96*(Assumptions!$E$124+(Assumptions!$C$34*Assumptions!$C$36))))</f>
        <v>0</v>
      </c>
      <c r="L114" s="9" t="n">
        <f aca="false">((L93*Assumptions!$E$124)+(L96*(Assumptions!$E$124+(Assumptions!$C$34*Assumptions!$C$36))))</f>
        <v>0</v>
      </c>
      <c r="M114" s="9" t="n">
        <f aca="false">((M93*Assumptions!$E$124)+(M96*(Assumptions!$E$124+(Assumptions!$C$34*Assumptions!$C$36))))</f>
        <v>0</v>
      </c>
      <c r="N114" s="9" t="n">
        <f aca="false">((N93*Assumptions!$E$124)+(N96*(Assumptions!$E$124+(Assumptions!$C$34*Assumptions!$C$36))))</f>
        <v>0</v>
      </c>
      <c r="O114" s="9" t="n">
        <f aca="false">((O93*Assumptions!$E$124)+(O96*(Assumptions!$E$124+(Assumptions!$C$34*Assumptions!$C$36))))</f>
        <v>0</v>
      </c>
      <c r="P114" s="9" t="n">
        <f aca="false">((P93*Assumptions!$E$124)+(P96*(Assumptions!$E$124+(Assumptions!$C$34*Assumptions!$C$36))))</f>
        <v>0</v>
      </c>
      <c r="Q114" s="9" t="n">
        <f aca="false">((Q93*Assumptions!$E$124)+(Q96*(Assumptions!$E$124+(Assumptions!$C$34*Assumptions!$C$36))))</f>
        <v>0</v>
      </c>
      <c r="R114" s="9" t="n">
        <f aca="false">((R93*Assumptions!$E$124)+(R96*(Assumptions!$E$124+(Assumptions!$C$34*Assumptions!$C$36))))</f>
        <v>0</v>
      </c>
      <c r="S114" s="9" t="n">
        <f aca="false">((S93*Assumptions!$E$124)+(S96*(Assumptions!$E$124+(Assumptions!$C$34*Assumptions!$C$36))))</f>
        <v>0</v>
      </c>
      <c r="T114" s="9" t="n">
        <f aca="false">((T93*Assumptions!$E$124)+(T96*(Assumptions!$E$124+(Assumptions!$C$34*Assumptions!$C$36))))</f>
        <v>0</v>
      </c>
      <c r="U114" s="9" t="n">
        <f aca="false">((U93*Assumptions!$E$124)+(U96*(Assumptions!$E$124+(Assumptions!$C$34*Assumptions!$C$36))))</f>
        <v>0</v>
      </c>
      <c r="V114" s="9" t="n">
        <f aca="false">((V93*Assumptions!$E$124)+(V96*(Assumptions!$E$124+(Assumptions!$C$34*Assumptions!$C$36))))</f>
        <v>0</v>
      </c>
      <c r="W114" s="9" t="n">
        <f aca="false">((W93*Assumptions!$E$124)+(W96*(Assumptions!$E$124+(Assumptions!$C$34*Assumptions!$C$36))))</f>
        <v>0</v>
      </c>
      <c r="X114" s="9" t="n">
        <f aca="false">((X93*Assumptions!$E$124)+(X96*(Assumptions!$E$124+(Assumptions!$C$34*Assumptions!$C$36))))</f>
        <v>0</v>
      </c>
      <c r="Y114" s="9" t="n">
        <f aca="false">((Y93*Assumptions!$E$124)+(Y96*(Assumptions!$E$124+(Assumptions!$C$34*Assumptions!$C$36))))</f>
        <v>0</v>
      </c>
      <c r="Z114" s="9" t="n">
        <f aca="false">((Z93*Assumptions!$E$124)+(Z96*(Assumptions!$E$124+(Assumptions!$C$34*Assumptions!$C$36))))</f>
        <v>0</v>
      </c>
      <c r="AA114" s="9" t="n">
        <f aca="false">((AA93*Assumptions!$E$124)+(AA96*(Assumptions!$E$124+(Assumptions!$C$34*Assumptions!$C$36))))</f>
        <v>0</v>
      </c>
      <c r="AB114" s="9" t="n">
        <f aca="false">((AB93*Assumptions!$E$124)+(AB96*(Assumptions!$E$124+(Assumptions!$C$34*Assumptions!$C$36))))</f>
        <v>0</v>
      </c>
      <c r="AC114" s="9" t="n">
        <f aca="false">((AC93*Assumptions!$E$124)+(AC96*(Assumptions!$E$124+(Assumptions!$C$34*Assumptions!$C$36))))</f>
        <v>0</v>
      </c>
      <c r="AD114" s="9" t="n">
        <f aca="false">((AD93*Assumptions!$E$124)+(AD96*(Assumptions!$E$124+(Assumptions!$C$34*Assumptions!$C$36))))</f>
        <v>0</v>
      </c>
      <c r="AE114" s="9" t="n">
        <f aca="false">((AE93*Assumptions!$E$124)+(AE96*(Assumptions!$E$124+(Assumptions!$C$34*Assumptions!$C$36))))</f>
        <v>0</v>
      </c>
      <c r="AF114" s="9" t="n">
        <f aca="false">((AF93*Assumptions!$E$124)+(AF96*(Assumptions!$E$124+(Assumptions!$C$34*Assumptions!$C$36))))</f>
        <v>0</v>
      </c>
      <c r="AG114" s="9" t="n">
        <f aca="false">((AG93*Assumptions!$E$124)+(AG96*(Assumptions!$E$124+(Assumptions!$C$34*Assumptions!$C$36))))</f>
        <v>0</v>
      </c>
      <c r="AH114" s="9" t="n">
        <f aca="false">((AH93*Assumptions!$E$124)+(AH96*(Assumptions!$E$124+(Assumptions!$C$34*Assumptions!$C$36))))</f>
        <v>506.4</v>
      </c>
      <c r="AI114" s="9" t="n">
        <f aca="false">((AI93*Assumptions!$E$124)+(AI96*(Assumptions!$E$124+(Assumptions!$C$34*Assumptions!$C$36))))</f>
        <v>0</v>
      </c>
      <c r="AJ114" s="9" t="n">
        <f aca="false">((AJ93*Assumptions!$E$124)+(AJ96*(Assumptions!$E$124+(Assumptions!$C$34*Assumptions!$C$36))))</f>
        <v>0</v>
      </c>
      <c r="AK114" s="9" t="n">
        <f aca="false">((AK93*Assumptions!$E$124)+(AK96*(Assumptions!$E$124+(Assumptions!$C$34*Assumptions!$C$36))))</f>
        <v>0</v>
      </c>
      <c r="AL114" s="9" t="n">
        <f aca="false">((AL93*Assumptions!$E$124)+(AL96*(Assumptions!$E$124+(Assumptions!$C$34*Assumptions!$C$36))))</f>
        <v>0</v>
      </c>
      <c r="AN114" s="11" t="n">
        <f aca="false">SUM(C114:N114)</f>
        <v>0</v>
      </c>
      <c r="AO114" s="11" t="n">
        <f aca="false">SUM(O114:Z114)</f>
        <v>0</v>
      </c>
      <c r="AP114" s="11" t="n">
        <f aca="false">SUM(AA114:AL114)</f>
        <v>506.4</v>
      </c>
    </row>
    <row r="115" customFormat="false" ht="15" hidden="false" customHeight="false" outlineLevel="0" collapsed="false">
      <c r="A115" s="21" t="s">
        <v>921</v>
      </c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</row>
    <row r="116" customFormat="false" ht="15" hidden="false" customHeight="false" outlineLevel="0" collapsed="false">
      <c r="A116" s="0" t="s">
        <v>922</v>
      </c>
      <c r="B116" s="0" t="s">
        <v>852</v>
      </c>
      <c r="C116" s="14" t="n">
        <f aca="false">((C48+C71)+C94)</f>
        <v>0</v>
      </c>
      <c r="D116" s="14" t="n">
        <f aca="false">((D48+D71)+D94)</f>
        <v>0</v>
      </c>
      <c r="E116" s="14" t="n">
        <f aca="false">((E48+E71)+E94)</f>
        <v>0</v>
      </c>
      <c r="F116" s="14" t="n">
        <f aca="false">((F48+F71)+F94)</f>
        <v>0</v>
      </c>
      <c r="G116" s="14" t="n">
        <f aca="false">((G48+G71)+G94)</f>
        <v>1</v>
      </c>
      <c r="H116" s="14" t="n">
        <f aca="false">((H48+H71)+H94)</f>
        <v>0</v>
      </c>
      <c r="I116" s="14" t="n">
        <f aca="false">((I48+I71)+I94)</f>
        <v>0</v>
      </c>
      <c r="J116" s="14" t="n">
        <f aca="false">((J48+J71)+J94)</f>
        <v>1</v>
      </c>
      <c r="K116" s="14" t="n">
        <f aca="false">((K48+K71)+K94)</f>
        <v>0</v>
      </c>
      <c r="L116" s="14" t="n">
        <f aca="false">((L48+L71)+L94)</f>
        <v>0</v>
      </c>
      <c r="M116" s="14" t="n">
        <f aca="false">((M48+M71)+M94)</f>
        <v>0</v>
      </c>
      <c r="N116" s="14" t="n">
        <f aca="false">((N48+N71)+N94)</f>
        <v>0</v>
      </c>
      <c r="O116" s="14" t="n">
        <f aca="false">((O48+O71)+O94)</f>
        <v>0</v>
      </c>
      <c r="P116" s="14" t="n">
        <f aca="false">((P48+P71)+P94)</f>
        <v>0</v>
      </c>
      <c r="Q116" s="14" t="n">
        <f aca="false">((Q48+Q71)+Q94)</f>
        <v>0.6</v>
      </c>
      <c r="R116" s="14" t="n">
        <f aca="false">((R48+R71)+R94)</f>
        <v>0</v>
      </c>
      <c r="S116" s="14" t="n">
        <f aca="false">((S48+S71)+S94)</f>
        <v>0</v>
      </c>
      <c r="T116" s="14" t="n">
        <f aca="false">((T48+T71)+T94)</f>
        <v>1.2</v>
      </c>
      <c r="U116" s="14" t="n">
        <f aca="false">((U48+U71)+U94)</f>
        <v>0</v>
      </c>
      <c r="V116" s="14" t="n">
        <f aca="false">((V48+V71)+V94)</f>
        <v>0</v>
      </c>
      <c r="W116" s="14" t="n">
        <f aca="false">((W48+W71)+W94)</f>
        <v>1.8</v>
      </c>
      <c r="X116" s="14" t="n">
        <f aca="false">((X48+X71)+X94)</f>
        <v>0</v>
      </c>
      <c r="Y116" s="14" t="n">
        <f aca="false">((Y48+Y71)+Y94)</f>
        <v>0</v>
      </c>
      <c r="Z116" s="14" t="n">
        <f aca="false">((Z48+Z71)+Z94)</f>
        <v>1.8</v>
      </c>
      <c r="AA116" s="14" t="n">
        <f aca="false">((AA48+AA71)+AA94)</f>
        <v>0</v>
      </c>
      <c r="AB116" s="14" t="n">
        <f aca="false">((AB48+AB71)+AB94)</f>
        <v>0</v>
      </c>
      <c r="AC116" s="14" t="n">
        <f aca="false">((AC48+AC71)+AC94)</f>
        <v>2.4</v>
      </c>
      <c r="AD116" s="14" t="n">
        <f aca="false">((AD48+AD71)+AD94)</f>
        <v>0</v>
      </c>
      <c r="AE116" s="14" t="n">
        <f aca="false">((AE48+AE71)+AE94)</f>
        <v>0</v>
      </c>
      <c r="AF116" s="14" t="n">
        <f aca="false">((AF48+AF71)+AF94)</f>
        <v>3</v>
      </c>
      <c r="AG116" s="14" t="n">
        <f aca="false">((AG48+AG71)+AG94)</f>
        <v>0</v>
      </c>
      <c r="AH116" s="14" t="n">
        <f aca="false">((AH48+AH71)+AH94)</f>
        <v>0.6</v>
      </c>
      <c r="AI116" s="14" t="n">
        <f aca="false">((AI48+AI71)+AI94)</f>
        <v>3</v>
      </c>
      <c r="AJ116" s="14" t="n">
        <f aca="false">((AJ48+AJ71)+AJ94)</f>
        <v>0</v>
      </c>
      <c r="AK116" s="14" t="n">
        <f aca="false">((AK48+AK71)+AK94)</f>
        <v>0</v>
      </c>
      <c r="AL116" s="14" t="n">
        <f aca="false">((AL48+AL71)+AL94)</f>
        <v>3.6</v>
      </c>
      <c r="AN116" s="36" t="n">
        <f aca="false">SUM(C116:N116)</f>
        <v>2</v>
      </c>
      <c r="AO116" s="36" t="n">
        <f aca="false">SUM(O116:Z116)</f>
        <v>5.4</v>
      </c>
      <c r="AP116" s="36" t="n">
        <f aca="false">SUM(AA116:AL116)</f>
        <v>12.6</v>
      </c>
    </row>
    <row r="117" customFormat="false" ht="15" hidden="false" customHeight="false" outlineLevel="0" collapsed="false">
      <c r="A117" s="0" t="s">
        <v>923</v>
      </c>
      <c r="B117" s="0" t="s">
        <v>852</v>
      </c>
      <c r="C117" s="14" t="n">
        <f aca="false">((C46+C69)+C92)</f>
        <v>0</v>
      </c>
      <c r="D117" s="14" t="n">
        <f aca="false">((D46+D69)+D92)</f>
        <v>0</v>
      </c>
      <c r="E117" s="14" t="n">
        <f aca="false">((E46+E69)+E92)</f>
        <v>0</v>
      </c>
      <c r="F117" s="14" t="n">
        <f aca="false">((F46+F69)+F92)</f>
        <v>0</v>
      </c>
      <c r="G117" s="14" t="n">
        <f aca="false">((G46+G69)+G92)</f>
        <v>0</v>
      </c>
      <c r="H117" s="14" t="n">
        <f aca="false">((H46+H69)+H92)</f>
        <v>0</v>
      </c>
      <c r="I117" s="14" t="n">
        <f aca="false">((I46+I69)+I92)</f>
        <v>0</v>
      </c>
      <c r="J117" s="14" t="n">
        <f aca="false">((J46+J69)+J92)</f>
        <v>0</v>
      </c>
      <c r="K117" s="14" t="n">
        <f aca="false">((K46+K69)+K92)</f>
        <v>0</v>
      </c>
      <c r="L117" s="14" t="n">
        <f aca="false">((L46+L69)+L92)</f>
        <v>0</v>
      </c>
      <c r="M117" s="14" t="n">
        <f aca="false">((M46+M69)+M92)</f>
        <v>0</v>
      </c>
      <c r="N117" s="14" t="n">
        <f aca="false">((N46+N69)+N92)</f>
        <v>0</v>
      </c>
      <c r="O117" s="14" t="n">
        <f aca="false">((O46+O69)+O92)</f>
        <v>0</v>
      </c>
      <c r="P117" s="14" t="n">
        <f aca="false">((P46+P69)+P92)</f>
        <v>0</v>
      </c>
      <c r="Q117" s="14" t="n">
        <f aca="false">((Q46+Q69)+Q92)</f>
        <v>0.6</v>
      </c>
      <c r="R117" s="14" t="n">
        <f aca="false">((R46+R69)+R92)</f>
        <v>0</v>
      </c>
      <c r="S117" s="14" t="n">
        <f aca="false">((S46+S69)+S92)</f>
        <v>0</v>
      </c>
      <c r="T117" s="14" t="n">
        <f aca="false">((T46+T69)+T92)</f>
        <v>1.2</v>
      </c>
      <c r="U117" s="14" t="n">
        <f aca="false">((U46+U69)+U92)</f>
        <v>0</v>
      </c>
      <c r="V117" s="14" t="n">
        <f aca="false">((V46+V69)+V92)</f>
        <v>0</v>
      </c>
      <c r="W117" s="14" t="n">
        <f aca="false">((W46+W69)+W92)</f>
        <v>1.8</v>
      </c>
      <c r="X117" s="14" t="n">
        <f aca="false">((X46+X69)+X92)</f>
        <v>0</v>
      </c>
      <c r="Y117" s="14" t="n">
        <f aca="false">((Y46+Y69)+Y92)</f>
        <v>0</v>
      </c>
      <c r="Z117" s="14" t="n">
        <f aca="false">((Z46+Z69)+Z92)</f>
        <v>1.8</v>
      </c>
      <c r="AA117" s="14" t="n">
        <f aca="false">((AA46+AA69)+AA92)</f>
        <v>0</v>
      </c>
      <c r="AB117" s="14" t="n">
        <f aca="false">((AB46+AB69)+AB92)</f>
        <v>0</v>
      </c>
      <c r="AC117" s="14" t="n">
        <f aca="false">((AC46+AC69)+AC92)</f>
        <v>2.4</v>
      </c>
      <c r="AD117" s="14" t="n">
        <f aca="false">((AD46+AD69)+AD92)</f>
        <v>0</v>
      </c>
      <c r="AE117" s="14" t="n">
        <f aca="false">((AE46+AE69)+AE92)</f>
        <v>0</v>
      </c>
      <c r="AF117" s="14" t="n">
        <f aca="false">((AF46+AF69)+AF92)</f>
        <v>3</v>
      </c>
      <c r="AG117" s="14" t="n">
        <f aca="false">((AG46+AG69)+AG92)</f>
        <v>0</v>
      </c>
      <c r="AH117" s="14" t="n">
        <f aca="false">((AH46+AH69)+AH92)</f>
        <v>0.6</v>
      </c>
      <c r="AI117" s="14" t="n">
        <f aca="false">((AI46+AI69)+AI92)</f>
        <v>3</v>
      </c>
      <c r="AJ117" s="14" t="n">
        <f aca="false">((AJ46+AJ69)+AJ92)</f>
        <v>0</v>
      </c>
      <c r="AK117" s="14" t="n">
        <f aca="false">((AK46+AK69)+AK92)</f>
        <v>0</v>
      </c>
      <c r="AL117" s="14" t="n">
        <f aca="false">((AL46+AL69)+AL92)</f>
        <v>3.6</v>
      </c>
      <c r="AN117" s="36" t="n">
        <f aca="false">SUM(C117:N117)</f>
        <v>0</v>
      </c>
      <c r="AO117" s="36" t="n">
        <f aca="false">SUM(O117:Z117)</f>
        <v>5.4</v>
      </c>
      <c r="AP117" s="36" t="n">
        <f aca="false">SUM(AA117:AL117)</f>
        <v>12.6</v>
      </c>
    </row>
    <row r="118" customFormat="false" ht="15" hidden="false" customHeight="false" outlineLevel="0" collapsed="false">
      <c r="A118" s="0" t="s">
        <v>924</v>
      </c>
      <c r="B118" s="0" t="s">
        <v>852</v>
      </c>
      <c r="C118" s="14" t="n">
        <f aca="false">((C47+C70)+C93)</f>
        <v>0</v>
      </c>
      <c r="D118" s="14" t="n">
        <f aca="false">((D47+D70)+D93)</f>
        <v>0</v>
      </c>
      <c r="E118" s="14" t="n">
        <f aca="false">((E47+E70)+E93)</f>
        <v>0</v>
      </c>
      <c r="F118" s="14" t="n">
        <f aca="false">((F47+F70)+F93)</f>
        <v>0</v>
      </c>
      <c r="G118" s="14" t="n">
        <f aca="false">((G47+G70)+G93)</f>
        <v>1</v>
      </c>
      <c r="H118" s="14" t="n">
        <f aca="false">((H47+H70)+H93)</f>
        <v>0</v>
      </c>
      <c r="I118" s="14" t="n">
        <f aca="false">((I47+I70)+I93)</f>
        <v>0</v>
      </c>
      <c r="J118" s="14" t="n">
        <f aca="false">((J47+J70)+J93)</f>
        <v>1</v>
      </c>
      <c r="K118" s="14" t="n">
        <f aca="false">((K47+K70)+K93)</f>
        <v>0</v>
      </c>
      <c r="L118" s="14" t="n">
        <f aca="false">((L47+L70)+L93)</f>
        <v>0</v>
      </c>
      <c r="M118" s="14" t="n">
        <f aca="false">((M47+M70)+M93)</f>
        <v>0</v>
      </c>
      <c r="N118" s="14" t="n">
        <f aca="false">((N47+N70)+N93)</f>
        <v>0</v>
      </c>
      <c r="O118" s="14" t="n">
        <f aca="false">((O47+O70)+O93)</f>
        <v>0</v>
      </c>
      <c r="P118" s="14" t="n">
        <f aca="false">((P47+P70)+P93)</f>
        <v>0</v>
      </c>
      <c r="Q118" s="14" t="n">
        <f aca="false">((Q47+Q70)+Q93)</f>
        <v>0</v>
      </c>
      <c r="R118" s="14" t="n">
        <f aca="false">((R47+R70)+R93)</f>
        <v>0</v>
      </c>
      <c r="S118" s="14" t="n">
        <f aca="false">((S47+S70)+S93)</f>
        <v>0</v>
      </c>
      <c r="T118" s="14" t="n">
        <f aca="false">((T47+T70)+T93)</f>
        <v>0</v>
      </c>
      <c r="U118" s="14" t="n">
        <f aca="false">((U47+U70)+U93)</f>
        <v>0</v>
      </c>
      <c r="V118" s="14" t="n">
        <f aca="false">((V47+V70)+V93)</f>
        <v>0</v>
      </c>
      <c r="W118" s="14" t="n">
        <f aca="false">((W47+W70)+W93)</f>
        <v>0</v>
      </c>
      <c r="X118" s="14" t="n">
        <f aca="false">((X47+X70)+X93)</f>
        <v>0</v>
      </c>
      <c r="Y118" s="14" t="n">
        <f aca="false">((Y47+Y70)+Y93)</f>
        <v>0</v>
      </c>
      <c r="Z118" s="14" t="n">
        <f aca="false">((Z47+Z70)+Z93)</f>
        <v>0</v>
      </c>
      <c r="AA118" s="14" t="n">
        <f aca="false">((AA47+AA70)+AA93)</f>
        <v>0</v>
      </c>
      <c r="AB118" s="14" t="n">
        <f aca="false">((AB47+AB70)+AB93)</f>
        <v>0</v>
      </c>
      <c r="AC118" s="14" t="n">
        <f aca="false">((AC47+AC70)+AC93)</f>
        <v>0</v>
      </c>
      <c r="AD118" s="14" t="n">
        <f aca="false">((AD47+AD70)+AD93)</f>
        <v>0</v>
      </c>
      <c r="AE118" s="14" t="n">
        <f aca="false">((AE47+AE70)+AE93)</f>
        <v>0</v>
      </c>
      <c r="AF118" s="14" t="n">
        <f aca="false">((AF47+AF70)+AF93)</f>
        <v>0</v>
      </c>
      <c r="AG118" s="14" t="n">
        <f aca="false">((AG47+AG70)+AG93)</f>
        <v>0</v>
      </c>
      <c r="AH118" s="14" t="n">
        <f aca="false">((AH47+AH70)+AH93)</f>
        <v>0</v>
      </c>
      <c r="AI118" s="14" t="n">
        <f aca="false">((AI47+AI70)+AI93)</f>
        <v>0</v>
      </c>
      <c r="AJ118" s="14" t="n">
        <f aca="false">((AJ47+AJ70)+AJ93)</f>
        <v>0</v>
      </c>
      <c r="AK118" s="14" t="n">
        <f aca="false">((AK47+AK70)+AK93)</f>
        <v>0</v>
      </c>
      <c r="AL118" s="14" t="n">
        <f aca="false">((AL47+AL70)+AL93)</f>
        <v>0</v>
      </c>
      <c r="AN118" s="36" t="n">
        <f aca="false">SUM(C118:N118)</f>
        <v>2</v>
      </c>
      <c r="AO118" s="36" t="n">
        <f aca="false">SUM(O118:Z118)</f>
        <v>0</v>
      </c>
      <c r="AP118" s="36" t="n">
        <f aca="false">SUM(AA118:AL118)</f>
        <v>0</v>
      </c>
    </row>
    <row r="119" customFormat="false" ht="15" hidden="false" customHeight="false" outlineLevel="0" collapsed="false">
      <c r="A119" s="0" t="s">
        <v>925</v>
      </c>
      <c r="B119" s="0" t="s">
        <v>852</v>
      </c>
      <c r="C119" s="14" t="n">
        <f aca="false">((C49+C72)+C95)</f>
        <v>0</v>
      </c>
      <c r="D119" s="14" t="n">
        <f aca="false">((D49+D72)+D95)</f>
        <v>0</v>
      </c>
      <c r="E119" s="14" t="n">
        <f aca="false">((E49+E72)+E95)</f>
        <v>0</v>
      </c>
      <c r="F119" s="14" t="n">
        <f aca="false">((F49+F72)+F95)</f>
        <v>0</v>
      </c>
      <c r="G119" s="14" t="n">
        <f aca="false">((G49+G72)+G95)</f>
        <v>0</v>
      </c>
      <c r="H119" s="14" t="n">
        <f aca="false">((H49+H72)+H95)</f>
        <v>0</v>
      </c>
      <c r="I119" s="14" t="n">
        <f aca="false">((I49+I72)+I95)</f>
        <v>0</v>
      </c>
      <c r="J119" s="14" t="n">
        <f aca="false">((J49+J72)+J95)</f>
        <v>0</v>
      </c>
      <c r="K119" s="14" t="n">
        <f aca="false">((K49+K72)+K95)</f>
        <v>0</v>
      </c>
      <c r="L119" s="14" t="n">
        <f aca="false">((L49+L72)+L95)</f>
        <v>0</v>
      </c>
      <c r="M119" s="14" t="n">
        <f aca="false">((M49+M72)+M95)</f>
        <v>0</v>
      </c>
      <c r="N119" s="14" t="n">
        <f aca="false">((N49+N72)+N95)</f>
        <v>0</v>
      </c>
      <c r="O119" s="14" t="n">
        <f aca="false">((O49+O72)+O95)</f>
        <v>0</v>
      </c>
      <c r="P119" s="14" t="n">
        <f aca="false">((P49+P72)+P95)</f>
        <v>0</v>
      </c>
      <c r="Q119" s="14" t="n">
        <f aca="false">((Q49+Q72)+Q95)</f>
        <v>0</v>
      </c>
      <c r="R119" s="14" t="n">
        <f aca="false">((R49+R72)+R95)</f>
        <v>0</v>
      </c>
      <c r="S119" s="14" t="n">
        <f aca="false">((S49+S72)+S95)</f>
        <v>0</v>
      </c>
      <c r="T119" s="14" t="n">
        <f aca="false">((T49+T72)+T95)</f>
        <v>0</v>
      </c>
      <c r="U119" s="14" t="n">
        <f aca="false">((U49+U72)+U95)</f>
        <v>0</v>
      </c>
      <c r="V119" s="14" t="n">
        <f aca="false">((V49+V72)+V95)</f>
        <v>0</v>
      </c>
      <c r="W119" s="14" t="n">
        <f aca="false">((W49+W72)+W95)</f>
        <v>0</v>
      </c>
      <c r="X119" s="14" t="n">
        <f aca="false">((X49+X72)+X95)</f>
        <v>0</v>
      </c>
      <c r="Y119" s="14" t="n">
        <f aca="false">((Y49+Y72)+Y95)</f>
        <v>0</v>
      </c>
      <c r="Z119" s="14" t="n">
        <f aca="false">((Z49+Z72)+Z95)</f>
        <v>0</v>
      </c>
      <c r="AA119" s="14" t="n">
        <f aca="false">((AA49+AA72)+AA95)</f>
        <v>0.6</v>
      </c>
      <c r="AB119" s="14" t="n">
        <f aca="false">((AB49+AB72)+AB95)</f>
        <v>0</v>
      </c>
      <c r="AC119" s="14" t="n">
        <f aca="false">((AC49+AC72)+AC95)</f>
        <v>0</v>
      </c>
      <c r="AD119" s="14" t="n">
        <f aca="false">((AD49+AD72)+AD95)</f>
        <v>1.2</v>
      </c>
      <c r="AE119" s="14" t="n">
        <f aca="false">((AE49+AE72)+AE95)</f>
        <v>0</v>
      </c>
      <c r="AF119" s="14" t="n">
        <f aca="false">((AF49+AF72)+AF95)</f>
        <v>0</v>
      </c>
      <c r="AG119" s="14" t="n">
        <f aca="false">((AG49+AG72)+AG95)</f>
        <v>1.8</v>
      </c>
      <c r="AH119" s="14" t="n">
        <f aca="false">((AH49+AH72)+AH95)</f>
        <v>0</v>
      </c>
      <c r="AI119" s="14" t="n">
        <f aca="false">((AI49+AI72)+AI95)</f>
        <v>0</v>
      </c>
      <c r="AJ119" s="14" t="n">
        <f aca="false">((AJ49+AJ72)+AJ95)</f>
        <v>1.8</v>
      </c>
      <c r="AK119" s="14" t="n">
        <f aca="false">((AK49+AK72)+AK95)</f>
        <v>0</v>
      </c>
      <c r="AL119" s="14" t="n">
        <f aca="false">((AL49+AL72)+AL95)</f>
        <v>0</v>
      </c>
      <c r="AN119" s="36" t="n">
        <f aca="false">SUM(C119:N119)</f>
        <v>0</v>
      </c>
      <c r="AO119" s="36" t="n">
        <f aca="false">SUM(O119:Z119)</f>
        <v>0</v>
      </c>
      <c r="AP119" s="36" t="n">
        <f aca="false">SUM(AA119:AL119)</f>
        <v>5.4</v>
      </c>
    </row>
    <row r="120" customFormat="false" ht="15" hidden="false" customHeight="false" outlineLevel="0" collapsed="false">
      <c r="A120" s="0" t="s">
        <v>926</v>
      </c>
      <c r="B120" s="0" t="s">
        <v>852</v>
      </c>
      <c r="C120" s="14" t="n">
        <f aca="false">((C50+C73)+C96)</f>
        <v>0</v>
      </c>
      <c r="D120" s="14" t="n">
        <f aca="false">((D50+D73)+D96)</f>
        <v>0</v>
      </c>
      <c r="E120" s="14" t="n">
        <f aca="false">((E50+E73)+E96)</f>
        <v>0</v>
      </c>
      <c r="F120" s="14" t="n">
        <f aca="false">((F50+F73)+F96)</f>
        <v>0</v>
      </c>
      <c r="G120" s="14" t="n">
        <f aca="false">((G50+G73)+G96)</f>
        <v>0</v>
      </c>
      <c r="H120" s="14" t="n">
        <f aca="false">((H50+H73)+H96)</f>
        <v>0</v>
      </c>
      <c r="I120" s="14" t="n">
        <f aca="false">((I50+I73)+I96)</f>
        <v>0</v>
      </c>
      <c r="J120" s="14" t="n">
        <f aca="false">((J50+J73)+J96)</f>
        <v>0</v>
      </c>
      <c r="K120" s="14" t="n">
        <f aca="false">((K50+K73)+K96)</f>
        <v>0</v>
      </c>
      <c r="L120" s="14" t="n">
        <f aca="false">((L50+L73)+L96)</f>
        <v>0</v>
      </c>
      <c r="M120" s="14" t="n">
        <f aca="false">((M50+M73)+M96)</f>
        <v>0</v>
      </c>
      <c r="N120" s="14" t="n">
        <f aca="false">((N50+N73)+N96)</f>
        <v>0</v>
      </c>
      <c r="O120" s="14" t="n">
        <f aca="false">((O50+O73)+O96)</f>
        <v>0</v>
      </c>
      <c r="P120" s="14" t="n">
        <f aca="false">((P50+P73)+P96)</f>
        <v>0</v>
      </c>
      <c r="Q120" s="14" t="n">
        <f aca="false">((Q50+Q73)+Q96)</f>
        <v>0.6</v>
      </c>
      <c r="R120" s="14" t="n">
        <f aca="false">((R50+R73)+R96)</f>
        <v>0</v>
      </c>
      <c r="S120" s="14" t="n">
        <f aca="false">((S50+S73)+S96)</f>
        <v>0</v>
      </c>
      <c r="T120" s="14" t="n">
        <f aca="false">((T50+T73)+T96)</f>
        <v>1.2</v>
      </c>
      <c r="U120" s="14" t="n">
        <f aca="false">((U50+U73)+U96)</f>
        <v>0</v>
      </c>
      <c r="V120" s="14" t="n">
        <f aca="false">((V50+V73)+V96)</f>
        <v>0</v>
      </c>
      <c r="W120" s="14" t="n">
        <f aca="false">((W50+W73)+W96)</f>
        <v>1.8</v>
      </c>
      <c r="X120" s="14" t="n">
        <f aca="false">((X50+X73)+X96)</f>
        <v>0</v>
      </c>
      <c r="Y120" s="14" t="n">
        <f aca="false">((Y50+Y73)+Y96)</f>
        <v>0</v>
      </c>
      <c r="Z120" s="14" t="n">
        <f aca="false">((Z50+Z73)+Z96)</f>
        <v>1.8</v>
      </c>
      <c r="AA120" s="14" t="n">
        <f aca="false">((AA50+AA73)+AA96)</f>
        <v>0.6</v>
      </c>
      <c r="AB120" s="14" t="n">
        <f aca="false">((AB50+AB73)+AB96)</f>
        <v>0</v>
      </c>
      <c r="AC120" s="14" t="n">
        <f aca="false">((AC50+AC73)+AC96)</f>
        <v>2.4</v>
      </c>
      <c r="AD120" s="14" t="n">
        <f aca="false">((AD50+AD73)+AD96)</f>
        <v>1.2</v>
      </c>
      <c r="AE120" s="14" t="n">
        <f aca="false">((AE50+AE73)+AE96)</f>
        <v>0</v>
      </c>
      <c r="AF120" s="14" t="n">
        <f aca="false">((AF50+AF73)+AF96)</f>
        <v>3</v>
      </c>
      <c r="AG120" s="14" t="n">
        <f aca="false">((AG50+AG73)+AG96)</f>
        <v>1.8</v>
      </c>
      <c r="AH120" s="14" t="n">
        <f aca="false">((AH50+AH73)+AH96)</f>
        <v>0.6</v>
      </c>
      <c r="AI120" s="14" t="n">
        <f aca="false">((AI50+AI73)+AI96)</f>
        <v>3</v>
      </c>
      <c r="AJ120" s="14" t="n">
        <f aca="false">((AJ50+AJ73)+AJ96)</f>
        <v>1.8</v>
      </c>
      <c r="AK120" s="14" t="n">
        <f aca="false">((AK50+AK73)+AK96)</f>
        <v>0</v>
      </c>
      <c r="AL120" s="14" t="n">
        <f aca="false">((AL50+AL73)+AL96)</f>
        <v>3.6</v>
      </c>
      <c r="AN120" s="36" t="n">
        <f aca="false">SUM(C120:N120)</f>
        <v>0</v>
      </c>
      <c r="AO120" s="36" t="n">
        <f aca="false">SUM(O120:Z120)</f>
        <v>5.4</v>
      </c>
      <c r="AP120" s="36" t="n">
        <f aca="false">SUM(AA120:AL120)</f>
        <v>18</v>
      </c>
    </row>
    <row r="121" customFormat="false" ht="15" hidden="false" customHeight="false" outlineLevel="0" collapsed="false">
      <c r="A121" s="0" t="s">
        <v>927</v>
      </c>
      <c r="B121" s="0" t="s">
        <v>852</v>
      </c>
      <c r="C121" s="14" t="n">
        <f aca="false">((C55+C78)+C101)</f>
        <v>0</v>
      </c>
      <c r="D121" s="14" t="n">
        <f aca="false">((D55+D78)+D101)</f>
        <v>0</v>
      </c>
      <c r="E121" s="14" t="n">
        <f aca="false">((E55+E78)+E101)</f>
        <v>0</v>
      </c>
      <c r="F121" s="14" t="n">
        <f aca="false">((F55+F78)+F101)</f>
        <v>0</v>
      </c>
      <c r="G121" s="14" t="n">
        <f aca="false">((G55+G78)+G101)</f>
        <v>0</v>
      </c>
      <c r="H121" s="14" t="n">
        <f aca="false">((H55+H78)+H101)</f>
        <v>0</v>
      </c>
      <c r="I121" s="14" t="n">
        <f aca="false">((I55+I78)+I101)</f>
        <v>0</v>
      </c>
      <c r="J121" s="14" t="n">
        <f aca="false">((J55+J78)+J101)</f>
        <v>0</v>
      </c>
      <c r="K121" s="14" t="n">
        <f aca="false">((K55+K78)+K101)</f>
        <v>0</v>
      </c>
      <c r="L121" s="14" t="n">
        <f aca="false">((L55+L78)+L101)</f>
        <v>0</v>
      </c>
      <c r="M121" s="14" t="n">
        <f aca="false">((M55+M78)+M101)</f>
        <v>0</v>
      </c>
      <c r="N121" s="14" t="n">
        <f aca="false">((N55+N78)+N101)</f>
        <v>0</v>
      </c>
      <c r="O121" s="14" t="n">
        <f aca="false">((O55+O78)+O101)</f>
        <v>0</v>
      </c>
      <c r="P121" s="14" t="n">
        <f aca="false">((P55+P78)+P101)</f>
        <v>0.48</v>
      </c>
      <c r="Q121" s="14" t="n">
        <f aca="false">((Q55+Q78)+Q101)</f>
        <v>0.48</v>
      </c>
      <c r="R121" s="14" t="n">
        <f aca="false">((R55+R78)+R101)</f>
        <v>0</v>
      </c>
      <c r="S121" s="14" t="n">
        <f aca="false">((S55+S78)+S101)</f>
        <v>0</v>
      </c>
      <c r="T121" s="14" t="n">
        <f aca="false">((T55+T78)+T101)</f>
        <v>0</v>
      </c>
      <c r="U121" s="14" t="n">
        <f aca="false">((U55+U78)+U101)</f>
        <v>0</v>
      </c>
      <c r="V121" s="14" t="n">
        <f aca="false">((V55+V78)+V101)</f>
        <v>0</v>
      </c>
      <c r="W121" s="14" t="n">
        <f aca="false">((W55+W78)+W101)</f>
        <v>0</v>
      </c>
      <c r="X121" s="14" t="n">
        <f aca="false">((X55+X78)+X101)</f>
        <v>0.24</v>
      </c>
      <c r="Y121" s="14" t="n">
        <f aca="false">((Y55+Y78)+Y101)</f>
        <v>0</v>
      </c>
      <c r="Z121" s="14" t="n">
        <f aca="false">((Z55+Z78)+Z101)</f>
        <v>0</v>
      </c>
      <c r="AA121" s="14" t="n">
        <f aca="false">((AA55+AA78)+AA101)</f>
        <v>1.056</v>
      </c>
      <c r="AB121" s="14" t="n">
        <f aca="false">((AB55+AB78)+AB101)</f>
        <v>0</v>
      </c>
      <c r="AC121" s="14" t="n">
        <f aca="false">((AC55+AC78)+AC101)</f>
        <v>0</v>
      </c>
      <c r="AD121" s="14" t="n">
        <f aca="false">((AD55+AD78)+AD101)</f>
        <v>1.896</v>
      </c>
      <c r="AE121" s="14" t="n">
        <f aca="false">((AE55+AE78)+AE101)</f>
        <v>0</v>
      </c>
      <c r="AF121" s="14" t="n">
        <f aca="false">((AF55+AF78)+AF101)</f>
        <v>0</v>
      </c>
      <c r="AG121" s="14" t="n">
        <f aca="false">((AG55+AG78)+AG101)</f>
        <v>2.496</v>
      </c>
      <c r="AH121" s="14" t="n">
        <f aca="false">((AH55+AH78)+AH101)</f>
        <v>0</v>
      </c>
      <c r="AI121" s="14" t="n">
        <f aca="false">((AI55+AI78)+AI101)</f>
        <v>0</v>
      </c>
      <c r="AJ121" s="14" t="n">
        <f aca="false">((AJ55+AJ78)+AJ101)</f>
        <v>2.736</v>
      </c>
      <c r="AK121" s="14" t="n">
        <f aca="false">((AK55+AK78)+AK101)</f>
        <v>0</v>
      </c>
      <c r="AL121" s="14" t="n">
        <f aca="false">((AL55+AL78)+AL101)</f>
        <v>0</v>
      </c>
      <c r="AN121" s="36" t="n">
        <f aca="false">SUM(C121:N121)</f>
        <v>0</v>
      </c>
      <c r="AO121" s="36" t="n">
        <f aca="false">SUM(O121:Z121)</f>
        <v>1.2</v>
      </c>
      <c r="AP121" s="36" t="n">
        <f aca="false">SUM(AA121:AL121)</f>
        <v>8.184</v>
      </c>
    </row>
    <row r="122" customFormat="false" ht="15" hidden="false" customHeight="false" outlineLevel="0" collapsed="false">
      <c r="A122" s="0" t="s">
        <v>928</v>
      </c>
      <c r="B122" s="0" t="s">
        <v>852</v>
      </c>
      <c r="C122" s="13" t="n">
        <f aca="false">((C57+C80)+C103)</f>
        <v>0</v>
      </c>
      <c r="D122" s="13" t="n">
        <f aca="false">((D57+D80)+D103)</f>
        <v>0</v>
      </c>
      <c r="E122" s="13" t="n">
        <f aca="false">((E57+E80)+E103)</f>
        <v>0</v>
      </c>
      <c r="F122" s="13" t="n">
        <f aca="false">((F57+F80)+F103)</f>
        <v>0</v>
      </c>
      <c r="G122" s="13" t="n">
        <f aca="false">((G57+G80)+G103)</f>
        <v>0</v>
      </c>
      <c r="H122" s="13" t="n">
        <f aca="false">((H57+H80)+H103)</f>
        <v>0</v>
      </c>
      <c r="I122" s="13" t="n">
        <f aca="false">((I57+I80)+I103)</f>
        <v>0</v>
      </c>
      <c r="J122" s="13" t="n">
        <f aca="false">((J57+J80)+J103)</f>
        <v>0</v>
      </c>
      <c r="K122" s="13" t="n">
        <f aca="false">((K57+K80)+K103)</f>
        <v>0</v>
      </c>
      <c r="L122" s="13" t="n">
        <f aca="false">((L57+L80)+L103)</f>
        <v>0</v>
      </c>
      <c r="M122" s="13" t="n">
        <f aca="false">((M57+M80)+M103)</f>
        <v>0</v>
      </c>
      <c r="N122" s="13" t="n">
        <f aca="false">((N57+N80)+N103)</f>
        <v>0</v>
      </c>
      <c r="O122" s="13" t="n">
        <f aca="false">((O57+O80)+O103)</f>
        <v>0</v>
      </c>
      <c r="P122" s="13" t="n">
        <f aca="false">((P57+P80)+P103)</f>
        <v>0.48</v>
      </c>
      <c r="Q122" s="13" t="n">
        <f aca="false">((Q57+Q80)+Q103)</f>
        <v>0.96</v>
      </c>
      <c r="R122" s="13" t="n">
        <f aca="false">((R57+R80)+R103)</f>
        <v>0.96</v>
      </c>
      <c r="S122" s="13" t="n">
        <f aca="false">((S57+S80)+S103)</f>
        <v>0.96</v>
      </c>
      <c r="T122" s="13" t="n">
        <f aca="false">((T57+T80)+T103)</f>
        <v>0.96</v>
      </c>
      <c r="U122" s="13" t="n">
        <f aca="false">((U57+U80)+U103)</f>
        <v>0.96</v>
      </c>
      <c r="V122" s="13" t="n">
        <f aca="false">((V57+V80)+V103)</f>
        <v>0.96</v>
      </c>
      <c r="W122" s="13" t="n">
        <f aca="false">((W57+W80)+W103)</f>
        <v>0.96</v>
      </c>
      <c r="X122" s="13" t="n">
        <f aca="false">((X57+X80)+X103)</f>
        <v>1.2</v>
      </c>
      <c r="Y122" s="13" t="n">
        <f aca="false">((Y57+Y80)+Y103)</f>
        <v>1.2</v>
      </c>
      <c r="Z122" s="13" t="n">
        <f aca="false">((Z57+Z80)+Z103)</f>
        <v>1.2</v>
      </c>
      <c r="AA122" s="13" t="n">
        <f aca="false">((AA57+AA80)+AA103)</f>
        <v>2.256</v>
      </c>
      <c r="AB122" s="13" t="n">
        <f aca="false">((AB57+AB80)+AB103)</f>
        <v>2.184</v>
      </c>
      <c r="AC122" s="13" t="n">
        <f aca="false">((AC57+AC80)+AC103)</f>
        <v>2.112</v>
      </c>
      <c r="AD122" s="13" t="n">
        <f aca="false">((AD57+AD80)+AD103)</f>
        <v>4.008</v>
      </c>
      <c r="AE122" s="13" t="n">
        <f aca="false">((AE57+AE80)+AE103)</f>
        <v>4.008</v>
      </c>
      <c r="AF122" s="13" t="n">
        <f aca="false">((AF57+AF80)+AF103)</f>
        <v>4.008</v>
      </c>
      <c r="AG122" s="13" t="n">
        <f aca="false">((AG57+AG80)+AG103)</f>
        <v>6.504</v>
      </c>
      <c r="AH122" s="13" t="n">
        <f aca="false">((AH57+AH80)+AH103)</f>
        <v>6.504</v>
      </c>
      <c r="AI122" s="13" t="n">
        <f aca="false">((AI57+AI80)+AI103)</f>
        <v>6.504</v>
      </c>
      <c r="AJ122" s="13" t="n">
        <f aca="false">((AJ57+AJ80)+AJ103)</f>
        <v>9.204</v>
      </c>
      <c r="AK122" s="13" t="n">
        <f aca="false">((AK57+AK80)+AK103)</f>
        <v>9.204</v>
      </c>
      <c r="AL122" s="13" t="n">
        <f aca="false">((AL57+AL80)+AL103)</f>
        <v>9.204</v>
      </c>
      <c r="AN122" s="37" t="n">
        <f aca="false">N122</f>
        <v>0</v>
      </c>
      <c r="AO122" s="37" t="n">
        <f aca="false">Z122</f>
        <v>1.2</v>
      </c>
      <c r="AP122" s="37" t="n">
        <f aca="false">AL122</f>
        <v>9.204</v>
      </c>
    </row>
    <row r="123" customFormat="false" ht="15" hidden="false" customHeight="false" outlineLevel="0" collapsed="false">
      <c r="A123" s="0" t="s">
        <v>929</v>
      </c>
      <c r="B123" s="0" t="s">
        <v>852</v>
      </c>
      <c r="C123" s="13" t="n">
        <f aca="false">((C51+C74)+C97)</f>
        <v>0</v>
      </c>
      <c r="D123" s="13" t="n">
        <f aca="false">((D51+D74)+D97)</f>
        <v>0</v>
      </c>
      <c r="E123" s="13" t="n">
        <f aca="false">((E51+E74)+E97)</f>
        <v>0</v>
      </c>
      <c r="F123" s="13" t="n">
        <f aca="false">((F51+F74)+F97)</f>
        <v>0</v>
      </c>
      <c r="G123" s="13" t="n">
        <f aca="false">((G51+G74)+G97)</f>
        <v>1</v>
      </c>
      <c r="H123" s="13" t="n">
        <f aca="false">((H51+H74)+H97)</f>
        <v>1</v>
      </c>
      <c r="I123" s="13" t="n">
        <f aca="false">((I51+I74)+I97)</f>
        <v>1</v>
      </c>
      <c r="J123" s="13" t="n">
        <f aca="false">((J51+J74)+J97)</f>
        <v>2</v>
      </c>
      <c r="K123" s="13" t="n">
        <f aca="false">((K51+K74)+K97)</f>
        <v>2</v>
      </c>
      <c r="L123" s="13" t="n">
        <f aca="false">((L51+L74)+L97)</f>
        <v>2</v>
      </c>
      <c r="M123" s="13" t="n">
        <f aca="false">((M51+M74)+M97)</f>
        <v>1</v>
      </c>
      <c r="N123" s="13" t="n">
        <f aca="false">((N51+N74)+N97)</f>
        <v>1</v>
      </c>
      <c r="O123" s="13" t="n">
        <f aca="false">((O51+O74)+O97)</f>
        <v>1</v>
      </c>
      <c r="P123" s="13" t="n">
        <f aca="false">((P51+P74)+P97)</f>
        <v>0</v>
      </c>
      <c r="Q123" s="13" t="n">
        <f aca="false">((Q51+Q74)+Q97)</f>
        <v>0.6</v>
      </c>
      <c r="R123" s="13" t="n">
        <f aca="false">((R51+R74)+R97)</f>
        <v>0.6</v>
      </c>
      <c r="S123" s="13" t="n">
        <f aca="false">((S51+S74)+S97)</f>
        <v>0.6</v>
      </c>
      <c r="T123" s="13" t="n">
        <f aca="false">((T51+T74)+T97)</f>
        <v>1.8</v>
      </c>
      <c r="U123" s="13" t="n">
        <f aca="false">((U51+U74)+U97)</f>
        <v>1.8</v>
      </c>
      <c r="V123" s="13" t="n">
        <f aca="false">((V51+V74)+V97)</f>
        <v>1.8</v>
      </c>
      <c r="W123" s="13" t="n">
        <f aca="false">((W51+W74)+W97)</f>
        <v>3</v>
      </c>
      <c r="X123" s="13" t="n">
        <f aca="false">((X51+X74)+X97)</f>
        <v>3</v>
      </c>
      <c r="Y123" s="13" t="n">
        <f aca="false">((Y51+Y74)+Y97)</f>
        <v>3</v>
      </c>
      <c r="Z123" s="13" t="n">
        <f aca="false">((Z51+Z74)+Z97)</f>
        <v>3.6</v>
      </c>
      <c r="AA123" s="13" t="n">
        <f aca="false">((AA51+AA74)+AA97)</f>
        <v>3.6</v>
      </c>
      <c r="AB123" s="13" t="n">
        <f aca="false">((AB51+AB74)+AB97)</f>
        <v>3.6</v>
      </c>
      <c r="AC123" s="13" t="n">
        <f aca="false">((AC51+AC74)+AC97)</f>
        <v>4.2</v>
      </c>
      <c r="AD123" s="13" t="n">
        <f aca="false">((AD51+AD74)+AD97)</f>
        <v>4.2</v>
      </c>
      <c r="AE123" s="13" t="n">
        <f aca="false">((AE51+AE74)+AE97)</f>
        <v>4.2</v>
      </c>
      <c r="AF123" s="13" t="n">
        <f aca="false">((AF51+AF74)+AF97)</f>
        <v>5.4</v>
      </c>
      <c r="AG123" s="13" t="n">
        <f aca="false">((AG51+AG74)+AG97)</f>
        <v>5.4</v>
      </c>
      <c r="AH123" s="13" t="n">
        <f aca="false">((AH51+AH74)+AH97)</f>
        <v>6</v>
      </c>
      <c r="AI123" s="13" t="n">
        <f aca="false">((AI51+AI74)+AI97)</f>
        <v>6.6</v>
      </c>
      <c r="AJ123" s="13" t="n">
        <f aca="false">((AJ51+AJ74)+AJ97)</f>
        <v>6.6</v>
      </c>
      <c r="AK123" s="13" t="n">
        <f aca="false">((AK51+AK74)+AK97)</f>
        <v>6.6</v>
      </c>
      <c r="AL123" s="13" t="n">
        <f aca="false">((AL51+AL74)+AL97)</f>
        <v>7.2</v>
      </c>
      <c r="AN123" s="37" t="n">
        <f aca="false">N123</f>
        <v>1</v>
      </c>
      <c r="AO123" s="37" t="n">
        <f aca="false">Z123</f>
        <v>3.6</v>
      </c>
      <c r="AP123" s="37" t="n">
        <f aca="false">AL123</f>
        <v>7.2</v>
      </c>
    </row>
    <row r="124" customFormat="false" ht="15" hidden="false" customHeight="false" outlineLevel="0" collapsed="false">
      <c r="A124" s="0" t="s">
        <v>930</v>
      </c>
      <c r="B124" s="0" t="s">
        <v>230</v>
      </c>
      <c r="C124" s="9" t="n">
        <f aca="false">((C61+C84)+C107)</f>
        <v>0</v>
      </c>
      <c r="D124" s="9" t="n">
        <f aca="false">((D61+D84)+D107)</f>
        <v>0</v>
      </c>
      <c r="E124" s="9" t="n">
        <f aca="false">((E61+E84)+E107)</f>
        <v>0</v>
      </c>
      <c r="F124" s="9" t="n">
        <f aca="false">((F61+F84)+F107)</f>
        <v>0</v>
      </c>
      <c r="G124" s="9" t="n">
        <f aca="false">((G61+G84)+G107)</f>
        <v>0</v>
      </c>
      <c r="H124" s="9" t="n">
        <f aca="false">((H61+H84)+H107)</f>
        <v>0</v>
      </c>
      <c r="I124" s="9" t="n">
        <f aca="false">((I61+I84)+I107)</f>
        <v>0</v>
      </c>
      <c r="J124" s="9" t="n">
        <f aca="false">((J61+J84)+J107)</f>
        <v>0</v>
      </c>
      <c r="K124" s="9" t="n">
        <f aca="false">((K61+K84)+K107)</f>
        <v>0</v>
      </c>
      <c r="L124" s="9" t="n">
        <f aca="false">((L61+L84)+L107)</f>
        <v>0</v>
      </c>
      <c r="M124" s="9" t="n">
        <f aca="false">((M61+M84)+M107)</f>
        <v>0</v>
      </c>
      <c r="N124" s="9" t="n">
        <f aca="false">((N61+N84)+N107)</f>
        <v>0</v>
      </c>
      <c r="O124" s="9" t="n">
        <f aca="false">((O61+O84)+O107)</f>
        <v>0</v>
      </c>
      <c r="P124" s="9" t="n">
        <f aca="false">((P61+P84)+P107)</f>
        <v>1003.2</v>
      </c>
      <c r="Q124" s="9" t="n">
        <f aca="false">((Q61+Q84)+Q107)</f>
        <v>3845.6</v>
      </c>
      <c r="R124" s="9" t="n">
        <f aca="false">((R61+R84)+R107)</f>
        <v>3845.6</v>
      </c>
      <c r="S124" s="9" t="n">
        <f aca="false">((S61+S84)+S107)</f>
        <v>3845.6</v>
      </c>
      <c r="T124" s="9" t="n">
        <f aca="false">((T61+T84)+T107)</f>
        <v>3845.6</v>
      </c>
      <c r="U124" s="9" t="n">
        <f aca="false">((U61+U84)+U107)</f>
        <v>3845.6</v>
      </c>
      <c r="V124" s="9" t="n">
        <f aca="false">((V61+V84)+V107)</f>
        <v>3845.6</v>
      </c>
      <c r="W124" s="9" t="n">
        <f aca="false">((W61+W84)+W107)</f>
        <v>3845.6</v>
      </c>
      <c r="X124" s="9" t="n">
        <f aca="false">((X61+X84)+X107)</f>
        <v>4197.2</v>
      </c>
      <c r="Y124" s="9" t="n">
        <f aca="false">((Y61+Y84)+Y107)</f>
        <v>4197.2</v>
      </c>
      <c r="Z124" s="9" t="n">
        <f aca="false">((Z61+Z84)+Z107)</f>
        <v>4197.2</v>
      </c>
      <c r="AA124" s="9" t="n">
        <f aca="false">((AA61+AA84)+AA107)</f>
        <v>6811.88</v>
      </c>
      <c r="AB124" s="9" t="n">
        <f aca="false">((AB61+AB84)+AB107)</f>
        <v>6746.672</v>
      </c>
      <c r="AC124" s="9" t="n">
        <f aca="false">((AC61+AC84)+AC107)</f>
        <v>6561.916</v>
      </c>
      <c r="AD124" s="9" t="n">
        <f aca="false">((AD61+AD84)+AD107)</f>
        <v>13081.196</v>
      </c>
      <c r="AE124" s="9" t="n">
        <f aca="false">((AE61+AE84)+AE107)</f>
        <v>13081.196</v>
      </c>
      <c r="AF124" s="9" t="n">
        <f aca="false">((AF61+AF84)+AF107)</f>
        <v>13081.196</v>
      </c>
      <c r="AG124" s="9" t="n">
        <f aca="false">((AG61+AG84)+AG107)</f>
        <v>20854.476</v>
      </c>
      <c r="AH124" s="9" t="n">
        <f aca="false">((AH61+AH84)+AH107)</f>
        <v>20854.476</v>
      </c>
      <c r="AI124" s="9" t="n">
        <f aca="false">((AI61+AI84)+AI107)</f>
        <v>20854.476</v>
      </c>
      <c r="AJ124" s="9" t="n">
        <f aca="false">((AJ61+AJ84)+AJ107)</f>
        <v>29096.752</v>
      </c>
      <c r="AK124" s="9" t="n">
        <f aca="false">((AK61+AK84)+AK107)</f>
        <v>29096.752</v>
      </c>
      <c r="AL124" s="9" t="n">
        <f aca="false">((AL61+AL84)+AL107)</f>
        <v>29096.752</v>
      </c>
      <c r="AN124" s="11" t="n">
        <f aca="false">SUM(C124:N124)</f>
        <v>0</v>
      </c>
      <c r="AO124" s="11" t="n">
        <f aca="false">SUM(O124:Z124)</f>
        <v>40514</v>
      </c>
      <c r="AP124" s="11" t="n">
        <f aca="false">SUM(AA124:AL124)</f>
        <v>209217.74</v>
      </c>
    </row>
    <row r="125" customFormat="false" ht="15" hidden="false" customHeight="false" outlineLevel="0" collapsed="false">
      <c r="A125" s="0" t="s">
        <v>931</v>
      </c>
      <c r="B125" s="0" t="s">
        <v>230</v>
      </c>
      <c r="C125" s="9" t="n">
        <f aca="false">IF(AND(($C$14=1),(C$18=(Assumptions!$C$106+1))),((Assumptions!$C$114*12)*C124),0)</f>
        <v>0</v>
      </c>
      <c r="D125" s="9" t="n">
        <f aca="false">IF(AND(($C$14=1),(D$18=(Assumptions!$C$106+1))),((Assumptions!$C$114*12)*D124),0)</f>
        <v>0</v>
      </c>
      <c r="E125" s="9" t="n">
        <f aca="false">IF(AND(($C$14=1),(E$18=(Assumptions!$C$106+1))),((Assumptions!$C$114*12)*E124),0)</f>
        <v>0</v>
      </c>
      <c r="F125" s="9" t="n">
        <f aca="false">IF(AND(($C$14=1),(F$18=(Assumptions!$C$106+1))),((Assumptions!$C$114*12)*F124),0)</f>
        <v>0</v>
      </c>
      <c r="G125" s="9" t="n">
        <f aca="false">IF(AND(($C$14=1),(G$18=(Assumptions!$C$106+1))),((Assumptions!$C$114*12)*G124),0)</f>
        <v>0</v>
      </c>
      <c r="H125" s="9" t="n">
        <f aca="false">IF(AND(($C$14=1),(H$18=(Assumptions!$C$106+1))),((Assumptions!$C$114*12)*H124),0)</f>
        <v>0</v>
      </c>
      <c r="I125" s="9" t="n">
        <f aca="false">IF(AND(($C$14=1),(I$18=(Assumptions!$C$106+1))),((Assumptions!$C$114*12)*I124),0)</f>
        <v>0</v>
      </c>
      <c r="J125" s="9" t="n">
        <f aca="false">IF(AND(($C$14=1),(J$18=(Assumptions!$C$106+1))),((Assumptions!$C$114*12)*J124),0)</f>
        <v>0</v>
      </c>
      <c r="K125" s="9" t="n">
        <f aca="false">IF(AND(($C$14=1),(K$18=(Assumptions!$C$106+1))),((Assumptions!$C$114*12)*K124),0)</f>
        <v>0</v>
      </c>
      <c r="L125" s="9" t="n">
        <f aca="false">IF(AND(($C$14=1),(L$18=(Assumptions!$C$106+1))),((Assumptions!$C$114*12)*L124),0)</f>
        <v>0</v>
      </c>
      <c r="M125" s="9" t="n">
        <f aca="false">IF(AND(($C$14=1),(M$18=(Assumptions!$C$106+1))),((Assumptions!$C$114*12)*M124),0)</f>
        <v>0</v>
      </c>
      <c r="N125" s="9" t="n">
        <f aca="false">IF(AND(($C$14=1),(N$18=(Assumptions!$C$106+1))),((Assumptions!$C$114*12)*N124),0)</f>
        <v>0</v>
      </c>
      <c r="O125" s="9" t="n">
        <f aca="false">IF(AND(($C$14=1),(O$18=(Assumptions!$C$106+1))),((Assumptions!$C$114*12)*O124),0)</f>
        <v>0</v>
      </c>
      <c r="P125" s="9" t="n">
        <f aca="false">IF(AND(($C$14=1),(P$18=(Assumptions!$C$106+1))),((Assumptions!$C$114*12)*P124),0)</f>
        <v>0</v>
      </c>
      <c r="Q125" s="9" t="n">
        <f aca="false">IF(AND(($C$14=1),(Q$18=(Assumptions!$C$106+1))),((Assumptions!$C$114*12)*Q124),0)</f>
        <v>0</v>
      </c>
      <c r="R125" s="9" t="n">
        <f aca="false">IF(AND(($C$14=1),(R$18=(Assumptions!$C$106+1))),((Assumptions!$C$114*12)*R124),0)</f>
        <v>0</v>
      </c>
      <c r="S125" s="9" t="n">
        <f aca="false">IF(AND(($C$14=1),(S$18=(Assumptions!$C$106+1))),((Assumptions!$C$114*12)*S124),0)</f>
        <v>0</v>
      </c>
      <c r="T125" s="9" t="n">
        <f aca="false">IF(AND(($C$14=1),(T$18=(Assumptions!$C$106+1))),((Assumptions!$C$114*12)*T124),0)</f>
        <v>0</v>
      </c>
      <c r="U125" s="9" t="n">
        <f aca="false">IF(AND(($C$14=1),(U$18=(Assumptions!$C$106+1))),((Assumptions!$C$114*12)*U124),0)</f>
        <v>0</v>
      </c>
      <c r="V125" s="9" t="n">
        <f aca="false">IF(AND(($C$14=1),(V$18=(Assumptions!$C$106+1))),((Assumptions!$C$114*12)*V124),0)</f>
        <v>0</v>
      </c>
      <c r="W125" s="9" t="n">
        <f aca="false">IF(AND(($C$14=1),(W$18=(Assumptions!$C$106+1))),((Assumptions!$C$114*12)*W124),0)</f>
        <v>0</v>
      </c>
      <c r="X125" s="9" t="n">
        <f aca="false">IF(AND(($C$14=1),(X$18=(Assumptions!$C$106+1))),((Assumptions!$C$114*12)*X124),0)</f>
        <v>0</v>
      </c>
      <c r="Y125" s="9" t="n">
        <f aca="false">IF(AND(($C$14=1),(Y$18=(Assumptions!$C$106+1))),((Assumptions!$C$114*12)*Y124),0)</f>
        <v>0</v>
      </c>
      <c r="Z125" s="9" t="n">
        <f aca="false">IF(AND(($C$14=1),(Z$18=(Assumptions!$C$106+1))),((Assumptions!$C$114*12)*Z124),0)</f>
        <v>0</v>
      </c>
      <c r="AA125" s="9" t="n">
        <f aca="false">IF(AND(($C$14=1),(AA$18=(Assumptions!$C$106+1))),((Assumptions!$C$114*12)*AA124),0)</f>
        <v>0</v>
      </c>
      <c r="AB125" s="9" t="n">
        <f aca="false">IF(AND(($C$14=1),(AB$18=(Assumptions!$C$106+1))),((Assumptions!$C$114*12)*AB124),0)</f>
        <v>0</v>
      </c>
      <c r="AC125" s="9" t="n">
        <f aca="false">IF(AND(($C$14=1),(AC$18=(Assumptions!$C$106+1))),((Assumptions!$C$114*12)*AC124),0)</f>
        <v>0</v>
      </c>
      <c r="AD125" s="9" t="n">
        <f aca="false">IF(AND(($C$14=1),(AD$18=(Assumptions!$C$106+1))),((Assumptions!$C$114*12)*AD124),0)</f>
        <v>0</v>
      </c>
      <c r="AE125" s="9" t="n">
        <f aca="false">IF(AND(($C$14=1),(AE$18=(Assumptions!$C$106+1))),((Assumptions!$C$114*12)*AE124),0)</f>
        <v>0</v>
      </c>
      <c r="AF125" s="9" t="n">
        <f aca="false">IF(AND(($C$14=1),(AF$18=(Assumptions!$C$106+1))),((Assumptions!$C$114*12)*AF124),0)</f>
        <v>0</v>
      </c>
      <c r="AG125" s="9" t="n">
        <f aca="false">IF(AND(($C$14=1),(AG$18=(Assumptions!$C$106+1))),((Assumptions!$C$114*12)*AG124),0)</f>
        <v>0</v>
      </c>
      <c r="AH125" s="9" t="n">
        <f aca="false">IF(AND(($C$14=1),(AH$18=(Assumptions!$C$106+1))),((Assumptions!$C$114*12)*AH124),0)</f>
        <v>0</v>
      </c>
      <c r="AI125" s="9" t="n">
        <f aca="false">IF(AND(($C$14=1),(AI$18=(Assumptions!$C$106+1))),((Assumptions!$C$114*12)*AI124),0)</f>
        <v>0</v>
      </c>
      <c r="AJ125" s="9" t="n">
        <f aca="false">IF(AND(($C$14=1),(AJ$18=(Assumptions!$C$106+1))),((Assumptions!$C$114*12)*AJ124),0)</f>
        <v>0</v>
      </c>
      <c r="AK125" s="9" t="n">
        <f aca="false">IF(AND(($C$14=1),(AK$18=(Assumptions!$C$106+1))),((Assumptions!$C$114*12)*AK124),0)</f>
        <v>0</v>
      </c>
      <c r="AL125" s="9" t="n">
        <f aca="false">IF(AND(($C$14=1),(AL$18=(Assumptions!$C$106+1))),((Assumptions!$C$114*12)*AL124),0)</f>
        <v>0</v>
      </c>
      <c r="AN125" s="11" t="n">
        <f aca="false">SUM(C125:N125)</f>
        <v>0</v>
      </c>
      <c r="AO125" s="11" t="n">
        <f aca="false">SUM(O125:Z125)</f>
        <v>0</v>
      </c>
      <c r="AP125" s="11" t="n">
        <f aca="false">SUM(AA125:AL125)</f>
        <v>0</v>
      </c>
    </row>
    <row r="126" customFormat="false" ht="15" hidden="false" customHeight="false" outlineLevel="0" collapsed="false">
      <c r="A126" s="0" t="s">
        <v>932</v>
      </c>
      <c r="B126" s="0" t="s">
        <v>500</v>
      </c>
      <c r="C126" s="9" t="n">
        <f aca="false">(((Assumptions!$C$125*(C57+(Assumptions!$C$32*C51)))+(Assumptions!$D$125*(C80+(Assumptions!$C$32*C74))))+(Assumptions!$E$125*(C103+(Assumptions!$C$32*C97))))</f>
        <v>0</v>
      </c>
      <c r="D126" s="9" t="n">
        <f aca="false">(((Assumptions!$C$125*(D57+(Assumptions!$C$32*D51)))+(Assumptions!$D$125*(D80+(Assumptions!$C$32*D74))))+(Assumptions!$E$125*(D103+(Assumptions!$C$32*D97))))</f>
        <v>0</v>
      </c>
      <c r="E126" s="9" t="n">
        <f aca="false">(((Assumptions!$C$125*(E57+(Assumptions!$C$32*E51)))+(Assumptions!$D$125*(E80+(Assumptions!$C$32*E74))))+(Assumptions!$E$125*(E103+(Assumptions!$C$32*E97))))</f>
        <v>0</v>
      </c>
      <c r="F126" s="9" t="n">
        <f aca="false">(((Assumptions!$C$125*(F57+(Assumptions!$C$32*F51)))+(Assumptions!$D$125*(F80+(Assumptions!$C$32*F74))))+(Assumptions!$E$125*(F103+(Assumptions!$C$32*F97))))</f>
        <v>0</v>
      </c>
      <c r="G126" s="9" t="n">
        <f aca="false">(((Assumptions!$C$125*(G57+(Assumptions!$C$32*G51)))+(Assumptions!$D$125*(G80+(Assumptions!$C$32*G74))))+(Assumptions!$E$125*(G103+(Assumptions!$C$32*G97))))</f>
        <v>210</v>
      </c>
      <c r="H126" s="9" t="n">
        <f aca="false">(((Assumptions!$C$125*(H57+(Assumptions!$C$32*H51)))+(Assumptions!$D$125*(H80+(Assumptions!$C$32*H74))))+(Assumptions!$E$125*(H103+(Assumptions!$C$32*H97))))</f>
        <v>210</v>
      </c>
      <c r="I126" s="9" t="n">
        <f aca="false">(((Assumptions!$C$125*(I57+(Assumptions!$C$32*I51)))+(Assumptions!$D$125*(I80+(Assumptions!$C$32*I74))))+(Assumptions!$E$125*(I103+(Assumptions!$C$32*I97))))</f>
        <v>210</v>
      </c>
      <c r="J126" s="9" t="n">
        <f aca="false">(((Assumptions!$C$125*(J57+(Assumptions!$C$32*J51)))+(Assumptions!$D$125*(J80+(Assumptions!$C$32*J74))))+(Assumptions!$E$125*(J103+(Assumptions!$C$32*J97))))</f>
        <v>1085</v>
      </c>
      <c r="K126" s="9" t="n">
        <f aca="false">(((Assumptions!$C$125*(K57+(Assumptions!$C$32*K51)))+(Assumptions!$D$125*(K80+(Assumptions!$C$32*K74))))+(Assumptions!$E$125*(K103+(Assumptions!$C$32*K97))))</f>
        <v>1085</v>
      </c>
      <c r="L126" s="9" t="n">
        <f aca="false">(((Assumptions!$C$125*(L57+(Assumptions!$C$32*L51)))+(Assumptions!$D$125*(L80+(Assumptions!$C$32*L74))))+(Assumptions!$E$125*(L103+(Assumptions!$C$32*L97))))</f>
        <v>1085</v>
      </c>
      <c r="M126" s="9" t="n">
        <f aca="false">(((Assumptions!$C$125*(M57+(Assumptions!$C$32*M51)))+(Assumptions!$D$125*(M80+(Assumptions!$C$32*M74))))+(Assumptions!$E$125*(M103+(Assumptions!$C$32*M97))))</f>
        <v>875</v>
      </c>
      <c r="N126" s="9" t="n">
        <f aca="false">(((Assumptions!$C$125*(N57+(Assumptions!$C$32*N51)))+(Assumptions!$D$125*(N80+(Assumptions!$C$32*N74))))+(Assumptions!$E$125*(N103+(Assumptions!$C$32*N97))))</f>
        <v>875</v>
      </c>
      <c r="O126" s="9" t="n">
        <f aca="false">(((Assumptions!$C$125*(O57+(Assumptions!$C$32*O51)))+(Assumptions!$D$125*(O80+(Assumptions!$C$32*O74))))+(Assumptions!$E$125*(O103+(Assumptions!$C$32*O97))))</f>
        <v>875</v>
      </c>
      <c r="P126" s="9" t="n">
        <f aca="false">(((Assumptions!$C$125*(P57+(Assumptions!$C$32*P51)))+(Assumptions!$D$125*(P80+(Assumptions!$C$32*P74))))+(Assumptions!$E$125*(P103+(Assumptions!$C$32*P97))))</f>
        <v>288</v>
      </c>
      <c r="Q126" s="9" t="n">
        <f aca="false">(((Assumptions!$C$125*(Q57+(Assumptions!$C$32*Q51)))+(Assumptions!$D$125*(Q80+(Assumptions!$C$32*Q74))))+(Assumptions!$E$125*(Q103+(Assumptions!$C$32*Q97))))</f>
        <v>1614</v>
      </c>
      <c r="R126" s="9" t="n">
        <f aca="false">(((Assumptions!$C$125*(R57+(Assumptions!$C$32*R51)))+(Assumptions!$D$125*(R80+(Assumptions!$C$32*R74))))+(Assumptions!$E$125*(R103+(Assumptions!$C$32*R97))))</f>
        <v>1614</v>
      </c>
      <c r="S126" s="9" t="n">
        <f aca="false">(((Assumptions!$C$125*(S57+(Assumptions!$C$32*S51)))+(Assumptions!$D$125*(S80+(Assumptions!$C$32*S74))))+(Assumptions!$E$125*(S103+(Assumptions!$C$32*S97))))</f>
        <v>1614</v>
      </c>
      <c r="T126" s="9" t="n">
        <f aca="false">(((Assumptions!$C$125*(T57+(Assumptions!$C$32*T51)))+(Assumptions!$D$125*(T80+(Assumptions!$C$32*T74))))+(Assumptions!$E$125*(T103+(Assumptions!$C$32*T97))))</f>
        <v>2265</v>
      </c>
      <c r="U126" s="9" t="n">
        <f aca="false">(((Assumptions!$C$125*(U57+(Assumptions!$C$32*U51)))+(Assumptions!$D$125*(U80+(Assumptions!$C$32*U74))))+(Assumptions!$E$125*(U103+(Assumptions!$C$32*U97))))</f>
        <v>2265</v>
      </c>
      <c r="V126" s="9" t="n">
        <f aca="false">(((Assumptions!$C$125*(V57+(Assumptions!$C$32*V51)))+(Assumptions!$D$125*(V80+(Assumptions!$C$32*V74))))+(Assumptions!$E$125*(V103+(Assumptions!$C$32*V97))))</f>
        <v>2265</v>
      </c>
      <c r="W126" s="9" t="n">
        <f aca="false">(((Assumptions!$C$125*(W57+(Assumptions!$C$32*W51)))+(Assumptions!$D$125*(W80+(Assumptions!$C$32*W74))))+(Assumptions!$E$125*(W103+(Assumptions!$C$32*W97))))</f>
        <v>2916</v>
      </c>
      <c r="X126" s="9" t="n">
        <f aca="false">(((Assumptions!$C$125*(X57+(Assumptions!$C$32*X51)))+(Assumptions!$D$125*(X80+(Assumptions!$C$32*X74))))+(Assumptions!$E$125*(X103+(Assumptions!$C$32*X97))))</f>
        <v>3060</v>
      </c>
      <c r="Y126" s="9" t="n">
        <f aca="false">(((Assumptions!$C$125*(Y57+(Assumptions!$C$32*Y51)))+(Assumptions!$D$125*(Y80+(Assumptions!$C$32*Y74))))+(Assumptions!$E$125*(Y103+(Assumptions!$C$32*Y97))))</f>
        <v>3060</v>
      </c>
      <c r="Z126" s="9" t="n">
        <f aca="false">(((Assumptions!$C$125*(Z57+(Assumptions!$C$32*Z51)))+(Assumptions!$D$125*(Z80+(Assumptions!$C$32*Z74))))+(Assumptions!$E$125*(Z103+(Assumptions!$C$32*Z97))))</f>
        <v>3186</v>
      </c>
      <c r="AA126" s="9" t="n">
        <f aca="false">(((Assumptions!$C$125*(AA57+(Assumptions!$C$32*AA51)))+(Assumptions!$D$125*(AA80+(Assumptions!$C$32*AA74))))+(Assumptions!$E$125*(AA103+(Assumptions!$C$32*AA97))))</f>
        <v>4230</v>
      </c>
      <c r="AB126" s="9" t="n">
        <f aca="false">(((Assumptions!$C$125*(AB57+(Assumptions!$C$32*AB51)))+(Assumptions!$D$125*(AB80+(Assumptions!$C$32*AB74))))+(Assumptions!$E$125*(AB103+(Assumptions!$C$32*AB97))))</f>
        <v>4186.8</v>
      </c>
      <c r="AC126" s="9" t="n">
        <f aca="false">(((Assumptions!$C$125*(AC57+(Assumptions!$C$32*AC51)))+(Assumptions!$D$125*(AC80+(Assumptions!$C$32*AC74))))+(Assumptions!$E$125*(AC103+(Assumptions!$C$32*AC97))))</f>
        <v>4132.8</v>
      </c>
      <c r="AD126" s="9" t="n">
        <f aca="false">(((Assumptions!$C$125*(AD57+(Assumptions!$C$32*AD51)))+(Assumptions!$D$125*(AD80+(Assumptions!$C$32*AD74))))+(Assumptions!$E$125*(AD103+(Assumptions!$C$32*AD97))))</f>
        <v>6820.8</v>
      </c>
      <c r="AE126" s="9" t="n">
        <f aca="false">(((Assumptions!$C$125*(AE57+(Assumptions!$C$32*AE51)))+(Assumptions!$D$125*(AE80+(Assumptions!$C$32*AE74))))+(Assumptions!$E$125*(AE103+(Assumptions!$C$32*AE97))))</f>
        <v>6820.8</v>
      </c>
      <c r="AF126" s="9" t="n">
        <f aca="false">(((Assumptions!$C$125*(AF57+(Assumptions!$C$32*AF51)))+(Assumptions!$D$125*(AF80+(Assumptions!$C$32*AF74))))+(Assumptions!$E$125*(AF103+(Assumptions!$C$32*AF97))))</f>
        <v>7471.8</v>
      </c>
      <c r="AG126" s="9" t="n">
        <f aca="false">(((Assumptions!$C$125*(AG57+(Assumptions!$C$32*AG51)))+(Assumptions!$D$125*(AG80+(Assumptions!$C$32*AG74))))+(Assumptions!$E$125*(AG103+(Assumptions!$C$32*AG97))))</f>
        <v>10519.8</v>
      </c>
      <c r="AH126" s="9" t="n">
        <f aca="false">(((Assumptions!$C$125*(AH57+(Assumptions!$C$32*AH51)))+(Assumptions!$D$125*(AH80+(Assumptions!$C$32*AH74))))+(Assumptions!$E$125*(AH103+(Assumptions!$C$32*AH97))))</f>
        <v>12409.8</v>
      </c>
      <c r="AI126" s="9" t="n">
        <f aca="false">(((Assumptions!$C$125*(AI57+(Assumptions!$C$32*AI51)))+(Assumptions!$D$125*(AI80+(Assumptions!$C$32*AI74))))+(Assumptions!$E$125*(AI103+(Assumptions!$C$32*AI97))))</f>
        <v>12934.8</v>
      </c>
      <c r="AJ126" s="9" t="n">
        <f aca="false">(((Assumptions!$C$125*(AJ57+(Assumptions!$C$32*AJ51)))+(Assumptions!$D$125*(AJ80+(Assumptions!$C$32*AJ74))))+(Assumptions!$E$125*(AJ103+(Assumptions!$C$32*AJ97))))</f>
        <v>16105.2</v>
      </c>
      <c r="AK126" s="9" t="n">
        <f aca="false">(((Assumptions!$C$125*(AK57+(Assumptions!$C$32*AK51)))+(Assumptions!$D$125*(AK80+(Assumptions!$C$32*AK74))))+(Assumptions!$E$125*(AK103+(Assumptions!$C$32*AK97))))</f>
        <v>16105.2</v>
      </c>
      <c r="AL126" s="9" t="n">
        <f aca="false">(((Assumptions!$C$125*(AL57+(Assumptions!$C$32*AL51)))+(Assumptions!$D$125*(AL80+(Assumptions!$C$32*AL74))))+(Assumptions!$E$125*(AL103+(Assumptions!$C$32*AL97))))</f>
        <v>16231.2</v>
      </c>
      <c r="AN126" s="11" t="n">
        <f aca="false">N126</f>
        <v>875</v>
      </c>
      <c r="AO126" s="11" t="n">
        <f aca="false">Z126</f>
        <v>3186</v>
      </c>
      <c r="AP126" s="11" t="n">
        <f aca="false">AL126</f>
        <v>16231.2</v>
      </c>
    </row>
    <row r="127" customFormat="false" ht="15" hidden="false" customHeight="false" outlineLevel="0" collapsed="false">
      <c r="A127" s="0" t="s">
        <v>933</v>
      </c>
      <c r="B127" s="0" t="s">
        <v>230</v>
      </c>
      <c r="C127" s="9" t="n">
        <f aca="false">(C124-C125)</f>
        <v>0</v>
      </c>
      <c r="D127" s="9" t="n">
        <f aca="false">(D124-D125)</f>
        <v>0</v>
      </c>
      <c r="E127" s="9" t="n">
        <f aca="false">(E124-E125)</f>
        <v>0</v>
      </c>
      <c r="F127" s="9" t="n">
        <f aca="false">(F124-F125)</f>
        <v>0</v>
      </c>
      <c r="G127" s="9" t="n">
        <f aca="false">(G124-G125)</f>
        <v>0</v>
      </c>
      <c r="H127" s="9" t="n">
        <f aca="false">(H124-H125)</f>
        <v>0</v>
      </c>
      <c r="I127" s="9" t="n">
        <f aca="false">(I124-I125)</f>
        <v>0</v>
      </c>
      <c r="J127" s="9" t="n">
        <f aca="false">(J124-J125)</f>
        <v>0</v>
      </c>
      <c r="K127" s="9" t="n">
        <f aca="false">(K124-K125)</f>
        <v>0</v>
      </c>
      <c r="L127" s="9" t="n">
        <f aca="false">(L124-L125)</f>
        <v>0</v>
      </c>
      <c r="M127" s="9" t="n">
        <f aca="false">(M124-M125)</f>
        <v>0</v>
      </c>
      <c r="N127" s="9" t="n">
        <f aca="false">(N124-N125)</f>
        <v>0</v>
      </c>
      <c r="O127" s="9" t="n">
        <f aca="false">(O124-O125)</f>
        <v>0</v>
      </c>
      <c r="P127" s="9" t="n">
        <f aca="false">(P124-P125)</f>
        <v>1003.2</v>
      </c>
      <c r="Q127" s="9" t="n">
        <f aca="false">(Q124-Q125)</f>
        <v>3845.6</v>
      </c>
      <c r="R127" s="9" t="n">
        <f aca="false">(R124-R125)</f>
        <v>3845.6</v>
      </c>
      <c r="S127" s="9" t="n">
        <f aca="false">(S124-S125)</f>
        <v>3845.6</v>
      </c>
      <c r="T127" s="9" t="n">
        <f aca="false">(T124-T125)</f>
        <v>3845.6</v>
      </c>
      <c r="U127" s="9" t="n">
        <f aca="false">(U124-U125)</f>
        <v>3845.6</v>
      </c>
      <c r="V127" s="9" t="n">
        <f aca="false">(V124-V125)</f>
        <v>3845.6</v>
      </c>
      <c r="W127" s="9" t="n">
        <f aca="false">(W124-W125)</f>
        <v>3845.6</v>
      </c>
      <c r="X127" s="9" t="n">
        <f aca="false">(X124-X125)</f>
        <v>4197.2</v>
      </c>
      <c r="Y127" s="9" t="n">
        <f aca="false">(Y124-Y125)</f>
        <v>4197.2</v>
      </c>
      <c r="Z127" s="9" t="n">
        <f aca="false">(Z124-Z125)</f>
        <v>4197.2</v>
      </c>
      <c r="AA127" s="9" t="n">
        <f aca="false">(AA124-AA125)</f>
        <v>6811.88</v>
      </c>
      <c r="AB127" s="9" t="n">
        <f aca="false">(AB124-AB125)</f>
        <v>6746.672</v>
      </c>
      <c r="AC127" s="9" t="n">
        <f aca="false">(AC124-AC125)</f>
        <v>6561.916</v>
      </c>
      <c r="AD127" s="9" t="n">
        <f aca="false">(AD124-AD125)</f>
        <v>13081.196</v>
      </c>
      <c r="AE127" s="9" t="n">
        <f aca="false">(AE124-AE125)</f>
        <v>13081.196</v>
      </c>
      <c r="AF127" s="9" t="n">
        <f aca="false">(AF124-AF125)</f>
        <v>13081.196</v>
      </c>
      <c r="AG127" s="9" t="n">
        <f aca="false">(AG124-AG125)</f>
        <v>20854.476</v>
      </c>
      <c r="AH127" s="9" t="n">
        <f aca="false">(AH124-AH125)</f>
        <v>20854.476</v>
      </c>
      <c r="AI127" s="9" t="n">
        <f aca="false">(AI124-AI125)</f>
        <v>20854.476</v>
      </c>
      <c r="AJ127" s="9" t="n">
        <f aca="false">(AJ124-AJ125)</f>
        <v>29096.752</v>
      </c>
      <c r="AK127" s="9" t="n">
        <f aca="false">(AK124-AK125)</f>
        <v>29096.752</v>
      </c>
      <c r="AL127" s="9" t="n">
        <f aca="false">(AL124-AL125)</f>
        <v>29096.752</v>
      </c>
      <c r="AN127" s="11" t="n">
        <f aca="false">SUM(C127:N127)</f>
        <v>0</v>
      </c>
      <c r="AO127" s="11" t="n">
        <f aca="false">SUM(O127:Z127)</f>
        <v>40514</v>
      </c>
      <c r="AP127" s="11" t="n">
        <f aca="false">SUM(AA127:AL127)</f>
        <v>209217.74</v>
      </c>
    </row>
    <row r="128" customFormat="false" ht="15" hidden="false" customHeight="false" outlineLevel="0" collapsed="false">
      <c r="A128" s="0" t="s">
        <v>934</v>
      </c>
      <c r="B128" s="0" t="s">
        <v>230</v>
      </c>
      <c r="C128" s="9" t="n">
        <f aca="false">(((C62+C85)+C108)-C125)</f>
        <v>0</v>
      </c>
      <c r="D128" s="9" t="n">
        <f aca="false">(((D62+D85)+D108)-D125)</f>
        <v>0</v>
      </c>
      <c r="E128" s="9" t="n">
        <f aca="false">(((E62+E85)+E108)-E125)</f>
        <v>0</v>
      </c>
      <c r="F128" s="9" t="n">
        <f aca="false">(((F62+F85)+F108)-F125)</f>
        <v>0</v>
      </c>
      <c r="G128" s="9" t="n">
        <f aca="false">(((G62+G85)+G108)-G125)</f>
        <v>0</v>
      </c>
      <c r="H128" s="9" t="n">
        <f aca="false">(((H62+H85)+H108)-H125)</f>
        <v>0</v>
      </c>
      <c r="I128" s="9" t="n">
        <f aca="false">(((I62+I85)+I108)-I125)</f>
        <v>0</v>
      </c>
      <c r="J128" s="9" t="n">
        <f aca="false">(((J62+J85)+J108)-J125)</f>
        <v>0</v>
      </c>
      <c r="K128" s="9" t="n">
        <f aca="false">(((K62+K85)+K108)-K125)</f>
        <v>0</v>
      </c>
      <c r="L128" s="9" t="n">
        <f aca="false">(((L62+L85)+L108)-L125)</f>
        <v>0</v>
      </c>
      <c r="M128" s="9" t="n">
        <f aca="false">(((M62+M85)+M108)-M125)</f>
        <v>0</v>
      </c>
      <c r="N128" s="9" t="n">
        <f aca="false">(((N62+N85)+N108)-N125)</f>
        <v>0</v>
      </c>
      <c r="O128" s="9" t="n">
        <f aca="false">(((O62+O85)+O108)-O125)</f>
        <v>0</v>
      </c>
      <c r="P128" s="9" t="n">
        <f aca="false">(((P62+P85)+P108)-P125)</f>
        <v>12038.4</v>
      </c>
      <c r="Q128" s="9" t="n">
        <f aca="false">(((Q62+Q85)+Q108)-Q125)</f>
        <v>34108.8</v>
      </c>
      <c r="R128" s="9" t="n">
        <f aca="false">(((R62+R85)+R108)-R125)</f>
        <v>0</v>
      </c>
      <c r="S128" s="9" t="n">
        <f aca="false">(((S62+S85)+S108)-S125)</f>
        <v>0</v>
      </c>
      <c r="T128" s="9" t="n">
        <f aca="false">(((T62+T85)+T108)-T125)</f>
        <v>0</v>
      </c>
      <c r="U128" s="9" t="n">
        <f aca="false">(((U62+U85)+U108)-U125)</f>
        <v>0</v>
      </c>
      <c r="V128" s="9" t="n">
        <f aca="false">(((V62+V85)+V108)-V125)</f>
        <v>0</v>
      </c>
      <c r="W128" s="9" t="n">
        <f aca="false">(((W62+W85)+W108)-W125)</f>
        <v>0</v>
      </c>
      <c r="X128" s="9" t="n">
        <f aca="false">(((X62+X85)+X108)-X125)</f>
        <v>4219.2</v>
      </c>
      <c r="Y128" s="9" t="n">
        <f aca="false">(((Y62+Y85)+Y108)-Y125)</f>
        <v>0</v>
      </c>
      <c r="Z128" s="9" t="n">
        <f aca="false">(((Z62+Z85)+Z108)-Z125)</f>
        <v>0</v>
      </c>
      <c r="AA128" s="9" t="n">
        <f aca="false">(((AA62+AA85)+AA108)-AA125)</f>
        <v>31376.16</v>
      </c>
      <c r="AB128" s="9" t="n">
        <f aca="false">(((AB62+AB85)+AB108)-AB125)</f>
        <v>11255.904</v>
      </c>
      <c r="AC128" s="9" t="n">
        <f aca="false">(((AC62+AC85)+AC108)-AC125)</f>
        <v>31891.728</v>
      </c>
      <c r="AD128" s="9" t="n">
        <f aca="false">(((AD62+AD85)+AD108)-AD125)</f>
        <v>78231.36</v>
      </c>
      <c r="AE128" s="9" t="n">
        <f aca="false">(((AE62+AE85)+AE108)-AE125)</f>
        <v>0</v>
      </c>
      <c r="AF128" s="9" t="n">
        <f aca="false">(((AF62+AF85)+AF108)-AF125)</f>
        <v>0</v>
      </c>
      <c r="AG128" s="9" t="n">
        <f aca="false">(((AG62+AG85)+AG108)-AG125)</f>
        <v>93279.36</v>
      </c>
      <c r="AH128" s="9" t="n">
        <f aca="false">(((AH62+AH85)+AH108)-AH125)</f>
        <v>0</v>
      </c>
      <c r="AI128" s="9" t="n">
        <f aca="false">(((AI62+AI85)+AI108)-AI125)</f>
        <v>0</v>
      </c>
      <c r="AJ128" s="9" t="n">
        <f aca="false">(((AJ62+AJ85)+AJ108)-AJ125)</f>
        <v>103126.512</v>
      </c>
      <c r="AK128" s="9" t="n">
        <f aca="false">(((AK62+AK85)+AK108)-AK125)</f>
        <v>0</v>
      </c>
      <c r="AL128" s="9" t="n">
        <f aca="false">(((AL62+AL85)+AL108)-AL125)</f>
        <v>0</v>
      </c>
      <c r="AN128" s="11" t="n">
        <f aca="false">SUM(C128:N128)</f>
        <v>0</v>
      </c>
      <c r="AO128" s="11" t="n">
        <f aca="false">SUM(O128:Z128)</f>
        <v>50366.4</v>
      </c>
      <c r="AP128" s="11" t="n">
        <f aca="false">SUM(AA128:AL128)</f>
        <v>349161.024</v>
      </c>
    </row>
    <row r="129" customFormat="false" ht="15" hidden="false" customHeight="false" outlineLevel="0" collapsed="false">
      <c r="A129" s="0" t="s">
        <v>935</v>
      </c>
      <c r="B129" s="0" t="s">
        <v>230</v>
      </c>
      <c r="C129" s="9" t="n">
        <f aca="false">((C63+C86)+C109)</f>
        <v>0</v>
      </c>
      <c r="D129" s="9" t="n">
        <f aca="false">((D63+D86)+D109)</f>
        <v>0</v>
      </c>
      <c r="E129" s="9" t="n">
        <f aca="false">((E63+E86)+E109)</f>
        <v>0</v>
      </c>
      <c r="F129" s="9" t="n">
        <f aca="false">((F63+F86)+F109)</f>
        <v>0</v>
      </c>
      <c r="G129" s="9" t="n">
        <f aca="false">((G63+G86)+G109)</f>
        <v>0</v>
      </c>
      <c r="H129" s="9" t="n">
        <f aca="false">((H63+H86)+H109)</f>
        <v>0</v>
      </c>
      <c r="I129" s="9" t="n">
        <f aca="false">((I63+I86)+I109)</f>
        <v>0</v>
      </c>
      <c r="J129" s="9" t="n">
        <f aca="false">((J63+J86)+J109)</f>
        <v>0</v>
      </c>
      <c r="K129" s="9" t="n">
        <f aca="false">((K63+K86)+K109)</f>
        <v>0</v>
      </c>
      <c r="L129" s="9" t="n">
        <f aca="false">((L63+L86)+L109)</f>
        <v>0</v>
      </c>
      <c r="M129" s="9" t="n">
        <f aca="false">((M63+M86)+M109)</f>
        <v>0</v>
      </c>
      <c r="N129" s="9" t="n">
        <f aca="false">((N63+N86)+N109)</f>
        <v>0</v>
      </c>
      <c r="O129" s="9" t="n">
        <f aca="false">((O63+O86)+O109)</f>
        <v>0</v>
      </c>
      <c r="P129" s="9" t="n">
        <f aca="false">((P63+P86)+P109)</f>
        <v>0</v>
      </c>
      <c r="Q129" s="9" t="n">
        <f aca="false">((Q63+Q86)+Q109)</f>
        <v>1425</v>
      </c>
      <c r="R129" s="9" t="n">
        <f aca="false">((R63+R86)+R109)</f>
        <v>1425</v>
      </c>
      <c r="S129" s="9" t="n">
        <f aca="false">((S63+S86)+S109)</f>
        <v>1425</v>
      </c>
      <c r="T129" s="9" t="n">
        <f aca="false">((T63+T86)+T109)</f>
        <v>5700</v>
      </c>
      <c r="U129" s="9" t="n">
        <f aca="false">((U63+U86)+U109)</f>
        <v>5700</v>
      </c>
      <c r="V129" s="9" t="n">
        <f aca="false">((V63+V86)+V109)</f>
        <v>5700</v>
      </c>
      <c r="W129" s="9" t="n">
        <f aca="false">((W63+W86)+W109)</f>
        <v>9975</v>
      </c>
      <c r="X129" s="9" t="n">
        <f aca="false">((X63+X86)+X109)</f>
        <v>9975</v>
      </c>
      <c r="Y129" s="9" t="n">
        <f aca="false">((Y63+Y86)+Y109)</f>
        <v>9975</v>
      </c>
      <c r="Z129" s="9" t="n">
        <f aca="false">((Z63+Z86)+Z109)</f>
        <v>11400</v>
      </c>
      <c r="AA129" s="9" t="n">
        <f aca="false">((AA63+AA86)+AA109)</f>
        <v>11400</v>
      </c>
      <c r="AB129" s="9" t="n">
        <f aca="false">((AB63+AB86)+AB109)</f>
        <v>11400</v>
      </c>
      <c r="AC129" s="9" t="n">
        <f aca="false">((AC63+AC86)+AC109)</f>
        <v>12825</v>
      </c>
      <c r="AD129" s="9" t="n">
        <f aca="false">((AD63+AD86)+AD109)</f>
        <v>12825</v>
      </c>
      <c r="AE129" s="9" t="n">
        <f aca="false">((AE63+AE86)+AE109)</f>
        <v>12825</v>
      </c>
      <c r="AF129" s="9" t="n">
        <f aca="false">((AF63+AF86)+AF109)</f>
        <v>17100</v>
      </c>
      <c r="AG129" s="9" t="n">
        <f aca="false">((AG63+AG86)+AG109)</f>
        <v>17100</v>
      </c>
      <c r="AH129" s="9" t="n">
        <f aca="false">((AH63+AH86)+AH109)</f>
        <v>22800</v>
      </c>
      <c r="AI129" s="9" t="n">
        <f aca="false">((AI63+AI86)+AI109)</f>
        <v>25650</v>
      </c>
      <c r="AJ129" s="9" t="n">
        <f aca="false">((AJ63+AJ86)+AJ109)</f>
        <v>25650</v>
      </c>
      <c r="AK129" s="9" t="n">
        <f aca="false">((AK63+AK86)+AK109)</f>
        <v>25650</v>
      </c>
      <c r="AL129" s="9" t="n">
        <f aca="false">((AL63+AL86)+AL109)</f>
        <v>27075</v>
      </c>
      <c r="AN129" s="11" t="n">
        <f aca="false">SUM(C129:N129)</f>
        <v>0</v>
      </c>
      <c r="AO129" s="11" t="n">
        <f aca="false">SUM(O129:Z129)</f>
        <v>62700</v>
      </c>
      <c r="AP129" s="11" t="n">
        <f aca="false">SUM(AA129:AL129)</f>
        <v>222300</v>
      </c>
    </row>
    <row r="130" customFormat="false" ht="15" hidden="false" customHeight="false" outlineLevel="0" collapsed="false">
      <c r="A130" s="0" t="s">
        <v>936</v>
      </c>
      <c r="B130" s="0" t="s">
        <v>230</v>
      </c>
      <c r="C130" s="9" t="n">
        <f aca="false">((C64+C87)+C110)</f>
        <v>0</v>
      </c>
      <c r="D130" s="9" t="n">
        <f aca="false">((D64+D87)+D110)</f>
        <v>0</v>
      </c>
      <c r="E130" s="9" t="n">
        <f aca="false">((E64+E87)+E110)</f>
        <v>0</v>
      </c>
      <c r="F130" s="9" t="n">
        <f aca="false">((F64+F87)+F110)</f>
        <v>0</v>
      </c>
      <c r="G130" s="9" t="n">
        <f aca="false">((G64+G87)+G110)</f>
        <v>0</v>
      </c>
      <c r="H130" s="9" t="n">
        <f aca="false">((H64+H87)+H110)</f>
        <v>0</v>
      </c>
      <c r="I130" s="9" t="n">
        <f aca="false">((I64+I87)+I110)</f>
        <v>0</v>
      </c>
      <c r="J130" s="9" t="n">
        <f aca="false">((J64+J87)+J110)</f>
        <v>0</v>
      </c>
      <c r="K130" s="9" t="n">
        <f aca="false">((K64+K87)+K110)</f>
        <v>0</v>
      </c>
      <c r="L130" s="9" t="n">
        <f aca="false">((L64+L87)+L110)</f>
        <v>0</v>
      </c>
      <c r="M130" s="9" t="n">
        <f aca="false">((M64+M87)+M110)</f>
        <v>0</v>
      </c>
      <c r="N130" s="9" t="n">
        <f aca="false">((N64+N87)+N110)</f>
        <v>0</v>
      </c>
      <c r="O130" s="9" t="n">
        <f aca="false">((O64+O87)+O110)</f>
        <v>0</v>
      </c>
      <c r="P130" s="9" t="n">
        <f aca="false">((P64+P87)+P110)</f>
        <v>0</v>
      </c>
      <c r="Q130" s="9" t="n">
        <f aca="false">((Q64+Q87)+Q110)</f>
        <v>8550</v>
      </c>
      <c r="R130" s="9" t="n">
        <f aca="false">((R64+R87)+R110)</f>
        <v>0</v>
      </c>
      <c r="S130" s="9" t="n">
        <f aca="false">((S64+S87)+S110)</f>
        <v>0</v>
      </c>
      <c r="T130" s="9" t="n">
        <f aca="false">((T64+T87)+T110)</f>
        <v>25650</v>
      </c>
      <c r="U130" s="9" t="n">
        <f aca="false">((U64+U87)+U110)</f>
        <v>0</v>
      </c>
      <c r="V130" s="9" t="n">
        <f aca="false">((V64+V87)+V110)</f>
        <v>0</v>
      </c>
      <c r="W130" s="9" t="n">
        <f aca="false">((W64+W87)+W110)</f>
        <v>34200</v>
      </c>
      <c r="X130" s="9" t="n">
        <f aca="false">((X64+X87)+X110)</f>
        <v>0</v>
      </c>
      <c r="Y130" s="9" t="n">
        <f aca="false">((Y64+Y87)+Y110)</f>
        <v>0</v>
      </c>
      <c r="Z130" s="9" t="n">
        <f aca="false">((Z64+Z87)+Z110)</f>
        <v>34200</v>
      </c>
      <c r="AA130" s="9" t="n">
        <f aca="false">((AA64+AA87)+AA110)</f>
        <v>0</v>
      </c>
      <c r="AB130" s="9" t="n">
        <f aca="false">((AB64+AB87)+AB110)</f>
        <v>0</v>
      </c>
      <c r="AC130" s="9" t="n">
        <f aca="false">((AC64+AC87)+AC110)</f>
        <v>42750</v>
      </c>
      <c r="AD130" s="9" t="n">
        <f aca="false">((AD64+AD87)+AD110)</f>
        <v>0</v>
      </c>
      <c r="AE130" s="9" t="n">
        <f aca="false">((AE64+AE87)+AE110)</f>
        <v>0</v>
      </c>
      <c r="AF130" s="9" t="n">
        <f aca="false">((AF64+AF87)+AF110)</f>
        <v>59850</v>
      </c>
      <c r="AG130" s="9" t="n">
        <f aca="false">((AG64+AG87)+AG110)</f>
        <v>0</v>
      </c>
      <c r="AH130" s="9" t="n">
        <f aca="false">((AH64+AH87)+AH110)</f>
        <v>34200</v>
      </c>
      <c r="AI130" s="9" t="n">
        <f aca="false">((AI64+AI87)+AI110)</f>
        <v>59850</v>
      </c>
      <c r="AJ130" s="9" t="n">
        <f aca="false">((AJ64+AJ87)+AJ110)</f>
        <v>0</v>
      </c>
      <c r="AK130" s="9" t="n">
        <f aca="false">((AK64+AK87)+AK110)</f>
        <v>0</v>
      </c>
      <c r="AL130" s="9" t="n">
        <f aca="false">((AL64+AL87)+AL110)</f>
        <v>68400</v>
      </c>
      <c r="AN130" s="11" t="n">
        <f aca="false">SUM(C130:N130)</f>
        <v>0</v>
      </c>
      <c r="AO130" s="11" t="n">
        <f aca="false">SUM(O130:Z130)</f>
        <v>102600</v>
      </c>
      <c r="AP130" s="11" t="n">
        <f aca="false">SUM(AA130:AL130)</f>
        <v>265050</v>
      </c>
    </row>
    <row r="131" customFormat="false" ht="15" hidden="false" customHeight="false" outlineLevel="0" collapsed="false">
      <c r="A131" s="0" t="s">
        <v>937</v>
      </c>
      <c r="B131" s="0" t="s">
        <v>230</v>
      </c>
      <c r="C131" s="9" t="n">
        <f aca="false">((C66+C89)+C112)</f>
        <v>0</v>
      </c>
      <c r="D131" s="9" t="n">
        <f aca="false">((D66+D89)+D112)</f>
        <v>0</v>
      </c>
      <c r="E131" s="9" t="n">
        <f aca="false">((E66+E89)+E112)</f>
        <v>0</v>
      </c>
      <c r="F131" s="9" t="n">
        <f aca="false">((F66+F89)+F112)</f>
        <v>0</v>
      </c>
      <c r="G131" s="9" t="n">
        <f aca="false">((G66+G89)+G112)</f>
        <v>0</v>
      </c>
      <c r="H131" s="9" t="n">
        <f aca="false">((H66+H89)+H112)</f>
        <v>0</v>
      </c>
      <c r="I131" s="9" t="n">
        <f aca="false">((I66+I89)+I112)</f>
        <v>0</v>
      </c>
      <c r="J131" s="9" t="n">
        <f aca="false">((J66+J89)+J112)</f>
        <v>0</v>
      </c>
      <c r="K131" s="9" t="n">
        <f aca="false">((K66+K89)+K112)</f>
        <v>0</v>
      </c>
      <c r="L131" s="9" t="n">
        <f aca="false">((L66+L89)+L112)</f>
        <v>0</v>
      </c>
      <c r="M131" s="9" t="n">
        <f aca="false">((M66+M89)+M112)</f>
        <v>0</v>
      </c>
      <c r="N131" s="9" t="n">
        <f aca="false">((N66+N89)+N112)</f>
        <v>0</v>
      </c>
      <c r="O131" s="9" t="n">
        <f aca="false">((O66+O89)+O112)</f>
        <v>0</v>
      </c>
      <c r="P131" s="9" t="n">
        <f aca="false">((P66+P89)+P112)</f>
        <v>0</v>
      </c>
      <c r="Q131" s="9" t="n">
        <f aca="false">((Q66+Q89)+Q112)</f>
        <v>4050</v>
      </c>
      <c r="R131" s="9" t="n">
        <f aca="false">((R66+R89)+R112)</f>
        <v>4050</v>
      </c>
      <c r="S131" s="9" t="n">
        <f aca="false">((S66+S89)+S112)</f>
        <v>4050</v>
      </c>
      <c r="T131" s="9" t="n">
        <f aca="false">((T66+T89)+T112)</f>
        <v>12850</v>
      </c>
      <c r="U131" s="9" t="n">
        <f aca="false">((U66+U89)+U112)</f>
        <v>12850</v>
      </c>
      <c r="V131" s="9" t="n">
        <f aca="false">((V66+V89)+V112)</f>
        <v>12850</v>
      </c>
      <c r="W131" s="9" t="n">
        <f aca="false">((W66+W89)+W112)</f>
        <v>16900</v>
      </c>
      <c r="X131" s="9" t="n">
        <f aca="false">((X66+X89)+X112)</f>
        <v>16900</v>
      </c>
      <c r="Y131" s="9" t="n">
        <f aca="false">((Y66+Y89)+Y112)</f>
        <v>16900</v>
      </c>
      <c r="Z131" s="9" t="n">
        <f aca="false">((Z66+Z89)+Z112)</f>
        <v>16900</v>
      </c>
      <c r="AA131" s="9" t="n">
        <f aca="false">((AA66+AA89)+AA112)</f>
        <v>20950</v>
      </c>
      <c r="AB131" s="9" t="n">
        <f aca="false">((AB66+AB89)+AB112)</f>
        <v>20950</v>
      </c>
      <c r="AC131" s="9" t="n">
        <f aca="false">((AC66+AC89)+AC112)</f>
        <v>25000</v>
      </c>
      <c r="AD131" s="9" t="n">
        <f aca="false">((AD66+AD89)+AD112)</f>
        <v>33800</v>
      </c>
      <c r="AE131" s="9" t="n">
        <f aca="false">((AE66+AE89)+AE112)</f>
        <v>33800</v>
      </c>
      <c r="AF131" s="9" t="n">
        <f aca="false">((AF66+AF89)+AF112)</f>
        <v>42600</v>
      </c>
      <c r="AG131" s="9" t="n">
        <f aca="false">((AG66+AG89)+AG112)</f>
        <v>46650</v>
      </c>
      <c r="AH131" s="9" t="n">
        <f aca="false">((AH66+AH89)+AH112)</f>
        <v>66850</v>
      </c>
      <c r="AI131" s="9" t="n">
        <f aca="false">((AI66+AI89)+AI112)</f>
        <v>66850</v>
      </c>
      <c r="AJ131" s="9" t="n">
        <f aca="false">((AJ66+AJ89)+AJ112)</f>
        <v>66850</v>
      </c>
      <c r="AK131" s="9" t="n">
        <f aca="false">((AK66+AK89)+AK112)</f>
        <v>46650</v>
      </c>
      <c r="AL131" s="9" t="n">
        <f aca="false">((AL66+AL89)+AL112)</f>
        <v>50700</v>
      </c>
      <c r="AN131" s="11" t="n">
        <f aca="false">SUM(C131:N131)</f>
        <v>0</v>
      </c>
      <c r="AO131" s="11" t="n">
        <f aca="false">SUM(O131:Z131)</f>
        <v>118300</v>
      </c>
      <c r="AP131" s="11" t="n">
        <f aca="false">SUM(AA131:AL131)</f>
        <v>521650</v>
      </c>
    </row>
    <row r="132" customFormat="false" ht="15" hidden="false" customHeight="false" outlineLevel="0" collapsed="false">
      <c r="A132" s="0" t="s">
        <v>938</v>
      </c>
      <c r="B132" s="0" t="s">
        <v>230</v>
      </c>
      <c r="C132" s="9" t="n">
        <f aca="false">((C67+C90)+C113)</f>
        <v>0</v>
      </c>
      <c r="D132" s="9" t="n">
        <f aca="false">((D67+D90)+D113)</f>
        <v>0</v>
      </c>
      <c r="E132" s="9" t="n">
        <f aca="false">((E67+E90)+E113)</f>
        <v>0</v>
      </c>
      <c r="F132" s="9" t="n">
        <f aca="false">((F67+F90)+F113)</f>
        <v>0</v>
      </c>
      <c r="G132" s="9" t="n">
        <f aca="false">((G67+G90)+G113)</f>
        <v>0</v>
      </c>
      <c r="H132" s="9" t="n">
        <f aca="false">((H67+H90)+H113)</f>
        <v>0</v>
      </c>
      <c r="I132" s="9" t="n">
        <f aca="false">((I67+I90)+I113)</f>
        <v>0</v>
      </c>
      <c r="J132" s="9" t="n">
        <f aca="false">((J67+J90)+J113)</f>
        <v>0</v>
      </c>
      <c r="K132" s="9" t="n">
        <f aca="false">((K67+K90)+K113)</f>
        <v>0</v>
      </c>
      <c r="L132" s="9" t="n">
        <f aca="false">((L67+L90)+L113)</f>
        <v>0</v>
      </c>
      <c r="M132" s="9" t="n">
        <f aca="false">((M67+M90)+M113)</f>
        <v>0</v>
      </c>
      <c r="N132" s="9" t="n">
        <f aca="false">((N67+N90)+N113)</f>
        <v>0</v>
      </c>
      <c r="O132" s="9" t="n">
        <f aca="false">((O67+O90)+O113)</f>
        <v>0</v>
      </c>
      <c r="P132" s="9" t="n">
        <f aca="false">((P67+P90)+P113)</f>
        <v>0</v>
      </c>
      <c r="Q132" s="9" t="n">
        <f aca="false">((Q67+Q90)+Q113)</f>
        <v>12150</v>
      </c>
      <c r="R132" s="9" t="n">
        <f aca="false">((R67+R90)+R113)</f>
        <v>0</v>
      </c>
      <c r="S132" s="9" t="n">
        <f aca="false">((S67+S90)+S113)</f>
        <v>0</v>
      </c>
      <c r="T132" s="9" t="n">
        <f aca="false">((T67+T90)+T113)</f>
        <v>38550</v>
      </c>
      <c r="U132" s="9" t="n">
        <f aca="false">((U67+U90)+U113)</f>
        <v>0</v>
      </c>
      <c r="V132" s="9" t="n">
        <f aca="false">((V67+V90)+V113)</f>
        <v>0</v>
      </c>
      <c r="W132" s="9" t="n">
        <f aca="false">((W67+W90)+W113)</f>
        <v>50700</v>
      </c>
      <c r="X132" s="9" t="n">
        <f aca="false">((X67+X90)+X113)</f>
        <v>0</v>
      </c>
      <c r="Y132" s="9" t="n">
        <f aca="false">((Y67+Y90)+Y113)</f>
        <v>0</v>
      </c>
      <c r="Z132" s="9" t="n">
        <f aca="false">((Z67+Z90)+Z113)</f>
        <v>50700</v>
      </c>
      <c r="AA132" s="9" t="n">
        <f aca="false">((AA67+AA90)+AA113)</f>
        <v>12150</v>
      </c>
      <c r="AB132" s="9" t="n">
        <f aca="false">((AB67+AB90)+AB113)</f>
        <v>0</v>
      </c>
      <c r="AC132" s="9" t="n">
        <f aca="false">((AC67+AC90)+AC113)</f>
        <v>62850</v>
      </c>
      <c r="AD132" s="9" t="n">
        <f aca="false">((AD67+AD90)+AD113)</f>
        <v>38550</v>
      </c>
      <c r="AE132" s="9" t="n">
        <f aca="false">((AE67+AE90)+AE113)</f>
        <v>0</v>
      </c>
      <c r="AF132" s="9" t="n">
        <f aca="false">((AF67+AF90)+AF113)</f>
        <v>89250</v>
      </c>
      <c r="AG132" s="9" t="n">
        <f aca="false">((AG67+AG90)+AG113)</f>
        <v>50700</v>
      </c>
      <c r="AH132" s="9" t="n">
        <f aca="false">((AH67+AH90)+AH113)</f>
        <v>60600</v>
      </c>
      <c r="AI132" s="9" t="n">
        <f aca="false">((AI67+AI90)+AI113)</f>
        <v>89250</v>
      </c>
      <c r="AJ132" s="9" t="n">
        <f aca="false">((AJ67+AJ90)+AJ113)</f>
        <v>50700</v>
      </c>
      <c r="AK132" s="9" t="n">
        <f aca="false">((AK67+AK90)+AK113)</f>
        <v>0</v>
      </c>
      <c r="AL132" s="9" t="n">
        <f aca="false">((AL67+AL90)+AL113)</f>
        <v>101400</v>
      </c>
      <c r="AN132" s="11" t="n">
        <f aca="false">SUM(C132:N132)</f>
        <v>0</v>
      </c>
      <c r="AO132" s="11" t="n">
        <f aca="false">SUM(O132:Z132)</f>
        <v>152100</v>
      </c>
      <c r="AP132" s="11" t="n">
        <f aca="false">SUM(AA132:AL132)</f>
        <v>555450</v>
      </c>
    </row>
    <row r="133" customFormat="false" ht="15" hidden="false" customHeight="false" outlineLevel="0" collapsed="false">
      <c r="A133" s="0" t="s">
        <v>939</v>
      </c>
      <c r="B133" s="0" t="s">
        <v>285</v>
      </c>
      <c r="C133" s="9" t="n">
        <f aca="false">((C68+C91)+C114)</f>
        <v>0</v>
      </c>
      <c r="D133" s="9" t="n">
        <f aca="false">((D68+D91)+D114)</f>
        <v>0</v>
      </c>
      <c r="E133" s="9" t="n">
        <f aca="false">((E68+E91)+E114)</f>
        <v>0</v>
      </c>
      <c r="F133" s="9" t="n">
        <f aca="false">((F68+F91)+F114)</f>
        <v>0</v>
      </c>
      <c r="G133" s="9" t="n">
        <f aca="false">((G68+G91)+G114)</f>
        <v>115</v>
      </c>
      <c r="H133" s="9" t="n">
        <f aca="false">((H68+H91)+H114)</f>
        <v>0</v>
      </c>
      <c r="I133" s="9" t="n">
        <f aca="false">((I68+I91)+I114)</f>
        <v>0</v>
      </c>
      <c r="J133" s="9" t="n">
        <f aca="false">((J68+J91)+J114)</f>
        <v>330</v>
      </c>
      <c r="K133" s="9" t="n">
        <f aca="false">((K68+K91)+K114)</f>
        <v>0</v>
      </c>
      <c r="L133" s="9" t="n">
        <f aca="false">((L68+L91)+L114)</f>
        <v>0</v>
      </c>
      <c r="M133" s="9" t="n">
        <f aca="false">((M68+M91)+M114)</f>
        <v>0</v>
      </c>
      <c r="N133" s="9" t="n">
        <f aca="false">((N68+N91)+N114)</f>
        <v>0</v>
      </c>
      <c r="O133" s="9" t="n">
        <f aca="false">((O68+O91)+O114)</f>
        <v>0</v>
      </c>
      <c r="P133" s="9" t="n">
        <f aca="false">((P68+P91)+P114)</f>
        <v>0</v>
      </c>
      <c r="Q133" s="9" t="n">
        <f aca="false">((Q68+Q91)+Q114)</f>
        <v>95.4</v>
      </c>
      <c r="R133" s="9" t="n">
        <f aca="false">((R68+R91)+R114)</f>
        <v>0</v>
      </c>
      <c r="S133" s="9" t="n">
        <f aca="false">((S68+S91)+S114)</f>
        <v>0</v>
      </c>
      <c r="T133" s="9" t="n">
        <f aca="false">((T68+T91)+T114)</f>
        <v>319.8</v>
      </c>
      <c r="U133" s="9" t="n">
        <f aca="false">((U68+U91)+U114)</f>
        <v>0</v>
      </c>
      <c r="V133" s="9" t="n">
        <f aca="false">((V68+V91)+V114)</f>
        <v>0</v>
      </c>
      <c r="W133" s="9" t="n">
        <f aca="false">((W68+W91)+W114)</f>
        <v>415.2</v>
      </c>
      <c r="X133" s="9" t="n">
        <f aca="false">((X68+X91)+X114)</f>
        <v>0</v>
      </c>
      <c r="Y133" s="9" t="n">
        <f aca="false">((Y68+Y91)+Y114)</f>
        <v>0</v>
      </c>
      <c r="Z133" s="9" t="n">
        <f aca="false">((Z68+Z91)+Z114)</f>
        <v>415.2</v>
      </c>
      <c r="AA133" s="9" t="n">
        <f aca="false">((AA68+AA91)+AA114)</f>
        <v>95.4</v>
      </c>
      <c r="AB133" s="9" t="n">
        <f aca="false">((AB68+AB91)+AB114)</f>
        <v>0</v>
      </c>
      <c r="AC133" s="9" t="n">
        <f aca="false">((AC68+AC91)+AC114)</f>
        <v>510.6</v>
      </c>
      <c r="AD133" s="9" t="n">
        <f aca="false">((AD68+AD91)+AD114)</f>
        <v>319.8</v>
      </c>
      <c r="AE133" s="9" t="n">
        <f aca="false">((AE68+AE91)+AE114)</f>
        <v>0</v>
      </c>
      <c r="AF133" s="9" t="n">
        <f aca="false">((AF68+AF91)+AF114)</f>
        <v>735</v>
      </c>
      <c r="AG133" s="9" t="n">
        <f aca="false">((AG68+AG91)+AG114)</f>
        <v>415.2</v>
      </c>
      <c r="AH133" s="9" t="n">
        <f aca="false">((AH68+AH91)+AH114)</f>
        <v>506.4</v>
      </c>
      <c r="AI133" s="9" t="n">
        <f aca="false">((AI68+AI91)+AI114)</f>
        <v>735</v>
      </c>
      <c r="AJ133" s="9" t="n">
        <f aca="false">((AJ68+AJ91)+AJ114)</f>
        <v>415.2</v>
      </c>
      <c r="AK133" s="9" t="n">
        <f aca="false">((AK68+AK91)+AK114)</f>
        <v>0</v>
      </c>
      <c r="AL133" s="9" t="n">
        <f aca="false">((AL68+AL91)+AL114)</f>
        <v>830.4</v>
      </c>
      <c r="AN133" s="11" t="n">
        <f aca="false">SUM(C133:N133)</f>
        <v>445</v>
      </c>
      <c r="AO133" s="11" t="n">
        <f aca="false">SUM(O133:Z133)</f>
        <v>1245.6</v>
      </c>
      <c r="AP133" s="11" t="n">
        <f aca="false">SUM(AA133:AL133)</f>
        <v>4563</v>
      </c>
    </row>
    <row r="134" customFormat="false" ht="15" hidden="false" customHeight="false" outlineLevel="0" collapsed="false">
      <c r="A134" s="0" t="s">
        <v>940</v>
      </c>
      <c r="B134" s="0" t="s">
        <v>230</v>
      </c>
      <c r="C134" s="9" t="n">
        <f aca="false">((((C130+C132)+(C55*C58))+(C78*C81))+(C101*C104))</f>
        <v>0</v>
      </c>
      <c r="D134" s="9" t="n">
        <f aca="false">((((D130+D132)+(D55*D58))+(D78*D81))+(D101*D104))</f>
        <v>0</v>
      </c>
      <c r="E134" s="9" t="n">
        <f aca="false">((((E130+E132)+(E55*E58))+(E78*E81))+(E101*E104))</f>
        <v>0</v>
      </c>
      <c r="F134" s="9" t="n">
        <f aca="false">((((F130+F132)+(F55*F58))+(F78*F81))+(F101*F104))</f>
        <v>0</v>
      </c>
      <c r="G134" s="9" t="n">
        <f aca="false">((((G130+G132)+(G55*G58))+(G78*G81))+(G101*G104))</f>
        <v>0</v>
      </c>
      <c r="H134" s="9" t="n">
        <f aca="false">((((H130+H132)+(H55*H58))+(H78*H81))+(H101*H104))</f>
        <v>0</v>
      </c>
      <c r="I134" s="9" t="n">
        <f aca="false">((((I130+I132)+(I55*I58))+(I78*I81))+(I101*I104))</f>
        <v>0</v>
      </c>
      <c r="J134" s="9" t="n">
        <f aca="false">((((J130+J132)+(J55*J58))+(J78*J81))+(J101*J104))</f>
        <v>0</v>
      </c>
      <c r="K134" s="9" t="n">
        <f aca="false">((((K130+K132)+(K55*K58))+(K78*K81))+(K101*K104))</f>
        <v>0</v>
      </c>
      <c r="L134" s="9" t="n">
        <f aca="false">((((L130+L132)+(L55*L58))+(L78*L81))+(L101*L104))</f>
        <v>0</v>
      </c>
      <c r="M134" s="9" t="n">
        <f aca="false">((((M130+M132)+(M55*M58))+(M78*M81))+(M101*M104))</f>
        <v>0</v>
      </c>
      <c r="N134" s="9" t="n">
        <f aca="false">((((N130+N132)+(N55*N58))+(N78*N81))+(N101*N104))</f>
        <v>0</v>
      </c>
      <c r="O134" s="9" t="n">
        <f aca="false">((((O130+O132)+(O55*O58))+(O78*O81))+(O101*O104))</f>
        <v>0</v>
      </c>
      <c r="P134" s="9" t="n">
        <f aca="false">((((P130+P132)+(P55*P58))+(P78*P81))+(P101*P104))</f>
        <v>12038.4</v>
      </c>
      <c r="Q134" s="9" t="n">
        <f aca="false">((((Q130+Q132)+(Q55*Q58))+(Q78*Q81))+(Q101*Q104))</f>
        <v>54808.8</v>
      </c>
      <c r="R134" s="9" t="n">
        <f aca="false">((((R130+R132)+(R55*R58))+(R78*R81))+(R101*R104))</f>
        <v>0</v>
      </c>
      <c r="S134" s="9" t="n">
        <f aca="false">((((S130+S132)+(S55*S58))+(S78*S81))+(S101*S104))</f>
        <v>0</v>
      </c>
      <c r="T134" s="9" t="n">
        <f aca="false">((((T130+T132)+(T55*T58))+(T78*T81))+(T101*T104))</f>
        <v>64200</v>
      </c>
      <c r="U134" s="9" t="n">
        <f aca="false">((((U130+U132)+(U55*U58))+(U78*U81))+(U101*U104))</f>
        <v>0</v>
      </c>
      <c r="V134" s="9" t="n">
        <f aca="false">((((V130+V132)+(V55*V58))+(V78*V81))+(V101*V104))</f>
        <v>0</v>
      </c>
      <c r="W134" s="9" t="n">
        <f aca="false">((((W130+W132)+(W55*W58))+(W78*W81))+(W101*W104))</f>
        <v>84900</v>
      </c>
      <c r="X134" s="9" t="n">
        <f aca="false">((((X130+X132)+(X55*X58))+(X78*X81))+(X101*X104))</f>
        <v>6019.2</v>
      </c>
      <c r="Y134" s="9" t="n">
        <f aca="false">((((Y130+Y132)+(Y55*Y58))+(Y78*Y81))+(Y101*Y104))</f>
        <v>0</v>
      </c>
      <c r="Z134" s="9" t="n">
        <f aca="false">((((Z130+Z132)+(Z55*Z58))+(Z78*Z81))+(Z101*Z104))</f>
        <v>84900</v>
      </c>
      <c r="AA134" s="9" t="n">
        <f aca="false">((((AA130+AA132)+(AA55*AA58))+(AA78*AA81))+(AA101*AA104))</f>
        <v>48566.16</v>
      </c>
      <c r="AB134" s="9" t="n">
        <f aca="false">((((AB130+AB132)+(AB55*AB58))+(AB78*AB81))+(AB101*AB104))</f>
        <v>0</v>
      </c>
      <c r="AC134" s="9" t="n">
        <f aca="false">((((AC130+AC132)+(AC55*AC58))+(AC78*AC81))+(AC101*AC104))</f>
        <v>105600</v>
      </c>
      <c r="AD134" s="9" t="n">
        <f aca="false">((((AD130+AD132)+(AD55*AD58))+(AD78*AD81))+(AD101*AD104))</f>
        <v>123621.36</v>
      </c>
      <c r="AE134" s="9" t="n">
        <f aca="false">((((AE130+AE132)+(AE55*AE58))+(AE78*AE81))+(AE101*AE104))</f>
        <v>0</v>
      </c>
      <c r="AF134" s="9" t="n">
        <f aca="false">((((AF130+AF132)+(AF55*AF58))+(AF78*AF81))+(AF101*AF104))</f>
        <v>149100</v>
      </c>
      <c r="AG134" s="9" t="n">
        <f aca="false">((((AG130+AG132)+(AG55*AG58))+(AG78*AG81))+(AG101*AG104))</f>
        <v>150819.36</v>
      </c>
      <c r="AH134" s="9" t="n">
        <f aca="false">((((AH130+AH132)+(AH55*AH58))+(AH78*AH81))+(AH101*AH104))</f>
        <v>94800</v>
      </c>
      <c r="AI134" s="9" t="n">
        <f aca="false">((((AI130+AI132)+(AI55*AI58))+(AI78*AI81))+(AI101*AI104))</f>
        <v>149100</v>
      </c>
      <c r="AJ134" s="9" t="n">
        <f aca="false">((((AJ130+AJ132)+(AJ55*AJ58))+(AJ78*AJ81))+(AJ101*AJ104))</f>
        <v>156838.56</v>
      </c>
      <c r="AK134" s="9" t="n">
        <f aca="false">((((AK130+AK132)+(AK55*AK58))+(AK78*AK81))+(AK101*AK104))</f>
        <v>0</v>
      </c>
      <c r="AL134" s="9" t="n">
        <f aca="false">((((AL130+AL132)+(AL55*AL58))+(AL78*AL81))+(AL101*AL104))</f>
        <v>169800</v>
      </c>
      <c r="AN134" s="11" t="n">
        <f aca="false">SUM(C134:N134)</f>
        <v>0</v>
      </c>
      <c r="AO134" s="11" t="n">
        <f aca="false">SUM(O134:Z134)</f>
        <v>306866.4</v>
      </c>
      <c r="AP134" s="11" t="n">
        <f aca="false">SUM(AA134:AL134)</f>
        <v>1148245.44</v>
      </c>
    </row>
    <row r="135" customFormat="false" ht="15" hidden="false" customHeight="false" outlineLevel="0" collapsed="false">
      <c r="A135" s="21" t="s">
        <v>941</v>
      </c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</row>
    <row r="136" customFormat="false" ht="15" hidden="false" customHeight="false" outlineLevel="0" collapsed="false">
      <c r="A136" s="0" t="s">
        <v>942</v>
      </c>
      <c r="B136" s="0" t="s">
        <v>230</v>
      </c>
      <c r="C136" s="9" t="n">
        <f aca="false">IF((C$18&gt;=Assumptions!$C$41),(((Assumptions!$C$42*$C$10)/12)*(((C57*Assumptions!$C$128)+(C80*Assumptions!$D$128))+(C103*Assumptions!$E$128))),0)</f>
        <v>0</v>
      </c>
      <c r="D136" s="9" t="n">
        <f aca="false">IF((D$18&gt;=Assumptions!$C$41),(((Assumptions!$C$42*$C$10)/12)*(((D57*Assumptions!$C$128)+(D80*Assumptions!$D$128))+(D103*Assumptions!$E$128))),0)</f>
        <v>0</v>
      </c>
      <c r="E136" s="9" t="n">
        <f aca="false">IF((E$18&gt;=Assumptions!$C$41),(((Assumptions!$C$42*$C$10)/12)*(((E57*Assumptions!$C$128)+(E80*Assumptions!$D$128))+(E103*Assumptions!$E$128))),0)</f>
        <v>0</v>
      </c>
      <c r="F136" s="9" t="n">
        <f aca="false">IF((F$18&gt;=Assumptions!$C$41),(((Assumptions!$C$42*$C$10)/12)*(((F57*Assumptions!$C$128)+(F80*Assumptions!$D$128))+(F103*Assumptions!$E$128))),0)</f>
        <v>0</v>
      </c>
      <c r="G136" s="9" t="n">
        <f aca="false">IF((G$18&gt;=Assumptions!$C$41),(((Assumptions!$C$42*$C$10)/12)*(((G57*Assumptions!$C$128)+(G80*Assumptions!$D$128))+(G103*Assumptions!$E$128))),0)</f>
        <v>0</v>
      </c>
      <c r="H136" s="9" t="n">
        <f aca="false">IF((H$18&gt;=Assumptions!$C$41),(((Assumptions!$C$42*$C$10)/12)*(((H57*Assumptions!$C$128)+(H80*Assumptions!$D$128))+(H103*Assumptions!$E$128))),0)</f>
        <v>0</v>
      </c>
      <c r="I136" s="9" t="n">
        <f aca="false">IF((I$18&gt;=Assumptions!$C$41),(((Assumptions!$C$42*$C$10)/12)*(((I57*Assumptions!$C$128)+(I80*Assumptions!$D$128))+(I103*Assumptions!$E$128))),0)</f>
        <v>0</v>
      </c>
      <c r="J136" s="9" t="n">
        <f aca="false">IF((J$18&gt;=Assumptions!$C$41),(((Assumptions!$C$42*$C$10)/12)*(((J57*Assumptions!$C$128)+(J80*Assumptions!$D$128))+(J103*Assumptions!$E$128))),0)</f>
        <v>0</v>
      </c>
      <c r="K136" s="9" t="n">
        <f aca="false">IF((K$18&gt;=Assumptions!$C$41),(((Assumptions!$C$42*$C$10)/12)*(((K57*Assumptions!$C$128)+(K80*Assumptions!$D$128))+(K103*Assumptions!$E$128))),0)</f>
        <v>0</v>
      </c>
      <c r="L136" s="9" t="n">
        <f aca="false">IF((L$18&gt;=Assumptions!$C$41),(((Assumptions!$C$42*$C$10)/12)*(((L57*Assumptions!$C$128)+(L80*Assumptions!$D$128))+(L103*Assumptions!$E$128))),0)</f>
        <v>0</v>
      </c>
      <c r="M136" s="9" t="n">
        <f aca="false">IF((M$18&gt;=Assumptions!$C$41),(((Assumptions!$C$42*$C$10)/12)*(((M57*Assumptions!$C$128)+(M80*Assumptions!$D$128))+(M103*Assumptions!$E$128))),0)</f>
        <v>0</v>
      </c>
      <c r="N136" s="9" t="n">
        <f aca="false">IF((N$18&gt;=Assumptions!$C$41),(((Assumptions!$C$42*$C$10)/12)*(((N57*Assumptions!$C$128)+(N80*Assumptions!$D$128))+(N103*Assumptions!$E$128))),0)</f>
        <v>0</v>
      </c>
      <c r="O136" s="9" t="n">
        <f aca="false">IF((O$18&gt;=Assumptions!$C$41),(((Assumptions!$C$42*$C$10)/12)*(((O57*Assumptions!$C$128)+(O80*Assumptions!$D$128))+(O103*Assumptions!$E$128))),0)</f>
        <v>0</v>
      </c>
      <c r="P136" s="9" t="n">
        <f aca="false">IF((P$18&gt;=Assumptions!$C$41),(((Assumptions!$C$42*$C$10)/12)*(((P57*Assumptions!$C$128)+(P80*Assumptions!$D$128))+(P103*Assumptions!$E$128))),0)</f>
        <v>0</v>
      </c>
      <c r="Q136" s="9" t="n">
        <f aca="false">IF((Q$18&gt;=Assumptions!$C$41),(((Assumptions!$C$42*$C$10)/12)*(((Q57*Assumptions!$C$128)+(Q80*Assumptions!$D$128))+(Q103*Assumptions!$E$128))),0)</f>
        <v>0</v>
      </c>
      <c r="R136" s="9" t="n">
        <f aca="false">IF((R$18&gt;=Assumptions!$C$41),(((Assumptions!$C$42*$C$10)/12)*(((R57*Assumptions!$C$128)+(R80*Assumptions!$D$128))+(R103*Assumptions!$E$128))),0)</f>
        <v>0</v>
      </c>
      <c r="S136" s="9" t="n">
        <f aca="false">IF((S$18&gt;=Assumptions!$C$41),(((Assumptions!$C$42*$C$10)/12)*(((S57*Assumptions!$C$128)+(S80*Assumptions!$D$128))+(S103*Assumptions!$E$128))),0)</f>
        <v>0</v>
      </c>
      <c r="T136" s="9" t="n">
        <f aca="false">IF((T$18&gt;=Assumptions!$C$41),(((Assumptions!$C$42*$C$10)/12)*(((T57*Assumptions!$C$128)+(T80*Assumptions!$D$128))+(T103*Assumptions!$E$128))),0)</f>
        <v>0</v>
      </c>
      <c r="U136" s="9" t="n">
        <f aca="false">IF((U$18&gt;=Assumptions!$C$41),(((Assumptions!$C$42*$C$10)/12)*(((U57*Assumptions!$C$128)+(U80*Assumptions!$D$128))+(U103*Assumptions!$E$128))),0)</f>
        <v>0</v>
      </c>
      <c r="V136" s="9" t="n">
        <f aca="false">IF((V$18&gt;=Assumptions!$C$41),(((Assumptions!$C$42*$C$10)/12)*(((V57*Assumptions!$C$128)+(V80*Assumptions!$D$128))+(V103*Assumptions!$E$128))),0)</f>
        <v>364.8</v>
      </c>
      <c r="W136" s="9" t="n">
        <f aca="false">IF((W$18&gt;=Assumptions!$C$41),(((Assumptions!$C$42*$C$10)/12)*(((W57*Assumptions!$C$128)+(W80*Assumptions!$D$128))+(W103*Assumptions!$E$128))),0)</f>
        <v>364.8</v>
      </c>
      <c r="X136" s="9" t="n">
        <f aca="false">IF((X$18&gt;=Assumptions!$C$41),(((Assumptions!$C$42*$C$10)/12)*(((X57*Assumptions!$C$128)+(X80*Assumptions!$D$128))+(X103*Assumptions!$E$128))),0)</f>
        <v>410.4</v>
      </c>
      <c r="Y136" s="9" t="n">
        <f aca="false">IF((Y$18&gt;=Assumptions!$C$41),(((Assumptions!$C$42*$C$10)/12)*(((Y57*Assumptions!$C$128)+(Y80*Assumptions!$D$128))+(Y103*Assumptions!$E$128))),0)</f>
        <v>410.4</v>
      </c>
      <c r="Z136" s="9" t="n">
        <f aca="false">IF((Z$18&gt;=Assumptions!$C$41),(((Assumptions!$C$42*$C$10)/12)*(((Z57*Assumptions!$C$128)+(Z80*Assumptions!$D$128))+(Z103*Assumptions!$E$128))),0)</f>
        <v>410.4</v>
      </c>
      <c r="AA136" s="9" t="n">
        <f aca="false">IF((AA$18&gt;=Assumptions!$C$41),(((Assumptions!$C$42*$C$10)/12)*(((AA57*Assumptions!$C$128)+(AA80*Assumptions!$D$128))+(AA103*Assumptions!$E$128))),0)</f>
        <v>693.12</v>
      </c>
      <c r="AB136" s="9" t="n">
        <f aca="false">IF((AB$18&gt;=Assumptions!$C$41),(((Assumptions!$C$42*$C$10)/12)*(((AB57*Assumptions!$C$128)+(AB80*Assumptions!$D$128))+(AB103*Assumptions!$E$128))),0)</f>
        <v>679.44</v>
      </c>
      <c r="AC136" s="9" t="n">
        <f aca="false">IF((AC$18&gt;=Assumptions!$C$41),(((Assumptions!$C$42*$C$10)/12)*(((AC57*Assumptions!$C$128)+(AC80*Assumptions!$D$128))+(AC103*Assumptions!$E$128))),0)</f>
        <v>638.4</v>
      </c>
      <c r="AD136" s="9" t="n">
        <f aca="false">IF((AD$18&gt;=Assumptions!$C$41),(((Assumptions!$C$42*$C$10)/12)*(((AD57*Assumptions!$C$128)+(AD80*Assumptions!$D$128))+(AD103*Assumptions!$E$128))),0)</f>
        <v>1308.72</v>
      </c>
      <c r="AE136" s="9" t="n">
        <f aca="false">IF((AE$18&gt;=Assumptions!$C$41),(((Assumptions!$C$42*$C$10)/12)*(((AE57*Assumptions!$C$128)+(AE80*Assumptions!$D$128))+(AE103*Assumptions!$E$128))),0)</f>
        <v>1308.72</v>
      </c>
      <c r="AF136" s="9" t="n">
        <f aca="false">IF((AF$18&gt;=Assumptions!$C$41),(((Assumptions!$C$42*$C$10)/12)*(((AF57*Assumptions!$C$128)+(AF80*Assumptions!$D$128))+(AF103*Assumptions!$E$128))),0)</f>
        <v>1308.72</v>
      </c>
      <c r="AG136" s="9" t="n">
        <f aca="false">IF((AG$18&gt;=Assumptions!$C$41),(((Assumptions!$C$42*$C$10)/12)*(((AG57*Assumptions!$C$128)+(AG80*Assumptions!$D$128))+(AG103*Assumptions!$E$128))),0)</f>
        <v>2093.04</v>
      </c>
      <c r="AH136" s="9" t="n">
        <f aca="false">IF((AH$18&gt;=Assumptions!$C$41),(((Assumptions!$C$42*$C$10)/12)*(((AH57*Assumptions!$C$128)+(AH80*Assumptions!$D$128))+(AH103*Assumptions!$E$128))),0)</f>
        <v>2093.04</v>
      </c>
      <c r="AI136" s="9" t="n">
        <f aca="false">IF((AI$18&gt;=Assumptions!$C$41),(((Assumptions!$C$42*$C$10)/12)*(((AI57*Assumptions!$C$128)+(AI80*Assumptions!$D$128))+(AI103*Assumptions!$E$128))),0)</f>
        <v>2093.04</v>
      </c>
      <c r="AJ136" s="9" t="n">
        <f aca="false">IF((AJ$18&gt;=Assumptions!$C$41),(((Assumptions!$C$42*$C$10)/12)*(((AJ57*Assumptions!$C$128)+(AJ80*Assumptions!$D$128))+(AJ103*Assumptions!$E$128))),0)</f>
        <v>2916.12</v>
      </c>
      <c r="AK136" s="9" t="n">
        <f aca="false">IF((AK$18&gt;=Assumptions!$C$41),(((Assumptions!$C$42*$C$10)/12)*(((AK57*Assumptions!$C$128)+(AK80*Assumptions!$D$128))+(AK103*Assumptions!$E$128))),0)</f>
        <v>2916.12</v>
      </c>
      <c r="AL136" s="9" t="n">
        <f aca="false">IF((AL$18&gt;=Assumptions!$C$41),(((Assumptions!$C$42*$C$10)/12)*(((AL57*Assumptions!$C$128)+(AL80*Assumptions!$D$128))+(AL103*Assumptions!$E$128))),0)</f>
        <v>2916.12</v>
      </c>
      <c r="AN136" s="11" t="n">
        <f aca="false">SUM(C136:N136)</f>
        <v>0</v>
      </c>
      <c r="AO136" s="11" t="n">
        <f aca="false">SUM(O136:Z136)</f>
        <v>1960.8</v>
      </c>
      <c r="AP136" s="11" t="n">
        <f aca="false">SUM(AA136:AL136)</f>
        <v>20964.6</v>
      </c>
    </row>
    <row r="137" customFormat="false" ht="15" hidden="false" customHeight="false" outlineLevel="0" collapsed="false">
      <c r="A137" s="0" t="s">
        <v>943</v>
      </c>
      <c r="B137" s="0" t="s">
        <v>230</v>
      </c>
      <c r="C137" s="9" t="n">
        <f aca="false">IF((C$18&gt;=Assumptions!$C$43),(((Assumptions!$C$44*$C$10)/12)*((C80*12000)+(C103*25000))),0)</f>
        <v>0</v>
      </c>
      <c r="D137" s="9" t="n">
        <f aca="false">IF((D$18&gt;=Assumptions!$C$43),(((Assumptions!$C$44*$C$10)/12)*((D80*12000)+(D103*25000))),0)</f>
        <v>0</v>
      </c>
      <c r="E137" s="9" t="n">
        <f aca="false">IF((E$18&gt;=Assumptions!$C$43),(((Assumptions!$C$44*$C$10)/12)*((E80*12000)+(E103*25000))),0)</f>
        <v>0</v>
      </c>
      <c r="F137" s="9" t="n">
        <f aca="false">IF((F$18&gt;=Assumptions!$C$43),(((Assumptions!$C$44*$C$10)/12)*((F80*12000)+(F103*25000))),0)</f>
        <v>0</v>
      </c>
      <c r="G137" s="9" t="n">
        <f aca="false">IF((G$18&gt;=Assumptions!$C$43),(((Assumptions!$C$44*$C$10)/12)*((G80*12000)+(G103*25000))),0)</f>
        <v>0</v>
      </c>
      <c r="H137" s="9" t="n">
        <f aca="false">IF((H$18&gt;=Assumptions!$C$43),(((Assumptions!$C$44*$C$10)/12)*((H80*12000)+(H103*25000))),0)</f>
        <v>0</v>
      </c>
      <c r="I137" s="9" t="n">
        <f aca="false">IF((I$18&gt;=Assumptions!$C$43),(((Assumptions!$C$44*$C$10)/12)*((I80*12000)+(I103*25000))),0)</f>
        <v>0</v>
      </c>
      <c r="J137" s="9" t="n">
        <f aca="false">IF((J$18&gt;=Assumptions!$C$43),(((Assumptions!$C$44*$C$10)/12)*((J80*12000)+(J103*25000))),0)</f>
        <v>0</v>
      </c>
      <c r="K137" s="9" t="n">
        <f aca="false">IF((K$18&gt;=Assumptions!$C$43),(((Assumptions!$C$44*$C$10)/12)*((K80*12000)+(K103*25000))),0)</f>
        <v>0</v>
      </c>
      <c r="L137" s="9" t="n">
        <f aca="false">IF((L$18&gt;=Assumptions!$C$43),(((Assumptions!$C$44*$C$10)/12)*((L80*12000)+(L103*25000))),0)</f>
        <v>0</v>
      </c>
      <c r="M137" s="9" t="n">
        <f aca="false">IF((M$18&gt;=Assumptions!$C$43),(((Assumptions!$C$44*$C$10)/12)*((M80*12000)+(M103*25000))),0)</f>
        <v>0</v>
      </c>
      <c r="N137" s="9" t="n">
        <f aca="false">IF((N$18&gt;=Assumptions!$C$43),(((Assumptions!$C$44*$C$10)/12)*((N80*12000)+(N103*25000))),0)</f>
        <v>0</v>
      </c>
      <c r="O137" s="9" t="n">
        <f aca="false">IF((O$18&gt;=Assumptions!$C$43),(((Assumptions!$C$44*$C$10)/12)*((O80*12000)+(O103*25000))),0)</f>
        <v>0</v>
      </c>
      <c r="P137" s="9" t="n">
        <f aca="false">IF((P$18&gt;=Assumptions!$C$43),(((Assumptions!$C$44*$C$10)/12)*((P80*12000)+(P103*25000))),0)</f>
        <v>0</v>
      </c>
      <c r="Q137" s="9" t="n">
        <f aca="false">IF((Q$18&gt;=Assumptions!$C$43),(((Assumptions!$C$44*$C$10)/12)*((Q80*12000)+(Q103*25000))),0)</f>
        <v>0</v>
      </c>
      <c r="R137" s="9" t="n">
        <f aca="false">IF((R$18&gt;=Assumptions!$C$43),(((Assumptions!$C$44*$C$10)/12)*((R80*12000)+(R103*25000))),0)</f>
        <v>0</v>
      </c>
      <c r="S137" s="9" t="n">
        <f aca="false">IF((S$18&gt;=Assumptions!$C$43),(((Assumptions!$C$44*$C$10)/12)*((S80*12000)+(S103*25000))),0)</f>
        <v>0</v>
      </c>
      <c r="T137" s="9" t="n">
        <f aca="false">IF((T$18&gt;=Assumptions!$C$43),(((Assumptions!$C$44*$C$10)/12)*((T80*12000)+(T103*25000))),0)</f>
        <v>0</v>
      </c>
      <c r="U137" s="9" t="n">
        <f aca="false">IF((U$18&gt;=Assumptions!$C$43),(((Assumptions!$C$44*$C$10)/12)*((U80*12000)+(U103*25000))),0)</f>
        <v>0</v>
      </c>
      <c r="V137" s="9" t="n">
        <f aca="false">IF((V$18&gt;=Assumptions!$C$43),(((Assumptions!$C$44*$C$10)/12)*((V80*12000)+(V103*25000))),0)</f>
        <v>0</v>
      </c>
      <c r="W137" s="9" t="n">
        <f aca="false">IF((W$18&gt;=Assumptions!$C$43),(((Assumptions!$C$44*$C$10)/12)*((W80*12000)+(W103*25000))),0)</f>
        <v>0</v>
      </c>
      <c r="X137" s="9" t="n">
        <f aca="false">IF((X$18&gt;=Assumptions!$C$43),(((Assumptions!$C$44*$C$10)/12)*((X80*12000)+(X103*25000))),0)</f>
        <v>0</v>
      </c>
      <c r="Y137" s="9" t="n">
        <f aca="false">IF((Y$18&gt;=Assumptions!$C$43),(((Assumptions!$C$44*$C$10)/12)*((Y80*12000)+(Y103*25000))),0)</f>
        <v>0</v>
      </c>
      <c r="Z137" s="9" t="n">
        <f aca="false">IF((Z$18&gt;=Assumptions!$C$43),(((Assumptions!$C$44*$C$10)/12)*((Z80*12000)+(Z103*25000))),0)</f>
        <v>0</v>
      </c>
      <c r="AA137" s="9" t="n">
        <f aca="false">IF((AA$18&gt;=Assumptions!$C$43),(((Assumptions!$C$44*$C$10)/12)*((AA80*12000)+(AA103*25000))),0)</f>
        <v>0</v>
      </c>
      <c r="AB137" s="9" t="n">
        <f aca="false">IF((AB$18&gt;=Assumptions!$C$43),(((Assumptions!$C$44*$C$10)/12)*((AB80*12000)+(AB103*25000))),0)</f>
        <v>0</v>
      </c>
      <c r="AC137" s="9" t="n">
        <f aca="false">IF((AC$18&gt;=Assumptions!$C$43),(((Assumptions!$C$44*$C$10)/12)*((AC80*12000)+(AC103*25000))),0)</f>
        <v>0</v>
      </c>
      <c r="AD137" s="9" t="n">
        <f aca="false">IF((AD$18&gt;=Assumptions!$C$43),(((Assumptions!$C$44*$C$10)/12)*((AD80*12000)+(AD103*25000))),0)</f>
        <v>0</v>
      </c>
      <c r="AE137" s="9" t="n">
        <f aca="false">IF((AE$18&gt;=Assumptions!$C$43),(((Assumptions!$C$44*$C$10)/12)*((AE80*12000)+(AE103*25000))),0)</f>
        <v>0</v>
      </c>
      <c r="AF137" s="9" t="n">
        <f aca="false">IF((AF$18&gt;=Assumptions!$C$43),(((Assumptions!$C$44*$C$10)/12)*((AF80*12000)+(AF103*25000))),0)</f>
        <v>205.2</v>
      </c>
      <c r="AG137" s="9" t="n">
        <f aca="false">IF((AG$18&gt;=Assumptions!$C$43),(((Assumptions!$C$44*$C$10)/12)*((AG80*12000)+(AG103*25000))),0)</f>
        <v>321.48</v>
      </c>
      <c r="AH137" s="9" t="n">
        <f aca="false">IF((AH$18&gt;=Assumptions!$C$43),(((Assumptions!$C$44*$C$10)/12)*((AH80*12000)+(AH103*25000))),0)</f>
        <v>321.48</v>
      </c>
      <c r="AI137" s="9" t="n">
        <f aca="false">IF((AI$18&gt;=Assumptions!$C$43),(((Assumptions!$C$44*$C$10)/12)*((AI80*12000)+(AI103*25000))),0)</f>
        <v>321.48</v>
      </c>
      <c r="AJ137" s="9" t="n">
        <f aca="false">IF((AJ$18&gt;=Assumptions!$C$43),(((Assumptions!$C$44*$C$10)/12)*((AJ80*12000)+(AJ103*25000))),0)</f>
        <v>437.76</v>
      </c>
      <c r="AK137" s="9" t="n">
        <f aca="false">IF((AK$18&gt;=Assumptions!$C$43),(((Assumptions!$C$44*$C$10)/12)*((AK80*12000)+(AK103*25000))),0)</f>
        <v>437.76</v>
      </c>
      <c r="AL137" s="9" t="n">
        <f aca="false">IF((AL$18&gt;=Assumptions!$C$43),(((Assumptions!$C$44*$C$10)/12)*((AL80*12000)+(AL103*25000))),0)</f>
        <v>437.76</v>
      </c>
      <c r="AN137" s="11" t="n">
        <f aca="false">SUM(C137:N137)</f>
        <v>0</v>
      </c>
      <c r="AO137" s="11" t="n">
        <f aca="false">SUM(O137:Z137)</f>
        <v>0</v>
      </c>
      <c r="AP137" s="11" t="n">
        <f aca="false">SUM(AA137:AL137)</f>
        <v>2482.92</v>
      </c>
    </row>
    <row r="138" customFormat="false" ht="15" hidden="false" customHeight="false" outlineLevel="0" collapsed="false">
      <c r="A138" s="0" t="s">
        <v>944</v>
      </c>
      <c r="B138" s="0" t="s">
        <v>852</v>
      </c>
      <c r="C138" s="14" t="n">
        <f aca="false">IF((C$18&gt;=Assumptions!$C$45),(INDEX(Schedules!$C$14:$AL$14,C$18)*$C$7),0)</f>
        <v>0</v>
      </c>
      <c r="D138" s="14" t="n">
        <f aca="false">IF((D$18&gt;=Assumptions!$C$45),(INDEX(Schedules!$C$14:$AL$14,D$18)*$C$7),0)</f>
        <v>0</v>
      </c>
      <c r="E138" s="14" t="n">
        <f aca="false">IF((E$18&gt;=Assumptions!$C$45),(INDEX(Schedules!$C$14:$AL$14,E$18)*$C$7),0)</f>
        <v>0</v>
      </c>
      <c r="F138" s="14" t="n">
        <f aca="false">IF((F$18&gt;=Assumptions!$C$45),(INDEX(Schedules!$C$14:$AL$14,F$18)*$C$7),0)</f>
        <v>0</v>
      </c>
      <c r="G138" s="14" t="n">
        <f aca="false">IF((G$18&gt;=Assumptions!$C$45),(INDEX(Schedules!$C$14:$AL$14,G$18)*$C$7),0)</f>
        <v>0</v>
      </c>
      <c r="H138" s="14" t="n">
        <f aca="false">IF((H$18&gt;=Assumptions!$C$45),(INDEX(Schedules!$C$14:$AL$14,H$18)*$C$7),0)</f>
        <v>0</v>
      </c>
      <c r="I138" s="14" t="n">
        <f aca="false">IF((I$18&gt;=Assumptions!$C$45),(INDEX(Schedules!$C$14:$AL$14,I$18)*$C$7),0)</f>
        <v>0</v>
      </c>
      <c r="J138" s="14" t="n">
        <f aca="false">IF((J$18&gt;=Assumptions!$C$45),(INDEX(Schedules!$C$14:$AL$14,J$18)*$C$7),0)</f>
        <v>0</v>
      </c>
      <c r="K138" s="14" t="n">
        <f aca="false">IF((K$18&gt;=Assumptions!$C$45),(INDEX(Schedules!$C$14:$AL$14,K$18)*$C$7),0)</f>
        <v>0</v>
      </c>
      <c r="L138" s="14" t="n">
        <f aca="false">IF((L$18&gt;=Assumptions!$C$45),(INDEX(Schedules!$C$14:$AL$14,L$18)*$C$7),0)</f>
        <v>0</v>
      </c>
      <c r="M138" s="14" t="n">
        <f aca="false">IF((M$18&gt;=Assumptions!$C$45),(INDEX(Schedules!$C$14:$AL$14,M$18)*$C$7),0)</f>
        <v>0</v>
      </c>
      <c r="N138" s="14" t="n">
        <f aca="false">IF((N$18&gt;=Assumptions!$C$45),(INDEX(Schedules!$C$14:$AL$14,N$18)*$C$7),0)</f>
        <v>0</v>
      </c>
      <c r="O138" s="14" t="n">
        <f aca="false">IF((O$18&gt;=Assumptions!$C$45),(INDEX(Schedules!$C$14:$AL$14,O$18)*$C$7),0)</f>
        <v>0</v>
      </c>
      <c r="P138" s="14" t="n">
        <f aca="false">IF((P$18&gt;=Assumptions!$C$45),(INDEX(Schedules!$C$14:$AL$14,P$18)*$C$7),0)</f>
        <v>0</v>
      </c>
      <c r="Q138" s="14" t="n">
        <f aca="false">IF((Q$18&gt;=Assumptions!$C$45),(INDEX(Schedules!$C$14:$AL$14,Q$18)*$C$7),0)</f>
        <v>0</v>
      </c>
      <c r="R138" s="14" t="n">
        <f aca="false">IF((R$18&gt;=Assumptions!$C$45),(INDEX(Schedules!$C$14:$AL$14,R$18)*$C$7),0)</f>
        <v>0</v>
      </c>
      <c r="S138" s="14" t="n">
        <f aca="false">IF((S$18&gt;=Assumptions!$C$45),(INDEX(Schedules!$C$14:$AL$14,S$18)*$C$7),0)</f>
        <v>0</v>
      </c>
      <c r="T138" s="14" t="n">
        <f aca="false">IF((T$18&gt;=Assumptions!$C$45),(INDEX(Schedules!$C$14:$AL$14,T$18)*$C$7),0)</f>
        <v>0</v>
      </c>
      <c r="U138" s="14" t="n">
        <f aca="false">IF((U$18&gt;=Assumptions!$C$45),(INDEX(Schedules!$C$14:$AL$14,U$18)*$C$7),0)</f>
        <v>0</v>
      </c>
      <c r="V138" s="14" t="n">
        <f aca="false">IF((V$18&gt;=Assumptions!$C$45),(INDEX(Schedules!$C$14:$AL$14,V$18)*$C$7),0)</f>
        <v>0</v>
      </c>
      <c r="W138" s="14" t="n">
        <f aca="false">IF((W$18&gt;=Assumptions!$C$45),(INDEX(Schedules!$C$14:$AL$14,W$18)*$C$7),0)</f>
        <v>0</v>
      </c>
      <c r="X138" s="14" t="n">
        <f aca="false">IF((X$18&gt;=Assumptions!$C$45),(INDEX(Schedules!$C$14:$AL$14,X$18)*$C$7),0)</f>
        <v>0</v>
      </c>
      <c r="Y138" s="14" t="n">
        <f aca="false">IF((Y$18&gt;=Assumptions!$C$45),(INDEX(Schedules!$C$14:$AL$14,Y$18)*$C$7),0)</f>
        <v>0</v>
      </c>
      <c r="Z138" s="14" t="n">
        <f aca="false">IF((Z$18&gt;=Assumptions!$C$45),(INDEX(Schedules!$C$14:$AL$14,Z$18)*$C$7),0)</f>
        <v>0</v>
      </c>
      <c r="AA138" s="14" t="n">
        <f aca="false">IF((AA$18&gt;=Assumptions!$C$45),(INDEX(Schedules!$C$14:$AL$14,AA$18)*$C$7),0)</f>
        <v>1.8</v>
      </c>
      <c r="AB138" s="14" t="n">
        <f aca="false">IF((AB$18&gt;=Assumptions!$C$45),(INDEX(Schedules!$C$14:$AL$14,AB$18)*$C$7),0)</f>
        <v>1.8</v>
      </c>
      <c r="AC138" s="14" t="n">
        <f aca="false">IF((AC$18&gt;=Assumptions!$C$45),(INDEX(Schedules!$C$14:$AL$14,AC$18)*$C$7),0)</f>
        <v>1.8</v>
      </c>
      <c r="AD138" s="14" t="n">
        <f aca="false">IF((AD$18&gt;=Assumptions!$C$45),(INDEX(Schedules!$C$14:$AL$14,AD$18)*$C$7),0)</f>
        <v>1.8</v>
      </c>
      <c r="AE138" s="14" t="n">
        <f aca="false">IF((AE$18&gt;=Assumptions!$C$45),(INDEX(Schedules!$C$14:$AL$14,AE$18)*$C$7),0)</f>
        <v>1.8</v>
      </c>
      <c r="AF138" s="14" t="n">
        <f aca="false">IF((AF$18&gt;=Assumptions!$C$45),(INDEX(Schedules!$C$14:$AL$14,AF$18)*$C$7),0)</f>
        <v>1.8</v>
      </c>
      <c r="AG138" s="14" t="n">
        <f aca="false">IF((AG$18&gt;=Assumptions!$C$45),(INDEX(Schedules!$C$14:$AL$14,AG$18)*$C$7),0)</f>
        <v>3.6</v>
      </c>
      <c r="AH138" s="14" t="n">
        <f aca="false">IF((AH$18&gt;=Assumptions!$C$45),(INDEX(Schedules!$C$14:$AL$14,AH$18)*$C$7),0)</f>
        <v>3.6</v>
      </c>
      <c r="AI138" s="14" t="n">
        <f aca="false">IF((AI$18&gt;=Assumptions!$C$45),(INDEX(Schedules!$C$14:$AL$14,AI$18)*$C$7),0)</f>
        <v>3.6</v>
      </c>
      <c r="AJ138" s="14" t="n">
        <f aca="false">IF((AJ$18&gt;=Assumptions!$C$45),(INDEX(Schedules!$C$14:$AL$14,AJ$18)*$C$7),0)</f>
        <v>3.6</v>
      </c>
      <c r="AK138" s="14" t="n">
        <f aca="false">IF((AK$18&gt;=Assumptions!$C$45),(INDEX(Schedules!$C$14:$AL$14,AK$18)*$C$7),0)</f>
        <v>3.6</v>
      </c>
      <c r="AL138" s="14" t="n">
        <f aca="false">IF((AL$18&gt;=Assumptions!$C$45),(INDEX(Schedules!$C$14:$AL$14,AL$18)*$C$7),0)</f>
        <v>3.6</v>
      </c>
      <c r="AN138" s="36" t="n">
        <f aca="false">SUM(C138:N138)</f>
        <v>0</v>
      </c>
      <c r="AO138" s="36" t="n">
        <f aca="false">SUM(O138:Z138)</f>
        <v>0</v>
      </c>
      <c r="AP138" s="36" t="n">
        <f aca="false">SUM(AA138:AL138)</f>
        <v>32.4</v>
      </c>
    </row>
    <row r="139" customFormat="false" ht="15" hidden="false" customHeight="false" outlineLevel="0" collapsed="false">
      <c r="A139" s="0" t="s">
        <v>945</v>
      </c>
      <c r="B139" s="0" t="s">
        <v>852</v>
      </c>
      <c r="C139" s="13" t="n">
        <f aca="false">((0*(1-Assumptions!$C$47))+C138)</f>
        <v>0</v>
      </c>
      <c r="D139" s="13" t="n">
        <f aca="false">((C139*(1-Assumptions!$C$47))+D138)</f>
        <v>0</v>
      </c>
      <c r="E139" s="13" t="n">
        <f aca="false">((D139*(1-Assumptions!$C$47))+E138)</f>
        <v>0</v>
      </c>
      <c r="F139" s="13" t="n">
        <f aca="false">((E139*(1-Assumptions!$C$47))+F138)</f>
        <v>0</v>
      </c>
      <c r="G139" s="13" t="n">
        <f aca="false">((F139*(1-Assumptions!$C$47))+G138)</f>
        <v>0</v>
      </c>
      <c r="H139" s="13" t="n">
        <f aca="false">((G139*(1-Assumptions!$C$47))+H138)</f>
        <v>0</v>
      </c>
      <c r="I139" s="13" t="n">
        <f aca="false">((H139*(1-Assumptions!$C$47))+I138)</f>
        <v>0</v>
      </c>
      <c r="J139" s="13" t="n">
        <f aca="false">((I139*(1-Assumptions!$C$47))+J138)</f>
        <v>0</v>
      </c>
      <c r="K139" s="13" t="n">
        <f aca="false">((J139*(1-Assumptions!$C$47))+K138)</f>
        <v>0</v>
      </c>
      <c r="L139" s="13" t="n">
        <f aca="false">((K139*(1-Assumptions!$C$47))+L138)</f>
        <v>0</v>
      </c>
      <c r="M139" s="13" t="n">
        <f aca="false">((L139*(1-Assumptions!$C$47))+M138)</f>
        <v>0</v>
      </c>
      <c r="N139" s="13" t="n">
        <f aca="false">((M139*(1-Assumptions!$C$47))+N138)</f>
        <v>0</v>
      </c>
      <c r="O139" s="13" t="n">
        <f aca="false">((N139*(1-Assumptions!$C$47))+O138)</f>
        <v>0</v>
      </c>
      <c r="P139" s="13" t="n">
        <f aca="false">((O139*(1-Assumptions!$C$47))+P138)</f>
        <v>0</v>
      </c>
      <c r="Q139" s="13" t="n">
        <f aca="false">((P139*(1-Assumptions!$C$47))+Q138)</f>
        <v>0</v>
      </c>
      <c r="R139" s="13" t="n">
        <f aca="false">((Q139*(1-Assumptions!$C$47))+R138)</f>
        <v>0</v>
      </c>
      <c r="S139" s="13" t="n">
        <f aca="false">((R139*(1-Assumptions!$C$47))+S138)</f>
        <v>0</v>
      </c>
      <c r="T139" s="13" t="n">
        <f aca="false">((S139*(1-Assumptions!$C$47))+T138)</f>
        <v>0</v>
      </c>
      <c r="U139" s="13" t="n">
        <f aca="false">((T139*(1-Assumptions!$C$47))+U138)</f>
        <v>0</v>
      </c>
      <c r="V139" s="13" t="n">
        <f aca="false">((U139*(1-Assumptions!$C$47))+V138)</f>
        <v>0</v>
      </c>
      <c r="W139" s="13" t="n">
        <f aca="false">((V139*(1-Assumptions!$C$47))+W138)</f>
        <v>0</v>
      </c>
      <c r="X139" s="13" t="n">
        <f aca="false">((W139*(1-Assumptions!$C$47))+X138)</f>
        <v>0</v>
      </c>
      <c r="Y139" s="13" t="n">
        <f aca="false">((X139*(1-Assumptions!$C$47))+Y138)</f>
        <v>0</v>
      </c>
      <c r="Z139" s="13" t="n">
        <f aca="false">((Y139*(1-Assumptions!$C$47))+Z138)</f>
        <v>0</v>
      </c>
      <c r="AA139" s="13" t="n">
        <f aca="false">((Z139*(1-Assumptions!$C$47))+AA138)</f>
        <v>1.8</v>
      </c>
      <c r="AB139" s="13" t="n">
        <f aca="false">((AA139*(1-Assumptions!$C$47))+AB138)</f>
        <v>3.564</v>
      </c>
      <c r="AC139" s="13" t="n">
        <f aca="false">((AB139*(1-Assumptions!$C$47))+AC138)</f>
        <v>5.29272</v>
      </c>
      <c r="AD139" s="13" t="n">
        <f aca="false">((AC139*(1-Assumptions!$C$47))+AD138)</f>
        <v>6.9868656</v>
      </c>
      <c r="AE139" s="13" t="n">
        <f aca="false">((AD139*(1-Assumptions!$C$47))+AE138)</f>
        <v>8.647128288</v>
      </c>
      <c r="AF139" s="13" t="n">
        <f aca="false">((AE139*(1-Assumptions!$C$47))+AF138)</f>
        <v>10.27418572224</v>
      </c>
      <c r="AG139" s="13" t="n">
        <f aca="false">((AF139*(1-Assumptions!$C$47))+AG138)</f>
        <v>13.6687020077952</v>
      </c>
      <c r="AH139" s="13" t="n">
        <f aca="false">((AG139*(1-Assumptions!$C$47))+AH138)</f>
        <v>16.9953279676393</v>
      </c>
      <c r="AI139" s="13" t="n">
        <f aca="false">((AH139*(1-Assumptions!$C$47))+AI138)</f>
        <v>20.2554214082865</v>
      </c>
      <c r="AJ139" s="13" t="n">
        <f aca="false">((AI139*(1-Assumptions!$C$47))+AJ138)</f>
        <v>23.4503129801208</v>
      </c>
      <c r="AK139" s="13" t="n">
        <f aca="false">((AJ139*(1-Assumptions!$C$47))+AK138)</f>
        <v>26.5813067205184</v>
      </c>
      <c r="AL139" s="13" t="n">
        <f aca="false">((AK139*(1-Assumptions!$C$47))+AL138)</f>
        <v>29.649680586108</v>
      </c>
      <c r="AN139" s="37" t="n">
        <f aca="false">N139</f>
        <v>0</v>
      </c>
      <c r="AO139" s="37" t="n">
        <f aca="false">Z139</f>
        <v>0</v>
      </c>
      <c r="AP139" s="37" t="n">
        <f aca="false">AL139</f>
        <v>29.649680586108</v>
      </c>
    </row>
    <row r="140" customFormat="false" ht="15" hidden="false" customHeight="false" outlineLevel="0" collapsed="false">
      <c r="A140" s="0" t="s">
        <v>946</v>
      </c>
      <c r="B140" s="0" t="s">
        <v>230</v>
      </c>
      <c r="C140" s="9" t="n">
        <f aca="false">((C139*Assumptions!$C$46)/12)</f>
        <v>0</v>
      </c>
      <c r="D140" s="9" t="n">
        <f aca="false">((D139*Assumptions!$C$46)/12)</f>
        <v>0</v>
      </c>
      <c r="E140" s="9" t="n">
        <f aca="false">((E139*Assumptions!$C$46)/12)</f>
        <v>0</v>
      </c>
      <c r="F140" s="9" t="n">
        <f aca="false">((F139*Assumptions!$C$46)/12)</f>
        <v>0</v>
      </c>
      <c r="G140" s="9" t="n">
        <f aca="false">((G139*Assumptions!$C$46)/12)</f>
        <v>0</v>
      </c>
      <c r="H140" s="9" t="n">
        <f aca="false">((H139*Assumptions!$C$46)/12)</f>
        <v>0</v>
      </c>
      <c r="I140" s="9" t="n">
        <f aca="false">((I139*Assumptions!$C$46)/12)</f>
        <v>0</v>
      </c>
      <c r="J140" s="9" t="n">
        <f aca="false">((J139*Assumptions!$C$46)/12)</f>
        <v>0</v>
      </c>
      <c r="K140" s="9" t="n">
        <f aca="false">((K139*Assumptions!$C$46)/12)</f>
        <v>0</v>
      </c>
      <c r="L140" s="9" t="n">
        <f aca="false">((L139*Assumptions!$C$46)/12)</f>
        <v>0</v>
      </c>
      <c r="M140" s="9" t="n">
        <f aca="false">((M139*Assumptions!$C$46)/12)</f>
        <v>0</v>
      </c>
      <c r="N140" s="9" t="n">
        <f aca="false">((N139*Assumptions!$C$46)/12)</f>
        <v>0</v>
      </c>
      <c r="O140" s="9" t="n">
        <f aca="false">((O139*Assumptions!$C$46)/12)</f>
        <v>0</v>
      </c>
      <c r="P140" s="9" t="n">
        <f aca="false">((P139*Assumptions!$C$46)/12)</f>
        <v>0</v>
      </c>
      <c r="Q140" s="9" t="n">
        <f aca="false">((Q139*Assumptions!$C$46)/12)</f>
        <v>0</v>
      </c>
      <c r="R140" s="9" t="n">
        <f aca="false">((R139*Assumptions!$C$46)/12)</f>
        <v>0</v>
      </c>
      <c r="S140" s="9" t="n">
        <f aca="false">((S139*Assumptions!$C$46)/12)</f>
        <v>0</v>
      </c>
      <c r="T140" s="9" t="n">
        <f aca="false">((T139*Assumptions!$C$46)/12)</f>
        <v>0</v>
      </c>
      <c r="U140" s="9" t="n">
        <f aca="false">((U139*Assumptions!$C$46)/12)</f>
        <v>0</v>
      </c>
      <c r="V140" s="9" t="n">
        <f aca="false">((V139*Assumptions!$C$46)/12)</f>
        <v>0</v>
      </c>
      <c r="W140" s="9" t="n">
        <f aca="false">((W139*Assumptions!$C$46)/12)</f>
        <v>0</v>
      </c>
      <c r="X140" s="9" t="n">
        <f aca="false">((X139*Assumptions!$C$46)/12)</f>
        <v>0</v>
      </c>
      <c r="Y140" s="9" t="n">
        <f aca="false">((Y139*Assumptions!$C$46)/12)</f>
        <v>0</v>
      </c>
      <c r="Z140" s="9" t="n">
        <f aca="false">((Z139*Assumptions!$C$46)/12)</f>
        <v>0</v>
      </c>
      <c r="AA140" s="9" t="n">
        <f aca="false">((AA139*Assumptions!$C$46)/12)</f>
        <v>600</v>
      </c>
      <c r="AB140" s="9" t="n">
        <f aca="false">((AB139*Assumptions!$C$46)/12)</f>
        <v>1188</v>
      </c>
      <c r="AC140" s="9" t="n">
        <f aca="false">((AC139*Assumptions!$C$46)/12)</f>
        <v>1764.24</v>
      </c>
      <c r="AD140" s="9" t="n">
        <f aca="false">((AD139*Assumptions!$C$46)/12)</f>
        <v>2328.9552</v>
      </c>
      <c r="AE140" s="9" t="n">
        <f aca="false">((AE139*Assumptions!$C$46)/12)</f>
        <v>2882.376096</v>
      </c>
      <c r="AF140" s="9" t="n">
        <f aca="false">((AF139*Assumptions!$C$46)/12)</f>
        <v>3424.72857408</v>
      </c>
      <c r="AG140" s="9" t="n">
        <f aca="false">((AG139*Assumptions!$C$46)/12)</f>
        <v>4556.2340025984</v>
      </c>
      <c r="AH140" s="9" t="n">
        <f aca="false">((AH139*Assumptions!$C$46)/12)</f>
        <v>5665.10932254643</v>
      </c>
      <c r="AI140" s="9" t="n">
        <f aca="false">((AI139*Assumptions!$C$46)/12)</f>
        <v>6751.8071360955</v>
      </c>
      <c r="AJ140" s="9" t="n">
        <f aca="false">((AJ139*Assumptions!$C$46)/12)</f>
        <v>7816.77099337359</v>
      </c>
      <c r="AK140" s="9" t="n">
        <f aca="false">((AK139*Assumptions!$C$46)/12)</f>
        <v>8860.43557350612</v>
      </c>
      <c r="AL140" s="9" t="n">
        <f aca="false">((AL139*Assumptions!$C$46)/12)</f>
        <v>9883.226862036</v>
      </c>
      <c r="AN140" s="11" t="n">
        <f aca="false">SUM(C140:N140)</f>
        <v>0</v>
      </c>
      <c r="AO140" s="11" t="n">
        <f aca="false">SUM(O140:Z140)</f>
        <v>0</v>
      </c>
      <c r="AP140" s="11" t="n">
        <f aca="false">SUM(AA140:AL140)</f>
        <v>55721.883760236</v>
      </c>
    </row>
    <row r="141" customFormat="false" ht="15" hidden="false" customHeight="false" outlineLevel="0" collapsed="false">
      <c r="A141" s="0" t="s">
        <v>947</v>
      </c>
      <c r="B141" s="0" t="s">
        <v>852</v>
      </c>
      <c r="C141" s="13" t="n">
        <f aca="false">IF((C$18&lt;Assumptions!$C$48),0,IF((C$18=Assumptions!$C$48),(Assumptions!$C$49*$C$4),((0*(1-Assumptions!$C$51))+(Assumptions!$C$50*$C$4))))</f>
        <v>0</v>
      </c>
      <c r="D141" s="13" t="n">
        <f aca="false">IF((D$18&lt;Assumptions!$C$48),0,IF((D$18=Assumptions!$C$48),(Assumptions!$C$49*$C$4),((C141*(1-Assumptions!$C$51))+(Assumptions!$C$50*$C$4))))</f>
        <v>0</v>
      </c>
      <c r="E141" s="13" t="n">
        <f aca="false">IF((E$18&lt;Assumptions!$C$48),0,IF((E$18=Assumptions!$C$48),(Assumptions!$C$49*$C$4),((D141*(1-Assumptions!$C$51))+(Assumptions!$C$50*$C$4))))</f>
        <v>0</v>
      </c>
      <c r="F141" s="13" t="n">
        <f aca="false">IF((F$18&lt;Assumptions!$C$48),0,IF((F$18=Assumptions!$C$48),(Assumptions!$C$49*$C$4),((E141*(1-Assumptions!$C$51))+(Assumptions!$C$50*$C$4))))</f>
        <v>0</v>
      </c>
      <c r="G141" s="13" t="n">
        <f aca="false">IF((G$18&lt;Assumptions!$C$48),0,IF((G$18=Assumptions!$C$48),(Assumptions!$C$49*$C$4),((F141*(1-Assumptions!$C$51))+(Assumptions!$C$50*$C$4))))</f>
        <v>0</v>
      </c>
      <c r="H141" s="13" t="n">
        <f aca="false">IF((H$18&lt;Assumptions!$C$48),0,IF((H$18=Assumptions!$C$48),(Assumptions!$C$49*$C$4),((G141*(1-Assumptions!$C$51))+(Assumptions!$C$50*$C$4))))</f>
        <v>0</v>
      </c>
      <c r="I141" s="13" t="n">
        <f aca="false">IF((I$18&lt;Assumptions!$C$48),0,IF((I$18=Assumptions!$C$48),(Assumptions!$C$49*$C$4),((H141*(1-Assumptions!$C$51))+(Assumptions!$C$50*$C$4))))</f>
        <v>0</v>
      </c>
      <c r="J141" s="13" t="n">
        <f aca="false">IF((J$18&lt;Assumptions!$C$48),0,IF((J$18=Assumptions!$C$48),(Assumptions!$C$49*$C$4),((I141*(1-Assumptions!$C$51))+(Assumptions!$C$50*$C$4))))</f>
        <v>0</v>
      </c>
      <c r="K141" s="13" t="n">
        <f aca="false">IF((K$18&lt;Assumptions!$C$48),0,IF((K$18=Assumptions!$C$48),(Assumptions!$C$49*$C$4),((J141*(1-Assumptions!$C$51))+(Assumptions!$C$50*$C$4))))</f>
        <v>0</v>
      </c>
      <c r="L141" s="13" t="n">
        <f aca="false">IF((L$18&lt;Assumptions!$C$48),0,IF((L$18=Assumptions!$C$48),(Assumptions!$C$49*$C$4),((K141*(1-Assumptions!$C$51))+(Assumptions!$C$50*$C$4))))</f>
        <v>0</v>
      </c>
      <c r="M141" s="13" t="n">
        <f aca="false">IF((M$18&lt;Assumptions!$C$48),0,IF((M$18=Assumptions!$C$48),(Assumptions!$C$49*$C$4),((L141*(1-Assumptions!$C$51))+(Assumptions!$C$50*$C$4))))</f>
        <v>0</v>
      </c>
      <c r="N141" s="13" t="n">
        <f aca="false">IF((N$18&lt;Assumptions!$C$48),0,IF((N$18=Assumptions!$C$48),(Assumptions!$C$49*$C$4),((M141*(1-Assumptions!$C$51))+(Assumptions!$C$50*$C$4))))</f>
        <v>0</v>
      </c>
      <c r="O141" s="13" t="n">
        <f aca="false">IF((O$18&lt;Assumptions!$C$48),0,IF((O$18=Assumptions!$C$48),(Assumptions!$C$49*$C$4),((N141*(1-Assumptions!$C$51))+(Assumptions!$C$50*$C$4))))</f>
        <v>0</v>
      </c>
      <c r="P141" s="13" t="n">
        <f aca="false">IF((P$18&lt;Assumptions!$C$48),0,IF((P$18=Assumptions!$C$48),(Assumptions!$C$49*$C$4),((O141*(1-Assumptions!$C$51))+(Assumptions!$C$50*$C$4))))</f>
        <v>0</v>
      </c>
      <c r="Q141" s="13" t="n">
        <f aca="false">IF((Q$18&lt;Assumptions!$C$48),0,IF((Q$18=Assumptions!$C$48),(Assumptions!$C$49*$C$4),((P141*(1-Assumptions!$C$51))+(Assumptions!$C$50*$C$4))))</f>
        <v>0</v>
      </c>
      <c r="R141" s="13" t="n">
        <f aca="false">IF((R$18&lt;Assumptions!$C$48),0,IF((R$18=Assumptions!$C$48),(Assumptions!$C$49*$C$4),((Q141*(1-Assumptions!$C$51))+(Assumptions!$C$50*$C$4))))</f>
        <v>0</v>
      </c>
      <c r="S141" s="13" t="n">
        <f aca="false">IF((S$18&lt;Assumptions!$C$48),0,IF((S$18=Assumptions!$C$48),(Assumptions!$C$49*$C$4),((R141*(1-Assumptions!$C$51))+(Assumptions!$C$50*$C$4))))</f>
        <v>0</v>
      </c>
      <c r="T141" s="13" t="n">
        <f aca="false">IF((T$18&lt;Assumptions!$C$48),0,IF((T$18=Assumptions!$C$48),(Assumptions!$C$49*$C$4),((S141*(1-Assumptions!$C$51))+(Assumptions!$C$50*$C$4))))</f>
        <v>0</v>
      </c>
      <c r="U141" s="13" t="n">
        <f aca="false">IF((U$18&lt;Assumptions!$C$48),0,IF((U$18=Assumptions!$C$48),(Assumptions!$C$49*$C$4),((T141*(1-Assumptions!$C$51))+(Assumptions!$C$50*$C$4))))</f>
        <v>0</v>
      </c>
      <c r="V141" s="13" t="n">
        <f aca="false">IF((V$18&lt;Assumptions!$C$48),0,IF((V$18=Assumptions!$C$48),(Assumptions!$C$49*$C$4),((U141*(1-Assumptions!$C$51))+(Assumptions!$C$50*$C$4))))</f>
        <v>0</v>
      </c>
      <c r="W141" s="13" t="n">
        <f aca="false">IF((W$18&lt;Assumptions!$C$48),0,IF((W$18=Assumptions!$C$48),(Assumptions!$C$49*$C$4),((V141*(1-Assumptions!$C$51))+(Assumptions!$C$50*$C$4))))</f>
        <v>0</v>
      </c>
      <c r="X141" s="13" t="n">
        <f aca="false">IF((X$18&lt;Assumptions!$C$48),0,IF((X$18=Assumptions!$C$48),(Assumptions!$C$49*$C$4),((W141*(1-Assumptions!$C$51))+(Assumptions!$C$50*$C$4))))</f>
        <v>0</v>
      </c>
      <c r="Y141" s="13" t="n">
        <f aca="false">IF((Y$18&lt;Assumptions!$C$48),0,IF((Y$18=Assumptions!$C$48),(Assumptions!$C$49*$C$4),((X141*(1-Assumptions!$C$51))+(Assumptions!$C$50*$C$4))))</f>
        <v>0</v>
      </c>
      <c r="Z141" s="13" t="n">
        <f aca="false">IF((Z$18&lt;Assumptions!$C$48),0,IF((Z$18=Assumptions!$C$48),(Assumptions!$C$49*$C$4),((Y141*(1-Assumptions!$C$51))+(Assumptions!$C$50*$C$4))))</f>
        <v>0</v>
      </c>
      <c r="AA141" s="13" t="n">
        <f aca="false">IF((AA$18&lt;Assumptions!$C$48),0,IF((AA$18=Assumptions!$C$48),(Assumptions!$C$49*$C$4),((Z141*(1-Assumptions!$C$51))+(Assumptions!$C$50*$C$4))))</f>
        <v>0</v>
      </c>
      <c r="AB141" s="13" t="n">
        <f aca="false">IF((AB$18&lt;Assumptions!$C$48),0,IF((AB$18=Assumptions!$C$48),(Assumptions!$C$49*$C$4),((AA141*(1-Assumptions!$C$51))+(Assumptions!$C$50*$C$4))))</f>
        <v>0</v>
      </c>
      <c r="AC141" s="13" t="n">
        <f aca="false">IF((AC$18&lt;Assumptions!$C$48),0,IF((AC$18=Assumptions!$C$48),(Assumptions!$C$49*$C$4),((AB141*(1-Assumptions!$C$51))+(Assumptions!$C$50*$C$4))))</f>
        <v>0</v>
      </c>
      <c r="AD141" s="13" t="n">
        <f aca="false">IF((AD$18&lt;Assumptions!$C$48),0,IF((AD$18=Assumptions!$C$48),(Assumptions!$C$49*$C$4),((AC141*(1-Assumptions!$C$51))+(Assumptions!$C$50*$C$4))))</f>
        <v>0</v>
      </c>
      <c r="AE141" s="13" t="n">
        <f aca="false">IF((AE$18&lt;Assumptions!$C$48),0,IF((AE$18=Assumptions!$C$48),(Assumptions!$C$49*$C$4),((AD141*(1-Assumptions!$C$51))+(Assumptions!$C$50*$C$4))))</f>
        <v>0</v>
      </c>
      <c r="AF141" s="13" t="n">
        <f aca="false">IF((AF$18&lt;Assumptions!$C$48),0,IF((AF$18=Assumptions!$C$48),(Assumptions!$C$49*$C$4),((AE141*(1-Assumptions!$C$51))+(Assumptions!$C$50*$C$4))))</f>
        <v>0</v>
      </c>
      <c r="AG141" s="13" t="n">
        <f aca="false">IF((AG$18&lt;Assumptions!$C$48),0,IF((AG$18=Assumptions!$C$48),(Assumptions!$C$49*$C$4),((AF141*(1-Assumptions!$C$51))+(Assumptions!$C$50*$C$4))))</f>
        <v>24</v>
      </c>
      <c r="AH141" s="13" t="n">
        <f aca="false">IF((AH$18&lt;Assumptions!$C$48),0,IF((AH$18=Assumptions!$C$48),(Assumptions!$C$49*$C$4),((AG141*(1-Assumptions!$C$51))+(Assumptions!$C$50*$C$4))))</f>
        <v>32.04</v>
      </c>
      <c r="AI141" s="13" t="n">
        <f aca="false">IF((AI$18&lt;Assumptions!$C$48),0,IF((AI$18=Assumptions!$C$48),(Assumptions!$C$49*$C$4),((AH141*(1-Assumptions!$C$51))+(Assumptions!$C$50*$C$4))))</f>
        <v>39.7584</v>
      </c>
      <c r="AJ141" s="13" t="n">
        <f aca="false">IF((AJ$18&lt;Assumptions!$C$48),0,IF((AJ$18=Assumptions!$C$48),(Assumptions!$C$49*$C$4),((AI141*(1-Assumptions!$C$51))+(Assumptions!$C$50*$C$4))))</f>
        <v>47.168064</v>
      </c>
      <c r="AK141" s="13" t="n">
        <f aca="false">IF((AK$18&lt;Assumptions!$C$48),0,IF((AK$18=Assumptions!$C$48),(Assumptions!$C$49*$C$4),((AJ141*(1-Assumptions!$C$51))+(Assumptions!$C$50*$C$4))))</f>
        <v>54.28134144</v>
      </c>
      <c r="AL141" s="13" t="n">
        <f aca="false">IF((AL$18&lt;Assumptions!$C$48),0,IF((AL$18=Assumptions!$C$48),(Assumptions!$C$49*$C$4),((AK141*(1-Assumptions!$C$51))+(Assumptions!$C$50*$C$4))))</f>
        <v>61.1100877824</v>
      </c>
      <c r="AN141" s="37" t="n">
        <f aca="false">N141</f>
        <v>0</v>
      </c>
      <c r="AO141" s="37" t="n">
        <f aca="false">Z141</f>
        <v>0</v>
      </c>
      <c r="AP141" s="37" t="n">
        <f aca="false">AL141</f>
        <v>61.1100877824</v>
      </c>
    </row>
    <row r="142" customFormat="false" ht="15" hidden="false" customHeight="false" outlineLevel="0" collapsed="false">
      <c r="A142" s="0" t="s">
        <v>948</v>
      </c>
      <c r="B142" s="0" t="s">
        <v>325</v>
      </c>
      <c r="C142" s="9" t="n">
        <f aca="false">(C141*Assumptions!$C$52)</f>
        <v>0</v>
      </c>
      <c r="D142" s="9" t="n">
        <f aca="false">(D141*Assumptions!$C$52)</f>
        <v>0</v>
      </c>
      <c r="E142" s="9" t="n">
        <f aca="false">(E141*Assumptions!$C$52)</f>
        <v>0</v>
      </c>
      <c r="F142" s="9" t="n">
        <f aca="false">(F141*Assumptions!$C$52)</f>
        <v>0</v>
      </c>
      <c r="G142" s="9" t="n">
        <f aca="false">(G141*Assumptions!$C$52)</f>
        <v>0</v>
      </c>
      <c r="H142" s="9" t="n">
        <f aca="false">(H141*Assumptions!$C$52)</f>
        <v>0</v>
      </c>
      <c r="I142" s="9" t="n">
        <f aca="false">(I141*Assumptions!$C$52)</f>
        <v>0</v>
      </c>
      <c r="J142" s="9" t="n">
        <f aca="false">(J141*Assumptions!$C$52)</f>
        <v>0</v>
      </c>
      <c r="K142" s="9" t="n">
        <f aca="false">(K141*Assumptions!$C$52)</f>
        <v>0</v>
      </c>
      <c r="L142" s="9" t="n">
        <f aca="false">(L141*Assumptions!$C$52)</f>
        <v>0</v>
      </c>
      <c r="M142" s="9" t="n">
        <f aca="false">(M141*Assumptions!$C$52)</f>
        <v>0</v>
      </c>
      <c r="N142" s="9" t="n">
        <f aca="false">(N141*Assumptions!$C$52)</f>
        <v>0</v>
      </c>
      <c r="O142" s="9" t="n">
        <f aca="false">(O141*Assumptions!$C$52)</f>
        <v>0</v>
      </c>
      <c r="P142" s="9" t="n">
        <f aca="false">(P141*Assumptions!$C$52)</f>
        <v>0</v>
      </c>
      <c r="Q142" s="9" t="n">
        <f aca="false">(Q141*Assumptions!$C$52)</f>
        <v>0</v>
      </c>
      <c r="R142" s="9" t="n">
        <f aca="false">(R141*Assumptions!$C$52)</f>
        <v>0</v>
      </c>
      <c r="S142" s="9" t="n">
        <f aca="false">(S141*Assumptions!$C$52)</f>
        <v>0</v>
      </c>
      <c r="T142" s="9" t="n">
        <f aca="false">(T141*Assumptions!$C$52)</f>
        <v>0</v>
      </c>
      <c r="U142" s="9" t="n">
        <f aca="false">(U141*Assumptions!$C$52)</f>
        <v>0</v>
      </c>
      <c r="V142" s="9" t="n">
        <f aca="false">(V141*Assumptions!$C$52)</f>
        <v>0</v>
      </c>
      <c r="W142" s="9" t="n">
        <f aca="false">(W141*Assumptions!$C$52)</f>
        <v>0</v>
      </c>
      <c r="X142" s="9" t="n">
        <f aca="false">(X141*Assumptions!$C$52)</f>
        <v>0</v>
      </c>
      <c r="Y142" s="9" t="n">
        <f aca="false">(Y141*Assumptions!$C$52)</f>
        <v>0</v>
      </c>
      <c r="Z142" s="9" t="n">
        <f aca="false">(Z141*Assumptions!$C$52)</f>
        <v>0</v>
      </c>
      <c r="AA142" s="9" t="n">
        <f aca="false">(AA141*Assumptions!$C$52)</f>
        <v>0</v>
      </c>
      <c r="AB142" s="9" t="n">
        <f aca="false">(AB141*Assumptions!$C$52)</f>
        <v>0</v>
      </c>
      <c r="AC142" s="9" t="n">
        <f aca="false">(AC141*Assumptions!$C$52)</f>
        <v>0</v>
      </c>
      <c r="AD142" s="9" t="n">
        <f aca="false">(AD141*Assumptions!$C$52)</f>
        <v>0</v>
      </c>
      <c r="AE142" s="9" t="n">
        <f aca="false">(AE141*Assumptions!$C$52)</f>
        <v>0</v>
      </c>
      <c r="AF142" s="9" t="n">
        <f aca="false">(AF141*Assumptions!$C$52)</f>
        <v>0</v>
      </c>
      <c r="AG142" s="9" t="n">
        <f aca="false">(AG141*Assumptions!$C$52)</f>
        <v>144</v>
      </c>
      <c r="AH142" s="9" t="n">
        <f aca="false">(AH141*Assumptions!$C$52)</f>
        <v>192.24</v>
      </c>
      <c r="AI142" s="9" t="n">
        <f aca="false">(AI141*Assumptions!$C$52)</f>
        <v>238.5504</v>
      </c>
      <c r="AJ142" s="9" t="n">
        <f aca="false">(AJ141*Assumptions!$C$52)</f>
        <v>283.008384</v>
      </c>
      <c r="AK142" s="9" t="n">
        <f aca="false">(AK141*Assumptions!$C$52)</f>
        <v>325.68804864</v>
      </c>
      <c r="AL142" s="9" t="n">
        <f aca="false">(AL141*Assumptions!$C$52)</f>
        <v>366.6605266944</v>
      </c>
      <c r="AN142" s="11" t="n">
        <f aca="false">SUM(C142:N142)</f>
        <v>0</v>
      </c>
      <c r="AO142" s="11" t="n">
        <f aca="false">SUM(O142:Z142)</f>
        <v>0</v>
      </c>
      <c r="AP142" s="11" t="n">
        <f aca="false">SUM(AA142:AL142)</f>
        <v>1550.1473593344</v>
      </c>
    </row>
    <row r="143" customFormat="false" ht="15" hidden="false" customHeight="false" outlineLevel="0" collapsed="false">
      <c r="A143" s="0" t="s">
        <v>949</v>
      </c>
      <c r="B143" s="0" t="s">
        <v>230</v>
      </c>
      <c r="C143" s="9" t="n">
        <f aca="false">(C142*Assumptions!$C$53)</f>
        <v>0</v>
      </c>
      <c r="D143" s="9" t="n">
        <f aca="false">(D142*Assumptions!$C$53)</f>
        <v>0</v>
      </c>
      <c r="E143" s="9" t="n">
        <f aca="false">(E142*Assumptions!$C$53)</f>
        <v>0</v>
      </c>
      <c r="F143" s="9" t="n">
        <f aca="false">(F142*Assumptions!$C$53)</f>
        <v>0</v>
      </c>
      <c r="G143" s="9" t="n">
        <f aca="false">(G142*Assumptions!$C$53)</f>
        <v>0</v>
      </c>
      <c r="H143" s="9" t="n">
        <f aca="false">(H142*Assumptions!$C$53)</f>
        <v>0</v>
      </c>
      <c r="I143" s="9" t="n">
        <f aca="false">(I142*Assumptions!$C$53)</f>
        <v>0</v>
      </c>
      <c r="J143" s="9" t="n">
        <f aca="false">(J142*Assumptions!$C$53)</f>
        <v>0</v>
      </c>
      <c r="K143" s="9" t="n">
        <f aca="false">(K142*Assumptions!$C$53)</f>
        <v>0</v>
      </c>
      <c r="L143" s="9" t="n">
        <f aca="false">(L142*Assumptions!$C$53)</f>
        <v>0</v>
      </c>
      <c r="M143" s="9" t="n">
        <f aca="false">(M142*Assumptions!$C$53)</f>
        <v>0</v>
      </c>
      <c r="N143" s="9" t="n">
        <f aca="false">(N142*Assumptions!$C$53)</f>
        <v>0</v>
      </c>
      <c r="O143" s="9" t="n">
        <f aca="false">(O142*Assumptions!$C$53)</f>
        <v>0</v>
      </c>
      <c r="P143" s="9" t="n">
        <f aca="false">(P142*Assumptions!$C$53)</f>
        <v>0</v>
      </c>
      <c r="Q143" s="9" t="n">
        <f aca="false">(Q142*Assumptions!$C$53)</f>
        <v>0</v>
      </c>
      <c r="R143" s="9" t="n">
        <f aca="false">(R142*Assumptions!$C$53)</f>
        <v>0</v>
      </c>
      <c r="S143" s="9" t="n">
        <f aca="false">(S142*Assumptions!$C$53)</f>
        <v>0</v>
      </c>
      <c r="T143" s="9" t="n">
        <f aca="false">(T142*Assumptions!$C$53)</f>
        <v>0</v>
      </c>
      <c r="U143" s="9" t="n">
        <f aca="false">(U142*Assumptions!$C$53)</f>
        <v>0</v>
      </c>
      <c r="V143" s="9" t="n">
        <f aca="false">(V142*Assumptions!$C$53)</f>
        <v>0</v>
      </c>
      <c r="W143" s="9" t="n">
        <f aca="false">(W142*Assumptions!$C$53)</f>
        <v>0</v>
      </c>
      <c r="X143" s="9" t="n">
        <f aca="false">(X142*Assumptions!$C$53)</f>
        <v>0</v>
      </c>
      <c r="Y143" s="9" t="n">
        <f aca="false">(Y142*Assumptions!$C$53)</f>
        <v>0</v>
      </c>
      <c r="Z143" s="9" t="n">
        <f aca="false">(Z142*Assumptions!$C$53)</f>
        <v>0</v>
      </c>
      <c r="AA143" s="9" t="n">
        <f aca="false">(AA142*Assumptions!$C$53)</f>
        <v>0</v>
      </c>
      <c r="AB143" s="9" t="n">
        <f aca="false">(AB142*Assumptions!$C$53)</f>
        <v>0</v>
      </c>
      <c r="AC143" s="9" t="n">
        <f aca="false">(AC142*Assumptions!$C$53)</f>
        <v>0</v>
      </c>
      <c r="AD143" s="9" t="n">
        <f aca="false">(AD142*Assumptions!$C$53)</f>
        <v>0</v>
      </c>
      <c r="AE143" s="9" t="n">
        <f aca="false">(AE142*Assumptions!$C$53)</f>
        <v>0</v>
      </c>
      <c r="AF143" s="9" t="n">
        <f aca="false">(AF142*Assumptions!$C$53)</f>
        <v>0</v>
      </c>
      <c r="AG143" s="9" t="n">
        <f aca="false">(AG142*Assumptions!$C$53)</f>
        <v>6480</v>
      </c>
      <c r="AH143" s="9" t="n">
        <f aca="false">(AH142*Assumptions!$C$53)</f>
        <v>8650.8</v>
      </c>
      <c r="AI143" s="9" t="n">
        <f aca="false">(AI142*Assumptions!$C$53)</f>
        <v>10734.768</v>
      </c>
      <c r="AJ143" s="9" t="n">
        <f aca="false">(AJ142*Assumptions!$C$53)</f>
        <v>12735.37728</v>
      </c>
      <c r="AK143" s="9" t="n">
        <f aca="false">(AK142*Assumptions!$C$53)</f>
        <v>14655.9621888</v>
      </c>
      <c r="AL143" s="9" t="n">
        <f aca="false">(AL142*Assumptions!$C$53)</f>
        <v>16499.723701248</v>
      </c>
      <c r="AN143" s="11" t="n">
        <f aca="false">SUM(C143:N143)</f>
        <v>0</v>
      </c>
      <c r="AO143" s="11" t="n">
        <f aca="false">SUM(O143:Z143)</f>
        <v>0</v>
      </c>
      <c r="AP143" s="11" t="n">
        <f aca="false">SUM(AA143:AL143)</f>
        <v>69756.631170048</v>
      </c>
    </row>
    <row r="144" customFormat="false" ht="15" hidden="false" customHeight="false" outlineLevel="0" collapsed="false">
      <c r="A144" s="0" t="s">
        <v>950</v>
      </c>
      <c r="B144" s="0" t="s">
        <v>230</v>
      </c>
      <c r="C144" s="9" t="n">
        <f aca="false">(C143*Assumptions!$C$54)</f>
        <v>0</v>
      </c>
      <c r="D144" s="9" t="n">
        <f aca="false">(D143*Assumptions!$C$54)</f>
        <v>0</v>
      </c>
      <c r="E144" s="9" t="n">
        <f aca="false">(E143*Assumptions!$C$54)</f>
        <v>0</v>
      </c>
      <c r="F144" s="9" t="n">
        <f aca="false">(F143*Assumptions!$C$54)</f>
        <v>0</v>
      </c>
      <c r="G144" s="9" t="n">
        <f aca="false">(G143*Assumptions!$C$54)</f>
        <v>0</v>
      </c>
      <c r="H144" s="9" t="n">
        <f aca="false">(H143*Assumptions!$C$54)</f>
        <v>0</v>
      </c>
      <c r="I144" s="9" t="n">
        <f aca="false">(I143*Assumptions!$C$54)</f>
        <v>0</v>
      </c>
      <c r="J144" s="9" t="n">
        <f aca="false">(J143*Assumptions!$C$54)</f>
        <v>0</v>
      </c>
      <c r="K144" s="9" t="n">
        <f aca="false">(K143*Assumptions!$C$54)</f>
        <v>0</v>
      </c>
      <c r="L144" s="9" t="n">
        <f aca="false">(L143*Assumptions!$C$54)</f>
        <v>0</v>
      </c>
      <c r="M144" s="9" t="n">
        <f aca="false">(M143*Assumptions!$C$54)</f>
        <v>0</v>
      </c>
      <c r="N144" s="9" t="n">
        <f aca="false">(N143*Assumptions!$C$54)</f>
        <v>0</v>
      </c>
      <c r="O144" s="9" t="n">
        <f aca="false">(O143*Assumptions!$C$54)</f>
        <v>0</v>
      </c>
      <c r="P144" s="9" t="n">
        <f aca="false">(P143*Assumptions!$C$54)</f>
        <v>0</v>
      </c>
      <c r="Q144" s="9" t="n">
        <f aca="false">(Q143*Assumptions!$C$54)</f>
        <v>0</v>
      </c>
      <c r="R144" s="9" t="n">
        <f aca="false">(R143*Assumptions!$C$54)</f>
        <v>0</v>
      </c>
      <c r="S144" s="9" t="n">
        <f aca="false">(S143*Assumptions!$C$54)</f>
        <v>0</v>
      </c>
      <c r="T144" s="9" t="n">
        <f aca="false">(T143*Assumptions!$C$54)</f>
        <v>0</v>
      </c>
      <c r="U144" s="9" t="n">
        <f aca="false">(U143*Assumptions!$C$54)</f>
        <v>0</v>
      </c>
      <c r="V144" s="9" t="n">
        <f aca="false">(V143*Assumptions!$C$54)</f>
        <v>0</v>
      </c>
      <c r="W144" s="9" t="n">
        <f aca="false">(W143*Assumptions!$C$54)</f>
        <v>0</v>
      </c>
      <c r="X144" s="9" t="n">
        <f aca="false">(X143*Assumptions!$C$54)</f>
        <v>0</v>
      </c>
      <c r="Y144" s="9" t="n">
        <f aca="false">(Y143*Assumptions!$C$54)</f>
        <v>0</v>
      </c>
      <c r="Z144" s="9" t="n">
        <f aca="false">(Z143*Assumptions!$C$54)</f>
        <v>0</v>
      </c>
      <c r="AA144" s="9" t="n">
        <f aca="false">(AA143*Assumptions!$C$54)</f>
        <v>0</v>
      </c>
      <c r="AB144" s="9" t="n">
        <f aca="false">(AB143*Assumptions!$C$54)</f>
        <v>0</v>
      </c>
      <c r="AC144" s="9" t="n">
        <f aca="false">(AC143*Assumptions!$C$54)</f>
        <v>0</v>
      </c>
      <c r="AD144" s="9" t="n">
        <f aca="false">(AD143*Assumptions!$C$54)</f>
        <v>0</v>
      </c>
      <c r="AE144" s="9" t="n">
        <f aca="false">(AE143*Assumptions!$C$54)</f>
        <v>0</v>
      </c>
      <c r="AF144" s="9" t="n">
        <f aca="false">(AF143*Assumptions!$C$54)</f>
        <v>0</v>
      </c>
      <c r="AG144" s="9" t="n">
        <f aca="false">(AG143*Assumptions!$C$54)</f>
        <v>972</v>
      </c>
      <c r="AH144" s="9" t="n">
        <f aca="false">(AH143*Assumptions!$C$54)</f>
        <v>1297.62</v>
      </c>
      <c r="AI144" s="9" t="n">
        <f aca="false">(AI143*Assumptions!$C$54)</f>
        <v>1610.2152</v>
      </c>
      <c r="AJ144" s="9" t="n">
        <f aca="false">(AJ143*Assumptions!$C$54)</f>
        <v>1910.306592</v>
      </c>
      <c r="AK144" s="9" t="n">
        <f aca="false">(AK143*Assumptions!$C$54)</f>
        <v>2198.39432832</v>
      </c>
      <c r="AL144" s="9" t="n">
        <f aca="false">(AL143*Assumptions!$C$54)</f>
        <v>2474.9585551872</v>
      </c>
      <c r="AN144" s="11" t="n">
        <f aca="false">SUM(C144:N144)</f>
        <v>0</v>
      </c>
      <c r="AO144" s="11" t="n">
        <f aca="false">SUM(O144:Z144)</f>
        <v>0</v>
      </c>
      <c r="AP144" s="11" t="n">
        <f aca="false">SUM(AA144:AL144)</f>
        <v>10463.4946755072</v>
      </c>
    </row>
    <row r="145" customFormat="false" ht="15" hidden="false" customHeight="false" outlineLevel="0" collapsed="false">
      <c r="A145" s="21" t="s">
        <v>951</v>
      </c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</row>
    <row r="146" customFormat="false" ht="15" hidden="false" customHeight="false" outlineLevel="0" collapsed="false">
      <c r="A146" s="10" t="s">
        <v>28</v>
      </c>
      <c r="B146" s="20" t="s">
        <v>230</v>
      </c>
      <c r="C146" s="11" t="n">
        <f aca="false">(((((((C42+C129)+C127)+C131)+C136)+C137)+C140)+C144)</f>
        <v>0</v>
      </c>
      <c r="D146" s="11" t="n">
        <f aca="false">(((((((D42+D129)+D127)+D131)+D136)+D137)+D140)+D144)</f>
        <v>0</v>
      </c>
      <c r="E146" s="11" t="n">
        <f aca="false">(((((((E42+E129)+E127)+E131)+E136)+E137)+E140)+E144)</f>
        <v>0</v>
      </c>
      <c r="F146" s="11" t="n">
        <f aca="false">(((((((F42+F129)+F127)+F131)+F136)+F137)+F140)+F144)</f>
        <v>0</v>
      </c>
      <c r="G146" s="11" t="n">
        <f aca="false">(((((((G42+G129)+G127)+G131)+G136)+G137)+G140)+G144)</f>
        <v>0</v>
      </c>
      <c r="H146" s="11" t="n">
        <f aca="false">(((((((H42+H129)+H127)+H131)+H136)+H137)+H140)+H144)</f>
        <v>0</v>
      </c>
      <c r="I146" s="11" t="n">
        <f aca="false">(((((((I42+I129)+I127)+I131)+I136)+I137)+I140)+I144)</f>
        <v>0</v>
      </c>
      <c r="J146" s="11" t="n">
        <f aca="false">(((((((J42+J129)+J127)+J131)+J136)+J137)+J140)+J144)</f>
        <v>0</v>
      </c>
      <c r="K146" s="11" t="n">
        <f aca="false">(((((((K42+K129)+K127)+K131)+K136)+K137)+K140)+K144)</f>
        <v>0</v>
      </c>
      <c r="L146" s="11" t="n">
        <f aca="false">(((((((L42+L129)+L127)+L131)+L136)+L137)+L140)+L144)</f>
        <v>0</v>
      </c>
      <c r="M146" s="11" t="n">
        <f aca="false">(((((((M42+M129)+M127)+M131)+M136)+M137)+M140)+M144)</f>
        <v>0</v>
      </c>
      <c r="N146" s="11" t="n">
        <f aca="false">(((((((N42+N129)+N127)+N131)+N136)+N137)+N140)+N144)</f>
        <v>0</v>
      </c>
      <c r="O146" s="11" t="n">
        <f aca="false">(((((((O42+O129)+O127)+O131)+O136)+O137)+O140)+O144)</f>
        <v>12.4630448893627</v>
      </c>
      <c r="P146" s="11" t="n">
        <f aca="false">(((((((P42+P129)+P127)+P131)+P136)+P137)+P140)+P144)</f>
        <v>1044.35810273678</v>
      </c>
      <c r="Q146" s="11" t="n">
        <f aca="false">(((((((Q42+Q129)+Q127)+Q131)+Q136)+Q137)+Q140)+Q144)</f>
        <v>9402.44766744652</v>
      </c>
      <c r="R146" s="11" t="n">
        <f aca="false">(((((((R42+R129)+R127)+R131)+R136)+R137)+R140)+R144)</f>
        <v>9451.37745428455</v>
      </c>
      <c r="S146" s="11" t="n">
        <f aca="false">(((((((S42+S129)+S127)+S131)+S136)+S137)+S140)+S144)</f>
        <v>9506.31086916252</v>
      </c>
      <c r="T146" s="11" t="n">
        <f aca="false">(((((((T42+T129)+T127)+T131)+T136)+T137)+T140)+T144)</f>
        <v>22639.1256448441</v>
      </c>
      <c r="U146" s="11" t="n">
        <f aca="false">(((((((U42+U129)+U127)+U131)+U136)+U137)+U140)+U144)</f>
        <v>22698.2129963316</v>
      </c>
      <c r="V146" s="11" t="n">
        <f aca="false">(((((((V42+V129)+V127)+V131)+V136)+V137)+V140)+V144)</f>
        <v>23125.6584407002</v>
      </c>
      <c r="W146" s="11" t="n">
        <f aca="false">(((((((W42+W129)+W127)+W131)+W136)+W137)+W140)+W144)</f>
        <v>31528.0159232935</v>
      </c>
      <c r="X146" s="11" t="n">
        <f aca="false">(((((((X42+X129)+X127)+X131)+X136)+X137)+X140)+X144)</f>
        <v>32018.1517933372</v>
      </c>
      <c r="Y146" s="11" t="n">
        <f aca="false">(((((((Y42+Y129)+Y127)+Y131)+Y136)+Y137)+Y140)+Y144)</f>
        <v>32115.0176795535</v>
      </c>
      <c r="Z146" s="11" t="n">
        <f aca="false">(((((((Z42+Z129)+Z127)+Z131)+Z136)+Z137)+Z140)+Z144)</f>
        <v>33637.527345928</v>
      </c>
      <c r="AA146" s="11" t="n">
        <f aca="false">(((((((AA42+AA129)+AA127)+AA131)+AA136)+AA137)+AA140)+AA144)</f>
        <v>41277.7676508271</v>
      </c>
      <c r="AB146" s="11" t="n">
        <f aca="false">(((((((AB42+AB129)+AB127)+AB131)+AB136)+AB137)+AB140)+AB144)</f>
        <v>41887.4948950025</v>
      </c>
      <c r="AC146" s="11" t="n">
        <f aca="false">(((((((AC42+AC129)+AC127)+AC131)+AC136)+AC137)+AC140)+AC144)</f>
        <v>47817.2037427647</v>
      </c>
      <c r="AD146" s="11" t="n">
        <f aca="false">(((((((AD42+AD129)+AD127)+AD131)+AD136)+AD137)+AD140)+AD144)</f>
        <v>64475.8528757069</v>
      </c>
      <c r="AE146" s="11" t="n">
        <f aca="false">(((((((AE42+AE129)+AE127)+AE131)+AE136)+AE137)+AE140)+AE144)</f>
        <v>65132.0255469729</v>
      </c>
      <c r="AF146" s="11" t="n">
        <f aca="false">(((((((AF42+AF129)+AF127)+AF131)+AF136)+AF137)+AF140)+AF144)</f>
        <v>79052.8291615852</v>
      </c>
      <c r="AG146" s="11" t="n">
        <f aca="false">(((((((AG42+AG129)+AG127)+AG131)+AG136)+AG137)+AG140)+AG144)</f>
        <v>93972.9511373331</v>
      </c>
      <c r="AH146" s="11" t="n">
        <f aca="false">(((((((AH42+AH129)+AH127)+AH131)+AH136)+AH137)+AH140)+AH144)</f>
        <v>121398.473265462</v>
      </c>
      <c r="AI146" s="11" t="n">
        <f aca="false">(((((((AI42+AI129)+AI127)+AI131)+AI136)+AI137)+AI140)+AI144)</f>
        <v>125751.597614633</v>
      </c>
      <c r="AJ146" s="11" t="n">
        <f aca="false">(((((((AJ42+AJ129)+AJ127)+AJ131)+AJ136)+AJ137)+AJ140)+AJ144)</f>
        <v>136416.214651275</v>
      </c>
      <c r="AK146" s="11" t="n">
        <f aca="false">(((((((AK42+AK129)+AK127)+AK131)+AK136)+AK137)+AK140)+AK144)</f>
        <v>117666.126082062</v>
      </c>
      <c r="AL146" s="11" t="n">
        <f aca="false">(((((((AL42+AL129)+AL127)+AL131)+AL136)+AL137)+AL140)+AL144)</f>
        <v>124555.324075237</v>
      </c>
      <c r="AN146" s="11" t="n">
        <f aca="false">SUM(C146:N146)</f>
        <v>0</v>
      </c>
      <c r="AO146" s="11" t="n">
        <f aca="false">SUM(O146:Z146)</f>
        <v>227178.666962508</v>
      </c>
      <c r="AP146" s="11" t="n">
        <f aca="false">SUM(AA146:AL146)</f>
        <v>1059403.86069886</v>
      </c>
    </row>
    <row r="147" customFormat="false" ht="15" hidden="false" customHeight="false" outlineLevel="0" collapsed="false">
      <c r="A147" s="0" t="s">
        <v>952</v>
      </c>
      <c r="B147" s="0" t="s">
        <v>230</v>
      </c>
      <c r="C147" s="9" t="n">
        <f aca="false">((((C42+C127)+C136)+C137)+C140)</f>
        <v>0</v>
      </c>
      <c r="D147" s="9" t="n">
        <f aca="false">((((D42+D127)+D136)+D137)+D140)</f>
        <v>0</v>
      </c>
      <c r="E147" s="9" t="n">
        <f aca="false">((((E42+E127)+E136)+E137)+E140)</f>
        <v>0</v>
      </c>
      <c r="F147" s="9" t="n">
        <f aca="false">((((F42+F127)+F136)+F137)+F140)</f>
        <v>0</v>
      </c>
      <c r="G147" s="9" t="n">
        <f aca="false">((((G42+G127)+G136)+G137)+G140)</f>
        <v>0</v>
      </c>
      <c r="H147" s="9" t="n">
        <f aca="false">((((H42+H127)+H136)+H137)+H140)</f>
        <v>0</v>
      </c>
      <c r="I147" s="9" t="n">
        <f aca="false">((((I42+I127)+I136)+I137)+I140)</f>
        <v>0</v>
      </c>
      <c r="J147" s="9" t="n">
        <f aca="false">((((J42+J127)+J136)+J137)+J140)</f>
        <v>0</v>
      </c>
      <c r="K147" s="9" t="n">
        <f aca="false">((((K42+K127)+K136)+K137)+K140)</f>
        <v>0</v>
      </c>
      <c r="L147" s="9" t="n">
        <f aca="false">((((L42+L127)+L136)+L137)+L140)</f>
        <v>0</v>
      </c>
      <c r="M147" s="9" t="n">
        <f aca="false">((((M42+M127)+M136)+M137)+M140)</f>
        <v>0</v>
      </c>
      <c r="N147" s="9" t="n">
        <f aca="false">((((N42+N127)+N136)+N137)+N140)</f>
        <v>0</v>
      </c>
      <c r="O147" s="9" t="n">
        <f aca="false">((((O42+O127)+O136)+O137)+O140)</f>
        <v>12.4630448893627</v>
      </c>
      <c r="P147" s="9" t="n">
        <f aca="false">((((P42+P127)+P136)+P137)+P140)</f>
        <v>1044.35810273678</v>
      </c>
      <c r="Q147" s="9" t="n">
        <f aca="false">((((Q42+Q127)+Q136)+Q137)+Q140)</f>
        <v>3927.44766744652</v>
      </c>
      <c r="R147" s="9" t="n">
        <f aca="false">((((R42+R127)+R136)+R137)+R140)</f>
        <v>3976.37745428455</v>
      </c>
      <c r="S147" s="9" t="n">
        <f aca="false">((((S42+S127)+S136)+S137)+S140)</f>
        <v>4031.31086916253</v>
      </c>
      <c r="T147" s="9" t="n">
        <f aca="false">((((T42+T127)+T136)+T137)+T140)</f>
        <v>4089.12564484413</v>
      </c>
      <c r="U147" s="9" t="n">
        <f aca="false">((((U42+U127)+U136)+U137)+U140)</f>
        <v>4148.21299633159</v>
      </c>
      <c r="V147" s="9" t="n">
        <f aca="false">((((V42+V127)+V136)+V137)+V140)</f>
        <v>4575.65844070016</v>
      </c>
      <c r="W147" s="9" t="n">
        <f aca="false">((((W42+W127)+W136)+W137)+W140)</f>
        <v>4653.01592329348</v>
      </c>
      <c r="X147" s="9" t="n">
        <f aca="false">((((X42+X127)+X136)+X137)+X140)</f>
        <v>5143.15179333722</v>
      </c>
      <c r="Y147" s="9" t="n">
        <f aca="false">((((Y42+Y127)+Y136)+Y137)+Y140)</f>
        <v>5240.01767955346</v>
      </c>
      <c r="Z147" s="9" t="n">
        <f aca="false">((((Z42+Z127)+Z136)+Z137)+Z140)</f>
        <v>5337.52734592798</v>
      </c>
      <c r="AA147" s="9" t="n">
        <f aca="false">((((AA42+AA127)+AA136)+AA137)+AA140)</f>
        <v>8927.76765082707</v>
      </c>
      <c r="AB147" s="9" t="n">
        <f aca="false">((((AB42+AB127)+AB136)+AB137)+AB140)</f>
        <v>9537.49489500245</v>
      </c>
      <c r="AC147" s="9" t="n">
        <f aca="false">((((AC42+AC127)+AC136)+AC137)+AC140)</f>
        <v>9992.20374276466</v>
      </c>
      <c r="AD147" s="9" t="n">
        <f aca="false">((((AD42+AD127)+AD136)+AD137)+AD140)</f>
        <v>17850.8528757069</v>
      </c>
      <c r="AE147" s="9" t="n">
        <f aca="false">((((AE42+AE127)+AE136)+AE137)+AE140)</f>
        <v>18507.0255469729</v>
      </c>
      <c r="AF147" s="9" t="n">
        <f aca="false">((((AF42+AF127)+AF136)+AF137)+AF140)</f>
        <v>19352.8291615852</v>
      </c>
      <c r="AG147" s="9" t="n">
        <f aca="false">((((AG42+AG127)+AG136)+AG137)+AG140)</f>
        <v>29250.9511373331</v>
      </c>
      <c r="AH147" s="9" t="n">
        <f aca="false">((((AH42+AH127)+AH136)+AH137)+AH140)</f>
        <v>30450.8532654623</v>
      </c>
      <c r="AI147" s="9" t="n">
        <f aca="false">((((AI42+AI127)+AI136)+AI137)+AI140)</f>
        <v>31641.3824146329</v>
      </c>
      <c r="AJ147" s="9" t="n">
        <f aca="false">((((AJ42+AJ127)+AJ136)+AJ137)+AJ140)</f>
        <v>42005.9080592753</v>
      </c>
      <c r="AK147" s="9" t="n">
        <f aca="false">((((AK42+AK127)+AK136)+AK137)+AK140)</f>
        <v>43167.7317537421</v>
      </c>
      <c r="AL147" s="9" t="n">
        <f aca="false">((((AL42+AL127)+AL136)+AL137)+AL140)</f>
        <v>44305.3655200494</v>
      </c>
      <c r="AN147" s="11" t="n">
        <f aca="false">SUM(C147:N147)</f>
        <v>0</v>
      </c>
      <c r="AO147" s="11" t="n">
        <f aca="false">SUM(O147:Z147)</f>
        <v>46178.6669625077</v>
      </c>
      <c r="AP147" s="11" t="n">
        <f aca="false">SUM(AA147:AL147)</f>
        <v>304990.366023354</v>
      </c>
    </row>
    <row r="148" customFormat="false" ht="15" hidden="false" customHeight="false" outlineLevel="0" collapsed="false">
      <c r="A148" s="10" t="s">
        <v>953</v>
      </c>
      <c r="B148" s="20" t="s">
        <v>230</v>
      </c>
      <c r="C148" s="11" t="n">
        <f aca="false">(C147*12)</f>
        <v>0</v>
      </c>
      <c r="D148" s="11" t="n">
        <f aca="false">(D147*12)</f>
        <v>0</v>
      </c>
      <c r="E148" s="11" t="n">
        <f aca="false">(E147*12)</f>
        <v>0</v>
      </c>
      <c r="F148" s="11" t="n">
        <f aca="false">(F147*12)</f>
        <v>0</v>
      </c>
      <c r="G148" s="11" t="n">
        <f aca="false">(G147*12)</f>
        <v>0</v>
      </c>
      <c r="H148" s="11" t="n">
        <f aca="false">(H147*12)</f>
        <v>0</v>
      </c>
      <c r="I148" s="11" t="n">
        <f aca="false">(I147*12)</f>
        <v>0</v>
      </c>
      <c r="J148" s="11" t="n">
        <f aca="false">(J147*12)</f>
        <v>0</v>
      </c>
      <c r="K148" s="11" t="n">
        <f aca="false">(K147*12)</f>
        <v>0</v>
      </c>
      <c r="L148" s="11" t="n">
        <f aca="false">(L147*12)</f>
        <v>0</v>
      </c>
      <c r="M148" s="11" t="n">
        <f aca="false">(M147*12)</f>
        <v>0</v>
      </c>
      <c r="N148" s="11" t="n">
        <f aca="false">(N147*12)</f>
        <v>0</v>
      </c>
      <c r="O148" s="11" t="n">
        <f aca="false">(O147*12)</f>
        <v>149.556538672353</v>
      </c>
      <c r="P148" s="11" t="n">
        <f aca="false">(P147*12)</f>
        <v>12532.2972328414</v>
      </c>
      <c r="Q148" s="11" t="n">
        <f aca="false">(Q147*12)</f>
        <v>47129.3720093583</v>
      </c>
      <c r="R148" s="11" t="n">
        <f aca="false">(R147*12)</f>
        <v>47716.5294514146</v>
      </c>
      <c r="S148" s="11" t="n">
        <f aca="false">(S147*12)</f>
        <v>48375.7304299503</v>
      </c>
      <c r="T148" s="11" t="n">
        <f aca="false">(T147*12)</f>
        <v>49069.5077381295</v>
      </c>
      <c r="U148" s="11" t="n">
        <f aca="false">(U147*12)</f>
        <v>49778.5559559791</v>
      </c>
      <c r="V148" s="11" t="n">
        <f aca="false">(V147*12)</f>
        <v>54907.9012884019</v>
      </c>
      <c r="W148" s="11" t="n">
        <f aca="false">(W147*12)</f>
        <v>55836.1910795218</v>
      </c>
      <c r="X148" s="11" t="n">
        <f aca="false">(X147*12)</f>
        <v>61717.8215200466</v>
      </c>
      <c r="Y148" s="11" t="n">
        <f aca="false">(Y147*12)</f>
        <v>62880.2121546415</v>
      </c>
      <c r="Z148" s="11" t="n">
        <f aca="false">(Z147*12)</f>
        <v>64050.3281511358</v>
      </c>
      <c r="AA148" s="11" t="n">
        <f aca="false">(AA147*12)</f>
        <v>107133.211809925</v>
      </c>
      <c r="AB148" s="11" t="n">
        <f aca="false">(AB147*12)</f>
        <v>114449.938740029</v>
      </c>
      <c r="AC148" s="11" t="n">
        <f aca="false">(AC147*12)</f>
        <v>119906.444913176</v>
      </c>
      <c r="AD148" s="11" t="n">
        <f aca="false">(AD147*12)</f>
        <v>214210.234508482</v>
      </c>
      <c r="AE148" s="11" t="n">
        <f aca="false">(AE147*12)</f>
        <v>222084.306563675</v>
      </c>
      <c r="AF148" s="11" t="n">
        <f aca="false">(AF147*12)</f>
        <v>232233.949939022</v>
      </c>
      <c r="AG148" s="11" t="n">
        <f aca="false">(AG147*12)</f>
        <v>351011.413647997</v>
      </c>
      <c r="AH148" s="11" t="n">
        <f aca="false">(AH147*12)</f>
        <v>365410.239185548</v>
      </c>
      <c r="AI148" s="11" t="n">
        <f aca="false">(AI147*12)</f>
        <v>379696.588975595</v>
      </c>
      <c r="AJ148" s="11" t="n">
        <f aca="false">(AJ147*12)</f>
        <v>504070.896711304</v>
      </c>
      <c r="AK148" s="11" t="n">
        <f aca="false">(AK147*12)</f>
        <v>518012.781044906</v>
      </c>
      <c r="AL148" s="11" t="n">
        <f aca="false">(AL147*12)</f>
        <v>531664.386240593</v>
      </c>
      <c r="AN148" s="11" t="n">
        <f aca="false">N148</f>
        <v>0</v>
      </c>
      <c r="AO148" s="11" t="n">
        <f aca="false">Z148</f>
        <v>64050.3281511358</v>
      </c>
      <c r="AP148" s="11" t="n">
        <f aca="false">AL148</f>
        <v>531664.386240593</v>
      </c>
    </row>
    <row r="149" customFormat="false" ht="15" hidden="false" customHeight="false" outlineLevel="0" collapsed="false">
      <c r="A149" s="0" t="s">
        <v>954</v>
      </c>
      <c r="B149" s="0" t="s">
        <v>230</v>
      </c>
      <c r="C149" s="9" t="n">
        <f aca="false">((((C127+C136)+C137)+C140)*12)</f>
        <v>0</v>
      </c>
      <c r="D149" s="9" t="n">
        <f aca="false">((((D127+D136)+D137)+D140)*12)</f>
        <v>0</v>
      </c>
      <c r="E149" s="9" t="n">
        <f aca="false">((((E127+E136)+E137)+E140)*12)</f>
        <v>0</v>
      </c>
      <c r="F149" s="9" t="n">
        <f aca="false">((((F127+F136)+F137)+F140)*12)</f>
        <v>0</v>
      </c>
      <c r="G149" s="9" t="n">
        <f aca="false">((((G127+G136)+G137)+G140)*12)</f>
        <v>0</v>
      </c>
      <c r="H149" s="9" t="n">
        <f aca="false">((((H127+H136)+H137)+H140)*12)</f>
        <v>0</v>
      </c>
      <c r="I149" s="9" t="n">
        <f aca="false">((((I127+I136)+I137)+I140)*12)</f>
        <v>0</v>
      </c>
      <c r="J149" s="9" t="n">
        <f aca="false">((((J127+J136)+J137)+J140)*12)</f>
        <v>0</v>
      </c>
      <c r="K149" s="9" t="n">
        <f aca="false">((((K127+K136)+K137)+K140)*12)</f>
        <v>0</v>
      </c>
      <c r="L149" s="9" t="n">
        <f aca="false">((((L127+L136)+L137)+L140)*12)</f>
        <v>0</v>
      </c>
      <c r="M149" s="9" t="n">
        <f aca="false">((((M127+M136)+M137)+M140)*12)</f>
        <v>0</v>
      </c>
      <c r="N149" s="9" t="n">
        <f aca="false">((((N127+N136)+N137)+N140)*12)</f>
        <v>0</v>
      </c>
      <c r="O149" s="9" t="n">
        <f aca="false">((((O127+O136)+O137)+O140)*12)</f>
        <v>0</v>
      </c>
      <c r="P149" s="9" t="n">
        <f aca="false">((((P127+P136)+P137)+P140)*12)</f>
        <v>12038.4</v>
      </c>
      <c r="Q149" s="9" t="n">
        <f aca="false">((((Q127+Q136)+Q137)+Q140)*12)</f>
        <v>46147.2</v>
      </c>
      <c r="R149" s="9" t="n">
        <f aca="false">((((R127+R136)+R137)+R140)*12)</f>
        <v>46147.2</v>
      </c>
      <c r="S149" s="9" t="n">
        <f aca="false">((((S127+S136)+S137)+S140)*12)</f>
        <v>46147.2</v>
      </c>
      <c r="T149" s="9" t="n">
        <f aca="false">((((T127+T136)+T137)+T140)*12)</f>
        <v>46147.2</v>
      </c>
      <c r="U149" s="9" t="n">
        <f aca="false">((((U127+U136)+U137)+U140)*12)</f>
        <v>46147.2</v>
      </c>
      <c r="V149" s="9" t="n">
        <f aca="false">((((V127+V136)+V137)+V140)*12)</f>
        <v>50524.8</v>
      </c>
      <c r="W149" s="9" t="n">
        <f aca="false">((((W127+W136)+W137)+W140)*12)</f>
        <v>50524.8</v>
      </c>
      <c r="X149" s="9" t="n">
        <f aca="false">((((X127+X136)+X137)+X140)*12)</f>
        <v>55291.2</v>
      </c>
      <c r="Y149" s="9" t="n">
        <f aca="false">((((Y127+Y136)+Y137)+Y140)*12)</f>
        <v>55291.2</v>
      </c>
      <c r="Z149" s="9" t="n">
        <f aca="false">((((Z127+Z136)+Z137)+Z140)*12)</f>
        <v>55291.2</v>
      </c>
      <c r="AA149" s="9" t="n">
        <f aca="false">((((AA127+AA136)+AA137)+AA140)*12)</f>
        <v>97260</v>
      </c>
      <c r="AB149" s="9" t="n">
        <f aca="false">((((AB127+AB136)+AB137)+AB140)*12)</f>
        <v>103369.344</v>
      </c>
      <c r="AC149" s="9" t="n">
        <f aca="false">((((AC127+AC136)+AC137)+AC140)*12)</f>
        <v>107574.672</v>
      </c>
      <c r="AD149" s="9" t="n">
        <f aca="false">((((AD127+AD136)+AD137)+AD140)*12)</f>
        <v>200626.4544</v>
      </c>
      <c r="AE149" s="9" t="n">
        <f aca="false">((((AE127+AE136)+AE137)+AE140)*12)</f>
        <v>207267.505152</v>
      </c>
      <c r="AF149" s="9" t="n">
        <f aca="false">((((AF127+AF136)+AF137)+AF140)*12)</f>
        <v>216238.13488896</v>
      </c>
      <c r="AG149" s="9" t="n">
        <f aca="false">((((AG127+AG136)+AG137)+AG140)*12)</f>
        <v>333902.760031181</v>
      </c>
      <c r="AH149" s="9" t="n">
        <f aca="false">((((AH127+AH136)+AH137)+AH140)*12)</f>
        <v>347209.263870557</v>
      </c>
      <c r="AI149" s="9" t="n">
        <f aca="false">((((AI127+AI136)+AI137)+AI140)*12)</f>
        <v>360249.637633146</v>
      </c>
      <c r="AJ149" s="9" t="n">
        <f aca="false">((((AJ127+AJ136)+AJ137)+AJ140)*12)</f>
        <v>483208.835920483</v>
      </c>
      <c r="AK149" s="9" t="n">
        <f aca="false">((((AK127+AK136)+AK137)+AK140)*12)</f>
        <v>495732.810882074</v>
      </c>
      <c r="AL149" s="9" t="n">
        <f aca="false">((((AL127+AL136)+AL137)+AL140)*12)</f>
        <v>508006.306344432</v>
      </c>
      <c r="AN149" s="11" t="n">
        <f aca="false">N149</f>
        <v>0</v>
      </c>
      <c r="AO149" s="11" t="n">
        <f aca="false">Z149</f>
        <v>55291.2</v>
      </c>
      <c r="AP149" s="11" t="n">
        <f aca="false">AL149</f>
        <v>508006.306344432</v>
      </c>
    </row>
    <row r="150" customFormat="false" ht="15" hidden="false" customHeight="false" outlineLevel="0" collapsed="false">
      <c r="A150" s="0" t="s">
        <v>955</v>
      </c>
      <c r="B150" s="0" t="s">
        <v>230</v>
      </c>
      <c r="C150" s="9" t="n">
        <f aca="false">(C42*12)</f>
        <v>0</v>
      </c>
      <c r="D150" s="9" t="n">
        <f aca="false">(D42*12)</f>
        <v>0</v>
      </c>
      <c r="E150" s="9" t="n">
        <f aca="false">(E42*12)</f>
        <v>0</v>
      </c>
      <c r="F150" s="9" t="n">
        <f aca="false">(F42*12)</f>
        <v>0</v>
      </c>
      <c r="G150" s="9" t="n">
        <f aca="false">(G42*12)</f>
        <v>0</v>
      </c>
      <c r="H150" s="9" t="n">
        <f aca="false">(H42*12)</f>
        <v>0</v>
      </c>
      <c r="I150" s="9" t="n">
        <f aca="false">(I42*12)</f>
        <v>0</v>
      </c>
      <c r="J150" s="9" t="n">
        <f aca="false">(J42*12)</f>
        <v>0</v>
      </c>
      <c r="K150" s="9" t="n">
        <f aca="false">(K42*12)</f>
        <v>0</v>
      </c>
      <c r="L150" s="9" t="n">
        <f aca="false">(L42*12)</f>
        <v>0</v>
      </c>
      <c r="M150" s="9" t="n">
        <f aca="false">(M42*12)</f>
        <v>0</v>
      </c>
      <c r="N150" s="9" t="n">
        <f aca="false">(N42*12)</f>
        <v>0</v>
      </c>
      <c r="O150" s="9" t="n">
        <f aca="false">(O42*12)</f>
        <v>149.556538672353</v>
      </c>
      <c r="P150" s="9" t="n">
        <f aca="false">(P42*12)</f>
        <v>493.897232841375</v>
      </c>
      <c r="Q150" s="9" t="n">
        <f aca="false">(Q42*12)</f>
        <v>982.172009358273</v>
      </c>
      <c r="R150" s="9" t="n">
        <f aca="false">(R42*12)</f>
        <v>1569.32945141456</v>
      </c>
      <c r="S150" s="9" t="n">
        <f aca="false">(S42*12)</f>
        <v>2228.5304299503</v>
      </c>
      <c r="T150" s="9" t="n">
        <f aca="false">(T42*12)</f>
        <v>2922.30773812952</v>
      </c>
      <c r="U150" s="9" t="n">
        <f aca="false">(U42*12)</f>
        <v>3631.35595597908</v>
      </c>
      <c r="V150" s="9" t="n">
        <f aca="false">(V42*12)</f>
        <v>4383.10128840191</v>
      </c>
      <c r="W150" s="9" t="n">
        <f aca="false">(W42*12)</f>
        <v>5311.39107952178</v>
      </c>
      <c r="X150" s="9" t="n">
        <f aca="false">(X42*12)</f>
        <v>6426.62152004662</v>
      </c>
      <c r="Y150" s="9" t="n">
        <f aca="false">(Y42*12)</f>
        <v>7589.01215464148</v>
      </c>
      <c r="Z150" s="9" t="n">
        <f aca="false">(Z42*12)</f>
        <v>8759.12815113577</v>
      </c>
      <c r="AA150" s="9" t="n">
        <f aca="false">(AA42*12)</f>
        <v>9873.21180992488</v>
      </c>
      <c r="AB150" s="9" t="n">
        <f aca="false">(AB42*12)</f>
        <v>11080.5947400294</v>
      </c>
      <c r="AC150" s="9" t="n">
        <f aca="false">(AC42*12)</f>
        <v>12331.7729131759</v>
      </c>
      <c r="AD150" s="9" t="n">
        <f aca="false">(AD42*12)</f>
        <v>13583.7801084822</v>
      </c>
      <c r="AE150" s="9" t="n">
        <f aca="false">(AE42*12)</f>
        <v>14816.8014116749</v>
      </c>
      <c r="AF150" s="9" t="n">
        <f aca="false">(AF42*12)</f>
        <v>15995.8150500621</v>
      </c>
      <c r="AG150" s="9" t="n">
        <f aca="false">(AG42*12)</f>
        <v>17108.6536168164</v>
      </c>
      <c r="AH150" s="9" t="n">
        <f aca="false">(AH42*12)</f>
        <v>18200.9753149904</v>
      </c>
      <c r="AI150" s="9" t="n">
        <f aca="false">(AI42*12)</f>
        <v>19446.9513424492</v>
      </c>
      <c r="AJ150" s="9" t="n">
        <f aca="false">(AJ42*12)</f>
        <v>20862.0607908204</v>
      </c>
      <c r="AK150" s="9" t="n">
        <f aca="false">(AK42*12)</f>
        <v>22279.9701628321</v>
      </c>
      <c r="AL150" s="9" t="n">
        <f aca="false">(AL42*12)</f>
        <v>23658.0798961605</v>
      </c>
      <c r="AN150" s="11" t="n">
        <f aca="false">N150</f>
        <v>0</v>
      </c>
      <c r="AO150" s="11" t="n">
        <f aca="false">Z150</f>
        <v>8759.12815113577</v>
      </c>
      <c r="AP150" s="11" t="n">
        <f aca="false">AL150</f>
        <v>23658.0798961605</v>
      </c>
    </row>
    <row r="151" customFormat="false" ht="15" hidden="false" customHeight="false" outlineLevel="0" collapsed="false">
      <c r="A151" s="10" t="s">
        <v>956</v>
      </c>
      <c r="B151" s="20" t="s">
        <v>230</v>
      </c>
      <c r="C151" s="11" t="n">
        <f aca="false">(((((((C41+C130)+C128)+C132)+C136)+C137)+C140)+C144)</f>
        <v>0</v>
      </c>
      <c r="D151" s="11" t="n">
        <f aca="false">(((((((D41+D130)+D128)+D132)+D136)+D137)+D140)+D144)</f>
        <v>0</v>
      </c>
      <c r="E151" s="11" t="n">
        <f aca="false">(((((((E41+E130)+E128)+E132)+E136)+E137)+E140)+E144)</f>
        <v>0</v>
      </c>
      <c r="F151" s="11" t="n">
        <f aca="false">(((((((F41+F130)+F128)+F132)+F136)+F137)+F140)+F144)</f>
        <v>0</v>
      </c>
      <c r="G151" s="11" t="n">
        <f aca="false">(((((((G41+G130)+G128)+G132)+G136)+G137)+G140)+G144)</f>
        <v>0</v>
      </c>
      <c r="H151" s="11" t="n">
        <f aca="false">(((((((H41+H130)+H128)+H132)+H136)+H137)+H140)+H144)</f>
        <v>0</v>
      </c>
      <c r="I151" s="11" t="n">
        <f aca="false">(((((((I41+I130)+I128)+I132)+I136)+I137)+I140)+I144)</f>
        <v>0</v>
      </c>
      <c r="J151" s="11" t="n">
        <f aca="false">(((((((J41+J130)+J128)+J132)+J136)+J137)+J140)+J144)</f>
        <v>0</v>
      </c>
      <c r="K151" s="11" t="n">
        <f aca="false">(((((((K41+K130)+K128)+K132)+K136)+K137)+K140)+K144)</f>
        <v>0</v>
      </c>
      <c r="L151" s="11" t="n">
        <f aca="false">(((((((L41+L130)+L128)+L132)+L136)+L137)+L140)+L144)</f>
        <v>0</v>
      </c>
      <c r="M151" s="11" t="n">
        <f aca="false">(((((((M41+M130)+M128)+M132)+M136)+M137)+M140)+M144)</f>
        <v>0</v>
      </c>
      <c r="N151" s="11" t="n">
        <f aca="false">(((((((N41+N130)+N128)+N132)+N136)+N137)+N140)+N144)</f>
        <v>0</v>
      </c>
      <c r="O151" s="11" t="n">
        <f aca="false">(((((((O41+O130)+O128)+O132)+O136)+O137)+O140)+O144)</f>
        <v>58.3718317812752</v>
      </c>
      <c r="P151" s="11" t="n">
        <f aca="false">(((((((P41+P130)+P128)+P132)+P136)+P137)+P140)+P144)</f>
        <v>12182.9939463562</v>
      </c>
      <c r="Q151" s="11" t="n">
        <f aca="false">(((((((Q41+Q130)+Q128)+Q132)+Q136)+Q137)+Q140)+Q144)</f>
        <v>55032.837820926</v>
      </c>
      <c r="R151" s="11" t="n">
        <f aca="false">(((((((R41+R130)+R128)+R132)+R136)+R137)+R140)+R144)</f>
        <v>295.22578252445</v>
      </c>
      <c r="S151" s="11" t="n">
        <f aca="false">(((((((S41+S130)+S128)+S132)+S136)+S137)+S140)+S144)</f>
        <v>361.998885436016</v>
      </c>
      <c r="T151" s="11" t="n">
        <f aca="false">(((((((T41+T130)+T128)+T132)+T136)+T137)+T140)+T144)</f>
        <v>64618.2520469322</v>
      </c>
      <c r="U151" s="11" t="n">
        <f aca="false">(((((((U41+U130)+U128)+U132)+U136)+U137)+U140)+U144)</f>
        <v>468.433102069063</v>
      </c>
      <c r="V151" s="11" t="n">
        <f aca="false">(((((((V41+V130)+V128)+V132)+V136)+V137)+V140)+V144)</f>
        <v>894.234362890925</v>
      </c>
      <c r="W151" s="11" t="n">
        <f aca="false">(((((((W41+W130)+W128)+W132)+W136)+W137)+W140)+W144)</f>
        <v>85909.4596558952</v>
      </c>
      <c r="X151" s="11" t="n">
        <f aca="false">(((((((X41+X130)+X128)+X132)+X136)+X137)+X140)+X144)</f>
        <v>5404.61134309849</v>
      </c>
      <c r="Y151" s="11" t="n">
        <f aca="false">(((((((Y41+Y130)+Y128)+Y132)+Y136)+Y137)+Y140)+Y144)</f>
        <v>1272.75279737777</v>
      </c>
      <c r="Z151" s="11" t="n">
        <f aca="false">(((((((Z41+Z130)+Z128)+Z132)+Z136)+Z137)+Z140)+Z144)</f>
        <v>86246.4758485754</v>
      </c>
      <c r="AA151" s="11" t="n">
        <f aca="false">(((((((AA41+AA130)+AA128)+AA132)+AA136)+AA137)+AA140)+AA144)</f>
        <v>45836.1474576984</v>
      </c>
      <c r="AB151" s="11" t="n">
        <f aca="false">(((((((AB41+AB130)+AB128)+AB132)+AB136)+AB137)+AB140)+AB144)</f>
        <v>14287.2465453633</v>
      </c>
      <c r="AC151" s="11" t="n">
        <f aca="false">(((((((AC41+AC130)+AC128)+AC132)+AC136)+AC137)+AC140)+AC144)</f>
        <v>141184.102900249</v>
      </c>
      <c r="AD151" s="11" t="n">
        <f aca="false">(((((((AD41+AD130)+AD128)+AD132)+AD136)+AD137)+AD140)+AD144)</f>
        <v>121812.640999305</v>
      </c>
      <c r="AE151" s="11" t="n">
        <f aca="false">(((((((AE41+AE130)+AE128)+AE132)+AE136)+AE137)+AE140)+AE144)</f>
        <v>5675.70818390686</v>
      </c>
      <c r="AF151" s="11" t="n">
        <f aca="false">(((((((AF41+AF130)+AF128)+AF132)+AF136)+AF137)+AF140)+AF144)</f>
        <v>155591.218555346</v>
      </c>
      <c r="AG151" s="11" t="n">
        <f aca="false">(((((((AG41+AG130)+AG128)+AG132)+AG136)+AG137)+AG140)+AG144)</f>
        <v>153529.3534834</v>
      </c>
      <c r="AH151" s="11" t="n">
        <f aca="false">(((((((AH41+AH130)+AH128)+AH132)+AH136)+AH137)+AH140)+AH144)</f>
        <v>105857.568426153</v>
      </c>
      <c r="AI151" s="11" t="n">
        <f aca="false">(((((((AI41+AI130)+AI128)+AI132)+AI136)+AI137)+AI140)+AI144)</f>
        <v>161725.756431923</v>
      </c>
      <c r="AJ151" s="11" t="n">
        <f aca="false">(((((((AJ41+AJ130)+AJ128)+AJ132)+AJ136)+AJ137)+AJ140)+AJ144)</f>
        <v>168947.163311805</v>
      </c>
      <c r="AK151" s="11" t="n">
        <f aca="false">(((((((AK41+AK130)+AK128)+AK132)+AK136)+AK137)+AK140)+AK144)</f>
        <v>16561.5572011136</v>
      </c>
      <c r="AL151" s="11" t="n">
        <f aca="false">(((((((AL41+AL130)+AL128)+AL132)+AL136)+AL137)+AL140)+AL144)</f>
        <v>187744.486355623</v>
      </c>
      <c r="AN151" s="11" t="n">
        <f aca="false">SUM(C151:N151)</f>
        <v>0</v>
      </c>
      <c r="AO151" s="11" t="n">
        <f aca="false">SUM(O151:Z151)</f>
        <v>312745.647423863</v>
      </c>
      <c r="AP151" s="11" t="n">
        <f aca="false">SUM(AA151:AL151)</f>
        <v>1278752.94985188</v>
      </c>
    </row>
    <row r="152" customFormat="false" ht="15" hidden="false" customHeight="false" outlineLevel="0" collapsed="false">
      <c r="A152" s="0" t="s">
        <v>957</v>
      </c>
      <c r="B152" s="0" t="s">
        <v>230</v>
      </c>
      <c r="C152" s="9" t="n">
        <f aca="false">((C130+C128)+C132)</f>
        <v>0</v>
      </c>
      <c r="D152" s="9" t="n">
        <f aca="false">((D130+D128)+D132)</f>
        <v>0</v>
      </c>
      <c r="E152" s="9" t="n">
        <f aca="false">((E130+E128)+E132)</f>
        <v>0</v>
      </c>
      <c r="F152" s="9" t="n">
        <f aca="false">((F130+F128)+F132)</f>
        <v>0</v>
      </c>
      <c r="G152" s="9" t="n">
        <f aca="false">((G130+G128)+G132)</f>
        <v>0</v>
      </c>
      <c r="H152" s="9" t="n">
        <f aca="false">((H130+H128)+H132)</f>
        <v>0</v>
      </c>
      <c r="I152" s="9" t="n">
        <f aca="false">((I130+I128)+I132)</f>
        <v>0</v>
      </c>
      <c r="J152" s="9" t="n">
        <f aca="false">((J130+J128)+J132)</f>
        <v>0</v>
      </c>
      <c r="K152" s="9" t="n">
        <f aca="false">((K130+K128)+K132)</f>
        <v>0</v>
      </c>
      <c r="L152" s="9" t="n">
        <f aca="false">((L130+L128)+L132)</f>
        <v>0</v>
      </c>
      <c r="M152" s="9" t="n">
        <f aca="false">((M130+M128)+M132)</f>
        <v>0</v>
      </c>
      <c r="N152" s="9" t="n">
        <f aca="false">((N130+N128)+N132)</f>
        <v>0</v>
      </c>
      <c r="O152" s="9" t="n">
        <f aca="false">((O130+O128)+O132)</f>
        <v>0</v>
      </c>
      <c r="P152" s="9" t="n">
        <f aca="false">((P130+P128)+P132)</f>
        <v>12038.4</v>
      </c>
      <c r="Q152" s="9" t="n">
        <f aca="false">((Q130+Q128)+Q132)</f>
        <v>54808.8</v>
      </c>
      <c r="R152" s="9" t="n">
        <f aca="false">((R130+R128)+R132)</f>
        <v>0</v>
      </c>
      <c r="S152" s="9" t="n">
        <f aca="false">((S130+S128)+S132)</f>
        <v>0</v>
      </c>
      <c r="T152" s="9" t="n">
        <f aca="false">((T130+T128)+T132)</f>
        <v>64200</v>
      </c>
      <c r="U152" s="9" t="n">
        <f aca="false">((U130+U128)+U132)</f>
        <v>0</v>
      </c>
      <c r="V152" s="9" t="n">
        <f aca="false">((V130+V128)+V132)</f>
        <v>0</v>
      </c>
      <c r="W152" s="9" t="n">
        <f aca="false">((W130+W128)+W132)</f>
        <v>84900</v>
      </c>
      <c r="X152" s="9" t="n">
        <f aca="false">((X130+X128)+X132)</f>
        <v>4219.2</v>
      </c>
      <c r="Y152" s="9" t="n">
        <f aca="false">((Y130+Y128)+Y132)</f>
        <v>0</v>
      </c>
      <c r="Z152" s="9" t="n">
        <f aca="false">((Z130+Z128)+Z132)</f>
        <v>84900</v>
      </c>
      <c r="AA152" s="9" t="n">
        <f aca="false">((AA130+AA128)+AA132)</f>
        <v>43526.16</v>
      </c>
      <c r="AB152" s="9" t="n">
        <f aca="false">((AB130+AB128)+AB132)</f>
        <v>11255.904</v>
      </c>
      <c r="AC152" s="9" t="n">
        <f aca="false">((AC130+AC128)+AC132)</f>
        <v>137491.728</v>
      </c>
      <c r="AD152" s="9" t="n">
        <f aca="false">((AD130+AD128)+AD132)</f>
        <v>116781.36</v>
      </c>
      <c r="AE152" s="9" t="n">
        <f aca="false">((AE130+AE128)+AE132)</f>
        <v>0</v>
      </c>
      <c r="AF152" s="9" t="n">
        <f aca="false">((AF130+AF128)+AF132)</f>
        <v>149100</v>
      </c>
      <c r="AG152" s="9" t="n">
        <f aca="false">((AG130+AG128)+AG132)</f>
        <v>143979.36</v>
      </c>
      <c r="AH152" s="9" t="n">
        <f aca="false">((AH130+AH128)+AH132)</f>
        <v>94800</v>
      </c>
      <c r="AI152" s="9" t="n">
        <f aca="false">((AI130+AI128)+AI132)</f>
        <v>149100</v>
      </c>
      <c r="AJ152" s="9" t="n">
        <f aca="false">((AJ130+AJ128)+AJ132)</f>
        <v>153826.512</v>
      </c>
      <c r="AK152" s="9" t="n">
        <f aca="false">((AK130+AK128)+AK132)</f>
        <v>0</v>
      </c>
      <c r="AL152" s="9" t="n">
        <f aca="false">((AL130+AL128)+AL132)</f>
        <v>169800</v>
      </c>
      <c r="AN152" s="11" t="n">
        <f aca="false">SUM(C152:N152)</f>
        <v>0</v>
      </c>
      <c r="AO152" s="11" t="n">
        <f aca="false">SUM(O152:Z152)</f>
        <v>305066.4</v>
      </c>
      <c r="AP152" s="11" t="n">
        <f aca="false">SUM(AA152:AL152)</f>
        <v>1169661.024</v>
      </c>
    </row>
    <row r="153" customFormat="false" ht="15" hidden="false" customHeight="false" outlineLevel="0" collapsed="false">
      <c r="A153" s="0" t="s">
        <v>43</v>
      </c>
      <c r="B153" s="0" t="s">
        <v>230</v>
      </c>
      <c r="C153" s="9" t="n">
        <f aca="false">(((((C41+C136)+C137)+C140)+C144)+((1-Assumptions!$C$33)*0))</f>
        <v>0</v>
      </c>
      <c r="D153" s="9" t="n">
        <f aca="false">(((((D41+D136)+D137)+D140)+D144)+((1-Assumptions!$C$33)*0))</f>
        <v>0</v>
      </c>
      <c r="E153" s="9" t="n">
        <f aca="false">(((((E41+E136)+E137)+E140)+E144)+((1-Assumptions!$C$33)*C152))</f>
        <v>0</v>
      </c>
      <c r="F153" s="9" t="n">
        <f aca="false">(((((F41+F136)+F137)+F140)+F144)+((1-Assumptions!$C$33)*D152))</f>
        <v>0</v>
      </c>
      <c r="G153" s="9" t="n">
        <f aca="false">(((((G41+G136)+G137)+G140)+G144)+((1-Assumptions!$C$33)*E152))</f>
        <v>0</v>
      </c>
      <c r="H153" s="9" t="n">
        <f aca="false">(((((H41+H136)+H137)+H140)+H144)+((1-Assumptions!$C$33)*F152))</f>
        <v>0</v>
      </c>
      <c r="I153" s="9" t="n">
        <f aca="false">(((((I41+I136)+I137)+I140)+I144)+((1-Assumptions!$C$33)*G152))</f>
        <v>0</v>
      </c>
      <c r="J153" s="9" t="n">
        <f aca="false">(((((J41+J136)+J137)+J140)+J144)+((1-Assumptions!$C$33)*H152))</f>
        <v>0</v>
      </c>
      <c r="K153" s="9" t="n">
        <f aca="false">(((((K41+K136)+K137)+K140)+K144)+((1-Assumptions!$C$33)*I152))</f>
        <v>0</v>
      </c>
      <c r="L153" s="9" t="n">
        <f aca="false">(((((L41+L136)+L137)+L140)+L144)+((1-Assumptions!$C$33)*J152))</f>
        <v>0</v>
      </c>
      <c r="M153" s="9" t="n">
        <f aca="false">(((((M41+M136)+M137)+M140)+M144)+((1-Assumptions!$C$33)*K152))</f>
        <v>0</v>
      </c>
      <c r="N153" s="9" t="n">
        <f aca="false">(((((N41+N136)+N137)+N140)+N144)+((1-Assumptions!$C$33)*L152))</f>
        <v>0</v>
      </c>
      <c r="O153" s="9" t="n">
        <f aca="false">(((((O41+O136)+O137)+O140)+O144)+((1-Assumptions!$C$33)*M152))</f>
        <v>58.3718317812752</v>
      </c>
      <c r="P153" s="9" t="n">
        <f aca="false">(((((P41+P136)+P137)+P140)+P144)+((1-Assumptions!$C$33)*N152))</f>
        <v>144.593946356217</v>
      </c>
      <c r="Q153" s="9" t="n">
        <f aca="false">(((((Q41+Q136)+Q137)+Q140)+Q144)+((1-Assumptions!$C$33)*O152))</f>
        <v>224.037820926011</v>
      </c>
      <c r="R153" s="9" t="n">
        <f aca="false">(((((R41+R136)+R137)+R140)+R144)+((1-Assumptions!$C$33)*P152))</f>
        <v>12213.2417825245</v>
      </c>
      <c r="S153" s="9" t="n">
        <f aca="false">(((((S41+S136)+S137)+S140)+S144)+((1-Assumptions!$C$33)*Q152))</f>
        <v>54622.710885436</v>
      </c>
      <c r="T153" s="9" t="n">
        <f aca="false">(((((T41+T136)+T137)+T140)+T144)+((1-Assumptions!$C$33)*R152))</f>
        <v>418.25204693222</v>
      </c>
      <c r="U153" s="9" t="n">
        <f aca="false">(((((U41+U136)+U137)+U140)+U144)+((1-Assumptions!$C$33)*S152))</f>
        <v>468.433102069063</v>
      </c>
      <c r="V153" s="9" t="n">
        <f aca="false">(((((V41+V136)+V137)+V140)+V144)+((1-Assumptions!$C$33)*T152))</f>
        <v>64452.2343628909</v>
      </c>
      <c r="W153" s="9" t="n">
        <f aca="false">(((((W41+W136)+W137)+W140)+W144)+((1-Assumptions!$C$33)*U152))</f>
        <v>1009.45965589519</v>
      </c>
      <c r="X153" s="9" t="n">
        <f aca="false">(((((X41+X136)+X137)+X140)+X144)+((1-Assumptions!$C$33)*V152))</f>
        <v>1185.41134309849</v>
      </c>
      <c r="Y153" s="9" t="n">
        <f aca="false">(((((Y41+Y136)+Y137)+Y140)+Y144)+((1-Assumptions!$C$33)*W152))</f>
        <v>85323.7527973778</v>
      </c>
      <c r="Z153" s="9" t="n">
        <f aca="false">(((((Z41+Z136)+Z137)+Z140)+Z144)+((1-Assumptions!$C$33)*X152))</f>
        <v>5523.48384857544</v>
      </c>
      <c r="AA153" s="9" t="n">
        <f aca="false">(((((AA41+AA136)+AA137)+AA140)+AA144)+((1-Assumptions!$C$33)*Y152))</f>
        <v>2309.98745769838</v>
      </c>
      <c r="AB153" s="9" t="n">
        <f aca="false">(((((AB41+AB136)+AB137)+AB140)+AB144)+((1-Assumptions!$C$33)*Z152))</f>
        <v>87082.3425453633</v>
      </c>
      <c r="AC153" s="9" t="n">
        <f aca="false">(((((AC41+AC136)+AC137)+AC140)+AC144)+((1-Assumptions!$C$33)*AA152))</f>
        <v>46783.2733002485</v>
      </c>
      <c r="AD153" s="9" t="n">
        <f aca="false">(((((AD41+AD136)+AD137)+AD140)+AD144)+((1-Assumptions!$C$33)*AB152))</f>
        <v>16174.6259593049</v>
      </c>
      <c r="AE153" s="9" t="n">
        <f aca="false">(((((AE41+AE136)+AE137)+AE140)+AE144)+((1-Assumptions!$C$33)*AC152))</f>
        <v>141792.518903907</v>
      </c>
      <c r="AF153" s="9" t="n">
        <f aca="false">(((((AF41+AF136)+AF137)+AF140)+AF144)+((1-Assumptions!$C$33)*AD152))</f>
        <v>122104.764955346</v>
      </c>
      <c r="AG153" s="9" t="n">
        <f aca="false">(((((AG41+AG136)+AG137)+AG140)+AG144)+((1-Assumptions!$C$33)*AE152))</f>
        <v>9549.99348339974</v>
      </c>
      <c r="AH153" s="9" t="n">
        <f aca="false">(((((AH41+AH136)+AH137)+AH140)+AH144)+((1-Assumptions!$C$33)*AF152))</f>
        <v>158666.568426153</v>
      </c>
      <c r="AI153" s="9" t="n">
        <f aca="false">(((((AI41+AI136)+AI137)+AI140)+AI144)+((1-Assumptions!$C$33)*AG152))</f>
        <v>155165.322831923</v>
      </c>
      <c r="AJ153" s="9" t="n">
        <f aca="false">(((((AJ41+AJ136)+AJ137)+AJ140)+AJ144)+((1-Assumptions!$C$33)*AH152))</f>
        <v>108972.651311805</v>
      </c>
      <c r="AK153" s="9" t="n">
        <f aca="false">(((((AK41+AK136)+AK137)+AK140)+AK144)+((1-Assumptions!$C$33)*AI152))</f>
        <v>164170.557201114</v>
      </c>
      <c r="AL153" s="9" t="n">
        <f aca="false">(((((AL41+AL136)+AL137)+AL140)+AL144)+((1-Assumptions!$C$33)*AJ152))</f>
        <v>170232.733235623</v>
      </c>
      <c r="AN153" s="11" t="n">
        <f aca="false">SUM(C153:N153)</f>
        <v>0</v>
      </c>
      <c r="AO153" s="11" t="n">
        <f aca="false">SUM(O153:Z153)</f>
        <v>225643.983423863</v>
      </c>
      <c r="AP153" s="11" t="n">
        <f aca="false">SUM(AA153:AL153)</f>
        <v>1183005.33961188</v>
      </c>
    </row>
    <row r="154" customFormat="false" ht="15" hidden="false" customHeight="false" outlineLevel="0" collapsed="false">
      <c r="A154" s="0" t="s">
        <v>958</v>
      </c>
      <c r="B154" s="0" t="s">
        <v>230</v>
      </c>
      <c r="C154" s="9" t="n">
        <f aca="false">((0+C151)-C146)</f>
        <v>0</v>
      </c>
      <c r="D154" s="9" t="n">
        <f aca="false">((C154+D151)-D146)</f>
        <v>0</v>
      </c>
      <c r="E154" s="9" t="n">
        <f aca="false">((D154+E151)-E146)</f>
        <v>0</v>
      </c>
      <c r="F154" s="9" t="n">
        <f aca="false">((E154+F151)-F146)</f>
        <v>0</v>
      </c>
      <c r="G154" s="9" t="n">
        <f aca="false">((F154+G151)-G146)</f>
        <v>0</v>
      </c>
      <c r="H154" s="9" t="n">
        <f aca="false">((G154+H151)-H146)</f>
        <v>0</v>
      </c>
      <c r="I154" s="9" t="n">
        <f aca="false">((H154+I151)-I146)</f>
        <v>0</v>
      </c>
      <c r="J154" s="9" t="n">
        <f aca="false">((I154+J151)-J146)</f>
        <v>0</v>
      </c>
      <c r="K154" s="9" t="n">
        <f aca="false">((J154+K151)-K146)</f>
        <v>0</v>
      </c>
      <c r="L154" s="9" t="n">
        <f aca="false">((K154+L151)-L146)</f>
        <v>0</v>
      </c>
      <c r="M154" s="9" t="n">
        <f aca="false">((L154+M151)-M146)</f>
        <v>0</v>
      </c>
      <c r="N154" s="9" t="n">
        <f aca="false">((M154+N151)-N146)</f>
        <v>0</v>
      </c>
      <c r="O154" s="9" t="n">
        <f aca="false">((N154+O151)-O146)</f>
        <v>45.9087868919125</v>
      </c>
      <c r="P154" s="9" t="n">
        <f aca="false">((O154+P151)-P146)</f>
        <v>11184.5446305113</v>
      </c>
      <c r="Q154" s="9" t="n">
        <f aca="false">((P154+Q151)-Q146)</f>
        <v>56814.9347839908</v>
      </c>
      <c r="R154" s="9" t="n">
        <f aca="false">((Q154+R151)-R146)</f>
        <v>47658.7831122307</v>
      </c>
      <c r="S154" s="9" t="n">
        <f aca="false">((R154+S151)-S146)</f>
        <v>38514.4711285042</v>
      </c>
      <c r="T154" s="9" t="n">
        <f aca="false">((S154+T151)-T146)</f>
        <v>80493.5975305923</v>
      </c>
      <c r="U154" s="9" t="n">
        <f aca="false">((T154+U151)-U146)</f>
        <v>58263.8176363298</v>
      </c>
      <c r="V154" s="9" t="n">
        <f aca="false">((U154+V151)-V146)</f>
        <v>36032.3935585206</v>
      </c>
      <c r="W154" s="9" t="n">
        <f aca="false">((V154+W151)-W146)</f>
        <v>90413.8372911223</v>
      </c>
      <c r="X154" s="9" t="n">
        <f aca="false">((W154+X151)-X146)</f>
        <v>63800.2968408835</v>
      </c>
      <c r="Y154" s="9" t="n">
        <f aca="false">((X154+Y151)-Y146)</f>
        <v>32958.0319587078</v>
      </c>
      <c r="Z154" s="9" t="n">
        <f aca="false">((Y154+Z151)-Z146)</f>
        <v>85566.9804613553</v>
      </c>
      <c r="AA154" s="9" t="n">
        <f aca="false">((Z154+AA151)-AA146)</f>
        <v>90125.3602682266</v>
      </c>
      <c r="AB154" s="9" t="n">
        <f aca="false">((AA154+AB151)-AB146)</f>
        <v>62525.1119185874</v>
      </c>
      <c r="AC154" s="9" t="n">
        <f aca="false">((AB154+AC151)-AC146)</f>
        <v>155892.011076071</v>
      </c>
      <c r="AD154" s="9" t="n">
        <f aca="false">((AC154+AD151)-AD146)</f>
        <v>213228.799199669</v>
      </c>
      <c r="AE154" s="9" t="n">
        <f aca="false">((AD154+AE151)-AE146)</f>
        <v>153772.481836603</v>
      </c>
      <c r="AF154" s="9" t="n">
        <f aca="false">((AE154+AF151)-AF146)</f>
        <v>230310.871230364</v>
      </c>
      <c r="AG154" s="9" t="n">
        <f aca="false">((AF154+AG151)-AG146)</f>
        <v>289867.273576431</v>
      </c>
      <c r="AH154" s="9" t="n">
        <f aca="false">((AG154+AH151)-AH146)</f>
        <v>274326.368737122</v>
      </c>
      <c r="AI154" s="9" t="n">
        <f aca="false">((AH154+AI151)-AI146)</f>
        <v>310300.527554411</v>
      </c>
      <c r="AJ154" s="9" t="n">
        <f aca="false">((AI154+AJ151)-AJ146)</f>
        <v>342831.476214941</v>
      </c>
      <c r="AK154" s="9" t="n">
        <f aca="false">((AJ154+AK151)-AK146)</f>
        <v>241726.907333992</v>
      </c>
      <c r="AL154" s="9" t="n">
        <f aca="false">((AK154+AL151)-AL146)</f>
        <v>304916.069614378</v>
      </c>
      <c r="AN154" s="11" t="n">
        <f aca="false">N154</f>
        <v>0</v>
      </c>
      <c r="AO154" s="11" t="n">
        <f aca="false">Z154</f>
        <v>85566.9804613553</v>
      </c>
      <c r="AP154" s="11" t="n">
        <f aca="false">AL154</f>
        <v>304916.069614378</v>
      </c>
    </row>
    <row r="155" customFormat="false" ht="15" hidden="false" customHeight="false" outlineLevel="0" collapsed="false">
      <c r="A155" s="0" t="s">
        <v>959</v>
      </c>
      <c r="B155" s="0" t="s">
        <v>230</v>
      </c>
      <c r="C155" s="9" t="n">
        <f aca="false">((0+((1-Assumptions!$C$33)*C152))-((1-Assumptions!$C$33)*0))</f>
        <v>0</v>
      </c>
      <c r="D155" s="9" t="n">
        <f aca="false">((C155+((1-Assumptions!$C$33)*D152))-((1-Assumptions!$C$33)*0))</f>
        <v>0</v>
      </c>
      <c r="E155" s="9" t="n">
        <f aca="false">((D155+((1-Assumptions!$C$33)*E152))-((1-Assumptions!$C$33)*C152))</f>
        <v>0</v>
      </c>
      <c r="F155" s="9" t="n">
        <f aca="false">((E155+((1-Assumptions!$C$33)*F152))-((1-Assumptions!$C$33)*D152))</f>
        <v>0</v>
      </c>
      <c r="G155" s="9" t="n">
        <f aca="false">((F155+((1-Assumptions!$C$33)*G152))-((1-Assumptions!$C$33)*E152))</f>
        <v>0</v>
      </c>
      <c r="H155" s="9" t="n">
        <f aca="false">((G155+((1-Assumptions!$C$33)*H152))-((1-Assumptions!$C$33)*F152))</f>
        <v>0</v>
      </c>
      <c r="I155" s="9" t="n">
        <f aca="false">((H155+((1-Assumptions!$C$33)*I152))-((1-Assumptions!$C$33)*G152))</f>
        <v>0</v>
      </c>
      <c r="J155" s="9" t="n">
        <f aca="false">((I155+((1-Assumptions!$C$33)*J152))-((1-Assumptions!$C$33)*H152))</f>
        <v>0</v>
      </c>
      <c r="K155" s="9" t="n">
        <f aca="false">((J155+((1-Assumptions!$C$33)*K152))-((1-Assumptions!$C$33)*I152))</f>
        <v>0</v>
      </c>
      <c r="L155" s="9" t="n">
        <f aca="false">((K155+((1-Assumptions!$C$33)*L152))-((1-Assumptions!$C$33)*J152))</f>
        <v>0</v>
      </c>
      <c r="M155" s="9" t="n">
        <f aca="false">((L155+((1-Assumptions!$C$33)*M152))-((1-Assumptions!$C$33)*K152))</f>
        <v>0</v>
      </c>
      <c r="N155" s="9" t="n">
        <f aca="false">((M155+((1-Assumptions!$C$33)*N152))-((1-Assumptions!$C$33)*L152))</f>
        <v>0</v>
      </c>
      <c r="O155" s="9" t="n">
        <f aca="false">((N155+((1-Assumptions!$C$33)*O152))-((1-Assumptions!$C$33)*M152))</f>
        <v>0</v>
      </c>
      <c r="P155" s="9" t="n">
        <f aca="false">((O155+((1-Assumptions!$C$33)*P152))-((1-Assumptions!$C$33)*N152))</f>
        <v>11918.016</v>
      </c>
      <c r="Q155" s="9" t="n">
        <f aca="false">((P155+((1-Assumptions!$C$33)*Q152))-((1-Assumptions!$C$33)*O152))</f>
        <v>66178.728</v>
      </c>
      <c r="R155" s="9" t="n">
        <f aca="false">((Q155+((1-Assumptions!$C$33)*R152))-((1-Assumptions!$C$33)*P152))</f>
        <v>54260.712</v>
      </c>
      <c r="S155" s="9" t="n">
        <f aca="false">((R155+((1-Assumptions!$C$33)*S152))-((1-Assumptions!$C$33)*Q152))</f>
        <v>0</v>
      </c>
      <c r="T155" s="9" t="n">
        <f aca="false">((S155+((1-Assumptions!$C$33)*T152))-((1-Assumptions!$C$33)*R152))</f>
        <v>63558</v>
      </c>
      <c r="U155" s="9" t="n">
        <f aca="false">((T155+((1-Assumptions!$C$33)*U152))-((1-Assumptions!$C$33)*S152))</f>
        <v>63558</v>
      </c>
      <c r="V155" s="9" t="n">
        <f aca="false">((U155+((1-Assumptions!$C$33)*V152))-((1-Assumptions!$C$33)*T152))</f>
        <v>0</v>
      </c>
      <c r="W155" s="9" t="n">
        <f aca="false">((V155+((1-Assumptions!$C$33)*W152))-((1-Assumptions!$C$33)*U152))</f>
        <v>84051</v>
      </c>
      <c r="X155" s="9" t="n">
        <f aca="false">((W155+((1-Assumptions!$C$33)*X152))-((1-Assumptions!$C$33)*V152))</f>
        <v>88228.008</v>
      </c>
      <c r="Y155" s="9" t="n">
        <f aca="false">((X155+((1-Assumptions!$C$33)*Y152))-((1-Assumptions!$C$33)*W152))</f>
        <v>4177.008</v>
      </c>
      <c r="Z155" s="9" t="n">
        <f aca="false">((Y155+((1-Assumptions!$C$33)*Z152))-((1-Assumptions!$C$33)*X152))</f>
        <v>84051</v>
      </c>
      <c r="AA155" s="9" t="n">
        <f aca="false">((Z155+((1-Assumptions!$C$33)*AA152))-((1-Assumptions!$C$33)*Y152))</f>
        <v>127141.8984</v>
      </c>
      <c r="AB155" s="9" t="n">
        <f aca="false">((AA155+((1-Assumptions!$C$33)*AB152))-((1-Assumptions!$C$33)*Z152))</f>
        <v>54234.24336</v>
      </c>
      <c r="AC155" s="9" t="n">
        <f aca="false">((AB155+((1-Assumptions!$C$33)*AC152))-((1-Assumptions!$C$33)*AA152))</f>
        <v>147260.15568</v>
      </c>
      <c r="AD155" s="9" t="n">
        <f aca="false">((AC155+((1-Assumptions!$C$33)*AD152))-((1-Assumptions!$C$33)*AB152))</f>
        <v>251730.35712</v>
      </c>
      <c r="AE155" s="9" t="n">
        <f aca="false">((AD155+((1-Assumptions!$C$33)*AE152))-((1-Assumptions!$C$33)*AC152))</f>
        <v>115613.5464</v>
      </c>
      <c r="AF155" s="9" t="n">
        <f aca="false">((AE155+((1-Assumptions!$C$33)*AF152))-((1-Assumptions!$C$33)*AD152))</f>
        <v>147609</v>
      </c>
      <c r="AG155" s="9" t="n">
        <f aca="false">((AF155+((1-Assumptions!$C$33)*AG152))-((1-Assumptions!$C$33)*AE152))</f>
        <v>290148.5664</v>
      </c>
      <c r="AH155" s="9" t="n">
        <f aca="false">((AG155+((1-Assumptions!$C$33)*AH152))-((1-Assumptions!$C$33)*AF152))</f>
        <v>236391.5664</v>
      </c>
      <c r="AI155" s="9" t="n">
        <f aca="false">((AH155+((1-Assumptions!$C$33)*AI152))-((1-Assumptions!$C$33)*AG152))</f>
        <v>241461</v>
      </c>
      <c r="AJ155" s="9" t="n">
        <f aca="false">((AI155+((1-Assumptions!$C$33)*AJ152))-((1-Assumptions!$C$33)*AH152))</f>
        <v>299897.24688</v>
      </c>
      <c r="AK155" s="9" t="n">
        <f aca="false">((AJ155+((1-Assumptions!$C$33)*AK152))-((1-Assumptions!$C$33)*AI152))</f>
        <v>152288.24688</v>
      </c>
      <c r="AL155" s="9" t="n">
        <f aca="false">((AK155+((1-Assumptions!$C$33)*AL152))-((1-Assumptions!$C$33)*AJ152))</f>
        <v>168102</v>
      </c>
      <c r="AN155" s="11" t="n">
        <f aca="false">N155</f>
        <v>0</v>
      </c>
      <c r="AO155" s="11" t="n">
        <f aca="false">Z155</f>
        <v>84051</v>
      </c>
      <c r="AP155" s="11" t="n">
        <f aca="false">AL155</f>
        <v>168102</v>
      </c>
    </row>
    <row r="156" customFormat="false" ht="15" hidden="false" customHeight="false" outlineLevel="0" collapsed="false">
      <c r="A156" s="21" t="s">
        <v>29</v>
      </c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</row>
    <row r="157" customFormat="false" ht="15" hidden="false" customHeight="false" outlineLevel="0" collapsed="false">
      <c r="A157" s="0" t="s">
        <v>960</v>
      </c>
      <c r="B157" s="0" t="s">
        <v>500</v>
      </c>
      <c r="C157" s="9" t="n">
        <f aca="false">((C29+C39)+C126)</f>
        <v>140.4</v>
      </c>
      <c r="D157" s="9" t="n">
        <f aca="false">((D29+D39)+D126)</f>
        <v>249.48</v>
      </c>
      <c r="E157" s="9" t="n">
        <f aca="false">((E29+E39)+E126)</f>
        <v>328.75632</v>
      </c>
      <c r="F157" s="9" t="n">
        <f aca="false">((F29+F39)+F126)</f>
        <v>392.209344</v>
      </c>
      <c r="G157" s="9" t="n">
        <f aca="false">((G29+G39)+G126)</f>
        <v>636.952729728</v>
      </c>
      <c r="H157" s="9" t="n">
        <f aca="false">((H29+H39)+H126)</f>
        <v>657.98258335104</v>
      </c>
      <c r="I157" s="9" t="n">
        <f aca="false">((I29+I39)+I126)</f>
        <v>711.464718235469</v>
      </c>
      <c r="J157" s="9" t="n">
        <f aca="false">((J29+J39)+J126)</f>
        <v>1786.11626080092</v>
      </c>
      <c r="K157" s="9" t="n">
        <f aca="false">((K29+K39)+K126)</f>
        <v>2011.82637519361</v>
      </c>
      <c r="L157" s="9" t="n">
        <f aca="false">((L29+L39)+L126)</f>
        <v>2101.31731049989</v>
      </c>
      <c r="M157" s="9" t="n">
        <f aca="false">((M29+M39)+M126)</f>
        <v>1943.42962934387</v>
      </c>
      <c r="N157" s="9" t="n">
        <f aca="false">((N29+N39)+N126)</f>
        <v>1958.72944483276</v>
      </c>
      <c r="O157" s="9" t="n">
        <f aca="false">((O29+O39)+O126)</f>
        <v>3417.40976062846</v>
      </c>
      <c r="P157" s="9" t="n">
        <f aca="false">((P29+P39)+P126)</f>
        <v>3981.18668529502</v>
      </c>
      <c r="Q157" s="9" t="n">
        <f aca="false">((Q29+Q39)+Q126)</f>
        <v>6174.83601756596</v>
      </c>
      <c r="R157" s="9" t="n">
        <f aca="false">((R29+R39)+R126)</f>
        <v>6876.25721468225</v>
      </c>
      <c r="S157" s="9" t="n">
        <f aca="false">((S29+S39)+S126)</f>
        <v>7325.41134551813</v>
      </c>
      <c r="T157" s="9" t="n">
        <f aca="false">((T29+T39)+T126)</f>
        <v>8292.70147437088</v>
      </c>
      <c r="U157" s="9" t="n">
        <f aca="false">((U29+U39)+U126)</f>
        <v>8808.53011713498</v>
      </c>
      <c r="V157" s="9" t="n">
        <f aca="false">((V29+V39)+V126)</f>
        <v>10303.7038704587</v>
      </c>
      <c r="W157" s="9" t="n">
        <f aca="false">((W29+W39)+W126)</f>
        <v>12576.7388697833</v>
      </c>
      <c r="X157" s="9" t="n">
        <f aca="false">((X29+X39)+X126)</f>
        <v>13383.6880400279</v>
      </c>
      <c r="Y157" s="9" t="n">
        <f aca="false">((Y29+Y39)+Y126)</f>
        <v>13769.5025011292</v>
      </c>
      <c r="Z157" s="9" t="n">
        <f aca="false">((Z29+Z39)+Z126)</f>
        <v>14019.4573523575</v>
      </c>
      <c r="AA157" s="9" t="n">
        <f aca="false">((AA29+AA39)+AA126)</f>
        <v>16324.0434483264</v>
      </c>
      <c r="AB157" s="9" t="n">
        <f aca="false">((AB29+AB39)+AB126)</f>
        <v>17158.8121646158</v>
      </c>
      <c r="AC157" s="9" t="n">
        <f aca="false">((AC29+AC39)+AC126)</f>
        <v>17633.6307709759</v>
      </c>
      <c r="AD157" s="9" t="n">
        <f aca="false">((AD29+AD39)+AD126)</f>
        <v>20675.1227405876</v>
      </c>
      <c r="AE157" s="9" t="n">
        <f aca="false">((AE29+AE39)+AE126)</f>
        <v>20719.4155005131</v>
      </c>
      <c r="AF157" s="9" t="n">
        <f aca="false">((AF29+AF39)+AF126)</f>
        <v>21280.8557536875</v>
      </c>
      <c r="AG157" s="9" t="n">
        <f aca="false">((AG29+AG39)+AG126)</f>
        <v>24582.6688801105</v>
      </c>
      <c r="AH157" s="9" t="n">
        <f aca="false">((AH29+AH39)+AH126)</f>
        <v>28164.356899634</v>
      </c>
      <c r="AI157" s="9" t="n">
        <f aca="false">((AI29+AI39)+AI126)</f>
        <v>30570.7444216527</v>
      </c>
      <c r="AJ157" s="9" t="n">
        <f aca="false">((AJ29+AJ39)+AJ126)</f>
        <v>34294.9523276339</v>
      </c>
      <c r="AK157" s="9" t="n">
        <f aca="false">((AK29+AK39)+AK126)</f>
        <v>34485.5396090053</v>
      </c>
      <c r="AL157" s="9" t="n">
        <f aca="false">((AL29+AL39)+AL126)</f>
        <v>34466.576678361</v>
      </c>
      <c r="AN157" s="11" t="n">
        <f aca="false">N157</f>
        <v>1958.72944483276</v>
      </c>
      <c r="AO157" s="11" t="n">
        <f aca="false">Z157</f>
        <v>14019.4573523575</v>
      </c>
      <c r="AP157" s="11" t="n">
        <f aca="false">AL157</f>
        <v>34466.576678361</v>
      </c>
    </row>
    <row r="158" customFormat="false" ht="15" hidden="false" customHeight="false" outlineLevel="0" collapsed="false">
      <c r="A158" s="0" t="s">
        <v>961</v>
      </c>
      <c r="B158" s="0" t="s">
        <v>230</v>
      </c>
      <c r="C158" s="9" t="n">
        <f aca="false">(C157*Assumptions!$C$58)</f>
        <v>4.212</v>
      </c>
      <c r="D158" s="9" t="n">
        <f aca="false">(D157*Assumptions!$C$58)</f>
        <v>7.4844</v>
      </c>
      <c r="E158" s="9" t="n">
        <f aca="false">(E157*Assumptions!$C$58)</f>
        <v>9.8626896</v>
      </c>
      <c r="F158" s="9" t="n">
        <f aca="false">(F157*Assumptions!$C$58)</f>
        <v>11.76628032</v>
      </c>
      <c r="G158" s="9" t="n">
        <f aca="false">(G157*Assumptions!$C$58)</f>
        <v>19.10858189184</v>
      </c>
      <c r="H158" s="9" t="n">
        <f aca="false">(H157*Assumptions!$C$58)</f>
        <v>19.7394775005312</v>
      </c>
      <c r="I158" s="9" t="n">
        <f aca="false">(I157*Assumptions!$C$58)</f>
        <v>21.3439415470641</v>
      </c>
      <c r="J158" s="9" t="n">
        <f aca="false">(J157*Assumptions!$C$58)</f>
        <v>53.5834878240276</v>
      </c>
      <c r="K158" s="9" t="n">
        <f aca="false">(K157*Assumptions!$C$58)</f>
        <v>60.3547912558081</v>
      </c>
      <c r="L158" s="9" t="n">
        <f aca="false">(L157*Assumptions!$C$58)</f>
        <v>63.0395193149968</v>
      </c>
      <c r="M158" s="9" t="n">
        <f aca="false">(M157*Assumptions!$C$58)</f>
        <v>58.3028888803161</v>
      </c>
      <c r="N158" s="9" t="n">
        <f aca="false">(N157*Assumptions!$C$58)</f>
        <v>58.7618833449829</v>
      </c>
      <c r="O158" s="9" t="n">
        <f aca="false">(O157*Assumptions!$C$58)</f>
        <v>102.522292818854</v>
      </c>
      <c r="P158" s="9" t="n">
        <f aca="false">(P157*Assumptions!$C$58)</f>
        <v>119.43560055885</v>
      </c>
      <c r="Q158" s="9" t="n">
        <f aca="false">(Q157*Assumptions!$C$58)</f>
        <v>185.245080526979</v>
      </c>
      <c r="R158" s="9" t="n">
        <f aca="false">(R157*Assumptions!$C$58)</f>
        <v>206.287716440467</v>
      </c>
      <c r="S158" s="9" t="n">
        <f aca="false">(S157*Assumptions!$C$58)</f>
        <v>219.762340365544</v>
      </c>
      <c r="T158" s="9" t="n">
        <f aca="false">(T157*Assumptions!$C$58)</f>
        <v>248.781044231126</v>
      </c>
      <c r="U158" s="9" t="n">
        <f aca="false">(U157*Assumptions!$C$58)</f>
        <v>264.255903514049</v>
      </c>
      <c r="V158" s="9" t="n">
        <f aca="false">(V157*Assumptions!$C$58)</f>
        <v>309.111116113762</v>
      </c>
      <c r="W158" s="9" t="n">
        <f aca="false">(W157*Assumptions!$C$58)</f>
        <v>377.302166093498</v>
      </c>
      <c r="X158" s="9" t="n">
        <f aca="false">(X157*Assumptions!$C$58)</f>
        <v>401.510641200838</v>
      </c>
      <c r="Y158" s="9" t="n">
        <f aca="false">(Y157*Assumptions!$C$58)</f>
        <v>413.085075033876</v>
      </c>
      <c r="Z158" s="9" t="n">
        <f aca="false">(Z157*Assumptions!$C$58)</f>
        <v>420.583720570726</v>
      </c>
      <c r="AA158" s="9" t="n">
        <f aca="false">(AA157*Assumptions!$C$58)</f>
        <v>489.721303449793</v>
      </c>
      <c r="AB158" s="9" t="n">
        <f aca="false">(AB157*Assumptions!$C$58)</f>
        <v>514.764364938474</v>
      </c>
      <c r="AC158" s="9" t="n">
        <f aca="false">(AC157*Assumptions!$C$58)</f>
        <v>529.008923129277</v>
      </c>
      <c r="AD158" s="9" t="n">
        <f aca="false">(AD157*Assumptions!$C$58)</f>
        <v>620.253682217627</v>
      </c>
      <c r="AE158" s="9" t="n">
        <f aca="false">(AE157*Assumptions!$C$58)</f>
        <v>621.582465015394</v>
      </c>
      <c r="AF158" s="9" t="n">
        <f aca="false">(AF157*Assumptions!$C$58)</f>
        <v>638.425672610625</v>
      </c>
      <c r="AG158" s="9" t="n">
        <f aca="false">(AG157*Assumptions!$C$58)</f>
        <v>737.480066403316</v>
      </c>
      <c r="AH158" s="9" t="n">
        <f aca="false">(AH157*Assumptions!$C$58)</f>
        <v>844.930706989021</v>
      </c>
      <c r="AI158" s="9" t="n">
        <f aca="false">(AI157*Assumptions!$C$58)</f>
        <v>917.122332649581</v>
      </c>
      <c r="AJ158" s="9" t="n">
        <f aca="false">(AJ157*Assumptions!$C$58)</f>
        <v>1028.84856982902</v>
      </c>
      <c r="AK158" s="9" t="n">
        <f aca="false">(AK157*Assumptions!$C$58)</f>
        <v>1034.56618827016</v>
      </c>
      <c r="AL158" s="9" t="n">
        <f aca="false">(AL157*Assumptions!$C$58)</f>
        <v>1033.99730035083</v>
      </c>
      <c r="AN158" s="11" t="n">
        <f aca="false">SUM(C158:N158)</f>
        <v>387.559941479567</v>
      </c>
      <c r="AO158" s="11" t="n">
        <f aca="false">SUM(O158:Z158)</f>
        <v>3267.88269746857</v>
      </c>
      <c r="AP158" s="11" t="n">
        <f aca="false">SUM(AA158:AL158)</f>
        <v>9010.70157585311</v>
      </c>
    </row>
    <row r="159" customFormat="false" ht="15" hidden="false" customHeight="false" outlineLevel="0" collapsed="false">
      <c r="A159" s="0" t="s">
        <v>962</v>
      </c>
      <c r="B159" s="0" t="s">
        <v>230</v>
      </c>
      <c r="C159" s="9" t="n">
        <f aca="false">(((C157*Assumptions!$C$59)*Assumptions!$C$60)*Assumptions!$C$61)</f>
        <v>2.35872</v>
      </c>
      <c r="D159" s="9" t="n">
        <f aca="false">(((D157*Assumptions!$C$59)*Assumptions!$C$60)*Assumptions!$C$61)</f>
        <v>4.191264</v>
      </c>
      <c r="E159" s="9" t="n">
        <f aca="false">(((E157*Assumptions!$C$59)*Assumptions!$C$60)*Assumptions!$C$61)</f>
        <v>5.523106176</v>
      </c>
      <c r="F159" s="9" t="n">
        <f aca="false">(((F157*Assumptions!$C$59)*Assumptions!$C$60)*Assumptions!$C$61)</f>
        <v>6.5891169792</v>
      </c>
      <c r="G159" s="9" t="n">
        <f aca="false">(((G157*Assumptions!$C$59)*Assumptions!$C$60)*Assumptions!$C$61)</f>
        <v>10.7008058594304</v>
      </c>
      <c r="H159" s="9" t="n">
        <f aca="false">(((H157*Assumptions!$C$59)*Assumptions!$C$60)*Assumptions!$C$61)</f>
        <v>11.0541074002975</v>
      </c>
      <c r="I159" s="9" t="n">
        <f aca="false">(((I157*Assumptions!$C$59)*Assumptions!$C$60)*Assumptions!$C$61)</f>
        <v>11.9526072663559</v>
      </c>
      <c r="J159" s="9" t="n">
        <f aca="false">(((J157*Assumptions!$C$59)*Assumptions!$C$60)*Assumptions!$C$61)</f>
        <v>30.0067531814555</v>
      </c>
      <c r="K159" s="9" t="n">
        <f aca="false">(((K157*Assumptions!$C$59)*Assumptions!$C$60)*Assumptions!$C$61)</f>
        <v>33.7986831032526</v>
      </c>
      <c r="L159" s="9" t="n">
        <f aca="false">(((L157*Assumptions!$C$59)*Assumptions!$C$60)*Assumptions!$C$61)</f>
        <v>35.3021308163982</v>
      </c>
      <c r="M159" s="9" t="n">
        <f aca="false">(((M157*Assumptions!$C$59)*Assumptions!$C$60)*Assumptions!$C$61)</f>
        <v>32.649617772977</v>
      </c>
      <c r="N159" s="9" t="n">
        <f aca="false">(((N157*Assumptions!$C$59)*Assumptions!$C$60)*Assumptions!$C$61)</f>
        <v>32.9066546731904</v>
      </c>
      <c r="O159" s="9" t="n">
        <f aca="false">(((O157*Assumptions!$C$59)*Assumptions!$C$60)*Assumptions!$C$61)</f>
        <v>57.4124839785581</v>
      </c>
      <c r="P159" s="9" t="n">
        <f aca="false">(((P157*Assumptions!$C$59)*Assumptions!$C$60)*Assumptions!$C$61)</f>
        <v>66.8839363129563</v>
      </c>
      <c r="Q159" s="9" t="n">
        <f aca="false">(((Q157*Assumptions!$C$59)*Assumptions!$C$60)*Assumptions!$C$61)</f>
        <v>103.737245095108</v>
      </c>
      <c r="R159" s="9" t="n">
        <f aca="false">(((R157*Assumptions!$C$59)*Assumptions!$C$60)*Assumptions!$C$61)</f>
        <v>115.521121206662</v>
      </c>
      <c r="S159" s="9" t="n">
        <f aca="false">(((S157*Assumptions!$C$59)*Assumptions!$C$60)*Assumptions!$C$61)</f>
        <v>123.066910604705</v>
      </c>
      <c r="T159" s="9" t="n">
        <f aca="false">(((T157*Assumptions!$C$59)*Assumptions!$C$60)*Assumptions!$C$61)</f>
        <v>139.317384769431</v>
      </c>
      <c r="U159" s="9" t="n">
        <f aca="false">(((U157*Assumptions!$C$59)*Assumptions!$C$60)*Assumptions!$C$61)</f>
        <v>147.983305967868</v>
      </c>
      <c r="V159" s="9" t="n">
        <f aca="false">(((V157*Assumptions!$C$59)*Assumptions!$C$60)*Assumptions!$C$61)</f>
        <v>173.102225023707</v>
      </c>
      <c r="W159" s="9" t="n">
        <f aca="false">(((W157*Assumptions!$C$59)*Assumptions!$C$60)*Assumptions!$C$61)</f>
        <v>211.289213012359</v>
      </c>
      <c r="X159" s="9" t="n">
        <f aca="false">(((X157*Assumptions!$C$59)*Assumptions!$C$60)*Assumptions!$C$61)</f>
        <v>224.845959072469</v>
      </c>
      <c r="Y159" s="9" t="n">
        <f aca="false">(((Y157*Assumptions!$C$59)*Assumptions!$C$60)*Assumptions!$C$61)</f>
        <v>231.327642018971</v>
      </c>
      <c r="Z159" s="9" t="n">
        <f aca="false">(((Z157*Assumptions!$C$59)*Assumptions!$C$60)*Assumptions!$C$61)</f>
        <v>235.526883519607</v>
      </c>
      <c r="AA159" s="9" t="n">
        <f aca="false">(((AA157*Assumptions!$C$59)*Assumptions!$C$60)*Assumptions!$C$61)</f>
        <v>274.243929931884</v>
      </c>
      <c r="AB159" s="9" t="n">
        <f aca="false">(((AB157*Assumptions!$C$59)*Assumptions!$C$60)*Assumptions!$C$61)</f>
        <v>288.268044365545</v>
      </c>
      <c r="AC159" s="9" t="n">
        <f aca="false">(((AC157*Assumptions!$C$59)*Assumptions!$C$60)*Assumptions!$C$61)</f>
        <v>296.244996952395</v>
      </c>
      <c r="AD159" s="9" t="n">
        <f aca="false">(((AD157*Assumptions!$C$59)*Assumptions!$C$60)*Assumptions!$C$61)</f>
        <v>347.342062041871</v>
      </c>
      <c r="AE159" s="9" t="n">
        <f aca="false">(((AE157*Assumptions!$C$59)*Assumptions!$C$60)*Assumptions!$C$61)</f>
        <v>348.086180408621</v>
      </c>
      <c r="AF159" s="9" t="n">
        <f aca="false">(((AF157*Assumptions!$C$59)*Assumptions!$C$60)*Assumptions!$C$61)</f>
        <v>357.51837666195</v>
      </c>
      <c r="AG159" s="9" t="n">
        <f aca="false">(((AG157*Assumptions!$C$59)*Assumptions!$C$60)*Assumptions!$C$61)</f>
        <v>412.988837185857</v>
      </c>
      <c r="AH159" s="9" t="n">
        <f aca="false">(((AH157*Assumptions!$C$59)*Assumptions!$C$60)*Assumptions!$C$61)</f>
        <v>473.161195913852</v>
      </c>
      <c r="AI159" s="9" t="n">
        <f aca="false">(((AI157*Assumptions!$C$59)*Assumptions!$C$60)*Assumptions!$C$61)</f>
        <v>513.588506283766</v>
      </c>
      <c r="AJ159" s="9" t="n">
        <f aca="false">(((AJ157*Assumptions!$C$59)*Assumptions!$C$60)*Assumptions!$C$61)</f>
        <v>576.155199104249</v>
      </c>
      <c r="AK159" s="9" t="n">
        <f aca="false">(((AK157*Assumptions!$C$59)*Assumptions!$C$60)*Assumptions!$C$61)</f>
        <v>579.357065431289</v>
      </c>
      <c r="AL159" s="9" t="n">
        <f aca="false">(((AL157*Assumptions!$C$59)*Assumptions!$C$60)*Assumptions!$C$61)</f>
        <v>579.038488196465</v>
      </c>
      <c r="AN159" s="11" t="n">
        <f aca="false">SUM(C159:N159)</f>
        <v>217.033567228557</v>
      </c>
      <c r="AO159" s="11" t="n">
        <f aca="false">SUM(O159:Z159)</f>
        <v>1830.0143105824</v>
      </c>
      <c r="AP159" s="11" t="n">
        <f aca="false">SUM(AA159:AL159)</f>
        <v>5045.99288247774</v>
      </c>
    </row>
    <row r="160" customFormat="false" ht="15" hidden="false" customHeight="false" outlineLevel="0" collapsed="false">
      <c r="A160" s="0" t="s">
        <v>963</v>
      </c>
      <c r="B160" s="0" t="s">
        <v>230</v>
      </c>
      <c r="C160" s="9" t="n">
        <f aca="false">(((C157*Assumptions!$C$62)*Assumptions!$C$63)*(1-Assumptions!$C$64))</f>
        <v>3.159</v>
      </c>
      <c r="D160" s="9" t="n">
        <f aca="false">(((D157*Assumptions!$C$62)*Assumptions!$C$63)*(1-Assumptions!$C$64))</f>
        <v>5.6133</v>
      </c>
      <c r="E160" s="9" t="n">
        <f aca="false">(((E157*Assumptions!$C$62)*Assumptions!$C$63)*(1-Assumptions!$C$64))</f>
        <v>7.3970172</v>
      </c>
      <c r="F160" s="9" t="n">
        <f aca="false">(((F157*Assumptions!$C$62)*Assumptions!$C$63)*(1-Assumptions!$C$64))</f>
        <v>8.82471024</v>
      </c>
      <c r="G160" s="9" t="n">
        <f aca="false">(((G157*Assumptions!$C$62)*Assumptions!$C$63)*(1-Assumptions!$C$64))</f>
        <v>14.33143641888</v>
      </c>
      <c r="H160" s="9" t="n">
        <f aca="false">(((H157*Assumptions!$C$62)*Assumptions!$C$63)*(1-Assumptions!$C$64))</f>
        <v>14.8046081253984</v>
      </c>
      <c r="I160" s="9" t="n">
        <f aca="false">(((I157*Assumptions!$C$62)*Assumptions!$C$63)*(1-Assumptions!$C$64))</f>
        <v>16.007956160298</v>
      </c>
      <c r="J160" s="9" t="n">
        <f aca="false">(((J157*Assumptions!$C$62)*Assumptions!$C$63)*(1-Assumptions!$C$64))</f>
        <v>40.1876158680207</v>
      </c>
      <c r="K160" s="9" t="n">
        <f aca="false">(((K157*Assumptions!$C$62)*Assumptions!$C$63)*(1-Assumptions!$C$64))</f>
        <v>45.2660934418561</v>
      </c>
      <c r="L160" s="9" t="n">
        <f aca="false">(((L157*Assumptions!$C$62)*Assumptions!$C$63)*(1-Assumptions!$C$64))</f>
        <v>47.2796394862476</v>
      </c>
      <c r="M160" s="9" t="n">
        <f aca="false">(((M157*Assumptions!$C$62)*Assumptions!$C$63)*(1-Assumptions!$C$64))</f>
        <v>43.7271666602371</v>
      </c>
      <c r="N160" s="9" t="n">
        <f aca="false">(((N157*Assumptions!$C$62)*Assumptions!$C$63)*(1-Assumptions!$C$64))</f>
        <v>44.0714125087372</v>
      </c>
      <c r="O160" s="9" t="n">
        <f aca="false">(((O157*Assumptions!$C$62)*Assumptions!$C$63)*(1-Assumptions!$C$64))</f>
        <v>76.8917196141402</v>
      </c>
      <c r="P160" s="9" t="n">
        <f aca="false">(((P157*Assumptions!$C$62)*Assumptions!$C$63)*(1-Assumptions!$C$64))</f>
        <v>89.5767004191378</v>
      </c>
      <c r="Q160" s="9" t="n">
        <f aca="false">(((Q157*Assumptions!$C$62)*Assumptions!$C$63)*(1-Assumptions!$C$64))</f>
        <v>138.933810395234</v>
      </c>
      <c r="R160" s="9" t="n">
        <f aca="false">(((R157*Assumptions!$C$62)*Assumptions!$C$63)*(1-Assumptions!$C$64))</f>
        <v>154.715787330351</v>
      </c>
      <c r="S160" s="9" t="n">
        <f aca="false">(((S157*Assumptions!$C$62)*Assumptions!$C$63)*(1-Assumptions!$C$64))</f>
        <v>164.821755274158</v>
      </c>
      <c r="T160" s="9" t="n">
        <f aca="false">(((T157*Assumptions!$C$62)*Assumptions!$C$63)*(1-Assumptions!$C$64))</f>
        <v>186.585783173345</v>
      </c>
      <c r="U160" s="9" t="n">
        <f aca="false">(((U157*Assumptions!$C$62)*Assumptions!$C$63)*(1-Assumptions!$C$64))</f>
        <v>198.191927635537</v>
      </c>
      <c r="V160" s="9" t="n">
        <f aca="false">(((V157*Assumptions!$C$62)*Assumptions!$C$63)*(1-Assumptions!$C$64))</f>
        <v>231.833337085322</v>
      </c>
      <c r="W160" s="9" t="n">
        <f aca="false">(((W157*Assumptions!$C$62)*Assumptions!$C$63)*(1-Assumptions!$C$64))</f>
        <v>282.976624570124</v>
      </c>
      <c r="X160" s="9" t="n">
        <f aca="false">(((X157*Assumptions!$C$62)*Assumptions!$C$63)*(1-Assumptions!$C$64))</f>
        <v>301.132980900628</v>
      </c>
      <c r="Y160" s="9" t="n">
        <f aca="false">(((Y157*Assumptions!$C$62)*Assumptions!$C$63)*(1-Assumptions!$C$64))</f>
        <v>309.813806275407</v>
      </c>
      <c r="Z160" s="9" t="n">
        <f aca="false">(((Z157*Assumptions!$C$62)*Assumptions!$C$63)*(1-Assumptions!$C$64))</f>
        <v>315.437790428045</v>
      </c>
      <c r="AA160" s="9" t="n">
        <f aca="false">(((AA157*Assumptions!$C$62)*Assumptions!$C$63)*(1-Assumptions!$C$64))</f>
        <v>367.290977587345</v>
      </c>
      <c r="AB160" s="9" t="n">
        <f aca="false">(((AB157*Assumptions!$C$62)*Assumptions!$C$63)*(1-Assumptions!$C$64))</f>
        <v>386.073273703855</v>
      </c>
      <c r="AC160" s="9" t="n">
        <f aca="false">(((AC157*Assumptions!$C$62)*Assumptions!$C$63)*(1-Assumptions!$C$64))</f>
        <v>396.756692346958</v>
      </c>
      <c r="AD160" s="9" t="n">
        <f aca="false">(((AD157*Assumptions!$C$62)*Assumptions!$C$63)*(1-Assumptions!$C$64))</f>
        <v>465.19026166322</v>
      </c>
      <c r="AE160" s="9" t="n">
        <f aca="false">(((AE157*Assumptions!$C$62)*Assumptions!$C$63)*(1-Assumptions!$C$64))</f>
        <v>466.186848761546</v>
      </c>
      <c r="AF160" s="9" t="n">
        <f aca="false">(((AF157*Assumptions!$C$62)*Assumptions!$C$63)*(1-Assumptions!$C$64))</f>
        <v>478.819254457969</v>
      </c>
      <c r="AG160" s="9" t="n">
        <f aca="false">(((AG157*Assumptions!$C$62)*Assumptions!$C$63)*(1-Assumptions!$C$64))</f>
        <v>553.110049802487</v>
      </c>
      <c r="AH160" s="9" t="n">
        <f aca="false">(((AH157*Assumptions!$C$62)*Assumptions!$C$63)*(1-Assumptions!$C$64))</f>
        <v>633.698030241766</v>
      </c>
      <c r="AI160" s="9" t="n">
        <f aca="false">(((AI157*Assumptions!$C$62)*Assumptions!$C$63)*(1-Assumptions!$C$64))</f>
        <v>687.841749487186</v>
      </c>
      <c r="AJ160" s="9" t="n">
        <f aca="false">(((AJ157*Assumptions!$C$62)*Assumptions!$C$63)*(1-Assumptions!$C$64))</f>
        <v>771.636427371763</v>
      </c>
      <c r="AK160" s="9" t="n">
        <f aca="false">(((AK157*Assumptions!$C$62)*Assumptions!$C$63)*(1-Assumptions!$C$64))</f>
        <v>775.924641202619</v>
      </c>
      <c r="AL160" s="9" t="n">
        <f aca="false">(((AL157*Assumptions!$C$62)*Assumptions!$C$63)*(1-Assumptions!$C$64))</f>
        <v>775.497975263123</v>
      </c>
      <c r="AN160" s="11" t="n">
        <f aca="false">SUM(C160:N160)</f>
        <v>290.669956109675</v>
      </c>
      <c r="AO160" s="11" t="n">
        <f aca="false">SUM(O160:Z160)</f>
        <v>2450.91202310143</v>
      </c>
      <c r="AP160" s="11" t="n">
        <f aca="false">SUM(AA160:AL160)</f>
        <v>6758.02618188984</v>
      </c>
    </row>
    <row r="161" customFormat="false" ht="15" hidden="false" customHeight="false" outlineLevel="0" collapsed="false">
      <c r="A161" s="0" t="s">
        <v>964</v>
      </c>
      <c r="B161" s="0" t="s">
        <v>230</v>
      </c>
      <c r="C161" s="9" t="n">
        <f aca="false">(C157*Assumptions!$C$65)</f>
        <v>1.6848</v>
      </c>
      <c r="D161" s="9" t="n">
        <f aca="false">(D157*Assumptions!$C$65)</f>
        <v>2.99376</v>
      </c>
      <c r="E161" s="9" t="n">
        <f aca="false">(E157*Assumptions!$C$65)</f>
        <v>3.94507584</v>
      </c>
      <c r="F161" s="9" t="n">
        <f aca="false">(F157*Assumptions!$C$65)</f>
        <v>4.706512128</v>
      </c>
      <c r="G161" s="9" t="n">
        <f aca="false">(G157*Assumptions!$C$65)</f>
        <v>7.643432756736</v>
      </c>
      <c r="H161" s="9" t="n">
        <f aca="false">(H157*Assumptions!$C$65)</f>
        <v>7.89579100021248</v>
      </c>
      <c r="I161" s="9" t="n">
        <f aca="false">(I157*Assumptions!$C$65)</f>
        <v>8.53757661882563</v>
      </c>
      <c r="J161" s="9" t="n">
        <f aca="false">(J157*Assumptions!$C$65)</f>
        <v>21.433395129611</v>
      </c>
      <c r="K161" s="9" t="n">
        <f aca="false">(K157*Assumptions!$C$65)</f>
        <v>24.1419165023233</v>
      </c>
      <c r="L161" s="9" t="n">
        <f aca="false">(L157*Assumptions!$C$65)</f>
        <v>25.2158077259987</v>
      </c>
      <c r="M161" s="9" t="n">
        <f aca="false">(M157*Assumptions!$C$65)</f>
        <v>23.3211555521265</v>
      </c>
      <c r="N161" s="9" t="n">
        <f aca="false">(N157*Assumptions!$C$65)</f>
        <v>23.5047533379932</v>
      </c>
      <c r="O161" s="9" t="n">
        <f aca="false">(O157*Assumptions!$C$65)</f>
        <v>41.0089171275415</v>
      </c>
      <c r="P161" s="9" t="n">
        <f aca="false">(P157*Assumptions!$C$65)</f>
        <v>47.7742402235402</v>
      </c>
      <c r="Q161" s="9" t="n">
        <f aca="false">(Q157*Assumptions!$C$65)</f>
        <v>74.0980322107915</v>
      </c>
      <c r="R161" s="9" t="n">
        <f aca="false">(R157*Assumptions!$C$65)</f>
        <v>82.515086576187</v>
      </c>
      <c r="S161" s="9" t="n">
        <f aca="false">(S157*Assumptions!$C$65)</f>
        <v>87.9049361462176</v>
      </c>
      <c r="T161" s="9" t="n">
        <f aca="false">(T157*Assumptions!$C$65)</f>
        <v>99.5124176924506</v>
      </c>
      <c r="U161" s="9" t="n">
        <f aca="false">(U157*Assumptions!$C$65)</f>
        <v>105.70236140562</v>
      </c>
      <c r="V161" s="9" t="n">
        <f aca="false">(V157*Assumptions!$C$65)</f>
        <v>123.644446445505</v>
      </c>
      <c r="W161" s="9" t="n">
        <f aca="false">(W157*Assumptions!$C$65)</f>
        <v>150.920866437399</v>
      </c>
      <c r="X161" s="9" t="n">
        <f aca="false">(X157*Assumptions!$C$65)</f>
        <v>160.604256480335</v>
      </c>
      <c r="Y161" s="9" t="n">
        <f aca="false">(Y157*Assumptions!$C$65)</f>
        <v>165.234030013551</v>
      </c>
      <c r="Z161" s="9" t="n">
        <f aca="false">(Z157*Assumptions!$C$65)</f>
        <v>168.23348822829</v>
      </c>
      <c r="AA161" s="9" t="n">
        <f aca="false">(AA157*Assumptions!$C$65)</f>
        <v>195.888521379917</v>
      </c>
      <c r="AB161" s="9" t="n">
        <f aca="false">(AB157*Assumptions!$C$65)</f>
        <v>205.905745975389</v>
      </c>
      <c r="AC161" s="9" t="n">
        <f aca="false">(AC157*Assumptions!$C$65)</f>
        <v>211.603569251711</v>
      </c>
      <c r="AD161" s="9" t="n">
        <f aca="false">(AD157*Assumptions!$C$65)</f>
        <v>248.101472887051</v>
      </c>
      <c r="AE161" s="9" t="n">
        <f aca="false">(AE157*Assumptions!$C$65)</f>
        <v>248.632986006158</v>
      </c>
      <c r="AF161" s="9" t="n">
        <f aca="false">(AF157*Assumptions!$C$65)</f>
        <v>255.37026904425</v>
      </c>
      <c r="AG161" s="9" t="n">
        <f aca="false">(AG157*Assumptions!$C$65)</f>
        <v>294.992026561326</v>
      </c>
      <c r="AH161" s="9" t="n">
        <f aca="false">(AH157*Assumptions!$C$65)</f>
        <v>337.972282795608</v>
      </c>
      <c r="AI161" s="9" t="n">
        <f aca="false">(AI157*Assumptions!$C$65)</f>
        <v>366.848933059833</v>
      </c>
      <c r="AJ161" s="9" t="n">
        <f aca="false">(AJ157*Assumptions!$C$65)</f>
        <v>411.539427931607</v>
      </c>
      <c r="AK161" s="9" t="n">
        <f aca="false">(AK157*Assumptions!$C$65)</f>
        <v>413.826475308063</v>
      </c>
      <c r="AL161" s="9" t="n">
        <f aca="false">(AL157*Assumptions!$C$65)</f>
        <v>413.598920140332</v>
      </c>
      <c r="AN161" s="11" t="n">
        <f aca="false">SUM(C161:N161)</f>
        <v>155.023976591827</v>
      </c>
      <c r="AO161" s="11" t="n">
        <f aca="false">SUM(O161:Z161)</f>
        <v>1307.15307898743</v>
      </c>
      <c r="AP161" s="11" t="n">
        <f aca="false">SUM(AA161:AL161)</f>
        <v>3604.28063034125</v>
      </c>
    </row>
    <row r="162" customFormat="false" ht="15" hidden="false" customHeight="false" outlineLevel="0" collapsed="false">
      <c r="A162" s="0" t="s">
        <v>965</v>
      </c>
      <c r="B162" s="0" t="s">
        <v>230</v>
      </c>
      <c r="C162" s="9" t="n">
        <f aca="false">(C157*Assumptions!$C$66)</f>
        <v>2.808</v>
      </c>
      <c r="D162" s="9" t="n">
        <f aca="false">(D157*Assumptions!$C$66)</f>
        <v>4.9896</v>
      </c>
      <c r="E162" s="9" t="n">
        <f aca="false">(E157*Assumptions!$C$66)</f>
        <v>6.5751264</v>
      </c>
      <c r="F162" s="9" t="n">
        <f aca="false">(F157*Assumptions!$C$66)</f>
        <v>7.84418688</v>
      </c>
      <c r="G162" s="9" t="n">
        <f aca="false">(G157*Assumptions!$C$66)</f>
        <v>12.73905459456</v>
      </c>
      <c r="H162" s="9" t="n">
        <f aca="false">(H157*Assumptions!$C$66)</f>
        <v>13.1596516670208</v>
      </c>
      <c r="I162" s="9" t="n">
        <f aca="false">(I157*Assumptions!$C$66)</f>
        <v>14.2292943647094</v>
      </c>
      <c r="J162" s="9" t="n">
        <f aca="false">(J157*Assumptions!$C$66)</f>
        <v>35.7223252160184</v>
      </c>
      <c r="K162" s="9" t="n">
        <f aca="false">(K157*Assumptions!$C$66)</f>
        <v>40.2365275038721</v>
      </c>
      <c r="L162" s="9" t="n">
        <f aca="false">(L157*Assumptions!$C$66)</f>
        <v>42.0263462099979</v>
      </c>
      <c r="M162" s="9" t="n">
        <f aca="false">(M157*Assumptions!$C$66)</f>
        <v>38.8685925868774</v>
      </c>
      <c r="N162" s="9" t="n">
        <f aca="false">(N157*Assumptions!$C$66)</f>
        <v>39.1745888966553</v>
      </c>
      <c r="O162" s="9" t="n">
        <f aca="false">(O157*Assumptions!$C$66)</f>
        <v>68.3481952125691</v>
      </c>
      <c r="P162" s="9" t="n">
        <f aca="false">(P157*Assumptions!$C$66)</f>
        <v>79.6237337059003</v>
      </c>
      <c r="Q162" s="9" t="n">
        <f aca="false">(Q157*Assumptions!$C$66)</f>
        <v>123.496720351319</v>
      </c>
      <c r="R162" s="9" t="n">
        <f aca="false">(R157*Assumptions!$C$66)</f>
        <v>137.525144293645</v>
      </c>
      <c r="S162" s="9" t="n">
        <f aca="false">(S157*Assumptions!$C$66)</f>
        <v>146.508226910363</v>
      </c>
      <c r="T162" s="9" t="n">
        <f aca="false">(T157*Assumptions!$C$66)</f>
        <v>165.854029487418</v>
      </c>
      <c r="U162" s="9" t="n">
        <f aca="false">(U157*Assumptions!$C$66)</f>
        <v>176.1706023427</v>
      </c>
      <c r="V162" s="9" t="n">
        <f aca="false">(V157*Assumptions!$C$66)</f>
        <v>206.074077409175</v>
      </c>
      <c r="W162" s="9" t="n">
        <f aca="false">(W157*Assumptions!$C$66)</f>
        <v>251.534777395666</v>
      </c>
      <c r="X162" s="9" t="n">
        <f aca="false">(X157*Assumptions!$C$66)</f>
        <v>267.673760800558</v>
      </c>
      <c r="Y162" s="9" t="n">
        <f aca="false">(Y157*Assumptions!$C$66)</f>
        <v>275.390050022584</v>
      </c>
      <c r="Z162" s="9" t="n">
        <f aca="false">(Z157*Assumptions!$C$66)</f>
        <v>280.389147047151</v>
      </c>
      <c r="AA162" s="9" t="n">
        <f aca="false">(AA157*Assumptions!$C$66)</f>
        <v>326.480868966529</v>
      </c>
      <c r="AB162" s="9" t="n">
        <f aca="false">(AB157*Assumptions!$C$66)</f>
        <v>343.176243292316</v>
      </c>
      <c r="AC162" s="9" t="n">
        <f aca="false">(AC157*Assumptions!$C$66)</f>
        <v>352.672615419518</v>
      </c>
      <c r="AD162" s="9" t="n">
        <f aca="false">(AD157*Assumptions!$C$66)</f>
        <v>413.502454811751</v>
      </c>
      <c r="AE162" s="9" t="n">
        <f aca="false">(AE157*Assumptions!$C$66)</f>
        <v>414.388310010263</v>
      </c>
      <c r="AF162" s="9" t="n">
        <f aca="false">(AF157*Assumptions!$C$66)</f>
        <v>425.61711507375</v>
      </c>
      <c r="AG162" s="9" t="n">
        <f aca="false">(AG157*Assumptions!$C$66)</f>
        <v>491.653377602211</v>
      </c>
      <c r="AH162" s="9" t="n">
        <f aca="false">(AH157*Assumptions!$C$66)</f>
        <v>563.287137992681</v>
      </c>
      <c r="AI162" s="9" t="n">
        <f aca="false">(AI157*Assumptions!$C$66)</f>
        <v>611.414888433054</v>
      </c>
      <c r="AJ162" s="9" t="n">
        <f aca="false">(AJ157*Assumptions!$C$66)</f>
        <v>685.899046552678</v>
      </c>
      <c r="AK162" s="9" t="n">
        <f aca="false">(AK157*Assumptions!$C$66)</f>
        <v>689.710792180106</v>
      </c>
      <c r="AL162" s="9" t="n">
        <f aca="false">(AL157*Assumptions!$C$66)</f>
        <v>689.331533567221</v>
      </c>
      <c r="AN162" s="11" t="n">
        <f aca="false">SUM(C162:N162)</f>
        <v>258.373294319711</v>
      </c>
      <c r="AO162" s="11" t="n">
        <f aca="false">SUM(O162:Z162)</f>
        <v>2178.58846497905</v>
      </c>
      <c r="AP162" s="11" t="n">
        <f aca="false">SUM(AA162:AL162)</f>
        <v>6007.13438390208</v>
      </c>
    </row>
    <row r="163" customFormat="false" ht="15" hidden="false" customHeight="false" outlineLevel="0" collapsed="false">
      <c r="A163" s="0" t="s">
        <v>363</v>
      </c>
      <c r="B163" s="0" t="s">
        <v>230</v>
      </c>
      <c r="C163" s="9" t="n">
        <f aca="false">(C157*Assumptions!$C$67)</f>
        <v>1.404</v>
      </c>
      <c r="D163" s="9" t="n">
        <f aca="false">(D157*Assumptions!$C$67)</f>
        <v>2.4948</v>
      </c>
      <c r="E163" s="9" t="n">
        <f aca="false">(E157*Assumptions!$C$67)</f>
        <v>3.2875632</v>
      </c>
      <c r="F163" s="9" t="n">
        <f aca="false">(F157*Assumptions!$C$67)</f>
        <v>3.92209344</v>
      </c>
      <c r="G163" s="9" t="n">
        <f aca="false">(G157*Assumptions!$C$67)</f>
        <v>6.36952729728</v>
      </c>
      <c r="H163" s="9" t="n">
        <f aca="false">(H157*Assumptions!$C$67)</f>
        <v>6.5798258335104</v>
      </c>
      <c r="I163" s="9" t="n">
        <f aca="false">(I157*Assumptions!$C$67)</f>
        <v>7.11464718235469</v>
      </c>
      <c r="J163" s="9" t="n">
        <f aca="false">(J157*Assumptions!$C$67)</f>
        <v>17.8611626080092</v>
      </c>
      <c r="K163" s="9" t="n">
        <f aca="false">(K157*Assumptions!$C$67)</f>
        <v>20.1182637519361</v>
      </c>
      <c r="L163" s="9" t="n">
        <f aca="false">(L157*Assumptions!$C$67)</f>
        <v>21.0131731049989</v>
      </c>
      <c r="M163" s="9" t="n">
        <f aca="false">(M157*Assumptions!$C$67)</f>
        <v>19.4342962934387</v>
      </c>
      <c r="N163" s="9" t="n">
        <f aca="false">(N157*Assumptions!$C$67)</f>
        <v>19.5872944483276</v>
      </c>
      <c r="O163" s="9" t="n">
        <f aca="false">(O157*Assumptions!$C$67)</f>
        <v>34.1740976062846</v>
      </c>
      <c r="P163" s="9" t="n">
        <f aca="false">(P157*Assumptions!$C$67)</f>
        <v>39.8118668529502</v>
      </c>
      <c r="Q163" s="9" t="n">
        <f aca="false">(Q157*Assumptions!$C$67)</f>
        <v>61.7483601756596</v>
      </c>
      <c r="R163" s="9" t="n">
        <f aca="false">(R157*Assumptions!$C$67)</f>
        <v>68.7625721468225</v>
      </c>
      <c r="S163" s="9" t="n">
        <f aca="false">(S157*Assumptions!$C$67)</f>
        <v>73.2541134551813</v>
      </c>
      <c r="T163" s="9" t="n">
        <f aca="false">(T157*Assumptions!$C$67)</f>
        <v>82.9270147437088</v>
      </c>
      <c r="U163" s="9" t="n">
        <f aca="false">(U157*Assumptions!$C$67)</f>
        <v>88.0853011713498</v>
      </c>
      <c r="V163" s="9" t="n">
        <f aca="false">(V157*Assumptions!$C$67)</f>
        <v>103.037038704587</v>
      </c>
      <c r="W163" s="9" t="n">
        <f aca="false">(W157*Assumptions!$C$67)</f>
        <v>125.767388697833</v>
      </c>
      <c r="X163" s="9" t="n">
        <f aca="false">(X157*Assumptions!$C$67)</f>
        <v>133.836880400279</v>
      </c>
      <c r="Y163" s="9" t="n">
        <f aca="false">(Y157*Assumptions!$C$67)</f>
        <v>137.695025011292</v>
      </c>
      <c r="Z163" s="9" t="n">
        <f aca="false">(Z157*Assumptions!$C$67)</f>
        <v>140.194573523575</v>
      </c>
      <c r="AA163" s="9" t="n">
        <f aca="false">(AA157*Assumptions!$C$67)</f>
        <v>163.240434483264</v>
      </c>
      <c r="AB163" s="9" t="n">
        <f aca="false">(AB157*Assumptions!$C$67)</f>
        <v>171.588121646158</v>
      </c>
      <c r="AC163" s="9" t="n">
        <f aca="false">(AC157*Assumptions!$C$67)</f>
        <v>176.336307709759</v>
      </c>
      <c r="AD163" s="9" t="n">
        <f aca="false">(AD157*Assumptions!$C$67)</f>
        <v>206.751227405876</v>
      </c>
      <c r="AE163" s="9" t="n">
        <f aca="false">(AE157*Assumptions!$C$67)</f>
        <v>207.194155005131</v>
      </c>
      <c r="AF163" s="9" t="n">
        <f aca="false">(AF157*Assumptions!$C$67)</f>
        <v>212.808557536875</v>
      </c>
      <c r="AG163" s="9" t="n">
        <f aca="false">(AG157*Assumptions!$C$67)</f>
        <v>245.826688801105</v>
      </c>
      <c r="AH163" s="9" t="n">
        <f aca="false">(AH157*Assumptions!$C$67)</f>
        <v>281.64356899634</v>
      </c>
      <c r="AI163" s="9" t="n">
        <f aca="false">(AI157*Assumptions!$C$67)</f>
        <v>305.707444216527</v>
      </c>
      <c r="AJ163" s="9" t="n">
        <f aca="false">(AJ157*Assumptions!$C$67)</f>
        <v>342.949523276339</v>
      </c>
      <c r="AK163" s="9" t="n">
        <f aca="false">(AK157*Assumptions!$C$67)</f>
        <v>344.855396090053</v>
      </c>
      <c r="AL163" s="9" t="n">
        <f aca="false">(AL157*Assumptions!$C$67)</f>
        <v>344.66576678361</v>
      </c>
      <c r="AN163" s="11" t="n">
        <f aca="false">SUM(C163:N163)</f>
        <v>129.186647159856</v>
      </c>
      <c r="AO163" s="11" t="n">
        <f aca="false">SUM(O163:Z163)</f>
        <v>1089.29423248952</v>
      </c>
      <c r="AP163" s="11" t="n">
        <f aca="false">SUM(AA163:AL163)</f>
        <v>3003.56719195104</v>
      </c>
    </row>
    <row r="164" customFormat="false" ht="15" hidden="false" customHeight="false" outlineLevel="0" collapsed="false">
      <c r="A164" s="0" t="s">
        <v>966</v>
      </c>
      <c r="B164" s="0" t="s">
        <v>230</v>
      </c>
      <c r="C164" s="9" t="n">
        <f aca="false">Assumptions!$C$135</f>
        <v>4000</v>
      </c>
      <c r="D164" s="9" t="n">
        <f aca="false">Assumptions!$C$135</f>
        <v>4000</v>
      </c>
      <c r="E164" s="9" t="n">
        <f aca="false">Assumptions!$C$135</f>
        <v>4000</v>
      </c>
      <c r="F164" s="9" t="n">
        <f aca="false">Assumptions!$C$135</f>
        <v>4000</v>
      </c>
      <c r="G164" s="9" t="n">
        <f aca="false">Assumptions!$C$135</f>
        <v>4000</v>
      </c>
      <c r="H164" s="9" t="n">
        <f aca="false">Assumptions!$C$135</f>
        <v>4000</v>
      </c>
      <c r="I164" s="9" t="n">
        <f aca="false">Assumptions!$C$135</f>
        <v>4000</v>
      </c>
      <c r="J164" s="9" t="n">
        <f aca="false">Assumptions!$C$135</f>
        <v>4000</v>
      </c>
      <c r="K164" s="9" t="n">
        <f aca="false">Assumptions!$C$135</f>
        <v>4000</v>
      </c>
      <c r="L164" s="9" t="n">
        <f aca="false">Assumptions!$C$135</f>
        <v>4000</v>
      </c>
      <c r="M164" s="9" t="n">
        <f aca="false">Assumptions!$C$135</f>
        <v>4000</v>
      </c>
      <c r="N164" s="9" t="n">
        <f aca="false">Assumptions!$C$135</f>
        <v>4000</v>
      </c>
      <c r="O164" s="9" t="n">
        <f aca="false">Assumptions!$D$135</f>
        <v>9000</v>
      </c>
      <c r="P164" s="9" t="n">
        <f aca="false">Assumptions!$D$135</f>
        <v>9000</v>
      </c>
      <c r="Q164" s="9" t="n">
        <f aca="false">Assumptions!$D$135</f>
        <v>9000</v>
      </c>
      <c r="R164" s="9" t="n">
        <f aca="false">Assumptions!$D$135</f>
        <v>9000</v>
      </c>
      <c r="S164" s="9" t="n">
        <f aca="false">Assumptions!$D$135</f>
        <v>9000</v>
      </c>
      <c r="T164" s="9" t="n">
        <f aca="false">Assumptions!$D$135</f>
        <v>9000</v>
      </c>
      <c r="U164" s="9" t="n">
        <f aca="false">Assumptions!$D$135</f>
        <v>9000</v>
      </c>
      <c r="V164" s="9" t="n">
        <f aca="false">Assumptions!$D$135</f>
        <v>9000</v>
      </c>
      <c r="W164" s="9" t="n">
        <f aca="false">Assumptions!$D$135</f>
        <v>9000</v>
      </c>
      <c r="X164" s="9" t="n">
        <f aca="false">Assumptions!$D$135</f>
        <v>9000</v>
      </c>
      <c r="Y164" s="9" t="n">
        <f aca="false">Assumptions!$D$135</f>
        <v>9000</v>
      </c>
      <c r="Z164" s="9" t="n">
        <f aca="false">Assumptions!$D$135</f>
        <v>9000</v>
      </c>
      <c r="AA164" s="9" t="n">
        <f aca="false">Assumptions!$E$135</f>
        <v>16000</v>
      </c>
      <c r="AB164" s="9" t="n">
        <f aca="false">Assumptions!$E$135</f>
        <v>16000</v>
      </c>
      <c r="AC164" s="9" t="n">
        <f aca="false">Assumptions!$E$135</f>
        <v>16000</v>
      </c>
      <c r="AD164" s="9" t="n">
        <f aca="false">Assumptions!$E$135</f>
        <v>16000</v>
      </c>
      <c r="AE164" s="9" t="n">
        <f aca="false">Assumptions!$E$135</f>
        <v>16000</v>
      </c>
      <c r="AF164" s="9" t="n">
        <f aca="false">Assumptions!$E$135</f>
        <v>16000</v>
      </c>
      <c r="AG164" s="9" t="n">
        <f aca="false">Assumptions!$E$135</f>
        <v>16000</v>
      </c>
      <c r="AH164" s="9" t="n">
        <f aca="false">Assumptions!$E$135</f>
        <v>16000</v>
      </c>
      <c r="AI164" s="9" t="n">
        <f aca="false">Assumptions!$E$135</f>
        <v>16000</v>
      </c>
      <c r="AJ164" s="9" t="n">
        <f aca="false">Assumptions!$E$135</f>
        <v>16000</v>
      </c>
      <c r="AK164" s="9" t="n">
        <f aca="false">Assumptions!$E$135</f>
        <v>16000</v>
      </c>
      <c r="AL164" s="9" t="n">
        <f aca="false">Assumptions!$E$135</f>
        <v>16000</v>
      </c>
      <c r="AN164" s="11" t="n">
        <f aca="false">SUM(C164:N164)</f>
        <v>48000</v>
      </c>
      <c r="AO164" s="11" t="n">
        <f aca="false">SUM(O164:Z164)</f>
        <v>108000</v>
      </c>
      <c r="AP164" s="11" t="n">
        <f aca="false">SUM(AA164:AL164)</f>
        <v>192000</v>
      </c>
    </row>
    <row r="165" customFormat="false" ht="15" hidden="false" customHeight="false" outlineLevel="0" collapsed="false">
      <c r="A165" s="0" t="s">
        <v>967</v>
      </c>
      <c r="B165" s="0" t="s">
        <v>230</v>
      </c>
      <c r="C165" s="9" t="n">
        <f aca="false">(((Assumptions!$C$184*$C$12)*$C$13)*(((C29*Assumptions!$C$85)+(C39*Assumptions!$C$86))+(C126*Assumptions!$C$87)))</f>
        <v>20.25095904</v>
      </c>
      <c r="D165" s="9" t="n">
        <f aca="false">(((Assumptions!$C$184*$C$12)*$C$13)*(((D29*Assumptions!$C$85)+(D39*Assumptions!$C$86))+(D126*Assumptions!$C$87)))</f>
        <v>35.984396448</v>
      </c>
      <c r="E165" s="9" t="n">
        <f aca="false">(((Assumptions!$C$184*$C$12)*$C$13)*(((E29*Assumptions!$C$85)+(E39*Assumptions!$C$86))+(E126*Assumptions!$C$87)))</f>
        <v>47.419022581632</v>
      </c>
      <c r="F165" s="9" t="n">
        <f aca="false">(((Assumptions!$C$184*$C$12)*$C$13)*(((F29*Assumptions!$C$85)+(F39*Assumptions!$C$86))+(F126*Assumptions!$C$87)))</f>
        <v>56.5713344761344</v>
      </c>
      <c r="G165" s="9" t="n">
        <f aca="false">(((Assumptions!$C$184*$C$12)*$C$13)*(((G29*Assumptions!$C$85)+(G39*Assumptions!$C$86))+(G126*Assumptions!$C$87)))</f>
        <v>122.162429049415</v>
      </c>
      <c r="H165" s="9" t="n">
        <f aca="false">(((Assumptions!$C$184*$C$12)*$C$13)*(((H29*Assumptions!$C$85)+(H39*Assumptions!$C$86))+(H126*Assumptions!$C$87)))</f>
        <v>125.195724664354</v>
      </c>
      <c r="I165" s="9" t="n">
        <f aca="false">(((Assumptions!$C$184*$C$12)*$C$13)*(((I29*Assumptions!$C$85)+(I39*Assumptions!$C$86))+(I126*Assumptions!$C$87)))</f>
        <v>132.90985944296</v>
      </c>
      <c r="J165" s="9" t="n">
        <f aca="false">(((Assumptions!$C$184*$C$12)*$C$13)*(((J29*Assumptions!$C$85)+(J39*Assumptions!$C$86))+(J126*Assumptions!$C$87)))</f>
        <v>414.122918778899</v>
      </c>
      <c r="K165" s="9" t="n">
        <f aca="false">(((Assumptions!$C$184*$C$12)*$C$13)*(((K29*Assumptions!$C$85)+(K39*Assumptions!$C$86))+(K126*Assumptions!$C$87)))</f>
        <v>446.678803974625</v>
      </c>
      <c r="L165" s="9" t="n">
        <f aca="false">(((Assumptions!$C$184*$C$12)*$C$13)*(((L29*Assumptions!$C$85)+(L39*Assumptions!$C$86))+(L126*Assumptions!$C$87)))</f>
        <v>459.586761704959</v>
      </c>
      <c r="M165" s="9" t="n">
        <f aca="false">(((Assumptions!$C$184*$C$12)*$C$13)*(((M29*Assumptions!$C$85)+(M39*Assumptions!$C$86))+(M126*Assumptions!$C$87)))</f>
        <v>406.52352550545</v>
      </c>
      <c r="N165" s="9" t="n">
        <f aca="false">(((Assumptions!$C$184*$C$12)*$C$13)*(((N29*Assumptions!$C$85)+(N39*Assumptions!$C$86))+(N126*Assumptions!$C$87)))</f>
        <v>408.73033417201</v>
      </c>
      <c r="O165" s="9" t="n">
        <f aca="false">(((Assumptions!$C$184*$C$12)*$C$13)*(((O29*Assumptions!$C$85)+(O39*Assumptions!$C$86))+(O126*Assumptions!$C$87)))</f>
        <v>620.221083828827</v>
      </c>
      <c r="P165" s="9" t="n">
        <f aca="false">(((Assumptions!$C$184*$C$12)*$C$13)*(((P29*Assumptions!$C$85)+(P39*Assumptions!$C$86))+(P126*Assumptions!$C$87)))</f>
        <v>619.398619164476</v>
      </c>
      <c r="Q165" s="9" t="n">
        <f aca="false">(((Assumptions!$C$184*$C$12)*$C$13)*(((Q29*Assumptions!$C$85)+(Q39*Assumptions!$C$86))+(Q126*Assumptions!$C$87)))</f>
        <v>1130.66259663577</v>
      </c>
      <c r="R165" s="9" t="n">
        <f aca="false">(((Assumptions!$C$184*$C$12)*$C$13)*(((R29*Assumptions!$C$85)+(R39*Assumptions!$C$86))+(R126*Assumptions!$C$87)))</f>
        <v>1236.18073192042</v>
      </c>
      <c r="S165" s="9" t="n">
        <f aca="false">(((Assumptions!$C$184*$C$12)*$C$13)*(((S29*Assumptions!$C$85)+(S39*Assumptions!$C$86))+(S126*Assumptions!$C$87)))</f>
        <v>1305.86940689335</v>
      </c>
      <c r="T165" s="9" t="n">
        <f aca="false">(((Assumptions!$C$184*$C$12)*$C$13)*(((T29*Assumptions!$C$85)+(T39*Assumptions!$C$86))+(T126*Assumptions!$C$87)))</f>
        <v>1544.47743463603</v>
      </c>
      <c r="U165" s="9" t="n">
        <f aca="false">(((Assumptions!$C$184*$C$12)*$C$13)*(((U29*Assumptions!$C$85)+(U39*Assumptions!$C$86))+(U126*Assumptions!$C$87)))</f>
        <v>1624.21493081393</v>
      </c>
      <c r="V165" s="9" t="n">
        <f aca="false">(((Assumptions!$C$184*$C$12)*$C$13)*(((V29*Assumptions!$C$85)+(V39*Assumptions!$C$86))+(V126*Assumptions!$C$87)))</f>
        <v>1845.55743054395</v>
      </c>
      <c r="W165" s="9" t="n">
        <f aca="false">(((Assumptions!$C$184*$C$12)*$C$13)*(((W29*Assumptions!$C$85)+(W39*Assumptions!$C$86))+(W126*Assumptions!$C$87)))</f>
        <v>2274.32286214218</v>
      </c>
      <c r="X165" s="9" t="n">
        <f aca="false">(((Assumptions!$C$184*$C$12)*$C$13)*(((X29*Assumptions!$C$85)+(X39*Assumptions!$C$86))+(X126*Assumptions!$C$87)))</f>
        <v>2419.90715152647</v>
      </c>
      <c r="Y165" s="9" t="n">
        <f aca="false">(((Assumptions!$C$184*$C$12)*$C$13)*(((Y29*Assumptions!$C$85)+(Y39*Assumptions!$C$86))+(Y126*Assumptions!$C$87)))</f>
        <v>2484.37602631853</v>
      </c>
      <c r="Z165" s="9" t="n">
        <f aca="false">(((Assumptions!$C$184*$C$12)*$C$13)*(((Z29*Assumptions!$C$85)+(Z39*Assumptions!$C$86))+(Z126*Assumptions!$C$87)))</f>
        <v>2547.53388562137</v>
      </c>
      <c r="AA165" s="9" t="n">
        <f aca="false">(((Assumptions!$C$184*$C$12)*$C$13)*(((AA29*Assumptions!$C$85)+(AA39*Assumptions!$C$86))+(AA126*Assumptions!$C$87)))</f>
        <v>3039.02998560832</v>
      </c>
      <c r="AB165" s="9" t="n">
        <f aca="false">(((Assumptions!$C$184*$C$12)*$C$13)*(((AB29*Assumptions!$C$85)+(AB39*Assumptions!$C$86))+(AB126*Assumptions!$C$87)))</f>
        <v>3162.34666754063</v>
      </c>
      <c r="AC165" s="9" t="n">
        <f aca="false">(((Assumptions!$C$184*$C$12)*$C$13)*(((AC29*Assumptions!$C$85)+(AC39*Assumptions!$C$86))+(AC126*Assumptions!$C$87)))</f>
        <v>3232.48983861278</v>
      </c>
      <c r="AD165" s="9" t="n">
        <f aca="false">(((Assumptions!$C$184*$C$12)*$C$13)*(((AD29*Assumptions!$C$85)+(AD39*Assumptions!$C$86))+(AD126*Assumptions!$C$87)))</f>
        <v>4068.35288557312</v>
      </c>
      <c r="AE165" s="9" t="n">
        <f aca="false">(((Assumptions!$C$184*$C$12)*$C$13)*(((AE29*Assumptions!$C$85)+(AE39*Assumptions!$C$86))+(AE126*Assumptions!$C$87)))</f>
        <v>4084.07197787565</v>
      </c>
      <c r="AF165" s="9" t="n">
        <f aca="false">(((Assumptions!$C$184*$C$12)*$C$13)*(((AF29*Assumptions!$C$85)+(AF39*Assumptions!$C$86))+(AF126*Assumptions!$C$87)))</f>
        <v>4267.91643075171</v>
      </c>
      <c r="AG165" s="9" t="n">
        <f aca="false">(((Assumptions!$C$184*$C$12)*$C$13)*(((AG29*Assumptions!$C$85)+(AG39*Assumptions!$C$86))+(AG126*Assumptions!$C$87)))</f>
        <v>5192.31402581067</v>
      </c>
      <c r="AH165" s="9" t="n">
        <f aca="false">(((Assumptions!$C$184*$C$12)*$C$13)*(((AH29*Assumptions!$C$85)+(AH39*Assumptions!$C$86))+(AH126*Assumptions!$C$87)))</f>
        <v>5989.92057753293</v>
      </c>
      <c r="AI165" s="9" t="n">
        <f aca="false">(((Assumptions!$C$184*$C$12)*$C$13)*(((AI29*Assumptions!$C$85)+(AI39*Assumptions!$C$86))+(AI126*Assumptions!$C$87)))</f>
        <v>6422.19674614714</v>
      </c>
      <c r="AJ165" s="9" t="n">
        <f aca="false">(((Assumptions!$C$184*$C$12)*$C$13)*(((AJ29*Assumptions!$C$85)+(AJ39*Assumptions!$C$86))+(AJ126*Assumptions!$C$87)))</f>
        <v>7427.30898979841</v>
      </c>
      <c r="AK165" s="9" t="n">
        <f aca="false">(((Assumptions!$C$184*$C$12)*$C$13)*(((AK29*Assumptions!$C$85)+(AK39*Assumptions!$C$86))+(AK126*Assumptions!$C$87)))</f>
        <v>7465.49589504085</v>
      </c>
      <c r="AL165" s="9" t="n">
        <f aca="false">(((Assumptions!$C$184*$C$12)*$C$13)*(((AL29*Assumptions!$C$85)+(AL39*Assumptions!$C$86))+(AL126*Assumptions!$C$87)))</f>
        <v>7491.38432840399</v>
      </c>
      <c r="AN165" s="11" t="n">
        <f aca="false">SUM(C165:N165)</f>
        <v>2676.13606983844</v>
      </c>
      <c r="AO165" s="11" t="n">
        <f aca="false">SUM(O165:Z165)</f>
        <v>19652.7221600453</v>
      </c>
      <c r="AP165" s="11" t="n">
        <f aca="false">SUM(AA165:AL165)</f>
        <v>61842.8283486962</v>
      </c>
    </row>
    <row r="166" customFormat="false" ht="15" hidden="false" customHeight="false" outlineLevel="0" collapsed="false">
      <c r="A166" s="0" t="s">
        <v>968</v>
      </c>
      <c r="B166" s="0" t="s">
        <v>230</v>
      </c>
      <c r="C166" s="9" t="n">
        <f aca="false">Assumptions!$C$136</f>
        <v>2000</v>
      </c>
      <c r="D166" s="9" t="n">
        <f aca="false">Assumptions!$C$136</f>
        <v>2000</v>
      </c>
      <c r="E166" s="9" t="n">
        <f aca="false">Assumptions!$C$136</f>
        <v>2000</v>
      </c>
      <c r="F166" s="9" t="n">
        <f aca="false">Assumptions!$C$136</f>
        <v>2000</v>
      </c>
      <c r="G166" s="9" t="n">
        <f aca="false">Assumptions!$C$136</f>
        <v>2000</v>
      </c>
      <c r="H166" s="9" t="n">
        <f aca="false">Assumptions!$C$136</f>
        <v>2000</v>
      </c>
      <c r="I166" s="9" t="n">
        <f aca="false">Assumptions!$C$136</f>
        <v>2000</v>
      </c>
      <c r="J166" s="9" t="n">
        <f aca="false">Assumptions!$C$136</f>
        <v>2000</v>
      </c>
      <c r="K166" s="9" t="n">
        <f aca="false">Assumptions!$C$136</f>
        <v>2000</v>
      </c>
      <c r="L166" s="9" t="n">
        <f aca="false">Assumptions!$C$136</f>
        <v>2000</v>
      </c>
      <c r="M166" s="9" t="n">
        <f aca="false">Assumptions!$C$136</f>
        <v>2000</v>
      </c>
      <c r="N166" s="9" t="n">
        <f aca="false">Assumptions!$C$136</f>
        <v>2000</v>
      </c>
      <c r="O166" s="9" t="n">
        <f aca="false">Assumptions!$D$136</f>
        <v>3000</v>
      </c>
      <c r="P166" s="9" t="n">
        <f aca="false">Assumptions!$D$136</f>
        <v>3000</v>
      </c>
      <c r="Q166" s="9" t="n">
        <f aca="false">Assumptions!$D$136</f>
        <v>3000</v>
      </c>
      <c r="R166" s="9" t="n">
        <f aca="false">Assumptions!$D$136</f>
        <v>3000</v>
      </c>
      <c r="S166" s="9" t="n">
        <f aca="false">Assumptions!$D$136</f>
        <v>3000</v>
      </c>
      <c r="T166" s="9" t="n">
        <f aca="false">Assumptions!$D$136</f>
        <v>3000</v>
      </c>
      <c r="U166" s="9" t="n">
        <f aca="false">Assumptions!$D$136</f>
        <v>3000</v>
      </c>
      <c r="V166" s="9" t="n">
        <f aca="false">Assumptions!$D$136</f>
        <v>3000</v>
      </c>
      <c r="W166" s="9" t="n">
        <f aca="false">Assumptions!$D$136</f>
        <v>3000</v>
      </c>
      <c r="X166" s="9" t="n">
        <f aca="false">Assumptions!$D$136</f>
        <v>3000</v>
      </c>
      <c r="Y166" s="9" t="n">
        <f aca="false">Assumptions!$D$136</f>
        <v>3000</v>
      </c>
      <c r="Z166" s="9" t="n">
        <f aca="false">Assumptions!$D$136</f>
        <v>3000</v>
      </c>
      <c r="AA166" s="9" t="n">
        <f aca="false">Assumptions!$E$136</f>
        <v>5000</v>
      </c>
      <c r="AB166" s="9" t="n">
        <f aca="false">Assumptions!$E$136</f>
        <v>5000</v>
      </c>
      <c r="AC166" s="9" t="n">
        <f aca="false">Assumptions!$E$136</f>
        <v>5000</v>
      </c>
      <c r="AD166" s="9" t="n">
        <f aca="false">Assumptions!$E$136</f>
        <v>5000</v>
      </c>
      <c r="AE166" s="9" t="n">
        <f aca="false">Assumptions!$E$136</f>
        <v>5000</v>
      </c>
      <c r="AF166" s="9" t="n">
        <f aca="false">Assumptions!$E$136</f>
        <v>5000</v>
      </c>
      <c r="AG166" s="9" t="n">
        <f aca="false">Assumptions!$E$136</f>
        <v>5000</v>
      </c>
      <c r="AH166" s="9" t="n">
        <f aca="false">Assumptions!$E$136</f>
        <v>5000</v>
      </c>
      <c r="AI166" s="9" t="n">
        <f aca="false">Assumptions!$E$136</f>
        <v>5000</v>
      </c>
      <c r="AJ166" s="9" t="n">
        <f aca="false">Assumptions!$E$136</f>
        <v>5000</v>
      </c>
      <c r="AK166" s="9" t="n">
        <f aca="false">Assumptions!$E$136</f>
        <v>5000</v>
      </c>
      <c r="AL166" s="9" t="n">
        <f aca="false">Assumptions!$E$136</f>
        <v>5000</v>
      </c>
      <c r="AN166" s="11" t="n">
        <f aca="false">SUM(C166:N166)</f>
        <v>24000</v>
      </c>
      <c r="AO166" s="11" t="n">
        <f aca="false">SUM(O166:Z166)</f>
        <v>36000</v>
      </c>
      <c r="AP166" s="11" t="n">
        <f aca="false">SUM(AA166:AL166)</f>
        <v>60000</v>
      </c>
    </row>
    <row r="167" customFormat="false" ht="15" hidden="false" customHeight="false" outlineLevel="0" collapsed="false">
      <c r="A167" s="0" t="s">
        <v>969</v>
      </c>
      <c r="B167" s="0" t="s">
        <v>230</v>
      </c>
      <c r="C167" s="9" t="n">
        <f aca="false">(C165+C166)</f>
        <v>2020.25095904</v>
      </c>
      <c r="D167" s="9" t="n">
        <f aca="false">(D165+D166)</f>
        <v>2035.984396448</v>
      </c>
      <c r="E167" s="9" t="n">
        <f aca="false">(E165+E166)</f>
        <v>2047.41902258163</v>
      </c>
      <c r="F167" s="9" t="n">
        <f aca="false">(F165+F166)</f>
        <v>2056.57133447613</v>
      </c>
      <c r="G167" s="9" t="n">
        <f aca="false">(G165+G166)</f>
        <v>2122.16242904942</v>
      </c>
      <c r="H167" s="9" t="n">
        <f aca="false">(H165+H166)</f>
        <v>2125.19572466435</v>
      </c>
      <c r="I167" s="9" t="n">
        <f aca="false">(I165+I166)</f>
        <v>2132.90985944296</v>
      </c>
      <c r="J167" s="9" t="n">
        <f aca="false">(J165+J166)</f>
        <v>2414.1229187789</v>
      </c>
      <c r="K167" s="9" t="n">
        <f aca="false">(K165+K166)</f>
        <v>2446.67880397463</v>
      </c>
      <c r="L167" s="9" t="n">
        <f aca="false">(L165+L166)</f>
        <v>2459.58676170496</v>
      </c>
      <c r="M167" s="9" t="n">
        <f aca="false">(M165+M166)</f>
        <v>2406.52352550545</v>
      </c>
      <c r="N167" s="9" t="n">
        <f aca="false">(N165+N166)</f>
        <v>2408.73033417201</v>
      </c>
      <c r="O167" s="9" t="n">
        <f aca="false">(O165+O166)</f>
        <v>3620.22108382883</v>
      </c>
      <c r="P167" s="9" t="n">
        <f aca="false">(P165+P166)</f>
        <v>3619.39861916448</v>
      </c>
      <c r="Q167" s="9" t="n">
        <f aca="false">(Q165+Q166)</f>
        <v>4130.66259663577</v>
      </c>
      <c r="R167" s="9" t="n">
        <f aca="false">(R165+R166)</f>
        <v>4236.18073192042</v>
      </c>
      <c r="S167" s="9" t="n">
        <f aca="false">(S165+S166)</f>
        <v>4305.86940689335</v>
      </c>
      <c r="T167" s="9" t="n">
        <f aca="false">(T165+T166)</f>
        <v>4544.47743463603</v>
      </c>
      <c r="U167" s="9" t="n">
        <f aca="false">(U165+U166)</f>
        <v>4624.21493081393</v>
      </c>
      <c r="V167" s="9" t="n">
        <f aca="false">(V165+V166)</f>
        <v>4845.55743054395</v>
      </c>
      <c r="W167" s="9" t="n">
        <f aca="false">(W165+W166)</f>
        <v>5274.32286214218</v>
      </c>
      <c r="X167" s="9" t="n">
        <f aca="false">(X165+X166)</f>
        <v>5419.90715152647</v>
      </c>
      <c r="Y167" s="9" t="n">
        <f aca="false">(Y165+Y166)</f>
        <v>5484.37602631853</v>
      </c>
      <c r="Z167" s="9" t="n">
        <f aca="false">(Z165+Z166)</f>
        <v>5547.53388562137</v>
      </c>
      <c r="AA167" s="9" t="n">
        <f aca="false">(AA165+AA166)</f>
        <v>8039.02998560832</v>
      </c>
      <c r="AB167" s="9" t="n">
        <f aca="false">(AB165+AB166)</f>
        <v>8162.34666754063</v>
      </c>
      <c r="AC167" s="9" t="n">
        <f aca="false">(AC165+AC166)</f>
        <v>8232.48983861278</v>
      </c>
      <c r="AD167" s="9" t="n">
        <f aca="false">(AD165+AD166)</f>
        <v>9068.35288557312</v>
      </c>
      <c r="AE167" s="9" t="n">
        <f aca="false">(AE165+AE166)</f>
        <v>9084.07197787565</v>
      </c>
      <c r="AF167" s="9" t="n">
        <f aca="false">(AF165+AF166)</f>
        <v>9267.91643075171</v>
      </c>
      <c r="AG167" s="9" t="n">
        <f aca="false">(AG165+AG166)</f>
        <v>10192.3140258107</v>
      </c>
      <c r="AH167" s="9" t="n">
        <f aca="false">(AH165+AH166)</f>
        <v>10989.9205775329</v>
      </c>
      <c r="AI167" s="9" t="n">
        <f aca="false">(AI165+AI166)</f>
        <v>11422.1967461471</v>
      </c>
      <c r="AJ167" s="9" t="n">
        <f aca="false">(AJ165+AJ166)</f>
        <v>12427.3089897984</v>
      </c>
      <c r="AK167" s="9" t="n">
        <f aca="false">(AK165+AK166)</f>
        <v>12465.4958950408</v>
      </c>
      <c r="AL167" s="9" t="n">
        <f aca="false">(AL165+AL166)</f>
        <v>12491.384328404</v>
      </c>
      <c r="AN167" s="11" t="n">
        <f aca="false">SUM(C167:N167)</f>
        <v>26676.1360698384</v>
      </c>
      <c r="AO167" s="11" t="n">
        <f aca="false">SUM(O167:Z167)</f>
        <v>55652.7221600453</v>
      </c>
      <c r="AP167" s="11" t="n">
        <f aca="false">SUM(AA167:AL167)</f>
        <v>121842.828348696</v>
      </c>
    </row>
    <row r="168" customFormat="false" ht="15" hidden="false" customHeight="false" outlineLevel="0" collapsed="false">
      <c r="A168" s="0" t="s">
        <v>970</v>
      </c>
      <c r="B168" s="0" t="s">
        <v>230</v>
      </c>
      <c r="C168" s="9" t="n">
        <f aca="false">((C122+C123)*((Assumptions!$C$90*Assumptions!$C$89)+Assumptions!$C$91))</f>
        <v>0</v>
      </c>
      <c r="D168" s="9" t="n">
        <f aca="false">((D122+D123)*((Assumptions!$C$90*Assumptions!$C$89)+Assumptions!$C$91))</f>
        <v>0</v>
      </c>
      <c r="E168" s="9" t="n">
        <f aca="false">((E122+E123)*((Assumptions!$C$90*Assumptions!$C$89)+Assumptions!$C$91))</f>
        <v>0</v>
      </c>
      <c r="F168" s="9" t="n">
        <f aca="false">((F122+F123)*((Assumptions!$C$90*Assumptions!$C$89)+Assumptions!$C$91))</f>
        <v>0</v>
      </c>
      <c r="G168" s="9" t="n">
        <f aca="false">((G122+G123)*((Assumptions!$C$90*Assumptions!$C$89)+Assumptions!$C$91))</f>
        <v>305</v>
      </c>
      <c r="H168" s="9" t="n">
        <f aca="false">((H122+H123)*((Assumptions!$C$90*Assumptions!$C$89)+Assumptions!$C$91))</f>
        <v>305</v>
      </c>
      <c r="I168" s="9" t="n">
        <f aca="false">((I122+I123)*((Assumptions!$C$90*Assumptions!$C$89)+Assumptions!$C$91))</f>
        <v>305</v>
      </c>
      <c r="J168" s="9" t="n">
        <f aca="false">((J122+J123)*((Assumptions!$C$90*Assumptions!$C$89)+Assumptions!$C$91))</f>
        <v>610</v>
      </c>
      <c r="K168" s="9" t="n">
        <f aca="false">((K122+K123)*((Assumptions!$C$90*Assumptions!$C$89)+Assumptions!$C$91))</f>
        <v>610</v>
      </c>
      <c r="L168" s="9" t="n">
        <f aca="false">((L122+L123)*((Assumptions!$C$90*Assumptions!$C$89)+Assumptions!$C$91))</f>
        <v>610</v>
      </c>
      <c r="M168" s="9" t="n">
        <f aca="false">((M122+M123)*((Assumptions!$C$90*Assumptions!$C$89)+Assumptions!$C$91))</f>
        <v>305</v>
      </c>
      <c r="N168" s="9" t="n">
        <f aca="false">((N122+N123)*((Assumptions!$C$90*Assumptions!$C$89)+Assumptions!$C$91))</f>
        <v>305</v>
      </c>
      <c r="O168" s="9" t="n">
        <f aca="false">((O122+O123)*((Assumptions!$C$90*Assumptions!$C$89)+Assumptions!$C$91))</f>
        <v>305</v>
      </c>
      <c r="P168" s="9" t="n">
        <f aca="false">((P122+P123)*((Assumptions!$C$90*Assumptions!$C$89)+Assumptions!$C$91))</f>
        <v>146.4</v>
      </c>
      <c r="Q168" s="9" t="n">
        <f aca="false">((Q122+Q123)*((Assumptions!$C$90*Assumptions!$C$89)+Assumptions!$C$91))</f>
        <v>475.8</v>
      </c>
      <c r="R168" s="9" t="n">
        <f aca="false">((R122+R123)*((Assumptions!$C$90*Assumptions!$C$89)+Assumptions!$C$91))</f>
        <v>475.8</v>
      </c>
      <c r="S168" s="9" t="n">
        <f aca="false">((S122+S123)*((Assumptions!$C$90*Assumptions!$C$89)+Assumptions!$C$91))</f>
        <v>475.8</v>
      </c>
      <c r="T168" s="9" t="n">
        <f aca="false">((T122+T123)*((Assumptions!$C$90*Assumptions!$C$89)+Assumptions!$C$91))</f>
        <v>841.8</v>
      </c>
      <c r="U168" s="9" t="n">
        <f aca="false">((U122+U123)*((Assumptions!$C$90*Assumptions!$C$89)+Assumptions!$C$91))</f>
        <v>841.8</v>
      </c>
      <c r="V168" s="9" t="n">
        <f aca="false">((V122+V123)*((Assumptions!$C$90*Assumptions!$C$89)+Assumptions!$C$91))</f>
        <v>841.8</v>
      </c>
      <c r="W168" s="9" t="n">
        <f aca="false">((W122+W123)*((Assumptions!$C$90*Assumptions!$C$89)+Assumptions!$C$91))</f>
        <v>1207.8</v>
      </c>
      <c r="X168" s="9" t="n">
        <f aca="false">((X122+X123)*((Assumptions!$C$90*Assumptions!$C$89)+Assumptions!$C$91))</f>
        <v>1281</v>
      </c>
      <c r="Y168" s="9" t="n">
        <f aca="false">((Y122+Y123)*((Assumptions!$C$90*Assumptions!$C$89)+Assumptions!$C$91))</f>
        <v>1281</v>
      </c>
      <c r="Z168" s="9" t="n">
        <f aca="false">((Z122+Z123)*((Assumptions!$C$90*Assumptions!$C$89)+Assumptions!$C$91))</f>
        <v>1464</v>
      </c>
      <c r="AA168" s="9" t="n">
        <f aca="false">((AA122+AA123)*((Assumptions!$C$90*Assumptions!$C$89)+Assumptions!$C$91))</f>
        <v>1786.08</v>
      </c>
      <c r="AB168" s="9" t="n">
        <f aca="false">((AB122+AB123)*((Assumptions!$C$90*Assumptions!$C$89)+Assumptions!$C$91))</f>
        <v>1764.12</v>
      </c>
      <c r="AC168" s="9" t="n">
        <f aca="false">((AC122+AC123)*((Assumptions!$C$90*Assumptions!$C$89)+Assumptions!$C$91))</f>
        <v>1925.16</v>
      </c>
      <c r="AD168" s="9" t="n">
        <f aca="false">((AD122+AD123)*((Assumptions!$C$90*Assumptions!$C$89)+Assumptions!$C$91))</f>
        <v>2503.44</v>
      </c>
      <c r="AE168" s="9" t="n">
        <f aca="false">((AE122+AE123)*((Assumptions!$C$90*Assumptions!$C$89)+Assumptions!$C$91))</f>
        <v>2503.44</v>
      </c>
      <c r="AF168" s="9" t="n">
        <f aca="false">((AF122+AF123)*((Assumptions!$C$90*Assumptions!$C$89)+Assumptions!$C$91))</f>
        <v>2869.44</v>
      </c>
      <c r="AG168" s="9" t="n">
        <f aca="false">((AG122+AG123)*((Assumptions!$C$90*Assumptions!$C$89)+Assumptions!$C$91))</f>
        <v>3630.72</v>
      </c>
      <c r="AH168" s="9" t="n">
        <f aca="false">((AH122+AH123)*((Assumptions!$C$90*Assumptions!$C$89)+Assumptions!$C$91))</f>
        <v>3813.72</v>
      </c>
      <c r="AI168" s="9" t="n">
        <f aca="false">((AI122+AI123)*((Assumptions!$C$90*Assumptions!$C$89)+Assumptions!$C$91))</f>
        <v>3996.72</v>
      </c>
      <c r="AJ168" s="9" t="n">
        <f aca="false">((AJ122+AJ123)*((Assumptions!$C$90*Assumptions!$C$89)+Assumptions!$C$91))</f>
        <v>4820.22</v>
      </c>
      <c r="AK168" s="9" t="n">
        <f aca="false">((AK122+AK123)*((Assumptions!$C$90*Assumptions!$C$89)+Assumptions!$C$91))</f>
        <v>4820.22</v>
      </c>
      <c r="AL168" s="9" t="n">
        <f aca="false">((AL122+AL123)*((Assumptions!$C$90*Assumptions!$C$89)+Assumptions!$C$91))</f>
        <v>5003.22</v>
      </c>
      <c r="AN168" s="11" t="n">
        <f aca="false">SUM(C168:N168)</f>
        <v>3355</v>
      </c>
      <c r="AO168" s="11" t="n">
        <f aca="false">SUM(O168:Z168)</f>
        <v>9638</v>
      </c>
      <c r="AP168" s="11" t="n">
        <f aca="false">SUM(AA168:AL168)</f>
        <v>39436.5</v>
      </c>
    </row>
    <row r="169" customFormat="false" ht="15" hidden="false" customHeight="false" outlineLevel="0" collapsed="false">
      <c r="A169" s="0" t="s">
        <v>971</v>
      </c>
      <c r="B169" s="0" t="s">
        <v>421</v>
      </c>
      <c r="C169" s="9" t="n">
        <f aca="false">((((C29+C39)*Assumptions!$C$92)/100)+((C126*Assumptions!$C$93)/100))</f>
        <v>3.51</v>
      </c>
      <c r="D169" s="9" t="n">
        <f aca="false">((((D29+D39)*Assumptions!$C$92)/100)+((D126*Assumptions!$C$93)/100))</f>
        <v>6.237</v>
      </c>
      <c r="E169" s="9" t="n">
        <f aca="false">((((E29+E39)*Assumptions!$C$92)/100)+((E126*Assumptions!$C$93)/100))</f>
        <v>8.218908</v>
      </c>
      <c r="F169" s="9" t="n">
        <f aca="false">((((F29+F39)*Assumptions!$C$92)/100)+((F126*Assumptions!$C$93)/100))</f>
        <v>9.8052336</v>
      </c>
      <c r="G169" s="9" t="n">
        <f aca="false">((((G29+G39)*Assumptions!$C$92)/100)+((G126*Assumptions!$C$93)/100))</f>
        <v>18.0238182432</v>
      </c>
      <c r="H169" s="9" t="n">
        <f aca="false">((((H29+H39)*Assumptions!$C$92)/100)+((H126*Assumptions!$C$93)/100))</f>
        <v>18.549564583776</v>
      </c>
      <c r="I169" s="9" t="n">
        <f aca="false">((((I29+I39)*Assumptions!$C$92)/100)+((I126*Assumptions!$C$93)/100))</f>
        <v>19.8866179558867</v>
      </c>
      <c r="J169" s="9" t="n">
        <f aca="false">((((J29+J39)*Assumptions!$C$92)/100)+((J126*Assumptions!$C$93)/100))</f>
        <v>55.502906520023</v>
      </c>
      <c r="K169" s="9" t="n">
        <f aca="false">((((K29+K39)*Assumptions!$C$92)/100)+((K126*Assumptions!$C$93)/100))</f>
        <v>61.1456593798401</v>
      </c>
      <c r="L169" s="9" t="n">
        <f aca="false">((((L29+L39)*Assumptions!$C$92)/100)+((L126*Assumptions!$C$93)/100))</f>
        <v>63.3829327624973</v>
      </c>
      <c r="M169" s="9" t="n">
        <f aca="false">((((M29+M39)*Assumptions!$C$92)/100)+((M126*Assumptions!$C$93)/100))</f>
        <v>57.3357407335968</v>
      </c>
      <c r="N169" s="9" t="n">
        <f aca="false">((((N29+N39)*Assumptions!$C$92)/100)+((N126*Assumptions!$C$93)/100))</f>
        <v>57.7182361208191</v>
      </c>
      <c r="O169" s="9" t="n">
        <f aca="false">((((O29+O39)*Assumptions!$C$92)/100)+((O126*Assumptions!$C$93)/100))</f>
        <v>94.1852440157114</v>
      </c>
      <c r="P169" s="9" t="n">
        <f aca="false">((((P29+P39)*Assumptions!$C$92)/100)+((P126*Assumptions!$C$93)/100))</f>
        <v>102.409667132375</v>
      </c>
      <c r="Q169" s="9" t="n">
        <f aca="false">((((Q29+Q39)*Assumptions!$C$92)/100)+((Q126*Assumptions!$C$93)/100))</f>
        <v>170.510900439149</v>
      </c>
      <c r="R169" s="9" t="n">
        <f aca="false">((((R29+R39)*Assumptions!$C$92)/100)+((R126*Assumptions!$C$93)/100))</f>
        <v>188.046430367056</v>
      </c>
      <c r="S169" s="9" t="n">
        <f aca="false">((((S29+S39)*Assumptions!$C$92)/100)+((S126*Assumptions!$C$93)/100))</f>
        <v>199.275283637953</v>
      </c>
      <c r="T169" s="9" t="n">
        <f aca="false">((((T29+T39)*Assumptions!$C$92)/100)+((T126*Assumptions!$C$93)/100))</f>
        <v>229.967536859272</v>
      </c>
      <c r="U169" s="9" t="n">
        <f aca="false">((((U29+U39)*Assumptions!$C$92)/100)+((U126*Assumptions!$C$93)/100))</f>
        <v>242.863252928375</v>
      </c>
      <c r="V169" s="9" t="n">
        <f aca="false">((((V29+V39)*Assumptions!$C$92)/100)+((V126*Assumptions!$C$93)/100))</f>
        <v>280.242596761469</v>
      </c>
      <c r="W169" s="9" t="n">
        <f aca="false">((((W29+W39)*Assumptions!$C$92)/100)+((W126*Assumptions!$C$93)/100))</f>
        <v>343.578471744582</v>
      </c>
      <c r="X169" s="9" t="n">
        <f aca="false">((((X29+X39)*Assumptions!$C$92)/100)+((X126*Assumptions!$C$93)/100))</f>
        <v>365.192201000698</v>
      </c>
      <c r="Y169" s="9" t="n">
        <f aca="false">((((Y29+Y39)*Assumptions!$C$92)/100)+((Y126*Assumptions!$C$93)/100))</f>
        <v>374.83756252823</v>
      </c>
      <c r="Z169" s="9" t="n">
        <f aca="false">((((Z29+Z39)*Assumptions!$C$92)/100)+((Z126*Assumptions!$C$93)/100))</f>
        <v>382.346433808938</v>
      </c>
      <c r="AA169" s="9" t="n">
        <f aca="false">((((AA29+AA39)*Assumptions!$C$92)/100)+((AA126*Assumptions!$C$93)/100))</f>
        <v>450.401086208161</v>
      </c>
      <c r="AB169" s="9" t="n">
        <f aca="false">((((AB29+AB39)*Assumptions!$C$92)/100)+((AB126*Assumptions!$C$93)/100))</f>
        <v>470.838304115395</v>
      </c>
      <c r="AC169" s="9" t="n">
        <f aca="false">((((AC29+AC39)*Assumptions!$C$92)/100)+((AC126*Assumptions!$C$93)/100))</f>
        <v>482.168769274398</v>
      </c>
      <c r="AD169" s="9" t="n">
        <f aca="false">((((AD29+AD39)*Assumptions!$C$92)/100)+((AD126*Assumptions!$C$93)/100))</f>
        <v>585.086068514689</v>
      </c>
      <c r="AE169" s="9" t="n">
        <f aca="false">((((AE29+AE39)*Assumptions!$C$92)/100)+((AE126*Assumptions!$C$93)/100))</f>
        <v>586.193387512829</v>
      </c>
      <c r="AF169" s="9" t="n">
        <f aca="false">((((AF29+AF39)*Assumptions!$C$92)/100)+((AF126*Assumptions!$C$93)/100))</f>
        <v>606.739393842187</v>
      </c>
      <c r="AG169" s="9" t="n">
        <f aca="false">((((AG29+AG39)*Assumptions!$C$92)/100)+((AG126*Assumptions!$C$93)/100))</f>
        <v>719.764722002763</v>
      </c>
      <c r="AH169" s="9" t="n">
        <f aca="false">((((AH29+AH39)*Assumptions!$C$92)/100)+((AH126*Assumptions!$C$93)/100))</f>
        <v>828.206922490851</v>
      </c>
      <c r="AI169" s="9" t="n">
        <f aca="false">((((AI29+AI39)*Assumptions!$C$92)/100)+((AI126*Assumptions!$C$93)/100))</f>
        <v>893.616610541318</v>
      </c>
      <c r="AJ169" s="9" t="n">
        <f aca="false">((((AJ29+AJ39)*Assumptions!$C$92)/100)+((AJ126*Assumptions!$C$93)/100))</f>
        <v>1018.42580819085</v>
      </c>
      <c r="AK169" s="9" t="n">
        <f aca="false">((((AK29+AK39)*Assumptions!$C$92)/100)+((AK126*Assumptions!$C$93)/100))</f>
        <v>1023.19049022513</v>
      </c>
      <c r="AL169" s="9" t="n">
        <f aca="false">((((AL29+AL39)*Assumptions!$C$92)/100)+((AL126*Assumptions!$C$93)/100))</f>
        <v>1023.97641695903</v>
      </c>
      <c r="AN169" s="11" t="n">
        <f aca="false">SUM(C169:N169)</f>
        <v>379.316617899639</v>
      </c>
      <c r="AO169" s="11" t="n">
        <f aca="false">SUM(O169:Z169)</f>
        <v>2973.45558122381</v>
      </c>
      <c r="AP169" s="11" t="n">
        <f aca="false">SUM(AA169:AL169)</f>
        <v>8688.60797987759</v>
      </c>
    </row>
    <row r="170" customFormat="false" ht="15" hidden="false" customHeight="false" outlineLevel="0" collapsed="false">
      <c r="A170" s="0" t="s">
        <v>972</v>
      </c>
      <c r="B170" s="0" t="s">
        <v>230</v>
      </c>
      <c r="C170" s="9" t="n">
        <f aca="false">((C169*Assumptions!$C$94)*Assumptions!$C$95)</f>
        <v>4.3875</v>
      </c>
      <c r="D170" s="9" t="n">
        <f aca="false">((D169*Assumptions!$C$94)*Assumptions!$C$95)</f>
        <v>7.79625</v>
      </c>
      <c r="E170" s="9" t="n">
        <f aca="false">((E169*Assumptions!$C$94)*Assumptions!$C$95)</f>
        <v>10.273635</v>
      </c>
      <c r="F170" s="9" t="n">
        <f aca="false">((F169*Assumptions!$C$94)*Assumptions!$C$95)</f>
        <v>12.256542</v>
      </c>
      <c r="G170" s="9" t="n">
        <f aca="false">((G169*Assumptions!$C$94)*Assumptions!$C$95)</f>
        <v>22.529772804</v>
      </c>
      <c r="H170" s="9" t="n">
        <f aca="false">((H169*Assumptions!$C$94)*Assumptions!$C$95)</f>
        <v>23.18695572972</v>
      </c>
      <c r="I170" s="9" t="n">
        <f aca="false">((I169*Assumptions!$C$94)*Assumptions!$C$95)</f>
        <v>24.8582724448584</v>
      </c>
      <c r="J170" s="9" t="n">
        <f aca="false">((J169*Assumptions!$C$94)*Assumptions!$C$95)</f>
        <v>69.3786331500288</v>
      </c>
      <c r="K170" s="9" t="n">
        <f aca="false">((K169*Assumptions!$C$94)*Assumptions!$C$95)</f>
        <v>76.4320742248002</v>
      </c>
      <c r="L170" s="9" t="n">
        <f aca="false">((L169*Assumptions!$C$94)*Assumptions!$C$95)</f>
        <v>79.2286659531216</v>
      </c>
      <c r="M170" s="9" t="n">
        <f aca="false">((M169*Assumptions!$C$94)*Assumptions!$C$95)</f>
        <v>71.669675916996</v>
      </c>
      <c r="N170" s="9" t="n">
        <f aca="false">((N169*Assumptions!$C$94)*Assumptions!$C$95)</f>
        <v>72.1477951510239</v>
      </c>
      <c r="O170" s="9" t="n">
        <f aca="false">((O169*Assumptions!$C$94)*Assumptions!$C$95)</f>
        <v>117.731555019639</v>
      </c>
      <c r="P170" s="9" t="n">
        <f aca="false">((P169*Assumptions!$C$94)*Assumptions!$C$95)</f>
        <v>128.012083915469</v>
      </c>
      <c r="Q170" s="9" t="n">
        <f aca="false">((Q169*Assumptions!$C$94)*Assumptions!$C$95)</f>
        <v>213.138625548936</v>
      </c>
      <c r="R170" s="9" t="n">
        <f aca="false">((R169*Assumptions!$C$94)*Assumptions!$C$95)</f>
        <v>235.05803795882</v>
      </c>
      <c r="S170" s="9" t="n">
        <f aca="false">((S169*Assumptions!$C$94)*Assumptions!$C$95)</f>
        <v>249.094104547442</v>
      </c>
      <c r="T170" s="9" t="n">
        <f aca="false">((T169*Assumptions!$C$94)*Assumptions!$C$95)</f>
        <v>287.45942107409</v>
      </c>
      <c r="U170" s="9" t="n">
        <f aca="false">((U169*Assumptions!$C$94)*Assumptions!$C$95)</f>
        <v>303.579066160468</v>
      </c>
      <c r="V170" s="9" t="n">
        <f aca="false">((V169*Assumptions!$C$94)*Assumptions!$C$95)</f>
        <v>350.303245951836</v>
      </c>
      <c r="W170" s="9" t="n">
        <f aca="false">((W169*Assumptions!$C$94)*Assumptions!$C$95)</f>
        <v>429.473089680727</v>
      </c>
      <c r="X170" s="9" t="n">
        <f aca="false">((X169*Assumptions!$C$94)*Assumptions!$C$95)</f>
        <v>456.490251250872</v>
      </c>
      <c r="Y170" s="9" t="n">
        <f aca="false">((Y169*Assumptions!$C$94)*Assumptions!$C$95)</f>
        <v>468.546953160288</v>
      </c>
      <c r="Z170" s="9" t="n">
        <f aca="false">((Z169*Assumptions!$C$94)*Assumptions!$C$95)</f>
        <v>477.933042261173</v>
      </c>
      <c r="AA170" s="9" t="n">
        <f aca="false">((AA169*Assumptions!$C$94)*Assumptions!$C$95)</f>
        <v>563.001357760201</v>
      </c>
      <c r="AB170" s="9" t="n">
        <f aca="false">((AB169*Assumptions!$C$94)*Assumptions!$C$95)</f>
        <v>588.547880144243</v>
      </c>
      <c r="AC170" s="9" t="n">
        <f aca="false">((AC169*Assumptions!$C$94)*Assumptions!$C$95)</f>
        <v>602.710961592997</v>
      </c>
      <c r="AD170" s="9" t="n">
        <f aca="false">((AD169*Assumptions!$C$94)*Assumptions!$C$95)</f>
        <v>731.357585643361</v>
      </c>
      <c r="AE170" s="9" t="n">
        <f aca="false">((AE169*Assumptions!$C$94)*Assumptions!$C$95)</f>
        <v>732.741734391036</v>
      </c>
      <c r="AF170" s="9" t="n">
        <f aca="false">((AF169*Assumptions!$C$94)*Assumptions!$C$95)</f>
        <v>758.424242302734</v>
      </c>
      <c r="AG170" s="9" t="n">
        <f aca="false">((AG169*Assumptions!$C$94)*Assumptions!$C$95)</f>
        <v>899.705902503454</v>
      </c>
      <c r="AH170" s="9" t="n">
        <f aca="false">((AH169*Assumptions!$C$94)*Assumptions!$C$95)</f>
        <v>1035.25865311356</v>
      </c>
      <c r="AI170" s="9" t="n">
        <f aca="false">((AI169*Assumptions!$C$94)*Assumptions!$C$95)</f>
        <v>1117.02076317665</v>
      </c>
      <c r="AJ170" s="9" t="n">
        <f aca="false">((AJ169*Assumptions!$C$94)*Assumptions!$C$95)</f>
        <v>1273.03226023856</v>
      </c>
      <c r="AK170" s="9" t="n">
        <f aca="false">((AK169*Assumptions!$C$94)*Assumptions!$C$95)</f>
        <v>1278.98811278141</v>
      </c>
      <c r="AL170" s="9" t="n">
        <f aca="false">((AL169*Assumptions!$C$94)*Assumptions!$C$95)</f>
        <v>1279.97052119878</v>
      </c>
      <c r="AN170" s="11" t="n">
        <f aca="false">SUM(C170:N170)</f>
        <v>474.145772374549</v>
      </c>
      <c r="AO170" s="11" t="n">
        <f aca="false">SUM(O170:Z170)</f>
        <v>3716.81947652976</v>
      </c>
      <c r="AP170" s="11" t="n">
        <f aca="false">SUM(AA170:AL170)</f>
        <v>10860.759974847</v>
      </c>
    </row>
    <row r="171" customFormat="false" ht="15" hidden="false" customHeight="false" outlineLevel="0" collapsed="false">
      <c r="A171" s="0" t="s">
        <v>973</v>
      </c>
      <c r="B171" s="0" t="s">
        <v>230</v>
      </c>
      <c r="C171" s="9" t="n">
        <f aca="false">SUMPRODUCT((Headcount!$C$5:$C$90="SUPPORT")*Headcount!$D$5:$D$90*Headcount!$F$5:$F$90*((Headcount!$I$5:$I$90=0)+(Headcount!$I$5:$I$90=1)*$C$16)*(C$18&gt;=(Headcount!$E$5:$E$90+Headcount!$G$5:$G$90*$C$15)))/12*(1+Assumptions!$C$97)</f>
        <v>0</v>
      </c>
      <c r="D171" s="9" t="n">
        <f aca="false">SUMPRODUCT((Headcount!$C$5:$C$90="SUPPORT")*Headcount!$D$5:$D$90*Headcount!$F$5:$F$90*((Headcount!$I$5:$I$90=0)+(Headcount!$I$5:$I$90=1)*$C$16)*(D$18&gt;=(Headcount!$E$5:$E$90+Headcount!$G$5:$G$90*$C$15)))/12*(1+Assumptions!$C$97)</f>
        <v>0</v>
      </c>
      <c r="E171" s="9" t="n">
        <f aca="false">SUMPRODUCT((Headcount!$C$5:$C$90="SUPPORT")*Headcount!$D$5:$D$90*Headcount!$F$5:$F$90*((Headcount!$I$5:$I$90=0)+(Headcount!$I$5:$I$90=1)*$C$16)*(E$18&gt;=(Headcount!$E$5:$E$90+Headcount!$G$5:$G$90*$C$15)))/12*(1+Assumptions!$C$97)</f>
        <v>0</v>
      </c>
      <c r="F171" s="9" t="n">
        <f aca="false">SUMPRODUCT((Headcount!$C$5:$C$90="SUPPORT")*Headcount!$D$5:$D$90*Headcount!$F$5:$F$90*((Headcount!$I$5:$I$90=0)+(Headcount!$I$5:$I$90=1)*$C$16)*(F$18&gt;=(Headcount!$E$5:$E$90+Headcount!$G$5:$G$90*$C$15)))/12*(1+Assumptions!$C$97)</f>
        <v>0</v>
      </c>
      <c r="G171" s="9" t="n">
        <f aca="false">SUMPRODUCT((Headcount!$C$5:$C$90="SUPPORT")*Headcount!$D$5:$D$90*Headcount!$F$5:$F$90*((Headcount!$I$5:$I$90=0)+(Headcount!$I$5:$I$90=1)*$C$16)*(G$18&gt;=(Headcount!$E$5:$E$90+Headcount!$G$5:$G$90*$C$15)))/12*(1+Assumptions!$C$97)</f>
        <v>0</v>
      </c>
      <c r="H171" s="9" t="n">
        <f aca="false">SUMPRODUCT((Headcount!$C$5:$C$90="SUPPORT")*Headcount!$D$5:$D$90*Headcount!$F$5:$F$90*((Headcount!$I$5:$I$90=0)+(Headcount!$I$5:$I$90=1)*$C$16)*(H$18&gt;=(Headcount!$E$5:$E$90+Headcount!$G$5:$G$90*$C$15)))/12*(1+Assumptions!$C$97)</f>
        <v>0</v>
      </c>
      <c r="I171" s="9" t="n">
        <f aca="false">SUMPRODUCT((Headcount!$C$5:$C$90="SUPPORT")*Headcount!$D$5:$D$90*Headcount!$F$5:$F$90*((Headcount!$I$5:$I$90=0)+(Headcount!$I$5:$I$90=1)*$C$16)*(I$18&gt;=(Headcount!$E$5:$E$90+Headcount!$G$5:$G$90*$C$15)))/12*(1+Assumptions!$C$97)</f>
        <v>0</v>
      </c>
      <c r="J171" s="9" t="n">
        <f aca="false">SUMPRODUCT((Headcount!$C$5:$C$90="SUPPORT")*Headcount!$D$5:$D$90*Headcount!$F$5:$F$90*((Headcount!$I$5:$I$90=0)+(Headcount!$I$5:$I$90=1)*$C$16)*(J$18&gt;=(Headcount!$E$5:$E$90+Headcount!$G$5:$G$90*$C$15)))/12*(1+Assumptions!$C$97)</f>
        <v>0</v>
      </c>
      <c r="K171" s="9" t="n">
        <f aca="false">SUMPRODUCT((Headcount!$C$5:$C$90="SUPPORT")*Headcount!$D$5:$D$90*Headcount!$F$5:$F$90*((Headcount!$I$5:$I$90=0)+(Headcount!$I$5:$I$90=1)*$C$16)*(K$18&gt;=(Headcount!$E$5:$E$90+Headcount!$G$5:$G$90*$C$15)))/12*(1+Assumptions!$C$97)</f>
        <v>6303.33333333333</v>
      </c>
      <c r="L171" s="9" t="n">
        <f aca="false">SUMPRODUCT((Headcount!$C$5:$C$90="SUPPORT")*Headcount!$D$5:$D$90*Headcount!$F$5:$F$90*((Headcount!$I$5:$I$90=0)+(Headcount!$I$5:$I$90=1)*$C$16)*(L$18&gt;=(Headcount!$E$5:$E$90+Headcount!$G$5:$G$90*$C$15)))/12*(1+Assumptions!$C$97)</f>
        <v>6303.33333333333</v>
      </c>
      <c r="M171" s="9" t="n">
        <f aca="false">SUMPRODUCT((Headcount!$C$5:$C$90="SUPPORT")*Headcount!$D$5:$D$90*Headcount!$F$5:$F$90*((Headcount!$I$5:$I$90=0)+(Headcount!$I$5:$I$90=1)*$C$16)*(M$18&gt;=(Headcount!$E$5:$E$90+Headcount!$G$5:$G$90*$C$15)))/12*(1+Assumptions!$C$97)</f>
        <v>6303.33333333333</v>
      </c>
      <c r="N171" s="9" t="n">
        <f aca="false">SUMPRODUCT((Headcount!$C$5:$C$90="SUPPORT")*Headcount!$D$5:$D$90*Headcount!$F$5:$F$90*((Headcount!$I$5:$I$90=0)+(Headcount!$I$5:$I$90=1)*$C$16)*(N$18&gt;=(Headcount!$E$5:$E$90+Headcount!$G$5:$G$90*$C$15)))/12*(1+Assumptions!$C$97)</f>
        <v>6303.33333333333</v>
      </c>
      <c r="O171" s="9" t="n">
        <f aca="false">SUMPRODUCT((Headcount!$C$5:$C$90="SUPPORT")*Headcount!$D$5:$D$90*Headcount!$F$5:$F$90*((Headcount!$I$5:$I$90=0)+(Headcount!$I$5:$I$90=1)*$C$16)*(O$18&gt;=(Headcount!$E$5:$E$90+Headcount!$G$5:$G$90*$C$15)))/12*(1+Assumptions!$C$97)</f>
        <v>6303.33333333333</v>
      </c>
      <c r="P171" s="9" t="n">
        <f aca="false">SUMPRODUCT((Headcount!$C$5:$C$90="SUPPORT")*Headcount!$D$5:$D$90*Headcount!$F$5:$F$90*((Headcount!$I$5:$I$90=0)+(Headcount!$I$5:$I$90=1)*$C$16)*(P$18&gt;=(Headcount!$E$5:$E$90+Headcount!$G$5:$G$90*$C$15)))/12*(1+Assumptions!$C$97)</f>
        <v>6303.33333333333</v>
      </c>
      <c r="Q171" s="9" t="n">
        <f aca="false">SUMPRODUCT((Headcount!$C$5:$C$90="SUPPORT")*Headcount!$D$5:$D$90*Headcount!$F$5:$F$90*((Headcount!$I$5:$I$90=0)+(Headcount!$I$5:$I$90=1)*$C$16)*(Q$18&gt;=(Headcount!$E$5:$E$90+Headcount!$G$5:$G$90*$C$15)))/12*(1+Assumptions!$C$97)</f>
        <v>6303.33333333333</v>
      </c>
      <c r="R171" s="9" t="n">
        <f aca="false">SUMPRODUCT((Headcount!$C$5:$C$90="SUPPORT")*Headcount!$D$5:$D$90*Headcount!$F$5:$F$90*((Headcount!$I$5:$I$90=0)+(Headcount!$I$5:$I$90=1)*$C$16)*(R$18&gt;=(Headcount!$E$5:$E$90+Headcount!$G$5:$G$90*$C$15)))/12*(1+Assumptions!$C$97)</f>
        <v>6303.33333333333</v>
      </c>
      <c r="S171" s="9" t="n">
        <f aca="false">SUMPRODUCT((Headcount!$C$5:$C$90="SUPPORT")*Headcount!$D$5:$D$90*Headcount!$F$5:$F$90*((Headcount!$I$5:$I$90=0)+(Headcount!$I$5:$I$90=1)*$C$16)*(S$18&gt;=(Headcount!$E$5:$E$90+Headcount!$G$5:$G$90*$C$15)))/12*(1+Assumptions!$C$97)</f>
        <v>6303.33333333333</v>
      </c>
      <c r="T171" s="9" t="n">
        <f aca="false">SUMPRODUCT((Headcount!$C$5:$C$90="SUPPORT")*Headcount!$D$5:$D$90*Headcount!$F$5:$F$90*((Headcount!$I$5:$I$90=0)+(Headcount!$I$5:$I$90=1)*$C$16)*(T$18&gt;=(Headcount!$E$5:$E$90+Headcount!$G$5:$G$90*$C$15)))/12*(1+Assumptions!$C$97)</f>
        <v>14945</v>
      </c>
      <c r="U171" s="9" t="n">
        <f aca="false">SUMPRODUCT((Headcount!$C$5:$C$90="SUPPORT")*Headcount!$D$5:$D$90*Headcount!$F$5:$F$90*((Headcount!$I$5:$I$90=0)+(Headcount!$I$5:$I$90=1)*$C$16)*(U$18&gt;=(Headcount!$E$5:$E$90+Headcount!$G$5:$G$90*$C$15)))/12*(1+Assumptions!$C$97)</f>
        <v>14945</v>
      </c>
      <c r="V171" s="9" t="n">
        <f aca="false">SUMPRODUCT((Headcount!$C$5:$C$90="SUPPORT")*Headcount!$D$5:$D$90*Headcount!$F$5:$F$90*((Headcount!$I$5:$I$90=0)+(Headcount!$I$5:$I$90=1)*$C$16)*(V$18&gt;=(Headcount!$E$5:$E$90+Headcount!$G$5:$G$90*$C$15)))/12*(1+Assumptions!$C$97)</f>
        <v>14945</v>
      </c>
      <c r="W171" s="9" t="n">
        <f aca="false">SUMPRODUCT((Headcount!$C$5:$C$90="SUPPORT")*Headcount!$D$5:$D$90*Headcount!$F$5:$F$90*((Headcount!$I$5:$I$90=0)+(Headcount!$I$5:$I$90=1)*$C$16)*(W$18&gt;=(Headcount!$E$5:$E$90+Headcount!$G$5:$G$90*$C$15)))/12*(1+Assumptions!$C$97)</f>
        <v>14945</v>
      </c>
      <c r="X171" s="9" t="n">
        <f aca="false">SUMPRODUCT((Headcount!$C$5:$C$90="SUPPORT")*Headcount!$D$5:$D$90*Headcount!$F$5:$F$90*((Headcount!$I$5:$I$90=0)+(Headcount!$I$5:$I$90=1)*$C$16)*(X$18&gt;=(Headcount!$E$5:$E$90+Headcount!$G$5:$G$90*$C$15)))/12*(1+Assumptions!$C$97)</f>
        <v>14945</v>
      </c>
      <c r="Y171" s="9" t="n">
        <f aca="false">SUMPRODUCT((Headcount!$C$5:$C$90="SUPPORT")*Headcount!$D$5:$D$90*Headcount!$F$5:$F$90*((Headcount!$I$5:$I$90=0)+(Headcount!$I$5:$I$90=1)*$C$16)*(Y$18&gt;=(Headcount!$E$5:$E$90+Headcount!$G$5:$G$90*$C$15)))/12*(1+Assumptions!$C$97)</f>
        <v>14945</v>
      </c>
      <c r="Z171" s="9" t="n">
        <f aca="false">SUMPRODUCT((Headcount!$C$5:$C$90="SUPPORT")*Headcount!$D$5:$D$90*Headcount!$F$5:$F$90*((Headcount!$I$5:$I$90=0)+(Headcount!$I$5:$I$90=1)*$C$16)*(Z$18&gt;=(Headcount!$E$5:$E$90+Headcount!$G$5:$G$90*$C$15)))/12*(1+Assumptions!$C$97)</f>
        <v>14945</v>
      </c>
      <c r="AA171" s="9" t="n">
        <f aca="false">SUMPRODUCT((Headcount!$C$5:$C$90="SUPPORT")*Headcount!$D$5:$D$90*Headcount!$F$5:$F$90*((Headcount!$I$5:$I$90=0)+(Headcount!$I$5:$I$90=1)*$C$16)*(AA$18&gt;=(Headcount!$E$5:$E$90+Headcount!$G$5:$G$90*$C$15)))/12*(1+Assumptions!$C$97)</f>
        <v>14945</v>
      </c>
      <c r="AB171" s="9" t="n">
        <f aca="false">SUMPRODUCT((Headcount!$C$5:$C$90="SUPPORT")*Headcount!$D$5:$D$90*Headcount!$F$5:$F$90*((Headcount!$I$5:$I$90=0)+(Headcount!$I$5:$I$90=1)*$C$16)*(AB$18&gt;=(Headcount!$E$5:$E$90+Headcount!$G$5:$G$90*$C$15)))/12*(1+Assumptions!$C$97)</f>
        <v>21248.3333333333</v>
      </c>
      <c r="AC171" s="9" t="n">
        <f aca="false">SUMPRODUCT((Headcount!$C$5:$C$90="SUPPORT")*Headcount!$D$5:$D$90*Headcount!$F$5:$F$90*((Headcount!$I$5:$I$90=0)+(Headcount!$I$5:$I$90=1)*$C$16)*(AC$18&gt;=(Headcount!$E$5:$E$90+Headcount!$G$5:$G$90*$C$15)))/12*(1+Assumptions!$C$97)</f>
        <v>21248.3333333333</v>
      </c>
      <c r="AD171" s="9" t="n">
        <f aca="false">SUMPRODUCT((Headcount!$C$5:$C$90="SUPPORT")*Headcount!$D$5:$D$90*Headcount!$F$5:$F$90*((Headcount!$I$5:$I$90=0)+(Headcount!$I$5:$I$90=1)*$C$16)*(AD$18&gt;=(Headcount!$E$5:$E$90+Headcount!$G$5:$G$90*$C$15)))/12*(1+Assumptions!$C$97)</f>
        <v>21248.3333333333</v>
      </c>
      <c r="AE171" s="9" t="n">
        <f aca="false">SUMPRODUCT((Headcount!$C$5:$C$90="SUPPORT")*Headcount!$D$5:$D$90*Headcount!$F$5:$F$90*((Headcount!$I$5:$I$90=0)+(Headcount!$I$5:$I$90=1)*$C$16)*(AE$18&gt;=(Headcount!$E$5:$E$90+Headcount!$G$5:$G$90*$C$15)))/12*(1+Assumptions!$C$97)</f>
        <v>21248.3333333333</v>
      </c>
      <c r="AF171" s="9" t="n">
        <f aca="false">SUMPRODUCT((Headcount!$C$5:$C$90="SUPPORT")*Headcount!$D$5:$D$90*Headcount!$F$5:$F$90*((Headcount!$I$5:$I$90=0)+(Headcount!$I$5:$I$90=1)*$C$16)*(AF$18&gt;=(Headcount!$E$5:$E$90+Headcount!$G$5:$G$90*$C$15)))/12*(1+Assumptions!$C$97)</f>
        <v>21248.3333333333</v>
      </c>
      <c r="AG171" s="9" t="n">
        <f aca="false">SUMPRODUCT((Headcount!$C$5:$C$90="SUPPORT")*Headcount!$D$5:$D$90*Headcount!$F$5:$F$90*((Headcount!$I$5:$I$90=0)+(Headcount!$I$5:$I$90=1)*$C$16)*(AG$18&gt;=(Headcount!$E$5:$E$90+Headcount!$G$5:$G$90*$C$15)))/12*(1+Assumptions!$C$97)</f>
        <v>21248.3333333333</v>
      </c>
      <c r="AH171" s="9" t="n">
        <f aca="false">SUMPRODUCT((Headcount!$C$5:$C$90="SUPPORT")*Headcount!$D$5:$D$90*Headcount!$F$5:$F$90*((Headcount!$I$5:$I$90=0)+(Headcount!$I$5:$I$90=1)*$C$16)*(AH$18&gt;=(Headcount!$E$5:$E$90+Headcount!$G$5:$G$90*$C$15)))/12*(1+Assumptions!$C$97)</f>
        <v>21248.3333333333</v>
      </c>
      <c r="AI171" s="9" t="n">
        <f aca="false">SUMPRODUCT((Headcount!$C$5:$C$90="SUPPORT")*Headcount!$D$5:$D$90*Headcount!$F$5:$F$90*((Headcount!$I$5:$I$90=0)+(Headcount!$I$5:$I$90=1)*$C$16)*(AI$18&gt;=(Headcount!$E$5:$E$90+Headcount!$G$5:$G$90*$C$15)))/12*(1+Assumptions!$C$97)</f>
        <v>27551.6666666667</v>
      </c>
      <c r="AJ171" s="9" t="n">
        <f aca="false">SUMPRODUCT((Headcount!$C$5:$C$90="SUPPORT")*Headcount!$D$5:$D$90*Headcount!$F$5:$F$90*((Headcount!$I$5:$I$90=0)+(Headcount!$I$5:$I$90=1)*$C$16)*(AJ$18&gt;=(Headcount!$E$5:$E$90+Headcount!$G$5:$G$90*$C$15)))/12*(1+Assumptions!$C$97)</f>
        <v>27551.6666666667</v>
      </c>
      <c r="AK171" s="9" t="n">
        <f aca="false">SUMPRODUCT((Headcount!$C$5:$C$90="SUPPORT")*Headcount!$D$5:$D$90*Headcount!$F$5:$F$90*((Headcount!$I$5:$I$90=0)+(Headcount!$I$5:$I$90=1)*$C$16)*(AK$18&gt;=(Headcount!$E$5:$E$90+Headcount!$G$5:$G$90*$C$15)))/12*(1+Assumptions!$C$97)</f>
        <v>27551.6666666667</v>
      </c>
      <c r="AL171" s="9" t="n">
        <f aca="false">SUMPRODUCT((Headcount!$C$5:$C$90="SUPPORT")*Headcount!$D$5:$D$90*Headcount!$F$5:$F$90*((Headcount!$I$5:$I$90=0)+(Headcount!$I$5:$I$90=1)*$C$16)*(AL$18&gt;=(Headcount!$E$5:$E$90+Headcount!$G$5:$G$90*$C$15)))/12*(1+Assumptions!$C$97)</f>
        <v>27551.6666666667</v>
      </c>
      <c r="AN171" s="11" t="n">
        <f aca="false">SUM(C171:N171)</f>
        <v>25213.3333333333</v>
      </c>
      <c r="AO171" s="11" t="n">
        <f aca="false">SUM(O171:Z171)</f>
        <v>136131.666666667</v>
      </c>
      <c r="AP171" s="11" t="n">
        <f aca="false">SUM(AA171:AL171)</f>
        <v>273890</v>
      </c>
    </row>
    <row r="172" customFormat="false" ht="15" hidden="false" customHeight="false" outlineLevel="0" collapsed="false">
      <c r="A172" s="0" t="s">
        <v>974</v>
      </c>
      <c r="B172" s="0" t="s">
        <v>230</v>
      </c>
      <c r="C172" s="9" t="n">
        <f aca="false">SUMPRODUCT((Headcount!$C$5:$C$90="IMPL")*Headcount!$D$5:$D$90*Headcount!$F$5:$F$90*((Headcount!$I$5:$I$90=0)+(Headcount!$I$5:$I$90=1)*$C$16)*(C$18&gt;=(Headcount!$E$5:$E$90+Headcount!$G$5:$G$90*$C$15)))/12*(1+Assumptions!$C$97)</f>
        <v>0</v>
      </c>
      <c r="D172" s="9" t="n">
        <f aca="false">SUMPRODUCT((Headcount!$C$5:$C$90="IMPL")*Headcount!$D$5:$D$90*Headcount!$F$5:$F$90*((Headcount!$I$5:$I$90=0)+(Headcount!$I$5:$I$90=1)*$C$16)*(D$18&gt;=(Headcount!$E$5:$E$90+Headcount!$G$5:$G$90*$C$15)))/12*(1+Assumptions!$C$97)</f>
        <v>0</v>
      </c>
      <c r="E172" s="9" t="n">
        <f aca="false">SUMPRODUCT((Headcount!$C$5:$C$90="IMPL")*Headcount!$D$5:$D$90*Headcount!$F$5:$F$90*((Headcount!$I$5:$I$90=0)+(Headcount!$I$5:$I$90=1)*$C$16)*(E$18&gt;=(Headcount!$E$5:$E$90+Headcount!$G$5:$G$90*$C$15)))/12*(1+Assumptions!$C$97)</f>
        <v>0</v>
      </c>
      <c r="F172" s="9" t="n">
        <f aca="false">SUMPRODUCT((Headcount!$C$5:$C$90="IMPL")*Headcount!$D$5:$D$90*Headcount!$F$5:$F$90*((Headcount!$I$5:$I$90=0)+(Headcount!$I$5:$I$90=1)*$C$16)*(F$18&gt;=(Headcount!$E$5:$E$90+Headcount!$G$5:$G$90*$C$15)))/12*(1+Assumptions!$C$97)</f>
        <v>0</v>
      </c>
      <c r="G172" s="9" t="n">
        <f aca="false">SUMPRODUCT((Headcount!$C$5:$C$90="IMPL")*Headcount!$D$5:$D$90*Headcount!$F$5:$F$90*((Headcount!$I$5:$I$90=0)+(Headcount!$I$5:$I$90=1)*$C$16)*(G$18&gt;=(Headcount!$E$5:$E$90+Headcount!$G$5:$G$90*$C$15)))/12*(1+Assumptions!$C$97)</f>
        <v>10166.6666666667</v>
      </c>
      <c r="H172" s="9" t="n">
        <f aca="false">SUMPRODUCT((Headcount!$C$5:$C$90="IMPL")*Headcount!$D$5:$D$90*Headcount!$F$5:$F$90*((Headcount!$I$5:$I$90=0)+(Headcount!$I$5:$I$90=1)*$C$16)*(H$18&gt;=(Headcount!$E$5:$E$90+Headcount!$G$5:$G$90*$C$15)))/12*(1+Assumptions!$C$97)</f>
        <v>10166.6666666667</v>
      </c>
      <c r="I172" s="9" t="n">
        <f aca="false">SUMPRODUCT((Headcount!$C$5:$C$90="IMPL")*Headcount!$D$5:$D$90*Headcount!$F$5:$F$90*((Headcount!$I$5:$I$90=0)+(Headcount!$I$5:$I$90=1)*$C$16)*(I$18&gt;=(Headcount!$E$5:$E$90+Headcount!$G$5:$G$90*$C$15)))/12*(1+Assumptions!$C$97)</f>
        <v>10166.6666666667</v>
      </c>
      <c r="J172" s="9" t="n">
        <f aca="false">SUMPRODUCT((Headcount!$C$5:$C$90="IMPL")*Headcount!$D$5:$D$90*Headcount!$F$5:$F$90*((Headcount!$I$5:$I$90=0)+(Headcount!$I$5:$I$90=1)*$C$16)*(J$18&gt;=(Headcount!$E$5:$E$90+Headcount!$G$5:$G$90*$C$15)))/12*(1+Assumptions!$C$97)</f>
        <v>10166.6666666667</v>
      </c>
      <c r="K172" s="9" t="n">
        <f aca="false">SUMPRODUCT((Headcount!$C$5:$C$90="IMPL")*Headcount!$D$5:$D$90*Headcount!$F$5:$F$90*((Headcount!$I$5:$I$90=0)+(Headcount!$I$5:$I$90=1)*$C$16)*(K$18&gt;=(Headcount!$E$5:$E$90+Headcount!$G$5:$G$90*$C$15)))/12*(1+Assumptions!$C$97)</f>
        <v>10166.6666666667</v>
      </c>
      <c r="L172" s="9" t="n">
        <f aca="false">SUMPRODUCT((Headcount!$C$5:$C$90="IMPL")*Headcount!$D$5:$D$90*Headcount!$F$5:$F$90*((Headcount!$I$5:$I$90=0)+(Headcount!$I$5:$I$90=1)*$C$16)*(L$18&gt;=(Headcount!$E$5:$E$90+Headcount!$G$5:$G$90*$C$15)))/12*(1+Assumptions!$C$97)</f>
        <v>10166.6666666667</v>
      </c>
      <c r="M172" s="9" t="n">
        <f aca="false">SUMPRODUCT((Headcount!$C$5:$C$90="IMPL")*Headcount!$D$5:$D$90*Headcount!$F$5:$F$90*((Headcount!$I$5:$I$90=0)+(Headcount!$I$5:$I$90=1)*$C$16)*(M$18&gt;=(Headcount!$E$5:$E$90+Headcount!$G$5:$G$90*$C$15)))/12*(1+Assumptions!$C$97)</f>
        <v>20333.3333333333</v>
      </c>
      <c r="N172" s="9" t="n">
        <f aca="false">SUMPRODUCT((Headcount!$C$5:$C$90="IMPL")*Headcount!$D$5:$D$90*Headcount!$F$5:$F$90*((Headcount!$I$5:$I$90=0)+(Headcount!$I$5:$I$90=1)*$C$16)*(N$18&gt;=(Headcount!$E$5:$E$90+Headcount!$G$5:$G$90*$C$15)))/12*(1+Assumptions!$C$97)</f>
        <v>20333.3333333333</v>
      </c>
      <c r="O172" s="9" t="n">
        <f aca="false">SUMPRODUCT((Headcount!$C$5:$C$90="IMPL")*Headcount!$D$5:$D$90*Headcount!$F$5:$F$90*((Headcount!$I$5:$I$90=0)+(Headcount!$I$5:$I$90=1)*$C$16)*(O$18&gt;=(Headcount!$E$5:$E$90+Headcount!$G$5:$G$90*$C$15)))/12*(1+Assumptions!$C$97)</f>
        <v>20333.3333333333</v>
      </c>
      <c r="P172" s="9" t="n">
        <f aca="false">SUMPRODUCT((Headcount!$C$5:$C$90="IMPL")*Headcount!$D$5:$D$90*Headcount!$F$5:$F$90*((Headcount!$I$5:$I$90=0)+(Headcount!$I$5:$I$90=1)*$C$16)*(P$18&gt;=(Headcount!$E$5:$E$90+Headcount!$G$5:$G$90*$C$15)))/12*(1+Assumptions!$C$97)</f>
        <v>20333.3333333333</v>
      </c>
      <c r="Q172" s="9" t="n">
        <f aca="false">SUMPRODUCT((Headcount!$C$5:$C$90="IMPL")*Headcount!$D$5:$D$90*Headcount!$F$5:$F$90*((Headcount!$I$5:$I$90=0)+(Headcount!$I$5:$I$90=1)*$C$16)*(Q$18&gt;=(Headcount!$E$5:$E$90+Headcount!$G$5:$G$90*$C$15)))/12*(1+Assumptions!$C$97)</f>
        <v>30500</v>
      </c>
      <c r="R172" s="9" t="n">
        <f aca="false">SUMPRODUCT((Headcount!$C$5:$C$90="IMPL")*Headcount!$D$5:$D$90*Headcount!$F$5:$F$90*((Headcount!$I$5:$I$90=0)+(Headcount!$I$5:$I$90=1)*$C$16)*(R$18&gt;=(Headcount!$E$5:$E$90+Headcount!$G$5:$G$90*$C$15)))/12*(1+Assumptions!$C$97)</f>
        <v>30500</v>
      </c>
      <c r="S172" s="9" t="n">
        <f aca="false">SUMPRODUCT((Headcount!$C$5:$C$90="IMPL")*Headcount!$D$5:$D$90*Headcount!$F$5:$F$90*((Headcount!$I$5:$I$90=0)+(Headcount!$I$5:$I$90=1)*$C$16)*(S$18&gt;=(Headcount!$E$5:$E$90+Headcount!$G$5:$G$90*$C$15)))/12*(1+Assumptions!$C$97)</f>
        <v>30500</v>
      </c>
      <c r="T172" s="9" t="n">
        <f aca="false">SUMPRODUCT((Headcount!$C$5:$C$90="IMPL")*Headcount!$D$5:$D$90*Headcount!$F$5:$F$90*((Headcount!$I$5:$I$90=0)+(Headcount!$I$5:$I$90=1)*$C$16)*(T$18&gt;=(Headcount!$E$5:$E$90+Headcount!$G$5:$G$90*$C$15)))/12*(1+Assumptions!$C$97)</f>
        <v>30500</v>
      </c>
      <c r="U172" s="9" t="n">
        <f aca="false">SUMPRODUCT((Headcount!$C$5:$C$90="IMPL")*Headcount!$D$5:$D$90*Headcount!$F$5:$F$90*((Headcount!$I$5:$I$90=0)+(Headcount!$I$5:$I$90=1)*$C$16)*(U$18&gt;=(Headcount!$E$5:$E$90+Headcount!$G$5:$G$90*$C$15)))/12*(1+Assumptions!$C$97)</f>
        <v>40666.6666666667</v>
      </c>
      <c r="V172" s="9" t="n">
        <f aca="false">SUMPRODUCT((Headcount!$C$5:$C$90="IMPL")*Headcount!$D$5:$D$90*Headcount!$F$5:$F$90*((Headcount!$I$5:$I$90=0)+(Headcount!$I$5:$I$90=1)*$C$16)*(V$18&gt;=(Headcount!$E$5:$E$90+Headcount!$G$5:$G$90*$C$15)))/12*(1+Assumptions!$C$97)</f>
        <v>40666.6666666667</v>
      </c>
      <c r="W172" s="9" t="n">
        <f aca="false">SUMPRODUCT((Headcount!$C$5:$C$90="IMPL")*Headcount!$D$5:$D$90*Headcount!$F$5:$F$90*((Headcount!$I$5:$I$90=0)+(Headcount!$I$5:$I$90=1)*$C$16)*(W$18&gt;=(Headcount!$E$5:$E$90+Headcount!$G$5:$G$90*$C$15)))/12*(1+Assumptions!$C$97)</f>
        <v>40666.6666666667</v>
      </c>
      <c r="X172" s="9" t="n">
        <f aca="false">SUMPRODUCT((Headcount!$C$5:$C$90="IMPL")*Headcount!$D$5:$D$90*Headcount!$F$5:$F$90*((Headcount!$I$5:$I$90=0)+(Headcount!$I$5:$I$90=1)*$C$16)*(X$18&gt;=(Headcount!$E$5:$E$90+Headcount!$G$5:$G$90*$C$15)))/12*(1+Assumptions!$C$97)</f>
        <v>50833.3333333333</v>
      </c>
      <c r="Y172" s="9" t="n">
        <f aca="false">SUMPRODUCT((Headcount!$C$5:$C$90="IMPL")*Headcount!$D$5:$D$90*Headcount!$F$5:$F$90*((Headcount!$I$5:$I$90=0)+(Headcount!$I$5:$I$90=1)*$C$16)*(Y$18&gt;=(Headcount!$E$5:$E$90+Headcount!$G$5:$G$90*$C$15)))/12*(1+Assumptions!$C$97)</f>
        <v>50833.3333333333</v>
      </c>
      <c r="Z172" s="9" t="n">
        <f aca="false">SUMPRODUCT((Headcount!$C$5:$C$90="IMPL")*Headcount!$D$5:$D$90*Headcount!$F$5:$F$90*((Headcount!$I$5:$I$90=0)+(Headcount!$I$5:$I$90=1)*$C$16)*(Z$18&gt;=(Headcount!$E$5:$E$90+Headcount!$G$5:$G$90*$C$15)))/12*(1+Assumptions!$C$97)</f>
        <v>50833.3333333333</v>
      </c>
      <c r="AA172" s="9" t="n">
        <f aca="false">SUMPRODUCT((Headcount!$C$5:$C$90="IMPL")*Headcount!$D$5:$D$90*Headcount!$F$5:$F$90*((Headcount!$I$5:$I$90=0)+(Headcount!$I$5:$I$90=1)*$C$16)*(AA$18&gt;=(Headcount!$E$5:$E$90+Headcount!$G$5:$G$90*$C$15)))/12*(1+Assumptions!$C$97)</f>
        <v>61000</v>
      </c>
      <c r="AB172" s="9" t="n">
        <f aca="false">SUMPRODUCT((Headcount!$C$5:$C$90="IMPL")*Headcount!$D$5:$D$90*Headcount!$F$5:$F$90*((Headcount!$I$5:$I$90=0)+(Headcount!$I$5:$I$90=1)*$C$16)*(AB$18&gt;=(Headcount!$E$5:$E$90+Headcount!$G$5:$G$90*$C$15)))/12*(1+Assumptions!$C$97)</f>
        <v>61000</v>
      </c>
      <c r="AC172" s="9" t="n">
        <f aca="false">SUMPRODUCT((Headcount!$C$5:$C$90="IMPL")*Headcount!$D$5:$D$90*Headcount!$F$5:$F$90*((Headcount!$I$5:$I$90=0)+(Headcount!$I$5:$I$90=1)*$C$16)*(AC$18&gt;=(Headcount!$E$5:$E$90+Headcount!$G$5:$G$90*$C$15)))/12*(1+Assumptions!$C$97)</f>
        <v>61000</v>
      </c>
      <c r="AD172" s="9" t="n">
        <f aca="false">SUMPRODUCT((Headcount!$C$5:$C$90="IMPL")*Headcount!$D$5:$D$90*Headcount!$F$5:$F$90*((Headcount!$I$5:$I$90=0)+(Headcount!$I$5:$I$90=1)*$C$16)*(AD$18&gt;=(Headcount!$E$5:$E$90+Headcount!$G$5:$G$90*$C$15)))/12*(1+Assumptions!$C$97)</f>
        <v>71166.6666666667</v>
      </c>
      <c r="AE172" s="9" t="n">
        <f aca="false">SUMPRODUCT((Headcount!$C$5:$C$90="IMPL")*Headcount!$D$5:$D$90*Headcount!$F$5:$F$90*((Headcount!$I$5:$I$90=0)+(Headcount!$I$5:$I$90=1)*$C$16)*(AE$18&gt;=(Headcount!$E$5:$E$90+Headcount!$G$5:$G$90*$C$15)))/12*(1+Assumptions!$C$97)</f>
        <v>71166.6666666667</v>
      </c>
      <c r="AF172" s="9" t="n">
        <f aca="false">SUMPRODUCT((Headcount!$C$5:$C$90="IMPL")*Headcount!$D$5:$D$90*Headcount!$F$5:$F$90*((Headcount!$I$5:$I$90=0)+(Headcount!$I$5:$I$90=1)*$C$16)*(AF$18&gt;=(Headcount!$E$5:$E$90+Headcount!$G$5:$G$90*$C$15)))/12*(1+Assumptions!$C$97)</f>
        <v>71166.6666666667</v>
      </c>
      <c r="AG172" s="9" t="n">
        <f aca="false">SUMPRODUCT((Headcount!$C$5:$C$90="IMPL")*Headcount!$D$5:$D$90*Headcount!$F$5:$F$90*((Headcount!$I$5:$I$90=0)+(Headcount!$I$5:$I$90=1)*$C$16)*(AG$18&gt;=(Headcount!$E$5:$E$90+Headcount!$G$5:$G$90*$C$15)))/12*(1+Assumptions!$C$97)</f>
        <v>81333.3333333333</v>
      </c>
      <c r="AH172" s="9" t="n">
        <f aca="false">SUMPRODUCT((Headcount!$C$5:$C$90="IMPL")*Headcount!$D$5:$D$90*Headcount!$F$5:$F$90*((Headcount!$I$5:$I$90=0)+(Headcount!$I$5:$I$90=1)*$C$16)*(AH$18&gt;=(Headcount!$E$5:$E$90+Headcount!$G$5:$G$90*$C$15)))/12*(1+Assumptions!$C$97)</f>
        <v>81333.3333333333</v>
      </c>
      <c r="AI172" s="9" t="n">
        <f aca="false">SUMPRODUCT((Headcount!$C$5:$C$90="IMPL")*Headcount!$D$5:$D$90*Headcount!$F$5:$F$90*((Headcount!$I$5:$I$90=0)+(Headcount!$I$5:$I$90=1)*$C$16)*(AI$18&gt;=(Headcount!$E$5:$E$90+Headcount!$G$5:$G$90*$C$15)))/12*(1+Assumptions!$C$97)</f>
        <v>81333.3333333333</v>
      </c>
      <c r="AJ172" s="9" t="n">
        <f aca="false">SUMPRODUCT((Headcount!$C$5:$C$90="IMPL")*Headcount!$D$5:$D$90*Headcount!$F$5:$F$90*((Headcount!$I$5:$I$90=0)+(Headcount!$I$5:$I$90=1)*$C$16)*(AJ$18&gt;=(Headcount!$E$5:$E$90+Headcount!$G$5:$G$90*$C$15)))/12*(1+Assumptions!$C$97)</f>
        <v>81333.3333333333</v>
      </c>
      <c r="AK172" s="9" t="n">
        <f aca="false">SUMPRODUCT((Headcount!$C$5:$C$90="IMPL")*Headcount!$D$5:$D$90*Headcount!$F$5:$F$90*((Headcount!$I$5:$I$90=0)+(Headcount!$I$5:$I$90=1)*$C$16)*(AK$18&gt;=(Headcount!$E$5:$E$90+Headcount!$G$5:$G$90*$C$15)))/12*(1+Assumptions!$C$97)</f>
        <v>81333.3333333333</v>
      </c>
      <c r="AL172" s="9" t="n">
        <f aca="false">SUMPRODUCT((Headcount!$C$5:$C$90="IMPL")*Headcount!$D$5:$D$90*Headcount!$F$5:$F$90*((Headcount!$I$5:$I$90=0)+(Headcount!$I$5:$I$90=1)*$C$16)*(AL$18&gt;=(Headcount!$E$5:$E$90+Headcount!$G$5:$G$90*$C$15)))/12*(1+Assumptions!$C$97)</f>
        <v>81333.3333333333</v>
      </c>
      <c r="AN172" s="11" t="n">
        <f aca="false">SUM(C172:N172)</f>
        <v>101666.666666667</v>
      </c>
      <c r="AO172" s="11" t="n">
        <f aca="false">SUM(O172:Z172)</f>
        <v>437166.666666667</v>
      </c>
      <c r="AP172" s="11" t="n">
        <f aca="false">SUM(AA172:AL172)</f>
        <v>884500</v>
      </c>
    </row>
    <row r="173" customFormat="false" ht="15" hidden="false" customHeight="false" outlineLevel="0" collapsed="false">
      <c r="A173" s="0" t="s">
        <v>975</v>
      </c>
      <c r="B173" s="0" t="s">
        <v>230</v>
      </c>
      <c r="C173" s="9" t="n">
        <f aca="false">SUMPRODUCT((Headcount!$C$5:$C$90="CS")*Headcount!$D$5:$D$90*Headcount!$F$5:$F$90*((Headcount!$I$5:$I$90=0)+(Headcount!$I$5:$I$90=1)*$C$16)*(C$18&gt;=(Headcount!$E$5:$E$90+Headcount!$G$5:$G$90*$C$15)))/12*(1+Assumptions!$C$97)</f>
        <v>0</v>
      </c>
      <c r="D173" s="9" t="n">
        <f aca="false">SUMPRODUCT((Headcount!$C$5:$C$90="CS")*Headcount!$D$5:$D$90*Headcount!$F$5:$F$90*((Headcount!$I$5:$I$90=0)+(Headcount!$I$5:$I$90=1)*$C$16)*(D$18&gt;=(Headcount!$E$5:$E$90+Headcount!$G$5:$G$90*$C$15)))/12*(1+Assumptions!$C$97)</f>
        <v>0</v>
      </c>
      <c r="E173" s="9" t="n">
        <f aca="false">SUMPRODUCT((Headcount!$C$5:$C$90="CS")*Headcount!$D$5:$D$90*Headcount!$F$5:$F$90*((Headcount!$I$5:$I$90=0)+(Headcount!$I$5:$I$90=1)*$C$16)*(E$18&gt;=(Headcount!$E$5:$E$90+Headcount!$G$5:$G$90*$C$15)))/12*(1+Assumptions!$C$97)</f>
        <v>0</v>
      </c>
      <c r="F173" s="9" t="n">
        <f aca="false">SUMPRODUCT((Headcount!$C$5:$C$90="CS")*Headcount!$D$5:$D$90*Headcount!$F$5:$F$90*((Headcount!$I$5:$I$90=0)+(Headcount!$I$5:$I$90=1)*$C$16)*(F$18&gt;=(Headcount!$E$5:$E$90+Headcount!$G$5:$G$90*$C$15)))/12*(1+Assumptions!$C$97)</f>
        <v>0</v>
      </c>
      <c r="G173" s="9" t="n">
        <f aca="false">SUMPRODUCT((Headcount!$C$5:$C$90="CS")*Headcount!$D$5:$D$90*Headcount!$F$5:$F$90*((Headcount!$I$5:$I$90=0)+(Headcount!$I$5:$I$90=1)*$C$16)*(G$18&gt;=(Headcount!$E$5:$E$90+Headcount!$G$5:$G$90*$C$15)))/12*(1+Assumptions!$C$97)</f>
        <v>0</v>
      </c>
      <c r="H173" s="9" t="n">
        <f aca="false">SUMPRODUCT((Headcount!$C$5:$C$90="CS")*Headcount!$D$5:$D$90*Headcount!$F$5:$F$90*((Headcount!$I$5:$I$90=0)+(Headcount!$I$5:$I$90=1)*$C$16)*(H$18&gt;=(Headcount!$E$5:$E$90+Headcount!$G$5:$G$90*$C$15)))/12*(1+Assumptions!$C$97)</f>
        <v>0</v>
      </c>
      <c r="I173" s="9" t="n">
        <f aca="false">SUMPRODUCT((Headcount!$C$5:$C$90="CS")*Headcount!$D$5:$D$90*Headcount!$F$5:$F$90*((Headcount!$I$5:$I$90=0)+(Headcount!$I$5:$I$90=1)*$C$16)*(I$18&gt;=(Headcount!$E$5:$E$90+Headcount!$G$5:$G$90*$C$15)))/12*(1+Assumptions!$C$97)</f>
        <v>0</v>
      </c>
      <c r="J173" s="9" t="n">
        <f aca="false">SUMPRODUCT((Headcount!$C$5:$C$90="CS")*Headcount!$D$5:$D$90*Headcount!$F$5:$F$90*((Headcount!$I$5:$I$90=0)+(Headcount!$I$5:$I$90=1)*$C$16)*(J$18&gt;=(Headcount!$E$5:$E$90+Headcount!$G$5:$G$90*$C$15)))/12*(1+Assumptions!$C$97)</f>
        <v>0</v>
      </c>
      <c r="K173" s="9" t="n">
        <f aca="false">SUMPRODUCT((Headcount!$C$5:$C$90="CS")*Headcount!$D$5:$D$90*Headcount!$F$5:$F$90*((Headcount!$I$5:$I$90=0)+(Headcount!$I$5:$I$90=1)*$C$16)*(K$18&gt;=(Headcount!$E$5:$E$90+Headcount!$G$5:$G$90*$C$15)))/12*(1+Assumptions!$C$97)</f>
        <v>0</v>
      </c>
      <c r="L173" s="9" t="n">
        <f aca="false">SUMPRODUCT((Headcount!$C$5:$C$90="CS")*Headcount!$D$5:$D$90*Headcount!$F$5:$F$90*((Headcount!$I$5:$I$90=0)+(Headcount!$I$5:$I$90=1)*$C$16)*(L$18&gt;=(Headcount!$E$5:$E$90+Headcount!$G$5:$G$90*$C$15)))/12*(1+Assumptions!$C$97)</f>
        <v>0</v>
      </c>
      <c r="M173" s="9" t="n">
        <f aca="false">SUMPRODUCT((Headcount!$C$5:$C$90="CS")*Headcount!$D$5:$D$90*Headcount!$F$5:$F$90*((Headcount!$I$5:$I$90=0)+(Headcount!$I$5:$I$90=1)*$C$16)*(M$18&gt;=(Headcount!$E$5:$E$90+Headcount!$G$5:$G$90*$C$15)))/12*(1+Assumptions!$C$97)</f>
        <v>0</v>
      </c>
      <c r="N173" s="9" t="n">
        <f aca="false">SUMPRODUCT((Headcount!$C$5:$C$90="CS")*Headcount!$D$5:$D$90*Headcount!$F$5:$F$90*((Headcount!$I$5:$I$90=0)+(Headcount!$I$5:$I$90=1)*$C$16)*(N$18&gt;=(Headcount!$E$5:$E$90+Headcount!$G$5:$G$90*$C$15)))/12*(1+Assumptions!$C$97)</f>
        <v>0</v>
      </c>
      <c r="O173" s="9" t="n">
        <f aca="false">SUMPRODUCT((Headcount!$C$5:$C$90="CS")*Headcount!$D$5:$D$90*Headcount!$F$5:$F$90*((Headcount!$I$5:$I$90=0)+(Headcount!$I$5:$I$90=1)*$C$16)*(O$18&gt;=(Headcount!$E$5:$E$90+Headcount!$G$5:$G$90*$C$15)))/12*(1+Assumptions!$C$97)</f>
        <v>0</v>
      </c>
      <c r="P173" s="9" t="n">
        <f aca="false">SUMPRODUCT((Headcount!$C$5:$C$90="CS")*Headcount!$D$5:$D$90*Headcount!$F$5:$F$90*((Headcount!$I$5:$I$90=0)+(Headcount!$I$5:$I$90=1)*$C$16)*(P$18&gt;=(Headcount!$E$5:$E$90+Headcount!$G$5:$G$90*$C$15)))/12*(1+Assumptions!$C$97)</f>
        <v>0</v>
      </c>
      <c r="Q173" s="9" t="n">
        <f aca="false">SUMPRODUCT((Headcount!$C$5:$C$90="CS")*Headcount!$D$5:$D$90*Headcount!$F$5:$F$90*((Headcount!$I$5:$I$90=0)+(Headcount!$I$5:$I$90=1)*$C$16)*(Q$18&gt;=(Headcount!$E$5:$E$90+Headcount!$G$5:$G$90*$C$15)))/12*(1+Assumptions!$C$97)</f>
        <v>0</v>
      </c>
      <c r="R173" s="9" t="n">
        <f aca="false">SUMPRODUCT((Headcount!$C$5:$C$90="CS")*Headcount!$D$5:$D$90*Headcount!$F$5:$F$90*((Headcount!$I$5:$I$90=0)+(Headcount!$I$5:$I$90=1)*$C$16)*(R$18&gt;=(Headcount!$E$5:$E$90+Headcount!$G$5:$G$90*$C$15)))/12*(1+Assumptions!$C$97)</f>
        <v>0</v>
      </c>
      <c r="S173" s="9" t="n">
        <f aca="false">SUMPRODUCT((Headcount!$C$5:$C$90="CS")*Headcount!$D$5:$D$90*Headcount!$F$5:$F$90*((Headcount!$I$5:$I$90=0)+(Headcount!$I$5:$I$90=1)*$C$16)*(S$18&gt;=(Headcount!$E$5:$E$90+Headcount!$G$5:$G$90*$C$15)))/12*(1+Assumptions!$C$97)</f>
        <v>0</v>
      </c>
      <c r="T173" s="9" t="n">
        <f aca="false">SUMPRODUCT((Headcount!$C$5:$C$90="CS")*Headcount!$D$5:$D$90*Headcount!$F$5:$F$90*((Headcount!$I$5:$I$90=0)+(Headcount!$I$5:$I$90=1)*$C$16)*(T$18&gt;=(Headcount!$E$5:$E$90+Headcount!$G$5:$G$90*$C$15)))/12*(1+Assumptions!$C$97)</f>
        <v>10166.6666666667</v>
      </c>
      <c r="U173" s="9" t="n">
        <f aca="false">SUMPRODUCT((Headcount!$C$5:$C$90="CS")*Headcount!$D$5:$D$90*Headcount!$F$5:$F$90*((Headcount!$I$5:$I$90=0)+(Headcount!$I$5:$I$90=1)*$C$16)*(U$18&gt;=(Headcount!$E$5:$E$90+Headcount!$G$5:$G$90*$C$15)))/12*(1+Assumptions!$C$97)</f>
        <v>10166.6666666667</v>
      </c>
      <c r="V173" s="9" t="n">
        <f aca="false">SUMPRODUCT((Headcount!$C$5:$C$90="CS")*Headcount!$D$5:$D$90*Headcount!$F$5:$F$90*((Headcount!$I$5:$I$90=0)+(Headcount!$I$5:$I$90=1)*$C$16)*(V$18&gt;=(Headcount!$E$5:$E$90+Headcount!$G$5:$G$90*$C$15)))/12*(1+Assumptions!$C$97)</f>
        <v>10166.6666666667</v>
      </c>
      <c r="W173" s="9" t="n">
        <f aca="false">SUMPRODUCT((Headcount!$C$5:$C$90="CS")*Headcount!$D$5:$D$90*Headcount!$F$5:$F$90*((Headcount!$I$5:$I$90=0)+(Headcount!$I$5:$I$90=1)*$C$16)*(W$18&gt;=(Headcount!$E$5:$E$90+Headcount!$G$5:$G$90*$C$15)))/12*(1+Assumptions!$C$97)</f>
        <v>10166.6666666667</v>
      </c>
      <c r="X173" s="9" t="n">
        <f aca="false">SUMPRODUCT((Headcount!$C$5:$C$90="CS")*Headcount!$D$5:$D$90*Headcount!$F$5:$F$90*((Headcount!$I$5:$I$90=0)+(Headcount!$I$5:$I$90=1)*$C$16)*(X$18&gt;=(Headcount!$E$5:$E$90+Headcount!$G$5:$G$90*$C$15)))/12*(1+Assumptions!$C$97)</f>
        <v>10166.6666666667</v>
      </c>
      <c r="Y173" s="9" t="n">
        <f aca="false">SUMPRODUCT((Headcount!$C$5:$C$90="CS")*Headcount!$D$5:$D$90*Headcount!$F$5:$F$90*((Headcount!$I$5:$I$90=0)+(Headcount!$I$5:$I$90=1)*$C$16)*(Y$18&gt;=(Headcount!$E$5:$E$90+Headcount!$G$5:$G$90*$C$15)))/12*(1+Assumptions!$C$97)</f>
        <v>10166.6666666667</v>
      </c>
      <c r="Z173" s="9" t="n">
        <f aca="false">SUMPRODUCT((Headcount!$C$5:$C$90="CS")*Headcount!$D$5:$D$90*Headcount!$F$5:$F$90*((Headcount!$I$5:$I$90=0)+(Headcount!$I$5:$I$90=1)*$C$16)*(Z$18&gt;=(Headcount!$E$5:$E$90+Headcount!$G$5:$G$90*$C$15)))/12*(1+Assumptions!$C$97)</f>
        <v>10166.6666666667</v>
      </c>
      <c r="AA173" s="9" t="n">
        <f aca="false">SUMPRODUCT((Headcount!$C$5:$C$90="CS")*Headcount!$D$5:$D$90*Headcount!$F$5:$F$90*((Headcount!$I$5:$I$90=0)+(Headcount!$I$5:$I$90=1)*$C$16)*(AA$18&gt;=(Headcount!$E$5:$E$90+Headcount!$G$5:$G$90*$C$15)))/12*(1+Assumptions!$C$97)</f>
        <v>10166.6666666667</v>
      </c>
      <c r="AB173" s="9" t="n">
        <f aca="false">SUMPRODUCT((Headcount!$C$5:$C$90="CS")*Headcount!$D$5:$D$90*Headcount!$F$5:$F$90*((Headcount!$I$5:$I$90=0)+(Headcount!$I$5:$I$90=1)*$C$16)*(AB$18&gt;=(Headcount!$E$5:$E$90+Headcount!$G$5:$G$90*$C$15)))/12*(1+Assumptions!$C$97)</f>
        <v>10166.6666666667</v>
      </c>
      <c r="AC173" s="9" t="n">
        <f aca="false">SUMPRODUCT((Headcount!$C$5:$C$90="CS")*Headcount!$D$5:$D$90*Headcount!$F$5:$F$90*((Headcount!$I$5:$I$90=0)+(Headcount!$I$5:$I$90=1)*$C$16)*(AC$18&gt;=(Headcount!$E$5:$E$90+Headcount!$G$5:$G$90*$C$15)))/12*(1+Assumptions!$C$97)</f>
        <v>10166.6666666667</v>
      </c>
      <c r="AD173" s="9" t="n">
        <f aca="false">SUMPRODUCT((Headcount!$C$5:$C$90="CS")*Headcount!$D$5:$D$90*Headcount!$F$5:$F$90*((Headcount!$I$5:$I$90=0)+(Headcount!$I$5:$I$90=1)*$C$16)*(AD$18&gt;=(Headcount!$E$5:$E$90+Headcount!$G$5:$G$90*$C$15)))/12*(1+Assumptions!$C$97)</f>
        <v>10166.6666666667</v>
      </c>
      <c r="AE173" s="9" t="n">
        <f aca="false">SUMPRODUCT((Headcount!$C$5:$C$90="CS")*Headcount!$D$5:$D$90*Headcount!$F$5:$F$90*((Headcount!$I$5:$I$90=0)+(Headcount!$I$5:$I$90=1)*$C$16)*(AE$18&gt;=(Headcount!$E$5:$E$90+Headcount!$G$5:$G$90*$C$15)))/12*(1+Assumptions!$C$97)</f>
        <v>10166.6666666667</v>
      </c>
      <c r="AF173" s="9" t="n">
        <f aca="false">SUMPRODUCT((Headcount!$C$5:$C$90="CS")*Headcount!$D$5:$D$90*Headcount!$F$5:$F$90*((Headcount!$I$5:$I$90=0)+(Headcount!$I$5:$I$90=1)*$C$16)*(AF$18&gt;=(Headcount!$E$5:$E$90+Headcount!$G$5:$G$90*$C$15)))/12*(1+Assumptions!$C$97)</f>
        <v>20333.3333333333</v>
      </c>
      <c r="AG173" s="9" t="n">
        <f aca="false">SUMPRODUCT((Headcount!$C$5:$C$90="CS")*Headcount!$D$5:$D$90*Headcount!$F$5:$F$90*((Headcount!$I$5:$I$90=0)+(Headcount!$I$5:$I$90=1)*$C$16)*(AG$18&gt;=(Headcount!$E$5:$E$90+Headcount!$G$5:$G$90*$C$15)))/12*(1+Assumptions!$C$97)</f>
        <v>20333.3333333333</v>
      </c>
      <c r="AH173" s="9" t="n">
        <f aca="false">SUMPRODUCT((Headcount!$C$5:$C$90="CS")*Headcount!$D$5:$D$90*Headcount!$F$5:$F$90*((Headcount!$I$5:$I$90=0)+(Headcount!$I$5:$I$90=1)*$C$16)*(AH$18&gt;=(Headcount!$E$5:$E$90+Headcount!$G$5:$G$90*$C$15)))/12*(1+Assumptions!$C$97)</f>
        <v>20333.3333333333</v>
      </c>
      <c r="AI173" s="9" t="n">
        <f aca="false">SUMPRODUCT((Headcount!$C$5:$C$90="CS")*Headcount!$D$5:$D$90*Headcount!$F$5:$F$90*((Headcount!$I$5:$I$90=0)+(Headcount!$I$5:$I$90=1)*$C$16)*(AI$18&gt;=(Headcount!$E$5:$E$90+Headcount!$G$5:$G$90*$C$15)))/12*(1+Assumptions!$C$97)</f>
        <v>20333.3333333333</v>
      </c>
      <c r="AJ173" s="9" t="n">
        <f aca="false">SUMPRODUCT((Headcount!$C$5:$C$90="CS")*Headcount!$D$5:$D$90*Headcount!$F$5:$F$90*((Headcount!$I$5:$I$90=0)+(Headcount!$I$5:$I$90=1)*$C$16)*(AJ$18&gt;=(Headcount!$E$5:$E$90+Headcount!$G$5:$G$90*$C$15)))/12*(1+Assumptions!$C$97)</f>
        <v>20333.3333333333</v>
      </c>
      <c r="AK173" s="9" t="n">
        <f aca="false">SUMPRODUCT((Headcount!$C$5:$C$90="CS")*Headcount!$D$5:$D$90*Headcount!$F$5:$F$90*((Headcount!$I$5:$I$90=0)+(Headcount!$I$5:$I$90=1)*$C$16)*(AK$18&gt;=(Headcount!$E$5:$E$90+Headcount!$G$5:$G$90*$C$15)))/12*(1+Assumptions!$C$97)</f>
        <v>20333.3333333333</v>
      </c>
      <c r="AL173" s="9" t="n">
        <f aca="false">SUMPRODUCT((Headcount!$C$5:$C$90="CS")*Headcount!$D$5:$D$90*Headcount!$F$5:$F$90*((Headcount!$I$5:$I$90=0)+(Headcount!$I$5:$I$90=1)*$C$16)*(AL$18&gt;=(Headcount!$E$5:$E$90+Headcount!$G$5:$G$90*$C$15)))/12*(1+Assumptions!$C$97)</f>
        <v>20333.3333333333</v>
      </c>
      <c r="AN173" s="11" t="n">
        <f aca="false">SUM(C173:N173)</f>
        <v>0</v>
      </c>
      <c r="AO173" s="11" t="n">
        <f aca="false">SUM(O173:Z173)</f>
        <v>71166.6666666667</v>
      </c>
      <c r="AP173" s="11" t="n">
        <f aca="false">SUM(AA173:AL173)</f>
        <v>193166.666666667</v>
      </c>
    </row>
    <row r="174" customFormat="false" ht="15" hidden="false" customHeight="false" outlineLevel="0" collapsed="false">
      <c r="A174" s="0" t="s">
        <v>976</v>
      </c>
      <c r="B174" s="0" t="s">
        <v>230</v>
      </c>
      <c r="C174" s="9" t="n">
        <f aca="false">SUMPRODUCT((Headcount!$C$5:$C$90="TS")*Headcount!$D$5:$D$90*Headcount!$F$5:$F$90*((Headcount!$I$5:$I$90=0)+(Headcount!$I$5:$I$90=1)*$C$16)*(C$18&gt;=(Headcount!$E$5:$E$90+Headcount!$G$5:$G$90*$C$15)))/12*(1+Assumptions!$C$97)</f>
        <v>0</v>
      </c>
      <c r="D174" s="9" t="n">
        <f aca="false">SUMPRODUCT((Headcount!$C$5:$C$90="TS")*Headcount!$D$5:$D$90*Headcount!$F$5:$F$90*((Headcount!$I$5:$I$90=0)+(Headcount!$I$5:$I$90=1)*$C$16)*(D$18&gt;=(Headcount!$E$5:$E$90+Headcount!$G$5:$G$90*$C$15)))/12*(1+Assumptions!$C$97)</f>
        <v>0</v>
      </c>
      <c r="E174" s="9" t="n">
        <f aca="false">SUMPRODUCT((Headcount!$C$5:$C$90="TS")*Headcount!$D$5:$D$90*Headcount!$F$5:$F$90*((Headcount!$I$5:$I$90=0)+(Headcount!$I$5:$I$90=1)*$C$16)*(E$18&gt;=(Headcount!$E$5:$E$90+Headcount!$G$5:$G$90*$C$15)))/12*(1+Assumptions!$C$97)</f>
        <v>0</v>
      </c>
      <c r="F174" s="9" t="n">
        <f aca="false">SUMPRODUCT((Headcount!$C$5:$C$90="TS")*Headcount!$D$5:$D$90*Headcount!$F$5:$F$90*((Headcount!$I$5:$I$90=0)+(Headcount!$I$5:$I$90=1)*$C$16)*(F$18&gt;=(Headcount!$E$5:$E$90+Headcount!$G$5:$G$90*$C$15)))/12*(1+Assumptions!$C$97)</f>
        <v>0</v>
      </c>
      <c r="G174" s="9" t="n">
        <f aca="false">SUMPRODUCT((Headcount!$C$5:$C$90="TS")*Headcount!$D$5:$D$90*Headcount!$F$5:$F$90*((Headcount!$I$5:$I$90=0)+(Headcount!$I$5:$I$90=1)*$C$16)*(G$18&gt;=(Headcount!$E$5:$E$90+Headcount!$G$5:$G$90*$C$15)))/12*(1+Assumptions!$C$97)</f>
        <v>0</v>
      </c>
      <c r="H174" s="9" t="n">
        <f aca="false">SUMPRODUCT((Headcount!$C$5:$C$90="TS")*Headcount!$D$5:$D$90*Headcount!$F$5:$F$90*((Headcount!$I$5:$I$90=0)+(Headcount!$I$5:$I$90=1)*$C$16)*(H$18&gt;=(Headcount!$E$5:$E$90+Headcount!$G$5:$G$90*$C$15)))/12*(1+Assumptions!$C$97)</f>
        <v>0</v>
      </c>
      <c r="I174" s="9" t="n">
        <f aca="false">SUMPRODUCT((Headcount!$C$5:$C$90="TS")*Headcount!$D$5:$D$90*Headcount!$F$5:$F$90*((Headcount!$I$5:$I$90=0)+(Headcount!$I$5:$I$90=1)*$C$16)*(I$18&gt;=(Headcount!$E$5:$E$90+Headcount!$G$5:$G$90*$C$15)))/12*(1+Assumptions!$C$97)</f>
        <v>0</v>
      </c>
      <c r="J174" s="9" t="n">
        <f aca="false">SUMPRODUCT((Headcount!$C$5:$C$90="TS")*Headcount!$D$5:$D$90*Headcount!$F$5:$F$90*((Headcount!$I$5:$I$90=0)+(Headcount!$I$5:$I$90=1)*$C$16)*(J$18&gt;=(Headcount!$E$5:$E$90+Headcount!$G$5:$G$90*$C$15)))/12*(1+Assumptions!$C$97)</f>
        <v>0</v>
      </c>
      <c r="K174" s="9" t="n">
        <f aca="false">SUMPRODUCT((Headcount!$C$5:$C$90="TS")*Headcount!$D$5:$D$90*Headcount!$F$5:$F$90*((Headcount!$I$5:$I$90=0)+(Headcount!$I$5:$I$90=1)*$C$16)*(K$18&gt;=(Headcount!$E$5:$E$90+Headcount!$G$5:$G$90*$C$15)))/12*(1+Assumptions!$C$97)</f>
        <v>0</v>
      </c>
      <c r="L174" s="9" t="n">
        <f aca="false">SUMPRODUCT((Headcount!$C$5:$C$90="TS")*Headcount!$D$5:$D$90*Headcount!$F$5:$F$90*((Headcount!$I$5:$I$90=0)+(Headcount!$I$5:$I$90=1)*$C$16)*(L$18&gt;=(Headcount!$E$5:$E$90+Headcount!$G$5:$G$90*$C$15)))/12*(1+Assumptions!$C$97)</f>
        <v>0</v>
      </c>
      <c r="M174" s="9" t="n">
        <f aca="false">SUMPRODUCT((Headcount!$C$5:$C$90="TS")*Headcount!$D$5:$D$90*Headcount!$F$5:$F$90*((Headcount!$I$5:$I$90=0)+(Headcount!$I$5:$I$90=1)*$C$16)*(M$18&gt;=(Headcount!$E$5:$E$90+Headcount!$G$5:$G$90*$C$15)))/12*(1+Assumptions!$C$97)</f>
        <v>0</v>
      </c>
      <c r="N174" s="9" t="n">
        <f aca="false">SUMPRODUCT((Headcount!$C$5:$C$90="TS")*Headcount!$D$5:$D$90*Headcount!$F$5:$F$90*((Headcount!$I$5:$I$90=0)+(Headcount!$I$5:$I$90=1)*$C$16)*(N$18&gt;=(Headcount!$E$5:$E$90+Headcount!$G$5:$G$90*$C$15)))/12*(1+Assumptions!$C$97)</f>
        <v>0</v>
      </c>
      <c r="O174" s="9" t="n">
        <f aca="false">SUMPRODUCT((Headcount!$C$5:$C$90="TS")*Headcount!$D$5:$D$90*Headcount!$F$5:$F$90*((Headcount!$I$5:$I$90=0)+(Headcount!$I$5:$I$90=1)*$C$16)*(O$18&gt;=(Headcount!$E$5:$E$90+Headcount!$G$5:$G$90*$C$15)))/12*(1+Assumptions!$C$97)</f>
        <v>0</v>
      </c>
      <c r="P174" s="9" t="n">
        <f aca="false">SUMPRODUCT((Headcount!$C$5:$C$90="TS")*Headcount!$D$5:$D$90*Headcount!$F$5:$F$90*((Headcount!$I$5:$I$90=0)+(Headcount!$I$5:$I$90=1)*$C$16)*(P$18&gt;=(Headcount!$E$5:$E$90+Headcount!$G$5:$G$90*$C$15)))/12*(1+Assumptions!$C$97)</f>
        <v>0</v>
      </c>
      <c r="Q174" s="9" t="n">
        <f aca="false">SUMPRODUCT((Headcount!$C$5:$C$90="TS")*Headcount!$D$5:$D$90*Headcount!$F$5:$F$90*((Headcount!$I$5:$I$90=0)+(Headcount!$I$5:$I$90=1)*$C$16)*(Q$18&gt;=(Headcount!$E$5:$E$90+Headcount!$G$5:$G$90*$C$15)))/12*(1+Assumptions!$C$97)</f>
        <v>0</v>
      </c>
      <c r="R174" s="9" t="n">
        <f aca="false">SUMPRODUCT((Headcount!$C$5:$C$90="TS")*Headcount!$D$5:$D$90*Headcount!$F$5:$F$90*((Headcount!$I$5:$I$90=0)+(Headcount!$I$5:$I$90=1)*$C$16)*(R$18&gt;=(Headcount!$E$5:$E$90+Headcount!$G$5:$G$90*$C$15)))/12*(1+Assumptions!$C$97)</f>
        <v>0</v>
      </c>
      <c r="S174" s="9" t="n">
        <f aca="false">SUMPRODUCT((Headcount!$C$5:$C$90="TS")*Headcount!$D$5:$D$90*Headcount!$F$5:$F$90*((Headcount!$I$5:$I$90=0)+(Headcount!$I$5:$I$90=1)*$C$16)*(S$18&gt;=(Headcount!$E$5:$E$90+Headcount!$G$5:$G$90*$C$15)))/12*(1+Assumptions!$C$97)</f>
        <v>0</v>
      </c>
      <c r="T174" s="9" t="n">
        <f aca="false">SUMPRODUCT((Headcount!$C$5:$C$90="TS")*Headcount!$D$5:$D$90*Headcount!$F$5:$F$90*((Headcount!$I$5:$I$90=0)+(Headcount!$I$5:$I$90=1)*$C$16)*(T$18&gt;=(Headcount!$E$5:$E$90+Headcount!$G$5:$G$90*$C$15)))/12*(1+Assumptions!$C$97)</f>
        <v>0</v>
      </c>
      <c r="U174" s="9" t="n">
        <f aca="false">SUMPRODUCT((Headcount!$C$5:$C$90="TS")*Headcount!$D$5:$D$90*Headcount!$F$5:$F$90*((Headcount!$I$5:$I$90=0)+(Headcount!$I$5:$I$90=1)*$C$16)*(U$18&gt;=(Headcount!$E$5:$E$90+Headcount!$G$5:$G$90*$C$15)))/12*(1+Assumptions!$C$97)</f>
        <v>0</v>
      </c>
      <c r="V174" s="9" t="n">
        <f aca="false">SUMPRODUCT((Headcount!$C$5:$C$90="TS")*Headcount!$D$5:$D$90*Headcount!$F$5:$F$90*((Headcount!$I$5:$I$90=0)+(Headcount!$I$5:$I$90=1)*$C$16)*(V$18&gt;=(Headcount!$E$5:$E$90+Headcount!$G$5:$G$90*$C$15)))/12*(1+Assumptions!$C$97)</f>
        <v>0</v>
      </c>
      <c r="W174" s="9" t="n">
        <f aca="false">SUMPRODUCT((Headcount!$C$5:$C$90="TS")*Headcount!$D$5:$D$90*Headcount!$F$5:$F$90*((Headcount!$I$5:$I$90=0)+(Headcount!$I$5:$I$90=1)*$C$16)*(W$18&gt;=(Headcount!$E$5:$E$90+Headcount!$G$5:$G$90*$C$15)))/12*(1+Assumptions!$C$97)</f>
        <v>0</v>
      </c>
      <c r="X174" s="9" t="n">
        <f aca="false">SUMPRODUCT((Headcount!$C$5:$C$90="TS")*Headcount!$D$5:$D$90*Headcount!$F$5:$F$90*((Headcount!$I$5:$I$90=0)+(Headcount!$I$5:$I$90=1)*$C$16)*(X$18&gt;=(Headcount!$E$5:$E$90+Headcount!$G$5:$G$90*$C$15)))/12*(1+Assumptions!$C$97)</f>
        <v>0</v>
      </c>
      <c r="Y174" s="9" t="n">
        <f aca="false">SUMPRODUCT((Headcount!$C$5:$C$90="TS")*Headcount!$D$5:$D$90*Headcount!$F$5:$F$90*((Headcount!$I$5:$I$90=0)+(Headcount!$I$5:$I$90=1)*$C$16)*(Y$18&gt;=(Headcount!$E$5:$E$90+Headcount!$G$5:$G$90*$C$15)))/12*(1+Assumptions!$C$97)</f>
        <v>0</v>
      </c>
      <c r="Z174" s="9" t="n">
        <f aca="false">SUMPRODUCT((Headcount!$C$5:$C$90="TS")*Headcount!$D$5:$D$90*Headcount!$F$5:$F$90*((Headcount!$I$5:$I$90=0)+(Headcount!$I$5:$I$90=1)*$C$16)*(Z$18&gt;=(Headcount!$E$5:$E$90+Headcount!$G$5:$G$90*$C$15)))/12*(1+Assumptions!$C$97)</f>
        <v>0</v>
      </c>
      <c r="AA174" s="9" t="n">
        <f aca="false">SUMPRODUCT((Headcount!$C$5:$C$90="TS")*Headcount!$D$5:$D$90*Headcount!$F$5:$F$90*((Headcount!$I$5:$I$90=0)+(Headcount!$I$5:$I$90=1)*$C$16)*(AA$18&gt;=(Headcount!$E$5:$E$90+Headcount!$G$5:$G$90*$C$15)))/12*(1+Assumptions!$C$97)</f>
        <v>0</v>
      </c>
      <c r="AB174" s="9" t="n">
        <f aca="false">SUMPRODUCT((Headcount!$C$5:$C$90="TS")*Headcount!$D$5:$D$90*Headcount!$F$5:$F$90*((Headcount!$I$5:$I$90=0)+(Headcount!$I$5:$I$90=1)*$C$16)*(AB$18&gt;=(Headcount!$E$5:$E$90+Headcount!$G$5:$G$90*$C$15)))/12*(1+Assumptions!$C$97)</f>
        <v>0</v>
      </c>
      <c r="AC174" s="9" t="n">
        <f aca="false">SUMPRODUCT((Headcount!$C$5:$C$90="TS")*Headcount!$D$5:$D$90*Headcount!$F$5:$F$90*((Headcount!$I$5:$I$90=0)+(Headcount!$I$5:$I$90=1)*$C$16)*(AC$18&gt;=(Headcount!$E$5:$E$90+Headcount!$G$5:$G$90*$C$15)))/12*(1+Assumptions!$C$97)</f>
        <v>0</v>
      </c>
      <c r="AD174" s="9" t="n">
        <f aca="false">SUMPRODUCT((Headcount!$C$5:$C$90="TS")*Headcount!$D$5:$D$90*Headcount!$F$5:$F$90*((Headcount!$I$5:$I$90=0)+(Headcount!$I$5:$I$90=1)*$C$16)*(AD$18&gt;=(Headcount!$E$5:$E$90+Headcount!$G$5:$G$90*$C$15)))/12*(1+Assumptions!$C$97)</f>
        <v>0</v>
      </c>
      <c r="AE174" s="9" t="n">
        <f aca="false">SUMPRODUCT((Headcount!$C$5:$C$90="TS")*Headcount!$D$5:$D$90*Headcount!$F$5:$F$90*((Headcount!$I$5:$I$90=0)+(Headcount!$I$5:$I$90=1)*$C$16)*(AE$18&gt;=(Headcount!$E$5:$E$90+Headcount!$G$5:$G$90*$C$15)))/12*(1+Assumptions!$C$97)</f>
        <v>0</v>
      </c>
      <c r="AF174" s="9" t="n">
        <f aca="false">SUMPRODUCT((Headcount!$C$5:$C$90="TS")*Headcount!$D$5:$D$90*Headcount!$F$5:$F$90*((Headcount!$I$5:$I$90=0)+(Headcount!$I$5:$I$90=1)*$C$16)*(AF$18&gt;=(Headcount!$E$5:$E$90+Headcount!$G$5:$G$90*$C$15)))/12*(1+Assumptions!$C$97)</f>
        <v>0</v>
      </c>
      <c r="AG174" s="9" t="n">
        <f aca="false">SUMPRODUCT((Headcount!$C$5:$C$90="TS")*Headcount!$D$5:$D$90*Headcount!$F$5:$F$90*((Headcount!$I$5:$I$90=0)+(Headcount!$I$5:$I$90=1)*$C$16)*(AG$18&gt;=(Headcount!$E$5:$E$90+Headcount!$G$5:$G$90*$C$15)))/12*(1+Assumptions!$C$97)</f>
        <v>0</v>
      </c>
      <c r="AH174" s="9" t="n">
        <f aca="false">SUMPRODUCT((Headcount!$C$5:$C$90="TS")*Headcount!$D$5:$D$90*Headcount!$F$5:$F$90*((Headcount!$I$5:$I$90=0)+(Headcount!$I$5:$I$90=1)*$C$16)*(AH$18&gt;=(Headcount!$E$5:$E$90+Headcount!$G$5:$G$90*$C$15)))/12*(1+Assumptions!$C$97)</f>
        <v>7116.66666666667</v>
      </c>
      <c r="AI174" s="9" t="n">
        <f aca="false">SUMPRODUCT((Headcount!$C$5:$C$90="TS")*Headcount!$D$5:$D$90*Headcount!$F$5:$F$90*((Headcount!$I$5:$I$90=0)+(Headcount!$I$5:$I$90=1)*$C$16)*(AI$18&gt;=(Headcount!$E$5:$E$90+Headcount!$G$5:$G$90*$C$15)))/12*(1+Assumptions!$C$97)</f>
        <v>7116.66666666667</v>
      </c>
      <c r="AJ174" s="9" t="n">
        <f aca="false">SUMPRODUCT((Headcount!$C$5:$C$90="TS")*Headcount!$D$5:$D$90*Headcount!$F$5:$F$90*((Headcount!$I$5:$I$90=0)+(Headcount!$I$5:$I$90=1)*$C$16)*(AJ$18&gt;=(Headcount!$E$5:$E$90+Headcount!$G$5:$G$90*$C$15)))/12*(1+Assumptions!$C$97)</f>
        <v>7116.66666666667</v>
      </c>
      <c r="AK174" s="9" t="n">
        <f aca="false">SUMPRODUCT((Headcount!$C$5:$C$90="TS")*Headcount!$D$5:$D$90*Headcount!$F$5:$F$90*((Headcount!$I$5:$I$90=0)+(Headcount!$I$5:$I$90=1)*$C$16)*(AK$18&gt;=(Headcount!$E$5:$E$90+Headcount!$G$5:$G$90*$C$15)))/12*(1+Assumptions!$C$97)</f>
        <v>7116.66666666667</v>
      </c>
      <c r="AL174" s="9" t="n">
        <f aca="false">SUMPRODUCT((Headcount!$C$5:$C$90="TS")*Headcount!$D$5:$D$90*Headcount!$F$5:$F$90*((Headcount!$I$5:$I$90=0)+(Headcount!$I$5:$I$90=1)*$C$16)*(AL$18&gt;=(Headcount!$E$5:$E$90+Headcount!$G$5:$G$90*$C$15)))/12*(1+Assumptions!$C$97)</f>
        <v>7116.66666666667</v>
      </c>
      <c r="AN174" s="11" t="n">
        <f aca="false">SUM(C174:N174)</f>
        <v>0</v>
      </c>
      <c r="AO174" s="11" t="n">
        <f aca="false">SUM(O174:Z174)</f>
        <v>0</v>
      </c>
      <c r="AP174" s="11" t="n">
        <f aca="false">SUM(AA174:AL174)</f>
        <v>35583.3333333333</v>
      </c>
    </row>
    <row r="175" customFormat="false" ht="15" hidden="false" customHeight="false" outlineLevel="0" collapsed="false">
      <c r="A175" s="0" t="s">
        <v>977</v>
      </c>
      <c r="B175" s="0" t="s">
        <v>230</v>
      </c>
      <c r="C175" s="9" t="n">
        <f aca="false">(((1-Assumptions!$C$24)*((Assumptions!$C$26*C41)+(Assumptions!$C$27*(C34+C37))))+((Assumptions!$C$24*Assumptions!$C$25)*C41))</f>
        <v>0</v>
      </c>
      <c r="D175" s="9" t="n">
        <f aca="false">(((1-Assumptions!$C$24)*((Assumptions!$C$26*D41)+(Assumptions!$C$27*(D34+D37))))+((Assumptions!$C$24*Assumptions!$C$25)*D41))</f>
        <v>0</v>
      </c>
      <c r="E175" s="9" t="n">
        <f aca="false">(((1-Assumptions!$C$24)*((Assumptions!$C$26*E41)+(Assumptions!$C$27*(E34+E37))))+((Assumptions!$C$24*Assumptions!$C$25)*E41))</f>
        <v>0</v>
      </c>
      <c r="F175" s="9" t="n">
        <f aca="false">(((1-Assumptions!$C$24)*((Assumptions!$C$26*F41)+(Assumptions!$C$27*(F34+F37))))+((Assumptions!$C$24*Assumptions!$C$25)*F41))</f>
        <v>0</v>
      </c>
      <c r="G175" s="9" t="n">
        <f aca="false">(((1-Assumptions!$C$24)*((Assumptions!$C$26*G41)+(Assumptions!$C$27*(G34+G37))))+((Assumptions!$C$24*Assumptions!$C$25)*G41))</f>
        <v>0</v>
      </c>
      <c r="H175" s="9" t="n">
        <f aca="false">(((1-Assumptions!$C$24)*((Assumptions!$C$26*H41)+(Assumptions!$C$27*(H34+H37))))+((Assumptions!$C$24*Assumptions!$C$25)*H41))</f>
        <v>0</v>
      </c>
      <c r="I175" s="9" t="n">
        <f aca="false">(((1-Assumptions!$C$24)*((Assumptions!$C$26*I41)+(Assumptions!$C$27*(I34+I37))))+((Assumptions!$C$24*Assumptions!$C$25)*I41))</f>
        <v>0</v>
      </c>
      <c r="J175" s="9" t="n">
        <f aca="false">(((1-Assumptions!$C$24)*((Assumptions!$C$26*J41)+(Assumptions!$C$27*(J34+J37))))+((Assumptions!$C$24*Assumptions!$C$25)*J41))</f>
        <v>0</v>
      </c>
      <c r="K175" s="9" t="n">
        <f aca="false">(((1-Assumptions!$C$24)*((Assumptions!$C$26*K41)+(Assumptions!$C$27*(K34+K37))))+((Assumptions!$C$24*Assumptions!$C$25)*K41))</f>
        <v>0</v>
      </c>
      <c r="L175" s="9" t="n">
        <f aca="false">(((1-Assumptions!$C$24)*((Assumptions!$C$26*L41)+(Assumptions!$C$27*(L34+L37))))+((Assumptions!$C$24*Assumptions!$C$25)*L41))</f>
        <v>0</v>
      </c>
      <c r="M175" s="9" t="n">
        <f aca="false">(((1-Assumptions!$C$24)*((Assumptions!$C$26*M41)+(Assumptions!$C$27*(M34+M37))))+((Assumptions!$C$24*Assumptions!$C$25)*M41))</f>
        <v>0</v>
      </c>
      <c r="N175" s="9" t="n">
        <f aca="false">(((1-Assumptions!$C$24)*((Assumptions!$C$26*N41)+(Assumptions!$C$27*(N34+N37))))+((Assumptions!$C$24*Assumptions!$C$25)*N41))</f>
        <v>0</v>
      </c>
      <c r="O175" s="9" t="n">
        <f aca="false">(((1-Assumptions!$C$24)*((Assumptions!$C$26*O41)+(Assumptions!$C$27*(O34+O37))))+((Assumptions!$C$24*Assumptions!$C$25)*O41))</f>
        <v>3.9462092832153</v>
      </c>
      <c r="P175" s="9" t="n">
        <f aca="false">(((1-Assumptions!$C$24)*((Assumptions!$C$26*P41)+(Assumptions!$C$27*(P34+P37))))+((Assumptions!$C$24*Assumptions!$C$25)*P41))</f>
        <v>9.96175945513469</v>
      </c>
      <c r="Q175" s="9" t="n">
        <f aca="false">(((1-Assumptions!$C$24)*((Assumptions!$C$26*Q41)+(Assumptions!$C$27*(Q34+Q37))))+((Assumptions!$C$24*Assumptions!$C$25)*Q41))</f>
        <v>15.7581053522692</v>
      </c>
      <c r="R175" s="9" t="n">
        <f aca="false">(((1-Assumptions!$C$24)*((Assumptions!$C$26*R41)+(Assumptions!$C$27*(R34+R37))))+((Assumptions!$C$24*Assumptions!$C$25)*R41))</f>
        <v>21.1669247409109</v>
      </c>
      <c r="S175" s="9" t="n">
        <f aca="false">(((1-Assumptions!$C$24)*((Assumptions!$C$26*S41)+(Assumptions!$C$27*(S34+S37))))+((Assumptions!$C$24*Assumptions!$C$25)*S41))</f>
        <v>26.3881306139346</v>
      </c>
      <c r="T175" s="9" t="n">
        <f aca="false">(((1-Assumptions!$C$24)*((Assumptions!$C$26*T41)+(Assumptions!$C$27*(T34+T37))))+((Assumptions!$C$24*Assumptions!$C$25)*T41))</f>
        <v>30.9731961598501</v>
      </c>
      <c r="U175" s="9" t="n">
        <f aca="false">(((1-Assumptions!$C$24)*((Assumptions!$C$26*U41)+(Assumptions!$C$27*(U34+U37))))+((Assumptions!$C$24*Assumptions!$C$25)*U41))</f>
        <v>35.1745147600862</v>
      </c>
      <c r="V175" s="9" t="n">
        <f aca="false">(((1-Assumptions!$C$24)*((Assumptions!$C$26*V41)+(Assumptions!$C$27*(V34+V37))))+((Assumptions!$C$24*Assumptions!$C$25)*V41))</f>
        <v>40.1094475707423</v>
      </c>
      <c r="W175" s="9" t="n">
        <f aca="false">(((1-Assumptions!$C$24)*((Assumptions!$C$26*W41)+(Assumptions!$C$27*(W34+W37))))+((Assumptions!$C$24*Assumptions!$C$25)*W41))</f>
        <v>48.7464590436454</v>
      </c>
      <c r="X175" s="9" t="n">
        <f aca="false">(((1-Assumptions!$C$24)*((Assumptions!$C$26*X41)+(Assumptions!$C$27*(X34+X37))))+((Assumptions!$C$24*Assumptions!$C$25)*X41))</f>
        <v>58.6085446997169</v>
      </c>
      <c r="Y175" s="9" t="n">
        <f aca="false">(((1-Assumptions!$C$24)*((Assumptions!$C$26*Y41)+(Assumptions!$C$27*(Y34+Y37))))+((Assumptions!$C$24*Assumptions!$C$25)*Y41))</f>
        <v>65.774125257977</v>
      </c>
      <c r="Z175" s="9" t="n">
        <f aca="false">(((1-Assumptions!$C$24)*((Assumptions!$C$26*Z41)+(Assumptions!$C$27*(Z34+Z37))))+((Assumptions!$C$24*Assumptions!$C$25)*Z41))</f>
        <v>72.0514677606636</v>
      </c>
      <c r="AA175" s="9" t="n">
        <f aca="false">(((1-Assumptions!$C$24)*((Assumptions!$C$26*AA41)+(Assumptions!$C$27*(AA34+AA37))))+((Assumptions!$C$24*Assumptions!$C$25)*AA41))</f>
        <v>78.7021967246256</v>
      </c>
      <c r="AB175" s="9" t="n">
        <f aca="false">(((1-Assumptions!$C$24)*((Assumptions!$C$26*AB41)+(Assumptions!$C$27*(AB34+AB37))))+((Assumptions!$C$24*Assumptions!$C$25)*AB41))</f>
        <v>89.7398994861691</v>
      </c>
      <c r="AC175" s="9" t="n">
        <f aca="false">(((1-Assumptions!$C$24)*((Assumptions!$C$26*AC41)+(Assumptions!$C$27*(AC34+AC37))))+((Assumptions!$C$24*Assumptions!$C$25)*AC41))</f>
        <v>99.5073281298208</v>
      </c>
      <c r="AD175" s="9" t="n">
        <f aca="false">(((1-Assumptions!$C$24)*((Assumptions!$C$26*AD41)+(Assumptions!$C$27*(AD34+AD37))))+((Assumptions!$C$24*Assumptions!$C$25)*AD41))</f>
        <v>107.876432364154</v>
      </c>
      <c r="AE175" s="9" t="n">
        <f aca="false">(((1-Assumptions!$C$24)*((Assumptions!$C$26*AE41)+(Assumptions!$C$27*(AE34+AE37))))+((Assumptions!$C$24*Assumptions!$C$25)*AE41))</f>
        <v>115.388595463057</v>
      </c>
      <c r="AF175" s="9" t="n">
        <f aca="false">(((1-Assumptions!$C$24)*((Assumptions!$C$26*AF41)+(Assumptions!$C$27*(AF34+AF37))))+((Assumptions!$C$24*Assumptions!$C$25)*AF41))</f>
        <v>121.332089798738</v>
      </c>
      <c r="AG175" s="9" t="n">
        <f aca="false">(((1-Assumptions!$C$24)*((Assumptions!$C$26*AG41)+(Assumptions!$C$27*(AG34+AG37))))+((Assumptions!$C$24*Assumptions!$C$25)*AG41))</f>
        <v>126.305853984162</v>
      </c>
      <c r="AH175" s="9" t="n">
        <f aca="false">(((1-Assumptions!$C$24)*((Assumptions!$C$26*AH41)+(Assumptions!$C$27*(AH34+AH37))))+((Assumptions!$C$24*Assumptions!$C$25)*AH41))</f>
        <v>132.40835109981</v>
      </c>
      <c r="AI175" s="9" t="n">
        <f aca="false">(((1-Assumptions!$C$24)*((Assumptions!$C$26*AI41)+(Assumptions!$C$27*(AI34+AI37))))+((Assumptions!$C$24*Assumptions!$C$25)*AI41))</f>
        <v>144.875430781598</v>
      </c>
      <c r="AJ175" s="9" t="n">
        <f aca="false">(((1-Assumptions!$C$24)*((Assumptions!$C$26*AJ41)+(Assumptions!$C$27*(AJ34+AJ37))))+((Assumptions!$C$24*Assumptions!$C$25)*AJ41))</f>
        <v>159.00705805518</v>
      </c>
      <c r="AK175" s="9" t="n">
        <f aca="false">(((1-Assumptions!$C$24)*((Assumptions!$C$26*AK41)+(Assumptions!$C$27*(AK34+AK37))))+((Assumptions!$C$24*Assumptions!$C$25)*AK41))</f>
        <v>167.952054839304</v>
      </c>
      <c r="AL175" s="9" t="n">
        <f aca="false">(((1-Assumptions!$C$24)*((Assumptions!$C$26*AL41)+(Assumptions!$C$27*(AL34+AL37))))+((Assumptions!$C$24*Assumptions!$C$25)*AL41))</f>
        <v>175.18064100771</v>
      </c>
      <c r="AN175" s="11" t="n">
        <f aca="false">SUM(C175:N175)</f>
        <v>0</v>
      </c>
      <c r="AO175" s="11" t="n">
        <f aca="false">SUM(O175:Z175)</f>
        <v>428.658884698146</v>
      </c>
      <c r="AP175" s="11" t="n">
        <f aca="false">SUM(AA175:AL175)</f>
        <v>1518.27593173433</v>
      </c>
    </row>
    <row r="176" customFormat="false" ht="15" hidden="false" customHeight="false" outlineLevel="0" collapsed="false">
      <c r="A176" s="0" t="s">
        <v>978</v>
      </c>
      <c r="B176" s="0" t="s">
        <v>230</v>
      </c>
      <c r="C176" s="9" t="n">
        <f aca="false">((C143*(Assumptions!$C$26+Assumptions!$C$55))+(C142*(Assumptions!$C$27+Assumptions!$C$56)))</f>
        <v>0</v>
      </c>
      <c r="D176" s="9" t="n">
        <f aca="false">((D143*(Assumptions!$C$26+Assumptions!$C$55))+(D142*(Assumptions!$C$27+Assumptions!$C$56)))</f>
        <v>0</v>
      </c>
      <c r="E176" s="9" t="n">
        <f aca="false">((E143*(Assumptions!$C$26+Assumptions!$C$55))+(E142*(Assumptions!$C$27+Assumptions!$C$56)))</f>
        <v>0</v>
      </c>
      <c r="F176" s="9" t="n">
        <f aca="false">((F143*(Assumptions!$C$26+Assumptions!$C$55))+(F142*(Assumptions!$C$27+Assumptions!$C$56)))</f>
        <v>0</v>
      </c>
      <c r="G176" s="9" t="n">
        <f aca="false">((G143*(Assumptions!$C$26+Assumptions!$C$55))+(G142*(Assumptions!$C$27+Assumptions!$C$56)))</f>
        <v>0</v>
      </c>
      <c r="H176" s="9" t="n">
        <f aca="false">((H143*(Assumptions!$C$26+Assumptions!$C$55))+(H142*(Assumptions!$C$27+Assumptions!$C$56)))</f>
        <v>0</v>
      </c>
      <c r="I176" s="9" t="n">
        <f aca="false">((I143*(Assumptions!$C$26+Assumptions!$C$55))+(I142*(Assumptions!$C$27+Assumptions!$C$56)))</f>
        <v>0</v>
      </c>
      <c r="J176" s="9" t="n">
        <f aca="false">((J143*(Assumptions!$C$26+Assumptions!$C$55))+(J142*(Assumptions!$C$27+Assumptions!$C$56)))</f>
        <v>0</v>
      </c>
      <c r="K176" s="9" t="n">
        <f aca="false">((K143*(Assumptions!$C$26+Assumptions!$C$55))+(K142*(Assumptions!$C$27+Assumptions!$C$56)))</f>
        <v>0</v>
      </c>
      <c r="L176" s="9" t="n">
        <f aca="false">((L143*(Assumptions!$C$26+Assumptions!$C$55))+(L142*(Assumptions!$C$27+Assumptions!$C$56)))</f>
        <v>0</v>
      </c>
      <c r="M176" s="9" t="n">
        <f aca="false">((M143*(Assumptions!$C$26+Assumptions!$C$55))+(M142*(Assumptions!$C$27+Assumptions!$C$56)))</f>
        <v>0</v>
      </c>
      <c r="N176" s="9" t="n">
        <f aca="false">((N143*(Assumptions!$C$26+Assumptions!$C$55))+(N142*(Assumptions!$C$27+Assumptions!$C$56)))</f>
        <v>0</v>
      </c>
      <c r="O176" s="9" t="n">
        <f aca="false">((O143*(Assumptions!$C$26+Assumptions!$C$55))+(O142*(Assumptions!$C$27+Assumptions!$C$56)))</f>
        <v>0</v>
      </c>
      <c r="P176" s="9" t="n">
        <f aca="false">((P143*(Assumptions!$C$26+Assumptions!$C$55))+(P142*(Assumptions!$C$27+Assumptions!$C$56)))</f>
        <v>0</v>
      </c>
      <c r="Q176" s="9" t="n">
        <f aca="false">((Q143*(Assumptions!$C$26+Assumptions!$C$55))+(Q142*(Assumptions!$C$27+Assumptions!$C$56)))</f>
        <v>0</v>
      </c>
      <c r="R176" s="9" t="n">
        <f aca="false">((R143*(Assumptions!$C$26+Assumptions!$C$55))+(R142*(Assumptions!$C$27+Assumptions!$C$56)))</f>
        <v>0</v>
      </c>
      <c r="S176" s="9" t="n">
        <f aca="false">((S143*(Assumptions!$C$26+Assumptions!$C$55))+(S142*(Assumptions!$C$27+Assumptions!$C$56)))</f>
        <v>0</v>
      </c>
      <c r="T176" s="9" t="n">
        <f aca="false">((T143*(Assumptions!$C$26+Assumptions!$C$55))+(T142*(Assumptions!$C$27+Assumptions!$C$56)))</f>
        <v>0</v>
      </c>
      <c r="U176" s="9" t="n">
        <f aca="false">((U143*(Assumptions!$C$26+Assumptions!$C$55))+(U142*(Assumptions!$C$27+Assumptions!$C$56)))</f>
        <v>0</v>
      </c>
      <c r="V176" s="9" t="n">
        <f aca="false">((V143*(Assumptions!$C$26+Assumptions!$C$55))+(V142*(Assumptions!$C$27+Assumptions!$C$56)))</f>
        <v>0</v>
      </c>
      <c r="W176" s="9" t="n">
        <f aca="false">((W143*(Assumptions!$C$26+Assumptions!$C$55))+(W142*(Assumptions!$C$27+Assumptions!$C$56)))</f>
        <v>0</v>
      </c>
      <c r="X176" s="9" t="n">
        <f aca="false">((X143*(Assumptions!$C$26+Assumptions!$C$55))+(X142*(Assumptions!$C$27+Assumptions!$C$56)))</f>
        <v>0</v>
      </c>
      <c r="Y176" s="9" t="n">
        <f aca="false">((Y143*(Assumptions!$C$26+Assumptions!$C$55))+(Y142*(Assumptions!$C$27+Assumptions!$C$56)))</f>
        <v>0</v>
      </c>
      <c r="Z176" s="9" t="n">
        <f aca="false">((Z143*(Assumptions!$C$26+Assumptions!$C$55))+(Z142*(Assumptions!$C$27+Assumptions!$C$56)))</f>
        <v>0</v>
      </c>
      <c r="AA176" s="9" t="n">
        <f aca="false">((AA143*(Assumptions!$C$26+Assumptions!$C$55))+(AA142*(Assumptions!$C$27+Assumptions!$C$56)))</f>
        <v>0</v>
      </c>
      <c r="AB176" s="9" t="n">
        <f aca="false">((AB143*(Assumptions!$C$26+Assumptions!$C$55))+(AB142*(Assumptions!$C$27+Assumptions!$C$56)))</f>
        <v>0</v>
      </c>
      <c r="AC176" s="9" t="n">
        <f aca="false">((AC143*(Assumptions!$C$26+Assumptions!$C$55))+(AC142*(Assumptions!$C$27+Assumptions!$C$56)))</f>
        <v>0</v>
      </c>
      <c r="AD176" s="9" t="n">
        <f aca="false">((AD143*(Assumptions!$C$26+Assumptions!$C$55))+(AD142*(Assumptions!$C$27+Assumptions!$C$56)))</f>
        <v>0</v>
      </c>
      <c r="AE176" s="9" t="n">
        <f aca="false">((AE143*(Assumptions!$C$26+Assumptions!$C$55))+(AE142*(Assumptions!$C$27+Assumptions!$C$56)))</f>
        <v>0</v>
      </c>
      <c r="AF176" s="9" t="n">
        <f aca="false">((AF143*(Assumptions!$C$26+Assumptions!$C$55))+(AF142*(Assumptions!$C$27+Assumptions!$C$56)))</f>
        <v>0</v>
      </c>
      <c r="AG176" s="9" t="n">
        <f aca="false">((AG143*(Assumptions!$C$26+Assumptions!$C$55))+(AG142*(Assumptions!$C$27+Assumptions!$C$56)))</f>
        <v>385.92</v>
      </c>
      <c r="AH176" s="9" t="n">
        <f aca="false">((AH143*(Assumptions!$C$26+Assumptions!$C$55))+(AH142*(Assumptions!$C$27+Assumptions!$C$56)))</f>
        <v>515.2032</v>
      </c>
      <c r="AI176" s="9" t="n">
        <f aca="false">((AI143*(Assumptions!$C$26+Assumptions!$C$55))+(AI142*(Assumptions!$C$27+Assumptions!$C$56)))</f>
        <v>639.315072</v>
      </c>
      <c r="AJ176" s="9" t="n">
        <f aca="false">((AJ143*(Assumptions!$C$26+Assumptions!$C$55))+(AJ142*(Assumptions!$C$27+Assumptions!$C$56)))</f>
        <v>758.46246912</v>
      </c>
      <c r="AK176" s="9" t="n">
        <f aca="false">((AK143*(Assumptions!$C$26+Assumptions!$C$55))+(AK142*(Assumptions!$C$27+Assumptions!$C$56)))</f>
        <v>872.8439703552</v>
      </c>
      <c r="AL176" s="9" t="n">
        <f aca="false">((AL143*(Assumptions!$C$26+Assumptions!$C$55))+(AL142*(Assumptions!$C$27+Assumptions!$C$56)))</f>
        <v>982.650211540992</v>
      </c>
      <c r="AN176" s="11" t="n">
        <f aca="false">SUM(C176:N176)</f>
        <v>0</v>
      </c>
      <c r="AO176" s="11" t="n">
        <f aca="false">SUM(O176:Z176)</f>
        <v>0</v>
      </c>
      <c r="AP176" s="11" t="n">
        <f aca="false">SUM(AA176:AL176)</f>
        <v>4154.39492301619</v>
      </c>
    </row>
    <row r="177" customFormat="false" ht="15" hidden="false" customHeight="false" outlineLevel="0" collapsed="false">
      <c r="A177" s="0" t="s">
        <v>979</v>
      </c>
      <c r="B177" s="0" t="s">
        <v>230</v>
      </c>
      <c r="C177" s="9" t="n">
        <f aca="false">(((((((C158+C159)+C160)+C161)+C162)+C163)+C165)+C170)</f>
        <v>40.26497904</v>
      </c>
      <c r="D177" s="9" t="n">
        <f aca="false">(((((((D158+D159)+D160)+D161)+D162)+D163)+D165)+D170)</f>
        <v>71.547770448</v>
      </c>
      <c r="E177" s="9" t="n">
        <f aca="false">(((((((E158+E159)+E160)+E161)+E162)+E163)+E165)+E170)</f>
        <v>94.283235997632</v>
      </c>
      <c r="F177" s="9" t="n">
        <f aca="false">(((((((F158+F159)+F160)+F161)+F162)+F163)+F165)+F170)</f>
        <v>112.480776463334</v>
      </c>
      <c r="G177" s="9" t="n">
        <f aca="false">(((((((G158+G159)+G160)+G161)+G162)+G163)+G165)+G170)</f>
        <v>215.585040672142</v>
      </c>
      <c r="H177" s="9" t="n">
        <f aca="false">(((((((H158+H159)+H160)+H161)+H162)+H163)+H165)+H170)</f>
        <v>221.616141921045</v>
      </c>
      <c r="I177" s="9" t="n">
        <f aca="false">(((((((I158+I159)+I160)+I161)+I162)+I163)+I165)+I170)</f>
        <v>236.954155027426</v>
      </c>
      <c r="J177" s="9" t="n">
        <f aca="false">(((((((J158+J159)+J160)+J161)+J162)+J163)+J165)+J170)</f>
        <v>682.29629175607</v>
      </c>
      <c r="K177" s="9" t="n">
        <f aca="false">(((((((K158+K159)+K160)+K161)+K162)+K163)+K165)+K170)</f>
        <v>747.027153758474</v>
      </c>
      <c r="L177" s="9" t="n">
        <f aca="false">(((((((L158+L159)+L160)+L161)+L162)+L163)+L165)+L170)</f>
        <v>772.692044316719</v>
      </c>
      <c r="M177" s="9" t="n">
        <f aca="false">(((((((M158+M159)+M160)+M161)+M162)+M163)+M165)+M170)</f>
        <v>694.496919168418</v>
      </c>
      <c r="N177" s="9" t="n">
        <f aca="false">(((((((N158+N159)+N160)+N161)+N162)+N163)+N165)+N170)</f>
        <v>698.884716532921</v>
      </c>
      <c r="O177" s="9" t="n">
        <f aca="false">(((((((O158+O159)+O160)+O161)+O162)+O163)+O165)+O170)</f>
        <v>1118.31034520641</v>
      </c>
      <c r="P177" s="9" t="n">
        <f aca="false">(((((((P158+P159)+P160)+P161)+P162)+P163)+P165)+P170)</f>
        <v>1190.51678115328</v>
      </c>
      <c r="Q177" s="9" t="n">
        <f aca="false">(((((((Q158+Q159)+Q160)+Q161)+Q162)+Q163)+Q165)+Q170)</f>
        <v>2031.06047093979</v>
      </c>
      <c r="R177" s="9" t="n">
        <f aca="false">(((((((R158+R159)+R160)+R161)+R162)+R163)+R165)+R170)</f>
        <v>2236.56619787338</v>
      </c>
      <c r="S177" s="9" t="n">
        <f aca="false">(((((((S158+S159)+S160)+S161)+S162)+S163)+S165)+S170)</f>
        <v>2370.28179419696</v>
      </c>
      <c r="T177" s="9" t="n">
        <f aca="false">(((((((T158+T159)+T160)+T161)+T162)+T163)+T165)+T170)</f>
        <v>2754.9145298076</v>
      </c>
      <c r="U177" s="9" t="n">
        <f aca="false">(((((((U158+U159)+U160)+U161)+U162)+U163)+U165)+U170)</f>
        <v>2908.18339901152</v>
      </c>
      <c r="V177" s="9" t="n">
        <f aca="false">(((((((V158+V159)+V160)+V161)+V162)+V163)+V165)+V170)</f>
        <v>3342.66291727784</v>
      </c>
      <c r="W177" s="9" t="n">
        <f aca="false">(((((((W158+W159)+W160)+W161)+W162)+W163)+W165)+W170)</f>
        <v>4103.58698802978</v>
      </c>
      <c r="X177" s="9" t="n">
        <f aca="false">(((((((X158+X159)+X160)+X161)+X162)+X163)+X165)+X170)</f>
        <v>4366.00188163245</v>
      </c>
      <c r="Y177" s="9" t="n">
        <f aca="false">(((((((Y158+Y159)+Y160)+Y161)+Y162)+Y163)+Y165)+Y170)</f>
        <v>4485.4686078545</v>
      </c>
      <c r="Z177" s="9" t="n">
        <f aca="false">(((((((Z158+Z159)+Z160)+Z161)+Z162)+Z163)+Z165)+Z170)</f>
        <v>4585.83253119994</v>
      </c>
      <c r="AA177" s="9" t="n">
        <f aca="false">(((((((AA158+AA159)+AA160)+AA161)+AA162)+AA163)+AA165)+AA170)</f>
        <v>5418.89737916726</v>
      </c>
      <c r="AB177" s="9" t="n">
        <f aca="false">(((((((AB158+AB159)+AB160)+AB161)+AB162)+AB163)+AB165)+AB170)</f>
        <v>5660.67034160661</v>
      </c>
      <c r="AC177" s="9" t="n">
        <f aca="false">(((((((AC158+AC159)+AC160)+AC161)+AC162)+AC163)+AC165)+AC170)</f>
        <v>5797.8239050154</v>
      </c>
      <c r="AD177" s="9" t="n">
        <f aca="false">(((((((AD158+AD159)+AD160)+AD161)+AD162)+AD163)+AD165)+AD170)</f>
        <v>7100.85163224387</v>
      </c>
      <c r="AE177" s="9" t="n">
        <f aca="false">(((((((AE158+AE159)+AE160)+AE161)+AE162)+AE163)+AE165)+AE170)</f>
        <v>7122.88465747379</v>
      </c>
      <c r="AF177" s="9" t="n">
        <f aca="false">(((((((AF158+AF159)+AF160)+AF161)+AF162)+AF163)+AF165)+AF170)</f>
        <v>7394.89991843987</v>
      </c>
      <c r="AG177" s="9" t="n">
        <f aca="false">(((((((AG158+AG159)+AG160)+AG161)+AG162)+AG163)+AG165)+AG170)</f>
        <v>8828.07097467042</v>
      </c>
      <c r="AH177" s="9" t="n">
        <f aca="false">(((((((AH158+AH159)+AH160)+AH161)+AH162)+AH163)+AH165)+AH170)</f>
        <v>10159.8721535758</v>
      </c>
      <c r="AI177" s="9" t="n">
        <f aca="false">(((((((AI158+AI159)+AI160)+AI161)+AI162)+AI163)+AI165)+AI170)</f>
        <v>10941.7413634537</v>
      </c>
      <c r="AJ177" s="9" t="n">
        <f aca="false">(((((((AJ158+AJ159)+AJ160)+AJ161)+AJ162)+AJ163)+AJ165)+AJ170)</f>
        <v>12517.3694441026</v>
      </c>
      <c r="AK177" s="9" t="n">
        <f aca="false">(((((((AK158+AK159)+AK160)+AK161)+AK162)+AK163)+AK165)+AK170)</f>
        <v>12582.7245663045</v>
      </c>
      <c r="AL177" s="9" t="n">
        <f aca="false">(((((((AL158+AL159)+AL160)+AL161)+AL162)+AL163)+AL165)+AL170)</f>
        <v>12607.4848339044</v>
      </c>
      <c r="AN177" s="11" t="n">
        <f aca="false">SUM(C177:N177)</f>
        <v>4588.12922510218</v>
      </c>
      <c r="AO177" s="11" t="n">
        <f aca="false">SUM(O177:Z177)</f>
        <v>35493.3864441835</v>
      </c>
      <c r="AP177" s="11" t="n">
        <f aca="false">SUM(AA177:AL177)</f>
        <v>106133.291169958</v>
      </c>
    </row>
    <row r="178" customFormat="false" ht="15" hidden="false" customHeight="false" outlineLevel="0" collapsed="false">
      <c r="A178" s="0" t="s">
        <v>980</v>
      </c>
      <c r="B178" s="0" t="s">
        <v>193</v>
      </c>
      <c r="C178" s="12" t="n">
        <f aca="false">((C29+C39)/C157)</f>
        <v>1</v>
      </c>
      <c r="D178" s="12" t="n">
        <f aca="false">((D29+D39)/D157)</f>
        <v>1</v>
      </c>
      <c r="E178" s="12" t="n">
        <f aca="false">((E29+E39)/E157)</f>
        <v>1</v>
      </c>
      <c r="F178" s="12" t="n">
        <f aca="false">((F29+F39)/F157)</f>
        <v>1</v>
      </c>
      <c r="G178" s="12" t="n">
        <f aca="false">((G29+G39)/G157)</f>
        <v>0.670305204454219</v>
      </c>
      <c r="H178" s="12" t="n">
        <f aca="false">((H29+H39)/H157)</f>
        <v>0.680842616030214</v>
      </c>
      <c r="I178" s="12" t="n">
        <f aca="false">((I29+I39)/I157)</f>
        <v>0.704834274114352</v>
      </c>
      <c r="J178" s="12" t="n">
        <f aca="false">((J29+J39)/J157)</f>
        <v>0.392536743653254</v>
      </c>
      <c r="K178" s="12" t="n">
        <f aca="false">((K29+K39)/K157)</f>
        <v>0.460689046839051</v>
      </c>
      <c r="L178" s="12" t="n">
        <f aca="false">((L29+L39)/L157)</f>
        <v>0.483657230358092</v>
      </c>
      <c r="M178" s="12" t="n">
        <f aca="false">((M29+M39)/M157)</f>
        <v>0.549765020153875</v>
      </c>
      <c r="N178" s="12" t="n">
        <f aca="false">((N29+N39)/N157)</f>
        <v>0.553281846909333</v>
      </c>
      <c r="O178" s="12" t="n">
        <f aca="false">((O29+O39)/O157)</f>
        <v>0.743958125806052</v>
      </c>
      <c r="P178" s="12" t="n">
        <f aca="false">((P29+P39)/P157)</f>
        <v>0.927659760075115</v>
      </c>
      <c r="Q178" s="12" t="n">
        <f aca="false">((Q29+Q39)/Q157)</f>
        <v>0.738616540518882</v>
      </c>
      <c r="R178" s="12" t="n">
        <f aca="false">((R29+R39)/R157)</f>
        <v>0.765279286447608</v>
      </c>
      <c r="S178" s="12" t="n">
        <f aca="false">((S29+S39)/S157)</f>
        <v>0.779671075947498</v>
      </c>
      <c r="T178" s="12" t="n">
        <f aca="false">((T29+T39)/T157)</f>
        <v>0.72686825794946</v>
      </c>
      <c r="U178" s="12" t="n">
        <f aca="false">((U29+U39)/U157)</f>
        <v>0.742862887464736</v>
      </c>
      <c r="V178" s="12" t="n">
        <f aca="false">((V29+V39)/V157)</f>
        <v>0.780176135836563</v>
      </c>
      <c r="W178" s="12" t="n">
        <f aca="false">((W29+W39)/W157)</f>
        <v>0.768143393117118</v>
      </c>
      <c r="X178" s="12" t="n">
        <f aca="false">((X29+X39)/X157)</f>
        <v>0.771363469407823</v>
      </c>
      <c r="Y178" s="12" t="n">
        <f aca="false">((Y29+Y39)/Y157)</f>
        <v>0.777769748780026</v>
      </c>
      <c r="Z178" s="12" t="n">
        <f aca="false">((Z29+Z39)/Z157)</f>
        <v>0.77274441371554</v>
      </c>
      <c r="AA178" s="12" t="n">
        <f aca="false">((AA29+AA39)/AA157)</f>
        <v>0.740873024910157</v>
      </c>
      <c r="AB178" s="12" t="n">
        <f aca="false">((AB29+AB39)/AB157)</f>
        <v>0.755997095845956</v>
      </c>
      <c r="AC178" s="12" t="n">
        <f aca="false">((AC29+AC39)/AC157)</f>
        <v>0.765629662224618</v>
      </c>
      <c r="AD178" s="12" t="n">
        <f aca="false">((AD29+AD39)/AD157)</f>
        <v>0.670096275336252</v>
      </c>
      <c r="AE178" s="12" t="n">
        <f aca="false">((AE29+AE39)/AE157)</f>
        <v>0.67080152430791</v>
      </c>
      <c r="AF178" s="12" t="n">
        <f aca="false">((AF29+AF39)/AF157)</f>
        <v>0.648895698251923</v>
      </c>
      <c r="AG178" s="12" t="n">
        <f aca="false">((AG29+AG39)/AG157)</f>
        <v>0.572064365699877</v>
      </c>
      <c r="AH178" s="12" t="n">
        <f aca="false">((AH29+AH39)/AH157)</f>
        <v>0.559379252144001</v>
      </c>
      <c r="AI178" s="12" t="n">
        <f aca="false">((AI29+AI39)/AI157)</f>
        <v>0.576889596746669</v>
      </c>
      <c r="AJ178" s="12" t="n">
        <f aca="false">((AJ29+AJ39)/AJ157)</f>
        <v>0.530391532662289</v>
      </c>
      <c r="AK178" s="12" t="n">
        <f aca="false">((AK29+AK39)/AK157)</f>
        <v>0.532986863984161</v>
      </c>
      <c r="AL178" s="12" t="n">
        <f aca="false">((AL29+AL39)/AL157)</f>
        <v>0.529074205672699</v>
      </c>
    </row>
    <row r="179" customFormat="false" ht="15" hidden="false" customHeight="false" outlineLevel="0" collapsed="false">
      <c r="A179" s="0" t="s">
        <v>981</v>
      </c>
      <c r="B179" s="0" t="s">
        <v>230</v>
      </c>
      <c r="C179" s="9" t="n">
        <f aca="false">(C175+(C177*C178))</f>
        <v>40.26497904</v>
      </c>
      <c r="D179" s="9" t="n">
        <f aca="false">(D175+(D177*D178))</f>
        <v>71.547770448</v>
      </c>
      <c r="E179" s="9" t="n">
        <f aca="false">(E175+(E177*E178))</f>
        <v>94.283235997632</v>
      </c>
      <c r="F179" s="9" t="n">
        <f aca="false">(F175+(F177*F178))</f>
        <v>112.480776463334</v>
      </c>
      <c r="G179" s="9" t="n">
        <f aca="false">(G175+(G177*G178))</f>
        <v>144.507774765011</v>
      </c>
      <c r="H179" s="9" t="n">
        <f aca="false">(H175+(H177*H178))</f>
        <v>150.885713820047</v>
      </c>
      <c r="I179" s="9" t="n">
        <f aca="false">(I175+(I177*I178))</f>
        <v>167.013409857136</v>
      </c>
      <c r="J179" s="9" t="n">
        <f aca="false">(J175+(J177*J178))</f>
        <v>267.826364572618</v>
      </c>
      <c r="K179" s="9" t="n">
        <f aca="false">(K175+(K177*K178))</f>
        <v>344.14722742788</v>
      </c>
      <c r="L179" s="9" t="n">
        <f aca="false">(L175+(L177*L178))</f>
        <v>373.718094073956</v>
      </c>
      <c r="M179" s="9" t="n">
        <f aca="false">(M175+(M177*M178))</f>
        <v>381.81011276343</v>
      </c>
      <c r="N179" s="9" t="n">
        <f aca="false">(N175+(N177*N178))</f>
        <v>386.68022674004</v>
      </c>
      <c r="O179" s="9" t="n">
        <f aca="false">(O175+(O177*O178))</f>
        <v>835.922277772498</v>
      </c>
      <c r="P179" s="9" t="n">
        <f aca="false">(P175+(P177*P178))</f>
        <v>1114.35627102518</v>
      </c>
      <c r="Q179" s="9" t="n">
        <f aca="false">(Q175+(Q177*Q178))</f>
        <v>1515.93296398247</v>
      </c>
      <c r="R179" s="9" t="n">
        <f aca="false">(R175+(R177*R178))</f>
        <v>1732.76470874229</v>
      </c>
      <c r="S179" s="9" t="n">
        <f aca="false">(S175+(S177*S178))</f>
        <v>1874.42828739424</v>
      </c>
      <c r="T179" s="9" t="n">
        <f aca="false">(T175+(T177*T178))</f>
        <v>2033.43312124076</v>
      </c>
      <c r="U179" s="9" t="n">
        <f aca="false">(U175+(U177*U178))</f>
        <v>2195.55603182679</v>
      </c>
      <c r="V179" s="9" t="n">
        <f aca="false">(V175+(V177*V178))</f>
        <v>2647.97528577674</v>
      </c>
      <c r="W179" s="9" t="n">
        <f aca="false">(W175+(W177*W178))</f>
        <v>3200.8896919801</v>
      </c>
      <c r="X179" s="9" t="n">
        <f aca="false">(X175+(X177*X178))</f>
        <v>3426.3829035568</v>
      </c>
      <c r="Y179" s="9" t="n">
        <f aca="false">(Y175+(Y177*Y178))</f>
        <v>3554.43591754966</v>
      </c>
      <c r="Z179" s="9" t="n">
        <f aca="false">(Z175+(Z177*Z178))</f>
        <v>3615.72793848041</v>
      </c>
      <c r="AA179" s="9" t="n">
        <f aca="false">(AA175+(AA177*AA178))</f>
        <v>4093.41708970599</v>
      </c>
      <c r="AB179" s="9" t="n">
        <f aca="false">(AB175+(AB177*AB178))</f>
        <v>4369.1902382821</v>
      </c>
      <c r="AC179" s="9" t="n">
        <f aca="false">(AC175+(AC177*AC178))</f>
        <v>4538.49328616458</v>
      </c>
      <c r="AD179" s="9" t="n">
        <f aca="false">(AD175+(AD177*AD178))</f>
        <v>4866.13066284612</v>
      </c>
      <c r="AE179" s="9" t="n">
        <f aca="false">(AE175+(AE177*AE178))</f>
        <v>4893.4304811659</v>
      </c>
      <c r="AF179" s="9" t="n">
        <f aca="false">(AF175+(AF177*AF178))</f>
        <v>4919.85083587786</v>
      </c>
      <c r="AG179" s="9" t="n">
        <f aca="false">(AG175+(AG177*AG178))</f>
        <v>5176.53067646249</v>
      </c>
      <c r="AH179" s="9" t="n">
        <f aca="false">(AH175+(AH177*AH178))</f>
        <v>5815.63003824568</v>
      </c>
      <c r="AI179" s="9" t="n">
        <f aca="false">(AI175+(AI177*AI178))</f>
        <v>6457.05219365077</v>
      </c>
      <c r="AJ179" s="9" t="n">
        <f aca="false">(AJ175+(AJ177*AJ178))</f>
        <v>6798.11382241288</v>
      </c>
      <c r="AK179" s="9" t="n">
        <f aca="false">(AK175+(AK177*AK178))</f>
        <v>6874.37896181042</v>
      </c>
      <c r="AL179" s="9" t="n">
        <f aca="false">(AL175+(AL177*AL178))</f>
        <v>6845.47566503625</v>
      </c>
      <c r="AN179" s="11" t="n">
        <f aca="false">SUM(C179:N179)</f>
        <v>2535.16568596909</v>
      </c>
      <c r="AO179" s="11" t="n">
        <f aca="false">SUM(O179:Z179)</f>
        <v>27747.805399328</v>
      </c>
      <c r="AP179" s="11" t="n">
        <f aca="false">SUM(AA179:AL179)</f>
        <v>65647.693951661</v>
      </c>
    </row>
    <row r="180" customFormat="false" ht="15" hidden="false" customHeight="false" outlineLevel="0" collapsed="false">
      <c r="A180" s="0" t="s">
        <v>982</v>
      </c>
      <c r="B180" s="0" t="s">
        <v>230</v>
      </c>
      <c r="C180" s="9" t="n">
        <f aca="false">(((C177*(1-C178))+C168)+C173)</f>
        <v>0</v>
      </c>
      <c r="D180" s="9" t="n">
        <f aca="false">(((D177*(1-D178))+D168)+D173)</f>
        <v>0</v>
      </c>
      <c r="E180" s="9" t="n">
        <f aca="false">(((E177*(1-E178))+E168)+E173)</f>
        <v>0</v>
      </c>
      <c r="F180" s="9" t="n">
        <f aca="false">(((F177*(1-F178))+F168)+F173)</f>
        <v>0</v>
      </c>
      <c r="G180" s="9" t="n">
        <f aca="false">(((G177*(1-G178))+G168)+G173)</f>
        <v>376.077265907131</v>
      </c>
      <c r="H180" s="9" t="n">
        <f aca="false">(((H177*(1-H178))+H168)+H173)</f>
        <v>375.730428100998</v>
      </c>
      <c r="I180" s="9" t="n">
        <f aca="false">(((I177*(1-I178))+I168)+I173)</f>
        <v>374.940745170291</v>
      </c>
      <c r="J180" s="9" t="n">
        <f aca="false">(((J177*(1-J178))+J168)+J173)</f>
        <v>1024.46992718345</v>
      </c>
      <c r="K180" s="9" t="n">
        <f aca="false">(((K177*(1-K178))+K168)+K173)</f>
        <v>1012.87992633059</v>
      </c>
      <c r="L180" s="9" t="n">
        <f aca="false">(((L177*(1-L178))+L168)+L173)</f>
        <v>1008.97395024276</v>
      </c>
      <c r="M180" s="9" t="n">
        <f aca="false">(((M177*(1-M178))+M168)+M173)</f>
        <v>617.686806404989</v>
      </c>
      <c r="N180" s="9" t="n">
        <f aca="false">(((N177*(1-N178))+N168)+N173)</f>
        <v>617.204489792881</v>
      </c>
      <c r="O180" s="9" t="n">
        <f aca="false">(((O177*(1-O178))+O168)+O173)</f>
        <v>591.334276717131</v>
      </c>
      <c r="P180" s="9" t="n">
        <f aca="false">(((P177*(1-P178))+P168)+P173)</f>
        <v>232.52226958323</v>
      </c>
      <c r="Q180" s="9" t="n">
        <f aca="false">(((Q177*(1-Q178))+Q168)+Q173)</f>
        <v>1006.68561230959</v>
      </c>
      <c r="R180" s="9" t="n">
        <f aca="false">(((R177*(1-R178))+R168)+R173)</f>
        <v>1000.768413872</v>
      </c>
      <c r="S180" s="9" t="n">
        <f aca="false">(((S177*(1-S178))+S168)+S173)</f>
        <v>998.04163741665</v>
      </c>
      <c r="T180" s="9" t="n">
        <f aca="false">(((T177*(1-T178))+T168)+T173)</f>
        <v>11760.9212713934</v>
      </c>
      <c r="U180" s="9" t="n">
        <f aca="false">(((U177*(1-U178))+U168)+U173)</f>
        <v>11756.2685486115</v>
      </c>
      <c r="V180" s="9" t="n">
        <f aca="false">(((V177*(1-V178))+V168)+V173)</f>
        <v>11743.2637457385</v>
      </c>
      <c r="W180" s="9" t="n">
        <f aca="false">(((W177*(1-W178))+W168)+W173)</f>
        <v>12325.91042176</v>
      </c>
      <c r="X180" s="9" t="n">
        <f aca="false">(((X177*(1-X178))+X168)+X173)</f>
        <v>12445.894189442</v>
      </c>
      <c r="Y180" s="9" t="n">
        <f aca="false">(((Y177*(1-Y178))+Y168)+Y173)</f>
        <v>12444.4734822295</v>
      </c>
      <c r="Z180" s="9" t="n">
        <f aca="false">(((Z177*(1-Z178))+Z168)+Z173)</f>
        <v>12672.8227271469</v>
      </c>
      <c r="AA180" s="9" t="n">
        <f aca="false">(((AA177*(1-AA178))+AA168)+AA173)</f>
        <v>13356.9291528526</v>
      </c>
      <c r="AB180" s="9" t="n">
        <f aca="false">(((AB177*(1-AB178))+AB168)+AB173)</f>
        <v>13312.0066694773</v>
      </c>
      <c r="AC180" s="9" t="n">
        <f aca="false">(((AC177*(1-AC178))+AC168)+AC173)</f>
        <v>13450.6646136473</v>
      </c>
      <c r="AD180" s="9" t="n">
        <f aca="false">(((AD177*(1-AD178))+AD168)+AD173)</f>
        <v>15012.7040684286</v>
      </c>
      <c r="AE180" s="9" t="n">
        <f aca="false">(((AE177*(1-AE178))+AE168)+AE173)</f>
        <v>15014.9494384376</v>
      </c>
      <c r="AF180" s="9" t="n">
        <f aca="false">(((AF177*(1-AF178))+AF168)+AF173)</f>
        <v>25799.1545056941</v>
      </c>
      <c r="AG180" s="9" t="n">
        <f aca="false">(((AG177*(1-AG178))+AG168)+AG173)</f>
        <v>27741.8994855254</v>
      </c>
      <c r="AH180" s="9" t="n">
        <f aca="false">(((AH177*(1-AH178))+AH168)+AH173)</f>
        <v>28623.7037997632</v>
      </c>
      <c r="AI180" s="9" t="n">
        <f aca="false">(((AI177*(1-AI178))+AI168)+AI173)</f>
        <v>28959.6179339179</v>
      </c>
      <c r="AJ180" s="9" t="n">
        <f aca="false">(((AJ177*(1-AJ178))+AJ168)+AJ173)</f>
        <v>31031.8160130783</v>
      </c>
      <c r="AK180" s="9" t="n">
        <f aca="false">(((AK177*(1-AK178))+AK168)+AK173)</f>
        <v>31029.8509926668</v>
      </c>
      <c r="AL180" s="9" t="n">
        <f aca="false">(((AL177*(1-AL178))+AL168)+AL173)</f>
        <v>31273.7431432091</v>
      </c>
      <c r="AN180" s="11" t="n">
        <f aca="false">SUM(C180:N180)</f>
        <v>5407.9635391331</v>
      </c>
      <c r="AO180" s="11" t="n">
        <f aca="false">SUM(O180:Z180)</f>
        <v>88978.9065962203</v>
      </c>
      <c r="AP180" s="11" t="n">
        <f aca="false">SUM(AA180:AL180)</f>
        <v>274607.039816698</v>
      </c>
    </row>
    <row r="181" customFormat="false" ht="15" hidden="false" customHeight="false" outlineLevel="0" collapsed="false">
      <c r="A181" s="0" t="s">
        <v>983</v>
      </c>
      <c r="B181" s="0" t="s">
        <v>230</v>
      </c>
      <c r="C181" s="9" t="n">
        <f aca="false">((C164+C166)+C171)</f>
        <v>6000</v>
      </c>
      <c r="D181" s="9" t="n">
        <f aca="false">((D164+D166)+D171)</f>
        <v>6000</v>
      </c>
      <c r="E181" s="9" t="n">
        <f aca="false">((E164+E166)+E171)</f>
        <v>6000</v>
      </c>
      <c r="F181" s="9" t="n">
        <f aca="false">((F164+F166)+F171)</f>
        <v>6000</v>
      </c>
      <c r="G181" s="9" t="n">
        <f aca="false">((G164+G166)+G171)</f>
        <v>6000</v>
      </c>
      <c r="H181" s="9" t="n">
        <f aca="false">((H164+H166)+H171)</f>
        <v>6000</v>
      </c>
      <c r="I181" s="9" t="n">
        <f aca="false">((I164+I166)+I171)</f>
        <v>6000</v>
      </c>
      <c r="J181" s="9" t="n">
        <f aca="false">((J164+J166)+J171)</f>
        <v>6000</v>
      </c>
      <c r="K181" s="9" t="n">
        <f aca="false">((K164+K166)+K171)</f>
        <v>12303.3333333333</v>
      </c>
      <c r="L181" s="9" t="n">
        <f aca="false">((L164+L166)+L171)</f>
        <v>12303.3333333333</v>
      </c>
      <c r="M181" s="9" t="n">
        <f aca="false">((M164+M166)+M171)</f>
        <v>12303.3333333333</v>
      </c>
      <c r="N181" s="9" t="n">
        <f aca="false">((N164+N166)+N171)</f>
        <v>12303.3333333333</v>
      </c>
      <c r="O181" s="9" t="n">
        <f aca="false">((O164+O166)+O171)</f>
        <v>18303.3333333333</v>
      </c>
      <c r="P181" s="9" t="n">
        <f aca="false">((P164+P166)+P171)</f>
        <v>18303.3333333333</v>
      </c>
      <c r="Q181" s="9" t="n">
        <f aca="false">((Q164+Q166)+Q171)</f>
        <v>18303.3333333333</v>
      </c>
      <c r="R181" s="9" t="n">
        <f aca="false">((R164+R166)+R171)</f>
        <v>18303.3333333333</v>
      </c>
      <c r="S181" s="9" t="n">
        <f aca="false">((S164+S166)+S171)</f>
        <v>18303.3333333333</v>
      </c>
      <c r="T181" s="9" t="n">
        <f aca="false">((T164+T166)+T171)</f>
        <v>26945</v>
      </c>
      <c r="U181" s="9" t="n">
        <f aca="false">((U164+U166)+U171)</f>
        <v>26945</v>
      </c>
      <c r="V181" s="9" t="n">
        <f aca="false">((V164+V166)+V171)</f>
        <v>26945</v>
      </c>
      <c r="W181" s="9" t="n">
        <f aca="false">((W164+W166)+W171)</f>
        <v>26945</v>
      </c>
      <c r="X181" s="9" t="n">
        <f aca="false">((X164+X166)+X171)</f>
        <v>26945</v>
      </c>
      <c r="Y181" s="9" t="n">
        <f aca="false">((Y164+Y166)+Y171)</f>
        <v>26945</v>
      </c>
      <c r="Z181" s="9" t="n">
        <f aca="false">((Z164+Z166)+Z171)</f>
        <v>26945</v>
      </c>
      <c r="AA181" s="9" t="n">
        <f aca="false">((AA164+AA166)+AA171)</f>
        <v>35945</v>
      </c>
      <c r="AB181" s="9" t="n">
        <f aca="false">((AB164+AB166)+AB171)</f>
        <v>42248.3333333333</v>
      </c>
      <c r="AC181" s="9" t="n">
        <f aca="false">((AC164+AC166)+AC171)</f>
        <v>42248.3333333333</v>
      </c>
      <c r="AD181" s="9" t="n">
        <f aca="false">((AD164+AD166)+AD171)</f>
        <v>42248.3333333333</v>
      </c>
      <c r="AE181" s="9" t="n">
        <f aca="false">((AE164+AE166)+AE171)</f>
        <v>42248.3333333333</v>
      </c>
      <c r="AF181" s="9" t="n">
        <f aca="false">((AF164+AF166)+AF171)</f>
        <v>42248.3333333333</v>
      </c>
      <c r="AG181" s="9" t="n">
        <f aca="false">((AG164+AG166)+AG171)</f>
        <v>42248.3333333333</v>
      </c>
      <c r="AH181" s="9" t="n">
        <f aca="false">((AH164+AH166)+AH171)</f>
        <v>42248.3333333333</v>
      </c>
      <c r="AI181" s="9" t="n">
        <f aca="false">((AI164+AI166)+AI171)</f>
        <v>48551.6666666667</v>
      </c>
      <c r="AJ181" s="9" t="n">
        <f aca="false">((AJ164+AJ166)+AJ171)</f>
        <v>48551.6666666667</v>
      </c>
      <c r="AK181" s="9" t="n">
        <f aca="false">((AK164+AK166)+AK171)</f>
        <v>48551.6666666667</v>
      </c>
      <c r="AL181" s="9" t="n">
        <f aca="false">((AL164+AL166)+AL171)</f>
        <v>48551.6666666667</v>
      </c>
      <c r="AN181" s="11" t="n">
        <f aca="false">SUM(C181:N181)</f>
        <v>97213.3333333333</v>
      </c>
      <c r="AO181" s="11" t="n">
        <f aca="false">SUM(O181:Z181)</f>
        <v>280131.666666667</v>
      </c>
      <c r="AP181" s="11" t="n">
        <f aca="false">SUM(AA181:AL181)</f>
        <v>525890</v>
      </c>
    </row>
    <row r="182" customFormat="false" ht="15" hidden="false" customHeight="false" outlineLevel="0" collapsed="false">
      <c r="A182" s="0" t="s">
        <v>984</v>
      </c>
      <c r="B182" s="0" t="s">
        <v>230</v>
      </c>
      <c r="C182" s="9" t="n">
        <f aca="false">C172</f>
        <v>0</v>
      </c>
      <c r="D182" s="9" t="n">
        <f aca="false">D172</f>
        <v>0</v>
      </c>
      <c r="E182" s="9" t="n">
        <f aca="false">E172</f>
        <v>0</v>
      </c>
      <c r="F182" s="9" t="n">
        <f aca="false">F172</f>
        <v>0</v>
      </c>
      <c r="G182" s="9" t="n">
        <f aca="false">G172</f>
        <v>10166.6666666667</v>
      </c>
      <c r="H182" s="9" t="n">
        <f aca="false">H172</f>
        <v>10166.6666666667</v>
      </c>
      <c r="I182" s="9" t="n">
        <f aca="false">I172</f>
        <v>10166.6666666667</v>
      </c>
      <c r="J182" s="9" t="n">
        <f aca="false">J172</f>
        <v>10166.6666666667</v>
      </c>
      <c r="K182" s="9" t="n">
        <f aca="false">K172</f>
        <v>10166.6666666667</v>
      </c>
      <c r="L182" s="9" t="n">
        <f aca="false">L172</f>
        <v>10166.6666666667</v>
      </c>
      <c r="M182" s="9" t="n">
        <f aca="false">M172</f>
        <v>20333.3333333333</v>
      </c>
      <c r="N182" s="9" t="n">
        <f aca="false">N172</f>
        <v>20333.3333333333</v>
      </c>
      <c r="O182" s="9" t="n">
        <f aca="false">O172</f>
        <v>20333.3333333333</v>
      </c>
      <c r="P182" s="9" t="n">
        <f aca="false">P172</f>
        <v>20333.3333333333</v>
      </c>
      <c r="Q182" s="9" t="n">
        <f aca="false">Q172</f>
        <v>30500</v>
      </c>
      <c r="R182" s="9" t="n">
        <f aca="false">R172</f>
        <v>30500</v>
      </c>
      <c r="S182" s="9" t="n">
        <f aca="false">S172</f>
        <v>30500</v>
      </c>
      <c r="T182" s="9" t="n">
        <f aca="false">T172</f>
        <v>30500</v>
      </c>
      <c r="U182" s="9" t="n">
        <f aca="false">U172</f>
        <v>40666.6666666667</v>
      </c>
      <c r="V182" s="9" t="n">
        <f aca="false">V172</f>
        <v>40666.6666666667</v>
      </c>
      <c r="W182" s="9" t="n">
        <f aca="false">W172</f>
        <v>40666.6666666667</v>
      </c>
      <c r="X182" s="9" t="n">
        <f aca="false">X172</f>
        <v>50833.3333333333</v>
      </c>
      <c r="Y182" s="9" t="n">
        <f aca="false">Y172</f>
        <v>50833.3333333333</v>
      </c>
      <c r="Z182" s="9" t="n">
        <f aca="false">Z172</f>
        <v>50833.3333333333</v>
      </c>
      <c r="AA182" s="9" t="n">
        <f aca="false">AA172</f>
        <v>61000</v>
      </c>
      <c r="AB182" s="9" t="n">
        <f aca="false">AB172</f>
        <v>61000</v>
      </c>
      <c r="AC182" s="9" t="n">
        <f aca="false">AC172</f>
        <v>61000</v>
      </c>
      <c r="AD182" s="9" t="n">
        <f aca="false">AD172</f>
        <v>71166.6666666667</v>
      </c>
      <c r="AE182" s="9" t="n">
        <f aca="false">AE172</f>
        <v>71166.6666666667</v>
      </c>
      <c r="AF182" s="9" t="n">
        <f aca="false">AF172</f>
        <v>71166.6666666667</v>
      </c>
      <c r="AG182" s="9" t="n">
        <f aca="false">AG172</f>
        <v>81333.3333333333</v>
      </c>
      <c r="AH182" s="9" t="n">
        <f aca="false">AH172</f>
        <v>81333.3333333333</v>
      </c>
      <c r="AI182" s="9" t="n">
        <f aca="false">AI172</f>
        <v>81333.3333333333</v>
      </c>
      <c r="AJ182" s="9" t="n">
        <f aca="false">AJ172</f>
        <v>81333.3333333333</v>
      </c>
      <c r="AK182" s="9" t="n">
        <f aca="false">AK172</f>
        <v>81333.3333333333</v>
      </c>
      <c r="AL182" s="9" t="n">
        <f aca="false">AL172</f>
        <v>81333.3333333333</v>
      </c>
      <c r="AN182" s="11" t="n">
        <f aca="false">SUM(C182:N182)</f>
        <v>101666.666666667</v>
      </c>
      <c r="AO182" s="11" t="n">
        <f aca="false">SUM(O182:Z182)</f>
        <v>437166.666666667</v>
      </c>
      <c r="AP182" s="11" t="n">
        <f aca="false">SUM(AA182:AL182)</f>
        <v>884500</v>
      </c>
    </row>
    <row r="183" customFormat="false" ht="15" hidden="false" customHeight="false" outlineLevel="0" collapsed="false">
      <c r="A183" s="0" t="s">
        <v>985</v>
      </c>
      <c r="B183" s="0" t="s">
        <v>230</v>
      </c>
      <c r="C183" s="9" t="n">
        <f aca="false">(C176+C174)</f>
        <v>0</v>
      </c>
      <c r="D183" s="9" t="n">
        <f aca="false">(D176+D174)</f>
        <v>0</v>
      </c>
      <c r="E183" s="9" t="n">
        <f aca="false">(E176+E174)</f>
        <v>0</v>
      </c>
      <c r="F183" s="9" t="n">
        <f aca="false">(F176+F174)</f>
        <v>0</v>
      </c>
      <c r="G183" s="9" t="n">
        <f aca="false">(G176+G174)</f>
        <v>0</v>
      </c>
      <c r="H183" s="9" t="n">
        <f aca="false">(H176+H174)</f>
        <v>0</v>
      </c>
      <c r="I183" s="9" t="n">
        <f aca="false">(I176+I174)</f>
        <v>0</v>
      </c>
      <c r="J183" s="9" t="n">
        <f aca="false">(J176+J174)</f>
        <v>0</v>
      </c>
      <c r="K183" s="9" t="n">
        <f aca="false">(K176+K174)</f>
        <v>0</v>
      </c>
      <c r="L183" s="9" t="n">
        <f aca="false">(L176+L174)</f>
        <v>0</v>
      </c>
      <c r="M183" s="9" t="n">
        <f aca="false">(M176+M174)</f>
        <v>0</v>
      </c>
      <c r="N183" s="9" t="n">
        <f aca="false">(N176+N174)</f>
        <v>0</v>
      </c>
      <c r="O183" s="9" t="n">
        <f aca="false">(O176+O174)</f>
        <v>0</v>
      </c>
      <c r="P183" s="9" t="n">
        <f aca="false">(P176+P174)</f>
        <v>0</v>
      </c>
      <c r="Q183" s="9" t="n">
        <f aca="false">(Q176+Q174)</f>
        <v>0</v>
      </c>
      <c r="R183" s="9" t="n">
        <f aca="false">(R176+R174)</f>
        <v>0</v>
      </c>
      <c r="S183" s="9" t="n">
        <f aca="false">(S176+S174)</f>
        <v>0</v>
      </c>
      <c r="T183" s="9" t="n">
        <f aca="false">(T176+T174)</f>
        <v>0</v>
      </c>
      <c r="U183" s="9" t="n">
        <f aca="false">(U176+U174)</f>
        <v>0</v>
      </c>
      <c r="V183" s="9" t="n">
        <f aca="false">(V176+V174)</f>
        <v>0</v>
      </c>
      <c r="W183" s="9" t="n">
        <f aca="false">(W176+W174)</f>
        <v>0</v>
      </c>
      <c r="X183" s="9" t="n">
        <f aca="false">(X176+X174)</f>
        <v>0</v>
      </c>
      <c r="Y183" s="9" t="n">
        <f aca="false">(Y176+Y174)</f>
        <v>0</v>
      </c>
      <c r="Z183" s="9" t="n">
        <f aca="false">(Z176+Z174)</f>
        <v>0</v>
      </c>
      <c r="AA183" s="9" t="n">
        <f aca="false">(AA176+AA174)</f>
        <v>0</v>
      </c>
      <c r="AB183" s="9" t="n">
        <f aca="false">(AB176+AB174)</f>
        <v>0</v>
      </c>
      <c r="AC183" s="9" t="n">
        <f aca="false">(AC176+AC174)</f>
        <v>0</v>
      </c>
      <c r="AD183" s="9" t="n">
        <f aca="false">(AD176+AD174)</f>
        <v>0</v>
      </c>
      <c r="AE183" s="9" t="n">
        <f aca="false">(AE176+AE174)</f>
        <v>0</v>
      </c>
      <c r="AF183" s="9" t="n">
        <f aca="false">(AF176+AF174)</f>
        <v>0</v>
      </c>
      <c r="AG183" s="9" t="n">
        <f aca="false">(AG176+AG174)</f>
        <v>385.92</v>
      </c>
      <c r="AH183" s="9" t="n">
        <f aca="false">(AH176+AH174)</f>
        <v>7631.86986666667</v>
      </c>
      <c r="AI183" s="9" t="n">
        <f aca="false">(AI176+AI174)</f>
        <v>7755.98173866667</v>
      </c>
      <c r="AJ183" s="9" t="n">
        <f aca="false">(AJ176+AJ174)</f>
        <v>7875.12913578667</v>
      </c>
      <c r="AK183" s="9" t="n">
        <f aca="false">(AK176+AK174)</f>
        <v>7989.51063702187</v>
      </c>
      <c r="AL183" s="9" t="n">
        <f aca="false">(AL176+AL174)</f>
        <v>8099.31687820766</v>
      </c>
      <c r="AN183" s="11" t="n">
        <f aca="false">SUM(C183:N183)</f>
        <v>0</v>
      </c>
      <c r="AO183" s="11" t="n">
        <f aca="false">SUM(O183:Z183)</f>
        <v>0</v>
      </c>
      <c r="AP183" s="11" t="n">
        <f aca="false">SUM(AA183:AL183)</f>
        <v>39737.7282563495</v>
      </c>
    </row>
    <row r="184" customFormat="false" ht="15" hidden="false" customHeight="false" outlineLevel="0" collapsed="false">
      <c r="A184" s="10" t="s">
        <v>986</v>
      </c>
      <c r="B184" s="20" t="s">
        <v>230</v>
      </c>
      <c r="C184" s="11" t="n">
        <f aca="false">((((C179+C180)+C181)+C182)+C183)</f>
        <v>6040.26497904</v>
      </c>
      <c r="D184" s="11" t="n">
        <f aca="false">((((D179+D180)+D181)+D182)+D183)</f>
        <v>6071.547770448</v>
      </c>
      <c r="E184" s="11" t="n">
        <f aca="false">((((E179+E180)+E181)+E182)+E183)</f>
        <v>6094.28323599763</v>
      </c>
      <c r="F184" s="11" t="n">
        <f aca="false">((((F179+F180)+F181)+F182)+F183)</f>
        <v>6112.48077646333</v>
      </c>
      <c r="G184" s="11" t="n">
        <f aca="false">((((G179+G180)+G181)+G182)+G183)</f>
        <v>16687.2517073388</v>
      </c>
      <c r="H184" s="11" t="n">
        <f aca="false">((((H179+H180)+H181)+H182)+H183)</f>
        <v>16693.2828085877</v>
      </c>
      <c r="I184" s="11" t="n">
        <f aca="false">((((I179+I180)+I181)+I182)+I183)</f>
        <v>16708.6208216941</v>
      </c>
      <c r="J184" s="11" t="n">
        <f aca="false">((((J179+J180)+J181)+J182)+J183)</f>
        <v>17458.9629584227</v>
      </c>
      <c r="K184" s="11" t="n">
        <f aca="false">((((K179+K180)+K181)+K182)+K183)</f>
        <v>23827.0271537585</v>
      </c>
      <c r="L184" s="11" t="n">
        <f aca="false">((((L179+L180)+L181)+L182)+L183)</f>
        <v>23852.6920443167</v>
      </c>
      <c r="M184" s="11" t="n">
        <f aca="false">((((M179+M180)+M181)+M182)+M183)</f>
        <v>33636.1635858351</v>
      </c>
      <c r="N184" s="11" t="n">
        <f aca="false">((((N179+N180)+N181)+N182)+N183)</f>
        <v>33640.5513831996</v>
      </c>
      <c r="O184" s="11" t="n">
        <f aca="false">((((O179+O180)+O181)+O182)+O183)</f>
        <v>40063.9232211563</v>
      </c>
      <c r="P184" s="11" t="n">
        <f aca="false">((((P179+P180)+P181)+P182)+P183)</f>
        <v>39983.5452072751</v>
      </c>
      <c r="Q184" s="11" t="n">
        <f aca="false">((((Q179+Q180)+Q181)+Q182)+Q183)</f>
        <v>51325.9519096254</v>
      </c>
      <c r="R184" s="11" t="n">
        <f aca="false">((((R179+R180)+R181)+R182)+R183)</f>
        <v>51536.8664559476</v>
      </c>
      <c r="S184" s="11" t="n">
        <f aca="false">((((S179+S180)+S181)+S182)+S183)</f>
        <v>51675.8032581442</v>
      </c>
      <c r="T184" s="11" t="n">
        <f aca="false">((((T179+T180)+T181)+T182)+T183)</f>
        <v>71239.3543926341</v>
      </c>
      <c r="U184" s="11" t="n">
        <f aca="false">((((U179+U180)+U181)+U182)+U183)</f>
        <v>81563.491247105</v>
      </c>
      <c r="V184" s="11" t="n">
        <f aca="false">((((V179+V180)+V181)+V182)+V183)</f>
        <v>82002.9056981819</v>
      </c>
      <c r="W184" s="11" t="n">
        <f aca="false">((((W179+W180)+W181)+W182)+W183)</f>
        <v>83138.4667804068</v>
      </c>
      <c r="X184" s="11" t="n">
        <f aca="false">((((X179+X180)+X181)+X182)+X183)</f>
        <v>93650.6104263322</v>
      </c>
      <c r="Y184" s="11" t="n">
        <f aca="false">((((Y179+Y180)+Y181)+Y182)+Y183)</f>
        <v>93777.2427331125</v>
      </c>
      <c r="Z184" s="11" t="n">
        <f aca="false">((((Z179+Z180)+Z181)+Z182)+Z183)</f>
        <v>94066.8839989606</v>
      </c>
      <c r="AA184" s="11" t="n">
        <f aca="false">((((AA179+AA180)+AA181)+AA182)+AA183)</f>
        <v>114395.346242559</v>
      </c>
      <c r="AB184" s="11" t="n">
        <f aca="false">((((AB179+AB180)+AB181)+AB182)+AB183)</f>
        <v>120929.530241093</v>
      </c>
      <c r="AC184" s="11" t="n">
        <f aca="false">((((AC179+AC180)+AC181)+AC182)+AC183)</f>
        <v>121237.491233145</v>
      </c>
      <c r="AD184" s="11" t="n">
        <f aca="false">((((AD179+AD180)+AD181)+AD182)+AD183)</f>
        <v>133293.834731275</v>
      </c>
      <c r="AE184" s="11" t="n">
        <f aca="false">((((AE179+AE180)+AE181)+AE182)+AE183)</f>
        <v>133323.379919604</v>
      </c>
      <c r="AF184" s="11" t="n">
        <f aca="false">((((AF179+AF180)+AF181)+AF182)+AF183)</f>
        <v>144134.005341572</v>
      </c>
      <c r="AG184" s="11" t="n">
        <f aca="false">((((AG179+AG180)+AG181)+AG182)+AG183)</f>
        <v>156886.016828655</v>
      </c>
      <c r="AH184" s="11" t="n">
        <f aca="false">((((AH179+AH180)+AH181)+AH182)+AH183)</f>
        <v>165652.870371342</v>
      </c>
      <c r="AI184" s="11" t="n">
        <f aca="false">((((AI179+AI180)+AI181)+AI182)+AI183)</f>
        <v>173057.651866235</v>
      </c>
      <c r="AJ184" s="11" t="n">
        <f aca="false">((((AJ179+AJ180)+AJ181)+AJ182)+AJ183)</f>
        <v>175590.058971278</v>
      </c>
      <c r="AK184" s="11" t="n">
        <f aca="false">((((AK179+AK180)+AK181)+AK182)+AK183)</f>
        <v>175778.740591499</v>
      </c>
      <c r="AL184" s="11" t="n">
        <f aca="false">((((AL179+AL180)+AL181)+AL182)+AL183)</f>
        <v>176103.535686453</v>
      </c>
      <c r="AN184" s="11" t="n">
        <f aca="false">SUM(C184:N184)</f>
        <v>206823.129225102</v>
      </c>
      <c r="AO184" s="11" t="n">
        <f aca="false">SUM(O184:Z184)</f>
        <v>834025.045328882</v>
      </c>
      <c r="AP184" s="11" t="n">
        <f aca="false">SUM(AA184:AL184)</f>
        <v>1790382.46202471</v>
      </c>
    </row>
    <row r="185" customFormat="false" ht="15" hidden="false" customHeight="false" outlineLevel="0" collapsed="false">
      <c r="A185" s="0" t="s">
        <v>987</v>
      </c>
      <c r="B185" s="0" t="s">
        <v>230</v>
      </c>
      <c r="C185" s="9" t="n">
        <f aca="false">((((((((((((((((C158+C159)+C160)+C161)+C162)+C163)+C164)+C167)+C168)+C171)+C170)+C172)+C173)+C174)+C175)+C176)-C184)</f>
        <v>0</v>
      </c>
      <c r="D185" s="9" t="n">
        <f aca="false">((((((((((((((((D158+D159)+D160)+D161)+D162)+D163)+D164)+D167)+D168)+D171)+D170)+D172)+D173)+D174)+D175)+D176)-D184)</f>
        <v>0</v>
      </c>
      <c r="E185" s="9" t="n">
        <f aca="false">((((((((((((((((E158+E159)+E160)+E161)+E162)+E163)+E164)+E167)+E168)+E171)+E170)+E172)+E173)+E174)+E175)+E176)-E184)</f>
        <v>0</v>
      </c>
      <c r="F185" s="9" t="n">
        <f aca="false">((((((((((((((((F158+F159)+F160)+F161)+F162)+F163)+F164)+F167)+F168)+F171)+F170)+F172)+F173)+F174)+F175)+F176)-F184)</f>
        <v>0</v>
      </c>
      <c r="G185" s="9" t="n">
        <f aca="false">((((((((((((((((G158+G159)+G160)+G161)+G162)+G163)+G164)+G167)+G168)+G171)+G170)+G172)+G173)+G174)+G175)+G176)-G184)</f>
        <v>0</v>
      </c>
      <c r="H185" s="9" t="n">
        <f aca="false">((((((((((((((((H158+H159)+H160)+H161)+H162)+H163)+H164)+H167)+H168)+H171)+H170)+H172)+H173)+H174)+H175)+H176)-H184)</f>
        <v>0</v>
      </c>
      <c r="I185" s="9" t="n">
        <f aca="false">((((((((((((((((I158+I159)+I160)+I161)+I162)+I163)+I164)+I167)+I168)+I171)+I170)+I172)+I173)+I174)+I175)+I176)-I184)</f>
        <v>0</v>
      </c>
      <c r="J185" s="9" t="n">
        <f aca="false">((((((((((((((((J158+J159)+J160)+J161)+J162)+J163)+J164)+J167)+J168)+J171)+J170)+J172)+J173)+J174)+J175)+J176)-J184)</f>
        <v>0</v>
      </c>
      <c r="K185" s="9" t="n">
        <f aca="false">((((((((((((((((K158+K159)+K160)+K161)+K162)+K163)+K164)+K167)+K168)+K171)+K170)+K172)+K173)+K174)+K175)+K176)-K184)</f>
        <v>0</v>
      </c>
      <c r="L185" s="9" t="n">
        <f aca="false">((((((((((((((((L158+L159)+L160)+L161)+L162)+L163)+L164)+L167)+L168)+L171)+L170)+L172)+L173)+L174)+L175)+L176)-L184)</f>
        <v>0</v>
      </c>
      <c r="M185" s="9" t="n">
        <f aca="false">((((((((((((((((M158+M159)+M160)+M161)+M162)+M163)+M164)+M167)+M168)+M171)+M170)+M172)+M173)+M174)+M175)+M176)-M184)</f>
        <v>0</v>
      </c>
      <c r="N185" s="9" t="n">
        <f aca="false">((((((((((((((((N158+N159)+N160)+N161)+N162)+N163)+N164)+N167)+N168)+N171)+N170)+N172)+N173)+N174)+N175)+N176)-N184)</f>
        <v>0</v>
      </c>
      <c r="O185" s="9" t="n">
        <f aca="false">((((((((((((((((O158+O159)+O160)+O161)+O162)+O163)+O164)+O167)+O168)+O171)+O170)+O172)+O173)+O174)+O175)+O176)-O184)</f>
        <v>0</v>
      </c>
      <c r="P185" s="9" t="n">
        <f aca="false">((((((((((((((((P158+P159)+P160)+P161)+P162)+P163)+P164)+P167)+P168)+P171)+P170)+P172)+P173)+P174)+P175)+P176)-P184)</f>
        <v>0</v>
      </c>
      <c r="Q185" s="9" t="n">
        <f aca="false">((((((((((((((((Q158+Q159)+Q160)+Q161)+Q162)+Q163)+Q164)+Q167)+Q168)+Q171)+Q170)+Q172)+Q173)+Q174)+Q175)+Q176)-Q184)</f>
        <v>0</v>
      </c>
      <c r="R185" s="9" t="n">
        <f aca="false">((((((((((((((((R158+R159)+R160)+R161)+R162)+R163)+R164)+R167)+R168)+R171)+R170)+R172)+R173)+R174)+R175)+R176)-R184)</f>
        <v>0</v>
      </c>
      <c r="S185" s="9" t="n">
        <f aca="false">((((((((((((((((S158+S159)+S160)+S161)+S162)+S163)+S164)+S167)+S168)+S171)+S170)+S172)+S173)+S174)+S175)+S176)-S184)</f>
        <v>0</v>
      </c>
      <c r="T185" s="9" t="n">
        <f aca="false">((((((((((((((((T158+T159)+T160)+T161)+T162)+T163)+T164)+T167)+T168)+T171)+T170)+T172)+T173)+T174)+T175)+T176)-T184)</f>
        <v>0</v>
      </c>
      <c r="U185" s="9" t="n">
        <f aca="false">((((((((((((((((U158+U159)+U160)+U161)+U162)+U163)+U164)+U167)+U168)+U171)+U170)+U172)+U173)+U174)+U175)+U176)-U184)</f>
        <v>0</v>
      </c>
      <c r="V185" s="9" t="n">
        <f aca="false">((((((((((((((((V158+V159)+V160)+V161)+V162)+V163)+V164)+V167)+V168)+V171)+V170)+V172)+V173)+V174)+V175)+V176)-V184)</f>
        <v>0</v>
      </c>
      <c r="W185" s="9" t="n">
        <f aca="false">((((((((((((((((W158+W159)+W160)+W161)+W162)+W163)+W164)+W167)+W168)+W171)+W170)+W172)+W173)+W174)+W175)+W176)-W184)</f>
        <v>0</v>
      </c>
      <c r="X185" s="9" t="n">
        <f aca="false">((((((((((((((((X158+X159)+X160)+X161)+X162)+X163)+X164)+X167)+X168)+X171)+X170)+X172)+X173)+X174)+X175)+X176)-X184)</f>
        <v>0</v>
      </c>
      <c r="Y185" s="9" t="n">
        <f aca="false">((((((((((((((((Y158+Y159)+Y160)+Y161)+Y162)+Y163)+Y164)+Y167)+Y168)+Y171)+Y170)+Y172)+Y173)+Y174)+Y175)+Y176)-Y184)</f>
        <v>0</v>
      </c>
      <c r="Z185" s="9" t="n">
        <f aca="false">((((((((((((((((Z158+Z159)+Z160)+Z161)+Z162)+Z163)+Z164)+Z167)+Z168)+Z171)+Z170)+Z172)+Z173)+Z174)+Z175)+Z176)-Z184)</f>
        <v>0</v>
      </c>
      <c r="AA185" s="9" t="n">
        <f aca="false">((((((((((((((((AA158+AA159)+AA160)+AA161)+AA162)+AA163)+AA164)+AA167)+AA168)+AA171)+AA170)+AA172)+AA173)+AA174)+AA175)+AA176)-AA184)</f>
        <v>0</v>
      </c>
      <c r="AB185" s="9" t="n">
        <f aca="false">((((((((((((((((AB158+AB159)+AB160)+AB161)+AB162)+AB163)+AB164)+AB167)+AB168)+AB171)+AB170)+AB172)+AB173)+AB174)+AB175)+AB176)-AB184)</f>
        <v>0</v>
      </c>
      <c r="AC185" s="9" t="n">
        <f aca="false">((((((((((((((((AC158+AC159)+AC160)+AC161)+AC162)+AC163)+AC164)+AC167)+AC168)+AC171)+AC170)+AC172)+AC173)+AC174)+AC175)+AC176)-AC184)</f>
        <v>0</v>
      </c>
      <c r="AD185" s="9" t="n">
        <f aca="false">((((((((((((((((AD158+AD159)+AD160)+AD161)+AD162)+AD163)+AD164)+AD167)+AD168)+AD171)+AD170)+AD172)+AD173)+AD174)+AD175)+AD176)-AD184)</f>
        <v>0</v>
      </c>
      <c r="AE185" s="9" t="n">
        <f aca="false">((((((((((((((((AE158+AE159)+AE160)+AE161)+AE162)+AE163)+AE164)+AE167)+AE168)+AE171)+AE170)+AE172)+AE173)+AE174)+AE175)+AE176)-AE184)</f>
        <v>0</v>
      </c>
      <c r="AF185" s="9" t="n">
        <f aca="false">((((((((((((((((AF158+AF159)+AF160)+AF161)+AF162)+AF163)+AF164)+AF167)+AF168)+AF171)+AF170)+AF172)+AF173)+AF174)+AF175)+AF176)-AF184)</f>
        <v>0</v>
      </c>
      <c r="AG185" s="9" t="n">
        <f aca="false">((((((((((((((((AG158+AG159)+AG160)+AG161)+AG162)+AG163)+AG164)+AG167)+AG168)+AG171)+AG170)+AG172)+AG173)+AG174)+AG175)+AG176)-AG184)</f>
        <v>0</v>
      </c>
      <c r="AH185" s="9" t="n">
        <f aca="false">((((((((((((((((AH158+AH159)+AH160)+AH161)+AH162)+AH163)+AH164)+AH167)+AH168)+AH171)+AH170)+AH172)+AH173)+AH174)+AH175)+AH176)-AH184)</f>
        <v>0</v>
      </c>
      <c r="AI185" s="9" t="n">
        <f aca="false">((((((((((((((((AI158+AI159)+AI160)+AI161)+AI162)+AI163)+AI164)+AI167)+AI168)+AI171)+AI170)+AI172)+AI173)+AI174)+AI175)+AI176)-AI184)</f>
        <v>0</v>
      </c>
      <c r="AJ185" s="9" t="n">
        <f aca="false">((((((((((((((((AJ158+AJ159)+AJ160)+AJ161)+AJ162)+AJ163)+AJ164)+AJ167)+AJ168)+AJ171)+AJ170)+AJ172)+AJ173)+AJ174)+AJ175)+AJ176)-AJ184)</f>
        <v>0</v>
      </c>
      <c r="AK185" s="9" t="n">
        <f aca="false">((((((((((((((((AK158+AK159)+AK160)+AK161)+AK162)+AK163)+AK164)+AK167)+AK168)+AK171)+AK170)+AK172)+AK173)+AK174)+AK175)+AK176)-AK184)</f>
        <v>0</v>
      </c>
      <c r="AL185" s="9" t="n">
        <f aca="false">((((((((((((((((AL158+AL159)+AL160)+AL161)+AL162)+AL163)+AL164)+AL167)+AL168)+AL171)+AL170)+AL172)+AL173)+AL174)+AL175)+AL176)-AL184)</f>
        <v>0</v>
      </c>
      <c r="AN185" s="11" t="n">
        <f aca="false">SUM(C185:N185)</f>
        <v>0</v>
      </c>
      <c r="AO185" s="11" t="n">
        <f aca="false">SUM(O185:Z185)</f>
        <v>0</v>
      </c>
      <c r="AP185" s="11" t="n">
        <f aca="false">SUM(AA185:AL185)</f>
        <v>0</v>
      </c>
    </row>
    <row r="186" customFormat="false" ht="15" hidden="false" customHeight="false" outlineLevel="0" collapsed="false">
      <c r="A186" s="0" t="s">
        <v>988</v>
      </c>
      <c r="B186" s="0" t="s">
        <v>230</v>
      </c>
      <c r="C186" s="9" t="n">
        <f aca="false">(C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40.26497904</v>
      </c>
      <c r="D186" s="9" t="n">
        <f aca="false">(D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71.547770448</v>
      </c>
      <c r="E186" s="9" t="n">
        <f aca="false">(E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94.283235997632</v>
      </c>
      <c r="F186" s="9" t="n">
        <f aca="false">(F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112.480776463334</v>
      </c>
      <c r="G186" s="9" t="n">
        <f aca="false">(G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122.444748672142</v>
      </c>
      <c r="H186" s="9" t="n">
        <f aca="false">(H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128.475849921045</v>
      </c>
      <c r="I186" s="9" t="n">
        <f aca="false">(I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143.813863027426</v>
      </c>
      <c r="J186" s="9" t="n">
        <f aca="false">(J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201.07144975607</v>
      </c>
      <c r="K186" s="9" t="n">
        <f aca="false">(K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265.802311758474</v>
      </c>
      <c r="L186" s="9" t="n">
        <f aca="false">(L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291.467202316719</v>
      </c>
      <c r="M186" s="9" t="n">
        <f aca="false">(M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306.412369168418</v>
      </c>
      <c r="N186" s="9" t="n">
        <f aca="false">(N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310.800166532921</v>
      </c>
      <c r="O186" s="9" t="n">
        <f aca="false">(O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728.509993134143</v>
      </c>
      <c r="P186" s="9" t="n">
        <f aca="false">(P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1057.10289301983</v>
      </c>
      <c r="Q186" s="9" t="n">
        <f aca="false">(Q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1303.88987398139</v>
      </c>
      <c r="R186" s="9" t="n">
        <f aca="false">(R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1502.57940655244</v>
      </c>
      <c r="S186" s="9" t="n">
        <f aca="false">(S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1628.60548532653</v>
      </c>
      <c r="T186" s="9" t="n">
        <f aca="false">(T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1716.36535337371</v>
      </c>
      <c r="U186" s="9" t="n">
        <f aca="false">(U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1861.26752782034</v>
      </c>
      <c r="V186" s="9" t="n">
        <f aca="false">(V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2286.83682894753</v>
      </c>
      <c r="W186" s="9" t="n">
        <f aca="false">(W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2748.03427689581</v>
      </c>
      <c r="X186" s="9" t="n">
        <f aca="false">(X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2933.37565204974</v>
      </c>
      <c r="Y186" s="9" t="n">
        <f aca="false">(Y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3039.01198355727</v>
      </c>
      <c r="Z186" s="9" t="n">
        <f aca="false">(Z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3069.48710545876</v>
      </c>
      <c r="AA186" s="9" t="n">
        <f aca="false">(AA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3426.17652156526</v>
      </c>
      <c r="AB186" s="9" t="n">
        <f aca="false">(AB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3672.77321997388</v>
      </c>
      <c r="AC186" s="9" t="n">
        <f aca="false">(AC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3819.06609632027</v>
      </c>
      <c r="AD186" s="9" t="n">
        <f aca="false">(AD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3915.07203026944</v>
      </c>
      <c r="AE186" s="9" t="n">
        <f aca="false">(AE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3922.47417180863</v>
      </c>
      <c r="AF186" s="9" t="n">
        <f aca="false">(AF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3891.69666990036</v>
      </c>
      <c r="AG186" s="9" t="n">
        <f aca="false">(AG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3959.6494293927</v>
      </c>
      <c r="AH186" s="9" t="n">
        <f aca="false">(AH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4440.04208483691</v>
      </c>
      <c r="AI186" s="9" t="n">
        <f aca="false">(AI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4974.22668158467</v>
      </c>
      <c r="AJ186" s="9" t="n">
        <f aca="false">(AJ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5127.00149899404</v>
      </c>
      <c r="AK186" s="9" t="n">
        <f aca="false">(AK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5175.58272533411</v>
      </c>
      <c r="AL186" s="9" t="n">
        <f aca="false">(AL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5128.07285030273</v>
      </c>
      <c r="AN186" s="11" t="n">
        <f aca="false">SUM(C186:N186)</f>
        <v>2088.86472310218</v>
      </c>
      <c r="AO186" s="11" t="n">
        <f aca="false">SUM(O186:Z186)</f>
        <v>23875.0663801175</v>
      </c>
      <c r="AP186" s="11" t="n">
        <f aca="false">SUM(AA186:AL186)</f>
        <v>51451.833980283</v>
      </c>
    </row>
    <row r="187" customFormat="false" ht="15" hidden="false" customHeight="false" outlineLevel="0" collapsed="false">
      <c r="A187" s="0" t="s">
        <v>989</v>
      </c>
      <c r="B187" s="0" t="s">
        <v>230</v>
      </c>
      <c r="C187" s="9" t="n">
        <f aca="false">((C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C175)</f>
        <v>0</v>
      </c>
      <c r="D187" s="9" t="n">
        <f aca="false">((D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D175)</f>
        <v>0</v>
      </c>
      <c r="E187" s="9" t="n">
        <f aca="false">((E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E175)</f>
        <v>0</v>
      </c>
      <c r="F187" s="9" t="n">
        <f aca="false">((F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F175)</f>
        <v>0</v>
      </c>
      <c r="G187" s="9" t="n">
        <f aca="false">((G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G175)</f>
        <v>0</v>
      </c>
      <c r="H187" s="9" t="n">
        <f aca="false">((H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H175)</f>
        <v>0</v>
      </c>
      <c r="I187" s="9" t="n">
        <f aca="false">((I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I175)</f>
        <v>0</v>
      </c>
      <c r="J187" s="9" t="n">
        <f aca="false">((J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J175)</f>
        <v>0</v>
      </c>
      <c r="K187" s="9" t="n">
        <f aca="false">((K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K175)</f>
        <v>0</v>
      </c>
      <c r="L187" s="9" t="n">
        <f aca="false">((L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L175)</f>
        <v>0</v>
      </c>
      <c r="M187" s="9" t="n">
        <f aca="false">((M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M175)</f>
        <v>0</v>
      </c>
      <c r="N187" s="9" t="n">
        <f aca="false">((N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N175)</f>
        <v>0</v>
      </c>
      <c r="O187" s="9" t="n">
        <f aca="false">((O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O175)</f>
        <v>5.66201135548522</v>
      </c>
      <c r="P187" s="9" t="n">
        <f aca="false">((P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P175)</f>
        <v>15.6403899885876</v>
      </c>
      <c r="Q187" s="9" t="n">
        <f aca="false">((Q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Q175)</f>
        <v>27.0790295106771</v>
      </c>
      <c r="R187" s="9" t="n">
        <f aca="false">((R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R175)</f>
        <v>39.3040432618535</v>
      </c>
      <c r="S187" s="9" t="n">
        <f aca="false">((S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S175)</f>
        <v>52.2147666843681</v>
      </c>
      <c r="T187" s="9" t="n">
        <f aca="false">((T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T175)</f>
        <v>64.9377945937381</v>
      </c>
      <c r="U187" s="9" t="n">
        <f aca="false">((U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U175)</f>
        <v>77.5058079512593</v>
      </c>
      <c r="V187" s="9" t="n">
        <f aca="false">((V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V175)</f>
        <v>91.3509579010554</v>
      </c>
      <c r="W187" s="9" t="n">
        <f aca="false">((W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W175)</f>
        <v>110.979686977619</v>
      </c>
      <c r="X187" s="9" t="n">
        <f aca="false">((X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X175)</f>
        <v>134.047662282426</v>
      </c>
      <c r="Y187" s="9" t="n">
        <f aca="false">((Y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Y175)</f>
        <v>155.043637555209</v>
      </c>
      <c r="Z187" s="9" t="n">
        <f aca="false">((Z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Z175)</f>
        <v>175.325606301843</v>
      </c>
      <c r="AA187" s="9" t="n">
        <f aca="false">((AA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A175)</f>
        <v>195.311458326621</v>
      </c>
      <c r="AB187" s="9" t="n">
        <f aca="false">((AB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B175)</f>
        <v>220.685713758901</v>
      </c>
      <c r="AC187" s="9" t="n">
        <f aca="false">((AC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C175)</f>
        <v>245.264190264955</v>
      </c>
      <c r="AD187" s="9" t="n">
        <f aca="false">((AD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D175)</f>
        <v>268.459350178592</v>
      </c>
      <c r="AE187" s="9" t="n">
        <f aca="false">((AE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E175)</f>
        <v>290.602396968222</v>
      </c>
      <c r="AF187" s="9" t="n">
        <f aca="false">((AF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F175)</f>
        <v>310.603748978241</v>
      </c>
      <c r="AG187" s="9" t="n">
        <f aca="false">((AG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G175)</f>
        <v>328.93100030189</v>
      </c>
      <c r="AH187" s="9" t="n">
        <f aca="false">((AH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H175)</f>
        <v>348.179392878654</v>
      </c>
      <c r="AI187" s="9" t="n">
        <f aca="false">((AI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I175)</f>
        <v>375.480355690654</v>
      </c>
      <c r="AJ187" s="9" t="n">
        <f aca="false">((AJ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J175)</f>
        <v>406.312952123767</v>
      </c>
      <c r="AK187" s="9" t="n">
        <f aca="false">((AK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K175)</f>
        <v>432.031844769742</v>
      </c>
      <c r="AL187" s="9" t="n">
        <f aca="false">((AL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L175)</f>
        <v>455.646398369331</v>
      </c>
      <c r="AN187" s="11" t="n">
        <f aca="false">SUM(C187:N187)</f>
        <v>0</v>
      </c>
      <c r="AO187" s="11" t="n">
        <f aca="false">SUM(O187:Z187)</f>
        <v>949.091394364122</v>
      </c>
      <c r="AP187" s="11" t="n">
        <f aca="false">SUM(AA187:AL187)</f>
        <v>3877.50880260957</v>
      </c>
    </row>
    <row r="188" customFormat="false" ht="15" hidden="false" customHeight="false" outlineLevel="0" collapsed="false">
      <c r="A188" s="0" t="s">
        <v>990</v>
      </c>
      <c r="B188" s="0" t="s">
        <v>500</v>
      </c>
      <c r="C188" s="9" t="n">
        <f aca="false">0</f>
        <v>0</v>
      </c>
      <c r="D188" s="9" t="n">
        <f aca="false">C39</f>
        <v>0</v>
      </c>
      <c r="E188" s="9" t="n">
        <f aca="false">D39</f>
        <v>0</v>
      </c>
      <c r="F188" s="9" t="n">
        <f aca="false">E39</f>
        <v>0</v>
      </c>
      <c r="G188" s="9" t="n">
        <f aca="false">F39</f>
        <v>0</v>
      </c>
      <c r="H188" s="9" t="n">
        <f aca="false">G39</f>
        <v>0</v>
      </c>
      <c r="I188" s="9" t="n">
        <f aca="false">H39</f>
        <v>0</v>
      </c>
      <c r="J188" s="9" t="n">
        <f aca="false">I39</f>
        <v>0</v>
      </c>
      <c r="K188" s="9" t="n">
        <f aca="false">J39</f>
        <v>0</v>
      </c>
      <c r="L188" s="9" t="n">
        <f aca="false">K39</f>
        <v>0</v>
      </c>
      <c r="M188" s="9" t="n">
        <f aca="false">L39</f>
        <v>0</v>
      </c>
      <c r="N188" s="9" t="n">
        <f aca="false">M39</f>
        <v>0</v>
      </c>
      <c r="O188" s="9" t="n">
        <f aca="false">N39</f>
        <v>0</v>
      </c>
      <c r="P188" s="9" t="n">
        <f aca="false">O39</f>
        <v>2.16745888966553</v>
      </c>
      <c r="Q188" s="9" t="n">
        <f aca="false">P39</f>
        <v>7.17343709381086</v>
      </c>
      <c r="R188" s="9" t="n">
        <f aca="false">Q39</f>
        <v>14.3009721825947</v>
      </c>
      <c r="S188" s="9" t="n">
        <f aca="false">R39</f>
        <v>22.9114181679053</v>
      </c>
      <c r="T188" s="9" t="n">
        <f aca="false">S39</f>
        <v>32.6250753776987</v>
      </c>
      <c r="U188" s="9" t="n">
        <f aca="false">T39</f>
        <v>42.9052231601861</v>
      </c>
      <c r="V188" s="9" t="n">
        <f aca="false">U39</f>
        <v>53.4743133961039</v>
      </c>
      <c r="W188" s="9" t="n">
        <f aca="false">V39</f>
        <v>64.7299993864639</v>
      </c>
      <c r="X188" s="9" t="n">
        <f aca="false">W39</f>
        <v>78.6151067760535</v>
      </c>
      <c r="Y188" s="9" t="n">
        <f aca="false">X39</f>
        <v>95.2972307679115</v>
      </c>
      <c r="Z188" s="9" t="n">
        <f aca="false">Y39</f>
        <v>112.768250564453</v>
      </c>
      <c r="AA188" s="9" t="n">
        <f aca="false">Z39</f>
        <v>130.459365489341</v>
      </c>
      <c r="AB188" s="9" t="n">
        <f aca="false">AA39</f>
        <v>147.304741474178</v>
      </c>
      <c r="AC188" s="9" t="n">
        <f aca="false">AB39</f>
        <v>165.415157025918</v>
      </c>
      <c r="AD188" s="9" t="n">
        <f aca="false">AC39</f>
        <v>184.124970863685</v>
      </c>
      <c r="AE188" s="9" t="n">
        <f aca="false">AD39</f>
        <v>202.853743080559</v>
      </c>
      <c r="AF188" s="9" t="n">
        <f aca="false">AE39</f>
        <v>221.335967476743</v>
      </c>
      <c r="AG188" s="9" t="n">
        <f aca="false">AF39</f>
        <v>239.094326134968</v>
      </c>
      <c r="AH188" s="9" t="n">
        <f aca="false">AG39</f>
        <v>255.962900240075</v>
      </c>
      <c r="AI188" s="9" t="n">
        <f aca="false">AH39</f>
        <v>272.569237556194</v>
      </c>
      <c r="AJ188" s="9" t="n">
        <f aca="false">AI39</f>
        <v>291.307897672336</v>
      </c>
      <c r="AK188" s="9" t="n">
        <f aca="false">AJ39</f>
        <v>312.405123661209</v>
      </c>
      <c r="AL188" s="9" t="n">
        <f aca="false">AK39</f>
        <v>333.594473113382</v>
      </c>
      <c r="AN188" s="11" t="n">
        <f aca="false">SUM(C188:N188)</f>
        <v>0</v>
      </c>
      <c r="AO188" s="11" t="n">
        <f aca="false">SUM(O188:Z188)</f>
        <v>526.968485762847</v>
      </c>
      <c r="AP188" s="11" t="n">
        <f aca="false">SUM(AA188:AL188)</f>
        <v>2756.42790378859</v>
      </c>
    </row>
    <row r="189" customFormat="false" ht="15" hidden="false" customHeight="false" outlineLevel="0" collapsed="false">
      <c r="A189" s="21" t="s">
        <v>31</v>
      </c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</row>
    <row r="190" customFormat="false" ht="15" hidden="false" customHeight="false" outlineLevel="0" collapsed="false">
      <c r="A190" s="0" t="s">
        <v>991</v>
      </c>
      <c r="B190" s="0" t="s">
        <v>230</v>
      </c>
      <c r="C190" s="9" t="n">
        <f aca="false">SUMPRODUCT((Headcount!$C$5:$C$90="ENG")*Headcount!$D$5:$D$90*Headcount!$F$5:$F$90*((Headcount!$I$5:$I$90=0)+(Headcount!$I$5:$I$90=1)*$C$16)*(C$18&gt;=(Headcount!$E$5:$E$90+Headcount!$G$5:$G$90*$C$15)))/12*(1+Assumptions!$C$97)</f>
        <v>41683.3333333333</v>
      </c>
      <c r="D190" s="9" t="n">
        <f aca="false">SUMPRODUCT((Headcount!$C$5:$C$90="ENG")*Headcount!$D$5:$D$90*Headcount!$F$5:$F$90*((Headcount!$I$5:$I$90=0)+(Headcount!$I$5:$I$90=1)*$C$16)*(D$18&gt;=(Headcount!$E$5:$E$90+Headcount!$G$5:$G$90*$C$15)))/12*(1+Assumptions!$C$97)</f>
        <v>41683.3333333333</v>
      </c>
      <c r="E190" s="9" t="n">
        <f aca="false">SUMPRODUCT((Headcount!$C$5:$C$90="ENG")*Headcount!$D$5:$D$90*Headcount!$F$5:$F$90*((Headcount!$I$5:$I$90=0)+(Headcount!$I$5:$I$90=1)*$C$16)*(E$18&gt;=(Headcount!$E$5:$E$90+Headcount!$G$5:$G$90*$C$15)))/12*(1+Assumptions!$C$97)</f>
        <v>41683.3333333333</v>
      </c>
      <c r="F190" s="9" t="n">
        <f aca="false">SUMPRODUCT((Headcount!$C$5:$C$90="ENG")*Headcount!$D$5:$D$90*Headcount!$F$5:$F$90*((Headcount!$I$5:$I$90=0)+(Headcount!$I$5:$I$90=1)*$C$16)*(F$18&gt;=(Headcount!$E$5:$E$90+Headcount!$G$5:$G$90*$C$15)))/12*(1+Assumptions!$C$97)</f>
        <v>41683.3333333333</v>
      </c>
      <c r="G190" s="9" t="n">
        <f aca="false">SUMPRODUCT((Headcount!$C$5:$C$90="ENG")*Headcount!$D$5:$D$90*Headcount!$F$5:$F$90*((Headcount!$I$5:$I$90=0)+(Headcount!$I$5:$I$90=1)*$C$16)*(G$18&gt;=(Headcount!$E$5:$E$90+Headcount!$G$5:$G$90*$C$15)))/12*(1+Assumptions!$C$97)</f>
        <v>57950</v>
      </c>
      <c r="H190" s="9" t="n">
        <f aca="false">SUMPRODUCT((Headcount!$C$5:$C$90="ENG")*Headcount!$D$5:$D$90*Headcount!$F$5:$F$90*((Headcount!$I$5:$I$90=0)+(Headcount!$I$5:$I$90=1)*$C$16)*(H$18&gt;=(Headcount!$E$5:$E$90+Headcount!$G$5:$G$90*$C$15)))/12*(1+Assumptions!$C$97)</f>
        <v>73200</v>
      </c>
      <c r="I190" s="9" t="n">
        <f aca="false">SUMPRODUCT((Headcount!$C$5:$C$90="ENG")*Headcount!$D$5:$D$90*Headcount!$F$5:$F$90*((Headcount!$I$5:$I$90=0)+(Headcount!$I$5:$I$90=1)*$C$16)*(I$18&gt;=(Headcount!$E$5:$E$90+Headcount!$G$5:$G$90*$C$15)))/12*(1+Assumptions!$C$97)</f>
        <v>73200</v>
      </c>
      <c r="J190" s="9" t="n">
        <f aca="false">SUMPRODUCT((Headcount!$C$5:$C$90="ENG")*Headcount!$D$5:$D$90*Headcount!$F$5:$F$90*((Headcount!$I$5:$I$90=0)+(Headcount!$I$5:$I$90=1)*$C$16)*(J$18&gt;=(Headcount!$E$5:$E$90+Headcount!$G$5:$G$90*$C$15)))/12*(1+Assumptions!$C$97)</f>
        <v>73200</v>
      </c>
      <c r="K190" s="9" t="n">
        <f aca="false">SUMPRODUCT((Headcount!$C$5:$C$90="ENG")*Headcount!$D$5:$D$90*Headcount!$F$5:$F$90*((Headcount!$I$5:$I$90=0)+(Headcount!$I$5:$I$90=1)*$C$16)*(K$18&gt;=(Headcount!$E$5:$E$90+Headcount!$G$5:$G$90*$C$15)))/12*(1+Assumptions!$C$97)</f>
        <v>87941.6666666667</v>
      </c>
      <c r="L190" s="9" t="n">
        <f aca="false">SUMPRODUCT((Headcount!$C$5:$C$90="ENG")*Headcount!$D$5:$D$90*Headcount!$F$5:$F$90*((Headcount!$I$5:$I$90=0)+(Headcount!$I$5:$I$90=1)*$C$16)*(L$18&gt;=(Headcount!$E$5:$E$90+Headcount!$G$5:$G$90*$C$15)))/12*(1+Assumptions!$C$97)</f>
        <v>87941.6666666667</v>
      </c>
      <c r="M190" s="9" t="n">
        <f aca="false">SUMPRODUCT((Headcount!$C$5:$C$90="ENG")*Headcount!$D$5:$D$90*Headcount!$F$5:$F$90*((Headcount!$I$5:$I$90=0)+(Headcount!$I$5:$I$90=1)*$C$16)*(M$18&gt;=(Headcount!$E$5:$E$90+Headcount!$G$5:$G$90*$C$15)))/12*(1+Assumptions!$C$97)</f>
        <v>87941.6666666667</v>
      </c>
      <c r="N190" s="9" t="n">
        <f aca="false">SUMPRODUCT((Headcount!$C$5:$C$90="ENG")*Headcount!$D$5:$D$90*Headcount!$F$5:$F$90*((Headcount!$I$5:$I$90=0)+(Headcount!$I$5:$I$90=1)*$C$16)*(N$18&gt;=(Headcount!$E$5:$E$90+Headcount!$G$5:$G$90*$C$15)))/12*(1+Assumptions!$C$97)</f>
        <v>87941.6666666667</v>
      </c>
      <c r="O190" s="9" t="n">
        <f aca="false">SUMPRODUCT((Headcount!$C$5:$C$90="ENG")*Headcount!$D$5:$D$90*Headcount!$F$5:$F$90*((Headcount!$I$5:$I$90=0)+(Headcount!$I$5:$I$90=1)*$C$16)*(O$18&gt;=(Headcount!$E$5:$E$90+Headcount!$G$5:$G$90*$C$15)))/12*(1+Assumptions!$C$97)</f>
        <v>103191.666666667</v>
      </c>
      <c r="P190" s="9" t="n">
        <f aca="false">SUMPRODUCT((Headcount!$C$5:$C$90="ENG")*Headcount!$D$5:$D$90*Headcount!$F$5:$F$90*((Headcount!$I$5:$I$90=0)+(Headcount!$I$5:$I$90=1)*$C$16)*(P$18&gt;=(Headcount!$E$5:$E$90+Headcount!$G$5:$G$90*$C$15)))/12*(1+Assumptions!$C$97)</f>
        <v>118441.666666667</v>
      </c>
      <c r="Q190" s="9" t="n">
        <f aca="false">SUMPRODUCT((Headcount!$C$5:$C$90="ENG")*Headcount!$D$5:$D$90*Headcount!$F$5:$F$90*((Headcount!$I$5:$I$90=0)+(Headcount!$I$5:$I$90=1)*$C$16)*(Q$18&gt;=(Headcount!$E$5:$E$90+Headcount!$G$5:$G$90*$C$15)))/12*(1+Assumptions!$C$97)</f>
        <v>118441.666666667</v>
      </c>
      <c r="R190" s="9" t="n">
        <f aca="false">SUMPRODUCT((Headcount!$C$5:$C$90="ENG")*Headcount!$D$5:$D$90*Headcount!$F$5:$F$90*((Headcount!$I$5:$I$90=0)+(Headcount!$I$5:$I$90=1)*$C$16)*(R$18&gt;=(Headcount!$E$5:$E$90+Headcount!$G$5:$G$90*$C$15)))/12*(1+Assumptions!$C$97)</f>
        <v>118441.666666667</v>
      </c>
      <c r="S190" s="9" t="n">
        <f aca="false">SUMPRODUCT((Headcount!$C$5:$C$90="ENG")*Headcount!$D$5:$D$90*Headcount!$F$5:$F$90*((Headcount!$I$5:$I$90=0)+(Headcount!$I$5:$I$90=1)*$C$16)*(S$18&gt;=(Headcount!$E$5:$E$90+Headcount!$G$5:$G$90*$C$15)))/12*(1+Assumptions!$C$97)</f>
        <v>118441.666666667</v>
      </c>
      <c r="T190" s="9" t="n">
        <f aca="false">SUMPRODUCT((Headcount!$C$5:$C$90="ENG")*Headcount!$D$5:$D$90*Headcount!$F$5:$F$90*((Headcount!$I$5:$I$90=0)+(Headcount!$I$5:$I$90=1)*$C$16)*(T$18&gt;=(Headcount!$E$5:$E$90+Headcount!$G$5:$G$90*$C$15)))/12*(1+Assumptions!$C$97)</f>
        <v>118441.666666667</v>
      </c>
      <c r="U190" s="9" t="n">
        <f aca="false">SUMPRODUCT((Headcount!$C$5:$C$90="ENG")*Headcount!$D$5:$D$90*Headcount!$F$5:$F$90*((Headcount!$I$5:$I$90=0)+(Headcount!$I$5:$I$90=1)*$C$16)*(U$18&gt;=(Headcount!$E$5:$E$90+Headcount!$G$5:$G$90*$C$15)))/12*(1+Assumptions!$C$97)</f>
        <v>118441.666666667</v>
      </c>
      <c r="V190" s="9" t="n">
        <f aca="false">SUMPRODUCT((Headcount!$C$5:$C$90="ENG")*Headcount!$D$5:$D$90*Headcount!$F$5:$F$90*((Headcount!$I$5:$I$90=0)+(Headcount!$I$5:$I$90=1)*$C$16)*(V$18&gt;=(Headcount!$E$5:$E$90+Headcount!$G$5:$G$90*$C$15)))/12*(1+Assumptions!$C$97)</f>
        <v>129625</v>
      </c>
      <c r="W190" s="9" t="n">
        <f aca="false">SUMPRODUCT((Headcount!$C$5:$C$90="ENG")*Headcount!$D$5:$D$90*Headcount!$F$5:$F$90*((Headcount!$I$5:$I$90=0)+(Headcount!$I$5:$I$90=1)*$C$16)*(W$18&gt;=(Headcount!$E$5:$E$90+Headcount!$G$5:$G$90*$C$15)))/12*(1+Assumptions!$C$97)</f>
        <v>129625</v>
      </c>
      <c r="X190" s="9" t="n">
        <f aca="false">SUMPRODUCT((Headcount!$C$5:$C$90="ENG")*Headcount!$D$5:$D$90*Headcount!$F$5:$F$90*((Headcount!$I$5:$I$90=0)+(Headcount!$I$5:$I$90=1)*$C$16)*(X$18&gt;=(Headcount!$E$5:$E$90+Headcount!$G$5:$G$90*$C$15)))/12*(1+Assumptions!$C$97)</f>
        <v>129625</v>
      </c>
      <c r="Y190" s="9" t="n">
        <f aca="false">SUMPRODUCT((Headcount!$C$5:$C$90="ENG")*Headcount!$D$5:$D$90*Headcount!$F$5:$F$90*((Headcount!$I$5:$I$90=0)+(Headcount!$I$5:$I$90=1)*$C$16)*(Y$18&gt;=(Headcount!$E$5:$E$90+Headcount!$G$5:$G$90*$C$15)))/12*(1+Assumptions!$C$97)</f>
        <v>129625</v>
      </c>
      <c r="Z190" s="9" t="n">
        <f aca="false">SUMPRODUCT((Headcount!$C$5:$C$90="ENG")*Headcount!$D$5:$D$90*Headcount!$F$5:$F$90*((Headcount!$I$5:$I$90=0)+(Headcount!$I$5:$I$90=1)*$C$16)*(Z$18&gt;=(Headcount!$E$5:$E$90+Headcount!$G$5:$G$90*$C$15)))/12*(1+Assumptions!$C$97)</f>
        <v>129625</v>
      </c>
      <c r="AA190" s="9" t="n">
        <f aca="false">SUMPRODUCT((Headcount!$C$5:$C$90="ENG")*Headcount!$D$5:$D$90*Headcount!$F$5:$F$90*((Headcount!$I$5:$I$90=0)+(Headcount!$I$5:$I$90=1)*$C$16)*(AA$18&gt;=(Headcount!$E$5:$E$90+Headcount!$G$5:$G$90*$C$15)))/12*(1+Assumptions!$C$97)</f>
        <v>129625</v>
      </c>
      <c r="AB190" s="9" t="n">
        <f aca="false">SUMPRODUCT((Headcount!$C$5:$C$90="ENG")*Headcount!$D$5:$D$90*Headcount!$F$5:$F$90*((Headcount!$I$5:$I$90=0)+(Headcount!$I$5:$I$90=1)*$C$16)*(AB$18&gt;=(Headcount!$E$5:$E$90+Headcount!$G$5:$G$90*$C$15)))/12*(1+Assumptions!$C$97)</f>
        <v>144875</v>
      </c>
      <c r="AC190" s="9" t="n">
        <f aca="false">SUMPRODUCT((Headcount!$C$5:$C$90="ENG")*Headcount!$D$5:$D$90*Headcount!$F$5:$F$90*((Headcount!$I$5:$I$90=0)+(Headcount!$I$5:$I$90=1)*$C$16)*(AC$18&gt;=(Headcount!$E$5:$E$90+Headcount!$G$5:$G$90*$C$15)))/12*(1+Assumptions!$C$97)</f>
        <v>144875</v>
      </c>
      <c r="AD190" s="9" t="n">
        <f aca="false">SUMPRODUCT((Headcount!$C$5:$C$90="ENG")*Headcount!$D$5:$D$90*Headcount!$F$5:$F$90*((Headcount!$I$5:$I$90=0)+(Headcount!$I$5:$I$90=1)*$C$16)*(AD$18&gt;=(Headcount!$E$5:$E$90+Headcount!$G$5:$G$90*$C$15)))/12*(1+Assumptions!$C$97)</f>
        <v>144875</v>
      </c>
      <c r="AE190" s="9" t="n">
        <f aca="false">SUMPRODUCT((Headcount!$C$5:$C$90="ENG")*Headcount!$D$5:$D$90*Headcount!$F$5:$F$90*((Headcount!$I$5:$I$90=0)+(Headcount!$I$5:$I$90=1)*$C$16)*(AE$18&gt;=(Headcount!$E$5:$E$90+Headcount!$G$5:$G$90*$C$15)))/12*(1+Assumptions!$C$97)</f>
        <v>144875</v>
      </c>
      <c r="AF190" s="9" t="n">
        <f aca="false">SUMPRODUCT((Headcount!$C$5:$C$90="ENG")*Headcount!$D$5:$D$90*Headcount!$F$5:$F$90*((Headcount!$I$5:$I$90=0)+(Headcount!$I$5:$I$90=1)*$C$16)*(AF$18&gt;=(Headcount!$E$5:$E$90+Headcount!$G$5:$G$90*$C$15)))/12*(1+Assumptions!$C$97)</f>
        <v>144875</v>
      </c>
      <c r="AG190" s="9" t="n">
        <f aca="false">SUMPRODUCT((Headcount!$C$5:$C$90="ENG")*Headcount!$D$5:$D$90*Headcount!$F$5:$F$90*((Headcount!$I$5:$I$90=0)+(Headcount!$I$5:$I$90=1)*$C$16)*(AG$18&gt;=(Headcount!$E$5:$E$90+Headcount!$G$5:$G$90*$C$15)))/12*(1+Assumptions!$C$97)</f>
        <v>144875</v>
      </c>
      <c r="AH190" s="9" t="n">
        <f aca="false">SUMPRODUCT((Headcount!$C$5:$C$90="ENG")*Headcount!$D$5:$D$90*Headcount!$F$5:$F$90*((Headcount!$I$5:$I$90=0)+(Headcount!$I$5:$I$90=1)*$C$16)*(AH$18&gt;=(Headcount!$E$5:$E$90+Headcount!$G$5:$G$90*$C$15)))/12*(1+Assumptions!$C$97)</f>
        <v>144875</v>
      </c>
      <c r="AI190" s="9" t="n">
        <f aca="false">SUMPRODUCT((Headcount!$C$5:$C$90="ENG")*Headcount!$D$5:$D$90*Headcount!$F$5:$F$90*((Headcount!$I$5:$I$90=0)+(Headcount!$I$5:$I$90=1)*$C$16)*(AI$18&gt;=(Headcount!$E$5:$E$90+Headcount!$G$5:$G$90*$C$15)))/12*(1+Assumptions!$C$97)</f>
        <v>144875</v>
      </c>
      <c r="AJ190" s="9" t="n">
        <f aca="false">SUMPRODUCT((Headcount!$C$5:$C$90="ENG")*Headcount!$D$5:$D$90*Headcount!$F$5:$F$90*((Headcount!$I$5:$I$90=0)+(Headcount!$I$5:$I$90=1)*$C$16)*(AJ$18&gt;=(Headcount!$E$5:$E$90+Headcount!$G$5:$G$90*$C$15)))/12*(1+Assumptions!$C$97)</f>
        <v>144875</v>
      </c>
      <c r="AK190" s="9" t="n">
        <f aca="false">SUMPRODUCT((Headcount!$C$5:$C$90="ENG")*Headcount!$D$5:$D$90*Headcount!$F$5:$F$90*((Headcount!$I$5:$I$90=0)+(Headcount!$I$5:$I$90=1)*$C$16)*(AK$18&gt;=(Headcount!$E$5:$E$90+Headcount!$G$5:$G$90*$C$15)))/12*(1+Assumptions!$C$97)</f>
        <v>144875</v>
      </c>
      <c r="AL190" s="9" t="n">
        <f aca="false">SUMPRODUCT((Headcount!$C$5:$C$90="ENG")*Headcount!$D$5:$D$90*Headcount!$F$5:$F$90*((Headcount!$I$5:$I$90=0)+(Headcount!$I$5:$I$90=1)*$C$16)*(AL$18&gt;=(Headcount!$E$5:$E$90+Headcount!$G$5:$G$90*$C$15)))/12*(1+Assumptions!$C$97)</f>
        <v>144875</v>
      </c>
      <c r="AN190" s="11" t="n">
        <f aca="false">SUM(C190:N190)</f>
        <v>796050</v>
      </c>
      <c r="AO190" s="11" t="n">
        <f aca="false">SUM(O190:Z190)</f>
        <v>1461966.66666667</v>
      </c>
      <c r="AP190" s="11" t="n">
        <f aca="false">SUM(AA190:AL190)</f>
        <v>1723250</v>
      </c>
    </row>
    <row r="191" customFormat="false" ht="15" hidden="false" customHeight="false" outlineLevel="0" collapsed="false">
      <c r="A191" s="0" t="s">
        <v>992</v>
      </c>
      <c r="B191" s="0" t="s">
        <v>230</v>
      </c>
      <c r="C191" s="9" t="n">
        <f aca="false">SUMPRODUCT((Headcount!$C$5:$C$90="PROD")*Headcount!$D$5:$D$90*Headcount!$F$5:$F$90*((Headcount!$I$5:$I$90=0)+(Headcount!$I$5:$I$90=1)*$C$16)*(C$18&gt;=(Headcount!$E$5:$E$90+Headcount!$G$5:$G$90*$C$15)))/12*(1+Assumptions!$C$97)</f>
        <v>0</v>
      </c>
      <c r="D191" s="9" t="n">
        <f aca="false">SUMPRODUCT((Headcount!$C$5:$C$90="PROD")*Headcount!$D$5:$D$90*Headcount!$F$5:$F$90*((Headcount!$I$5:$I$90=0)+(Headcount!$I$5:$I$90=1)*$C$16)*(D$18&gt;=(Headcount!$E$5:$E$90+Headcount!$G$5:$G$90*$C$15)))/12*(1+Assumptions!$C$97)</f>
        <v>0</v>
      </c>
      <c r="E191" s="9" t="n">
        <f aca="false">SUMPRODUCT((Headcount!$C$5:$C$90="PROD")*Headcount!$D$5:$D$90*Headcount!$F$5:$F$90*((Headcount!$I$5:$I$90=0)+(Headcount!$I$5:$I$90=1)*$C$16)*(E$18&gt;=(Headcount!$E$5:$E$90+Headcount!$G$5:$G$90*$C$15)))/12*(1+Assumptions!$C$97)</f>
        <v>13216.6666666667</v>
      </c>
      <c r="F191" s="9" t="n">
        <f aca="false">SUMPRODUCT((Headcount!$C$5:$C$90="PROD")*Headcount!$D$5:$D$90*Headcount!$F$5:$F$90*((Headcount!$I$5:$I$90=0)+(Headcount!$I$5:$I$90=1)*$C$16)*(F$18&gt;=(Headcount!$E$5:$E$90+Headcount!$G$5:$G$90*$C$15)))/12*(1+Assumptions!$C$97)</f>
        <v>27450</v>
      </c>
      <c r="G191" s="9" t="n">
        <f aca="false">SUMPRODUCT((Headcount!$C$5:$C$90="PROD")*Headcount!$D$5:$D$90*Headcount!$F$5:$F$90*((Headcount!$I$5:$I$90=0)+(Headcount!$I$5:$I$90=1)*$C$16)*(G$18&gt;=(Headcount!$E$5:$E$90+Headcount!$G$5:$G$90*$C$15)))/12*(1+Assumptions!$C$97)</f>
        <v>27450</v>
      </c>
      <c r="H191" s="9" t="n">
        <f aca="false">SUMPRODUCT((Headcount!$C$5:$C$90="PROD")*Headcount!$D$5:$D$90*Headcount!$F$5:$F$90*((Headcount!$I$5:$I$90=0)+(Headcount!$I$5:$I$90=1)*$C$16)*(H$18&gt;=(Headcount!$E$5:$E$90+Headcount!$G$5:$G$90*$C$15)))/12*(1+Assumptions!$C$97)</f>
        <v>27450</v>
      </c>
      <c r="I191" s="9" t="n">
        <f aca="false">SUMPRODUCT((Headcount!$C$5:$C$90="PROD")*Headcount!$D$5:$D$90*Headcount!$F$5:$F$90*((Headcount!$I$5:$I$90=0)+(Headcount!$I$5:$I$90=1)*$C$16)*(I$18&gt;=(Headcount!$E$5:$E$90+Headcount!$G$5:$G$90*$C$15)))/12*(1+Assumptions!$C$97)</f>
        <v>27450</v>
      </c>
      <c r="J191" s="9" t="n">
        <f aca="false">SUMPRODUCT((Headcount!$C$5:$C$90="PROD")*Headcount!$D$5:$D$90*Headcount!$F$5:$F$90*((Headcount!$I$5:$I$90=0)+(Headcount!$I$5:$I$90=1)*$C$16)*(J$18&gt;=(Headcount!$E$5:$E$90+Headcount!$G$5:$G$90*$C$15)))/12*(1+Assumptions!$C$97)</f>
        <v>27450</v>
      </c>
      <c r="K191" s="9" t="n">
        <f aca="false">SUMPRODUCT((Headcount!$C$5:$C$90="PROD")*Headcount!$D$5:$D$90*Headcount!$F$5:$F$90*((Headcount!$I$5:$I$90=0)+(Headcount!$I$5:$I$90=1)*$C$16)*(K$18&gt;=(Headcount!$E$5:$E$90+Headcount!$G$5:$G$90*$C$15)))/12*(1+Assumptions!$C$97)</f>
        <v>27450</v>
      </c>
      <c r="L191" s="9" t="n">
        <f aca="false">SUMPRODUCT((Headcount!$C$5:$C$90="PROD")*Headcount!$D$5:$D$90*Headcount!$F$5:$F$90*((Headcount!$I$5:$I$90=0)+(Headcount!$I$5:$I$90=1)*$C$16)*(L$18&gt;=(Headcount!$E$5:$E$90+Headcount!$G$5:$G$90*$C$15)))/12*(1+Assumptions!$C$97)</f>
        <v>39141.6666666667</v>
      </c>
      <c r="M191" s="9" t="n">
        <f aca="false">SUMPRODUCT((Headcount!$C$5:$C$90="PROD")*Headcount!$D$5:$D$90*Headcount!$F$5:$F$90*((Headcount!$I$5:$I$90=0)+(Headcount!$I$5:$I$90=1)*$C$16)*(M$18&gt;=(Headcount!$E$5:$E$90+Headcount!$G$5:$G$90*$C$15)))/12*(1+Assumptions!$C$97)</f>
        <v>39141.6666666667</v>
      </c>
      <c r="N191" s="9" t="n">
        <f aca="false">SUMPRODUCT((Headcount!$C$5:$C$90="PROD")*Headcount!$D$5:$D$90*Headcount!$F$5:$F$90*((Headcount!$I$5:$I$90=0)+(Headcount!$I$5:$I$90=1)*$C$16)*(N$18&gt;=(Headcount!$E$5:$E$90+Headcount!$G$5:$G$90*$C$15)))/12*(1+Assumptions!$C$97)</f>
        <v>39141.6666666667</v>
      </c>
      <c r="O191" s="9" t="n">
        <f aca="false">SUMPRODUCT((Headcount!$C$5:$C$90="PROD")*Headcount!$D$5:$D$90*Headcount!$F$5:$F$90*((Headcount!$I$5:$I$90=0)+(Headcount!$I$5:$I$90=1)*$C$16)*(O$18&gt;=(Headcount!$E$5:$E$90+Headcount!$G$5:$G$90*$C$15)))/12*(1+Assumptions!$C$97)</f>
        <v>39141.6666666667</v>
      </c>
      <c r="P191" s="9" t="n">
        <f aca="false">SUMPRODUCT((Headcount!$C$5:$C$90="PROD")*Headcount!$D$5:$D$90*Headcount!$F$5:$F$90*((Headcount!$I$5:$I$90=0)+(Headcount!$I$5:$I$90=1)*$C$16)*(P$18&gt;=(Headcount!$E$5:$E$90+Headcount!$G$5:$G$90*$C$15)))/12*(1+Assumptions!$C$97)</f>
        <v>39141.6666666667</v>
      </c>
      <c r="Q191" s="9" t="n">
        <f aca="false">SUMPRODUCT((Headcount!$C$5:$C$90="PROD")*Headcount!$D$5:$D$90*Headcount!$F$5:$F$90*((Headcount!$I$5:$I$90=0)+(Headcount!$I$5:$I$90=1)*$C$16)*(Q$18&gt;=(Headcount!$E$5:$E$90+Headcount!$G$5:$G$90*$C$15)))/12*(1+Assumptions!$C$97)</f>
        <v>39141.6666666667</v>
      </c>
      <c r="R191" s="9" t="n">
        <f aca="false">SUMPRODUCT((Headcount!$C$5:$C$90="PROD")*Headcount!$D$5:$D$90*Headcount!$F$5:$F$90*((Headcount!$I$5:$I$90=0)+(Headcount!$I$5:$I$90=1)*$C$16)*(R$18&gt;=(Headcount!$E$5:$E$90+Headcount!$G$5:$G$90*$C$15)))/12*(1+Assumptions!$C$97)</f>
        <v>39141.6666666667</v>
      </c>
      <c r="S191" s="9" t="n">
        <f aca="false">SUMPRODUCT((Headcount!$C$5:$C$90="PROD")*Headcount!$D$5:$D$90*Headcount!$F$5:$F$90*((Headcount!$I$5:$I$90=0)+(Headcount!$I$5:$I$90=1)*$C$16)*(S$18&gt;=(Headcount!$E$5:$E$90+Headcount!$G$5:$G$90*$C$15)))/12*(1+Assumptions!$C$97)</f>
        <v>39141.6666666667</v>
      </c>
      <c r="T191" s="9" t="n">
        <f aca="false">SUMPRODUCT((Headcount!$C$5:$C$90="PROD")*Headcount!$D$5:$D$90*Headcount!$F$5:$F$90*((Headcount!$I$5:$I$90=0)+(Headcount!$I$5:$I$90=1)*$C$16)*(T$18&gt;=(Headcount!$E$5:$E$90+Headcount!$G$5:$G$90*$C$15)))/12*(1+Assumptions!$C$97)</f>
        <v>39141.6666666667</v>
      </c>
      <c r="U191" s="9" t="n">
        <f aca="false">SUMPRODUCT((Headcount!$C$5:$C$90="PROD")*Headcount!$D$5:$D$90*Headcount!$F$5:$F$90*((Headcount!$I$5:$I$90=0)+(Headcount!$I$5:$I$90=1)*$C$16)*(U$18&gt;=(Headcount!$E$5:$E$90+Headcount!$G$5:$G$90*$C$15)))/12*(1+Assumptions!$C$97)</f>
        <v>39141.6666666667</v>
      </c>
      <c r="V191" s="9" t="n">
        <f aca="false">SUMPRODUCT((Headcount!$C$5:$C$90="PROD")*Headcount!$D$5:$D$90*Headcount!$F$5:$F$90*((Headcount!$I$5:$I$90=0)+(Headcount!$I$5:$I$90=1)*$C$16)*(V$18&gt;=(Headcount!$E$5:$E$90+Headcount!$G$5:$G$90*$C$15)))/12*(1+Assumptions!$C$97)</f>
        <v>39141.6666666667</v>
      </c>
      <c r="W191" s="9" t="n">
        <f aca="false">SUMPRODUCT((Headcount!$C$5:$C$90="PROD")*Headcount!$D$5:$D$90*Headcount!$F$5:$F$90*((Headcount!$I$5:$I$90=0)+(Headcount!$I$5:$I$90=1)*$C$16)*(W$18&gt;=(Headcount!$E$5:$E$90+Headcount!$G$5:$G$90*$C$15)))/12*(1+Assumptions!$C$97)</f>
        <v>39141.6666666667</v>
      </c>
      <c r="X191" s="9" t="n">
        <f aca="false">SUMPRODUCT((Headcount!$C$5:$C$90="PROD")*Headcount!$D$5:$D$90*Headcount!$F$5:$F$90*((Headcount!$I$5:$I$90=0)+(Headcount!$I$5:$I$90=1)*$C$16)*(X$18&gt;=(Headcount!$E$5:$E$90+Headcount!$G$5:$G$90*$C$15)))/12*(1+Assumptions!$C$97)</f>
        <v>39141.6666666667</v>
      </c>
      <c r="Y191" s="9" t="n">
        <f aca="false">SUMPRODUCT((Headcount!$C$5:$C$90="PROD")*Headcount!$D$5:$D$90*Headcount!$F$5:$F$90*((Headcount!$I$5:$I$90=0)+(Headcount!$I$5:$I$90=1)*$C$16)*(Y$18&gt;=(Headcount!$E$5:$E$90+Headcount!$G$5:$G$90*$C$15)))/12*(1+Assumptions!$C$97)</f>
        <v>39141.6666666667</v>
      </c>
      <c r="Z191" s="9" t="n">
        <f aca="false">SUMPRODUCT((Headcount!$C$5:$C$90="PROD")*Headcount!$D$5:$D$90*Headcount!$F$5:$F$90*((Headcount!$I$5:$I$90=0)+(Headcount!$I$5:$I$90=1)*$C$16)*(Z$18&gt;=(Headcount!$E$5:$E$90+Headcount!$G$5:$G$90*$C$15)))/12*(1+Assumptions!$C$97)</f>
        <v>39141.6666666667</v>
      </c>
      <c r="AA191" s="9" t="n">
        <f aca="false">SUMPRODUCT((Headcount!$C$5:$C$90="PROD")*Headcount!$D$5:$D$90*Headcount!$F$5:$F$90*((Headcount!$I$5:$I$90=0)+(Headcount!$I$5:$I$90=1)*$C$16)*(AA$18&gt;=(Headcount!$E$5:$E$90+Headcount!$G$5:$G$90*$C$15)))/12*(1+Assumptions!$C$97)</f>
        <v>39141.6666666667</v>
      </c>
      <c r="AB191" s="9" t="n">
        <f aca="false">SUMPRODUCT((Headcount!$C$5:$C$90="PROD")*Headcount!$D$5:$D$90*Headcount!$F$5:$F$90*((Headcount!$I$5:$I$90=0)+(Headcount!$I$5:$I$90=1)*$C$16)*(AB$18&gt;=(Headcount!$E$5:$E$90+Headcount!$G$5:$G$90*$C$15)))/12*(1+Assumptions!$C$97)</f>
        <v>39141.6666666667</v>
      </c>
      <c r="AC191" s="9" t="n">
        <f aca="false">SUMPRODUCT((Headcount!$C$5:$C$90="PROD")*Headcount!$D$5:$D$90*Headcount!$F$5:$F$90*((Headcount!$I$5:$I$90=0)+(Headcount!$I$5:$I$90=1)*$C$16)*(AC$18&gt;=(Headcount!$E$5:$E$90+Headcount!$G$5:$G$90*$C$15)))/12*(1+Assumptions!$C$97)</f>
        <v>39141.6666666667</v>
      </c>
      <c r="AD191" s="9" t="n">
        <f aca="false">SUMPRODUCT((Headcount!$C$5:$C$90="PROD")*Headcount!$D$5:$D$90*Headcount!$F$5:$F$90*((Headcount!$I$5:$I$90=0)+(Headcount!$I$5:$I$90=1)*$C$16)*(AD$18&gt;=(Headcount!$E$5:$E$90+Headcount!$G$5:$G$90*$C$15)))/12*(1+Assumptions!$C$97)</f>
        <v>39141.6666666667</v>
      </c>
      <c r="AE191" s="9" t="n">
        <f aca="false">SUMPRODUCT((Headcount!$C$5:$C$90="PROD")*Headcount!$D$5:$D$90*Headcount!$F$5:$F$90*((Headcount!$I$5:$I$90=0)+(Headcount!$I$5:$I$90=1)*$C$16)*(AE$18&gt;=(Headcount!$E$5:$E$90+Headcount!$G$5:$G$90*$C$15)))/12*(1+Assumptions!$C$97)</f>
        <v>39141.6666666667</v>
      </c>
      <c r="AF191" s="9" t="n">
        <f aca="false">SUMPRODUCT((Headcount!$C$5:$C$90="PROD")*Headcount!$D$5:$D$90*Headcount!$F$5:$F$90*((Headcount!$I$5:$I$90=0)+(Headcount!$I$5:$I$90=1)*$C$16)*(AF$18&gt;=(Headcount!$E$5:$E$90+Headcount!$G$5:$G$90*$C$15)))/12*(1+Assumptions!$C$97)</f>
        <v>39141.6666666667</v>
      </c>
      <c r="AG191" s="9" t="n">
        <f aca="false">SUMPRODUCT((Headcount!$C$5:$C$90="PROD")*Headcount!$D$5:$D$90*Headcount!$F$5:$F$90*((Headcount!$I$5:$I$90=0)+(Headcount!$I$5:$I$90=1)*$C$16)*(AG$18&gt;=(Headcount!$E$5:$E$90+Headcount!$G$5:$G$90*$C$15)))/12*(1+Assumptions!$C$97)</f>
        <v>39141.6666666667</v>
      </c>
      <c r="AH191" s="9" t="n">
        <f aca="false">SUMPRODUCT((Headcount!$C$5:$C$90="PROD")*Headcount!$D$5:$D$90*Headcount!$F$5:$F$90*((Headcount!$I$5:$I$90=0)+(Headcount!$I$5:$I$90=1)*$C$16)*(AH$18&gt;=(Headcount!$E$5:$E$90+Headcount!$G$5:$G$90*$C$15)))/12*(1+Assumptions!$C$97)</f>
        <v>39141.6666666667</v>
      </c>
      <c r="AI191" s="9" t="n">
        <f aca="false">SUMPRODUCT((Headcount!$C$5:$C$90="PROD")*Headcount!$D$5:$D$90*Headcount!$F$5:$F$90*((Headcount!$I$5:$I$90=0)+(Headcount!$I$5:$I$90=1)*$C$16)*(AI$18&gt;=(Headcount!$E$5:$E$90+Headcount!$G$5:$G$90*$C$15)))/12*(1+Assumptions!$C$97)</f>
        <v>39141.6666666667</v>
      </c>
      <c r="AJ191" s="9" t="n">
        <f aca="false">SUMPRODUCT((Headcount!$C$5:$C$90="PROD")*Headcount!$D$5:$D$90*Headcount!$F$5:$F$90*((Headcount!$I$5:$I$90=0)+(Headcount!$I$5:$I$90=1)*$C$16)*(AJ$18&gt;=(Headcount!$E$5:$E$90+Headcount!$G$5:$G$90*$C$15)))/12*(1+Assumptions!$C$97)</f>
        <v>39141.6666666667</v>
      </c>
      <c r="AK191" s="9" t="n">
        <f aca="false">SUMPRODUCT((Headcount!$C$5:$C$90="PROD")*Headcount!$D$5:$D$90*Headcount!$F$5:$F$90*((Headcount!$I$5:$I$90=0)+(Headcount!$I$5:$I$90=1)*$C$16)*(AK$18&gt;=(Headcount!$E$5:$E$90+Headcount!$G$5:$G$90*$C$15)))/12*(1+Assumptions!$C$97)</f>
        <v>39141.6666666667</v>
      </c>
      <c r="AL191" s="9" t="n">
        <f aca="false">SUMPRODUCT((Headcount!$C$5:$C$90="PROD")*Headcount!$D$5:$D$90*Headcount!$F$5:$F$90*((Headcount!$I$5:$I$90=0)+(Headcount!$I$5:$I$90=1)*$C$16)*(AL$18&gt;=(Headcount!$E$5:$E$90+Headcount!$G$5:$G$90*$C$15)))/12*(1+Assumptions!$C$97)</f>
        <v>39141.6666666667</v>
      </c>
      <c r="AN191" s="11" t="n">
        <f aca="false">SUM(C191:N191)</f>
        <v>295341.666666667</v>
      </c>
      <c r="AO191" s="11" t="n">
        <f aca="false">SUM(O191:Z191)</f>
        <v>469700</v>
      </c>
      <c r="AP191" s="11" t="n">
        <f aca="false">SUM(AA191:AL191)</f>
        <v>469700</v>
      </c>
    </row>
    <row r="192" customFormat="false" ht="15" hidden="false" customHeight="false" outlineLevel="0" collapsed="false">
      <c r="A192" s="0" t="s">
        <v>993</v>
      </c>
      <c r="B192" s="0" t="s">
        <v>230</v>
      </c>
      <c r="C192" s="9" t="n">
        <f aca="false">SUMPRODUCT((Headcount!$C$5:$C$90="SEC")*Headcount!$D$5:$D$90*Headcount!$F$5:$F$90*((Headcount!$I$5:$I$90=0)+(Headcount!$I$5:$I$90=1)*$C$16)*(C$18&gt;=(Headcount!$E$5:$E$90+Headcount!$G$5:$G$90*$C$15)))/12*(1+Assumptions!$C$97)</f>
        <v>0</v>
      </c>
      <c r="D192" s="9" t="n">
        <f aca="false">SUMPRODUCT((Headcount!$C$5:$C$90="SEC")*Headcount!$D$5:$D$90*Headcount!$F$5:$F$90*((Headcount!$I$5:$I$90=0)+(Headcount!$I$5:$I$90=1)*$C$16)*(D$18&gt;=(Headcount!$E$5:$E$90+Headcount!$G$5:$G$90*$C$15)))/12*(1+Assumptions!$C$97)</f>
        <v>0</v>
      </c>
      <c r="E192" s="9" t="n">
        <f aca="false">SUMPRODUCT((Headcount!$C$5:$C$90="SEC")*Headcount!$D$5:$D$90*Headcount!$F$5:$F$90*((Headcount!$I$5:$I$90=0)+(Headcount!$I$5:$I$90=1)*$C$16)*(E$18&gt;=(Headcount!$E$5:$E$90+Headcount!$G$5:$G$90*$C$15)))/12*(1+Assumptions!$C$97)</f>
        <v>0</v>
      </c>
      <c r="F192" s="9" t="n">
        <f aca="false">SUMPRODUCT((Headcount!$C$5:$C$90="SEC")*Headcount!$D$5:$D$90*Headcount!$F$5:$F$90*((Headcount!$I$5:$I$90=0)+(Headcount!$I$5:$I$90=1)*$C$16)*(F$18&gt;=(Headcount!$E$5:$E$90+Headcount!$G$5:$G$90*$C$15)))/12*(1+Assumptions!$C$97)</f>
        <v>0</v>
      </c>
      <c r="G192" s="9" t="n">
        <f aca="false">SUMPRODUCT((Headcount!$C$5:$C$90="SEC")*Headcount!$D$5:$D$90*Headcount!$F$5:$F$90*((Headcount!$I$5:$I$90=0)+(Headcount!$I$5:$I$90=1)*$C$16)*(G$18&gt;=(Headcount!$E$5:$E$90+Headcount!$G$5:$G$90*$C$15)))/12*(1+Assumptions!$C$97)</f>
        <v>0</v>
      </c>
      <c r="H192" s="9" t="n">
        <f aca="false">SUMPRODUCT((Headcount!$C$5:$C$90="SEC")*Headcount!$D$5:$D$90*Headcount!$F$5:$F$90*((Headcount!$I$5:$I$90=0)+(Headcount!$I$5:$I$90=1)*$C$16)*(H$18&gt;=(Headcount!$E$5:$E$90+Headcount!$G$5:$G$90*$C$15)))/12*(1+Assumptions!$C$97)</f>
        <v>0</v>
      </c>
      <c r="I192" s="9" t="n">
        <f aca="false">SUMPRODUCT((Headcount!$C$5:$C$90="SEC")*Headcount!$D$5:$D$90*Headcount!$F$5:$F$90*((Headcount!$I$5:$I$90=0)+(Headcount!$I$5:$I$90=1)*$C$16)*(I$18&gt;=(Headcount!$E$5:$E$90+Headcount!$G$5:$G$90*$C$15)))/12*(1+Assumptions!$C$97)</f>
        <v>15250</v>
      </c>
      <c r="J192" s="9" t="n">
        <f aca="false">SUMPRODUCT((Headcount!$C$5:$C$90="SEC")*Headcount!$D$5:$D$90*Headcount!$F$5:$F$90*((Headcount!$I$5:$I$90=0)+(Headcount!$I$5:$I$90=1)*$C$16)*(J$18&gt;=(Headcount!$E$5:$E$90+Headcount!$G$5:$G$90*$C$15)))/12*(1+Assumptions!$C$97)</f>
        <v>15250</v>
      </c>
      <c r="K192" s="9" t="n">
        <f aca="false">SUMPRODUCT((Headcount!$C$5:$C$90="SEC")*Headcount!$D$5:$D$90*Headcount!$F$5:$F$90*((Headcount!$I$5:$I$90=0)+(Headcount!$I$5:$I$90=1)*$C$16)*(K$18&gt;=(Headcount!$E$5:$E$90+Headcount!$G$5:$G$90*$C$15)))/12*(1+Assumptions!$C$97)</f>
        <v>15250</v>
      </c>
      <c r="L192" s="9" t="n">
        <f aca="false">SUMPRODUCT((Headcount!$C$5:$C$90="SEC")*Headcount!$D$5:$D$90*Headcount!$F$5:$F$90*((Headcount!$I$5:$I$90=0)+(Headcount!$I$5:$I$90=1)*$C$16)*(L$18&gt;=(Headcount!$E$5:$E$90+Headcount!$G$5:$G$90*$C$15)))/12*(1+Assumptions!$C$97)</f>
        <v>15250</v>
      </c>
      <c r="M192" s="9" t="n">
        <f aca="false">SUMPRODUCT((Headcount!$C$5:$C$90="SEC")*Headcount!$D$5:$D$90*Headcount!$F$5:$F$90*((Headcount!$I$5:$I$90=0)+(Headcount!$I$5:$I$90=1)*$C$16)*(M$18&gt;=(Headcount!$E$5:$E$90+Headcount!$G$5:$G$90*$C$15)))/12*(1+Assumptions!$C$97)</f>
        <v>15250</v>
      </c>
      <c r="N192" s="9" t="n">
        <f aca="false">SUMPRODUCT((Headcount!$C$5:$C$90="SEC")*Headcount!$D$5:$D$90*Headcount!$F$5:$F$90*((Headcount!$I$5:$I$90=0)+(Headcount!$I$5:$I$90=1)*$C$16)*(N$18&gt;=(Headcount!$E$5:$E$90+Headcount!$G$5:$G$90*$C$15)))/12*(1+Assumptions!$C$97)</f>
        <v>15250</v>
      </c>
      <c r="O192" s="9" t="n">
        <f aca="false">SUMPRODUCT((Headcount!$C$5:$C$90="SEC")*Headcount!$D$5:$D$90*Headcount!$F$5:$F$90*((Headcount!$I$5:$I$90=0)+(Headcount!$I$5:$I$90=1)*$C$16)*(O$18&gt;=(Headcount!$E$5:$E$90+Headcount!$G$5:$G$90*$C$15)))/12*(1+Assumptions!$C$97)</f>
        <v>15250</v>
      </c>
      <c r="P192" s="9" t="n">
        <f aca="false">SUMPRODUCT((Headcount!$C$5:$C$90="SEC")*Headcount!$D$5:$D$90*Headcount!$F$5:$F$90*((Headcount!$I$5:$I$90=0)+(Headcount!$I$5:$I$90=1)*$C$16)*(P$18&gt;=(Headcount!$E$5:$E$90+Headcount!$G$5:$G$90*$C$15)))/12*(1+Assumptions!$C$97)</f>
        <v>15250</v>
      </c>
      <c r="Q192" s="9" t="n">
        <f aca="false">SUMPRODUCT((Headcount!$C$5:$C$90="SEC")*Headcount!$D$5:$D$90*Headcount!$F$5:$F$90*((Headcount!$I$5:$I$90=0)+(Headcount!$I$5:$I$90=1)*$C$16)*(Q$18&gt;=(Headcount!$E$5:$E$90+Headcount!$G$5:$G$90*$C$15)))/12*(1+Assumptions!$C$97)</f>
        <v>15250</v>
      </c>
      <c r="R192" s="9" t="n">
        <f aca="false">SUMPRODUCT((Headcount!$C$5:$C$90="SEC")*Headcount!$D$5:$D$90*Headcount!$F$5:$F$90*((Headcount!$I$5:$I$90=0)+(Headcount!$I$5:$I$90=1)*$C$16)*(R$18&gt;=(Headcount!$E$5:$E$90+Headcount!$G$5:$G$90*$C$15)))/12*(1+Assumptions!$C$97)</f>
        <v>15250</v>
      </c>
      <c r="S192" s="9" t="n">
        <f aca="false">SUMPRODUCT((Headcount!$C$5:$C$90="SEC")*Headcount!$D$5:$D$90*Headcount!$F$5:$F$90*((Headcount!$I$5:$I$90=0)+(Headcount!$I$5:$I$90=1)*$C$16)*(S$18&gt;=(Headcount!$E$5:$E$90+Headcount!$G$5:$G$90*$C$15)))/12*(1+Assumptions!$C$97)</f>
        <v>15250</v>
      </c>
      <c r="T192" s="9" t="n">
        <f aca="false">SUMPRODUCT((Headcount!$C$5:$C$90="SEC")*Headcount!$D$5:$D$90*Headcount!$F$5:$F$90*((Headcount!$I$5:$I$90=0)+(Headcount!$I$5:$I$90=1)*$C$16)*(T$18&gt;=(Headcount!$E$5:$E$90+Headcount!$G$5:$G$90*$C$15)))/12*(1+Assumptions!$C$97)</f>
        <v>15250</v>
      </c>
      <c r="U192" s="9" t="n">
        <f aca="false">SUMPRODUCT((Headcount!$C$5:$C$90="SEC")*Headcount!$D$5:$D$90*Headcount!$F$5:$F$90*((Headcount!$I$5:$I$90=0)+(Headcount!$I$5:$I$90=1)*$C$16)*(U$18&gt;=(Headcount!$E$5:$E$90+Headcount!$G$5:$G$90*$C$15)))/12*(1+Assumptions!$C$97)</f>
        <v>15250</v>
      </c>
      <c r="V192" s="9" t="n">
        <f aca="false">SUMPRODUCT((Headcount!$C$5:$C$90="SEC")*Headcount!$D$5:$D$90*Headcount!$F$5:$F$90*((Headcount!$I$5:$I$90=0)+(Headcount!$I$5:$I$90=1)*$C$16)*(V$18&gt;=(Headcount!$E$5:$E$90+Headcount!$G$5:$G$90*$C$15)))/12*(1+Assumptions!$C$97)</f>
        <v>15250</v>
      </c>
      <c r="W192" s="9" t="n">
        <f aca="false">SUMPRODUCT((Headcount!$C$5:$C$90="SEC")*Headcount!$D$5:$D$90*Headcount!$F$5:$F$90*((Headcount!$I$5:$I$90=0)+(Headcount!$I$5:$I$90=1)*$C$16)*(W$18&gt;=(Headcount!$E$5:$E$90+Headcount!$G$5:$G$90*$C$15)))/12*(1+Assumptions!$C$97)</f>
        <v>15250</v>
      </c>
      <c r="X192" s="9" t="n">
        <f aca="false">SUMPRODUCT((Headcount!$C$5:$C$90="SEC")*Headcount!$D$5:$D$90*Headcount!$F$5:$F$90*((Headcount!$I$5:$I$90=0)+(Headcount!$I$5:$I$90=1)*$C$16)*(X$18&gt;=(Headcount!$E$5:$E$90+Headcount!$G$5:$G$90*$C$15)))/12*(1+Assumptions!$C$97)</f>
        <v>15250</v>
      </c>
      <c r="Y192" s="9" t="n">
        <f aca="false">SUMPRODUCT((Headcount!$C$5:$C$90="SEC")*Headcount!$D$5:$D$90*Headcount!$F$5:$F$90*((Headcount!$I$5:$I$90=0)+(Headcount!$I$5:$I$90=1)*$C$16)*(Y$18&gt;=(Headcount!$E$5:$E$90+Headcount!$G$5:$G$90*$C$15)))/12*(1+Assumptions!$C$97)</f>
        <v>15250</v>
      </c>
      <c r="Z192" s="9" t="n">
        <f aca="false">SUMPRODUCT((Headcount!$C$5:$C$90="SEC")*Headcount!$D$5:$D$90*Headcount!$F$5:$F$90*((Headcount!$I$5:$I$90=0)+(Headcount!$I$5:$I$90=1)*$C$16)*(Z$18&gt;=(Headcount!$E$5:$E$90+Headcount!$G$5:$G$90*$C$15)))/12*(1+Assumptions!$C$97)</f>
        <v>15250</v>
      </c>
      <c r="AA192" s="9" t="n">
        <f aca="false">SUMPRODUCT((Headcount!$C$5:$C$90="SEC")*Headcount!$D$5:$D$90*Headcount!$F$5:$F$90*((Headcount!$I$5:$I$90=0)+(Headcount!$I$5:$I$90=1)*$C$16)*(AA$18&gt;=(Headcount!$E$5:$E$90+Headcount!$G$5:$G$90*$C$15)))/12*(1+Assumptions!$C$97)</f>
        <v>15250</v>
      </c>
      <c r="AB192" s="9" t="n">
        <f aca="false">SUMPRODUCT((Headcount!$C$5:$C$90="SEC")*Headcount!$D$5:$D$90*Headcount!$F$5:$F$90*((Headcount!$I$5:$I$90=0)+(Headcount!$I$5:$I$90=1)*$C$16)*(AB$18&gt;=(Headcount!$E$5:$E$90+Headcount!$G$5:$G$90*$C$15)))/12*(1+Assumptions!$C$97)</f>
        <v>15250</v>
      </c>
      <c r="AC192" s="9" t="n">
        <f aca="false">SUMPRODUCT((Headcount!$C$5:$C$90="SEC")*Headcount!$D$5:$D$90*Headcount!$F$5:$F$90*((Headcount!$I$5:$I$90=0)+(Headcount!$I$5:$I$90=1)*$C$16)*(AC$18&gt;=(Headcount!$E$5:$E$90+Headcount!$G$5:$G$90*$C$15)))/12*(1+Assumptions!$C$97)</f>
        <v>15250</v>
      </c>
      <c r="AD192" s="9" t="n">
        <f aca="false">SUMPRODUCT((Headcount!$C$5:$C$90="SEC")*Headcount!$D$5:$D$90*Headcount!$F$5:$F$90*((Headcount!$I$5:$I$90=0)+(Headcount!$I$5:$I$90=1)*$C$16)*(AD$18&gt;=(Headcount!$E$5:$E$90+Headcount!$G$5:$G$90*$C$15)))/12*(1+Assumptions!$C$97)</f>
        <v>15250</v>
      </c>
      <c r="AE192" s="9" t="n">
        <f aca="false">SUMPRODUCT((Headcount!$C$5:$C$90="SEC")*Headcount!$D$5:$D$90*Headcount!$F$5:$F$90*((Headcount!$I$5:$I$90=0)+(Headcount!$I$5:$I$90=1)*$C$16)*(AE$18&gt;=(Headcount!$E$5:$E$90+Headcount!$G$5:$G$90*$C$15)))/12*(1+Assumptions!$C$97)</f>
        <v>15250</v>
      </c>
      <c r="AF192" s="9" t="n">
        <f aca="false">SUMPRODUCT((Headcount!$C$5:$C$90="SEC")*Headcount!$D$5:$D$90*Headcount!$F$5:$F$90*((Headcount!$I$5:$I$90=0)+(Headcount!$I$5:$I$90=1)*$C$16)*(AF$18&gt;=(Headcount!$E$5:$E$90+Headcount!$G$5:$G$90*$C$15)))/12*(1+Assumptions!$C$97)</f>
        <v>15250</v>
      </c>
      <c r="AG192" s="9" t="n">
        <f aca="false">SUMPRODUCT((Headcount!$C$5:$C$90="SEC")*Headcount!$D$5:$D$90*Headcount!$F$5:$F$90*((Headcount!$I$5:$I$90=0)+(Headcount!$I$5:$I$90=1)*$C$16)*(AG$18&gt;=(Headcount!$E$5:$E$90+Headcount!$G$5:$G$90*$C$15)))/12*(1+Assumptions!$C$97)</f>
        <v>15250</v>
      </c>
      <c r="AH192" s="9" t="n">
        <f aca="false">SUMPRODUCT((Headcount!$C$5:$C$90="SEC")*Headcount!$D$5:$D$90*Headcount!$F$5:$F$90*((Headcount!$I$5:$I$90=0)+(Headcount!$I$5:$I$90=1)*$C$16)*(AH$18&gt;=(Headcount!$E$5:$E$90+Headcount!$G$5:$G$90*$C$15)))/12*(1+Assumptions!$C$97)</f>
        <v>15250</v>
      </c>
      <c r="AI192" s="9" t="n">
        <f aca="false">SUMPRODUCT((Headcount!$C$5:$C$90="SEC")*Headcount!$D$5:$D$90*Headcount!$F$5:$F$90*((Headcount!$I$5:$I$90=0)+(Headcount!$I$5:$I$90=1)*$C$16)*(AI$18&gt;=(Headcount!$E$5:$E$90+Headcount!$G$5:$G$90*$C$15)))/12*(1+Assumptions!$C$97)</f>
        <v>15250</v>
      </c>
      <c r="AJ192" s="9" t="n">
        <f aca="false">SUMPRODUCT((Headcount!$C$5:$C$90="SEC")*Headcount!$D$5:$D$90*Headcount!$F$5:$F$90*((Headcount!$I$5:$I$90=0)+(Headcount!$I$5:$I$90=1)*$C$16)*(AJ$18&gt;=(Headcount!$E$5:$E$90+Headcount!$G$5:$G$90*$C$15)))/12*(1+Assumptions!$C$97)</f>
        <v>15250</v>
      </c>
      <c r="AK192" s="9" t="n">
        <f aca="false">SUMPRODUCT((Headcount!$C$5:$C$90="SEC")*Headcount!$D$5:$D$90*Headcount!$F$5:$F$90*((Headcount!$I$5:$I$90=0)+(Headcount!$I$5:$I$90=1)*$C$16)*(AK$18&gt;=(Headcount!$E$5:$E$90+Headcount!$G$5:$G$90*$C$15)))/12*(1+Assumptions!$C$97)</f>
        <v>15250</v>
      </c>
      <c r="AL192" s="9" t="n">
        <f aca="false">SUMPRODUCT((Headcount!$C$5:$C$90="SEC")*Headcount!$D$5:$D$90*Headcount!$F$5:$F$90*((Headcount!$I$5:$I$90=0)+(Headcount!$I$5:$I$90=1)*$C$16)*(AL$18&gt;=(Headcount!$E$5:$E$90+Headcount!$G$5:$G$90*$C$15)))/12*(1+Assumptions!$C$97)</f>
        <v>15250</v>
      </c>
      <c r="AN192" s="11" t="n">
        <f aca="false">SUM(C192:N192)</f>
        <v>91500</v>
      </c>
      <c r="AO192" s="11" t="n">
        <f aca="false">SUM(O192:Z192)</f>
        <v>183000</v>
      </c>
      <c r="AP192" s="11" t="n">
        <f aca="false">SUM(AA192:AL192)</f>
        <v>183000</v>
      </c>
    </row>
    <row r="193" customFormat="false" ht="15" hidden="false" customHeight="false" outlineLevel="0" collapsed="false">
      <c r="A193" s="0" t="s">
        <v>994</v>
      </c>
      <c r="B193" s="0" t="s">
        <v>230</v>
      </c>
      <c r="C193" s="9" t="n">
        <f aca="false">SUMPRODUCT((Headcount!$C$5:$C$90="SALES")*Headcount!$D$5:$D$90*Headcount!$F$5:$F$90*((Headcount!$I$5:$I$90=0)+(Headcount!$I$5:$I$90=1)*$C$16)*(C$18&gt;=(Headcount!$E$5:$E$90+Headcount!$G$5:$G$90*$C$15)))/12*(1+Assumptions!$C$97)</f>
        <v>0</v>
      </c>
      <c r="D193" s="9" t="n">
        <f aca="false">SUMPRODUCT((Headcount!$C$5:$C$90="SALES")*Headcount!$D$5:$D$90*Headcount!$F$5:$F$90*((Headcount!$I$5:$I$90=0)+(Headcount!$I$5:$I$90=1)*$C$16)*(D$18&gt;=(Headcount!$E$5:$E$90+Headcount!$G$5:$G$90*$C$15)))/12*(1+Assumptions!$C$97)</f>
        <v>0</v>
      </c>
      <c r="E193" s="9" t="n">
        <f aca="false">SUMPRODUCT((Headcount!$C$5:$C$90="SALES")*Headcount!$D$5:$D$90*Headcount!$F$5:$F$90*((Headcount!$I$5:$I$90=0)+(Headcount!$I$5:$I$90=1)*$C$16)*(E$18&gt;=(Headcount!$E$5:$E$90+Headcount!$G$5:$G$90*$C$15)))/12*(1+Assumptions!$C$97)</f>
        <v>0</v>
      </c>
      <c r="F193" s="9" t="n">
        <f aca="false">SUMPRODUCT((Headcount!$C$5:$C$90="SALES")*Headcount!$D$5:$D$90*Headcount!$F$5:$F$90*((Headcount!$I$5:$I$90=0)+(Headcount!$I$5:$I$90=1)*$C$16)*(F$18&gt;=(Headcount!$E$5:$E$90+Headcount!$G$5:$G$90*$C$15)))/12*(1+Assumptions!$C$97)</f>
        <v>0</v>
      </c>
      <c r="G193" s="9" t="n">
        <f aca="false">SUMPRODUCT((Headcount!$C$5:$C$90="SALES")*Headcount!$D$5:$D$90*Headcount!$F$5:$F$90*((Headcount!$I$5:$I$90=0)+(Headcount!$I$5:$I$90=1)*$C$16)*(G$18&gt;=(Headcount!$E$5:$E$90+Headcount!$G$5:$G$90*$C$15)))/12*(1+Assumptions!$C$97)</f>
        <v>0</v>
      </c>
      <c r="H193" s="9" t="n">
        <f aca="false">SUMPRODUCT((Headcount!$C$5:$C$90="SALES")*Headcount!$D$5:$D$90*Headcount!$F$5:$F$90*((Headcount!$I$5:$I$90=0)+(Headcount!$I$5:$I$90=1)*$C$16)*(H$18&gt;=(Headcount!$E$5:$E$90+Headcount!$G$5:$G$90*$C$15)))/12*(1+Assumptions!$C$97)</f>
        <v>0</v>
      </c>
      <c r="I193" s="9" t="n">
        <f aca="false">SUMPRODUCT((Headcount!$C$5:$C$90="SALES")*Headcount!$D$5:$D$90*Headcount!$F$5:$F$90*((Headcount!$I$5:$I$90=0)+(Headcount!$I$5:$I$90=1)*$C$16)*(I$18&gt;=(Headcount!$E$5:$E$90+Headcount!$G$5:$G$90*$C$15)))/12*(1+Assumptions!$C$97)</f>
        <v>0</v>
      </c>
      <c r="J193" s="9" t="n">
        <f aca="false">SUMPRODUCT((Headcount!$C$5:$C$90="SALES")*Headcount!$D$5:$D$90*Headcount!$F$5:$F$90*((Headcount!$I$5:$I$90=0)+(Headcount!$I$5:$I$90=1)*$C$16)*(J$18&gt;=(Headcount!$E$5:$E$90+Headcount!$G$5:$G$90*$C$15)))/12*(1+Assumptions!$C$97)</f>
        <v>0</v>
      </c>
      <c r="K193" s="9" t="n">
        <f aca="false">SUMPRODUCT((Headcount!$C$5:$C$90="SALES")*Headcount!$D$5:$D$90*Headcount!$F$5:$F$90*((Headcount!$I$5:$I$90=0)+(Headcount!$I$5:$I$90=1)*$C$16)*(K$18&gt;=(Headcount!$E$5:$E$90+Headcount!$G$5:$G$90*$C$15)))/12*(1+Assumptions!$C$97)</f>
        <v>0</v>
      </c>
      <c r="L193" s="9" t="n">
        <f aca="false">SUMPRODUCT((Headcount!$C$5:$C$90="SALES")*Headcount!$D$5:$D$90*Headcount!$F$5:$F$90*((Headcount!$I$5:$I$90=0)+(Headcount!$I$5:$I$90=1)*$C$16)*(L$18&gt;=(Headcount!$E$5:$E$90+Headcount!$G$5:$G$90*$C$15)))/12*(1+Assumptions!$C$97)</f>
        <v>0</v>
      </c>
      <c r="M193" s="9" t="n">
        <f aca="false">SUMPRODUCT((Headcount!$C$5:$C$90="SALES")*Headcount!$D$5:$D$90*Headcount!$F$5:$F$90*((Headcount!$I$5:$I$90=0)+(Headcount!$I$5:$I$90=1)*$C$16)*(M$18&gt;=(Headcount!$E$5:$E$90+Headcount!$G$5:$G$90*$C$15)))/12*(1+Assumptions!$C$97)</f>
        <v>11183.3333333333</v>
      </c>
      <c r="N193" s="9" t="n">
        <f aca="false">SUMPRODUCT((Headcount!$C$5:$C$90="SALES")*Headcount!$D$5:$D$90*Headcount!$F$5:$F$90*((Headcount!$I$5:$I$90=0)+(Headcount!$I$5:$I$90=1)*$C$16)*(N$18&gt;=(Headcount!$E$5:$E$90+Headcount!$G$5:$G$90*$C$15)))/12*(1+Assumptions!$C$97)</f>
        <v>11183.3333333333</v>
      </c>
      <c r="O193" s="9" t="n">
        <f aca="false">SUMPRODUCT((Headcount!$C$5:$C$90="SALES")*Headcount!$D$5:$D$90*Headcount!$F$5:$F$90*((Headcount!$I$5:$I$90=0)+(Headcount!$I$5:$I$90=1)*$C$16)*(O$18&gt;=(Headcount!$E$5:$E$90+Headcount!$G$5:$G$90*$C$15)))/12*(1+Assumptions!$C$97)</f>
        <v>24400</v>
      </c>
      <c r="P193" s="9" t="n">
        <f aca="false">SUMPRODUCT((Headcount!$C$5:$C$90="SALES")*Headcount!$D$5:$D$90*Headcount!$F$5:$F$90*((Headcount!$I$5:$I$90=0)+(Headcount!$I$5:$I$90=1)*$C$16)*(P$18&gt;=(Headcount!$E$5:$E$90+Headcount!$G$5:$G$90*$C$15)))/12*(1+Assumptions!$C$97)</f>
        <v>24400</v>
      </c>
      <c r="Q193" s="9" t="n">
        <f aca="false">SUMPRODUCT((Headcount!$C$5:$C$90="SALES")*Headcount!$D$5:$D$90*Headcount!$F$5:$F$90*((Headcount!$I$5:$I$90=0)+(Headcount!$I$5:$I$90=1)*$C$16)*(Q$18&gt;=(Headcount!$E$5:$E$90+Headcount!$G$5:$G$90*$C$15)))/12*(1+Assumptions!$C$97)</f>
        <v>24400</v>
      </c>
      <c r="R193" s="9" t="n">
        <f aca="false">SUMPRODUCT((Headcount!$C$5:$C$90="SALES")*Headcount!$D$5:$D$90*Headcount!$F$5:$F$90*((Headcount!$I$5:$I$90=0)+(Headcount!$I$5:$I$90=1)*$C$16)*(R$18&gt;=(Headcount!$E$5:$E$90+Headcount!$G$5:$G$90*$C$15)))/12*(1+Assumptions!$C$97)</f>
        <v>24400</v>
      </c>
      <c r="S193" s="9" t="n">
        <f aca="false">SUMPRODUCT((Headcount!$C$5:$C$90="SALES")*Headcount!$D$5:$D$90*Headcount!$F$5:$F$90*((Headcount!$I$5:$I$90=0)+(Headcount!$I$5:$I$90=1)*$C$16)*(S$18&gt;=(Headcount!$E$5:$E$90+Headcount!$G$5:$G$90*$C$15)))/12*(1+Assumptions!$C$97)</f>
        <v>24400</v>
      </c>
      <c r="T193" s="9" t="n">
        <f aca="false">SUMPRODUCT((Headcount!$C$5:$C$90="SALES")*Headcount!$D$5:$D$90*Headcount!$F$5:$F$90*((Headcount!$I$5:$I$90=0)+(Headcount!$I$5:$I$90=1)*$C$16)*(T$18&gt;=(Headcount!$E$5:$E$90+Headcount!$G$5:$G$90*$C$15)))/12*(1+Assumptions!$C$97)</f>
        <v>24400</v>
      </c>
      <c r="U193" s="9" t="n">
        <f aca="false">SUMPRODUCT((Headcount!$C$5:$C$90="SALES")*Headcount!$D$5:$D$90*Headcount!$F$5:$F$90*((Headcount!$I$5:$I$90=0)+(Headcount!$I$5:$I$90=1)*$C$16)*(U$18&gt;=(Headcount!$E$5:$E$90+Headcount!$G$5:$G$90*$C$15)))/12*(1+Assumptions!$C$97)</f>
        <v>24400</v>
      </c>
      <c r="V193" s="9" t="n">
        <f aca="false">SUMPRODUCT((Headcount!$C$5:$C$90="SALES")*Headcount!$D$5:$D$90*Headcount!$F$5:$F$90*((Headcount!$I$5:$I$90=0)+(Headcount!$I$5:$I$90=1)*$C$16)*(V$18&gt;=(Headcount!$E$5:$E$90+Headcount!$G$5:$G$90*$C$15)))/12*(1+Assumptions!$C$97)</f>
        <v>24400</v>
      </c>
      <c r="W193" s="9" t="n">
        <f aca="false">SUMPRODUCT((Headcount!$C$5:$C$90="SALES")*Headcount!$D$5:$D$90*Headcount!$F$5:$F$90*((Headcount!$I$5:$I$90=0)+(Headcount!$I$5:$I$90=1)*$C$16)*(W$18&gt;=(Headcount!$E$5:$E$90+Headcount!$G$5:$G$90*$C$15)))/12*(1+Assumptions!$C$97)</f>
        <v>24400</v>
      </c>
      <c r="X193" s="9" t="n">
        <f aca="false">SUMPRODUCT((Headcount!$C$5:$C$90="SALES")*Headcount!$D$5:$D$90*Headcount!$F$5:$F$90*((Headcount!$I$5:$I$90=0)+(Headcount!$I$5:$I$90=1)*$C$16)*(X$18&gt;=(Headcount!$E$5:$E$90+Headcount!$G$5:$G$90*$C$15)))/12*(1+Assumptions!$C$97)</f>
        <v>35583.3333333333</v>
      </c>
      <c r="Y193" s="9" t="n">
        <f aca="false">SUMPRODUCT((Headcount!$C$5:$C$90="SALES")*Headcount!$D$5:$D$90*Headcount!$F$5:$F$90*((Headcount!$I$5:$I$90=0)+(Headcount!$I$5:$I$90=1)*$C$16)*(Y$18&gt;=(Headcount!$E$5:$E$90+Headcount!$G$5:$G$90*$C$15)))/12*(1+Assumptions!$C$97)</f>
        <v>35583.3333333333</v>
      </c>
      <c r="Z193" s="9" t="n">
        <f aca="false">SUMPRODUCT((Headcount!$C$5:$C$90="SALES")*Headcount!$D$5:$D$90*Headcount!$F$5:$F$90*((Headcount!$I$5:$I$90=0)+(Headcount!$I$5:$I$90=1)*$C$16)*(Z$18&gt;=(Headcount!$E$5:$E$90+Headcount!$G$5:$G$90*$C$15)))/12*(1+Assumptions!$C$97)</f>
        <v>35583.3333333333</v>
      </c>
      <c r="AA193" s="9" t="n">
        <f aca="false">SUMPRODUCT((Headcount!$C$5:$C$90="SALES")*Headcount!$D$5:$D$90*Headcount!$F$5:$F$90*((Headcount!$I$5:$I$90=0)+(Headcount!$I$5:$I$90=1)*$C$16)*(AA$18&gt;=(Headcount!$E$5:$E$90+Headcount!$G$5:$G$90*$C$15)))/12*(1+Assumptions!$C$97)</f>
        <v>35583.3333333333</v>
      </c>
      <c r="AB193" s="9" t="n">
        <f aca="false">SUMPRODUCT((Headcount!$C$5:$C$90="SALES")*Headcount!$D$5:$D$90*Headcount!$F$5:$F$90*((Headcount!$I$5:$I$90=0)+(Headcount!$I$5:$I$90=1)*$C$16)*(AB$18&gt;=(Headcount!$E$5:$E$90+Headcount!$G$5:$G$90*$C$15)))/12*(1+Assumptions!$C$97)</f>
        <v>35583.3333333333</v>
      </c>
      <c r="AC193" s="9" t="n">
        <f aca="false">SUMPRODUCT((Headcount!$C$5:$C$90="SALES")*Headcount!$D$5:$D$90*Headcount!$F$5:$F$90*((Headcount!$I$5:$I$90=0)+(Headcount!$I$5:$I$90=1)*$C$16)*(AC$18&gt;=(Headcount!$E$5:$E$90+Headcount!$G$5:$G$90*$C$15)))/12*(1+Assumptions!$C$97)</f>
        <v>35583.3333333333</v>
      </c>
      <c r="AD193" s="9" t="n">
        <f aca="false">SUMPRODUCT((Headcount!$C$5:$C$90="SALES")*Headcount!$D$5:$D$90*Headcount!$F$5:$F$90*((Headcount!$I$5:$I$90=0)+(Headcount!$I$5:$I$90=1)*$C$16)*(AD$18&gt;=(Headcount!$E$5:$E$90+Headcount!$G$5:$G$90*$C$15)))/12*(1+Assumptions!$C$97)</f>
        <v>46766.6666666667</v>
      </c>
      <c r="AE193" s="9" t="n">
        <f aca="false">SUMPRODUCT((Headcount!$C$5:$C$90="SALES")*Headcount!$D$5:$D$90*Headcount!$F$5:$F$90*((Headcount!$I$5:$I$90=0)+(Headcount!$I$5:$I$90=1)*$C$16)*(AE$18&gt;=(Headcount!$E$5:$E$90+Headcount!$G$5:$G$90*$C$15)))/12*(1+Assumptions!$C$97)</f>
        <v>46766.6666666667</v>
      </c>
      <c r="AF193" s="9" t="n">
        <f aca="false">SUMPRODUCT((Headcount!$C$5:$C$90="SALES")*Headcount!$D$5:$D$90*Headcount!$F$5:$F$90*((Headcount!$I$5:$I$90=0)+(Headcount!$I$5:$I$90=1)*$C$16)*(AF$18&gt;=(Headcount!$E$5:$E$90+Headcount!$G$5:$G$90*$C$15)))/12*(1+Assumptions!$C$97)</f>
        <v>46766.6666666667</v>
      </c>
      <c r="AG193" s="9" t="n">
        <f aca="false">SUMPRODUCT((Headcount!$C$5:$C$90="SALES")*Headcount!$D$5:$D$90*Headcount!$F$5:$F$90*((Headcount!$I$5:$I$90=0)+(Headcount!$I$5:$I$90=1)*$C$16)*(AG$18&gt;=(Headcount!$E$5:$E$90+Headcount!$G$5:$G$90*$C$15)))/12*(1+Assumptions!$C$97)</f>
        <v>46766.6666666667</v>
      </c>
      <c r="AH193" s="9" t="n">
        <f aca="false">SUMPRODUCT((Headcount!$C$5:$C$90="SALES")*Headcount!$D$5:$D$90*Headcount!$F$5:$F$90*((Headcount!$I$5:$I$90=0)+(Headcount!$I$5:$I$90=1)*$C$16)*(AH$18&gt;=(Headcount!$E$5:$E$90+Headcount!$G$5:$G$90*$C$15)))/12*(1+Assumptions!$C$97)</f>
        <v>46766.6666666667</v>
      </c>
      <c r="AI193" s="9" t="n">
        <f aca="false">SUMPRODUCT((Headcount!$C$5:$C$90="SALES")*Headcount!$D$5:$D$90*Headcount!$F$5:$F$90*((Headcount!$I$5:$I$90=0)+(Headcount!$I$5:$I$90=1)*$C$16)*(AI$18&gt;=(Headcount!$E$5:$E$90+Headcount!$G$5:$G$90*$C$15)))/12*(1+Assumptions!$C$97)</f>
        <v>46766.6666666667</v>
      </c>
      <c r="AJ193" s="9" t="n">
        <f aca="false">SUMPRODUCT((Headcount!$C$5:$C$90="SALES")*Headcount!$D$5:$D$90*Headcount!$F$5:$F$90*((Headcount!$I$5:$I$90=0)+(Headcount!$I$5:$I$90=1)*$C$16)*(AJ$18&gt;=(Headcount!$E$5:$E$90+Headcount!$G$5:$G$90*$C$15)))/12*(1+Assumptions!$C$97)</f>
        <v>46766.6666666667</v>
      </c>
      <c r="AK193" s="9" t="n">
        <f aca="false">SUMPRODUCT((Headcount!$C$5:$C$90="SALES")*Headcount!$D$5:$D$90*Headcount!$F$5:$F$90*((Headcount!$I$5:$I$90=0)+(Headcount!$I$5:$I$90=1)*$C$16)*(AK$18&gt;=(Headcount!$E$5:$E$90+Headcount!$G$5:$G$90*$C$15)))/12*(1+Assumptions!$C$97)</f>
        <v>46766.6666666667</v>
      </c>
      <c r="AL193" s="9" t="n">
        <f aca="false">SUMPRODUCT((Headcount!$C$5:$C$90="SALES")*Headcount!$D$5:$D$90*Headcount!$F$5:$F$90*((Headcount!$I$5:$I$90=0)+(Headcount!$I$5:$I$90=1)*$C$16)*(AL$18&gt;=(Headcount!$E$5:$E$90+Headcount!$G$5:$G$90*$C$15)))/12*(1+Assumptions!$C$97)</f>
        <v>46766.6666666667</v>
      </c>
      <c r="AN193" s="11" t="n">
        <f aca="false">SUM(C193:N193)</f>
        <v>22366.6666666667</v>
      </c>
      <c r="AO193" s="11" t="n">
        <f aca="false">SUM(O193:Z193)</f>
        <v>326350</v>
      </c>
      <c r="AP193" s="11" t="n">
        <f aca="false">SUM(AA193:AL193)</f>
        <v>527650</v>
      </c>
    </row>
    <row r="194" customFormat="false" ht="15" hidden="false" customHeight="false" outlineLevel="0" collapsed="false">
      <c r="A194" s="0" t="s">
        <v>995</v>
      </c>
      <c r="B194" s="0" t="s">
        <v>230</v>
      </c>
      <c r="C194" s="9" t="n">
        <f aca="false">SUMPRODUCT((Headcount!$C$5:$C$90="MKT")*Headcount!$D$5:$D$90*Headcount!$F$5:$F$90*((Headcount!$I$5:$I$90=0)+(Headcount!$I$5:$I$90=1)*$C$16)*(C$18&gt;=(Headcount!$E$5:$E$90+Headcount!$G$5:$G$90*$C$15)))/12*(1+Assumptions!$C$97)</f>
        <v>0</v>
      </c>
      <c r="D194" s="9" t="n">
        <f aca="false">SUMPRODUCT((Headcount!$C$5:$C$90="MKT")*Headcount!$D$5:$D$90*Headcount!$F$5:$F$90*((Headcount!$I$5:$I$90=0)+(Headcount!$I$5:$I$90=1)*$C$16)*(D$18&gt;=(Headcount!$E$5:$E$90+Headcount!$G$5:$G$90*$C$15)))/12*(1+Assumptions!$C$97)</f>
        <v>0</v>
      </c>
      <c r="E194" s="9" t="n">
        <f aca="false">SUMPRODUCT((Headcount!$C$5:$C$90="MKT")*Headcount!$D$5:$D$90*Headcount!$F$5:$F$90*((Headcount!$I$5:$I$90=0)+(Headcount!$I$5:$I$90=1)*$C$16)*(E$18&gt;=(Headcount!$E$5:$E$90+Headcount!$G$5:$G$90*$C$15)))/12*(1+Assumptions!$C$97)</f>
        <v>0</v>
      </c>
      <c r="F194" s="9" t="n">
        <f aca="false">SUMPRODUCT((Headcount!$C$5:$C$90="MKT")*Headcount!$D$5:$D$90*Headcount!$F$5:$F$90*((Headcount!$I$5:$I$90=0)+(Headcount!$I$5:$I$90=1)*$C$16)*(F$18&gt;=(Headcount!$E$5:$E$90+Headcount!$G$5:$G$90*$C$15)))/12*(1+Assumptions!$C$97)</f>
        <v>0</v>
      </c>
      <c r="G194" s="9" t="n">
        <f aca="false">SUMPRODUCT((Headcount!$C$5:$C$90="MKT")*Headcount!$D$5:$D$90*Headcount!$F$5:$F$90*((Headcount!$I$5:$I$90=0)+(Headcount!$I$5:$I$90=1)*$C$16)*(G$18&gt;=(Headcount!$E$5:$E$90+Headcount!$G$5:$G$90*$C$15)))/12*(1+Assumptions!$C$97)</f>
        <v>0</v>
      </c>
      <c r="H194" s="9" t="n">
        <f aca="false">SUMPRODUCT((Headcount!$C$5:$C$90="MKT")*Headcount!$D$5:$D$90*Headcount!$F$5:$F$90*((Headcount!$I$5:$I$90=0)+(Headcount!$I$5:$I$90=1)*$C$16)*(H$18&gt;=(Headcount!$E$5:$E$90+Headcount!$G$5:$G$90*$C$15)))/12*(1+Assumptions!$C$97)</f>
        <v>10675</v>
      </c>
      <c r="I194" s="9" t="n">
        <f aca="false">SUMPRODUCT((Headcount!$C$5:$C$90="MKT")*Headcount!$D$5:$D$90*Headcount!$F$5:$F$90*((Headcount!$I$5:$I$90=0)+(Headcount!$I$5:$I$90=1)*$C$16)*(I$18&gt;=(Headcount!$E$5:$E$90+Headcount!$G$5:$G$90*$C$15)))/12*(1+Assumptions!$C$97)</f>
        <v>10675</v>
      </c>
      <c r="J194" s="9" t="n">
        <f aca="false">SUMPRODUCT((Headcount!$C$5:$C$90="MKT")*Headcount!$D$5:$D$90*Headcount!$F$5:$F$90*((Headcount!$I$5:$I$90=0)+(Headcount!$I$5:$I$90=1)*$C$16)*(J$18&gt;=(Headcount!$E$5:$E$90+Headcount!$G$5:$G$90*$C$15)))/12*(1+Assumptions!$C$97)</f>
        <v>10675</v>
      </c>
      <c r="K194" s="9" t="n">
        <f aca="false">SUMPRODUCT((Headcount!$C$5:$C$90="MKT")*Headcount!$D$5:$D$90*Headcount!$F$5:$F$90*((Headcount!$I$5:$I$90=0)+(Headcount!$I$5:$I$90=1)*$C$16)*(K$18&gt;=(Headcount!$E$5:$E$90+Headcount!$G$5:$G$90*$C$15)))/12*(1+Assumptions!$C$97)</f>
        <v>10675</v>
      </c>
      <c r="L194" s="9" t="n">
        <f aca="false">SUMPRODUCT((Headcount!$C$5:$C$90="MKT")*Headcount!$D$5:$D$90*Headcount!$F$5:$F$90*((Headcount!$I$5:$I$90=0)+(Headcount!$I$5:$I$90=1)*$C$16)*(L$18&gt;=(Headcount!$E$5:$E$90+Headcount!$G$5:$G$90*$C$15)))/12*(1+Assumptions!$C$97)</f>
        <v>10675</v>
      </c>
      <c r="M194" s="9" t="n">
        <f aca="false">SUMPRODUCT((Headcount!$C$5:$C$90="MKT")*Headcount!$D$5:$D$90*Headcount!$F$5:$F$90*((Headcount!$I$5:$I$90=0)+(Headcount!$I$5:$I$90=1)*$C$16)*(M$18&gt;=(Headcount!$E$5:$E$90+Headcount!$G$5:$G$90*$C$15)))/12*(1+Assumptions!$C$97)</f>
        <v>10675</v>
      </c>
      <c r="N194" s="9" t="n">
        <f aca="false">SUMPRODUCT((Headcount!$C$5:$C$90="MKT")*Headcount!$D$5:$D$90*Headcount!$F$5:$F$90*((Headcount!$I$5:$I$90=0)+(Headcount!$I$5:$I$90=1)*$C$16)*(N$18&gt;=(Headcount!$E$5:$E$90+Headcount!$G$5:$G$90*$C$15)))/12*(1+Assumptions!$C$97)</f>
        <v>17283.3333333333</v>
      </c>
      <c r="O194" s="9" t="n">
        <f aca="false">SUMPRODUCT((Headcount!$C$5:$C$90="MKT")*Headcount!$D$5:$D$90*Headcount!$F$5:$F$90*((Headcount!$I$5:$I$90=0)+(Headcount!$I$5:$I$90=1)*$C$16)*(O$18&gt;=(Headcount!$E$5:$E$90+Headcount!$G$5:$G$90*$C$15)))/12*(1+Assumptions!$C$97)</f>
        <v>17283.3333333333</v>
      </c>
      <c r="P194" s="9" t="n">
        <f aca="false">SUMPRODUCT((Headcount!$C$5:$C$90="MKT")*Headcount!$D$5:$D$90*Headcount!$F$5:$F$90*((Headcount!$I$5:$I$90=0)+(Headcount!$I$5:$I$90=1)*$C$16)*(P$18&gt;=(Headcount!$E$5:$E$90+Headcount!$G$5:$G$90*$C$15)))/12*(1+Assumptions!$C$97)</f>
        <v>17283.3333333333</v>
      </c>
      <c r="Q194" s="9" t="n">
        <f aca="false">SUMPRODUCT((Headcount!$C$5:$C$90="MKT")*Headcount!$D$5:$D$90*Headcount!$F$5:$F$90*((Headcount!$I$5:$I$90=0)+(Headcount!$I$5:$I$90=1)*$C$16)*(Q$18&gt;=(Headcount!$E$5:$E$90+Headcount!$G$5:$G$90*$C$15)))/12*(1+Assumptions!$C$97)</f>
        <v>17283.3333333333</v>
      </c>
      <c r="R194" s="9" t="n">
        <f aca="false">SUMPRODUCT((Headcount!$C$5:$C$90="MKT")*Headcount!$D$5:$D$90*Headcount!$F$5:$F$90*((Headcount!$I$5:$I$90=0)+(Headcount!$I$5:$I$90=1)*$C$16)*(R$18&gt;=(Headcount!$E$5:$E$90+Headcount!$G$5:$G$90*$C$15)))/12*(1+Assumptions!$C$97)</f>
        <v>17283.3333333333</v>
      </c>
      <c r="S194" s="9" t="n">
        <f aca="false">SUMPRODUCT((Headcount!$C$5:$C$90="MKT")*Headcount!$D$5:$D$90*Headcount!$F$5:$F$90*((Headcount!$I$5:$I$90=0)+(Headcount!$I$5:$I$90=1)*$C$16)*(S$18&gt;=(Headcount!$E$5:$E$90+Headcount!$G$5:$G$90*$C$15)))/12*(1+Assumptions!$C$97)</f>
        <v>17283.3333333333</v>
      </c>
      <c r="T194" s="9" t="n">
        <f aca="false">SUMPRODUCT((Headcount!$C$5:$C$90="MKT")*Headcount!$D$5:$D$90*Headcount!$F$5:$F$90*((Headcount!$I$5:$I$90=0)+(Headcount!$I$5:$I$90=1)*$C$16)*(T$18&gt;=(Headcount!$E$5:$E$90+Headcount!$G$5:$G$90*$C$15)))/12*(1+Assumptions!$C$97)</f>
        <v>17283.3333333333</v>
      </c>
      <c r="U194" s="9" t="n">
        <f aca="false">SUMPRODUCT((Headcount!$C$5:$C$90="MKT")*Headcount!$D$5:$D$90*Headcount!$F$5:$F$90*((Headcount!$I$5:$I$90=0)+(Headcount!$I$5:$I$90=1)*$C$16)*(U$18&gt;=(Headcount!$E$5:$E$90+Headcount!$G$5:$G$90*$C$15)))/12*(1+Assumptions!$C$97)</f>
        <v>17283.3333333333</v>
      </c>
      <c r="V194" s="9" t="n">
        <f aca="false">SUMPRODUCT((Headcount!$C$5:$C$90="MKT")*Headcount!$D$5:$D$90*Headcount!$F$5:$F$90*((Headcount!$I$5:$I$90=0)+(Headcount!$I$5:$I$90=1)*$C$16)*(V$18&gt;=(Headcount!$E$5:$E$90+Headcount!$G$5:$G$90*$C$15)))/12*(1+Assumptions!$C$97)</f>
        <v>25925</v>
      </c>
      <c r="W194" s="9" t="n">
        <f aca="false">SUMPRODUCT((Headcount!$C$5:$C$90="MKT")*Headcount!$D$5:$D$90*Headcount!$F$5:$F$90*((Headcount!$I$5:$I$90=0)+(Headcount!$I$5:$I$90=1)*$C$16)*(W$18&gt;=(Headcount!$E$5:$E$90+Headcount!$G$5:$G$90*$C$15)))/12*(1+Assumptions!$C$97)</f>
        <v>25925</v>
      </c>
      <c r="X194" s="9" t="n">
        <f aca="false">SUMPRODUCT((Headcount!$C$5:$C$90="MKT")*Headcount!$D$5:$D$90*Headcount!$F$5:$F$90*((Headcount!$I$5:$I$90=0)+(Headcount!$I$5:$I$90=1)*$C$16)*(X$18&gt;=(Headcount!$E$5:$E$90+Headcount!$G$5:$G$90*$C$15)))/12*(1+Assumptions!$C$97)</f>
        <v>25925</v>
      </c>
      <c r="Y194" s="9" t="n">
        <f aca="false">SUMPRODUCT((Headcount!$C$5:$C$90="MKT")*Headcount!$D$5:$D$90*Headcount!$F$5:$F$90*((Headcount!$I$5:$I$90=0)+(Headcount!$I$5:$I$90=1)*$C$16)*(Y$18&gt;=(Headcount!$E$5:$E$90+Headcount!$G$5:$G$90*$C$15)))/12*(1+Assumptions!$C$97)</f>
        <v>25925</v>
      </c>
      <c r="Z194" s="9" t="n">
        <f aca="false">SUMPRODUCT((Headcount!$C$5:$C$90="MKT")*Headcount!$D$5:$D$90*Headcount!$F$5:$F$90*((Headcount!$I$5:$I$90=0)+(Headcount!$I$5:$I$90=1)*$C$16)*(Z$18&gt;=(Headcount!$E$5:$E$90+Headcount!$G$5:$G$90*$C$15)))/12*(1+Assumptions!$C$97)</f>
        <v>25925</v>
      </c>
      <c r="AA194" s="9" t="n">
        <f aca="false">SUMPRODUCT((Headcount!$C$5:$C$90="MKT")*Headcount!$D$5:$D$90*Headcount!$F$5:$F$90*((Headcount!$I$5:$I$90=0)+(Headcount!$I$5:$I$90=1)*$C$16)*(AA$18&gt;=(Headcount!$E$5:$E$90+Headcount!$G$5:$G$90*$C$15)))/12*(1+Assumptions!$C$97)</f>
        <v>25925</v>
      </c>
      <c r="AB194" s="9" t="n">
        <f aca="false">SUMPRODUCT((Headcount!$C$5:$C$90="MKT")*Headcount!$D$5:$D$90*Headcount!$F$5:$F$90*((Headcount!$I$5:$I$90=0)+(Headcount!$I$5:$I$90=1)*$C$16)*(AB$18&gt;=(Headcount!$E$5:$E$90+Headcount!$G$5:$G$90*$C$15)))/12*(1+Assumptions!$C$97)</f>
        <v>25925</v>
      </c>
      <c r="AC194" s="9" t="n">
        <f aca="false">SUMPRODUCT((Headcount!$C$5:$C$90="MKT")*Headcount!$D$5:$D$90*Headcount!$F$5:$F$90*((Headcount!$I$5:$I$90=0)+(Headcount!$I$5:$I$90=1)*$C$16)*(AC$18&gt;=(Headcount!$E$5:$E$90+Headcount!$G$5:$G$90*$C$15)))/12*(1+Assumptions!$C$97)</f>
        <v>25925</v>
      </c>
      <c r="AD194" s="9" t="n">
        <f aca="false">SUMPRODUCT((Headcount!$C$5:$C$90="MKT")*Headcount!$D$5:$D$90*Headcount!$F$5:$F$90*((Headcount!$I$5:$I$90=0)+(Headcount!$I$5:$I$90=1)*$C$16)*(AD$18&gt;=(Headcount!$E$5:$E$90+Headcount!$G$5:$G$90*$C$15)))/12*(1+Assumptions!$C$97)</f>
        <v>25925</v>
      </c>
      <c r="AE194" s="9" t="n">
        <f aca="false">SUMPRODUCT((Headcount!$C$5:$C$90="MKT")*Headcount!$D$5:$D$90*Headcount!$F$5:$F$90*((Headcount!$I$5:$I$90=0)+(Headcount!$I$5:$I$90=1)*$C$16)*(AE$18&gt;=(Headcount!$E$5:$E$90+Headcount!$G$5:$G$90*$C$15)))/12*(1+Assumptions!$C$97)</f>
        <v>25925</v>
      </c>
      <c r="AF194" s="9" t="n">
        <f aca="false">SUMPRODUCT((Headcount!$C$5:$C$90="MKT")*Headcount!$D$5:$D$90*Headcount!$F$5:$F$90*((Headcount!$I$5:$I$90=0)+(Headcount!$I$5:$I$90=1)*$C$16)*(AF$18&gt;=(Headcount!$E$5:$E$90+Headcount!$G$5:$G$90*$C$15)))/12*(1+Assumptions!$C$97)</f>
        <v>25925</v>
      </c>
      <c r="AG194" s="9" t="n">
        <f aca="false">SUMPRODUCT((Headcount!$C$5:$C$90="MKT")*Headcount!$D$5:$D$90*Headcount!$F$5:$F$90*((Headcount!$I$5:$I$90=0)+(Headcount!$I$5:$I$90=1)*$C$16)*(AG$18&gt;=(Headcount!$E$5:$E$90+Headcount!$G$5:$G$90*$C$15)))/12*(1+Assumptions!$C$97)</f>
        <v>25925</v>
      </c>
      <c r="AH194" s="9" t="n">
        <f aca="false">SUMPRODUCT((Headcount!$C$5:$C$90="MKT")*Headcount!$D$5:$D$90*Headcount!$F$5:$F$90*((Headcount!$I$5:$I$90=0)+(Headcount!$I$5:$I$90=1)*$C$16)*(AH$18&gt;=(Headcount!$E$5:$E$90+Headcount!$G$5:$G$90*$C$15)))/12*(1+Assumptions!$C$97)</f>
        <v>25925</v>
      </c>
      <c r="AI194" s="9" t="n">
        <f aca="false">SUMPRODUCT((Headcount!$C$5:$C$90="MKT")*Headcount!$D$5:$D$90*Headcount!$F$5:$F$90*((Headcount!$I$5:$I$90=0)+(Headcount!$I$5:$I$90=1)*$C$16)*(AI$18&gt;=(Headcount!$E$5:$E$90+Headcount!$G$5:$G$90*$C$15)))/12*(1+Assumptions!$C$97)</f>
        <v>25925</v>
      </c>
      <c r="AJ194" s="9" t="n">
        <f aca="false">SUMPRODUCT((Headcount!$C$5:$C$90="MKT")*Headcount!$D$5:$D$90*Headcount!$F$5:$F$90*((Headcount!$I$5:$I$90=0)+(Headcount!$I$5:$I$90=1)*$C$16)*(AJ$18&gt;=(Headcount!$E$5:$E$90+Headcount!$G$5:$G$90*$C$15)))/12*(1+Assumptions!$C$97)</f>
        <v>25925</v>
      </c>
      <c r="AK194" s="9" t="n">
        <f aca="false">SUMPRODUCT((Headcount!$C$5:$C$90="MKT")*Headcount!$D$5:$D$90*Headcount!$F$5:$F$90*((Headcount!$I$5:$I$90=0)+(Headcount!$I$5:$I$90=1)*$C$16)*(AK$18&gt;=(Headcount!$E$5:$E$90+Headcount!$G$5:$G$90*$C$15)))/12*(1+Assumptions!$C$97)</f>
        <v>25925</v>
      </c>
      <c r="AL194" s="9" t="n">
        <f aca="false">SUMPRODUCT((Headcount!$C$5:$C$90="MKT")*Headcount!$D$5:$D$90*Headcount!$F$5:$F$90*((Headcount!$I$5:$I$90=0)+(Headcount!$I$5:$I$90=1)*$C$16)*(AL$18&gt;=(Headcount!$E$5:$E$90+Headcount!$G$5:$G$90*$C$15)))/12*(1+Assumptions!$C$97)</f>
        <v>25925</v>
      </c>
      <c r="AN194" s="11" t="n">
        <f aca="false">SUM(C194:N194)</f>
        <v>81333.3333333333</v>
      </c>
      <c r="AO194" s="11" t="n">
        <f aca="false">SUM(O194:Z194)</f>
        <v>250608.333333333</v>
      </c>
      <c r="AP194" s="11" t="n">
        <f aca="false">SUM(AA194:AL194)</f>
        <v>311100</v>
      </c>
    </row>
    <row r="195" customFormat="false" ht="15" hidden="false" customHeight="false" outlineLevel="0" collapsed="false">
      <c r="A195" s="0" t="s">
        <v>996</v>
      </c>
      <c r="B195" s="0" t="s">
        <v>230</v>
      </c>
      <c r="C195" s="9" t="n">
        <f aca="false">SUMPRODUCT((Headcount!$C$5:$C$90="GA")*Headcount!$D$5:$D$90*Headcount!$F$5:$F$90*((Headcount!$I$5:$I$90=0)+(Headcount!$I$5:$I$90=1)*$C$16)*(C$18&gt;=(Headcount!$E$5:$E$90+Headcount!$G$5:$G$90*$C$15)))/12*(1+Assumptions!$C$97)</f>
        <v>15250</v>
      </c>
      <c r="D195" s="9" t="n">
        <f aca="false">SUMPRODUCT((Headcount!$C$5:$C$90="GA")*Headcount!$D$5:$D$90*Headcount!$F$5:$F$90*((Headcount!$I$5:$I$90=0)+(Headcount!$I$5:$I$90=1)*$C$16)*(D$18&gt;=(Headcount!$E$5:$E$90+Headcount!$G$5:$G$90*$C$15)))/12*(1+Assumptions!$C$97)</f>
        <v>15250</v>
      </c>
      <c r="E195" s="9" t="n">
        <f aca="false">SUMPRODUCT((Headcount!$C$5:$C$90="GA")*Headcount!$D$5:$D$90*Headcount!$F$5:$F$90*((Headcount!$I$5:$I$90=0)+(Headcount!$I$5:$I$90=1)*$C$16)*(E$18&gt;=(Headcount!$E$5:$E$90+Headcount!$G$5:$G$90*$C$15)))/12*(1+Assumptions!$C$97)</f>
        <v>15250</v>
      </c>
      <c r="F195" s="9" t="n">
        <f aca="false">SUMPRODUCT((Headcount!$C$5:$C$90="GA")*Headcount!$D$5:$D$90*Headcount!$F$5:$F$90*((Headcount!$I$5:$I$90=0)+(Headcount!$I$5:$I$90=1)*$C$16)*(F$18&gt;=(Headcount!$E$5:$E$90+Headcount!$G$5:$G$90*$C$15)))/12*(1+Assumptions!$C$97)</f>
        <v>15250</v>
      </c>
      <c r="G195" s="9" t="n">
        <f aca="false">SUMPRODUCT((Headcount!$C$5:$C$90="GA")*Headcount!$D$5:$D$90*Headcount!$F$5:$F$90*((Headcount!$I$5:$I$90=0)+(Headcount!$I$5:$I$90=1)*$C$16)*(G$18&gt;=(Headcount!$E$5:$E$90+Headcount!$G$5:$G$90*$C$15)))/12*(1+Assumptions!$C$97)</f>
        <v>15250</v>
      </c>
      <c r="H195" s="9" t="n">
        <f aca="false">SUMPRODUCT((Headcount!$C$5:$C$90="GA")*Headcount!$D$5:$D$90*Headcount!$F$5:$F$90*((Headcount!$I$5:$I$90=0)+(Headcount!$I$5:$I$90=1)*$C$16)*(H$18&gt;=(Headcount!$E$5:$E$90+Headcount!$G$5:$G$90*$C$15)))/12*(1+Assumptions!$C$97)</f>
        <v>15250</v>
      </c>
      <c r="I195" s="9" t="n">
        <f aca="false">SUMPRODUCT((Headcount!$C$5:$C$90="GA")*Headcount!$D$5:$D$90*Headcount!$F$5:$F$90*((Headcount!$I$5:$I$90=0)+(Headcount!$I$5:$I$90=1)*$C$16)*(I$18&gt;=(Headcount!$E$5:$E$90+Headcount!$G$5:$G$90*$C$15)))/12*(1+Assumptions!$C$97)</f>
        <v>15250</v>
      </c>
      <c r="J195" s="9" t="n">
        <f aca="false">SUMPRODUCT((Headcount!$C$5:$C$90="GA")*Headcount!$D$5:$D$90*Headcount!$F$5:$F$90*((Headcount!$I$5:$I$90=0)+(Headcount!$I$5:$I$90=1)*$C$16)*(J$18&gt;=(Headcount!$E$5:$E$90+Headcount!$G$5:$G$90*$C$15)))/12*(1+Assumptions!$C$97)</f>
        <v>15250</v>
      </c>
      <c r="K195" s="9" t="n">
        <f aca="false">SUMPRODUCT((Headcount!$C$5:$C$90="GA")*Headcount!$D$5:$D$90*Headcount!$F$5:$F$90*((Headcount!$I$5:$I$90=0)+(Headcount!$I$5:$I$90=1)*$C$16)*(K$18&gt;=(Headcount!$E$5:$E$90+Headcount!$G$5:$G$90*$C$15)))/12*(1+Assumptions!$C$97)</f>
        <v>27958.3333333333</v>
      </c>
      <c r="L195" s="9" t="n">
        <f aca="false">SUMPRODUCT((Headcount!$C$5:$C$90="GA")*Headcount!$D$5:$D$90*Headcount!$F$5:$F$90*((Headcount!$I$5:$I$90=0)+(Headcount!$I$5:$I$90=1)*$C$16)*(L$18&gt;=(Headcount!$E$5:$E$90+Headcount!$G$5:$G$90*$C$15)))/12*(1+Assumptions!$C$97)</f>
        <v>27958.3333333333</v>
      </c>
      <c r="M195" s="9" t="n">
        <f aca="false">SUMPRODUCT((Headcount!$C$5:$C$90="GA")*Headcount!$D$5:$D$90*Headcount!$F$5:$F$90*((Headcount!$I$5:$I$90=0)+(Headcount!$I$5:$I$90=1)*$C$16)*(M$18&gt;=(Headcount!$E$5:$E$90+Headcount!$G$5:$G$90*$C$15)))/12*(1+Assumptions!$C$97)</f>
        <v>27958.3333333333</v>
      </c>
      <c r="N195" s="9" t="n">
        <f aca="false">SUMPRODUCT((Headcount!$C$5:$C$90="GA")*Headcount!$D$5:$D$90*Headcount!$F$5:$F$90*((Headcount!$I$5:$I$90=0)+(Headcount!$I$5:$I$90=1)*$C$16)*(N$18&gt;=(Headcount!$E$5:$E$90+Headcount!$G$5:$G$90*$C$15)))/12*(1+Assumptions!$C$97)</f>
        <v>27958.3333333333</v>
      </c>
      <c r="O195" s="9" t="n">
        <f aca="false">SUMPRODUCT((Headcount!$C$5:$C$90="GA")*Headcount!$D$5:$D$90*Headcount!$F$5:$F$90*((Headcount!$I$5:$I$90=0)+(Headcount!$I$5:$I$90=1)*$C$16)*(O$18&gt;=(Headcount!$E$5:$E$90+Headcount!$G$5:$G$90*$C$15)))/12*(1+Assumptions!$C$97)</f>
        <v>27958.3333333333</v>
      </c>
      <c r="P195" s="9" t="n">
        <f aca="false">SUMPRODUCT((Headcount!$C$5:$C$90="GA")*Headcount!$D$5:$D$90*Headcount!$F$5:$F$90*((Headcount!$I$5:$I$90=0)+(Headcount!$I$5:$I$90=1)*$C$16)*(P$18&gt;=(Headcount!$E$5:$E$90+Headcount!$G$5:$G$90*$C$15)))/12*(1+Assumptions!$C$97)</f>
        <v>27958.3333333333</v>
      </c>
      <c r="Q195" s="9" t="n">
        <f aca="false">SUMPRODUCT((Headcount!$C$5:$C$90="GA")*Headcount!$D$5:$D$90*Headcount!$F$5:$F$90*((Headcount!$I$5:$I$90=0)+(Headcount!$I$5:$I$90=1)*$C$16)*(Q$18&gt;=(Headcount!$E$5:$E$90+Headcount!$G$5:$G$90*$C$15)))/12*(1+Assumptions!$C$97)</f>
        <v>40158.3333333333</v>
      </c>
      <c r="R195" s="9" t="n">
        <f aca="false">SUMPRODUCT((Headcount!$C$5:$C$90="GA")*Headcount!$D$5:$D$90*Headcount!$F$5:$F$90*((Headcount!$I$5:$I$90=0)+(Headcount!$I$5:$I$90=1)*$C$16)*(R$18&gt;=(Headcount!$E$5:$E$90+Headcount!$G$5:$G$90*$C$15)))/12*(1+Assumptions!$C$97)</f>
        <v>40158.3333333333</v>
      </c>
      <c r="S195" s="9" t="n">
        <f aca="false">SUMPRODUCT((Headcount!$C$5:$C$90="GA")*Headcount!$D$5:$D$90*Headcount!$F$5:$F$90*((Headcount!$I$5:$I$90=0)+(Headcount!$I$5:$I$90=1)*$C$16)*(S$18&gt;=(Headcount!$E$5:$E$90+Headcount!$G$5:$G$90*$C$15)))/12*(1+Assumptions!$C$97)</f>
        <v>40158.3333333333</v>
      </c>
      <c r="T195" s="9" t="n">
        <f aca="false">SUMPRODUCT((Headcount!$C$5:$C$90="GA")*Headcount!$D$5:$D$90*Headcount!$F$5:$F$90*((Headcount!$I$5:$I$90=0)+(Headcount!$I$5:$I$90=1)*$C$16)*(T$18&gt;=(Headcount!$E$5:$E$90+Headcount!$G$5:$G$90*$C$15)))/12*(1+Assumptions!$C$97)</f>
        <v>40158.3333333333</v>
      </c>
      <c r="U195" s="9" t="n">
        <f aca="false">SUMPRODUCT((Headcount!$C$5:$C$90="GA")*Headcount!$D$5:$D$90*Headcount!$F$5:$F$90*((Headcount!$I$5:$I$90=0)+(Headcount!$I$5:$I$90=1)*$C$16)*(U$18&gt;=(Headcount!$E$5:$E$90+Headcount!$G$5:$G$90*$C$15)))/12*(1+Assumptions!$C$97)</f>
        <v>40158.3333333333</v>
      </c>
      <c r="V195" s="9" t="n">
        <f aca="false">SUMPRODUCT((Headcount!$C$5:$C$90="GA")*Headcount!$D$5:$D$90*Headcount!$F$5:$F$90*((Headcount!$I$5:$I$90=0)+(Headcount!$I$5:$I$90=1)*$C$16)*(V$18&gt;=(Headcount!$E$5:$E$90+Headcount!$G$5:$G$90*$C$15)))/12*(1+Assumptions!$C$97)</f>
        <v>40158.3333333333</v>
      </c>
      <c r="W195" s="9" t="n">
        <f aca="false">SUMPRODUCT((Headcount!$C$5:$C$90="GA")*Headcount!$D$5:$D$90*Headcount!$F$5:$F$90*((Headcount!$I$5:$I$90=0)+(Headcount!$I$5:$I$90=1)*$C$16)*(W$18&gt;=(Headcount!$E$5:$E$90+Headcount!$G$5:$G$90*$C$15)))/12*(1+Assumptions!$C$97)</f>
        <v>40158.3333333333</v>
      </c>
      <c r="X195" s="9" t="n">
        <f aca="false">SUMPRODUCT((Headcount!$C$5:$C$90="GA")*Headcount!$D$5:$D$90*Headcount!$F$5:$F$90*((Headcount!$I$5:$I$90=0)+(Headcount!$I$5:$I$90=1)*$C$16)*(X$18&gt;=(Headcount!$E$5:$E$90+Headcount!$G$5:$G$90*$C$15)))/12*(1+Assumptions!$C$97)</f>
        <v>40158.3333333333</v>
      </c>
      <c r="Y195" s="9" t="n">
        <f aca="false">SUMPRODUCT((Headcount!$C$5:$C$90="GA")*Headcount!$D$5:$D$90*Headcount!$F$5:$F$90*((Headcount!$I$5:$I$90=0)+(Headcount!$I$5:$I$90=1)*$C$16)*(Y$18&gt;=(Headcount!$E$5:$E$90+Headcount!$G$5:$G$90*$C$15)))/12*(1+Assumptions!$C$97)</f>
        <v>40158.3333333333</v>
      </c>
      <c r="Z195" s="9" t="n">
        <f aca="false">SUMPRODUCT((Headcount!$C$5:$C$90="GA")*Headcount!$D$5:$D$90*Headcount!$F$5:$F$90*((Headcount!$I$5:$I$90=0)+(Headcount!$I$5:$I$90=1)*$C$16)*(Z$18&gt;=(Headcount!$E$5:$E$90+Headcount!$G$5:$G$90*$C$15)))/12*(1+Assumptions!$C$97)</f>
        <v>48800</v>
      </c>
      <c r="AA195" s="9" t="n">
        <f aca="false">SUMPRODUCT((Headcount!$C$5:$C$90="GA")*Headcount!$D$5:$D$90*Headcount!$F$5:$F$90*((Headcount!$I$5:$I$90=0)+(Headcount!$I$5:$I$90=1)*$C$16)*(AA$18&gt;=(Headcount!$E$5:$E$90+Headcount!$G$5:$G$90*$C$15)))/12*(1+Assumptions!$C$97)</f>
        <v>48800</v>
      </c>
      <c r="AB195" s="9" t="n">
        <f aca="false">SUMPRODUCT((Headcount!$C$5:$C$90="GA")*Headcount!$D$5:$D$90*Headcount!$F$5:$F$90*((Headcount!$I$5:$I$90=0)+(Headcount!$I$5:$I$90=1)*$C$16)*(AB$18&gt;=(Headcount!$E$5:$E$90+Headcount!$G$5:$G$90*$C$15)))/12*(1+Assumptions!$C$97)</f>
        <v>48800</v>
      </c>
      <c r="AC195" s="9" t="n">
        <f aca="false">SUMPRODUCT((Headcount!$C$5:$C$90="GA")*Headcount!$D$5:$D$90*Headcount!$F$5:$F$90*((Headcount!$I$5:$I$90=0)+(Headcount!$I$5:$I$90=1)*$C$16)*(AC$18&gt;=(Headcount!$E$5:$E$90+Headcount!$G$5:$G$90*$C$15)))/12*(1+Assumptions!$C$97)</f>
        <v>48800</v>
      </c>
      <c r="AD195" s="9" t="n">
        <f aca="false">SUMPRODUCT((Headcount!$C$5:$C$90="GA")*Headcount!$D$5:$D$90*Headcount!$F$5:$F$90*((Headcount!$I$5:$I$90=0)+(Headcount!$I$5:$I$90=1)*$C$16)*(AD$18&gt;=(Headcount!$E$5:$E$90+Headcount!$G$5:$G$90*$C$15)))/12*(1+Assumptions!$C$97)</f>
        <v>48800</v>
      </c>
      <c r="AE195" s="9" t="n">
        <f aca="false">SUMPRODUCT((Headcount!$C$5:$C$90="GA")*Headcount!$D$5:$D$90*Headcount!$F$5:$F$90*((Headcount!$I$5:$I$90=0)+(Headcount!$I$5:$I$90=1)*$C$16)*(AE$18&gt;=(Headcount!$E$5:$E$90+Headcount!$G$5:$G$90*$C$15)))/12*(1+Assumptions!$C$97)</f>
        <v>48800</v>
      </c>
      <c r="AF195" s="9" t="n">
        <f aca="false">SUMPRODUCT((Headcount!$C$5:$C$90="GA")*Headcount!$D$5:$D$90*Headcount!$F$5:$F$90*((Headcount!$I$5:$I$90=0)+(Headcount!$I$5:$I$90=1)*$C$16)*(AF$18&gt;=(Headcount!$E$5:$E$90+Headcount!$G$5:$G$90*$C$15)))/12*(1+Assumptions!$C$97)</f>
        <v>48800</v>
      </c>
      <c r="AG195" s="9" t="n">
        <f aca="false">SUMPRODUCT((Headcount!$C$5:$C$90="GA")*Headcount!$D$5:$D$90*Headcount!$F$5:$F$90*((Headcount!$I$5:$I$90=0)+(Headcount!$I$5:$I$90=1)*$C$16)*(AG$18&gt;=(Headcount!$E$5:$E$90+Headcount!$G$5:$G$90*$C$15)))/12*(1+Assumptions!$C$97)</f>
        <v>48800</v>
      </c>
      <c r="AH195" s="9" t="n">
        <f aca="false">SUMPRODUCT((Headcount!$C$5:$C$90="GA")*Headcount!$D$5:$D$90*Headcount!$F$5:$F$90*((Headcount!$I$5:$I$90=0)+(Headcount!$I$5:$I$90=1)*$C$16)*(AH$18&gt;=(Headcount!$E$5:$E$90+Headcount!$G$5:$G$90*$C$15)))/12*(1+Assumptions!$C$97)</f>
        <v>48800</v>
      </c>
      <c r="AI195" s="9" t="n">
        <f aca="false">SUMPRODUCT((Headcount!$C$5:$C$90="GA")*Headcount!$D$5:$D$90*Headcount!$F$5:$F$90*((Headcount!$I$5:$I$90=0)+(Headcount!$I$5:$I$90=1)*$C$16)*(AI$18&gt;=(Headcount!$E$5:$E$90+Headcount!$G$5:$G$90*$C$15)))/12*(1+Assumptions!$C$97)</f>
        <v>48800</v>
      </c>
      <c r="AJ195" s="9" t="n">
        <f aca="false">SUMPRODUCT((Headcount!$C$5:$C$90="GA")*Headcount!$D$5:$D$90*Headcount!$F$5:$F$90*((Headcount!$I$5:$I$90=0)+(Headcount!$I$5:$I$90=1)*$C$16)*(AJ$18&gt;=(Headcount!$E$5:$E$90+Headcount!$G$5:$G$90*$C$15)))/12*(1+Assumptions!$C$97)</f>
        <v>48800</v>
      </c>
      <c r="AK195" s="9" t="n">
        <f aca="false">SUMPRODUCT((Headcount!$C$5:$C$90="GA")*Headcount!$D$5:$D$90*Headcount!$F$5:$F$90*((Headcount!$I$5:$I$90=0)+(Headcount!$I$5:$I$90=1)*$C$16)*(AK$18&gt;=(Headcount!$E$5:$E$90+Headcount!$G$5:$G$90*$C$15)))/12*(1+Assumptions!$C$97)</f>
        <v>48800</v>
      </c>
      <c r="AL195" s="9" t="n">
        <f aca="false">SUMPRODUCT((Headcount!$C$5:$C$90="GA")*Headcount!$D$5:$D$90*Headcount!$F$5:$F$90*((Headcount!$I$5:$I$90=0)+(Headcount!$I$5:$I$90=1)*$C$16)*(AL$18&gt;=(Headcount!$E$5:$E$90+Headcount!$G$5:$G$90*$C$15)))/12*(1+Assumptions!$C$97)</f>
        <v>48800</v>
      </c>
      <c r="AN195" s="11" t="n">
        <f aca="false">SUM(C195:N195)</f>
        <v>233833.333333333</v>
      </c>
      <c r="AO195" s="11" t="n">
        <f aca="false">SUM(O195:Z195)</f>
        <v>466141.666666667</v>
      </c>
      <c r="AP195" s="11" t="n">
        <f aca="false">SUM(AA195:AL195)</f>
        <v>585600</v>
      </c>
    </row>
    <row r="196" customFormat="false" ht="15" hidden="false" customHeight="false" outlineLevel="0" collapsed="false">
      <c r="A196" s="0" t="s">
        <v>997</v>
      </c>
      <c r="B196" s="0" t="s">
        <v>618</v>
      </c>
      <c r="C196" s="13" t="n">
        <f aca="false">SUMPRODUCT(Headcount!$D$5:$D$90*((Headcount!$I$5:$I$90=0)+(Headcount!$I$5:$I$90=1)*$C$16)*(C$18&gt;=(Headcount!$E$5:$E$90+Headcount!$G$5:$G$90*$C$15)))</f>
        <v>4.4</v>
      </c>
      <c r="D196" s="13" t="n">
        <f aca="false">SUMPRODUCT(Headcount!$D$5:$D$90*((Headcount!$I$5:$I$90=0)+(Headcount!$I$5:$I$90=1)*$C$16)*(D$18&gt;=(Headcount!$E$5:$E$90+Headcount!$G$5:$G$90*$C$15)))</f>
        <v>4.4</v>
      </c>
      <c r="E196" s="13" t="n">
        <f aca="false">SUMPRODUCT(Headcount!$D$5:$D$90*((Headcount!$I$5:$I$90=0)+(Headcount!$I$5:$I$90=1)*$C$16)*(E$18&gt;=(Headcount!$E$5:$E$90+Headcount!$G$5:$G$90*$C$15)))</f>
        <v>5.4</v>
      </c>
      <c r="F196" s="13" t="n">
        <f aca="false">SUMPRODUCT(Headcount!$D$5:$D$90*((Headcount!$I$5:$I$90=0)+(Headcount!$I$5:$I$90=1)*$C$16)*(F$18&gt;=(Headcount!$E$5:$E$90+Headcount!$G$5:$G$90*$C$15)))</f>
        <v>6.4</v>
      </c>
      <c r="G196" s="13" t="n">
        <f aca="false">SUMPRODUCT(Headcount!$D$5:$D$90*((Headcount!$I$5:$I$90=0)+(Headcount!$I$5:$I$90=1)*$C$16)*(G$18&gt;=(Headcount!$E$5:$E$90+Headcount!$G$5:$G$90*$C$15)))</f>
        <v>8.4</v>
      </c>
      <c r="H196" s="13" t="n">
        <f aca="false">SUMPRODUCT(Headcount!$D$5:$D$90*((Headcount!$I$5:$I$90=0)+(Headcount!$I$5:$I$90=1)*$C$16)*(H$18&gt;=(Headcount!$E$5:$E$90+Headcount!$G$5:$G$90*$C$15)))</f>
        <v>10.4</v>
      </c>
      <c r="I196" s="13" t="n">
        <f aca="false">SUMPRODUCT(Headcount!$D$5:$D$90*((Headcount!$I$5:$I$90=0)+(Headcount!$I$5:$I$90=1)*$C$16)*(I$18&gt;=(Headcount!$E$5:$E$90+Headcount!$G$5:$G$90*$C$15)))</f>
        <v>11.4</v>
      </c>
      <c r="J196" s="13" t="n">
        <f aca="false">SUMPRODUCT(Headcount!$D$5:$D$90*((Headcount!$I$5:$I$90=0)+(Headcount!$I$5:$I$90=1)*$C$16)*(J$18&gt;=(Headcount!$E$5:$E$90+Headcount!$G$5:$G$90*$C$15)))</f>
        <v>11.4</v>
      </c>
      <c r="K196" s="13" t="n">
        <f aca="false">SUMPRODUCT(Headcount!$D$5:$D$90*((Headcount!$I$5:$I$90=0)+(Headcount!$I$5:$I$90=1)*$C$16)*(K$18&gt;=(Headcount!$E$5:$E$90+Headcount!$G$5:$G$90*$C$15)))</f>
        <v>14.4</v>
      </c>
      <c r="L196" s="13" t="n">
        <f aca="false">SUMPRODUCT(Headcount!$D$5:$D$90*((Headcount!$I$5:$I$90=0)+(Headcount!$I$5:$I$90=1)*$C$16)*(L$18&gt;=(Headcount!$E$5:$E$90+Headcount!$G$5:$G$90*$C$15)))</f>
        <v>15.4</v>
      </c>
      <c r="M196" s="13" t="n">
        <f aca="false">SUMPRODUCT(Headcount!$D$5:$D$90*((Headcount!$I$5:$I$90=0)+(Headcount!$I$5:$I$90=1)*$C$16)*(M$18&gt;=(Headcount!$E$5:$E$90+Headcount!$G$5:$G$90*$C$15)))</f>
        <v>17.4</v>
      </c>
      <c r="N196" s="13" t="n">
        <f aca="false">SUMPRODUCT(Headcount!$D$5:$D$90*((Headcount!$I$5:$I$90=0)+(Headcount!$I$5:$I$90=1)*$C$16)*(N$18&gt;=(Headcount!$E$5:$E$90+Headcount!$G$5:$G$90*$C$15)))</f>
        <v>18.4</v>
      </c>
      <c r="O196" s="13" t="n">
        <f aca="false">SUMPRODUCT(Headcount!$D$5:$D$90*((Headcount!$I$5:$I$90=0)+(Headcount!$I$5:$I$90=1)*$C$16)*(O$18&gt;=(Headcount!$E$5:$E$90+Headcount!$G$5:$G$90*$C$15)))</f>
        <v>20.4</v>
      </c>
      <c r="P196" s="13" t="n">
        <f aca="false">SUMPRODUCT(Headcount!$D$5:$D$90*((Headcount!$I$5:$I$90=0)+(Headcount!$I$5:$I$90=1)*$C$16)*(P$18&gt;=(Headcount!$E$5:$E$90+Headcount!$G$5:$G$90*$C$15)))</f>
        <v>21.4</v>
      </c>
      <c r="Q196" s="13" t="n">
        <f aca="false">SUMPRODUCT(Headcount!$D$5:$D$90*((Headcount!$I$5:$I$90=0)+(Headcount!$I$5:$I$90=1)*$C$16)*(Q$18&gt;=(Headcount!$E$5:$E$90+Headcount!$G$5:$G$90*$C$15)))</f>
        <v>23.4</v>
      </c>
      <c r="R196" s="13" t="n">
        <f aca="false">SUMPRODUCT(Headcount!$D$5:$D$90*((Headcount!$I$5:$I$90=0)+(Headcount!$I$5:$I$90=1)*$C$16)*(R$18&gt;=(Headcount!$E$5:$E$90+Headcount!$G$5:$G$90*$C$15)))</f>
        <v>23.4</v>
      </c>
      <c r="S196" s="13" t="n">
        <f aca="false">SUMPRODUCT(Headcount!$D$5:$D$90*((Headcount!$I$5:$I$90=0)+(Headcount!$I$5:$I$90=1)*$C$16)*(S$18&gt;=(Headcount!$E$5:$E$90+Headcount!$G$5:$G$90*$C$15)))</f>
        <v>23.4</v>
      </c>
      <c r="T196" s="13" t="n">
        <f aca="false">SUMPRODUCT(Headcount!$D$5:$D$90*((Headcount!$I$5:$I$90=0)+(Headcount!$I$5:$I$90=1)*$C$16)*(T$18&gt;=(Headcount!$E$5:$E$90+Headcount!$G$5:$G$90*$C$15)))</f>
        <v>25.4</v>
      </c>
      <c r="U196" s="13" t="n">
        <f aca="false">SUMPRODUCT(Headcount!$D$5:$D$90*((Headcount!$I$5:$I$90=0)+(Headcount!$I$5:$I$90=1)*$C$16)*(U$18&gt;=(Headcount!$E$5:$E$90+Headcount!$G$5:$G$90*$C$15)))</f>
        <v>26.4</v>
      </c>
      <c r="V196" s="13" t="n">
        <f aca="false">SUMPRODUCT(Headcount!$D$5:$D$90*((Headcount!$I$5:$I$90=0)+(Headcount!$I$5:$I$90=1)*$C$16)*(V$18&gt;=(Headcount!$E$5:$E$90+Headcount!$G$5:$G$90*$C$15)))</f>
        <v>28.4</v>
      </c>
      <c r="W196" s="13" t="n">
        <f aca="false">SUMPRODUCT(Headcount!$D$5:$D$90*((Headcount!$I$5:$I$90=0)+(Headcount!$I$5:$I$90=1)*$C$16)*(W$18&gt;=(Headcount!$E$5:$E$90+Headcount!$G$5:$G$90*$C$15)))</f>
        <v>28.4</v>
      </c>
      <c r="X196" s="13" t="n">
        <f aca="false">SUMPRODUCT(Headcount!$D$5:$D$90*((Headcount!$I$5:$I$90=0)+(Headcount!$I$5:$I$90=1)*$C$16)*(X$18&gt;=(Headcount!$E$5:$E$90+Headcount!$G$5:$G$90*$C$15)))</f>
        <v>30.4</v>
      </c>
      <c r="Y196" s="13" t="n">
        <f aca="false">SUMPRODUCT(Headcount!$D$5:$D$90*((Headcount!$I$5:$I$90=0)+(Headcount!$I$5:$I$90=1)*$C$16)*(Y$18&gt;=(Headcount!$E$5:$E$90+Headcount!$G$5:$G$90*$C$15)))</f>
        <v>30.4</v>
      </c>
      <c r="Z196" s="13" t="n">
        <f aca="false">SUMPRODUCT(Headcount!$D$5:$D$90*((Headcount!$I$5:$I$90=0)+(Headcount!$I$5:$I$90=1)*$C$16)*(Z$18&gt;=(Headcount!$E$5:$E$90+Headcount!$G$5:$G$90*$C$15)))</f>
        <v>31.4</v>
      </c>
      <c r="AA196" s="13" t="n">
        <f aca="false">SUMPRODUCT(Headcount!$D$5:$D$90*((Headcount!$I$5:$I$90=0)+(Headcount!$I$5:$I$90=1)*$C$16)*(AA$18&gt;=(Headcount!$E$5:$E$90+Headcount!$G$5:$G$90*$C$15)))</f>
        <v>32.4</v>
      </c>
      <c r="AB196" s="13" t="n">
        <f aca="false">SUMPRODUCT(Headcount!$D$5:$D$90*((Headcount!$I$5:$I$90=0)+(Headcount!$I$5:$I$90=1)*$C$16)*(AB$18&gt;=(Headcount!$E$5:$E$90+Headcount!$G$5:$G$90*$C$15)))</f>
        <v>34.4</v>
      </c>
      <c r="AC196" s="13" t="n">
        <f aca="false">SUMPRODUCT(Headcount!$D$5:$D$90*((Headcount!$I$5:$I$90=0)+(Headcount!$I$5:$I$90=1)*$C$16)*(AC$18&gt;=(Headcount!$E$5:$E$90+Headcount!$G$5:$G$90*$C$15)))</f>
        <v>34.4</v>
      </c>
      <c r="AD196" s="13" t="n">
        <f aca="false">SUMPRODUCT(Headcount!$D$5:$D$90*((Headcount!$I$5:$I$90=0)+(Headcount!$I$5:$I$90=1)*$C$16)*(AD$18&gt;=(Headcount!$E$5:$E$90+Headcount!$G$5:$G$90*$C$15)))</f>
        <v>36.4</v>
      </c>
      <c r="AE196" s="13" t="n">
        <f aca="false">SUMPRODUCT(Headcount!$D$5:$D$90*((Headcount!$I$5:$I$90=0)+(Headcount!$I$5:$I$90=1)*$C$16)*(AE$18&gt;=(Headcount!$E$5:$E$90+Headcount!$G$5:$G$90*$C$15)))</f>
        <v>36.4</v>
      </c>
      <c r="AF196" s="13" t="n">
        <f aca="false">SUMPRODUCT(Headcount!$D$5:$D$90*((Headcount!$I$5:$I$90=0)+(Headcount!$I$5:$I$90=1)*$C$16)*(AF$18&gt;=(Headcount!$E$5:$E$90+Headcount!$G$5:$G$90*$C$15)))</f>
        <v>37.4</v>
      </c>
      <c r="AG196" s="13" t="n">
        <f aca="false">SUMPRODUCT(Headcount!$D$5:$D$90*((Headcount!$I$5:$I$90=0)+(Headcount!$I$5:$I$90=1)*$C$16)*(AG$18&gt;=(Headcount!$E$5:$E$90+Headcount!$G$5:$G$90*$C$15)))</f>
        <v>38.4</v>
      </c>
      <c r="AH196" s="13" t="n">
        <f aca="false">SUMPRODUCT(Headcount!$D$5:$D$90*((Headcount!$I$5:$I$90=0)+(Headcount!$I$5:$I$90=1)*$C$16)*(AH$18&gt;=(Headcount!$E$5:$E$90+Headcount!$G$5:$G$90*$C$15)))</f>
        <v>39.4</v>
      </c>
      <c r="AI196" s="13" t="n">
        <f aca="false">SUMPRODUCT(Headcount!$D$5:$D$90*((Headcount!$I$5:$I$90=0)+(Headcount!$I$5:$I$90=1)*$C$16)*(AI$18&gt;=(Headcount!$E$5:$E$90+Headcount!$G$5:$G$90*$C$15)))</f>
        <v>40.4</v>
      </c>
      <c r="AJ196" s="13" t="n">
        <f aca="false">SUMPRODUCT(Headcount!$D$5:$D$90*((Headcount!$I$5:$I$90=0)+(Headcount!$I$5:$I$90=1)*$C$16)*(AJ$18&gt;=(Headcount!$E$5:$E$90+Headcount!$G$5:$G$90*$C$15)))</f>
        <v>40.4</v>
      </c>
      <c r="AK196" s="13" t="n">
        <f aca="false">SUMPRODUCT(Headcount!$D$5:$D$90*((Headcount!$I$5:$I$90=0)+(Headcount!$I$5:$I$90=1)*$C$16)*(AK$18&gt;=(Headcount!$E$5:$E$90+Headcount!$G$5:$G$90*$C$15)))</f>
        <v>40.4</v>
      </c>
      <c r="AL196" s="13" t="n">
        <f aca="false">SUMPRODUCT(Headcount!$D$5:$D$90*((Headcount!$I$5:$I$90=0)+(Headcount!$I$5:$I$90=1)*$C$16)*(AL$18&gt;=(Headcount!$E$5:$E$90+Headcount!$G$5:$G$90*$C$15)))</f>
        <v>40.4</v>
      </c>
      <c r="AN196" s="37" t="n">
        <f aca="false">N196</f>
        <v>18.4</v>
      </c>
      <c r="AO196" s="37" t="n">
        <f aca="false">Z196</f>
        <v>31.4</v>
      </c>
      <c r="AP196" s="37" t="n">
        <f aca="false">AL196</f>
        <v>40.4</v>
      </c>
    </row>
    <row r="197" customFormat="false" ht="15" hidden="false" customHeight="false" outlineLevel="0" collapsed="false">
      <c r="A197" s="0" t="s">
        <v>998</v>
      </c>
      <c r="B197" s="0" t="s">
        <v>618</v>
      </c>
      <c r="C197" s="13" t="n">
        <f aca="false">SUMPRODUCT(Headcount!$D$5:$D$90*(Headcount!$C$5:$C$90="IMPL")*((Headcount!$I$5:$I$90=0)+(Headcount!$I$5:$I$90=1)*$C$16)*(C$18&gt;=(Headcount!$E$5:$E$90+Headcount!$G$5:$G$90*$C$15)))</f>
        <v>0</v>
      </c>
      <c r="D197" s="13" t="n">
        <f aca="false">SUMPRODUCT(Headcount!$D$5:$D$90*(Headcount!$C$5:$C$90="IMPL")*((Headcount!$I$5:$I$90=0)+(Headcount!$I$5:$I$90=1)*$C$16)*(D$18&gt;=(Headcount!$E$5:$E$90+Headcount!$G$5:$G$90*$C$15)))</f>
        <v>0</v>
      </c>
      <c r="E197" s="13" t="n">
        <f aca="false">SUMPRODUCT(Headcount!$D$5:$D$90*(Headcount!$C$5:$C$90="IMPL")*((Headcount!$I$5:$I$90=0)+(Headcount!$I$5:$I$90=1)*$C$16)*(E$18&gt;=(Headcount!$E$5:$E$90+Headcount!$G$5:$G$90*$C$15)))</f>
        <v>0</v>
      </c>
      <c r="F197" s="13" t="n">
        <f aca="false">SUMPRODUCT(Headcount!$D$5:$D$90*(Headcount!$C$5:$C$90="IMPL")*((Headcount!$I$5:$I$90=0)+(Headcount!$I$5:$I$90=1)*$C$16)*(F$18&gt;=(Headcount!$E$5:$E$90+Headcount!$G$5:$G$90*$C$15)))</f>
        <v>0</v>
      </c>
      <c r="G197" s="13" t="n">
        <f aca="false">SUMPRODUCT(Headcount!$D$5:$D$90*(Headcount!$C$5:$C$90="IMPL")*((Headcount!$I$5:$I$90=0)+(Headcount!$I$5:$I$90=1)*$C$16)*(G$18&gt;=(Headcount!$E$5:$E$90+Headcount!$G$5:$G$90*$C$15)))</f>
        <v>1</v>
      </c>
      <c r="H197" s="13" t="n">
        <f aca="false">SUMPRODUCT(Headcount!$D$5:$D$90*(Headcount!$C$5:$C$90="IMPL")*((Headcount!$I$5:$I$90=0)+(Headcount!$I$5:$I$90=1)*$C$16)*(H$18&gt;=(Headcount!$E$5:$E$90+Headcount!$G$5:$G$90*$C$15)))</f>
        <v>1</v>
      </c>
      <c r="I197" s="13" t="n">
        <f aca="false">SUMPRODUCT(Headcount!$D$5:$D$90*(Headcount!$C$5:$C$90="IMPL")*((Headcount!$I$5:$I$90=0)+(Headcount!$I$5:$I$90=1)*$C$16)*(I$18&gt;=(Headcount!$E$5:$E$90+Headcount!$G$5:$G$90*$C$15)))</f>
        <v>1</v>
      </c>
      <c r="J197" s="13" t="n">
        <f aca="false">SUMPRODUCT(Headcount!$D$5:$D$90*(Headcount!$C$5:$C$90="IMPL")*((Headcount!$I$5:$I$90=0)+(Headcount!$I$5:$I$90=1)*$C$16)*(J$18&gt;=(Headcount!$E$5:$E$90+Headcount!$G$5:$G$90*$C$15)))</f>
        <v>1</v>
      </c>
      <c r="K197" s="13" t="n">
        <f aca="false">SUMPRODUCT(Headcount!$D$5:$D$90*(Headcount!$C$5:$C$90="IMPL")*((Headcount!$I$5:$I$90=0)+(Headcount!$I$5:$I$90=1)*$C$16)*(K$18&gt;=(Headcount!$E$5:$E$90+Headcount!$G$5:$G$90*$C$15)))</f>
        <v>1</v>
      </c>
      <c r="L197" s="13" t="n">
        <f aca="false">SUMPRODUCT(Headcount!$D$5:$D$90*(Headcount!$C$5:$C$90="IMPL")*((Headcount!$I$5:$I$90=0)+(Headcount!$I$5:$I$90=1)*$C$16)*(L$18&gt;=(Headcount!$E$5:$E$90+Headcount!$G$5:$G$90*$C$15)))</f>
        <v>1</v>
      </c>
      <c r="M197" s="13" t="n">
        <f aca="false">SUMPRODUCT(Headcount!$D$5:$D$90*(Headcount!$C$5:$C$90="IMPL")*((Headcount!$I$5:$I$90=0)+(Headcount!$I$5:$I$90=1)*$C$16)*(M$18&gt;=(Headcount!$E$5:$E$90+Headcount!$G$5:$G$90*$C$15)))</f>
        <v>2</v>
      </c>
      <c r="N197" s="13" t="n">
        <f aca="false">SUMPRODUCT(Headcount!$D$5:$D$90*(Headcount!$C$5:$C$90="IMPL")*((Headcount!$I$5:$I$90=0)+(Headcount!$I$5:$I$90=1)*$C$16)*(N$18&gt;=(Headcount!$E$5:$E$90+Headcount!$G$5:$G$90*$C$15)))</f>
        <v>2</v>
      </c>
      <c r="O197" s="13" t="n">
        <f aca="false">SUMPRODUCT(Headcount!$D$5:$D$90*(Headcount!$C$5:$C$90="IMPL")*((Headcount!$I$5:$I$90=0)+(Headcount!$I$5:$I$90=1)*$C$16)*(O$18&gt;=(Headcount!$E$5:$E$90+Headcount!$G$5:$G$90*$C$15)))</f>
        <v>2</v>
      </c>
      <c r="P197" s="13" t="n">
        <f aca="false">SUMPRODUCT(Headcount!$D$5:$D$90*(Headcount!$C$5:$C$90="IMPL")*((Headcount!$I$5:$I$90=0)+(Headcount!$I$5:$I$90=1)*$C$16)*(P$18&gt;=(Headcount!$E$5:$E$90+Headcount!$G$5:$G$90*$C$15)))</f>
        <v>2</v>
      </c>
      <c r="Q197" s="13" t="n">
        <f aca="false">SUMPRODUCT(Headcount!$D$5:$D$90*(Headcount!$C$5:$C$90="IMPL")*((Headcount!$I$5:$I$90=0)+(Headcount!$I$5:$I$90=1)*$C$16)*(Q$18&gt;=(Headcount!$E$5:$E$90+Headcount!$G$5:$G$90*$C$15)))</f>
        <v>3</v>
      </c>
      <c r="R197" s="13" t="n">
        <f aca="false">SUMPRODUCT(Headcount!$D$5:$D$90*(Headcount!$C$5:$C$90="IMPL")*((Headcount!$I$5:$I$90=0)+(Headcount!$I$5:$I$90=1)*$C$16)*(R$18&gt;=(Headcount!$E$5:$E$90+Headcount!$G$5:$G$90*$C$15)))</f>
        <v>3</v>
      </c>
      <c r="S197" s="13" t="n">
        <f aca="false">SUMPRODUCT(Headcount!$D$5:$D$90*(Headcount!$C$5:$C$90="IMPL")*((Headcount!$I$5:$I$90=0)+(Headcount!$I$5:$I$90=1)*$C$16)*(S$18&gt;=(Headcount!$E$5:$E$90+Headcount!$G$5:$G$90*$C$15)))</f>
        <v>3</v>
      </c>
      <c r="T197" s="13" t="n">
        <f aca="false">SUMPRODUCT(Headcount!$D$5:$D$90*(Headcount!$C$5:$C$90="IMPL")*((Headcount!$I$5:$I$90=0)+(Headcount!$I$5:$I$90=1)*$C$16)*(T$18&gt;=(Headcount!$E$5:$E$90+Headcount!$G$5:$G$90*$C$15)))</f>
        <v>3</v>
      </c>
      <c r="U197" s="13" t="n">
        <f aca="false">SUMPRODUCT(Headcount!$D$5:$D$90*(Headcount!$C$5:$C$90="IMPL")*((Headcount!$I$5:$I$90=0)+(Headcount!$I$5:$I$90=1)*$C$16)*(U$18&gt;=(Headcount!$E$5:$E$90+Headcount!$G$5:$G$90*$C$15)))</f>
        <v>4</v>
      </c>
      <c r="V197" s="13" t="n">
        <f aca="false">SUMPRODUCT(Headcount!$D$5:$D$90*(Headcount!$C$5:$C$90="IMPL")*((Headcount!$I$5:$I$90=0)+(Headcount!$I$5:$I$90=1)*$C$16)*(V$18&gt;=(Headcount!$E$5:$E$90+Headcount!$G$5:$G$90*$C$15)))</f>
        <v>4</v>
      </c>
      <c r="W197" s="13" t="n">
        <f aca="false">SUMPRODUCT(Headcount!$D$5:$D$90*(Headcount!$C$5:$C$90="IMPL")*((Headcount!$I$5:$I$90=0)+(Headcount!$I$5:$I$90=1)*$C$16)*(W$18&gt;=(Headcount!$E$5:$E$90+Headcount!$G$5:$G$90*$C$15)))</f>
        <v>4</v>
      </c>
      <c r="X197" s="13" t="n">
        <f aca="false">SUMPRODUCT(Headcount!$D$5:$D$90*(Headcount!$C$5:$C$90="IMPL")*((Headcount!$I$5:$I$90=0)+(Headcount!$I$5:$I$90=1)*$C$16)*(X$18&gt;=(Headcount!$E$5:$E$90+Headcount!$G$5:$G$90*$C$15)))</f>
        <v>5</v>
      </c>
      <c r="Y197" s="13" t="n">
        <f aca="false">SUMPRODUCT(Headcount!$D$5:$D$90*(Headcount!$C$5:$C$90="IMPL")*((Headcount!$I$5:$I$90=0)+(Headcount!$I$5:$I$90=1)*$C$16)*(Y$18&gt;=(Headcount!$E$5:$E$90+Headcount!$G$5:$G$90*$C$15)))</f>
        <v>5</v>
      </c>
      <c r="Z197" s="13" t="n">
        <f aca="false">SUMPRODUCT(Headcount!$D$5:$D$90*(Headcount!$C$5:$C$90="IMPL")*((Headcount!$I$5:$I$90=0)+(Headcount!$I$5:$I$90=1)*$C$16)*(Z$18&gt;=(Headcount!$E$5:$E$90+Headcount!$G$5:$G$90*$C$15)))</f>
        <v>5</v>
      </c>
      <c r="AA197" s="13" t="n">
        <f aca="false">SUMPRODUCT(Headcount!$D$5:$D$90*(Headcount!$C$5:$C$90="IMPL")*((Headcount!$I$5:$I$90=0)+(Headcount!$I$5:$I$90=1)*$C$16)*(AA$18&gt;=(Headcount!$E$5:$E$90+Headcount!$G$5:$G$90*$C$15)))</f>
        <v>6</v>
      </c>
      <c r="AB197" s="13" t="n">
        <f aca="false">SUMPRODUCT(Headcount!$D$5:$D$90*(Headcount!$C$5:$C$90="IMPL")*((Headcount!$I$5:$I$90=0)+(Headcount!$I$5:$I$90=1)*$C$16)*(AB$18&gt;=(Headcount!$E$5:$E$90+Headcount!$G$5:$G$90*$C$15)))</f>
        <v>6</v>
      </c>
      <c r="AC197" s="13" t="n">
        <f aca="false">SUMPRODUCT(Headcount!$D$5:$D$90*(Headcount!$C$5:$C$90="IMPL")*((Headcount!$I$5:$I$90=0)+(Headcount!$I$5:$I$90=1)*$C$16)*(AC$18&gt;=(Headcount!$E$5:$E$90+Headcount!$G$5:$G$90*$C$15)))</f>
        <v>6</v>
      </c>
      <c r="AD197" s="13" t="n">
        <f aca="false">SUMPRODUCT(Headcount!$D$5:$D$90*(Headcount!$C$5:$C$90="IMPL")*((Headcount!$I$5:$I$90=0)+(Headcount!$I$5:$I$90=1)*$C$16)*(AD$18&gt;=(Headcount!$E$5:$E$90+Headcount!$G$5:$G$90*$C$15)))</f>
        <v>7</v>
      </c>
      <c r="AE197" s="13" t="n">
        <f aca="false">SUMPRODUCT(Headcount!$D$5:$D$90*(Headcount!$C$5:$C$90="IMPL")*((Headcount!$I$5:$I$90=0)+(Headcount!$I$5:$I$90=1)*$C$16)*(AE$18&gt;=(Headcount!$E$5:$E$90+Headcount!$G$5:$G$90*$C$15)))</f>
        <v>7</v>
      </c>
      <c r="AF197" s="13" t="n">
        <f aca="false">SUMPRODUCT(Headcount!$D$5:$D$90*(Headcount!$C$5:$C$90="IMPL")*((Headcount!$I$5:$I$90=0)+(Headcount!$I$5:$I$90=1)*$C$16)*(AF$18&gt;=(Headcount!$E$5:$E$90+Headcount!$G$5:$G$90*$C$15)))</f>
        <v>7</v>
      </c>
      <c r="AG197" s="13" t="n">
        <f aca="false">SUMPRODUCT(Headcount!$D$5:$D$90*(Headcount!$C$5:$C$90="IMPL")*((Headcount!$I$5:$I$90=0)+(Headcount!$I$5:$I$90=1)*$C$16)*(AG$18&gt;=(Headcount!$E$5:$E$90+Headcount!$G$5:$G$90*$C$15)))</f>
        <v>8</v>
      </c>
      <c r="AH197" s="13" t="n">
        <f aca="false">SUMPRODUCT(Headcount!$D$5:$D$90*(Headcount!$C$5:$C$90="IMPL")*((Headcount!$I$5:$I$90=0)+(Headcount!$I$5:$I$90=1)*$C$16)*(AH$18&gt;=(Headcount!$E$5:$E$90+Headcount!$G$5:$G$90*$C$15)))</f>
        <v>8</v>
      </c>
      <c r="AI197" s="13" t="n">
        <f aca="false">SUMPRODUCT(Headcount!$D$5:$D$90*(Headcount!$C$5:$C$90="IMPL")*((Headcount!$I$5:$I$90=0)+(Headcount!$I$5:$I$90=1)*$C$16)*(AI$18&gt;=(Headcount!$E$5:$E$90+Headcount!$G$5:$G$90*$C$15)))</f>
        <v>8</v>
      </c>
      <c r="AJ197" s="13" t="n">
        <f aca="false">SUMPRODUCT(Headcount!$D$5:$D$90*(Headcount!$C$5:$C$90="IMPL")*((Headcount!$I$5:$I$90=0)+(Headcount!$I$5:$I$90=1)*$C$16)*(AJ$18&gt;=(Headcount!$E$5:$E$90+Headcount!$G$5:$G$90*$C$15)))</f>
        <v>8</v>
      </c>
      <c r="AK197" s="13" t="n">
        <f aca="false">SUMPRODUCT(Headcount!$D$5:$D$90*(Headcount!$C$5:$C$90="IMPL")*((Headcount!$I$5:$I$90=0)+(Headcount!$I$5:$I$90=1)*$C$16)*(AK$18&gt;=(Headcount!$E$5:$E$90+Headcount!$G$5:$G$90*$C$15)))</f>
        <v>8</v>
      </c>
      <c r="AL197" s="13" t="n">
        <f aca="false">SUMPRODUCT(Headcount!$D$5:$D$90*(Headcount!$C$5:$C$90="IMPL")*((Headcount!$I$5:$I$90=0)+(Headcount!$I$5:$I$90=1)*$C$16)*(AL$18&gt;=(Headcount!$E$5:$E$90+Headcount!$G$5:$G$90*$C$15)))</f>
        <v>8</v>
      </c>
      <c r="AN197" s="37" t="n">
        <f aca="false">N197</f>
        <v>2</v>
      </c>
      <c r="AO197" s="37" t="n">
        <f aca="false">Z197</f>
        <v>5</v>
      </c>
      <c r="AP197" s="37" t="n">
        <f aca="false">AL197</f>
        <v>8</v>
      </c>
    </row>
    <row r="198" customFormat="false" ht="15" hidden="false" customHeight="false" outlineLevel="0" collapsed="false">
      <c r="A198" s="0" t="s">
        <v>999</v>
      </c>
      <c r="B198" s="0" t="s">
        <v>618</v>
      </c>
      <c r="C198" s="13" t="n">
        <f aca="false">IF(C$18&gt;=2,SUMPRODUCT(Headcount!$D$5:$D$90*((Headcount!$I$5:$I$90=0)+(Headcount!$I$5:$I$90=1)*$C$16)*((Headcount!$E$5:$E$90+Headcount!$G$5:$G$90*$C$15)=C$18)),0)</f>
        <v>0</v>
      </c>
      <c r="D198" s="13" t="n">
        <f aca="false">IF(D$18&gt;=2,SUMPRODUCT(Headcount!$D$5:$D$90*((Headcount!$I$5:$I$90=0)+(Headcount!$I$5:$I$90=1)*$C$16)*((Headcount!$E$5:$E$90+Headcount!$G$5:$G$90*$C$15)=D$18)),0)</f>
        <v>0</v>
      </c>
      <c r="E198" s="13" t="n">
        <f aca="false">IF(E$18&gt;=2,SUMPRODUCT(Headcount!$D$5:$D$90*((Headcount!$I$5:$I$90=0)+(Headcount!$I$5:$I$90=1)*$C$16)*((Headcount!$E$5:$E$90+Headcount!$G$5:$G$90*$C$15)=E$18)),0)</f>
        <v>1</v>
      </c>
      <c r="F198" s="13" t="n">
        <f aca="false">IF(F$18&gt;=2,SUMPRODUCT(Headcount!$D$5:$D$90*((Headcount!$I$5:$I$90=0)+(Headcount!$I$5:$I$90=1)*$C$16)*((Headcount!$E$5:$E$90+Headcount!$G$5:$G$90*$C$15)=F$18)),0)</f>
        <v>1</v>
      </c>
      <c r="G198" s="13" t="n">
        <f aca="false">IF(G$18&gt;=2,SUMPRODUCT(Headcount!$D$5:$D$90*((Headcount!$I$5:$I$90=0)+(Headcount!$I$5:$I$90=1)*$C$16)*((Headcount!$E$5:$E$90+Headcount!$G$5:$G$90*$C$15)=G$18)),0)</f>
        <v>2</v>
      </c>
      <c r="H198" s="13" t="n">
        <f aca="false">IF(H$18&gt;=2,SUMPRODUCT(Headcount!$D$5:$D$90*((Headcount!$I$5:$I$90=0)+(Headcount!$I$5:$I$90=1)*$C$16)*((Headcount!$E$5:$E$90+Headcount!$G$5:$G$90*$C$15)=H$18)),0)</f>
        <v>2</v>
      </c>
      <c r="I198" s="13" t="n">
        <f aca="false">IF(I$18&gt;=2,SUMPRODUCT(Headcount!$D$5:$D$90*((Headcount!$I$5:$I$90=0)+(Headcount!$I$5:$I$90=1)*$C$16)*((Headcount!$E$5:$E$90+Headcount!$G$5:$G$90*$C$15)=I$18)),0)</f>
        <v>1</v>
      </c>
      <c r="J198" s="13" t="n">
        <f aca="false">IF(J$18&gt;=2,SUMPRODUCT(Headcount!$D$5:$D$90*((Headcount!$I$5:$I$90=0)+(Headcount!$I$5:$I$90=1)*$C$16)*((Headcount!$E$5:$E$90+Headcount!$G$5:$G$90*$C$15)=J$18)),0)</f>
        <v>0</v>
      </c>
      <c r="K198" s="13" t="n">
        <f aca="false">IF(K$18&gt;=2,SUMPRODUCT(Headcount!$D$5:$D$90*((Headcount!$I$5:$I$90=0)+(Headcount!$I$5:$I$90=1)*$C$16)*((Headcount!$E$5:$E$90+Headcount!$G$5:$G$90*$C$15)=K$18)),0)</f>
        <v>3</v>
      </c>
      <c r="L198" s="13" t="n">
        <f aca="false">IF(L$18&gt;=2,SUMPRODUCT(Headcount!$D$5:$D$90*((Headcount!$I$5:$I$90=0)+(Headcount!$I$5:$I$90=1)*$C$16)*((Headcount!$E$5:$E$90+Headcount!$G$5:$G$90*$C$15)=L$18)),0)</f>
        <v>1</v>
      </c>
      <c r="M198" s="13" t="n">
        <f aca="false">IF(M$18&gt;=2,SUMPRODUCT(Headcount!$D$5:$D$90*((Headcount!$I$5:$I$90=0)+(Headcount!$I$5:$I$90=1)*$C$16)*((Headcount!$E$5:$E$90+Headcount!$G$5:$G$90*$C$15)=M$18)),0)</f>
        <v>2</v>
      </c>
      <c r="N198" s="13" t="n">
        <f aca="false">IF(N$18&gt;=2,SUMPRODUCT(Headcount!$D$5:$D$90*((Headcount!$I$5:$I$90=0)+(Headcount!$I$5:$I$90=1)*$C$16)*((Headcount!$E$5:$E$90+Headcount!$G$5:$G$90*$C$15)=N$18)),0)</f>
        <v>1</v>
      </c>
      <c r="O198" s="13" t="n">
        <f aca="false">IF(O$18&gt;=2,SUMPRODUCT(Headcount!$D$5:$D$90*((Headcount!$I$5:$I$90=0)+(Headcount!$I$5:$I$90=1)*$C$16)*((Headcount!$E$5:$E$90+Headcount!$G$5:$G$90*$C$15)=O$18)),0)</f>
        <v>2</v>
      </c>
      <c r="P198" s="13" t="n">
        <f aca="false">IF(P$18&gt;=2,SUMPRODUCT(Headcount!$D$5:$D$90*((Headcount!$I$5:$I$90=0)+(Headcount!$I$5:$I$90=1)*$C$16)*((Headcount!$E$5:$E$90+Headcount!$G$5:$G$90*$C$15)=P$18)),0)</f>
        <v>1</v>
      </c>
      <c r="Q198" s="13" t="n">
        <f aca="false">IF(Q$18&gt;=2,SUMPRODUCT(Headcount!$D$5:$D$90*((Headcount!$I$5:$I$90=0)+(Headcount!$I$5:$I$90=1)*$C$16)*((Headcount!$E$5:$E$90+Headcount!$G$5:$G$90*$C$15)=Q$18)),0)</f>
        <v>2</v>
      </c>
      <c r="R198" s="13" t="n">
        <f aca="false">IF(R$18&gt;=2,SUMPRODUCT(Headcount!$D$5:$D$90*((Headcount!$I$5:$I$90=0)+(Headcount!$I$5:$I$90=1)*$C$16)*((Headcount!$E$5:$E$90+Headcount!$G$5:$G$90*$C$15)=R$18)),0)</f>
        <v>0</v>
      </c>
      <c r="S198" s="13" t="n">
        <f aca="false">IF(S$18&gt;=2,SUMPRODUCT(Headcount!$D$5:$D$90*((Headcount!$I$5:$I$90=0)+(Headcount!$I$5:$I$90=1)*$C$16)*((Headcount!$E$5:$E$90+Headcount!$G$5:$G$90*$C$15)=S$18)),0)</f>
        <v>0</v>
      </c>
      <c r="T198" s="13" t="n">
        <f aca="false">IF(T$18&gt;=2,SUMPRODUCT(Headcount!$D$5:$D$90*((Headcount!$I$5:$I$90=0)+(Headcount!$I$5:$I$90=1)*$C$16)*((Headcount!$E$5:$E$90+Headcount!$G$5:$G$90*$C$15)=T$18)),0)</f>
        <v>2</v>
      </c>
      <c r="U198" s="13" t="n">
        <f aca="false">IF(U$18&gt;=2,SUMPRODUCT(Headcount!$D$5:$D$90*((Headcount!$I$5:$I$90=0)+(Headcount!$I$5:$I$90=1)*$C$16)*((Headcount!$E$5:$E$90+Headcount!$G$5:$G$90*$C$15)=U$18)),0)</f>
        <v>1</v>
      </c>
      <c r="V198" s="13" t="n">
        <f aca="false">IF(V$18&gt;=2,SUMPRODUCT(Headcount!$D$5:$D$90*((Headcount!$I$5:$I$90=0)+(Headcount!$I$5:$I$90=1)*$C$16)*((Headcount!$E$5:$E$90+Headcount!$G$5:$G$90*$C$15)=V$18)),0)</f>
        <v>2</v>
      </c>
      <c r="W198" s="13" t="n">
        <f aca="false">IF(W$18&gt;=2,SUMPRODUCT(Headcount!$D$5:$D$90*((Headcount!$I$5:$I$90=0)+(Headcount!$I$5:$I$90=1)*$C$16)*((Headcount!$E$5:$E$90+Headcount!$G$5:$G$90*$C$15)=W$18)),0)</f>
        <v>0</v>
      </c>
      <c r="X198" s="13" t="n">
        <f aca="false">IF(X$18&gt;=2,SUMPRODUCT(Headcount!$D$5:$D$90*((Headcount!$I$5:$I$90=0)+(Headcount!$I$5:$I$90=1)*$C$16)*((Headcount!$E$5:$E$90+Headcount!$G$5:$G$90*$C$15)=X$18)),0)</f>
        <v>2</v>
      </c>
      <c r="Y198" s="13" t="n">
        <f aca="false">IF(Y$18&gt;=2,SUMPRODUCT(Headcount!$D$5:$D$90*((Headcount!$I$5:$I$90=0)+(Headcount!$I$5:$I$90=1)*$C$16)*((Headcount!$E$5:$E$90+Headcount!$G$5:$G$90*$C$15)=Y$18)),0)</f>
        <v>0</v>
      </c>
      <c r="Z198" s="13" t="n">
        <f aca="false">IF(Z$18&gt;=2,SUMPRODUCT(Headcount!$D$5:$D$90*((Headcount!$I$5:$I$90=0)+(Headcount!$I$5:$I$90=1)*$C$16)*((Headcount!$E$5:$E$90+Headcount!$G$5:$G$90*$C$15)=Z$18)),0)</f>
        <v>1</v>
      </c>
      <c r="AA198" s="13" t="n">
        <f aca="false">IF(AA$18&gt;=2,SUMPRODUCT(Headcount!$D$5:$D$90*((Headcount!$I$5:$I$90=0)+(Headcount!$I$5:$I$90=1)*$C$16)*((Headcount!$E$5:$E$90+Headcount!$G$5:$G$90*$C$15)=AA$18)),0)</f>
        <v>1</v>
      </c>
      <c r="AB198" s="13" t="n">
        <f aca="false">IF(AB$18&gt;=2,SUMPRODUCT(Headcount!$D$5:$D$90*((Headcount!$I$5:$I$90=0)+(Headcount!$I$5:$I$90=1)*$C$16)*((Headcount!$E$5:$E$90+Headcount!$G$5:$G$90*$C$15)=AB$18)),0)</f>
        <v>2</v>
      </c>
      <c r="AC198" s="13" t="n">
        <f aca="false">IF(AC$18&gt;=2,SUMPRODUCT(Headcount!$D$5:$D$90*((Headcount!$I$5:$I$90=0)+(Headcount!$I$5:$I$90=1)*$C$16)*((Headcount!$E$5:$E$90+Headcount!$G$5:$G$90*$C$15)=AC$18)),0)</f>
        <v>0</v>
      </c>
      <c r="AD198" s="13" t="n">
        <f aca="false">IF(AD$18&gt;=2,SUMPRODUCT(Headcount!$D$5:$D$90*((Headcount!$I$5:$I$90=0)+(Headcount!$I$5:$I$90=1)*$C$16)*((Headcount!$E$5:$E$90+Headcount!$G$5:$G$90*$C$15)=AD$18)),0)</f>
        <v>2</v>
      </c>
      <c r="AE198" s="13" t="n">
        <f aca="false">IF(AE$18&gt;=2,SUMPRODUCT(Headcount!$D$5:$D$90*((Headcount!$I$5:$I$90=0)+(Headcount!$I$5:$I$90=1)*$C$16)*((Headcount!$E$5:$E$90+Headcount!$G$5:$G$90*$C$15)=AE$18)),0)</f>
        <v>0</v>
      </c>
      <c r="AF198" s="13" t="n">
        <f aca="false">IF(AF$18&gt;=2,SUMPRODUCT(Headcount!$D$5:$D$90*((Headcount!$I$5:$I$90=0)+(Headcount!$I$5:$I$90=1)*$C$16)*((Headcount!$E$5:$E$90+Headcount!$G$5:$G$90*$C$15)=AF$18)),0)</f>
        <v>1</v>
      </c>
      <c r="AG198" s="13" t="n">
        <f aca="false">IF(AG$18&gt;=2,SUMPRODUCT(Headcount!$D$5:$D$90*((Headcount!$I$5:$I$90=0)+(Headcount!$I$5:$I$90=1)*$C$16)*((Headcount!$E$5:$E$90+Headcount!$G$5:$G$90*$C$15)=AG$18)),0)</f>
        <v>1</v>
      </c>
      <c r="AH198" s="13" t="n">
        <f aca="false">IF(AH$18&gt;=2,SUMPRODUCT(Headcount!$D$5:$D$90*((Headcount!$I$5:$I$90=0)+(Headcount!$I$5:$I$90=1)*$C$16)*((Headcount!$E$5:$E$90+Headcount!$G$5:$G$90*$C$15)=AH$18)),0)</f>
        <v>1</v>
      </c>
      <c r="AI198" s="13" t="n">
        <f aca="false">IF(AI$18&gt;=2,SUMPRODUCT(Headcount!$D$5:$D$90*((Headcount!$I$5:$I$90=0)+(Headcount!$I$5:$I$90=1)*$C$16)*((Headcount!$E$5:$E$90+Headcount!$G$5:$G$90*$C$15)=AI$18)),0)</f>
        <v>1</v>
      </c>
      <c r="AJ198" s="13" t="n">
        <f aca="false">IF(AJ$18&gt;=2,SUMPRODUCT(Headcount!$D$5:$D$90*((Headcount!$I$5:$I$90=0)+(Headcount!$I$5:$I$90=1)*$C$16)*((Headcount!$E$5:$E$90+Headcount!$G$5:$G$90*$C$15)=AJ$18)),0)</f>
        <v>0</v>
      </c>
      <c r="AK198" s="13" t="n">
        <f aca="false">IF(AK$18&gt;=2,SUMPRODUCT(Headcount!$D$5:$D$90*((Headcount!$I$5:$I$90=0)+(Headcount!$I$5:$I$90=1)*$C$16)*((Headcount!$E$5:$E$90+Headcount!$G$5:$G$90*$C$15)=AK$18)),0)</f>
        <v>0</v>
      </c>
      <c r="AL198" s="13" t="n">
        <f aca="false">IF(AL$18&gt;=2,SUMPRODUCT(Headcount!$D$5:$D$90*((Headcount!$I$5:$I$90=0)+(Headcount!$I$5:$I$90=1)*$C$16)*((Headcount!$E$5:$E$90+Headcount!$G$5:$G$90*$C$15)=AL$18)),0)</f>
        <v>0</v>
      </c>
      <c r="AN198" s="37" t="n">
        <f aca="false">SUM(C198:N198)</f>
        <v>14</v>
      </c>
      <c r="AO198" s="37" t="n">
        <f aca="false">SUM(O198:Z198)</f>
        <v>13</v>
      </c>
      <c r="AP198" s="37" t="n">
        <f aca="false">SUM(AA198:AL198)</f>
        <v>9</v>
      </c>
    </row>
    <row r="199" customFormat="false" ht="15" hidden="false" customHeight="false" outlineLevel="0" collapsed="false">
      <c r="A199" s="0" t="s">
        <v>1000</v>
      </c>
      <c r="B199" s="0" t="s">
        <v>230</v>
      </c>
      <c r="C199" s="9" t="n">
        <f aca="false">((((((Assumptions!$C$138+Assumptions!$C$139)+Assumptions!$C$140)+Assumptions!$C$141)+Assumptions!$C$142)+Assumptions!$C$143)/12)</f>
        <v>9833.33333333333</v>
      </c>
      <c r="D199" s="9" t="n">
        <f aca="false">((((((Assumptions!$C$138+Assumptions!$C$139)+Assumptions!$C$140)+Assumptions!$C$141)+Assumptions!$C$142)+Assumptions!$C$143)/12)</f>
        <v>9833.33333333333</v>
      </c>
      <c r="E199" s="9" t="n">
        <f aca="false">((((((Assumptions!$C$138+Assumptions!$C$139)+Assumptions!$C$140)+Assumptions!$C$141)+Assumptions!$C$142)+Assumptions!$C$143)/12)</f>
        <v>9833.33333333333</v>
      </c>
      <c r="F199" s="9" t="n">
        <f aca="false">((((((Assumptions!$C$138+Assumptions!$C$139)+Assumptions!$C$140)+Assumptions!$C$141)+Assumptions!$C$142)+Assumptions!$C$143)/12)</f>
        <v>9833.33333333333</v>
      </c>
      <c r="G199" s="9" t="n">
        <f aca="false">((((((Assumptions!$C$138+Assumptions!$C$139)+Assumptions!$C$140)+Assumptions!$C$141)+Assumptions!$C$142)+Assumptions!$C$143)/12)</f>
        <v>9833.33333333333</v>
      </c>
      <c r="H199" s="9" t="n">
        <f aca="false">((((((Assumptions!$C$138+Assumptions!$C$139)+Assumptions!$C$140)+Assumptions!$C$141)+Assumptions!$C$142)+Assumptions!$C$143)/12)</f>
        <v>9833.33333333333</v>
      </c>
      <c r="I199" s="9" t="n">
        <f aca="false">((((((Assumptions!$C$138+Assumptions!$C$139)+Assumptions!$C$140)+Assumptions!$C$141)+Assumptions!$C$142)+Assumptions!$C$143)/12)</f>
        <v>9833.33333333333</v>
      </c>
      <c r="J199" s="9" t="n">
        <f aca="false">((((((Assumptions!$C$138+Assumptions!$C$139)+Assumptions!$C$140)+Assumptions!$C$141)+Assumptions!$C$142)+Assumptions!$C$143)/12)</f>
        <v>9833.33333333333</v>
      </c>
      <c r="K199" s="9" t="n">
        <f aca="false">((((((Assumptions!$C$138+Assumptions!$C$139)+Assumptions!$C$140)+Assumptions!$C$141)+Assumptions!$C$142)+Assumptions!$C$143)/12)</f>
        <v>9833.33333333333</v>
      </c>
      <c r="L199" s="9" t="n">
        <f aca="false">((((((Assumptions!$C$138+Assumptions!$C$139)+Assumptions!$C$140)+Assumptions!$C$141)+Assumptions!$C$142)+Assumptions!$C$143)/12)</f>
        <v>9833.33333333333</v>
      </c>
      <c r="M199" s="9" t="n">
        <f aca="false">((((((Assumptions!$C$138+Assumptions!$C$139)+Assumptions!$C$140)+Assumptions!$C$141)+Assumptions!$C$142)+Assumptions!$C$143)/12)</f>
        <v>9833.33333333333</v>
      </c>
      <c r="N199" s="9" t="n">
        <f aca="false">((((((Assumptions!$C$138+Assumptions!$C$139)+Assumptions!$C$140)+Assumptions!$C$141)+Assumptions!$C$142)+Assumptions!$C$143)/12)</f>
        <v>9833.33333333333</v>
      </c>
      <c r="O199" s="9" t="n">
        <f aca="false">((((((Assumptions!$D$138+Assumptions!$D$139)+Assumptions!$D$140)+Assumptions!$D$141)+Assumptions!$D$142)+Assumptions!$D$143)/12)</f>
        <v>14166.6666666667</v>
      </c>
      <c r="P199" s="9" t="n">
        <f aca="false">((((((Assumptions!$D$138+Assumptions!$D$139)+Assumptions!$D$140)+Assumptions!$D$141)+Assumptions!$D$142)+Assumptions!$D$143)/12)</f>
        <v>14166.6666666667</v>
      </c>
      <c r="Q199" s="9" t="n">
        <f aca="false">((((((Assumptions!$D$138+Assumptions!$D$139)+Assumptions!$D$140)+Assumptions!$D$141)+Assumptions!$D$142)+Assumptions!$D$143)/12)</f>
        <v>14166.6666666667</v>
      </c>
      <c r="R199" s="9" t="n">
        <f aca="false">((((((Assumptions!$D$138+Assumptions!$D$139)+Assumptions!$D$140)+Assumptions!$D$141)+Assumptions!$D$142)+Assumptions!$D$143)/12)</f>
        <v>14166.6666666667</v>
      </c>
      <c r="S199" s="9" t="n">
        <f aca="false">((((((Assumptions!$D$138+Assumptions!$D$139)+Assumptions!$D$140)+Assumptions!$D$141)+Assumptions!$D$142)+Assumptions!$D$143)/12)</f>
        <v>14166.6666666667</v>
      </c>
      <c r="T199" s="9" t="n">
        <f aca="false">((((((Assumptions!$D$138+Assumptions!$D$139)+Assumptions!$D$140)+Assumptions!$D$141)+Assumptions!$D$142)+Assumptions!$D$143)/12)</f>
        <v>14166.6666666667</v>
      </c>
      <c r="U199" s="9" t="n">
        <f aca="false">((((((Assumptions!$D$138+Assumptions!$D$139)+Assumptions!$D$140)+Assumptions!$D$141)+Assumptions!$D$142)+Assumptions!$D$143)/12)</f>
        <v>14166.6666666667</v>
      </c>
      <c r="V199" s="9" t="n">
        <f aca="false">((((((Assumptions!$D$138+Assumptions!$D$139)+Assumptions!$D$140)+Assumptions!$D$141)+Assumptions!$D$142)+Assumptions!$D$143)/12)</f>
        <v>14166.6666666667</v>
      </c>
      <c r="W199" s="9" t="n">
        <f aca="false">((((((Assumptions!$D$138+Assumptions!$D$139)+Assumptions!$D$140)+Assumptions!$D$141)+Assumptions!$D$142)+Assumptions!$D$143)/12)</f>
        <v>14166.6666666667</v>
      </c>
      <c r="X199" s="9" t="n">
        <f aca="false">((((((Assumptions!$D$138+Assumptions!$D$139)+Assumptions!$D$140)+Assumptions!$D$141)+Assumptions!$D$142)+Assumptions!$D$143)/12)</f>
        <v>14166.6666666667</v>
      </c>
      <c r="Y199" s="9" t="n">
        <f aca="false">((((((Assumptions!$D$138+Assumptions!$D$139)+Assumptions!$D$140)+Assumptions!$D$141)+Assumptions!$D$142)+Assumptions!$D$143)/12)</f>
        <v>14166.6666666667</v>
      </c>
      <c r="Z199" s="9" t="n">
        <f aca="false">((((((Assumptions!$D$138+Assumptions!$D$139)+Assumptions!$D$140)+Assumptions!$D$141)+Assumptions!$D$142)+Assumptions!$D$143)/12)</f>
        <v>14166.6666666667</v>
      </c>
      <c r="AA199" s="9" t="n">
        <f aca="false">((((((Assumptions!$E$138+Assumptions!$E$139)+Assumptions!$E$140)+Assumptions!$E$141)+Assumptions!$E$142)+Assumptions!$E$143)/12)</f>
        <v>19583.3333333333</v>
      </c>
      <c r="AB199" s="9" t="n">
        <f aca="false">((((((Assumptions!$E$138+Assumptions!$E$139)+Assumptions!$E$140)+Assumptions!$E$141)+Assumptions!$E$142)+Assumptions!$E$143)/12)</f>
        <v>19583.3333333333</v>
      </c>
      <c r="AC199" s="9" t="n">
        <f aca="false">((((((Assumptions!$E$138+Assumptions!$E$139)+Assumptions!$E$140)+Assumptions!$E$141)+Assumptions!$E$142)+Assumptions!$E$143)/12)</f>
        <v>19583.3333333333</v>
      </c>
      <c r="AD199" s="9" t="n">
        <f aca="false">((((((Assumptions!$E$138+Assumptions!$E$139)+Assumptions!$E$140)+Assumptions!$E$141)+Assumptions!$E$142)+Assumptions!$E$143)/12)</f>
        <v>19583.3333333333</v>
      </c>
      <c r="AE199" s="9" t="n">
        <f aca="false">((((((Assumptions!$E$138+Assumptions!$E$139)+Assumptions!$E$140)+Assumptions!$E$141)+Assumptions!$E$142)+Assumptions!$E$143)/12)</f>
        <v>19583.3333333333</v>
      </c>
      <c r="AF199" s="9" t="n">
        <f aca="false">((((((Assumptions!$E$138+Assumptions!$E$139)+Assumptions!$E$140)+Assumptions!$E$141)+Assumptions!$E$142)+Assumptions!$E$143)/12)</f>
        <v>19583.3333333333</v>
      </c>
      <c r="AG199" s="9" t="n">
        <f aca="false">((((((Assumptions!$E$138+Assumptions!$E$139)+Assumptions!$E$140)+Assumptions!$E$141)+Assumptions!$E$142)+Assumptions!$E$143)/12)</f>
        <v>19583.3333333333</v>
      </c>
      <c r="AH199" s="9" t="n">
        <f aca="false">((((((Assumptions!$E$138+Assumptions!$E$139)+Assumptions!$E$140)+Assumptions!$E$141)+Assumptions!$E$142)+Assumptions!$E$143)/12)</f>
        <v>19583.3333333333</v>
      </c>
      <c r="AI199" s="9" t="n">
        <f aca="false">((((((Assumptions!$E$138+Assumptions!$E$139)+Assumptions!$E$140)+Assumptions!$E$141)+Assumptions!$E$142)+Assumptions!$E$143)/12)</f>
        <v>19583.3333333333</v>
      </c>
      <c r="AJ199" s="9" t="n">
        <f aca="false">((((((Assumptions!$E$138+Assumptions!$E$139)+Assumptions!$E$140)+Assumptions!$E$141)+Assumptions!$E$142)+Assumptions!$E$143)/12)</f>
        <v>19583.3333333333</v>
      </c>
      <c r="AK199" s="9" t="n">
        <f aca="false">((((((Assumptions!$E$138+Assumptions!$E$139)+Assumptions!$E$140)+Assumptions!$E$141)+Assumptions!$E$142)+Assumptions!$E$143)/12)</f>
        <v>19583.3333333333</v>
      </c>
      <c r="AL199" s="9" t="n">
        <f aca="false">((((((Assumptions!$E$138+Assumptions!$E$139)+Assumptions!$E$140)+Assumptions!$E$141)+Assumptions!$E$142)+Assumptions!$E$143)/12)</f>
        <v>19583.3333333333</v>
      </c>
      <c r="AN199" s="11" t="n">
        <f aca="false">SUM(C199:N199)</f>
        <v>118000</v>
      </c>
      <c r="AO199" s="11" t="n">
        <f aca="false">SUM(O199:Z199)</f>
        <v>170000</v>
      </c>
      <c r="AP199" s="11" t="n">
        <f aca="false">SUM(AA199:AL199)</f>
        <v>235000</v>
      </c>
    </row>
    <row r="200" customFormat="false" ht="15" hidden="false" customHeight="false" outlineLevel="0" collapsed="false">
      <c r="A200" s="0" t="s">
        <v>36</v>
      </c>
      <c r="B200" s="0" t="s">
        <v>230</v>
      </c>
      <c r="C200" s="9" t="n">
        <f aca="false">(((Assumptions!$C$145+Assumptions!$C$146)+Assumptions!$C$147)/12)</f>
        <v>7916.66666666667</v>
      </c>
      <c r="D200" s="9" t="n">
        <f aca="false">(((Assumptions!$C$145+Assumptions!$C$146)+Assumptions!$C$147)/12)</f>
        <v>7916.66666666667</v>
      </c>
      <c r="E200" s="9" t="n">
        <f aca="false">(((Assumptions!$C$145+Assumptions!$C$146)+Assumptions!$C$147)/12)</f>
        <v>7916.66666666667</v>
      </c>
      <c r="F200" s="9" t="n">
        <f aca="false">(((Assumptions!$C$145+Assumptions!$C$146)+Assumptions!$C$147)/12)</f>
        <v>7916.66666666667</v>
      </c>
      <c r="G200" s="9" t="n">
        <f aca="false">(((Assumptions!$C$145+Assumptions!$C$146)+Assumptions!$C$147)/12)</f>
        <v>7916.66666666667</v>
      </c>
      <c r="H200" s="9" t="n">
        <f aca="false">(((Assumptions!$C$145+Assumptions!$C$146)+Assumptions!$C$147)/12)</f>
        <v>7916.66666666667</v>
      </c>
      <c r="I200" s="9" t="n">
        <f aca="false">(((Assumptions!$C$145+Assumptions!$C$146)+Assumptions!$C$147)/12)</f>
        <v>7916.66666666667</v>
      </c>
      <c r="J200" s="9" t="n">
        <f aca="false">(((Assumptions!$C$145+Assumptions!$C$146)+Assumptions!$C$147)/12)</f>
        <v>7916.66666666667</v>
      </c>
      <c r="K200" s="9" t="n">
        <f aca="false">(((Assumptions!$C$145+Assumptions!$C$146)+Assumptions!$C$147)/12)</f>
        <v>7916.66666666667</v>
      </c>
      <c r="L200" s="9" t="n">
        <f aca="false">(((Assumptions!$C$145+Assumptions!$C$146)+Assumptions!$C$147)/12)</f>
        <v>7916.66666666667</v>
      </c>
      <c r="M200" s="9" t="n">
        <f aca="false">(((Assumptions!$C$145+Assumptions!$C$146)+Assumptions!$C$147)/12)</f>
        <v>7916.66666666667</v>
      </c>
      <c r="N200" s="9" t="n">
        <f aca="false">(((Assumptions!$C$145+Assumptions!$C$146)+Assumptions!$C$147)/12)</f>
        <v>7916.66666666667</v>
      </c>
      <c r="O200" s="9" t="n">
        <f aca="false">(((Assumptions!$D$145+Assumptions!$D$146)+Assumptions!$D$147)/12)</f>
        <v>9333.33333333333</v>
      </c>
      <c r="P200" s="9" t="n">
        <f aca="false">(((Assumptions!$D$145+Assumptions!$D$146)+Assumptions!$D$147)/12)</f>
        <v>9333.33333333333</v>
      </c>
      <c r="Q200" s="9" t="n">
        <f aca="false">(((Assumptions!$D$145+Assumptions!$D$146)+Assumptions!$D$147)/12)</f>
        <v>9333.33333333333</v>
      </c>
      <c r="R200" s="9" t="n">
        <f aca="false">(((Assumptions!$D$145+Assumptions!$D$146)+Assumptions!$D$147)/12)</f>
        <v>9333.33333333333</v>
      </c>
      <c r="S200" s="9" t="n">
        <f aca="false">(((Assumptions!$D$145+Assumptions!$D$146)+Assumptions!$D$147)/12)</f>
        <v>9333.33333333333</v>
      </c>
      <c r="T200" s="9" t="n">
        <f aca="false">(((Assumptions!$D$145+Assumptions!$D$146)+Assumptions!$D$147)/12)</f>
        <v>9333.33333333333</v>
      </c>
      <c r="U200" s="9" t="n">
        <f aca="false">(((Assumptions!$D$145+Assumptions!$D$146)+Assumptions!$D$147)/12)</f>
        <v>9333.33333333333</v>
      </c>
      <c r="V200" s="9" t="n">
        <f aca="false">(((Assumptions!$D$145+Assumptions!$D$146)+Assumptions!$D$147)/12)</f>
        <v>9333.33333333333</v>
      </c>
      <c r="W200" s="9" t="n">
        <f aca="false">(((Assumptions!$D$145+Assumptions!$D$146)+Assumptions!$D$147)/12)</f>
        <v>9333.33333333333</v>
      </c>
      <c r="X200" s="9" t="n">
        <f aca="false">(((Assumptions!$D$145+Assumptions!$D$146)+Assumptions!$D$147)/12)</f>
        <v>9333.33333333333</v>
      </c>
      <c r="Y200" s="9" t="n">
        <f aca="false">(((Assumptions!$D$145+Assumptions!$D$146)+Assumptions!$D$147)/12)</f>
        <v>9333.33333333333</v>
      </c>
      <c r="Z200" s="9" t="n">
        <f aca="false">(((Assumptions!$D$145+Assumptions!$D$146)+Assumptions!$D$147)/12)</f>
        <v>9333.33333333333</v>
      </c>
      <c r="AA200" s="9" t="n">
        <f aca="false">(((Assumptions!$E$145+Assumptions!$E$146)+Assumptions!$E$147)/12)</f>
        <v>12916.6666666667</v>
      </c>
      <c r="AB200" s="9" t="n">
        <f aca="false">(((Assumptions!$E$145+Assumptions!$E$146)+Assumptions!$E$147)/12)</f>
        <v>12916.6666666667</v>
      </c>
      <c r="AC200" s="9" t="n">
        <f aca="false">(((Assumptions!$E$145+Assumptions!$E$146)+Assumptions!$E$147)/12)</f>
        <v>12916.6666666667</v>
      </c>
      <c r="AD200" s="9" t="n">
        <f aca="false">(((Assumptions!$E$145+Assumptions!$E$146)+Assumptions!$E$147)/12)</f>
        <v>12916.6666666667</v>
      </c>
      <c r="AE200" s="9" t="n">
        <f aca="false">(((Assumptions!$E$145+Assumptions!$E$146)+Assumptions!$E$147)/12)</f>
        <v>12916.6666666667</v>
      </c>
      <c r="AF200" s="9" t="n">
        <f aca="false">(((Assumptions!$E$145+Assumptions!$E$146)+Assumptions!$E$147)/12)</f>
        <v>12916.6666666667</v>
      </c>
      <c r="AG200" s="9" t="n">
        <f aca="false">(((Assumptions!$E$145+Assumptions!$E$146)+Assumptions!$E$147)/12)</f>
        <v>12916.6666666667</v>
      </c>
      <c r="AH200" s="9" t="n">
        <f aca="false">(((Assumptions!$E$145+Assumptions!$E$146)+Assumptions!$E$147)/12)</f>
        <v>12916.6666666667</v>
      </c>
      <c r="AI200" s="9" t="n">
        <f aca="false">(((Assumptions!$E$145+Assumptions!$E$146)+Assumptions!$E$147)/12)</f>
        <v>12916.6666666667</v>
      </c>
      <c r="AJ200" s="9" t="n">
        <f aca="false">(((Assumptions!$E$145+Assumptions!$E$146)+Assumptions!$E$147)/12)</f>
        <v>12916.6666666667</v>
      </c>
      <c r="AK200" s="9" t="n">
        <f aca="false">(((Assumptions!$E$145+Assumptions!$E$146)+Assumptions!$E$147)/12)</f>
        <v>12916.6666666667</v>
      </c>
      <c r="AL200" s="9" t="n">
        <f aca="false">(((Assumptions!$E$145+Assumptions!$E$146)+Assumptions!$E$147)/12)</f>
        <v>12916.6666666667</v>
      </c>
      <c r="AN200" s="11" t="n">
        <f aca="false">SUM(C200:N200)</f>
        <v>95000</v>
      </c>
      <c r="AO200" s="11" t="n">
        <f aca="false">SUM(O200:Z200)</f>
        <v>112000</v>
      </c>
      <c r="AP200" s="11" t="n">
        <f aca="false">SUM(AA200:AL200)</f>
        <v>155000</v>
      </c>
    </row>
    <row r="201" customFormat="false" ht="15" hidden="false" customHeight="false" outlineLevel="0" collapsed="false">
      <c r="A201" s="0" t="s">
        <v>37</v>
      </c>
      <c r="B201" s="0" t="s">
        <v>230</v>
      </c>
      <c r="C201" s="9" t="n">
        <f aca="false">(((Assumptions!$C$148+Assumptions!$C$149)+Assumptions!$C$150)/12)</f>
        <v>3416.66666666667</v>
      </c>
      <c r="D201" s="9" t="n">
        <f aca="false">(((Assumptions!$C$148+Assumptions!$C$149)+Assumptions!$C$150)/12)</f>
        <v>3416.66666666667</v>
      </c>
      <c r="E201" s="9" t="n">
        <f aca="false">(((Assumptions!$C$148+Assumptions!$C$149)+Assumptions!$C$150)/12)</f>
        <v>3416.66666666667</v>
      </c>
      <c r="F201" s="9" t="n">
        <f aca="false">(((Assumptions!$C$148+Assumptions!$C$149)+Assumptions!$C$150)/12)</f>
        <v>3416.66666666667</v>
      </c>
      <c r="G201" s="9" t="n">
        <f aca="false">(((Assumptions!$C$148+Assumptions!$C$149)+Assumptions!$C$150)/12)</f>
        <v>3416.66666666667</v>
      </c>
      <c r="H201" s="9" t="n">
        <f aca="false">(((Assumptions!$C$148+Assumptions!$C$149)+Assumptions!$C$150)/12)</f>
        <v>3416.66666666667</v>
      </c>
      <c r="I201" s="9" t="n">
        <f aca="false">(((Assumptions!$C$148+Assumptions!$C$149)+Assumptions!$C$150)/12)</f>
        <v>3416.66666666667</v>
      </c>
      <c r="J201" s="9" t="n">
        <f aca="false">(((Assumptions!$C$148+Assumptions!$C$149)+Assumptions!$C$150)/12)</f>
        <v>3416.66666666667</v>
      </c>
      <c r="K201" s="9" t="n">
        <f aca="false">(((Assumptions!$C$148+Assumptions!$C$149)+Assumptions!$C$150)/12)</f>
        <v>3416.66666666667</v>
      </c>
      <c r="L201" s="9" t="n">
        <f aca="false">(((Assumptions!$C$148+Assumptions!$C$149)+Assumptions!$C$150)/12)</f>
        <v>3416.66666666667</v>
      </c>
      <c r="M201" s="9" t="n">
        <f aca="false">(((Assumptions!$C$148+Assumptions!$C$149)+Assumptions!$C$150)/12)</f>
        <v>3416.66666666667</v>
      </c>
      <c r="N201" s="9" t="n">
        <f aca="false">(((Assumptions!$C$148+Assumptions!$C$149)+Assumptions!$C$150)/12)</f>
        <v>3416.66666666667</v>
      </c>
      <c r="O201" s="9" t="n">
        <f aca="false">(((Assumptions!$D$148+Assumptions!$D$149)+Assumptions!$D$150)/12)</f>
        <v>5833.33333333333</v>
      </c>
      <c r="P201" s="9" t="n">
        <f aca="false">(((Assumptions!$D$148+Assumptions!$D$149)+Assumptions!$D$150)/12)</f>
        <v>5833.33333333333</v>
      </c>
      <c r="Q201" s="9" t="n">
        <f aca="false">(((Assumptions!$D$148+Assumptions!$D$149)+Assumptions!$D$150)/12)</f>
        <v>5833.33333333333</v>
      </c>
      <c r="R201" s="9" t="n">
        <f aca="false">(((Assumptions!$D$148+Assumptions!$D$149)+Assumptions!$D$150)/12)</f>
        <v>5833.33333333333</v>
      </c>
      <c r="S201" s="9" t="n">
        <f aca="false">(((Assumptions!$D$148+Assumptions!$D$149)+Assumptions!$D$150)/12)</f>
        <v>5833.33333333333</v>
      </c>
      <c r="T201" s="9" t="n">
        <f aca="false">(((Assumptions!$D$148+Assumptions!$D$149)+Assumptions!$D$150)/12)</f>
        <v>5833.33333333333</v>
      </c>
      <c r="U201" s="9" t="n">
        <f aca="false">(((Assumptions!$D$148+Assumptions!$D$149)+Assumptions!$D$150)/12)</f>
        <v>5833.33333333333</v>
      </c>
      <c r="V201" s="9" t="n">
        <f aca="false">(((Assumptions!$D$148+Assumptions!$D$149)+Assumptions!$D$150)/12)</f>
        <v>5833.33333333333</v>
      </c>
      <c r="W201" s="9" t="n">
        <f aca="false">(((Assumptions!$D$148+Assumptions!$D$149)+Assumptions!$D$150)/12)</f>
        <v>5833.33333333333</v>
      </c>
      <c r="X201" s="9" t="n">
        <f aca="false">(((Assumptions!$D$148+Assumptions!$D$149)+Assumptions!$D$150)/12)</f>
        <v>5833.33333333333</v>
      </c>
      <c r="Y201" s="9" t="n">
        <f aca="false">(((Assumptions!$D$148+Assumptions!$D$149)+Assumptions!$D$150)/12)</f>
        <v>5833.33333333333</v>
      </c>
      <c r="Z201" s="9" t="n">
        <f aca="false">(((Assumptions!$D$148+Assumptions!$D$149)+Assumptions!$D$150)/12)</f>
        <v>5833.33333333333</v>
      </c>
      <c r="AA201" s="9" t="n">
        <f aca="false">(((Assumptions!$E$148+Assumptions!$E$149)+Assumptions!$E$150)/12)</f>
        <v>10000</v>
      </c>
      <c r="AB201" s="9" t="n">
        <f aca="false">(((Assumptions!$E$148+Assumptions!$E$149)+Assumptions!$E$150)/12)</f>
        <v>10000</v>
      </c>
      <c r="AC201" s="9" t="n">
        <f aca="false">(((Assumptions!$E$148+Assumptions!$E$149)+Assumptions!$E$150)/12)</f>
        <v>10000</v>
      </c>
      <c r="AD201" s="9" t="n">
        <f aca="false">(((Assumptions!$E$148+Assumptions!$E$149)+Assumptions!$E$150)/12)</f>
        <v>10000</v>
      </c>
      <c r="AE201" s="9" t="n">
        <f aca="false">(((Assumptions!$E$148+Assumptions!$E$149)+Assumptions!$E$150)/12)</f>
        <v>10000</v>
      </c>
      <c r="AF201" s="9" t="n">
        <f aca="false">(((Assumptions!$E$148+Assumptions!$E$149)+Assumptions!$E$150)/12)</f>
        <v>10000</v>
      </c>
      <c r="AG201" s="9" t="n">
        <f aca="false">(((Assumptions!$E$148+Assumptions!$E$149)+Assumptions!$E$150)/12)</f>
        <v>10000</v>
      </c>
      <c r="AH201" s="9" t="n">
        <f aca="false">(((Assumptions!$E$148+Assumptions!$E$149)+Assumptions!$E$150)/12)</f>
        <v>10000</v>
      </c>
      <c r="AI201" s="9" t="n">
        <f aca="false">(((Assumptions!$E$148+Assumptions!$E$149)+Assumptions!$E$150)/12)</f>
        <v>10000</v>
      </c>
      <c r="AJ201" s="9" t="n">
        <f aca="false">(((Assumptions!$E$148+Assumptions!$E$149)+Assumptions!$E$150)/12)</f>
        <v>10000</v>
      </c>
      <c r="AK201" s="9" t="n">
        <f aca="false">(((Assumptions!$E$148+Assumptions!$E$149)+Assumptions!$E$150)/12)</f>
        <v>10000</v>
      </c>
      <c r="AL201" s="9" t="n">
        <f aca="false">(((Assumptions!$E$148+Assumptions!$E$149)+Assumptions!$E$150)/12)</f>
        <v>10000</v>
      </c>
      <c r="AN201" s="11" t="n">
        <f aca="false">SUM(C201:N201)</f>
        <v>41000</v>
      </c>
      <c r="AO201" s="11" t="n">
        <f aca="false">SUM(O201:Z201)</f>
        <v>70000</v>
      </c>
      <c r="AP201" s="11" t="n">
        <f aca="false">SUM(AA201:AL201)</f>
        <v>120000</v>
      </c>
    </row>
    <row r="202" customFormat="false" ht="15" hidden="false" customHeight="false" outlineLevel="0" collapsed="false">
      <c r="A202" s="0" t="s">
        <v>1001</v>
      </c>
      <c r="B202" s="0" t="s">
        <v>230</v>
      </c>
      <c r="C202" s="9" t="n">
        <f aca="false">(((Assumptions!$C$152+Assumptions!$C$153)+Assumptions!$C$154)/12)</f>
        <v>4000</v>
      </c>
      <c r="D202" s="9" t="n">
        <f aca="false">(((Assumptions!$C$152+Assumptions!$C$153)+Assumptions!$C$154)/12)</f>
        <v>4000</v>
      </c>
      <c r="E202" s="9" t="n">
        <f aca="false">(((Assumptions!$C$152+Assumptions!$C$153)+Assumptions!$C$154)/12)</f>
        <v>4000</v>
      </c>
      <c r="F202" s="9" t="n">
        <f aca="false">(((Assumptions!$C$152+Assumptions!$C$153)+Assumptions!$C$154)/12)</f>
        <v>4000</v>
      </c>
      <c r="G202" s="9" t="n">
        <f aca="false">(((Assumptions!$C$152+Assumptions!$C$153)+Assumptions!$C$154)/12)</f>
        <v>4000</v>
      </c>
      <c r="H202" s="9" t="n">
        <f aca="false">(((Assumptions!$C$152+Assumptions!$C$153)+Assumptions!$C$154)/12)</f>
        <v>4000</v>
      </c>
      <c r="I202" s="9" t="n">
        <f aca="false">(((Assumptions!$C$152+Assumptions!$C$153)+Assumptions!$C$154)/12)</f>
        <v>4000</v>
      </c>
      <c r="J202" s="9" t="n">
        <f aca="false">(((Assumptions!$C$152+Assumptions!$C$153)+Assumptions!$C$154)/12)</f>
        <v>4000</v>
      </c>
      <c r="K202" s="9" t="n">
        <f aca="false">(((Assumptions!$C$152+Assumptions!$C$153)+Assumptions!$C$154)/12)</f>
        <v>4000</v>
      </c>
      <c r="L202" s="9" t="n">
        <f aca="false">(((Assumptions!$C$152+Assumptions!$C$153)+Assumptions!$C$154)/12)</f>
        <v>4000</v>
      </c>
      <c r="M202" s="9" t="n">
        <f aca="false">(((Assumptions!$C$152+Assumptions!$C$153)+Assumptions!$C$154)/12)</f>
        <v>4000</v>
      </c>
      <c r="N202" s="9" t="n">
        <f aca="false">(((Assumptions!$C$152+Assumptions!$C$153)+Assumptions!$C$154)/12)</f>
        <v>4000</v>
      </c>
      <c r="O202" s="9" t="n">
        <f aca="false">(((Assumptions!$D$152+Assumptions!$D$153)+Assumptions!$D$154)/12)</f>
        <v>8250</v>
      </c>
      <c r="P202" s="9" t="n">
        <f aca="false">(((Assumptions!$D$152+Assumptions!$D$153)+Assumptions!$D$154)/12)</f>
        <v>8250</v>
      </c>
      <c r="Q202" s="9" t="n">
        <f aca="false">(((Assumptions!$D$152+Assumptions!$D$153)+Assumptions!$D$154)/12)</f>
        <v>8250</v>
      </c>
      <c r="R202" s="9" t="n">
        <f aca="false">(((Assumptions!$D$152+Assumptions!$D$153)+Assumptions!$D$154)/12)</f>
        <v>8250</v>
      </c>
      <c r="S202" s="9" t="n">
        <f aca="false">(((Assumptions!$D$152+Assumptions!$D$153)+Assumptions!$D$154)/12)</f>
        <v>8250</v>
      </c>
      <c r="T202" s="9" t="n">
        <f aca="false">(((Assumptions!$D$152+Assumptions!$D$153)+Assumptions!$D$154)/12)</f>
        <v>8250</v>
      </c>
      <c r="U202" s="9" t="n">
        <f aca="false">(((Assumptions!$D$152+Assumptions!$D$153)+Assumptions!$D$154)/12)</f>
        <v>8250</v>
      </c>
      <c r="V202" s="9" t="n">
        <f aca="false">(((Assumptions!$D$152+Assumptions!$D$153)+Assumptions!$D$154)/12)</f>
        <v>8250</v>
      </c>
      <c r="W202" s="9" t="n">
        <f aca="false">(((Assumptions!$D$152+Assumptions!$D$153)+Assumptions!$D$154)/12)</f>
        <v>8250</v>
      </c>
      <c r="X202" s="9" t="n">
        <f aca="false">(((Assumptions!$D$152+Assumptions!$D$153)+Assumptions!$D$154)/12)</f>
        <v>8250</v>
      </c>
      <c r="Y202" s="9" t="n">
        <f aca="false">(((Assumptions!$D$152+Assumptions!$D$153)+Assumptions!$D$154)/12)</f>
        <v>8250</v>
      </c>
      <c r="Z202" s="9" t="n">
        <f aca="false">(((Assumptions!$D$152+Assumptions!$D$153)+Assumptions!$D$154)/12)</f>
        <v>8250</v>
      </c>
      <c r="AA202" s="9" t="n">
        <f aca="false">(((Assumptions!$E$152+Assumptions!$E$153)+Assumptions!$E$154)/12)</f>
        <v>12583.3333333333</v>
      </c>
      <c r="AB202" s="9" t="n">
        <f aca="false">(((Assumptions!$E$152+Assumptions!$E$153)+Assumptions!$E$154)/12)</f>
        <v>12583.3333333333</v>
      </c>
      <c r="AC202" s="9" t="n">
        <f aca="false">(((Assumptions!$E$152+Assumptions!$E$153)+Assumptions!$E$154)/12)</f>
        <v>12583.3333333333</v>
      </c>
      <c r="AD202" s="9" t="n">
        <f aca="false">(((Assumptions!$E$152+Assumptions!$E$153)+Assumptions!$E$154)/12)</f>
        <v>12583.3333333333</v>
      </c>
      <c r="AE202" s="9" t="n">
        <f aca="false">(((Assumptions!$E$152+Assumptions!$E$153)+Assumptions!$E$154)/12)</f>
        <v>12583.3333333333</v>
      </c>
      <c r="AF202" s="9" t="n">
        <f aca="false">(((Assumptions!$E$152+Assumptions!$E$153)+Assumptions!$E$154)/12)</f>
        <v>12583.3333333333</v>
      </c>
      <c r="AG202" s="9" t="n">
        <f aca="false">(((Assumptions!$E$152+Assumptions!$E$153)+Assumptions!$E$154)/12)</f>
        <v>12583.3333333333</v>
      </c>
      <c r="AH202" s="9" t="n">
        <f aca="false">(((Assumptions!$E$152+Assumptions!$E$153)+Assumptions!$E$154)/12)</f>
        <v>12583.3333333333</v>
      </c>
      <c r="AI202" s="9" t="n">
        <f aca="false">(((Assumptions!$E$152+Assumptions!$E$153)+Assumptions!$E$154)/12)</f>
        <v>12583.3333333333</v>
      </c>
      <c r="AJ202" s="9" t="n">
        <f aca="false">(((Assumptions!$E$152+Assumptions!$E$153)+Assumptions!$E$154)/12)</f>
        <v>12583.3333333333</v>
      </c>
      <c r="AK202" s="9" t="n">
        <f aca="false">(((Assumptions!$E$152+Assumptions!$E$153)+Assumptions!$E$154)/12)</f>
        <v>12583.3333333333</v>
      </c>
      <c r="AL202" s="9" t="n">
        <f aca="false">(((Assumptions!$E$152+Assumptions!$E$153)+Assumptions!$E$154)/12)</f>
        <v>12583.3333333333</v>
      </c>
      <c r="AN202" s="11" t="n">
        <f aca="false">SUM(C202:N202)</f>
        <v>48000</v>
      </c>
      <c r="AO202" s="11" t="n">
        <f aca="false">SUM(O202:Z202)</f>
        <v>99000</v>
      </c>
      <c r="AP202" s="11" t="n">
        <f aca="false">SUM(AA202:AL202)</f>
        <v>151000</v>
      </c>
    </row>
    <row r="203" customFormat="false" ht="15" hidden="false" customHeight="false" outlineLevel="0" collapsed="false">
      <c r="A203" s="0" t="s">
        <v>561</v>
      </c>
      <c r="B203" s="0" t="s">
        <v>230</v>
      </c>
      <c r="C203" s="9" t="n">
        <f aca="false">(Assumptions!$C$155/12)</f>
        <v>833.333333333333</v>
      </c>
      <c r="D203" s="9" t="n">
        <f aca="false">(Assumptions!$C$155/12)</f>
        <v>833.333333333333</v>
      </c>
      <c r="E203" s="9" t="n">
        <f aca="false">(Assumptions!$C$155/12)</f>
        <v>833.333333333333</v>
      </c>
      <c r="F203" s="9" t="n">
        <f aca="false">(Assumptions!$C$155/12)</f>
        <v>833.333333333333</v>
      </c>
      <c r="G203" s="9" t="n">
        <f aca="false">(Assumptions!$C$155/12)</f>
        <v>833.333333333333</v>
      </c>
      <c r="H203" s="9" t="n">
        <f aca="false">(Assumptions!$C$155/12)</f>
        <v>833.333333333333</v>
      </c>
      <c r="I203" s="9" t="n">
        <f aca="false">(Assumptions!$C$155/12)</f>
        <v>833.333333333333</v>
      </c>
      <c r="J203" s="9" t="n">
        <f aca="false">(Assumptions!$C$155/12)</f>
        <v>833.333333333333</v>
      </c>
      <c r="K203" s="9" t="n">
        <f aca="false">(Assumptions!$C$155/12)</f>
        <v>833.333333333333</v>
      </c>
      <c r="L203" s="9" t="n">
        <f aca="false">(Assumptions!$C$155/12)</f>
        <v>833.333333333333</v>
      </c>
      <c r="M203" s="9" t="n">
        <f aca="false">(Assumptions!$C$155/12)</f>
        <v>833.333333333333</v>
      </c>
      <c r="N203" s="9" t="n">
        <f aca="false">(Assumptions!$C$155/12)</f>
        <v>833.333333333333</v>
      </c>
      <c r="O203" s="9" t="n">
        <f aca="false">(Assumptions!$D$155/12)</f>
        <v>1666.66666666667</v>
      </c>
      <c r="P203" s="9" t="n">
        <f aca="false">(Assumptions!$D$155/12)</f>
        <v>1666.66666666667</v>
      </c>
      <c r="Q203" s="9" t="n">
        <f aca="false">(Assumptions!$D$155/12)</f>
        <v>1666.66666666667</v>
      </c>
      <c r="R203" s="9" t="n">
        <f aca="false">(Assumptions!$D$155/12)</f>
        <v>1666.66666666667</v>
      </c>
      <c r="S203" s="9" t="n">
        <f aca="false">(Assumptions!$D$155/12)</f>
        <v>1666.66666666667</v>
      </c>
      <c r="T203" s="9" t="n">
        <f aca="false">(Assumptions!$D$155/12)</f>
        <v>1666.66666666667</v>
      </c>
      <c r="U203" s="9" t="n">
        <f aca="false">(Assumptions!$D$155/12)</f>
        <v>1666.66666666667</v>
      </c>
      <c r="V203" s="9" t="n">
        <f aca="false">(Assumptions!$D$155/12)</f>
        <v>1666.66666666667</v>
      </c>
      <c r="W203" s="9" t="n">
        <f aca="false">(Assumptions!$D$155/12)</f>
        <v>1666.66666666667</v>
      </c>
      <c r="X203" s="9" t="n">
        <f aca="false">(Assumptions!$D$155/12)</f>
        <v>1666.66666666667</v>
      </c>
      <c r="Y203" s="9" t="n">
        <f aca="false">(Assumptions!$D$155/12)</f>
        <v>1666.66666666667</v>
      </c>
      <c r="Z203" s="9" t="n">
        <f aca="false">(Assumptions!$D$155/12)</f>
        <v>1666.66666666667</v>
      </c>
      <c r="AA203" s="9" t="n">
        <f aca="false">(Assumptions!$E$155/12)</f>
        <v>2500</v>
      </c>
      <c r="AB203" s="9" t="n">
        <f aca="false">(Assumptions!$E$155/12)</f>
        <v>2500</v>
      </c>
      <c r="AC203" s="9" t="n">
        <f aca="false">(Assumptions!$E$155/12)</f>
        <v>2500</v>
      </c>
      <c r="AD203" s="9" t="n">
        <f aca="false">(Assumptions!$E$155/12)</f>
        <v>2500</v>
      </c>
      <c r="AE203" s="9" t="n">
        <f aca="false">(Assumptions!$E$155/12)</f>
        <v>2500</v>
      </c>
      <c r="AF203" s="9" t="n">
        <f aca="false">(Assumptions!$E$155/12)</f>
        <v>2500</v>
      </c>
      <c r="AG203" s="9" t="n">
        <f aca="false">(Assumptions!$E$155/12)</f>
        <v>2500</v>
      </c>
      <c r="AH203" s="9" t="n">
        <f aca="false">(Assumptions!$E$155/12)</f>
        <v>2500</v>
      </c>
      <c r="AI203" s="9" t="n">
        <f aca="false">(Assumptions!$E$155/12)</f>
        <v>2500</v>
      </c>
      <c r="AJ203" s="9" t="n">
        <f aca="false">(Assumptions!$E$155/12)</f>
        <v>2500</v>
      </c>
      <c r="AK203" s="9" t="n">
        <f aca="false">(Assumptions!$E$155/12)</f>
        <v>2500</v>
      </c>
      <c r="AL203" s="9" t="n">
        <f aca="false">(Assumptions!$E$155/12)</f>
        <v>2500</v>
      </c>
      <c r="AN203" s="11" t="n">
        <f aca="false">SUM(C203:N203)</f>
        <v>10000</v>
      </c>
      <c r="AO203" s="11" t="n">
        <f aca="false">SUM(O203:Z203)</f>
        <v>20000</v>
      </c>
      <c r="AP203" s="11" t="n">
        <f aca="false">SUM(AA203:AL203)</f>
        <v>30000</v>
      </c>
    </row>
    <row r="204" customFormat="false" ht="15" hidden="false" customHeight="false" outlineLevel="0" collapsed="false">
      <c r="A204" s="0" t="s">
        <v>1002</v>
      </c>
      <c r="B204" s="0" t="s">
        <v>230</v>
      </c>
      <c r="C204" s="9" t="n">
        <f aca="false">(Assumptions!$C$39*C134)</f>
        <v>0</v>
      </c>
      <c r="D204" s="9" t="n">
        <f aca="false">(Assumptions!$C$39*D134)</f>
        <v>0</v>
      </c>
      <c r="E204" s="9" t="n">
        <f aca="false">(Assumptions!$C$39*E134)</f>
        <v>0</v>
      </c>
      <c r="F204" s="9" t="n">
        <f aca="false">(Assumptions!$C$39*F134)</f>
        <v>0</v>
      </c>
      <c r="G204" s="9" t="n">
        <f aca="false">(Assumptions!$C$39*G134)</f>
        <v>0</v>
      </c>
      <c r="H204" s="9" t="n">
        <f aca="false">(Assumptions!$C$39*H134)</f>
        <v>0</v>
      </c>
      <c r="I204" s="9" t="n">
        <f aca="false">(Assumptions!$C$39*I134)</f>
        <v>0</v>
      </c>
      <c r="J204" s="9" t="n">
        <f aca="false">(Assumptions!$C$39*J134)</f>
        <v>0</v>
      </c>
      <c r="K204" s="9" t="n">
        <f aca="false">(Assumptions!$C$39*K134)</f>
        <v>0</v>
      </c>
      <c r="L204" s="9" t="n">
        <f aca="false">(Assumptions!$C$39*L134)</f>
        <v>0</v>
      </c>
      <c r="M204" s="9" t="n">
        <f aca="false">(Assumptions!$C$39*M134)</f>
        <v>0</v>
      </c>
      <c r="N204" s="9" t="n">
        <f aca="false">(Assumptions!$C$39*N134)</f>
        <v>0</v>
      </c>
      <c r="O204" s="9" t="n">
        <f aca="false">(Assumptions!$C$39*O134)</f>
        <v>0</v>
      </c>
      <c r="P204" s="9" t="n">
        <f aca="false">(Assumptions!$C$39*P134)</f>
        <v>963.072</v>
      </c>
      <c r="Q204" s="9" t="n">
        <f aca="false">(Assumptions!$C$39*Q134)</f>
        <v>4384.704</v>
      </c>
      <c r="R204" s="9" t="n">
        <f aca="false">(Assumptions!$C$39*R134)</f>
        <v>0</v>
      </c>
      <c r="S204" s="9" t="n">
        <f aca="false">(Assumptions!$C$39*S134)</f>
        <v>0</v>
      </c>
      <c r="T204" s="9" t="n">
        <f aca="false">(Assumptions!$C$39*T134)</f>
        <v>5136</v>
      </c>
      <c r="U204" s="9" t="n">
        <f aca="false">(Assumptions!$C$39*U134)</f>
        <v>0</v>
      </c>
      <c r="V204" s="9" t="n">
        <f aca="false">(Assumptions!$C$39*V134)</f>
        <v>0</v>
      </c>
      <c r="W204" s="9" t="n">
        <f aca="false">(Assumptions!$C$39*W134)</f>
        <v>6792</v>
      </c>
      <c r="X204" s="9" t="n">
        <f aca="false">(Assumptions!$C$39*X134)</f>
        <v>481.536</v>
      </c>
      <c r="Y204" s="9" t="n">
        <f aca="false">(Assumptions!$C$39*Y134)</f>
        <v>0</v>
      </c>
      <c r="Z204" s="9" t="n">
        <f aca="false">(Assumptions!$C$39*Z134)</f>
        <v>6792</v>
      </c>
      <c r="AA204" s="9" t="n">
        <f aca="false">(Assumptions!$C$39*AA134)</f>
        <v>3885.2928</v>
      </c>
      <c r="AB204" s="9" t="n">
        <f aca="false">(Assumptions!$C$39*AB134)</f>
        <v>0</v>
      </c>
      <c r="AC204" s="9" t="n">
        <f aca="false">(Assumptions!$C$39*AC134)</f>
        <v>8448</v>
      </c>
      <c r="AD204" s="9" t="n">
        <f aca="false">(Assumptions!$C$39*AD134)</f>
        <v>9889.7088</v>
      </c>
      <c r="AE204" s="9" t="n">
        <f aca="false">(Assumptions!$C$39*AE134)</f>
        <v>0</v>
      </c>
      <c r="AF204" s="9" t="n">
        <f aca="false">(Assumptions!$C$39*AF134)</f>
        <v>11928</v>
      </c>
      <c r="AG204" s="9" t="n">
        <f aca="false">(Assumptions!$C$39*AG134)</f>
        <v>12065.5488</v>
      </c>
      <c r="AH204" s="9" t="n">
        <f aca="false">(Assumptions!$C$39*AH134)</f>
        <v>7584</v>
      </c>
      <c r="AI204" s="9" t="n">
        <f aca="false">(Assumptions!$C$39*AI134)</f>
        <v>11928</v>
      </c>
      <c r="AJ204" s="9" t="n">
        <f aca="false">(Assumptions!$C$39*AJ134)</f>
        <v>12547.0848</v>
      </c>
      <c r="AK204" s="9" t="n">
        <f aca="false">(Assumptions!$C$39*AK134)</f>
        <v>0</v>
      </c>
      <c r="AL204" s="9" t="n">
        <f aca="false">(Assumptions!$C$39*AL134)</f>
        <v>13584</v>
      </c>
      <c r="AN204" s="11" t="n">
        <f aca="false">SUM(C204:N204)</f>
        <v>0</v>
      </c>
      <c r="AO204" s="11" t="n">
        <f aca="false">SUM(O204:Z204)</f>
        <v>24549.312</v>
      </c>
      <c r="AP204" s="11" t="n">
        <f aca="false">SUM(AA204:AL204)</f>
        <v>91859.6352</v>
      </c>
    </row>
    <row r="205" customFormat="false" ht="15" hidden="false" customHeight="false" outlineLevel="0" collapsed="false">
      <c r="A205" s="0" t="s">
        <v>1003</v>
      </c>
      <c r="B205" s="0" t="s">
        <v>230</v>
      </c>
      <c r="C205" s="9" t="n">
        <f aca="false">((((Assumptions!$C$157+Assumptions!$C$158)+Assumptions!$C$159)+Assumptions!$C$160)/12)</f>
        <v>5000</v>
      </c>
      <c r="D205" s="9" t="n">
        <f aca="false">((((Assumptions!$C$157+Assumptions!$C$158)+Assumptions!$C$159)+Assumptions!$C$160)/12)</f>
        <v>5000</v>
      </c>
      <c r="E205" s="9" t="n">
        <f aca="false">((((Assumptions!$C$157+Assumptions!$C$158)+Assumptions!$C$159)+Assumptions!$C$160)/12)</f>
        <v>5000</v>
      </c>
      <c r="F205" s="9" t="n">
        <f aca="false">((((Assumptions!$C$157+Assumptions!$C$158)+Assumptions!$C$159)+Assumptions!$C$160)/12)</f>
        <v>5000</v>
      </c>
      <c r="G205" s="9" t="n">
        <f aca="false">((((Assumptions!$C$157+Assumptions!$C$158)+Assumptions!$C$159)+Assumptions!$C$160)/12)</f>
        <v>5000</v>
      </c>
      <c r="H205" s="9" t="n">
        <f aca="false">((((Assumptions!$C$157+Assumptions!$C$158)+Assumptions!$C$159)+Assumptions!$C$160)/12)</f>
        <v>5000</v>
      </c>
      <c r="I205" s="9" t="n">
        <f aca="false">((((Assumptions!$C$157+Assumptions!$C$158)+Assumptions!$C$159)+Assumptions!$C$160)/12)</f>
        <v>5000</v>
      </c>
      <c r="J205" s="9" t="n">
        <f aca="false">((((Assumptions!$C$157+Assumptions!$C$158)+Assumptions!$C$159)+Assumptions!$C$160)/12)</f>
        <v>5000</v>
      </c>
      <c r="K205" s="9" t="n">
        <f aca="false">((((Assumptions!$C$157+Assumptions!$C$158)+Assumptions!$C$159)+Assumptions!$C$160)/12)</f>
        <v>5000</v>
      </c>
      <c r="L205" s="9" t="n">
        <f aca="false">((((Assumptions!$C$157+Assumptions!$C$158)+Assumptions!$C$159)+Assumptions!$C$160)/12)</f>
        <v>5000</v>
      </c>
      <c r="M205" s="9" t="n">
        <f aca="false">((((Assumptions!$C$157+Assumptions!$C$158)+Assumptions!$C$159)+Assumptions!$C$160)/12)</f>
        <v>5000</v>
      </c>
      <c r="N205" s="9" t="n">
        <f aca="false">((((Assumptions!$C$157+Assumptions!$C$158)+Assumptions!$C$159)+Assumptions!$C$160)/12)</f>
        <v>5000</v>
      </c>
      <c r="O205" s="9" t="n">
        <f aca="false">((((Assumptions!$D$157+Assumptions!$D$158)+Assumptions!$D$159)+Assumptions!$D$160)/12)</f>
        <v>10833.3333333333</v>
      </c>
      <c r="P205" s="9" t="n">
        <f aca="false">((((Assumptions!$D$157+Assumptions!$D$158)+Assumptions!$D$159)+Assumptions!$D$160)/12)</f>
        <v>10833.3333333333</v>
      </c>
      <c r="Q205" s="9" t="n">
        <f aca="false">((((Assumptions!$D$157+Assumptions!$D$158)+Assumptions!$D$159)+Assumptions!$D$160)/12)</f>
        <v>10833.3333333333</v>
      </c>
      <c r="R205" s="9" t="n">
        <f aca="false">((((Assumptions!$D$157+Assumptions!$D$158)+Assumptions!$D$159)+Assumptions!$D$160)/12)</f>
        <v>10833.3333333333</v>
      </c>
      <c r="S205" s="9" t="n">
        <f aca="false">((((Assumptions!$D$157+Assumptions!$D$158)+Assumptions!$D$159)+Assumptions!$D$160)/12)</f>
        <v>10833.3333333333</v>
      </c>
      <c r="T205" s="9" t="n">
        <f aca="false">((((Assumptions!$D$157+Assumptions!$D$158)+Assumptions!$D$159)+Assumptions!$D$160)/12)</f>
        <v>10833.3333333333</v>
      </c>
      <c r="U205" s="9" t="n">
        <f aca="false">((((Assumptions!$D$157+Assumptions!$D$158)+Assumptions!$D$159)+Assumptions!$D$160)/12)</f>
        <v>10833.3333333333</v>
      </c>
      <c r="V205" s="9" t="n">
        <f aca="false">((((Assumptions!$D$157+Assumptions!$D$158)+Assumptions!$D$159)+Assumptions!$D$160)/12)</f>
        <v>10833.3333333333</v>
      </c>
      <c r="W205" s="9" t="n">
        <f aca="false">((((Assumptions!$D$157+Assumptions!$D$158)+Assumptions!$D$159)+Assumptions!$D$160)/12)</f>
        <v>10833.3333333333</v>
      </c>
      <c r="X205" s="9" t="n">
        <f aca="false">((((Assumptions!$D$157+Assumptions!$D$158)+Assumptions!$D$159)+Assumptions!$D$160)/12)</f>
        <v>10833.3333333333</v>
      </c>
      <c r="Y205" s="9" t="n">
        <f aca="false">((((Assumptions!$D$157+Assumptions!$D$158)+Assumptions!$D$159)+Assumptions!$D$160)/12)</f>
        <v>10833.3333333333</v>
      </c>
      <c r="Z205" s="9" t="n">
        <f aca="false">((((Assumptions!$D$157+Assumptions!$D$158)+Assumptions!$D$159)+Assumptions!$D$160)/12)</f>
        <v>10833.3333333333</v>
      </c>
      <c r="AA205" s="9" t="n">
        <f aca="false">((((Assumptions!$E$157+Assumptions!$E$158)+Assumptions!$E$159)+Assumptions!$E$160)/12)</f>
        <v>18333.3333333333</v>
      </c>
      <c r="AB205" s="9" t="n">
        <f aca="false">((((Assumptions!$E$157+Assumptions!$E$158)+Assumptions!$E$159)+Assumptions!$E$160)/12)</f>
        <v>18333.3333333333</v>
      </c>
      <c r="AC205" s="9" t="n">
        <f aca="false">((((Assumptions!$E$157+Assumptions!$E$158)+Assumptions!$E$159)+Assumptions!$E$160)/12)</f>
        <v>18333.3333333333</v>
      </c>
      <c r="AD205" s="9" t="n">
        <f aca="false">((((Assumptions!$E$157+Assumptions!$E$158)+Assumptions!$E$159)+Assumptions!$E$160)/12)</f>
        <v>18333.3333333333</v>
      </c>
      <c r="AE205" s="9" t="n">
        <f aca="false">((((Assumptions!$E$157+Assumptions!$E$158)+Assumptions!$E$159)+Assumptions!$E$160)/12)</f>
        <v>18333.3333333333</v>
      </c>
      <c r="AF205" s="9" t="n">
        <f aca="false">((((Assumptions!$E$157+Assumptions!$E$158)+Assumptions!$E$159)+Assumptions!$E$160)/12)</f>
        <v>18333.3333333333</v>
      </c>
      <c r="AG205" s="9" t="n">
        <f aca="false">((((Assumptions!$E$157+Assumptions!$E$158)+Assumptions!$E$159)+Assumptions!$E$160)/12)</f>
        <v>18333.3333333333</v>
      </c>
      <c r="AH205" s="9" t="n">
        <f aca="false">((((Assumptions!$E$157+Assumptions!$E$158)+Assumptions!$E$159)+Assumptions!$E$160)/12)</f>
        <v>18333.3333333333</v>
      </c>
      <c r="AI205" s="9" t="n">
        <f aca="false">((((Assumptions!$E$157+Assumptions!$E$158)+Assumptions!$E$159)+Assumptions!$E$160)/12)</f>
        <v>18333.3333333333</v>
      </c>
      <c r="AJ205" s="9" t="n">
        <f aca="false">((((Assumptions!$E$157+Assumptions!$E$158)+Assumptions!$E$159)+Assumptions!$E$160)/12)</f>
        <v>18333.3333333333</v>
      </c>
      <c r="AK205" s="9" t="n">
        <f aca="false">((((Assumptions!$E$157+Assumptions!$E$158)+Assumptions!$E$159)+Assumptions!$E$160)/12)</f>
        <v>18333.3333333333</v>
      </c>
      <c r="AL205" s="9" t="n">
        <f aca="false">((((Assumptions!$E$157+Assumptions!$E$158)+Assumptions!$E$159)+Assumptions!$E$160)/12)</f>
        <v>18333.3333333333</v>
      </c>
      <c r="AN205" s="11" t="n">
        <f aca="false">SUM(C205:N205)</f>
        <v>60000</v>
      </c>
      <c r="AO205" s="11" t="n">
        <f aca="false">SUM(O205:Z205)</f>
        <v>130000</v>
      </c>
      <c r="AP205" s="11" t="n">
        <f aca="false">SUM(AA205:AL205)</f>
        <v>220000</v>
      </c>
    </row>
    <row r="206" customFormat="false" ht="15" hidden="false" customHeight="false" outlineLevel="0" collapsed="false">
      <c r="A206" s="0" t="s">
        <v>1004</v>
      </c>
      <c r="B206" s="0" t="s">
        <v>230</v>
      </c>
      <c r="C206" s="9" t="n">
        <f aca="false">IF((C$18&gt;=Assumptions!$C$5),Assumptions!$C$134,0)</f>
        <v>0</v>
      </c>
      <c r="D206" s="9" t="n">
        <f aca="false">IF((D$18&gt;=Assumptions!$C$5),Assumptions!$C$134,0)</f>
        <v>0</v>
      </c>
      <c r="E206" s="9" t="n">
        <f aca="false">IF((E$18&gt;=Assumptions!$C$5),Assumptions!$C$134,0)</f>
        <v>0</v>
      </c>
      <c r="F206" s="9" t="n">
        <f aca="false">IF((F$18&gt;=Assumptions!$C$5),Assumptions!$C$134,0)</f>
        <v>0</v>
      </c>
      <c r="G206" s="9" t="n">
        <f aca="false">IF((G$18&gt;=Assumptions!$C$5),Assumptions!$C$134,0)</f>
        <v>0</v>
      </c>
      <c r="H206" s="9" t="n">
        <f aca="false">IF((H$18&gt;=Assumptions!$C$5),Assumptions!$C$134,0)</f>
        <v>0</v>
      </c>
      <c r="I206" s="9" t="n">
        <f aca="false">IF((I$18&gt;=Assumptions!$C$5),Assumptions!$C$134,0)</f>
        <v>0</v>
      </c>
      <c r="J206" s="9" t="n">
        <f aca="false">IF((J$18&gt;=Assumptions!$C$5),Assumptions!$C$134,0)</f>
        <v>0</v>
      </c>
      <c r="K206" s="9" t="n">
        <f aca="false">IF((K$18&gt;=Assumptions!$C$5),Assumptions!$C$134,0)</f>
        <v>0</v>
      </c>
      <c r="L206" s="9" t="n">
        <f aca="false">IF((L$18&gt;=Assumptions!$C$5),Assumptions!$C$134,0)</f>
        <v>0</v>
      </c>
      <c r="M206" s="9" t="n">
        <f aca="false">IF((M$18&gt;=Assumptions!$C$5),Assumptions!$C$134,0)</f>
        <v>0</v>
      </c>
      <c r="N206" s="9" t="n">
        <f aca="false">IF((N$18&gt;=Assumptions!$C$5),Assumptions!$C$134,0)</f>
        <v>0</v>
      </c>
      <c r="O206" s="9" t="n">
        <f aca="false">IF((O$18&gt;=Assumptions!$C$5),Assumptions!$D$134,0)</f>
        <v>3000</v>
      </c>
      <c r="P206" s="9" t="n">
        <f aca="false">IF((P$18&gt;=Assumptions!$C$5),Assumptions!$D$134,0)</f>
        <v>3000</v>
      </c>
      <c r="Q206" s="9" t="n">
        <f aca="false">IF((Q$18&gt;=Assumptions!$C$5),Assumptions!$D$134,0)</f>
        <v>3000</v>
      </c>
      <c r="R206" s="9" t="n">
        <f aca="false">IF((R$18&gt;=Assumptions!$C$5),Assumptions!$D$134,0)</f>
        <v>3000</v>
      </c>
      <c r="S206" s="9" t="n">
        <f aca="false">IF((S$18&gt;=Assumptions!$C$5),Assumptions!$D$134,0)</f>
        <v>3000</v>
      </c>
      <c r="T206" s="9" t="n">
        <f aca="false">IF((T$18&gt;=Assumptions!$C$5),Assumptions!$D$134,0)</f>
        <v>3000</v>
      </c>
      <c r="U206" s="9" t="n">
        <f aca="false">IF((U$18&gt;=Assumptions!$C$5),Assumptions!$D$134,0)</f>
        <v>3000</v>
      </c>
      <c r="V206" s="9" t="n">
        <f aca="false">IF((V$18&gt;=Assumptions!$C$5),Assumptions!$D$134,0)</f>
        <v>3000</v>
      </c>
      <c r="W206" s="9" t="n">
        <f aca="false">IF((W$18&gt;=Assumptions!$C$5),Assumptions!$D$134,0)</f>
        <v>3000</v>
      </c>
      <c r="X206" s="9" t="n">
        <f aca="false">IF((X$18&gt;=Assumptions!$C$5),Assumptions!$D$134,0)</f>
        <v>3000</v>
      </c>
      <c r="Y206" s="9" t="n">
        <f aca="false">IF((Y$18&gt;=Assumptions!$C$5),Assumptions!$D$134,0)</f>
        <v>3000</v>
      </c>
      <c r="Z206" s="9" t="n">
        <f aca="false">IF((Z$18&gt;=Assumptions!$C$5),Assumptions!$D$134,0)</f>
        <v>3000</v>
      </c>
      <c r="AA206" s="9" t="n">
        <f aca="false">IF((AA$18&gt;=Assumptions!$C$5),Assumptions!$E$134,0)</f>
        <v>5000</v>
      </c>
      <c r="AB206" s="9" t="n">
        <f aca="false">IF((AB$18&gt;=Assumptions!$C$5),Assumptions!$E$134,0)</f>
        <v>5000</v>
      </c>
      <c r="AC206" s="9" t="n">
        <f aca="false">IF((AC$18&gt;=Assumptions!$C$5),Assumptions!$E$134,0)</f>
        <v>5000</v>
      </c>
      <c r="AD206" s="9" t="n">
        <f aca="false">IF((AD$18&gt;=Assumptions!$C$5),Assumptions!$E$134,0)</f>
        <v>5000</v>
      </c>
      <c r="AE206" s="9" t="n">
        <f aca="false">IF((AE$18&gt;=Assumptions!$C$5),Assumptions!$E$134,0)</f>
        <v>5000</v>
      </c>
      <c r="AF206" s="9" t="n">
        <f aca="false">IF((AF$18&gt;=Assumptions!$C$5),Assumptions!$E$134,0)</f>
        <v>5000</v>
      </c>
      <c r="AG206" s="9" t="n">
        <f aca="false">IF((AG$18&gt;=Assumptions!$C$5),Assumptions!$E$134,0)</f>
        <v>5000</v>
      </c>
      <c r="AH206" s="9" t="n">
        <f aca="false">IF((AH$18&gt;=Assumptions!$C$5),Assumptions!$E$134,0)</f>
        <v>5000</v>
      </c>
      <c r="AI206" s="9" t="n">
        <f aca="false">IF((AI$18&gt;=Assumptions!$C$5),Assumptions!$E$134,0)</f>
        <v>5000</v>
      </c>
      <c r="AJ206" s="9" t="n">
        <f aca="false">IF((AJ$18&gt;=Assumptions!$C$5),Assumptions!$E$134,0)</f>
        <v>5000</v>
      </c>
      <c r="AK206" s="9" t="n">
        <f aca="false">IF((AK$18&gt;=Assumptions!$C$5),Assumptions!$E$134,0)</f>
        <v>5000</v>
      </c>
      <c r="AL206" s="9" t="n">
        <f aca="false">IF((AL$18&gt;=Assumptions!$C$5),Assumptions!$E$134,0)</f>
        <v>5000</v>
      </c>
      <c r="AN206" s="11" t="n">
        <f aca="false">SUM(C206:N206)</f>
        <v>0</v>
      </c>
      <c r="AO206" s="11" t="n">
        <f aca="false">SUM(O206:Z206)</f>
        <v>36000</v>
      </c>
      <c r="AP206" s="11" t="n">
        <f aca="false">SUM(AA206:AL206)</f>
        <v>60000</v>
      </c>
    </row>
    <row r="207" customFormat="false" ht="15" hidden="false" customHeight="false" outlineLevel="0" collapsed="false">
      <c r="A207" s="0" t="s">
        <v>1005</v>
      </c>
      <c r="B207" s="0" t="s">
        <v>230</v>
      </c>
      <c r="C207" s="9" t="n">
        <f aca="false">((((Assumptions!$C$161+Assumptions!$C$162)+Assumptions!$C$163)+Assumptions!$C$164)/12)</f>
        <v>4833.33333333333</v>
      </c>
      <c r="D207" s="9" t="n">
        <f aca="false">((((Assumptions!$C$161+Assumptions!$C$162)+Assumptions!$C$163)+Assumptions!$C$164)/12)</f>
        <v>4833.33333333333</v>
      </c>
      <c r="E207" s="9" t="n">
        <f aca="false">((((Assumptions!$C$161+Assumptions!$C$162)+Assumptions!$C$163)+Assumptions!$C$164)/12)</f>
        <v>4833.33333333333</v>
      </c>
      <c r="F207" s="9" t="n">
        <f aca="false">((((Assumptions!$C$161+Assumptions!$C$162)+Assumptions!$C$163)+Assumptions!$C$164)/12)</f>
        <v>4833.33333333333</v>
      </c>
      <c r="G207" s="9" t="n">
        <f aca="false">((((Assumptions!$C$161+Assumptions!$C$162)+Assumptions!$C$163)+Assumptions!$C$164)/12)</f>
        <v>4833.33333333333</v>
      </c>
      <c r="H207" s="9" t="n">
        <f aca="false">((((Assumptions!$C$161+Assumptions!$C$162)+Assumptions!$C$163)+Assumptions!$C$164)/12)</f>
        <v>4833.33333333333</v>
      </c>
      <c r="I207" s="9" t="n">
        <f aca="false">((((Assumptions!$C$161+Assumptions!$C$162)+Assumptions!$C$163)+Assumptions!$C$164)/12)</f>
        <v>4833.33333333333</v>
      </c>
      <c r="J207" s="9" t="n">
        <f aca="false">((((Assumptions!$C$161+Assumptions!$C$162)+Assumptions!$C$163)+Assumptions!$C$164)/12)</f>
        <v>4833.33333333333</v>
      </c>
      <c r="K207" s="9" t="n">
        <f aca="false">((((Assumptions!$C$161+Assumptions!$C$162)+Assumptions!$C$163)+Assumptions!$C$164)/12)</f>
        <v>4833.33333333333</v>
      </c>
      <c r="L207" s="9" t="n">
        <f aca="false">((((Assumptions!$C$161+Assumptions!$C$162)+Assumptions!$C$163)+Assumptions!$C$164)/12)</f>
        <v>4833.33333333333</v>
      </c>
      <c r="M207" s="9" t="n">
        <f aca="false">((((Assumptions!$C$161+Assumptions!$C$162)+Assumptions!$C$163)+Assumptions!$C$164)/12)</f>
        <v>4833.33333333333</v>
      </c>
      <c r="N207" s="9" t="n">
        <f aca="false">((((Assumptions!$C$161+Assumptions!$C$162)+Assumptions!$C$163)+Assumptions!$C$164)/12)</f>
        <v>4833.33333333333</v>
      </c>
      <c r="O207" s="9" t="n">
        <f aca="false">((((Assumptions!$D$161+Assumptions!$D$162)+Assumptions!$D$163)+Assumptions!$D$164)/12)</f>
        <v>11083.3333333333</v>
      </c>
      <c r="P207" s="9" t="n">
        <f aca="false">((((Assumptions!$D$161+Assumptions!$D$162)+Assumptions!$D$163)+Assumptions!$D$164)/12)</f>
        <v>11083.3333333333</v>
      </c>
      <c r="Q207" s="9" t="n">
        <f aca="false">((((Assumptions!$D$161+Assumptions!$D$162)+Assumptions!$D$163)+Assumptions!$D$164)/12)</f>
        <v>11083.3333333333</v>
      </c>
      <c r="R207" s="9" t="n">
        <f aca="false">((((Assumptions!$D$161+Assumptions!$D$162)+Assumptions!$D$163)+Assumptions!$D$164)/12)</f>
        <v>11083.3333333333</v>
      </c>
      <c r="S207" s="9" t="n">
        <f aca="false">((((Assumptions!$D$161+Assumptions!$D$162)+Assumptions!$D$163)+Assumptions!$D$164)/12)</f>
        <v>11083.3333333333</v>
      </c>
      <c r="T207" s="9" t="n">
        <f aca="false">((((Assumptions!$D$161+Assumptions!$D$162)+Assumptions!$D$163)+Assumptions!$D$164)/12)</f>
        <v>11083.3333333333</v>
      </c>
      <c r="U207" s="9" t="n">
        <f aca="false">((((Assumptions!$D$161+Assumptions!$D$162)+Assumptions!$D$163)+Assumptions!$D$164)/12)</f>
        <v>11083.3333333333</v>
      </c>
      <c r="V207" s="9" t="n">
        <f aca="false">((((Assumptions!$D$161+Assumptions!$D$162)+Assumptions!$D$163)+Assumptions!$D$164)/12)</f>
        <v>11083.3333333333</v>
      </c>
      <c r="W207" s="9" t="n">
        <f aca="false">((((Assumptions!$D$161+Assumptions!$D$162)+Assumptions!$D$163)+Assumptions!$D$164)/12)</f>
        <v>11083.3333333333</v>
      </c>
      <c r="X207" s="9" t="n">
        <f aca="false">((((Assumptions!$D$161+Assumptions!$D$162)+Assumptions!$D$163)+Assumptions!$D$164)/12)</f>
        <v>11083.3333333333</v>
      </c>
      <c r="Y207" s="9" t="n">
        <f aca="false">((((Assumptions!$D$161+Assumptions!$D$162)+Assumptions!$D$163)+Assumptions!$D$164)/12)</f>
        <v>11083.3333333333</v>
      </c>
      <c r="Z207" s="9" t="n">
        <f aca="false">((((Assumptions!$D$161+Assumptions!$D$162)+Assumptions!$D$163)+Assumptions!$D$164)/12)</f>
        <v>11083.3333333333</v>
      </c>
      <c r="AA207" s="9" t="n">
        <f aca="false">((((Assumptions!$E$161+Assumptions!$E$162)+Assumptions!$E$163)+Assumptions!$E$164)/12)</f>
        <v>19166.6666666667</v>
      </c>
      <c r="AB207" s="9" t="n">
        <f aca="false">((((Assumptions!$E$161+Assumptions!$E$162)+Assumptions!$E$163)+Assumptions!$E$164)/12)</f>
        <v>19166.6666666667</v>
      </c>
      <c r="AC207" s="9" t="n">
        <f aca="false">((((Assumptions!$E$161+Assumptions!$E$162)+Assumptions!$E$163)+Assumptions!$E$164)/12)</f>
        <v>19166.6666666667</v>
      </c>
      <c r="AD207" s="9" t="n">
        <f aca="false">((((Assumptions!$E$161+Assumptions!$E$162)+Assumptions!$E$163)+Assumptions!$E$164)/12)</f>
        <v>19166.6666666667</v>
      </c>
      <c r="AE207" s="9" t="n">
        <f aca="false">((((Assumptions!$E$161+Assumptions!$E$162)+Assumptions!$E$163)+Assumptions!$E$164)/12)</f>
        <v>19166.6666666667</v>
      </c>
      <c r="AF207" s="9" t="n">
        <f aca="false">((((Assumptions!$E$161+Assumptions!$E$162)+Assumptions!$E$163)+Assumptions!$E$164)/12)</f>
        <v>19166.6666666667</v>
      </c>
      <c r="AG207" s="9" t="n">
        <f aca="false">((((Assumptions!$E$161+Assumptions!$E$162)+Assumptions!$E$163)+Assumptions!$E$164)/12)</f>
        <v>19166.6666666667</v>
      </c>
      <c r="AH207" s="9" t="n">
        <f aca="false">((((Assumptions!$E$161+Assumptions!$E$162)+Assumptions!$E$163)+Assumptions!$E$164)/12)</f>
        <v>19166.6666666667</v>
      </c>
      <c r="AI207" s="9" t="n">
        <f aca="false">((((Assumptions!$E$161+Assumptions!$E$162)+Assumptions!$E$163)+Assumptions!$E$164)/12)</f>
        <v>19166.6666666667</v>
      </c>
      <c r="AJ207" s="9" t="n">
        <f aca="false">((((Assumptions!$E$161+Assumptions!$E$162)+Assumptions!$E$163)+Assumptions!$E$164)/12)</f>
        <v>19166.6666666667</v>
      </c>
      <c r="AK207" s="9" t="n">
        <f aca="false">((((Assumptions!$E$161+Assumptions!$E$162)+Assumptions!$E$163)+Assumptions!$E$164)/12)</f>
        <v>19166.6666666667</v>
      </c>
      <c r="AL207" s="9" t="n">
        <f aca="false">((((Assumptions!$E$161+Assumptions!$E$162)+Assumptions!$E$163)+Assumptions!$E$164)/12)</f>
        <v>19166.6666666667</v>
      </c>
      <c r="AN207" s="11" t="n">
        <f aca="false">SUM(C207:N207)</f>
        <v>58000</v>
      </c>
      <c r="AO207" s="11" t="n">
        <f aca="false">SUM(O207:Z207)</f>
        <v>133000</v>
      </c>
      <c r="AP207" s="11" t="n">
        <f aca="false">SUM(AA207:AL207)</f>
        <v>230000</v>
      </c>
    </row>
    <row r="208" customFormat="false" ht="15" hidden="false" customHeight="false" outlineLevel="0" collapsed="false">
      <c r="A208" s="0" t="s">
        <v>1006</v>
      </c>
      <c r="B208" s="0" t="s">
        <v>230</v>
      </c>
      <c r="C208" s="9" t="n">
        <f aca="false">(C196*((Assumptions!$C$98+Assumptions!$C$99)+Assumptions!$C$100))</f>
        <v>3740</v>
      </c>
      <c r="D208" s="9" t="n">
        <f aca="false">(D196*((Assumptions!$C$98+Assumptions!$C$99)+Assumptions!$C$100))</f>
        <v>3740</v>
      </c>
      <c r="E208" s="9" t="n">
        <f aca="false">(E196*((Assumptions!$C$98+Assumptions!$C$99)+Assumptions!$C$100))</f>
        <v>4590</v>
      </c>
      <c r="F208" s="9" t="n">
        <f aca="false">(F196*((Assumptions!$C$98+Assumptions!$C$99)+Assumptions!$C$100))</f>
        <v>5440</v>
      </c>
      <c r="G208" s="9" t="n">
        <f aca="false">(G196*((Assumptions!$C$98+Assumptions!$C$99)+Assumptions!$C$100))</f>
        <v>7140</v>
      </c>
      <c r="H208" s="9" t="n">
        <f aca="false">(H196*((Assumptions!$C$98+Assumptions!$C$99)+Assumptions!$C$100))</f>
        <v>8840</v>
      </c>
      <c r="I208" s="9" t="n">
        <f aca="false">(I196*((Assumptions!$C$98+Assumptions!$C$99)+Assumptions!$C$100))</f>
        <v>9690</v>
      </c>
      <c r="J208" s="9" t="n">
        <f aca="false">(J196*((Assumptions!$C$98+Assumptions!$C$99)+Assumptions!$C$100))</f>
        <v>9690</v>
      </c>
      <c r="K208" s="9" t="n">
        <f aca="false">(K196*((Assumptions!$C$98+Assumptions!$C$99)+Assumptions!$C$100))</f>
        <v>12240</v>
      </c>
      <c r="L208" s="9" t="n">
        <f aca="false">(L196*((Assumptions!$C$98+Assumptions!$C$99)+Assumptions!$C$100))</f>
        <v>13090</v>
      </c>
      <c r="M208" s="9" t="n">
        <f aca="false">(M196*((Assumptions!$C$98+Assumptions!$C$99)+Assumptions!$C$100))</f>
        <v>14790</v>
      </c>
      <c r="N208" s="9" t="n">
        <f aca="false">(N196*((Assumptions!$C$98+Assumptions!$C$99)+Assumptions!$C$100))</f>
        <v>15640</v>
      </c>
      <c r="O208" s="9" t="n">
        <f aca="false">(O196*((Assumptions!$C$98+Assumptions!$C$99)+Assumptions!$C$100))</f>
        <v>17340</v>
      </c>
      <c r="P208" s="9" t="n">
        <f aca="false">(P196*((Assumptions!$C$98+Assumptions!$C$99)+Assumptions!$C$100))</f>
        <v>18190</v>
      </c>
      <c r="Q208" s="9" t="n">
        <f aca="false">(Q196*((Assumptions!$C$98+Assumptions!$C$99)+Assumptions!$C$100))</f>
        <v>19890</v>
      </c>
      <c r="R208" s="9" t="n">
        <f aca="false">(R196*((Assumptions!$C$98+Assumptions!$C$99)+Assumptions!$C$100))</f>
        <v>19890</v>
      </c>
      <c r="S208" s="9" t="n">
        <f aca="false">(S196*((Assumptions!$C$98+Assumptions!$C$99)+Assumptions!$C$100))</f>
        <v>19890</v>
      </c>
      <c r="T208" s="9" t="n">
        <f aca="false">(T196*((Assumptions!$C$98+Assumptions!$C$99)+Assumptions!$C$100))</f>
        <v>21590</v>
      </c>
      <c r="U208" s="9" t="n">
        <f aca="false">(U196*((Assumptions!$C$98+Assumptions!$C$99)+Assumptions!$C$100))</f>
        <v>22440</v>
      </c>
      <c r="V208" s="9" t="n">
        <f aca="false">(V196*((Assumptions!$C$98+Assumptions!$C$99)+Assumptions!$C$100))</f>
        <v>24140</v>
      </c>
      <c r="W208" s="9" t="n">
        <f aca="false">(W196*((Assumptions!$C$98+Assumptions!$C$99)+Assumptions!$C$100))</f>
        <v>24140</v>
      </c>
      <c r="X208" s="9" t="n">
        <f aca="false">(X196*((Assumptions!$C$98+Assumptions!$C$99)+Assumptions!$C$100))</f>
        <v>25840</v>
      </c>
      <c r="Y208" s="9" t="n">
        <f aca="false">(Y196*((Assumptions!$C$98+Assumptions!$C$99)+Assumptions!$C$100))</f>
        <v>25840</v>
      </c>
      <c r="Z208" s="9" t="n">
        <f aca="false">(Z196*((Assumptions!$C$98+Assumptions!$C$99)+Assumptions!$C$100))</f>
        <v>26690</v>
      </c>
      <c r="AA208" s="9" t="n">
        <f aca="false">(AA196*((Assumptions!$C$98+Assumptions!$C$99)+Assumptions!$C$100))</f>
        <v>27540</v>
      </c>
      <c r="AB208" s="9" t="n">
        <f aca="false">(AB196*((Assumptions!$C$98+Assumptions!$C$99)+Assumptions!$C$100))</f>
        <v>29240</v>
      </c>
      <c r="AC208" s="9" t="n">
        <f aca="false">(AC196*((Assumptions!$C$98+Assumptions!$C$99)+Assumptions!$C$100))</f>
        <v>29240</v>
      </c>
      <c r="AD208" s="9" t="n">
        <f aca="false">(AD196*((Assumptions!$C$98+Assumptions!$C$99)+Assumptions!$C$100))</f>
        <v>30940</v>
      </c>
      <c r="AE208" s="9" t="n">
        <f aca="false">(AE196*((Assumptions!$C$98+Assumptions!$C$99)+Assumptions!$C$100))</f>
        <v>30940</v>
      </c>
      <c r="AF208" s="9" t="n">
        <f aca="false">(AF196*((Assumptions!$C$98+Assumptions!$C$99)+Assumptions!$C$100))</f>
        <v>31790</v>
      </c>
      <c r="AG208" s="9" t="n">
        <f aca="false">(AG196*((Assumptions!$C$98+Assumptions!$C$99)+Assumptions!$C$100))</f>
        <v>32640</v>
      </c>
      <c r="AH208" s="9" t="n">
        <f aca="false">(AH196*((Assumptions!$C$98+Assumptions!$C$99)+Assumptions!$C$100))</f>
        <v>33490</v>
      </c>
      <c r="AI208" s="9" t="n">
        <f aca="false">(AI196*((Assumptions!$C$98+Assumptions!$C$99)+Assumptions!$C$100))</f>
        <v>34340</v>
      </c>
      <c r="AJ208" s="9" t="n">
        <f aca="false">(AJ196*((Assumptions!$C$98+Assumptions!$C$99)+Assumptions!$C$100))</f>
        <v>34340</v>
      </c>
      <c r="AK208" s="9" t="n">
        <f aca="false">(AK196*((Assumptions!$C$98+Assumptions!$C$99)+Assumptions!$C$100))</f>
        <v>34340</v>
      </c>
      <c r="AL208" s="9" t="n">
        <f aca="false">(AL196*((Assumptions!$C$98+Assumptions!$C$99)+Assumptions!$C$100))</f>
        <v>34340</v>
      </c>
      <c r="AN208" s="11" t="n">
        <f aca="false">SUM(C208:N208)</f>
        <v>108630</v>
      </c>
      <c r="AO208" s="11" t="n">
        <f aca="false">SUM(O208:Z208)</f>
        <v>265880</v>
      </c>
      <c r="AP208" s="11" t="n">
        <f aca="false">SUM(AA208:AL208)</f>
        <v>383180</v>
      </c>
    </row>
    <row r="209" customFormat="false" ht="15" hidden="false" customHeight="false" outlineLevel="0" collapsed="false">
      <c r="A209" s="0" t="s">
        <v>1007</v>
      </c>
      <c r="B209" s="0" t="s">
        <v>230</v>
      </c>
      <c r="C209" s="9" t="n">
        <f aca="false">(C198*(Assumptions!$C$101+Assumptions!$C$102))</f>
        <v>0</v>
      </c>
      <c r="D209" s="9" t="n">
        <f aca="false">(D198*(Assumptions!$C$101+Assumptions!$C$102))</f>
        <v>0</v>
      </c>
      <c r="E209" s="9" t="n">
        <f aca="false">(E198*(Assumptions!$C$101+Assumptions!$C$102))</f>
        <v>11800</v>
      </c>
      <c r="F209" s="9" t="n">
        <f aca="false">(F198*(Assumptions!$C$101+Assumptions!$C$102))</f>
        <v>11800</v>
      </c>
      <c r="G209" s="9" t="n">
        <f aca="false">(G198*(Assumptions!$C$101+Assumptions!$C$102))</f>
        <v>23600</v>
      </c>
      <c r="H209" s="9" t="n">
        <f aca="false">(H198*(Assumptions!$C$101+Assumptions!$C$102))</f>
        <v>23600</v>
      </c>
      <c r="I209" s="9" t="n">
        <f aca="false">(I198*(Assumptions!$C$101+Assumptions!$C$102))</f>
        <v>11800</v>
      </c>
      <c r="J209" s="9" t="n">
        <f aca="false">(J198*(Assumptions!$C$101+Assumptions!$C$102))</f>
        <v>0</v>
      </c>
      <c r="K209" s="9" t="n">
        <f aca="false">(K198*(Assumptions!$C$101+Assumptions!$C$102))</f>
        <v>35400</v>
      </c>
      <c r="L209" s="9" t="n">
        <f aca="false">(L198*(Assumptions!$C$101+Assumptions!$C$102))</f>
        <v>11800</v>
      </c>
      <c r="M209" s="9" t="n">
        <f aca="false">(M198*(Assumptions!$C$101+Assumptions!$C$102))</f>
        <v>23600</v>
      </c>
      <c r="N209" s="9" t="n">
        <f aca="false">(N198*(Assumptions!$C$101+Assumptions!$C$102))</f>
        <v>11800</v>
      </c>
      <c r="O209" s="9" t="n">
        <f aca="false">(O198*(Assumptions!$C$101+Assumptions!$C$102))</f>
        <v>23600</v>
      </c>
      <c r="P209" s="9" t="n">
        <f aca="false">(P198*(Assumptions!$C$101+Assumptions!$C$102))</f>
        <v>11800</v>
      </c>
      <c r="Q209" s="9" t="n">
        <f aca="false">(Q198*(Assumptions!$C$101+Assumptions!$C$102))</f>
        <v>23600</v>
      </c>
      <c r="R209" s="9" t="n">
        <f aca="false">(R198*(Assumptions!$C$101+Assumptions!$C$102))</f>
        <v>0</v>
      </c>
      <c r="S209" s="9" t="n">
        <f aca="false">(S198*(Assumptions!$C$101+Assumptions!$C$102))</f>
        <v>0</v>
      </c>
      <c r="T209" s="9" t="n">
        <f aca="false">(T198*(Assumptions!$C$101+Assumptions!$C$102))</f>
        <v>23600</v>
      </c>
      <c r="U209" s="9" t="n">
        <f aca="false">(U198*(Assumptions!$C$101+Assumptions!$C$102))</f>
        <v>11800</v>
      </c>
      <c r="V209" s="9" t="n">
        <f aca="false">(V198*(Assumptions!$C$101+Assumptions!$C$102))</f>
        <v>23600</v>
      </c>
      <c r="W209" s="9" t="n">
        <f aca="false">(W198*(Assumptions!$C$101+Assumptions!$C$102))</f>
        <v>0</v>
      </c>
      <c r="X209" s="9" t="n">
        <f aca="false">(X198*(Assumptions!$C$101+Assumptions!$C$102))</f>
        <v>23600</v>
      </c>
      <c r="Y209" s="9" t="n">
        <f aca="false">(Y198*(Assumptions!$C$101+Assumptions!$C$102))</f>
        <v>0</v>
      </c>
      <c r="Z209" s="9" t="n">
        <f aca="false">(Z198*(Assumptions!$C$101+Assumptions!$C$102))</f>
        <v>11800</v>
      </c>
      <c r="AA209" s="9" t="n">
        <f aca="false">(AA198*(Assumptions!$C$101+Assumptions!$C$102))</f>
        <v>11800</v>
      </c>
      <c r="AB209" s="9" t="n">
        <f aca="false">(AB198*(Assumptions!$C$101+Assumptions!$C$102))</f>
        <v>23600</v>
      </c>
      <c r="AC209" s="9" t="n">
        <f aca="false">(AC198*(Assumptions!$C$101+Assumptions!$C$102))</f>
        <v>0</v>
      </c>
      <c r="AD209" s="9" t="n">
        <f aca="false">(AD198*(Assumptions!$C$101+Assumptions!$C$102))</f>
        <v>23600</v>
      </c>
      <c r="AE209" s="9" t="n">
        <f aca="false">(AE198*(Assumptions!$C$101+Assumptions!$C$102))</f>
        <v>0</v>
      </c>
      <c r="AF209" s="9" t="n">
        <f aca="false">(AF198*(Assumptions!$C$101+Assumptions!$C$102))</f>
        <v>11800</v>
      </c>
      <c r="AG209" s="9" t="n">
        <f aca="false">(AG198*(Assumptions!$C$101+Assumptions!$C$102))</f>
        <v>11800</v>
      </c>
      <c r="AH209" s="9" t="n">
        <f aca="false">(AH198*(Assumptions!$C$101+Assumptions!$C$102))</f>
        <v>11800</v>
      </c>
      <c r="AI209" s="9" t="n">
        <f aca="false">(AI198*(Assumptions!$C$101+Assumptions!$C$102))</f>
        <v>11800</v>
      </c>
      <c r="AJ209" s="9" t="n">
        <f aca="false">(AJ198*(Assumptions!$C$101+Assumptions!$C$102))</f>
        <v>0</v>
      </c>
      <c r="AK209" s="9" t="n">
        <f aca="false">(AK198*(Assumptions!$C$101+Assumptions!$C$102))</f>
        <v>0</v>
      </c>
      <c r="AL209" s="9" t="n">
        <f aca="false">(AL198*(Assumptions!$C$101+Assumptions!$C$102))</f>
        <v>0</v>
      </c>
      <c r="AN209" s="11" t="n">
        <f aca="false">SUM(C209:N209)</f>
        <v>165200</v>
      </c>
      <c r="AO209" s="11" t="n">
        <f aca="false">SUM(O209:Z209)</f>
        <v>153400</v>
      </c>
      <c r="AP209" s="11" t="n">
        <f aca="false">SUM(AA209:AL209)</f>
        <v>106200</v>
      </c>
    </row>
    <row r="210" customFormat="false" ht="15" hidden="false" customHeight="false" outlineLevel="0" collapsed="false">
      <c r="A210" s="0" t="s">
        <v>1008</v>
      </c>
      <c r="B210" s="0" t="s">
        <v>230</v>
      </c>
      <c r="C210" s="9" t="n">
        <f aca="false">(Assumptions!$C$103*((((((C199+C200)+C201)+C202)+C203)+C205)+C207))</f>
        <v>1791.66666666667</v>
      </c>
      <c r="D210" s="9" t="n">
        <f aca="false">(Assumptions!$C$103*((((((D199+D200)+D201)+D202)+D203)+D205)+D207))</f>
        <v>1791.66666666667</v>
      </c>
      <c r="E210" s="9" t="n">
        <f aca="false">(Assumptions!$C$103*((((((E199+E200)+E201)+E202)+E203)+E205)+E207))</f>
        <v>1791.66666666667</v>
      </c>
      <c r="F210" s="9" t="n">
        <f aca="false">(Assumptions!$C$103*((((((F199+F200)+F201)+F202)+F203)+F205)+F207))</f>
        <v>1791.66666666667</v>
      </c>
      <c r="G210" s="9" t="n">
        <f aca="false">(Assumptions!$C$103*((((((G199+G200)+G201)+G202)+G203)+G205)+G207))</f>
        <v>1791.66666666667</v>
      </c>
      <c r="H210" s="9" t="n">
        <f aca="false">(Assumptions!$C$103*((((((H199+H200)+H201)+H202)+H203)+H205)+H207))</f>
        <v>1791.66666666667</v>
      </c>
      <c r="I210" s="9" t="n">
        <f aca="false">(Assumptions!$C$103*((((((I199+I200)+I201)+I202)+I203)+I205)+I207))</f>
        <v>1791.66666666667</v>
      </c>
      <c r="J210" s="9" t="n">
        <f aca="false">(Assumptions!$C$103*((((((J199+J200)+J201)+J202)+J203)+J205)+J207))</f>
        <v>1791.66666666667</v>
      </c>
      <c r="K210" s="9" t="n">
        <f aca="false">(Assumptions!$C$103*((((((K199+K200)+K201)+K202)+K203)+K205)+K207))</f>
        <v>1791.66666666667</v>
      </c>
      <c r="L210" s="9" t="n">
        <f aca="false">(Assumptions!$C$103*((((((L199+L200)+L201)+L202)+L203)+L205)+L207))</f>
        <v>1791.66666666667</v>
      </c>
      <c r="M210" s="9" t="n">
        <f aca="false">(Assumptions!$C$103*((((((M199+M200)+M201)+M202)+M203)+M205)+M207))</f>
        <v>1791.66666666667</v>
      </c>
      <c r="N210" s="9" t="n">
        <f aca="false">(Assumptions!$C$103*((((((N199+N200)+N201)+N202)+N203)+N205)+N207))</f>
        <v>1791.66666666667</v>
      </c>
      <c r="O210" s="9" t="n">
        <f aca="false">(Assumptions!$C$103*((((((O199+O200)+O201)+O202)+O203)+O205)+O207))</f>
        <v>3058.33333333333</v>
      </c>
      <c r="P210" s="9" t="n">
        <f aca="false">(Assumptions!$C$103*((((((P199+P200)+P201)+P202)+P203)+P205)+P207))</f>
        <v>3058.33333333333</v>
      </c>
      <c r="Q210" s="9" t="n">
        <f aca="false">(Assumptions!$C$103*((((((Q199+Q200)+Q201)+Q202)+Q203)+Q205)+Q207))</f>
        <v>3058.33333333333</v>
      </c>
      <c r="R210" s="9" t="n">
        <f aca="false">(Assumptions!$C$103*((((((R199+R200)+R201)+R202)+R203)+R205)+R207))</f>
        <v>3058.33333333333</v>
      </c>
      <c r="S210" s="9" t="n">
        <f aca="false">(Assumptions!$C$103*((((((S199+S200)+S201)+S202)+S203)+S205)+S207))</f>
        <v>3058.33333333333</v>
      </c>
      <c r="T210" s="9" t="n">
        <f aca="false">(Assumptions!$C$103*((((((T199+T200)+T201)+T202)+T203)+T205)+T207))</f>
        <v>3058.33333333333</v>
      </c>
      <c r="U210" s="9" t="n">
        <f aca="false">(Assumptions!$C$103*((((((U199+U200)+U201)+U202)+U203)+U205)+U207))</f>
        <v>3058.33333333333</v>
      </c>
      <c r="V210" s="9" t="n">
        <f aca="false">(Assumptions!$C$103*((((((V199+V200)+V201)+V202)+V203)+V205)+V207))</f>
        <v>3058.33333333333</v>
      </c>
      <c r="W210" s="9" t="n">
        <f aca="false">(Assumptions!$C$103*((((((W199+W200)+W201)+W202)+W203)+W205)+W207))</f>
        <v>3058.33333333333</v>
      </c>
      <c r="X210" s="9" t="n">
        <f aca="false">(Assumptions!$C$103*((((((X199+X200)+X201)+X202)+X203)+X205)+X207))</f>
        <v>3058.33333333333</v>
      </c>
      <c r="Y210" s="9" t="n">
        <f aca="false">(Assumptions!$C$103*((((((Y199+Y200)+Y201)+Y202)+Y203)+Y205)+Y207))</f>
        <v>3058.33333333333</v>
      </c>
      <c r="Z210" s="9" t="n">
        <f aca="false">(Assumptions!$C$103*((((((Z199+Z200)+Z201)+Z202)+Z203)+Z205)+Z207))</f>
        <v>3058.33333333333</v>
      </c>
      <c r="AA210" s="9" t="n">
        <f aca="false">(Assumptions!$C$103*((((((AA199+AA200)+AA201)+AA202)+AA203)+AA205)+AA207))</f>
        <v>4754.16666666667</v>
      </c>
      <c r="AB210" s="9" t="n">
        <f aca="false">(Assumptions!$C$103*((((((AB199+AB200)+AB201)+AB202)+AB203)+AB205)+AB207))</f>
        <v>4754.16666666667</v>
      </c>
      <c r="AC210" s="9" t="n">
        <f aca="false">(Assumptions!$C$103*((((((AC199+AC200)+AC201)+AC202)+AC203)+AC205)+AC207))</f>
        <v>4754.16666666667</v>
      </c>
      <c r="AD210" s="9" t="n">
        <f aca="false">(Assumptions!$C$103*((((((AD199+AD200)+AD201)+AD202)+AD203)+AD205)+AD207))</f>
        <v>4754.16666666667</v>
      </c>
      <c r="AE210" s="9" t="n">
        <f aca="false">(Assumptions!$C$103*((((((AE199+AE200)+AE201)+AE202)+AE203)+AE205)+AE207))</f>
        <v>4754.16666666667</v>
      </c>
      <c r="AF210" s="9" t="n">
        <f aca="false">(Assumptions!$C$103*((((((AF199+AF200)+AF201)+AF202)+AF203)+AF205)+AF207))</f>
        <v>4754.16666666667</v>
      </c>
      <c r="AG210" s="9" t="n">
        <f aca="false">(Assumptions!$C$103*((((((AG199+AG200)+AG201)+AG202)+AG203)+AG205)+AG207))</f>
        <v>4754.16666666667</v>
      </c>
      <c r="AH210" s="9" t="n">
        <f aca="false">(Assumptions!$C$103*((((((AH199+AH200)+AH201)+AH202)+AH203)+AH205)+AH207))</f>
        <v>4754.16666666667</v>
      </c>
      <c r="AI210" s="9" t="n">
        <f aca="false">(Assumptions!$C$103*((((((AI199+AI200)+AI201)+AI202)+AI203)+AI205)+AI207))</f>
        <v>4754.16666666667</v>
      </c>
      <c r="AJ210" s="9" t="n">
        <f aca="false">(Assumptions!$C$103*((((((AJ199+AJ200)+AJ201)+AJ202)+AJ203)+AJ205)+AJ207))</f>
        <v>4754.16666666667</v>
      </c>
      <c r="AK210" s="9" t="n">
        <f aca="false">(Assumptions!$C$103*((((((AK199+AK200)+AK201)+AK202)+AK203)+AK205)+AK207))</f>
        <v>4754.16666666667</v>
      </c>
      <c r="AL210" s="9" t="n">
        <f aca="false">(Assumptions!$C$103*((((((AL199+AL200)+AL201)+AL202)+AL203)+AL205)+AL207))</f>
        <v>4754.16666666667</v>
      </c>
      <c r="AN210" s="11" t="n">
        <f aca="false">SUM(C210:N210)</f>
        <v>21500</v>
      </c>
      <c r="AO210" s="11" t="n">
        <f aca="false">SUM(O210:Z210)</f>
        <v>36700</v>
      </c>
      <c r="AP210" s="11" t="n">
        <f aca="false">SUM(AA210:AL210)</f>
        <v>57050</v>
      </c>
    </row>
    <row r="211" customFormat="false" ht="15" hidden="false" customHeight="false" outlineLevel="0" collapsed="false">
      <c r="A211" s="0" t="s">
        <v>1009</v>
      </c>
      <c r="B211" s="0" t="s">
        <v>230</v>
      </c>
      <c r="C211" s="9" t="n">
        <f aca="false">(Assumptions!$C$33*C152)</f>
        <v>0</v>
      </c>
      <c r="D211" s="9" t="n">
        <f aca="false">(Assumptions!$C$33*D152)</f>
        <v>0</v>
      </c>
      <c r="E211" s="9" t="n">
        <f aca="false">(Assumptions!$C$33*E152)</f>
        <v>0</v>
      </c>
      <c r="F211" s="9" t="n">
        <f aca="false">(Assumptions!$C$33*F152)</f>
        <v>0</v>
      </c>
      <c r="G211" s="9" t="n">
        <f aca="false">(Assumptions!$C$33*G152)</f>
        <v>0</v>
      </c>
      <c r="H211" s="9" t="n">
        <f aca="false">(Assumptions!$C$33*H152)</f>
        <v>0</v>
      </c>
      <c r="I211" s="9" t="n">
        <f aca="false">(Assumptions!$C$33*I152)</f>
        <v>0</v>
      </c>
      <c r="J211" s="9" t="n">
        <f aca="false">(Assumptions!$C$33*J152)</f>
        <v>0</v>
      </c>
      <c r="K211" s="9" t="n">
        <f aca="false">(Assumptions!$C$33*K152)</f>
        <v>0</v>
      </c>
      <c r="L211" s="9" t="n">
        <f aca="false">(Assumptions!$C$33*L152)</f>
        <v>0</v>
      </c>
      <c r="M211" s="9" t="n">
        <f aca="false">(Assumptions!$C$33*M152)</f>
        <v>0</v>
      </c>
      <c r="N211" s="9" t="n">
        <f aca="false">(Assumptions!$C$33*N152)</f>
        <v>0</v>
      </c>
      <c r="O211" s="9" t="n">
        <f aca="false">(Assumptions!$C$33*O152)</f>
        <v>0</v>
      </c>
      <c r="P211" s="9" t="n">
        <f aca="false">(Assumptions!$C$33*P152)</f>
        <v>120.384</v>
      </c>
      <c r="Q211" s="9" t="n">
        <f aca="false">(Assumptions!$C$33*Q152)</f>
        <v>548.088</v>
      </c>
      <c r="R211" s="9" t="n">
        <f aca="false">(Assumptions!$C$33*R152)</f>
        <v>0</v>
      </c>
      <c r="S211" s="9" t="n">
        <f aca="false">(Assumptions!$C$33*S152)</f>
        <v>0</v>
      </c>
      <c r="T211" s="9" t="n">
        <f aca="false">(Assumptions!$C$33*T152)</f>
        <v>642</v>
      </c>
      <c r="U211" s="9" t="n">
        <f aca="false">(Assumptions!$C$33*U152)</f>
        <v>0</v>
      </c>
      <c r="V211" s="9" t="n">
        <f aca="false">(Assumptions!$C$33*V152)</f>
        <v>0</v>
      </c>
      <c r="W211" s="9" t="n">
        <f aca="false">(Assumptions!$C$33*W152)</f>
        <v>849</v>
      </c>
      <c r="X211" s="9" t="n">
        <f aca="false">(Assumptions!$C$33*X152)</f>
        <v>42.192</v>
      </c>
      <c r="Y211" s="9" t="n">
        <f aca="false">(Assumptions!$C$33*Y152)</f>
        <v>0</v>
      </c>
      <c r="Z211" s="9" t="n">
        <f aca="false">(Assumptions!$C$33*Z152)</f>
        <v>849</v>
      </c>
      <c r="AA211" s="9" t="n">
        <f aca="false">(Assumptions!$C$33*AA152)</f>
        <v>435.2616</v>
      </c>
      <c r="AB211" s="9" t="n">
        <f aca="false">(Assumptions!$C$33*AB152)</f>
        <v>112.55904</v>
      </c>
      <c r="AC211" s="9" t="n">
        <f aca="false">(Assumptions!$C$33*AC152)</f>
        <v>1374.91728</v>
      </c>
      <c r="AD211" s="9" t="n">
        <f aca="false">(Assumptions!$C$33*AD152)</f>
        <v>1167.8136</v>
      </c>
      <c r="AE211" s="9" t="n">
        <f aca="false">(Assumptions!$C$33*AE152)</f>
        <v>0</v>
      </c>
      <c r="AF211" s="9" t="n">
        <f aca="false">(Assumptions!$C$33*AF152)</f>
        <v>1491</v>
      </c>
      <c r="AG211" s="9" t="n">
        <f aca="false">(Assumptions!$C$33*AG152)</f>
        <v>1439.7936</v>
      </c>
      <c r="AH211" s="9" t="n">
        <f aca="false">(Assumptions!$C$33*AH152)</f>
        <v>948</v>
      </c>
      <c r="AI211" s="9" t="n">
        <f aca="false">(Assumptions!$C$33*AI152)</f>
        <v>1491</v>
      </c>
      <c r="AJ211" s="9" t="n">
        <f aca="false">(Assumptions!$C$33*AJ152)</f>
        <v>1538.26512</v>
      </c>
      <c r="AK211" s="9" t="n">
        <f aca="false">(Assumptions!$C$33*AK152)</f>
        <v>0</v>
      </c>
      <c r="AL211" s="9" t="n">
        <f aca="false">(Assumptions!$C$33*AL152)</f>
        <v>1698</v>
      </c>
      <c r="AN211" s="11" t="n">
        <f aca="false">SUM(C211:N211)</f>
        <v>0</v>
      </c>
      <c r="AO211" s="11" t="n">
        <f aca="false">SUM(O211:Z211)</f>
        <v>3050.664</v>
      </c>
      <c r="AP211" s="11" t="n">
        <f aca="false">SUM(AA211:AL211)</f>
        <v>11696.61024</v>
      </c>
    </row>
    <row r="212" customFormat="false" ht="15" hidden="false" customHeight="false" outlineLevel="0" collapsed="false">
      <c r="A212" s="0" t="s">
        <v>1010</v>
      </c>
      <c r="B212" s="0" t="s">
        <v>230</v>
      </c>
      <c r="C212" s="9" t="n">
        <f aca="false">IF(AND(($C$14=1),(C$18=Assumptions!$C$106)),(((((Assumptions!$C$107+Assumptions!$C$108)+Assumptions!$C$111)+Assumptions!$C$112)+(Assumptions!$C$109*Assumptions!$C$110))-Assumptions!$C$113),0)</f>
        <v>0</v>
      </c>
      <c r="D212" s="9" t="n">
        <f aca="false">IF(AND(($C$14=1),(D$18=Assumptions!$C$106)),(((((Assumptions!$C$107+Assumptions!$C$108)+Assumptions!$C$111)+Assumptions!$C$112)+(Assumptions!$C$109*Assumptions!$C$110))-Assumptions!$C$113),0)</f>
        <v>0</v>
      </c>
      <c r="E212" s="9" t="n">
        <f aca="false">IF(AND(($C$14=1),(E$18=Assumptions!$C$106)),(((((Assumptions!$C$107+Assumptions!$C$108)+Assumptions!$C$111)+Assumptions!$C$112)+(Assumptions!$C$109*Assumptions!$C$110))-Assumptions!$C$113),0)</f>
        <v>0</v>
      </c>
      <c r="F212" s="9" t="n">
        <f aca="false">IF(AND(($C$14=1),(F$18=Assumptions!$C$106)),(((((Assumptions!$C$107+Assumptions!$C$108)+Assumptions!$C$111)+Assumptions!$C$112)+(Assumptions!$C$109*Assumptions!$C$110))-Assumptions!$C$113),0)</f>
        <v>0</v>
      </c>
      <c r="G212" s="9" t="n">
        <f aca="false">IF(AND(($C$14=1),(G$18=Assumptions!$C$106)),(((((Assumptions!$C$107+Assumptions!$C$108)+Assumptions!$C$111)+Assumptions!$C$112)+(Assumptions!$C$109*Assumptions!$C$110))-Assumptions!$C$113),0)</f>
        <v>0</v>
      </c>
      <c r="H212" s="9" t="n">
        <f aca="false">IF(AND(($C$14=1),(H$18=Assumptions!$C$106)),(((((Assumptions!$C$107+Assumptions!$C$108)+Assumptions!$C$111)+Assumptions!$C$112)+(Assumptions!$C$109*Assumptions!$C$110))-Assumptions!$C$113),0)</f>
        <v>0</v>
      </c>
      <c r="I212" s="9" t="n">
        <f aca="false">IF(AND(($C$14=1),(I$18=Assumptions!$C$106)),(((((Assumptions!$C$107+Assumptions!$C$108)+Assumptions!$C$111)+Assumptions!$C$112)+(Assumptions!$C$109*Assumptions!$C$110))-Assumptions!$C$113),0)</f>
        <v>0</v>
      </c>
      <c r="J212" s="9" t="n">
        <f aca="false">IF(AND(($C$14=1),(J$18=Assumptions!$C$106)),(((((Assumptions!$C$107+Assumptions!$C$108)+Assumptions!$C$111)+Assumptions!$C$112)+(Assumptions!$C$109*Assumptions!$C$110))-Assumptions!$C$113),0)</f>
        <v>0</v>
      </c>
      <c r="K212" s="9" t="n">
        <f aca="false">IF(AND(($C$14=1),(K$18=Assumptions!$C$106)),(((((Assumptions!$C$107+Assumptions!$C$108)+Assumptions!$C$111)+Assumptions!$C$112)+(Assumptions!$C$109*Assumptions!$C$110))-Assumptions!$C$113),0)</f>
        <v>0</v>
      </c>
      <c r="L212" s="9" t="n">
        <f aca="false">IF(AND(($C$14=1),(L$18=Assumptions!$C$106)),(((((Assumptions!$C$107+Assumptions!$C$108)+Assumptions!$C$111)+Assumptions!$C$112)+(Assumptions!$C$109*Assumptions!$C$110))-Assumptions!$C$113),0)</f>
        <v>0</v>
      </c>
      <c r="M212" s="9" t="n">
        <f aca="false">IF(AND(($C$14=1),(M$18=Assumptions!$C$106)),(((((Assumptions!$C$107+Assumptions!$C$108)+Assumptions!$C$111)+Assumptions!$C$112)+(Assumptions!$C$109*Assumptions!$C$110))-Assumptions!$C$113),0)</f>
        <v>0</v>
      </c>
      <c r="N212" s="9" t="n">
        <f aca="false">IF(AND(($C$14=1),(N$18=Assumptions!$C$106)),(((((Assumptions!$C$107+Assumptions!$C$108)+Assumptions!$C$111)+Assumptions!$C$112)+(Assumptions!$C$109*Assumptions!$C$110))-Assumptions!$C$113),0)</f>
        <v>0</v>
      </c>
      <c r="O212" s="9" t="n">
        <f aca="false">IF(AND(($C$14=1),(O$18=Assumptions!$C$106)),(((((Assumptions!$C$107+Assumptions!$C$108)+Assumptions!$C$111)+Assumptions!$C$112)+(Assumptions!$C$109*Assumptions!$C$110))-Assumptions!$C$113),0)</f>
        <v>0</v>
      </c>
      <c r="P212" s="9" t="n">
        <f aca="false">IF(AND(($C$14=1),(P$18=Assumptions!$C$106)),(((((Assumptions!$C$107+Assumptions!$C$108)+Assumptions!$C$111)+Assumptions!$C$112)+(Assumptions!$C$109*Assumptions!$C$110))-Assumptions!$C$113),0)</f>
        <v>0</v>
      </c>
      <c r="Q212" s="9" t="n">
        <f aca="false">IF(AND(($C$14=1),(Q$18=Assumptions!$C$106)),(((((Assumptions!$C$107+Assumptions!$C$108)+Assumptions!$C$111)+Assumptions!$C$112)+(Assumptions!$C$109*Assumptions!$C$110))-Assumptions!$C$113),0)</f>
        <v>0</v>
      </c>
      <c r="R212" s="9" t="n">
        <f aca="false">IF(AND(($C$14=1),(R$18=Assumptions!$C$106)),(((((Assumptions!$C$107+Assumptions!$C$108)+Assumptions!$C$111)+Assumptions!$C$112)+(Assumptions!$C$109*Assumptions!$C$110))-Assumptions!$C$113),0)</f>
        <v>0</v>
      </c>
      <c r="S212" s="9" t="n">
        <f aca="false">IF(AND(($C$14=1),(S$18=Assumptions!$C$106)),(((((Assumptions!$C$107+Assumptions!$C$108)+Assumptions!$C$111)+Assumptions!$C$112)+(Assumptions!$C$109*Assumptions!$C$110))-Assumptions!$C$113),0)</f>
        <v>0</v>
      </c>
      <c r="T212" s="9" t="n">
        <f aca="false">IF(AND(($C$14=1),(T$18=Assumptions!$C$106)),(((((Assumptions!$C$107+Assumptions!$C$108)+Assumptions!$C$111)+Assumptions!$C$112)+(Assumptions!$C$109*Assumptions!$C$110))-Assumptions!$C$113),0)</f>
        <v>0</v>
      </c>
      <c r="U212" s="9" t="n">
        <f aca="false">IF(AND(($C$14=1),(U$18=Assumptions!$C$106)),(((((Assumptions!$C$107+Assumptions!$C$108)+Assumptions!$C$111)+Assumptions!$C$112)+(Assumptions!$C$109*Assumptions!$C$110))-Assumptions!$C$113),0)</f>
        <v>0</v>
      </c>
      <c r="V212" s="9" t="n">
        <f aca="false">IF(AND(($C$14=1),(V$18=Assumptions!$C$106)),(((((Assumptions!$C$107+Assumptions!$C$108)+Assumptions!$C$111)+Assumptions!$C$112)+(Assumptions!$C$109*Assumptions!$C$110))-Assumptions!$C$113),0)</f>
        <v>0</v>
      </c>
      <c r="W212" s="9" t="n">
        <f aca="false">IF(AND(($C$14=1),(W$18=Assumptions!$C$106)),(((((Assumptions!$C$107+Assumptions!$C$108)+Assumptions!$C$111)+Assumptions!$C$112)+(Assumptions!$C$109*Assumptions!$C$110))-Assumptions!$C$113),0)</f>
        <v>0</v>
      </c>
      <c r="X212" s="9" t="n">
        <f aca="false">IF(AND(($C$14=1),(X$18=Assumptions!$C$106)),(((((Assumptions!$C$107+Assumptions!$C$108)+Assumptions!$C$111)+Assumptions!$C$112)+(Assumptions!$C$109*Assumptions!$C$110))-Assumptions!$C$113),0)</f>
        <v>0</v>
      </c>
      <c r="Y212" s="9" t="n">
        <f aca="false">IF(AND(($C$14=1),(Y$18=Assumptions!$C$106)),(((((Assumptions!$C$107+Assumptions!$C$108)+Assumptions!$C$111)+Assumptions!$C$112)+(Assumptions!$C$109*Assumptions!$C$110))-Assumptions!$C$113),0)</f>
        <v>0</v>
      </c>
      <c r="Z212" s="9" t="n">
        <f aca="false">IF(AND(($C$14=1),(Z$18=Assumptions!$C$106)),(((((Assumptions!$C$107+Assumptions!$C$108)+Assumptions!$C$111)+Assumptions!$C$112)+(Assumptions!$C$109*Assumptions!$C$110))-Assumptions!$C$113),0)</f>
        <v>0</v>
      </c>
      <c r="AA212" s="9" t="n">
        <f aca="false">IF(AND(($C$14=1),(AA$18=Assumptions!$C$106)),(((((Assumptions!$C$107+Assumptions!$C$108)+Assumptions!$C$111)+Assumptions!$C$112)+(Assumptions!$C$109*Assumptions!$C$110))-Assumptions!$C$113),0)</f>
        <v>0</v>
      </c>
      <c r="AB212" s="9" t="n">
        <f aca="false">IF(AND(($C$14=1),(AB$18=Assumptions!$C$106)),(((((Assumptions!$C$107+Assumptions!$C$108)+Assumptions!$C$111)+Assumptions!$C$112)+(Assumptions!$C$109*Assumptions!$C$110))-Assumptions!$C$113),0)</f>
        <v>0</v>
      </c>
      <c r="AC212" s="9" t="n">
        <f aca="false">IF(AND(($C$14=1),(AC$18=Assumptions!$C$106)),(((((Assumptions!$C$107+Assumptions!$C$108)+Assumptions!$C$111)+Assumptions!$C$112)+(Assumptions!$C$109*Assumptions!$C$110))-Assumptions!$C$113),0)</f>
        <v>0</v>
      </c>
      <c r="AD212" s="9" t="n">
        <f aca="false">IF(AND(($C$14=1),(AD$18=Assumptions!$C$106)),(((((Assumptions!$C$107+Assumptions!$C$108)+Assumptions!$C$111)+Assumptions!$C$112)+(Assumptions!$C$109*Assumptions!$C$110))-Assumptions!$C$113),0)</f>
        <v>0</v>
      </c>
      <c r="AE212" s="9" t="n">
        <f aca="false">IF(AND(($C$14=1),(AE$18=Assumptions!$C$106)),(((((Assumptions!$C$107+Assumptions!$C$108)+Assumptions!$C$111)+Assumptions!$C$112)+(Assumptions!$C$109*Assumptions!$C$110))-Assumptions!$C$113),0)</f>
        <v>0</v>
      </c>
      <c r="AF212" s="9" t="n">
        <f aca="false">IF(AND(($C$14=1),(AF$18=Assumptions!$C$106)),(((((Assumptions!$C$107+Assumptions!$C$108)+Assumptions!$C$111)+Assumptions!$C$112)+(Assumptions!$C$109*Assumptions!$C$110))-Assumptions!$C$113),0)</f>
        <v>0</v>
      </c>
      <c r="AG212" s="9" t="n">
        <f aca="false">IF(AND(($C$14=1),(AG$18=Assumptions!$C$106)),(((((Assumptions!$C$107+Assumptions!$C$108)+Assumptions!$C$111)+Assumptions!$C$112)+(Assumptions!$C$109*Assumptions!$C$110))-Assumptions!$C$113),0)</f>
        <v>0</v>
      </c>
      <c r="AH212" s="9" t="n">
        <f aca="false">IF(AND(($C$14=1),(AH$18=Assumptions!$C$106)),(((((Assumptions!$C$107+Assumptions!$C$108)+Assumptions!$C$111)+Assumptions!$C$112)+(Assumptions!$C$109*Assumptions!$C$110))-Assumptions!$C$113),0)</f>
        <v>0</v>
      </c>
      <c r="AI212" s="9" t="n">
        <f aca="false">IF(AND(($C$14=1),(AI$18=Assumptions!$C$106)),(((((Assumptions!$C$107+Assumptions!$C$108)+Assumptions!$C$111)+Assumptions!$C$112)+(Assumptions!$C$109*Assumptions!$C$110))-Assumptions!$C$113),0)</f>
        <v>0</v>
      </c>
      <c r="AJ212" s="9" t="n">
        <f aca="false">IF(AND(($C$14=1),(AJ$18=Assumptions!$C$106)),(((((Assumptions!$C$107+Assumptions!$C$108)+Assumptions!$C$111)+Assumptions!$C$112)+(Assumptions!$C$109*Assumptions!$C$110))-Assumptions!$C$113),0)</f>
        <v>0</v>
      </c>
      <c r="AK212" s="9" t="n">
        <f aca="false">IF(AND(($C$14=1),(AK$18=Assumptions!$C$106)),(((((Assumptions!$C$107+Assumptions!$C$108)+Assumptions!$C$111)+Assumptions!$C$112)+(Assumptions!$C$109*Assumptions!$C$110))-Assumptions!$C$113),0)</f>
        <v>0</v>
      </c>
      <c r="AL212" s="9" t="n">
        <f aca="false">IF(AND(($C$14=1),(AL$18=Assumptions!$C$106)),(((((Assumptions!$C$107+Assumptions!$C$108)+Assumptions!$C$111)+Assumptions!$C$112)+(Assumptions!$C$109*Assumptions!$C$110))-Assumptions!$C$113),0)</f>
        <v>0</v>
      </c>
      <c r="AN212" s="11" t="n">
        <f aca="false">SUM(C212:N212)</f>
        <v>0</v>
      </c>
      <c r="AO212" s="11" t="n">
        <f aca="false">SUM(O212:Z212)</f>
        <v>0</v>
      </c>
      <c r="AP212" s="11" t="n">
        <f aca="false">SUM(AA212:AL212)</f>
        <v>0</v>
      </c>
    </row>
    <row r="213" customFormat="false" ht="15" hidden="false" customHeight="false" outlineLevel="0" collapsed="false">
      <c r="A213" s="0" t="s">
        <v>32</v>
      </c>
      <c r="B213" s="0" t="s">
        <v>230</v>
      </c>
      <c r="C213" s="9" t="n">
        <f aca="false">(C190+C191)</f>
        <v>41683.3333333333</v>
      </c>
      <c r="D213" s="9" t="n">
        <f aca="false">(D190+D191)</f>
        <v>41683.3333333333</v>
      </c>
      <c r="E213" s="9" t="n">
        <f aca="false">(E190+E191)</f>
        <v>54900</v>
      </c>
      <c r="F213" s="9" t="n">
        <f aca="false">(F190+F191)</f>
        <v>69133.3333333333</v>
      </c>
      <c r="G213" s="9" t="n">
        <f aca="false">(G190+G191)</f>
        <v>85400</v>
      </c>
      <c r="H213" s="9" t="n">
        <f aca="false">(H190+H191)</f>
        <v>100650</v>
      </c>
      <c r="I213" s="9" t="n">
        <f aca="false">(I190+I191)</f>
        <v>100650</v>
      </c>
      <c r="J213" s="9" t="n">
        <f aca="false">(J190+J191)</f>
        <v>100650</v>
      </c>
      <c r="K213" s="9" t="n">
        <f aca="false">(K190+K191)</f>
        <v>115391.666666667</v>
      </c>
      <c r="L213" s="9" t="n">
        <f aca="false">(L190+L191)</f>
        <v>127083.333333333</v>
      </c>
      <c r="M213" s="9" t="n">
        <f aca="false">(M190+M191)</f>
        <v>127083.333333333</v>
      </c>
      <c r="N213" s="9" t="n">
        <f aca="false">(N190+N191)</f>
        <v>127083.333333333</v>
      </c>
      <c r="O213" s="9" t="n">
        <f aca="false">(O190+O191)</f>
        <v>142333.333333333</v>
      </c>
      <c r="P213" s="9" t="n">
        <f aca="false">(P190+P191)</f>
        <v>157583.333333333</v>
      </c>
      <c r="Q213" s="9" t="n">
        <f aca="false">(Q190+Q191)</f>
        <v>157583.333333333</v>
      </c>
      <c r="R213" s="9" t="n">
        <f aca="false">(R190+R191)</f>
        <v>157583.333333333</v>
      </c>
      <c r="S213" s="9" t="n">
        <f aca="false">(S190+S191)</f>
        <v>157583.333333333</v>
      </c>
      <c r="T213" s="9" t="n">
        <f aca="false">(T190+T191)</f>
        <v>157583.333333333</v>
      </c>
      <c r="U213" s="9" t="n">
        <f aca="false">(U190+U191)</f>
        <v>157583.333333333</v>
      </c>
      <c r="V213" s="9" t="n">
        <f aca="false">(V190+V191)</f>
        <v>168766.666666667</v>
      </c>
      <c r="W213" s="9" t="n">
        <f aca="false">(W190+W191)</f>
        <v>168766.666666667</v>
      </c>
      <c r="X213" s="9" t="n">
        <f aca="false">(X190+X191)</f>
        <v>168766.666666667</v>
      </c>
      <c r="Y213" s="9" t="n">
        <f aca="false">(Y190+Y191)</f>
        <v>168766.666666667</v>
      </c>
      <c r="Z213" s="9" t="n">
        <f aca="false">(Z190+Z191)</f>
        <v>168766.666666667</v>
      </c>
      <c r="AA213" s="9" t="n">
        <f aca="false">(AA190+AA191)</f>
        <v>168766.666666667</v>
      </c>
      <c r="AB213" s="9" t="n">
        <f aca="false">(AB190+AB191)</f>
        <v>184016.666666667</v>
      </c>
      <c r="AC213" s="9" t="n">
        <f aca="false">(AC190+AC191)</f>
        <v>184016.666666667</v>
      </c>
      <c r="AD213" s="9" t="n">
        <f aca="false">(AD190+AD191)</f>
        <v>184016.666666667</v>
      </c>
      <c r="AE213" s="9" t="n">
        <f aca="false">(AE190+AE191)</f>
        <v>184016.666666667</v>
      </c>
      <c r="AF213" s="9" t="n">
        <f aca="false">(AF190+AF191)</f>
        <v>184016.666666667</v>
      </c>
      <c r="AG213" s="9" t="n">
        <f aca="false">(AG190+AG191)</f>
        <v>184016.666666667</v>
      </c>
      <c r="AH213" s="9" t="n">
        <f aca="false">(AH190+AH191)</f>
        <v>184016.666666667</v>
      </c>
      <c r="AI213" s="9" t="n">
        <f aca="false">(AI190+AI191)</f>
        <v>184016.666666667</v>
      </c>
      <c r="AJ213" s="9" t="n">
        <f aca="false">(AJ190+AJ191)</f>
        <v>184016.666666667</v>
      </c>
      <c r="AK213" s="9" t="n">
        <f aca="false">(AK190+AK191)</f>
        <v>184016.666666667</v>
      </c>
      <c r="AL213" s="9" t="n">
        <f aca="false">(AL190+AL191)</f>
        <v>184016.666666667</v>
      </c>
      <c r="AN213" s="11" t="n">
        <f aca="false">SUM(C213:N213)</f>
        <v>1091391.66666667</v>
      </c>
      <c r="AO213" s="11" t="n">
        <f aca="false">SUM(O213:Z213)</f>
        <v>1931666.66666667</v>
      </c>
      <c r="AP213" s="11" t="n">
        <f aca="false">SUM(AA213:AL213)</f>
        <v>2192950</v>
      </c>
    </row>
    <row r="214" customFormat="false" ht="15" hidden="false" customHeight="false" outlineLevel="0" collapsed="false">
      <c r="A214" s="0" t="s">
        <v>33</v>
      </c>
      <c r="B214" s="0" t="s">
        <v>230</v>
      </c>
      <c r="C214" s="9" t="n">
        <f aca="false">(C192+C199)</f>
        <v>9833.33333333333</v>
      </c>
      <c r="D214" s="9" t="n">
        <f aca="false">(D192+D199)</f>
        <v>9833.33333333333</v>
      </c>
      <c r="E214" s="9" t="n">
        <f aca="false">(E192+E199)</f>
        <v>9833.33333333333</v>
      </c>
      <c r="F214" s="9" t="n">
        <f aca="false">(F192+F199)</f>
        <v>9833.33333333333</v>
      </c>
      <c r="G214" s="9" t="n">
        <f aca="false">(G192+G199)</f>
        <v>9833.33333333333</v>
      </c>
      <c r="H214" s="9" t="n">
        <f aca="false">(H192+H199)</f>
        <v>9833.33333333333</v>
      </c>
      <c r="I214" s="9" t="n">
        <f aca="false">(I192+I199)</f>
        <v>25083.3333333333</v>
      </c>
      <c r="J214" s="9" t="n">
        <f aca="false">(J192+J199)</f>
        <v>25083.3333333333</v>
      </c>
      <c r="K214" s="9" t="n">
        <f aca="false">(K192+K199)</f>
        <v>25083.3333333333</v>
      </c>
      <c r="L214" s="9" t="n">
        <f aca="false">(L192+L199)</f>
        <v>25083.3333333333</v>
      </c>
      <c r="M214" s="9" t="n">
        <f aca="false">(M192+M199)</f>
        <v>25083.3333333333</v>
      </c>
      <c r="N214" s="9" t="n">
        <f aca="false">(N192+N199)</f>
        <v>25083.3333333333</v>
      </c>
      <c r="O214" s="9" t="n">
        <f aca="false">(O192+O199)</f>
        <v>29416.6666666667</v>
      </c>
      <c r="P214" s="9" t="n">
        <f aca="false">(P192+P199)</f>
        <v>29416.6666666667</v>
      </c>
      <c r="Q214" s="9" t="n">
        <f aca="false">(Q192+Q199)</f>
        <v>29416.6666666667</v>
      </c>
      <c r="R214" s="9" t="n">
        <f aca="false">(R192+R199)</f>
        <v>29416.6666666667</v>
      </c>
      <c r="S214" s="9" t="n">
        <f aca="false">(S192+S199)</f>
        <v>29416.6666666667</v>
      </c>
      <c r="T214" s="9" t="n">
        <f aca="false">(T192+T199)</f>
        <v>29416.6666666667</v>
      </c>
      <c r="U214" s="9" t="n">
        <f aca="false">(U192+U199)</f>
        <v>29416.6666666667</v>
      </c>
      <c r="V214" s="9" t="n">
        <f aca="false">(V192+V199)</f>
        <v>29416.6666666667</v>
      </c>
      <c r="W214" s="9" t="n">
        <f aca="false">(W192+W199)</f>
        <v>29416.6666666667</v>
      </c>
      <c r="X214" s="9" t="n">
        <f aca="false">(X192+X199)</f>
        <v>29416.6666666667</v>
      </c>
      <c r="Y214" s="9" t="n">
        <f aca="false">(Y192+Y199)</f>
        <v>29416.6666666667</v>
      </c>
      <c r="Z214" s="9" t="n">
        <f aca="false">(Z192+Z199)</f>
        <v>29416.6666666667</v>
      </c>
      <c r="AA214" s="9" t="n">
        <f aca="false">(AA192+AA199)</f>
        <v>34833.3333333333</v>
      </c>
      <c r="AB214" s="9" t="n">
        <f aca="false">(AB192+AB199)</f>
        <v>34833.3333333333</v>
      </c>
      <c r="AC214" s="9" t="n">
        <f aca="false">(AC192+AC199)</f>
        <v>34833.3333333333</v>
      </c>
      <c r="AD214" s="9" t="n">
        <f aca="false">(AD192+AD199)</f>
        <v>34833.3333333333</v>
      </c>
      <c r="AE214" s="9" t="n">
        <f aca="false">(AE192+AE199)</f>
        <v>34833.3333333333</v>
      </c>
      <c r="AF214" s="9" t="n">
        <f aca="false">(AF192+AF199)</f>
        <v>34833.3333333333</v>
      </c>
      <c r="AG214" s="9" t="n">
        <f aca="false">(AG192+AG199)</f>
        <v>34833.3333333333</v>
      </c>
      <c r="AH214" s="9" t="n">
        <f aca="false">(AH192+AH199)</f>
        <v>34833.3333333333</v>
      </c>
      <c r="AI214" s="9" t="n">
        <f aca="false">(AI192+AI199)</f>
        <v>34833.3333333333</v>
      </c>
      <c r="AJ214" s="9" t="n">
        <f aca="false">(AJ192+AJ199)</f>
        <v>34833.3333333333</v>
      </c>
      <c r="AK214" s="9" t="n">
        <f aca="false">(AK192+AK199)</f>
        <v>34833.3333333333</v>
      </c>
      <c r="AL214" s="9" t="n">
        <f aca="false">(AL192+AL199)</f>
        <v>34833.3333333333</v>
      </c>
      <c r="AN214" s="11" t="n">
        <f aca="false">SUM(C214:N214)</f>
        <v>209500</v>
      </c>
      <c r="AO214" s="11" t="n">
        <f aca="false">SUM(O214:Z214)</f>
        <v>353000</v>
      </c>
      <c r="AP214" s="11" t="n">
        <f aca="false">SUM(AA214:AL214)</f>
        <v>418000</v>
      </c>
    </row>
    <row r="215" customFormat="false" ht="15" hidden="false" customHeight="false" outlineLevel="0" collapsed="false">
      <c r="A215" s="0" t="s">
        <v>34</v>
      </c>
      <c r="B215" s="0" t="s">
        <v>230</v>
      </c>
      <c r="C215" s="9" t="n">
        <f aca="false">((C193+C204)+C205)</f>
        <v>5000</v>
      </c>
      <c r="D215" s="9" t="n">
        <f aca="false">((D193+D204)+D205)</f>
        <v>5000</v>
      </c>
      <c r="E215" s="9" t="n">
        <f aca="false">((E193+E204)+E205)</f>
        <v>5000</v>
      </c>
      <c r="F215" s="9" t="n">
        <f aca="false">((F193+F204)+F205)</f>
        <v>5000</v>
      </c>
      <c r="G215" s="9" t="n">
        <f aca="false">((G193+G204)+G205)</f>
        <v>5000</v>
      </c>
      <c r="H215" s="9" t="n">
        <f aca="false">((H193+H204)+H205)</f>
        <v>5000</v>
      </c>
      <c r="I215" s="9" t="n">
        <f aca="false">((I193+I204)+I205)</f>
        <v>5000</v>
      </c>
      <c r="J215" s="9" t="n">
        <f aca="false">((J193+J204)+J205)</f>
        <v>5000</v>
      </c>
      <c r="K215" s="9" t="n">
        <f aca="false">((K193+K204)+K205)</f>
        <v>5000</v>
      </c>
      <c r="L215" s="9" t="n">
        <f aca="false">((L193+L204)+L205)</f>
        <v>5000</v>
      </c>
      <c r="M215" s="9" t="n">
        <f aca="false">((M193+M204)+M205)</f>
        <v>16183.3333333333</v>
      </c>
      <c r="N215" s="9" t="n">
        <f aca="false">((N193+N204)+N205)</f>
        <v>16183.3333333333</v>
      </c>
      <c r="O215" s="9" t="n">
        <f aca="false">((O193+O204)+O205)</f>
        <v>35233.3333333333</v>
      </c>
      <c r="P215" s="9" t="n">
        <f aca="false">((P193+P204)+P205)</f>
        <v>36196.4053333333</v>
      </c>
      <c r="Q215" s="9" t="n">
        <f aca="false">((Q193+Q204)+Q205)</f>
        <v>39618.0373333333</v>
      </c>
      <c r="R215" s="9" t="n">
        <f aca="false">((R193+R204)+R205)</f>
        <v>35233.3333333333</v>
      </c>
      <c r="S215" s="9" t="n">
        <f aca="false">((S193+S204)+S205)</f>
        <v>35233.3333333333</v>
      </c>
      <c r="T215" s="9" t="n">
        <f aca="false">((T193+T204)+T205)</f>
        <v>40369.3333333333</v>
      </c>
      <c r="U215" s="9" t="n">
        <f aca="false">((U193+U204)+U205)</f>
        <v>35233.3333333333</v>
      </c>
      <c r="V215" s="9" t="n">
        <f aca="false">((V193+V204)+V205)</f>
        <v>35233.3333333333</v>
      </c>
      <c r="W215" s="9" t="n">
        <f aca="false">((W193+W204)+W205)</f>
        <v>42025.3333333333</v>
      </c>
      <c r="X215" s="9" t="n">
        <f aca="false">((X193+X204)+X205)</f>
        <v>46898.2026666667</v>
      </c>
      <c r="Y215" s="9" t="n">
        <f aca="false">((Y193+Y204)+Y205)</f>
        <v>46416.6666666667</v>
      </c>
      <c r="Z215" s="9" t="n">
        <f aca="false">((Z193+Z204)+Z205)</f>
        <v>53208.6666666667</v>
      </c>
      <c r="AA215" s="9" t="n">
        <f aca="false">((AA193+AA204)+AA205)</f>
        <v>57801.9594666667</v>
      </c>
      <c r="AB215" s="9" t="n">
        <f aca="false">((AB193+AB204)+AB205)</f>
        <v>53916.6666666667</v>
      </c>
      <c r="AC215" s="9" t="n">
        <f aca="false">((AC193+AC204)+AC205)</f>
        <v>62364.6666666667</v>
      </c>
      <c r="AD215" s="9" t="n">
        <f aca="false">((AD193+AD204)+AD205)</f>
        <v>74989.7088</v>
      </c>
      <c r="AE215" s="9" t="n">
        <f aca="false">((AE193+AE204)+AE205)</f>
        <v>65100</v>
      </c>
      <c r="AF215" s="9" t="n">
        <f aca="false">((AF193+AF204)+AF205)</f>
        <v>77028</v>
      </c>
      <c r="AG215" s="9" t="n">
        <f aca="false">((AG193+AG204)+AG205)</f>
        <v>77165.5488</v>
      </c>
      <c r="AH215" s="9" t="n">
        <f aca="false">((AH193+AH204)+AH205)</f>
        <v>72684</v>
      </c>
      <c r="AI215" s="9" t="n">
        <f aca="false">((AI193+AI204)+AI205)</f>
        <v>77028</v>
      </c>
      <c r="AJ215" s="9" t="n">
        <f aca="false">((AJ193+AJ204)+AJ205)</f>
        <v>77647.0848</v>
      </c>
      <c r="AK215" s="9" t="n">
        <f aca="false">((AK193+AK204)+AK205)</f>
        <v>65100</v>
      </c>
      <c r="AL215" s="9" t="n">
        <f aca="false">((AL193+AL204)+AL205)</f>
        <v>78684</v>
      </c>
      <c r="AN215" s="11" t="n">
        <f aca="false">SUM(C215:N215)</f>
        <v>82366.6666666667</v>
      </c>
      <c r="AO215" s="11" t="n">
        <f aca="false">SUM(O215:Z215)</f>
        <v>480899.312</v>
      </c>
      <c r="AP215" s="11" t="n">
        <f aca="false">SUM(AA215:AL215)</f>
        <v>839509.6352</v>
      </c>
    </row>
    <row r="216" customFormat="false" ht="15" hidden="false" customHeight="false" outlineLevel="0" collapsed="false">
      <c r="A216" s="0" t="s">
        <v>35</v>
      </c>
      <c r="B216" s="0" t="s">
        <v>230</v>
      </c>
      <c r="C216" s="9" t="n">
        <f aca="false">((C194+C206)+C207)</f>
        <v>4833.33333333333</v>
      </c>
      <c r="D216" s="9" t="n">
        <f aca="false">((D194+D206)+D207)</f>
        <v>4833.33333333333</v>
      </c>
      <c r="E216" s="9" t="n">
        <f aca="false">((E194+E206)+E207)</f>
        <v>4833.33333333333</v>
      </c>
      <c r="F216" s="9" t="n">
        <f aca="false">((F194+F206)+F207)</f>
        <v>4833.33333333333</v>
      </c>
      <c r="G216" s="9" t="n">
        <f aca="false">((G194+G206)+G207)</f>
        <v>4833.33333333333</v>
      </c>
      <c r="H216" s="9" t="n">
        <f aca="false">((H194+H206)+H207)</f>
        <v>15508.3333333333</v>
      </c>
      <c r="I216" s="9" t="n">
        <f aca="false">((I194+I206)+I207)</f>
        <v>15508.3333333333</v>
      </c>
      <c r="J216" s="9" t="n">
        <f aca="false">((J194+J206)+J207)</f>
        <v>15508.3333333333</v>
      </c>
      <c r="K216" s="9" t="n">
        <f aca="false">((K194+K206)+K207)</f>
        <v>15508.3333333333</v>
      </c>
      <c r="L216" s="9" t="n">
        <f aca="false">((L194+L206)+L207)</f>
        <v>15508.3333333333</v>
      </c>
      <c r="M216" s="9" t="n">
        <f aca="false">((M194+M206)+M207)</f>
        <v>15508.3333333333</v>
      </c>
      <c r="N216" s="9" t="n">
        <f aca="false">((N194+N206)+N207)</f>
        <v>22116.6666666667</v>
      </c>
      <c r="O216" s="9" t="n">
        <f aca="false">((O194+O206)+O207)</f>
        <v>31366.6666666667</v>
      </c>
      <c r="P216" s="9" t="n">
        <f aca="false">((P194+P206)+P207)</f>
        <v>31366.6666666667</v>
      </c>
      <c r="Q216" s="9" t="n">
        <f aca="false">((Q194+Q206)+Q207)</f>
        <v>31366.6666666667</v>
      </c>
      <c r="R216" s="9" t="n">
        <f aca="false">((R194+R206)+R207)</f>
        <v>31366.6666666667</v>
      </c>
      <c r="S216" s="9" t="n">
        <f aca="false">((S194+S206)+S207)</f>
        <v>31366.6666666667</v>
      </c>
      <c r="T216" s="9" t="n">
        <f aca="false">((T194+T206)+T207)</f>
        <v>31366.6666666667</v>
      </c>
      <c r="U216" s="9" t="n">
        <f aca="false">((U194+U206)+U207)</f>
        <v>31366.6666666667</v>
      </c>
      <c r="V216" s="9" t="n">
        <f aca="false">((V194+V206)+V207)</f>
        <v>40008.3333333333</v>
      </c>
      <c r="W216" s="9" t="n">
        <f aca="false">((W194+W206)+W207)</f>
        <v>40008.3333333333</v>
      </c>
      <c r="X216" s="9" t="n">
        <f aca="false">((X194+X206)+X207)</f>
        <v>40008.3333333333</v>
      </c>
      <c r="Y216" s="9" t="n">
        <f aca="false">((Y194+Y206)+Y207)</f>
        <v>40008.3333333333</v>
      </c>
      <c r="Z216" s="9" t="n">
        <f aca="false">((Z194+Z206)+Z207)</f>
        <v>40008.3333333333</v>
      </c>
      <c r="AA216" s="9" t="n">
        <f aca="false">((AA194+AA206)+AA207)</f>
        <v>50091.6666666667</v>
      </c>
      <c r="AB216" s="9" t="n">
        <f aca="false">((AB194+AB206)+AB207)</f>
        <v>50091.6666666667</v>
      </c>
      <c r="AC216" s="9" t="n">
        <f aca="false">((AC194+AC206)+AC207)</f>
        <v>50091.6666666667</v>
      </c>
      <c r="AD216" s="9" t="n">
        <f aca="false">((AD194+AD206)+AD207)</f>
        <v>50091.6666666667</v>
      </c>
      <c r="AE216" s="9" t="n">
        <f aca="false">((AE194+AE206)+AE207)</f>
        <v>50091.6666666667</v>
      </c>
      <c r="AF216" s="9" t="n">
        <f aca="false">((AF194+AF206)+AF207)</f>
        <v>50091.6666666667</v>
      </c>
      <c r="AG216" s="9" t="n">
        <f aca="false">((AG194+AG206)+AG207)</f>
        <v>50091.6666666667</v>
      </c>
      <c r="AH216" s="9" t="n">
        <f aca="false">((AH194+AH206)+AH207)</f>
        <v>50091.6666666667</v>
      </c>
      <c r="AI216" s="9" t="n">
        <f aca="false">((AI194+AI206)+AI207)</f>
        <v>50091.6666666667</v>
      </c>
      <c r="AJ216" s="9" t="n">
        <f aca="false">((AJ194+AJ206)+AJ207)</f>
        <v>50091.6666666667</v>
      </c>
      <c r="AK216" s="9" t="n">
        <f aca="false">((AK194+AK206)+AK207)</f>
        <v>50091.6666666667</v>
      </c>
      <c r="AL216" s="9" t="n">
        <f aca="false">((AL194+AL206)+AL207)</f>
        <v>50091.6666666667</v>
      </c>
      <c r="AN216" s="11" t="n">
        <f aca="false">SUM(C216:N216)</f>
        <v>139333.333333333</v>
      </c>
      <c r="AO216" s="11" t="n">
        <f aca="false">SUM(O216:Z216)</f>
        <v>419608.333333333</v>
      </c>
      <c r="AP216" s="11" t="n">
        <f aca="false">SUM(AA216:AL216)</f>
        <v>601100</v>
      </c>
    </row>
    <row r="217" customFormat="false" ht="15" hidden="false" customHeight="false" outlineLevel="0" collapsed="false">
      <c r="A217" s="0" t="s">
        <v>36</v>
      </c>
      <c r="B217" s="0" t="s">
        <v>230</v>
      </c>
      <c r="C217" s="9" t="n">
        <f aca="false">C200</f>
        <v>7916.66666666667</v>
      </c>
      <c r="D217" s="9" t="n">
        <f aca="false">D200</f>
        <v>7916.66666666667</v>
      </c>
      <c r="E217" s="9" t="n">
        <f aca="false">E200</f>
        <v>7916.66666666667</v>
      </c>
      <c r="F217" s="9" t="n">
        <f aca="false">F200</f>
        <v>7916.66666666667</v>
      </c>
      <c r="G217" s="9" t="n">
        <f aca="false">G200</f>
        <v>7916.66666666667</v>
      </c>
      <c r="H217" s="9" t="n">
        <f aca="false">H200</f>
        <v>7916.66666666667</v>
      </c>
      <c r="I217" s="9" t="n">
        <f aca="false">I200</f>
        <v>7916.66666666667</v>
      </c>
      <c r="J217" s="9" t="n">
        <f aca="false">J200</f>
        <v>7916.66666666667</v>
      </c>
      <c r="K217" s="9" t="n">
        <f aca="false">K200</f>
        <v>7916.66666666667</v>
      </c>
      <c r="L217" s="9" t="n">
        <f aca="false">L200</f>
        <v>7916.66666666667</v>
      </c>
      <c r="M217" s="9" t="n">
        <f aca="false">M200</f>
        <v>7916.66666666667</v>
      </c>
      <c r="N217" s="9" t="n">
        <f aca="false">N200</f>
        <v>7916.66666666667</v>
      </c>
      <c r="O217" s="9" t="n">
        <f aca="false">O200</f>
        <v>9333.33333333333</v>
      </c>
      <c r="P217" s="9" t="n">
        <f aca="false">P200</f>
        <v>9333.33333333333</v>
      </c>
      <c r="Q217" s="9" t="n">
        <f aca="false">Q200</f>
        <v>9333.33333333333</v>
      </c>
      <c r="R217" s="9" t="n">
        <f aca="false">R200</f>
        <v>9333.33333333333</v>
      </c>
      <c r="S217" s="9" t="n">
        <f aca="false">S200</f>
        <v>9333.33333333333</v>
      </c>
      <c r="T217" s="9" t="n">
        <f aca="false">T200</f>
        <v>9333.33333333333</v>
      </c>
      <c r="U217" s="9" t="n">
        <f aca="false">U200</f>
        <v>9333.33333333333</v>
      </c>
      <c r="V217" s="9" t="n">
        <f aca="false">V200</f>
        <v>9333.33333333333</v>
      </c>
      <c r="W217" s="9" t="n">
        <f aca="false">W200</f>
        <v>9333.33333333333</v>
      </c>
      <c r="X217" s="9" t="n">
        <f aca="false">X200</f>
        <v>9333.33333333333</v>
      </c>
      <c r="Y217" s="9" t="n">
        <f aca="false">Y200</f>
        <v>9333.33333333333</v>
      </c>
      <c r="Z217" s="9" t="n">
        <f aca="false">Z200</f>
        <v>9333.33333333333</v>
      </c>
      <c r="AA217" s="9" t="n">
        <f aca="false">AA200</f>
        <v>12916.6666666667</v>
      </c>
      <c r="AB217" s="9" t="n">
        <f aca="false">AB200</f>
        <v>12916.6666666667</v>
      </c>
      <c r="AC217" s="9" t="n">
        <f aca="false">AC200</f>
        <v>12916.6666666667</v>
      </c>
      <c r="AD217" s="9" t="n">
        <f aca="false">AD200</f>
        <v>12916.6666666667</v>
      </c>
      <c r="AE217" s="9" t="n">
        <f aca="false">AE200</f>
        <v>12916.6666666667</v>
      </c>
      <c r="AF217" s="9" t="n">
        <f aca="false">AF200</f>
        <v>12916.6666666667</v>
      </c>
      <c r="AG217" s="9" t="n">
        <f aca="false">AG200</f>
        <v>12916.6666666667</v>
      </c>
      <c r="AH217" s="9" t="n">
        <f aca="false">AH200</f>
        <v>12916.6666666667</v>
      </c>
      <c r="AI217" s="9" t="n">
        <f aca="false">AI200</f>
        <v>12916.6666666667</v>
      </c>
      <c r="AJ217" s="9" t="n">
        <f aca="false">AJ200</f>
        <v>12916.6666666667</v>
      </c>
      <c r="AK217" s="9" t="n">
        <f aca="false">AK200</f>
        <v>12916.6666666667</v>
      </c>
      <c r="AL217" s="9" t="n">
        <f aca="false">AL200</f>
        <v>12916.6666666667</v>
      </c>
      <c r="AN217" s="11" t="n">
        <f aca="false">SUM(C217:N217)</f>
        <v>95000</v>
      </c>
      <c r="AO217" s="11" t="n">
        <f aca="false">SUM(O217:Z217)</f>
        <v>112000</v>
      </c>
      <c r="AP217" s="11" t="n">
        <f aca="false">SUM(AA217:AL217)</f>
        <v>155000</v>
      </c>
    </row>
    <row r="218" customFormat="false" ht="15" hidden="false" customHeight="false" outlineLevel="0" collapsed="false">
      <c r="A218" s="0" t="s">
        <v>37</v>
      </c>
      <c r="B218" s="0" t="s">
        <v>230</v>
      </c>
      <c r="C218" s="9" t="n">
        <f aca="false">C201</f>
        <v>3416.66666666667</v>
      </c>
      <c r="D218" s="9" t="n">
        <f aca="false">D201</f>
        <v>3416.66666666667</v>
      </c>
      <c r="E218" s="9" t="n">
        <f aca="false">E201</f>
        <v>3416.66666666667</v>
      </c>
      <c r="F218" s="9" t="n">
        <f aca="false">F201</f>
        <v>3416.66666666667</v>
      </c>
      <c r="G218" s="9" t="n">
        <f aca="false">G201</f>
        <v>3416.66666666667</v>
      </c>
      <c r="H218" s="9" t="n">
        <f aca="false">H201</f>
        <v>3416.66666666667</v>
      </c>
      <c r="I218" s="9" t="n">
        <f aca="false">I201</f>
        <v>3416.66666666667</v>
      </c>
      <c r="J218" s="9" t="n">
        <f aca="false">J201</f>
        <v>3416.66666666667</v>
      </c>
      <c r="K218" s="9" t="n">
        <f aca="false">K201</f>
        <v>3416.66666666667</v>
      </c>
      <c r="L218" s="9" t="n">
        <f aca="false">L201</f>
        <v>3416.66666666667</v>
      </c>
      <c r="M218" s="9" t="n">
        <f aca="false">M201</f>
        <v>3416.66666666667</v>
      </c>
      <c r="N218" s="9" t="n">
        <f aca="false">N201</f>
        <v>3416.66666666667</v>
      </c>
      <c r="O218" s="9" t="n">
        <f aca="false">O201</f>
        <v>5833.33333333333</v>
      </c>
      <c r="P218" s="9" t="n">
        <f aca="false">P201</f>
        <v>5833.33333333333</v>
      </c>
      <c r="Q218" s="9" t="n">
        <f aca="false">Q201</f>
        <v>5833.33333333333</v>
      </c>
      <c r="R218" s="9" t="n">
        <f aca="false">R201</f>
        <v>5833.33333333333</v>
      </c>
      <c r="S218" s="9" t="n">
        <f aca="false">S201</f>
        <v>5833.33333333333</v>
      </c>
      <c r="T218" s="9" t="n">
        <f aca="false">T201</f>
        <v>5833.33333333333</v>
      </c>
      <c r="U218" s="9" t="n">
        <f aca="false">U201</f>
        <v>5833.33333333333</v>
      </c>
      <c r="V218" s="9" t="n">
        <f aca="false">V201</f>
        <v>5833.33333333333</v>
      </c>
      <c r="W218" s="9" t="n">
        <f aca="false">W201</f>
        <v>5833.33333333333</v>
      </c>
      <c r="X218" s="9" t="n">
        <f aca="false">X201</f>
        <v>5833.33333333333</v>
      </c>
      <c r="Y218" s="9" t="n">
        <f aca="false">Y201</f>
        <v>5833.33333333333</v>
      </c>
      <c r="Z218" s="9" t="n">
        <f aca="false">Z201</f>
        <v>5833.33333333333</v>
      </c>
      <c r="AA218" s="9" t="n">
        <f aca="false">AA201</f>
        <v>10000</v>
      </c>
      <c r="AB218" s="9" t="n">
        <f aca="false">AB201</f>
        <v>10000</v>
      </c>
      <c r="AC218" s="9" t="n">
        <f aca="false">AC201</f>
        <v>10000</v>
      </c>
      <c r="AD218" s="9" t="n">
        <f aca="false">AD201</f>
        <v>10000</v>
      </c>
      <c r="AE218" s="9" t="n">
        <f aca="false">AE201</f>
        <v>10000</v>
      </c>
      <c r="AF218" s="9" t="n">
        <f aca="false">AF201</f>
        <v>10000</v>
      </c>
      <c r="AG218" s="9" t="n">
        <f aca="false">AG201</f>
        <v>10000</v>
      </c>
      <c r="AH218" s="9" t="n">
        <f aca="false">AH201</f>
        <v>10000</v>
      </c>
      <c r="AI218" s="9" t="n">
        <f aca="false">AI201</f>
        <v>10000</v>
      </c>
      <c r="AJ218" s="9" t="n">
        <f aca="false">AJ201</f>
        <v>10000</v>
      </c>
      <c r="AK218" s="9" t="n">
        <f aca="false">AK201</f>
        <v>10000</v>
      </c>
      <c r="AL218" s="9" t="n">
        <f aca="false">AL201</f>
        <v>10000</v>
      </c>
      <c r="AN218" s="11" t="n">
        <f aca="false">SUM(C218:N218)</f>
        <v>41000</v>
      </c>
      <c r="AO218" s="11" t="n">
        <f aca="false">SUM(O218:Z218)</f>
        <v>70000</v>
      </c>
      <c r="AP218" s="11" t="n">
        <f aca="false">SUM(AA218:AL218)</f>
        <v>120000</v>
      </c>
    </row>
    <row r="219" customFormat="false" ht="15" hidden="false" customHeight="false" outlineLevel="0" collapsed="false">
      <c r="A219" s="0" t="s">
        <v>1011</v>
      </c>
      <c r="B219" s="0" t="s">
        <v>230</v>
      </c>
      <c r="C219" s="9" t="n">
        <f aca="false">((((((C195+C202)+C208)+C209)+C203)+C210)+C211)</f>
        <v>25615</v>
      </c>
      <c r="D219" s="9" t="n">
        <f aca="false">((((((D195+D202)+D208)+D209)+D203)+D210)+D211)</f>
        <v>25615</v>
      </c>
      <c r="E219" s="9" t="n">
        <f aca="false">((((((E195+E202)+E208)+E209)+E203)+E210)+E211)</f>
        <v>38265</v>
      </c>
      <c r="F219" s="9" t="n">
        <f aca="false">((((((F195+F202)+F208)+F209)+F203)+F210)+F211)</f>
        <v>39115</v>
      </c>
      <c r="G219" s="9" t="n">
        <f aca="false">((((((G195+G202)+G208)+G209)+G203)+G210)+G211)</f>
        <v>52615</v>
      </c>
      <c r="H219" s="9" t="n">
        <f aca="false">((((((H195+H202)+H208)+H209)+H203)+H210)+H211)</f>
        <v>54315</v>
      </c>
      <c r="I219" s="9" t="n">
        <f aca="false">((((((I195+I202)+I208)+I209)+I203)+I210)+I211)</f>
        <v>43365</v>
      </c>
      <c r="J219" s="9" t="n">
        <f aca="false">((((((J195+J202)+J208)+J209)+J203)+J210)+J211)</f>
        <v>31565</v>
      </c>
      <c r="K219" s="9" t="n">
        <f aca="false">((((((K195+K202)+K208)+K209)+K203)+K210)+K211)</f>
        <v>82223.3333333333</v>
      </c>
      <c r="L219" s="9" t="n">
        <f aca="false">((((((L195+L202)+L208)+L209)+L203)+L210)+L211)</f>
        <v>59473.3333333333</v>
      </c>
      <c r="M219" s="9" t="n">
        <f aca="false">((((((M195+M202)+M208)+M209)+M203)+M210)+M211)</f>
        <v>72973.3333333333</v>
      </c>
      <c r="N219" s="9" t="n">
        <f aca="false">((((((N195+N202)+N208)+N209)+N203)+N210)+N211)</f>
        <v>62023.3333333333</v>
      </c>
      <c r="O219" s="9" t="n">
        <f aca="false">((((((O195+O202)+O208)+O209)+O203)+O210)+O211)</f>
        <v>81873.3333333333</v>
      </c>
      <c r="P219" s="9" t="n">
        <f aca="false">((((((P195+P202)+P208)+P209)+P203)+P210)+P211)</f>
        <v>71043.7173333334</v>
      </c>
      <c r="Q219" s="9" t="n">
        <f aca="false">((((((Q195+Q202)+Q208)+Q209)+Q203)+Q210)+Q211)</f>
        <v>97171.4213333333</v>
      </c>
      <c r="R219" s="9" t="n">
        <f aca="false">((((((R195+R202)+R208)+R209)+R203)+R210)+R211)</f>
        <v>73023.3333333333</v>
      </c>
      <c r="S219" s="9" t="n">
        <f aca="false">((((((S195+S202)+S208)+S209)+S203)+S210)+S211)</f>
        <v>73023.3333333333</v>
      </c>
      <c r="T219" s="9" t="n">
        <f aca="false">((((((T195+T202)+T208)+T209)+T203)+T210)+T211)</f>
        <v>98965.3333333333</v>
      </c>
      <c r="U219" s="9" t="n">
        <f aca="false">((((((U195+U202)+U208)+U209)+U203)+U210)+U211)</f>
        <v>87373.3333333333</v>
      </c>
      <c r="V219" s="9" t="n">
        <f aca="false">((((((V195+V202)+V208)+V209)+V203)+V210)+V211)</f>
        <v>100873.333333333</v>
      </c>
      <c r="W219" s="9" t="n">
        <f aca="false">((((((W195+W202)+W208)+W209)+W203)+W210)+W211)</f>
        <v>78122.3333333333</v>
      </c>
      <c r="X219" s="9" t="n">
        <f aca="false">((((((X195+X202)+X208)+X209)+X203)+X210)+X211)</f>
        <v>102615.525333333</v>
      </c>
      <c r="Y219" s="9" t="n">
        <f aca="false">((((((Y195+Y202)+Y208)+Y209)+Y203)+Y210)+Y211)</f>
        <v>78973.3333333333</v>
      </c>
      <c r="Z219" s="9" t="n">
        <f aca="false">((((((Z195+Z202)+Z208)+Z209)+Z203)+Z210)+Z211)</f>
        <v>101114</v>
      </c>
      <c r="AA219" s="9" t="n">
        <f aca="false">((((((AA195+AA202)+AA208)+AA209)+AA203)+AA210)+AA211)</f>
        <v>108412.7616</v>
      </c>
      <c r="AB219" s="9" t="n">
        <f aca="false">((((((AB195+AB202)+AB208)+AB209)+AB203)+AB210)+AB211)</f>
        <v>121590.05904</v>
      </c>
      <c r="AC219" s="9" t="n">
        <f aca="false">((((((AC195+AC202)+AC208)+AC209)+AC203)+AC210)+AC211)</f>
        <v>99252.41728</v>
      </c>
      <c r="AD219" s="9" t="n">
        <f aca="false">((((((AD195+AD202)+AD208)+AD209)+AD203)+AD210)+AD211)</f>
        <v>124345.3136</v>
      </c>
      <c r="AE219" s="9" t="n">
        <f aca="false">((((((AE195+AE202)+AE208)+AE209)+AE203)+AE210)+AE211)</f>
        <v>99577.5</v>
      </c>
      <c r="AF219" s="9" t="n">
        <f aca="false">((((((AF195+AF202)+AF208)+AF209)+AF203)+AF210)+AF211)</f>
        <v>113718.5</v>
      </c>
      <c r="AG219" s="9" t="n">
        <f aca="false">((((((AG195+AG202)+AG208)+AG209)+AG203)+AG210)+AG211)</f>
        <v>114517.2936</v>
      </c>
      <c r="AH219" s="9" t="n">
        <f aca="false">((((((AH195+AH202)+AH208)+AH209)+AH203)+AH210)+AH211)</f>
        <v>114875.5</v>
      </c>
      <c r="AI219" s="9" t="n">
        <f aca="false">((((((AI195+AI202)+AI208)+AI209)+AI203)+AI210)+AI211)</f>
        <v>116268.5</v>
      </c>
      <c r="AJ219" s="9" t="n">
        <f aca="false">((((((AJ195+AJ202)+AJ208)+AJ209)+AJ203)+AJ210)+AJ211)</f>
        <v>104515.76512</v>
      </c>
      <c r="AK219" s="9" t="n">
        <f aca="false">((((((AK195+AK202)+AK208)+AK209)+AK203)+AK210)+AK211)</f>
        <v>102977.5</v>
      </c>
      <c r="AL219" s="9" t="n">
        <f aca="false">((((((AL195+AL202)+AL208)+AL209)+AL203)+AL210)+AL211)</f>
        <v>104675.5</v>
      </c>
      <c r="AN219" s="11" t="n">
        <f aca="false">SUM(C219:N219)</f>
        <v>587163.333333333</v>
      </c>
      <c r="AO219" s="11" t="n">
        <f aca="false">SUM(O219:Z219)</f>
        <v>1044172.33066667</v>
      </c>
      <c r="AP219" s="11" t="n">
        <f aca="false">SUM(AA219:AL219)</f>
        <v>1324726.61024</v>
      </c>
    </row>
    <row r="220" customFormat="false" ht="15" hidden="false" customHeight="false" outlineLevel="0" collapsed="false">
      <c r="A220" s="0" t="s">
        <v>39</v>
      </c>
      <c r="B220" s="0" t="s">
        <v>230</v>
      </c>
      <c r="C220" s="9" t="n">
        <f aca="false">C212</f>
        <v>0</v>
      </c>
      <c r="D220" s="9" t="n">
        <f aca="false">D212</f>
        <v>0</v>
      </c>
      <c r="E220" s="9" t="n">
        <f aca="false">E212</f>
        <v>0</v>
      </c>
      <c r="F220" s="9" t="n">
        <f aca="false">F212</f>
        <v>0</v>
      </c>
      <c r="G220" s="9" t="n">
        <f aca="false">G212</f>
        <v>0</v>
      </c>
      <c r="H220" s="9" t="n">
        <f aca="false">H212</f>
        <v>0</v>
      </c>
      <c r="I220" s="9" t="n">
        <f aca="false">I212</f>
        <v>0</v>
      </c>
      <c r="J220" s="9" t="n">
        <f aca="false">J212</f>
        <v>0</v>
      </c>
      <c r="K220" s="9" t="n">
        <f aca="false">K212</f>
        <v>0</v>
      </c>
      <c r="L220" s="9" t="n">
        <f aca="false">L212</f>
        <v>0</v>
      </c>
      <c r="M220" s="9" t="n">
        <f aca="false">M212</f>
        <v>0</v>
      </c>
      <c r="N220" s="9" t="n">
        <f aca="false">N212</f>
        <v>0</v>
      </c>
      <c r="O220" s="9" t="n">
        <f aca="false">O212</f>
        <v>0</v>
      </c>
      <c r="P220" s="9" t="n">
        <f aca="false">P212</f>
        <v>0</v>
      </c>
      <c r="Q220" s="9" t="n">
        <f aca="false">Q212</f>
        <v>0</v>
      </c>
      <c r="R220" s="9" t="n">
        <f aca="false">R212</f>
        <v>0</v>
      </c>
      <c r="S220" s="9" t="n">
        <f aca="false">S212</f>
        <v>0</v>
      </c>
      <c r="T220" s="9" t="n">
        <f aca="false">T212</f>
        <v>0</v>
      </c>
      <c r="U220" s="9" t="n">
        <f aca="false">U212</f>
        <v>0</v>
      </c>
      <c r="V220" s="9" t="n">
        <f aca="false">V212</f>
        <v>0</v>
      </c>
      <c r="W220" s="9" t="n">
        <f aca="false">W212</f>
        <v>0</v>
      </c>
      <c r="X220" s="9" t="n">
        <f aca="false">X212</f>
        <v>0</v>
      </c>
      <c r="Y220" s="9" t="n">
        <f aca="false">Y212</f>
        <v>0</v>
      </c>
      <c r="Z220" s="9" t="n">
        <f aca="false">Z212</f>
        <v>0</v>
      </c>
      <c r="AA220" s="9" t="n">
        <f aca="false">AA212</f>
        <v>0</v>
      </c>
      <c r="AB220" s="9" t="n">
        <f aca="false">AB212</f>
        <v>0</v>
      </c>
      <c r="AC220" s="9" t="n">
        <f aca="false">AC212</f>
        <v>0</v>
      </c>
      <c r="AD220" s="9" t="n">
        <f aca="false">AD212</f>
        <v>0</v>
      </c>
      <c r="AE220" s="9" t="n">
        <f aca="false">AE212</f>
        <v>0</v>
      </c>
      <c r="AF220" s="9" t="n">
        <f aca="false">AF212</f>
        <v>0</v>
      </c>
      <c r="AG220" s="9" t="n">
        <f aca="false">AG212</f>
        <v>0</v>
      </c>
      <c r="AH220" s="9" t="n">
        <f aca="false">AH212</f>
        <v>0</v>
      </c>
      <c r="AI220" s="9" t="n">
        <f aca="false">AI212</f>
        <v>0</v>
      </c>
      <c r="AJ220" s="9" t="n">
        <f aca="false">AJ212</f>
        <v>0</v>
      </c>
      <c r="AK220" s="9" t="n">
        <f aca="false">AK212</f>
        <v>0</v>
      </c>
      <c r="AL220" s="9" t="n">
        <f aca="false">AL212</f>
        <v>0</v>
      </c>
      <c r="AN220" s="11" t="n">
        <f aca="false">SUM(C220:N220)</f>
        <v>0</v>
      </c>
      <c r="AO220" s="11" t="n">
        <f aca="false">SUM(O220:Z220)</f>
        <v>0</v>
      </c>
      <c r="AP220" s="11" t="n">
        <f aca="false">SUM(AA220:AL220)</f>
        <v>0</v>
      </c>
    </row>
    <row r="221" customFormat="false" ht="15" hidden="false" customHeight="false" outlineLevel="0" collapsed="false">
      <c r="A221" s="10" t="s">
        <v>40</v>
      </c>
      <c r="B221" s="20" t="s">
        <v>230</v>
      </c>
      <c r="C221" s="11" t="n">
        <f aca="false">(((((((C213+C214)+C215)+C216)+C217)+C218)+C219)+C220)</f>
        <v>98298.3333333333</v>
      </c>
      <c r="D221" s="11" t="n">
        <f aca="false">(((((((D213+D214)+D215)+D216)+D217)+D218)+D219)+D220)</f>
        <v>98298.3333333333</v>
      </c>
      <c r="E221" s="11" t="n">
        <f aca="false">(((((((E213+E214)+E215)+E216)+E217)+E218)+E219)+E220)</f>
        <v>124165</v>
      </c>
      <c r="F221" s="11" t="n">
        <f aca="false">(((((((F213+F214)+F215)+F216)+F217)+F218)+F219)+F220)</f>
        <v>139248.333333333</v>
      </c>
      <c r="G221" s="11" t="n">
        <f aca="false">(((((((G213+G214)+G215)+G216)+G217)+G218)+G219)+G220)</f>
        <v>169015</v>
      </c>
      <c r="H221" s="11" t="n">
        <f aca="false">(((((((H213+H214)+H215)+H216)+H217)+H218)+H219)+H220)</f>
        <v>196640</v>
      </c>
      <c r="I221" s="11" t="n">
        <f aca="false">(((((((I213+I214)+I215)+I216)+I217)+I218)+I219)+I220)</f>
        <v>200940</v>
      </c>
      <c r="J221" s="11" t="n">
        <f aca="false">(((((((J213+J214)+J215)+J216)+J217)+J218)+J219)+J220)</f>
        <v>189140</v>
      </c>
      <c r="K221" s="11" t="n">
        <f aca="false">(((((((K213+K214)+K215)+K216)+K217)+K218)+K219)+K220)</f>
        <v>254540</v>
      </c>
      <c r="L221" s="11" t="n">
        <f aca="false">(((((((L213+L214)+L215)+L216)+L217)+L218)+L219)+L220)</f>
        <v>243481.666666667</v>
      </c>
      <c r="M221" s="11" t="n">
        <f aca="false">(((((((M213+M214)+M215)+M216)+M217)+M218)+M219)+M220)</f>
        <v>268165</v>
      </c>
      <c r="N221" s="11" t="n">
        <f aca="false">(((((((N213+N214)+N215)+N216)+N217)+N218)+N219)+N220)</f>
        <v>263823.333333333</v>
      </c>
      <c r="O221" s="11" t="n">
        <f aca="false">(((((((O213+O214)+O215)+O216)+O217)+O218)+O219)+O220)</f>
        <v>335390</v>
      </c>
      <c r="P221" s="11" t="n">
        <f aca="false">(((((((P213+P214)+P215)+P216)+P217)+P218)+P219)+P220)</f>
        <v>340773.456</v>
      </c>
      <c r="Q221" s="11" t="n">
        <f aca="false">(((((((Q213+Q214)+Q215)+Q216)+Q217)+Q218)+Q219)+Q220)</f>
        <v>370322.792</v>
      </c>
      <c r="R221" s="11" t="n">
        <f aca="false">(((((((R213+R214)+R215)+R216)+R217)+R218)+R219)+R220)</f>
        <v>341790</v>
      </c>
      <c r="S221" s="11" t="n">
        <f aca="false">(((((((S213+S214)+S215)+S216)+S217)+S218)+S219)+S220)</f>
        <v>341790</v>
      </c>
      <c r="T221" s="11" t="n">
        <f aca="false">(((((((T213+T214)+T215)+T216)+T217)+T218)+T219)+T220)</f>
        <v>372868</v>
      </c>
      <c r="U221" s="11" t="n">
        <f aca="false">(((((((U213+U214)+U215)+U216)+U217)+U218)+U219)+U220)</f>
        <v>356140</v>
      </c>
      <c r="V221" s="11" t="n">
        <f aca="false">(((((((V213+V214)+V215)+V216)+V217)+V218)+V219)+V220)</f>
        <v>389465</v>
      </c>
      <c r="W221" s="11" t="n">
        <f aca="false">(((((((W213+W214)+W215)+W216)+W217)+W218)+W219)+W220)</f>
        <v>373506</v>
      </c>
      <c r="X221" s="11" t="n">
        <f aca="false">(((((((X213+X214)+X215)+X216)+X217)+X218)+X219)+X220)</f>
        <v>402872.061333333</v>
      </c>
      <c r="Y221" s="11" t="n">
        <f aca="false">(((((((Y213+Y214)+Y215)+Y216)+Y217)+Y218)+Y219)+Y220)</f>
        <v>378748.333333333</v>
      </c>
      <c r="Z221" s="11" t="n">
        <f aca="false">(((((((Z213+Z214)+Z215)+Z216)+Z217)+Z218)+Z219)+Z220)</f>
        <v>407681</v>
      </c>
      <c r="AA221" s="11" t="n">
        <f aca="false">(((((((AA213+AA214)+AA215)+AA216)+AA217)+AA218)+AA219)+AA220)</f>
        <v>442823.0544</v>
      </c>
      <c r="AB221" s="11" t="n">
        <f aca="false">(((((((AB213+AB214)+AB215)+AB216)+AB217)+AB218)+AB219)+AB220)</f>
        <v>467365.05904</v>
      </c>
      <c r="AC221" s="11" t="n">
        <f aca="false">(((((((AC213+AC214)+AC215)+AC216)+AC217)+AC218)+AC219)+AC220)</f>
        <v>453475.41728</v>
      </c>
      <c r="AD221" s="11" t="n">
        <f aca="false">(((((((AD213+AD214)+AD215)+AD216)+AD217)+AD218)+AD219)+AD220)</f>
        <v>491193.355733333</v>
      </c>
      <c r="AE221" s="11" t="n">
        <f aca="false">(((((((AE213+AE214)+AE215)+AE216)+AE217)+AE218)+AE219)+AE220)</f>
        <v>456535.833333333</v>
      </c>
      <c r="AF221" s="11" t="n">
        <f aca="false">(((((((AF213+AF214)+AF215)+AF216)+AF217)+AF218)+AF219)+AF220)</f>
        <v>482604.833333333</v>
      </c>
      <c r="AG221" s="11" t="n">
        <f aca="false">(((((((AG213+AG214)+AG215)+AG216)+AG217)+AG218)+AG219)+AG220)</f>
        <v>483541.175733333</v>
      </c>
      <c r="AH221" s="11" t="n">
        <f aca="false">(((((((AH213+AH214)+AH215)+AH216)+AH217)+AH218)+AH219)+AH220)</f>
        <v>479417.833333333</v>
      </c>
      <c r="AI221" s="11" t="n">
        <f aca="false">(((((((AI213+AI214)+AI215)+AI216)+AI217)+AI218)+AI219)+AI220)</f>
        <v>485154.833333333</v>
      </c>
      <c r="AJ221" s="11" t="n">
        <f aca="false">(((((((AJ213+AJ214)+AJ215)+AJ216)+AJ217)+AJ218)+AJ219)+AJ220)</f>
        <v>474021.183253333</v>
      </c>
      <c r="AK221" s="11" t="n">
        <f aca="false">(((((((AK213+AK214)+AK215)+AK216)+AK217)+AK218)+AK219)+AK220)</f>
        <v>459935.833333333</v>
      </c>
      <c r="AL221" s="11" t="n">
        <f aca="false">(((((((AL213+AL214)+AL215)+AL216)+AL217)+AL218)+AL219)+AL220)</f>
        <v>475217.833333333</v>
      </c>
      <c r="AN221" s="11" t="n">
        <f aca="false">SUM(C221:N221)</f>
        <v>2245755</v>
      </c>
      <c r="AO221" s="11" t="n">
        <f aca="false">SUM(O221:Z221)</f>
        <v>4411346.64266667</v>
      </c>
      <c r="AP221" s="11" t="n">
        <f aca="false">SUM(AA221:AL221)</f>
        <v>5651286.24544</v>
      </c>
    </row>
    <row r="222" customFormat="false" ht="15" hidden="false" customHeight="false" outlineLevel="0" collapsed="false">
      <c r="A222" s="21" t="s">
        <v>1012</v>
      </c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</row>
    <row r="223" customFormat="false" ht="15" hidden="false" customHeight="false" outlineLevel="0" collapsed="false">
      <c r="A223" s="0" t="s">
        <v>30</v>
      </c>
      <c r="B223" s="0" t="s">
        <v>230</v>
      </c>
      <c r="C223" s="9" t="n">
        <f aca="false">(C146-C184)</f>
        <v>-6040.26497904</v>
      </c>
      <c r="D223" s="9" t="n">
        <f aca="false">(D146-D184)</f>
        <v>-6071.547770448</v>
      </c>
      <c r="E223" s="9" t="n">
        <f aca="false">(E146-E184)</f>
        <v>-6094.28323599763</v>
      </c>
      <c r="F223" s="9" t="n">
        <f aca="false">(F146-F184)</f>
        <v>-6112.48077646333</v>
      </c>
      <c r="G223" s="9" t="n">
        <f aca="false">(G146-G184)</f>
        <v>-16687.2517073388</v>
      </c>
      <c r="H223" s="9" t="n">
        <f aca="false">(H146-H184)</f>
        <v>-16693.2828085877</v>
      </c>
      <c r="I223" s="9" t="n">
        <f aca="false">(I146-I184)</f>
        <v>-16708.6208216941</v>
      </c>
      <c r="J223" s="9" t="n">
        <f aca="false">(J146-J184)</f>
        <v>-17458.9629584227</v>
      </c>
      <c r="K223" s="9" t="n">
        <f aca="false">(K146-K184)</f>
        <v>-23827.0271537585</v>
      </c>
      <c r="L223" s="9" t="n">
        <f aca="false">(L146-L184)</f>
        <v>-23852.6920443167</v>
      </c>
      <c r="M223" s="9" t="n">
        <f aca="false">(M146-M184)</f>
        <v>-33636.1635858351</v>
      </c>
      <c r="N223" s="9" t="n">
        <f aca="false">(N146-N184)</f>
        <v>-33640.5513831996</v>
      </c>
      <c r="O223" s="9" t="n">
        <f aca="false">(O146-O184)</f>
        <v>-40051.4601762669</v>
      </c>
      <c r="P223" s="9" t="n">
        <f aca="false">(P146-P184)</f>
        <v>-38939.1871045383</v>
      </c>
      <c r="Q223" s="9" t="n">
        <f aca="false">(Q146-Q184)</f>
        <v>-41923.5042421789</v>
      </c>
      <c r="R223" s="9" t="n">
        <f aca="false">(R146-R184)</f>
        <v>-42085.4890016631</v>
      </c>
      <c r="S223" s="9" t="n">
        <f aca="false">(S146-S184)</f>
        <v>-42169.4923889817</v>
      </c>
      <c r="T223" s="9" t="n">
        <f aca="false">(T146-T184)</f>
        <v>-48600.22874779</v>
      </c>
      <c r="U223" s="9" t="n">
        <f aca="false">(U146-U184)</f>
        <v>-58865.2782507734</v>
      </c>
      <c r="V223" s="9" t="n">
        <f aca="false">(V146-V184)</f>
        <v>-58877.2472574818</v>
      </c>
      <c r="W223" s="9" t="n">
        <f aca="false">(W146-W184)</f>
        <v>-51610.4508571133</v>
      </c>
      <c r="X223" s="9" t="n">
        <f aca="false">(X146-X184)</f>
        <v>-61632.4586329949</v>
      </c>
      <c r="Y223" s="9" t="n">
        <f aca="false">(Y146-Y184)</f>
        <v>-61662.225053559</v>
      </c>
      <c r="Z223" s="9" t="n">
        <f aca="false">(Z146-Z184)</f>
        <v>-60429.3566530326</v>
      </c>
      <c r="AA223" s="9" t="n">
        <f aca="false">(AA146-AA184)</f>
        <v>-73117.5785917315</v>
      </c>
      <c r="AB223" s="9" t="n">
        <f aca="false">(AB146-AB184)</f>
        <v>-79042.0353460903</v>
      </c>
      <c r="AC223" s="9" t="n">
        <f aca="false">(AC146-AC184)</f>
        <v>-73420.2874903806</v>
      </c>
      <c r="AD223" s="9" t="n">
        <f aca="false">(AD146-AD184)</f>
        <v>-68817.9818555678</v>
      </c>
      <c r="AE223" s="9" t="n">
        <f aca="false">(AE146-AE184)</f>
        <v>-68191.3543726306</v>
      </c>
      <c r="AF223" s="9" t="n">
        <f aca="false">(AF146-AF184)</f>
        <v>-65081.1761799868</v>
      </c>
      <c r="AG223" s="9" t="n">
        <f aca="false">(AG146-AG184)</f>
        <v>-62913.0656913215</v>
      </c>
      <c r="AH223" s="9" t="n">
        <f aca="false">(AH146-AH184)</f>
        <v>-44254.39710588</v>
      </c>
      <c r="AI223" s="9" t="n">
        <f aca="false">(AI146-AI184)</f>
        <v>-47306.0542516024</v>
      </c>
      <c r="AJ223" s="9" t="n">
        <f aca="false">(AJ146-AJ184)</f>
        <v>-39173.8443200025</v>
      </c>
      <c r="AK223" s="9" t="n">
        <f aca="false">(AK146-AK184)</f>
        <v>-58112.6145094369</v>
      </c>
      <c r="AL223" s="9" t="n">
        <f aca="false">(AL146-AL184)</f>
        <v>-51548.2116112165</v>
      </c>
      <c r="AN223" s="11" t="n">
        <f aca="false">SUM(C223:N223)</f>
        <v>-206823.129225102</v>
      </c>
      <c r="AO223" s="11" t="n">
        <f aca="false">SUM(O223:Z223)</f>
        <v>-606846.378366374</v>
      </c>
      <c r="AP223" s="11" t="n">
        <f aca="false">SUM(AA223:AL223)</f>
        <v>-730978.601325847</v>
      </c>
    </row>
    <row r="224" customFormat="false" ht="15" hidden="false" customHeight="false" outlineLevel="0" collapsed="false">
      <c r="A224" s="0" t="s">
        <v>1013</v>
      </c>
      <c r="B224" s="0" t="s">
        <v>230</v>
      </c>
      <c r="C224" s="9" t="n">
        <f aca="false">((C223-C206)-C204)</f>
        <v>-6040.26497904</v>
      </c>
      <c r="D224" s="9" t="n">
        <f aca="false">((D223-D206)-D204)</f>
        <v>-6071.547770448</v>
      </c>
      <c r="E224" s="9" t="n">
        <f aca="false">((E223-E206)-E204)</f>
        <v>-6094.28323599763</v>
      </c>
      <c r="F224" s="9" t="n">
        <f aca="false">((F223-F206)-F204)</f>
        <v>-6112.48077646333</v>
      </c>
      <c r="G224" s="9" t="n">
        <f aca="false">((G223-G206)-G204)</f>
        <v>-16687.2517073388</v>
      </c>
      <c r="H224" s="9" t="n">
        <f aca="false">((H223-H206)-H204)</f>
        <v>-16693.2828085877</v>
      </c>
      <c r="I224" s="9" t="n">
        <f aca="false">((I223-I206)-I204)</f>
        <v>-16708.6208216941</v>
      </c>
      <c r="J224" s="9" t="n">
        <f aca="false">((J223-J206)-J204)</f>
        <v>-17458.9629584227</v>
      </c>
      <c r="K224" s="9" t="n">
        <f aca="false">((K223-K206)-K204)</f>
        <v>-23827.0271537585</v>
      </c>
      <c r="L224" s="9" t="n">
        <f aca="false">((L223-L206)-L204)</f>
        <v>-23852.6920443167</v>
      </c>
      <c r="M224" s="9" t="n">
        <f aca="false">((M223-M206)-M204)</f>
        <v>-33636.1635858351</v>
      </c>
      <c r="N224" s="9" t="n">
        <f aca="false">((N223-N206)-N204)</f>
        <v>-33640.5513831996</v>
      </c>
      <c r="O224" s="9" t="n">
        <f aca="false">((O223-O206)-O204)</f>
        <v>-43051.4601762669</v>
      </c>
      <c r="P224" s="9" t="n">
        <f aca="false">((P223-P206)-P204)</f>
        <v>-42902.2591045383</v>
      </c>
      <c r="Q224" s="9" t="n">
        <f aca="false">((Q223-Q206)-Q204)</f>
        <v>-49308.2082421789</v>
      </c>
      <c r="R224" s="9" t="n">
        <f aca="false">((R223-R206)-R204)</f>
        <v>-45085.4890016631</v>
      </c>
      <c r="S224" s="9" t="n">
        <f aca="false">((S223-S206)-S204)</f>
        <v>-45169.4923889817</v>
      </c>
      <c r="T224" s="9" t="n">
        <f aca="false">((T223-T206)-T204)</f>
        <v>-56736.22874779</v>
      </c>
      <c r="U224" s="9" t="n">
        <f aca="false">((U223-U206)-U204)</f>
        <v>-61865.2782507734</v>
      </c>
      <c r="V224" s="9" t="n">
        <f aca="false">((V223-V206)-V204)</f>
        <v>-61877.2472574818</v>
      </c>
      <c r="W224" s="9" t="n">
        <f aca="false">((W223-W206)-W204)</f>
        <v>-61402.4508571133</v>
      </c>
      <c r="X224" s="9" t="n">
        <f aca="false">((X223-X206)-X204)</f>
        <v>-65113.9946329949</v>
      </c>
      <c r="Y224" s="9" t="n">
        <f aca="false">((Y223-Y206)-Y204)</f>
        <v>-64662.225053559</v>
      </c>
      <c r="Z224" s="9" t="n">
        <f aca="false">((Z223-Z206)-Z204)</f>
        <v>-70221.3566530326</v>
      </c>
      <c r="AA224" s="9" t="n">
        <f aca="false">((AA223-AA206)-AA204)</f>
        <v>-82002.8713917315</v>
      </c>
      <c r="AB224" s="9" t="n">
        <f aca="false">((AB223-AB206)-AB204)</f>
        <v>-84042.0353460903</v>
      </c>
      <c r="AC224" s="9" t="n">
        <f aca="false">((AC223-AC206)-AC204)</f>
        <v>-86868.2874903806</v>
      </c>
      <c r="AD224" s="9" t="n">
        <f aca="false">((AD223-AD206)-AD204)</f>
        <v>-83707.6906555678</v>
      </c>
      <c r="AE224" s="9" t="n">
        <f aca="false">((AE223-AE206)-AE204)</f>
        <v>-73191.3543726306</v>
      </c>
      <c r="AF224" s="9" t="n">
        <f aca="false">((AF223-AF206)-AF204)</f>
        <v>-82009.1761799868</v>
      </c>
      <c r="AG224" s="9" t="n">
        <f aca="false">((AG223-AG206)-AG204)</f>
        <v>-79978.6144913215</v>
      </c>
      <c r="AH224" s="9" t="n">
        <f aca="false">((AH223-AH206)-AH204)</f>
        <v>-56838.39710588</v>
      </c>
      <c r="AI224" s="9" t="n">
        <f aca="false">((AI223-AI206)-AI204)</f>
        <v>-64234.0542516024</v>
      </c>
      <c r="AJ224" s="9" t="n">
        <f aca="false">((AJ223-AJ206)-AJ204)</f>
        <v>-56720.9291200025</v>
      </c>
      <c r="AK224" s="9" t="n">
        <f aca="false">((AK223-AK206)-AK204)</f>
        <v>-63112.6145094369</v>
      </c>
      <c r="AL224" s="9" t="n">
        <f aca="false">((AL223-AL206)-AL204)</f>
        <v>-70132.2116112165</v>
      </c>
      <c r="AN224" s="11" t="n">
        <f aca="false">SUM(C224:N224)</f>
        <v>-206823.129225102</v>
      </c>
      <c r="AO224" s="11" t="n">
        <f aca="false">SUM(O224:Z224)</f>
        <v>-667395.690366374</v>
      </c>
      <c r="AP224" s="11" t="n">
        <f aca="false">SUM(AA224:AL224)</f>
        <v>-882838.236525847</v>
      </c>
    </row>
    <row r="225" customFormat="false" ht="15" hidden="false" customHeight="false" outlineLevel="0" collapsed="false">
      <c r="A225" s="10" t="s">
        <v>1014</v>
      </c>
      <c r="B225" s="20" t="s">
        <v>230</v>
      </c>
      <c r="C225" s="11" t="n">
        <f aca="false">(C223-C221)</f>
        <v>-104338.598312373</v>
      </c>
      <c r="D225" s="11" t="n">
        <f aca="false">(D223-D221)</f>
        <v>-104369.881103781</v>
      </c>
      <c r="E225" s="11" t="n">
        <f aca="false">(E223-E221)</f>
        <v>-130259.283235998</v>
      </c>
      <c r="F225" s="11" t="n">
        <f aca="false">(F223-F221)</f>
        <v>-145360.814109797</v>
      </c>
      <c r="G225" s="11" t="n">
        <f aca="false">(G223-G221)</f>
        <v>-185702.251707339</v>
      </c>
      <c r="H225" s="11" t="n">
        <f aca="false">(H223-H221)</f>
        <v>-213333.282808588</v>
      </c>
      <c r="I225" s="11" t="n">
        <f aca="false">(I223-I221)</f>
        <v>-217648.620821694</v>
      </c>
      <c r="J225" s="11" t="n">
        <f aca="false">(J223-J221)</f>
        <v>-206598.962958423</v>
      </c>
      <c r="K225" s="11" t="n">
        <f aca="false">(K223-K221)</f>
        <v>-278367.027153758</v>
      </c>
      <c r="L225" s="11" t="n">
        <f aca="false">(L223-L221)</f>
        <v>-267334.358710983</v>
      </c>
      <c r="M225" s="11" t="n">
        <f aca="false">(M223-M221)</f>
        <v>-301801.163585835</v>
      </c>
      <c r="N225" s="11" t="n">
        <f aca="false">(N223-N221)</f>
        <v>-297463.884716533</v>
      </c>
      <c r="O225" s="11" t="n">
        <f aca="false">(O223-O221)</f>
        <v>-375441.460176267</v>
      </c>
      <c r="P225" s="11" t="n">
        <f aca="false">(P223-P221)</f>
        <v>-379712.643104538</v>
      </c>
      <c r="Q225" s="11" t="n">
        <f aca="false">(Q223-Q221)</f>
        <v>-412246.296242179</v>
      </c>
      <c r="R225" s="11" t="n">
        <f aca="false">(R223-R221)</f>
        <v>-383875.489001663</v>
      </c>
      <c r="S225" s="11" t="n">
        <f aca="false">(S223-S221)</f>
        <v>-383959.492388982</v>
      </c>
      <c r="T225" s="11" t="n">
        <f aca="false">(T223-T221)</f>
        <v>-421468.22874779</v>
      </c>
      <c r="U225" s="11" t="n">
        <f aca="false">(U223-U221)</f>
        <v>-415005.278250773</v>
      </c>
      <c r="V225" s="11" t="n">
        <f aca="false">(V223-V221)</f>
        <v>-448342.247257482</v>
      </c>
      <c r="W225" s="11" t="n">
        <f aca="false">(W223-W221)</f>
        <v>-425116.450857113</v>
      </c>
      <c r="X225" s="11" t="n">
        <f aca="false">(X223-X221)</f>
        <v>-464504.519966328</v>
      </c>
      <c r="Y225" s="11" t="n">
        <f aca="false">(Y223-Y221)</f>
        <v>-440410.558386892</v>
      </c>
      <c r="Z225" s="11" t="n">
        <f aca="false">(Z223-Z221)</f>
        <v>-468110.356653033</v>
      </c>
      <c r="AA225" s="11" t="n">
        <f aca="false">(AA223-AA221)</f>
        <v>-515940.632991732</v>
      </c>
      <c r="AB225" s="11" t="n">
        <f aca="false">(AB223-AB221)</f>
        <v>-546407.09438609</v>
      </c>
      <c r="AC225" s="11" t="n">
        <f aca="false">(AC223-AC221)</f>
        <v>-526895.704770381</v>
      </c>
      <c r="AD225" s="11" t="n">
        <f aca="false">(AD223-AD221)</f>
        <v>-560011.337588901</v>
      </c>
      <c r="AE225" s="11" t="n">
        <f aca="false">(AE223-AE221)</f>
        <v>-524727.187705964</v>
      </c>
      <c r="AF225" s="11" t="n">
        <f aca="false">(AF223-AF221)</f>
        <v>-547686.00951332</v>
      </c>
      <c r="AG225" s="11" t="n">
        <f aca="false">(AG223-AG221)</f>
        <v>-546454.241424655</v>
      </c>
      <c r="AH225" s="11" t="n">
        <f aca="false">(AH223-AH221)</f>
        <v>-523672.230439213</v>
      </c>
      <c r="AI225" s="11" t="n">
        <f aca="false">(AI223-AI221)</f>
        <v>-532460.887584936</v>
      </c>
      <c r="AJ225" s="11" t="n">
        <f aca="false">(AJ223-AJ221)</f>
        <v>-513195.027573336</v>
      </c>
      <c r="AK225" s="11" t="n">
        <f aca="false">(AK223-AK221)</f>
        <v>-518048.44784277</v>
      </c>
      <c r="AL225" s="11" t="n">
        <f aca="false">(AL223-AL221)</f>
        <v>-526766.04494455</v>
      </c>
      <c r="AN225" s="11" t="n">
        <f aca="false">SUM(C225:N225)</f>
        <v>-2452578.1292251</v>
      </c>
      <c r="AO225" s="11" t="n">
        <f aca="false">SUM(O225:Z225)</f>
        <v>-5018193.02103304</v>
      </c>
      <c r="AP225" s="11" t="n">
        <f aca="false">SUM(AA225:AL225)</f>
        <v>-6382264.84676585</v>
      </c>
    </row>
    <row r="226" customFormat="false" ht="15" hidden="false" customHeight="false" outlineLevel="0" collapsed="false">
      <c r="A226" s="10" t="s">
        <v>44</v>
      </c>
      <c r="B226" s="20" t="s">
        <v>230</v>
      </c>
      <c r="C226" s="11" t="n">
        <f aca="false">((C153-C184)-C221)</f>
        <v>-104338.598312373</v>
      </c>
      <c r="D226" s="11" t="n">
        <f aca="false">((D153-D184)-D221)</f>
        <v>-104369.881103781</v>
      </c>
      <c r="E226" s="11" t="n">
        <f aca="false">((E153-E184)-E221)</f>
        <v>-130259.283235998</v>
      </c>
      <c r="F226" s="11" t="n">
        <f aca="false">((F153-F184)-F221)</f>
        <v>-145360.814109797</v>
      </c>
      <c r="G226" s="11" t="n">
        <f aca="false">((G153-G184)-G221)</f>
        <v>-185702.251707339</v>
      </c>
      <c r="H226" s="11" t="n">
        <f aca="false">((H153-H184)-H221)</f>
        <v>-213333.282808588</v>
      </c>
      <c r="I226" s="11" t="n">
        <f aca="false">((I153-I184)-I221)</f>
        <v>-217648.620821694</v>
      </c>
      <c r="J226" s="11" t="n">
        <f aca="false">((J153-J184)-J221)</f>
        <v>-206598.962958423</v>
      </c>
      <c r="K226" s="11" t="n">
        <f aca="false">((K153-K184)-K221)</f>
        <v>-278367.027153758</v>
      </c>
      <c r="L226" s="11" t="n">
        <f aca="false">((L153-L184)-L221)</f>
        <v>-267334.358710983</v>
      </c>
      <c r="M226" s="11" t="n">
        <f aca="false">((M153-M184)-M221)</f>
        <v>-301801.163585835</v>
      </c>
      <c r="N226" s="11" t="n">
        <f aca="false">((N153-N184)-N221)</f>
        <v>-297463.884716533</v>
      </c>
      <c r="O226" s="11" t="n">
        <f aca="false">((O153-O184)-O221)</f>
        <v>-375395.551389375</v>
      </c>
      <c r="P226" s="11" t="n">
        <f aca="false">((P153-P184)-P221)</f>
        <v>-380612.407260919</v>
      </c>
      <c r="Q226" s="11" t="n">
        <f aca="false">((Q153-Q184)-Q221)</f>
        <v>-421424.706088699</v>
      </c>
      <c r="R226" s="11" t="n">
        <f aca="false">((R153-R184)-R221)</f>
        <v>-381113.624673423</v>
      </c>
      <c r="S226" s="11" t="n">
        <f aca="false">((S153-S184)-S221)</f>
        <v>-338843.092372708</v>
      </c>
      <c r="T226" s="11" t="n">
        <f aca="false">((T153-T184)-T221)</f>
        <v>-443689.102345702</v>
      </c>
      <c r="U226" s="11" t="n">
        <f aca="false">((U153-U184)-U221)</f>
        <v>-437235.058145036</v>
      </c>
      <c r="V226" s="11" t="n">
        <f aca="false">((V153-V184)-V221)</f>
        <v>-407015.671335291</v>
      </c>
      <c r="W226" s="11" t="n">
        <f aca="false">((W153-W184)-W221)</f>
        <v>-455635.007124512</v>
      </c>
      <c r="X226" s="11" t="n">
        <f aca="false">((X153-X184)-X221)</f>
        <v>-495337.260416567</v>
      </c>
      <c r="Y226" s="11" t="n">
        <f aca="false">((Y153-Y184)-Y221)</f>
        <v>-387201.823269068</v>
      </c>
      <c r="Z226" s="11" t="n">
        <f aca="false">((Z153-Z184)-Z221)</f>
        <v>-496224.400150385</v>
      </c>
      <c r="AA226" s="11" t="n">
        <f aca="false">((AA153-AA184)-AA221)</f>
        <v>-554908.41318486</v>
      </c>
      <c r="AB226" s="11" t="n">
        <f aca="false">((AB153-AB184)-AB221)</f>
        <v>-501212.24673573</v>
      </c>
      <c r="AC226" s="11" t="n">
        <f aca="false">((AC153-AC184)-AC221)</f>
        <v>-527929.635212897</v>
      </c>
      <c r="AD226" s="11" t="n">
        <f aca="false">((AD153-AD184)-AD221)</f>
        <v>-608312.564505303</v>
      </c>
      <c r="AE226" s="11" t="n">
        <f aca="false">((AE153-AE184)-AE221)</f>
        <v>-448066.69434903</v>
      </c>
      <c r="AF226" s="11" t="n">
        <f aca="false">((AF153-AF184)-AF221)</f>
        <v>-504634.073719559</v>
      </c>
      <c r="AG226" s="11" t="n">
        <f aca="false">((AG153-AG184)-AG221)</f>
        <v>-630877.199078588</v>
      </c>
      <c r="AH226" s="11" t="n">
        <f aca="false">((AH153-AH184)-AH221)</f>
        <v>-486404.135278522</v>
      </c>
      <c r="AI226" s="11" t="n">
        <f aca="false">((AI153-AI184)-AI221)</f>
        <v>-503047.162367646</v>
      </c>
      <c r="AJ226" s="11" t="n">
        <f aca="false">((AJ153-AJ184)-AJ221)</f>
        <v>-540638.590912807</v>
      </c>
      <c r="AK226" s="11" t="n">
        <f aca="false">((AK153-AK184)-AK221)</f>
        <v>-471544.016723719</v>
      </c>
      <c r="AL226" s="11" t="n">
        <f aca="false">((AL153-AL184)-AL221)</f>
        <v>-481088.635784164</v>
      </c>
      <c r="AN226" s="11" t="n">
        <f aca="false">SUM(C226:N226)</f>
        <v>-2452578.1292251</v>
      </c>
      <c r="AO226" s="11" t="n">
        <f aca="false">SUM(O226:Z226)</f>
        <v>-5019727.70457168</v>
      </c>
      <c r="AP226" s="11" t="n">
        <f aca="false">SUM(AA226:AL226)</f>
        <v>-6258663.36785283</v>
      </c>
    </row>
    <row r="227" customFormat="false" ht="15" hidden="false" customHeight="false" outlineLevel="0" collapsed="false">
      <c r="A227" s="0" t="s">
        <v>45</v>
      </c>
      <c r="B227" s="0" t="s">
        <v>230</v>
      </c>
      <c r="C227" s="9" t="n">
        <f aca="false">(0+C226)</f>
        <v>-104338.598312373</v>
      </c>
      <c r="D227" s="9" t="n">
        <f aca="false">(C227+D226)</f>
        <v>-208708.479416155</v>
      </c>
      <c r="E227" s="9" t="n">
        <f aca="false">(D227+E226)</f>
        <v>-338967.762652152</v>
      </c>
      <c r="F227" s="9" t="n">
        <f aca="false">(E227+F226)</f>
        <v>-484328.576761949</v>
      </c>
      <c r="G227" s="9" t="n">
        <f aca="false">(F227+G226)</f>
        <v>-670030.828469288</v>
      </c>
      <c r="H227" s="9" t="n">
        <f aca="false">(G227+H226)</f>
        <v>-883364.111277876</v>
      </c>
      <c r="I227" s="9" t="n">
        <f aca="false">(H227+I226)</f>
        <v>-1101012.73209957</v>
      </c>
      <c r="J227" s="9" t="n">
        <f aca="false">(I227+J226)</f>
        <v>-1307611.69505799</v>
      </c>
      <c r="K227" s="9" t="n">
        <f aca="false">(J227+K226)</f>
        <v>-1585978.72221175</v>
      </c>
      <c r="L227" s="9" t="n">
        <f aca="false">(K227+L226)</f>
        <v>-1853313.08092273</v>
      </c>
      <c r="M227" s="9" t="n">
        <f aca="false">(L227+M226)</f>
        <v>-2155114.24450857</v>
      </c>
      <c r="N227" s="9" t="n">
        <f aca="false">(M227+N226)</f>
        <v>-2452578.1292251</v>
      </c>
      <c r="O227" s="9" t="n">
        <f aca="false">(N227+O226)</f>
        <v>-2827973.68061448</v>
      </c>
      <c r="P227" s="9" t="n">
        <f aca="false">(O227+P226)</f>
        <v>-3208586.0878754</v>
      </c>
      <c r="Q227" s="9" t="n">
        <f aca="false">(P227+Q226)</f>
        <v>-3630010.7939641</v>
      </c>
      <c r="R227" s="9" t="n">
        <f aca="false">(Q227+R226)</f>
        <v>-4011124.41863752</v>
      </c>
      <c r="S227" s="9" t="n">
        <f aca="false">(R227+S226)</f>
        <v>-4349967.51101023</v>
      </c>
      <c r="T227" s="9" t="n">
        <f aca="false">(S227+T226)</f>
        <v>-4793656.61335593</v>
      </c>
      <c r="U227" s="9" t="n">
        <f aca="false">(T227+U226)</f>
        <v>-5230891.67150097</v>
      </c>
      <c r="V227" s="9" t="n">
        <f aca="false">(U227+V226)</f>
        <v>-5637907.34283626</v>
      </c>
      <c r="W227" s="9" t="n">
        <f aca="false">(V227+W226)</f>
        <v>-6093542.34996077</v>
      </c>
      <c r="X227" s="9" t="n">
        <f aca="false">(W227+X226)</f>
        <v>-6588879.61037734</v>
      </c>
      <c r="Y227" s="9" t="n">
        <f aca="false">(X227+Y226)</f>
        <v>-6976081.4336464</v>
      </c>
      <c r="Z227" s="9" t="n">
        <f aca="false">(Y227+Z226)</f>
        <v>-7472305.83379679</v>
      </c>
      <c r="AA227" s="9" t="n">
        <f aca="false">(Z227+AA226)</f>
        <v>-8027214.24698165</v>
      </c>
      <c r="AB227" s="9" t="n">
        <f aca="false">(AA227+AB226)</f>
        <v>-8528426.49371738</v>
      </c>
      <c r="AC227" s="9" t="n">
        <f aca="false">(AB227+AC226)</f>
        <v>-9056356.12893027</v>
      </c>
      <c r="AD227" s="9" t="n">
        <f aca="false">(AC227+AD226)</f>
        <v>-9664668.69343558</v>
      </c>
      <c r="AE227" s="9" t="n">
        <f aca="false">(AD227+AE226)</f>
        <v>-10112735.3877846</v>
      </c>
      <c r="AF227" s="9" t="n">
        <f aca="false">(AE227+AF226)</f>
        <v>-10617369.4615042</v>
      </c>
      <c r="AG227" s="9" t="n">
        <f aca="false">(AF227+AG226)</f>
        <v>-11248246.6605828</v>
      </c>
      <c r="AH227" s="9" t="n">
        <f aca="false">(AG227+AH226)</f>
        <v>-11734650.7958613</v>
      </c>
      <c r="AI227" s="9" t="n">
        <f aca="false">(AH227+AI226)</f>
        <v>-12237697.9582289</v>
      </c>
      <c r="AJ227" s="9" t="n">
        <f aca="false">(AI227+AJ226)</f>
        <v>-12778336.5491417</v>
      </c>
      <c r="AK227" s="9" t="n">
        <f aca="false">(AJ227+AK226)</f>
        <v>-13249880.5658654</v>
      </c>
      <c r="AL227" s="9" t="n">
        <f aca="false">(AK227+AL226)</f>
        <v>-13730969.2016496</v>
      </c>
      <c r="AN227" s="11" t="n">
        <f aca="false">N227</f>
        <v>-2452578.1292251</v>
      </c>
      <c r="AO227" s="11" t="n">
        <f aca="false">Z227</f>
        <v>-7472305.83379679</v>
      </c>
      <c r="AP227" s="11" t="n">
        <f aca="false">AL227</f>
        <v>-13730969.2016496</v>
      </c>
    </row>
    <row r="228" customFormat="false" ht="15" hidden="false" customHeight="false" outlineLevel="0" collapsed="false">
      <c r="A228" s="10" t="s">
        <v>1015</v>
      </c>
      <c r="B228" s="20" t="s">
        <v>230</v>
      </c>
      <c r="C228" s="11" t="n">
        <f aca="false">(Assumptions!$C$104+C227)</f>
        <v>2895661.40168763</v>
      </c>
      <c r="D228" s="11" t="n">
        <f aca="false">(Assumptions!$C$104+D227)</f>
        <v>2791291.52058385</v>
      </c>
      <c r="E228" s="11" t="n">
        <f aca="false">(Assumptions!$C$104+E227)</f>
        <v>2661032.23734785</v>
      </c>
      <c r="F228" s="11" t="n">
        <f aca="false">(Assumptions!$C$104+F227)</f>
        <v>2515671.42323805</v>
      </c>
      <c r="G228" s="11" t="n">
        <f aca="false">(Assumptions!$C$104+G227)</f>
        <v>2329969.17153071</v>
      </c>
      <c r="H228" s="11" t="n">
        <f aca="false">(Assumptions!$C$104+H227)</f>
        <v>2116635.88872212</v>
      </c>
      <c r="I228" s="11" t="n">
        <f aca="false">(Assumptions!$C$104+I227)</f>
        <v>1898987.26790043</v>
      </c>
      <c r="J228" s="11" t="n">
        <f aca="false">(Assumptions!$C$104+J227)</f>
        <v>1692388.30494201</v>
      </c>
      <c r="K228" s="11" t="n">
        <f aca="false">(Assumptions!$C$104+K227)</f>
        <v>1414021.27778825</v>
      </c>
      <c r="L228" s="11" t="n">
        <f aca="false">(Assumptions!$C$104+L227)</f>
        <v>1146686.91907727</v>
      </c>
      <c r="M228" s="11" t="n">
        <f aca="false">(Assumptions!$C$104+M227)</f>
        <v>844885.755491431</v>
      </c>
      <c r="N228" s="11" t="n">
        <f aca="false">(Assumptions!$C$104+N227)</f>
        <v>547421.870774898</v>
      </c>
      <c r="O228" s="11" t="n">
        <f aca="false">(Assumptions!$C$104+O227)</f>
        <v>172026.319385523</v>
      </c>
      <c r="P228" s="11" t="n">
        <f aca="false">(Assumptions!$C$104+P227)</f>
        <v>-208586.087875396</v>
      </c>
      <c r="Q228" s="11" t="n">
        <f aca="false">(Assumptions!$C$104+Q227)</f>
        <v>-630010.793964095</v>
      </c>
      <c r="R228" s="11" t="n">
        <f aca="false">(Assumptions!$C$104+R227)</f>
        <v>-1011124.41863752</v>
      </c>
      <c r="S228" s="11" t="n">
        <f aca="false">(Assumptions!$C$104+S227)</f>
        <v>-1349967.51101023</v>
      </c>
      <c r="T228" s="11" t="n">
        <f aca="false">(Assumptions!$C$104+T227)</f>
        <v>-1793656.61335593</v>
      </c>
      <c r="U228" s="11" t="n">
        <f aca="false">(Assumptions!$C$104+U227)</f>
        <v>-2230891.67150097</v>
      </c>
      <c r="V228" s="11" t="n">
        <f aca="false">(Assumptions!$C$104+V227)</f>
        <v>-2637907.34283626</v>
      </c>
      <c r="W228" s="11" t="n">
        <f aca="false">(Assumptions!$C$104+W227)</f>
        <v>-3093542.34996077</v>
      </c>
      <c r="X228" s="11" t="n">
        <f aca="false">(Assumptions!$C$104+X227)</f>
        <v>-3588879.61037734</v>
      </c>
      <c r="Y228" s="11" t="n">
        <f aca="false">(Assumptions!$C$104+Y227)</f>
        <v>-3976081.4336464</v>
      </c>
      <c r="Z228" s="11" t="n">
        <f aca="false">(Assumptions!$C$104+Z227)</f>
        <v>-4472305.83379679</v>
      </c>
      <c r="AA228" s="11" t="n">
        <f aca="false">(Assumptions!$C$104+AA227)</f>
        <v>-5027214.24698165</v>
      </c>
      <c r="AB228" s="11" t="n">
        <f aca="false">(Assumptions!$C$104+AB227)</f>
        <v>-5528426.49371738</v>
      </c>
      <c r="AC228" s="11" t="n">
        <f aca="false">(Assumptions!$C$104+AC227)</f>
        <v>-6056356.12893027</v>
      </c>
      <c r="AD228" s="11" t="n">
        <f aca="false">(Assumptions!$C$104+AD227)</f>
        <v>-6664668.69343558</v>
      </c>
      <c r="AE228" s="11" t="n">
        <f aca="false">(Assumptions!$C$104+AE227)</f>
        <v>-7112735.38778461</v>
      </c>
      <c r="AF228" s="11" t="n">
        <f aca="false">(Assumptions!$C$104+AF227)</f>
        <v>-7617369.46150417</v>
      </c>
      <c r="AG228" s="11" t="n">
        <f aca="false">(Assumptions!$C$104+AG227)</f>
        <v>-8248246.66058276</v>
      </c>
      <c r="AH228" s="11" t="n">
        <f aca="false">(Assumptions!$C$104+AH227)</f>
        <v>-8734650.79586128</v>
      </c>
      <c r="AI228" s="11" t="n">
        <f aca="false">(Assumptions!$C$104+AI227)</f>
        <v>-9237697.95822892</v>
      </c>
      <c r="AJ228" s="11" t="n">
        <f aca="false">(Assumptions!$C$104+AJ227)</f>
        <v>-9778336.54914173</v>
      </c>
      <c r="AK228" s="11" t="n">
        <f aca="false">(Assumptions!$C$104+AK227)</f>
        <v>-10249880.5658654</v>
      </c>
      <c r="AL228" s="11" t="n">
        <f aca="false">(Assumptions!$C$104+AL227)</f>
        <v>-10730969.2016496</v>
      </c>
      <c r="AN228" s="11" t="n">
        <f aca="false">N228</f>
        <v>547421.870774898</v>
      </c>
      <c r="AO228" s="11" t="n">
        <f aca="false">Z228</f>
        <v>-4472305.83379679</v>
      </c>
      <c r="AP228" s="11" t="n">
        <f aca="false">AL228</f>
        <v>-10730969.2016496</v>
      </c>
    </row>
    <row r="229" customFormat="false" ht="15" hidden="false" customHeight="false" outlineLevel="0" collapsed="false">
      <c r="A229" s="0" t="s">
        <v>1016</v>
      </c>
      <c r="B229" s="0" t="s">
        <v>1017</v>
      </c>
      <c r="C229" s="9" t="n">
        <f aca="false">IF((C228&lt;0),1,0)</f>
        <v>0</v>
      </c>
      <c r="D229" s="9" t="n">
        <f aca="false">IF((D228&lt;0),1,0)</f>
        <v>0</v>
      </c>
      <c r="E229" s="9" t="n">
        <f aca="false">IF((E228&lt;0),1,0)</f>
        <v>0</v>
      </c>
      <c r="F229" s="9" t="n">
        <f aca="false">IF((F228&lt;0),1,0)</f>
        <v>0</v>
      </c>
      <c r="G229" s="9" t="n">
        <f aca="false">IF((G228&lt;0),1,0)</f>
        <v>0</v>
      </c>
      <c r="H229" s="9" t="n">
        <f aca="false">IF((H228&lt;0),1,0)</f>
        <v>0</v>
      </c>
      <c r="I229" s="9" t="n">
        <f aca="false">IF((I228&lt;0),1,0)</f>
        <v>0</v>
      </c>
      <c r="J229" s="9" t="n">
        <f aca="false">IF((J228&lt;0),1,0)</f>
        <v>0</v>
      </c>
      <c r="K229" s="9" t="n">
        <f aca="false">IF((K228&lt;0),1,0)</f>
        <v>0</v>
      </c>
      <c r="L229" s="9" t="n">
        <f aca="false">IF((L228&lt;0),1,0)</f>
        <v>0</v>
      </c>
      <c r="M229" s="9" t="n">
        <f aca="false">IF((M228&lt;0),1,0)</f>
        <v>0</v>
      </c>
      <c r="N229" s="9" t="n">
        <f aca="false">IF((N228&lt;0),1,0)</f>
        <v>0</v>
      </c>
      <c r="O229" s="9" t="n">
        <f aca="false">IF((O228&lt;0),1,0)</f>
        <v>0</v>
      </c>
      <c r="P229" s="9" t="n">
        <f aca="false">IF((P228&lt;0),1,0)</f>
        <v>1</v>
      </c>
      <c r="Q229" s="9" t="n">
        <f aca="false">IF((Q228&lt;0),1,0)</f>
        <v>1</v>
      </c>
      <c r="R229" s="9" t="n">
        <f aca="false">IF((R228&lt;0),1,0)</f>
        <v>1</v>
      </c>
      <c r="S229" s="9" t="n">
        <f aca="false">IF((S228&lt;0),1,0)</f>
        <v>1</v>
      </c>
      <c r="T229" s="9" t="n">
        <f aca="false">IF((T228&lt;0),1,0)</f>
        <v>1</v>
      </c>
      <c r="U229" s="9" t="n">
        <f aca="false">IF((U228&lt;0),1,0)</f>
        <v>1</v>
      </c>
      <c r="V229" s="9" t="n">
        <f aca="false">IF((V228&lt;0),1,0)</f>
        <v>1</v>
      </c>
      <c r="W229" s="9" t="n">
        <f aca="false">IF((W228&lt;0),1,0)</f>
        <v>1</v>
      </c>
      <c r="X229" s="9" t="n">
        <f aca="false">IF((X228&lt;0),1,0)</f>
        <v>1</v>
      </c>
      <c r="Y229" s="9" t="n">
        <f aca="false">IF((Y228&lt;0),1,0)</f>
        <v>1</v>
      </c>
      <c r="Z229" s="9" t="n">
        <f aca="false">IF((Z228&lt;0),1,0)</f>
        <v>1</v>
      </c>
      <c r="AA229" s="9" t="n">
        <f aca="false">IF((AA228&lt;0),1,0)</f>
        <v>1</v>
      </c>
      <c r="AB229" s="9" t="n">
        <f aca="false">IF((AB228&lt;0),1,0)</f>
        <v>1</v>
      </c>
      <c r="AC229" s="9" t="n">
        <f aca="false">IF((AC228&lt;0),1,0)</f>
        <v>1</v>
      </c>
      <c r="AD229" s="9" t="n">
        <f aca="false">IF((AD228&lt;0),1,0)</f>
        <v>1</v>
      </c>
      <c r="AE229" s="9" t="n">
        <f aca="false">IF((AE228&lt;0),1,0)</f>
        <v>1</v>
      </c>
      <c r="AF229" s="9" t="n">
        <f aca="false">IF((AF228&lt;0),1,0)</f>
        <v>1</v>
      </c>
      <c r="AG229" s="9" t="n">
        <f aca="false">IF((AG228&lt;0),1,0)</f>
        <v>1</v>
      </c>
      <c r="AH229" s="9" t="n">
        <f aca="false">IF((AH228&lt;0),1,0)</f>
        <v>1</v>
      </c>
      <c r="AI229" s="9" t="n">
        <f aca="false">IF((AI228&lt;0),1,0)</f>
        <v>1</v>
      </c>
      <c r="AJ229" s="9" t="n">
        <f aca="false">IF((AJ228&lt;0),1,0)</f>
        <v>1</v>
      </c>
      <c r="AK229" s="9" t="n">
        <f aca="false">IF((AK228&lt;0),1,0)</f>
        <v>1</v>
      </c>
      <c r="AL229" s="9" t="n">
        <f aca="false">IF((AL228&lt;0),1,0)</f>
        <v>1</v>
      </c>
    </row>
    <row r="230" customFormat="false" ht="15" hidden="false" customHeight="false" outlineLevel="0" collapsed="false">
      <c r="A230" s="0" t="s">
        <v>1018</v>
      </c>
      <c r="B230" s="0" t="s">
        <v>230</v>
      </c>
      <c r="C230" s="9" t="n">
        <f aca="false">(C133*Assumptions!$C$37)</f>
        <v>0</v>
      </c>
      <c r="D230" s="9" t="n">
        <f aca="false">(D133*Assumptions!$C$37)</f>
        <v>0</v>
      </c>
      <c r="E230" s="9" t="n">
        <f aca="false">(E133*Assumptions!$C$37)</f>
        <v>0</v>
      </c>
      <c r="F230" s="9" t="n">
        <f aca="false">(F133*Assumptions!$C$37)</f>
        <v>0</v>
      </c>
      <c r="G230" s="9" t="n">
        <f aca="false">(G133*Assumptions!$C$37)</f>
        <v>9775</v>
      </c>
      <c r="H230" s="9" t="n">
        <f aca="false">(H133*Assumptions!$C$37)</f>
        <v>0</v>
      </c>
      <c r="I230" s="9" t="n">
        <f aca="false">(I133*Assumptions!$C$37)</f>
        <v>0</v>
      </c>
      <c r="J230" s="9" t="n">
        <f aca="false">(J133*Assumptions!$C$37)</f>
        <v>28050</v>
      </c>
      <c r="K230" s="9" t="n">
        <f aca="false">(K133*Assumptions!$C$37)</f>
        <v>0</v>
      </c>
      <c r="L230" s="9" t="n">
        <f aca="false">(L133*Assumptions!$C$37)</f>
        <v>0</v>
      </c>
      <c r="M230" s="9" t="n">
        <f aca="false">(M133*Assumptions!$C$37)</f>
        <v>0</v>
      </c>
      <c r="N230" s="9" t="n">
        <f aca="false">(N133*Assumptions!$C$37)</f>
        <v>0</v>
      </c>
      <c r="O230" s="9" t="n">
        <f aca="false">(O133*Assumptions!$C$37)</f>
        <v>0</v>
      </c>
      <c r="P230" s="9" t="n">
        <f aca="false">(P133*Assumptions!$C$37)</f>
        <v>0</v>
      </c>
      <c r="Q230" s="9" t="n">
        <f aca="false">(Q133*Assumptions!$C$37)</f>
        <v>8109</v>
      </c>
      <c r="R230" s="9" t="n">
        <f aca="false">(R133*Assumptions!$C$37)</f>
        <v>0</v>
      </c>
      <c r="S230" s="9" t="n">
        <f aca="false">(S133*Assumptions!$C$37)</f>
        <v>0</v>
      </c>
      <c r="T230" s="9" t="n">
        <f aca="false">(T133*Assumptions!$C$37)</f>
        <v>27183</v>
      </c>
      <c r="U230" s="9" t="n">
        <f aca="false">(U133*Assumptions!$C$37)</f>
        <v>0</v>
      </c>
      <c r="V230" s="9" t="n">
        <f aca="false">(V133*Assumptions!$C$37)</f>
        <v>0</v>
      </c>
      <c r="W230" s="9" t="n">
        <f aca="false">(W133*Assumptions!$C$37)</f>
        <v>35292</v>
      </c>
      <c r="X230" s="9" t="n">
        <f aca="false">(X133*Assumptions!$C$37)</f>
        <v>0</v>
      </c>
      <c r="Y230" s="9" t="n">
        <f aca="false">(Y133*Assumptions!$C$37)</f>
        <v>0</v>
      </c>
      <c r="Z230" s="9" t="n">
        <f aca="false">(Z133*Assumptions!$C$37)</f>
        <v>35292</v>
      </c>
      <c r="AA230" s="9" t="n">
        <f aca="false">(AA133*Assumptions!$C$37)</f>
        <v>8109</v>
      </c>
      <c r="AB230" s="9" t="n">
        <f aca="false">(AB133*Assumptions!$C$37)</f>
        <v>0</v>
      </c>
      <c r="AC230" s="9" t="n">
        <f aca="false">(AC133*Assumptions!$C$37)</f>
        <v>43401</v>
      </c>
      <c r="AD230" s="9" t="n">
        <f aca="false">(AD133*Assumptions!$C$37)</f>
        <v>27183</v>
      </c>
      <c r="AE230" s="9" t="n">
        <f aca="false">(AE133*Assumptions!$C$37)</f>
        <v>0</v>
      </c>
      <c r="AF230" s="9" t="n">
        <f aca="false">(AF133*Assumptions!$C$37)</f>
        <v>62475</v>
      </c>
      <c r="AG230" s="9" t="n">
        <f aca="false">(AG133*Assumptions!$C$37)</f>
        <v>35292</v>
      </c>
      <c r="AH230" s="9" t="n">
        <f aca="false">(AH133*Assumptions!$C$37)</f>
        <v>43044</v>
      </c>
      <c r="AI230" s="9" t="n">
        <f aca="false">(AI133*Assumptions!$C$37)</f>
        <v>62475</v>
      </c>
      <c r="AJ230" s="9" t="n">
        <f aca="false">(AJ133*Assumptions!$C$37)</f>
        <v>35292</v>
      </c>
      <c r="AK230" s="9" t="n">
        <f aca="false">(AK133*Assumptions!$C$37)</f>
        <v>0</v>
      </c>
      <c r="AL230" s="9" t="n">
        <f aca="false">(AL133*Assumptions!$C$37)</f>
        <v>70584</v>
      </c>
      <c r="AN230" s="11" t="n">
        <f aca="false">SUM(C230:N230)</f>
        <v>37825</v>
      </c>
      <c r="AO230" s="11" t="n">
        <f aca="false">SUM(O230:Z230)</f>
        <v>105876</v>
      </c>
      <c r="AP230" s="11" t="n">
        <f aca="false">SUM(AA230:AL230)</f>
        <v>387855</v>
      </c>
    </row>
    <row r="231" customFormat="false" ht="15" hidden="false" customHeight="false" outlineLevel="0" collapsed="false">
      <c r="A231" s="0" t="s">
        <v>1019</v>
      </c>
      <c r="B231" s="0" t="s">
        <v>285</v>
      </c>
      <c r="C231" s="9" t="n">
        <f aca="false">(C197*Assumptions!$C$38)</f>
        <v>0</v>
      </c>
      <c r="D231" s="9" t="n">
        <f aca="false">(D197*Assumptions!$C$38)</f>
        <v>0</v>
      </c>
      <c r="E231" s="9" t="n">
        <f aca="false">(E197*Assumptions!$C$38)</f>
        <v>0</v>
      </c>
      <c r="F231" s="9" t="n">
        <f aca="false">(F197*Assumptions!$C$38)</f>
        <v>0</v>
      </c>
      <c r="G231" s="9" t="n">
        <f aca="false">(G197*Assumptions!$C$38)</f>
        <v>110</v>
      </c>
      <c r="H231" s="9" t="n">
        <f aca="false">(H197*Assumptions!$C$38)</f>
        <v>110</v>
      </c>
      <c r="I231" s="9" t="n">
        <f aca="false">(I197*Assumptions!$C$38)</f>
        <v>110</v>
      </c>
      <c r="J231" s="9" t="n">
        <f aca="false">(J197*Assumptions!$C$38)</f>
        <v>110</v>
      </c>
      <c r="K231" s="9" t="n">
        <f aca="false">(K197*Assumptions!$C$38)</f>
        <v>110</v>
      </c>
      <c r="L231" s="9" t="n">
        <f aca="false">(L197*Assumptions!$C$38)</f>
        <v>110</v>
      </c>
      <c r="M231" s="9" t="n">
        <f aca="false">(M197*Assumptions!$C$38)</f>
        <v>220</v>
      </c>
      <c r="N231" s="9" t="n">
        <f aca="false">(N197*Assumptions!$C$38)</f>
        <v>220</v>
      </c>
      <c r="O231" s="9" t="n">
        <f aca="false">(O197*Assumptions!$C$38)</f>
        <v>220</v>
      </c>
      <c r="P231" s="9" t="n">
        <f aca="false">(P197*Assumptions!$C$38)</f>
        <v>220</v>
      </c>
      <c r="Q231" s="9" t="n">
        <f aca="false">(Q197*Assumptions!$C$38)</f>
        <v>330</v>
      </c>
      <c r="R231" s="9" t="n">
        <f aca="false">(R197*Assumptions!$C$38)</f>
        <v>330</v>
      </c>
      <c r="S231" s="9" t="n">
        <f aca="false">(S197*Assumptions!$C$38)</f>
        <v>330</v>
      </c>
      <c r="T231" s="9" t="n">
        <f aca="false">(T197*Assumptions!$C$38)</f>
        <v>330</v>
      </c>
      <c r="U231" s="9" t="n">
        <f aca="false">(U197*Assumptions!$C$38)</f>
        <v>440</v>
      </c>
      <c r="V231" s="9" t="n">
        <f aca="false">(V197*Assumptions!$C$38)</f>
        <v>440</v>
      </c>
      <c r="W231" s="9" t="n">
        <f aca="false">(W197*Assumptions!$C$38)</f>
        <v>440</v>
      </c>
      <c r="X231" s="9" t="n">
        <f aca="false">(X197*Assumptions!$C$38)</f>
        <v>550</v>
      </c>
      <c r="Y231" s="9" t="n">
        <f aca="false">(Y197*Assumptions!$C$38)</f>
        <v>550</v>
      </c>
      <c r="Z231" s="9" t="n">
        <f aca="false">(Z197*Assumptions!$C$38)</f>
        <v>550</v>
      </c>
      <c r="AA231" s="9" t="n">
        <f aca="false">(AA197*Assumptions!$C$38)</f>
        <v>660</v>
      </c>
      <c r="AB231" s="9" t="n">
        <f aca="false">(AB197*Assumptions!$C$38)</f>
        <v>660</v>
      </c>
      <c r="AC231" s="9" t="n">
        <f aca="false">(AC197*Assumptions!$C$38)</f>
        <v>660</v>
      </c>
      <c r="AD231" s="9" t="n">
        <f aca="false">(AD197*Assumptions!$C$38)</f>
        <v>770</v>
      </c>
      <c r="AE231" s="9" t="n">
        <f aca="false">(AE197*Assumptions!$C$38)</f>
        <v>770</v>
      </c>
      <c r="AF231" s="9" t="n">
        <f aca="false">(AF197*Assumptions!$C$38)</f>
        <v>770</v>
      </c>
      <c r="AG231" s="9" t="n">
        <f aca="false">(AG197*Assumptions!$C$38)</f>
        <v>880</v>
      </c>
      <c r="AH231" s="9" t="n">
        <f aca="false">(AH197*Assumptions!$C$38)</f>
        <v>880</v>
      </c>
      <c r="AI231" s="9" t="n">
        <f aca="false">(AI197*Assumptions!$C$38)</f>
        <v>880</v>
      </c>
      <c r="AJ231" s="9" t="n">
        <f aca="false">(AJ197*Assumptions!$C$38)</f>
        <v>880</v>
      </c>
      <c r="AK231" s="9" t="n">
        <f aca="false">(AK197*Assumptions!$C$38)</f>
        <v>880</v>
      </c>
      <c r="AL231" s="9" t="n">
        <f aca="false">(AL197*Assumptions!$C$38)</f>
        <v>880</v>
      </c>
      <c r="AN231" s="11" t="n">
        <f aca="false">SUM(C231:N231)</f>
        <v>1100</v>
      </c>
      <c r="AO231" s="11" t="n">
        <f aca="false">SUM(O231:Z231)</f>
        <v>4730</v>
      </c>
      <c r="AP231" s="11" t="n">
        <f aca="false">SUM(AA231:AL231)</f>
        <v>9570</v>
      </c>
    </row>
    <row r="234" customFormat="false" ht="15" hidden="false" customHeight="false" outlineLevel="0" collapsed="false">
      <c r="A234" s="21" t="s">
        <v>1020</v>
      </c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</row>
    <row r="235" customFormat="false" ht="15" hidden="false" customHeight="false" outlineLevel="0" collapsed="false">
      <c r="A235" s="0" t="s">
        <v>61</v>
      </c>
      <c r="B235" s="0" t="s">
        <v>230</v>
      </c>
      <c r="AN235" s="9" t="n">
        <f aca="false">AN146</f>
        <v>0</v>
      </c>
      <c r="AO235" s="9" t="n">
        <f aca="false">AO146</f>
        <v>227178.666962508</v>
      </c>
      <c r="AP235" s="9" t="n">
        <f aca="false">AP146</f>
        <v>1059403.86069886</v>
      </c>
    </row>
    <row r="236" customFormat="false" ht="15" hidden="false" customHeight="false" outlineLevel="0" collapsed="false">
      <c r="A236" s="0" t="s">
        <v>62</v>
      </c>
      <c r="B236" s="0" t="s">
        <v>230</v>
      </c>
      <c r="AN236" s="9" t="n">
        <f aca="false">AN148</f>
        <v>0</v>
      </c>
      <c r="AO236" s="9" t="n">
        <f aca="false">AO148</f>
        <v>64050.3281511358</v>
      </c>
      <c r="AP236" s="9" t="n">
        <f aca="false">AP148</f>
        <v>531664.386240593</v>
      </c>
    </row>
    <row r="237" customFormat="false" ht="15" hidden="false" customHeight="false" outlineLevel="0" collapsed="false">
      <c r="A237" s="0" t="s">
        <v>63</v>
      </c>
      <c r="B237" s="0" t="s">
        <v>193</v>
      </c>
      <c r="AN237" s="12" t="n">
        <f aca="false">IFERROR((AN223/AN146),0)</f>
        <v>0</v>
      </c>
      <c r="AO237" s="12" t="n">
        <f aca="false">IFERROR((AO223/AO146),0)</f>
        <v>-2.67122959422297</v>
      </c>
      <c r="AP237" s="12" t="n">
        <f aca="false">IFERROR((AP223/AP146),0)</f>
        <v>-0.689990501680483</v>
      </c>
    </row>
    <row r="238" customFormat="false" ht="15" hidden="false" customHeight="false" outlineLevel="0" collapsed="false">
      <c r="A238" s="0" t="s">
        <v>64</v>
      </c>
      <c r="B238" s="0" t="s">
        <v>193</v>
      </c>
      <c r="AN238" s="12" t="n">
        <f aca="false">IFERROR((AN224/AN146),0)</f>
        <v>0</v>
      </c>
      <c r="AO238" s="12" t="n">
        <f aca="false">IFERROR((AO224/AO146),0)</f>
        <v>-2.93775687343265</v>
      </c>
      <c r="AP238" s="12" t="n">
        <f aca="false">IFERROR((AP224/AP146),0)</f>
        <v>-0.833334924741035</v>
      </c>
    </row>
    <row r="239" customFormat="false" ht="15" hidden="false" customHeight="false" outlineLevel="0" collapsed="false">
      <c r="A239" s="0" t="s">
        <v>65</v>
      </c>
      <c r="B239" s="0" t="s">
        <v>193</v>
      </c>
      <c r="AN239" s="12" t="n">
        <f aca="false">IFERROR(((AN42-AN179)/AN42),0)</f>
        <v>0</v>
      </c>
      <c r="AO239" s="12" t="n">
        <f aca="false">IFERROR(((AO42-AO179)/AO42),0)</f>
        <v>-6.49157723001502</v>
      </c>
      <c r="AP239" s="12" t="n">
        <f aca="false">IFERROR(((AP42-AP179)/AP42),0)</f>
        <v>-2.95391285566829</v>
      </c>
    </row>
    <row r="240" customFormat="false" ht="15" hidden="false" customHeight="false" outlineLevel="0" collapsed="false">
      <c r="A240" s="0" t="s">
        <v>66</v>
      </c>
      <c r="B240" s="0" t="s">
        <v>193</v>
      </c>
      <c r="AN240" s="12" t="n">
        <f aca="false">IFERROR(((((((AN129+AN127)+AN136)+AN137)+AN140)-AN180)/((((AN129+AN127)+AN136)+AN137)+AN140)),0)</f>
        <v>0</v>
      </c>
      <c r="AO240" s="12" t="n">
        <f aca="false">IFERROR(((((((AO129+AO127)+AO136)+AO137)+AO140)-AO180)/((((AO129+AO127)+AO136)+AO137)+AO140)),0)</f>
        <v>0.153990246749028</v>
      </c>
      <c r="AP240" s="12" t="n">
        <f aca="false">IFERROR(((((((AP129+AP127)+AP136)+AP137)+AP140)-AP180)/((((AP129+AP127)+AP136)+AP137)+AP140)),0)</f>
        <v>0.462279316853873</v>
      </c>
    </row>
    <row r="241" customFormat="false" ht="15" hidden="false" customHeight="false" outlineLevel="0" collapsed="false">
      <c r="A241" s="0" t="s">
        <v>67</v>
      </c>
      <c r="B241" s="0" t="s">
        <v>193</v>
      </c>
      <c r="AN241" s="12" t="n">
        <f aca="false">IFERROR(((AN131-AN182)/AN131),0)</f>
        <v>0</v>
      </c>
      <c r="AO241" s="12" t="n">
        <f aca="false">IFERROR(((AO131-AO182)/AO131),0)</f>
        <v>-2.69540715694562</v>
      </c>
      <c r="AP241" s="12" t="n">
        <f aca="false">IFERROR(((AP131-AP182)/AP131),0)</f>
        <v>-0.695581328476948</v>
      </c>
    </row>
    <row r="242" customFormat="false" ht="15" hidden="false" customHeight="false" outlineLevel="0" collapsed="false">
      <c r="A242" s="0" t="s">
        <v>68</v>
      </c>
      <c r="B242" s="0" t="s">
        <v>193</v>
      </c>
      <c r="AN242" s="12" t="n">
        <f aca="false">IFERROR(((AN131-AN230)/AN131),0)</f>
        <v>0</v>
      </c>
      <c r="AO242" s="12" t="n">
        <f aca="false">IFERROR(((AO131-AO230)/AO131),0)</f>
        <v>0.10502113271344</v>
      </c>
      <c r="AP242" s="12" t="n">
        <f aca="false">IFERROR(((AP131-AP230)/AP131),0)</f>
        <v>0.25648423272309</v>
      </c>
    </row>
    <row r="243" customFormat="false" ht="15" hidden="false" customHeight="false" outlineLevel="0" collapsed="false">
      <c r="A243" s="0" t="s">
        <v>69</v>
      </c>
      <c r="B243" s="0" t="s">
        <v>193</v>
      </c>
      <c r="AN243" s="12" t="n">
        <f aca="false">IFERROR((AN133/AN231),0)</f>
        <v>0.404545454545455</v>
      </c>
      <c r="AO243" s="12" t="n">
        <f aca="false">IFERROR((AO133/AO231),0)</f>
        <v>0.263340380549683</v>
      </c>
      <c r="AP243" s="12" t="n">
        <f aca="false">IFERROR((AP133/AP231),0)</f>
        <v>0.476802507836991</v>
      </c>
    </row>
    <row r="244" customFormat="false" ht="15" hidden="false" customHeight="false" outlineLevel="0" collapsed="false">
      <c r="A244" s="0" t="s">
        <v>41</v>
      </c>
      <c r="B244" s="0" t="s">
        <v>230</v>
      </c>
      <c r="AN244" s="9" t="n">
        <f aca="false">AN225</f>
        <v>-2452578.1292251</v>
      </c>
      <c r="AO244" s="9" t="n">
        <f aca="false">AO225</f>
        <v>-5018193.02103304</v>
      </c>
      <c r="AP244" s="9" t="n">
        <f aca="false">AP225</f>
        <v>-6382264.84676585</v>
      </c>
    </row>
    <row r="245" customFormat="false" ht="15" hidden="false" customHeight="false" outlineLevel="0" collapsed="false">
      <c r="A245" s="0" t="s">
        <v>70</v>
      </c>
      <c r="B245" s="0" t="s">
        <v>230</v>
      </c>
      <c r="AN245" s="9" t="n">
        <f aca="false">(0-AN226)</f>
        <v>2452578.1292251</v>
      </c>
      <c r="AO245" s="9" t="n">
        <f aca="false">(0-AO226)</f>
        <v>5019727.70457168</v>
      </c>
      <c r="AP245" s="9" t="n">
        <f aca="false">(0-AP226)</f>
        <v>6258663.36785283</v>
      </c>
    </row>
    <row r="246" customFormat="false" ht="15" hidden="false" customHeight="false" outlineLevel="0" collapsed="false">
      <c r="A246" s="0" t="s">
        <v>71</v>
      </c>
      <c r="B246" s="0" t="s">
        <v>230</v>
      </c>
      <c r="AN246" s="9" t="n">
        <f aca="false">AN227</f>
        <v>-2452578.1292251</v>
      </c>
      <c r="AO246" s="9" t="n">
        <f aca="false">AO227</f>
        <v>-7472305.83379679</v>
      </c>
      <c r="AP246" s="9" t="n">
        <f aca="false">AP227</f>
        <v>-13730969.2016496</v>
      </c>
    </row>
    <row r="247" customFormat="false" ht="15" hidden="false" customHeight="false" outlineLevel="0" collapsed="false">
      <c r="A247" s="0" t="s">
        <v>72</v>
      </c>
      <c r="B247" s="0" t="s">
        <v>230</v>
      </c>
      <c r="AN247" s="9" t="n">
        <f aca="false">AN228</f>
        <v>547421.870774898</v>
      </c>
      <c r="AO247" s="9" t="n">
        <f aca="false">AO228</f>
        <v>-4472305.83379679</v>
      </c>
      <c r="AP247" s="9" t="n">
        <f aca="false">AP228</f>
        <v>-10730969.2016496</v>
      </c>
    </row>
    <row r="248" customFormat="false" ht="15" hidden="false" customHeight="false" outlineLevel="0" collapsed="false">
      <c r="A248" s="0" t="s">
        <v>73</v>
      </c>
      <c r="B248" s="0" t="s">
        <v>230</v>
      </c>
      <c r="AN248" s="9" t="n">
        <f aca="false">(AN148-0)</f>
        <v>0</v>
      </c>
      <c r="AO248" s="9" t="n">
        <f aca="false">(AO148-AN148)</f>
        <v>64050.3281511358</v>
      </c>
      <c r="AP248" s="9" t="n">
        <f aca="false">(AP148-AO148)</f>
        <v>467614.058089457</v>
      </c>
    </row>
    <row r="249" customFormat="false" ht="15" hidden="false" customHeight="false" outlineLevel="0" collapsed="false">
      <c r="A249" s="0" t="s">
        <v>74</v>
      </c>
      <c r="B249" s="0" t="s">
        <v>160</v>
      </c>
      <c r="AN249" s="13" t="n">
        <f aca="false">IFERROR(((0-AN226)/(AN148-0)),0)</f>
        <v>0</v>
      </c>
      <c r="AO249" s="13" t="n">
        <f aca="false">IFERROR(((0-AO226)/(AO148-AN148)),0)</f>
        <v>78.3716157195468</v>
      </c>
      <c r="AP249" s="13" t="n">
        <f aca="false">IFERROR(((0-AP226)/(AP148-AO148)),0)</f>
        <v>13.384249809392</v>
      </c>
    </row>
    <row r="250" customFormat="false" ht="15" hidden="false" customHeight="false" outlineLevel="0" collapsed="false">
      <c r="A250" s="0" t="s">
        <v>75</v>
      </c>
      <c r="B250" s="0" t="s">
        <v>230</v>
      </c>
      <c r="AN250" s="13" t="n">
        <f aca="false">IFERROR(((AN206+(0.5*(AN194+AN207)))/AN28),0)</f>
        <v>0</v>
      </c>
      <c r="AO250" s="13" t="n">
        <f aca="false">IFERROR(((AO206+(0.5*(AO194+AO207)))/AO28),0)</f>
        <v>1546.93683191001</v>
      </c>
      <c r="AP250" s="13" t="n">
        <f aca="false">IFERROR(((AP206+(0.5*(AP194+AP207)))/AP28),0)</f>
        <v>959.621451986062</v>
      </c>
    </row>
    <row r="251" customFormat="false" ht="15" hidden="false" customHeight="false" outlineLevel="0" collapsed="false">
      <c r="A251" s="0" t="s">
        <v>76</v>
      </c>
      <c r="B251" s="0" t="s">
        <v>230</v>
      </c>
      <c r="AN251" s="13" t="n">
        <f aca="false">IFERROR((((AN206+(0.5*(AN194+AN207)))+AN186)/AN28),0)</f>
        <v>0</v>
      </c>
      <c r="AO251" s="13" t="n">
        <f aca="false">IFERROR((((AO206+(0.5*(AO194+AO207)))+AO186)/AO28),0)</f>
        <v>1709.06389081382</v>
      </c>
      <c r="AP251" s="13" t="n">
        <f aca="false">IFERROR((((AP206+(0.5*(AP194+AP207)))+AP186)/AP28),0)</f>
        <v>1108.99154314173</v>
      </c>
    </row>
    <row r="252" customFormat="false" ht="15" hidden="false" customHeight="false" outlineLevel="0" collapsed="false">
      <c r="A252" s="0" t="s">
        <v>77</v>
      </c>
      <c r="B252" s="0" t="s">
        <v>230</v>
      </c>
      <c r="AN252" s="14" t="n">
        <f aca="false">IFERROR(((AN42/12)/((AN39*0.5)+(0*0.5))),0)</f>
        <v>0</v>
      </c>
      <c r="AO252" s="14" t="n">
        <f aca="false">IFERROR(((AO42/12)/((AO39*0.5)+(AN39*0.5))),0)</f>
        <v>4.73182709499223</v>
      </c>
      <c r="AP252" s="14" t="n">
        <f aca="false">IFERROR(((AP42/12)/((AP39*0.5)+(AO39*0.5))),0)</f>
        <v>5.70848017354311</v>
      </c>
    </row>
    <row r="253" customFormat="false" ht="15" hidden="false" customHeight="false" outlineLevel="0" collapsed="false">
      <c r="A253" s="0" t="s">
        <v>78</v>
      </c>
      <c r="B253" s="0" t="s">
        <v>193</v>
      </c>
      <c r="AN253" s="12" t="n">
        <f aca="false">IFERROR(((AN42-AN187)/AN42),0)</f>
        <v>0</v>
      </c>
      <c r="AO253" s="12" t="n">
        <f aca="false">IFERROR(((AO42-AO187)/AO42),0)</f>
        <v>0.743756618698441</v>
      </c>
      <c r="AP253" s="12" t="n">
        <f aca="false">IFERROR(((AP42-AP187)/AP42),0)</f>
        <v>0.76646046525421</v>
      </c>
    </row>
    <row r="254" customFormat="false" ht="15" hidden="false" customHeight="false" outlineLevel="0" collapsed="false">
      <c r="A254" s="0" t="s">
        <v>79</v>
      </c>
      <c r="B254" s="0" t="s">
        <v>166</v>
      </c>
      <c r="AN254" s="13" t="n">
        <f aca="false">IFERROR(((((AN206+(0.5*(AN194+AN207)))+AN186)/AN28)/(((AN42/12)/((AN39*0.5)+(0*0.5)))*((AN42-AN187)/AN42))),0)</f>
        <v>0</v>
      </c>
      <c r="AO254" s="13" t="n">
        <f aca="false">IFERROR(((((AO206+(0.5*(AO194+AO207)))+AO186)/AO28)/(((AO42/12)/((AO39*0.5)+(AN39*0.5)))*((AO42-AO187)/AO42))),0)</f>
        <v>485.622262709186</v>
      </c>
      <c r="AP254" s="13" t="n">
        <f aca="false">IFERROR(((((AP206+(0.5*(AP194+AP207)))+AP186)/AP28)/(((AP42/12)/((AP39*0.5)+(AO39*0.5)))*((AP42-AP187)/AP42))),0)</f>
        <v>253.464988977644</v>
      </c>
    </row>
    <row r="255" customFormat="false" ht="15" hidden="false" customHeight="false" outlineLevel="0" collapsed="false">
      <c r="A255" s="0" t="s">
        <v>80</v>
      </c>
      <c r="B255" s="0" t="s">
        <v>230</v>
      </c>
      <c r="AN255" s="9" t="n">
        <f aca="false">IFERROR(((AN215+(0.5*(AN194+AN207)))/AN121),0)</f>
        <v>0</v>
      </c>
      <c r="AO255" s="9" t="n">
        <f aca="false">IFERROR(((AO215+(0.5*(AO194+AO207)))/AO121),0)</f>
        <v>560586.232222222</v>
      </c>
      <c r="AP255" s="9" t="n">
        <f aca="false">IFERROR(((AP215+(0.5*(AP194+AP207)))/AP121),0)</f>
        <v>135637.785337243</v>
      </c>
    </row>
    <row r="256" customFormat="false" ht="15" hidden="false" customHeight="false" outlineLevel="0" collapsed="false">
      <c r="A256" s="0" t="s">
        <v>81</v>
      </c>
      <c r="B256" s="0" t="s">
        <v>230</v>
      </c>
      <c r="AN256" s="9" t="n">
        <f aca="false">IFERROR(((AN215+(0.5*(AN194+AN207)))/AN120),0)</f>
        <v>0</v>
      </c>
      <c r="AO256" s="9" t="n">
        <f aca="false">IFERROR(((AO215+(0.5*(AO194+AO207)))/AO120),0)</f>
        <v>124574.718271605</v>
      </c>
      <c r="AP256" s="9" t="n">
        <f aca="false">IFERROR(((AP215+(0.5*(AP194+AP207)))/AP120),0)</f>
        <v>61669.9797333333</v>
      </c>
    </row>
    <row r="257" customFormat="false" ht="15" hidden="false" customHeight="false" outlineLevel="0" collapsed="false">
      <c r="A257" s="0" t="s">
        <v>82</v>
      </c>
      <c r="B257" s="0" t="s">
        <v>193</v>
      </c>
      <c r="AN257" s="12" t="n">
        <f aca="false">((1-((1-Assumptions!$C$30)*$C$6))*(1+Assumptions!$C$31))</f>
        <v>0.935</v>
      </c>
      <c r="AO257" s="12" t="n">
        <f aca="false">((1-((1-Assumptions!$C$30)*$C$6))*(1+Assumptions!$C$31))</f>
        <v>0.935</v>
      </c>
      <c r="AP257" s="12" t="n">
        <f aca="false">((1-((1-Assumptions!$C$30)*$C$6))*(1+Assumptions!$C$31))</f>
        <v>0.935</v>
      </c>
    </row>
    <row r="258" customFormat="false" ht="15" hidden="false" customHeight="false" outlineLevel="0" collapsed="false">
      <c r="A258" s="0" t="s">
        <v>83</v>
      </c>
      <c r="B258" s="0" t="s">
        <v>193</v>
      </c>
      <c r="AN258" s="12" t="n">
        <f aca="false">(1-((1-Assumptions!$C$30)*$C$6))</f>
        <v>0.85</v>
      </c>
      <c r="AO258" s="12" t="n">
        <f aca="false">(1-((1-Assumptions!$C$30)*$C$6))</f>
        <v>0.85</v>
      </c>
      <c r="AP258" s="12" t="n">
        <f aca="false">(1-((1-Assumptions!$C$30)*$C$6))</f>
        <v>0.85</v>
      </c>
    </row>
    <row r="259" customFormat="false" ht="15" hidden="false" customHeight="false" outlineLevel="0" collapsed="false">
      <c r="A259" s="0" t="s">
        <v>84</v>
      </c>
      <c r="B259" s="0" t="s">
        <v>852</v>
      </c>
      <c r="AN259" s="13" t="n">
        <f aca="false">AN122</f>
        <v>0</v>
      </c>
      <c r="AO259" s="13" t="n">
        <f aca="false">AO122</f>
        <v>1.2</v>
      </c>
      <c r="AP259" s="13" t="n">
        <f aca="false">AP122</f>
        <v>9.204</v>
      </c>
    </row>
    <row r="260" customFormat="false" ht="15" hidden="false" customHeight="false" outlineLevel="0" collapsed="false">
      <c r="A260" s="0" t="s">
        <v>85</v>
      </c>
      <c r="B260" s="0" t="s">
        <v>500</v>
      </c>
      <c r="AN260" s="9" t="n">
        <f aca="false">AN39</f>
        <v>0</v>
      </c>
      <c r="AO260" s="9" t="n">
        <f aca="false">AO39</f>
        <v>130.459365489341</v>
      </c>
      <c r="AP260" s="9" t="n">
        <f aca="false">AP39</f>
        <v>354.293778323747</v>
      </c>
    </row>
    <row r="261" customFormat="false" ht="15" hidden="false" customHeight="false" outlineLevel="0" collapsed="false">
      <c r="A261" s="0" t="s">
        <v>86</v>
      </c>
      <c r="B261" s="0" t="s">
        <v>500</v>
      </c>
      <c r="AN261" s="9" t="n">
        <f aca="false">AN157</f>
        <v>1958.72944483276</v>
      </c>
      <c r="AO261" s="9" t="n">
        <f aca="false">AO157</f>
        <v>14019.4573523575</v>
      </c>
      <c r="AP261" s="9" t="n">
        <f aca="false">AP157</f>
        <v>34466.576678361</v>
      </c>
    </row>
    <row r="262" customFormat="false" ht="15" hidden="false" customHeight="false" outlineLevel="0" collapsed="false">
      <c r="A262" s="0" t="s">
        <v>87</v>
      </c>
      <c r="B262" s="0" t="s">
        <v>230</v>
      </c>
      <c r="AN262" s="14" t="n">
        <f aca="false">IFERROR(((AN167/12)/((AN157*0.5)+(0*0.5))),0)</f>
        <v>2.26985033080258</v>
      </c>
      <c r="AO262" s="14" t="n">
        <f aca="false">IFERROR(((AO167/12)/((AO157*0.5)+(AN157*0.5))),0)</f>
        <v>0.580507276017823</v>
      </c>
      <c r="AP262" s="14" t="n">
        <f aca="false">IFERROR(((AP167/12)/((AP157*0.5)+(AO157*0.5))),0)</f>
        <v>0.418824481401188</v>
      </c>
    </row>
    <row r="263" customFormat="false" ht="15" hidden="false" customHeight="false" outlineLevel="0" collapsed="false">
      <c r="A263" s="0" t="s">
        <v>88</v>
      </c>
      <c r="B263" s="0" t="s">
        <v>193</v>
      </c>
      <c r="AN263" s="12" t="n">
        <f aca="false">IFERROR((AN167/AN146),0)</f>
        <v>0</v>
      </c>
      <c r="AO263" s="12" t="n">
        <f aca="false">IFERROR((AO167/AO146),0)</f>
        <v>0.244973363494689</v>
      </c>
      <c r="AP263" s="12" t="n">
        <f aca="false">IFERROR((AP167/AP146),0)</f>
        <v>0.11501074601363</v>
      </c>
    </row>
    <row r="264" customFormat="false" ht="15" hidden="false" customHeight="false" outlineLevel="0" collapsed="false">
      <c r="A264" s="0" t="s">
        <v>89</v>
      </c>
      <c r="B264" s="0" t="s">
        <v>618</v>
      </c>
      <c r="AN264" s="13" t="n">
        <f aca="false">AN196</f>
        <v>18.4</v>
      </c>
      <c r="AO264" s="13" t="n">
        <f aca="false">AO196</f>
        <v>31.4</v>
      </c>
      <c r="AP264" s="13" t="n">
        <f aca="false">AP196</f>
        <v>40.4</v>
      </c>
    </row>
    <row r="265" customFormat="false" ht="15" hidden="false" customHeight="false" outlineLevel="0" collapsed="false">
      <c r="A265" s="0" t="s">
        <v>90</v>
      </c>
      <c r="B265" s="0" t="s">
        <v>230</v>
      </c>
      <c r="AN265" s="9" t="n">
        <f aca="false">IFERROR((AN148/AN196),0)</f>
        <v>0</v>
      </c>
      <c r="AO265" s="9" t="n">
        <f aca="false">IFERROR((AO148/AO196),0)</f>
        <v>2039.81936787057</v>
      </c>
      <c r="AP265" s="9" t="n">
        <f aca="false">IFERROR((AP148/AP196),0)</f>
        <v>13160.0095604107</v>
      </c>
    </row>
    <row r="266" customFormat="false" ht="15" hidden="false" customHeight="false" outlineLevel="0" collapsed="false">
      <c r="A266" s="0" t="s">
        <v>91</v>
      </c>
      <c r="B266" s="0" t="s">
        <v>193</v>
      </c>
      <c r="AN266" s="12" t="n">
        <f aca="false">IFERROR((AN40/AN188),0)</f>
        <v>0</v>
      </c>
      <c r="AO266" s="12" t="n">
        <f aca="false">IFERROR((AO40/AO188),0)</f>
        <v>0.0318844270121115</v>
      </c>
      <c r="AP266" s="12" t="n">
        <f aca="false">IFERROR((AP40/AP188),0)</f>
        <v>0.0437611050629785</v>
      </c>
    </row>
    <row r="267" customFormat="false" ht="15" hidden="false" customHeight="false" outlineLevel="0" collapsed="false">
      <c r="A267" s="0" t="s">
        <v>92</v>
      </c>
      <c r="B267" s="0" t="s">
        <v>230</v>
      </c>
      <c r="AN267" s="13" t="n">
        <f aca="false">IFERROR(((((AN42/12)/((AN39*0.5)+(0*0.5)))*((AN42-AN187)/AN42))/(AN40/AN188)),0)</f>
        <v>0</v>
      </c>
      <c r="AO267" s="13" t="n">
        <f aca="false">IFERROR(((((AO42/12)/((AO39*0.5)+(AN39*0.5)))*((AO42-AO187)/AO42))/(AO40/AO188)),0)</f>
        <v>110.377637305517</v>
      </c>
      <c r="AP267" s="13" t="n">
        <f aca="false">IFERROR(((((AP42/12)/((AP39*0.5)+(AO39*0.5)))*((AP42-AP187)/AP42))/(AP40/AP188)),0)</f>
        <v>99.9820357235396</v>
      </c>
    </row>
    <row r="268" customFormat="false" ht="15" hidden="false" customHeight="false" outlineLevel="0" collapsed="false">
      <c r="A268" s="0" t="s">
        <v>93</v>
      </c>
      <c r="B268" s="0" t="s">
        <v>160</v>
      </c>
      <c r="AN268" s="14" t="n">
        <f aca="false">IFERROR((((((AN42/12)/((AN39*0.5)+(0*0.5)))*((AN42-AN187)/AN42))/(AN40/AN188))/(((AN206+(0.5*(AN194+AN207)))+AN186)/AN28)),0)</f>
        <v>0</v>
      </c>
      <c r="AO268" s="14" t="n">
        <f aca="false">IFERROR((((((AO42/12)/((AO39*0.5)+(AN39*0.5)))*((AO42-AO187)/AO42))/(AO40/AO188))/(((AO206+(0.5*(AO194+AO207)))+AO186)/AO28)),0)</f>
        <v>0.0645836811009786</v>
      </c>
      <c r="AP268" s="14" t="n">
        <f aca="false">IFERROR((((((AP42/12)/((AP39*0.5)+(AO39*0.5)))*((AP42-AP187)/AP42))/(AP40/AP188))/(((AP206+(0.5*(AP194+AP207)))+AP186)/AP28)),0)</f>
        <v>0.0901558143899769</v>
      </c>
    </row>
    <row r="269" customFormat="false" ht="15" hidden="false" customHeight="false" outlineLevel="0" collapsed="false">
      <c r="A269" s="0" t="s">
        <v>94</v>
      </c>
      <c r="B269" s="0" t="s">
        <v>230</v>
      </c>
      <c r="AN269" s="9" t="n">
        <f aca="false">AN186</f>
        <v>2088.86472310218</v>
      </c>
      <c r="AO269" s="9" t="n">
        <f aca="false">AO186</f>
        <v>23875.0663801175</v>
      </c>
      <c r="AP269" s="9" t="n">
        <f aca="false">AP186</f>
        <v>51451.833980283</v>
      </c>
    </row>
    <row r="270" customFormat="false" ht="15" hidden="false" customHeight="false" outlineLevel="0" collapsed="false">
      <c r="A270" s="0" t="s">
        <v>95</v>
      </c>
      <c r="B270" s="0" t="s">
        <v>193</v>
      </c>
      <c r="AN270" s="12" t="n">
        <f aca="false">IFERROR((AN186/AN42),0)</f>
        <v>0</v>
      </c>
      <c r="AO270" s="12" t="n">
        <f aca="false">IFERROR((AO186/AO42),0)</f>
        <v>6.44598378445876</v>
      </c>
      <c r="AP270" s="12" t="n">
        <f aca="false">IFERROR((AP186/AP42),0)</f>
        <v>3.09890653542453</v>
      </c>
    </row>
    <row r="271" customFormat="false" ht="15" hidden="false" customHeight="false" outlineLevel="0" collapsed="false">
      <c r="A271" s="0" t="s">
        <v>96</v>
      </c>
      <c r="B271" s="0" t="s">
        <v>193</v>
      </c>
      <c r="AN271" s="12" t="n">
        <f aca="false">IFERROR((AN39/(AN39+AN29)),0)</f>
        <v>0</v>
      </c>
      <c r="AO271" s="12" t="n">
        <f aca="false">IFERROR((AO39/(AO39+AO29)),0)</f>
        <v>0.0120422651094806</v>
      </c>
      <c r="AP271" s="12" t="n">
        <f aca="false">IFERROR((AP39/(AP39+AP29)),0)</f>
        <v>0.0194289256851035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3" topLeftCell="C24" activePane="bottomRight" state="frozen"/>
      <selection pane="topLeft" activeCell="A1" activeCellId="0" sqref="A1"/>
      <selection pane="topRight" activeCell="C1" activeCellId="0" sqref="C1"/>
      <selection pane="bottomLeft" activeCell="A24" activeCellId="0" sqref="A2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9"/>
    <col collapsed="false" customWidth="true" hidden="false" outlineLevel="0" max="38" min="3" style="0" width="11"/>
    <col collapsed="false" customWidth="true" hidden="false" outlineLevel="0" max="39" min="39" style="0" width="3"/>
    <col collapsed="false" customWidth="true" hidden="false" outlineLevel="0" max="42" min="40" style="0" width="14"/>
  </cols>
  <sheetData>
    <row r="1" customFormat="false" ht="16.15" hidden="false" customHeight="false" outlineLevel="0" collapsed="false">
      <c r="A1" s="18" t="s">
        <v>1021</v>
      </c>
    </row>
    <row r="2" customFormat="false" ht="15" hidden="false" customHeight="false" outlineLevel="0" collapsed="false">
      <c r="A2" s="0" t="s">
        <v>781</v>
      </c>
    </row>
    <row r="3" customFormat="false" ht="15" hidden="false" customHeight="false" outlineLevel="0" collapsed="false">
      <c r="A3" s="15" t="s">
        <v>782</v>
      </c>
    </row>
    <row r="4" customFormat="false" ht="15" hidden="false" customHeight="false" outlineLevel="0" collapsed="false">
      <c r="A4" s="0" t="s">
        <v>159</v>
      </c>
      <c r="B4" s="0" t="s">
        <v>160</v>
      </c>
      <c r="C4" s="0" t="n">
        <f aca="false">Scenarios!D4</f>
        <v>1</v>
      </c>
    </row>
    <row r="5" customFormat="false" ht="15" hidden="false" customHeight="false" outlineLevel="0" collapsed="false">
      <c r="A5" s="0" t="s">
        <v>161</v>
      </c>
      <c r="B5" s="0" t="s">
        <v>160</v>
      </c>
      <c r="C5" s="0" t="n">
        <f aca="false">Scenarios!D5</f>
        <v>1</v>
      </c>
    </row>
    <row r="6" customFormat="false" ht="15" hidden="false" customHeight="false" outlineLevel="0" collapsed="false">
      <c r="A6" s="0" t="s">
        <v>162</v>
      </c>
      <c r="B6" s="0" t="s">
        <v>160</v>
      </c>
      <c r="C6" s="0" t="n">
        <f aca="false">Scenarios!D6</f>
        <v>1</v>
      </c>
    </row>
    <row r="7" customFormat="false" ht="15" hidden="false" customHeight="false" outlineLevel="0" collapsed="false">
      <c r="A7" s="0" t="s">
        <v>163</v>
      </c>
      <c r="B7" s="0" t="s">
        <v>160</v>
      </c>
      <c r="C7" s="0" t="n">
        <f aca="false">Scenarios!D7</f>
        <v>1</v>
      </c>
    </row>
    <row r="8" customFormat="false" ht="15" hidden="false" customHeight="false" outlineLevel="0" collapsed="false">
      <c r="A8" s="0" t="s">
        <v>164</v>
      </c>
      <c r="B8" s="0" t="s">
        <v>160</v>
      </c>
      <c r="C8" s="0" t="n">
        <f aca="false">Scenarios!D8</f>
        <v>1</v>
      </c>
    </row>
    <row r="9" customFormat="false" ht="15" hidden="false" customHeight="false" outlineLevel="0" collapsed="false">
      <c r="A9" s="0" t="s">
        <v>165</v>
      </c>
      <c r="B9" s="0" t="s">
        <v>166</v>
      </c>
      <c r="C9" s="0" t="n">
        <f aca="false">Scenarios!D9</f>
        <v>0</v>
      </c>
    </row>
    <row r="10" customFormat="false" ht="15" hidden="false" customHeight="false" outlineLevel="0" collapsed="false">
      <c r="A10" s="0" t="s">
        <v>168</v>
      </c>
      <c r="B10" s="0" t="s">
        <v>160</v>
      </c>
      <c r="C10" s="0" t="n">
        <f aca="false">Scenarios!D10</f>
        <v>1</v>
      </c>
    </row>
    <row r="11" customFormat="false" ht="15" hidden="false" customHeight="false" outlineLevel="0" collapsed="false">
      <c r="A11" s="0" t="s">
        <v>169</v>
      </c>
      <c r="B11" s="0" t="s">
        <v>160</v>
      </c>
      <c r="C11" s="0" t="n">
        <f aca="false">Scenarios!D11</f>
        <v>1</v>
      </c>
    </row>
    <row r="12" customFormat="false" ht="15" hidden="false" customHeight="false" outlineLevel="0" collapsed="false">
      <c r="A12" s="0" t="s">
        <v>170</v>
      </c>
      <c r="B12" s="0" t="s">
        <v>160</v>
      </c>
      <c r="C12" s="0" t="n">
        <f aca="false">Scenarios!D12</f>
        <v>1</v>
      </c>
    </row>
    <row r="13" customFormat="false" ht="15" hidden="false" customHeight="false" outlineLevel="0" collapsed="false">
      <c r="A13" s="0" t="s">
        <v>171</v>
      </c>
      <c r="B13" s="0" t="s">
        <v>160</v>
      </c>
      <c r="C13" s="0" t="n">
        <f aca="false">Scenarios!D13</f>
        <v>1</v>
      </c>
    </row>
    <row r="14" customFormat="false" ht="15" hidden="false" customHeight="false" outlineLevel="0" collapsed="false">
      <c r="A14" s="0" t="s">
        <v>172</v>
      </c>
      <c r="B14" s="0" t="s">
        <v>173</v>
      </c>
      <c r="C14" s="0" t="n">
        <f aca="false">Scenarios!D14</f>
        <v>0</v>
      </c>
    </row>
    <row r="15" customFormat="false" ht="15" hidden="false" customHeight="false" outlineLevel="0" collapsed="false">
      <c r="A15" s="0" t="s">
        <v>174</v>
      </c>
      <c r="B15" s="0" t="s">
        <v>166</v>
      </c>
      <c r="C15" s="0" t="n">
        <f aca="false">Scenarios!D15</f>
        <v>0</v>
      </c>
    </row>
    <row r="16" customFormat="false" ht="15" hidden="false" customHeight="false" outlineLevel="0" collapsed="false">
      <c r="A16" s="0" t="s">
        <v>176</v>
      </c>
      <c r="B16" s="0" t="s">
        <v>173</v>
      </c>
      <c r="C16" s="0" t="n">
        <f aca="false">Scenarios!D16</f>
        <v>0</v>
      </c>
    </row>
    <row r="18" customFormat="false" ht="15" hidden="false" customHeight="false" outlineLevel="0" collapsed="false">
      <c r="A18" s="8" t="s">
        <v>98</v>
      </c>
      <c r="B18" s="8"/>
      <c r="C18" s="8" t="n">
        <v>1</v>
      </c>
      <c r="D18" s="8" t="n">
        <v>2</v>
      </c>
      <c r="E18" s="8" t="n">
        <v>3</v>
      </c>
      <c r="F18" s="8" t="n">
        <v>4</v>
      </c>
      <c r="G18" s="8" t="n">
        <v>5</v>
      </c>
      <c r="H18" s="8" t="n">
        <v>6</v>
      </c>
      <c r="I18" s="8" t="n">
        <v>7</v>
      </c>
      <c r="J18" s="8" t="n">
        <v>8</v>
      </c>
      <c r="K18" s="8" t="n">
        <v>9</v>
      </c>
      <c r="L18" s="8" t="n">
        <v>10</v>
      </c>
      <c r="M18" s="8" t="n">
        <v>11</v>
      </c>
      <c r="N18" s="8" t="n">
        <v>12</v>
      </c>
      <c r="O18" s="8" t="n">
        <v>13</v>
      </c>
      <c r="P18" s="8" t="n">
        <v>14</v>
      </c>
      <c r="Q18" s="8" t="n">
        <v>15</v>
      </c>
      <c r="R18" s="8" t="n">
        <v>16</v>
      </c>
      <c r="S18" s="8" t="n">
        <v>17</v>
      </c>
      <c r="T18" s="8" t="n">
        <v>18</v>
      </c>
      <c r="U18" s="8" t="n">
        <v>19</v>
      </c>
      <c r="V18" s="8" t="n">
        <v>20</v>
      </c>
      <c r="W18" s="8" t="n">
        <v>21</v>
      </c>
      <c r="X18" s="8" t="n">
        <v>22</v>
      </c>
      <c r="Y18" s="8" t="n">
        <v>23</v>
      </c>
      <c r="Z18" s="8" t="n">
        <v>24</v>
      </c>
      <c r="AA18" s="8" t="n">
        <v>25</v>
      </c>
      <c r="AB18" s="8" t="n">
        <v>26</v>
      </c>
      <c r="AC18" s="8" t="n">
        <v>27</v>
      </c>
      <c r="AD18" s="8" t="n">
        <v>28</v>
      </c>
      <c r="AE18" s="8" t="n">
        <v>29</v>
      </c>
      <c r="AF18" s="8" t="n">
        <v>30</v>
      </c>
      <c r="AG18" s="8" t="n">
        <v>31</v>
      </c>
      <c r="AH18" s="8" t="n">
        <v>32</v>
      </c>
      <c r="AI18" s="8" t="n">
        <v>33</v>
      </c>
      <c r="AJ18" s="8" t="n">
        <v>34</v>
      </c>
      <c r="AK18" s="8" t="n">
        <v>35</v>
      </c>
      <c r="AL18" s="8" t="n">
        <v>36</v>
      </c>
      <c r="AM18" s="8"/>
      <c r="AN18" s="8" t="s">
        <v>783</v>
      </c>
      <c r="AO18" s="8" t="s">
        <v>784</v>
      </c>
      <c r="AP18" s="8" t="s">
        <v>785</v>
      </c>
    </row>
    <row r="19" customFormat="false" ht="15" hidden="false" customHeight="false" outlineLevel="0" collapsed="false">
      <c r="A19" s="0" t="s">
        <v>786</v>
      </c>
      <c r="C19" s="0" t="s">
        <v>787</v>
      </c>
      <c r="D19" s="0" t="s">
        <v>788</v>
      </c>
      <c r="E19" s="0" t="s">
        <v>789</v>
      </c>
      <c r="F19" s="0" t="s">
        <v>790</v>
      </c>
      <c r="G19" s="0" t="s">
        <v>791</v>
      </c>
      <c r="H19" s="0" t="s">
        <v>792</v>
      </c>
      <c r="I19" s="0" t="s">
        <v>793</v>
      </c>
      <c r="J19" s="0" t="s">
        <v>794</v>
      </c>
      <c r="K19" s="0" t="s">
        <v>795</v>
      </c>
      <c r="L19" s="0" t="s">
        <v>796</v>
      </c>
      <c r="M19" s="0" t="s">
        <v>797</v>
      </c>
      <c r="N19" s="0" t="s">
        <v>798</v>
      </c>
      <c r="O19" s="0" t="s">
        <v>799</v>
      </c>
      <c r="P19" s="0" t="s">
        <v>800</v>
      </c>
      <c r="Q19" s="0" t="s">
        <v>801</v>
      </c>
      <c r="R19" s="0" t="s">
        <v>802</v>
      </c>
      <c r="S19" s="0" t="s">
        <v>803</v>
      </c>
      <c r="T19" s="0" t="s">
        <v>804</v>
      </c>
      <c r="U19" s="0" t="s">
        <v>805</v>
      </c>
      <c r="V19" s="0" t="s">
        <v>806</v>
      </c>
      <c r="W19" s="0" t="s">
        <v>807</v>
      </c>
      <c r="X19" s="0" t="s">
        <v>808</v>
      </c>
      <c r="Y19" s="0" t="s">
        <v>809</v>
      </c>
      <c r="Z19" s="0" t="s">
        <v>810</v>
      </c>
      <c r="AA19" s="0" t="s">
        <v>811</v>
      </c>
      <c r="AB19" s="0" t="s">
        <v>812</v>
      </c>
      <c r="AC19" s="0" t="s">
        <v>813</v>
      </c>
      <c r="AD19" s="0" t="s">
        <v>814</v>
      </c>
      <c r="AE19" s="0" t="s">
        <v>815</v>
      </c>
      <c r="AF19" s="0" t="s">
        <v>816</v>
      </c>
      <c r="AG19" s="0" t="s">
        <v>817</v>
      </c>
      <c r="AH19" s="0" t="s">
        <v>818</v>
      </c>
      <c r="AI19" s="0" t="s">
        <v>819</v>
      </c>
      <c r="AJ19" s="0" t="s">
        <v>820</v>
      </c>
      <c r="AK19" s="0" t="s">
        <v>821</v>
      </c>
      <c r="AL19" s="0" t="s">
        <v>822</v>
      </c>
      <c r="AN19" s="0" t="s">
        <v>823</v>
      </c>
      <c r="AO19" s="0" t="s">
        <v>824</v>
      </c>
      <c r="AP19" s="0" t="s">
        <v>825</v>
      </c>
    </row>
    <row r="20" customFormat="false" ht="15" hidden="false" customHeight="false" outlineLevel="0" collapsed="false">
      <c r="A20" s="0" t="s">
        <v>826</v>
      </c>
      <c r="C20" s="0" t="n">
        <f aca="false">INT((C18-1)/12)+1</f>
        <v>1</v>
      </c>
      <c r="D20" s="0" t="n">
        <f aca="false">INT((D18-1)/12)+1</f>
        <v>1</v>
      </c>
      <c r="E20" s="0" t="n">
        <f aca="false">INT((E18-1)/12)+1</f>
        <v>1</v>
      </c>
      <c r="F20" s="0" t="n">
        <f aca="false">INT((F18-1)/12)+1</f>
        <v>1</v>
      </c>
      <c r="G20" s="0" t="n">
        <f aca="false">INT((G18-1)/12)+1</f>
        <v>1</v>
      </c>
      <c r="H20" s="0" t="n">
        <f aca="false">INT((H18-1)/12)+1</f>
        <v>1</v>
      </c>
      <c r="I20" s="0" t="n">
        <f aca="false">INT((I18-1)/12)+1</f>
        <v>1</v>
      </c>
      <c r="J20" s="0" t="n">
        <f aca="false">INT((J18-1)/12)+1</f>
        <v>1</v>
      </c>
      <c r="K20" s="0" t="n">
        <f aca="false">INT((K18-1)/12)+1</f>
        <v>1</v>
      </c>
      <c r="L20" s="0" t="n">
        <f aca="false">INT((L18-1)/12)+1</f>
        <v>1</v>
      </c>
      <c r="M20" s="0" t="n">
        <f aca="false">INT((M18-1)/12)+1</f>
        <v>1</v>
      </c>
      <c r="N20" s="0" t="n">
        <f aca="false">INT((N18-1)/12)+1</f>
        <v>1</v>
      </c>
      <c r="O20" s="0" t="n">
        <f aca="false">INT((O18-1)/12)+1</f>
        <v>2</v>
      </c>
      <c r="P20" s="0" t="n">
        <f aca="false">INT((P18-1)/12)+1</f>
        <v>2</v>
      </c>
      <c r="Q20" s="0" t="n">
        <f aca="false">INT((Q18-1)/12)+1</f>
        <v>2</v>
      </c>
      <c r="R20" s="0" t="n">
        <f aca="false">INT((R18-1)/12)+1</f>
        <v>2</v>
      </c>
      <c r="S20" s="0" t="n">
        <f aca="false">INT((S18-1)/12)+1</f>
        <v>2</v>
      </c>
      <c r="T20" s="0" t="n">
        <f aca="false">INT((T18-1)/12)+1</f>
        <v>2</v>
      </c>
      <c r="U20" s="0" t="n">
        <f aca="false">INT((U18-1)/12)+1</f>
        <v>2</v>
      </c>
      <c r="V20" s="0" t="n">
        <f aca="false">INT((V18-1)/12)+1</f>
        <v>2</v>
      </c>
      <c r="W20" s="0" t="n">
        <f aca="false">INT((W18-1)/12)+1</f>
        <v>2</v>
      </c>
      <c r="X20" s="0" t="n">
        <f aca="false">INT((X18-1)/12)+1</f>
        <v>2</v>
      </c>
      <c r="Y20" s="0" t="n">
        <f aca="false">INT((Y18-1)/12)+1</f>
        <v>2</v>
      </c>
      <c r="Z20" s="0" t="n">
        <f aca="false">INT((Z18-1)/12)+1</f>
        <v>2</v>
      </c>
      <c r="AA20" s="0" t="n">
        <f aca="false">INT((AA18-1)/12)+1</f>
        <v>3</v>
      </c>
      <c r="AB20" s="0" t="n">
        <f aca="false">INT((AB18-1)/12)+1</f>
        <v>3</v>
      </c>
      <c r="AC20" s="0" t="n">
        <f aca="false">INT((AC18-1)/12)+1</f>
        <v>3</v>
      </c>
      <c r="AD20" s="0" t="n">
        <f aca="false">INT((AD18-1)/12)+1</f>
        <v>3</v>
      </c>
      <c r="AE20" s="0" t="n">
        <f aca="false">INT((AE18-1)/12)+1</f>
        <v>3</v>
      </c>
      <c r="AF20" s="0" t="n">
        <f aca="false">INT((AF18-1)/12)+1</f>
        <v>3</v>
      </c>
      <c r="AG20" s="0" t="n">
        <f aca="false">INT((AG18-1)/12)+1</f>
        <v>3</v>
      </c>
      <c r="AH20" s="0" t="n">
        <f aca="false">INT((AH18-1)/12)+1</f>
        <v>3</v>
      </c>
      <c r="AI20" s="0" t="n">
        <f aca="false">INT((AI18-1)/12)+1</f>
        <v>3</v>
      </c>
      <c r="AJ20" s="0" t="n">
        <f aca="false">INT((AJ18-1)/12)+1</f>
        <v>3</v>
      </c>
      <c r="AK20" s="0" t="n">
        <f aca="false">INT((AK18-1)/12)+1</f>
        <v>3</v>
      </c>
      <c r="AL20" s="0" t="n">
        <f aca="false">INT((AL18-1)/12)+1</f>
        <v>3</v>
      </c>
    </row>
    <row r="21" customFormat="false" ht="15" hidden="false" customHeight="false" outlineLevel="0" collapsed="false">
      <c r="A21" s="0" t="s">
        <v>827</v>
      </c>
      <c r="C21" s="0" t="n">
        <f aca="false">MOD(C18-1,12)+1</f>
        <v>1</v>
      </c>
      <c r="D21" s="0" t="n">
        <f aca="false">MOD(D18-1,12)+1</f>
        <v>2</v>
      </c>
      <c r="E21" s="0" t="n">
        <f aca="false">MOD(E18-1,12)+1</f>
        <v>3</v>
      </c>
      <c r="F21" s="0" t="n">
        <f aca="false">MOD(F18-1,12)+1</f>
        <v>4</v>
      </c>
      <c r="G21" s="0" t="n">
        <f aca="false">MOD(G18-1,12)+1</f>
        <v>5</v>
      </c>
      <c r="H21" s="0" t="n">
        <f aca="false">MOD(H18-1,12)+1</f>
        <v>6</v>
      </c>
      <c r="I21" s="0" t="n">
        <f aca="false">MOD(I18-1,12)+1</f>
        <v>7</v>
      </c>
      <c r="J21" s="0" t="n">
        <f aca="false">MOD(J18-1,12)+1</f>
        <v>8</v>
      </c>
      <c r="K21" s="0" t="n">
        <f aca="false">MOD(K18-1,12)+1</f>
        <v>9</v>
      </c>
      <c r="L21" s="0" t="n">
        <f aca="false">MOD(L18-1,12)+1</f>
        <v>10</v>
      </c>
      <c r="M21" s="0" t="n">
        <f aca="false">MOD(M18-1,12)+1</f>
        <v>11</v>
      </c>
      <c r="N21" s="0" t="n">
        <f aca="false">MOD(N18-1,12)+1</f>
        <v>12</v>
      </c>
      <c r="O21" s="0" t="n">
        <f aca="false">MOD(O18-1,12)+1</f>
        <v>1</v>
      </c>
      <c r="P21" s="0" t="n">
        <f aca="false">MOD(P18-1,12)+1</f>
        <v>2</v>
      </c>
      <c r="Q21" s="0" t="n">
        <f aca="false">MOD(Q18-1,12)+1</f>
        <v>3</v>
      </c>
      <c r="R21" s="0" t="n">
        <f aca="false">MOD(R18-1,12)+1</f>
        <v>4</v>
      </c>
      <c r="S21" s="0" t="n">
        <f aca="false">MOD(S18-1,12)+1</f>
        <v>5</v>
      </c>
      <c r="T21" s="0" t="n">
        <f aca="false">MOD(T18-1,12)+1</f>
        <v>6</v>
      </c>
      <c r="U21" s="0" t="n">
        <f aca="false">MOD(U18-1,12)+1</f>
        <v>7</v>
      </c>
      <c r="V21" s="0" t="n">
        <f aca="false">MOD(V18-1,12)+1</f>
        <v>8</v>
      </c>
      <c r="W21" s="0" t="n">
        <f aca="false">MOD(W18-1,12)+1</f>
        <v>9</v>
      </c>
      <c r="X21" s="0" t="n">
        <f aca="false">MOD(X18-1,12)+1</f>
        <v>10</v>
      </c>
      <c r="Y21" s="0" t="n">
        <f aca="false">MOD(Y18-1,12)+1</f>
        <v>11</v>
      </c>
      <c r="Z21" s="0" t="n">
        <f aca="false">MOD(Z18-1,12)+1</f>
        <v>12</v>
      </c>
      <c r="AA21" s="0" t="n">
        <f aca="false">MOD(AA18-1,12)+1</f>
        <v>1</v>
      </c>
      <c r="AB21" s="0" t="n">
        <f aca="false">MOD(AB18-1,12)+1</f>
        <v>2</v>
      </c>
      <c r="AC21" s="0" t="n">
        <f aca="false">MOD(AC18-1,12)+1</f>
        <v>3</v>
      </c>
      <c r="AD21" s="0" t="n">
        <f aca="false">MOD(AD18-1,12)+1</f>
        <v>4</v>
      </c>
      <c r="AE21" s="0" t="n">
        <f aca="false">MOD(AE18-1,12)+1</f>
        <v>5</v>
      </c>
      <c r="AF21" s="0" t="n">
        <f aca="false">MOD(AF18-1,12)+1</f>
        <v>6</v>
      </c>
      <c r="AG21" s="0" t="n">
        <f aca="false">MOD(AG18-1,12)+1</f>
        <v>7</v>
      </c>
      <c r="AH21" s="0" t="n">
        <f aca="false">MOD(AH18-1,12)+1</f>
        <v>8</v>
      </c>
      <c r="AI21" s="0" t="n">
        <f aca="false">MOD(AI18-1,12)+1</f>
        <v>9</v>
      </c>
      <c r="AJ21" s="0" t="n">
        <f aca="false">MOD(AJ18-1,12)+1</f>
        <v>10</v>
      </c>
      <c r="AK21" s="0" t="n">
        <f aca="false">MOD(AK18-1,12)+1</f>
        <v>11</v>
      </c>
      <c r="AL21" s="0" t="n">
        <f aca="false">MOD(AL18-1,12)+1</f>
        <v>12</v>
      </c>
    </row>
    <row r="23" customFormat="false" ht="15" hidden="false" customHeight="false" outlineLevel="0" collapsed="false">
      <c r="A23" s="21" t="s">
        <v>828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</row>
    <row r="24" customFormat="false" ht="15" hidden="false" customHeight="false" outlineLevel="0" collapsed="false">
      <c r="A24" s="0" t="s">
        <v>829</v>
      </c>
      <c r="B24" s="0" t="s">
        <v>500</v>
      </c>
      <c r="C24" s="9" t="n">
        <f aca="false">IF((C$18=1),Assumptions!$C$16,(0*(1+Assumptions!$C$133)))</f>
        <v>1200</v>
      </c>
      <c r="D24" s="9" t="n">
        <f aca="false">IF((D$18=1),Assumptions!$C$16,(C24*(1+Assumptions!$C$133)))</f>
        <v>1272</v>
      </c>
      <c r="E24" s="9" t="n">
        <f aca="false">IF((E$18=1),Assumptions!$C$16,(D24*(1+Assumptions!$C$133)))</f>
        <v>1348.32</v>
      </c>
      <c r="F24" s="9" t="n">
        <f aca="false">IF((F$18=1),Assumptions!$C$16,(E24*(1+Assumptions!$C$133)))</f>
        <v>1429.2192</v>
      </c>
      <c r="G24" s="9" t="n">
        <f aca="false">IF((G$18=1),Assumptions!$C$16,(F24*(1+Assumptions!$C$133)))</f>
        <v>1514.972352</v>
      </c>
      <c r="H24" s="9" t="n">
        <f aca="false">IF((H$18=1),Assumptions!$C$16,(G24*(1+Assumptions!$C$133)))</f>
        <v>1605.87069312</v>
      </c>
      <c r="I24" s="9" t="n">
        <f aca="false">IF((I$18=1),Assumptions!$C$16,(H24*(1+Assumptions!$C$133)))</f>
        <v>1702.2229347072</v>
      </c>
      <c r="J24" s="9" t="n">
        <f aca="false">IF((J$18=1),Assumptions!$C$16,(I24*(1+Assumptions!$C$133)))</f>
        <v>1804.35631078963</v>
      </c>
      <c r="K24" s="9" t="n">
        <f aca="false">IF((K$18=1),Assumptions!$C$16,(J24*(1+Assumptions!$C$133)))</f>
        <v>1912.61768943701</v>
      </c>
      <c r="L24" s="9" t="n">
        <f aca="false">IF((L$18=1),Assumptions!$C$16,(K24*(1+Assumptions!$C$133)))</f>
        <v>2027.37475080323</v>
      </c>
      <c r="M24" s="9" t="n">
        <f aca="false">IF((M$18=1),Assumptions!$C$16,(L24*(1+Assumptions!$C$133)))</f>
        <v>2149.01723585143</v>
      </c>
      <c r="N24" s="9" t="n">
        <f aca="false">IF((N$18=1),Assumptions!$C$16,(M24*(1+Assumptions!$C$133)))</f>
        <v>2277.95827000251</v>
      </c>
      <c r="O24" s="9" t="n">
        <f aca="false">IF((O$18=1),Assumptions!$C$16,(N24*(1+Assumptions!$D$133)))</f>
        <v>2369.07660080261</v>
      </c>
      <c r="P24" s="9" t="n">
        <f aca="false">IF((P$18=1),Assumptions!$C$16,(O24*(1+Assumptions!$D$133)))</f>
        <v>2463.83966483472</v>
      </c>
      <c r="Q24" s="9" t="n">
        <f aca="false">IF((Q$18=1),Assumptions!$C$16,(P24*(1+Assumptions!$D$133)))</f>
        <v>2562.39325142811</v>
      </c>
      <c r="R24" s="9" t="n">
        <f aca="false">IF((R$18=1),Assumptions!$C$16,(Q24*(1+Assumptions!$D$133)))</f>
        <v>2664.88898148523</v>
      </c>
      <c r="S24" s="9" t="n">
        <f aca="false">IF((S$18=1),Assumptions!$C$16,(R24*(1+Assumptions!$D$133)))</f>
        <v>2771.48454074464</v>
      </c>
      <c r="T24" s="9" t="n">
        <f aca="false">IF((T$18=1),Assumptions!$C$16,(S24*(1+Assumptions!$D$133)))</f>
        <v>2882.34392237442</v>
      </c>
      <c r="U24" s="9" t="n">
        <f aca="false">IF((U$18=1),Assumptions!$C$16,(T24*(1+Assumptions!$D$133)))</f>
        <v>2997.6376792694</v>
      </c>
      <c r="V24" s="9" t="n">
        <f aca="false">IF((V$18=1),Assumptions!$C$16,(U24*(1+Assumptions!$D$133)))</f>
        <v>3117.54318644018</v>
      </c>
      <c r="W24" s="9" t="n">
        <f aca="false">IF((W$18=1),Assumptions!$C$16,(V24*(1+Assumptions!$D$133)))</f>
        <v>3242.24491389778</v>
      </c>
      <c r="X24" s="9" t="n">
        <f aca="false">IF((X$18=1),Assumptions!$C$16,(W24*(1+Assumptions!$D$133)))</f>
        <v>3371.9347104537</v>
      </c>
      <c r="Y24" s="9" t="n">
        <f aca="false">IF((Y$18=1),Assumptions!$C$16,(X24*(1+Assumptions!$D$133)))</f>
        <v>3506.81209887184</v>
      </c>
      <c r="Z24" s="9" t="n">
        <f aca="false">IF((Z$18=1),Assumptions!$C$16,(Y24*(1+Assumptions!$D$133)))</f>
        <v>3647.08458282672</v>
      </c>
      <c r="AA24" s="9" t="n">
        <f aca="false">IF((AA$18=1),Assumptions!$C$16,(Z24*(1+Assumptions!$E$133)))</f>
        <v>3738.26169739739</v>
      </c>
      <c r="AB24" s="9" t="n">
        <f aca="false">IF((AB$18=1),Assumptions!$C$16,(AA24*(1+Assumptions!$E$133)))</f>
        <v>3831.71823983232</v>
      </c>
      <c r="AC24" s="9" t="n">
        <f aca="false">IF((AC$18=1),Assumptions!$C$16,(AB24*(1+Assumptions!$E$133)))</f>
        <v>3927.51119582813</v>
      </c>
      <c r="AD24" s="9" t="n">
        <f aca="false">IF((AD$18=1),Assumptions!$C$16,(AC24*(1+Assumptions!$E$133)))</f>
        <v>4025.69897572383</v>
      </c>
      <c r="AE24" s="9" t="n">
        <f aca="false">IF((AE$18=1),Assumptions!$C$16,(AD24*(1+Assumptions!$E$133)))</f>
        <v>4126.34145011693</v>
      </c>
      <c r="AF24" s="9" t="n">
        <f aca="false">IF((AF$18=1),Assumptions!$C$16,(AE24*(1+Assumptions!$E$133)))</f>
        <v>4229.49998636985</v>
      </c>
      <c r="AG24" s="9" t="n">
        <f aca="false">IF((AG$18=1),Assumptions!$C$16,(AF24*(1+Assumptions!$E$133)))</f>
        <v>4335.2374860291</v>
      </c>
      <c r="AH24" s="9" t="n">
        <f aca="false">IF((AH$18=1),Assumptions!$C$16,(AG24*(1+Assumptions!$E$133)))</f>
        <v>4443.61842317982</v>
      </c>
      <c r="AI24" s="9" t="n">
        <f aca="false">IF((AI$18=1),Assumptions!$C$16,(AH24*(1+Assumptions!$E$133)))</f>
        <v>4554.70888375932</v>
      </c>
      <c r="AJ24" s="9" t="n">
        <f aca="false">IF((AJ$18=1),Assumptions!$C$16,(AI24*(1+Assumptions!$E$133)))</f>
        <v>4668.5766058533</v>
      </c>
      <c r="AK24" s="9" t="n">
        <f aca="false">IF((AK$18=1),Assumptions!$C$16,(AJ24*(1+Assumptions!$E$133)))</f>
        <v>4785.29102099963</v>
      </c>
      <c r="AL24" s="9" t="n">
        <f aca="false">IF((AL$18=1),Assumptions!$C$16,(AK24*(1+Assumptions!$E$133)))</f>
        <v>4904.92329652462</v>
      </c>
    </row>
    <row r="25" customFormat="false" ht="15" hidden="false" customHeight="false" outlineLevel="0" collapsed="false">
      <c r="A25" s="0" t="s">
        <v>830</v>
      </c>
      <c r="B25" s="0" t="s">
        <v>500</v>
      </c>
      <c r="C25" s="9" t="n">
        <f aca="false">(((C24*INDEX(Assumptions!$C$167:$C$178,C$21))*$C$4)*IF((C$18&lt;Assumptions!$C$5),Assumptions!$C$6,1))</f>
        <v>390</v>
      </c>
      <c r="D25" s="9" t="n">
        <f aca="false">(((D24*INDEX(Assumptions!$C$167:$C$178,D$21))*$C$4)*IF((D$18&lt;Assumptions!$C$5),Assumptions!$C$6,1))</f>
        <v>349.8</v>
      </c>
      <c r="E25" s="9" t="n">
        <f aca="false">(((E24*INDEX(Assumptions!$C$167:$C$178,E$21))*$C$4)*IF((E$18&lt;Assumptions!$C$5),Assumptions!$C$6,1))</f>
        <v>303.372</v>
      </c>
      <c r="F25" s="9" t="n">
        <f aca="false">(((F24*INDEX(Assumptions!$C$167:$C$178,F$21))*$C$4)*IF((F$18&lt;Assumptions!$C$5),Assumptions!$C$6,1))</f>
        <v>285.84384</v>
      </c>
      <c r="G25" s="9" t="n">
        <f aca="false">(((G24*INDEX(Assumptions!$C$167:$C$178,G$21))*$C$4)*IF((G$18&lt;Assumptions!$C$5),Assumptions!$C$6,1))</f>
        <v>227.2458528</v>
      </c>
      <c r="H25" s="9" t="n">
        <f aca="false">(((H24*INDEX(Assumptions!$C$167:$C$178,H$21))*$C$4)*IF((H$18&lt;Assumptions!$C$5),Assumptions!$C$6,1))</f>
        <v>200.73383664</v>
      </c>
      <c r="I25" s="9" t="n">
        <f aca="false">(((I24*INDEX(Assumptions!$C$167:$C$178,I$21))*$C$4)*IF((I$18&lt;Assumptions!$C$5),Assumptions!$C$6,1))</f>
        <v>297.88901357376</v>
      </c>
      <c r="J25" s="9" t="n">
        <f aca="false">(((J24*INDEX(Assumptions!$C$167:$C$178,J$21))*$C$4)*IF((J$18&lt;Assumptions!$C$5),Assumptions!$C$6,1))</f>
        <v>721.742524315853</v>
      </c>
      <c r="K25" s="9" t="n">
        <f aca="false">(((K24*INDEX(Assumptions!$C$167:$C$178,K$21))*$C$4)*IF((K$18&lt;Assumptions!$C$5),Assumptions!$C$6,1))</f>
        <v>860.677960246655</v>
      </c>
      <c r="L25" s="9" t="n">
        <f aca="false">(((L24*INDEX(Assumptions!$C$167:$C$178,L$21))*$C$4)*IF((L$18&lt;Assumptions!$C$5),Assumptions!$C$6,1))</f>
        <v>557.528056470889</v>
      </c>
      <c r="M25" s="9" t="n">
        <f aca="false">(((M24*INDEX(Assumptions!$C$167:$C$178,M$21))*$C$4)*IF((M$18&lt;Assumptions!$C$5),Assumptions!$C$6,1))</f>
        <v>483.528878066571</v>
      </c>
      <c r="N25" s="9" t="n">
        <f aca="false">(((N24*INDEX(Assumptions!$C$167:$C$178,N$21))*$C$4)*IF((N$18&lt;Assumptions!$C$5),Assumptions!$C$6,1))</f>
        <v>398.642697250439</v>
      </c>
      <c r="O25" s="9" t="n">
        <f aca="false">(((O24*INDEX(Assumptions!$C$167:$C$178,O$21))*$C$4)*IF((O$18&lt;Assumptions!$C$5),Assumptions!$C$6,1))</f>
        <v>3079.7995810434</v>
      </c>
      <c r="P25" s="9" t="n">
        <f aca="false">(((P24*INDEX(Assumptions!$C$167:$C$178,P$21))*$C$4)*IF((P$18&lt;Assumptions!$C$5),Assumptions!$C$6,1))</f>
        <v>2710.22363131819</v>
      </c>
      <c r="Q25" s="9" t="n">
        <f aca="false">(((Q24*INDEX(Assumptions!$C$167:$C$178,Q$21))*$C$4)*IF((Q$18&lt;Assumptions!$C$5),Assumptions!$C$6,1))</f>
        <v>2306.1539262853</v>
      </c>
      <c r="R25" s="9" t="n">
        <f aca="false">(((R24*INDEX(Assumptions!$C$167:$C$178,R$21))*$C$4)*IF((R$18&lt;Assumptions!$C$5),Assumptions!$C$6,1))</f>
        <v>2131.91118518818</v>
      </c>
      <c r="S25" s="9" t="n">
        <f aca="false">(((S24*INDEX(Assumptions!$C$167:$C$178,S$21))*$C$4)*IF((S$18&lt;Assumptions!$C$5),Assumptions!$C$6,1))</f>
        <v>1662.89072444678</v>
      </c>
      <c r="T25" s="9" t="n">
        <f aca="false">(((T24*INDEX(Assumptions!$C$167:$C$178,T$21))*$C$4)*IF((T$18&lt;Assumptions!$C$5),Assumptions!$C$6,1))</f>
        <v>1441.17196118721</v>
      </c>
      <c r="U25" s="9" t="n">
        <f aca="false">(((U24*INDEX(Assumptions!$C$167:$C$178,U$21))*$C$4)*IF((U$18&lt;Assumptions!$C$5),Assumptions!$C$6,1))</f>
        <v>2098.34637548858</v>
      </c>
      <c r="V25" s="9" t="n">
        <f aca="false">(((V24*INDEX(Assumptions!$C$167:$C$178,V$21))*$C$4)*IF((V$18&lt;Assumptions!$C$5),Assumptions!$C$6,1))</f>
        <v>4988.06909830428</v>
      </c>
      <c r="W25" s="9" t="n">
        <f aca="false">(((W24*INDEX(Assumptions!$C$167:$C$178,W$21))*$C$4)*IF((W$18&lt;Assumptions!$C$5),Assumptions!$C$6,1))</f>
        <v>5836.04084501601</v>
      </c>
      <c r="X25" s="9" t="n">
        <f aca="false">(((X24*INDEX(Assumptions!$C$167:$C$178,X$21))*$C$4)*IF((X$18&lt;Assumptions!$C$5),Assumptions!$C$6,1))</f>
        <v>3709.12818149907</v>
      </c>
      <c r="Y25" s="9" t="n">
        <f aca="false">(((Y24*INDEX(Assumptions!$C$167:$C$178,Y$21))*$C$4)*IF((Y$18&lt;Assumptions!$C$5),Assumptions!$C$6,1))</f>
        <v>3156.13088898466</v>
      </c>
      <c r="Z25" s="9" t="n">
        <f aca="false">(((Z24*INDEX(Assumptions!$C$167:$C$178,Z$21))*$C$4)*IF((Z$18&lt;Assumptions!$C$5),Assumptions!$C$6,1))</f>
        <v>2552.9592079787</v>
      </c>
      <c r="AA25" s="9" t="n">
        <f aca="false">(((AA24*INDEX(Assumptions!$C$167:$C$178,AA$21))*$C$4)*IF((AA$18&lt;Assumptions!$C$5),Assumptions!$C$6,1))</f>
        <v>4859.7402066166</v>
      </c>
      <c r="AB25" s="9" t="n">
        <f aca="false">(((AB24*INDEX(Assumptions!$C$167:$C$178,AB$21))*$C$4)*IF((AB$18&lt;Assumptions!$C$5),Assumptions!$C$6,1))</f>
        <v>4214.89006381555</v>
      </c>
      <c r="AC25" s="9" t="n">
        <f aca="false">(((AC24*INDEX(Assumptions!$C$167:$C$178,AC$21))*$C$4)*IF((AC$18&lt;Assumptions!$C$5),Assumptions!$C$6,1))</f>
        <v>3534.76007624531</v>
      </c>
      <c r="AD25" s="9" t="n">
        <f aca="false">(((AD24*INDEX(Assumptions!$C$167:$C$178,AD$21))*$C$4)*IF((AD$18&lt;Assumptions!$C$5),Assumptions!$C$6,1))</f>
        <v>3220.55918057906</v>
      </c>
      <c r="AE25" s="9" t="n">
        <f aca="false">(((AE24*INDEX(Assumptions!$C$167:$C$178,AE$21))*$C$4)*IF((AE$18&lt;Assumptions!$C$5),Assumptions!$C$6,1))</f>
        <v>2475.80487007016</v>
      </c>
      <c r="AF25" s="9" t="n">
        <f aca="false">(((AF24*INDEX(Assumptions!$C$167:$C$178,AF$21))*$C$4)*IF((AF$18&lt;Assumptions!$C$5),Assumptions!$C$6,1))</f>
        <v>2114.74999318492</v>
      </c>
      <c r="AG25" s="9" t="n">
        <f aca="false">(((AG24*INDEX(Assumptions!$C$167:$C$178,AG$21))*$C$4)*IF((AG$18&lt;Assumptions!$C$5),Assumptions!$C$6,1))</f>
        <v>3034.66624022037</v>
      </c>
      <c r="AH25" s="9" t="n">
        <f aca="false">(((AH24*INDEX(Assumptions!$C$167:$C$178,AH$21))*$C$4)*IF((AH$18&lt;Assumptions!$C$5),Assumptions!$C$6,1))</f>
        <v>7109.78947708772</v>
      </c>
      <c r="AI25" s="9" t="n">
        <f aca="false">(((AI24*INDEX(Assumptions!$C$167:$C$178,AI$21))*$C$4)*IF((AI$18&lt;Assumptions!$C$5),Assumptions!$C$6,1))</f>
        <v>8198.47599076677</v>
      </c>
      <c r="AJ25" s="9" t="n">
        <f aca="false">(((AJ24*INDEX(Assumptions!$C$167:$C$178,AJ$21))*$C$4)*IF((AJ$18&lt;Assumptions!$C$5),Assumptions!$C$6,1))</f>
        <v>5135.43426643863</v>
      </c>
      <c r="AK25" s="9" t="n">
        <f aca="false">(((AK24*INDEX(Assumptions!$C$167:$C$178,AK$21))*$C$4)*IF((AK$18&lt;Assumptions!$C$5),Assumptions!$C$6,1))</f>
        <v>4306.76191889967</v>
      </c>
      <c r="AL25" s="9" t="n">
        <f aca="false">(((AL24*INDEX(Assumptions!$C$167:$C$178,AL$21))*$C$4)*IF((AL$18&lt;Assumptions!$C$5),Assumptions!$C$6,1))</f>
        <v>3433.44630756723</v>
      </c>
      <c r="AN25" s="11" t="n">
        <f aca="false">SUM(C25:N25)</f>
        <v>5077.00465936417</v>
      </c>
      <c r="AO25" s="11" t="n">
        <f aca="false">SUM(O25:Z25)</f>
        <v>35672.8256067404</v>
      </c>
      <c r="AP25" s="11" t="n">
        <f aca="false">SUM(AA25:AL25)</f>
        <v>51639.078591492</v>
      </c>
    </row>
    <row r="26" customFormat="false" ht="15" hidden="false" customHeight="false" outlineLevel="0" collapsed="false">
      <c r="A26" s="0" t="s">
        <v>831</v>
      </c>
      <c r="B26" s="0" t="s">
        <v>500</v>
      </c>
      <c r="C26" s="9" t="n">
        <f aca="false">IF((C$18&gt;=Assumptions!$C$5),(Assumptions!$C$134/(Assumptions!$C$17*$C$11)),0)</f>
        <v>0</v>
      </c>
      <c r="D26" s="9" t="n">
        <f aca="false">IF((D$18&gt;=Assumptions!$C$5),(Assumptions!$C$134/(Assumptions!$C$17*$C$11)),0)</f>
        <v>0</v>
      </c>
      <c r="E26" s="9" t="n">
        <f aca="false">IF((E$18&gt;=Assumptions!$C$5),(Assumptions!$C$134/(Assumptions!$C$17*$C$11)),0)</f>
        <v>0</v>
      </c>
      <c r="F26" s="9" t="n">
        <f aca="false">IF((F$18&gt;=Assumptions!$C$5),(Assumptions!$C$134/(Assumptions!$C$17*$C$11)),0)</f>
        <v>0</v>
      </c>
      <c r="G26" s="9" t="n">
        <f aca="false">IF((G$18&gt;=Assumptions!$C$5),(Assumptions!$C$134/(Assumptions!$C$17*$C$11)),0)</f>
        <v>0</v>
      </c>
      <c r="H26" s="9" t="n">
        <f aca="false">IF((H$18&gt;=Assumptions!$C$5),(Assumptions!$C$134/(Assumptions!$C$17*$C$11)),0)</f>
        <v>0</v>
      </c>
      <c r="I26" s="9" t="n">
        <f aca="false">IF((I$18&gt;=Assumptions!$C$5),(Assumptions!$C$134/(Assumptions!$C$17*$C$11)),0)</f>
        <v>0</v>
      </c>
      <c r="J26" s="9" t="n">
        <f aca="false">IF((J$18&gt;=Assumptions!$C$5),(Assumptions!$C$134/(Assumptions!$C$17*$C$11)),0)</f>
        <v>0</v>
      </c>
      <c r="K26" s="9" t="n">
        <f aca="false">IF((K$18&gt;=Assumptions!$C$5),(Assumptions!$C$134/(Assumptions!$C$17*$C$11)),0)</f>
        <v>0</v>
      </c>
      <c r="L26" s="9" t="n">
        <f aca="false">IF((L$18&gt;=Assumptions!$C$5),(Assumptions!$C$134/(Assumptions!$C$17*$C$11)),0)</f>
        <v>0</v>
      </c>
      <c r="M26" s="9" t="n">
        <f aca="false">IF((M$18&gt;=Assumptions!$C$5),(Assumptions!$C$134/(Assumptions!$C$17*$C$11)),0)</f>
        <v>0</v>
      </c>
      <c r="N26" s="9" t="n">
        <f aca="false">IF((N$18&gt;=Assumptions!$C$5),(Assumptions!$C$134/(Assumptions!$C$17*$C$11)),0)</f>
        <v>0</v>
      </c>
      <c r="O26" s="9" t="n">
        <f aca="false">IF((O$18&gt;=Assumptions!$C$5),(Assumptions!$D$134/(Assumptions!$C$17*$C$11)),0)</f>
        <v>1000</v>
      </c>
      <c r="P26" s="9" t="n">
        <f aca="false">IF((P$18&gt;=Assumptions!$C$5),(Assumptions!$D$134/(Assumptions!$C$17*$C$11)),0)</f>
        <v>1000</v>
      </c>
      <c r="Q26" s="9" t="n">
        <f aca="false">IF((Q$18&gt;=Assumptions!$C$5),(Assumptions!$D$134/(Assumptions!$C$17*$C$11)),0)</f>
        <v>1000</v>
      </c>
      <c r="R26" s="9" t="n">
        <f aca="false">IF((R$18&gt;=Assumptions!$C$5),(Assumptions!$D$134/(Assumptions!$C$17*$C$11)),0)</f>
        <v>1000</v>
      </c>
      <c r="S26" s="9" t="n">
        <f aca="false">IF((S$18&gt;=Assumptions!$C$5),(Assumptions!$D$134/(Assumptions!$C$17*$C$11)),0)</f>
        <v>1000</v>
      </c>
      <c r="T26" s="9" t="n">
        <f aca="false">IF((T$18&gt;=Assumptions!$C$5),(Assumptions!$D$134/(Assumptions!$C$17*$C$11)),0)</f>
        <v>1000</v>
      </c>
      <c r="U26" s="9" t="n">
        <f aca="false">IF((U$18&gt;=Assumptions!$C$5),(Assumptions!$D$134/(Assumptions!$C$17*$C$11)),0)</f>
        <v>1000</v>
      </c>
      <c r="V26" s="9" t="n">
        <f aca="false">IF((V$18&gt;=Assumptions!$C$5),(Assumptions!$D$134/(Assumptions!$C$17*$C$11)),0)</f>
        <v>1000</v>
      </c>
      <c r="W26" s="9" t="n">
        <f aca="false">IF((W$18&gt;=Assumptions!$C$5),(Assumptions!$D$134/(Assumptions!$C$17*$C$11)),0)</f>
        <v>1000</v>
      </c>
      <c r="X26" s="9" t="n">
        <f aca="false">IF((X$18&gt;=Assumptions!$C$5),(Assumptions!$D$134/(Assumptions!$C$17*$C$11)),0)</f>
        <v>1000</v>
      </c>
      <c r="Y26" s="9" t="n">
        <f aca="false">IF((Y$18&gt;=Assumptions!$C$5),(Assumptions!$D$134/(Assumptions!$C$17*$C$11)),0)</f>
        <v>1000</v>
      </c>
      <c r="Z26" s="9" t="n">
        <f aca="false">IF((Z$18&gt;=Assumptions!$C$5),(Assumptions!$D$134/(Assumptions!$C$17*$C$11)),0)</f>
        <v>1000</v>
      </c>
      <c r="AA26" s="9" t="n">
        <f aca="false">IF((AA$18&gt;=Assumptions!$C$5),(Assumptions!$E$134/(Assumptions!$C$17*$C$11)),0)</f>
        <v>1666.66666666667</v>
      </c>
      <c r="AB26" s="9" t="n">
        <f aca="false">IF((AB$18&gt;=Assumptions!$C$5),(Assumptions!$E$134/(Assumptions!$C$17*$C$11)),0)</f>
        <v>1666.66666666667</v>
      </c>
      <c r="AC26" s="9" t="n">
        <f aca="false">IF((AC$18&gt;=Assumptions!$C$5),(Assumptions!$E$134/(Assumptions!$C$17*$C$11)),0)</f>
        <v>1666.66666666667</v>
      </c>
      <c r="AD26" s="9" t="n">
        <f aca="false">IF((AD$18&gt;=Assumptions!$C$5),(Assumptions!$E$134/(Assumptions!$C$17*$C$11)),0)</f>
        <v>1666.66666666667</v>
      </c>
      <c r="AE26" s="9" t="n">
        <f aca="false">IF((AE$18&gt;=Assumptions!$C$5),(Assumptions!$E$134/(Assumptions!$C$17*$C$11)),0)</f>
        <v>1666.66666666667</v>
      </c>
      <c r="AF26" s="9" t="n">
        <f aca="false">IF((AF$18&gt;=Assumptions!$C$5),(Assumptions!$E$134/(Assumptions!$C$17*$C$11)),0)</f>
        <v>1666.66666666667</v>
      </c>
      <c r="AG26" s="9" t="n">
        <f aca="false">IF((AG$18&gt;=Assumptions!$C$5),(Assumptions!$E$134/(Assumptions!$C$17*$C$11)),0)</f>
        <v>1666.66666666667</v>
      </c>
      <c r="AH26" s="9" t="n">
        <f aca="false">IF((AH$18&gt;=Assumptions!$C$5),(Assumptions!$E$134/(Assumptions!$C$17*$C$11)),0)</f>
        <v>1666.66666666667</v>
      </c>
      <c r="AI26" s="9" t="n">
        <f aca="false">IF((AI$18&gt;=Assumptions!$C$5),(Assumptions!$E$134/(Assumptions!$C$17*$C$11)),0)</f>
        <v>1666.66666666667</v>
      </c>
      <c r="AJ26" s="9" t="n">
        <f aca="false">IF((AJ$18&gt;=Assumptions!$C$5),(Assumptions!$E$134/(Assumptions!$C$17*$C$11)),0)</f>
        <v>1666.66666666667</v>
      </c>
      <c r="AK26" s="9" t="n">
        <f aca="false">IF((AK$18&gt;=Assumptions!$C$5),(Assumptions!$E$134/(Assumptions!$C$17*$C$11)),0)</f>
        <v>1666.66666666667</v>
      </c>
      <c r="AL26" s="9" t="n">
        <f aca="false">IF((AL$18&gt;=Assumptions!$C$5),(Assumptions!$E$134/(Assumptions!$C$17*$C$11)),0)</f>
        <v>1666.66666666667</v>
      </c>
      <c r="AN26" s="11" t="n">
        <f aca="false">SUM(C26:N26)</f>
        <v>0</v>
      </c>
      <c r="AO26" s="11" t="n">
        <f aca="false">SUM(O26:Z26)</f>
        <v>12000</v>
      </c>
      <c r="AP26" s="11" t="n">
        <f aca="false">SUM(AA26:AL26)</f>
        <v>20000</v>
      </c>
    </row>
    <row r="27" customFormat="false" ht="15" hidden="false" customHeight="false" outlineLevel="0" collapsed="false">
      <c r="A27" s="0" t="s">
        <v>832</v>
      </c>
      <c r="B27" s="0" t="s">
        <v>500</v>
      </c>
      <c r="C27" s="9" t="n">
        <f aca="false">((C25+C26)*Assumptions!$C$18)</f>
        <v>234</v>
      </c>
      <c r="D27" s="9" t="n">
        <f aca="false">((D25+D26)*Assumptions!$C$18)</f>
        <v>209.88</v>
      </c>
      <c r="E27" s="9" t="n">
        <f aca="false">((E25+E26)*Assumptions!$C$18)</f>
        <v>182.0232</v>
      </c>
      <c r="F27" s="9" t="n">
        <f aca="false">((F25+F26)*Assumptions!$C$18)</f>
        <v>171.506304</v>
      </c>
      <c r="G27" s="9" t="n">
        <f aca="false">((G25+G26)*Assumptions!$C$18)</f>
        <v>136.34751168</v>
      </c>
      <c r="H27" s="9" t="n">
        <f aca="false">((H25+H26)*Assumptions!$C$18)</f>
        <v>120.440301984</v>
      </c>
      <c r="I27" s="9" t="n">
        <f aca="false">((I25+I26)*Assumptions!$C$18)</f>
        <v>178.733408144256</v>
      </c>
      <c r="J27" s="9" t="n">
        <f aca="false">((J25+J26)*Assumptions!$C$18)</f>
        <v>433.045514589512</v>
      </c>
      <c r="K27" s="9" t="n">
        <f aca="false">((K25+K26)*Assumptions!$C$18)</f>
        <v>516.406776147993</v>
      </c>
      <c r="L27" s="9" t="n">
        <f aca="false">((L25+L26)*Assumptions!$C$18)</f>
        <v>334.516833882533</v>
      </c>
      <c r="M27" s="9" t="n">
        <f aca="false">((M25+M26)*Assumptions!$C$18)</f>
        <v>290.117326839942</v>
      </c>
      <c r="N27" s="9" t="n">
        <f aca="false">((N25+N26)*Assumptions!$C$18)</f>
        <v>239.185618350264</v>
      </c>
      <c r="O27" s="9" t="n">
        <f aca="false">((O25+O26)*Assumptions!$C$18)</f>
        <v>2447.87974862604</v>
      </c>
      <c r="P27" s="9" t="n">
        <f aca="false">((P25+P26)*Assumptions!$C$18)</f>
        <v>2226.13417879091</v>
      </c>
      <c r="Q27" s="9" t="n">
        <f aca="false">((Q25+Q26)*Assumptions!$C$18)</f>
        <v>1983.69235577118</v>
      </c>
      <c r="R27" s="9" t="n">
        <f aca="false">((R25+R26)*Assumptions!$C$18)</f>
        <v>1879.14671111291</v>
      </c>
      <c r="S27" s="9" t="n">
        <f aca="false">((S25+S26)*Assumptions!$C$18)</f>
        <v>1597.73443466807</v>
      </c>
      <c r="T27" s="9" t="n">
        <f aca="false">((T25+T26)*Assumptions!$C$18)</f>
        <v>1464.70317671233</v>
      </c>
      <c r="U27" s="9" t="n">
        <f aca="false">((U25+U26)*Assumptions!$C$18)</f>
        <v>1859.00782529315</v>
      </c>
      <c r="V27" s="9" t="n">
        <f aca="false">((V25+V26)*Assumptions!$C$18)</f>
        <v>3592.84145898257</v>
      </c>
      <c r="W27" s="9" t="n">
        <f aca="false">((W25+W26)*Assumptions!$C$18)</f>
        <v>4101.62450700961</v>
      </c>
      <c r="X27" s="9" t="n">
        <f aca="false">((X25+X26)*Assumptions!$C$18)</f>
        <v>2825.47690889944</v>
      </c>
      <c r="Y27" s="9" t="n">
        <f aca="false">((Y25+Y26)*Assumptions!$C$18)</f>
        <v>2493.6785333908</v>
      </c>
      <c r="Z27" s="9" t="n">
        <f aca="false">((Z25+Z26)*Assumptions!$C$18)</f>
        <v>2131.77552478722</v>
      </c>
      <c r="AA27" s="9" t="n">
        <f aca="false">((AA25+AA26)*Assumptions!$C$18)</f>
        <v>3915.84412396996</v>
      </c>
      <c r="AB27" s="9" t="n">
        <f aca="false">((AB25+AB26)*Assumptions!$C$18)</f>
        <v>3528.93403828933</v>
      </c>
      <c r="AC27" s="9" t="n">
        <f aca="false">((AC25+AC26)*Assumptions!$C$18)</f>
        <v>3120.85604574719</v>
      </c>
      <c r="AD27" s="9" t="n">
        <f aca="false">((AD25+AD26)*Assumptions!$C$18)</f>
        <v>2932.33550834744</v>
      </c>
      <c r="AE27" s="9" t="n">
        <f aca="false">((AE25+AE26)*Assumptions!$C$18)</f>
        <v>2485.48292204209</v>
      </c>
      <c r="AF27" s="9" t="n">
        <f aca="false">((AF25+AF26)*Assumptions!$C$18)</f>
        <v>2268.84999591095</v>
      </c>
      <c r="AG27" s="9" t="n">
        <f aca="false">((AG25+AG26)*Assumptions!$C$18)</f>
        <v>2820.79974413222</v>
      </c>
      <c r="AH27" s="9" t="n">
        <f aca="false">((AH25+AH26)*Assumptions!$C$18)</f>
        <v>5265.87368625263</v>
      </c>
      <c r="AI27" s="9" t="n">
        <f aca="false">((AI25+AI26)*Assumptions!$C$18)</f>
        <v>5919.08559446006</v>
      </c>
      <c r="AJ27" s="9" t="n">
        <f aca="false">((AJ25+AJ26)*Assumptions!$C$18)</f>
        <v>4081.26055986318</v>
      </c>
      <c r="AK27" s="9" t="n">
        <f aca="false">((AK25+AK26)*Assumptions!$C$18)</f>
        <v>3584.0571513398</v>
      </c>
      <c r="AL27" s="9" t="n">
        <f aca="false">((AL25+AL26)*Assumptions!$C$18)</f>
        <v>3060.06778454034</v>
      </c>
      <c r="AN27" s="11" t="n">
        <f aca="false">SUM(C27:N27)</f>
        <v>3046.2027956185</v>
      </c>
      <c r="AO27" s="11" t="n">
        <f aca="false">SUM(O27:Z27)</f>
        <v>28603.6953640442</v>
      </c>
      <c r="AP27" s="11" t="n">
        <f aca="false">SUM(AA27:AL27)</f>
        <v>42983.4471548952</v>
      </c>
    </row>
    <row r="28" customFormat="false" ht="15" hidden="false" customHeight="false" outlineLevel="0" collapsed="false">
      <c r="A28" s="0" t="s">
        <v>833</v>
      </c>
      <c r="B28" s="0" t="s">
        <v>500</v>
      </c>
      <c r="C28" s="9" t="n">
        <f aca="false">IF((C$18&gt;=Assumptions!$C$5),((Assumptions!$C$20*$C$5)*0),0)</f>
        <v>0</v>
      </c>
      <c r="D28" s="9" t="n">
        <f aca="false">IF((D$18&gt;=Assumptions!$C$5),((Assumptions!$C$20*$C$5)*C29),0)</f>
        <v>0</v>
      </c>
      <c r="E28" s="9" t="n">
        <f aca="false">IF((E$18&gt;=Assumptions!$C$5),((Assumptions!$C$20*$C$5)*D29),0)</f>
        <v>0</v>
      </c>
      <c r="F28" s="9" t="n">
        <f aca="false">IF((F$18&gt;=Assumptions!$C$5),((Assumptions!$C$20*$C$5)*E29),0)</f>
        <v>0</v>
      </c>
      <c r="G28" s="9" t="n">
        <f aca="false">IF((G$18&gt;=Assumptions!$C$5),((Assumptions!$C$20*$C$5)*F29),0)</f>
        <v>0</v>
      </c>
      <c r="H28" s="9" t="n">
        <f aca="false">IF((H$18&gt;=Assumptions!$C$5),((Assumptions!$C$20*$C$5)*G29),0)</f>
        <v>0</v>
      </c>
      <c r="I28" s="9" t="n">
        <f aca="false">IF((I$18&gt;=Assumptions!$C$5),((Assumptions!$C$20*$C$5)*H29),0)</f>
        <v>0</v>
      </c>
      <c r="J28" s="9" t="n">
        <f aca="false">IF((J$18&gt;=Assumptions!$C$5),((Assumptions!$C$20*$C$5)*I29),0)</f>
        <v>0</v>
      </c>
      <c r="K28" s="9" t="n">
        <f aca="false">IF((K$18&gt;=Assumptions!$C$5),((Assumptions!$C$20*$C$5)*J29),0)</f>
        <v>0</v>
      </c>
      <c r="L28" s="9" t="n">
        <f aca="false">IF((L$18&gt;=Assumptions!$C$5),((Assumptions!$C$20*$C$5)*K29),0)</f>
        <v>0</v>
      </c>
      <c r="M28" s="9" t="n">
        <f aca="false">IF((M$18&gt;=Assumptions!$C$5),((Assumptions!$C$20*$C$5)*L29),0)</f>
        <v>0</v>
      </c>
      <c r="N28" s="9" t="n">
        <f aca="false">IF((N$18&gt;=Assumptions!$C$5),((Assumptions!$C$20*$C$5)*M29),0)</f>
        <v>0</v>
      </c>
      <c r="O28" s="9" t="n">
        <f aca="false">IF((O$18&gt;=Assumptions!$C$5),((Assumptions!$C$20*$C$5)*N29),0)</f>
        <v>4.51553935346985</v>
      </c>
      <c r="P28" s="9" t="n">
        <f aca="false">IF((P$18&gt;=Assumptions!$C$5),((Assumptions!$C$20*$C$5)*O29),0)</f>
        <v>10.0820851542349</v>
      </c>
      <c r="Q28" s="9" t="n">
        <f aca="false">IF((Q$18&gt;=Assumptions!$C$5),((Assumptions!$C$20*$C$5)*P29),0)</f>
        <v>14.4123651698184</v>
      </c>
      <c r="R28" s="9" t="n">
        <f aca="false">IF((R$18&gt;=Assumptions!$C$5),((Assumptions!$C$20*$C$5)*Q29),0)</f>
        <v>17.6060813259436</v>
      </c>
      <c r="S28" s="9" t="n">
        <f aca="false">IF((S$18&gt;=Assumptions!$C$5),((Assumptions!$C$20*$C$5)*R29),0)</f>
        <v>20.1472031412978</v>
      </c>
      <c r="T28" s="9" t="n">
        <f aca="false">IF((T$18&gt;=Assumptions!$C$5),((Assumptions!$C$20*$C$5)*S29),0)</f>
        <v>21.673506843159</v>
      </c>
      <c r="U28" s="9" t="n">
        <f aca="false">IF((U$18&gt;=Assumptions!$C$5),((Assumptions!$C$20*$C$5)*T29),0)</f>
        <v>22.6802601966528</v>
      </c>
      <c r="V28" s="9" t="n">
        <f aca="false">IF((V$18&gt;=Assumptions!$C$5),((Assumptions!$C$20*$C$5)*U29),0)</f>
        <v>24.5494478857957</v>
      </c>
      <c r="W28" s="9" t="n">
        <f aca="false">IF((W$18&gt;=Assumptions!$C$5),((Assumptions!$C$20*$C$5)*V29),0)</f>
        <v>30.5242441672422</v>
      </c>
      <c r="X28" s="9" t="n">
        <f aca="false">IF((X$18&gt;=Assumptions!$C$5),((Assumptions!$C$20*$C$5)*W29),0)</f>
        <v>37.039085524279</v>
      </c>
      <c r="Y28" s="9" t="n">
        <f aca="false">IF((Y$18&gt;=Assumptions!$C$5),((Assumptions!$C$20*$C$5)*X29),0)</f>
        <v>39.5654898198034</v>
      </c>
      <c r="Z28" s="9" t="n">
        <f aca="false">IF((Z$18&gt;=Assumptions!$C$5),((Assumptions!$C$20*$C$5)*Y29),0)</f>
        <v>40.9529136503545</v>
      </c>
      <c r="AA28" s="9" t="n">
        <f aca="false">IF((AA$18&gt;=Assumptions!$C$5),((Assumptions!$C$20*$C$5)*Z29),0)</f>
        <v>41.2656205401541</v>
      </c>
      <c r="AB28" s="9" t="n">
        <f aca="false">IF((AB$18&gt;=Assumptions!$C$5),((Assumptions!$C$20*$C$5)*AA29),0)</f>
        <v>46.0001923339102</v>
      </c>
      <c r="AC28" s="9" t="n">
        <f aca="false">IF((AC$18&gt;=Assumptions!$C$5),((Assumptions!$C$20*$C$5)*AB29),0)</f>
        <v>49.1875038687295</v>
      </c>
      <c r="AD28" s="9" t="n">
        <f aca="false">IF((AD$18&gt;=Assumptions!$C$5),((Assumptions!$C$20*$C$5)*AC29),0)</f>
        <v>50.9641747591781</v>
      </c>
      <c r="AE28" s="9" t="n">
        <f aca="false">IF((AE$18&gt;=Assumptions!$C$5),((Assumptions!$C$20*$C$5)*AD29),0)</f>
        <v>52.0519021220474</v>
      </c>
      <c r="AF28" s="9" t="n">
        <f aca="false">IF((AF$18&gt;=Assumptions!$C$5),((Assumptions!$C$20*$C$5)*AE29),0)</f>
        <v>51.8892514172018</v>
      </c>
      <c r="AG28" s="9" t="n">
        <f aca="false">IF((AG$18&gt;=Assumptions!$C$5),((Assumptions!$C$20*$C$5)*AF29),0)</f>
        <v>51.204943108372</v>
      </c>
      <c r="AH28" s="9" t="n">
        <f aca="false">IF((AH$18&gt;=Assumptions!$C$5),((Assumptions!$C$20*$C$5)*AG29),0)</f>
        <v>51.984336937927</v>
      </c>
      <c r="AI28" s="9" t="n">
        <f aca="false">IF((AI$18&gt;=Assumptions!$C$5),((Assumptions!$C$20*$C$5)*AH29),0)</f>
        <v>58.7809398786625</v>
      </c>
      <c r="AJ28" s="9" t="n">
        <f aca="false">IF((AJ$18&gt;=Assumptions!$C$5),((Assumptions!$C$20*$C$5)*AI29),0)</f>
        <v>66.3779887296765</v>
      </c>
      <c r="AK28" s="9" t="n">
        <f aca="false">IF((AK$18&gt;=Assumptions!$C$5),((Assumptions!$C$20*$C$5)*AJ29),0)</f>
        <v>68.4498365099491</v>
      </c>
      <c r="AL28" s="9" t="n">
        <f aca="false">IF((AL$18&gt;=Assumptions!$C$5),((Assumptions!$C$20*$C$5)*AK29),0)</f>
        <v>69.0248744158298</v>
      </c>
      <c r="AN28" s="11" t="n">
        <f aca="false">SUM(C28:N28)</f>
        <v>0</v>
      </c>
      <c r="AO28" s="11" t="n">
        <f aca="false">SUM(O28:Z28)</f>
        <v>283.748222232051</v>
      </c>
      <c r="AP28" s="11" t="n">
        <f aca="false">SUM(AA28:AL28)</f>
        <v>657.181564621638</v>
      </c>
    </row>
    <row r="29" customFormat="false" ht="15" hidden="false" customHeight="false" outlineLevel="0" collapsed="false">
      <c r="A29" s="0" t="s">
        <v>834</v>
      </c>
      <c r="B29" s="0" t="s">
        <v>500</v>
      </c>
      <c r="C29" s="9" t="n">
        <f aca="false">MAX(0,(((0*(1-Assumptions!$C$19))+C27)-C28))</f>
        <v>234</v>
      </c>
      <c r="D29" s="9" t="n">
        <f aca="false">MAX(0,(((C29*(1-Assumptions!$C$19))+D27)-D28))</f>
        <v>415.8</v>
      </c>
      <c r="E29" s="9" t="n">
        <f aca="false">MAX(0,(((D29*(1-Assumptions!$C$19))+E27)-E28))</f>
        <v>547.9272</v>
      </c>
      <c r="F29" s="9" t="n">
        <f aca="false">MAX(0,(((E29*(1-Assumptions!$C$19))+F27)-F28))</f>
        <v>653.68224</v>
      </c>
      <c r="G29" s="9" t="n">
        <f aca="false">MAX(0,(((F29*(1-Assumptions!$C$19))+G27)-G28))</f>
        <v>711.58788288</v>
      </c>
      <c r="H29" s="9" t="n">
        <f aca="false">MAX(0,(((G29*(1-Assumptions!$C$19))+H27)-H28))</f>
        <v>746.6376389184</v>
      </c>
      <c r="I29" s="9" t="n">
        <f aca="false">MAX(0,(((H29*(1-Assumptions!$C$19))+I27)-I28))</f>
        <v>835.774530392448</v>
      </c>
      <c r="J29" s="9" t="n">
        <f aca="false">MAX(0,(((I29*(1-Assumptions!$C$19))+J27)-J28))</f>
        <v>1168.52710133487</v>
      </c>
      <c r="K29" s="9" t="n">
        <f aca="false">MAX(0,(((J29*(1-Assumptions!$C$19))+K27)-K28))</f>
        <v>1544.71062532268</v>
      </c>
      <c r="L29" s="9" t="n">
        <f aca="false">MAX(0,(((K29*(1-Assumptions!$C$19))+L27)-L28))</f>
        <v>1693.86218416649</v>
      </c>
      <c r="M29" s="9" t="n">
        <f aca="false">MAX(0,(((L29*(1-Assumptions!$C$19))+M27)-M28))</f>
        <v>1780.71604890645</v>
      </c>
      <c r="N29" s="9" t="n">
        <f aca="false">MAX(0,(((M29*(1-Assumptions!$C$19))+N27)-N28))</f>
        <v>1806.21574138794</v>
      </c>
      <c r="O29" s="9" t="n">
        <f aca="false">MAX(0,(((N29*(1-Assumptions!$C$19))+O27)-O28))</f>
        <v>4032.83406169396</v>
      </c>
      <c r="P29" s="9" t="n">
        <f aca="false">MAX(0,(((O29*(1-Assumptions!$C$19))+P27)-P28))</f>
        <v>5764.94606792736</v>
      </c>
      <c r="Q29" s="9" t="n">
        <f aca="false">MAX(0,(((P29*(1-Assumptions!$C$19))+Q27)-Q28))</f>
        <v>7042.43253037744</v>
      </c>
      <c r="R29" s="9" t="n">
        <f aca="false">MAX(0,(((Q29*(1-Assumptions!$C$19))+R27)-R28))</f>
        <v>8058.88125651911</v>
      </c>
      <c r="S29" s="9" t="n">
        <f aca="false">MAX(0,(((R29*(1-Assumptions!$C$19))+S27)-S28))</f>
        <v>8669.40273726359</v>
      </c>
      <c r="T29" s="9" t="n">
        <f aca="false">MAX(0,(((S29*(1-Assumptions!$C$19))+T27)-T28))</f>
        <v>9072.10407866113</v>
      </c>
      <c r="U29" s="9" t="n">
        <f aca="false">MAX(0,(((T29*(1-Assumptions!$C$19))+U27)-U28))</f>
        <v>9819.77915431829</v>
      </c>
      <c r="V29" s="9" t="n">
        <f aca="false">MAX(0,(((U29*(1-Assumptions!$C$19))+V27)-V28))</f>
        <v>12209.6976668969</v>
      </c>
      <c r="W29" s="9" t="n">
        <f aca="false">MAX(0,(((V29*(1-Assumptions!$C$19))+W27)-W28))</f>
        <v>14815.6342097116</v>
      </c>
      <c r="X29" s="9" t="n">
        <f aca="false">MAX(0,(((W29*(1-Assumptions!$C$19))+X27)-X28))</f>
        <v>15826.1959279214</v>
      </c>
      <c r="Y29" s="9" t="n">
        <f aca="false">MAX(0,(((X29*(1-Assumptions!$C$19))+Y27)-Y28))</f>
        <v>16381.1654601418</v>
      </c>
      <c r="Z29" s="9" t="n">
        <f aca="false">MAX(0,(((Y29*(1-Assumptions!$C$19))+Z27)-Z28))</f>
        <v>16506.2482160617</v>
      </c>
      <c r="AA29" s="9" t="n">
        <f aca="false">MAX(0,(((Z29*(1-Assumptions!$C$19))+AA27)-AA28))</f>
        <v>18400.0769335641</v>
      </c>
      <c r="AB29" s="9" t="n">
        <f aca="false">MAX(0,(((AA29*(1-Assumptions!$C$19))+AB27)-AB28))</f>
        <v>19675.0015474918</v>
      </c>
      <c r="AC29" s="9" t="n">
        <f aca="false">MAX(0,(((AB29*(1-Assumptions!$C$19))+AC27)-AC28))</f>
        <v>20385.6699036712</v>
      </c>
      <c r="AD29" s="9" t="n">
        <f aca="false">MAX(0,(((AC29*(1-Assumptions!$C$19))+AD27)-AD28))</f>
        <v>20820.760848819</v>
      </c>
      <c r="AE29" s="9" t="n">
        <f aca="false">MAX(0,(((AD29*(1-Assumptions!$C$19))+AE27)-AE28))</f>
        <v>20755.7005668807</v>
      </c>
      <c r="AF29" s="9" t="n">
        <f aca="false">MAX(0,(((AE29*(1-Assumptions!$C$19))+AF27)-AF28))</f>
        <v>20481.9772433488</v>
      </c>
      <c r="AG29" s="9" t="n">
        <f aca="false">MAX(0,(((AF29*(1-Assumptions!$C$19))+AG27)-AG28))</f>
        <v>20793.7347751708</v>
      </c>
      <c r="AH29" s="9" t="n">
        <f aca="false">MAX(0,(((AG29*(1-Assumptions!$C$19))+AH27)-AH28))</f>
        <v>23512.375951465</v>
      </c>
      <c r="AI29" s="9" t="n">
        <f aca="false">MAX(0,(((AH29*(1-Assumptions!$C$19))+AI27)-AI28))</f>
        <v>26551.1954918706</v>
      </c>
      <c r="AJ29" s="9" t="n">
        <f aca="false">MAX(0,(((AI29*(1-Assumptions!$C$19))+AJ27)-AJ28))</f>
        <v>27379.9346039796</v>
      </c>
      <c r="AK29" s="9" t="n">
        <f aca="false">MAX(0,(((AJ29*(1-Assumptions!$C$19))+AK27)-AK28))</f>
        <v>27609.9497663319</v>
      </c>
      <c r="AL29" s="9" t="n">
        <f aca="false">MAX(0,(((AK29*(1-Assumptions!$C$19))+AL27)-AL28))</f>
        <v>27287.7987044966</v>
      </c>
      <c r="AN29" s="11" t="n">
        <f aca="false">N29</f>
        <v>1806.21574138794</v>
      </c>
      <c r="AO29" s="11" t="n">
        <f aca="false">Z29</f>
        <v>16506.2482160617</v>
      </c>
      <c r="AP29" s="11" t="n">
        <f aca="false">AL29</f>
        <v>27287.7987044966</v>
      </c>
    </row>
    <row r="30" customFormat="false" ht="15" hidden="false" customHeight="false" outlineLevel="0" collapsed="false">
      <c r="A30" s="0" t="s">
        <v>835</v>
      </c>
      <c r="B30" s="0" t="s">
        <v>193</v>
      </c>
      <c r="C30" s="12" t="n">
        <f aca="false">IF(AND(($C$14=1),(C$18&gt;=(Assumptions!$C$106+1)),(C$18&lt;=(Assumptions!$C$106+3))),Assumptions!$C$115,0)</f>
        <v>0</v>
      </c>
      <c r="D30" s="12" t="n">
        <f aca="false">IF(AND(($C$14=1),(D$18&gt;=(Assumptions!$C$106+1)),(D$18&lt;=(Assumptions!$C$106+3))),Assumptions!$C$115,0)</f>
        <v>0</v>
      </c>
      <c r="E30" s="12" t="n">
        <f aca="false">IF(AND(($C$14=1),(E$18&gt;=(Assumptions!$C$106+1)),(E$18&lt;=(Assumptions!$C$106+3))),Assumptions!$C$115,0)</f>
        <v>0</v>
      </c>
      <c r="F30" s="12" t="n">
        <f aca="false">IF(AND(($C$14=1),(F$18&gt;=(Assumptions!$C$106+1)),(F$18&lt;=(Assumptions!$C$106+3))),Assumptions!$C$115,0)</f>
        <v>0</v>
      </c>
      <c r="G30" s="12" t="n">
        <f aca="false">IF(AND(($C$14=1),(G$18&gt;=(Assumptions!$C$106+1)),(G$18&lt;=(Assumptions!$C$106+3))),Assumptions!$C$115,0)</f>
        <v>0</v>
      </c>
      <c r="H30" s="12" t="n">
        <f aca="false">IF(AND(($C$14=1),(H$18&gt;=(Assumptions!$C$106+1)),(H$18&lt;=(Assumptions!$C$106+3))),Assumptions!$C$115,0)</f>
        <v>0</v>
      </c>
      <c r="I30" s="12" t="n">
        <f aca="false">IF(AND(($C$14=1),(I$18&gt;=(Assumptions!$C$106+1)),(I$18&lt;=(Assumptions!$C$106+3))),Assumptions!$C$115,0)</f>
        <v>0</v>
      </c>
      <c r="J30" s="12" t="n">
        <f aca="false">IF(AND(($C$14=1),(J$18&gt;=(Assumptions!$C$106+1)),(J$18&lt;=(Assumptions!$C$106+3))),Assumptions!$C$115,0)</f>
        <v>0</v>
      </c>
      <c r="K30" s="12" t="n">
        <f aca="false">IF(AND(($C$14=1),(K$18&gt;=(Assumptions!$C$106+1)),(K$18&lt;=(Assumptions!$C$106+3))),Assumptions!$C$115,0)</f>
        <v>0</v>
      </c>
      <c r="L30" s="12" t="n">
        <f aca="false">IF(AND(($C$14=1),(L$18&gt;=(Assumptions!$C$106+1)),(L$18&lt;=(Assumptions!$C$106+3))),Assumptions!$C$115,0)</f>
        <v>0</v>
      </c>
      <c r="M30" s="12" t="n">
        <f aca="false">IF(AND(($C$14=1),(M$18&gt;=(Assumptions!$C$106+1)),(M$18&lt;=(Assumptions!$C$106+3))),Assumptions!$C$115,0)</f>
        <v>0</v>
      </c>
      <c r="N30" s="12" t="n">
        <f aca="false">IF(AND(($C$14=1),(N$18&gt;=(Assumptions!$C$106+1)),(N$18&lt;=(Assumptions!$C$106+3))),Assumptions!$C$115,0)</f>
        <v>0</v>
      </c>
      <c r="O30" s="12" t="n">
        <f aca="false">IF(AND(($C$14=1),(O$18&gt;=(Assumptions!$C$106+1)),(O$18&lt;=(Assumptions!$C$106+3))),Assumptions!$C$115,0)</f>
        <v>0</v>
      </c>
      <c r="P30" s="12" t="n">
        <f aca="false">IF(AND(($C$14=1),(P$18&gt;=(Assumptions!$C$106+1)),(P$18&lt;=(Assumptions!$C$106+3))),Assumptions!$C$115,0)</f>
        <v>0</v>
      </c>
      <c r="Q30" s="12" t="n">
        <f aca="false">IF(AND(($C$14=1),(Q$18&gt;=(Assumptions!$C$106+1)),(Q$18&lt;=(Assumptions!$C$106+3))),Assumptions!$C$115,0)</f>
        <v>0</v>
      </c>
      <c r="R30" s="12" t="n">
        <f aca="false">IF(AND(($C$14=1),(R$18&gt;=(Assumptions!$C$106+1)),(R$18&lt;=(Assumptions!$C$106+3))),Assumptions!$C$115,0)</f>
        <v>0</v>
      </c>
      <c r="S30" s="12" t="n">
        <f aca="false">IF(AND(($C$14=1),(S$18&gt;=(Assumptions!$C$106+1)),(S$18&lt;=(Assumptions!$C$106+3))),Assumptions!$C$115,0)</f>
        <v>0</v>
      </c>
      <c r="T30" s="12" t="n">
        <f aca="false">IF(AND(($C$14=1),(T$18&gt;=(Assumptions!$C$106+1)),(T$18&lt;=(Assumptions!$C$106+3))),Assumptions!$C$115,0)</f>
        <v>0</v>
      </c>
      <c r="U30" s="12" t="n">
        <f aca="false">IF(AND(($C$14=1),(U$18&gt;=(Assumptions!$C$106+1)),(U$18&lt;=(Assumptions!$C$106+3))),Assumptions!$C$115,0)</f>
        <v>0</v>
      </c>
      <c r="V30" s="12" t="n">
        <f aca="false">IF(AND(($C$14=1),(V$18&gt;=(Assumptions!$C$106+1)),(V$18&lt;=(Assumptions!$C$106+3))),Assumptions!$C$115,0)</f>
        <v>0</v>
      </c>
      <c r="W30" s="12" t="n">
        <f aca="false">IF(AND(($C$14=1),(W$18&gt;=(Assumptions!$C$106+1)),(W$18&lt;=(Assumptions!$C$106+3))),Assumptions!$C$115,0)</f>
        <v>0</v>
      </c>
      <c r="X30" s="12" t="n">
        <f aca="false">IF(AND(($C$14=1),(X$18&gt;=(Assumptions!$C$106+1)),(X$18&lt;=(Assumptions!$C$106+3))),Assumptions!$C$115,0)</f>
        <v>0</v>
      </c>
      <c r="Y30" s="12" t="n">
        <f aca="false">IF(AND(($C$14=1),(Y$18&gt;=(Assumptions!$C$106+1)),(Y$18&lt;=(Assumptions!$C$106+3))),Assumptions!$C$115,0)</f>
        <v>0</v>
      </c>
      <c r="Z30" s="12" t="n">
        <f aca="false">IF(AND(($C$14=1),(Z$18&gt;=(Assumptions!$C$106+1)),(Z$18&lt;=(Assumptions!$C$106+3))),Assumptions!$C$115,0)</f>
        <v>0</v>
      </c>
      <c r="AA30" s="12" t="n">
        <f aca="false">IF(AND(($C$14=1),(AA$18&gt;=(Assumptions!$C$106+1)),(AA$18&lt;=(Assumptions!$C$106+3))),Assumptions!$C$115,0)</f>
        <v>0</v>
      </c>
      <c r="AB30" s="12" t="n">
        <f aca="false">IF(AND(($C$14=1),(AB$18&gt;=(Assumptions!$C$106+1)),(AB$18&lt;=(Assumptions!$C$106+3))),Assumptions!$C$115,0)</f>
        <v>0</v>
      </c>
      <c r="AC30" s="12" t="n">
        <f aca="false">IF(AND(($C$14=1),(AC$18&gt;=(Assumptions!$C$106+1)),(AC$18&lt;=(Assumptions!$C$106+3))),Assumptions!$C$115,0)</f>
        <v>0</v>
      </c>
      <c r="AD30" s="12" t="n">
        <f aca="false">IF(AND(($C$14=1),(AD$18&gt;=(Assumptions!$C$106+1)),(AD$18&lt;=(Assumptions!$C$106+3))),Assumptions!$C$115,0)</f>
        <v>0</v>
      </c>
      <c r="AE30" s="12" t="n">
        <f aca="false">IF(AND(($C$14=1),(AE$18&gt;=(Assumptions!$C$106+1)),(AE$18&lt;=(Assumptions!$C$106+3))),Assumptions!$C$115,0)</f>
        <v>0</v>
      </c>
      <c r="AF30" s="12" t="n">
        <f aca="false">IF(AND(($C$14=1),(AF$18&gt;=(Assumptions!$C$106+1)),(AF$18&lt;=(Assumptions!$C$106+3))),Assumptions!$C$115,0)</f>
        <v>0</v>
      </c>
      <c r="AG30" s="12" t="n">
        <f aca="false">IF(AND(($C$14=1),(AG$18&gt;=(Assumptions!$C$106+1)),(AG$18&lt;=(Assumptions!$C$106+3))),Assumptions!$C$115,0)</f>
        <v>0</v>
      </c>
      <c r="AH30" s="12" t="n">
        <f aca="false">IF(AND(($C$14=1),(AH$18&gt;=(Assumptions!$C$106+1)),(AH$18&lt;=(Assumptions!$C$106+3))),Assumptions!$C$115,0)</f>
        <v>0</v>
      </c>
      <c r="AI30" s="12" t="n">
        <f aca="false">IF(AND(($C$14=1),(AI$18&gt;=(Assumptions!$C$106+1)),(AI$18&lt;=(Assumptions!$C$106+3))),Assumptions!$C$115,0)</f>
        <v>0</v>
      </c>
      <c r="AJ30" s="12" t="n">
        <f aca="false">IF(AND(($C$14=1),(AJ$18&gt;=(Assumptions!$C$106+1)),(AJ$18&lt;=(Assumptions!$C$106+3))),Assumptions!$C$115,0)</f>
        <v>0</v>
      </c>
      <c r="AK30" s="12" t="n">
        <f aca="false">IF(AND(($C$14=1),(AK$18&gt;=(Assumptions!$C$106+1)),(AK$18&lt;=(Assumptions!$C$106+3))),Assumptions!$C$115,0)</f>
        <v>0</v>
      </c>
      <c r="AL30" s="12" t="n">
        <f aca="false">IF(AND(($C$14=1),(AL$18&gt;=(Assumptions!$C$106+1)),(AL$18&lt;=(Assumptions!$C$106+3))),Assumptions!$C$115,0)</f>
        <v>0</v>
      </c>
    </row>
    <row r="31" customFormat="false" ht="15" hidden="false" customHeight="false" outlineLevel="0" collapsed="false">
      <c r="A31" s="0" t="s">
        <v>836</v>
      </c>
      <c r="B31" s="0" t="s">
        <v>193</v>
      </c>
      <c r="C31" s="12" t="n">
        <f aca="false">MIN(1,((Assumptions!$C$22*$C$6)+C30))</f>
        <v>0.05</v>
      </c>
      <c r="D31" s="12" t="n">
        <f aca="false">MIN(1,((Assumptions!$C$22*$C$6)+D30))</f>
        <v>0.05</v>
      </c>
      <c r="E31" s="12" t="n">
        <f aca="false">MIN(1,((Assumptions!$C$22*$C$6)+E30))</f>
        <v>0.05</v>
      </c>
      <c r="F31" s="12" t="n">
        <f aca="false">MIN(1,((Assumptions!$C$22*$C$6)+F30))</f>
        <v>0.05</v>
      </c>
      <c r="G31" s="12" t="n">
        <f aca="false">MIN(1,((Assumptions!$C$22*$C$6)+G30))</f>
        <v>0.05</v>
      </c>
      <c r="H31" s="12" t="n">
        <f aca="false">MIN(1,((Assumptions!$C$22*$C$6)+H30))</f>
        <v>0.05</v>
      </c>
      <c r="I31" s="12" t="n">
        <f aca="false">MIN(1,((Assumptions!$C$22*$C$6)+I30))</f>
        <v>0.05</v>
      </c>
      <c r="J31" s="12" t="n">
        <f aca="false">MIN(1,((Assumptions!$C$22*$C$6)+J30))</f>
        <v>0.05</v>
      </c>
      <c r="K31" s="12" t="n">
        <f aca="false">MIN(1,((Assumptions!$C$22*$C$6)+K30))</f>
        <v>0.05</v>
      </c>
      <c r="L31" s="12" t="n">
        <f aca="false">MIN(1,((Assumptions!$C$22*$C$6)+L30))</f>
        <v>0.05</v>
      </c>
      <c r="M31" s="12" t="n">
        <f aca="false">MIN(1,((Assumptions!$C$22*$C$6)+M30))</f>
        <v>0.05</v>
      </c>
      <c r="N31" s="12" t="n">
        <f aca="false">MIN(1,((Assumptions!$C$22*$C$6)+N30))</f>
        <v>0.05</v>
      </c>
      <c r="O31" s="12" t="n">
        <f aca="false">MIN(1,((Assumptions!$C$22*$C$6)+O30))</f>
        <v>0.05</v>
      </c>
      <c r="P31" s="12" t="n">
        <f aca="false">MIN(1,((Assumptions!$C$22*$C$6)+P30))</f>
        <v>0.05</v>
      </c>
      <c r="Q31" s="12" t="n">
        <f aca="false">MIN(1,((Assumptions!$C$22*$C$6)+Q30))</f>
        <v>0.05</v>
      </c>
      <c r="R31" s="12" t="n">
        <f aca="false">MIN(1,((Assumptions!$C$22*$C$6)+R30))</f>
        <v>0.05</v>
      </c>
      <c r="S31" s="12" t="n">
        <f aca="false">MIN(1,((Assumptions!$C$22*$C$6)+S30))</f>
        <v>0.05</v>
      </c>
      <c r="T31" s="12" t="n">
        <f aca="false">MIN(1,((Assumptions!$C$22*$C$6)+T30))</f>
        <v>0.05</v>
      </c>
      <c r="U31" s="12" t="n">
        <f aca="false">MIN(1,((Assumptions!$C$22*$C$6)+U30))</f>
        <v>0.05</v>
      </c>
      <c r="V31" s="12" t="n">
        <f aca="false">MIN(1,((Assumptions!$C$22*$C$6)+V30))</f>
        <v>0.05</v>
      </c>
      <c r="W31" s="12" t="n">
        <f aca="false">MIN(1,((Assumptions!$C$22*$C$6)+W30))</f>
        <v>0.05</v>
      </c>
      <c r="X31" s="12" t="n">
        <f aca="false">MIN(1,((Assumptions!$C$22*$C$6)+X30))</f>
        <v>0.05</v>
      </c>
      <c r="Y31" s="12" t="n">
        <f aca="false">MIN(1,((Assumptions!$C$22*$C$6)+Y30))</f>
        <v>0.05</v>
      </c>
      <c r="Z31" s="12" t="n">
        <f aca="false">MIN(1,((Assumptions!$C$22*$C$6)+Z30))</f>
        <v>0.05</v>
      </c>
      <c r="AA31" s="12" t="n">
        <f aca="false">MIN(1,((Assumptions!$C$22*$C$6)+AA30))</f>
        <v>0.05</v>
      </c>
      <c r="AB31" s="12" t="n">
        <f aca="false">MIN(1,((Assumptions!$C$22*$C$6)+AB30))</f>
        <v>0.05</v>
      </c>
      <c r="AC31" s="12" t="n">
        <f aca="false">MIN(1,((Assumptions!$C$22*$C$6)+AC30))</f>
        <v>0.05</v>
      </c>
      <c r="AD31" s="12" t="n">
        <f aca="false">MIN(1,((Assumptions!$C$22*$C$6)+AD30))</f>
        <v>0.05</v>
      </c>
      <c r="AE31" s="12" t="n">
        <f aca="false">MIN(1,((Assumptions!$C$22*$C$6)+AE30))</f>
        <v>0.05</v>
      </c>
      <c r="AF31" s="12" t="n">
        <f aca="false">MIN(1,((Assumptions!$C$22*$C$6)+AF30))</f>
        <v>0.05</v>
      </c>
      <c r="AG31" s="12" t="n">
        <f aca="false">MIN(1,((Assumptions!$C$22*$C$6)+AG30))</f>
        <v>0.05</v>
      </c>
      <c r="AH31" s="12" t="n">
        <f aca="false">MIN(1,((Assumptions!$C$22*$C$6)+AH30))</f>
        <v>0.05</v>
      </c>
      <c r="AI31" s="12" t="n">
        <f aca="false">MIN(1,((Assumptions!$C$22*$C$6)+AI30))</f>
        <v>0.05</v>
      </c>
      <c r="AJ31" s="12" t="n">
        <f aca="false">MIN(1,((Assumptions!$C$22*$C$6)+AJ30))</f>
        <v>0.05</v>
      </c>
      <c r="AK31" s="12" t="n">
        <f aca="false">MIN(1,((Assumptions!$C$22*$C$6)+AK30))</f>
        <v>0.05</v>
      </c>
      <c r="AL31" s="12" t="n">
        <f aca="false">MIN(1,((Assumptions!$C$22*$C$6)+AL30))</f>
        <v>0.05</v>
      </c>
    </row>
    <row r="32" customFormat="false" ht="15" hidden="false" customHeight="false" outlineLevel="0" collapsed="false">
      <c r="A32" s="0" t="s">
        <v>837</v>
      </c>
      <c r="B32" s="0" t="s">
        <v>500</v>
      </c>
      <c r="C32" s="9" t="n">
        <f aca="false">(C28*(1-Assumptions!$C$21))</f>
        <v>0</v>
      </c>
      <c r="D32" s="9" t="n">
        <f aca="false">(D28*(1-Assumptions!$C$21))</f>
        <v>0</v>
      </c>
      <c r="E32" s="9" t="n">
        <f aca="false">(E28*(1-Assumptions!$C$21))</f>
        <v>0</v>
      </c>
      <c r="F32" s="9" t="n">
        <f aca="false">(F28*(1-Assumptions!$C$21))</f>
        <v>0</v>
      </c>
      <c r="G32" s="9" t="n">
        <f aca="false">(G28*(1-Assumptions!$C$21))</f>
        <v>0</v>
      </c>
      <c r="H32" s="9" t="n">
        <f aca="false">(H28*(1-Assumptions!$C$21))</f>
        <v>0</v>
      </c>
      <c r="I32" s="9" t="n">
        <f aca="false">(I28*(1-Assumptions!$C$21))</f>
        <v>0</v>
      </c>
      <c r="J32" s="9" t="n">
        <f aca="false">(J28*(1-Assumptions!$C$21))</f>
        <v>0</v>
      </c>
      <c r="K32" s="9" t="n">
        <f aca="false">(K28*(1-Assumptions!$C$21))</f>
        <v>0</v>
      </c>
      <c r="L32" s="9" t="n">
        <f aca="false">(L28*(1-Assumptions!$C$21))</f>
        <v>0</v>
      </c>
      <c r="M32" s="9" t="n">
        <f aca="false">(M28*(1-Assumptions!$C$21))</f>
        <v>0</v>
      </c>
      <c r="N32" s="9" t="n">
        <f aca="false">(N28*(1-Assumptions!$C$21))</f>
        <v>0</v>
      </c>
      <c r="O32" s="9" t="n">
        <f aca="false">(O28*(1-Assumptions!$C$21))</f>
        <v>2.48354664440842</v>
      </c>
      <c r="P32" s="9" t="n">
        <f aca="false">(P28*(1-Assumptions!$C$21))</f>
        <v>5.54514683482919</v>
      </c>
      <c r="Q32" s="9" t="n">
        <f aca="false">(Q28*(1-Assumptions!$C$21))</f>
        <v>7.92680084340012</v>
      </c>
      <c r="R32" s="9" t="n">
        <f aca="false">(R28*(1-Assumptions!$C$21))</f>
        <v>9.68334472926897</v>
      </c>
      <c r="S32" s="9" t="n">
        <f aca="false">(S28*(1-Assumptions!$C$21))</f>
        <v>11.0809617277138</v>
      </c>
      <c r="T32" s="9" t="n">
        <f aca="false">(T28*(1-Assumptions!$C$21))</f>
        <v>11.9204287637374</v>
      </c>
      <c r="U32" s="9" t="n">
        <f aca="false">(U28*(1-Assumptions!$C$21))</f>
        <v>12.4741431081591</v>
      </c>
      <c r="V32" s="9" t="n">
        <f aca="false">(V28*(1-Assumptions!$C$21))</f>
        <v>13.5021963371876</v>
      </c>
      <c r="W32" s="9" t="n">
        <f aca="false">(W28*(1-Assumptions!$C$21))</f>
        <v>16.7883342919832</v>
      </c>
      <c r="X32" s="9" t="n">
        <f aca="false">(X28*(1-Assumptions!$C$21))</f>
        <v>20.3714970383535</v>
      </c>
      <c r="Y32" s="9" t="n">
        <f aca="false">(Y28*(1-Assumptions!$C$21))</f>
        <v>21.7610194008919</v>
      </c>
      <c r="Z32" s="9" t="n">
        <f aca="false">(Z28*(1-Assumptions!$C$21))</f>
        <v>22.524102507695</v>
      </c>
      <c r="AA32" s="9" t="n">
        <f aca="false">(AA28*(1-Assumptions!$C$21))</f>
        <v>22.6960912970848</v>
      </c>
      <c r="AB32" s="9" t="n">
        <f aca="false">(AB28*(1-Assumptions!$C$21))</f>
        <v>25.3001057836506</v>
      </c>
      <c r="AC32" s="9" t="n">
        <f aca="false">(AC28*(1-Assumptions!$C$21))</f>
        <v>27.0531271278012</v>
      </c>
      <c r="AD32" s="9" t="n">
        <f aca="false">(AD28*(1-Assumptions!$C$21))</f>
        <v>28.030296117548</v>
      </c>
      <c r="AE32" s="9" t="n">
        <f aca="false">(AE28*(1-Assumptions!$C$21))</f>
        <v>28.6285461671261</v>
      </c>
      <c r="AF32" s="9" t="n">
        <f aca="false">(AF28*(1-Assumptions!$C$21))</f>
        <v>28.539088279461</v>
      </c>
      <c r="AG32" s="9" t="n">
        <f aca="false">(AG28*(1-Assumptions!$C$21))</f>
        <v>28.1627187096046</v>
      </c>
      <c r="AH32" s="9" t="n">
        <f aca="false">(AH28*(1-Assumptions!$C$21))</f>
        <v>28.5913853158598</v>
      </c>
      <c r="AI32" s="9" t="n">
        <f aca="false">(AI28*(1-Assumptions!$C$21))</f>
        <v>32.3295169332644</v>
      </c>
      <c r="AJ32" s="9" t="n">
        <f aca="false">(AJ28*(1-Assumptions!$C$21))</f>
        <v>36.5078938013221</v>
      </c>
      <c r="AK32" s="9" t="n">
        <f aca="false">(AK28*(1-Assumptions!$C$21))</f>
        <v>37.647410080472</v>
      </c>
      <c r="AL32" s="9" t="n">
        <f aca="false">(AL28*(1-Assumptions!$C$21))</f>
        <v>37.9636809287064</v>
      </c>
      <c r="AN32" s="11" t="n">
        <f aca="false">SUM(C32:N32)</f>
        <v>0</v>
      </c>
      <c r="AO32" s="11" t="n">
        <f aca="false">SUM(O32:Z32)</f>
        <v>156.061522227628</v>
      </c>
      <c r="AP32" s="11" t="n">
        <f aca="false">SUM(AA32:AL32)</f>
        <v>361.449860541901</v>
      </c>
    </row>
    <row r="33" customFormat="false" ht="15" hidden="false" customHeight="false" outlineLevel="0" collapsed="false">
      <c r="A33" s="0" t="s">
        <v>838</v>
      </c>
      <c r="B33" s="0" t="s">
        <v>500</v>
      </c>
      <c r="C33" s="9" t="n">
        <f aca="false">(C28*Assumptions!$C$21)</f>
        <v>0</v>
      </c>
      <c r="D33" s="9" t="n">
        <f aca="false">(D28*Assumptions!$C$21)</f>
        <v>0</v>
      </c>
      <c r="E33" s="9" t="n">
        <f aca="false">(E28*Assumptions!$C$21)</f>
        <v>0</v>
      </c>
      <c r="F33" s="9" t="n">
        <f aca="false">(F28*Assumptions!$C$21)</f>
        <v>0</v>
      </c>
      <c r="G33" s="9" t="n">
        <f aca="false">(G28*Assumptions!$C$21)</f>
        <v>0</v>
      </c>
      <c r="H33" s="9" t="n">
        <f aca="false">(H28*Assumptions!$C$21)</f>
        <v>0</v>
      </c>
      <c r="I33" s="9" t="n">
        <f aca="false">(I28*Assumptions!$C$21)</f>
        <v>0</v>
      </c>
      <c r="J33" s="9" t="n">
        <f aca="false">(J28*Assumptions!$C$21)</f>
        <v>0</v>
      </c>
      <c r="K33" s="9" t="n">
        <f aca="false">(K28*Assumptions!$C$21)</f>
        <v>0</v>
      </c>
      <c r="L33" s="9" t="n">
        <f aca="false">(L28*Assumptions!$C$21)</f>
        <v>0</v>
      </c>
      <c r="M33" s="9" t="n">
        <f aca="false">(M28*Assumptions!$C$21)</f>
        <v>0</v>
      </c>
      <c r="N33" s="9" t="n">
        <f aca="false">(N28*Assumptions!$C$21)</f>
        <v>0</v>
      </c>
      <c r="O33" s="9" t="n">
        <f aca="false">(O28*Assumptions!$C$21)</f>
        <v>2.03199270906143</v>
      </c>
      <c r="P33" s="9" t="n">
        <f aca="false">(P28*Assumptions!$C$21)</f>
        <v>4.5369383194057</v>
      </c>
      <c r="Q33" s="9" t="n">
        <f aca="false">(Q28*Assumptions!$C$21)</f>
        <v>6.48556432641828</v>
      </c>
      <c r="R33" s="9" t="n">
        <f aca="false">(R28*Assumptions!$C$21)</f>
        <v>7.92273659667462</v>
      </c>
      <c r="S33" s="9" t="n">
        <f aca="false">(S28*Assumptions!$C$21)</f>
        <v>9.066241413584</v>
      </c>
      <c r="T33" s="9" t="n">
        <f aca="false">(T28*Assumptions!$C$21)</f>
        <v>9.75307807942154</v>
      </c>
      <c r="U33" s="9" t="n">
        <f aca="false">(U28*Assumptions!$C$21)</f>
        <v>10.2061170884938</v>
      </c>
      <c r="V33" s="9" t="n">
        <f aca="false">(V28*Assumptions!$C$21)</f>
        <v>11.0472515486081</v>
      </c>
      <c r="W33" s="9" t="n">
        <f aca="false">(W28*Assumptions!$C$21)</f>
        <v>13.735909875259</v>
      </c>
      <c r="X33" s="9" t="n">
        <f aca="false">(X28*Assumptions!$C$21)</f>
        <v>16.6675884859256</v>
      </c>
      <c r="Y33" s="9" t="n">
        <f aca="false">(Y28*Assumptions!$C$21)</f>
        <v>17.8044704189116</v>
      </c>
      <c r="Z33" s="9" t="n">
        <f aca="false">(Z28*Assumptions!$C$21)</f>
        <v>18.4288111426595</v>
      </c>
      <c r="AA33" s="9" t="n">
        <f aca="false">(AA28*Assumptions!$C$21)</f>
        <v>18.5695292430694</v>
      </c>
      <c r="AB33" s="9" t="n">
        <f aca="false">(AB28*Assumptions!$C$21)</f>
        <v>20.7000865502596</v>
      </c>
      <c r="AC33" s="9" t="n">
        <f aca="false">(AC28*Assumptions!$C$21)</f>
        <v>22.1343767409283</v>
      </c>
      <c r="AD33" s="9" t="n">
        <f aca="false">(AD28*Assumptions!$C$21)</f>
        <v>22.9338786416301</v>
      </c>
      <c r="AE33" s="9" t="n">
        <f aca="false">(AE28*Assumptions!$C$21)</f>
        <v>23.4233559549213</v>
      </c>
      <c r="AF33" s="9" t="n">
        <f aca="false">(AF28*Assumptions!$C$21)</f>
        <v>23.3501631377408</v>
      </c>
      <c r="AG33" s="9" t="n">
        <f aca="false">(AG28*Assumptions!$C$21)</f>
        <v>23.0422243987674</v>
      </c>
      <c r="AH33" s="9" t="n">
        <f aca="false">(AH28*Assumptions!$C$21)</f>
        <v>23.3929516220671</v>
      </c>
      <c r="AI33" s="9" t="n">
        <f aca="false">(AI28*Assumptions!$C$21)</f>
        <v>26.4514229453981</v>
      </c>
      <c r="AJ33" s="9" t="n">
        <f aca="false">(AJ28*Assumptions!$C$21)</f>
        <v>29.8700949283544</v>
      </c>
      <c r="AK33" s="9" t="n">
        <f aca="false">(AK28*Assumptions!$C$21)</f>
        <v>30.8024264294771</v>
      </c>
      <c r="AL33" s="9" t="n">
        <f aca="false">(AL28*Assumptions!$C$21)</f>
        <v>31.0611934871234</v>
      </c>
      <c r="AN33" s="11" t="n">
        <f aca="false">SUM(C33:N33)</f>
        <v>0</v>
      </c>
      <c r="AO33" s="11" t="n">
        <f aca="false">SUM(O33:Z33)</f>
        <v>127.686700004423</v>
      </c>
      <c r="AP33" s="11" t="n">
        <f aca="false">SUM(AA33:AL33)</f>
        <v>295.731704079737</v>
      </c>
    </row>
    <row r="34" customFormat="false" ht="15" hidden="false" customHeight="false" outlineLevel="0" collapsed="false">
      <c r="A34" s="0" t="s">
        <v>839</v>
      </c>
      <c r="B34" s="0" t="s">
        <v>500</v>
      </c>
      <c r="C34" s="9" t="n">
        <f aca="false">((0*(1-C31))+C32)</f>
        <v>0</v>
      </c>
      <c r="D34" s="9" t="n">
        <f aca="false">((C34*(1-D31))+D32)</f>
        <v>0</v>
      </c>
      <c r="E34" s="9" t="n">
        <f aca="false">((D34*(1-E31))+E32)</f>
        <v>0</v>
      </c>
      <c r="F34" s="9" t="n">
        <f aca="false">((E34*(1-F31))+F32)</f>
        <v>0</v>
      </c>
      <c r="G34" s="9" t="n">
        <f aca="false">((F34*(1-G31))+G32)</f>
        <v>0</v>
      </c>
      <c r="H34" s="9" t="n">
        <f aca="false">((G34*(1-H31))+H32)</f>
        <v>0</v>
      </c>
      <c r="I34" s="9" t="n">
        <f aca="false">((H34*(1-I31))+I32)</f>
        <v>0</v>
      </c>
      <c r="J34" s="9" t="n">
        <f aca="false">((I34*(1-J31))+J32)</f>
        <v>0</v>
      </c>
      <c r="K34" s="9" t="n">
        <f aca="false">((J34*(1-K31))+K32)</f>
        <v>0</v>
      </c>
      <c r="L34" s="9" t="n">
        <f aca="false">((K34*(1-L31))+L32)</f>
        <v>0</v>
      </c>
      <c r="M34" s="9" t="n">
        <f aca="false">((L34*(1-M31))+M32)</f>
        <v>0</v>
      </c>
      <c r="N34" s="9" t="n">
        <f aca="false">((M34*(1-N31))+N32)</f>
        <v>0</v>
      </c>
      <c r="O34" s="9" t="n">
        <f aca="false">((N34*(1-O31))+O32)</f>
        <v>2.48354664440842</v>
      </c>
      <c r="P34" s="9" t="n">
        <f aca="false">((O34*(1-P31))+P32)</f>
        <v>7.90451614701719</v>
      </c>
      <c r="Q34" s="9" t="n">
        <f aca="false">((P34*(1-Q31))+Q32)</f>
        <v>15.4360911830664</v>
      </c>
      <c r="R34" s="9" t="n">
        <f aca="false">((Q34*(1-R31))+R32)</f>
        <v>24.3476313531821</v>
      </c>
      <c r="S34" s="9" t="n">
        <f aca="false">((R34*(1-S31))+S32)</f>
        <v>34.2112115132368</v>
      </c>
      <c r="T34" s="9" t="n">
        <f aca="false">((S34*(1-T31))+T32)</f>
        <v>44.4210797013124</v>
      </c>
      <c r="U34" s="9" t="n">
        <f aca="false">((T34*(1-U31))+U32)</f>
        <v>54.6741688244058</v>
      </c>
      <c r="V34" s="9" t="n">
        <f aca="false">((U34*(1-V31))+V32)</f>
        <v>65.4426567203731</v>
      </c>
      <c r="W34" s="9" t="n">
        <f aca="false">((V34*(1-W31))+W32)</f>
        <v>78.9588581763377</v>
      </c>
      <c r="X34" s="9" t="n">
        <f aca="false">((W34*(1-X31))+X32)</f>
        <v>95.3824123058743</v>
      </c>
      <c r="Y34" s="9" t="n">
        <f aca="false">((X34*(1-Y31))+Y32)</f>
        <v>112.374311091472</v>
      </c>
      <c r="Z34" s="9" t="n">
        <f aca="false">((Y34*(1-Z31))+Z32)</f>
        <v>129.279698044594</v>
      </c>
      <c r="AA34" s="9" t="n">
        <f aca="false">((Z34*(1-AA31))+AA32)</f>
        <v>145.511804439449</v>
      </c>
      <c r="AB34" s="9" t="n">
        <f aca="false">((AA34*(1-AB31))+AB32)</f>
        <v>163.536320001127</v>
      </c>
      <c r="AC34" s="9" t="n">
        <f aca="false">((AB34*(1-AC31))+AC32)</f>
        <v>182.412631128872</v>
      </c>
      <c r="AD34" s="9" t="n">
        <f aca="false">((AC34*(1-AD31))+AD32)</f>
        <v>201.322295689976</v>
      </c>
      <c r="AE34" s="9" t="n">
        <f aca="false">((AD34*(1-AE31))+AE32)</f>
        <v>219.884727072603</v>
      </c>
      <c r="AF34" s="9" t="n">
        <f aca="false">((AE34*(1-AF31))+AF32)</f>
        <v>237.429578998434</v>
      </c>
      <c r="AG34" s="9" t="n">
        <f aca="false">((AF34*(1-AG31))+AG32)</f>
        <v>253.720818758117</v>
      </c>
      <c r="AH34" s="9" t="n">
        <f aca="false">((AG34*(1-AH31))+AH32)</f>
        <v>269.626163136071</v>
      </c>
      <c r="AI34" s="9" t="n">
        <f aca="false">((AH34*(1-AI31))+AI32)</f>
        <v>288.474371912532</v>
      </c>
      <c r="AJ34" s="9" t="n">
        <f aca="false">((AI34*(1-AJ31))+AJ32)</f>
        <v>310.558547118227</v>
      </c>
      <c r="AK34" s="9" t="n">
        <f aca="false">((AJ34*(1-AK31))+AK32)</f>
        <v>332.678029842788</v>
      </c>
      <c r="AL34" s="9" t="n">
        <f aca="false">((AK34*(1-AL31))+AL32)</f>
        <v>354.007809279355</v>
      </c>
      <c r="AN34" s="11" t="n">
        <f aca="false">N34</f>
        <v>0</v>
      </c>
      <c r="AO34" s="11" t="n">
        <f aca="false">Z34</f>
        <v>129.279698044594</v>
      </c>
      <c r="AP34" s="11" t="n">
        <f aca="false">AL34</f>
        <v>354.007809279355</v>
      </c>
    </row>
    <row r="35" customFormat="false" ht="15" hidden="false" customHeight="false" outlineLevel="0" collapsed="false">
      <c r="A35" s="0" t="s">
        <v>840</v>
      </c>
      <c r="B35" s="0" t="s">
        <v>193</v>
      </c>
      <c r="C35" s="12" t="n">
        <f aca="false">MAX(0,(1-((1-Assumptions!$C$23)*$C$6)))</f>
        <v>0.55</v>
      </c>
      <c r="D35" s="12" t="n">
        <f aca="false">MAX(0,(1-((1-Assumptions!$C$23)*$C$6)))</f>
        <v>0.55</v>
      </c>
      <c r="E35" s="12" t="n">
        <f aca="false">MAX(0,(1-((1-Assumptions!$C$23)*$C$6)))</f>
        <v>0.55</v>
      </c>
      <c r="F35" s="12" t="n">
        <f aca="false">MAX(0,(1-((1-Assumptions!$C$23)*$C$6)))</f>
        <v>0.55</v>
      </c>
      <c r="G35" s="12" t="n">
        <f aca="false">MAX(0,(1-((1-Assumptions!$C$23)*$C$6)))</f>
        <v>0.55</v>
      </c>
      <c r="H35" s="12" t="n">
        <f aca="false">MAX(0,(1-((1-Assumptions!$C$23)*$C$6)))</f>
        <v>0.55</v>
      </c>
      <c r="I35" s="12" t="n">
        <f aca="false">MAX(0,(1-((1-Assumptions!$C$23)*$C$6)))</f>
        <v>0.55</v>
      </c>
      <c r="J35" s="12" t="n">
        <f aca="false">MAX(0,(1-((1-Assumptions!$C$23)*$C$6)))</f>
        <v>0.55</v>
      </c>
      <c r="K35" s="12" t="n">
        <f aca="false">MAX(0,(1-((1-Assumptions!$C$23)*$C$6)))</f>
        <v>0.55</v>
      </c>
      <c r="L35" s="12" t="n">
        <f aca="false">MAX(0,(1-((1-Assumptions!$C$23)*$C$6)))</f>
        <v>0.55</v>
      </c>
      <c r="M35" s="12" t="n">
        <f aca="false">MAX(0,(1-((1-Assumptions!$C$23)*$C$6)))</f>
        <v>0.55</v>
      </c>
      <c r="N35" s="12" t="n">
        <f aca="false">MAX(0,(1-((1-Assumptions!$C$23)*$C$6)))</f>
        <v>0.55</v>
      </c>
      <c r="O35" s="12" t="n">
        <f aca="false">MAX(0,(1-((1-Assumptions!$C$23)*$C$6)))</f>
        <v>0.55</v>
      </c>
      <c r="P35" s="12" t="n">
        <f aca="false">MAX(0,(1-((1-Assumptions!$C$23)*$C$6)))</f>
        <v>0.55</v>
      </c>
      <c r="Q35" s="12" t="n">
        <f aca="false">MAX(0,(1-((1-Assumptions!$C$23)*$C$6)))</f>
        <v>0.55</v>
      </c>
      <c r="R35" s="12" t="n">
        <f aca="false">MAX(0,(1-((1-Assumptions!$C$23)*$C$6)))</f>
        <v>0.55</v>
      </c>
      <c r="S35" s="12" t="n">
        <f aca="false">MAX(0,(1-((1-Assumptions!$C$23)*$C$6)))</f>
        <v>0.55</v>
      </c>
      <c r="T35" s="12" t="n">
        <f aca="false">MAX(0,(1-((1-Assumptions!$C$23)*$C$6)))</f>
        <v>0.55</v>
      </c>
      <c r="U35" s="12" t="n">
        <f aca="false">MAX(0,(1-((1-Assumptions!$C$23)*$C$6)))</f>
        <v>0.55</v>
      </c>
      <c r="V35" s="12" t="n">
        <f aca="false">MAX(0,(1-((1-Assumptions!$C$23)*$C$6)))</f>
        <v>0.55</v>
      </c>
      <c r="W35" s="12" t="n">
        <f aca="false">MAX(0,(1-((1-Assumptions!$C$23)*$C$6)))</f>
        <v>0.55</v>
      </c>
      <c r="X35" s="12" t="n">
        <f aca="false">MAX(0,(1-((1-Assumptions!$C$23)*$C$6)))</f>
        <v>0.55</v>
      </c>
      <c r="Y35" s="12" t="n">
        <f aca="false">MAX(0,(1-((1-Assumptions!$C$23)*$C$6)))</f>
        <v>0.55</v>
      </c>
      <c r="Z35" s="12" t="n">
        <f aca="false">MAX(0,(1-((1-Assumptions!$C$23)*$C$6)))</f>
        <v>0.55</v>
      </c>
      <c r="AA35" s="12" t="n">
        <f aca="false">MAX(0,(1-((1-Assumptions!$C$23)*$C$6)))</f>
        <v>0.55</v>
      </c>
      <c r="AB35" s="12" t="n">
        <f aca="false">MAX(0,(1-((1-Assumptions!$C$23)*$C$6)))</f>
        <v>0.55</v>
      </c>
      <c r="AC35" s="12" t="n">
        <f aca="false">MAX(0,(1-((1-Assumptions!$C$23)*$C$6)))</f>
        <v>0.55</v>
      </c>
      <c r="AD35" s="12" t="n">
        <f aca="false">MAX(0,(1-((1-Assumptions!$C$23)*$C$6)))</f>
        <v>0.55</v>
      </c>
      <c r="AE35" s="12" t="n">
        <f aca="false">MAX(0,(1-((1-Assumptions!$C$23)*$C$6)))</f>
        <v>0.55</v>
      </c>
      <c r="AF35" s="12" t="n">
        <f aca="false">MAX(0,(1-((1-Assumptions!$C$23)*$C$6)))</f>
        <v>0.55</v>
      </c>
      <c r="AG35" s="12" t="n">
        <f aca="false">MAX(0,(1-((1-Assumptions!$C$23)*$C$6)))</f>
        <v>0.55</v>
      </c>
      <c r="AH35" s="12" t="n">
        <f aca="false">MAX(0,(1-((1-Assumptions!$C$23)*$C$6)))</f>
        <v>0.55</v>
      </c>
      <c r="AI35" s="12" t="n">
        <f aca="false">MAX(0,(1-((1-Assumptions!$C$23)*$C$6)))</f>
        <v>0.55</v>
      </c>
      <c r="AJ35" s="12" t="n">
        <f aca="false">MAX(0,(1-((1-Assumptions!$C$23)*$C$6)))</f>
        <v>0.55</v>
      </c>
      <c r="AK35" s="12" t="n">
        <f aca="false">MAX(0,(1-((1-Assumptions!$C$23)*$C$6)))</f>
        <v>0.55</v>
      </c>
      <c r="AL35" s="12" t="n">
        <f aca="false">MAX(0,(1-((1-Assumptions!$C$23)*$C$6)))</f>
        <v>0.55</v>
      </c>
    </row>
    <row r="36" customFormat="false" ht="15" hidden="false" customHeight="false" outlineLevel="0" collapsed="false">
      <c r="A36" s="0" t="s">
        <v>841</v>
      </c>
      <c r="B36" s="0" t="s">
        <v>500</v>
      </c>
      <c r="C36" s="9" t="n">
        <f aca="false">(C35*0)</f>
        <v>0</v>
      </c>
      <c r="D36" s="9" t="n">
        <f aca="false">(D35*0)</f>
        <v>0</v>
      </c>
      <c r="E36" s="9" t="n">
        <f aca="false">(E35*0)</f>
        <v>0</v>
      </c>
      <c r="F36" s="9" t="n">
        <f aca="false">(F35*0)</f>
        <v>0</v>
      </c>
      <c r="G36" s="9" t="n">
        <f aca="false">(G35*0)</f>
        <v>0</v>
      </c>
      <c r="H36" s="9" t="n">
        <f aca="false">(H35*0)</f>
        <v>0</v>
      </c>
      <c r="I36" s="9" t="n">
        <f aca="false">(I35*0)</f>
        <v>0</v>
      </c>
      <c r="J36" s="9" t="n">
        <f aca="false">(J35*0)</f>
        <v>0</v>
      </c>
      <c r="K36" s="9" t="n">
        <f aca="false">(K35*0)</f>
        <v>0</v>
      </c>
      <c r="L36" s="9" t="n">
        <f aca="false">(L35*0)</f>
        <v>0</v>
      </c>
      <c r="M36" s="9" t="n">
        <f aca="false">(M35*0)</f>
        <v>0</v>
      </c>
      <c r="N36" s="9" t="n">
        <f aca="false">(N35*0)</f>
        <v>0</v>
      </c>
      <c r="O36" s="9" t="n">
        <f aca="false">(O35*C37)</f>
        <v>0</v>
      </c>
      <c r="P36" s="9" t="n">
        <f aca="false">(P35*D37)</f>
        <v>0</v>
      </c>
      <c r="Q36" s="9" t="n">
        <f aca="false">(Q35*E37)</f>
        <v>0</v>
      </c>
      <c r="R36" s="9" t="n">
        <f aca="false">(R35*F37)</f>
        <v>0</v>
      </c>
      <c r="S36" s="9" t="n">
        <f aca="false">(S35*G37)</f>
        <v>0</v>
      </c>
      <c r="T36" s="9" t="n">
        <f aca="false">(T35*H37)</f>
        <v>0</v>
      </c>
      <c r="U36" s="9" t="n">
        <f aca="false">(U35*I37)</f>
        <v>0</v>
      </c>
      <c r="V36" s="9" t="n">
        <f aca="false">(V35*J37)</f>
        <v>0</v>
      </c>
      <c r="W36" s="9" t="n">
        <f aca="false">(W35*K37)</f>
        <v>0</v>
      </c>
      <c r="X36" s="9" t="n">
        <f aca="false">(X35*L37)</f>
        <v>0</v>
      </c>
      <c r="Y36" s="9" t="n">
        <f aca="false">(Y35*M37)</f>
        <v>0</v>
      </c>
      <c r="Z36" s="9" t="n">
        <f aca="false">(Z35*N37)</f>
        <v>0</v>
      </c>
      <c r="AA36" s="9" t="n">
        <f aca="false">(AA35*O37)</f>
        <v>1.11759598998379</v>
      </c>
      <c r="AB36" s="9" t="n">
        <f aca="false">(AB35*P37)</f>
        <v>2.49531607567314</v>
      </c>
      <c r="AC36" s="9" t="n">
        <f aca="false">(AC35*Q37)</f>
        <v>3.56706037953005</v>
      </c>
      <c r="AD36" s="9" t="n">
        <f aca="false">(AD35*R37)</f>
        <v>4.35750512817104</v>
      </c>
      <c r="AE36" s="9" t="n">
        <f aca="false">(AE35*S37)</f>
        <v>4.9864327774712</v>
      </c>
      <c r="AF36" s="9" t="n">
        <f aca="false">(AF35*T37)</f>
        <v>5.36419294368185</v>
      </c>
      <c r="AG36" s="9" t="n">
        <f aca="false">(AG35*U37)</f>
        <v>5.61336439867157</v>
      </c>
      <c r="AH36" s="9" t="n">
        <f aca="false">(AH35*V37)</f>
        <v>6.07598835173444</v>
      </c>
      <c r="AI36" s="9" t="n">
        <f aca="false">(AI35*W37)</f>
        <v>7.55475043139244</v>
      </c>
      <c r="AJ36" s="9" t="n">
        <f aca="false">(AJ35*X37)</f>
        <v>9.16717366725906</v>
      </c>
      <c r="AK36" s="9" t="n">
        <f aca="false">(AK35*Y37)</f>
        <v>9.79245873040136</v>
      </c>
      <c r="AL36" s="9" t="n">
        <f aca="false">(AL35*Z37)</f>
        <v>10.1358461284627</v>
      </c>
      <c r="AN36" s="11" t="n">
        <f aca="false">SUM(C36:N36)</f>
        <v>0</v>
      </c>
      <c r="AO36" s="11" t="n">
        <f aca="false">SUM(O36:Z36)</f>
        <v>0</v>
      </c>
      <c r="AP36" s="11" t="n">
        <f aca="false">SUM(AA36:AL36)</f>
        <v>70.2276850024327</v>
      </c>
    </row>
    <row r="37" customFormat="false" ht="15" hidden="false" customHeight="false" outlineLevel="0" collapsed="false">
      <c r="A37" s="0" t="s">
        <v>842</v>
      </c>
      <c r="B37" s="0" t="s">
        <v>500</v>
      </c>
      <c r="C37" s="9" t="n">
        <f aca="false">(C33+C36)</f>
        <v>0</v>
      </c>
      <c r="D37" s="9" t="n">
        <f aca="false">(D33+D36)</f>
        <v>0</v>
      </c>
      <c r="E37" s="9" t="n">
        <f aca="false">(E33+E36)</f>
        <v>0</v>
      </c>
      <c r="F37" s="9" t="n">
        <f aca="false">(F33+F36)</f>
        <v>0</v>
      </c>
      <c r="G37" s="9" t="n">
        <f aca="false">(G33+G36)</f>
        <v>0</v>
      </c>
      <c r="H37" s="9" t="n">
        <f aca="false">(H33+H36)</f>
        <v>0</v>
      </c>
      <c r="I37" s="9" t="n">
        <f aca="false">(I33+I36)</f>
        <v>0</v>
      </c>
      <c r="J37" s="9" t="n">
        <f aca="false">(J33+J36)</f>
        <v>0</v>
      </c>
      <c r="K37" s="9" t="n">
        <f aca="false">(K33+K36)</f>
        <v>0</v>
      </c>
      <c r="L37" s="9" t="n">
        <f aca="false">(L33+L36)</f>
        <v>0</v>
      </c>
      <c r="M37" s="9" t="n">
        <f aca="false">(M33+M36)</f>
        <v>0</v>
      </c>
      <c r="N37" s="9" t="n">
        <f aca="false">(N33+N36)</f>
        <v>0</v>
      </c>
      <c r="O37" s="9" t="n">
        <f aca="false">(O33+O36)</f>
        <v>2.03199270906143</v>
      </c>
      <c r="P37" s="9" t="n">
        <f aca="false">(P33+P36)</f>
        <v>4.5369383194057</v>
      </c>
      <c r="Q37" s="9" t="n">
        <f aca="false">(Q33+Q36)</f>
        <v>6.48556432641828</v>
      </c>
      <c r="R37" s="9" t="n">
        <f aca="false">(R33+R36)</f>
        <v>7.92273659667462</v>
      </c>
      <c r="S37" s="9" t="n">
        <f aca="false">(S33+S36)</f>
        <v>9.066241413584</v>
      </c>
      <c r="T37" s="9" t="n">
        <f aca="false">(T33+T36)</f>
        <v>9.75307807942154</v>
      </c>
      <c r="U37" s="9" t="n">
        <f aca="false">(U33+U36)</f>
        <v>10.2061170884938</v>
      </c>
      <c r="V37" s="9" t="n">
        <f aca="false">(V33+V36)</f>
        <v>11.0472515486081</v>
      </c>
      <c r="W37" s="9" t="n">
        <f aca="false">(W33+W36)</f>
        <v>13.735909875259</v>
      </c>
      <c r="X37" s="9" t="n">
        <f aca="false">(X33+X36)</f>
        <v>16.6675884859256</v>
      </c>
      <c r="Y37" s="9" t="n">
        <f aca="false">(Y33+Y36)</f>
        <v>17.8044704189116</v>
      </c>
      <c r="Z37" s="9" t="n">
        <f aca="false">(Z33+Z36)</f>
        <v>18.4288111426595</v>
      </c>
      <c r="AA37" s="9" t="n">
        <f aca="false">(AA33+AA36)</f>
        <v>19.6871252330532</v>
      </c>
      <c r="AB37" s="9" t="n">
        <f aca="false">(AB33+AB36)</f>
        <v>23.1954026259327</v>
      </c>
      <c r="AC37" s="9" t="n">
        <f aca="false">(AC33+AC36)</f>
        <v>25.7014371204583</v>
      </c>
      <c r="AD37" s="9" t="n">
        <f aca="false">(AD33+AD36)</f>
        <v>27.2913837698012</v>
      </c>
      <c r="AE37" s="9" t="n">
        <f aca="false">(AE33+AE36)</f>
        <v>28.4097887323925</v>
      </c>
      <c r="AF37" s="9" t="n">
        <f aca="false">(AF33+AF36)</f>
        <v>28.7143560814227</v>
      </c>
      <c r="AG37" s="9" t="n">
        <f aca="false">(AG33+AG36)</f>
        <v>28.655588797439</v>
      </c>
      <c r="AH37" s="9" t="n">
        <f aca="false">(AH33+AH36)</f>
        <v>29.4689399738016</v>
      </c>
      <c r="AI37" s="9" t="n">
        <f aca="false">(AI33+AI36)</f>
        <v>34.0061733767906</v>
      </c>
      <c r="AJ37" s="9" t="n">
        <f aca="false">(AJ33+AJ36)</f>
        <v>39.0372685956135</v>
      </c>
      <c r="AK37" s="9" t="n">
        <f aca="false">(AK33+AK36)</f>
        <v>40.5948851598784</v>
      </c>
      <c r="AL37" s="9" t="n">
        <f aca="false">(AL33+AL36)</f>
        <v>41.1970396155862</v>
      </c>
      <c r="AN37" s="11" t="n">
        <f aca="false">SUM(C37:N37)</f>
        <v>0</v>
      </c>
      <c r="AO37" s="11" t="n">
        <f aca="false">SUM(O37:Z37)</f>
        <v>127.686700004423</v>
      </c>
      <c r="AP37" s="11" t="n">
        <f aca="false">SUM(AA37:AL37)</f>
        <v>365.95938908217</v>
      </c>
    </row>
    <row r="38" customFormat="false" ht="15" hidden="false" customHeight="false" outlineLevel="0" collapsed="false">
      <c r="A38" s="0" t="s">
        <v>843</v>
      </c>
      <c r="B38" s="0" t="s">
        <v>500</v>
      </c>
      <c r="C38" s="9" t="n">
        <f aca="false">C37</f>
        <v>0</v>
      </c>
      <c r="D38" s="9" t="n">
        <f aca="false">SUM(C37:D37)</f>
        <v>0</v>
      </c>
      <c r="E38" s="9" t="n">
        <f aca="false">SUM(C37:E37)</f>
        <v>0</v>
      </c>
      <c r="F38" s="9" t="n">
        <f aca="false">SUM(C37:F37)</f>
        <v>0</v>
      </c>
      <c r="G38" s="9" t="n">
        <f aca="false">SUM(C37:G37)</f>
        <v>0</v>
      </c>
      <c r="H38" s="9" t="n">
        <f aca="false">SUM(C37:H37)</f>
        <v>0</v>
      </c>
      <c r="I38" s="9" t="n">
        <f aca="false">SUM(C37:I37)</f>
        <v>0</v>
      </c>
      <c r="J38" s="9" t="n">
        <f aca="false">SUM(C37:J37)</f>
        <v>0</v>
      </c>
      <c r="K38" s="9" t="n">
        <f aca="false">SUM(C37:K37)</f>
        <v>0</v>
      </c>
      <c r="L38" s="9" t="n">
        <f aca="false">SUM(C37:L37)</f>
        <v>0</v>
      </c>
      <c r="M38" s="9" t="n">
        <f aca="false">SUM(C37:M37)</f>
        <v>0</v>
      </c>
      <c r="N38" s="9" t="n">
        <f aca="false">SUM(C37:N37)</f>
        <v>0</v>
      </c>
      <c r="O38" s="9" t="n">
        <f aca="false">SUM(D37:O37)</f>
        <v>2.03199270906143</v>
      </c>
      <c r="P38" s="9" t="n">
        <f aca="false">SUM(E37:P37)</f>
        <v>6.56893102846713</v>
      </c>
      <c r="Q38" s="9" t="n">
        <f aca="false">SUM(F37:Q37)</f>
        <v>13.0544953548854</v>
      </c>
      <c r="R38" s="9" t="n">
        <f aca="false">SUM(G37:R37)</f>
        <v>20.97723195156</v>
      </c>
      <c r="S38" s="9" t="n">
        <f aca="false">SUM(H37:S37)</f>
        <v>30.043473365144</v>
      </c>
      <c r="T38" s="9" t="n">
        <f aca="false">SUM(I37:T37)</f>
        <v>39.7965514445656</v>
      </c>
      <c r="U38" s="9" t="n">
        <f aca="false">SUM(J37:U37)</f>
        <v>50.0026685330593</v>
      </c>
      <c r="V38" s="9" t="n">
        <f aca="false">SUM(K37:V37)</f>
        <v>61.0499200816674</v>
      </c>
      <c r="W38" s="9" t="n">
        <f aca="false">SUM(L37:W37)</f>
        <v>74.7858299569264</v>
      </c>
      <c r="X38" s="9" t="n">
        <f aca="false">SUM(M37:X37)</f>
        <v>91.4534184428519</v>
      </c>
      <c r="Y38" s="9" t="n">
        <f aca="false">SUM(N37:Y37)</f>
        <v>109.257888861763</v>
      </c>
      <c r="Z38" s="9" t="n">
        <f aca="false">SUM(O37:Z37)</f>
        <v>127.686700004423</v>
      </c>
      <c r="AA38" s="9" t="n">
        <f aca="false">SUM(P37:AA37)</f>
        <v>145.341832528415</v>
      </c>
      <c r="AB38" s="9" t="n">
        <f aca="false">SUM(Q37:AB37)</f>
        <v>164.000296834942</v>
      </c>
      <c r="AC38" s="9" t="n">
        <f aca="false">SUM(R37:AC37)</f>
        <v>183.216169628982</v>
      </c>
      <c r="AD38" s="9" t="n">
        <f aca="false">SUM(S37:AD37)</f>
        <v>202.584816802108</v>
      </c>
      <c r="AE38" s="9" t="n">
        <f aca="false">SUM(T37:AE37)</f>
        <v>221.928364120917</v>
      </c>
      <c r="AF38" s="9" t="n">
        <f aca="false">SUM(U37:AF37)</f>
        <v>240.889642122918</v>
      </c>
      <c r="AG38" s="9" t="n">
        <f aca="false">SUM(V37:AG37)</f>
        <v>259.339113831863</v>
      </c>
      <c r="AH38" s="9" t="n">
        <f aca="false">SUM(W37:AH37)</f>
        <v>277.760802257057</v>
      </c>
      <c r="AI38" s="9" t="n">
        <f aca="false">SUM(X37:AI37)</f>
        <v>298.031065758588</v>
      </c>
      <c r="AJ38" s="9" t="n">
        <f aca="false">SUM(Y37:AJ37)</f>
        <v>320.400745868276</v>
      </c>
      <c r="AK38" s="9" t="n">
        <f aca="false">SUM(Z37:AK37)</f>
        <v>343.191160609243</v>
      </c>
      <c r="AL38" s="9" t="n">
        <f aca="false">SUM(AA37:AL37)</f>
        <v>365.95938908217</v>
      </c>
      <c r="AN38" s="11" t="n">
        <f aca="false">N38</f>
        <v>0</v>
      </c>
      <c r="AO38" s="11" t="n">
        <f aca="false">Z38</f>
        <v>127.686700004423</v>
      </c>
      <c r="AP38" s="11" t="n">
        <f aca="false">AL38</f>
        <v>365.95938908217</v>
      </c>
    </row>
    <row r="39" customFormat="false" ht="15" hidden="false" customHeight="false" outlineLevel="0" collapsed="false">
      <c r="A39" s="0" t="s">
        <v>844</v>
      </c>
      <c r="B39" s="0" t="s">
        <v>500</v>
      </c>
      <c r="C39" s="9" t="n">
        <f aca="false">(C34+C38)</f>
        <v>0</v>
      </c>
      <c r="D39" s="9" t="n">
        <f aca="false">(D34+D38)</f>
        <v>0</v>
      </c>
      <c r="E39" s="9" t="n">
        <f aca="false">(E34+E38)</f>
        <v>0</v>
      </c>
      <c r="F39" s="9" t="n">
        <f aca="false">(F34+F38)</f>
        <v>0</v>
      </c>
      <c r="G39" s="9" t="n">
        <f aca="false">(G34+G38)</f>
        <v>0</v>
      </c>
      <c r="H39" s="9" t="n">
        <f aca="false">(H34+H38)</f>
        <v>0</v>
      </c>
      <c r="I39" s="9" t="n">
        <f aca="false">(I34+I38)</f>
        <v>0</v>
      </c>
      <c r="J39" s="9" t="n">
        <f aca="false">(J34+J38)</f>
        <v>0</v>
      </c>
      <c r="K39" s="9" t="n">
        <f aca="false">(K34+K38)</f>
        <v>0</v>
      </c>
      <c r="L39" s="9" t="n">
        <f aca="false">(L34+L38)</f>
        <v>0</v>
      </c>
      <c r="M39" s="9" t="n">
        <f aca="false">(M34+M38)</f>
        <v>0</v>
      </c>
      <c r="N39" s="9" t="n">
        <f aca="false">(N34+N38)</f>
        <v>0</v>
      </c>
      <c r="O39" s="9" t="n">
        <f aca="false">(O34+O38)</f>
        <v>4.51553935346985</v>
      </c>
      <c r="P39" s="9" t="n">
        <f aca="false">(P34+P38)</f>
        <v>14.4734471754843</v>
      </c>
      <c r="Q39" s="9" t="n">
        <f aca="false">(Q34+Q38)</f>
        <v>28.4905865379519</v>
      </c>
      <c r="R39" s="9" t="n">
        <f aca="false">(R34+R38)</f>
        <v>45.3248633047421</v>
      </c>
      <c r="S39" s="9" t="n">
        <f aca="false">(S34+S38)</f>
        <v>64.2546848783808</v>
      </c>
      <c r="T39" s="9" t="n">
        <f aca="false">(T34+T38)</f>
        <v>84.2176311458779</v>
      </c>
      <c r="U39" s="9" t="n">
        <f aca="false">(U34+U38)</f>
        <v>104.676837357465</v>
      </c>
      <c r="V39" s="9" t="n">
        <f aca="false">(V34+V38)</f>
        <v>126.492576802041</v>
      </c>
      <c r="W39" s="9" t="n">
        <f aca="false">(W34+W38)</f>
        <v>153.744688133264</v>
      </c>
      <c r="X39" s="9" t="n">
        <f aca="false">(X34+X38)</f>
        <v>186.835830748726</v>
      </c>
      <c r="Y39" s="9" t="n">
        <f aca="false">(Y34+Y38)</f>
        <v>221.632199953236</v>
      </c>
      <c r="Z39" s="9" t="n">
        <f aca="false">(Z34+Z38)</f>
        <v>256.966398049017</v>
      </c>
      <c r="AA39" s="9" t="n">
        <f aca="false">(AA34+AA38)</f>
        <v>290.853636967864</v>
      </c>
      <c r="AB39" s="9" t="n">
        <f aca="false">(AB34+AB38)</f>
        <v>327.536616836069</v>
      </c>
      <c r="AC39" s="9" t="n">
        <f aca="false">(AC34+AC38)</f>
        <v>365.628800757854</v>
      </c>
      <c r="AD39" s="9" t="n">
        <f aca="false">(AD34+AD38)</f>
        <v>403.907112492085</v>
      </c>
      <c r="AE39" s="9" t="n">
        <f aca="false">(AE34+AE38)</f>
        <v>441.81309119352</v>
      </c>
      <c r="AF39" s="9" t="n">
        <f aca="false">(AF34+AF38)</f>
        <v>478.319221121352</v>
      </c>
      <c r="AG39" s="9" t="n">
        <f aca="false">(AG34+AG38)</f>
        <v>513.05993258998</v>
      </c>
      <c r="AH39" s="9" t="n">
        <f aca="false">(AH34+AH38)</f>
        <v>547.386965393128</v>
      </c>
      <c r="AI39" s="9" t="n">
        <f aca="false">(AI34+AI38)</f>
        <v>586.50543767112</v>
      </c>
      <c r="AJ39" s="9" t="n">
        <f aca="false">(AJ34+AJ38)</f>
        <v>630.959292986504</v>
      </c>
      <c r="AK39" s="9" t="n">
        <f aca="false">(AK34+AK38)</f>
        <v>675.869190452031</v>
      </c>
      <c r="AL39" s="9" t="n">
        <f aca="false">(AL34+AL38)</f>
        <v>719.967198361525</v>
      </c>
      <c r="AN39" s="11" t="n">
        <f aca="false">N39</f>
        <v>0</v>
      </c>
      <c r="AO39" s="11" t="n">
        <f aca="false">Z39</f>
        <v>256.966398049017</v>
      </c>
      <c r="AP39" s="11" t="n">
        <f aca="false">AL39</f>
        <v>719.967198361525</v>
      </c>
    </row>
    <row r="40" customFormat="false" ht="15" hidden="false" customHeight="false" outlineLevel="0" collapsed="false">
      <c r="A40" s="0" t="s">
        <v>845</v>
      </c>
      <c r="B40" s="0" t="s">
        <v>500</v>
      </c>
      <c r="C40" s="9" t="n">
        <f aca="false">((0+C28)-C39)</f>
        <v>0</v>
      </c>
      <c r="D40" s="9" t="n">
        <f aca="false">((C39+D28)-D39)</f>
        <v>0</v>
      </c>
      <c r="E40" s="9" t="n">
        <f aca="false">((D39+E28)-E39)</f>
        <v>0</v>
      </c>
      <c r="F40" s="9" t="n">
        <f aca="false">((E39+F28)-F39)</f>
        <v>0</v>
      </c>
      <c r="G40" s="9" t="n">
        <f aca="false">((F39+G28)-G39)</f>
        <v>0</v>
      </c>
      <c r="H40" s="9" t="n">
        <f aca="false">((G39+H28)-H39)</f>
        <v>0</v>
      </c>
      <c r="I40" s="9" t="n">
        <f aca="false">((H39+I28)-I39)</f>
        <v>0</v>
      </c>
      <c r="J40" s="9" t="n">
        <f aca="false">((I39+J28)-J39)</f>
        <v>0</v>
      </c>
      <c r="K40" s="9" t="n">
        <f aca="false">((J39+K28)-K39)</f>
        <v>0</v>
      </c>
      <c r="L40" s="9" t="n">
        <f aca="false">((K39+L28)-L39)</f>
        <v>0</v>
      </c>
      <c r="M40" s="9" t="n">
        <f aca="false">((L39+M28)-M39)</f>
        <v>0</v>
      </c>
      <c r="N40" s="9" t="n">
        <f aca="false">((M39+N28)-N39)</f>
        <v>0</v>
      </c>
      <c r="O40" s="9" t="n">
        <f aca="false">((N39+O28)-O39)</f>
        <v>0</v>
      </c>
      <c r="P40" s="9" t="n">
        <f aca="false">((O39+P28)-P39)</f>
        <v>0.12417733222042</v>
      </c>
      <c r="Q40" s="9" t="n">
        <f aca="false">((P39+Q28)-Q39)</f>
        <v>0.395225807350862</v>
      </c>
      <c r="R40" s="9" t="n">
        <f aca="false">((Q39+R28)-R39)</f>
        <v>0.771804559153324</v>
      </c>
      <c r="S40" s="9" t="n">
        <f aca="false">((R39+S28)-S39)</f>
        <v>1.2173815676591</v>
      </c>
      <c r="T40" s="9" t="n">
        <f aca="false">((S39+T28)-T39)</f>
        <v>1.71056057566183</v>
      </c>
      <c r="U40" s="9" t="n">
        <f aca="false">((T39+U28)-U39)</f>
        <v>2.22105398506564</v>
      </c>
      <c r="V40" s="9" t="n">
        <f aca="false">((U39+V28)-V39)</f>
        <v>2.73370844122029</v>
      </c>
      <c r="W40" s="9" t="n">
        <f aca="false">((V39+W28)-W39)</f>
        <v>3.27213283601867</v>
      </c>
      <c r="X40" s="9" t="n">
        <f aca="false">((W39+X28)-X39)</f>
        <v>3.94794290881686</v>
      </c>
      <c r="Y40" s="9" t="n">
        <f aca="false">((X39+Y28)-Y39)</f>
        <v>4.76912061529373</v>
      </c>
      <c r="Z40" s="9" t="n">
        <f aca="false">((Y39+Z28)-Z39)</f>
        <v>5.61871555457367</v>
      </c>
      <c r="AA40" s="9" t="n">
        <f aca="false">((Z39+AA28)-AA39)</f>
        <v>7.37838162130731</v>
      </c>
      <c r="AB40" s="9" t="n">
        <f aca="false">((AA39+AB28)-AB39)</f>
        <v>9.31721246570498</v>
      </c>
      <c r="AC40" s="9" t="n">
        <f aca="false">((AB39+AC28)-AC39)</f>
        <v>11.0953199469446</v>
      </c>
      <c r="AD40" s="9" t="n">
        <f aca="false">((AC39+AD28)-AD39)</f>
        <v>12.6858630249472</v>
      </c>
      <c r="AE40" s="9" t="n">
        <f aca="false">((AD39+AE28)-AE39)</f>
        <v>14.1459234206117</v>
      </c>
      <c r="AF40" s="9" t="n">
        <f aca="false">((AE39+AF28)-AF39)</f>
        <v>15.3831214893698</v>
      </c>
      <c r="AG40" s="9" t="n">
        <f aca="false">((AF39+AG28)-AG39)</f>
        <v>16.464231639744</v>
      </c>
      <c r="AH40" s="9" t="n">
        <f aca="false">((AG39+AH28)-AH39)</f>
        <v>17.6573041347795</v>
      </c>
      <c r="AI40" s="9" t="n">
        <f aca="false">((AH39+AI28)-AI39)</f>
        <v>19.6624676006701</v>
      </c>
      <c r="AJ40" s="9" t="n">
        <f aca="false">((AI39+AJ28)-AJ39)</f>
        <v>21.9241334142932</v>
      </c>
      <c r="AK40" s="9" t="n">
        <f aca="false">((AJ39+AK28)-AK39)</f>
        <v>23.5399390444215</v>
      </c>
      <c r="AL40" s="9" t="n">
        <f aca="false">((AK39+AL28)-AL39)</f>
        <v>24.9268665063362</v>
      </c>
      <c r="AN40" s="11" t="n">
        <f aca="false">SUM(C40:N40)</f>
        <v>0</v>
      </c>
      <c r="AO40" s="11" t="n">
        <f aca="false">SUM(O40:Z40)</f>
        <v>26.7818241830344</v>
      </c>
      <c r="AP40" s="11" t="n">
        <f aca="false">SUM(AA40:AL40)</f>
        <v>194.18076430913</v>
      </c>
    </row>
    <row r="41" customFormat="false" ht="15" hidden="false" customHeight="false" outlineLevel="0" collapsed="false">
      <c r="A41" s="0" t="s">
        <v>846</v>
      </c>
      <c r="B41" s="0" t="s">
        <v>230</v>
      </c>
      <c r="C41" s="9" t="n">
        <f aca="false">((((Assumptions!$C$12*(1-Assumptions!$C$14))*C34)+((Assumptions!$C$13*(1-Assumptions!$C$14))*C37))*(1-Assumptions!$C$15))</f>
        <v>0</v>
      </c>
      <c r="D41" s="9" t="n">
        <f aca="false">((((Assumptions!$C$12*(1-Assumptions!$C$14))*D34)+((Assumptions!$C$13*(1-Assumptions!$C$14))*D37))*(1-Assumptions!$C$15))</f>
        <v>0</v>
      </c>
      <c r="E41" s="9" t="n">
        <f aca="false">((((Assumptions!$C$12*(1-Assumptions!$C$14))*E34)+((Assumptions!$C$13*(1-Assumptions!$C$14))*E37))*(1-Assumptions!$C$15))</f>
        <v>0</v>
      </c>
      <c r="F41" s="9" t="n">
        <f aca="false">((((Assumptions!$C$12*(1-Assumptions!$C$14))*F34)+((Assumptions!$C$13*(1-Assumptions!$C$14))*F37))*(1-Assumptions!$C$15))</f>
        <v>0</v>
      </c>
      <c r="G41" s="9" t="n">
        <f aca="false">((((Assumptions!$C$12*(1-Assumptions!$C$14))*G34)+((Assumptions!$C$13*(1-Assumptions!$C$14))*G37))*(1-Assumptions!$C$15))</f>
        <v>0</v>
      </c>
      <c r="H41" s="9" t="n">
        <f aca="false">((((Assumptions!$C$12*(1-Assumptions!$C$14))*H34)+((Assumptions!$C$13*(1-Assumptions!$C$14))*H37))*(1-Assumptions!$C$15))</f>
        <v>0</v>
      </c>
      <c r="I41" s="9" t="n">
        <f aca="false">((((Assumptions!$C$12*(1-Assumptions!$C$14))*I34)+((Assumptions!$C$13*(1-Assumptions!$C$14))*I37))*(1-Assumptions!$C$15))</f>
        <v>0</v>
      </c>
      <c r="J41" s="9" t="n">
        <f aca="false">((((Assumptions!$C$12*(1-Assumptions!$C$14))*J34)+((Assumptions!$C$13*(1-Assumptions!$C$14))*J37))*(1-Assumptions!$C$15))</f>
        <v>0</v>
      </c>
      <c r="K41" s="9" t="n">
        <f aca="false">((((Assumptions!$C$12*(1-Assumptions!$C$14))*K34)+((Assumptions!$C$13*(1-Assumptions!$C$14))*K37))*(1-Assumptions!$C$15))</f>
        <v>0</v>
      </c>
      <c r="L41" s="9" t="n">
        <f aca="false">((((Assumptions!$C$12*(1-Assumptions!$C$14))*L34)+((Assumptions!$C$13*(1-Assumptions!$C$14))*L37))*(1-Assumptions!$C$15))</f>
        <v>0</v>
      </c>
      <c r="M41" s="9" t="n">
        <f aca="false">((((Assumptions!$C$12*(1-Assumptions!$C$14))*M34)+((Assumptions!$C$13*(1-Assumptions!$C$14))*M37))*(1-Assumptions!$C$15))</f>
        <v>0</v>
      </c>
      <c r="N41" s="9" t="n">
        <f aca="false">((((Assumptions!$C$12*(1-Assumptions!$C$14))*N34)+((Assumptions!$C$13*(1-Assumptions!$C$14))*N37))*(1-Assumptions!$C$15))</f>
        <v>0</v>
      </c>
      <c r="O41" s="9" t="n">
        <f aca="false">((((Assumptions!$C$12*(1-Assumptions!$C$14))*O34)+((Assumptions!$C$13*(1-Assumptions!$C$14))*O37))*(1-Assumptions!$C$15))</f>
        <v>121.607982877657</v>
      </c>
      <c r="P41" s="9" t="n">
        <f aca="false">((((Assumptions!$C$12*(1-Assumptions!$C$14))*P34)+((Assumptions!$C$13*(1-Assumptions!$C$14))*P37))*(1-Assumptions!$C$15))</f>
        <v>287.926957961313</v>
      </c>
      <c r="Q41" s="9" t="n">
        <f aca="false">((((Assumptions!$C$12*(1-Assumptions!$C$14))*Q34)+((Assumptions!$C$13*(1-Assumptions!$C$14))*Q37))*(1-Assumptions!$C$15))</f>
        <v>440.356712315043</v>
      </c>
      <c r="R41" s="9" t="n">
        <f aca="false">((((Assumptions!$C$12*(1-Assumptions!$C$14))*R34)+((Assumptions!$C$13*(1-Assumptions!$C$14))*R37))*(1-Assumptions!$C$15))</f>
        <v>576.120353042797</v>
      </c>
      <c r="S41" s="9" t="n">
        <f aca="false">((((Assumptions!$C$12*(1-Assumptions!$C$14))*S34)+((Assumptions!$C$13*(1-Assumptions!$C$14))*S37))*(1-Assumptions!$C$15))</f>
        <v>703.425043098247</v>
      </c>
      <c r="T41" s="9" t="n">
        <f aca="false">((((Assumptions!$C$12*(1-Assumptions!$C$14))*T34)+((Assumptions!$C$13*(1-Assumptions!$C$14))*T37))*(1-Assumptions!$C$15))</f>
        <v>809.68885595449</v>
      </c>
      <c r="U41" s="9" t="n">
        <f aca="false">((((Assumptions!$C$12*(1-Assumptions!$C$14))*U34)+((Assumptions!$C$13*(1-Assumptions!$C$14))*U37))*(1-Assumptions!$C$15))</f>
        <v>904.248242156615</v>
      </c>
      <c r="V41" s="9" t="n">
        <f aca="false">((((Assumptions!$C$12*(1-Assumptions!$C$14))*V34)+((Assumptions!$C$13*(1-Assumptions!$C$14))*V37))*(1-Assumptions!$C$15))</f>
        <v>1022.31936405095</v>
      </c>
      <c r="W41" s="9" t="n">
        <f aca="false">((((Assumptions!$C$12*(1-Assumptions!$C$14))*W34)+((Assumptions!$C$13*(1-Assumptions!$C$14))*W37))*(1-Assumptions!$C$15))</f>
        <v>1254.36335472606</v>
      </c>
      <c r="X41" s="9" t="n">
        <f aca="false">((((Assumptions!$C$12*(1-Assumptions!$C$14))*X34)+((Assumptions!$C$13*(1-Assumptions!$C$14))*X37))*(1-Assumptions!$C$15))</f>
        <v>1519.10272760288</v>
      </c>
      <c r="Y41" s="9" t="n">
        <f aca="false">((((Assumptions!$C$12*(1-Assumptions!$C$14))*Y34)+((Assumptions!$C$13*(1-Assumptions!$C$14))*Y37))*(1-Assumptions!$C$15))</f>
        <v>1695.63551564298</v>
      </c>
      <c r="Z41" s="9" t="n">
        <f aca="false">((((Assumptions!$C$12*(1-Assumptions!$C$14))*Z34)+((Assumptions!$C$13*(1-Assumptions!$C$14))*Z37))*(1-Assumptions!$C$15))</f>
        <v>1845.24891436354</v>
      </c>
      <c r="AA41" s="9" t="n">
        <f aca="false">((((Assumptions!$C$12*(1-Assumptions!$C$14))*AA34)+((Assumptions!$C$13*(1-Assumptions!$C$14))*AA37))*(1-Assumptions!$C$15))</f>
        <v>2022.73359832443</v>
      </c>
      <c r="AB41" s="9" t="n">
        <f aca="false">((((Assumptions!$C$12*(1-Assumptions!$C$14))*AB34)+((Assumptions!$C$13*(1-Assumptions!$C$14))*AB37))*(1-Assumptions!$C$15))</f>
        <v>2328.21259319848</v>
      </c>
      <c r="AC41" s="9" t="n">
        <f aca="false">((((Assumptions!$C$12*(1-Assumptions!$C$14))*AC34)+((Assumptions!$C$13*(1-Assumptions!$C$14))*AC37))*(1-Assumptions!$C$15))</f>
        <v>2588.1518486731</v>
      </c>
      <c r="AD41" s="9" t="n">
        <f aca="false">((((Assumptions!$C$12*(1-Assumptions!$C$14))*AD34)+((Assumptions!$C$13*(1-Assumptions!$C$14))*AD37))*(1-Assumptions!$C$15))</f>
        <v>2801.28402996912</v>
      </c>
      <c r="AE41" s="9" t="n">
        <f aca="false">((((Assumptions!$C$12*(1-Assumptions!$C$14))*AE34)+((Assumptions!$C$13*(1-Assumptions!$C$14))*AE37))*(1-Assumptions!$C$15))</f>
        <v>2987.78907588485</v>
      </c>
      <c r="AF41" s="9" t="n">
        <f aca="false">((((Assumptions!$C$12*(1-Assumptions!$C$14))*AF34)+((Assumptions!$C$13*(1-Assumptions!$C$14))*AF37))*(1-Assumptions!$C$15))</f>
        <v>3125.42949295474</v>
      </c>
      <c r="AG41" s="9" t="n">
        <f aca="false">((((Assumptions!$C$12*(1-Assumptions!$C$14))*AG34)+((Assumptions!$C$13*(1-Assumptions!$C$14))*AG37))*(1-Assumptions!$C$15))</f>
        <v>3235.69627313012</v>
      </c>
      <c r="AH41" s="9" t="n">
        <f aca="false">((((Assumptions!$C$12*(1-Assumptions!$C$14))*AH34)+((Assumptions!$C$13*(1-Assumptions!$C$14))*AH37))*(1-Assumptions!$C$15))</f>
        <v>3388.06093081358</v>
      </c>
      <c r="AI41" s="9" t="n">
        <f aca="false">((((Assumptions!$C$12*(1-Assumptions!$C$14))*AI34)+((Assumptions!$C$13*(1-Assumptions!$C$14))*AI37))*(1-Assumptions!$C$15))</f>
        <v>3752.10216324449</v>
      </c>
      <c r="AJ41" s="9" t="n">
        <f aca="false">((((Assumptions!$C$12*(1-Assumptions!$C$14))*AJ34)+((Assumptions!$C$13*(1-Assumptions!$C$14))*AJ37))*(1-Assumptions!$C$15))</f>
        <v>4164.00399408736</v>
      </c>
      <c r="AK41" s="9" t="n">
        <f aca="false">((((Assumptions!$C$12*(1-Assumptions!$C$14))*AK34)+((Assumptions!$C$13*(1-Assumptions!$C$14))*AK37))*(1-Assumptions!$C$15))</f>
        <v>4397.79620280759</v>
      </c>
      <c r="AL41" s="9" t="n">
        <f aca="false">((((Assumptions!$C$12*(1-Assumptions!$C$14))*AL34)+((Assumptions!$C$13*(1-Assumptions!$C$14))*AL37))*(1-Assumptions!$C$15))</f>
        <v>4577.03627243166</v>
      </c>
      <c r="AN41" s="11" t="n">
        <f aca="false">SUM(C41:N41)</f>
        <v>0</v>
      </c>
      <c r="AO41" s="11" t="n">
        <f aca="false">SUM(O41:Z41)</f>
        <v>11180.0440237926</v>
      </c>
      <c r="AP41" s="11" t="n">
        <f aca="false">SUM(AA41:AL41)</f>
        <v>39368.2964755195</v>
      </c>
    </row>
    <row r="42" customFormat="false" ht="15" hidden="false" customHeight="false" outlineLevel="0" collapsed="false">
      <c r="A42" s="0" t="s">
        <v>847</v>
      </c>
      <c r="B42" s="0" t="s">
        <v>230</v>
      </c>
      <c r="C42" s="9" t="n">
        <f aca="false">((((Assumptions!$C$12*(1-Assumptions!$C$14))*C34)+(((Assumptions!$C$13*(1-Assumptions!$C$14))/12)*C38))*(1-Assumptions!$C$15))</f>
        <v>0</v>
      </c>
      <c r="D42" s="9" t="n">
        <f aca="false">((((Assumptions!$C$12*(1-Assumptions!$C$14))*D34)+(((Assumptions!$C$13*(1-Assumptions!$C$14))/12)*D38))*(1-Assumptions!$C$15))</f>
        <v>0</v>
      </c>
      <c r="E42" s="9" t="n">
        <f aca="false">((((Assumptions!$C$12*(1-Assumptions!$C$14))*E34)+(((Assumptions!$C$13*(1-Assumptions!$C$14))/12)*E38))*(1-Assumptions!$C$15))</f>
        <v>0</v>
      </c>
      <c r="F42" s="9" t="n">
        <f aca="false">((((Assumptions!$C$12*(1-Assumptions!$C$14))*F34)+(((Assumptions!$C$13*(1-Assumptions!$C$14))/12)*F38))*(1-Assumptions!$C$15))</f>
        <v>0</v>
      </c>
      <c r="G42" s="9" t="n">
        <f aca="false">((((Assumptions!$C$12*(1-Assumptions!$C$14))*G34)+(((Assumptions!$C$13*(1-Assumptions!$C$14))/12)*G38))*(1-Assumptions!$C$15))</f>
        <v>0</v>
      </c>
      <c r="H42" s="9" t="n">
        <f aca="false">((((Assumptions!$C$12*(1-Assumptions!$C$14))*H34)+(((Assumptions!$C$13*(1-Assumptions!$C$14))/12)*H38))*(1-Assumptions!$C$15))</f>
        <v>0</v>
      </c>
      <c r="I42" s="9" t="n">
        <f aca="false">((((Assumptions!$C$12*(1-Assumptions!$C$14))*I34)+(((Assumptions!$C$13*(1-Assumptions!$C$14))/12)*I38))*(1-Assumptions!$C$15))</f>
        <v>0</v>
      </c>
      <c r="J42" s="9" t="n">
        <f aca="false">((((Assumptions!$C$12*(1-Assumptions!$C$14))*J34)+(((Assumptions!$C$13*(1-Assumptions!$C$14))/12)*J38))*(1-Assumptions!$C$15))</f>
        <v>0</v>
      </c>
      <c r="K42" s="9" t="n">
        <f aca="false">((((Assumptions!$C$12*(1-Assumptions!$C$14))*K34)+(((Assumptions!$C$13*(1-Assumptions!$C$14))/12)*K38))*(1-Assumptions!$C$15))</f>
        <v>0</v>
      </c>
      <c r="L42" s="9" t="n">
        <f aca="false">((((Assumptions!$C$12*(1-Assumptions!$C$14))*L34)+(((Assumptions!$C$13*(1-Assumptions!$C$14))/12)*L38))*(1-Assumptions!$C$15))</f>
        <v>0</v>
      </c>
      <c r="M42" s="9" t="n">
        <f aca="false">((((Assumptions!$C$12*(1-Assumptions!$C$14))*M34)+(((Assumptions!$C$13*(1-Assumptions!$C$14))/12)*M38))*(1-Assumptions!$C$15))</f>
        <v>0</v>
      </c>
      <c r="N42" s="9" t="n">
        <f aca="false">((((Assumptions!$C$12*(1-Assumptions!$C$14))*N34)+(((Assumptions!$C$13*(1-Assumptions!$C$14))/12)*N38))*(1-Assumptions!$C$15))</f>
        <v>0</v>
      </c>
      <c r="O42" s="9" t="n">
        <f aca="false">((((Assumptions!$C$12*(1-Assumptions!$C$14))*O34)+(((Assumptions!$C$13*(1-Assumptions!$C$14))/12)*O38))*(1-Assumptions!$C$15))</f>
        <v>25.964676852839</v>
      </c>
      <c r="P42" s="9" t="n">
        <f aca="false">((((Assumptions!$C$12*(1-Assumptions!$C$14))*P34)+(((Assumptions!$C$13*(1-Assumptions!$C$14))/12)*P38))*(1-Assumptions!$C$15))</f>
        <v>83.0739018655001</v>
      </c>
      <c r="Q42" s="9" t="n">
        <f aca="false">((((Assumptions!$C$12*(1-Assumptions!$C$14))*Q34)+(((Assumptions!$C$13*(1-Assumptions!$C$14))/12)*Q38))*(1-Assumptions!$C$15))</f>
        <v>163.197760212586</v>
      </c>
      <c r="R42" s="9" t="n">
        <f aca="false">((((Assumptions!$C$12*(1-Assumptions!$C$14))*R34)+(((Assumptions!$C$13*(1-Assumptions!$C$14))/12)*R38))*(1-Assumptions!$C$15))</f>
        <v>259.067102187655</v>
      </c>
      <c r="S42" s="9" t="n">
        <f aca="false">((((Assumptions!$C$12*(1-Assumptions!$C$14))*S34)+(((Assumptions!$C$13*(1-Assumptions!$C$14))/12)*S38))*(1-Assumptions!$C$15))</f>
        <v>366.449670308577</v>
      </c>
      <c r="T42" s="9" t="n">
        <f aca="false">((((Assumptions!$C$12*(1-Assumptions!$C$14))*T34)+(((Assumptions!$C$13*(1-Assumptions!$C$14))/12)*T38))*(1-Assumptions!$C$15))</f>
        <v>479.179177373287</v>
      </c>
      <c r="U42" s="9" t="n">
        <f aca="false">((((Assumptions!$C$12*(1-Assumptions!$C$14))*U34)+(((Assumptions!$C$13*(1-Assumptions!$C$14))/12)*U38))*(1-Assumptions!$C$15))</f>
        <v>594.147772318012</v>
      </c>
      <c r="V42" s="9" t="n">
        <f aca="false">((((Assumptions!$C$12*(1-Assumptions!$C$14))*V34)+(((Assumptions!$C$13*(1-Assumptions!$C$14))/12)*V38))*(1-Assumptions!$C$15))</f>
        <v>716.299487489941</v>
      </c>
      <c r="W42" s="9" t="n">
        <f aca="false">((((Assumptions!$C$12*(1-Assumptions!$C$14))*W34)+(((Assumptions!$C$13*(1-Assumptions!$C$14))/12)*W38))*(1-Assumptions!$C$15))</f>
        <v>869.062671964164</v>
      </c>
      <c r="X42" s="9" t="n">
        <f aca="false">((((Assumptions!$C$12*(1-Assumptions!$C$14))*X34)+(((Assumptions!$C$13*(1-Assumptions!$C$14))/12)*X38))*(1-Assumptions!$C$15))</f>
        <v>1054.58728548562</v>
      </c>
      <c r="Y42" s="9" t="n">
        <f aca="false">((((Assumptions!$C$12*(1-Assumptions!$C$14))*Y34)+(((Assumptions!$C$13*(1-Assumptions!$C$14))/12)*Y38))*(1-Assumptions!$C$15))</f>
        <v>1248.9286849061</v>
      </c>
      <c r="Z42" s="9" t="n">
        <f aca="false">((((Assumptions!$C$12*(1-Assumptions!$C$14))*Z34)+(((Assumptions!$C$13*(1-Assumptions!$C$14))/12)*Z38))*(1-Assumptions!$C$15))</f>
        <v>1445.34004560502</v>
      </c>
      <c r="AA42" s="9" t="n">
        <f aca="false">((((Assumptions!$C$12*(1-Assumptions!$C$14))*AA34)+(((Assumptions!$C$13*(1-Assumptions!$C$14))/12)*AA38))*(1-Assumptions!$C$15))</f>
        <v>1633.75906583846</v>
      </c>
      <c r="AB42" s="9" t="n">
        <f aca="false">((((Assumptions!$C$12*(1-Assumptions!$C$14))*AB34)+(((Assumptions!$C$13*(1-Assumptions!$C$14))/12)*AB38))*(1-Assumptions!$C$15))</f>
        <v>1838.93518793217</v>
      </c>
      <c r="AC42" s="9" t="n">
        <f aca="false">((((Assumptions!$C$12*(1-Assumptions!$C$14))*AC34)+(((Assumptions!$C$13*(1-Assumptions!$C$14))/12)*AC38))*(1-Assumptions!$C$15))</f>
        <v>2052.41957528112</v>
      </c>
      <c r="AD42" s="9" t="n">
        <f aca="false">((((Assumptions!$C$12*(1-Assumptions!$C$14))*AD34)+(((Assumptions!$C$13*(1-Assumptions!$C$14))/12)*AD38))*(1-Assumptions!$C$15))</f>
        <v>2266.7896100483</v>
      </c>
      <c r="AE42" s="9" t="n">
        <f aca="false">((((Assumptions!$C$12*(1-Assumptions!$C$14))*AE34)+(((Assumptions!$C$13*(1-Assumptions!$C$14))/12)*AE38))*(1-Assumptions!$C$15))</f>
        <v>2478.63768885488</v>
      </c>
      <c r="AF42" s="9" t="n">
        <f aca="false">((((Assumptions!$C$12*(1-Assumptions!$C$14))*AF34)+(((Assumptions!$C$13*(1-Assumptions!$C$14))/12)*AF38))*(1-Assumptions!$C$15))</f>
        <v>2681.77410759559</v>
      </c>
      <c r="AG42" s="9" t="n">
        <f aca="false">((((Assumptions!$C$12*(1-Assumptions!$C$14))*AG34)+(((Assumptions!$C$13*(1-Assumptions!$C$14))/12)*AG38))*(1-Assumptions!$C$15))</f>
        <v>2874.00328084456</v>
      </c>
      <c r="AH42" s="9" t="n">
        <f aca="false">((((Assumptions!$C$12*(1-Assumptions!$C$14))*AH34)+(((Assumptions!$C$13*(1-Assumptions!$C$14))/12)*AH38))*(1-Assumptions!$C$15))</f>
        <v>3063.4301705587</v>
      </c>
      <c r="AI42" s="9" t="n">
        <f aca="false">((((Assumptions!$C$12*(1-Assumptions!$C$14))*AI34)+(((Assumptions!$C$13*(1-Assumptions!$C$14))/12)*AI38))*(1-Assumptions!$C$15))</f>
        <v>3281.23085414941</v>
      </c>
      <c r="AJ42" s="9" t="n">
        <f aca="false">((((Assumptions!$C$12*(1-Assumptions!$C$14))*AJ34)+(((Assumptions!$C$13*(1-Assumptions!$C$14))/12)*AJ38))*(1-Assumptions!$C$15))</f>
        <v>3530.51681897208</v>
      </c>
      <c r="AK42" s="9" t="n">
        <f aca="false">((((Assumptions!$C$12*(1-Assumptions!$C$14))*AK34)+(((Assumptions!$C$13*(1-Assumptions!$C$14))/12)*AK38))*(1-Assumptions!$C$15))</f>
        <v>3781.84861455164</v>
      </c>
      <c r="AL42" s="9" t="n">
        <f aca="false">((((Assumptions!$C$12*(1-Assumptions!$C$14))*AL34)+(((Assumptions!$C$13*(1-Assumptions!$C$14))/12)*AL38))*(1-Assumptions!$C$15))</f>
        <v>4027.5941182603</v>
      </c>
      <c r="AN42" s="11" t="n">
        <f aca="false">SUM(C42:N42)</f>
        <v>0</v>
      </c>
      <c r="AO42" s="11" t="n">
        <f aca="false">SUM(O42:Z42)</f>
        <v>7305.29823656931</v>
      </c>
      <c r="AP42" s="11" t="n">
        <f aca="false">SUM(AA42:AL42)</f>
        <v>33510.9390928872</v>
      </c>
    </row>
    <row r="43" customFormat="false" ht="15" hidden="false" customHeight="false" outlineLevel="0" collapsed="false">
      <c r="A43" s="21" t="s">
        <v>848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</row>
    <row r="44" customFormat="false" ht="15" hidden="false" customHeight="false" outlineLevel="0" collapsed="false">
      <c r="A44" s="0" t="s">
        <v>849</v>
      </c>
      <c r="B44" s="0" t="s">
        <v>160</v>
      </c>
      <c r="C44" s="14" t="n">
        <f aca="false">IF(AND(($C$14=1),(C$18&gt;=(Assumptions!$C$106+1)),(C$18&lt;=(Assumptions!$C$106+6))),Assumptions!$C$117,1)</f>
        <v>1</v>
      </c>
      <c r="D44" s="14" t="n">
        <f aca="false">IF(AND(($C$14=1),(D$18&gt;=(Assumptions!$C$106+1)),(D$18&lt;=(Assumptions!$C$106+6))),Assumptions!$C$117,1)</f>
        <v>1</v>
      </c>
      <c r="E44" s="14" t="n">
        <f aca="false">IF(AND(($C$14=1),(E$18&gt;=(Assumptions!$C$106+1)),(E$18&lt;=(Assumptions!$C$106+6))),Assumptions!$C$117,1)</f>
        <v>1</v>
      </c>
      <c r="F44" s="14" t="n">
        <f aca="false">IF(AND(($C$14=1),(F$18&gt;=(Assumptions!$C$106+1)),(F$18&lt;=(Assumptions!$C$106+6))),Assumptions!$C$117,1)</f>
        <v>1</v>
      </c>
      <c r="G44" s="14" t="n">
        <f aca="false">IF(AND(($C$14=1),(G$18&gt;=(Assumptions!$C$106+1)),(G$18&lt;=(Assumptions!$C$106+6))),Assumptions!$C$117,1)</f>
        <v>1</v>
      </c>
      <c r="H44" s="14" t="n">
        <f aca="false">IF(AND(($C$14=1),(H$18&gt;=(Assumptions!$C$106+1)),(H$18&lt;=(Assumptions!$C$106+6))),Assumptions!$C$117,1)</f>
        <v>1</v>
      </c>
      <c r="I44" s="14" t="n">
        <f aca="false">IF(AND(($C$14=1),(I$18&gt;=(Assumptions!$C$106+1)),(I$18&lt;=(Assumptions!$C$106+6))),Assumptions!$C$117,1)</f>
        <v>1</v>
      </c>
      <c r="J44" s="14" t="n">
        <f aca="false">IF(AND(($C$14=1),(J$18&gt;=(Assumptions!$C$106+1)),(J$18&lt;=(Assumptions!$C$106+6))),Assumptions!$C$117,1)</f>
        <v>1</v>
      </c>
      <c r="K44" s="14" t="n">
        <f aca="false">IF(AND(($C$14=1),(K$18&gt;=(Assumptions!$C$106+1)),(K$18&lt;=(Assumptions!$C$106+6))),Assumptions!$C$117,1)</f>
        <v>1</v>
      </c>
      <c r="L44" s="14" t="n">
        <f aca="false">IF(AND(($C$14=1),(L$18&gt;=(Assumptions!$C$106+1)),(L$18&lt;=(Assumptions!$C$106+6))),Assumptions!$C$117,1)</f>
        <v>1</v>
      </c>
      <c r="M44" s="14" t="n">
        <f aca="false">IF(AND(($C$14=1),(M$18&gt;=(Assumptions!$C$106+1)),(M$18&lt;=(Assumptions!$C$106+6))),Assumptions!$C$117,1)</f>
        <v>1</v>
      </c>
      <c r="N44" s="14" t="n">
        <f aca="false">IF(AND(($C$14=1),(N$18&gt;=(Assumptions!$C$106+1)),(N$18&lt;=(Assumptions!$C$106+6))),Assumptions!$C$117,1)</f>
        <v>1</v>
      </c>
      <c r="O44" s="14" t="n">
        <f aca="false">IF(AND(($C$14=1),(O$18&gt;=(Assumptions!$C$106+1)),(O$18&lt;=(Assumptions!$C$106+6))),Assumptions!$C$117,1)</f>
        <v>1</v>
      </c>
      <c r="P44" s="14" t="n">
        <f aca="false">IF(AND(($C$14=1),(P$18&gt;=(Assumptions!$C$106+1)),(P$18&lt;=(Assumptions!$C$106+6))),Assumptions!$C$117,1)</f>
        <v>1</v>
      </c>
      <c r="Q44" s="14" t="n">
        <f aca="false">IF(AND(($C$14=1),(Q$18&gt;=(Assumptions!$C$106+1)),(Q$18&lt;=(Assumptions!$C$106+6))),Assumptions!$C$117,1)</f>
        <v>1</v>
      </c>
      <c r="R44" s="14" t="n">
        <f aca="false">IF(AND(($C$14=1),(R$18&gt;=(Assumptions!$C$106+1)),(R$18&lt;=(Assumptions!$C$106+6))),Assumptions!$C$117,1)</f>
        <v>1</v>
      </c>
      <c r="S44" s="14" t="n">
        <f aca="false">IF(AND(($C$14=1),(S$18&gt;=(Assumptions!$C$106+1)),(S$18&lt;=(Assumptions!$C$106+6))),Assumptions!$C$117,1)</f>
        <v>1</v>
      </c>
      <c r="T44" s="14" t="n">
        <f aca="false">IF(AND(($C$14=1),(T$18&gt;=(Assumptions!$C$106+1)),(T$18&lt;=(Assumptions!$C$106+6))),Assumptions!$C$117,1)</f>
        <v>1</v>
      </c>
      <c r="U44" s="14" t="n">
        <f aca="false">IF(AND(($C$14=1),(U$18&gt;=(Assumptions!$C$106+1)),(U$18&lt;=(Assumptions!$C$106+6))),Assumptions!$C$117,1)</f>
        <v>1</v>
      </c>
      <c r="V44" s="14" t="n">
        <f aca="false">IF(AND(($C$14=1),(V$18&gt;=(Assumptions!$C$106+1)),(V$18&lt;=(Assumptions!$C$106+6))),Assumptions!$C$117,1)</f>
        <v>1</v>
      </c>
      <c r="W44" s="14" t="n">
        <f aca="false">IF(AND(($C$14=1),(W$18&gt;=(Assumptions!$C$106+1)),(W$18&lt;=(Assumptions!$C$106+6))),Assumptions!$C$117,1)</f>
        <v>1</v>
      </c>
      <c r="X44" s="14" t="n">
        <f aca="false">IF(AND(($C$14=1),(X$18&gt;=(Assumptions!$C$106+1)),(X$18&lt;=(Assumptions!$C$106+6))),Assumptions!$C$117,1)</f>
        <v>1</v>
      </c>
      <c r="Y44" s="14" t="n">
        <f aca="false">IF(AND(($C$14=1),(Y$18&gt;=(Assumptions!$C$106+1)),(Y$18&lt;=(Assumptions!$C$106+6))),Assumptions!$C$117,1)</f>
        <v>1</v>
      </c>
      <c r="Z44" s="14" t="n">
        <f aca="false">IF(AND(($C$14=1),(Z$18&gt;=(Assumptions!$C$106+1)),(Z$18&lt;=(Assumptions!$C$106+6))),Assumptions!$C$117,1)</f>
        <v>1</v>
      </c>
      <c r="AA44" s="14" t="n">
        <f aca="false">IF(AND(($C$14=1),(AA$18&gt;=(Assumptions!$C$106+1)),(AA$18&lt;=(Assumptions!$C$106+6))),Assumptions!$C$117,1)</f>
        <v>1</v>
      </c>
      <c r="AB44" s="14" t="n">
        <f aca="false">IF(AND(($C$14=1),(AB$18&gt;=(Assumptions!$C$106+1)),(AB$18&lt;=(Assumptions!$C$106+6))),Assumptions!$C$117,1)</f>
        <v>1</v>
      </c>
      <c r="AC44" s="14" t="n">
        <f aca="false">IF(AND(($C$14=1),(AC$18&gt;=(Assumptions!$C$106+1)),(AC$18&lt;=(Assumptions!$C$106+6))),Assumptions!$C$117,1)</f>
        <v>1</v>
      </c>
      <c r="AD44" s="14" t="n">
        <f aca="false">IF(AND(($C$14=1),(AD$18&gt;=(Assumptions!$C$106+1)),(AD$18&lt;=(Assumptions!$C$106+6))),Assumptions!$C$117,1)</f>
        <v>1</v>
      </c>
      <c r="AE44" s="14" t="n">
        <f aca="false">IF(AND(($C$14=1),(AE$18&gt;=(Assumptions!$C$106+1)),(AE$18&lt;=(Assumptions!$C$106+6))),Assumptions!$C$117,1)</f>
        <v>1</v>
      </c>
      <c r="AF44" s="14" t="n">
        <f aca="false">IF(AND(($C$14=1),(AF$18&gt;=(Assumptions!$C$106+1)),(AF$18&lt;=(Assumptions!$C$106+6))),Assumptions!$C$117,1)</f>
        <v>1</v>
      </c>
      <c r="AG44" s="14" t="n">
        <f aca="false">IF(AND(($C$14=1),(AG$18&gt;=(Assumptions!$C$106+1)),(AG$18&lt;=(Assumptions!$C$106+6))),Assumptions!$C$117,1)</f>
        <v>1</v>
      </c>
      <c r="AH44" s="14" t="n">
        <f aca="false">IF(AND(($C$14=1),(AH$18&gt;=(Assumptions!$C$106+1)),(AH$18&lt;=(Assumptions!$C$106+6))),Assumptions!$C$117,1)</f>
        <v>1</v>
      </c>
      <c r="AI44" s="14" t="n">
        <f aca="false">IF(AND(($C$14=1),(AI$18&gt;=(Assumptions!$C$106+1)),(AI$18&lt;=(Assumptions!$C$106+6))),Assumptions!$C$117,1)</f>
        <v>1</v>
      </c>
      <c r="AJ44" s="14" t="n">
        <f aca="false">IF(AND(($C$14=1),(AJ$18&gt;=(Assumptions!$C$106+1)),(AJ$18&lt;=(Assumptions!$C$106+6))),Assumptions!$C$117,1)</f>
        <v>1</v>
      </c>
      <c r="AK44" s="14" t="n">
        <f aca="false">IF(AND(($C$14=1),(AK$18&gt;=(Assumptions!$C$106+1)),(AK$18&lt;=(Assumptions!$C$106+6))),Assumptions!$C$117,1)</f>
        <v>1</v>
      </c>
      <c r="AL44" s="14" t="n">
        <f aca="false">IF(AND(($C$14=1),(AL$18&gt;=(Assumptions!$C$106+1)),(AL$18&lt;=(Assumptions!$C$106+6))),Assumptions!$C$117,1)</f>
        <v>1</v>
      </c>
    </row>
    <row r="45" customFormat="false" ht="15" hidden="false" customHeight="false" outlineLevel="0" collapsed="false">
      <c r="A45" s="0" t="s">
        <v>850</v>
      </c>
      <c r="B45" s="0" t="s">
        <v>193</v>
      </c>
      <c r="C45" s="12" t="n">
        <f aca="false">MAX(0,((1-((1-Assumptions!$C$30)*$C$6))-IF(AND(($C$14=1),(C$18&gt;=Assumptions!$C$106),(C$18&lt;=(Assumptions!$C$106+11))),Assumptions!$C$116,0)))</f>
        <v>0.88</v>
      </c>
      <c r="D45" s="12" t="n">
        <f aca="false">MAX(0,((1-((1-Assumptions!$C$30)*$C$6))-IF(AND(($C$14=1),(D$18&gt;=Assumptions!$C$106),(D$18&lt;=(Assumptions!$C$106+11))),Assumptions!$C$116,0)))</f>
        <v>0.88</v>
      </c>
      <c r="E45" s="12" t="n">
        <f aca="false">MAX(0,((1-((1-Assumptions!$C$30)*$C$6))-IF(AND(($C$14=1),(E$18&gt;=Assumptions!$C$106),(E$18&lt;=(Assumptions!$C$106+11))),Assumptions!$C$116,0)))</f>
        <v>0.88</v>
      </c>
      <c r="F45" s="12" t="n">
        <f aca="false">MAX(0,((1-((1-Assumptions!$C$30)*$C$6))-IF(AND(($C$14=1),(F$18&gt;=Assumptions!$C$106),(F$18&lt;=(Assumptions!$C$106+11))),Assumptions!$C$116,0)))</f>
        <v>0.88</v>
      </c>
      <c r="G45" s="12" t="n">
        <f aca="false">MAX(0,((1-((1-Assumptions!$C$30)*$C$6))-IF(AND(($C$14=1),(G$18&gt;=Assumptions!$C$106),(G$18&lt;=(Assumptions!$C$106+11))),Assumptions!$C$116,0)))</f>
        <v>0.88</v>
      </c>
      <c r="H45" s="12" t="n">
        <f aca="false">MAX(0,((1-((1-Assumptions!$C$30)*$C$6))-IF(AND(($C$14=1),(H$18&gt;=Assumptions!$C$106),(H$18&lt;=(Assumptions!$C$106+11))),Assumptions!$C$116,0)))</f>
        <v>0.88</v>
      </c>
      <c r="I45" s="12" t="n">
        <f aca="false">MAX(0,((1-((1-Assumptions!$C$30)*$C$6))-IF(AND(($C$14=1),(I$18&gt;=Assumptions!$C$106),(I$18&lt;=(Assumptions!$C$106+11))),Assumptions!$C$116,0)))</f>
        <v>0.88</v>
      </c>
      <c r="J45" s="12" t="n">
        <f aca="false">MAX(0,((1-((1-Assumptions!$C$30)*$C$6))-IF(AND(($C$14=1),(J$18&gt;=Assumptions!$C$106),(J$18&lt;=(Assumptions!$C$106+11))),Assumptions!$C$116,0)))</f>
        <v>0.88</v>
      </c>
      <c r="K45" s="12" t="n">
        <f aca="false">MAX(0,((1-((1-Assumptions!$C$30)*$C$6))-IF(AND(($C$14=1),(K$18&gt;=Assumptions!$C$106),(K$18&lt;=(Assumptions!$C$106+11))),Assumptions!$C$116,0)))</f>
        <v>0.88</v>
      </c>
      <c r="L45" s="12" t="n">
        <f aca="false">MAX(0,((1-((1-Assumptions!$C$30)*$C$6))-IF(AND(($C$14=1),(L$18&gt;=Assumptions!$C$106),(L$18&lt;=(Assumptions!$C$106+11))),Assumptions!$C$116,0)))</f>
        <v>0.88</v>
      </c>
      <c r="M45" s="12" t="n">
        <f aca="false">MAX(0,((1-((1-Assumptions!$C$30)*$C$6))-IF(AND(($C$14=1),(M$18&gt;=Assumptions!$C$106),(M$18&lt;=(Assumptions!$C$106+11))),Assumptions!$C$116,0)))</f>
        <v>0.88</v>
      </c>
      <c r="N45" s="12" t="n">
        <f aca="false">MAX(0,((1-((1-Assumptions!$C$30)*$C$6))-IF(AND(($C$14=1),(N$18&gt;=Assumptions!$C$106),(N$18&lt;=(Assumptions!$C$106+11))),Assumptions!$C$116,0)))</f>
        <v>0.88</v>
      </c>
      <c r="O45" s="12" t="n">
        <f aca="false">MAX(0,((1-((1-Assumptions!$C$30)*$C$6))-IF(AND(($C$14=1),(O$18&gt;=Assumptions!$C$106),(O$18&lt;=(Assumptions!$C$106+11))),Assumptions!$C$116,0)))</f>
        <v>0.88</v>
      </c>
      <c r="P45" s="12" t="n">
        <f aca="false">MAX(0,((1-((1-Assumptions!$C$30)*$C$6))-IF(AND(($C$14=1),(P$18&gt;=Assumptions!$C$106),(P$18&lt;=(Assumptions!$C$106+11))),Assumptions!$C$116,0)))</f>
        <v>0.88</v>
      </c>
      <c r="Q45" s="12" t="n">
        <f aca="false">MAX(0,((1-((1-Assumptions!$C$30)*$C$6))-IF(AND(($C$14=1),(Q$18&gt;=Assumptions!$C$106),(Q$18&lt;=(Assumptions!$C$106+11))),Assumptions!$C$116,0)))</f>
        <v>0.88</v>
      </c>
      <c r="R45" s="12" t="n">
        <f aca="false">MAX(0,((1-((1-Assumptions!$C$30)*$C$6))-IF(AND(($C$14=1),(R$18&gt;=Assumptions!$C$106),(R$18&lt;=(Assumptions!$C$106+11))),Assumptions!$C$116,0)))</f>
        <v>0.88</v>
      </c>
      <c r="S45" s="12" t="n">
        <f aca="false">MAX(0,((1-((1-Assumptions!$C$30)*$C$6))-IF(AND(($C$14=1),(S$18&gt;=Assumptions!$C$106),(S$18&lt;=(Assumptions!$C$106+11))),Assumptions!$C$116,0)))</f>
        <v>0.88</v>
      </c>
      <c r="T45" s="12" t="n">
        <f aca="false">MAX(0,((1-((1-Assumptions!$C$30)*$C$6))-IF(AND(($C$14=1),(T$18&gt;=Assumptions!$C$106),(T$18&lt;=(Assumptions!$C$106+11))),Assumptions!$C$116,0)))</f>
        <v>0.88</v>
      </c>
      <c r="U45" s="12" t="n">
        <f aca="false">MAX(0,((1-((1-Assumptions!$C$30)*$C$6))-IF(AND(($C$14=1),(U$18&gt;=Assumptions!$C$106),(U$18&lt;=(Assumptions!$C$106+11))),Assumptions!$C$116,0)))</f>
        <v>0.88</v>
      </c>
      <c r="V45" s="12" t="n">
        <f aca="false">MAX(0,((1-((1-Assumptions!$C$30)*$C$6))-IF(AND(($C$14=1),(V$18&gt;=Assumptions!$C$106),(V$18&lt;=(Assumptions!$C$106+11))),Assumptions!$C$116,0)))</f>
        <v>0.88</v>
      </c>
      <c r="W45" s="12" t="n">
        <f aca="false">MAX(0,((1-((1-Assumptions!$C$30)*$C$6))-IF(AND(($C$14=1),(W$18&gt;=Assumptions!$C$106),(W$18&lt;=(Assumptions!$C$106+11))),Assumptions!$C$116,0)))</f>
        <v>0.88</v>
      </c>
      <c r="X45" s="12" t="n">
        <f aca="false">MAX(0,((1-((1-Assumptions!$C$30)*$C$6))-IF(AND(($C$14=1),(X$18&gt;=Assumptions!$C$106),(X$18&lt;=(Assumptions!$C$106+11))),Assumptions!$C$116,0)))</f>
        <v>0.88</v>
      </c>
      <c r="Y45" s="12" t="n">
        <f aca="false">MAX(0,((1-((1-Assumptions!$C$30)*$C$6))-IF(AND(($C$14=1),(Y$18&gt;=Assumptions!$C$106),(Y$18&lt;=(Assumptions!$C$106+11))),Assumptions!$C$116,0)))</f>
        <v>0.88</v>
      </c>
      <c r="Z45" s="12" t="n">
        <f aca="false">MAX(0,((1-((1-Assumptions!$C$30)*$C$6))-IF(AND(($C$14=1),(Z$18&gt;=Assumptions!$C$106),(Z$18&lt;=(Assumptions!$C$106+11))),Assumptions!$C$116,0)))</f>
        <v>0.88</v>
      </c>
      <c r="AA45" s="12" t="n">
        <f aca="false">MAX(0,((1-((1-Assumptions!$C$30)*$C$6))-IF(AND(($C$14=1),(AA$18&gt;=Assumptions!$C$106),(AA$18&lt;=(Assumptions!$C$106+11))),Assumptions!$C$116,0)))</f>
        <v>0.88</v>
      </c>
      <c r="AB45" s="12" t="n">
        <f aca="false">MAX(0,((1-((1-Assumptions!$C$30)*$C$6))-IF(AND(($C$14=1),(AB$18&gt;=Assumptions!$C$106),(AB$18&lt;=(Assumptions!$C$106+11))),Assumptions!$C$116,0)))</f>
        <v>0.88</v>
      </c>
      <c r="AC45" s="12" t="n">
        <f aca="false">MAX(0,((1-((1-Assumptions!$C$30)*$C$6))-IF(AND(($C$14=1),(AC$18&gt;=Assumptions!$C$106),(AC$18&lt;=(Assumptions!$C$106+11))),Assumptions!$C$116,0)))</f>
        <v>0.88</v>
      </c>
      <c r="AD45" s="12" t="n">
        <f aca="false">MAX(0,((1-((1-Assumptions!$C$30)*$C$6))-IF(AND(($C$14=1),(AD$18&gt;=Assumptions!$C$106),(AD$18&lt;=(Assumptions!$C$106+11))),Assumptions!$C$116,0)))</f>
        <v>0.88</v>
      </c>
      <c r="AE45" s="12" t="n">
        <f aca="false">MAX(0,((1-((1-Assumptions!$C$30)*$C$6))-IF(AND(($C$14=1),(AE$18&gt;=Assumptions!$C$106),(AE$18&lt;=(Assumptions!$C$106+11))),Assumptions!$C$116,0)))</f>
        <v>0.88</v>
      </c>
      <c r="AF45" s="12" t="n">
        <f aca="false">MAX(0,((1-((1-Assumptions!$C$30)*$C$6))-IF(AND(($C$14=1),(AF$18&gt;=Assumptions!$C$106),(AF$18&lt;=(Assumptions!$C$106+11))),Assumptions!$C$116,0)))</f>
        <v>0.88</v>
      </c>
      <c r="AG45" s="12" t="n">
        <f aca="false">MAX(0,((1-((1-Assumptions!$C$30)*$C$6))-IF(AND(($C$14=1),(AG$18&gt;=Assumptions!$C$106),(AG$18&lt;=(Assumptions!$C$106+11))),Assumptions!$C$116,0)))</f>
        <v>0.88</v>
      </c>
      <c r="AH45" s="12" t="n">
        <f aca="false">MAX(0,((1-((1-Assumptions!$C$30)*$C$6))-IF(AND(($C$14=1),(AH$18&gt;=Assumptions!$C$106),(AH$18&lt;=(Assumptions!$C$106+11))),Assumptions!$C$116,0)))</f>
        <v>0.88</v>
      </c>
      <c r="AI45" s="12" t="n">
        <f aca="false">MAX(0,((1-((1-Assumptions!$C$30)*$C$6))-IF(AND(($C$14=1),(AI$18&gt;=Assumptions!$C$106),(AI$18&lt;=(Assumptions!$C$106+11))),Assumptions!$C$116,0)))</f>
        <v>0.88</v>
      </c>
      <c r="AJ45" s="12" t="n">
        <f aca="false">MAX(0,((1-((1-Assumptions!$C$30)*$C$6))-IF(AND(($C$14=1),(AJ$18&gt;=Assumptions!$C$106),(AJ$18&lt;=(Assumptions!$C$106+11))),Assumptions!$C$116,0)))</f>
        <v>0.88</v>
      </c>
      <c r="AK45" s="12" t="n">
        <f aca="false">MAX(0,((1-((1-Assumptions!$C$30)*$C$6))-IF(AND(($C$14=1),(AK$18&gt;=Assumptions!$C$106),(AK$18&lt;=(Assumptions!$C$106+11))),Assumptions!$C$116,0)))</f>
        <v>0.88</v>
      </c>
      <c r="AL45" s="12" t="n">
        <f aca="false">MAX(0,((1-((1-Assumptions!$C$30)*$C$6))-IF(AND(($C$14=1),(AL$18&gt;=Assumptions!$C$106),(AL$18&lt;=(Assumptions!$C$106+11))),Assumptions!$C$116,0)))</f>
        <v>0.88</v>
      </c>
    </row>
    <row r="46" customFormat="false" ht="15" hidden="false" customHeight="false" outlineLevel="0" collapsed="false">
      <c r="A46" s="0" t="s">
        <v>851</v>
      </c>
      <c r="B46" s="0" t="s">
        <v>852</v>
      </c>
      <c r="C46" s="14" t="n">
        <f aca="false">((IF(OR((C$18-(Assumptions!$C$7-1)-$C$9)&lt;1,(C$18-(Assumptions!$C$7-1)-$C$9)&gt;36),0,INDEX(Schedules!$C$5:$AL$5,(C$18-(Assumptions!$C$7-1)-$C$9)))*$C$7)*C44)</f>
        <v>0</v>
      </c>
      <c r="D46" s="14" t="n">
        <f aca="false">((IF(OR((D$18-(Assumptions!$C$7-1)-$C$9)&lt;1,(D$18-(Assumptions!$C$7-1)-$C$9)&gt;36),0,INDEX(Schedules!$C$5:$AL$5,(D$18-(Assumptions!$C$7-1)-$C$9)))*$C$7)*D44)</f>
        <v>0</v>
      </c>
      <c r="E46" s="14" t="n">
        <f aca="false">((IF(OR((E$18-(Assumptions!$C$7-1)-$C$9)&lt;1,(E$18-(Assumptions!$C$7-1)-$C$9)&gt;36),0,INDEX(Schedules!$C$5:$AL$5,(E$18-(Assumptions!$C$7-1)-$C$9)))*$C$7)*E44)</f>
        <v>0</v>
      </c>
      <c r="F46" s="14" t="n">
        <f aca="false">((IF(OR((F$18-(Assumptions!$C$7-1)-$C$9)&lt;1,(F$18-(Assumptions!$C$7-1)-$C$9)&gt;36),0,INDEX(Schedules!$C$5:$AL$5,(F$18-(Assumptions!$C$7-1)-$C$9)))*$C$7)*F44)</f>
        <v>0</v>
      </c>
      <c r="G46" s="14" t="n">
        <f aca="false">((IF(OR((G$18-(Assumptions!$C$7-1)-$C$9)&lt;1,(G$18-(Assumptions!$C$7-1)-$C$9)&gt;36),0,INDEX(Schedules!$C$5:$AL$5,(G$18-(Assumptions!$C$7-1)-$C$9)))*$C$7)*G44)</f>
        <v>0</v>
      </c>
      <c r="H46" s="14" t="n">
        <f aca="false">((IF(OR((H$18-(Assumptions!$C$7-1)-$C$9)&lt;1,(H$18-(Assumptions!$C$7-1)-$C$9)&gt;36),0,INDEX(Schedules!$C$5:$AL$5,(H$18-(Assumptions!$C$7-1)-$C$9)))*$C$7)*H44)</f>
        <v>0</v>
      </c>
      <c r="I46" s="14" t="n">
        <f aca="false">((IF(OR((I$18-(Assumptions!$C$7-1)-$C$9)&lt;1,(I$18-(Assumptions!$C$7-1)-$C$9)&gt;36),0,INDEX(Schedules!$C$5:$AL$5,(I$18-(Assumptions!$C$7-1)-$C$9)))*$C$7)*I44)</f>
        <v>0</v>
      </c>
      <c r="J46" s="14" t="n">
        <f aca="false">((IF(OR((J$18-(Assumptions!$C$7-1)-$C$9)&lt;1,(J$18-(Assumptions!$C$7-1)-$C$9)&gt;36),0,INDEX(Schedules!$C$5:$AL$5,(J$18-(Assumptions!$C$7-1)-$C$9)))*$C$7)*J44)</f>
        <v>0</v>
      </c>
      <c r="K46" s="14" t="n">
        <f aca="false">((IF(OR((K$18-(Assumptions!$C$7-1)-$C$9)&lt;1,(K$18-(Assumptions!$C$7-1)-$C$9)&gt;36),0,INDEX(Schedules!$C$5:$AL$5,(K$18-(Assumptions!$C$7-1)-$C$9)))*$C$7)*K44)</f>
        <v>0</v>
      </c>
      <c r="L46" s="14" t="n">
        <f aca="false">((IF(OR((L$18-(Assumptions!$C$7-1)-$C$9)&lt;1,(L$18-(Assumptions!$C$7-1)-$C$9)&gt;36),0,INDEX(Schedules!$C$5:$AL$5,(L$18-(Assumptions!$C$7-1)-$C$9)))*$C$7)*L44)</f>
        <v>0</v>
      </c>
      <c r="M46" s="14" t="n">
        <f aca="false">((IF(OR((M$18-(Assumptions!$C$7-1)-$C$9)&lt;1,(M$18-(Assumptions!$C$7-1)-$C$9)&gt;36),0,INDEX(Schedules!$C$5:$AL$5,(M$18-(Assumptions!$C$7-1)-$C$9)))*$C$7)*M44)</f>
        <v>0</v>
      </c>
      <c r="N46" s="14" t="n">
        <f aca="false">((IF(OR((N$18-(Assumptions!$C$7-1)-$C$9)&lt;1,(N$18-(Assumptions!$C$7-1)-$C$9)&gt;36),0,INDEX(Schedules!$C$5:$AL$5,(N$18-(Assumptions!$C$7-1)-$C$9)))*$C$7)*N44)</f>
        <v>0</v>
      </c>
      <c r="O46" s="14" t="n">
        <f aca="false">((IF(OR((O$18-(Assumptions!$C$7-1)-$C$9)&lt;1,(O$18-(Assumptions!$C$7-1)-$C$9)&gt;36),0,INDEX(Schedules!$C$5:$AL$5,(O$18-(Assumptions!$C$7-1)-$C$9)))*$C$7)*O44)</f>
        <v>1</v>
      </c>
      <c r="P46" s="14" t="n">
        <f aca="false">((IF(OR((P$18-(Assumptions!$C$7-1)-$C$9)&lt;1,(P$18-(Assumptions!$C$7-1)-$C$9)&gt;36),0,INDEX(Schedules!$C$5:$AL$5,(P$18-(Assumptions!$C$7-1)-$C$9)))*$C$7)*P44)</f>
        <v>0</v>
      </c>
      <c r="Q46" s="14" t="n">
        <f aca="false">((IF(OR((Q$18-(Assumptions!$C$7-1)-$C$9)&lt;1,(Q$18-(Assumptions!$C$7-1)-$C$9)&gt;36),0,INDEX(Schedules!$C$5:$AL$5,(Q$18-(Assumptions!$C$7-1)-$C$9)))*$C$7)*Q44)</f>
        <v>0</v>
      </c>
      <c r="R46" s="14" t="n">
        <f aca="false">((IF(OR((R$18-(Assumptions!$C$7-1)-$C$9)&lt;1,(R$18-(Assumptions!$C$7-1)-$C$9)&gt;36),0,INDEX(Schedules!$C$5:$AL$5,(R$18-(Assumptions!$C$7-1)-$C$9)))*$C$7)*R44)</f>
        <v>1</v>
      </c>
      <c r="S46" s="14" t="n">
        <f aca="false">((IF(OR((S$18-(Assumptions!$C$7-1)-$C$9)&lt;1,(S$18-(Assumptions!$C$7-1)-$C$9)&gt;36),0,INDEX(Schedules!$C$5:$AL$5,(S$18-(Assumptions!$C$7-1)-$C$9)))*$C$7)*S44)</f>
        <v>0</v>
      </c>
      <c r="T46" s="14" t="n">
        <f aca="false">((IF(OR((T$18-(Assumptions!$C$7-1)-$C$9)&lt;1,(T$18-(Assumptions!$C$7-1)-$C$9)&gt;36),0,INDEX(Schedules!$C$5:$AL$5,(T$18-(Assumptions!$C$7-1)-$C$9)))*$C$7)*T44)</f>
        <v>0</v>
      </c>
      <c r="U46" s="14" t="n">
        <f aca="false">((IF(OR((U$18-(Assumptions!$C$7-1)-$C$9)&lt;1,(U$18-(Assumptions!$C$7-1)-$C$9)&gt;36),0,INDEX(Schedules!$C$5:$AL$5,(U$18-(Assumptions!$C$7-1)-$C$9)))*$C$7)*U44)</f>
        <v>2</v>
      </c>
      <c r="V46" s="14" t="n">
        <f aca="false">((IF(OR((V$18-(Assumptions!$C$7-1)-$C$9)&lt;1,(V$18-(Assumptions!$C$7-1)-$C$9)&gt;36),0,INDEX(Schedules!$C$5:$AL$5,(V$18-(Assumptions!$C$7-1)-$C$9)))*$C$7)*V44)</f>
        <v>0</v>
      </c>
      <c r="W46" s="14" t="n">
        <f aca="false">((IF(OR((W$18-(Assumptions!$C$7-1)-$C$9)&lt;1,(W$18-(Assumptions!$C$7-1)-$C$9)&gt;36),0,INDEX(Schedules!$C$5:$AL$5,(W$18-(Assumptions!$C$7-1)-$C$9)))*$C$7)*W44)</f>
        <v>0</v>
      </c>
      <c r="X46" s="14" t="n">
        <f aca="false">((IF(OR((X$18-(Assumptions!$C$7-1)-$C$9)&lt;1,(X$18-(Assumptions!$C$7-1)-$C$9)&gt;36),0,INDEX(Schedules!$C$5:$AL$5,(X$18-(Assumptions!$C$7-1)-$C$9)))*$C$7)*X44)</f>
        <v>2</v>
      </c>
      <c r="Y46" s="14" t="n">
        <f aca="false">((IF(OR((Y$18-(Assumptions!$C$7-1)-$C$9)&lt;1,(Y$18-(Assumptions!$C$7-1)-$C$9)&gt;36),0,INDEX(Schedules!$C$5:$AL$5,(Y$18-(Assumptions!$C$7-1)-$C$9)))*$C$7)*Y44)</f>
        <v>0</v>
      </c>
      <c r="Z46" s="14" t="n">
        <f aca="false">((IF(OR((Z$18-(Assumptions!$C$7-1)-$C$9)&lt;1,(Z$18-(Assumptions!$C$7-1)-$C$9)&gt;36),0,INDEX(Schedules!$C$5:$AL$5,(Z$18-(Assumptions!$C$7-1)-$C$9)))*$C$7)*Z44)</f>
        <v>0</v>
      </c>
      <c r="AA46" s="14" t="n">
        <f aca="false">((IF(OR((AA$18-(Assumptions!$C$7-1)-$C$9)&lt;1,(AA$18-(Assumptions!$C$7-1)-$C$9)&gt;36),0,INDEX(Schedules!$C$5:$AL$5,(AA$18-(Assumptions!$C$7-1)-$C$9)))*$C$7)*AA44)</f>
        <v>3</v>
      </c>
      <c r="AB46" s="14" t="n">
        <f aca="false">((IF(OR((AB$18-(Assumptions!$C$7-1)-$C$9)&lt;1,(AB$18-(Assumptions!$C$7-1)-$C$9)&gt;36),0,INDEX(Schedules!$C$5:$AL$5,(AB$18-(Assumptions!$C$7-1)-$C$9)))*$C$7)*AB44)</f>
        <v>0</v>
      </c>
      <c r="AC46" s="14" t="n">
        <f aca="false">((IF(OR((AC$18-(Assumptions!$C$7-1)-$C$9)&lt;1,(AC$18-(Assumptions!$C$7-1)-$C$9)&gt;36),0,INDEX(Schedules!$C$5:$AL$5,(AC$18-(Assumptions!$C$7-1)-$C$9)))*$C$7)*AC44)</f>
        <v>0</v>
      </c>
      <c r="AD46" s="14" t="n">
        <f aca="false">((IF(OR((AD$18-(Assumptions!$C$7-1)-$C$9)&lt;1,(AD$18-(Assumptions!$C$7-1)-$C$9)&gt;36),0,INDEX(Schedules!$C$5:$AL$5,(AD$18-(Assumptions!$C$7-1)-$C$9)))*$C$7)*AD44)</f>
        <v>3</v>
      </c>
      <c r="AE46" s="14" t="n">
        <f aca="false">((IF(OR((AE$18-(Assumptions!$C$7-1)-$C$9)&lt;1,(AE$18-(Assumptions!$C$7-1)-$C$9)&gt;36),0,INDEX(Schedules!$C$5:$AL$5,(AE$18-(Assumptions!$C$7-1)-$C$9)))*$C$7)*AE44)</f>
        <v>0</v>
      </c>
      <c r="AF46" s="14" t="n">
        <f aca="false">((IF(OR((AF$18-(Assumptions!$C$7-1)-$C$9)&lt;1,(AF$18-(Assumptions!$C$7-1)-$C$9)&gt;36),0,INDEX(Schedules!$C$5:$AL$5,(AF$18-(Assumptions!$C$7-1)-$C$9)))*$C$7)*AF44)</f>
        <v>0</v>
      </c>
      <c r="AG46" s="14" t="n">
        <f aca="false">((IF(OR((AG$18-(Assumptions!$C$7-1)-$C$9)&lt;1,(AG$18-(Assumptions!$C$7-1)-$C$9)&gt;36),0,INDEX(Schedules!$C$5:$AL$5,(AG$18-(Assumptions!$C$7-1)-$C$9)))*$C$7)*AG44)</f>
        <v>3</v>
      </c>
      <c r="AH46" s="14" t="n">
        <f aca="false">((IF(OR((AH$18-(Assumptions!$C$7-1)-$C$9)&lt;1,(AH$18-(Assumptions!$C$7-1)-$C$9)&gt;36),0,INDEX(Schedules!$C$5:$AL$5,(AH$18-(Assumptions!$C$7-1)-$C$9)))*$C$7)*AH44)</f>
        <v>0</v>
      </c>
      <c r="AI46" s="14" t="n">
        <f aca="false">((IF(OR((AI$18-(Assumptions!$C$7-1)-$C$9)&lt;1,(AI$18-(Assumptions!$C$7-1)-$C$9)&gt;36),0,INDEX(Schedules!$C$5:$AL$5,(AI$18-(Assumptions!$C$7-1)-$C$9)))*$C$7)*AI44)</f>
        <v>0</v>
      </c>
      <c r="AJ46" s="14" t="n">
        <f aca="false">((IF(OR((AJ$18-(Assumptions!$C$7-1)-$C$9)&lt;1,(AJ$18-(Assumptions!$C$7-1)-$C$9)&gt;36),0,INDEX(Schedules!$C$5:$AL$5,(AJ$18-(Assumptions!$C$7-1)-$C$9)))*$C$7)*AJ44)</f>
        <v>4</v>
      </c>
      <c r="AK46" s="14" t="n">
        <f aca="false">((IF(OR((AK$18-(Assumptions!$C$7-1)-$C$9)&lt;1,(AK$18-(Assumptions!$C$7-1)-$C$9)&gt;36),0,INDEX(Schedules!$C$5:$AL$5,(AK$18-(Assumptions!$C$7-1)-$C$9)))*$C$7)*AK44)</f>
        <v>0</v>
      </c>
      <c r="AL46" s="14" t="n">
        <f aca="false">((IF(OR((AL$18-(Assumptions!$C$7-1)-$C$9)&lt;1,(AL$18-(Assumptions!$C$7-1)-$C$9)&gt;36),0,INDEX(Schedules!$C$5:$AL$5,(AL$18-(Assumptions!$C$7-1)-$C$9)))*$C$7)*AL44)</f>
        <v>0</v>
      </c>
      <c r="AN46" s="36" t="n">
        <f aca="false">SUM(C46:N46)</f>
        <v>0</v>
      </c>
      <c r="AO46" s="36" t="n">
        <f aca="false">SUM(O46:Z46)</f>
        <v>6</v>
      </c>
      <c r="AP46" s="36" t="n">
        <f aca="false">SUM(AA46:AL46)</f>
        <v>13</v>
      </c>
    </row>
    <row r="47" customFormat="false" ht="15" hidden="false" customHeight="false" outlineLevel="0" collapsed="false">
      <c r="A47" s="0" t="s">
        <v>853</v>
      </c>
      <c r="B47" s="0" t="s">
        <v>852</v>
      </c>
      <c r="C47" s="14" t="n">
        <f aca="false">INDEX(Schedules!$C$11:$AL$11,C$18)</f>
        <v>0</v>
      </c>
      <c r="D47" s="14" t="n">
        <f aca="false">INDEX(Schedules!$C$11:$AL$11,D$18)</f>
        <v>0</v>
      </c>
      <c r="E47" s="14" t="n">
        <f aca="false">INDEX(Schedules!$C$11:$AL$11,E$18)</f>
        <v>0</v>
      </c>
      <c r="F47" s="14" t="n">
        <f aca="false">INDEX(Schedules!$C$11:$AL$11,F$18)</f>
        <v>0</v>
      </c>
      <c r="G47" s="14" t="n">
        <f aca="false">INDEX(Schedules!$C$11:$AL$11,G$18)</f>
        <v>1</v>
      </c>
      <c r="H47" s="14" t="n">
        <f aca="false">INDEX(Schedules!$C$11:$AL$11,H$18)</f>
        <v>0</v>
      </c>
      <c r="I47" s="14" t="n">
        <f aca="false">INDEX(Schedules!$C$11:$AL$11,I$18)</f>
        <v>0</v>
      </c>
      <c r="J47" s="14" t="n">
        <f aca="false">INDEX(Schedules!$C$11:$AL$11,J$18)</f>
        <v>0</v>
      </c>
      <c r="K47" s="14" t="n">
        <f aca="false">INDEX(Schedules!$C$11:$AL$11,K$18)</f>
        <v>0</v>
      </c>
      <c r="L47" s="14" t="n">
        <f aca="false">INDEX(Schedules!$C$11:$AL$11,L$18)</f>
        <v>0</v>
      </c>
      <c r="M47" s="14" t="n">
        <f aca="false">INDEX(Schedules!$C$11:$AL$11,M$18)</f>
        <v>0</v>
      </c>
      <c r="N47" s="14" t="n">
        <f aca="false">INDEX(Schedules!$C$11:$AL$11,N$18)</f>
        <v>0</v>
      </c>
      <c r="O47" s="14" t="n">
        <f aca="false">INDEX(Schedules!$C$11:$AL$11,O$18)</f>
        <v>0</v>
      </c>
      <c r="P47" s="14" t="n">
        <f aca="false">INDEX(Schedules!$C$11:$AL$11,P$18)</f>
        <v>0</v>
      </c>
      <c r="Q47" s="14" t="n">
        <f aca="false">INDEX(Schedules!$C$11:$AL$11,Q$18)</f>
        <v>0</v>
      </c>
      <c r="R47" s="14" t="n">
        <f aca="false">INDEX(Schedules!$C$11:$AL$11,R$18)</f>
        <v>0</v>
      </c>
      <c r="S47" s="14" t="n">
        <f aca="false">INDEX(Schedules!$C$11:$AL$11,S$18)</f>
        <v>0</v>
      </c>
      <c r="T47" s="14" t="n">
        <f aca="false">INDEX(Schedules!$C$11:$AL$11,T$18)</f>
        <v>0</v>
      </c>
      <c r="U47" s="14" t="n">
        <f aca="false">INDEX(Schedules!$C$11:$AL$11,U$18)</f>
        <v>0</v>
      </c>
      <c r="V47" s="14" t="n">
        <f aca="false">INDEX(Schedules!$C$11:$AL$11,V$18)</f>
        <v>0</v>
      </c>
      <c r="W47" s="14" t="n">
        <f aca="false">INDEX(Schedules!$C$11:$AL$11,W$18)</f>
        <v>0</v>
      </c>
      <c r="X47" s="14" t="n">
        <f aca="false">INDEX(Schedules!$C$11:$AL$11,X$18)</f>
        <v>0</v>
      </c>
      <c r="Y47" s="14" t="n">
        <f aca="false">INDEX(Schedules!$C$11:$AL$11,Y$18)</f>
        <v>0</v>
      </c>
      <c r="Z47" s="14" t="n">
        <f aca="false">INDEX(Schedules!$C$11:$AL$11,Z$18)</f>
        <v>0</v>
      </c>
      <c r="AA47" s="14" t="n">
        <f aca="false">INDEX(Schedules!$C$11:$AL$11,AA$18)</f>
        <v>0</v>
      </c>
      <c r="AB47" s="14" t="n">
        <f aca="false">INDEX(Schedules!$C$11:$AL$11,AB$18)</f>
        <v>0</v>
      </c>
      <c r="AC47" s="14" t="n">
        <f aca="false">INDEX(Schedules!$C$11:$AL$11,AC$18)</f>
        <v>0</v>
      </c>
      <c r="AD47" s="14" t="n">
        <f aca="false">INDEX(Schedules!$C$11:$AL$11,AD$18)</f>
        <v>0</v>
      </c>
      <c r="AE47" s="14" t="n">
        <f aca="false">INDEX(Schedules!$C$11:$AL$11,AE$18)</f>
        <v>0</v>
      </c>
      <c r="AF47" s="14" t="n">
        <f aca="false">INDEX(Schedules!$C$11:$AL$11,AF$18)</f>
        <v>0</v>
      </c>
      <c r="AG47" s="14" t="n">
        <f aca="false">INDEX(Schedules!$C$11:$AL$11,AG$18)</f>
        <v>0</v>
      </c>
      <c r="AH47" s="14" t="n">
        <f aca="false">INDEX(Schedules!$C$11:$AL$11,AH$18)</f>
        <v>0</v>
      </c>
      <c r="AI47" s="14" t="n">
        <f aca="false">INDEX(Schedules!$C$11:$AL$11,AI$18)</f>
        <v>0</v>
      </c>
      <c r="AJ47" s="14" t="n">
        <f aca="false">INDEX(Schedules!$C$11:$AL$11,AJ$18)</f>
        <v>0</v>
      </c>
      <c r="AK47" s="14" t="n">
        <f aca="false">INDEX(Schedules!$C$11:$AL$11,AK$18)</f>
        <v>0</v>
      </c>
      <c r="AL47" s="14" t="n">
        <f aca="false">INDEX(Schedules!$C$11:$AL$11,AL$18)</f>
        <v>0</v>
      </c>
      <c r="AN47" s="36" t="n">
        <f aca="false">SUM(C47:N47)</f>
        <v>1</v>
      </c>
      <c r="AO47" s="36" t="n">
        <f aca="false">SUM(O47:Z47)</f>
        <v>0</v>
      </c>
      <c r="AP47" s="36" t="n">
        <f aca="false">SUM(AA47:AL47)</f>
        <v>0</v>
      </c>
    </row>
    <row r="48" customFormat="false" ht="15" hidden="false" customHeight="false" outlineLevel="0" collapsed="false">
      <c r="A48" s="0" t="s">
        <v>854</v>
      </c>
      <c r="B48" s="0" t="s">
        <v>852</v>
      </c>
      <c r="C48" s="14" t="n">
        <f aca="false">(C46+C47)</f>
        <v>0</v>
      </c>
      <c r="D48" s="14" t="n">
        <f aca="false">(D46+D47)</f>
        <v>0</v>
      </c>
      <c r="E48" s="14" t="n">
        <f aca="false">(E46+E47)</f>
        <v>0</v>
      </c>
      <c r="F48" s="14" t="n">
        <f aca="false">(F46+F47)</f>
        <v>0</v>
      </c>
      <c r="G48" s="14" t="n">
        <f aca="false">(G46+G47)</f>
        <v>1</v>
      </c>
      <c r="H48" s="14" t="n">
        <f aca="false">(H46+H47)</f>
        <v>0</v>
      </c>
      <c r="I48" s="14" t="n">
        <f aca="false">(I46+I47)</f>
        <v>0</v>
      </c>
      <c r="J48" s="14" t="n">
        <f aca="false">(J46+J47)</f>
        <v>0</v>
      </c>
      <c r="K48" s="14" t="n">
        <f aca="false">(K46+K47)</f>
        <v>0</v>
      </c>
      <c r="L48" s="14" t="n">
        <f aca="false">(L46+L47)</f>
        <v>0</v>
      </c>
      <c r="M48" s="14" t="n">
        <f aca="false">(M46+M47)</f>
        <v>0</v>
      </c>
      <c r="N48" s="14" t="n">
        <f aca="false">(N46+N47)</f>
        <v>0</v>
      </c>
      <c r="O48" s="14" t="n">
        <f aca="false">(O46+O47)</f>
        <v>1</v>
      </c>
      <c r="P48" s="14" t="n">
        <f aca="false">(P46+P47)</f>
        <v>0</v>
      </c>
      <c r="Q48" s="14" t="n">
        <f aca="false">(Q46+Q47)</f>
        <v>0</v>
      </c>
      <c r="R48" s="14" t="n">
        <f aca="false">(R46+R47)</f>
        <v>1</v>
      </c>
      <c r="S48" s="14" t="n">
        <f aca="false">(S46+S47)</f>
        <v>0</v>
      </c>
      <c r="T48" s="14" t="n">
        <f aca="false">(T46+T47)</f>
        <v>0</v>
      </c>
      <c r="U48" s="14" t="n">
        <f aca="false">(U46+U47)</f>
        <v>2</v>
      </c>
      <c r="V48" s="14" t="n">
        <f aca="false">(V46+V47)</f>
        <v>0</v>
      </c>
      <c r="W48" s="14" t="n">
        <f aca="false">(W46+W47)</f>
        <v>0</v>
      </c>
      <c r="X48" s="14" t="n">
        <f aca="false">(X46+X47)</f>
        <v>2</v>
      </c>
      <c r="Y48" s="14" t="n">
        <f aca="false">(Y46+Y47)</f>
        <v>0</v>
      </c>
      <c r="Z48" s="14" t="n">
        <f aca="false">(Z46+Z47)</f>
        <v>0</v>
      </c>
      <c r="AA48" s="14" t="n">
        <f aca="false">(AA46+AA47)</f>
        <v>3</v>
      </c>
      <c r="AB48" s="14" t="n">
        <f aca="false">(AB46+AB47)</f>
        <v>0</v>
      </c>
      <c r="AC48" s="14" t="n">
        <f aca="false">(AC46+AC47)</f>
        <v>0</v>
      </c>
      <c r="AD48" s="14" t="n">
        <f aca="false">(AD46+AD47)</f>
        <v>3</v>
      </c>
      <c r="AE48" s="14" t="n">
        <f aca="false">(AE46+AE47)</f>
        <v>0</v>
      </c>
      <c r="AF48" s="14" t="n">
        <f aca="false">(AF46+AF47)</f>
        <v>0</v>
      </c>
      <c r="AG48" s="14" t="n">
        <f aca="false">(AG46+AG47)</f>
        <v>3</v>
      </c>
      <c r="AH48" s="14" t="n">
        <f aca="false">(AH46+AH47)</f>
        <v>0</v>
      </c>
      <c r="AI48" s="14" t="n">
        <f aca="false">(AI46+AI47)</f>
        <v>0</v>
      </c>
      <c r="AJ48" s="14" t="n">
        <f aca="false">(AJ46+AJ47)</f>
        <v>4</v>
      </c>
      <c r="AK48" s="14" t="n">
        <f aca="false">(AK46+AK47)</f>
        <v>0</v>
      </c>
      <c r="AL48" s="14" t="n">
        <f aca="false">(AL46+AL47)</f>
        <v>0</v>
      </c>
      <c r="AN48" s="36" t="n">
        <f aca="false">SUM(C48:N48)</f>
        <v>1</v>
      </c>
      <c r="AO48" s="36" t="n">
        <f aca="false">SUM(O48:Z48)</f>
        <v>6</v>
      </c>
      <c r="AP48" s="36" t="n">
        <f aca="false">SUM(AA48:AL48)</f>
        <v>13</v>
      </c>
    </row>
    <row r="49" customFormat="false" ht="15" hidden="false" customHeight="false" outlineLevel="0" collapsed="false">
      <c r="A49" s="0" t="s">
        <v>855</v>
      </c>
      <c r="B49" s="0" t="s">
        <v>852</v>
      </c>
      <c r="C49" s="14" t="n">
        <f aca="false">((IF(OR((C$18-(Assumptions!$C$8-1)-$C$9)&lt;1,(C$18-(Assumptions!$C$8-1)-$C$9)&gt;36),0,INDEX(Schedules!$C$8:$AL$8,(C$18-(Assumptions!$C$8-1)-$C$9)))*$C$7)*C44)</f>
        <v>0</v>
      </c>
      <c r="D49" s="14" t="n">
        <f aca="false">((IF(OR((D$18-(Assumptions!$C$8-1)-$C$9)&lt;1,(D$18-(Assumptions!$C$8-1)-$C$9)&gt;36),0,INDEX(Schedules!$C$8:$AL$8,(D$18-(Assumptions!$C$8-1)-$C$9)))*$C$7)*D44)</f>
        <v>0</v>
      </c>
      <c r="E49" s="14" t="n">
        <f aca="false">((IF(OR((E$18-(Assumptions!$C$8-1)-$C$9)&lt;1,(E$18-(Assumptions!$C$8-1)-$C$9)&gt;36),0,INDEX(Schedules!$C$8:$AL$8,(E$18-(Assumptions!$C$8-1)-$C$9)))*$C$7)*E44)</f>
        <v>0</v>
      </c>
      <c r="F49" s="14" t="n">
        <f aca="false">((IF(OR((F$18-(Assumptions!$C$8-1)-$C$9)&lt;1,(F$18-(Assumptions!$C$8-1)-$C$9)&gt;36),0,INDEX(Schedules!$C$8:$AL$8,(F$18-(Assumptions!$C$8-1)-$C$9)))*$C$7)*F44)</f>
        <v>0</v>
      </c>
      <c r="G49" s="14" t="n">
        <f aca="false">((IF(OR((G$18-(Assumptions!$C$8-1)-$C$9)&lt;1,(G$18-(Assumptions!$C$8-1)-$C$9)&gt;36),0,INDEX(Schedules!$C$8:$AL$8,(G$18-(Assumptions!$C$8-1)-$C$9)))*$C$7)*G44)</f>
        <v>0</v>
      </c>
      <c r="H49" s="14" t="n">
        <f aca="false">((IF(OR((H$18-(Assumptions!$C$8-1)-$C$9)&lt;1,(H$18-(Assumptions!$C$8-1)-$C$9)&gt;36),0,INDEX(Schedules!$C$8:$AL$8,(H$18-(Assumptions!$C$8-1)-$C$9)))*$C$7)*H44)</f>
        <v>0</v>
      </c>
      <c r="I49" s="14" t="n">
        <f aca="false">((IF(OR((I$18-(Assumptions!$C$8-1)-$C$9)&lt;1,(I$18-(Assumptions!$C$8-1)-$C$9)&gt;36),0,INDEX(Schedules!$C$8:$AL$8,(I$18-(Assumptions!$C$8-1)-$C$9)))*$C$7)*I44)</f>
        <v>0</v>
      </c>
      <c r="J49" s="14" t="n">
        <f aca="false">((IF(OR((J$18-(Assumptions!$C$8-1)-$C$9)&lt;1,(J$18-(Assumptions!$C$8-1)-$C$9)&gt;36),0,INDEX(Schedules!$C$8:$AL$8,(J$18-(Assumptions!$C$8-1)-$C$9)))*$C$7)*J44)</f>
        <v>0</v>
      </c>
      <c r="K49" s="14" t="n">
        <f aca="false">((IF(OR((K$18-(Assumptions!$C$8-1)-$C$9)&lt;1,(K$18-(Assumptions!$C$8-1)-$C$9)&gt;36),0,INDEX(Schedules!$C$8:$AL$8,(K$18-(Assumptions!$C$8-1)-$C$9)))*$C$7)*K44)</f>
        <v>0</v>
      </c>
      <c r="L49" s="14" t="n">
        <f aca="false">((IF(OR((L$18-(Assumptions!$C$8-1)-$C$9)&lt;1,(L$18-(Assumptions!$C$8-1)-$C$9)&gt;36),0,INDEX(Schedules!$C$8:$AL$8,(L$18-(Assumptions!$C$8-1)-$C$9)))*$C$7)*L44)</f>
        <v>0</v>
      </c>
      <c r="M49" s="14" t="n">
        <f aca="false">((IF(OR((M$18-(Assumptions!$C$8-1)-$C$9)&lt;1,(M$18-(Assumptions!$C$8-1)-$C$9)&gt;36),0,INDEX(Schedules!$C$8:$AL$8,(M$18-(Assumptions!$C$8-1)-$C$9)))*$C$7)*M44)</f>
        <v>0</v>
      </c>
      <c r="N49" s="14" t="n">
        <f aca="false">((IF(OR((N$18-(Assumptions!$C$8-1)-$C$9)&lt;1,(N$18-(Assumptions!$C$8-1)-$C$9)&gt;36),0,INDEX(Schedules!$C$8:$AL$8,(N$18-(Assumptions!$C$8-1)-$C$9)))*$C$7)*N44)</f>
        <v>0</v>
      </c>
      <c r="O49" s="14" t="n">
        <f aca="false">((IF(OR((O$18-(Assumptions!$C$8-1)-$C$9)&lt;1,(O$18-(Assumptions!$C$8-1)-$C$9)&gt;36),0,INDEX(Schedules!$C$8:$AL$8,(O$18-(Assumptions!$C$8-1)-$C$9)))*$C$7)*O44)</f>
        <v>0</v>
      </c>
      <c r="P49" s="14" t="n">
        <f aca="false">((IF(OR((P$18-(Assumptions!$C$8-1)-$C$9)&lt;1,(P$18-(Assumptions!$C$8-1)-$C$9)&gt;36),0,INDEX(Schedules!$C$8:$AL$8,(P$18-(Assumptions!$C$8-1)-$C$9)))*$C$7)*P44)</f>
        <v>0</v>
      </c>
      <c r="Q49" s="14" t="n">
        <f aca="false">((IF(OR((Q$18-(Assumptions!$C$8-1)-$C$9)&lt;1,(Q$18-(Assumptions!$C$8-1)-$C$9)&gt;36),0,INDEX(Schedules!$C$8:$AL$8,(Q$18-(Assumptions!$C$8-1)-$C$9)))*$C$7)*Q44)</f>
        <v>0</v>
      </c>
      <c r="R49" s="14" t="n">
        <f aca="false">((IF(OR((R$18-(Assumptions!$C$8-1)-$C$9)&lt;1,(R$18-(Assumptions!$C$8-1)-$C$9)&gt;36),0,INDEX(Schedules!$C$8:$AL$8,(R$18-(Assumptions!$C$8-1)-$C$9)))*$C$7)*R44)</f>
        <v>0</v>
      </c>
      <c r="S49" s="14" t="n">
        <f aca="false">((IF(OR((S$18-(Assumptions!$C$8-1)-$C$9)&lt;1,(S$18-(Assumptions!$C$8-1)-$C$9)&gt;36),0,INDEX(Schedules!$C$8:$AL$8,(S$18-(Assumptions!$C$8-1)-$C$9)))*$C$7)*S44)</f>
        <v>0</v>
      </c>
      <c r="T49" s="14" t="n">
        <f aca="false">((IF(OR((T$18-(Assumptions!$C$8-1)-$C$9)&lt;1,(T$18-(Assumptions!$C$8-1)-$C$9)&gt;36),0,INDEX(Schedules!$C$8:$AL$8,(T$18-(Assumptions!$C$8-1)-$C$9)))*$C$7)*T44)</f>
        <v>0</v>
      </c>
      <c r="U49" s="14" t="n">
        <f aca="false">((IF(OR((U$18-(Assumptions!$C$8-1)-$C$9)&lt;1,(U$18-(Assumptions!$C$8-1)-$C$9)&gt;36),0,INDEX(Schedules!$C$8:$AL$8,(U$18-(Assumptions!$C$8-1)-$C$9)))*$C$7)*U44)</f>
        <v>0</v>
      </c>
      <c r="V49" s="14" t="n">
        <f aca="false">((IF(OR((V$18-(Assumptions!$C$8-1)-$C$9)&lt;1,(V$18-(Assumptions!$C$8-1)-$C$9)&gt;36),0,INDEX(Schedules!$C$8:$AL$8,(V$18-(Assumptions!$C$8-1)-$C$9)))*$C$7)*V44)</f>
        <v>0</v>
      </c>
      <c r="W49" s="14" t="n">
        <f aca="false">((IF(OR((W$18-(Assumptions!$C$8-1)-$C$9)&lt;1,(W$18-(Assumptions!$C$8-1)-$C$9)&gt;36),0,INDEX(Schedules!$C$8:$AL$8,(W$18-(Assumptions!$C$8-1)-$C$9)))*$C$7)*W44)</f>
        <v>0</v>
      </c>
      <c r="X49" s="14" t="n">
        <f aca="false">((IF(OR((X$18-(Assumptions!$C$8-1)-$C$9)&lt;1,(X$18-(Assumptions!$C$8-1)-$C$9)&gt;36),0,INDEX(Schedules!$C$8:$AL$8,(X$18-(Assumptions!$C$8-1)-$C$9)))*$C$7)*X44)</f>
        <v>0</v>
      </c>
      <c r="Y49" s="14" t="n">
        <f aca="false">((IF(OR((Y$18-(Assumptions!$C$8-1)-$C$9)&lt;1,(Y$18-(Assumptions!$C$8-1)-$C$9)&gt;36),0,INDEX(Schedules!$C$8:$AL$8,(Y$18-(Assumptions!$C$8-1)-$C$9)))*$C$7)*Y44)</f>
        <v>1</v>
      </c>
      <c r="Z49" s="14" t="n">
        <f aca="false">((IF(OR((Z$18-(Assumptions!$C$8-1)-$C$9)&lt;1,(Z$18-(Assumptions!$C$8-1)-$C$9)&gt;36),0,INDEX(Schedules!$C$8:$AL$8,(Z$18-(Assumptions!$C$8-1)-$C$9)))*$C$7)*Z44)</f>
        <v>0</v>
      </c>
      <c r="AA49" s="14" t="n">
        <f aca="false">((IF(OR((AA$18-(Assumptions!$C$8-1)-$C$9)&lt;1,(AA$18-(Assumptions!$C$8-1)-$C$9)&gt;36),0,INDEX(Schedules!$C$8:$AL$8,(AA$18-(Assumptions!$C$8-1)-$C$9)))*$C$7)*AA44)</f>
        <v>0</v>
      </c>
      <c r="AB49" s="14" t="n">
        <f aca="false">((IF(OR((AB$18-(Assumptions!$C$8-1)-$C$9)&lt;1,(AB$18-(Assumptions!$C$8-1)-$C$9)&gt;36),0,INDEX(Schedules!$C$8:$AL$8,(AB$18-(Assumptions!$C$8-1)-$C$9)))*$C$7)*AB44)</f>
        <v>1</v>
      </c>
      <c r="AC49" s="14" t="n">
        <f aca="false">((IF(OR((AC$18-(Assumptions!$C$8-1)-$C$9)&lt;1,(AC$18-(Assumptions!$C$8-1)-$C$9)&gt;36),0,INDEX(Schedules!$C$8:$AL$8,(AC$18-(Assumptions!$C$8-1)-$C$9)))*$C$7)*AC44)</f>
        <v>0</v>
      </c>
      <c r="AD49" s="14" t="n">
        <f aca="false">((IF(OR((AD$18-(Assumptions!$C$8-1)-$C$9)&lt;1,(AD$18-(Assumptions!$C$8-1)-$C$9)&gt;36),0,INDEX(Schedules!$C$8:$AL$8,(AD$18-(Assumptions!$C$8-1)-$C$9)))*$C$7)*AD44)</f>
        <v>0</v>
      </c>
      <c r="AE49" s="14" t="n">
        <f aca="false">((IF(OR((AE$18-(Assumptions!$C$8-1)-$C$9)&lt;1,(AE$18-(Assumptions!$C$8-1)-$C$9)&gt;36),0,INDEX(Schedules!$C$8:$AL$8,(AE$18-(Assumptions!$C$8-1)-$C$9)))*$C$7)*AE44)</f>
        <v>2</v>
      </c>
      <c r="AF49" s="14" t="n">
        <f aca="false">((IF(OR((AF$18-(Assumptions!$C$8-1)-$C$9)&lt;1,(AF$18-(Assumptions!$C$8-1)-$C$9)&gt;36),0,INDEX(Schedules!$C$8:$AL$8,(AF$18-(Assumptions!$C$8-1)-$C$9)))*$C$7)*AF44)</f>
        <v>0</v>
      </c>
      <c r="AG49" s="14" t="n">
        <f aca="false">((IF(OR((AG$18-(Assumptions!$C$8-1)-$C$9)&lt;1,(AG$18-(Assumptions!$C$8-1)-$C$9)&gt;36),0,INDEX(Schedules!$C$8:$AL$8,(AG$18-(Assumptions!$C$8-1)-$C$9)))*$C$7)*AG44)</f>
        <v>0</v>
      </c>
      <c r="AH49" s="14" t="n">
        <f aca="false">((IF(OR((AH$18-(Assumptions!$C$8-1)-$C$9)&lt;1,(AH$18-(Assumptions!$C$8-1)-$C$9)&gt;36),0,INDEX(Schedules!$C$8:$AL$8,(AH$18-(Assumptions!$C$8-1)-$C$9)))*$C$7)*AH44)</f>
        <v>2</v>
      </c>
      <c r="AI49" s="14" t="n">
        <f aca="false">((IF(OR((AI$18-(Assumptions!$C$8-1)-$C$9)&lt;1,(AI$18-(Assumptions!$C$8-1)-$C$9)&gt;36),0,INDEX(Schedules!$C$8:$AL$8,(AI$18-(Assumptions!$C$8-1)-$C$9)))*$C$7)*AI44)</f>
        <v>0</v>
      </c>
      <c r="AJ49" s="14" t="n">
        <f aca="false">((IF(OR((AJ$18-(Assumptions!$C$8-1)-$C$9)&lt;1,(AJ$18-(Assumptions!$C$8-1)-$C$9)&gt;36),0,INDEX(Schedules!$C$8:$AL$8,(AJ$18-(Assumptions!$C$8-1)-$C$9)))*$C$7)*AJ44)</f>
        <v>0</v>
      </c>
      <c r="AK49" s="14" t="n">
        <f aca="false">((IF(OR((AK$18-(Assumptions!$C$8-1)-$C$9)&lt;1,(AK$18-(Assumptions!$C$8-1)-$C$9)&gt;36),0,INDEX(Schedules!$C$8:$AL$8,(AK$18-(Assumptions!$C$8-1)-$C$9)))*$C$7)*AK44)</f>
        <v>3</v>
      </c>
      <c r="AL49" s="14" t="n">
        <f aca="false">((IF(OR((AL$18-(Assumptions!$C$8-1)-$C$9)&lt;1,(AL$18-(Assumptions!$C$8-1)-$C$9)&gt;36),0,INDEX(Schedules!$C$8:$AL$8,(AL$18-(Assumptions!$C$8-1)-$C$9)))*$C$7)*AL44)</f>
        <v>0</v>
      </c>
      <c r="AN49" s="36" t="n">
        <f aca="false">SUM(C49:N49)</f>
        <v>0</v>
      </c>
      <c r="AO49" s="36" t="n">
        <f aca="false">SUM(O49:Z49)</f>
        <v>1</v>
      </c>
      <c r="AP49" s="36" t="n">
        <f aca="false">SUM(AA49:AL49)</f>
        <v>8</v>
      </c>
    </row>
    <row r="50" customFormat="false" ht="15" hidden="false" customHeight="false" outlineLevel="0" collapsed="false">
      <c r="A50" s="0" t="s">
        <v>856</v>
      </c>
      <c r="B50" s="0" t="s">
        <v>852</v>
      </c>
      <c r="C50" s="14" t="n">
        <f aca="false">(C46+C49)</f>
        <v>0</v>
      </c>
      <c r="D50" s="14" t="n">
        <f aca="false">(D46+D49)</f>
        <v>0</v>
      </c>
      <c r="E50" s="14" t="n">
        <f aca="false">(E46+E49)</f>
        <v>0</v>
      </c>
      <c r="F50" s="14" t="n">
        <f aca="false">(F46+F49)</f>
        <v>0</v>
      </c>
      <c r="G50" s="14" t="n">
        <f aca="false">(G46+G49)</f>
        <v>0</v>
      </c>
      <c r="H50" s="14" t="n">
        <f aca="false">(H46+H49)</f>
        <v>0</v>
      </c>
      <c r="I50" s="14" t="n">
        <f aca="false">(I46+I49)</f>
        <v>0</v>
      </c>
      <c r="J50" s="14" t="n">
        <f aca="false">(J46+J49)</f>
        <v>0</v>
      </c>
      <c r="K50" s="14" t="n">
        <f aca="false">(K46+K49)</f>
        <v>0</v>
      </c>
      <c r="L50" s="14" t="n">
        <f aca="false">(L46+L49)</f>
        <v>0</v>
      </c>
      <c r="M50" s="14" t="n">
        <f aca="false">(M46+M49)</f>
        <v>0</v>
      </c>
      <c r="N50" s="14" t="n">
        <f aca="false">(N46+N49)</f>
        <v>0</v>
      </c>
      <c r="O50" s="14" t="n">
        <f aca="false">(O46+O49)</f>
        <v>1</v>
      </c>
      <c r="P50" s="14" t="n">
        <f aca="false">(P46+P49)</f>
        <v>0</v>
      </c>
      <c r="Q50" s="14" t="n">
        <f aca="false">(Q46+Q49)</f>
        <v>0</v>
      </c>
      <c r="R50" s="14" t="n">
        <f aca="false">(R46+R49)</f>
        <v>1</v>
      </c>
      <c r="S50" s="14" t="n">
        <f aca="false">(S46+S49)</f>
        <v>0</v>
      </c>
      <c r="T50" s="14" t="n">
        <f aca="false">(T46+T49)</f>
        <v>0</v>
      </c>
      <c r="U50" s="14" t="n">
        <f aca="false">(U46+U49)</f>
        <v>2</v>
      </c>
      <c r="V50" s="14" t="n">
        <f aca="false">(V46+V49)</f>
        <v>0</v>
      </c>
      <c r="W50" s="14" t="n">
        <f aca="false">(W46+W49)</f>
        <v>0</v>
      </c>
      <c r="X50" s="14" t="n">
        <f aca="false">(X46+X49)</f>
        <v>2</v>
      </c>
      <c r="Y50" s="14" t="n">
        <f aca="false">(Y46+Y49)</f>
        <v>1</v>
      </c>
      <c r="Z50" s="14" t="n">
        <f aca="false">(Z46+Z49)</f>
        <v>0</v>
      </c>
      <c r="AA50" s="14" t="n">
        <f aca="false">(AA46+AA49)</f>
        <v>3</v>
      </c>
      <c r="AB50" s="14" t="n">
        <f aca="false">(AB46+AB49)</f>
        <v>1</v>
      </c>
      <c r="AC50" s="14" t="n">
        <f aca="false">(AC46+AC49)</f>
        <v>0</v>
      </c>
      <c r="AD50" s="14" t="n">
        <f aca="false">(AD46+AD49)</f>
        <v>3</v>
      </c>
      <c r="AE50" s="14" t="n">
        <f aca="false">(AE46+AE49)</f>
        <v>2</v>
      </c>
      <c r="AF50" s="14" t="n">
        <f aca="false">(AF46+AF49)</f>
        <v>0</v>
      </c>
      <c r="AG50" s="14" t="n">
        <f aca="false">(AG46+AG49)</f>
        <v>3</v>
      </c>
      <c r="AH50" s="14" t="n">
        <f aca="false">(AH46+AH49)</f>
        <v>2</v>
      </c>
      <c r="AI50" s="14" t="n">
        <f aca="false">(AI46+AI49)</f>
        <v>0</v>
      </c>
      <c r="AJ50" s="14" t="n">
        <f aca="false">(AJ46+AJ49)</f>
        <v>4</v>
      </c>
      <c r="AK50" s="14" t="n">
        <f aca="false">(AK46+AK49)</f>
        <v>3</v>
      </c>
      <c r="AL50" s="14" t="n">
        <f aca="false">(AL46+AL49)</f>
        <v>0</v>
      </c>
      <c r="AN50" s="36" t="n">
        <f aca="false">SUM(C50:N50)</f>
        <v>0</v>
      </c>
      <c r="AO50" s="36" t="n">
        <f aca="false">SUM(O50:Z50)</f>
        <v>7</v>
      </c>
      <c r="AP50" s="36" t="n">
        <f aca="false">SUM(AA50:AL50)</f>
        <v>21</v>
      </c>
    </row>
    <row r="51" customFormat="false" ht="15" hidden="false" customHeight="false" outlineLevel="0" collapsed="false">
      <c r="A51" s="0" t="s">
        <v>857</v>
      </c>
      <c r="B51" s="0" t="s">
        <v>852</v>
      </c>
      <c r="C51" s="14" t="n">
        <f aca="false">C48</f>
        <v>0</v>
      </c>
      <c r="D51" s="14" t="n">
        <f aca="false">SUM(C48:D48)</f>
        <v>0</v>
      </c>
      <c r="E51" s="14" t="n">
        <f aca="false">SUM(C48:E48)</f>
        <v>0</v>
      </c>
      <c r="F51" s="14" t="n">
        <f aca="false">SUM(C48:F48)</f>
        <v>0</v>
      </c>
      <c r="G51" s="14" t="n">
        <f aca="false">SUM(C48:G48)</f>
        <v>1</v>
      </c>
      <c r="H51" s="14" t="n">
        <f aca="false">SUM(C48:H48)</f>
        <v>1</v>
      </c>
      <c r="I51" s="14" t="n">
        <f aca="false">SUM(D48:I48)</f>
        <v>1</v>
      </c>
      <c r="J51" s="14" t="n">
        <f aca="false">SUM(E48:J48)</f>
        <v>1</v>
      </c>
      <c r="K51" s="14" t="n">
        <f aca="false">SUM(F48:K48)</f>
        <v>1</v>
      </c>
      <c r="L51" s="14" t="n">
        <f aca="false">SUM(G48:L48)</f>
        <v>1</v>
      </c>
      <c r="M51" s="14" t="n">
        <f aca="false">SUM(H48:M48)</f>
        <v>0</v>
      </c>
      <c r="N51" s="14" t="n">
        <f aca="false">SUM(I48:N48)</f>
        <v>0</v>
      </c>
      <c r="O51" s="14" t="n">
        <f aca="false">SUM(J48:O48)</f>
        <v>1</v>
      </c>
      <c r="P51" s="14" t="n">
        <f aca="false">SUM(K48:P48)</f>
        <v>1</v>
      </c>
      <c r="Q51" s="14" t="n">
        <f aca="false">SUM(L48:Q48)</f>
        <v>1</v>
      </c>
      <c r="R51" s="14" t="n">
        <f aca="false">SUM(M48:R48)</f>
        <v>2</v>
      </c>
      <c r="S51" s="14" t="n">
        <f aca="false">SUM(N48:S48)</f>
        <v>2</v>
      </c>
      <c r="T51" s="14" t="n">
        <f aca="false">SUM(O48:T48)</f>
        <v>2</v>
      </c>
      <c r="U51" s="14" t="n">
        <f aca="false">SUM(P48:U48)</f>
        <v>3</v>
      </c>
      <c r="V51" s="14" t="n">
        <f aca="false">SUM(Q48:V48)</f>
        <v>3</v>
      </c>
      <c r="W51" s="14" t="n">
        <f aca="false">SUM(R48:W48)</f>
        <v>3</v>
      </c>
      <c r="X51" s="14" t="n">
        <f aca="false">SUM(S48:X48)</f>
        <v>4</v>
      </c>
      <c r="Y51" s="14" t="n">
        <f aca="false">SUM(T48:Y48)</f>
        <v>4</v>
      </c>
      <c r="Z51" s="14" t="n">
        <f aca="false">SUM(U48:Z48)</f>
        <v>4</v>
      </c>
      <c r="AA51" s="14" t="n">
        <f aca="false">SUM(V48:AA48)</f>
        <v>5</v>
      </c>
      <c r="AB51" s="14" t="n">
        <f aca="false">SUM(W48:AB48)</f>
        <v>5</v>
      </c>
      <c r="AC51" s="14" t="n">
        <f aca="false">SUM(X48:AC48)</f>
        <v>5</v>
      </c>
      <c r="AD51" s="14" t="n">
        <f aca="false">SUM(Y48:AD48)</f>
        <v>6</v>
      </c>
      <c r="AE51" s="14" t="n">
        <f aca="false">SUM(Z48:AE48)</f>
        <v>6</v>
      </c>
      <c r="AF51" s="14" t="n">
        <f aca="false">SUM(AA48:AF48)</f>
        <v>6</v>
      </c>
      <c r="AG51" s="14" t="n">
        <f aca="false">SUM(AB48:AG48)</f>
        <v>6</v>
      </c>
      <c r="AH51" s="14" t="n">
        <f aca="false">SUM(AC48:AH48)</f>
        <v>6</v>
      </c>
      <c r="AI51" s="14" t="n">
        <f aca="false">SUM(AD48:AI48)</f>
        <v>6</v>
      </c>
      <c r="AJ51" s="14" t="n">
        <f aca="false">SUM(AE48:AJ48)</f>
        <v>7</v>
      </c>
      <c r="AK51" s="14" t="n">
        <f aca="false">SUM(AF48:AK48)</f>
        <v>7</v>
      </c>
      <c r="AL51" s="14" t="n">
        <f aca="false">SUM(AG48:AL48)</f>
        <v>7</v>
      </c>
      <c r="AN51" s="36" t="n">
        <f aca="false">N51</f>
        <v>0</v>
      </c>
      <c r="AO51" s="36" t="n">
        <f aca="false">Z51</f>
        <v>4</v>
      </c>
      <c r="AP51" s="36" t="n">
        <f aca="false">AL51</f>
        <v>7</v>
      </c>
    </row>
    <row r="52" customFormat="false" ht="15" hidden="false" customHeight="false" outlineLevel="0" collapsed="false">
      <c r="A52" s="0" t="s">
        <v>858</v>
      </c>
      <c r="B52" s="0" t="s">
        <v>852</v>
      </c>
      <c r="C52" s="14" t="n">
        <f aca="false">C46</f>
        <v>0</v>
      </c>
      <c r="D52" s="14" t="n">
        <f aca="false">SUM(C46:D46)</f>
        <v>0</v>
      </c>
      <c r="E52" s="14" t="n">
        <f aca="false">SUM(C46:E46)</f>
        <v>0</v>
      </c>
      <c r="F52" s="14" t="n">
        <f aca="false">SUM(C46:F46)</f>
        <v>0</v>
      </c>
      <c r="G52" s="14" t="n">
        <f aca="false">SUM(C46:G46)</f>
        <v>0</v>
      </c>
      <c r="H52" s="14" t="n">
        <f aca="false">SUM(C46:H46)</f>
        <v>0</v>
      </c>
      <c r="I52" s="14" t="n">
        <f aca="false">SUM(D46:I46)</f>
        <v>0</v>
      </c>
      <c r="J52" s="14" t="n">
        <f aca="false">SUM(E46:J46)</f>
        <v>0</v>
      </c>
      <c r="K52" s="14" t="n">
        <f aca="false">SUM(F46:K46)</f>
        <v>0</v>
      </c>
      <c r="L52" s="14" t="n">
        <f aca="false">SUM(G46:L46)</f>
        <v>0</v>
      </c>
      <c r="M52" s="14" t="n">
        <f aca="false">SUM(H46:M46)</f>
        <v>0</v>
      </c>
      <c r="N52" s="14" t="n">
        <f aca="false">SUM(I46:N46)</f>
        <v>0</v>
      </c>
      <c r="O52" s="14" t="n">
        <f aca="false">SUM(J46:O46)</f>
        <v>1</v>
      </c>
      <c r="P52" s="14" t="n">
        <f aca="false">SUM(K46:P46)</f>
        <v>1</v>
      </c>
      <c r="Q52" s="14" t="n">
        <f aca="false">SUM(L46:Q46)</f>
        <v>1</v>
      </c>
      <c r="R52" s="14" t="n">
        <f aca="false">SUM(M46:R46)</f>
        <v>2</v>
      </c>
      <c r="S52" s="14" t="n">
        <f aca="false">SUM(N46:S46)</f>
        <v>2</v>
      </c>
      <c r="T52" s="14" t="n">
        <f aca="false">SUM(O46:T46)</f>
        <v>2</v>
      </c>
      <c r="U52" s="14" t="n">
        <f aca="false">SUM(P46:U46)</f>
        <v>3</v>
      </c>
      <c r="V52" s="14" t="n">
        <f aca="false">SUM(Q46:V46)</f>
        <v>3</v>
      </c>
      <c r="W52" s="14" t="n">
        <f aca="false">SUM(R46:W46)</f>
        <v>3</v>
      </c>
      <c r="X52" s="14" t="n">
        <f aca="false">SUM(S46:X46)</f>
        <v>4</v>
      </c>
      <c r="Y52" s="14" t="n">
        <f aca="false">SUM(T46:Y46)</f>
        <v>4</v>
      </c>
      <c r="Z52" s="14" t="n">
        <f aca="false">SUM(U46:Z46)</f>
        <v>4</v>
      </c>
      <c r="AA52" s="14" t="n">
        <f aca="false">SUM(V46:AA46)</f>
        <v>5</v>
      </c>
      <c r="AB52" s="14" t="n">
        <f aca="false">SUM(W46:AB46)</f>
        <v>5</v>
      </c>
      <c r="AC52" s="14" t="n">
        <f aca="false">SUM(X46:AC46)</f>
        <v>5</v>
      </c>
      <c r="AD52" s="14" t="n">
        <f aca="false">SUM(Y46:AD46)</f>
        <v>6</v>
      </c>
      <c r="AE52" s="14" t="n">
        <f aca="false">SUM(Z46:AE46)</f>
        <v>6</v>
      </c>
      <c r="AF52" s="14" t="n">
        <f aca="false">SUM(AA46:AF46)</f>
        <v>6</v>
      </c>
      <c r="AG52" s="14" t="n">
        <f aca="false">SUM(AB46:AG46)</f>
        <v>6</v>
      </c>
      <c r="AH52" s="14" t="n">
        <f aca="false">SUM(AC46:AH46)</f>
        <v>6</v>
      </c>
      <c r="AI52" s="14" t="n">
        <f aca="false">SUM(AD46:AI46)</f>
        <v>6</v>
      </c>
      <c r="AJ52" s="14" t="n">
        <f aca="false">SUM(AE46:AJ46)</f>
        <v>7</v>
      </c>
      <c r="AK52" s="14" t="n">
        <f aca="false">SUM(AF46:AK46)</f>
        <v>7</v>
      </c>
      <c r="AL52" s="14" t="n">
        <f aca="false">SUM(AG46:AL46)</f>
        <v>7</v>
      </c>
      <c r="AN52" s="36" t="n">
        <f aca="false">N52</f>
        <v>0</v>
      </c>
      <c r="AO52" s="36" t="n">
        <f aca="false">Z52</f>
        <v>4</v>
      </c>
      <c r="AP52" s="36" t="n">
        <f aca="false">AL52</f>
        <v>7</v>
      </c>
    </row>
    <row r="53" customFormat="false" ht="15" hidden="false" customHeight="false" outlineLevel="0" collapsed="false">
      <c r="A53" s="0" t="s">
        <v>859</v>
      </c>
      <c r="B53" s="0" t="s">
        <v>852</v>
      </c>
      <c r="C53" s="14" t="n">
        <f aca="false">((Assumptions!$C$127*$C$8)*0)</f>
        <v>0</v>
      </c>
      <c r="D53" s="14" t="n">
        <f aca="false">((Assumptions!$C$127*$C$8)*0)</f>
        <v>0</v>
      </c>
      <c r="E53" s="14" t="n">
        <f aca="false">((Assumptions!$C$127*$C$8)*0)</f>
        <v>0</v>
      </c>
      <c r="F53" s="14" t="n">
        <f aca="false">((Assumptions!$C$127*$C$8)*0)</f>
        <v>0</v>
      </c>
      <c r="G53" s="14" t="n">
        <f aca="false">((Assumptions!$C$127*$C$8)*0)</f>
        <v>0</v>
      </c>
      <c r="H53" s="14" t="n">
        <f aca="false">((Assumptions!$C$127*$C$8)*0)</f>
        <v>0</v>
      </c>
      <c r="I53" s="14" t="n">
        <f aca="false">((Assumptions!$C$127*$C$8)*0)</f>
        <v>0</v>
      </c>
      <c r="J53" s="14" t="n">
        <f aca="false">((Assumptions!$C$127*$C$8)*C46)</f>
        <v>0</v>
      </c>
      <c r="K53" s="14" t="n">
        <f aca="false">((Assumptions!$C$127*$C$8)*D46)</f>
        <v>0</v>
      </c>
      <c r="L53" s="14" t="n">
        <f aca="false">((Assumptions!$C$127*$C$8)*E46)</f>
        <v>0</v>
      </c>
      <c r="M53" s="14" t="n">
        <f aca="false">((Assumptions!$C$127*$C$8)*F46)</f>
        <v>0</v>
      </c>
      <c r="N53" s="14" t="n">
        <f aca="false">((Assumptions!$C$127*$C$8)*G46)</f>
        <v>0</v>
      </c>
      <c r="O53" s="14" t="n">
        <f aca="false">((Assumptions!$C$127*$C$8)*H46)</f>
        <v>0</v>
      </c>
      <c r="P53" s="14" t="n">
        <f aca="false">((Assumptions!$C$127*$C$8)*I46)</f>
        <v>0</v>
      </c>
      <c r="Q53" s="14" t="n">
        <f aca="false">((Assumptions!$C$127*$C$8)*J46)</f>
        <v>0</v>
      </c>
      <c r="R53" s="14" t="n">
        <f aca="false">((Assumptions!$C$127*$C$8)*K46)</f>
        <v>0</v>
      </c>
      <c r="S53" s="14" t="n">
        <f aca="false">((Assumptions!$C$127*$C$8)*L46)</f>
        <v>0</v>
      </c>
      <c r="T53" s="14" t="n">
        <f aca="false">((Assumptions!$C$127*$C$8)*M46)</f>
        <v>0</v>
      </c>
      <c r="U53" s="14" t="n">
        <f aca="false">((Assumptions!$C$127*$C$8)*N46)</f>
        <v>0</v>
      </c>
      <c r="V53" s="14" t="n">
        <f aca="false">((Assumptions!$C$127*$C$8)*O46)</f>
        <v>0.5</v>
      </c>
      <c r="W53" s="14" t="n">
        <f aca="false">((Assumptions!$C$127*$C$8)*P46)</f>
        <v>0</v>
      </c>
      <c r="X53" s="14" t="n">
        <f aca="false">((Assumptions!$C$127*$C$8)*Q46)</f>
        <v>0</v>
      </c>
      <c r="Y53" s="14" t="n">
        <f aca="false">((Assumptions!$C$127*$C$8)*R46)</f>
        <v>0.5</v>
      </c>
      <c r="Z53" s="14" t="n">
        <f aca="false">((Assumptions!$C$127*$C$8)*S46)</f>
        <v>0</v>
      </c>
      <c r="AA53" s="14" t="n">
        <f aca="false">((Assumptions!$C$127*$C$8)*T46)</f>
        <v>0</v>
      </c>
      <c r="AB53" s="14" t="n">
        <f aca="false">((Assumptions!$C$127*$C$8)*U46)</f>
        <v>1</v>
      </c>
      <c r="AC53" s="14" t="n">
        <f aca="false">((Assumptions!$C$127*$C$8)*V46)</f>
        <v>0</v>
      </c>
      <c r="AD53" s="14" t="n">
        <f aca="false">((Assumptions!$C$127*$C$8)*W46)</f>
        <v>0</v>
      </c>
      <c r="AE53" s="14" t="n">
        <f aca="false">((Assumptions!$C$127*$C$8)*X46)</f>
        <v>1</v>
      </c>
      <c r="AF53" s="14" t="n">
        <f aca="false">((Assumptions!$C$127*$C$8)*Y46)</f>
        <v>0</v>
      </c>
      <c r="AG53" s="14" t="n">
        <f aca="false">((Assumptions!$C$127*$C$8)*Z46)</f>
        <v>0</v>
      </c>
      <c r="AH53" s="14" t="n">
        <f aca="false">((Assumptions!$C$127*$C$8)*AA46)</f>
        <v>1.5</v>
      </c>
      <c r="AI53" s="14" t="n">
        <f aca="false">((Assumptions!$C$127*$C$8)*AB46)</f>
        <v>0</v>
      </c>
      <c r="AJ53" s="14" t="n">
        <f aca="false">((Assumptions!$C$127*$C$8)*AC46)</f>
        <v>0</v>
      </c>
      <c r="AK53" s="14" t="n">
        <f aca="false">((Assumptions!$C$127*$C$8)*AD46)</f>
        <v>1.5</v>
      </c>
      <c r="AL53" s="14" t="n">
        <f aca="false">((Assumptions!$C$127*$C$8)*AE46)</f>
        <v>0</v>
      </c>
      <c r="AN53" s="36" t="n">
        <f aca="false">SUM(C53:N53)</f>
        <v>0</v>
      </c>
      <c r="AO53" s="36" t="n">
        <f aca="false">SUM(O53:Z53)</f>
        <v>1</v>
      </c>
      <c r="AP53" s="36" t="n">
        <f aca="false">SUM(AA53:AL53)</f>
        <v>5</v>
      </c>
    </row>
    <row r="54" customFormat="false" ht="15" hidden="false" customHeight="false" outlineLevel="0" collapsed="false">
      <c r="A54" s="0" t="s">
        <v>860</v>
      </c>
      <c r="B54" s="0" t="s">
        <v>852</v>
      </c>
      <c r="C54" s="14" t="n">
        <f aca="false">((Assumptions!$C$10*$C$8)*IF((C$18=(Assumptions!$C$7+$C$9)),0,IF((C$18&gt;(Assumptions!$C$7+$C$9)),0,0)))</f>
        <v>0</v>
      </c>
      <c r="D54" s="14" t="n">
        <f aca="false">((Assumptions!$C$10*$C$8)*IF((D$18=(Assumptions!$C$7+$C$9)),0,IF((D$18&gt;(Assumptions!$C$7+$C$9)),0,0)))</f>
        <v>0</v>
      </c>
      <c r="E54" s="14" t="n">
        <f aca="false">((Assumptions!$C$10*$C$8)*IF((E$18=(Assumptions!$C$7+$C$9)),0,IF((E$18&gt;(Assumptions!$C$7+$C$9)),0,0)))</f>
        <v>0</v>
      </c>
      <c r="F54" s="14" t="n">
        <f aca="false">((Assumptions!$C$10*$C$8)*IF((F$18=(Assumptions!$C$7+$C$9)),0,IF((F$18&gt;(Assumptions!$C$7+$C$9)),0,0)))</f>
        <v>0</v>
      </c>
      <c r="G54" s="14" t="n">
        <f aca="false">((Assumptions!$C$10*$C$8)*IF((G$18=(Assumptions!$C$7+$C$9)),0,IF((G$18&gt;(Assumptions!$C$7+$C$9)),0,0)))</f>
        <v>0</v>
      </c>
      <c r="H54" s="14" t="n">
        <f aca="false">((Assumptions!$C$10*$C$8)*IF((H$18=(Assumptions!$C$7+$C$9)),0,IF((H$18&gt;(Assumptions!$C$7+$C$9)),0,0)))</f>
        <v>0</v>
      </c>
      <c r="I54" s="14" t="n">
        <f aca="false">((Assumptions!$C$10*$C$8)*IF((I$18=(Assumptions!$C$7+$C$9)),0,IF((I$18&gt;(Assumptions!$C$7+$C$9)),0,0)))</f>
        <v>0</v>
      </c>
      <c r="J54" s="14" t="n">
        <f aca="false">((Assumptions!$C$10*$C$8)*IF((J$18=(Assumptions!$C$7+$C$9)),C47,IF((J$18&gt;(Assumptions!$C$7+$C$9)),C47,0)))</f>
        <v>0</v>
      </c>
      <c r="K54" s="14" t="n">
        <f aca="false">((Assumptions!$C$10*$C$8)*IF((K$18=(Assumptions!$C$7+$C$9)),SUM(C47:D47),IF((K$18&gt;(Assumptions!$C$7+$C$9)),D47,0)))</f>
        <v>0</v>
      </c>
      <c r="L54" s="14" t="n">
        <f aca="false">((Assumptions!$C$10*$C$8)*IF((L$18=(Assumptions!$C$7+$C$9)),SUM(C47:E47),IF((L$18&gt;(Assumptions!$C$7+$C$9)),E47,0)))</f>
        <v>0</v>
      </c>
      <c r="M54" s="14" t="n">
        <f aca="false">((Assumptions!$C$10*$C$8)*IF((M$18=(Assumptions!$C$7+$C$9)),SUM(C47:F47),IF((M$18&gt;(Assumptions!$C$7+$C$9)),F47,0)))</f>
        <v>0</v>
      </c>
      <c r="N54" s="14" t="n">
        <f aca="false">((Assumptions!$C$10*$C$8)*IF((N$18=(Assumptions!$C$7+$C$9)),SUM(C47:G47),IF((N$18&gt;(Assumptions!$C$7+$C$9)),G47,0)))</f>
        <v>0.6</v>
      </c>
      <c r="O54" s="14" t="n">
        <f aca="false">((Assumptions!$C$10*$C$8)*IF((O$18=(Assumptions!$C$7+$C$9)),SUM(C47:H47),IF((O$18&gt;(Assumptions!$C$7+$C$9)),H47,0)))</f>
        <v>0</v>
      </c>
      <c r="P54" s="14" t="n">
        <f aca="false">((Assumptions!$C$10*$C$8)*IF((P$18=(Assumptions!$C$7+$C$9)),SUM(C47:I47),IF((P$18&gt;(Assumptions!$C$7+$C$9)),I47,0)))</f>
        <v>0</v>
      </c>
      <c r="Q54" s="14" t="n">
        <f aca="false">((Assumptions!$C$10*$C$8)*IF((Q$18=(Assumptions!$C$7+$C$9)),SUM(C47:J47),IF((Q$18&gt;(Assumptions!$C$7+$C$9)),J47,0)))</f>
        <v>0</v>
      </c>
      <c r="R54" s="14" t="n">
        <f aca="false">((Assumptions!$C$10*$C$8)*IF((R$18=(Assumptions!$C$7+$C$9)),SUM(C47:K47),IF((R$18&gt;(Assumptions!$C$7+$C$9)),K47,0)))</f>
        <v>0</v>
      </c>
      <c r="S54" s="14" t="n">
        <f aca="false">((Assumptions!$C$10*$C$8)*IF((S$18=(Assumptions!$C$7+$C$9)),SUM(C47:L47),IF((S$18&gt;(Assumptions!$C$7+$C$9)),L47,0)))</f>
        <v>0</v>
      </c>
      <c r="T54" s="14" t="n">
        <f aca="false">((Assumptions!$C$10*$C$8)*IF((T$18=(Assumptions!$C$7+$C$9)),SUM(C47:M47),IF((T$18&gt;(Assumptions!$C$7+$C$9)),M47,0)))</f>
        <v>0</v>
      </c>
      <c r="U54" s="14" t="n">
        <f aca="false">((Assumptions!$C$10*$C$8)*IF((U$18=(Assumptions!$C$7+$C$9)),SUM(C47:N47),IF((U$18&gt;(Assumptions!$C$7+$C$9)),N47,0)))</f>
        <v>0</v>
      </c>
      <c r="V54" s="14" t="n">
        <f aca="false">((Assumptions!$C$10*$C$8)*IF((V$18=(Assumptions!$C$7+$C$9)),SUM(C47:O47),IF((V$18&gt;(Assumptions!$C$7+$C$9)),O47,0)))</f>
        <v>0</v>
      </c>
      <c r="W54" s="14" t="n">
        <f aca="false">((Assumptions!$C$10*$C$8)*IF((W$18=(Assumptions!$C$7+$C$9)),SUM(C47:P47),IF((W$18&gt;(Assumptions!$C$7+$C$9)),P47,0)))</f>
        <v>0</v>
      </c>
      <c r="X54" s="14" t="n">
        <f aca="false">((Assumptions!$C$10*$C$8)*IF((X$18=(Assumptions!$C$7+$C$9)),SUM(C47:Q47),IF((X$18&gt;(Assumptions!$C$7+$C$9)),Q47,0)))</f>
        <v>0</v>
      </c>
      <c r="Y54" s="14" t="n">
        <f aca="false">((Assumptions!$C$10*$C$8)*IF((Y$18=(Assumptions!$C$7+$C$9)),SUM(C47:R47),IF((Y$18&gt;(Assumptions!$C$7+$C$9)),R47,0)))</f>
        <v>0</v>
      </c>
      <c r="Z54" s="14" t="n">
        <f aca="false">((Assumptions!$C$10*$C$8)*IF((Z$18=(Assumptions!$C$7+$C$9)),SUM(C47:S47),IF((Z$18&gt;(Assumptions!$C$7+$C$9)),S47,0)))</f>
        <v>0</v>
      </c>
      <c r="AA54" s="14" t="n">
        <f aca="false">((Assumptions!$C$10*$C$8)*IF((AA$18=(Assumptions!$C$7+$C$9)),SUM(C47:T47),IF((AA$18&gt;(Assumptions!$C$7+$C$9)),T47,0)))</f>
        <v>0</v>
      </c>
      <c r="AB54" s="14" t="n">
        <f aca="false">((Assumptions!$C$10*$C$8)*IF((AB$18=(Assumptions!$C$7+$C$9)),SUM(C47:U47),IF((AB$18&gt;(Assumptions!$C$7+$C$9)),U47,0)))</f>
        <v>0</v>
      </c>
      <c r="AC54" s="14" t="n">
        <f aca="false">((Assumptions!$C$10*$C$8)*IF((AC$18=(Assumptions!$C$7+$C$9)),SUM(C47:V47),IF((AC$18&gt;(Assumptions!$C$7+$C$9)),V47,0)))</f>
        <v>0</v>
      </c>
      <c r="AD54" s="14" t="n">
        <f aca="false">((Assumptions!$C$10*$C$8)*IF((AD$18=(Assumptions!$C$7+$C$9)),SUM(C47:W47),IF((AD$18&gt;(Assumptions!$C$7+$C$9)),W47,0)))</f>
        <v>0</v>
      </c>
      <c r="AE54" s="14" t="n">
        <f aca="false">((Assumptions!$C$10*$C$8)*IF((AE$18=(Assumptions!$C$7+$C$9)),SUM(C47:X47),IF((AE$18&gt;(Assumptions!$C$7+$C$9)),X47,0)))</f>
        <v>0</v>
      </c>
      <c r="AF54" s="14" t="n">
        <f aca="false">((Assumptions!$C$10*$C$8)*IF((AF$18=(Assumptions!$C$7+$C$9)),SUM(C47:Y47),IF((AF$18&gt;(Assumptions!$C$7+$C$9)),Y47,0)))</f>
        <v>0</v>
      </c>
      <c r="AG54" s="14" t="n">
        <f aca="false">((Assumptions!$C$10*$C$8)*IF((AG$18=(Assumptions!$C$7+$C$9)),SUM(C47:Z47),IF((AG$18&gt;(Assumptions!$C$7+$C$9)),Z47,0)))</f>
        <v>0</v>
      </c>
      <c r="AH54" s="14" t="n">
        <f aca="false">((Assumptions!$C$10*$C$8)*IF((AH$18=(Assumptions!$C$7+$C$9)),SUM(C47:AA47),IF((AH$18&gt;(Assumptions!$C$7+$C$9)),AA47,0)))</f>
        <v>0</v>
      </c>
      <c r="AI54" s="14" t="n">
        <f aca="false">((Assumptions!$C$10*$C$8)*IF((AI$18=(Assumptions!$C$7+$C$9)),SUM(C47:AB47),IF((AI$18&gt;(Assumptions!$C$7+$C$9)),AB47,0)))</f>
        <v>0</v>
      </c>
      <c r="AJ54" s="14" t="n">
        <f aca="false">((Assumptions!$C$10*$C$8)*IF((AJ$18=(Assumptions!$C$7+$C$9)),SUM(C47:AC47),IF((AJ$18&gt;(Assumptions!$C$7+$C$9)),AC47,0)))</f>
        <v>0</v>
      </c>
      <c r="AK54" s="14" t="n">
        <f aca="false">((Assumptions!$C$10*$C$8)*IF((AK$18=(Assumptions!$C$7+$C$9)),SUM(C47:AD47),IF((AK$18&gt;(Assumptions!$C$7+$C$9)),AD47,0)))</f>
        <v>0</v>
      </c>
      <c r="AL54" s="14" t="n">
        <f aca="false">((Assumptions!$C$10*$C$8)*IF((AL$18=(Assumptions!$C$7+$C$9)),SUM(C47:AE47),IF((AL$18&gt;(Assumptions!$C$7+$C$9)),AE47,0)))</f>
        <v>0</v>
      </c>
      <c r="AN54" s="36" t="n">
        <f aca="false">SUM(C54:N54)</f>
        <v>0.6</v>
      </c>
      <c r="AO54" s="36" t="n">
        <f aca="false">SUM(O54:Z54)</f>
        <v>0</v>
      </c>
      <c r="AP54" s="36" t="n">
        <f aca="false">SUM(AA54:AL54)</f>
        <v>0</v>
      </c>
    </row>
    <row r="55" customFormat="false" ht="15" hidden="false" customHeight="false" outlineLevel="0" collapsed="false">
      <c r="A55" s="0" t="s">
        <v>861</v>
      </c>
      <c r="B55" s="0" t="s">
        <v>852</v>
      </c>
      <c r="C55" s="14" t="n">
        <f aca="false">((C53+C54)+C49)</f>
        <v>0</v>
      </c>
      <c r="D55" s="14" t="n">
        <f aca="false">((D53+D54)+D49)</f>
        <v>0</v>
      </c>
      <c r="E55" s="14" t="n">
        <f aca="false">((E53+E54)+E49)</f>
        <v>0</v>
      </c>
      <c r="F55" s="14" t="n">
        <f aca="false">((F53+F54)+F49)</f>
        <v>0</v>
      </c>
      <c r="G55" s="14" t="n">
        <f aca="false">((G53+G54)+G49)</f>
        <v>0</v>
      </c>
      <c r="H55" s="14" t="n">
        <f aca="false">((H53+H54)+H49)</f>
        <v>0</v>
      </c>
      <c r="I55" s="14" t="n">
        <f aca="false">((I53+I54)+I49)</f>
        <v>0</v>
      </c>
      <c r="J55" s="14" t="n">
        <f aca="false">((J53+J54)+J49)</f>
        <v>0</v>
      </c>
      <c r="K55" s="14" t="n">
        <f aca="false">((K53+K54)+K49)</f>
        <v>0</v>
      </c>
      <c r="L55" s="14" t="n">
        <f aca="false">((L53+L54)+L49)</f>
        <v>0</v>
      </c>
      <c r="M55" s="14" t="n">
        <f aca="false">((M53+M54)+M49)</f>
        <v>0</v>
      </c>
      <c r="N55" s="14" t="n">
        <f aca="false">((N53+N54)+N49)</f>
        <v>0.6</v>
      </c>
      <c r="O55" s="14" t="n">
        <f aca="false">((O53+O54)+O49)</f>
        <v>0</v>
      </c>
      <c r="P55" s="14" t="n">
        <f aca="false">((P53+P54)+P49)</f>
        <v>0</v>
      </c>
      <c r="Q55" s="14" t="n">
        <f aca="false">((Q53+Q54)+Q49)</f>
        <v>0</v>
      </c>
      <c r="R55" s="14" t="n">
        <f aca="false">((R53+R54)+R49)</f>
        <v>0</v>
      </c>
      <c r="S55" s="14" t="n">
        <f aca="false">((S53+S54)+S49)</f>
        <v>0</v>
      </c>
      <c r="T55" s="14" t="n">
        <f aca="false">((T53+T54)+T49)</f>
        <v>0</v>
      </c>
      <c r="U55" s="14" t="n">
        <f aca="false">((U53+U54)+U49)</f>
        <v>0</v>
      </c>
      <c r="V55" s="14" t="n">
        <f aca="false">((V53+V54)+V49)</f>
        <v>0.5</v>
      </c>
      <c r="W55" s="14" t="n">
        <f aca="false">((W53+W54)+W49)</f>
        <v>0</v>
      </c>
      <c r="X55" s="14" t="n">
        <f aca="false">((X53+X54)+X49)</f>
        <v>0</v>
      </c>
      <c r="Y55" s="14" t="n">
        <f aca="false">((Y53+Y54)+Y49)</f>
        <v>1.5</v>
      </c>
      <c r="Z55" s="14" t="n">
        <f aca="false">((Z53+Z54)+Z49)</f>
        <v>0</v>
      </c>
      <c r="AA55" s="14" t="n">
        <f aca="false">((AA53+AA54)+AA49)</f>
        <v>0</v>
      </c>
      <c r="AB55" s="14" t="n">
        <f aca="false">((AB53+AB54)+AB49)</f>
        <v>2</v>
      </c>
      <c r="AC55" s="14" t="n">
        <f aca="false">((AC53+AC54)+AC49)</f>
        <v>0</v>
      </c>
      <c r="AD55" s="14" t="n">
        <f aca="false">((AD53+AD54)+AD49)</f>
        <v>0</v>
      </c>
      <c r="AE55" s="14" t="n">
        <f aca="false">((AE53+AE54)+AE49)</f>
        <v>3</v>
      </c>
      <c r="AF55" s="14" t="n">
        <f aca="false">((AF53+AF54)+AF49)</f>
        <v>0</v>
      </c>
      <c r="AG55" s="14" t="n">
        <f aca="false">((AG53+AG54)+AG49)</f>
        <v>0</v>
      </c>
      <c r="AH55" s="14" t="n">
        <f aca="false">((AH53+AH54)+AH49)</f>
        <v>3.5</v>
      </c>
      <c r="AI55" s="14" t="n">
        <f aca="false">((AI53+AI54)+AI49)</f>
        <v>0</v>
      </c>
      <c r="AJ55" s="14" t="n">
        <f aca="false">((AJ53+AJ54)+AJ49)</f>
        <v>0</v>
      </c>
      <c r="AK55" s="14" t="n">
        <f aca="false">((AK53+AK54)+AK49)</f>
        <v>4.5</v>
      </c>
      <c r="AL55" s="14" t="n">
        <f aca="false">((AL53+AL54)+AL49)</f>
        <v>0</v>
      </c>
      <c r="AN55" s="36" t="n">
        <f aca="false">SUM(C55:N55)</f>
        <v>0.6</v>
      </c>
      <c r="AO55" s="36" t="n">
        <f aca="false">SUM(O55:Z55)</f>
        <v>2</v>
      </c>
      <c r="AP55" s="36" t="n">
        <f aca="false">SUM(AA55:AL55)</f>
        <v>13</v>
      </c>
    </row>
    <row r="56" customFormat="false" ht="15" hidden="false" customHeight="false" outlineLevel="0" collapsed="false">
      <c r="A56" s="0" t="s">
        <v>862</v>
      </c>
      <c r="B56" s="0" t="s">
        <v>852</v>
      </c>
      <c r="C56" s="14" t="n">
        <f aca="false">(C55+(C45*0))</f>
        <v>0</v>
      </c>
      <c r="D56" s="14" t="n">
        <f aca="false">(D55+(D45*0))</f>
        <v>0</v>
      </c>
      <c r="E56" s="14" t="n">
        <f aca="false">(E55+(E45*0))</f>
        <v>0</v>
      </c>
      <c r="F56" s="14" t="n">
        <f aca="false">(F55+(F45*0))</f>
        <v>0</v>
      </c>
      <c r="G56" s="14" t="n">
        <f aca="false">(G55+(G45*0))</f>
        <v>0</v>
      </c>
      <c r="H56" s="14" t="n">
        <f aca="false">(H55+(H45*0))</f>
        <v>0</v>
      </c>
      <c r="I56" s="14" t="n">
        <f aca="false">(I55+(I45*0))</f>
        <v>0</v>
      </c>
      <c r="J56" s="14" t="n">
        <f aca="false">(J55+(J45*0))</f>
        <v>0</v>
      </c>
      <c r="K56" s="14" t="n">
        <f aca="false">(K55+(K45*0))</f>
        <v>0</v>
      </c>
      <c r="L56" s="14" t="n">
        <f aca="false">(L55+(L45*0))</f>
        <v>0</v>
      </c>
      <c r="M56" s="14" t="n">
        <f aca="false">(M55+(M45*0))</f>
        <v>0</v>
      </c>
      <c r="N56" s="14" t="n">
        <f aca="false">(N55+(N45*0))</f>
        <v>0.6</v>
      </c>
      <c r="O56" s="14" t="n">
        <f aca="false">(O55+(O45*C56))</f>
        <v>0</v>
      </c>
      <c r="P56" s="14" t="n">
        <f aca="false">(P55+(P45*D56))</f>
        <v>0</v>
      </c>
      <c r="Q56" s="14" t="n">
        <f aca="false">(Q55+(Q45*E56))</f>
        <v>0</v>
      </c>
      <c r="R56" s="14" t="n">
        <f aca="false">(R55+(R45*F56))</f>
        <v>0</v>
      </c>
      <c r="S56" s="14" t="n">
        <f aca="false">(S55+(S45*G56))</f>
        <v>0</v>
      </c>
      <c r="T56" s="14" t="n">
        <f aca="false">(T55+(T45*H56))</f>
        <v>0</v>
      </c>
      <c r="U56" s="14" t="n">
        <f aca="false">(U55+(U45*I56))</f>
        <v>0</v>
      </c>
      <c r="V56" s="14" t="n">
        <f aca="false">(V55+(V45*J56))</f>
        <v>0.5</v>
      </c>
      <c r="W56" s="14" t="n">
        <f aca="false">(W55+(W45*K56))</f>
        <v>0</v>
      </c>
      <c r="X56" s="14" t="n">
        <f aca="false">(X55+(X45*L56))</f>
        <v>0</v>
      </c>
      <c r="Y56" s="14" t="n">
        <f aca="false">(Y55+(Y45*M56))</f>
        <v>1.5</v>
      </c>
      <c r="Z56" s="14" t="n">
        <f aca="false">(Z55+(Z45*N56))</f>
        <v>0.528</v>
      </c>
      <c r="AA56" s="14" t="n">
        <f aca="false">(AA55+(AA45*O56))</f>
        <v>0</v>
      </c>
      <c r="AB56" s="14" t="n">
        <f aca="false">(AB55+(AB45*P56))</f>
        <v>2</v>
      </c>
      <c r="AC56" s="14" t="n">
        <f aca="false">(AC55+(AC45*Q56))</f>
        <v>0</v>
      </c>
      <c r="AD56" s="14" t="n">
        <f aca="false">(AD55+(AD45*R56))</f>
        <v>0</v>
      </c>
      <c r="AE56" s="14" t="n">
        <f aca="false">(AE55+(AE45*S56))</f>
        <v>3</v>
      </c>
      <c r="AF56" s="14" t="n">
        <f aca="false">(AF55+(AF45*T56))</f>
        <v>0</v>
      </c>
      <c r="AG56" s="14" t="n">
        <f aca="false">(AG55+(AG45*U56))</f>
        <v>0</v>
      </c>
      <c r="AH56" s="14" t="n">
        <f aca="false">(AH55+(AH45*V56))</f>
        <v>3.94</v>
      </c>
      <c r="AI56" s="14" t="n">
        <f aca="false">(AI55+(AI45*W56))</f>
        <v>0</v>
      </c>
      <c r="AJ56" s="14" t="n">
        <f aca="false">(AJ55+(AJ45*X56))</f>
        <v>0</v>
      </c>
      <c r="AK56" s="14" t="n">
        <f aca="false">(AK55+(AK45*Y56))</f>
        <v>5.82</v>
      </c>
      <c r="AL56" s="14" t="n">
        <f aca="false">(AL55+(AL45*Z56))</f>
        <v>0.46464</v>
      </c>
      <c r="AN56" s="36" t="n">
        <f aca="false">SUM(C56:N56)</f>
        <v>0.6</v>
      </c>
      <c r="AO56" s="36" t="n">
        <f aca="false">SUM(O56:Z56)</f>
        <v>2.528</v>
      </c>
      <c r="AP56" s="36" t="n">
        <f aca="false">SUM(AA56:AL56)</f>
        <v>15.22464</v>
      </c>
    </row>
    <row r="57" customFormat="false" ht="15" hidden="false" customHeight="false" outlineLevel="0" collapsed="false">
      <c r="A57" s="0" t="s">
        <v>863</v>
      </c>
      <c r="B57" s="0" t="s">
        <v>852</v>
      </c>
      <c r="C57" s="14" t="n">
        <f aca="false">C56</f>
        <v>0</v>
      </c>
      <c r="D57" s="14" t="n">
        <f aca="false">SUM(C56:D56)</f>
        <v>0</v>
      </c>
      <c r="E57" s="14" t="n">
        <f aca="false">SUM(C56:E56)</f>
        <v>0</v>
      </c>
      <c r="F57" s="14" t="n">
        <f aca="false">SUM(C56:F56)</f>
        <v>0</v>
      </c>
      <c r="G57" s="14" t="n">
        <f aca="false">SUM(C56:G56)</f>
        <v>0</v>
      </c>
      <c r="H57" s="14" t="n">
        <f aca="false">SUM(C56:H56)</f>
        <v>0</v>
      </c>
      <c r="I57" s="14" t="n">
        <f aca="false">SUM(C56:I56)</f>
        <v>0</v>
      </c>
      <c r="J57" s="14" t="n">
        <f aca="false">SUM(C56:J56)</f>
        <v>0</v>
      </c>
      <c r="K57" s="14" t="n">
        <f aca="false">SUM(C56:K56)</f>
        <v>0</v>
      </c>
      <c r="L57" s="14" t="n">
        <f aca="false">SUM(C56:L56)</f>
        <v>0</v>
      </c>
      <c r="M57" s="14" t="n">
        <f aca="false">SUM(C56:M56)</f>
        <v>0</v>
      </c>
      <c r="N57" s="14" t="n">
        <f aca="false">SUM(C56:N56)</f>
        <v>0.6</v>
      </c>
      <c r="O57" s="14" t="n">
        <f aca="false">SUM(D56:O56)</f>
        <v>0.6</v>
      </c>
      <c r="P57" s="14" t="n">
        <f aca="false">SUM(E56:P56)</f>
        <v>0.6</v>
      </c>
      <c r="Q57" s="14" t="n">
        <f aca="false">SUM(F56:Q56)</f>
        <v>0.6</v>
      </c>
      <c r="R57" s="14" t="n">
        <f aca="false">SUM(G56:R56)</f>
        <v>0.6</v>
      </c>
      <c r="S57" s="14" t="n">
        <f aca="false">SUM(H56:S56)</f>
        <v>0.6</v>
      </c>
      <c r="T57" s="14" t="n">
        <f aca="false">SUM(I56:T56)</f>
        <v>0.6</v>
      </c>
      <c r="U57" s="14" t="n">
        <f aca="false">SUM(J56:U56)</f>
        <v>0.6</v>
      </c>
      <c r="V57" s="14" t="n">
        <f aca="false">SUM(K56:V56)</f>
        <v>1.1</v>
      </c>
      <c r="W57" s="14" t="n">
        <f aca="false">SUM(L56:W56)</f>
        <v>1.1</v>
      </c>
      <c r="X57" s="14" t="n">
        <f aca="false">SUM(M56:X56)</f>
        <v>1.1</v>
      </c>
      <c r="Y57" s="14" t="n">
        <f aca="false">SUM(N56:Y56)</f>
        <v>2.6</v>
      </c>
      <c r="Z57" s="14" t="n">
        <f aca="false">SUM(O56:Z56)</f>
        <v>2.528</v>
      </c>
      <c r="AA57" s="14" t="n">
        <f aca="false">SUM(P56:AA56)</f>
        <v>2.528</v>
      </c>
      <c r="AB57" s="14" t="n">
        <f aca="false">SUM(Q56:AB56)</f>
        <v>4.528</v>
      </c>
      <c r="AC57" s="14" t="n">
        <f aca="false">SUM(R56:AC56)</f>
        <v>4.528</v>
      </c>
      <c r="AD57" s="14" t="n">
        <f aca="false">SUM(S56:AD56)</f>
        <v>4.528</v>
      </c>
      <c r="AE57" s="14" t="n">
        <f aca="false">SUM(T56:AE56)</f>
        <v>7.528</v>
      </c>
      <c r="AF57" s="14" t="n">
        <f aca="false">SUM(U56:AF56)</f>
        <v>7.528</v>
      </c>
      <c r="AG57" s="14" t="n">
        <f aca="false">SUM(V56:AG56)</f>
        <v>7.528</v>
      </c>
      <c r="AH57" s="14" t="n">
        <f aca="false">SUM(W56:AH56)</f>
        <v>10.968</v>
      </c>
      <c r="AI57" s="14" t="n">
        <f aca="false">SUM(X56:AI56)</f>
        <v>10.968</v>
      </c>
      <c r="AJ57" s="14" t="n">
        <f aca="false">SUM(Y56:AJ56)</f>
        <v>10.968</v>
      </c>
      <c r="AK57" s="14" t="n">
        <f aca="false">SUM(Z56:AK56)</f>
        <v>15.288</v>
      </c>
      <c r="AL57" s="14" t="n">
        <f aca="false">SUM(AA56:AL56)</f>
        <v>15.22464</v>
      </c>
      <c r="AN57" s="36" t="n">
        <f aca="false">N57</f>
        <v>0.6</v>
      </c>
      <c r="AO57" s="36" t="n">
        <f aca="false">Z57</f>
        <v>2.528</v>
      </c>
      <c r="AP57" s="36" t="n">
        <f aca="false">AL57</f>
        <v>15.22464</v>
      </c>
    </row>
    <row r="58" customFormat="false" ht="15" hidden="false" customHeight="false" outlineLevel="0" collapsed="false">
      <c r="A58" s="0" t="s">
        <v>864</v>
      </c>
      <c r="B58" s="0" t="s">
        <v>230</v>
      </c>
      <c r="C58" s="9" t="n">
        <f aca="false">((Assumptions!$C$121*(1-Assumptions!$C$29))*$C$10)</f>
        <v>26400</v>
      </c>
      <c r="D58" s="9" t="n">
        <f aca="false">((Assumptions!$C$121*(1-Assumptions!$C$29))*$C$10)</f>
        <v>26400</v>
      </c>
      <c r="E58" s="9" t="n">
        <f aca="false">((Assumptions!$C$121*(1-Assumptions!$C$29))*$C$10)</f>
        <v>26400</v>
      </c>
      <c r="F58" s="9" t="n">
        <f aca="false">((Assumptions!$C$121*(1-Assumptions!$C$29))*$C$10)</f>
        <v>26400</v>
      </c>
      <c r="G58" s="9" t="n">
        <f aca="false">((Assumptions!$C$121*(1-Assumptions!$C$29))*$C$10)</f>
        <v>26400</v>
      </c>
      <c r="H58" s="9" t="n">
        <f aca="false">((Assumptions!$C$121*(1-Assumptions!$C$29))*$C$10)</f>
        <v>26400</v>
      </c>
      <c r="I58" s="9" t="n">
        <f aca="false">((Assumptions!$C$121*(1-Assumptions!$C$29))*$C$10)</f>
        <v>26400</v>
      </c>
      <c r="J58" s="9" t="n">
        <f aca="false">((Assumptions!$C$121*(1-Assumptions!$C$29))*$C$10)</f>
        <v>26400</v>
      </c>
      <c r="K58" s="9" t="n">
        <f aca="false">((Assumptions!$C$121*(1-Assumptions!$C$29))*$C$10)</f>
        <v>26400</v>
      </c>
      <c r="L58" s="9" t="n">
        <f aca="false">((Assumptions!$C$121*(1-Assumptions!$C$29))*$C$10)</f>
        <v>26400</v>
      </c>
      <c r="M58" s="9" t="n">
        <f aca="false">((Assumptions!$C$121*(1-Assumptions!$C$29))*$C$10)</f>
        <v>26400</v>
      </c>
      <c r="N58" s="9" t="n">
        <f aca="false">((Assumptions!$C$121*(1-Assumptions!$C$29))*$C$10)</f>
        <v>26400</v>
      </c>
      <c r="O58" s="9" t="n">
        <f aca="false">((Assumptions!$C$121*(1-Assumptions!$C$29))*$C$10)</f>
        <v>26400</v>
      </c>
      <c r="P58" s="9" t="n">
        <f aca="false">((Assumptions!$C$121*(1-Assumptions!$C$29))*$C$10)</f>
        <v>26400</v>
      </c>
      <c r="Q58" s="9" t="n">
        <f aca="false">((Assumptions!$C$121*(1-Assumptions!$C$29))*$C$10)</f>
        <v>26400</v>
      </c>
      <c r="R58" s="9" t="n">
        <f aca="false">((Assumptions!$C$121*(1-Assumptions!$C$29))*$C$10)</f>
        <v>26400</v>
      </c>
      <c r="S58" s="9" t="n">
        <f aca="false">((Assumptions!$C$121*(1-Assumptions!$C$29))*$C$10)</f>
        <v>26400</v>
      </c>
      <c r="T58" s="9" t="n">
        <f aca="false">((Assumptions!$C$121*(1-Assumptions!$C$29))*$C$10)</f>
        <v>26400</v>
      </c>
      <c r="U58" s="9" t="n">
        <f aca="false">((Assumptions!$C$121*(1-Assumptions!$C$29))*$C$10)</f>
        <v>26400</v>
      </c>
      <c r="V58" s="9" t="n">
        <f aca="false">((Assumptions!$C$121*(1-Assumptions!$C$29))*$C$10)</f>
        <v>26400</v>
      </c>
      <c r="W58" s="9" t="n">
        <f aca="false">((Assumptions!$C$121*(1-Assumptions!$C$29))*$C$10)</f>
        <v>26400</v>
      </c>
      <c r="X58" s="9" t="n">
        <f aca="false">((Assumptions!$C$121*(1-Assumptions!$C$29))*$C$10)</f>
        <v>26400</v>
      </c>
      <c r="Y58" s="9" t="n">
        <f aca="false">((Assumptions!$C$121*(1-Assumptions!$C$29))*$C$10)</f>
        <v>26400</v>
      </c>
      <c r="Z58" s="9" t="n">
        <f aca="false">((Assumptions!$C$121*(1-Assumptions!$C$29))*$C$10)</f>
        <v>26400</v>
      </c>
      <c r="AA58" s="9" t="n">
        <f aca="false">((Assumptions!$C$121*(1-Assumptions!$C$29))*$C$10)</f>
        <v>26400</v>
      </c>
      <c r="AB58" s="9" t="n">
        <f aca="false">((Assumptions!$C$121*(1-Assumptions!$C$29))*$C$10)</f>
        <v>26400</v>
      </c>
      <c r="AC58" s="9" t="n">
        <f aca="false">((Assumptions!$C$121*(1-Assumptions!$C$29))*$C$10)</f>
        <v>26400</v>
      </c>
      <c r="AD58" s="9" t="n">
        <f aca="false">((Assumptions!$C$121*(1-Assumptions!$C$29))*$C$10)</f>
        <v>26400</v>
      </c>
      <c r="AE58" s="9" t="n">
        <f aca="false">((Assumptions!$C$121*(1-Assumptions!$C$29))*$C$10)</f>
        <v>26400</v>
      </c>
      <c r="AF58" s="9" t="n">
        <f aca="false">((Assumptions!$C$121*(1-Assumptions!$C$29))*$C$10)</f>
        <v>26400</v>
      </c>
      <c r="AG58" s="9" t="n">
        <f aca="false">((Assumptions!$C$121*(1-Assumptions!$C$29))*$C$10)</f>
        <v>26400</v>
      </c>
      <c r="AH58" s="9" t="n">
        <f aca="false">((Assumptions!$C$121*(1-Assumptions!$C$29))*$C$10)</f>
        <v>26400</v>
      </c>
      <c r="AI58" s="9" t="n">
        <f aca="false">((Assumptions!$C$121*(1-Assumptions!$C$29))*$C$10)</f>
        <v>26400</v>
      </c>
      <c r="AJ58" s="9" t="n">
        <f aca="false">((Assumptions!$C$121*(1-Assumptions!$C$29))*$C$10)</f>
        <v>26400</v>
      </c>
      <c r="AK58" s="9" t="n">
        <f aca="false">((Assumptions!$C$121*(1-Assumptions!$C$29))*$C$10)</f>
        <v>26400</v>
      </c>
      <c r="AL58" s="9" t="n">
        <f aca="false">((Assumptions!$C$121*(1-Assumptions!$C$29))*$C$10)</f>
        <v>26400</v>
      </c>
    </row>
    <row r="59" customFormat="false" ht="15" hidden="false" customHeight="false" outlineLevel="0" collapsed="false">
      <c r="A59" s="0" t="s">
        <v>865</v>
      </c>
      <c r="B59" s="0" t="s">
        <v>230</v>
      </c>
      <c r="C59" s="9" t="n">
        <f aca="false">((C55*C58)+((C45*(1+Assumptions!$C$31))*0))</f>
        <v>0</v>
      </c>
      <c r="D59" s="9" t="n">
        <f aca="false">((D55*D58)+((D45*(1+Assumptions!$C$31))*0))</f>
        <v>0</v>
      </c>
      <c r="E59" s="9" t="n">
        <f aca="false">((E55*E58)+((E45*(1+Assumptions!$C$31))*0))</f>
        <v>0</v>
      </c>
      <c r="F59" s="9" t="n">
        <f aca="false">((F55*F58)+((F45*(1+Assumptions!$C$31))*0))</f>
        <v>0</v>
      </c>
      <c r="G59" s="9" t="n">
        <f aca="false">((G55*G58)+((G45*(1+Assumptions!$C$31))*0))</f>
        <v>0</v>
      </c>
      <c r="H59" s="9" t="n">
        <f aca="false">((H55*H58)+((H45*(1+Assumptions!$C$31))*0))</f>
        <v>0</v>
      </c>
      <c r="I59" s="9" t="n">
        <f aca="false">((I55*I58)+((I45*(1+Assumptions!$C$31))*0))</f>
        <v>0</v>
      </c>
      <c r="J59" s="9" t="n">
        <f aca="false">((J55*J58)+((J45*(1+Assumptions!$C$31))*0))</f>
        <v>0</v>
      </c>
      <c r="K59" s="9" t="n">
        <f aca="false">((K55*K58)+((K45*(1+Assumptions!$C$31))*0))</f>
        <v>0</v>
      </c>
      <c r="L59" s="9" t="n">
        <f aca="false">((L55*L58)+((L45*(1+Assumptions!$C$31))*0))</f>
        <v>0</v>
      </c>
      <c r="M59" s="9" t="n">
        <f aca="false">((M55*M58)+((M45*(1+Assumptions!$C$31))*0))</f>
        <v>0</v>
      </c>
      <c r="N59" s="9" t="n">
        <f aca="false">((N55*N58)+((N45*(1+Assumptions!$C$31))*0))</f>
        <v>15840</v>
      </c>
      <c r="O59" s="9" t="n">
        <f aca="false">((O55*O58)+((O45*(1+Assumptions!$C$31))*C59))</f>
        <v>0</v>
      </c>
      <c r="P59" s="9" t="n">
        <f aca="false">((P55*P58)+((P45*(1+Assumptions!$C$31))*D59))</f>
        <v>0</v>
      </c>
      <c r="Q59" s="9" t="n">
        <f aca="false">((Q55*Q58)+((Q45*(1+Assumptions!$C$31))*E59))</f>
        <v>0</v>
      </c>
      <c r="R59" s="9" t="n">
        <f aca="false">((R55*R58)+((R45*(1+Assumptions!$C$31))*F59))</f>
        <v>0</v>
      </c>
      <c r="S59" s="9" t="n">
        <f aca="false">((S55*S58)+((S45*(1+Assumptions!$C$31))*G59))</f>
        <v>0</v>
      </c>
      <c r="T59" s="9" t="n">
        <f aca="false">((T55*T58)+((T45*(1+Assumptions!$C$31))*H59))</f>
        <v>0</v>
      </c>
      <c r="U59" s="9" t="n">
        <f aca="false">((U55*U58)+((U45*(1+Assumptions!$C$31))*I59))</f>
        <v>0</v>
      </c>
      <c r="V59" s="9" t="n">
        <f aca="false">((V55*V58)+((V45*(1+Assumptions!$C$31))*J59))</f>
        <v>13200</v>
      </c>
      <c r="W59" s="9" t="n">
        <f aca="false">((W55*W58)+((W45*(1+Assumptions!$C$31))*K59))</f>
        <v>0</v>
      </c>
      <c r="X59" s="9" t="n">
        <f aca="false">((X55*X58)+((X45*(1+Assumptions!$C$31))*L59))</f>
        <v>0</v>
      </c>
      <c r="Y59" s="9" t="n">
        <f aca="false">((Y55*Y58)+((Y45*(1+Assumptions!$C$31))*M59))</f>
        <v>39600</v>
      </c>
      <c r="Z59" s="9" t="n">
        <f aca="false">((Z55*Z58)+((Z45*(1+Assumptions!$C$31))*N59))</f>
        <v>15333.12</v>
      </c>
      <c r="AA59" s="9" t="n">
        <f aca="false">((AA55*AA58)+((AA45*(1+Assumptions!$C$31))*O59))</f>
        <v>0</v>
      </c>
      <c r="AB59" s="9" t="n">
        <f aca="false">((AB55*AB58)+((AB45*(1+Assumptions!$C$31))*P59))</f>
        <v>52800</v>
      </c>
      <c r="AC59" s="9" t="n">
        <f aca="false">((AC55*AC58)+((AC45*(1+Assumptions!$C$31))*Q59))</f>
        <v>0</v>
      </c>
      <c r="AD59" s="9" t="n">
        <f aca="false">((AD55*AD58)+((AD45*(1+Assumptions!$C$31))*R59))</f>
        <v>0</v>
      </c>
      <c r="AE59" s="9" t="n">
        <f aca="false">((AE55*AE58)+((AE45*(1+Assumptions!$C$31))*S59))</f>
        <v>79200</v>
      </c>
      <c r="AF59" s="9" t="n">
        <f aca="false">((AF55*AF58)+((AF45*(1+Assumptions!$C$31))*T59))</f>
        <v>0</v>
      </c>
      <c r="AG59" s="9" t="n">
        <f aca="false">((AG55*AG58)+((AG45*(1+Assumptions!$C$31))*U59))</f>
        <v>0</v>
      </c>
      <c r="AH59" s="9" t="n">
        <f aca="false">((AH55*AH58)+((AH45*(1+Assumptions!$C$31))*V59))</f>
        <v>105177.6</v>
      </c>
      <c r="AI59" s="9" t="n">
        <f aca="false">((AI55*AI58)+((AI45*(1+Assumptions!$C$31))*W59))</f>
        <v>0</v>
      </c>
      <c r="AJ59" s="9" t="n">
        <f aca="false">((AJ55*AJ58)+((AJ45*(1+Assumptions!$C$31))*X59))</f>
        <v>0</v>
      </c>
      <c r="AK59" s="9" t="n">
        <f aca="false">((AK55*AK58)+((AK45*(1+Assumptions!$C$31))*Y59))</f>
        <v>157132.8</v>
      </c>
      <c r="AL59" s="9" t="n">
        <f aca="false">((AL55*AL58)+((AL45*(1+Assumptions!$C$31))*Z59))</f>
        <v>14842.46016</v>
      </c>
      <c r="AN59" s="11" t="n">
        <f aca="false">SUM(C59:N59)</f>
        <v>15840</v>
      </c>
      <c r="AO59" s="11" t="n">
        <f aca="false">SUM(O59:Z59)</f>
        <v>68133.12</v>
      </c>
      <c r="AP59" s="11" t="n">
        <f aca="false">SUM(AA59:AL59)</f>
        <v>409152.86016</v>
      </c>
    </row>
    <row r="60" customFormat="false" ht="15" hidden="false" customHeight="false" outlineLevel="0" collapsed="false">
      <c r="A60" s="0" t="s">
        <v>866</v>
      </c>
      <c r="B60" s="0" t="s">
        <v>230</v>
      </c>
      <c r="C60" s="9" t="n">
        <f aca="false">(Assumptions!$C$126*C53)</f>
        <v>0</v>
      </c>
      <c r="D60" s="9" t="n">
        <f aca="false">(Assumptions!$C$126*D53)</f>
        <v>0</v>
      </c>
      <c r="E60" s="9" t="n">
        <f aca="false">(Assumptions!$C$126*E53)</f>
        <v>0</v>
      </c>
      <c r="F60" s="9" t="n">
        <f aca="false">(Assumptions!$C$126*F53)</f>
        <v>0</v>
      </c>
      <c r="G60" s="9" t="n">
        <f aca="false">(Assumptions!$C$126*G53)</f>
        <v>0</v>
      </c>
      <c r="H60" s="9" t="n">
        <f aca="false">(Assumptions!$C$126*H53)</f>
        <v>0</v>
      </c>
      <c r="I60" s="9" t="n">
        <f aca="false">(Assumptions!$C$126*I53)</f>
        <v>0</v>
      </c>
      <c r="J60" s="9" t="n">
        <f aca="false">(Assumptions!$C$126*J53)</f>
        <v>0</v>
      </c>
      <c r="K60" s="9" t="n">
        <f aca="false">(Assumptions!$C$126*K53)</f>
        <v>0</v>
      </c>
      <c r="L60" s="9" t="n">
        <f aca="false">(Assumptions!$C$126*L53)</f>
        <v>0</v>
      </c>
      <c r="M60" s="9" t="n">
        <f aca="false">(Assumptions!$C$126*M53)</f>
        <v>0</v>
      </c>
      <c r="N60" s="9" t="n">
        <f aca="false">(Assumptions!$C$126*N53)</f>
        <v>0</v>
      </c>
      <c r="O60" s="9" t="n">
        <f aca="false">(Assumptions!$C$126*O53)</f>
        <v>0</v>
      </c>
      <c r="P60" s="9" t="n">
        <f aca="false">(Assumptions!$C$126*P53)</f>
        <v>0</v>
      </c>
      <c r="Q60" s="9" t="n">
        <f aca="false">(Assumptions!$C$126*Q53)</f>
        <v>0</v>
      </c>
      <c r="R60" s="9" t="n">
        <f aca="false">(Assumptions!$C$126*R53)</f>
        <v>0</v>
      </c>
      <c r="S60" s="9" t="n">
        <f aca="false">(Assumptions!$C$126*S53)</f>
        <v>0</v>
      </c>
      <c r="T60" s="9" t="n">
        <f aca="false">(Assumptions!$C$126*T53)</f>
        <v>0</v>
      </c>
      <c r="U60" s="9" t="n">
        <f aca="false">(Assumptions!$C$126*U53)</f>
        <v>0</v>
      </c>
      <c r="V60" s="9" t="n">
        <f aca="false">(Assumptions!$C$126*V53)</f>
        <v>3750</v>
      </c>
      <c r="W60" s="9" t="n">
        <f aca="false">(Assumptions!$C$126*W53)</f>
        <v>0</v>
      </c>
      <c r="X60" s="9" t="n">
        <f aca="false">(Assumptions!$C$126*X53)</f>
        <v>0</v>
      </c>
      <c r="Y60" s="9" t="n">
        <f aca="false">(Assumptions!$C$126*Y53)</f>
        <v>3750</v>
      </c>
      <c r="Z60" s="9" t="n">
        <f aca="false">(Assumptions!$C$126*Z53)</f>
        <v>0</v>
      </c>
      <c r="AA60" s="9" t="n">
        <f aca="false">(Assumptions!$C$126*AA53)</f>
        <v>0</v>
      </c>
      <c r="AB60" s="9" t="n">
        <f aca="false">(Assumptions!$C$126*AB53)</f>
        <v>7500</v>
      </c>
      <c r="AC60" s="9" t="n">
        <f aca="false">(Assumptions!$C$126*AC53)</f>
        <v>0</v>
      </c>
      <c r="AD60" s="9" t="n">
        <f aca="false">(Assumptions!$C$126*AD53)</f>
        <v>0</v>
      </c>
      <c r="AE60" s="9" t="n">
        <f aca="false">(Assumptions!$C$126*AE53)</f>
        <v>7500</v>
      </c>
      <c r="AF60" s="9" t="n">
        <f aca="false">(Assumptions!$C$126*AF53)</f>
        <v>0</v>
      </c>
      <c r="AG60" s="9" t="n">
        <f aca="false">(Assumptions!$C$126*AG53)</f>
        <v>0</v>
      </c>
      <c r="AH60" s="9" t="n">
        <f aca="false">(Assumptions!$C$126*AH53)</f>
        <v>11250</v>
      </c>
      <c r="AI60" s="9" t="n">
        <f aca="false">(Assumptions!$C$126*AI53)</f>
        <v>0</v>
      </c>
      <c r="AJ60" s="9" t="n">
        <f aca="false">(Assumptions!$C$126*AJ53)</f>
        <v>0</v>
      </c>
      <c r="AK60" s="9" t="n">
        <f aca="false">(Assumptions!$C$126*AK53)</f>
        <v>11250</v>
      </c>
      <c r="AL60" s="9" t="n">
        <f aca="false">(Assumptions!$C$126*AL53)</f>
        <v>0</v>
      </c>
      <c r="AN60" s="11" t="n">
        <f aca="false">SUM(C60:N60)</f>
        <v>0</v>
      </c>
      <c r="AO60" s="11" t="n">
        <f aca="false">SUM(O60:Z60)</f>
        <v>7500</v>
      </c>
      <c r="AP60" s="11" t="n">
        <f aca="false">SUM(AA60:AL60)</f>
        <v>37500</v>
      </c>
    </row>
    <row r="61" customFormat="false" ht="15" hidden="false" customHeight="false" outlineLevel="0" collapsed="false">
      <c r="A61" s="0" t="s">
        <v>867</v>
      </c>
      <c r="B61" s="0" t="s">
        <v>230</v>
      </c>
      <c r="C61" s="9" t="n">
        <f aca="false">((C59-C60)/12)</f>
        <v>0</v>
      </c>
      <c r="D61" s="9" t="n">
        <f aca="false">((SUM(C59:D59)-SUM(C60:D60))/12)</f>
        <v>0</v>
      </c>
      <c r="E61" s="9" t="n">
        <f aca="false">((SUM(C59:E59)-SUM(C60:E60))/12)</f>
        <v>0</v>
      </c>
      <c r="F61" s="9" t="n">
        <f aca="false">((SUM(C59:F59)-SUM(C60:F60))/12)</f>
        <v>0</v>
      </c>
      <c r="G61" s="9" t="n">
        <f aca="false">((SUM(C59:G59)-SUM(C60:G60))/12)</f>
        <v>0</v>
      </c>
      <c r="H61" s="9" t="n">
        <f aca="false">((SUM(C59:H59)-SUM(C60:H60))/12)</f>
        <v>0</v>
      </c>
      <c r="I61" s="9" t="n">
        <f aca="false">((SUM(C59:I59)-SUM(C60:I60))/12)</f>
        <v>0</v>
      </c>
      <c r="J61" s="9" t="n">
        <f aca="false">((SUM(C59:J59)-SUM(C60:J60))/12)</f>
        <v>0</v>
      </c>
      <c r="K61" s="9" t="n">
        <f aca="false">((SUM(C59:K59)-SUM(C60:K60))/12)</f>
        <v>0</v>
      </c>
      <c r="L61" s="9" t="n">
        <f aca="false">((SUM(C59:L59)-SUM(C60:L60))/12)</f>
        <v>0</v>
      </c>
      <c r="M61" s="9" t="n">
        <f aca="false">((SUM(C59:M59)-SUM(C60:M60))/12)</f>
        <v>0</v>
      </c>
      <c r="N61" s="9" t="n">
        <f aca="false">((SUM(C59:N59)-SUM(C60:N60))/12)</f>
        <v>1320</v>
      </c>
      <c r="O61" s="9" t="n">
        <f aca="false">((SUM(D59:O59)-SUM(D60:O60))/12)</f>
        <v>1320</v>
      </c>
      <c r="P61" s="9" t="n">
        <f aca="false">((SUM(E59:P59)-SUM(E60:P60))/12)</f>
        <v>1320</v>
      </c>
      <c r="Q61" s="9" t="n">
        <f aca="false">((SUM(F59:Q59)-SUM(F60:Q60))/12)</f>
        <v>1320</v>
      </c>
      <c r="R61" s="9" t="n">
        <f aca="false">((SUM(G59:R59)-SUM(G60:R60))/12)</f>
        <v>1320</v>
      </c>
      <c r="S61" s="9" t="n">
        <f aca="false">((SUM(H59:S59)-SUM(H60:S60))/12)</f>
        <v>1320</v>
      </c>
      <c r="T61" s="9" t="n">
        <f aca="false">((SUM(I59:T59)-SUM(I60:T60))/12)</f>
        <v>1320</v>
      </c>
      <c r="U61" s="9" t="n">
        <f aca="false">((SUM(J59:U59)-SUM(J60:U60))/12)</f>
        <v>1320</v>
      </c>
      <c r="V61" s="9" t="n">
        <f aca="false">((SUM(K59:V59)-SUM(K60:V60))/12)</f>
        <v>2107.5</v>
      </c>
      <c r="W61" s="9" t="n">
        <f aca="false">((SUM(L59:W59)-SUM(L60:W60))/12)</f>
        <v>2107.5</v>
      </c>
      <c r="X61" s="9" t="n">
        <f aca="false">((SUM(M59:X59)-SUM(M60:X60))/12)</f>
        <v>2107.5</v>
      </c>
      <c r="Y61" s="9" t="n">
        <f aca="false">((SUM(N59:Y59)-SUM(N60:Y60))/12)</f>
        <v>5095</v>
      </c>
      <c r="Z61" s="9" t="n">
        <f aca="false">((SUM(O59:Z59)-SUM(O60:Z60))/12)</f>
        <v>5052.76</v>
      </c>
      <c r="AA61" s="9" t="n">
        <f aca="false">((SUM(P59:AA59)-SUM(P60:AA60))/12)</f>
        <v>5052.76</v>
      </c>
      <c r="AB61" s="9" t="n">
        <f aca="false">((SUM(Q59:AB59)-SUM(Q60:AB60))/12)</f>
        <v>8827.76</v>
      </c>
      <c r="AC61" s="9" t="n">
        <f aca="false">((SUM(R59:AC59)-SUM(R60:AC60))/12)</f>
        <v>8827.76</v>
      </c>
      <c r="AD61" s="9" t="n">
        <f aca="false">((SUM(S59:AD59)-SUM(S60:AD60))/12)</f>
        <v>8827.76</v>
      </c>
      <c r="AE61" s="9" t="n">
        <f aca="false">((SUM(T59:AE59)-SUM(T60:AE60))/12)</f>
        <v>14802.76</v>
      </c>
      <c r="AF61" s="9" t="n">
        <f aca="false">((SUM(U59:AF59)-SUM(U60:AF60))/12)</f>
        <v>14802.76</v>
      </c>
      <c r="AG61" s="9" t="n">
        <f aca="false">((SUM(V59:AG59)-SUM(V60:AG60))/12)</f>
        <v>14802.76</v>
      </c>
      <c r="AH61" s="9" t="n">
        <f aca="false">((SUM(W59:AH59)-SUM(W60:AH60))/12)</f>
        <v>21842.56</v>
      </c>
      <c r="AI61" s="9" t="n">
        <f aca="false">((SUM(X59:AI59)-SUM(X60:AI60))/12)</f>
        <v>21842.56</v>
      </c>
      <c r="AJ61" s="9" t="n">
        <f aca="false">((SUM(Y59:AJ59)-SUM(Y60:AJ60))/12)</f>
        <v>21842.56</v>
      </c>
      <c r="AK61" s="9" t="n">
        <f aca="false">((SUM(Z59:AK59)-SUM(Z60:AK60))/12)</f>
        <v>31011.96</v>
      </c>
      <c r="AL61" s="9" t="n">
        <f aca="false">((SUM(AA59:AL59)-SUM(AA60:AL60))/12)</f>
        <v>30971.07168</v>
      </c>
      <c r="AN61" s="11" t="n">
        <f aca="false">SUM(C61:N61)</f>
        <v>1320</v>
      </c>
      <c r="AO61" s="11" t="n">
        <f aca="false">SUM(O61:Z61)</f>
        <v>25710.26</v>
      </c>
      <c r="AP61" s="11" t="n">
        <f aca="false">SUM(AA61:AL61)</f>
        <v>203455.03168</v>
      </c>
    </row>
    <row r="62" customFormat="false" ht="15" hidden="false" customHeight="false" outlineLevel="0" collapsed="false">
      <c r="A62" s="0" t="s">
        <v>868</v>
      </c>
      <c r="B62" s="0" t="s">
        <v>230</v>
      </c>
      <c r="C62" s="9" t="n">
        <f aca="false">(C59-C60)</f>
        <v>0</v>
      </c>
      <c r="D62" s="9" t="n">
        <f aca="false">(D59-D60)</f>
        <v>0</v>
      </c>
      <c r="E62" s="9" t="n">
        <f aca="false">(E59-E60)</f>
        <v>0</v>
      </c>
      <c r="F62" s="9" t="n">
        <f aca="false">(F59-F60)</f>
        <v>0</v>
      </c>
      <c r="G62" s="9" t="n">
        <f aca="false">(G59-G60)</f>
        <v>0</v>
      </c>
      <c r="H62" s="9" t="n">
        <f aca="false">(H59-H60)</f>
        <v>0</v>
      </c>
      <c r="I62" s="9" t="n">
        <f aca="false">(I59-I60)</f>
        <v>0</v>
      </c>
      <c r="J62" s="9" t="n">
        <f aca="false">(J59-J60)</f>
        <v>0</v>
      </c>
      <c r="K62" s="9" t="n">
        <f aca="false">(K59-K60)</f>
        <v>0</v>
      </c>
      <c r="L62" s="9" t="n">
        <f aca="false">(L59-L60)</f>
        <v>0</v>
      </c>
      <c r="M62" s="9" t="n">
        <f aca="false">(M59-M60)</f>
        <v>0</v>
      </c>
      <c r="N62" s="9" t="n">
        <f aca="false">(N59-N60)</f>
        <v>15840</v>
      </c>
      <c r="O62" s="9" t="n">
        <f aca="false">(O59-O60)</f>
        <v>0</v>
      </c>
      <c r="P62" s="9" t="n">
        <f aca="false">(P59-P60)</f>
        <v>0</v>
      </c>
      <c r="Q62" s="9" t="n">
        <f aca="false">(Q59-Q60)</f>
        <v>0</v>
      </c>
      <c r="R62" s="9" t="n">
        <f aca="false">(R59-R60)</f>
        <v>0</v>
      </c>
      <c r="S62" s="9" t="n">
        <f aca="false">(S59-S60)</f>
        <v>0</v>
      </c>
      <c r="T62" s="9" t="n">
        <f aca="false">(T59-T60)</f>
        <v>0</v>
      </c>
      <c r="U62" s="9" t="n">
        <f aca="false">(U59-U60)</f>
        <v>0</v>
      </c>
      <c r="V62" s="9" t="n">
        <f aca="false">(V59-V60)</f>
        <v>9450</v>
      </c>
      <c r="W62" s="9" t="n">
        <f aca="false">(W59-W60)</f>
        <v>0</v>
      </c>
      <c r="X62" s="9" t="n">
        <f aca="false">(X59-X60)</f>
        <v>0</v>
      </c>
      <c r="Y62" s="9" t="n">
        <f aca="false">(Y59-Y60)</f>
        <v>35850</v>
      </c>
      <c r="Z62" s="9" t="n">
        <f aca="false">(Z59-Z60)</f>
        <v>15333.12</v>
      </c>
      <c r="AA62" s="9" t="n">
        <f aca="false">(AA59-AA60)</f>
        <v>0</v>
      </c>
      <c r="AB62" s="9" t="n">
        <f aca="false">(AB59-AB60)</f>
        <v>45300</v>
      </c>
      <c r="AC62" s="9" t="n">
        <f aca="false">(AC59-AC60)</f>
        <v>0</v>
      </c>
      <c r="AD62" s="9" t="n">
        <f aca="false">(AD59-AD60)</f>
        <v>0</v>
      </c>
      <c r="AE62" s="9" t="n">
        <f aca="false">(AE59-AE60)</f>
        <v>71700</v>
      </c>
      <c r="AF62" s="9" t="n">
        <f aca="false">(AF59-AF60)</f>
        <v>0</v>
      </c>
      <c r="AG62" s="9" t="n">
        <f aca="false">(AG59-AG60)</f>
        <v>0</v>
      </c>
      <c r="AH62" s="9" t="n">
        <f aca="false">(AH59-AH60)</f>
        <v>93927.6</v>
      </c>
      <c r="AI62" s="9" t="n">
        <f aca="false">(AI59-AI60)</f>
        <v>0</v>
      </c>
      <c r="AJ62" s="9" t="n">
        <f aca="false">(AJ59-AJ60)</f>
        <v>0</v>
      </c>
      <c r="AK62" s="9" t="n">
        <f aca="false">(AK59-AK60)</f>
        <v>145882.8</v>
      </c>
      <c r="AL62" s="9" t="n">
        <f aca="false">(AL59-AL60)</f>
        <v>14842.46016</v>
      </c>
      <c r="AN62" s="11" t="n">
        <f aca="false">SUM(C62:N62)</f>
        <v>15840</v>
      </c>
      <c r="AO62" s="11" t="n">
        <f aca="false">SUM(O62:Z62)</f>
        <v>60633.12</v>
      </c>
      <c r="AP62" s="11" t="n">
        <f aca="false">SUM(AA62:AL62)</f>
        <v>371652.86016</v>
      </c>
    </row>
    <row r="63" customFormat="false" ht="15" hidden="false" customHeight="false" outlineLevel="0" collapsed="false">
      <c r="A63" s="0" t="s">
        <v>869</v>
      </c>
      <c r="B63" s="0" t="s">
        <v>230</v>
      </c>
      <c r="C63" s="9" t="n">
        <f aca="false">(((Assumptions!$C$122*$C$10)/6)*C52)</f>
        <v>0</v>
      </c>
      <c r="D63" s="9" t="n">
        <f aca="false">(((Assumptions!$C$122*$C$10)/6)*D52)</f>
        <v>0</v>
      </c>
      <c r="E63" s="9" t="n">
        <f aca="false">(((Assumptions!$C$122*$C$10)/6)*E52)</f>
        <v>0</v>
      </c>
      <c r="F63" s="9" t="n">
        <f aca="false">(((Assumptions!$C$122*$C$10)/6)*F52)</f>
        <v>0</v>
      </c>
      <c r="G63" s="9" t="n">
        <f aca="false">(((Assumptions!$C$122*$C$10)/6)*G52)</f>
        <v>0</v>
      </c>
      <c r="H63" s="9" t="n">
        <f aca="false">(((Assumptions!$C$122*$C$10)/6)*H52)</f>
        <v>0</v>
      </c>
      <c r="I63" s="9" t="n">
        <f aca="false">(((Assumptions!$C$122*$C$10)/6)*I52)</f>
        <v>0</v>
      </c>
      <c r="J63" s="9" t="n">
        <f aca="false">(((Assumptions!$C$122*$C$10)/6)*J52)</f>
        <v>0</v>
      </c>
      <c r="K63" s="9" t="n">
        <f aca="false">(((Assumptions!$C$122*$C$10)/6)*K52)</f>
        <v>0</v>
      </c>
      <c r="L63" s="9" t="n">
        <f aca="false">(((Assumptions!$C$122*$C$10)/6)*L52)</f>
        <v>0</v>
      </c>
      <c r="M63" s="9" t="n">
        <f aca="false">(((Assumptions!$C$122*$C$10)/6)*M52)</f>
        <v>0</v>
      </c>
      <c r="N63" s="9" t="n">
        <f aca="false">(((Assumptions!$C$122*$C$10)/6)*N52)</f>
        <v>0</v>
      </c>
      <c r="O63" s="9" t="n">
        <f aca="false">(((Assumptions!$C$122*$C$10)/6)*O52)</f>
        <v>2500</v>
      </c>
      <c r="P63" s="9" t="n">
        <f aca="false">(((Assumptions!$C$122*$C$10)/6)*P52)</f>
        <v>2500</v>
      </c>
      <c r="Q63" s="9" t="n">
        <f aca="false">(((Assumptions!$C$122*$C$10)/6)*Q52)</f>
        <v>2500</v>
      </c>
      <c r="R63" s="9" t="n">
        <f aca="false">(((Assumptions!$C$122*$C$10)/6)*R52)</f>
        <v>5000</v>
      </c>
      <c r="S63" s="9" t="n">
        <f aca="false">(((Assumptions!$C$122*$C$10)/6)*S52)</f>
        <v>5000</v>
      </c>
      <c r="T63" s="9" t="n">
        <f aca="false">(((Assumptions!$C$122*$C$10)/6)*T52)</f>
        <v>5000</v>
      </c>
      <c r="U63" s="9" t="n">
        <f aca="false">(((Assumptions!$C$122*$C$10)/6)*U52)</f>
        <v>7500</v>
      </c>
      <c r="V63" s="9" t="n">
        <f aca="false">(((Assumptions!$C$122*$C$10)/6)*V52)</f>
        <v>7500</v>
      </c>
      <c r="W63" s="9" t="n">
        <f aca="false">(((Assumptions!$C$122*$C$10)/6)*W52)</f>
        <v>7500</v>
      </c>
      <c r="X63" s="9" t="n">
        <f aca="false">(((Assumptions!$C$122*$C$10)/6)*X52)</f>
        <v>10000</v>
      </c>
      <c r="Y63" s="9" t="n">
        <f aca="false">(((Assumptions!$C$122*$C$10)/6)*Y52)</f>
        <v>10000</v>
      </c>
      <c r="Z63" s="9" t="n">
        <f aca="false">(((Assumptions!$C$122*$C$10)/6)*Z52)</f>
        <v>10000</v>
      </c>
      <c r="AA63" s="9" t="n">
        <f aca="false">(((Assumptions!$C$122*$C$10)/6)*AA52)</f>
        <v>12500</v>
      </c>
      <c r="AB63" s="9" t="n">
        <f aca="false">(((Assumptions!$C$122*$C$10)/6)*AB52)</f>
        <v>12500</v>
      </c>
      <c r="AC63" s="9" t="n">
        <f aca="false">(((Assumptions!$C$122*$C$10)/6)*AC52)</f>
        <v>12500</v>
      </c>
      <c r="AD63" s="9" t="n">
        <f aca="false">(((Assumptions!$C$122*$C$10)/6)*AD52)</f>
        <v>15000</v>
      </c>
      <c r="AE63" s="9" t="n">
        <f aca="false">(((Assumptions!$C$122*$C$10)/6)*AE52)</f>
        <v>15000</v>
      </c>
      <c r="AF63" s="9" t="n">
        <f aca="false">(((Assumptions!$C$122*$C$10)/6)*AF52)</f>
        <v>15000</v>
      </c>
      <c r="AG63" s="9" t="n">
        <f aca="false">(((Assumptions!$C$122*$C$10)/6)*AG52)</f>
        <v>15000</v>
      </c>
      <c r="AH63" s="9" t="n">
        <f aca="false">(((Assumptions!$C$122*$C$10)/6)*AH52)</f>
        <v>15000</v>
      </c>
      <c r="AI63" s="9" t="n">
        <f aca="false">(((Assumptions!$C$122*$C$10)/6)*AI52)</f>
        <v>15000</v>
      </c>
      <c r="AJ63" s="9" t="n">
        <f aca="false">(((Assumptions!$C$122*$C$10)/6)*AJ52)</f>
        <v>17500</v>
      </c>
      <c r="AK63" s="9" t="n">
        <f aca="false">(((Assumptions!$C$122*$C$10)/6)*AK52)</f>
        <v>17500</v>
      </c>
      <c r="AL63" s="9" t="n">
        <f aca="false">(((Assumptions!$C$122*$C$10)/6)*AL52)</f>
        <v>17500</v>
      </c>
      <c r="AN63" s="11" t="n">
        <f aca="false">SUM(C63:N63)</f>
        <v>0</v>
      </c>
      <c r="AO63" s="11" t="n">
        <f aca="false">SUM(O63:Z63)</f>
        <v>75000</v>
      </c>
      <c r="AP63" s="11" t="n">
        <f aca="false">SUM(AA63:AL63)</f>
        <v>180000</v>
      </c>
    </row>
    <row r="64" customFormat="false" ht="15" hidden="false" customHeight="false" outlineLevel="0" collapsed="false">
      <c r="A64" s="0" t="s">
        <v>870</v>
      </c>
      <c r="B64" s="0" t="s">
        <v>230</v>
      </c>
      <c r="C64" s="9" t="n">
        <f aca="false">((Assumptions!$C$122*$C$10)*C46)</f>
        <v>0</v>
      </c>
      <c r="D64" s="9" t="n">
        <f aca="false">((Assumptions!$C$122*$C$10)*D46)</f>
        <v>0</v>
      </c>
      <c r="E64" s="9" t="n">
        <f aca="false">((Assumptions!$C$122*$C$10)*E46)</f>
        <v>0</v>
      </c>
      <c r="F64" s="9" t="n">
        <f aca="false">((Assumptions!$C$122*$C$10)*F46)</f>
        <v>0</v>
      </c>
      <c r="G64" s="9" t="n">
        <f aca="false">((Assumptions!$C$122*$C$10)*G46)</f>
        <v>0</v>
      </c>
      <c r="H64" s="9" t="n">
        <f aca="false">((Assumptions!$C$122*$C$10)*H46)</f>
        <v>0</v>
      </c>
      <c r="I64" s="9" t="n">
        <f aca="false">((Assumptions!$C$122*$C$10)*I46)</f>
        <v>0</v>
      </c>
      <c r="J64" s="9" t="n">
        <f aca="false">((Assumptions!$C$122*$C$10)*J46)</f>
        <v>0</v>
      </c>
      <c r="K64" s="9" t="n">
        <f aca="false">((Assumptions!$C$122*$C$10)*K46)</f>
        <v>0</v>
      </c>
      <c r="L64" s="9" t="n">
        <f aca="false">((Assumptions!$C$122*$C$10)*L46)</f>
        <v>0</v>
      </c>
      <c r="M64" s="9" t="n">
        <f aca="false">((Assumptions!$C$122*$C$10)*M46)</f>
        <v>0</v>
      </c>
      <c r="N64" s="9" t="n">
        <f aca="false">((Assumptions!$C$122*$C$10)*N46)</f>
        <v>0</v>
      </c>
      <c r="O64" s="9" t="n">
        <f aca="false">((Assumptions!$C$122*$C$10)*O46)</f>
        <v>15000</v>
      </c>
      <c r="P64" s="9" t="n">
        <f aca="false">((Assumptions!$C$122*$C$10)*P46)</f>
        <v>0</v>
      </c>
      <c r="Q64" s="9" t="n">
        <f aca="false">((Assumptions!$C$122*$C$10)*Q46)</f>
        <v>0</v>
      </c>
      <c r="R64" s="9" t="n">
        <f aca="false">((Assumptions!$C$122*$C$10)*R46)</f>
        <v>15000</v>
      </c>
      <c r="S64" s="9" t="n">
        <f aca="false">((Assumptions!$C$122*$C$10)*S46)</f>
        <v>0</v>
      </c>
      <c r="T64" s="9" t="n">
        <f aca="false">((Assumptions!$C$122*$C$10)*T46)</f>
        <v>0</v>
      </c>
      <c r="U64" s="9" t="n">
        <f aca="false">((Assumptions!$C$122*$C$10)*U46)</f>
        <v>30000</v>
      </c>
      <c r="V64" s="9" t="n">
        <f aca="false">((Assumptions!$C$122*$C$10)*V46)</f>
        <v>0</v>
      </c>
      <c r="W64" s="9" t="n">
        <f aca="false">((Assumptions!$C$122*$C$10)*W46)</f>
        <v>0</v>
      </c>
      <c r="X64" s="9" t="n">
        <f aca="false">((Assumptions!$C$122*$C$10)*X46)</f>
        <v>30000</v>
      </c>
      <c r="Y64" s="9" t="n">
        <f aca="false">((Assumptions!$C$122*$C$10)*Y46)</f>
        <v>0</v>
      </c>
      <c r="Z64" s="9" t="n">
        <f aca="false">((Assumptions!$C$122*$C$10)*Z46)</f>
        <v>0</v>
      </c>
      <c r="AA64" s="9" t="n">
        <f aca="false">((Assumptions!$C$122*$C$10)*AA46)</f>
        <v>45000</v>
      </c>
      <c r="AB64" s="9" t="n">
        <f aca="false">((Assumptions!$C$122*$C$10)*AB46)</f>
        <v>0</v>
      </c>
      <c r="AC64" s="9" t="n">
        <f aca="false">((Assumptions!$C$122*$C$10)*AC46)</f>
        <v>0</v>
      </c>
      <c r="AD64" s="9" t="n">
        <f aca="false">((Assumptions!$C$122*$C$10)*AD46)</f>
        <v>45000</v>
      </c>
      <c r="AE64" s="9" t="n">
        <f aca="false">((Assumptions!$C$122*$C$10)*AE46)</f>
        <v>0</v>
      </c>
      <c r="AF64" s="9" t="n">
        <f aca="false">((Assumptions!$C$122*$C$10)*AF46)</f>
        <v>0</v>
      </c>
      <c r="AG64" s="9" t="n">
        <f aca="false">((Assumptions!$C$122*$C$10)*AG46)</f>
        <v>45000</v>
      </c>
      <c r="AH64" s="9" t="n">
        <f aca="false">((Assumptions!$C$122*$C$10)*AH46)</f>
        <v>0</v>
      </c>
      <c r="AI64" s="9" t="n">
        <f aca="false">((Assumptions!$C$122*$C$10)*AI46)</f>
        <v>0</v>
      </c>
      <c r="AJ64" s="9" t="n">
        <f aca="false">((Assumptions!$C$122*$C$10)*AJ46)</f>
        <v>60000</v>
      </c>
      <c r="AK64" s="9" t="n">
        <f aca="false">((Assumptions!$C$122*$C$10)*AK46)</f>
        <v>0</v>
      </c>
      <c r="AL64" s="9" t="n">
        <f aca="false">((Assumptions!$C$122*$C$10)*AL46)</f>
        <v>0</v>
      </c>
      <c r="AN64" s="11" t="n">
        <f aca="false">SUM(C64:N64)</f>
        <v>0</v>
      </c>
      <c r="AO64" s="11" t="n">
        <f aca="false">SUM(O64:Z64)</f>
        <v>90000</v>
      </c>
      <c r="AP64" s="11" t="n">
        <f aca="false">SUM(AA64:AL64)</f>
        <v>195000</v>
      </c>
    </row>
    <row r="65" customFormat="false" ht="15" hidden="false" customHeight="false" outlineLevel="0" collapsed="false">
      <c r="A65" s="0" t="s">
        <v>871</v>
      </c>
      <c r="B65" s="0" t="s">
        <v>230</v>
      </c>
      <c r="C65" s="9" t="n">
        <f aca="false">((Assumptions!$C$123*$C$10)+(Assumptions!$C$34*Assumptions!$C$35))</f>
        <v>21000</v>
      </c>
      <c r="D65" s="9" t="n">
        <f aca="false">((Assumptions!$C$123*$C$10)+(Assumptions!$C$34*Assumptions!$C$35))</f>
        <v>21000</v>
      </c>
      <c r="E65" s="9" t="n">
        <f aca="false">((Assumptions!$C$123*$C$10)+(Assumptions!$C$34*Assumptions!$C$35))</f>
        <v>21000</v>
      </c>
      <c r="F65" s="9" t="n">
        <f aca="false">((Assumptions!$C$123*$C$10)+(Assumptions!$C$34*Assumptions!$C$35))</f>
        <v>21000</v>
      </c>
      <c r="G65" s="9" t="n">
        <f aca="false">((Assumptions!$C$123*$C$10)+(Assumptions!$C$34*Assumptions!$C$35))</f>
        <v>21000</v>
      </c>
      <c r="H65" s="9" t="n">
        <f aca="false">((Assumptions!$C$123*$C$10)+(Assumptions!$C$34*Assumptions!$C$35))</f>
        <v>21000</v>
      </c>
      <c r="I65" s="9" t="n">
        <f aca="false">((Assumptions!$C$123*$C$10)+(Assumptions!$C$34*Assumptions!$C$35))</f>
        <v>21000</v>
      </c>
      <c r="J65" s="9" t="n">
        <f aca="false">((Assumptions!$C$123*$C$10)+(Assumptions!$C$34*Assumptions!$C$35))</f>
        <v>21000</v>
      </c>
      <c r="K65" s="9" t="n">
        <f aca="false">((Assumptions!$C$123*$C$10)+(Assumptions!$C$34*Assumptions!$C$35))</f>
        <v>21000</v>
      </c>
      <c r="L65" s="9" t="n">
        <f aca="false">((Assumptions!$C$123*$C$10)+(Assumptions!$C$34*Assumptions!$C$35))</f>
        <v>21000</v>
      </c>
      <c r="M65" s="9" t="n">
        <f aca="false">((Assumptions!$C$123*$C$10)+(Assumptions!$C$34*Assumptions!$C$35))</f>
        <v>21000</v>
      </c>
      <c r="N65" s="9" t="n">
        <f aca="false">((Assumptions!$C$123*$C$10)+(Assumptions!$C$34*Assumptions!$C$35))</f>
        <v>21000</v>
      </c>
      <c r="O65" s="9" t="n">
        <f aca="false">((Assumptions!$C$123*$C$10)+(Assumptions!$C$34*Assumptions!$C$35))</f>
        <v>21000</v>
      </c>
      <c r="P65" s="9" t="n">
        <f aca="false">((Assumptions!$C$123*$C$10)+(Assumptions!$C$34*Assumptions!$C$35))</f>
        <v>21000</v>
      </c>
      <c r="Q65" s="9" t="n">
        <f aca="false">((Assumptions!$C$123*$C$10)+(Assumptions!$C$34*Assumptions!$C$35))</f>
        <v>21000</v>
      </c>
      <c r="R65" s="9" t="n">
        <f aca="false">((Assumptions!$C$123*$C$10)+(Assumptions!$C$34*Assumptions!$C$35))</f>
        <v>21000</v>
      </c>
      <c r="S65" s="9" t="n">
        <f aca="false">((Assumptions!$C$123*$C$10)+(Assumptions!$C$34*Assumptions!$C$35))</f>
        <v>21000</v>
      </c>
      <c r="T65" s="9" t="n">
        <f aca="false">((Assumptions!$C$123*$C$10)+(Assumptions!$C$34*Assumptions!$C$35))</f>
        <v>21000</v>
      </c>
      <c r="U65" s="9" t="n">
        <f aca="false">((Assumptions!$C$123*$C$10)+(Assumptions!$C$34*Assumptions!$C$35))</f>
        <v>21000</v>
      </c>
      <c r="V65" s="9" t="n">
        <f aca="false">((Assumptions!$C$123*$C$10)+(Assumptions!$C$34*Assumptions!$C$35))</f>
        <v>21000</v>
      </c>
      <c r="W65" s="9" t="n">
        <f aca="false">((Assumptions!$C$123*$C$10)+(Assumptions!$C$34*Assumptions!$C$35))</f>
        <v>21000</v>
      </c>
      <c r="X65" s="9" t="n">
        <f aca="false">((Assumptions!$C$123*$C$10)+(Assumptions!$C$34*Assumptions!$C$35))</f>
        <v>21000</v>
      </c>
      <c r="Y65" s="9" t="n">
        <f aca="false">((Assumptions!$C$123*$C$10)+(Assumptions!$C$34*Assumptions!$C$35))</f>
        <v>21000</v>
      </c>
      <c r="Z65" s="9" t="n">
        <f aca="false">((Assumptions!$C$123*$C$10)+(Assumptions!$C$34*Assumptions!$C$35))</f>
        <v>21000</v>
      </c>
      <c r="AA65" s="9" t="n">
        <f aca="false">((Assumptions!$C$123*$C$10)+(Assumptions!$C$34*Assumptions!$C$35))</f>
        <v>21000</v>
      </c>
      <c r="AB65" s="9" t="n">
        <f aca="false">((Assumptions!$C$123*$C$10)+(Assumptions!$C$34*Assumptions!$C$35))</f>
        <v>21000</v>
      </c>
      <c r="AC65" s="9" t="n">
        <f aca="false">((Assumptions!$C$123*$C$10)+(Assumptions!$C$34*Assumptions!$C$35))</f>
        <v>21000</v>
      </c>
      <c r="AD65" s="9" t="n">
        <f aca="false">((Assumptions!$C$123*$C$10)+(Assumptions!$C$34*Assumptions!$C$35))</f>
        <v>21000</v>
      </c>
      <c r="AE65" s="9" t="n">
        <f aca="false">((Assumptions!$C$123*$C$10)+(Assumptions!$C$34*Assumptions!$C$35))</f>
        <v>21000</v>
      </c>
      <c r="AF65" s="9" t="n">
        <f aca="false">((Assumptions!$C$123*$C$10)+(Assumptions!$C$34*Assumptions!$C$35))</f>
        <v>21000</v>
      </c>
      <c r="AG65" s="9" t="n">
        <f aca="false">((Assumptions!$C$123*$C$10)+(Assumptions!$C$34*Assumptions!$C$35))</f>
        <v>21000</v>
      </c>
      <c r="AH65" s="9" t="n">
        <f aca="false">((Assumptions!$C$123*$C$10)+(Assumptions!$C$34*Assumptions!$C$35))</f>
        <v>21000</v>
      </c>
      <c r="AI65" s="9" t="n">
        <f aca="false">((Assumptions!$C$123*$C$10)+(Assumptions!$C$34*Assumptions!$C$35))</f>
        <v>21000</v>
      </c>
      <c r="AJ65" s="9" t="n">
        <f aca="false">((Assumptions!$C$123*$C$10)+(Assumptions!$C$34*Assumptions!$C$35))</f>
        <v>21000</v>
      </c>
      <c r="AK65" s="9" t="n">
        <f aca="false">((Assumptions!$C$123*$C$10)+(Assumptions!$C$34*Assumptions!$C$35))</f>
        <v>21000</v>
      </c>
      <c r="AL65" s="9" t="n">
        <f aca="false">((Assumptions!$C$123*$C$10)+(Assumptions!$C$34*Assumptions!$C$35))</f>
        <v>21000</v>
      </c>
    </row>
    <row r="66" customFormat="false" ht="15" hidden="false" customHeight="false" outlineLevel="0" collapsed="false">
      <c r="A66" s="0" t="s">
        <v>872</v>
      </c>
      <c r="B66" s="0" t="s">
        <v>230</v>
      </c>
      <c r="C66" s="9" t="n">
        <f aca="false">((C65/3)*C50)</f>
        <v>0</v>
      </c>
      <c r="D66" s="9" t="n">
        <f aca="false">((D65/3)*SUM(C50:D50))</f>
        <v>0</v>
      </c>
      <c r="E66" s="9" t="n">
        <f aca="false">((E65/3)*SUM(C50:E50))</f>
        <v>0</v>
      </c>
      <c r="F66" s="9" t="n">
        <f aca="false">((F65/3)*SUM(D50:F50))</f>
        <v>0</v>
      </c>
      <c r="G66" s="9" t="n">
        <f aca="false">((G65/3)*SUM(E50:G50))</f>
        <v>0</v>
      </c>
      <c r="H66" s="9" t="n">
        <f aca="false">((H65/3)*SUM(F50:H50))</f>
        <v>0</v>
      </c>
      <c r="I66" s="9" t="n">
        <f aca="false">((I65/3)*SUM(G50:I50))</f>
        <v>0</v>
      </c>
      <c r="J66" s="9" t="n">
        <f aca="false">((J65/3)*SUM(H50:J50))</f>
        <v>0</v>
      </c>
      <c r="K66" s="9" t="n">
        <f aca="false">((K65/3)*SUM(I50:K50))</f>
        <v>0</v>
      </c>
      <c r="L66" s="9" t="n">
        <f aca="false">((L65/3)*SUM(J50:L50))</f>
        <v>0</v>
      </c>
      <c r="M66" s="9" t="n">
        <f aca="false">((M65/3)*SUM(K50:M50))</f>
        <v>0</v>
      </c>
      <c r="N66" s="9" t="n">
        <f aca="false">((N65/3)*SUM(L50:N50))</f>
        <v>0</v>
      </c>
      <c r="O66" s="9" t="n">
        <f aca="false">((O65/3)*SUM(M50:O50))</f>
        <v>7000</v>
      </c>
      <c r="P66" s="9" t="n">
        <f aca="false">((P65/3)*SUM(N50:P50))</f>
        <v>7000</v>
      </c>
      <c r="Q66" s="9" t="n">
        <f aca="false">((Q65/3)*SUM(O50:Q50))</f>
        <v>7000</v>
      </c>
      <c r="R66" s="9" t="n">
        <f aca="false">((R65/3)*SUM(P50:R50))</f>
        <v>7000</v>
      </c>
      <c r="S66" s="9" t="n">
        <f aca="false">((S65/3)*SUM(Q50:S50))</f>
        <v>7000</v>
      </c>
      <c r="T66" s="9" t="n">
        <f aca="false">((T65/3)*SUM(R50:T50))</f>
        <v>7000</v>
      </c>
      <c r="U66" s="9" t="n">
        <f aca="false">((U65/3)*SUM(S50:U50))</f>
        <v>14000</v>
      </c>
      <c r="V66" s="9" t="n">
        <f aca="false">((V65/3)*SUM(T50:V50))</f>
        <v>14000</v>
      </c>
      <c r="W66" s="9" t="n">
        <f aca="false">((W65/3)*SUM(U50:W50))</f>
        <v>14000</v>
      </c>
      <c r="X66" s="9" t="n">
        <f aca="false">((X65/3)*SUM(V50:X50))</f>
        <v>14000</v>
      </c>
      <c r="Y66" s="9" t="n">
        <f aca="false">((Y65/3)*SUM(W50:Y50))</f>
        <v>21000</v>
      </c>
      <c r="Z66" s="9" t="n">
        <f aca="false">((Z65/3)*SUM(X50:Z50))</f>
        <v>21000</v>
      </c>
      <c r="AA66" s="9" t="n">
        <f aca="false">((AA65/3)*SUM(Y50:AA50))</f>
        <v>28000</v>
      </c>
      <c r="AB66" s="9" t="n">
        <f aca="false">((AB65/3)*SUM(Z50:AB50))</f>
        <v>28000</v>
      </c>
      <c r="AC66" s="9" t="n">
        <f aca="false">((AC65/3)*SUM(AA50:AC50))</f>
        <v>28000</v>
      </c>
      <c r="AD66" s="9" t="n">
        <f aca="false">((AD65/3)*SUM(AB50:AD50))</f>
        <v>28000</v>
      </c>
      <c r="AE66" s="9" t="n">
        <f aca="false">((AE65/3)*SUM(AC50:AE50))</f>
        <v>35000</v>
      </c>
      <c r="AF66" s="9" t="n">
        <f aca="false">((AF65/3)*SUM(AD50:AF50))</f>
        <v>35000</v>
      </c>
      <c r="AG66" s="9" t="n">
        <f aca="false">((AG65/3)*SUM(AE50:AG50))</f>
        <v>35000</v>
      </c>
      <c r="AH66" s="9" t="n">
        <f aca="false">((AH65/3)*SUM(AF50:AH50))</f>
        <v>35000</v>
      </c>
      <c r="AI66" s="9" t="n">
        <f aca="false">((AI65/3)*SUM(AG50:AI50))</f>
        <v>35000</v>
      </c>
      <c r="AJ66" s="9" t="n">
        <f aca="false">((AJ65/3)*SUM(AH50:AJ50))</f>
        <v>42000</v>
      </c>
      <c r="AK66" s="9" t="n">
        <f aca="false">((AK65/3)*SUM(AI50:AK50))</f>
        <v>49000</v>
      </c>
      <c r="AL66" s="9" t="n">
        <f aca="false">((AL65/3)*SUM(AJ50:AL50))</f>
        <v>49000</v>
      </c>
      <c r="AN66" s="11" t="n">
        <f aca="false">SUM(C66:N66)</f>
        <v>0</v>
      </c>
      <c r="AO66" s="11" t="n">
        <f aca="false">SUM(O66:Z66)</f>
        <v>140000</v>
      </c>
      <c r="AP66" s="11" t="n">
        <f aca="false">SUM(AA66:AL66)</f>
        <v>427000</v>
      </c>
    </row>
    <row r="67" customFormat="false" ht="15" hidden="false" customHeight="false" outlineLevel="0" collapsed="false">
      <c r="A67" s="0" t="s">
        <v>873</v>
      </c>
      <c r="B67" s="0" t="s">
        <v>230</v>
      </c>
      <c r="C67" s="9" t="n">
        <f aca="false">(C65*C50)</f>
        <v>0</v>
      </c>
      <c r="D67" s="9" t="n">
        <f aca="false">(D65*D50)</f>
        <v>0</v>
      </c>
      <c r="E67" s="9" t="n">
        <f aca="false">(E65*E50)</f>
        <v>0</v>
      </c>
      <c r="F67" s="9" t="n">
        <f aca="false">(F65*F50)</f>
        <v>0</v>
      </c>
      <c r="G67" s="9" t="n">
        <f aca="false">(G65*G50)</f>
        <v>0</v>
      </c>
      <c r="H67" s="9" t="n">
        <f aca="false">(H65*H50)</f>
        <v>0</v>
      </c>
      <c r="I67" s="9" t="n">
        <f aca="false">(I65*I50)</f>
        <v>0</v>
      </c>
      <c r="J67" s="9" t="n">
        <f aca="false">(J65*J50)</f>
        <v>0</v>
      </c>
      <c r="K67" s="9" t="n">
        <f aca="false">(K65*K50)</f>
        <v>0</v>
      </c>
      <c r="L67" s="9" t="n">
        <f aca="false">(L65*L50)</f>
        <v>0</v>
      </c>
      <c r="M67" s="9" t="n">
        <f aca="false">(M65*M50)</f>
        <v>0</v>
      </c>
      <c r="N67" s="9" t="n">
        <f aca="false">(N65*N50)</f>
        <v>0</v>
      </c>
      <c r="O67" s="9" t="n">
        <f aca="false">(O65*O50)</f>
        <v>21000</v>
      </c>
      <c r="P67" s="9" t="n">
        <f aca="false">(P65*P50)</f>
        <v>0</v>
      </c>
      <c r="Q67" s="9" t="n">
        <f aca="false">(Q65*Q50)</f>
        <v>0</v>
      </c>
      <c r="R67" s="9" t="n">
        <f aca="false">(R65*R50)</f>
        <v>21000</v>
      </c>
      <c r="S67" s="9" t="n">
        <f aca="false">(S65*S50)</f>
        <v>0</v>
      </c>
      <c r="T67" s="9" t="n">
        <f aca="false">(T65*T50)</f>
        <v>0</v>
      </c>
      <c r="U67" s="9" t="n">
        <f aca="false">(U65*U50)</f>
        <v>42000</v>
      </c>
      <c r="V67" s="9" t="n">
        <f aca="false">(V65*V50)</f>
        <v>0</v>
      </c>
      <c r="W67" s="9" t="n">
        <f aca="false">(W65*W50)</f>
        <v>0</v>
      </c>
      <c r="X67" s="9" t="n">
        <f aca="false">(X65*X50)</f>
        <v>42000</v>
      </c>
      <c r="Y67" s="9" t="n">
        <f aca="false">(Y65*Y50)</f>
        <v>21000</v>
      </c>
      <c r="Z67" s="9" t="n">
        <f aca="false">(Z65*Z50)</f>
        <v>0</v>
      </c>
      <c r="AA67" s="9" t="n">
        <f aca="false">(AA65*AA50)</f>
        <v>63000</v>
      </c>
      <c r="AB67" s="9" t="n">
        <f aca="false">(AB65*AB50)</f>
        <v>21000</v>
      </c>
      <c r="AC67" s="9" t="n">
        <f aca="false">(AC65*AC50)</f>
        <v>0</v>
      </c>
      <c r="AD67" s="9" t="n">
        <f aca="false">(AD65*AD50)</f>
        <v>63000</v>
      </c>
      <c r="AE67" s="9" t="n">
        <f aca="false">(AE65*AE50)</f>
        <v>42000</v>
      </c>
      <c r="AF67" s="9" t="n">
        <f aca="false">(AF65*AF50)</f>
        <v>0</v>
      </c>
      <c r="AG67" s="9" t="n">
        <f aca="false">(AG65*AG50)</f>
        <v>63000</v>
      </c>
      <c r="AH67" s="9" t="n">
        <f aca="false">(AH65*AH50)</f>
        <v>42000</v>
      </c>
      <c r="AI67" s="9" t="n">
        <f aca="false">(AI65*AI50)</f>
        <v>0</v>
      </c>
      <c r="AJ67" s="9" t="n">
        <f aca="false">(AJ65*AJ50)</f>
        <v>84000</v>
      </c>
      <c r="AK67" s="9" t="n">
        <f aca="false">(AK65*AK50)</f>
        <v>63000</v>
      </c>
      <c r="AL67" s="9" t="n">
        <f aca="false">(AL65*AL50)</f>
        <v>0</v>
      </c>
      <c r="AN67" s="11" t="n">
        <f aca="false">SUM(C67:N67)</f>
        <v>0</v>
      </c>
      <c r="AO67" s="11" t="n">
        <f aca="false">SUM(O67:Z67)</f>
        <v>147000</v>
      </c>
      <c r="AP67" s="11" t="n">
        <f aca="false">SUM(AA67:AL67)</f>
        <v>441000</v>
      </c>
    </row>
    <row r="68" customFormat="false" ht="15" hidden="false" customHeight="false" outlineLevel="0" collapsed="false">
      <c r="A68" s="0" t="s">
        <v>874</v>
      </c>
      <c r="B68" s="0" t="s">
        <v>285</v>
      </c>
      <c r="C68" s="9" t="n">
        <f aca="false">((C47*Assumptions!$C$124)+(C50*(Assumptions!$C$124+(Assumptions!$C$34*Assumptions!$C$36))))</f>
        <v>0</v>
      </c>
      <c r="D68" s="9" t="n">
        <f aca="false">((D47*Assumptions!$C$124)+(D50*(Assumptions!$C$124+(Assumptions!$C$34*Assumptions!$C$36))))</f>
        <v>0</v>
      </c>
      <c r="E68" s="9" t="n">
        <f aca="false">((E47*Assumptions!$C$124)+(E50*(Assumptions!$C$124+(Assumptions!$C$34*Assumptions!$C$36))))</f>
        <v>0</v>
      </c>
      <c r="F68" s="9" t="n">
        <f aca="false">((F47*Assumptions!$C$124)+(F50*(Assumptions!$C$124+(Assumptions!$C$34*Assumptions!$C$36))))</f>
        <v>0</v>
      </c>
      <c r="G68" s="9" t="n">
        <f aca="false">((G47*Assumptions!$C$124)+(G50*(Assumptions!$C$124+(Assumptions!$C$34*Assumptions!$C$36))))</f>
        <v>115</v>
      </c>
      <c r="H68" s="9" t="n">
        <f aca="false">((H47*Assumptions!$C$124)+(H50*(Assumptions!$C$124+(Assumptions!$C$34*Assumptions!$C$36))))</f>
        <v>0</v>
      </c>
      <c r="I68" s="9" t="n">
        <f aca="false">((I47*Assumptions!$C$124)+(I50*(Assumptions!$C$124+(Assumptions!$C$34*Assumptions!$C$36))))</f>
        <v>0</v>
      </c>
      <c r="J68" s="9" t="n">
        <f aca="false">((J47*Assumptions!$C$124)+(J50*(Assumptions!$C$124+(Assumptions!$C$34*Assumptions!$C$36))))</f>
        <v>0</v>
      </c>
      <c r="K68" s="9" t="n">
        <f aca="false">((K47*Assumptions!$C$124)+(K50*(Assumptions!$C$124+(Assumptions!$C$34*Assumptions!$C$36))))</f>
        <v>0</v>
      </c>
      <c r="L68" s="9" t="n">
        <f aca="false">((L47*Assumptions!$C$124)+(L50*(Assumptions!$C$124+(Assumptions!$C$34*Assumptions!$C$36))))</f>
        <v>0</v>
      </c>
      <c r="M68" s="9" t="n">
        <f aca="false">((M47*Assumptions!$C$124)+(M50*(Assumptions!$C$124+(Assumptions!$C$34*Assumptions!$C$36))))</f>
        <v>0</v>
      </c>
      <c r="N68" s="9" t="n">
        <f aca="false">((N47*Assumptions!$C$124)+(N50*(Assumptions!$C$124+(Assumptions!$C$34*Assumptions!$C$36))))</f>
        <v>0</v>
      </c>
      <c r="O68" s="9" t="n">
        <f aca="false">((O47*Assumptions!$C$124)+(O50*(Assumptions!$C$124+(Assumptions!$C$34*Assumptions!$C$36))))</f>
        <v>159</v>
      </c>
      <c r="P68" s="9" t="n">
        <f aca="false">((P47*Assumptions!$C$124)+(P50*(Assumptions!$C$124+(Assumptions!$C$34*Assumptions!$C$36))))</f>
        <v>0</v>
      </c>
      <c r="Q68" s="9" t="n">
        <f aca="false">((Q47*Assumptions!$C$124)+(Q50*(Assumptions!$C$124+(Assumptions!$C$34*Assumptions!$C$36))))</f>
        <v>0</v>
      </c>
      <c r="R68" s="9" t="n">
        <f aca="false">((R47*Assumptions!$C$124)+(R50*(Assumptions!$C$124+(Assumptions!$C$34*Assumptions!$C$36))))</f>
        <v>159</v>
      </c>
      <c r="S68" s="9" t="n">
        <f aca="false">((S47*Assumptions!$C$124)+(S50*(Assumptions!$C$124+(Assumptions!$C$34*Assumptions!$C$36))))</f>
        <v>0</v>
      </c>
      <c r="T68" s="9" t="n">
        <f aca="false">((T47*Assumptions!$C$124)+(T50*(Assumptions!$C$124+(Assumptions!$C$34*Assumptions!$C$36))))</f>
        <v>0</v>
      </c>
      <c r="U68" s="9" t="n">
        <f aca="false">((U47*Assumptions!$C$124)+(U50*(Assumptions!$C$124+(Assumptions!$C$34*Assumptions!$C$36))))</f>
        <v>318</v>
      </c>
      <c r="V68" s="9" t="n">
        <f aca="false">((V47*Assumptions!$C$124)+(V50*(Assumptions!$C$124+(Assumptions!$C$34*Assumptions!$C$36))))</f>
        <v>0</v>
      </c>
      <c r="W68" s="9" t="n">
        <f aca="false">((W47*Assumptions!$C$124)+(W50*(Assumptions!$C$124+(Assumptions!$C$34*Assumptions!$C$36))))</f>
        <v>0</v>
      </c>
      <c r="X68" s="9" t="n">
        <f aca="false">((X47*Assumptions!$C$124)+(X50*(Assumptions!$C$124+(Assumptions!$C$34*Assumptions!$C$36))))</f>
        <v>318</v>
      </c>
      <c r="Y68" s="9" t="n">
        <f aca="false">((Y47*Assumptions!$C$124)+(Y50*(Assumptions!$C$124+(Assumptions!$C$34*Assumptions!$C$36))))</f>
        <v>159</v>
      </c>
      <c r="Z68" s="9" t="n">
        <f aca="false">((Z47*Assumptions!$C$124)+(Z50*(Assumptions!$C$124+(Assumptions!$C$34*Assumptions!$C$36))))</f>
        <v>0</v>
      </c>
      <c r="AA68" s="9" t="n">
        <f aca="false">((AA47*Assumptions!$C$124)+(AA50*(Assumptions!$C$124+(Assumptions!$C$34*Assumptions!$C$36))))</f>
        <v>477</v>
      </c>
      <c r="AB68" s="9" t="n">
        <f aca="false">((AB47*Assumptions!$C$124)+(AB50*(Assumptions!$C$124+(Assumptions!$C$34*Assumptions!$C$36))))</f>
        <v>159</v>
      </c>
      <c r="AC68" s="9" t="n">
        <f aca="false">((AC47*Assumptions!$C$124)+(AC50*(Assumptions!$C$124+(Assumptions!$C$34*Assumptions!$C$36))))</f>
        <v>0</v>
      </c>
      <c r="AD68" s="9" t="n">
        <f aca="false">((AD47*Assumptions!$C$124)+(AD50*(Assumptions!$C$124+(Assumptions!$C$34*Assumptions!$C$36))))</f>
        <v>477</v>
      </c>
      <c r="AE68" s="9" t="n">
        <f aca="false">((AE47*Assumptions!$C$124)+(AE50*(Assumptions!$C$124+(Assumptions!$C$34*Assumptions!$C$36))))</f>
        <v>318</v>
      </c>
      <c r="AF68" s="9" t="n">
        <f aca="false">((AF47*Assumptions!$C$124)+(AF50*(Assumptions!$C$124+(Assumptions!$C$34*Assumptions!$C$36))))</f>
        <v>0</v>
      </c>
      <c r="AG68" s="9" t="n">
        <f aca="false">((AG47*Assumptions!$C$124)+(AG50*(Assumptions!$C$124+(Assumptions!$C$34*Assumptions!$C$36))))</f>
        <v>477</v>
      </c>
      <c r="AH68" s="9" t="n">
        <f aca="false">((AH47*Assumptions!$C$124)+(AH50*(Assumptions!$C$124+(Assumptions!$C$34*Assumptions!$C$36))))</f>
        <v>318</v>
      </c>
      <c r="AI68" s="9" t="n">
        <f aca="false">((AI47*Assumptions!$C$124)+(AI50*(Assumptions!$C$124+(Assumptions!$C$34*Assumptions!$C$36))))</f>
        <v>0</v>
      </c>
      <c r="AJ68" s="9" t="n">
        <f aca="false">((AJ47*Assumptions!$C$124)+(AJ50*(Assumptions!$C$124+(Assumptions!$C$34*Assumptions!$C$36))))</f>
        <v>636</v>
      </c>
      <c r="AK68" s="9" t="n">
        <f aca="false">((AK47*Assumptions!$C$124)+(AK50*(Assumptions!$C$124+(Assumptions!$C$34*Assumptions!$C$36))))</f>
        <v>477</v>
      </c>
      <c r="AL68" s="9" t="n">
        <f aca="false">((AL47*Assumptions!$C$124)+(AL50*(Assumptions!$C$124+(Assumptions!$C$34*Assumptions!$C$36))))</f>
        <v>0</v>
      </c>
      <c r="AN68" s="11" t="n">
        <f aca="false">SUM(C68:N68)</f>
        <v>115</v>
      </c>
      <c r="AO68" s="11" t="n">
        <f aca="false">SUM(O68:Z68)</f>
        <v>1113</v>
      </c>
      <c r="AP68" s="11" t="n">
        <f aca="false">SUM(AA68:AL68)</f>
        <v>3339</v>
      </c>
    </row>
    <row r="69" customFormat="false" ht="15" hidden="false" customHeight="false" outlineLevel="0" collapsed="false">
      <c r="A69" s="0" t="s">
        <v>875</v>
      </c>
      <c r="B69" s="0" t="s">
        <v>852</v>
      </c>
      <c r="C69" s="14" t="n">
        <f aca="false">((IF(OR((C$18-(Assumptions!$C$7-1)-$C$9)&lt;1,(C$18-(Assumptions!$C$7-1)-$C$9)&gt;36),0,INDEX(Schedules!$C$6:$AL$6,(C$18-(Assumptions!$C$7-1)-$C$9)))*$C$7)*C44)</f>
        <v>0</v>
      </c>
      <c r="D69" s="14" t="n">
        <f aca="false">((IF(OR((D$18-(Assumptions!$C$7-1)-$C$9)&lt;1,(D$18-(Assumptions!$C$7-1)-$C$9)&gt;36),0,INDEX(Schedules!$C$6:$AL$6,(D$18-(Assumptions!$C$7-1)-$C$9)))*$C$7)*D44)</f>
        <v>0</v>
      </c>
      <c r="E69" s="14" t="n">
        <f aca="false">((IF(OR((E$18-(Assumptions!$C$7-1)-$C$9)&lt;1,(E$18-(Assumptions!$C$7-1)-$C$9)&gt;36),0,INDEX(Schedules!$C$6:$AL$6,(E$18-(Assumptions!$C$7-1)-$C$9)))*$C$7)*E44)</f>
        <v>0</v>
      </c>
      <c r="F69" s="14" t="n">
        <f aca="false">((IF(OR((F$18-(Assumptions!$C$7-1)-$C$9)&lt;1,(F$18-(Assumptions!$C$7-1)-$C$9)&gt;36),0,INDEX(Schedules!$C$6:$AL$6,(F$18-(Assumptions!$C$7-1)-$C$9)))*$C$7)*F44)</f>
        <v>0</v>
      </c>
      <c r="G69" s="14" t="n">
        <f aca="false">((IF(OR((G$18-(Assumptions!$C$7-1)-$C$9)&lt;1,(G$18-(Assumptions!$C$7-1)-$C$9)&gt;36),0,INDEX(Schedules!$C$6:$AL$6,(G$18-(Assumptions!$C$7-1)-$C$9)))*$C$7)*G44)</f>
        <v>0</v>
      </c>
      <c r="H69" s="14" t="n">
        <f aca="false">((IF(OR((H$18-(Assumptions!$C$7-1)-$C$9)&lt;1,(H$18-(Assumptions!$C$7-1)-$C$9)&gt;36),0,INDEX(Schedules!$C$6:$AL$6,(H$18-(Assumptions!$C$7-1)-$C$9)))*$C$7)*H44)</f>
        <v>0</v>
      </c>
      <c r="I69" s="14" t="n">
        <f aca="false">((IF(OR((I$18-(Assumptions!$C$7-1)-$C$9)&lt;1,(I$18-(Assumptions!$C$7-1)-$C$9)&gt;36),0,INDEX(Schedules!$C$6:$AL$6,(I$18-(Assumptions!$C$7-1)-$C$9)))*$C$7)*I44)</f>
        <v>0</v>
      </c>
      <c r="J69" s="14" t="n">
        <f aca="false">((IF(OR((J$18-(Assumptions!$C$7-1)-$C$9)&lt;1,(J$18-(Assumptions!$C$7-1)-$C$9)&gt;36),0,INDEX(Schedules!$C$6:$AL$6,(J$18-(Assumptions!$C$7-1)-$C$9)))*$C$7)*J44)</f>
        <v>0</v>
      </c>
      <c r="K69" s="14" t="n">
        <f aca="false">((IF(OR((K$18-(Assumptions!$C$7-1)-$C$9)&lt;1,(K$18-(Assumptions!$C$7-1)-$C$9)&gt;36),0,INDEX(Schedules!$C$6:$AL$6,(K$18-(Assumptions!$C$7-1)-$C$9)))*$C$7)*K44)</f>
        <v>0</v>
      </c>
      <c r="L69" s="14" t="n">
        <f aca="false">((IF(OR((L$18-(Assumptions!$C$7-1)-$C$9)&lt;1,(L$18-(Assumptions!$C$7-1)-$C$9)&gt;36),0,INDEX(Schedules!$C$6:$AL$6,(L$18-(Assumptions!$C$7-1)-$C$9)))*$C$7)*L44)</f>
        <v>0</v>
      </c>
      <c r="M69" s="14" t="n">
        <f aca="false">((IF(OR((M$18-(Assumptions!$C$7-1)-$C$9)&lt;1,(M$18-(Assumptions!$C$7-1)-$C$9)&gt;36),0,INDEX(Schedules!$C$6:$AL$6,(M$18-(Assumptions!$C$7-1)-$C$9)))*$C$7)*M44)</f>
        <v>0</v>
      </c>
      <c r="N69" s="14" t="n">
        <f aca="false">((IF(OR((N$18-(Assumptions!$C$7-1)-$C$9)&lt;1,(N$18-(Assumptions!$C$7-1)-$C$9)&gt;36),0,INDEX(Schedules!$C$6:$AL$6,(N$18-(Assumptions!$C$7-1)-$C$9)))*$C$7)*N44)</f>
        <v>0</v>
      </c>
      <c r="O69" s="14" t="n">
        <f aca="false">((IF(OR((O$18-(Assumptions!$C$7-1)-$C$9)&lt;1,(O$18-(Assumptions!$C$7-1)-$C$9)&gt;36),0,INDEX(Schedules!$C$6:$AL$6,(O$18-(Assumptions!$C$7-1)-$C$9)))*$C$7)*O44)</f>
        <v>0</v>
      </c>
      <c r="P69" s="14" t="n">
        <f aca="false">((IF(OR((P$18-(Assumptions!$C$7-1)-$C$9)&lt;1,(P$18-(Assumptions!$C$7-1)-$C$9)&gt;36),0,INDEX(Schedules!$C$6:$AL$6,(P$18-(Assumptions!$C$7-1)-$C$9)))*$C$7)*P44)</f>
        <v>0</v>
      </c>
      <c r="Q69" s="14" t="n">
        <f aca="false">((IF(OR((Q$18-(Assumptions!$C$7-1)-$C$9)&lt;1,(Q$18-(Assumptions!$C$7-1)-$C$9)&gt;36),0,INDEX(Schedules!$C$6:$AL$6,(Q$18-(Assumptions!$C$7-1)-$C$9)))*$C$7)*Q44)</f>
        <v>0</v>
      </c>
      <c r="R69" s="14" t="n">
        <f aca="false">((IF(OR((R$18-(Assumptions!$C$7-1)-$C$9)&lt;1,(R$18-(Assumptions!$C$7-1)-$C$9)&gt;36),0,INDEX(Schedules!$C$6:$AL$6,(R$18-(Assumptions!$C$7-1)-$C$9)))*$C$7)*R44)</f>
        <v>1</v>
      </c>
      <c r="S69" s="14" t="n">
        <f aca="false">((IF(OR((S$18-(Assumptions!$C$7-1)-$C$9)&lt;1,(S$18-(Assumptions!$C$7-1)-$C$9)&gt;36),0,INDEX(Schedules!$C$6:$AL$6,(S$18-(Assumptions!$C$7-1)-$C$9)))*$C$7)*S44)</f>
        <v>0</v>
      </c>
      <c r="T69" s="14" t="n">
        <f aca="false">((IF(OR((T$18-(Assumptions!$C$7-1)-$C$9)&lt;1,(T$18-(Assumptions!$C$7-1)-$C$9)&gt;36),0,INDEX(Schedules!$C$6:$AL$6,(T$18-(Assumptions!$C$7-1)-$C$9)))*$C$7)*T44)</f>
        <v>0</v>
      </c>
      <c r="U69" s="14" t="n">
        <f aca="false">((IF(OR((U$18-(Assumptions!$C$7-1)-$C$9)&lt;1,(U$18-(Assumptions!$C$7-1)-$C$9)&gt;36),0,INDEX(Schedules!$C$6:$AL$6,(U$18-(Assumptions!$C$7-1)-$C$9)))*$C$7)*U44)</f>
        <v>1</v>
      </c>
      <c r="V69" s="14" t="n">
        <f aca="false">((IF(OR((V$18-(Assumptions!$C$7-1)-$C$9)&lt;1,(V$18-(Assumptions!$C$7-1)-$C$9)&gt;36),0,INDEX(Schedules!$C$6:$AL$6,(V$18-(Assumptions!$C$7-1)-$C$9)))*$C$7)*V44)</f>
        <v>0</v>
      </c>
      <c r="W69" s="14" t="n">
        <f aca="false">((IF(OR((W$18-(Assumptions!$C$7-1)-$C$9)&lt;1,(W$18-(Assumptions!$C$7-1)-$C$9)&gt;36),0,INDEX(Schedules!$C$6:$AL$6,(W$18-(Assumptions!$C$7-1)-$C$9)))*$C$7)*W44)</f>
        <v>0</v>
      </c>
      <c r="X69" s="14" t="n">
        <f aca="false">((IF(OR((X$18-(Assumptions!$C$7-1)-$C$9)&lt;1,(X$18-(Assumptions!$C$7-1)-$C$9)&gt;36),0,INDEX(Schedules!$C$6:$AL$6,(X$18-(Assumptions!$C$7-1)-$C$9)))*$C$7)*X44)</f>
        <v>1</v>
      </c>
      <c r="Y69" s="14" t="n">
        <f aca="false">((IF(OR((Y$18-(Assumptions!$C$7-1)-$C$9)&lt;1,(Y$18-(Assumptions!$C$7-1)-$C$9)&gt;36),0,INDEX(Schedules!$C$6:$AL$6,(Y$18-(Assumptions!$C$7-1)-$C$9)))*$C$7)*Y44)</f>
        <v>0</v>
      </c>
      <c r="Z69" s="14" t="n">
        <f aca="false">((IF(OR((Z$18-(Assumptions!$C$7-1)-$C$9)&lt;1,(Z$18-(Assumptions!$C$7-1)-$C$9)&gt;36),0,INDEX(Schedules!$C$6:$AL$6,(Z$18-(Assumptions!$C$7-1)-$C$9)))*$C$7)*Z44)</f>
        <v>0</v>
      </c>
      <c r="AA69" s="14" t="n">
        <f aca="false">((IF(OR((AA$18-(Assumptions!$C$7-1)-$C$9)&lt;1,(AA$18-(Assumptions!$C$7-1)-$C$9)&gt;36),0,INDEX(Schedules!$C$6:$AL$6,(AA$18-(Assumptions!$C$7-1)-$C$9)))*$C$7)*AA44)</f>
        <v>1</v>
      </c>
      <c r="AB69" s="14" t="n">
        <f aca="false">((IF(OR((AB$18-(Assumptions!$C$7-1)-$C$9)&lt;1,(AB$18-(Assumptions!$C$7-1)-$C$9)&gt;36),0,INDEX(Schedules!$C$6:$AL$6,(AB$18-(Assumptions!$C$7-1)-$C$9)))*$C$7)*AB44)</f>
        <v>0</v>
      </c>
      <c r="AC69" s="14" t="n">
        <f aca="false">((IF(OR((AC$18-(Assumptions!$C$7-1)-$C$9)&lt;1,(AC$18-(Assumptions!$C$7-1)-$C$9)&gt;36),0,INDEX(Schedules!$C$6:$AL$6,(AC$18-(Assumptions!$C$7-1)-$C$9)))*$C$7)*AC44)</f>
        <v>0</v>
      </c>
      <c r="AD69" s="14" t="n">
        <f aca="false">((IF(OR((AD$18-(Assumptions!$C$7-1)-$C$9)&lt;1,(AD$18-(Assumptions!$C$7-1)-$C$9)&gt;36),0,INDEX(Schedules!$C$6:$AL$6,(AD$18-(Assumptions!$C$7-1)-$C$9)))*$C$7)*AD44)</f>
        <v>2</v>
      </c>
      <c r="AE69" s="14" t="n">
        <f aca="false">((IF(OR((AE$18-(Assumptions!$C$7-1)-$C$9)&lt;1,(AE$18-(Assumptions!$C$7-1)-$C$9)&gt;36),0,INDEX(Schedules!$C$6:$AL$6,(AE$18-(Assumptions!$C$7-1)-$C$9)))*$C$7)*AE44)</f>
        <v>0</v>
      </c>
      <c r="AF69" s="14" t="n">
        <f aca="false">((IF(OR((AF$18-(Assumptions!$C$7-1)-$C$9)&lt;1,(AF$18-(Assumptions!$C$7-1)-$C$9)&gt;36),0,INDEX(Schedules!$C$6:$AL$6,(AF$18-(Assumptions!$C$7-1)-$C$9)))*$C$7)*AF44)</f>
        <v>0</v>
      </c>
      <c r="AG69" s="14" t="n">
        <f aca="false">((IF(OR((AG$18-(Assumptions!$C$7-1)-$C$9)&lt;1,(AG$18-(Assumptions!$C$7-1)-$C$9)&gt;36),0,INDEX(Schedules!$C$6:$AL$6,(AG$18-(Assumptions!$C$7-1)-$C$9)))*$C$7)*AG44)</f>
        <v>2</v>
      </c>
      <c r="AH69" s="14" t="n">
        <f aca="false">((IF(OR((AH$18-(Assumptions!$C$7-1)-$C$9)&lt;1,(AH$18-(Assumptions!$C$7-1)-$C$9)&gt;36),0,INDEX(Schedules!$C$6:$AL$6,(AH$18-(Assumptions!$C$7-1)-$C$9)))*$C$7)*AH44)</f>
        <v>0</v>
      </c>
      <c r="AI69" s="14" t="n">
        <f aca="false">((IF(OR((AI$18-(Assumptions!$C$7-1)-$C$9)&lt;1,(AI$18-(Assumptions!$C$7-1)-$C$9)&gt;36),0,INDEX(Schedules!$C$6:$AL$6,(AI$18-(Assumptions!$C$7-1)-$C$9)))*$C$7)*AI44)</f>
        <v>0</v>
      </c>
      <c r="AJ69" s="14" t="n">
        <f aca="false">((IF(OR((AJ$18-(Assumptions!$C$7-1)-$C$9)&lt;1,(AJ$18-(Assumptions!$C$7-1)-$C$9)&gt;36),0,INDEX(Schedules!$C$6:$AL$6,(AJ$18-(Assumptions!$C$7-1)-$C$9)))*$C$7)*AJ44)</f>
        <v>2</v>
      </c>
      <c r="AK69" s="14" t="n">
        <f aca="false">((IF(OR((AK$18-(Assumptions!$C$7-1)-$C$9)&lt;1,(AK$18-(Assumptions!$C$7-1)-$C$9)&gt;36),0,INDEX(Schedules!$C$6:$AL$6,(AK$18-(Assumptions!$C$7-1)-$C$9)))*$C$7)*AK44)</f>
        <v>0</v>
      </c>
      <c r="AL69" s="14" t="n">
        <f aca="false">((IF(OR((AL$18-(Assumptions!$C$7-1)-$C$9)&lt;1,(AL$18-(Assumptions!$C$7-1)-$C$9)&gt;36),0,INDEX(Schedules!$C$6:$AL$6,(AL$18-(Assumptions!$C$7-1)-$C$9)))*$C$7)*AL44)</f>
        <v>0</v>
      </c>
      <c r="AN69" s="36" t="n">
        <f aca="false">SUM(C69:N69)</f>
        <v>0</v>
      </c>
      <c r="AO69" s="36" t="n">
        <f aca="false">SUM(O69:Z69)</f>
        <v>3</v>
      </c>
      <c r="AP69" s="36" t="n">
        <f aca="false">SUM(AA69:AL69)</f>
        <v>7</v>
      </c>
    </row>
    <row r="70" customFormat="false" ht="15" hidden="false" customHeight="false" outlineLevel="0" collapsed="false">
      <c r="A70" s="0" t="s">
        <v>876</v>
      </c>
      <c r="B70" s="0" t="s">
        <v>852</v>
      </c>
      <c r="C70" s="14" t="n">
        <f aca="false">INDEX(Schedules!$C$12:$AL$12,C$18)</f>
        <v>0</v>
      </c>
      <c r="D70" s="14" t="n">
        <f aca="false">INDEX(Schedules!$C$12:$AL$12,D$18)</f>
        <v>0</v>
      </c>
      <c r="E70" s="14" t="n">
        <f aca="false">INDEX(Schedules!$C$12:$AL$12,E$18)</f>
        <v>0</v>
      </c>
      <c r="F70" s="14" t="n">
        <f aca="false">INDEX(Schedules!$C$12:$AL$12,F$18)</f>
        <v>0</v>
      </c>
      <c r="G70" s="14" t="n">
        <f aca="false">INDEX(Schedules!$C$12:$AL$12,G$18)</f>
        <v>0</v>
      </c>
      <c r="H70" s="14" t="n">
        <f aca="false">INDEX(Schedules!$C$12:$AL$12,H$18)</f>
        <v>0</v>
      </c>
      <c r="I70" s="14" t="n">
        <f aca="false">INDEX(Schedules!$C$12:$AL$12,I$18)</f>
        <v>0</v>
      </c>
      <c r="J70" s="14" t="n">
        <f aca="false">INDEX(Schedules!$C$12:$AL$12,J$18)</f>
        <v>1</v>
      </c>
      <c r="K70" s="14" t="n">
        <f aca="false">INDEX(Schedules!$C$12:$AL$12,K$18)</f>
        <v>0</v>
      </c>
      <c r="L70" s="14" t="n">
        <f aca="false">INDEX(Schedules!$C$12:$AL$12,L$18)</f>
        <v>0</v>
      </c>
      <c r="M70" s="14" t="n">
        <f aca="false">INDEX(Schedules!$C$12:$AL$12,M$18)</f>
        <v>0</v>
      </c>
      <c r="N70" s="14" t="n">
        <f aca="false">INDEX(Schedules!$C$12:$AL$12,N$18)</f>
        <v>0</v>
      </c>
      <c r="O70" s="14" t="n">
        <f aca="false">INDEX(Schedules!$C$12:$AL$12,O$18)</f>
        <v>0</v>
      </c>
      <c r="P70" s="14" t="n">
        <f aca="false">INDEX(Schedules!$C$12:$AL$12,P$18)</f>
        <v>0</v>
      </c>
      <c r="Q70" s="14" t="n">
        <f aca="false">INDEX(Schedules!$C$12:$AL$12,Q$18)</f>
        <v>0</v>
      </c>
      <c r="R70" s="14" t="n">
        <f aca="false">INDEX(Schedules!$C$12:$AL$12,R$18)</f>
        <v>0</v>
      </c>
      <c r="S70" s="14" t="n">
        <f aca="false">INDEX(Schedules!$C$12:$AL$12,S$18)</f>
        <v>0</v>
      </c>
      <c r="T70" s="14" t="n">
        <f aca="false">INDEX(Schedules!$C$12:$AL$12,T$18)</f>
        <v>0</v>
      </c>
      <c r="U70" s="14" t="n">
        <f aca="false">INDEX(Schedules!$C$12:$AL$12,U$18)</f>
        <v>0</v>
      </c>
      <c r="V70" s="14" t="n">
        <f aca="false">INDEX(Schedules!$C$12:$AL$12,V$18)</f>
        <v>0</v>
      </c>
      <c r="W70" s="14" t="n">
        <f aca="false">INDEX(Schedules!$C$12:$AL$12,W$18)</f>
        <v>0</v>
      </c>
      <c r="X70" s="14" t="n">
        <f aca="false">INDEX(Schedules!$C$12:$AL$12,X$18)</f>
        <v>0</v>
      </c>
      <c r="Y70" s="14" t="n">
        <f aca="false">INDEX(Schedules!$C$12:$AL$12,Y$18)</f>
        <v>0</v>
      </c>
      <c r="Z70" s="14" t="n">
        <f aca="false">INDEX(Schedules!$C$12:$AL$12,Z$18)</f>
        <v>0</v>
      </c>
      <c r="AA70" s="14" t="n">
        <f aca="false">INDEX(Schedules!$C$12:$AL$12,AA$18)</f>
        <v>0</v>
      </c>
      <c r="AB70" s="14" t="n">
        <f aca="false">INDEX(Schedules!$C$12:$AL$12,AB$18)</f>
        <v>0</v>
      </c>
      <c r="AC70" s="14" t="n">
        <f aca="false">INDEX(Schedules!$C$12:$AL$12,AC$18)</f>
        <v>0</v>
      </c>
      <c r="AD70" s="14" t="n">
        <f aca="false">INDEX(Schedules!$C$12:$AL$12,AD$18)</f>
        <v>0</v>
      </c>
      <c r="AE70" s="14" t="n">
        <f aca="false">INDEX(Schedules!$C$12:$AL$12,AE$18)</f>
        <v>0</v>
      </c>
      <c r="AF70" s="14" t="n">
        <f aca="false">INDEX(Schedules!$C$12:$AL$12,AF$18)</f>
        <v>0</v>
      </c>
      <c r="AG70" s="14" t="n">
        <f aca="false">INDEX(Schedules!$C$12:$AL$12,AG$18)</f>
        <v>0</v>
      </c>
      <c r="AH70" s="14" t="n">
        <f aca="false">INDEX(Schedules!$C$12:$AL$12,AH$18)</f>
        <v>0</v>
      </c>
      <c r="AI70" s="14" t="n">
        <f aca="false">INDEX(Schedules!$C$12:$AL$12,AI$18)</f>
        <v>0</v>
      </c>
      <c r="AJ70" s="14" t="n">
        <f aca="false">INDEX(Schedules!$C$12:$AL$12,AJ$18)</f>
        <v>0</v>
      </c>
      <c r="AK70" s="14" t="n">
        <f aca="false">INDEX(Schedules!$C$12:$AL$12,AK$18)</f>
        <v>0</v>
      </c>
      <c r="AL70" s="14" t="n">
        <f aca="false">INDEX(Schedules!$C$12:$AL$12,AL$18)</f>
        <v>0</v>
      </c>
      <c r="AN70" s="36" t="n">
        <f aca="false">SUM(C70:N70)</f>
        <v>1</v>
      </c>
      <c r="AO70" s="36" t="n">
        <f aca="false">SUM(O70:Z70)</f>
        <v>0</v>
      </c>
      <c r="AP70" s="36" t="n">
        <f aca="false">SUM(AA70:AL70)</f>
        <v>0</v>
      </c>
    </row>
    <row r="71" customFormat="false" ht="15" hidden="false" customHeight="false" outlineLevel="0" collapsed="false">
      <c r="A71" s="0" t="s">
        <v>877</v>
      </c>
      <c r="B71" s="0" t="s">
        <v>852</v>
      </c>
      <c r="C71" s="14" t="n">
        <f aca="false">(C69+C70)</f>
        <v>0</v>
      </c>
      <c r="D71" s="14" t="n">
        <f aca="false">(D69+D70)</f>
        <v>0</v>
      </c>
      <c r="E71" s="14" t="n">
        <f aca="false">(E69+E70)</f>
        <v>0</v>
      </c>
      <c r="F71" s="14" t="n">
        <f aca="false">(F69+F70)</f>
        <v>0</v>
      </c>
      <c r="G71" s="14" t="n">
        <f aca="false">(G69+G70)</f>
        <v>0</v>
      </c>
      <c r="H71" s="14" t="n">
        <f aca="false">(H69+H70)</f>
        <v>0</v>
      </c>
      <c r="I71" s="14" t="n">
        <f aca="false">(I69+I70)</f>
        <v>0</v>
      </c>
      <c r="J71" s="14" t="n">
        <f aca="false">(J69+J70)</f>
        <v>1</v>
      </c>
      <c r="K71" s="14" t="n">
        <f aca="false">(K69+K70)</f>
        <v>0</v>
      </c>
      <c r="L71" s="14" t="n">
        <f aca="false">(L69+L70)</f>
        <v>0</v>
      </c>
      <c r="M71" s="14" t="n">
        <f aca="false">(M69+M70)</f>
        <v>0</v>
      </c>
      <c r="N71" s="14" t="n">
        <f aca="false">(N69+N70)</f>
        <v>0</v>
      </c>
      <c r="O71" s="14" t="n">
        <f aca="false">(O69+O70)</f>
        <v>0</v>
      </c>
      <c r="P71" s="14" t="n">
        <f aca="false">(P69+P70)</f>
        <v>0</v>
      </c>
      <c r="Q71" s="14" t="n">
        <f aca="false">(Q69+Q70)</f>
        <v>0</v>
      </c>
      <c r="R71" s="14" t="n">
        <f aca="false">(R69+R70)</f>
        <v>1</v>
      </c>
      <c r="S71" s="14" t="n">
        <f aca="false">(S69+S70)</f>
        <v>0</v>
      </c>
      <c r="T71" s="14" t="n">
        <f aca="false">(T69+T70)</f>
        <v>0</v>
      </c>
      <c r="U71" s="14" t="n">
        <f aca="false">(U69+U70)</f>
        <v>1</v>
      </c>
      <c r="V71" s="14" t="n">
        <f aca="false">(V69+V70)</f>
        <v>0</v>
      </c>
      <c r="W71" s="14" t="n">
        <f aca="false">(W69+W70)</f>
        <v>0</v>
      </c>
      <c r="X71" s="14" t="n">
        <f aca="false">(X69+X70)</f>
        <v>1</v>
      </c>
      <c r="Y71" s="14" t="n">
        <f aca="false">(Y69+Y70)</f>
        <v>0</v>
      </c>
      <c r="Z71" s="14" t="n">
        <f aca="false">(Z69+Z70)</f>
        <v>0</v>
      </c>
      <c r="AA71" s="14" t="n">
        <f aca="false">(AA69+AA70)</f>
        <v>1</v>
      </c>
      <c r="AB71" s="14" t="n">
        <f aca="false">(AB69+AB70)</f>
        <v>0</v>
      </c>
      <c r="AC71" s="14" t="n">
        <f aca="false">(AC69+AC70)</f>
        <v>0</v>
      </c>
      <c r="AD71" s="14" t="n">
        <f aca="false">(AD69+AD70)</f>
        <v>2</v>
      </c>
      <c r="AE71" s="14" t="n">
        <f aca="false">(AE69+AE70)</f>
        <v>0</v>
      </c>
      <c r="AF71" s="14" t="n">
        <f aca="false">(AF69+AF70)</f>
        <v>0</v>
      </c>
      <c r="AG71" s="14" t="n">
        <f aca="false">(AG69+AG70)</f>
        <v>2</v>
      </c>
      <c r="AH71" s="14" t="n">
        <f aca="false">(AH69+AH70)</f>
        <v>0</v>
      </c>
      <c r="AI71" s="14" t="n">
        <f aca="false">(AI69+AI70)</f>
        <v>0</v>
      </c>
      <c r="AJ71" s="14" t="n">
        <f aca="false">(AJ69+AJ70)</f>
        <v>2</v>
      </c>
      <c r="AK71" s="14" t="n">
        <f aca="false">(AK69+AK70)</f>
        <v>0</v>
      </c>
      <c r="AL71" s="14" t="n">
        <f aca="false">(AL69+AL70)</f>
        <v>0</v>
      </c>
      <c r="AN71" s="36" t="n">
        <f aca="false">SUM(C71:N71)</f>
        <v>1</v>
      </c>
      <c r="AO71" s="36" t="n">
        <f aca="false">SUM(O71:Z71)</f>
        <v>3</v>
      </c>
      <c r="AP71" s="36" t="n">
        <f aca="false">SUM(AA71:AL71)</f>
        <v>7</v>
      </c>
    </row>
    <row r="72" customFormat="false" ht="15" hidden="false" customHeight="false" outlineLevel="0" collapsed="false">
      <c r="A72" s="0" t="s">
        <v>878</v>
      </c>
      <c r="B72" s="0" t="s">
        <v>852</v>
      </c>
      <c r="C72" s="14" t="n">
        <f aca="false">((IF(OR((C$18-(Assumptions!$C$8-1)-$C$9)&lt;1,(C$18-(Assumptions!$C$8-1)-$C$9)&gt;36),0,INDEX(Schedules!$C$9:$AL$9,(C$18-(Assumptions!$C$8-1)-$C$9)))*$C$7)*C44)</f>
        <v>0</v>
      </c>
      <c r="D72" s="14" t="n">
        <f aca="false">((IF(OR((D$18-(Assumptions!$C$8-1)-$C$9)&lt;1,(D$18-(Assumptions!$C$8-1)-$C$9)&gt;36),0,INDEX(Schedules!$C$9:$AL$9,(D$18-(Assumptions!$C$8-1)-$C$9)))*$C$7)*D44)</f>
        <v>0</v>
      </c>
      <c r="E72" s="14" t="n">
        <f aca="false">((IF(OR((E$18-(Assumptions!$C$8-1)-$C$9)&lt;1,(E$18-(Assumptions!$C$8-1)-$C$9)&gt;36),0,INDEX(Schedules!$C$9:$AL$9,(E$18-(Assumptions!$C$8-1)-$C$9)))*$C$7)*E44)</f>
        <v>0</v>
      </c>
      <c r="F72" s="14" t="n">
        <f aca="false">((IF(OR((F$18-(Assumptions!$C$8-1)-$C$9)&lt;1,(F$18-(Assumptions!$C$8-1)-$C$9)&gt;36),0,INDEX(Schedules!$C$9:$AL$9,(F$18-(Assumptions!$C$8-1)-$C$9)))*$C$7)*F44)</f>
        <v>0</v>
      </c>
      <c r="G72" s="14" t="n">
        <f aca="false">((IF(OR((G$18-(Assumptions!$C$8-1)-$C$9)&lt;1,(G$18-(Assumptions!$C$8-1)-$C$9)&gt;36),0,INDEX(Schedules!$C$9:$AL$9,(G$18-(Assumptions!$C$8-1)-$C$9)))*$C$7)*G44)</f>
        <v>0</v>
      </c>
      <c r="H72" s="14" t="n">
        <f aca="false">((IF(OR((H$18-(Assumptions!$C$8-1)-$C$9)&lt;1,(H$18-(Assumptions!$C$8-1)-$C$9)&gt;36),0,INDEX(Schedules!$C$9:$AL$9,(H$18-(Assumptions!$C$8-1)-$C$9)))*$C$7)*H44)</f>
        <v>0</v>
      </c>
      <c r="I72" s="14" t="n">
        <f aca="false">((IF(OR((I$18-(Assumptions!$C$8-1)-$C$9)&lt;1,(I$18-(Assumptions!$C$8-1)-$C$9)&gt;36),0,INDEX(Schedules!$C$9:$AL$9,(I$18-(Assumptions!$C$8-1)-$C$9)))*$C$7)*I44)</f>
        <v>0</v>
      </c>
      <c r="J72" s="14" t="n">
        <f aca="false">((IF(OR((J$18-(Assumptions!$C$8-1)-$C$9)&lt;1,(J$18-(Assumptions!$C$8-1)-$C$9)&gt;36),0,INDEX(Schedules!$C$9:$AL$9,(J$18-(Assumptions!$C$8-1)-$C$9)))*$C$7)*J44)</f>
        <v>0</v>
      </c>
      <c r="K72" s="14" t="n">
        <f aca="false">((IF(OR((K$18-(Assumptions!$C$8-1)-$C$9)&lt;1,(K$18-(Assumptions!$C$8-1)-$C$9)&gt;36),0,INDEX(Schedules!$C$9:$AL$9,(K$18-(Assumptions!$C$8-1)-$C$9)))*$C$7)*K44)</f>
        <v>0</v>
      </c>
      <c r="L72" s="14" t="n">
        <f aca="false">((IF(OR((L$18-(Assumptions!$C$8-1)-$C$9)&lt;1,(L$18-(Assumptions!$C$8-1)-$C$9)&gt;36),0,INDEX(Schedules!$C$9:$AL$9,(L$18-(Assumptions!$C$8-1)-$C$9)))*$C$7)*L44)</f>
        <v>0</v>
      </c>
      <c r="M72" s="14" t="n">
        <f aca="false">((IF(OR((M$18-(Assumptions!$C$8-1)-$C$9)&lt;1,(M$18-(Assumptions!$C$8-1)-$C$9)&gt;36),0,INDEX(Schedules!$C$9:$AL$9,(M$18-(Assumptions!$C$8-1)-$C$9)))*$C$7)*M44)</f>
        <v>0</v>
      </c>
      <c r="N72" s="14" t="n">
        <f aca="false">((IF(OR((N$18-(Assumptions!$C$8-1)-$C$9)&lt;1,(N$18-(Assumptions!$C$8-1)-$C$9)&gt;36),0,INDEX(Schedules!$C$9:$AL$9,(N$18-(Assumptions!$C$8-1)-$C$9)))*$C$7)*N44)</f>
        <v>0</v>
      </c>
      <c r="O72" s="14" t="n">
        <f aca="false">((IF(OR((O$18-(Assumptions!$C$8-1)-$C$9)&lt;1,(O$18-(Assumptions!$C$8-1)-$C$9)&gt;36),0,INDEX(Schedules!$C$9:$AL$9,(O$18-(Assumptions!$C$8-1)-$C$9)))*$C$7)*O44)</f>
        <v>0</v>
      </c>
      <c r="P72" s="14" t="n">
        <f aca="false">((IF(OR((P$18-(Assumptions!$C$8-1)-$C$9)&lt;1,(P$18-(Assumptions!$C$8-1)-$C$9)&gt;36),0,INDEX(Schedules!$C$9:$AL$9,(P$18-(Assumptions!$C$8-1)-$C$9)))*$C$7)*P44)</f>
        <v>0</v>
      </c>
      <c r="Q72" s="14" t="n">
        <f aca="false">((IF(OR((Q$18-(Assumptions!$C$8-1)-$C$9)&lt;1,(Q$18-(Assumptions!$C$8-1)-$C$9)&gt;36),0,INDEX(Schedules!$C$9:$AL$9,(Q$18-(Assumptions!$C$8-1)-$C$9)))*$C$7)*Q44)</f>
        <v>0</v>
      </c>
      <c r="R72" s="14" t="n">
        <f aca="false">((IF(OR((R$18-(Assumptions!$C$8-1)-$C$9)&lt;1,(R$18-(Assumptions!$C$8-1)-$C$9)&gt;36),0,INDEX(Schedules!$C$9:$AL$9,(R$18-(Assumptions!$C$8-1)-$C$9)))*$C$7)*R44)</f>
        <v>0</v>
      </c>
      <c r="S72" s="14" t="n">
        <f aca="false">((IF(OR((S$18-(Assumptions!$C$8-1)-$C$9)&lt;1,(S$18-(Assumptions!$C$8-1)-$C$9)&gt;36),0,INDEX(Schedules!$C$9:$AL$9,(S$18-(Assumptions!$C$8-1)-$C$9)))*$C$7)*S44)</f>
        <v>0</v>
      </c>
      <c r="T72" s="14" t="n">
        <f aca="false">((IF(OR((T$18-(Assumptions!$C$8-1)-$C$9)&lt;1,(T$18-(Assumptions!$C$8-1)-$C$9)&gt;36),0,INDEX(Schedules!$C$9:$AL$9,(T$18-(Assumptions!$C$8-1)-$C$9)))*$C$7)*T44)</f>
        <v>0</v>
      </c>
      <c r="U72" s="14" t="n">
        <f aca="false">((IF(OR((U$18-(Assumptions!$C$8-1)-$C$9)&lt;1,(U$18-(Assumptions!$C$8-1)-$C$9)&gt;36),0,INDEX(Schedules!$C$9:$AL$9,(U$18-(Assumptions!$C$8-1)-$C$9)))*$C$7)*U44)</f>
        <v>0</v>
      </c>
      <c r="V72" s="14" t="n">
        <f aca="false">((IF(OR((V$18-(Assumptions!$C$8-1)-$C$9)&lt;1,(V$18-(Assumptions!$C$8-1)-$C$9)&gt;36),0,INDEX(Schedules!$C$9:$AL$9,(V$18-(Assumptions!$C$8-1)-$C$9)))*$C$7)*V44)</f>
        <v>0</v>
      </c>
      <c r="W72" s="14" t="n">
        <f aca="false">((IF(OR((W$18-(Assumptions!$C$8-1)-$C$9)&lt;1,(W$18-(Assumptions!$C$8-1)-$C$9)&gt;36),0,INDEX(Schedules!$C$9:$AL$9,(W$18-(Assumptions!$C$8-1)-$C$9)))*$C$7)*W44)</f>
        <v>0</v>
      </c>
      <c r="X72" s="14" t="n">
        <f aca="false">((IF(OR((X$18-(Assumptions!$C$8-1)-$C$9)&lt;1,(X$18-(Assumptions!$C$8-1)-$C$9)&gt;36),0,INDEX(Schedules!$C$9:$AL$9,(X$18-(Assumptions!$C$8-1)-$C$9)))*$C$7)*X44)</f>
        <v>0</v>
      </c>
      <c r="Y72" s="14" t="n">
        <f aca="false">((IF(OR((Y$18-(Assumptions!$C$8-1)-$C$9)&lt;1,(Y$18-(Assumptions!$C$8-1)-$C$9)&gt;36),0,INDEX(Schedules!$C$9:$AL$9,(Y$18-(Assumptions!$C$8-1)-$C$9)))*$C$7)*Y44)</f>
        <v>0</v>
      </c>
      <c r="Z72" s="14" t="n">
        <f aca="false">((IF(OR((Z$18-(Assumptions!$C$8-1)-$C$9)&lt;1,(Z$18-(Assumptions!$C$8-1)-$C$9)&gt;36),0,INDEX(Schedules!$C$9:$AL$9,(Z$18-(Assumptions!$C$8-1)-$C$9)))*$C$7)*Z44)</f>
        <v>0</v>
      </c>
      <c r="AA72" s="14" t="n">
        <f aca="false">((IF(OR((AA$18-(Assumptions!$C$8-1)-$C$9)&lt;1,(AA$18-(Assumptions!$C$8-1)-$C$9)&gt;36),0,INDEX(Schedules!$C$9:$AL$9,(AA$18-(Assumptions!$C$8-1)-$C$9)))*$C$7)*AA44)</f>
        <v>0</v>
      </c>
      <c r="AB72" s="14" t="n">
        <f aca="false">((IF(OR((AB$18-(Assumptions!$C$8-1)-$C$9)&lt;1,(AB$18-(Assumptions!$C$8-1)-$C$9)&gt;36),0,INDEX(Schedules!$C$9:$AL$9,(AB$18-(Assumptions!$C$8-1)-$C$9)))*$C$7)*AB44)</f>
        <v>1</v>
      </c>
      <c r="AC72" s="14" t="n">
        <f aca="false">((IF(OR((AC$18-(Assumptions!$C$8-1)-$C$9)&lt;1,(AC$18-(Assumptions!$C$8-1)-$C$9)&gt;36),0,INDEX(Schedules!$C$9:$AL$9,(AC$18-(Assumptions!$C$8-1)-$C$9)))*$C$7)*AC44)</f>
        <v>0</v>
      </c>
      <c r="AD72" s="14" t="n">
        <f aca="false">((IF(OR((AD$18-(Assumptions!$C$8-1)-$C$9)&lt;1,(AD$18-(Assumptions!$C$8-1)-$C$9)&gt;36),0,INDEX(Schedules!$C$9:$AL$9,(AD$18-(Assumptions!$C$8-1)-$C$9)))*$C$7)*AD44)</f>
        <v>0</v>
      </c>
      <c r="AE72" s="14" t="n">
        <f aca="false">((IF(OR((AE$18-(Assumptions!$C$8-1)-$C$9)&lt;1,(AE$18-(Assumptions!$C$8-1)-$C$9)&gt;36),0,INDEX(Schedules!$C$9:$AL$9,(AE$18-(Assumptions!$C$8-1)-$C$9)))*$C$7)*AE44)</f>
        <v>1</v>
      </c>
      <c r="AF72" s="14" t="n">
        <f aca="false">((IF(OR((AF$18-(Assumptions!$C$8-1)-$C$9)&lt;1,(AF$18-(Assumptions!$C$8-1)-$C$9)&gt;36),0,INDEX(Schedules!$C$9:$AL$9,(AF$18-(Assumptions!$C$8-1)-$C$9)))*$C$7)*AF44)</f>
        <v>0</v>
      </c>
      <c r="AG72" s="14" t="n">
        <f aca="false">((IF(OR((AG$18-(Assumptions!$C$8-1)-$C$9)&lt;1,(AG$18-(Assumptions!$C$8-1)-$C$9)&gt;36),0,INDEX(Schedules!$C$9:$AL$9,(AG$18-(Assumptions!$C$8-1)-$C$9)))*$C$7)*AG44)</f>
        <v>0</v>
      </c>
      <c r="AH72" s="14" t="n">
        <f aca="false">((IF(OR((AH$18-(Assumptions!$C$8-1)-$C$9)&lt;1,(AH$18-(Assumptions!$C$8-1)-$C$9)&gt;36),0,INDEX(Schedules!$C$9:$AL$9,(AH$18-(Assumptions!$C$8-1)-$C$9)))*$C$7)*AH44)</f>
        <v>1</v>
      </c>
      <c r="AI72" s="14" t="n">
        <f aca="false">((IF(OR((AI$18-(Assumptions!$C$8-1)-$C$9)&lt;1,(AI$18-(Assumptions!$C$8-1)-$C$9)&gt;36),0,INDEX(Schedules!$C$9:$AL$9,(AI$18-(Assumptions!$C$8-1)-$C$9)))*$C$7)*AI44)</f>
        <v>0</v>
      </c>
      <c r="AJ72" s="14" t="n">
        <f aca="false">((IF(OR((AJ$18-(Assumptions!$C$8-1)-$C$9)&lt;1,(AJ$18-(Assumptions!$C$8-1)-$C$9)&gt;36),0,INDEX(Schedules!$C$9:$AL$9,(AJ$18-(Assumptions!$C$8-1)-$C$9)))*$C$7)*AJ44)</f>
        <v>0</v>
      </c>
      <c r="AK72" s="14" t="n">
        <f aca="false">((IF(OR((AK$18-(Assumptions!$C$8-1)-$C$9)&lt;1,(AK$18-(Assumptions!$C$8-1)-$C$9)&gt;36),0,INDEX(Schedules!$C$9:$AL$9,(AK$18-(Assumptions!$C$8-1)-$C$9)))*$C$7)*AK44)</f>
        <v>2</v>
      </c>
      <c r="AL72" s="14" t="n">
        <f aca="false">((IF(OR((AL$18-(Assumptions!$C$8-1)-$C$9)&lt;1,(AL$18-(Assumptions!$C$8-1)-$C$9)&gt;36),0,INDEX(Schedules!$C$9:$AL$9,(AL$18-(Assumptions!$C$8-1)-$C$9)))*$C$7)*AL44)</f>
        <v>0</v>
      </c>
      <c r="AN72" s="36" t="n">
        <f aca="false">SUM(C72:N72)</f>
        <v>0</v>
      </c>
      <c r="AO72" s="36" t="n">
        <f aca="false">SUM(O72:Z72)</f>
        <v>0</v>
      </c>
      <c r="AP72" s="36" t="n">
        <f aca="false">SUM(AA72:AL72)</f>
        <v>5</v>
      </c>
    </row>
    <row r="73" customFormat="false" ht="15" hidden="false" customHeight="false" outlineLevel="0" collapsed="false">
      <c r="A73" s="0" t="s">
        <v>879</v>
      </c>
      <c r="B73" s="0" t="s">
        <v>852</v>
      </c>
      <c r="C73" s="14" t="n">
        <f aca="false">(C69+C72)</f>
        <v>0</v>
      </c>
      <c r="D73" s="14" t="n">
        <f aca="false">(D69+D72)</f>
        <v>0</v>
      </c>
      <c r="E73" s="14" t="n">
        <f aca="false">(E69+E72)</f>
        <v>0</v>
      </c>
      <c r="F73" s="14" t="n">
        <f aca="false">(F69+F72)</f>
        <v>0</v>
      </c>
      <c r="G73" s="14" t="n">
        <f aca="false">(G69+G72)</f>
        <v>0</v>
      </c>
      <c r="H73" s="14" t="n">
        <f aca="false">(H69+H72)</f>
        <v>0</v>
      </c>
      <c r="I73" s="14" t="n">
        <f aca="false">(I69+I72)</f>
        <v>0</v>
      </c>
      <c r="J73" s="14" t="n">
        <f aca="false">(J69+J72)</f>
        <v>0</v>
      </c>
      <c r="K73" s="14" t="n">
        <f aca="false">(K69+K72)</f>
        <v>0</v>
      </c>
      <c r="L73" s="14" t="n">
        <f aca="false">(L69+L72)</f>
        <v>0</v>
      </c>
      <c r="M73" s="14" t="n">
        <f aca="false">(M69+M72)</f>
        <v>0</v>
      </c>
      <c r="N73" s="14" t="n">
        <f aca="false">(N69+N72)</f>
        <v>0</v>
      </c>
      <c r="O73" s="14" t="n">
        <f aca="false">(O69+O72)</f>
        <v>0</v>
      </c>
      <c r="P73" s="14" t="n">
        <f aca="false">(P69+P72)</f>
        <v>0</v>
      </c>
      <c r="Q73" s="14" t="n">
        <f aca="false">(Q69+Q72)</f>
        <v>0</v>
      </c>
      <c r="R73" s="14" t="n">
        <f aca="false">(R69+R72)</f>
        <v>1</v>
      </c>
      <c r="S73" s="14" t="n">
        <f aca="false">(S69+S72)</f>
        <v>0</v>
      </c>
      <c r="T73" s="14" t="n">
        <f aca="false">(T69+T72)</f>
        <v>0</v>
      </c>
      <c r="U73" s="14" t="n">
        <f aca="false">(U69+U72)</f>
        <v>1</v>
      </c>
      <c r="V73" s="14" t="n">
        <f aca="false">(V69+V72)</f>
        <v>0</v>
      </c>
      <c r="W73" s="14" t="n">
        <f aca="false">(W69+W72)</f>
        <v>0</v>
      </c>
      <c r="X73" s="14" t="n">
        <f aca="false">(X69+X72)</f>
        <v>1</v>
      </c>
      <c r="Y73" s="14" t="n">
        <f aca="false">(Y69+Y72)</f>
        <v>0</v>
      </c>
      <c r="Z73" s="14" t="n">
        <f aca="false">(Z69+Z72)</f>
        <v>0</v>
      </c>
      <c r="AA73" s="14" t="n">
        <f aca="false">(AA69+AA72)</f>
        <v>1</v>
      </c>
      <c r="AB73" s="14" t="n">
        <f aca="false">(AB69+AB72)</f>
        <v>1</v>
      </c>
      <c r="AC73" s="14" t="n">
        <f aca="false">(AC69+AC72)</f>
        <v>0</v>
      </c>
      <c r="AD73" s="14" t="n">
        <f aca="false">(AD69+AD72)</f>
        <v>2</v>
      </c>
      <c r="AE73" s="14" t="n">
        <f aca="false">(AE69+AE72)</f>
        <v>1</v>
      </c>
      <c r="AF73" s="14" t="n">
        <f aca="false">(AF69+AF72)</f>
        <v>0</v>
      </c>
      <c r="AG73" s="14" t="n">
        <f aca="false">(AG69+AG72)</f>
        <v>2</v>
      </c>
      <c r="AH73" s="14" t="n">
        <f aca="false">(AH69+AH72)</f>
        <v>1</v>
      </c>
      <c r="AI73" s="14" t="n">
        <f aca="false">(AI69+AI72)</f>
        <v>0</v>
      </c>
      <c r="AJ73" s="14" t="n">
        <f aca="false">(AJ69+AJ72)</f>
        <v>2</v>
      </c>
      <c r="AK73" s="14" t="n">
        <f aca="false">(AK69+AK72)</f>
        <v>2</v>
      </c>
      <c r="AL73" s="14" t="n">
        <f aca="false">(AL69+AL72)</f>
        <v>0</v>
      </c>
      <c r="AN73" s="36" t="n">
        <f aca="false">SUM(C73:N73)</f>
        <v>0</v>
      </c>
      <c r="AO73" s="36" t="n">
        <f aca="false">SUM(O73:Z73)</f>
        <v>3</v>
      </c>
      <c r="AP73" s="36" t="n">
        <f aca="false">SUM(AA73:AL73)</f>
        <v>12</v>
      </c>
    </row>
    <row r="74" customFormat="false" ht="15" hidden="false" customHeight="false" outlineLevel="0" collapsed="false">
      <c r="A74" s="0" t="s">
        <v>880</v>
      </c>
      <c r="B74" s="0" t="s">
        <v>852</v>
      </c>
      <c r="C74" s="14" t="n">
        <f aca="false">C71</f>
        <v>0</v>
      </c>
      <c r="D74" s="14" t="n">
        <f aca="false">SUM(C71:D71)</f>
        <v>0</v>
      </c>
      <c r="E74" s="14" t="n">
        <f aca="false">SUM(C71:E71)</f>
        <v>0</v>
      </c>
      <c r="F74" s="14" t="n">
        <f aca="false">SUM(C71:F71)</f>
        <v>0</v>
      </c>
      <c r="G74" s="14" t="n">
        <f aca="false">SUM(C71:G71)</f>
        <v>0</v>
      </c>
      <c r="H74" s="14" t="n">
        <f aca="false">SUM(C71:H71)</f>
        <v>0</v>
      </c>
      <c r="I74" s="14" t="n">
        <f aca="false">SUM(D71:I71)</f>
        <v>0</v>
      </c>
      <c r="J74" s="14" t="n">
        <f aca="false">SUM(E71:J71)</f>
        <v>1</v>
      </c>
      <c r="K74" s="14" t="n">
        <f aca="false">SUM(F71:K71)</f>
        <v>1</v>
      </c>
      <c r="L74" s="14" t="n">
        <f aca="false">SUM(G71:L71)</f>
        <v>1</v>
      </c>
      <c r="M74" s="14" t="n">
        <f aca="false">SUM(H71:M71)</f>
        <v>1</v>
      </c>
      <c r="N74" s="14" t="n">
        <f aca="false">SUM(I71:N71)</f>
        <v>1</v>
      </c>
      <c r="O74" s="14" t="n">
        <f aca="false">SUM(J71:O71)</f>
        <v>1</v>
      </c>
      <c r="P74" s="14" t="n">
        <f aca="false">SUM(K71:P71)</f>
        <v>0</v>
      </c>
      <c r="Q74" s="14" t="n">
        <f aca="false">SUM(L71:Q71)</f>
        <v>0</v>
      </c>
      <c r="R74" s="14" t="n">
        <f aca="false">SUM(M71:R71)</f>
        <v>1</v>
      </c>
      <c r="S74" s="14" t="n">
        <f aca="false">SUM(N71:S71)</f>
        <v>1</v>
      </c>
      <c r="T74" s="14" t="n">
        <f aca="false">SUM(O71:T71)</f>
        <v>1</v>
      </c>
      <c r="U74" s="14" t="n">
        <f aca="false">SUM(P71:U71)</f>
        <v>2</v>
      </c>
      <c r="V74" s="14" t="n">
        <f aca="false">SUM(Q71:V71)</f>
        <v>2</v>
      </c>
      <c r="W74" s="14" t="n">
        <f aca="false">SUM(R71:W71)</f>
        <v>2</v>
      </c>
      <c r="X74" s="14" t="n">
        <f aca="false">SUM(S71:X71)</f>
        <v>2</v>
      </c>
      <c r="Y74" s="14" t="n">
        <f aca="false">SUM(T71:Y71)</f>
        <v>2</v>
      </c>
      <c r="Z74" s="14" t="n">
        <f aca="false">SUM(U71:Z71)</f>
        <v>2</v>
      </c>
      <c r="AA74" s="14" t="n">
        <f aca="false">SUM(V71:AA71)</f>
        <v>2</v>
      </c>
      <c r="AB74" s="14" t="n">
        <f aca="false">SUM(W71:AB71)</f>
        <v>2</v>
      </c>
      <c r="AC74" s="14" t="n">
        <f aca="false">SUM(X71:AC71)</f>
        <v>2</v>
      </c>
      <c r="AD74" s="14" t="n">
        <f aca="false">SUM(Y71:AD71)</f>
        <v>3</v>
      </c>
      <c r="AE74" s="14" t="n">
        <f aca="false">SUM(Z71:AE71)</f>
        <v>3</v>
      </c>
      <c r="AF74" s="14" t="n">
        <f aca="false">SUM(AA71:AF71)</f>
        <v>3</v>
      </c>
      <c r="AG74" s="14" t="n">
        <f aca="false">SUM(AB71:AG71)</f>
        <v>4</v>
      </c>
      <c r="AH74" s="14" t="n">
        <f aca="false">SUM(AC71:AH71)</f>
        <v>4</v>
      </c>
      <c r="AI74" s="14" t="n">
        <f aca="false">SUM(AD71:AI71)</f>
        <v>4</v>
      </c>
      <c r="AJ74" s="14" t="n">
        <f aca="false">SUM(AE71:AJ71)</f>
        <v>4</v>
      </c>
      <c r="AK74" s="14" t="n">
        <f aca="false">SUM(AF71:AK71)</f>
        <v>4</v>
      </c>
      <c r="AL74" s="14" t="n">
        <f aca="false">SUM(AG71:AL71)</f>
        <v>4</v>
      </c>
      <c r="AN74" s="36" t="n">
        <f aca="false">N74</f>
        <v>1</v>
      </c>
      <c r="AO74" s="36" t="n">
        <f aca="false">Z74</f>
        <v>2</v>
      </c>
      <c r="AP74" s="36" t="n">
        <f aca="false">AL74</f>
        <v>4</v>
      </c>
    </row>
    <row r="75" customFormat="false" ht="15" hidden="false" customHeight="false" outlineLevel="0" collapsed="false">
      <c r="A75" s="0" t="s">
        <v>881</v>
      </c>
      <c r="B75" s="0" t="s">
        <v>852</v>
      </c>
      <c r="C75" s="14" t="n">
        <f aca="false">C69</f>
        <v>0</v>
      </c>
      <c r="D75" s="14" t="n">
        <f aca="false">SUM(C69:D69)</f>
        <v>0</v>
      </c>
      <c r="E75" s="14" t="n">
        <f aca="false">SUM(C69:E69)</f>
        <v>0</v>
      </c>
      <c r="F75" s="14" t="n">
        <f aca="false">SUM(C69:F69)</f>
        <v>0</v>
      </c>
      <c r="G75" s="14" t="n">
        <f aca="false">SUM(C69:G69)</f>
        <v>0</v>
      </c>
      <c r="H75" s="14" t="n">
        <f aca="false">SUM(C69:H69)</f>
        <v>0</v>
      </c>
      <c r="I75" s="14" t="n">
        <f aca="false">SUM(D69:I69)</f>
        <v>0</v>
      </c>
      <c r="J75" s="14" t="n">
        <f aca="false">SUM(E69:J69)</f>
        <v>0</v>
      </c>
      <c r="K75" s="14" t="n">
        <f aca="false">SUM(F69:K69)</f>
        <v>0</v>
      </c>
      <c r="L75" s="14" t="n">
        <f aca="false">SUM(G69:L69)</f>
        <v>0</v>
      </c>
      <c r="M75" s="14" t="n">
        <f aca="false">SUM(H69:M69)</f>
        <v>0</v>
      </c>
      <c r="N75" s="14" t="n">
        <f aca="false">SUM(I69:N69)</f>
        <v>0</v>
      </c>
      <c r="O75" s="14" t="n">
        <f aca="false">SUM(J69:O69)</f>
        <v>0</v>
      </c>
      <c r="P75" s="14" t="n">
        <f aca="false">SUM(K69:P69)</f>
        <v>0</v>
      </c>
      <c r="Q75" s="14" t="n">
        <f aca="false">SUM(L69:Q69)</f>
        <v>0</v>
      </c>
      <c r="R75" s="14" t="n">
        <f aca="false">SUM(M69:R69)</f>
        <v>1</v>
      </c>
      <c r="S75" s="14" t="n">
        <f aca="false">SUM(N69:S69)</f>
        <v>1</v>
      </c>
      <c r="T75" s="14" t="n">
        <f aca="false">SUM(O69:T69)</f>
        <v>1</v>
      </c>
      <c r="U75" s="14" t="n">
        <f aca="false">SUM(P69:U69)</f>
        <v>2</v>
      </c>
      <c r="V75" s="14" t="n">
        <f aca="false">SUM(Q69:V69)</f>
        <v>2</v>
      </c>
      <c r="W75" s="14" t="n">
        <f aca="false">SUM(R69:W69)</f>
        <v>2</v>
      </c>
      <c r="X75" s="14" t="n">
        <f aca="false">SUM(S69:X69)</f>
        <v>2</v>
      </c>
      <c r="Y75" s="14" t="n">
        <f aca="false">SUM(T69:Y69)</f>
        <v>2</v>
      </c>
      <c r="Z75" s="14" t="n">
        <f aca="false">SUM(U69:Z69)</f>
        <v>2</v>
      </c>
      <c r="AA75" s="14" t="n">
        <f aca="false">SUM(V69:AA69)</f>
        <v>2</v>
      </c>
      <c r="AB75" s="14" t="n">
        <f aca="false">SUM(W69:AB69)</f>
        <v>2</v>
      </c>
      <c r="AC75" s="14" t="n">
        <f aca="false">SUM(X69:AC69)</f>
        <v>2</v>
      </c>
      <c r="AD75" s="14" t="n">
        <f aca="false">SUM(Y69:AD69)</f>
        <v>3</v>
      </c>
      <c r="AE75" s="14" t="n">
        <f aca="false">SUM(Z69:AE69)</f>
        <v>3</v>
      </c>
      <c r="AF75" s="14" t="n">
        <f aca="false">SUM(AA69:AF69)</f>
        <v>3</v>
      </c>
      <c r="AG75" s="14" t="n">
        <f aca="false">SUM(AB69:AG69)</f>
        <v>4</v>
      </c>
      <c r="AH75" s="14" t="n">
        <f aca="false">SUM(AC69:AH69)</f>
        <v>4</v>
      </c>
      <c r="AI75" s="14" t="n">
        <f aca="false">SUM(AD69:AI69)</f>
        <v>4</v>
      </c>
      <c r="AJ75" s="14" t="n">
        <f aca="false">SUM(AE69:AJ69)</f>
        <v>4</v>
      </c>
      <c r="AK75" s="14" t="n">
        <f aca="false">SUM(AF69:AK69)</f>
        <v>4</v>
      </c>
      <c r="AL75" s="14" t="n">
        <f aca="false">SUM(AG69:AL69)</f>
        <v>4</v>
      </c>
      <c r="AN75" s="36" t="n">
        <f aca="false">N75</f>
        <v>0</v>
      </c>
      <c r="AO75" s="36" t="n">
        <f aca="false">Z75</f>
        <v>2</v>
      </c>
      <c r="AP75" s="36" t="n">
        <f aca="false">AL75</f>
        <v>4</v>
      </c>
    </row>
    <row r="76" customFormat="false" ht="15" hidden="false" customHeight="false" outlineLevel="0" collapsed="false">
      <c r="A76" s="0" t="s">
        <v>882</v>
      </c>
      <c r="B76" s="0" t="s">
        <v>852</v>
      </c>
      <c r="C76" s="14" t="n">
        <f aca="false">((Assumptions!$D$127*$C$8)*0)</f>
        <v>0</v>
      </c>
      <c r="D76" s="14" t="n">
        <f aca="false">((Assumptions!$D$127*$C$8)*0)</f>
        <v>0</v>
      </c>
      <c r="E76" s="14" t="n">
        <f aca="false">((Assumptions!$D$127*$C$8)*0)</f>
        <v>0</v>
      </c>
      <c r="F76" s="14" t="n">
        <f aca="false">((Assumptions!$D$127*$C$8)*0)</f>
        <v>0</v>
      </c>
      <c r="G76" s="14" t="n">
        <f aca="false">((Assumptions!$D$127*$C$8)*0)</f>
        <v>0</v>
      </c>
      <c r="H76" s="14" t="n">
        <f aca="false">((Assumptions!$D$127*$C$8)*0)</f>
        <v>0</v>
      </c>
      <c r="I76" s="14" t="n">
        <f aca="false">((Assumptions!$D$127*$C$8)*0)</f>
        <v>0</v>
      </c>
      <c r="J76" s="14" t="n">
        <f aca="false">((Assumptions!$D$127*$C$8)*C69)</f>
        <v>0</v>
      </c>
      <c r="K76" s="14" t="n">
        <f aca="false">((Assumptions!$D$127*$C$8)*D69)</f>
        <v>0</v>
      </c>
      <c r="L76" s="14" t="n">
        <f aca="false">((Assumptions!$D$127*$C$8)*E69)</f>
        <v>0</v>
      </c>
      <c r="M76" s="14" t="n">
        <f aca="false">((Assumptions!$D$127*$C$8)*F69)</f>
        <v>0</v>
      </c>
      <c r="N76" s="14" t="n">
        <f aca="false">((Assumptions!$D$127*$C$8)*G69)</f>
        <v>0</v>
      </c>
      <c r="O76" s="14" t="n">
        <f aca="false">((Assumptions!$D$127*$C$8)*H69)</f>
        <v>0</v>
      </c>
      <c r="P76" s="14" t="n">
        <f aca="false">((Assumptions!$D$127*$C$8)*I69)</f>
        <v>0</v>
      </c>
      <c r="Q76" s="14" t="n">
        <f aca="false">((Assumptions!$D$127*$C$8)*J69)</f>
        <v>0</v>
      </c>
      <c r="R76" s="14" t="n">
        <f aca="false">((Assumptions!$D$127*$C$8)*K69)</f>
        <v>0</v>
      </c>
      <c r="S76" s="14" t="n">
        <f aca="false">((Assumptions!$D$127*$C$8)*L69)</f>
        <v>0</v>
      </c>
      <c r="T76" s="14" t="n">
        <f aca="false">((Assumptions!$D$127*$C$8)*M69)</f>
        <v>0</v>
      </c>
      <c r="U76" s="14" t="n">
        <f aca="false">((Assumptions!$D$127*$C$8)*N69)</f>
        <v>0</v>
      </c>
      <c r="V76" s="14" t="n">
        <f aca="false">((Assumptions!$D$127*$C$8)*O69)</f>
        <v>0</v>
      </c>
      <c r="W76" s="14" t="n">
        <f aca="false">((Assumptions!$D$127*$C$8)*P69)</f>
        <v>0</v>
      </c>
      <c r="X76" s="14" t="n">
        <f aca="false">((Assumptions!$D$127*$C$8)*Q69)</f>
        <v>0</v>
      </c>
      <c r="Y76" s="14" t="n">
        <f aca="false">((Assumptions!$D$127*$C$8)*R69)</f>
        <v>0.45</v>
      </c>
      <c r="Z76" s="14" t="n">
        <f aca="false">((Assumptions!$D$127*$C$8)*S69)</f>
        <v>0</v>
      </c>
      <c r="AA76" s="14" t="n">
        <f aca="false">((Assumptions!$D$127*$C$8)*T69)</f>
        <v>0</v>
      </c>
      <c r="AB76" s="14" t="n">
        <f aca="false">((Assumptions!$D$127*$C$8)*U69)</f>
        <v>0.45</v>
      </c>
      <c r="AC76" s="14" t="n">
        <f aca="false">((Assumptions!$D$127*$C$8)*V69)</f>
        <v>0</v>
      </c>
      <c r="AD76" s="14" t="n">
        <f aca="false">((Assumptions!$D$127*$C$8)*W69)</f>
        <v>0</v>
      </c>
      <c r="AE76" s="14" t="n">
        <f aca="false">((Assumptions!$D$127*$C$8)*X69)</f>
        <v>0.45</v>
      </c>
      <c r="AF76" s="14" t="n">
        <f aca="false">((Assumptions!$D$127*$C$8)*Y69)</f>
        <v>0</v>
      </c>
      <c r="AG76" s="14" t="n">
        <f aca="false">((Assumptions!$D$127*$C$8)*Z69)</f>
        <v>0</v>
      </c>
      <c r="AH76" s="14" t="n">
        <f aca="false">((Assumptions!$D$127*$C$8)*AA69)</f>
        <v>0.45</v>
      </c>
      <c r="AI76" s="14" t="n">
        <f aca="false">((Assumptions!$D$127*$C$8)*AB69)</f>
        <v>0</v>
      </c>
      <c r="AJ76" s="14" t="n">
        <f aca="false">((Assumptions!$D$127*$C$8)*AC69)</f>
        <v>0</v>
      </c>
      <c r="AK76" s="14" t="n">
        <f aca="false">((Assumptions!$D$127*$C$8)*AD69)</f>
        <v>0.9</v>
      </c>
      <c r="AL76" s="14" t="n">
        <f aca="false">((Assumptions!$D$127*$C$8)*AE69)</f>
        <v>0</v>
      </c>
      <c r="AN76" s="36" t="n">
        <f aca="false">SUM(C76:N76)</f>
        <v>0</v>
      </c>
      <c r="AO76" s="36" t="n">
        <f aca="false">SUM(O76:Z76)</f>
        <v>0.45</v>
      </c>
      <c r="AP76" s="36" t="n">
        <f aca="false">SUM(AA76:AL76)</f>
        <v>2.25</v>
      </c>
    </row>
    <row r="77" customFormat="false" ht="15" hidden="false" customHeight="false" outlineLevel="0" collapsed="false">
      <c r="A77" s="0" t="s">
        <v>883</v>
      </c>
      <c r="B77" s="0" t="s">
        <v>852</v>
      </c>
      <c r="C77" s="14" t="n">
        <f aca="false">((Assumptions!$C$10*$C$8)*IF((C$18=(Assumptions!$C$7+$C$9)),0,IF((C$18&gt;(Assumptions!$C$7+$C$9)),0,0)))</f>
        <v>0</v>
      </c>
      <c r="D77" s="14" t="n">
        <f aca="false">((Assumptions!$C$10*$C$8)*IF((D$18=(Assumptions!$C$7+$C$9)),0,IF((D$18&gt;(Assumptions!$C$7+$C$9)),0,0)))</f>
        <v>0</v>
      </c>
      <c r="E77" s="14" t="n">
        <f aca="false">((Assumptions!$C$10*$C$8)*IF((E$18=(Assumptions!$C$7+$C$9)),0,IF((E$18&gt;(Assumptions!$C$7+$C$9)),0,0)))</f>
        <v>0</v>
      </c>
      <c r="F77" s="14" t="n">
        <f aca="false">((Assumptions!$C$10*$C$8)*IF((F$18=(Assumptions!$C$7+$C$9)),0,IF((F$18&gt;(Assumptions!$C$7+$C$9)),0,0)))</f>
        <v>0</v>
      </c>
      <c r="G77" s="14" t="n">
        <f aca="false">((Assumptions!$C$10*$C$8)*IF((G$18=(Assumptions!$C$7+$C$9)),0,IF((G$18&gt;(Assumptions!$C$7+$C$9)),0,0)))</f>
        <v>0</v>
      </c>
      <c r="H77" s="14" t="n">
        <f aca="false">((Assumptions!$C$10*$C$8)*IF((H$18=(Assumptions!$C$7+$C$9)),0,IF((H$18&gt;(Assumptions!$C$7+$C$9)),0,0)))</f>
        <v>0</v>
      </c>
      <c r="I77" s="14" t="n">
        <f aca="false">((Assumptions!$C$10*$C$8)*IF((I$18=(Assumptions!$C$7+$C$9)),0,IF((I$18&gt;(Assumptions!$C$7+$C$9)),0,0)))</f>
        <v>0</v>
      </c>
      <c r="J77" s="14" t="n">
        <f aca="false">((Assumptions!$C$10*$C$8)*IF((J$18=(Assumptions!$C$7+$C$9)),C70,IF((J$18&gt;(Assumptions!$C$7+$C$9)),C70,0)))</f>
        <v>0</v>
      </c>
      <c r="K77" s="14" t="n">
        <f aca="false">((Assumptions!$C$10*$C$8)*IF((K$18=(Assumptions!$C$7+$C$9)),SUM(C70:D70),IF((K$18&gt;(Assumptions!$C$7+$C$9)),D70,0)))</f>
        <v>0</v>
      </c>
      <c r="L77" s="14" t="n">
        <f aca="false">((Assumptions!$C$10*$C$8)*IF((L$18=(Assumptions!$C$7+$C$9)),SUM(C70:E70),IF((L$18&gt;(Assumptions!$C$7+$C$9)),E70,0)))</f>
        <v>0</v>
      </c>
      <c r="M77" s="14" t="n">
        <f aca="false">((Assumptions!$C$10*$C$8)*IF((M$18=(Assumptions!$C$7+$C$9)),SUM(C70:F70),IF((M$18&gt;(Assumptions!$C$7+$C$9)),F70,0)))</f>
        <v>0</v>
      </c>
      <c r="N77" s="14" t="n">
        <f aca="false">((Assumptions!$C$10*$C$8)*IF((N$18=(Assumptions!$C$7+$C$9)),SUM(C70:G70),IF((N$18&gt;(Assumptions!$C$7+$C$9)),G70,0)))</f>
        <v>0</v>
      </c>
      <c r="O77" s="14" t="n">
        <f aca="false">((Assumptions!$C$10*$C$8)*IF((O$18=(Assumptions!$C$7+$C$9)),SUM(C70:H70),IF((O$18&gt;(Assumptions!$C$7+$C$9)),H70,0)))</f>
        <v>0</v>
      </c>
      <c r="P77" s="14" t="n">
        <f aca="false">((Assumptions!$C$10*$C$8)*IF((P$18=(Assumptions!$C$7+$C$9)),SUM(C70:I70),IF((P$18&gt;(Assumptions!$C$7+$C$9)),I70,0)))</f>
        <v>0</v>
      </c>
      <c r="Q77" s="14" t="n">
        <f aca="false">((Assumptions!$C$10*$C$8)*IF((Q$18=(Assumptions!$C$7+$C$9)),SUM(C70:J70),IF((Q$18&gt;(Assumptions!$C$7+$C$9)),J70,0)))</f>
        <v>0.6</v>
      </c>
      <c r="R77" s="14" t="n">
        <f aca="false">((Assumptions!$C$10*$C$8)*IF((R$18=(Assumptions!$C$7+$C$9)),SUM(C70:K70),IF((R$18&gt;(Assumptions!$C$7+$C$9)),K70,0)))</f>
        <v>0</v>
      </c>
      <c r="S77" s="14" t="n">
        <f aca="false">((Assumptions!$C$10*$C$8)*IF((S$18=(Assumptions!$C$7+$C$9)),SUM(C70:L70),IF((S$18&gt;(Assumptions!$C$7+$C$9)),L70,0)))</f>
        <v>0</v>
      </c>
      <c r="T77" s="14" t="n">
        <f aca="false">((Assumptions!$C$10*$C$8)*IF((T$18=(Assumptions!$C$7+$C$9)),SUM(C70:M70),IF((T$18&gt;(Assumptions!$C$7+$C$9)),M70,0)))</f>
        <v>0</v>
      </c>
      <c r="U77" s="14" t="n">
        <f aca="false">((Assumptions!$C$10*$C$8)*IF((U$18=(Assumptions!$C$7+$C$9)),SUM(C70:N70),IF((U$18&gt;(Assumptions!$C$7+$C$9)),N70,0)))</f>
        <v>0</v>
      </c>
      <c r="V77" s="14" t="n">
        <f aca="false">((Assumptions!$C$10*$C$8)*IF((V$18=(Assumptions!$C$7+$C$9)),SUM(C70:O70),IF((V$18&gt;(Assumptions!$C$7+$C$9)),O70,0)))</f>
        <v>0</v>
      </c>
      <c r="W77" s="14" t="n">
        <f aca="false">((Assumptions!$C$10*$C$8)*IF((W$18=(Assumptions!$C$7+$C$9)),SUM(C70:P70),IF((W$18&gt;(Assumptions!$C$7+$C$9)),P70,0)))</f>
        <v>0</v>
      </c>
      <c r="X77" s="14" t="n">
        <f aca="false">((Assumptions!$C$10*$C$8)*IF((X$18=(Assumptions!$C$7+$C$9)),SUM(C70:Q70),IF((X$18&gt;(Assumptions!$C$7+$C$9)),Q70,0)))</f>
        <v>0</v>
      </c>
      <c r="Y77" s="14" t="n">
        <f aca="false">((Assumptions!$C$10*$C$8)*IF((Y$18=(Assumptions!$C$7+$C$9)),SUM(C70:R70),IF((Y$18&gt;(Assumptions!$C$7+$C$9)),R70,0)))</f>
        <v>0</v>
      </c>
      <c r="Z77" s="14" t="n">
        <f aca="false">((Assumptions!$C$10*$C$8)*IF((Z$18=(Assumptions!$C$7+$C$9)),SUM(C70:S70),IF((Z$18&gt;(Assumptions!$C$7+$C$9)),S70,0)))</f>
        <v>0</v>
      </c>
      <c r="AA77" s="14" t="n">
        <f aca="false">((Assumptions!$C$10*$C$8)*IF((AA$18=(Assumptions!$C$7+$C$9)),SUM(C70:T70),IF((AA$18&gt;(Assumptions!$C$7+$C$9)),T70,0)))</f>
        <v>0</v>
      </c>
      <c r="AB77" s="14" t="n">
        <f aca="false">((Assumptions!$C$10*$C$8)*IF((AB$18=(Assumptions!$C$7+$C$9)),SUM(C70:U70),IF((AB$18&gt;(Assumptions!$C$7+$C$9)),U70,0)))</f>
        <v>0</v>
      </c>
      <c r="AC77" s="14" t="n">
        <f aca="false">((Assumptions!$C$10*$C$8)*IF((AC$18=(Assumptions!$C$7+$C$9)),SUM(C70:V70),IF((AC$18&gt;(Assumptions!$C$7+$C$9)),V70,0)))</f>
        <v>0</v>
      </c>
      <c r="AD77" s="14" t="n">
        <f aca="false">((Assumptions!$C$10*$C$8)*IF((AD$18=(Assumptions!$C$7+$C$9)),SUM(C70:W70),IF((AD$18&gt;(Assumptions!$C$7+$C$9)),W70,0)))</f>
        <v>0</v>
      </c>
      <c r="AE77" s="14" t="n">
        <f aca="false">((Assumptions!$C$10*$C$8)*IF((AE$18=(Assumptions!$C$7+$C$9)),SUM(C70:X70),IF((AE$18&gt;(Assumptions!$C$7+$C$9)),X70,0)))</f>
        <v>0</v>
      </c>
      <c r="AF77" s="14" t="n">
        <f aca="false">((Assumptions!$C$10*$C$8)*IF((AF$18=(Assumptions!$C$7+$C$9)),SUM(C70:Y70),IF((AF$18&gt;(Assumptions!$C$7+$C$9)),Y70,0)))</f>
        <v>0</v>
      </c>
      <c r="AG77" s="14" t="n">
        <f aca="false">((Assumptions!$C$10*$C$8)*IF((AG$18=(Assumptions!$C$7+$C$9)),SUM(C70:Z70),IF((AG$18&gt;(Assumptions!$C$7+$C$9)),Z70,0)))</f>
        <v>0</v>
      </c>
      <c r="AH77" s="14" t="n">
        <f aca="false">((Assumptions!$C$10*$C$8)*IF((AH$18=(Assumptions!$C$7+$C$9)),SUM(C70:AA70),IF((AH$18&gt;(Assumptions!$C$7+$C$9)),AA70,0)))</f>
        <v>0</v>
      </c>
      <c r="AI77" s="14" t="n">
        <f aca="false">((Assumptions!$C$10*$C$8)*IF((AI$18=(Assumptions!$C$7+$C$9)),SUM(C70:AB70),IF((AI$18&gt;(Assumptions!$C$7+$C$9)),AB70,0)))</f>
        <v>0</v>
      </c>
      <c r="AJ77" s="14" t="n">
        <f aca="false">((Assumptions!$C$10*$C$8)*IF((AJ$18=(Assumptions!$C$7+$C$9)),SUM(C70:AC70),IF((AJ$18&gt;(Assumptions!$C$7+$C$9)),AC70,0)))</f>
        <v>0</v>
      </c>
      <c r="AK77" s="14" t="n">
        <f aca="false">((Assumptions!$C$10*$C$8)*IF((AK$18=(Assumptions!$C$7+$C$9)),SUM(C70:AD70),IF((AK$18&gt;(Assumptions!$C$7+$C$9)),AD70,0)))</f>
        <v>0</v>
      </c>
      <c r="AL77" s="14" t="n">
        <f aca="false">((Assumptions!$C$10*$C$8)*IF((AL$18=(Assumptions!$C$7+$C$9)),SUM(C70:AE70),IF((AL$18&gt;(Assumptions!$C$7+$C$9)),AE70,0)))</f>
        <v>0</v>
      </c>
      <c r="AN77" s="36" t="n">
        <f aca="false">SUM(C77:N77)</f>
        <v>0</v>
      </c>
      <c r="AO77" s="36" t="n">
        <f aca="false">SUM(O77:Z77)</f>
        <v>0.6</v>
      </c>
      <c r="AP77" s="36" t="n">
        <f aca="false">SUM(AA77:AL77)</f>
        <v>0</v>
      </c>
    </row>
    <row r="78" customFormat="false" ht="15" hidden="false" customHeight="false" outlineLevel="0" collapsed="false">
      <c r="A78" s="0" t="s">
        <v>884</v>
      </c>
      <c r="B78" s="0" t="s">
        <v>852</v>
      </c>
      <c r="C78" s="14" t="n">
        <f aca="false">((C76+C77)+C72)</f>
        <v>0</v>
      </c>
      <c r="D78" s="14" t="n">
        <f aca="false">((D76+D77)+D72)</f>
        <v>0</v>
      </c>
      <c r="E78" s="14" t="n">
        <f aca="false">((E76+E77)+E72)</f>
        <v>0</v>
      </c>
      <c r="F78" s="14" t="n">
        <f aca="false">((F76+F77)+F72)</f>
        <v>0</v>
      </c>
      <c r="G78" s="14" t="n">
        <f aca="false">((G76+G77)+G72)</f>
        <v>0</v>
      </c>
      <c r="H78" s="14" t="n">
        <f aca="false">((H76+H77)+H72)</f>
        <v>0</v>
      </c>
      <c r="I78" s="14" t="n">
        <f aca="false">((I76+I77)+I72)</f>
        <v>0</v>
      </c>
      <c r="J78" s="14" t="n">
        <f aca="false">((J76+J77)+J72)</f>
        <v>0</v>
      </c>
      <c r="K78" s="14" t="n">
        <f aca="false">((K76+K77)+K72)</f>
        <v>0</v>
      </c>
      <c r="L78" s="14" t="n">
        <f aca="false">((L76+L77)+L72)</f>
        <v>0</v>
      </c>
      <c r="M78" s="14" t="n">
        <f aca="false">((M76+M77)+M72)</f>
        <v>0</v>
      </c>
      <c r="N78" s="14" t="n">
        <f aca="false">((N76+N77)+N72)</f>
        <v>0</v>
      </c>
      <c r="O78" s="14" t="n">
        <f aca="false">((O76+O77)+O72)</f>
        <v>0</v>
      </c>
      <c r="P78" s="14" t="n">
        <f aca="false">((P76+P77)+P72)</f>
        <v>0</v>
      </c>
      <c r="Q78" s="14" t="n">
        <f aca="false">((Q76+Q77)+Q72)</f>
        <v>0.6</v>
      </c>
      <c r="R78" s="14" t="n">
        <f aca="false">((R76+R77)+R72)</f>
        <v>0</v>
      </c>
      <c r="S78" s="14" t="n">
        <f aca="false">((S76+S77)+S72)</f>
        <v>0</v>
      </c>
      <c r="T78" s="14" t="n">
        <f aca="false">((T76+T77)+T72)</f>
        <v>0</v>
      </c>
      <c r="U78" s="14" t="n">
        <f aca="false">((U76+U77)+U72)</f>
        <v>0</v>
      </c>
      <c r="V78" s="14" t="n">
        <f aca="false">((V76+V77)+V72)</f>
        <v>0</v>
      </c>
      <c r="W78" s="14" t="n">
        <f aca="false">((W76+W77)+W72)</f>
        <v>0</v>
      </c>
      <c r="X78" s="14" t="n">
        <f aca="false">((X76+X77)+X72)</f>
        <v>0</v>
      </c>
      <c r="Y78" s="14" t="n">
        <f aca="false">((Y76+Y77)+Y72)</f>
        <v>0.45</v>
      </c>
      <c r="Z78" s="14" t="n">
        <f aca="false">((Z76+Z77)+Z72)</f>
        <v>0</v>
      </c>
      <c r="AA78" s="14" t="n">
        <f aca="false">((AA76+AA77)+AA72)</f>
        <v>0</v>
      </c>
      <c r="AB78" s="14" t="n">
        <f aca="false">((AB76+AB77)+AB72)</f>
        <v>1.45</v>
      </c>
      <c r="AC78" s="14" t="n">
        <f aca="false">((AC76+AC77)+AC72)</f>
        <v>0</v>
      </c>
      <c r="AD78" s="14" t="n">
        <f aca="false">((AD76+AD77)+AD72)</f>
        <v>0</v>
      </c>
      <c r="AE78" s="14" t="n">
        <f aca="false">((AE76+AE77)+AE72)</f>
        <v>1.45</v>
      </c>
      <c r="AF78" s="14" t="n">
        <f aca="false">((AF76+AF77)+AF72)</f>
        <v>0</v>
      </c>
      <c r="AG78" s="14" t="n">
        <f aca="false">((AG76+AG77)+AG72)</f>
        <v>0</v>
      </c>
      <c r="AH78" s="14" t="n">
        <f aca="false">((AH76+AH77)+AH72)</f>
        <v>1.45</v>
      </c>
      <c r="AI78" s="14" t="n">
        <f aca="false">((AI76+AI77)+AI72)</f>
        <v>0</v>
      </c>
      <c r="AJ78" s="14" t="n">
        <f aca="false">((AJ76+AJ77)+AJ72)</f>
        <v>0</v>
      </c>
      <c r="AK78" s="14" t="n">
        <f aca="false">((AK76+AK77)+AK72)</f>
        <v>2.9</v>
      </c>
      <c r="AL78" s="14" t="n">
        <f aca="false">((AL76+AL77)+AL72)</f>
        <v>0</v>
      </c>
      <c r="AN78" s="36" t="n">
        <f aca="false">SUM(C78:N78)</f>
        <v>0</v>
      </c>
      <c r="AO78" s="36" t="n">
        <f aca="false">SUM(O78:Z78)</f>
        <v>1.05</v>
      </c>
      <c r="AP78" s="36" t="n">
        <f aca="false">SUM(AA78:AL78)</f>
        <v>7.25</v>
      </c>
    </row>
    <row r="79" customFormat="false" ht="15" hidden="false" customHeight="false" outlineLevel="0" collapsed="false">
      <c r="A79" s="0" t="s">
        <v>885</v>
      </c>
      <c r="B79" s="0" t="s">
        <v>852</v>
      </c>
      <c r="C79" s="14" t="n">
        <f aca="false">(C78+(C45*0))</f>
        <v>0</v>
      </c>
      <c r="D79" s="14" t="n">
        <f aca="false">(D78+(D45*0))</f>
        <v>0</v>
      </c>
      <c r="E79" s="14" t="n">
        <f aca="false">(E78+(E45*0))</f>
        <v>0</v>
      </c>
      <c r="F79" s="14" t="n">
        <f aca="false">(F78+(F45*0))</f>
        <v>0</v>
      </c>
      <c r="G79" s="14" t="n">
        <f aca="false">(G78+(G45*0))</f>
        <v>0</v>
      </c>
      <c r="H79" s="14" t="n">
        <f aca="false">(H78+(H45*0))</f>
        <v>0</v>
      </c>
      <c r="I79" s="14" t="n">
        <f aca="false">(I78+(I45*0))</f>
        <v>0</v>
      </c>
      <c r="J79" s="14" t="n">
        <f aca="false">(J78+(J45*0))</f>
        <v>0</v>
      </c>
      <c r="K79" s="14" t="n">
        <f aca="false">(K78+(K45*0))</f>
        <v>0</v>
      </c>
      <c r="L79" s="14" t="n">
        <f aca="false">(L78+(L45*0))</f>
        <v>0</v>
      </c>
      <c r="M79" s="14" t="n">
        <f aca="false">(M78+(M45*0))</f>
        <v>0</v>
      </c>
      <c r="N79" s="14" t="n">
        <f aca="false">(N78+(N45*0))</f>
        <v>0</v>
      </c>
      <c r="O79" s="14" t="n">
        <f aca="false">(O78+(O45*C79))</f>
        <v>0</v>
      </c>
      <c r="P79" s="14" t="n">
        <f aca="false">(P78+(P45*D79))</f>
        <v>0</v>
      </c>
      <c r="Q79" s="14" t="n">
        <f aca="false">(Q78+(Q45*E79))</f>
        <v>0.6</v>
      </c>
      <c r="R79" s="14" t="n">
        <f aca="false">(R78+(R45*F79))</f>
        <v>0</v>
      </c>
      <c r="S79" s="14" t="n">
        <f aca="false">(S78+(S45*G79))</f>
        <v>0</v>
      </c>
      <c r="T79" s="14" t="n">
        <f aca="false">(T78+(T45*H79))</f>
        <v>0</v>
      </c>
      <c r="U79" s="14" t="n">
        <f aca="false">(U78+(U45*I79))</f>
        <v>0</v>
      </c>
      <c r="V79" s="14" t="n">
        <f aca="false">(V78+(V45*J79))</f>
        <v>0</v>
      </c>
      <c r="W79" s="14" t="n">
        <f aca="false">(W78+(W45*K79))</f>
        <v>0</v>
      </c>
      <c r="X79" s="14" t="n">
        <f aca="false">(X78+(X45*L79))</f>
        <v>0</v>
      </c>
      <c r="Y79" s="14" t="n">
        <f aca="false">(Y78+(Y45*M79))</f>
        <v>0.45</v>
      </c>
      <c r="Z79" s="14" t="n">
        <f aca="false">(Z78+(Z45*N79))</f>
        <v>0</v>
      </c>
      <c r="AA79" s="14" t="n">
        <f aca="false">(AA78+(AA45*O79))</f>
        <v>0</v>
      </c>
      <c r="AB79" s="14" t="n">
        <f aca="false">(AB78+(AB45*P79))</f>
        <v>1.45</v>
      </c>
      <c r="AC79" s="14" t="n">
        <f aca="false">(AC78+(AC45*Q79))</f>
        <v>0.528</v>
      </c>
      <c r="AD79" s="14" t="n">
        <f aca="false">(AD78+(AD45*R79))</f>
        <v>0</v>
      </c>
      <c r="AE79" s="14" t="n">
        <f aca="false">(AE78+(AE45*S79))</f>
        <v>1.45</v>
      </c>
      <c r="AF79" s="14" t="n">
        <f aca="false">(AF78+(AF45*T79))</f>
        <v>0</v>
      </c>
      <c r="AG79" s="14" t="n">
        <f aca="false">(AG78+(AG45*U79))</f>
        <v>0</v>
      </c>
      <c r="AH79" s="14" t="n">
        <f aca="false">(AH78+(AH45*V79))</f>
        <v>1.45</v>
      </c>
      <c r="AI79" s="14" t="n">
        <f aca="false">(AI78+(AI45*W79))</f>
        <v>0</v>
      </c>
      <c r="AJ79" s="14" t="n">
        <f aca="false">(AJ78+(AJ45*X79))</f>
        <v>0</v>
      </c>
      <c r="AK79" s="14" t="n">
        <f aca="false">(AK78+(AK45*Y79))</f>
        <v>3.296</v>
      </c>
      <c r="AL79" s="14" t="n">
        <f aca="false">(AL78+(AL45*Z79))</f>
        <v>0</v>
      </c>
      <c r="AN79" s="36" t="n">
        <f aca="false">SUM(C79:N79)</f>
        <v>0</v>
      </c>
      <c r="AO79" s="36" t="n">
        <f aca="false">SUM(O79:Z79)</f>
        <v>1.05</v>
      </c>
      <c r="AP79" s="36" t="n">
        <f aca="false">SUM(AA79:AL79)</f>
        <v>8.174</v>
      </c>
    </row>
    <row r="80" customFormat="false" ht="15" hidden="false" customHeight="false" outlineLevel="0" collapsed="false">
      <c r="A80" s="0" t="s">
        <v>886</v>
      </c>
      <c r="B80" s="0" t="s">
        <v>852</v>
      </c>
      <c r="C80" s="14" t="n">
        <f aca="false">C79</f>
        <v>0</v>
      </c>
      <c r="D80" s="14" t="n">
        <f aca="false">SUM(C79:D79)</f>
        <v>0</v>
      </c>
      <c r="E80" s="14" t="n">
        <f aca="false">SUM(C79:E79)</f>
        <v>0</v>
      </c>
      <c r="F80" s="14" t="n">
        <f aca="false">SUM(C79:F79)</f>
        <v>0</v>
      </c>
      <c r="G80" s="14" t="n">
        <f aca="false">SUM(C79:G79)</f>
        <v>0</v>
      </c>
      <c r="H80" s="14" t="n">
        <f aca="false">SUM(C79:H79)</f>
        <v>0</v>
      </c>
      <c r="I80" s="14" t="n">
        <f aca="false">SUM(C79:I79)</f>
        <v>0</v>
      </c>
      <c r="J80" s="14" t="n">
        <f aca="false">SUM(C79:J79)</f>
        <v>0</v>
      </c>
      <c r="K80" s="14" t="n">
        <f aca="false">SUM(C79:K79)</f>
        <v>0</v>
      </c>
      <c r="L80" s="14" t="n">
        <f aca="false">SUM(C79:L79)</f>
        <v>0</v>
      </c>
      <c r="M80" s="14" t="n">
        <f aca="false">SUM(C79:M79)</f>
        <v>0</v>
      </c>
      <c r="N80" s="14" t="n">
        <f aca="false">SUM(C79:N79)</f>
        <v>0</v>
      </c>
      <c r="O80" s="14" t="n">
        <f aca="false">SUM(D79:O79)</f>
        <v>0</v>
      </c>
      <c r="P80" s="14" t="n">
        <f aca="false">SUM(E79:P79)</f>
        <v>0</v>
      </c>
      <c r="Q80" s="14" t="n">
        <f aca="false">SUM(F79:Q79)</f>
        <v>0.6</v>
      </c>
      <c r="R80" s="14" t="n">
        <f aca="false">SUM(G79:R79)</f>
        <v>0.6</v>
      </c>
      <c r="S80" s="14" t="n">
        <f aca="false">SUM(H79:S79)</f>
        <v>0.6</v>
      </c>
      <c r="T80" s="14" t="n">
        <f aca="false">SUM(I79:T79)</f>
        <v>0.6</v>
      </c>
      <c r="U80" s="14" t="n">
        <f aca="false">SUM(J79:U79)</f>
        <v>0.6</v>
      </c>
      <c r="V80" s="14" t="n">
        <f aca="false">SUM(K79:V79)</f>
        <v>0.6</v>
      </c>
      <c r="W80" s="14" t="n">
        <f aca="false">SUM(L79:W79)</f>
        <v>0.6</v>
      </c>
      <c r="X80" s="14" t="n">
        <f aca="false">SUM(M79:X79)</f>
        <v>0.6</v>
      </c>
      <c r="Y80" s="14" t="n">
        <f aca="false">SUM(N79:Y79)</f>
        <v>1.05</v>
      </c>
      <c r="Z80" s="14" t="n">
        <f aca="false">SUM(O79:Z79)</f>
        <v>1.05</v>
      </c>
      <c r="AA80" s="14" t="n">
        <f aca="false">SUM(P79:AA79)</f>
        <v>1.05</v>
      </c>
      <c r="AB80" s="14" t="n">
        <f aca="false">SUM(Q79:AB79)</f>
        <v>2.5</v>
      </c>
      <c r="AC80" s="14" t="n">
        <f aca="false">SUM(R79:AC79)</f>
        <v>2.428</v>
      </c>
      <c r="AD80" s="14" t="n">
        <f aca="false">SUM(S79:AD79)</f>
        <v>2.428</v>
      </c>
      <c r="AE80" s="14" t="n">
        <f aca="false">SUM(T79:AE79)</f>
        <v>3.878</v>
      </c>
      <c r="AF80" s="14" t="n">
        <f aca="false">SUM(U79:AF79)</f>
        <v>3.878</v>
      </c>
      <c r="AG80" s="14" t="n">
        <f aca="false">SUM(V79:AG79)</f>
        <v>3.878</v>
      </c>
      <c r="AH80" s="14" t="n">
        <f aca="false">SUM(W79:AH79)</f>
        <v>5.328</v>
      </c>
      <c r="AI80" s="14" t="n">
        <f aca="false">SUM(X79:AI79)</f>
        <v>5.328</v>
      </c>
      <c r="AJ80" s="14" t="n">
        <f aca="false">SUM(Y79:AJ79)</f>
        <v>5.328</v>
      </c>
      <c r="AK80" s="14" t="n">
        <f aca="false">SUM(Z79:AK79)</f>
        <v>8.174</v>
      </c>
      <c r="AL80" s="14" t="n">
        <f aca="false">SUM(AA79:AL79)</f>
        <v>8.174</v>
      </c>
      <c r="AN80" s="36" t="n">
        <f aca="false">N80</f>
        <v>0</v>
      </c>
      <c r="AO80" s="36" t="n">
        <f aca="false">Z80</f>
        <v>1.05</v>
      </c>
      <c r="AP80" s="36" t="n">
        <f aca="false">AL80</f>
        <v>8.174</v>
      </c>
    </row>
    <row r="81" customFormat="false" ht="15" hidden="false" customHeight="false" outlineLevel="0" collapsed="false">
      <c r="A81" s="0" t="s">
        <v>887</v>
      </c>
      <c r="B81" s="0" t="s">
        <v>230</v>
      </c>
      <c r="C81" s="9" t="n">
        <f aca="false">((Assumptions!$D$121*(1-Assumptions!$C$29))*$C$10)</f>
        <v>74800</v>
      </c>
      <c r="D81" s="9" t="n">
        <f aca="false">((Assumptions!$D$121*(1-Assumptions!$C$29))*$C$10)</f>
        <v>74800</v>
      </c>
      <c r="E81" s="9" t="n">
        <f aca="false">((Assumptions!$D$121*(1-Assumptions!$C$29))*$C$10)</f>
        <v>74800</v>
      </c>
      <c r="F81" s="9" t="n">
        <f aca="false">((Assumptions!$D$121*(1-Assumptions!$C$29))*$C$10)</f>
        <v>74800</v>
      </c>
      <c r="G81" s="9" t="n">
        <f aca="false">((Assumptions!$D$121*(1-Assumptions!$C$29))*$C$10)</f>
        <v>74800</v>
      </c>
      <c r="H81" s="9" t="n">
        <f aca="false">((Assumptions!$D$121*(1-Assumptions!$C$29))*$C$10)</f>
        <v>74800</v>
      </c>
      <c r="I81" s="9" t="n">
        <f aca="false">((Assumptions!$D$121*(1-Assumptions!$C$29))*$C$10)</f>
        <v>74800</v>
      </c>
      <c r="J81" s="9" t="n">
        <f aca="false">((Assumptions!$D$121*(1-Assumptions!$C$29))*$C$10)</f>
        <v>74800</v>
      </c>
      <c r="K81" s="9" t="n">
        <f aca="false">((Assumptions!$D$121*(1-Assumptions!$C$29))*$C$10)</f>
        <v>74800</v>
      </c>
      <c r="L81" s="9" t="n">
        <f aca="false">((Assumptions!$D$121*(1-Assumptions!$C$29))*$C$10)</f>
        <v>74800</v>
      </c>
      <c r="M81" s="9" t="n">
        <f aca="false">((Assumptions!$D$121*(1-Assumptions!$C$29))*$C$10)</f>
        <v>74800</v>
      </c>
      <c r="N81" s="9" t="n">
        <f aca="false">((Assumptions!$D$121*(1-Assumptions!$C$29))*$C$10)</f>
        <v>74800</v>
      </c>
      <c r="O81" s="9" t="n">
        <f aca="false">((Assumptions!$D$121*(1-Assumptions!$C$29))*$C$10)</f>
        <v>74800</v>
      </c>
      <c r="P81" s="9" t="n">
        <f aca="false">((Assumptions!$D$121*(1-Assumptions!$C$29))*$C$10)</f>
        <v>74800</v>
      </c>
      <c r="Q81" s="9" t="n">
        <f aca="false">((Assumptions!$D$121*(1-Assumptions!$C$29))*$C$10)</f>
        <v>74800</v>
      </c>
      <c r="R81" s="9" t="n">
        <f aca="false">((Assumptions!$D$121*(1-Assumptions!$C$29))*$C$10)</f>
        <v>74800</v>
      </c>
      <c r="S81" s="9" t="n">
        <f aca="false">((Assumptions!$D$121*(1-Assumptions!$C$29))*$C$10)</f>
        <v>74800</v>
      </c>
      <c r="T81" s="9" t="n">
        <f aca="false">((Assumptions!$D$121*(1-Assumptions!$C$29))*$C$10)</f>
        <v>74800</v>
      </c>
      <c r="U81" s="9" t="n">
        <f aca="false">((Assumptions!$D$121*(1-Assumptions!$C$29))*$C$10)</f>
        <v>74800</v>
      </c>
      <c r="V81" s="9" t="n">
        <f aca="false">((Assumptions!$D$121*(1-Assumptions!$C$29))*$C$10)</f>
        <v>74800</v>
      </c>
      <c r="W81" s="9" t="n">
        <f aca="false">((Assumptions!$D$121*(1-Assumptions!$C$29))*$C$10)</f>
        <v>74800</v>
      </c>
      <c r="X81" s="9" t="n">
        <f aca="false">((Assumptions!$D$121*(1-Assumptions!$C$29))*$C$10)</f>
        <v>74800</v>
      </c>
      <c r="Y81" s="9" t="n">
        <f aca="false">((Assumptions!$D$121*(1-Assumptions!$C$29))*$C$10)</f>
        <v>74800</v>
      </c>
      <c r="Z81" s="9" t="n">
        <f aca="false">((Assumptions!$D$121*(1-Assumptions!$C$29))*$C$10)</f>
        <v>74800</v>
      </c>
      <c r="AA81" s="9" t="n">
        <f aca="false">((Assumptions!$D$121*(1-Assumptions!$C$29))*$C$10)</f>
        <v>74800</v>
      </c>
      <c r="AB81" s="9" t="n">
        <f aca="false">((Assumptions!$D$121*(1-Assumptions!$C$29))*$C$10)</f>
        <v>74800</v>
      </c>
      <c r="AC81" s="9" t="n">
        <f aca="false">((Assumptions!$D$121*(1-Assumptions!$C$29))*$C$10)</f>
        <v>74800</v>
      </c>
      <c r="AD81" s="9" t="n">
        <f aca="false">((Assumptions!$D$121*(1-Assumptions!$C$29))*$C$10)</f>
        <v>74800</v>
      </c>
      <c r="AE81" s="9" t="n">
        <f aca="false">((Assumptions!$D$121*(1-Assumptions!$C$29))*$C$10)</f>
        <v>74800</v>
      </c>
      <c r="AF81" s="9" t="n">
        <f aca="false">((Assumptions!$D$121*(1-Assumptions!$C$29))*$C$10)</f>
        <v>74800</v>
      </c>
      <c r="AG81" s="9" t="n">
        <f aca="false">((Assumptions!$D$121*(1-Assumptions!$C$29))*$C$10)</f>
        <v>74800</v>
      </c>
      <c r="AH81" s="9" t="n">
        <f aca="false">((Assumptions!$D$121*(1-Assumptions!$C$29))*$C$10)</f>
        <v>74800</v>
      </c>
      <c r="AI81" s="9" t="n">
        <f aca="false">((Assumptions!$D$121*(1-Assumptions!$C$29))*$C$10)</f>
        <v>74800</v>
      </c>
      <c r="AJ81" s="9" t="n">
        <f aca="false">((Assumptions!$D$121*(1-Assumptions!$C$29))*$C$10)</f>
        <v>74800</v>
      </c>
      <c r="AK81" s="9" t="n">
        <f aca="false">((Assumptions!$D$121*(1-Assumptions!$C$29))*$C$10)</f>
        <v>74800</v>
      </c>
      <c r="AL81" s="9" t="n">
        <f aca="false">((Assumptions!$D$121*(1-Assumptions!$C$29))*$C$10)</f>
        <v>74800</v>
      </c>
    </row>
    <row r="82" customFormat="false" ht="15" hidden="false" customHeight="false" outlineLevel="0" collapsed="false">
      <c r="A82" s="0" t="s">
        <v>888</v>
      </c>
      <c r="B82" s="0" t="s">
        <v>230</v>
      </c>
      <c r="C82" s="9" t="n">
        <f aca="false">((C78*C81)+((C45*(1+Assumptions!$C$31))*0))</f>
        <v>0</v>
      </c>
      <c r="D82" s="9" t="n">
        <f aca="false">((D78*D81)+((D45*(1+Assumptions!$C$31))*0))</f>
        <v>0</v>
      </c>
      <c r="E82" s="9" t="n">
        <f aca="false">((E78*E81)+((E45*(1+Assumptions!$C$31))*0))</f>
        <v>0</v>
      </c>
      <c r="F82" s="9" t="n">
        <f aca="false">((F78*F81)+((F45*(1+Assumptions!$C$31))*0))</f>
        <v>0</v>
      </c>
      <c r="G82" s="9" t="n">
        <f aca="false">((G78*G81)+((G45*(1+Assumptions!$C$31))*0))</f>
        <v>0</v>
      </c>
      <c r="H82" s="9" t="n">
        <f aca="false">((H78*H81)+((H45*(1+Assumptions!$C$31))*0))</f>
        <v>0</v>
      </c>
      <c r="I82" s="9" t="n">
        <f aca="false">((I78*I81)+((I45*(1+Assumptions!$C$31))*0))</f>
        <v>0</v>
      </c>
      <c r="J82" s="9" t="n">
        <f aca="false">((J78*J81)+((J45*(1+Assumptions!$C$31))*0))</f>
        <v>0</v>
      </c>
      <c r="K82" s="9" t="n">
        <f aca="false">((K78*K81)+((K45*(1+Assumptions!$C$31))*0))</f>
        <v>0</v>
      </c>
      <c r="L82" s="9" t="n">
        <f aca="false">((L78*L81)+((L45*(1+Assumptions!$C$31))*0))</f>
        <v>0</v>
      </c>
      <c r="M82" s="9" t="n">
        <f aca="false">((M78*M81)+((M45*(1+Assumptions!$C$31))*0))</f>
        <v>0</v>
      </c>
      <c r="N82" s="9" t="n">
        <f aca="false">((N78*N81)+((N45*(1+Assumptions!$C$31))*0))</f>
        <v>0</v>
      </c>
      <c r="O82" s="9" t="n">
        <f aca="false">((O78*O81)+((O45*(1+Assumptions!$C$31))*C82))</f>
        <v>0</v>
      </c>
      <c r="P82" s="9" t="n">
        <f aca="false">((P78*P81)+((P45*(1+Assumptions!$C$31))*D82))</f>
        <v>0</v>
      </c>
      <c r="Q82" s="9" t="n">
        <f aca="false">((Q78*Q81)+((Q45*(1+Assumptions!$C$31))*E82))</f>
        <v>44880</v>
      </c>
      <c r="R82" s="9" t="n">
        <f aca="false">((R78*R81)+((R45*(1+Assumptions!$C$31))*F82))</f>
        <v>0</v>
      </c>
      <c r="S82" s="9" t="n">
        <f aca="false">((S78*S81)+((S45*(1+Assumptions!$C$31))*G82))</f>
        <v>0</v>
      </c>
      <c r="T82" s="9" t="n">
        <f aca="false">((T78*T81)+((T45*(1+Assumptions!$C$31))*H82))</f>
        <v>0</v>
      </c>
      <c r="U82" s="9" t="n">
        <f aca="false">((U78*U81)+((U45*(1+Assumptions!$C$31))*I82))</f>
        <v>0</v>
      </c>
      <c r="V82" s="9" t="n">
        <f aca="false">((V78*V81)+((V45*(1+Assumptions!$C$31))*J82))</f>
        <v>0</v>
      </c>
      <c r="W82" s="9" t="n">
        <f aca="false">((W78*W81)+((W45*(1+Assumptions!$C$31))*K82))</f>
        <v>0</v>
      </c>
      <c r="X82" s="9" t="n">
        <f aca="false">((X78*X81)+((X45*(1+Assumptions!$C$31))*L82))</f>
        <v>0</v>
      </c>
      <c r="Y82" s="9" t="n">
        <f aca="false">((Y78*Y81)+((Y45*(1+Assumptions!$C$31))*M82))</f>
        <v>33660</v>
      </c>
      <c r="Z82" s="9" t="n">
        <f aca="false">((Z78*Z81)+((Z45*(1+Assumptions!$C$31))*N82))</f>
        <v>0</v>
      </c>
      <c r="AA82" s="9" t="n">
        <f aca="false">((AA78*AA81)+((AA45*(1+Assumptions!$C$31))*O82))</f>
        <v>0</v>
      </c>
      <c r="AB82" s="9" t="n">
        <f aca="false">((AB78*AB81)+((AB45*(1+Assumptions!$C$31))*P82))</f>
        <v>108460</v>
      </c>
      <c r="AC82" s="9" t="n">
        <f aca="false">((AC78*AC81)+((AC45*(1+Assumptions!$C$31))*Q82))</f>
        <v>43443.84</v>
      </c>
      <c r="AD82" s="9" t="n">
        <f aca="false">((AD78*AD81)+((AD45*(1+Assumptions!$C$31))*R82))</f>
        <v>0</v>
      </c>
      <c r="AE82" s="9" t="n">
        <f aca="false">((AE78*AE81)+((AE45*(1+Assumptions!$C$31))*S82))</f>
        <v>108460</v>
      </c>
      <c r="AF82" s="9" t="n">
        <f aca="false">((AF78*AF81)+((AF45*(1+Assumptions!$C$31))*T82))</f>
        <v>0</v>
      </c>
      <c r="AG82" s="9" t="n">
        <f aca="false">((AG78*AG81)+((AG45*(1+Assumptions!$C$31))*U82))</f>
        <v>0</v>
      </c>
      <c r="AH82" s="9" t="n">
        <f aca="false">((AH78*AH81)+((AH45*(1+Assumptions!$C$31))*V82))</f>
        <v>108460</v>
      </c>
      <c r="AI82" s="9" t="n">
        <f aca="false">((AI78*AI81)+((AI45*(1+Assumptions!$C$31))*W82))</f>
        <v>0</v>
      </c>
      <c r="AJ82" s="9" t="n">
        <f aca="false">((AJ78*AJ81)+((AJ45*(1+Assumptions!$C$31))*X82))</f>
        <v>0</v>
      </c>
      <c r="AK82" s="9" t="n">
        <f aca="false">((AK78*AK81)+((AK45*(1+Assumptions!$C$31))*Y82))</f>
        <v>249502.88</v>
      </c>
      <c r="AL82" s="9" t="n">
        <f aca="false">((AL78*AL81)+((AL45*(1+Assumptions!$C$31))*Z82))</f>
        <v>0</v>
      </c>
      <c r="AN82" s="11" t="n">
        <f aca="false">SUM(C82:N82)</f>
        <v>0</v>
      </c>
      <c r="AO82" s="11" t="n">
        <f aca="false">SUM(O82:Z82)</f>
        <v>78540</v>
      </c>
      <c r="AP82" s="11" t="n">
        <f aca="false">SUM(AA82:AL82)</f>
        <v>618326.72</v>
      </c>
    </row>
    <row r="83" customFormat="false" ht="15" hidden="false" customHeight="false" outlineLevel="0" collapsed="false">
      <c r="A83" s="0" t="s">
        <v>889</v>
      </c>
      <c r="B83" s="0" t="s">
        <v>230</v>
      </c>
      <c r="C83" s="9" t="n">
        <f aca="false">(Assumptions!$D$126*C76)</f>
        <v>0</v>
      </c>
      <c r="D83" s="9" t="n">
        <f aca="false">(Assumptions!$D$126*D76)</f>
        <v>0</v>
      </c>
      <c r="E83" s="9" t="n">
        <f aca="false">(Assumptions!$D$126*E76)</f>
        <v>0</v>
      </c>
      <c r="F83" s="9" t="n">
        <f aca="false">(Assumptions!$D$126*F76)</f>
        <v>0</v>
      </c>
      <c r="G83" s="9" t="n">
        <f aca="false">(Assumptions!$D$126*G76)</f>
        <v>0</v>
      </c>
      <c r="H83" s="9" t="n">
        <f aca="false">(Assumptions!$D$126*H76)</f>
        <v>0</v>
      </c>
      <c r="I83" s="9" t="n">
        <f aca="false">(Assumptions!$D$126*I76)</f>
        <v>0</v>
      </c>
      <c r="J83" s="9" t="n">
        <f aca="false">(Assumptions!$D$126*J76)</f>
        <v>0</v>
      </c>
      <c r="K83" s="9" t="n">
        <f aca="false">(Assumptions!$D$126*K76)</f>
        <v>0</v>
      </c>
      <c r="L83" s="9" t="n">
        <f aca="false">(Assumptions!$D$126*L76)</f>
        <v>0</v>
      </c>
      <c r="M83" s="9" t="n">
        <f aca="false">(Assumptions!$D$126*M76)</f>
        <v>0</v>
      </c>
      <c r="N83" s="9" t="n">
        <f aca="false">(Assumptions!$D$126*N76)</f>
        <v>0</v>
      </c>
      <c r="O83" s="9" t="n">
        <f aca="false">(Assumptions!$D$126*O76)</f>
        <v>0</v>
      </c>
      <c r="P83" s="9" t="n">
        <f aca="false">(Assumptions!$D$126*P76)</f>
        <v>0</v>
      </c>
      <c r="Q83" s="9" t="n">
        <f aca="false">(Assumptions!$D$126*Q76)</f>
        <v>0</v>
      </c>
      <c r="R83" s="9" t="n">
        <f aca="false">(Assumptions!$D$126*R76)</f>
        <v>0</v>
      </c>
      <c r="S83" s="9" t="n">
        <f aca="false">(Assumptions!$D$126*S76)</f>
        <v>0</v>
      </c>
      <c r="T83" s="9" t="n">
        <f aca="false">(Assumptions!$D$126*T76)</f>
        <v>0</v>
      </c>
      <c r="U83" s="9" t="n">
        <f aca="false">(Assumptions!$D$126*U76)</f>
        <v>0</v>
      </c>
      <c r="V83" s="9" t="n">
        <f aca="false">(Assumptions!$D$126*V76)</f>
        <v>0</v>
      </c>
      <c r="W83" s="9" t="n">
        <f aca="false">(Assumptions!$D$126*W76)</f>
        <v>0</v>
      </c>
      <c r="X83" s="9" t="n">
        <f aca="false">(Assumptions!$D$126*X76)</f>
        <v>0</v>
      </c>
      <c r="Y83" s="9" t="n">
        <f aca="false">(Assumptions!$D$126*Y76)</f>
        <v>6750</v>
      </c>
      <c r="Z83" s="9" t="n">
        <f aca="false">(Assumptions!$D$126*Z76)</f>
        <v>0</v>
      </c>
      <c r="AA83" s="9" t="n">
        <f aca="false">(Assumptions!$D$126*AA76)</f>
        <v>0</v>
      </c>
      <c r="AB83" s="9" t="n">
        <f aca="false">(Assumptions!$D$126*AB76)</f>
        <v>6750</v>
      </c>
      <c r="AC83" s="9" t="n">
        <f aca="false">(Assumptions!$D$126*AC76)</f>
        <v>0</v>
      </c>
      <c r="AD83" s="9" t="n">
        <f aca="false">(Assumptions!$D$126*AD76)</f>
        <v>0</v>
      </c>
      <c r="AE83" s="9" t="n">
        <f aca="false">(Assumptions!$D$126*AE76)</f>
        <v>6750</v>
      </c>
      <c r="AF83" s="9" t="n">
        <f aca="false">(Assumptions!$D$126*AF76)</f>
        <v>0</v>
      </c>
      <c r="AG83" s="9" t="n">
        <f aca="false">(Assumptions!$D$126*AG76)</f>
        <v>0</v>
      </c>
      <c r="AH83" s="9" t="n">
        <f aca="false">(Assumptions!$D$126*AH76)</f>
        <v>6750</v>
      </c>
      <c r="AI83" s="9" t="n">
        <f aca="false">(Assumptions!$D$126*AI76)</f>
        <v>0</v>
      </c>
      <c r="AJ83" s="9" t="n">
        <f aca="false">(Assumptions!$D$126*AJ76)</f>
        <v>0</v>
      </c>
      <c r="AK83" s="9" t="n">
        <f aca="false">(Assumptions!$D$126*AK76)</f>
        <v>13500</v>
      </c>
      <c r="AL83" s="9" t="n">
        <f aca="false">(Assumptions!$D$126*AL76)</f>
        <v>0</v>
      </c>
      <c r="AN83" s="11" t="n">
        <f aca="false">SUM(C83:N83)</f>
        <v>0</v>
      </c>
      <c r="AO83" s="11" t="n">
        <f aca="false">SUM(O83:Z83)</f>
        <v>6750</v>
      </c>
      <c r="AP83" s="11" t="n">
        <f aca="false">SUM(AA83:AL83)</f>
        <v>33750</v>
      </c>
    </row>
    <row r="84" customFormat="false" ht="15" hidden="false" customHeight="false" outlineLevel="0" collapsed="false">
      <c r="A84" s="0" t="s">
        <v>890</v>
      </c>
      <c r="B84" s="0" t="s">
        <v>230</v>
      </c>
      <c r="C84" s="9" t="n">
        <f aca="false">((C82-C83)/12)</f>
        <v>0</v>
      </c>
      <c r="D84" s="9" t="n">
        <f aca="false">((SUM(C82:D82)-SUM(C83:D83))/12)</f>
        <v>0</v>
      </c>
      <c r="E84" s="9" t="n">
        <f aca="false">((SUM(C82:E82)-SUM(C83:E83))/12)</f>
        <v>0</v>
      </c>
      <c r="F84" s="9" t="n">
        <f aca="false">((SUM(C82:F82)-SUM(C83:F83))/12)</f>
        <v>0</v>
      </c>
      <c r="G84" s="9" t="n">
        <f aca="false">((SUM(C82:G82)-SUM(C83:G83))/12)</f>
        <v>0</v>
      </c>
      <c r="H84" s="9" t="n">
        <f aca="false">((SUM(C82:H82)-SUM(C83:H83))/12)</f>
        <v>0</v>
      </c>
      <c r="I84" s="9" t="n">
        <f aca="false">((SUM(C82:I82)-SUM(C83:I83))/12)</f>
        <v>0</v>
      </c>
      <c r="J84" s="9" t="n">
        <f aca="false">((SUM(C82:J82)-SUM(C83:J83))/12)</f>
        <v>0</v>
      </c>
      <c r="K84" s="9" t="n">
        <f aca="false">((SUM(C82:K82)-SUM(C83:K83))/12)</f>
        <v>0</v>
      </c>
      <c r="L84" s="9" t="n">
        <f aca="false">((SUM(C82:L82)-SUM(C83:L83))/12)</f>
        <v>0</v>
      </c>
      <c r="M84" s="9" t="n">
        <f aca="false">((SUM(C82:M82)-SUM(C83:M83))/12)</f>
        <v>0</v>
      </c>
      <c r="N84" s="9" t="n">
        <f aca="false">((SUM(C82:N82)-SUM(C83:N83))/12)</f>
        <v>0</v>
      </c>
      <c r="O84" s="9" t="n">
        <f aca="false">((SUM(D82:O82)-SUM(D83:O83))/12)</f>
        <v>0</v>
      </c>
      <c r="P84" s="9" t="n">
        <f aca="false">((SUM(E82:P82)-SUM(E83:P83))/12)</f>
        <v>0</v>
      </c>
      <c r="Q84" s="9" t="n">
        <f aca="false">((SUM(F82:Q82)-SUM(F83:Q83))/12)</f>
        <v>3740</v>
      </c>
      <c r="R84" s="9" t="n">
        <f aca="false">((SUM(G82:R82)-SUM(G83:R83))/12)</f>
        <v>3740</v>
      </c>
      <c r="S84" s="9" t="n">
        <f aca="false">((SUM(H82:S82)-SUM(H83:S83))/12)</f>
        <v>3740</v>
      </c>
      <c r="T84" s="9" t="n">
        <f aca="false">((SUM(I82:T82)-SUM(I83:T83))/12)</f>
        <v>3740</v>
      </c>
      <c r="U84" s="9" t="n">
        <f aca="false">((SUM(J82:U82)-SUM(J83:U83))/12)</f>
        <v>3740</v>
      </c>
      <c r="V84" s="9" t="n">
        <f aca="false">((SUM(K82:V82)-SUM(K83:V83))/12)</f>
        <v>3740</v>
      </c>
      <c r="W84" s="9" t="n">
        <f aca="false">((SUM(L82:W82)-SUM(L83:W83))/12)</f>
        <v>3740</v>
      </c>
      <c r="X84" s="9" t="n">
        <f aca="false">((SUM(M82:X82)-SUM(M83:X83))/12)</f>
        <v>3740</v>
      </c>
      <c r="Y84" s="9" t="n">
        <f aca="false">((SUM(N82:Y82)-SUM(N83:Y83))/12)</f>
        <v>5982.5</v>
      </c>
      <c r="Z84" s="9" t="n">
        <f aca="false">((SUM(O82:Z82)-SUM(O83:Z83))/12)</f>
        <v>5982.5</v>
      </c>
      <c r="AA84" s="9" t="n">
        <f aca="false">((SUM(P82:AA82)-SUM(P83:AA83))/12)</f>
        <v>5982.5</v>
      </c>
      <c r="AB84" s="9" t="n">
        <f aca="false">((SUM(Q82:AB82)-SUM(Q83:AB83))/12)</f>
        <v>14458.3333333333</v>
      </c>
      <c r="AC84" s="9" t="n">
        <f aca="false">((SUM(R82:AC82)-SUM(R83:AC83))/12)</f>
        <v>14338.6533333333</v>
      </c>
      <c r="AD84" s="9" t="n">
        <f aca="false">((SUM(S82:AD82)-SUM(S83:AD83))/12)</f>
        <v>14338.6533333333</v>
      </c>
      <c r="AE84" s="9" t="n">
        <f aca="false">((SUM(T82:AE82)-SUM(T83:AE83))/12)</f>
        <v>22814.4866666667</v>
      </c>
      <c r="AF84" s="9" t="n">
        <f aca="false">((SUM(U82:AF82)-SUM(U83:AF83))/12)</f>
        <v>22814.4866666667</v>
      </c>
      <c r="AG84" s="9" t="n">
        <f aca="false">((SUM(V82:AG82)-SUM(V83:AG83))/12)</f>
        <v>22814.4866666667</v>
      </c>
      <c r="AH84" s="9" t="n">
        <f aca="false">((SUM(W82:AH82)-SUM(W83:AH83))/12)</f>
        <v>31290.32</v>
      </c>
      <c r="AI84" s="9" t="n">
        <f aca="false">((SUM(X82:AI82)-SUM(X83:AI83))/12)</f>
        <v>31290.32</v>
      </c>
      <c r="AJ84" s="9" t="n">
        <f aca="false">((SUM(Y82:AJ82)-SUM(Y83:AJ83))/12)</f>
        <v>31290.32</v>
      </c>
      <c r="AK84" s="9" t="n">
        <f aca="false">((SUM(Z82:AK82)-SUM(Z83:AK83))/12)</f>
        <v>48714.7266666667</v>
      </c>
      <c r="AL84" s="9" t="n">
        <f aca="false">((SUM(AA82:AL82)-SUM(AA83:AL83))/12)</f>
        <v>48714.7266666667</v>
      </c>
      <c r="AN84" s="11" t="n">
        <f aca="false">SUM(C84:N84)</f>
        <v>0</v>
      </c>
      <c r="AO84" s="11" t="n">
        <f aca="false">SUM(O84:Z84)</f>
        <v>41885</v>
      </c>
      <c r="AP84" s="11" t="n">
        <f aca="false">SUM(AA84:AL84)</f>
        <v>308862.013333333</v>
      </c>
    </row>
    <row r="85" customFormat="false" ht="15" hidden="false" customHeight="false" outlineLevel="0" collapsed="false">
      <c r="A85" s="0" t="s">
        <v>891</v>
      </c>
      <c r="B85" s="0" t="s">
        <v>230</v>
      </c>
      <c r="C85" s="9" t="n">
        <f aca="false">(C82-C83)</f>
        <v>0</v>
      </c>
      <c r="D85" s="9" t="n">
        <f aca="false">(D82-D83)</f>
        <v>0</v>
      </c>
      <c r="E85" s="9" t="n">
        <f aca="false">(E82-E83)</f>
        <v>0</v>
      </c>
      <c r="F85" s="9" t="n">
        <f aca="false">(F82-F83)</f>
        <v>0</v>
      </c>
      <c r="G85" s="9" t="n">
        <f aca="false">(G82-G83)</f>
        <v>0</v>
      </c>
      <c r="H85" s="9" t="n">
        <f aca="false">(H82-H83)</f>
        <v>0</v>
      </c>
      <c r="I85" s="9" t="n">
        <f aca="false">(I82-I83)</f>
        <v>0</v>
      </c>
      <c r="J85" s="9" t="n">
        <f aca="false">(J82-J83)</f>
        <v>0</v>
      </c>
      <c r="K85" s="9" t="n">
        <f aca="false">(K82-K83)</f>
        <v>0</v>
      </c>
      <c r="L85" s="9" t="n">
        <f aca="false">(L82-L83)</f>
        <v>0</v>
      </c>
      <c r="M85" s="9" t="n">
        <f aca="false">(M82-M83)</f>
        <v>0</v>
      </c>
      <c r="N85" s="9" t="n">
        <f aca="false">(N82-N83)</f>
        <v>0</v>
      </c>
      <c r="O85" s="9" t="n">
        <f aca="false">(O82-O83)</f>
        <v>0</v>
      </c>
      <c r="P85" s="9" t="n">
        <f aca="false">(P82-P83)</f>
        <v>0</v>
      </c>
      <c r="Q85" s="9" t="n">
        <f aca="false">(Q82-Q83)</f>
        <v>44880</v>
      </c>
      <c r="R85" s="9" t="n">
        <f aca="false">(R82-R83)</f>
        <v>0</v>
      </c>
      <c r="S85" s="9" t="n">
        <f aca="false">(S82-S83)</f>
        <v>0</v>
      </c>
      <c r="T85" s="9" t="n">
        <f aca="false">(T82-T83)</f>
        <v>0</v>
      </c>
      <c r="U85" s="9" t="n">
        <f aca="false">(U82-U83)</f>
        <v>0</v>
      </c>
      <c r="V85" s="9" t="n">
        <f aca="false">(V82-V83)</f>
        <v>0</v>
      </c>
      <c r="W85" s="9" t="n">
        <f aca="false">(W82-W83)</f>
        <v>0</v>
      </c>
      <c r="X85" s="9" t="n">
        <f aca="false">(X82-X83)</f>
        <v>0</v>
      </c>
      <c r="Y85" s="9" t="n">
        <f aca="false">(Y82-Y83)</f>
        <v>26910</v>
      </c>
      <c r="Z85" s="9" t="n">
        <f aca="false">(Z82-Z83)</f>
        <v>0</v>
      </c>
      <c r="AA85" s="9" t="n">
        <f aca="false">(AA82-AA83)</f>
        <v>0</v>
      </c>
      <c r="AB85" s="9" t="n">
        <f aca="false">(AB82-AB83)</f>
        <v>101710</v>
      </c>
      <c r="AC85" s="9" t="n">
        <f aca="false">(AC82-AC83)</f>
        <v>43443.84</v>
      </c>
      <c r="AD85" s="9" t="n">
        <f aca="false">(AD82-AD83)</f>
        <v>0</v>
      </c>
      <c r="AE85" s="9" t="n">
        <f aca="false">(AE82-AE83)</f>
        <v>101710</v>
      </c>
      <c r="AF85" s="9" t="n">
        <f aca="false">(AF82-AF83)</f>
        <v>0</v>
      </c>
      <c r="AG85" s="9" t="n">
        <f aca="false">(AG82-AG83)</f>
        <v>0</v>
      </c>
      <c r="AH85" s="9" t="n">
        <f aca="false">(AH82-AH83)</f>
        <v>101710</v>
      </c>
      <c r="AI85" s="9" t="n">
        <f aca="false">(AI82-AI83)</f>
        <v>0</v>
      </c>
      <c r="AJ85" s="9" t="n">
        <f aca="false">(AJ82-AJ83)</f>
        <v>0</v>
      </c>
      <c r="AK85" s="9" t="n">
        <f aca="false">(AK82-AK83)</f>
        <v>236002.88</v>
      </c>
      <c r="AL85" s="9" t="n">
        <f aca="false">(AL82-AL83)</f>
        <v>0</v>
      </c>
      <c r="AN85" s="11" t="n">
        <f aca="false">SUM(C85:N85)</f>
        <v>0</v>
      </c>
      <c r="AO85" s="11" t="n">
        <f aca="false">SUM(O85:Z85)</f>
        <v>71790</v>
      </c>
      <c r="AP85" s="11" t="n">
        <f aca="false">SUM(AA85:AL85)</f>
        <v>584576.72</v>
      </c>
    </row>
    <row r="86" customFormat="false" ht="15" hidden="false" customHeight="false" outlineLevel="0" collapsed="false">
      <c r="A86" s="0" t="s">
        <v>892</v>
      </c>
      <c r="B86" s="0" t="s">
        <v>230</v>
      </c>
      <c r="C86" s="9" t="n">
        <f aca="false">(((Assumptions!$D$122*$C$10)/6)*C75)</f>
        <v>0</v>
      </c>
      <c r="D86" s="9" t="n">
        <f aca="false">(((Assumptions!$D$122*$C$10)/6)*D75)</f>
        <v>0</v>
      </c>
      <c r="E86" s="9" t="n">
        <f aca="false">(((Assumptions!$D$122*$C$10)/6)*E75)</f>
        <v>0</v>
      </c>
      <c r="F86" s="9" t="n">
        <f aca="false">(((Assumptions!$D$122*$C$10)/6)*F75)</f>
        <v>0</v>
      </c>
      <c r="G86" s="9" t="n">
        <f aca="false">(((Assumptions!$D$122*$C$10)/6)*G75)</f>
        <v>0</v>
      </c>
      <c r="H86" s="9" t="n">
        <f aca="false">(((Assumptions!$D$122*$C$10)/6)*H75)</f>
        <v>0</v>
      </c>
      <c r="I86" s="9" t="n">
        <f aca="false">(((Assumptions!$D$122*$C$10)/6)*I75)</f>
        <v>0</v>
      </c>
      <c r="J86" s="9" t="n">
        <f aca="false">(((Assumptions!$D$122*$C$10)/6)*J75)</f>
        <v>0</v>
      </c>
      <c r="K86" s="9" t="n">
        <f aca="false">(((Assumptions!$D$122*$C$10)/6)*K75)</f>
        <v>0</v>
      </c>
      <c r="L86" s="9" t="n">
        <f aca="false">(((Assumptions!$D$122*$C$10)/6)*L75)</f>
        <v>0</v>
      </c>
      <c r="M86" s="9" t="n">
        <f aca="false">(((Assumptions!$D$122*$C$10)/6)*M75)</f>
        <v>0</v>
      </c>
      <c r="N86" s="9" t="n">
        <f aca="false">(((Assumptions!$D$122*$C$10)/6)*N75)</f>
        <v>0</v>
      </c>
      <c r="O86" s="9" t="n">
        <f aca="false">(((Assumptions!$D$122*$C$10)/6)*O75)</f>
        <v>0</v>
      </c>
      <c r="P86" s="9" t="n">
        <f aca="false">(((Assumptions!$D$122*$C$10)/6)*P75)</f>
        <v>0</v>
      </c>
      <c r="Q86" s="9" t="n">
        <f aca="false">(((Assumptions!$D$122*$C$10)/6)*Q75)</f>
        <v>0</v>
      </c>
      <c r="R86" s="9" t="n">
        <f aca="false">(((Assumptions!$D$122*$C$10)/6)*R75)</f>
        <v>5000</v>
      </c>
      <c r="S86" s="9" t="n">
        <f aca="false">(((Assumptions!$D$122*$C$10)/6)*S75)</f>
        <v>5000</v>
      </c>
      <c r="T86" s="9" t="n">
        <f aca="false">(((Assumptions!$D$122*$C$10)/6)*T75)</f>
        <v>5000</v>
      </c>
      <c r="U86" s="9" t="n">
        <f aca="false">(((Assumptions!$D$122*$C$10)/6)*U75)</f>
        <v>10000</v>
      </c>
      <c r="V86" s="9" t="n">
        <f aca="false">(((Assumptions!$D$122*$C$10)/6)*V75)</f>
        <v>10000</v>
      </c>
      <c r="W86" s="9" t="n">
        <f aca="false">(((Assumptions!$D$122*$C$10)/6)*W75)</f>
        <v>10000</v>
      </c>
      <c r="X86" s="9" t="n">
        <f aca="false">(((Assumptions!$D$122*$C$10)/6)*X75)</f>
        <v>10000</v>
      </c>
      <c r="Y86" s="9" t="n">
        <f aca="false">(((Assumptions!$D$122*$C$10)/6)*Y75)</f>
        <v>10000</v>
      </c>
      <c r="Z86" s="9" t="n">
        <f aca="false">(((Assumptions!$D$122*$C$10)/6)*Z75)</f>
        <v>10000</v>
      </c>
      <c r="AA86" s="9" t="n">
        <f aca="false">(((Assumptions!$D$122*$C$10)/6)*AA75)</f>
        <v>10000</v>
      </c>
      <c r="AB86" s="9" t="n">
        <f aca="false">(((Assumptions!$D$122*$C$10)/6)*AB75)</f>
        <v>10000</v>
      </c>
      <c r="AC86" s="9" t="n">
        <f aca="false">(((Assumptions!$D$122*$C$10)/6)*AC75)</f>
        <v>10000</v>
      </c>
      <c r="AD86" s="9" t="n">
        <f aca="false">(((Assumptions!$D$122*$C$10)/6)*AD75)</f>
        <v>15000</v>
      </c>
      <c r="AE86" s="9" t="n">
        <f aca="false">(((Assumptions!$D$122*$C$10)/6)*AE75)</f>
        <v>15000</v>
      </c>
      <c r="AF86" s="9" t="n">
        <f aca="false">(((Assumptions!$D$122*$C$10)/6)*AF75)</f>
        <v>15000</v>
      </c>
      <c r="AG86" s="9" t="n">
        <f aca="false">(((Assumptions!$D$122*$C$10)/6)*AG75)</f>
        <v>20000</v>
      </c>
      <c r="AH86" s="9" t="n">
        <f aca="false">(((Assumptions!$D$122*$C$10)/6)*AH75)</f>
        <v>20000</v>
      </c>
      <c r="AI86" s="9" t="n">
        <f aca="false">(((Assumptions!$D$122*$C$10)/6)*AI75)</f>
        <v>20000</v>
      </c>
      <c r="AJ86" s="9" t="n">
        <f aca="false">(((Assumptions!$D$122*$C$10)/6)*AJ75)</f>
        <v>20000</v>
      </c>
      <c r="AK86" s="9" t="n">
        <f aca="false">(((Assumptions!$D$122*$C$10)/6)*AK75)</f>
        <v>20000</v>
      </c>
      <c r="AL86" s="9" t="n">
        <f aca="false">(((Assumptions!$D$122*$C$10)/6)*AL75)</f>
        <v>20000</v>
      </c>
      <c r="AN86" s="11" t="n">
        <f aca="false">SUM(C86:N86)</f>
        <v>0</v>
      </c>
      <c r="AO86" s="11" t="n">
        <f aca="false">SUM(O86:Z86)</f>
        <v>75000</v>
      </c>
      <c r="AP86" s="11" t="n">
        <f aca="false">SUM(AA86:AL86)</f>
        <v>195000</v>
      </c>
    </row>
    <row r="87" customFormat="false" ht="15" hidden="false" customHeight="false" outlineLevel="0" collapsed="false">
      <c r="A87" s="0" t="s">
        <v>893</v>
      </c>
      <c r="B87" s="0" t="s">
        <v>230</v>
      </c>
      <c r="C87" s="9" t="n">
        <f aca="false">((Assumptions!$D$122*$C$10)*C69)</f>
        <v>0</v>
      </c>
      <c r="D87" s="9" t="n">
        <f aca="false">((Assumptions!$D$122*$C$10)*D69)</f>
        <v>0</v>
      </c>
      <c r="E87" s="9" t="n">
        <f aca="false">((Assumptions!$D$122*$C$10)*E69)</f>
        <v>0</v>
      </c>
      <c r="F87" s="9" t="n">
        <f aca="false">((Assumptions!$D$122*$C$10)*F69)</f>
        <v>0</v>
      </c>
      <c r="G87" s="9" t="n">
        <f aca="false">((Assumptions!$D$122*$C$10)*G69)</f>
        <v>0</v>
      </c>
      <c r="H87" s="9" t="n">
        <f aca="false">((Assumptions!$D$122*$C$10)*H69)</f>
        <v>0</v>
      </c>
      <c r="I87" s="9" t="n">
        <f aca="false">((Assumptions!$D$122*$C$10)*I69)</f>
        <v>0</v>
      </c>
      <c r="J87" s="9" t="n">
        <f aca="false">((Assumptions!$D$122*$C$10)*J69)</f>
        <v>0</v>
      </c>
      <c r="K87" s="9" t="n">
        <f aca="false">((Assumptions!$D$122*$C$10)*K69)</f>
        <v>0</v>
      </c>
      <c r="L87" s="9" t="n">
        <f aca="false">((Assumptions!$D$122*$C$10)*L69)</f>
        <v>0</v>
      </c>
      <c r="M87" s="9" t="n">
        <f aca="false">((Assumptions!$D$122*$C$10)*M69)</f>
        <v>0</v>
      </c>
      <c r="N87" s="9" t="n">
        <f aca="false">((Assumptions!$D$122*$C$10)*N69)</f>
        <v>0</v>
      </c>
      <c r="O87" s="9" t="n">
        <f aca="false">((Assumptions!$D$122*$C$10)*O69)</f>
        <v>0</v>
      </c>
      <c r="P87" s="9" t="n">
        <f aca="false">((Assumptions!$D$122*$C$10)*P69)</f>
        <v>0</v>
      </c>
      <c r="Q87" s="9" t="n">
        <f aca="false">((Assumptions!$D$122*$C$10)*Q69)</f>
        <v>0</v>
      </c>
      <c r="R87" s="9" t="n">
        <f aca="false">((Assumptions!$D$122*$C$10)*R69)</f>
        <v>30000</v>
      </c>
      <c r="S87" s="9" t="n">
        <f aca="false">((Assumptions!$D$122*$C$10)*S69)</f>
        <v>0</v>
      </c>
      <c r="T87" s="9" t="n">
        <f aca="false">((Assumptions!$D$122*$C$10)*T69)</f>
        <v>0</v>
      </c>
      <c r="U87" s="9" t="n">
        <f aca="false">((Assumptions!$D$122*$C$10)*U69)</f>
        <v>30000</v>
      </c>
      <c r="V87" s="9" t="n">
        <f aca="false">((Assumptions!$D$122*$C$10)*V69)</f>
        <v>0</v>
      </c>
      <c r="W87" s="9" t="n">
        <f aca="false">((Assumptions!$D$122*$C$10)*W69)</f>
        <v>0</v>
      </c>
      <c r="X87" s="9" t="n">
        <f aca="false">((Assumptions!$D$122*$C$10)*X69)</f>
        <v>30000</v>
      </c>
      <c r="Y87" s="9" t="n">
        <f aca="false">((Assumptions!$D$122*$C$10)*Y69)</f>
        <v>0</v>
      </c>
      <c r="Z87" s="9" t="n">
        <f aca="false">((Assumptions!$D$122*$C$10)*Z69)</f>
        <v>0</v>
      </c>
      <c r="AA87" s="9" t="n">
        <f aca="false">((Assumptions!$D$122*$C$10)*AA69)</f>
        <v>30000</v>
      </c>
      <c r="AB87" s="9" t="n">
        <f aca="false">((Assumptions!$D$122*$C$10)*AB69)</f>
        <v>0</v>
      </c>
      <c r="AC87" s="9" t="n">
        <f aca="false">((Assumptions!$D$122*$C$10)*AC69)</f>
        <v>0</v>
      </c>
      <c r="AD87" s="9" t="n">
        <f aca="false">((Assumptions!$D$122*$C$10)*AD69)</f>
        <v>60000</v>
      </c>
      <c r="AE87" s="9" t="n">
        <f aca="false">((Assumptions!$D$122*$C$10)*AE69)</f>
        <v>0</v>
      </c>
      <c r="AF87" s="9" t="n">
        <f aca="false">((Assumptions!$D$122*$C$10)*AF69)</f>
        <v>0</v>
      </c>
      <c r="AG87" s="9" t="n">
        <f aca="false">((Assumptions!$D$122*$C$10)*AG69)</f>
        <v>60000</v>
      </c>
      <c r="AH87" s="9" t="n">
        <f aca="false">((Assumptions!$D$122*$C$10)*AH69)</f>
        <v>0</v>
      </c>
      <c r="AI87" s="9" t="n">
        <f aca="false">((Assumptions!$D$122*$C$10)*AI69)</f>
        <v>0</v>
      </c>
      <c r="AJ87" s="9" t="n">
        <f aca="false">((Assumptions!$D$122*$C$10)*AJ69)</f>
        <v>60000</v>
      </c>
      <c r="AK87" s="9" t="n">
        <f aca="false">((Assumptions!$D$122*$C$10)*AK69)</f>
        <v>0</v>
      </c>
      <c r="AL87" s="9" t="n">
        <f aca="false">((Assumptions!$D$122*$C$10)*AL69)</f>
        <v>0</v>
      </c>
      <c r="AN87" s="11" t="n">
        <f aca="false">SUM(C87:N87)</f>
        <v>0</v>
      </c>
      <c r="AO87" s="11" t="n">
        <f aca="false">SUM(O87:Z87)</f>
        <v>90000</v>
      </c>
      <c r="AP87" s="11" t="n">
        <f aca="false">SUM(AA87:AL87)</f>
        <v>210000</v>
      </c>
    </row>
    <row r="88" customFormat="false" ht="15" hidden="false" customHeight="false" outlineLevel="0" collapsed="false">
      <c r="A88" s="0" t="s">
        <v>894</v>
      </c>
      <c r="B88" s="0" t="s">
        <v>230</v>
      </c>
      <c r="C88" s="9" t="n">
        <f aca="false">((Assumptions!$D$123*$C$10)+(Assumptions!$C$34*Assumptions!$C$35))</f>
        <v>46000</v>
      </c>
      <c r="D88" s="9" t="n">
        <f aca="false">((Assumptions!$D$123*$C$10)+(Assumptions!$C$34*Assumptions!$C$35))</f>
        <v>46000</v>
      </c>
      <c r="E88" s="9" t="n">
        <f aca="false">((Assumptions!$D$123*$C$10)+(Assumptions!$C$34*Assumptions!$C$35))</f>
        <v>46000</v>
      </c>
      <c r="F88" s="9" t="n">
        <f aca="false">((Assumptions!$D$123*$C$10)+(Assumptions!$C$34*Assumptions!$C$35))</f>
        <v>46000</v>
      </c>
      <c r="G88" s="9" t="n">
        <f aca="false">((Assumptions!$D$123*$C$10)+(Assumptions!$C$34*Assumptions!$C$35))</f>
        <v>46000</v>
      </c>
      <c r="H88" s="9" t="n">
        <f aca="false">((Assumptions!$D$123*$C$10)+(Assumptions!$C$34*Assumptions!$C$35))</f>
        <v>46000</v>
      </c>
      <c r="I88" s="9" t="n">
        <f aca="false">((Assumptions!$D$123*$C$10)+(Assumptions!$C$34*Assumptions!$C$35))</f>
        <v>46000</v>
      </c>
      <c r="J88" s="9" t="n">
        <f aca="false">((Assumptions!$D$123*$C$10)+(Assumptions!$C$34*Assumptions!$C$35))</f>
        <v>46000</v>
      </c>
      <c r="K88" s="9" t="n">
        <f aca="false">((Assumptions!$D$123*$C$10)+(Assumptions!$C$34*Assumptions!$C$35))</f>
        <v>46000</v>
      </c>
      <c r="L88" s="9" t="n">
        <f aca="false">((Assumptions!$D$123*$C$10)+(Assumptions!$C$34*Assumptions!$C$35))</f>
        <v>46000</v>
      </c>
      <c r="M88" s="9" t="n">
        <f aca="false">((Assumptions!$D$123*$C$10)+(Assumptions!$C$34*Assumptions!$C$35))</f>
        <v>46000</v>
      </c>
      <c r="N88" s="9" t="n">
        <f aca="false">((Assumptions!$D$123*$C$10)+(Assumptions!$C$34*Assumptions!$C$35))</f>
        <v>46000</v>
      </c>
      <c r="O88" s="9" t="n">
        <f aca="false">((Assumptions!$D$123*$C$10)+(Assumptions!$C$34*Assumptions!$C$35))</f>
        <v>46000</v>
      </c>
      <c r="P88" s="9" t="n">
        <f aca="false">((Assumptions!$D$123*$C$10)+(Assumptions!$C$34*Assumptions!$C$35))</f>
        <v>46000</v>
      </c>
      <c r="Q88" s="9" t="n">
        <f aca="false">((Assumptions!$D$123*$C$10)+(Assumptions!$C$34*Assumptions!$C$35))</f>
        <v>46000</v>
      </c>
      <c r="R88" s="9" t="n">
        <f aca="false">((Assumptions!$D$123*$C$10)+(Assumptions!$C$34*Assumptions!$C$35))</f>
        <v>46000</v>
      </c>
      <c r="S88" s="9" t="n">
        <f aca="false">((Assumptions!$D$123*$C$10)+(Assumptions!$C$34*Assumptions!$C$35))</f>
        <v>46000</v>
      </c>
      <c r="T88" s="9" t="n">
        <f aca="false">((Assumptions!$D$123*$C$10)+(Assumptions!$C$34*Assumptions!$C$35))</f>
        <v>46000</v>
      </c>
      <c r="U88" s="9" t="n">
        <f aca="false">((Assumptions!$D$123*$C$10)+(Assumptions!$C$34*Assumptions!$C$35))</f>
        <v>46000</v>
      </c>
      <c r="V88" s="9" t="n">
        <f aca="false">((Assumptions!$D$123*$C$10)+(Assumptions!$C$34*Assumptions!$C$35))</f>
        <v>46000</v>
      </c>
      <c r="W88" s="9" t="n">
        <f aca="false">((Assumptions!$D$123*$C$10)+(Assumptions!$C$34*Assumptions!$C$35))</f>
        <v>46000</v>
      </c>
      <c r="X88" s="9" t="n">
        <f aca="false">((Assumptions!$D$123*$C$10)+(Assumptions!$C$34*Assumptions!$C$35))</f>
        <v>46000</v>
      </c>
      <c r="Y88" s="9" t="n">
        <f aca="false">((Assumptions!$D$123*$C$10)+(Assumptions!$C$34*Assumptions!$C$35))</f>
        <v>46000</v>
      </c>
      <c r="Z88" s="9" t="n">
        <f aca="false">((Assumptions!$D$123*$C$10)+(Assumptions!$C$34*Assumptions!$C$35))</f>
        <v>46000</v>
      </c>
      <c r="AA88" s="9" t="n">
        <f aca="false">((Assumptions!$D$123*$C$10)+(Assumptions!$C$34*Assumptions!$C$35))</f>
        <v>46000</v>
      </c>
      <c r="AB88" s="9" t="n">
        <f aca="false">((Assumptions!$D$123*$C$10)+(Assumptions!$C$34*Assumptions!$C$35))</f>
        <v>46000</v>
      </c>
      <c r="AC88" s="9" t="n">
        <f aca="false">((Assumptions!$D$123*$C$10)+(Assumptions!$C$34*Assumptions!$C$35))</f>
        <v>46000</v>
      </c>
      <c r="AD88" s="9" t="n">
        <f aca="false">((Assumptions!$D$123*$C$10)+(Assumptions!$C$34*Assumptions!$C$35))</f>
        <v>46000</v>
      </c>
      <c r="AE88" s="9" t="n">
        <f aca="false">((Assumptions!$D$123*$C$10)+(Assumptions!$C$34*Assumptions!$C$35))</f>
        <v>46000</v>
      </c>
      <c r="AF88" s="9" t="n">
        <f aca="false">((Assumptions!$D$123*$C$10)+(Assumptions!$C$34*Assumptions!$C$35))</f>
        <v>46000</v>
      </c>
      <c r="AG88" s="9" t="n">
        <f aca="false">((Assumptions!$D$123*$C$10)+(Assumptions!$C$34*Assumptions!$C$35))</f>
        <v>46000</v>
      </c>
      <c r="AH88" s="9" t="n">
        <f aca="false">((Assumptions!$D$123*$C$10)+(Assumptions!$C$34*Assumptions!$C$35))</f>
        <v>46000</v>
      </c>
      <c r="AI88" s="9" t="n">
        <f aca="false">((Assumptions!$D$123*$C$10)+(Assumptions!$C$34*Assumptions!$C$35))</f>
        <v>46000</v>
      </c>
      <c r="AJ88" s="9" t="n">
        <f aca="false">((Assumptions!$D$123*$C$10)+(Assumptions!$C$34*Assumptions!$C$35))</f>
        <v>46000</v>
      </c>
      <c r="AK88" s="9" t="n">
        <f aca="false">((Assumptions!$D$123*$C$10)+(Assumptions!$C$34*Assumptions!$C$35))</f>
        <v>46000</v>
      </c>
      <c r="AL88" s="9" t="n">
        <f aca="false">((Assumptions!$D$123*$C$10)+(Assumptions!$C$34*Assumptions!$C$35))</f>
        <v>46000</v>
      </c>
    </row>
    <row r="89" customFormat="false" ht="15" hidden="false" customHeight="false" outlineLevel="0" collapsed="false">
      <c r="A89" s="0" t="s">
        <v>895</v>
      </c>
      <c r="B89" s="0" t="s">
        <v>230</v>
      </c>
      <c r="C89" s="9" t="n">
        <f aca="false">((C88/3)*C73)</f>
        <v>0</v>
      </c>
      <c r="D89" s="9" t="n">
        <f aca="false">((D88/3)*SUM(C73:D73))</f>
        <v>0</v>
      </c>
      <c r="E89" s="9" t="n">
        <f aca="false">((E88/3)*SUM(C73:E73))</f>
        <v>0</v>
      </c>
      <c r="F89" s="9" t="n">
        <f aca="false">((F88/3)*SUM(D73:F73))</f>
        <v>0</v>
      </c>
      <c r="G89" s="9" t="n">
        <f aca="false">((G88/3)*SUM(E73:G73))</f>
        <v>0</v>
      </c>
      <c r="H89" s="9" t="n">
        <f aca="false">((H88/3)*SUM(F73:H73))</f>
        <v>0</v>
      </c>
      <c r="I89" s="9" t="n">
        <f aca="false">((I88/3)*SUM(G73:I73))</f>
        <v>0</v>
      </c>
      <c r="J89" s="9" t="n">
        <f aca="false">((J88/3)*SUM(H73:J73))</f>
        <v>0</v>
      </c>
      <c r="K89" s="9" t="n">
        <f aca="false">((K88/3)*SUM(I73:K73))</f>
        <v>0</v>
      </c>
      <c r="L89" s="9" t="n">
        <f aca="false">((L88/3)*SUM(J73:L73))</f>
        <v>0</v>
      </c>
      <c r="M89" s="9" t="n">
        <f aca="false">((M88/3)*SUM(K73:M73))</f>
        <v>0</v>
      </c>
      <c r="N89" s="9" t="n">
        <f aca="false">((N88/3)*SUM(L73:N73))</f>
        <v>0</v>
      </c>
      <c r="O89" s="9" t="n">
        <f aca="false">((O88/3)*SUM(M73:O73))</f>
        <v>0</v>
      </c>
      <c r="P89" s="9" t="n">
        <f aca="false">((P88/3)*SUM(N73:P73))</f>
        <v>0</v>
      </c>
      <c r="Q89" s="9" t="n">
        <f aca="false">((Q88/3)*SUM(O73:Q73))</f>
        <v>0</v>
      </c>
      <c r="R89" s="9" t="n">
        <f aca="false">((R88/3)*SUM(P73:R73))</f>
        <v>15333.3333333333</v>
      </c>
      <c r="S89" s="9" t="n">
        <f aca="false">((S88/3)*SUM(Q73:S73))</f>
        <v>15333.3333333333</v>
      </c>
      <c r="T89" s="9" t="n">
        <f aca="false">((T88/3)*SUM(R73:T73))</f>
        <v>15333.3333333333</v>
      </c>
      <c r="U89" s="9" t="n">
        <f aca="false">((U88/3)*SUM(S73:U73))</f>
        <v>15333.3333333333</v>
      </c>
      <c r="V89" s="9" t="n">
        <f aca="false">((V88/3)*SUM(T73:V73))</f>
        <v>15333.3333333333</v>
      </c>
      <c r="W89" s="9" t="n">
        <f aca="false">((W88/3)*SUM(U73:W73))</f>
        <v>15333.3333333333</v>
      </c>
      <c r="X89" s="9" t="n">
        <f aca="false">((X88/3)*SUM(V73:X73))</f>
        <v>15333.3333333333</v>
      </c>
      <c r="Y89" s="9" t="n">
        <f aca="false">((Y88/3)*SUM(W73:Y73))</f>
        <v>15333.3333333333</v>
      </c>
      <c r="Z89" s="9" t="n">
        <f aca="false">((Z88/3)*SUM(X73:Z73))</f>
        <v>15333.3333333333</v>
      </c>
      <c r="AA89" s="9" t="n">
        <f aca="false">((AA88/3)*SUM(Y73:AA73))</f>
        <v>15333.3333333333</v>
      </c>
      <c r="AB89" s="9" t="n">
        <f aca="false">((AB88/3)*SUM(Z73:AB73))</f>
        <v>30666.6666666667</v>
      </c>
      <c r="AC89" s="9" t="n">
        <f aca="false">((AC88/3)*SUM(AA73:AC73))</f>
        <v>30666.6666666667</v>
      </c>
      <c r="AD89" s="9" t="n">
        <f aca="false">((AD88/3)*SUM(AB73:AD73))</f>
        <v>46000</v>
      </c>
      <c r="AE89" s="9" t="n">
        <f aca="false">((AE88/3)*SUM(AC73:AE73))</f>
        <v>46000</v>
      </c>
      <c r="AF89" s="9" t="n">
        <f aca="false">((AF88/3)*SUM(AD73:AF73))</f>
        <v>46000</v>
      </c>
      <c r="AG89" s="9" t="n">
        <f aca="false">((AG88/3)*SUM(AE73:AG73))</f>
        <v>46000</v>
      </c>
      <c r="AH89" s="9" t="n">
        <f aca="false">((AH88/3)*SUM(AF73:AH73))</f>
        <v>46000</v>
      </c>
      <c r="AI89" s="9" t="n">
        <f aca="false">((AI88/3)*SUM(AG73:AI73))</f>
        <v>46000</v>
      </c>
      <c r="AJ89" s="9" t="n">
        <f aca="false">((AJ88/3)*SUM(AH73:AJ73))</f>
        <v>46000</v>
      </c>
      <c r="AK89" s="9" t="n">
        <f aca="false">((AK88/3)*SUM(AI73:AK73))</f>
        <v>61333.3333333333</v>
      </c>
      <c r="AL89" s="9" t="n">
        <f aca="false">((AL88/3)*SUM(AJ73:AL73))</f>
        <v>61333.3333333333</v>
      </c>
      <c r="AN89" s="11" t="n">
        <f aca="false">SUM(C89:N89)</f>
        <v>0</v>
      </c>
      <c r="AO89" s="11" t="n">
        <f aca="false">SUM(O89:Z89)</f>
        <v>138000</v>
      </c>
      <c r="AP89" s="11" t="n">
        <f aca="false">SUM(AA89:AL89)</f>
        <v>521333.333333333</v>
      </c>
    </row>
    <row r="90" customFormat="false" ht="15" hidden="false" customHeight="false" outlineLevel="0" collapsed="false">
      <c r="A90" s="0" t="s">
        <v>896</v>
      </c>
      <c r="B90" s="0" t="s">
        <v>230</v>
      </c>
      <c r="C90" s="9" t="n">
        <f aca="false">(C88*C73)</f>
        <v>0</v>
      </c>
      <c r="D90" s="9" t="n">
        <f aca="false">(D88*D73)</f>
        <v>0</v>
      </c>
      <c r="E90" s="9" t="n">
        <f aca="false">(E88*E73)</f>
        <v>0</v>
      </c>
      <c r="F90" s="9" t="n">
        <f aca="false">(F88*F73)</f>
        <v>0</v>
      </c>
      <c r="G90" s="9" t="n">
        <f aca="false">(G88*G73)</f>
        <v>0</v>
      </c>
      <c r="H90" s="9" t="n">
        <f aca="false">(H88*H73)</f>
        <v>0</v>
      </c>
      <c r="I90" s="9" t="n">
        <f aca="false">(I88*I73)</f>
        <v>0</v>
      </c>
      <c r="J90" s="9" t="n">
        <f aca="false">(J88*J73)</f>
        <v>0</v>
      </c>
      <c r="K90" s="9" t="n">
        <f aca="false">(K88*K73)</f>
        <v>0</v>
      </c>
      <c r="L90" s="9" t="n">
        <f aca="false">(L88*L73)</f>
        <v>0</v>
      </c>
      <c r="M90" s="9" t="n">
        <f aca="false">(M88*M73)</f>
        <v>0</v>
      </c>
      <c r="N90" s="9" t="n">
        <f aca="false">(N88*N73)</f>
        <v>0</v>
      </c>
      <c r="O90" s="9" t="n">
        <f aca="false">(O88*O73)</f>
        <v>0</v>
      </c>
      <c r="P90" s="9" t="n">
        <f aca="false">(P88*P73)</f>
        <v>0</v>
      </c>
      <c r="Q90" s="9" t="n">
        <f aca="false">(Q88*Q73)</f>
        <v>0</v>
      </c>
      <c r="R90" s="9" t="n">
        <f aca="false">(R88*R73)</f>
        <v>46000</v>
      </c>
      <c r="S90" s="9" t="n">
        <f aca="false">(S88*S73)</f>
        <v>0</v>
      </c>
      <c r="T90" s="9" t="n">
        <f aca="false">(T88*T73)</f>
        <v>0</v>
      </c>
      <c r="U90" s="9" t="n">
        <f aca="false">(U88*U73)</f>
        <v>46000</v>
      </c>
      <c r="V90" s="9" t="n">
        <f aca="false">(V88*V73)</f>
        <v>0</v>
      </c>
      <c r="W90" s="9" t="n">
        <f aca="false">(W88*W73)</f>
        <v>0</v>
      </c>
      <c r="X90" s="9" t="n">
        <f aca="false">(X88*X73)</f>
        <v>46000</v>
      </c>
      <c r="Y90" s="9" t="n">
        <f aca="false">(Y88*Y73)</f>
        <v>0</v>
      </c>
      <c r="Z90" s="9" t="n">
        <f aca="false">(Z88*Z73)</f>
        <v>0</v>
      </c>
      <c r="AA90" s="9" t="n">
        <f aca="false">(AA88*AA73)</f>
        <v>46000</v>
      </c>
      <c r="AB90" s="9" t="n">
        <f aca="false">(AB88*AB73)</f>
        <v>46000</v>
      </c>
      <c r="AC90" s="9" t="n">
        <f aca="false">(AC88*AC73)</f>
        <v>0</v>
      </c>
      <c r="AD90" s="9" t="n">
        <f aca="false">(AD88*AD73)</f>
        <v>92000</v>
      </c>
      <c r="AE90" s="9" t="n">
        <f aca="false">(AE88*AE73)</f>
        <v>46000</v>
      </c>
      <c r="AF90" s="9" t="n">
        <f aca="false">(AF88*AF73)</f>
        <v>0</v>
      </c>
      <c r="AG90" s="9" t="n">
        <f aca="false">(AG88*AG73)</f>
        <v>92000</v>
      </c>
      <c r="AH90" s="9" t="n">
        <f aca="false">(AH88*AH73)</f>
        <v>46000</v>
      </c>
      <c r="AI90" s="9" t="n">
        <f aca="false">(AI88*AI73)</f>
        <v>0</v>
      </c>
      <c r="AJ90" s="9" t="n">
        <f aca="false">(AJ88*AJ73)</f>
        <v>92000</v>
      </c>
      <c r="AK90" s="9" t="n">
        <f aca="false">(AK88*AK73)</f>
        <v>92000</v>
      </c>
      <c r="AL90" s="9" t="n">
        <f aca="false">(AL88*AL73)</f>
        <v>0</v>
      </c>
      <c r="AN90" s="11" t="n">
        <f aca="false">SUM(C90:N90)</f>
        <v>0</v>
      </c>
      <c r="AO90" s="11" t="n">
        <f aca="false">SUM(O90:Z90)</f>
        <v>138000</v>
      </c>
      <c r="AP90" s="11" t="n">
        <f aca="false">SUM(AA90:AL90)</f>
        <v>552000</v>
      </c>
    </row>
    <row r="91" customFormat="false" ht="15" hidden="false" customHeight="false" outlineLevel="0" collapsed="false">
      <c r="A91" s="0" t="s">
        <v>897</v>
      </c>
      <c r="B91" s="0" t="s">
        <v>285</v>
      </c>
      <c r="C91" s="9" t="n">
        <f aca="false">((C70*Assumptions!$D$124)+(C73*(Assumptions!$D$124+(Assumptions!$C$34*Assumptions!$C$36))))</f>
        <v>0</v>
      </c>
      <c r="D91" s="9" t="n">
        <f aca="false">((D70*Assumptions!$D$124)+(D73*(Assumptions!$D$124+(Assumptions!$C$34*Assumptions!$C$36))))</f>
        <v>0</v>
      </c>
      <c r="E91" s="9" t="n">
        <f aca="false">((E70*Assumptions!$D$124)+(E73*(Assumptions!$D$124+(Assumptions!$C$34*Assumptions!$C$36))))</f>
        <v>0</v>
      </c>
      <c r="F91" s="9" t="n">
        <f aca="false">((F70*Assumptions!$D$124)+(F73*(Assumptions!$D$124+(Assumptions!$C$34*Assumptions!$C$36))))</f>
        <v>0</v>
      </c>
      <c r="G91" s="9" t="n">
        <f aca="false">((G70*Assumptions!$D$124)+(G73*(Assumptions!$D$124+(Assumptions!$C$34*Assumptions!$C$36))))</f>
        <v>0</v>
      </c>
      <c r="H91" s="9" t="n">
        <f aca="false">((H70*Assumptions!$D$124)+(H73*(Assumptions!$D$124+(Assumptions!$C$34*Assumptions!$C$36))))</f>
        <v>0</v>
      </c>
      <c r="I91" s="9" t="n">
        <f aca="false">((I70*Assumptions!$D$124)+(I73*(Assumptions!$D$124+(Assumptions!$C$34*Assumptions!$C$36))))</f>
        <v>0</v>
      </c>
      <c r="J91" s="9" t="n">
        <f aca="false">((J70*Assumptions!$D$124)+(J73*(Assumptions!$D$124+(Assumptions!$C$34*Assumptions!$C$36))))</f>
        <v>330</v>
      </c>
      <c r="K91" s="9" t="n">
        <f aca="false">((K70*Assumptions!$D$124)+(K73*(Assumptions!$D$124+(Assumptions!$C$34*Assumptions!$C$36))))</f>
        <v>0</v>
      </c>
      <c r="L91" s="9" t="n">
        <f aca="false">((L70*Assumptions!$D$124)+(L73*(Assumptions!$D$124+(Assumptions!$C$34*Assumptions!$C$36))))</f>
        <v>0</v>
      </c>
      <c r="M91" s="9" t="n">
        <f aca="false">((M70*Assumptions!$D$124)+(M73*(Assumptions!$D$124+(Assumptions!$C$34*Assumptions!$C$36))))</f>
        <v>0</v>
      </c>
      <c r="N91" s="9" t="n">
        <f aca="false">((N70*Assumptions!$D$124)+(N73*(Assumptions!$D$124+(Assumptions!$C$34*Assumptions!$C$36))))</f>
        <v>0</v>
      </c>
      <c r="O91" s="9" t="n">
        <f aca="false">((O70*Assumptions!$D$124)+(O73*(Assumptions!$D$124+(Assumptions!$C$34*Assumptions!$C$36))))</f>
        <v>0</v>
      </c>
      <c r="P91" s="9" t="n">
        <f aca="false">((P70*Assumptions!$D$124)+(P73*(Assumptions!$D$124+(Assumptions!$C$34*Assumptions!$C$36))))</f>
        <v>0</v>
      </c>
      <c r="Q91" s="9" t="n">
        <f aca="false">((Q70*Assumptions!$D$124)+(Q73*(Assumptions!$D$124+(Assumptions!$C$34*Assumptions!$C$36))))</f>
        <v>0</v>
      </c>
      <c r="R91" s="9" t="n">
        <f aca="false">((R70*Assumptions!$D$124)+(R73*(Assumptions!$D$124+(Assumptions!$C$34*Assumptions!$C$36))))</f>
        <v>374</v>
      </c>
      <c r="S91" s="9" t="n">
        <f aca="false">((S70*Assumptions!$D$124)+(S73*(Assumptions!$D$124+(Assumptions!$C$34*Assumptions!$C$36))))</f>
        <v>0</v>
      </c>
      <c r="T91" s="9" t="n">
        <f aca="false">((T70*Assumptions!$D$124)+(T73*(Assumptions!$D$124+(Assumptions!$C$34*Assumptions!$C$36))))</f>
        <v>0</v>
      </c>
      <c r="U91" s="9" t="n">
        <f aca="false">((U70*Assumptions!$D$124)+(U73*(Assumptions!$D$124+(Assumptions!$C$34*Assumptions!$C$36))))</f>
        <v>374</v>
      </c>
      <c r="V91" s="9" t="n">
        <f aca="false">((V70*Assumptions!$D$124)+(V73*(Assumptions!$D$124+(Assumptions!$C$34*Assumptions!$C$36))))</f>
        <v>0</v>
      </c>
      <c r="W91" s="9" t="n">
        <f aca="false">((W70*Assumptions!$D$124)+(W73*(Assumptions!$D$124+(Assumptions!$C$34*Assumptions!$C$36))))</f>
        <v>0</v>
      </c>
      <c r="X91" s="9" t="n">
        <f aca="false">((X70*Assumptions!$D$124)+(X73*(Assumptions!$D$124+(Assumptions!$C$34*Assumptions!$C$36))))</f>
        <v>374</v>
      </c>
      <c r="Y91" s="9" t="n">
        <f aca="false">((Y70*Assumptions!$D$124)+(Y73*(Assumptions!$D$124+(Assumptions!$C$34*Assumptions!$C$36))))</f>
        <v>0</v>
      </c>
      <c r="Z91" s="9" t="n">
        <f aca="false">((Z70*Assumptions!$D$124)+(Z73*(Assumptions!$D$124+(Assumptions!$C$34*Assumptions!$C$36))))</f>
        <v>0</v>
      </c>
      <c r="AA91" s="9" t="n">
        <f aca="false">((AA70*Assumptions!$D$124)+(AA73*(Assumptions!$D$124+(Assumptions!$C$34*Assumptions!$C$36))))</f>
        <v>374</v>
      </c>
      <c r="AB91" s="9" t="n">
        <f aca="false">((AB70*Assumptions!$D$124)+(AB73*(Assumptions!$D$124+(Assumptions!$C$34*Assumptions!$C$36))))</f>
        <v>374</v>
      </c>
      <c r="AC91" s="9" t="n">
        <f aca="false">((AC70*Assumptions!$D$124)+(AC73*(Assumptions!$D$124+(Assumptions!$C$34*Assumptions!$C$36))))</f>
        <v>0</v>
      </c>
      <c r="AD91" s="9" t="n">
        <f aca="false">((AD70*Assumptions!$D$124)+(AD73*(Assumptions!$D$124+(Assumptions!$C$34*Assumptions!$C$36))))</f>
        <v>748</v>
      </c>
      <c r="AE91" s="9" t="n">
        <f aca="false">((AE70*Assumptions!$D$124)+(AE73*(Assumptions!$D$124+(Assumptions!$C$34*Assumptions!$C$36))))</f>
        <v>374</v>
      </c>
      <c r="AF91" s="9" t="n">
        <f aca="false">((AF70*Assumptions!$D$124)+(AF73*(Assumptions!$D$124+(Assumptions!$C$34*Assumptions!$C$36))))</f>
        <v>0</v>
      </c>
      <c r="AG91" s="9" t="n">
        <f aca="false">((AG70*Assumptions!$D$124)+(AG73*(Assumptions!$D$124+(Assumptions!$C$34*Assumptions!$C$36))))</f>
        <v>748</v>
      </c>
      <c r="AH91" s="9" t="n">
        <f aca="false">((AH70*Assumptions!$D$124)+(AH73*(Assumptions!$D$124+(Assumptions!$C$34*Assumptions!$C$36))))</f>
        <v>374</v>
      </c>
      <c r="AI91" s="9" t="n">
        <f aca="false">((AI70*Assumptions!$D$124)+(AI73*(Assumptions!$D$124+(Assumptions!$C$34*Assumptions!$C$36))))</f>
        <v>0</v>
      </c>
      <c r="AJ91" s="9" t="n">
        <f aca="false">((AJ70*Assumptions!$D$124)+(AJ73*(Assumptions!$D$124+(Assumptions!$C$34*Assumptions!$C$36))))</f>
        <v>748</v>
      </c>
      <c r="AK91" s="9" t="n">
        <f aca="false">((AK70*Assumptions!$D$124)+(AK73*(Assumptions!$D$124+(Assumptions!$C$34*Assumptions!$C$36))))</f>
        <v>748</v>
      </c>
      <c r="AL91" s="9" t="n">
        <f aca="false">((AL70*Assumptions!$D$124)+(AL73*(Assumptions!$D$124+(Assumptions!$C$34*Assumptions!$C$36))))</f>
        <v>0</v>
      </c>
      <c r="AN91" s="11" t="n">
        <f aca="false">SUM(C91:N91)</f>
        <v>330</v>
      </c>
      <c r="AO91" s="11" t="n">
        <f aca="false">SUM(O91:Z91)</f>
        <v>1122</v>
      </c>
      <c r="AP91" s="11" t="n">
        <f aca="false">SUM(AA91:AL91)</f>
        <v>4488</v>
      </c>
    </row>
    <row r="92" customFormat="false" ht="15" hidden="false" customHeight="false" outlineLevel="0" collapsed="false">
      <c r="A92" s="0" t="s">
        <v>898</v>
      </c>
      <c r="B92" s="0" t="s">
        <v>852</v>
      </c>
      <c r="C92" s="14" t="n">
        <f aca="false">((IF(OR((C$18-(Assumptions!$C$9-1)-$C$9)&lt;1,(C$18-(Assumptions!$C$9-1)-$C$9)&gt;36),0,INDEX(Schedules!$C$7:$AL$7,(C$18-(Assumptions!$C$9-1)-$C$9)))*$C$7)*C44)</f>
        <v>0</v>
      </c>
      <c r="D92" s="14" t="n">
        <f aca="false">((IF(OR((D$18-(Assumptions!$C$9-1)-$C$9)&lt;1,(D$18-(Assumptions!$C$9-1)-$C$9)&gt;36),0,INDEX(Schedules!$C$7:$AL$7,(D$18-(Assumptions!$C$9-1)-$C$9)))*$C$7)*D44)</f>
        <v>0</v>
      </c>
      <c r="E92" s="14" t="n">
        <f aca="false">((IF(OR((E$18-(Assumptions!$C$9-1)-$C$9)&lt;1,(E$18-(Assumptions!$C$9-1)-$C$9)&gt;36),0,INDEX(Schedules!$C$7:$AL$7,(E$18-(Assumptions!$C$9-1)-$C$9)))*$C$7)*E44)</f>
        <v>0</v>
      </c>
      <c r="F92" s="14" t="n">
        <f aca="false">((IF(OR((F$18-(Assumptions!$C$9-1)-$C$9)&lt;1,(F$18-(Assumptions!$C$9-1)-$C$9)&gt;36),0,INDEX(Schedules!$C$7:$AL$7,(F$18-(Assumptions!$C$9-1)-$C$9)))*$C$7)*F44)</f>
        <v>0</v>
      </c>
      <c r="G92" s="14" t="n">
        <f aca="false">((IF(OR((G$18-(Assumptions!$C$9-1)-$C$9)&lt;1,(G$18-(Assumptions!$C$9-1)-$C$9)&gt;36),0,INDEX(Schedules!$C$7:$AL$7,(G$18-(Assumptions!$C$9-1)-$C$9)))*$C$7)*G44)</f>
        <v>0</v>
      </c>
      <c r="H92" s="14" t="n">
        <f aca="false">((IF(OR((H$18-(Assumptions!$C$9-1)-$C$9)&lt;1,(H$18-(Assumptions!$C$9-1)-$C$9)&gt;36),0,INDEX(Schedules!$C$7:$AL$7,(H$18-(Assumptions!$C$9-1)-$C$9)))*$C$7)*H44)</f>
        <v>0</v>
      </c>
      <c r="I92" s="14" t="n">
        <f aca="false">((IF(OR((I$18-(Assumptions!$C$9-1)-$C$9)&lt;1,(I$18-(Assumptions!$C$9-1)-$C$9)&gt;36),0,INDEX(Schedules!$C$7:$AL$7,(I$18-(Assumptions!$C$9-1)-$C$9)))*$C$7)*I44)</f>
        <v>0</v>
      </c>
      <c r="J92" s="14" t="n">
        <f aca="false">((IF(OR((J$18-(Assumptions!$C$9-1)-$C$9)&lt;1,(J$18-(Assumptions!$C$9-1)-$C$9)&gt;36),0,INDEX(Schedules!$C$7:$AL$7,(J$18-(Assumptions!$C$9-1)-$C$9)))*$C$7)*J44)</f>
        <v>0</v>
      </c>
      <c r="K92" s="14" t="n">
        <f aca="false">((IF(OR((K$18-(Assumptions!$C$9-1)-$C$9)&lt;1,(K$18-(Assumptions!$C$9-1)-$C$9)&gt;36),0,INDEX(Schedules!$C$7:$AL$7,(K$18-(Assumptions!$C$9-1)-$C$9)))*$C$7)*K44)</f>
        <v>0</v>
      </c>
      <c r="L92" s="14" t="n">
        <f aca="false">((IF(OR((L$18-(Assumptions!$C$9-1)-$C$9)&lt;1,(L$18-(Assumptions!$C$9-1)-$C$9)&gt;36),0,INDEX(Schedules!$C$7:$AL$7,(L$18-(Assumptions!$C$9-1)-$C$9)))*$C$7)*L44)</f>
        <v>0</v>
      </c>
      <c r="M92" s="14" t="n">
        <f aca="false">((IF(OR((M$18-(Assumptions!$C$9-1)-$C$9)&lt;1,(M$18-(Assumptions!$C$9-1)-$C$9)&gt;36),0,INDEX(Schedules!$C$7:$AL$7,(M$18-(Assumptions!$C$9-1)-$C$9)))*$C$7)*M44)</f>
        <v>0</v>
      </c>
      <c r="N92" s="14" t="n">
        <f aca="false">((IF(OR((N$18-(Assumptions!$C$9-1)-$C$9)&lt;1,(N$18-(Assumptions!$C$9-1)-$C$9)&gt;36),0,INDEX(Schedules!$C$7:$AL$7,(N$18-(Assumptions!$C$9-1)-$C$9)))*$C$7)*N44)</f>
        <v>0</v>
      </c>
      <c r="O92" s="14" t="n">
        <f aca="false">((IF(OR((O$18-(Assumptions!$C$9-1)-$C$9)&lt;1,(O$18-(Assumptions!$C$9-1)-$C$9)&gt;36),0,INDEX(Schedules!$C$7:$AL$7,(O$18-(Assumptions!$C$9-1)-$C$9)))*$C$7)*O44)</f>
        <v>0</v>
      </c>
      <c r="P92" s="14" t="n">
        <f aca="false">((IF(OR((P$18-(Assumptions!$C$9-1)-$C$9)&lt;1,(P$18-(Assumptions!$C$9-1)-$C$9)&gt;36),0,INDEX(Schedules!$C$7:$AL$7,(P$18-(Assumptions!$C$9-1)-$C$9)))*$C$7)*P44)</f>
        <v>0</v>
      </c>
      <c r="Q92" s="14" t="n">
        <f aca="false">((IF(OR((Q$18-(Assumptions!$C$9-1)-$C$9)&lt;1,(Q$18-(Assumptions!$C$9-1)-$C$9)&gt;36),0,INDEX(Schedules!$C$7:$AL$7,(Q$18-(Assumptions!$C$9-1)-$C$9)))*$C$7)*Q44)</f>
        <v>0</v>
      </c>
      <c r="R92" s="14" t="n">
        <f aca="false">((IF(OR((R$18-(Assumptions!$C$9-1)-$C$9)&lt;1,(R$18-(Assumptions!$C$9-1)-$C$9)&gt;36),0,INDEX(Schedules!$C$7:$AL$7,(R$18-(Assumptions!$C$9-1)-$C$9)))*$C$7)*R44)</f>
        <v>0</v>
      </c>
      <c r="S92" s="14" t="n">
        <f aca="false">((IF(OR((S$18-(Assumptions!$C$9-1)-$C$9)&lt;1,(S$18-(Assumptions!$C$9-1)-$C$9)&gt;36),0,INDEX(Schedules!$C$7:$AL$7,(S$18-(Assumptions!$C$9-1)-$C$9)))*$C$7)*S44)</f>
        <v>0</v>
      </c>
      <c r="T92" s="14" t="n">
        <f aca="false">((IF(OR((T$18-(Assumptions!$C$9-1)-$C$9)&lt;1,(T$18-(Assumptions!$C$9-1)-$C$9)&gt;36),0,INDEX(Schedules!$C$7:$AL$7,(T$18-(Assumptions!$C$9-1)-$C$9)))*$C$7)*T44)</f>
        <v>0</v>
      </c>
      <c r="U92" s="14" t="n">
        <f aca="false">((IF(OR((U$18-(Assumptions!$C$9-1)-$C$9)&lt;1,(U$18-(Assumptions!$C$9-1)-$C$9)&gt;36),0,INDEX(Schedules!$C$7:$AL$7,(U$18-(Assumptions!$C$9-1)-$C$9)))*$C$7)*U44)</f>
        <v>0</v>
      </c>
      <c r="V92" s="14" t="n">
        <f aca="false">((IF(OR((V$18-(Assumptions!$C$9-1)-$C$9)&lt;1,(V$18-(Assumptions!$C$9-1)-$C$9)&gt;36),0,INDEX(Schedules!$C$7:$AL$7,(V$18-(Assumptions!$C$9-1)-$C$9)))*$C$7)*V44)</f>
        <v>0</v>
      </c>
      <c r="W92" s="14" t="n">
        <f aca="false">((IF(OR((W$18-(Assumptions!$C$9-1)-$C$9)&lt;1,(W$18-(Assumptions!$C$9-1)-$C$9)&gt;36),0,INDEX(Schedules!$C$7:$AL$7,(W$18-(Assumptions!$C$9-1)-$C$9)))*$C$7)*W44)</f>
        <v>0</v>
      </c>
      <c r="X92" s="14" t="n">
        <f aca="false">((IF(OR((X$18-(Assumptions!$C$9-1)-$C$9)&lt;1,(X$18-(Assumptions!$C$9-1)-$C$9)&gt;36),0,INDEX(Schedules!$C$7:$AL$7,(X$18-(Assumptions!$C$9-1)-$C$9)))*$C$7)*X44)</f>
        <v>0</v>
      </c>
      <c r="Y92" s="14" t="n">
        <f aca="false">((IF(OR((Y$18-(Assumptions!$C$9-1)-$C$9)&lt;1,(Y$18-(Assumptions!$C$9-1)-$C$9)&gt;36),0,INDEX(Schedules!$C$7:$AL$7,(Y$18-(Assumptions!$C$9-1)-$C$9)))*$C$7)*Y44)</f>
        <v>0</v>
      </c>
      <c r="Z92" s="14" t="n">
        <f aca="false">((IF(OR((Z$18-(Assumptions!$C$9-1)-$C$9)&lt;1,(Z$18-(Assumptions!$C$9-1)-$C$9)&gt;36),0,INDEX(Schedules!$C$7:$AL$7,(Z$18-(Assumptions!$C$9-1)-$C$9)))*$C$7)*Z44)</f>
        <v>0</v>
      </c>
      <c r="AA92" s="14" t="n">
        <f aca="false">((IF(OR((AA$18-(Assumptions!$C$9-1)-$C$9)&lt;1,(AA$18-(Assumptions!$C$9-1)-$C$9)&gt;36),0,INDEX(Schedules!$C$7:$AL$7,(AA$18-(Assumptions!$C$9-1)-$C$9)))*$C$7)*AA44)</f>
        <v>0</v>
      </c>
      <c r="AB92" s="14" t="n">
        <f aca="false">((IF(OR((AB$18-(Assumptions!$C$9-1)-$C$9)&lt;1,(AB$18-(Assumptions!$C$9-1)-$C$9)&gt;36),0,INDEX(Schedules!$C$7:$AL$7,(AB$18-(Assumptions!$C$9-1)-$C$9)))*$C$7)*AB44)</f>
        <v>0</v>
      </c>
      <c r="AC92" s="14" t="n">
        <f aca="false">((IF(OR((AC$18-(Assumptions!$C$9-1)-$C$9)&lt;1,(AC$18-(Assumptions!$C$9-1)-$C$9)&gt;36),0,INDEX(Schedules!$C$7:$AL$7,(AC$18-(Assumptions!$C$9-1)-$C$9)))*$C$7)*AC44)</f>
        <v>0</v>
      </c>
      <c r="AD92" s="14" t="n">
        <f aca="false">((IF(OR((AD$18-(Assumptions!$C$9-1)-$C$9)&lt;1,(AD$18-(Assumptions!$C$9-1)-$C$9)&gt;36),0,INDEX(Schedules!$C$7:$AL$7,(AD$18-(Assumptions!$C$9-1)-$C$9)))*$C$7)*AD44)</f>
        <v>0</v>
      </c>
      <c r="AE92" s="14" t="n">
        <f aca="false">((IF(OR((AE$18-(Assumptions!$C$9-1)-$C$9)&lt;1,(AE$18-(Assumptions!$C$9-1)-$C$9)&gt;36),0,INDEX(Schedules!$C$7:$AL$7,(AE$18-(Assumptions!$C$9-1)-$C$9)))*$C$7)*AE44)</f>
        <v>0</v>
      </c>
      <c r="AF92" s="14" t="n">
        <f aca="false">((IF(OR((AF$18-(Assumptions!$C$9-1)-$C$9)&lt;1,(AF$18-(Assumptions!$C$9-1)-$C$9)&gt;36),0,INDEX(Schedules!$C$7:$AL$7,(AF$18-(Assumptions!$C$9-1)-$C$9)))*$C$7)*AF44)</f>
        <v>1</v>
      </c>
      <c r="AG92" s="14" t="n">
        <f aca="false">((IF(OR((AG$18-(Assumptions!$C$9-1)-$C$9)&lt;1,(AG$18-(Assumptions!$C$9-1)-$C$9)&gt;36),0,INDEX(Schedules!$C$7:$AL$7,(AG$18-(Assumptions!$C$9-1)-$C$9)))*$C$7)*AG44)</f>
        <v>0</v>
      </c>
      <c r="AH92" s="14" t="n">
        <f aca="false">((IF(OR((AH$18-(Assumptions!$C$9-1)-$C$9)&lt;1,(AH$18-(Assumptions!$C$9-1)-$C$9)&gt;36),0,INDEX(Schedules!$C$7:$AL$7,(AH$18-(Assumptions!$C$9-1)-$C$9)))*$C$7)*AH44)</f>
        <v>0</v>
      </c>
      <c r="AI92" s="14" t="n">
        <f aca="false">((IF(OR((AI$18-(Assumptions!$C$9-1)-$C$9)&lt;1,(AI$18-(Assumptions!$C$9-1)-$C$9)&gt;36),0,INDEX(Schedules!$C$7:$AL$7,(AI$18-(Assumptions!$C$9-1)-$C$9)))*$C$7)*AI44)</f>
        <v>0</v>
      </c>
      <c r="AJ92" s="14" t="n">
        <f aca="false">((IF(OR((AJ$18-(Assumptions!$C$9-1)-$C$9)&lt;1,(AJ$18-(Assumptions!$C$9-1)-$C$9)&gt;36),0,INDEX(Schedules!$C$7:$AL$7,(AJ$18-(Assumptions!$C$9-1)-$C$9)))*$C$7)*AJ44)</f>
        <v>0</v>
      </c>
      <c r="AK92" s="14" t="n">
        <f aca="false">((IF(OR((AK$18-(Assumptions!$C$9-1)-$C$9)&lt;1,(AK$18-(Assumptions!$C$9-1)-$C$9)&gt;36),0,INDEX(Schedules!$C$7:$AL$7,(AK$18-(Assumptions!$C$9-1)-$C$9)))*$C$7)*AK44)</f>
        <v>0</v>
      </c>
      <c r="AL92" s="14" t="n">
        <f aca="false">((IF(OR((AL$18-(Assumptions!$C$9-1)-$C$9)&lt;1,(AL$18-(Assumptions!$C$9-1)-$C$9)&gt;36),0,INDEX(Schedules!$C$7:$AL$7,(AL$18-(Assumptions!$C$9-1)-$C$9)))*$C$7)*AL44)</f>
        <v>1</v>
      </c>
      <c r="AN92" s="36" t="n">
        <f aca="false">SUM(C92:N92)</f>
        <v>0</v>
      </c>
      <c r="AO92" s="36" t="n">
        <f aca="false">SUM(O92:Z92)</f>
        <v>0</v>
      </c>
      <c r="AP92" s="36" t="n">
        <f aca="false">SUM(AA92:AL92)</f>
        <v>2</v>
      </c>
    </row>
    <row r="93" customFormat="false" ht="15" hidden="false" customHeight="false" outlineLevel="0" collapsed="false">
      <c r="A93" s="0" t="s">
        <v>899</v>
      </c>
      <c r="B93" s="0" t="s">
        <v>852</v>
      </c>
      <c r="C93" s="14" t="n">
        <f aca="false">INDEX(Schedules!$C$13:$AL$13,C$18)</f>
        <v>0</v>
      </c>
      <c r="D93" s="14" t="n">
        <f aca="false">INDEX(Schedules!$C$13:$AL$13,D$18)</f>
        <v>0</v>
      </c>
      <c r="E93" s="14" t="n">
        <f aca="false">INDEX(Schedules!$C$13:$AL$13,E$18)</f>
        <v>0</v>
      </c>
      <c r="F93" s="14" t="n">
        <f aca="false">INDEX(Schedules!$C$13:$AL$13,F$18)</f>
        <v>0</v>
      </c>
      <c r="G93" s="14" t="n">
        <f aca="false">INDEX(Schedules!$C$13:$AL$13,G$18)</f>
        <v>0</v>
      </c>
      <c r="H93" s="14" t="n">
        <f aca="false">INDEX(Schedules!$C$13:$AL$13,H$18)</f>
        <v>0</v>
      </c>
      <c r="I93" s="14" t="n">
        <f aca="false">INDEX(Schedules!$C$13:$AL$13,I$18)</f>
        <v>0</v>
      </c>
      <c r="J93" s="14" t="n">
        <f aca="false">INDEX(Schedules!$C$13:$AL$13,J$18)</f>
        <v>0</v>
      </c>
      <c r="K93" s="14" t="n">
        <f aca="false">INDEX(Schedules!$C$13:$AL$13,K$18)</f>
        <v>0</v>
      </c>
      <c r="L93" s="14" t="n">
        <f aca="false">INDEX(Schedules!$C$13:$AL$13,L$18)</f>
        <v>0</v>
      </c>
      <c r="M93" s="14" t="n">
        <f aca="false">INDEX(Schedules!$C$13:$AL$13,M$18)</f>
        <v>0</v>
      </c>
      <c r="N93" s="14" t="n">
        <f aca="false">INDEX(Schedules!$C$13:$AL$13,N$18)</f>
        <v>0</v>
      </c>
      <c r="O93" s="14" t="n">
        <f aca="false">INDEX(Schedules!$C$13:$AL$13,O$18)</f>
        <v>0</v>
      </c>
      <c r="P93" s="14" t="n">
        <f aca="false">INDEX(Schedules!$C$13:$AL$13,P$18)</f>
        <v>0</v>
      </c>
      <c r="Q93" s="14" t="n">
        <f aca="false">INDEX(Schedules!$C$13:$AL$13,Q$18)</f>
        <v>0</v>
      </c>
      <c r="R93" s="14" t="n">
        <f aca="false">INDEX(Schedules!$C$13:$AL$13,R$18)</f>
        <v>0</v>
      </c>
      <c r="S93" s="14" t="n">
        <f aca="false">INDEX(Schedules!$C$13:$AL$13,S$18)</f>
        <v>0</v>
      </c>
      <c r="T93" s="14" t="n">
        <f aca="false">INDEX(Schedules!$C$13:$AL$13,T$18)</f>
        <v>0</v>
      </c>
      <c r="U93" s="14" t="n">
        <f aca="false">INDEX(Schedules!$C$13:$AL$13,U$18)</f>
        <v>0</v>
      </c>
      <c r="V93" s="14" t="n">
        <f aca="false">INDEX(Schedules!$C$13:$AL$13,V$18)</f>
        <v>0</v>
      </c>
      <c r="W93" s="14" t="n">
        <f aca="false">INDEX(Schedules!$C$13:$AL$13,W$18)</f>
        <v>0</v>
      </c>
      <c r="X93" s="14" t="n">
        <f aca="false">INDEX(Schedules!$C$13:$AL$13,X$18)</f>
        <v>0</v>
      </c>
      <c r="Y93" s="14" t="n">
        <f aca="false">INDEX(Schedules!$C$13:$AL$13,Y$18)</f>
        <v>0</v>
      </c>
      <c r="Z93" s="14" t="n">
        <f aca="false">INDEX(Schedules!$C$13:$AL$13,Z$18)</f>
        <v>0</v>
      </c>
      <c r="AA93" s="14" t="n">
        <f aca="false">INDEX(Schedules!$C$13:$AL$13,AA$18)</f>
        <v>0</v>
      </c>
      <c r="AB93" s="14" t="n">
        <f aca="false">INDEX(Schedules!$C$13:$AL$13,AB$18)</f>
        <v>0</v>
      </c>
      <c r="AC93" s="14" t="n">
        <f aca="false">INDEX(Schedules!$C$13:$AL$13,AC$18)</f>
        <v>0</v>
      </c>
      <c r="AD93" s="14" t="n">
        <f aca="false">INDEX(Schedules!$C$13:$AL$13,AD$18)</f>
        <v>0</v>
      </c>
      <c r="AE93" s="14" t="n">
        <f aca="false">INDEX(Schedules!$C$13:$AL$13,AE$18)</f>
        <v>0</v>
      </c>
      <c r="AF93" s="14" t="n">
        <f aca="false">INDEX(Schedules!$C$13:$AL$13,AF$18)</f>
        <v>0</v>
      </c>
      <c r="AG93" s="14" t="n">
        <f aca="false">INDEX(Schedules!$C$13:$AL$13,AG$18)</f>
        <v>0</v>
      </c>
      <c r="AH93" s="14" t="n">
        <f aca="false">INDEX(Schedules!$C$13:$AL$13,AH$18)</f>
        <v>0</v>
      </c>
      <c r="AI93" s="14" t="n">
        <f aca="false">INDEX(Schedules!$C$13:$AL$13,AI$18)</f>
        <v>0</v>
      </c>
      <c r="AJ93" s="14" t="n">
        <f aca="false">INDEX(Schedules!$C$13:$AL$13,AJ$18)</f>
        <v>0</v>
      </c>
      <c r="AK93" s="14" t="n">
        <f aca="false">INDEX(Schedules!$C$13:$AL$13,AK$18)</f>
        <v>0</v>
      </c>
      <c r="AL93" s="14" t="n">
        <f aca="false">INDEX(Schedules!$C$13:$AL$13,AL$18)</f>
        <v>0</v>
      </c>
      <c r="AN93" s="36" t="n">
        <f aca="false">SUM(C93:N93)</f>
        <v>0</v>
      </c>
      <c r="AO93" s="36" t="n">
        <f aca="false">SUM(O93:Z93)</f>
        <v>0</v>
      </c>
      <c r="AP93" s="36" t="n">
        <f aca="false">SUM(AA93:AL93)</f>
        <v>0</v>
      </c>
    </row>
    <row r="94" customFormat="false" ht="15" hidden="false" customHeight="false" outlineLevel="0" collapsed="false">
      <c r="A94" s="0" t="s">
        <v>900</v>
      </c>
      <c r="B94" s="0" t="s">
        <v>852</v>
      </c>
      <c r="C94" s="14" t="n">
        <f aca="false">(C92+C93)</f>
        <v>0</v>
      </c>
      <c r="D94" s="14" t="n">
        <f aca="false">(D92+D93)</f>
        <v>0</v>
      </c>
      <c r="E94" s="14" t="n">
        <f aca="false">(E92+E93)</f>
        <v>0</v>
      </c>
      <c r="F94" s="14" t="n">
        <f aca="false">(F92+F93)</f>
        <v>0</v>
      </c>
      <c r="G94" s="14" t="n">
        <f aca="false">(G92+G93)</f>
        <v>0</v>
      </c>
      <c r="H94" s="14" t="n">
        <f aca="false">(H92+H93)</f>
        <v>0</v>
      </c>
      <c r="I94" s="14" t="n">
        <f aca="false">(I92+I93)</f>
        <v>0</v>
      </c>
      <c r="J94" s="14" t="n">
        <f aca="false">(J92+J93)</f>
        <v>0</v>
      </c>
      <c r="K94" s="14" t="n">
        <f aca="false">(K92+K93)</f>
        <v>0</v>
      </c>
      <c r="L94" s="14" t="n">
        <f aca="false">(L92+L93)</f>
        <v>0</v>
      </c>
      <c r="M94" s="14" t="n">
        <f aca="false">(M92+M93)</f>
        <v>0</v>
      </c>
      <c r="N94" s="14" t="n">
        <f aca="false">(N92+N93)</f>
        <v>0</v>
      </c>
      <c r="O94" s="14" t="n">
        <f aca="false">(O92+O93)</f>
        <v>0</v>
      </c>
      <c r="P94" s="14" t="n">
        <f aca="false">(P92+P93)</f>
        <v>0</v>
      </c>
      <c r="Q94" s="14" t="n">
        <f aca="false">(Q92+Q93)</f>
        <v>0</v>
      </c>
      <c r="R94" s="14" t="n">
        <f aca="false">(R92+R93)</f>
        <v>0</v>
      </c>
      <c r="S94" s="14" t="n">
        <f aca="false">(S92+S93)</f>
        <v>0</v>
      </c>
      <c r="T94" s="14" t="n">
        <f aca="false">(T92+T93)</f>
        <v>0</v>
      </c>
      <c r="U94" s="14" t="n">
        <f aca="false">(U92+U93)</f>
        <v>0</v>
      </c>
      <c r="V94" s="14" t="n">
        <f aca="false">(V92+V93)</f>
        <v>0</v>
      </c>
      <c r="W94" s="14" t="n">
        <f aca="false">(W92+W93)</f>
        <v>0</v>
      </c>
      <c r="X94" s="14" t="n">
        <f aca="false">(X92+X93)</f>
        <v>0</v>
      </c>
      <c r="Y94" s="14" t="n">
        <f aca="false">(Y92+Y93)</f>
        <v>0</v>
      </c>
      <c r="Z94" s="14" t="n">
        <f aca="false">(Z92+Z93)</f>
        <v>0</v>
      </c>
      <c r="AA94" s="14" t="n">
        <f aca="false">(AA92+AA93)</f>
        <v>0</v>
      </c>
      <c r="AB94" s="14" t="n">
        <f aca="false">(AB92+AB93)</f>
        <v>0</v>
      </c>
      <c r="AC94" s="14" t="n">
        <f aca="false">(AC92+AC93)</f>
        <v>0</v>
      </c>
      <c r="AD94" s="14" t="n">
        <f aca="false">(AD92+AD93)</f>
        <v>0</v>
      </c>
      <c r="AE94" s="14" t="n">
        <f aca="false">(AE92+AE93)</f>
        <v>0</v>
      </c>
      <c r="AF94" s="14" t="n">
        <f aca="false">(AF92+AF93)</f>
        <v>1</v>
      </c>
      <c r="AG94" s="14" t="n">
        <f aca="false">(AG92+AG93)</f>
        <v>0</v>
      </c>
      <c r="AH94" s="14" t="n">
        <f aca="false">(AH92+AH93)</f>
        <v>0</v>
      </c>
      <c r="AI94" s="14" t="n">
        <f aca="false">(AI92+AI93)</f>
        <v>0</v>
      </c>
      <c r="AJ94" s="14" t="n">
        <f aca="false">(AJ92+AJ93)</f>
        <v>0</v>
      </c>
      <c r="AK94" s="14" t="n">
        <f aca="false">(AK92+AK93)</f>
        <v>0</v>
      </c>
      <c r="AL94" s="14" t="n">
        <f aca="false">(AL92+AL93)</f>
        <v>1</v>
      </c>
      <c r="AN94" s="36" t="n">
        <f aca="false">SUM(C94:N94)</f>
        <v>0</v>
      </c>
      <c r="AO94" s="36" t="n">
        <f aca="false">SUM(O94:Z94)</f>
        <v>0</v>
      </c>
      <c r="AP94" s="36" t="n">
        <f aca="false">SUM(AA94:AL94)</f>
        <v>2</v>
      </c>
    </row>
    <row r="95" customFormat="false" ht="15" hidden="false" customHeight="false" outlineLevel="0" collapsed="false">
      <c r="A95" s="0" t="s">
        <v>901</v>
      </c>
      <c r="B95" s="0" t="s">
        <v>852</v>
      </c>
      <c r="C95" s="14" t="n">
        <f aca="false">((IF(OR((C$18-(Assumptions!$C$9-1)-$C$9)&lt;1,(C$18-(Assumptions!$C$9-1)-$C$9)&gt;36),0,INDEX(Schedules!$C$10:$AL$10,(C$18-(Assumptions!$C$9-1)-$C$9)))*$C$7)*C44)</f>
        <v>0</v>
      </c>
      <c r="D95" s="14" t="n">
        <f aca="false">((IF(OR((D$18-(Assumptions!$C$9-1)-$C$9)&lt;1,(D$18-(Assumptions!$C$9-1)-$C$9)&gt;36),0,INDEX(Schedules!$C$10:$AL$10,(D$18-(Assumptions!$C$9-1)-$C$9)))*$C$7)*D44)</f>
        <v>0</v>
      </c>
      <c r="E95" s="14" t="n">
        <f aca="false">((IF(OR((E$18-(Assumptions!$C$9-1)-$C$9)&lt;1,(E$18-(Assumptions!$C$9-1)-$C$9)&gt;36),0,INDEX(Schedules!$C$10:$AL$10,(E$18-(Assumptions!$C$9-1)-$C$9)))*$C$7)*E44)</f>
        <v>0</v>
      </c>
      <c r="F95" s="14" t="n">
        <f aca="false">((IF(OR((F$18-(Assumptions!$C$9-1)-$C$9)&lt;1,(F$18-(Assumptions!$C$9-1)-$C$9)&gt;36),0,INDEX(Schedules!$C$10:$AL$10,(F$18-(Assumptions!$C$9-1)-$C$9)))*$C$7)*F44)</f>
        <v>0</v>
      </c>
      <c r="G95" s="14" t="n">
        <f aca="false">((IF(OR((G$18-(Assumptions!$C$9-1)-$C$9)&lt;1,(G$18-(Assumptions!$C$9-1)-$C$9)&gt;36),0,INDEX(Schedules!$C$10:$AL$10,(G$18-(Assumptions!$C$9-1)-$C$9)))*$C$7)*G44)</f>
        <v>0</v>
      </c>
      <c r="H95" s="14" t="n">
        <f aca="false">((IF(OR((H$18-(Assumptions!$C$9-1)-$C$9)&lt;1,(H$18-(Assumptions!$C$9-1)-$C$9)&gt;36),0,INDEX(Schedules!$C$10:$AL$10,(H$18-(Assumptions!$C$9-1)-$C$9)))*$C$7)*H44)</f>
        <v>0</v>
      </c>
      <c r="I95" s="14" t="n">
        <f aca="false">((IF(OR((I$18-(Assumptions!$C$9-1)-$C$9)&lt;1,(I$18-(Assumptions!$C$9-1)-$C$9)&gt;36),0,INDEX(Schedules!$C$10:$AL$10,(I$18-(Assumptions!$C$9-1)-$C$9)))*$C$7)*I44)</f>
        <v>0</v>
      </c>
      <c r="J95" s="14" t="n">
        <f aca="false">((IF(OR((J$18-(Assumptions!$C$9-1)-$C$9)&lt;1,(J$18-(Assumptions!$C$9-1)-$C$9)&gt;36),0,INDEX(Schedules!$C$10:$AL$10,(J$18-(Assumptions!$C$9-1)-$C$9)))*$C$7)*J44)</f>
        <v>0</v>
      </c>
      <c r="K95" s="14" t="n">
        <f aca="false">((IF(OR((K$18-(Assumptions!$C$9-1)-$C$9)&lt;1,(K$18-(Assumptions!$C$9-1)-$C$9)&gt;36),0,INDEX(Schedules!$C$10:$AL$10,(K$18-(Assumptions!$C$9-1)-$C$9)))*$C$7)*K44)</f>
        <v>0</v>
      </c>
      <c r="L95" s="14" t="n">
        <f aca="false">((IF(OR((L$18-(Assumptions!$C$9-1)-$C$9)&lt;1,(L$18-(Assumptions!$C$9-1)-$C$9)&gt;36),0,INDEX(Schedules!$C$10:$AL$10,(L$18-(Assumptions!$C$9-1)-$C$9)))*$C$7)*L44)</f>
        <v>0</v>
      </c>
      <c r="M95" s="14" t="n">
        <f aca="false">((IF(OR((M$18-(Assumptions!$C$9-1)-$C$9)&lt;1,(M$18-(Assumptions!$C$9-1)-$C$9)&gt;36),0,INDEX(Schedules!$C$10:$AL$10,(M$18-(Assumptions!$C$9-1)-$C$9)))*$C$7)*M44)</f>
        <v>0</v>
      </c>
      <c r="N95" s="14" t="n">
        <f aca="false">((IF(OR((N$18-(Assumptions!$C$9-1)-$C$9)&lt;1,(N$18-(Assumptions!$C$9-1)-$C$9)&gt;36),0,INDEX(Schedules!$C$10:$AL$10,(N$18-(Assumptions!$C$9-1)-$C$9)))*$C$7)*N44)</f>
        <v>0</v>
      </c>
      <c r="O95" s="14" t="n">
        <f aca="false">((IF(OR((O$18-(Assumptions!$C$9-1)-$C$9)&lt;1,(O$18-(Assumptions!$C$9-1)-$C$9)&gt;36),0,INDEX(Schedules!$C$10:$AL$10,(O$18-(Assumptions!$C$9-1)-$C$9)))*$C$7)*O44)</f>
        <v>0</v>
      </c>
      <c r="P95" s="14" t="n">
        <f aca="false">((IF(OR((P$18-(Assumptions!$C$9-1)-$C$9)&lt;1,(P$18-(Assumptions!$C$9-1)-$C$9)&gt;36),0,INDEX(Schedules!$C$10:$AL$10,(P$18-(Assumptions!$C$9-1)-$C$9)))*$C$7)*P44)</f>
        <v>0</v>
      </c>
      <c r="Q95" s="14" t="n">
        <f aca="false">((IF(OR((Q$18-(Assumptions!$C$9-1)-$C$9)&lt;1,(Q$18-(Assumptions!$C$9-1)-$C$9)&gt;36),0,INDEX(Schedules!$C$10:$AL$10,(Q$18-(Assumptions!$C$9-1)-$C$9)))*$C$7)*Q44)</f>
        <v>0</v>
      </c>
      <c r="R95" s="14" t="n">
        <f aca="false">((IF(OR((R$18-(Assumptions!$C$9-1)-$C$9)&lt;1,(R$18-(Assumptions!$C$9-1)-$C$9)&gt;36),0,INDEX(Schedules!$C$10:$AL$10,(R$18-(Assumptions!$C$9-1)-$C$9)))*$C$7)*R44)</f>
        <v>0</v>
      </c>
      <c r="S95" s="14" t="n">
        <f aca="false">((IF(OR((S$18-(Assumptions!$C$9-1)-$C$9)&lt;1,(S$18-(Assumptions!$C$9-1)-$C$9)&gt;36),0,INDEX(Schedules!$C$10:$AL$10,(S$18-(Assumptions!$C$9-1)-$C$9)))*$C$7)*S44)</f>
        <v>0</v>
      </c>
      <c r="T95" s="14" t="n">
        <f aca="false">((IF(OR((T$18-(Assumptions!$C$9-1)-$C$9)&lt;1,(T$18-(Assumptions!$C$9-1)-$C$9)&gt;36),0,INDEX(Schedules!$C$10:$AL$10,(T$18-(Assumptions!$C$9-1)-$C$9)))*$C$7)*T44)</f>
        <v>0</v>
      </c>
      <c r="U95" s="14" t="n">
        <f aca="false">((IF(OR((U$18-(Assumptions!$C$9-1)-$C$9)&lt;1,(U$18-(Assumptions!$C$9-1)-$C$9)&gt;36),0,INDEX(Schedules!$C$10:$AL$10,(U$18-(Assumptions!$C$9-1)-$C$9)))*$C$7)*U44)</f>
        <v>0</v>
      </c>
      <c r="V95" s="14" t="n">
        <f aca="false">((IF(OR((V$18-(Assumptions!$C$9-1)-$C$9)&lt;1,(V$18-(Assumptions!$C$9-1)-$C$9)&gt;36),0,INDEX(Schedules!$C$10:$AL$10,(V$18-(Assumptions!$C$9-1)-$C$9)))*$C$7)*V44)</f>
        <v>0</v>
      </c>
      <c r="W95" s="14" t="n">
        <f aca="false">((IF(OR((W$18-(Assumptions!$C$9-1)-$C$9)&lt;1,(W$18-(Assumptions!$C$9-1)-$C$9)&gt;36),0,INDEX(Schedules!$C$10:$AL$10,(W$18-(Assumptions!$C$9-1)-$C$9)))*$C$7)*W44)</f>
        <v>0</v>
      </c>
      <c r="X95" s="14" t="n">
        <f aca="false">((IF(OR((X$18-(Assumptions!$C$9-1)-$C$9)&lt;1,(X$18-(Assumptions!$C$9-1)-$C$9)&gt;36),0,INDEX(Schedules!$C$10:$AL$10,(X$18-(Assumptions!$C$9-1)-$C$9)))*$C$7)*X44)</f>
        <v>0</v>
      </c>
      <c r="Y95" s="14" t="n">
        <f aca="false">((IF(OR((Y$18-(Assumptions!$C$9-1)-$C$9)&lt;1,(Y$18-(Assumptions!$C$9-1)-$C$9)&gt;36),0,INDEX(Schedules!$C$10:$AL$10,(Y$18-(Assumptions!$C$9-1)-$C$9)))*$C$7)*Y44)</f>
        <v>0</v>
      </c>
      <c r="Z95" s="14" t="n">
        <f aca="false">((IF(OR((Z$18-(Assumptions!$C$9-1)-$C$9)&lt;1,(Z$18-(Assumptions!$C$9-1)-$C$9)&gt;36),0,INDEX(Schedules!$C$10:$AL$10,(Z$18-(Assumptions!$C$9-1)-$C$9)))*$C$7)*Z44)</f>
        <v>0</v>
      </c>
      <c r="AA95" s="14" t="n">
        <f aca="false">((IF(OR((AA$18-(Assumptions!$C$9-1)-$C$9)&lt;1,(AA$18-(Assumptions!$C$9-1)-$C$9)&gt;36),0,INDEX(Schedules!$C$10:$AL$10,(AA$18-(Assumptions!$C$9-1)-$C$9)))*$C$7)*AA44)</f>
        <v>0</v>
      </c>
      <c r="AB95" s="14" t="n">
        <f aca="false">((IF(OR((AB$18-(Assumptions!$C$9-1)-$C$9)&lt;1,(AB$18-(Assumptions!$C$9-1)-$C$9)&gt;36),0,INDEX(Schedules!$C$10:$AL$10,(AB$18-(Assumptions!$C$9-1)-$C$9)))*$C$7)*AB44)</f>
        <v>0</v>
      </c>
      <c r="AC95" s="14" t="n">
        <f aca="false">((IF(OR((AC$18-(Assumptions!$C$9-1)-$C$9)&lt;1,(AC$18-(Assumptions!$C$9-1)-$C$9)&gt;36),0,INDEX(Schedules!$C$10:$AL$10,(AC$18-(Assumptions!$C$9-1)-$C$9)))*$C$7)*AC44)</f>
        <v>0</v>
      </c>
      <c r="AD95" s="14" t="n">
        <f aca="false">((IF(OR((AD$18-(Assumptions!$C$9-1)-$C$9)&lt;1,(AD$18-(Assumptions!$C$9-1)-$C$9)&gt;36),0,INDEX(Schedules!$C$10:$AL$10,(AD$18-(Assumptions!$C$9-1)-$C$9)))*$C$7)*AD44)</f>
        <v>0</v>
      </c>
      <c r="AE95" s="14" t="n">
        <f aca="false">((IF(OR((AE$18-(Assumptions!$C$9-1)-$C$9)&lt;1,(AE$18-(Assumptions!$C$9-1)-$C$9)&gt;36),0,INDEX(Schedules!$C$10:$AL$10,(AE$18-(Assumptions!$C$9-1)-$C$9)))*$C$7)*AE44)</f>
        <v>0</v>
      </c>
      <c r="AF95" s="14" t="n">
        <f aca="false">((IF(OR((AF$18-(Assumptions!$C$9-1)-$C$9)&lt;1,(AF$18-(Assumptions!$C$9-1)-$C$9)&gt;36),0,INDEX(Schedules!$C$10:$AL$10,(AF$18-(Assumptions!$C$9-1)-$C$9)))*$C$7)*AF44)</f>
        <v>0</v>
      </c>
      <c r="AG95" s="14" t="n">
        <f aca="false">((IF(OR((AG$18-(Assumptions!$C$9-1)-$C$9)&lt;1,(AG$18-(Assumptions!$C$9-1)-$C$9)&gt;36),0,INDEX(Schedules!$C$10:$AL$10,(AG$18-(Assumptions!$C$9-1)-$C$9)))*$C$7)*AG44)</f>
        <v>0</v>
      </c>
      <c r="AH95" s="14" t="n">
        <f aca="false">((IF(OR((AH$18-(Assumptions!$C$9-1)-$C$9)&lt;1,(AH$18-(Assumptions!$C$9-1)-$C$9)&gt;36),0,INDEX(Schedules!$C$10:$AL$10,(AH$18-(Assumptions!$C$9-1)-$C$9)))*$C$7)*AH44)</f>
        <v>0</v>
      </c>
      <c r="AI95" s="14" t="n">
        <f aca="false">((IF(OR((AI$18-(Assumptions!$C$9-1)-$C$9)&lt;1,(AI$18-(Assumptions!$C$9-1)-$C$9)&gt;36),0,INDEX(Schedules!$C$10:$AL$10,(AI$18-(Assumptions!$C$9-1)-$C$9)))*$C$7)*AI44)</f>
        <v>0</v>
      </c>
      <c r="AJ95" s="14" t="n">
        <f aca="false">((IF(OR((AJ$18-(Assumptions!$C$9-1)-$C$9)&lt;1,(AJ$18-(Assumptions!$C$9-1)-$C$9)&gt;36),0,INDEX(Schedules!$C$10:$AL$10,(AJ$18-(Assumptions!$C$9-1)-$C$9)))*$C$7)*AJ44)</f>
        <v>0</v>
      </c>
      <c r="AK95" s="14" t="n">
        <f aca="false">((IF(OR((AK$18-(Assumptions!$C$9-1)-$C$9)&lt;1,(AK$18-(Assumptions!$C$9-1)-$C$9)&gt;36),0,INDEX(Schedules!$C$10:$AL$10,(AK$18-(Assumptions!$C$9-1)-$C$9)))*$C$7)*AK44)</f>
        <v>0</v>
      </c>
      <c r="AL95" s="14" t="n">
        <f aca="false">((IF(OR((AL$18-(Assumptions!$C$9-1)-$C$9)&lt;1,(AL$18-(Assumptions!$C$9-1)-$C$9)&gt;36),0,INDEX(Schedules!$C$10:$AL$10,(AL$18-(Assumptions!$C$9-1)-$C$9)))*$C$7)*AL44)</f>
        <v>1</v>
      </c>
      <c r="AN95" s="36" t="n">
        <f aca="false">SUM(C95:N95)</f>
        <v>0</v>
      </c>
      <c r="AO95" s="36" t="n">
        <f aca="false">SUM(O95:Z95)</f>
        <v>0</v>
      </c>
      <c r="AP95" s="36" t="n">
        <f aca="false">SUM(AA95:AL95)</f>
        <v>1</v>
      </c>
    </row>
    <row r="96" customFormat="false" ht="15" hidden="false" customHeight="false" outlineLevel="0" collapsed="false">
      <c r="A96" s="0" t="s">
        <v>902</v>
      </c>
      <c r="B96" s="0" t="s">
        <v>852</v>
      </c>
      <c r="C96" s="14" t="n">
        <f aca="false">(C92+C95)</f>
        <v>0</v>
      </c>
      <c r="D96" s="14" t="n">
        <f aca="false">(D92+D95)</f>
        <v>0</v>
      </c>
      <c r="E96" s="14" t="n">
        <f aca="false">(E92+E95)</f>
        <v>0</v>
      </c>
      <c r="F96" s="14" t="n">
        <f aca="false">(F92+F95)</f>
        <v>0</v>
      </c>
      <c r="G96" s="14" t="n">
        <f aca="false">(G92+G95)</f>
        <v>0</v>
      </c>
      <c r="H96" s="14" t="n">
        <f aca="false">(H92+H95)</f>
        <v>0</v>
      </c>
      <c r="I96" s="14" t="n">
        <f aca="false">(I92+I95)</f>
        <v>0</v>
      </c>
      <c r="J96" s="14" t="n">
        <f aca="false">(J92+J95)</f>
        <v>0</v>
      </c>
      <c r="K96" s="14" t="n">
        <f aca="false">(K92+K95)</f>
        <v>0</v>
      </c>
      <c r="L96" s="14" t="n">
        <f aca="false">(L92+L95)</f>
        <v>0</v>
      </c>
      <c r="M96" s="14" t="n">
        <f aca="false">(M92+M95)</f>
        <v>0</v>
      </c>
      <c r="N96" s="14" t="n">
        <f aca="false">(N92+N95)</f>
        <v>0</v>
      </c>
      <c r="O96" s="14" t="n">
        <f aca="false">(O92+O95)</f>
        <v>0</v>
      </c>
      <c r="P96" s="14" t="n">
        <f aca="false">(P92+P95)</f>
        <v>0</v>
      </c>
      <c r="Q96" s="14" t="n">
        <f aca="false">(Q92+Q95)</f>
        <v>0</v>
      </c>
      <c r="R96" s="14" t="n">
        <f aca="false">(R92+R95)</f>
        <v>0</v>
      </c>
      <c r="S96" s="14" t="n">
        <f aca="false">(S92+S95)</f>
        <v>0</v>
      </c>
      <c r="T96" s="14" t="n">
        <f aca="false">(T92+T95)</f>
        <v>0</v>
      </c>
      <c r="U96" s="14" t="n">
        <f aca="false">(U92+U95)</f>
        <v>0</v>
      </c>
      <c r="V96" s="14" t="n">
        <f aca="false">(V92+V95)</f>
        <v>0</v>
      </c>
      <c r="W96" s="14" t="n">
        <f aca="false">(W92+W95)</f>
        <v>0</v>
      </c>
      <c r="X96" s="14" t="n">
        <f aca="false">(X92+X95)</f>
        <v>0</v>
      </c>
      <c r="Y96" s="14" t="n">
        <f aca="false">(Y92+Y95)</f>
        <v>0</v>
      </c>
      <c r="Z96" s="14" t="n">
        <f aca="false">(Z92+Z95)</f>
        <v>0</v>
      </c>
      <c r="AA96" s="14" t="n">
        <f aca="false">(AA92+AA95)</f>
        <v>0</v>
      </c>
      <c r="AB96" s="14" t="n">
        <f aca="false">(AB92+AB95)</f>
        <v>0</v>
      </c>
      <c r="AC96" s="14" t="n">
        <f aca="false">(AC92+AC95)</f>
        <v>0</v>
      </c>
      <c r="AD96" s="14" t="n">
        <f aca="false">(AD92+AD95)</f>
        <v>0</v>
      </c>
      <c r="AE96" s="14" t="n">
        <f aca="false">(AE92+AE95)</f>
        <v>0</v>
      </c>
      <c r="AF96" s="14" t="n">
        <f aca="false">(AF92+AF95)</f>
        <v>1</v>
      </c>
      <c r="AG96" s="14" t="n">
        <f aca="false">(AG92+AG95)</f>
        <v>0</v>
      </c>
      <c r="AH96" s="14" t="n">
        <f aca="false">(AH92+AH95)</f>
        <v>0</v>
      </c>
      <c r="AI96" s="14" t="n">
        <f aca="false">(AI92+AI95)</f>
        <v>0</v>
      </c>
      <c r="AJ96" s="14" t="n">
        <f aca="false">(AJ92+AJ95)</f>
        <v>0</v>
      </c>
      <c r="AK96" s="14" t="n">
        <f aca="false">(AK92+AK95)</f>
        <v>0</v>
      </c>
      <c r="AL96" s="14" t="n">
        <f aca="false">(AL92+AL95)</f>
        <v>2</v>
      </c>
      <c r="AN96" s="36" t="n">
        <f aca="false">SUM(C96:N96)</f>
        <v>0</v>
      </c>
      <c r="AO96" s="36" t="n">
        <f aca="false">SUM(O96:Z96)</f>
        <v>0</v>
      </c>
      <c r="AP96" s="36" t="n">
        <f aca="false">SUM(AA96:AL96)</f>
        <v>3</v>
      </c>
    </row>
    <row r="97" customFormat="false" ht="15" hidden="false" customHeight="false" outlineLevel="0" collapsed="false">
      <c r="A97" s="0" t="s">
        <v>903</v>
      </c>
      <c r="B97" s="0" t="s">
        <v>852</v>
      </c>
      <c r="C97" s="14" t="n">
        <f aca="false">C94</f>
        <v>0</v>
      </c>
      <c r="D97" s="14" t="n">
        <f aca="false">SUM(C94:D94)</f>
        <v>0</v>
      </c>
      <c r="E97" s="14" t="n">
        <f aca="false">SUM(C94:E94)</f>
        <v>0</v>
      </c>
      <c r="F97" s="14" t="n">
        <f aca="false">SUM(C94:F94)</f>
        <v>0</v>
      </c>
      <c r="G97" s="14" t="n">
        <f aca="false">SUM(C94:G94)</f>
        <v>0</v>
      </c>
      <c r="H97" s="14" t="n">
        <f aca="false">SUM(C94:H94)</f>
        <v>0</v>
      </c>
      <c r="I97" s="14" t="n">
        <f aca="false">SUM(D94:I94)</f>
        <v>0</v>
      </c>
      <c r="J97" s="14" t="n">
        <f aca="false">SUM(E94:J94)</f>
        <v>0</v>
      </c>
      <c r="K97" s="14" t="n">
        <f aca="false">SUM(F94:K94)</f>
        <v>0</v>
      </c>
      <c r="L97" s="14" t="n">
        <f aca="false">SUM(G94:L94)</f>
        <v>0</v>
      </c>
      <c r="M97" s="14" t="n">
        <f aca="false">SUM(H94:M94)</f>
        <v>0</v>
      </c>
      <c r="N97" s="14" t="n">
        <f aca="false">SUM(I94:N94)</f>
        <v>0</v>
      </c>
      <c r="O97" s="14" t="n">
        <f aca="false">SUM(J94:O94)</f>
        <v>0</v>
      </c>
      <c r="P97" s="14" t="n">
        <f aca="false">SUM(K94:P94)</f>
        <v>0</v>
      </c>
      <c r="Q97" s="14" t="n">
        <f aca="false">SUM(L94:Q94)</f>
        <v>0</v>
      </c>
      <c r="R97" s="14" t="n">
        <f aca="false">SUM(M94:R94)</f>
        <v>0</v>
      </c>
      <c r="S97" s="14" t="n">
        <f aca="false">SUM(N94:S94)</f>
        <v>0</v>
      </c>
      <c r="T97" s="14" t="n">
        <f aca="false">SUM(O94:T94)</f>
        <v>0</v>
      </c>
      <c r="U97" s="14" t="n">
        <f aca="false">SUM(P94:U94)</f>
        <v>0</v>
      </c>
      <c r="V97" s="14" t="n">
        <f aca="false">SUM(Q94:V94)</f>
        <v>0</v>
      </c>
      <c r="W97" s="14" t="n">
        <f aca="false">SUM(R94:W94)</f>
        <v>0</v>
      </c>
      <c r="X97" s="14" t="n">
        <f aca="false">SUM(S94:X94)</f>
        <v>0</v>
      </c>
      <c r="Y97" s="14" t="n">
        <f aca="false">SUM(T94:Y94)</f>
        <v>0</v>
      </c>
      <c r="Z97" s="14" t="n">
        <f aca="false">SUM(U94:Z94)</f>
        <v>0</v>
      </c>
      <c r="AA97" s="14" t="n">
        <f aca="false">SUM(V94:AA94)</f>
        <v>0</v>
      </c>
      <c r="AB97" s="14" t="n">
        <f aca="false">SUM(W94:AB94)</f>
        <v>0</v>
      </c>
      <c r="AC97" s="14" t="n">
        <f aca="false">SUM(X94:AC94)</f>
        <v>0</v>
      </c>
      <c r="AD97" s="14" t="n">
        <f aca="false">SUM(Y94:AD94)</f>
        <v>0</v>
      </c>
      <c r="AE97" s="14" t="n">
        <f aca="false">SUM(Z94:AE94)</f>
        <v>0</v>
      </c>
      <c r="AF97" s="14" t="n">
        <f aca="false">SUM(AA94:AF94)</f>
        <v>1</v>
      </c>
      <c r="AG97" s="14" t="n">
        <f aca="false">SUM(AB94:AG94)</f>
        <v>1</v>
      </c>
      <c r="AH97" s="14" t="n">
        <f aca="false">SUM(AC94:AH94)</f>
        <v>1</v>
      </c>
      <c r="AI97" s="14" t="n">
        <f aca="false">SUM(AD94:AI94)</f>
        <v>1</v>
      </c>
      <c r="AJ97" s="14" t="n">
        <f aca="false">SUM(AE94:AJ94)</f>
        <v>1</v>
      </c>
      <c r="AK97" s="14" t="n">
        <f aca="false">SUM(AF94:AK94)</f>
        <v>1</v>
      </c>
      <c r="AL97" s="14" t="n">
        <f aca="false">SUM(AG94:AL94)</f>
        <v>1</v>
      </c>
      <c r="AN97" s="36" t="n">
        <f aca="false">N97</f>
        <v>0</v>
      </c>
      <c r="AO97" s="36" t="n">
        <f aca="false">Z97</f>
        <v>0</v>
      </c>
      <c r="AP97" s="36" t="n">
        <f aca="false">AL97</f>
        <v>1</v>
      </c>
    </row>
    <row r="98" customFormat="false" ht="15" hidden="false" customHeight="false" outlineLevel="0" collapsed="false">
      <c r="A98" s="0" t="s">
        <v>904</v>
      </c>
      <c r="B98" s="0" t="s">
        <v>852</v>
      </c>
      <c r="C98" s="14" t="n">
        <f aca="false">C92</f>
        <v>0</v>
      </c>
      <c r="D98" s="14" t="n">
        <f aca="false">SUM(C92:D92)</f>
        <v>0</v>
      </c>
      <c r="E98" s="14" t="n">
        <f aca="false">SUM(C92:E92)</f>
        <v>0</v>
      </c>
      <c r="F98" s="14" t="n">
        <f aca="false">SUM(C92:F92)</f>
        <v>0</v>
      </c>
      <c r="G98" s="14" t="n">
        <f aca="false">SUM(C92:G92)</f>
        <v>0</v>
      </c>
      <c r="H98" s="14" t="n">
        <f aca="false">SUM(C92:H92)</f>
        <v>0</v>
      </c>
      <c r="I98" s="14" t="n">
        <f aca="false">SUM(D92:I92)</f>
        <v>0</v>
      </c>
      <c r="J98" s="14" t="n">
        <f aca="false">SUM(E92:J92)</f>
        <v>0</v>
      </c>
      <c r="K98" s="14" t="n">
        <f aca="false">SUM(F92:K92)</f>
        <v>0</v>
      </c>
      <c r="L98" s="14" t="n">
        <f aca="false">SUM(G92:L92)</f>
        <v>0</v>
      </c>
      <c r="M98" s="14" t="n">
        <f aca="false">SUM(H92:M92)</f>
        <v>0</v>
      </c>
      <c r="N98" s="14" t="n">
        <f aca="false">SUM(I92:N92)</f>
        <v>0</v>
      </c>
      <c r="O98" s="14" t="n">
        <f aca="false">SUM(J92:O92)</f>
        <v>0</v>
      </c>
      <c r="P98" s="14" t="n">
        <f aca="false">SUM(K92:P92)</f>
        <v>0</v>
      </c>
      <c r="Q98" s="14" t="n">
        <f aca="false">SUM(L92:Q92)</f>
        <v>0</v>
      </c>
      <c r="R98" s="14" t="n">
        <f aca="false">SUM(M92:R92)</f>
        <v>0</v>
      </c>
      <c r="S98" s="14" t="n">
        <f aca="false">SUM(N92:S92)</f>
        <v>0</v>
      </c>
      <c r="T98" s="14" t="n">
        <f aca="false">SUM(O92:T92)</f>
        <v>0</v>
      </c>
      <c r="U98" s="14" t="n">
        <f aca="false">SUM(P92:U92)</f>
        <v>0</v>
      </c>
      <c r="V98" s="14" t="n">
        <f aca="false">SUM(Q92:V92)</f>
        <v>0</v>
      </c>
      <c r="W98" s="14" t="n">
        <f aca="false">SUM(R92:W92)</f>
        <v>0</v>
      </c>
      <c r="X98" s="14" t="n">
        <f aca="false">SUM(S92:X92)</f>
        <v>0</v>
      </c>
      <c r="Y98" s="14" t="n">
        <f aca="false">SUM(T92:Y92)</f>
        <v>0</v>
      </c>
      <c r="Z98" s="14" t="n">
        <f aca="false">SUM(U92:Z92)</f>
        <v>0</v>
      </c>
      <c r="AA98" s="14" t="n">
        <f aca="false">SUM(V92:AA92)</f>
        <v>0</v>
      </c>
      <c r="AB98" s="14" t="n">
        <f aca="false">SUM(W92:AB92)</f>
        <v>0</v>
      </c>
      <c r="AC98" s="14" t="n">
        <f aca="false">SUM(X92:AC92)</f>
        <v>0</v>
      </c>
      <c r="AD98" s="14" t="n">
        <f aca="false">SUM(Y92:AD92)</f>
        <v>0</v>
      </c>
      <c r="AE98" s="14" t="n">
        <f aca="false">SUM(Z92:AE92)</f>
        <v>0</v>
      </c>
      <c r="AF98" s="14" t="n">
        <f aca="false">SUM(AA92:AF92)</f>
        <v>1</v>
      </c>
      <c r="AG98" s="14" t="n">
        <f aca="false">SUM(AB92:AG92)</f>
        <v>1</v>
      </c>
      <c r="AH98" s="14" t="n">
        <f aca="false">SUM(AC92:AH92)</f>
        <v>1</v>
      </c>
      <c r="AI98" s="14" t="n">
        <f aca="false">SUM(AD92:AI92)</f>
        <v>1</v>
      </c>
      <c r="AJ98" s="14" t="n">
        <f aca="false">SUM(AE92:AJ92)</f>
        <v>1</v>
      </c>
      <c r="AK98" s="14" t="n">
        <f aca="false">SUM(AF92:AK92)</f>
        <v>1</v>
      </c>
      <c r="AL98" s="14" t="n">
        <f aca="false">SUM(AG92:AL92)</f>
        <v>1</v>
      </c>
      <c r="AN98" s="36" t="n">
        <f aca="false">N98</f>
        <v>0</v>
      </c>
      <c r="AO98" s="36" t="n">
        <f aca="false">Z98</f>
        <v>0</v>
      </c>
      <c r="AP98" s="36" t="n">
        <f aca="false">AL98</f>
        <v>1</v>
      </c>
    </row>
    <row r="99" customFormat="false" ht="15" hidden="false" customHeight="false" outlineLevel="0" collapsed="false">
      <c r="A99" s="0" t="s">
        <v>905</v>
      </c>
      <c r="B99" s="0" t="s">
        <v>852</v>
      </c>
      <c r="C99" s="14" t="n">
        <f aca="false">((Assumptions!$E$127*$C$8)*0)</f>
        <v>0</v>
      </c>
      <c r="D99" s="14" t="n">
        <f aca="false">((Assumptions!$E$127*$C$8)*0)</f>
        <v>0</v>
      </c>
      <c r="E99" s="14" t="n">
        <f aca="false">((Assumptions!$E$127*$C$8)*0)</f>
        <v>0</v>
      </c>
      <c r="F99" s="14" t="n">
        <f aca="false">((Assumptions!$E$127*$C$8)*0)</f>
        <v>0</v>
      </c>
      <c r="G99" s="14" t="n">
        <f aca="false">((Assumptions!$E$127*$C$8)*0)</f>
        <v>0</v>
      </c>
      <c r="H99" s="14" t="n">
        <f aca="false">((Assumptions!$E$127*$C$8)*0)</f>
        <v>0</v>
      </c>
      <c r="I99" s="14" t="n">
        <f aca="false">((Assumptions!$E$127*$C$8)*0)</f>
        <v>0</v>
      </c>
      <c r="J99" s="14" t="n">
        <f aca="false">((Assumptions!$E$127*$C$8)*C92)</f>
        <v>0</v>
      </c>
      <c r="K99" s="14" t="n">
        <f aca="false">((Assumptions!$E$127*$C$8)*D92)</f>
        <v>0</v>
      </c>
      <c r="L99" s="14" t="n">
        <f aca="false">((Assumptions!$E$127*$C$8)*E92)</f>
        <v>0</v>
      </c>
      <c r="M99" s="14" t="n">
        <f aca="false">((Assumptions!$E$127*$C$8)*F92)</f>
        <v>0</v>
      </c>
      <c r="N99" s="14" t="n">
        <f aca="false">((Assumptions!$E$127*$C$8)*G92)</f>
        <v>0</v>
      </c>
      <c r="O99" s="14" t="n">
        <f aca="false">((Assumptions!$E$127*$C$8)*H92)</f>
        <v>0</v>
      </c>
      <c r="P99" s="14" t="n">
        <f aca="false">((Assumptions!$E$127*$C$8)*I92)</f>
        <v>0</v>
      </c>
      <c r="Q99" s="14" t="n">
        <f aca="false">((Assumptions!$E$127*$C$8)*J92)</f>
        <v>0</v>
      </c>
      <c r="R99" s="14" t="n">
        <f aca="false">((Assumptions!$E$127*$C$8)*K92)</f>
        <v>0</v>
      </c>
      <c r="S99" s="14" t="n">
        <f aca="false">((Assumptions!$E$127*$C$8)*L92)</f>
        <v>0</v>
      </c>
      <c r="T99" s="14" t="n">
        <f aca="false">((Assumptions!$E$127*$C$8)*M92)</f>
        <v>0</v>
      </c>
      <c r="U99" s="14" t="n">
        <f aca="false">((Assumptions!$E$127*$C$8)*N92)</f>
        <v>0</v>
      </c>
      <c r="V99" s="14" t="n">
        <f aca="false">((Assumptions!$E$127*$C$8)*O92)</f>
        <v>0</v>
      </c>
      <c r="W99" s="14" t="n">
        <f aca="false">((Assumptions!$E$127*$C$8)*P92)</f>
        <v>0</v>
      </c>
      <c r="X99" s="14" t="n">
        <f aca="false">((Assumptions!$E$127*$C$8)*Q92)</f>
        <v>0</v>
      </c>
      <c r="Y99" s="14" t="n">
        <f aca="false">((Assumptions!$E$127*$C$8)*R92)</f>
        <v>0</v>
      </c>
      <c r="Z99" s="14" t="n">
        <f aca="false">((Assumptions!$E$127*$C$8)*S92)</f>
        <v>0</v>
      </c>
      <c r="AA99" s="14" t="n">
        <f aca="false">((Assumptions!$E$127*$C$8)*T92)</f>
        <v>0</v>
      </c>
      <c r="AB99" s="14" t="n">
        <f aca="false">((Assumptions!$E$127*$C$8)*U92)</f>
        <v>0</v>
      </c>
      <c r="AC99" s="14" t="n">
        <f aca="false">((Assumptions!$E$127*$C$8)*V92)</f>
        <v>0</v>
      </c>
      <c r="AD99" s="14" t="n">
        <f aca="false">((Assumptions!$E$127*$C$8)*W92)</f>
        <v>0</v>
      </c>
      <c r="AE99" s="14" t="n">
        <f aca="false">((Assumptions!$E$127*$C$8)*X92)</f>
        <v>0</v>
      </c>
      <c r="AF99" s="14" t="n">
        <f aca="false">((Assumptions!$E$127*$C$8)*Y92)</f>
        <v>0</v>
      </c>
      <c r="AG99" s="14" t="n">
        <f aca="false">((Assumptions!$E$127*$C$8)*Z92)</f>
        <v>0</v>
      </c>
      <c r="AH99" s="14" t="n">
        <f aca="false">((Assumptions!$E$127*$C$8)*AA92)</f>
        <v>0</v>
      </c>
      <c r="AI99" s="14" t="n">
        <f aca="false">((Assumptions!$E$127*$C$8)*AB92)</f>
        <v>0</v>
      </c>
      <c r="AJ99" s="14" t="n">
        <f aca="false">((Assumptions!$E$127*$C$8)*AC92)</f>
        <v>0</v>
      </c>
      <c r="AK99" s="14" t="n">
        <f aca="false">((Assumptions!$E$127*$C$8)*AD92)</f>
        <v>0</v>
      </c>
      <c r="AL99" s="14" t="n">
        <f aca="false">((Assumptions!$E$127*$C$8)*AE92)</f>
        <v>0</v>
      </c>
      <c r="AN99" s="36" t="n">
        <f aca="false">SUM(C99:N99)</f>
        <v>0</v>
      </c>
      <c r="AO99" s="36" t="n">
        <f aca="false">SUM(O99:Z99)</f>
        <v>0</v>
      </c>
      <c r="AP99" s="36" t="n">
        <f aca="false">SUM(AA99:AL99)</f>
        <v>0</v>
      </c>
    </row>
    <row r="100" customFormat="false" ht="15" hidden="false" customHeight="false" outlineLevel="0" collapsed="false">
      <c r="A100" s="0" t="s">
        <v>906</v>
      </c>
      <c r="B100" s="0" t="s">
        <v>852</v>
      </c>
      <c r="C100" s="14" t="n">
        <f aca="false">((Assumptions!$C$10*$C$8)*IF((C$18=(Assumptions!$C$9+$C$9)),0,IF((C$18&gt;(Assumptions!$C$9+$C$9)),0,0)))</f>
        <v>0</v>
      </c>
      <c r="D100" s="14" t="n">
        <f aca="false">((Assumptions!$C$10*$C$8)*IF((D$18=(Assumptions!$C$9+$C$9)),0,IF((D$18&gt;(Assumptions!$C$9+$C$9)),0,0)))</f>
        <v>0</v>
      </c>
      <c r="E100" s="14" t="n">
        <f aca="false">((Assumptions!$C$10*$C$8)*IF((E$18=(Assumptions!$C$9+$C$9)),0,IF((E$18&gt;(Assumptions!$C$9+$C$9)),0,0)))</f>
        <v>0</v>
      </c>
      <c r="F100" s="14" t="n">
        <f aca="false">((Assumptions!$C$10*$C$8)*IF((F$18=(Assumptions!$C$9+$C$9)),0,IF((F$18&gt;(Assumptions!$C$9+$C$9)),0,0)))</f>
        <v>0</v>
      </c>
      <c r="G100" s="14" t="n">
        <f aca="false">((Assumptions!$C$10*$C$8)*IF((G$18=(Assumptions!$C$9+$C$9)),0,IF((G$18&gt;(Assumptions!$C$9+$C$9)),0,0)))</f>
        <v>0</v>
      </c>
      <c r="H100" s="14" t="n">
        <f aca="false">((Assumptions!$C$10*$C$8)*IF((H$18=(Assumptions!$C$9+$C$9)),0,IF((H$18&gt;(Assumptions!$C$9+$C$9)),0,0)))</f>
        <v>0</v>
      </c>
      <c r="I100" s="14" t="n">
        <f aca="false">((Assumptions!$C$10*$C$8)*IF((I$18=(Assumptions!$C$9+$C$9)),0,IF((I$18&gt;(Assumptions!$C$9+$C$9)),0,0)))</f>
        <v>0</v>
      </c>
      <c r="J100" s="14" t="n">
        <f aca="false">((Assumptions!$C$10*$C$8)*IF((J$18=(Assumptions!$C$9+$C$9)),C93,IF((J$18&gt;(Assumptions!$C$9+$C$9)),C93,0)))</f>
        <v>0</v>
      </c>
      <c r="K100" s="14" t="n">
        <f aca="false">((Assumptions!$C$10*$C$8)*IF((K$18=(Assumptions!$C$9+$C$9)),SUM(C93:D93),IF((K$18&gt;(Assumptions!$C$9+$C$9)),D93,0)))</f>
        <v>0</v>
      </c>
      <c r="L100" s="14" t="n">
        <f aca="false">((Assumptions!$C$10*$C$8)*IF((L$18=(Assumptions!$C$9+$C$9)),SUM(C93:E93),IF((L$18&gt;(Assumptions!$C$9+$C$9)),E93,0)))</f>
        <v>0</v>
      </c>
      <c r="M100" s="14" t="n">
        <f aca="false">((Assumptions!$C$10*$C$8)*IF((M$18=(Assumptions!$C$9+$C$9)),SUM(C93:F93),IF((M$18&gt;(Assumptions!$C$9+$C$9)),F93,0)))</f>
        <v>0</v>
      </c>
      <c r="N100" s="14" t="n">
        <f aca="false">((Assumptions!$C$10*$C$8)*IF((N$18=(Assumptions!$C$9+$C$9)),SUM(C93:G93),IF((N$18&gt;(Assumptions!$C$9+$C$9)),G93,0)))</f>
        <v>0</v>
      </c>
      <c r="O100" s="14" t="n">
        <f aca="false">((Assumptions!$C$10*$C$8)*IF((O$18=(Assumptions!$C$9+$C$9)),SUM(C93:H93),IF((O$18&gt;(Assumptions!$C$9+$C$9)),H93,0)))</f>
        <v>0</v>
      </c>
      <c r="P100" s="14" t="n">
        <f aca="false">((Assumptions!$C$10*$C$8)*IF((P$18=(Assumptions!$C$9+$C$9)),SUM(C93:I93),IF((P$18&gt;(Assumptions!$C$9+$C$9)),I93,0)))</f>
        <v>0</v>
      </c>
      <c r="Q100" s="14" t="n">
        <f aca="false">((Assumptions!$C$10*$C$8)*IF((Q$18=(Assumptions!$C$9+$C$9)),SUM(C93:J93),IF((Q$18&gt;(Assumptions!$C$9+$C$9)),J93,0)))</f>
        <v>0</v>
      </c>
      <c r="R100" s="14" t="n">
        <f aca="false">((Assumptions!$C$10*$C$8)*IF((R$18=(Assumptions!$C$9+$C$9)),SUM(C93:K93),IF((R$18&gt;(Assumptions!$C$9+$C$9)),K93,0)))</f>
        <v>0</v>
      </c>
      <c r="S100" s="14" t="n">
        <f aca="false">((Assumptions!$C$10*$C$8)*IF((S$18=(Assumptions!$C$9+$C$9)),SUM(C93:L93),IF((S$18&gt;(Assumptions!$C$9+$C$9)),L93,0)))</f>
        <v>0</v>
      </c>
      <c r="T100" s="14" t="n">
        <f aca="false">((Assumptions!$C$10*$C$8)*IF((T$18=(Assumptions!$C$9+$C$9)),SUM(C93:M93),IF((T$18&gt;(Assumptions!$C$9+$C$9)),M93,0)))</f>
        <v>0</v>
      </c>
      <c r="U100" s="14" t="n">
        <f aca="false">((Assumptions!$C$10*$C$8)*IF((U$18=(Assumptions!$C$9+$C$9)),SUM(C93:N93),IF((U$18&gt;(Assumptions!$C$9+$C$9)),N93,0)))</f>
        <v>0</v>
      </c>
      <c r="V100" s="14" t="n">
        <f aca="false">((Assumptions!$C$10*$C$8)*IF((V$18=(Assumptions!$C$9+$C$9)),SUM(C93:O93),IF((V$18&gt;(Assumptions!$C$9+$C$9)),O93,0)))</f>
        <v>0</v>
      </c>
      <c r="W100" s="14" t="n">
        <f aca="false">((Assumptions!$C$10*$C$8)*IF((W$18=(Assumptions!$C$9+$C$9)),SUM(C93:P93),IF((W$18&gt;(Assumptions!$C$9+$C$9)),P93,0)))</f>
        <v>0</v>
      </c>
      <c r="X100" s="14" t="n">
        <f aca="false">((Assumptions!$C$10*$C$8)*IF((X$18=(Assumptions!$C$9+$C$9)),SUM(C93:Q93),IF((X$18&gt;(Assumptions!$C$9+$C$9)),Q93,0)))</f>
        <v>0</v>
      </c>
      <c r="Y100" s="14" t="n">
        <f aca="false">((Assumptions!$C$10*$C$8)*IF((Y$18=(Assumptions!$C$9+$C$9)),SUM(C93:R93),IF((Y$18&gt;(Assumptions!$C$9+$C$9)),R93,0)))</f>
        <v>0</v>
      </c>
      <c r="Z100" s="14" t="n">
        <f aca="false">((Assumptions!$C$10*$C$8)*IF((Z$18=(Assumptions!$C$9+$C$9)),SUM(C93:S93),IF((Z$18&gt;(Assumptions!$C$9+$C$9)),S93,0)))</f>
        <v>0</v>
      </c>
      <c r="AA100" s="14" t="n">
        <f aca="false">((Assumptions!$C$10*$C$8)*IF((AA$18=(Assumptions!$C$9+$C$9)),SUM(C93:T93),IF((AA$18&gt;(Assumptions!$C$9+$C$9)),T93,0)))</f>
        <v>0</v>
      </c>
      <c r="AB100" s="14" t="n">
        <f aca="false">((Assumptions!$C$10*$C$8)*IF((AB$18=(Assumptions!$C$9+$C$9)),SUM(C93:U93),IF((AB$18&gt;(Assumptions!$C$9+$C$9)),U93,0)))</f>
        <v>0</v>
      </c>
      <c r="AC100" s="14" t="n">
        <f aca="false">((Assumptions!$C$10*$C$8)*IF((AC$18=(Assumptions!$C$9+$C$9)),SUM(C93:V93),IF((AC$18&gt;(Assumptions!$C$9+$C$9)),V93,0)))</f>
        <v>0</v>
      </c>
      <c r="AD100" s="14" t="n">
        <f aca="false">((Assumptions!$C$10*$C$8)*IF((AD$18=(Assumptions!$C$9+$C$9)),SUM(C93:W93),IF((AD$18&gt;(Assumptions!$C$9+$C$9)),W93,0)))</f>
        <v>0</v>
      </c>
      <c r="AE100" s="14" t="n">
        <f aca="false">((Assumptions!$C$10*$C$8)*IF((AE$18=(Assumptions!$C$9+$C$9)),SUM(C93:X93),IF((AE$18&gt;(Assumptions!$C$9+$C$9)),X93,0)))</f>
        <v>0</v>
      </c>
      <c r="AF100" s="14" t="n">
        <f aca="false">((Assumptions!$C$10*$C$8)*IF((AF$18=(Assumptions!$C$9+$C$9)),SUM(C93:Y93),IF((AF$18&gt;(Assumptions!$C$9+$C$9)),Y93,0)))</f>
        <v>0</v>
      </c>
      <c r="AG100" s="14" t="n">
        <f aca="false">((Assumptions!$C$10*$C$8)*IF((AG$18=(Assumptions!$C$9+$C$9)),SUM(C93:Z93),IF((AG$18&gt;(Assumptions!$C$9+$C$9)),Z93,0)))</f>
        <v>0</v>
      </c>
      <c r="AH100" s="14" t="n">
        <f aca="false">((Assumptions!$C$10*$C$8)*IF((AH$18=(Assumptions!$C$9+$C$9)),SUM(C93:AA93),IF((AH$18&gt;(Assumptions!$C$9+$C$9)),AA93,0)))</f>
        <v>0</v>
      </c>
      <c r="AI100" s="14" t="n">
        <f aca="false">((Assumptions!$C$10*$C$8)*IF((AI$18=(Assumptions!$C$9+$C$9)),SUM(C93:AB93),IF((AI$18&gt;(Assumptions!$C$9+$C$9)),AB93,0)))</f>
        <v>0</v>
      </c>
      <c r="AJ100" s="14" t="n">
        <f aca="false">((Assumptions!$C$10*$C$8)*IF((AJ$18=(Assumptions!$C$9+$C$9)),SUM(C93:AC93),IF((AJ$18&gt;(Assumptions!$C$9+$C$9)),AC93,0)))</f>
        <v>0</v>
      </c>
      <c r="AK100" s="14" t="n">
        <f aca="false">((Assumptions!$C$10*$C$8)*IF((AK$18=(Assumptions!$C$9+$C$9)),SUM(C93:AD93),IF((AK$18&gt;(Assumptions!$C$9+$C$9)),AD93,0)))</f>
        <v>0</v>
      </c>
      <c r="AL100" s="14" t="n">
        <f aca="false">((Assumptions!$C$10*$C$8)*IF((AL$18=(Assumptions!$C$9+$C$9)),SUM(C93:AE93),IF((AL$18&gt;(Assumptions!$C$9+$C$9)),AE93,0)))</f>
        <v>0</v>
      </c>
      <c r="AN100" s="36" t="n">
        <f aca="false">SUM(C100:N100)</f>
        <v>0</v>
      </c>
      <c r="AO100" s="36" t="n">
        <f aca="false">SUM(O100:Z100)</f>
        <v>0</v>
      </c>
      <c r="AP100" s="36" t="n">
        <f aca="false">SUM(AA100:AL100)</f>
        <v>0</v>
      </c>
    </row>
    <row r="101" customFormat="false" ht="15" hidden="false" customHeight="false" outlineLevel="0" collapsed="false">
      <c r="A101" s="0" t="s">
        <v>907</v>
      </c>
      <c r="B101" s="0" t="s">
        <v>852</v>
      </c>
      <c r="C101" s="14" t="n">
        <f aca="false">((C99+C100)+C95)</f>
        <v>0</v>
      </c>
      <c r="D101" s="14" t="n">
        <f aca="false">((D99+D100)+D95)</f>
        <v>0</v>
      </c>
      <c r="E101" s="14" t="n">
        <f aca="false">((E99+E100)+E95)</f>
        <v>0</v>
      </c>
      <c r="F101" s="14" t="n">
        <f aca="false">((F99+F100)+F95)</f>
        <v>0</v>
      </c>
      <c r="G101" s="14" t="n">
        <f aca="false">((G99+G100)+G95)</f>
        <v>0</v>
      </c>
      <c r="H101" s="14" t="n">
        <f aca="false">((H99+H100)+H95)</f>
        <v>0</v>
      </c>
      <c r="I101" s="14" t="n">
        <f aca="false">((I99+I100)+I95)</f>
        <v>0</v>
      </c>
      <c r="J101" s="14" t="n">
        <f aca="false">((J99+J100)+J95)</f>
        <v>0</v>
      </c>
      <c r="K101" s="14" t="n">
        <f aca="false">((K99+K100)+K95)</f>
        <v>0</v>
      </c>
      <c r="L101" s="14" t="n">
        <f aca="false">((L99+L100)+L95)</f>
        <v>0</v>
      </c>
      <c r="M101" s="14" t="n">
        <f aca="false">((M99+M100)+M95)</f>
        <v>0</v>
      </c>
      <c r="N101" s="14" t="n">
        <f aca="false">((N99+N100)+N95)</f>
        <v>0</v>
      </c>
      <c r="O101" s="14" t="n">
        <f aca="false">((O99+O100)+O95)</f>
        <v>0</v>
      </c>
      <c r="P101" s="14" t="n">
        <f aca="false">((P99+P100)+P95)</f>
        <v>0</v>
      </c>
      <c r="Q101" s="14" t="n">
        <f aca="false">((Q99+Q100)+Q95)</f>
        <v>0</v>
      </c>
      <c r="R101" s="14" t="n">
        <f aca="false">((R99+R100)+R95)</f>
        <v>0</v>
      </c>
      <c r="S101" s="14" t="n">
        <f aca="false">((S99+S100)+S95)</f>
        <v>0</v>
      </c>
      <c r="T101" s="14" t="n">
        <f aca="false">((T99+T100)+T95)</f>
        <v>0</v>
      </c>
      <c r="U101" s="14" t="n">
        <f aca="false">((U99+U100)+U95)</f>
        <v>0</v>
      </c>
      <c r="V101" s="14" t="n">
        <f aca="false">((V99+V100)+V95)</f>
        <v>0</v>
      </c>
      <c r="W101" s="14" t="n">
        <f aca="false">((W99+W100)+W95)</f>
        <v>0</v>
      </c>
      <c r="X101" s="14" t="n">
        <f aca="false">((X99+X100)+X95)</f>
        <v>0</v>
      </c>
      <c r="Y101" s="14" t="n">
        <f aca="false">((Y99+Y100)+Y95)</f>
        <v>0</v>
      </c>
      <c r="Z101" s="14" t="n">
        <f aca="false">((Z99+Z100)+Z95)</f>
        <v>0</v>
      </c>
      <c r="AA101" s="14" t="n">
        <f aca="false">((AA99+AA100)+AA95)</f>
        <v>0</v>
      </c>
      <c r="AB101" s="14" t="n">
        <f aca="false">((AB99+AB100)+AB95)</f>
        <v>0</v>
      </c>
      <c r="AC101" s="14" t="n">
        <f aca="false">((AC99+AC100)+AC95)</f>
        <v>0</v>
      </c>
      <c r="AD101" s="14" t="n">
        <f aca="false">((AD99+AD100)+AD95)</f>
        <v>0</v>
      </c>
      <c r="AE101" s="14" t="n">
        <f aca="false">((AE99+AE100)+AE95)</f>
        <v>0</v>
      </c>
      <c r="AF101" s="14" t="n">
        <f aca="false">((AF99+AF100)+AF95)</f>
        <v>0</v>
      </c>
      <c r="AG101" s="14" t="n">
        <f aca="false">((AG99+AG100)+AG95)</f>
        <v>0</v>
      </c>
      <c r="AH101" s="14" t="n">
        <f aca="false">((AH99+AH100)+AH95)</f>
        <v>0</v>
      </c>
      <c r="AI101" s="14" t="n">
        <f aca="false">((AI99+AI100)+AI95)</f>
        <v>0</v>
      </c>
      <c r="AJ101" s="14" t="n">
        <f aca="false">((AJ99+AJ100)+AJ95)</f>
        <v>0</v>
      </c>
      <c r="AK101" s="14" t="n">
        <f aca="false">((AK99+AK100)+AK95)</f>
        <v>0</v>
      </c>
      <c r="AL101" s="14" t="n">
        <f aca="false">((AL99+AL100)+AL95)</f>
        <v>1</v>
      </c>
      <c r="AN101" s="36" t="n">
        <f aca="false">SUM(C101:N101)</f>
        <v>0</v>
      </c>
      <c r="AO101" s="36" t="n">
        <f aca="false">SUM(O101:Z101)</f>
        <v>0</v>
      </c>
      <c r="AP101" s="36" t="n">
        <f aca="false">SUM(AA101:AL101)</f>
        <v>1</v>
      </c>
    </row>
    <row r="102" customFormat="false" ht="15" hidden="false" customHeight="false" outlineLevel="0" collapsed="false">
      <c r="A102" s="0" t="s">
        <v>908</v>
      </c>
      <c r="B102" s="0" t="s">
        <v>852</v>
      </c>
      <c r="C102" s="14" t="n">
        <f aca="false">(C101+(C45*0))</f>
        <v>0</v>
      </c>
      <c r="D102" s="14" t="n">
        <f aca="false">(D101+(D45*0))</f>
        <v>0</v>
      </c>
      <c r="E102" s="14" t="n">
        <f aca="false">(E101+(E45*0))</f>
        <v>0</v>
      </c>
      <c r="F102" s="14" t="n">
        <f aca="false">(F101+(F45*0))</f>
        <v>0</v>
      </c>
      <c r="G102" s="14" t="n">
        <f aca="false">(G101+(G45*0))</f>
        <v>0</v>
      </c>
      <c r="H102" s="14" t="n">
        <f aca="false">(H101+(H45*0))</f>
        <v>0</v>
      </c>
      <c r="I102" s="14" t="n">
        <f aca="false">(I101+(I45*0))</f>
        <v>0</v>
      </c>
      <c r="J102" s="14" t="n">
        <f aca="false">(J101+(J45*0))</f>
        <v>0</v>
      </c>
      <c r="K102" s="14" t="n">
        <f aca="false">(K101+(K45*0))</f>
        <v>0</v>
      </c>
      <c r="L102" s="14" t="n">
        <f aca="false">(L101+(L45*0))</f>
        <v>0</v>
      </c>
      <c r="M102" s="14" t="n">
        <f aca="false">(M101+(M45*0))</f>
        <v>0</v>
      </c>
      <c r="N102" s="14" t="n">
        <f aca="false">(N101+(N45*0))</f>
        <v>0</v>
      </c>
      <c r="O102" s="14" t="n">
        <f aca="false">(O101+(O45*C102))</f>
        <v>0</v>
      </c>
      <c r="P102" s="14" t="n">
        <f aca="false">(P101+(P45*D102))</f>
        <v>0</v>
      </c>
      <c r="Q102" s="14" t="n">
        <f aca="false">(Q101+(Q45*E102))</f>
        <v>0</v>
      </c>
      <c r="R102" s="14" t="n">
        <f aca="false">(R101+(R45*F102))</f>
        <v>0</v>
      </c>
      <c r="S102" s="14" t="n">
        <f aca="false">(S101+(S45*G102))</f>
        <v>0</v>
      </c>
      <c r="T102" s="14" t="n">
        <f aca="false">(T101+(T45*H102))</f>
        <v>0</v>
      </c>
      <c r="U102" s="14" t="n">
        <f aca="false">(U101+(U45*I102))</f>
        <v>0</v>
      </c>
      <c r="V102" s="14" t="n">
        <f aca="false">(V101+(V45*J102))</f>
        <v>0</v>
      </c>
      <c r="W102" s="14" t="n">
        <f aca="false">(W101+(W45*K102))</f>
        <v>0</v>
      </c>
      <c r="X102" s="14" t="n">
        <f aca="false">(X101+(X45*L102))</f>
        <v>0</v>
      </c>
      <c r="Y102" s="14" t="n">
        <f aca="false">(Y101+(Y45*M102))</f>
        <v>0</v>
      </c>
      <c r="Z102" s="14" t="n">
        <f aca="false">(Z101+(Z45*N102))</f>
        <v>0</v>
      </c>
      <c r="AA102" s="14" t="n">
        <f aca="false">(AA101+(AA45*O102))</f>
        <v>0</v>
      </c>
      <c r="AB102" s="14" t="n">
        <f aca="false">(AB101+(AB45*P102))</f>
        <v>0</v>
      </c>
      <c r="AC102" s="14" t="n">
        <f aca="false">(AC101+(AC45*Q102))</f>
        <v>0</v>
      </c>
      <c r="AD102" s="14" t="n">
        <f aca="false">(AD101+(AD45*R102))</f>
        <v>0</v>
      </c>
      <c r="AE102" s="14" t="n">
        <f aca="false">(AE101+(AE45*S102))</f>
        <v>0</v>
      </c>
      <c r="AF102" s="14" t="n">
        <f aca="false">(AF101+(AF45*T102))</f>
        <v>0</v>
      </c>
      <c r="AG102" s="14" t="n">
        <f aca="false">(AG101+(AG45*U102))</f>
        <v>0</v>
      </c>
      <c r="AH102" s="14" t="n">
        <f aca="false">(AH101+(AH45*V102))</f>
        <v>0</v>
      </c>
      <c r="AI102" s="14" t="n">
        <f aca="false">(AI101+(AI45*W102))</f>
        <v>0</v>
      </c>
      <c r="AJ102" s="14" t="n">
        <f aca="false">(AJ101+(AJ45*X102))</f>
        <v>0</v>
      </c>
      <c r="AK102" s="14" t="n">
        <f aca="false">(AK101+(AK45*Y102))</f>
        <v>0</v>
      </c>
      <c r="AL102" s="14" t="n">
        <f aca="false">(AL101+(AL45*Z102))</f>
        <v>1</v>
      </c>
      <c r="AN102" s="36" t="n">
        <f aca="false">SUM(C102:N102)</f>
        <v>0</v>
      </c>
      <c r="AO102" s="36" t="n">
        <f aca="false">SUM(O102:Z102)</f>
        <v>0</v>
      </c>
      <c r="AP102" s="36" t="n">
        <f aca="false">SUM(AA102:AL102)</f>
        <v>1</v>
      </c>
    </row>
    <row r="103" customFormat="false" ht="15" hidden="false" customHeight="false" outlineLevel="0" collapsed="false">
      <c r="A103" s="0" t="s">
        <v>909</v>
      </c>
      <c r="B103" s="0" t="s">
        <v>852</v>
      </c>
      <c r="C103" s="14" t="n">
        <f aca="false">C102</f>
        <v>0</v>
      </c>
      <c r="D103" s="14" t="n">
        <f aca="false">SUM(C102:D102)</f>
        <v>0</v>
      </c>
      <c r="E103" s="14" t="n">
        <f aca="false">SUM(C102:E102)</f>
        <v>0</v>
      </c>
      <c r="F103" s="14" t="n">
        <f aca="false">SUM(C102:F102)</f>
        <v>0</v>
      </c>
      <c r="G103" s="14" t="n">
        <f aca="false">SUM(C102:G102)</f>
        <v>0</v>
      </c>
      <c r="H103" s="14" t="n">
        <f aca="false">SUM(C102:H102)</f>
        <v>0</v>
      </c>
      <c r="I103" s="14" t="n">
        <f aca="false">SUM(C102:I102)</f>
        <v>0</v>
      </c>
      <c r="J103" s="14" t="n">
        <f aca="false">SUM(C102:J102)</f>
        <v>0</v>
      </c>
      <c r="K103" s="14" t="n">
        <f aca="false">SUM(C102:K102)</f>
        <v>0</v>
      </c>
      <c r="L103" s="14" t="n">
        <f aca="false">SUM(C102:L102)</f>
        <v>0</v>
      </c>
      <c r="M103" s="14" t="n">
        <f aca="false">SUM(C102:M102)</f>
        <v>0</v>
      </c>
      <c r="N103" s="14" t="n">
        <f aca="false">SUM(C102:N102)</f>
        <v>0</v>
      </c>
      <c r="O103" s="14" t="n">
        <f aca="false">SUM(D102:O102)</f>
        <v>0</v>
      </c>
      <c r="P103" s="14" t="n">
        <f aca="false">SUM(E102:P102)</f>
        <v>0</v>
      </c>
      <c r="Q103" s="14" t="n">
        <f aca="false">SUM(F102:Q102)</f>
        <v>0</v>
      </c>
      <c r="R103" s="14" t="n">
        <f aca="false">SUM(G102:R102)</f>
        <v>0</v>
      </c>
      <c r="S103" s="14" t="n">
        <f aca="false">SUM(H102:S102)</f>
        <v>0</v>
      </c>
      <c r="T103" s="14" t="n">
        <f aca="false">SUM(I102:T102)</f>
        <v>0</v>
      </c>
      <c r="U103" s="14" t="n">
        <f aca="false">SUM(J102:U102)</f>
        <v>0</v>
      </c>
      <c r="V103" s="14" t="n">
        <f aca="false">SUM(K102:V102)</f>
        <v>0</v>
      </c>
      <c r="W103" s="14" t="n">
        <f aca="false">SUM(L102:W102)</f>
        <v>0</v>
      </c>
      <c r="X103" s="14" t="n">
        <f aca="false">SUM(M102:X102)</f>
        <v>0</v>
      </c>
      <c r="Y103" s="14" t="n">
        <f aca="false">SUM(N102:Y102)</f>
        <v>0</v>
      </c>
      <c r="Z103" s="14" t="n">
        <f aca="false">SUM(O102:Z102)</f>
        <v>0</v>
      </c>
      <c r="AA103" s="14" t="n">
        <f aca="false">SUM(P102:AA102)</f>
        <v>0</v>
      </c>
      <c r="AB103" s="14" t="n">
        <f aca="false">SUM(Q102:AB102)</f>
        <v>0</v>
      </c>
      <c r="AC103" s="14" t="n">
        <f aca="false">SUM(R102:AC102)</f>
        <v>0</v>
      </c>
      <c r="AD103" s="14" t="n">
        <f aca="false">SUM(S102:AD102)</f>
        <v>0</v>
      </c>
      <c r="AE103" s="14" t="n">
        <f aca="false">SUM(T102:AE102)</f>
        <v>0</v>
      </c>
      <c r="AF103" s="14" t="n">
        <f aca="false">SUM(U102:AF102)</f>
        <v>0</v>
      </c>
      <c r="AG103" s="14" t="n">
        <f aca="false">SUM(V102:AG102)</f>
        <v>0</v>
      </c>
      <c r="AH103" s="14" t="n">
        <f aca="false">SUM(W102:AH102)</f>
        <v>0</v>
      </c>
      <c r="AI103" s="14" t="n">
        <f aca="false">SUM(X102:AI102)</f>
        <v>0</v>
      </c>
      <c r="AJ103" s="14" t="n">
        <f aca="false">SUM(Y102:AJ102)</f>
        <v>0</v>
      </c>
      <c r="AK103" s="14" t="n">
        <f aca="false">SUM(Z102:AK102)</f>
        <v>0</v>
      </c>
      <c r="AL103" s="14" t="n">
        <f aca="false">SUM(AA102:AL102)</f>
        <v>1</v>
      </c>
      <c r="AN103" s="36" t="n">
        <f aca="false">N103</f>
        <v>0</v>
      </c>
      <c r="AO103" s="36" t="n">
        <f aca="false">Z103</f>
        <v>0</v>
      </c>
      <c r="AP103" s="36" t="n">
        <f aca="false">AL103</f>
        <v>1</v>
      </c>
    </row>
    <row r="104" customFormat="false" ht="15" hidden="false" customHeight="false" outlineLevel="0" collapsed="false">
      <c r="A104" s="0" t="s">
        <v>910</v>
      </c>
      <c r="B104" s="0" t="s">
        <v>230</v>
      </c>
      <c r="C104" s="9" t="n">
        <f aca="false">((Assumptions!$E$121*(1-Assumptions!$C$29))*$C$10)</f>
        <v>193600</v>
      </c>
      <c r="D104" s="9" t="n">
        <f aca="false">((Assumptions!$E$121*(1-Assumptions!$C$29))*$C$10)</f>
        <v>193600</v>
      </c>
      <c r="E104" s="9" t="n">
        <f aca="false">((Assumptions!$E$121*(1-Assumptions!$C$29))*$C$10)</f>
        <v>193600</v>
      </c>
      <c r="F104" s="9" t="n">
        <f aca="false">((Assumptions!$E$121*(1-Assumptions!$C$29))*$C$10)</f>
        <v>193600</v>
      </c>
      <c r="G104" s="9" t="n">
        <f aca="false">((Assumptions!$E$121*(1-Assumptions!$C$29))*$C$10)</f>
        <v>193600</v>
      </c>
      <c r="H104" s="9" t="n">
        <f aca="false">((Assumptions!$E$121*(1-Assumptions!$C$29))*$C$10)</f>
        <v>193600</v>
      </c>
      <c r="I104" s="9" t="n">
        <f aca="false">((Assumptions!$E$121*(1-Assumptions!$C$29))*$C$10)</f>
        <v>193600</v>
      </c>
      <c r="J104" s="9" t="n">
        <f aca="false">((Assumptions!$E$121*(1-Assumptions!$C$29))*$C$10)</f>
        <v>193600</v>
      </c>
      <c r="K104" s="9" t="n">
        <f aca="false">((Assumptions!$E$121*(1-Assumptions!$C$29))*$C$10)</f>
        <v>193600</v>
      </c>
      <c r="L104" s="9" t="n">
        <f aca="false">((Assumptions!$E$121*(1-Assumptions!$C$29))*$C$10)</f>
        <v>193600</v>
      </c>
      <c r="M104" s="9" t="n">
        <f aca="false">((Assumptions!$E$121*(1-Assumptions!$C$29))*$C$10)</f>
        <v>193600</v>
      </c>
      <c r="N104" s="9" t="n">
        <f aca="false">((Assumptions!$E$121*(1-Assumptions!$C$29))*$C$10)</f>
        <v>193600</v>
      </c>
      <c r="O104" s="9" t="n">
        <f aca="false">((Assumptions!$E$121*(1-Assumptions!$C$29))*$C$10)</f>
        <v>193600</v>
      </c>
      <c r="P104" s="9" t="n">
        <f aca="false">((Assumptions!$E$121*(1-Assumptions!$C$29))*$C$10)</f>
        <v>193600</v>
      </c>
      <c r="Q104" s="9" t="n">
        <f aca="false">((Assumptions!$E$121*(1-Assumptions!$C$29))*$C$10)</f>
        <v>193600</v>
      </c>
      <c r="R104" s="9" t="n">
        <f aca="false">((Assumptions!$E$121*(1-Assumptions!$C$29))*$C$10)</f>
        <v>193600</v>
      </c>
      <c r="S104" s="9" t="n">
        <f aca="false">((Assumptions!$E$121*(1-Assumptions!$C$29))*$C$10)</f>
        <v>193600</v>
      </c>
      <c r="T104" s="9" t="n">
        <f aca="false">((Assumptions!$E$121*(1-Assumptions!$C$29))*$C$10)</f>
        <v>193600</v>
      </c>
      <c r="U104" s="9" t="n">
        <f aca="false">((Assumptions!$E$121*(1-Assumptions!$C$29))*$C$10)</f>
        <v>193600</v>
      </c>
      <c r="V104" s="9" t="n">
        <f aca="false">((Assumptions!$E$121*(1-Assumptions!$C$29))*$C$10)</f>
        <v>193600</v>
      </c>
      <c r="W104" s="9" t="n">
        <f aca="false">((Assumptions!$E$121*(1-Assumptions!$C$29))*$C$10)</f>
        <v>193600</v>
      </c>
      <c r="X104" s="9" t="n">
        <f aca="false">((Assumptions!$E$121*(1-Assumptions!$C$29))*$C$10)</f>
        <v>193600</v>
      </c>
      <c r="Y104" s="9" t="n">
        <f aca="false">((Assumptions!$E$121*(1-Assumptions!$C$29))*$C$10)</f>
        <v>193600</v>
      </c>
      <c r="Z104" s="9" t="n">
        <f aca="false">((Assumptions!$E$121*(1-Assumptions!$C$29))*$C$10)</f>
        <v>193600</v>
      </c>
      <c r="AA104" s="9" t="n">
        <f aca="false">((Assumptions!$E$121*(1-Assumptions!$C$29))*$C$10)</f>
        <v>193600</v>
      </c>
      <c r="AB104" s="9" t="n">
        <f aca="false">((Assumptions!$E$121*(1-Assumptions!$C$29))*$C$10)</f>
        <v>193600</v>
      </c>
      <c r="AC104" s="9" t="n">
        <f aca="false">((Assumptions!$E$121*(1-Assumptions!$C$29))*$C$10)</f>
        <v>193600</v>
      </c>
      <c r="AD104" s="9" t="n">
        <f aca="false">((Assumptions!$E$121*(1-Assumptions!$C$29))*$C$10)</f>
        <v>193600</v>
      </c>
      <c r="AE104" s="9" t="n">
        <f aca="false">((Assumptions!$E$121*(1-Assumptions!$C$29))*$C$10)</f>
        <v>193600</v>
      </c>
      <c r="AF104" s="9" t="n">
        <f aca="false">((Assumptions!$E$121*(1-Assumptions!$C$29))*$C$10)</f>
        <v>193600</v>
      </c>
      <c r="AG104" s="9" t="n">
        <f aca="false">((Assumptions!$E$121*(1-Assumptions!$C$29))*$C$10)</f>
        <v>193600</v>
      </c>
      <c r="AH104" s="9" t="n">
        <f aca="false">((Assumptions!$E$121*(1-Assumptions!$C$29))*$C$10)</f>
        <v>193600</v>
      </c>
      <c r="AI104" s="9" t="n">
        <f aca="false">((Assumptions!$E$121*(1-Assumptions!$C$29))*$C$10)</f>
        <v>193600</v>
      </c>
      <c r="AJ104" s="9" t="n">
        <f aca="false">((Assumptions!$E$121*(1-Assumptions!$C$29))*$C$10)</f>
        <v>193600</v>
      </c>
      <c r="AK104" s="9" t="n">
        <f aca="false">((Assumptions!$E$121*(1-Assumptions!$C$29))*$C$10)</f>
        <v>193600</v>
      </c>
      <c r="AL104" s="9" t="n">
        <f aca="false">((Assumptions!$E$121*(1-Assumptions!$C$29))*$C$10)</f>
        <v>193600</v>
      </c>
    </row>
    <row r="105" customFormat="false" ht="15" hidden="false" customHeight="false" outlineLevel="0" collapsed="false">
      <c r="A105" s="0" t="s">
        <v>911</v>
      </c>
      <c r="B105" s="0" t="s">
        <v>230</v>
      </c>
      <c r="C105" s="9" t="n">
        <f aca="false">((C101*C104)+((C45*(1+Assumptions!$C$31))*0))</f>
        <v>0</v>
      </c>
      <c r="D105" s="9" t="n">
        <f aca="false">((D101*D104)+((D45*(1+Assumptions!$C$31))*0))</f>
        <v>0</v>
      </c>
      <c r="E105" s="9" t="n">
        <f aca="false">((E101*E104)+((E45*(1+Assumptions!$C$31))*0))</f>
        <v>0</v>
      </c>
      <c r="F105" s="9" t="n">
        <f aca="false">((F101*F104)+((F45*(1+Assumptions!$C$31))*0))</f>
        <v>0</v>
      </c>
      <c r="G105" s="9" t="n">
        <f aca="false">((G101*G104)+((G45*(1+Assumptions!$C$31))*0))</f>
        <v>0</v>
      </c>
      <c r="H105" s="9" t="n">
        <f aca="false">((H101*H104)+((H45*(1+Assumptions!$C$31))*0))</f>
        <v>0</v>
      </c>
      <c r="I105" s="9" t="n">
        <f aca="false">((I101*I104)+((I45*(1+Assumptions!$C$31))*0))</f>
        <v>0</v>
      </c>
      <c r="J105" s="9" t="n">
        <f aca="false">((J101*J104)+((J45*(1+Assumptions!$C$31))*0))</f>
        <v>0</v>
      </c>
      <c r="K105" s="9" t="n">
        <f aca="false">((K101*K104)+((K45*(1+Assumptions!$C$31))*0))</f>
        <v>0</v>
      </c>
      <c r="L105" s="9" t="n">
        <f aca="false">((L101*L104)+((L45*(1+Assumptions!$C$31))*0))</f>
        <v>0</v>
      </c>
      <c r="M105" s="9" t="n">
        <f aca="false">((M101*M104)+((M45*(1+Assumptions!$C$31))*0))</f>
        <v>0</v>
      </c>
      <c r="N105" s="9" t="n">
        <f aca="false">((N101*N104)+((N45*(1+Assumptions!$C$31))*0))</f>
        <v>0</v>
      </c>
      <c r="O105" s="9" t="n">
        <f aca="false">((O101*O104)+((O45*(1+Assumptions!$C$31))*C105))</f>
        <v>0</v>
      </c>
      <c r="P105" s="9" t="n">
        <f aca="false">((P101*P104)+((P45*(1+Assumptions!$C$31))*D105))</f>
        <v>0</v>
      </c>
      <c r="Q105" s="9" t="n">
        <f aca="false">((Q101*Q104)+((Q45*(1+Assumptions!$C$31))*E105))</f>
        <v>0</v>
      </c>
      <c r="R105" s="9" t="n">
        <f aca="false">((R101*R104)+((R45*(1+Assumptions!$C$31))*F105))</f>
        <v>0</v>
      </c>
      <c r="S105" s="9" t="n">
        <f aca="false">((S101*S104)+((S45*(1+Assumptions!$C$31))*G105))</f>
        <v>0</v>
      </c>
      <c r="T105" s="9" t="n">
        <f aca="false">((T101*T104)+((T45*(1+Assumptions!$C$31))*H105))</f>
        <v>0</v>
      </c>
      <c r="U105" s="9" t="n">
        <f aca="false">((U101*U104)+((U45*(1+Assumptions!$C$31))*I105))</f>
        <v>0</v>
      </c>
      <c r="V105" s="9" t="n">
        <f aca="false">((V101*V104)+((V45*(1+Assumptions!$C$31))*J105))</f>
        <v>0</v>
      </c>
      <c r="W105" s="9" t="n">
        <f aca="false">((W101*W104)+((W45*(1+Assumptions!$C$31))*K105))</f>
        <v>0</v>
      </c>
      <c r="X105" s="9" t="n">
        <f aca="false">((X101*X104)+((X45*(1+Assumptions!$C$31))*L105))</f>
        <v>0</v>
      </c>
      <c r="Y105" s="9" t="n">
        <f aca="false">((Y101*Y104)+((Y45*(1+Assumptions!$C$31))*M105))</f>
        <v>0</v>
      </c>
      <c r="Z105" s="9" t="n">
        <f aca="false">((Z101*Z104)+((Z45*(1+Assumptions!$C$31))*N105))</f>
        <v>0</v>
      </c>
      <c r="AA105" s="9" t="n">
        <f aca="false">((AA101*AA104)+((AA45*(1+Assumptions!$C$31))*O105))</f>
        <v>0</v>
      </c>
      <c r="AB105" s="9" t="n">
        <f aca="false">((AB101*AB104)+((AB45*(1+Assumptions!$C$31))*P105))</f>
        <v>0</v>
      </c>
      <c r="AC105" s="9" t="n">
        <f aca="false">((AC101*AC104)+((AC45*(1+Assumptions!$C$31))*Q105))</f>
        <v>0</v>
      </c>
      <c r="AD105" s="9" t="n">
        <f aca="false">((AD101*AD104)+((AD45*(1+Assumptions!$C$31))*R105))</f>
        <v>0</v>
      </c>
      <c r="AE105" s="9" t="n">
        <f aca="false">((AE101*AE104)+((AE45*(1+Assumptions!$C$31))*S105))</f>
        <v>0</v>
      </c>
      <c r="AF105" s="9" t="n">
        <f aca="false">((AF101*AF104)+((AF45*(1+Assumptions!$C$31))*T105))</f>
        <v>0</v>
      </c>
      <c r="AG105" s="9" t="n">
        <f aca="false">((AG101*AG104)+((AG45*(1+Assumptions!$C$31))*U105))</f>
        <v>0</v>
      </c>
      <c r="AH105" s="9" t="n">
        <f aca="false">((AH101*AH104)+((AH45*(1+Assumptions!$C$31))*V105))</f>
        <v>0</v>
      </c>
      <c r="AI105" s="9" t="n">
        <f aca="false">((AI101*AI104)+((AI45*(1+Assumptions!$C$31))*W105))</f>
        <v>0</v>
      </c>
      <c r="AJ105" s="9" t="n">
        <f aca="false">((AJ101*AJ104)+((AJ45*(1+Assumptions!$C$31))*X105))</f>
        <v>0</v>
      </c>
      <c r="AK105" s="9" t="n">
        <f aca="false">((AK101*AK104)+((AK45*(1+Assumptions!$C$31))*Y105))</f>
        <v>0</v>
      </c>
      <c r="AL105" s="9" t="n">
        <f aca="false">((AL101*AL104)+((AL45*(1+Assumptions!$C$31))*Z105))</f>
        <v>193600</v>
      </c>
      <c r="AN105" s="11" t="n">
        <f aca="false">SUM(C105:N105)</f>
        <v>0</v>
      </c>
      <c r="AO105" s="11" t="n">
        <f aca="false">SUM(O105:Z105)</f>
        <v>0</v>
      </c>
      <c r="AP105" s="11" t="n">
        <f aca="false">SUM(AA105:AL105)</f>
        <v>193600</v>
      </c>
    </row>
    <row r="106" customFormat="false" ht="15" hidden="false" customHeight="false" outlineLevel="0" collapsed="false">
      <c r="A106" s="0" t="s">
        <v>912</v>
      </c>
      <c r="B106" s="0" t="s">
        <v>230</v>
      </c>
      <c r="C106" s="9" t="n">
        <f aca="false">(Assumptions!$E$126*C99)</f>
        <v>0</v>
      </c>
      <c r="D106" s="9" t="n">
        <f aca="false">(Assumptions!$E$126*D99)</f>
        <v>0</v>
      </c>
      <c r="E106" s="9" t="n">
        <f aca="false">(Assumptions!$E$126*E99)</f>
        <v>0</v>
      </c>
      <c r="F106" s="9" t="n">
        <f aca="false">(Assumptions!$E$126*F99)</f>
        <v>0</v>
      </c>
      <c r="G106" s="9" t="n">
        <f aca="false">(Assumptions!$E$126*G99)</f>
        <v>0</v>
      </c>
      <c r="H106" s="9" t="n">
        <f aca="false">(Assumptions!$E$126*H99)</f>
        <v>0</v>
      </c>
      <c r="I106" s="9" t="n">
        <f aca="false">(Assumptions!$E$126*I99)</f>
        <v>0</v>
      </c>
      <c r="J106" s="9" t="n">
        <f aca="false">(Assumptions!$E$126*J99)</f>
        <v>0</v>
      </c>
      <c r="K106" s="9" t="n">
        <f aca="false">(Assumptions!$E$126*K99)</f>
        <v>0</v>
      </c>
      <c r="L106" s="9" t="n">
        <f aca="false">(Assumptions!$E$126*L99)</f>
        <v>0</v>
      </c>
      <c r="M106" s="9" t="n">
        <f aca="false">(Assumptions!$E$126*M99)</f>
        <v>0</v>
      </c>
      <c r="N106" s="9" t="n">
        <f aca="false">(Assumptions!$E$126*N99)</f>
        <v>0</v>
      </c>
      <c r="O106" s="9" t="n">
        <f aca="false">(Assumptions!$E$126*O99)</f>
        <v>0</v>
      </c>
      <c r="P106" s="9" t="n">
        <f aca="false">(Assumptions!$E$126*P99)</f>
        <v>0</v>
      </c>
      <c r="Q106" s="9" t="n">
        <f aca="false">(Assumptions!$E$126*Q99)</f>
        <v>0</v>
      </c>
      <c r="R106" s="9" t="n">
        <f aca="false">(Assumptions!$E$126*R99)</f>
        <v>0</v>
      </c>
      <c r="S106" s="9" t="n">
        <f aca="false">(Assumptions!$E$126*S99)</f>
        <v>0</v>
      </c>
      <c r="T106" s="9" t="n">
        <f aca="false">(Assumptions!$E$126*T99)</f>
        <v>0</v>
      </c>
      <c r="U106" s="9" t="n">
        <f aca="false">(Assumptions!$E$126*U99)</f>
        <v>0</v>
      </c>
      <c r="V106" s="9" t="n">
        <f aca="false">(Assumptions!$E$126*V99)</f>
        <v>0</v>
      </c>
      <c r="W106" s="9" t="n">
        <f aca="false">(Assumptions!$E$126*W99)</f>
        <v>0</v>
      </c>
      <c r="X106" s="9" t="n">
        <f aca="false">(Assumptions!$E$126*X99)</f>
        <v>0</v>
      </c>
      <c r="Y106" s="9" t="n">
        <f aca="false">(Assumptions!$E$126*Y99)</f>
        <v>0</v>
      </c>
      <c r="Z106" s="9" t="n">
        <f aca="false">(Assumptions!$E$126*Z99)</f>
        <v>0</v>
      </c>
      <c r="AA106" s="9" t="n">
        <f aca="false">(Assumptions!$E$126*AA99)</f>
        <v>0</v>
      </c>
      <c r="AB106" s="9" t="n">
        <f aca="false">(Assumptions!$E$126*AB99)</f>
        <v>0</v>
      </c>
      <c r="AC106" s="9" t="n">
        <f aca="false">(Assumptions!$E$126*AC99)</f>
        <v>0</v>
      </c>
      <c r="AD106" s="9" t="n">
        <f aca="false">(Assumptions!$E$126*AD99)</f>
        <v>0</v>
      </c>
      <c r="AE106" s="9" t="n">
        <f aca="false">(Assumptions!$E$126*AE99)</f>
        <v>0</v>
      </c>
      <c r="AF106" s="9" t="n">
        <f aca="false">(Assumptions!$E$126*AF99)</f>
        <v>0</v>
      </c>
      <c r="AG106" s="9" t="n">
        <f aca="false">(Assumptions!$E$126*AG99)</f>
        <v>0</v>
      </c>
      <c r="AH106" s="9" t="n">
        <f aca="false">(Assumptions!$E$126*AH99)</f>
        <v>0</v>
      </c>
      <c r="AI106" s="9" t="n">
        <f aca="false">(Assumptions!$E$126*AI99)</f>
        <v>0</v>
      </c>
      <c r="AJ106" s="9" t="n">
        <f aca="false">(Assumptions!$E$126*AJ99)</f>
        <v>0</v>
      </c>
      <c r="AK106" s="9" t="n">
        <f aca="false">(Assumptions!$E$126*AK99)</f>
        <v>0</v>
      </c>
      <c r="AL106" s="9" t="n">
        <f aca="false">(Assumptions!$E$126*AL99)</f>
        <v>0</v>
      </c>
      <c r="AN106" s="11" t="n">
        <f aca="false">SUM(C106:N106)</f>
        <v>0</v>
      </c>
      <c r="AO106" s="11" t="n">
        <f aca="false">SUM(O106:Z106)</f>
        <v>0</v>
      </c>
      <c r="AP106" s="11" t="n">
        <f aca="false">SUM(AA106:AL106)</f>
        <v>0</v>
      </c>
    </row>
    <row r="107" customFormat="false" ht="15" hidden="false" customHeight="false" outlineLevel="0" collapsed="false">
      <c r="A107" s="0" t="s">
        <v>913</v>
      </c>
      <c r="B107" s="0" t="s">
        <v>230</v>
      </c>
      <c r="C107" s="9" t="n">
        <f aca="false">((C105-C106)/12)</f>
        <v>0</v>
      </c>
      <c r="D107" s="9" t="n">
        <f aca="false">((SUM(C105:D105)-SUM(C106:D106))/12)</f>
        <v>0</v>
      </c>
      <c r="E107" s="9" t="n">
        <f aca="false">((SUM(C105:E105)-SUM(C106:E106))/12)</f>
        <v>0</v>
      </c>
      <c r="F107" s="9" t="n">
        <f aca="false">((SUM(C105:F105)-SUM(C106:F106))/12)</f>
        <v>0</v>
      </c>
      <c r="G107" s="9" t="n">
        <f aca="false">((SUM(C105:G105)-SUM(C106:G106))/12)</f>
        <v>0</v>
      </c>
      <c r="H107" s="9" t="n">
        <f aca="false">((SUM(C105:H105)-SUM(C106:H106))/12)</f>
        <v>0</v>
      </c>
      <c r="I107" s="9" t="n">
        <f aca="false">((SUM(C105:I105)-SUM(C106:I106))/12)</f>
        <v>0</v>
      </c>
      <c r="J107" s="9" t="n">
        <f aca="false">((SUM(C105:J105)-SUM(C106:J106))/12)</f>
        <v>0</v>
      </c>
      <c r="K107" s="9" t="n">
        <f aca="false">((SUM(C105:K105)-SUM(C106:K106))/12)</f>
        <v>0</v>
      </c>
      <c r="L107" s="9" t="n">
        <f aca="false">((SUM(C105:L105)-SUM(C106:L106))/12)</f>
        <v>0</v>
      </c>
      <c r="M107" s="9" t="n">
        <f aca="false">((SUM(C105:M105)-SUM(C106:M106))/12)</f>
        <v>0</v>
      </c>
      <c r="N107" s="9" t="n">
        <f aca="false">((SUM(C105:N105)-SUM(C106:N106))/12)</f>
        <v>0</v>
      </c>
      <c r="O107" s="9" t="n">
        <f aca="false">((SUM(D105:O105)-SUM(D106:O106))/12)</f>
        <v>0</v>
      </c>
      <c r="P107" s="9" t="n">
        <f aca="false">((SUM(E105:P105)-SUM(E106:P106))/12)</f>
        <v>0</v>
      </c>
      <c r="Q107" s="9" t="n">
        <f aca="false">((SUM(F105:Q105)-SUM(F106:Q106))/12)</f>
        <v>0</v>
      </c>
      <c r="R107" s="9" t="n">
        <f aca="false">((SUM(G105:R105)-SUM(G106:R106))/12)</f>
        <v>0</v>
      </c>
      <c r="S107" s="9" t="n">
        <f aca="false">((SUM(H105:S105)-SUM(H106:S106))/12)</f>
        <v>0</v>
      </c>
      <c r="T107" s="9" t="n">
        <f aca="false">((SUM(I105:T105)-SUM(I106:T106))/12)</f>
        <v>0</v>
      </c>
      <c r="U107" s="9" t="n">
        <f aca="false">((SUM(J105:U105)-SUM(J106:U106))/12)</f>
        <v>0</v>
      </c>
      <c r="V107" s="9" t="n">
        <f aca="false">((SUM(K105:V105)-SUM(K106:V106))/12)</f>
        <v>0</v>
      </c>
      <c r="W107" s="9" t="n">
        <f aca="false">((SUM(L105:W105)-SUM(L106:W106))/12)</f>
        <v>0</v>
      </c>
      <c r="X107" s="9" t="n">
        <f aca="false">((SUM(M105:X105)-SUM(M106:X106))/12)</f>
        <v>0</v>
      </c>
      <c r="Y107" s="9" t="n">
        <f aca="false">((SUM(N105:Y105)-SUM(N106:Y106))/12)</f>
        <v>0</v>
      </c>
      <c r="Z107" s="9" t="n">
        <f aca="false">((SUM(O105:Z105)-SUM(O106:Z106))/12)</f>
        <v>0</v>
      </c>
      <c r="AA107" s="9" t="n">
        <f aca="false">((SUM(P105:AA105)-SUM(P106:AA106))/12)</f>
        <v>0</v>
      </c>
      <c r="AB107" s="9" t="n">
        <f aca="false">((SUM(Q105:AB105)-SUM(Q106:AB106))/12)</f>
        <v>0</v>
      </c>
      <c r="AC107" s="9" t="n">
        <f aca="false">((SUM(R105:AC105)-SUM(R106:AC106))/12)</f>
        <v>0</v>
      </c>
      <c r="AD107" s="9" t="n">
        <f aca="false">((SUM(S105:AD105)-SUM(S106:AD106))/12)</f>
        <v>0</v>
      </c>
      <c r="AE107" s="9" t="n">
        <f aca="false">((SUM(T105:AE105)-SUM(T106:AE106))/12)</f>
        <v>0</v>
      </c>
      <c r="AF107" s="9" t="n">
        <f aca="false">((SUM(U105:AF105)-SUM(U106:AF106))/12)</f>
        <v>0</v>
      </c>
      <c r="AG107" s="9" t="n">
        <f aca="false">((SUM(V105:AG105)-SUM(V106:AG106))/12)</f>
        <v>0</v>
      </c>
      <c r="AH107" s="9" t="n">
        <f aca="false">((SUM(W105:AH105)-SUM(W106:AH106))/12)</f>
        <v>0</v>
      </c>
      <c r="AI107" s="9" t="n">
        <f aca="false">((SUM(X105:AI105)-SUM(X106:AI106))/12)</f>
        <v>0</v>
      </c>
      <c r="AJ107" s="9" t="n">
        <f aca="false">((SUM(Y105:AJ105)-SUM(Y106:AJ106))/12)</f>
        <v>0</v>
      </c>
      <c r="AK107" s="9" t="n">
        <f aca="false">((SUM(Z105:AK105)-SUM(Z106:AK106))/12)</f>
        <v>0</v>
      </c>
      <c r="AL107" s="9" t="n">
        <f aca="false">((SUM(AA105:AL105)-SUM(AA106:AL106))/12)</f>
        <v>16133.3333333333</v>
      </c>
      <c r="AN107" s="11" t="n">
        <f aca="false">SUM(C107:N107)</f>
        <v>0</v>
      </c>
      <c r="AO107" s="11" t="n">
        <f aca="false">SUM(O107:Z107)</f>
        <v>0</v>
      </c>
      <c r="AP107" s="11" t="n">
        <f aca="false">SUM(AA107:AL107)</f>
        <v>16133.3333333333</v>
      </c>
    </row>
    <row r="108" customFormat="false" ht="15" hidden="false" customHeight="false" outlineLevel="0" collapsed="false">
      <c r="A108" s="0" t="s">
        <v>914</v>
      </c>
      <c r="B108" s="0" t="s">
        <v>230</v>
      </c>
      <c r="C108" s="9" t="n">
        <f aca="false">(C105-C106)</f>
        <v>0</v>
      </c>
      <c r="D108" s="9" t="n">
        <f aca="false">(D105-D106)</f>
        <v>0</v>
      </c>
      <c r="E108" s="9" t="n">
        <f aca="false">(E105-E106)</f>
        <v>0</v>
      </c>
      <c r="F108" s="9" t="n">
        <f aca="false">(F105-F106)</f>
        <v>0</v>
      </c>
      <c r="G108" s="9" t="n">
        <f aca="false">(G105-G106)</f>
        <v>0</v>
      </c>
      <c r="H108" s="9" t="n">
        <f aca="false">(H105-H106)</f>
        <v>0</v>
      </c>
      <c r="I108" s="9" t="n">
        <f aca="false">(I105-I106)</f>
        <v>0</v>
      </c>
      <c r="J108" s="9" t="n">
        <f aca="false">(J105-J106)</f>
        <v>0</v>
      </c>
      <c r="K108" s="9" t="n">
        <f aca="false">(K105-K106)</f>
        <v>0</v>
      </c>
      <c r="L108" s="9" t="n">
        <f aca="false">(L105-L106)</f>
        <v>0</v>
      </c>
      <c r="M108" s="9" t="n">
        <f aca="false">(M105-M106)</f>
        <v>0</v>
      </c>
      <c r="N108" s="9" t="n">
        <f aca="false">(N105-N106)</f>
        <v>0</v>
      </c>
      <c r="O108" s="9" t="n">
        <f aca="false">(O105-O106)</f>
        <v>0</v>
      </c>
      <c r="P108" s="9" t="n">
        <f aca="false">(P105-P106)</f>
        <v>0</v>
      </c>
      <c r="Q108" s="9" t="n">
        <f aca="false">(Q105-Q106)</f>
        <v>0</v>
      </c>
      <c r="R108" s="9" t="n">
        <f aca="false">(R105-R106)</f>
        <v>0</v>
      </c>
      <c r="S108" s="9" t="n">
        <f aca="false">(S105-S106)</f>
        <v>0</v>
      </c>
      <c r="T108" s="9" t="n">
        <f aca="false">(T105-T106)</f>
        <v>0</v>
      </c>
      <c r="U108" s="9" t="n">
        <f aca="false">(U105-U106)</f>
        <v>0</v>
      </c>
      <c r="V108" s="9" t="n">
        <f aca="false">(V105-V106)</f>
        <v>0</v>
      </c>
      <c r="W108" s="9" t="n">
        <f aca="false">(W105-W106)</f>
        <v>0</v>
      </c>
      <c r="X108" s="9" t="n">
        <f aca="false">(X105-X106)</f>
        <v>0</v>
      </c>
      <c r="Y108" s="9" t="n">
        <f aca="false">(Y105-Y106)</f>
        <v>0</v>
      </c>
      <c r="Z108" s="9" t="n">
        <f aca="false">(Z105-Z106)</f>
        <v>0</v>
      </c>
      <c r="AA108" s="9" t="n">
        <f aca="false">(AA105-AA106)</f>
        <v>0</v>
      </c>
      <c r="AB108" s="9" t="n">
        <f aca="false">(AB105-AB106)</f>
        <v>0</v>
      </c>
      <c r="AC108" s="9" t="n">
        <f aca="false">(AC105-AC106)</f>
        <v>0</v>
      </c>
      <c r="AD108" s="9" t="n">
        <f aca="false">(AD105-AD106)</f>
        <v>0</v>
      </c>
      <c r="AE108" s="9" t="n">
        <f aca="false">(AE105-AE106)</f>
        <v>0</v>
      </c>
      <c r="AF108" s="9" t="n">
        <f aca="false">(AF105-AF106)</f>
        <v>0</v>
      </c>
      <c r="AG108" s="9" t="n">
        <f aca="false">(AG105-AG106)</f>
        <v>0</v>
      </c>
      <c r="AH108" s="9" t="n">
        <f aca="false">(AH105-AH106)</f>
        <v>0</v>
      </c>
      <c r="AI108" s="9" t="n">
        <f aca="false">(AI105-AI106)</f>
        <v>0</v>
      </c>
      <c r="AJ108" s="9" t="n">
        <f aca="false">(AJ105-AJ106)</f>
        <v>0</v>
      </c>
      <c r="AK108" s="9" t="n">
        <f aca="false">(AK105-AK106)</f>
        <v>0</v>
      </c>
      <c r="AL108" s="9" t="n">
        <f aca="false">(AL105-AL106)</f>
        <v>193600</v>
      </c>
      <c r="AN108" s="11" t="n">
        <f aca="false">SUM(C108:N108)</f>
        <v>0</v>
      </c>
      <c r="AO108" s="11" t="n">
        <f aca="false">SUM(O108:Z108)</f>
        <v>0</v>
      </c>
      <c r="AP108" s="11" t="n">
        <f aca="false">SUM(AA108:AL108)</f>
        <v>193600</v>
      </c>
    </row>
    <row r="109" customFormat="false" ht="15" hidden="false" customHeight="false" outlineLevel="0" collapsed="false">
      <c r="A109" s="0" t="s">
        <v>915</v>
      </c>
      <c r="B109" s="0" t="s">
        <v>230</v>
      </c>
      <c r="C109" s="9" t="n">
        <f aca="false">(((Assumptions!$E$122*$C$10)/6)*C98)</f>
        <v>0</v>
      </c>
      <c r="D109" s="9" t="n">
        <f aca="false">(((Assumptions!$E$122*$C$10)/6)*D98)</f>
        <v>0</v>
      </c>
      <c r="E109" s="9" t="n">
        <f aca="false">(((Assumptions!$E$122*$C$10)/6)*E98)</f>
        <v>0</v>
      </c>
      <c r="F109" s="9" t="n">
        <f aca="false">(((Assumptions!$E$122*$C$10)/6)*F98)</f>
        <v>0</v>
      </c>
      <c r="G109" s="9" t="n">
        <f aca="false">(((Assumptions!$E$122*$C$10)/6)*G98)</f>
        <v>0</v>
      </c>
      <c r="H109" s="9" t="n">
        <f aca="false">(((Assumptions!$E$122*$C$10)/6)*H98)</f>
        <v>0</v>
      </c>
      <c r="I109" s="9" t="n">
        <f aca="false">(((Assumptions!$E$122*$C$10)/6)*I98)</f>
        <v>0</v>
      </c>
      <c r="J109" s="9" t="n">
        <f aca="false">(((Assumptions!$E$122*$C$10)/6)*J98)</f>
        <v>0</v>
      </c>
      <c r="K109" s="9" t="n">
        <f aca="false">(((Assumptions!$E$122*$C$10)/6)*K98)</f>
        <v>0</v>
      </c>
      <c r="L109" s="9" t="n">
        <f aca="false">(((Assumptions!$E$122*$C$10)/6)*L98)</f>
        <v>0</v>
      </c>
      <c r="M109" s="9" t="n">
        <f aca="false">(((Assumptions!$E$122*$C$10)/6)*M98)</f>
        <v>0</v>
      </c>
      <c r="N109" s="9" t="n">
        <f aca="false">(((Assumptions!$E$122*$C$10)/6)*N98)</f>
        <v>0</v>
      </c>
      <c r="O109" s="9" t="n">
        <f aca="false">(((Assumptions!$E$122*$C$10)/6)*O98)</f>
        <v>0</v>
      </c>
      <c r="P109" s="9" t="n">
        <f aca="false">(((Assumptions!$E$122*$C$10)/6)*P98)</f>
        <v>0</v>
      </c>
      <c r="Q109" s="9" t="n">
        <f aca="false">(((Assumptions!$E$122*$C$10)/6)*Q98)</f>
        <v>0</v>
      </c>
      <c r="R109" s="9" t="n">
        <f aca="false">(((Assumptions!$E$122*$C$10)/6)*R98)</f>
        <v>0</v>
      </c>
      <c r="S109" s="9" t="n">
        <f aca="false">(((Assumptions!$E$122*$C$10)/6)*S98)</f>
        <v>0</v>
      </c>
      <c r="T109" s="9" t="n">
        <f aca="false">(((Assumptions!$E$122*$C$10)/6)*T98)</f>
        <v>0</v>
      </c>
      <c r="U109" s="9" t="n">
        <f aca="false">(((Assumptions!$E$122*$C$10)/6)*U98)</f>
        <v>0</v>
      </c>
      <c r="V109" s="9" t="n">
        <f aca="false">(((Assumptions!$E$122*$C$10)/6)*V98)</f>
        <v>0</v>
      </c>
      <c r="W109" s="9" t="n">
        <f aca="false">(((Assumptions!$E$122*$C$10)/6)*W98)</f>
        <v>0</v>
      </c>
      <c r="X109" s="9" t="n">
        <f aca="false">(((Assumptions!$E$122*$C$10)/6)*X98)</f>
        <v>0</v>
      </c>
      <c r="Y109" s="9" t="n">
        <f aca="false">(((Assumptions!$E$122*$C$10)/6)*Y98)</f>
        <v>0</v>
      </c>
      <c r="Z109" s="9" t="n">
        <f aca="false">(((Assumptions!$E$122*$C$10)/6)*Z98)</f>
        <v>0</v>
      </c>
      <c r="AA109" s="9" t="n">
        <f aca="false">(((Assumptions!$E$122*$C$10)/6)*AA98)</f>
        <v>0</v>
      </c>
      <c r="AB109" s="9" t="n">
        <f aca="false">(((Assumptions!$E$122*$C$10)/6)*AB98)</f>
        <v>0</v>
      </c>
      <c r="AC109" s="9" t="n">
        <f aca="false">(((Assumptions!$E$122*$C$10)/6)*AC98)</f>
        <v>0</v>
      </c>
      <c r="AD109" s="9" t="n">
        <f aca="false">(((Assumptions!$E$122*$C$10)/6)*AD98)</f>
        <v>0</v>
      </c>
      <c r="AE109" s="9" t="n">
        <f aca="false">(((Assumptions!$E$122*$C$10)/6)*AE98)</f>
        <v>0</v>
      </c>
      <c r="AF109" s="9" t="n">
        <f aca="false">(((Assumptions!$E$122*$C$10)/6)*AF98)</f>
        <v>10000</v>
      </c>
      <c r="AG109" s="9" t="n">
        <f aca="false">(((Assumptions!$E$122*$C$10)/6)*AG98)</f>
        <v>10000</v>
      </c>
      <c r="AH109" s="9" t="n">
        <f aca="false">(((Assumptions!$E$122*$C$10)/6)*AH98)</f>
        <v>10000</v>
      </c>
      <c r="AI109" s="9" t="n">
        <f aca="false">(((Assumptions!$E$122*$C$10)/6)*AI98)</f>
        <v>10000</v>
      </c>
      <c r="AJ109" s="9" t="n">
        <f aca="false">(((Assumptions!$E$122*$C$10)/6)*AJ98)</f>
        <v>10000</v>
      </c>
      <c r="AK109" s="9" t="n">
        <f aca="false">(((Assumptions!$E$122*$C$10)/6)*AK98)</f>
        <v>10000</v>
      </c>
      <c r="AL109" s="9" t="n">
        <f aca="false">(((Assumptions!$E$122*$C$10)/6)*AL98)</f>
        <v>10000</v>
      </c>
      <c r="AN109" s="11" t="n">
        <f aca="false">SUM(C109:N109)</f>
        <v>0</v>
      </c>
      <c r="AO109" s="11" t="n">
        <f aca="false">SUM(O109:Z109)</f>
        <v>0</v>
      </c>
      <c r="AP109" s="11" t="n">
        <f aca="false">SUM(AA109:AL109)</f>
        <v>70000</v>
      </c>
    </row>
    <row r="110" customFormat="false" ht="15" hidden="false" customHeight="false" outlineLevel="0" collapsed="false">
      <c r="A110" s="0" t="s">
        <v>916</v>
      </c>
      <c r="B110" s="0" t="s">
        <v>230</v>
      </c>
      <c r="C110" s="9" t="n">
        <f aca="false">((Assumptions!$E$122*$C$10)*C92)</f>
        <v>0</v>
      </c>
      <c r="D110" s="9" t="n">
        <f aca="false">((Assumptions!$E$122*$C$10)*D92)</f>
        <v>0</v>
      </c>
      <c r="E110" s="9" t="n">
        <f aca="false">((Assumptions!$E$122*$C$10)*E92)</f>
        <v>0</v>
      </c>
      <c r="F110" s="9" t="n">
        <f aca="false">((Assumptions!$E$122*$C$10)*F92)</f>
        <v>0</v>
      </c>
      <c r="G110" s="9" t="n">
        <f aca="false">((Assumptions!$E$122*$C$10)*G92)</f>
        <v>0</v>
      </c>
      <c r="H110" s="9" t="n">
        <f aca="false">((Assumptions!$E$122*$C$10)*H92)</f>
        <v>0</v>
      </c>
      <c r="I110" s="9" t="n">
        <f aca="false">((Assumptions!$E$122*$C$10)*I92)</f>
        <v>0</v>
      </c>
      <c r="J110" s="9" t="n">
        <f aca="false">((Assumptions!$E$122*$C$10)*J92)</f>
        <v>0</v>
      </c>
      <c r="K110" s="9" t="n">
        <f aca="false">((Assumptions!$E$122*$C$10)*K92)</f>
        <v>0</v>
      </c>
      <c r="L110" s="9" t="n">
        <f aca="false">((Assumptions!$E$122*$C$10)*L92)</f>
        <v>0</v>
      </c>
      <c r="M110" s="9" t="n">
        <f aca="false">((Assumptions!$E$122*$C$10)*M92)</f>
        <v>0</v>
      </c>
      <c r="N110" s="9" t="n">
        <f aca="false">((Assumptions!$E$122*$C$10)*N92)</f>
        <v>0</v>
      </c>
      <c r="O110" s="9" t="n">
        <f aca="false">((Assumptions!$E$122*$C$10)*O92)</f>
        <v>0</v>
      </c>
      <c r="P110" s="9" t="n">
        <f aca="false">((Assumptions!$E$122*$C$10)*P92)</f>
        <v>0</v>
      </c>
      <c r="Q110" s="9" t="n">
        <f aca="false">((Assumptions!$E$122*$C$10)*Q92)</f>
        <v>0</v>
      </c>
      <c r="R110" s="9" t="n">
        <f aca="false">((Assumptions!$E$122*$C$10)*R92)</f>
        <v>0</v>
      </c>
      <c r="S110" s="9" t="n">
        <f aca="false">((Assumptions!$E$122*$C$10)*S92)</f>
        <v>0</v>
      </c>
      <c r="T110" s="9" t="n">
        <f aca="false">((Assumptions!$E$122*$C$10)*T92)</f>
        <v>0</v>
      </c>
      <c r="U110" s="9" t="n">
        <f aca="false">((Assumptions!$E$122*$C$10)*U92)</f>
        <v>0</v>
      </c>
      <c r="V110" s="9" t="n">
        <f aca="false">((Assumptions!$E$122*$C$10)*V92)</f>
        <v>0</v>
      </c>
      <c r="W110" s="9" t="n">
        <f aca="false">((Assumptions!$E$122*$C$10)*W92)</f>
        <v>0</v>
      </c>
      <c r="X110" s="9" t="n">
        <f aca="false">((Assumptions!$E$122*$C$10)*X92)</f>
        <v>0</v>
      </c>
      <c r="Y110" s="9" t="n">
        <f aca="false">((Assumptions!$E$122*$C$10)*Y92)</f>
        <v>0</v>
      </c>
      <c r="Z110" s="9" t="n">
        <f aca="false">((Assumptions!$E$122*$C$10)*Z92)</f>
        <v>0</v>
      </c>
      <c r="AA110" s="9" t="n">
        <f aca="false">((Assumptions!$E$122*$C$10)*AA92)</f>
        <v>0</v>
      </c>
      <c r="AB110" s="9" t="n">
        <f aca="false">((Assumptions!$E$122*$C$10)*AB92)</f>
        <v>0</v>
      </c>
      <c r="AC110" s="9" t="n">
        <f aca="false">((Assumptions!$E$122*$C$10)*AC92)</f>
        <v>0</v>
      </c>
      <c r="AD110" s="9" t="n">
        <f aca="false">((Assumptions!$E$122*$C$10)*AD92)</f>
        <v>0</v>
      </c>
      <c r="AE110" s="9" t="n">
        <f aca="false">((Assumptions!$E$122*$C$10)*AE92)</f>
        <v>0</v>
      </c>
      <c r="AF110" s="9" t="n">
        <f aca="false">((Assumptions!$E$122*$C$10)*AF92)</f>
        <v>60000</v>
      </c>
      <c r="AG110" s="9" t="n">
        <f aca="false">((Assumptions!$E$122*$C$10)*AG92)</f>
        <v>0</v>
      </c>
      <c r="AH110" s="9" t="n">
        <f aca="false">((Assumptions!$E$122*$C$10)*AH92)</f>
        <v>0</v>
      </c>
      <c r="AI110" s="9" t="n">
        <f aca="false">((Assumptions!$E$122*$C$10)*AI92)</f>
        <v>0</v>
      </c>
      <c r="AJ110" s="9" t="n">
        <f aca="false">((Assumptions!$E$122*$C$10)*AJ92)</f>
        <v>0</v>
      </c>
      <c r="AK110" s="9" t="n">
        <f aca="false">((Assumptions!$E$122*$C$10)*AK92)</f>
        <v>0</v>
      </c>
      <c r="AL110" s="9" t="n">
        <f aca="false">((Assumptions!$E$122*$C$10)*AL92)</f>
        <v>60000</v>
      </c>
      <c r="AN110" s="11" t="n">
        <f aca="false">SUM(C110:N110)</f>
        <v>0</v>
      </c>
      <c r="AO110" s="11" t="n">
        <f aca="false">SUM(O110:Z110)</f>
        <v>0</v>
      </c>
      <c r="AP110" s="11" t="n">
        <f aca="false">SUM(AA110:AL110)</f>
        <v>120000</v>
      </c>
    </row>
    <row r="111" customFormat="false" ht="15" hidden="false" customHeight="false" outlineLevel="0" collapsed="false">
      <c r="A111" s="0" t="s">
        <v>917</v>
      </c>
      <c r="B111" s="0" t="s">
        <v>230</v>
      </c>
      <c r="C111" s="9" t="n">
        <f aca="false">((Assumptions!$E$123*$C$10)+(Assumptions!$C$34*Assumptions!$C$35))</f>
        <v>106000</v>
      </c>
      <c r="D111" s="9" t="n">
        <f aca="false">((Assumptions!$E$123*$C$10)+(Assumptions!$C$34*Assumptions!$C$35))</f>
        <v>106000</v>
      </c>
      <c r="E111" s="9" t="n">
        <f aca="false">((Assumptions!$E$123*$C$10)+(Assumptions!$C$34*Assumptions!$C$35))</f>
        <v>106000</v>
      </c>
      <c r="F111" s="9" t="n">
        <f aca="false">((Assumptions!$E$123*$C$10)+(Assumptions!$C$34*Assumptions!$C$35))</f>
        <v>106000</v>
      </c>
      <c r="G111" s="9" t="n">
        <f aca="false">((Assumptions!$E$123*$C$10)+(Assumptions!$C$34*Assumptions!$C$35))</f>
        <v>106000</v>
      </c>
      <c r="H111" s="9" t="n">
        <f aca="false">((Assumptions!$E$123*$C$10)+(Assumptions!$C$34*Assumptions!$C$35))</f>
        <v>106000</v>
      </c>
      <c r="I111" s="9" t="n">
        <f aca="false">((Assumptions!$E$123*$C$10)+(Assumptions!$C$34*Assumptions!$C$35))</f>
        <v>106000</v>
      </c>
      <c r="J111" s="9" t="n">
        <f aca="false">((Assumptions!$E$123*$C$10)+(Assumptions!$C$34*Assumptions!$C$35))</f>
        <v>106000</v>
      </c>
      <c r="K111" s="9" t="n">
        <f aca="false">((Assumptions!$E$123*$C$10)+(Assumptions!$C$34*Assumptions!$C$35))</f>
        <v>106000</v>
      </c>
      <c r="L111" s="9" t="n">
        <f aca="false">((Assumptions!$E$123*$C$10)+(Assumptions!$C$34*Assumptions!$C$35))</f>
        <v>106000</v>
      </c>
      <c r="M111" s="9" t="n">
        <f aca="false">((Assumptions!$E$123*$C$10)+(Assumptions!$C$34*Assumptions!$C$35))</f>
        <v>106000</v>
      </c>
      <c r="N111" s="9" t="n">
        <f aca="false">((Assumptions!$E$123*$C$10)+(Assumptions!$C$34*Assumptions!$C$35))</f>
        <v>106000</v>
      </c>
      <c r="O111" s="9" t="n">
        <f aca="false">((Assumptions!$E$123*$C$10)+(Assumptions!$C$34*Assumptions!$C$35))</f>
        <v>106000</v>
      </c>
      <c r="P111" s="9" t="n">
        <f aca="false">((Assumptions!$E$123*$C$10)+(Assumptions!$C$34*Assumptions!$C$35))</f>
        <v>106000</v>
      </c>
      <c r="Q111" s="9" t="n">
        <f aca="false">((Assumptions!$E$123*$C$10)+(Assumptions!$C$34*Assumptions!$C$35))</f>
        <v>106000</v>
      </c>
      <c r="R111" s="9" t="n">
        <f aca="false">((Assumptions!$E$123*$C$10)+(Assumptions!$C$34*Assumptions!$C$35))</f>
        <v>106000</v>
      </c>
      <c r="S111" s="9" t="n">
        <f aca="false">((Assumptions!$E$123*$C$10)+(Assumptions!$C$34*Assumptions!$C$35))</f>
        <v>106000</v>
      </c>
      <c r="T111" s="9" t="n">
        <f aca="false">((Assumptions!$E$123*$C$10)+(Assumptions!$C$34*Assumptions!$C$35))</f>
        <v>106000</v>
      </c>
      <c r="U111" s="9" t="n">
        <f aca="false">((Assumptions!$E$123*$C$10)+(Assumptions!$C$34*Assumptions!$C$35))</f>
        <v>106000</v>
      </c>
      <c r="V111" s="9" t="n">
        <f aca="false">((Assumptions!$E$123*$C$10)+(Assumptions!$C$34*Assumptions!$C$35))</f>
        <v>106000</v>
      </c>
      <c r="W111" s="9" t="n">
        <f aca="false">((Assumptions!$E$123*$C$10)+(Assumptions!$C$34*Assumptions!$C$35))</f>
        <v>106000</v>
      </c>
      <c r="X111" s="9" t="n">
        <f aca="false">((Assumptions!$E$123*$C$10)+(Assumptions!$C$34*Assumptions!$C$35))</f>
        <v>106000</v>
      </c>
      <c r="Y111" s="9" t="n">
        <f aca="false">((Assumptions!$E$123*$C$10)+(Assumptions!$C$34*Assumptions!$C$35))</f>
        <v>106000</v>
      </c>
      <c r="Z111" s="9" t="n">
        <f aca="false">((Assumptions!$E$123*$C$10)+(Assumptions!$C$34*Assumptions!$C$35))</f>
        <v>106000</v>
      </c>
      <c r="AA111" s="9" t="n">
        <f aca="false">((Assumptions!$E$123*$C$10)+(Assumptions!$C$34*Assumptions!$C$35))</f>
        <v>106000</v>
      </c>
      <c r="AB111" s="9" t="n">
        <f aca="false">((Assumptions!$E$123*$C$10)+(Assumptions!$C$34*Assumptions!$C$35))</f>
        <v>106000</v>
      </c>
      <c r="AC111" s="9" t="n">
        <f aca="false">((Assumptions!$E$123*$C$10)+(Assumptions!$C$34*Assumptions!$C$35))</f>
        <v>106000</v>
      </c>
      <c r="AD111" s="9" t="n">
        <f aca="false">((Assumptions!$E$123*$C$10)+(Assumptions!$C$34*Assumptions!$C$35))</f>
        <v>106000</v>
      </c>
      <c r="AE111" s="9" t="n">
        <f aca="false">((Assumptions!$E$123*$C$10)+(Assumptions!$C$34*Assumptions!$C$35))</f>
        <v>106000</v>
      </c>
      <c r="AF111" s="9" t="n">
        <f aca="false">((Assumptions!$E$123*$C$10)+(Assumptions!$C$34*Assumptions!$C$35))</f>
        <v>106000</v>
      </c>
      <c r="AG111" s="9" t="n">
        <f aca="false">((Assumptions!$E$123*$C$10)+(Assumptions!$C$34*Assumptions!$C$35))</f>
        <v>106000</v>
      </c>
      <c r="AH111" s="9" t="n">
        <f aca="false">((Assumptions!$E$123*$C$10)+(Assumptions!$C$34*Assumptions!$C$35))</f>
        <v>106000</v>
      </c>
      <c r="AI111" s="9" t="n">
        <f aca="false">((Assumptions!$E$123*$C$10)+(Assumptions!$C$34*Assumptions!$C$35))</f>
        <v>106000</v>
      </c>
      <c r="AJ111" s="9" t="n">
        <f aca="false">((Assumptions!$E$123*$C$10)+(Assumptions!$C$34*Assumptions!$C$35))</f>
        <v>106000</v>
      </c>
      <c r="AK111" s="9" t="n">
        <f aca="false">((Assumptions!$E$123*$C$10)+(Assumptions!$C$34*Assumptions!$C$35))</f>
        <v>106000</v>
      </c>
      <c r="AL111" s="9" t="n">
        <f aca="false">((Assumptions!$E$123*$C$10)+(Assumptions!$C$34*Assumptions!$C$35))</f>
        <v>106000</v>
      </c>
    </row>
    <row r="112" customFormat="false" ht="15" hidden="false" customHeight="false" outlineLevel="0" collapsed="false">
      <c r="A112" s="0" t="s">
        <v>918</v>
      </c>
      <c r="B112" s="0" t="s">
        <v>230</v>
      </c>
      <c r="C112" s="9" t="n">
        <f aca="false">((C111/3)*C96)</f>
        <v>0</v>
      </c>
      <c r="D112" s="9" t="n">
        <f aca="false">((D111/3)*SUM(C96:D96))</f>
        <v>0</v>
      </c>
      <c r="E112" s="9" t="n">
        <f aca="false">((E111/3)*SUM(C96:E96))</f>
        <v>0</v>
      </c>
      <c r="F112" s="9" t="n">
        <f aca="false">((F111/3)*SUM(D96:F96))</f>
        <v>0</v>
      </c>
      <c r="G112" s="9" t="n">
        <f aca="false">((G111/3)*SUM(E96:G96))</f>
        <v>0</v>
      </c>
      <c r="H112" s="9" t="n">
        <f aca="false">((H111/3)*SUM(F96:H96))</f>
        <v>0</v>
      </c>
      <c r="I112" s="9" t="n">
        <f aca="false">((I111/3)*SUM(G96:I96))</f>
        <v>0</v>
      </c>
      <c r="J112" s="9" t="n">
        <f aca="false">((J111/3)*SUM(H96:J96))</f>
        <v>0</v>
      </c>
      <c r="K112" s="9" t="n">
        <f aca="false">((K111/3)*SUM(I96:K96))</f>
        <v>0</v>
      </c>
      <c r="L112" s="9" t="n">
        <f aca="false">((L111/3)*SUM(J96:L96))</f>
        <v>0</v>
      </c>
      <c r="M112" s="9" t="n">
        <f aca="false">((M111/3)*SUM(K96:M96))</f>
        <v>0</v>
      </c>
      <c r="N112" s="9" t="n">
        <f aca="false">((N111/3)*SUM(L96:N96))</f>
        <v>0</v>
      </c>
      <c r="O112" s="9" t="n">
        <f aca="false">((O111/3)*SUM(M96:O96))</f>
        <v>0</v>
      </c>
      <c r="P112" s="9" t="n">
        <f aca="false">((P111/3)*SUM(N96:P96))</f>
        <v>0</v>
      </c>
      <c r="Q112" s="9" t="n">
        <f aca="false">((Q111/3)*SUM(O96:Q96))</f>
        <v>0</v>
      </c>
      <c r="R112" s="9" t="n">
        <f aca="false">((R111/3)*SUM(P96:R96))</f>
        <v>0</v>
      </c>
      <c r="S112" s="9" t="n">
        <f aca="false">((S111/3)*SUM(Q96:S96))</f>
        <v>0</v>
      </c>
      <c r="T112" s="9" t="n">
        <f aca="false">((T111/3)*SUM(R96:T96))</f>
        <v>0</v>
      </c>
      <c r="U112" s="9" t="n">
        <f aca="false">((U111/3)*SUM(S96:U96))</f>
        <v>0</v>
      </c>
      <c r="V112" s="9" t="n">
        <f aca="false">((V111/3)*SUM(T96:V96))</f>
        <v>0</v>
      </c>
      <c r="W112" s="9" t="n">
        <f aca="false">((W111/3)*SUM(U96:W96))</f>
        <v>0</v>
      </c>
      <c r="X112" s="9" t="n">
        <f aca="false">((X111/3)*SUM(V96:X96))</f>
        <v>0</v>
      </c>
      <c r="Y112" s="9" t="n">
        <f aca="false">((Y111/3)*SUM(W96:Y96))</f>
        <v>0</v>
      </c>
      <c r="Z112" s="9" t="n">
        <f aca="false">((Z111/3)*SUM(X96:Z96))</f>
        <v>0</v>
      </c>
      <c r="AA112" s="9" t="n">
        <f aca="false">((AA111/3)*SUM(Y96:AA96))</f>
        <v>0</v>
      </c>
      <c r="AB112" s="9" t="n">
        <f aca="false">((AB111/3)*SUM(Z96:AB96))</f>
        <v>0</v>
      </c>
      <c r="AC112" s="9" t="n">
        <f aca="false">((AC111/3)*SUM(AA96:AC96))</f>
        <v>0</v>
      </c>
      <c r="AD112" s="9" t="n">
        <f aca="false">((AD111/3)*SUM(AB96:AD96))</f>
        <v>0</v>
      </c>
      <c r="AE112" s="9" t="n">
        <f aca="false">((AE111/3)*SUM(AC96:AE96))</f>
        <v>0</v>
      </c>
      <c r="AF112" s="9" t="n">
        <f aca="false">((AF111/3)*SUM(AD96:AF96))</f>
        <v>35333.3333333333</v>
      </c>
      <c r="AG112" s="9" t="n">
        <f aca="false">((AG111/3)*SUM(AE96:AG96))</f>
        <v>35333.3333333333</v>
      </c>
      <c r="AH112" s="9" t="n">
        <f aca="false">((AH111/3)*SUM(AF96:AH96))</f>
        <v>35333.3333333333</v>
      </c>
      <c r="AI112" s="9" t="n">
        <f aca="false">((AI111/3)*SUM(AG96:AI96))</f>
        <v>0</v>
      </c>
      <c r="AJ112" s="9" t="n">
        <f aca="false">((AJ111/3)*SUM(AH96:AJ96))</f>
        <v>0</v>
      </c>
      <c r="AK112" s="9" t="n">
        <f aca="false">((AK111/3)*SUM(AI96:AK96))</f>
        <v>0</v>
      </c>
      <c r="AL112" s="9" t="n">
        <f aca="false">((AL111/3)*SUM(AJ96:AL96))</f>
        <v>70666.6666666667</v>
      </c>
      <c r="AN112" s="11" t="n">
        <f aca="false">SUM(C112:N112)</f>
        <v>0</v>
      </c>
      <c r="AO112" s="11" t="n">
        <f aca="false">SUM(O112:Z112)</f>
        <v>0</v>
      </c>
      <c r="AP112" s="11" t="n">
        <f aca="false">SUM(AA112:AL112)</f>
        <v>176666.666666667</v>
      </c>
    </row>
    <row r="113" customFormat="false" ht="15" hidden="false" customHeight="false" outlineLevel="0" collapsed="false">
      <c r="A113" s="0" t="s">
        <v>919</v>
      </c>
      <c r="B113" s="0" t="s">
        <v>230</v>
      </c>
      <c r="C113" s="9" t="n">
        <f aca="false">(C111*C96)</f>
        <v>0</v>
      </c>
      <c r="D113" s="9" t="n">
        <f aca="false">(D111*D96)</f>
        <v>0</v>
      </c>
      <c r="E113" s="9" t="n">
        <f aca="false">(E111*E96)</f>
        <v>0</v>
      </c>
      <c r="F113" s="9" t="n">
        <f aca="false">(F111*F96)</f>
        <v>0</v>
      </c>
      <c r="G113" s="9" t="n">
        <f aca="false">(G111*G96)</f>
        <v>0</v>
      </c>
      <c r="H113" s="9" t="n">
        <f aca="false">(H111*H96)</f>
        <v>0</v>
      </c>
      <c r="I113" s="9" t="n">
        <f aca="false">(I111*I96)</f>
        <v>0</v>
      </c>
      <c r="J113" s="9" t="n">
        <f aca="false">(J111*J96)</f>
        <v>0</v>
      </c>
      <c r="K113" s="9" t="n">
        <f aca="false">(K111*K96)</f>
        <v>0</v>
      </c>
      <c r="L113" s="9" t="n">
        <f aca="false">(L111*L96)</f>
        <v>0</v>
      </c>
      <c r="M113" s="9" t="n">
        <f aca="false">(M111*M96)</f>
        <v>0</v>
      </c>
      <c r="N113" s="9" t="n">
        <f aca="false">(N111*N96)</f>
        <v>0</v>
      </c>
      <c r="O113" s="9" t="n">
        <f aca="false">(O111*O96)</f>
        <v>0</v>
      </c>
      <c r="P113" s="9" t="n">
        <f aca="false">(P111*P96)</f>
        <v>0</v>
      </c>
      <c r="Q113" s="9" t="n">
        <f aca="false">(Q111*Q96)</f>
        <v>0</v>
      </c>
      <c r="R113" s="9" t="n">
        <f aca="false">(R111*R96)</f>
        <v>0</v>
      </c>
      <c r="S113" s="9" t="n">
        <f aca="false">(S111*S96)</f>
        <v>0</v>
      </c>
      <c r="T113" s="9" t="n">
        <f aca="false">(T111*T96)</f>
        <v>0</v>
      </c>
      <c r="U113" s="9" t="n">
        <f aca="false">(U111*U96)</f>
        <v>0</v>
      </c>
      <c r="V113" s="9" t="n">
        <f aca="false">(V111*V96)</f>
        <v>0</v>
      </c>
      <c r="W113" s="9" t="n">
        <f aca="false">(W111*W96)</f>
        <v>0</v>
      </c>
      <c r="X113" s="9" t="n">
        <f aca="false">(X111*X96)</f>
        <v>0</v>
      </c>
      <c r="Y113" s="9" t="n">
        <f aca="false">(Y111*Y96)</f>
        <v>0</v>
      </c>
      <c r="Z113" s="9" t="n">
        <f aca="false">(Z111*Z96)</f>
        <v>0</v>
      </c>
      <c r="AA113" s="9" t="n">
        <f aca="false">(AA111*AA96)</f>
        <v>0</v>
      </c>
      <c r="AB113" s="9" t="n">
        <f aca="false">(AB111*AB96)</f>
        <v>0</v>
      </c>
      <c r="AC113" s="9" t="n">
        <f aca="false">(AC111*AC96)</f>
        <v>0</v>
      </c>
      <c r="AD113" s="9" t="n">
        <f aca="false">(AD111*AD96)</f>
        <v>0</v>
      </c>
      <c r="AE113" s="9" t="n">
        <f aca="false">(AE111*AE96)</f>
        <v>0</v>
      </c>
      <c r="AF113" s="9" t="n">
        <f aca="false">(AF111*AF96)</f>
        <v>106000</v>
      </c>
      <c r="AG113" s="9" t="n">
        <f aca="false">(AG111*AG96)</f>
        <v>0</v>
      </c>
      <c r="AH113" s="9" t="n">
        <f aca="false">(AH111*AH96)</f>
        <v>0</v>
      </c>
      <c r="AI113" s="9" t="n">
        <f aca="false">(AI111*AI96)</f>
        <v>0</v>
      </c>
      <c r="AJ113" s="9" t="n">
        <f aca="false">(AJ111*AJ96)</f>
        <v>0</v>
      </c>
      <c r="AK113" s="9" t="n">
        <f aca="false">(AK111*AK96)</f>
        <v>0</v>
      </c>
      <c r="AL113" s="9" t="n">
        <f aca="false">(AL111*AL96)</f>
        <v>212000</v>
      </c>
      <c r="AN113" s="11" t="n">
        <f aca="false">SUM(C113:N113)</f>
        <v>0</v>
      </c>
      <c r="AO113" s="11" t="n">
        <f aca="false">SUM(O113:Z113)</f>
        <v>0</v>
      </c>
      <c r="AP113" s="11" t="n">
        <f aca="false">SUM(AA113:AL113)</f>
        <v>318000</v>
      </c>
    </row>
    <row r="114" customFormat="false" ht="15" hidden="false" customHeight="false" outlineLevel="0" collapsed="false">
      <c r="A114" s="0" t="s">
        <v>920</v>
      </c>
      <c r="B114" s="0" t="s">
        <v>285</v>
      </c>
      <c r="C114" s="9" t="n">
        <f aca="false">((C93*Assumptions!$E$124)+(C96*(Assumptions!$E$124+(Assumptions!$C$34*Assumptions!$C$36))))</f>
        <v>0</v>
      </c>
      <c r="D114" s="9" t="n">
        <f aca="false">((D93*Assumptions!$E$124)+(D96*(Assumptions!$E$124+(Assumptions!$C$34*Assumptions!$C$36))))</f>
        <v>0</v>
      </c>
      <c r="E114" s="9" t="n">
        <f aca="false">((E93*Assumptions!$E$124)+(E96*(Assumptions!$E$124+(Assumptions!$C$34*Assumptions!$C$36))))</f>
        <v>0</v>
      </c>
      <c r="F114" s="9" t="n">
        <f aca="false">((F93*Assumptions!$E$124)+(F96*(Assumptions!$E$124+(Assumptions!$C$34*Assumptions!$C$36))))</f>
        <v>0</v>
      </c>
      <c r="G114" s="9" t="n">
        <f aca="false">((G93*Assumptions!$E$124)+(G96*(Assumptions!$E$124+(Assumptions!$C$34*Assumptions!$C$36))))</f>
        <v>0</v>
      </c>
      <c r="H114" s="9" t="n">
        <f aca="false">((H93*Assumptions!$E$124)+(H96*(Assumptions!$E$124+(Assumptions!$C$34*Assumptions!$C$36))))</f>
        <v>0</v>
      </c>
      <c r="I114" s="9" t="n">
        <f aca="false">((I93*Assumptions!$E$124)+(I96*(Assumptions!$E$124+(Assumptions!$C$34*Assumptions!$C$36))))</f>
        <v>0</v>
      </c>
      <c r="J114" s="9" t="n">
        <f aca="false">((J93*Assumptions!$E$124)+(J96*(Assumptions!$E$124+(Assumptions!$C$34*Assumptions!$C$36))))</f>
        <v>0</v>
      </c>
      <c r="K114" s="9" t="n">
        <f aca="false">((K93*Assumptions!$E$124)+(K96*(Assumptions!$E$124+(Assumptions!$C$34*Assumptions!$C$36))))</f>
        <v>0</v>
      </c>
      <c r="L114" s="9" t="n">
        <f aca="false">((L93*Assumptions!$E$124)+(L96*(Assumptions!$E$124+(Assumptions!$C$34*Assumptions!$C$36))))</f>
        <v>0</v>
      </c>
      <c r="M114" s="9" t="n">
        <f aca="false">((M93*Assumptions!$E$124)+(M96*(Assumptions!$E$124+(Assumptions!$C$34*Assumptions!$C$36))))</f>
        <v>0</v>
      </c>
      <c r="N114" s="9" t="n">
        <f aca="false">((N93*Assumptions!$E$124)+(N96*(Assumptions!$E$124+(Assumptions!$C$34*Assumptions!$C$36))))</f>
        <v>0</v>
      </c>
      <c r="O114" s="9" t="n">
        <f aca="false">((O93*Assumptions!$E$124)+(O96*(Assumptions!$E$124+(Assumptions!$C$34*Assumptions!$C$36))))</f>
        <v>0</v>
      </c>
      <c r="P114" s="9" t="n">
        <f aca="false">((P93*Assumptions!$E$124)+(P96*(Assumptions!$E$124+(Assumptions!$C$34*Assumptions!$C$36))))</f>
        <v>0</v>
      </c>
      <c r="Q114" s="9" t="n">
        <f aca="false">((Q93*Assumptions!$E$124)+(Q96*(Assumptions!$E$124+(Assumptions!$C$34*Assumptions!$C$36))))</f>
        <v>0</v>
      </c>
      <c r="R114" s="9" t="n">
        <f aca="false">((R93*Assumptions!$E$124)+(R96*(Assumptions!$E$124+(Assumptions!$C$34*Assumptions!$C$36))))</f>
        <v>0</v>
      </c>
      <c r="S114" s="9" t="n">
        <f aca="false">((S93*Assumptions!$E$124)+(S96*(Assumptions!$E$124+(Assumptions!$C$34*Assumptions!$C$36))))</f>
        <v>0</v>
      </c>
      <c r="T114" s="9" t="n">
        <f aca="false">((T93*Assumptions!$E$124)+(T96*(Assumptions!$E$124+(Assumptions!$C$34*Assumptions!$C$36))))</f>
        <v>0</v>
      </c>
      <c r="U114" s="9" t="n">
        <f aca="false">((U93*Assumptions!$E$124)+(U96*(Assumptions!$E$124+(Assumptions!$C$34*Assumptions!$C$36))))</f>
        <v>0</v>
      </c>
      <c r="V114" s="9" t="n">
        <f aca="false">((V93*Assumptions!$E$124)+(V96*(Assumptions!$E$124+(Assumptions!$C$34*Assumptions!$C$36))))</f>
        <v>0</v>
      </c>
      <c r="W114" s="9" t="n">
        <f aca="false">((W93*Assumptions!$E$124)+(W96*(Assumptions!$E$124+(Assumptions!$C$34*Assumptions!$C$36))))</f>
        <v>0</v>
      </c>
      <c r="X114" s="9" t="n">
        <f aca="false">((X93*Assumptions!$E$124)+(X96*(Assumptions!$E$124+(Assumptions!$C$34*Assumptions!$C$36))))</f>
        <v>0</v>
      </c>
      <c r="Y114" s="9" t="n">
        <f aca="false">((Y93*Assumptions!$E$124)+(Y96*(Assumptions!$E$124+(Assumptions!$C$34*Assumptions!$C$36))))</f>
        <v>0</v>
      </c>
      <c r="Z114" s="9" t="n">
        <f aca="false">((Z93*Assumptions!$E$124)+(Z96*(Assumptions!$E$124+(Assumptions!$C$34*Assumptions!$C$36))))</f>
        <v>0</v>
      </c>
      <c r="AA114" s="9" t="n">
        <f aca="false">((AA93*Assumptions!$E$124)+(AA96*(Assumptions!$E$124+(Assumptions!$C$34*Assumptions!$C$36))))</f>
        <v>0</v>
      </c>
      <c r="AB114" s="9" t="n">
        <f aca="false">((AB93*Assumptions!$E$124)+(AB96*(Assumptions!$E$124+(Assumptions!$C$34*Assumptions!$C$36))))</f>
        <v>0</v>
      </c>
      <c r="AC114" s="9" t="n">
        <f aca="false">((AC93*Assumptions!$E$124)+(AC96*(Assumptions!$E$124+(Assumptions!$C$34*Assumptions!$C$36))))</f>
        <v>0</v>
      </c>
      <c r="AD114" s="9" t="n">
        <f aca="false">((AD93*Assumptions!$E$124)+(AD96*(Assumptions!$E$124+(Assumptions!$C$34*Assumptions!$C$36))))</f>
        <v>0</v>
      </c>
      <c r="AE114" s="9" t="n">
        <f aca="false">((AE93*Assumptions!$E$124)+(AE96*(Assumptions!$E$124+(Assumptions!$C$34*Assumptions!$C$36))))</f>
        <v>0</v>
      </c>
      <c r="AF114" s="9" t="n">
        <f aca="false">((AF93*Assumptions!$E$124)+(AF96*(Assumptions!$E$124+(Assumptions!$C$34*Assumptions!$C$36))))</f>
        <v>844</v>
      </c>
      <c r="AG114" s="9" t="n">
        <f aca="false">((AG93*Assumptions!$E$124)+(AG96*(Assumptions!$E$124+(Assumptions!$C$34*Assumptions!$C$36))))</f>
        <v>0</v>
      </c>
      <c r="AH114" s="9" t="n">
        <f aca="false">((AH93*Assumptions!$E$124)+(AH96*(Assumptions!$E$124+(Assumptions!$C$34*Assumptions!$C$36))))</f>
        <v>0</v>
      </c>
      <c r="AI114" s="9" t="n">
        <f aca="false">((AI93*Assumptions!$E$124)+(AI96*(Assumptions!$E$124+(Assumptions!$C$34*Assumptions!$C$36))))</f>
        <v>0</v>
      </c>
      <c r="AJ114" s="9" t="n">
        <f aca="false">((AJ93*Assumptions!$E$124)+(AJ96*(Assumptions!$E$124+(Assumptions!$C$34*Assumptions!$C$36))))</f>
        <v>0</v>
      </c>
      <c r="AK114" s="9" t="n">
        <f aca="false">((AK93*Assumptions!$E$124)+(AK96*(Assumptions!$E$124+(Assumptions!$C$34*Assumptions!$C$36))))</f>
        <v>0</v>
      </c>
      <c r="AL114" s="9" t="n">
        <f aca="false">((AL93*Assumptions!$E$124)+(AL96*(Assumptions!$E$124+(Assumptions!$C$34*Assumptions!$C$36))))</f>
        <v>1688</v>
      </c>
      <c r="AN114" s="11" t="n">
        <f aca="false">SUM(C114:N114)</f>
        <v>0</v>
      </c>
      <c r="AO114" s="11" t="n">
        <f aca="false">SUM(O114:Z114)</f>
        <v>0</v>
      </c>
      <c r="AP114" s="11" t="n">
        <f aca="false">SUM(AA114:AL114)</f>
        <v>2532</v>
      </c>
    </row>
    <row r="115" customFormat="false" ht="15" hidden="false" customHeight="false" outlineLevel="0" collapsed="false">
      <c r="A115" s="21" t="s">
        <v>921</v>
      </c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</row>
    <row r="116" customFormat="false" ht="15" hidden="false" customHeight="false" outlineLevel="0" collapsed="false">
      <c r="A116" s="0" t="s">
        <v>922</v>
      </c>
      <c r="B116" s="0" t="s">
        <v>852</v>
      </c>
      <c r="C116" s="14" t="n">
        <f aca="false">((C48+C71)+C94)</f>
        <v>0</v>
      </c>
      <c r="D116" s="14" t="n">
        <f aca="false">((D48+D71)+D94)</f>
        <v>0</v>
      </c>
      <c r="E116" s="14" t="n">
        <f aca="false">((E48+E71)+E94)</f>
        <v>0</v>
      </c>
      <c r="F116" s="14" t="n">
        <f aca="false">((F48+F71)+F94)</f>
        <v>0</v>
      </c>
      <c r="G116" s="14" t="n">
        <f aca="false">((G48+G71)+G94)</f>
        <v>1</v>
      </c>
      <c r="H116" s="14" t="n">
        <f aca="false">((H48+H71)+H94)</f>
        <v>0</v>
      </c>
      <c r="I116" s="14" t="n">
        <f aca="false">((I48+I71)+I94)</f>
        <v>0</v>
      </c>
      <c r="J116" s="14" t="n">
        <f aca="false">((J48+J71)+J94)</f>
        <v>1</v>
      </c>
      <c r="K116" s="14" t="n">
        <f aca="false">((K48+K71)+K94)</f>
        <v>0</v>
      </c>
      <c r="L116" s="14" t="n">
        <f aca="false">((L48+L71)+L94)</f>
        <v>0</v>
      </c>
      <c r="M116" s="14" t="n">
        <f aca="false">((M48+M71)+M94)</f>
        <v>0</v>
      </c>
      <c r="N116" s="14" t="n">
        <f aca="false">((N48+N71)+N94)</f>
        <v>0</v>
      </c>
      <c r="O116" s="14" t="n">
        <f aca="false">((O48+O71)+O94)</f>
        <v>1</v>
      </c>
      <c r="P116" s="14" t="n">
        <f aca="false">((P48+P71)+P94)</f>
        <v>0</v>
      </c>
      <c r="Q116" s="14" t="n">
        <f aca="false">((Q48+Q71)+Q94)</f>
        <v>0</v>
      </c>
      <c r="R116" s="14" t="n">
        <f aca="false">((R48+R71)+R94)</f>
        <v>2</v>
      </c>
      <c r="S116" s="14" t="n">
        <f aca="false">((S48+S71)+S94)</f>
        <v>0</v>
      </c>
      <c r="T116" s="14" t="n">
        <f aca="false">((T48+T71)+T94)</f>
        <v>0</v>
      </c>
      <c r="U116" s="14" t="n">
        <f aca="false">((U48+U71)+U94)</f>
        <v>3</v>
      </c>
      <c r="V116" s="14" t="n">
        <f aca="false">((V48+V71)+V94)</f>
        <v>0</v>
      </c>
      <c r="W116" s="14" t="n">
        <f aca="false">((W48+W71)+W94)</f>
        <v>0</v>
      </c>
      <c r="X116" s="14" t="n">
        <f aca="false">((X48+X71)+X94)</f>
        <v>3</v>
      </c>
      <c r="Y116" s="14" t="n">
        <f aca="false">((Y48+Y71)+Y94)</f>
        <v>0</v>
      </c>
      <c r="Z116" s="14" t="n">
        <f aca="false">((Z48+Z71)+Z94)</f>
        <v>0</v>
      </c>
      <c r="AA116" s="14" t="n">
        <f aca="false">((AA48+AA71)+AA94)</f>
        <v>4</v>
      </c>
      <c r="AB116" s="14" t="n">
        <f aca="false">((AB48+AB71)+AB94)</f>
        <v>0</v>
      </c>
      <c r="AC116" s="14" t="n">
        <f aca="false">((AC48+AC71)+AC94)</f>
        <v>0</v>
      </c>
      <c r="AD116" s="14" t="n">
        <f aca="false">((AD48+AD71)+AD94)</f>
        <v>5</v>
      </c>
      <c r="AE116" s="14" t="n">
        <f aca="false">((AE48+AE71)+AE94)</f>
        <v>0</v>
      </c>
      <c r="AF116" s="14" t="n">
        <f aca="false">((AF48+AF71)+AF94)</f>
        <v>1</v>
      </c>
      <c r="AG116" s="14" t="n">
        <f aca="false">((AG48+AG71)+AG94)</f>
        <v>5</v>
      </c>
      <c r="AH116" s="14" t="n">
        <f aca="false">((AH48+AH71)+AH94)</f>
        <v>0</v>
      </c>
      <c r="AI116" s="14" t="n">
        <f aca="false">((AI48+AI71)+AI94)</f>
        <v>0</v>
      </c>
      <c r="AJ116" s="14" t="n">
        <f aca="false">((AJ48+AJ71)+AJ94)</f>
        <v>6</v>
      </c>
      <c r="AK116" s="14" t="n">
        <f aca="false">((AK48+AK71)+AK94)</f>
        <v>0</v>
      </c>
      <c r="AL116" s="14" t="n">
        <f aca="false">((AL48+AL71)+AL94)</f>
        <v>1</v>
      </c>
      <c r="AN116" s="36" t="n">
        <f aca="false">SUM(C116:N116)</f>
        <v>2</v>
      </c>
      <c r="AO116" s="36" t="n">
        <f aca="false">SUM(O116:Z116)</f>
        <v>9</v>
      </c>
      <c r="AP116" s="36" t="n">
        <f aca="false">SUM(AA116:AL116)</f>
        <v>22</v>
      </c>
    </row>
    <row r="117" customFormat="false" ht="15" hidden="false" customHeight="false" outlineLevel="0" collapsed="false">
      <c r="A117" s="0" t="s">
        <v>923</v>
      </c>
      <c r="B117" s="0" t="s">
        <v>852</v>
      </c>
      <c r="C117" s="14" t="n">
        <f aca="false">((C46+C69)+C92)</f>
        <v>0</v>
      </c>
      <c r="D117" s="14" t="n">
        <f aca="false">((D46+D69)+D92)</f>
        <v>0</v>
      </c>
      <c r="E117" s="14" t="n">
        <f aca="false">((E46+E69)+E92)</f>
        <v>0</v>
      </c>
      <c r="F117" s="14" t="n">
        <f aca="false">((F46+F69)+F92)</f>
        <v>0</v>
      </c>
      <c r="G117" s="14" t="n">
        <f aca="false">((G46+G69)+G92)</f>
        <v>0</v>
      </c>
      <c r="H117" s="14" t="n">
        <f aca="false">((H46+H69)+H92)</f>
        <v>0</v>
      </c>
      <c r="I117" s="14" t="n">
        <f aca="false">((I46+I69)+I92)</f>
        <v>0</v>
      </c>
      <c r="J117" s="14" t="n">
        <f aca="false">((J46+J69)+J92)</f>
        <v>0</v>
      </c>
      <c r="K117" s="14" t="n">
        <f aca="false">((K46+K69)+K92)</f>
        <v>0</v>
      </c>
      <c r="L117" s="14" t="n">
        <f aca="false">((L46+L69)+L92)</f>
        <v>0</v>
      </c>
      <c r="M117" s="14" t="n">
        <f aca="false">((M46+M69)+M92)</f>
        <v>0</v>
      </c>
      <c r="N117" s="14" t="n">
        <f aca="false">((N46+N69)+N92)</f>
        <v>0</v>
      </c>
      <c r="O117" s="14" t="n">
        <f aca="false">((O46+O69)+O92)</f>
        <v>1</v>
      </c>
      <c r="P117" s="14" t="n">
        <f aca="false">((P46+P69)+P92)</f>
        <v>0</v>
      </c>
      <c r="Q117" s="14" t="n">
        <f aca="false">((Q46+Q69)+Q92)</f>
        <v>0</v>
      </c>
      <c r="R117" s="14" t="n">
        <f aca="false">((R46+R69)+R92)</f>
        <v>2</v>
      </c>
      <c r="S117" s="14" t="n">
        <f aca="false">((S46+S69)+S92)</f>
        <v>0</v>
      </c>
      <c r="T117" s="14" t="n">
        <f aca="false">((T46+T69)+T92)</f>
        <v>0</v>
      </c>
      <c r="U117" s="14" t="n">
        <f aca="false">((U46+U69)+U92)</f>
        <v>3</v>
      </c>
      <c r="V117" s="14" t="n">
        <f aca="false">((V46+V69)+V92)</f>
        <v>0</v>
      </c>
      <c r="W117" s="14" t="n">
        <f aca="false">((W46+W69)+W92)</f>
        <v>0</v>
      </c>
      <c r="X117" s="14" t="n">
        <f aca="false">((X46+X69)+X92)</f>
        <v>3</v>
      </c>
      <c r="Y117" s="14" t="n">
        <f aca="false">((Y46+Y69)+Y92)</f>
        <v>0</v>
      </c>
      <c r="Z117" s="14" t="n">
        <f aca="false">((Z46+Z69)+Z92)</f>
        <v>0</v>
      </c>
      <c r="AA117" s="14" t="n">
        <f aca="false">((AA46+AA69)+AA92)</f>
        <v>4</v>
      </c>
      <c r="AB117" s="14" t="n">
        <f aca="false">((AB46+AB69)+AB92)</f>
        <v>0</v>
      </c>
      <c r="AC117" s="14" t="n">
        <f aca="false">((AC46+AC69)+AC92)</f>
        <v>0</v>
      </c>
      <c r="AD117" s="14" t="n">
        <f aca="false">((AD46+AD69)+AD92)</f>
        <v>5</v>
      </c>
      <c r="AE117" s="14" t="n">
        <f aca="false">((AE46+AE69)+AE92)</f>
        <v>0</v>
      </c>
      <c r="AF117" s="14" t="n">
        <f aca="false">((AF46+AF69)+AF92)</f>
        <v>1</v>
      </c>
      <c r="AG117" s="14" t="n">
        <f aca="false">((AG46+AG69)+AG92)</f>
        <v>5</v>
      </c>
      <c r="AH117" s="14" t="n">
        <f aca="false">((AH46+AH69)+AH92)</f>
        <v>0</v>
      </c>
      <c r="AI117" s="14" t="n">
        <f aca="false">((AI46+AI69)+AI92)</f>
        <v>0</v>
      </c>
      <c r="AJ117" s="14" t="n">
        <f aca="false">((AJ46+AJ69)+AJ92)</f>
        <v>6</v>
      </c>
      <c r="AK117" s="14" t="n">
        <f aca="false">((AK46+AK69)+AK92)</f>
        <v>0</v>
      </c>
      <c r="AL117" s="14" t="n">
        <f aca="false">((AL46+AL69)+AL92)</f>
        <v>1</v>
      </c>
      <c r="AN117" s="36" t="n">
        <f aca="false">SUM(C117:N117)</f>
        <v>0</v>
      </c>
      <c r="AO117" s="36" t="n">
        <f aca="false">SUM(O117:Z117)</f>
        <v>9</v>
      </c>
      <c r="AP117" s="36" t="n">
        <f aca="false">SUM(AA117:AL117)</f>
        <v>22</v>
      </c>
    </row>
    <row r="118" customFormat="false" ht="15" hidden="false" customHeight="false" outlineLevel="0" collapsed="false">
      <c r="A118" s="0" t="s">
        <v>924</v>
      </c>
      <c r="B118" s="0" t="s">
        <v>852</v>
      </c>
      <c r="C118" s="14" t="n">
        <f aca="false">((C47+C70)+C93)</f>
        <v>0</v>
      </c>
      <c r="D118" s="14" t="n">
        <f aca="false">((D47+D70)+D93)</f>
        <v>0</v>
      </c>
      <c r="E118" s="14" t="n">
        <f aca="false">((E47+E70)+E93)</f>
        <v>0</v>
      </c>
      <c r="F118" s="14" t="n">
        <f aca="false">((F47+F70)+F93)</f>
        <v>0</v>
      </c>
      <c r="G118" s="14" t="n">
        <f aca="false">((G47+G70)+G93)</f>
        <v>1</v>
      </c>
      <c r="H118" s="14" t="n">
        <f aca="false">((H47+H70)+H93)</f>
        <v>0</v>
      </c>
      <c r="I118" s="14" t="n">
        <f aca="false">((I47+I70)+I93)</f>
        <v>0</v>
      </c>
      <c r="J118" s="14" t="n">
        <f aca="false">((J47+J70)+J93)</f>
        <v>1</v>
      </c>
      <c r="K118" s="14" t="n">
        <f aca="false">((K47+K70)+K93)</f>
        <v>0</v>
      </c>
      <c r="L118" s="14" t="n">
        <f aca="false">((L47+L70)+L93)</f>
        <v>0</v>
      </c>
      <c r="M118" s="14" t="n">
        <f aca="false">((M47+M70)+M93)</f>
        <v>0</v>
      </c>
      <c r="N118" s="14" t="n">
        <f aca="false">((N47+N70)+N93)</f>
        <v>0</v>
      </c>
      <c r="O118" s="14" t="n">
        <f aca="false">((O47+O70)+O93)</f>
        <v>0</v>
      </c>
      <c r="P118" s="14" t="n">
        <f aca="false">((P47+P70)+P93)</f>
        <v>0</v>
      </c>
      <c r="Q118" s="14" t="n">
        <f aca="false">((Q47+Q70)+Q93)</f>
        <v>0</v>
      </c>
      <c r="R118" s="14" t="n">
        <f aca="false">((R47+R70)+R93)</f>
        <v>0</v>
      </c>
      <c r="S118" s="14" t="n">
        <f aca="false">((S47+S70)+S93)</f>
        <v>0</v>
      </c>
      <c r="T118" s="14" t="n">
        <f aca="false">((T47+T70)+T93)</f>
        <v>0</v>
      </c>
      <c r="U118" s="14" t="n">
        <f aca="false">((U47+U70)+U93)</f>
        <v>0</v>
      </c>
      <c r="V118" s="14" t="n">
        <f aca="false">((V47+V70)+V93)</f>
        <v>0</v>
      </c>
      <c r="W118" s="14" t="n">
        <f aca="false">((W47+W70)+W93)</f>
        <v>0</v>
      </c>
      <c r="X118" s="14" t="n">
        <f aca="false">((X47+X70)+X93)</f>
        <v>0</v>
      </c>
      <c r="Y118" s="14" t="n">
        <f aca="false">((Y47+Y70)+Y93)</f>
        <v>0</v>
      </c>
      <c r="Z118" s="14" t="n">
        <f aca="false">((Z47+Z70)+Z93)</f>
        <v>0</v>
      </c>
      <c r="AA118" s="14" t="n">
        <f aca="false">((AA47+AA70)+AA93)</f>
        <v>0</v>
      </c>
      <c r="AB118" s="14" t="n">
        <f aca="false">((AB47+AB70)+AB93)</f>
        <v>0</v>
      </c>
      <c r="AC118" s="14" t="n">
        <f aca="false">((AC47+AC70)+AC93)</f>
        <v>0</v>
      </c>
      <c r="AD118" s="14" t="n">
        <f aca="false">((AD47+AD70)+AD93)</f>
        <v>0</v>
      </c>
      <c r="AE118" s="14" t="n">
        <f aca="false">((AE47+AE70)+AE93)</f>
        <v>0</v>
      </c>
      <c r="AF118" s="14" t="n">
        <f aca="false">((AF47+AF70)+AF93)</f>
        <v>0</v>
      </c>
      <c r="AG118" s="14" t="n">
        <f aca="false">((AG47+AG70)+AG93)</f>
        <v>0</v>
      </c>
      <c r="AH118" s="14" t="n">
        <f aca="false">((AH47+AH70)+AH93)</f>
        <v>0</v>
      </c>
      <c r="AI118" s="14" t="n">
        <f aca="false">((AI47+AI70)+AI93)</f>
        <v>0</v>
      </c>
      <c r="AJ118" s="14" t="n">
        <f aca="false">((AJ47+AJ70)+AJ93)</f>
        <v>0</v>
      </c>
      <c r="AK118" s="14" t="n">
        <f aca="false">((AK47+AK70)+AK93)</f>
        <v>0</v>
      </c>
      <c r="AL118" s="14" t="n">
        <f aca="false">((AL47+AL70)+AL93)</f>
        <v>0</v>
      </c>
      <c r="AN118" s="36" t="n">
        <f aca="false">SUM(C118:N118)</f>
        <v>2</v>
      </c>
      <c r="AO118" s="36" t="n">
        <f aca="false">SUM(O118:Z118)</f>
        <v>0</v>
      </c>
      <c r="AP118" s="36" t="n">
        <f aca="false">SUM(AA118:AL118)</f>
        <v>0</v>
      </c>
    </row>
    <row r="119" customFormat="false" ht="15" hidden="false" customHeight="false" outlineLevel="0" collapsed="false">
      <c r="A119" s="0" t="s">
        <v>925</v>
      </c>
      <c r="B119" s="0" t="s">
        <v>852</v>
      </c>
      <c r="C119" s="14" t="n">
        <f aca="false">((C49+C72)+C95)</f>
        <v>0</v>
      </c>
      <c r="D119" s="14" t="n">
        <f aca="false">((D49+D72)+D95)</f>
        <v>0</v>
      </c>
      <c r="E119" s="14" t="n">
        <f aca="false">((E49+E72)+E95)</f>
        <v>0</v>
      </c>
      <c r="F119" s="14" t="n">
        <f aca="false">((F49+F72)+F95)</f>
        <v>0</v>
      </c>
      <c r="G119" s="14" t="n">
        <f aca="false">((G49+G72)+G95)</f>
        <v>0</v>
      </c>
      <c r="H119" s="14" t="n">
        <f aca="false">((H49+H72)+H95)</f>
        <v>0</v>
      </c>
      <c r="I119" s="14" t="n">
        <f aca="false">((I49+I72)+I95)</f>
        <v>0</v>
      </c>
      <c r="J119" s="14" t="n">
        <f aca="false">((J49+J72)+J95)</f>
        <v>0</v>
      </c>
      <c r="K119" s="14" t="n">
        <f aca="false">((K49+K72)+K95)</f>
        <v>0</v>
      </c>
      <c r="L119" s="14" t="n">
        <f aca="false">((L49+L72)+L95)</f>
        <v>0</v>
      </c>
      <c r="M119" s="14" t="n">
        <f aca="false">((M49+M72)+M95)</f>
        <v>0</v>
      </c>
      <c r="N119" s="14" t="n">
        <f aca="false">((N49+N72)+N95)</f>
        <v>0</v>
      </c>
      <c r="O119" s="14" t="n">
        <f aca="false">((O49+O72)+O95)</f>
        <v>0</v>
      </c>
      <c r="P119" s="14" t="n">
        <f aca="false">((P49+P72)+P95)</f>
        <v>0</v>
      </c>
      <c r="Q119" s="14" t="n">
        <f aca="false">((Q49+Q72)+Q95)</f>
        <v>0</v>
      </c>
      <c r="R119" s="14" t="n">
        <f aca="false">((R49+R72)+R95)</f>
        <v>0</v>
      </c>
      <c r="S119" s="14" t="n">
        <f aca="false">((S49+S72)+S95)</f>
        <v>0</v>
      </c>
      <c r="T119" s="14" t="n">
        <f aca="false">((T49+T72)+T95)</f>
        <v>0</v>
      </c>
      <c r="U119" s="14" t="n">
        <f aca="false">((U49+U72)+U95)</f>
        <v>0</v>
      </c>
      <c r="V119" s="14" t="n">
        <f aca="false">((V49+V72)+V95)</f>
        <v>0</v>
      </c>
      <c r="W119" s="14" t="n">
        <f aca="false">((W49+W72)+W95)</f>
        <v>0</v>
      </c>
      <c r="X119" s="14" t="n">
        <f aca="false">((X49+X72)+X95)</f>
        <v>0</v>
      </c>
      <c r="Y119" s="14" t="n">
        <f aca="false">((Y49+Y72)+Y95)</f>
        <v>1</v>
      </c>
      <c r="Z119" s="14" t="n">
        <f aca="false">((Z49+Z72)+Z95)</f>
        <v>0</v>
      </c>
      <c r="AA119" s="14" t="n">
        <f aca="false">((AA49+AA72)+AA95)</f>
        <v>0</v>
      </c>
      <c r="AB119" s="14" t="n">
        <f aca="false">((AB49+AB72)+AB95)</f>
        <v>2</v>
      </c>
      <c r="AC119" s="14" t="n">
        <f aca="false">((AC49+AC72)+AC95)</f>
        <v>0</v>
      </c>
      <c r="AD119" s="14" t="n">
        <f aca="false">((AD49+AD72)+AD95)</f>
        <v>0</v>
      </c>
      <c r="AE119" s="14" t="n">
        <f aca="false">((AE49+AE72)+AE95)</f>
        <v>3</v>
      </c>
      <c r="AF119" s="14" t="n">
        <f aca="false">((AF49+AF72)+AF95)</f>
        <v>0</v>
      </c>
      <c r="AG119" s="14" t="n">
        <f aca="false">((AG49+AG72)+AG95)</f>
        <v>0</v>
      </c>
      <c r="AH119" s="14" t="n">
        <f aca="false">((AH49+AH72)+AH95)</f>
        <v>3</v>
      </c>
      <c r="AI119" s="14" t="n">
        <f aca="false">((AI49+AI72)+AI95)</f>
        <v>0</v>
      </c>
      <c r="AJ119" s="14" t="n">
        <f aca="false">((AJ49+AJ72)+AJ95)</f>
        <v>0</v>
      </c>
      <c r="AK119" s="14" t="n">
        <f aca="false">((AK49+AK72)+AK95)</f>
        <v>5</v>
      </c>
      <c r="AL119" s="14" t="n">
        <f aca="false">((AL49+AL72)+AL95)</f>
        <v>1</v>
      </c>
      <c r="AN119" s="36" t="n">
        <f aca="false">SUM(C119:N119)</f>
        <v>0</v>
      </c>
      <c r="AO119" s="36" t="n">
        <f aca="false">SUM(O119:Z119)</f>
        <v>1</v>
      </c>
      <c r="AP119" s="36" t="n">
        <f aca="false">SUM(AA119:AL119)</f>
        <v>14</v>
      </c>
    </row>
    <row r="120" customFormat="false" ht="15" hidden="false" customHeight="false" outlineLevel="0" collapsed="false">
      <c r="A120" s="0" t="s">
        <v>926</v>
      </c>
      <c r="B120" s="0" t="s">
        <v>852</v>
      </c>
      <c r="C120" s="14" t="n">
        <f aca="false">((C50+C73)+C96)</f>
        <v>0</v>
      </c>
      <c r="D120" s="14" t="n">
        <f aca="false">((D50+D73)+D96)</f>
        <v>0</v>
      </c>
      <c r="E120" s="14" t="n">
        <f aca="false">((E50+E73)+E96)</f>
        <v>0</v>
      </c>
      <c r="F120" s="14" t="n">
        <f aca="false">((F50+F73)+F96)</f>
        <v>0</v>
      </c>
      <c r="G120" s="14" t="n">
        <f aca="false">((G50+G73)+G96)</f>
        <v>0</v>
      </c>
      <c r="H120" s="14" t="n">
        <f aca="false">((H50+H73)+H96)</f>
        <v>0</v>
      </c>
      <c r="I120" s="14" t="n">
        <f aca="false">((I50+I73)+I96)</f>
        <v>0</v>
      </c>
      <c r="J120" s="14" t="n">
        <f aca="false">((J50+J73)+J96)</f>
        <v>0</v>
      </c>
      <c r="K120" s="14" t="n">
        <f aca="false">((K50+K73)+K96)</f>
        <v>0</v>
      </c>
      <c r="L120" s="14" t="n">
        <f aca="false">((L50+L73)+L96)</f>
        <v>0</v>
      </c>
      <c r="M120" s="14" t="n">
        <f aca="false">((M50+M73)+M96)</f>
        <v>0</v>
      </c>
      <c r="N120" s="14" t="n">
        <f aca="false">((N50+N73)+N96)</f>
        <v>0</v>
      </c>
      <c r="O120" s="14" t="n">
        <f aca="false">((O50+O73)+O96)</f>
        <v>1</v>
      </c>
      <c r="P120" s="14" t="n">
        <f aca="false">((P50+P73)+P96)</f>
        <v>0</v>
      </c>
      <c r="Q120" s="14" t="n">
        <f aca="false">((Q50+Q73)+Q96)</f>
        <v>0</v>
      </c>
      <c r="R120" s="14" t="n">
        <f aca="false">((R50+R73)+R96)</f>
        <v>2</v>
      </c>
      <c r="S120" s="14" t="n">
        <f aca="false">((S50+S73)+S96)</f>
        <v>0</v>
      </c>
      <c r="T120" s="14" t="n">
        <f aca="false">((T50+T73)+T96)</f>
        <v>0</v>
      </c>
      <c r="U120" s="14" t="n">
        <f aca="false">((U50+U73)+U96)</f>
        <v>3</v>
      </c>
      <c r="V120" s="14" t="n">
        <f aca="false">((V50+V73)+V96)</f>
        <v>0</v>
      </c>
      <c r="W120" s="14" t="n">
        <f aca="false">((W50+W73)+W96)</f>
        <v>0</v>
      </c>
      <c r="X120" s="14" t="n">
        <f aca="false">((X50+X73)+X96)</f>
        <v>3</v>
      </c>
      <c r="Y120" s="14" t="n">
        <f aca="false">((Y50+Y73)+Y96)</f>
        <v>1</v>
      </c>
      <c r="Z120" s="14" t="n">
        <f aca="false">((Z50+Z73)+Z96)</f>
        <v>0</v>
      </c>
      <c r="AA120" s="14" t="n">
        <f aca="false">((AA50+AA73)+AA96)</f>
        <v>4</v>
      </c>
      <c r="AB120" s="14" t="n">
        <f aca="false">((AB50+AB73)+AB96)</f>
        <v>2</v>
      </c>
      <c r="AC120" s="14" t="n">
        <f aca="false">((AC50+AC73)+AC96)</f>
        <v>0</v>
      </c>
      <c r="AD120" s="14" t="n">
        <f aca="false">((AD50+AD73)+AD96)</f>
        <v>5</v>
      </c>
      <c r="AE120" s="14" t="n">
        <f aca="false">((AE50+AE73)+AE96)</f>
        <v>3</v>
      </c>
      <c r="AF120" s="14" t="n">
        <f aca="false">((AF50+AF73)+AF96)</f>
        <v>1</v>
      </c>
      <c r="AG120" s="14" t="n">
        <f aca="false">((AG50+AG73)+AG96)</f>
        <v>5</v>
      </c>
      <c r="AH120" s="14" t="n">
        <f aca="false">((AH50+AH73)+AH96)</f>
        <v>3</v>
      </c>
      <c r="AI120" s="14" t="n">
        <f aca="false">((AI50+AI73)+AI96)</f>
        <v>0</v>
      </c>
      <c r="AJ120" s="14" t="n">
        <f aca="false">((AJ50+AJ73)+AJ96)</f>
        <v>6</v>
      </c>
      <c r="AK120" s="14" t="n">
        <f aca="false">((AK50+AK73)+AK96)</f>
        <v>5</v>
      </c>
      <c r="AL120" s="14" t="n">
        <f aca="false">((AL50+AL73)+AL96)</f>
        <v>2</v>
      </c>
      <c r="AN120" s="36" t="n">
        <f aca="false">SUM(C120:N120)</f>
        <v>0</v>
      </c>
      <c r="AO120" s="36" t="n">
        <f aca="false">SUM(O120:Z120)</f>
        <v>10</v>
      </c>
      <c r="AP120" s="36" t="n">
        <f aca="false">SUM(AA120:AL120)</f>
        <v>36</v>
      </c>
    </row>
    <row r="121" customFormat="false" ht="15" hidden="false" customHeight="false" outlineLevel="0" collapsed="false">
      <c r="A121" s="0" t="s">
        <v>927</v>
      </c>
      <c r="B121" s="0" t="s">
        <v>852</v>
      </c>
      <c r="C121" s="14" t="n">
        <f aca="false">((C55+C78)+C101)</f>
        <v>0</v>
      </c>
      <c r="D121" s="14" t="n">
        <f aca="false">((D55+D78)+D101)</f>
        <v>0</v>
      </c>
      <c r="E121" s="14" t="n">
        <f aca="false">((E55+E78)+E101)</f>
        <v>0</v>
      </c>
      <c r="F121" s="14" t="n">
        <f aca="false">((F55+F78)+F101)</f>
        <v>0</v>
      </c>
      <c r="G121" s="14" t="n">
        <f aca="false">((G55+G78)+G101)</f>
        <v>0</v>
      </c>
      <c r="H121" s="14" t="n">
        <f aca="false">((H55+H78)+H101)</f>
        <v>0</v>
      </c>
      <c r="I121" s="14" t="n">
        <f aca="false">((I55+I78)+I101)</f>
        <v>0</v>
      </c>
      <c r="J121" s="14" t="n">
        <f aca="false">((J55+J78)+J101)</f>
        <v>0</v>
      </c>
      <c r="K121" s="14" t="n">
        <f aca="false">((K55+K78)+K101)</f>
        <v>0</v>
      </c>
      <c r="L121" s="14" t="n">
        <f aca="false">((L55+L78)+L101)</f>
        <v>0</v>
      </c>
      <c r="M121" s="14" t="n">
        <f aca="false">((M55+M78)+M101)</f>
        <v>0</v>
      </c>
      <c r="N121" s="14" t="n">
        <f aca="false">((N55+N78)+N101)</f>
        <v>0.6</v>
      </c>
      <c r="O121" s="14" t="n">
        <f aca="false">((O55+O78)+O101)</f>
        <v>0</v>
      </c>
      <c r="P121" s="14" t="n">
        <f aca="false">((P55+P78)+P101)</f>
        <v>0</v>
      </c>
      <c r="Q121" s="14" t="n">
        <f aca="false">((Q55+Q78)+Q101)</f>
        <v>0.6</v>
      </c>
      <c r="R121" s="14" t="n">
        <f aca="false">((R55+R78)+R101)</f>
        <v>0</v>
      </c>
      <c r="S121" s="14" t="n">
        <f aca="false">((S55+S78)+S101)</f>
        <v>0</v>
      </c>
      <c r="T121" s="14" t="n">
        <f aca="false">((T55+T78)+T101)</f>
        <v>0</v>
      </c>
      <c r="U121" s="14" t="n">
        <f aca="false">((U55+U78)+U101)</f>
        <v>0</v>
      </c>
      <c r="V121" s="14" t="n">
        <f aca="false">((V55+V78)+V101)</f>
        <v>0.5</v>
      </c>
      <c r="W121" s="14" t="n">
        <f aca="false">((W55+W78)+W101)</f>
        <v>0</v>
      </c>
      <c r="X121" s="14" t="n">
        <f aca="false">((X55+X78)+X101)</f>
        <v>0</v>
      </c>
      <c r="Y121" s="14" t="n">
        <f aca="false">((Y55+Y78)+Y101)</f>
        <v>1.95</v>
      </c>
      <c r="Z121" s="14" t="n">
        <f aca="false">((Z55+Z78)+Z101)</f>
        <v>0</v>
      </c>
      <c r="AA121" s="14" t="n">
        <f aca="false">((AA55+AA78)+AA101)</f>
        <v>0</v>
      </c>
      <c r="AB121" s="14" t="n">
        <f aca="false">((AB55+AB78)+AB101)</f>
        <v>3.45</v>
      </c>
      <c r="AC121" s="14" t="n">
        <f aca="false">((AC55+AC78)+AC101)</f>
        <v>0</v>
      </c>
      <c r="AD121" s="14" t="n">
        <f aca="false">((AD55+AD78)+AD101)</f>
        <v>0</v>
      </c>
      <c r="AE121" s="14" t="n">
        <f aca="false">((AE55+AE78)+AE101)</f>
        <v>4.45</v>
      </c>
      <c r="AF121" s="14" t="n">
        <f aca="false">((AF55+AF78)+AF101)</f>
        <v>0</v>
      </c>
      <c r="AG121" s="14" t="n">
        <f aca="false">((AG55+AG78)+AG101)</f>
        <v>0</v>
      </c>
      <c r="AH121" s="14" t="n">
        <f aca="false">((AH55+AH78)+AH101)</f>
        <v>4.95</v>
      </c>
      <c r="AI121" s="14" t="n">
        <f aca="false">((AI55+AI78)+AI101)</f>
        <v>0</v>
      </c>
      <c r="AJ121" s="14" t="n">
        <f aca="false">((AJ55+AJ78)+AJ101)</f>
        <v>0</v>
      </c>
      <c r="AK121" s="14" t="n">
        <f aca="false">((AK55+AK78)+AK101)</f>
        <v>7.4</v>
      </c>
      <c r="AL121" s="14" t="n">
        <f aca="false">((AL55+AL78)+AL101)</f>
        <v>1</v>
      </c>
      <c r="AN121" s="36" t="n">
        <f aca="false">SUM(C121:N121)</f>
        <v>0.6</v>
      </c>
      <c r="AO121" s="36" t="n">
        <f aca="false">SUM(O121:Z121)</f>
        <v>3.05</v>
      </c>
      <c r="AP121" s="36" t="n">
        <f aca="false">SUM(AA121:AL121)</f>
        <v>21.25</v>
      </c>
    </row>
    <row r="122" customFormat="false" ht="15" hidden="false" customHeight="false" outlineLevel="0" collapsed="false">
      <c r="A122" s="0" t="s">
        <v>928</v>
      </c>
      <c r="B122" s="0" t="s">
        <v>852</v>
      </c>
      <c r="C122" s="13" t="n">
        <f aca="false">((C57+C80)+C103)</f>
        <v>0</v>
      </c>
      <c r="D122" s="13" t="n">
        <f aca="false">((D57+D80)+D103)</f>
        <v>0</v>
      </c>
      <c r="E122" s="13" t="n">
        <f aca="false">((E57+E80)+E103)</f>
        <v>0</v>
      </c>
      <c r="F122" s="13" t="n">
        <f aca="false">((F57+F80)+F103)</f>
        <v>0</v>
      </c>
      <c r="G122" s="13" t="n">
        <f aca="false">((G57+G80)+G103)</f>
        <v>0</v>
      </c>
      <c r="H122" s="13" t="n">
        <f aca="false">((H57+H80)+H103)</f>
        <v>0</v>
      </c>
      <c r="I122" s="13" t="n">
        <f aca="false">((I57+I80)+I103)</f>
        <v>0</v>
      </c>
      <c r="J122" s="13" t="n">
        <f aca="false">((J57+J80)+J103)</f>
        <v>0</v>
      </c>
      <c r="K122" s="13" t="n">
        <f aca="false">((K57+K80)+K103)</f>
        <v>0</v>
      </c>
      <c r="L122" s="13" t="n">
        <f aca="false">((L57+L80)+L103)</f>
        <v>0</v>
      </c>
      <c r="M122" s="13" t="n">
        <f aca="false">((M57+M80)+M103)</f>
        <v>0</v>
      </c>
      <c r="N122" s="13" t="n">
        <f aca="false">((N57+N80)+N103)</f>
        <v>0.6</v>
      </c>
      <c r="O122" s="13" t="n">
        <f aca="false">((O57+O80)+O103)</f>
        <v>0.6</v>
      </c>
      <c r="P122" s="13" t="n">
        <f aca="false">((P57+P80)+P103)</f>
        <v>0.6</v>
      </c>
      <c r="Q122" s="13" t="n">
        <f aca="false">((Q57+Q80)+Q103)</f>
        <v>1.2</v>
      </c>
      <c r="R122" s="13" t="n">
        <f aca="false">((R57+R80)+R103)</f>
        <v>1.2</v>
      </c>
      <c r="S122" s="13" t="n">
        <f aca="false">((S57+S80)+S103)</f>
        <v>1.2</v>
      </c>
      <c r="T122" s="13" t="n">
        <f aca="false">((T57+T80)+T103)</f>
        <v>1.2</v>
      </c>
      <c r="U122" s="13" t="n">
        <f aca="false">((U57+U80)+U103)</f>
        <v>1.2</v>
      </c>
      <c r="V122" s="13" t="n">
        <f aca="false">((V57+V80)+V103)</f>
        <v>1.7</v>
      </c>
      <c r="W122" s="13" t="n">
        <f aca="false">((W57+W80)+W103)</f>
        <v>1.7</v>
      </c>
      <c r="X122" s="13" t="n">
        <f aca="false">((X57+X80)+X103)</f>
        <v>1.7</v>
      </c>
      <c r="Y122" s="13" t="n">
        <f aca="false">((Y57+Y80)+Y103)</f>
        <v>3.65</v>
      </c>
      <c r="Z122" s="13" t="n">
        <f aca="false">((Z57+Z80)+Z103)</f>
        <v>3.578</v>
      </c>
      <c r="AA122" s="13" t="n">
        <f aca="false">((AA57+AA80)+AA103)</f>
        <v>3.578</v>
      </c>
      <c r="AB122" s="13" t="n">
        <f aca="false">((AB57+AB80)+AB103)</f>
        <v>7.028</v>
      </c>
      <c r="AC122" s="13" t="n">
        <f aca="false">((AC57+AC80)+AC103)</f>
        <v>6.956</v>
      </c>
      <c r="AD122" s="13" t="n">
        <f aca="false">((AD57+AD80)+AD103)</f>
        <v>6.956</v>
      </c>
      <c r="AE122" s="13" t="n">
        <f aca="false">((AE57+AE80)+AE103)</f>
        <v>11.406</v>
      </c>
      <c r="AF122" s="13" t="n">
        <f aca="false">((AF57+AF80)+AF103)</f>
        <v>11.406</v>
      </c>
      <c r="AG122" s="13" t="n">
        <f aca="false">((AG57+AG80)+AG103)</f>
        <v>11.406</v>
      </c>
      <c r="AH122" s="13" t="n">
        <f aca="false">((AH57+AH80)+AH103)</f>
        <v>16.296</v>
      </c>
      <c r="AI122" s="13" t="n">
        <f aca="false">((AI57+AI80)+AI103)</f>
        <v>16.296</v>
      </c>
      <c r="AJ122" s="13" t="n">
        <f aca="false">((AJ57+AJ80)+AJ103)</f>
        <v>16.296</v>
      </c>
      <c r="AK122" s="13" t="n">
        <f aca="false">((AK57+AK80)+AK103)</f>
        <v>23.462</v>
      </c>
      <c r="AL122" s="13" t="n">
        <f aca="false">((AL57+AL80)+AL103)</f>
        <v>24.39864</v>
      </c>
      <c r="AN122" s="37" t="n">
        <f aca="false">N122</f>
        <v>0.6</v>
      </c>
      <c r="AO122" s="37" t="n">
        <f aca="false">Z122</f>
        <v>3.578</v>
      </c>
      <c r="AP122" s="37" t="n">
        <f aca="false">AL122</f>
        <v>24.39864</v>
      </c>
    </row>
    <row r="123" customFormat="false" ht="15" hidden="false" customHeight="false" outlineLevel="0" collapsed="false">
      <c r="A123" s="0" t="s">
        <v>929</v>
      </c>
      <c r="B123" s="0" t="s">
        <v>852</v>
      </c>
      <c r="C123" s="13" t="n">
        <f aca="false">((C51+C74)+C97)</f>
        <v>0</v>
      </c>
      <c r="D123" s="13" t="n">
        <f aca="false">((D51+D74)+D97)</f>
        <v>0</v>
      </c>
      <c r="E123" s="13" t="n">
        <f aca="false">((E51+E74)+E97)</f>
        <v>0</v>
      </c>
      <c r="F123" s="13" t="n">
        <f aca="false">((F51+F74)+F97)</f>
        <v>0</v>
      </c>
      <c r="G123" s="13" t="n">
        <f aca="false">((G51+G74)+G97)</f>
        <v>1</v>
      </c>
      <c r="H123" s="13" t="n">
        <f aca="false">((H51+H74)+H97)</f>
        <v>1</v>
      </c>
      <c r="I123" s="13" t="n">
        <f aca="false">((I51+I74)+I97)</f>
        <v>1</v>
      </c>
      <c r="J123" s="13" t="n">
        <f aca="false">((J51+J74)+J97)</f>
        <v>2</v>
      </c>
      <c r="K123" s="13" t="n">
        <f aca="false">((K51+K74)+K97)</f>
        <v>2</v>
      </c>
      <c r="L123" s="13" t="n">
        <f aca="false">((L51+L74)+L97)</f>
        <v>2</v>
      </c>
      <c r="M123" s="13" t="n">
        <f aca="false">((M51+M74)+M97)</f>
        <v>1</v>
      </c>
      <c r="N123" s="13" t="n">
        <f aca="false">((N51+N74)+N97)</f>
        <v>1</v>
      </c>
      <c r="O123" s="13" t="n">
        <f aca="false">((O51+O74)+O97)</f>
        <v>2</v>
      </c>
      <c r="P123" s="13" t="n">
        <f aca="false">((P51+P74)+P97)</f>
        <v>1</v>
      </c>
      <c r="Q123" s="13" t="n">
        <f aca="false">((Q51+Q74)+Q97)</f>
        <v>1</v>
      </c>
      <c r="R123" s="13" t="n">
        <f aca="false">((R51+R74)+R97)</f>
        <v>3</v>
      </c>
      <c r="S123" s="13" t="n">
        <f aca="false">((S51+S74)+S97)</f>
        <v>3</v>
      </c>
      <c r="T123" s="13" t="n">
        <f aca="false">((T51+T74)+T97)</f>
        <v>3</v>
      </c>
      <c r="U123" s="13" t="n">
        <f aca="false">((U51+U74)+U97)</f>
        <v>5</v>
      </c>
      <c r="V123" s="13" t="n">
        <f aca="false">((V51+V74)+V97)</f>
        <v>5</v>
      </c>
      <c r="W123" s="13" t="n">
        <f aca="false">((W51+W74)+W97)</f>
        <v>5</v>
      </c>
      <c r="X123" s="13" t="n">
        <f aca="false">((X51+X74)+X97)</f>
        <v>6</v>
      </c>
      <c r="Y123" s="13" t="n">
        <f aca="false">((Y51+Y74)+Y97)</f>
        <v>6</v>
      </c>
      <c r="Z123" s="13" t="n">
        <f aca="false">((Z51+Z74)+Z97)</f>
        <v>6</v>
      </c>
      <c r="AA123" s="13" t="n">
        <f aca="false">((AA51+AA74)+AA97)</f>
        <v>7</v>
      </c>
      <c r="AB123" s="13" t="n">
        <f aca="false">((AB51+AB74)+AB97)</f>
        <v>7</v>
      </c>
      <c r="AC123" s="13" t="n">
        <f aca="false">((AC51+AC74)+AC97)</f>
        <v>7</v>
      </c>
      <c r="AD123" s="13" t="n">
        <f aca="false">((AD51+AD74)+AD97)</f>
        <v>9</v>
      </c>
      <c r="AE123" s="13" t="n">
        <f aca="false">((AE51+AE74)+AE97)</f>
        <v>9</v>
      </c>
      <c r="AF123" s="13" t="n">
        <f aca="false">((AF51+AF74)+AF97)</f>
        <v>10</v>
      </c>
      <c r="AG123" s="13" t="n">
        <f aca="false">((AG51+AG74)+AG97)</f>
        <v>11</v>
      </c>
      <c r="AH123" s="13" t="n">
        <f aca="false">((AH51+AH74)+AH97)</f>
        <v>11</v>
      </c>
      <c r="AI123" s="13" t="n">
        <f aca="false">((AI51+AI74)+AI97)</f>
        <v>11</v>
      </c>
      <c r="AJ123" s="13" t="n">
        <f aca="false">((AJ51+AJ74)+AJ97)</f>
        <v>12</v>
      </c>
      <c r="AK123" s="13" t="n">
        <f aca="false">((AK51+AK74)+AK97)</f>
        <v>12</v>
      </c>
      <c r="AL123" s="13" t="n">
        <f aca="false">((AL51+AL74)+AL97)</f>
        <v>12</v>
      </c>
      <c r="AN123" s="37" t="n">
        <f aca="false">N123</f>
        <v>1</v>
      </c>
      <c r="AO123" s="37" t="n">
        <f aca="false">Z123</f>
        <v>6</v>
      </c>
      <c r="AP123" s="37" t="n">
        <f aca="false">AL123</f>
        <v>12</v>
      </c>
    </row>
    <row r="124" customFormat="false" ht="15" hidden="false" customHeight="false" outlineLevel="0" collapsed="false">
      <c r="A124" s="0" t="s">
        <v>930</v>
      </c>
      <c r="B124" s="0" t="s">
        <v>230</v>
      </c>
      <c r="C124" s="9" t="n">
        <f aca="false">((C61+C84)+C107)</f>
        <v>0</v>
      </c>
      <c r="D124" s="9" t="n">
        <f aca="false">((D61+D84)+D107)</f>
        <v>0</v>
      </c>
      <c r="E124" s="9" t="n">
        <f aca="false">((E61+E84)+E107)</f>
        <v>0</v>
      </c>
      <c r="F124" s="9" t="n">
        <f aca="false">((F61+F84)+F107)</f>
        <v>0</v>
      </c>
      <c r="G124" s="9" t="n">
        <f aca="false">((G61+G84)+G107)</f>
        <v>0</v>
      </c>
      <c r="H124" s="9" t="n">
        <f aca="false">((H61+H84)+H107)</f>
        <v>0</v>
      </c>
      <c r="I124" s="9" t="n">
        <f aca="false">((I61+I84)+I107)</f>
        <v>0</v>
      </c>
      <c r="J124" s="9" t="n">
        <f aca="false">((J61+J84)+J107)</f>
        <v>0</v>
      </c>
      <c r="K124" s="9" t="n">
        <f aca="false">((K61+K84)+K107)</f>
        <v>0</v>
      </c>
      <c r="L124" s="9" t="n">
        <f aca="false">((L61+L84)+L107)</f>
        <v>0</v>
      </c>
      <c r="M124" s="9" t="n">
        <f aca="false">((M61+M84)+M107)</f>
        <v>0</v>
      </c>
      <c r="N124" s="9" t="n">
        <f aca="false">((N61+N84)+N107)</f>
        <v>1320</v>
      </c>
      <c r="O124" s="9" t="n">
        <f aca="false">((O61+O84)+O107)</f>
        <v>1320</v>
      </c>
      <c r="P124" s="9" t="n">
        <f aca="false">((P61+P84)+P107)</f>
        <v>1320</v>
      </c>
      <c r="Q124" s="9" t="n">
        <f aca="false">((Q61+Q84)+Q107)</f>
        <v>5060</v>
      </c>
      <c r="R124" s="9" t="n">
        <f aca="false">((R61+R84)+R107)</f>
        <v>5060</v>
      </c>
      <c r="S124" s="9" t="n">
        <f aca="false">((S61+S84)+S107)</f>
        <v>5060</v>
      </c>
      <c r="T124" s="9" t="n">
        <f aca="false">((T61+T84)+T107)</f>
        <v>5060</v>
      </c>
      <c r="U124" s="9" t="n">
        <f aca="false">((U61+U84)+U107)</f>
        <v>5060</v>
      </c>
      <c r="V124" s="9" t="n">
        <f aca="false">((V61+V84)+V107)</f>
        <v>5847.5</v>
      </c>
      <c r="W124" s="9" t="n">
        <f aca="false">((W61+W84)+W107)</f>
        <v>5847.5</v>
      </c>
      <c r="X124" s="9" t="n">
        <f aca="false">((X61+X84)+X107)</f>
        <v>5847.5</v>
      </c>
      <c r="Y124" s="9" t="n">
        <f aca="false">((Y61+Y84)+Y107)</f>
        <v>11077.5</v>
      </c>
      <c r="Z124" s="9" t="n">
        <f aca="false">((Z61+Z84)+Z107)</f>
        <v>11035.26</v>
      </c>
      <c r="AA124" s="9" t="n">
        <f aca="false">((AA61+AA84)+AA107)</f>
        <v>11035.26</v>
      </c>
      <c r="AB124" s="9" t="n">
        <f aca="false">((AB61+AB84)+AB107)</f>
        <v>23286.0933333333</v>
      </c>
      <c r="AC124" s="9" t="n">
        <f aca="false">((AC61+AC84)+AC107)</f>
        <v>23166.4133333333</v>
      </c>
      <c r="AD124" s="9" t="n">
        <f aca="false">((AD61+AD84)+AD107)</f>
        <v>23166.4133333333</v>
      </c>
      <c r="AE124" s="9" t="n">
        <f aca="false">((AE61+AE84)+AE107)</f>
        <v>37617.2466666667</v>
      </c>
      <c r="AF124" s="9" t="n">
        <f aca="false">((AF61+AF84)+AF107)</f>
        <v>37617.2466666667</v>
      </c>
      <c r="AG124" s="9" t="n">
        <f aca="false">((AG61+AG84)+AG107)</f>
        <v>37617.2466666667</v>
      </c>
      <c r="AH124" s="9" t="n">
        <f aca="false">((AH61+AH84)+AH107)</f>
        <v>53132.88</v>
      </c>
      <c r="AI124" s="9" t="n">
        <f aca="false">((AI61+AI84)+AI107)</f>
        <v>53132.88</v>
      </c>
      <c r="AJ124" s="9" t="n">
        <f aca="false">((AJ61+AJ84)+AJ107)</f>
        <v>53132.88</v>
      </c>
      <c r="AK124" s="9" t="n">
        <f aca="false">((AK61+AK84)+AK107)</f>
        <v>79726.6866666667</v>
      </c>
      <c r="AL124" s="9" t="n">
        <f aca="false">((AL61+AL84)+AL107)</f>
        <v>95819.13168</v>
      </c>
      <c r="AN124" s="11" t="n">
        <f aca="false">SUM(C124:N124)</f>
        <v>1320</v>
      </c>
      <c r="AO124" s="11" t="n">
        <f aca="false">SUM(O124:Z124)</f>
        <v>67595.26</v>
      </c>
      <c r="AP124" s="11" t="n">
        <f aca="false">SUM(AA124:AL124)</f>
        <v>528450.378346667</v>
      </c>
    </row>
    <row r="125" customFormat="false" ht="15" hidden="false" customHeight="false" outlineLevel="0" collapsed="false">
      <c r="A125" s="0" t="s">
        <v>931</v>
      </c>
      <c r="B125" s="0" t="s">
        <v>230</v>
      </c>
      <c r="C125" s="9" t="n">
        <f aca="false">IF(AND(($C$14=1),(C$18=(Assumptions!$C$106+1))),((Assumptions!$C$114*12)*C124),0)</f>
        <v>0</v>
      </c>
      <c r="D125" s="9" t="n">
        <f aca="false">IF(AND(($C$14=1),(D$18=(Assumptions!$C$106+1))),((Assumptions!$C$114*12)*D124),0)</f>
        <v>0</v>
      </c>
      <c r="E125" s="9" t="n">
        <f aca="false">IF(AND(($C$14=1),(E$18=(Assumptions!$C$106+1))),((Assumptions!$C$114*12)*E124),0)</f>
        <v>0</v>
      </c>
      <c r="F125" s="9" t="n">
        <f aca="false">IF(AND(($C$14=1),(F$18=(Assumptions!$C$106+1))),((Assumptions!$C$114*12)*F124),0)</f>
        <v>0</v>
      </c>
      <c r="G125" s="9" t="n">
        <f aca="false">IF(AND(($C$14=1),(G$18=(Assumptions!$C$106+1))),((Assumptions!$C$114*12)*G124),0)</f>
        <v>0</v>
      </c>
      <c r="H125" s="9" t="n">
        <f aca="false">IF(AND(($C$14=1),(H$18=(Assumptions!$C$106+1))),((Assumptions!$C$114*12)*H124),0)</f>
        <v>0</v>
      </c>
      <c r="I125" s="9" t="n">
        <f aca="false">IF(AND(($C$14=1),(I$18=(Assumptions!$C$106+1))),((Assumptions!$C$114*12)*I124),0)</f>
        <v>0</v>
      </c>
      <c r="J125" s="9" t="n">
        <f aca="false">IF(AND(($C$14=1),(J$18=(Assumptions!$C$106+1))),((Assumptions!$C$114*12)*J124),0)</f>
        <v>0</v>
      </c>
      <c r="K125" s="9" t="n">
        <f aca="false">IF(AND(($C$14=1),(K$18=(Assumptions!$C$106+1))),((Assumptions!$C$114*12)*K124),0)</f>
        <v>0</v>
      </c>
      <c r="L125" s="9" t="n">
        <f aca="false">IF(AND(($C$14=1),(L$18=(Assumptions!$C$106+1))),((Assumptions!$C$114*12)*L124),0)</f>
        <v>0</v>
      </c>
      <c r="M125" s="9" t="n">
        <f aca="false">IF(AND(($C$14=1),(M$18=(Assumptions!$C$106+1))),((Assumptions!$C$114*12)*M124),0)</f>
        <v>0</v>
      </c>
      <c r="N125" s="9" t="n">
        <f aca="false">IF(AND(($C$14=1),(N$18=(Assumptions!$C$106+1))),((Assumptions!$C$114*12)*N124),0)</f>
        <v>0</v>
      </c>
      <c r="O125" s="9" t="n">
        <f aca="false">IF(AND(($C$14=1),(O$18=(Assumptions!$C$106+1))),((Assumptions!$C$114*12)*O124),0)</f>
        <v>0</v>
      </c>
      <c r="P125" s="9" t="n">
        <f aca="false">IF(AND(($C$14=1),(P$18=(Assumptions!$C$106+1))),((Assumptions!$C$114*12)*P124),0)</f>
        <v>0</v>
      </c>
      <c r="Q125" s="9" t="n">
        <f aca="false">IF(AND(($C$14=1),(Q$18=(Assumptions!$C$106+1))),((Assumptions!$C$114*12)*Q124),0)</f>
        <v>0</v>
      </c>
      <c r="R125" s="9" t="n">
        <f aca="false">IF(AND(($C$14=1),(R$18=(Assumptions!$C$106+1))),((Assumptions!$C$114*12)*R124),0)</f>
        <v>0</v>
      </c>
      <c r="S125" s="9" t="n">
        <f aca="false">IF(AND(($C$14=1),(S$18=(Assumptions!$C$106+1))),((Assumptions!$C$114*12)*S124),0)</f>
        <v>0</v>
      </c>
      <c r="T125" s="9" t="n">
        <f aca="false">IF(AND(($C$14=1),(T$18=(Assumptions!$C$106+1))),((Assumptions!$C$114*12)*T124),0)</f>
        <v>0</v>
      </c>
      <c r="U125" s="9" t="n">
        <f aca="false">IF(AND(($C$14=1),(U$18=(Assumptions!$C$106+1))),((Assumptions!$C$114*12)*U124),0)</f>
        <v>0</v>
      </c>
      <c r="V125" s="9" t="n">
        <f aca="false">IF(AND(($C$14=1),(V$18=(Assumptions!$C$106+1))),((Assumptions!$C$114*12)*V124),0)</f>
        <v>0</v>
      </c>
      <c r="W125" s="9" t="n">
        <f aca="false">IF(AND(($C$14=1),(W$18=(Assumptions!$C$106+1))),((Assumptions!$C$114*12)*W124),0)</f>
        <v>0</v>
      </c>
      <c r="X125" s="9" t="n">
        <f aca="false">IF(AND(($C$14=1),(X$18=(Assumptions!$C$106+1))),((Assumptions!$C$114*12)*X124),0)</f>
        <v>0</v>
      </c>
      <c r="Y125" s="9" t="n">
        <f aca="false">IF(AND(($C$14=1),(Y$18=(Assumptions!$C$106+1))),((Assumptions!$C$114*12)*Y124),0)</f>
        <v>0</v>
      </c>
      <c r="Z125" s="9" t="n">
        <f aca="false">IF(AND(($C$14=1),(Z$18=(Assumptions!$C$106+1))),((Assumptions!$C$114*12)*Z124),0)</f>
        <v>0</v>
      </c>
      <c r="AA125" s="9" t="n">
        <f aca="false">IF(AND(($C$14=1),(AA$18=(Assumptions!$C$106+1))),((Assumptions!$C$114*12)*AA124),0)</f>
        <v>0</v>
      </c>
      <c r="AB125" s="9" t="n">
        <f aca="false">IF(AND(($C$14=1),(AB$18=(Assumptions!$C$106+1))),((Assumptions!$C$114*12)*AB124),0)</f>
        <v>0</v>
      </c>
      <c r="AC125" s="9" t="n">
        <f aca="false">IF(AND(($C$14=1),(AC$18=(Assumptions!$C$106+1))),((Assumptions!$C$114*12)*AC124),0)</f>
        <v>0</v>
      </c>
      <c r="AD125" s="9" t="n">
        <f aca="false">IF(AND(($C$14=1),(AD$18=(Assumptions!$C$106+1))),((Assumptions!$C$114*12)*AD124),0)</f>
        <v>0</v>
      </c>
      <c r="AE125" s="9" t="n">
        <f aca="false">IF(AND(($C$14=1),(AE$18=(Assumptions!$C$106+1))),((Assumptions!$C$114*12)*AE124),0)</f>
        <v>0</v>
      </c>
      <c r="AF125" s="9" t="n">
        <f aca="false">IF(AND(($C$14=1),(AF$18=(Assumptions!$C$106+1))),((Assumptions!$C$114*12)*AF124),0)</f>
        <v>0</v>
      </c>
      <c r="AG125" s="9" t="n">
        <f aca="false">IF(AND(($C$14=1),(AG$18=(Assumptions!$C$106+1))),((Assumptions!$C$114*12)*AG124),0)</f>
        <v>0</v>
      </c>
      <c r="AH125" s="9" t="n">
        <f aca="false">IF(AND(($C$14=1),(AH$18=(Assumptions!$C$106+1))),((Assumptions!$C$114*12)*AH124),0)</f>
        <v>0</v>
      </c>
      <c r="AI125" s="9" t="n">
        <f aca="false">IF(AND(($C$14=1),(AI$18=(Assumptions!$C$106+1))),((Assumptions!$C$114*12)*AI124),0)</f>
        <v>0</v>
      </c>
      <c r="AJ125" s="9" t="n">
        <f aca="false">IF(AND(($C$14=1),(AJ$18=(Assumptions!$C$106+1))),((Assumptions!$C$114*12)*AJ124),0)</f>
        <v>0</v>
      </c>
      <c r="AK125" s="9" t="n">
        <f aca="false">IF(AND(($C$14=1),(AK$18=(Assumptions!$C$106+1))),((Assumptions!$C$114*12)*AK124),0)</f>
        <v>0</v>
      </c>
      <c r="AL125" s="9" t="n">
        <f aca="false">IF(AND(($C$14=1),(AL$18=(Assumptions!$C$106+1))),((Assumptions!$C$114*12)*AL124),0)</f>
        <v>0</v>
      </c>
      <c r="AN125" s="11" t="n">
        <f aca="false">SUM(C125:N125)</f>
        <v>0</v>
      </c>
      <c r="AO125" s="11" t="n">
        <f aca="false">SUM(O125:Z125)</f>
        <v>0</v>
      </c>
      <c r="AP125" s="11" t="n">
        <f aca="false">SUM(AA125:AL125)</f>
        <v>0</v>
      </c>
    </row>
    <row r="126" customFormat="false" ht="15" hidden="false" customHeight="false" outlineLevel="0" collapsed="false">
      <c r="A126" s="0" t="s">
        <v>932</v>
      </c>
      <c r="B126" s="0" t="s">
        <v>500</v>
      </c>
      <c r="C126" s="9" t="n">
        <f aca="false">(((Assumptions!$C$125*(C57+(Assumptions!$C$32*C51)))+(Assumptions!$D$125*(C80+(Assumptions!$C$32*C74))))+(Assumptions!$E$125*(C103+(Assumptions!$C$32*C97))))</f>
        <v>0</v>
      </c>
      <c r="D126" s="9" t="n">
        <f aca="false">(((Assumptions!$C$125*(D57+(Assumptions!$C$32*D51)))+(Assumptions!$D$125*(D80+(Assumptions!$C$32*D74))))+(Assumptions!$E$125*(D103+(Assumptions!$C$32*D97))))</f>
        <v>0</v>
      </c>
      <c r="E126" s="9" t="n">
        <f aca="false">(((Assumptions!$C$125*(E57+(Assumptions!$C$32*E51)))+(Assumptions!$D$125*(E80+(Assumptions!$C$32*E74))))+(Assumptions!$E$125*(E103+(Assumptions!$C$32*E97))))</f>
        <v>0</v>
      </c>
      <c r="F126" s="9" t="n">
        <f aca="false">(((Assumptions!$C$125*(F57+(Assumptions!$C$32*F51)))+(Assumptions!$D$125*(F80+(Assumptions!$C$32*F74))))+(Assumptions!$E$125*(F103+(Assumptions!$C$32*F97))))</f>
        <v>0</v>
      </c>
      <c r="G126" s="9" t="n">
        <f aca="false">(((Assumptions!$C$125*(G57+(Assumptions!$C$32*G51)))+(Assumptions!$D$125*(G80+(Assumptions!$C$32*G74))))+(Assumptions!$E$125*(G103+(Assumptions!$C$32*G97))))</f>
        <v>210</v>
      </c>
      <c r="H126" s="9" t="n">
        <f aca="false">(((Assumptions!$C$125*(H57+(Assumptions!$C$32*H51)))+(Assumptions!$D$125*(H80+(Assumptions!$C$32*H74))))+(Assumptions!$E$125*(H103+(Assumptions!$C$32*H97))))</f>
        <v>210</v>
      </c>
      <c r="I126" s="9" t="n">
        <f aca="false">(((Assumptions!$C$125*(I57+(Assumptions!$C$32*I51)))+(Assumptions!$D$125*(I80+(Assumptions!$C$32*I74))))+(Assumptions!$E$125*(I103+(Assumptions!$C$32*I97))))</f>
        <v>210</v>
      </c>
      <c r="J126" s="9" t="n">
        <f aca="false">(((Assumptions!$C$125*(J57+(Assumptions!$C$32*J51)))+(Assumptions!$D$125*(J80+(Assumptions!$C$32*J74))))+(Assumptions!$E$125*(J103+(Assumptions!$C$32*J97))))</f>
        <v>1085</v>
      </c>
      <c r="K126" s="9" t="n">
        <f aca="false">(((Assumptions!$C$125*(K57+(Assumptions!$C$32*K51)))+(Assumptions!$D$125*(K80+(Assumptions!$C$32*K74))))+(Assumptions!$E$125*(K103+(Assumptions!$C$32*K97))))</f>
        <v>1085</v>
      </c>
      <c r="L126" s="9" t="n">
        <f aca="false">(((Assumptions!$C$125*(L57+(Assumptions!$C$32*L51)))+(Assumptions!$D$125*(L80+(Assumptions!$C$32*L74))))+(Assumptions!$E$125*(L103+(Assumptions!$C$32*L97))))</f>
        <v>1085</v>
      </c>
      <c r="M126" s="9" t="n">
        <f aca="false">(((Assumptions!$C$125*(M57+(Assumptions!$C$32*M51)))+(Assumptions!$D$125*(M80+(Assumptions!$C$32*M74))))+(Assumptions!$E$125*(M103+(Assumptions!$C$32*M97))))</f>
        <v>875</v>
      </c>
      <c r="N126" s="9" t="n">
        <f aca="false">(((Assumptions!$C$125*(N57+(Assumptions!$C$32*N51)))+(Assumptions!$D$125*(N80+(Assumptions!$C$32*N74))))+(Assumptions!$E$125*(N103+(Assumptions!$C$32*N97))))</f>
        <v>1235</v>
      </c>
      <c r="O126" s="9" t="n">
        <f aca="false">(((Assumptions!$C$125*(O57+(Assumptions!$C$32*O51)))+(Assumptions!$D$125*(O80+(Assumptions!$C$32*O74))))+(Assumptions!$E$125*(O103+(Assumptions!$C$32*O97))))</f>
        <v>1445</v>
      </c>
      <c r="P126" s="9" t="n">
        <f aca="false">(((Assumptions!$C$125*(P57+(Assumptions!$C$32*P51)))+(Assumptions!$D$125*(P80+(Assumptions!$C$32*P74))))+(Assumptions!$E$125*(P103+(Assumptions!$C$32*P97))))</f>
        <v>570</v>
      </c>
      <c r="Q126" s="9" t="n">
        <f aca="false">(((Assumptions!$C$125*(Q57+(Assumptions!$C$32*Q51)))+(Assumptions!$D$125*(Q80+(Assumptions!$C$32*Q74))))+(Assumptions!$E$125*(Q103+(Assumptions!$C$32*Q97))))</f>
        <v>2070</v>
      </c>
      <c r="R126" s="9" t="n">
        <f aca="false">(((Assumptions!$C$125*(R57+(Assumptions!$C$32*R51)))+(Assumptions!$D$125*(R80+(Assumptions!$C$32*R74))))+(Assumptions!$E$125*(R103+(Assumptions!$C$32*R97))))</f>
        <v>3155</v>
      </c>
      <c r="S126" s="9" t="n">
        <f aca="false">(((Assumptions!$C$125*(S57+(Assumptions!$C$32*S51)))+(Assumptions!$D$125*(S80+(Assumptions!$C$32*S74))))+(Assumptions!$E$125*(S103+(Assumptions!$C$32*S97))))</f>
        <v>3155</v>
      </c>
      <c r="T126" s="9" t="n">
        <f aca="false">(((Assumptions!$C$125*(T57+(Assumptions!$C$32*T51)))+(Assumptions!$D$125*(T80+(Assumptions!$C$32*T74))))+(Assumptions!$E$125*(T103+(Assumptions!$C$32*T97))))</f>
        <v>3155</v>
      </c>
      <c r="U126" s="9" t="n">
        <f aca="false">(((Assumptions!$C$125*(U57+(Assumptions!$C$32*U51)))+(Assumptions!$D$125*(U80+(Assumptions!$C$32*U74))))+(Assumptions!$E$125*(U103+(Assumptions!$C$32*U97))))</f>
        <v>4240</v>
      </c>
      <c r="V126" s="9" t="n">
        <f aca="false">(((Assumptions!$C$125*(V57+(Assumptions!$C$32*V51)))+(Assumptions!$D$125*(V80+(Assumptions!$C$32*V74))))+(Assumptions!$E$125*(V103+(Assumptions!$C$32*V97))))</f>
        <v>4540</v>
      </c>
      <c r="W126" s="9" t="n">
        <f aca="false">(((Assumptions!$C$125*(W57+(Assumptions!$C$32*W51)))+(Assumptions!$D$125*(W80+(Assumptions!$C$32*W74))))+(Assumptions!$E$125*(W103+(Assumptions!$C$32*W97))))</f>
        <v>4540</v>
      </c>
      <c r="X126" s="9" t="n">
        <f aca="false">(((Assumptions!$C$125*(X57+(Assumptions!$C$32*X51)))+(Assumptions!$D$125*(X80+(Assumptions!$C$32*X74))))+(Assumptions!$E$125*(X103+(Assumptions!$C$32*X97))))</f>
        <v>4750</v>
      </c>
      <c r="Y126" s="9" t="n">
        <f aca="false">(((Assumptions!$C$125*(Y57+(Assumptions!$C$32*Y51)))+(Assumptions!$D$125*(Y80+(Assumptions!$C$32*Y74))))+(Assumptions!$E$125*(Y103+(Assumptions!$C$32*Y97))))</f>
        <v>6775</v>
      </c>
      <c r="Z126" s="9" t="n">
        <f aca="false">(((Assumptions!$C$125*(Z57+(Assumptions!$C$32*Z51)))+(Assumptions!$D$125*(Z80+(Assumptions!$C$32*Z74))))+(Assumptions!$E$125*(Z103+(Assumptions!$C$32*Z97))))</f>
        <v>6731.8</v>
      </c>
      <c r="AA126" s="9" t="n">
        <f aca="false">(((Assumptions!$C$125*(AA57+(Assumptions!$C$32*AA51)))+(Assumptions!$D$125*(AA80+(Assumptions!$C$32*AA74))))+(Assumptions!$E$125*(AA103+(Assumptions!$C$32*AA97))))</f>
        <v>6941.8</v>
      </c>
      <c r="AB126" s="9" t="n">
        <f aca="false">(((Assumptions!$C$125*(AB57+(Assumptions!$C$32*AB51)))+(Assumptions!$D$125*(AB80+(Assumptions!$C$32*AB74))))+(Assumptions!$E$125*(AB103+(Assumptions!$C$32*AB97))))</f>
        <v>11766.8</v>
      </c>
      <c r="AC126" s="9" t="n">
        <f aca="false">(((Assumptions!$C$125*(AC57+(Assumptions!$C$32*AC51)))+(Assumptions!$D$125*(AC80+(Assumptions!$C$32*AC74))))+(Assumptions!$E$125*(AC103+(Assumptions!$C$32*AC97))))</f>
        <v>11586.8</v>
      </c>
      <c r="AD126" s="9" t="n">
        <f aca="false">(((Assumptions!$C$125*(AD57+(Assumptions!$C$32*AD51)))+(Assumptions!$D$125*(AD80+(Assumptions!$C$32*AD74))))+(Assumptions!$E$125*(AD103+(Assumptions!$C$32*AD97))))</f>
        <v>12671.8</v>
      </c>
      <c r="AE126" s="9" t="n">
        <f aca="false">(((Assumptions!$C$125*(AE57+(Assumptions!$C$32*AE51)))+(Assumptions!$D$125*(AE80+(Assumptions!$C$32*AE74))))+(Assumptions!$E$125*(AE103+(Assumptions!$C$32*AE97))))</f>
        <v>18096.8</v>
      </c>
      <c r="AF126" s="9" t="n">
        <f aca="false">(((Assumptions!$C$125*(AF57+(Assumptions!$C$32*AF51)))+(Assumptions!$D$125*(AF80+(Assumptions!$C$32*AF74))))+(Assumptions!$E$125*(AF103+(Assumptions!$C$32*AF97))))</f>
        <v>21246.8</v>
      </c>
      <c r="AG126" s="9" t="n">
        <f aca="false">(((Assumptions!$C$125*(AG57+(Assumptions!$C$32*AG51)))+(Assumptions!$D$125*(AG80+(Assumptions!$C$32*AG74))))+(Assumptions!$E$125*(AG103+(Assumptions!$C$32*AG97))))</f>
        <v>22121.8</v>
      </c>
      <c r="AH126" s="9" t="n">
        <f aca="false">(((Assumptions!$C$125*(AH57+(Assumptions!$C$32*AH51)))+(Assumptions!$D$125*(AH80+(Assumptions!$C$32*AH74))))+(Assumptions!$E$125*(AH103+(Assumptions!$C$32*AH97))))</f>
        <v>27810.8</v>
      </c>
      <c r="AI126" s="9" t="n">
        <f aca="false">(((Assumptions!$C$125*(AI57+(Assumptions!$C$32*AI51)))+(Assumptions!$D$125*(AI80+(Assumptions!$C$32*AI74))))+(Assumptions!$E$125*(AI103+(Assumptions!$C$32*AI97))))</f>
        <v>27810.8</v>
      </c>
      <c r="AJ126" s="9" t="n">
        <f aca="false">(((Assumptions!$C$125*(AJ57+(Assumptions!$C$32*AJ51)))+(Assumptions!$D$125*(AJ80+(Assumptions!$C$32*AJ74))))+(Assumptions!$E$125*(AJ103+(Assumptions!$C$32*AJ97))))</f>
        <v>28020.8</v>
      </c>
      <c r="AK126" s="9" t="n">
        <f aca="false">(((Assumptions!$C$125*(AK57+(Assumptions!$C$32*AK51)))+(Assumptions!$D$125*(AK80+(Assumptions!$C$32*AK74))))+(Assumptions!$E$125*(AK103+(Assumptions!$C$32*AK97))))</f>
        <v>37727.8</v>
      </c>
      <c r="AL126" s="9" t="n">
        <f aca="false">(((Assumptions!$C$125*(AL57+(Assumptions!$C$32*AL51)))+(Assumptions!$D$125*(AL80+(Assumptions!$C$32*AL74))))+(Assumptions!$E$125*(AL103+(Assumptions!$C$32*AL97))))</f>
        <v>46689.784</v>
      </c>
      <c r="AN126" s="11" t="n">
        <f aca="false">N126</f>
        <v>1235</v>
      </c>
      <c r="AO126" s="11" t="n">
        <f aca="false">Z126</f>
        <v>6731.8</v>
      </c>
      <c r="AP126" s="11" t="n">
        <f aca="false">AL126</f>
        <v>46689.784</v>
      </c>
    </row>
    <row r="127" customFormat="false" ht="15" hidden="false" customHeight="false" outlineLevel="0" collapsed="false">
      <c r="A127" s="0" t="s">
        <v>933</v>
      </c>
      <c r="B127" s="0" t="s">
        <v>230</v>
      </c>
      <c r="C127" s="9" t="n">
        <f aca="false">(C124-C125)</f>
        <v>0</v>
      </c>
      <c r="D127" s="9" t="n">
        <f aca="false">(D124-D125)</f>
        <v>0</v>
      </c>
      <c r="E127" s="9" t="n">
        <f aca="false">(E124-E125)</f>
        <v>0</v>
      </c>
      <c r="F127" s="9" t="n">
        <f aca="false">(F124-F125)</f>
        <v>0</v>
      </c>
      <c r="G127" s="9" t="n">
        <f aca="false">(G124-G125)</f>
        <v>0</v>
      </c>
      <c r="H127" s="9" t="n">
        <f aca="false">(H124-H125)</f>
        <v>0</v>
      </c>
      <c r="I127" s="9" t="n">
        <f aca="false">(I124-I125)</f>
        <v>0</v>
      </c>
      <c r="J127" s="9" t="n">
        <f aca="false">(J124-J125)</f>
        <v>0</v>
      </c>
      <c r="K127" s="9" t="n">
        <f aca="false">(K124-K125)</f>
        <v>0</v>
      </c>
      <c r="L127" s="9" t="n">
        <f aca="false">(L124-L125)</f>
        <v>0</v>
      </c>
      <c r="M127" s="9" t="n">
        <f aca="false">(M124-M125)</f>
        <v>0</v>
      </c>
      <c r="N127" s="9" t="n">
        <f aca="false">(N124-N125)</f>
        <v>1320</v>
      </c>
      <c r="O127" s="9" t="n">
        <f aca="false">(O124-O125)</f>
        <v>1320</v>
      </c>
      <c r="P127" s="9" t="n">
        <f aca="false">(P124-P125)</f>
        <v>1320</v>
      </c>
      <c r="Q127" s="9" t="n">
        <f aca="false">(Q124-Q125)</f>
        <v>5060</v>
      </c>
      <c r="R127" s="9" t="n">
        <f aca="false">(R124-R125)</f>
        <v>5060</v>
      </c>
      <c r="S127" s="9" t="n">
        <f aca="false">(S124-S125)</f>
        <v>5060</v>
      </c>
      <c r="T127" s="9" t="n">
        <f aca="false">(T124-T125)</f>
        <v>5060</v>
      </c>
      <c r="U127" s="9" t="n">
        <f aca="false">(U124-U125)</f>
        <v>5060</v>
      </c>
      <c r="V127" s="9" t="n">
        <f aca="false">(V124-V125)</f>
        <v>5847.5</v>
      </c>
      <c r="W127" s="9" t="n">
        <f aca="false">(W124-W125)</f>
        <v>5847.5</v>
      </c>
      <c r="X127" s="9" t="n">
        <f aca="false">(X124-X125)</f>
        <v>5847.5</v>
      </c>
      <c r="Y127" s="9" t="n">
        <f aca="false">(Y124-Y125)</f>
        <v>11077.5</v>
      </c>
      <c r="Z127" s="9" t="n">
        <f aca="false">(Z124-Z125)</f>
        <v>11035.26</v>
      </c>
      <c r="AA127" s="9" t="n">
        <f aca="false">(AA124-AA125)</f>
        <v>11035.26</v>
      </c>
      <c r="AB127" s="9" t="n">
        <f aca="false">(AB124-AB125)</f>
        <v>23286.0933333333</v>
      </c>
      <c r="AC127" s="9" t="n">
        <f aca="false">(AC124-AC125)</f>
        <v>23166.4133333333</v>
      </c>
      <c r="AD127" s="9" t="n">
        <f aca="false">(AD124-AD125)</f>
        <v>23166.4133333333</v>
      </c>
      <c r="AE127" s="9" t="n">
        <f aca="false">(AE124-AE125)</f>
        <v>37617.2466666667</v>
      </c>
      <c r="AF127" s="9" t="n">
        <f aca="false">(AF124-AF125)</f>
        <v>37617.2466666667</v>
      </c>
      <c r="AG127" s="9" t="n">
        <f aca="false">(AG124-AG125)</f>
        <v>37617.2466666667</v>
      </c>
      <c r="AH127" s="9" t="n">
        <f aca="false">(AH124-AH125)</f>
        <v>53132.88</v>
      </c>
      <c r="AI127" s="9" t="n">
        <f aca="false">(AI124-AI125)</f>
        <v>53132.88</v>
      </c>
      <c r="AJ127" s="9" t="n">
        <f aca="false">(AJ124-AJ125)</f>
        <v>53132.88</v>
      </c>
      <c r="AK127" s="9" t="n">
        <f aca="false">(AK124-AK125)</f>
        <v>79726.6866666667</v>
      </c>
      <c r="AL127" s="9" t="n">
        <f aca="false">(AL124-AL125)</f>
        <v>95819.13168</v>
      </c>
      <c r="AN127" s="11" t="n">
        <f aca="false">SUM(C127:N127)</f>
        <v>1320</v>
      </c>
      <c r="AO127" s="11" t="n">
        <f aca="false">SUM(O127:Z127)</f>
        <v>67595.26</v>
      </c>
      <c r="AP127" s="11" t="n">
        <f aca="false">SUM(AA127:AL127)</f>
        <v>528450.378346667</v>
      </c>
    </row>
    <row r="128" customFormat="false" ht="15" hidden="false" customHeight="false" outlineLevel="0" collapsed="false">
      <c r="A128" s="0" t="s">
        <v>934</v>
      </c>
      <c r="B128" s="0" t="s">
        <v>230</v>
      </c>
      <c r="C128" s="9" t="n">
        <f aca="false">(((C62+C85)+C108)-C125)</f>
        <v>0</v>
      </c>
      <c r="D128" s="9" t="n">
        <f aca="false">(((D62+D85)+D108)-D125)</f>
        <v>0</v>
      </c>
      <c r="E128" s="9" t="n">
        <f aca="false">(((E62+E85)+E108)-E125)</f>
        <v>0</v>
      </c>
      <c r="F128" s="9" t="n">
        <f aca="false">(((F62+F85)+F108)-F125)</f>
        <v>0</v>
      </c>
      <c r="G128" s="9" t="n">
        <f aca="false">(((G62+G85)+G108)-G125)</f>
        <v>0</v>
      </c>
      <c r="H128" s="9" t="n">
        <f aca="false">(((H62+H85)+H108)-H125)</f>
        <v>0</v>
      </c>
      <c r="I128" s="9" t="n">
        <f aca="false">(((I62+I85)+I108)-I125)</f>
        <v>0</v>
      </c>
      <c r="J128" s="9" t="n">
        <f aca="false">(((J62+J85)+J108)-J125)</f>
        <v>0</v>
      </c>
      <c r="K128" s="9" t="n">
        <f aca="false">(((K62+K85)+K108)-K125)</f>
        <v>0</v>
      </c>
      <c r="L128" s="9" t="n">
        <f aca="false">(((L62+L85)+L108)-L125)</f>
        <v>0</v>
      </c>
      <c r="M128" s="9" t="n">
        <f aca="false">(((M62+M85)+M108)-M125)</f>
        <v>0</v>
      </c>
      <c r="N128" s="9" t="n">
        <f aca="false">(((N62+N85)+N108)-N125)</f>
        <v>15840</v>
      </c>
      <c r="O128" s="9" t="n">
        <f aca="false">(((O62+O85)+O108)-O125)</f>
        <v>0</v>
      </c>
      <c r="P128" s="9" t="n">
        <f aca="false">(((P62+P85)+P108)-P125)</f>
        <v>0</v>
      </c>
      <c r="Q128" s="9" t="n">
        <f aca="false">(((Q62+Q85)+Q108)-Q125)</f>
        <v>44880</v>
      </c>
      <c r="R128" s="9" t="n">
        <f aca="false">(((R62+R85)+R108)-R125)</f>
        <v>0</v>
      </c>
      <c r="S128" s="9" t="n">
        <f aca="false">(((S62+S85)+S108)-S125)</f>
        <v>0</v>
      </c>
      <c r="T128" s="9" t="n">
        <f aca="false">(((T62+T85)+T108)-T125)</f>
        <v>0</v>
      </c>
      <c r="U128" s="9" t="n">
        <f aca="false">(((U62+U85)+U108)-U125)</f>
        <v>0</v>
      </c>
      <c r="V128" s="9" t="n">
        <f aca="false">(((V62+V85)+V108)-V125)</f>
        <v>9450</v>
      </c>
      <c r="W128" s="9" t="n">
        <f aca="false">(((W62+W85)+W108)-W125)</f>
        <v>0</v>
      </c>
      <c r="X128" s="9" t="n">
        <f aca="false">(((X62+X85)+X108)-X125)</f>
        <v>0</v>
      </c>
      <c r="Y128" s="9" t="n">
        <f aca="false">(((Y62+Y85)+Y108)-Y125)</f>
        <v>62760</v>
      </c>
      <c r="Z128" s="9" t="n">
        <f aca="false">(((Z62+Z85)+Z108)-Z125)</f>
        <v>15333.12</v>
      </c>
      <c r="AA128" s="9" t="n">
        <f aca="false">(((AA62+AA85)+AA108)-AA125)</f>
        <v>0</v>
      </c>
      <c r="AB128" s="9" t="n">
        <f aca="false">(((AB62+AB85)+AB108)-AB125)</f>
        <v>147010</v>
      </c>
      <c r="AC128" s="9" t="n">
        <f aca="false">(((AC62+AC85)+AC108)-AC125)</f>
        <v>43443.84</v>
      </c>
      <c r="AD128" s="9" t="n">
        <f aca="false">(((AD62+AD85)+AD108)-AD125)</f>
        <v>0</v>
      </c>
      <c r="AE128" s="9" t="n">
        <f aca="false">(((AE62+AE85)+AE108)-AE125)</f>
        <v>173410</v>
      </c>
      <c r="AF128" s="9" t="n">
        <f aca="false">(((AF62+AF85)+AF108)-AF125)</f>
        <v>0</v>
      </c>
      <c r="AG128" s="9" t="n">
        <f aca="false">(((AG62+AG85)+AG108)-AG125)</f>
        <v>0</v>
      </c>
      <c r="AH128" s="9" t="n">
        <f aca="false">(((AH62+AH85)+AH108)-AH125)</f>
        <v>195637.6</v>
      </c>
      <c r="AI128" s="9" t="n">
        <f aca="false">(((AI62+AI85)+AI108)-AI125)</f>
        <v>0</v>
      </c>
      <c r="AJ128" s="9" t="n">
        <f aca="false">(((AJ62+AJ85)+AJ108)-AJ125)</f>
        <v>0</v>
      </c>
      <c r="AK128" s="9" t="n">
        <f aca="false">(((AK62+AK85)+AK108)-AK125)</f>
        <v>381885.68</v>
      </c>
      <c r="AL128" s="9" t="n">
        <f aca="false">(((AL62+AL85)+AL108)-AL125)</f>
        <v>208442.46016</v>
      </c>
      <c r="AN128" s="11" t="n">
        <f aca="false">SUM(C128:N128)</f>
        <v>15840</v>
      </c>
      <c r="AO128" s="11" t="n">
        <f aca="false">SUM(O128:Z128)</f>
        <v>132423.12</v>
      </c>
      <c r="AP128" s="11" t="n">
        <f aca="false">SUM(AA128:AL128)</f>
        <v>1149829.58016</v>
      </c>
    </row>
    <row r="129" customFormat="false" ht="15" hidden="false" customHeight="false" outlineLevel="0" collapsed="false">
      <c r="A129" s="0" t="s">
        <v>935</v>
      </c>
      <c r="B129" s="0" t="s">
        <v>230</v>
      </c>
      <c r="C129" s="9" t="n">
        <f aca="false">((C63+C86)+C109)</f>
        <v>0</v>
      </c>
      <c r="D129" s="9" t="n">
        <f aca="false">((D63+D86)+D109)</f>
        <v>0</v>
      </c>
      <c r="E129" s="9" t="n">
        <f aca="false">((E63+E86)+E109)</f>
        <v>0</v>
      </c>
      <c r="F129" s="9" t="n">
        <f aca="false">((F63+F86)+F109)</f>
        <v>0</v>
      </c>
      <c r="G129" s="9" t="n">
        <f aca="false">((G63+G86)+G109)</f>
        <v>0</v>
      </c>
      <c r="H129" s="9" t="n">
        <f aca="false">((H63+H86)+H109)</f>
        <v>0</v>
      </c>
      <c r="I129" s="9" t="n">
        <f aca="false">((I63+I86)+I109)</f>
        <v>0</v>
      </c>
      <c r="J129" s="9" t="n">
        <f aca="false">((J63+J86)+J109)</f>
        <v>0</v>
      </c>
      <c r="K129" s="9" t="n">
        <f aca="false">((K63+K86)+K109)</f>
        <v>0</v>
      </c>
      <c r="L129" s="9" t="n">
        <f aca="false">((L63+L86)+L109)</f>
        <v>0</v>
      </c>
      <c r="M129" s="9" t="n">
        <f aca="false">((M63+M86)+M109)</f>
        <v>0</v>
      </c>
      <c r="N129" s="9" t="n">
        <f aca="false">((N63+N86)+N109)</f>
        <v>0</v>
      </c>
      <c r="O129" s="9" t="n">
        <f aca="false">((O63+O86)+O109)</f>
        <v>2500</v>
      </c>
      <c r="P129" s="9" t="n">
        <f aca="false">((P63+P86)+P109)</f>
        <v>2500</v>
      </c>
      <c r="Q129" s="9" t="n">
        <f aca="false">((Q63+Q86)+Q109)</f>
        <v>2500</v>
      </c>
      <c r="R129" s="9" t="n">
        <f aca="false">((R63+R86)+R109)</f>
        <v>10000</v>
      </c>
      <c r="S129" s="9" t="n">
        <f aca="false">((S63+S86)+S109)</f>
        <v>10000</v>
      </c>
      <c r="T129" s="9" t="n">
        <f aca="false">((T63+T86)+T109)</f>
        <v>10000</v>
      </c>
      <c r="U129" s="9" t="n">
        <f aca="false">((U63+U86)+U109)</f>
        <v>17500</v>
      </c>
      <c r="V129" s="9" t="n">
        <f aca="false">((V63+V86)+V109)</f>
        <v>17500</v>
      </c>
      <c r="W129" s="9" t="n">
        <f aca="false">((W63+W86)+W109)</f>
        <v>17500</v>
      </c>
      <c r="X129" s="9" t="n">
        <f aca="false">((X63+X86)+X109)</f>
        <v>20000</v>
      </c>
      <c r="Y129" s="9" t="n">
        <f aca="false">((Y63+Y86)+Y109)</f>
        <v>20000</v>
      </c>
      <c r="Z129" s="9" t="n">
        <f aca="false">((Z63+Z86)+Z109)</f>
        <v>20000</v>
      </c>
      <c r="AA129" s="9" t="n">
        <f aca="false">((AA63+AA86)+AA109)</f>
        <v>22500</v>
      </c>
      <c r="AB129" s="9" t="n">
        <f aca="false">((AB63+AB86)+AB109)</f>
        <v>22500</v>
      </c>
      <c r="AC129" s="9" t="n">
        <f aca="false">((AC63+AC86)+AC109)</f>
        <v>22500</v>
      </c>
      <c r="AD129" s="9" t="n">
        <f aca="false">((AD63+AD86)+AD109)</f>
        <v>30000</v>
      </c>
      <c r="AE129" s="9" t="n">
        <f aca="false">((AE63+AE86)+AE109)</f>
        <v>30000</v>
      </c>
      <c r="AF129" s="9" t="n">
        <f aca="false">((AF63+AF86)+AF109)</f>
        <v>40000</v>
      </c>
      <c r="AG129" s="9" t="n">
        <f aca="false">((AG63+AG86)+AG109)</f>
        <v>45000</v>
      </c>
      <c r="AH129" s="9" t="n">
        <f aca="false">((AH63+AH86)+AH109)</f>
        <v>45000</v>
      </c>
      <c r="AI129" s="9" t="n">
        <f aca="false">((AI63+AI86)+AI109)</f>
        <v>45000</v>
      </c>
      <c r="AJ129" s="9" t="n">
        <f aca="false">((AJ63+AJ86)+AJ109)</f>
        <v>47500</v>
      </c>
      <c r="AK129" s="9" t="n">
        <f aca="false">((AK63+AK86)+AK109)</f>
        <v>47500</v>
      </c>
      <c r="AL129" s="9" t="n">
        <f aca="false">((AL63+AL86)+AL109)</f>
        <v>47500</v>
      </c>
      <c r="AN129" s="11" t="n">
        <f aca="false">SUM(C129:N129)</f>
        <v>0</v>
      </c>
      <c r="AO129" s="11" t="n">
        <f aca="false">SUM(O129:Z129)</f>
        <v>150000</v>
      </c>
      <c r="AP129" s="11" t="n">
        <f aca="false">SUM(AA129:AL129)</f>
        <v>445000</v>
      </c>
    </row>
    <row r="130" customFormat="false" ht="15" hidden="false" customHeight="false" outlineLevel="0" collapsed="false">
      <c r="A130" s="0" t="s">
        <v>936</v>
      </c>
      <c r="B130" s="0" t="s">
        <v>230</v>
      </c>
      <c r="C130" s="9" t="n">
        <f aca="false">((C64+C87)+C110)</f>
        <v>0</v>
      </c>
      <c r="D130" s="9" t="n">
        <f aca="false">((D64+D87)+D110)</f>
        <v>0</v>
      </c>
      <c r="E130" s="9" t="n">
        <f aca="false">((E64+E87)+E110)</f>
        <v>0</v>
      </c>
      <c r="F130" s="9" t="n">
        <f aca="false">((F64+F87)+F110)</f>
        <v>0</v>
      </c>
      <c r="G130" s="9" t="n">
        <f aca="false">((G64+G87)+G110)</f>
        <v>0</v>
      </c>
      <c r="H130" s="9" t="n">
        <f aca="false">((H64+H87)+H110)</f>
        <v>0</v>
      </c>
      <c r="I130" s="9" t="n">
        <f aca="false">((I64+I87)+I110)</f>
        <v>0</v>
      </c>
      <c r="J130" s="9" t="n">
        <f aca="false">((J64+J87)+J110)</f>
        <v>0</v>
      </c>
      <c r="K130" s="9" t="n">
        <f aca="false">((K64+K87)+K110)</f>
        <v>0</v>
      </c>
      <c r="L130" s="9" t="n">
        <f aca="false">((L64+L87)+L110)</f>
        <v>0</v>
      </c>
      <c r="M130" s="9" t="n">
        <f aca="false">((M64+M87)+M110)</f>
        <v>0</v>
      </c>
      <c r="N130" s="9" t="n">
        <f aca="false">((N64+N87)+N110)</f>
        <v>0</v>
      </c>
      <c r="O130" s="9" t="n">
        <f aca="false">((O64+O87)+O110)</f>
        <v>15000</v>
      </c>
      <c r="P130" s="9" t="n">
        <f aca="false">((P64+P87)+P110)</f>
        <v>0</v>
      </c>
      <c r="Q130" s="9" t="n">
        <f aca="false">((Q64+Q87)+Q110)</f>
        <v>0</v>
      </c>
      <c r="R130" s="9" t="n">
        <f aca="false">((R64+R87)+R110)</f>
        <v>45000</v>
      </c>
      <c r="S130" s="9" t="n">
        <f aca="false">((S64+S87)+S110)</f>
        <v>0</v>
      </c>
      <c r="T130" s="9" t="n">
        <f aca="false">((T64+T87)+T110)</f>
        <v>0</v>
      </c>
      <c r="U130" s="9" t="n">
        <f aca="false">((U64+U87)+U110)</f>
        <v>60000</v>
      </c>
      <c r="V130" s="9" t="n">
        <f aca="false">((V64+V87)+V110)</f>
        <v>0</v>
      </c>
      <c r="W130" s="9" t="n">
        <f aca="false">((W64+W87)+W110)</f>
        <v>0</v>
      </c>
      <c r="X130" s="9" t="n">
        <f aca="false">((X64+X87)+X110)</f>
        <v>60000</v>
      </c>
      <c r="Y130" s="9" t="n">
        <f aca="false">((Y64+Y87)+Y110)</f>
        <v>0</v>
      </c>
      <c r="Z130" s="9" t="n">
        <f aca="false">((Z64+Z87)+Z110)</f>
        <v>0</v>
      </c>
      <c r="AA130" s="9" t="n">
        <f aca="false">((AA64+AA87)+AA110)</f>
        <v>75000</v>
      </c>
      <c r="AB130" s="9" t="n">
        <f aca="false">((AB64+AB87)+AB110)</f>
        <v>0</v>
      </c>
      <c r="AC130" s="9" t="n">
        <f aca="false">((AC64+AC87)+AC110)</f>
        <v>0</v>
      </c>
      <c r="AD130" s="9" t="n">
        <f aca="false">((AD64+AD87)+AD110)</f>
        <v>105000</v>
      </c>
      <c r="AE130" s="9" t="n">
        <f aca="false">((AE64+AE87)+AE110)</f>
        <v>0</v>
      </c>
      <c r="AF130" s="9" t="n">
        <f aca="false">((AF64+AF87)+AF110)</f>
        <v>60000</v>
      </c>
      <c r="AG130" s="9" t="n">
        <f aca="false">((AG64+AG87)+AG110)</f>
        <v>105000</v>
      </c>
      <c r="AH130" s="9" t="n">
        <f aca="false">((AH64+AH87)+AH110)</f>
        <v>0</v>
      </c>
      <c r="AI130" s="9" t="n">
        <f aca="false">((AI64+AI87)+AI110)</f>
        <v>0</v>
      </c>
      <c r="AJ130" s="9" t="n">
        <f aca="false">((AJ64+AJ87)+AJ110)</f>
        <v>120000</v>
      </c>
      <c r="AK130" s="9" t="n">
        <f aca="false">((AK64+AK87)+AK110)</f>
        <v>0</v>
      </c>
      <c r="AL130" s="9" t="n">
        <f aca="false">((AL64+AL87)+AL110)</f>
        <v>60000</v>
      </c>
      <c r="AN130" s="11" t="n">
        <f aca="false">SUM(C130:N130)</f>
        <v>0</v>
      </c>
      <c r="AO130" s="11" t="n">
        <f aca="false">SUM(O130:Z130)</f>
        <v>180000</v>
      </c>
      <c r="AP130" s="11" t="n">
        <f aca="false">SUM(AA130:AL130)</f>
        <v>525000</v>
      </c>
    </row>
    <row r="131" customFormat="false" ht="15" hidden="false" customHeight="false" outlineLevel="0" collapsed="false">
      <c r="A131" s="0" t="s">
        <v>937</v>
      </c>
      <c r="B131" s="0" t="s">
        <v>230</v>
      </c>
      <c r="C131" s="9" t="n">
        <f aca="false">((C66+C89)+C112)</f>
        <v>0</v>
      </c>
      <c r="D131" s="9" t="n">
        <f aca="false">((D66+D89)+D112)</f>
        <v>0</v>
      </c>
      <c r="E131" s="9" t="n">
        <f aca="false">((E66+E89)+E112)</f>
        <v>0</v>
      </c>
      <c r="F131" s="9" t="n">
        <f aca="false">((F66+F89)+F112)</f>
        <v>0</v>
      </c>
      <c r="G131" s="9" t="n">
        <f aca="false">((G66+G89)+G112)</f>
        <v>0</v>
      </c>
      <c r="H131" s="9" t="n">
        <f aca="false">((H66+H89)+H112)</f>
        <v>0</v>
      </c>
      <c r="I131" s="9" t="n">
        <f aca="false">((I66+I89)+I112)</f>
        <v>0</v>
      </c>
      <c r="J131" s="9" t="n">
        <f aca="false">((J66+J89)+J112)</f>
        <v>0</v>
      </c>
      <c r="K131" s="9" t="n">
        <f aca="false">((K66+K89)+K112)</f>
        <v>0</v>
      </c>
      <c r="L131" s="9" t="n">
        <f aca="false">((L66+L89)+L112)</f>
        <v>0</v>
      </c>
      <c r="M131" s="9" t="n">
        <f aca="false">((M66+M89)+M112)</f>
        <v>0</v>
      </c>
      <c r="N131" s="9" t="n">
        <f aca="false">((N66+N89)+N112)</f>
        <v>0</v>
      </c>
      <c r="O131" s="9" t="n">
        <f aca="false">((O66+O89)+O112)</f>
        <v>7000</v>
      </c>
      <c r="P131" s="9" t="n">
        <f aca="false">((P66+P89)+P112)</f>
        <v>7000</v>
      </c>
      <c r="Q131" s="9" t="n">
        <f aca="false">((Q66+Q89)+Q112)</f>
        <v>7000</v>
      </c>
      <c r="R131" s="9" t="n">
        <f aca="false">((R66+R89)+R112)</f>
        <v>22333.3333333333</v>
      </c>
      <c r="S131" s="9" t="n">
        <f aca="false">((S66+S89)+S112)</f>
        <v>22333.3333333333</v>
      </c>
      <c r="T131" s="9" t="n">
        <f aca="false">((T66+T89)+T112)</f>
        <v>22333.3333333333</v>
      </c>
      <c r="U131" s="9" t="n">
        <f aca="false">((U66+U89)+U112)</f>
        <v>29333.3333333333</v>
      </c>
      <c r="V131" s="9" t="n">
        <f aca="false">((V66+V89)+V112)</f>
        <v>29333.3333333333</v>
      </c>
      <c r="W131" s="9" t="n">
        <f aca="false">((W66+W89)+W112)</f>
        <v>29333.3333333333</v>
      </c>
      <c r="X131" s="9" t="n">
        <f aca="false">((X66+X89)+X112)</f>
        <v>29333.3333333333</v>
      </c>
      <c r="Y131" s="9" t="n">
        <f aca="false">((Y66+Y89)+Y112)</f>
        <v>36333.3333333333</v>
      </c>
      <c r="Z131" s="9" t="n">
        <f aca="false">((Z66+Z89)+Z112)</f>
        <v>36333.3333333333</v>
      </c>
      <c r="AA131" s="9" t="n">
        <f aca="false">((AA66+AA89)+AA112)</f>
        <v>43333.3333333333</v>
      </c>
      <c r="AB131" s="9" t="n">
        <f aca="false">((AB66+AB89)+AB112)</f>
        <v>58666.6666666667</v>
      </c>
      <c r="AC131" s="9" t="n">
        <f aca="false">((AC66+AC89)+AC112)</f>
        <v>58666.6666666667</v>
      </c>
      <c r="AD131" s="9" t="n">
        <f aca="false">((AD66+AD89)+AD112)</f>
        <v>74000</v>
      </c>
      <c r="AE131" s="9" t="n">
        <f aca="false">((AE66+AE89)+AE112)</f>
        <v>81000</v>
      </c>
      <c r="AF131" s="9" t="n">
        <f aca="false">((AF66+AF89)+AF112)</f>
        <v>116333.333333333</v>
      </c>
      <c r="AG131" s="9" t="n">
        <f aca="false">((AG66+AG89)+AG112)</f>
        <v>116333.333333333</v>
      </c>
      <c r="AH131" s="9" t="n">
        <f aca="false">((AH66+AH89)+AH112)</f>
        <v>116333.333333333</v>
      </c>
      <c r="AI131" s="9" t="n">
        <f aca="false">((AI66+AI89)+AI112)</f>
        <v>81000</v>
      </c>
      <c r="AJ131" s="9" t="n">
        <f aca="false">((AJ66+AJ89)+AJ112)</f>
        <v>88000</v>
      </c>
      <c r="AK131" s="9" t="n">
        <f aca="false">((AK66+AK89)+AK112)</f>
        <v>110333.333333333</v>
      </c>
      <c r="AL131" s="9" t="n">
        <f aca="false">((AL66+AL89)+AL112)</f>
        <v>181000</v>
      </c>
      <c r="AN131" s="11" t="n">
        <f aca="false">SUM(C131:N131)</f>
        <v>0</v>
      </c>
      <c r="AO131" s="11" t="n">
        <f aca="false">SUM(O131:Z131)</f>
        <v>278000</v>
      </c>
      <c r="AP131" s="11" t="n">
        <f aca="false">SUM(AA131:AL131)</f>
        <v>1125000</v>
      </c>
    </row>
    <row r="132" customFormat="false" ht="15" hidden="false" customHeight="false" outlineLevel="0" collapsed="false">
      <c r="A132" s="0" t="s">
        <v>938</v>
      </c>
      <c r="B132" s="0" t="s">
        <v>230</v>
      </c>
      <c r="C132" s="9" t="n">
        <f aca="false">((C67+C90)+C113)</f>
        <v>0</v>
      </c>
      <c r="D132" s="9" t="n">
        <f aca="false">((D67+D90)+D113)</f>
        <v>0</v>
      </c>
      <c r="E132" s="9" t="n">
        <f aca="false">((E67+E90)+E113)</f>
        <v>0</v>
      </c>
      <c r="F132" s="9" t="n">
        <f aca="false">((F67+F90)+F113)</f>
        <v>0</v>
      </c>
      <c r="G132" s="9" t="n">
        <f aca="false">((G67+G90)+G113)</f>
        <v>0</v>
      </c>
      <c r="H132" s="9" t="n">
        <f aca="false">((H67+H90)+H113)</f>
        <v>0</v>
      </c>
      <c r="I132" s="9" t="n">
        <f aca="false">((I67+I90)+I113)</f>
        <v>0</v>
      </c>
      <c r="J132" s="9" t="n">
        <f aca="false">((J67+J90)+J113)</f>
        <v>0</v>
      </c>
      <c r="K132" s="9" t="n">
        <f aca="false">((K67+K90)+K113)</f>
        <v>0</v>
      </c>
      <c r="L132" s="9" t="n">
        <f aca="false">((L67+L90)+L113)</f>
        <v>0</v>
      </c>
      <c r="M132" s="9" t="n">
        <f aca="false">((M67+M90)+M113)</f>
        <v>0</v>
      </c>
      <c r="N132" s="9" t="n">
        <f aca="false">((N67+N90)+N113)</f>
        <v>0</v>
      </c>
      <c r="O132" s="9" t="n">
        <f aca="false">((O67+O90)+O113)</f>
        <v>21000</v>
      </c>
      <c r="P132" s="9" t="n">
        <f aca="false">((P67+P90)+P113)</f>
        <v>0</v>
      </c>
      <c r="Q132" s="9" t="n">
        <f aca="false">((Q67+Q90)+Q113)</f>
        <v>0</v>
      </c>
      <c r="R132" s="9" t="n">
        <f aca="false">((R67+R90)+R113)</f>
        <v>67000</v>
      </c>
      <c r="S132" s="9" t="n">
        <f aca="false">((S67+S90)+S113)</f>
        <v>0</v>
      </c>
      <c r="T132" s="9" t="n">
        <f aca="false">((T67+T90)+T113)</f>
        <v>0</v>
      </c>
      <c r="U132" s="9" t="n">
        <f aca="false">((U67+U90)+U113)</f>
        <v>88000</v>
      </c>
      <c r="V132" s="9" t="n">
        <f aca="false">((V67+V90)+V113)</f>
        <v>0</v>
      </c>
      <c r="W132" s="9" t="n">
        <f aca="false">((W67+W90)+W113)</f>
        <v>0</v>
      </c>
      <c r="X132" s="9" t="n">
        <f aca="false">((X67+X90)+X113)</f>
        <v>88000</v>
      </c>
      <c r="Y132" s="9" t="n">
        <f aca="false">((Y67+Y90)+Y113)</f>
        <v>21000</v>
      </c>
      <c r="Z132" s="9" t="n">
        <f aca="false">((Z67+Z90)+Z113)</f>
        <v>0</v>
      </c>
      <c r="AA132" s="9" t="n">
        <f aca="false">((AA67+AA90)+AA113)</f>
        <v>109000</v>
      </c>
      <c r="AB132" s="9" t="n">
        <f aca="false">((AB67+AB90)+AB113)</f>
        <v>67000</v>
      </c>
      <c r="AC132" s="9" t="n">
        <f aca="false">((AC67+AC90)+AC113)</f>
        <v>0</v>
      </c>
      <c r="AD132" s="9" t="n">
        <f aca="false">((AD67+AD90)+AD113)</f>
        <v>155000</v>
      </c>
      <c r="AE132" s="9" t="n">
        <f aca="false">((AE67+AE90)+AE113)</f>
        <v>88000</v>
      </c>
      <c r="AF132" s="9" t="n">
        <f aca="false">((AF67+AF90)+AF113)</f>
        <v>106000</v>
      </c>
      <c r="AG132" s="9" t="n">
        <f aca="false">((AG67+AG90)+AG113)</f>
        <v>155000</v>
      </c>
      <c r="AH132" s="9" t="n">
        <f aca="false">((AH67+AH90)+AH113)</f>
        <v>88000</v>
      </c>
      <c r="AI132" s="9" t="n">
        <f aca="false">((AI67+AI90)+AI113)</f>
        <v>0</v>
      </c>
      <c r="AJ132" s="9" t="n">
        <f aca="false">((AJ67+AJ90)+AJ113)</f>
        <v>176000</v>
      </c>
      <c r="AK132" s="9" t="n">
        <f aca="false">((AK67+AK90)+AK113)</f>
        <v>155000</v>
      </c>
      <c r="AL132" s="9" t="n">
        <f aca="false">((AL67+AL90)+AL113)</f>
        <v>212000</v>
      </c>
      <c r="AN132" s="11" t="n">
        <f aca="false">SUM(C132:N132)</f>
        <v>0</v>
      </c>
      <c r="AO132" s="11" t="n">
        <f aca="false">SUM(O132:Z132)</f>
        <v>285000</v>
      </c>
      <c r="AP132" s="11" t="n">
        <f aca="false">SUM(AA132:AL132)</f>
        <v>1311000</v>
      </c>
    </row>
    <row r="133" customFormat="false" ht="15" hidden="false" customHeight="false" outlineLevel="0" collapsed="false">
      <c r="A133" s="0" t="s">
        <v>939</v>
      </c>
      <c r="B133" s="0" t="s">
        <v>285</v>
      </c>
      <c r="C133" s="9" t="n">
        <f aca="false">((C68+C91)+C114)</f>
        <v>0</v>
      </c>
      <c r="D133" s="9" t="n">
        <f aca="false">((D68+D91)+D114)</f>
        <v>0</v>
      </c>
      <c r="E133" s="9" t="n">
        <f aca="false">((E68+E91)+E114)</f>
        <v>0</v>
      </c>
      <c r="F133" s="9" t="n">
        <f aca="false">((F68+F91)+F114)</f>
        <v>0</v>
      </c>
      <c r="G133" s="9" t="n">
        <f aca="false">((G68+G91)+G114)</f>
        <v>115</v>
      </c>
      <c r="H133" s="9" t="n">
        <f aca="false">((H68+H91)+H114)</f>
        <v>0</v>
      </c>
      <c r="I133" s="9" t="n">
        <f aca="false">((I68+I91)+I114)</f>
        <v>0</v>
      </c>
      <c r="J133" s="9" t="n">
        <f aca="false">((J68+J91)+J114)</f>
        <v>330</v>
      </c>
      <c r="K133" s="9" t="n">
        <f aca="false">((K68+K91)+K114)</f>
        <v>0</v>
      </c>
      <c r="L133" s="9" t="n">
        <f aca="false">((L68+L91)+L114)</f>
        <v>0</v>
      </c>
      <c r="M133" s="9" t="n">
        <f aca="false">((M68+M91)+M114)</f>
        <v>0</v>
      </c>
      <c r="N133" s="9" t="n">
        <f aca="false">((N68+N91)+N114)</f>
        <v>0</v>
      </c>
      <c r="O133" s="9" t="n">
        <f aca="false">((O68+O91)+O114)</f>
        <v>159</v>
      </c>
      <c r="P133" s="9" t="n">
        <f aca="false">((P68+P91)+P114)</f>
        <v>0</v>
      </c>
      <c r="Q133" s="9" t="n">
        <f aca="false">((Q68+Q91)+Q114)</f>
        <v>0</v>
      </c>
      <c r="R133" s="9" t="n">
        <f aca="false">((R68+R91)+R114)</f>
        <v>533</v>
      </c>
      <c r="S133" s="9" t="n">
        <f aca="false">((S68+S91)+S114)</f>
        <v>0</v>
      </c>
      <c r="T133" s="9" t="n">
        <f aca="false">((T68+T91)+T114)</f>
        <v>0</v>
      </c>
      <c r="U133" s="9" t="n">
        <f aca="false">((U68+U91)+U114)</f>
        <v>692</v>
      </c>
      <c r="V133" s="9" t="n">
        <f aca="false">((V68+V91)+V114)</f>
        <v>0</v>
      </c>
      <c r="W133" s="9" t="n">
        <f aca="false">((W68+W91)+W114)</f>
        <v>0</v>
      </c>
      <c r="X133" s="9" t="n">
        <f aca="false">((X68+X91)+X114)</f>
        <v>692</v>
      </c>
      <c r="Y133" s="9" t="n">
        <f aca="false">((Y68+Y91)+Y114)</f>
        <v>159</v>
      </c>
      <c r="Z133" s="9" t="n">
        <f aca="false">((Z68+Z91)+Z114)</f>
        <v>0</v>
      </c>
      <c r="AA133" s="9" t="n">
        <f aca="false">((AA68+AA91)+AA114)</f>
        <v>851</v>
      </c>
      <c r="AB133" s="9" t="n">
        <f aca="false">((AB68+AB91)+AB114)</f>
        <v>533</v>
      </c>
      <c r="AC133" s="9" t="n">
        <f aca="false">((AC68+AC91)+AC114)</f>
        <v>0</v>
      </c>
      <c r="AD133" s="9" t="n">
        <f aca="false">((AD68+AD91)+AD114)</f>
        <v>1225</v>
      </c>
      <c r="AE133" s="9" t="n">
        <f aca="false">((AE68+AE91)+AE114)</f>
        <v>692</v>
      </c>
      <c r="AF133" s="9" t="n">
        <f aca="false">((AF68+AF91)+AF114)</f>
        <v>844</v>
      </c>
      <c r="AG133" s="9" t="n">
        <f aca="false">((AG68+AG91)+AG114)</f>
        <v>1225</v>
      </c>
      <c r="AH133" s="9" t="n">
        <f aca="false">((AH68+AH91)+AH114)</f>
        <v>692</v>
      </c>
      <c r="AI133" s="9" t="n">
        <f aca="false">((AI68+AI91)+AI114)</f>
        <v>0</v>
      </c>
      <c r="AJ133" s="9" t="n">
        <f aca="false">((AJ68+AJ91)+AJ114)</f>
        <v>1384</v>
      </c>
      <c r="AK133" s="9" t="n">
        <f aca="false">((AK68+AK91)+AK114)</f>
        <v>1225</v>
      </c>
      <c r="AL133" s="9" t="n">
        <f aca="false">((AL68+AL91)+AL114)</f>
        <v>1688</v>
      </c>
      <c r="AN133" s="11" t="n">
        <f aca="false">SUM(C133:N133)</f>
        <v>445</v>
      </c>
      <c r="AO133" s="11" t="n">
        <f aca="false">SUM(O133:Z133)</f>
        <v>2235</v>
      </c>
      <c r="AP133" s="11" t="n">
        <f aca="false">SUM(AA133:AL133)</f>
        <v>10359</v>
      </c>
    </row>
    <row r="134" customFormat="false" ht="15" hidden="false" customHeight="false" outlineLevel="0" collapsed="false">
      <c r="A134" s="0" t="s">
        <v>940</v>
      </c>
      <c r="B134" s="0" t="s">
        <v>230</v>
      </c>
      <c r="C134" s="9" t="n">
        <f aca="false">((((C130+C132)+(C55*C58))+(C78*C81))+(C101*C104))</f>
        <v>0</v>
      </c>
      <c r="D134" s="9" t="n">
        <f aca="false">((((D130+D132)+(D55*D58))+(D78*D81))+(D101*D104))</f>
        <v>0</v>
      </c>
      <c r="E134" s="9" t="n">
        <f aca="false">((((E130+E132)+(E55*E58))+(E78*E81))+(E101*E104))</f>
        <v>0</v>
      </c>
      <c r="F134" s="9" t="n">
        <f aca="false">((((F130+F132)+(F55*F58))+(F78*F81))+(F101*F104))</f>
        <v>0</v>
      </c>
      <c r="G134" s="9" t="n">
        <f aca="false">((((G130+G132)+(G55*G58))+(G78*G81))+(G101*G104))</f>
        <v>0</v>
      </c>
      <c r="H134" s="9" t="n">
        <f aca="false">((((H130+H132)+(H55*H58))+(H78*H81))+(H101*H104))</f>
        <v>0</v>
      </c>
      <c r="I134" s="9" t="n">
        <f aca="false">((((I130+I132)+(I55*I58))+(I78*I81))+(I101*I104))</f>
        <v>0</v>
      </c>
      <c r="J134" s="9" t="n">
        <f aca="false">((((J130+J132)+(J55*J58))+(J78*J81))+(J101*J104))</f>
        <v>0</v>
      </c>
      <c r="K134" s="9" t="n">
        <f aca="false">((((K130+K132)+(K55*K58))+(K78*K81))+(K101*K104))</f>
        <v>0</v>
      </c>
      <c r="L134" s="9" t="n">
        <f aca="false">((((L130+L132)+(L55*L58))+(L78*L81))+(L101*L104))</f>
        <v>0</v>
      </c>
      <c r="M134" s="9" t="n">
        <f aca="false">((((M130+M132)+(M55*M58))+(M78*M81))+(M101*M104))</f>
        <v>0</v>
      </c>
      <c r="N134" s="9" t="n">
        <f aca="false">((((N130+N132)+(N55*N58))+(N78*N81))+(N101*N104))</f>
        <v>15840</v>
      </c>
      <c r="O134" s="9" t="n">
        <f aca="false">((((O130+O132)+(O55*O58))+(O78*O81))+(O101*O104))</f>
        <v>36000</v>
      </c>
      <c r="P134" s="9" t="n">
        <f aca="false">((((P130+P132)+(P55*P58))+(P78*P81))+(P101*P104))</f>
        <v>0</v>
      </c>
      <c r="Q134" s="9" t="n">
        <f aca="false">((((Q130+Q132)+(Q55*Q58))+(Q78*Q81))+(Q101*Q104))</f>
        <v>44880</v>
      </c>
      <c r="R134" s="9" t="n">
        <f aca="false">((((R130+R132)+(R55*R58))+(R78*R81))+(R101*R104))</f>
        <v>112000</v>
      </c>
      <c r="S134" s="9" t="n">
        <f aca="false">((((S130+S132)+(S55*S58))+(S78*S81))+(S101*S104))</f>
        <v>0</v>
      </c>
      <c r="T134" s="9" t="n">
        <f aca="false">((((T130+T132)+(T55*T58))+(T78*T81))+(T101*T104))</f>
        <v>0</v>
      </c>
      <c r="U134" s="9" t="n">
        <f aca="false">((((U130+U132)+(U55*U58))+(U78*U81))+(U101*U104))</f>
        <v>148000</v>
      </c>
      <c r="V134" s="9" t="n">
        <f aca="false">((((V130+V132)+(V55*V58))+(V78*V81))+(V101*V104))</f>
        <v>13200</v>
      </c>
      <c r="W134" s="9" t="n">
        <f aca="false">((((W130+W132)+(W55*W58))+(W78*W81))+(W101*W104))</f>
        <v>0</v>
      </c>
      <c r="X134" s="9" t="n">
        <f aca="false">((((X130+X132)+(X55*X58))+(X78*X81))+(X101*X104))</f>
        <v>148000</v>
      </c>
      <c r="Y134" s="9" t="n">
        <f aca="false">((((Y130+Y132)+(Y55*Y58))+(Y78*Y81))+(Y101*Y104))</f>
        <v>94260</v>
      </c>
      <c r="Z134" s="9" t="n">
        <f aca="false">((((Z130+Z132)+(Z55*Z58))+(Z78*Z81))+(Z101*Z104))</f>
        <v>0</v>
      </c>
      <c r="AA134" s="9" t="n">
        <f aca="false">((((AA130+AA132)+(AA55*AA58))+(AA78*AA81))+(AA101*AA104))</f>
        <v>184000</v>
      </c>
      <c r="AB134" s="9" t="n">
        <f aca="false">((((AB130+AB132)+(AB55*AB58))+(AB78*AB81))+(AB101*AB104))</f>
        <v>228260</v>
      </c>
      <c r="AC134" s="9" t="n">
        <f aca="false">((((AC130+AC132)+(AC55*AC58))+(AC78*AC81))+(AC101*AC104))</f>
        <v>0</v>
      </c>
      <c r="AD134" s="9" t="n">
        <f aca="false">((((AD130+AD132)+(AD55*AD58))+(AD78*AD81))+(AD101*AD104))</f>
        <v>260000</v>
      </c>
      <c r="AE134" s="9" t="n">
        <f aca="false">((((AE130+AE132)+(AE55*AE58))+(AE78*AE81))+(AE101*AE104))</f>
        <v>275660</v>
      </c>
      <c r="AF134" s="9" t="n">
        <f aca="false">((((AF130+AF132)+(AF55*AF58))+(AF78*AF81))+(AF101*AF104))</f>
        <v>166000</v>
      </c>
      <c r="AG134" s="9" t="n">
        <f aca="false">((((AG130+AG132)+(AG55*AG58))+(AG78*AG81))+(AG101*AG104))</f>
        <v>260000</v>
      </c>
      <c r="AH134" s="9" t="n">
        <f aca="false">((((AH130+AH132)+(AH55*AH58))+(AH78*AH81))+(AH101*AH104))</f>
        <v>288860</v>
      </c>
      <c r="AI134" s="9" t="n">
        <f aca="false">((((AI130+AI132)+(AI55*AI58))+(AI78*AI81))+(AI101*AI104))</f>
        <v>0</v>
      </c>
      <c r="AJ134" s="9" t="n">
        <f aca="false">((((AJ130+AJ132)+(AJ55*AJ58))+(AJ78*AJ81))+(AJ101*AJ104))</f>
        <v>296000</v>
      </c>
      <c r="AK134" s="9" t="n">
        <f aca="false">((((AK130+AK132)+(AK55*AK58))+(AK78*AK81))+(AK101*AK104))</f>
        <v>490720</v>
      </c>
      <c r="AL134" s="9" t="n">
        <f aca="false">((((AL130+AL132)+(AL55*AL58))+(AL78*AL81))+(AL101*AL104))</f>
        <v>465600</v>
      </c>
      <c r="AN134" s="11" t="n">
        <f aca="false">SUM(C134:N134)</f>
        <v>15840</v>
      </c>
      <c r="AO134" s="11" t="n">
        <f aca="false">SUM(O134:Z134)</f>
        <v>596340</v>
      </c>
      <c r="AP134" s="11" t="n">
        <f aca="false">SUM(AA134:AL134)</f>
        <v>2915100</v>
      </c>
    </row>
    <row r="135" customFormat="false" ht="15" hidden="false" customHeight="false" outlineLevel="0" collapsed="false">
      <c r="A135" s="21" t="s">
        <v>941</v>
      </c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</row>
    <row r="136" customFormat="false" ht="15" hidden="false" customHeight="false" outlineLevel="0" collapsed="false">
      <c r="A136" s="0" t="s">
        <v>942</v>
      </c>
      <c r="B136" s="0" t="s">
        <v>230</v>
      </c>
      <c r="C136" s="9" t="n">
        <f aca="false">IF((C$18&gt;=Assumptions!$C$41),(((Assumptions!$C$42*$C$10)/12)*(((C57*Assumptions!$C$128)+(C80*Assumptions!$D$128))+(C103*Assumptions!$E$128))),0)</f>
        <v>0</v>
      </c>
      <c r="D136" s="9" t="n">
        <f aca="false">IF((D$18&gt;=Assumptions!$C$41),(((Assumptions!$C$42*$C$10)/12)*(((D57*Assumptions!$C$128)+(D80*Assumptions!$D$128))+(D103*Assumptions!$E$128))),0)</f>
        <v>0</v>
      </c>
      <c r="E136" s="9" t="n">
        <f aca="false">IF((E$18&gt;=Assumptions!$C$41),(((Assumptions!$C$42*$C$10)/12)*(((E57*Assumptions!$C$128)+(E80*Assumptions!$D$128))+(E103*Assumptions!$E$128))),0)</f>
        <v>0</v>
      </c>
      <c r="F136" s="9" t="n">
        <f aca="false">IF((F$18&gt;=Assumptions!$C$41),(((Assumptions!$C$42*$C$10)/12)*(((F57*Assumptions!$C$128)+(F80*Assumptions!$D$128))+(F103*Assumptions!$E$128))),0)</f>
        <v>0</v>
      </c>
      <c r="G136" s="9" t="n">
        <f aca="false">IF((G$18&gt;=Assumptions!$C$41),(((Assumptions!$C$42*$C$10)/12)*(((G57*Assumptions!$C$128)+(G80*Assumptions!$D$128))+(G103*Assumptions!$E$128))),0)</f>
        <v>0</v>
      </c>
      <c r="H136" s="9" t="n">
        <f aca="false">IF((H$18&gt;=Assumptions!$C$41),(((Assumptions!$C$42*$C$10)/12)*(((H57*Assumptions!$C$128)+(H80*Assumptions!$D$128))+(H103*Assumptions!$E$128))),0)</f>
        <v>0</v>
      </c>
      <c r="I136" s="9" t="n">
        <f aca="false">IF((I$18&gt;=Assumptions!$C$41),(((Assumptions!$C$42*$C$10)/12)*(((I57*Assumptions!$C$128)+(I80*Assumptions!$D$128))+(I103*Assumptions!$E$128))),0)</f>
        <v>0</v>
      </c>
      <c r="J136" s="9" t="n">
        <f aca="false">IF((J$18&gt;=Assumptions!$C$41),(((Assumptions!$C$42*$C$10)/12)*(((J57*Assumptions!$C$128)+(J80*Assumptions!$D$128))+(J103*Assumptions!$E$128))),0)</f>
        <v>0</v>
      </c>
      <c r="K136" s="9" t="n">
        <f aca="false">IF((K$18&gt;=Assumptions!$C$41),(((Assumptions!$C$42*$C$10)/12)*(((K57*Assumptions!$C$128)+(K80*Assumptions!$D$128))+(K103*Assumptions!$E$128))),0)</f>
        <v>0</v>
      </c>
      <c r="L136" s="9" t="n">
        <f aca="false">IF((L$18&gt;=Assumptions!$C$41),(((Assumptions!$C$42*$C$10)/12)*(((L57*Assumptions!$C$128)+(L80*Assumptions!$D$128))+(L103*Assumptions!$E$128))),0)</f>
        <v>0</v>
      </c>
      <c r="M136" s="9" t="n">
        <f aca="false">IF((M$18&gt;=Assumptions!$C$41),(((Assumptions!$C$42*$C$10)/12)*(((M57*Assumptions!$C$128)+(M80*Assumptions!$D$128))+(M103*Assumptions!$E$128))),0)</f>
        <v>0</v>
      </c>
      <c r="N136" s="9" t="n">
        <f aca="false">IF((N$18&gt;=Assumptions!$C$41),(((Assumptions!$C$42*$C$10)/12)*(((N57*Assumptions!$C$128)+(N80*Assumptions!$D$128))+(N103*Assumptions!$E$128))),0)</f>
        <v>0</v>
      </c>
      <c r="O136" s="9" t="n">
        <f aca="false">IF((O$18&gt;=Assumptions!$C$41),(((Assumptions!$C$42*$C$10)/12)*(((O57*Assumptions!$C$128)+(O80*Assumptions!$D$128))+(O103*Assumptions!$E$128))),0)</f>
        <v>0</v>
      </c>
      <c r="P136" s="9" t="n">
        <f aca="false">IF((P$18&gt;=Assumptions!$C$41),(((Assumptions!$C$42*$C$10)/12)*(((P57*Assumptions!$C$128)+(P80*Assumptions!$D$128))+(P103*Assumptions!$E$128))),0)</f>
        <v>0</v>
      </c>
      <c r="Q136" s="9" t="n">
        <f aca="false">IF((Q$18&gt;=Assumptions!$C$41),(((Assumptions!$C$42*$C$10)/12)*(((Q57*Assumptions!$C$128)+(Q80*Assumptions!$D$128))+(Q103*Assumptions!$E$128))),0)</f>
        <v>0</v>
      </c>
      <c r="R136" s="9" t="n">
        <f aca="false">IF((R$18&gt;=Assumptions!$C$41),(((Assumptions!$C$42*$C$10)/12)*(((R57*Assumptions!$C$128)+(R80*Assumptions!$D$128))+(R103*Assumptions!$E$128))),0)</f>
        <v>0</v>
      </c>
      <c r="S136" s="9" t="n">
        <f aca="false">IF((S$18&gt;=Assumptions!$C$41),(((Assumptions!$C$42*$C$10)/12)*(((S57*Assumptions!$C$128)+(S80*Assumptions!$D$128))+(S103*Assumptions!$E$128))),0)</f>
        <v>0</v>
      </c>
      <c r="T136" s="9" t="n">
        <f aca="false">IF((T$18&gt;=Assumptions!$C$41),(((Assumptions!$C$42*$C$10)/12)*(((T57*Assumptions!$C$128)+(T80*Assumptions!$D$128))+(T103*Assumptions!$E$128))),0)</f>
        <v>0</v>
      </c>
      <c r="U136" s="9" t="n">
        <f aca="false">IF((U$18&gt;=Assumptions!$C$41),(((Assumptions!$C$42*$C$10)/12)*(((U57*Assumptions!$C$128)+(U80*Assumptions!$D$128))+(U103*Assumptions!$E$128))),0)</f>
        <v>0</v>
      </c>
      <c r="V136" s="9" t="n">
        <f aca="false">IF((V$18&gt;=Assumptions!$C$41),(((Assumptions!$C$42*$C$10)/12)*(((V57*Assumptions!$C$128)+(V80*Assumptions!$D$128))+(V103*Assumptions!$E$128))),0)</f>
        <v>580</v>
      </c>
      <c r="W136" s="9" t="n">
        <f aca="false">IF((W$18&gt;=Assumptions!$C$41),(((Assumptions!$C$42*$C$10)/12)*(((W57*Assumptions!$C$128)+(W80*Assumptions!$D$128))+(W103*Assumptions!$E$128))),0)</f>
        <v>580</v>
      </c>
      <c r="X136" s="9" t="n">
        <f aca="false">IF((X$18&gt;=Assumptions!$C$41),(((Assumptions!$C$42*$C$10)/12)*(((X57*Assumptions!$C$128)+(X80*Assumptions!$D$128))+(X103*Assumptions!$E$128))),0)</f>
        <v>580</v>
      </c>
      <c r="Y136" s="9" t="n">
        <f aca="false">IF((Y$18&gt;=Assumptions!$C$41),(((Assumptions!$C$42*$C$10)/12)*(((Y57*Assumptions!$C$128)+(Y80*Assumptions!$D$128))+(Y103*Assumptions!$E$128))),0)</f>
        <v>1150</v>
      </c>
      <c r="Z136" s="9" t="n">
        <f aca="false">IF((Z$18&gt;=Assumptions!$C$41),(((Assumptions!$C$42*$C$10)/12)*(((Z57*Assumptions!$C$128)+(Z80*Assumptions!$D$128))+(Z103*Assumptions!$E$128))),0)</f>
        <v>1135.6</v>
      </c>
      <c r="AA136" s="9" t="n">
        <f aca="false">IF((AA$18&gt;=Assumptions!$C$41),(((Assumptions!$C$42*$C$10)/12)*(((AA57*Assumptions!$C$128)+(AA80*Assumptions!$D$128))+(AA103*Assumptions!$E$128))),0)</f>
        <v>1135.6</v>
      </c>
      <c r="AB136" s="9" t="n">
        <f aca="false">IF((AB$18&gt;=Assumptions!$C$41),(((Assumptions!$C$42*$C$10)/12)*(((AB57*Assumptions!$C$128)+(AB80*Assumptions!$D$128))+(AB103*Assumptions!$E$128))),0)</f>
        <v>2405.6</v>
      </c>
      <c r="AC136" s="9" t="n">
        <f aca="false">IF((AC$18&gt;=Assumptions!$C$41),(((Assumptions!$C$42*$C$10)/12)*(((AC57*Assumptions!$C$128)+(AC80*Assumptions!$D$128))+(AC103*Assumptions!$E$128))),0)</f>
        <v>2362.4</v>
      </c>
      <c r="AD136" s="9" t="n">
        <f aca="false">IF((AD$18&gt;=Assumptions!$C$41),(((Assumptions!$C$42*$C$10)/12)*(((AD57*Assumptions!$C$128)+(AD80*Assumptions!$D$128))+(AD103*Assumptions!$E$128))),0)</f>
        <v>2362.4</v>
      </c>
      <c r="AE136" s="9" t="n">
        <f aca="false">IF((AE$18&gt;=Assumptions!$C$41),(((Assumptions!$C$42*$C$10)/12)*(((AE57*Assumptions!$C$128)+(AE80*Assumptions!$D$128))+(AE103*Assumptions!$E$128))),0)</f>
        <v>3832.4</v>
      </c>
      <c r="AF136" s="9" t="n">
        <f aca="false">IF((AF$18&gt;=Assumptions!$C$41),(((Assumptions!$C$42*$C$10)/12)*(((AF57*Assumptions!$C$128)+(AF80*Assumptions!$D$128))+(AF103*Assumptions!$E$128))),0)</f>
        <v>3832.4</v>
      </c>
      <c r="AG136" s="9" t="n">
        <f aca="false">IF((AG$18&gt;=Assumptions!$C$41),(((Assumptions!$C$42*$C$10)/12)*(((AG57*Assumptions!$C$128)+(AG80*Assumptions!$D$128))+(AG103*Assumptions!$E$128))),0)</f>
        <v>3832.4</v>
      </c>
      <c r="AH136" s="9" t="n">
        <f aca="false">IF((AH$18&gt;=Assumptions!$C$41),(((Assumptions!$C$42*$C$10)/12)*(((AH57*Assumptions!$C$128)+(AH80*Assumptions!$D$128))+(AH103*Assumptions!$E$128))),0)</f>
        <v>5390.4</v>
      </c>
      <c r="AI136" s="9" t="n">
        <f aca="false">IF((AI$18&gt;=Assumptions!$C$41),(((Assumptions!$C$42*$C$10)/12)*(((AI57*Assumptions!$C$128)+(AI80*Assumptions!$D$128))+(AI103*Assumptions!$E$128))),0)</f>
        <v>5390.4</v>
      </c>
      <c r="AJ136" s="9" t="n">
        <f aca="false">IF((AJ$18&gt;=Assumptions!$C$41),(((Assumptions!$C$42*$C$10)/12)*(((AJ57*Assumptions!$C$128)+(AJ80*Assumptions!$D$128))+(AJ103*Assumptions!$E$128))),0)</f>
        <v>5390.4</v>
      </c>
      <c r="AK136" s="9" t="n">
        <f aca="false">IF((AK$18&gt;=Assumptions!$C$41),(((Assumptions!$C$42*$C$10)/12)*(((AK57*Assumptions!$C$128)+(AK80*Assumptions!$D$128))+(AK103*Assumptions!$E$128))),0)</f>
        <v>7962</v>
      </c>
      <c r="AL136" s="9" t="n">
        <f aca="false">IF((AL$18&gt;=Assumptions!$C$41),(((Assumptions!$C$42*$C$10)/12)*(((AL57*Assumptions!$C$128)+(AL80*Assumptions!$D$128))+(AL103*Assumptions!$E$128))),0)</f>
        <v>9449.328</v>
      </c>
      <c r="AN136" s="11" t="n">
        <f aca="false">SUM(C136:N136)</f>
        <v>0</v>
      </c>
      <c r="AO136" s="11" t="n">
        <f aca="false">SUM(O136:Z136)</f>
        <v>4025.6</v>
      </c>
      <c r="AP136" s="11" t="n">
        <f aca="false">SUM(AA136:AL136)</f>
        <v>53345.728</v>
      </c>
    </row>
    <row r="137" customFormat="false" ht="15" hidden="false" customHeight="false" outlineLevel="0" collapsed="false">
      <c r="A137" s="0" t="s">
        <v>943</v>
      </c>
      <c r="B137" s="0" t="s">
        <v>230</v>
      </c>
      <c r="C137" s="9" t="n">
        <f aca="false">IF((C$18&gt;=Assumptions!$C$43),(((Assumptions!$C$44*$C$10)/12)*((C80*12000)+(C103*25000))),0)</f>
        <v>0</v>
      </c>
      <c r="D137" s="9" t="n">
        <f aca="false">IF((D$18&gt;=Assumptions!$C$43),(((Assumptions!$C$44*$C$10)/12)*((D80*12000)+(D103*25000))),0)</f>
        <v>0</v>
      </c>
      <c r="E137" s="9" t="n">
        <f aca="false">IF((E$18&gt;=Assumptions!$C$43),(((Assumptions!$C$44*$C$10)/12)*((E80*12000)+(E103*25000))),0)</f>
        <v>0</v>
      </c>
      <c r="F137" s="9" t="n">
        <f aca="false">IF((F$18&gt;=Assumptions!$C$43),(((Assumptions!$C$44*$C$10)/12)*((F80*12000)+(F103*25000))),0)</f>
        <v>0</v>
      </c>
      <c r="G137" s="9" t="n">
        <f aca="false">IF((G$18&gt;=Assumptions!$C$43),(((Assumptions!$C$44*$C$10)/12)*((G80*12000)+(G103*25000))),0)</f>
        <v>0</v>
      </c>
      <c r="H137" s="9" t="n">
        <f aca="false">IF((H$18&gt;=Assumptions!$C$43),(((Assumptions!$C$44*$C$10)/12)*((H80*12000)+(H103*25000))),0)</f>
        <v>0</v>
      </c>
      <c r="I137" s="9" t="n">
        <f aca="false">IF((I$18&gt;=Assumptions!$C$43),(((Assumptions!$C$44*$C$10)/12)*((I80*12000)+(I103*25000))),0)</f>
        <v>0</v>
      </c>
      <c r="J137" s="9" t="n">
        <f aca="false">IF((J$18&gt;=Assumptions!$C$43),(((Assumptions!$C$44*$C$10)/12)*((J80*12000)+(J103*25000))),0)</f>
        <v>0</v>
      </c>
      <c r="K137" s="9" t="n">
        <f aca="false">IF((K$18&gt;=Assumptions!$C$43),(((Assumptions!$C$44*$C$10)/12)*((K80*12000)+(K103*25000))),0)</f>
        <v>0</v>
      </c>
      <c r="L137" s="9" t="n">
        <f aca="false">IF((L$18&gt;=Assumptions!$C$43),(((Assumptions!$C$44*$C$10)/12)*((L80*12000)+(L103*25000))),0)</f>
        <v>0</v>
      </c>
      <c r="M137" s="9" t="n">
        <f aca="false">IF((M$18&gt;=Assumptions!$C$43),(((Assumptions!$C$44*$C$10)/12)*((M80*12000)+(M103*25000))),0)</f>
        <v>0</v>
      </c>
      <c r="N137" s="9" t="n">
        <f aca="false">IF((N$18&gt;=Assumptions!$C$43),(((Assumptions!$C$44*$C$10)/12)*((N80*12000)+(N103*25000))),0)</f>
        <v>0</v>
      </c>
      <c r="O137" s="9" t="n">
        <f aca="false">IF((O$18&gt;=Assumptions!$C$43),(((Assumptions!$C$44*$C$10)/12)*((O80*12000)+(O103*25000))),0)</f>
        <v>0</v>
      </c>
      <c r="P137" s="9" t="n">
        <f aca="false">IF((P$18&gt;=Assumptions!$C$43),(((Assumptions!$C$44*$C$10)/12)*((P80*12000)+(P103*25000))),0)</f>
        <v>0</v>
      </c>
      <c r="Q137" s="9" t="n">
        <f aca="false">IF((Q$18&gt;=Assumptions!$C$43),(((Assumptions!$C$44*$C$10)/12)*((Q80*12000)+(Q103*25000))),0)</f>
        <v>0</v>
      </c>
      <c r="R137" s="9" t="n">
        <f aca="false">IF((R$18&gt;=Assumptions!$C$43),(((Assumptions!$C$44*$C$10)/12)*((R80*12000)+(R103*25000))),0)</f>
        <v>0</v>
      </c>
      <c r="S137" s="9" t="n">
        <f aca="false">IF((S$18&gt;=Assumptions!$C$43),(((Assumptions!$C$44*$C$10)/12)*((S80*12000)+(S103*25000))),0)</f>
        <v>0</v>
      </c>
      <c r="T137" s="9" t="n">
        <f aca="false">IF((T$18&gt;=Assumptions!$C$43),(((Assumptions!$C$44*$C$10)/12)*((T80*12000)+(T103*25000))),0)</f>
        <v>0</v>
      </c>
      <c r="U137" s="9" t="n">
        <f aca="false">IF((U$18&gt;=Assumptions!$C$43),(((Assumptions!$C$44*$C$10)/12)*((U80*12000)+(U103*25000))),0)</f>
        <v>0</v>
      </c>
      <c r="V137" s="9" t="n">
        <f aca="false">IF((V$18&gt;=Assumptions!$C$43),(((Assumptions!$C$44*$C$10)/12)*((V80*12000)+(V103*25000))),0)</f>
        <v>0</v>
      </c>
      <c r="W137" s="9" t="n">
        <f aca="false">IF((W$18&gt;=Assumptions!$C$43),(((Assumptions!$C$44*$C$10)/12)*((W80*12000)+(W103*25000))),0)</f>
        <v>0</v>
      </c>
      <c r="X137" s="9" t="n">
        <f aca="false">IF((X$18&gt;=Assumptions!$C$43),(((Assumptions!$C$44*$C$10)/12)*((X80*12000)+(X103*25000))),0)</f>
        <v>0</v>
      </c>
      <c r="Y137" s="9" t="n">
        <f aca="false">IF((Y$18&gt;=Assumptions!$C$43),(((Assumptions!$C$44*$C$10)/12)*((Y80*12000)+(Y103*25000))),0)</f>
        <v>0</v>
      </c>
      <c r="Z137" s="9" t="n">
        <f aca="false">IF((Z$18&gt;=Assumptions!$C$43),(((Assumptions!$C$44*$C$10)/12)*((Z80*12000)+(Z103*25000))),0)</f>
        <v>0</v>
      </c>
      <c r="AA137" s="9" t="n">
        <f aca="false">IF((AA$18&gt;=Assumptions!$C$43),(((Assumptions!$C$44*$C$10)/12)*((AA80*12000)+(AA103*25000))),0)</f>
        <v>0</v>
      </c>
      <c r="AB137" s="9" t="n">
        <f aca="false">IF((AB$18&gt;=Assumptions!$C$43),(((Assumptions!$C$44*$C$10)/12)*((AB80*12000)+(AB103*25000))),0)</f>
        <v>0</v>
      </c>
      <c r="AC137" s="9" t="n">
        <f aca="false">IF((AC$18&gt;=Assumptions!$C$43),(((Assumptions!$C$44*$C$10)/12)*((AC80*12000)+(AC103*25000))),0)</f>
        <v>0</v>
      </c>
      <c r="AD137" s="9" t="n">
        <f aca="false">IF((AD$18&gt;=Assumptions!$C$43),(((Assumptions!$C$44*$C$10)/12)*((AD80*12000)+(AD103*25000))),0)</f>
        <v>0</v>
      </c>
      <c r="AE137" s="9" t="n">
        <f aca="false">IF((AE$18&gt;=Assumptions!$C$43),(((Assumptions!$C$44*$C$10)/12)*((AE80*12000)+(AE103*25000))),0)</f>
        <v>0</v>
      </c>
      <c r="AF137" s="9" t="n">
        <f aca="false">IF((AF$18&gt;=Assumptions!$C$43),(((Assumptions!$C$44*$C$10)/12)*((AF80*12000)+(AF103*25000))),0)</f>
        <v>581.7</v>
      </c>
      <c r="AG137" s="9" t="n">
        <f aca="false">IF((AG$18&gt;=Assumptions!$C$43),(((Assumptions!$C$44*$C$10)/12)*((AG80*12000)+(AG103*25000))),0)</f>
        <v>581.7</v>
      </c>
      <c r="AH137" s="9" t="n">
        <f aca="false">IF((AH$18&gt;=Assumptions!$C$43),(((Assumptions!$C$44*$C$10)/12)*((AH80*12000)+(AH103*25000))),0)</f>
        <v>799.2</v>
      </c>
      <c r="AI137" s="9" t="n">
        <f aca="false">IF((AI$18&gt;=Assumptions!$C$43),(((Assumptions!$C$44*$C$10)/12)*((AI80*12000)+(AI103*25000))),0)</f>
        <v>799.2</v>
      </c>
      <c r="AJ137" s="9" t="n">
        <f aca="false">IF((AJ$18&gt;=Assumptions!$C$43),(((Assumptions!$C$44*$C$10)/12)*((AJ80*12000)+(AJ103*25000))),0)</f>
        <v>799.2</v>
      </c>
      <c r="AK137" s="9" t="n">
        <f aca="false">IF((AK$18&gt;=Assumptions!$C$43),(((Assumptions!$C$44*$C$10)/12)*((AK80*12000)+(AK103*25000))),0)</f>
        <v>1226.1</v>
      </c>
      <c r="AL137" s="9" t="n">
        <f aca="false">IF((AL$18&gt;=Assumptions!$C$43),(((Assumptions!$C$44*$C$10)/12)*((AL80*12000)+(AL103*25000))),0)</f>
        <v>1538.6</v>
      </c>
      <c r="AN137" s="11" t="n">
        <f aca="false">SUM(C137:N137)</f>
        <v>0</v>
      </c>
      <c r="AO137" s="11" t="n">
        <f aca="false">SUM(O137:Z137)</f>
        <v>0</v>
      </c>
      <c r="AP137" s="11" t="n">
        <f aca="false">SUM(AA137:AL137)</f>
        <v>6325.7</v>
      </c>
    </row>
    <row r="138" customFormat="false" ht="15" hidden="false" customHeight="false" outlineLevel="0" collapsed="false">
      <c r="A138" s="0" t="s">
        <v>944</v>
      </c>
      <c r="B138" s="0" t="s">
        <v>852</v>
      </c>
      <c r="C138" s="14" t="n">
        <f aca="false">IF((C$18&gt;=Assumptions!$C$45),(INDEX(Schedules!$C$14:$AL$14,C$18)*$C$7),0)</f>
        <v>0</v>
      </c>
      <c r="D138" s="14" t="n">
        <f aca="false">IF((D$18&gt;=Assumptions!$C$45),(INDEX(Schedules!$C$14:$AL$14,D$18)*$C$7),0)</f>
        <v>0</v>
      </c>
      <c r="E138" s="14" t="n">
        <f aca="false">IF((E$18&gt;=Assumptions!$C$45),(INDEX(Schedules!$C$14:$AL$14,E$18)*$C$7),0)</f>
        <v>0</v>
      </c>
      <c r="F138" s="14" t="n">
        <f aca="false">IF((F$18&gt;=Assumptions!$C$45),(INDEX(Schedules!$C$14:$AL$14,F$18)*$C$7),0)</f>
        <v>0</v>
      </c>
      <c r="G138" s="14" t="n">
        <f aca="false">IF((G$18&gt;=Assumptions!$C$45),(INDEX(Schedules!$C$14:$AL$14,G$18)*$C$7),0)</f>
        <v>0</v>
      </c>
      <c r="H138" s="14" t="n">
        <f aca="false">IF((H$18&gt;=Assumptions!$C$45),(INDEX(Schedules!$C$14:$AL$14,H$18)*$C$7),0)</f>
        <v>0</v>
      </c>
      <c r="I138" s="14" t="n">
        <f aca="false">IF((I$18&gt;=Assumptions!$C$45),(INDEX(Schedules!$C$14:$AL$14,I$18)*$C$7),0)</f>
        <v>0</v>
      </c>
      <c r="J138" s="14" t="n">
        <f aca="false">IF((J$18&gt;=Assumptions!$C$45),(INDEX(Schedules!$C$14:$AL$14,J$18)*$C$7),0)</f>
        <v>0</v>
      </c>
      <c r="K138" s="14" t="n">
        <f aca="false">IF((K$18&gt;=Assumptions!$C$45),(INDEX(Schedules!$C$14:$AL$14,K$18)*$C$7),0)</f>
        <v>0</v>
      </c>
      <c r="L138" s="14" t="n">
        <f aca="false">IF((L$18&gt;=Assumptions!$C$45),(INDEX(Schedules!$C$14:$AL$14,L$18)*$C$7),0)</f>
        <v>0</v>
      </c>
      <c r="M138" s="14" t="n">
        <f aca="false">IF((M$18&gt;=Assumptions!$C$45),(INDEX(Schedules!$C$14:$AL$14,M$18)*$C$7),0)</f>
        <v>0</v>
      </c>
      <c r="N138" s="14" t="n">
        <f aca="false">IF((N$18&gt;=Assumptions!$C$45),(INDEX(Schedules!$C$14:$AL$14,N$18)*$C$7),0)</f>
        <v>0</v>
      </c>
      <c r="O138" s="14" t="n">
        <f aca="false">IF((O$18&gt;=Assumptions!$C$45),(INDEX(Schedules!$C$14:$AL$14,O$18)*$C$7),0)</f>
        <v>0</v>
      </c>
      <c r="P138" s="14" t="n">
        <f aca="false">IF((P$18&gt;=Assumptions!$C$45),(INDEX(Schedules!$C$14:$AL$14,P$18)*$C$7),0)</f>
        <v>0</v>
      </c>
      <c r="Q138" s="14" t="n">
        <f aca="false">IF((Q$18&gt;=Assumptions!$C$45),(INDEX(Schedules!$C$14:$AL$14,Q$18)*$C$7),0)</f>
        <v>0</v>
      </c>
      <c r="R138" s="14" t="n">
        <f aca="false">IF((R$18&gt;=Assumptions!$C$45),(INDEX(Schedules!$C$14:$AL$14,R$18)*$C$7),0)</f>
        <v>0</v>
      </c>
      <c r="S138" s="14" t="n">
        <f aca="false">IF((S$18&gt;=Assumptions!$C$45),(INDEX(Schedules!$C$14:$AL$14,S$18)*$C$7),0)</f>
        <v>0</v>
      </c>
      <c r="T138" s="14" t="n">
        <f aca="false">IF((T$18&gt;=Assumptions!$C$45),(INDEX(Schedules!$C$14:$AL$14,T$18)*$C$7),0)</f>
        <v>0</v>
      </c>
      <c r="U138" s="14" t="n">
        <f aca="false">IF((U$18&gt;=Assumptions!$C$45),(INDEX(Schedules!$C$14:$AL$14,U$18)*$C$7),0)</f>
        <v>0</v>
      </c>
      <c r="V138" s="14" t="n">
        <f aca="false">IF((V$18&gt;=Assumptions!$C$45),(INDEX(Schedules!$C$14:$AL$14,V$18)*$C$7),0)</f>
        <v>0</v>
      </c>
      <c r="W138" s="14" t="n">
        <f aca="false">IF((W$18&gt;=Assumptions!$C$45),(INDEX(Schedules!$C$14:$AL$14,W$18)*$C$7),0)</f>
        <v>0</v>
      </c>
      <c r="X138" s="14" t="n">
        <f aca="false">IF((X$18&gt;=Assumptions!$C$45),(INDEX(Schedules!$C$14:$AL$14,X$18)*$C$7),0)</f>
        <v>0</v>
      </c>
      <c r="Y138" s="14" t="n">
        <f aca="false">IF((Y$18&gt;=Assumptions!$C$45),(INDEX(Schedules!$C$14:$AL$14,Y$18)*$C$7),0)</f>
        <v>0</v>
      </c>
      <c r="Z138" s="14" t="n">
        <f aca="false">IF((Z$18&gt;=Assumptions!$C$45),(INDEX(Schedules!$C$14:$AL$14,Z$18)*$C$7),0)</f>
        <v>0</v>
      </c>
      <c r="AA138" s="14" t="n">
        <f aca="false">IF((AA$18&gt;=Assumptions!$C$45),(INDEX(Schedules!$C$14:$AL$14,AA$18)*$C$7),0)</f>
        <v>3</v>
      </c>
      <c r="AB138" s="14" t="n">
        <f aca="false">IF((AB$18&gt;=Assumptions!$C$45),(INDEX(Schedules!$C$14:$AL$14,AB$18)*$C$7),0)</f>
        <v>3</v>
      </c>
      <c r="AC138" s="14" t="n">
        <f aca="false">IF((AC$18&gt;=Assumptions!$C$45),(INDEX(Schedules!$C$14:$AL$14,AC$18)*$C$7),0)</f>
        <v>3</v>
      </c>
      <c r="AD138" s="14" t="n">
        <f aca="false">IF((AD$18&gt;=Assumptions!$C$45),(INDEX(Schedules!$C$14:$AL$14,AD$18)*$C$7),0)</f>
        <v>3</v>
      </c>
      <c r="AE138" s="14" t="n">
        <f aca="false">IF((AE$18&gt;=Assumptions!$C$45),(INDEX(Schedules!$C$14:$AL$14,AE$18)*$C$7),0)</f>
        <v>3</v>
      </c>
      <c r="AF138" s="14" t="n">
        <f aca="false">IF((AF$18&gt;=Assumptions!$C$45),(INDEX(Schedules!$C$14:$AL$14,AF$18)*$C$7),0)</f>
        <v>3</v>
      </c>
      <c r="AG138" s="14" t="n">
        <f aca="false">IF((AG$18&gt;=Assumptions!$C$45),(INDEX(Schedules!$C$14:$AL$14,AG$18)*$C$7),0)</f>
        <v>6</v>
      </c>
      <c r="AH138" s="14" t="n">
        <f aca="false">IF((AH$18&gt;=Assumptions!$C$45),(INDEX(Schedules!$C$14:$AL$14,AH$18)*$C$7),0)</f>
        <v>6</v>
      </c>
      <c r="AI138" s="14" t="n">
        <f aca="false">IF((AI$18&gt;=Assumptions!$C$45),(INDEX(Schedules!$C$14:$AL$14,AI$18)*$C$7),0)</f>
        <v>6</v>
      </c>
      <c r="AJ138" s="14" t="n">
        <f aca="false">IF((AJ$18&gt;=Assumptions!$C$45),(INDEX(Schedules!$C$14:$AL$14,AJ$18)*$C$7),0)</f>
        <v>6</v>
      </c>
      <c r="AK138" s="14" t="n">
        <f aca="false">IF((AK$18&gt;=Assumptions!$C$45),(INDEX(Schedules!$C$14:$AL$14,AK$18)*$C$7),0)</f>
        <v>6</v>
      </c>
      <c r="AL138" s="14" t="n">
        <f aca="false">IF((AL$18&gt;=Assumptions!$C$45),(INDEX(Schedules!$C$14:$AL$14,AL$18)*$C$7),0)</f>
        <v>6</v>
      </c>
      <c r="AN138" s="36" t="n">
        <f aca="false">SUM(C138:N138)</f>
        <v>0</v>
      </c>
      <c r="AO138" s="36" t="n">
        <f aca="false">SUM(O138:Z138)</f>
        <v>0</v>
      </c>
      <c r="AP138" s="36" t="n">
        <f aca="false">SUM(AA138:AL138)</f>
        <v>54</v>
      </c>
    </row>
    <row r="139" customFormat="false" ht="15" hidden="false" customHeight="false" outlineLevel="0" collapsed="false">
      <c r="A139" s="0" t="s">
        <v>945</v>
      </c>
      <c r="B139" s="0" t="s">
        <v>852</v>
      </c>
      <c r="C139" s="13" t="n">
        <f aca="false">((0*(1-Assumptions!$C$47))+C138)</f>
        <v>0</v>
      </c>
      <c r="D139" s="13" t="n">
        <f aca="false">((C139*(1-Assumptions!$C$47))+D138)</f>
        <v>0</v>
      </c>
      <c r="E139" s="13" t="n">
        <f aca="false">((D139*(1-Assumptions!$C$47))+E138)</f>
        <v>0</v>
      </c>
      <c r="F139" s="13" t="n">
        <f aca="false">((E139*(1-Assumptions!$C$47))+F138)</f>
        <v>0</v>
      </c>
      <c r="G139" s="13" t="n">
        <f aca="false">((F139*(1-Assumptions!$C$47))+G138)</f>
        <v>0</v>
      </c>
      <c r="H139" s="13" t="n">
        <f aca="false">((G139*(1-Assumptions!$C$47))+H138)</f>
        <v>0</v>
      </c>
      <c r="I139" s="13" t="n">
        <f aca="false">((H139*(1-Assumptions!$C$47))+I138)</f>
        <v>0</v>
      </c>
      <c r="J139" s="13" t="n">
        <f aca="false">((I139*(1-Assumptions!$C$47))+J138)</f>
        <v>0</v>
      </c>
      <c r="K139" s="13" t="n">
        <f aca="false">((J139*(1-Assumptions!$C$47))+K138)</f>
        <v>0</v>
      </c>
      <c r="L139" s="13" t="n">
        <f aca="false">((K139*(1-Assumptions!$C$47))+L138)</f>
        <v>0</v>
      </c>
      <c r="M139" s="13" t="n">
        <f aca="false">((L139*(1-Assumptions!$C$47))+M138)</f>
        <v>0</v>
      </c>
      <c r="N139" s="13" t="n">
        <f aca="false">((M139*(1-Assumptions!$C$47))+N138)</f>
        <v>0</v>
      </c>
      <c r="O139" s="13" t="n">
        <f aca="false">((N139*(1-Assumptions!$C$47))+O138)</f>
        <v>0</v>
      </c>
      <c r="P139" s="13" t="n">
        <f aca="false">((O139*(1-Assumptions!$C$47))+P138)</f>
        <v>0</v>
      </c>
      <c r="Q139" s="13" t="n">
        <f aca="false">((P139*(1-Assumptions!$C$47))+Q138)</f>
        <v>0</v>
      </c>
      <c r="R139" s="13" t="n">
        <f aca="false">((Q139*(1-Assumptions!$C$47))+R138)</f>
        <v>0</v>
      </c>
      <c r="S139" s="13" t="n">
        <f aca="false">((R139*(1-Assumptions!$C$47))+S138)</f>
        <v>0</v>
      </c>
      <c r="T139" s="13" t="n">
        <f aca="false">((S139*(1-Assumptions!$C$47))+T138)</f>
        <v>0</v>
      </c>
      <c r="U139" s="13" t="n">
        <f aca="false">((T139*(1-Assumptions!$C$47))+U138)</f>
        <v>0</v>
      </c>
      <c r="V139" s="13" t="n">
        <f aca="false">((U139*(1-Assumptions!$C$47))+V138)</f>
        <v>0</v>
      </c>
      <c r="W139" s="13" t="n">
        <f aca="false">((V139*(1-Assumptions!$C$47))+W138)</f>
        <v>0</v>
      </c>
      <c r="X139" s="13" t="n">
        <f aca="false">((W139*(1-Assumptions!$C$47))+X138)</f>
        <v>0</v>
      </c>
      <c r="Y139" s="13" t="n">
        <f aca="false">((X139*(1-Assumptions!$C$47))+Y138)</f>
        <v>0</v>
      </c>
      <c r="Z139" s="13" t="n">
        <f aca="false">((Y139*(1-Assumptions!$C$47))+Z138)</f>
        <v>0</v>
      </c>
      <c r="AA139" s="13" t="n">
        <f aca="false">((Z139*(1-Assumptions!$C$47))+AA138)</f>
        <v>3</v>
      </c>
      <c r="AB139" s="13" t="n">
        <f aca="false">((AA139*(1-Assumptions!$C$47))+AB138)</f>
        <v>5.94</v>
      </c>
      <c r="AC139" s="13" t="n">
        <f aca="false">((AB139*(1-Assumptions!$C$47))+AC138)</f>
        <v>8.8212</v>
      </c>
      <c r="AD139" s="13" t="n">
        <f aca="false">((AC139*(1-Assumptions!$C$47))+AD138)</f>
        <v>11.644776</v>
      </c>
      <c r="AE139" s="13" t="n">
        <f aca="false">((AD139*(1-Assumptions!$C$47))+AE138)</f>
        <v>14.41188048</v>
      </c>
      <c r="AF139" s="13" t="n">
        <f aca="false">((AE139*(1-Assumptions!$C$47))+AF138)</f>
        <v>17.1236428704</v>
      </c>
      <c r="AG139" s="13" t="n">
        <f aca="false">((AF139*(1-Assumptions!$C$47))+AG138)</f>
        <v>22.781170012992</v>
      </c>
      <c r="AH139" s="13" t="n">
        <f aca="false">((AG139*(1-Assumptions!$C$47))+AH138)</f>
        <v>28.3255466127322</v>
      </c>
      <c r="AI139" s="13" t="n">
        <f aca="false">((AH139*(1-Assumptions!$C$47))+AI138)</f>
        <v>33.7590356804775</v>
      </c>
      <c r="AJ139" s="13" t="n">
        <f aca="false">((AI139*(1-Assumptions!$C$47))+AJ138)</f>
        <v>39.083854966868</v>
      </c>
      <c r="AK139" s="13" t="n">
        <f aca="false">((AJ139*(1-Assumptions!$C$47))+AK138)</f>
        <v>44.3021778675306</v>
      </c>
      <c r="AL139" s="13" t="n">
        <f aca="false">((AK139*(1-Assumptions!$C$47))+AL138)</f>
        <v>49.41613431018</v>
      </c>
      <c r="AN139" s="37" t="n">
        <f aca="false">N139</f>
        <v>0</v>
      </c>
      <c r="AO139" s="37" t="n">
        <f aca="false">Z139</f>
        <v>0</v>
      </c>
      <c r="AP139" s="37" t="n">
        <f aca="false">AL139</f>
        <v>49.41613431018</v>
      </c>
    </row>
    <row r="140" customFormat="false" ht="15" hidden="false" customHeight="false" outlineLevel="0" collapsed="false">
      <c r="A140" s="0" t="s">
        <v>946</v>
      </c>
      <c r="B140" s="0" t="s">
        <v>230</v>
      </c>
      <c r="C140" s="9" t="n">
        <f aca="false">((C139*Assumptions!$C$46)/12)</f>
        <v>0</v>
      </c>
      <c r="D140" s="9" t="n">
        <f aca="false">((D139*Assumptions!$C$46)/12)</f>
        <v>0</v>
      </c>
      <c r="E140" s="9" t="n">
        <f aca="false">((E139*Assumptions!$C$46)/12)</f>
        <v>0</v>
      </c>
      <c r="F140" s="9" t="n">
        <f aca="false">((F139*Assumptions!$C$46)/12)</f>
        <v>0</v>
      </c>
      <c r="G140" s="9" t="n">
        <f aca="false">((G139*Assumptions!$C$46)/12)</f>
        <v>0</v>
      </c>
      <c r="H140" s="9" t="n">
        <f aca="false">((H139*Assumptions!$C$46)/12)</f>
        <v>0</v>
      </c>
      <c r="I140" s="9" t="n">
        <f aca="false">((I139*Assumptions!$C$46)/12)</f>
        <v>0</v>
      </c>
      <c r="J140" s="9" t="n">
        <f aca="false">((J139*Assumptions!$C$46)/12)</f>
        <v>0</v>
      </c>
      <c r="K140" s="9" t="n">
        <f aca="false">((K139*Assumptions!$C$46)/12)</f>
        <v>0</v>
      </c>
      <c r="L140" s="9" t="n">
        <f aca="false">((L139*Assumptions!$C$46)/12)</f>
        <v>0</v>
      </c>
      <c r="M140" s="9" t="n">
        <f aca="false">((M139*Assumptions!$C$46)/12)</f>
        <v>0</v>
      </c>
      <c r="N140" s="9" t="n">
        <f aca="false">((N139*Assumptions!$C$46)/12)</f>
        <v>0</v>
      </c>
      <c r="O140" s="9" t="n">
        <f aca="false">((O139*Assumptions!$C$46)/12)</f>
        <v>0</v>
      </c>
      <c r="P140" s="9" t="n">
        <f aca="false">((P139*Assumptions!$C$46)/12)</f>
        <v>0</v>
      </c>
      <c r="Q140" s="9" t="n">
        <f aca="false">((Q139*Assumptions!$C$46)/12)</f>
        <v>0</v>
      </c>
      <c r="R140" s="9" t="n">
        <f aca="false">((R139*Assumptions!$C$46)/12)</f>
        <v>0</v>
      </c>
      <c r="S140" s="9" t="n">
        <f aca="false">((S139*Assumptions!$C$46)/12)</f>
        <v>0</v>
      </c>
      <c r="T140" s="9" t="n">
        <f aca="false">((T139*Assumptions!$C$46)/12)</f>
        <v>0</v>
      </c>
      <c r="U140" s="9" t="n">
        <f aca="false">((U139*Assumptions!$C$46)/12)</f>
        <v>0</v>
      </c>
      <c r="V140" s="9" t="n">
        <f aca="false">((V139*Assumptions!$C$46)/12)</f>
        <v>0</v>
      </c>
      <c r="W140" s="9" t="n">
        <f aca="false">((W139*Assumptions!$C$46)/12)</f>
        <v>0</v>
      </c>
      <c r="X140" s="9" t="n">
        <f aca="false">((X139*Assumptions!$C$46)/12)</f>
        <v>0</v>
      </c>
      <c r="Y140" s="9" t="n">
        <f aca="false">((Y139*Assumptions!$C$46)/12)</f>
        <v>0</v>
      </c>
      <c r="Z140" s="9" t="n">
        <f aca="false">((Z139*Assumptions!$C$46)/12)</f>
        <v>0</v>
      </c>
      <c r="AA140" s="9" t="n">
        <f aca="false">((AA139*Assumptions!$C$46)/12)</f>
        <v>1000</v>
      </c>
      <c r="AB140" s="9" t="n">
        <f aca="false">((AB139*Assumptions!$C$46)/12)</f>
        <v>1980</v>
      </c>
      <c r="AC140" s="9" t="n">
        <f aca="false">((AC139*Assumptions!$C$46)/12)</f>
        <v>2940.4</v>
      </c>
      <c r="AD140" s="9" t="n">
        <f aca="false">((AD139*Assumptions!$C$46)/12)</f>
        <v>3881.592</v>
      </c>
      <c r="AE140" s="9" t="n">
        <f aca="false">((AE139*Assumptions!$C$46)/12)</f>
        <v>4803.96016</v>
      </c>
      <c r="AF140" s="9" t="n">
        <f aca="false">((AF139*Assumptions!$C$46)/12)</f>
        <v>5707.8809568</v>
      </c>
      <c r="AG140" s="9" t="n">
        <f aca="false">((AG139*Assumptions!$C$46)/12)</f>
        <v>7593.723337664</v>
      </c>
      <c r="AH140" s="9" t="n">
        <f aca="false">((AH139*Assumptions!$C$46)/12)</f>
        <v>9441.84887091072</v>
      </c>
      <c r="AI140" s="9" t="n">
        <f aca="false">((AI139*Assumptions!$C$46)/12)</f>
        <v>11253.0118934925</v>
      </c>
      <c r="AJ140" s="9" t="n">
        <f aca="false">((AJ139*Assumptions!$C$46)/12)</f>
        <v>13027.9516556227</v>
      </c>
      <c r="AK140" s="9" t="n">
        <f aca="false">((AK139*Assumptions!$C$46)/12)</f>
        <v>14767.3926225102</v>
      </c>
      <c r="AL140" s="9" t="n">
        <f aca="false">((AL139*Assumptions!$C$46)/12)</f>
        <v>16472.04477006</v>
      </c>
      <c r="AN140" s="11" t="n">
        <f aca="false">SUM(C140:N140)</f>
        <v>0</v>
      </c>
      <c r="AO140" s="11" t="n">
        <f aca="false">SUM(O140:Z140)</f>
        <v>0</v>
      </c>
      <c r="AP140" s="11" t="n">
        <f aca="false">SUM(AA140:AL140)</f>
        <v>92869.8062670601</v>
      </c>
    </row>
    <row r="141" customFormat="false" ht="15" hidden="false" customHeight="false" outlineLevel="0" collapsed="false">
      <c r="A141" s="0" t="s">
        <v>947</v>
      </c>
      <c r="B141" s="0" t="s">
        <v>852</v>
      </c>
      <c r="C141" s="13" t="n">
        <f aca="false">IF((C$18&lt;Assumptions!$C$48),0,IF((C$18=Assumptions!$C$48),(Assumptions!$C$49*$C$4),((0*(1-Assumptions!$C$51))+(Assumptions!$C$50*$C$4))))</f>
        <v>0</v>
      </c>
      <c r="D141" s="13" t="n">
        <f aca="false">IF((D$18&lt;Assumptions!$C$48),0,IF((D$18=Assumptions!$C$48),(Assumptions!$C$49*$C$4),((C141*(1-Assumptions!$C$51))+(Assumptions!$C$50*$C$4))))</f>
        <v>0</v>
      </c>
      <c r="E141" s="13" t="n">
        <f aca="false">IF((E$18&lt;Assumptions!$C$48),0,IF((E$18=Assumptions!$C$48),(Assumptions!$C$49*$C$4),((D141*(1-Assumptions!$C$51))+(Assumptions!$C$50*$C$4))))</f>
        <v>0</v>
      </c>
      <c r="F141" s="13" t="n">
        <f aca="false">IF((F$18&lt;Assumptions!$C$48),0,IF((F$18=Assumptions!$C$48),(Assumptions!$C$49*$C$4),((E141*(1-Assumptions!$C$51))+(Assumptions!$C$50*$C$4))))</f>
        <v>0</v>
      </c>
      <c r="G141" s="13" t="n">
        <f aca="false">IF((G$18&lt;Assumptions!$C$48),0,IF((G$18=Assumptions!$C$48),(Assumptions!$C$49*$C$4),((F141*(1-Assumptions!$C$51))+(Assumptions!$C$50*$C$4))))</f>
        <v>0</v>
      </c>
      <c r="H141" s="13" t="n">
        <f aca="false">IF((H$18&lt;Assumptions!$C$48),0,IF((H$18=Assumptions!$C$48),(Assumptions!$C$49*$C$4),((G141*(1-Assumptions!$C$51))+(Assumptions!$C$50*$C$4))))</f>
        <v>0</v>
      </c>
      <c r="I141" s="13" t="n">
        <f aca="false">IF((I$18&lt;Assumptions!$C$48),0,IF((I$18=Assumptions!$C$48),(Assumptions!$C$49*$C$4),((H141*(1-Assumptions!$C$51))+(Assumptions!$C$50*$C$4))))</f>
        <v>0</v>
      </c>
      <c r="J141" s="13" t="n">
        <f aca="false">IF((J$18&lt;Assumptions!$C$48),0,IF((J$18=Assumptions!$C$48),(Assumptions!$C$49*$C$4),((I141*(1-Assumptions!$C$51))+(Assumptions!$C$50*$C$4))))</f>
        <v>0</v>
      </c>
      <c r="K141" s="13" t="n">
        <f aca="false">IF((K$18&lt;Assumptions!$C$48),0,IF((K$18=Assumptions!$C$48),(Assumptions!$C$49*$C$4),((J141*(1-Assumptions!$C$51))+(Assumptions!$C$50*$C$4))))</f>
        <v>0</v>
      </c>
      <c r="L141" s="13" t="n">
        <f aca="false">IF((L$18&lt;Assumptions!$C$48),0,IF((L$18=Assumptions!$C$48),(Assumptions!$C$49*$C$4),((K141*(1-Assumptions!$C$51))+(Assumptions!$C$50*$C$4))))</f>
        <v>0</v>
      </c>
      <c r="M141" s="13" t="n">
        <f aca="false">IF((M$18&lt;Assumptions!$C$48),0,IF((M$18=Assumptions!$C$48),(Assumptions!$C$49*$C$4),((L141*(1-Assumptions!$C$51))+(Assumptions!$C$50*$C$4))))</f>
        <v>0</v>
      </c>
      <c r="N141" s="13" t="n">
        <f aca="false">IF((N$18&lt;Assumptions!$C$48),0,IF((N$18=Assumptions!$C$48),(Assumptions!$C$49*$C$4),((M141*(1-Assumptions!$C$51))+(Assumptions!$C$50*$C$4))))</f>
        <v>0</v>
      </c>
      <c r="O141" s="13" t="n">
        <f aca="false">IF((O$18&lt;Assumptions!$C$48),0,IF((O$18=Assumptions!$C$48),(Assumptions!$C$49*$C$4),((N141*(1-Assumptions!$C$51))+(Assumptions!$C$50*$C$4))))</f>
        <v>0</v>
      </c>
      <c r="P141" s="13" t="n">
        <f aca="false">IF((P$18&lt;Assumptions!$C$48),0,IF((P$18=Assumptions!$C$48),(Assumptions!$C$49*$C$4),((O141*(1-Assumptions!$C$51))+(Assumptions!$C$50*$C$4))))</f>
        <v>0</v>
      </c>
      <c r="Q141" s="13" t="n">
        <f aca="false">IF((Q$18&lt;Assumptions!$C$48),0,IF((Q$18=Assumptions!$C$48),(Assumptions!$C$49*$C$4),((P141*(1-Assumptions!$C$51))+(Assumptions!$C$50*$C$4))))</f>
        <v>0</v>
      </c>
      <c r="R141" s="13" t="n">
        <f aca="false">IF((R$18&lt;Assumptions!$C$48),0,IF((R$18=Assumptions!$C$48),(Assumptions!$C$49*$C$4),((Q141*(1-Assumptions!$C$51))+(Assumptions!$C$50*$C$4))))</f>
        <v>0</v>
      </c>
      <c r="S141" s="13" t="n">
        <f aca="false">IF((S$18&lt;Assumptions!$C$48),0,IF((S$18=Assumptions!$C$48),(Assumptions!$C$49*$C$4),((R141*(1-Assumptions!$C$51))+(Assumptions!$C$50*$C$4))))</f>
        <v>0</v>
      </c>
      <c r="T141" s="13" t="n">
        <f aca="false">IF((T$18&lt;Assumptions!$C$48),0,IF((T$18=Assumptions!$C$48),(Assumptions!$C$49*$C$4),((S141*(1-Assumptions!$C$51))+(Assumptions!$C$50*$C$4))))</f>
        <v>0</v>
      </c>
      <c r="U141" s="13" t="n">
        <f aca="false">IF((U$18&lt;Assumptions!$C$48),0,IF((U$18=Assumptions!$C$48),(Assumptions!$C$49*$C$4),((T141*(1-Assumptions!$C$51))+(Assumptions!$C$50*$C$4))))</f>
        <v>0</v>
      </c>
      <c r="V141" s="13" t="n">
        <f aca="false">IF((V$18&lt;Assumptions!$C$48),0,IF((V$18=Assumptions!$C$48),(Assumptions!$C$49*$C$4),((U141*(1-Assumptions!$C$51))+(Assumptions!$C$50*$C$4))))</f>
        <v>0</v>
      </c>
      <c r="W141" s="13" t="n">
        <f aca="false">IF((W$18&lt;Assumptions!$C$48),0,IF((W$18=Assumptions!$C$48),(Assumptions!$C$49*$C$4),((V141*(1-Assumptions!$C$51))+(Assumptions!$C$50*$C$4))))</f>
        <v>0</v>
      </c>
      <c r="X141" s="13" t="n">
        <f aca="false">IF((X$18&lt;Assumptions!$C$48),0,IF((X$18=Assumptions!$C$48),(Assumptions!$C$49*$C$4),((W141*(1-Assumptions!$C$51))+(Assumptions!$C$50*$C$4))))</f>
        <v>0</v>
      </c>
      <c r="Y141" s="13" t="n">
        <f aca="false">IF((Y$18&lt;Assumptions!$C$48),0,IF((Y$18=Assumptions!$C$48),(Assumptions!$C$49*$C$4),((X141*(1-Assumptions!$C$51))+(Assumptions!$C$50*$C$4))))</f>
        <v>0</v>
      </c>
      <c r="Z141" s="13" t="n">
        <f aca="false">IF((Z$18&lt;Assumptions!$C$48),0,IF((Z$18=Assumptions!$C$48),(Assumptions!$C$49*$C$4),((Y141*(1-Assumptions!$C$51))+(Assumptions!$C$50*$C$4))))</f>
        <v>0</v>
      </c>
      <c r="AA141" s="13" t="n">
        <f aca="false">IF((AA$18&lt;Assumptions!$C$48),0,IF((AA$18=Assumptions!$C$48),(Assumptions!$C$49*$C$4),((Z141*(1-Assumptions!$C$51))+(Assumptions!$C$50*$C$4))))</f>
        <v>0</v>
      </c>
      <c r="AB141" s="13" t="n">
        <f aca="false">IF((AB$18&lt;Assumptions!$C$48),0,IF((AB$18=Assumptions!$C$48),(Assumptions!$C$49*$C$4),((AA141*(1-Assumptions!$C$51))+(Assumptions!$C$50*$C$4))))</f>
        <v>0</v>
      </c>
      <c r="AC141" s="13" t="n">
        <f aca="false">IF((AC$18&lt;Assumptions!$C$48),0,IF((AC$18=Assumptions!$C$48),(Assumptions!$C$49*$C$4),((AB141*(1-Assumptions!$C$51))+(Assumptions!$C$50*$C$4))))</f>
        <v>0</v>
      </c>
      <c r="AD141" s="13" t="n">
        <f aca="false">IF((AD$18&lt;Assumptions!$C$48),0,IF((AD$18=Assumptions!$C$48),(Assumptions!$C$49*$C$4),((AC141*(1-Assumptions!$C$51))+(Assumptions!$C$50*$C$4))))</f>
        <v>0</v>
      </c>
      <c r="AE141" s="13" t="n">
        <f aca="false">IF((AE$18&lt;Assumptions!$C$48),0,IF((AE$18=Assumptions!$C$48),(Assumptions!$C$49*$C$4),((AD141*(1-Assumptions!$C$51))+(Assumptions!$C$50*$C$4))))</f>
        <v>0</v>
      </c>
      <c r="AF141" s="13" t="n">
        <f aca="false">IF((AF$18&lt;Assumptions!$C$48),0,IF((AF$18=Assumptions!$C$48),(Assumptions!$C$49*$C$4),((AE141*(1-Assumptions!$C$51))+(Assumptions!$C$50*$C$4))))</f>
        <v>0</v>
      </c>
      <c r="AG141" s="13" t="n">
        <f aca="false">IF((AG$18&lt;Assumptions!$C$48),0,IF((AG$18=Assumptions!$C$48),(Assumptions!$C$49*$C$4),((AF141*(1-Assumptions!$C$51))+(Assumptions!$C$50*$C$4))))</f>
        <v>40</v>
      </c>
      <c r="AH141" s="13" t="n">
        <f aca="false">IF((AH$18&lt;Assumptions!$C$48),0,IF((AH$18=Assumptions!$C$48),(Assumptions!$C$49*$C$4),((AG141*(1-Assumptions!$C$51))+(Assumptions!$C$50*$C$4))))</f>
        <v>53.4</v>
      </c>
      <c r="AI141" s="13" t="n">
        <f aca="false">IF((AI$18&lt;Assumptions!$C$48),0,IF((AI$18=Assumptions!$C$48),(Assumptions!$C$49*$C$4),((AH141*(1-Assumptions!$C$51))+(Assumptions!$C$50*$C$4))))</f>
        <v>66.264</v>
      </c>
      <c r="AJ141" s="13" t="n">
        <f aca="false">IF((AJ$18&lt;Assumptions!$C$48),0,IF((AJ$18=Assumptions!$C$48),(Assumptions!$C$49*$C$4),((AI141*(1-Assumptions!$C$51))+(Assumptions!$C$50*$C$4))))</f>
        <v>78.61344</v>
      </c>
      <c r="AK141" s="13" t="n">
        <f aca="false">IF((AK$18&lt;Assumptions!$C$48),0,IF((AK$18=Assumptions!$C$48),(Assumptions!$C$49*$C$4),((AJ141*(1-Assumptions!$C$51))+(Assumptions!$C$50*$C$4))))</f>
        <v>90.4689024</v>
      </c>
      <c r="AL141" s="13" t="n">
        <f aca="false">IF((AL$18&lt;Assumptions!$C$48),0,IF((AL$18=Assumptions!$C$48),(Assumptions!$C$49*$C$4),((AK141*(1-Assumptions!$C$51))+(Assumptions!$C$50*$C$4))))</f>
        <v>101.850146304</v>
      </c>
      <c r="AN141" s="37" t="n">
        <f aca="false">N141</f>
        <v>0</v>
      </c>
      <c r="AO141" s="37" t="n">
        <f aca="false">Z141</f>
        <v>0</v>
      </c>
      <c r="AP141" s="37" t="n">
        <f aca="false">AL141</f>
        <v>101.850146304</v>
      </c>
    </row>
    <row r="142" customFormat="false" ht="15" hidden="false" customHeight="false" outlineLevel="0" collapsed="false">
      <c r="A142" s="0" t="s">
        <v>948</v>
      </c>
      <c r="B142" s="0" t="s">
        <v>325</v>
      </c>
      <c r="C142" s="9" t="n">
        <f aca="false">(C141*Assumptions!$C$52)</f>
        <v>0</v>
      </c>
      <c r="D142" s="9" t="n">
        <f aca="false">(D141*Assumptions!$C$52)</f>
        <v>0</v>
      </c>
      <c r="E142" s="9" t="n">
        <f aca="false">(E141*Assumptions!$C$52)</f>
        <v>0</v>
      </c>
      <c r="F142" s="9" t="n">
        <f aca="false">(F141*Assumptions!$C$52)</f>
        <v>0</v>
      </c>
      <c r="G142" s="9" t="n">
        <f aca="false">(G141*Assumptions!$C$52)</f>
        <v>0</v>
      </c>
      <c r="H142" s="9" t="n">
        <f aca="false">(H141*Assumptions!$C$52)</f>
        <v>0</v>
      </c>
      <c r="I142" s="9" t="n">
        <f aca="false">(I141*Assumptions!$C$52)</f>
        <v>0</v>
      </c>
      <c r="J142" s="9" t="n">
        <f aca="false">(J141*Assumptions!$C$52)</f>
        <v>0</v>
      </c>
      <c r="K142" s="9" t="n">
        <f aca="false">(K141*Assumptions!$C$52)</f>
        <v>0</v>
      </c>
      <c r="L142" s="9" t="n">
        <f aca="false">(L141*Assumptions!$C$52)</f>
        <v>0</v>
      </c>
      <c r="M142" s="9" t="n">
        <f aca="false">(M141*Assumptions!$C$52)</f>
        <v>0</v>
      </c>
      <c r="N142" s="9" t="n">
        <f aca="false">(N141*Assumptions!$C$52)</f>
        <v>0</v>
      </c>
      <c r="O142" s="9" t="n">
        <f aca="false">(O141*Assumptions!$C$52)</f>
        <v>0</v>
      </c>
      <c r="P142" s="9" t="n">
        <f aca="false">(P141*Assumptions!$C$52)</f>
        <v>0</v>
      </c>
      <c r="Q142" s="9" t="n">
        <f aca="false">(Q141*Assumptions!$C$52)</f>
        <v>0</v>
      </c>
      <c r="R142" s="9" t="n">
        <f aca="false">(R141*Assumptions!$C$52)</f>
        <v>0</v>
      </c>
      <c r="S142" s="9" t="n">
        <f aca="false">(S141*Assumptions!$C$52)</f>
        <v>0</v>
      </c>
      <c r="T142" s="9" t="n">
        <f aca="false">(T141*Assumptions!$C$52)</f>
        <v>0</v>
      </c>
      <c r="U142" s="9" t="n">
        <f aca="false">(U141*Assumptions!$C$52)</f>
        <v>0</v>
      </c>
      <c r="V142" s="9" t="n">
        <f aca="false">(V141*Assumptions!$C$52)</f>
        <v>0</v>
      </c>
      <c r="W142" s="9" t="n">
        <f aca="false">(W141*Assumptions!$C$52)</f>
        <v>0</v>
      </c>
      <c r="X142" s="9" t="n">
        <f aca="false">(X141*Assumptions!$C$52)</f>
        <v>0</v>
      </c>
      <c r="Y142" s="9" t="n">
        <f aca="false">(Y141*Assumptions!$C$52)</f>
        <v>0</v>
      </c>
      <c r="Z142" s="9" t="n">
        <f aca="false">(Z141*Assumptions!$C$52)</f>
        <v>0</v>
      </c>
      <c r="AA142" s="9" t="n">
        <f aca="false">(AA141*Assumptions!$C$52)</f>
        <v>0</v>
      </c>
      <c r="AB142" s="9" t="n">
        <f aca="false">(AB141*Assumptions!$C$52)</f>
        <v>0</v>
      </c>
      <c r="AC142" s="9" t="n">
        <f aca="false">(AC141*Assumptions!$C$52)</f>
        <v>0</v>
      </c>
      <c r="AD142" s="9" t="n">
        <f aca="false">(AD141*Assumptions!$C$52)</f>
        <v>0</v>
      </c>
      <c r="AE142" s="9" t="n">
        <f aca="false">(AE141*Assumptions!$C$52)</f>
        <v>0</v>
      </c>
      <c r="AF142" s="9" t="n">
        <f aca="false">(AF141*Assumptions!$C$52)</f>
        <v>0</v>
      </c>
      <c r="AG142" s="9" t="n">
        <f aca="false">(AG141*Assumptions!$C$52)</f>
        <v>240</v>
      </c>
      <c r="AH142" s="9" t="n">
        <f aca="false">(AH141*Assumptions!$C$52)</f>
        <v>320.4</v>
      </c>
      <c r="AI142" s="9" t="n">
        <f aca="false">(AI141*Assumptions!$C$52)</f>
        <v>397.584</v>
      </c>
      <c r="AJ142" s="9" t="n">
        <f aca="false">(AJ141*Assumptions!$C$52)</f>
        <v>471.68064</v>
      </c>
      <c r="AK142" s="9" t="n">
        <f aca="false">(AK141*Assumptions!$C$52)</f>
        <v>542.8134144</v>
      </c>
      <c r="AL142" s="9" t="n">
        <f aca="false">(AL141*Assumptions!$C$52)</f>
        <v>611.100877824</v>
      </c>
      <c r="AN142" s="11" t="n">
        <f aca="false">SUM(C142:N142)</f>
        <v>0</v>
      </c>
      <c r="AO142" s="11" t="n">
        <f aca="false">SUM(O142:Z142)</f>
        <v>0</v>
      </c>
      <c r="AP142" s="11" t="n">
        <f aca="false">SUM(AA142:AL142)</f>
        <v>2583.578932224</v>
      </c>
    </row>
    <row r="143" customFormat="false" ht="15" hidden="false" customHeight="false" outlineLevel="0" collapsed="false">
      <c r="A143" s="0" t="s">
        <v>949</v>
      </c>
      <c r="B143" s="0" t="s">
        <v>230</v>
      </c>
      <c r="C143" s="9" t="n">
        <f aca="false">(C142*Assumptions!$C$53)</f>
        <v>0</v>
      </c>
      <c r="D143" s="9" t="n">
        <f aca="false">(D142*Assumptions!$C$53)</f>
        <v>0</v>
      </c>
      <c r="E143" s="9" t="n">
        <f aca="false">(E142*Assumptions!$C$53)</f>
        <v>0</v>
      </c>
      <c r="F143" s="9" t="n">
        <f aca="false">(F142*Assumptions!$C$53)</f>
        <v>0</v>
      </c>
      <c r="G143" s="9" t="n">
        <f aca="false">(G142*Assumptions!$C$53)</f>
        <v>0</v>
      </c>
      <c r="H143" s="9" t="n">
        <f aca="false">(H142*Assumptions!$C$53)</f>
        <v>0</v>
      </c>
      <c r="I143" s="9" t="n">
        <f aca="false">(I142*Assumptions!$C$53)</f>
        <v>0</v>
      </c>
      <c r="J143" s="9" t="n">
        <f aca="false">(J142*Assumptions!$C$53)</f>
        <v>0</v>
      </c>
      <c r="K143" s="9" t="n">
        <f aca="false">(K142*Assumptions!$C$53)</f>
        <v>0</v>
      </c>
      <c r="L143" s="9" t="n">
        <f aca="false">(L142*Assumptions!$C$53)</f>
        <v>0</v>
      </c>
      <c r="M143" s="9" t="n">
        <f aca="false">(M142*Assumptions!$C$53)</f>
        <v>0</v>
      </c>
      <c r="N143" s="9" t="n">
        <f aca="false">(N142*Assumptions!$C$53)</f>
        <v>0</v>
      </c>
      <c r="O143" s="9" t="n">
        <f aca="false">(O142*Assumptions!$C$53)</f>
        <v>0</v>
      </c>
      <c r="P143" s="9" t="n">
        <f aca="false">(P142*Assumptions!$C$53)</f>
        <v>0</v>
      </c>
      <c r="Q143" s="9" t="n">
        <f aca="false">(Q142*Assumptions!$C$53)</f>
        <v>0</v>
      </c>
      <c r="R143" s="9" t="n">
        <f aca="false">(R142*Assumptions!$C$53)</f>
        <v>0</v>
      </c>
      <c r="S143" s="9" t="n">
        <f aca="false">(S142*Assumptions!$C$53)</f>
        <v>0</v>
      </c>
      <c r="T143" s="9" t="n">
        <f aca="false">(T142*Assumptions!$C$53)</f>
        <v>0</v>
      </c>
      <c r="U143" s="9" t="n">
        <f aca="false">(U142*Assumptions!$C$53)</f>
        <v>0</v>
      </c>
      <c r="V143" s="9" t="n">
        <f aca="false">(V142*Assumptions!$C$53)</f>
        <v>0</v>
      </c>
      <c r="W143" s="9" t="n">
        <f aca="false">(W142*Assumptions!$C$53)</f>
        <v>0</v>
      </c>
      <c r="X143" s="9" t="n">
        <f aca="false">(X142*Assumptions!$C$53)</f>
        <v>0</v>
      </c>
      <c r="Y143" s="9" t="n">
        <f aca="false">(Y142*Assumptions!$C$53)</f>
        <v>0</v>
      </c>
      <c r="Z143" s="9" t="n">
        <f aca="false">(Z142*Assumptions!$C$53)</f>
        <v>0</v>
      </c>
      <c r="AA143" s="9" t="n">
        <f aca="false">(AA142*Assumptions!$C$53)</f>
        <v>0</v>
      </c>
      <c r="AB143" s="9" t="n">
        <f aca="false">(AB142*Assumptions!$C$53)</f>
        <v>0</v>
      </c>
      <c r="AC143" s="9" t="n">
        <f aca="false">(AC142*Assumptions!$C$53)</f>
        <v>0</v>
      </c>
      <c r="AD143" s="9" t="n">
        <f aca="false">(AD142*Assumptions!$C$53)</f>
        <v>0</v>
      </c>
      <c r="AE143" s="9" t="n">
        <f aca="false">(AE142*Assumptions!$C$53)</f>
        <v>0</v>
      </c>
      <c r="AF143" s="9" t="n">
        <f aca="false">(AF142*Assumptions!$C$53)</f>
        <v>0</v>
      </c>
      <c r="AG143" s="9" t="n">
        <f aca="false">(AG142*Assumptions!$C$53)</f>
        <v>10800</v>
      </c>
      <c r="AH143" s="9" t="n">
        <f aca="false">(AH142*Assumptions!$C$53)</f>
        <v>14418</v>
      </c>
      <c r="AI143" s="9" t="n">
        <f aca="false">(AI142*Assumptions!$C$53)</f>
        <v>17891.28</v>
      </c>
      <c r="AJ143" s="9" t="n">
        <f aca="false">(AJ142*Assumptions!$C$53)</f>
        <v>21225.6288</v>
      </c>
      <c r="AK143" s="9" t="n">
        <f aca="false">(AK142*Assumptions!$C$53)</f>
        <v>24426.603648</v>
      </c>
      <c r="AL143" s="9" t="n">
        <f aca="false">(AL142*Assumptions!$C$53)</f>
        <v>27499.53950208</v>
      </c>
      <c r="AN143" s="11" t="n">
        <f aca="false">SUM(C143:N143)</f>
        <v>0</v>
      </c>
      <c r="AO143" s="11" t="n">
        <f aca="false">SUM(O143:Z143)</f>
        <v>0</v>
      </c>
      <c r="AP143" s="11" t="n">
        <f aca="false">SUM(AA143:AL143)</f>
        <v>116261.05195008</v>
      </c>
    </row>
    <row r="144" customFormat="false" ht="15" hidden="false" customHeight="false" outlineLevel="0" collapsed="false">
      <c r="A144" s="0" t="s">
        <v>950</v>
      </c>
      <c r="B144" s="0" t="s">
        <v>230</v>
      </c>
      <c r="C144" s="9" t="n">
        <f aca="false">(C143*Assumptions!$C$54)</f>
        <v>0</v>
      </c>
      <c r="D144" s="9" t="n">
        <f aca="false">(D143*Assumptions!$C$54)</f>
        <v>0</v>
      </c>
      <c r="E144" s="9" t="n">
        <f aca="false">(E143*Assumptions!$C$54)</f>
        <v>0</v>
      </c>
      <c r="F144" s="9" t="n">
        <f aca="false">(F143*Assumptions!$C$54)</f>
        <v>0</v>
      </c>
      <c r="G144" s="9" t="n">
        <f aca="false">(G143*Assumptions!$C$54)</f>
        <v>0</v>
      </c>
      <c r="H144" s="9" t="n">
        <f aca="false">(H143*Assumptions!$C$54)</f>
        <v>0</v>
      </c>
      <c r="I144" s="9" t="n">
        <f aca="false">(I143*Assumptions!$C$54)</f>
        <v>0</v>
      </c>
      <c r="J144" s="9" t="n">
        <f aca="false">(J143*Assumptions!$C$54)</f>
        <v>0</v>
      </c>
      <c r="K144" s="9" t="n">
        <f aca="false">(K143*Assumptions!$C$54)</f>
        <v>0</v>
      </c>
      <c r="L144" s="9" t="n">
        <f aca="false">(L143*Assumptions!$C$54)</f>
        <v>0</v>
      </c>
      <c r="M144" s="9" t="n">
        <f aca="false">(M143*Assumptions!$C$54)</f>
        <v>0</v>
      </c>
      <c r="N144" s="9" t="n">
        <f aca="false">(N143*Assumptions!$C$54)</f>
        <v>0</v>
      </c>
      <c r="O144" s="9" t="n">
        <f aca="false">(O143*Assumptions!$C$54)</f>
        <v>0</v>
      </c>
      <c r="P144" s="9" t="n">
        <f aca="false">(P143*Assumptions!$C$54)</f>
        <v>0</v>
      </c>
      <c r="Q144" s="9" t="n">
        <f aca="false">(Q143*Assumptions!$C$54)</f>
        <v>0</v>
      </c>
      <c r="R144" s="9" t="n">
        <f aca="false">(R143*Assumptions!$C$54)</f>
        <v>0</v>
      </c>
      <c r="S144" s="9" t="n">
        <f aca="false">(S143*Assumptions!$C$54)</f>
        <v>0</v>
      </c>
      <c r="T144" s="9" t="n">
        <f aca="false">(T143*Assumptions!$C$54)</f>
        <v>0</v>
      </c>
      <c r="U144" s="9" t="n">
        <f aca="false">(U143*Assumptions!$C$54)</f>
        <v>0</v>
      </c>
      <c r="V144" s="9" t="n">
        <f aca="false">(V143*Assumptions!$C$54)</f>
        <v>0</v>
      </c>
      <c r="W144" s="9" t="n">
        <f aca="false">(W143*Assumptions!$C$54)</f>
        <v>0</v>
      </c>
      <c r="X144" s="9" t="n">
        <f aca="false">(X143*Assumptions!$C$54)</f>
        <v>0</v>
      </c>
      <c r="Y144" s="9" t="n">
        <f aca="false">(Y143*Assumptions!$C$54)</f>
        <v>0</v>
      </c>
      <c r="Z144" s="9" t="n">
        <f aca="false">(Z143*Assumptions!$C$54)</f>
        <v>0</v>
      </c>
      <c r="AA144" s="9" t="n">
        <f aca="false">(AA143*Assumptions!$C$54)</f>
        <v>0</v>
      </c>
      <c r="AB144" s="9" t="n">
        <f aca="false">(AB143*Assumptions!$C$54)</f>
        <v>0</v>
      </c>
      <c r="AC144" s="9" t="n">
        <f aca="false">(AC143*Assumptions!$C$54)</f>
        <v>0</v>
      </c>
      <c r="AD144" s="9" t="n">
        <f aca="false">(AD143*Assumptions!$C$54)</f>
        <v>0</v>
      </c>
      <c r="AE144" s="9" t="n">
        <f aca="false">(AE143*Assumptions!$C$54)</f>
        <v>0</v>
      </c>
      <c r="AF144" s="9" t="n">
        <f aca="false">(AF143*Assumptions!$C$54)</f>
        <v>0</v>
      </c>
      <c r="AG144" s="9" t="n">
        <f aca="false">(AG143*Assumptions!$C$54)</f>
        <v>1620</v>
      </c>
      <c r="AH144" s="9" t="n">
        <f aca="false">(AH143*Assumptions!$C$54)</f>
        <v>2162.7</v>
      </c>
      <c r="AI144" s="9" t="n">
        <f aca="false">(AI143*Assumptions!$C$54)</f>
        <v>2683.692</v>
      </c>
      <c r="AJ144" s="9" t="n">
        <f aca="false">(AJ143*Assumptions!$C$54)</f>
        <v>3183.84432</v>
      </c>
      <c r="AK144" s="9" t="n">
        <f aca="false">(AK143*Assumptions!$C$54)</f>
        <v>3663.9905472</v>
      </c>
      <c r="AL144" s="9" t="n">
        <f aca="false">(AL143*Assumptions!$C$54)</f>
        <v>4124.930925312</v>
      </c>
      <c r="AN144" s="11" t="n">
        <f aca="false">SUM(C144:N144)</f>
        <v>0</v>
      </c>
      <c r="AO144" s="11" t="n">
        <f aca="false">SUM(O144:Z144)</f>
        <v>0</v>
      </c>
      <c r="AP144" s="11" t="n">
        <f aca="false">SUM(AA144:AL144)</f>
        <v>17439.157792512</v>
      </c>
    </row>
    <row r="145" customFormat="false" ht="15" hidden="false" customHeight="false" outlineLevel="0" collapsed="false">
      <c r="A145" s="21" t="s">
        <v>951</v>
      </c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</row>
    <row r="146" customFormat="false" ht="15" hidden="false" customHeight="false" outlineLevel="0" collapsed="false">
      <c r="A146" s="10" t="s">
        <v>28</v>
      </c>
      <c r="B146" s="20" t="s">
        <v>230</v>
      </c>
      <c r="C146" s="11" t="n">
        <f aca="false">(((((((C42+C129)+C127)+C131)+C136)+C137)+C140)+C144)</f>
        <v>0</v>
      </c>
      <c r="D146" s="11" t="n">
        <f aca="false">(((((((D42+D129)+D127)+D131)+D136)+D137)+D140)+D144)</f>
        <v>0</v>
      </c>
      <c r="E146" s="11" t="n">
        <f aca="false">(((((((E42+E129)+E127)+E131)+E136)+E137)+E140)+E144)</f>
        <v>0</v>
      </c>
      <c r="F146" s="11" t="n">
        <f aca="false">(((((((F42+F129)+F127)+F131)+F136)+F137)+F140)+F144)</f>
        <v>0</v>
      </c>
      <c r="G146" s="11" t="n">
        <f aca="false">(((((((G42+G129)+G127)+G131)+G136)+G137)+G140)+G144)</f>
        <v>0</v>
      </c>
      <c r="H146" s="11" t="n">
        <f aca="false">(((((((H42+H129)+H127)+H131)+H136)+H137)+H140)+H144)</f>
        <v>0</v>
      </c>
      <c r="I146" s="11" t="n">
        <f aca="false">(((((((I42+I129)+I127)+I131)+I136)+I137)+I140)+I144)</f>
        <v>0</v>
      </c>
      <c r="J146" s="11" t="n">
        <f aca="false">(((((((J42+J129)+J127)+J131)+J136)+J137)+J140)+J144)</f>
        <v>0</v>
      </c>
      <c r="K146" s="11" t="n">
        <f aca="false">(((((((K42+K129)+K127)+K131)+K136)+K137)+K140)+K144)</f>
        <v>0</v>
      </c>
      <c r="L146" s="11" t="n">
        <f aca="false">(((((((L42+L129)+L127)+L131)+L136)+L137)+L140)+L144)</f>
        <v>0</v>
      </c>
      <c r="M146" s="11" t="n">
        <f aca="false">(((((((M42+M129)+M127)+M131)+M136)+M137)+M140)+M144)</f>
        <v>0</v>
      </c>
      <c r="N146" s="11" t="n">
        <f aca="false">(((((((N42+N129)+N127)+N131)+N136)+N137)+N140)+N144)</f>
        <v>1320</v>
      </c>
      <c r="O146" s="11" t="n">
        <f aca="false">(((((((O42+O129)+O127)+O131)+O136)+O137)+O140)+O144)</f>
        <v>10845.9646768528</v>
      </c>
      <c r="P146" s="11" t="n">
        <f aca="false">(((((((P42+P129)+P127)+P131)+P136)+P137)+P140)+P144)</f>
        <v>10903.0739018655</v>
      </c>
      <c r="Q146" s="11" t="n">
        <f aca="false">(((((((Q42+Q129)+Q127)+Q131)+Q136)+Q137)+Q140)+Q144)</f>
        <v>14723.1977602126</v>
      </c>
      <c r="R146" s="11" t="n">
        <f aca="false">(((((((R42+R129)+R127)+R131)+R136)+R137)+R140)+R144)</f>
        <v>37652.400435521</v>
      </c>
      <c r="S146" s="11" t="n">
        <f aca="false">(((((((S42+S129)+S127)+S131)+S136)+S137)+S140)+S144)</f>
        <v>37759.7830036419</v>
      </c>
      <c r="T146" s="11" t="n">
        <f aca="false">(((((((T42+T129)+T127)+T131)+T136)+T137)+T140)+T144)</f>
        <v>37872.5125107066</v>
      </c>
      <c r="U146" s="11" t="n">
        <f aca="false">(((((((U42+U129)+U127)+U131)+U136)+U137)+U140)+U144)</f>
        <v>52487.4811056513</v>
      </c>
      <c r="V146" s="11" t="n">
        <f aca="false">(((((((V42+V129)+V127)+V131)+V136)+V137)+V140)+V144)</f>
        <v>53977.1328208233</v>
      </c>
      <c r="W146" s="11" t="n">
        <f aca="false">(((((((W42+W129)+W127)+W131)+W136)+W137)+W140)+W144)</f>
        <v>54129.8960052975</v>
      </c>
      <c r="X146" s="11" t="n">
        <f aca="false">(((((((X42+X129)+X127)+X131)+X136)+X137)+X140)+X144)</f>
        <v>56815.420618819</v>
      </c>
      <c r="Y146" s="11" t="n">
        <f aca="false">(((((((Y42+Y129)+Y127)+Y131)+Y136)+Y137)+Y140)+Y144)</f>
        <v>69809.7620182395</v>
      </c>
      <c r="Z146" s="11" t="n">
        <f aca="false">(((((((Z42+Z129)+Z127)+Z131)+Z136)+Z137)+Z140)+Z144)</f>
        <v>69949.5333789384</v>
      </c>
      <c r="AA146" s="11" t="n">
        <f aca="false">(((((((AA42+AA129)+AA127)+AA131)+AA136)+AA137)+AA140)+AA144)</f>
        <v>80637.9523991718</v>
      </c>
      <c r="AB146" s="11" t="n">
        <f aca="false">(((((((AB42+AB129)+AB127)+AB131)+AB136)+AB137)+AB140)+AB144)</f>
        <v>110677.295187932</v>
      </c>
      <c r="AC146" s="11" t="n">
        <f aca="false">(((((((AC42+AC129)+AC127)+AC131)+AC136)+AC137)+AC140)+AC144)</f>
        <v>111688.299575281</v>
      </c>
      <c r="AD146" s="11" t="n">
        <f aca="false">(((((((AD42+AD129)+AD127)+AD131)+AD136)+AD137)+AD140)+AD144)</f>
        <v>135677.194943382</v>
      </c>
      <c r="AE146" s="11" t="n">
        <f aca="false">(((((((AE42+AE129)+AE127)+AE131)+AE136)+AE137)+AE140)+AE144)</f>
        <v>159732.244515522</v>
      </c>
      <c r="AF146" s="11" t="n">
        <f aca="false">(((((((AF42+AF129)+AF127)+AF131)+AF136)+AF137)+AF140)+AF144)</f>
        <v>206754.335064396</v>
      </c>
      <c r="AG146" s="11" t="n">
        <f aca="false">(((((((AG42+AG129)+AG127)+AG131)+AG136)+AG137)+AG140)+AG144)</f>
        <v>215452.406618509</v>
      </c>
      <c r="AH146" s="11" t="n">
        <f aca="false">(((((((AH42+AH129)+AH127)+AH131)+AH136)+AH137)+AH140)+AH144)</f>
        <v>235323.792374803</v>
      </c>
      <c r="AI146" s="11" t="n">
        <f aca="false">(((((((AI42+AI129)+AI127)+AI131)+AI136)+AI137)+AI140)+AI144)</f>
        <v>202540.414747642</v>
      </c>
      <c r="AJ146" s="11" t="n">
        <f aca="false">(((((((AJ42+AJ129)+AJ127)+AJ131)+AJ136)+AJ137)+AJ140)+AJ144)</f>
        <v>214564.792794595</v>
      </c>
      <c r="AK146" s="11" t="n">
        <f aca="false">(((((((AK42+AK129)+AK127)+AK131)+AK136)+AK137)+AK140)+AK144)</f>
        <v>268961.351784262</v>
      </c>
      <c r="AL146" s="11" t="n">
        <f aca="false">(((((((AL42+AL129)+AL127)+AL131)+AL136)+AL137)+AL140)+AL144)</f>
        <v>359931.629493632</v>
      </c>
      <c r="AN146" s="11" t="n">
        <f aca="false">SUM(C146:N146)</f>
        <v>1320</v>
      </c>
      <c r="AO146" s="11" t="n">
        <f aca="false">SUM(O146:Z146)</f>
        <v>506926.158236569</v>
      </c>
      <c r="AP146" s="11" t="n">
        <f aca="false">SUM(AA146:AL146)</f>
        <v>2301941.70949913</v>
      </c>
    </row>
    <row r="147" customFormat="false" ht="15" hidden="false" customHeight="false" outlineLevel="0" collapsed="false">
      <c r="A147" s="0" t="s">
        <v>952</v>
      </c>
      <c r="B147" s="0" t="s">
        <v>230</v>
      </c>
      <c r="C147" s="9" t="n">
        <f aca="false">((((C42+C127)+C136)+C137)+C140)</f>
        <v>0</v>
      </c>
      <c r="D147" s="9" t="n">
        <f aca="false">((((D42+D127)+D136)+D137)+D140)</f>
        <v>0</v>
      </c>
      <c r="E147" s="9" t="n">
        <f aca="false">((((E42+E127)+E136)+E137)+E140)</f>
        <v>0</v>
      </c>
      <c r="F147" s="9" t="n">
        <f aca="false">((((F42+F127)+F136)+F137)+F140)</f>
        <v>0</v>
      </c>
      <c r="G147" s="9" t="n">
        <f aca="false">((((G42+G127)+G136)+G137)+G140)</f>
        <v>0</v>
      </c>
      <c r="H147" s="9" t="n">
        <f aca="false">((((H42+H127)+H136)+H137)+H140)</f>
        <v>0</v>
      </c>
      <c r="I147" s="9" t="n">
        <f aca="false">((((I42+I127)+I136)+I137)+I140)</f>
        <v>0</v>
      </c>
      <c r="J147" s="9" t="n">
        <f aca="false">((((J42+J127)+J136)+J137)+J140)</f>
        <v>0</v>
      </c>
      <c r="K147" s="9" t="n">
        <f aca="false">((((K42+K127)+K136)+K137)+K140)</f>
        <v>0</v>
      </c>
      <c r="L147" s="9" t="n">
        <f aca="false">((((L42+L127)+L136)+L137)+L140)</f>
        <v>0</v>
      </c>
      <c r="M147" s="9" t="n">
        <f aca="false">((((M42+M127)+M136)+M137)+M140)</f>
        <v>0</v>
      </c>
      <c r="N147" s="9" t="n">
        <f aca="false">((((N42+N127)+N136)+N137)+N140)</f>
        <v>1320</v>
      </c>
      <c r="O147" s="9" t="n">
        <f aca="false">((((O42+O127)+O136)+O137)+O140)</f>
        <v>1345.96467685284</v>
      </c>
      <c r="P147" s="9" t="n">
        <f aca="false">((((P42+P127)+P136)+P137)+P140)</f>
        <v>1403.0739018655</v>
      </c>
      <c r="Q147" s="9" t="n">
        <f aca="false">((((Q42+Q127)+Q136)+Q137)+Q140)</f>
        <v>5223.19776021259</v>
      </c>
      <c r="R147" s="9" t="n">
        <f aca="false">((((R42+R127)+R136)+R137)+R140)</f>
        <v>5319.06710218766</v>
      </c>
      <c r="S147" s="9" t="n">
        <f aca="false">((((S42+S127)+S136)+S137)+S140)</f>
        <v>5426.44967030858</v>
      </c>
      <c r="T147" s="9" t="n">
        <f aca="false">((((T42+T127)+T136)+T137)+T140)</f>
        <v>5539.17917737329</v>
      </c>
      <c r="U147" s="9" t="n">
        <f aca="false">((((U42+U127)+U136)+U137)+U140)</f>
        <v>5654.14777231801</v>
      </c>
      <c r="V147" s="9" t="n">
        <f aca="false">((((V42+V127)+V136)+V137)+V140)</f>
        <v>7143.79948748994</v>
      </c>
      <c r="W147" s="9" t="n">
        <f aca="false">((((W42+W127)+W136)+W137)+W140)</f>
        <v>7296.56267196416</v>
      </c>
      <c r="X147" s="9" t="n">
        <f aca="false">((((X42+X127)+X136)+X137)+X140)</f>
        <v>7482.08728548562</v>
      </c>
      <c r="Y147" s="9" t="n">
        <f aca="false">((((Y42+Y127)+Y136)+Y137)+Y140)</f>
        <v>13476.4286849061</v>
      </c>
      <c r="Z147" s="9" t="n">
        <f aca="false">((((Z42+Z127)+Z136)+Z137)+Z140)</f>
        <v>13616.200045605</v>
      </c>
      <c r="AA147" s="9" t="n">
        <f aca="false">((((AA42+AA127)+AA136)+AA137)+AA140)</f>
        <v>14804.6190658385</v>
      </c>
      <c r="AB147" s="9" t="n">
        <f aca="false">((((AB42+AB127)+AB136)+AB137)+AB140)</f>
        <v>29510.6285212655</v>
      </c>
      <c r="AC147" s="9" t="n">
        <f aca="false">((((AC42+AC127)+AC136)+AC137)+AC140)</f>
        <v>30521.6329086144</v>
      </c>
      <c r="AD147" s="9" t="n">
        <f aca="false">((((AD42+AD127)+AD136)+AD137)+AD140)</f>
        <v>31677.1949433816</v>
      </c>
      <c r="AE147" s="9" t="n">
        <f aca="false">((((AE42+AE127)+AE136)+AE137)+AE140)</f>
        <v>48732.2445155216</v>
      </c>
      <c r="AF147" s="9" t="n">
        <f aca="false">((((AF42+AF127)+AF136)+AF137)+AF140)</f>
        <v>50421.0017310623</v>
      </c>
      <c r="AG147" s="9" t="n">
        <f aca="false">((((AG42+AG127)+AG136)+AG137)+AG140)</f>
        <v>52499.0732851752</v>
      </c>
      <c r="AH147" s="9" t="n">
        <f aca="false">((((AH42+AH127)+AH136)+AH137)+AH140)</f>
        <v>71827.7590414694</v>
      </c>
      <c r="AI147" s="9" t="n">
        <f aca="false">((((AI42+AI127)+AI136)+AI137)+AI140)</f>
        <v>73856.7227476419</v>
      </c>
      <c r="AJ147" s="9" t="n">
        <f aca="false">((((AJ42+AJ127)+AJ136)+AJ137)+AJ140)</f>
        <v>75880.9484745947</v>
      </c>
      <c r="AK147" s="9" t="n">
        <f aca="false">((((AK42+AK127)+AK136)+AK137)+AK140)</f>
        <v>107464.027903729</v>
      </c>
      <c r="AL147" s="9" t="n">
        <f aca="false">((((AL42+AL127)+AL136)+AL137)+AL140)</f>
        <v>127306.69856832</v>
      </c>
      <c r="AN147" s="11" t="n">
        <f aca="false">SUM(C147:N147)</f>
        <v>1320</v>
      </c>
      <c r="AO147" s="11" t="n">
        <f aca="false">SUM(O147:Z147)</f>
        <v>78926.1582365693</v>
      </c>
      <c r="AP147" s="11" t="n">
        <f aca="false">SUM(AA147:AL147)</f>
        <v>714502.551706614</v>
      </c>
    </row>
    <row r="148" customFormat="false" ht="15" hidden="false" customHeight="false" outlineLevel="0" collapsed="false">
      <c r="A148" s="10" t="s">
        <v>953</v>
      </c>
      <c r="B148" s="20" t="s">
        <v>230</v>
      </c>
      <c r="C148" s="11" t="n">
        <f aca="false">(C147*12)</f>
        <v>0</v>
      </c>
      <c r="D148" s="11" t="n">
        <f aca="false">(D147*12)</f>
        <v>0</v>
      </c>
      <c r="E148" s="11" t="n">
        <f aca="false">(E147*12)</f>
        <v>0</v>
      </c>
      <c r="F148" s="11" t="n">
        <f aca="false">(F147*12)</f>
        <v>0</v>
      </c>
      <c r="G148" s="11" t="n">
        <f aca="false">(G147*12)</f>
        <v>0</v>
      </c>
      <c r="H148" s="11" t="n">
        <f aca="false">(H147*12)</f>
        <v>0</v>
      </c>
      <c r="I148" s="11" t="n">
        <f aca="false">(I147*12)</f>
        <v>0</v>
      </c>
      <c r="J148" s="11" t="n">
        <f aca="false">(J147*12)</f>
        <v>0</v>
      </c>
      <c r="K148" s="11" t="n">
        <f aca="false">(K147*12)</f>
        <v>0</v>
      </c>
      <c r="L148" s="11" t="n">
        <f aca="false">(L147*12)</f>
        <v>0</v>
      </c>
      <c r="M148" s="11" t="n">
        <f aca="false">(M147*12)</f>
        <v>0</v>
      </c>
      <c r="N148" s="11" t="n">
        <f aca="false">(N147*12)</f>
        <v>15840</v>
      </c>
      <c r="O148" s="11" t="n">
        <f aca="false">(O147*12)</f>
        <v>16151.5761222341</v>
      </c>
      <c r="P148" s="11" t="n">
        <f aca="false">(P147*12)</f>
        <v>16836.886822386</v>
      </c>
      <c r="Q148" s="11" t="n">
        <f aca="false">(Q147*12)</f>
        <v>62678.373122551</v>
      </c>
      <c r="R148" s="11" t="n">
        <f aca="false">(R147*12)</f>
        <v>63828.8052262519</v>
      </c>
      <c r="S148" s="11" t="n">
        <f aca="false">(S147*12)</f>
        <v>65117.3960437029</v>
      </c>
      <c r="T148" s="11" t="n">
        <f aca="false">(T147*12)</f>
        <v>66470.1501284794</v>
      </c>
      <c r="U148" s="11" t="n">
        <f aca="false">(U147*12)</f>
        <v>67849.7732678161</v>
      </c>
      <c r="V148" s="11" t="n">
        <f aca="false">(V147*12)</f>
        <v>85725.5938498793</v>
      </c>
      <c r="W148" s="11" t="n">
        <f aca="false">(W147*12)</f>
        <v>87558.75206357</v>
      </c>
      <c r="X148" s="11" t="n">
        <f aca="false">(X147*12)</f>
        <v>89785.0474258275</v>
      </c>
      <c r="Y148" s="11" t="n">
        <f aca="false">(Y147*12)</f>
        <v>161717.144218873</v>
      </c>
      <c r="Z148" s="11" t="n">
        <f aca="false">(Z147*12)</f>
        <v>163394.40054726</v>
      </c>
      <c r="AA148" s="11" t="n">
        <f aca="false">(AA147*12)</f>
        <v>177655.428790061</v>
      </c>
      <c r="AB148" s="11" t="n">
        <f aca="false">(AB147*12)</f>
        <v>354127.542255186</v>
      </c>
      <c r="AC148" s="11" t="n">
        <f aca="false">(AC147*12)</f>
        <v>366259.594903373</v>
      </c>
      <c r="AD148" s="11" t="n">
        <f aca="false">(AD147*12)</f>
        <v>380126.33932058</v>
      </c>
      <c r="AE148" s="11" t="n">
        <f aca="false">(AE147*12)</f>
        <v>584786.934186259</v>
      </c>
      <c r="AF148" s="11" t="n">
        <f aca="false">(AF147*12)</f>
        <v>605052.020772747</v>
      </c>
      <c r="AG148" s="11" t="n">
        <f aca="false">(AG147*12)</f>
        <v>629988.879422103</v>
      </c>
      <c r="AH148" s="11" t="n">
        <f aca="false">(AH147*12)</f>
        <v>861933.108497633</v>
      </c>
      <c r="AI148" s="11" t="n">
        <f aca="false">(AI147*12)</f>
        <v>886280.672971703</v>
      </c>
      <c r="AJ148" s="11" t="n">
        <f aca="false">(AJ147*12)</f>
        <v>910571.381695137</v>
      </c>
      <c r="AK148" s="11" t="n">
        <f aca="false">(AK147*12)</f>
        <v>1289568.33484474</v>
      </c>
      <c r="AL148" s="11" t="n">
        <f aca="false">(AL147*12)</f>
        <v>1527680.38281984</v>
      </c>
      <c r="AN148" s="11" t="n">
        <f aca="false">N148</f>
        <v>15840</v>
      </c>
      <c r="AO148" s="11" t="n">
        <f aca="false">Z148</f>
        <v>163394.40054726</v>
      </c>
      <c r="AP148" s="11" t="n">
        <f aca="false">AL148</f>
        <v>1527680.38281984</v>
      </c>
    </row>
    <row r="149" customFormat="false" ht="15" hidden="false" customHeight="false" outlineLevel="0" collapsed="false">
      <c r="A149" s="0" t="s">
        <v>954</v>
      </c>
      <c r="B149" s="0" t="s">
        <v>230</v>
      </c>
      <c r="C149" s="9" t="n">
        <f aca="false">((((C127+C136)+C137)+C140)*12)</f>
        <v>0</v>
      </c>
      <c r="D149" s="9" t="n">
        <f aca="false">((((D127+D136)+D137)+D140)*12)</f>
        <v>0</v>
      </c>
      <c r="E149" s="9" t="n">
        <f aca="false">((((E127+E136)+E137)+E140)*12)</f>
        <v>0</v>
      </c>
      <c r="F149" s="9" t="n">
        <f aca="false">((((F127+F136)+F137)+F140)*12)</f>
        <v>0</v>
      </c>
      <c r="G149" s="9" t="n">
        <f aca="false">((((G127+G136)+G137)+G140)*12)</f>
        <v>0</v>
      </c>
      <c r="H149" s="9" t="n">
        <f aca="false">((((H127+H136)+H137)+H140)*12)</f>
        <v>0</v>
      </c>
      <c r="I149" s="9" t="n">
        <f aca="false">((((I127+I136)+I137)+I140)*12)</f>
        <v>0</v>
      </c>
      <c r="J149" s="9" t="n">
        <f aca="false">((((J127+J136)+J137)+J140)*12)</f>
        <v>0</v>
      </c>
      <c r="K149" s="9" t="n">
        <f aca="false">((((K127+K136)+K137)+K140)*12)</f>
        <v>0</v>
      </c>
      <c r="L149" s="9" t="n">
        <f aca="false">((((L127+L136)+L137)+L140)*12)</f>
        <v>0</v>
      </c>
      <c r="M149" s="9" t="n">
        <f aca="false">((((M127+M136)+M137)+M140)*12)</f>
        <v>0</v>
      </c>
      <c r="N149" s="9" t="n">
        <f aca="false">((((N127+N136)+N137)+N140)*12)</f>
        <v>15840</v>
      </c>
      <c r="O149" s="9" t="n">
        <f aca="false">((((O127+O136)+O137)+O140)*12)</f>
        <v>15840</v>
      </c>
      <c r="P149" s="9" t="n">
        <f aca="false">((((P127+P136)+P137)+P140)*12)</f>
        <v>15840</v>
      </c>
      <c r="Q149" s="9" t="n">
        <f aca="false">((((Q127+Q136)+Q137)+Q140)*12)</f>
        <v>60720</v>
      </c>
      <c r="R149" s="9" t="n">
        <f aca="false">((((R127+R136)+R137)+R140)*12)</f>
        <v>60720</v>
      </c>
      <c r="S149" s="9" t="n">
        <f aca="false">((((S127+S136)+S137)+S140)*12)</f>
        <v>60720</v>
      </c>
      <c r="T149" s="9" t="n">
        <f aca="false">((((T127+T136)+T137)+T140)*12)</f>
        <v>60720</v>
      </c>
      <c r="U149" s="9" t="n">
        <f aca="false">((((U127+U136)+U137)+U140)*12)</f>
        <v>60720</v>
      </c>
      <c r="V149" s="9" t="n">
        <f aca="false">((((V127+V136)+V137)+V140)*12)</f>
        <v>77130</v>
      </c>
      <c r="W149" s="9" t="n">
        <f aca="false">((((W127+W136)+W137)+W140)*12)</f>
        <v>77130</v>
      </c>
      <c r="X149" s="9" t="n">
        <f aca="false">((((X127+X136)+X137)+X140)*12)</f>
        <v>77130</v>
      </c>
      <c r="Y149" s="9" t="n">
        <f aca="false">((((Y127+Y136)+Y137)+Y140)*12)</f>
        <v>146730</v>
      </c>
      <c r="Z149" s="9" t="n">
        <f aca="false">((((Z127+Z136)+Z137)+Z140)*12)</f>
        <v>146050.32</v>
      </c>
      <c r="AA149" s="9" t="n">
        <f aca="false">((((AA127+AA136)+AA137)+AA140)*12)</f>
        <v>158050.32</v>
      </c>
      <c r="AB149" s="9" t="n">
        <f aca="false">((((AB127+AB136)+AB137)+AB140)*12)</f>
        <v>332060.32</v>
      </c>
      <c r="AC149" s="9" t="n">
        <f aca="false">((((AC127+AC136)+AC137)+AC140)*12)</f>
        <v>341630.56</v>
      </c>
      <c r="AD149" s="9" t="n">
        <f aca="false">((((AD127+AD136)+AD137)+AD140)*12)</f>
        <v>352924.864</v>
      </c>
      <c r="AE149" s="9" t="n">
        <f aca="false">((((AE127+AE136)+AE137)+AE140)*12)</f>
        <v>555043.28192</v>
      </c>
      <c r="AF149" s="9" t="n">
        <f aca="false">((((AF127+AF136)+AF137)+AF140)*12)</f>
        <v>572870.7314816</v>
      </c>
      <c r="AG149" s="9" t="n">
        <f aca="false">((((AG127+AG136)+AG137)+AG140)*12)</f>
        <v>595500.840051968</v>
      </c>
      <c r="AH149" s="9" t="n">
        <f aca="false">((((AH127+AH136)+AH137)+AH140)*12)</f>
        <v>825171.946450929</v>
      </c>
      <c r="AI149" s="9" t="n">
        <f aca="false">((((AI127+AI136)+AI137)+AI140)*12)</f>
        <v>846905.90272191</v>
      </c>
      <c r="AJ149" s="9" t="n">
        <f aca="false">((((AJ127+AJ136)+AJ137)+AJ140)*12)</f>
        <v>868205.179867472</v>
      </c>
      <c r="AK149" s="9" t="n">
        <f aca="false">((((AK127+AK136)+AK137)+AK140)*12)</f>
        <v>1244186.15147012</v>
      </c>
      <c r="AL149" s="9" t="n">
        <f aca="false">((((AL127+AL136)+AL137)+AL140)*12)</f>
        <v>1479349.25340072</v>
      </c>
      <c r="AN149" s="11" t="n">
        <f aca="false">N149</f>
        <v>15840</v>
      </c>
      <c r="AO149" s="11" t="n">
        <f aca="false">Z149</f>
        <v>146050.32</v>
      </c>
      <c r="AP149" s="11" t="n">
        <f aca="false">AL149</f>
        <v>1479349.25340072</v>
      </c>
    </row>
    <row r="150" customFormat="false" ht="15" hidden="false" customHeight="false" outlineLevel="0" collapsed="false">
      <c r="A150" s="0" t="s">
        <v>955</v>
      </c>
      <c r="B150" s="0" t="s">
        <v>230</v>
      </c>
      <c r="C150" s="9" t="n">
        <f aca="false">(C42*12)</f>
        <v>0</v>
      </c>
      <c r="D150" s="9" t="n">
        <f aca="false">(D42*12)</f>
        <v>0</v>
      </c>
      <c r="E150" s="9" t="n">
        <f aca="false">(E42*12)</f>
        <v>0</v>
      </c>
      <c r="F150" s="9" t="n">
        <f aca="false">(F42*12)</f>
        <v>0</v>
      </c>
      <c r="G150" s="9" t="n">
        <f aca="false">(G42*12)</f>
        <v>0</v>
      </c>
      <c r="H150" s="9" t="n">
        <f aca="false">(H42*12)</f>
        <v>0</v>
      </c>
      <c r="I150" s="9" t="n">
        <f aca="false">(I42*12)</f>
        <v>0</v>
      </c>
      <c r="J150" s="9" t="n">
        <f aca="false">(J42*12)</f>
        <v>0</v>
      </c>
      <c r="K150" s="9" t="n">
        <f aca="false">(K42*12)</f>
        <v>0</v>
      </c>
      <c r="L150" s="9" t="n">
        <f aca="false">(L42*12)</f>
        <v>0</v>
      </c>
      <c r="M150" s="9" t="n">
        <f aca="false">(M42*12)</f>
        <v>0</v>
      </c>
      <c r="N150" s="9" t="n">
        <f aca="false">(N42*12)</f>
        <v>0</v>
      </c>
      <c r="O150" s="9" t="n">
        <f aca="false">(O42*12)</f>
        <v>311.576122234068</v>
      </c>
      <c r="P150" s="9" t="n">
        <f aca="false">(P42*12)</f>
        <v>996.886822386001</v>
      </c>
      <c r="Q150" s="9" t="n">
        <f aca="false">(Q42*12)</f>
        <v>1958.37312255104</v>
      </c>
      <c r="R150" s="9" t="n">
        <f aca="false">(R42*12)</f>
        <v>3108.80522625186</v>
      </c>
      <c r="S150" s="9" t="n">
        <f aca="false">(S42*12)</f>
        <v>4397.39604370293</v>
      </c>
      <c r="T150" s="9" t="n">
        <f aca="false">(T42*12)</f>
        <v>5750.15012847944</v>
      </c>
      <c r="U150" s="9" t="n">
        <f aca="false">(U42*12)</f>
        <v>7129.77326781614</v>
      </c>
      <c r="V150" s="9" t="n">
        <f aca="false">(V42*12)</f>
        <v>8595.5938498793</v>
      </c>
      <c r="W150" s="9" t="n">
        <f aca="false">(W42*12)</f>
        <v>10428.75206357</v>
      </c>
      <c r="X150" s="9" t="n">
        <f aca="false">(X42*12)</f>
        <v>12655.0474258275</v>
      </c>
      <c r="Y150" s="9" t="n">
        <f aca="false">(Y42*12)</f>
        <v>14987.1442188732</v>
      </c>
      <c r="Z150" s="9" t="n">
        <f aca="false">(Z42*12)</f>
        <v>17344.0805472603</v>
      </c>
      <c r="AA150" s="9" t="n">
        <f aca="false">(AA42*12)</f>
        <v>19605.1087900615</v>
      </c>
      <c r="AB150" s="9" t="n">
        <f aca="false">(AB42*12)</f>
        <v>22067.2222551861</v>
      </c>
      <c r="AC150" s="9" t="n">
        <f aca="false">(AC42*12)</f>
        <v>24629.0349033734</v>
      </c>
      <c r="AD150" s="9" t="n">
        <f aca="false">(AD42*12)</f>
        <v>27201.4753205796</v>
      </c>
      <c r="AE150" s="9" t="n">
        <f aca="false">(AE42*12)</f>
        <v>29743.6522662586</v>
      </c>
      <c r="AF150" s="9" t="n">
        <f aca="false">(AF42*12)</f>
        <v>32181.2892911471</v>
      </c>
      <c r="AG150" s="9" t="n">
        <f aca="false">(AG42*12)</f>
        <v>34488.0393701347</v>
      </c>
      <c r="AH150" s="9" t="n">
        <f aca="false">(AH42*12)</f>
        <v>36761.1620467044</v>
      </c>
      <c r="AI150" s="9" t="n">
        <f aca="false">(AI42*12)</f>
        <v>39374.770249793</v>
      </c>
      <c r="AJ150" s="9" t="n">
        <f aca="false">(AJ42*12)</f>
        <v>42366.201827665</v>
      </c>
      <c r="AK150" s="9" t="n">
        <f aca="false">(AK42*12)</f>
        <v>45382.1833746197</v>
      </c>
      <c r="AL150" s="9" t="n">
        <f aca="false">(AL42*12)</f>
        <v>48331.1294191236</v>
      </c>
      <c r="AN150" s="11" t="n">
        <f aca="false">N150</f>
        <v>0</v>
      </c>
      <c r="AO150" s="11" t="n">
        <f aca="false">Z150</f>
        <v>17344.0805472603</v>
      </c>
      <c r="AP150" s="11" t="n">
        <f aca="false">AL150</f>
        <v>48331.1294191236</v>
      </c>
    </row>
    <row r="151" customFormat="false" ht="15" hidden="false" customHeight="false" outlineLevel="0" collapsed="false">
      <c r="A151" s="10" t="s">
        <v>956</v>
      </c>
      <c r="B151" s="20" t="s">
        <v>230</v>
      </c>
      <c r="C151" s="11" t="n">
        <f aca="false">(((((((C41+C130)+C128)+C132)+C136)+C137)+C140)+C144)</f>
        <v>0</v>
      </c>
      <c r="D151" s="11" t="n">
        <f aca="false">(((((((D41+D130)+D128)+D132)+D136)+D137)+D140)+D144)</f>
        <v>0</v>
      </c>
      <c r="E151" s="11" t="n">
        <f aca="false">(((((((E41+E130)+E128)+E132)+E136)+E137)+E140)+E144)</f>
        <v>0</v>
      </c>
      <c r="F151" s="11" t="n">
        <f aca="false">(((((((F41+F130)+F128)+F132)+F136)+F137)+F140)+F144)</f>
        <v>0</v>
      </c>
      <c r="G151" s="11" t="n">
        <f aca="false">(((((((G41+G130)+G128)+G132)+G136)+G137)+G140)+G144)</f>
        <v>0</v>
      </c>
      <c r="H151" s="11" t="n">
        <f aca="false">(((((((H41+H130)+H128)+H132)+H136)+H137)+H140)+H144)</f>
        <v>0</v>
      </c>
      <c r="I151" s="11" t="n">
        <f aca="false">(((((((I41+I130)+I128)+I132)+I136)+I137)+I140)+I144)</f>
        <v>0</v>
      </c>
      <c r="J151" s="11" t="n">
        <f aca="false">(((((((J41+J130)+J128)+J132)+J136)+J137)+J140)+J144)</f>
        <v>0</v>
      </c>
      <c r="K151" s="11" t="n">
        <f aca="false">(((((((K41+K130)+K128)+K132)+K136)+K137)+K140)+K144)</f>
        <v>0</v>
      </c>
      <c r="L151" s="11" t="n">
        <f aca="false">(((((((L41+L130)+L128)+L132)+L136)+L137)+L140)+L144)</f>
        <v>0</v>
      </c>
      <c r="M151" s="11" t="n">
        <f aca="false">(((((((M41+M130)+M128)+M132)+M136)+M137)+M140)+M144)</f>
        <v>0</v>
      </c>
      <c r="N151" s="11" t="n">
        <f aca="false">(((((((N41+N130)+N128)+N132)+N136)+N137)+N140)+N144)</f>
        <v>15840</v>
      </c>
      <c r="O151" s="11" t="n">
        <f aca="false">(((((((O41+O130)+O128)+O132)+O136)+O137)+O140)+O144)</f>
        <v>36121.6079828777</v>
      </c>
      <c r="P151" s="11" t="n">
        <f aca="false">(((((((P41+P130)+P128)+P132)+P136)+P137)+P140)+P144)</f>
        <v>287.926957961313</v>
      </c>
      <c r="Q151" s="11" t="n">
        <f aca="false">(((((((Q41+Q130)+Q128)+Q132)+Q136)+Q137)+Q140)+Q144)</f>
        <v>45320.356712315</v>
      </c>
      <c r="R151" s="11" t="n">
        <f aca="false">(((((((R41+R130)+R128)+R132)+R136)+R137)+R140)+R144)</f>
        <v>112576.120353043</v>
      </c>
      <c r="S151" s="11" t="n">
        <f aca="false">(((((((S41+S130)+S128)+S132)+S136)+S137)+S140)+S144)</f>
        <v>703.425043098247</v>
      </c>
      <c r="T151" s="11" t="n">
        <f aca="false">(((((((T41+T130)+T128)+T132)+T136)+T137)+T140)+T144)</f>
        <v>809.68885595449</v>
      </c>
      <c r="U151" s="11" t="n">
        <f aca="false">(((((((U41+U130)+U128)+U132)+U136)+U137)+U140)+U144)</f>
        <v>148904.248242157</v>
      </c>
      <c r="V151" s="11" t="n">
        <f aca="false">(((((((V41+V130)+V128)+V132)+V136)+V137)+V140)+V144)</f>
        <v>11052.319364051</v>
      </c>
      <c r="W151" s="11" t="n">
        <f aca="false">(((((((W41+W130)+W128)+W132)+W136)+W137)+W140)+W144)</f>
        <v>1834.36335472606</v>
      </c>
      <c r="X151" s="11" t="n">
        <f aca="false">(((((((X41+X130)+X128)+X132)+X136)+X137)+X140)+X144)</f>
        <v>150099.102727603</v>
      </c>
      <c r="Y151" s="11" t="n">
        <f aca="false">(((((((Y41+Y130)+Y128)+Y132)+Y136)+Y137)+Y140)+Y144)</f>
        <v>86605.635515643</v>
      </c>
      <c r="Z151" s="11" t="n">
        <f aca="false">(((((((Z41+Z130)+Z128)+Z132)+Z136)+Z137)+Z140)+Z144)</f>
        <v>18313.9689143635</v>
      </c>
      <c r="AA151" s="11" t="n">
        <f aca="false">(((((((AA41+AA130)+AA128)+AA132)+AA136)+AA137)+AA140)+AA144)</f>
        <v>188158.333598324</v>
      </c>
      <c r="AB151" s="11" t="n">
        <f aca="false">(((((((AB41+AB130)+AB128)+AB132)+AB136)+AB137)+AB140)+AB144)</f>
        <v>220723.812593199</v>
      </c>
      <c r="AC151" s="11" t="n">
        <f aca="false">(((((((AC41+AC130)+AC128)+AC132)+AC136)+AC137)+AC140)+AC144)</f>
        <v>51334.7918486731</v>
      </c>
      <c r="AD151" s="11" t="n">
        <f aca="false">(((((((AD41+AD130)+AD128)+AD132)+AD136)+AD137)+AD140)+AD144)</f>
        <v>269045.276029969</v>
      </c>
      <c r="AE151" s="11" t="n">
        <f aca="false">(((((((AE41+AE130)+AE128)+AE132)+AE136)+AE137)+AE140)+AE144)</f>
        <v>273034.149235885</v>
      </c>
      <c r="AF151" s="11" t="n">
        <f aca="false">(((((((AF41+AF130)+AF128)+AF132)+AF136)+AF137)+AF140)+AF144)</f>
        <v>179247.410449755</v>
      </c>
      <c r="AG151" s="11" t="n">
        <f aca="false">(((((((AG41+AG130)+AG128)+AG132)+AG136)+AG137)+AG140)+AG144)</f>
        <v>276863.519610794</v>
      </c>
      <c r="AH151" s="11" t="n">
        <f aca="false">(((((((AH41+AH130)+AH128)+AH132)+AH136)+AH137)+AH140)+AH144)</f>
        <v>304819.809801724</v>
      </c>
      <c r="AI151" s="11" t="n">
        <f aca="false">(((((((AI41+AI130)+AI128)+AI132)+AI136)+AI137)+AI140)+AI144)</f>
        <v>23878.406056737</v>
      </c>
      <c r="AJ151" s="11" t="n">
        <f aca="false">(((((((AJ41+AJ130)+AJ128)+AJ132)+AJ136)+AJ137)+AJ140)+AJ144)</f>
        <v>322565.39996971</v>
      </c>
      <c r="AK151" s="11" t="n">
        <f aca="false">(((((((AK41+AK130)+AK128)+AK132)+AK136)+AK137)+AK140)+AK144)</f>
        <v>568902.959372518</v>
      </c>
      <c r="AL151" s="11" t="n">
        <f aca="false">(((((((AL41+AL130)+AL128)+AL132)+AL136)+AL137)+AL140)+AL144)</f>
        <v>516604.400127804</v>
      </c>
      <c r="AN151" s="11" t="n">
        <f aca="false">SUM(C151:N151)</f>
        <v>15840</v>
      </c>
      <c r="AO151" s="11" t="n">
        <f aca="false">SUM(O151:Z151)</f>
        <v>612628.764023793</v>
      </c>
      <c r="AP151" s="11" t="n">
        <f aca="false">SUM(AA151:AL151)</f>
        <v>3195178.26869509</v>
      </c>
    </row>
    <row r="152" customFormat="false" ht="15" hidden="false" customHeight="false" outlineLevel="0" collapsed="false">
      <c r="A152" s="0" t="s">
        <v>957</v>
      </c>
      <c r="B152" s="0" t="s">
        <v>230</v>
      </c>
      <c r="C152" s="9" t="n">
        <f aca="false">((C130+C128)+C132)</f>
        <v>0</v>
      </c>
      <c r="D152" s="9" t="n">
        <f aca="false">((D130+D128)+D132)</f>
        <v>0</v>
      </c>
      <c r="E152" s="9" t="n">
        <f aca="false">((E130+E128)+E132)</f>
        <v>0</v>
      </c>
      <c r="F152" s="9" t="n">
        <f aca="false">((F130+F128)+F132)</f>
        <v>0</v>
      </c>
      <c r="G152" s="9" t="n">
        <f aca="false">((G130+G128)+G132)</f>
        <v>0</v>
      </c>
      <c r="H152" s="9" t="n">
        <f aca="false">((H130+H128)+H132)</f>
        <v>0</v>
      </c>
      <c r="I152" s="9" t="n">
        <f aca="false">((I130+I128)+I132)</f>
        <v>0</v>
      </c>
      <c r="J152" s="9" t="n">
        <f aca="false">((J130+J128)+J132)</f>
        <v>0</v>
      </c>
      <c r="K152" s="9" t="n">
        <f aca="false">((K130+K128)+K132)</f>
        <v>0</v>
      </c>
      <c r="L152" s="9" t="n">
        <f aca="false">((L130+L128)+L132)</f>
        <v>0</v>
      </c>
      <c r="M152" s="9" t="n">
        <f aca="false">((M130+M128)+M132)</f>
        <v>0</v>
      </c>
      <c r="N152" s="9" t="n">
        <f aca="false">((N130+N128)+N132)</f>
        <v>15840</v>
      </c>
      <c r="O152" s="9" t="n">
        <f aca="false">((O130+O128)+O132)</f>
        <v>36000</v>
      </c>
      <c r="P152" s="9" t="n">
        <f aca="false">((P130+P128)+P132)</f>
        <v>0</v>
      </c>
      <c r="Q152" s="9" t="n">
        <f aca="false">((Q130+Q128)+Q132)</f>
        <v>44880</v>
      </c>
      <c r="R152" s="9" t="n">
        <f aca="false">((R130+R128)+R132)</f>
        <v>112000</v>
      </c>
      <c r="S152" s="9" t="n">
        <f aca="false">((S130+S128)+S132)</f>
        <v>0</v>
      </c>
      <c r="T152" s="9" t="n">
        <f aca="false">((T130+T128)+T132)</f>
        <v>0</v>
      </c>
      <c r="U152" s="9" t="n">
        <f aca="false">((U130+U128)+U132)</f>
        <v>148000</v>
      </c>
      <c r="V152" s="9" t="n">
        <f aca="false">((V130+V128)+V132)</f>
        <v>9450</v>
      </c>
      <c r="W152" s="9" t="n">
        <f aca="false">((W130+W128)+W132)</f>
        <v>0</v>
      </c>
      <c r="X152" s="9" t="n">
        <f aca="false">((X130+X128)+X132)</f>
        <v>148000</v>
      </c>
      <c r="Y152" s="9" t="n">
        <f aca="false">((Y130+Y128)+Y132)</f>
        <v>83760</v>
      </c>
      <c r="Z152" s="9" t="n">
        <f aca="false">((Z130+Z128)+Z132)</f>
        <v>15333.12</v>
      </c>
      <c r="AA152" s="9" t="n">
        <f aca="false">((AA130+AA128)+AA132)</f>
        <v>184000</v>
      </c>
      <c r="AB152" s="9" t="n">
        <f aca="false">((AB130+AB128)+AB132)</f>
        <v>214010</v>
      </c>
      <c r="AC152" s="9" t="n">
        <f aca="false">((AC130+AC128)+AC132)</f>
        <v>43443.84</v>
      </c>
      <c r="AD152" s="9" t="n">
        <f aca="false">((AD130+AD128)+AD132)</f>
        <v>260000</v>
      </c>
      <c r="AE152" s="9" t="n">
        <f aca="false">((AE130+AE128)+AE132)</f>
        <v>261410</v>
      </c>
      <c r="AF152" s="9" t="n">
        <f aca="false">((AF130+AF128)+AF132)</f>
        <v>166000</v>
      </c>
      <c r="AG152" s="9" t="n">
        <f aca="false">((AG130+AG128)+AG132)</f>
        <v>260000</v>
      </c>
      <c r="AH152" s="9" t="n">
        <f aca="false">((AH130+AH128)+AH132)</f>
        <v>283637.6</v>
      </c>
      <c r="AI152" s="9" t="n">
        <f aca="false">((AI130+AI128)+AI132)</f>
        <v>0</v>
      </c>
      <c r="AJ152" s="9" t="n">
        <f aca="false">((AJ130+AJ128)+AJ132)</f>
        <v>296000</v>
      </c>
      <c r="AK152" s="9" t="n">
        <f aca="false">((AK130+AK128)+AK132)</f>
        <v>536885.68</v>
      </c>
      <c r="AL152" s="9" t="n">
        <f aca="false">((AL130+AL128)+AL132)</f>
        <v>480442.46016</v>
      </c>
      <c r="AN152" s="11" t="n">
        <f aca="false">SUM(C152:N152)</f>
        <v>15840</v>
      </c>
      <c r="AO152" s="11" t="n">
        <f aca="false">SUM(O152:Z152)</f>
        <v>597423.12</v>
      </c>
      <c r="AP152" s="11" t="n">
        <f aca="false">SUM(AA152:AL152)</f>
        <v>2985829.58016</v>
      </c>
    </row>
    <row r="153" customFormat="false" ht="15" hidden="false" customHeight="false" outlineLevel="0" collapsed="false">
      <c r="A153" s="0" t="s">
        <v>43</v>
      </c>
      <c r="B153" s="0" t="s">
        <v>230</v>
      </c>
      <c r="C153" s="9" t="n">
        <f aca="false">(((((C41+C136)+C137)+C140)+C144)+((1-Assumptions!$C$33)*0))</f>
        <v>0</v>
      </c>
      <c r="D153" s="9" t="n">
        <f aca="false">(((((D41+D136)+D137)+D140)+D144)+((1-Assumptions!$C$33)*0))</f>
        <v>0</v>
      </c>
      <c r="E153" s="9" t="n">
        <f aca="false">(((((E41+E136)+E137)+E140)+E144)+((1-Assumptions!$C$33)*C152))</f>
        <v>0</v>
      </c>
      <c r="F153" s="9" t="n">
        <f aca="false">(((((F41+F136)+F137)+F140)+F144)+((1-Assumptions!$C$33)*D152))</f>
        <v>0</v>
      </c>
      <c r="G153" s="9" t="n">
        <f aca="false">(((((G41+G136)+G137)+G140)+G144)+((1-Assumptions!$C$33)*E152))</f>
        <v>0</v>
      </c>
      <c r="H153" s="9" t="n">
        <f aca="false">(((((H41+H136)+H137)+H140)+H144)+((1-Assumptions!$C$33)*F152))</f>
        <v>0</v>
      </c>
      <c r="I153" s="9" t="n">
        <f aca="false">(((((I41+I136)+I137)+I140)+I144)+((1-Assumptions!$C$33)*G152))</f>
        <v>0</v>
      </c>
      <c r="J153" s="9" t="n">
        <f aca="false">(((((J41+J136)+J137)+J140)+J144)+((1-Assumptions!$C$33)*H152))</f>
        <v>0</v>
      </c>
      <c r="K153" s="9" t="n">
        <f aca="false">(((((K41+K136)+K137)+K140)+K144)+((1-Assumptions!$C$33)*I152))</f>
        <v>0</v>
      </c>
      <c r="L153" s="9" t="n">
        <f aca="false">(((((L41+L136)+L137)+L140)+L144)+((1-Assumptions!$C$33)*J152))</f>
        <v>0</v>
      </c>
      <c r="M153" s="9" t="n">
        <f aca="false">(((((M41+M136)+M137)+M140)+M144)+((1-Assumptions!$C$33)*K152))</f>
        <v>0</v>
      </c>
      <c r="N153" s="9" t="n">
        <f aca="false">(((((N41+N136)+N137)+N140)+N144)+((1-Assumptions!$C$33)*L152))</f>
        <v>0</v>
      </c>
      <c r="O153" s="9" t="n">
        <f aca="false">(((((O41+O136)+O137)+O140)+O144)+((1-Assumptions!$C$33)*M152))</f>
        <v>121.607982877657</v>
      </c>
      <c r="P153" s="9" t="n">
        <f aca="false">(((((P41+P136)+P137)+P140)+P144)+((1-Assumptions!$C$33)*N152))</f>
        <v>15969.5269579613</v>
      </c>
      <c r="Q153" s="9" t="n">
        <f aca="false">(((((Q41+Q136)+Q137)+Q140)+Q144)+((1-Assumptions!$C$33)*O152))</f>
        <v>36080.356712315</v>
      </c>
      <c r="R153" s="9" t="n">
        <f aca="false">(((((R41+R136)+R137)+R140)+R144)+((1-Assumptions!$C$33)*P152))</f>
        <v>576.120353042797</v>
      </c>
      <c r="S153" s="9" t="n">
        <f aca="false">(((((S41+S136)+S137)+S140)+S144)+((1-Assumptions!$C$33)*Q152))</f>
        <v>45134.6250430983</v>
      </c>
      <c r="T153" s="9" t="n">
        <f aca="false">(((((T41+T136)+T137)+T140)+T144)+((1-Assumptions!$C$33)*R152))</f>
        <v>111689.688855954</v>
      </c>
      <c r="U153" s="9" t="n">
        <f aca="false">(((((U41+U136)+U137)+U140)+U144)+((1-Assumptions!$C$33)*S152))</f>
        <v>904.248242156615</v>
      </c>
      <c r="V153" s="9" t="n">
        <f aca="false">(((((V41+V136)+V137)+V140)+V144)+((1-Assumptions!$C$33)*T152))</f>
        <v>1602.31936405095</v>
      </c>
      <c r="W153" s="9" t="n">
        <f aca="false">(((((W41+W136)+W137)+W140)+W144)+((1-Assumptions!$C$33)*U152))</f>
        <v>148354.363354726</v>
      </c>
      <c r="X153" s="9" t="n">
        <f aca="false">(((((X41+X136)+X137)+X140)+X144)+((1-Assumptions!$C$33)*V152))</f>
        <v>11454.6027276029</v>
      </c>
      <c r="Y153" s="9" t="n">
        <f aca="false">(((((Y41+Y136)+Y137)+Y140)+Y144)+((1-Assumptions!$C$33)*W152))</f>
        <v>2845.63551564298</v>
      </c>
      <c r="Z153" s="9" t="n">
        <f aca="false">(((((Z41+Z136)+Z137)+Z140)+Z144)+((1-Assumptions!$C$33)*X152))</f>
        <v>149500.848914364</v>
      </c>
      <c r="AA153" s="9" t="n">
        <f aca="false">(((((AA41+AA136)+AA137)+AA140)+AA144)+((1-Assumptions!$C$33)*Y152))</f>
        <v>87080.7335983244</v>
      </c>
      <c r="AB153" s="9" t="n">
        <f aca="false">(((((AB41+AB136)+AB137)+AB140)+AB144)+((1-Assumptions!$C$33)*Z152))</f>
        <v>21893.6013931985</v>
      </c>
      <c r="AC153" s="9" t="n">
        <f aca="false">(((((AC41+AC136)+AC137)+AC140)+AC144)+((1-Assumptions!$C$33)*AA152))</f>
        <v>190050.951848673</v>
      </c>
      <c r="AD153" s="9" t="n">
        <f aca="false">(((((AD41+AD136)+AD137)+AD140)+AD144)+((1-Assumptions!$C$33)*AB152))</f>
        <v>220915.176029969</v>
      </c>
      <c r="AE153" s="9" t="n">
        <f aca="false">(((((AE41+AE136)+AE137)+AE140)+AE144)+((1-Assumptions!$C$33)*AC152))</f>
        <v>54633.5508358849</v>
      </c>
      <c r="AF153" s="9" t="n">
        <f aca="false">(((((AF41+AF136)+AF137)+AF140)+AF144)+((1-Assumptions!$C$33)*AD152))</f>
        <v>270647.410449755</v>
      </c>
      <c r="AG153" s="9" t="n">
        <f aca="false">(((((AG41+AG136)+AG137)+AG140)+AG144)+((1-Assumptions!$C$33)*AE152))</f>
        <v>275659.419610794</v>
      </c>
      <c r="AH153" s="9" t="n">
        <f aca="false">(((((AH41+AH136)+AH137)+AH140)+AH144)+((1-Assumptions!$C$33)*AF152))</f>
        <v>185522.209801724</v>
      </c>
      <c r="AI153" s="9" t="n">
        <f aca="false">(((((AI41+AI136)+AI137)+AI140)+AI144)+((1-Assumptions!$C$33)*AG152))</f>
        <v>281278.406056737</v>
      </c>
      <c r="AJ153" s="9" t="n">
        <f aca="false">(((((AJ41+AJ136)+AJ137)+AJ140)+AJ144)+((1-Assumptions!$C$33)*AH152))</f>
        <v>307366.62396971</v>
      </c>
      <c r="AK153" s="9" t="n">
        <f aca="false">(((((AK41+AK136)+AK137)+AK140)+AK144)+((1-Assumptions!$C$33)*AI152))</f>
        <v>32017.2793725178</v>
      </c>
      <c r="AL153" s="9" t="n">
        <f aca="false">(((((AL41+AL136)+AL137)+AL140)+AL144)+((1-Assumptions!$C$33)*AJ152))</f>
        <v>329201.939967804</v>
      </c>
      <c r="AN153" s="11" t="n">
        <f aca="false">SUM(C153:N153)</f>
        <v>0</v>
      </c>
      <c r="AO153" s="11" t="n">
        <f aca="false">SUM(O153:Z153)</f>
        <v>524233.944023793</v>
      </c>
      <c r="AP153" s="11" t="n">
        <f aca="false">SUM(AA153:AL153)</f>
        <v>2256267.30293509</v>
      </c>
    </row>
    <row r="154" customFormat="false" ht="15" hidden="false" customHeight="false" outlineLevel="0" collapsed="false">
      <c r="A154" s="0" t="s">
        <v>958</v>
      </c>
      <c r="B154" s="0" t="s">
        <v>230</v>
      </c>
      <c r="C154" s="9" t="n">
        <f aca="false">((0+C151)-C146)</f>
        <v>0</v>
      </c>
      <c r="D154" s="9" t="n">
        <f aca="false">((C154+D151)-D146)</f>
        <v>0</v>
      </c>
      <c r="E154" s="9" t="n">
        <f aca="false">((D154+E151)-E146)</f>
        <v>0</v>
      </c>
      <c r="F154" s="9" t="n">
        <f aca="false">((E154+F151)-F146)</f>
        <v>0</v>
      </c>
      <c r="G154" s="9" t="n">
        <f aca="false">((F154+G151)-G146)</f>
        <v>0</v>
      </c>
      <c r="H154" s="9" t="n">
        <f aca="false">((G154+H151)-H146)</f>
        <v>0</v>
      </c>
      <c r="I154" s="9" t="n">
        <f aca="false">((H154+I151)-I146)</f>
        <v>0</v>
      </c>
      <c r="J154" s="9" t="n">
        <f aca="false">((I154+J151)-J146)</f>
        <v>0</v>
      </c>
      <c r="K154" s="9" t="n">
        <f aca="false">((J154+K151)-K146)</f>
        <v>0</v>
      </c>
      <c r="L154" s="9" t="n">
        <f aca="false">((K154+L151)-L146)</f>
        <v>0</v>
      </c>
      <c r="M154" s="9" t="n">
        <f aca="false">((L154+M151)-M146)</f>
        <v>0</v>
      </c>
      <c r="N154" s="9" t="n">
        <f aca="false">((M154+N151)-N146)</f>
        <v>14520</v>
      </c>
      <c r="O154" s="9" t="n">
        <f aca="false">((N154+O151)-O146)</f>
        <v>39795.6433060248</v>
      </c>
      <c r="P154" s="9" t="n">
        <f aca="false">((O154+P151)-P146)</f>
        <v>29180.4963621206</v>
      </c>
      <c r="Q154" s="9" t="n">
        <f aca="false">((P154+Q151)-Q146)</f>
        <v>59777.6553142231</v>
      </c>
      <c r="R154" s="9" t="n">
        <f aca="false">((Q154+R151)-R146)</f>
        <v>134701.375231745</v>
      </c>
      <c r="S154" s="9" t="n">
        <f aca="false">((R154+S151)-S146)</f>
        <v>97645.0172712012</v>
      </c>
      <c r="T154" s="9" t="n">
        <f aca="false">((S154+T151)-T146)</f>
        <v>60582.1936164491</v>
      </c>
      <c r="U154" s="9" t="n">
        <f aca="false">((T154+U151)-U146)</f>
        <v>156998.960752954</v>
      </c>
      <c r="V154" s="9" t="n">
        <f aca="false">((U154+V151)-V146)</f>
        <v>114074.147296182</v>
      </c>
      <c r="W154" s="9" t="n">
        <f aca="false">((V154+W151)-W146)</f>
        <v>61778.6146456106</v>
      </c>
      <c r="X154" s="9" t="n">
        <f aca="false">((W154+X151)-X146)</f>
        <v>155062.296754395</v>
      </c>
      <c r="Y154" s="9" t="n">
        <f aca="false">((X154+Y151)-Y146)</f>
        <v>171858.170251798</v>
      </c>
      <c r="Z154" s="9" t="n">
        <f aca="false">((Y154+Z151)-Z146)</f>
        <v>120222.605787223</v>
      </c>
      <c r="AA154" s="9" t="n">
        <f aca="false">((Z154+AA151)-AA146)</f>
        <v>227742.986986376</v>
      </c>
      <c r="AB154" s="9" t="n">
        <f aca="false">((AA154+AB151)-AB146)</f>
        <v>337789.504391642</v>
      </c>
      <c r="AC154" s="9" t="n">
        <f aca="false">((AB154+AC151)-AC146)</f>
        <v>277435.996665034</v>
      </c>
      <c r="AD154" s="9" t="n">
        <f aca="false">((AC154+AD151)-AD146)</f>
        <v>410804.077751622</v>
      </c>
      <c r="AE154" s="9" t="n">
        <f aca="false">((AD154+AE151)-AE146)</f>
        <v>524105.982471985</v>
      </c>
      <c r="AF154" s="9" t="n">
        <f aca="false">((AE154+AF151)-AF146)</f>
        <v>496599.057857344</v>
      </c>
      <c r="AG154" s="9" t="n">
        <f aca="false">((AF154+AG151)-AG146)</f>
        <v>558010.17084963</v>
      </c>
      <c r="AH154" s="9" t="n">
        <f aca="false">((AG154+AH151)-AH146)</f>
        <v>627506.188276551</v>
      </c>
      <c r="AI154" s="9" t="n">
        <f aca="false">((AH154+AI151)-AI146)</f>
        <v>448844.179585646</v>
      </c>
      <c r="AJ154" s="9" t="n">
        <f aca="false">((AI154+AJ151)-AJ146)</f>
        <v>556844.786760761</v>
      </c>
      <c r="AK154" s="9" t="n">
        <f aca="false">((AJ154+AK151)-AK146)</f>
        <v>856786.394349017</v>
      </c>
      <c r="AL154" s="9" t="n">
        <f aca="false">((AK154+AL151)-AL146)</f>
        <v>1013459.16498319</v>
      </c>
      <c r="AN154" s="11" t="n">
        <f aca="false">N154</f>
        <v>14520</v>
      </c>
      <c r="AO154" s="11" t="n">
        <f aca="false">Z154</f>
        <v>120222.605787223</v>
      </c>
      <c r="AP154" s="11" t="n">
        <f aca="false">AL154</f>
        <v>1013459.16498319</v>
      </c>
    </row>
    <row r="155" customFormat="false" ht="15" hidden="false" customHeight="false" outlineLevel="0" collapsed="false">
      <c r="A155" s="0" t="s">
        <v>959</v>
      </c>
      <c r="B155" s="0" t="s">
        <v>230</v>
      </c>
      <c r="C155" s="9" t="n">
        <f aca="false">((0+((1-Assumptions!$C$33)*C152))-((1-Assumptions!$C$33)*0))</f>
        <v>0</v>
      </c>
      <c r="D155" s="9" t="n">
        <f aca="false">((C155+((1-Assumptions!$C$33)*D152))-((1-Assumptions!$C$33)*0))</f>
        <v>0</v>
      </c>
      <c r="E155" s="9" t="n">
        <f aca="false">((D155+((1-Assumptions!$C$33)*E152))-((1-Assumptions!$C$33)*C152))</f>
        <v>0</v>
      </c>
      <c r="F155" s="9" t="n">
        <f aca="false">((E155+((1-Assumptions!$C$33)*F152))-((1-Assumptions!$C$33)*D152))</f>
        <v>0</v>
      </c>
      <c r="G155" s="9" t="n">
        <f aca="false">((F155+((1-Assumptions!$C$33)*G152))-((1-Assumptions!$C$33)*E152))</f>
        <v>0</v>
      </c>
      <c r="H155" s="9" t="n">
        <f aca="false">((G155+((1-Assumptions!$C$33)*H152))-((1-Assumptions!$C$33)*F152))</f>
        <v>0</v>
      </c>
      <c r="I155" s="9" t="n">
        <f aca="false">((H155+((1-Assumptions!$C$33)*I152))-((1-Assumptions!$C$33)*G152))</f>
        <v>0</v>
      </c>
      <c r="J155" s="9" t="n">
        <f aca="false">((I155+((1-Assumptions!$C$33)*J152))-((1-Assumptions!$C$33)*H152))</f>
        <v>0</v>
      </c>
      <c r="K155" s="9" t="n">
        <f aca="false">((J155+((1-Assumptions!$C$33)*K152))-((1-Assumptions!$C$33)*I152))</f>
        <v>0</v>
      </c>
      <c r="L155" s="9" t="n">
        <f aca="false">((K155+((1-Assumptions!$C$33)*L152))-((1-Assumptions!$C$33)*J152))</f>
        <v>0</v>
      </c>
      <c r="M155" s="9" t="n">
        <f aca="false">((L155+((1-Assumptions!$C$33)*M152))-((1-Assumptions!$C$33)*K152))</f>
        <v>0</v>
      </c>
      <c r="N155" s="9" t="n">
        <f aca="false">((M155+((1-Assumptions!$C$33)*N152))-((1-Assumptions!$C$33)*L152))</f>
        <v>15681.6</v>
      </c>
      <c r="O155" s="9" t="n">
        <f aca="false">((N155+((1-Assumptions!$C$33)*O152))-((1-Assumptions!$C$33)*M152))</f>
        <v>51321.6</v>
      </c>
      <c r="P155" s="9" t="n">
        <f aca="false">((O155+((1-Assumptions!$C$33)*P152))-((1-Assumptions!$C$33)*N152))</f>
        <v>35640</v>
      </c>
      <c r="Q155" s="9" t="n">
        <f aca="false">((P155+((1-Assumptions!$C$33)*Q152))-((1-Assumptions!$C$33)*O152))</f>
        <v>44431.2</v>
      </c>
      <c r="R155" s="9" t="n">
        <f aca="false">((Q155+((1-Assumptions!$C$33)*R152))-((1-Assumptions!$C$33)*P152))</f>
        <v>155311.2</v>
      </c>
      <c r="S155" s="9" t="n">
        <f aca="false">((R155+((1-Assumptions!$C$33)*S152))-((1-Assumptions!$C$33)*Q152))</f>
        <v>110880</v>
      </c>
      <c r="T155" s="9" t="n">
        <f aca="false">((S155+((1-Assumptions!$C$33)*T152))-((1-Assumptions!$C$33)*R152))</f>
        <v>0</v>
      </c>
      <c r="U155" s="9" t="n">
        <f aca="false">((T155+((1-Assumptions!$C$33)*U152))-((1-Assumptions!$C$33)*S152))</f>
        <v>146520</v>
      </c>
      <c r="V155" s="9" t="n">
        <f aca="false">((U155+((1-Assumptions!$C$33)*V152))-((1-Assumptions!$C$33)*T152))</f>
        <v>155875.5</v>
      </c>
      <c r="W155" s="9" t="n">
        <f aca="false">((V155+((1-Assumptions!$C$33)*W152))-((1-Assumptions!$C$33)*U152))</f>
        <v>9355.5</v>
      </c>
      <c r="X155" s="9" t="n">
        <f aca="false">((W155+((1-Assumptions!$C$33)*X152))-((1-Assumptions!$C$33)*V152))</f>
        <v>146520</v>
      </c>
      <c r="Y155" s="9" t="n">
        <f aca="false">((X155+((1-Assumptions!$C$33)*Y152))-((1-Assumptions!$C$33)*W152))</f>
        <v>229442.4</v>
      </c>
      <c r="Z155" s="9" t="n">
        <f aca="false">((Y155+((1-Assumptions!$C$33)*Z152))-((1-Assumptions!$C$33)*X152))</f>
        <v>98102.1888</v>
      </c>
      <c r="AA155" s="9" t="n">
        <f aca="false">((Z155+((1-Assumptions!$C$33)*AA152))-((1-Assumptions!$C$33)*Y152))</f>
        <v>197339.7888</v>
      </c>
      <c r="AB155" s="9" t="n">
        <f aca="false">((AA155+((1-Assumptions!$C$33)*AB152))-((1-Assumptions!$C$33)*Z152))</f>
        <v>394029.9</v>
      </c>
      <c r="AC155" s="9" t="n">
        <f aca="false">((AB155+((1-Assumptions!$C$33)*AC152))-((1-Assumptions!$C$33)*AA152))</f>
        <v>254879.3016</v>
      </c>
      <c r="AD155" s="9" t="n">
        <f aca="false">((AC155+((1-Assumptions!$C$33)*AD152))-((1-Assumptions!$C$33)*AB152))</f>
        <v>300409.4016</v>
      </c>
      <c r="AE155" s="9" t="n">
        <f aca="false">((AD155+((1-Assumptions!$C$33)*AE152))-((1-Assumptions!$C$33)*AC152))</f>
        <v>516195.9</v>
      </c>
      <c r="AF155" s="9" t="n">
        <f aca="false">((AE155+((1-Assumptions!$C$33)*AF152))-((1-Assumptions!$C$33)*AD152))</f>
        <v>423135.9</v>
      </c>
      <c r="AG155" s="9" t="n">
        <f aca="false">((AF155+((1-Assumptions!$C$33)*AG152))-((1-Assumptions!$C$33)*AE152))</f>
        <v>421740</v>
      </c>
      <c r="AH155" s="9" t="n">
        <f aca="false">((AG155+((1-Assumptions!$C$33)*AH152))-((1-Assumptions!$C$33)*AF152))</f>
        <v>538201.224</v>
      </c>
      <c r="AI155" s="9" t="n">
        <f aca="false">((AH155+((1-Assumptions!$C$33)*AI152))-((1-Assumptions!$C$33)*AG152))</f>
        <v>280801.224</v>
      </c>
      <c r="AJ155" s="9" t="n">
        <f aca="false">((AI155+((1-Assumptions!$C$33)*AJ152))-((1-Assumptions!$C$33)*AH152))</f>
        <v>293040</v>
      </c>
      <c r="AK155" s="9" t="n">
        <f aca="false">((AJ155+((1-Assumptions!$C$33)*AK152))-((1-Assumptions!$C$33)*AI152))</f>
        <v>824556.8232</v>
      </c>
      <c r="AL155" s="9" t="n">
        <f aca="false">((AK155+((1-Assumptions!$C$33)*AL152))-((1-Assumptions!$C$33)*AJ152))</f>
        <v>1007154.8587584</v>
      </c>
      <c r="AN155" s="11" t="n">
        <f aca="false">N155</f>
        <v>15681.6</v>
      </c>
      <c r="AO155" s="11" t="n">
        <f aca="false">Z155</f>
        <v>98102.1888</v>
      </c>
      <c r="AP155" s="11" t="n">
        <f aca="false">AL155</f>
        <v>1007154.8587584</v>
      </c>
    </row>
    <row r="156" customFormat="false" ht="15" hidden="false" customHeight="false" outlineLevel="0" collapsed="false">
      <c r="A156" s="21" t="s">
        <v>29</v>
      </c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</row>
    <row r="157" customFormat="false" ht="15" hidden="false" customHeight="false" outlineLevel="0" collapsed="false">
      <c r="A157" s="0" t="s">
        <v>960</v>
      </c>
      <c r="B157" s="0" t="s">
        <v>500</v>
      </c>
      <c r="C157" s="9" t="n">
        <f aca="false">((C29+C39)+C126)</f>
        <v>234</v>
      </c>
      <c r="D157" s="9" t="n">
        <f aca="false">((D29+D39)+D126)</f>
        <v>415.8</v>
      </c>
      <c r="E157" s="9" t="n">
        <f aca="false">((E29+E39)+E126)</f>
        <v>547.9272</v>
      </c>
      <c r="F157" s="9" t="n">
        <f aca="false">((F29+F39)+F126)</f>
        <v>653.68224</v>
      </c>
      <c r="G157" s="9" t="n">
        <f aca="false">((G29+G39)+G126)</f>
        <v>921.58788288</v>
      </c>
      <c r="H157" s="9" t="n">
        <f aca="false">((H29+H39)+H126)</f>
        <v>956.6376389184</v>
      </c>
      <c r="I157" s="9" t="n">
        <f aca="false">((I29+I39)+I126)</f>
        <v>1045.77453039245</v>
      </c>
      <c r="J157" s="9" t="n">
        <f aca="false">((J29+J39)+J126)</f>
        <v>2253.52710133487</v>
      </c>
      <c r="K157" s="9" t="n">
        <f aca="false">((K29+K39)+K126)</f>
        <v>2629.71062532268</v>
      </c>
      <c r="L157" s="9" t="n">
        <f aca="false">((L29+L39)+L126)</f>
        <v>2778.86218416649</v>
      </c>
      <c r="M157" s="9" t="n">
        <f aca="false">((M29+M39)+M126)</f>
        <v>2655.71604890645</v>
      </c>
      <c r="N157" s="9" t="n">
        <f aca="false">((N29+N39)+N126)</f>
        <v>3041.21574138794</v>
      </c>
      <c r="O157" s="9" t="n">
        <f aca="false">((O29+O39)+O126)</f>
        <v>5482.34960104743</v>
      </c>
      <c r="P157" s="9" t="n">
        <f aca="false">((P29+P39)+P126)</f>
        <v>6349.41951510284</v>
      </c>
      <c r="Q157" s="9" t="n">
        <f aca="false">((Q29+Q39)+Q126)</f>
        <v>9140.92311691539</v>
      </c>
      <c r="R157" s="9" t="n">
        <f aca="false">((R29+R39)+R126)</f>
        <v>11259.2061198239</v>
      </c>
      <c r="S157" s="9" t="n">
        <f aca="false">((S29+S39)+S126)</f>
        <v>11888.657422142</v>
      </c>
      <c r="T157" s="9" t="n">
        <f aca="false">((T29+T39)+T126)</f>
        <v>12311.321709807</v>
      </c>
      <c r="U157" s="9" t="n">
        <f aca="false">((U29+U39)+U126)</f>
        <v>14164.4559916758</v>
      </c>
      <c r="V157" s="9" t="n">
        <f aca="false">((V29+V39)+V126)</f>
        <v>16876.1902436989</v>
      </c>
      <c r="W157" s="9" t="n">
        <f aca="false">((W29+W39)+W126)</f>
        <v>19509.3788978449</v>
      </c>
      <c r="X157" s="9" t="n">
        <f aca="false">((X29+X39)+X126)</f>
        <v>20763.0317586701</v>
      </c>
      <c r="Y157" s="9" t="n">
        <f aca="false">((Y29+Y39)+Y126)</f>
        <v>23377.797660095</v>
      </c>
      <c r="Z157" s="9" t="n">
        <f aca="false">((Z29+Z39)+Z126)</f>
        <v>23495.0146141107</v>
      </c>
      <c r="AA157" s="9" t="n">
        <f aca="false">((AA29+AA39)+AA126)</f>
        <v>25632.7305705319</v>
      </c>
      <c r="AB157" s="9" t="n">
        <f aca="false">((AB29+AB39)+AB126)</f>
        <v>31769.3381643279</v>
      </c>
      <c r="AC157" s="9" t="n">
        <f aca="false">((AC29+AC39)+AC126)</f>
        <v>32338.0987044291</v>
      </c>
      <c r="AD157" s="9" t="n">
        <f aca="false">((AD29+AD39)+AD126)</f>
        <v>33896.467961311</v>
      </c>
      <c r="AE157" s="9" t="n">
        <f aca="false">((AE29+AE39)+AE126)</f>
        <v>39294.3136580742</v>
      </c>
      <c r="AF157" s="9" t="n">
        <f aca="false">((AF29+AF39)+AF126)</f>
        <v>42207.0964644701</v>
      </c>
      <c r="AG157" s="9" t="n">
        <f aca="false">((AG29+AG39)+AG126)</f>
        <v>43428.5947077608</v>
      </c>
      <c r="AH157" s="9" t="n">
        <f aca="false">((AH29+AH39)+AH126)</f>
        <v>51870.5629168581</v>
      </c>
      <c r="AI157" s="9" t="n">
        <f aca="false">((AI29+AI39)+AI126)</f>
        <v>54948.5009295417</v>
      </c>
      <c r="AJ157" s="9" t="n">
        <f aca="false">((AJ29+AJ39)+AJ126)</f>
        <v>56031.6938969661</v>
      </c>
      <c r="AK157" s="9" t="n">
        <f aca="false">((AK29+AK39)+AK126)</f>
        <v>66013.618956784</v>
      </c>
      <c r="AL157" s="9" t="n">
        <f aca="false">((AL29+AL39)+AL126)</f>
        <v>74697.5499028581</v>
      </c>
      <c r="AN157" s="11" t="n">
        <f aca="false">N157</f>
        <v>3041.21574138794</v>
      </c>
      <c r="AO157" s="11" t="n">
        <f aca="false">Z157</f>
        <v>23495.0146141107</v>
      </c>
      <c r="AP157" s="11" t="n">
        <f aca="false">AL157</f>
        <v>74697.5499028581</v>
      </c>
    </row>
    <row r="158" customFormat="false" ht="15" hidden="false" customHeight="false" outlineLevel="0" collapsed="false">
      <c r="A158" s="0" t="s">
        <v>961</v>
      </c>
      <c r="B158" s="0" t="s">
        <v>230</v>
      </c>
      <c r="C158" s="9" t="n">
        <f aca="false">(C157*Assumptions!$C$58)</f>
        <v>7.02</v>
      </c>
      <c r="D158" s="9" t="n">
        <f aca="false">(D157*Assumptions!$C$58)</f>
        <v>12.474</v>
      </c>
      <c r="E158" s="9" t="n">
        <f aca="false">(E157*Assumptions!$C$58)</f>
        <v>16.437816</v>
      </c>
      <c r="F158" s="9" t="n">
        <f aca="false">(F157*Assumptions!$C$58)</f>
        <v>19.6104672</v>
      </c>
      <c r="G158" s="9" t="n">
        <f aca="false">(G157*Assumptions!$C$58)</f>
        <v>27.6476364864</v>
      </c>
      <c r="H158" s="9" t="n">
        <f aca="false">(H157*Assumptions!$C$58)</f>
        <v>28.699129167552</v>
      </c>
      <c r="I158" s="9" t="n">
        <f aca="false">(I157*Assumptions!$C$58)</f>
        <v>31.3732359117734</v>
      </c>
      <c r="J158" s="9" t="n">
        <f aca="false">(J157*Assumptions!$C$58)</f>
        <v>67.605813040046</v>
      </c>
      <c r="K158" s="9" t="n">
        <f aca="false">(K157*Assumptions!$C$58)</f>
        <v>78.8913187596803</v>
      </c>
      <c r="L158" s="9" t="n">
        <f aca="false">(L157*Assumptions!$C$58)</f>
        <v>83.3658655249946</v>
      </c>
      <c r="M158" s="9" t="n">
        <f aca="false">(M157*Assumptions!$C$58)</f>
        <v>79.6714814671935</v>
      </c>
      <c r="N158" s="9" t="n">
        <f aca="false">(N157*Assumptions!$C$58)</f>
        <v>91.2364722416382</v>
      </c>
      <c r="O158" s="9" t="n">
        <f aca="false">(O157*Assumptions!$C$58)</f>
        <v>164.470488031423</v>
      </c>
      <c r="P158" s="9" t="n">
        <f aca="false">(P157*Assumptions!$C$58)</f>
        <v>190.482585453085</v>
      </c>
      <c r="Q158" s="9" t="n">
        <f aca="false">(Q157*Assumptions!$C$58)</f>
        <v>274.227693507462</v>
      </c>
      <c r="R158" s="9" t="n">
        <f aca="false">(R157*Assumptions!$C$58)</f>
        <v>337.776183594716</v>
      </c>
      <c r="S158" s="9" t="n">
        <f aca="false">(S157*Assumptions!$C$58)</f>
        <v>356.659722664259</v>
      </c>
      <c r="T158" s="9" t="n">
        <f aca="false">(T157*Assumptions!$C$58)</f>
        <v>369.33965129421</v>
      </c>
      <c r="U158" s="9" t="n">
        <f aca="false">(U157*Assumptions!$C$58)</f>
        <v>424.933679750273</v>
      </c>
      <c r="V158" s="9" t="n">
        <f aca="false">(V157*Assumptions!$C$58)</f>
        <v>506.285707310967</v>
      </c>
      <c r="W158" s="9" t="n">
        <f aca="false">(W157*Assumptions!$C$58)</f>
        <v>585.281366935346</v>
      </c>
      <c r="X158" s="9" t="n">
        <f aca="false">(X157*Assumptions!$C$58)</f>
        <v>622.890952760103</v>
      </c>
      <c r="Y158" s="9" t="n">
        <f aca="false">(Y157*Assumptions!$C$58)</f>
        <v>701.333929802851</v>
      </c>
      <c r="Z158" s="9" t="n">
        <f aca="false">(Z157*Assumptions!$C$58)</f>
        <v>704.85043842332</v>
      </c>
      <c r="AA158" s="9" t="n">
        <f aca="false">(AA157*Assumptions!$C$58)</f>
        <v>768.981917115958</v>
      </c>
      <c r="AB158" s="9" t="n">
        <f aca="false">(AB157*Assumptions!$C$58)</f>
        <v>953.080144929836</v>
      </c>
      <c r="AC158" s="9" t="n">
        <f aca="false">(AC157*Assumptions!$C$58)</f>
        <v>970.142961132873</v>
      </c>
      <c r="AD158" s="9" t="n">
        <f aca="false">(AD157*Assumptions!$C$58)</f>
        <v>1016.89403883933</v>
      </c>
      <c r="AE158" s="9" t="n">
        <f aca="false">(AE157*Assumptions!$C$58)</f>
        <v>1178.82940974223</v>
      </c>
      <c r="AF158" s="9" t="n">
        <f aca="false">(AF157*Assumptions!$C$58)</f>
        <v>1266.2128939341</v>
      </c>
      <c r="AG158" s="9" t="n">
        <f aca="false">(AG157*Assumptions!$C$58)</f>
        <v>1302.85784123282</v>
      </c>
      <c r="AH158" s="9" t="n">
        <f aca="false">(AH157*Assumptions!$C$58)</f>
        <v>1556.11688750574</v>
      </c>
      <c r="AI158" s="9" t="n">
        <f aca="false">(AI157*Assumptions!$C$58)</f>
        <v>1648.45502788625</v>
      </c>
      <c r="AJ158" s="9" t="n">
        <f aca="false">(AJ157*Assumptions!$C$58)</f>
        <v>1680.95081690898</v>
      </c>
      <c r="AK158" s="9" t="n">
        <f aca="false">(AK157*Assumptions!$C$58)</f>
        <v>1980.40856870352</v>
      </c>
      <c r="AL158" s="9" t="n">
        <f aca="false">(AL157*Assumptions!$C$58)</f>
        <v>2240.92649708574</v>
      </c>
      <c r="AN158" s="11" t="n">
        <f aca="false">SUM(C158:N158)</f>
        <v>544.033235799278</v>
      </c>
      <c r="AO158" s="11" t="n">
        <f aca="false">SUM(O158:Z158)</f>
        <v>5238.53239952802</v>
      </c>
      <c r="AP158" s="11" t="n">
        <f aca="false">SUM(AA158:AL158)</f>
        <v>16563.8570050174</v>
      </c>
    </row>
    <row r="159" customFormat="false" ht="15" hidden="false" customHeight="false" outlineLevel="0" collapsed="false">
      <c r="A159" s="0" t="s">
        <v>962</v>
      </c>
      <c r="B159" s="0" t="s">
        <v>230</v>
      </c>
      <c r="C159" s="9" t="n">
        <f aca="false">(((C157*Assumptions!$C$59)*Assumptions!$C$60)*Assumptions!$C$61)</f>
        <v>3.9312</v>
      </c>
      <c r="D159" s="9" t="n">
        <f aca="false">(((D157*Assumptions!$C$59)*Assumptions!$C$60)*Assumptions!$C$61)</f>
        <v>6.98544</v>
      </c>
      <c r="E159" s="9" t="n">
        <f aca="false">(((E157*Assumptions!$C$59)*Assumptions!$C$60)*Assumptions!$C$61)</f>
        <v>9.20517696</v>
      </c>
      <c r="F159" s="9" t="n">
        <f aca="false">(((F157*Assumptions!$C$59)*Assumptions!$C$60)*Assumptions!$C$61)</f>
        <v>10.981861632</v>
      </c>
      <c r="G159" s="9" t="n">
        <f aca="false">(((G157*Assumptions!$C$59)*Assumptions!$C$60)*Assumptions!$C$61)</f>
        <v>15.482676432384</v>
      </c>
      <c r="H159" s="9" t="n">
        <f aca="false">(((H157*Assumptions!$C$59)*Assumptions!$C$60)*Assumptions!$C$61)</f>
        <v>16.0715123338291</v>
      </c>
      <c r="I159" s="9" t="n">
        <f aca="false">(((I157*Assumptions!$C$59)*Assumptions!$C$60)*Assumptions!$C$61)</f>
        <v>17.5690121105931</v>
      </c>
      <c r="J159" s="9" t="n">
        <f aca="false">(((J157*Assumptions!$C$59)*Assumptions!$C$60)*Assumptions!$C$61)</f>
        <v>37.8592553024258</v>
      </c>
      <c r="K159" s="9" t="n">
        <f aca="false">(((K157*Assumptions!$C$59)*Assumptions!$C$60)*Assumptions!$C$61)</f>
        <v>44.1791385054209</v>
      </c>
      <c r="L159" s="9" t="n">
        <f aca="false">(((L157*Assumptions!$C$59)*Assumptions!$C$60)*Assumptions!$C$61)</f>
        <v>46.684884693997</v>
      </c>
      <c r="M159" s="9" t="n">
        <f aca="false">(((M157*Assumptions!$C$59)*Assumptions!$C$60)*Assumptions!$C$61)</f>
        <v>44.6160296216284</v>
      </c>
      <c r="N159" s="9" t="n">
        <f aca="false">(((N157*Assumptions!$C$59)*Assumptions!$C$60)*Assumptions!$C$61)</f>
        <v>51.0924244553174</v>
      </c>
      <c r="O159" s="9" t="n">
        <f aca="false">(((O157*Assumptions!$C$59)*Assumptions!$C$60)*Assumptions!$C$61)</f>
        <v>92.1034732975968</v>
      </c>
      <c r="P159" s="9" t="n">
        <f aca="false">(((P157*Assumptions!$C$59)*Assumptions!$C$60)*Assumptions!$C$61)</f>
        <v>106.670247853728</v>
      </c>
      <c r="Q159" s="9" t="n">
        <f aca="false">(((Q157*Assumptions!$C$59)*Assumptions!$C$60)*Assumptions!$C$61)</f>
        <v>153.567508364179</v>
      </c>
      <c r="R159" s="9" t="n">
        <f aca="false">(((R157*Assumptions!$C$59)*Assumptions!$C$60)*Assumptions!$C$61)</f>
        <v>189.154662813041</v>
      </c>
      <c r="S159" s="9" t="n">
        <f aca="false">(((S157*Assumptions!$C$59)*Assumptions!$C$60)*Assumptions!$C$61)</f>
        <v>199.729444691985</v>
      </c>
      <c r="T159" s="9" t="n">
        <f aca="false">(((T157*Assumptions!$C$59)*Assumptions!$C$60)*Assumptions!$C$61)</f>
        <v>206.830204724758</v>
      </c>
      <c r="U159" s="9" t="n">
        <f aca="false">(((U157*Assumptions!$C$59)*Assumptions!$C$60)*Assumptions!$C$61)</f>
        <v>237.962860660153</v>
      </c>
      <c r="V159" s="9" t="n">
        <f aca="false">(((V157*Assumptions!$C$59)*Assumptions!$C$60)*Assumptions!$C$61)</f>
        <v>283.519996094142</v>
      </c>
      <c r="W159" s="9" t="n">
        <f aca="false">(((W157*Assumptions!$C$59)*Assumptions!$C$60)*Assumptions!$C$61)</f>
        <v>327.757565483794</v>
      </c>
      <c r="X159" s="9" t="n">
        <f aca="false">(((X157*Assumptions!$C$59)*Assumptions!$C$60)*Assumptions!$C$61)</f>
        <v>348.818933545658</v>
      </c>
      <c r="Y159" s="9" t="n">
        <f aca="false">(((Y157*Assumptions!$C$59)*Assumptions!$C$60)*Assumptions!$C$61)</f>
        <v>392.747000689597</v>
      </c>
      <c r="Z159" s="9" t="n">
        <f aca="false">(((Z157*Assumptions!$C$59)*Assumptions!$C$60)*Assumptions!$C$61)</f>
        <v>394.716245517059</v>
      </c>
      <c r="AA159" s="9" t="n">
        <f aca="false">(((AA157*Assumptions!$C$59)*Assumptions!$C$60)*Assumptions!$C$61)</f>
        <v>430.629873584936</v>
      </c>
      <c r="AB159" s="9" t="n">
        <f aca="false">(((AB157*Assumptions!$C$59)*Assumptions!$C$60)*Assumptions!$C$61)</f>
        <v>533.724881160708</v>
      </c>
      <c r="AC159" s="9" t="n">
        <f aca="false">(((AC157*Assumptions!$C$59)*Assumptions!$C$60)*Assumptions!$C$61)</f>
        <v>543.280058234409</v>
      </c>
      <c r="AD159" s="9" t="n">
        <f aca="false">(((AD157*Assumptions!$C$59)*Assumptions!$C$60)*Assumptions!$C$61)</f>
        <v>569.460661750026</v>
      </c>
      <c r="AE159" s="9" t="n">
        <f aca="false">(((AE157*Assumptions!$C$59)*Assumptions!$C$60)*Assumptions!$C$61)</f>
        <v>660.144469455647</v>
      </c>
      <c r="AF159" s="9" t="n">
        <f aca="false">(((AF157*Assumptions!$C$59)*Assumptions!$C$60)*Assumptions!$C$61)</f>
        <v>709.079220603099</v>
      </c>
      <c r="AG159" s="9" t="n">
        <f aca="false">(((AG157*Assumptions!$C$59)*Assumptions!$C$60)*Assumptions!$C$61)</f>
        <v>729.600391090381</v>
      </c>
      <c r="AH159" s="9" t="n">
        <f aca="false">(((AH157*Assumptions!$C$59)*Assumptions!$C$60)*Assumptions!$C$61)</f>
        <v>871.425457003217</v>
      </c>
      <c r="AI159" s="9" t="n">
        <f aca="false">(((AI157*Assumptions!$C$59)*Assumptions!$C$60)*Assumptions!$C$61)</f>
        <v>923.134815616301</v>
      </c>
      <c r="AJ159" s="9" t="n">
        <f aca="false">(((AJ157*Assumptions!$C$59)*Assumptions!$C$60)*Assumptions!$C$61)</f>
        <v>941.332457469031</v>
      </c>
      <c r="AK159" s="9" t="n">
        <f aca="false">(((AK157*Assumptions!$C$59)*Assumptions!$C$60)*Assumptions!$C$61)</f>
        <v>1109.02879847397</v>
      </c>
      <c r="AL159" s="9" t="n">
        <f aca="false">(((AL157*Assumptions!$C$59)*Assumptions!$C$60)*Assumptions!$C$61)</f>
        <v>1254.91883836802</v>
      </c>
      <c r="AN159" s="11" t="n">
        <f aca="false">SUM(C159:N159)</f>
        <v>304.658612047596</v>
      </c>
      <c r="AO159" s="11" t="n">
        <f aca="false">SUM(O159:Z159)</f>
        <v>2933.57814373569</v>
      </c>
      <c r="AP159" s="11" t="n">
        <f aca="false">SUM(AA159:AL159)</f>
        <v>9275.75992280974</v>
      </c>
    </row>
    <row r="160" customFormat="false" ht="15" hidden="false" customHeight="false" outlineLevel="0" collapsed="false">
      <c r="A160" s="0" t="s">
        <v>963</v>
      </c>
      <c r="B160" s="0" t="s">
        <v>230</v>
      </c>
      <c r="C160" s="9" t="n">
        <f aca="false">(((C157*Assumptions!$C$62)*Assumptions!$C$63)*(1-Assumptions!$C$64))</f>
        <v>5.265</v>
      </c>
      <c r="D160" s="9" t="n">
        <f aca="false">(((D157*Assumptions!$C$62)*Assumptions!$C$63)*(1-Assumptions!$C$64))</f>
        <v>9.3555</v>
      </c>
      <c r="E160" s="9" t="n">
        <f aca="false">(((E157*Assumptions!$C$62)*Assumptions!$C$63)*(1-Assumptions!$C$64))</f>
        <v>12.328362</v>
      </c>
      <c r="F160" s="9" t="n">
        <f aca="false">(((F157*Assumptions!$C$62)*Assumptions!$C$63)*(1-Assumptions!$C$64))</f>
        <v>14.7078504</v>
      </c>
      <c r="G160" s="9" t="n">
        <f aca="false">(((G157*Assumptions!$C$62)*Assumptions!$C$63)*(1-Assumptions!$C$64))</f>
        <v>20.7357273648</v>
      </c>
      <c r="H160" s="9" t="n">
        <f aca="false">(((H157*Assumptions!$C$62)*Assumptions!$C$63)*(1-Assumptions!$C$64))</f>
        <v>21.524346875664</v>
      </c>
      <c r="I160" s="9" t="n">
        <f aca="false">(((I157*Assumptions!$C$62)*Assumptions!$C$63)*(1-Assumptions!$C$64))</f>
        <v>23.5299269338301</v>
      </c>
      <c r="J160" s="9" t="n">
        <f aca="false">(((J157*Assumptions!$C$62)*Assumptions!$C$63)*(1-Assumptions!$C$64))</f>
        <v>50.7043597800345</v>
      </c>
      <c r="K160" s="9" t="n">
        <f aca="false">(((K157*Assumptions!$C$62)*Assumptions!$C$63)*(1-Assumptions!$C$64))</f>
        <v>59.1684890697602</v>
      </c>
      <c r="L160" s="9" t="n">
        <f aca="false">(((L157*Assumptions!$C$62)*Assumptions!$C$63)*(1-Assumptions!$C$64))</f>
        <v>62.524399143746</v>
      </c>
      <c r="M160" s="9" t="n">
        <f aca="false">(((M157*Assumptions!$C$62)*Assumptions!$C$63)*(1-Assumptions!$C$64))</f>
        <v>59.7536111003952</v>
      </c>
      <c r="N160" s="9" t="n">
        <f aca="false">(((N157*Assumptions!$C$62)*Assumptions!$C$63)*(1-Assumptions!$C$64))</f>
        <v>68.4273541812287</v>
      </c>
      <c r="O160" s="9" t="n">
        <f aca="false">(((O157*Assumptions!$C$62)*Assumptions!$C$63)*(1-Assumptions!$C$64))</f>
        <v>123.352866023567</v>
      </c>
      <c r="P160" s="9" t="n">
        <f aca="false">(((P157*Assumptions!$C$62)*Assumptions!$C$63)*(1-Assumptions!$C$64))</f>
        <v>142.861939089814</v>
      </c>
      <c r="Q160" s="9" t="n">
        <f aca="false">(((Q157*Assumptions!$C$62)*Assumptions!$C$63)*(1-Assumptions!$C$64))</f>
        <v>205.670770130596</v>
      </c>
      <c r="R160" s="9" t="n">
        <f aca="false">(((R157*Assumptions!$C$62)*Assumptions!$C$63)*(1-Assumptions!$C$64))</f>
        <v>253.332137696037</v>
      </c>
      <c r="S160" s="9" t="n">
        <f aca="false">(((S157*Assumptions!$C$62)*Assumptions!$C$63)*(1-Assumptions!$C$64))</f>
        <v>267.494791998194</v>
      </c>
      <c r="T160" s="9" t="n">
        <f aca="false">(((T157*Assumptions!$C$62)*Assumptions!$C$63)*(1-Assumptions!$C$64))</f>
        <v>277.004738470658</v>
      </c>
      <c r="U160" s="9" t="n">
        <f aca="false">(((U157*Assumptions!$C$62)*Assumptions!$C$63)*(1-Assumptions!$C$64))</f>
        <v>318.700259812704</v>
      </c>
      <c r="V160" s="9" t="n">
        <f aca="false">(((V157*Assumptions!$C$62)*Assumptions!$C$63)*(1-Assumptions!$C$64))</f>
        <v>379.714280483225</v>
      </c>
      <c r="W160" s="9" t="n">
        <f aca="false">(((W157*Assumptions!$C$62)*Assumptions!$C$63)*(1-Assumptions!$C$64))</f>
        <v>438.96102520151</v>
      </c>
      <c r="X160" s="9" t="n">
        <f aca="false">(((X157*Assumptions!$C$62)*Assumptions!$C$63)*(1-Assumptions!$C$64))</f>
        <v>467.168214570077</v>
      </c>
      <c r="Y160" s="9" t="n">
        <f aca="false">(((Y157*Assumptions!$C$62)*Assumptions!$C$63)*(1-Assumptions!$C$64))</f>
        <v>526.000447352138</v>
      </c>
      <c r="Z160" s="9" t="n">
        <f aca="false">(((Z157*Assumptions!$C$62)*Assumptions!$C$63)*(1-Assumptions!$C$64))</f>
        <v>528.63782881749</v>
      </c>
      <c r="AA160" s="9" t="n">
        <f aca="false">(((AA157*Assumptions!$C$62)*Assumptions!$C$63)*(1-Assumptions!$C$64))</f>
        <v>576.736437836968</v>
      </c>
      <c r="AB160" s="9" t="n">
        <f aca="false">(((AB157*Assumptions!$C$62)*Assumptions!$C$63)*(1-Assumptions!$C$64))</f>
        <v>714.810108697377</v>
      </c>
      <c r="AC160" s="9" t="n">
        <f aca="false">(((AC157*Assumptions!$C$62)*Assumptions!$C$63)*(1-Assumptions!$C$64))</f>
        <v>727.607220849655</v>
      </c>
      <c r="AD160" s="9" t="n">
        <f aca="false">(((AD157*Assumptions!$C$62)*Assumptions!$C$63)*(1-Assumptions!$C$64))</f>
        <v>762.670529129498</v>
      </c>
      <c r="AE160" s="9" t="n">
        <f aca="false">(((AE157*Assumptions!$C$62)*Assumptions!$C$63)*(1-Assumptions!$C$64))</f>
        <v>884.12205730667</v>
      </c>
      <c r="AF160" s="9" t="n">
        <f aca="false">(((AF157*Assumptions!$C$62)*Assumptions!$C$63)*(1-Assumptions!$C$64))</f>
        <v>949.659670450578</v>
      </c>
      <c r="AG160" s="9" t="n">
        <f aca="false">(((AG157*Assumptions!$C$62)*Assumptions!$C$63)*(1-Assumptions!$C$64))</f>
        <v>977.143380924617</v>
      </c>
      <c r="AH160" s="9" t="n">
        <f aca="false">(((AH157*Assumptions!$C$62)*Assumptions!$C$63)*(1-Assumptions!$C$64))</f>
        <v>1167.08766562931</v>
      </c>
      <c r="AI160" s="9" t="n">
        <f aca="false">(((AI157*Assumptions!$C$62)*Assumptions!$C$63)*(1-Assumptions!$C$64))</f>
        <v>1236.34127091469</v>
      </c>
      <c r="AJ160" s="9" t="n">
        <f aca="false">(((AJ157*Assumptions!$C$62)*Assumptions!$C$63)*(1-Assumptions!$C$64))</f>
        <v>1260.71311268174</v>
      </c>
      <c r="AK160" s="9" t="n">
        <f aca="false">(((AK157*Assumptions!$C$62)*Assumptions!$C$63)*(1-Assumptions!$C$64))</f>
        <v>1485.30642652764</v>
      </c>
      <c r="AL160" s="9" t="n">
        <f aca="false">(((AL157*Assumptions!$C$62)*Assumptions!$C$63)*(1-Assumptions!$C$64))</f>
        <v>1680.69487281431</v>
      </c>
      <c r="AN160" s="11" t="n">
        <f aca="false">SUM(C160:N160)</f>
        <v>408.024926849459</v>
      </c>
      <c r="AO160" s="11" t="n">
        <f aca="false">SUM(O160:Z160)</f>
        <v>3928.89929964601</v>
      </c>
      <c r="AP160" s="11" t="n">
        <f aca="false">SUM(AA160:AL160)</f>
        <v>12422.892753763</v>
      </c>
    </row>
    <row r="161" customFormat="false" ht="15" hidden="false" customHeight="false" outlineLevel="0" collapsed="false">
      <c r="A161" s="0" t="s">
        <v>964</v>
      </c>
      <c r="B161" s="0" t="s">
        <v>230</v>
      </c>
      <c r="C161" s="9" t="n">
        <f aca="false">(C157*Assumptions!$C$65)</f>
        <v>2.808</v>
      </c>
      <c r="D161" s="9" t="n">
        <f aca="false">(D157*Assumptions!$C$65)</f>
        <v>4.9896</v>
      </c>
      <c r="E161" s="9" t="n">
        <f aca="false">(E157*Assumptions!$C$65)</f>
        <v>6.5751264</v>
      </c>
      <c r="F161" s="9" t="n">
        <f aca="false">(F157*Assumptions!$C$65)</f>
        <v>7.84418688</v>
      </c>
      <c r="G161" s="9" t="n">
        <f aca="false">(G157*Assumptions!$C$65)</f>
        <v>11.05905459456</v>
      </c>
      <c r="H161" s="9" t="n">
        <f aca="false">(H157*Assumptions!$C$65)</f>
        <v>11.4796516670208</v>
      </c>
      <c r="I161" s="9" t="n">
        <f aca="false">(I157*Assumptions!$C$65)</f>
        <v>12.5492943647094</v>
      </c>
      <c r="J161" s="9" t="n">
        <f aca="false">(J157*Assumptions!$C$65)</f>
        <v>27.0423252160184</v>
      </c>
      <c r="K161" s="9" t="n">
        <f aca="false">(K157*Assumptions!$C$65)</f>
        <v>31.5565275038721</v>
      </c>
      <c r="L161" s="9" t="n">
        <f aca="false">(L157*Assumptions!$C$65)</f>
        <v>33.3463462099979</v>
      </c>
      <c r="M161" s="9" t="n">
        <f aca="false">(M157*Assumptions!$C$65)</f>
        <v>31.8685925868774</v>
      </c>
      <c r="N161" s="9" t="n">
        <f aca="false">(N157*Assumptions!$C$65)</f>
        <v>36.4945888966553</v>
      </c>
      <c r="O161" s="9" t="n">
        <f aca="false">(O157*Assumptions!$C$65)</f>
        <v>65.7881952125691</v>
      </c>
      <c r="P161" s="9" t="n">
        <f aca="false">(P157*Assumptions!$C$65)</f>
        <v>76.1930341812341</v>
      </c>
      <c r="Q161" s="9" t="n">
        <f aca="false">(Q157*Assumptions!$C$65)</f>
        <v>109.691077402985</v>
      </c>
      <c r="R161" s="9" t="n">
        <f aca="false">(R157*Assumptions!$C$65)</f>
        <v>135.110473437886</v>
      </c>
      <c r="S161" s="9" t="n">
        <f aca="false">(S157*Assumptions!$C$65)</f>
        <v>142.663889065704</v>
      </c>
      <c r="T161" s="9" t="n">
        <f aca="false">(T157*Assumptions!$C$65)</f>
        <v>147.735860517684</v>
      </c>
      <c r="U161" s="9" t="n">
        <f aca="false">(U157*Assumptions!$C$65)</f>
        <v>169.973471900109</v>
      </c>
      <c r="V161" s="9" t="n">
        <f aca="false">(V157*Assumptions!$C$65)</f>
        <v>202.514282924387</v>
      </c>
      <c r="W161" s="9" t="n">
        <f aca="false">(W157*Assumptions!$C$65)</f>
        <v>234.112546774138</v>
      </c>
      <c r="X161" s="9" t="n">
        <f aca="false">(X157*Assumptions!$C$65)</f>
        <v>249.156381104041</v>
      </c>
      <c r="Y161" s="9" t="n">
        <f aca="false">(Y157*Assumptions!$C$65)</f>
        <v>280.533571921141</v>
      </c>
      <c r="Z161" s="9" t="n">
        <f aca="false">(Z157*Assumptions!$C$65)</f>
        <v>281.940175369328</v>
      </c>
      <c r="AA161" s="9" t="n">
        <f aca="false">(AA157*Assumptions!$C$65)</f>
        <v>307.592766846383</v>
      </c>
      <c r="AB161" s="9" t="n">
        <f aca="false">(AB157*Assumptions!$C$65)</f>
        <v>381.232057971934</v>
      </c>
      <c r="AC161" s="9" t="n">
        <f aca="false">(AC157*Assumptions!$C$65)</f>
        <v>388.057184453149</v>
      </c>
      <c r="AD161" s="9" t="n">
        <f aca="false">(AD157*Assumptions!$C$65)</f>
        <v>406.757615535732</v>
      </c>
      <c r="AE161" s="9" t="n">
        <f aca="false">(AE157*Assumptions!$C$65)</f>
        <v>471.531763896891</v>
      </c>
      <c r="AF161" s="9" t="n">
        <f aca="false">(AF157*Assumptions!$C$65)</f>
        <v>506.485157573642</v>
      </c>
      <c r="AG161" s="9" t="n">
        <f aca="false">(AG157*Assumptions!$C$65)</f>
        <v>521.143136493129</v>
      </c>
      <c r="AH161" s="9" t="n">
        <f aca="false">(AH157*Assumptions!$C$65)</f>
        <v>622.446755002297</v>
      </c>
      <c r="AI161" s="9" t="n">
        <f aca="false">(AI157*Assumptions!$C$65)</f>
        <v>659.382011154501</v>
      </c>
      <c r="AJ161" s="9" t="n">
        <f aca="false">(AJ157*Assumptions!$C$65)</f>
        <v>672.380326763594</v>
      </c>
      <c r="AK161" s="9" t="n">
        <f aca="false">(AK157*Assumptions!$C$65)</f>
        <v>792.163427481408</v>
      </c>
      <c r="AL161" s="9" t="n">
        <f aca="false">(AL157*Assumptions!$C$65)</f>
        <v>896.370598834298</v>
      </c>
      <c r="AN161" s="11" t="n">
        <f aca="false">SUM(C161:N161)</f>
        <v>217.613294319711</v>
      </c>
      <c r="AO161" s="11" t="n">
        <f aca="false">SUM(O161:Z161)</f>
        <v>2095.41295981121</v>
      </c>
      <c r="AP161" s="11" t="n">
        <f aca="false">SUM(AA161:AL161)</f>
        <v>6625.54280200696</v>
      </c>
    </row>
    <row r="162" customFormat="false" ht="15" hidden="false" customHeight="false" outlineLevel="0" collapsed="false">
      <c r="A162" s="0" t="s">
        <v>965</v>
      </c>
      <c r="B162" s="0" t="s">
        <v>230</v>
      </c>
      <c r="C162" s="9" t="n">
        <f aca="false">(C157*Assumptions!$C$66)</f>
        <v>4.68</v>
      </c>
      <c r="D162" s="9" t="n">
        <f aca="false">(D157*Assumptions!$C$66)</f>
        <v>8.316</v>
      </c>
      <c r="E162" s="9" t="n">
        <f aca="false">(E157*Assumptions!$C$66)</f>
        <v>10.958544</v>
      </c>
      <c r="F162" s="9" t="n">
        <f aca="false">(F157*Assumptions!$C$66)</f>
        <v>13.0736448</v>
      </c>
      <c r="G162" s="9" t="n">
        <f aca="false">(G157*Assumptions!$C$66)</f>
        <v>18.4317576576</v>
      </c>
      <c r="H162" s="9" t="n">
        <f aca="false">(H157*Assumptions!$C$66)</f>
        <v>19.132752778368</v>
      </c>
      <c r="I162" s="9" t="n">
        <f aca="false">(I157*Assumptions!$C$66)</f>
        <v>20.915490607849</v>
      </c>
      <c r="J162" s="9" t="n">
        <f aca="false">(J157*Assumptions!$C$66)</f>
        <v>45.0705420266973</v>
      </c>
      <c r="K162" s="9" t="n">
        <f aca="false">(K157*Assumptions!$C$66)</f>
        <v>52.5942125064535</v>
      </c>
      <c r="L162" s="9" t="n">
        <f aca="false">(L157*Assumptions!$C$66)</f>
        <v>55.5772436833298</v>
      </c>
      <c r="M162" s="9" t="n">
        <f aca="false">(M157*Assumptions!$C$66)</f>
        <v>53.114320978129</v>
      </c>
      <c r="N162" s="9" t="n">
        <f aca="false">(N157*Assumptions!$C$66)</f>
        <v>60.8243148277588</v>
      </c>
      <c r="O162" s="9" t="n">
        <f aca="false">(O157*Assumptions!$C$66)</f>
        <v>109.646992020949</v>
      </c>
      <c r="P162" s="9" t="n">
        <f aca="false">(P157*Assumptions!$C$66)</f>
        <v>126.988390302057</v>
      </c>
      <c r="Q162" s="9" t="n">
        <f aca="false">(Q157*Assumptions!$C$66)</f>
        <v>182.818462338308</v>
      </c>
      <c r="R162" s="9" t="n">
        <f aca="false">(R157*Assumptions!$C$66)</f>
        <v>225.184122396477</v>
      </c>
      <c r="S162" s="9" t="n">
        <f aca="false">(S157*Assumptions!$C$66)</f>
        <v>237.773148442839</v>
      </c>
      <c r="T162" s="9" t="n">
        <f aca="false">(T157*Assumptions!$C$66)</f>
        <v>246.22643419614</v>
      </c>
      <c r="U162" s="9" t="n">
        <f aca="false">(U157*Assumptions!$C$66)</f>
        <v>283.289119833515</v>
      </c>
      <c r="V162" s="9" t="n">
        <f aca="false">(V157*Assumptions!$C$66)</f>
        <v>337.523804873978</v>
      </c>
      <c r="W162" s="9" t="n">
        <f aca="false">(W157*Assumptions!$C$66)</f>
        <v>390.187577956897</v>
      </c>
      <c r="X162" s="9" t="n">
        <f aca="false">(X157*Assumptions!$C$66)</f>
        <v>415.260635173402</v>
      </c>
      <c r="Y162" s="9" t="n">
        <f aca="false">(Y157*Assumptions!$C$66)</f>
        <v>467.555953201901</v>
      </c>
      <c r="Z162" s="9" t="n">
        <f aca="false">(Z157*Assumptions!$C$66)</f>
        <v>469.900292282213</v>
      </c>
      <c r="AA162" s="9" t="n">
        <f aca="false">(AA157*Assumptions!$C$66)</f>
        <v>512.654611410639</v>
      </c>
      <c r="AB162" s="9" t="n">
        <f aca="false">(AB157*Assumptions!$C$66)</f>
        <v>635.386763286557</v>
      </c>
      <c r="AC162" s="9" t="n">
        <f aca="false">(AC157*Assumptions!$C$66)</f>
        <v>646.761974088582</v>
      </c>
      <c r="AD162" s="9" t="n">
        <f aca="false">(AD157*Assumptions!$C$66)</f>
        <v>677.929359226221</v>
      </c>
      <c r="AE162" s="9" t="n">
        <f aca="false">(AE157*Assumptions!$C$66)</f>
        <v>785.886273161485</v>
      </c>
      <c r="AF162" s="9" t="n">
        <f aca="false">(AF157*Assumptions!$C$66)</f>
        <v>844.141929289403</v>
      </c>
      <c r="AG162" s="9" t="n">
        <f aca="false">(AG157*Assumptions!$C$66)</f>
        <v>868.571894155215</v>
      </c>
      <c r="AH162" s="9" t="n">
        <f aca="false">(AH157*Assumptions!$C$66)</f>
        <v>1037.41125833716</v>
      </c>
      <c r="AI162" s="9" t="n">
        <f aca="false">(AI157*Assumptions!$C$66)</f>
        <v>1098.97001859083</v>
      </c>
      <c r="AJ162" s="9" t="n">
        <f aca="false">(AJ157*Assumptions!$C$66)</f>
        <v>1120.63387793932</v>
      </c>
      <c r="AK162" s="9" t="n">
        <f aca="false">(AK157*Assumptions!$C$66)</f>
        <v>1320.27237913568</v>
      </c>
      <c r="AL162" s="9" t="n">
        <f aca="false">(AL157*Assumptions!$C$66)</f>
        <v>1493.95099805716</v>
      </c>
      <c r="AN162" s="11" t="n">
        <f aca="false">SUM(C162:N162)</f>
        <v>362.688823866185</v>
      </c>
      <c r="AO162" s="11" t="n">
        <f aca="false">SUM(O162:Z162)</f>
        <v>3492.35493301868</v>
      </c>
      <c r="AP162" s="11" t="n">
        <f aca="false">SUM(AA162:AL162)</f>
        <v>11042.5713366783</v>
      </c>
    </row>
    <row r="163" customFormat="false" ht="15" hidden="false" customHeight="false" outlineLevel="0" collapsed="false">
      <c r="A163" s="0" t="s">
        <v>363</v>
      </c>
      <c r="B163" s="0" t="s">
        <v>230</v>
      </c>
      <c r="C163" s="9" t="n">
        <f aca="false">(C157*Assumptions!$C$67)</f>
        <v>2.34</v>
      </c>
      <c r="D163" s="9" t="n">
        <f aca="false">(D157*Assumptions!$C$67)</f>
        <v>4.158</v>
      </c>
      <c r="E163" s="9" t="n">
        <f aca="false">(E157*Assumptions!$C$67)</f>
        <v>5.479272</v>
      </c>
      <c r="F163" s="9" t="n">
        <f aca="false">(F157*Assumptions!$C$67)</f>
        <v>6.5368224</v>
      </c>
      <c r="G163" s="9" t="n">
        <f aca="false">(G157*Assumptions!$C$67)</f>
        <v>9.2158788288</v>
      </c>
      <c r="H163" s="9" t="n">
        <f aca="false">(H157*Assumptions!$C$67)</f>
        <v>9.566376389184</v>
      </c>
      <c r="I163" s="9" t="n">
        <f aca="false">(I157*Assumptions!$C$67)</f>
        <v>10.4577453039245</v>
      </c>
      <c r="J163" s="9" t="n">
        <f aca="false">(J157*Assumptions!$C$67)</f>
        <v>22.5352710133487</v>
      </c>
      <c r="K163" s="9" t="n">
        <f aca="false">(K157*Assumptions!$C$67)</f>
        <v>26.2971062532267</v>
      </c>
      <c r="L163" s="9" t="n">
        <f aca="false">(L157*Assumptions!$C$67)</f>
        <v>27.7886218416649</v>
      </c>
      <c r="M163" s="9" t="n">
        <f aca="false">(M157*Assumptions!$C$67)</f>
        <v>26.5571604890645</v>
      </c>
      <c r="N163" s="9" t="n">
        <f aca="false">(N157*Assumptions!$C$67)</f>
        <v>30.4121574138794</v>
      </c>
      <c r="O163" s="9" t="n">
        <f aca="false">(O157*Assumptions!$C$67)</f>
        <v>54.8234960104743</v>
      </c>
      <c r="P163" s="9" t="n">
        <f aca="false">(P157*Assumptions!$C$67)</f>
        <v>63.4941951510284</v>
      </c>
      <c r="Q163" s="9" t="n">
        <f aca="false">(Q157*Assumptions!$C$67)</f>
        <v>91.4092311691539</v>
      </c>
      <c r="R163" s="9" t="n">
        <f aca="false">(R157*Assumptions!$C$67)</f>
        <v>112.592061198239</v>
      </c>
      <c r="S163" s="9" t="n">
        <f aca="false">(S157*Assumptions!$C$67)</f>
        <v>118.88657422142</v>
      </c>
      <c r="T163" s="9" t="n">
        <f aca="false">(T157*Assumptions!$C$67)</f>
        <v>123.11321709807</v>
      </c>
      <c r="U163" s="9" t="n">
        <f aca="false">(U157*Assumptions!$C$67)</f>
        <v>141.644559916758</v>
      </c>
      <c r="V163" s="9" t="n">
        <f aca="false">(V157*Assumptions!$C$67)</f>
        <v>168.761902436989</v>
      </c>
      <c r="W163" s="9" t="n">
        <f aca="false">(W157*Assumptions!$C$67)</f>
        <v>195.093788978449</v>
      </c>
      <c r="X163" s="9" t="n">
        <f aca="false">(X157*Assumptions!$C$67)</f>
        <v>207.630317586701</v>
      </c>
      <c r="Y163" s="9" t="n">
        <f aca="false">(Y157*Assumptions!$C$67)</f>
        <v>233.77797660095</v>
      </c>
      <c r="Z163" s="9" t="n">
        <f aca="false">(Z157*Assumptions!$C$67)</f>
        <v>234.950146141107</v>
      </c>
      <c r="AA163" s="9" t="n">
        <f aca="false">(AA157*Assumptions!$C$67)</f>
        <v>256.327305705319</v>
      </c>
      <c r="AB163" s="9" t="n">
        <f aca="false">(AB157*Assumptions!$C$67)</f>
        <v>317.693381643279</v>
      </c>
      <c r="AC163" s="9" t="n">
        <f aca="false">(AC157*Assumptions!$C$67)</f>
        <v>323.380987044291</v>
      </c>
      <c r="AD163" s="9" t="n">
        <f aca="false">(AD157*Assumptions!$C$67)</f>
        <v>338.96467961311</v>
      </c>
      <c r="AE163" s="9" t="n">
        <f aca="false">(AE157*Assumptions!$C$67)</f>
        <v>392.943136580742</v>
      </c>
      <c r="AF163" s="9" t="n">
        <f aca="false">(AF157*Assumptions!$C$67)</f>
        <v>422.070964644701</v>
      </c>
      <c r="AG163" s="9" t="n">
        <f aca="false">(AG157*Assumptions!$C$67)</f>
        <v>434.285947077608</v>
      </c>
      <c r="AH163" s="9" t="n">
        <f aca="false">(AH157*Assumptions!$C$67)</f>
        <v>518.705629168581</v>
      </c>
      <c r="AI163" s="9" t="n">
        <f aca="false">(AI157*Assumptions!$C$67)</f>
        <v>549.485009295417</v>
      </c>
      <c r="AJ163" s="9" t="n">
        <f aca="false">(AJ157*Assumptions!$C$67)</f>
        <v>560.316938969661</v>
      </c>
      <c r="AK163" s="9" t="n">
        <f aca="false">(AK157*Assumptions!$C$67)</f>
        <v>660.13618956784</v>
      </c>
      <c r="AL163" s="9" t="n">
        <f aca="false">(AL157*Assumptions!$C$67)</f>
        <v>746.975499028581</v>
      </c>
      <c r="AN163" s="11" t="n">
        <f aca="false">SUM(C163:N163)</f>
        <v>181.344411933093</v>
      </c>
      <c r="AO163" s="11" t="n">
        <f aca="false">SUM(O163:Z163)</f>
        <v>1746.17746650934</v>
      </c>
      <c r="AP163" s="11" t="n">
        <f aca="false">SUM(AA163:AL163)</f>
        <v>5521.28566833913</v>
      </c>
    </row>
    <row r="164" customFormat="false" ht="15" hidden="false" customHeight="false" outlineLevel="0" collapsed="false">
      <c r="A164" s="0" t="s">
        <v>966</v>
      </c>
      <c r="B164" s="0" t="s">
        <v>230</v>
      </c>
      <c r="C164" s="9" t="n">
        <f aca="false">Assumptions!$C$135</f>
        <v>4000</v>
      </c>
      <c r="D164" s="9" t="n">
        <f aca="false">Assumptions!$C$135</f>
        <v>4000</v>
      </c>
      <c r="E164" s="9" t="n">
        <f aca="false">Assumptions!$C$135</f>
        <v>4000</v>
      </c>
      <c r="F164" s="9" t="n">
        <f aca="false">Assumptions!$C$135</f>
        <v>4000</v>
      </c>
      <c r="G164" s="9" t="n">
        <f aca="false">Assumptions!$C$135</f>
        <v>4000</v>
      </c>
      <c r="H164" s="9" t="n">
        <f aca="false">Assumptions!$C$135</f>
        <v>4000</v>
      </c>
      <c r="I164" s="9" t="n">
        <f aca="false">Assumptions!$C$135</f>
        <v>4000</v>
      </c>
      <c r="J164" s="9" t="n">
        <f aca="false">Assumptions!$C$135</f>
        <v>4000</v>
      </c>
      <c r="K164" s="9" t="n">
        <f aca="false">Assumptions!$C$135</f>
        <v>4000</v>
      </c>
      <c r="L164" s="9" t="n">
        <f aca="false">Assumptions!$C$135</f>
        <v>4000</v>
      </c>
      <c r="M164" s="9" t="n">
        <f aca="false">Assumptions!$C$135</f>
        <v>4000</v>
      </c>
      <c r="N164" s="9" t="n">
        <f aca="false">Assumptions!$C$135</f>
        <v>4000</v>
      </c>
      <c r="O164" s="9" t="n">
        <f aca="false">Assumptions!$D$135</f>
        <v>9000</v>
      </c>
      <c r="P164" s="9" t="n">
        <f aca="false">Assumptions!$D$135</f>
        <v>9000</v>
      </c>
      <c r="Q164" s="9" t="n">
        <f aca="false">Assumptions!$D$135</f>
        <v>9000</v>
      </c>
      <c r="R164" s="9" t="n">
        <f aca="false">Assumptions!$D$135</f>
        <v>9000</v>
      </c>
      <c r="S164" s="9" t="n">
        <f aca="false">Assumptions!$D$135</f>
        <v>9000</v>
      </c>
      <c r="T164" s="9" t="n">
        <f aca="false">Assumptions!$D$135</f>
        <v>9000</v>
      </c>
      <c r="U164" s="9" t="n">
        <f aca="false">Assumptions!$D$135</f>
        <v>9000</v>
      </c>
      <c r="V164" s="9" t="n">
        <f aca="false">Assumptions!$D$135</f>
        <v>9000</v>
      </c>
      <c r="W164" s="9" t="n">
        <f aca="false">Assumptions!$D$135</f>
        <v>9000</v>
      </c>
      <c r="X164" s="9" t="n">
        <f aca="false">Assumptions!$D$135</f>
        <v>9000</v>
      </c>
      <c r="Y164" s="9" t="n">
        <f aca="false">Assumptions!$D$135</f>
        <v>9000</v>
      </c>
      <c r="Z164" s="9" t="n">
        <f aca="false">Assumptions!$D$135</f>
        <v>9000</v>
      </c>
      <c r="AA164" s="9" t="n">
        <f aca="false">Assumptions!$E$135</f>
        <v>16000</v>
      </c>
      <c r="AB164" s="9" t="n">
        <f aca="false">Assumptions!$E$135</f>
        <v>16000</v>
      </c>
      <c r="AC164" s="9" t="n">
        <f aca="false">Assumptions!$E$135</f>
        <v>16000</v>
      </c>
      <c r="AD164" s="9" t="n">
        <f aca="false">Assumptions!$E$135</f>
        <v>16000</v>
      </c>
      <c r="AE164" s="9" t="n">
        <f aca="false">Assumptions!$E$135</f>
        <v>16000</v>
      </c>
      <c r="AF164" s="9" t="n">
        <f aca="false">Assumptions!$E$135</f>
        <v>16000</v>
      </c>
      <c r="AG164" s="9" t="n">
        <f aca="false">Assumptions!$E$135</f>
        <v>16000</v>
      </c>
      <c r="AH164" s="9" t="n">
        <f aca="false">Assumptions!$E$135</f>
        <v>16000</v>
      </c>
      <c r="AI164" s="9" t="n">
        <f aca="false">Assumptions!$E$135</f>
        <v>16000</v>
      </c>
      <c r="AJ164" s="9" t="n">
        <f aca="false">Assumptions!$E$135</f>
        <v>16000</v>
      </c>
      <c r="AK164" s="9" t="n">
        <f aca="false">Assumptions!$E$135</f>
        <v>16000</v>
      </c>
      <c r="AL164" s="9" t="n">
        <f aca="false">Assumptions!$E$135</f>
        <v>16000</v>
      </c>
      <c r="AN164" s="11" t="n">
        <f aca="false">SUM(C164:N164)</f>
        <v>48000</v>
      </c>
      <c r="AO164" s="11" t="n">
        <f aca="false">SUM(O164:Z164)</f>
        <v>108000</v>
      </c>
      <c r="AP164" s="11" t="n">
        <f aca="false">SUM(AA164:AL164)</f>
        <v>192000</v>
      </c>
    </row>
    <row r="165" customFormat="false" ht="15" hidden="false" customHeight="false" outlineLevel="0" collapsed="false">
      <c r="A165" s="0" t="s">
        <v>967</v>
      </c>
      <c r="B165" s="0" t="s">
        <v>230</v>
      </c>
      <c r="C165" s="9" t="n">
        <f aca="false">(((Assumptions!$C$184*$C$12)*$C$13)*(((C29*Assumptions!$C$85)+(C39*Assumptions!$C$86))+(C126*Assumptions!$C$87)))</f>
        <v>33.7515984</v>
      </c>
      <c r="D165" s="9" t="n">
        <f aca="false">(((Assumptions!$C$184*$C$12)*$C$13)*(((D29*Assumptions!$C$85)+(D39*Assumptions!$C$86))+(D126*Assumptions!$C$87)))</f>
        <v>59.97399408</v>
      </c>
      <c r="E165" s="9" t="n">
        <f aca="false">(((Assumptions!$C$184*$C$12)*$C$13)*(((E29*Assumptions!$C$85)+(E39*Assumptions!$C$86))+(E126*Assumptions!$C$87)))</f>
        <v>79.03170430272</v>
      </c>
      <c r="F165" s="9" t="n">
        <f aca="false">(((Assumptions!$C$184*$C$12)*$C$13)*(((F29*Assumptions!$C$85)+(F39*Assumptions!$C$86))+(F126*Assumptions!$C$87)))</f>
        <v>94.285557460224</v>
      </c>
      <c r="G165" s="9" t="n">
        <f aca="false">(((Assumptions!$C$184*$C$12)*$C$13)*(((G29*Assumptions!$C$85)+(G39*Assumptions!$C$86))+(G126*Assumptions!$C$87)))</f>
        <v>163.217520415692</v>
      </c>
      <c r="H165" s="9" t="n">
        <f aca="false">(((Assumptions!$C$184*$C$12)*$C$13)*(((H29*Assumptions!$C$85)+(H39*Assumptions!$C$86))+(H126*Assumptions!$C$87)))</f>
        <v>168.273013107257</v>
      </c>
      <c r="I165" s="9" t="n">
        <f aca="false">(((Assumptions!$C$184*$C$12)*$C$13)*(((I29*Assumptions!$C$85)+(I39*Assumptions!$C$86))+(I126*Assumptions!$C$87)))</f>
        <v>181.129904404934</v>
      </c>
      <c r="J165" s="9" t="n">
        <f aca="false">(((Assumptions!$C$184*$C$12)*$C$13)*(((J29*Assumptions!$C$85)+(J39*Assumptions!$C$86))+(J126*Assumptions!$C$87)))</f>
        <v>481.541136631498</v>
      </c>
      <c r="K165" s="9" t="n">
        <f aca="false">(((Assumptions!$C$184*$C$12)*$C$13)*(((K29*Assumptions!$C$85)+(K39*Assumptions!$C$86))+(K126*Assumptions!$C$87)))</f>
        <v>535.800945291042</v>
      </c>
      <c r="L165" s="9" t="n">
        <f aca="false">(((Assumptions!$C$184*$C$12)*$C$13)*(((L29*Assumptions!$C$85)+(L39*Assumptions!$C$86))+(L126*Assumptions!$C$87)))</f>
        <v>557.314208174932</v>
      </c>
      <c r="M165" s="9" t="n">
        <f aca="false">(((Assumptions!$C$184*$C$12)*$C$13)*(((M29*Assumptions!$C$85)+(M39*Assumptions!$C$86))+(M126*Assumptions!$C$87)))</f>
        <v>509.262009175749</v>
      </c>
      <c r="N165" s="9" t="n">
        <f aca="false">(((Assumptions!$C$184*$C$12)*$C$13)*(((N29*Assumptions!$C$85)+(N39*Assumptions!$C$86))+(N126*Assumptions!$C$87)))</f>
        <v>616.791095620017</v>
      </c>
      <c r="O165" s="9" t="n">
        <f aca="false">(((Assumptions!$C$184*$C$12)*$C$13)*(((O29*Assumptions!$C$85)+(O39*Assumptions!$C$86))+(O126*Assumptions!$C$87)))</f>
        <v>1001.46386777271</v>
      </c>
      <c r="P165" s="9" t="n">
        <f aca="false">(((Assumptions!$C$184*$C$12)*$C$13)*(((P29*Assumptions!$C$85)+(P39*Assumptions!$C$86))+(P126*Assumptions!$C$87)))</f>
        <v>1005.34711774671</v>
      </c>
      <c r="Q165" s="9" t="n">
        <f aca="false">(((Assumptions!$C$184*$C$12)*$C$13)*(((Q29*Assumptions!$C$85)+(Q39*Assumptions!$C$86))+(Q126*Assumptions!$C$87)))</f>
        <v>1631.41959255529</v>
      </c>
      <c r="R165" s="9" t="n">
        <f aca="false">(((Assumptions!$C$184*$C$12)*$C$13)*(((R29*Assumptions!$C$85)+(R39*Assumptions!$C$86))+(R126*Assumptions!$C$87)))</f>
        <v>2101.95191989062</v>
      </c>
      <c r="S165" s="9" t="n">
        <f aca="false">(((Assumptions!$C$184*$C$12)*$C$13)*(((S29*Assumptions!$C$85)+(S39*Assumptions!$C$86))+(S126*Assumptions!$C$87)))</f>
        <v>2202.29883716659</v>
      </c>
      <c r="T165" s="9" t="n">
        <f aca="false">(((Assumptions!$C$184*$C$12)*$C$13)*(((T29*Assumptions!$C$85)+(T39*Assumptions!$C$86))+(T126*Assumptions!$C$87)))</f>
        <v>2273.34084573004</v>
      </c>
      <c r="U165" s="9" t="n">
        <f aca="false">(((Assumptions!$C$184*$C$12)*$C$13)*(((U29*Assumptions!$C$85)+(U39*Assumptions!$C$86))+(U126*Assumptions!$C$87)))</f>
        <v>2707.45873683104</v>
      </c>
      <c r="V165" s="9" t="n">
        <f aca="false">(((Assumptions!$C$184*$C$12)*$C$13)*(((V29*Assumptions!$C$85)+(V39*Assumptions!$C$86))+(V126*Assumptions!$C$87)))</f>
        <v>3152.87733182964</v>
      </c>
      <c r="W165" s="9" t="n">
        <f aca="false">(((Assumptions!$C$184*$C$12)*$C$13)*(((W29*Assumptions!$C$85)+(W39*Assumptions!$C$86))+(W126*Assumptions!$C$87)))</f>
        <v>3546.43987061761</v>
      </c>
      <c r="X165" s="9" t="n">
        <f aca="false">(((Assumptions!$C$184*$C$12)*$C$13)*(((X29*Assumptions!$C$85)+(X39*Assumptions!$C$86))+(X126*Assumptions!$C$87)))</f>
        <v>3774.25910096856</v>
      </c>
      <c r="Y165" s="9" t="n">
        <f aca="false">(((Assumptions!$C$184*$C$12)*$C$13)*(((Y29*Assumptions!$C$85)+(Y39*Assumptions!$C$86))+(Y126*Assumptions!$C$87)))</f>
        <v>4461.05410589164</v>
      </c>
      <c r="Z165" s="9" t="n">
        <f aca="false">(((Assumptions!$C$184*$C$12)*$C$13)*(((Z29*Assumptions!$C$85)+(Z39*Assumptions!$C$86))+(Z126*Assumptions!$C$87)))</f>
        <v>4489.56795345757</v>
      </c>
      <c r="AA165" s="9" t="n">
        <f aca="false">(((Assumptions!$C$184*$C$12)*$C$13)*(((AA29*Assumptions!$C$85)+(AA39*Assumptions!$C$86))+(AA126*Assumptions!$C$87)))</f>
        <v>4845.30421753646</v>
      </c>
      <c r="AB165" s="9" t="n">
        <f aca="false">(((Assumptions!$C$184*$C$12)*$C$13)*(((AB29*Assumptions!$C$85)+(AB39*Assumptions!$C$86))+(AB126*Assumptions!$C$87)))</f>
        <v>6444.898916427</v>
      </c>
      <c r="AC165" s="9" t="n">
        <f aca="false">(((Assumptions!$C$184*$C$12)*$C$13)*(((AC29*Assumptions!$C$85)+(AC39*Assumptions!$C$86))+(AC126*Assumptions!$C$87)))</f>
        <v>6520.20294186263</v>
      </c>
      <c r="AD165" s="9" t="n">
        <f aca="false">(((Assumptions!$C$184*$C$12)*$C$13)*(((AD29*Assumptions!$C$85)+(AD39*Assumptions!$C$86))+(AD126*Assumptions!$C$87)))</f>
        <v>6920.80028074716</v>
      </c>
      <c r="AE165" s="9" t="n">
        <f aca="false">(((Assumptions!$C$184*$C$12)*$C$13)*(((AE29*Assumptions!$C$85)+(AE39*Assumptions!$C$86))+(AE126*Assumptions!$C$87)))</f>
        <v>8500.99770509602</v>
      </c>
      <c r="AF165" s="9" t="n">
        <f aca="false">(((Assumptions!$C$184*$C$12)*$C$13)*(((AF29*Assumptions!$C$85)+(AF39*Assumptions!$C$86))+(AF126*Assumptions!$C$87)))</f>
        <v>9393.90839439311</v>
      </c>
      <c r="AG165" s="9" t="n">
        <f aca="false">(((Assumptions!$C$184*$C$12)*$C$13)*(((AG29*Assumptions!$C$85)+(AG39*Assumptions!$C$86))+(AG126*Assumptions!$C$87)))</f>
        <v>9713.84047836541</v>
      </c>
      <c r="AH165" s="9" t="n">
        <f aca="false">(((Assumptions!$C$184*$C$12)*$C$13)*(((AH29*Assumptions!$C$85)+(AH39*Assumptions!$C$86))+(AH126*Assumptions!$C$87)))</f>
        <v>11769.3867894152</v>
      </c>
      <c r="AI165" s="9" t="n">
        <f aca="false">(((Assumptions!$C$184*$C$12)*$C$13)*(((AI29*Assumptions!$C$85)+(AI39*Assumptions!$C$86))+(AI126*Assumptions!$C$87)))</f>
        <v>12233.0894222631</v>
      </c>
      <c r="AJ165" s="9" t="n">
        <f aca="false">(((Assumptions!$C$184*$C$12)*$C$13)*(((AJ29*Assumptions!$C$85)+(AJ39*Assumptions!$C$86))+(AJ126*Assumptions!$C$87)))</f>
        <v>12442.0581831263</v>
      </c>
      <c r="AK165" s="9" t="n">
        <f aca="false">(((Assumptions!$C$184*$C$12)*$C$13)*(((AK29*Assumptions!$C$85)+(AK39*Assumptions!$C$86))+(AK126*Assumptions!$C$87)))</f>
        <v>15304.6134157276</v>
      </c>
      <c r="AL165" s="9" t="n">
        <f aca="false">(((Assumptions!$C$184*$C$12)*$C$13)*(((AL29*Assumptions!$C$85)+(AL39*Assumptions!$C$86))+(AL126*Assumptions!$C$87)))</f>
        <v>17872.0799052433</v>
      </c>
      <c r="AN165" s="11" t="n">
        <f aca="false">SUM(C165:N165)</f>
        <v>3480.37268706407</v>
      </c>
      <c r="AO165" s="11" t="n">
        <f aca="false">SUM(O165:Z165)</f>
        <v>32347.479280458</v>
      </c>
      <c r="AP165" s="11" t="n">
        <f aca="false">SUM(AA165:AL165)</f>
        <v>121961.180650203</v>
      </c>
    </row>
    <row r="166" customFormat="false" ht="15" hidden="false" customHeight="false" outlineLevel="0" collapsed="false">
      <c r="A166" s="0" t="s">
        <v>968</v>
      </c>
      <c r="B166" s="0" t="s">
        <v>230</v>
      </c>
      <c r="C166" s="9" t="n">
        <f aca="false">Assumptions!$C$136</f>
        <v>2000</v>
      </c>
      <c r="D166" s="9" t="n">
        <f aca="false">Assumptions!$C$136</f>
        <v>2000</v>
      </c>
      <c r="E166" s="9" t="n">
        <f aca="false">Assumptions!$C$136</f>
        <v>2000</v>
      </c>
      <c r="F166" s="9" t="n">
        <f aca="false">Assumptions!$C$136</f>
        <v>2000</v>
      </c>
      <c r="G166" s="9" t="n">
        <f aca="false">Assumptions!$C$136</f>
        <v>2000</v>
      </c>
      <c r="H166" s="9" t="n">
        <f aca="false">Assumptions!$C$136</f>
        <v>2000</v>
      </c>
      <c r="I166" s="9" t="n">
        <f aca="false">Assumptions!$C$136</f>
        <v>2000</v>
      </c>
      <c r="J166" s="9" t="n">
        <f aca="false">Assumptions!$C$136</f>
        <v>2000</v>
      </c>
      <c r="K166" s="9" t="n">
        <f aca="false">Assumptions!$C$136</f>
        <v>2000</v>
      </c>
      <c r="L166" s="9" t="n">
        <f aca="false">Assumptions!$C$136</f>
        <v>2000</v>
      </c>
      <c r="M166" s="9" t="n">
        <f aca="false">Assumptions!$C$136</f>
        <v>2000</v>
      </c>
      <c r="N166" s="9" t="n">
        <f aca="false">Assumptions!$C$136</f>
        <v>2000</v>
      </c>
      <c r="O166" s="9" t="n">
        <f aca="false">Assumptions!$D$136</f>
        <v>3000</v>
      </c>
      <c r="P166" s="9" t="n">
        <f aca="false">Assumptions!$D$136</f>
        <v>3000</v>
      </c>
      <c r="Q166" s="9" t="n">
        <f aca="false">Assumptions!$D$136</f>
        <v>3000</v>
      </c>
      <c r="R166" s="9" t="n">
        <f aca="false">Assumptions!$D$136</f>
        <v>3000</v>
      </c>
      <c r="S166" s="9" t="n">
        <f aca="false">Assumptions!$D$136</f>
        <v>3000</v>
      </c>
      <c r="T166" s="9" t="n">
        <f aca="false">Assumptions!$D$136</f>
        <v>3000</v>
      </c>
      <c r="U166" s="9" t="n">
        <f aca="false">Assumptions!$D$136</f>
        <v>3000</v>
      </c>
      <c r="V166" s="9" t="n">
        <f aca="false">Assumptions!$D$136</f>
        <v>3000</v>
      </c>
      <c r="W166" s="9" t="n">
        <f aca="false">Assumptions!$D$136</f>
        <v>3000</v>
      </c>
      <c r="X166" s="9" t="n">
        <f aca="false">Assumptions!$D$136</f>
        <v>3000</v>
      </c>
      <c r="Y166" s="9" t="n">
        <f aca="false">Assumptions!$D$136</f>
        <v>3000</v>
      </c>
      <c r="Z166" s="9" t="n">
        <f aca="false">Assumptions!$D$136</f>
        <v>3000</v>
      </c>
      <c r="AA166" s="9" t="n">
        <f aca="false">Assumptions!$E$136</f>
        <v>5000</v>
      </c>
      <c r="AB166" s="9" t="n">
        <f aca="false">Assumptions!$E$136</f>
        <v>5000</v>
      </c>
      <c r="AC166" s="9" t="n">
        <f aca="false">Assumptions!$E$136</f>
        <v>5000</v>
      </c>
      <c r="AD166" s="9" t="n">
        <f aca="false">Assumptions!$E$136</f>
        <v>5000</v>
      </c>
      <c r="AE166" s="9" t="n">
        <f aca="false">Assumptions!$E$136</f>
        <v>5000</v>
      </c>
      <c r="AF166" s="9" t="n">
        <f aca="false">Assumptions!$E$136</f>
        <v>5000</v>
      </c>
      <c r="AG166" s="9" t="n">
        <f aca="false">Assumptions!$E$136</f>
        <v>5000</v>
      </c>
      <c r="AH166" s="9" t="n">
        <f aca="false">Assumptions!$E$136</f>
        <v>5000</v>
      </c>
      <c r="AI166" s="9" t="n">
        <f aca="false">Assumptions!$E$136</f>
        <v>5000</v>
      </c>
      <c r="AJ166" s="9" t="n">
        <f aca="false">Assumptions!$E$136</f>
        <v>5000</v>
      </c>
      <c r="AK166" s="9" t="n">
        <f aca="false">Assumptions!$E$136</f>
        <v>5000</v>
      </c>
      <c r="AL166" s="9" t="n">
        <f aca="false">Assumptions!$E$136</f>
        <v>5000</v>
      </c>
      <c r="AN166" s="11" t="n">
        <f aca="false">SUM(C166:N166)</f>
        <v>24000</v>
      </c>
      <c r="AO166" s="11" t="n">
        <f aca="false">SUM(O166:Z166)</f>
        <v>36000</v>
      </c>
      <c r="AP166" s="11" t="n">
        <f aca="false">SUM(AA166:AL166)</f>
        <v>60000</v>
      </c>
    </row>
    <row r="167" customFormat="false" ht="15" hidden="false" customHeight="false" outlineLevel="0" collapsed="false">
      <c r="A167" s="0" t="s">
        <v>969</v>
      </c>
      <c r="B167" s="0" t="s">
        <v>230</v>
      </c>
      <c r="C167" s="9" t="n">
        <f aca="false">(C165+C166)</f>
        <v>2033.7515984</v>
      </c>
      <c r="D167" s="9" t="n">
        <f aca="false">(D165+D166)</f>
        <v>2059.97399408</v>
      </c>
      <c r="E167" s="9" t="n">
        <f aca="false">(E165+E166)</f>
        <v>2079.03170430272</v>
      </c>
      <c r="F167" s="9" t="n">
        <f aca="false">(F165+F166)</f>
        <v>2094.28555746022</v>
      </c>
      <c r="G167" s="9" t="n">
        <f aca="false">(G165+G166)</f>
        <v>2163.21752041569</v>
      </c>
      <c r="H167" s="9" t="n">
        <f aca="false">(H165+H166)</f>
        <v>2168.27301310726</v>
      </c>
      <c r="I167" s="9" t="n">
        <f aca="false">(I165+I166)</f>
        <v>2181.12990440493</v>
      </c>
      <c r="J167" s="9" t="n">
        <f aca="false">(J165+J166)</f>
        <v>2481.5411366315</v>
      </c>
      <c r="K167" s="9" t="n">
        <f aca="false">(K165+K166)</f>
        <v>2535.80094529104</v>
      </c>
      <c r="L167" s="9" t="n">
        <f aca="false">(L165+L166)</f>
        <v>2557.31420817493</v>
      </c>
      <c r="M167" s="9" t="n">
        <f aca="false">(M165+M166)</f>
        <v>2509.26200917575</v>
      </c>
      <c r="N167" s="9" t="n">
        <f aca="false">(N165+N166)</f>
        <v>2616.79109562002</v>
      </c>
      <c r="O167" s="9" t="n">
        <f aca="false">(O165+O166)</f>
        <v>4001.46386777271</v>
      </c>
      <c r="P167" s="9" t="n">
        <f aca="false">(P165+P166)</f>
        <v>4005.34711774671</v>
      </c>
      <c r="Q167" s="9" t="n">
        <f aca="false">(Q165+Q166)</f>
        <v>4631.41959255529</v>
      </c>
      <c r="R167" s="9" t="n">
        <f aca="false">(R165+R166)</f>
        <v>5101.95191989062</v>
      </c>
      <c r="S167" s="9" t="n">
        <f aca="false">(S165+S166)</f>
        <v>5202.29883716659</v>
      </c>
      <c r="T167" s="9" t="n">
        <f aca="false">(T165+T166)</f>
        <v>5273.34084573004</v>
      </c>
      <c r="U167" s="9" t="n">
        <f aca="false">(U165+U166)</f>
        <v>5707.45873683104</v>
      </c>
      <c r="V167" s="9" t="n">
        <f aca="false">(V165+V166)</f>
        <v>6152.87733182964</v>
      </c>
      <c r="W167" s="9" t="n">
        <f aca="false">(W165+W166)</f>
        <v>6546.43987061761</v>
      </c>
      <c r="X167" s="9" t="n">
        <f aca="false">(X165+X166)</f>
        <v>6774.25910096856</v>
      </c>
      <c r="Y167" s="9" t="n">
        <f aca="false">(Y165+Y166)</f>
        <v>7461.05410589164</v>
      </c>
      <c r="Z167" s="9" t="n">
        <f aca="false">(Z165+Z166)</f>
        <v>7489.56795345757</v>
      </c>
      <c r="AA167" s="9" t="n">
        <f aca="false">(AA165+AA166)</f>
        <v>9845.30421753646</v>
      </c>
      <c r="AB167" s="9" t="n">
        <f aca="false">(AB165+AB166)</f>
        <v>11444.898916427</v>
      </c>
      <c r="AC167" s="9" t="n">
        <f aca="false">(AC165+AC166)</f>
        <v>11520.2029418626</v>
      </c>
      <c r="AD167" s="9" t="n">
        <f aca="false">(AD165+AD166)</f>
        <v>11920.8002807472</v>
      </c>
      <c r="AE167" s="9" t="n">
        <f aca="false">(AE165+AE166)</f>
        <v>13500.997705096</v>
      </c>
      <c r="AF167" s="9" t="n">
        <f aca="false">(AF165+AF166)</f>
        <v>14393.9083943931</v>
      </c>
      <c r="AG167" s="9" t="n">
        <f aca="false">(AG165+AG166)</f>
        <v>14713.8404783654</v>
      </c>
      <c r="AH167" s="9" t="n">
        <f aca="false">(AH165+AH166)</f>
        <v>16769.3867894152</v>
      </c>
      <c r="AI167" s="9" t="n">
        <f aca="false">(AI165+AI166)</f>
        <v>17233.0894222631</v>
      </c>
      <c r="AJ167" s="9" t="n">
        <f aca="false">(AJ165+AJ166)</f>
        <v>17442.0581831263</v>
      </c>
      <c r="AK167" s="9" t="n">
        <f aca="false">(AK165+AK166)</f>
        <v>20304.6134157276</v>
      </c>
      <c r="AL167" s="9" t="n">
        <f aca="false">(AL165+AL166)</f>
        <v>22872.0799052433</v>
      </c>
      <c r="AN167" s="11" t="n">
        <f aca="false">SUM(C167:N167)</f>
        <v>27480.3726870641</v>
      </c>
      <c r="AO167" s="11" t="n">
        <f aca="false">SUM(O167:Z167)</f>
        <v>68347.479280458</v>
      </c>
      <c r="AP167" s="11" t="n">
        <f aca="false">SUM(AA167:AL167)</f>
        <v>181961.180650203</v>
      </c>
    </row>
    <row r="168" customFormat="false" ht="15" hidden="false" customHeight="false" outlineLevel="0" collapsed="false">
      <c r="A168" s="0" t="s">
        <v>970</v>
      </c>
      <c r="B168" s="0" t="s">
        <v>230</v>
      </c>
      <c r="C168" s="9" t="n">
        <f aca="false">((C122+C123)*((Assumptions!$C$90*Assumptions!$C$89)+Assumptions!$C$91))</f>
        <v>0</v>
      </c>
      <c r="D168" s="9" t="n">
        <f aca="false">((D122+D123)*((Assumptions!$C$90*Assumptions!$C$89)+Assumptions!$C$91))</f>
        <v>0</v>
      </c>
      <c r="E168" s="9" t="n">
        <f aca="false">((E122+E123)*((Assumptions!$C$90*Assumptions!$C$89)+Assumptions!$C$91))</f>
        <v>0</v>
      </c>
      <c r="F168" s="9" t="n">
        <f aca="false">((F122+F123)*((Assumptions!$C$90*Assumptions!$C$89)+Assumptions!$C$91))</f>
        <v>0</v>
      </c>
      <c r="G168" s="9" t="n">
        <f aca="false">((G122+G123)*((Assumptions!$C$90*Assumptions!$C$89)+Assumptions!$C$91))</f>
        <v>305</v>
      </c>
      <c r="H168" s="9" t="n">
        <f aca="false">((H122+H123)*((Assumptions!$C$90*Assumptions!$C$89)+Assumptions!$C$91))</f>
        <v>305</v>
      </c>
      <c r="I168" s="9" t="n">
        <f aca="false">((I122+I123)*((Assumptions!$C$90*Assumptions!$C$89)+Assumptions!$C$91))</f>
        <v>305</v>
      </c>
      <c r="J168" s="9" t="n">
        <f aca="false">((J122+J123)*((Assumptions!$C$90*Assumptions!$C$89)+Assumptions!$C$91))</f>
        <v>610</v>
      </c>
      <c r="K168" s="9" t="n">
        <f aca="false">((K122+K123)*((Assumptions!$C$90*Assumptions!$C$89)+Assumptions!$C$91))</f>
        <v>610</v>
      </c>
      <c r="L168" s="9" t="n">
        <f aca="false">((L122+L123)*((Assumptions!$C$90*Assumptions!$C$89)+Assumptions!$C$91))</f>
        <v>610</v>
      </c>
      <c r="M168" s="9" t="n">
        <f aca="false">((M122+M123)*((Assumptions!$C$90*Assumptions!$C$89)+Assumptions!$C$91))</f>
        <v>305</v>
      </c>
      <c r="N168" s="9" t="n">
        <f aca="false">((N122+N123)*((Assumptions!$C$90*Assumptions!$C$89)+Assumptions!$C$91))</f>
        <v>488</v>
      </c>
      <c r="O168" s="9" t="n">
        <f aca="false">((O122+O123)*((Assumptions!$C$90*Assumptions!$C$89)+Assumptions!$C$91))</f>
        <v>793</v>
      </c>
      <c r="P168" s="9" t="n">
        <f aca="false">((P122+P123)*((Assumptions!$C$90*Assumptions!$C$89)+Assumptions!$C$91))</f>
        <v>488</v>
      </c>
      <c r="Q168" s="9" t="n">
        <f aca="false">((Q122+Q123)*((Assumptions!$C$90*Assumptions!$C$89)+Assumptions!$C$91))</f>
        <v>671</v>
      </c>
      <c r="R168" s="9" t="n">
        <f aca="false">((R122+R123)*((Assumptions!$C$90*Assumptions!$C$89)+Assumptions!$C$91))</f>
        <v>1281</v>
      </c>
      <c r="S168" s="9" t="n">
        <f aca="false">((S122+S123)*((Assumptions!$C$90*Assumptions!$C$89)+Assumptions!$C$91))</f>
        <v>1281</v>
      </c>
      <c r="T168" s="9" t="n">
        <f aca="false">((T122+T123)*((Assumptions!$C$90*Assumptions!$C$89)+Assumptions!$C$91))</f>
        <v>1281</v>
      </c>
      <c r="U168" s="9" t="n">
        <f aca="false">((U122+U123)*((Assumptions!$C$90*Assumptions!$C$89)+Assumptions!$C$91))</f>
        <v>1891</v>
      </c>
      <c r="V168" s="9" t="n">
        <f aca="false">((V122+V123)*((Assumptions!$C$90*Assumptions!$C$89)+Assumptions!$C$91))</f>
        <v>2043.5</v>
      </c>
      <c r="W168" s="9" t="n">
        <f aca="false">((W122+W123)*((Assumptions!$C$90*Assumptions!$C$89)+Assumptions!$C$91))</f>
        <v>2043.5</v>
      </c>
      <c r="X168" s="9" t="n">
        <f aca="false">((X122+X123)*((Assumptions!$C$90*Assumptions!$C$89)+Assumptions!$C$91))</f>
        <v>2348.5</v>
      </c>
      <c r="Y168" s="9" t="n">
        <f aca="false">((Y122+Y123)*((Assumptions!$C$90*Assumptions!$C$89)+Assumptions!$C$91))</f>
        <v>2943.25</v>
      </c>
      <c r="Z168" s="9" t="n">
        <f aca="false">((Z122+Z123)*((Assumptions!$C$90*Assumptions!$C$89)+Assumptions!$C$91))</f>
        <v>2921.29</v>
      </c>
      <c r="AA168" s="9" t="n">
        <f aca="false">((AA122+AA123)*((Assumptions!$C$90*Assumptions!$C$89)+Assumptions!$C$91))</f>
        <v>3226.29</v>
      </c>
      <c r="AB168" s="9" t="n">
        <f aca="false">((AB122+AB123)*((Assumptions!$C$90*Assumptions!$C$89)+Assumptions!$C$91))</f>
        <v>4278.54</v>
      </c>
      <c r="AC168" s="9" t="n">
        <f aca="false">((AC122+AC123)*((Assumptions!$C$90*Assumptions!$C$89)+Assumptions!$C$91))</f>
        <v>4256.58</v>
      </c>
      <c r="AD168" s="9" t="n">
        <f aca="false">((AD122+AD123)*((Assumptions!$C$90*Assumptions!$C$89)+Assumptions!$C$91))</f>
        <v>4866.58</v>
      </c>
      <c r="AE168" s="9" t="n">
        <f aca="false">((AE122+AE123)*((Assumptions!$C$90*Assumptions!$C$89)+Assumptions!$C$91))</f>
        <v>6223.83</v>
      </c>
      <c r="AF168" s="9" t="n">
        <f aca="false">((AF122+AF123)*((Assumptions!$C$90*Assumptions!$C$89)+Assumptions!$C$91))</f>
        <v>6528.83</v>
      </c>
      <c r="AG168" s="9" t="n">
        <f aca="false">((AG122+AG123)*((Assumptions!$C$90*Assumptions!$C$89)+Assumptions!$C$91))</f>
        <v>6833.83</v>
      </c>
      <c r="AH168" s="9" t="n">
        <f aca="false">((AH122+AH123)*((Assumptions!$C$90*Assumptions!$C$89)+Assumptions!$C$91))</f>
        <v>8325.28</v>
      </c>
      <c r="AI168" s="9" t="n">
        <f aca="false">((AI122+AI123)*((Assumptions!$C$90*Assumptions!$C$89)+Assumptions!$C$91))</f>
        <v>8325.28</v>
      </c>
      <c r="AJ168" s="9" t="n">
        <f aca="false">((AJ122+AJ123)*((Assumptions!$C$90*Assumptions!$C$89)+Assumptions!$C$91))</f>
        <v>8630.28</v>
      </c>
      <c r="AK168" s="9" t="n">
        <f aca="false">((AK122+AK123)*((Assumptions!$C$90*Assumptions!$C$89)+Assumptions!$C$91))</f>
        <v>10815.91</v>
      </c>
      <c r="AL168" s="9" t="n">
        <f aca="false">((AL122+AL123)*((Assumptions!$C$90*Assumptions!$C$89)+Assumptions!$C$91))</f>
        <v>11101.5852</v>
      </c>
      <c r="AN168" s="11" t="n">
        <f aca="false">SUM(C168:N168)</f>
        <v>3538</v>
      </c>
      <c r="AO168" s="11" t="n">
        <f aca="false">SUM(O168:Z168)</f>
        <v>19986.04</v>
      </c>
      <c r="AP168" s="11" t="n">
        <f aca="false">SUM(AA168:AL168)</f>
        <v>83412.8152</v>
      </c>
    </row>
    <row r="169" customFormat="false" ht="15" hidden="false" customHeight="false" outlineLevel="0" collapsed="false">
      <c r="A169" s="0" t="s">
        <v>971</v>
      </c>
      <c r="B169" s="0" t="s">
        <v>421</v>
      </c>
      <c r="C169" s="9" t="n">
        <f aca="false">((((C29+C39)*Assumptions!$C$92)/100)+((C126*Assumptions!$C$93)/100))</f>
        <v>5.85</v>
      </c>
      <c r="D169" s="9" t="n">
        <f aca="false">((((D29+D39)*Assumptions!$C$92)/100)+((D126*Assumptions!$C$93)/100))</f>
        <v>10.395</v>
      </c>
      <c r="E169" s="9" t="n">
        <f aca="false">((((E29+E39)*Assumptions!$C$92)/100)+((E126*Assumptions!$C$93)/100))</f>
        <v>13.69818</v>
      </c>
      <c r="F169" s="9" t="n">
        <f aca="false">((((F29+F39)*Assumptions!$C$92)/100)+((F126*Assumptions!$C$93)/100))</f>
        <v>16.342056</v>
      </c>
      <c r="G169" s="9" t="n">
        <f aca="false">((((G29+G39)*Assumptions!$C$92)/100)+((G126*Assumptions!$C$93)/100))</f>
        <v>25.139697072</v>
      </c>
      <c r="H169" s="9" t="n">
        <f aca="false">((((H29+H39)*Assumptions!$C$92)/100)+((H126*Assumptions!$C$93)/100))</f>
        <v>26.01594097296</v>
      </c>
      <c r="I169" s="9" t="n">
        <f aca="false">((((I29+I39)*Assumptions!$C$92)/100)+((I126*Assumptions!$C$93)/100))</f>
        <v>28.2443632598112</v>
      </c>
      <c r="J169" s="9" t="n">
        <f aca="false">((((J29+J39)*Assumptions!$C$92)/100)+((J126*Assumptions!$C$93)/100))</f>
        <v>67.1881775333717</v>
      </c>
      <c r="K169" s="9" t="n">
        <f aca="false">((((K29+K39)*Assumptions!$C$92)/100)+((K126*Assumptions!$C$93)/100))</f>
        <v>76.5927656330669</v>
      </c>
      <c r="L169" s="9" t="n">
        <f aca="false">((((L29+L39)*Assumptions!$C$92)/100)+((L126*Assumptions!$C$93)/100))</f>
        <v>80.3215546041622</v>
      </c>
      <c r="M169" s="9" t="n">
        <f aca="false">((((M29+M39)*Assumptions!$C$92)/100)+((M126*Assumptions!$C$93)/100))</f>
        <v>75.1429012226613</v>
      </c>
      <c r="N169" s="9" t="n">
        <f aca="false">((((N29+N39)*Assumptions!$C$92)/100)+((N126*Assumptions!$C$93)/100))</f>
        <v>88.3803935346985</v>
      </c>
      <c r="O169" s="9" t="n">
        <f aca="false">((((O29+O39)*Assumptions!$C$92)/100)+((O126*Assumptions!$C$93)/100))</f>
        <v>151.508740026186</v>
      </c>
      <c r="P169" s="9" t="n">
        <f aca="false">((((P29+P39)*Assumptions!$C$92)/100)+((P126*Assumptions!$C$93)/100))</f>
        <v>164.435487877571</v>
      </c>
      <c r="Q169" s="9" t="n">
        <f aca="false">((((Q29+Q39)*Assumptions!$C$92)/100)+((Q126*Assumptions!$C$93)/100))</f>
        <v>249.223077922885</v>
      </c>
      <c r="R169" s="9" t="n">
        <f aca="false">((((R29+R39)*Assumptions!$C$92)/100)+((R126*Assumptions!$C$93)/100))</f>
        <v>313.030152995596</v>
      </c>
      <c r="S169" s="9" t="n">
        <f aca="false">((((S29+S39)*Assumptions!$C$92)/100)+((S126*Assumptions!$C$93)/100))</f>
        <v>328.766435553549</v>
      </c>
      <c r="T169" s="9" t="n">
        <f aca="false">((((T29+T39)*Assumptions!$C$92)/100)+((T126*Assumptions!$C$93)/100))</f>
        <v>339.333042745175</v>
      </c>
      <c r="U169" s="9" t="n">
        <f aca="false">((((U29+U39)*Assumptions!$C$92)/100)+((U126*Assumptions!$C$93)/100))</f>
        <v>396.511399791894</v>
      </c>
      <c r="V169" s="9" t="n">
        <f aca="false">((((V29+V39)*Assumptions!$C$92)/100)+((V126*Assumptions!$C$93)/100))</f>
        <v>467.304756092473</v>
      </c>
      <c r="W169" s="9" t="n">
        <f aca="false">((((W29+W39)*Assumptions!$C$92)/100)+((W126*Assumptions!$C$93)/100))</f>
        <v>533.134472446122</v>
      </c>
      <c r="X169" s="9" t="n">
        <f aca="false">((((X29+X39)*Assumptions!$C$92)/100)+((X126*Assumptions!$C$93)/100))</f>
        <v>566.575793966753</v>
      </c>
      <c r="Y169" s="9" t="n">
        <f aca="false">((((Y29+Y39)*Assumptions!$C$92)/100)+((Y126*Assumptions!$C$93)/100))</f>
        <v>652.194941502376</v>
      </c>
      <c r="Z169" s="9" t="n">
        <f aca="false">((((Z29+Z39)*Assumptions!$C$92)/100)+((Z126*Assumptions!$C$93)/100))</f>
        <v>654.693365352767</v>
      </c>
      <c r="AA169" s="9" t="n">
        <f aca="false">((((AA29+AA39)*Assumptions!$C$92)/100)+((AA126*Assumptions!$C$93)/100))</f>
        <v>710.236264263298</v>
      </c>
      <c r="AB169" s="9" t="n">
        <f aca="false">((((AB29+AB39)*Assumptions!$C$92)/100)+((AB126*Assumptions!$C$93)/100))</f>
        <v>911.901454108197</v>
      </c>
      <c r="AC169" s="9" t="n">
        <f aca="false">((((AC29+AC39)*Assumptions!$C$92)/100)+((AC126*Assumptions!$C$93)/100))</f>
        <v>924.320467610727</v>
      </c>
      <c r="AD169" s="9" t="n">
        <f aca="false">((((AD29+AD39)*Assumptions!$C$92)/100)+((AD126*Assumptions!$C$93)/100))</f>
        <v>974.129699032776</v>
      </c>
      <c r="AE169" s="9" t="n">
        <f aca="false">((((AE29+AE39)*Assumptions!$C$92)/100)+((AE126*Assumptions!$C$93)/100))</f>
        <v>1163.32584145186</v>
      </c>
      <c r="AF169" s="9" t="n">
        <f aca="false">((((AF29+AF39)*Assumptions!$C$92)/100)+((AF126*Assumptions!$C$93)/100))</f>
        <v>1267.64541161175</v>
      </c>
      <c r="AG169" s="9" t="n">
        <f aca="false">((((AG29+AG39)*Assumptions!$C$92)/100)+((AG126*Assumptions!$C$93)/100))</f>
        <v>1306.93286769402</v>
      </c>
      <c r="AH169" s="9" t="n">
        <f aca="false">((((AH29+AH39)*Assumptions!$C$92)/100)+((AH126*Assumptions!$C$93)/100))</f>
        <v>1574.87207292145</v>
      </c>
      <c r="AI169" s="9" t="n">
        <f aca="false">((((AI29+AI39)*Assumptions!$C$92)/100)+((AI126*Assumptions!$C$93)/100))</f>
        <v>1651.82052323854</v>
      </c>
      <c r="AJ169" s="9" t="n">
        <f aca="false">((((AJ29+AJ39)*Assumptions!$C$92)/100)+((AJ126*Assumptions!$C$93)/100))</f>
        <v>1681.00034742415</v>
      </c>
      <c r="AK169" s="9" t="n">
        <f aca="false">((((AK29+AK39)*Assumptions!$C$92)/100)+((AK126*Assumptions!$C$93)/100))</f>
        <v>2027.6184739196</v>
      </c>
      <c r="AL169" s="9" t="n">
        <f aca="false">((((AL29+AL39)*Assumptions!$C$92)/100)+((AL126*Assumptions!$C$93)/100))</f>
        <v>2334.33658757145</v>
      </c>
      <c r="AN169" s="11" t="n">
        <f aca="false">SUM(C169:N169)</f>
        <v>513.311029832732</v>
      </c>
      <c r="AO169" s="11" t="n">
        <f aca="false">SUM(O169:Z169)</f>
        <v>4816.71166627335</v>
      </c>
      <c r="AP169" s="11" t="n">
        <f aca="false">SUM(AA169:AL169)</f>
        <v>16528.1400108478</v>
      </c>
    </row>
    <row r="170" customFormat="false" ht="15" hidden="false" customHeight="false" outlineLevel="0" collapsed="false">
      <c r="A170" s="0" t="s">
        <v>972</v>
      </c>
      <c r="B170" s="0" t="s">
        <v>230</v>
      </c>
      <c r="C170" s="9" t="n">
        <f aca="false">((C169*Assumptions!$C$94)*Assumptions!$C$95)</f>
        <v>7.3125</v>
      </c>
      <c r="D170" s="9" t="n">
        <f aca="false">((D169*Assumptions!$C$94)*Assumptions!$C$95)</f>
        <v>12.99375</v>
      </c>
      <c r="E170" s="9" t="n">
        <f aca="false">((E169*Assumptions!$C$94)*Assumptions!$C$95)</f>
        <v>17.122725</v>
      </c>
      <c r="F170" s="9" t="n">
        <f aca="false">((F169*Assumptions!$C$94)*Assumptions!$C$95)</f>
        <v>20.42757</v>
      </c>
      <c r="G170" s="9" t="n">
        <f aca="false">((G169*Assumptions!$C$94)*Assumptions!$C$95)</f>
        <v>31.42462134</v>
      </c>
      <c r="H170" s="9" t="n">
        <f aca="false">((H169*Assumptions!$C$94)*Assumptions!$C$95)</f>
        <v>32.5199262162</v>
      </c>
      <c r="I170" s="9" t="n">
        <f aca="false">((I169*Assumptions!$C$94)*Assumptions!$C$95)</f>
        <v>35.305454074764</v>
      </c>
      <c r="J170" s="9" t="n">
        <f aca="false">((J169*Assumptions!$C$94)*Assumptions!$C$95)</f>
        <v>83.9852219167146</v>
      </c>
      <c r="K170" s="9" t="n">
        <f aca="false">((K169*Assumptions!$C$94)*Assumptions!$C$95)</f>
        <v>95.7409570413336</v>
      </c>
      <c r="L170" s="9" t="n">
        <f aca="false">((L169*Assumptions!$C$94)*Assumptions!$C$95)</f>
        <v>100.401943255203</v>
      </c>
      <c r="M170" s="9" t="n">
        <f aca="false">((M169*Assumptions!$C$94)*Assumptions!$C$95)</f>
        <v>93.9286265283266</v>
      </c>
      <c r="N170" s="9" t="n">
        <f aca="false">((N169*Assumptions!$C$94)*Assumptions!$C$95)</f>
        <v>110.475491918373</v>
      </c>
      <c r="O170" s="9" t="n">
        <f aca="false">((O169*Assumptions!$C$94)*Assumptions!$C$95)</f>
        <v>189.385925032732</v>
      </c>
      <c r="P170" s="9" t="n">
        <f aca="false">((P169*Assumptions!$C$94)*Assumptions!$C$95)</f>
        <v>205.544359846964</v>
      </c>
      <c r="Q170" s="9" t="n">
        <f aca="false">((Q169*Assumptions!$C$94)*Assumptions!$C$95)</f>
        <v>311.528847403606</v>
      </c>
      <c r="R170" s="9" t="n">
        <f aca="false">((R169*Assumptions!$C$94)*Assumptions!$C$95)</f>
        <v>391.287691244495</v>
      </c>
      <c r="S170" s="9" t="n">
        <f aca="false">((S169*Assumptions!$C$94)*Assumptions!$C$95)</f>
        <v>410.958044441937</v>
      </c>
      <c r="T170" s="9" t="n">
        <f aca="false">((T169*Assumptions!$C$94)*Assumptions!$C$95)</f>
        <v>424.166303431469</v>
      </c>
      <c r="U170" s="9" t="n">
        <f aca="false">((U169*Assumptions!$C$94)*Assumptions!$C$95)</f>
        <v>495.639249739867</v>
      </c>
      <c r="V170" s="9" t="n">
        <f aca="false">((V169*Assumptions!$C$94)*Assumptions!$C$95)</f>
        <v>584.130945115591</v>
      </c>
      <c r="W170" s="9" t="n">
        <f aca="false">((W169*Assumptions!$C$94)*Assumptions!$C$95)</f>
        <v>666.418090557652</v>
      </c>
      <c r="X170" s="9" t="n">
        <f aca="false">((X169*Assumptions!$C$94)*Assumptions!$C$95)</f>
        <v>708.219742458441</v>
      </c>
      <c r="Y170" s="9" t="n">
        <f aca="false">((Y169*Assumptions!$C$94)*Assumptions!$C$95)</f>
        <v>815.24367687797</v>
      </c>
      <c r="Z170" s="9" t="n">
        <f aca="false">((Z169*Assumptions!$C$94)*Assumptions!$C$95)</f>
        <v>818.366706690959</v>
      </c>
      <c r="AA170" s="9" t="n">
        <f aca="false">((AA169*Assumptions!$C$94)*Assumptions!$C$95)</f>
        <v>887.795330329123</v>
      </c>
      <c r="AB170" s="9" t="n">
        <f aca="false">((AB169*Assumptions!$C$94)*Assumptions!$C$95)</f>
        <v>1139.87681763525</v>
      </c>
      <c r="AC170" s="9" t="n">
        <f aca="false">((AC169*Assumptions!$C$94)*Assumptions!$C$95)</f>
        <v>1155.40058451341</v>
      </c>
      <c r="AD170" s="9" t="n">
        <f aca="false">((AD169*Assumptions!$C$94)*Assumptions!$C$95)</f>
        <v>1217.66212379097</v>
      </c>
      <c r="AE170" s="9" t="n">
        <f aca="false">((AE169*Assumptions!$C$94)*Assumptions!$C$95)</f>
        <v>1454.15730181482</v>
      </c>
      <c r="AF170" s="9" t="n">
        <f aca="false">((AF169*Assumptions!$C$94)*Assumptions!$C$95)</f>
        <v>1584.55676451469</v>
      </c>
      <c r="AG170" s="9" t="n">
        <f aca="false">((AG169*Assumptions!$C$94)*Assumptions!$C$95)</f>
        <v>1633.66608461752</v>
      </c>
      <c r="AH170" s="9" t="n">
        <f aca="false">((AH169*Assumptions!$C$94)*Assumptions!$C$95)</f>
        <v>1968.59009115182</v>
      </c>
      <c r="AI170" s="9" t="n">
        <f aca="false">((AI169*Assumptions!$C$94)*Assumptions!$C$95)</f>
        <v>2064.77565404818</v>
      </c>
      <c r="AJ170" s="9" t="n">
        <f aca="false">((AJ169*Assumptions!$C$94)*Assumptions!$C$95)</f>
        <v>2101.25043428019</v>
      </c>
      <c r="AK170" s="9" t="n">
        <f aca="false">((AK169*Assumptions!$C$94)*Assumptions!$C$95)</f>
        <v>2534.5230923995</v>
      </c>
      <c r="AL170" s="9" t="n">
        <f aca="false">((AL169*Assumptions!$C$94)*Assumptions!$C$95)</f>
        <v>2917.92073446432</v>
      </c>
      <c r="AN170" s="11" t="n">
        <f aca="false">SUM(C170:N170)</f>
        <v>641.638787290915</v>
      </c>
      <c r="AO170" s="11" t="n">
        <f aca="false">SUM(O170:Z170)</f>
        <v>6020.88958284168</v>
      </c>
      <c r="AP170" s="11" t="n">
        <f aca="false">SUM(AA170:AL170)</f>
        <v>20660.1750135598</v>
      </c>
    </row>
    <row r="171" customFormat="false" ht="15" hidden="false" customHeight="false" outlineLevel="0" collapsed="false">
      <c r="A171" s="0" t="s">
        <v>973</v>
      </c>
      <c r="B171" s="0" t="s">
        <v>230</v>
      </c>
      <c r="C171" s="9" t="n">
        <f aca="false">SUMPRODUCT((Headcount!$C$5:$C$90="SUPPORT")*Headcount!$D$5:$D$90*Headcount!$F$5:$F$90*((Headcount!$I$5:$I$90=0)+(Headcount!$I$5:$I$90=1)*$C$16)*(C$18&gt;=(Headcount!$E$5:$E$90+Headcount!$G$5:$G$90*$C$15)))/12*(1+Assumptions!$C$97)</f>
        <v>0</v>
      </c>
      <c r="D171" s="9" t="n">
        <f aca="false">SUMPRODUCT((Headcount!$C$5:$C$90="SUPPORT")*Headcount!$D$5:$D$90*Headcount!$F$5:$F$90*((Headcount!$I$5:$I$90=0)+(Headcount!$I$5:$I$90=1)*$C$16)*(D$18&gt;=(Headcount!$E$5:$E$90+Headcount!$G$5:$G$90*$C$15)))/12*(1+Assumptions!$C$97)</f>
        <v>0</v>
      </c>
      <c r="E171" s="9" t="n">
        <f aca="false">SUMPRODUCT((Headcount!$C$5:$C$90="SUPPORT")*Headcount!$D$5:$D$90*Headcount!$F$5:$F$90*((Headcount!$I$5:$I$90=0)+(Headcount!$I$5:$I$90=1)*$C$16)*(E$18&gt;=(Headcount!$E$5:$E$90+Headcount!$G$5:$G$90*$C$15)))/12*(1+Assumptions!$C$97)</f>
        <v>0</v>
      </c>
      <c r="F171" s="9" t="n">
        <f aca="false">SUMPRODUCT((Headcount!$C$5:$C$90="SUPPORT")*Headcount!$D$5:$D$90*Headcount!$F$5:$F$90*((Headcount!$I$5:$I$90=0)+(Headcount!$I$5:$I$90=1)*$C$16)*(F$18&gt;=(Headcount!$E$5:$E$90+Headcount!$G$5:$G$90*$C$15)))/12*(1+Assumptions!$C$97)</f>
        <v>0</v>
      </c>
      <c r="G171" s="9" t="n">
        <f aca="false">SUMPRODUCT((Headcount!$C$5:$C$90="SUPPORT")*Headcount!$D$5:$D$90*Headcount!$F$5:$F$90*((Headcount!$I$5:$I$90=0)+(Headcount!$I$5:$I$90=1)*$C$16)*(G$18&gt;=(Headcount!$E$5:$E$90+Headcount!$G$5:$G$90*$C$15)))/12*(1+Assumptions!$C$97)</f>
        <v>0</v>
      </c>
      <c r="H171" s="9" t="n">
        <f aca="false">SUMPRODUCT((Headcount!$C$5:$C$90="SUPPORT")*Headcount!$D$5:$D$90*Headcount!$F$5:$F$90*((Headcount!$I$5:$I$90=0)+(Headcount!$I$5:$I$90=1)*$C$16)*(H$18&gt;=(Headcount!$E$5:$E$90+Headcount!$G$5:$G$90*$C$15)))/12*(1+Assumptions!$C$97)</f>
        <v>0</v>
      </c>
      <c r="I171" s="9" t="n">
        <f aca="false">SUMPRODUCT((Headcount!$C$5:$C$90="SUPPORT")*Headcount!$D$5:$D$90*Headcount!$F$5:$F$90*((Headcount!$I$5:$I$90=0)+(Headcount!$I$5:$I$90=1)*$C$16)*(I$18&gt;=(Headcount!$E$5:$E$90+Headcount!$G$5:$G$90*$C$15)))/12*(1+Assumptions!$C$97)</f>
        <v>0</v>
      </c>
      <c r="J171" s="9" t="n">
        <f aca="false">SUMPRODUCT((Headcount!$C$5:$C$90="SUPPORT")*Headcount!$D$5:$D$90*Headcount!$F$5:$F$90*((Headcount!$I$5:$I$90=0)+(Headcount!$I$5:$I$90=1)*$C$16)*(J$18&gt;=(Headcount!$E$5:$E$90+Headcount!$G$5:$G$90*$C$15)))/12*(1+Assumptions!$C$97)</f>
        <v>0</v>
      </c>
      <c r="K171" s="9" t="n">
        <f aca="false">SUMPRODUCT((Headcount!$C$5:$C$90="SUPPORT")*Headcount!$D$5:$D$90*Headcount!$F$5:$F$90*((Headcount!$I$5:$I$90=0)+(Headcount!$I$5:$I$90=1)*$C$16)*(K$18&gt;=(Headcount!$E$5:$E$90+Headcount!$G$5:$G$90*$C$15)))/12*(1+Assumptions!$C$97)</f>
        <v>6303.33333333333</v>
      </c>
      <c r="L171" s="9" t="n">
        <f aca="false">SUMPRODUCT((Headcount!$C$5:$C$90="SUPPORT")*Headcount!$D$5:$D$90*Headcount!$F$5:$F$90*((Headcount!$I$5:$I$90=0)+(Headcount!$I$5:$I$90=1)*$C$16)*(L$18&gt;=(Headcount!$E$5:$E$90+Headcount!$G$5:$G$90*$C$15)))/12*(1+Assumptions!$C$97)</f>
        <v>6303.33333333333</v>
      </c>
      <c r="M171" s="9" t="n">
        <f aca="false">SUMPRODUCT((Headcount!$C$5:$C$90="SUPPORT")*Headcount!$D$5:$D$90*Headcount!$F$5:$F$90*((Headcount!$I$5:$I$90=0)+(Headcount!$I$5:$I$90=1)*$C$16)*(M$18&gt;=(Headcount!$E$5:$E$90+Headcount!$G$5:$G$90*$C$15)))/12*(1+Assumptions!$C$97)</f>
        <v>6303.33333333333</v>
      </c>
      <c r="N171" s="9" t="n">
        <f aca="false">SUMPRODUCT((Headcount!$C$5:$C$90="SUPPORT")*Headcount!$D$5:$D$90*Headcount!$F$5:$F$90*((Headcount!$I$5:$I$90=0)+(Headcount!$I$5:$I$90=1)*$C$16)*(N$18&gt;=(Headcount!$E$5:$E$90+Headcount!$G$5:$G$90*$C$15)))/12*(1+Assumptions!$C$97)</f>
        <v>6303.33333333333</v>
      </c>
      <c r="O171" s="9" t="n">
        <f aca="false">SUMPRODUCT((Headcount!$C$5:$C$90="SUPPORT")*Headcount!$D$5:$D$90*Headcount!$F$5:$F$90*((Headcount!$I$5:$I$90=0)+(Headcount!$I$5:$I$90=1)*$C$16)*(O$18&gt;=(Headcount!$E$5:$E$90+Headcount!$G$5:$G$90*$C$15)))/12*(1+Assumptions!$C$97)</f>
        <v>6303.33333333333</v>
      </c>
      <c r="P171" s="9" t="n">
        <f aca="false">SUMPRODUCT((Headcount!$C$5:$C$90="SUPPORT")*Headcount!$D$5:$D$90*Headcount!$F$5:$F$90*((Headcount!$I$5:$I$90=0)+(Headcount!$I$5:$I$90=1)*$C$16)*(P$18&gt;=(Headcount!$E$5:$E$90+Headcount!$G$5:$G$90*$C$15)))/12*(1+Assumptions!$C$97)</f>
        <v>6303.33333333333</v>
      </c>
      <c r="Q171" s="9" t="n">
        <f aca="false">SUMPRODUCT((Headcount!$C$5:$C$90="SUPPORT")*Headcount!$D$5:$D$90*Headcount!$F$5:$F$90*((Headcount!$I$5:$I$90=0)+(Headcount!$I$5:$I$90=1)*$C$16)*(Q$18&gt;=(Headcount!$E$5:$E$90+Headcount!$G$5:$G$90*$C$15)))/12*(1+Assumptions!$C$97)</f>
        <v>6303.33333333333</v>
      </c>
      <c r="R171" s="9" t="n">
        <f aca="false">SUMPRODUCT((Headcount!$C$5:$C$90="SUPPORT")*Headcount!$D$5:$D$90*Headcount!$F$5:$F$90*((Headcount!$I$5:$I$90=0)+(Headcount!$I$5:$I$90=1)*$C$16)*(R$18&gt;=(Headcount!$E$5:$E$90+Headcount!$G$5:$G$90*$C$15)))/12*(1+Assumptions!$C$97)</f>
        <v>6303.33333333333</v>
      </c>
      <c r="S171" s="9" t="n">
        <f aca="false">SUMPRODUCT((Headcount!$C$5:$C$90="SUPPORT")*Headcount!$D$5:$D$90*Headcount!$F$5:$F$90*((Headcount!$I$5:$I$90=0)+(Headcount!$I$5:$I$90=1)*$C$16)*(S$18&gt;=(Headcount!$E$5:$E$90+Headcount!$G$5:$G$90*$C$15)))/12*(1+Assumptions!$C$97)</f>
        <v>6303.33333333333</v>
      </c>
      <c r="T171" s="9" t="n">
        <f aca="false">SUMPRODUCT((Headcount!$C$5:$C$90="SUPPORT")*Headcount!$D$5:$D$90*Headcount!$F$5:$F$90*((Headcount!$I$5:$I$90=0)+(Headcount!$I$5:$I$90=1)*$C$16)*(T$18&gt;=(Headcount!$E$5:$E$90+Headcount!$G$5:$G$90*$C$15)))/12*(1+Assumptions!$C$97)</f>
        <v>14945</v>
      </c>
      <c r="U171" s="9" t="n">
        <f aca="false">SUMPRODUCT((Headcount!$C$5:$C$90="SUPPORT")*Headcount!$D$5:$D$90*Headcount!$F$5:$F$90*((Headcount!$I$5:$I$90=0)+(Headcount!$I$5:$I$90=1)*$C$16)*(U$18&gt;=(Headcount!$E$5:$E$90+Headcount!$G$5:$G$90*$C$15)))/12*(1+Assumptions!$C$97)</f>
        <v>14945</v>
      </c>
      <c r="V171" s="9" t="n">
        <f aca="false">SUMPRODUCT((Headcount!$C$5:$C$90="SUPPORT")*Headcount!$D$5:$D$90*Headcount!$F$5:$F$90*((Headcount!$I$5:$I$90=0)+(Headcount!$I$5:$I$90=1)*$C$16)*(V$18&gt;=(Headcount!$E$5:$E$90+Headcount!$G$5:$G$90*$C$15)))/12*(1+Assumptions!$C$97)</f>
        <v>14945</v>
      </c>
      <c r="W171" s="9" t="n">
        <f aca="false">SUMPRODUCT((Headcount!$C$5:$C$90="SUPPORT")*Headcount!$D$5:$D$90*Headcount!$F$5:$F$90*((Headcount!$I$5:$I$90=0)+(Headcount!$I$5:$I$90=1)*$C$16)*(W$18&gt;=(Headcount!$E$5:$E$90+Headcount!$G$5:$G$90*$C$15)))/12*(1+Assumptions!$C$97)</f>
        <v>14945</v>
      </c>
      <c r="X171" s="9" t="n">
        <f aca="false">SUMPRODUCT((Headcount!$C$5:$C$90="SUPPORT")*Headcount!$D$5:$D$90*Headcount!$F$5:$F$90*((Headcount!$I$5:$I$90=0)+(Headcount!$I$5:$I$90=1)*$C$16)*(X$18&gt;=(Headcount!$E$5:$E$90+Headcount!$G$5:$G$90*$C$15)))/12*(1+Assumptions!$C$97)</f>
        <v>14945</v>
      </c>
      <c r="Y171" s="9" t="n">
        <f aca="false">SUMPRODUCT((Headcount!$C$5:$C$90="SUPPORT")*Headcount!$D$5:$D$90*Headcount!$F$5:$F$90*((Headcount!$I$5:$I$90=0)+(Headcount!$I$5:$I$90=1)*$C$16)*(Y$18&gt;=(Headcount!$E$5:$E$90+Headcount!$G$5:$G$90*$C$15)))/12*(1+Assumptions!$C$97)</f>
        <v>14945</v>
      </c>
      <c r="Z171" s="9" t="n">
        <f aca="false">SUMPRODUCT((Headcount!$C$5:$C$90="SUPPORT")*Headcount!$D$5:$D$90*Headcount!$F$5:$F$90*((Headcount!$I$5:$I$90=0)+(Headcount!$I$5:$I$90=1)*$C$16)*(Z$18&gt;=(Headcount!$E$5:$E$90+Headcount!$G$5:$G$90*$C$15)))/12*(1+Assumptions!$C$97)</f>
        <v>14945</v>
      </c>
      <c r="AA171" s="9" t="n">
        <f aca="false">SUMPRODUCT((Headcount!$C$5:$C$90="SUPPORT")*Headcount!$D$5:$D$90*Headcount!$F$5:$F$90*((Headcount!$I$5:$I$90=0)+(Headcount!$I$5:$I$90=1)*$C$16)*(AA$18&gt;=(Headcount!$E$5:$E$90+Headcount!$G$5:$G$90*$C$15)))/12*(1+Assumptions!$C$97)</f>
        <v>14945</v>
      </c>
      <c r="AB171" s="9" t="n">
        <f aca="false">SUMPRODUCT((Headcount!$C$5:$C$90="SUPPORT")*Headcount!$D$5:$D$90*Headcount!$F$5:$F$90*((Headcount!$I$5:$I$90=0)+(Headcount!$I$5:$I$90=1)*$C$16)*(AB$18&gt;=(Headcount!$E$5:$E$90+Headcount!$G$5:$G$90*$C$15)))/12*(1+Assumptions!$C$97)</f>
        <v>21248.3333333333</v>
      </c>
      <c r="AC171" s="9" t="n">
        <f aca="false">SUMPRODUCT((Headcount!$C$5:$C$90="SUPPORT")*Headcount!$D$5:$D$90*Headcount!$F$5:$F$90*((Headcount!$I$5:$I$90=0)+(Headcount!$I$5:$I$90=1)*$C$16)*(AC$18&gt;=(Headcount!$E$5:$E$90+Headcount!$G$5:$G$90*$C$15)))/12*(1+Assumptions!$C$97)</f>
        <v>21248.3333333333</v>
      </c>
      <c r="AD171" s="9" t="n">
        <f aca="false">SUMPRODUCT((Headcount!$C$5:$C$90="SUPPORT")*Headcount!$D$5:$D$90*Headcount!$F$5:$F$90*((Headcount!$I$5:$I$90=0)+(Headcount!$I$5:$I$90=1)*$C$16)*(AD$18&gt;=(Headcount!$E$5:$E$90+Headcount!$G$5:$G$90*$C$15)))/12*(1+Assumptions!$C$97)</f>
        <v>21248.3333333333</v>
      </c>
      <c r="AE171" s="9" t="n">
        <f aca="false">SUMPRODUCT((Headcount!$C$5:$C$90="SUPPORT")*Headcount!$D$5:$D$90*Headcount!$F$5:$F$90*((Headcount!$I$5:$I$90=0)+(Headcount!$I$5:$I$90=1)*$C$16)*(AE$18&gt;=(Headcount!$E$5:$E$90+Headcount!$G$5:$G$90*$C$15)))/12*(1+Assumptions!$C$97)</f>
        <v>21248.3333333333</v>
      </c>
      <c r="AF171" s="9" t="n">
        <f aca="false">SUMPRODUCT((Headcount!$C$5:$C$90="SUPPORT")*Headcount!$D$5:$D$90*Headcount!$F$5:$F$90*((Headcount!$I$5:$I$90=0)+(Headcount!$I$5:$I$90=1)*$C$16)*(AF$18&gt;=(Headcount!$E$5:$E$90+Headcount!$G$5:$G$90*$C$15)))/12*(1+Assumptions!$C$97)</f>
        <v>21248.3333333333</v>
      </c>
      <c r="AG171" s="9" t="n">
        <f aca="false">SUMPRODUCT((Headcount!$C$5:$C$90="SUPPORT")*Headcount!$D$5:$D$90*Headcount!$F$5:$F$90*((Headcount!$I$5:$I$90=0)+(Headcount!$I$5:$I$90=1)*$C$16)*(AG$18&gt;=(Headcount!$E$5:$E$90+Headcount!$G$5:$G$90*$C$15)))/12*(1+Assumptions!$C$97)</f>
        <v>21248.3333333333</v>
      </c>
      <c r="AH171" s="9" t="n">
        <f aca="false">SUMPRODUCT((Headcount!$C$5:$C$90="SUPPORT")*Headcount!$D$5:$D$90*Headcount!$F$5:$F$90*((Headcount!$I$5:$I$90=0)+(Headcount!$I$5:$I$90=1)*$C$16)*(AH$18&gt;=(Headcount!$E$5:$E$90+Headcount!$G$5:$G$90*$C$15)))/12*(1+Assumptions!$C$97)</f>
        <v>21248.3333333333</v>
      </c>
      <c r="AI171" s="9" t="n">
        <f aca="false">SUMPRODUCT((Headcount!$C$5:$C$90="SUPPORT")*Headcount!$D$5:$D$90*Headcount!$F$5:$F$90*((Headcount!$I$5:$I$90=0)+(Headcount!$I$5:$I$90=1)*$C$16)*(AI$18&gt;=(Headcount!$E$5:$E$90+Headcount!$G$5:$G$90*$C$15)))/12*(1+Assumptions!$C$97)</f>
        <v>27551.6666666667</v>
      </c>
      <c r="AJ171" s="9" t="n">
        <f aca="false">SUMPRODUCT((Headcount!$C$5:$C$90="SUPPORT")*Headcount!$D$5:$D$90*Headcount!$F$5:$F$90*((Headcount!$I$5:$I$90=0)+(Headcount!$I$5:$I$90=1)*$C$16)*(AJ$18&gt;=(Headcount!$E$5:$E$90+Headcount!$G$5:$G$90*$C$15)))/12*(1+Assumptions!$C$97)</f>
        <v>27551.6666666667</v>
      </c>
      <c r="AK171" s="9" t="n">
        <f aca="false">SUMPRODUCT((Headcount!$C$5:$C$90="SUPPORT")*Headcount!$D$5:$D$90*Headcount!$F$5:$F$90*((Headcount!$I$5:$I$90=0)+(Headcount!$I$5:$I$90=1)*$C$16)*(AK$18&gt;=(Headcount!$E$5:$E$90+Headcount!$G$5:$G$90*$C$15)))/12*(1+Assumptions!$C$97)</f>
        <v>27551.6666666667</v>
      </c>
      <c r="AL171" s="9" t="n">
        <f aca="false">SUMPRODUCT((Headcount!$C$5:$C$90="SUPPORT")*Headcount!$D$5:$D$90*Headcount!$F$5:$F$90*((Headcount!$I$5:$I$90=0)+(Headcount!$I$5:$I$90=1)*$C$16)*(AL$18&gt;=(Headcount!$E$5:$E$90+Headcount!$G$5:$G$90*$C$15)))/12*(1+Assumptions!$C$97)</f>
        <v>27551.6666666667</v>
      </c>
      <c r="AN171" s="11" t="n">
        <f aca="false">SUM(C171:N171)</f>
        <v>25213.3333333333</v>
      </c>
      <c r="AO171" s="11" t="n">
        <f aca="false">SUM(O171:Z171)</f>
        <v>136131.666666667</v>
      </c>
      <c r="AP171" s="11" t="n">
        <f aca="false">SUM(AA171:AL171)</f>
        <v>273890</v>
      </c>
    </row>
    <row r="172" customFormat="false" ht="15" hidden="false" customHeight="false" outlineLevel="0" collapsed="false">
      <c r="A172" s="0" t="s">
        <v>974</v>
      </c>
      <c r="B172" s="0" t="s">
        <v>230</v>
      </c>
      <c r="C172" s="9" t="n">
        <f aca="false">SUMPRODUCT((Headcount!$C$5:$C$90="IMPL")*Headcount!$D$5:$D$90*Headcount!$F$5:$F$90*((Headcount!$I$5:$I$90=0)+(Headcount!$I$5:$I$90=1)*$C$16)*(C$18&gt;=(Headcount!$E$5:$E$90+Headcount!$G$5:$G$90*$C$15)))/12*(1+Assumptions!$C$97)</f>
        <v>0</v>
      </c>
      <c r="D172" s="9" t="n">
        <f aca="false">SUMPRODUCT((Headcount!$C$5:$C$90="IMPL")*Headcount!$D$5:$D$90*Headcount!$F$5:$F$90*((Headcount!$I$5:$I$90=0)+(Headcount!$I$5:$I$90=1)*$C$16)*(D$18&gt;=(Headcount!$E$5:$E$90+Headcount!$G$5:$G$90*$C$15)))/12*(1+Assumptions!$C$97)</f>
        <v>0</v>
      </c>
      <c r="E172" s="9" t="n">
        <f aca="false">SUMPRODUCT((Headcount!$C$5:$C$90="IMPL")*Headcount!$D$5:$D$90*Headcount!$F$5:$F$90*((Headcount!$I$5:$I$90=0)+(Headcount!$I$5:$I$90=1)*$C$16)*(E$18&gt;=(Headcount!$E$5:$E$90+Headcount!$G$5:$G$90*$C$15)))/12*(1+Assumptions!$C$97)</f>
        <v>0</v>
      </c>
      <c r="F172" s="9" t="n">
        <f aca="false">SUMPRODUCT((Headcount!$C$5:$C$90="IMPL")*Headcount!$D$5:$D$90*Headcount!$F$5:$F$90*((Headcount!$I$5:$I$90=0)+(Headcount!$I$5:$I$90=1)*$C$16)*(F$18&gt;=(Headcount!$E$5:$E$90+Headcount!$G$5:$G$90*$C$15)))/12*(1+Assumptions!$C$97)</f>
        <v>0</v>
      </c>
      <c r="G172" s="9" t="n">
        <f aca="false">SUMPRODUCT((Headcount!$C$5:$C$90="IMPL")*Headcount!$D$5:$D$90*Headcount!$F$5:$F$90*((Headcount!$I$5:$I$90=0)+(Headcount!$I$5:$I$90=1)*$C$16)*(G$18&gt;=(Headcount!$E$5:$E$90+Headcount!$G$5:$G$90*$C$15)))/12*(1+Assumptions!$C$97)</f>
        <v>10166.6666666667</v>
      </c>
      <c r="H172" s="9" t="n">
        <f aca="false">SUMPRODUCT((Headcount!$C$5:$C$90="IMPL")*Headcount!$D$5:$D$90*Headcount!$F$5:$F$90*((Headcount!$I$5:$I$90=0)+(Headcount!$I$5:$I$90=1)*$C$16)*(H$18&gt;=(Headcount!$E$5:$E$90+Headcount!$G$5:$G$90*$C$15)))/12*(1+Assumptions!$C$97)</f>
        <v>10166.6666666667</v>
      </c>
      <c r="I172" s="9" t="n">
        <f aca="false">SUMPRODUCT((Headcount!$C$5:$C$90="IMPL")*Headcount!$D$5:$D$90*Headcount!$F$5:$F$90*((Headcount!$I$5:$I$90=0)+(Headcount!$I$5:$I$90=1)*$C$16)*(I$18&gt;=(Headcount!$E$5:$E$90+Headcount!$G$5:$G$90*$C$15)))/12*(1+Assumptions!$C$97)</f>
        <v>10166.6666666667</v>
      </c>
      <c r="J172" s="9" t="n">
        <f aca="false">SUMPRODUCT((Headcount!$C$5:$C$90="IMPL")*Headcount!$D$5:$D$90*Headcount!$F$5:$F$90*((Headcount!$I$5:$I$90=0)+(Headcount!$I$5:$I$90=1)*$C$16)*(J$18&gt;=(Headcount!$E$5:$E$90+Headcount!$G$5:$G$90*$C$15)))/12*(1+Assumptions!$C$97)</f>
        <v>10166.6666666667</v>
      </c>
      <c r="K172" s="9" t="n">
        <f aca="false">SUMPRODUCT((Headcount!$C$5:$C$90="IMPL")*Headcount!$D$5:$D$90*Headcount!$F$5:$F$90*((Headcount!$I$5:$I$90=0)+(Headcount!$I$5:$I$90=1)*$C$16)*(K$18&gt;=(Headcount!$E$5:$E$90+Headcount!$G$5:$G$90*$C$15)))/12*(1+Assumptions!$C$97)</f>
        <v>10166.6666666667</v>
      </c>
      <c r="L172" s="9" t="n">
        <f aca="false">SUMPRODUCT((Headcount!$C$5:$C$90="IMPL")*Headcount!$D$5:$D$90*Headcount!$F$5:$F$90*((Headcount!$I$5:$I$90=0)+(Headcount!$I$5:$I$90=1)*$C$16)*(L$18&gt;=(Headcount!$E$5:$E$90+Headcount!$G$5:$G$90*$C$15)))/12*(1+Assumptions!$C$97)</f>
        <v>10166.6666666667</v>
      </c>
      <c r="M172" s="9" t="n">
        <f aca="false">SUMPRODUCT((Headcount!$C$5:$C$90="IMPL")*Headcount!$D$5:$D$90*Headcount!$F$5:$F$90*((Headcount!$I$5:$I$90=0)+(Headcount!$I$5:$I$90=1)*$C$16)*(M$18&gt;=(Headcount!$E$5:$E$90+Headcount!$G$5:$G$90*$C$15)))/12*(1+Assumptions!$C$97)</f>
        <v>20333.3333333333</v>
      </c>
      <c r="N172" s="9" t="n">
        <f aca="false">SUMPRODUCT((Headcount!$C$5:$C$90="IMPL")*Headcount!$D$5:$D$90*Headcount!$F$5:$F$90*((Headcount!$I$5:$I$90=0)+(Headcount!$I$5:$I$90=1)*$C$16)*(N$18&gt;=(Headcount!$E$5:$E$90+Headcount!$G$5:$G$90*$C$15)))/12*(1+Assumptions!$C$97)</f>
        <v>20333.3333333333</v>
      </c>
      <c r="O172" s="9" t="n">
        <f aca="false">SUMPRODUCT((Headcount!$C$5:$C$90="IMPL")*Headcount!$D$5:$D$90*Headcount!$F$5:$F$90*((Headcount!$I$5:$I$90=0)+(Headcount!$I$5:$I$90=1)*$C$16)*(O$18&gt;=(Headcount!$E$5:$E$90+Headcount!$G$5:$G$90*$C$15)))/12*(1+Assumptions!$C$97)</f>
        <v>20333.3333333333</v>
      </c>
      <c r="P172" s="9" t="n">
        <f aca="false">SUMPRODUCT((Headcount!$C$5:$C$90="IMPL")*Headcount!$D$5:$D$90*Headcount!$F$5:$F$90*((Headcount!$I$5:$I$90=0)+(Headcount!$I$5:$I$90=1)*$C$16)*(P$18&gt;=(Headcount!$E$5:$E$90+Headcount!$G$5:$G$90*$C$15)))/12*(1+Assumptions!$C$97)</f>
        <v>20333.3333333333</v>
      </c>
      <c r="Q172" s="9" t="n">
        <f aca="false">SUMPRODUCT((Headcount!$C$5:$C$90="IMPL")*Headcount!$D$5:$D$90*Headcount!$F$5:$F$90*((Headcount!$I$5:$I$90=0)+(Headcount!$I$5:$I$90=1)*$C$16)*(Q$18&gt;=(Headcount!$E$5:$E$90+Headcount!$G$5:$G$90*$C$15)))/12*(1+Assumptions!$C$97)</f>
        <v>30500</v>
      </c>
      <c r="R172" s="9" t="n">
        <f aca="false">SUMPRODUCT((Headcount!$C$5:$C$90="IMPL")*Headcount!$D$5:$D$90*Headcount!$F$5:$F$90*((Headcount!$I$5:$I$90=0)+(Headcount!$I$5:$I$90=1)*$C$16)*(R$18&gt;=(Headcount!$E$5:$E$90+Headcount!$G$5:$G$90*$C$15)))/12*(1+Assumptions!$C$97)</f>
        <v>30500</v>
      </c>
      <c r="S172" s="9" t="n">
        <f aca="false">SUMPRODUCT((Headcount!$C$5:$C$90="IMPL")*Headcount!$D$5:$D$90*Headcount!$F$5:$F$90*((Headcount!$I$5:$I$90=0)+(Headcount!$I$5:$I$90=1)*$C$16)*(S$18&gt;=(Headcount!$E$5:$E$90+Headcount!$G$5:$G$90*$C$15)))/12*(1+Assumptions!$C$97)</f>
        <v>30500</v>
      </c>
      <c r="T172" s="9" t="n">
        <f aca="false">SUMPRODUCT((Headcount!$C$5:$C$90="IMPL")*Headcount!$D$5:$D$90*Headcount!$F$5:$F$90*((Headcount!$I$5:$I$90=0)+(Headcount!$I$5:$I$90=1)*$C$16)*(T$18&gt;=(Headcount!$E$5:$E$90+Headcount!$G$5:$G$90*$C$15)))/12*(1+Assumptions!$C$97)</f>
        <v>30500</v>
      </c>
      <c r="U172" s="9" t="n">
        <f aca="false">SUMPRODUCT((Headcount!$C$5:$C$90="IMPL")*Headcount!$D$5:$D$90*Headcount!$F$5:$F$90*((Headcount!$I$5:$I$90=0)+(Headcount!$I$5:$I$90=1)*$C$16)*(U$18&gt;=(Headcount!$E$5:$E$90+Headcount!$G$5:$G$90*$C$15)))/12*(1+Assumptions!$C$97)</f>
        <v>40666.6666666667</v>
      </c>
      <c r="V172" s="9" t="n">
        <f aca="false">SUMPRODUCT((Headcount!$C$5:$C$90="IMPL")*Headcount!$D$5:$D$90*Headcount!$F$5:$F$90*((Headcount!$I$5:$I$90=0)+(Headcount!$I$5:$I$90=1)*$C$16)*(V$18&gt;=(Headcount!$E$5:$E$90+Headcount!$G$5:$G$90*$C$15)))/12*(1+Assumptions!$C$97)</f>
        <v>40666.6666666667</v>
      </c>
      <c r="W172" s="9" t="n">
        <f aca="false">SUMPRODUCT((Headcount!$C$5:$C$90="IMPL")*Headcount!$D$5:$D$90*Headcount!$F$5:$F$90*((Headcount!$I$5:$I$90=0)+(Headcount!$I$5:$I$90=1)*$C$16)*(W$18&gt;=(Headcount!$E$5:$E$90+Headcount!$G$5:$G$90*$C$15)))/12*(1+Assumptions!$C$97)</f>
        <v>40666.6666666667</v>
      </c>
      <c r="X172" s="9" t="n">
        <f aca="false">SUMPRODUCT((Headcount!$C$5:$C$90="IMPL")*Headcount!$D$5:$D$90*Headcount!$F$5:$F$90*((Headcount!$I$5:$I$90=0)+(Headcount!$I$5:$I$90=1)*$C$16)*(X$18&gt;=(Headcount!$E$5:$E$90+Headcount!$G$5:$G$90*$C$15)))/12*(1+Assumptions!$C$97)</f>
        <v>50833.3333333333</v>
      </c>
      <c r="Y172" s="9" t="n">
        <f aca="false">SUMPRODUCT((Headcount!$C$5:$C$90="IMPL")*Headcount!$D$5:$D$90*Headcount!$F$5:$F$90*((Headcount!$I$5:$I$90=0)+(Headcount!$I$5:$I$90=1)*$C$16)*(Y$18&gt;=(Headcount!$E$5:$E$90+Headcount!$G$5:$G$90*$C$15)))/12*(1+Assumptions!$C$97)</f>
        <v>50833.3333333333</v>
      </c>
      <c r="Z172" s="9" t="n">
        <f aca="false">SUMPRODUCT((Headcount!$C$5:$C$90="IMPL")*Headcount!$D$5:$D$90*Headcount!$F$5:$F$90*((Headcount!$I$5:$I$90=0)+(Headcount!$I$5:$I$90=1)*$C$16)*(Z$18&gt;=(Headcount!$E$5:$E$90+Headcount!$G$5:$G$90*$C$15)))/12*(1+Assumptions!$C$97)</f>
        <v>50833.3333333333</v>
      </c>
      <c r="AA172" s="9" t="n">
        <f aca="false">SUMPRODUCT((Headcount!$C$5:$C$90="IMPL")*Headcount!$D$5:$D$90*Headcount!$F$5:$F$90*((Headcount!$I$5:$I$90=0)+(Headcount!$I$5:$I$90=1)*$C$16)*(AA$18&gt;=(Headcount!$E$5:$E$90+Headcount!$G$5:$G$90*$C$15)))/12*(1+Assumptions!$C$97)</f>
        <v>61000</v>
      </c>
      <c r="AB172" s="9" t="n">
        <f aca="false">SUMPRODUCT((Headcount!$C$5:$C$90="IMPL")*Headcount!$D$5:$D$90*Headcount!$F$5:$F$90*((Headcount!$I$5:$I$90=0)+(Headcount!$I$5:$I$90=1)*$C$16)*(AB$18&gt;=(Headcount!$E$5:$E$90+Headcount!$G$5:$G$90*$C$15)))/12*(1+Assumptions!$C$97)</f>
        <v>61000</v>
      </c>
      <c r="AC172" s="9" t="n">
        <f aca="false">SUMPRODUCT((Headcount!$C$5:$C$90="IMPL")*Headcount!$D$5:$D$90*Headcount!$F$5:$F$90*((Headcount!$I$5:$I$90=0)+(Headcount!$I$5:$I$90=1)*$C$16)*(AC$18&gt;=(Headcount!$E$5:$E$90+Headcount!$G$5:$G$90*$C$15)))/12*(1+Assumptions!$C$97)</f>
        <v>61000</v>
      </c>
      <c r="AD172" s="9" t="n">
        <f aca="false">SUMPRODUCT((Headcount!$C$5:$C$90="IMPL")*Headcount!$D$5:$D$90*Headcount!$F$5:$F$90*((Headcount!$I$5:$I$90=0)+(Headcount!$I$5:$I$90=1)*$C$16)*(AD$18&gt;=(Headcount!$E$5:$E$90+Headcount!$G$5:$G$90*$C$15)))/12*(1+Assumptions!$C$97)</f>
        <v>71166.6666666667</v>
      </c>
      <c r="AE172" s="9" t="n">
        <f aca="false">SUMPRODUCT((Headcount!$C$5:$C$90="IMPL")*Headcount!$D$5:$D$90*Headcount!$F$5:$F$90*((Headcount!$I$5:$I$90=0)+(Headcount!$I$5:$I$90=1)*$C$16)*(AE$18&gt;=(Headcount!$E$5:$E$90+Headcount!$G$5:$G$90*$C$15)))/12*(1+Assumptions!$C$97)</f>
        <v>71166.6666666667</v>
      </c>
      <c r="AF172" s="9" t="n">
        <f aca="false">SUMPRODUCT((Headcount!$C$5:$C$90="IMPL")*Headcount!$D$5:$D$90*Headcount!$F$5:$F$90*((Headcount!$I$5:$I$90=0)+(Headcount!$I$5:$I$90=1)*$C$16)*(AF$18&gt;=(Headcount!$E$5:$E$90+Headcount!$G$5:$G$90*$C$15)))/12*(1+Assumptions!$C$97)</f>
        <v>71166.6666666667</v>
      </c>
      <c r="AG172" s="9" t="n">
        <f aca="false">SUMPRODUCT((Headcount!$C$5:$C$90="IMPL")*Headcount!$D$5:$D$90*Headcount!$F$5:$F$90*((Headcount!$I$5:$I$90=0)+(Headcount!$I$5:$I$90=1)*$C$16)*(AG$18&gt;=(Headcount!$E$5:$E$90+Headcount!$G$5:$G$90*$C$15)))/12*(1+Assumptions!$C$97)</f>
        <v>81333.3333333333</v>
      </c>
      <c r="AH172" s="9" t="n">
        <f aca="false">SUMPRODUCT((Headcount!$C$5:$C$90="IMPL")*Headcount!$D$5:$D$90*Headcount!$F$5:$F$90*((Headcount!$I$5:$I$90=0)+(Headcount!$I$5:$I$90=1)*$C$16)*(AH$18&gt;=(Headcount!$E$5:$E$90+Headcount!$G$5:$G$90*$C$15)))/12*(1+Assumptions!$C$97)</f>
        <v>81333.3333333333</v>
      </c>
      <c r="AI172" s="9" t="n">
        <f aca="false">SUMPRODUCT((Headcount!$C$5:$C$90="IMPL")*Headcount!$D$5:$D$90*Headcount!$F$5:$F$90*((Headcount!$I$5:$I$90=0)+(Headcount!$I$5:$I$90=1)*$C$16)*(AI$18&gt;=(Headcount!$E$5:$E$90+Headcount!$G$5:$G$90*$C$15)))/12*(1+Assumptions!$C$97)</f>
        <v>81333.3333333333</v>
      </c>
      <c r="AJ172" s="9" t="n">
        <f aca="false">SUMPRODUCT((Headcount!$C$5:$C$90="IMPL")*Headcount!$D$5:$D$90*Headcount!$F$5:$F$90*((Headcount!$I$5:$I$90=0)+(Headcount!$I$5:$I$90=1)*$C$16)*(AJ$18&gt;=(Headcount!$E$5:$E$90+Headcount!$G$5:$G$90*$C$15)))/12*(1+Assumptions!$C$97)</f>
        <v>81333.3333333333</v>
      </c>
      <c r="AK172" s="9" t="n">
        <f aca="false">SUMPRODUCT((Headcount!$C$5:$C$90="IMPL")*Headcount!$D$5:$D$90*Headcount!$F$5:$F$90*((Headcount!$I$5:$I$90=0)+(Headcount!$I$5:$I$90=1)*$C$16)*(AK$18&gt;=(Headcount!$E$5:$E$90+Headcount!$G$5:$G$90*$C$15)))/12*(1+Assumptions!$C$97)</f>
        <v>81333.3333333333</v>
      </c>
      <c r="AL172" s="9" t="n">
        <f aca="false">SUMPRODUCT((Headcount!$C$5:$C$90="IMPL")*Headcount!$D$5:$D$90*Headcount!$F$5:$F$90*((Headcount!$I$5:$I$90=0)+(Headcount!$I$5:$I$90=1)*$C$16)*(AL$18&gt;=(Headcount!$E$5:$E$90+Headcount!$G$5:$G$90*$C$15)))/12*(1+Assumptions!$C$97)</f>
        <v>81333.3333333333</v>
      </c>
      <c r="AN172" s="11" t="n">
        <f aca="false">SUM(C172:N172)</f>
        <v>101666.666666667</v>
      </c>
      <c r="AO172" s="11" t="n">
        <f aca="false">SUM(O172:Z172)</f>
        <v>437166.666666667</v>
      </c>
      <c r="AP172" s="11" t="n">
        <f aca="false">SUM(AA172:AL172)</f>
        <v>884500</v>
      </c>
    </row>
    <row r="173" customFormat="false" ht="15" hidden="false" customHeight="false" outlineLevel="0" collapsed="false">
      <c r="A173" s="0" t="s">
        <v>975</v>
      </c>
      <c r="B173" s="0" t="s">
        <v>230</v>
      </c>
      <c r="C173" s="9" t="n">
        <f aca="false">SUMPRODUCT((Headcount!$C$5:$C$90="CS")*Headcount!$D$5:$D$90*Headcount!$F$5:$F$90*((Headcount!$I$5:$I$90=0)+(Headcount!$I$5:$I$90=1)*$C$16)*(C$18&gt;=(Headcount!$E$5:$E$90+Headcount!$G$5:$G$90*$C$15)))/12*(1+Assumptions!$C$97)</f>
        <v>0</v>
      </c>
      <c r="D173" s="9" t="n">
        <f aca="false">SUMPRODUCT((Headcount!$C$5:$C$90="CS")*Headcount!$D$5:$D$90*Headcount!$F$5:$F$90*((Headcount!$I$5:$I$90=0)+(Headcount!$I$5:$I$90=1)*$C$16)*(D$18&gt;=(Headcount!$E$5:$E$90+Headcount!$G$5:$G$90*$C$15)))/12*(1+Assumptions!$C$97)</f>
        <v>0</v>
      </c>
      <c r="E173" s="9" t="n">
        <f aca="false">SUMPRODUCT((Headcount!$C$5:$C$90="CS")*Headcount!$D$5:$D$90*Headcount!$F$5:$F$90*((Headcount!$I$5:$I$90=0)+(Headcount!$I$5:$I$90=1)*$C$16)*(E$18&gt;=(Headcount!$E$5:$E$90+Headcount!$G$5:$G$90*$C$15)))/12*(1+Assumptions!$C$97)</f>
        <v>0</v>
      </c>
      <c r="F173" s="9" t="n">
        <f aca="false">SUMPRODUCT((Headcount!$C$5:$C$90="CS")*Headcount!$D$5:$D$90*Headcount!$F$5:$F$90*((Headcount!$I$5:$I$90=0)+(Headcount!$I$5:$I$90=1)*$C$16)*(F$18&gt;=(Headcount!$E$5:$E$90+Headcount!$G$5:$G$90*$C$15)))/12*(1+Assumptions!$C$97)</f>
        <v>0</v>
      </c>
      <c r="G173" s="9" t="n">
        <f aca="false">SUMPRODUCT((Headcount!$C$5:$C$90="CS")*Headcount!$D$5:$D$90*Headcount!$F$5:$F$90*((Headcount!$I$5:$I$90=0)+(Headcount!$I$5:$I$90=1)*$C$16)*(G$18&gt;=(Headcount!$E$5:$E$90+Headcount!$G$5:$G$90*$C$15)))/12*(1+Assumptions!$C$97)</f>
        <v>0</v>
      </c>
      <c r="H173" s="9" t="n">
        <f aca="false">SUMPRODUCT((Headcount!$C$5:$C$90="CS")*Headcount!$D$5:$D$90*Headcount!$F$5:$F$90*((Headcount!$I$5:$I$90=0)+(Headcount!$I$5:$I$90=1)*$C$16)*(H$18&gt;=(Headcount!$E$5:$E$90+Headcount!$G$5:$G$90*$C$15)))/12*(1+Assumptions!$C$97)</f>
        <v>0</v>
      </c>
      <c r="I173" s="9" t="n">
        <f aca="false">SUMPRODUCT((Headcount!$C$5:$C$90="CS")*Headcount!$D$5:$D$90*Headcount!$F$5:$F$90*((Headcount!$I$5:$I$90=0)+(Headcount!$I$5:$I$90=1)*$C$16)*(I$18&gt;=(Headcount!$E$5:$E$90+Headcount!$G$5:$G$90*$C$15)))/12*(1+Assumptions!$C$97)</f>
        <v>0</v>
      </c>
      <c r="J173" s="9" t="n">
        <f aca="false">SUMPRODUCT((Headcount!$C$5:$C$90="CS")*Headcount!$D$5:$D$90*Headcount!$F$5:$F$90*((Headcount!$I$5:$I$90=0)+(Headcount!$I$5:$I$90=1)*$C$16)*(J$18&gt;=(Headcount!$E$5:$E$90+Headcount!$G$5:$G$90*$C$15)))/12*(1+Assumptions!$C$97)</f>
        <v>0</v>
      </c>
      <c r="K173" s="9" t="n">
        <f aca="false">SUMPRODUCT((Headcount!$C$5:$C$90="CS")*Headcount!$D$5:$D$90*Headcount!$F$5:$F$90*((Headcount!$I$5:$I$90=0)+(Headcount!$I$5:$I$90=1)*$C$16)*(K$18&gt;=(Headcount!$E$5:$E$90+Headcount!$G$5:$G$90*$C$15)))/12*(1+Assumptions!$C$97)</f>
        <v>0</v>
      </c>
      <c r="L173" s="9" t="n">
        <f aca="false">SUMPRODUCT((Headcount!$C$5:$C$90="CS")*Headcount!$D$5:$D$90*Headcount!$F$5:$F$90*((Headcount!$I$5:$I$90=0)+(Headcount!$I$5:$I$90=1)*$C$16)*(L$18&gt;=(Headcount!$E$5:$E$90+Headcount!$G$5:$G$90*$C$15)))/12*(1+Assumptions!$C$97)</f>
        <v>0</v>
      </c>
      <c r="M173" s="9" t="n">
        <f aca="false">SUMPRODUCT((Headcount!$C$5:$C$90="CS")*Headcount!$D$5:$D$90*Headcount!$F$5:$F$90*((Headcount!$I$5:$I$90=0)+(Headcount!$I$5:$I$90=1)*$C$16)*(M$18&gt;=(Headcount!$E$5:$E$90+Headcount!$G$5:$G$90*$C$15)))/12*(1+Assumptions!$C$97)</f>
        <v>0</v>
      </c>
      <c r="N173" s="9" t="n">
        <f aca="false">SUMPRODUCT((Headcount!$C$5:$C$90="CS")*Headcount!$D$5:$D$90*Headcount!$F$5:$F$90*((Headcount!$I$5:$I$90=0)+(Headcount!$I$5:$I$90=1)*$C$16)*(N$18&gt;=(Headcount!$E$5:$E$90+Headcount!$G$5:$G$90*$C$15)))/12*(1+Assumptions!$C$97)</f>
        <v>0</v>
      </c>
      <c r="O173" s="9" t="n">
        <f aca="false">SUMPRODUCT((Headcount!$C$5:$C$90="CS")*Headcount!$D$5:$D$90*Headcount!$F$5:$F$90*((Headcount!$I$5:$I$90=0)+(Headcount!$I$5:$I$90=1)*$C$16)*(O$18&gt;=(Headcount!$E$5:$E$90+Headcount!$G$5:$G$90*$C$15)))/12*(1+Assumptions!$C$97)</f>
        <v>0</v>
      </c>
      <c r="P173" s="9" t="n">
        <f aca="false">SUMPRODUCT((Headcount!$C$5:$C$90="CS")*Headcount!$D$5:$D$90*Headcount!$F$5:$F$90*((Headcount!$I$5:$I$90=0)+(Headcount!$I$5:$I$90=1)*$C$16)*(P$18&gt;=(Headcount!$E$5:$E$90+Headcount!$G$5:$G$90*$C$15)))/12*(1+Assumptions!$C$97)</f>
        <v>0</v>
      </c>
      <c r="Q173" s="9" t="n">
        <f aca="false">SUMPRODUCT((Headcount!$C$5:$C$90="CS")*Headcount!$D$5:$D$90*Headcount!$F$5:$F$90*((Headcount!$I$5:$I$90=0)+(Headcount!$I$5:$I$90=1)*$C$16)*(Q$18&gt;=(Headcount!$E$5:$E$90+Headcount!$G$5:$G$90*$C$15)))/12*(1+Assumptions!$C$97)</f>
        <v>0</v>
      </c>
      <c r="R173" s="9" t="n">
        <f aca="false">SUMPRODUCT((Headcount!$C$5:$C$90="CS")*Headcount!$D$5:$D$90*Headcount!$F$5:$F$90*((Headcount!$I$5:$I$90=0)+(Headcount!$I$5:$I$90=1)*$C$16)*(R$18&gt;=(Headcount!$E$5:$E$90+Headcount!$G$5:$G$90*$C$15)))/12*(1+Assumptions!$C$97)</f>
        <v>0</v>
      </c>
      <c r="S173" s="9" t="n">
        <f aca="false">SUMPRODUCT((Headcount!$C$5:$C$90="CS")*Headcount!$D$5:$D$90*Headcount!$F$5:$F$90*((Headcount!$I$5:$I$90=0)+(Headcount!$I$5:$I$90=1)*$C$16)*(S$18&gt;=(Headcount!$E$5:$E$90+Headcount!$G$5:$G$90*$C$15)))/12*(1+Assumptions!$C$97)</f>
        <v>0</v>
      </c>
      <c r="T173" s="9" t="n">
        <f aca="false">SUMPRODUCT((Headcount!$C$5:$C$90="CS")*Headcount!$D$5:$D$90*Headcount!$F$5:$F$90*((Headcount!$I$5:$I$90=0)+(Headcount!$I$5:$I$90=1)*$C$16)*(T$18&gt;=(Headcount!$E$5:$E$90+Headcount!$G$5:$G$90*$C$15)))/12*(1+Assumptions!$C$97)</f>
        <v>10166.6666666667</v>
      </c>
      <c r="U173" s="9" t="n">
        <f aca="false">SUMPRODUCT((Headcount!$C$5:$C$90="CS")*Headcount!$D$5:$D$90*Headcount!$F$5:$F$90*((Headcount!$I$5:$I$90=0)+(Headcount!$I$5:$I$90=1)*$C$16)*(U$18&gt;=(Headcount!$E$5:$E$90+Headcount!$G$5:$G$90*$C$15)))/12*(1+Assumptions!$C$97)</f>
        <v>10166.6666666667</v>
      </c>
      <c r="V173" s="9" t="n">
        <f aca="false">SUMPRODUCT((Headcount!$C$5:$C$90="CS")*Headcount!$D$5:$D$90*Headcount!$F$5:$F$90*((Headcount!$I$5:$I$90=0)+(Headcount!$I$5:$I$90=1)*$C$16)*(V$18&gt;=(Headcount!$E$5:$E$90+Headcount!$G$5:$G$90*$C$15)))/12*(1+Assumptions!$C$97)</f>
        <v>10166.6666666667</v>
      </c>
      <c r="W173" s="9" t="n">
        <f aca="false">SUMPRODUCT((Headcount!$C$5:$C$90="CS")*Headcount!$D$5:$D$90*Headcount!$F$5:$F$90*((Headcount!$I$5:$I$90=0)+(Headcount!$I$5:$I$90=1)*$C$16)*(W$18&gt;=(Headcount!$E$5:$E$90+Headcount!$G$5:$G$90*$C$15)))/12*(1+Assumptions!$C$97)</f>
        <v>10166.6666666667</v>
      </c>
      <c r="X173" s="9" t="n">
        <f aca="false">SUMPRODUCT((Headcount!$C$5:$C$90="CS")*Headcount!$D$5:$D$90*Headcount!$F$5:$F$90*((Headcount!$I$5:$I$90=0)+(Headcount!$I$5:$I$90=1)*$C$16)*(X$18&gt;=(Headcount!$E$5:$E$90+Headcount!$G$5:$G$90*$C$15)))/12*(1+Assumptions!$C$97)</f>
        <v>10166.6666666667</v>
      </c>
      <c r="Y173" s="9" t="n">
        <f aca="false">SUMPRODUCT((Headcount!$C$5:$C$90="CS")*Headcount!$D$5:$D$90*Headcount!$F$5:$F$90*((Headcount!$I$5:$I$90=0)+(Headcount!$I$5:$I$90=1)*$C$16)*(Y$18&gt;=(Headcount!$E$5:$E$90+Headcount!$G$5:$G$90*$C$15)))/12*(1+Assumptions!$C$97)</f>
        <v>10166.6666666667</v>
      </c>
      <c r="Z173" s="9" t="n">
        <f aca="false">SUMPRODUCT((Headcount!$C$5:$C$90="CS")*Headcount!$D$5:$D$90*Headcount!$F$5:$F$90*((Headcount!$I$5:$I$90=0)+(Headcount!$I$5:$I$90=1)*$C$16)*(Z$18&gt;=(Headcount!$E$5:$E$90+Headcount!$G$5:$G$90*$C$15)))/12*(1+Assumptions!$C$97)</f>
        <v>10166.6666666667</v>
      </c>
      <c r="AA173" s="9" t="n">
        <f aca="false">SUMPRODUCT((Headcount!$C$5:$C$90="CS")*Headcount!$D$5:$D$90*Headcount!$F$5:$F$90*((Headcount!$I$5:$I$90=0)+(Headcount!$I$5:$I$90=1)*$C$16)*(AA$18&gt;=(Headcount!$E$5:$E$90+Headcount!$G$5:$G$90*$C$15)))/12*(1+Assumptions!$C$97)</f>
        <v>10166.6666666667</v>
      </c>
      <c r="AB173" s="9" t="n">
        <f aca="false">SUMPRODUCT((Headcount!$C$5:$C$90="CS")*Headcount!$D$5:$D$90*Headcount!$F$5:$F$90*((Headcount!$I$5:$I$90=0)+(Headcount!$I$5:$I$90=1)*$C$16)*(AB$18&gt;=(Headcount!$E$5:$E$90+Headcount!$G$5:$G$90*$C$15)))/12*(1+Assumptions!$C$97)</f>
        <v>10166.6666666667</v>
      </c>
      <c r="AC173" s="9" t="n">
        <f aca="false">SUMPRODUCT((Headcount!$C$5:$C$90="CS")*Headcount!$D$5:$D$90*Headcount!$F$5:$F$90*((Headcount!$I$5:$I$90=0)+(Headcount!$I$5:$I$90=1)*$C$16)*(AC$18&gt;=(Headcount!$E$5:$E$90+Headcount!$G$5:$G$90*$C$15)))/12*(1+Assumptions!$C$97)</f>
        <v>10166.6666666667</v>
      </c>
      <c r="AD173" s="9" t="n">
        <f aca="false">SUMPRODUCT((Headcount!$C$5:$C$90="CS")*Headcount!$D$5:$D$90*Headcount!$F$5:$F$90*((Headcount!$I$5:$I$90=0)+(Headcount!$I$5:$I$90=1)*$C$16)*(AD$18&gt;=(Headcount!$E$5:$E$90+Headcount!$G$5:$G$90*$C$15)))/12*(1+Assumptions!$C$97)</f>
        <v>10166.6666666667</v>
      </c>
      <c r="AE173" s="9" t="n">
        <f aca="false">SUMPRODUCT((Headcount!$C$5:$C$90="CS")*Headcount!$D$5:$D$90*Headcount!$F$5:$F$90*((Headcount!$I$5:$I$90=0)+(Headcount!$I$5:$I$90=1)*$C$16)*(AE$18&gt;=(Headcount!$E$5:$E$90+Headcount!$G$5:$G$90*$C$15)))/12*(1+Assumptions!$C$97)</f>
        <v>10166.6666666667</v>
      </c>
      <c r="AF173" s="9" t="n">
        <f aca="false">SUMPRODUCT((Headcount!$C$5:$C$90="CS")*Headcount!$D$5:$D$90*Headcount!$F$5:$F$90*((Headcount!$I$5:$I$90=0)+(Headcount!$I$5:$I$90=1)*$C$16)*(AF$18&gt;=(Headcount!$E$5:$E$90+Headcount!$G$5:$G$90*$C$15)))/12*(1+Assumptions!$C$97)</f>
        <v>20333.3333333333</v>
      </c>
      <c r="AG173" s="9" t="n">
        <f aca="false">SUMPRODUCT((Headcount!$C$5:$C$90="CS")*Headcount!$D$5:$D$90*Headcount!$F$5:$F$90*((Headcount!$I$5:$I$90=0)+(Headcount!$I$5:$I$90=1)*$C$16)*(AG$18&gt;=(Headcount!$E$5:$E$90+Headcount!$G$5:$G$90*$C$15)))/12*(1+Assumptions!$C$97)</f>
        <v>20333.3333333333</v>
      </c>
      <c r="AH173" s="9" t="n">
        <f aca="false">SUMPRODUCT((Headcount!$C$5:$C$90="CS")*Headcount!$D$5:$D$90*Headcount!$F$5:$F$90*((Headcount!$I$5:$I$90=0)+(Headcount!$I$5:$I$90=1)*$C$16)*(AH$18&gt;=(Headcount!$E$5:$E$90+Headcount!$G$5:$G$90*$C$15)))/12*(1+Assumptions!$C$97)</f>
        <v>20333.3333333333</v>
      </c>
      <c r="AI173" s="9" t="n">
        <f aca="false">SUMPRODUCT((Headcount!$C$5:$C$90="CS")*Headcount!$D$5:$D$90*Headcount!$F$5:$F$90*((Headcount!$I$5:$I$90=0)+(Headcount!$I$5:$I$90=1)*$C$16)*(AI$18&gt;=(Headcount!$E$5:$E$90+Headcount!$G$5:$G$90*$C$15)))/12*(1+Assumptions!$C$97)</f>
        <v>20333.3333333333</v>
      </c>
      <c r="AJ173" s="9" t="n">
        <f aca="false">SUMPRODUCT((Headcount!$C$5:$C$90="CS")*Headcount!$D$5:$D$90*Headcount!$F$5:$F$90*((Headcount!$I$5:$I$90=0)+(Headcount!$I$5:$I$90=1)*$C$16)*(AJ$18&gt;=(Headcount!$E$5:$E$90+Headcount!$G$5:$G$90*$C$15)))/12*(1+Assumptions!$C$97)</f>
        <v>20333.3333333333</v>
      </c>
      <c r="AK173" s="9" t="n">
        <f aca="false">SUMPRODUCT((Headcount!$C$5:$C$90="CS")*Headcount!$D$5:$D$90*Headcount!$F$5:$F$90*((Headcount!$I$5:$I$90=0)+(Headcount!$I$5:$I$90=1)*$C$16)*(AK$18&gt;=(Headcount!$E$5:$E$90+Headcount!$G$5:$G$90*$C$15)))/12*(1+Assumptions!$C$97)</f>
        <v>20333.3333333333</v>
      </c>
      <c r="AL173" s="9" t="n">
        <f aca="false">SUMPRODUCT((Headcount!$C$5:$C$90="CS")*Headcount!$D$5:$D$90*Headcount!$F$5:$F$90*((Headcount!$I$5:$I$90=0)+(Headcount!$I$5:$I$90=1)*$C$16)*(AL$18&gt;=(Headcount!$E$5:$E$90+Headcount!$G$5:$G$90*$C$15)))/12*(1+Assumptions!$C$97)</f>
        <v>20333.3333333333</v>
      </c>
      <c r="AN173" s="11" t="n">
        <f aca="false">SUM(C173:N173)</f>
        <v>0</v>
      </c>
      <c r="AO173" s="11" t="n">
        <f aca="false">SUM(O173:Z173)</f>
        <v>71166.6666666667</v>
      </c>
      <c r="AP173" s="11" t="n">
        <f aca="false">SUM(AA173:AL173)</f>
        <v>193166.666666667</v>
      </c>
    </row>
    <row r="174" customFormat="false" ht="15" hidden="false" customHeight="false" outlineLevel="0" collapsed="false">
      <c r="A174" s="0" t="s">
        <v>976</v>
      </c>
      <c r="B174" s="0" t="s">
        <v>230</v>
      </c>
      <c r="C174" s="9" t="n">
        <f aca="false">SUMPRODUCT((Headcount!$C$5:$C$90="TS")*Headcount!$D$5:$D$90*Headcount!$F$5:$F$90*((Headcount!$I$5:$I$90=0)+(Headcount!$I$5:$I$90=1)*$C$16)*(C$18&gt;=(Headcount!$E$5:$E$90+Headcount!$G$5:$G$90*$C$15)))/12*(1+Assumptions!$C$97)</f>
        <v>0</v>
      </c>
      <c r="D174" s="9" t="n">
        <f aca="false">SUMPRODUCT((Headcount!$C$5:$C$90="TS")*Headcount!$D$5:$D$90*Headcount!$F$5:$F$90*((Headcount!$I$5:$I$90=0)+(Headcount!$I$5:$I$90=1)*$C$16)*(D$18&gt;=(Headcount!$E$5:$E$90+Headcount!$G$5:$G$90*$C$15)))/12*(1+Assumptions!$C$97)</f>
        <v>0</v>
      </c>
      <c r="E174" s="9" t="n">
        <f aca="false">SUMPRODUCT((Headcount!$C$5:$C$90="TS")*Headcount!$D$5:$D$90*Headcount!$F$5:$F$90*((Headcount!$I$5:$I$90=0)+(Headcount!$I$5:$I$90=1)*$C$16)*(E$18&gt;=(Headcount!$E$5:$E$90+Headcount!$G$5:$G$90*$C$15)))/12*(1+Assumptions!$C$97)</f>
        <v>0</v>
      </c>
      <c r="F174" s="9" t="n">
        <f aca="false">SUMPRODUCT((Headcount!$C$5:$C$90="TS")*Headcount!$D$5:$D$90*Headcount!$F$5:$F$90*((Headcount!$I$5:$I$90=0)+(Headcount!$I$5:$I$90=1)*$C$16)*(F$18&gt;=(Headcount!$E$5:$E$90+Headcount!$G$5:$G$90*$C$15)))/12*(1+Assumptions!$C$97)</f>
        <v>0</v>
      </c>
      <c r="G174" s="9" t="n">
        <f aca="false">SUMPRODUCT((Headcount!$C$5:$C$90="TS")*Headcount!$D$5:$D$90*Headcount!$F$5:$F$90*((Headcount!$I$5:$I$90=0)+(Headcount!$I$5:$I$90=1)*$C$16)*(G$18&gt;=(Headcount!$E$5:$E$90+Headcount!$G$5:$G$90*$C$15)))/12*(1+Assumptions!$C$97)</f>
        <v>0</v>
      </c>
      <c r="H174" s="9" t="n">
        <f aca="false">SUMPRODUCT((Headcount!$C$5:$C$90="TS")*Headcount!$D$5:$D$90*Headcount!$F$5:$F$90*((Headcount!$I$5:$I$90=0)+(Headcount!$I$5:$I$90=1)*$C$16)*(H$18&gt;=(Headcount!$E$5:$E$90+Headcount!$G$5:$G$90*$C$15)))/12*(1+Assumptions!$C$97)</f>
        <v>0</v>
      </c>
      <c r="I174" s="9" t="n">
        <f aca="false">SUMPRODUCT((Headcount!$C$5:$C$90="TS")*Headcount!$D$5:$D$90*Headcount!$F$5:$F$90*((Headcount!$I$5:$I$90=0)+(Headcount!$I$5:$I$90=1)*$C$16)*(I$18&gt;=(Headcount!$E$5:$E$90+Headcount!$G$5:$G$90*$C$15)))/12*(1+Assumptions!$C$97)</f>
        <v>0</v>
      </c>
      <c r="J174" s="9" t="n">
        <f aca="false">SUMPRODUCT((Headcount!$C$5:$C$90="TS")*Headcount!$D$5:$D$90*Headcount!$F$5:$F$90*((Headcount!$I$5:$I$90=0)+(Headcount!$I$5:$I$90=1)*$C$16)*(J$18&gt;=(Headcount!$E$5:$E$90+Headcount!$G$5:$G$90*$C$15)))/12*(1+Assumptions!$C$97)</f>
        <v>0</v>
      </c>
      <c r="K174" s="9" t="n">
        <f aca="false">SUMPRODUCT((Headcount!$C$5:$C$90="TS")*Headcount!$D$5:$D$90*Headcount!$F$5:$F$90*((Headcount!$I$5:$I$90=0)+(Headcount!$I$5:$I$90=1)*$C$16)*(K$18&gt;=(Headcount!$E$5:$E$90+Headcount!$G$5:$G$90*$C$15)))/12*(1+Assumptions!$C$97)</f>
        <v>0</v>
      </c>
      <c r="L174" s="9" t="n">
        <f aca="false">SUMPRODUCT((Headcount!$C$5:$C$90="TS")*Headcount!$D$5:$D$90*Headcount!$F$5:$F$90*((Headcount!$I$5:$I$90=0)+(Headcount!$I$5:$I$90=1)*$C$16)*(L$18&gt;=(Headcount!$E$5:$E$90+Headcount!$G$5:$G$90*$C$15)))/12*(1+Assumptions!$C$97)</f>
        <v>0</v>
      </c>
      <c r="M174" s="9" t="n">
        <f aca="false">SUMPRODUCT((Headcount!$C$5:$C$90="TS")*Headcount!$D$5:$D$90*Headcount!$F$5:$F$90*((Headcount!$I$5:$I$90=0)+(Headcount!$I$5:$I$90=1)*$C$16)*(M$18&gt;=(Headcount!$E$5:$E$90+Headcount!$G$5:$G$90*$C$15)))/12*(1+Assumptions!$C$97)</f>
        <v>0</v>
      </c>
      <c r="N174" s="9" t="n">
        <f aca="false">SUMPRODUCT((Headcount!$C$5:$C$90="TS")*Headcount!$D$5:$D$90*Headcount!$F$5:$F$90*((Headcount!$I$5:$I$90=0)+(Headcount!$I$5:$I$90=1)*$C$16)*(N$18&gt;=(Headcount!$E$5:$E$90+Headcount!$G$5:$G$90*$C$15)))/12*(1+Assumptions!$C$97)</f>
        <v>0</v>
      </c>
      <c r="O174" s="9" t="n">
        <f aca="false">SUMPRODUCT((Headcount!$C$5:$C$90="TS")*Headcount!$D$5:$D$90*Headcount!$F$5:$F$90*((Headcount!$I$5:$I$90=0)+(Headcount!$I$5:$I$90=1)*$C$16)*(O$18&gt;=(Headcount!$E$5:$E$90+Headcount!$G$5:$G$90*$C$15)))/12*(1+Assumptions!$C$97)</f>
        <v>0</v>
      </c>
      <c r="P174" s="9" t="n">
        <f aca="false">SUMPRODUCT((Headcount!$C$5:$C$90="TS")*Headcount!$D$5:$D$90*Headcount!$F$5:$F$90*((Headcount!$I$5:$I$90=0)+(Headcount!$I$5:$I$90=1)*$C$16)*(P$18&gt;=(Headcount!$E$5:$E$90+Headcount!$G$5:$G$90*$C$15)))/12*(1+Assumptions!$C$97)</f>
        <v>0</v>
      </c>
      <c r="Q174" s="9" t="n">
        <f aca="false">SUMPRODUCT((Headcount!$C$5:$C$90="TS")*Headcount!$D$5:$D$90*Headcount!$F$5:$F$90*((Headcount!$I$5:$I$90=0)+(Headcount!$I$5:$I$90=1)*$C$16)*(Q$18&gt;=(Headcount!$E$5:$E$90+Headcount!$G$5:$G$90*$C$15)))/12*(1+Assumptions!$C$97)</f>
        <v>0</v>
      </c>
      <c r="R174" s="9" t="n">
        <f aca="false">SUMPRODUCT((Headcount!$C$5:$C$90="TS")*Headcount!$D$5:$D$90*Headcount!$F$5:$F$90*((Headcount!$I$5:$I$90=0)+(Headcount!$I$5:$I$90=1)*$C$16)*(R$18&gt;=(Headcount!$E$5:$E$90+Headcount!$G$5:$G$90*$C$15)))/12*(1+Assumptions!$C$97)</f>
        <v>0</v>
      </c>
      <c r="S174" s="9" t="n">
        <f aca="false">SUMPRODUCT((Headcount!$C$5:$C$90="TS")*Headcount!$D$5:$D$90*Headcount!$F$5:$F$90*((Headcount!$I$5:$I$90=0)+(Headcount!$I$5:$I$90=1)*$C$16)*(S$18&gt;=(Headcount!$E$5:$E$90+Headcount!$G$5:$G$90*$C$15)))/12*(1+Assumptions!$C$97)</f>
        <v>0</v>
      </c>
      <c r="T174" s="9" t="n">
        <f aca="false">SUMPRODUCT((Headcount!$C$5:$C$90="TS")*Headcount!$D$5:$D$90*Headcount!$F$5:$F$90*((Headcount!$I$5:$I$90=0)+(Headcount!$I$5:$I$90=1)*$C$16)*(T$18&gt;=(Headcount!$E$5:$E$90+Headcount!$G$5:$G$90*$C$15)))/12*(1+Assumptions!$C$97)</f>
        <v>0</v>
      </c>
      <c r="U174" s="9" t="n">
        <f aca="false">SUMPRODUCT((Headcount!$C$5:$C$90="TS")*Headcount!$D$5:$D$90*Headcount!$F$5:$F$90*((Headcount!$I$5:$I$90=0)+(Headcount!$I$5:$I$90=1)*$C$16)*(U$18&gt;=(Headcount!$E$5:$E$90+Headcount!$G$5:$G$90*$C$15)))/12*(1+Assumptions!$C$97)</f>
        <v>0</v>
      </c>
      <c r="V174" s="9" t="n">
        <f aca="false">SUMPRODUCT((Headcount!$C$5:$C$90="TS")*Headcount!$D$5:$D$90*Headcount!$F$5:$F$90*((Headcount!$I$5:$I$90=0)+(Headcount!$I$5:$I$90=1)*$C$16)*(V$18&gt;=(Headcount!$E$5:$E$90+Headcount!$G$5:$G$90*$C$15)))/12*(1+Assumptions!$C$97)</f>
        <v>0</v>
      </c>
      <c r="W174" s="9" t="n">
        <f aca="false">SUMPRODUCT((Headcount!$C$5:$C$90="TS")*Headcount!$D$5:$D$90*Headcount!$F$5:$F$90*((Headcount!$I$5:$I$90=0)+(Headcount!$I$5:$I$90=1)*$C$16)*(W$18&gt;=(Headcount!$E$5:$E$90+Headcount!$G$5:$G$90*$C$15)))/12*(1+Assumptions!$C$97)</f>
        <v>0</v>
      </c>
      <c r="X174" s="9" t="n">
        <f aca="false">SUMPRODUCT((Headcount!$C$5:$C$90="TS")*Headcount!$D$5:$D$90*Headcount!$F$5:$F$90*((Headcount!$I$5:$I$90=0)+(Headcount!$I$5:$I$90=1)*$C$16)*(X$18&gt;=(Headcount!$E$5:$E$90+Headcount!$G$5:$G$90*$C$15)))/12*(1+Assumptions!$C$97)</f>
        <v>0</v>
      </c>
      <c r="Y174" s="9" t="n">
        <f aca="false">SUMPRODUCT((Headcount!$C$5:$C$90="TS")*Headcount!$D$5:$D$90*Headcount!$F$5:$F$90*((Headcount!$I$5:$I$90=0)+(Headcount!$I$5:$I$90=1)*$C$16)*(Y$18&gt;=(Headcount!$E$5:$E$90+Headcount!$G$5:$G$90*$C$15)))/12*(1+Assumptions!$C$97)</f>
        <v>0</v>
      </c>
      <c r="Z174" s="9" t="n">
        <f aca="false">SUMPRODUCT((Headcount!$C$5:$C$90="TS")*Headcount!$D$5:$D$90*Headcount!$F$5:$F$90*((Headcount!$I$5:$I$90=0)+(Headcount!$I$5:$I$90=1)*$C$16)*(Z$18&gt;=(Headcount!$E$5:$E$90+Headcount!$G$5:$G$90*$C$15)))/12*(1+Assumptions!$C$97)</f>
        <v>0</v>
      </c>
      <c r="AA174" s="9" t="n">
        <f aca="false">SUMPRODUCT((Headcount!$C$5:$C$90="TS")*Headcount!$D$5:$D$90*Headcount!$F$5:$F$90*((Headcount!$I$5:$I$90=0)+(Headcount!$I$5:$I$90=1)*$C$16)*(AA$18&gt;=(Headcount!$E$5:$E$90+Headcount!$G$5:$G$90*$C$15)))/12*(1+Assumptions!$C$97)</f>
        <v>0</v>
      </c>
      <c r="AB174" s="9" t="n">
        <f aca="false">SUMPRODUCT((Headcount!$C$5:$C$90="TS")*Headcount!$D$5:$D$90*Headcount!$F$5:$F$90*((Headcount!$I$5:$I$90=0)+(Headcount!$I$5:$I$90=1)*$C$16)*(AB$18&gt;=(Headcount!$E$5:$E$90+Headcount!$G$5:$G$90*$C$15)))/12*(1+Assumptions!$C$97)</f>
        <v>0</v>
      </c>
      <c r="AC174" s="9" t="n">
        <f aca="false">SUMPRODUCT((Headcount!$C$5:$C$90="TS")*Headcount!$D$5:$D$90*Headcount!$F$5:$F$90*((Headcount!$I$5:$I$90=0)+(Headcount!$I$5:$I$90=1)*$C$16)*(AC$18&gt;=(Headcount!$E$5:$E$90+Headcount!$G$5:$G$90*$C$15)))/12*(1+Assumptions!$C$97)</f>
        <v>0</v>
      </c>
      <c r="AD174" s="9" t="n">
        <f aca="false">SUMPRODUCT((Headcount!$C$5:$C$90="TS")*Headcount!$D$5:$D$90*Headcount!$F$5:$F$90*((Headcount!$I$5:$I$90=0)+(Headcount!$I$5:$I$90=1)*$C$16)*(AD$18&gt;=(Headcount!$E$5:$E$90+Headcount!$G$5:$G$90*$C$15)))/12*(1+Assumptions!$C$97)</f>
        <v>0</v>
      </c>
      <c r="AE174" s="9" t="n">
        <f aca="false">SUMPRODUCT((Headcount!$C$5:$C$90="TS")*Headcount!$D$5:$D$90*Headcount!$F$5:$F$90*((Headcount!$I$5:$I$90=0)+(Headcount!$I$5:$I$90=1)*$C$16)*(AE$18&gt;=(Headcount!$E$5:$E$90+Headcount!$G$5:$G$90*$C$15)))/12*(1+Assumptions!$C$97)</f>
        <v>0</v>
      </c>
      <c r="AF174" s="9" t="n">
        <f aca="false">SUMPRODUCT((Headcount!$C$5:$C$90="TS")*Headcount!$D$5:$D$90*Headcount!$F$5:$F$90*((Headcount!$I$5:$I$90=0)+(Headcount!$I$5:$I$90=1)*$C$16)*(AF$18&gt;=(Headcount!$E$5:$E$90+Headcount!$G$5:$G$90*$C$15)))/12*(1+Assumptions!$C$97)</f>
        <v>0</v>
      </c>
      <c r="AG174" s="9" t="n">
        <f aca="false">SUMPRODUCT((Headcount!$C$5:$C$90="TS")*Headcount!$D$5:$D$90*Headcount!$F$5:$F$90*((Headcount!$I$5:$I$90=0)+(Headcount!$I$5:$I$90=1)*$C$16)*(AG$18&gt;=(Headcount!$E$5:$E$90+Headcount!$G$5:$G$90*$C$15)))/12*(1+Assumptions!$C$97)</f>
        <v>0</v>
      </c>
      <c r="AH174" s="9" t="n">
        <f aca="false">SUMPRODUCT((Headcount!$C$5:$C$90="TS")*Headcount!$D$5:$D$90*Headcount!$F$5:$F$90*((Headcount!$I$5:$I$90=0)+(Headcount!$I$5:$I$90=1)*$C$16)*(AH$18&gt;=(Headcount!$E$5:$E$90+Headcount!$G$5:$G$90*$C$15)))/12*(1+Assumptions!$C$97)</f>
        <v>7116.66666666667</v>
      </c>
      <c r="AI174" s="9" t="n">
        <f aca="false">SUMPRODUCT((Headcount!$C$5:$C$90="TS")*Headcount!$D$5:$D$90*Headcount!$F$5:$F$90*((Headcount!$I$5:$I$90=0)+(Headcount!$I$5:$I$90=1)*$C$16)*(AI$18&gt;=(Headcount!$E$5:$E$90+Headcount!$G$5:$G$90*$C$15)))/12*(1+Assumptions!$C$97)</f>
        <v>7116.66666666667</v>
      </c>
      <c r="AJ174" s="9" t="n">
        <f aca="false">SUMPRODUCT((Headcount!$C$5:$C$90="TS")*Headcount!$D$5:$D$90*Headcount!$F$5:$F$90*((Headcount!$I$5:$I$90=0)+(Headcount!$I$5:$I$90=1)*$C$16)*(AJ$18&gt;=(Headcount!$E$5:$E$90+Headcount!$G$5:$G$90*$C$15)))/12*(1+Assumptions!$C$97)</f>
        <v>7116.66666666667</v>
      </c>
      <c r="AK174" s="9" t="n">
        <f aca="false">SUMPRODUCT((Headcount!$C$5:$C$90="TS")*Headcount!$D$5:$D$90*Headcount!$F$5:$F$90*((Headcount!$I$5:$I$90=0)+(Headcount!$I$5:$I$90=1)*$C$16)*(AK$18&gt;=(Headcount!$E$5:$E$90+Headcount!$G$5:$G$90*$C$15)))/12*(1+Assumptions!$C$97)</f>
        <v>7116.66666666667</v>
      </c>
      <c r="AL174" s="9" t="n">
        <f aca="false">SUMPRODUCT((Headcount!$C$5:$C$90="TS")*Headcount!$D$5:$D$90*Headcount!$F$5:$F$90*((Headcount!$I$5:$I$90=0)+(Headcount!$I$5:$I$90=1)*$C$16)*(AL$18&gt;=(Headcount!$E$5:$E$90+Headcount!$G$5:$G$90*$C$15)))/12*(1+Assumptions!$C$97)</f>
        <v>7116.66666666667</v>
      </c>
      <c r="AN174" s="11" t="n">
        <f aca="false">SUM(C174:N174)</f>
        <v>0</v>
      </c>
      <c r="AO174" s="11" t="n">
        <f aca="false">SUM(O174:Z174)</f>
        <v>0</v>
      </c>
      <c r="AP174" s="11" t="n">
        <f aca="false">SUM(AA174:AL174)</f>
        <v>35583.3333333333</v>
      </c>
    </row>
    <row r="175" customFormat="false" ht="15" hidden="false" customHeight="false" outlineLevel="0" collapsed="false">
      <c r="A175" s="0" t="s">
        <v>977</v>
      </c>
      <c r="B175" s="0" t="s">
        <v>230</v>
      </c>
      <c r="C175" s="9" t="n">
        <f aca="false">(((1-Assumptions!$C$24)*((Assumptions!$C$26*C41)+(Assumptions!$C$27*(C34+C37))))+((Assumptions!$C$24*Assumptions!$C$25)*C41))</f>
        <v>0</v>
      </c>
      <c r="D175" s="9" t="n">
        <f aca="false">(((1-Assumptions!$C$24)*((Assumptions!$C$26*D41)+(Assumptions!$C$27*(D34+D37))))+((Assumptions!$C$24*Assumptions!$C$25)*D41))</f>
        <v>0</v>
      </c>
      <c r="E175" s="9" t="n">
        <f aca="false">(((1-Assumptions!$C$24)*((Assumptions!$C$26*E41)+(Assumptions!$C$27*(E34+E37))))+((Assumptions!$C$24*Assumptions!$C$25)*E41))</f>
        <v>0</v>
      </c>
      <c r="F175" s="9" t="n">
        <f aca="false">(((1-Assumptions!$C$24)*((Assumptions!$C$26*F41)+(Assumptions!$C$27*(F34+F37))))+((Assumptions!$C$24*Assumptions!$C$25)*F41))</f>
        <v>0</v>
      </c>
      <c r="G175" s="9" t="n">
        <f aca="false">(((1-Assumptions!$C$24)*((Assumptions!$C$26*G41)+(Assumptions!$C$27*(G34+G37))))+((Assumptions!$C$24*Assumptions!$C$25)*G41))</f>
        <v>0</v>
      </c>
      <c r="H175" s="9" t="n">
        <f aca="false">(((1-Assumptions!$C$24)*((Assumptions!$C$26*H41)+(Assumptions!$C$27*(H34+H37))))+((Assumptions!$C$24*Assumptions!$C$25)*H41))</f>
        <v>0</v>
      </c>
      <c r="I175" s="9" t="n">
        <f aca="false">(((1-Assumptions!$C$24)*((Assumptions!$C$26*I41)+(Assumptions!$C$27*(I34+I37))))+((Assumptions!$C$24*Assumptions!$C$25)*I41))</f>
        <v>0</v>
      </c>
      <c r="J175" s="9" t="n">
        <f aca="false">(((1-Assumptions!$C$24)*((Assumptions!$C$26*J41)+(Assumptions!$C$27*(J34+J37))))+((Assumptions!$C$24*Assumptions!$C$25)*J41))</f>
        <v>0</v>
      </c>
      <c r="K175" s="9" t="n">
        <f aca="false">(((1-Assumptions!$C$24)*((Assumptions!$C$26*K41)+(Assumptions!$C$27*(K34+K37))))+((Assumptions!$C$24*Assumptions!$C$25)*K41))</f>
        <v>0</v>
      </c>
      <c r="L175" s="9" t="n">
        <f aca="false">(((1-Assumptions!$C$24)*((Assumptions!$C$26*L41)+(Assumptions!$C$27*(L34+L37))))+((Assumptions!$C$24*Assumptions!$C$25)*L41))</f>
        <v>0</v>
      </c>
      <c r="M175" s="9" t="n">
        <f aca="false">(((1-Assumptions!$C$24)*((Assumptions!$C$26*M41)+(Assumptions!$C$27*(M34+M37))))+((Assumptions!$C$24*Assumptions!$C$25)*M41))</f>
        <v>0</v>
      </c>
      <c r="N175" s="9" t="n">
        <f aca="false">(((1-Assumptions!$C$24)*((Assumptions!$C$26*N41)+(Assumptions!$C$27*(N34+N37))))+((Assumptions!$C$24*Assumptions!$C$25)*N41))</f>
        <v>0</v>
      </c>
      <c r="O175" s="9" t="n">
        <f aca="false">(((1-Assumptions!$C$24)*((Assumptions!$C$26*O41)+(Assumptions!$C$27*(O34+O37))))+((Assumptions!$C$24*Assumptions!$C$25)*O41))</f>
        <v>8.22126934003187</v>
      </c>
      <c r="P175" s="9" t="n">
        <f aca="false">(((1-Assumptions!$C$24)*((Assumptions!$C$26*P41)+(Assumptions!$C$27*(P34+P37))))+((Assumptions!$C$24*Assumptions!$C$25)*P41))</f>
        <v>19.8589995141529</v>
      </c>
      <c r="Q175" s="9" t="n">
        <f aca="false">(((1-Assumptions!$C$24)*((Assumptions!$C$26*Q41)+(Assumptions!$C$27*(Q34+Q37))))+((Assumptions!$C$24*Assumptions!$C$25)*Q41))</f>
        <v>31.0235076943004</v>
      </c>
      <c r="R175" s="9" t="n">
        <f aca="false">(((1-Assumptions!$C$24)*((Assumptions!$C$26*R41)+(Assumptions!$C$27*(R34+R37))))+((Assumptions!$C$24*Assumptions!$C$25)*R41))</f>
        <v>41.3959637065035</v>
      </c>
      <c r="S175" s="9" t="n">
        <f aca="false">(((1-Assumptions!$C$24)*((Assumptions!$C$26*S41)+(Assumptions!$C$27*(S34+S37))))+((Assumptions!$C$24*Assumptions!$C$25)*S41))</f>
        <v>51.4153607121058</v>
      </c>
      <c r="T175" s="9" t="n">
        <f aca="false">(((1-Assumptions!$C$24)*((Assumptions!$C$26*T41)+(Assumptions!$C$27*(T34+T37))))+((Assumptions!$C$24*Assumptions!$C$25)*T41))</f>
        <v>60.1632502159687</v>
      </c>
      <c r="U175" s="9" t="n">
        <f aca="false">(((1-Assumptions!$C$24)*((Assumptions!$C$26*U41)+(Assumptions!$C$27*(U34+U37))))+((Assumptions!$C$24*Assumptions!$C$25)*U41))</f>
        <v>68.1747726781819</v>
      </c>
      <c r="V175" s="9" t="n">
        <f aca="false">(((1-Assumptions!$C$24)*((Assumptions!$C$26*V41)+(Assumptions!$C$27*(V34+V37))))+((Assumptions!$C$24*Assumptions!$C$25)*V41))</f>
        <v>77.7826516805396</v>
      </c>
      <c r="W175" s="9" t="n">
        <f aca="false">(((1-Assumptions!$C$24)*((Assumptions!$C$26*W41)+(Assumptions!$C$27*(W34+W37))))+((Assumptions!$C$24*Assumptions!$C$25)*W41))</f>
        <v>95.1773515791283</v>
      </c>
      <c r="X175" s="9" t="n">
        <f aca="false">(((1-Assumptions!$C$24)*((Assumptions!$C$26*X41)+(Assumptions!$C$27*(X34+X37))))+((Assumptions!$C$24*Assumptions!$C$25)*X41))</f>
        <v>115.218086788626</v>
      </c>
      <c r="Y175" s="9" t="n">
        <f aca="false">(((1-Assumptions!$C$24)*((Assumptions!$C$26*Y41)+(Assumptions!$C$27*(Y34+Y37))))+((Assumptions!$C$24*Assumptions!$C$25)*Y41))</f>
        <v>129.756630141683</v>
      </c>
      <c r="Z175" s="9" t="n">
        <f aca="false">(((1-Assumptions!$C$24)*((Assumptions!$C$26*Z41)+(Assumptions!$C$27*(Z34+Z37))))+((Assumptions!$C$24*Assumptions!$C$25)*Z41))</f>
        <v>142.565412743172</v>
      </c>
      <c r="AA175" s="9" t="n">
        <f aca="false">(((1-Assumptions!$C$24)*((Assumptions!$C$26*AA41)+(Assumptions!$C$27*(AA34+AA37))))+((Assumptions!$C$24*Assumptions!$C$25)*AA41))</f>
        <v>157.016724877035</v>
      </c>
      <c r="AB175" s="9" t="n">
        <f aca="false">(((1-Assumptions!$C$24)*((Assumptions!$C$26*AB41)+(Assumptions!$C$27*(AB34+AB37))))+((Assumptions!$C$24*Assumptions!$C$25)*AB41))</f>
        <v>179.961233738098</v>
      </c>
      <c r="AC175" s="9" t="n">
        <f aca="false">(((1-Assumptions!$C$24)*((Assumptions!$C$26*AC41)+(Assumptions!$C$27*(AC34+AC37))))+((Assumptions!$C$24*Assumptions!$C$25)*AC41))</f>
        <v>200.173662389981</v>
      </c>
      <c r="AD175" s="9" t="n">
        <f aca="false">(((1-Assumptions!$C$24)*((Assumptions!$C$26*AD41)+(Assumptions!$C$27*(AD34+AD37))))+((Assumptions!$C$24*Assumptions!$C$25)*AD41))</f>
        <v>217.41415665412</v>
      </c>
      <c r="AE175" s="9" t="n">
        <f aca="false">(((1-Assumptions!$C$24)*((Assumptions!$C$26*AE41)+(Assumptions!$C$27*(AE34+AE37))))+((Assumptions!$C$24*Assumptions!$C$25)*AE41))</f>
        <v>232.892768802302</v>
      </c>
      <c r="AF175" s="9" t="n">
        <f aca="false">(((1-Assumptions!$C$24)*((Assumptions!$C$26*AF41)+(Assumptions!$C$27*(AF34+AF37))))+((Assumptions!$C$24*Assumptions!$C$25)*AF41))</f>
        <v>245.064082850536</v>
      </c>
      <c r="AG175" s="9" t="n">
        <f aca="false">(((1-Assumptions!$C$24)*((Assumptions!$C$26*AG41)+(Assumptions!$C$27*(AG34+AG37))))+((Assumptions!$C$24*Assumptions!$C$25)*AG41))</f>
        <v>255.24969588296</v>
      </c>
      <c r="AH175" s="9" t="n">
        <f aca="false">(((1-Assumptions!$C$24)*((Assumptions!$C$26*AH41)+(Assumptions!$C$27*(AH34+AH37))))+((Assumptions!$C$24*Assumptions!$C$25)*AH41))</f>
        <v>268.039008350426</v>
      </c>
      <c r="AI175" s="9" t="n">
        <f aca="false">(((1-Assumptions!$C$24)*((Assumptions!$C$26*AI41)+(Assumptions!$C$27*(AI34+AI37))))+((Assumptions!$C$24*Assumptions!$C$25)*AI41))</f>
        <v>294.870175862333</v>
      </c>
      <c r="AJ175" s="9" t="n">
        <f aca="false">(((1-Assumptions!$C$24)*((Assumptions!$C$26*AJ41)+(Assumptions!$C$27*(AJ34+AJ37))))+((Assumptions!$C$24*Assumptions!$C$25)*AJ41))</f>
        <v>325.37629518529</v>
      </c>
      <c r="AK175" s="9" t="n">
        <f aca="false">(((1-Assumptions!$C$24)*((Assumptions!$C$26*AK41)+(Assumptions!$C$27*(AK34+AK37))))+((Assumptions!$C$24*Assumptions!$C$25)*AK41))</f>
        <v>344.55583089195</v>
      </c>
      <c r="AL175" s="9" t="n">
        <f aca="false">(((1-Assumptions!$C$24)*((Assumptions!$C$26*AL41)+(Assumptions!$C$27*(AL34+AL37))))+((Assumptions!$C$24*Assumptions!$C$25)*AL41))</f>
        <v>360.110490142937</v>
      </c>
      <c r="AN175" s="11" t="n">
        <f aca="false">SUM(C175:N175)</f>
        <v>0</v>
      </c>
      <c r="AO175" s="11" t="n">
        <f aca="false">SUM(O175:Z175)</f>
        <v>840.753256794393</v>
      </c>
      <c r="AP175" s="11" t="n">
        <f aca="false">SUM(AA175:AL175)</f>
        <v>3080.72412562797</v>
      </c>
    </row>
    <row r="176" customFormat="false" ht="15" hidden="false" customHeight="false" outlineLevel="0" collapsed="false">
      <c r="A176" s="0" t="s">
        <v>978</v>
      </c>
      <c r="B176" s="0" t="s">
        <v>230</v>
      </c>
      <c r="C176" s="9" t="n">
        <f aca="false">((C143*(Assumptions!$C$26+Assumptions!$C$55))+(C142*(Assumptions!$C$27+Assumptions!$C$56)))</f>
        <v>0</v>
      </c>
      <c r="D176" s="9" t="n">
        <f aca="false">((D143*(Assumptions!$C$26+Assumptions!$C$55))+(D142*(Assumptions!$C$27+Assumptions!$C$56)))</f>
        <v>0</v>
      </c>
      <c r="E176" s="9" t="n">
        <f aca="false">((E143*(Assumptions!$C$26+Assumptions!$C$55))+(E142*(Assumptions!$C$27+Assumptions!$C$56)))</f>
        <v>0</v>
      </c>
      <c r="F176" s="9" t="n">
        <f aca="false">((F143*(Assumptions!$C$26+Assumptions!$C$55))+(F142*(Assumptions!$C$27+Assumptions!$C$56)))</f>
        <v>0</v>
      </c>
      <c r="G176" s="9" t="n">
        <f aca="false">((G143*(Assumptions!$C$26+Assumptions!$C$55))+(G142*(Assumptions!$C$27+Assumptions!$C$56)))</f>
        <v>0</v>
      </c>
      <c r="H176" s="9" t="n">
        <f aca="false">((H143*(Assumptions!$C$26+Assumptions!$C$55))+(H142*(Assumptions!$C$27+Assumptions!$C$56)))</f>
        <v>0</v>
      </c>
      <c r="I176" s="9" t="n">
        <f aca="false">((I143*(Assumptions!$C$26+Assumptions!$C$55))+(I142*(Assumptions!$C$27+Assumptions!$C$56)))</f>
        <v>0</v>
      </c>
      <c r="J176" s="9" t="n">
        <f aca="false">((J143*(Assumptions!$C$26+Assumptions!$C$55))+(J142*(Assumptions!$C$27+Assumptions!$C$56)))</f>
        <v>0</v>
      </c>
      <c r="K176" s="9" t="n">
        <f aca="false">((K143*(Assumptions!$C$26+Assumptions!$C$55))+(K142*(Assumptions!$C$27+Assumptions!$C$56)))</f>
        <v>0</v>
      </c>
      <c r="L176" s="9" t="n">
        <f aca="false">((L143*(Assumptions!$C$26+Assumptions!$C$55))+(L142*(Assumptions!$C$27+Assumptions!$C$56)))</f>
        <v>0</v>
      </c>
      <c r="M176" s="9" t="n">
        <f aca="false">((M143*(Assumptions!$C$26+Assumptions!$C$55))+(M142*(Assumptions!$C$27+Assumptions!$C$56)))</f>
        <v>0</v>
      </c>
      <c r="N176" s="9" t="n">
        <f aca="false">((N143*(Assumptions!$C$26+Assumptions!$C$55))+(N142*(Assumptions!$C$27+Assumptions!$C$56)))</f>
        <v>0</v>
      </c>
      <c r="O176" s="9" t="n">
        <f aca="false">((O143*(Assumptions!$C$26+Assumptions!$C$55))+(O142*(Assumptions!$C$27+Assumptions!$C$56)))</f>
        <v>0</v>
      </c>
      <c r="P176" s="9" t="n">
        <f aca="false">((P143*(Assumptions!$C$26+Assumptions!$C$55))+(P142*(Assumptions!$C$27+Assumptions!$C$56)))</f>
        <v>0</v>
      </c>
      <c r="Q176" s="9" t="n">
        <f aca="false">((Q143*(Assumptions!$C$26+Assumptions!$C$55))+(Q142*(Assumptions!$C$27+Assumptions!$C$56)))</f>
        <v>0</v>
      </c>
      <c r="R176" s="9" t="n">
        <f aca="false">((R143*(Assumptions!$C$26+Assumptions!$C$55))+(R142*(Assumptions!$C$27+Assumptions!$C$56)))</f>
        <v>0</v>
      </c>
      <c r="S176" s="9" t="n">
        <f aca="false">((S143*(Assumptions!$C$26+Assumptions!$C$55))+(S142*(Assumptions!$C$27+Assumptions!$C$56)))</f>
        <v>0</v>
      </c>
      <c r="T176" s="9" t="n">
        <f aca="false">((T143*(Assumptions!$C$26+Assumptions!$C$55))+(T142*(Assumptions!$C$27+Assumptions!$C$56)))</f>
        <v>0</v>
      </c>
      <c r="U176" s="9" t="n">
        <f aca="false">((U143*(Assumptions!$C$26+Assumptions!$C$55))+(U142*(Assumptions!$C$27+Assumptions!$C$56)))</f>
        <v>0</v>
      </c>
      <c r="V176" s="9" t="n">
        <f aca="false">((V143*(Assumptions!$C$26+Assumptions!$C$55))+(V142*(Assumptions!$C$27+Assumptions!$C$56)))</f>
        <v>0</v>
      </c>
      <c r="W176" s="9" t="n">
        <f aca="false">((W143*(Assumptions!$C$26+Assumptions!$C$55))+(W142*(Assumptions!$C$27+Assumptions!$C$56)))</f>
        <v>0</v>
      </c>
      <c r="X176" s="9" t="n">
        <f aca="false">((X143*(Assumptions!$C$26+Assumptions!$C$55))+(X142*(Assumptions!$C$27+Assumptions!$C$56)))</f>
        <v>0</v>
      </c>
      <c r="Y176" s="9" t="n">
        <f aca="false">((Y143*(Assumptions!$C$26+Assumptions!$C$55))+(Y142*(Assumptions!$C$27+Assumptions!$C$56)))</f>
        <v>0</v>
      </c>
      <c r="Z176" s="9" t="n">
        <f aca="false">((Z143*(Assumptions!$C$26+Assumptions!$C$55))+(Z142*(Assumptions!$C$27+Assumptions!$C$56)))</f>
        <v>0</v>
      </c>
      <c r="AA176" s="9" t="n">
        <f aca="false">((AA143*(Assumptions!$C$26+Assumptions!$C$55))+(AA142*(Assumptions!$C$27+Assumptions!$C$56)))</f>
        <v>0</v>
      </c>
      <c r="AB176" s="9" t="n">
        <f aca="false">((AB143*(Assumptions!$C$26+Assumptions!$C$55))+(AB142*(Assumptions!$C$27+Assumptions!$C$56)))</f>
        <v>0</v>
      </c>
      <c r="AC176" s="9" t="n">
        <f aca="false">((AC143*(Assumptions!$C$26+Assumptions!$C$55))+(AC142*(Assumptions!$C$27+Assumptions!$C$56)))</f>
        <v>0</v>
      </c>
      <c r="AD176" s="9" t="n">
        <f aca="false">((AD143*(Assumptions!$C$26+Assumptions!$C$55))+(AD142*(Assumptions!$C$27+Assumptions!$C$56)))</f>
        <v>0</v>
      </c>
      <c r="AE176" s="9" t="n">
        <f aca="false">((AE143*(Assumptions!$C$26+Assumptions!$C$55))+(AE142*(Assumptions!$C$27+Assumptions!$C$56)))</f>
        <v>0</v>
      </c>
      <c r="AF176" s="9" t="n">
        <f aca="false">((AF143*(Assumptions!$C$26+Assumptions!$C$55))+(AF142*(Assumptions!$C$27+Assumptions!$C$56)))</f>
        <v>0</v>
      </c>
      <c r="AG176" s="9" t="n">
        <f aca="false">((AG143*(Assumptions!$C$26+Assumptions!$C$55))+(AG142*(Assumptions!$C$27+Assumptions!$C$56)))</f>
        <v>643.2</v>
      </c>
      <c r="AH176" s="9" t="n">
        <f aca="false">((AH143*(Assumptions!$C$26+Assumptions!$C$55))+(AH142*(Assumptions!$C$27+Assumptions!$C$56)))</f>
        <v>858.672</v>
      </c>
      <c r="AI176" s="9" t="n">
        <f aca="false">((AI143*(Assumptions!$C$26+Assumptions!$C$55))+(AI142*(Assumptions!$C$27+Assumptions!$C$56)))</f>
        <v>1065.52512</v>
      </c>
      <c r="AJ176" s="9" t="n">
        <f aca="false">((AJ143*(Assumptions!$C$26+Assumptions!$C$55))+(AJ142*(Assumptions!$C$27+Assumptions!$C$56)))</f>
        <v>1264.1041152</v>
      </c>
      <c r="AK176" s="9" t="n">
        <f aca="false">((AK143*(Assumptions!$C$26+Assumptions!$C$55))+(AK142*(Assumptions!$C$27+Assumptions!$C$56)))</f>
        <v>1454.739950592</v>
      </c>
      <c r="AL176" s="9" t="n">
        <f aca="false">((AL143*(Assumptions!$C$26+Assumptions!$C$55))+(AL142*(Assumptions!$C$27+Assumptions!$C$56)))</f>
        <v>1637.75035256832</v>
      </c>
      <c r="AN176" s="11" t="n">
        <f aca="false">SUM(C176:N176)</f>
        <v>0</v>
      </c>
      <c r="AO176" s="11" t="n">
        <f aca="false">SUM(O176:Z176)</f>
        <v>0</v>
      </c>
      <c r="AP176" s="11" t="n">
        <f aca="false">SUM(AA176:AL176)</f>
        <v>6923.99153836032</v>
      </c>
    </row>
    <row r="177" customFormat="false" ht="15" hidden="false" customHeight="false" outlineLevel="0" collapsed="false">
      <c r="A177" s="0" t="s">
        <v>979</v>
      </c>
      <c r="B177" s="0" t="s">
        <v>230</v>
      </c>
      <c r="C177" s="9" t="n">
        <f aca="false">(((((((C158+C159)+C160)+C161)+C162)+C163)+C165)+C170)</f>
        <v>67.1082984</v>
      </c>
      <c r="D177" s="9" t="n">
        <f aca="false">(((((((D158+D159)+D160)+D161)+D162)+D163)+D165)+D170)</f>
        <v>119.24628408</v>
      </c>
      <c r="E177" s="9" t="n">
        <f aca="false">(((((((E158+E159)+E160)+E161)+E162)+E163)+E165)+E170)</f>
        <v>157.13872666272</v>
      </c>
      <c r="F177" s="9" t="n">
        <f aca="false">(((((((F158+F159)+F160)+F161)+F162)+F163)+F165)+F170)</f>
        <v>187.467960772224</v>
      </c>
      <c r="G177" s="9" t="n">
        <f aca="false">(((((((G158+G159)+G160)+G161)+G162)+G163)+G165)+G170)</f>
        <v>297.214873120236</v>
      </c>
      <c r="H177" s="9" t="n">
        <f aca="false">(((((((H158+H159)+H160)+H161)+H162)+H163)+H165)+H170)</f>
        <v>307.266708535075</v>
      </c>
      <c r="I177" s="9" t="n">
        <f aca="false">(((((((I158+I159)+I160)+I161)+I162)+I163)+I165)+I170)</f>
        <v>332.830063712377</v>
      </c>
      <c r="J177" s="9" t="n">
        <f aca="false">(((((((J158+J159)+J160)+J161)+J162)+J163)+J165)+J170)</f>
        <v>816.343924926783</v>
      </c>
      <c r="K177" s="9" t="n">
        <f aca="false">(((((((K158+K159)+K160)+K161)+K162)+K163)+K165)+K170)</f>
        <v>924.228694930789</v>
      </c>
      <c r="L177" s="9" t="n">
        <f aca="false">(((((((L158+L159)+L160)+L161)+L162)+L163)+L165)+L170)</f>
        <v>967.003512527865</v>
      </c>
      <c r="M177" s="9" t="n">
        <f aca="false">(((((((M158+M159)+M160)+M161)+M162)+M163)+M165)+M170)</f>
        <v>898.771831947364</v>
      </c>
      <c r="N177" s="9" t="n">
        <f aca="false">(((((((N158+N159)+N160)+N161)+N162)+N163)+N165)+N170)</f>
        <v>1065.75389955487</v>
      </c>
      <c r="O177" s="9" t="n">
        <f aca="false">(((((((O158+O159)+O160)+O161)+O162)+O163)+O165)+O170)</f>
        <v>1801.03530340202</v>
      </c>
      <c r="P177" s="9" t="n">
        <f aca="false">(((((((P158+P159)+P160)+P161)+P162)+P163)+P165)+P170)</f>
        <v>1917.58186962462</v>
      </c>
      <c r="Q177" s="9" t="n">
        <f aca="false">(((((((Q158+Q159)+Q160)+Q161)+Q162)+Q163)+Q165)+Q170)</f>
        <v>2960.33318287158</v>
      </c>
      <c r="R177" s="9" t="n">
        <f aca="false">(((((((R158+R159)+R160)+R161)+R162)+R163)+R165)+R170)</f>
        <v>3746.38925227151</v>
      </c>
      <c r="S177" s="9" t="n">
        <f aca="false">(((((((S158+S159)+S160)+S161)+S162)+S163)+S165)+S170)</f>
        <v>3936.46445269293</v>
      </c>
      <c r="T177" s="9" t="n">
        <f aca="false">(((((((T158+T159)+T160)+T161)+T162)+T163)+T165)+T170)</f>
        <v>4067.75725546303</v>
      </c>
      <c r="U177" s="9" t="n">
        <f aca="false">(((((((U158+U159)+U160)+U161)+U162)+U163)+U165)+U170)</f>
        <v>4779.60193844442</v>
      </c>
      <c r="V177" s="9" t="n">
        <f aca="false">(((((((V158+V159)+V160)+V161)+V162)+V163)+V165)+V170)</f>
        <v>5615.32825106892</v>
      </c>
      <c r="W177" s="9" t="n">
        <f aca="false">(((((((W158+W159)+W160)+W161)+W162)+W163)+W165)+W170)</f>
        <v>6384.25183250539</v>
      </c>
      <c r="X177" s="9" t="n">
        <f aca="false">(((((((X158+X159)+X160)+X161)+X162)+X163)+X165)+X170)</f>
        <v>6793.40427816699</v>
      </c>
      <c r="Y177" s="9" t="n">
        <f aca="false">(((((((Y158+Y159)+Y160)+Y161)+Y162)+Y163)+Y165)+Y170)</f>
        <v>7878.24666233818</v>
      </c>
      <c r="Z177" s="9" t="n">
        <f aca="false">(((((((Z158+Z159)+Z160)+Z161)+Z162)+Z163)+Z165)+Z170)</f>
        <v>7922.92978669905</v>
      </c>
      <c r="AA177" s="9" t="n">
        <f aca="false">(((((((AA158+AA159)+AA160)+AA161)+AA162)+AA163)+AA165)+AA170)</f>
        <v>8586.02246036579</v>
      </c>
      <c r="AB177" s="9" t="n">
        <f aca="false">(((((((AB158+AB159)+AB160)+AB161)+AB162)+AB163)+AB165)+AB170)</f>
        <v>11120.7030717519</v>
      </c>
      <c r="AC177" s="9" t="n">
        <f aca="false">(((((((AC158+AC159)+AC160)+AC161)+AC162)+AC163)+AC165)+AC170)</f>
        <v>11274.833912179</v>
      </c>
      <c r="AD177" s="9" t="n">
        <f aca="false">(((((((AD158+AD159)+AD160)+AD161)+AD162)+AD163)+AD165)+AD170)</f>
        <v>11911.139288632</v>
      </c>
      <c r="AE177" s="9" t="n">
        <f aca="false">(((((((AE158+AE159)+AE160)+AE161)+AE162)+AE163)+AE165)+AE170)</f>
        <v>14328.6121170545</v>
      </c>
      <c r="AF177" s="9" t="n">
        <f aca="false">(((((((AF158+AF159)+AF160)+AF161)+AF162)+AF163)+AF165)+AF170)</f>
        <v>15676.1149954033</v>
      </c>
      <c r="AG177" s="9" t="n">
        <f aca="false">(((((((AG158+AG159)+AG160)+AG161)+AG162)+AG163)+AG165)+AG170)</f>
        <v>16181.1091539567</v>
      </c>
      <c r="AH177" s="9" t="n">
        <f aca="false">(((((((AH158+AH159)+AH160)+AH161)+AH162)+AH163)+AH165)+AH170)</f>
        <v>19511.1705332133</v>
      </c>
      <c r="AI177" s="9" t="n">
        <f aca="false">(((((((AI158+AI159)+AI160)+AI161)+AI162)+AI163)+AI165)+AI170)</f>
        <v>20413.6332297693</v>
      </c>
      <c r="AJ177" s="9" t="n">
        <f aca="false">(((((((AJ158+AJ159)+AJ160)+AJ161)+AJ162)+AJ163)+AJ165)+AJ170)</f>
        <v>20779.6361481388</v>
      </c>
      <c r="AK177" s="9" t="n">
        <f aca="false">(((((((AK158+AK159)+AK160)+AK161)+AK162)+AK163)+AK165)+AK170)</f>
        <v>25186.4522980172</v>
      </c>
      <c r="AL177" s="9" t="n">
        <f aca="false">(((((((AL158+AL159)+AL160)+AL161)+AL162)+AL163)+AL165)+AL170)</f>
        <v>29103.8379438957</v>
      </c>
      <c r="AN177" s="11" t="n">
        <f aca="false">SUM(C177:N177)</f>
        <v>6140.3747791703</v>
      </c>
      <c r="AO177" s="11" t="n">
        <f aca="false">SUM(O177:Z177)</f>
        <v>57803.3240655486</v>
      </c>
      <c r="AP177" s="11" t="n">
        <f aca="false">SUM(AA177:AL177)</f>
        <v>204073.265152378</v>
      </c>
    </row>
    <row r="178" customFormat="false" ht="15" hidden="false" customHeight="false" outlineLevel="0" collapsed="false">
      <c r="A178" s="0" t="s">
        <v>980</v>
      </c>
      <c r="B178" s="0" t="s">
        <v>193</v>
      </c>
      <c r="C178" s="12" t="n">
        <f aca="false">((C29+C39)/C157)</f>
        <v>1</v>
      </c>
      <c r="D178" s="12" t="n">
        <f aca="false">((D29+D39)/D157)</f>
        <v>1</v>
      </c>
      <c r="E178" s="12" t="n">
        <f aca="false">((E29+E39)/E157)</f>
        <v>1</v>
      </c>
      <c r="F178" s="12" t="n">
        <f aca="false">((F29+F39)/F157)</f>
        <v>1</v>
      </c>
      <c r="G178" s="12" t="n">
        <f aca="false">((G29+G39)/G157)</f>
        <v>0.772132420682723</v>
      </c>
      <c r="H178" s="12" t="n">
        <f aca="false">((H29+H39)/H157)</f>
        <v>0.780481144106528</v>
      </c>
      <c r="I178" s="12" t="n">
        <f aca="false">((I29+I39)/I157)</f>
        <v>0.799191896630727</v>
      </c>
      <c r="J178" s="12" t="n">
        <f aca="false">((J29+J39)/J157)</f>
        <v>0.518532526474918</v>
      </c>
      <c r="K178" s="12" t="n">
        <f aca="false">((K29+K39)/K157)</f>
        <v>0.587407074545753</v>
      </c>
      <c r="L178" s="12" t="n">
        <f aca="false">((L29+L39)/L157)</f>
        <v>0.609552425383973</v>
      </c>
      <c r="M178" s="12" t="n">
        <f aca="false">((M29+M39)/M157)</f>
        <v>0.670522004654715</v>
      </c>
      <c r="N178" s="12" t="n">
        <f aca="false">((N29+N39)/N157)</f>
        <v>0.593912400494029</v>
      </c>
      <c r="O178" s="12" t="n">
        <f aca="false">((O29+O39)/O157)</f>
        <v>0.73642687804442</v>
      </c>
      <c r="P178" s="12" t="n">
        <f aca="false">((P29+P39)/P157)</f>
        <v>0.910228013971326</v>
      </c>
      <c r="Q178" s="12" t="n">
        <f aca="false">((Q29+Q39)/Q157)</f>
        <v>0.77354584722746</v>
      </c>
      <c r="R178" s="12" t="n">
        <f aca="false">((R29+R39)/R157)</f>
        <v>0.719784861701301</v>
      </c>
      <c r="S178" s="12" t="n">
        <f aca="false">((S29+S39)/S157)</f>
        <v>0.734621001516623</v>
      </c>
      <c r="T178" s="12" t="n">
        <f aca="false">((T29+T39)/T157)</f>
        <v>0.743731820647106</v>
      </c>
      <c r="U178" s="12" t="n">
        <f aca="false">((U29+U39)/U157)</f>
        <v>0.700659170921087</v>
      </c>
      <c r="V178" s="12" t="n">
        <f aca="false">((V29+V39)/V157)</f>
        <v>0.73098193760318</v>
      </c>
      <c r="W178" s="12" t="n">
        <f aca="false">((W29+W39)/W157)</f>
        <v>0.767291412823936</v>
      </c>
      <c r="X178" s="12" t="n">
        <f aca="false">((X29+X39)/X157)</f>
        <v>0.771228014520735</v>
      </c>
      <c r="Y178" s="12" t="n">
        <f aca="false">((Y29+Y39)/Y157)</f>
        <v>0.710195113393224</v>
      </c>
      <c r="Z178" s="12" t="n">
        <f aca="false">((Z29+Z39)/Z157)</f>
        <v>0.713479641934038</v>
      </c>
      <c r="AA178" s="12" t="n">
        <f aca="false">((AA29+AA39)/AA157)</f>
        <v>0.729182188339292</v>
      </c>
      <c r="AB178" s="12" t="n">
        <f aca="false">((AB29+AB39)/AB157)</f>
        <v>0.629617716959168</v>
      </c>
      <c r="AC178" s="12" t="n">
        <f aca="false">((AC29+AC39)/AC157)</f>
        <v>0.641698168284302</v>
      </c>
      <c r="AD178" s="12" t="n">
        <f aca="false">((AD29+AD39)/AD157)</f>
        <v>0.626161639777235</v>
      </c>
      <c r="AE178" s="12" t="n">
        <f aca="false">((AE29+AE39)/AE157)</f>
        <v>0.539454991949415</v>
      </c>
      <c r="AF178" s="12" t="n">
        <f aca="false">((AF29+AF39)/AF157)</f>
        <v>0.496605979094404</v>
      </c>
      <c r="AG178" s="12" t="n">
        <f aca="false">((AG29+AG39)/AG157)</f>
        <v>0.49061672041516</v>
      </c>
      <c r="AH178" s="12" t="n">
        <f aca="false">((AH29+AH39)/AH157)</f>
        <v>0.463842332989963</v>
      </c>
      <c r="AI178" s="12" t="n">
        <f aca="false">((AI29+AI39)/AI157)</f>
        <v>0.493875182588499</v>
      </c>
      <c r="AJ178" s="12" t="n">
        <f aca="false">((AJ29+AJ39)/AJ157)</f>
        <v>0.499911602681046</v>
      </c>
      <c r="AK178" s="12" t="n">
        <f aca="false">((AK29+AK39)/AK157)</f>
        <v>0.428484597629791</v>
      </c>
      <c r="AL178" s="12" t="n">
        <f aca="false">((AL29+AL39)/AL157)</f>
        <v>0.374948923214769</v>
      </c>
    </row>
    <row r="179" customFormat="false" ht="15" hidden="false" customHeight="false" outlineLevel="0" collapsed="false">
      <c r="A179" s="0" t="s">
        <v>981</v>
      </c>
      <c r="B179" s="0" t="s">
        <v>230</v>
      </c>
      <c r="C179" s="9" t="n">
        <f aca="false">(C175+(C177*C178))</f>
        <v>67.1082984</v>
      </c>
      <c r="D179" s="9" t="n">
        <f aca="false">(D175+(D177*D178))</f>
        <v>119.24628408</v>
      </c>
      <c r="E179" s="9" t="n">
        <f aca="false">(E175+(E177*E178))</f>
        <v>157.13872666272</v>
      </c>
      <c r="F179" s="9" t="n">
        <f aca="false">(F175+(F177*F178))</f>
        <v>187.467960772224</v>
      </c>
      <c r="G179" s="9" t="n">
        <f aca="false">(G175+(G177*G178))</f>
        <v>229.489239445236</v>
      </c>
      <c r="H179" s="9" t="n">
        <f aca="false">(H175+(H177*H178))</f>
        <v>239.815872223302</v>
      </c>
      <c r="I179" s="9" t="n">
        <f aca="false">(I175+(I177*I178))</f>
        <v>265.99508987402</v>
      </c>
      <c r="J179" s="9" t="n">
        <f aca="false">(J175+(J177*J178))</f>
        <v>423.300877864735</v>
      </c>
      <c r="K179" s="9" t="n">
        <f aca="false">(K175+(K177*K178))</f>
        <v>542.898473900534</v>
      </c>
      <c r="L179" s="9" t="n">
        <f aca="false">(L175+(L177*L178))</f>
        <v>589.439336416181</v>
      </c>
      <c r="M179" s="9" t="n">
        <f aca="false">(M175+(M177*M178))</f>
        <v>602.646290484537</v>
      </c>
      <c r="N179" s="9" t="n">
        <f aca="false">(N175+(N177*N178))</f>
        <v>632.964456820504</v>
      </c>
      <c r="O179" s="9" t="n">
        <f aca="false">(O175+(O177*O178))</f>
        <v>1334.55207507217</v>
      </c>
      <c r="P179" s="9" t="n">
        <f aca="false">(P175+(P177*P178))</f>
        <v>1765.29573633</v>
      </c>
      <c r="Q179" s="9" t="n">
        <f aca="false">(Q175+(Q177*Q178))</f>
        <v>2320.97694771426</v>
      </c>
      <c r="R179" s="9" t="n">
        <f aca="false">(R175+(R177*R178))</f>
        <v>2737.99023353199</v>
      </c>
      <c r="S179" s="9" t="n">
        <f aca="false">(S175+(S177*S178))</f>
        <v>2943.22481938397</v>
      </c>
      <c r="T179" s="9" t="n">
        <f aca="false">(T175+(T177*T178))</f>
        <v>3085.48375977196</v>
      </c>
      <c r="U179" s="9" t="n">
        <f aca="false">(U175+(U177*U178))</f>
        <v>3417.04670420147</v>
      </c>
      <c r="V179" s="9" t="n">
        <f aca="false">(V175+(V177*V178))</f>
        <v>4182.48617692478</v>
      </c>
      <c r="W179" s="9" t="n">
        <f aca="false">(W175+(W177*W178))</f>
        <v>4993.75895996599</v>
      </c>
      <c r="X179" s="9" t="n">
        <f aca="false">(X175+(X177*X178))</f>
        <v>5354.48178007602</v>
      </c>
      <c r="Y179" s="9" t="n">
        <f aca="false">(Y175+(Y177*Y178))</f>
        <v>5724.84891184074</v>
      </c>
      <c r="Z179" s="9" t="n">
        <f aca="false">(Z175+(Z177*Z178))</f>
        <v>5795.41452002573</v>
      </c>
      <c r="AA179" s="9" t="n">
        <f aca="false">(AA175+(AA177*AA178))</f>
        <v>6417.79137165687</v>
      </c>
      <c r="AB179" s="9" t="n">
        <f aca="false">(AB175+(AB177*AB178))</f>
        <v>7181.75291275535</v>
      </c>
      <c r="AC179" s="9" t="n">
        <f aca="false">(AC175+(AC177*AC178))</f>
        <v>7435.21393154497</v>
      </c>
      <c r="AD179" s="9" t="n">
        <f aca="false">(AD175+(AD177*AD178))</f>
        <v>7675.71266523901</v>
      </c>
      <c r="AE179" s="9" t="n">
        <f aca="false">(AE175+(AE177*AE178))</f>
        <v>7962.53410305424</v>
      </c>
      <c r="AF179" s="9" t="n">
        <f aca="false">(AF175+(AF177*AF178))</f>
        <v>8029.91651853927</v>
      </c>
      <c r="AG179" s="9" t="n">
        <f aca="false">(AG175+(AG177*AG178))</f>
        <v>8193.97240167692</v>
      </c>
      <c r="AH179" s="9" t="n">
        <f aca="false">(AH175+(AH177*AH178))</f>
        <v>9318.1458678411</v>
      </c>
      <c r="AI179" s="9" t="n">
        <f aca="false">(AI175+(AI177*AI178))</f>
        <v>10376.6570145093</v>
      </c>
      <c r="AJ179" s="9" t="n">
        <f aca="false">(AJ175+(AJ177*AJ178))</f>
        <v>10713.3575051304</v>
      </c>
      <c r="AK179" s="9" t="n">
        <f aca="false">(AK175+(AK177*AK178))</f>
        <v>11136.5627095298</v>
      </c>
      <c r="AL179" s="9" t="n">
        <f aca="false">(AL175+(AL177*AL178))</f>
        <v>11272.5631886238</v>
      </c>
      <c r="AN179" s="11" t="n">
        <f aca="false">SUM(C179:N179)</f>
        <v>4057.51090694399</v>
      </c>
      <c r="AO179" s="11" t="n">
        <f aca="false">SUM(O179:Z179)</f>
        <v>43655.5606248391</v>
      </c>
      <c r="AP179" s="11" t="n">
        <f aca="false">SUM(AA179:AL179)</f>
        <v>105714.180190101</v>
      </c>
    </row>
    <row r="180" customFormat="false" ht="15" hidden="false" customHeight="false" outlineLevel="0" collapsed="false">
      <c r="A180" s="0" t="s">
        <v>982</v>
      </c>
      <c r="B180" s="0" t="s">
        <v>230</v>
      </c>
      <c r="C180" s="9" t="n">
        <f aca="false">(((C177*(1-C178))+C168)+C173)</f>
        <v>0</v>
      </c>
      <c r="D180" s="9" t="n">
        <f aca="false">(((D177*(1-D178))+D168)+D173)</f>
        <v>0</v>
      </c>
      <c r="E180" s="9" t="n">
        <f aca="false">(((E177*(1-E178))+E168)+E173)</f>
        <v>0</v>
      </c>
      <c r="F180" s="9" t="n">
        <f aca="false">(((F177*(1-F178))+F168)+F173)</f>
        <v>0</v>
      </c>
      <c r="G180" s="9" t="n">
        <f aca="false">(((G177*(1-G178))+G168)+G173)</f>
        <v>372.725633675</v>
      </c>
      <c r="H180" s="9" t="n">
        <f aca="false">(((H177*(1-H178))+H168)+H173)</f>
        <v>372.450836311773</v>
      </c>
      <c r="I180" s="9" t="n">
        <f aca="false">(((I177*(1-I178))+I168)+I173)</f>
        <v>371.834973838357</v>
      </c>
      <c r="J180" s="9" t="n">
        <f aca="false">(((J177*(1-J178))+J168)+J173)</f>
        <v>1003.04304706205</v>
      </c>
      <c r="K180" s="9" t="n">
        <f aca="false">(((K177*(1-K178))+K168)+K173)</f>
        <v>991.330221030255</v>
      </c>
      <c r="L180" s="9" t="n">
        <f aca="false">(((L177*(1-L178))+L168)+L173)</f>
        <v>987.564176111684</v>
      </c>
      <c r="M180" s="9" t="n">
        <f aca="false">(((M177*(1-M178))+M168)+M173)</f>
        <v>601.125541462827</v>
      </c>
      <c r="N180" s="9" t="n">
        <f aca="false">(((N177*(1-N178))+N168)+N173)</f>
        <v>920.789442734364</v>
      </c>
      <c r="O180" s="9" t="n">
        <f aca="false">(((O177*(1-O178))+O168)+O173)</f>
        <v>1267.70449766989</v>
      </c>
      <c r="P180" s="9" t="n">
        <f aca="false">(((P177*(1-P178))+P168)+P173)</f>
        <v>660.14513280878</v>
      </c>
      <c r="Q180" s="9" t="n">
        <f aca="false">(((Q177*(1-Q178))+Q168)+Q173)</f>
        <v>1341.37974285162</v>
      </c>
      <c r="R180" s="9" t="n">
        <f aca="false">(((R177*(1-R178))+R168)+R173)</f>
        <v>2330.79498244602</v>
      </c>
      <c r="S180" s="9" t="n">
        <f aca="false">(((S177*(1-S178))+S168)+S173)</f>
        <v>2325.65499402106</v>
      </c>
      <c r="T180" s="9" t="n">
        <f aca="false">(((T177*(1-T178))+T168)+T173)</f>
        <v>12490.1034125737</v>
      </c>
      <c r="U180" s="9" t="n">
        <f aca="false">(((U177*(1-U178))+U168)+U173)</f>
        <v>13488.3966735878</v>
      </c>
      <c r="V180" s="9" t="n">
        <f aca="false">(((V177*(1-V178))+V168)+V173)</f>
        <v>13720.7913924914</v>
      </c>
      <c r="W180" s="9" t="n">
        <f aca="false">(((W177*(1-W178))+W168)+W173)</f>
        <v>13695.8368907852</v>
      </c>
      <c r="X180" s="9" t="n">
        <f aca="false">(((X177*(1-X178))+X168)+X173)</f>
        <v>14069.3072515463</v>
      </c>
      <c r="Y180" s="9" t="n">
        <f aca="false">(((Y177*(1-Y178))+Y168)+Y173)</f>
        <v>15393.0710473058</v>
      </c>
      <c r="Z180" s="9" t="n">
        <f aca="false">(((Z177*(1-Z178))+Z168)+Z173)</f>
        <v>15358.0373460832</v>
      </c>
      <c r="AA180" s="9" t="n">
        <f aca="false">(((AA177*(1-AA178))+AA168)+AA173)</f>
        <v>15718.2044802526</v>
      </c>
      <c r="AB180" s="9" t="n">
        <f aca="false">(((AB177*(1-AB178))+AB168)+AB173)</f>
        <v>18564.1180594013</v>
      </c>
      <c r="AC180" s="9" t="n">
        <f aca="false">(((AC177*(1-AC178))+AC168)+AC173)</f>
        <v>18463.0403096907</v>
      </c>
      <c r="AD180" s="9" t="n">
        <f aca="false">(((AD177*(1-AD178))+AD168)+AD173)</f>
        <v>19486.0874467138</v>
      </c>
      <c r="AE180" s="9" t="n">
        <f aca="false">(((AE177*(1-AE178))+AE168)+AE173)</f>
        <v>22989.4674494692</v>
      </c>
      <c r="AF180" s="9" t="n">
        <f aca="false">(((AF177*(1-AF178))+AF168)+AF173)</f>
        <v>34753.4258930479</v>
      </c>
      <c r="AG180" s="9" t="n">
        <f aca="false">(((AG177*(1-AG178))+AG168)+AG173)</f>
        <v>35409.5497814961</v>
      </c>
      <c r="AH180" s="9" t="n">
        <f aca="false">(((AH177*(1-AH178))+AH168)+AH173)</f>
        <v>39119.677007056</v>
      </c>
      <c r="AI180" s="9" t="n">
        <f aca="false">(((AI177*(1-AI178))+AI168)+AI173)</f>
        <v>38990.4597244557</v>
      </c>
      <c r="AJ180" s="9" t="n">
        <f aca="false">(((AJ177*(1-AJ178))+AJ168)+AJ173)</f>
        <v>39355.2682715271</v>
      </c>
      <c r="AK180" s="9" t="n">
        <f aca="false">(((AK177*(1-AK178))+AK168)+AK173)</f>
        <v>45543.6887527127</v>
      </c>
      <c r="AL180" s="9" t="n">
        <f aca="false">(((AL177*(1-AL178))+AL168)+AL173)</f>
        <v>49626.3037787482</v>
      </c>
      <c r="AN180" s="11" t="n">
        <f aca="false">SUM(C180:N180)</f>
        <v>5620.86387222631</v>
      </c>
      <c r="AO180" s="11" t="n">
        <f aca="false">SUM(O180:Z180)</f>
        <v>106141.223364171</v>
      </c>
      <c r="AP180" s="11" t="n">
        <f aca="false">SUM(AA180:AL180)</f>
        <v>378019.290954571</v>
      </c>
    </row>
    <row r="181" customFormat="false" ht="15" hidden="false" customHeight="false" outlineLevel="0" collapsed="false">
      <c r="A181" s="0" t="s">
        <v>983</v>
      </c>
      <c r="B181" s="0" t="s">
        <v>230</v>
      </c>
      <c r="C181" s="9" t="n">
        <f aca="false">((C164+C166)+C171)</f>
        <v>6000</v>
      </c>
      <c r="D181" s="9" t="n">
        <f aca="false">((D164+D166)+D171)</f>
        <v>6000</v>
      </c>
      <c r="E181" s="9" t="n">
        <f aca="false">((E164+E166)+E171)</f>
        <v>6000</v>
      </c>
      <c r="F181" s="9" t="n">
        <f aca="false">((F164+F166)+F171)</f>
        <v>6000</v>
      </c>
      <c r="G181" s="9" t="n">
        <f aca="false">((G164+G166)+G171)</f>
        <v>6000</v>
      </c>
      <c r="H181" s="9" t="n">
        <f aca="false">((H164+H166)+H171)</f>
        <v>6000</v>
      </c>
      <c r="I181" s="9" t="n">
        <f aca="false">((I164+I166)+I171)</f>
        <v>6000</v>
      </c>
      <c r="J181" s="9" t="n">
        <f aca="false">((J164+J166)+J171)</f>
        <v>6000</v>
      </c>
      <c r="K181" s="9" t="n">
        <f aca="false">((K164+K166)+K171)</f>
        <v>12303.3333333333</v>
      </c>
      <c r="L181" s="9" t="n">
        <f aca="false">((L164+L166)+L171)</f>
        <v>12303.3333333333</v>
      </c>
      <c r="M181" s="9" t="n">
        <f aca="false">((M164+M166)+M171)</f>
        <v>12303.3333333333</v>
      </c>
      <c r="N181" s="9" t="n">
        <f aca="false">((N164+N166)+N171)</f>
        <v>12303.3333333333</v>
      </c>
      <c r="O181" s="9" t="n">
        <f aca="false">((O164+O166)+O171)</f>
        <v>18303.3333333333</v>
      </c>
      <c r="P181" s="9" t="n">
        <f aca="false">((P164+P166)+P171)</f>
        <v>18303.3333333333</v>
      </c>
      <c r="Q181" s="9" t="n">
        <f aca="false">((Q164+Q166)+Q171)</f>
        <v>18303.3333333333</v>
      </c>
      <c r="R181" s="9" t="n">
        <f aca="false">((R164+R166)+R171)</f>
        <v>18303.3333333333</v>
      </c>
      <c r="S181" s="9" t="n">
        <f aca="false">((S164+S166)+S171)</f>
        <v>18303.3333333333</v>
      </c>
      <c r="T181" s="9" t="n">
        <f aca="false">((T164+T166)+T171)</f>
        <v>26945</v>
      </c>
      <c r="U181" s="9" t="n">
        <f aca="false">((U164+U166)+U171)</f>
        <v>26945</v>
      </c>
      <c r="V181" s="9" t="n">
        <f aca="false">((V164+V166)+V171)</f>
        <v>26945</v>
      </c>
      <c r="W181" s="9" t="n">
        <f aca="false">((W164+W166)+W171)</f>
        <v>26945</v>
      </c>
      <c r="X181" s="9" t="n">
        <f aca="false">((X164+X166)+X171)</f>
        <v>26945</v>
      </c>
      <c r="Y181" s="9" t="n">
        <f aca="false">((Y164+Y166)+Y171)</f>
        <v>26945</v>
      </c>
      <c r="Z181" s="9" t="n">
        <f aca="false">((Z164+Z166)+Z171)</f>
        <v>26945</v>
      </c>
      <c r="AA181" s="9" t="n">
        <f aca="false">((AA164+AA166)+AA171)</f>
        <v>35945</v>
      </c>
      <c r="AB181" s="9" t="n">
        <f aca="false">((AB164+AB166)+AB171)</f>
        <v>42248.3333333333</v>
      </c>
      <c r="AC181" s="9" t="n">
        <f aca="false">((AC164+AC166)+AC171)</f>
        <v>42248.3333333333</v>
      </c>
      <c r="AD181" s="9" t="n">
        <f aca="false">((AD164+AD166)+AD171)</f>
        <v>42248.3333333333</v>
      </c>
      <c r="AE181" s="9" t="n">
        <f aca="false">((AE164+AE166)+AE171)</f>
        <v>42248.3333333333</v>
      </c>
      <c r="AF181" s="9" t="n">
        <f aca="false">((AF164+AF166)+AF171)</f>
        <v>42248.3333333333</v>
      </c>
      <c r="AG181" s="9" t="n">
        <f aca="false">((AG164+AG166)+AG171)</f>
        <v>42248.3333333333</v>
      </c>
      <c r="AH181" s="9" t="n">
        <f aca="false">((AH164+AH166)+AH171)</f>
        <v>42248.3333333333</v>
      </c>
      <c r="AI181" s="9" t="n">
        <f aca="false">((AI164+AI166)+AI171)</f>
        <v>48551.6666666667</v>
      </c>
      <c r="AJ181" s="9" t="n">
        <f aca="false">((AJ164+AJ166)+AJ171)</f>
        <v>48551.6666666667</v>
      </c>
      <c r="AK181" s="9" t="n">
        <f aca="false">((AK164+AK166)+AK171)</f>
        <v>48551.6666666667</v>
      </c>
      <c r="AL181" s="9" t="n">
        <f aca="false">((AL164+AL166)+AL171)</f>
        <v>48551.6666666667</v>
      </c>
      <c r="AN181" s="11" t="n">
        <f aca="false">SUM(C181:N181)</f>
        <v>97213.3333333333</v>
      </c>
      <c r="AO181" s="11" t="n">
        <f aca="false">SUM(O181:Z181)</f>
        <v>280131.666666667</v>
      </c>
      <c r="AP181" s="11" t="n">
        <f aca="false">SUM(AA181:AL181)</f>
        <v>525890</v>
      </c>
    </row>
    <row r="182" customFormat="false" ht="15" hidden="false" customHeight="false" outlineLevel="0" collapsed="false">
      <c r="A182" s="0" t="s">
        <v>984</v>
      </c>
      <c r="B182" s="0" t="s">
        <v>230</v>
      </c>
      <c r="C182" s="9" t="n">
        <f aca="false">C172</f>
        <v>0</v>
      </c>
      <c r="D182" s="9" t="n">
        <f aca="false">D172</f>
        <v>0</v>
      </c>
      <c r="E182" s="9" t="n">
        <f aca="false">E172</f>
        <v>0</v>
      </c>
      <c r="F182" s="9" t="n">
        <f aca="false">F172</f>
        <v>0</v>
      </c>
      <c r="G182" s="9" t="n">
        <f aca="false">G172</f>
        <v>10166.6666666667</v>
      </c>
      <c r="H182" s="9" t="n">
        <f aca="false">H172</f>
        <v>10166.6666666667</v>
      </c>
      <c r="I182" s="9" t="n">
        <f aca="false">I172</f>
        <v>10166.6666666667</v>
      </c>
      <c r="J182" s="9" t="n">
        <f aca="false">J172</f>
        <v>10166.6666666667</v>
      </c>
      <c r="K182" s="9" t="n">
        <f aca="false">K172</f>
        <v>10166.6666666667</v>
      </c>
      <c r="L182" s="9" t="n">
        <f aca="false">L172</f>
        <v>10166.6666666667</v>
      </c>
      <c r="M182" s="9" t="n">
        <f aca="false">M172</f>
        <v>20333.3333333333</v>
      </c>
      <c r="N182" s="9" t="n">
        <f aca="false">N172</f>
        <v>20333.3333333333</v>
      </c>
      <c r="O182" s="9" t="n">
        <f aca="false">O172</f>
        <v>20333.3333333333</v>
      </c>
      <c r="P182" s="9" t="n">
        <f aca="false">P172</f>
        <v>20333.3333333333</v>
      </c>
      <c r="Q182" s="9" t="n">
        <f aca="false">Q172</f>
        <v>30500</v>
      </c>
      <c r="R182" s="9" t="n">
        <f aca="false">R172</f>
        <v>30500</v>
      </c>
      <c r="S182" s="9" t="n">
        <f aca="false">S172</f>
        <v>30500</v>
      </c>
      <c r="T182" s="9" t="n">
        <f aca="false">T172</f>
        <v>30500</v>
      </c>
      <c r="U182" s="9" t="n">
        <f aca="false">U172</f>
        <v>40666.6666666667</v>
      </c>
      <c r="V182" s="9" t="n">
        <f aca="false">V172</f>
        <v>40666.6666666667</v>
      </c>
      <c r="W182" s="9" t="n">
        <f aca="false">W172</f>
        <v>40666.6666666667</v>
      </c>
      <c r="X182" s="9" t="n">
        <f aca="false">X172</f>
        <v>50833.3333333333</v>
      </c>
      <c r="Y182" s="9" t="n">
        <f aca="false">Y172</f>
        <v>50833.3333333333</v>
      </c>
      <c r="Z182" s="9" t="n">
        <f aca="false">Z172</f>
        <v>50833.3333333333</v>
      </c>
      <c r="AA182" s="9" t="n">
        <f aca="false">AA172</f>
        <v>61000</v>
      </c>
      <c r="AB182" s="9" t="n">
        <f aca="false">AB172</f>
        <v>61000</v>
      </c>
      <c r="AC182" s="9" t="n">
        <f aca="false">AC172</f>
        <v>61000</v>
      </c>
      <c r="AD182" s="9" t="n">
        <f aca="false">AD172</f>
        <v>71166.6666666667</v>
      </c>
      <c r="AE182" s="9" t="n">
        <f aca="false">AE172</f>
        <v>71166.6666666667</v>
      </c>
      <c r="AF182" s="9" t="n">
        <f aca="false">AF172</f>
        <v>71166.6666666667</v>
      </c>
      <c r="AG182" s="9" t="n">
        <f aca="false">AG172</f>
        <v>81333.3333333333</v>
      </c>
      <c r="AH182" s="9" t="n">
        <f aca="false">AH172</f>
        <v>81333.3333333333</v>
      </c>
      <c r="AI182" s="9" t="n">
        <f aca="false">AI172</f>
        <v>81333.3333333333</v>
      </c>
      <c r="AJ182" s="9" t="n">
        <f aca="false">AJ172</f>
        <v>81333.3333333333</v>
      </c>
      <c r="AK182" s="9" t="n">
        <f aca="false">AK172</f>
        <v>81333.3333333333</v>
      </c>
      <c r="AL182" s="9" t="n">
        <f aca="false">AL172</f>
        <v>81333.3333333333</v>
      </c>
      <c r="AN182" s="11" t="n">
        <f aca="false">SUM(C182:N182)</f>
        <v>101666.666666667</v>
      </c>
      <c r="AO182" s="11" t="n">
        <f aca="false">SUM(O182:Z182)</f>
        <v>437166.666666667</v>
      </c>
      <c r="AP182" s="11" t="n">
        <f aca="false">SUM(AA182:AL182)</f>
        <v>884500</v>
      </c>
    </row>
    <row r="183" customFormat="false" ht="15" hidden="false" customHeight="false" outlineLevel="0" collapsed="false">
      <c r="A183" s="0" t="s">
        <v>985</v>
      </c>
      <c r="B183" s="0" t="s">
        <v>230</v>
      </c>
      <c r="C183" s="9" t="n">
        <f aca="false">(C176+C174)</f>
        <v>0</v>
      </c>
      <c r="D183" s="9" t="n">
        <f aca="false">(D176+D174)</f>
        <v>0</v>
      </c>
      <c r="E183" s="9" t="n">
        <f aca="false">(E176+E174)</f>
        <v>0</v>
      </c>
      <c r="F183" s="9" t="n">
        <f aca="false">(F176+F174)</f>
        <v>0</v>
      </c>
      <c r="G183" s="9" t="n">
        <f aca="false">(G176+G174)</f>
        <v>0</v>
      </c>
      <c r="H183" s="9" t="n">
        <f aca="false">(H176+H174)</f>
        <v>0</v>
      </c>
      <c r="I183" s="9" t="n">
        <f aca="false">(I176+I174)</f>
        <v>0</v>
      </c>
      <c r="J183" s="9" t="n">
        <f aca="false">(J176+J174)</f>
        <v>0</v>
      </c>
      <c r="K183" s="9" t="n">
        <f aca="false">(K176+K174)</f>
        <v>0</v>
      </c>
      <c r="L183" s="9" t="n">
        <f aca="false">(L176+L174)</f>
        <v>0</v>
      </c>
      <c r="M183" s="9" t="n">
        <f aca="false">(M176+M174)</f>
        <v>0</v>
      </c>
      <c r="N183" s="9" t="n">
        <f aca="false">(N176+N174)</f>
        <v>0</v>
      </c>
      <c r="O183" s="9" t="n">
        <f aca="false">(O176+O174)</f>
        <v>0</v>
      </c>
      <c r="P183" s="9" t="n">
        <f aca="false">(P176+P174)</f>
        <v>0</v>
      </c>
      <c r="Q183" s="9" t="n">
        <f aca="false">(Q176+Q174)</f>
        <v>0</v>
      </c>
      <c r="R183" s="9" t="n">
        <f aca="false">(R176+R174)</f>
        <v>0</v>
      </c>
      <c r="S183" s="9" t="n">
        <f aca="false">(S176+S174)</f>
        <v>0</v>
      </c>
      <c r="T183" s="9" t="n">
        <f aca="false">(T176+T174)</f>
        <v>0</v>
      </c>
      <c r="U183" s="9" t="n">
        <f aca="false">(U176+U174)</f>
        <v>0</v>
      </c>
      <c r="V183" s="9" t="n">
        <f aca="false">(V176+V174)</f>
        <v>0</v>
      </c>
      <c r="W183" s="9" t="n">
        <f aca="false">(W176+W174)</f>
        <v>0</v>
      </c>
      <c r="X183" s="9" t="n">
        <f aca="false">(X176+X174)</f>
        <v>0</v>
      </c>
      <c r="Y183" s="9" t="n">
        <f aca="false">(Y176+Y174)</f>
        <v>0</v>
      </c>
      <c r="Z183" s="9" t="n">
        <f aca="false">(Z176+Z174)</f>
        <v>0</v>
      </c>
      <c r="AA183" s="9" t="n">
        <f aca="false">(AA176+AA174)</f>
        <v>0</v>
      </c>
      <c r="AB183" s="9" t="n">
        <f aca="false">(AB176+AB174)</f>
        <v>0</v>
      </c>
      <c r="AC183" s="9" t="n">
        <f aca="false">(AC176+AC174)</f>
        <v>0</v>
      </c>
      <c r="AD183" s="9" t="n">
        <f aca="false">(AD176+AD174)</f>
        <v>0</v>
      </c>
      <c r="AE183" s="9" t="n">
        <f aca="false">(AE176+AE174)</f>
        <v>0</v>
      </c>
      <c r="AF183" s="9" t="n">
        <f aca="false">(AF176+AF174)</f>
        <v>0</v>
      </c>
      <c r="AG183" s="9" t="n">
        <f aca="false">(AG176+AG174)</f>
        <v>643.2</v>
      </c>
      <c r="AH183" s="9" t="n">
        <f aca="false">(AH176+AH174)</f>
        <v>7975.33866666667</v>
      </c>
      <c r="AI183" s="9" t="n">
        <f aca="false">(AI176+AI174)</f>
        <v>8182.19178666667</v>
      </c>
      <c r="AJ183" s="9" t="n">
        <f aca="false">(AJ176+AJ174)</f>
        <v>8380.77078186667</v>
      </c>
      <c r="AK183" s="9" t="n">
        <f aca="false">(AK176+AK174)</f>
        <v>8571.40661725867</v>
      </c>
      <c r="AL183" s="9" t="n">
        <f aca="false">(AL176+AL174)</f>
        <v>8754.41701923499</v>
      </c>
      <c r="AN183" s="11" t="n">
        <f aca="false">SUM(C183:N183)</f>
        <v>0</v>
      </c>
      <c r="AO183" s="11" t="n">
        <f aca="false">SUM(O183:Z183)</f>
        <v>0</v>
      </c>
      <c r="AP183" s="11" t="n">
        <f aca="false">SUM(AA183:AL183)</f>
        <v>42507.3248716937</v>
      </c>
    </row>
    <row r="184" customFormat="false" ht="15" hidden="false" customHeight="false" outlineLevel="0" collapsed="false">
      <c r="A184" s="10" t="s">
        <v>986</v>
      </c>
      <c r="B184" s="20" t="s">
        <v>230</v>
      </c>
      <c r="C184" s="11" t="n">
        <f aca="false">((((C179+C180)+C181)+C182)+C183)</f>
        <v>6067.1082984</v>
      </c>
      <c r="D184" s="11" t="n">
        <f aca="false">((((D179+D180)+D181)+D182)+D183)</f>
        <v>6119.24628408</v>
      </c>
      <c r="E184" s="11" t="n">
        <f aca="false">((((E179+E180)+E181)+E182)+E183)</f>
        <v>6157.13872666272</v>
      </c>
      <c r="F184" s="11" t="n">
        <f aca="false">((((F179+F180)+F181)+F182)+F183)</f>
        <v>6187.46796077222</v>
      </c>
      <c r="G184" s="11" t="n">
        <f aca="false">((((G179+G180)+G181)+G182)+G183)</f>
        <v>16768.8815397869</v>
      </c>
      <c r="H184" s="11" t="n">
        <f aca="false">((((H179+H180)+H181)+H182)+H183)</f>
        <v>16778.9333752017</v>
      </c>
      <c r="I184" s="11" t="n">
        <f aca="false">((((I179+I180)+I181)+I182)+I183)</f>
        <v>16804.496730379</v>
      </c>
      <c r="J184" s="11" t="n">
        <f aca="false">((((J179+J180)+J181)+J182)+J183)</f>
        <v>17593.0105915935</v>
      </c>
      <c r="K184" s="11" t="n">
        <f aca="false">((((K179+K180)+K181)+K182)+K183)</f>
        <v>24004.2286949308</v>
      </c>
      <c r="L184" s="11" t="n">
        <f aca="false">((((L179+L180)+L181)+L182)+L183)</f>
        <v>24047.0035125279</v>
      </c>
      <c r="M184" s="11" t="n">
        <f aca="false">((((M179+M180)+M181)+M182)+M183)</f>
        <v>33840.438498614</v>
      </c>
      <c r="N184" s="11" t="n">
        <f aca="false">((((N179+N180)+N181)+N182)+N183)</f>
        <v>34190.4205662215</v>
      </c>
      <c r="O184" s="11" t="n">
        <f aca="false">((((O179+O180)+O181)+O182)+O183)</f>
        <v>41238.9232394087</v>
      </c>
      <c r="P184" s="11" t="n">
        <f aca="false">((((P179+P180)+P181)+P182)+P183)</f>
        <v>41062.1075358055</v>
      </c>
      <c r="Q184" s="11" t="n">
        <f aca="false">((((Q179+Q180)+Q181)+Q182)+Q183)</f>
        <v>52465.6900238992</v>
      </c>
      <c r="R184" s="11" t="n">
        <f aca="false">((((R179+R180)+R181)+R182)+R183)</f>
        <v>53872.1185493113</v>
      </c>
      <c r="S184" s="11" t="n">
        <f aca="false">((((S179+S180)+S181)+S182)+S183)</f>
        <v>54072.2131467384</v>
      </c>
      <c r="T184" s="11" t="n">
        <f aca="false">((((T179+T180)+T181)+T182)+T183)</f>
        <v>73020.5871723457</v>
      </c>
      <c r="U184" s="11" t="n">
        <f aca="false">((((U179+U180)+U181)+U182)+U183)</f>
        <v>84517.1100444559</v>
      </c>
      <c r="V184" s="11" t="n">
        <f aca="false">((((V179+V180)+V181)+V182)+V183)</f>
        <v>85514.9442360828</v>
      </c>
      <c r="W184" s="11" t="n">
        <f aca="false">((((W179+W180)+W181)+W182)+W183)</f>
        <v>86301.2625174179</v>
      </c>
      <c r="X184" s="11" t="n">
        <f aca="false">((((X179+X180)+X181)+X182)+X183)</f>
        <v>97202.1223649556</v>
      </c>
      <c r="Y184" s="11" t="n">
        <f aca="false">((((Y179+Y180)+Y181)+Y182)+Y183)</f>
        <v>98896.2532924799</v>
      </c>
      <c r="Z184" s="11" t="n">
        <f aca="false">((((Z179+Z180)+Z181)+Z182)+Z183)</f>
        <v>98931.7851994422</v>
      </c>
      <c r="AA184" s="11" t="n">
        <f aca="false">((((AA179+AA180)+AA181)+AA182)+AA183)</f>
        <v>119080.99585191</v>
      </c>
      <c r="AB184" s="11" t="n">
        <f aca="false">((((AB179+AB180)+AB181)+AB182)+AB183)</f>
        <v>128994.20430549</v>
      </c>
      <c r="AC184" s="11" t="n">
        <f aca="false">((((AC179+AC180)+AC181)+AC182)+AC183)</f>
        <v>129146.587574569</v>
      </c>
      <c r="AD184" s="11" t="n">
        <f aca="false">((((AD179+AD180)+AD181)+AD182)+AD183)</f>
        <v>140576.800111953</v>
      </c>
      <c r="AE184" s="11" t="n">
        <f aca="false">((((AE179+AE180)+AE181)+AE182)+AE183)</f>
        <v>144367.001552523</v>
      </c>
      <c r="AF184" s="11" t="n">
        <f aca="false">((((AF179+AF180)+AF181)+AF182)+AF183)</f>
        <v>156198.342411587</v>
      </c>
      <c r="AG184" s="11" t="n">
        <f aca="false">((((AG179+AG180)+AG181)+AG182)+AG183)</f>
        <v>167828.38884984</v>
      </c>
      <c r="AH184" s="11" t="n">
        <f aca="false">((((AH179+AH180)+AH181)+AH182)+AH183)</f>
        <v>179994.82820823</v>
      </c>
      <c r="AI184" s="11" t="n">
        <f aca="false">((((AI179+AI180)+AI181)+AI182)+AI183)</f>
        <v>187434.308525632</v>
      </c>
      <c r="AJ184" s="11" t="n">
        <f aca="false">((((AJ179+AJ180)+AJ181)+AJ182)+AJ183)</f>
        <v>188334.396558524</v>
      </c>
      <c r="AK184" s="11" t="n">
        <f aca="false">((((AK179+AK180)+AK181)+AK182)+AK183)</f>
        <v>195136.658079501</v>
      </c>
      <c r="AL184" s="11" t="n">
        <f aca="false">((((AL179+AL180)+AL181)+AL182)+AL183)</f>
        <v>199538.283986607</v>
      </c>
      <c r="AN184" s="11" t="n">
        <f aca="false">SUM(C184:N184)</f>
        <v>208558.37477917</v>
      </c>
      <c r="AO184" s="11" t="n">
        <f aca="false">SUM(O184:Z184)</f>
        <v>867095.117322343</v>
      </c>
      <c r="AP184" s="11" t="n">
        <f aca="false">SUM(AA184:AL184)</f>
        <v>1936630.79601637</v>
      </c>
    </row>
    <row r="185" customFormat="false" ht="15" hidden="false" customHeight="false" outlineLevel="0" collapsed="false">
      <c r="A185" s="0" t="s">
        <v>987</v>
      </c>
      <c r="B185" s="0" t="s">
        <v>230</v>
      </c>
      <c r="C185" s="9" t="n">
        <f aca="false">((((((((((((((((C158+C159)+C160)+C161)+C162)+C163)+C164)+C167)+C168)+C171)+C170)+C172)+C173)+C174)+C175)+C176)-C184)</f>
        <v>0</v>
      </c>
      <c r="D185" s="9" t="n">
        <f aca="false">((((((((((((((((D158+D159)+D160)+D161)+D162)+D163)+D164)+D167)+D168)+D171)+D170)+D172)+D173)+D174)+D175)+D176)-D184)</f>
        <v>0</v>
      </c>
      <c r="E185" s="9" t="n">
        <f aca="false">((((((((((((((((E158+E159)+E160)+E161)+E162)+E163)+E164)+E167)+E168)+E171)+E170)+E172)+E173)+E174)+E175)+E176)-E184)</f>
        <v>0</v>
      </c>
      <c r="F185" s="9" t="n">
        <f aca="false">((((((((((((((((F158+F159)+F160)+F161)+F162)+F163)+F164)+F167)+F168)+F171)+F170)+F172)+F173)+F174)+F175)+F176)-F184)</f>
        <v>0</v>
      </c>
      <c r="G185" s="9" t="n">
        <f aca="false">((((((((((((((((G158+G159)+G160)+G161)+G162)+G163)+G164)+G167)+G168)+G171)+G170)+G172)+G173)+G174)+G175)+G176)-G184)</f>
        <v>0</v>
      </c>
      <c r="H185" s="9" t="n">
        <f aca="false">((((((((((((((((H158+H159)+H160)+H161)+H162)+H163)+H164)+H167)+H168)+H171)+H170)+H172)+H173)+H174)+H175)+H176)-H184)</f>
        <v>0</v>
      </c>
      <c r="I185" s="9" t="n">
        <f aca="false">((((((((((((((((I158+I159)+I160)+I161)+I162)+I163)+I164)+I167)+I168)+I171)+I170)+I172)+I173)+I174)+I175)+I176)-I184)</f>
        <v>0</v>
      </c>
      <c r="J185" s="9" t="n">
        <f aca="false">((((((((((((((((J158+J159)+J160)+J161)+J162)+J163)+J164)+J167)+J168)+J171)+J170)+J172)+J173)+J174)+J175)+J176)-J184)</f>
        <v>0</v>
      </c>
      <c r="K185" s="9" t="n">
        <f aca="false">((((((((((((((((K158+K159)+K160)+K161)+K162)+K163)+K164)+K167)+K168)+K171)+K170)+K172)+K173)+K174)+K175)+K176)-K184)</f>
        <v>0</v>
      </c>
      <c r="L185" s="9" t="n">
        <f aca="false">((((((((((((((((L158+L159)+L160)+L161)+L162)+L163)+L164)+L167)+L168)+L171)+L170)+L172)+L173)+L174)+L175)+L176)-L184)</f>
        <v>0</v>
      </c>
      <c r="M185" s="9" t="n">
        <f aca="false">((((((((((((((((M158+M159)+M160)+M161)+M162)+M163)+M164)+M167)+M168)+M171)+M170)+M172)+M173)+M174)+M175)+M176)-M184)</f>
        <v>0</v>
      </c>
      <c r="N185" s="9" t="n">
        <f aca="false">((((((((((((((((N158+N159)+N160)+N161)+N162)+N163)+N164)+N167)+N168)+N171)+N170)+N172)+N173)+N174)+N175)+N176)-N184)</f>
        <v>0</v>
      </c>
      <c r="O185" s="9" t="n">
        <f aca="false">((((((((((((((((O158+O159)+O160)+O161)+O162)+O163)+O164)+O167)+O168)+O171)+O170)+O172)+O173)+O174)+O175)+O176)-O184)</f>
        <v>0</v>
      </c>
      <c r="P185" s="9" t="n">
        <f aca="false">((((((((((((((((P158+P159)+P160)+P161)+P162)+P163)+P164)+P167)+P168)+P171)+P170)+P172)+P173)+P174)+P175)+P176)-P184)</f>
        <v>0</v>
      </c>
      <c r="Q185" s="9" t="n">
        <f aca="false">((((((((((((((((Q158+Q159)+Q160)+Q161)+Q162)+Q163)+Q164)+Q167)+Q168)+Q171)+Q170)+Q172)+Q173)+Q174)+Q175)+Q176)-Q184)</f>
        <v>0</v>
      </c>
      <c r="R185" s="9" t="n">
        <f aca="false">((((((((((((((((R158+R159)+R160)+R161)+R162)+R163)+R164)+R167)+R168)+R171)+R170)+R172)+R173)+R174)+R175)+R176)-R184)</f>
        <v>0</v>
      </c>
      <c r="S185" s="9" t="n">
        <f aca="false">((((((((((((((((S158+S159)+S160)+S161)+S162)+S163)+S164)+S167)+S168)+S171)+S170)+S172)+S173)+S174)+S175)+S176)-S184)</f>
        <v>0</v>
      </c>
      <c r="T185" s="9" t="n">
        <f aca="false">((((((((((((((((T158+T159)+T160)+T161)+T162)+T163)+T164)+T167)+T168)+T171)+T170)+T172)+T173)+T174)+T175)+T176)-T184)</f>
        <v>0</v>
      </c>
      <c r="U185" s="9" t="n">
        <f aca="false">((((((((((((((((U158+U159)+U160)+U161)+U162)+U163)+U164)+U167)+U168)+U171)+U170)+U172)+U173)+U174)+U175)+U176)-U184)</f>
        <v>0</v>
      </c>
      <c r="V185" s="9" t="n">
        <f aca="false">((((((((((((((((V158+V159)+V160)+V161)+V162)+V163)+V164)+V167)+V168)+V171)+V170)+V172)+V173)+V174)+V175)+V176)-V184)</f>
        <v>0</v>
      </c>
      <c r="W185" s="9" t="n">
        <f aca="false">((((((((((((((((W158+W159)+W160)+W161)+W162)+W163)+W164)+W167)+W168)+W171)+W170)+W172)+W173)+W174)+W175)+W176)-W184)</f>
        <v>0</v>
      </c>
      <c r="X185" s="9" t="n">
        <f aca="false">((((((((((((((((X158+X159)+X160)+X161)+X162)+X163)+X164)+X167)+X168)+X171)+X170)+X172)+X173)+X174)+X175)+X176)-X184)</f>
        <v>0</v>
      </c>
      <c r="Y185" s="9" t="n">
        <f aca="false">((((((((((((((((Y158+Y159)+Y160)+Y161)+Y162)+Y163)+Y164)+Y167)+Y168)+Y171)+Y170)+Y172)+Y173)+Y174)+Y175)+Y176)-Y184)</f>
        <v>0</v>
      </c>
      <c r="Z185" s="9" t="n">
        <f aca="false">((((((((((((((((Z158+Z159)+Z160)+Z161)+Z162)+Z163)+Z164)+Z167)+Z168)+Z171)+Z170)+Z172)+Z173)+Z174)+Z175)+Z176)-Z184)</f>
        <v>0</v>
      </c>
      <c r="AA185" s="9" t="n">
        <f aca="false">((((((((((((((((AA158+AA159)+AA160)+AA161)+AA162)+AA163)+AA164)+AA167)+AA168)+AA171)+AA170)+AA172)+AA173)+AA174)+AA175)+AA176)-AA184)</f>
        <v>0</v>
      </c>
      <c r="AB185" s="9" t="n">
        <f aca="false">((((((((((((((((AB158+AB159)+AB160)+AB161)+AB162)+AB163)+AB164)+AB167)+AB168)+AB171)+AB170)+AB172)+AB173)+AB174)+AB175)+AB176)-AB184)</f>
        <v>0</v>
      </c>
      <c r="AC185" s="9" t="n">
        <f aca="false">((((((((((((((((AC158+AC159)+AC160)+AC161)+AC162)+AC163)+AC164)+AC167)+AC168)+AC171)+AC170)+AC172)+AC173)+AC174)+AC175)+AC176)-AC184)</f>
        <v>0</v>
      </c>
      <c r="AD185" s="9" t="n">
        <f aca="false">((((((((((((((((AD158+AD159)+AD160)+AD161)+AD162)+AD163)+AD164)+AD167)+AD168)+AD171)+AD170)+AD172)+AD173)+AD174)+AD175)+AD176)-AD184)</f>
        <v>0</v>
      </c>
      <c r="AE185" s="9" t="n">
        <f aca="false">((((((((((((((((AE158+AE159)+AE160)+AE161)+AE162)+AE163)+AE164)+AE167)+AE168)+AE171)+AE170)+AE172)+AE173)+AE174)+AE175)+AE176)-AE184)</f>
        <v>0</v>
      </c>
      <c r="AF185" s="9" t="n">
        <f aca="false">((((((((((((((((AF158+AF159)+AF160)+AF161)+AF162)+AF163)+AF164)+AF167)+AF168)+AF171)+AF170)+AF172)+AF173)+AF174)+AF175)+AF176)-AF184)</f>
        <v>0</v>
      </c>
      <c r="AG185" s="9" t="n">
        <f aca="false">((((((((((((((((AG158+AG159)+AG160)+AG161)+AG162)+AG163)+AG164)+AG167)+AG168)+AG171)+AG170)+AG172)+AG173)+AG174)+AG175)+AG176)-AG184)</f>
        <v>0</v>
      </c>
      <c r="AH185" s="9" t="n">
        <f aca="false">((((((((((((((((AH158+AH159)+AH160)+AH161)+AH162)+AH163)+AH164)+AH167)+AH168)+AH171)+AH170)+AH172)+AH173)+AH174)+AH175)+AH176)-AH184)</f>
        <v>0</v>
      </c>
      <c r="AI185" s="9" t="n">
        <f aca="false">((((((((((((((((AI158+AI159)+AI160)+AI161)+AI162)+AI163)+AI164)+AI167)+AI168)+AI171)+AI170)+AI172)+AI173)+AI174)+AI175)+AI176)-AI184)</f>
        <v>0</v>
      </c>
      <c r="AJ185" s="9" t="n">
        <f aca="false">((((((((((((((((AJ158+AJ159)+AJ160)+AJ161)+AJ162)+AJ163)+AJ164)+AJ167)+AJ168)+AJ171)+AJ170)+AJ172)+AJ173)+AJ174)+AJ175)+AJ176)-AJ184)</f>
        <v>0</v>
      </c>
      <c r="AK185" s="9" t="n">
        <f aca="false">((((((((((((((((AK158+AK159)+AK160)+AK161)+AK162)+AK163)+AK164)+AK167)+AK168)+AK171)+AK170)+AK172)+AK173)+AK174)+AK175)+AK176)-AK184)</f>
        <v>0</v>
      </c>
      <c r="AL185" s="9" t="n">
        <f aca="false">((((((((((((((((AL158+AL159)+AL160)+AL161)+AL162)+AL163)+AL164)+AL167)+AL168)+AL171)+AL170)+AL172)+AL173)+AL174)+AL175)+AL176)-AL184)</f>
        <v>0</v>
      </c>
      <c r="AN185" s="11" t="n">
        <f aca="false">SUM(C185:N185)</f>
        <v>0</v>
      </c>
      <c r="AO185" s="11" t="n">
        <f aca="false">SUM(O185:Z185)</f>
        <v>0</v>
      </c>
      <c r="AP185" s="11" t="n">
        <f aca="false">SUM(AA185:AL185)</f>
        <v>0</v>
      </c>
    </row>
    <row r="186" customFormat="false" ht="15" hidden="false" customHeight="false" outlineLevel="0" collapsed="false">
      <c r="A186" s="0" t="s">
        <v>988</v>
      </c>
      <c r="B186" s="0" t="s">
        <v>230</v>
      </c>
      <c r="C186" s="9" t="n">
        <f aca="false">(C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67.1082984</v>
      </c>
      <c r="D186" s="9" t="n">
        <f aca="false">(D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119.24628408</v>
      </c>
      <c r="E186" s="9" t="n">
        <f aca="false">(E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157.13872666272</v>
      </c>
      <c r="F186" s="9" t="n">
        <f aca="false">(F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187.467960772224</v>
      </c>
      <c r="G186" s="9" t="n">
        <f aca="false">(G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204.074581120236</v>
      </c>
      <c r="H186" s="9" t="n">
        <f aca="false">(H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214.126416535075</v>
      </c>
      <c r="I186" s="9" t="n">
        <f aca="false">(I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239.689771712377</v>
      </c>
      <c r="J186" s="9" t="n">
        <f aca="false">(J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335.119082926783</v>
      </c>
      <c r="K186" s="9" t="n">
        <f aca="false">(K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443.003852930789</v>
      </c>
      <c r="L186" s="9" t="n">
        <f aca="false">(L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485.778670527865</v>
      </c>
      <c r="M186" s="9" t="n">
        <f aca="false">(M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510.687281947364</v>
      </c>
      <c r="N186" s="9" t="n">
        <f aca="false">(N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518.000277554868</v>
      </c>
      <c r="O186" s="9" t="n">
        <f aca="false">(O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1156.56680175146</v>
      </c>
      <c r="P186" s="9" t="n">
        <f aca="false">(P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1653.31504695032</v>
      </c>
      <c r="Q186" s="9" t="n">
        <f aca="false">(Q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2019.68232354887</v>
      </c>
      <c r="R186" s="9" t="n">
        <f aca="false">(R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2311.1872142421</v>
      </c>
      <c r="S186" s="9" t="n">
        <f aca="false">(S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2486.27720445326</v>
      </c>
      <c r="T186" s="9" t="n">
        <f aca="false">(T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2601.76695566944</v>
      </c>
      <c r="U186" s="9" t="n">
        <f aca="false">(U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2816.19089619697</v>
      </c>
      <c r="V186" s="9" t="n">
        <f aca="false">(V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3501.58989061495</v>
      </c>
      <c r="W186" s="9" t="n">
        <f aca="false">(W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4248.94017748109</v>
      </c>
      <c r="X186" s="9" t="n">
        <f aca="false">(X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4538.75674729835</v>
      </c>
      <c r="Y186" s="9" t="n">
        <f aca="false">(Y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4697.91512751697</v>
      </c>
      <c r="Z186" s="9" t="n">
        <f aca="false">(Z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4733.7873108886</v>
      </c>
      <c r="AA186" s="9" t="n">
        <f aca="false">(AA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5276.9139035922</v>
      </c>
      <c r="AB186" s="9" t="n">
        <f aca="false">(AB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5642.54647380146</v>
      </c>
      <c r="AC186" s="9" t="n">
        <f aca="false">(AC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5846.35734606611</v>
      </c>
      <c r="AD186" s="9" t="n">
        <f aca="false">(AD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5971.13603400675</v>
      </c>
      <c r="AE186" s="9" t="n">
        <f aca="false">(AE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5952.47755189436</v>
      </c>
      <c r="AF186" s="9" t="n">
        <f aca="false">(AF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5873.97709687462</v>
      </c>
      <c r="AG186" s="9" t="n">
        <f aca="false">(AG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5963.38529120777</v>
      </c>
      <c r="AH186" s="9" t="n">
        <f aca="false">(AH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6743.05786941836</v>
      </c>
      <c r="AI186" s="9" t="n">
        <f aca="false">(AI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7614.55363224439</v>
      </c>
      <c r="AJ186" s="9" t="n">
        <f aca="false">(AJ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7852.22573323227</v>
      </c>
      <c r="AK186" s="9" t="n">
        <f aca="false">(AK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7918.19122960689</v>
      </c>
      <c r="AL186" s="9" t="n">
        <f aca="false">(AL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7825.80229974569</v>
      </c>
      <c r="AN186" s="11" t="n">
        <f aca="false">SUM(C186:N186)</f>
        <v>3481.4412051703</v>
      </c>
      <c r="AO186" s="11" t="n">
        <f aca="false">SUM(O186:Z186)</f>
        <v>36765.9756966124</v>
      </c>
      <c r="AP186" s="11" t="n">
        <f aca="false">SUM(AA186:AL186)</f>
        <v>78480.6244616909</v>
      </c>
    </row>
    <row r="187" customFormat="false" ht="15" hidden="false" customHeight="false" outlineLevel="0" collapsed="false">
      <c r="A187" s="0" t="s">
        <v>989</v>
      </c>
      <c r="B187" s="0" t="s">
        <v>230</v>
      </c>
      <c r="C187" s="9" t="n">
        <f aca="false">((C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C175)</f>
        <v>0</v>
      </c>
      <c r="D187" s="9" t="n">
        <f aca="false">((D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D175)</f>
        <v>0</v>
      </c>
      <c r="E187" s="9" t="n">
        <f aca="false">((E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E175)</f>
        <v>0</v>
      </c>
      <c r="F187" s="9" t="n">
        <f aca="false">((F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F175)</f>
        <v>0</v>
      </c>
      <c r="G187" s="9" t="n">
        <f aca="false">((G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G175)</f>
        <v>0</v>
      </c>
      <c r="H187" s="9" t="n">
        <f aca="false">((H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H175)</f>
        <v>0</v>
      </c>
      <c r="I187" s="9" t="n">
        <f aca="false">((I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I175)</f>
        <v>0</v>
      </c>
      <c r="J187" s="9" t="n">
        <f aca="false">((J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J175)</f>
        <v>0</v>
      </c>
      <c r="K187" s="9" t="n">
        <f aca="false">((K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K175)</f>
        <v>0</v>
      </c>
      <c r="L187" s="9" t="n">
        <f aca="false">((L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L175)</f>
        <v>0</v>
      </c>
      <c r="M187" s="9" t="n">
        <f aca="false">((M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M175)</f>
        <v>0</v>
      </c>
      <c r="N187" s="9" t="n">
        <f aca="false">((N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N175)</f>
        <v>0</v>
      </c>
      <c r="O187" s="9" t="n">
        <f aca="false">((O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O175)</f>
        <v>11.7958569905942</v>
      </c>
      <c r="P187" s="9" t="n">
        <f aca="false">((P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P175)</f>
        <v>31.3164581884521</v>
      </c>
      <c r="Q187" s="9" t="n">
        <f aca="false">((Q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Q175)</f>
        <v>53.5772030170046</v>
      </c>
      <c r="R187" s="9" t="n">
        <f aca="false">((R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R175)</f>
        <v>77.2759957359128</v>
      </c>
      <c r="S187" s="9" t="n">
        <f aca="false">((S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S175)</f>
        <v>102.280602951782</v>
      </c>
      <c r="T187" s="9" t="n">
        <f aca="false">((T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T175)</f>
        <v>126.831544009564</v>
      </c>
      <c r="U187" s="9" t="n">
        <f aca="false">((U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U175)</f>
        <v>151.038966925629</v>
      </c>
      <c r="V187" s="9" t="n">
        <f aca="false">((V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V175)</f>
        <v>177.91660413451</v>
      </c>
      <c r="W187" s="9" t="n">
        <f aca="false">((W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W175)</f>
        <v>216.884598603432</v>
      </c>
      <c r="X187" s="9" t="n">
        <f aca="false">((X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X175)</f>
        <v>263.120917657268</v>
      </c>
      <c r="Y187" s="9" t="n">
        <f aca="false">((Y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Y175)</f>
        <v>305.204934962904</v>
      </c>
      <c r="Z187" s="9" t="n">
        <f aca="false">((Z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Z175)</f>
        <v>345.984947193616</v>
      </c>
      <c r="AA187" s="9" t="n">
        <f aca="false">((AA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A175)</f>
        <v>387.262048290626</v>
      </c>
      <c r="AB187" s="9" t="n">
        <f aca="false">((AB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B175)</f>
        <v>439.245508328574</v>
      </c>
      <c r="AC187" s="9" t="n">
        <f aca="false">((AC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C175)</f>
        <v>489.612441142872</v>
      </c>
      <c r="AD187" s="9" t="n">
        <f aca="false">((AD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D175)</f>
        <v>537.154781919414</v>
      </c>
      <c r="AE187" s="9" t="n">
        <f aca="false">((AE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E175)</f>
        <v>582.640494602443</v>
      </c>
      <c r="AF187" s="9" t="n">
        <f aca="false">((AF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F175)</f>
        <v>623.710762019244</v>
      </c>
      <c r="AG187" s="9" t="n">
        <f aca="false">((AG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G175)</f>
        <v>661.397789271894</v>
      </c>
      <c r="AH187" s="9" t="n">
        <f aca="false">((AH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H175)</f>
        <v>701.361039985362</v>
      </c>
      <c r="AI187" s="9" t="n">
        <f aca="false">((AI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I175)</f>
        <v>759.159141227196</v>
      </c>
      <c r="AJ187" s="9" t="n">
        <f aca="false">((AJ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J175)</f>
        <v>824.855785931832</v>
      </c>
      <c r="AK187" s="9" t="n">
        <f aca="false">((AK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K175)</f>
        <v>879.586858742234</v>
      </c>
      <c r="AL187" s="9" t="n">
        <f aca="false">((AL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L175)</f>
        <v>930.050347736129</v>
      </c>
      <c r="AN187" s="11" t="n">
        <f aca="false">SUM(C187:N187)</f>
        <v>0</v>
      </c>
      <c r="AO187" s="11" t="n">
        <f aca="false">SUM(O187:Z187)</f>
        <v>1863.22863037067</v>
      </c>
      <c r="AP187" s="11" t="n">
        <f aca="false">SUM(AA187:AL187)</f>
        <v>7816.03699919782</v>
      </c>
    </row>
    <row r="188" customFormat="false" ht="15" hidden="false" customHeight="false" outlineLevel="0" collapsed="false">
      <c r="A188" s="0" t="s">
        <v>990</v>
      </c>
      <c r="B188" s="0" t="s">
        <v>500</v>
      </c>
      <c r="C188" s="9" t="n">
        <f aca="false">0</f>
        <v>0</v>
      </c>
      <c r="D188" s="9" t="n">
        <f aca="false">C39</f>
        <v>0</v>
      </c>
      <c r="E188" s="9" t="n">
        <f aca="false">D39</f>
        <v>0</v>
      </c>
      <c r="F188" s="9" t="n">
        <f aca="false">E39</f>
        <v>0</v>
      </c>
      <c r="G188" s="9" t="n">
        <f aca="false">F39</f>
        <v>0</v>
      </c>
      <c r="H188" s="9" t="n">
        <f aca="false">G39</f>
        <v>0</v>
      </c>
      <c r="I188" s="9" t="n">
        <f aca="false">H39</f>
        <v>0</v>
      </c>
      <c r="J188" s="9" t="n">
        <f aca="false">I39</f>
        <v>0</v>
      </c>
      <c r="K188" s="9" t="n">
        <f aca="false">J39</f>
        <v>0</v>
      </c>
      <c r="L188" s="9" t="n">
        <f aca="false">K39</f>
        <v>0</v>
      </c>
      <c r="M188" s="9" t="n">
        <f aca="false">L39</f>
        <v>0</v>
      </c>
      <c r="N188" s="9" t="n">
        <f aca="false">M39</f>
        <v>0</v>
      </c>
      <c r="O188" s="9" t="n">
        <f aca="false">N39</f>
        <v>0</v>
      </c>
      <c r="P188" s="9" t="n">
        <f aca="false">O39</f>
        <v>4.51553935346985</v>
      </c>
      <c r="Q188" s="9" t="n">
        <f aca="false">P39</f>
        <v>14.4734471754843</v>
      </c>
      <c r="R188" s="9" t="n">
        <f aca="false">Q39</f>
        <v>28.4905865379519</v>
      </c>
      <c r="S188" s="9" t="n">
        <f aca="false">R39</f>
        <v>45.3248633047421</v>
      </c>
      <c r="T188" s="9" t="n">
        <f aca="false">S39</f>
        <v>64.2546848783808</v>
      </c>
      <c r="U188" s="9" t="n">
        <f aca="false">T39</f>
        <v>84.2176311458779</v>
      </c>
      <c r="V188" s="9" t="n">
        <f aca="false">U39</f>
        <v>104.676837357465</v>
      </c>
      <c r="W188" s="9" t="n">
        <f aca="false">V39</f>
        <v>126.492576802041</v>
      </c>
      <c r="X188" s="9" t="n">
        <f aca="false">W39</f>
        <v>153.744688133264</v>
      </c>
      <c r="Y188" s="9" t="n">
        <f aca="false">X39</f>
        <v>186.835830748726</v>
      </c>
      <c r="Z188" s="9" t="n">
        <f aca="false">Y39</f>
        <v>221.632199953236</v>
      </c>
      <c r="AA188" s="9" t="n">
        <f aca="false">Z39</f>
        <v>256.966398049017</v>
      </c>
      <c r="AB188" s="9" t="n">
        <f aca="false">AA39</f>
        <v>290.853636967864</v>
      </c>
      <c r="AC188" s="9" t="n">
        <f aca="false">AB39</f>
        <v>327.536616836069</v>
      </c>
      <c r="AD188" s="9" t="n">
        <f aca="false">AC39</f>
        <v>365.628800757854</v>
      </c>
      <c r="AE188" s="9" t="n">
        <f aca="false">AD39</f>
        <v>403.907112492085</v>
      </c>
      <c r="AF188" s="9" t="n">
        <f aca="false">AE39</f>
        <v>441.81309119352</v>
      </c>
      <c r="AG188" s="9" t="n">
        <f aca="false">AF39</f>
        <v>478.319221121352</v>
      </c>
      <c r="AH188" s="9" t="n">
        <f aca="false">AG39</f>
        <v>513.05993258998</v>
      </c>
      <c r="AI188" s="9" t="n">
        <f aca="false">AH39</f>
        <v>547.386965393128</v>
      </c>
      <c r="AJ188" s="9" t="n">
        <f aca="false">AI39</f>
        <v>586.50543767112</v>
      </c>
      <c r="AK188" s="9" t="n">
        <f aca="false">AJ39</f>
        <v>630.959292986504</v>
      </c>
      <c r="AL188" s="9" t="n">
        <f aca="false">AK39</f>
        <v>675.869190452031</v>
      </c>
      <c r="AN188" s="11" t="n">
        <f aca="false">SUM(C188:N188)</f>
        <v>0</v>
      </c>
      <c r="AO188" s="11" t="n">
        <f aca="false">SUM(O188:Z188)</f>
        <v>1034.65888539064</v>
      </c>
      <c r="AP188" s="11" t="n">
        <f aca="false">SUM(AA188:AL188)</f>
        <v>5518.80569651052</v>
      </c>
    </row>
    <row r="189" customFormat="false" ht="15" hidden="false" customHeight="false" outlineLevel="0" collapsed="false">
      <c r="A189" s="21" t="s">
        <v>31</v>
      </c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</row>
    <row r="190" customFormat="false" ht="15" hidden="false" customHeight="false" outlineLevel="0" collapsed="false">
      <c r="A190" s="0" t="s">
        <v>991</v>
      </c>
      <c r="B190" s="0" t="s">
        <v>230</v>
      </c>
      <c r="C190" s="9" t="n">
        <f aca="false">SUMPRODUCT((Headcount!$C$5:$C$90="ENG")*Headcount!$D$5:$D$90*Headcount!$F$5:$F$90*((Headcount!$I$5:$I$90=0)+(Headcount!$I$5:$I$90=1)*$C$16)*(C$18&gt;=(Headcount!$E$5:$E$90+Headcount!$G$5:$G$90*$C$15)))/12*(1+Assumptions!$C$97)</f>
        <v>41683.3333333333</v>
      </c>
      <c r="D190" s="9" t="n">
        <f aca="false">SUMPRODUCT((Headcount!$C$5:$C$90="ENG")*Headcount!$D$5:$D$90*Headcount!$F$5:$F$90*((Headcount!$I$5:$I$90=0)+(Headcount!$I$5:$I$90=1)*$C$16)*(D$18&gt;=(Headcount!$E$5:$E$90+Headcount!$G$5:$G$90*$C$15)))/12*(1+Assumptions!$C$97)</f>
        <v>41683.3333333333</v>
      </c>
      <c r="E190" s="9" t="n">
        <f aca="false">SUMPRODUCT((Headcount!$C$5:$C$90="ENG")*Headcount!$D$5:$D$90*Headcount!$F$5:$F$90*((Headcount!$I$5:$I$90=0)+(Headcount!$I$5:$I$90=1)*$C$16)*(E$18&gt;=(Headcount!$E$5:$E$90+Headcount!$G$5:$G$90*$C$15)))/12*(1+Assumptions!$C$97)</f>
        <v>41683.3333333333</v>
      </c>
      <c r="F190" s="9" t="n">
        <f aca="false">SUMPRODUCT((Headcount!$C$5:$C$90="ENG")*Headcount!$D$5:$D$90*Headcount!$F$5:$F$90*((Headcount!$I$5:$I$90=0)+(Headcount!$I$5:$I$90=1)*$C$16)*(F$18&gt;=(Headcount!$E$5:$E$90+Headcount!$G$5:$G$90*$C$15)))/12*(1+Assumptions!$C$97)</f>
        <v>41683.3333333333</v>
      </c>
      <c r="G190" s="9" t="n">
        <f aca="false">SUMPRODUCT((Headcount!$C$5:$C$90="ENG")*Headcount!$D$5:$D$90*Headcount!$F$5:$F$90*((Headcount!$I$5:$I$90=0)+(Headcount!$I$5:$I$90=1)*$C$16)*(G$18&gt;=(Headcount!$E$5:$E$90+Headcount!$G$5:$G$90*$C$15)))/12*(1+Assumptions!$C$97)</f>
        <v>57950</v>
      </c>
      <c r="H190" s="9" t="n">
        <f aca="false">SUMPRODUCT((Headcount!$C$5:$C$90="ENG")*Headcount!$D$5:$D$90*Headcount!$F$5:$F$90*((Headcount!$I$5:$I$90=0)+(Headcount!$I$5:$I$90=1)*$C$16)*(H$18&gt;=(Headcount!$E$5:$E$90+Headcount!$G$5:$G$90*$C$15)))/12*(1+Assumptions!$C$97)</f>
        <v>73200</v>
      </c>
      <c r="I190" s="9" t="n">
        <f aca="false">SUMPRODUCT((Headcount!$C$5:$C$90="ENG")*Headcount!$D$5:$D$90*Headcount!$F$5:$F$90*((Headcount!$I$5:$I$90=0)+(Headcount!$I$5:$I$90=1)*$C$16)*(I$18&gt;=(Headcount!$E$5:$E$90+Headcount!$G$5:$G$90*$C$15)))/12*(1+Assumptions!$C$97)</f>
        <v>73200</v>
      </c>
      <c r="J190" s="9" t="n">
        <f aca="false">SUMPRODUCT((Headcount!$C$5:$C$90="ENG")*Headcount!$D$5:$D$90*Headcount!$F$5:$F$90*((Headcount!$I$5:$I$90=0)+(Headcount!$I$5:$I$90=1)*$C$16)*(J$18&gt;=(Headcount!$E$5:$E$90+Headcount!$G$5:$G$90*$C$15)))/12*(1+Assumptions!$C$97)</f>
        <v>73200</v>
      </c>
      <c r="K190" s="9" t="n">
        <f aca="false">SUMPRODUCT((Headcount!$C$5:$C$90="ENG")*Headcount!$D$5:$D$90*Headcount!$F$5:$F$90*((Headcount!$I$5:$I$90=0)+(Headcount!$I$5:$I$90=1)*$C$16)*(K$18&gt;=(Headcount!$E$5:$E$90+Headcount!$G$5:$G$90*$C$15)))/12*(1+Assumptions!$C$97)</f>
        <v>87941.6666666667</v>
      </c>
      <c r="L190" s="9" t="n">
        <f aca="false">SUMPRODUCT((Headcount!$C$5:$C$90="ENG")*Headcount!$D$5:$D$90*Headcount!$F$5:$F$90*((Headcount!$I$5:$I$90=0)+(Headcount!$I$5:$I$90=1)*$C$16)*(L$18&gt;=(Headcount!$E$5:$E$90+Headcount!$G$5:$G$90*$C$15)))/12*(1+Assumptions!$C$97)</f>
        <v>87941.6666666667</v>
      </c>
      <c r="M190" s="9" t="n">
        <f aca="false">SUMPRODUCT((Headcount!$C$5:$C$90="ENG")*Headcount!$D$5:$D$90*Headcount!$F$5:$F$90*((Headcount!$I$5:$I$90=0)+(Headcount!$I$5:$I$90=1)*$C$16)*(M$18&gt;=(Headcount!$E$5:$E$90+Headcount!$G$5:$G$90*$C$15)))/12*(1+Assumptions!$C$97)</f>
        <v>87941.6666666667</v>
      </c>
      <c r="N190" s="9" t="n">
        <f aca="false">SUMPRODUCT((Headcount!$C$5:$C$90="ENG")*Headcount!$D$5:$D$90*Headcount!$F$5:$F$90*((Headcount!$I$5:$I$90=0)+(Headcount!$I$5:$I$90=1)*$C$16)*(N$18&gt;=(Headcount!$E$5:$E$90+Headcount!$G$5:$G$90*$C$15)))/12*(1+Assumptions!$C$97)</f>
        <v>87941.6666666667</v>
      </c>
      <c r="O190" s="9" t="n">
        <f aca="false">SUMPRODUCT((Headcount!$C$5:$C$90="ENG")*Headcount!$D$5:$D$90*Headcount!$F$5:$F$90*((Headcount!$I$5:$I$90=0)+(Headcount!$I$5:$I$90=1)*$C$16)*(O$18&gt;=(Headcount!$E$5:$E$90+Headcount!$G$5:$G$90*$C$15)))/12*(1+Assumptions!$C$97)</f>
        <v>103191.666666667</v>
      </c>
      <c r="P190" s="9" t="n">
        <f aca="false">SUMPRODUCT((Headcount!$C$5:$C$90="ENG")*Headcount!$D$5:$D$90*Headcount!$F$5:$F$90*((Headcount!$I$5:$I$90=0)+(Headcount!$I$5:$I$90=1)*$C$16)*(P$18&gt;=(Headcount!$E$5:$E$90+Headcount!$G$5:$G$90*$C$15)))/12*(1+Assumptions!$C$97)</f>
        <v>118441.666666667</v>
      </c>
      <c r="Q190" s="9" t="n">
        <f aca="false">SUMPRODUCT((Headcount!$C$5:$C$90="ENG")*Headcount!$D$5:$D$90*Headcount!$F$5:$F$90*((Headcount!$I$5:$I$90=0)+(Headcount!$I$5:$I$90=1)*$C$16)*(Q$18&gt;=(Headcount!$E$5:$E$90+Headcount!$G$5:$G$90*$C$15)))/12*(1+Assumptions!$C$97)</f>
        <v>118441.666666667</v>
      </c>
      <c r="R190" s="9" t="n">
        <f aca="false">SUMPRODUCT((Headcount!$C$5:$C$90="ENG")*Headcount!$D$5:$D$90*Headcount!$F$5:$F$90*((Headcount!$I$5:$I$90=0)+(Headcount!$I$5:$I$90=1)*$C$16)*(R$18&gt;=(Headcount!$E$5:$E$90+Headcount!$G$5:$G$90*$C$15)))/12*(1+Assumptions!$C$97)</f>
        <v>118441.666666667</v>
      </c>
      <c r="S190" s="9" t="n">
        <f aca="false">SUMPRODUCT((Headcount!$C$5:$C$90="ENG")*Headcount!$D$5:$D$90*Headcount!$F$5:$F$90*((Headcount!$I$5:$I$90=0)+(Headcount!$I$5:$I$90=1)*$C$16)*(S$18&gt;=(Headcount!$E$5:$E$90+Headcount!$G$5:$G$90*$C$15)))/12*(1+Assumptions!$C$97)</f>
        <v>118441.666666667</v>
      </c>
      <c r="T190" s="9" t="n">
        <f aca="false">SUMPRODUCT((Headcount!$C$5:$C$90="ENG")*Headcount!$D$5:$D$90*Headcount!$F$5:$F$90*((Headcount!$I$5:$I$90=0)+(Headcount!$I$5:$I$90=1)*$C$16)*(T$18&gt;=(Headcount!$E$5:$E$90+Headcount!$G$5:$G$90*$C$15)))/12*(1+Assumptions!$C$97)</f>
        <v>118441.666666667</v>
      </c>
      <c r="U190" s="9" t="n">
        <f aca="false">SUMPRODUCT((Headcount!$C$5:$C$90="ENG")*Headcount!$D$5:$D$90*Headcount!$F$5:$F$90*((Headcount!$I$5:$I$90=0)+(Headcount!$I$5:$I$90=1)*$C$16)*(U$18&gt;=(Headcount!$E$5:$E$90+Headcount!$G$5:$G$90*$C$15)))/12*(1+Assumptions!$C$97)</f>
        <v>118441.666666667</v>
      </c>
      <c r="V190" s="9" t="n">
        <f aca="false">SUMPRODUCT((Headcount!$C$5:$C$90="ENG")*Headcount!$D$5:$D$90*Headcount!$F$5:$F$90*((Headcount!$I$5:$I$90=0)+(Headcount!$I$5:$I$90=1)*$C$16)*(V$18&gt;=(Headcount!$E$5:$E$90+Headcount!$G$5:$G$90*$C$15)))/12*(1+Assumptions!$C$97)</f>
        <v>129625</v>
      </c>
      <c r="W190" s="9" t="n">
        <f aca="false">SUMPRODUCT((Headcount!$C$5:$C$90="ENG")*Headcount!$D$5:$D$90*Headcount!$F$5:$F$90*((Headcount!$I$5:$I$90=0)+(Headcount!$I$5:$I$90=1)*$C$16)*(W$18&gt;=(Headcount!$E$5:$E$90+Headcount!$G$5:$G$90*$C$15)))/12*(1+Assumptions!$C$97)</f>
        <v>129625</v>
      </c>
      <c r="X190" s="9" t="n">
        <f aca="false">SUMPRODUCT((Headcount!$C$5:$C$90="ENG")*Headcount!$D$5:$D$90*Headcount!$F$5:$F$90*((Headcount!$I$5:$I$90=0)+(Headcount!$I$5:$I$90=1)*$C$16)*(X$18&gt;=(Headcount!$E$5:$E$90+Headcount!$G$5:$G$90*$C$15)))/12*(1+Assumptions!$C$97)</f>
        <v>129625</v>
      </c>
      <c r="Y190" s="9" t="n">
        <f aca="false">SUMPRODUCT((Headcount!$C$5:$C$90="ENG")*Headcount!$D$5:$D$90*Headcount!$F$5:$F$90*((Headcount!$I$5:$I$90=0)+(Headcount!$I$5:$I$90=1)*$C$16)*(Y$18&gt;=(Headcount!$E$5:$E$90+Headcount!$G$5:$G$90*$C$15)))/12*(1+Assumptions!$C$97)</f>
        <v>129625</v>
      </c>
      <c r="Z190" s="9" t="n">
        <f aca="false">SUMPRODUCT((Headcount!$C$5:$C$90="ENG")*Headcount!$D$5:$D$90*Headcount!$F$5:$F$90*((Headcount!$I$5:$I$90=0)+(Headcount!$I$5:$I$90=1)*$C$16)*(Z$18&gt;=(Headcount!$E$5:$E$90+Headcount!$G$5:$G$90*$C$15)))/12*(1+Assumptions!$C$97)</f>
        <v>129625</v>
      </c>
      <c r="AA190" s="9" t="n">
        <f aca="false">SUMPRODUCT((Headcount!$C$5:$C$90="ENG")*Headcount!$D$5:$D$90*Headcount!$F$5:$F$90*((Headcount!$I$5:$I$90=0)+(Headcount!$I$5:$I$90=1)*$C$16)*(AA$18&gt;=(Headcount!$E$5:$E$90+Headcount!$G$5:$G$90*$C$15)))/12*(1+Assumptions!$C$97)</f>
        <v>129625</v>
      </c>
      <c r="AB190" s="9" t="n">
        <f aca="false">SUMPRODUCT((Headcount!$C$5:$C$90="ENG")*Headcount!$D$5:$D$90*Headcount!$F$5:$F$90*((Headcount!$I$5:$I$90=0)+(Headcount!$I$5:$I$90=1)*$C$16)*(AB$18&gt;=(Headcount!$E$5:$E$90+Headcount!$G$5:$G$90*$C$15)))/12*(1+Assumptions!$C$97)</f>
        <v>144875</v>
      </c>
      <c r="AC190" s="9" t="n">
        <f aca="false">SUMPRODUCT((Headcount!$C$5:$C$90="ENG")*Headcount!$D$5:$D$90*Headcount!$F$5:$F$90*((Headcount!$I$5:$I$90=0)+(Headcount!$I$5:$I$90=1)*$C$16)*(AC$18&gt;=(Headcount!$E$5:$E$90+Headcount!$G$5:$G$90*$C$15)))/12*(1+Assumptions!$C$97)</f>
        <v>144875</v>
      </c>
      <c r="AD190" s="9" t="n">
        <f aca="false">SUMPRODUCT((Headcount!$C$5:$C$90="ENG")*Headcount!$D$5:$D$90*Headcount!$F$5:$F$90*((Headcount!$I$5:$I$90=0)+(Headcount!$I$5:$I$90=1)*$C$16)*(AD$18&gt;=(Headcount!$E$5:$E$90+Headcount!$G$5:$G$90*$C$15)))/12*(1+Assumptions!$C$97)</f>
        <v>144875</v>
      </c>
      <c r="AE190" s="9" t="n">
        <f aca="false">SUMPRODUCT((Headcount!$C$5:$C$90="ENG")*Headcount!$D$5:$D$90*Headcount!$F$5:$F$90*((Headcount!$I$5:$I$90=0)+(Headcount!$I$5:$I$90=1)*$C$16)*(AE$18&gt;=(Headcount!$E$5:$E$90+Headcount!$G$5:$G$90*$C$15)))/12*(1+Assumptions!$C$97)</f>
        <v>144875</v>
      </c>
      <c r="AF190" s="9" t="n">
        <f aca="false">SUMPRODUCT((Headcount!$C$5:$C$90="ENG")*Headcount!$D$5:$D$90*Headcount!$F$5:$F$90*((Headcount!$I$5:$I$90=0)+(Headcount!$I$5:$I$90=1)*$C$16)*(AF$18&gt;=(Headcount!$E$5:$E$90+Headcount!$G$5:$G$90*$C$15)))/12*(1+Assumptions!$C$97)</f>
        <v>144875</v>
      </c>
      <c r="AG190" s="9" t="n">
        <f aca="false">SUMPRODUCT((Headcount!$C$5:$C$90="ENG")*Headcount!$D$5:$D$90*Headcount!$F$5:$F$90*((Headcount!$I$5:$I$90=0)+(Headcount!$I$5:$I$90=1)*$C$16)*(AG$18&gt;=(Headcount!$E$5:$E$90+Headcount!$G$5:$G$90*$C$15)))/12*(1+Assumptions!$C$97)</f>
        <v>144875</v>
      </c>
      <c r="AH190" s="9" t="n">
        <f aca="false">SUMPRODUCT((Headcount!$C$5:$C$90="ENG")*Headcount!$D$5:$D$90*Headcount!$F$5:$F$90*((Headcount!$I$5:$I$90=0)+(Headcount!$I$5:$I$90=1)*$C$16)*(AH$18&gt;=(Headcount!$E$5:$E$90+Headcount!$G$5:$G$90*$C$15)))/12*(1+Assumptions!$C$97)</f>
        <v>144875</v>
      </c>
      <c r="AI190" s="9" t="n">
        <f aca="false">SUMPRODUCT((Headcount!$C$5:$C$90="ENG")*Headcount!$D$5:$D$90*Headcount!$F$5:$F$90*((Headcount!$I$5:$I$90=0)+(Headcount!$I$5:$I$90=1)*$C$16)*(AI$18&gt;=(Headcount!$E$5:$E$90+Headcount!$G$5:$G$90*$C$15)))/12*(1+Assumptions!$C$97)</f>
        <v>144875</v>
      </c>
      <c r="AJ190" s="9" t="n">
        <f aca="false">SUMPRODUCT((Headcount!$C$5:$C$90="ENG")*Headcount!$D$5:$D$90*Headcount!$F$5:$F$90*((Headcount!$I$5:$I$90=0)+(Headcount!$I$5:$I$90=1)*$C$16)*(AJ$18&gt;=(Headcount!$E$5:$E$90+Headcount!$G$5:$G$90*$C$15)))/12*(1+Assumptions!$C$97)</f>
        <v>144875</v>
      </c>
      <c r="AK190" s="9" t="n">
        <f aca="false">SUMPRODUCT((Headcount!$C$5:$C$90="ENG")*Headcount!$D$5:$D$90*Headcount!$F$5:$F$90*((Headcount!$I$5:$I$90=0)+(Headcount!$I$5:$I$90=1)*$C$16)*(AK$18&gt;=(Headcount!$E$5:$E$90+Headcount!$G$5:$G$90*$C$15)))/12*(1+Assumptions!$C$97)</f>
        <v>144875</v>
      </c>
      <c r="AL190" s="9" t="n">
        <f aca="false">SUMPRODUCT((Headcount!$C$5:$C$90="ENG")*Headcount!$D$5:$D$90*Headcount!$F$5:$F$90*((Headcount!$I$5:$I$90=0)+(Headcount!$I$5:$I$90=1)*$C$16)*(AL$18&gt;=(Headcount!$E$5:$E$90+Headcount!$G$5:$G$90*$C$15)))/12*(1+Assumptions!$C$97)</f>
        <v>144875</v>
      </c>
      <c r="AN190" s="11" t="n">
        <f aca="false">SUM(C190:N190)</f>
        <v>796050</v>
      </c>
      <c r="AO190" s="11" t="n">
        <f aca="false">SUM(O190:Z190)</f>
        <v>1461966.66666667</v>
      </c>
      <c r="AP190" s="11" t="n">
        <f aca="false">SUM(AA190:AL190)</f>
        <v>1723250</v>
      </c>
    </row>
    <row r="191" customFormat="false" ht="15" hidden="false" customHeight="false" outlineLevel="0" collapsed="false">
      <c r="A191" s="0" t="s">
        <v>992</v>
      </c>
      <c r="B191" s="0" t="s">
        <v>230</v>
      </c>
      <c r="C191" s="9" t="n">
        <f aca="false">SUMPRODUCT((Headcount!$C$5:$C$90="PROD")*Headcount!$D$5:$D$90*Headcount!$F$5:$F$90*((Headcount!$I$5:$I$90=0)+(Headcount!$I$5:$I$90=1)*$C$16)*(C$18&gt;=(Headcount!$E$5:$E$90+Headcount!$G$5:$G$90*$C$15)))/12*(1+Assumptions!$C$97)</f>
        <v>0</v>
      </c>
      <c r="D191" s="9" t="n">
        <f aca="false">SUMPRODUCT((Headcount!$C$5:$C$90="PROD")*Headcount!$D$5:$D$90*Headcount!$F$5:$F$90*((Headcount!$I$5:$I$90=0)+(Headcount!$I$5:$I$90=1)*$C$16)*(D$18&gt;=(Headcount!$E$5:$E$90+Headcount!$G$5:$G$90*$C$15)))/12*(1+Assumptions!$C$97)</f>
        <v>0</v>
      </c>
      <c r="E191" s="9" t="n">
        <f aca="false">SUMPRODUCT((Headcount!$C$5:$C$90="PROD")*Headcount!$D$5:$D$90*Headcount!$F$5:$F$90*((Headcount!$I$5:$I$90=0)+(Headcount!$I$5:$I$90=1)*$C$16)*(E$18&gt;=(Headcount!$E$5:$E$90+Headcount!$G$5:$G$90*$C$15)))/12*(1+Assumptions!$C$97)</f>
        <v>13216.6666666667</v>
      </c>
      <c r="F191" s="9" t="n">
        <f aca="false">SUMPRODUCT((Headcount!$C$5:$C$90="PROD")*Headcount!$D$5:$D$90*Headcount!$F$5:$F$90*((Headcount!$I$5:$I$90=0)+(Headcount!$I$5:$I$90=1)*$C$16)*(F$18&gt;=(Headcount!$E$5:$E$90+Headcount!$G$5:$G$90*$C$15)))/12*(1+Assumptions!$C$97)</f>
        <v>27450</v>
      </c>
      <c r="G191" s="9" t="n">
        <f aca="false">SUMPRODUCT((Headcount!$C$5:$C$90="PROD")*Headcount!$D$5:$D$90*Headcount!$F$5:$F$90*((Headcount!$I$5:$I$90=0)+(Headcount!$I$5:$I$90=1)*$C$16)*(G$18&gt;=(Headcount!$E$5:$E$90+Headcount!$G$5:$G$90*$C$15)))/12*(1+Assumptions!$C$97)</f>
        <v>27450</v>
      </c>
      <c r="H191" s="9" t="n">
        <f aca="false">SUMPRODUCT((Headcount!$C$5:$C$90="PROD")*Headcount!$D$5:$D$90*Headcount!$F$5:$F$90*((Headcount!$I$5:$I$90=0)+(Headcount!$I$5:$I$90=1)*$C$16)*(H$18&gt;=(Headcount!$E$5:$E$90+Headcount!$G$5:$G$90*$C$15)))/12*(1+Assumptions!$C$97)</f>
        <v>27450</v>
      </c>
      <c r="I191" s="9" t="n">
        <f aca="false">SUMPRODUCT((Headcount!$C$5:$C$90="PROD")*Headcount!$D$5:$D$90*Headcount!$F$5:$F$90*((Headcount!$I$5:$I$90=0)+(Headcount!$I$5:$I$90=1)*$C$16)*(I$18&gt;=(Headcount!$E$5:$E$90+Headcount!$G$5:$G$90*$C$15)))/12*(1+Assumptions!$C$97)</f>
        <v>27450</v>
      </c>
      <c r="J191" s="9" t="n">
        <f aca="false">SUMPRODUCT((Headcount!$C$5:$C$90="PROD")*Headcount!$D$5:$D$90*Headcount!$F$5:$F$90*((Headcount!$I$5:$I$90=0)+(Headcount!$I$5:$I$90=1)*$C$16)*(J$18&gt;=(Headcount!$E$5:$E$90+Headcount!$G$5:$G$90*$C$15)))/12*(1+Assumptions!$C$97)</f>
        <v>27450</v>
      </c>
      <c r="K191" s="9" t="n">
        <f aca="false">SUMPRODUCT((Headcount!$C$5:$C$90="PROD")*Headcount!$D$5:$D$90*Headcount!$F$5:$F$90*((Headcount!$I$5:$I$90=0)+(Headcount!$I$5:$I$90=1)*$C$16)*(K$18&gt;=(Headcount!$E$5:$E$90+Headcount!$G$5:$G$90*$C$15)))/12*(1+Assumptions!$C$97)</f>
        <v>27450</v>
      </c>
      <c r="L191" s="9" t="n">
        <f aca="false">SUMPRODUCT((Headcount!$C$5:$C$90="PROD")*Headcount!$D$5:$D$90*Headcount!$F$5:$F$90*((Headcount!$I$5:$I$90=0)+(Headcount!$I$5:$I$90=1)*$C$16)*(L$18&gt;=(Headcount!$E$5:$E$90+Headcount!$G$5:$G$90*$C$15)))/12*(1+Assumptions!$C$97)</f>
        <v>39141.6666666667</v>
      </c>
      <c r="M191" s="9" t="n">
        <f aca="false">SUMPRODUCT((Headcount!$C$5:$C$90="PROD")*Headcount!$D$5:$D$90*Headcount!$F$5:$F$90*((Headcount!$I$5:$I$90=0)+(Headcount!$I$5:$I$90=1)*$C$16)*(M$18&gt;=(Headcount!$E$5:$E$90+Headcount!$G$5:$G$90*$C$15)))/12*(1+Assumptions!$C$97)</f>
        <v>39141.6666666667</v>
      </c>
      <c r="N191" s="9" t="n">
        <f aca="false">SUMPRODUCT((Headcount!$C$5:$C$90="PROD")*Headcount!$D$5:$D$90*Headcount!$F$5:$F$90*((Headcount!$I$5:$I$90=0)+(Headcount!$I$5:$I$90=1)*$C$16)*(N$18&gt;=(Headcount!$E$5:$E$90+Headcount!$G$5:$G$90*$C$15)))/12*(1+Assumptions!$C$97)</f>
        <v>39141.6666666667</v>
      </c>
      <c r="O191" s="9" t="n">
        <f aca="false">SUMPRODUCT((Headcount!$C$5:$C$90="PROD")*Headcount!$D$5:$D$90*Headcount!$F$5:$F$90*((Headcount!$I$5:$I$90=0)+(Headcount!$I$5:$I$90=1)*$C$16)*(O$18&gt;=(Headcount!$E$5:$E$90+Headcount!$G$5:$G$90*$C$15)))/12*(1+Assumptions!$C$97)</f>
        <v>39141.6666666667</v>
      </c>
      <c r="P191" s="9" t="n">
        <f aca="false">SUMPRODUCT((Headcount!$C$5:$C$90="PROD")*Headcount!$D$5:$D$90*Headcount!$F$5:$F$90*((Headcount!$I$5:$I$90=0)+(Headcount!$I$5:$I$90=1)*$C$16)*(P$18&gt;=(Headcount!$E$5:$E$90+Headcount!$G$5:$G$90*$C$15)))/12*(1+Assumptions!$C$97)</f>
        <v>39141.6666666667</v>
      </c>
      <c r="Q191" s="9" t="n">
        <f aca="false">SUMPRODUCT((Headcount!$C$5:$C$90="PROD")*Headcount!$D$5:$D$90*Headcount!$F$5:$F$90*((Headcount!$I$5:$I$90=0)+(Headcount!$I$5:$I$90=1)*$C$16)*(Q$18&gt;=(Headcount!$E$5:$E$90+Headcount!$G$5:$G$90*$C$15)))/12*(1+Assumptions!$C$97)</f>
        <v>39141.6666666667</v>
      </c>
      <c r="R191" s="9" t="n">
        <f aca="false">SUMPRODUCT((Headcount!$C$5:$C$90="PROD")*Headcount!$D$5:$D$90*Headcount!$F$5:$F$90*((Headcount!$I$5:$I$90=0)+(Headcount!$I$5:$I$90=1)*$C$16)*(R$18&gt;=(Headcount!$E$5:$E$90+Headcount!$G$5:$G$90*$C$15)))/12*(1+Assumptions!$C$97)</f>
        <v>39141.6666666667</v>
      </c>
      <c r="S191" s="9" t="n">
        <f aca="false">SUMPRODUCT((Headcount!$C$5:$C$90="PROD")*Headcount!$D$5:$D$90*Headcount!$F$5:$F$90*((Headcount!$I$5:$I$90=0)+(Headcount!$I$5:$I$90=1)*$C$16)*(S$18&gt;=(Headcount!$E$5:$E$90+Headcount!$G$5:$G$90*$C$15)))/12*(1+Assumptions!$C$97)</f>
        <v>39141.6666666667</v>
      </c>
      <c r="T191" s="9" t="n">
        <f aca="false">SUMPRODUCT((Headcount!$C$5:$C$90="PROD")*Headcount!$D$5:$D$90*Headcount!$F$5:$F$90*((Headcount!$I$5:$I$90=0)+(Headcount!$I$5:$I$90=1)*$C$16)*(T$18&gt;=(Headcount!$E$5:$E$90+Headcount!$G$5:$G$90*$C$15)))/12*(1+Assumptions!$C$97)</f>
        <v>39141.6666666667</v>
      </c>
      <c r="U191" s="9" t="n">
        <f aca="false">SUMPRODUCT((Headcount!$C$5:$C$90="PROD")*Headcount!$D$5:$D$90*Headcount!$F$5:$F$90*((Headcount!$I$5:$I$90=0)+(Headcount!$I$5:$I$90=1)*$C$16)*(U$18&gt;=(Headcount!$E$5:$E$90+Headcount!$G$5:$G$90*$C$15)))/12*(1+Assumptions!$C$97)</f>
        <v>39141.6666666667</v>
      </c>
      <c r="V191" s="9" t="n">
        <f aca="false">SUMPRODUCT((Headcount!$C$5:$C$90="PROD")*Headcount!$D$5:$D$90*Headcount!$F$5:$F$90*((Headcount!$I$5:$I$90=0)+(Headcount!$I$5:$I$90=1)*$C$16)*(V$18&gt;=(Headcount!$E$5:$E$90+Headcount!$G$5:$G$90*$C$15)))/12*(1+Assumptions!$C$97)</f>
        <v>39141.6666666667</v>
      </c>
      <c r="W191" s="9" t="n">
        <f aca="false">SUMPRODUCT((Headcount!$C$5:$C$90="PROD")*Headcount!$D$5:$D$90*Headcount!$F$5:$F$90*((Headcount!$I$5:$I$90=0)+(Headcount!$I$5:$I$90=1)*$C$16)*(W$18&gt;=(Headcount!$E$5:$E$90+Headcount!$G$5:$G$90*$C$15)))/12*(1+Assumptions!$C$97)</f>
        <v>39141.6666666667</v>
      </c>
      <c r="X191" s="9" t="n">
        <f aca="false">SUMPRODUCT((Headcount!$C$5:$C$90="PROD")*Headcount!$D$5:$D$90*Headcount!$F$5:$F$90*((Headcount!$I$5:$I$90=0)+(Headcount!$I$5:$I$90=1)*$C$16)*(X$18&gt;=(Headcount!$E$5:$E$90+Headcount!$G$5:$G$90*$C$15)))/12*(1+Assumptions!$C$97)</f>
        <v>39141.6666666667</v>
      </c>
      <c r="Y191" s="9" t="n">
        <f aca="false">SUMPRODUCT((Headcount!$C$5:$C$90="PROD")*Headcount!$D$5:$D$90*Headcount!$F$5:$F$90*((Headcount!$I$5:$I$90=0)+(Headcount!$I$5:$I$90=1)*$C$16)*(Y$18&gt;=(Headcount!$E$5:$E$90+Headcount!$G$5:$G$90*$C$15)))/12*(1+Assumptions!$C$97)</f>
        <v>39141.6666666667</v>
      </c>
      <c r="Z191" s="9" t="n">
        <f aca="false">SUMPRODUCT((Headcount!$C$5:$C$90="PROD")*Headcount!$D$5:$D$90*Headcount!$F$5:$F$90*((Headcount!$I$5:$I$90=0)+(Headcount!$I$5:$I$90=1)*$C$16)*(Z$18&gt;=(Headcount!$E$5:$E$90+Headcount!$G$5:$G$90*$C$15)))/12*(1+Assumptions!$C$97)</f>
        <v>39141.6666666667</v>
      </c>
      <c r="AA191" s="9" t="n">
        <f aca="false">SUMPRODUCT((Headcount!$C$5:$C$90="PROD")*Headcount!$D$5:$D$90*Headcount!$F$5:$F$90*((Headcount!$I$5:$I$90=0)+(Headcount!$I$5:$I$90=1)*$C$16)*(AA$18&gt;=(Headcount!$E$5:$E$90+Headcount!$G$5:$G$90*$C$15)))/12*(1+Assumptions!$C$97)</f>
        <v>39141.6666666667</v>
      </c>
      <c r="AB191" s="9" t="n">
        <f aca="false">SUMPRODUCT((Headcount!$C$5:$C$90="PROD")*Headcount!$D$5:$D$90*Headcount!$F$5:$F$90*((Headcount!$I$5:$I$90=0)+(Headcount!$I$5:$I$90=1)*$C$16)*(AB$18&gt;=(Headcount!$E$5:$E$90+Headcount!$G$5:$G$90*$C$15)))/12*(1+Assumptions!$C$97)</f>
        <v>39141.6666666667</v>
      </c>
      <c r="AC191" s="9" t="n">
        <f aca="false">SUMPRODUCT((Headcount!$C$5:$C$90="PROD")*Headcount!$D$5:$D$90*Headcount!$F$5:$F$90*((Headcount!$I$5:$I$90=0)+(Headcount!$I$5:$I$90=1)*$C$16)*(AC$18&gt;=(Headcount!$E$5:$E$90+Headcount!$G$5:$G$90*$C$15)))/12*(1+Assumptions!$C$97)</f>
        <v>39141.6666666667</v>
      </c>
      <c r="AD191" s="9" t="n">
        <f aca="false">SUMPRODUCT((Headcount!$C$5:$C$90="PROD")*Headcount!$D$5:$D$90*Headcount!$F$5:$F$90*((Headcount!$I$5:$I$90=0)+(Headcount!$I$5:$I$90=1)*$C$16)*(AD$18&gt;=(Headcount!$E$5:$E$90+Headcount!$G$5:$G$90*$C$15)))/12*(1+Assumptions!$C$97)</f>
        <v>39141.6666666667</v>
      </c>
      <c r="AE191" s="9" t="n">
        <f aca="false">SUMPRODUCT((Headcount!$C$5:$C$90="PROD")*Headcount!$D$5:$D$90*Headcount!$F$5:$F$90*((Headcount!$I$5:$I$90=0)+(Headcount!$I$5:$I$90=1)*$C$16)*(AE$18&gt;=(Headcount!$E$5:$E$90+Headcount!$G$5:$G$90*$C$15)))/12*(1+Assumptions!$C$97)</f>
        <v>39141.6666666667</v>
      </c>
      <c r="AF191" s="9" t="n">
        <f aca="false">SUMPRODUCT((Headcount!$C$5:$C$90="PROD")*Headcount!$D$5:$D$90*Headcount!$F$5:$F$90*((Headcount!$I$5:$I$90=0)+(Headcount!$I$5:$I$90=1)*$C$16)*(AF$18&gt;=(Headcount!$E$5:$E$90+Headcount!$G$5:$G$90*$C$15)))/12*(1+Assumptions!$C$97)</f>
        <v>39141.6666666667</v>
      </c>
      <c r="AG191" s="9" t="n">
        <f aca="false">SUMPRODUCT((Headcount!$C$5:$C$90="PROD")*Headcount!$D$5:$D$90*Headcount!$F$5:$F$90*((Headcount!$I$5:$I$90=0)+(Headcount!$I$5:$I$90=1)*$C$16)*(AG$18&gt;=(Headcount!$E$5:$E$90+Headcount!$G$5:$G$90*$C$15)))/12*(1+Assumptions!$C$97)</f>
        <v>39141.6666666667</v>
      </c>
      <c r="AH191" s="9" t="n">
        <f aca="false">SUMPRODUCT((Headcount!$C$5:$C$90="PROD")*Headcount!$D$5:$D$90*Headcount!$F$5:$F$90*((Headcount!$I$5:$I$90=0)+(Headcount!$I$5:$I$90=1)*$C$16)*(AH$18&gt;=(Headcount!$E$5:$E$90+Headcount!$G$5:$G$90*$C$15)))/12*(1+Assumptions!$C$97)</f>
        <v>39141.6666666667</v>
      </c>
      <c r="AI191" s="9" t="n">
        <f aca="false">SUMPRODUCT((Headcount!$C$5:$C$90="PROD")*Headcount!$D$5:$D$90*Headcount!$F$5:$F$90*((Headcount!$I$5:$I$90=0)+(Headcount!$I$5:$I$90=1)*$C$16)*(AI$18&gt;=(Headcount!$E$5:$E$90+Headcount!$G$5:$G$90*$C$15)))/12*(1+Assumptions!$C$97)</f>
        <v>39141.6666666667</v>
      </c>
      <c r="AJ191" s="9" t="n">
        <f aca="false">SUMPRODUCT((Headcount!$C$5:$C$90="PROD")*Headcount!$D$5:$D$90*Headcount!$F$5:$F$90*((Headcount!$I$5:$I$90=0)+(Headcount!$I$5:$I$90=1)*$C$16)*(AJ$18&gt;=(Headcount!$E$5:$E$90+Headcount!$G$5:$G$90*$C$15)))/12*(1+Assumptions!$C$97)</f>
        <v>39141.6666666667</v>
      </c>
      <c r="AK191" s="9" t="n">
        <f aca="false">SUMPRODUCT((Headcount!$C$5:$C$90="PROD")*Headcount!$D$5:$D$90*Headcount!$F$5:$F$90*((Headcount!$I$5:$I$90=0)+(Headcount!$I$5:$I$90=1)*$C$16)*(AK$18&gt;=(Headcount!$E$5:$E$90+Headcount!$G$5:$G$90*$C$15)))/12*(1+Assumptions!$C$97)</f>
        <v>39141.6666666667</v>
      </c>
      <c r="AL191" s="9" t="n">
        <f aca="false">SUMPRODUCT((Headcount!$C$5:$C$90="PROD")*Headcount!$D$5:$D$90*Headcount!$F$5:$F$90*((Headcount!$I$5:$I$90=0)+(Headcount!$I$5:$I$90=1)*$C$16)*(AL$18&gt;=(Headcount!$E$5:$E$90+Headcount!$G$5:$G$90*$C$15)))/12*(1+Assumptions!$C$97)</f>
        <v>39141.6666666667</v>
      </c>
      <c r="AN191" s="11" t="n">
        <f aca="false">SUM(C191:N191)</f>
        <v>295341.666666667</v>
      </c>
      <c r="AO191" s="11" t="n">
        <f aca="false">SUM(O191:Z191)</f>
        <v>469700</v>
      </c>
      <c r="AP191" s="11" t="n">
        <f aca="false">SUM(AA191:AL191)</f>
        <v>469700</v>
      </c>
    </row>
    <row r="192" customFormat="false" ht="15" hidden="false" customHeight="false" outlineLevel="0" collapsed="false">
      <c r="A192" s="0" t="s">
        <v>993</v>
      </c>
      <c r="B192" s="0" t="s">
        <v>230</v>
      </c>
      <c r="C192" s="9" t="n">
        <f aca="false">SUMPRODUCT((Headcount!$C$5:$C$90="SEC")*Headcount!$D$5:$D$90*Headcount!$F$5:$F$90*((Headcount!$I$5:$I$90=0)+(Headcount!$I$5:$I$90=1)*$C$16)*(C$18&gt;=(Headcount!$E$5:$E$90+Headcount!$G$5:$G$90*$C$15)))/12*(1+Assumptions!$C$97)</f>
        <v>0</v>
      </c>
      <c r="D192" s="9" t="n">
        <f aca="false">SUMPRODUCT((Headcount!$C$5:$C$90="SEC")*Headcount!$D$5:$D$90*Headcount!$F$5:$F$90*((Headcount!$I$5:$I$90=0)+(Headcount!$I$5:$I$90=1)*$C$16)*(D$18&gt;=(Headcount!$E$5:$E$90+Headcount!$G$5:$G$90*$C$15)))/12*(1+Assumptions!$C$97)</f>
        <v>0</v>
      </c>
      <c r="E192" s="9" t="n">
        <f aca="false">SUMPRODUCT((Headcount!$C$5:$C$90="SEC")*Headcount!$D$5:$D$90*Headcount!$F$5:$F$90*((Headcount!$I$5:$I$90=0)+(Headcount!$I$5:$I$90=1)*$C$16)*(E$18&gt;=(Headcount!$E$5:$E$90+Headcount!$G$5:$G$90*$C$15)))/12*(1+Assumptions!$C$97)</f>
        <v>0</v>
      </c>
      <c r="F192" s="9" t="n">
        <f aca="false">SUMPRODUCT((Headcount!$C$5:$C$90="SEC")*Headcount!$D$5:$D$90*Headcount!$F$5:$F$90*((Headcount!$I$5:$I$90=0)+(Headcount!$I$5:$I$90=1)*$C$16)*(F$18&gt;=(Headcount!$E$5:$E$90+Headcount!$G$5:$G$90*$C$15)))/12*(1+Assumptions!$C$97)</f>
        <v>0</v>
      </c>
      <c r="G192" s="9" t="n">
        <f aca="false">SUMPRODUCT((Headcount!$C$5:$C$90="SEC")*Headcount!$D$5:$D$90*Headcount!$F$5:$F$90*((Headcount!$I$5:$I$90=0)+(Headcount!$I$5:$I$90=1)*$C$16)*(G$18&gt;=(Headcount!$E$5:$E$90+Headcount!$G$5:$G$90*$C$15)))/12*(1+Assumptions!$C$97)</f>
        <v>0</v>
      </c>
      <c r="H192" s="9" t="n">
        <f aca="false">SUMPRODUCT((Headcount!$C$5:$C$90="SEC")*Headcount!$D$5:$D$90*Headcount!$F$5:$F$90*((Headcount!$I$5:$I$90=0)+(Headcount!$I$5:$I$90=1)*$C$16)*(H$18&gt;=(Headcount!$E$5:$E$90+Headcount!$G$5:$G$90*$C$15)))/12*(1+Assumptions!$C$97)</f>
        <v>0</v>
      </c>
      <c r="I192" s="9" t="n">
        <f aca="false">SUMPRODUCT((Headcount!$C$5:$C$90="SEC")*Headcount!$D$5:$D$90*Headcount!$F$5:$F$90*((Headcount!$I$5:$I$90=0)+(Headcount!$I$5:$I$90=1)*$C$16)*(I$18&gt;=(Headcount!$E$5:$E$90+Headcount!$G$5:$G$90*$C$15)))/12*(1+Assumptions!$C$97)</f>
        <v>15250</v>
      </c>
      <c r="J192" s="9" t="n">
        <f aca="false">SUMPRODUCT((Headcount!$C$5:$C$90="SEC")*Headcount!$D$5:$D$90*Headcount!$F$5:$F$90*((Headcount!$I$5:$I$90=0)+(Headcount!$I$5:$I$90=1)*$C$16)*(J$18&gt;=(Headcount!$E$5:$E$90+Headcount!$G$5:$G$90*$C$15)))/12*(1+Assumptions!$C$97)</f>
        <v>15250</v>
      </c>
      <c r="K192" s="9" t="n">
        <f aca="false">SUMPRODUCT((Headcount!$C$5:$C$90="SEC")*Headcount!$D$5:$D$90*Headcount!$F$5:$F$90*((Headcount!$I$5:$I$90=0)+(Headcount!$I$5:$I$90=1)*$C$16)*(K$18&gt;=(Headcount!$E$5:$E$90+Headcount!$G$5:$G$90*$C$15)))/12*(1+Assumptions!$C$97)</f>
        <v>15250</v>
      </c>
      <c r="L192" s="9" t="n">
        <f aca="false">SUMPRODUCT((Headcount!$C$5:$C$90="SEC")*Headcount!$D$5:$D$90*Headcount!$F$5:$F$90*((Headcount!$I$5:$I$90=0)+(Headcount!$I$5:$I$90=1)*$C$16)*(L$18&gt;=(Headcount!$E$5:$E$90+Headcount!$G$5:$G$90*$C$15)))/12*(1+Assumptions!$C$97)</f>
        <v>15250</v>
      </c>
      <c r="M192" s="9" t="n">
        <f aca="false">SUMPRODUCT((Headcount!$C$5:$C$90="SEC")*Headcount!$D$5:$D$90*Headcount!$F$5:$F$90*((Headcount!$I$5:$I$90=0)+(Headcount!$I$5:$I$90=1)*$C$16)*(M$18&gt;=(Headcount!$E$5:$E$90+Headcount!$G$5:$G$90*$C$15)))/12*(1+Assumptions!$C$97)</f>
        <v>15250</v>
      </c>
      <c r="N192" s="9" t="n">
        <f aca="false">SUMPRODUCT((Headcount!$C$5:$C$90="SEC")*Headcount!$D$5:$D$90*Headcount!$F$5:$F$90*((Headcount!$I$5:$I$90=0)+(Headcount!$I$5:$I$90=1)*$C$16)*(N$18&gt;=(Headcount!$E$5:$E$90+Headcount!$G$5:$G$90*$C$15)))/12*(1+Assumptions!$C$97)</f>
        <v>15250</v>
      </c>
      <c r="O192" s="9" t="n">
        <f aca="false">SUMPRODUCT((Headcount!$C$5:$C$90="SEC")*Headcount!$D$5:$D$90*Headcount!$F$5:$F$90*((Headcount!$I$5:$I$90=0)+(Headcount!$I$5:$I$90=1)*$C$16)*(O$18&gt;=(Headcount!$E$5:$E$90+Headcount!$G$5:$G$90*$C$15)))/12*(1+Assumptions!$C$97)</f>
        <v>15250</v>
      </c>
      <c r="P192" s="9" t="n">
        <f aca="false">SUMPRODUCT((Headcount!$C$5:$C$90="SEC")*Headcount!$D$5:$D$90*Headcount!$F$5:$F$90*((Headcount!$I$5:$I$90=0)+(Headcount!$I$5:$I$90=1)*$C$16)*(P$18&gt;=(Headcount!$E$5:$E$90+Headcount!$G$5:$G$90*$C$15)))/12*(1+Assumptions!$C$97)</f>
        <v>15250</v>
      </c>
      <c r="Q192" s="9" t="n">
        <f aca="false">SUMPRODUCT((Headcount!$C$5:$C$90="SEC")*Headcount!$D$5:$D$90*Headcount!$F$5:$F$90*((Headcount!$I$5:$I$90=0)+(Headcount!$I$5:$I$90=1)*$C$16)*(Q$18&gt;=(Headcount!$E$5:$E$90+Headcount!$G$5:$G$90*$C$15)))/12*(1+Assumptions!$C$97)</f>
        <v>15250</v>
      </c>
      <c r="R192" s="9" t="n">
        <f aca="false">SUMPRODUCT((Headcount!$C$5:$C$90="SEC")*Headcount!$D$5:$D$90*Headcount!$F$5:$F$90*((Headcount!$I$5:$I$90=0)+(Headcount!$I$5:$I$90=1)*$C$16)*(R$18&gt;=(Headcount!$E$5:$E$90+Headcount!$G$5:$G$90*$C$15)))/12*(1+Assumptions!$C$97)</f>
        <v>15250</v>
      </c>
      <c r="S192" s="9" t="n">
        <f aca="false">SUMPRODUCT((Headcount!$C$5:$C$90="SEC")*Headcount!$D$5:$D$90*Headcount!$F$5:$F$90*((Headcount!$I$5:$I$90=0)+(Headcount!$I$5:$I$90=1)*$C$16)*(S$18&gt;=(Headcount!$E$5:$E$90+Headcount!$G$5:$G$90*$C$15)))/12*(1+Assumptions!$C$97)</f>
        <v>15250</v>
      </c>
      <c r="T192" s="9" t="n">
        <f aca="false">SUMPRODUCT((Headcount!$C$5:$C$90="SEC")*Headcount!$D$5:$D$90*Headcount!$F$5:$F$90*((Headcount!$I$5:$I$90=0)+(Headcount!$I$5:$I$90=1)*$C$16)*(T$18&gt;=(Headcount!$E$5:$E$90+Headcount!$G$5:$G$90*$C$15)))/12*(1+Assumptions!$C$97)</f>
        <v>15250</v>
      </c>
      <c r="U192" s="9" t="n">
        <f aca="false">SUMPRODUCT((Headcount!$C$5:$C$90="SEC")*Headcount!$D$5:$D$90*Headcount!$F$5:$F$90*((Headcount!$I$5:$I$90=0)+(Headcount!$I$5:$I$90=1)*$C$16)*(U$18&gt;=(Headcount!$E$5:$E$90+Headcount!$G$5:$G$90*$C$15)))/12*(1+Assumptions!$C$97)</f>
        <v>15250</v>
      </c>
      <c r="V192" s="9" t="n">
        <f aca="false">SUMPRODUCT((Headcount!$C$5:$C$90="SEC")*Headcount!$D$5:$D$90*Headcount!$F$5:$F$90*((Headcount!$I$5:$I$90=0)+(Headcount!$I$5:$I$90=1)*$C$16)*(V$18&gt;=(Headcount!$E$5:$E$90+Headcount!$G$5:$G$90*$C$15)))/12*(1+Assumptions!$C$97)</f>
        <v>15250</v>
      </c>
      <c r="W192" s="9" t="n">
        <f aca="false">SUMPRODUCT((Headcount!$C$5:$C$90="SEC")*Headcount!$D$5:$D$90*Headcount!$F$5:$F$90*((Headcount!$I$5:$I$90=0)+(Headcount!$I$5:$I$90=1)*$C$16)*(W$18&gt;=(Headcount!$E$5:$E$90+Headcount!$G$5:$G$90*$C$15)))/12*(1+Assumptions!$C$97)</f>
        <v>15250</v>
      </c>
      <c r="X192" s="9" t="n">
        <f aca="false">SUMPRODUCT((Headcount!$C$5:$C$90="SEC")*Headcount!$D$5:$D$90*Headcount!$F$5:$F$90*((Headcount!$I$5:$I$90=0)+(Headcount!$I$5:$I$90=1)*$C$16)*(X$18&gt;=(Headcount!$E$5:$E$90+Headcount!$G$5:$G$90*$C$15)))/12*(1+Assumptions!$C$97)</f>
        <v>15250</v>
      </c>
      <c r="Y192" s="9" t="n">
        <f aca="false">SUMPRODUCT((Headcount!$C$5:$C$90="SEC")*Headcount!$D$5:$D$90*Headcount!$F$5:$F$90*((Headcount!$I$5:$I$90=0)+(Headcount!$I$5:$I$90=1)*$C$16)*(Y$18&gt;=(Headcount!$E$5:$E$90+Headcount!$G$5:$G$90*$C$15)))/12*(1+Assumptions!$C$97)</f>
        <v>15250</v>
      </c>
      <c r="Z192" s="9" t="n">
        <f aca="false">SUMPRODUCT((Headcount!$C$5:$C$90="SEC")*Headcount!$D$5:$D$90*Headcount!$F$5:$F$90*((Headcount!$I$5:$I$90=0)+(Headcount!$I$5:$I$90=1)*$C$16)*(Z$18&gt;=(Headcount!$E$5:$E$90+Headcount!$G$5:$G$90*$C$15)))/12*(1+Assumptions!$C$97)</f>
        <v>15250</v>
      </c>
      <c r="AA192" s="9" t="n">
        <f aca="false">SUMPRODUCT((Headcount!$C$5:$C$90="SEC")*Headcount!$D$5:$D$90*Headcount!$F$5:$F$90*((Headcount!$I$5:$I$90=0)+(Headcount!$I$5:$I$90=1)*$C$16)*(AA$18&gt;=(Headcount!$E$5:$E$90+Headcount!$G$5:$G$90*$C$15)))/12*(1+Assumptions!$C$97)</f>
        <v>15250</v>
      </c>
      <c r="AB192" s="9" t="n">
        <f aca="false">SUMPRODUCT((Headcount!$C$5:$C$90="SEC")*Headcount!$D$5:$D$90*Headcount!$F$5:$F$90*((Headcount!$I$5:$I$90=0)+(Headcount!$I$5:$I$90=1)*$C$16)*(AB$18&gt;=(Headcount!$E$5:$E$90+Headcount!$G$5:$G$90*$C$15)))/12*(1+Assumptions!$C$97)</f>
        <v>15250</v>
      </c>
      <c r="AC192" s="9" t="n">
        <f aca="false">SUMPRODUCT((Headcount!$C$5:$C$90="SEC")*Headcount!$D$5:$D$90*Headcount!$F$5:$F$90*((Headcount!$I$5:$I$90=0)+(Headcount!$I$5:$I$90=1)*$C$16)*(AC$18&gt;=(Headcount!$E$5:$E$90+Headcount!$G$5:$G$90*$C$15)))/12*(1+Assumptions!$C$97)</f>
        <v>15250</v>
      </c>
      <c r="AD192" s="9" t="n">
        <f aca="false">SUMPRODUCT((Headcount!$C$5:$C$90="SEC")*Headcount!$D$5:$D$90*Headcount!$F$5:$F$90*((Headcount!$I$5:$I$90=0)+(Headcount!$I$5:$I$90=1)*$C$16)*(AD$18&gt;=(Headcount!$E$5:$E$90+Headcount!$G$5:$G$90*$C$15)))/12*(1+Assumptions!$C$97)</f>
        <v>15250</v>
      </c>
      <c r="AE192" s="9" t="n">
        <f aca="false">SUMPRODUCT((Headcount!$C$5:$C$90="SEC")*Headcount!$D$5:$D$90*Headcount!$F$5:$F$90*((Headcount!$I$5:$I$90=0)+(Headcount!$I$5:$I$90=1)*$C$16)*(AE$18&gt;=(Headcount!$E$5:$E$90+Headcount!$G$5:$G$90*$C$15)))/12*(1+Assumptions!$C$97)</f>
        <v>15250</v>
      </c>
      <c r="AF192" s="9" t="n">
        <f aca="false">SUMPRODUCT((Headcount!$C$5:$C$90="SEC")*Headcount!$D$5:$D$90*Headcount!$F$5:$F$90*((Headcount!$I$5:$I$90=0)+(Headcount!$I$5:$I$90=1)*$C$16)*(AF$18&gt;=(Headcount!$E$5:$E$90+Headcount!$G$5:$G$90*$C$15)))/12*(1+Assumptions!$C$97)</f>
        <v>15250</v>
      </c>
      <c r="AG192" s="9" t="n">
        <f aca="false">SUMPRODUCT((Headcount!$C$5:$C$90="SEC")*Headcount!$D$5:$D$90*Headcount!$F$5:$F$90*((Headcount!$I$5:$I$90=0)+(Headcount!$I$5:$I$90=1)*$C$16)*(AG$18&gt;=(Headcount!$E$5:$E$90+Headcount!$G$5:$G$90*$C$15)))/12*(1+Assumptions!$C$97)</f>
        <v>15250</v>
      </c>
      <c r="AH192" s="9" t="n">
        <f aca="false">SUMPRODUCT((Headcount!$C$5:$C$90="SEC")*Headcount!$D$5:$D$90*Headcount!$F$5:$F$90*((Headcount!$I$5:$I$90=0)+(Headcount!$I$5:$I$90=1)*$C$16)*(AH$18&gt;=(Headcount!$E$5:$E$90+Headcount!$G$5:$G$90*$C$15)))/12*(1+Assumptions!$C$97)</f>
        <v>15250</v>
      </c>
      <c r="AI192" s="9" t="n">
        <f aca="false">SUMPRODUCT((Headcount!$C$5:$C$90="SEC")*Headcount!$D$5:$D$90*Headcount!$F$5:$F$90*((Headcount!$I$5:$I$90=0)+(Headcount!$I$5:$I$90=1)*$C$16)*(AI$18&gt;=(Headcount!$E$5:$E$90+Headcount!$G$5:$G$90*$C$15)))/12*(1+Assumptions!$C$97)</f>
        <v>15250</v>
      </c>
      <c r="AJ192" s="9" t="n">
        <f aca="false">SUMPRODUCT((Headcount!$C$5:$C$90="SEC")*Headcount!$D$5:$D$90*Headcount!$F$5:$F$90*((Headcount!$I$5:$I$90=0)+(Headcount!$I$5:$I$90=1)*$C$16)*(AJ$18&gt;=(Headcount!$E$5:$E$90+Headcount!$G$5:$G$90*$C$15)))/12*(1+Assumptions!$C$97)</f>
        <v>15250</v>
      </c>
      <c r="AK192" s="9" t="n">
        <f aca="false">SUMPRODUCT((Headcount!$C$5:$C$90="SEC")*Headcount!$D$5:$D$90*Headcount!$F$5:$F$90*((Headcount!$I$5:$I$90=0)+(Headcount!$I$5:$I$90=1)*$C$16)*(AK$18&gt;=(Headcount!$E$5:$E$90+Headcount!$G$5:$G$90*$C$15)))/12*(1+Assumptions!$C$97)</f>
        <v>15250</v>
      </c>
      <c r="AL192" s="9" t="n">
        <f aca="false">SUMPRODUCT((Headcount!$C$5:$C$90="SEC")*Headcount!$D$5:$D$90*Headcount!$F$5:$F$90*((Headcount!$I$5:$I$90=0)+(Headcount!$I$5:$I$90=1)*$C$16)*(AL$18&gt;=(Headcount!$E$5:$E$90+Headcount!$G$5:$G$90*$C$15)))/12*(1+Assumptions!$C$97)</f>
        <v>15250</v>
      </c>
      <c r="AN192" s="11" t="n">
        <f aca="false">SUM(C192:N192)</f>
        <v>91500</v>
      </c>
      <c r="AO192" s="11" t="n">
        <f aca="false">SUM(O192:Z192)</f>
        <v>183000</v>
      </c>
      <c r="AP192" s="11" t="n">
        <f aca="false">SUM(AA192:AL192)</f>
        <v>183000</v>
      </c>
    </row>
    <row r="193" customFormat="false" ht="15" hidden="false" customHeight="false" outlineLevel="0" collapsed="false">
      <c r="A193" s="0" t="s">
        <v>994</v>
      </c>
      <c r="B193" s="0" t="s">
        <v>230</v>
      </c>
      <c r="C193" s="9" t="n">
        <f aca="false">SUMPRODUCT((Headcount!$C$5:$C$90="SALES")*Headcount!$D$5:$D$90*Headcount!$F$5:$F$90*((Headcount!$I$5:$I$90=0)+(Headcount!$I$5:$I$90=1)*$C$16)*(C$18&gt;=(Headcount!$E$5:$E$90+Headcount!$G$5:$G$90*$C$15)))/12*(1+Assumptions!$C$97)</f>
        <v>0</v>
      </c>
      <c r="D193" s="9" t="n">
        <f aca="false">SUMPRODUCT((Headcount!$C$5:$C$90="SALES")*Headcount!$D$5:$D$90*Headcount!$F$5:$F$90*((Headcount!$I$5:$I$90=0)+(Headcount!$I$5:$I$90=1)*$C$16)*(D$18&gt;=(Headcount!$E$5:$E$90+Headcount!$G$5:$G$90*$C$15)))/12*(1+Assumptions!$C$97)</f>
        <v>0</v>
      </c>
      <c r="E193" s="9" t="n">
        <f aca="false">SUMPRODUCT((Headcount!$C$5:$C$90="SALES")*Headcount!$D$5:$D$90*Headcount!$F$5:$F$90*((Headcount!$I$5:$I$90=0)+(Headcount!$I$5:$I$90=1)*$C$16)*(E$18&gt;=(Headcount!$E$5:$E$90+Headcount!$G$5:$G$90*$C$15)))/12*(1+Assumptions!$C$97)</f>
        <v>0</v>
      </c>
      <c r="F193" s="9" t="n">
        <f aca="false">SUMPRODUCT((Headcount!$C$5:$C$90="SALES")*Headcount!$D$5:$D$90*Headcount!$F$5:$F$90*((Headcount!$I$5:$I$90=0)+(Headcount!$I$5:$I$90=1)*$C$16)*(F$18&gt;=(Headcount!$E$5:$E$90+Headcount!$G$5:$G$90*$C$15)))/12*(1+Assumptions!$C$97)</f>
        <v>0</v>
      </c>
      <c r="G193" s="9" t="n">
        <f aca="false">SUMPRODUCT((Headcount!$C$5:$C$90="SALES")*Headcount!$D$5:$D$90*Headcount!$F$5:$F$90*((Headcount!$I$5:$I$90=0)+(Headcount!$I$5:$I$90=1)*$C$16)*(G$18&gt;=(Headcount!$E$5:$E$90+Headcount!$G$5:$G$90*$C$15)))/12*(1+Assumptions!$C$97)</f>
        <v>0</v>
      </c>
      <c r="H193" s="9" t="n">
        <f aca="false">SUMPRODUCT((Headcount!$C$5:$C$90="SALES")*Headcount!$D$5:$D$90*Headcount!$F$5:$F$90*((Headcount!$I$5:$I$90=0)+(Headcount!$I$5:$I$90=1)*$C$16)*(H$18&gt;=(Headcount!$E$5:$E$90+Headcount!$G$5:$G$90*$C$15)))/12*(1+Assumptions!$C$97)</f>
        <v>0</v>
      </c>
      <c r="I193" s="9" t="n">
        <f aca="false">SUMPRODUCT((Headcount!$C$5:$C$90="SALES")*Headcount!$D$5:$D$90*Headcount!$F$5:$F$90*((Headcount!$I$5:$I$90=0)+(Headcount!$I$5:$I$90=1)*$C$16)*(I$18&gt;=(Headcount!$E$5:$E$90+Headcount!$G$5:$G$90*$C$15)))/12*(1+Assumptions!$C$97)</f>
        <v>0</v>
      </c>
      <c r="J193" s="9" t="n">
        <f aca="false">SUMPRODUCT((Headcount!$C$5:$C$90="SALES")*Headcount!$D$5:$D$90*Headcount!$F$5:$F$90*((Headcount!$I$5:$I$90=0)+(Headcount!$I$5:$I$90=1)*$C$16)*(J$18&gt;=(Headcount!$E$5:$E$90+Headcount!$G$5:$G$90*$C$15)))/12*(1+Assumptions!$C$97)</f>
        <v>0</v>
      </c>
      <c r="K193" s="9" t="n">
        <f aca="false">SUMPRODUCT((Headcount!$C$5:$C$90="SALES")*Headcount!$D$5:$D$90*Headcount!$F$5:$F$90*((Headcount!$I$5:$I$90=0)+(Headcount!$I$5:$I$90=1)*$C$16)*(K$18&gt;=(Headcount!$E$5:$E$90+Headcount!$G$5:$G$90*$C$15)))/12*(1+Assumptions!$C$97)</f>
        <v>0</v>
      </c>
      <c r="L193" s="9" t="n">
        <f aca="false">SUMPRODUCT((Headcount!$C$5:$C$90="SALES")*Headcount!$D$5:$D$90*Headcount!$F$5:$F$90*((Headcount!$I$5:$I$90=0)+(Headcount!$I$5:$I$90=1)*$C$16)*(L$18&gt;=(Headcount!$E$5:$E$90+Headcount!$G$5:$G$90*$C$15)))/12*(1+Assumptions!$C$97)</f>
        <v>0</v>
      </c>
      <c r="M193" s="9" t="n">
        <f aca="false">SUMPRODUCT((Headcount!$C$5:$C$90="SALES")*Headcount!$D$5:$D$90*Headcount!$F$5:$F$90*((Headcount!$I$5:$I$90=0)+(Headcount!$I$5:$I$90=1)*$C$16)*(M$18&gt;=(Headcount!$E$5:$E$90+Headcount!$G$5:$G$90*$C$15)))/12*(1+Assumptions!$C$97)</f>
        <v>11183.3333333333</v>
      </c>
      <c r="N193" s="9" t="n">
        <f aca="false">SUMPRODUCT((Headcount!$C$5:$C$90="SALES")*Headcount!$D$5:$D$90*Headcount!$F$5:$F$90*((Headcount!$I$5:$I$90=0)+(Headcount!$I$5:$I$90=1)*$C$16)*(N$18&gt;=(Headcount!$E$5:$E$90+Headcount!$G$5:$G$90*$C$15)))/12*(1+Assumptions!$C$97)</f>
        <v>11183.3333333333</v>
      </c>
      <c r="O193" s="9" t="n">
        <f aca="false">SUMPRODUCT((Headcount!$C$5:$C$90="SALES")*Headcount!$D$5:$D$90*Headcount!$F$5:$F$90*((Headcount!$I$5:$I$90=0)+(Headcount!$I$5:$I$90=1)*$C$16)*(O$18&gt;=(Headcount!$E$5:$E$90+Headcount!$G$5:$G$90*$C$15)))/12*(1+Assumptions!$C$97)</f>
        <v>24400</v>
      </c>
      <c r="P193" s="9" t="n">
        <f aca="false">SUMPRODUCT((Headcount!$C$5:$C$90="SALES")*Headcount!$D$5:$D$90*Headcount!$F$5:$F$90*((Headcount!$I$5:$I$90=0)+(Headcount!$I$5:$I$90=1)*$C$16)*(P$18&gt;=(Headcount!$E$5:$E$90+Headcount!$G$5:$G$90*$C$15)))/12*(1+Assumptions!$C$97)</f>
        <v>24400</v>
      </c>
      <c r="Q193" s="9" t="n">
        <f aca="false">SUMPRODUCT((Headcount!$C$5:$C$90="SALES")*Headcount!$D$5:$D$90*Headcount!$F$5:$F$90*((Headcount!$I$5:$I$90=0)+(Headcount!$I$5:$I$90=1)*$C$16)*(Q$18&gt;=(Headcount!$E$5:$E$90+Headcount!$G$5:$G$90*$C$15)))/12*(1+Assumptions!$C$97)</f>
        <v>24400</v>
      </c>
      <c r="R193" s="9" t="n">
        <f aca="false">SUMPRODUCT((Headcount!$C$5:$C$90="SALES")*Headcount!$D$5:$D$90*Headcount!$F$5:$F$90*((Headcount!$I$5:$I$90=0)+(Headcount!$I$5:$I$90=1)*$C$16)*(R$18&gt;=(Headcount!$E$5:$E$90+Headcount!$G$5:$G$90*$C$15)))/12*(1+Assumptions!$C$97)</f>
        <v>24400</v>
      </c>
      <c r="S193" s="9" t="n">
        <f aca="false">SUMPRODUCT((Headcount!$C$5:$C$90="SALES")*Headcount!$D$5:$D$90*Headcount!$F$5:$F$90*((Headcount!$I$5:$I$90=0)+(Headcount!$I$5:$I$90=1)*$C$16)*(S$18&gt;=(Headcount!$E$5:$E$90+Headcount!$G$5:$G$90*$C$15)))/12*(1+Assumptions!$C$97)</f>
        <v>24400</v>
      </c>
      <c r="T193" s="9" t="n">
        <f aca="false">SUMPRODUCT((Headcount!$C$5:$C$90="SALES")*Headcount!$D$5:$D$90*Headcount!$F$5:$F$90*((Headcount!$I$5:$I$90=0)+(Headcount!$I$5:$I$90=1)*$C$16)*(T$18&gt;=(Headcount!$E$5:$E$90+Headcount!$G$5:$G$90*$C$15)))/12*(1+Assumptions!$C$97)</f>
        <v>24400</v>
      </c>
      <c r="U193" s="9" t="n">
        <f aca="false">SUMPRODUCT((Headcount!$C$5:$C$90="SALES")*Headcount!$D$5:$D$90*Headcount!$F$5:$F$90*((Headcount!$I$5:$I$90=0)+(Headcount!$I$5:$I$90=1)*$C$16)*(U$18&gt;=(Headcount!$E$5:$E$90+Headcount!$G$5:$G$90*$C$15)))/12*(1+Assumptions!$C$97)</f>
        <v>24400</v>
      </c>
      <c r="V193" s="9" t="n">
        <f aca="false">SUMPRODUCT((Headcount!$C$5:$C$90="SALES")*Headcount!$D$5:$D$90*Headcount!$F$5:$F$90*((Headcount!$I$5:$I$90=0)+(Headcount!$I$5:$I$90=1)*$C$16)*(V$18&gt;=(Headcount!$E$5:$E$90+Headcount!$G$5:$G$90*$C$15)))/12*(1+Assumptions!$C$97)</f>
        <v>24400</v>
      </c>
      <c r="W193" s="9" t="n">
        <f aca="false">SUMPRODUCT((Headcount!$C$5:$C$90="SALES")*Headcount!$D$5:$D$90*Headcount!$F$5:$F$90*((Headcount!$I$5:$I$90=0)+(Headcount!$I$5:$I$90=1)*$C$16)*(W$18&gt;=(Headcount!$E$5:$E$90+Headcount!$G$5:$G$90*$C$15)))/12*(1+Assumptions!$C$97)</f>
        <v>24400</v>
      </c>
      <c r="X193" s="9" t="n">
        <f aca="false">SUMPRODUCT((Headcount!$C$5:$C$90="SALES")*Headcount!$D$5:$D$90*Headcount!$F$5:$F$90*((Headcount!$I$5:$I$90=0)+(Headcount!$I$5:$I$90=1)*$C$16)*(X$18&gt;=(Headcount!$E$5:$E$90+Headcount!$G$5:$G$90*$C$15)))/12*(1+Assumptions!$C$97)</f>
        <v>35583.3333333333</v>
      </c>
      <c r="Y193" s="9" t="n">
        <f aca="false">SUMPRODUCT((Headcount!$C$5:$C$90="SALES")*Headcount!$D$5:$D$90*Headcount!$F$5:$F$90*((Headcount!$I$5:$I$90=0)+(Headcount!$I$5:$I$90=1)*$C$16)*(Y$18&gt;=(Headcount!$E$5:$E$90+Headcount!$G$5:$G$90*$C$15)))/12*(1+Assumptions!$C$97)</f>
        <v>35583.3333333333</v>
      </c>
      <c r="Z193" s="9" t="n">
        <f aca="false">SUMPRODUCT((Headcount!$C$5:$C$90="SALES")*Headcount!$D$5:$D$90*Headcount!$F$5:$F$90*((Headcount!$I$5:$I$90=0)+(Headcount!$I$5:$I$90=1)*$C$16)*(Z$18&gt;=(Headcount!$E$5:$E$90+Headcount!$G$5:$G$90*$C$15)))/12*(1+Assumptions!$C$97)</f>
        <v>35583.3333333333</v>
      </c>
      <c r="AA193" s="9" t="n">
        <f aca="false">SUMPRODUCT((Headcount!$C$5:$C$90="SALES")*Headcount!$D$5:$D$90*Headcount!$F$5:$F$90*((Headcount!$I$5:$I$90=0)+(Headcount!$I$5:$I$90=1)*$C$16)*(AA$18&gt;=(Headcount!$E$5:$E$90+Headcount!$G$5:$G$90*$C$15)))/12*(1+Assumptions!$C$97)</f>
        <v>35583.3333333333</v>
      </c>
      <c r="AB193" s="9" t="n">
        <f aca="false">SUMPRODUCT((Headcount!$C$5:$C$90="SALES")*Headcount!$D$5:$D$90*Headcount!$F$5:$F$90*((Headcount!$I$5:$I$90=0)+(Headcount!$I$5:$I$90=1)*$C$16)*(AB$18&gt;=(Headcount!$E$5:$E$90+Headcount!$G$5:$G$90*$C$15)))/12*(1+Assumptions!$C$97)</f>
        <v>35583.3333333333</v>
      </c>
      <c r="AC193" s="9" t="n">
        <f aca="false">SUMPRODUCT((Headcount!$C$5:$C$90="SALES")*Headcount!$D$5:$D$90*Headcount!$F$5:$F$90*((Headcount!$I$5:$I$90=0)+(Headcount!$I$5:$I$90=1)*$C$16)*(AC$18&gt;=(Headcount!$E$5:$E$90+Headcount!$G$5:$G$90*$C$15)))/12*(1+Assumptions!$C$97)</f>
        <v>35583.3333333333</v>
      </c>
      <c r="AD193" s="9" t="n">
        <f aca="false">SUMPRODUCT((Headcount!$C$5:$C$90="SALES")*Headcount!$D$5:$D$90*Headcount!$F$5:$F$90*((Headcount!$I$5:$I$90=0)+(Headcount!$I$5:$I$90=1)*$C$16)*(AD$18&gt;=(Headcount!$E$5:$E$90+Headcount!$G$5:$G$90*$C$15)))/12*(1+Assumptions!$C$97)</f>
        <v>46766.6666666667</v>
      </c>
      <c r="AE193" s="9" t="n">
        <f aca="false">SUMPRODUCT((Headcount!$C$5:$C$90="SALES")*Headcount!$D$5:$D$90*Headcount!$F$5:$F$90*((Headcount!$I$5:$I$90=0)+(Headcount!$I$5:$I$90=1)*$C$16)*(AE$18&gt;=(Headcount!$E$5:$E$90+Headcount!$G$5:$G$90*$C$15)))/12*(1+Assumptions!$C$97)</f>
        <v>46766.6666666667</v>
      </c>
      <c r="AF193" s="9" t="n">
        <f aca="false">SUMPRODUCT((Headcount!$C$5:$C$90="SALES")*Headcount!$D$5:$D$90*Headcount!$F$5:$F$90*((Headcount!$I$5:$I$90=0)+(Headcount!$I$5:$I$90=1)*$C$16)*(AF$18&gt;=(Headcount!$E$5:$E$90+Headcount!$G$5:$G$90*$C$15)))/12*(1+Assumptions!$C$97)</f>
        <v>46766.6666666667</v>
      </c>
      <c r="AG193" s="9" t="n">
        <f aca="false">SUMPRODUCT((Headcount!$C$5:$C$90="SALES")*Headcount!$D$5:$D$90*Headcount!$F$5:$F$90*((Headcount!$I$5:$I$90=0)+(Headcount!$I$5:$I$90=1)*$C$16)*(AG$18&gt;=(Headcount!$E$5:$E$90+Headcount!$G$5:$G$90*$C$15)))/12*(1+Assumptions!$C$97)</f>
        <v>46766.6666666667</v>
      </c>
      <c r="AH193" s="9" t="n">
        <f aca="false">SUMPRODUCT((Headcount!$C$5:$C$90="SALES")*Headcount!$D$5:$D$90*Headcount!$F$5:$F$90*((Headcount!$I$5:$I$90=0)+(Headcount!$I$5:$I$90=1)*$C$16)*(AH$18&gt;=(Headcount!$E$5:$E$90+Headcount!$G$5:$G$90*$C$15)))/12*(1+Assumptions!$C$97)</f>
        <v>46766.6666666667</v>
      </c>
      <c r="AI193" s="9" t="n">
        <f aca="false">SUMPRODUCT((Headcount!$C$5:$C$90="SALES")*Headcount!$D$5:$D$90*Headcount!$F$5:$F$90*((Headcount!$I$5:$I$90=0)+(Headcount!$I$5:$I$90=1)*$C$16)*(AI$18&gt;=(Headcount!$E$5:$E$90+Headcount!$G$5:$G$90*$C$15)))/12*(1+Assumptions!$C$97)</f>
        <v>46766.6666666667</v>
      </c>
      <c r="AJ193" s="9" t="n">
        <f aca="false">SUMPRODUCT((Headcount!$C$5:$C$90="SALES")*Headcount!$D$5:$D$90*Headcount!$F$5:$F$90*((Headcount!$I$5:$I$90=0)+(Headcount!$I$5:$I$90=1)*$C$16)*(AJ$18&gt;=(Headcount!$E$5:$E$90+Headcount!$G$5:$G$90*$C$15)))/12*(1+Assumptions!$C$97)</f>
        <v>46766.6666666667</v>
      </c>
      <c r="AK193" s="9" t="n">
        <f aca="false">SUMPRODUCT((Headcount!$C$5:$C$90="SALES")*Headcount!$D$5:$D$90*Headcount!$F$5:$F$90*((Headcount!$I$5:$I$90=0)+(Headcount!$I$5:$I$90=1)*$C$16)*(AK$18&gt;=(Headcount!$E$5:$E$90+Headcount!$G$5:$G$90*$C$15)))/12*(1+Assumptions!$C$97)</f>
        <v>46766.6666666667</v>
      </c>
      <c r="AL193" s="9" t="n">
        <f aca="false">SUMPRODUCT((Headcount!$C$5:$C$90="SALES")*Headcount!$D$5:$D$90*Headcount!$F$5:$F$90*((Headcount!$I$5:$I$90=0)+(Headcount!$I$5:$I$90=1)*$C$16)*(AL$18&gt;=(Headcount!$E$5:$E$90+Headcount!$G$5:$G$90*$C$15)))/12*(1+Assumptions!$C$97)</f>
        <v>46766.6666666667</v>
      </c>
      <c r="AN193" s="11" t="n">
        <f aca="false">SUM(C193:N193)</f>
        <v>22366.6666666667</v>
      </c>
      <c r="AO193" s="11" t="n">
        <f aca="false">SUM(O193:Z193)</f>
        <v>326350</v>
      </c>
      <c r="AP193" s="11" t="n">
        <f aca="false">SUM(AA193:AL193)</f>
        <v>527650</v>
      </c>
    </row>
    <row r="194" customFormat="false" ht="15" hidden="false" customHeight="false" outlineLevel="0" collapsed="false">
      <c r="A194" s="0" t="s">
        <v>995</v>
      </c>
      <c r="B194" s="0" t="s">
        <v>230</v>
      </c>
      <c r="C194" s="9" t="n">
        <f aca="false">SUMPRODUCT((Headcount!$C$5:$C$90="MKT")*Headcount!$D$5:$D$90*Headcount!$F$5:$F$90*((Headcount!$I$5:$I$90=0)+(Headcount!$I$5:$I$90=1)*$C$16)*(C$18&gt;=(Headcount!$E$5:$E$90+Headcount!$G$5:$G$90*$C$15)))/12*(1+Assumptions!$C$97)</f>
        <v>0</v>
      </c>
      <c r="D194" s="9" t="n">
        <f aca="false">SUMPRODUCT((Headcount!$C$5:$C$90="MKT")*Headcount!$D$5:$D$90*Headcount!$F$5:$F$90*((Headcount!$I$5:$I$90=0)+(Headcount!$I$5:$I$90=1)*$C$16)*(D$18&gt;=(Headcount!$E$5:$E$90+Headcount!$G$5:$G$90*$C$15)))/12*(1+Assumptions!$C$97)</f>
        <v>0</v>
      </c>
      <c r="E194" s="9" t="n">
        <f aca="false">SUMPRODUCT((Headcount!$C$5:$C$90="MKT")*Headcount!$D$5:$D$90*Headcount!$F$5:$F$90*((Headcount!$I$5:$I$90=0)+(Headcount!$I$5:$I$90=1)*$C$16)*(E$18&gt;=(Headcount!$E$5:$E$90+Headcount!$G$5:$G$90*$C$15)))/12*(1+Assumptions!$C$97)</f>
        <v>0</v>
      </c>
      <c r="F194" s="9" t="n">
        <f aca="false">SUMPRODUCT((Headcount!$C$5:$C$90="MKT")*Headcount!$D$5:$D$90*Headcount!$F$5:$F$90*((Headcount!$I$5:$I$90=0)+(Headcount!$I$5:$I$90=1)*$C$16)*(F$18&gt;=(Headcount!$E$5:$E$90+Headcount!$G$5:$G$90*$C$15)))/12*(1+Assumptions!$C$97)</f>
        <v>0</v>
      </c>
      <c r="G194" s="9" t="n">
        <f aca="false">SUMPRODUCT((Headcount!$C$5:$C$90="MKT")*Headcount!$D$5:$D$90*Headcount!$F$5:$F$90*((Headcount!$I$5:$I$90=0)+(Headcount!$I$5:$I$90=1)*$C$16)*(G$18&gt;=(Headcount!$E$5:$E$90+Headcount!$G$5:$G$90*$C$15)))/12*(1+Assumptions!$C$97)</f>
        <v>0</v>
      </c>
      <c r="H194" s="9" t="n">
        <f aca="false">SUMPRODUCT((Headcount!$C$5:$C$90="MKT")*Headcount!$D$5:$D$90*Headcount!$F$5:$F$90*((Headcount!$I$5:$I$90=0)+(Headcount!$I$5:$I$90=1)*$C$16)*(H$18&gt;=(Headcount!$E$5:$E$90+Headcount!$G$5:$G$90*$C$15)))/12*(1+Assumptions!$C$97)</f>
        <v>10675</v>
      </c>
      <c r="I194" s="9" t="n">
        <f aca="false">SUMPRODUCT((Headcount!$C$5:$C$90="MKT")*Headcount!$D$5:$D$90*Headcount!$F$5:$F$90*((Headcount!$I$5:$I$90=0)+(Headcount!$I$5:$I$90=1)*$C$16)*(I$18&gt;=(Headcount!$E$5:$E$90+Headcount!$G$5:$G$90*$C$15)))/12*(1+Assumptions!$C$97)</f>
        <v>10675</v>
      </c>
      <c r="J194" s="9" t="n">
        <f aca="false">SUMPRODUCT((Headcount!$C$5:$C$90="MKT")*Headcount!$D$5:$D$90*Headcount!$F$5:$F$90*((Headcount!$I$5:$I$90=0)+(Headcount!$I$5:$I$90=1)*$C$16)*(J$18&gt;=(Headcount!$E$5:$E$90+Headcount!$G$5:$G$90*$C$15)))/12*(1+Assumptions!$C$97)</f>
        <v>10675</v>
      </c>
      <c r="K194" s="9" t="n">
        <f aca="false">SUMPRODUCT((Headcount!$C$5:$C$90="MKT")*Headcount!$D$5:$D$90*Headcount!$F$5:$F$90*((Headcount!$I$5:$I$90=0)+(Headcount!$I$5:$I$90=1)*$C$16)*(K$18&gt;=(Headcount!$E$5:$E$90+Headcount!$G$5:$G$90*$C$15)))/12*(1+Assumptions!$C$97)</f>
        <v>10675</v>
      </c>
      <c r="L194" s="9" t="n">
        <f aca="false">SUMPRODUCT((Headcount!$C$5:$C$90="MKT")*Headcount!$D$5:$D$90*Headcount!$F$5:$F$90*((Headcount!$I$5:$I$90=0)+(Headcount!$I$5:$I$90=1)*$C$16)*(L$18&gt;=(Headcount!$E$5:$E$90+Headcount!$G$5:$G$90*$C$15)))/12*(1+Assumptions!$C$97)</f>
        <v>10675</v>
      </c>
      <c r="M194" s="9" t="n">
        <f aca="false">SUMPRODUCT((Headcount!$C$5:$C$90="MKT")*Headcount!$D$5:$D$90*Headcount!$F$5:$F$90*((Headcount!$I$5:$I$90=0)+(Headcount!$I$5:$I$90=1)*$C$16)*(M$18&gt;=(Headcount!$E$5:$E$90+Headcount!$G$5:$G$90*$C$15)))/12*(1+Assumptions!$C$97)</f>
        <v>10675</v>
      </c>
      <c r="N194" s="9" t="n">
        <f aca="false">SUMPRODUCT((Headcount!$C$5:$C$90="MKT")*Headcount!$D$5:$D$90*Headcount!$F$5:$F$90*((Headcount!$I$5:$I$90=0)+(Headcount!$I$5:$I$90=1)*$C$16)*(N$18&gt;=(Headcount!$E$5:$E$90+Headcount!$G$5:$G$90*$C$15)))/12*(1+Assumptions!$C$97)</f>
        <v>17283.3333333333</v>
      </c>
      <c r="O194" s="9" t="n">
        <f aca="false">SUMPRODUCT((Headcount!$C$5:$C$90="MKT")*Headcount!$D$5:$D$90*Headcount!$F$5:$F$90*((Headcount!$I$5:$I$90=0)+(Headcount!$I$5:$I$90=1)*$C$16)*(O$18&gt;=(Headcount!$E$5:$E$90+Headcount!$G$5:$G$90*$C$15)))/12*(1+Assumptions!$C$97)</f>
        <v>17283.3333333333</v>
      </c>
      <c r="P194" s="9" t="n">
        <f aca="false">SUMPRODUCT((Headcount!$C$5:$C$90="MKT")*Headcount!$D$5:$D$90*Headcount!$F$5:$F$90*((Headcount!$I$5:$I$90=0)+(Headcount!$I$5:$I$90=1)*$C$16)*(P$18&gt;=(Headcount!$E$5:$E$90+Headcount!$G$5:$G$90*$C$15)))/12*(1+Assumptions!$C$97)</f>
        <v>17283.3333333333</v>
      </c>
      <c r="Q194" s="9" t="n">
        <f aca="false">SUMPRODUCT((Headcount!$C$5:$C$90="MKT")*Headcount!$D$5:$D$90*Headcount!$F$5:$F$90*((Headcount!$I$5:$I$90=0)+(Headcount!$I$5:$I$90=1)*$C$16)*(Q$18&gt;=(Headcount!$E$5:$E$90+Headcount!$G$5:$G$90*$C$15)))/12*(1+Assumptions!$C$97)</f>
        <v>17283.3333333333</v>
      </c>
      <c r="R194" s="9" t="n">
        <f aca="false">SUMPRODUCT((Headcount!$C$5:$C$90="MKT")*Headcount!$D$5:$D$90*Headcount!$F$5:$F$90*((Headcount!$I$5:$I$90=0)+(Headcount!$I$5:$I$90=1)*$C$16)*(R$18&gt;=(Headcount!$E$5:$E$90+Headcount!$G$5:$G$90*$C$15)))/12*(1+Assumptions!$C$97)</f>
        <v>17283.3333333333</v>
      </c>
      <c r="S194" s="9" t="n">
        <f aca="false">SUMPRODUCT((Headcount!$C$5:$C$90="MKT")*Headcount!$D$5:$D$90*Headcount!$F$5:$F$90*((Headcount!$I$5:$I$90=0)+(Headcount!$I$5:$I$90=1)*$C$16)*(S$18&gt;=(Headcount!$E$5:$E$90+Headcount!$G$5:$G$90*$C$15)))/12*(1+Assumptions!$C$97)</f>
        <v>17283.3333333333</v>
      </c>
      <c r="T194" s="9" t="n">
        <f aca="false">SUMPRODUCT((Headcount!$C$5:$C$90="MKT")*Headcount!$D$5:$D$90*Headcount!$F$5:$F$90*((Headcount!$I$5:$I$90=0)+(Headcount!$I$5:$I$90=1)*$C$16)*(T$18&gt;=(Headcount!$E$5:$E$90+Headcount!$G$5:$G$90*$C$15)))/12*(1+Assumptions!$C$97)</f>
        <v>17283.3333333333</v>
      </c>
      <c r="U194" s="9" t="n">
        <f aca="false">SUMPRODUCT((Headcount!$C$5:$C$90="MKT")*Headcount!$D$5:$D$90*Headcount!$F$5:$F$90*((Headcount!$I$5:$I$90=0)+(Headcount!$I$5:$I$90=1)*$C$16)*(U$18&gt;=(Headcount!$E$5:$E$90+Headcount!$G$5:$G$90*$C$15)))/12*(1+Assumptions!$C$97)</f>
        <v>17283.3333333333</v>
      </c>
      <c r="V194" s="9" t="n">
        <f aca="false">SUMPRODUCT((Headcount!$C$5:$C$90="MKT")*Headcount!$D$5:$D$90*Headcount!$F$5:$F$90*((Headcount!$I$5:$I$90=0)+(Headcount!$I$5:$I$90=1)*$C$16)*(V$18&gt;=(Headcount!$E$5:$E$90+Headcount!$G$5:$G$90*$C$15)))/12*(1+Assumptions!$C$97)</f>
        <v>25925</v>
      </c>
      <c r="W194" s="9" t="n">
        <f aca="false">SUMPRODUCT((Headcount!$C$5:$C$90="MKT")*Headcount!$D$5:$D$90*Headcount!$F$5:$F$90*((Headcount!$I$5:$I$90=0)+(Headcount!$I$5:$I$90=1)*$C$16)*(W$18&gt;=(Headcount!$E$5:$E$90+Headcount!$G$5:$G$90*$C$15)))/12*(1+Assumptions!$C$97)</f>
        <v>25925</v>
      </c>
      <c r="X194" s="9" t="n">
        <f aca="false">SUMPRODUCT((Headcount!$C$5:$C$90="MKT")*Headcount!$D$5:$D$90*Headcount!$F$5:$F$90*((Headcount!$I$5:$I$90=0)+(Headcount!$I$5:$I$90=1)*$C$16)*(X$18&gt;=(Headcount!$E$5:$E$90+Headcount!$G$5:$G$90*$C$15)))/12*(1+Assumptions!$C$97)</f>
        <v>25925</v>
      </c>
      <c r="Y194" s="9" t="n">
        <f aca="false">SUMPRODUCT((Headcount!$C$5:$C$90="MKT")*Headcount!$D$5:$D$90*Headcount!$F$5:$F$90*((Headcount!$I$5:$I$90=0)+(Headcount!$I$5:$I$90=1)*$C$16)*(Y$18&gt;=(Headcount!$E$5:$E$90+Headcount!$G$5:$G$90*$C$15)))/12*(1+Assumptions!$C$97)</f>
        <v>25925</v>
      </c>
      <c r="Z194" s="9" t="n">
        <f aca="false">SUMPRODUCT((Headcount!$C$5:$C$90="MKT")*Headcount!$D$5:$D$90*Headcount!$F$5:$F$90*((Headcount!$I$5:$I$90=0)+(Headcount!$I$5:$I$90=1)*$C$16)*(Z$18&gt;=(Headcount!$E$5:$E$90+Headcount!$G$5:$G$90*$C$15)))/12*(1+Assumptions!$C$97)</f>
        <v>25925</v>
      </c>
      <c r="AA194" s="9" t="n">
        <f aca="false">SUMPRODUCT((Headcount!$C$5:$C$90="MKT")*Headcount!$D$5:$D$90*Headcount!$F$5:$F$90*((Headcount!$I$5:$I$90=0)+(Headcount!$I$5:$I$90=1)*$C$16)*(AA$18&gt;=(Headcount!$E$5:$E$90+Headcount!$G$5:$G$90*$C$15)))/12*(1+Assumptions!$C$97)</f>
        <v>25925</v>
      </c>
      <c r="AB194" s="9" t="n">
        <f aca="false">SUMPRODUCT((Headcount!$C$5:$C$90="MKT")*Headcount!$D$5:$D$90*Headcount!$F$5:$F$90*((Headcount!$I$5:$I$90=0)+(Headcount!$I$5:$I$90=1)*$C$16)*(AB$18&gt;=(Headcount!$E$5:$E$90+Headcount!$G$5:$G$90*$C$15)))/12*(1+Assumptions!$C$97)</f>
        <v>25925</v>
      </c>
      <c r="AC194" s="9" t="n">
        <f aca="false">SUMPRODUCT((Headcount!$C$5:$C$90="MKT")*Headcount!$D$5:$D$90*Headcount!$F$5:$F$90*((Headcount!$I$5:$I$90=0)+(Headcount!$I$5:$I$90=1)*$C$16)*(AC$18&gt;=(Headcount!$E$5:$E$90+Headcount!$G$5:$G$90*$C$15)))/12*(1+Assumptions!$C$97)</f>
        <v>25925</v>
      </c>
      <c r="AD194" s="9" t="n">
        <f aca="false">SUMPRODUCT((Headcount!$C$5:$C$90="MKT")*Headcount!$D$5:$D$90*Headcount!$F$5:$F$90*((Headcount!$I$5:$I$90=0)+(Headcount!$I$5:$I$90=1)*$C$16)*(AD$18&gt;=(Headcount!$E$5:$E$90+Headcount!$G$5:$G$90*$C$15)))/12*(1+Assumptions!$C$97)</f>
        <v>25925</v>
      </c>
      <c r="AE194" s="9" t="n">
        <f aca="false">SUMPRODUCT((Headcount!$C$5:$C$90="MKT")*Headcount!$D$5:$D$90*Headcount!$F$5:$F$90*((Headcount!$I$5:$I$90=0)+(Headcount!$I$5:$I$90=1)*$C$16)*(AE$18&gt;=(Headcount!$E$5:$E$90+Headcount!$G$5:$G$90*$C$15)))/12*(1+Assumptions!$C$97)</f>
        <v>25925</v>
      </c>
      <c r="AF194" s="9" t="n">
        <f aca="false">SUMPRODUCT((Headcount!$C$5:$C$90="MKT")*Headcount!$D$5:$D$90*Headcount!$F$5:$F$90*((Headcount!$I$5:$I$90=0)+(Headcount!$I$5:$I$90=1)*$C$16)*(AF$18&gt;=(Headcount!$E$5:$E$90+Headcount!$G$5:$G$90*$C$15)))/12*(1+Assumptions!$C$97)</f>
        <v>25925</v>
      </c>
      <c r="AG194" s="9" t="n">
        <f aca="false">SUMPRODUCT((Headcount!$C$5:$C$90="MKT")*Headcount!$D$5:$D$90*Headcount!$F$5:$F$90*((Headcount!$I$5:$I$90=0)+(Headcount!$I$5:$I$90=1)*$C$16)*(AG$18&gt;=(Headcount!$E$5:$E$90+Headcount!$G$5:$G$90*$C$15)))/12*(1+Assumptions!$C$97)</f>
        <v>25925</v>
      </c>
      <c r="AH194" s="9" t="n">
        <f aca="false">SUMPRODUCT((Headcount!$C$5:$C$90="MKT")*Headcount!$D$5:$D$90*Headcount!$F$5:$F$90*((Headcount!$I$5:$I$90=0)+(Headcount!$I$5:$I$90=1)*$C$16)*(AH$18&gt;=(Headcount!$E$5:$E$90+Headcount!$G$5:$G$90*$C$15)))/12*(1+Assumptions!$C$97)</f>
        <v>25925</v>
      </c>
      <c r="AI194" s="9" t="n">
        <f aca="false">SUMPRODUCT((Headcount!$C$5:$C$90="MKT")*Headcount!$D$5:$D$90*Headcount!$F$5:$F$90*((Headcount!$I$5:$I$90=0)+(Headcount!$I$5:$I$90=1)*$C$16)*(AI$18&gt;=(Headcount!$E$5:$E$90+Headcount!$G$5:$G$90*$C$15)))/12*(1+Assumptions!$C$97)</f>
        <v>25925</v>
      </c>
      <c r="AJ194" s="9" t="n">
        <f aca="false">SUMPRODUCT((Headcount!$C$5:$C$90="MKT")*Headcount!$D$5:$D$90*Headcount!$F$5:$F$90*((Headcount!$I$5:$I$90=0)+(Headcount!$I$5:$I$90=1)*$C$16)*(AJ$18&gt;=(Headcount!$E$5:$E$90+Headcount!$G$5:$G$90*$C$15)))/12*(1+Assumptions!$C$97)</f>
        <v>25925</v>
      </c>
      <c r="AK194" s="9" t="n">
        <f aca="false">SUMPRODUCT((Headcount!$C$5:$C$90="MKT")*Headcount!$D$5:$D$90*Headcount!$F$5:$F$90*((Headcount!$I$5:$I$90=0)+(Headcount!$I$5:$I$90=1)*$C$16)*(AK$18&gt;=(Headcount!$E$5:$E$90+Headcount!$G$5:$G$90*$C$15)))/12*(1+Assumptions!$C$97)</f>
        <v>25925</v>
      </c>
      <c r="AL194" s="9" t="n">
        <f aca="false">SUMPRODUCT((Headcount!$C$5:$C$90="MKT")*Headcount!$D$5:$D$90*Headcount!$F$5:$F$90*((Headcount!$I$5:$I$90=0)+(Headcount!$I$5:$I$90=1)*$C$16)*(AL$18&gt;=(Headcount!$E$5:$E$90+Headcount!$G$5:$G$90*$C$15)))/12*(1+Assumptions!$C$97)</f>
        <v>25925</v>
      </c>
      <c r="AN194" s="11" t="n">
        <f aca="false">SUM(C194:N194)</f>
        <v>81333.3333333333</v>
      </c>
      <c r="AO194" s="11" t="n">
        <f aca="false">SUM(O194:Z194)</f>
        <v>250608.333333333</v>
      </c>
      <c r="AP194" s="11" t="n">
        <f aca="false">SUM(AA194:AL194)</f>
        <v>311100</v>
      </c>
    </row>
    <row r="195" customFormat="false" ht="15" hidden="false" customHeight="false" outlineLevel="0" collapsed="false">
      <c r="A195" s="0" t="s">
        <v>996</v>
      </c>
      <c r="B195" s="0" t="s">
        <v>230</v>
      </c>
      <c r="C195" s="9" t="n">
        <f aca="false">SUMPRODUCT((Headcount!$C$5:$C$90="GA")*Headcount!$D$5:$D$90*Headcount!$F$5:$F$90*((Headcount!$I$5:$I$90=0)+(Headcount!$I$5:$I$90=1)*$C$16)*(C$18&gt;=(Headcount!$E$5:$E$90+Headcount!$G$5:$G$90*$C$15)))/12*(1+Assumptions!$C$97)</f>
        <v>15250</v>
      </c>
      <c r="D195" s="9" t="n">
        <f aca="false">SUMPRODUCT((Headcount!$C$5:$C$90="GA")*Headcount!$D$5:$D$90*Headcount!$F$5:$F$90*((Headcount!$I$5:$I$90=0)+(Headcount!$I$5:$I$90=1)*$C$16)*(D$18&gt;=(Headcount!$E$5:$E$90+Headcount!$G$5:$G$90*$C$15)))/12*(1+Assumptions!$C$97)</f>
        <v>15250</v>
      </c>
      <c r="E195" s="9" t="n">
        <f aca="false">SUMPRODUCT((Headcount!$C$5:$C$90="GA")*Headcount!$D$5:$D$90*Headcount!$F$5:$F$90*((Headcount!$I$5:$I$90=0)+(Headcount!$I$5:$I$90=1)*$C$16)*(E$18&gt;=(Headcount!$E$5:$E$90+Headcount!$G$5:$G$90*$C$15)))/12*(1+Assumptions!$C$97)</f>
        <v>15250</v>
      </c>
      <c r="F195" s="9" t="n">
        <f aca="false">SUMPRODUCT((Headcount!$C$5:$C$90="GA")*Headcount!$D$5:$D$90*Headcount!$F$5:$F$90*((Headcount!$I$5:$I$90=0)+(Headcount!$I$5:$I$90=1)*$C$16)*(F$18&gt;=(Headcount!$E$5:$E$90+Headcount!$G$5:$G$90*$C$15)))/12*(1+Assumptions!$C$97)</f>
        <v>15250</v>
      </c>
      <c r="G195" s="9" t="n">
        <f aca="false">SUMPRODUCT((Headcount!$C$5:$C$90="GA")*Headcount!$D$5:$D$90*Headcount!$F$5:$F$90*((Headcount!$I$5:$I$90=0)+(Headcount!$I$5:$I$90=1)*$C$16)*(G$18&gt;=(Headcount!$E$5:$E$90+Headcount!$G$5:$G$90*$C$15)))/12*(1+Assumptions!$C$97)</f>
        <v>15250</v>
      </c>
      <c r="H195" s="9" t="n">
        <f aca="false">SUMPRODUCT((Headcount!$C$5:$C$90="GA")*Headcount!$D$5:$D$90*Headcount!$F$5:$F$90*((Headcount!$I$5:$I$90=0)+(Headcount!$I$5:$I$90=1)*$C$16)*(H$18&gt;=(Headcount!$E$5:$E$90+Headcount!$G$5:$G$90*$C$15)))/12*(1+Assumptions!$C$97)</f>
        <v>15250</v>
      </c>
      <c r="I195" s="9" t="n">
        <f aca="false">SUMPRODUCT((Headcount!$C$5:$C$90="GA")*Headcount!$D$5:$D$90*Headcount!$F$5:$F$90*((Headcount!$I$5:$I$90=0)+(Headcount!$I$5:$I$90=1)*$C$16)*(I$18&gt;=(Headcount!$E$5:$E$90+Headcount!$G$5:$G$90*$C$15)))/12*(1+Assumptions!$C$97)</f>
        <v>15250</v>
      </c>
      <c r="J195" s="9" t="n">
        <f aca="false">SUMPRODUCT((Headcount!$C$5:$C$90="GA")*Headcount!$D$5:$D$90*Headcount!$F$5:$F$90*((Headcount!$I$5:$I$90=0)+(Headcount!$I$5:$I$90=1)*$C$16)*(J$18&gt;=(Headcount!$E$5:$E$90+Headcount!$G$5:$G$90*$C$15)))/12*(1+Assumptions!$C$97)</f>
        <v>15250</v>
      </c>
      <c r="K195" s="9" t="n">
        <f aca="false">SUMPRODUCT((Headcount!$C$5:$C$90="GA")*Headcount!$D$5:$D$90*Headcount!$F$5:$F$90*((Headcount!$I$5:$I$90=0)+(Headcount!$I$5:$I$90=1)*$C$16)*(K$18&gt;=(Headcount!$E$5:$E$90+Headcount!$G$5:$G$90*$C$15)))/12*(1+Assumptions!$C$97)</f>
        <v>27958.3333333333</v>
      </c>
      <c r="L195" s="9" t="n">
        <f aca="false">SUMPRODUCT((Headcount!$C$5:$C$90="GA")*Headcount!$D$5:$D$90*Headcount!$F$5:$F$90*((Headcount!$I$5:$I$90=0)+(Headcount!$I$5:$I$90=1)*$C$16)*(L$18&gt;=(Headcount!$E$5:$E$90+Headcount!$G$5:$G$90*$C$15)))/12*(1+Assumptions!$C$97)</f>
        <v>27958.3333333333</v>
      </c>
      <c r="M195" s="9" t="n">
        <f aca="false">SUMPRODUCT((Headcount!$C$5:$C$90="GA")*Headcount!$D$5:$D$90*Headcount!$F$5:$F$90*((Headcount!$I$5:$I$90=0)+(Headcount!$I$5:$I$90=1)*$C$16)*(M$18&gt;=(Headcount!$E$5:$E$90+Headcount!$G$5:$G$90*$C$15)))/12*(1+Assumptions!$C$97)</f>
        <v>27958.3333333333</v>
      </c>
      <c r="N195" s="9" t="n">
        <f aca="false">SUMPRODUCT((Headcount!$C$5:$C$90="GA")*Headcount!$D$5:$D$90*Headcount!$F$5:$F$90*((Headcount!$I$5:$I$90=0)+(Headcount!$I$5:$I$90=1)*$C$16)*(N$18&gt;=(Headcount!$E$5:$E$90+Headcount!$G$5:$G$90*$C$15)))/12*(1+Assumptions!$C$97)</f>
        <v>27958.3333333333</v>
      </c>
      <c r="O195" s="9" t="n">
        <f aca="false">SUMPRODUCT((Headcount!$C$5:$C$90="GA")*Headcount!$D$5:$D$90*Headcount!$F$5:$F$90*((Headcount!$I$5:$I$90=0)+(Headcount!$I$5:$I$90=1)*$C$16)*(O$18&gt;=(Headcount!$E$5:$E$90+Headcount!$G$5:$G$90*$C$15)))/12*(1+Assumptions!$C$97)</f>
        <v>27958.3333333333</v>
      </c>
      <c r="P195" s="9" t="n">
        <f aca="false">SUMPRODUCT((Headcount!$C$5:$C$90="GA")*Headcount!$D$5:$D$90*Headcount!$F$5:$F$90*((Headcount!$I$5:$I$90=0)+(Headcount!$I$5:$I$90=1)*$C$16)*(P$18&gt;=(Headcount!$E$5:$E$90+Headcount!$G$5:$G$90*$C$15)))/12*(1+Assumptions!$C$97)</f>
        <v>27958.3333333333</v>
      </c>
      <c r="Q195" s="9" t="n">
        <f aca="false">SUMPRODUCT((Headcount!$C$5:$C$90="GA")*Headcount!$D$5:$D$90*Headcount!$F$5:$F$90*((Headcount!$I$5:$I$90=0)+(Headcount!$I$5:$I$90=1)*$C$16)*(Q$18&gt;=(Headcount!$E$5:$E$90+Headcount!$G$5:$G$90*$C$15)))/12*(1+Assumptions!$C$97)</f>
        <v>40158.3333333333</v>
      </c>
      <c r="R195" s="9" t="n">
        <f aca="false">SUMPRODUCT((Headcount!$C$5:$C$90="GA")*Headcount!$D$5:$D$90*Headcount!$F$5:$F$90*((Headcount!$I$5:$I$90=0)+(Headcount!$I$5:$I$90=1)*$C$16)*(R$18&gt;=(Headcount!$E$5:$E$90+Headcount!$G$5:$G$90*$C$15)))/12*(1+Assumptions!$C$97)</f>
        <v>40158.3333333333</v>
      </c>
      <c r="S195" s="9" t="n">
        <f aca="false">SUMPRODUCT((Headcount!$C$5:$C$90="GA")*Headcount!$D$5:$D$90*Headcount!$F$5:$F$90*((Headcount!$I$5:$I$90=0)+(Headcount!$I$5:$I$90=1)*$C$16)*(S$18&gt;=(Headcount!$E$5:$E$90+Headcount!$G$5:$G$90*$C$15)))/12*(1+Assumptions!$C$97)</f>
        <v>40158.3333333333</v>
      </c>
      <c r="T195" s="9" t="n">
        <f aca="false">SUMPRODUCT((Headcount!$C$5:$C$90="GA")*Headcount!$D$5:$D$90*Headcount!$F$5:$F$90*((Headcount!$I$5:$I$90=0)+(Headcount!$I$5:$I$90=1)*$C$16)*(T$18&gt;=(Headcount!$E$5:$E$90+Headcount!$G$5:$G$90*$C$15)))/12*(1+Assumptions!$C$97)</f>
        <v>40158.3333333333</v>
      </c>
      <c r="U195" s="9" t="n">
        <f aca="false">SUMPRODUCT((Headcount!$C$5:$C$90="GA")*Headcount!$D$5:$D$90*Headcount!$F$5:$F$90*((Headcount!$I$5:$I$90=0)+(Headcount!$I$5:$I$90=1)*$C$16)*(U$18&gt;=(Headcount!$E$5:$E$90+Headcount!$G$5:$G$90*$C$15)))/12*(1+Assumptions!$C$97)</f>
        <v>40158.3333333333</v>
      </c>
      <c r="V195" s="9" t="n">
        <f aca="false">SUMPRODUCT((Headcount!$C$5:$C$90="GA")*Headcount!$D$5:$D$90*Headcount!$F$5:$F$90*((Headcount!$I$5:$I$90=0)+(Headcount!$I$5:$I$90=1)*$C$16)*(V$18&gt;=(Headcount!$E$5:$E$90+Headcount!$G$5:$G$90*$C$15)))/12*(1+Assumptions!$C$97)</f>
        <v>40158.3333333333</v>
      </c>
      <c r="W195" s="9" t="n">
        <f aca="false">SUMPRODUCT((Headcount!$C$5:$C$90="GA")*Headcount!$D$5:$D$90*Headcount!$F$5:$F$90*((Headcount!$I$5:$I$90=0)+(Headcount!$I$5:$I$90=1)*$C$16)*(W$18&gt;=(Headcount!$E$5:$E$90+Headcount!$G$5:$G$90*$C$15)))/12*(1+Assumptions!$C$97)</f>
        <v>40158.3333333333</v>
      </c>
      <c r="X195" s="9" t="n">
        <f aca="false">SUMPRODUCT((Headcount!$C$5:$C$90="GA")*Headcount!$D$5:$D$90*Headcount!$F$5:$F$90*((Headcount!$I$5:$I$90=0)+(Headcount!$I$5:$I$90=1)*$C$16)*(X$18&gt;=(Headcount!$E$5:$E$90+Headcount!$G$5:$G$90*$C$15)))/12*(1+Assumptions!$C$97)</f>
        <v>40158.3333333333</v>
      </c>
      <c r="Y195" s="9" t="n">
        <f aca="false">SUMPRODUCT((Headcount!$C$5:$C$90="GA")*Headcount!$D$5:$D$90*Headcount!$F$5:$F$90*((Headcount!$I$5:$I$90=0)+(Headcount!$I$5:$I$90=1)*$C$16)*(Y$18&gt;=(Headcount!$E$5:$E$90+Headcount!$G$5:$G$90*$C$15)))/12*(1+Assumptions!$C$97)</f>
        <v>40158.3333333333</v>
      </c>
      <c r="Z195" s="9" t="n">
        <f aca="false">SUMPRODUCT((Headcount!$C$5:$C$90="GA")*Headcount!$D$5:$D$90*Headcount!$F$5:$F$90*((Headcount!$I$5:$I$90=0)+(Headcount!$I$5:$I$90=1)*$C$16)*(Z$18&gt;=(Headcount!$E$5:$E$90+Headcount!$G$5:$G$90*$C$15)))/12*(1+Assumptions!$C$97)</f>
        <v>48800</v>
      </c>
      <c r="AA195" s="9" t="n">
        <f aca="false">SUMPRODUCT((Headcount!$C$5:$C$90="GA")*Headcount!$D$5:$D$90*Headcount!$F$5:$F$90*((Headcount!$I$5:$I$90=0)+(Headcount!$I$5:$I$90=1)*$C$16)*(AA$18&gt;=(Headcount!$E$5:$E$90+Headcount!$G$5:$G$90*$C$15)))/12*(1+Assumptions!$C$97)</f>
        <v>48800</v>
      </c>
      <c r="AB195" s="9" t="n">
        <f aca="false">SUMPRODUCT((Headcount!$C$5:$C$90="GA")*Headcount!$D$5:$D$90*Headcount!$F$5:$F$90*((Headcount!$I$5:$I$90=0)+(Headcount!$I$5:$I$90=1)*$C$16)*(AB$18&gt;=(Headcount!$E$5:$E$90+Headcount!$G$5:$G$90*$C$15)))/12*(1+Assumptions!$C$97)</f>
        <v>48800</v>
      </c>
      <c r="AC195" s="9" t="n">
        <f aca="false">SUMPRODUCT((Headcount!$C$5:$C$90="GA")*Headcount!$D$5:$D$90*Headcount!$F$5:$F$90*((Headcount!$I$5:$I$90=0)+(Headcount!$I$5:$I$90=1)*$C$16)*(AC$18&gt;=(Headcount!$E$5:$E$90+Headcount!$G$5:$G$90*$C$15)))/12*(1+Assumptions!$C$97)</f>
        <v>48800</v>
      </c>
      <c r="AD195" s="9" t="n">
        <f aca="false">SUMPRODUCT((Headcount!$C$5:$C$90="GA")*Headcount!$D$5:$D$90*Headcount!$F$5:$F$90*((Headcount!$I$5:$I$90=0)+(Headcount!$I$5:$I$90=1)*$C$16)*(AD$18&gt;=(Headcount!$E$5:$E$90+Headcount!$G$5:$G$90*$C$15)))/12*(1+Assumptions!$C$97)</f>
        <v>48800</v>
      </c>
      <c r="AE195" s="9" t="n">
        <f aca="false">SUMPRODUCT((Headcount!$C$5:$C$90="GA")*Headcount!$D$5:$D$90*Headcount!$F$5:$F$90*((Headcount!$I$5:$I$90=0)+(Headcount!$I$5:$I$90=1)*$C$16)*(AE$18&gt;=(Headcount!$E$5:$E$90+Headcount!$G$5:$G$90*$C$15)))/12*(1+Assumptions!$C$97)</f>
        <v>48800</v>
      </c>
      <c r="AF195" s="9" t="n">
        <f aca="false">SUMPRODUCT((Headcount!$C$5:$C$90="GA")*Headcount!$D$5:$D$90*Headcount!$F$5:$F$90*((Headcount!$I$5:$I$90=0)+(Headcount!$I$5:$I$90=1)*$C$16)*(AF$18&gt;=(Headcount!$E$5:$E$90+Headcount!$G$5:$G$90*$C$15)))/12*(1+Assumptions!$C$97)</f>
        <v>48800</v>
      </c>
      <c r="AG195" s="9" t="n">
        <f aca="false">SUMPRODUCT((Headcount!$C$5:$C$90="GA")*Headcount!$D$5:$D$90*Headcount!$F$5:$F$90*((Headcount!$I$5:$I$90=0)+(Headcount!$I$5:$I$90=1)*$C$16)*(AG$18&gt;=(Headcount!$E$5:$E$90+Headcount!$G$5:$G$90*$C$15)))/12*(1+Assumptions!$C$97)</f>
        <v>48800</v>
      </c>
      <c r="AH195" s="9" t="n">
        <f aca="false">SUMPRODUCT((Headcount!$C$5:$C$90="GA")*Headcount!$D$5:$D$90*Headcount!$F$5:$F$90*((Headcount!$I$5:$I$90=0)+(Headcount!$I$5:$I$90=1)*$C$16)*(AH$18&gt;=(Headcount!$E$5:$E$90+Headcount!$G$5:$G$90*$C$15)))/12*(1+Assumptions!$C$97)</f>
        <v>48800</v>
      </c>
      <c r="AI195" s="9" t="n">
        <f aca="false">SUMPRODUCT((Headcount!$C$5:$C$90="GA")*Headcount!$D$5:$D$90*Headcount!$F$5:$F$90*((Headcount!$I$5:$I$90=0)+(Headcount!$I$5:$I$90=1)*$C$16)*(AI$18&gt;=(Headcount!$E$5:$E$90+Headcount!$G$5:$G$90*$C$15)))/12*(1+Assumptions!$C$97)</f>
        <v>48800</v>
      </c>
      <c r="AJ195" s="9" t="n">
        <f aca="false">SUMPRODUCT((Headcount!$C$5:$C$90="GA")*Headcount!$D$5:$D$90*Headcount!$F$5:$F$90*((Headcount!$I$5:$I$90=0)+(Headcount!$I$5:$I$90=1)*$C$16)*(AJ$18&gt;=(Headcount!$E$5:$E$90+Headcount!$G$5:$G$90*$C$15)))/12*(1+Assumptions!$C$97)</f>
        <v>48800</v>
      </c>
      <c r="AK195" s="9" t="n">
        <f aca="false">SUMPRODUCT((Headcount!$C$5:$C$90="GA")*Headcount!$D$5:$D$90*Headcount!$F$5:$F$90*((Headcount!$I$5:$I$90=0)+(Headcount!$I$5:$I$90=1)*$C$16)*(AK$18&gt;=(Headcount!$E$5:$E$90+Headcount!$G$5:$G$90*$C$15)))/12*(1+Assumptions!$C$97)</f>
        <v>48800</v>
      </c>
      <c r="AL195" s="9" t="n">
        <f aca="false">SUMPRODUCT((Headcount!$C$5:$C$90="GA")*Headcount!$D$5:$D$90*Headcount!$F$5:$F$90*((Headcount!$I$5:$I$90=0)+(Headcount!$I$5:$I$90=1)*$C$16)*(AL$18&gt;=(Headcount!$E$5:$E$90+Headcount!$G$5:$G$90*$C$15)))/12*(1+Assumptions!$C$97)</f>
        <v>48800</v>
      </c>
      <c r="AN195" s="11" t="n">
        <f aca="false">SUM(C195:N195)</f>
        <v>233833.333333333</v>
      </c>
      <c r="AO195" s="11" t="n">
        <f aca="false">SUM(O195:Z195)</f>
        <v>466141.666666667</v>
      </c>
      <c r="AP195" s="11" t="n">
        <f aca="false">SUM(AA195:AL195)</f>
        <v>585600</v>
      </c>
    </row>
    <row r="196" customFormat="false" ht="15" hidden="false" customHeight="false" outlineLevel="0" collapsed="false">
      <c r="A196" s="0" t="s">
        <v>997</v>
      </c>
      <c r="B196" s="0" t="s">
        <v>618</v>
      </c>
      <c r="C196" s="13" t="n">
        <f aca="false">SUMPRODUCT(Headcount!$D$5:$D$90*((Headcount!$I$5:$I$90=0)+(Headcount!$I$5:$I$90=1)*$C$16)*(C$18&gt;=(Headcount!$E$5:$E$90+Headcount!$G$5:$G$90*$C$15)))</f>
        <v>4.4</v>
      </c>
      <c r="D196" s="13" t="n">
        <f aca="false">SUMPRODUCT(Headcount!$D$5:$D$90*((Headcount!$I$5:$I$90=0)+(Headcount!$I$5:$I$90=1)*$C$16)*(D$18&gt;=(Headcount!$E$5:$E$90+Headcount!$G$5:$G$90*$C$15)))</f>
        <v>4.4</v>
      </c>
      <c r="E196" s="13" t="n">
        <f aca="false">SUMPRODUCT(Headcount!$D$5:$D$90*((Headcount!$I$5:$I$90=0)+(Headcount!$I$5:$I$90=1)*$C$16)*(E$18&gt;=(Headcount!$E$5:$E$90+Headcount!$G$5:$G$90*$C$15)))</f>
        <v>5.4</v>
      </c>
      <c r="F196" s="13" t="n">
        <f aca="false">SUMPRODUCT(Headcount!$D$5:$D$90*((Headcount!$I$5:$I$90=0)+(Headcount!$I$5:$I$90=1)*$C$16)*(F$18&gt;=(Headcount!$E$5:$E$90+Headcount!$G$5:$G$90*$C$15)))</f>
        <v>6.4</v>
      </c>
      <c r="G196" s="13" t="n">
        <f aca="false">SUMPRODUCT(Headcount!$D$5:$D$90*((Headcount!$I$5:$I$90=0)+(Headcount!$I$5:$I$90=1)*$C$16)*(G$18&gt;=(Headcount!$E$5:$E$90+Headcount!$G$5:$G$90*$C$15)))</f>
        <v>8.4</v>
      </c>
      <c r="H196" s="13" t="n">
        <f aca="false">SUMPRODUCT(Headcount!$D$5:$D$90*((Headcount!$I$5:$I$90=0)+(Headcount!$I$5:$I$90=1)*$C$16)*(H$18&gt;=(Headcount!$E$5:$E$90+Headcount!$G$5:$G$90*$C$15)))</f>
        <v>10.4</v>
      </c>
      <c r="I196" s="13" t="n">
        <f aca="false">SUMPRODUCT(Headcount!$D$5:$D$90*((Headcount!$I$5:$I$90=0)+(Headcount!$I$5:$I$90=1)*$C$16)*(I$18&gt;=(Headcount!$E$5:$E$90+Headcount!$G$5:$G$90*$C$15)))</f>
        <v>11.4</v>
      </c>
      <c r="J196" s="13" t="n">
        <f aca="false">SUMPRODUCT(Headcount!$D$5:$D$90*((Headcount!$I$5:$I$90=0)+(Headcount!$I$5:$I$90=1)*$C$16)*(J$18&gt;=(Headcount!$E$5:$E$90+Headcount!$G$5:$G$90*$C$15)))</f>
        <v>11.4</v>
      </c>
      <c r="K196" s="13" t="n">
        <f aca="false">SUMPRODUCT(Headcount!$D$5:$D$90*((Headcount!$I$5:$I$90=0)+(Headcount!$I$5:$I$90=1)*$C$16)*(K$18&gt;=(Headcount!$E$5:$E$90+Headcount!$G$5:$G$90*$C$15)))</f>
        <v>14.4</v>
      </c>
      <c r="L196" s="13" t="n">
        <f aca="false">SUMPRODUCT(Headcount!$D$5:$D$90*((Headcount!$I$5:$I$90=0)+(Headcount!$I$5:$I$90=1)*$C$16)*(L$18&gt;=(Headcount!$E$5:$E$90+Headcount!$G$5:$G$90*$C$15)))</f>
        <v>15.4</v>
      </c>
      <c r="M196" s="13" t="n">
        <f aca="false">SUMPRODUCT(Headcount!$D$5:$D$90*((Headcount!$I$5:$I$90=0)+(Headcount!$I$5:$I$90=1)*$C$16)*(M$18&gt;=(Headcount!$E$5:$E$90+Headcount!$G$5:$G$90*$C$15)))</f>
        <v>17.4</v>
      </c>
      <c r="N196" s="13" t="n">
        <f aca="false">SUMPRODUCT(Headcount!$D$5:$D$90*((Headcount!$I$5:$I$90=0)+(Headcount!$I$5:$I$90=1)*$C$16)*(N$18&gt;=(Headcount!$E$5:$E$90+Headcount!$G$5:$G$90*$C$15)))</f>
        <v>18.4</v>
      </c>
      <c r="O196" s="13" t="n">
        <f aca="false">SUMPRODUCT(Headcount!$D$5:$D$90*((Headcount!$I$5:$I$90=0)+(Headcount!$I$5:$I$90=1)*$C$16)*(O$18&gt;=(Headcount!$E$5:$E$90+Headcount!$G$5:$G$90*$C$15)))</f>
        <v>20.4</v>
      </c>
      <c r="P196" s="13" t="n">
        <f aca="false">SUMPRODUCT(Headcount!$D$5:$D$90*((Headcount!$I$5:$I$90=0)+(Headcount!$I$5:$I$90=1)*$C$16)*(P$18&gt;=(Headcount!$E$5:$E$90+Headcount!$G$5:$G$90*$C$15)))</f>
        <v>21.4</v>
      </c>
      <c r="Q196" s="13" t="n">
        <f aca="false">SUMPRODUCT(Headcount!$D$5:$D$90*((Headcount!$I$5:$I$90=0)+(Headcount!$I$5:$I$90=1)*$C$16)*(Q$18&gt;=(Headcount!$E$5:$E$90+Headcount!$G$5:$G$90*$C$15)))</f>
        <v>23.4</v>
      </c>
      <c r="R196" s="13" t="n">
        <f aca="false">SUMPRODUCT(Headcount!$D$5:$D$90*((Headcount!$I$5:$I$90=0)+(Headcount!$I$5:$I$90=1)*$C$16)*(R$18&gt;=(Headcount!$E$5:$E$90+Headcount!$G$5:$G$90*$C$15)))</f>
        <v>23.4</v>
      </c>
      <c r="S196" s="13" t="n">
        <f aca="false">SUMPRODUCT(Headcount!$D$5:$D$90*((Headcount!$I$5:$I$90=0)+(Headcount!$I$5:$I$90=1)*$C$16)*(S$18&gt;=(Headcount!$E$5:$E$90+Headcount!$G$5:$G$90*$C$15)))</f>
        <v>23.4</v>
      </c>
      <c r="T196" s="13" t="n">
        <f aca="false">SUMPRODUCT(Headcount!$D$5:$D$90*((Headcount!$I$5:$I$90=0)+(Headcount!$I$5:$I$90=1)*$C$16)*(T$18&gt;=(Headcount!$E$5:$E$90+Headcount!$G$5:$G$90*$C$15)))</f>
        <v>25.4</v>
      </c>
      <c r="U196" s="13" t="n">
        <f aca="false">SUMPRODUCT(Headcount!$D$5:$D$90*((Headcount!$I$5:$I$90=0)+(Headcount!$I$5:$I$90=1)*$C$16)*(U$18&gt;=(Headcount!$E$5:$E$90+Headcount!$G$5:$G$90*$C$15)))</f>
        <v>26.4</v>
      </c>
      <c r="V196" s="13" t="n">
        <f aca="false">SUMPRODUCT(Headcount!$D$5:$D$90*((Headcount!$I$5:$I$90=0)+(Headcount!$I$5:$I$90=1)*$C$16)*(V$18&gt;=(Headcount!$E$5:$E$90+Headcount!$G$5:$G$90*$C$15)))</f>
        <v>28.4</v>
      </c>
      <c r="W196" s="13" t="n">
        <f aca="false">SUMPRODUCT(Headcount!$D$5:$D$90*((Headcount!$I$5:$I$90=0)+(Headcount!$I$5:$I$90=1)*$C$16)*(W$18&gt;=(Headcount!$E$5:$E$90+Headcount!$G$5:$G$90*$C$15)))</f>
        <v>28.4</v>
      </c>
      <c r="X196" s="13" t="n">
        <f aca="false">SUMPRODUCT(Headcount!$D$5:$D$90*((Headcount!$I$5:$I$90=0)+(Headcount!$I$5:$I$90=1)*$C$16)*(X$18&gt;=(Headcount!$E$5:$E$90+Headcount!$G$5:$G$90*$C$15)))</f>
        <v>30.4</v>
      </c>
      <c r="Y196" s="13" t="n">
        <f aca="false">SUMPRODUCT(Headcount!$D$5:$D$90*((Headcount!$I$5:$I$90=0)+(Headcount!$I$5:$I$90=1)*$C$16)*(Y$18&gt;=(Headcount!$E$5:$E$90+Headcount!$G$5:$G$90*$C$15)))</f>
        <v>30.4</v>
      </c>
      <c r="Z196" s="13" t="n">
        <f aca="false">SUMPRODUCT(Headcount!$D$5:$D$90*((Headcount!$I$5:$I$90=0)+(Headcount!$I$5:$I$90=1)*$C$16)*(Z$18&gt;=(Headcount!$E$5:$E$90+Headcount!$G$5:$G$90*$C$15)))</f>
        <v>31.4</v>
      </c>
      <c r="AA196" s="13" t="n">
        <f aca="false">SUMPRODUCT(Headcount!$D$5:$D$90*((Headcount!$I$5:$I$90=0)+(Headcount!$I$5:$I$90=1)*$C$16)*(AA$18&gt;=(Headcount!$E$5:$E$90+Headcount!$G$5:$G$90*$C$15)))</f>
        <v>32.4</v>
      </c>
      <c r="AB196" s="13" t="n">
        <f aca="false">SUMPRODUCT(Headcount!$D$5:$D$90*((Headcount!$I$5:$I$90=0)+(Headcount!$I$5:$I$90=1)*$C$16)*(AB$18&gt;=(Headcount!$E$5:$E$90+Headcount!$G$5:$G$90*$C$15)))</f>
        <v>34.4</v>
      </c>
      <c r="AC196" s="13" t="n">
        <f aca="false">SUMPRODUCT(Headcount!$D$5:$D$90*((Headcount!$I$5:$I$90=0)+(Headcount!$I$5:$I$90=1)*$C$16)*(AC$18&gt;=(Headcount!$E$5:$E$90+Headcount!$G$5:$G$90*$C$15)))</f>
        <v>34.4</v>
      </c>
      <c r="AD196" s="13" t="n">
        <f aca="false">SUMPRODUCT(Headcount!$D$5:$D$90*((Headcount!$I$5:$I$90=0)+(Headcount!$I$5:$I$90=1)*$C$16)*(AD$18&gt;=(Headcount!$E$5:$E$90+Headcount!$G$5:$G$90*$C$15)))</f>
        <v>36.4</v>
      </c>
      <c r="AE196" s="13" t="n">
        <f aca="false">SUMPRODUCT(Headcount!$D$5:$D$90*((Headcount!$I$5:$I$90=0)+(Headcount!$I$5:$I$90=1)*$C$16)*(AE$18&gt;=(Headcount!$E$5:$E$90+Headcount!$G$5:$G$90*$C$15)))</f>
        <v>36.4</v>
      </c>
      <c r="AF196" s="13" t="n">
        <f aca="false">SUMPRODUCT(Headcount!$D$5:$D$90*((Headcount!$I$5:$I$90=0)+(Headcount!$I$5:$I$90=1)*$C$16)*(AF$18&gt;=(Headcount!$E$5:$E$90+Headcount!$G$5:$G$90*$C$15)))</f>
        <v>37.4</v>
      </c>
      <c r="AG196" s="13" t="n">
        <f aca="false">SUMPRODUCT(Headcount!$D$5:$D$90*((Headcount!$I$5:$I$90=0)+(Headcount!$I$5:$I$90=1)*$C$16)*(AG$18&gt;=(Headcount!$E$5:$E$90+Headcount!$G$5:$G$90*$C$15)))</f>
        <v>38.4</v>
      </c>
      <c r="AH196" s="13" t="n">
        <f aca="false">SUMPRODUCT(Headcount!$D$5:$D$90*((Headcount!$I$5:$I$90=0)+(Headcount!$I$5:$I$90=1)*$C$16)*(AH$18&gt;=(Headcount!$E$5:$E$90+Headcount!$G$5:$G$90*$C$15)))</f>
        <v>39.4</v>
      </c>
      <c r="AI196" s="13" t="n">
        <f aca="false">SUMPRODUCT(Headcount!$D$5:$D$90*((Headcount!$I$5:$I$90=0)+(Headcount!$I$5:$I$90=1)*$C$16)*(AI$18&gt;=(Headcount!$E$5:$E$90+Headcount!$G$5:$G$90*$C$15)))</f>
        <v>40.4</v>
      </c>
      <c r="AJ196" s="13" t="n">
        <f aca="false">SUMPRODUCT(Headcount!$D$5:$D$90*((Headcount!$I$5:$I$90=0)+(Headcount!$I$5:$I$90=1)*$C$16)*(AJ$18&gt;=(Headcount!$E$5:$E$90+Headcount!$G$5:$G$90*$C$15)))</f>
        <v>40.4</v>
      </c>
      <c r="AK196" s="13" t="n">
        <f aca="false">SUMPRODUCT(Headcount!$D$5:$D$90*((Headcount!$I$5:$I$90=0)+(Headcount!$I$5:$I$90=1)*$C$16)*(AK$18&gt;=(Headcount!$E$5:$E$90+Headcount!$G$5:$G$90*$C$15)))</f>
        <v>40.4</v>
      </c>
      <c r="AL196" s="13" t="n">
        <f aca="false">SUMPRODUCT(Headcount!$D$5:$D$90*((Headcount!$I$5:$I$90=0)+(Headcount!$I$5:$I$90=1)*$C$16)*(AL$18&gt;=(Headcount!$E$5:$E$90+Headcount!$G$5:$G$90*$C$15)))</f>
        <v>40.4</v>
      </c>
      <c r="AN196" s="37" t="n">
        <f aca="false">N196</f>
        <v>18.4</v>
      </c>
      <c r="AO196" s="37" t="n">
        <f aca="false">Z196</f>
        <v>31.4</v>
      </c>
      <c r="AP196" s="37" t="n">
        <f aca="false">AL196</f>
        <v>40.4</v>
      </c>
    </row>
    <row r="197" customFormat="false" ht="15" hidden="false" customHeight="false" outlineLevel="0" collapsed="false">
      <c r="A197" s="0" t="s">
        <v>998</v>
      </c>
      <c r="B197" s="0" t="s">
        <v>618</v>
      </c>
      <c r="C197" s="13" t="n">
        <f aca="false">SUMPRODUCT(Headcount!$D$5:$D$90*(Headcount!$C$5:$C$90="IMPL")*((Headcount!$I$5:$I$90=0)+(Headcount!$I$5:$I$90=1)*$C$16)*(C$18&gt;=(Headcount!$E$5:$E$90+Headcount!$G$5:$G$90*$C$15)))</f>
        <v>0</v>
      </c>
      <c r="D197" s="13" t="n">
        <f aca="false">SUMPRODUCT(Headcount!$D$5:$D$90*(Headcount!$C$5:$C$90="IMPL")*((Headcount!$I$5:$I$90=0)+(Headcount!$I$5:$I$90=1)*$C$16)*(D$18&gt;=(Headcount!$E$5:$E$90+Headcount!$G$5:$G$90*$C$15)))</f>
        <v>0</v>
      </c>
      <c r="E197" s="13" t="n">
        <f aca="false">SUMPRODUCT(Headcount!$D$5:$D$90*(Headcount!$C$5:$C$90="IMPL")*((Headcount!$I$5:$I$90=0)+(Headcount!$I$5:$I$90=1)*$C$16)*(E$18&gt;=(Headcount!$E$5:$E$90+Headcount!$G$5:$G$90*$C$15)))</f>
        <v>0</v>
      </c>
      <c r="F197" s="13" t="n">
        <f aca="false">SUMPRODUCT(Headcount!$D$5:$D$90*(Headcount!$C$5:$C$90="IMPL")*((Headcount!$I$5:$I$90=0)+(Headcount!$I$5:$I$90=1)*$C$16)*(F$18&gt;=(Headcount!$E$5:$E$90+Headcount!$G$5:$G$90*$C$15)))</f>
        <v>0</v>
      </c>
      <c r="G197" s="13" t="n">
        <f aca="false">SUMPRODUCT(Headcount!$D$5:$D$90*(Headcount!$C$5:$C$90="IMPL")*((Headcount!$I$5:$I$90=0)+(Headcount!$I$5:$I$90=1)*$C$16)*(G$18&gt;=(Headcount!$E$5:$E$90+Headcount!$G$5:$G$90*$C$15)))</f>
        <v>1</v>
      </c>
      <c r="H197" s="13" t="n">
        <f aca="false">SUMPRODUCT(Headcount!$D$5:$D$90*(Headcount!$C$5:$C$90="IMPL")*((Headcount!$I$5:$I$90=0)+(Headcount!$I$5:$I$90=1)*$C$16)*(H$18&gt;=(Headcount!$E$5:$E$90+Headcount!$G$5:$G$90*$C$15)))</f>
        <v>1</v>
      </c>
      <c r="I197" s="13" t="n">
        <f aca="false">SUMPRODUCT(Headcount!$D$5:$D$90*(Headcount!$C$5:$C$90="IMPL")*((Headcount!$I$5:$I$90=0)+(Headcount!$I$5:$I$90=1)*$C$16)*(I$18&gt;=(Headcount!$E$5:$E$90+Headcount!$G$5:$G$90*$C$15)))</f>
        <v>1</v>
      </c>
      <c r="J197" s="13" t="n">
        <f aca="false">SUMPRODUCT(Headcount!$D$5:$D$90*(Headcount!$C$5:$C$90="IMPL")*((Headcount!$I$5:$I$90=0)+(Headcount!$I$5:$I$90=1)*$C$16)*(J$18&gt;=(Headcount!$E$5:$E$90+Headcount!$G$5:$G$90*$C$15)))</f>
        <v>1</v>
      </c>
      <c r="K197" s="13" t="n">
        <f aca="false">SUMPRODUCT(Headcount!$D$5:$D$90*(Headcount!$C$5:$C$90="IMPL")*((Headcount!$I$5:$I$90=0)+(Headcount!$I$5:$I$90=1)*$C$16)*(K$18&gt;=(Headcount!$E$5:$E$90+Headcount!$G$5:$G$90*$C$15)))</f>
        <v>1</v>
      </c>
      <c r="L197" s="13" t="n">
        <f aca="false">SUMPRODUCT(Headcount!$D$5:$D$90*(Headcount!$C$5:$C$90="IMPL")*((Headcount!$I$5:$I$90=0)+(Headcount!$I$5:$I$90=1)*$C$16)*(L$18&gt;=(Headcount!$E$5:$E$90+Headcount!$G$5:$G$90*$C$15)))</f>
        <v>1</v>
      </c>
      <c r="M197" s="13" t="n">
        <f aca="false">SUMPRODUCT(Headcount!$D$5:$D$90*(Headcount!$C$5:$C$90="IMPL")*((Headcount!$I$5:$I$90=0)+(Headcount!$I$5:$I$90=1)*$C$16)*(M$18&gt;=(Headcount!$E$5:$E$90+Headcount!$G$5:$G$90*$C$15)))</f>
        <v>2</v>
      </c>
      <c r="N197" s="13" t="n">
        <f aca="false">SUMPRODUCT(Headcount!$D$5:$D$90*(Headcount!$C$5:$C$90="IMPL")*((Headcount!$I$5:$I$90=0)+(Headcount!$I$5:$I$90=1)*$C$16)*(N$18&gt;=(Headcount!$E$5:$E$90+Headcount!$G$5:$G$90*$C$15)))</f>
        <v>2</v>
      </c>
      <c r="O197" s="13" t="n">
        <f aca="false">SUMPRODUCT(Headcount!$D$5:$D$90*(Headcount!$C$5:$C$90="IMPL")*((Headcount!$I$5:$I$90=0)+(Headcount!$I$5:$I$90=1)*$C$16)*(O$18&gt;=(Headcount!$E$5:$E$90+Headcount!$G$5:$G$90*$C$15)))</f>
        <v>2</v>
      </c>
      <c r="P197" s="13" t="n">
        <f aca="false">SUMPRODUCT(Headcount!$D$5:$D$90*(Headcount!$C$5:$C$90="IMPL")*((Headcount!$I$5:$I$90=0)+(Headcount!$I$5:$I$90=1)*$C$16)*(P$18&gt;=(Headcount!$E$5:$E$90+Headcount!$G$5:$G$90*$C$15)))</f>
        <v>2</v>
      </c>
      <c r="Q197" s="13" t="n">
        <f aca="false">SUMPRODUCT(Headcount!$D$5:$D$90*(Headcount!$C$5:$C$90="IMPL")*((Headcount!$I$5:$I$90=0)+(Headcount!$I$5:$I$90=1)*$C$16)*(Q$18&gt;=(Headcount!$E$5:$E$90+Headcount!$G$5:$G$90*$C$15)))</f>
        <v>3</v>
      </c>
      <c r="R197" s="13" t="n">
        <f aca="false">SUMPRODUCT(Headcount!$D$5:$D$90*(Headcount!$C$5:$C$90="IMPL")*((Headcount!$I$5:$I$90=0)+(Headcount!$I$5:$I$90=1)*$C$16)*(R$18&gt;=(Headcount!$E$5:$E$90+Headcount!$G$5:$G$90*$C$15)))</f>
        <v>3</v>
      </c>
      <c r="S197" s="13" t="n">
        <f aca="false">SUMPRODUCT(Headcount!$D$5:$D$90*(Headcount!$C$5:$C$90="IMPL")*((Headcount!$I$5:$I$90=0)+(Headcount!$I$5:$I$90=1)*$C$16)*(S$18&gt;=(Headcount!$E$5:$E$90+Headcount!$G$5:$G$90*$C$15)))</f>
        <v>3</v>
      </c>
      <c r="T197" s="13" t="n">
        <f aca="false">SUMPRODUCT(Headcount!$D$5:$D$90*(Headcount!$C$5:$C$90="IMPL")*((Headcount!$I$5:$I$90=0)+(Headcount!$I$5:$I$90=1)*$C$16)*(T$18&gt;=(Headcount!$E$5:$E$90+Headcount!$G$5:$G$90*$C$15)))</f>
        <v>3</v>
      </c>
      <c r="U197" s="13" t="n">
        <f aca="false">SUMPRODUCT(Headcount!$D$5:$D$90*(Headcount!$C$5:$C$90="IMPL")*((Headcount!$I$5:$I$90=0)+(Headcount!$I$5:$I$90=1)*$C$16)*(U$18&gt;=(Headcount!$E$5:$E$90+Headcount!$G$5:$G$90*$C$15)))</f>
        <v>4</v>
      </c>
      <c r="V197" s="13" t="n">
        <f aca="false">SUMPRODUCT(Headcount!$D$5:$D$90*(Headcount!$C$5:$C$90="IMPL")*((Headcount!$I$5:$I$90=0)+(Headcount!$I$5:$I$90=1)*$C$16)*(V$18&gt;=(Headcount!$E$5:$E$90+Headcount!$G$5:$G$90*$C$15)))</f>
        <v>4</v>
      </c>
      <c r="W197" s="13" t="n">
        <f aca="false">SUMPRODUCT(Headcount!$D$5:$D$90*(Headcount!$C$5:$C$90="IMPL")*((Headcount!$I$5:$I$90=0)+(Headcount!$I$5:$I$90=1)*$C$16)*(W$18&gt;=(Headcount!$E$5:$E$90+Headcount!$G$5:$G$90*$C$15)))</f>
        <v>4</v>
      </c>
      <c r="X197" s="13" t="n">
        <f aca="false">SUMPRODUCT(Headcount!$D$5:$D$90*(Headcount!$C$5:$C$90="IMPL")*((Headcount!$I$5:$I$90=0)+(Headcount!$I$5:$I$90=1)*$C$16)*(X$18&gt;=(Headcount!$E$5:$E$90+Headcount!$G$5:$G$90*$C$15)))</f>
        <v>5</v>
      </c>
      <c r="Y197" s="13" t="n">
        <f aca="false">SUMPRODUCT(Headcount!$D$5:$D$90*(Headcount!$C$5:$C$90="IMPL")*((Headcount!$I$5:$I$90=0)+(Headcount!$I$5:$I$90=1)*$C$16)*(Y$18&gt;=(Headcount!$E$5:$E$90+Headcount!$G$5:$G$90*$C$15)))</f>
        <v>5</v>
      </c>
      <c r="Z197" s="13" t="n">
        <f aca="false">SUMPRODUCT(Headcount!$D$5:$D$90*(Headcount!$C$5:$C$90="IMPL")*((Headcount!$I$5:$I$90=0)+(Headcount!$I$5:$I$90=1)*$C$16)*(Z$18&gt;=(Headcount!$E$5:$E$90+Headcount!$G$5:$G$90*$C$15)))</f>
        <v>5</v>
      </c>
      <c r="AA197" s="13" t="n">
        <f aca="false">SUMPRODUCT(Headcount!$D$5:$D$90*(Headcount!$C$5:$C$90="IMPL")*((Headcount!$I$5:$I$90=0)+(Headcount!$I$5:$I$90=1)*$C$16)*(AA$18&gt;=(Headcount!$E$5:$E$90+Headcount!$G$5:$G$90*$C$15)))</f>
        <v>6</v>
      </c>
      <c r="AB197" s="13" t="n">
        <f aca="false">SUMPRODUCT(Headcount!$D$5:$D$90*(Headcount!$C$5:$C$90="IMPL")*((Headcount!$I$5:$I$90=0)+(Headcount!$I$5:$I$90=1)*$C$16)*(AB$18&gt;=(Headcount!$E$5:$E$90+Headcount!$G$5:$G$90*$C$15)))</f>
        <v>6</v>
      </c>
      <c r="AC197" s="13" t="n">
        <f aca="false">SUMPRODUCT(Headcount!$D$5:$D$90*(Headcount!$C$5:$C$90="IMPL")*((Headcount!$I$5:$I$90=0)+(Headcount!$I$5:$I$90=1)*$C$16)*(AC$18&gt;=(Headcount!$E$5:$E$90+Headcount!$G$5:$G$90*$C$15)))</f>
        <v>6</v>
      </c>
      <c r="AD197" s="13" t="n">
        <f aca="false">SUMPRODUCT(Headcount!$D$5:$D$90*(Headcount!$C$5:$C$90="IMPL")*((Headcount!$I$5:$I$90=0)+(Headcount!$I$5:$I$90=1)*$C$16)*(AD$18&gt;=(Headcount!$E$5:$E$90+Headcount!$G$5:$G$90*$C$15)))</f>
        <v>7</v>
      </c>
      <c r="AE197" s="13" t="n">
        <f aca="false">SUMPRODUCT(Headcount!$D$5:$D$90*(Headcount!$C$5:$C$90="IMPL")*((Headcount!$I$5:$I$90=0)+(Headcount!$I$5:$I$90=1)*$C$16)*(AE$18&gt;=(Headcount!$E$5:$E$90+Headcount!$G$5:$G$90*$C$15)))</f>
        <v>7</v>
      </c>
      <c r="AF197" s="13" t="n">
        <f aca="false">SUMPRODUCT(Headcount!$D$5:$D$90*(Headcount!$C$5:$C$90="IMPL")*((Headcount!$I$5:$I$90=0)+(Headcount!$I$5:$I$90=1)*$C$16)*(AF$18&gt;=(Headcount!$E$5:$E$90+Headcount!$G$5:$G$90*$C$15)))</f>
        <v>7</v>
      </c>
      <c r="AG197" s="13" t="n">
        <f aca="false">SUMPRODUCT(Headcount!$D$5:$D$90*(Headcount!$C$5:$C$90="IMPL")*((Headcount!$I$5:$I$90=0)+(Headcount!$I$5:$I$90=1)*$C$16)*(AG$18&gt;=(Headcount!$E$5:$E$90+Headcount!$G$5:$G$90*$C$15)))</f>
        <v>8</v>
      </c>
      <c r="AH197" s="13" t="n">
        <f aca="false">SUMPRODUCT(Headcount!$D$5:$D$90*(Headcount!$C$5:$C$90="IMPL")*((Headcount!$I$5:$I$90=0)+(Headcount!$I$5:$I$90=1)*$C$16)*(AH$18&gt;=(Headcount!$E$5:$E$90+Headcount!$G$5:$G$90*$C$15)))</f>
        <v>8</v>
      </c>
      <c r="AI197" s="13" t="n">
        <f aca="false">SUMPRODUCT(Headcount!$D$5:$D$90*(Headcount!$C$5:$C$90="IMPL")*((Headcount!$I$5:$I$90=0)+(Headcount!$I$5:$I$90=1)*$C$16)*(AI$18&gt;=(Headcount!$E$5:$E$90+Headcount!$G$5:$G$90*$C$15)))</f>
        <v>8</v>
      </c>
      <c r="AJ197" s="13" t="n">
        <f aca="false">SUMPRODUCT(Headcount!$D$5:$D$90*(Headcount!$C$5:$C$90="IMPL")*((Headcount!$I$5:$I$90=0)+(Headcount!$I$5:$I$90=1)*$C$16)*(AJ$18&gt;=(Headcount!$E$5:$E$90+Headcount!$G$5:$G$90*$C$15)))</f>
        <v>8</v>
      </c>
      <c r="AK197" s="13" t="n">
        <f aca="false">SUMPRODUCT(Headcount!$D$5:$D$90*(Headcount!$C$5:$C$90="IMPL")*((Headcount!$I$5:$I$90=0)+(Headcount!$I$5:$I$90=1)*$C$16)*(AK$18&gt;=(Headcount!$E$5:$E$90+Headcount!$G$5:$G$90*$C$15)))</f>
        <v>8</v>
      </c>
      <c r="AL197" s="13" t="n">
        <f aca="false">SUMPRODUCT(Headcount!$D$5:$D$90*(Headcount!$C$5:$C$90="IMPL")*((Headcount!$I$5:$I$90=0)+(Headcount!$I$5:$I$90=1)*$C$16)*(AL$18&gt;=(Headcount!$E$5:$E$90+Headcount!$G$5:$G$90*$C$15)))</f>
        <v>8</v>
      </c>
      <c r="AN197" s="37" t="n">
        <f aca="false">N197</f>
        <v>2</v>
      </c>
      <c r="AO197" s="37" t="n">
        <f aca="false">Z197</f>
        <v>5</v>
      </c>
      <c r="AP197" s="37" t="n">
        <f aca="false">AL197</f>
        <v>8</v>
      </c>
    </row>
    <row r="198" customFormat="false" ht="15" hidden="false" customHeight="false" outlineLevel="0" collapsed="false">
      <c r="A198" s="0" t="s">
        <v>999</v>
      </c>
      <c r="B198" s="0" t="s">
        <v>618</v>
      </c>
      <c r="C198" s="13" t="n">
        <f aca="false">IF(C$18&gt;=2,SUMPRODUCT(Headcount!$D$5:$D$90*((Headcount!$I$5:$I$90=0)+(Headcount!$I$5:$I$90=1)*$C$16)*((Headcount!$E$5:$E$90+Headcount!$G$5:$G$90*$C$15)=C$18)),0)</f>
        <v>0</v>
      </c>
      <c r="D198" s="13" t="n">
        <f aca="false">IF(D$18&gt;=2,SUMPRODUCT(Headcount!$D$5:$D$90*((Headcount!$I$5:$I$90=0)+(Headcount!$I$5:$I$90=1)*$C$16)*((Headcount!$E$5:$E$90+Headcount!$G$5:$G$90*$C$15)=D$18)),0)</f>
        <v>0</v>
      </c>
      <c r="E198" s="13" t="n">
        <f aca="false">IF(E$18&gt;=2,SUMPRODUCT(Headcount!$D$5:$D$90*((Headcount!$I$5:$I$90=0)+(Headcount!$I$5:$I$90=1)*$C$16)*((Headcount!$E$5:$E$90+Headcount!$G$5:$G$90*$C$15)=E$18)),0)</f>
        <v>1</v>
      </c>
      <c r="F198" s="13" t="n">
        <f aca="false">IF(F$18&gt;=2,SUMPRODUCT(Headcount!$D$5:$D$90*((Headcount!$I$5:$I$90=0)+(Headcount!$I$5:$I$90=1)*$C$16)*((Headcount!$E$5:$E$90+Headcount!$G$5:$G$90*$C$15)=F$18)),0)</f>
        <v>1</v>
      </c>
      <c r="G198" s="13" t="n">
        <f aca="false">IF(G$18&gt;=2,SUMPRODUCT(Headcount!$D$5:$D$90*((Headcount!$I$5:$I$90=0)+(Headcount!$I$5:$I$90=1)*$C$16)*((Headcount!$E$5:$E$90+Headcount!$G$5:$G$90*$C$15)=G$18)),0)</f>
        <v>2</v>
      </c>
      <c r="H198" s="13" t="n">
        <f aca="false">IF(H$18&gt;=2,SUMPRODUCT(Headcount!$D$5:$D$90*((Headcount!$I$5:$I$90=0)+(Headcount!$I$5:$I$90=1)*$C$16)*((Headcount!$E$5:$E$90+Headcount!$G$5:$G$90*$C$15)=H$18)),0)</f>
        <v>2</v>
      </c>
      <c r="I198" s="13" t="n">
        <f aca="false">IF(I$18&gt;=2,SUMPRODUCT(Headcount!$D$5:$D$90*((Headcount!$I$5:$I$90=0)+(Headcount!$I$5:$I$90=1)*$C$16)*((Headcount!$E$5:$E$90+Headcount!$G$5:$G$90*$C$15)=I$18)),0)</f>
        <v>1</v>
      </c>
      <c r="J198" s="13" t="n">
        <f aca="false">IF(J$18&gt;=2,SUMPRODUCT(Headcount!$D$5:$D$90*((Headcount!$I$5:$I$90=0)+(Headcount!$I$5:$I$90=1)*$C$16)*((Headcount!$E$5:$E$90+Headcount!$G$5:$G$90*$C$15)=J$18)),0)</f>
        <v>0</v>
      </c>
      <c r="K198" s="13" t="n">
        <f aca="false">IF(K$18&gt;=2,SUMPRODUCT(Headcount!$D$5:$D$90*((Headcount!$I$5:$I$90=0)+(Headcount!$I$5:$I$90=1)*$C$16)*((Headcount!$E$5:$E$90+Headcount!$G$5:$G$90*$C$15)=K$18)),0)</f>
        <v>3</v>
      </c>
      <c r="L198" s="13" t="n">
        <f aca="false">IF(L$18&gt;=2,SUMPRODUCT(Headcount!$D$5:$D$90*((Headcount!$I$5:$I$90=0)+(Headcount!$I$5:$I$90=1)*$C$16)*((Headcount!$E$5:$E$90+Headcount!$G$5:$G$90*$C$15)=L$18)),0)</f>
        <v>1</v>
      </c>
      <c r="M198" s="13" t="n">
        <f aca="false">IF(M$18&gt;=2,SUMPRODUCT(Headcount!$D$5:$D$90*((Headcount!$I$5:$I$90=0)+(Headcount!$I$5:$I$90=1)*$C$16)*((Headcount!$E$5:$E$90+Headcount!$G$5:$G$90*$C$15)=M$18)),0)</f>
        <v>2</v>
      </c>
      <c r="N198" s="13" t="n">
        <f aca="false">IF(N$18&gt;=2,SUMPRODUCT(Headcount!$D$5:$D$90*((Headcount!$I$5:$I$90=0)+(Headcount!$I$5:$I$90=1)*$C$16)*((Headcount!$E$5:$E$90+Headcount!$G$5:$G$90*$C$15)=N$18)),0)</f>
        <v>1</v>
      </c>
      <c r="O198" s="13" t="n">
        <f aca="false">IF(O$18&gt;=2,SUMPRODUCT(Headcount!$D$5:$D$90*((Headcount!$I$5:$I$90=0)+(Headcount!$I$5:$I$90=1)*$C$16)*((Headcount!$E$5:$E$90+Headcount!$G$5:$G$90*$C$15)=O$18)),0)</f>
        <v>2</v>
      </c>
      <c r="P198" s="13" t="n">
        <f aca="false">IF(P$18&gt;=2,SUMPRODUCT(Headcount!$D$5:$D$90*((Headcount!$I$5:$I$90=0)+(Headcount!$I$5:$I$90=1)*$C$16)*((Headcount!$E$5:$E$90+Headcount!$G$5:$G$90*$C$15)=P$18)),0)</f>
        <v>1</v>
      </c>
      <c r="Q198" s="13" t="n">
        <f aca="false">IF(Q$18&gt;=2,SUMPRODUCT(Headcount!$D$5:$D$90*((Headcount!$I$5:$I$90=0)+(Headcount!$I$5:$I$90=1)*$C$16)*((Headcount!$E$5:$E$90+Headcount!$G$5:$G$90*$C$15)=Q$18)),0)</f>
        <v>2</v>
      </c>
      <c r="R198" s="13" t="n">
        <f aca="false">IF(R$18&gt;=2,SUMPRODUCT(Headcount!$D$5:$D$90*((Headcount!$I$5:$I$90=0)+(Headcount!$I$5:$I$90=1)*$C$16)*((Headcount!$E$5:$E$90+Headcount!$G$5:$G$90*$C$15)=R$18)),0)</f>
        <v>0</v>
      </c>
      <c r="S198" s="13" t="n">
        <f aca="false">IF(S$18&gt;=2,SUMPRODUCT(Headcount!$D$5:$D$90*((Headcount!$I$5:$I$90=0)+(Headcount!$I$5:$I$90=1)*$C$16)*((Headcount!$E$5:$E$90+Headcount!$G$5:$G$90*$C$15)=S$18)),0)</f>
        <v>0</v>
      </c>
      <c r="T198" s="13" t="n">
        <f aca="false">IF(T$18&gt;=2,SUMPRODUCT(Headcount!$D$5:$D$90*((Headcount!$I$5:$I$90=0)+(Headcount!$I$5:$I$90=1)*$C$16)*((Headcount!$E$5:$E$90+Headcount!$G$5:$G$90*$C$15)=T$18)),0)</f>
        <v>2</v>
      </c>
      <c r="U198" s="13" t="n">
        <f aca="false">IF(U$18&gt;=2,SUMPRODUCT(Headcount!$D$5:$D$90*((Headcount!$I$5:$I$90=0)+(Headcount!$I$5:$I$90=1)*$C$16)*((Headcount!$E$5:$E$90+Headcount!$G$5:$G$90*$C$15)=U$18)),0)</f>
        <v>1</v>
      </c>
      <c r="V198" s="13" t="n">
        <f aca="false">IF(V$18&gt;=2,SUMPRODUCT(Headcount!$D$5:$D$90*((Headcount!$I$5:$I$90=0)+(Headcount!$I$5:$I$90=1)*$C$16)*((Headcount!$E$5:$E$90+Headcount!$G$5:$G$90*$C$15)=V$18)),0)</f>
        <v>2</v>
      </c>
      <c r="W198" s="13" t="n">
        <f aca="false">IF(W$18&gt;=2,SUMPRODUCT(Headcount!$D$5:$D$90*((Headcount!$I$5:$I$90=0)+(Headcount!$I$5:$I$90=1)*$C$16)*((Headcount!$E$5:$E$90+Headcount!$G$5:$G$90*$C$15)=W$18)),0)</f>
        <v>0</v>
      </c>
      <c r="X198" s="13" t="n">
        <f aca="false">IF(X$18&gt;=2,SUMPRODUCT(Headcount!$D$5:$D$90*((Headcount!$I$5:$I$90=0)+(Headcount!$I$5:$I$90=1)*$C$16)*((Headcount!$E$5:$E$90+Headcount!$G$5:$G$90*$C$15)=X$18)),0)</f>
        <v>2</v>
      </c>
      <c r="Y198" s="13" t="n">
        <f aca="false">IF(Y$18&gt;=2,SUMPRODUCT(Headcount!$D$5:$D$90*((Headcount!$I$5:$I$90=0)+(Headcount!$I$5:$I$90=1)*$C$16)*((Headcount!$E$5:$E$90+Headcount!$G$5:$G$90*$C$15)=Y$18)),0)</f>
        <v>0</v>
      </c>
      <c r="Z198" s="13" t="n">
        <f aca="false">IF(Z$18&gt;=2,SUMPRODUCT(Headcount!$D$5:$D$90*((Headcount!$I$5:$I$90=0)+(Headcount!$I$5:$I$90=1)*$C$16)*((Headcount!$E$5:$E$90+Headcount!$G$5:$G$90*$C$15)=Z$18)),0)</f>
        <v>1</v>
      </c>
      <c r="AA198" s="13" t="n">
        <f aca="false">IF(AA$18&gt;=2,SUMPRODUCT(Headcount!$D$5:$D$90*((Headcount!$I$5:$I$90=0)+(Headcount!$I$5:$I$90=1)*$C$16)*((Headcount!$E$5:$E$90+Headcount!$G$5:$G$90*$C$15)=AA$18)),0)</f>
        <v>1</v>
      </c>
      <c r="AB198" s="13" t="n">
        <f aca="false">IF(AB$18&gt;=2,SUMPRODUCT(Headcount!$D$5:$D$90*((Headcount!$I$5:$I$90=0)+(Headcount!$I$5:$I$90=1)*$C$16)*((Headcount!$E$5:$E$90+Headcount!$G$5:$G$90*$C$15)=AB$18)),0)</f>
        <v>2</v>
      </c>
      <c r="AC198" s="13" t="n">
        <f aca="false">IF(AC$18&gt;=2,SUMPRODUCT(Headcount!$D$5:$D$90*((Headcount!$I$5:$I$90=0)+(Headcount!$I$5:$I$90=1)*$C$16)*((Headcount!$E$5:$E$90+Headcount!$G$5:$G$90*$C$15)=AC$18)),0)</f>
        <v>0</v>
      </c>
      <c r="AD198" s="13" t="n">
        <f aca="false">IF(AD$18&gt;=2,SUMPRODUCT(Headcount!$D$5:$D$90*((Headcount!$I$5:$I$90=0)+(Headcount!$I$5:$I$90=1)*$C$16)*((Headcount!$E$5:$E$90+Headcount!$G$5:$G$90*$C$15)=AD$18)),0)</f>
        <v>2</v>
      </c>
      <c r="AE198" s="13" t="n">
        <f aca="false">IF(AE$18&gt;=2,SUMPRODUCT(Headcount!$D$5:$D$90*((Headcount!$I$5:$I$90=0)+(Headcount!$I$5:$I$90=1)*$C$16)*((Headcount!$E$5:$E$90+Headcount!$G$5:$G$90*$C$15)=AE$18)),0)</f>
        <v>0</v>
      </c>
      <c r="AF198" s="13" t="n">
        <f aca="false">IF(AF$18&gt;=2,SUMPRODUCT(Headcount!$D$5:$D$90*((Headcount!$I$5:$I$90=0)+(Headcount!$I$5:$I$90=1)*$C$16)*((Headcount!$E$5:$E$90+Headcount!$G$5:$G$90*$C$15)=AF$18)),0)</f>
        <v>1</v>
      </c>
      <c r="AG198" s="13" t="n">
        <f aca="false">IF(AG$18&gt;=2,SUMPRODUCT(Headcount!$D$5:$D$90*((Headcount!$I$5:$I$90=0)+(Headcount!$I$5:$I$90=1)*$C$16)*((Headcount!$E$5:$E$90+Headcount!$G$5:$G$90*$C$15)=AG$18)),0)</f>
        <v>1</v>
      </c>
      <c r="AH198" s="13" t="n">
        <f aca="false">IF(AH$18&gt;=2,SUMPRODUCT(Headcount!$D$5:$D$90*((Headcount!$I$5:$I$90=0)+(Headcount!$I$5:$I$90=1)*$C$16)*((Headcount!$E$5:$E$90+Headcount!$G$5:$G$90*$C$15)=AH$18)),0)</f>
        <v>1</v>
      </c>
      <c r="AI198" s="13" t="n">
        <f aca="false">IF(AI$18&gt;=2,SUMPRODUCT(Headcount!$D$5:$D$90*((Headcount!$I$5:$I$90=0)+(Headcount!$I$5:$I$90=1)*$C$16)*((Headcount!$E$5:$E$90+Headcount!$G$5:$G$90*$C$15)=AI$18)),0)</f>
        <v>1</v>
      </c>
      <c r="AJ198" s="13" t="n">
        <f aca="false">IF(AJ$18&gt;=2,SUMPRODUCT(Headcount!$D$5:$D$90*((Headcount!$I$5:$I$90=0)+(Headcount!$I$5:$I$90=1)*$C$16)*((Headcount!$E$5:$E$90+Headcount!$G$5:$G$90*$C$15)=AJ$18)),0)</f>
        <v>0</v>
      </c>
      <c r="AK198" s="13" t="n">
        <f aca="false">IF(AK$18&gt;=2,SUMPRODUCT(Headcount!$D$5:$D$90*((Headcount!$I$5:$I$90=0)+(Headcount!$I$5:$I$90=1)*$C$16)*((Headcount!$E$5:$E$90+Headcount!$G$5:$G$90*$C$15)=AK$18)),0)</f>
        <v>0</v>
      </c>
      <c r="AL198" s="13" t="n">
        <f aca="false">IF(AL$18&gt;=2,SUMPRODUCT(Headcount!$D$5:$D$90*((Headcount!$I$5:$I$90=0)+(Headcount!$I$5:$I$90=1)*$C$16)*((Headcount!$E$5:$E$90+Headcount!$G$5:$G$90*$C$15)=AL$18)),0)</f>
        <v>0</v>
      </c>
      <c r="AN198" s="37" t="n">
        <f aca="false">SUM(C198:N198)</f>
        <v>14</v>
      </c>
      <c r="AO198" s="37" t="n">
        <f aca="false">SUM(O198:Z198)</f>
        <v>13</v>
      </c>
      <c r="AP198" s="37" t="n">
        <f aca="false">SUM(AA198:AL198)</f>
        <v>9</v>
      </c>
    </row>
    <row r="199" customFormat="false" ht="15" hidden="false" customHeight="false" outlineLevel="0" collapsed="false">
      <c r="A199" s="0" t="s">
        <v>1000</v>
      </c>
      <c r="B199" s="0" t="s">
        <v>230</v>
      </c>
      <c r="C199" s="9" t="n">
        <f aca="false">((((((Assumptions!$C$138+Assumptions!$C$139)+Assumptions!$C$140)+Assumptions!$C$141)+Assumptions!$C$142)+Assumptions!$C$143)/12)</f>
        <v>9833.33333333333</v>
      </c>
      <c r="D199" s="9" t="n">
        <f aca="false">((((((Assumptions!$C$138+Assumptions!$C$139)+Assumptions!$C$140)+Assumptions!$C$141)+Assumptions!$C$142)+Assumptions!$C$143)/12)</f>
        <v>9833.33333333333</v>
      </c>
      <c r="E199" s="9" t="n">
        <f aca="false">((((((Assumptions!$C$138+Assumptions!$C$139)+Assumptions!$C$140)+Assumptions!$C$141)+Assumptions!$C$142)+Assumptions!$C$143)/12)</f>
        <v>9833.33333333333</v>
      </c>
      <c r="F199" s="9" t="n">
        <f aca="false">((((((Assumptions!$C$138+Assumptions!$C$139)+Assumptions!$C$140)+Assumptions!$C$141)+Assumptions!$C$142)+Assumptions!$C$143)/12)</f>
        <v>9833.33333333333</v>
      </c>
      <c r="G199" s="9" t="n">
        <f aca="false">((((((Assumptions!$C$138+Assumptions!$C$139)+Assumptions!$C$140)+Assumptions!$C$141)+Assumptions!$C$142)+Assumptions!$C$143)/12)</f>
        <v>9833.33333333333</v>
      </c>
      <c r="H199" s="9" t="n">
        <f aca="false">((((((Assumptions!$C$138+Assumptions!$C$139)+Assumptions!$C$140)+Assumptions!$C$141)+Assumptions!$C$142)+Assumptions!$C$143)/12)</f>
        <v>9833.33333333333</v>
      </c>
      <c r="I199" s="9" t="n">
        <f aca="false">((((((Assumptions!$C$138+Assumptions!$C$139)+Assumptions!$C$140)+Assumptions!$C$141)+Assumptions!$C$142)+Assumptions!$C$143)/12)</f>
        <v>9833.33333333333</v>
      </c>
      <c r="J199" s="9" t="n">
        <f aca="false">((((((Assumptions!$C$138+Assumptions!$C$139)+Assumptions!$C$140)+Assumptions!$C$141)+Assumptions!$C$142)+Assumptions!$C$143)/12)</f>
        <v>9833.33333333333</v>
      </c>
      <c r="K199" s="9" t="n">
        <f aca="false">((((((Assumptions!$C$138+Assumptions!$C$139)+Assumptions!$C$140)+Assumptions!$C$141)+Assumptions!$C$142)+Assumptions!$C$143)/12)</f>
        <v>9833.33333333333</v>
      </c>
      <c r="L199" s="9" t="n">
        <f aca="false">((((((Assumptions!$C$138+Assumptions!$C$139)+Assumptions!$C$140)+Assumptions!$C$141)+Assumptions!$C$142)+Assumptions!$C$143)/12)</f>
        <v>9833.33333333333</v>
      </c>
      <c r="M199" s="9" t="n">
        <f aca="false">((((((Assumptions!$C$138+Assumptions!$C$139)+Assumptions!$C$140)+Assumptions!$C$141)+Assumptions!$C$142)+Assumptions!$C$143)/12)</f>
        <v>9833.33333333333</v>
      </c>
      <c r="N199" s="9" t="n">
        <f aca="false">((((((Assumptions!$C$138+Assumptions!$C$139)+Assumptions!$C$140)+Assumptions!$C$141)+Assumptions!$C$142)+Assumptions!$C$143)/12)</f>
        <v>9833.33333333333</v>
      </c>
      <c r="O199" s="9" t="n">
        <f aca="false">((((((Assumptions!$D$138+Assumptions!$D$139)+Assumptions!$D$140)+Assumptions!$D$141)+Assumptions!$D$142)+Assumptions!$D$143)/12)</f>
        <v>14166.6666666667</v>
      </c>
      <c r="P199" s="9" t="n">
        <f aca="false">((((((Assumptions!$D$138+Assumptions!$D$139)+Assumptions!$D$140)+Assumptions!$D$141)+Assumptions!$D$142)+Assumptions!$D$143)/12)</f>
        <v>14166.6666666667</v>
      </c>
      <c r="Q199" s="9" t="n">
        <f aca="false">((((((Assumptions!$D$138+Assumptions!$D$139)+Assumptions!$D$140)+Assumptions!$D$141)+Assumptions!$D$142)+Assumptions!$D$143)/12)</f>
        <v>14166.6666666667</v>
      </c>
      <c r="R199" s="9" t="n">
        <f aca="false">((((((Assumptions!$D$138+Assumptions!$D$139)+Assumptions!$D$140)+Assumptions!$D$141)+Assumptions!$D$142)+Assumptions!$D$143)/12)</f>
        <v>14166.6666666667</v>
      </c>
      <c r="S199" s="9" t="n">
        <f aca="false">((((((Assumptions!$D$138+Assumptions!$D$139)+Assumptions!$D$140)+Assumptions!$D$141)+Assumptions!$D$142)+Assumptions!$D$143)/12)</f>
        <v>14166.6666666667</v>
      </c>
      <c r="T199" s="9" t="n">
        <f aca="false">((((((Assumptions!$D$138+Assumptions!$D$139)+Assumptions!$D$140)+Assumptions!$D$141)+Assumptions!$D$142)+Assumptions!$D$143)/12)</f>
        <v>14166.6666666667</v>
      </c>
      <c r="U199" s="9" t="n">
        <f aca="false">((((((Assumptions!$D$138+Assumptions!$D$139)+Assumptions!$D$140)+Assumptions!$D$141)+Assumptions!$D$142)+Assumptions!$D$143)/12)</f>
        <v>14166.6666666667</v>
      </c>
      <c r="V199" s="9" t="n">
        <f aca="false">((((((Assumptions!$D$138+Assumptions!$D$139)+Assumptions!$D$140)+Assumptions!$D$141)+Assumptions!$D$142)+Assumptions!$D$143)/12)</f>
        <v>14166.6666666667</v>
      </c>
      <c r="W199" s="9" t="n">
        <f aca="false">((((((Assumptions!$D$138+Assumptions!$D$139)+Assumptions!$D$140)+Assumptions!$D$141)+Assumptions!$D$142)+Assumptions!$D$143)/12)</f>
        <v>14166.6666666667</v>
      </c>
      <c r="X199" s="9" t="n">
        <f aca="false">((((((Assumptions!$D$138+Assumptions!$D$139)+Assumptions!$D$140)+Assumptions!$D$141)+Assumptions!$D$142)+Assumptions!$D$143)/12)</f>
        <v>14166.6666666667</v>
      </c>
      <c r="Y199" s="9" t="n">
        <f aca="false">((((((Assumptions!$D$138+Assumptions!$D$139)+Assumptions!$D$140)+Assumptions!$D$141)+Assumptions!$D$142)+Assumptions!$D$143)/12)</f>
        <v>14166.6666666667</v>
      </c>
      <c r="Z199" s="9" t="n">
        <f aca="false">((((((Assumptions!$D$138+Assumptions!$D$139)+Assumptions!$D$140)+Assumptions!$D$141)+Assumptions!$D$142)+Assumptions!$D$143)/12)</f>
        <v>14166.6666666667</v>
      </c>
      <c r="AA199" s="9" t="n">
        <f aca="false">((((((Assumptions!$E$138+Assumptions!$E$139)+Assumptions!$E$140)+Assumptions!$E$141)+Assumptions!$E$142)+Assumptions!$E$143)/12)</f>
        <v>19583.3333333333</v>
      </c>
      <c r="AB199" s="9" t="n">
        <f aca="false">((((((Assumptions!$E$138+Assumptions!$E$139)+Assumptions!$E$140)+Assumptions!$E$141)+Assumptions!$E$142)+Assumptions!$E$143)/12)</f>
        <v>19583.3333333333</v>
      </c>
      <c r="AC199" s="9" t="n">
        <f aca="false">((((((Assumptions!$E$138+Assumptions!$E$139)+Assumptions!$E$140)+Assumptions!$E$141)+Assumptions!$E$142)+Assumptions!$E$143)/12)</f>
        <v>19583.3333333333</v>
      </c>
      <c r="AD199" s="9" t="n">
        <f aca="false">((((((Assumptions!$E$138+Assumptions!$E$139)+Assumptions!$E$140)+Assumptions!$E$141)+Assumptions!$E$142)+Assumptions!$E$143)/12)</f>
        <v>19583.3333333333</v>
      </c>
      <c r="AE199" s="9" t="n">
        <f aca="false">((((((Assumptions!$E$138+Assumptions!$E$139)+Assumptions!$E$140)+Assumptions!$E$141)+Assumptions!$E$142)+Assumptions!$E$143)/12)</f>
        <v>19583.3333333333</v>
      </c>
      <c r="AF199" s="9" t="n">
        <f aca="false">((((((Assumptions!$E$138+Assumptions!$E$139)+Assumptions!$E$140)+Assumptions!$E$141)+Assumptions!$E$142)+Assumptions!$E$143)/12)</f>
        <v>19583.3333333333</v>
      </c>
      <c r="AG199" s="9" t="n">
        <f aca="false">((((((Assumptions!$E$138+Assumptions!$E$139)+Assumptions!$E$140)+Assumptions!$E$141)+Assumptions!$E$142)+Assumptions!$E$143)/12)</f>
        <v>19583.3333333333</v>
      </c>
      <c r="AH199" s="9" t="n">
        <f aca="false">((((((Assumptions!$E$138+Assumptions!$E$139)+Assumptions!$E$140)+Assumptions!$E$141)+Assumptions!$E$142)+Assumptions!$E$143)/12)</f>
        <v>19583.3333333333</v>
      </c>
      <c r="AI199" s="9" t="n">
        <f aca="false">((((((Assumptions!$E$138+Assumptions!$E$139)+Assumptions!$E$140)+Assumptions!$E$141)+Assumptions!$E$142)+Assumptions!$E$143)/12)</f>
        <v>19583.3333333333</v>
      </c>
      <c r="AJ199" s="9" t="n">
        <f aca="false">((((((Assumptions!$E$138+Assumptions!$E$139)+Assumptions!$E$140)+Assumptions!$E$141)+Assumptions!$E$142)+Assumptions!$E$143)/12)</f>
        <v>19583.3333333333</v>
      </c>
      <c r="AK199" s="9" t="n">
        <f aca="false">((((((Assumptions!$E$138+Assumptions!$E$139)+Assumptions!$E$140)+Assumptions!$E$141)+Assumptions!$E$142)+Assumptions!$E$143)/12)</f>
        <v>19583.3333333333</v>
      </c>
      <c r="AL199" s="9" t="n">
        <f aca="false">((((((Assumptions!$E$138+Assumptions!$E$139)+Assumptions!$E$140)+Assumptions!$E$141)+Assumptions!$E$142)+Assumptions!$E$143)/12)</f>
        <v>19583.3333333333</v>
      </c>
      <c r="AN199" s="11" t="n">
        <f aca="false">SUM(C199:N199)</f>
        <v>118000</v>
      </c>
      <c r="AO199" s="11" t="n">
        <f aca="false">SUM(O199:Z199)</f>
        <v>170000</v>
      </c>
      <c r="AP199" s="11" t="n">
        <f aca="false">SUM(AA199:AL199)</f>
        <v>235000</v>
      </c>
    </row>
    <row r="200" customFormat="false" ht="15" hidden="false" customHeight="false" outlineLevel="0" collapsed="false">
      <c r="A200" s="0" t="s">
        <v>36</v>
      </c>
      <c r="B200" s="0" t="s">
        <v>230</v>
      </c>
      <c r="C200" s="9" t="n">
        <f aca="false">(((Assumptions!$C$145+Assumptions!$C$146)+Assumptions!$C$147)/12)</f>
        <v>7916.66666666667</v>
      </c>
      <c r="D200" s="9" t="n">
        <f aca="false">(((Assumptions!$C$145+Assumptions!$C$146)+Assumptions!$C$147)/12)</f>
        <v>7916.66666666667</v>
      </c>
      <c r="E200" s="9" t="n">
        <f aca="false">(((Assumptions!$C$145+Assumptions!$C$146)+Assumptions!$C$147)/12)</f>
        <v>7916.66666666667</v>
      </c>
      <c r="F200" s="9" t="n">
        <f aca="false">(((Assumptions!$C$145+Assumptions!$C$146)+Assumptions!$C$147)/12)</f>
        <v>7916.66666666667</v>
      </c>
      <c r="G200" s="9" t="n">
        <f aca="false">(((Assumptions!$C$145+Assumptions!$C$146)+Assumptions!$C$147)/12)</f>
        <v>7916.66666666667</v>
      </c>
      <c r="H200" s="9" t="n">
        <f aca="false">(((Assumptions!$C$145+Assumptions!$C$146)+Assumptions!$C$147)/12)</f>
        <v>7916.66666666667</v>
      </c>
      <c r="I200" s="9" t="n">
        <f aca="false">(((Assumptions!$C$145+Assumptions!$C$146)+Assumptions!$C$147)/12)</f>
        <v>7916.66666666667</v>
      </c>
      <c r="J200" s="9" t="n">
        <f aca="false">(((Assumptions!$C$145+Assumptions!$C$146)+Assumptions!$C$147)/12)</f>
        <v>7916.66666666667</v>
      </c>
      <c r="K200" s="9" t="n">
        <f aca="false">(((Assumptions!$C$145+Assumptions!$C$146)+Assumptions!$C$147)/12)</f>
        <v>7916.66666666667</v>
      </c>
      <c r="L200" s="9" t="n">
        <f aca="false">(((Assumptions!$C$145+Assumptions!$C$146)+Assumptions!$C$147)/12)</f>
        <v>7916.66666666667</v>
      </c>
      <c r="M200" s="9" t="n">
        <f aca="false">(((Assumptions!$C$145+Assumptions!$C$146)+Assumptions!$C$147)/12)</f>
        <v>7916.66666666667</v>
      </c>
      <c r="N200" s="9" t="n">
        <f aca="false">(((Assumptions!$C$145+Assumptions!$C$146)+Assumptions!$C$147)/12)</f>
        <v>7916.66666666667</v>
      </c>
      <c r="O200" s="9" t="n">
        <f aca="false">(((Assumptions!$D$145+Assumptions!$D$146)+Assumptions!$D$147)/12)</f>
        <v>9333.33333333333</v>
      </c>
      <c r="P200" s="9" t="n">
        <f aca="false">(((Assumptions!$D$145+Assumptions!$D$146)+Assumptions!$D$147)/12)</f>
        <v>9333.33333333333</v>
      </c>
      <c r="Q200" s="9" t="n">
        <f aca="false">(((Assumptions!$D$145+Assumptions!$D$146)+Assumptions!$D$147)/12)</f>
        <v>9333.33333333333</v>
      </c>
      <c r="R200" s="9" t="n">
        <f aca="false">(((Assumptions!$D$145+Assumptions!$D$146)+Assumptions!$D$147)/12)</f>
        <v>9333.33333333333</v>
      </c>
      <c r="S200" s="9" t="n">
        <f aca="false">(((Assumptions!$D$145+Assumptions!$D$146)+Assumptions!$D$147)/12)</f>
        <v>9333.33333333333</v>
      </c>
      <c r="T200" s="9" t="n">
        <f aca="false">(((Assumptions!$D$145+Assumptions!$D$146)+Assumptions!$D$147)/12)</f>
        <v>9333.33333333333</v>
      </c>
      <c r="U200" s="9" t="n">
        <f aca="false">(((Assumptions!$D$145+Assumptions!$D$146)+Assumptions!$D$147)/12)</f>
        <v>9333.33333333333</v>
      </c>
      <c r="V200" s="9" t="n">
        <f aca="false">(((Assumptions!$D$145+Assumptions!$D$146)+Assumptions!$D$147)/12)</f>
        <v>9333.33333333333</v>
      </c>
      <c r="W200" s="9" t="n">
        <f aca="false">(((Assumptions!$D$145+Assumptions!$D$146)+Assumptions!$D$147)/12)</f>
        <v>9333.33333333333</v>
      </c>
      <c r="X200" s="9" t="n">
        <f aca="false">(((Assumptions!$D$145+Assumptions!$D$146)+Assumptions!$D$147)/12)</f>
        <v>9333.33333333333</v>
      </c>
      <c r="Y200" s="9" t="n">
        <f aca="false">(((Assumptions!$D$145+Assumptions!$D$146)+Assumptions!$D$147)/12)</f>
        <v>9333.33333333333</v>
      </c>
      <c r="Z200" s="9" t="n">
        <f aca="false">(((Assumptions!$D$145+Assumptions!$D$146)+Assumptions!$D$147)/12)</f>
        <v>9333.33333333333</v>
      </c>
      <c r="AA200" s="9" t="n">
        <f aca="false">(((Assumptions!$E$145+Assumptions!$E$146)+Assumptions!$E$147)/12)</f>
        <v>12916.6666666667</v>
      </c>
      <c r="AB200" s="9" t="n">
        <f aca="false">(((Assumptions!$E$145+Assumptions!$E$146)+Assumptions!$E$147)/12)</f>
        <v>12916.6666666667</v>
      </c>
      <c r="AC200" s="9" t="n">
        <f aca="false">(((Assumptions!$E$145+Assumptions!$E$146)+Assumptions!$E$147)/12)</f>
        <v>12916.6666666667</v>
      </c>
      <c r="AD200" s="9" t="n">
        <f aca="false">(((Assumptions!$E$145+Assumptions!$E$146)+Assumptions!$E$147)/12)</f>
        <v>12916.6666666667</v>
      </c>
      <c r="AE200" s="9" t="n">
        <f aca="false">(((Assumptions!$E$145+Assumptions!$E$146)+Assumptions!$E$147)/12)</f>
        <v>12916.6666666667</v>
      </c>
      <c r="AF200" s="9" t="n">
        <f aca="false">(((Assumptions!$E$145+Assumptions!$E$146)+Assumptions!$E$147)/12)</f>
        <v>12916.6666666667</v>
      </c>
      <c r="AG200" s="9" t="n">
        <f aca="false">(((Assumptions!$E$145+Assumptions!$E$146)+Assumptions!$E$147)/12)</f>
        <v>12916.6666666667</v>
      </c>
      <c r="AH200" s="9" t="n">
        <f aca="false">(((Assumptions!$E$145+Assumptions!$E$146)+Assumptions!$E$147)/12)</f>
        <v>12916.6666666667</v>
      </c>
      <c r="AI200" s="9" t="n">
        <f aca="false">(((Assumptions!$E$145+Assumptions!$E$146)+Assumptions!$E$147)/12)</f>
        <v>12916.6666666667</v>
      </c>
      <c r="AJ200" s="9" t="n">
        <f aca="false">(((Assumptions!$E$145+Assumptions!$E$146)+Assumptions!$E$147)/12)</f>
        <v>12916.6666666667</v>
      </c>
      <c r="AK200" s="9" t="n">
        <f aca="false">(((Assumptions!$E$145+Assumptions!$E$146)+Assumptions!$E$147)/12)</f>
        <v>12916.6666666667</v>
      </c>
      <c r="AL200" s="9" t="n">
        <f aca="false">(((Assumptions!$E$145+Assumptions!$E$146)+Assumptions!$E$147)/12)</f>
        <v>12916.6666666667</v>
      </c>
      <c r="AN200" s="11" t="n">
        <f aca="false">SUM(C200:N200)</f>
        <v>95000</v>
      </c>
      <c r="AO200" s="11" t="n">
        <f aca="false">SUM(O200:Z200)</f>
        <v>112000</v>
      </c>
      <c r="AP200" s="11" t="n">
        <f aca="false">SUM(AA200:AL200)</f>
        <v>155000</v>
      </c>
    </row>
    <row r="201" customFormat="false" ht="15" hidden="false" customHeight="false" outlineLevel="0" collapsed="false">
      <c r="A201" s="0" t="s">
        <v>37</v>
      </c>
      <c r="B201" s="0" t="s">
        <v>230</v>
      </c>
      <c r="C201" s="9" t="n">
        <f aca="false">(((Assumptions!$C$148+Assumptions!$C$149)+Assumptions!$C$150)/12)</f>
        <v>3416.66666666667</v>
      </c>
      <c r="D201" s="9" t="n">
        <f aca="false">(((Assumptions!$C$148+Assumptions!$C$149)+Assumptions!$C$150)/12)</f>
        <v>3416.66666666667</v>
      </c>
      <c r="E201" s="9" t="n">
        <f aca="false">(((Assumptions!$C$148+Assumptions!$C$149)+Assumptions!$C$150)/12)</f>
        <v>3416.66666666667</v>
      </c>
      <c r="F201" s="9" t="n">
        <f aca="false">(((Assumptions!$C$148+Assumptions!$C$149)+Assumptions!$C$150)/12)</f>
        <v>3416.66666666667</v>
      </c>
      <c r="G201" s="9" t="n">
        <f aca="false">(((Assumptions!$C$148+Assumptions!$C$149)+Assumptions!$C$150)/12)</f>
        <v>3416.66666666667</v>
      </c>
      <c r="H201" s="9" t="n">
        <f aca="false">(((Assumptions!$C$148+Assumptions!$C$149)+Assumptions!$C$150)/12)</f>
        <v>3416.66666666667</v>
      </c>
      <c r="I201" s="9" t="n">
        <f aca="false">(((Assumptions!$C$148+Assumptions!$C$149)+Assumptions!$C$150)/12)</f>
        <v>3416.66666666667</v>
      </c>
      <c r="J201" s="9" t="n">
        <f aca="false">(((Assumptions!$C$148+Assumptions!$C$149)+Assumptions!$C$150)/12)</f>
        <v>3416.66666666667</v>
      </c>
      <c r="K201" s="9" t="n">
        <f aca="false">(((Assumptions!$C$148+Assumptions!$C$149)+Assumptions!$C$150)/12)</f>
        <v>3416.66666666667</v>
      </c>
      <c r="L201" s="9" t="n">
        <f aca="false">(((Assumptions!$C$148+Assumptions!$C$149)+Assumptions!$C$150)/12)</f>
        <v>3416.66666666667</v>
      </c>
      <c r="M201" s="9" t="n">
        <f aca="false">(((Assumptions!$C$148+Assumptions!$C$149)+Assumptions!$C$150)/12)</f>
        <v>3416.66666666667</v>
      </c>
      <c r="N201" s="9" t="n">
        <f aca="false">(((Assumptions!$C$148+Assumptions!$C$149)+Assumptions!$C$150)/12)</f>
        <v>3416.66666666667</v>
      </c>
      <c r="O201" s="9" t="n">
        <f aca="false">(((Assumptions!$D$148+Assumptions!$D$149)+Assumptions!$D$150)/12)</f>
        <v>5833.33333333333</v>
      </c>
      <c r="P201" s="9" t="n">
        <f aca="false">(((Assumptions!$D$148+Assumptions!$D$149)+Assumptions!$D$150)/12)</f>
        <v>5833.33333333333</v>
      </c>
      <c r="Q201" s="9" t="n">
        <f aca="false">(((Assumptions!$D$148+Assumptions!$D$149)+Assumptions!$D$150)/12)</f>
        <v>5833.33333333333</v>
      </c>
      <c r="R201" s="9" t="n">
        <f aca="false">(((Assumptions!$D$148+Assumptions!$D$149)+Assumptions!$D$150)/12)</f>
        <v>5833.33333333333</v>
      </c>
      <c r="S201" s="9" t="n">
        <f aca="false">(((Assumptions!$D$148+Assumptions!$D$149)+Assumptions!$D$150)/12)</f>
        <v>5833.33333333333</v>
      </c>
      <c r="T201" s="9" t="n">
        <f aca="false">(((Assumptions!$D$148+Assumptions!$D$149)+Assumptions!$D$150)/12)</f>
        <v>5833.33333333333</v>
      </c>
      <c r="U201" s="9" t="n">
        <f aca="false">(((Assumptions!$D$148+Assumptions!$D$149)+Assumptions!$D$150)/12)</f>
        <v>5833.33333333333</v>
      </c>
      <c r="V201" s="9" t="n">
        <f aca="false">(((Assumptions!$D$148+Assumptions!$D$149)+Assumptions!$D$150)/12)</f>
        <v>5833.33333333333</v>
      </c>
      <c r="W201" s="9" t="n">
        <f aca="false">(((Assumptions!$D$148+Assumptions!$D$149)+Assumptions!$D$150)/12)</f>
        <v>5833.33333333333</v>
      </c>
      <c r="X201" s="9" t="n">
        <f aca="false">(((Assumptions!$D$148+Assumptions!$D$149)+Assumptions!$D$150)/12)</f>
        <v>5833.33333333333</v>
      </c>
      <c r="Y201" s="9" t="n">
        <f aca="false">(((Assumptions!$D$148+Assumptions!$D$149)+Assumptions!$D$150)/12)</f>
        <v>5833.33333333333</v>
      </c>
      <c r="Z201" s="9" t="n">
        <f aca="false">(((Assumptions!$D$148+Assumptions!$D$149)+Assumptions!$D$150)/12)</f>
        <v>5833.33333333333</v>
      </c>
      <c r="AA201" s="9" t="n">
        <f aca="false">(((Assumptions!$E$148+Assumptions!$E$149)+Assumptions!$E$150)/12)</f>
        <v>10000</v>
      </c>
      <c r="AB201" s="9" t="n">
        <f aca="false">(((Assumptions!$E$148+Assumptions!$E$149)+Assumptions!$E$150)/12)</f>
        <v>10000</v>
      </c>
      <c r="AC201" s="9" t="n">
        <f aca="false">(((Assumptions!$E$148+Assumptions!$E$149)+Assumptions!$E$150)/12)</f>
        <v>10000</v>
      </c>
      <c r="AD201" s="9" t="n">
        <f aca="false">(((Assumptions!$E$148+Assumptions!$E$149)+Assumptions!$E$150)/12)</f>
        <v>10000</v>
      </c>
      <c r="AE201" s="9" t="n">
        <f aca="false">(((Assumptions!$E$148+Assumptions!$E$149)+Assumptions!$E$150)/12)</f>
        <v>10000</v>
      </c>
      <c r="AF201" s="9" t="n">
        <f aca="false">(((Assumptions!$E$148+Assumptions!$E$149)+Assumptions!$E$150)/12)</f>
        <v>10000</v>
      </c>
      <c r="AG201" s="9" t="n">
        <f aca="false">(((Assumptions!$E$148+Assumptions!$E$149)+Assumptions!$E$150)/12)</f>
        <v>10000</v>
      </c>
      <c r="AH201" s="9" t="n">
        <f aca="false">(((Assumptions!$E$148+Assumptions!$E$149)+Assumptions!$E$150)/12)</f>
        <v>10000</v>
      </c>
      <c r="AI201" s="9" t="n">
        <f aca="false">(((Assumptions!$E$148+Assumptions!$E$149)+Assumptions!$E$150)/12)</f>
        <v>10000</v>
      </c>
      <c r="AJ201" s="9" t="n">
        <f aca="false">(((Assumptions!$E$148+Assumptions!$E$149)+Assumptions!$E$150)/12)</f>
        <v>10000</v>
      </c>
      <c r="AK201" s="9" t="n">
        <f aca="false">(((Assumptions!$E$148+Assumptions!$E$149)+Assumptions!$E$150)/12)</f>
        <v>10000</v>
      </c>
      <c r="AL201" s="9" t="n">
        <f aca="false">(((Assumptions!$E$148+Assumptions!$E$149)+Assumptions!$E$150)/12)</f>
        <v>10000</v>
      </c>
      <c r="AN201" s="11" t="n">
        <f aca="false">SUM(C201:N201)</f>
        <v>41000</v>
      </c>
      <c r="AO201" s="11" t="n">
        <f aca="false">SUM(O201:Z201)</f>
        <v>70000</v>
      </c>
      <c r="AP201" s="11" t="n">
        <f aca="false">SUM(AA201:AL201)</f>
        <v>120000</v>
      </c>
    </row>
    <row r="202" customFormat="false" ht="15" hidden="false" customHeight="false" outlineLevel="0" collapsed="false">
      <c r="A202" s="0" t="s">
        <v>1001</v>
      </c>
      <c r="B202" s="0" t="s">
        <v>230</v>
      </c>
      <c r="C202" s="9" t="n">
        <f aca="false">(((Assumptions!$C$152+Assumptions!$C$153)+Assumptions!$C$154)/12)</f>
        <v>4000</v>
      </c>
      <c r="D202" s="9" t="n">
        <f aca="false">(((Assumptions!$C$152+Assumptions!$C$153)+Assumptions!$C$154)/12)</f>
        <v>4000</v>
      </c>
      <c r="E202" s="9" t="n">
        <f aca="false">(((Assumptions!$C$152+Assumptions!$C$153)+Assumptions!$C$154)/12)</f>
        <v>4000</v>
      </c>
      <c r="F202" s="9" t="n">
        <f aca="false">(((Assumptions!$C$152+Assumptions!$C$153)+Assumptions!$C$154)/12)</f>
        <v>4000</v>
      </c>
      <c r="G202" s="9" t="n">
        <f aca="false">(((Assumptions!$C$152+Assumptions!$C$153)+Assumptions!$C$154)/12)</f>
        <v>4000</v>
      </c>
      <c r="H202" s="9" t="n">
        <f aca="false">(((Assumptions!$C$152+Assumptions!$C$153)+Assumptions!$C$154)/12)</f>
        <v>4000</v>
      </c>
      <c r="I202" s="9" t="n">
        <f aca="false">(((Assumptions!$C$152+Assumptions!$C$153)+Assumptions!$C$154)/12)</f>
        <v>4000</v>
      </c>
      <c r="J202" s="9" t="n">
        <f aca="false">(((Assumptions!$C$152+Assumptions!$C$153)+Assumptions!$C$154)/12)</f>
        <v>4000</v>
      </c>
      <c r="K202" s="9" t="n">
        <f aca="false">(((Assumptions!$C$152+Assumptions!$C$153)+Assumptions!$C$154)/12)</f>
        <v>4000</v>
      </c>
      <c r="L202" s="9" t="n">
        <f aca="false">(((Assumptions!$C$152+Assumptions!$C$153)+Assumptions!$C$154)/12)</f>
        <v>4000</v>
      </c>
      <c r="M202" s="9" t="n">
        <f aca="false">(((Assumptions!$C$152+Assumptions!$C$153)+Assumptions!$C$154)/12)</f>
        <v>4000</v>
      </c>
      <c r="N202" s="9" t="n">
        <f aca="false">(((Assumptions!$C$152+Assumptions!$C$153)+Assumptions!$C$154)/12)</f>
        <v>4000</v>
      </c>
      <c r="O202" s="9" t="n">
        <f aca="false">(((Assumptions!$D$152+Assumptions!$D$153)+Assumptions!$D$154)/12)</f>
        <v>8250</v>
      </c>
      <c r="P202" s="9" t="n">
        <f aca="false">(((Assumptions!$D$152+Assumptions!$D$153)+Assumptions!$D$154)/12)</f>
        <v>8250</v>
      </c>
      <c r="Q202" s="9" t="n">
        <f aca="false">(((Assumptions!$D$152+Assumptions!$D$153)+Assumptions!$D$154)/12)</f>
        <v>8250</v>
      </c>
      <c r="R202" s="9" t="n">
        <f aca="false">(((Assumptions!$D$152+Assumptions!$D$153)+Assumptions!$D$154)/12)</f>
        <v>8250</v>
      </c>
      <c r="S202" s="9" t="n">
        <f aca="false">(((Assumptions!$D$152+Assumptions!$D$153)+Assumptions!$D$154)/12)</f>
        <v>8250</v>
      </c>
      <c r="T202" s="9" t="n">
        <f aca="false">(((Assumptions!$D$152+Assumptions!$D$153)+Assumptions!$D$154)/12)</f>
        <v>8250</v>
      </c>
      <c r="U202" s="9" t="n">
        <f aca="false">(((Assumptions!$D$152+Assumptions!$D$153)+Assumptions!$D$154)/12)</f>
        <v>8250</v>
      </c>
      <c r="V202" s="9" t="n">
        <f aca="false">(((Assumptions!$D$152+Assumptions!$D$153)+Assumptions!$D$154)/12)</f>
        <v>8250</v>
      </c>
      <c r="W202" s="9" t="n">
        <f aca="false">(((Assumptions!$D$152+Assumptions!$D$153)+Assumptions!$D$154)/12)</f>
        <v>8250</v>
      </c>
      <c r="X202" s="9" t="n">
        <f aca="false">(((Assumptions!$D$152+Assumptions!$D$153)+Assumptions!$D$154)/12)</f>
        <v>8250</v>
      </c>
      <c r="Y202" s="9" t="n">
        <f aca="false">(((Assumptions!$D$152+Assumptions!$D$153)+Assumptions!$D$154)/12)</f>
        <v>8250</v>
      </c>
      <c r="Z202" s="9" t="n">
        <f aca="false">(((Assumptions!$D$152+Assumptions!$D$153)+Assumptions!$D$154)/12)</f>
        <v>8250</v>
      </c>
      <c r="AA202" s="9" t="n">
        <f aca="false">(((Assumptions!$E$152+Assumptions!$E$153)+Assumptions!$E$154)/12)</f>
        <v>12583.3333333333</v>
      </c>
      <c r="AB202" s="9" t="n">
        <f aca="false">(((Assumptions!$E$152+Assumptions!$E$153)+Assumptions!$E$154)/12)</f>
        <v>12583.3333333333</v>
      </c>
      <c r="AC202" s="9" t="n">
        <f aca="false">(((Assumptions!$E$152+Assumptions!$E$153)+Assumptions!$E$154)/12)</f>
        <v>12583.3333333333</v>
      </c>
      <c r="AD202" s="9" t="n">
        <f aca="false">(((Assumptions!$E$152+Assumptions!$E$153)+Assumptions!$E$154)/12)</f>
        <v>12583.3333333333</v>
      </c>
      <c r="AE202" s="9" t="n">
        <f aca="false">(((Assumptions!$E$152+Assumptions!$E$153)+Assumptions!$E$154)/12)</f>
        <v>12583.3333333333</v>
      </c>
      <c r="AF202" s="9" t="n">
        <f aca="false">(((Assumptions!$E$152+Assumptions!$E$153)+Assumptions!$E$154)/12)</f>
        <v>12583.3333333333</v>
      </c>
      <c r="AG202" s="9" t="n">
        <f aca="false">(((Assumptions!$E$152+Assumptions!$E$153)+Assumptions!$E$154)/12)</f>
        <v>12583.3333333333</v>
      </c>
      <c r="AH202" s="9" t="n">
        <f aca="false">(((Assumptions!$E$152+Assumptions!$E$153)+Assumptions!$E$154)/12)</f>
        <v>12583.3333333333</v>
      </c>
      <c r="AI202" s="9" t="n">
        <f aca="false">(((Assumptions!$E$152+Assumptions!$E$153)+Assumptions!$E$154)/12)</f>
        <v>12583.3333333333</v>
      </c>
      <c r="AJ202" s="9" t="n">
        <f aca="false">(((Assumptions!$E$152+Assumptions!$E$153)+Assumptions!$E$154)/12)</f>
        <v>12583.3333333333</v>
      </c>
      <c r="AK202" s="9" t="n">
        <f aca="false">(((Assumptions!$E$152+Assumptions!$E$153)+Assumptions!$E$154)/12)</f>
        <v>12583.3333333333</v>
      </c>
      <c r="AL202" s="9" t="n">
        <f aca="false">(((Assumptions!$E$152+Assumptions!$E$153)+Assumptions!$E$154)/12)</f>
        <v>12583.3333333333</v>
      </c>
      <c r="AN202" s="11" t="n">
        <f aca="false">SUM(C202:N202)</f>
        <v>48000</v>
      </c>
      <c r="AO202" s="11" t="n">
        <f aca="false">SUM(O202:Z202)</f>
        <v>99000</v>
      </c>
      <c r="AP202" s="11" t="n">
        <f aca="false">SUM(AA202:AL202)</f>
        <v>151000</v>
      </c>
    </row>
    <row r="203" customFormat="false" ht="15" hidden="false" customHeight="false" outlineLevel="0" collapsed="false">
      <c r="A203" s="0" t="s">
        <v>561</v>
      </c>
      <c r="B203" s="0" t="s">
        <v>230</v>
      </c>
      <c r="C203" s="9" t="n">
        <f aca="false">(Assumptions!$C$155/12)</f>
        <v>833.333333333333</v>
      </c>
      <c r="D203" s="9" t="n">
        <f aca="false">(Assumptions!$C$155/12)</f>
        <v>833.333333333333</v>
      </c>
      <c r="E203" s="9" t="n">
        <f aca="false">(Assumptions!$C$155/12)</f>
        <v>833.333333333333</v>
      </c>
      <c r="F203" s="9" t="n">
        <f aca="false">(Assumptions!$C$155/12)</f>
        <v>833.333333333333</v>
      </c>
      <c r="G203" s="9" t="n">
        <f aca="false">(Assumptions!$C$155/12)</f>
        <v>833.333333333333</v>
      </c>
      <c r="H203" s="9" t="n">
        <f aca="false">(Assumptions!$C$155/12)</f>
        <v>833.333333333333</v>
      </c>
      <c r="I203" s="9" t="n">
        <f aca="false">(Assumptions!$C$155/12)</f>
        <v>833.333333333333</v>
      </c>
      <c r="J203" s="9" t="n">
        <f aca="false">(Assumptions!$C$155/12)</f>
        <v>833.333333333333</v>
      </c>
      <c r="K203" s="9" t="n">
        <f aca="false">(Assumptions!$C$155/12)</f>
        <v>833.333333333333</v>
      </c>
      <c r="L203" s="9" t="n">
        <f aca="false">(Assumptions!$C$155/12)</f>
        <v>833.333333333333</v>
      </c>
      <c r="M203" s="9" t="n">
        <f aca="false">(Assumptions!$C$155/12)</f>
        <v>833.333333333333</v>
      </c>
      <c r="N203" s="9" t="n">
        <f aca="false">(Assumptions!$C$155/12)</f>
        <v>833.333333333333</v>
      </c>
      <c r="O203" s="9" t="n">
        <f aca="false">(Assumptions!$D$155/12)</f>
        <v>1666.66666666667</v>
      </c>
      <c r="P203" s="9" t="n">
        <f aca="false">(Assumptions!$D$155/12)</f>
        <v>1666.66666666667</v>
      </c>
      <c r="Q203" s="9" t="n">
        <f aca="false">(Assumptions!$D$155/12)</f>
        <v>1666.66666666667</v>
      </c>
      <c r="R203" s="9" t="n">
        <f aca="false">(Assumptions!$D$155/12)</f>
        <v>1666.66666666667</v>
      </c>
      <c r="S203" s="9" t="n">
        <f aca="false">(Assumptions!$D$155/12)</f>
        <v>1666.66666666667</v>
      </c>
      <c r="T203" s="9" t="n">
        <f aca="false">(Assumptions!$D$155/12)</f>
        <v>1666.66666666667</v>
      </c>
      <c r="U203" s="9" t="n">
        <f aca="false">(Assumptions!$D$155/12)</f>
        <v>1666.66666666667</v>
      </c>
      <c r="V203" s="9" t="n">
        <f aca="false">(Assumptions!$D$155/12)</f>
        <v>1666.66666666667</v>
      </c>
      <c r="W203" s="9" t="n">
        <f aca="false">(Assumptions!$D$155/12)</f>
        <v>1666.66666666667</v>
      </c>
      <c r="X203" s="9" t="n">
        <f aca="false">(Assumptions!$D$155/12)</f>
        <v>1666.66666666667</v>
      </c>
      <c r="Y203" s="9" t="n">
        <f aca="false">(Assumptions!$D$155/12)</f>
        <v>1666.66666666667</v>
      </c>
      <c r="Z203" s="9" t="n">
        <f aca="false">(Assumptions!$D$155/12)</f>
        <v>1666.66666666667</v>
      </c>
      <c r="AA203" s="9" t="n">
        <f aca="false">(Assumptions!$E$155/12)</f>
        <v>2500</v>
      </c>
      <c r="AB203" s="9" t="n">
        <f aca="false">(Assumptions!$E$155/12)</f>
        <v>2500</v>
      </c>
      <c r="AC203" s="9" t="n">
        <f aca="false">(Assumptions!$E$155/12)</f>
        <v>2500</v>
      </c>
      <c r="AD203" s="9" t="n">
        <f aca="false">(Assumptions!$E$155/12)</f>
        <v>2500</v>
      </c>
      <c r="AE203" s="9" t="n">
        <f aca="false">(Assumptions!$E$155/12)</f>
        <v>2500</v>
      </c>
      <c r="AF203" s="9" t="n">
        <f aca="false">(Assumptions!$E$155/12)</f>
        <v>2500</v>
      </c>
      <c r="AG203" s="9" t="n">
        <f aca="false">(Assumptions!$E$155/12)</f>
        <v>2500</v>
      </c>
      <c r="AH203" s="9" t="n">
        <f aca="false">(Assumptions!$E$155/12)</f>
        <v>2500</v>
      </c>
      <c r="AI203" s="9" t="n">
        <f aca="false">(Assumptions!$E$155/12)</f>
        <v>2500</v>
      </c>
      <c r="AJ203" s="9" t="n">
        <f aca="false">(Assumptions!$E$155/12)</f>
        <v>2500</v>
      </c>
      <c r="AK203" s="9" t="n">
        <f aca="false">(Assumptions!$E$155/12)</f>
        <v>2500</v>
      </c>
      <c r="AL203" s="9" t="n">
        <f aca="false">(Assumptions!$E$155/12)</f>
        <v>2500</v>
      </c>
      <c r="AN203" s="11" t="n">
        <f aca="false">SUM(C203:N203)</f>
        <v>10000</v>
      </c>
      <c r="AO203" s="11" t="n">
        <f aca="false">SUM(O203:Z203)</f>
        <v>20000</v>
      </c>
      <c r="AP203" s="11" t="n">
        <f aca="false">SUM(AA203:AL203)</f>
        <v>30000</v>
      </c>
    </row>
    <row r="204" customFormat="false" ht="15" hidden="false" customHeight="false" outlineLevel="0" collapsed="false">
      <c r="A204" s="0" t="s">
        <v>1002</v>
      </c>
      <c r="B204" s="0" t="s">
        <v>230</v>
      </c>
      <c r="C204" s="9" t="n">
        <f aca="false">(Assumptions!$C$39*C134)</f>
        <v>0</v>
      </c>
      <c r="D204" s="9" t="n">
        <f aca="false">(Assumptions!$C$39*D134)</f>
        <v>0</v>
      </c>
      <c r="E204" s="9" t="n">
        <f aca="false">(Assumptions!$C$39*E134)</f>
        <v>0</v>
      </c>
      <c r="F204" s="9" t="n">
        <f aca="false">(Assumptions!$C$39*F134)</f>
        <v>0</v>
      </c>
      <c r="G204" s="9" t="n">
        <f aca="false">(Assumptions!$C$39*G134)</f>
        <v>0</v>
      </c>
      <c r="H204" s="9" t="n">
        <f aca="false">(Assumptions!$C$39*H134)</f>
        <v>0</v>
      </c>
      <c r="I204" s="9" t="n">
        <f aca="false">(Assumptions!$C$39*I134)</f>
        <v>0</v>
      </c>
      <c r="J204" s="9" t="n">
        <f aca="false">(Assumptions!$C$39*J134)</f>
        <v>0</v>
      </c>
      <c r="K204" s="9" t="n">
        <f aca="false">(Assumptions!$C$39*K134)</f>
        <v>0</v>
      </c>
      <c r="L204" s="9" t="n">
        <f aca="false">(Assumptions!$C$39*L134)</f>
        <v>0</v>
      </c>
      <c r="M204" s="9" t="n">
        <f aca="false">(Assumptions!$C$39*M134)</f>
        <v>0</v>
      </c>
      <c r="N204" s="9" t="n">
        <f aca="false">(Assumptions!$C$39*N134)</f>
        <v>1267.2</v>
      </c>
      <c r="O204" s="9" t="n">
        <f aca="false">(Assumptions!$C$39*O134)</f>
        <v>2880</v>
      </c>
      <c r="P204" s="9" t="n">
        <f aca="false">(Assumptions!$C$39*P134)</f>
        <v>0</v>
      </c>
      <c r="Q204" s="9" t="n">
        <f aca="false">(Assumptions!$C$39*Q134)</f>
        <v>3590.4</v>
      </c>
      <c r="R204" s="9" t="n">
        <f aca="false">(Assumptions!$C$39*R134)</f>
        <v>8960</v>
      </c>
      <c r="S204" s="9" t="n">
        <f aca="false">(Assumptions!$C$39*S134)</f>
        <v>0</v>
      </c>
      <c r="T204" s="9" t="n">
        <f aca="false">(Assumptions!$C$39*T134)</f>
        <v>0</v>
      </c>
      <c r="U204" s="9" t="n">
        <f aca="false">(Assumptions!$C$39*U134)</f>
        <v>11840</v>
      </c>
      <c r="V204" s="9" t="n">
        <f aca="false">(Assumptions!$C$39*V134)</f>
        <v>1056</v>
      </c>
      <c r="W204" s="9" t="n">
        <f aca="false">(Assumptions!$C$39*W134)</f>
        <v>0</v>
      </c>
      <c r="X204" s="9" t="n">
        <f aca="false">(Assumptions!$C$39*X134)</f>
        <v>11840</v>
      </c>
      <c r="Y204" s="9" t="n">
        <f aca="false">(Assumptions!$C$39*Y134)</f>
        <v>7540.8</v>
      </c>
      <c r="Z204" s="9" t="n">
        <f aca="false">(Assumptions!$C$39*Z134)</f>
        <v>0</v>
      </c>
      <c r="AA204" s="9" t="n">
        <f aca="false">(Assumptions!$C$39*AA134)</f>
        <v>14720</v>
      </c>
      <c r="AB204" s="9" t="n">
        <f aca="false">(Assumptions!$C$39*AB134)</f>
        <v>18260.8</v>
      </c>
      <c r="AC204" s="9" t="n">
        <f aca="false">(Assumptions!$C$39*AC134)</f>
        <v>0</v>
      </c>
      <c r="AD204" s="9" t="n">
        <f aca="false">(Assumptions!$C$39*AD134)</f>
        <v>20800</v>
      </c>
      <c r="AE204" s="9" t="n">
        <f aca="false">(Assumptions!$C$39*AE134)</f>
        <v>22052.8</v>
      </c>
      <c r="AF204" s="9" t="n">
        <f aca="false">(Assumptions!$C$39*AF134)</f>
        <v>13280</v>
      </c>
      <c r="AG204" s="9" t="n">
        <f aca="false">(Assumptions!$C$39*AG134)</f>
        <v>20800</v>
      </c>
      <c r="AH204" s="9" t="n">
        <f aca="false">(Assumptions!$C$39*AH134)</f>
        <v>23108.8</v>
      </c>
      <c r="AI204" s="9" t="n">
        <f aca="false">(Assumptions!$C$39*AI134)</f>
        <v>0</v>
      </c>
      <c r="AJ204" s="9" t="n">
        <f aca="false">(Assumptions!$C$39*AJ134)</f>
        <v>23680</v>
      </c>
      <c r="AK204" s="9" t="n">
        <f aca="false">(Assumptions!$C$39*AK134)</f>
        <v>39257.6</v>
      </c>
      <c r="AL204" s="9" t="n">
        <f aca="false">(Assumptions!$C$39*AL134)</f>
        <v>37248</v>
      </c>
      <c r="AN204" s="11" t="n">
        <f aca="false">SUM(C204:N204)</f>
        <v>1267.2</v>
      </c>
      <c r="AO204" s="11" t="n">
        <f aca="false">SUM(O204:Z204)</f>
        <v>47707.2</v>
      </c>
      <c r="AP204" s="11" t="n">
        <f aca="false">SUM(AA204:AL204)</f>
        <v>233208</v>
      </c>
    </row>
    <row r="205" customFormat="false" ht="15" hidden="false" customHeight="false" outlineLevel="0" collapsed="false">
      <c r="A205" s="0" t="s">
        <v>1003</v>
      </c>
      <c r="B205" s="0" t="s">
        <v>230</v>
      </c>
      <c r="C205" s="9" t="n">
        <f aca="false">((((Assumptions!$C$157+Assumptions!$C$158)+Assumptions!$C$159)+Assumptions!$C$160)/12)</f>
        <v>5000</v>
      </c>
      <c r="D205" s="9" t="n">
        <f aca="false">((((Assumptions!$C$157+Assumptions!$C$158)+Assumptions!$C$159)+Assumptions!$C$160)/12)</f>
        <v>5000</v>
      </c>
      <c r="E205" s="9" t="n">
        <f aca="false">((((Assumptions!$C$157+Assumptions!$C$158)+Assumptions!$C$159)+Assumptions!$C$160)/12)</f>
        <v>5000</v>
      </c>
      <c r="F205" s="9" t="n">
        <f aca="false">((((Assumptions!$C$157+Assumptions!$C$158)+Assumptions!$C$159)+Assumptions!$C$160)/12)</f>
        <v>5000</v>
      </c>
      <c r="G205" s="9" t="n">
        <f aca="false">((((Assumptions!$C$157+Assumptions!$C$158)+Assumptions!$C$159)+Assumptions!$C$160)/12)</f>
        <v>5000</v>
      </c>
      <c r="H205" s="9" t="n">
        <f aca="false">((((Assumptions!$C$157+Assumptions!$C$158)+Assumptions!$C$159)+Assumptions!$C$160)/12)</f>
        <v>5000</v>
      </c>
      <c r="I205" s="9" t="n">
        <f aca="false">((((Assumptions!$C$157+Assumptions!$C$158)+Assumptions!$C$159)+Assumptions!$C$160)/12)</f>
        <v>5000</v>
      </c>
      <c r="J205" s="9" t="n">
        <f aca="false">((((Assumptions!$C$157+Assumptions!$C$158)+Assumptions!$C$159)+Assumptions!$C$160)/12)</f>
        <v>5000</v>
      </c>
      <c r="K205" s="9" t="n">
        <f aca="false">((((Assumptions!$C$157+Assumptions!$C$158)+Assumptions!$C$159)+Assumptions!$C$160)/12)</f>
        <v>5000</v>
      </c>
      <c r="L205" s="9" t="n">
        <f aca="false">((((Assumptions!$C$157+Assumptions!$C$158)+Assumptions!$C$159)+Assumptions!$C$160)/12)</f>
        <v>5000</v>
      </c>
      <c r="M205" s="9" t="n">
        <f aca="false">((((Assumptions!$C$157+Assumptions!$C$158)+Assumptions!$C$159)+Assumptions!$C$160)/12)</f>
        <v>5000</v>
      </c>
      <c r="N205" s="9" t="n">
        <f aca="false">((((Assumptions!$C$157+Assumptions!$C$158)+Assumptions!$C$159)+Assumptions!$C$160)/12)</f>
        <v>5000</v>
      </c>
      <c r="O205" s="9" t="n">
        <f aca="false">((((Assumptions!$D$157+Assumptions!$D$158)+Assumptions!$D$159)+Assumptions!$D$160)/12)</f>
        <v>10833.3333333333</v>
      </c>
      <c r="P205" s="9" t="n">
        <f aca="false">((((Assumptions!$D$157+Assumptions!$D$158)+Assumptions!$D$159)+Assumptions!$D$160)/12)</f>
        <v>10833.3333333333</v>
      </c>
      <c r="Q205" s="9" t="n">
        <f aca="false">((((Assumptions!$D$157+Assumptions!$D$158)+Assumptions!$D$159)+Assumptions!$D$160)/12)</f>
        <v>10833.3333333333</v>
      </c>
      <c r="R205" s="9" t="n">
        <f aca="false">((((Assumptions!$D$157+Assumptions!$D$158)+Assumptions!$D$159)+Assumptions!$D$160)/12)</f>
        <v>10833.3333333333</v>
      </c>
      <c r="S205" s="9" t="n">
        <f aca="false">((((Assumptions!$D$157+Assumptions!$D$158)+Assumptions!$D$159)+Assumptions!$D$160)/12)</f>
        <v>10833.3333333333</v>
      </c>
      <c r="T205" s="9" t="n">
        <f aca="false">((((Assumptions!$D$157+Assumptions!$D$158)+Assumptions!$D$159)+Assumptions!$D$160)/12)</f>
        <v>10833.3333333333</v>
      </c>
      <c r="U205" s="9" t="n">
        <f aca="false">((((Assumptions!$D$157+Assumptions!$D$158)+Assumptions!$D$159)+Assumptions!$D$160)/12)</f>
        <v>10833.3333333333</v>
      </c>
      <c r="V205" s="9" t="n">
        <f aca="false">((((Assumptions!$D$157+Assumptions!$D$158)+Assumptions!$D$159)+Assumptions!$D$160)/12)</f>
        <v>10833.3333333333</v>
      </c>
      <c r="W205" s="9" t="n">
        <f aca="false">((((Assumptions!$D$157+Assumptions!$D$158)+Assumptions!$D$159)+Assumptions!$D$160)/12)</f>
        <v>10833.3333333333</v>
      </c>
      <c r="X205" s="9" t="n">
        <f aca="false">((((Assumptions!$D$157+Assumptions!$D$158)+Assumptions!$D$159)+Assumptions!$D$160)/12)</f>
        <v>10833.3333333333</v>
      </c>
      <c r="Y205" s="9" t="n">
        <f aca="false">((((Assumptions!$D$157+Assumptions!$D$158)+Assumptions!$D$159)+Assumptions!$D$160)/12)</f>
        <v>10833.3333333333</v>
      </c>
      <c r="Z205" s="9" t="n">
        <f aca="false">((((Assumptions!$D$157+Assumptions!$D$158)+Assumptions!$D$159)+Assumptions!$D$160)/12)</f>
        <v>10833.3333333333</v>
      </c>
      <c r="AA205" s="9" t="n">
        <f aca="false">((((Assumptions!$E$157+Assumptions!$E$158)+Assumptions!$E$159)+Assumptions!$E$160)/12)</f>
        <v>18333.3333333333</v>
      </c>
      <c r="AB205" s="9" t="n">
        <f aca="false">((((Assumptions!$E$157+Assumptions!$E$158)+Assumptions!$E$159)+Assumptions!$E$160)/12)</f>
        <v>18333.3333333333</v>
      </c>
      <c r="AC205" s="9" t="n">
        <f aca="false">((((Assumptions!$E$157+Assumptions!$E$158)+Assumptions!$E$159)+Assumptions!$E$160)/12)</f>
        <v>18333.3333333333</v>
      </c>
      <c r="AD205" s="9" t="n">
        <f aca="false">((((Assumptions!$E$157+Assumptions!$E$158)+Assumptions!$E$159)+Assumptions!$E$160)/12)</f>
        <v>18333.3333333333</v>
      </c>
      <c r="AE205" s="9" t="n">
        <f aca="false">((((Assumptions!$E$157+Assumptions!$E$158)+Assumptions!$E$159)+Assumptions!$E$160)/12)</f>
        <v>18333.3333333333</v>
      </c>
      <c r="AF205" s="9" t="n">
        <f aca="false">((((Assumptions!$E$157+Assumptions!$E$158)+Assumptions!$E$159)+Assumptions!$E$160)/12)</f>
        <v>18333.3333333333</v>
      </c>
      <c r="AG205" s="9" t="n">
        <f aca="false">((((Assumptions!$E$157+Assumptions!$E$158)+Assumptions!$E$159)+Assumptions!$E$160)/12)</f>
        <v>18333.3333333333</v>
      </c>
      <c r="AH205" s="9" t="n">
        <f aca="false">((((Assumptions!$E$157+Assumptions!$E$158)+Assumptions!$E$159)+Assumptions!$E$160)/12)</f>
        <v>18333.3333333333</v>
      </c>
      <c r="AI205" s="9" t="n">
        <f aca="false">((((Assumptions!$E$157+Assumptions!$E$158)+Assumptions!$E$159)+Assumptions!$E$160)/12)</f>
        <v>18333.3333333333</v>
      </c>
      <c r="AJ205" s="9" t="n">
        <f aca="false">((((Assumptions!$E$157+Assumptions!$E$158)+Assumptions!$E$159)+Assumptions!$E$160)/12)</f>
        <v>18333.3333333333</v>
      </c>
      <c r="AK205" s="9" t="n">
        <f aca="false">((((Assumptions!$E$157+Assumptions!$E$158)+Assumptions!$E$159)+Assumptions!$E$160)/12)</f>
        <v>18333.3333333333</v>
      </c>
      <c r="AL205" s="9" t="n">
        <f aca="false">((((Assumptions!$E$157+Assumptions!$E$158)+Assumptions!$E$159)+Assumptions!$E$160)/12)</f>
        <v>18333.3333333333</v>
      </c>
      <c r="AN205" s="11" t="n">
        <f aca="false">SUM(C205:N205)</f>
        <v>60000</v>
      </c>
      <c r="AO205" s="11" t="n">
        <f aca="false">SUM(O205:Z205)</f>
        <v>130000</v>
      </c>
      <c r="AP205" s="11" t="n">
        <f aca="false">SUM(AA205:AL205)</f>
        <v>220000</v>
      </c>
    </row>
    <row r="206" customFormat="false" ht="15" hidden="false" customHeight="false" outlineLevel="0" collapsed="false">
      <c r="A206" s="0" t="s">
        <v>1004</v>
      </c>
      <c r="B206" s="0" t="s">
        <v>230</v>
      </c>
      <c r="C206" s="9" t="n">
        <f aca="false">IF((C$18&gt;=Assumptions!$C$5),Assumptions!$C$134,0)</f>
        <v>0</v>
      </c>
      <c r="D206" s="9" t="n">
        <f aca="false">IF((D$18&gt;=Assumptions!$C$5),Assumptions!$C$134,0)</f>
        <v>0</v>
      </c>
      <c r="E206" s="9" t="n">
        <f aca="false">IF((E$18&gt;=Assumptions!$C$5),Assumptions!$C$134,0)</f>
        <v>0</v>
      </c>
      <c r="F206" s="9" t="n">
        <f aca="false">IF((F$18&gt;=Assumptions!$C$5),Assumptions!$C$134,0)</f>
        <v>0</v>
      </c>
      <c r="G206" s="9" t="n">
        <f aca="false">IF((G$18&gt;=Assumptions!$C$5),Assumptions!$C$134,0)</f>
        <v>0</v>
      </c>
      <c r="H206" s="9" t="n">
        <f aca="false">IF((H$18&gt;=Assumptions!$C$5),Assumptions!$C$134,0)</f>
        <v>0</v>
      </c>
      <c r="I206" s="9" t="n">
        <f aca="false">IF((I$18&gt;=Assumptions!$C$5),Assumptions!$C$134,0)</f>
        <v>0</v>
      </c>
      <c r="J206" s="9" t="n">
        <f aca="false">IF((J$18&gt;=Assumptions!$C$5),Assumptions!$C$134,0)</f>
        <v>0</v>
      </c>
      <c r="K206" s="9" t="n">
        <f aca="false">IF((K$18&gt;=Assumptions!$C$5),Assumptions!$C$134,0)</f>
        <v>0</v>
      </c>
      <c r="L206" s="9" t="n">
        <f aca="false">IF((L$18&gt;=Assumptions!$C$5),Assumptions!$C$134,0)</f>
        <v>0</v>
      </c>
      <c r="M206" s="9" t="n">
        <f aca="false">IF((M$18&gt;=Assumptions!$C$5),Assumptions!$C$134,0)</f>
        <v>0</v>
      </c>
      <c r="N206" s="9" t="n">
        <f aca="false">IF((N$18&gt;=Assumptions!$C$5),Assumptions!$C$134,0)</f>
        <v>0</v>
      </c>
      <c r="O206" s="9" t="n">
        <f aca="false">IF((O$18&gt;=Assumptions!$C$5),Assumptions!$D$134,0)</f>
        <v>3000</v>
      </c>
      <c r="P206" s="9" t="n">
        <f aca="false">IF((P$18&gt;=Assumptions!$C$5),Assumptions!$D$134,0)</f>
        <v>3000</v>
      </c>
      <c r="Q206" s="9" t="n">
        <f aca="false">IF((Q$18&gt;=Assumptions!$C$5),Assumptions!$D$134,0)</f>
        <v>3000</v>
      </c>
      <c r="R206" s="9" t="n">
        <f aca="false">IF((R$18&gt;=Assumptions!$C$5),Assumptions!$D$134,0)</f>
        <v>3000</v>
      </c>
      <c r="S206" s="9" t="n">
        <f aca="false">IF((S$18&gt;=Assumptions!$C$5),Assumptions!$D$134,0)</f>
        <v>3000</v>
      </c>
      <c r="T206" s="9" t="n">
        <f aca="false">IF((T$18&gt;=Assumptions!$C$5),Assumptions!$D$134,0)</f>
        <v>3000</v>
      </c>
      <c r="U206" s="9" t="n">
        <f aca="false">IF((U$18&gt;=Assumptions!$C$5),Assumptions!$D$134,0)</f>
        <v>3000</v>
      </c>
      <c r="V206" s="9" t="n">
        <f aca="false">IF((V$18&gt;=Assumptions!$C$5),Assumptions!$D$134,0)</f>
        <v>3000</v>
      </c>
      <c r="W206" s="9" t="n">
        <f aca="false">IF((W$18&gt;=Assumptions!$C$5),Assumptions!$D$134,0)</f>
        <v>3000</v>
      </c>
      <c r="X206" s="9" t="n">
        <f aca="false">IF((X$18&gt;=Assumptions!$C$5),Assumptions!$D$134,0)</f>
        <v>3000</v>
      </c>
      <c r="Y206" s="9" t="n">
        <f aca="false">IF((Y$18&gt;=Assumptions!$C$5),Assumptions!$D$134,0)</f>
        <v>3000</v>
      </c>
      <c r="Z206" s="9" t="n">
        <f aca="false">IF((Z$18&gt;=Assumptions!$C$5),Assumptions!$D$134,0)</f>
        <v>3000</v>
      </c>
      <c r="AA206" s="9" t="n">
        <f aca="false">IF((AA$18&gt;=Assumptions!$C$5),Assumptions!$E$134,0)</f>
        <v>5000</v>
      </c>
      <c r="AB206" s="9" t="n">
        <f aca="false">IF((AB$18&gt;=Assumptions!$C$5),Assumptions!$E$134,0)</f>
        <v>5000</v>
      </c>
      <c r="AC206" s="9" t="n">
        <f aca="false">IF((AC$18&gt;=Assumptions!$C$5),Assumptions!$E$134,0)</f>
        <v>5000</v>
      </c>
      <c r="AD206" s="9" t="n">
        <f aca="false">IF((AD$18&gt;=Assumptions!$C$5),Assumptions!$E$134,0)</f>
        <v>5000</v>
      </c>
      <c r="AE206" s="9" t="n">
        <f aca="false">IF((AE$18&gt;=Assumptions!$C$5),Assumptions!$E$134,0)</f>
        <v>5000</v>
      </c>
      <c r="AF206" s="9" t="n">
        <f aca="false">IF((AF$18&gt;=Assumptions!$C$5),Assumptions!$E$134,0)</f>
        <v>5000</v>
      </c>
      <c r="AG206" s="9" t="n">
        <f aca="false">IF((AG$18&gt;=Assumptions!$C$5),Assumptions!$E$134,0)</f>
        <v>5000</v>
      </c>
      <c r="AH206" s="9" t="n">
        <f aca="false">IF((AH$18&gt;=Assumptions!$C$5),Assumptions!$E$134,0)</f>
        <v>5000</v>
      </c>
      <c r="AI206" s="9" t="n">
        <f aca="false">IF((AI$18&gt;=Assumptions!$C$5),Assumptions!$E$134,0)</f>
        <v>5000</v>
      </c>
      <c r="AJ206" s="9" t="n">
        <f aca="false">IF((AJ$18&gt;=Assumptions!$C$5),Assumptions!$E$134,0)</f>
        <v>5000</v>
      </c>
      <c r="AK206" s="9" t="n">
        <f aca="false">IF((AK$18&gt;=Assumptions!$C$5),Assumptions!$E$134,0)</f>
        <v>5000</v>
      </c>
      <c r="AL206" s="9" t="n">
        <f aca="false">IF((AL$18&gt;=Assumptions!$C$5),Assumptions!$E$134,0)</f>
        <v>5000</v>
      </c>
      <c r="AN206" s="11" t="n">
        <f aca="false">SUM(C206:N206)</f>
        <v>0</v>
      </c>
      <c r="AO206" s="11" t="n">
        <f aca="false">SUM(O206:Z206)</f>
        <v>36000</v>
      </c>
      <c r="AP206" s="11" t="n">
        <f aca="false">SUM(AA206:AL206)</f>
        <v>60000</v>
      </c>
    </row>
    <row r="207" customFormat="false" ht="15" hidden="false" customHeight="false" outlineLevel="0" collapsed="false">
      <c r="A207" s="0" t="s">
        <v>1005</v>
      </c>
      <c r="B207" s="0" t="s">
        <v>230</v>
      </c>
      <c r="C207" s="9" t="n">
        <f aca="false">((((Assumptions!$C$161+Assumptions!$C$162)+Assumptions!$C$163)+Assumptions!$C$164)/12)</f>
        <v>4833.33333333333</v>
      </c>
      <c r="D207" s="9" t="n">
        <f aca="false">((((Assumptions!$C$161+Assumptions!$C$162)+Assumptions!$C$163)+Assumptions!$C$164)/12)</f>
        <v>4833.33333333333</v>
      </c>
      <c r="E207" s="9" t="n">
        <f aca="false">((((Assumptions!$C$161+Assumptions!$C$162)+Assumptions!$C$163)+Assumptions!$C$164)/12)</f>
        <v>4833.33333333333</v>
      </c>
      <c r="F207" s="9" t="n">
        <f aca="false">((((Assumptions!$C$161+Assumptions!$C$162)+Assumptions!$C$163)+Assumptions!$C$164)/12)</f>
        <v>4833.33333333333</v>
      </c>
      <c r="G207" s="9" t="n">
        <f aca="false">((((Assumptions!$C$161+Assumptions!$C$162)+Assumptions!$C$163)+Assumptions!$C$164)/12)</f>
        <v>4833.33333333333</v>
      </c>
      <c r="H207" s="9" t="n">
        <f aca="false">((((Assumptions!$C$161+Assumptions!$C$162)+Assumptions!$C$163)+Assumptions!$C$164)/12)</f>
        <v>4833.33333333333</v>
      </c>
      <c r="I207" s="9" t="n">
        <f aca="false">((((Assumptions!$C$161+Assumptions!$C$162)+Assumptions!$C$163)+Assumptions!$C$164)/12)</f>
        <v>4833.33333333333</v>
      </c>
      <c r="J207" s="9" t="n">
        <f aca="false">((((Assumptions!$C$161+Assumptions!$C$162)+Assumptions!$C$163)+Assumptions!$C$164)/12)</f>
        <v>4833.33333333333</v>
      </c>
      <c r="K207" s="9" t="n">
        <f aca="false">((((Assumptions!$C$161+Assumptions!$C$162)+Assumptions!$C$163)+Assumptions!$C$164)/12)</f>
        <v>4833.33333333333</v>
      </c>
      <c r="L207" s="9" t="n">
        <f aca="false">((((Assumptions!$C$161+Assumptions!$C$162)+Assumptions!$C$163)+Assumptions!$C$164)/12)</f>
        <v>4833.33333333333</v>
      </c>
      <c r="M207" s="9" t="n">
        <f aca="false">((((Assumptions!$C$161+Assumptions!$C$162)+Assumptions!$C$163)+Assumptions!$C$164)/12)</f>
        <v>4833.33333333333</v>
      </c>
      <c r="N207" s="9" t="n">
        <f aca="false">((((Assumptions!$C$161+Assumptions!$C$162)+Assumptions!$C$163)+Assumptions!$C$164)/12)</f>
        <v>4833.33333333333</v>
      </c>
      <c r="O207" s="9" t="n">
        <f aca="false">((((Assumptions!$D$161+Assumptions!$D$162)+Assumptions!$D$163)+Assumptions!$D$164)/12)</f>
        <v>11083.3333333333</v>
      </c>
      <c r="P207" s="9" t="n">
        <f aca="false">((((Assumptions!$D$161+Assumptions!$D$162)+Assumptions!$D$163)+Assumptions!$D$164)/12)</f>
        <v>11083.3333333333</v>
      </c>
      <c r="Q207" s="9" t="n">
        <f aca="false">((((Assumptions!$D$161+Assumptions!$D$162)+Assumptions!$D$163)+Assumptions!$D$164)/12)</f>
        <v>11083.3333333333</v>
      </c>
      <c r="R207" s="9" t="n">
        <f aca="false">((((Assumptions!$D$161+Assumptions!$D$162)+Assumptions!$D$163)+Assumptions!$D$164)/12)</f>
        <v>11083.3333333333</v>
      </c>
      <c r="S207" s="9" t="n">
        <f aca="false">((((Assumptions!$D$161+Assumptions!$D$162)+Assumptions!$D$163)+Assumptions!$D$164)/12)</f>
        <v>11083.3333333333</v>
      </c>
      <c r="T207" s="9" t="n">
        <f aca="false">((((Assumptions!$D$161+Assumptions!$D$162)+Assumptions!$D$163)+Assumptions!$D$164)/12)</f>
        <v>11083.3333333333</v>
      </c>
      <c r="U207" s="9" t="n">
        <f aca="false">((((Assumptions!$D$161+Assumptions!$D$162)+Assumptions!$D$163)+Assumptions!$D$164)/12)</f>
        <v>11083.3333333333</v>
      </c>
      <c r="V207" s="9" t="n">
        <f aca="false">((((Assumptions!$D$161+Assumptions!$D$162)+Assumptions!$D$163)+Assumptions!$D$164)/12)</f>
        <v>11083.3333333333</v>
      </c>
      <c r="W207" s="9" t="n">
        <f aca="false">((((Assumptions!$D$161+Assumptions!$D$162)+Assumptions!$D$163)+Assumptions!$D$164)/12)</f>
        <v>11083.3333333333</v>
      </c>
      <c r="X207" s="9" t="n">
        <f aca="false">((((Assumptions!$D$161+Assumptions!$D$162)+Assumptions!$D$163)+Assumptions!$D$164)/12)</f>
        <v>11083.3333333333</v>
      </c>
      <c r="Y207" s="9" t="n">
        <f aca="false">((((Assumptions!$D$161+Assumptions!$D$162)+Assumptions!$D$163)+Assumptions!$D$164)/12)</f>
        <v>11083.3333333333</v>
      </c>
      <c r="Z207" s="9" t="n">
        <f aca="false">((((Assumptions!$D$161+Assumptions!$D$162)+Assumptions!$D$163)+Assumptions!$D$164)/12)</f>
        <v>11083.3333333333</v>
      </c>
      <c r="AA207" s="9" t="n">
        <f aca="false">((((Assumptions!$E$161+Assumptions!$E$162)+Assumptions!$E$163)+Assumptions!$E$164)/12)</f>
        <v>19166.6666666667</v>
      </c>
      <c r="AB207" s="9" t="n">
        <f aca="false">((((Assumptions!$E$161+Assumptions!$E$162)+Assumptions!$E$163)+Assumptions!$E$164)/12)</f>
        <v>19166.6666666667</v>
      </c>
      <c r="AC207" s="9" t="n">
        <f aca="false">((((Assumptions!$E$161+Assumptions!$E$162)+Assumptions!$E$163)+Assumptions!$E$164)/12)</f>
        <v>19166.6666666667</v>
      </c>
      <c r="AD207" s="9" t="n">
        <f aca="false">((((Assumptions!$E$161+Assumptions!$E$162)+Assumptions!$E$163)+Assumptions!$E$164)/12)</f>
        <v>19166.6666666667</v>
      </c>
      <c r="AE207" s="9" t="n">
        <f aca="false">((((Assumptions!$E$161+Assumptions!$E$162)+Assumptions!$E$163)+Assumptions!$E$164)/12)</f>
        <v>19166.6666666667</v>
      </c>
      <c r="AF207" s="9" t="n">
        <f aca="false">((((Assumptions!$E$161+Assumptions!$E$162)+Assumptions!$E$163)+Assumptions!$E$164)/12)</f>
        <v>19166.6666666667</v>
      </c>
      <c r="AG207" s="9" t="n">
        <f aca="false">((((Assumptions!$E$161+Assumptions!$E$162)+Assumptions!$E$163)+Assumptions!$E$164)/12)</f>
        <v>19166.6666666667</v>
      </c>
      <c r="AH207" s="9" t="n">
        <f aca="false">((((Assumptions!$E$161+Assumptions!$E$162)+Assumptions!$E$163)+Assumptions!$E$164)/12)</f>
        <v>19166.6666666667</v>
      </c>
      <c r="AI207" s="9" t="n">
        <f aca="false">((((Assumptions!$E$161+Assumptions!$E$162)+Assumptions!$E$163)+Assumptions!$E$164)/12)</f>
        <v>19166.6666666667</v>
      </c>
      <c r="AJ207" s="9" t="n">
        <f aca="false">((((Assumptions!$E$161+Assumptions!$E$162)+Assumptions!$E$163)+Assumptions!$E$164)/12)</f>
        <v>19166.6666666667</v>
      </c>
      <c r="AK207" s="9" t="n">
        <f aca="false">((((Assumptions!$E$161+Assumptions!$E$162)+Assumptions!$E$163)+Assumptions!$E$164)/12)</f>
        <v>19166.6666666667</v>
      </c>
      <c r="AL207" s="9" t="n">
        <f aca="false">((((Assumptions!$E$161+Assumptions!$E$162)+Assumptions!$E$163)+Assumptions!$E$164)/12)</f>
        <v>19166.6666666667</v>
      </c>
      <c r="AN207" s="11" t="n">
        <f aca="false">SUM(C207:N207)</f>
        <v>58000</v>
      </c>
      <c r="AO207" s="11" t="n">
        <f aca="false">SUM(O207:Z207)</f>
        <v>133000</v>
      </c>
      <c r="AP207" s="11" t="n">
        <f aca="false">SUM(AA207:AL207)</f>
        <v>230000</v>
      </c>
    </row>
    <row r="208" customFormat="false" ht="15" hidden="false" customHeight="false" outlineLevel="0" collapsed="false">
      <c r="A208" s="0" t="s">
        <v>1006</v>
      </c>
      <c r="B208" s="0" t="s">
        <v>230</v>
      </c>
      <c r="C208" s="9" t="n">
        <f aca="false">(C196*((Assumptions!$C$98+Assumptions!$C$99)+Assumptions!$C$100))</f>
        <v>3740</v>
      </c>
      <c r="D208" s="9" t="n">
        <f aca="false">(D196*((Assumptions!$C$98+Assumptions!$C$99)+Assumptions!$C$100))</f>
        <v>3740</v>
      </c>
      <c r="E208" s="9" t="n">
        <f aca="false">(E196*((Assumptions!$C$98+Assumptions!$C$99)+Assumptions!$C$100))</f>
        <v>4590</v>
      </c>
      <c r="F208" s="9" t="n">
        <f aca="false">(F196*((Assumptions!$C$98+Assumptions!$C$99)+Assumptions!$C$100))</f>
        <v>5440</v>
      </c>
      <c r="G208" s="9" t="n">
        <f aca="false">(G196*((Assumptions!$C$98+Assumptions!$C$99)+Assumptions!$C$100))</f>
        <v>7140</v>
      </c>
      <c r="H208" s="9" t="n">
        <f aca="false">(H196*((Assumptions!$C$98+Assumptions!$C$99)+Assumptions!$C$100))</f>
        <v>8840</v>
      </c>
      <c r="I208" s="9" t="n">
        <f aca="false">(I196*((Assumptions!$C$98+Assumptions!$C$99)+Assumptions!$C$100))</f>
        <v>9690</v>
      </c>
      <c r="J208" s="9" t="n">
        <f aca="false">(J196*((Assumptions!$C$98+Assumptions!$C$99)+Assumptions!$C$100))</f>
        <v>9690</v>
      </c>
      <c r="K208" s="9" t="n">
        <f aca="false">(K196*((Assumptions!$C$98+Assumptions!$C$99)+Assumptions!$C$100))</f>
        <v>12240</v>
      </c>
      <c r="L208" s="9" t="n">
        <f aca="false">(L196*((Assumptions!$C$98+Assumptions!$C$99)+Assumptions!$C$100))</f>
        <v>13090</v>
      </c>
      <c r="M208" s="9" t="n">
        <f aca="false">(M196*((Assumptions!$C$98+Assumptions!$C$99)+Assumptions!$C$100))</f>
        <v>14790</v>
      </c>
      <c r="N208" s="9" t="n">
        <f aca="false">(N196*((Assumptions!$C$98+Assumptions!$C$99)+Assumptions!$C$100))</f>
        <v>15640</v>
      </c>
      <c r="O208" s="9" t="n">
        <f aca="false">(O196*((Assumptions!$C$98+Assumptions!$C$99)+Assumptions!$C$100))</f>
        <v>17340</v>
      </c>
      <c r="P208" s="9" t="n">
        <f aca="false">(P196*((Assumptions!$C$98+Assumptions!$C$99)+Assumptions!$C$100))</f>
        <v>18190</v>
      </c>
      <c r="Q208" s="9" t="n">
        <f aca="false">(Q196*((Assumptions!$C$98+Assumptions!$C$99)+Assumptions!$C$100))</f>
        <v>19890</v>
      </c>
      <c r="R208" s="9" t="n">
        <f aca="false">(R196*((Assumptions!$C$98+Assumptions!$C$99)+Assumptions!$C$100))</f>
        <v>19890</v>
      </c>
      <c r="S208" s="9" t="n">
        <f aca="false">(S196*((Assumptions!$C$98+Assumptions!$C$99)+Assumptions!$C$100))</f>
        <v>19890</v>
      </c>
      <c r="T208" s="9" t="n">
        <f aca="false">(T196*((Assumptions!$C$98+Assumptions!$C$99)+Assumptions!$C$100))</f>
        <v>21590</v>
      </c>
      <c r="U208" s="9" t="n">
        <f aca="false">(U196*((Assumptions!$C$98+Assumptions!$C$99)+Assumptions!$C$100))</f>
        <v>22440</v>
      </c>
      <c r="V208" s="9" t="n">
        <f aca="false">(V196*((Assumptions!$C$98+Assumptions!$C$99)+Assumptions!$C$100))</f>
        <v>24140</v>
      </c>
      <c r="W208" s="9" t="n">
        <f aca="false">(W196*((Assumptions!$C$98+Assumptions!$C$99)+Assumptions!$C$100))</f>
        <v>24140</v>
      </c>
      <c r="X208" s="9" t="n">
        <f aca="false">(X196*((Assumptions!$C$98+Assumptions!$C$99)+Assumptions!$C$100))</f>
        <v>25840</v>
      </c>
      <c r="Y208" s="9" t="n">
        <f aca="false">(Y196*((Assumptions!$C$98+Assumptions!$C$99)+Assumptions!$C$100))</f>
        <v>25840</v>
      </c>
      <c r="Z208" s="9" t="n">
        <f aca="false">(Z196*((Assumptions!$C$98+Assumptions!$C$99)+Assumptions!$C$100))</f>
        <v>26690</v>
      </c>
      <c r="AA208" s="9" t="n">
        <f aca="false">(AA196*((Assumptions!$C$98+Assumptions!$C$99)+Assumptions!$C$100))</f>
        <v>27540</v>
      </c>
      <c r="AB208" s="9" t="n">
        <f aca="false">(AB196*((Assumptions!$C$98+Assumptions!$C$99)+Assumptions!$C$100))</f>
        <v>29240</v>
      </c>
      <c r="AC208" s="9" t="n">
        <f aca="false">(AC196*((Assumptions!$C$98+Assumptions!$C$99)+Assumptions!$C$100))</f>
        <v>29240</v>
      </c>
      <c r="AD208" s="9" t="n">
        <f aca="false">(AD196*((Assumptions!$C$98+Assumptions!$C$99)+Assumptions!$C$100))</f>
        <v>30940</v>
      </c>
      <c r="AE208" s="9" t="n">
        <f aca="false">(AE196*((Assumptions!$C$98+Assumptions!$C$99)+Assumptions!$C$100))</f>
        <v>30940</v>
      </c>
      <c r="AF208" s="9" t="n">
        <f aca="false">(AF196*((Assumptions!$C$98+Assumptions!$C$99)+Assumptions!$C$100))</f>
        <v>31790</v>
      </c>
      <c r="AG208" s="9" t="n">
        <f aca="false">(AG196*((Assumptions!$C$98+Assumptions!$C$99)+Assumptions!$C$100))</f>
        <v>32640</v>
      </c>
      <c r="AH208" s="9" t="n">
        <f aca="false">(AH196*((Assumptions!$C$98+Assumptions!$C$99)+Assumptions!$C$100))</f>
        <v>33490</v>
      </c>
      <c r="AI208" s="9" t="n">
        <f aca="false">(AI196*((Assumptions!$C$98+Assumptions!$C$99)+Assumptions!$C$100))</f>
        <v>34340</v>
      </c>
      <c r="AJ208" s="9" t="n">
        <f aca="false">(AJ196*((Assumptions!$C$98+Assumptions!$C$99)+Assumptions!$C$100))</f>
        <v>34340</v>
      </c>
      <c r="AK208" s="9" t="n">
        <f aca="false">(AK196*((Assumptions!$C$98+Assumptions!$C$99)+Assumptions!$C$100))</f>
        <v>34340</v>
      </c>
      <c r="AL208" s="9" t="n">
        <f aca="false">(AL196*((Assumptions!$C$98+Assumptions!$C$99)+Assumptions!$C$100))</f>
        <v>34340</v>
      </c>
      <c r="AN208" s="11" t="n">
        <f aca="false">SUM(C208:N208)</f>
        <v>108630</v>
      </c>
      <c r="AO208" s="11" t="n">
        <f aca="false">SUM(O208:Z208)</f>
        <v>265880</v>
      </c>
      <c r="AP208" s="11" t="n">
        <f aca="false">SUM(AA208:AL208)</f>
        <v>383180</v>
      </c>
    </row>
    <row r="209" customFormat="false" ht="15" hidden="false" customHeight="false" outlineLevel="0" collapsed="false">
      <c r="A209" s="0" t="s">
        <v>1007</v>
      </c>
      <c r="B209" s="0" t="s">
        <v>230</v>
      </c>
      <c r="C209" s="9" t="n">
        <f aca="false">(C198*(Assumptions!$C$101+Assumptions!$C$102))</f>
        <v>0</v>
      </c>
      <c r="D209" s="9" t="n">
        <f aca="false">(D198*(Assumptions!$C$101+Assumptions!$C$102))</f>
        <v>0</v>
      </c>
      <c r="E209" s="9" t="n">
        <f aca="false">(E198*(Assumptions!$C$101+Assumptions!$C$102))</f>
        <v>11800</v>
      </c>
      <c r="F209" s="9" t="n">
        <f aca="false">(F198*(Assumptions!$C$101+Assumptions!$C$102))</f>
        <v>11800</v>
      </c>
      <c r="G209" s="9" t="n">
        <f aca="false">(G198*(Assumptions!$C$101+Assumptions!$C$102))</f>
        <v>23600</v>
      </c>
      <c r="H209" s="9" t="n">
        <f aca="false">(H198*(Assumptions!$C$101+Assumptions!$C$102))</f>
        <v>23600</v>
      </c>
      <c r="I209" s="9" t="n">
        <f aca="false">(I198*(Assumptions!$C$101+Assumptions!$C$102))</f>
        <v>11800</v>
      </c>
      <c r="J209" s="9" t="n">
        <f aca="false">(J198*(Assumptions!$C$101+Assumptions!$C$102))</f>
        <v>0</v>
      </c>
      <c r="K209" s="9" t="n">
        <f aca="false">(K198*(Assumptions!$C$101+Assumptions!$C$102))</f>
        <v>35400</v>
      </c>
      <c r="L209" s="9" t="n">
        <f aca="false">(L198*(Assumptions!$C$101+Assumptions!$C$102))</f>
        <v>11800</v>
      </c>
      <c r="M209" s="9" t="n">
        <f aca="false">(M198*(Assumptions!$C$101+Assumptions!$C$102))</f>
        <v>23600</v>
      </c>
      <c r="N209" s="9" t="n">
        <f aca="false">(N198*(Assumptions!$C$101+Assumptions!$C$102))</f>
        <v>11800</v>
      </c>
      <c r="O209" s="9" t="n">
        <f aca="false">(O198*(Assumptions!$C$101+Assumptions!$C$102))</f>
        <v>23600</v>
      </c>
      <c r="P209" s="9" t="n">
        <f aca="false">(P198*(Assumptions!$C$101+Assumptions!$C$102))</f>
        <v>11800</v>
      </c>
      <c r="Q209" s="9" t="n">
        <f aca="false">(Q198*(Assumptions!$C$101+Assumptions!$C$102))</f>
        <v>23600</v>
      </c>
      <c r="R209" s="9" t="n">
        <f aca="false">(R198*(Assumptions!$C$101+Assumptions!$C$102))</f>
        <v>0</v>
      </c>
      <c r="S209" s="9" t="n">
        <f aca="false">(S198*(Assumptions!$C$101+Assumptions!$C$102))</f>
        <v>0</v>
      </c>
      <c r="T209" s="9" t="n">
        <f aca="false">(T198*(Assumptions!$C$101+Assumptions!$C$102))</f>
        <v>23600</v>
      </c>
      <c r="U209" s="9" t="n">
        <f aca="false">(U198*(Assumptions!$C$101+Assumptions!$C$102))</f>
        <v>11800</v>
      </c>
      <c r="V209" s="9" t="n">
        <f aca="false">(V198*(Assumptions!$C$101+Assumptions!$C$102))</f>
        <v>23600</v>
      </c>
      <c r="W209" s="9" t="n">
        <f aca="false">(W198*(Assumptions!$C$101+Assumptions!$C$102))</f>
        <v>0</v>
      </c>
      <c r="X209" s="9" t="n">
        <f aca="false">(X198*(Assumptions!$C$101+Assumptions!$C$102))</f>
        <v>23600</v>
      </c>
      <c r="Y209" s="9" t="n">
        <f aca="false">(Y198*(Assumptions!$C$101+Assumptions!$C$102))</f>
        <v>0</v>
      </c>
      <c r="Z209" s="9" t="n">
        <f aca="false">(Z198*(Assumptions!$C$101+Assumptions!$C$102))</f>
        <v>11800</v>
      </c>
      <c r="AA209" s="9" t="n">
        <f aca="false">(AA198*(Assumptions!$C$101+Assumptions!$C$102))</f>
        <v>11800</v>
      </c>
      <c r="AB209" s="9" t="n">
        <f aca="false">(AB198*(Assumptions!$C$101+Assumptions!$C$102))</f>
        <v>23600</v>
      </c>
      <c r="AC209" s="9" t="n">
        <f aca="false">(AC198*(Assumptions!$C$101+Assumptions!$C$102))</f>
        <v>0</v>
      </c>
      <c r="AD209" s="9" t="n">
        <f aca="false">(AD198*(Assumptions!$C$101+Assumptions!$C$102))</f>
        <v>23600</v>
      </c>
      <c r="AE209" s="9" t="n">
        <f aca="false">(AE198*(Assumptions!$C$101+Assumptions!$C$102))</f>
        <v>0</v>
      </c>
      <c r="AF209" s="9" t="n">
        <f aca="false">(AF198*(Assumptions!$C$101+Assumptions!$C$102))</f>
        <v>11800</v>
      </c>
      <c r="AG209" s="9" t="n">
        <f aca="false">(AG198*(Assumptions!$C$101+Assumptions!$C$102))</f>
        <v>11800</v>
      </c>
      <c r="AH209" s="9" t="n">
        <f aca="false">(AH198*(Assumptions!$C$101+Assumptions!$C$102))</f>
        <v>11800</v>
      </c>
      <c r="AI209" s="9" t="n">
        <f aca="false">(AI198*(Assumptions!$C$101+Assumptions!$C$102))</f>
        <v>11800</v>
      </c>
      <c r="AJ209" s="9" t="n">
        <f aca="false">(AJ198*(Assumptions!$C$101+Assumptions!$C$102))</f>
        <v>0</v>
      </c>
      <c r="AK209" s="9" t="n">
        <f aca="false">(AK198*(Assumptions!$C$101+Assumptions!$C$102))</f>
        <v>0</v>
      </c>
      <c r="AL209" s="9" t="n">
        <f aca="false">(AL198*(Assumptions!$C$101+Assumptions!$C$102))</f>
        <v>0</v>
      </c>
      <c r="AN209" s="11" t="n">
        <f aca="false">SUM(C209:N209)</f>
        <v>165200</v>
      </c>
      <c r="AO209" s="11" t="n">
        <f aca="false">SUM(O209:Z209)</f>
        <v>153400</v>
      </c>
      <c r="AP209" s="11" t="n">
        <f aca="false">SUM(AA209:AL209)</f>
        <v>106200</v>
      </c>
    </row>
    <row r="210" customFormat="false" ht="15" hidden="false" customHeight="false" outlineLevel="0" collapsed="false">
      <c r="A210" s="0" t="s">
        <v>1008</v>
      </c>
      <c r="B210" s="0" t="s">
        <v>230</v>
      </c>
      <c r="C210" s="9" t="n">
        <f aca="false">(Assumptions!$C$103*((((((C199+C200)+C201)+C202)+C203)+C205)+C207))</f>
        <v>1791.66666666667</v>
      </c>
      <c r="D210" s="9" t="n">
        <f aca="false">(Assumptions!$C$103*((((((D199+D200)+D201)+D202)+D203)+D205)+D207))</f>
        <v>1791.66666666667</v>
      </c>
      <c r="E210" s="9" t="n">
        <f aca="false">(Assumptions!$C$103*((((((E199+E200)+E201)+E202)+E203)+E205)+E207))</f>
        <v>1791.66666666667</v>
      </c>
      <c r="F210" s="9" t="n">
        <f aca="false">(Assumptions!$C$103*((((((F199+F200)+F201)+F202)+F203)+F205)+F207))</f>
        <v>1791.66666666667</v>
      </c>
      <c r="G210" s="9" t="n">
        <f aca="false">(Assumptions!$C$103*((((((G199+G200)+G201)+G202)+G203)+G205)+G207))</f>
        <v>1791.66666666667</v>
      </c>
      <c r="H210" s="9" t="n">
        <f aca="false">(Assumptions!$C$103*((((((H199+H200)+H201)+H202)+H203)+H205)+H207))</f>
        <v>1791.66666666667</v>
      </c>
      <c r="I210" s="9" t="n">
        <f aca="false">(Assumptions!$C$103*((((((I199+I200)+I201)+I202)+I203)+I205)+I207))</f>
        <v>1791.66666666667</v>
      </c>
      <c r="J210" s="9" t="n">
        <f aca="false">(Assumptions!$C$103*((((((J199+J200)+J201)+J202)+J203)+J205)+J207))</f>
        <v>1791.66666666667</v>
      </c>
      <c r="K210" s="9" t="n">
        <f aca="false">(Assumptions!$C$103*((((((K199+K200)+K201)+K202)+K203)+K205)+K207))</f>
        <v>1791.66666666667</v>
      </c>
      <c r="L210" s="9" t="n">
        <f aca="false">(Assumptions!$C$103*((((((L199+L200)+L201)+L202)+L203)+L205)+L207))</f>
        <v>1791.66666666667</v>
      </c>
      <c r="M210" s="9" t="n">
        <f aca="false">(Assumptions!$C$103*((((((M199+M200)+M201)+M202)+M203)+M205)+M207))</f>
        <v>1791.66666666667</v>
      </c>
      <c r="N210" s="9" t="n">
        <f aca="false">(Assumptions!$C$103*((((((N199+N200)+N201)+N202)+N203)+N205)+N207))</f>
        <v>1791.66666666667</v>
      </c>
      <c r="O210" s="9" t="n">
        <f aca="false">(Assumptions!$C$103*((((((O199+O200)+O201)+O202)+O203)+O205)+O207))</f>
        <v>3058.33333333333</v>
      </c>
      <c r="P210" s="9" t="n">
        <f aca="false">(Assumptions!$C$103*((((((P199+P200)+P201)+P202)+P203)+P205)+P207))</f>
        <v>3058.33333333333</v>
      </c>
      <c r="Q210" s="9" t="n">
        <f aca="false">(Assumptions!$C$103*((((((Q199+Q200)+Q201)+Q202)+Q203)+Q205)+Q207))</f>
        <v>3058.33333333333</v>
      </c>
      <c r="R210" s="9" t="n">
        <f aca="false">(Assumptions!$C$103*((((((R199+R200)+R201)+R202)+R203)+R205)+R207))</f>
        <v>3058.33333333333</v>
      </c>
      <c r="S210" s="9" t="n">
        <f aca="false">(Assumptions!$C$103*((((((S199+S200)+S201)+S202)+S203)+S205)+S207))</f>
        <v>3058.33333333333</v>
      </c>
      <c r="T210" s="9" t="n">
        <f aca="false">(Assumptions!$C$103*((((((T199+T200)+T201)+T202)+T203)+T205)+T207))</f>
        <v>3058.33333333333</v>
      </c>
      <c r="U210" s="9" t="n">
        <f aca="false">(Assumptions!$C$103*((((((U199+U200)+U201)+U202)+U203)+U205)+U207))</f>
        <v>3058.33333333333</v>
      </c>
      <c r="V210" s="9" t="n">
        <f aca="false">(Assumptions!$C$103*((((((V199+V200)+V201)+V202)+V203)+V205)+V207))</f>
        <v>3058.33333333333</v>
      </c>
      <c r="W210" s="9" t="n">
        <f aca="false">(Assumptions!$C$103*((((((W199+W200)+W201)+W202)+W203)+W205)+W207))</f>
        <v>3058.33333333333</v>
      </c>
      <c r="X210" s="9" t="n">
        <f aca="false">(Assumptions!$C$103*((((((X199+X200)+X201)+X202)+X203)+X205)+X207))</f>
        <v>3058.33333333333</v>
      </c>
      <c r="Y210" s="9" t="n">
        <f aca="false">(Assumptions!$C$103*((((((Y199+Y200)+Y201)+Y202)+Y203)+Y205)+Y207))</f>
        <v>3058.33333333333</v>
      </c>
      <c r="Z210" s="9" t="n">
        <f aca="false">(Assumptions!$C$103*((((((Z199+Z200)+Z201)+Z202)+Z203)+Z205)+Z207))</f>
        <v>3058.33333333333</v>
      </c>
      <c r="AA210" s="9" t="n">
        <f aca="false">(Assumptions!$C$103*((((((AA199+AA200)+AA201)+AA202)+AA203)+AA205)+AA207))</f>
        <v>4754.16666666667</v>
      </c>
      <c r="AB210" s="9" t="n">
        <f aca="false">(Assumptions!$C$103*((((((AB199+AB200)+AB201)+AB202)+AB203)+AB205)+AB207))</f>
        <v>4754.16666666667</v>
      </c>
      <c r="AC210" s="9" t="n">
        <f aca="false">(Assumptions!$C$103*((((((AC199+AC200)+AC201)+AC202)+AC203)+AC205)+AC207))</f>
        <v>4754.16666666667</v>
      </c>
      <c r="AD210" s="9" t="n">
        <f aca="false">(Assumptions!$C$103*((((((AD199+AD200)+AD201)+AD202)+AD203)+AD205)+AD207))</f>
        <v>4754.16666666667</v>
      </c>
      <c r="AE210" s="9" t="n">
        <f aca="false">(Assumptions!$C$103*((((((AE199+AE200)+AE201)+AE202)+AE203)+AE205)+AE207))</f>
        <v>4754.16666666667</v>
      </c>
      <c r="AF210" s="9" t="n">
        <f aca="false">(Assumptions!$C$103*((((((AF199+AF200)+AF201)+AF202)+AF203)+AF205)+AF207))</f>
        <v>4754.16666666667</v>
      </c>
      <c r="AG210" s="9" t="n">
        <f aca="false">(Assumptions!$C$103*((((((AG199+AG200)+AG201)+AG202)+AG203)+AG205)+AG207))</f>
        <v>4754.16666666667</v>
      </c>
      <c r="AH210" s="9" t="n">
        <f aca="false">(Assumptions!$C$103*((((((AH199+AH200)+AH201)+AH202)+AH203)+AH205)+AH207))</f>
        <v>4754.16666666667</v>
      </c>
      <c r="AI210" s="9" t="n">
        <f aca="false">(Assumptions!$C$103*((((((AI199+AI200)+AI201)+AI202)+AI203)+AI205)+AI207))</f>
        <v>4754.16666666667</v>
      </c>
      <c r="AJ210" s="9" t="n">
        <f aca="false">(Assumptions!$C$103*((((((AJ199+AJ200)+AJ201)+AJ202)+AJ203)+AJ205)+AJ207))</f>
        <v>4754.16666666667</v>
      </c>
      <c r="AK210" s="9" t="n">
        <f aca="false">(Assumptions!$C$103*((((((AK199+AK200)+AK201)+AK202)+AK203)+AK205)+AK207))</f>
        <v>4754.16666666667</v>
      </c>
      <c r="AL210" s="9" t="n">
        <f aca="false">(Assumptions!$C$103*((((((AL199+AL200)+AL201)+AL202)+AL203)+AL205)+AL207))</f>
        <v>4754.16666666667</v>
      </c>
      <c r="AN210" s="11" t="n">
        <f aca="false">SUM(C210:N210)</f>
        <v>21500</v>
      </c>
      <c r="AO210" s="11" t="n">
        <f aca="false">SUM(O210:Z210)</f>
        <v>36700</v>
      </c>
      <c r="AP210" s="11" t="n">
        <f aca="false">SUM(AA210:AL210)</f>
        <v>57050</v>
      </c>
    </row>
    <row r="211" customFormat="false" ht="15" hidden="false" customHeight="false" outlineLevel="0" collapsed="false">
      <c r="A211" s="0" t="s">
        <v>1009</v>
      </c>
      <c r="B211" s="0" t="s">
        <v>230</v>
      </c>
      <c r="C211" s="9" t="n">
        <f aca="false">(Assumptions!$C$33*C152)</f>
        <v>0</v>
      </c>
      <c r="D211" s="9" t="n">
        <f aca="false">(Assumptions!$C$33*D152)</f>
        <v>0</v>
      </c>
      <c r="E211" s="9" t="n">
        <f aca="false">(Assumptions!$C$33*E152)</f>
        <v>0</v>
      </c>
      <c r="F211" s="9" t="n">
        <f aca="false">(Assumptions!$C$33*F152)</f>
        <v>0</v>
      </c>
      <c r="G211" s="9" t="n">
        <f aca="false">(Assumptions!$C$33*G152)</f>
        <v>0</v>
      </c>
      <c r="H211" s="9" t="n">
        <f aca="false">(Assumptions!$C$33*H152)</f>
        <v>0</v>
      </c>
      <c r="I211" s="9" t="n">
        <f aca="false">(Assumptions!$C$33*I152)</f>
        <v>0</v>
      </c>
      <c r="J211" s="9" t="n">
        <f aca="false">(Assumptions!$C$33*J152)</f>
        <v>0</v>
      </c>
      <c r="K211" s="9" t="n">
        <f aca="false">(Assumptions!$C$33*K152)</f>
        <v>0</v>
      </c>
      <c r="L211" s="9" t="n">
        <f aca="false">(Assumptions!$C$33*L152)</f>
        <v>0</v>
      </c>
      <c r="M211" s="9" t="n">
        <f aca="false">(Assumptions!$C$33*M152)</f>
        <v>0</v>
      </c>
      <c r="N211" s="9" t="n">
        <f aca="false">(Assumptions!$C$33*N152)</f>
        <v>158.4</v>
      </c>
      <c r="O211" s="9" t="n">
        <f aca="false">(Assumptions!$C$33*O152)</f>
        <v>360</v>
      </c>
      <c r="P211" s="9" t="n">
        <f aca="false">(Assumptions!$C$33*P152)</f>
        <v>0</v>
      </c>
      <c r="Q211" s="9" t="n">
        <f aca="false">(Assumptions!$C$33*Q152)</f>
        <v>448.8</v>
      </c>
      <c r="R211" s="9" t="n">
        <f aca="false">(Assumptions!$C$33*R152)</f>
        <v>1120</v>
      </c>
      <c r="S211" s="9" t="n">
        <f aca="false">(Assumptions!$C$33*S152)</f>
        <v>0</v>
      </c>
      <c r="T211" s="9" t="n">
        <f aca="false">(Assumptions!$C$33*T152)</f>
        <v>0</v>
      </c>
      <c r="U211" s="9" t="n">
        <f aca="false">(Assumptions!$C$33*U152)</f>
        <v>1480</v>
      </c>
      <c r="V211" s="9" t="n">
        <f aca="false">(Assumptions!$C$33*V152)</f>
        <v>94.5</v>
      </c>
      <c r="W211" s="9" t="n">
        <f aca="false">(Assumptions!$C$33*W152)</f>
        <v>0</v>
      </c>
      <c r="X211" s="9" t="n">
        <f aca="false">(Assumptions!$C$33*X152)</f>
        <v>1480</v>
      </c>
      <c r="Y211" s="9" t="n">
        <f aca="false">(Assumptions!$C$33*Y152)</f>
        <v>837.6</v>
      </c>
      <c r="Z211" s="9" t="n">
        <f aca="false">(Assumptions!$C$33*Z152)</f>
        <v>153.3312</v>
      </c>
      <c r="AA211" s="9" t="n">
        <f aca="false">(Assumptions!$C$33*AA152)</f>
        <v>1840</v>
      </c>
      <c r="AB211" s="9" t="n">
        <f aca="false">(Assumptions!$C$33*AB152)</f>
        <v>2140.1</v>
      </c>
      <c r="AC211" s="9" t="n">
        <f aca="false">(Assumptions!$C$33*AC152)</f>
        <v>434.4384</v>
      </c>
      <c r="AD211" s="9" t="n">
        <f aca="false">(Assumptions!$C$33*AD152)</f>
        <v>2600</v>
      </c>
      <c r="AE211" s="9" t="n">
        <f aca="false">(Assumptions!$C$33*AE152)</f>
        <v>2614.1</v>
      </c>
      <c r="AF211" s="9" t="n">
        <f aca="false">(Assumptions!$C$33*AF152)</f>
        <v>1660</v>
      </c>
      <c r="AG211" s="9" t="n">
        <f aca="false">(Assumptions!$C$33*AG152)</f>
        <v>2600</v>
      </c>
      <c r="AH211" s="9" t="n">
        <f aca="false">(Assumptions!$C$33*AH152)</f>
        <v>2836.376</v>
      </c>
      <c r="AI211" s="9" t="n">
        <f aca="false">(Assumptions!$C$33*AI152)</f>
        <v>0</v>
      </c>
      <c r="AJ211" s="9" t="n">
        <f aca="false">(Assumptions!$C$33*AJ152)</f>
        <v>2960</v>
      </c>
      <c r="AK211" s="9" t="n">
        <f aca="false">(Assumptions!$C$33*AK152)</f>
        <v>5368.8568</v>
      </c>
      <c r="AL211" s="9" t="n">
        <f aca="false">(Assumptions!$C$33*AL152)</f>
        <v>4804.4246016</v>
      </c>
      <c r="AN211" s="11" t="n">
        <f aca="false">SUM(C211:N211)</f>
        <v>158.4</v>
      </c>
      <c r="AO211" s="11" t="n">
        <f aca="false">SUM(O211:Z211)</f>
        <v>5974.2312</v>
      </c>
      <c r="AP211" s="11" t="n">
        <f aca="false">SUM(AA211:AL211)</f>
        <v>29858.2958016</v>
      </c>
    </row>
    <row r="212" customFormat="false" ht="15" hidden="false" customHeight="false" outlineLevel="0" collapsed="false">
      <c r="A212" s="0" t="s">
        <v>1010</v>
      </c>
      <c r="B212" s="0" t="s">
        <v>230</v>
      </c>
      <c r="C212" s="9" t="n">
        <f aca="false">IF(AND(($C$14=1),(C$18=Assumptions!$C$106)),(((((Assumptions!$C$107+Assumptions!$C$108)+Assumptions!$C$111)+Assumptions!$C$112)+(Assumptions!$C$109*Assumptions!$C$110))-Assumptions!$C$113),0)</f>
        <v>0</v>
      </c>
      <c r="D212" s="9" t="n">
        <f aca="false">IF(AND(($C$14=1),(D$18=Assumptions!$C$106)),(((((Assumptions!$C$107+Assumptions!$C$108)+Assumptions!$C$111)+Assumptions!$C$112)+(Assumptions!$C$109*Assumptions!$C$110))-Assumptions!$C$113),0)</f>
        <v>0</v>
      </c>
      <c r="E212" s="9" t="n">
        <f aca="false">IF(AND(($C$14=1),(E$18=Assumptions!$C$106)),(((((Assumptions!$C$107+Assumptions!$C$108)+Assumptions!$C$111)+Assumptions!$C$112)+(Assumptions!$C$109*Assumptions!$C$110))-Assumptions!$C$113),0)</f>
        <v>0</v>
      </c>
      <c r="F212" s="9" t="n">
        <f aca="false">IF(AND(($C$14=1),(F$18=Assumptions!$C$106)),(((((Assumptions!$C$107+Assumptions!$C$108)+Assumptions!$C$111)+Assumptions!$C$112)+(Assumptions!$C$109*Assumptions!$C$110))-Assumptions!$C$113),0)</f>
        <v>0</v>
      </c>
      <c r="G212" s="9" t="n">
        <f aca="false">IF(AND(($C$14=1),(G$18=Assumptions!$C$106)),(((((Assumptions!$C$107+Assumptions!$C$108)+Assumptions!$C$111)+Assumptions!$C$112)+(Assumptions!$C$109*Assumptions!$C$110))-Assumptions!$C$113),0)</f>
        <v>0</v>
      </c>
      <c r="H212" s="9" t="n">
        <f aca="false">IF(AND(($C$14=1),(H$18=Assumptions!$C$106)),(((((Assumptions!$C$107+Assumptions!$C$108)+Assumptions!$C$111)+Assumptions!$C$112)+(Assumptions!$C$109*Assumptions!$C$110))-Assumptions!$C$113),0)</f>
        <v>0</v>
      </c>
      <c r="I212" s="9" t="n">
        <f aca="false">IF(AND(($C$14=1),(I$18=Assumptions!$C$106)),(((((Assumptions!$C$107+Assumptions!$C$108)+Assumptions!$C$111)+Assumptions!$C$112)+(Assumptions!$C$109*Assumptions!$C$110))-Assumptions!$C$113),0)</f>
        <v>0</v>
      </c>
      <c r="J212" s="9" t="n">
        <f aca="false">IF(AND(($C$14=1),(J$18=Assumptions!$C$106)),(((((Assumptions!$C$107+Assumptions!$C$108)+Assumptions!$C$111)+Assumptions!$C$112)+(Assumptions!$C$109*Assumptions!$C$110))-Assumptions!$C$113),0)</f>
        <v>0</v>
      </c>
      <c r="K212" s="9" t="n">
        <f aca="false">IF(AND(($C$14=1),(K$18=Assumptions!$C$106)),(((((Assumptions!$C$107+Assumptions!$C$108)+Assumptions!$C$111)+Assumptions!$C$112)+(Assumptions!$C$109*Assumptions!$C$110))-Assumptions!$C$113),0)</f>
        <v>0</v>
      </c>
      <c r="L212" s="9" t="n">
        <f aca="false">IF(AND(($C$14=1),(L$18=Assumptions!$C$106)),(((((Assumptions!$C$107+Assumptions!$C$108)+Assumptions!$C$111)+Assumptions!$C$112)+(Assumptions!$C$109*Assumptions!$C$110))-Assumptions!$C$113),0)</f>
        <v>0</v>
      </c>
      <c r="M212" s="9" t="n">
        <f aca="false">IF(AND(($C$14=1),(M$18=Assumptions!$C$106)),(((((Assumptions!$C$107+Assumptions!$C$108)+Assumptions!$C$111)+Assumptions!$C$112)+(Assumptions!$C$109*Assumptions!$C$110))-Assumptions!$C$113),0)</f>
        <v>0</v>
      </c>
      <c r="N212" s="9" t="n">
        <f aca="false">IF(AND(($C$14=1),(N$18=Assumptions!$C$106)),(((((Assumptions!$C$107+Assumptions!$C$108)+Assumptions!$C$111)+Assumptions!$C$112)+(Assumptions!$C$109*Assumptions!$C$110))-Assumptions!$C$113),0)</f>
        <v>0</v>
      </c>
      <c r="O212" s="9" t="n">
        <f aca="false">IF(AND(($C$14=1),(O$18=Assumptions!$C$106)),(((((Assumptions!$C$107+Assumptions!$C$108)+Assumptions!$C$111)+Assumptions!$C$112)+(Assumptions!$C$109*Assumptions!$C$110))-Assumptions!$C$113),0)</f>
        <v>0</v>
      </c>
      <c r="P212" s="9" t="n">
        <f aca="false">IF(AND(($C$14=1),(P$18=Assumptions!$C$106)),(((((Assumptions!$C$107+Assumptions!$C$108)+Assumptions!$C$111)+Assumptions!$C$112)+(Assumptions!$C$109*Assumptions!$C$110))-Assumptions!$C$113),0)</f>
        <v>0</v>
      </c>
      <c r="Q212" s="9" t="n">
        <f aca="false">IF(AND(($C$14=1),(Q$18=Assumptions!$C$106)),(((((Assumptions!$C$107+Assumptions!$C$108)+Assumptions!$C$111)+Assumptions!$C$112)+(Assumptions!$C$109*Assumptions!$C$110))-Assumptions!$C$113),0)</f>
        <v>0</v>
      </c>
      <c r="R212" s="9" t="n">
        <f aca="false">IF(AND(($C$14=1),(R$18=Assumptions!$C$106)),(((((Assumptions!$C$107+Assumptions!$C$108)+Assumptions!$C$111)+Assumptions!$C$112)+(Assumptions!$C$109*Assumptions!$C$110))-Assumptions!$C$113),0)</f>
        <v>0</v>
      </c>
      <c r="S212" s="9" t="n">
        <f aca="false">IF(AND(($C$14=1),(S$18=Assumptions!$C$106)),(((((Assumptions!$C$107+Assumptions!$C$108)+Assumptions!$C$111)+Assumptions!$C$112)+(Assumptions!$C$109*Assumptions!$C$110))-Assumptions!$C$113),0)</f>
        <v>0</v>
      </c>
      <c r="T212" s="9" t="n">
        <f aca="false">IF(AND(($C$14=1),(T$18=Assumptions!$C$106)),(((((Assumptions!$C$107+Assumptions!$C$108)+Assumptions!$C$111)+Assumptions!$C$112)+(Assumptions!$C$109*Assumptions!$C$110))-Assumptions!$C$113),0)</f>
        <v>0</v>
      </c>
      <c r="U212" s="9" t="n">
        <f aca="false">IF(AND(($C$14=1),(U$18=Assumptions!$C$106)),(((((Assumptions!$C$107+Assumptions!$C$108)+Assumptions!$C$111)+Assumptions!$C$112)+(Assumptions!$C$109*Assumptions!$C$110))-Assumptions!$C$113),0)</f>
        <v>0</v>
      </c>
      <c r="V212" s="9" t="n">
        <f aca="false">IF(AND(($C$14=1),(V$18=Assumptions!$C$106)),(((((Assumptions!$C$107+Assumptions!$C$108)+Assumptions!$C$111)+Assumptions!$C$112)+(Assumptions!$C$109*Assumptions!$C$110))-Assumptions!$C$113),0)</f>
        <v>0</v>
      </c>
      <c r="W212" s="9" t="n">
        <f aca="false">IF(AND(($C$14=1),(W$18=Assumptions!$C$106)),(((((Assumptions!$C$107+Assumptions!$C$108)+Assumptions!$C$111)+Assumptions!$C$112)+(Assumptions!$C$109*Assumptions!$C$110))-Assumptions!$C$113),0)</f>
        <v>0</v>
      </c>
      <c r="X212" s="9" t="n">
        <f aca="false">IF(AND(($C$14=1),(X$18=Assumptions!$C$106)),(((((Assumptions!$C$107+Assumptions!$C$108)+Assumptions!$C$111)+Assumptions!$C$112)+(Assumptions!$C$109*Assumptions!$C$110))-Assumptions!$C$113),0)</f>
        <v>0</v>
      </c>
      <c r="Y212" s="9" t="n">
        <f aca="false">IF(AND(($C$14=1),(Y$18=Assumptions!$C$106)),(((((Assumptions!$C$107+Assumptions!$C$108)+Assumptions!$C$111)+Assumptions!$C$112)+(Assumptions!$C$109*Assumptions!$C$110))-Assumptions!$C$113),0)</f>
        <v>0</v>
      </c>
      <c r="Z212" s="9" t="n">
        <f aca="false">IF(AND(($C$14=1),(Z$18=Assumptions!$C$106)),(((((Assumptions!$C$107+Assumptions!$C$108)+Assumptions!$C$111)+Assumptions!$C$112)+(Assumptions!$C$109*Assumptions!$C$110))-Assumptions!$C$113),0)</f>
        <v>0</v>
      </c>
      <c r="AA212" s="9" t="n">
        <f aca="false">IF(AND(($C$14=1),(AA$18=Assumptions!$C$106)),(((((Assumptions!$C$107+Assumptions!$C$108)+Assumptions!$C$111)+Assumptions!$C$112)+(Assumptions!$C$109*Assumptions!$C$110))-Assumptions!$C$113),0)</f>
        <v>0</v>
      </c>
      <c r="AB212" s="9" t="n">
        <f aca="false">IF(AND(($C$14=1),(AB$18=Assumptions!$C$106)),(((((Assumptions!$C$107+Assumptions!$C$108)+Assumptions!$C$111)+Assumptions!$C$112)+(Assumptions!$C$109*Assumptions!$C$110))-Assumptions!$C$113),0)</f>
        <v>0</v>
      </c>
      <c r="AC212" s="9" t="n">
        <f aca="false">IF(AND(($C$14=1),(AC$18=Assumptions!$C$106)),(((((Assumptions!$C$107+Assumptions!$C$108)+Assumptions!$C$111)+Assumptions!$C$112)+(Assumptions!$C$109*Assumptions!$C$110))-Assumptions!$C$113),0)</f>
        <v>0</v>
      </c>
      <c r="AD212" s="9" t="n">
        <f aca="false">IF(AND(($C$14=1),(AD$18=Assumptions!$C$106)),(((((Assumptions!$C$107+Assumptions!$C$108)+Assumptions!$C$111)+Assumptions!$C$112)+(Assumptions!$C$109*Assumptions!$C$110))-Assumptions!$C$113),0)</f>
        <v>0</v>
      </c>
      <c r="AE212" s="9" t="n">
        <f aca="false">IF(AND(($C$14=1),(AE$18=Assumptions!$C$106)),(((((Assumptions!$C$107+Assumptions!$C$108)+Assumptions!$C$111)+Assumptions!$C$112)+(Assumptions!$C$109*Assumptions!$C$110))-Assumptions!$C$113),0)</f>
        <v>0</v>
      </c>
      <c r="AF212" s="9" t="n">
        <f aca="false">IF(AND(($C$14=1),(AF$18=Assumptions!$C$106)),(((((Assumptions!$C$107+Assumptions!$C$108)+Assumptions!$C$111)+Assumptions!$C$112)+(Assumptions!$C$109*Assumptions!$C$110))-Assumptions!$C$113),0)</f>
        <v>0</v>
      </c>
      <c r="AG212" s="9" t="n">
        <f aca="false">IF(AND(($C$14=1),(AG$18=Assumptions!$C$106)),(((((Assumptions!$C$107+Assumptions!$C$108)+Assumptions!$C$111)+Assumptions!$C$112)+(Assumptions!$C$109*Assumptions!$C$110))-Assumptions!$C$113),0)</f>
        <v>0</v>
      </c>
      <c r="AH212" s="9" t="n">
        <f aca="false">IF(AND(($C$14=1),(AH$18=Assumptions!$C$106)),(((((Assumptions!$C$107+Assumptions!$C$108)+Assumptions!$C$111)+Assumptions!$C$112)+(Assumptions!$C$109*Assumptions!$C$110))-Assumptions!$C$113),0)</f>
        <v>0</v>
      </c>
      <c r="AI212" s="9" t="n">
        <f aca="false">IF(AND(($C$14=1),(AI$18=Assumptions!$C$106)),(((((Assumptions!$C$107+Assumptions!$C$108)+Assumptions!$C$111)+Assumptions!$C$112)+(Assumptions!$C$109*Assumptions!$C$110))-Assumptions!$C$113),0)</f>
        <v>0</v>
      </c>
      <c r="AJ212" s="9" t="n">
        <f aca="false">IF(AND(($C$14=1),(AJ$18=Assumptions!$C$106)),(((((Assumptions!$C$107+Assumptions!$C$108)+Assumptions!$C$111)+Assumptions!$C$112)+(Assumptions!$C$109*Assumptions!$C$110))-Assumptions!$C$113),0)</f>
        <v>0</v>
      </c>
      <c r="AK212" s="9" t="n">
        <f aca="false">IF(AND(($C$14=1),(AK$18=Assumptions!$C$106)),(((((Assumptions!$C$107+Assumptions!$C$108)+Assumptions!$C$111)+Assumptions!$C$112)+(Assumptions!$C$109*Assumptions!$C$110))-Assumptions!$C$113),0)</f>
        <v>0</v>
      </c>
      <c r="AL212" s="9" t="n">
        <f aca="false">IF(AND(($C$14=1),(AL$18=Assumptions!$C$106)),(((((Assumptions!$C$107+Assumptions!$C$108)+Assumptions!$C$111)+Assumptions!$C$112)+(Assumptions!$C$109*Assumptions!$C$110))-Assumptions!$C$113),0)</f>
        <v>0</v>
      </c>
      <c r="AN212" s="11" t="n">
        <f aca="false">SUM(C212:N212)</f>
        <v>0</v>
      </c>
      <c r="AO212" s="11" t="n">
        <f aca="false">SUM(O212:Z212)</f>
        <v>0</v>
      </c>
      <c r="AP212" s="11" t="n">
        <f aca="false">SUM(AA212:AL212)</f>
        <v>0</v>
      </c>
    </row>
    <row r="213" customFormat="false" ht="15" hidden="false" customHeight="false" outlineLevel="0" collapsed="false">
      <c r="A213" s="0" t="s">
        <v>32</v>
      </c>
      <c r="B213" s="0" t="s">
        <v>230</v>
      </c>
      <c r="C213" s="9" t="n">
        <f aca="false">(C190+C191)</f>
        <v>41683.3333333333</v>
      </c>
      <c r="D213" s="9" t="n">
        <f aca="false">(D190+D191)</f>
        <v>41683.3333333333</v>
      </c>
      <c r="E213" s="9" t="n">
        <f aca="false">(E190+E191)</f>
        <v>54900</v>
      </c>
      <c r="F213" s="9" t="n">
        <f aca="false">(F190+F191)</f>
        <v>69133.3333333333</v>
      </c>
      <c r="G213" s="9" t="n">
        <f aca="false">(G190+G191)</f>
        <v>85400</v>
      </c>
      <c r="H213" s="9" t="n">
        <f aca="false">(H190+H191)</f>
        <v>100650</v>
      </c>
      <c r="I213" s="9" t="n">
        <f aca="false">(I190+I191)</f>
        <v>100650</v>
      </c>
      <c r="J213" s="9" t="n">
        <f aca="false">(J190+J191)</f>
        <v>100650</v>
      </c>
      <c r="K213" s="9" t="n">
        <f aca="false">(K190+K191)</f>
        <v>115391.666666667</v>
      </c>
      <c r="L213" s="9" t="n">
        <f aca="false">(L190+L191)</f>
        <v>127083.333333333</v>
      </c>
      <c r="M213" s="9" t="n">
        <f aca="false">(M190+M191)</f>
        <v>127083.333333333</v>
      </c>
      <c r="N213" s="9" t="n">
        <f aca="false">(N190+N191)</f>
        <v>127083.333333333</v>
      </c>
      <c r="O213" s="9" t="n">
        <f aca="false">(O190+O191)</f>
        <v>142333.333333333</v>
      </c>
      <c r="P213" s="9" t="n">
        <f aca="false">(P190+P191)</f>
        <v>157583.333333333</v>
      </c>
      <c r="Q213" s="9" t="n">
        <f aca="false">(Q190+Q191)</f>
        <v>157583.333333333</v>
      </c>
      <c r="R213" s="9" t="n">
        <f aca="false">(R190+R191)</f>
        <v>157583.333333333</v>
      </c>
      <c r="S213" s="9" t="n">
        <f aca="false">(S190+S191)</f>
        <v>157583.333333333</v>
      </c>
      <c r="T213" s="9" t="n">
        <f aca="false">(T190+T191)</f>
        <v>157583.333333333</v>
      </c>
      <c r="U213" s="9" t="n">
        <f aca="false">(U190+U191)</f>
        <v>157583.333333333</v>
      </c>
      <c r="V213" s="9" t="n">
        <f aca="false">(V190+V191)</f>
        <v>168766.666666667</v>
      </c>
      <c r="W213" s="9" t="n">
        <f aca="false">(W190+W191)</f>
        <v>168766.666666667</v>
      </c>
      <c r="X213" s="9" t="n">
        <f aca="false">(X190+X191)</f>
        <v>168766.666666667</v>
      </c>
      <c r="Y213" s="9" t="n">
        <f aca="false">(Y190+Y191)</f>
        <v>168766.666666667</v>
      </c>
      <c r="Z213" s="9" t="n">
        <f aca="false">(Z190+Z191)</f>
        <v>168766.666666667</v>
      </c>
      <c r="AA213" s="9" t="n">
        <f aca="false">(AA190+AA191)</f>
        <v>168766.666666667</v>
      </c>
      <c r="AB213" s="9" t="n">
        <f aca="false">(AB190+AB191)</f>
        <v>184016.666666667</v>
      </c>
      <c r="AC213" s="9" t="n">
        <f aca="false">(AC190+AC191)</f>
        <v>184016.666666667</v>
      </c>
      <c r="AD213" s="9" t="n">
        <f aca="false">(AD190+AD191)</f>
        <v>184016.666666667</v>
      </c>
      <c r="AE213" s="9" t="n">
        <f aca="false">(AE190+AE191)</f>
        <v>184016.666666667</v>
      </c>
      <c r="AF213" s="9" t="n">
        <f aca="false">(AF190+AF191)</f>
        <v>184016.666666667</v>
      </c>
      <c r="AG213" s="9" t="n">
        <f aca="false">(AG190+AG191)</f>
        <v>184016.666666667</v>
      </c>
      <c r="AH213" s="9" t="n">
        <f aca="false">(AH190+AH191)</f>
        <v>184016.666666667</v>
      </c>
      <c r="AI213" s="9" t="n">
        <f aca="false">(AI190+AI191)</f>
        <v>184016.666666667</v>
      </c>
      <c r="AJ213" s="9" t="n">
        <f aca="false">(AJ190+AJ191)</f>
        <v>184016.666666667</v>
      </c>
      <c r="AK213" s="9" t="n">
        <f aca="false">(AK190+AK191)</f>
        <v>184016.666666667</v>
      </c>
      <c r="AL213" s="9" t="n">
        <f aca="false">(AL190+AL191)</f>
        <v>184016.666666667</v>
      </c>
      <c r="AN213" s="11" t="n">
        <f aca="false">SUM(C213:N213)</f>
        <v>1091391.66666667</v>
      </c>
      <c r="AO213" s="11" t="n">
        <f aca="false">SUM(O213:Z213)</f>
        <v>1931666.66666667</v>
      </c>
      <c r="AP213" s="11" t="n">
        <f aca="false">SUM(AA213:AL213)</f>
        <v>2192950</v>
      </c>
    </row>
    <row r="214" customFormat="false" ht="15" hidden="false" customHeight="false" outlineLevel="0" collapsed="false">
      <c r="A214" s="0" t="s">
        <v>33</v>
      </c>
      <c r="B214" s="0" t="s">
        <v>230</v>
      </c>
      <c r="C214" s="9" t="n">
        <f aca="false">(C192+C199)</f>
        <v>9833.33333333333</v>
      </c>
      <c r="D214" s="9" t="n">
        <f aca="false">(D192+D199)</f>
        <v>9833.33333333333</v>
      </c>
      <c r="E214" s="9" t="n">
        <f aca="false">(E192+E199)</f>
        <v>9833.33333333333</v>
      </c>
      <c r="F214" s="9" t="n">
        <f aca="false">(F192+F199)</f>
        <v>9833.33333333333</v>
      </c>
      <c r="G214" s="9" t="n">
        <f aca="false">(G192+G199)</f>
        <v>9833.33333333333</v>
      </c>
      <c r="H214" s="9" t="n">
        <f aca="false">(H192+H199)</f>
        <v>9833.33333333333</v>
      </c>
      <c r="I214" s="9" t="n">
        <f aca="false">(I192+I199)</f>
        <v>25083.3333333333</v>
      </c>
      <c r="J214" s="9" t="n">
        <f aca="false">(J192+J199)</f>
        <v>25083.3333333333</v>
      </c>
      <c r="K214" s="9" t="n">
        <f aca="false">(K192+K199)</f>
        <v>25083.3333333333</v>
      </c>
      <c r="L214" s="9" t="n">
        <f aca="false">(L192+L199)</f>
        <v>25083.3333333333</v>
      </c>
      <c r="M214" s="9" t="n">
        <f aca="false">(M192+M199)</f>
        <v>25083.3333333333</v>
      </c>
      <c r="N214" s="9" t="n">
        <f aca="false">(N192+N199)</f>
        <v>25083.3333333333</v>
      </c>
      <c r="O214" s="9" t="n">
        <f aca="false">(O192+O199)</f>
        <v>29416.6666666667</v>
      </c>
      <c r="P214" s="9" t="n">
        <f aca="false">(P192+P199)</f>
        <v>29416.6666666667</v>
      </c>
      <c r="Q214" s="9" t="n">
        <f aca="false">(Q192+Q199)</f>
        <v>29416.6666666667</v>
      </c>
      <c r="R214" s="9" t="n">
        <f aca="false">(R192+R199)</f>
        <v>29416.6666666667</v>
      </c>
      <c r="S214" s="9" t="n">
        <f aca="false">(S192+S199)</f>
        <v>29416.6666666667</v>
      </c>
      <c r="T214" s="9" t="n">
        <f aca="false">(T192+T199)</f>
        <v>29416.6666666667</v>
      </c>
      <c r="U214" s="9" t="n">
        <f aca="false">(U192+U199)</f>
        <v>29416.6666666667</v>
      </c>
      <c r="V214" s="9" t="n">
        <f aca="false">(V192+V199)</f>
        <v>29416.6666666667</v>
      </c>
      <c r="W214" s="9" t="n">
        <f aca="false">(W192+W199)</f>
        <v>29416.6666666667</v>
      </c>
      <c r="X214" s="9" t="n">
        <f aca="false">(X192+X199)</f>
        <v>29416.6666666667</v>
      </c>
      <c r="Y214" s="9" t="n">
        <f aca="false">(Y192+Y199)</f>
        <v>29416.6666666667</v>
      </c>
      <c r="Z214" s="9" t="n">
        <f aca="false">(Z192+Z199)</f>
        <v>29416.6666666667</v>
      </c>
      <c r="AA214" s="9" t="n">
        <f aca="false">(AA192+AA199)</f>
        <v>34833.3333333333</v>
      </c>
      <c r="AB214" s="9" t="n">
        <f aca="false">(AB192+AB199)</f>
        <v>34833.3333333333</v>
      </c>
      <c r="AC214" s="9" t="n">
        <f aca="false">(AC192+AC199)</f>
        <v>34833.3333333333</v>
      </c>
      <c r="AD214" s="9" t="n">
        <f aca="false">(AD192+AD199)</f>
        <v>34833.3333333333</v>
      </c>
      <c r="AE214" s="9" t="n">
        <f aca="false">(AE192+AE199)</f>
        <v>34833.3333333333</v>
      </c>
      <c r="AF214" s="9" t="n">
        <f aca="false">(AF192+AF199)</f>
        <v>34833.3333333333</v>
      </c>
      <c r="AG214" s="9" t="n">
        <f aca="false">(AG192+AG199)</f>
        <v>34833.3333333333</v>
      </c>
      <c r="AH214" s="9" t="n">
        <f aca="false">(AH192+AH199)</f>
        <v>34833.3333333333</v>
      </c>
      <c r="AI214" s="9" t="n">
        <f aca="false">(AI192+AI199)</f>
        <v>34833.3333333333</v>
      </c>
      <c r="AJ214" s="9" t="n">
        <f aca="false">(AJ192+AJ199)</f>
        <v>34833.3333333333</v>
      </c>
      <c r="AK214" s="9" t="n">
        <f aca="false">(AK192+AK199)</f>
        <v>34833.3333333333</v>
      </c>
      <c r="AL214" s="9" t="n">
        <f aca="false">(AL192+AL199)</f>
        <v>34833.3333333333</v>
      </c>
      <c r="AN214" s="11" t="n">
        <f aca="false">SUM(C214:N214)</f>
        <v>209500</v>
      </c>
      <c r="AO214" s="11" t="n">
        <f aca="false">SUM(O214:Z214)</f>
        <v>353000</v>
      </c>
      <c r="AP214" s="11" t="n">
        <f aca="false">SUM(AA214:AL214)</f>
        <v>418000</v>
      </c>
    </row>
    <row r="215" customFormat="false" ht="15" hidden="false" customHeight="false" outlineLevel="0" collapsed="false">
      <c r="A215" s="0" t="s">
        <v>34</v>
      </c>
      <c r="B215" s="0" t="s">
        <v>230</v>
      </c>
      <c r="C215" s="9" t="n">
        <f aca="false">((C193+C204)+C205)</f>
        <v>5000</v>
      </c>
      <c r="D215" s="9" t="n">
        <f aca="false">((D193+D204)+D205)</f>
        <v>5000</v>
      </c>
      <c r="E215" s="9" t="n">
        <f aca="false">((E193+E204)+E205)</f>
        <v>5000</v>
      </c>
      <c r="F215" s="9" t="n">
        <f aca="false">((F193+F204)+F205)</f>
        <v>5000</v>
      </c>
      <c r="G215" s="9" t="n">
        <f aca="false">((G193+G204)+G205)</f>
        <v>5000</v>
      </c>
      <c r="H215" s="9" t="n">
        <f aca="false">((H193+H204)+H205)</f>
        <v>5000</v>
      </c>
      <c r="I215" s="9" t="n">
        <f aca="false">((I193+I204)+I205)</f>
        <v>5000</v>
      </c>
      <c r="J215" s="9" t="n">
        <f aca="false">((J193+J204)+J205)</f>
        <v>5000</v>
      </c>
      <c r="K215" s="9" t="n">
        <f aca="false">((K193+K204)+K205)</f>
        <v>5000</v>
      </c>
      <c r="L215" s="9" t="n">
        <f aca="false">((L193+L204)+L205)</f>
        <v>5000</v>
      </c>
      <c r="M215" s="9" t="n">
        <f aca="false">((M193+M204)+M205)</f>
        <v>16183.3333333333</v>
      </c>
      <c r="N215" s="9" t="n">
        <f aca="false">((N193+N204)+N205)</f>
        <v>17450.5333333333</v>
      </c>
      <c r="O215" s="9" t="n">
        <f aca="false">((O193+O204)+O205)</f>
        <v>38113.3333333333</v>
      </c>
      <c r="P215" s="9" t="n">
        <f aca="false">((P193+P204)+P205)</f>
        <v>35233.3333333333</v>
      </c>
      <c r="Q215" s="9" t="n">
        <f aca="false">((Q193+Q204)+Q205)</f>
        <v>38823.7333333333</v>
      </c>
      <c r="R215" s="9" t="n">
        <f aca="false">((R193+R204)+R205)</f>
        <v>44193.3333333333</v>
      </c>
      <c r="S215" s="9" t="n">
        <f aca="false">((S193+S204)+S205)</f>
        <v>35233.3333333333</v>
      </c>
      <c r="T215" s="9" t="n">
        <f aca="false">((T193+T204)+T205)</f>
        <v>35233.3333333333</v>
      </c>
      <c r="U215" s="9" t="n">
        <f aca="false">((U193+U204)+U205)</f>
        <v>47073.3333333333</v>
      </c>
      <c r="V215" s="9" t="n">
        <f aca="false">((V193+V204)+V205)</f>
        <v>36289.3333333333</v>
      </c>
      <c r="W215" s="9" t="n">
        <f aca="false">((W193+W204)+W205)</f>
        <v>35233.3333333333</v>
      </c>
      <c r="X215" s="9" t="n">
        <f aca="false">((X193+X204)+X205)</f>
        <v>58256.6666666667</v>
      </c>
      <c r="Y215" s="9" t="n">
        <f aca="false">((Y193+Y204)+Y205)</f>
        <v>53957.4666666667</v>
      </c>
      <c r="Z215" s="9" t="n">
        <f aca="false">((Z193+Z204)+Z205)</f>
        <v>46416.6666666667</v>
      </c>
      <c r="AA215" s="9" t="n">
        <f aca="false">((AA193+AA204)+AA205)</f>
        <v>68636.6666666667</v>
      </c>
      <c r="AB215" s="9" t="n">
        <f aca="false">((AB193+AB204)+AB205)</f>
        <v>72177.4666666667</v>
      </c>
      <c r="AC215" s="9" t="n">
        <f aca="false">((AC193+AC204)+AC205)</f>
        <v>53916.6666666667</v>
      </c>
      <c r="AD215" s="9" t="n">
        <f aca="false">((AD193+AD204)+AD205)</f>
        <v>85900</v>
      </c>
      <c r="AE215" s="9" t="n">
        <f aca="false">((AE193+AE204)+AE205)</f>
        <v>87152.8</v>
      </c>
      <c r="AF215" s="9" t="n">
        <f aca="false">((AF193+AF204)+AF205)</f>
        <v>78380</v>
      </c>
      <c r="AG215" s="9" t="n">
        <f aca="false">((AG193+AG204)+AG205)</f>
        <v>85900</v>
      </c>
      <c r="AH215" s="9" t="n">
        <f aca="false">((AH193+AH204)+AH205)</f>
        <v>88208.8</v>
      </c>
      <c r="AI215" s="9" t="n">
        <f aca="false">((AI193+AI204)+AI205)</f>
        <v>65100</v>
      </c>
      <c r="AJ215" s="9" t="n">
        <f aca="false">((AJ193+AJ204)+AJ205)</f>
        <v>88780</v>
      </c>
      <c r="AK215" s="9" t="n">
        <f aca="false">((AK193+AK204)+AK205)</f>
        <v>104357.6</v>
      </c>
      <c r="AL215" s="9" t="n">
        <f aca="false">((AL193+AL204)+AL205)</f>
        <v>102348</v>
      </c>
      <c r="AN215" s="11" t="n">
        <f aca="false">SUM(C215:N215)</f>
        <v>83633.8666666667</v>
      </c>
      <c r="AO215" s="11" t="n">
        <f aca="false">SUM(O215:Z215)</f>
        <v>504057.2</v>
      </c>
      <c r="AP215" s="11" t="n">
        <f aca="false">SUM(AA215:AL215)</f>
        <v>980858</v>
      </c>
    </row>
    <row r="216" customFormat="false" ht="15" hidden="false" customHeight="false" outlineLevel="0" collapsed="false">
      <c r="A216" s="0" t="s">
        <v>35</v>
      </c>
      <c r="B216" s="0" t="s">
        <v>230</v>
      </c>
      <c r="C216" s="9" t="n">
        <f aca="false">((C194+C206)+C207)</f>
        <v>4833.33333333333</v>
      </c>
      <c r="D216" s="9" t="n">
        <f aca="false">((D194+D206)+D207)</f>
        <v>4833.33333333333</v>
      </c>
      <c r="E216" s="9" t="n">
        <f aca="false">((E194+E206)+E207)</f>
        <v>4833.33333333333</v>
      </c>
      <c r="F216" s="9" t="n">
        <f aca="false">((F194+F206)+F207)</f>
        <v>4833.33333333333</v>
      </c>
      <c r="G216" s="9" t="n">
        <f aca="false">((G194+G206)+G207)</f>
        <v>4833.33333333333</v>
      </c>
      <c r="H216" s="9" t="n">
        <f aca="false">((H194+H206)+H207)</f>
        <v>15508.3333333333</v>
      </c>
      <c r="I216" s="9" t="n">
        <f aca="false">((I194+I206)+I207)</f>
        <v>15508.3333333333</v>
      </c>
      <c r="J216" s="9" t="n">
        <f aca="false">((J194+J206)+J207)</f>
        <v>15508.3333333333</v>
      </c>
      <c r="K216" s="9" t="n">
        <f aca="false">((K194+K206)+K207)</f>
        <v>15508.3333333333</v>
      </c>
      <c r="L216" s="9" t="n">
        <f aca="false">((L194+L206)+L207)</f>
        <v>15508.3333333333</v>
      </c>
      <c r="M216" s="9" t="n">
        <f aca="false">((M194+M206)+M207)</f>
        <v>15508.3333333333</v>
      </c>
      <c r="N216" s="9" t="n">
        <f aca="false">((N194+N206)+N207)</f>
        <v>22116.6666666667</v>
      </c>
      <c r="O216" s="9" t="n">
        <f aca="false">((O194+O206)+O207)</f>
        <v>31366.6666666667</v>
      </c>
      <c r="P216" s="9" t="n">
        <f aca="false">((P194+P206)+P207)</f>
        <v>31366.6666666667</v>
      </c>
      <c r="Q216" s="9" t="n">
        <f aca="false">((Q194+Q206)+Q207)</f>
        <v>31366.6666666667</v>
      </c>
      <c r="R216" s="9" t="n">
        <f aca="false">((R194+R206)+R207)</f>
        <v>31366.6666666667</v>
      </c>
      <c r="S216" s="9" t="n">
        <f aca="false">((S194+S206)+S207)</f>
        <v>31366.6666666667</v>
      </c>
      <c r="T216" s="9" t="n">
        <f aca="false">((T194+T206)+T207)</f>
        <v>31366.6666666667</v>
      </c>
      <c r="U216" s="9" t="n">
        <f aca="false">((U194+U206)+U207)</f>
        <v>31366.6666666667</v>
      </c>
      <c r="V216" s="9" t="n">
        <f aca="false">((V194+V206)+V207)</f>
        <v>40008.3333333333</v>
      </c>
      <c r="W216" s="9" t="n">
        <f aca="false">((W194+W206)+W207)</f>
        <v>40008.3333333333</v>
      </c>
      <c r="X216" s="9" t="n">
        <f aca="false">((X194+X206)+X207)</f>
        <v>40008.3333333333</v>
      </c>
      <c r="Y216" s="9" t="n">
        <f aca="false">((Y194+Y206)+Y207)</f>
        <v>40008.3333333333</v>
      </c>
      <c r="Z216" s="9" t="n">
        <f aca="false">((Z194+Z206)+Z207)</f>
        <v>40008.3333333333</v>
      </c>
      <c r="AA216" s="9" t="n">
        <f aca="false">((AA194+AA206)+AA207)</f>
        <v>50091.6666666667</v>
      </c>
      <c r="AB216" s="9" t="n">
        <f aca="false">((AB194+AB206)+AB207)</f>
        <v>50091.6666666667</v>
      </c>
      <c r="AC216" s="9" t="n">
        <f aca="false">((AC194+AC206)+AC207)</f>
        <v>50091.6666666667</v>
      </c>
      <c r="AD216" s="9" t="n">
        <f aca="false">((AD194+AD206)+AD207)</f>
        <v>50091.6666666667</v>
      </c>
      <c r="AE216" s="9" t="n">
        <f aca="false">((AE194+AE206)+AE207)</f>
        <v>50091.6666666667</v>
      </c>
      <c r="AF216" s="9" t="n">
        <f aca="false">((AF194+AF206)+AF207)</f>
        <v>50091.6666666667</v>
      </c>
      <c r="AG216" s="9" t="n">
        <f aca="false">((AG194+AG206)+AG207)</f>
        <v>50091.6666666667</v>
      </c>
      <c r="AH216" s="9" t="n">
        <f aca="false">((AH194+AH206)+AH207)</f>
        <v>50091.6666666667</v>
      </c>
      <c r="AI216" s="9" t="n">
        <f aca="false">((AI194+AI206)+AI207)</f>
        <v>50091.6666666667</v>
      </c>
      <c r="AJ216" s="9" t="n">
        <f aca="false">((AJ194+AJ206)+AJ207)</f>
        <v>50091.6666666667</v>
      </c>
      <c r="AK216" s="9" t="n">
        <f aca="false">((AK194+AK206)+AK207)</f>
        <v>50091.6666666667</v>
      </c>
      <c r="AL216" s="9" t="n">
        <f aca="false">((AL194+AL206)+AL207)</f>
        <v>50091.6666666667</v>
      </c>
      <c r="AN216" s="11" t="n">
        <f aca="false">SUM(C216:N216)</f>
        <v>139333.333333333</v>
      </c>
      <c r="AO216" s="11" t="n">
        <f aca="false">SUM(O216:Z216)</f>
        <v>419608.333333333</v>
      </c>
      <c r="AP216" s="11" t="n">
        <f aca="false">SUM(AA216:AL216)</f>
        <v>601100</v>
      </c>
    </row>
    <row r="217" customFormat="false" ht="15" hidden="false" customHeight="false" outlineLevel="0" collapsed="false">
      <c r="A217" s="0" t="s">
        <v>36</v>
      </c>
      <c r="B217" s="0" t="s">
        <v>230</v>
      </c>
      <c r="C217" s="9" t="n">
        <f aca="false">C200</f>
        <v>7916.66666666667</v>
      </c>
      <c r="D217" s="9" t="n">
        <f aca="false">D200</f>
        <v>7916.66666666667</v>
      </c>
      <c r="E217" s="9" t="n">
        <f aca="false">E200</f>
        <v>7916.66666666667</v>
      </c>
      <c r="F217" s="9" t="n">
        <f aca="false">F200</f>
        <v>7916.66666666667</v>
      </c>
      <c r="G217" s="9" t="n">
        <f aca="false">G200</f>
        <v>7916.66666666667</v>
      </c>
      <c r="H217" s="9" t="n">
        <f aca="false">H200</f>
        <v>7916.66666666667</v>
      </c>
      <c r="I217" s="9" t="n">
        <f aca="false">I200</f>
        <v>7916.66666666667</v>
      </c>
      <c r="J217" s="9" t="n">
        <f aca="false">J200</f>
        <v>7916.66666666667</v>
      </c>
      <c r="K217" s="9" t="n">
        <f aca="false">K200</f>
        <v>7916.66666666667</v>
      </c>
      <c r="L217" s="9" t="n">
        <f aca="false">L200</f>
        <v>7916.66666666667</v>
      </c>
      <c r="M217" s="9" t="n">
        <f aca="false">M200</f>
        <v>7916.66666666667</v>
      </c>
      <c r="N217" s="9" t="n">
        <f aca="false">N200</f>
        <v>7916.66666666667</v>
      </c>
      <c r="O217" s="9" t="n">
        <f aca="false">O200</f>
        <v>9333.33333333333</v>
      </c>
      <c r="P217" s="9" t="n">
        <f aca="false">P200</f>
        <v>9333.33333333333</v>
      </c>
      <c r="Q217" s="9" t="n">
        <f aca="false">Q200</f>
        <v>9333.33333333333</v>
      </c>
      <c r="R217" s="9" t="n">
        <f aca="false">R200</f>
        <v>9333.33333333333</v>
      </c>
      <c r="S217" s="9" t="n">
        <f aca="false">S200</f>
        <v>9333.33333333333</v>
      </c>
      <c r="T217" s="9" t="n">
        <f aca="false">T200</f>
        <v>9333.33333333333</v>
      </c>
      <c r="U217" s="9" t="n">
        <f aca="false">U200</f>
        <v>9333.33333333333</v>
      </c>
      <c r="V217" s="9" t="n">
        <f aca="false">V200</f>
        <v>9333.33333333333</v>
      </c>
      <c r="W217" s="9" t="n">
        <f aca="false">W200</f>
        <v>9333.33333333333</v>
      </c>
      <c r="X217" s="9" t="n">
        <f aca="false">X200</f>
        <v>9333.33333333333</v>
      </c>
      <c r="Y217" s="9" t="n">
        <f aca="false">Y200</f>
        <v>9333.33333333333</v>
      </c>
      <c r="Z217" s="9" t="n">
        <f aca="false">Z200</f>
        <v>9333.33333333333</v>
      </c>
      <c r="AA217" s="9" t="n">
        <f aca="false">AA200</f>
        <v>12916.6666666667</v>
      </c>
      <c r="AB217" s="9" t="n">
        <f aca="false">AB200</f>
        <v>12916.6666666667</v>
      </c>
      <c r="AC217" s="9" t="n">
        <f aca="false">AC200</f>
        <v>12916.6666666667</v>
      </c>
      <c r="AD217" s="9" t="n">
        <f aca="false">AD200</f>
        <v>12916.6666666667</v>
      </c>
      <c r="AE217" s="9" t="n">
        <f aca="false">AE200</f>
        <v>12916.6666666667</v>
      </c>
      <c r="AF217" s="9" t="n">
        <f aca="false">AF200</f>
        <v>12916.6666666667</v>
      </c>
      <c r="AG217" s="9" t="n">
        <f aca="false">AG200</f>
        <v>12916.6666666667</v>
      </c>
      <c r="AH217" s="9" t="n">
        <f aca="false">AH200</f>
        <v>12916.6666666667</v>
      </c>
      <c r="AI217" s="9" t="n">
        <f aca="false">AI200</f>
        <v>12916.6666666667</v>
      </c>
      <c r="AJ217" s="9" t="n">
        <f aca="false">AJ200</f>
        <v>12916.6666666667</v>
      </c>
      <c r="AK217" s="9" t="n">
        <f aca="false">AK200</f>
        <v>12916.6666666667</v>
      </c>
      <c r="AL217" s="9" t="n">
        <f aca="false">AL200</f>
        <v>12916.6666666667</v>
      </c>
      <c r="AN217" s="11" t="n">
        <f aca="false">SUM(C217:N217)</f>
        <v>95000</v>
      </c>
      <c r="AO217" s="11" t="n">
        <f aca="false">SUM(O217:Z217)</f>
        <v>112000</v>
      </c>
      <c r="AP217" s="11" t="n">
        <f aca="false">SUM(AA217:AL217)</f>
        <v>155000</v>
      </c>
    </row>
    <row r="218" customFormat="false" ht="15" hidden="false" customHeight="false" outlineLevel="0" collapsed="false">
      <c r="A218" s="0" t="s">
        <v>37</v>
      </c>
      <c r="B218" s="0" t="s">
        <v>230</v>
      </c>
      <c r="C218" s="9" t="n">
        <f aca="false">C201</f>
        <v>3416.66666666667</v>
      </c>
      <c r="D218" s="9" t="n">
        <f aca="false">D201</f>
        <v>3416.66666666667</v>
      </c>
      <c r="E218" s="9" t="n">
        <f aca="false">E201</f>
        <v>3416.66666666667</v>
      </c>
      <c r="F218" s="9" t="n">
        <f aca="false">F201</f>
        <v>3416.66666666667</v>
      </c>
      <c r="G218" s="9" t="n">
        <f aca="false">G201</f>
        <v>3416.66666666667</v>
      </c>
      <c r="H218" s="9" t="n">
        <f aca="false">H201</f>
        <v>3416.66666666667</v>
      </c>
      <c r="I218" s="9" t="n">
        <f aca="false">I201</f>
        <v>3416.66666666667</v>
      </c>
      <c r="J218" s="9" t="n">
        <f aca="false">J201</f>
        <v>3416.66666666667</v>
      </c>
      <c r="K218" s="9" t="n">
        <f aca="false">K201</f>
        <v>3416.66666666667</v>
      </c>
      <c r="L218" s="9" t="n">
        <f aca="false">L201</f>
        <v>3416.66666666667</v>
      </c>
      <c r="M218" s="9" t="n">
        <f aca="false">M201</f>
        <v>3416.66666666667</v>
      </c>
      <c r="N218" s="9" t="n">
        <f aca="false">N201</f>
        <v>3416.66666666667</v>
      </c>
      <c r="O218" s="9" t="n">
        <f aca="false">O201</f>
        <v>5833.33333333333</v>
      </c>
      <c r="P218" s="9" t="n">
        <f aca="false">P201</f>
        <v>5833.33333333333</v>
      </c>
      <c r="Q218" s="9" t="n">
        <f aca="false">Q201</f>
        <v>5833.33333333333</v>
      </c>
      <c r="R218" s="9" t="n">
        <f aca="false">R201</f>
        <v>5833.33333333333</v>
      </c>
      <c r="S218" s="9" t="n">
        <f aca="false">S201</f>
        <v>5833.33333333333</v>
      </c>
      <c r="T218" s="9" t="n">
        <f aca="false">T201</f>
        <v>5833.33333333333</v>
      </c>
      <c r="U218" s="9" t="n">
        <f aca="false">U201</f>
        <v>5833.33333333333</v>
      </c>
      <c r="V218" s="9" t="n">
        <f aca="false">V201</f>
        <v>5833.33333333333</v>
      </c>
      <c r="W218" s="9" t="n">
        <f aca="false">W201</f>
        <v>5833.33333333333</v>
      </c>
      <c r="X218" s="9" t="n">
        <f aca="false">X201</f>
        <v>5833.33333333333</v>
      </c>
      <c r="Y218" s="9" t="n">
        <f aca="false">Y201</f>
        <v>5833.33333333333</v>
      </c>
      <c r="Z218" s="9" t="n">
        <f aca="false">Z201</f>
        <v>5833.33333333333</v>
      </c>
      <c r="AA218" s="9" t="n">
        <f aca="false">AA201</f>
        <v>10000</v>
      </c>
      <c r="AB218" s="9" t="n">
        <f aca="false">AB201</f>
        <v>10000</v>
      </c>
      <c r="AC218" s="9" t="n">
        <f aca="false">AC201</f>
        <v>10000</v>
      </c>
      <c r="AD218" s="9" t="n">
        <f aca="false">AD201</f>
        <v>10000</v>
      </c>
      <c r="AE218" s="9" t="n">
        <f aca="false">AE201</f>
        <v>10000</v>
      </c>
      <c r="AF218" s="9" t="n">
        <f aca="false">AF201</f>
        <v>10000</v>
      </c>
      <c r="AG218" s="9" t="n">
        <f aca="false">AG201</f>
        <v>10000</v>
      </c>
      <c r="AH218" s="9" t="n">
        <f aca="false">AH201</f>
        <v>10000</v>
      </c>
      <c r="AI218" s="9" t="n">
        <f aca="false">AI201</f>
        <v>10000</v>
      </c>
      <c r="AJ218" s="9" t="n">
        <f aca="false">AJ201</f>
        <v>10000</v>
      </c>
      <c r="AK218" s="9" t="n">
        <f aca="false">AK201</f>
        <v>10000</v>
      </c>
      <c r="AL218" s="9" t="n">
        <f aca="false">AL201</f>
        <v>10000</v>
      </c>
      <c r="AN218" s="11" t="n">
        <f aca="false">SUM(C218:N218)</f>
        <v>41000</v>
      </c>
      <c r="AO218" s="11" t="n">
        <f aca="false">SUM(O218:Z218)</f>
        <v>70000</v>
      </c>
      <c r="AP218" s="11" t="n">
        <f aca="false">SUM(AA218:AL218)</f>
        <v>120000</v>
      </c>
    </row>
    <row r="219" customFormat="false" ht="15" hidden="false" customHeight="false" outlineLevel="0" collapsed="false">
      <c r="A219" s="0" t="s">
        <v>1011</v>
      </c>
      <c r="B219" s="0" t="s">
        <v>230</v>
      </c>
      <c r="C219" s="9" t="n">
        <f aca="false">((((((C195+C202)+C208)+C209)+C203)+C210)+C211)</f>
        <v>25615</v>
      </c>
      <c r="D219" s="9" t="n">
        <f aca="false">((((((D195+D202)+D208)+D209)+D203)+D210)+D211)</f>
        <v>25615</v>
      </c>
      <c r="E219" s="9" t="n">
        <f aca="false">((((((E195+E202)+E208)+E209)+E203)+E210)+E211)</f>
        <v>38265</v>
      </c>
      <c r="F219" s="9" t="n">
        <f aca="false">((((((F195+F202)+F208)+F209)+F203)+F210)+F211)</f>
        <v>39115</v>
      </c>
      <c r="G219" s="9" t="n">
        <f aca="false">((((((G195+G202)+G208)+G209)+G203)+G210)+G211)</f>
        <v>52615</v>
      </c>
      <c r="H219" s="9" t="n">
        <f aca="false">((((((H195+H202)+H208)+H209)+H203)+H210)+H211)</f>
        <v>54315</v>
      </c>
      <c r="I219" s="9" t="n">
        <f aca="false">((((((I195+I202)+I208)+I209)+I203)+I210)+I211)</f>
        <v>43365</v>
      </c>
      <c r="J219" s="9" t="n">
        <f aca="false">((((((J195+J202)+J208)+J209)+J203)+J210)+J211)</f>
        <v>31565</v>
      </c>
      <c r="K219" s="9" t="n">
        <f aca="false">((((((K195+K202)+K208)+K209)+K203)+K210)+K211)</f>
        <v>82223.3333333333</v>
      </c>
      <c r="L219" s="9" t="n">
        <f aca="false">((((((L195+L202)+L208)+L209)+L203)+L210)+L211)</f>
        <v>59473.3333333333</v>
      </c>
      <c r="M219" s="9" t="n">
        <f aca="false">((((((M195+M202)+M208)+M209)+M203)+M210)+M211)</f>
        <v>72973.3333333333</v>
      </c>
      <c r="N219" s="9" t="n">
        <f aca="false">((((((N195+N202)+N208)+N209)+N203)+N210)+N211)</f>
        <v>62181.7333333333</v>
      </c>
      <c r="O219" s="9" t="n">
        <f aca="false">((((((O195+O202)+O208)+O209)+O203)+O210)+O211)</f>
        <v>82233.3333333333</v>
      </c>
      <c r="P219" s="9" t="n">
        <f aca="false">((((((P195+P202)+P208)+P209)+P203)+P210)+P211)</f>
        <v>70923.3333333333</v>
      </c>
      <c r="Q219" s="9" t="n">
        <f aca="false">((((((Q195+Q202)+Q208)+Q209)+Q203)+Q210)+Q211)</f>
        <v>97072.1333333333</v>
      </c>
      <c r="R219" s="9" t="n">
        <f aca="false">((((((R195+R202)+R208)+R209)+R203)+R210)+R211)</f>
        <v>74143.3333333333</v>
      </c>
      <c r="S219" s="9" t="n">
        <f aca="false">((((((S195+S202)+S208)+S209)+S203)+S210)+S211)</f>
        <v>73023.3333333333</v>
      </c>
      <c r="T219" s="9" t="n">
        <f aca="false">((((((T195+T202)+T208)+T209)+T203)+T210)+T211)</f>
        <v>98323.3333333333</v>
      </c>
      <c r="U219" s="9" t="n">
        <f aca="false">((((((U195+U202)+U208)+U209)+U203)+U210)+U211)</f>
        <v>88853.3333333333</v>
      </c>
      <c r="V219" s="9" t="n">
        <f aca="false">((((((V195+V202)+V208)+V209)+V203)+V210)+V211)</f>
        <v>100967.833333333</v>
      </c>
      <c r="W219" s="9" t="n">
        <f aca="false">((((((W195+W202)+W208)+W209)+W203)+W210)+W211)</f>
        <v>77273.3333333333</v>
      </c>
      <c r="X219" s="9" t="n">
        <f aca="false">((((((X195+X202)+X208)+X209)+X203)+X210)+X211)</f>
        <v>104053.333333333</v>
      </c>
      <c r="Y219" s="9" t="n">
        <f aca="false">((((((Y195+Y202)+Y208)+Y209)+Y203)+Y210)+Y211)</f>
        <v>79810.9333333333</v>
      </c>
      <c r="Z219" s="9" t="n">
        <f aca="false">((((((Z195+Z202)+Z208)+Z209)+Z203)+Z210)+Z211)</f>
        <v>100418.3312</v>
      </c>
      <c r="AA219" s="9" t="n">
        <f aca="false">((((((AA195+AA202)+AA208)+AA209)+AA203)+AA210)+AA211)</f>
        <v>109817.5</v>
      </c>
      <c r="AB219" s="9" t="n">
        <f aca="false">((((((AB195+AB202)+AB208)+AB209)+AB203)+AB210)+AB211)</f>
        <v>123617.6</v>
      </c>
      <c r="AC219" s="9" t="n">
        <f aca="false">((((((AC195+AC202)+AC208)+AC209)+AC203)+AC210)+AC211)</f>
        <v>98311.9384</v>
      </c>
      <c r="AD219" s="9" t="n">
        <f aca="false">((((((AD195+AD202)+AD208)+AD209)+AD203)+AD210)+AD211)</f>
        <v>125777.5</v>
      </c>
      <c r="AE219" s="9" t="n">
        <f aca="false">((((((AE195+AE202)+AE208)+AE209)+AE203)+AE210)+AE211)</f>
        <v>102191.6</v>
      </c>
      <c r="AF219" s="9" t="n">
        <f aca="false">((((((AF195+AF202)+AF208)+AF209)+AF203)+AF210)+AF211)</f>
        <v>113887.5</v>
      </c>
      <c r="AG219" s="9" t="n">
        <f aca="false">((((((AG195+AG202)+AG208)+AG209)+AG203)+AG210)+AG211)</f>
        <v>115677.5</v>
      </c>
      <c r="AH219" s="9" t="n">
        <f aca="false">((((((AH195+AH202)+AH208)+AH209)+AH203)+AH210)+AH211)</f>
        <v>116763.876</v>
      </c>
      <c r="AI219" s="9" t="n">
        <f aca="false">((((((AI195+AI202)+AI208)+AI209)+AI203)+AI210)+AI211)</f>
        <v>114777.5</v>
      </c>
      <c r="AJ219" s="9" t="n">
        <f aca="false">((((((AJ195+AJ202)+AJ208)+AJ209)+AJ203)+AJ210)+AJ211)</f>
        <v>105937.5</v>
      </c>
      <c r="AK219" s="9" t="n">
        <f aca="false">((((((AK195+AK202)+AK208)+AK209)+AK203)+AK210)+AK211)</f>
        <v>108346.3568</v>
      </c>
      <c r="AL219" s="9" t="n">
        <f aca="false">((((((AL195+AL202)+AL208)+AL209)+AL203)+AL210)+AL211)</f>
        <v>107781.9246016</v>
      </c>
      <c r="AN219" s="11" t="n">
        <f aca="false">SUM(C219:N219)</f>
        <v>587321.733333333</v>
      </c>
      <c r="AO219" s="11" t="n">
        <f aca="false">SUM(O219:Z219)</f>
        <v>1047095.89786667</v>
      </c>
      <c r="AP219" s="11" t="n">
        <f aca="false">SUM(AA219:AL219)</f>
        <v>1342888.2958016</v>
      </c>
    </row>
    <row r="220" customFormat="false" ht="15" hidden="false" customHeight="false" outlineLevel="0" collapsed="false">
      <c r="A220" s="0" t="s">
        <v>39</v>
      </c>
      <c r="B220" s="0" t="s">
        <v>230</v>
      </c>
      <c r="C220" s="9" t="n">
        <f aca="false">C212</f>
        <v>0</v>
      </c>
      <c r="D220" s="9" t="n">
        <f aca="false">D212</f>
        <v>0</v>
      </c>
      <c r="E220" s="9" t="n">
        <f aca="false">E212</f>
        <v>0</v>
      </c>
      <c r="F220" s="9" t="n">
        <f aca="false">F212</f>
        <v>0</v>
      </c>
      <c r="G220" s="9" t="n">
        <f aca="false">G212</f>
        <v>0</v>
      </c>
      <c r="H220" s="9" t="n">
        <f aca="false">H212</f>
        <v>0</v>
      </c>
      <c r="I220" s="9" t="n">
        <f aca="false">I212</f>
        <v>0</v>
      </c>
      <c r="J220" s="9" t="n">
        <f aca="false">J212</f>
        <v>0</v>
      </c>
      <c r="K220" s="9" t="n">
        <f aca="false">K212</f>
        <v>0</v>
      </c>
      <c r="L220" s="9" t="n">
        <f aca="false">L212</f>
        <v>0</v>
      </c>
      <c r="M220" s="9" t="n">
        <f aca="false">M212</f>
        <v>0</v>
      </c>
      <c r="N220" s="9" t="n">
        <f aca="false">N212</f>
        <v>0</v>
      </c>
      <c r="O220" s="9" t="n">
        <f aca="false">O212</f>
        <v>0</v>
      </c>
      <c r="P220" s="9" t="n">
        <f aca="false">P212</f>
        <v>0</v>
      </c>
      <c r="Q220" s="9" t="n">
        <f aca="false">Q212</f>
        <v>0</v>
      </c>
      <c r="R220" s="9" t="n">
        <f aca="false">R212</f>
        <v>0</v>
      </c>
      <c r="S220" s="9" t="n">
        <f aca="false">S212</f>
        <v>0</v>
      </c>
      <c r="T220" s="9" t="n">
        <f aca="false">T212</f>
        <v>0</v>
      </c>
      <c r="U220" s="9" t="n">
        <f aca="false">U212</f>
        <v>0</v>
      </c>
      <c r="V220" s="9" t="n">
        <f aca="false">V212</f>
        <v>0</v>
      </c>
      <c r="W220" s="9" t="n">
        <f aca="false">W212</f>
        <v>0</v>
      </c>
      <c r="X220" s="9" t="n">
        <f aca="false">X212</f>
        <v>0</v>
      </c>
      <c r="Y220" s="9" t="n">
        <f aca="false">Y212</f>
        <v>0</v>
      </c>
      <c r="Z220" s="9" t="n">
        <f aca="false">Z212</f>
        <v>0</v>
      </c>
      <c r="AA220" s="9" t="n">
        <f aca="false">AA212</f>
        <v>0</v>
      </c>
      <c r="AB220" s="9" t="n">
        <f aca="false">AB212</f>
        <v>0</v>
      </c>
      <c r="AC220" s="9" t="n">
        <f aca="false">AC212</f>
        <v>0</v>
      </c>
      <c r="AD220" s="9" t="n">
        <f aca="false">AD212</f>
        <v>0</v>
      </c>
      <c r="AE220" s="9" t="n">
        <f aca="false">AE212</f>
        <v>0</v>
      </c>
      <c r="AF220" s="9" t="n">
        <f aca="false">AF212</f>
        <v>0</v>
      </c>
      <c r="AG220" s="9" t="n">
        <f aca="false">AG212</f>
        <v>0</v>
      </c>
      <c r="AH220" s="9" t="n">
        <f aca="false">AH212</f>
        <v>0</v>
      </c>
      <c r="AI220" s="9" t="n">
        <f aca="false">AI212</f>
        <v>0</v>
      </c>
      <c r="AJ220" s="9" t="n">
        <f aca="false">AJ212</f>
        <v>0</v>
      </c>
      <c r="AK220" s="9" t="n">
        <f aca="false">AK212</f>
        <v>0</v>
      </c>
      <c r="AL220" s="9" t="n">
        <f aca="false">AL212</f>
        <v>0</v>
      </c>
      <c r="AN220" s="11" t="n">
        <f aca="false">SUM(C220:N220)</f>
        <v>0</v>
      </c>
      <c r="AO220" s="11" t="n">
        <f aca="false">SUM(O220:Z220)</f>
        <v>0</v>
      </c>
      <c r="AP220" s="11" t="n">
        <f aca="false">SUM(AA220:AL220)</f>
        <v>0</v>
      </c>
    </row>
    <row r="221" customFormat="false" ht="15" hidden="false" customHeight="false" outlineLevel="0" collapsed="false">
      <c r="A221" s="10" t="s">
        <v>40</v>
      </c>
      <c r="B221" s="20" t="s">
        <v>230</v>
      </c>
      <c r="C221" s="11" t="n">
        <f aca="false">(((((((C213+C214)+C215)+C216)+C217)+C218)+C219)+C220)</f>
        <v>98298.3333333333</v>
      </c>
      <c r="D221" s="11" t="n">
        <f aca="false">(((((((D213+D214)+D215)+D216)+D217)+D218)+D219)+D220)</f>
        <v>98298.3333333333</v>
      </c>
      <c r="E221" s="11" t="n">
        <f aca="false">(((((((E213+E214)+E215)+E216)+E217)+E218)+E219)+E220)</f>
        <v>124165</v>
      </c>
      <c r="F221" s="11" t="n">
        <f aca="false">(((((((F213+F214)+F215)+F216)+F217)+F218)+F219)+F220)</f>
        <v>139248.333333333</v>
      </c>
      <c r="G221" s="11" t="n">
        <f aca="false">(((((((G213+G214)+G215)+G216)+G217)+G218)+G219)+G220)</f>
        <v>169015</v>
      </c>
      <c r="H221" s="11" t="n">
        <f aca="false">(((((((H213+H214)+H215)+H216)+H217)+H218)+H219)+H220)</f>
        <v>196640</v>
      </c>
      <c r="I221" s="11" t="n">
        <f aca="false">(((((((I213+I214)+I215)+I216)+I217)+I218)+I219)+I220)</f>
        <v>200940</v>
      </c>
      <c r="J221" s="11" t="n">
        <f aca="false">(((((((J213+J214)+J215)+J216)+J217)+J218)+J219)+J220)</f>
        <v>189140</v>
      </c>
      <c r="K221" s="11" t="n">
        <f aca="false">(((((((K213+K214)+K215)+K216)+K217)+K218)+K219)+K220)</f>
        <v>254540</v>
      </c>
      <c r="L221" s="11" t="n">
        <f aca="false">(((((((L213+L214)+L215)+L216)+L217)+L218)+L219)+L220)</f>
        <v>243481.666666667</v>
      </c>
      <c r="M221" s="11" t="n">
        <f aca="false">(((((((M213+M214)+M215)+M216)+M217)+M218)+M219)+M220)</f>
        <v>268165</v>
      </c>
      <c r="N221" s="11" t="n">
        <f aca="false">(((((((N213+N214)+N215)+N216)+N217)+N218)+N219)+N220)</f>
        <v>265248.933333333</v>
      </c>
      <c r="O221" s="11" t="n">
        <f aca="false">(((((((O213+O214)+O215)+O216)+O217)+O218)+O219)+O220)</f>
        <v>338630</v>
      </c>
      <c r="P221" s="11" t="n">
        <f aca="false">(((((((P213+P214)+P215)+P216)+P217)+P218)+P219)+P220)</f>
        <v>339690</v>
      </c>
      <c r="Q221" s="11" t="n">
        <f aca="false">(((((((Q213+Q214)+Q215)+Q216)+Q217)+Q218)+Q219)+Q220)</f>
        <v>369429.2</v>
      </c>
      <c r="R221" s="11" t="n">
        <f aca="false">(((((((R213+R214)+R215)+R216)+R217)+R218)+R219)+R220)</f>
        <v>351870</v>
      </c>
      <c r="S221" s="11" t="n">
        <f aca="false">(((((((S213+S214)+S215)+S216)+S217)+S218)+S219)+S220)</f>
        <v>341790</v>
      </c>
      <c r="T221" s="11" t="n">
        <f aca="false">(((((((T213+T214)+T215)+T216)+T217)+T218)+T219)+T220)</f>
        <v>367090</v>
      </c>
      <c r="U221" s="11" t="n">
        <f aca="false">(((((((U213+U214)+U215)+U216)+U217)+U218)+U219)+U220)</f>
        <v>369460</v>
      </c>
      <c r="V221" s="11" t="n">
        <f aca="false">(((((((V213+V214)+V215)+V216)+V217)+V218)+V219)+V220)</f>
        <v>390615.5</v>
      </c>
      <c r="W221" s="11" t="n">
        <f aca="false">(((((((W213+W214)+W215)+W216)+W217)+W218)+W219)+W220)</f>
        <v>365865</v>
      </c>
      <c r="X221" s="11" t="n">
        <f aca="false">(((((((X213+X214)+X215)+X216)+X217)+X218)+X219)+X220)</f>
        <v>415668.333333333</v>
      </c>
      <c r="Y221" s="11" t="n">
        <f aca="false">(((((((Y213+Y214)+Y215)+Y216)+Y217)+Y218)+Y219)+Y220)</f>
        <v>387126.733333333</v>
      </c>
      <c r="Z221" s="11" t="n">
        <f aca="false">(((((((Z213+Z214)+Z215)+Z216)+Z217)+Z218)+Z219)+Z220)</f>
        <v>400193.3312</v>
      </c>
      <c r="AA221" s="11" t="n">
        <f aca="false">(((((((AA213+AA214)+AA215)+AA216)+AA217)+AA218)+AA219)+AA220)</f>
        <v>455062.5</v>
      </c>
      <c r="AB221" s="11" t="n">
        <f aca="false">(((((((AB213+AB214)+AB215)+AB216)+AB217)+AB218)+AB219)+AB220)</f>
        <v>487653.4</v>
      </c>
      <c r="AC221" s="11" t="n">
        <f aca="false">(((((((AC213+AC214)+AC215)+AC216)+AC217)+AC218)+AC219)+AC220)</f>
        <v>444086.9384</v>
      </c>
      <c r="AD221" s="11" t="n">
        <f aca="false">(((((((AD213+AD214)+AD215)+AD216)+AD217)+AD218)+AD219)+AD220)</f>
        <v>503535.833333333</v>
      </c>
      <c r="AE221" s="11" t="n">
        <f aca="false">(((((((AE213+AE214)+AE215)+AE216)+AE217)+AE218)+AE219)+AE220)</f>
        <v>481202.733333333</v>
      </c>
      <c r="AF221" s="11" t="n">
        <f aca="false">(((((((AF213+AF214)+AF215)+AF216)+AF217)+AF218)+AF219)+AF220)</f>
        <v>484125.833333333</v>
      </c>
      <c r="AG221" s="11" t="n">
        <f aca="false">(((((((AG213+AG214)+AG215)+AG216)+AG217)+AG218)+AG219)+AG220)</f>
        <v>493435.833333333</v>
      </c>
      <c r="AH221" s="11" t="n">
        <f aca="false">(((((((AH213+AH214)+AH215)+AH216)+AH217)+AH218)+AH219)+AH220)</f>
        <v>496831.009333333</v>
      </c>
      <c r="AI221" s="11" t="n">
        <f aca="false">(((((((AI213+AI214)+AI215)+AI216)+AI217)+AI218)+AI219)+AI220)</f>
        <v>471735.833333333</v>
      </c>
      <c r="AJ221" s="11" t="n">
        <f aca="false">(((((((AJ213+AJ214)+AJ215)+AJ216)+AJ217)+AJ218)+AJ219)+AJ220)</f>
        <v>486575.833333333</v>
      </c>
      <c r="AK221" s="11" t="n">
        <f aca="false">(((((((AK213+AK214)+AK215)+AK216)+AK217)+AK218)+AK219)+AK220)</f>
        <v>504562.290133333</v>
      </c>
      <c r="AL221" s="11" t="n">
        <f aca="false">(((((((AL213+AL214)+AL215)+AL216)+AL217)+AL218)+AL219)+AL220)</f>
        <v>501988.257934933</v>
      </c>
      <c r="AN221" s="11" t="n">
        <f aca="false">SUM(C221:N221)</f>
        <v>2247180.6</v>
      </c>
      <c r="AO221" s="11" t="n">
        <f aca="false">SUM(O221:Z221)</f>
        <v>4437428.09786667</v>
      </c>
      <c r="AP221" s="11" t="n">
        <f aca="false">SUM(AA221:AL221)</f>
        <v>5810796.2958016</v>
      </c>
    </row>
    <row r="222" customFormat="false" ht="15" hidden="false" customHeight="false" outlineLevel="0" collapsed="false">
      <c r="A222" s="21" t="s">
        <v>1012</v>
      </c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</row>
    <row r="223" customFormat="false" ht="15" hidden="false" customHeight="false" outlineLevel="0" collapsed="false">
      <c r="A223" s="0" t="s">
        <v>30</v>
      </c>
      <c r="B223" s="0" t="s">
        <v>230</v>
      </c>
      <c r="C223" s="9" t="n">
        <f aca="false">(C146-C184)</f>
        <v>-6067.1082984</v>
      </c>
      <c r="D223" s="9" t="n">
        <f aca="false">(D146-D184)</f>
        <v>-6119.24628408</v>
      </c>
      <c r="E223" s="9" t="n">
        <f aca="false">(E146-E184)</f>
        <v>-6157.13872666272</v>
      </c>
      <c r="F223" s="9" t="n">
        <f aca="false">(F146-F184)</f>
        <v>-6187.46796077222</v>
      </c>
      <c r="G223" s="9" t="n">
        <f aca="false">(G146-G184)</f>
        <v>-16768.8815397869</v>
      </c>
      <c r="H223" s="9" t="n">
        <f aca="false">(H146-H184)</f>
        <v>-16778.9333752017</v>
      </c>
      <c r="I223" s="9" t="n">
        <f aca="false">(I146-I184)</f>
        <v>-16804.496730379</v>
      </c>
      <c r="J223" s="9" t="n">
        <f aca="false">(J146-J184)</f>
        <v>-17593.0105915935</v>
      </c>
      <c r="K223" s="9" t="n">
        <f aca="false">(K146-K184)</f>
        <v>-24004.2286949308</v>
      </c>
      <c r="L223" s="9" t="n">
        <f aca="false">(L146-L184)</f>
        <v>-24047.0035125279</v>
      </c>
      <c r="M223" s="9" t="n">
        <f aca="false">(M146-M184)</f>
        <v>-33840.438498614</v>
      </c>
      <c r="N223" s="9" t="n">
        <f aca="false">(N146-N184)</f>
        <v>-32870.4205662215</v>
      </c>
      <c r="O223" s="9" t="n">
        <f aca="false">(O146-O184)</f>
        <v>-30392.9585625559</v>
      </c>
      <c r="P223" s="9" t="n">
        <f aca="false">(P146-P184)</f>
        <v>-30159.03363394</v>
      </c>
      <c r="Q223" s="9" t="n">
        <f aca="false">(Q146-Q184)</f>
        <v>-37742.4922636866</v>
      </c>
      <c r="R223" s="9" t="n">
        <f aca="false">(R146-R184)</f>
        <v>-16219.7181137904</v>
      </c>
      <c r="S223" s="9" t="n">
        <f aca="false">(S146-S184)</f>
        <v>-16312.4301430965</v>
      </c>
      <c r="T223" s="9" t="n">
        <f aca="false">(T146-T184)</f>
        <v>-35148.074661639</v>
      </c>
      <c r="U223" s="9" t="n">
        <f aca="false">(U146-U184)</f>
        <v>-32029.6289388046</v>
      </c>
      <c r="V223" s="9" t="n">
        <f aca="false">(V146-V184)</f>
        <v>-31537.8114152595</v>
      </c>
      <c r="W223" s="9" t="n">
        <f aca="false">(W146-W184)</f>
        <v>-32171.3665121204</v>
      </c>
      <c r="X223" s="9" t="n">
        <f aca="false">(X146-X184)</f>
        <v>-40386.7017461367</v>
      </c>
      <c r="Y223" s="9" t="n">
        <f aca="false">(Y146-Y184)</f>
        <v>-29086.4912742404</v>
      </c>
      <c r="Z223" s="9" t="n">
        <f aca="false">(Z146-Z184)</f>
        <v>-28982.2518205039</v>
      </c>
      <c r="AA223" s="9" t="n">
        <f aca="false">(AA146-AA184)</f>
        <v>-38443.0434527377</v>
      </c>
      <c r="AB223" s="9" t="n">
        <f aca="false">(AB146-AB184)</f>
        <v>-18316.9091175579</v>
      </c>
      <c r="AC223" s="9" t="n">
        <f aca="false">(AC146-AC184)</f>
        <v>-17458.2879992879</v>
      </c>
      <c r="AD223" s="9" t="n">
        <f aca="false">(AD146-AD184)</f>
        <v>-4899.60516857117</v>
      </c>
      <c r="AE223" s="9" t="n">
        <f aca="false">(AE146-AE184)</f>
        <v>15365.2429629981</v>
      </c>
      <c r="AF223" s="9" t="n">
        <f aca="false">(AF146-AF184)</f>
        <v>50555.9926528084</v>
      </c>
      <c r="AG223" s="9" t="n">
        <f aca="false">(AG146-AG184)</f>
        <v>47624.0177686689</v>
      </c>
      <c r="AH223" s="9" t="n">
        <f aca="false">(AH146-AH184)</f>
        <v>55328.9641665724</v>
      </c>
      <c r="AI223" s="9" t="n">
        <f aca="false">(AI146-AI184)</f>
        <v>15106.1062220104</v>
      </c>
      <c r="AJ223" s="9" t="n">
        <f aca="false">(AJ146-AJ184)</f>
        <v>26230.3962360706</v>
      </c>
      <c r="AK223" s="9" t="n">
        <f aca="false">(AK146-AK184)</f>
        <v>73824.6937047608</v>
      </c>
      <c r="AL223" s="9" t="n">
        <f aca="false">(AL146-AL184)</f>
        <v>160393.345507025</v>
      </c>
      <c r="AN223" s="11" t="n">
        <f aca="false">SUM(C223:N223)</f>
        <v>-207238.37477917</v>
      </c>
      <c r="AO223" s="11" t="n">
        <f aca="false">SUM(O223:Z223)</f>
        <v>-360168.959085774</v>
      </c>
      <c r="AP223" s="11" t="n">
        <f aca="false">SUM(AA223:AL223)</f>
        <v>365310.91348276</v>
      </c>
    </row>
    <row r="224" customFormat="false" ht="15" hidden="false" customHeight="false" outlineLevel="0" collapsed="false">
      <c r="A224" s="0" t="s">
        <v>1013</v>
      </c>
      <c r="B224" s="0" t="s">
        <v>230</v>
      </c>
      <c r="C224" s="9" t="n">
        <f aca="false">((C223-C206)-C204)</f>
        <v>-6067.1082984</v>
      </c>
      <c r="D224" s="9" t="n">
        <f aca="false">((D223-D206)-D204)</f>
        <v>-6119.24628408</v>
      </c>
      <c r="E224" s="9" t="n">
        <f aca="false">((E223-E206)-E204)</f>
        <v>-6157.13872666272</v>
      </c>
      <c r="F224" s="9" t="n">
        <f aca="false">((F223-F206)-F204)</f>
        <v>-6187.46796077222</v>
      </c>
      <c r="G224" s="9" t="n">
        <f aca="false">((G223-G206)-G204)</f>
        <v>-16768.8815397869</v>
      </c>
      <c r="H224" s="9" t="n">
        <f aca="false">((H223-H206)-H204)</f>
        <v>-16778.9333752017</v>
      </c>
      <c r="I224" s="9" t="n">
        <f aca="false">((I223-I206)-I204)</f>
        <v>-16804.496730379</v>
      </c>
      <c r="J224" s="9" t="n">
        <f aca="false">((J223-J206)-J204)</f>
        <v>-17593.0105915935</v>
      </c>
      <c r="K224" s="9" t="n">
        <f aca="false">((K223-K206)-K204)</f>
        <v>-24004.2286949308</v>
      </c>
      <c r="L224" s="9" t="n">
        <f aca="false">((L223-L206)-L204)</f>
        <v>-24047.0035125279</v>
      </c>
      <c r="M224" s="9" t="n">
        <f aca="false">((M223-M206)-M204)</f>
        <v>-33840.438498614</v>
      </c>
      <c r="N224" s="9" t="n">
        <f aca="false">((N223-N206)-N204)</f>
        <v>-34137.6205662215</v>
      </c>
      <c r="O224" s="9" t="n">
        <f aca="false">((O223-O206)-O204)</f>
        <v>-36272.9585625559</v>
      </c>
      <c r="P224" s="9" t="n">
        <f aca="false">((P223-P206)-P204)</f>
        <v>-33159.03363394</v>
      </c>
      <c r="Q224" s="9" t="n">
        <f aca="false">((Q223-Q206)-Q204)</f>
        <v>-44332.8922636866</v>
      </c>
      <c r="R224" s="9" t="n">
        <f aca="false">((R223-R206)-R204)</f>
        <v>-28179.7181137904</v>
      </c>
      <c r="S224" s="9" t="n">
        <f aca="false">((S223-S206)-S204)</f>
        <v>-19312.4301430965</v>
      </c>
      <c r="T224" s="9" t="n">
        <f aca="false">((T223-T206)-T204)</f>
        <v>-38148.074661639</v>
      </c>
      <c r="U224" s="9" t="n">
        <f aca="false">((U223-U206)-U204)</f>
        <v>-46869.6289388046</v>
      </c>
      <c r="V224" s="9" t="n">
        <f aca="false">((V223-V206)-V204)</f>
        <v>-35593.8114152595</v>
      </c>
      <c r="W224" s="9" t="n">
        <f aca="false">((W223-W206)-W204)</f>
        <v>-35171.3665121204</v>
      </c>
      <c r="X224" s="9" t="n">
        <f aca="false">((X223-X206)-X204)</f>
        <v>-55226.7017461367</v>
      </c>
      <c r="Y224" s="9" t="n">
        <f aca="false">((Y223-Y206)-Y204)</f>
        <v>-39627.2912742404</v>
      </c>
      <c r="Z224" s="9" t="n">
        <f aca="false">((Z223-Z206)-Z204)</f>
        <v>-31982.2518205039</v>
      </c>
      <c r="AA224" s="9" t="n">
        <f aca="false">((AA223-AA206)-AA204)</f>
        <v>-58163.0434527377</v>
      </c>
      <c r="AB224" s="9" t="n">
        <f aca="false">((AB223-AB206)-AB204)</f>
        <v>-41577.7091175579</v>
      </c>
      <c r="AC224" s="9" t="n">
        <f aca="false">((AC223-AC206)-AC204)</f>
        <v>-22458.2879992879</v>
      </c>
      <c r="AD224" s="9" t="n">
        <f aca="false">((AD223-AD206)-AD204)</f>
        <v>-30699.6051685712</v>
      </c>
      <c r="AE224" s="9" t="n">
        <f aca="false">((AE223-AE206)-AE204)</f>
        <v>-11687.5570370019</v>
      </c>
      <c r="AF224" s="9" t="n">
        <f aca="false">((AF223-AF206)-AF204)</f>
        <v>32275.9926528084</v>
      </c>
      <c r="AG224" s="9" t="n">
        <f aca="false">((AG223-AG206)-AG204)</f>
        <v>21824.0177686689</v>
      </c>
      <c r="AH224" s="9" t="n">
        <f aca="false">((AH223-AH206)-AH204)</f>
        <v>27220.1641665724</v>
      </c>
      <c r="AI224" s="9" t="n">
        <f aca="false">((AI223-AI206)-AI204)</f>
        <v>10106.1062220104</v>
      </c>
      <c r="AJ224" s="9" t="n">
        <f aca="false">((AJ223-AJ206)-AJ204)</f>
        <v>-2449.60376392936</v>
      </c>
      <c r="AK224" s="9" t="n">
        <f aca="false">((AK223-AK206)-AK204)</f>
        <v>29567.0937047608</v>
      </c>
      <c r="AL224" s="9" t="n">
        <f aca="false">((AL223-AL206)-AL204)</f>
        <v>118145.345507025</v>
      </c>
      <c r="AN224" s="11" t="n">
        <f aca="false">SUM(C224:N224)</f>
        <v>-208505.57477917</v>
      </c>
      <c r="AO224" s="11" t="n">
        <f aca="false">SUM(O224:Z224)</f>
        <v>-443876.159085774</v>
      </c>
      <c r="AP224" s="11" t="n">
        <f aca="false">SUM(AA224:AL224)</f>
        <v>72102.9134827602</v>
      </c>
    </row>
    <row r="225" customFormat="false" ht="15" hidden="false" customHeight="false" outlineLevel="0" collapsed="false">
      <c r="A225" s="10" t="s">
        <v>1014</v>
      </c>
      <c r="B225" s="20" t="s">
        <v>230</v>
      </c>
      <c r="C225" s="11" t="n">
        <f aca="false">(C223-C221)</f>
        <v>-104365.441631733</v>
      </c>
      <c r="D225" s="11" t="n">
        <f aca="false">(D223-D221)</f>
        <v>-104417.579617413</v>
      </c>
      <c r="E225" s="11" t="n">
        <f aca="false">(E223-E221)</f>
        <v>-130322.138726663</v>
      </c>
      <c r="F225" s="11" t="n">
        <f aca="false">(F223-F221)</f>
        <v>-145435.801294106</v>
      </c>
      <c r="G225" s="11" t="n">
        <f aca="false">(G223-G221)</f>
        <v>-185783.881539787</v>
      </c>
      <c r="H225" s="11" t="n">
        <f aca="false">(H223-H221)</f>
        <v>-213418.933375202</v>
      </c>
      <c r="I225" s="11" t="n">
        <f aca="false">(I223-I221)</f>
        <v>-217744.496730379</v>
      </c>
      <c r="J225" s="11" t="n">
        <f aca="false">(J223-J221)</f>
        <v>-206733.010591593</v>
      </c>
      <c r="K225" s="11" t="n">
        <f aca="false">(K223-K221)</f>
        <v>-278544.228694931</v>
      </c>
      <c r="L225" s="11" t="n">
        <f aca="false">(L223-L221)</f>
        <v>-267528.670179195</v>
      </c>
      <c r="M225" s="11" t="n">
        <f aca="false">(M223-M221)</f>
        <v>-302005.438498614</v>
      </c>
      <c r="N225" s="11" t="n">
        <f aca="false">(N223-N221)</f>
        <v>-298119.353899555</v>
      </c>
      <c r="O225" s="11" t="n">
        <f aca="false">(O223-O221)</f>
        <v>-369022.958562556</v>
      </c>
      <c r="P225" s="11" t="n">
        <f aca="false">(P223-P221)</f>
        <v>-369849.03363394</v>
      </c>
      <c r="Q225" s="11" t="n">
        <f aca="false">(Q223-Q221)</f>
        <v>-407171.692263687</v>
      </c>
      <c r="R225" s="11" t="n">
        <f aca="false">(R223-R221)</f>
        <v>-368089.71811379</v>
      </c>
      <c r="S225" s="11" t="n">
        <f aca="false">(S223-S221)</f>
        <v>-358102.430143096</v>
      </c>
      <c r="T225" s="11" t="n">
        <f aca="false">(T223-T221)</f>
        <v>-402238.074661639</v>
      </c>
      <c r="U225" s="11" t="n">
        <f aca="false">(U223-U221)</f>
        <v>-401489.628938805</v>
      </c>
      <c r="V225" s="11" t="n">
        <f aca="false">(V223-V221)</f>
        <v>-422153.31141526</v>
      </c>
      <c r="W225" s="11" t="n">
        <f aca="false">(W223-W221)</f>
        <v>-398036.36651212</v>
      </c>
      <c r="X225" s="11" t="n">
        <f aca="false">(X223-X221)</f>
        <v>-456055.03507947</v>
      </c>
      <c r="Y225" s="11" t="n">
        <f aca="false">(Y223-Y221)</f>
        <v>-416213.224607574</v>
      </c>
      <c r="Z225" s="11" t="n">
        <f aca="false">(Z223-Z221)</f>
        <v>-429175.583020504</v>
      </c>
      <c r="AA225" s="11" t="n">
        <f aca="false">(AA223-AA221)</f>
        <v>-493505.543452738</v>
      </c>
      <c r="AB225" s="11" t="n">
        <f aca="false">(AB223-AB221)</f>
        <v>-505970.309117558</v>
      </c>
      <c r="AC225" s="11" t="n">
        <f aca="false">(AC223-AC221)</f>
        <v>-461545.226399288</v>
      </c>
      <c r="AD225" s="11" t="n">
        <f aca="false">(AD223-AD221)</f>
        <v>-508435.438501905</v>
      </c>
      <c r="AE225" s="11" t="n">
        <f aca="false">(AE223-AE221)</f>
        <v>-465837.490370335</v>
      </c>
      <c r="AF225" s="11" t="n">
        <f aca="false">(AF223-AF221)</f>
        <v>-433569.840680525</v>
      </c>
      <c r="AG225" s="11" t="n">
        <f aca="false">(AG223-AG221)</f>
        <v>-445811.815564665</v>
      </c>
      <c r="AH225" s="11" t="n">
        <f aca="false">(AH223-AH221)</f>
        <v>-441502.045166761</v>
      </c>
      <c r="AI225" s="11" t="n">
        <f aca="false">(AI223-AI221)</f>
        <v>-456629.727111323</v>
      </c>
      <c r="AJ225" s="11" t="n">
        <f aca="false">(AJ223-AJ221)</f>
        <v>-460345.437097263</v>
      </c>
      <c r="AK225" s="11" t="n">
        <f aca="false">(AK223-AK221)</f>
        <v>-430737.596428573</v>
      </c>
      <c r="AL225" s="11" t="n">
        <f aca="false">(AL223-AL221)</f>
        <v>-341594.912427908</v>
      </c>
      <c r="AN225" s="11" t="n">
        <f aca="false">SUM(C225:N225)</f>
        <v>-2454418.97477917</v>
      </c>
      <c r="AO225" s="11" t="n">
        <f aca="false">SUM(O225:Z225)</f>
        <v>-4797597.05695244</v>
      </c>
      <c r="AP225" s="11" t="n">
        <f aca="false">SUM(AA225:AL225)</f>
        <v>-5445485.38231884</v>
      </c>
    </row>
    <row r="226" customFormat="false" ht="15" hidden="false" customHeight="false" outlineLevel="0" collapsed="false">
      <c r="A226" s="10" t="s">
        <v>44</v>
      </c>
      <c r="B226" s="20" t="s">
        <v>230</v>
      </c>
      <c r="C226" s="11" t="n">
        <f aca="false">((C153-C184)-C221)</f>
        <v>-104365.441631733</v>
      </c>
      <c r="D226" s="11" t="n">
        <f aca="false">((D153-D184)-D221)</f>
        <v>-104417.579617413</v>
      </c>
      <c r="E226" s="11" t="n">
        <f aca="false">((E153-E184)-E221)</f>
        <v>-130322.138726663</v>
      </c>
      <c r="F226" s="11" t="n">
        <f aca="false">((F153-F184)-F221)</f>
        <v>-145435.801294106</v>
      </c>
      <c r="G226" s="11" t="n">
        <f aca="false">((G153-G184)-G221)</f>
        <v>-185783.881539787</v>
      </c>
      <c r="H226" s="11" t="n">
        <f aca="false">((H153-H184)-H221)</f>
        <v>-213418.933375202</v>
      </c>
      <c r="I226" s="11" t="n">
        <f aca="false">((I153-I184)-I221)</f>
        <v>-217744.496730379</v>
      </c>
      <c r="J226" s="11" t="n">
        <f aca="false">((J153-J184)-J221)</f>
        <v>-206733.010591593</v>
      </c>
      <c r="K226" s="11" t="n">
        <f aca="false">((K153-K184)-K221)</f>
        <v>-278544.228694931</v>
      </c>
      <c r="L226" s="11" t="n">
        <f aca="false">((L153-L184)-L221)</f>
        <v>-267528.670179195</v>
      </c>
      <c r="M226" s="11" t="n">
        <f aca="false">((M153-M184)-M221)</f>
        <v>-302005.438498614</v>
      </c>
      <c r="N226" s="11" t="n">
        <f aca="false">((N153-N184)-N221)</f>
        <v>-299439.353899555</v>
      </c>
      <c r="O226" s="11" t="n">
        <f aca="false">((O153-O184)-O221)</f>
        <v>-379747.315256531</v>
      </c>
      <c r="P226" s="11" t="n">
        <f aca="false">((P153-P184)-P221)</f>
        <v>-364782.580577844</v>
      </c>
      <c r="Q226" s="11" t="n">
        <f aca="false">((Q153-Q184)-Q221)</f>
        <v>-385814.533311584</v>
      </c>
      <c r="R226" s="11" t="n">
        <f aca="false">((R153-R184)-R221)</f>
        <v>-405165.998196269</v>
      </c>
      <c r="S226" s="11" t="n">
        <f aca="false">((S153-S184)-S221)</f>
        <v>-350727.58810364</v>
      </c>
      <c r="T226" s="11" t="n">
        <f aca="false">((T153-T184)-T221)</f>
        <v>-328420.898316391</v>
      </c>
      <c r="U226" s="11" t="n">
        <f aca="false">((U153-U184)-U221)</f>
        <v>-453072.861802299</v>
      </c>
      <c r="V226" s="11" t="n">
        <f aca="false">((V153-V184)-V221)</f>
        <v>-474528.124872032</v>
      </c>
      <c r="W226" s="11" t="n">
        <f aca="false">((W153-W184)-W221)</f>
        <v>-303811.899162692</v>
      </c>
      <c r="X226" s="11" t="n">
        <f aca="false">((X153-X184)-X221)</f>
        <v>-501415.852970686</v>
      </c>
      <c r="Y226" s="11" t="n">
        <f aca="false">((Y153-Y184)-Y221)</f>
        <v>-483177.35111017</v>
      </c>
      <c r="Z226" s="11" t="n">
        <f aca="false">((Z153-Z184)-Z221)</f>
        <v>-349624.267485079</v>
      </c>
      <c r="AA226" s="11" t="n">
        <f aca="false">((AA153-AA184)-AA221)</f>
        <v>-487062.762253585</v>
      </c>
      <c r="AB226" s="11" t="n">
        <f aca="false">((AB153-AB184)-AB221)</f>
        <v>-594754.002912292</v>
      </c>
      <c r="AC226" s="11" t="n">
        <f aca="false">((AC153-AC184)-AC221)</f>
        <v>-383182.574125896</v>
      </c>
      <c r="AD226" s="11" t="n">
        <f aca="false">((AD153-AD184)-AD221)</f>
        <v>-423197.457415317</v>
      </c>
      <c r="AE226" s="11" t="n">
        <f aca="false">((AE153-AE184)-AE221)</f>
        <v>-570936.184049972</v>
      </c>
      <c r="AF226" s="11" t="n">
        <f aca="false">((AF153-AF184)-AF221)</f>
        <v>-369676.765295166</v>
      </c>
      <c r="AG226" s="11" t="n">
        <f aca="false">((AG153-AG184)-AG221)</f>
        <v>-385604.802572379</v>
      </c>
      <c r="AH226" s="11" t="n">
        <f aca="false">((AH153-AH184)-AH221)</f>
        <v>-491303.62773984</v>
      </c>
      <c r="AI226" s="11" t="n">
        <f aca="false">((AI153-AI184)-AI221)</f>
        <v>-377891.735802228</v>
      </c>
      <c r="AJ226" s="11" t="n">
        <f aca="false">((AJ153-AJ184)-AJ221)</f>
        <v>-367543.605922147</v>
      </c>
      <c r="AK226" s="11" t="n">
        <f aca="false">((AK153-AK184)-AK221)</f>
        <v>-667681.668840317</v>
      </c>
      <c r="AL226" s="11" t="n">
        <f aca="false">((AL153-AL184)-AL221)</f>
        <v>-372324.601953737</v>
      </c>
      <c r="AN226" s="11" t="n">
        <f aca="false">SUM(C226:N226)</f>
        <v>-2455738.97477917</v>
      </c>
      <c r="AO226" s="11" t="n">
        <f aca="false">SUM(O226:Z226)</f>
        <v>-4780289.27116522</v>
      </c>
      <c r="AP226" s="11" t="n">
        <f aca="false">SUM(AA226:AL226)</f>
        <v>-5491159.78888288</v>
      </c>
    </row>
    <row r="227" customFormat="false" ht="15" hidden="false" customHeight="false" outlineLevel="0" collapsed="false">
      <c r="A227" s="0" t="s">
        <v>45</v>
      </c>
      <c r="B227" s="0" t="s">
        <v>230</v>
      </c>
      <c r="C227" s="9" t="n">
        <f aca="false">(0+C226)</f>
        <v>-104365.441631733</v>
      </c>
      <c r="D227" s="9" t="n">
        <f aca="false">(C227+D226)</f>
        <v>-208783.021249147</v>
      </c>
      <c r="E227" s="9" t="n">
        <f aca="false">(D227+E226)</f>
        <v>-339105.159975809</v>
      </c>
      <c r="F227" s="9" t="n">
        <f aca="false">(E227+F226)</f>
        <v>-484540.961269915</v>
      </c>
      <c r="G227" s="9" t="n">
        <f aca="false">(F227+G226)</f>
        <v>-670324.842809702</v>
      </c>
      <c r="H227" s="9" t="n">
        <f aca="false">(G227+H226)</f>
        <v>-883743.776184904</v>
      </c>
      <c r="I227" s="9" t="n">
        <f aca="false">(H227+I226)</f>
        <v>-1101488.27291528</v>
      </c>
      <c r="J227" s="9" t="n">
        <f aca="false">(I227+J226)</f>
        <v>-1308221.28350688</v>
      </c>
      <c r="K227" s="9" t="n">
        <f aca="false">(J227+K226)</f>
        <v>-1586765.51220181</v>
      </c>
      <c r="L227" s="9" t="n">
        <f aca="false">(K227+L226)</f>
        <v>-1854294.182381</v>
      </c>
      <c r="M227" s="9" t="n">
        <f aca="false">(L227+M226)</f>
        <v>-2156299.62087962</v>
      </c>
      <c r="N227" s="9" t="n">
        <f aca="false">(M227+N226)</f>
        <v>-2455738.97477917</v>
      </c>
      <c r="O227" s="9" t="n">
        <f aca="false">(N227+O226)</f>
        <v>-2835486.2900357</v>
      </c>
      <c r="P227" s="9" t="n">
        <f aca="false">(O227+P226)</f>
        <v>-3200268.87061355</v>
      </c>
      <c r="Q227" s="9" t="n">
        <f aca="false">(P227+Q226)</f>
        <v>-3586083.40392513</v>
      </c>
      <c r="R227" s="9" t="n">
        <f aca="false">(Q227+R226)</f>
        <v>-3991249.4021214</v>
      </c>
      <c r="S227" s="9" t="n">
        <f aca="false">(R227+S226)</f>
        <v>-4341976.99022504</v>
      </c>
      <c r="T227" s="9" t="n">
        <f aca="false">(S227+T226)</f>
        <v>-4670397.88854143</v>
      </c>
      <c r="U227" s="9" t="n">
        <f aca="false">(T227+U226)</f>
        <v>-5123470.75034373</v>
      </c>
      <c r="V227" s="9" t="n">
        <f aca="false">(U227+V226)</f>
        <v>-5597998.87521576</v>
      </c>
      <c r="W227" s="9" t="n">
        <f aca="false">(V227+W226)</f>
        <v>-5901810.77437845</v>
      </c>
      <c r="X227" s="9" t="n">
        <f aca="false">(W227+X226)</f>
        <v>-6403226.62734914</v>
      </c>
      <c r="Y227" s="9" t="n">
        <f aca="false">(X227+Y226)</f>
        <v>-6886403.97845931</v>
      </c>
      <c r="Z227" s="9" t="n">
        <f aca="false">(Y227+Z226)</f>
        <v>-7236028.24594439</v>
      </c>
      <c r="AA227" s="9" t="n">
        <f aca="false">(Z227+AA226)</f>
        <v>-7723091.00819797</v>
      </c>
      <c r="AB227" s="9" t="n">
        <f aca="false">(AA227+AB226)</f>
        <v>-8317845.01111026</v>
      </c>
      <c r="AC227" s="9" t="n">
        <f aca="false">(AB227+AC226)</f>
        <v>-8701027.58523616</v>
      </c>
      <c r="AD227" s="9" t="n">
        <f aca="false">(AC227+AD226)</f>
        <v>-9124225.04265147</v>
      </c>
      <c r="AE227" s="9" t="n">
        <f aca="false">(AD227+AE226)</f>
        <v>-9695161.22670145</v>
      </c>
      <c r="AF227" s="9" t="n">
        <f aca="false">(AE227+AF226)</f>
        <v>-10064837.9919966</v>
      </c>
      <c r="AG227" s="9" t="n">
        <f aca="false">(AF227+AG226)</f>
        <v>-10450442.794569</v>
      </c>
      <c r="AH227" s="9" t="n">
        <f aca="false">(AG227+AH226)</f>
        <v>-10941746.4223088</v>
      </c>
      <c r="AI227" s="9" t="n">
        <f aca="false">(AH227+AI226)</f>
        <v>-11319638.1581111</v>
      </c>
      <c r="AJ227" s="9" t="n">
        <f aca="false">(AI227+AJ226)</f>
        <v>-11687181.7640332</v>
      </c>
      <c r="AK227" s="9" t="n">
        <f aca="false">(AJ227+AK226)</f>
        <v>-12354863.4328735</v>
      </c>
      <c r="AL227" s="9" t="n">
        <f aca="false">(AK227+AL226)</f>
        <v>-12727188.0348273</v>
      </c>
      <c r="AN227" s="11" t="n">
        <f aca="false">N227</f>
        <v>-2455738.97477917</v>
      </c>
      <c r="AO227" s="11" t="n">
        <f aca="false">Z227</f>
        <v>-7236028.24594439</v>
      </c>
      <c r="AP227" s="11" t="n">
        <f aca="false">AL227</f>
        <v>-12727188.0348273</v>
      </c>
    </row>
    <row r="228" customFormat="false" ht="15" hidden="false" customHeight="false" outlineLevel="0" collapsed="false">
      <c r="A228" s="10" t="s">
        <v>1015</v>
      </c>
      <c r="B228" s="20" t="s">
        <v>230</v>
      </c>
      <c r="C228" s="11" t="n">
        <f aca="false">(Assumptions!$C$104+C227)</f>
        <v>2895634.55836827</v>
      </c>
      <c r="D228" s="11" t="n">
        <f aca="false">(Assumptions!$C$104+D227)</f>
        <v>2791216.97875085</v>
      </c>
      <c r="E228" s="11" t="n">
        <f aca="false">(Assumptions!$C$104+E227)</f>
        <v>2660894.84002419</v>
      </c>
      <c r="F228" s="11" t="n">
        <f aca="false">(Assumptions!$C$104+F227)</f>
        <v>2515459.03873009</v>
      </c>
      <c r="G228" s="11" t="n">
        <f aca="false">(Assumptions!$C$104+G227)</f>
        <v>2329675.1571903</v>
      </c>
      <c r="H228" s="11" t="n">
        <f aca="false">(Assumptions!$C$104+H227)</f>
        <v>2116256.2238151</v>
      </c>
      <c r="I228" s="11" t="n">
        <f aca="false">(Assumptions!$C$104+I227)</f>
        <v>1898511.72708472</v>
      </c>
      <c r="J228" s="11" t="n">
        <f aca="false">(Assumptions!$C$104+J227)</f>
        <v>1691778.71649312</v>
      </c>
      <c r="K228" s="11" t="n">
        <f aca="false">(Assumptions!$C$104+K227)</f>
        <v>1413234.48779819</v>
      </c>
      <c r="L228" s="11" t="n">
        <f aca="false">(Assumptions!$C$104+L227)</f>
        <v>1145705.817619</v>
      </c>
      <c r="M228" s="11" t="n">
        <f aca="false">(Assumptions!$C$104+M227)</f>
        <v>843700.379120385</v>
      </c>
      <c r="N228" s="11" t="n">
        <f aca="false">(Assumptions!$C$104+N227)</f>
        <v>544261.02522083</v>
      </c>
      <c r="O228" s="11" t="n">
        <f aca="false">(Assumptions!$C$104+O227)</f>
        <v>164513.709964299</v>
      </c>
      <c r="P228" s="11" t="n">
        <f aca="false">(Assumptions!$C$104+P227)</f>
        <v>-200268.870613545</v>
      </c>
      <c r="Q228" s="11" t="n">
        <f aca="false">(Assumptions!$C$104+Q227)</f>
        <v>-586083.403925129</v>
      </c>
      <c r="R228" s="11" t="n">
        <f aca="false">(Assumptions!$C$104+R227)</f>
        <v>-991249.402121398</v>
      </c>
      <c r="S228" s="11" t="n">
        <f aca="false">(Assumptions!$C$104+S227)</f>
        <v>-1341976.99022504</v>
      </c>
      <c r="T228" s="11" t="n">
        <f aca="false">(Assumptions!$C$104+T227)</f>
        <v>-1670397.88854143</v>
      </c>
      <c r="U228" s="11" t="n">
        <f aca="false">(Assumptions!$C$104+U227)</f>
        <v>-2123470.75034373</v>
      </c>
      <c r="V228" s="11" t="n">
        <f aca="false">(Assumptions!$C$104+V227)</f>
        <v>-2597998.87521576</v>
      </c>
      <c r="W228" s="11" t="n">
        <f aca="false">(Assumptions!$C$104+W227)</f>
        <v>-2901810.77437845</v>
      </c>
      <c r="X228" s="11" t="n">
        <f aca="false">(Assumptions!$C$104+X227)</f>
        <v>-3403226.62734914</v>
      </c>
      <c r="Y228" s="11" t="n">
        <f aca="false">(Assumptions!$C$104+Y227)</f>
        <v>-3886403.97845931</v>
      </c>
      <c r="Z228" s="11" t="n">
        <f aca="false">(Assumptions!$C$104+Z227)</f>
        <v>-4236028.24594439</v>
      </c>
      <c r="AA228" s="11" t="n">
        <f aca="false">(Assumptions!$C$104+AA227)</f>
        <v>-4723091.00819797</v>
      </c>
      <c r="AB228" s="11" t="n">
        <f aca="false">(Assumptions!$C$104+AB227)</f>
        <v>-5317845.01111026</v>
      </c>
      <c r="AC228" s="11" t="n">
        <f aca="false">(Assumptions!$C$104+AC227)</f>
        <v>-5701027.58523616</v>
      </c>
      <c r="AD228" s="11" t="n">
        <f aca="false">(Assumptions!$C$104+AD227)</f>
        <v>-6124225.04265147</v>
      </c>
      <c r="AE228" s="11" t="n">
        <f aca="false">(Assumptions!$C$104+AE227)</f>
        <v>-6695161.22670145</v>
      </c>
      <c r="AF228" s="11" t="n">
        <f aca="false">(Assumptions!$C$104+AF227)</f>
        <v>-7064837.99199661</v>
      </c>
      <c r="AG228" s="11" t="n">
        <f aca="false">(Assumptions!$C$104+AG227)</f>
        <v>-7450442.79456899</v>
      </c>
      <c r="AH228" s="11" t="n">
        <f aca="false">(Assumptions!$C$104+AH227)</f>
        <v>-7941746.42230883</v>
      </c>
      <c r="AI228" s="11" t="n">
        <f aca="false">(Assumptions!$C$104+AI227)</f>
        <v>-8319638.15811106</v>
      </c>
      <c r="AJ228" s="11" t="n">
        <f aca="false">(Assumptions!$C$104+AJ227)</f>
        <v>-8687181.76403321</v>
      </c>
      <c r="AK228" s="11" t="n">
        <f aca="false">(Assumptions!$C$104+AK227)</f>
        <v>-9354863.43287352</v>
      </c>
      <c r="AL228" s="11" t="n">
        <f aca="false">(Assumptions!$C$104+AL227)</f>
        <v>-9727188.03482726</v>
      </c>
      <c r="AN228" s="11" t="n">
        <f aca="false">N228</f>
        <v>544261.02522083</v>
      </c>
      <c r="AO228" s="11" t="n">
        <f aca="false">Z228</f>
        <v>-4236028.24594439</v>
      </c>
      <c r="AP228" s="11" t="n">
        <f aca="false">AL228</f>
        <v>-9727188.03482726</v>
      </c>
    </row>
    <row r="229" customFormat="false" ht="15" hidden="false" customHeight="false" outlineLevel="0" collapsed="false">
      <c r="A229" s="0" t="s">
        <v>1016</v>
      </c>
      <c r="B229" s="0" t="s">
        <v>1017</v>
      </c>
      <c r="C229" s="9" t="n">
        <f aca="false">IF((C228&lt;0),1,0)</f>
        <v>0</v>
      </c>
      <c r="D229" s="9" t="n">
        <f aca="false">IF((D228&lt;0),1,0)</f>
        <v>0</v>
      </c>
      <c r="E229" s="9" t="n">
        <f aca="false">IF((E228&lt;0),1,0)</f>
        <v>0</v>
      </c>
      <c r="F229" s="9" t="n">
        <f aca="false">IF((F228&lt;0),1,0)</f>
        <v>0</v>
      </c>
      <c r="G229" s="9" t="n">
        <f aca="false">IF((G228&lt;0),1,0)</f>
        <v>0</v>
      </c>
      <c r="H229" s="9" t="n">
        <f aca="false">IF((H228&lt;0),1,0)</f>
        <v>0</v>
      </c>
      <c r="I229" s="9" t="n">
        <f aca="false">IF((I228&lt;0),1,0)</f>
        <v>0</v>
      </c>
      <c r="J229" s="9" t="n">
        <f aca="false">IF((J228&lt;0),1,0)</f>
        <v>0</v>
      </c>
      <c r="K229" s="9" t="n">
        <f aca="false">IF((K228&lt;0),1,0)</f>
        <v>0</v>
      </c>
      <c r="L229" s="9" t="n">
        <f aca="false">IF((L228&lt;0),1,0)</f>
        <v>0</v>
      </c>
      <c r="M229" s="9" t="n">
        <f aca="false">IF((M228&lt;0),1,0)</f>
        <v>0</v>
      </c>
      <c r="N229" s="9" t="n">
        <f aca="false">IF((N228&lt;0),1,0)</f>
        <v>0</v>
      </c>
      <c r="O229" s="9" t="n">
        <f aca="false">IF((O228&lt;0),1,0)</f>
        <v>0</v>
      </c>
      <c r="P229" s="9" t="n">
        <f aca="false">IF((P228&lt;0),1,0)</f>
        <v>1</v>
      </c>
      <c r="Q229" s="9" t="n">
        <f aca="false">IF((Q228&lt;0),1,0)</f>
        <v>1</v>
      </c>
      <c r="R229" s="9" t="n">
        <f aca="false">IF((R228&lt;0),1,0)</f>
        <v>1</v>
      </c>
      <c r="S229" s="9" t="n">
        <f aca="false">IF((S228&lt;0),1,0)</f>
        <v>1</v>
      </c>
      <c r="T229" s="9" t="n">
        <f aca="false">IF((T228&lt;0),1,0)</f>
        <v>1</v>
      </c>
      <c r="U229" s="9" t="n">
        <f aca="false">IF((U228&lt;0),1,0)</f>
        <v>1</v>
      </c>
      <c r="V229" s="9" t="n">
        <f aca="false">IF((V228&lt;0),1,0)</f>
        <v>1</v>
      </c>
      <c r="W229" s="9" t="n">
        <f aca="false">IF((W228&lt;0),1,0)</f>
        <v>1</v>
      </c>
      <c r="X229" s="9" t="n">
        <f aca="false">IF((X228&lt;0),1,0)</f>
        <v>1</v>
      </c>
      <c r="Y229" s="9" t="n">
        <f aca="false">IF((Y228&lt;0),1,0)</f>
        <v>1</v>
      </c>
      <c r="Z229" s="9" t="n">
        <f aca="false">IF((Z228&lt;0),1,0)</f>
        <v>1</v>
      </c>
      <c r="AA229" s="9" t="n">
        <f aca="false">IF((AA228&lt;0),1,0)</f>
        <v>1</v>
      </c>
      <c r="AB229" s="9" t="n">
        <f aca="false">IF((AB228&lt;0),1,0)</f>
        <v>1</v>
      </c>
      <c r="AC229" s="9" t="n">
        <f aca="false">IF((AC228&lt;0),1,0)</f>
        <v>1</v>
      </c>
      <c r="AD229" s="9" t="n">
        <f aca="false">IF((AD228&lt;0),1,0)</f>
        <v>1</v>
      </c>
      <c r="AE229" s="9" t="n">
        <f aca="false">IF((AE228&lt;0),1,0)</f>
        <v>1</v>
      </c>
      <c r="AF229" s="9" t="n">
        <f aca="false">IF((AF228&lt;0),1,0)</f>
        <v>1</v>
      </c>
      <c r="AG229" s="9" t="n">
        <f aca="false">IF((AG228&lt;0),1,0)</f>
        <v>1</v>
      </c>
      <c r="AH229" s="9" t="n">
        <f aca="false">IF((AH228&lt;0),1,0)</f>
        <v>1</v>
      </c>
      <c r="AI229" s="9" t="n">
        <f aca="false">IF((AI228&lt;0),1,0)</f>
        <v>1</v>
      </c>
      <c r="AJ229" s="9" t="n">
        <f aca="false">IF((AJ228&lt;0),1,0)</f>
        <v>1</v>
      </c>
      <c r="AK229" s="9" t="n">
        <f aca="false">IF((AK228&lt;0),1,0)</f>
        <v>1</v>
      </c>
      <c r="AL229" s="9" t="n">
        <f aca="false">IF((AL228&lt;0),1,0)</f>
        <v>1</v>
      </c>
    </row>
    <row r="230" customFormat="false" ht="15" hidden="false" customHeight="false" outlineLevel="0" collapsed="false">
      <c r="A230" s="0" t="s">
        <v>1018</v>
      </c>
      <c r="B230" s="0" t="s">
        <v>230</v>
      </c>
      <c r="C230" s="9" t="n">
        <f aca="false">(C133*Assumptions!$C$37)</f>
        <v>0</v>
      </c>
      <c r="D230" s="9" t="n">
        <f aca="false">(D133*Assumptions!$C$37)</f>
        <v>0</v>
      </c>
      <c r="E230" s="9" t="n">
        <f aca="false">(E133*Assumptions!$C$37)</f>
        <v>0</v>
      </c>
      <c r="F230" s="9" t="n">
        <f aca="false">(F133*Assumptions!$C$37)</f>
        <v>0</v>
      </c>
      <c r="G230" s="9" t="n">
        <f aca="false">(G133*Assumptions!$C$37)</f>
        <v>9775</v>
      </c>
      <c r="H230" s="9" t="n">
        <f aca="false">(H133*Assumptions!$C$37)</f>
        <v>0</v>
      </c>
      <c r="I230" s="9" t="n">
        <f aca="false">(I133*Assumptions!$C$37)</f>
        <v>0</v>
      </c>
      <c r="J230" s="9" t="n">
        <f aca="false">(J133*Assumptions!$C$37)</f>
        <v>28050</v>
      </c>
      <c r="K230" s="9" t="n">
        <f aca="false">(K133*Assumptions!$C$37)</f>
        <v>0</v>
      </c>
      <c r="L230" s="9" t="n">
        <f aca="false">(L133*Assumptions!$C$37)</f>
        <v>0</v>
      </c>
      <c r="M230" s="9" t="n">
        <f aca="false">(M133*Assumptions!$C$37)</f>
        <v>0</v>
      </c>
      <c r="N230" s="9" t="n">
        <f aca="false">(N133*Assumptions!$C$37)</f>
        <v>0</v>
      </c>
      <c r="O230" s="9" t="n">
        <f aca="false">(O133*Assumptions!$C$37)</f>
        <v>13515</v>
      </c>
      <c r="P230" s="9" t="n">
        <f aca="false">(P133*Assumptions!$C$37)</f>
        <v>0</v>
      </c>
      <c r="Q230" s="9" t="n">
        <f aca="false">(Q133*Assumptions!$C$37)</f>
        <v>0</v>
      </c>
      <c r="R230" s="9" t="n">
        <f aca="false">(R133*Assumptions!$C$37)</f>
        <v>45305</v>
      </c>
      <c r="S230" s="9" t="n">
        <f aca="false">(S133*Assumptions!$C$37)</f>
        <v>0</v>
      </c>
      <c r="T230" s="9" t="n">
        <f aca="false">(T133*Assumptions!$C$37)</f>
        <v>0</v>
      </c>
      <c r="U230" s="9" t="n">
        <f aca="false">(U133*Assumptions!$C$37)</f>
        <v>58820</v>
      </c>
      <c r="V230" s="9" t="n">
        <f aca="false">(V133*Assumptions!$C$37)</f>
        <v>0</v>
      </c>
      <c r="W230" s="9" t="n">
        <f aca="false">(W133*Assumptions!$C$37)</f>
        <v>0</v>
      </c>
      <c r="X230" s="9" t="n">
        <f aca="false">(X133*Assumptions!$C$37)</f>
        <v>58820</v>
      </c>
      <c r="Y230" s="9" t="n">
        <f aca="false">(Y133*Assumptions!$C$37)</f>
        <v>13515</v>
      </c>
      <c r="Z230" s="9" t="n">
        <f aca="false">(Z133*Assumptions!$C$37)</f>
        <v>0</v>
      </c>
      <c r="AA230" s="9" t="n">
        <f aca="false">(AA133*Assumptions!$C$37)</f>
        <v>72335</v>
      </c>
      <c r="AB230" s="9" t="n">
        <f aca="false">(AB133*Assumptions!$C$37)</f>
        <v>45305</v>
      </c>
      <c r="AC230" s="9" t="n">
        <f aca="false">(AC133*Assumptions!$C$37)</f>
        <v>0</v>
      </c>
      <c r="AD230" s="9" t="n">
        <f aca="false">(AD133*Assumptions!$C$37)</f>
        <v>104125</v>
      </c>
      <c r="AE230" s="9" t="n">
        <f aca="false">(AE133*Assumptions!$C$37)</f>
        <v>58820</v>
      </c>
      <c r="AF230" s="9" t="n">
        <f aca="false">(AF133*Assumptions!$C$37)</f>
        <v>71740</v>
      </c>
      <c r="AG230" s="9" t="n">
        <f aca="false">(AG133*Assumptions!$C$37)</f>
        <v>104125</v>
      </c>
      <c r="AH230" s="9" t="n">
        <f aca="false">(AH133*Assumptions!$C$37)</f>
        <v>58820</v>
      </c>
      <c r="AI230" s="9" t="n">
        <f aca="false">(AI133*Assumptions!$C$37)</f>
        <v>0</v>
      </c>
      <c r="AJ230" s="9" t="n">
        <f aca="false">(AJ133*Assumptions!$C$37)</f>
        <v>117640</v>
      </c>
      <c r="AK230" s="9" t="n">
        <f aca="false">(AK133*Assumptions!$C$37)</f>
        <v>104125</v>
      </c>
      <c r="AL230" s="9" t="n">
        <f aca="false">(AL133*Assumptions!$C$37)</f>
        <v>143480</v>
      </c>
      <c r="AN230" s="11" t="n">
        <f aca="false">SUM(C230:N230)</f>
        <v>37825</v>
      </c>
      <c r="AO230" s="11" t="n">
        <f aca="false">SUM(O230:Z230)</f>
        <v>189975</v>
      </c>
      <c r="AP230" s="11" t="n">
        <f aca="false">SUM(AA230:AL230)</f>
        <v>880515</v>
      </c>
    </row>
    <row r="231" customFormat="false" ht="15" hidden="false" customHeight="false" outlineLevel="0" collapsed="false">
      <c r="A231" s="0" t="s">
        <v>1019</v>
      </c>
      <c r="B231" s="0" t="s">
        <v>285</v>
      </c>
      <c r="C231" s="9" t="n">
        <f aca="false">(C197*Assumptions!$C$38)</f>
        <v>0</v>
      </c>
      <c r="D231" s="9" t="n">
        <f aca="false">(D197*Assumptions!$C$38)</f>
        <v>0</v>
      </c>
      <c r="E231" s="9" t="n">
        <f aca="false">(E197*Assumptions!$C$38)</f>
        <v>0</v>
      </c>
      <c r="F231" s="9" t="n">
        <f aca="false">(F197*Assumptions!$C$38)</f>
        <v>0</v>
      </c>
      <c r="G231" s="9" t="n">
        <f aca="false">(G197*Assumptions!$C$38)</f>
        <v>110</v>
      </c>
      <c r="H231" s="9" t="n">
        <f aca="false">(H197*Assumptions!$C$38)</f>
        <v>110</v>
      </c>
      <c r="I231" s="9" t="n">
        <f aca="false">(I197*Assumptions!$C$38)</f>
        <v>110</v>
      </c>
      <c r="J231" s="9" t="n">
        <f aca="false">(J197*Assumptions!$C$38)</f>
        <v>110</v>
      </c>
      <c r="K231" s="9" t="n">
        <f aca="false">(K197*Assumptions!$C$38)</f>
        <v>110</v>
      </c>
      <c r="L231" s="9" t="n">
        <f aca="false">(L197*Assumptions!$C$38)</f>
        <v>110</v>
      </c>
      <c r="M231" s="9" t="n">
        <f aca="false">(M197*Assumptions!$C$38)</f>
        <v>220</v>
      </c>
      <c r="N231" s="9" t="n">
        <f aca="false">(N197*Assumptions!$C$38)</f>
        <v>220</v>
      </c>
      <c r="O231" s="9" t="n">
        <f aca="false">(O197*Assumptions!$C$38)</f>
        <v>220</v>
      </c>
      <c r="P231" s="9" t="n">
        <f aca="false">(P197*Assumptions!$C$38)</f>
        <v>220</v>
      </c>
      <c r="Q231" s="9" t="n">
        <f aca="false">(Q197*Assumptions!$C$38)</f>
        <v>330</v>
      </c>
      <c r="R231" s="9" t="n">
        <f aca="false">(R197*Assumptions!$C$38)</f>
        <v>330</v>
      </c>
      <c r="S231" s="9" t="n">
        <f aca="false">(S197*Assumptions!$C$38)</f>
        <v>330</v>
      </c>
      <c r="T231" s="9" t="n">
        <f aca="false">(T197*Assumptions!$C$38)</f>
        <v>330</v>
      </c>
      <c r="U231" s="9" t="n">
        <f aca="false">(U197*Assumptions!$C$38)</f>
        <v>440</v>
      </c>
      <c r="V231" s="9" t="n">
        <f aca="false">(V197*Assumptions!$C$38)</f>
        <v>440</v>
      </c>
      <c r="W231" s="9" t="n">
        <f aca="false">(W197*Assumptions!$C$38)</f>
        <v>440</v>
      </c>
      <c r="X231" s="9" t="n">
        <f aca="false">(X197*Assumptions!$C$38)</f>
        <v>550</v>
      </c>
      <c r="Y231" s="9" t="n">
        <f aca="false">(Y197*Assumptions!$C$38)</f>
        <v>550</v>
      </c>
      <c r="Z231" s="9" t="n">
        <f aca="false">(Z197*Assumptions!$C$38)</f>
        <v>550</v>
      </c>
      <c r="AA231" s="9" t="n">
        <f aca="false">(AA197*Assumptions!$C$38)</f>
        <v>660</v>
      </c>
      <c r="AB231" s="9" t="n">
        <f aca="false">(AB197*Assumptions!$C$38)</f>
        <v>660</v>
      </c>
      <c r="AC231" s="9" t="n">
        <f aca="false">(AC197*Assumptions!$C$38)</f>
        <v>660</v>
      </c>
      <c r="AD231" s="9" t="n">
        <f aca="false">(AD197*Assumptions!$C$38)</f>
        <v>770</v>
      </c>
      <c r="AE231" s="9" t="n">
        <f aca="false">(AE197*Assumptions!$C$38)</f>
        <v>770</v>
      </c>
      <c r="AF231" s="9" t="n">
        <f aca="false">(AF197*Assumptions!$C$38)</f>
        <v>770</v>
      </c>
      <c r="AG231" s="9" t="n">
        <f aca="false">(AG197*Assumptions!$C$38)</f>
        <v>880</v>
      </c>
      <c r="AH231" s="9" t="n">
        <f aca="false">(AH197*Assumptions!$C$38)</f>
        <v>880</v>
      </c>
      <c r="AI231" s="9" t="n">
        <f aca="false">(AI197*Assumptions!$C$38)</f>
        <v>880</v>
      </c>
      <c r="AJ231" s="9" t="n">
        <f aca="false">(AJ197*Assumptions!$C$38)</f>
        <v>880</v>
      </c>
      <c r="AK231" s="9" t="n">
        <f aca="false">(AK197*Assumptions!$C$38)</f>
        <v>880</v>
      </c>
      <c r="AL231" s="9" t="n">
        <f aca="false">(AL197*Assumptions!$C$38)</f>
        <v>880</v>
      </c>
      <c r="AN231" s="11" t="n">
        <f aca="false">SUM(C231:N231)</f>
        <v>1100</v>
      </c>
      <c r="AO231" s="11" t="n">
        <f aca="false">SUM(O231:Z231)</f>
        <v>4730</v>
      </c>
      <c r="AP231" s="11" t="n">
        <f aca="false">SUM(AA231:AL231)</f>
        <v>9570</v>
      </c>
    </row>
    <row r="234" customFormat="false" ht="15" hidden="false" customHeight="false" outlineLevel="0" collapsed="false">
      <c r="A234" s="21" t="s">
        <v>1020</v>
      </c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</row>
    <row r="235" customFormat="false" ht="15" hidden="false" customHeight="false" outlineLevel="0" collapsed="false">
      <c r="A235" s="0" t="s">
        <v>61</v>
      </c>
      <c r="B235" s="0" t="s">
        <v>230</v>
      </c>
      <c r="AN235" s="9" t="n">
        <f aca="false">AN146</f>
        <v>1320</v>
      </c>
      <c r="AO235" s="9" t="n">
        <f aca="false">AO146</f>
        <v>506926.158236569</v>
      </c>
      <c r="AP235" s="9" t="n">
        <f aca="false">AP146</f>
        <v>2301941.70949913</v>
      </c>
    </row>
    <row r="236" customFormat="false" ht="15" hidden="false" customHeight="false" outlineLevel="0" collapsed="false">
      <c r="A236" s="0" t="s">
        <v>62</v>
      </c>
      <c r="B236" s="0" t="s">
        <v>230</v>
      </c>
      <c r="AN236" s="9" t="n">
        <f aca="false">AN148</f>
        <v>15840</v>
      </c>
      <c r="AO236" s="9" t="n">
        <f aca="false">AO148</f>
        <v>163394.40054726</v>
      </c>
      <c r="AP236" s="9" t="n">
        <f aca="false">AP148</f>
        <v>1527680.38281984</v>
      </c>
    </row>
    <row r="237" customFormat="false" ht="15" hidden="false" customHeight="false" outlineLevel="0" collapsed="false">
      <c r="A237" s="0" t="s">
        <v>63</v>
      </c>
      <c r="B237" s="0" t="s">
        <v>193</v>
      </c>
      <c r="AN237" s="12" t="n">
        <f aca="false">IFERROR((AN223/AN146),0)</f>
        <v>-156.998768772099</v>
      </c>
      <c r="AO237" s="12" t="n">
        <f aca="false">IFERROR((AO223/AO146),0)</f>
        <v>-0.710495904055699</v>
      </c>
      <c r="AP237" s="12" t="n">
        <f aca="false">IFERROR((AP223/AP146),0)</f>
        <v>0.158696856647272</v>
      </c>
    </row>
    <row r="238" customFormat="false" ht="15" hidden="false" customHeight="false" outlineLevel="0" collapsed="false">
      <c r="A238" s="0" t="s">
        <v>64</v>
      </c>
      <c r="B238" s="0" t="s">
        <v>193</v>
      </c>
      <c r="AN238" s="12" t="n">
        <f aca="false">IFERROR((AN224/AN146),0)</f>
        <v>-157.958768772099</v>
      </c>
      <c r="AO238" s="12" t="n">
        <f aca="false">IFERROR((AO224/AO146),0)</f>
        <v>-0.875622912476788</v>
      </c>
      <c r="AP238" s="12" t="n">
        <f aca="false">IFERROR((AP224/AP146),0)</f>
        <v>0.0313226495637237</v>
      </c>
    </row>
    <row r="239" customFormat="false" ht="15" hidden="false" customHeight="false" outlineLevel="0" collapsed="false">
      <c r="A239" s="0" t="s">
        <v>65</v>
      </c>
      <c r="B239" s="0" t="s">
        <v>193</v>
      </c>
      <c r="AN239" s="12" t="n">
        <f aca="false">IFERROR(((AN42-AN179)/AN42),0)</f>
        <v>0</v>
      </c>
      <c r="AO239" s="12" t="n">
        <f aca="false">IFERROR(((AO42-AO179)/AO42),0)</f>
        <v>-4.97587657767419</v>
      </c>
      <c r="AP239" s="12" t="n">
        <f aca="false">IFERROR(((AP42-AP179)/AP42),0)</f>
        <v>-2.1546170609268</v>
      </c>
    </row>
    <row r="240" customFormat="false" ht="15" hidden="false" customHeight="false" outlineLevel="0" collapsed="false">
      <c r="A240" s="0" t="s">
        <v>66</v>
      </c>
      <c r="B240" s="0" t="s">
        <v>193</v>
      </c>
      <c r="AN240" s="12" t="n">
        <f aca="false">IFERROR(((((((AN129+AN127)+AN136)+AN137)+AN140)-AN180)/((((AN129+AN127)+AN136)+AN137)+AN140)),0)</f>
        <v>-3.25823020623205</v>
      </c>
      <c r="AO240" s="12" t="n">
        <f aca="false">IFERROR(((((((AO129+AO127)+AO136)+AO137)+AO140)-AO180)/((((AO129+AO127)+AO136)+AO137)+AO140)),0)</f>
        <v>0.521068443809077</v>
      </c>
      <c r="AP240" s="12" t="n">
        <f aca="false">IFERROR(((((((AP129+AP127)+AP136)+AP137)+AP140)-AP180)/((((AP129+AP127)+AP136)+AP137)+AP140)),0)</f>
        <v>0.664278768403001</v>
      </c>
    </row>
    <row r="241" customFormat="false" ht="15" hidden="false" customHeight="false" outlineLevel="0" collapsed="false">
      <c r="A241" s="0" t="s">
        <v>67</v>
      </c>
      <c r="B241" s="0" t="s">
        <v>193</v>
      </c>
      <c r="AN241" s="12" t="n">
        <f aca="false">IFERROR(((AN131-AN182)/AN131),0)</f>
        <v>0</v>
      </c>
      <c r="AO241" s="12" t="n">
        <f aca="false">IFERROR(((AO131-AO182)/AO131),0)</f>
        <v>-0.572541966426859</v>
      </c>
      <c r="AP241" s="12" t="n">
        <f aca="false">IFERROR(((AP131-AP182)/AP131),0)</f>
        <v>0.213777777777778</v>
      </c>
    </row>
    <row r="242" customFormat="false" ht="15" hidden="false" customHeight="false" outlineLevel="0" collapsed="false">
      <c r="A242" s="0" t="s">
        <v>68</v>
      </c>
      <c r="B242" s="0" t="s">
        <v>193</v>
      </c>
      <c r="AN242" s="12" t="n">
        <f aca="false">IFERROR(((AN131-AN230)/AN131),0)</f>
        <v>0</v>
      </c>
      <c r="AO242" s="12" t="n">
        <f aca="false">IFERROR(((AO131-AO230)/AO131),0)</f>
        <v>0.316636690647482</v>
      </c>
      <c r="AP242" s="12" t="n">
        <f aca="false">IFERROR(((AP131-AP230)/AP131),0)</f>
        <v>0.21732</v>
      </c>
    </row>
    <row r="243" customFormat="false" ht="15" hidden="false" customHeight="false" outlineLevel="0" collapsed="false">
      <c r="A243" s="0" t="s">
        <v>69</v>
      </c>
      <c r="B243" s="0" t="s">
        <v>193</v>
      </c>
      <c r="AN243" s="12" t="n">
        <f aca="false">IFERROR((AN133/AN231),0)</f>
        <v>0.404545454545455</v>
      </c>
      <c r="AO243" s="12" t="n">
        <f aca="false">IFERROR((AO133/AO231),0)</f>
        <v>0.472515856236787</v>
      </c>
      <c r="AP243" s="12" t="n">
        <f aca="false">IFERROR((AP133/AP231),0)</f>
        <v>1.08244514106583</v>
      </c>
    </row>
    <row r="244" customFormat="false" ht="15" hidden="false" customHeight="false" outlineLevel="0" collapsed="false">
      <c r="A244" s="0" t="s">
        <v>41</v>
      </c>
      <c r="B244" s="0" t="s">
        <v>230</v>
      </c>
      <c r="AN244" s="9" t="n">
        <f aca="false">AN225</f>
        <v>-2454418.97477917</v>
      </c>
      <c r="AO244" s="9" t="n">
        <f aca="false">AO225</f>
        <v>-4797597.05695244</v>
      </c>
      <c r="AP244" s="9" t="n">
        <f aca="false">AP225</f>
        <v>-5445485.38231884</v>
      </c>
    </row>
    <row r="245" customFormat="false" ht="15" hidden="false" customHeight="false" outlineLevel="0" collapsed="false">
      <c r="A245" s="0" t="s">
        <v>70</v>
      </c>
      <c r="B245" s="0" t="s">
        <v>230</v>
      </c>
      <c r="AN245" s="9" t="n">
        <f aca="false">(0-AN226)</f>
        <v>2455738.97477917</v>
      </c>
      <c r="AO245" s="9" t="n">
        <f aca="false">(0-AO226)</f>
        <v>4780289.27116522</v>
      </c>
      <c r="AP245" s="9" t="n">
        <f aca="false">(0-AP226)</f>
        <v>5491159.78888288</v>
      </c>
    </row>
    <row r="246" customFormat="false" ht="15" hidden="false" customHeight="false" outlineLevel="0" collapsed="false">
      <c r="A246" s="0" t="s">
        <v>71</v>
      </c>
      <c r="B246" s="0" t="s">
        <v>230</v>
      </c>
      <c r="AN246" s="9" t="n">
        <f aca="false">AN227</f>
        <v>-2455738.97477917</v>
      </c>
      <c r="AO246" s="9" t="n">
        <f aca="false">AO227</f>
        <v>-7236028.24594439</v>
      </c>
      <c r="AP246" s="9" t="n">
        <f aca="false">AP227</f>
        <v>-12727188.0348273</v>
      </c>
    </row>
    <row r="247" customFormat="false" ht="15" hidden="false" customHeight="false" outlineLevel="0" collapsed="false">
      <c r="A247" s="0" t="s">
        <v>72</v>
      </c>
      <c r="B247" s="0" t="s">
        <v>230</v>
      </c>
      <c r="AN247" s="9" t="n">
        <f aca="false">AN228</f>
        <v>544261.02522083</v>
      </c>
      <c r="AO247" s="9" t="n">
        <f aca="false">AO228</f>
        <v>-4236028.24594439</v>
      </c>
      <c r="AP247" s="9" t="n">
        <f aca="false">AP228</f>
        <v>-9727188.03482726</v>
      </c>
    </row>
    <row r="248" customFormat="false" ht="15" hidden="false" customHeight="false" outlineLevel="0" collapsed="false">
      <c r="A248" s="0" t="s">
        <v>73</v>
      </c>
      <c r="B248" s="0" t="s">
        <v>230</v>
      </c>
      <c r="AN248" s="9" t="n">
        <f aca="false">(AN148-0)</f>
        <v>15840</v>
      </c>
      <c r="AO248" s="9" t="n">
        <f aca="false">(AO148-AN148)</f>
        <v>147554.40054726</v>
      </c>
      <c r="AP248" s="9" t="n">
        <f aca="false">(AP148-AO148)</f>
        <v>1364285.98227258</v>
      </c>
    </row>
    <row r="249" customFormat="false" ht="15" hidden="false" customHeight="false" outlineLevel="0" collapsed="false">
      <c r="A249" s="0" t="s">
        <v>74</v>
      </c>
      <c r="B249" s="0" t="s">
        <v>160</v>
      </c>
      <c r="AN249" s="13" t="n">
        <f aca="false">IFERROR(((0-AN226)/(AN148-0)),0)</f>
        <v>155.034026185554</v>
      </c>
      <c r="AO249" s="13" t="n">
        <f aca="false">IFERROR(((0-AO226)/(AO148-AN148)),0)</f>
        <v>32.3967923249713</v>
      </c>
      <c r="AP249" s="13" t="n">
        <f aca="false">IFERROR(((0-AP226)/(AP148-AO148)),0)</f>
        <v>4.0249330860498</v>
      </c>
    </row>
    <row r="250" customFormat="false" ht="15" hidden="false" customHeight="false" outlineLevel="0" collapsed="false">
      <c r="A250" s="0" t="s">
        <v>75</v>
      </c>
      <c r="B250" s="0" t="s">
        <v>230</v>
      </c>
      <c r="AN250" s="13" t="n">
        <f aca="false">IFERROR(((AN206+(0.5*(AN194+AN207)))/AN28),0)</f>
        <v>0</v>
      </c>
      <c r="AO250" s="13" t="n">
        <f aca="false">IFERROR(((AO206+(0.5*(AO194+AO207)))/AO28),0)</f>
        <v>802.839097544607</v>
      </c>
      <c r="AP250" s="13" t="n">
        <f aca="false">IFERROR(((AP206+(0.5*(AP194+AP207)))/AP28),0)</f>
        <v>502.981242619472</v>
      </c>
    </row>
    <row r="251" customFormat="false" ht="15" hidden="false" customHeight="false" outlineLevel="0" collapsed="false">
      <c r="A251" s="0" t="s">
        <v>76</v>
      </c>
      <c r="B251" s="0" t="s">
        <v>230</v>
      </c>
      <c r="AN251" s="13" t="n">
        <f aca="false">IFERROR((((AN206+(0.5*(AN194+AN207)))+AN186)/AN28),0)</f>
        <v>0</v>
      </c>
      <c r="AO251" s="13" t="n">
        <f aca="false">IFERROR((((AO206+(0.5*(AO194+AO207)))+AO186)/AO28),0)</f>
        <v>932.4116298671</v>
      </c>
      <c r="AP251" s="13" t="n">
        <f aca="false">IFERROR((((AP206+(0.5*(AP194+AP207)))+AP186)/AP28),0)</f>
        <v>622.401245684949</v>
      </c>
    </row>
    <row r="252" customFormat="false" ht="15" hidden="false" customHeight="false" outlineLevel="0" collapsed="false">
      <c r="A252" s="0" t="s">
        <v>77</v>
      </c>
      <c r="B252" s="0" t="s">
        <v>230</v>
      </c>
      <c r="AN252" s="14" t="n">
        <f aca="false">IFERROR(((AN42/12)/((AN39*0.5)+(0*0.5))),0)</f>
        <v>0</v>
      </c>
      <c r="AO252" s="14" t="n">
        <f aca="false">IFERROR(((AO42/12)/((AO39*0.5)+(AN39*0.5))),0)</f>
        <v>4.73816699513621</v>
      </c>
      <c r="AP252" s="14" t="n">
        <f aca="false">IFERROR(((AP42/12)/((AP39*0.5)+(AO39*0.5))),0)</f>
        <v>5.71702778571874</v>
      </c>
    </row>
    <row r="253" customFormat="false" ht="15" hidden="false" customHeight="false" outlineLevel="0" collapsed="false">
      <c r="A253" s="0" t="s">
        <v>78</v>
      </c>
      <c r="B253" s="0" t="s">
        <v>193</v>
      </c>
      <c r="AN253" s="12" t="n">
        <f aca="false">IFERROR(((AN42-AN187)/AN42),0)</f>
        <v>0</v>
      </c>
      <c r="AO253" s="12" t="n">
        <f aca="false">IFERROR(((AO42-AO187)/AO42),0)</f>
        <v>0.744948314218905</v>
      </c>
      <c r="AP253" s="12" t="n">
        <f aca="false">IFERROR(((AP42-AP187)/AP42),0)</f>
        <v>0.766761624389786</v>
      </c>
    </row>
    <row r="254" customFormat="false" ht="15" hidden="false" customHeight="false" outlineLevel="0" collapsed="false">
      <c r="A254" s="0" t="s">
        <v>79</v>
      </c>
      <c r="B254" s="0" t="s">
        <v>166</v>
      </c>
      <c r="AN254" s="13" t="n">
        <f aca="false">IFERROR(((((AN206+(0.5*(AN194+AN207)))+AN186)/AN28)/(((AN42/12)/((AN39*0.5)+(0*0.5)))*((AN42-AN187)/AN42))),0)</f>
        <v>0</v>
      </c>
      <c r="AO254" s="13" t="n">
        <f aca="false">IFERROR(((((AO206+(0.5*(AO194+AO207)))+AO186)/AO28)/(((AO42/12)/((AO39*0.5)+(AN39*0.5)))*((AO42-AO187)/AO42))),0)</f>
        <v>264.162506579909</v>
      </c>
      <c r="AP254" s="13" t="n">
        <f aca="false">IFERROR(((((AP206+(0.5*(AP194+AP207)))+AP186)/AP28)/(((AP42/12)/((AP39*0.5)+(AO39*0.5)))*((AP42-AP187)/AP42))),0)</f>
        <v>141.984122408483</v>
      </c>
    </row>
    <row r="255" customFormat="false" ht="15" hidden="false" customHeight="false" outlineLevel="0" collapsed="false">
      <c r="A255" s="0" t="s">
        <v>80</v>
      </c>
      <c r="B255" s="0" t="s">
        <v>230</v>
      </c>
      <c r="AN255" s="9" t="n">
        <f aca="false">IFERROR(((AN215+(0.5*(AN194+AN207)))/AN121),0)</f>
        <v>255500.888888889</v>
      </c>
      <c r="AO255" s="9" t="n">
        <f aca="false">IFERROR(((AO215+(0.5*(AO194+AO207)))/AO121),0)</f>
        <v>228151.267759563</v>
      </c>
      <c r="AP255" s="9" t="n">
        <f aca="false">IFERROR(((AP215+(0.5*(AP194+AP207)))/AP121),0)</f>
        <v>58889.7882352941</v>
      </c>
    </row>
    <row r="256" customFormat="false" ht="15" hidden="false" customHeight="false" outlineLevel="0" collapsed="false">
      <c r="A256" s="0" t="s">
        <v>81</v>
      </c>
      <c r="B256" s="0" t="s">
        <v>230</v>
      </c>
      <c r="AN256" s="9" t="n">
        <f aca="false">IFERROR(((AN215+(0.5*(AN194+AN207)))/AN120),0)</f>
        <v>0</v>
      </c>
      <c r="AO256" s="9" t="n">
        <f aca="false">IFERROR(((AO215+(0.5*(AO194+AO207)))/AO120),0)</f>
        <v>69586.1366666667</v>
      </c>
      <c r="AP256" s="9" t="n">
        <f aca="false">IFERROR(((AP215+(0.5*(AP194+AP207)))/AP120),0)</f>
        <v>34761.3333333333</v>
      </c>
    </row>
    <row r="257" customFormat="false" ht="15" hidden="false" customHeight="false" outlineLevel="0" collapsed="false">
      <c r="A257" s="0" t="s">
        <v>82</v>
      </c>
      <c r="B257" s="0" t="s">
        <v>193</v>
      </c>
      <c r="AN257" s="12" t="n">
        <f aca="false">((1-((1-Assumptions!$C$30)*$C$6))*(1+Assumptions!$C$31))</f>
        <v>0.968</v>
      </c>
      <c r="AO257" s="12" t="n">
        <f aca="false">((1-((1-Assumptions!$C$30)*$C$6))*(1+Assumptions!$C$31))</f>
        <v>0.968</v>
      </c>
      <c r="AP257" s="12" t="n">
        <f aca="false">((1-((1-Assumptions!$C$30)*$C$6))*(1+Assumptions!$C$31))</f>
        <v>0.968</v>
      </c>
    </row>
    <row r="258" customFormat="false" ht="15" hidden="false" customHeight="false" outlineLevel="0" collapsed="false">
      <c r="A258" s="0" t="s">
        <v>83</v>
      </c>
      <c r="B258" s="0" t="s">
        <v>193</v>
      </c>
      <c r="AN258" s="12" t="n">
        <f aca="false">(1-((1-Assumptions!$C$30)*$C$6))</f>
        <v>0.88</v>
      </c>
      <c r="AO258" s="12" t="n">
        <f aca="false">(1-((1-Assumptions!$C$30)*$C$6))</f>
        <v>0.88</v>
      </c>
      <c r="AP258" s="12" t="n">
        <f aca="false">(1-((1-Assumptions!$C$30)*$C$6))</f>
        <v>0.88</v>
      </c>
    </row>
    <row r="259" customFormat="false" ht="15" hidden="false" customHeight="false" outlineLevel="0" collapsed="false">
      <c r="A259" s="0" t="s">
        <v>84</v>
      </c>
      <c r="B259" s="0" t="s">
        <v>852</v>
      </c>
      <c r="AN259" s="13" t="n">
        <f aca="false">AN122</f>
        <v>0.6</v>
      </c>
      <c r="AO259" s="13" t="n">
        <f aca="false">AO122</f>
        <v>3.578</v>
      </c>
      <c r="AP259" s="13" t="n">
        <f aca="false">AP122</f>
        <v>24.39864</v>
      </c>
    </row>
    <row r="260" customFormat="false" ht="15" hidden="false" customHeight="false" outlineLevel="0" collapsed="false">
      <c r="A260" s="0" t="s">
        <v>85</v>
      </c>
      <c r="B260" s="0" t="s">
        <v>500</v>
      </c>
      <c r="AN260" s="9" t="n">
        <f aca="false">AN39</f>
        <v>0</v>
      </c>
      <c r="AO260" s="9" t="n">
        <f aca="false">AO39</f>
        <v>256.966398049017</v>
      </c>
      <c r="AP260" s="9" t="n">
        <f aca="false">AP39</f>
        <v>719.967198361525</v>
      </c>
    </row>
    <row r="261" customFormat="false" ht="15" hidden="false" customHeight="false" outlineLevel="0" collapsed="false">
      <c r="A261" s="0" t="s">
        <v>86</v>
      </c>
      <c r="B261" s="0" t="s">
        <v>500</v>
      </c>
      <c r="AN261" s="9" t="n">
        <f aca="false">AN157</f>
        <v>3041.21574138794</v>
      </c>
      <c r="AO261" s="9" t="n">
        <f aca="false">AO157</f>
        <v>23495.0146141107</v>
      </c>
      <c r="AP261" s="9" t="n">
        <f aca="false">AP157</f>
        <v>74697.5499028581</v>
      </c>
    </row>
    <row r="262" customFormat="false" ht="15" hidden="false" customHeight="false" outlineLevel="0" collapsed="false">
      <c r="A262" s="0" t="s">
        <v>87</v>
      </c>
      <c r="B262" s="0" t="s">
        <v>230</v>
      </c>
      <c r="AN262" s="14" t="n">
        <f aca="false">IFERROR(((AN167/12)/((AN157*0.5)+(0*0.5))),0)</f>
        <v>1.50599710904444</v>
      </c>
      <c r="AO262" s="14" t="n">
        <f aca="false">IFERROR(((AO167/12)/((AO157*0.5)+(AN157*0.5))),0)</f>
        <v>0.429271467504525</v>
      </c>
      <c r="AP262" s="14" t="n">
        <f aca="false">IFERROR(((AP167/12)/((AP157*0.5)+(AO157*0.5))),0)</f>
        <v>0.308850915452562</v>
      </c>
    </row>
    <row r="263" customFormat="false" ht="15" hidden="false" customHeight="false" outlineLevel="0" collapsed="false">
      <c r="A263" s="0" t="s">
        <v>88</v>
      </c>
      <c r="B263" s="0" t="s">
        <v>193</v>
      </c>
      <c r="AN263" s="12" t="n">
        <f aca="false">IFERROR((AN167/AN146),0)</f>
        <v>20.8184641568667</v>
      </c>
      <c r="AO263" s="12" t="n">
        <f aca="false">IFERROR((AO167/AO146),0)</f>
        <v>0.134827288294249</v>
      </c>
      <c r="AP263" s="12" t="n">
        <f aca="false">IFERROR((AP167/AP146),0)</f>
        <v>0.0790468237746106</v>
      </c>
    </row>
    <row r="264" customFormat="false" ht="15" hidden="false" customHeight="false" outlineLevel="0" collapsed="false">
      <c r="A264" s="0" t="s">
        <v>89</v>
      </c>
      <c r="B264" s="0" t="s">
        <v>618</v>
      </c>
      <c r="AN264" s="13" t="n">
        <f aca="false">AN196</f>
        <v>18.4</v>
      </c>
      <c r="AO264" s="13" t="n">
        <f aca="false">AO196</f>
        <v>31.4</v>
      </c>
      <c r="AP264" s="13" t="n">
        <f aca="false">AP196</f>
        <v>40.4</v>
      </c>
    </row>
    <row r="265" customFormat="false" ht="15" hidden="false" customHeight="false" outlineLevel="0" collapsed="false">
      <c r="A265" s="0" t="s">
        <v>90</v>
      </c>
      <c r="B265" s="0" t="s">
        <v>230</v>
      </c>
      <c r="AN265" s="9" t="n">
        <f aca="false">IFERROR((AN148/AN196),0)</f>
        <v>860.869565217391</v>
      </c>
      <c r="AO265" s="9" t="n">
        <f aca="false">IFERROR((AO148/AO196),0)</f>
        <v>5203.64332953058</v>
      </c>
      <c r="AP265" s="9" t="n">
        <f aca="false">IFERROR((AP148/AP196),0)</f>
        <v>37813.8708618773</v>
      </c>
    </row>
    <row r="266" customFormat="false" ht="15" hidden="false" customHeight="false" outlineLevel="0" collapsed="false">
      <c r="A266" s="0" t="s">
        <v>91</v>
      </c>
      <c r="B266" s="0" t="s">
        <v>193</v>
      </c>
      <c r="AN266" s="12" t="n">
        <f aca="false">IFERROR((AN40/AN188),0)</f>
        <v>0</v>
      </c>
      <c r="AO266" s="12" t="n">
        <f aca="false">IFERROR((AO40/AO188),0)</f>
        <v>0.0258846896897066</v>
      </c>
      <c r="AP266" s="12" t="n">
        <f aca="false">IFERROR((AP40/AP188),0)</f>
        <v>0.0351852873588045</v>
      </c>
    </row>
    <row r="267" customFormat="false" ht="15" hidden="false" customHeight="false" outlineLevel="0" collapsed="false">
      <c r="A267" s="0" t="s">
        <v>92</v>
      </c>
      <c r="B267" s="0" t="s">
        <v>230</v>
      </c>
      <c r="AN267" s="13" t="n">
        <f aca="false">IFERROR(((((AN42/12)/((AN39*0.5)+(0*0.5)))*((AN42-AN187)/AN42))/(AN40/AN188)),0)</f>
        <v>0</v>
      </c>
      <c r="AO267" s="13" t="n">
        <f aca="false">IFERROR(((((AO42/12)/((AO39*0.5)+(AN39*0.5)))*((AO42-AO187)/AO42))/(AO40/AO188)),0)</f>
        <v>136.362056405799</v>
      </c>
      <c r="AP267" s="13" t="n">
        <f aca="false">IFERROR(((((AP42/12)/((AP39*0.5)+(AO39*0.5)))*((AP42-AP187)/AP42))/(AP40/AP188)),0)</f>
        <v>124.586093811234</v>
      </c>
    </row>
    <row r="268" customFormat="false" ht="15" hidden="false" customHeight="false" outlineLevel="0" collapsed="false">
      <c r="A268" s="0" t="s">
        <v>93</v>
      </c>
      <c r="B268" s="0" t="s">
        <v>160</v>
      </c>
      <c r="AN268" s="14" t="n">
        <f aca="false">IFERROR((((((AN42/12)/((AN39*0.5)+(0*0.5)))*((AN42-AN187)/AN42))/(AN40/AN188))/(((AN206+(0.5*(AN194+AN207)))+AN186)/AN28)),0)</f>
        <v>0</v>
      </c>
      <c r="AO268" s="14" t="n">
        <f aca="false">IFERROR((((((AO42/12)/((AO39*0.5)+(AN39*0.5)))*((AO42-AO187)/AO42))/(AO40/AO188))/(((AO206+(0.5*(AO194+AO207)))+AO186)/AO28)),0)</f>
        <v>0.146246627602913</v>
      </c>
      <c r="AP268" s="14" t="n">
        <f aca="false">IFERROR((((((AP42/12)/((AP39*0.5)+(AO39*0.5)))*((AP42-AP187)/AP42))/(AP40/AP188))/(((AP206+(0.5*(AP194+AP207)))+AP186)/AP28)),0)</f>
        <v>0.200170058583555</v>
      </c>
    </row>
    <row r="269" customFormat="false" ht="15" hidden="false" customHeight="false" outlineLevel="0" collapsed="false">
      <c r="A269" s="0" t="s">
        <v>94</v>
      </c>
      <c r="B269" s="0" t="s">
        <v>230</v>
      </c>
      <c r="AN269" s="9" t="n">
        <f aca="false">AN186</f>
        <v>3481.4412051703</v>
      </c>
      <c r="AO269" s="9" t="n">
        <f aca="false">AO186</f>
        <v>36765.9756966124</v>
      </c>
      <c r="AP269" s="9" t="n">
        <f aca="false">AP186</f>
        <v>78480.6244616909</v>
      </c>
    </row>
    <row r="270" customFormat="false" ht="15" hidden="false" customHeight="false" outlineLevel="0" collapsed="false">
      <c r="A270" s="0" t="s">
        <v>95</v>
      </c>
      <c r="B270" s="0" t="s">
        <v>193</v>
      </c>
      <c r="AN270" s="12" t="n">
        <f aca="false">IFERROR((AN186/AN42),0)</f>
        <v>0</v>
      </c>
      <c r="AO270" s="12" t="n">
        <f aca="false">IFERROR((AO186/AO42),0)</f>
        <v>5.03278230484376</v>
      </c>
      <c r="AP270" s="12" t="n">
        <f aca="false">IFERROR((AP186/AP42),0)</f>
        <v>2.34194047036863</v>
      </c>
    </row>
    <row r="271" customFormat="false" ht="15" hidden="false" customHeight="false" outlineLevel="0" collapsed="false">
      <c r="A271" s="0" t="s">
        <v>96</v>
      </c>
      <c r="B271" s="0" t="s">
        <v>193</v>
      </c>
      <c r="AN271" s="12" t="n">
        <f aca="false">IFERROR((AN39/(AN39+AN29)),0)</f>
        <v>0</v>
      </c>
      <c r="AO271" s="12" t="n">
        <f aca="false">IFERROR((AO39/(AO39+AO29)),0)</f>
        <v>0.0153291838089761</v>
      </c>
      <c r="AP271" s="12" t="n">
        <f aca="false">IFERROR((AP39/(AP39+AP29)),0)</f>
        <v>0.0257059845779436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3" topLeftCell="C24" activePane="bottomRight" state="frozen"/>
      <selection pane="topLeft" activeCell="A1" activeCellId="0" sqref="A1"/>
      <selection pane="topRight" activeCell="C1" activeCellId="0" sqref="C1"/>
      <selection pane="bottomLeft" activeCell="A24" activeCellId="0" sqref="A2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9"/>
    <col collapsed="false" customWidth="true" hidden="false" outlineLevel="0" max="38" min="3" style="0" width="11"/>
    <col collapsed="false" customWidth="true" hidden="false" outlineLevel="0" max="39" min="39" style="0" width="3"/>
    <col collapsed="false" customWidth="true" hidden="false" outlineLevel="0" max="42" min="40" style="0" width="14"/>
  </cols>
  <sheetData>
    <row r="1" customFormat="false" ht="16.15" hidden="false" customHeight="false" outlineLevel="0" collapsed="false">
      <c r="A1" s="18" t="s">
        <v>1022</v>
      </c>
    </row>
    <row r="2" customFormat="false" ht="15" hidden="false" customHeight="false" outlineLevel="0" collapsed="false">
      <c r="A2" s="0" t="s">
        <v>781</v>
      </c>
    </row>
    <row r="3" customFormat="false" ht="15" hidden="false" customHeight="false" outlineLevel="0" collapsed="false">
      <c r="A3" s="15" t="s">
        <v>782</v>
      </c>
    </row>
    <row r="4" customFormat="false" ht="15" hidden="false" customHeight="false" outlineLevel="0" collapsed="false">
      <c r="A4" s="0" t="s">
        <v>159</v>
      </c>
      <c r="B4" s="0" t="s">
        <v>160</v>
      </c>
      <c r="C4" s="0" t="n">
        <f aca="false">Scenarios!E4</f>
        <v>1.5</v>
      </c>
    </row>
    <row r="5" customFormat="false" ht="15" hidden="false" customHeight="false" outlineLevel="0" collapsed="false">
      <c r="A5" s="0" t="s">
        <v>161</v>
      </c>
      <c r="B5" s="0" t="s">
        <v>160</v>
      </c>
      <c r="C5" s="0" t="n">
        <f aca="false">Scenarios!E5</f>
        <v>1.2</v>
      </c>
    </row>
    <row r="6" customFormat="false" ht="15" hidden="false" customHeight="false" outlineLevel="0" collapsed="false">
      <c r="A6" s="0" t="s">
        <v>162</v>
      </c>
      <c r="B6" s="0" t="s">
        <v>160</v>
      </c>
      <c r="C6" s="0" t="n">
        <f aca="false">Scenarios!E6</f>
        <v>0.85</v>
      </c>
    </row>
    <row r="7" customFormat="false" ht="15" hidden="false" customHeight="false" outlineLevel="0" collapsed="false">
      <c r="A7" s="0" t="s">
        <v>163</v>
      </c>
      <c r="B7" s="0" t="s">
        <v>160</v>
      </c>
      <c r="C7" s="0" t="n">
        <f aca="false">Scenarios!E7</f>
        <v>1.4</v>
      </c>
    </row>
    <row r="8" customFormat="false" ht="15" hidden="false" customHeight="false" outlineLevel="0" collapsed="false">
      <c r="A8" s="0" t="s">
        <v>164</v>
      </c>
      <c r="B8" s="0" t="s">
        <v>160</v>
      </c>
      <c r="C8" s="0" t="n">
        <f aca="false">Scenarios!E8</f>
        <v>1.1</v>
      </c>
    </row>
    <row r="9" customFormat="false" ht="15" hidden="false" customHeight="false" outlineLevel="0" collapsed="false">
      <c r="A9" s="0" t="s">
        <v>165</v>
      </c>
      <c r="B9" s="0" t="s">
        <v>166</v>
      </c>
      <c r="C9" s="0" t="n">
        <f aca="false">Scenarios!E9</f>
        <v>-2</v>
      </c>
    </row>
    <row r="10" customFormat="false" ht="15" hidden="false" customHeight="false" outlineLevel="0" collapsed="false">
      <c r="A10" s="0" t="s">
        <v>168</v>
      </c>
      <c r="B10" s="0" t="s">
        <v>160</v>
      </c>
      <c r="C10" s="0" t="n">
        <f aca="false">Scenarios!E10</f>
        <v>1</v>
      </c>
    </row>
    <row r="11" customFormat="false" ht="15" hidden="false" customHeight="false" outlineLevel="0" collapsed="false">
      <c r="A11" s="0" t="s">
        <v>169</v>
      </c>
      <c r="B11" s="0" t="s">
        <v>160</v>
      </c>
      <c r="C11" s="0" t="n">
        <f aca="false">Scenarios!E11</f>
        <v>0.85</v>
      </c>
    </row>
    <row r="12" customFormat="false" ht="15" hidden="false" customHeight="false" outlineLevel="0" collapsed="false">
      <c r="A12" s="0" t="s">
        <v>170</v>
      </c>
      <c r="B12" s="0" t="s">
        <v>160</v>
      </c>
      <c r="C12" s="0" t="n">
        <f aca="false">Scenarios!E12</f>
        <v>1</v>
      </c>
    </row>
    <row r="13" customFormat="false" ht="15" hidden="false" customHeight="false" outlineLevel="0" collapsed="false">
      <c r="A13" s="0" t="s">
        <v>171</v>
      </c>
      <c r="B13" s="0" t="s">
        <v>160</v>
      </c>
      <c r="C13" s="0" t="n">
        <f aca="false">Scenarios!E13</f>
        <v>1</v>
      </c>
    </row>
    <row r="14" customFormat="false" ht="15" hidden="false" customHeight="false" outlineLevel="0" collapsed="false">
      <c r="A14" s="0" t="s">
        <v>172</v>
      </c>
      <c r="B14" s="0" t="s">
        <v>173</v>
      </c>
      <c r="C14" s="0" t="n">
        <f aca="false">Scenarios!E14</f>
        <v>0</v>
      </c>
    </row>
    <row r="15" customFormat="false" ht="15" hidden="false" customHeight="false" outlineLevel="0" collapsed="false">
      <c r="A15" s="0" t="s">
        <v>174</v>
      </c>
      <c r="B15" s="0" t="s">
        <v>166</v>
      </c>
      <c r="C15" s="0" t="n">
        <f aca="false">Scenarios!E15</f>
        <v>0</v>
      </c>
    </row>
    <row r="16" customFormat="false" ht="15" hidden="false" customHeight="false" outlineLevel="0" collapsed="false">
      <c r="A16" s="0" t="s">
        <v>176</v>
      </c>
      <c r="B16" s="0" t="s">
        <v>173</v>
      </c>
      <c r="C16" s="0" t="n">
        <f aca="false">Scenarios!E16</f>
        <v>0</v>
      </c>
    </row>
    <row r="18" customFormat="false" ht="15" hidden="false" customHeight="false" outlineLevel="0" collapsed="false">
      <c r="A18" s="8" t="s">
        <v>98</v>
      </c>
      <c r="B18" s="8"/>
      <c r="C18" s="8" t="n">
        <v>1</v>
      </c>
      <c r="D18" s="8" t="n">
        <v>2</v>
      </c>
      <c r="E18" s="8" t="n">
        <v>3</v>
      </c>
      <c r="F18" s="8" t="n">
        <v>4</v>
      </c>
      <c r="G18" s="8" t="n">
        <v>5</v>
      </c>
      <c r="H18" s="8" t="n">
        <v>6</v>
      </c>
      <c r="I18" s="8" t="n">
        <v>7</v>
      </c>
      <c r="J18" s="8" t="n">
        <v>8</v>
      </c>
      <c r="K18" s="8" t="n">
        <v>9</v>
      </c>
      <c r="L18" s="8" t="n">
        <v>10</v>
      </c>
      <c r="M18" s="8" t="n">
        <v>11</v>
      </c>
      <c r="N18" s="8" t="n">
        <v>12</v>
      </c>
      <c r="O18" s="8" t="n">
        <v>13</v>
      </c>
      <c r="P18" s="8" t="n">
        <v>14</v>
      </c>
      <c r="Q18" s="8" t="n">
        <v>15</v>
      </c>
      <c r="R18" s="8" t="n">
        <v>16</v>
      </c>
      <c r="S18" s="8" t="n">
        <v>17</v>
      </c>
      <c r="T18" s="8" t="n">
        <v>18</v>
      </c>
      <c r="U18" s="8" t="n">
        <v>19</v>
      </c>
      <c r="V18" s="8" t="n">
        <v>20</v>
      </c>
      <c r="W18" s="8" t="n">
        <v>21</v>
      </c>
      <c r="X18" s="8" t="n">
        <v>22</v>
      </c>
      <c r="Y18" s="8" t="n">
        <v>23</v>
      </c>
      <c r="Z18" s="8" t="n">
        <v>24</v>
      </c>
      <c r="AA18" s="8" t="n">
        <v>25</v>
      </c>
      <c r="AB18" s="8" t="n">
        <v>26</v>
      </c>
      <c r="AC18" s="8" t="n">
        <v>27</v>
      </c>
      <c r="AD18" s="8" t="n">
        <v>28</v>
      </c>
      <c r="AE18" s="8" t="n">
        <v>29</v>
      </c>
      <c r="AF18" s="8" t="n">
        <v>30</v>
      </c>
      <c r="AG18" s="8" t="n">
        <v>31</v>
      </c>
      <c r="AH18" s="8" t="n">
        <v>32</v>
      </c>
      <c r="AI18" s="8" t="n">
        <v>33</v>
      </c>
      <c r="AJ18" s="8" t="n">
        <v>34</v>
      </c>
      <c r="AK18" s="8" t="n">
        <v>35</v>
      </c>
      <c r="AL18" s="8" t="n">
        <v>36</v>
      </c>
      <c r="AM18" s="8"/>
      <c r="AN18" s="8" t="s">
        <v>783</v>
      </c>
      <c r="AO18" s="8" t="s">
        <v>784</v>
      </c>
      <c r="AP18" s="8" t="s">
        <v>785</v>
      </c>
    </row>
    <row r="19" customFormat="false" ht="15" hidden="false" customHeight="false" outlineLevel="0" collapsed="false">
      <c r="A19" s="0" t="s">
        <v>786</v>
      </c>
      <c r="C19" s="0" t="s">
        <v>787</v>
      </c>
      <c r="D19" s="0" t="s">
        <v>788</v>
      </c>
      <c r="E19" s="0" t="s">
        <v>789</v>
      </c>
      <c r="F19" s="0" t="s">
        <v>790</v>
      </c>
      <c r="G19" s="0" t="s">
        <v>791</v>
      </c>
      <c r="H19" s="0" t="s">
        <v>792</v>
      </c>
      <c r="I19" s="0" t="s">
        <v>793</v>
      </c>
      <c r="J19" s="0" t="s">
        <v>794</v>
      </c>
      <c r="K19" s="0" t="s">
        <v>795</v>
      </c>
      <c r="L19" s="0" t="s">
        <v>796</v>
      </c>
      <c r="M19" s="0" t="s">
        <v>797</v>
      </c>
      <c r="N19" s="0" t="s">
        <v>798</v>
      </c>
      <c r="O19" s="0" t="s">
        <v>799</v>
      </c>
      <c r="P19" s="0" t="s">
        <v>800</v>
      </c>
      <c r="Q19" s="0" t="s">
        <v>801</v>
      </c>
      <c r="R19" s="0" t="s">
        <v>802</v>
      </c>
      <c r="S19" s="0" t="s">
        <v>803</v>
      </c>
      <c r="T19" s="0" t="s">
        <v>804</v>
      </c>
      <c r="U19" s="0" t="s">
        <v>805</v>
      </c>
      <c r="V19" s="0" t="s">
        <v>806</v>
      </c>
      <c r="W19" s="0" t="s">
        <v>807</v>
      </c>
      <c r="X19" s="0" t="s">
        <v>808</v>
      </c>
      <c r="Y19" s="0" t="s">
        <v>809</v>
      </c>
      <c r="Z19" s="0" t="s">
        <v>810</v>
      </c>
      <c r="AA19" s="0" t="s">
        <v>811</v>
      </c>
      <c r="AB19" s="0" t="s">
        <v>812</v>
      </c>
      <c r="AC19" s="0" t="s">
        <v>813</v>
      </c>
      <c r="AD19" s="0" t="s">
        <v>814</v>
      </c>
      <c r="AE19" s="0" t="s">
        <v>815</v>
      </c>
      <c r="AF19" s="0" t="s">
        <v>816</v>
      </c>
      <c r="AG19" s="0" t="s">
        <v>817</v>
      </c>
      <c r="AH19" s="0" t="s">
        <v>818</v>
      </c>
      <c r="AI19" s="0" t="s">
        <v>819</v>
      </c>
      <c r="AJ19" s="0" t="s">
        <v>820</v>
      </c>
      <c r="AK19" s="0" t="s">
        <v>821</v>
      </c>
      <c r="AL19" s="0" t="s">
        <v>822</v>
      </c>
      <c r="AN19" s="0" t="s">
        <v>823</v>
      </c>
      <c r="AO19" s="0" t="s">
        <v>824</v>
      </c>
      <c r="AP19" s="0" t="s">
        <v>825</v>
      </c>
    </row>
    <row r="20" customFormat="false" ht="15" hidden="false" customHeight="false" outlineLevel="0" collapsed="false">
      <c r="A20" s="0" t="s">
        <v>826</v>
      </c>
      <c r="C20" s="0" t="n">
        <f aca="false">INT((C18-1)/12)+1</f>
        <v>1</v>
      </c>
      <c r="D20" s="0" t="n">
        <f aca="false">INT((D18-1)/12)+1</f>
        <v>1</v>
      </c>
      <c r="E20" s="0" t="n">
        <f aca="false">INT((E18-1)/12)+1</f>
        <v>1</v>
      </c>
      <c r="F20" s="0" t="n">
        <f aca="false">INT((F18-1)/12)+1</f>
        <v>1</v>
      </c>
      <c r="G20" s="0" t="n">
        <f aca="false">INT((G18-1)/12)+1</f>
        <v>1</v>
      </c>
      <c r="H20" s="0" t="n">
        <f aca="false">INT((H18-1)/12)+1</f>
        <v>1</v>
      </c>
      <c r="I20" s="0" t="n">
        <f aca="false">INT((I18-1)/12)+1</f>
        <v>1</v>
      </c>
      <c r="J20" s="0" t="n">
        <f aca="false">INT((J18-1)/12)+1</f>
        <v>1</v>
      </c>
      <c r="K20" s="0" t="n">
        <f aca="false">INT((K18-1)/12)+1</f>
        <v>1</v>
      </c>
      <c r="L20" s="0" t="n">
        <f aca="false">INT((L18-1)/12)+1</f>
        <v>1</v>
      </c>
      <c r="M20" s="0" t="n">
        <f aca="false">INT((M18-1)/12)+1</f>
        <v>1</v>
      </c>
      <c r="N20" s="0" t="n">
        <f aca="false">INT((N18-1)/12)+1</f>
        <v>1</v>
      </c>
      <c r="O20" s="0" t="n">
        <f aca="false">INT((O18-1)/12)+1</f>
        <v>2</v>
      </c>
      <c r="P20" s="0" t="n">
        <f aca="false">INT((P18-1)/12)+1</f>
        <v>2</v>
      </c>
      <c r="Q20" s="0" t="n">
        <f aca="false">INT((Q18-1)/12)+1</f>
        <v>2</v>
      </c>
      <c r="R20" s="0" t="n">
        <f aca="false">INT((R18-1)/12)+1</f>
        <v>2</v>
      </c>
      <c r="S20" s="0" t="n">
        <f aca="false">INT((S18-1)/12)+1</f>
        <v>2</v>
      </c>
      <c r="T20" s="0" t="n">
        <f aca="false">INT((T18-1)/12)+1</f>
        <v>2</v>
      </c>
      <c r="U20" s="0" t="n">
        <f aca="false">INT((U18-1)/12)+1</f>
        <v>2</v>
      </c>
      <c r="V20" s="0" t="n">
        <f aca="false">INT((V18-1)/12)+1</f>
        <v>2</v>
      </c>
      <c r="W20" s="0" t="n">
        <f aca="false">INT((W18-1)/12)+1</f>
        <v>2</v>
      </c>
      <c r="X20" s="0" t="n">
        <f aca="false">INT((X18-1)/12)+1</f>
        <v>2</v>
      </c>
      <c r="Y20" s="0" t="n">
        <f aca="false">INT((Y18-1)/12)+1</f>
        <v>2</v>
      </c>
      <c r="Z20" s="0" t="n">
        <f aca="false">INT((Z18-1)/12)+1</f>
        <v>2</v>
      </c>
      <c r="AA20" s="0" t="n">
        <f aca="false">INT((AA18-1)/12)+1</f>
        <v>3</v>
      </c>
      <c r="AB20" s="0" t="n">
        <f aca="false">INT((AB18-1)/12)+1</f>
        <v>3</v>
      </c>
      <c r="AC20" s="0" t="n">
        <f aca="false">INT((AC18-1)/12)+1</f>
        <v>3</v>
      </c>
      <c r="AD20" s="0" t="n">
        <f aca="false">INT((AD18-1)/12)+1</f>
        <v>3</v>
      </c>
      <c r="AE20" s="0" t="n">
        <f aca="false">INT((AE18-1)/12)+1</f>
        <v>3</v>
      </c>
      <c r="AF20" s="0" t="n">
        <f aca="false">INT((AF18-1)/12)+1</f>
        <v>3</v>
      </c>
      <c r="AG20" s="0" t="n">
        <f aca="false">INT((AG18-1)/12)+1</f>
        <v>3</v>
      </c>
      <c r="AH20" s="0" t="n">
        <f aca="false">INT((AH18-1)/12)+1</f>
        <v>3</v>
      </c>
      <c r="AI20" s="0" t="n">
        <f aca="false">INT((AI18-1)/12)+1</f>
        <v>3</v>
      </c>
      <c r="AJ20" s="0" t="n">
        <f aca="false">INT((AJ18-1)/12)+1</f>
        <v>3</v>
      </c>
      <c r="AK20" s="0" t="n">
        <f aca="false">INT((AK18-1)/12)+1</f>
        <v>3</v>
      </c>
      <c r="AL20" s="0" t="n">
        <f aca="false">INT((AL18-1)/12)+1</f>
        <v>3</v>
      </c>
    </row>
    <row r="21" customFormat="false" ht="15" hidden="false" customHeight="false" outlineLevel="0" collapsed="false">
      <c r="A21" s="0" t="s">
        <v>827</v>
      </c>
      <c r="C21" s="0" t="n">
        <f aca="false">MOD(C18-1,12)+1</f>
        <v>1</v>
      </c>
      <c r="D21" s="0" t="n">
        <f aca="false">MOD(D18-1,12)+1</f>
        <v>2</v>
      </c>
      <c r="E21" s="0" t="n">
        <f aca="false">MOD(E18-1,12)+1</f>
        <v>3</v>
      </c>
      <c r="F21" s="0" t="n">
        <f aca="false">MOD(F18-1,12)+1</f>
        <v>4</v>
      </c>
      <c r="G21" s="0" t="n">
        <f aca="false">MOD(G18-1,12)+1</f>
        <v>5</v>
      </c>
      <c r="H21" s="0" t="n">
        <f aca="false">MOD(H18-1,12)+1</f>
        <v>6</v>
      </c>
      <c r="I21" s="0" t="n">
        <f aca="false">MOD(I18-1,12)+1</f>
        <v>7</v>
      </c>
      <c r="J21" s="0" t="n">
        <f aca="false">MOD(J18-1,12)+1</f>
        <v>8</v>
      </c>
      <c r="K21" s="0" t="n">
        <f aca="false">MOD(K18-1,12)+1</f>
        <v>9</v>
      </c>
      <c r="L21" s="0" t="n">
        <f aca="false">MOD(L18-1,12)+1</f>
        <v>10</v>
      </c>
      <c r="M21" s="0" t="n">
        <f aca="false">MOD(M18-1,12)+1</f>
        <v>11</v>
      </c>
      <c r="N21" s="0" t="n">
        <f aca="false">MOD(N18-1,12)+1</f>
        <v>12</v>
      </c>
      <c r="O21" s="0" t="n">
        <f aca="false">MOD(O18-1,12)+1</f>
        <v>1</v>
      </c>
      <c r="P21" s="0" t="n">
        <f aca="false">MOD(P18-1,12)+1</f>
        <v>2</v>
      </c>
      <c r="Q21" s="0" t="n">
        <f aca="false">MOD(Q18-1,12)+1</f>
        <v>3</v>
      </c>
      <c r="R21" s="0" t="n">
        <f aca="false">MOD(R18-1,12)+1</f>
        <v>4</v>
      </c>
      <c r="S21" s="0" t="n">
        <f aca="false">MOD(S18-1,12)+1</f>
        <v>5</v>
      </c>
      <c r="T21" s="0" t="n">
        <f aca="false">MOD(T18-1,12)+1</f>
        <v>6</v>
      </c>
      <c r="U21" s="0" t="n">
        <f aca="false">MOD(U18-1,12)+1</f>
        <v>7</v>
      </c>
      <c r="V21" s="0" t="n">
        <f aca="false">MOD(V18-1,12)+1</f>
        <v>8</v>
      </c>
      <c r="W21" s="0" t="n">
        <f aca="false">MOD(W18-1,12)+1</f>
        <v>9</v>
      </c>
      <c r="X21" s="0" t="n">
        <f aca="false">MOD(X18-1,12)+1</f>
        <v>10</v>
      </c>
      <c r="Y21" s="0" t="n">
        <f aca="false">MOD(Y18-1,12)+1</f>
        <v>11</v>
      </c>
      <c r="Z21" s="0" t="n">
        <f aca="false">MOD(Z18-1,12)+1</f>
        <v>12</v>
      </c>
      <c r="AA21" s="0" t="n">
        <f aca="false">MOD(AA18-1,12)+1</f>
        <v>1</v>
      </c>
      <c r="AB21" s="0" t="n">
        <f aca="false">MOD(AB18-1,12)+1</f>
        <v>2</v>
      </c>
      <c r="AC21" s="0" t="n">
        <f aca="false">MOD(AC18-1,12)+1</f>
        <v>3</v>
      </c>
      <c r="AD21" s="0" t="n">
        <f aca="false">MOD(AD18-1,12)+1</f>
        <v>4</v>
      </c>
      <c r="AE21" s="0" t="n">
        <f aca="false">MOD(AE18-1,12)+1</f>
        <v>5</v>
      </c>
      <c r="AF21" s="0" t="n">
        <f aca="false">MOD(AF18-1,12)+1</f>
        <v>6</v>
      </c>
      <c r="AG21" s="0" t="n">
        <f aca="false">MOD(AG18-1,12)+1</f>
        <v>7</v>
      </c>
      <c r="AH21" s="0" t="n">
        <f aca="false">MOD(AH18-1,12)+1</f>
        <v>8</v>
      </c>
      <c r="AI21" s="0" t="n">
        <f aca="false">MOD(AI18-1,12)+1</f>
        <v>9</v>
      </c>
      <c r="AJ21" s="0" t="n">
        <f aca="false">MOD(AJ18-1,12)+1</f>
        <v>10</v>
      </c>
      <c r="AK21" s="0" t="n">
        <f aca="false">MOD(AK18-1,12)+1</f>
        <v>11</v>
      </c>
      <c r="AL21" s="0" t="n">
        <f aca="false">MOD(AL18-1,12)+1</f>
        <v>12</v>
      </c>
    </row>
    <row r="23" customFormat="false" ht="15" hidden="false" customHeight="false" outlineLevel="0" collapsed="false">
      <c r="A23" s="21" t="s">
        <v>828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</row>
    <row r="24" customFormat="false" ht="15" hidden="false" customHeight="false" outlineLevel="0" collapsed="false">
      <c r="A24" s="0" t="s">
        <v>829</v>
      </c>
      <c r="B24" s="0" t="s">
        <v>500</v>
      </c>
      <c r="C24" s="9" t="n">
        <f aca="false">IF((C$18=1),Assumptions!$C$16,(0*(1+Assumptions!$C$133)))</f>
        <v>1200</v>
      </c>
      <c r="D24" s="9" t="n">
        <f aca="false">IF((D$18=1),Assumptions!$C$16,(C24*(1+Assumptions!$C$133)))</f>
        <v>1272</v>
      </c>
      <c r="E24" s="9" t="n">
        <f aca="false">IF((E$18=1),Assumptions!$C$16,(D24*(1+Assumptions!$C$133)))</f>
        <v>1348.32</v>
      </c>
      <c r="F24" s="9" t="n">
        <f aca="false">IF((F$18=1),Assumptions!$C$16,(E24*(1+Assumptions!$C$133)))</f>
        <v>1429.2192</v>
      </c>
      <c r="G24" s="9" t="n">
        <f aca="false">IF((G$18=1),Assumptions!$C$16,(F24*(1+Assumptions!$C$133)))</f>
        <v>1514.972352</v>
      </c>
      <c r="H24" s="9" t="n">
        <f aca="false">IF((H$18=1),Assumptions!$C$16,(G24*(1+Assumptions!$C$133)))</f>
        <v>1605.87069312</v>
      </c>
      <c r="I24" s="9" t="n">
        <f aca="false">IF((I$18=1),Assumptions!$C$16,(H24*(1+Assumptions!$C$133)))</f>
        <v>1702.2229347072</v>
      </c>
      <c r="J24" s="9" t="n">
        <f aca="false">IF((J$18=1),Assumptions!$C$16,(I24*(1+Assumptions!$C$133)))</f>
        <v>1804.35631078963</v>
      </c>
      <c r="K24" s="9" t="n">
        <f aca="false">IF((K$18=1),Assumptions!$C$16,(J24*(1+Assumptions!$C$133)))</f>
        <v>1912.61768943701</v>
      </c>
      <c r="L24" s="9" t="n">
        <f aca="false">IF((L$18=1),Assumptions!$C$16,(K24*(1+Assumptions!$C$133)))</f>
        <v>2027.37475080323</v>
      </c>
      <c r="M24" s="9" t="n">
        <f aca="false">IF((M$18=1),Assumptions!$C$16,(L24*(1+Assumptions!$C$133)))</f>
        <v>2149.01723585143</v>
      </c>
      <c r="N24" s="9" t="n">
        <f aca="false">IF((N$18=1),Assumptions!$C$16,(M24*(1+Assumptions!$C$133)))</f>
        <v>2277.95827000251</v>
      </c>
      <c r="O24" s="9" t="n">
        <f aca="false">IF((O$18=1),Assumptions!$C$16,(N24*(1+Assumptions!$D$133)))</f>
        <v>2369.07660080261</v>
      </c>
      <c r="P24" s="9" t="n">
        <f aca="false">IF((P$18=1),Assumptions!$C$16,(O24*(1+Assumptions!$D$133)))</f>
        <v>2463.83966483472</v>
      </c>
      <c r="Q24" s="9" t="n">
        <f aca="false">IF((Q$18=1),Assumptions!$C$16,(P24*(1+Assumptions!$D$133)))</f>
        <v>2562.39325142811</v>
      </c>
      <c r="R24" s="9" t="n">
        <f aca="false">IF((R$18=1),Assumptions!$C$16,(Q24*(1+Assumptions!$D$133)))</f>
        <v>2664.88898148523</v>
      </c>
      <c r="S24" s="9" t="n">
        <f aca="false">IF((S$18=1),Assumptions!$C$16,(R24*(1+Assumptions!$D$133)))</f>
        <v>2771.48454074464</v>
      </c>
      <c r="T24" s="9" t="n">
        <f aca="false">IF((T$18=1),Assumptions!$C$16,(S24*(1+Assumptions!$D$133)))</f>
        <v>2882.34392237442</v>
      </c>
      <c r="U24" s="9" t="n">
        <f aca="false">IF((U$18=1),Assumptions!$C$16,(T24*(1+Assumptions!$D$133)))</f>
        <v>2997.6376792694</v>
      </c>
      <c r="V24" s="9" t="n">
        <f aca="false">IF((V$18=1),Assumptions!$C$16,(U24*(1+Assumptions!$D$133)))</f>
        <v>3117.54318644018</v>
      </c>
      <c r="W24" s="9" t="n">
        <f aca="false">IF((W$18=1),Assumptions!$C$16,(V24*(1+Assumptions!$D$133)))</f>
        <v>3242.24491389778</v>
      </c>
      <c r="X24" s="9" t="n">
        <f aca="false">IF((X$18=1),Assumptions!$C$16,(W24*(1+Assumptions!$D$133)))</f>
        <v>3371.9347104537</v>
      </c>
      <c r="Y24" s="9" t="n">
        <f aca="false">IF((Y$18=1),Assumptions!$C$16,(X24*(1+Assumptions!$D$133)))</f>
        <v>3506.81209887184</v>
      </c>
      <c r="Z24" s="9" t="n">
        <f aca="false">IF((Z$18=1),Assumptions!$C$16,(Y24*(1+Assumptions!$D$133)))</f>
        <v>3647.08458282672</v>
      </c>
      <c r="AA24" s="9" t="n">
        <f aca="false">IF((AA$18=1),Assumptions!$C$16,(Z24*(1+Assumptions!$E$133)))</f>
        <v>3738.26169739739</v>
      </c>
      <c r="AB24" s="9" t="n">
        <f aca="false">IF((AB$18=1),Assumptions!$C$16,(AA24*(1+Assumptions!$E$133)))</f>
        <v>3831.71823983232</v>
      </c>
      <c r="AC24" s="9" t="n">
        <f aca="false">IF((AC$18=1),Assumptions!$C$16,(AB24*(1+Assumptions!$E$133)))</f>
        <v>3927.51119582813</v>
      </c>
      <c r="AD24" s="9" t="n">
        <f aca="false">IF((AD$18=1),Assumptions!$C$16,(AC24*(1+Assumptions!$E$133)))</f>
        <v>4025.69897572383</v>
      </c>
      <c r="AE24" s="9" t="n">
        <f aca="false">IF((AE$18=1),Assumptions!$C$16,(AD24*(1+Assumptions!$E$133)))</f>
        <v>4126.34145011693</v>
      </c>
      <c r="AF24" s="9" t="n">
        <f aca="false">IF((AF$18=1),Assumptions!$C$16,(AE24*(1+Assumptions!$E$133)))</f>
        <v>4229.49998636985</v>
      </c>
      <c r="AG24" s="9" t="n">
        <f aca="false">IF((AG$18=1),Assumptions!$C$16,(AF24*(1+Assumptions!$E$133)))</f>
        <v>4335.2374860291</v>
      </c>
      <c r="AH24" s="9" t="n">
        <f aca="false">IF((AH$18=1),Assumptions!$C$16,(AG24*(1+Assumptions!$E$133)))</f>
        <v>4443.61842317982</v>
      </c>
      <c r="AI24" s="9" t="n">
        <f aca="false">IF((AI$18=1),Assumptions!$C$16,(AH24*(1+Assumptions!$E$133)))</f>
        <v>4554.70888375932</v>
      </c>
      <c r="AJ24" s="9" t="n">
        <f aca="false">IF((AJ$18=1),Assumptions!$C$16,(AI24*(1+Assumptions!$E$133)))</f>
        <v>4668.5766058533</v>
      </c>
      <c r="AK24" s="9" t="n">
        <f aca="false">IF((AK$18=1),Assumptions!$C$16,(AJ24*(1+Assumptions!$E$133)))</f>
        <v>4785.29102099963</v>
      </c>
      <c r="AL24" s="9" t="n">
        <f aca="false">IF((AL$18=1),Assumptions!$C$16,(AK24*(1+Assumptions!$E$133)))</f>
        <v>4904.92329652462</v>
      </c>
    </row>
    <row r="25" customFormat="false" ht="15" hidden="false" customHeight="false" outlineLevel="0" collapsed="false">
      <c r="A25" s="0" t="s">
        <v>830</v>
      </c>
      <c r="B25" s="0" t="s">
        <v>500</v>
      </c>
      <c r="C25" s="9" t="n">
        <f aca="false">(((C24*INDEX(Assumptions!$C$167:$C$178,C$21))*$C$4)*IF((C$18&lt;Assumptions!$C$5),Assumptions!$C$6,1))</f>
        <v>585</v>
      </c>
      <c r="D25" s="9" t="n">
        <f aca="false">(((D24*INDEX(Assumptions!$C$167:$C$178,D$21))*$C$4)*IF((D$18&lt;Assumptions!$C$5),Assumptions!$C$6,1))</f>
        <v>524.7</v>
      </c>
      <c r="E25" s="9" t="n">
        <f aca="false">(((E24*INDEX(Assumptions!$C$167:$C$178,E$21))*$C$4)*IF((E$18&lt;Assumptions!$C$5),Assumptions!$C$6,1))</f>
        <v>455.058</v>
      </c>
      <c r="F25" s="9" t="n">
        <f aca="false">(((F24*INDEX(Assumptions!$C$167:$C$178,F$21))*$C$4)*IF((F$18&lt;Assumptions!$C$5),Assumptions!$C$6,1))</f>
        <v>428.76576</v>
      </c>
      <c r="G25" s="9" t="n">
        <f aca="false">(((G24*INDEX(Assumptions!$C$167:$C$178,G$21))*$C$4)*IF((G$18&lt;Assumptions!$C$5),Assumptions!$C$6,1))</f>
        <v>340.8687792</v>
      </c>
      <c r="H25" s="9" t="n">
        <f aca="false">(((H24*INDEX(Assumptions!$C$167:$C$178,H$21))*$C$4)*IF((H$18&lt;Assumptions!$C$5),Assumptions!$C$6,1))</f>
        <v>301.10075496</v>
      </c>
      <c r="I25" s="9" t="n">
        <f aca="false">(((I24*INDEX(Assumptions!$C$167:$C$178,I$21))*$C$4)*IF((I$18&lt;Assumptions!$C$5),Assumptions!$C$6,1))</f>
        <v>446.83352036064</v>
      </c>
      <c r="J25" s="9" t="n">
        <f aca="false">(((J24*INDEX(Assumptions!$C$167:$C$178,J$21))*$C$4)*IF((J$18&lt;Assumptions!$C$5),Assumptions!$C$6,1))</f>
        <v>1082.61378647378</v>
      </c>
      <c r="K25" s="9" t="n">
        <f aca="false">(((K24*INDEX(Assumptions!$C$167:$C$178,K$21))*$C$4)*IF((K$18&lt;Assumptions!$C$5),Assumptions!$C$6,1))</f>
        <v>1291.01694036998</v>
      </c>
      <c r="L25" s="9" t="n">
        <f aca="false">(((L24*INDEX(Assumptions!$C$167:$C$178,L$21))*$C$4)*IF((L$18&lt;Assumptions!$C$5),Assumptions!$C$6,1))</f>
        <v>836.292084706333</v>
      </c>
      <c r="M25" s="9" t="n">
        <f aca="false">(((M24*INDEX(Assumptions!$C$167:$C$178,M$21))*$C$4)*IF((M$18&lt;Assumptions!$C$5),Assumptions!$C$6,1))</f>
        <v>725.293317099856</v>
      </c>
      <c r="N25" s="9" t="n">
        <f aca="false">(((N24*INDEX(Assumptions!$C$167:$C$178,N$21))*$C$4)*IF((N$18&lt;Assumptions!$C$5),Assumptions!$C$6,1))</f>
        <v>597.964045875659</v>
      </c>
      <c r="O25" s="9" t="n">
        <f aca="false">(((O24*INDEX(Assumptions!$C$167:$C$178,O$21))*$C$4)*IF((O$18&lt;Assumptions!$C$5),Assumptions!$C$6,1))</f>
        <v>4619.69937156509</v>
      </c>
      <c r="P25" s="9" t="n">
        <f aca="false">(((P24*INDEX(Assumptions!$C$167:$C$178,P$21))*$C$4)*IF((P$18&lt;Assumptions!$C$5),Assumptions!$C$6,1))</f>
        <v>4065.33544697728</v>
      </c>
      <c r="Q25" s="9" t="n">
        <f aca="false">(((Q24*INDEX(Assumptions!$C$167:$C$178,Q$21))*$C$4)*IF((Q$18&lt;Assumptions!$C$5),Assumptions!$C$6,1))</f>
        <v>3459.23088942794</v>
      </c>
      <c r="R25" s="9" t="n">
        <f aca="false">(((R24*INDEX(Assumptions!$C$167:$C$178,R$21))*$C$4)*IF((R$18&lt;Assumptions!$C$5),Assumptions!$C$6,1))</f>
        <v>3197.86677778228</v>
      </c>
      <c r="S25" s="9" t="n">
        <f aca="false">(((S24*INDEX(Assumptions!$C$167:$C$178,S$21))*$C$4)*IF((S$18&lt;Assumptions!$C$5),Assumptions!$C$6,1))</f>
        <v>2494.33608667017</v>
      </c>
      <c r="T25" s="9" t="n">
        <f aca="false">(((T24*INDEX(Assumptions!$C$167:$C$178,T$21))*$C$4)*IF((T$18&lt;Assumptions!$C$5),Assumptions!$C$6,1))</f>
        <v>2161.75794178082</v>
      </c>
      <c r="U25" s="9" t="n">
        <f aca="false">(((U24*INDEX(Assumptions!$C$167:$C$178,U$21))*$C$4)*IF((U$18&lt;Assumptions!$C$5),Assumptions!$C$6,1))</f>
        <v>3147.51956323287</v>
      </c>
      <c r="V25" s="9" t="n">
        <f aca="false">(((V24*INDEX(Assumptions!$C$167:$C$178,V$21))*$C$4)*IF((V$18&lt;Assumptions!$C$5),Assumptions!$C$6,1))</f>
        <v>7482.10364745643</v>
      </c>
      <c r="W25" s="9" t="n">
        <f aca="false">(((W24*INDEX(Assumptions!$C$167:$C$178,W$21))*$C$4)*IF((W$18&lt;Assumptions!$C$5),Assumptions!$C$6,1))</f>
        <v>8754.06126752402</v>
      </c>
      <c r="X25" s="9" t="n">
        <f aca="false">(((X24*INDEX(Assumptions!$C$167:$C$178,X$21))*$C$4)*IF((X$18&lt;Assumptions!$C$5),Assumptions!$C$6,1))</f>
        <v>5563.6922722486</v>
      </c>
      <c r="Y25" s="9" t="n">
        <f aca="false">(((Y24*INDEX(Assumptions!$C$167:$C$178,Y$21))*$C$4)*IF((Y$18&lt;Assumptions!$C$5),Assumptions!$C$6,1))</f>
        <v>4734.19633347699</v>
      </c>
      <c r="Z25" s="9" t="n">
        <f aca="false">(((Z24*INDEX(Assumptions!$C$167:$C$178,Z$21))*$C$4)*IF((Z$18&lt;Assumptions!$C$5),Assumptions!$C$6,1))</f>
        <v>3829.43881196805</v>
      </c>
      <c r="AA25" s="9" t="n">
        <f aca="false">(((AA24*INDEX(Assumptions!$C$167:$C$178,AA$21))*$C$4)*IF((AA$18&lt;Assumptions!$C$5),Assumptions!$C$6,1))</f>
        <v>7289.6103099249</v>
      </c>
      <c r="AB25" s="9" t="n">
        <f aca="false">(((AB24*INDEX(Assumptions!$C$167:$C$178,AB$21))*$C$4)*IF((AB$18&lt;Assumptions!$C$5),Assumptions!$C$6,1))</f>
        <v>6322.33509572333</v>
      </c>
      <c r="AC25" s="9" t="n">
        <f aca="false">(((AC24*INDEX(Assumptions!$C$167:$C$178,AC$21))*$C$4)*IF((AC$18&lt;Assumptions!$C$5),Assumptions!$C$6,1))</f>
        <v>5302.14011436797</v>
      </c>
      <c r="AD25" s="9" t="n">
        <f aca="false">(((AD24*INDEX(Assumptions!$C$167:$C$178,AD$21))*$C$4)*IF((AD$18&lt;Assumptions!$C$5),Assumptions!$C$6,1))</f>
        <v>4830.8387708686</v>
      </c>
      <c r="AE25" s="9" t="n">
        <f aca="false">(((AE24*INDEX(Assumptions!$C$167:$C$178,AE$21))*$C$4)*IF((AE$18&lt;Assumptions!$C$5),Assumptions!$C$6,1))</f>
        <v>3713.70730510523</v>
      </c>
      <c r="AF25" s="9" t="n">
        <f aca="false">(((AF24*INDEX(Assumptions!$C$167:$C$178,AF$21))*$C$4)*IF((AF$18&lt;Assumptions!$C$5),Assumptions!$C$6,1))</f>
        <v>3172.12498977739</v>
      </c>
      <c r="AG25" s="9" t="n">
        <f aca="false">(((AG24*INDEX(Assumptions!$C$167:$C$178,AG$21))*$C$4)*IF((AG$18&lt;Assumptions!$C$5),Assumptions!$C$6,1))</f>
        <v>4551.99936033055</v>
      </c>
      <c r="AH25" s="9" t="n">
        <f aca="false">(((AH24*INDEX(Assumptions!$C$167:$C$178,AH$21))*$C$4)*IF((AH$18&lt;Assumptions!$C$5),Assumptions!$C$6,1))</f>
        <v>10664.6842156316</v>
      </c>
      <c r="AI25" s="9" t="n">
        <f aca="false">(((AI24*INDEX(Assumptions!$C$167:$C$178,AI$21))*$C$4)*IF((AI$18&lt;Assumptions!$C$5),Assumptions!$C$6,1))</f>
        <v>12297.7139861502</v>
      </c>
      <c r="AJ25" s="9" t="n">
        <f aca="false">(((AJ24*INDEX(Assumptions!$C$167:$C$178,AJ$21))*$C$4)*IF((AJ$18&lt;Assumptions!$C$5),Assumptions!$C$6,1))</f>
        <v>7703.15139965794</v>
      </c>
      <c r="AK25" s="9" t="n">
        <f aca="false">(((AK24*INDEX(Assumptions!$C$167:$C$178,AK$21))*$C$4)*IF((AK$18&lt;Assumptions!$C$5),Assumptions!$C$6,1))</f>
        <v>6460.1428783495</v>
      </c>
      <c r="AL25" s="9" t="n">
        <f aca="false">(((AL24*INDEX(Assumptions!$C$167:$C$178,AL$21))*$C$4)*IF((AL$18&lt;Assumptions!$C$5),Assumptions!$C$6,1))</f>
        <v>5150.16946135085</v>
      </c>
      <c r="AN25" s="11" t="n">
        <f aca="false">SUM(C25:N25)</f>
        <v>7615.50698904625</v>
      </c>
      <c r="AO25" s="11" t="n">
        <f aca="false">SUM(O25:Z25)</f>
        <v>53509.2384101105</v>
      </c>
      <c r="AP25" s="11" t="n">
        <f aca="false">SUM(AA25:AL25)</f>
        <v>77458.617887238</v>
      </c>
    </row>
    <row r="26" customFormat="false" ht="15" hidden="false" customHeight="false" outlineLevel="0" collapsed="false">
      <c r="A26" s="0" t="s">
        <v>831</v>
      </c>
      <c r="B26" s="0" t="s">
        <v>500</v>
      </c>
      <c r="C26" s="9" t="n">
        <f aca="false">IF((C$18&gt;=Assumptions!$C$5),(Assumptions!$C$134/(Assumptions!$C$17*$C$11)),0)</f>
        <v>0</v>
      </c>
      <c r="D26" s="9" t="n">
        <f aca="false">IF((D$18&gt;=Assumptions!$C$5),(Assumptions!$C$134/(Assumptions!$C$17*$C$11)),0)</f>
        <v>0</v>
      </c>
      <c r="E26" s="9" t="n">
        <f aca="false">IF((E$18&gt;=Assumptions!$C$5),(Assumptions!$C$134/(Assumptions!$C$17*$C$11)),0)</f>
        <v>0</v>
      </c>
      <c r="F26" s="9" t="n">
        <f aca="false">IF((F$18&gt;=Assumptions!$C$5),(Assumptions!$C$134/(Assumptions!$C$17*$C$11)),0)</f>
        <v>0</v>
      </c>
      <c r="G26" s="9" t="n">
        <f aca="false">IF((G$18&gt;=Assumptions!$C$5),(Assumptions!$C$134/(Assumptions!$C$17*$C$11)),0)</f>
        <v>0</v>
      </c>
      <c r="H26" s="9" t="n">
        <f aca="false">IF((H$18&gt;=Assumptions!$C$5),(Assumptions!$C$134/(Assumptions!$C$17*$C$11)),0)</f>
        <v>0</v>
      </c>
      <c r="I26" s="9" t="n">
        <f aca="false">IF((I$18&gt;=Assumptions!$C$5),(Assumptions!$C$134/(Assumptions!$C$17*$C$11)),0)</f>
        <v>0</v>
      </c>
      <c r="J26" s="9" t="n">
        <f aca="false">IF((J$18&gt;=Assumptions!$C$5),(Assumptions!$C$134/(Assumptions!$C$17*$C$11)),0)</f>
        <v>0</v>
      </c>
      <c r="K26" s="9" t="n">
        <f aca="false">IF((K$18&gt;=Assumptions!$C$5),(Assumptions!$C$134/(Assumptions!$C$17*$C$11)),0)</f>
        <v>0</v>
      </c>
      <c r="L26" s="9" t="n">
        <f aca="false">IF((L$18&gt;=Assumptions!$C$5),(Assumptions!$C$134/(Assumptions!$C$17*$C$11)),0)</f>
        <v>0</v>
      </c>
      <c r="M26" s="9" t="n">
        <f aca="false">IF((M$18&gt;=Assumptions!$C$5),(Assumptions!$C$134/(Assumptions!$C$17*$C$11)),0)</f>
        <v>0</v>
      </c>
      <c r="N26" s="9" t="n">
        <f aca="false">IF((N$18&gt;=Assumptions!$C$5),(Assumptions!$C$134/(Assumptions!$C$17*$C$11)),0)</f>
        <v>0</v>
      </c>
      <c r="O26" s="9" t="n">
        <f aca="false">IF((O$18&gt;=Assumptions!$C$5),(Assumptions!$D$134/(Assumptions!$C$17*$C$11)),0)</f>
        <v>1176.47058823529</v>
      </c>
      <c r="P26" s="9" t="n">
        <f aca="false">IF((P$18&gt;=Assumptions!$C$5),(Assumptions!$D$134/(Assumptions!$C$17*$C$11)),0)</f>
        <v>1176.47058823529</v>
      </c>
      <c r="Q26" s="9" t="n">
        <f aca="false">IF((Q$18&gt;=Assumptions!$C$5),(Assumptions!$D$134/(Assumptions!$C$17*$C$11)),0)</f>
        <v>1176.47058823529</v>
      </c>
      <c r="R26" s="9" t="n">
        <f aca="false">IF((R$18&gt;=Assumptions!$C$5),(Assumptions!$D$134/(Assumptions!$C$17*$C$11)),0)</f>
        <v>1176.47058823529</v>
      </c>
      <c r="S26" s="9" t="n">
        <f aca="false">IF((S$18&gt;=Assumptions!$C$5),(Assumptions!$D$134/(Assumptions!$C$17*$C$11)),0)</f>
        <v>1176.47058823529</v>
      </c>
      <c r="T26" s="9" t="n">
        <f aca="false">IF((T$18&gt;=Assumptions!$C$5),(Assumptions!$D$134/(Assumptions!$C$17*$C$11)),0)</f>
        <v>1176.47058823529</v>
      </c>
      <c r="U26" s="9" t="n">
        <f aca="false">IF((U$18&gt;=Assumptions!$C$5),(Assumptions!$D$134/(Assumptions!$C$17*$C$11)),0)</f>
        <v>1176.47058823529</v>
      </c>
      <c r="V26" s="9" t="n">
        <f aca="false">IF((V$18&gt;=Assumptions!$C$5),(Assumptions!$D$134/(Assumptions!$C$17*$C$11)),0)</f>
        <v>1176.47058823529</v>
      </c>
      <c r="W26" s="9" t="n">
        <f aca="false">IF((W$18&gt;=Assumptions!$C$5),(Assumptions!$D$134/(Assumptions!$C$17*$C$11)),0)</f>
        <v>1176.47058823529</v>
      </c>
      <c r="X26" s="9" t="n">
        <f aca="false">IF((X$18&gt;=Assumptions!$C$5),(Assumptions!$D$134/(Assumptions!$C$17*$C$11)),0)</f>
        <v>1176.47058823529</v>
      </c>
      <c r="Y26" s="9" t="n">
        <f aca="false">IF((Y$18&gt;=Assumptions!$C$5),(Assumptions!$D$134/(Assumptions!$C$17*$C$11)),0)</f>
        <v>1176.47058823529</v>
      </c>
      <c r="Z26" s="9" t="n">
        <f aca="false">IF((Z$18&gt;=Assumptions!$C$5),(Assumptions!$D$134/(Assumptions!$C$17*$C$11)),0)</f>
        <v>1176.47058823529</v>
      </c>
      <c r="AA26" s="9" t="n">
        <f aca="false">IF((AA$18&gt;=Assumptions!$C$5),(Assumptions!$E$134/(Assumptions!$C$17*$C$11)),0)</f>
        <v>1960.78431372549</v>
      </c>
      <c r="AB26" s="9" t="n">
        <f aca="false">IF((AB$18&gt;=Assumptions!$C$5),(Assumptions!$E$134/(Assumptions!$C$17*$C$11)),0)</f>
        <v>1960.78431372549</v>
      </c>
      <c r="AC26" s="9" t="n">
        <f aca="false">IF((AC$18&gt;=Assumptions!$C$5),(Assumptions!$E$134/(Assumptions!$C$17*$C$11)),0)</f>
        <v>1960.78431372549</v>
      </c>
      <c r="AD26" s="9" t="n">
        <f aca="false">IF((AD$18&gt;=Assumptions!$C$5),(Assumptions!$E$134/(Assumptions!$C$17*$C$11)),0)</f>
        <v>1960.78431372549</v>
      </c>
      <c r="AE26" s="9" t="n">
        <f aca="false">IF((AE$18&gt;=Assumptions!$C$5),(Assumptions!$E$134/(Assumptions!$C$17*$C$11)),0)</f>
        <v>1960.78431372549</v>
      </c>
      <c r="AF26" s="9" t="n">
        <f aca="false">IF((AF$18&gt;=Assumptions!$C$5),(Assumptions!$E$134/(Assumptions!$C$17*$C$11)),0)</f>
        <v>1960.78431372549</v>
      </c>
      <c r="AG26" s="9" t="n">
        <f aca="false">IF((AG$18&gt;=Assumptions!$C$5),(Assumptions!$E$134/(Assumptions!$C$17*$C$11)),0)</f>
        <v>1960.78431372549</v>
      </c>
      <c r="AH26" s="9" t="n">
        <f aca="false">IF((AH$18&gt;=Assumptions!$C$5),(Assumptions!$E$134/(Assumptions!$C$17*$C$11)),0)</f>
        <v>1960.78431372549</v>
      </c>
      <c r="AI26" s="9" t="n">
        <f aca="false">IF((AI$18&gt;=Assumptions!$C$5),(Assumptions!$E$134/(Assumptions!$C$17*$C$11)),0)</f>
        <v>1960.78431372549</v>
      </c>
      <c r="AJ26" s="9" t="n">
        <f aca="false">IF((AJ$18&gt;=Assumptions!$C$5),(Assumptions!$E$134/(Assumptions!$C$17*$C$11)),0)</f>
        <v>1960.78431372549</v>
      </c>
      <c r="AK26" s="9" t="n">
        <f aca="false">IF((AK$18&gt;=Assumptions!$C$5),(Assumptions!$E$134/(Assumptions!$C$17*$C$11)),0)</f>
        <v>1960.78431372549</v>
      </c>
      <c r="AL26" s="9" t="n">
        <f aca="false">IF((AL$18&gt;=Assumptions!$C$5),(Assumptions!$E$134/(Assumptions!$C$17*$C$11)),0)</f>
        <v>1960.78431372549</v>
      </c>
      <c r="AN26" s="11" t="n">
        <f aca="false">SUM(C26:N26)</f>
        <v>0</v>
      </c>
      <c r="AO26" s="11" t="n">
        <f aca="false">SUM(O26:Z26)</f>
        <v>14117.6470588235</v>
      </c>
      <c r="AP26" s="11" t="n">
        <f aca="false">SUM(AA26:AL26)</f>
        <v>23529.4117647059</v>
      </c>
    </row>
    <row r="27" customFormat="false" ht="15" hidden="false" customHeight="false" outlineLevel="0" collapsed="false">
      <c r="A27" s="0" t="s">
        <v>832</v>
      </c>
      <c r="B27" s="0" t="s">
        <v>500</v>
      </c>
      <c r="C27" s="9" t="n">
        <f aca="false">((C25+C26)*Assumptions!$C$18)</f>
        <v>351</v>
      </c>
      <c r="D27" s="9" t="n">
        <f aca="false">((D25+D26)*Assumptions!$C$18)</f>
        <v>314.82</v>
      </c>
      <c r="E27" s="9" t="n">
        <f aca="false">((E25+E26)*Assumptions!$C$18)</f>
        <v>273.0348</v>
      </c>
      <c r="F27" s="9" t="n">
        <f aca="false">((F25+F26)*Assumptions!$C$18)</f>
        <v>257.259456</v>
      </c>
      <c r="G27" s="9" t="n">
        <f aca="false">((G25+G26)*Assumptions!$C$18)</f>
        <v>204.52126752</v>
      </c>
      <c r="H27" s="9" t="n">
        <f aca="false">((H25+H26)*Assumptions!$C$18)</f>
        <v>180.660452976</v>
      </c>
      <c r="I27" s="9" t="n">
        <f aca="false">((I25+I26)*Assumptions!$C$18)</f>
        <v>268.100112216384</v>
      </c>
      <c r="J27" s="9" t="n">
        <f aca="false">((J25+J26)*Assumptions!$C$18)</f>
        <v>649.568271884268</v>
      </c>
      <c r="K27" s="9" t="n">
        <f aca="false">((K25+K26)*Assumptions!$C$18)</f>
        <v>774.610164221989</v>
      </c>
      <c r="L27" s="9" t="n">
        <f aca="false">((L25+L26)*Assumptions!$C$18)</f>
        <v>501.7752508238</v>
      </c>
      <c r="M27" s="9" t="n">
        <f aca="false">((M25+M26)*Assumptions!$C$18)</f>
        <v>435.175990259914</v>
      </c>
      <c r="N27" s="9" t="n">
        <f aca="false">((N25+N26)*Assumptions!$C$18)</f>
        <v>358.778427525396</v>
      </c>
      <c r="O27" s="9" t="n">
        <f aca="false">((O25+O26)*Assumptions!$C$18)</f>
        <v>3477.70197588023</v>
      </c>
      <c r="P27" s="9" t="n">
        <f aca="false">((P25+P26)*Assumptions!$C$18)</f>
        <v>3145.08362112755</v>
      </c>
      <c r="Q27" s="9" t="n">
        <f aca="false">((Q25+Q26)*Assumptions!$C$18)</f>
        <v>2781.42088659794</v>
      </c>
      <c r="R27" s="9" t="n">
        <f aca="false">((R25+R26)*Assumptions!$C$18)</f>
        <v>2624.60241961054</v>
      </c>
      <c r="S27" s="9" t="n">
        <f aca="false">((S25+S26)*Assumptions!$C$18)</f>
        <v>2202.48400494328</v>
      </c>
      <c r="T27" s="9" t="n">
        <f aca="false">((T25+T26)*Assumptions!$C$18)</f>
        <v>2002.93711800967</v>
      </c>
      <c r="U27" s="9" t="n">
        <f aca="false">((U25+U26)*Assumptions!$C$18)</f>
        <v>2594.3940908809</v>
      </c>
      <c r="V27" s="9" t="n">
        <f aca="false">((V25+V26)*Assumptions!$C$18)</f>
        <v>5195.14454141503</v>
      </c>
      <c r="W27" s="9" t="n">
        <f aca="false">((W25+W26)*Assumptions!$C$18)</f>
        <v>5958.31911345559</v>
      </c>
      <c r="X27" s="9" t="n">
        <f aca="false">((X25+X26)*Assumptions!$C$18)</f>
        <v>4044.09771629034</v>
      </c>
      <c r="Y27" s="9" t="n">
        <f aca="false">((Y25+Y26)*Assumptions!$C$18)</f>
        <v>3546.40015302737</v>
      </c>
      <c r="Z27" s="9" t="n">
        <f aca="false">((Z25+Z26)*Assumptions!$C$18)</f>
        <v>3003.54564012201</v>
      </c>
      <c r="AA27" s="9" t="n">
        <f aca="false">((AA25+AA26)*Assumptions!$C$18)</f>
        <v>5550.23677419023</v>
      </c>
      <c r="AB27" s="9" t="n">
        <f aca="false">((AB25+AB26)*Assumptions!$C$18)</f>
        <v>4969.87164566929</v>
      </c>
      <c r="AC27" s="9" t="n">
        <f aca="false">((AC25+AC26)*Assumptions!$C$18)</f>
        <v>4357.75465685608</v>
      </c>
      <c r="AD27" s="9" t="n">
        <f aca="false">((AD25+AD26)*Assumptions!$C$18)</f>
        <v>4074.97385075645</v>
      </c>
      <c r="AE27" s="9" t="n">
        <f aca="false">((AE25+AE26)*Assumptions!$C$18)</f>
        <v>3404.69497129843</v>
      </c>
      <c r="AF27" s="9" t="n">
        <f aca="false">((AF25+AF26)*Assumptions!$C$18)</f>
        <v>3079.74558210173</v>
      </c>
      <c r="AG27" s="9" t="n">
        <f aca="false">((AG25+AG26)*Assumptions!$C$18)</f>
        <v>3907.67020443362</v>
      </c>
      <c r="AH27" s="9" t="n">
        <f aca="false">((AH25+AH26)*Assumptions!$C$18)</f>
        <v>7575.28111761424</v>
      </c>
      <c r="AI27" s="9" t="n">
        <f aca="false">((AI25+AI26)*Assumptions!$C$18)</f>
        <v>8555.09897992539</v>
      </c>
      <c r="AJ27" s="9" t="n">
        <f aca="false">((AJ25+AJ26)*Assumptions!$C$18)</f>
        <v>5798.36142803006</v>
      </c>
      <c r="AK27" s="9" t="n">
        <f aca="false">((AK25+AK26)*Assumptions!$C$18)</f>
        <v>5052.556315245</v>
      </c>
      <c r="AL27" s="9" t="n">
        <f aca="false">((AL25+AL26)*Assumptions!$C$18)</f>
        <v>4266.57226504581</v>
      </c>
      <c r="AN27" s="11" t="n">
        <f aca="false">SUM(C27:N27)</f>
        <v>4569.30419342775</v>
      </c>
      <c r="AO27" s="11" t="n">
        <f aca="false">SUM(O27:Z27)</f>
        <v>40576.1312813604</v>
      </c>
      <c r="AP27" s="11" t="n">
        <f aca="false">SUM(AA27:AL27)</f>
        <v>60592.8177911663</v>
      </c>
    </row>
    <row r="28" customFormat="false" ht="15" hidden="false" customHeight="false" outlineLevel="0" collapsed="false">
      <c r="A28" s="0" t="s">
        <v>833</v>
      </c>
      <c r="B28" s="0" t="s">
        <v>500</v>
      </c>
      <c r="C28" s="9" t="n">
        <f aca="false">IF((C$18&gt;=Assumptions!$C$5),((Assumptions!$C$20*$C$5)*0),0)</f>
        <v>0</v>
      </c>
      <c r="D28" s="9" t="n">
        <f aca="false">IF((D$18&gt;=Assumptions!$C$5),((Assumptions!$C$20*$C$5)*C29),0)</f>
        <v>0</v>
      </c>
      <c r="E28" s="9" t="n">
        <f aca="false">IF((E$18&gt;=Assumptions!$C$5),((Assumptions!$C$20*$C$5)*D29),0)</f>
        <v>0</v>
      </c>
      <c r="F28" s="9" t="n">
        <f aca="false">IF((F$18&gt;=Assumptions!$C$5),((Assumptions!$C$20*$C$5)*E29),0)</f>
        <v>0</v>
      </c>
      <c r="G28" s="9" t="n">
        <f aca="false">IF((G$18&gt;=Assumptions!$C$5),((Assumptions!$C$20*$C$5)*F29),0)</f>
        <v>0</v>
      </c>
      <c r="H28" s="9" t="n">
        <f aca="false">IF((H$18&gt;=Assumptions!$C$5),((Assumptions!$C$20*$C$5)*G29),0)</f>
        <v>0</v>
      </c>
      <c r="I28" s="9" t="n">
        <f aca="false">IF((I$18&gt;=Assumptions!$C$5),((Assumptions!$C$20*$C$5)*H29),0)</f>
        <v>0</v>
      </c>
      <c r="J28" s="9" t="n">
        <f aca="false">IF((J$18&gt;=Assumptions!$C$5),((Assumptions!$C$20*$C$5)*I29),0)</f>
        <v>0</v>
      </c>
      <c r="K28" s="9" t="n">
        <f aca="false">IF((K$18&gt;=Assumptions!$C$5),((Assumptions!$C$20*$C$5)*J29),0)</f>
        <v>0</v>
      </c>
      <c r="L28" s="9" t="n">
        <f aca="false">IF((L$18&gt;=Assumptions!$C$5),((Assumptions!$C$20*$C$5)*K29),0)</f>
        <v>0</v>
      </c>
      <c r="M28" s="9" t="n">
        <f aca="false">IF((M$18&gt;=Assumptions!$C$5),((Assumptions!$C$20*$C$5)*L29),0)</f>
        <v>0</v>
      </c>
      <c r="N28" s="9" t="n">
        <f aca="false">IF((N$18&gt;=Assumptions!$C$5),((Assumptions!$C$20*$C$5)*M29),0)</f>
        <v>0</v>
      </c>
      <c r="O28" s="9" t="n">
        <f aca="false">IF((O$18&gt;=Assumptions!$C$5),((Assumptions!$C$20*$C$5)*N29),0)</f>
        <v>8.12797083624573</v>
      </c>
      <c r="P28" s="9" t="n">
        <f aca="false">IF((P$18&gt;=Assumptions!$C$5),((Assumptions!$C$20*$C$5)*O29),0)</f>
        <v>17.5613363510282</v>
      </c>
      <c r="Q28" s="9" t="n">
        <f aca="false">IF((Q$18&gt;=Assumptions!$C$5),((Assumptions!$C$20*$C$5)*P29),0)</f>
        <v>24.8365428432344</v>
      </c>
      <c r="R28" s="9" t="n">
        <f aca="false">IF((R$18&gt;=Assumptions!$C$5),((Assumptions!$C$20*$C$5)*Q29),0)</f>
        <v>30.1259107333104</v>
      </c>
      <c r="S28" s="9" t="n">
        <f aca="false">IF((S$18&gt;=Assumptions!$C$5),((Assumptions!$C$20*$C$5)*R29),0)</f>
        <v>34.2942309719448</v>
      </c>
      <c r="T28" s="9" t="n">
        <f aca="false">IF((T$18&gt;=Assumptions!$C$5),((Assumptions!$C$20*$C$5)*S29),0)</f>
        <v>36.6834925772255</v>
      </c>
      <c r="U28" s="9" t="n">
        <f aca="false">IF((U$18&gt;=Assumptions!$C$5),((Assumptions!$C$20*$C$5)*T29),0)</f>
        <v>38.1802343442557</v>
      </c>
      <c r="V28" s="9" t="n">
        <f aca="false">IF((V$18&gt;=Assumptions!$C$5),((Assumptions!$C$20*$C$5)*U29),0)</f>
        <v>41.267247792555</v>
      </c>
      <c r="W28" s="9" t="n">
        <f aca="false">IF((W$18&gt;=Assumptions!$C$5),((Assumptions!$C$20*$C$5)*V29),0)</f>
        <v>51.7768099383158</v>
      </c>
      <c r="X28" s="9" t="n">
        <f aca="false">IF((X$18&gt;=Assumptions!$C$5),((Assumptions!$C$20*$C$5)*W29),0)</f>
        <v>63.2832196562697</v>
      </c>
      <c r="Y28" s="9" t="n">
        <f aca="false">IF((Y$18&gt;=Assumptions!$C$5),((Assumptions!$C$20*$C$5)*X29),0)</f>
        <v>67.6316767874196</v>
      </c>
      <c r="Z28" s="9" t="n">
        <f aca="false">IF((Z$18&gt;=Assumptions!$C$5),((Assumptions!$C$20*$C$5)*Y29),0)</f>
        <v>69.9521810016491</v>
      </c>
      <c r="AA28" s="9" t="n">
        <f aca="false">IF((AA$18&gt;=Assumptions!$C$5),((Assumptions!$C$20*$C$5)*Z29),0)</f>
        <v>70.3586996588123</v>
      </c>
      <c r="AB28" s="9" t="n">
        <f aca="false">IF((AB$18&gt;=Assumptions!$C$5),((Assumptions!$C$20*$C$5)*AA29),0)</f>
        <v>78.3552899233491</v>
      </c>
      <c r="AC28" s="9" t="n">
        <f aca="false">IF((AC$18&gt;=Assumptions!$C$5),((Assumptions!$C$20*$C$5)*AB29),0)</f>
        <v>83.627204199785</v>
      </c>
      <c r="AD28" s="9" t="n">
        <f aca="false">IF((AD$18&gt;=Assumptions!$C$5),((Assumptions!$C$20*$C$5)*AC29),0)</f>
        <v>86.4143220537797</v>
      </c>
      <c r="AE28" s="9" t="n">
        <f aca="false">IF((AE$18&gt;=Assumptions!$C$5),((Assumptions!$C$20*$C$5)*AD29),0)</f>
        <v>88.0102819934341</v>
      </c>
      <c r="AF28" s="9" t="n">
        <f aca="false">IF((AF$18&gt;=Assumptions!$C$5),((Assumptions!$C$20*$C$5)*AE29),0)</f>
        <v>87.399102222137</v>
      </c>
      <c r="AG28" s="9" t="n">
        <f aca="false">IF((AG$18&gt;=Assumptions!$C$5),((Assumptions!$C$20*$C$5)*AF29),0)</f>
        <v>85.8882493951194</v>
      </c>
      <c r="AH28" s="9" t="n">
        <f aca="false">IF((AH$18&gt;=Assumptions!$C$5),((Assumptions!$C$20*$C$5)*AG29),0)</f>
        <v>87.0470053328206</v>
      </c>
      <c r="AI28" s="9" t="n">
        <f aca="false">IF((AI$18&gt;=Assumptions!$C$5),((Assumptions!$C$20*$C$5)*AH29),0)</f>
        <v>99.0660670297263</v>
      </c>
      <c r="AJ28" s="9" t="n">
        <f aca="false">IF((AJ$18&gt;=Assumptions!$C$5),((Assumptions!$C$20*$C$5)*AI29),0)</f>
        <v>112.546237724846</v>
      </c>
      <c r="AK28" s="9" t="n">
        <f aca="false">IF((AK$18&gt;=Assumptions!$C$5),((Assumptions!$C$20*$C$5)*AJ29),0)</f>
        <v>116.09813476878</v>
      </c>
      <c r="AL28" s="9" t="n">
        <f aca="false">IF((AL$18&gt;=Assumptions!$C$5),((Assumptions!$C$20*$C$5)*AK29),0)</f>
        <v>116.975733137955</v>
      </c>
      <c r="AN28" s="11" t="n">
        <f aca="false">SUM(C28:N28)</f>
        <v>0</v>
      </c>
      <c r="AO28" s="11" t="n">
        <f aca="false">SUM(O28:Z28)</f>
        <v>483.720853833454</v>
      </c>
      <c r="AP28" s="11" t="n">
        <f aca="false">SUM(AA28:AL28)</f>
        <v>1111.78632744055</v>
      </c>
    </row>
    <row r="29" customFormat="false" ht="15" hidden="false" customHeight="false" outlineLevel="0" collapsed="false">
      <c r="A29" s="0" t="s">
        <v>834</v>
      </c>
      <c r="B29" s="0" t="s">
        <v>500</v>
      </c>
      <c r="C29" s="9" t="n">
        <f aca="false">MAX(0,(((0*(1-Assumptions!$C$19))+C27)-C28))</f>
        <v>351</v>
      </c>
      <c r="D29" s="9" t="n">
        <f aca="false">MAX(0,(((C29*(1-Assumptions!$C$19))+D27)-D28))</f>
        <v>623.7</v>
      </c>
      <c r="E29" s="9" t="n">
        <f aca="false">MAX(0,(((D29*(1-Assumptions!$C$19))+E27)-E28))</f>
        <v>821.8908</v>
      </c>
      <c r="F29" s="9" t="n">
        <f aca="false">MAX(0,(((E29*(1-Assumptions!$C$19))+F27)-F28))</f>
        <v>980.52336</v>
      </c>
      <c r="G29" s="9" t="n">
        <f aca="false">MAX(0,(((F29*(1-Assumptions!$C$19))+G27)-G28))</f>
        <v>1067.38182432</v>
      </c>
      <c r="H29" s="9" t="n">
        <f aca="false">MAX(0,(((G29*(1-Assumptions!$C$19))+H27)-H28))</f>
        <v>1119.9564583776</v>
      </c>
      <c r="I29" s="9" t="n">
        <f aca="false">MAX(0,(((H29*(1-Assumptions!$C$19))+I27)-I28))</f>
        <v>1253.66179558867</v>
      </c>
      <c r="J29" s="9" t="n">
        <f aca="false">MAX(0,(((I29*(1-Assumptions!$C$19))+J27)-J28))</f>
        <v>1752.7906520023</v>
      </c>
      <c r="K29" s="9" t="n">
        <f aca="false">MAX(0,(((J29*(1-Assumptions!$C$19))+K27)-K28))</f>
        <v>2317.06593798401</v>
      </c>
      <c r="L29" s="9" t="n">
        <f aca="false">MAX(0,(((K29*(1-Assumptions!$C$19))+L27)-L28))</f>
        <v>2540.79327624973</v>
      </c>
      <c r="M29" s="9" t="n">
        <f aca="false">MAX(0,(((L29*(1-Assumptions!$C$19))+M27)-M28))</f>
        <v>2671.07407335968</v>
      </c>
      <c r="N29" s="9" t="n">
        <f aca="false">MAX(0,(((M29*(1-Assumptions!$C$19))+N27)-N28))</f>
        <v>2709.32361208191</v>
      </c>
      <c r="O29" s="9" t="n">
        <f aca="false">MAX(0,(((N29*(1-Assumptions!$C$19))+O27)-O28))</f>
        <v>5853.77878367607</v>
      </c>
      <c r="P29" s="9" t="n">
        <f aca="false">MAX(0,(((O29*(1-Assumptions!$C$19))+P27)-P28))</f>
        <v>8278.84761441146</v>
      </c>
      <c r="Q29" s="9" t="n">
        <f aca="false">MAX(0,(((P29*(1-Assumptions!$C$19))+Q27)-Q28))</f>
        <v>10041.9702444368</v>
      </c>
      <c r="R29" s="9" t="n">
        <f aca="false">MAX(0,(((Q29*(1-Assumptions!$C$19))+R27)-R28))</f>
        <v>11431.4103239816</v>
      </c>
      <c r="S29" s="9" t="n">
        <f aca="false">MAX(0,(((R29*(1-Assumptions!$C$19))+S27)-S28))</f>
        <v>12227.8308590752</v>
      </c>
      <c r="T29" s="9" t="n">
        <f aca="false">MAX(0,(((S29*(1-Assumptions!$C$19))+T27)-T28))</f>
        <v>12726.7447814186</v>
      </c>
      <c r="U29" s="9" t="n">
        <f aca="false">MAX(0,(((T29*(1-Assumptions!$C$19))+U27)-U28))</f>
        <v>13755.749264185</v>
      </c>
      <c r="V29" s="9" t="n">
        <f aca="false">MAX(0,(((U29*(1-Assumptions!$C$19))+V27)-V28))</f>
        <v>17258.9366461053</v>
      </c>
      <c r="W29" s="9" t="n">
        <f aca="false">MAX(0,(((V29*(1-Assumptions!$C$19))+W27)-W28))</f>
        <v>21094.4065520899</v>
      </c>
      <c r="X29" s="9" t="n">
        <f aca="false">MAX(0,(((W29*(1-Assumptions!$C$19))+X27)-X28))</f>
        <v>22543.8922624732</v>
      </c>
      <c r="Y29" s="9" t="n">
        <f aca="false">MAX(0,(((X29*(1-Assumptions!$C$19))+Y27)-Y28))</f>
        <v>23317.3936672164</v>
      </c>
      <c r="Z29" s="9" t="n">
        <f aca="false">MAX(0,(((Y29*(1-Assumptions!$C$19))+Z27)-Z28))</f>
        <v>23452.8998862708</v>
      </c>
      <c r="AA29" s="9" t="n">
        <f aca="false">MAX(0,(((Z29*(1-Assumptions!$C$19))+AA27)-AA28))</f>
        <v>26118.4299744497</v>
      </c>
      <c r="AB29" s="9" t="n">
        <f aca="false">MAX(0,(((AA29*(1-Assumptions!$C$19))+AB27)-AB28))</f>
        <v>27875.7347332617</v>
      </c>
      <c r="AC29" s="9" t="n">
        <f aca="false">MAX(0,(((AB29*(1-Assumptions!$C$19))+AC27)-AC28))</f>
        <v>28804.7740179266</v>
      </c>
      <c r="AD29" s="9" t="n">
        <f aca="false">MAX(0,(((AC29*(1-Assumptions!$C$19))+AD27)-AD28))</f>
        <v>29336.760664478</v>
      </c>
      <c r="AE29" s="9" t="n">
        <f aca="false">MAX(0,(((AD29*(1-Assumptions!$C$19))+AE27)-AE28))</f>
        <v>29133.0340740457</v>
      </c>
      <c r="AF29" s="9" t="n">
        <f aca="false">MAX(0,(((AE29*(1-Assumptions!$C$19))+AF27)-AF28))</f>
        <v>28629.4164650398</v>
      </c>
      <c r="AG29" s="9" t="n">
        <f aca="false">MAX(0,(((AF29*(1-Assumptions!$C$19))+AG27)-AG28))</f>
        <v>29015.6684442735</v>
      </c>
      <c r="AH29" s="9" t="n">
        <f aca="false">MAX(0,(((AG29*(1-Assumptions!$C$19))+AH27)-AH28))</f>
        <v>33022.0223432421</v>
      </c>
      <c r="AI29" s="9" t="n">
        <f aca="false">MAX(0,(((AH29*(1-Assumptions!$C$19))+AI27)-AI28))</f>
        <v>37515.4125749487</v>
      </c>
      <c r="AJ29" s="9" t="n">
        <f aca="false">MAX(0,(((AI29*(1-Assumptions!$C$19))+AJ27)-AJ28))</f>
        <v>38699.3782562601</v>
      </c>
      <c r="AK29" s="9" t="n">
        <f aca="false">MAX(0,(((AJ29*(1-Assumptions!$C$19))+AK27)-AK28))</f>
        <v>38991.9110459851</v>
      </c>
      <c r="AL29" s="9" t="n">
        <f aca="false">MAX(0,(((AK29*(1-Assumptions!$C$19))+AL27)-AL28))</f>
        <v>38462.4782523747</v>
      </c>
      <c r="AN29" s="11" t="n">
        <f aca="false">N29</f>
        <v>2709.32361208191</v>
      </c>
      <c r="AO29" s="11" t="n">
        <f aca="false">Z29</f>
        <v>23452.8998862708</v>
      </c>
      <c r="AP29" s="11" t="n">
        <f aca="false">AL29</f>
        <v>38462.4782523747</v>
      </c>
    </row>
    <row r="30" customFormat="false" ht="15" hidden="false" customHeight="false" outlineLevel="0" collapsed="false">
      <c r="A30" s="0" t="s">
        <v>835</v>
      </c>
      <c r="B30" s="0" t="s">
        <v>193</v>
      </c>
      <c r="C30" s="12" t="n">
        <f aca="false">IF(AND(($C$14=1),(C$18&gt;=(Assumptions!$C$106+1)),(C$18&lt;=(Assumptions!$C$106+3))),Assumptions!$C$115,0)</f>
        <v>0</v>
      </c>
      <c r="D30" s="12" t="n">
        <f aca="false">IF(AND(($C$14=1),(D$18&gt;=(Assumptions!$C$106+1)),(D$18&lt;=(Assumptions!$C$106+3))),Assumptions!$C$115,0)</f>
        <v>0</v>
      </c>
      <c r="E30" s="12" t="n">
        <f aca="false">IF(AND(($C$14=1),(E$18&gt;=(Assumptions!$C$106+1)),(E$18&lt;=(Assumptions!$C$106+3))),Assumptions!$C$115,0)</f>
        <v>0</v>
      </c>
      <c r="F30" s="12" t="n">
        <f aca="false">IF(AND(($C$14=1),(F$18&gt;=(Assumptions!$C$106+1)),(F$18&lt;=(Assumptions!$C$106+3))),Assumptions!$C$115,0)</f>
        <v>0</v>
      </c>
      <c r="G30" s="12" t="n">
        <f aca="false">IF(AND(($C$14=1),(G$18&gt;=(Assumptions!$C$106+1)),(G$18&lt;=(Assumptions!$C$106+3))),Assumptions!$C$115,0)</f>
        <v>0</v>
      </c>
      <c r="H30" s="12" t="n">
        <f aca="false">IF(AND(($C$14=1),(H$18&gt;=(Assumptions!$C$106+1)),(H$18&lt;=(Assumptions!$C$106+3))),Assumptions!$C$115,0)</f>
        <v>0</v>
      </c>
      <c r="I30" s="12" t="n">
        <f aca="false">IF(AND(($C$14=1),(I$18&gt;=(Assumptions!$C$106+1)),(I$18&lt;=(Assumptions!$C$106+3))),Assumptions!$C$115,0)</f>
        <v>0</v>
      </c>
      <c r="J30" s="12" t="n">
        <f aca="false">IF(AND(($C$14=1),(J$18&gt;=(Assumptions!$C$106+1)),(J$18&lt;=(Assumptions!$C$106+3))),Assumptions!$C$115,0)</f>
        <v>0</v>
      </c>
      <c r="K30" s="12" t="n">
        <f aca="false">IF(AND(($C$14=1),(K$18&gt;=(Assumptions!$C$106+1)),(K$18&lt;=(Assumptions!$C$106+3))),Assumptions!$C$115,0)</f>
        <v>0</v>
      </c>
      <c r="L30" s="12" t="n">
        <f aca="false">IF(AND(($C$14=1),(L$18&gt;=(Assumptions!$C$106+1)),(L$18&lt;=(Assumptions!$C$106+3))),Assumptions!$C$115,0)</f>
        <v>0</v>
      </c>
      <c r="M30" s="12" t="n">
        <f aca="false">IF(AND(($C$14=1),(M$18&gt;=(Assumptions!$C$106+1)),(M$18&lt;=(Assumptions!$C$106+3))),Assumptions!$C$115,0)</f>
        <v>0</v>
      </c>
      <c r="N30" s="12" t="n">
        <f aca="false">IF(AND(($C$14=1),(N$18&gt;=(Assumptions!$C$106+1)),(N$18&lt;=(Assumptions!$C$106+3))),Assumptions!$C$115,0)</f>
        <v>0</v>
      </c>
      <c r="O30" s="12" t="n">
        <f aca="false">IF(AND(($C$14=1),(O$18&gt;=(Assumptions!$C$106+1)),(O$18&lt;=(Assumptions!$C$106+3))),Assumptions!$C$115,0)</f>
        <v>0</v>
      </c>
      <c r="P30" s="12" t="n">
        <f aca="false">IF(AND(($C$14=1),(P$18&gt;=(Assumptions!$C$106+1)),(P$18&lt;=(Assumptions!$C$106+3))),Assumptions!$C$115,0)</f>
        <v>0</v>
      </c>
      <c r="Q30" s="12" t="n">
        <f aca="false">IF(AND(($C$14=1),(Q$18&gt;=(Assumptions!$C$106+1)),(Q$18&lt;=(Assumptions!$C$106+3))),Assumptions!$C$115,0)</f>
        <v>0</v>
      </c>
      <c r="R30" s="12" t="n">
        <f aca="false">IF(AND(($C$14=1),(R$18&gt;=(Assumptions!$C$106+1)),(R$18&lt;=(Assumptions!$C$106+3))),Assumptions!$C$115,0)</f>
        <v>0</v>
      </c>
      <c r="S30" s="12" t="n">
        <f aca="false">IF(AND(($C$14=1),(S$18&gt;=(Assumptions!$C$106+1)),(S$18&lt;=(Assumptions!$C$106+3))),Assumptions!$C$115,0)</f>
        <v>0</v>
      </c>
      <c r="T30" s="12" t="n">
        <f aca="false">IF(AND(($C$14=1),(T$18&gt;=(Assumptions!$C$106+1)),(T$18&lt;=(Assumptions!$C$106+3))),Assumptions!$C$115,0)</f>
        <v>0</v>
      </c>
      <c r="U30" s="12" t="n">
        <f aca="false">IF(AND(($C$14=1),(U$18&gt;=(Assumptions!$C$106+1)),(U$18&lt;=(Assumptions!$C$106+3))),Assumptions!$C$115,0)</f>
        <v>0</v>
      </c>
      <c r="V30" s="12" t="n">
        <f aca="false">IF(AND(($C$14=1),(V$18&gt;=(Assumptions!$C$106+1)),(V$18&lt;=(Assumptions!$C$106+3))),Assumptions!$C$115,0)</f>
        <v>0</v>
      </c>
      <c r="W30" s="12" t="n">
        <f aca="false">IF(AND(($C$14=1),(W$18&gt;=(Assumptions!$C$106+1)),(W$18&lt;=(Assumptions!$C$106+3))),Assumptions!$C$115,0)</f>
        <v>0</v>
      </c>
      <c r="X30" s="12" t="n">
        <f aca="false">IF(AND(($C$14=1),(X$18&gt;=(Assumptions!$C$106+1)),(X$18&lt;=(Assumptions!$C$106+3))),Assumptions!$C$115,0)</f>
        <v>0</v>
      </c>
      <c r="Y30" s="12" t="n">
        <f aca="false">IF(AND(($C$14=1),(Y$18&gt;=(Assumptions!$C$106+1)),(Y$18&lt;=(Assumptions!$C$106+3))),Assumptions!$C$115,0)</f>
        <v>0</v>
      </c>
      <c r="Z30" s="12" t="n">
        <f aca="false">IF(AND(($C$14=1),(Z$18&gt;=(Assumptions!$C$106+1)),(Z$18&lt;=(Assumptions!$C$106+3))),Assumptions!$C$115,0)</f>
        <v>0</v>
      </c>
      <c r="AA30" s="12" t="n">
        <f aca="false">IF(AND(($C$14=1),(AA$18&gt;=(Assumptions!$C$106+1)),(AA$18&lt;=(Assumptions!$C$106+3))),Assumptions!$C$115,0)</f>
        <v>0</v>
      </c>
      <c r="AB30" s="12" t="n">
        <f aca="false">IF(AND(($C$14=1),(AB$18&gt;=(Assumptions!$C$106+1)),(AB$18&lt;=(Assumptions!$C$106+3))),Assumptions!$C$115,0)</f>
        <v>0</v>
      </c>
      <c r="AC30" s="12" t="n">
        <f aca="false">IF(AND(($C$14=1),(AC$18&gt;=(Assumptions!$C$106+1)),(AC$18&lt;=(Assumptions!$C$106+3))),Assumptions!$C$115,0)</f>
        <v>0</v>
      </c>
      <c r="AD30" s="12" t="n">
        <f aca="false">IF(AND(($C$14=1),(AD$18&gt;=(Assumptions!$C$106+1)),(AD$18&lt;=(Assumptions!$C$106+3))),Assumptions!$C$115,0)</f>
        <v>0</v>
      </c>
      <c r="AE30" s="12" t="n">
        <f aca="false">IF(AND(($C$14=1),(AE$18&gt;=(Assumptions!$C$106+1)),(AE$18&lt;=(Assumptions!$C$106+3))),Assumptions!$C$115,0)</f>
        <v>0</v>
      </c>
      <c r="AF30" s="12" t="n">
        <f aca="false">IF(AND(($C$14=1),(AF$18&gt;=(Assumptions!$C$106+1)),(AF$18&lt;=(Assumptions!$C$106+3))),Assumptions!$C$115,0)</f>
        <v>0</v>
      </c>
      <c r="AG30" s="12" t="n">
        <f aca="false">IF(AND(($C$14=1),(AG$18&gt;=(Assumptions!$C$106+1)),(AG$18&lt;=(Assumptions!$C$106+3))),Assumptions!$C$115,0)</f>
        <v>0</v>
      </c>
      <c r="AH30" s="12" t="n">
        <f aca="false">IF(AND(($C$14=1),(AH$18&gt;=(Assumptions!$C$106+1)),(AH$18&lt;=(Assumptions!$C$106+3))),Assumptions!$C$115,0)</f>
        <v>0</v>
      </c>
      <c r="AI30" s="12" t="n">
        <f aca="false">IF(AND(($C$14=1),(AI$18&gt;=(Assumptions!$C$106+1)),(AI$18&lt;=(Assumptions!$C$106+3))),Assumptions!$C$115,0)</f>
        <v>0</v>
      </c>
      <c r="AJ30" s="12" t="n">
        <f aca="false">IF(AND(($C$14=1),(AJ$18&gt;=(Assumptions!$C$106+1)),(AJ$18&lt;=(Assumptions!$C$106+3))),Assumptions!$C$115,0)</f>
        <v>0</v>
      </c>
      <c r="AK30" s="12" t="n">
        <f aca="false">IF(AND(($C$14=1),(AK$18&gt;=(Assumptions!$C$106+1)),(AK$18&lt;=(Assumptions!$C$106+3))),Assumptions!$C$115,0)</f>
        <v>0</v>
      </c>
      <c r="AL30" s="12" t="n">
        <f aca="false">IF(AND(($C$14=1),(AL$18&gt;=(Assumptions!$C$106+1)),(AL$18&lt;=(Assumptions!$C$106+3))),Assumptions!$C$115,0)</f>
        <v>0</v>
      </c>
    </row>
    <row r="31" customFormat="false" ht="15" hidden="false" customHeight="false" outlineLevel="0" collapsed="false">
      <c r="A31" s="0" t="s">
        <v>836</v>
      </c>
      <c r="B31" s="0" t="s">
        <v>193</v>
      </c>
      <c r="C31" s="12" t="n">
        <f aca="false">MIN(1,((Assumptions!$C$22*$C$6)+C30))</f>
        <v>0.0425</v>
      </c>
      <c r="D31" s="12" t="n">
        <f aca="false">MIN(1,((Assumptions!$C$22*$C$6)+D30))</f>
        <v>0.0425</v>
      </c>
      <c r="E31" s="12" t="n">
        <f aca="false">MIN(1,((Assumptions!$C$22*$C$6)+E30))</f>
        <v>0.0425</v>
      </c>
      <c r="F31" s="12" t="n">
        <f aca="false">MIN(1,((Assumptions!$C$22*$C$6)+F30))</f>
        <v>0.0425</v>
      </c>
      <c r="G31" s="12" t="n">
        <f aca="false">MIN(1,((Assumptions!$C$22*$C$6)+G30))</f>
        <v>0.0425</v>
      </c>
      <c r="H31" s="12" t="n">
        <f aca="false">MIN(1,((Assumptions!$C$22*$C$6)+H30))</f>
        <v>0.0425</v>
      </c>
      <c r="I31" s="12" t="n">
        <f aca="false">MIN(1,((Assumptions!$C$22*$C$6)+I30))</f>
        <v>0.0425</v>
      </c>
      <c r="J31" s="12" t="n">
        <f aca="false">MIN(1,((Assumptions!$C$22*$C$6)+J30))</f>
        <v>0.0425</v>
      </c>
      <c r="K31" s="12" t="n">
        <f aca="false">MIN(1,((Assumptions!$C$22*$C$6)+K30))</f>
        <v>0.0425</v>
      </c>
      <c r="L31" s="12" t="n">
        <f aca="false">MIN(1,((Assumptions!$C$22*$C$6)+L30))</f>
        <v>0.0425</v>
      </c>
      <c r="M31" s="12" t="n">
        <f aca="false">MIN(1,((Assumptions!$C$22*$C$6)+M30))</f>
        <v>0.0425</v>
      </c>
      <c r="N31" s="12" t="n">
        <f aca="false">MIN(1,((Assumptions!$C$22*$C$6)+N30))</f>
        <v>0.0425</v>
      </c>
      <c r="O31" s="12" t="n">
        <f aca="false">MIN(1,((Assumptions!$C$22*$C$6)+O30))</f>
        <v>0.0425</v>
      </c>
      <c r="P31" s="12" t="n">
        <f aca="false">MIN(1,((Assumptions!$C$22*$C$6)+P30))</f>
        <v>0.0425</v>
      </c>
      <c r="Q31" s="12" t="n">
        <f aca="false">MIN(1,((Assumptions!$C$22*$C$6)+Q30))</f>
        <v>0.0425</v>
      </c>
      <c r="R31" s="12" t="n">
        <f aca="false">MIN(1,((Assumptions!$C$22*$C$6)+R30))</f>
        <v>0.0425</v>
      </c>
      <c r="S31" s="12" t="n">
        <f aca="false">MIN(1,((Assumptions!$C$22*$C$6)+S30))</f>
        <v>0.0425</v>
      </c>
      <c r="T31" s="12" t="n">
        <f aca="false">MIN(1,((Assumptions!$C$22*$C$6)+T30))</f>
        <v>0.0425</v>
      </c>
      <c r="U31" s="12" t="n">
        <f aca="false">MIN(1,((Assumptions!$C$22*$C$6)+U30))</f>
        <v>0.0425</v>
      </c>
      <c r="V31" s="12" t="n">
        <f aca="false">MIN(1,((Assumptions!$C$22*$C$6)+V30))</f>
        <v>0.0425</v>
      </c>
      <c r="W31" s="12" t="n">
        <f aca="false">MIN(1,((Assumptions!$C$22*$C$6)+W30))</f>
        <v>0.0425</v>
      </c>
      <c r="X31" s="12" t="n">
        <f aca="false">MIN(1,((Assumptions!$C$22*$C$6)+X30))</f>
        <v>0.0425</v>
      </c>
      <c r="Y31" s="12" t="n">
        <f aca="false">MIN(1,((Assumptions!$C$22*$C$6)+Y30))</f>
        <v>0.0425</v>
      </c>
      <c r="Z31" s="12" t="n">
        <f aca="false">MIN(1,((Assumptions!$C$22*$C$6)+Z30))</f>
        <v>0.0425</v>
      </c>
      <c r="AA31" s="12" t="n">
        <f aca="false">MIN(1,((Assumptions!$C$22*$C$6)+AA30))</f>
        <v>0.0425</v>
      </c>
      <c r="AB31" s="12" t="n">
        <f aca="false">MIN(1,((Assumptions!$C$22*$C$6)+AB30))</f>
        <v>0.0425</v>
      </c>
      <c r="AC31" s="12" t="n">
        <f aca="false">MIN(1,((Assumptions!$C$22*$C$6)+AC30))</f>
        <v>0.0425</v>
      </c>
      <c r="AD31" s="12" t="n">
        <f aca="false">MIN(1,((Assumptions!$C$22*$C$6)+AD30))</f>
        <v>0.0425</v>
      </c>
      <c r="AE31" s="12" t="n">
        <f aca="false">MIN(1,((Assumptions!$C$22*$C$6)+AE30))</f>
        <v>0.0425</v>
      </c>
      <c r="AF31" s="12" t="n">
        <f aca="false">MIN(1,((Assumptions!$C$22*$C$6)+AF30))</f>
        <v>0.0425</v>
      </c>
      <c r="AG31" s="12" t="n">
        <f aca="false">MIN(1,((Assumptions!$C$22*$C$6)+AG30))</f>
        <v>0.0425</v>
      </c>
      <c r="AH31" s="12" t="n">
        <f aca="false">MIN(1,((Assumptions!$C$22*$C$6)+AH30))</f>
        <v>0.0425</v>
      </c>
      <c r="AI31" s="12" t="n">
        <f aca="false">MIN(1,((Assumptions!$C$22*$C$6)+AI30))</f>
        <v>0.0425</v>
      </c>
      <c r="AJ31" s="12" t="n">
        <f aca="false">MIN(1,((Assumptions!$C$22*$C$6)+AJ30))</f>
        <v>0.0425</v>
      </c>
      <c r="AK31" s="12" t="n">
        <f aca="false">MIN(1,((Assumptions!$C$22*$C$6)+AK30))</f>
        <v>0.0425</v>
      </c>
      <c r="AL31" s="12" t="n">
        <f aca="false">MIN(1,((Assumptions!$C$22*$C$6)+AL30))</f>
        <v>0.0425</v>
      </c>
    </row>
    <row r="32" customFormat="false" ht="15" hidden="false" customHeight="false" outlineLevel="0" collapsed="false">
      <c r="A32" s="0" t="s">
        <v>837</v>
      </c>
      <c r="B32" s="0" t="s">
        <v>500</v>
      </c>
      <c r="C32" s="9" t="n">
        <f aca="false">(C28*(1-Assumptions!$C$21))</f>
        <v>0</v>
      </c>
      <c r="D32" s="9" t="n">
        <f aca="false">(D28*(1-Assumptions!$C$21))</f>
        <v>0</v>
      </c>
      <c r="E32" s="9" t="n">
        <f aca="false">(E28*(1-Assumptions!$C$21))</f>
        <v>0</v>
      </c>
      <c r="F32" s="9" t="n">
        <f aca="false">(F28*(1-Assumptions!$C$21))</f>
        <v>0</v>
      </c>
      <c r="G32" s="9" t="n">
        <f aca="false">(G28*(1-Assumptions!$C$21))</f>
        <v>0</v>
      </c>
      <c r="H32" s="9" t="n">
        <f aca="false">(H28*(1-Assumptions!$C$21))</f>
        <v>0</v>
      </c>
      <c r="I32" s="9" t="n">
        <f aca="false">(I28*(1-Assumptions!$C$21))</f>
        <v>0</v>
      </c>
      <c r="J32" s="9" t="n">
        <f aca="false">(J28*(1-Assumptions!$C$21))</f>
        <v>0</v>
      </c>
      <c r="K32" s="9" t="n">
        <f aca="false">(K28*(1-Assumptions!$C$21))</f>
        <v>0</v>
      </c>
      <c r="L32" s="9" t="n">
        <f aca="false">(L28*(1-Assumptions!$C$21))</f>
        <v>0</v>
      </c>
      <c r="M32" s="9" t="n">
        <f aca="false">(M28*(1-Assumptions!$C$21))</f>
        <v>0</v>
      </c>
      <c r="N32" s="9" t="n">
        <f aca="false">(N28*(1-Assumptions!$C$21))</f>
        <v>0</v>
      </c>
      <c r="O32" s="9" t="n">
        <f aca="false">(O28*(1-Assumptions!$C$21))</f>
        <v>4.47038395993515</v>
      </c>
      <c r="P32" s="9" t="n">
        <f aca="false">(P28*(1-Assumptions!$C$21))</f>
        <v>9.65873499306552</v>
      </c>
      <c r="Q32" s="9" t="n">
        <f aca="false">(Q28*(1-Assumptions!$C$21))</f>
        <v>13.6600985637789</v>
      </c>
      <c r="R32" s="9" t="n">
        <f aca="false">(R28*(1-Assumptions!$C$21))</f>
        <v>16.5692509033207</v>
      </c>
      <c r="S32" s="9" t="n">
        <f aca="false">(S28*(1-Assumptions!$C$21))</f>
        <v>18.8618270345697</v>
      </c>
      <c r="T32" s="9" t="n">
        <f aca="false">(T28*(1-Assumptions!$C$21))</f>
        <v>20.175920917474</v>
      </c>
      <c r="U32" s="9" t="n">
        <f aca="false">(U28*(1-Assumptions!$C$21))</f>
        <v>20.9991288893407</v>
      </c>
      <c r="V32" s="9" t="n">
        <f aca="false">(V28*(1-Assumptions!$C$21))</f>
        <v>22.6969862859052</v>
      </c>
      <c r="W32" s="9" t="n">
        <f aca="false">(W28*(1-Assumptions!$C$21))</f>
        <v>28.4772454660737</v>
      </c>
      <c r="X32" s="9" t="n">
        <f aca="false">(X28*(1-Assumptions!$C$21))</f>
        <v>34.8057708109484</v>
      </c>
      <c r="Y32" s="9" t="n">
        <f aca="false">(Y28*(1-Assumptions!$C$21))</f>
        <v>37.1974222330808</v>
      </c>
      <c r="Z32" s="9" t="n">
        <f aca="false">(Z28*(1-Assumptions!$C$21))</f>
        <v>38.473699550907</v>
      </c>
      <c r="AA32" s="9" t="n">
        <f aca="false">(AA28*(1-Assumptions!$C$21))</f>
        <v>38.6972848123467</v>
      </c>
      <c r="AB32" s="9" t="n">
        <f aca="false">(AB28*(1-Assumptions!$C$21))</f>
        <v>43.095409457842</v>
      </c>
      <c r="AC32" s="9" t="n">
        <f aca="false">(AC28*(1-Assumptions!$C$21))</f>
        <v>45.9949623098817</v>
      </c>
      <c r="AD32" s="9" t="n">
        <f aca="false">(AD28*(1-Assumptions!$C$21))</f>
        <v>47.5278771295788</v>
      </c>
      <c r="AE32" s="9" t="n">
        <f aca="false">(AE28*(1-Assumptions!$C$21))</f>
        <v>48.4056550963888</v>
      </c>
      <c r="AF32" s="9" t="n">
        <f aca="false">(AF28*(1-Assumptions!$C$21))</f>
        <v>48.0695062221754</v>
      </c>
      <c r="AG32" s="9" t="n">
        <f aca="false">(AG28*(1-Assumptions!$C$21))</f>
        <v>47.2385371673156</v>
      </c>
      <c r="AH32" s="9" t="n">
        <f aca="false">(AH28*(1-Assumptions!$C$21))</f>
        <v>47.8758529330513</v>
      </c>
      <c r="AI32" s="9" t="n">
        <f aca="false">(AI28*(1-Assumptions!$C$21))</f>
        <v>54.4863368663495</v>
      </c>
      <c r="AJ32" s="9" t="n">
        <f aca="false">(AJ28*(1-Assumptions!$C$21))</f>
        <v>61.9004307486654</v>
      </c>
      <c r="AK32" s="9" t="n">
        <f aca="false">(AK28*(1-Assumptions!$C$21))</f>
        <v>63.8539741228292</v>
      </c>
      <c r="AL32" s="9" t="n">
        <f aca="false">(AL28*(1-Assumptions!$C$21))</f>
        <v>64.3366532258754</v>
      </c>
      <c r="AN32" s="11" t="n">
        <f aca="false">SUM(C32:N32)</f>
        <v>0</v>
      </c>
      <c r="AO32" s="11" t="n">
        <f aca="false">SUM(O32:Z32)</f>
        <v>266.0464696084</v>
      </c>
      <c r="AP32" s="11" t="n">
        <f aca="false">SUM(AA32:AL32)</f>
        <v>611.4824800923</v>
      </c>
    </row>
    <row r="33" customFormat="false" ht="15" hidden="false" customHeight="false" outlineLevel="0" collapsed="false">
      <c r="A33" s="0" t="s">
        <v>838</v>
      </c>
      <c r="B33" s="0" t="s">
        <v>500</v>
      </c>
      <c r="C33" s="9" t="n">
        <f aca="false">(C28*Assumptions!$C$21)</f>
        <v>0</v>
      </c>
      <c r="D33" s="9" t="n">
        <f aca="false">(D28*Assumptions!$C$21)</f>
        <v>0</v>
      </c>
      <c r="E33" s="9" t="n">
        <f aca="false">(E28*Assumptions!$C$21)</f>
        <v>0</v>
      </c>
      <c r="F33" s="9" t="n">
        <f aca="false">(F28*Assumptions!$C$21)</f>
        <v>0</v>
      </c>
      <c r="G33" s="9" t="n">
        <f aca="false">(G28*Assumptions!$C$21)</f>
        <v>0</v>
      </c>
      <c r="H33" s="9" t="n">
        <f aca="false">(H28*Assumptions!$C$21)</f>
        <v>0</v>
      </c>
      <c r="I33" s="9" t="n">
        <f aca="false">(I28*Assumptions!$C$21)</f>
        <v>0</v>
      </c>
      <c r="J33" s="9" t="n">
        <f aca="false">(J28*Assumptions!$C$21)</f>
        <v>0</v>
      </c>
      <c r="K33" s="9" t="n">
        <f aca="false">(K28*Assumptions!$C$21)</f>
        <v>0</v>
      </c>
      <c r="L33" s="9" t="n">
        <f aca="false">(L28*Assumptions!$C$21)</f>
        <v>0</v>
      </c>
      <c r="M33" s="9" t="n">
        <f aca="false">(M28*Assumptions!$C$21)</f>
        <v>0</v>
      </c>
      <c r="N33" s="9" t="n">
        <f aca="false">(N28*Assumptions!$C$21)</f>
        <v>0</v>
      </c>
      <c r="O33" s="9" t="n">
        <f aca="false">(O28*Assumptions!$C$21)</f>
        <v>3.65758687631058</v>
      </c>
      <c r="P33" s="9" t="n">
        <f aca="false">(P28*Assumptions!$C$21)</f>
        <v>7.90260135796269</v>
      </c>
      <c r="Q33" s="9" t="n">
        <f aca="false">(Q28*Assumptions!$C$21)</f>
        <v>11.1764442794555</v>
      </c>
      <c r="R33" s="9" t="n">
        <f aca="false">(R28*Assumptions!$C$21)</f>
        <v>13.5566598299897</v>
      </c>
      <c r="S33" s="9" t="n">
        <f aca="false">(S28*Assumptions!$C$21)</f>
        <v>15.4324039373752</v>
      </c>
      <c r="T33" s="9" t="n">
        <f aca="false">(T28*Assumptions!$C$21)</f>
        <v>16.5075716597515</v>
      </c>
      <c r="U33" s="9" t="n">
        <f aca="false">(U28*Assumptions!$C$21)</f>
        <v>17.1811054549151</v>
      </c>
      <c r="V33" s="9" t="n">
        <f aca="false">(V28*Assumptions!$C$21)</f>
        <v>18.5702615066497</v>
      </c>
      <c r="W33" s="9" t="n">
        <f aca="false">(W28*Assumptions!$C$21)</f>
        <v>23.2995644722421</v>
      </c>
      <c r="X33" s="9" t="n">
        <f aca="false">(X28*Assumptions!$C$21)</f>
        <v>28.4774488453214</v>
      </c>
      <c r="Y33" s="9" t="n">
        <f aca="false">(Y28*Assumptions!$C$21)</f>
        <v>30.4342545543388</v>
      </c>
      <c r="Z33" s="9" t="n">
        <f aca="false">(Z28*Assumptions!$C$21)</f>
        <v>31.4784814507421</v>
      </c>
      <c r="AA33" s="9" t="n">
        <f aca="false">(AA28*Assumptions!$C$21)</f>
        <v>31.6614148464655</v>
      </c>
      <c r="AB33" s="9" t="n">
        <f aca="false">(AB28*Assumptions!$C$21)</f>
        <v>35.2598804655071</v>
      </c>
      <c r="AC33" s="9" t="n">
        <f aca="false">(AC28*Assumptions!$C$21)</f>
        <v>37.6322418899032</v>
      </c>
      <c r="AD33" s="9" t="n">
        <f aca="false">(AD28*Assumptions!$C$21)</f>
        <v>38.8864449242009</v>
      </c>
      <c r="AE33" s="9" t="n">
        <f aca="false">(AE28*Assumptions!$C$21)</f>
        <v>39.6046268970454</v>
      </c>
      <c r="AF33" s="9" t="n">
        <f aca="false">(AF28*Assumptions!$C$21)</f>
        <v>39.3295959999617</v>
      </c>
      <c r="AG33" s="9" t="n">
        <f aca="false">(AG28*Assumptions!$C$21)</f>
        <v>38.6497122278037</v>
      </c>
      <c r="AH33" s="9" t="n">
        <f aca="false">(AH28*Assumptions!$C$21)</f>
        <v>39.1711523997693</v>
      </c>
      <c r="AI33" s="9" t="n">
        <f aca="false">(AI28*Assumptions!$C$21)</f>
        <v>44.5797301633769</v>
      </c>
      <c r="AJ33" s="9" t="n">
        <f aca="false">(AJ28*Assumptions!$C$21)</f>
        <v>50.6458069761808</v>
      </c>
      <c r="AK33" s="9" t="n">
        <f aca="false">(AK28*Assumptions!$C$21)</f>
        <v>52.2441606459511</v>
      </c>
      <c r="AL33" s="9" t="n">
        <f aca="false">(AL28*Assumptions!$C$21)</f>
        <v>52.6390799120799</v>
      </c>
      <c r="AN33" s="11" t="n">
        <f aca="false">SUM(C33:N33)</f>
        <v>0</v>
      </c>
      <c r="AO33" s="11" t="n">
        <f aca="false">SUM(O33:Z33)</f>
        <v>217.674384225054</v>
      </c>
      <c r="AP33" s="11" t="n">
        <f aca="false">SUM(AA33:AL33)</f>
        <v>500.303847348245</v>
      </c>
    </row>
    <row r="34" customFormat="false" ht="15" hidden="false" customHeight="false" outlineLevel="0" collapsed="false">
      <c r="A34" s="0" t="s">
        <v>839</v>
      </c>
      <c r="B34" s="0" t="s">
        <v>500</v>
      </c>
      <c r="C34" s="9" t="n">
        <f aca="false">((0*(1-C31))+C32)</f>
        <v>0</v>
      </c>
      <c r="D34" s="9" t="n">
        <f aca="false">((C34*(1-D31))+D32)</f>
        <v>0</v>
      </c>
      <c r="E34" s="9" t="n">
        <f aca="false">((D34*(1-E31))+E32)</f>
        <v>0</v>
      </c>
      <c r="F34" s="9" t="n">
        <f aca="false">((E34*(1-F31))+F32)</f>
        <v>0</v>
      </c>
      <c r="G34" s="9" t="n">
        <f aca="false">((F34*(1-G31))+G32)</f>
        <v>0</v>
      </c>
      <c r="H34" s="9" t="n">
        <f aca="false">((G34*(1-H31))+H32)</f>
        <v>0</v>
      </c>
      <c r="I34" s="9" t="n">
        <f aca="false">((H34*(1-I31))+I32)</f>
        <v>0</v>
      </c>
      <c r="J34" s="9" t="n">
        <f aca="false">((I34*(1-J31))+J32)</f>
        <v>0</v>
      </c>
      <c r="K34" s="9" t="n">
        <f aca="false">((J34*(1-K31))+K32)</f>
        <v>0</v>
      </c>
      <c r="L34" s="9" t="n">
        <f aca="false">((K34*(1-L31))+L32)</f>
        <v>0</v>
      </c>
      <c r="M34" s="9" t="n">
        <f aca="false">((L34*(1-M31))+M32)</f>
        <v>0</v>
      </c>
      <c r="N34" s="9" t="n">
        <f aca="false">((M34*(1-N31))+N32)</f>
        <v>0</v>
      </c>
      <c r="O34" s="9" t="n">
        <f aca="false">((N34*(1-O31))+O32)</f>
        <v>4.47038395993515</v>
      </c>
      <c r="P34" s="9" t="n">
        <f aca="false">((O34*(1-P31))+P32)</f>
        <v>13.9391276347034</v>
      </c>
      <c r="Q34" s="9" t="n">
        <f aca="false">((P34*(1-Q31))+Q32)</f>
        <v>27.0068132740074</v>
      </c>
      <c r="R34" s="9" t="n">
        <f aca="false">((Q34*(1-R31))+R32)</f>
        <v>42.4282746131828</v>
      </c>
      <c r="S34" s="9" t="n">
        <f aca="false">((R34*(1-S31))+S32)</f>
        <v>59.4868999766922</v>
      </c>
      <c r="T34" s="9" t="n">
        <f aca="false">((S34*(1-T31))+T32)</f>
        <v>77.1346276451568</v>
      </c>
      <c r="U34" s="9" t="n">
        <f aca="false">((T34*(1-U31))+U32)</f>
        <v>94.8555348595783</v>
      </c>
      <c r="V34" s="9" t="n">
        <f aca="false">((U34*(1-V31))+V32)</f>
        <v>113.521160913951</v>
      </c>
      <c r="W34" s="9" t="n">
        <f aca="false">((V34*(1-W31))+W32)</f>
        <v>137.173757041182</v>
      </c>
      <c r="X34" s="9" t="n">
        <f aca="false">((W34*(1-X31))+X32)</f>
        <v>166.14964317788</v>
      </c>
      <c r="Y34" s="9" t="n">
        <f aca="false">((X34*(1-Y31))+Y32)</f>
        <v>196.285705575901</v>
      </c>
      <c r="Z34" s="9" t="n">
        <f aca="false">((Y34*(1-Z31))+Z32)</f>
        <v>226.417262639832</v>
      </c>
      <c r="AA34" s="9" t="n">
        <f aca="false">((Z34*(1-AA31))+AA32)</f>
        <v>255.491813789986</v>
      </c>
      <c r="AB34" s="9" t="n">
        <f aca="false">((AA34*(1-AB31))+AB32)</f>
        <v>287.728821161754</v>
      </c>
      <c r="AC34" s="9" t="n">
        <f aca="false">((AB34*(1-AC31))+AC32)</f>
        <v>321.495308572261</v>
      </c>
      <c r="AD34" s="9" t="n">
        <f aca="false">((AC34*(1-AD31))+AD32)</f>
        <v>355.359635087519</v>
      </c>
      <c r="AE34" s="9" t="n">
        <f aca="false">((AD34*(1-AE31))+AE32)</f>
        <v>388.662505692688</v>
      </c>
      <c r="AF34" s="9" t="n">
        <f aca="false">((AE34*(1-AF31))+AF32)</f>
        <v>420.213855422924</v>
      </c>
      <c r="AG34" s="9" t="n">
        <f aca="false">((AF34*(1-AG31))+AG32)</f>
        <v>449.593303734766</v>
      </c>
      <c r="AH34" s="9" t="n">
        <f aca="false">((AG34*(1-AH31))+AH32)</f>
        <v>478.361441259089</v>
      </c>
      <c r="AI34" s="9" t="n">
        <f aca="false">((AH34*(1-AI31))+AI32)</f>
        <v>512.517416871928</v>
      </c>
      <c r="AJ34" s="9" t="n">
        <f aca="false">((AI34*(1-AJ31))+AJ32)</f>
        <v>552.635857403536</v>
      </c>
      <c r="AK34" s="9" t="n">
        <f aca="false">((AJ34*(1-AK31))+AK32)</f>
        <v>593.002807586715</v>
      </c>
      <c r="AL34" s="9" t="n">
        <f aca="false">((AK34*(1-AL31))+AL32)</f>
        <v>632.136841490155</v>
      </c>
      <c r="AN34" s="11" t="n">
        <f aca="false">N34</f>
        <v>0</v>
      </c>
      <c r="AO34" s="11" t="n">
        <f aca="false">Z34</f>
        <v>226.417262639832</v>
      </c>
      <c r="AP34" s="11" t="n">
        <f aca="false">AL34</f>
        <v>632.136841490155</v>
      </c>
    </row>
    <row r="35" customFormat="false" ht="15" hidden="false" customHeight="false" outlineLevel="0" collapsed="false">
      <c r="A35" s="0" t="s">
        <v>840</v>
      </c>
      <c r="B35" s="0" t="s">
        <v>193</v>
      </c>
      <c r="C35" s="12" t="n">
        <f aca="false">MAX(0,(1-((1-Assumptions!$C$23)*$C$6)))</f>
        <v>0.6175</v>
      </c>
      <c r="D35" s="12" t="n">
        <f aca="false">MAX(0,(1-((1-Assumptions!$C$23)*$C$6)))</f>
        <v>0.6175</v>
      </c>
      <c r="E35" s="12" t="n">
        <f aca="false">MAX(0,(1-((1-Assumptions!$C$23)*$C$6)))</f>
        <v>0.6175</v>
      </c>
      <c r="F35" s="12" t="n">
        <f aca="false">MAX(0,(1-((1-Assumptions!$C$23)*$C$6)))</f>
        <v>0.6175</v>
      </c>
      <c r="G35" s="12" t="n">
        <f aca="false">MAX(0,(1-((1-Assumptions!$C$23)*$C$6)))</f>
        <v>0.6175</v>
      </c>
      <c r="H35" s="12" t="n">
        <f aca="false">MAX(0,(1-((1-Assumptions!$C$23)*$C$6)))</f>
        <v>0.6175</v>
      </c>
      <c r="I35" s="12" t="n">
        <f aca="false">MAX(0,(1-((1-Assumptions!$C$23)*$C$6)))</f>
        <v>0.6175</v>
      </c>
      <c r="J35" s="12" t="n">
        <f aca="false">MAX(0,(1-((1-Assumptions!$C$23)*$C$6)))</f>
        <v>0.6175</v>
      </c>
      <c r="K35" s="12" t="n">
        <f aca="false">MAX(0,(1-((1-Assumptions!$C$23)*$C$6)))</f>
        <v>0.6175</v>
      </c>
      <c r="L35" s="12" t="n">
        <f aca="false">MAX(0,(1-((1-Assumptions!$C$23)*$C$6)))</f>
        <v>0.6175</v>
      </c>
      <c r="M35" s="12" t="n">
        <f aca="false">MAX(0,(1-((1-Assumptions!$C$23)*$C$6)))</f>
        <v>0.6175</v>
      </c>
      <c r="N35" s="12" t="n">
        <f aca="false">MAX(0,(1-((1-Assumptions!$C$23)*$C$6)))</f>
        <v>0.6175</v>
      </c>
      <c r="O35" s="12" t="n">
        <f aca="false">MAX(0,(1-((1-Assumptions!$C$23)*$C$6)))</f>
        <v>0.6175</v>
      </c>
      <c r="P35" s="12" t="n">
        <f aca="false">MAX(0,(1-((1-Assumptions!$C$23)*$C$6)))</f>
        <v>0.6175</v>
      </c>
      <c r="Q35" s="12" t="n">
        <f aca="false">MAX(0,(1-((1-Assumptions!$C$23)*$C$6)))</f>
        <v>0.6175</v>
      </c>
      <c r="R35" s="12" t="n">
        <f aca="false">MAX(0,(1-((1-Assumptions!$C$23)*$C$6)))</f>
        <v>0.6175</v>
      </c>
      <c r="S35" s="12" t="n">
        <f aca="false">MAX(0,(1-((1-Assumptions!$C$23)*$C$6)))</f>
        <v>0.6175</v>
      </c>
      <c r="T35" s="12" t="n">
        <f aca="false">MAX(0,(1-((1-Assumptions!$C$23)*$C$6)))</f>
        <v>0.6175</v>
      </c>
      <c r="U35" s="12" t="n">
        <f aca="false">MAX(0,(1-((1-Assumptions!$C$23)*$C$6)))</f>
        <v>0.6175</v>
      </c>
      <c r="V35" s="12" t="n">
        <f aca="false">MAX(0,(1-((1-Assumptions!$C$23)*$C$6)))</f>
        <v>0.6175</v>
      </c>
      <c r="W35" s="12" t="n">
        <f aca="false">MAX(0,(1-((1-Assumptions!$C$23)*$C$6)))</f>
        <v>0.6175</v>
      </c>
      <c r="X35" s="12" t="n">
        <f aca="false">MAX(0,(1-((1-Assumptions!$C$23)*$C$6)))</f>
        <v>0.6175</v>
      </c>
      <c r="Y35" s="12" t="n">
        <f aca="false">MAX(0,(1-((1-Assumptions!$C$23)*$C$6)))</f>
        <v>0.6175</v>
      </c>
      <c r="Z35" s="12" t="n">
        <f aca="false">MAX(0,(1-((1-Assumptions!$C$23)*$C$6)))</f>
        <v>0.6175</v>
      </c>
      <c r="AA35" s="12" t="n">
        <f aca="false">MAX(0,(1-((1-Assumptions!$C$23)*$C$6)))</f>
        <v>0.6175</v>
      </c>
      <c r="AB35" s="12" t="n">
        <f aca="false">MAX(0,(1-((1-Assumptions!$C$23)*$C$6)))</f>
        <v>0.6175</v>
      </c>
      <c r="AC35" s="12" t="n">
        <f aca="false">MAX(0,(1-((1-Assumptions!$C$23)*$C$6)))</f>
        <v>0.6175</v>
      </c>
      <c r="AD35" s="12" t="n">
        <f aca="false">MAX(0,(1-((1-Assumptions!$C$23)*$C$6)))</f>
        <v>0.6175</v>
      </c>
      <c r="AE35" s="12" t="n">
        <f aca="false">MAX(0,(1-((1-Assumptions!$C$23)*$C$6)))</f>
        <v>0.6175</v>
      </c>
      <c r="AF35" s="12" t="n">
        <f aca="false">MAX(0,(1-((1-Assumptions!$C$23)*$C$6)))</f>
        <v>0.6175</v>
      </c>
      <c r="AG35" s="12" t="n">
        <f aca="false">MAX(0,(1-((1-Assumptions!$C$23)*$C$6)))</f>
        <v>0.6175</v>
      </c>
      <c r="AH35" s="12" t="n">
        <f aca="false">MAX(0,(1-((1-Assumptions!$C$23)*$C$6)))</f>
        <v>0.6175</v>
      </c>
      <c r="AI35" s="12" t="n">
        <f aca="false">MAX(0,(1-((1-Assumptions!$C$23)*$C$6)))</f>
        <v>0.6175</v>
      </c>
      <c r="AJ35" s="12" t="n">
        <f aca="false">MAX(0,(1-((1-Assumptions!$C$23)*$C$6)))</f>
        <v>0.6175</v>
      </c>
      <c r="AK35" s="12" t="n">
        <f aca="false">MAX(0,(1-((1-Assumptions!$C$23)*$C$6)))</f>
        <v>0.6175</v>
      </c>
      <c r="AL35" s="12" t="n">
        <f aca="false">MAX(0,(1-((1-Assumptions!$C$23)*$C$6)))</f>
        <v>0.6175</v>
      </c>
    </row>
    <row r="36" customFormat="false" ht="15" hidden="false" customHeight="false" outlineLevel="0" collapsed="false">
      <c r="A36" s="0" t="s">
        <v>841</v>
      </c>
      <c r="B36" s="0" t="s">
        <v>500</v>
      </c>
      <c r="C36" s="9" t="n">
        <f aca="false">(C35*0)</f>
        <v>0</v>
      </c>
      <c r="D36" s="9" t="n">
        <f aca="false">(D35*0)</f>
        <v>0</v>
      </c>
      <c r="E36" s="9" t="n">
        <f aca="false">(E35*0)</f>
        <v>0</v>
      </c>
      <c r="F36" s="9" t="n">
        <f aca="false">(F35*0)</f>
        <v>0</v>
      </c>
      <c r="G36" s="9" t="n">
        <f aca="false">(G35*0)</f>
        <v>0</v>
      </c>
      <c r="H36" s="9" t="n">
        <f aca="false">(H35*0)</f>
        <v>0</v>
      </c>
      <c r="I36" s="9" t="n">
        <f aca="false">(I35*0)</f>
        <v>0</v>
      </c>
      <c r="J36" s="9" t="n">
        <f aca="false">(J35*0)</f>
        <v>0</v>
      </c>
      <c r="K36" s="9" t="n">
        <f aca="false">(K35*0)</f>
        <v>0</v>
      </c>
      <c r="L36" s="9" t="n">
        <f aca="false">(L35*0)</f>
        <v>0</v>
      </c>
      <c r="M36" s="9" t="n">
        <f aca="false">(M35*0)</f>
        <v>0</v>
      </c>
      <c r="N36" s="9" t="n">
        <f aca="false">(N35*0)</f>
        <v>0</v>
      </c>
      <c r="O36" s="9" t="n">
        <f aca="false">(O35*C37)</f>
        <v>0</v>
      </c>
      <c r="P36" s="9" t="n">
        <f aca="false">(P35*D37)</f>
        <v>0</v>
      </c>
      <c r="Q36" s="9" t="n">
        <f aca="false">(Q35*E37)</f>
        <v>0</v>
      </c>
      <c r="R36" s="9" t="n">
        <f aca="false">(R35*F37)</f>
        <v>0</v>
      </c>
      <c r="S36" s="9" t="n">
        <f aca="false">(S35*G37)</f>
        <v>0</v>
      </c>
      <c r="T36" s="9" t="n">
        <f aca="false">(T35*H37)</f>
        <v>0</v>
      </c>
      <c r="U36" s="9" t="n">
        <f aca="false">(U35*I37)</f>
        <v>0</v>
      </c>
      <c r="V36" s="9" t="n">
        <f aca="false">(V35*J37)</f>
        <v>0</v>
      </c>
      <c r="W36" s="9" t="n">
        <f aca="false">(W35*K37)</f>
        <v>0</v>
      </c>
      <c r="X36" s="9" t="n">
        <f aca="false">(X35*L37)</f>
        <v>0</v>
      </c>
      <c r="Y36" s="9" t="n">
        <f aca="false">(Y35*M37)</f>
        <v>0</v>
      </c>
      <c r="Z36" s="9" t="n">
        <f aca="false">(Z35*N37)</f>
        <v>0</v>
      </c>
      <c r="AA36" s="9" t="n">
        <f aca="false">(AA35*O37)</f>
        <v>2.25855989612178</v>
      </c>
      <c r="AB36" s="9" t="n">
        <f aca="false">(AB35*P37)</f>
        <v>4.87985633854196</v>
      </c>
      <c r="AC36" s="9" t="n">
        <f aca="false">(AC35*Q37)</f>
        <v>6.90145434256375</v>
      </c>
      <c r="AD36" s="9" t="n">
        <f aca="false">(AD35*R37)</f>
        <v>8.37123744501862</v>
      </c>
      <c r="AE36" s="9" t="n">
        <f aca="false">(AE35*S37)</f>
        <v>9.52950943132917</v>
      </c>
      <c r="AF36" s="9" t="n">
        <f aca="false">(AF35*T37)</f>
        <v>10.1934254998965</v>
      </c>
      <c r="AG36" s="9" t="n">
        <f aca="false">(AG35*U37)</f>
        <v>10.6093326184101</v>
      </c>
      <c r="AH36" s="9" t="n">
        <f aca="false">(AH35*V37)</f>
        <v>11.4671364803562</v>
      </c>
      <c r="AI36" s="9" t="n">
        <f aca="false">(AI35*W37)</f>
        <v>14.3874810616095</v>
      </c>
      <c r="AJ36" s="9" t="n">
        <f aca="false">(AJ35*X37)</f>
        <v>17.584824661986</v>
      </c>
      <c r="AK36" s="9" t="n">
        <f aca="false">(AK35*Y37)</f>
        <v>18.7931521873042</v>
      </c>
      <c r="AL36" s="9" t="n">
        <f aca="false">(AL35*Z37)</f>
        <v>19.4379622958332</v>
      </c>
      <c r="AN36" s="11" t="n">
        <f aca="false">SUM(C36:N36)</f>
        <v>0</v>
      </c>
      <c r="AO36" s="11" t="n">
        <f aca="false">SUM(O36:Z36)</f>
        <v>0</v>
      </c>
      <c r="AP36" s="11" t="n">
        <f aca="false">SUM(AA36:AL36)</f>
        <v>134.413932258971</v>
      </c>
    </row>
    <row r="37" customFormat="false" ht="15" hidden="false" customHeight="false" outlineLevel="0" collapsed="false">
      <c r="A37" s="0" t="s">
        <v>842</v>
      </c>
      <c r="B37" s="0" t="s">
        <v>500</v>
      </c>
      <c r="C37" s="9" t="n">
        <f aca="false">(C33+C36)</f>
        <v>0</v>
      </c>
      <c r="D37" s="9" t="n">
        <f aca="false">(D33+D36)</f>
        <v>0</v>
      </c>
      <c r="E37" s="9" t="n">
        <f aca="false">(E33+E36)</f>
        <v>0</v>
      </c>
      <c r="F37" s="9" t="n">
        <f aca="false">(F33+F36)</f>
        <v>0</v>
      </c>
      <c r="G37" s="9" t="n">
        <f aca="false">(G33+G36)</f>
        <v>0</v>
      </c>
      <c r="H37" s="9" t="n">
        <f aca="false">(H33+H36)</f>
        <v>0</v>
      </c>
      <c r="I37" s="9" t="n">
        <f aca="false">(I33+I36)</f>
        <v>0</v>
      </c>
      <c r="J37" s="9" t="n">
        <f aca="false">(J33+J36)</f>
        <v>0</v>
      </c>
      <c r="K37" s="9" t="n">
        <f aca="false">(K33+K36)</f>
        <v>0</v>
      </c>
      <c r="L37" s="9" t="n">
        <f aca="false">(L33+L36)</f>
        <v>0</v>
      </c>
      <c r="M37" s="9" t="n">
        <f aca="false">(M33+M36)</f>
        <v>0</v>
      </c>
      <c r="N37" s="9" t="n">
        <f aca="false">(N33+N36)</f>
        <v>0</v>
      </c>
      <c r="O37" s="9" t="n">
        <f aca="false">(O33+O36)</f>
        <v>3.65758687631058</v>
      </c>
      <c r="P37" s="9" t="n">
        <f aca="false">(P33+P36)</f>
        <v>7.90260135796269</v>
      </c>
      <c r="Q37" s="9" t="n">
        <f aca="false">(Q33+Q36)</f>
        <v>11.1764442794555</v>
      </c>
      <c r="R37" s="9" t="n">
        <f aca="false">(R33+R36)</f>
        <v>13.5566598299897</v>
      </c>
      <c r="S37" s="9" t="n">
        <f aca="false">(S33+S36)</f>
        <v>15.4324039373752</v>
      </c>
      <c r="T37" s="9" t="n">
        <f aca="false">(T33+T36)</f>
        <v>16.5075716597515</v>
      </c>
      <c r="U37" s="9" t="n">
        <f aca="false">(U33+U36)</f>
        <v>17.1811054549151</v>
      </c>
      <c r="V37" s="9" t="n">
        <f aca="false">(V33+V36)</f>
        <v>18.5702615066497</v>
      </c>
      <c r="W37" s="9" t="n">
        <f aca="false">(W33+W36)</f>
        <v>23.2995644722421</v>
      </c>
      <c r="X37" s="9" t="n">
        <f aca="false">(X33+X36)</f>
        <v>28.4774488453214</v>
      </c>
      <c r="Y37" s="9" t="n">
        <f aca="false">(Y33+Y36)</f>
        <v>30.4342545543388</v>
      </c>
      <c r="Z37" s="9" t="n">
        <f aca="false">(Z33+Z36)</f>
        <v>31.4784814507421</v>
      </c>
      <c r="AA37" s="9" t="n">
        <f aca="false">(AA33+AA36)</f>
        <v>33.9199747425873</v>
      </c>
      <c r="AB37" s="9" t="n">
        <f aca="false">(AB33+AB36)</f>
        <v>40.139736804049</v>
      </c>
      <c r="AC37" s="9" t="n">
        <f aca="false">(AC33+AC36)</f>
        <v>44.533696232467</v>
      </c>
      <c r="AD37" s="9" t="n">
        <f aca="false">(AD33+AD36)</f>
        <v>47.2576823692195</v>
      </c>
      <c r="AE37" s="9" t="n">
        <f aca="false">(AE33+AE36)</f>
        <v>49.1341363283745</v>
      </c>
      <c r="AF37" s="9" t="n">
        <f aca="false">(AF33+AF36)</f>
        <v>49.5230214998582</v>
      </c>
      <c r="AG37" s="9" t="n">
        <f aca="false">(AG33+AG36)</f>
        <v>49.2590448462138</v>
      </c>
      <c r="AH37" s="9" t="n">
        <f aca="false">(AH33+AH36)</f>
        <v>50.6382888801255</v>
      </c>
      <c r="AI37" s="9" t="n">
        <f aca="false">(AI33+AI36)</f>
        <v>58.9672112249864</v>
      </c>
      <c r="AJ37" s="9" t="n">
        <f aca="false">(AJ33+AJ36)</f>
        <v>68.2306316381667</v>
      </c>
      <c r="AK37" s="9" t="n">
        <f aca="false">(AK33+AK36)</f>
        <v>71.0373128332553</v>
      </c>
      <c r="AL37" s="9" t="n">
        <f aca="false">(AL33+AL36)</f>
        <v>72.0770422079131</v>
      </c>
      <c r="AN37" s="11" t="n">
        <f aca="false">SUM(C37:N37)</f>
        <v>0</v>
      </c>
      <c r="AO37" s="11" t="n">
        <f aca="false">SUM(O37:Z37)</f>
        <v>217.674384225054</v>
      </c>
      <c r="AP37" s="11" t="n">
        <f aca="false">SUM(AA37:AL37)</f>
        <v>634.717779607216</v>
      </c>
    </row>
    <row r="38" customFormat="false" ht="15" hidden="false" customHeight="false" outlineLevel="0" collapsed="false">
      <c r="A38" s="0" t="s">
        <v>843</v>
      </c>
      <c r="B38" s="0" t="s">
        <v>500</v>
      </c>
      <c r="C38" s="9" t="n">
        <f aca="false">C37</f>
        <v>0</v>
      </c>
      <c r="D38" s="9" t="n">
        <f aca="false">SUM(C37:D37)</f>
        <v>0</v>
      </c>
      <c r="E38" s="9" t="n">
        <f aca="false">SUM(C37:E37)</f>
        <v>0</v>
      </c>
      <c r="F38" s="9" t="n">
        <f aca="false">SUM(C37:F37)</f>
        <v>0</v>
      </c>
      <c r="G38" s="9" t="n">
        <f aca="false">SUM(C37:G37)</f>
        <v>0</v>
      </c>
      <c r="H38" s="9" t="n">
        <f aca="false">SUM(C37:H37)</f>
        <v>0</v>
      </c>
      <c r="I38" s="9" t="n">
        <f aca="false">SUM(C37:I37)</f>
        <v>0</v>
      </c>
      <c r="J38" s="9" t="n">
        <f aca="false">SUM(C37:J37)</f>
        <v>0</v>
      </c>
      <c r="K38" s="9" t="n">
        <f aca="false">SUM(C37:K37)</f>
        <v>0</v>
      </c>
      <c r="L38" s="9" t="n">
        <f aca="false">SUM(C37:L37)</f>
        <v>0</v>
      </c>
      <c r="M38" s="9" t="n">
        <f aca="false">SUM(C37:M37)</f>
        <v>0</v>
      </c>
      <c r="N38" s="9" t="n">
        <f aca="false">SUM(C37:N37)</f>
        <v>0</v>
      </c>
      <c r="O38" s="9" t="n">
        <f aca="false">SUM(D37:O37)</f>
        <v>3.65758687631058</v>
      </c>
      <c r="P38" s="9" t="n">
        <f aca="false">SUM(E37:P37)</f>
        <v>11.5601882342733</v>
      </c>
      <c r="Q38" s="9" t="n">
        <f aca="false">SUM(F37:Q37)</f>
        <v>22.7366325137287</v>
      </c>
      <c r="R38" s="9" t="n">
        <f aca="false">SUM(G37:R37)</f>
        <v>36.2932923437184</v>
      </c>
      <c r="S38" s="9" t="n">
        <f aca="false">SUM(H37:S37)</f>
        <v>51.7256962810936</v>
      </c>
      <c r="T38" s="9" t="n">
        <f aca="false">SUM(I37:T37)</f>
        <v>68.233267940845</v>
      </c>
      <c r="U38" s="9" t="n">
        <f aca="false">SUM(J37:U37)</f>
        <v>85.4143733957601</v>
      </c>
      <c r="V38" s="9" t="n">
        <f aca="false">SUM(K37:V37)</f>
        <v>103.98463490241</v>
      </c>
      <c r="W38" s="9" t="n">
        <f aca="false">SUM(L37:W37)</f>
        <v>127.284199374652</v>
      </c>
      <c r="X38" s="9" t="n">
        <f aca="false">SUM(M37:X37)</f>
        <v>155.761648219973</v>
      </c>
      <c r="Y38" s="9" t="n">
        <f aca="false">SUM(N37:Y37)</f>
        <v>186.195902774312</v>
      </c>
      <c r="Z38" s="9" t="n">
        <f aca="false">SUM(O37:Z37)</f>
        <v>217.674384225054</v>
      </c>
      <c r="AA38" s="9" t="n">
        <f aca="false">SUM(P37:AA37)</f>
        <v>247.936772091331</v>
      </c>
      <c r="AB38" s="9" t="n">
        <f aca="false">SUM(Q37:AB37)</f>
        <v>280.173907537417</v>
      </c>
      <c r="AC38" s="9" t="n">
        <f aca="false">SUM(R37:AC37)</f>
        <v>313.531159490429</v>
      </c>
      <c r="AD38" s="9" t="n">
        <f aca="false">SUM(S37:AD37)</f>
        <v>347.232182029659</v>
      </c>
      <c r="AE38" s="9" t="n">
        <f aca="false">SUM(T37:AE37)</f>
        <v>380.933914420658</v>
      </c>
      <c r="AF38" s="9" t="n">
        <f aca="false">SUM(U37:AF37)</f>
        <v>413.949364260765</v>
      </c>
      <c r="AG38" s="9" t="n">
        <f aca="false">SUM(V37:AG37)</f>
        <v>446.027303652063</v>
      </c>
      <c r="AH38" s="9" t="n">
        <f aca="false">SUM(W37:AH37)</f>
        <v>478.095331025539</v>
      </c>
      <c r="AI38" s="9" t="n">
        <f aca="false">SUM(X37:AI37)</f>
        <v>513.762977778283</v>
      </c>
      <c r="AJ38" s="9" t="n">
        <f aca="false">SUM(Y37:AJ37)</f>
        <v>553.516160571129</v>
      </c>
      <c r="AK38" s="9" t="n">
        <f aca="false">SUM(Z37:AK37)</f>
        <v>594.119218850045</v>
      </c>
      <c r="AL38" s="9" t="n">
        <f aca="false">SUM(AA37:AL37)</f>
        <v>634.717779607216</v>
      </c>
      <c r="AN38" s="11" t="n">
        <f aca="false">N38</f>
        <v>0</v>
      </c>
      <c r="AO38" s="11" t="n">
        <f aca="false">Z38</f>
        <v>217.674384225054</v>
      </c>
      <c r="AP38" s="11" t="n">
        <f aca="false">AL38</f>
        <v>634.717779607216</v>
      </c>
    </row>
    <row r="39" customFormat="false" ht="15" hidden="false" customHeight="false" outlineLevel="0" collapsed="false">
      <c r="A39" s="0" t="s">
        <v>844</v>
      </c>
      <c r="B39" s="0" t="s">
        <v>500</v>
      </c>
      <c r="C39" s="9" t="n">
        <f aca="false">(C34+C38)</f>
        <v>0</v>
      </c>
      <c r="D39" s="9" t="n">
        <f aca="false">(D34+D38)</f>
        <v>0</v>
      </c>
      <c r="E39" s="9" t="n">
        <f aca="false">(E34+E38)</f>
        <v>0</v>
      </c>
      <c r="F39" s="9" t="n">
        <f aca="false">(F34+F38)</f>
        <v>0</v>
      </c>
      <c r="G39" s="9" t="n">
        <f aca="false">(G34+G38)</f>
        <v>0</v>
      </c>
      <c r="H39" s="9" t="n">
        <f aca="false">(H34+H38)</f>
        <v>0</v>
      </c>
      <c r="I39" s="9" t="n">
        <f aca="false">(I34+I38)</f>
        <v>0</v>
      </c>
      <c r="J39" s="9" t="n">
        <f aca="false">(J34+J38)</f>
        <v>0</v>
      </c>
      <c r="K39" s="9" t="n">
        <f aca="false">(K34+K38)</f>
        <v>0</v>
      </c>
      <c r="L39" s="9" t="n">
        <f aca="false">(L34+L38)</f>
        <v>0</v>
      </c>
      <c r="M39" s="9" t="n">
        <f aca="false">(M34+M38)</f>
        <v>0</v>
      </c>
      <c r="N39" s="9" t="n">
        <f aca="false">(N34+N38)</f>
        <v>0</v>
      </c>
      <c r="O39" s="9" t="n">
        <f aca="false">(O34+O38)</f>
        <v>8.12797083624573</v>
      </c>
      <c r="P39" s="9" t="n">
        <f aca="false">(P34+P38)</f>
        <v>25.4993158689767</v>
      </c>
      <c r="Q39" s="9" t="n">
        <f aca="false">(Q34+Q38)</f>
        <v>49.7434457877362</v>
      </c>
      <c r="R39" s="9" t="n">
        <f aca="false">(R34+R38)</f>
        <v>78.7215669569012</v>
      </c>
      <c r="S39" s="9" t="n">
        <f aca="false">(S34+S38)</f>
        <v>111.212596257786</v>
      </c>
      <c r="T39" s="9" t="n">
        <f aca="false">(T34+T38)</f>
        <v>145.367895586002</v>
      </c>
      <c r="U39" s="9" t="n">
        <f aca="false">(U34+U38)</f>
        <v>180.269908255338</v>
      </c>
      <c r="V39" s="9" t="n">
        <f aca="false">(V34+V38)</f>
        <v>217.505795816361</v>
      </c>
      <c r="W39" s="9" t="n">
        <f aca="false">(W34+W38)</f>
        <v>264.457956415834</v>
      </c>
      <c r="X39" s="9" t="n">
        <f aca="false">(X34+X38)</f>
        <v>321.911291397854</v>
      </c>
      <c r="Y39" s="9" t="n">
        <f aca="false">(Y34+Y38)</f>
        <v>382.481608350213</v>
      </c>
      <c r="Z39" s="9" t="n">
        <f aca="false">(Z34+Z38)</f>
        <v>444.091646864887</v>
      </c>
      <c r="AA39" s="9" t="n">
        <f aca="false">(AA34+AA38)</f>
        <v>503.428585881317</v>
      </c>
      <c r="AB39" s="9" t="n">
        <f aca="false">(AB34+AB38)</f>
        <v>567.902728699171</v>
      </c>
      <c r="AC39" s="9" t="n">
        <f aca="false">(AC34+AC38)</f>
        <v>635.02646806269</v>
      </c>
      <c r="AD39" s="9" t="n">
        <f aca="false">(AD34+AD38)</f>
        <v>702.591817117178</v>
      </c>
      <c r="AE39" s="9" t="n">
        <f aca="false">(AE34+AE38)</f>
        <v>769.596420113346</v>
      </c>
      <c r="AF39" s="9" t="n">
        <f aca="false">(AF34+AF38)</f>
        <v>834.163219683689</v>
      </c>
      <c r="AG39" s="9" t="n">
        <f aca="false">(AG34+AG38)</f>
        <v>895.620607386829</v>
      </c>
      <c r="AH39" s="9" t="n">
        <f aca="false">(AH34+AH38)</f>
        <v>956.456772284628</v>
      </c>
      <c r="AI39" s="9" t="n">
        <f aca="false">(AI34+AI38)</f>
        <v>1026.28039465021</v>
      </c>
      <c r="AJ39" s="9" t="n">
        <f aca="false">(AJ34+AJ38)</f>
        <v>1106.15201797466</v>
      </c>
      <c r="AK39" s="9" t="n">
        <f aca="false">(AK34+AK38)</f>
        <v>1187.12202643676</v>
      </c>
      <c r="AL39" s="9" t="n">
        <f aca="false">(AL34+AL38)</f>
        <v>1266.85462109737</v>
      </c>
      <c r="AN39" s="11" t="n">
        <f aca="false">N39</f>
        <v>0</v>
      </c>
      <c r="AO39" s="11" t="n">
        <f aca="false">Z39</f>
        <v>444.091646864887</v>
      </c>
      <c r="AP39" s="11" t="n">
        <f aca="false">AL39</f>
        <v>1266.85462109737</v>
      </c>
    </row>
    <row r="40" customFormat="false" ht="15" hidden="false" customHeight="false" outlineLevel="0" collapsed="false">
      <c r="A40" s="0" t="s">
        <v>845</v>
      </c>
      <c r="B40" s="0" t="s">
        <v>500</v>
      </c>
      <c r="C40" s="9" t="n">
        <f aca="false">((0+C28)-C39)</f>
        <v>0</v>
      </c>
      <c r="D40" s="9" t="n">
        <f aca="false">((C39+D28)-D39)</f>
        <v>0</v>
      </c>
      <c r="E40" s="9" t="n">
        <f aca="false">((D39+E28)-E39)</f>
        <v>0</v>
      </c>
      <c r="F40" s="9" t="n">
        <f aca="false">((E39+F28)-F39)</f>
        <v>0</v>
      </c>
      <c r="G40" s="9" t="n">
        <f aca="false">((F39+G28)-G39)</f>
        <v>0</v>
      </c>
      <c r="H40" s="9" t="n">
        <f aca="false">((G39+H28)-H39)</f>
        <v>0</v>
      </c>
      <c r="I40" s="9" t="n">
        <f aca="false">((H39+I28)-I39)</f>
        <v>0</v>
      </c>
      <c r="J40" s="9" t="n">
        <f aca="false">((I39+J28)-J39)</f>
        <v>0</v>
      </c>
      <c r="K40" s="9" t="n">
        <f aca="false">((J39+K28)-K39)</f>
        <v>0</v>
      </c>
      <c r="L40" s="9" t="n">
        <f aca="false">((K39+L28)-L39)</f>
        <v>0</v>
      </c>
      <c r="M40" s="9" t="n">
        <f aca="false">((L39+M28)-M39)</f>
        <v>0</v>
      </c>
      <c r="N40" s="9" t="n">
        <f aca="false">((M39+N28)-N39)</f>
        <v>0</v>
      </c>
      <c r="O40" s="9" t="n">
        <f aca="false">((N39+O28)-O39)</f>
        <v>0</v>
      </c>
      <c r="P40" s="9" t="n">
        <f aca="false">((O39+P28)-P39)</f>
        <v>0.189991318297242</v>
      </c>
      <c r="Q40" s="9" t="n">
        <f aca="false">((P39+Q28)-Q39)</f>
        <v>0.592412924474893</v>
      </c>
      <c r="R40" s="9" t="n">
        <f aca="false">((Q39+R28)-R39)</f>
        <v>1.14778956414533</v>
      </c>
      <c r="S40" s="9" t="n">
        <f aca="false">((R39+S28)-S39)</f>
        <v>1.80320167106026</v>
      </c>
      <c r="T40" s="9" t="n">
        <f aca="false">((S39+T28)-T39)</f>
        <v>2.52819324900941</v>
      </c>
      <c r="U40" s="9" t="n">
        <f aca="false">((T39+U28)-U39)</f>
        <v>3.27822167491917</v>
      </c>
      <c r="V40" s="9" t="n">
        <f aca="false">((U39+V28)-V39)</f>
        <v>4.03136023153206</v>
      </c>
      <c r="W40" s="9" t="n">
        <f aca="false">((V39+W28)-W39)</f>
        <v>4.8246493388429</v>
      </c>
      <c r="X40" s="9" t="n">
        <f aca="false">((W39+X28)-X39)</f>
        <v>5.82988467425031</v>
      </c>
      <c r="Y40" s="9" t="n">
        <f aca="false">((X39+Y28)-Y39)</f>
        <v>7.06135983505988</v>
      </c>
      <c r="Z40" s="9" t="n">
        <f aca="false">((Y39+Z28)-Z39)</f>
        <v>8.34214248697577</v>
      </c>
      <c r="AA40" s="9" t="n">
        <f aca="false">((Z39+AA28)-AA39)</f>
        <v>11.0217606423818</v>
      </c>
      <c r="AB40" s="9" t="n">
        <f aca="false">((AA39+AB28)-AB39)</f>
        <v>13.8811471054951</v>
      </c>
      <c r="AC40" s="9" t="n">
        <f aca="false">((AB39+AC28)-AC39)</f>
        <v>16.5034648362662</v>
      </c>
      <c r="AD40" s="9" t="n">
        <f aca="false">((AC39+AD28)-AD39)</f>
        <v>18.8489729992921</v>
      </c>
      <c r="AE40" s="9" t="n">
        <f aca="false">((AD39+AE28)-AE39)</f>
        <v>21.0056789972656</v>
      </c>
      <c r="AF40" s="9" t="n">
        <f aca="false">((AE39+AF28)-AF39)</f>
        <v>22.8323026517941</v>
      </c>
      <c r="AG40" s="9" t="n">
        <f aca="false">((AF39+AG28)-AG39)</f>
        <v>24.4308616919793</v>
      </c>
      <c r="AH40" s="9" t="n">
        <f aca="false">((AG39+AH28)-AH39)</f>
        <v>26.2108404350211</v>
      </c>
      <c r="AI40" s="9" t="n">
        <f aca="false">((AH39+AI28)-AI39)</f>
        <v>29.2424446641439</v>
      </c>
      <c r="AJ40" s="9" t="n">
        <f aca="false">((AI39+AJ28)-AJ39)</f>
        <v>32.6746144003923</v>
      </c>
      <c r="AK40" s="9" t="n">
        <f aca="false">((AJ39+AK28)-AK39)</f>
        <v>35.1281263066846</v>
      </c>
      <c r="AL40" s="9" t="n">
        <f aca="false">((AK39+AL28)-AL39)</f>
        <v>37.2431384773442</v>
      </c>
      <c r="AN40" s="11" t="n">
        <f aca="false">SUM(C40:N40)</f>
        <v>0</v>
      </c>
      <c r="AO40" s="11" t="n">
        <f aca="false">SUM(O40:Z40)</f>
        <v>39.6292069685672</v>
      </c>
      <c r="AP40" s="11" t="n">
        <f aca="false">SUM(AA40:AL40)</f>
        <v>289.02335320806</v>
      </c>
    </row>
    <row r="41" customFormat="false" ht="15" hidden="false" customHeight="false" outlineLevel="0" collapsed="false">
      <c r="A41" s="0" t="s">
        <v>846</v>
      </c>
      <c r="B41" s="0" t="s">
        <v>230</v>
      </c>
      <c r="C41" s="9" t="n">
        <f aca="false">((((Assumptions!$C$12*(1-Assumptions!$C$14))*C34)+((Assumptions!$C$13*(1-Assumptions!$C$14))*C37))*(1-Assumptions!$C$15))</f>
        <v>0</v>
      </c>
      <c r="D41" s="9" t="n">
        <f aca="false">((((Assumptions!$C$12*(1-Assumptions!$C$14))*D34)+((Assumptions!$C$13*(1-Assumptions!$C$14))*D37))*(1-Assumptions!$C$15))</f>
        <v>0</v>
      </c>
      <c r="E41" s="9" t="n">
        <f aca="false">((((Assumptions!$C$12*(1-Assumptions!$C$14))*E34)+((Assumptions!$C$13*(1-Assumptions!$C$14))*E37))*(1-Assumptions!$C$15))</f>
        <v>0</v>
      </c>
      <c r="F41" s="9" t="n">
        <f aca="false">((((Assumptions!$C$12*(1-Assumptions!$C$14))*F34)+((Assumptions!$C$13*(1-Assumptions!$C$14))*F37))*(1-Assumptions!$C$15))</f>
        <v>0</v>
      </c>
      <c r="G41" s="9" t="n">
        <f aca="false">((((Assumptions!$C$12*(1-Assumptions!$C$14))*G34)+((Assumptions!$C$13*(1-Assumptions!$C$14))*G37))*(1-Assumptions!$C$15))</f>
        <v>0</v>
      </c>
      <c r="H41" s="9" t="n">
        <f aca="false">((((Assumptions!$C$12*(1-Assumptions!$C$14))*H34)+((Assumptions!$C$13*(1-Assumptions!$C$14))*H37))*(1-Assumptions!$C$15))</f>
        <v>0</v>
      </c>
      <c r="I41" s="9" t="n">
        <f aca="false">((((Assumptions!$C$12*(1-Assumptions!$C$14))*I34)+((Assumptions!$C$13*(1-Assumptions!$C$14))*I37))*(1-Assumptions!$C$15))</f>
        <v>0</v>
      </c>
      <c r="J41" s="9" t="n">
        <f aca="false">((((Assumptions!$C$12*(1-Assumptions!$C$14))*J34)+((Assumptions!$C$13*(1-Assumptions!$C$14))*J37))*(1-Assumptions!$C$15))</f>
        <v>0</v>
      </c>
      <c r="K41" s="9" t="n">
        <f aca="false">((((Assumptions!$C$12*(1-Assumptions!$C$14))*K34)+((Assumptions!$C$13*(1-Assumptions!$C$14))*K37))*(1-Assumptions!$C$15))</f>
        <v>0</v>
      </c>
      <c r="L41" s="9" t="n">
        <f aca="false">((((Assumptions!$C$12*(1-Assumptions!$C$14))*L34)+((Assumptions!$C$13*(1-Assumptions!$C$14))*L37))*(1-Assumptions!$C$15))</f>
        <v>0</v>
      </c>
      <c r="M41" s="9" t="n">
        <f aca="false">((((Assumptions!$C$12*(1-Assumptions!$C$14))*M34)+((Assumptions!$C$13*(1-Assumptions!$C$14))*M37))*(1-Assumptions!$C$15))</f>
        <v>0</v>
      </c>
      <c r="N41" s="9" t="n">
        <f aca="false">((((Assumptions!$C$12*(1-Assumptions!$C$14))*N34)+((Assumptions!$C$13*(1-Assumptions!$C$14))*N37))*(1-Assumptions!$C$15))</f>
        <v>0</v>
      </c>
      <c r="O41" s="9" t="n">
        <f aca="false">((((Assumptions!$C$12*(1-Assumptions!$C$14))*O34)+((Assumptions!$C$13*(1-Assumptions!$C$14))*O37))*(1-Assumptions!$C$15))</f>
        <v>218.894369179782</v>
      </c>
      <c r="P41" s="9" t="n">
        <f aca="false">((((Assumptions!$C$12*(1-Assumptions!$C$14))*P34)+((Assumptions!$C$13*(1-Assumptions!$C$14))*P37))*(1-Assumptions!$C$15))</f>
        <v>502.708873764315</v>
      </c>
      <c r="Q41" s="9" t="n">
        <f aca="false">((((Assumptions!$C$12*(1-Assumptions!$C$14))*Q34)+((Assumptions!$C$13*(1-Assumptions!$C$14))*Q37))*(1-Assumptions!$C$15))</f>
        <v>761.681904371221</v>
      </c>
      <c r="R41" s="9" t="n">
        <f aca="false">((((Assumptions!$C$12*(1-Assumptions!$C$14))*R34)+((Assumptions!$C$13*(1-Assumptions!$C$14))*R37))*(1-Assumptions!$C$15))</f>
        <v>991.136667845226</v>
      </c>
      <c r="S41" s="9" t="n">
        <f aca="false">((((Assumptions!$C$12*(1-Assumptions!$C$14))*S34)+((Assumptions!$C$13*(1-Assumptions!$C$14))*S37))*(1-Assumptions!$C$15))</f>
        <v>1206.07232556238</v>
      </c>
      <c r="T41" s="9" t="n">
        <f aca="false">((((Assumptions!$C$12*(1-Assumptions!$C$14))*T34)+((Assumptions!$C$13*(1-Assumptions!$C$14))*T37))*(1-Assumptions!$C$15))</f>
        <v>1383.99666616566</v>
      </c>
      <c r="U41" s="9" t="n">
        <f aca="false">((((Assumptions!$C$12*(1-Assumptions!$C$14))*U34)+((Assumptions!$C$13*(1-Assumptions!$C$14))*U37))*(1-Assumptions!$C$15))</f>
        <v>1541.80689675379</v>
      </c>
      <c r="V41" s="9" t="n">
        <f aca="false">((((Assumptions!$C$12*(1-Assumptions!$C$14))*V34)+((Assumptions!$C$13*(1-Assumptions!$C$14))*V37))*(1-Assumptions!$C$15))</f>
        <v>1742.93197284886</v>
      </c>
      <c r="W41" s="9" t="n">
        <f aca="false">((((Assumptions!$C$12*(1-Assumptions!$C$14))*W34)+((Assumptions!$C$13*(1-Assumptions!$C$14))*W37))*(1-Assumptions!$C$15))</f>
        <v>2150.24378946734</v>
      </c>
      <c r="X41" s="9" t="n">
        <f aca="false">((((Assumptions!$C$12*(1-Assumptions!$C$14))*X34)+((Assumptions!$C$13*(1-Assumptions!$C$14))*X37))*(1-Assumptions!$C$15))</f>
        <v>2617.60577539201</v>
      </c>
      <c r="Y41" s="9" t="n">
        <f aca="false">((((Assumptions!$C$12*(1-Assumptions!$C$14))*Y34)+((Assumptions!$C$13*(1-Assumptions!$C$14))*Y37))*(1-Assumptions!$C$15))</f>
        <v>2927.64029458585</v>
      </c>
      <c r="Z41" s="9" t="n">
        <f aca="false">((((Assumptions!$C$12*(1-Assumptions!$C$14))*Z34)+((Assumptions!$C$13*(1-Assumptions!$C$14))*Z37))*(1-Assumptions!$C$15))</f>
        <v>3190.78466195508</v>
      </c>
      <c r="AA41" s="9" t="n">
        <f aca="false">((((Assumptions!$C$12*(1-Assumptions!$C$14))*AA34)+((Assumptions!$C$13*(1-Assumptions!$C$14))*AA37))*(1-Assumptions!$C$15))</f>
        <v>3518.32534616594</v>
      </c>
      <c r="AB41" s="9" t="n">
        <f aca="false">((((Assumptions!$C$12*(1-Assumptions!$C$14))*AB34)+((Assumptions!$C$13*(1-Assumptions!$C$14))*AB37))*(1-Assumptions!$C$15))</f>
        <v>4061.86220401929</v>
      </c>
      <c r="AC41" s="9" t="n">
        <f aca="false">((((Assumptions!$C$12*(1-Assumptions!$C$14))*AC34)+((Assumptions!$C$13*(1-Assumptions!$C$14))*AC37))*(1-Assumptions!$C$15))</f>
        <v>4522.28383676885</v>
      </c>
      <c r="AD41" s="9" t="n">
        <f aca="false">((((Assumptions!$C$12*(1-Assumptions!$C$14))*AD34)+((Assumptions!$C$13*(1-Assumptions!$C$14))*AD37))*(1-Assumptions!$C$15))</f>
        <v>4897.63652541915</v>
      </c>
      <c r="AE41" s="9" t="n">
        <f aca="false">((((Assumptions!$C$12*(1-Assumptions!$C$14))*AE34)+((Assumptions!$C$13*(1-Assumptions!$C$14))*AE37))*(1-Assumptions!$C$15))</f>
        <v>5225.5661917962</v>
      </c>
      <c r="AF41" s="9" t="n">
        <f aca="false">((((Assumptions!$C$12*(1-Assumptions!$C$14))*AF34)+((Assumptions!$C$13*(1-Assumptions!$C$14))*AF37))*(1-Assumptions!$C$15))</f>
        <v>5464.93307688109</v>
      </c>
      <c r="AG41" s="9" t="n">
        <f aca="false">((((Assumptions!$C$12*(1-Assumptions!$C$14))*AG34)+((Assumptions!$C$13*(1-Assumptions!$C$14))*AG37))*(1-Assumptions!$C$15))</f>
        <v>5655.67426445046</v>
      </c>
      <c r="AH41" s="9" t="n">
        <f aca="false">((((Assumptions!$C$12*(1-Assumptions!$C$14))*AH34)+((Assumptions!$C$13*(1-Assumptions!$C$14))*AH37))*(1-Assumptions!$C$15))</f>
        <v>5926.54018492902</v>
      </c>
      <c r="AI41" s="9" t="n">
        <f aca="false">((((Assumptions!$C$12*(1-Assumptions!$C$14))*AI34)+((Assumptions!$C$13*(1-Assumptions!$C$14))*AI37))*(1-Assumptions!$C$15))</f>
        <v>6591.7214959673</v>
      </c>
      <c r="AJ41" s="9" t="n">
        <f aca="false">((((Assumptions!$C$12*(1-Assumptions!$C$14))*AJ34)+((Assumptions!$C$13*(1-Assumptions!$C$14))*AJ37))*(1-Assumptions!$C$15))</f>
        <v>7346.34830788649</v>
      </c>
      <c r="AK41" s="9" t="n">
        <f aca="false">((((Assumptions!$C$12*(1-Assumptions!$C$14))*AK34)+((Assumptions!$C$13*(1-Assumptions!$C$14))*AK37))*(1-Assumptions!$C$15))</f>
        <v>7771.16447227546</v>
      </c>
      <c r="AL41" s="9" t="n">
        <f aca="false">((((Assumptions!$C$12*(1-Assumptions!$C$14))*AL34)+((Assumptions!$C$13*(1-Assumptions!$C$14))*AL37))*(1-Assumptions!$C$15))</f>
        <v>8096.67839843883</v>
      </c>
      <c r="AN41" s="11" t="n">
        <f aca="false">SUM(C41:N41)</f>
        <v>0</v>
      </c>
      <c r="AO41" s="11" t="n">
        <f aca="false">SUM(O41:Z41)</f>
        <v>19235.5041978915</v>
      </c>
      <c r="AP41" s="11" t="n">
        <f aca="false">SUM(AA41:AL41)</f>
        <v>69078.7343049981</v>
      </c>
    </row>
    <row r="42" customFormat="false" ht="15" hidden="false" customHeight="false" outlineLevel="0" collapsed="false">
      <c r="A42" s="0" t="s">
        <v>847</v>
      </c>
      <c r="B42" s="0" t="s">
        <v>230</v>
      </c>
      <c r="C42" s="9" t="n">
        <f aca="false">((((Assumptions!$C$12*(1-Assumptions!$C$14))*C34)+(((Assumptions!$C$13*(1-Assumptions!$C$14))/12)*C38))*(1-Assumptions!$C$15))</f>
        <v>0</v>
      </c>
      <c r="D42" s="9" t="n">
        <f aca="false">((((Assumptions!$C$12*(1-Assumptions!$C$14))*D34)+(((Assumptions!$C$13*(1-Assumptions!$C$14))/12)*D38))*(1-Assumptions!$C$15))</f>
        <v>0</v>
      </c>
      <c r="E42" s="9" t="n">
        <f aca="false">((((Assumptions!$C$12*(1-Assumptions!$C$14))*E34)+(((Assumptions!$C$13*(1-Assumptions!$C$14))/12)*E38))*(1-Assumptions!$C$15))</f>
        <v>0</v>
      </c>
      <c r="F42" s="9" t="n">
        <f aca="false">((((Assumptions!$C$12*(1-Assumptions!$C$14))*F34)+(((Assumptions!$C$13*(1-Assumptions!$C$14))/12)*F38))*(1-Assumptions!$C$15))</f>
        <v>0</v>
      </c>
      <c r="G42" s="9" t="n">
        <f aca="false">((((Assumptions!$C$12*(1-Assumptions!$C$14))*G34)+(((Assumptions!$C$13*(1-Assumptions!$C$14))/12)*G38))*(1-Assumptions!$C$15))</f>
        <v>0</v>
      </c>
      <c r="H42" s="9" t="n">
        <f aca="false">((((Assumptions!$C$12*(1-Assumptions!$C$14))*H34)+(((Assumptions!$C$13*(1-Assumptions!$C$14))/12)*H38))*(1-Assumptions!$C$15))</f>
        <v>0</v>
      </c>
      <c r="I42" s="9" t="n">
        <f aca="false">((((Assumptions!$C$12*(1-Assumptions!$C$14))*I34)+(((Assumptions!$C$13*(1-Assumptions!$C$14))/12)*I38))*(1-Assumptions!$C$15))</f>
        <v>0</v>
      </c>
      <c r="J42" s="9" t="n">
        <f aca="false">((((Assumptions!$C$12*(1-Assumptions!$C$14))*J34)+(((Assumptions!$C$13*(1-Assumptions!$C$14))/12)*J38))*(1-Assumptions!$C$15))</f>
        <v>0</v>
      </c>
      <c r="K42" s="9" t="n">
        <f aca="false">((((Assumptions!$C$12*(1-Assumptions!$C$14))*K34)+(((Assumptions!$C$13*(1-Assumptions!$C$14))/12)*K38))*(1-Assumptions!$C$15))</f>
        <v>0</v>
      </c>
      <c r="L42" s="9" t="n">
        <f aca="false">((((Assumptions!$C$12*(1-Assumptions!$C$14))*L34)+(((Assumptions!$C$13*(1-Assumptions!$C$14))/12)*L38))*(1-Assumptions!$C$15))</f>
        <v>0</v>
      </c>
      <c r="M42" s="9" t="n">
        <f aca="false">((((Assumptions!$C$12*(1-Assumptions!$C$14))*M34)+(((Assumptions!$C$13*(1-Assumptions!$C$14))/12)*M38))*(1-Assumptions!$C$15))</f>
        <v>0</v>
      </c>
      <c r="N42" s="9" t="n">
        <f aca="false">((((Assumptions!$C$12*(1-Assumptions!$C$14))*N34)+(((Assumptions!$C$13*(1-Assumptions!$C$14))/12)*N38))*(1-Assumptions!$C$15))</f>
        <v>0</v>
      </c>
      <c r="O42" s="9" t="n">
        <f aca="false">((((Assumptions!$C$12*(1-Assumptions!$C$14))*O34)+(((Assumptions!$C$13*(1-Assumptions!$C$14))/12)*O38))*(1-Assumptions!$C$15))</f>
        <v>46.7364183351103</v>
      </c>
      <c r="P42" s="9" t="n">
        <f aca="false">((((Assumptions!$C$12*(1-Assumptions!$C$14))*P34)+(((Assumptions!$C$13*(1-Assumptions!$C$14))/12)*P38))*(1-Assumptions!$C$15))</f>
        <v>146.394226465804</v>
      </c>
      <c r="Q42" s="9" t="n">
        <f aca="false">((((Assumptions!$C$12*(1-Assumptions!$C$14))*Q34)+(((Assumptions!$C$13*(1-Assumptions!$C$14))/12)*Q38))*(1-Assumptions!$C$15))</f>
        <v>285.086678553458</v>
      </c>
      <c r="R42" s="9" t="n">
        <f aca="false">((((Assumptions!$C$12*(1-Assumptions!$C$14))*R34)+(((Assumptions!$C$13*(1-Assumptions!$C$14))/12)*R38))*(1-Assumptions!$C$15))</f>
        <v>450.331456499328</v>
      </c>
      <c r="S42" s="9" t="n">
        <f aca="false">((((Assumptions!$C$12*(1-Assumptions!$C$14))*S34)+(((Assumptions!$C$13*(1-Assumptions!$C$14))/12)*S38))*(1-Assumptions!$C$15))</f>
        <v>634.986839151617</v>
      </c>
      <c r="T42" s="9" t="n">
        <f aca="false">((((Assumptions!$C$12*(1-Assumptions!$C$14))*T34)+(((Assumptions!$C$13*(1-Assumptions!$C$14))/12)*T38))*(1-Assumptions!$C$15))</f>
        <v>828.339276539421</v>
      </c>
      <c r="U42" s="9" t="n">
        <f aca="false">((((Assumptions!$C$12*(1-Assumptions!$C$14))*U34)+(((Assumptions!$C$13*(1-Assumptions!$C$14))/12)*U38))*(1-Assumptions!$C$15))</f>
        <v>1025.08261658757</v>
      </c>
      <c r="V42" s="9" t="n">
        <f aca="false">((((Assumptions!$C$12*(1-Assumptions!$C$14))*V34)+(((Assumptions!$C$13*(1-Assumptions!$C$14))/12)*V38))*(1-Assumptions!$C$15))</f>
        <v>1234.3394092154</v>
      </c>
      <c r="W42" s="9" t="n">
        <f aca="false">((((Assumptions!$C$12*(1-Assumptions!$C$14))*W34)+(((Assumptions!$C$13*(1-Assumptions!$C$14))/12)*W38))*(1-Assumptions!$C$15))</f>
        <v>1498.51064983515</v>
      </c>
      <c r="X42" s="9" t="n">
        <f aca="false">((((Assumptions!$C$12*(1-Assumptions!$C$14))*X34)+(((Assumptions!$C$13*(1-Assumptions!$C$14))/12)*X38))*(1-Assumptions!$C$15))</f>
        <v>1821.85447400916</v>
      </c>
      <c r="Y42" s="9" t="n">
        <f aca="false">((((Assumptions!$C$12*(1-Assumptions!$C$14))*Y34)+(((Assumptions!$C$13*(1-Assumptions!$C$14))/12)*Y38))*(1-Assumptions!$C$15))</f>
        <v>2161.63893507974</v>
      </c>
      <c r="Z42" s="9" t="n">
        <f aca="false">((((Assumptions!$C$12*(1-Assumptions!$C$14))*Z34)+(((Assumptions!$C$13*(1-Assumptions!$C$14))/12)*Z38))*(1-Assumptions!$C$15))</f>
        <v>2505.86028820622</v>
      </c>
      <c r="AA42" s="9" t="n">
        <f aca="false">((((Assumptions!$C$12*(1-Assumptions!$C$14))*AA34)+(((Assumptions!$C$13*(1-Assumptions!$C$14))/12)*AA38))*(1-Assumptions!$C$15))</f>
        <v>2837.52790843549</v>
      </c>
      <c r="AB42" s="9" t="n">
        <f aca="false">((((Assumptions!$C$12*(1-Assumptions!$C$14))*AB34)+(((Assumptions!$C$13*(1-Assumptions!$C$14))/12)*AB38))*(1-Assumptions!$C$15))</f>
        <v>3199.63618653094</v>
      </c>
      <c r="AC42" s="9" t="n">
        <f aca="false">((((Assumptions!$C$12*(1-Assumptions!$C$14))*AC34)+(((Assumptions!$C$13*(1-Assumptions!$C$14))/12)*AC38))*(1-Assumptions!$C$15))</f>
        <v>3577.17295591356</v>
      </c>
      <c r="AD42" s="9" t="n">
        <f aca="false">((((Assumptions!$C$12*(1-Assumptions!$C$14))*AD34)+(((Assumptions!$C$13*(1-Assumptions!$C$14))/12)*AD38))*(1-Assumptions!$C$15))</f>
        <v>3956.86105452953</v>
      </c>
      <c r="AE42" s="9" t="n">
        <f aca="false">((((Assumptions!$C$12*(1-Assumptions!$C$14))*AE34)+(((Assumptions!$C$13*(1-Assumptions!$C$14))/12)*AE38))*(1-Assumptions!$C$15))</f>
        <v>4332.64799630586</v>
      </c>
      <c r="AF42" s="9" t="n">
        <f aca="false">((((Assumptions!$C$12*(1-Assumptions!$C$14))*AF34)+(((Assumptions!$C$13*(1-Assumptions!$C$14))/12)*AF38))*(1-Assumptions!$C$15))</f>
        <v>4693.31880675053</v>
      </c>
      <c r="AG42" s="9" t="n">
        <f aca="false">((((Assumptions!$C$12*(1-Assumptions!$C$14))*AG34)+(((Assumptions!$C$13*(1-Assumptions!$C$14))/12)*AG38))*(1-Assumptions!$C$15))</f>
        <v>5034.87528904512</v>
      </c>
      <c r="AH42" s="9" t="n">
        <f aca="false">((((Assumptions!$C$12*(1-Assumptions!$C$14))*AH34)+(((Assumptions!$C$13*(1-Assumptions!$C$14))/12)*AH38))*(1-Assumptions!$C$15))</f>
        <v>5372.13848807401</v>
      </c>
      <c r="AI42" s="9" t="n">
        <f aca="false">((((Assumptions!$C$12*(1-Assumptions!$C$14))*AI34)+(((Assumptions!$C$13*(1-Assumptions!$C$14))/12)*AI38))*(1-Assumptions!$C$15))</f>
        <v>5762.2697619889</v>
      </c>
      <c r="AJ42" s="9" t="n">
        <f aca="false">((((Assumptions!$C$12*(1-Assumptions!$C$14))*AJ34)+(((Assumptions!$C$13*(1-Assumptions!$C$14))/12)*AJ38))*(1-Assumptions!$C$15))</f>
        <v>6211.34411689924</v>
      </c>
      <c r="AK42" s="9" t="n">
        <f aca="false">((((Assumptions!$C$12*(1-Assumptions!$C$14))*AK34)+(((Assumptions!$C$13*(1-Assumptions!$C$14))/12)*AK38))*(1-Assumptions!$C$15))</f>
        <v>6665.78312858619</v>
      </c>
      <c r="AL42" s="9" t="n">
        <f aca="false">((((Assumptions!$C$12*(1-Assumptions!$C$14))*AL34)+(((Assumptions!$C$13*(1-Assumptions!$C$14))/12)*AL38))*(1-Assumptions!$C$15))</f>
        <v>7111.62956925436</v>
      </c>
      <c r="AN42" s="11" t="n">
        <f aca="false">SUM(C42:N42)</f>
        <v>0</v>
      </c>
      <c r="AO42" s="11" t="n">
        <f aca="false">SUM(O42:Z42)</f>
        <v>12639.161268478</v>
      </c>
      <c r="AP42" s="11" t="n">
        <f aca="false">SUM(AA42:AL42)</f>
        <v>58755.2052623137</v>
      </c>
    </row>
    <row r="43" customFormat="false" ht="15" hidden="false" customHeight="false" outlineLevel="0" collapsed="false">
      <c r="A43" s="21" t="s">
        <v>848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</row>
    <row r="44" customFormat="false" ht="15" hidden="false" customHeight="false" outlineLevel="0" collapsed="false">
      <c r="A44" s="0" t="s">
        <v>849</v>
      </c>
      <c r="B44" s="0" t="s">
        <v>160</v>
      </c>
      <c r="C44" s="14" t="n">
        <f aca="false">IF(AND(($C$14=1),(C$18&gt;=(Assumptions!$C$106+1)),(C$18&lt;=(Assumptions!$C$106+6))),Assumptions!$C$117,1)</f>
        <v>1</v>
      </c>
      <c r="D44" s="14" t="n">
        <f aca="false">IF(AND(($C$14=1),(D$18&gt;=(Assumptions!$C$106+1)),(D$18&lt;=(Assumptions!$C$106+6))),Assumptions!$C$117,1)</f>
        <v>1</v>
      </c>
      <c r="E44" s="14" t="n">
        <f aca="false">IF(AND(($C$14=1),(E$18&gt;=(Assumptions!$C$106+1)),(E$18&lt;=(Assumptions!$C$106+6))),Assumptions!$C$117,1)</f>
        <v>1</v>
      </c>
      <c r="F44" s="14" t="n">
        <f aca="false">IF(AND(($C$14=1),(F$18&gt;=(Assumptions!$C$106+1)),(F$18&lt;=(Assumptions!$C$106+6))),Assumptions!$C$117,1)</f>
        <v>1</v>
      </c>
      <c r="G44" s="14" t="n">
        <f aca="false">IF(AND(($C$14=1),(G$18&gt;=(Assumptions!$C$106+1)),(G$18&lt;=(Assumptions!$C$106+6))),Assumptions!$C$117,1)</f>
        <v>1</v>
      </c>
      <c r="H44" s="14" t="n">
        <f aca="false">IF(AND(($C$14=1),(H$18&gt;=(Assumptions!$C$106+1)),(H$18&lt;=(Assumptions!$C$106+6))),Assumptions!$C$117,1)</f>
        <v>1</v>
      </c>
      <c r="I44" s="14" t="n">
        <f aca="false">IF(AND(($C$14=1),(I$18&gt;=(Assumptions!$C$106+1)),(I$18&lt;=(Assumptions!$C$106+6))),Assumptions!$C$117,1)</f>
        <v>1</v>
      </c>
      <c r="J44" s="14" t="n">
        <f aca="false">IF(AND(($C$14=1),(J$18&gt;=(Assumptions!$C$106+1)),(J$18&lt;=(Assumptions!$C$106+6))),Assumptions!$C$117,1)</f>
        <v>1</v>
      </c>
      <c r="K44" s="14" t="n">
        <f aca="false">IF(AND(($C$14=1),(K$18&gt;=(Assumptions!$C$106+1)),(K$18&lt;=(Assumptions!$C$106+6))),Assumptions!$C$117,1)</f>
        <v>1</v>
      </c>
      <c r="L44" s="14" t="n">
        <f aca="false">IF(AND(($C$14=1),(L$18&gt;=(Assumptions!$C$106+1)),(L$18&lt;=(Assumptions!$C$106+6))),Assumptions!$C$117,1)</f>
        <v>1</v>
      </c>
      <c r="M44" s="14" t="n">
        <f aca="false">IF(AND(($C$14=1),(M$18&gt;=(Assumptions!$C$106+1)),(M$18&lt;=(Assumptions!$C$106+6))),Assumptions!$C$117,1)</f>
        <v>1</v>
      </c>
      <c r="N44" s="14" t="n">
        <f aca="false">IF(AND(($C$14=1),(N$18&gt;=(Assumptions!$C$106+1)),(N$18&lt;=(Assumptions!$C$106+6))),Assumptions!$C$117,1)</f>
        <v>1</v>
      </c>
      <c r="O44" s="14" t="n">
        <f aca="false">IF(AND(($C$14=1),(O$18&gt;=(Assumptions!$C$106+1)),(O$18&lt;=(Assumptions!$C$106+6))),Assumptions!$C$117,1)</f>
        <v>1</v>
      </c>
      <c r="P44" s="14" t="n">
        <f aca="false">IF(AND(($C$14=1),(P$18&gt;=(Assumptions!$C$106+1)),(P$18&lt;=(Assumptions!$C$106+6))),Assumptions!$C$117,1)</f>
        <v>1</v>
      </c>
      <c r="Q44" s="14" t="n">
        <f aca="false">IF(AND(($C$14=1),(Q$18&gt;=(Assumptions!$C$106+1)),(Q$18&lt;=(Assumptions!$C$106+6))),Assumptions!$C$117,1)</f>
        <v>1</v>
      </c>
      <c r="R44" s="14" t="n">
        <f aca="false">IF(AND(($C$14=1),(R$18&gt;=(Assumptions!$C$106+1)),(R$18&lt;=(Assumptions!$C$106+6))),Assumptions!$C$117,1)</f>
        <v>1</v>
      </c>
      <c r="S44" s="14" t="n">
        <f aca="false">IF(AND(($C$14=1),(S$18&gt;=(Assumptions!$C$106+1)),(S$18&lt;=(Assumptions!$C$106+6))),Assumptions!$C$117,1)</f>
        <v>1</v>
      </c>
      <c r="T44" s="14" t="n">
        <f aca="false">IF(AND(($C$14=1),(T$18&gt;=(Assumptions!$C$106+1)),(T$18&lt;=(Assumptions!$C$106+6))),Assumptions!$C$117,1)</f>
        <v>1</v>
      </c>
      <c r="U44" s="14" t="n">
        <f aca="false">IF(AND(($C$14=1),(U$18&gt;=(Assumptions!$C$106+1)),(U$18&lt;=(Assumptions!$C$106+6))),Assumptions!$C$117,1)</f>
        <v>1</v>
      </c>
      <c r="V44" s="14" t="n">
        <f aca="false">IF(AND(($C$14=1),(V$18&gt;=(Assumptions!$C$106+1)),(V$18&lt;=(Assumptions!$C$106+6))),Assumptions!$C$117,1)</f>
        <v>1</v>
      </c>
      <c r="W44" s="14" t="n">
        <f aca="false">IF(AND(($C$14=1),(W$18&gt;=(Assumptions!$C$106+1)),(W$18&lt;=(Assumptions!$C$106+6))),Assumptions!$C$117,1)</f>
        <v>1</v>
      </c>
      <c r="X44" s="14" t="n">
        <f aca="false">IF(AND(($C$14=1),(X$18&gt;=(Assumptions!$C$106+1)),(X$18&lt;=(Assumptions!$C$106+6))),Assumptions!$C$117,1)</f>
        <v>1</v>
      </c>
      <c r="Y44" s="14" t="n">
        <f aca="false">IF(AND(($C$14=1),(Y$18&gt;=(Assumptions!$C$106+1)),(Y$18&lt;=(Assumptions!$C$106+6))),Assumptions!$C$117,1)</f>
        <v>1</v>
      </c>
      <c r="Z44" s="14" t="n">
        <f aca="false">IF(AND(($C$14=1),(Z$18&gt;=(Assumptions!$C$106+1)),(Z$18&lt;=(Assumptions!$C$106+6))),Assumptions!$C$117,1)</f>
        <v>1</v>
      </c>
      <c r="AA44" s="14" t="n">
        <f aca="false">IF(AND(($C$14=1),(AA$18&gt;=(Assumptions!$C$106+1)),(AA$18&lt;=(Assumptions!$C$106+6))),Assumptions!$C$117,1)</f>
        <v>1</v>
      </c>
      <c r="AB44" s="14" t="n">
        <f aca="false">IF(AND(($C$14=1),(AB$18&gt;=(Assumptions!$C$106+1)),(AB$18&lt;=(Assumptions!$C$106+6))),Assumptions!$C$117,1)</f>
        <v>1</v>
      </c>
      <c r="AC44" s="14" t="n">
        <f aca="false">IF(AND(($C$14=1),(AC$18&gt;=(Assumptions!$C$106+1)),(AC$18&lt;=(Assumptions!$C$106+6))),Assumptions!$C$117,1)</f>
        <v>1</v>
      </c>
      <c r="AD44" s="14" t="n">
        <f aca="false">IF(AND(($C$14=1),(AD$18&gt;=(Assumptions!$C$106+1)),(AD$18&lt;=(Assumptions!$C$106+6))),Assumptions!$C$117,1)</f>
        <v>1</v>
      </c>
      <c r="AE44" s="14" t="n">
        <f aca="false">IF(AND(($C$14=1),(AE$18&gt;=(Assumptions!$C$106+1)),(AE$18&lt;=(Assumptions!$C$106+6))),Assumptions!$C$117,1)</f>
        <v>1</v>
      </c>
      <c r="AF44" s="14" t="n">
        <f aca="false">IF(AND(($C$14=1),(AF$18&gt;=(Assumptions!$C$106+1)),(AF$18&lt;=(Assumptions!$C$106+6))),Assumptions!$C$117,1)</f>
        <v>1</v>
      </c>
      <c r="AG44" s="14" t="n">
        <f aca="false">IF(AND(($C$14=1),(AG$18&gt;=(Assumptions!$C$106+1)),(AG$18&lt;=(Assumptions!$C$106+6))),Assumptions!$C$117,1)</f>
        <v>1</v>
      </c>
      <c r="AH44" s="14" t="n">
        <f aca="false">IF(AND(($C$14=1),(AH$18&gt;=(Assumptions!$C$106+1)),(AH$18&lt;=(Assumptions!$C$106+6))),Assumptions!$C$117,1)</f>
        <v>1</v>
      </c>
      <c r="AI44" s="14" t="n">
        <f aca="false">IF(AND(($C$14=1),(AI$18&gt;=(Assumptions!$C$106+1)),(AI$18&lt;=(Assumptions!$C$106+6))),Assumptions!$C$117,1)</f>
        <v>1</v>
      </c>
      <c r="AJ44" s="14" t="n">
        <f aca="false">IF(AND(($C$14=1),(AJ$18&gt;=(Assumptions!$C$106+1)),(AJ$18&lt;=(Assumptions!$C$106+6))),Assumptions!$C$117,1)</f>
        <v>1</v>
      </c>
      <c r="AK44" s="14" t="n">
        <f aca="false">IF(AND(($C$14=1),(AK$18&gt;=(Assumptions!$C$106+1)),(AK$18&lt;=(Assumptions!$C$106+6))),Assumptions!$C$117,1)</f>
        <v>1</v>
      </c>
      <c r="AL44" s="14" t="n">
        <f aca="false">IF(AND(($C$14=1),(AL$18&gt;=(Assumptions!$C$106+1)),(AL$18&lt;=(Assumptions!$C$106+6))),Assumptions!$C$117,1)</f>
        <v>1</v>
      </c>
    </row>
    <row r="45" customFormat="false" ht="15" hidden="false" customHeight="false" outlineLevel="0" collapsed="false">
      <c r="A45" s="0" t="s">
        <v>850</v>
      </c>
      <c r="B45" s="0" t="s">
        <v>193</v>
      </c>
      <c r="C45" s="12" t="n">
        <f aca="false">MAX(0,((1-((1-Assumptions!$C$30)*$C$6))-IF(AND(($C$14=1),(C$18&gt;=Assumptions!$C$106),(C$18&lt;=(Assumptions!$C$106+11))),Assumptions!$C$116,0)))</f>
        <v>0.898</v>
      </c>
      <c r="D45" s="12" t="n">
        <f aca="false">MAX(0,((1-((1-Assumptions!$C$30)*$C$6))-IF(AND(($C$14=1),(D$18&gt;=Assumptions!$C$106),(D$18&lt;=(Assumptions!$C$106+11))),Assumptions!$C$116,0)))</f>
        <v>0.898</v>
      </c>
      <c r="E45" s="12" t="n">
        <f aca="false">MAX(0,((1-((1-Assumptions!$C$30)*$C$6))-IF(AND(($C$14=1),(E$18&gt;=Assumptions!$C$106),(E$18&lt;=(Assumptions!$C$106+11))),Assumptions!$C$116,0)))</f>
        <v>0.898</v>
      </c>
      <c r="F45" s="12" t="n">
        <f aca="false">MAX(0,((1-((1-Assumptions!$C$30)*$C$6))-IF(AND(($C$14=1),(F$18&gt;=Assumptions!$C$106),(F$18&lt;=(Assumptions!$C$106+11))),Assumptions!$C$116,0)))</f>
        <v>0.898</v>
      </c>
      <c r="G45" s="12" t="n">
        <f aca="false">MAX(0,((1-((1-Assumptions!$C$30)*$C$6))-IF(AND(($C$14=1),(G$18&gt;=Assumptions!$C$106),(G$18&lt;=(Assumptions!$C$106+11))),Assumptions!$C$116,0)))</f>
        <v>0.898</v>
      </c>
      <c r="H45" s="12" t="n">
        <f aca="false">MAX(0,((1-((1-Assumptions!$C$30)*$C$6))-IF(AND(($C$14=1),(H$18&gt;=Assumptions!$C$106),(H$18&lt;=(Assumptions!$C$106+11))),Assumptions!$C$116,0)))</f>
        <v>0.898</v>
      </c>
      <c r="I45" s="12" t="n">
        <f aca="false">MAX(0,((1-((1-Assumptions!$C$30)*$C$6))-IF(AND(($C$14=1),(I$18&gt;=Assumptions!$C$106),(I$18&lt;=(Assumptions!$C$106+11))),Assumptions!$C$116,0)))</f>
        <v>0.898</v>
      </c>
      <c r="J45" s="12" t="n">
        <f aca="false">MAX(0,((1-((1-Assumptions!$C$30)*$C$6))-IF(AND(($C$14=1),(J$18&gt;=Assumptions!$C$106),(J$18&lt;=(Assumptions!$C$106+11))),Assumptions!$C$116,0)))</f>
        <v>0.898</v>
      </c>
      <c r="K45" s="12" t="n">
        <f aca="false">MAX(0,((1-((1-Assumptions!$C$30)*$C$6))-IF(AND(($C$14=1),(K$18&gt;=Assumptions!$C$106),(K$18&lt;=(Assumptions!$C$106+11))),Assumptions!$C$116,0)))</f>
        <v>0.898</v>
      </c>
      <c r="L45" s="12" t="n">
        <f aca="false">MAX(0,((1-((1-Assumptions!$C$30)*$C$6))-IF(AND(($C$14=1),(L$18&gt;=Assumptions!$C$106),(L$18&lt;=(Assumptions!$C$106+11))),Assumptions!$C$116,0)))</f>
        <v>0.898</v>
      </c>
      <c r="M45" s="12" t="n">
        <f aca="false">MAX(0,((1-((1-Assumptions!$C$30)*$C$6))-IF(AND(($C$14=1),(M$18&gt;=Assumptions!$C$106),(M$18&lt;=(Assumptions!$C$106+11))),Assumptions!$C$116,0)))</f>
        <v>0.898</v>
      </c>
      <c r="N45" s="12" t="n">
        <f aca="false">MAX(0,((1-((1-Assumptions!$C$30)*$C$6))-IF(AND(($C$14=1),(N$18&gt;=Assumptions!$C$106),(N$18&lt;=(Assumptions!$C$106+11))),Assumptions!$C$116,0)))</f>
        <v>0.898</v>
      </c>
      <c r="O45" s="12" t="n">
        <f aca="false">MAX(0,((1-((1-Assumptions!$C$30)*$C$6))-IF(AND(($C$14=1),(O$18&gt;=Assumptions!$C$106),(O$18&lt;=(Assumptions!$C$106+11))),Assumptions!$C$116,0)))</f>
        <v>0.898</v>
      </c>
      <c r="P45" s="12" t="n">
        <f aca="false">MAX(0,((1-((1-Assumptions!$C$30)*$C$6))-IF(AND(($C$14=1),(P$18&gt;=Assumptions!$C$106),(P$18&lt;=(Assumptions!$C$106+11))),Assumptions!$C$116,0)))</f>
        <v>0.898</v>
      </c>
      <c r="Q45" s="12" t="n">
        <f aca="false">MAX(0,((1-((1-Assumptions!$C$30)*$C$6))-IF(AND(($C$14=1),(Q$18&gt;=Assumptions!$C$106),(Q$18&lt;=(Assumptions!$C$106+11))),Assumptions!$C$116,0)))</f>
        <v>0.898</v>
      </c>
      <c r="R45" s="12" t="n">
        <f aca="false">MAX(0,((1-((1-Assumptions!$C$30)*$C$6))-IF(AND(($C$14=1),(R$18&gt;=Assumptions!$C$106),(R$18&lt;=(Assumptions!$C$106+11))),Assumptions!$C$116,0)))</f>
        <v>0.898</v>
      </c>
      <c r="S45" s="12" t="n">
        <f aca="false">MAX(0,((1-((1-Assumptions!$C$30)*$C$6))-IF(AND(($C$14=1),(S$18&gt;=Assumptions!$C$106),(S$18&lt;=(Assumptions!$C$106+11))),Assumptions!$C$116,0)))</f>
        <v>0.898</v>
      </c>
      <c r="T45" s="12" t="n">
        <f aca="false">MAX(0,((1-((1-Assumptions!$C$30)*$C$6))-IF(AND(($C$14=1),(T$18&gt;=Assumptions!$C$106),(T$18&lt;=(Assumptions!$C$106+11))),Assumptions!$C$116,0)))</f>
        <v>0.898</v>
      </c>
      <c r="U45" s="12" t="n">
        <f aca="false">MAX(0,((1-((1-Assumptions!$C$30)*$C$6))-IF(AND(($C$14=1),(U$18&gt;=Assumptions!$C$106),(U$18&lt;=(Assumptions!$C$106+11))),Assumptions!$C$116,0)))</f>
        <v>0.898</v>
      </c>
      <c r="V45" s="12" t="n">
        <f aca="false">MAX(0,((1-((1-Assumptions!$C$30)*$C$6))-IF(AND(($C$14=1),(V$18&gt;=Assumptions!$C$106),(V$18&lt;=(Assumptions!$C$106+11))),Assumptions!$C$116,0)))</f>
        <v>0.898</v>
      </c>
      <c r="W45" s="12" t="n">
        <f aca="false">MAX(0,((1-((1-Assumptions!$C$30)*$C$6))-IF(AND(($C$14=1),(W$18&gt;=Assumptions!$C$106),(W$18&lt;=(Assumptions!$C$106+11))),Assumptions!$C$116,0)))</f>
        <v>0.898</v>
      </c>
      <c r="X45" s="12" t="n">
        <f aca="false">MAX(0,((1-((1-Assumptions!$C$30)*$C$6))-IF(AND(($C$14=1),(X$18&gt;=Assumptions!$C$106),(X$18&lt;=(Assumptions!$C$106+11))),Assumptions!$C$116,0)))</f>
        <v>0.898</v>
      </c>
      <c r="Y45" s="12" t="n">
        <f aca="false">MAX(0,((1-((1-Assumptions!$C$30)*$C$6))-IF(AND(($C$14=1),(Y$18&gt;=Assumptions!$C$106),(Y$18&lt;=(Assumptions!$C$106+11))),Assumptions!$C$116,0)))</f>
        <v>0.898</v>
      </c>
      <c r="Z45" s="12" t="n">
        <f aca="false">MAX(0,((1-((1-Assumptions!$C$30)*$C$6))-IF(AND(($C$14=1),(Z$18&gt;=Assumptions!$C$106),(Z$18&lt;=(Assumptions!$C$106+11))),Assumptions!$C$116,0)))</f>
        <v>0.898</v>
      </c>
      <c r="AA45" s="12" t="n">
        <f aca="false">MAX(0,((1-((1-Assumptions!$C$30)*$C$6))-IF(AND(($C$14=1),(AA$18&gt;=Assumptions!$C$106),(AA$18&lt;=(Assumptions!$C$106+11))),Assumptions!$C$116,0)))</f>
        <v>0.898</v>
      </c>
      <c r="AB45" s="12" t="n">
        <f aca="false">MAX(0,((1-((1-Assumptions!$C$30)*$C$6))-IF(AND(($C$14=1),(AB$18&gt;=Assumptions!$C$106),(AB$18&lt;=(Assumptions!$C$106+11))),Assumptions!$C$116,0)))</f>
        <v>0.898</v>
      </c>
      <c r="AC45" s="12" t="n">
        <f aca="false">MAX(0,((1-((1-Assumptions!$C$30)*$C$6))-IF(AND(($C$14=1),(AC$18&gt;=Assumptions!$C$106),(AC$18&lt;=(Assumptions!$C$106+11))),Assumptions!$C$116,0)))</f>
        <v>0.898</v>
      </c>
      <c r="AD45" s="12" t="n">
        <f aca="false">MAX(0,((1-((1-Assumptions!$C$30)*$C$6))-IF(AND(($C$14=1),(AD$18&gt;=Assumptions!$C$106),(AD$18&lt;=(Assumptions!$C$106+11))),Assumptions!$C$116,0)))</f>
        <v>0.898</v>
      </c>
      <c r="AE45" s="12" t="n">
        <f aca="false">MAX(0,((1-((1-Assumptions!$C$30)*$C$6))-IF(AND(($C$14=1),(AE$18&gt;=Assumptions!$C$106),(AE$18&lt;=(Assumptions!$C$106+11))),Assumptions!$C$116,0)))</f>
        <v>0.898</v>
      </c>
      <c r="AF45" s="12" t="n">
        <f aca="false">MAX(0,((1-((1-Assumptions!$C$30)*$C$6))-IF(AND(($C$14=1),(AF$18&gt;=Assumptions!$C$106),(AF$18&lt;=(Assumptions!$C$106+11))),Assumptions!$C$116,0)))</f>
        <v>0.898</v>
      </c>
      <c r="AG45" s="12" t="n">
        <f aca="false">MAX(0,((1-((1-Assumptions!$C$30)*$C$6))-IF(AND(($C$14=1),(AG$18&gt;=Assumptions!$C$106),(AG$18&lt;=(Assumptions!$C$106+11))),Assumptions!$C$116,0)))</f>
        <v>0.898</v>
      </c>
      <c r="AH45" s="12" t="n">
        <f aca="false">MAX(0,((1-((1-Assumptions!$C$30)*$C$6))-IF(AND(($C$14=1),(AH$18&gt;=Assumptions!$C$106),(AH$18&lt;=(Assumptions!$C$106+11))),Assumptions!$C$116,0)))</f>
        <v>0.898</v>
      </c>
      <c r="AI45" s="12" t="n">
        <f aca="false">MAX(0,((1-((1-Assumptions!$C$30)*$C$6))-IF(AND(($C$14=1),(AI$18&gt;=Assumptions!$C$106),(AI$18&lt;=(Assumptions!$C$106+11))),Assumptions!$C$116,0)))</f>
        <v>0.898</v>
      </c>
      <c r="AJ45" s="12" t="n">
        <f aca="false">MAX(0,((1-((1-Assumptions!$C$30)*$C$6))-IF(AND(($C$14=1),(AJ$18&gt;=Assumptions!$C$106),(AJ$18&lt;=(Assumptions!$C$106+11))),Assumptions!$C$116,0)))</f>
        <v>0.898</v>
      </c>
      <c r="AK45" s="12" t="n">
        <f aca="false">MAX(0,((1-((1-Assumptions!$C$30)*$C$6))-IF(AND(($C$14=1),(AK$18&gt;=Assumptions!$C$106),(AK$18&lt;=(Assumptions!$C$106+11))),Assumptions!$C$116,0)))</f>
        <v>0.898</v>
      </c>
      <c r="AL45" s="12" t="n">
        <f aca="false">MAX(0,((1-((1-Assumptions!$C$30)*$C$6))-IF(AND(($C$14=1),(AL$18&gt;=Assumptions!$C$106),(AL$18&lt;=(Assumptions!$C$106+11))),Assumptions!$C$116,0)))</f>
        <v>0.898</v>
      </c>
    </row>
    <row r="46" customFormat="false" ht="15" hidden="false" customHeight="false" outlineLevel="0" collapsed="false">
      <c r="A46" s="0" t="s">
        <v>851</v>
      </c>
      <c r="B46" s="0" t="s">
        <v>852</v>
      </c>
      <c r="C46" s="14" t="n">
        <f aca="false">((IF(OR((C$18-(Assumptions!$C$7-1)-$C$9)&lt;1,(C$18-(Assumptions!$C$7-1)-$C$9)&gt;36),0,INDEX(Schedules!$C$5:$AL$5,(C$18-(Assumptions!$C$7-1)-$C$9)))*$C$7)*C44)</f>
        <v>0</v>
      </c>
      <c r="D46" s="14" t="n">
        <f aca="false">((IF(OR((D$18-(Assumptions!$C$7-1)-$C$9)&lt;1,(D$18-(Assumptions!$C$7-1)-$C$9)&gt;36),0,INDEX(Schedules!$C$5:$AL$5,(D$18-(Assumptions!$C$7-1)-$C$9)))*$C$7)*D44)</f>
        <v>0</v>
      </c>
      <c r="E46" s="14" t="n">
        <f aca="false">((IF(OR((E$18-(Assumptions!$C$7-1)-$C$9)&lt;1,(E$18-(Assumptions!$C$7-1)-$C$9)&gt;36),0,INDEX(Schedules!$C$5:$AL$5,(E$18-(Assumptions!$C$7-1)-$C$9)))*$C$7)*E44)</f>
        <v>0</v>
      </c>
      <c r="F46" s="14" t="n">
        <f aca="false">((IF(OR((F$18-(Assumptions!$C$7-1)-$C$9)&lt;1,(F$18-(Assumptions!$C$7-1)-$C$9)&gt;36),0,INDEX(Schedules!$C$5:$AL$5,(F$18-(Assumptions!$C$7-1)-$C$9)))*$C$7)*F44)</f>
        <v>0</v>
      </c>
      <c r="G46" s="14" t="n">
        <f aca="false">((IF(OR((G$18-(Assumptions!$C$7-1)-$C$9)&lt;1,(G$18-(Assumptions!$C$7-1)-$C$9)&gt;36),0,INDEX(Schedules!$C$5:$AL$5,(G$18-(Assumptions!$C$7-1)-$C$9)))*$C$7)*G44)</f>
        <v>0</v>
      </c>
      <c r="H46" s="14" t="n">
        <f aca="false">((IF(OR((H$18-(Assumptions!$C$7-1)-$C$9)&lt;1,(H$18-(Assumptions!$C$7-1)-$C$9)&gt;36),0,INDEX(Schedules!$C$5:$AL$5,(H$18-(Assumptions!$C$7-1)-$C$9)))*$C$7)*H44)</f>
        <v>0</v>
      </c>
      <c r="I46" s="14" t="n">
        <f aca="false">((IF(OR((I$18-(Assumptions!$C$7-1)-$C$9)&lt;1,(I$18-(Assumptions!$C$7-1)-$C$9)&gt;36),0,INDEX(Schedules!$C$5:$AL$5,(I$18-(Assumptions!$C$7-1)-$C$9)))*$C$7)*I44)</f>
        <v>0</v>
      </c>
      <c r="J46" s="14" t="n">
        <f aca="false">((IF(OR((J$18-(Assumptions!$C$7-1)-$C$9)&lt;1,(J$18-(Assumptions!$C$7-1)-$C$9)&gt;36),0,INDEX(Schedules!$C$5:$AL$5,(J$18-(Assumptions!$C$7-1)-$C$9)))*$C$7)*J44)</f>
        <v>0</v>
      </c>
      <c r="K46" s="14" t="n">
        <f aca="false">((IF(OR((K$18-(Assumptions!$C$7-1)-$C$9)&lt;1,(K$18-(Assumptions!$C$7-1)-$C$9)&gt;36),0,INDEX(Schedules!$C$5:$AL$5,(K$18-(Assumptions!$C$7-1)-$C$9)))*$C$7)*K44)</f>
        <v>0</v>
      </c>
      <c r="L46" s="14" t="n">
        <f aca="false">((IF(OR((L$18-(Assumptions!$C$7-1)-$C$9)&lt;1,(L$18-(Assumptions!$C$7-1)-$C$9)&gt;36),0,INDEX(Schedules!$C$5:$AL$5,(L$18-(Assumptions!$C$7-1)-$C$9)))*$C$7)*L44)</f>
        <v>0</v>
      </c>
      <c r="M46" s="14" t="n">
        <f aca="false">((IF(OR((M$18-(Assumptions!$C$7-1)-$C$9)&lt;1,(M$18-(Assumptions!$C$7-1)-$C$9)&gt;36),0,INDEX(Schedules!$C$5:$AL$5,(M$18-(Assumptions!$C$7-1)-$C$9)))*$C$7)*M44)</f>
        <v>1.4</v>
      </c>
      <c r="N46" s="14" t="n">
        <f aca="false">((IF(OR((N$18-(Assumptions!$C$7-1)-$C$9)&lt;1,(N$18-(Assumptions!$C$7-1)-$C$9)&gt;36),0,INDEX(Schedules!$C$5:$AL$5,(N$18-(Assumptions!$C$7-1)-$C$9)))*$C$7)*N44)</f>
        <v>0</v>
      </c>
      <c r="O46" s="14" t="n">
        <f aca="false">((IF(OR((O$18-(Assumptions!$C$7-1)-$C$9)&lt;1,(O$18-(Assumptions!$C$7-1)-$C$9)&gt;36),0,INDEX(Schedules!$C$5:$AL$5,(O$18-(Assumptions!$C$7-1)-$C$9)))*$C$7)*O44)</f>
        <v>0</v>
      </c>
      <c r="P46" s="14" t="n">
        <f aca="false">((IF(OR((P$18-(Assumptions!$C$7-1)-$C$9)&lt;1,(P$18-(Assumptions!$C$7-1)-$C$9)&gt;36),0,INDEX(Schedules!$C$5:$AL$5,(P$18-(Assumptions!$C$7-1)-$C$9)))*$C$7)*P44)</f>
        <v>1.4</v>
      </c>
      <c r="Q46" s="14" t="n">
        <f aca="false">((IF(OR((Q$18-(Assumptions!$C$7-1)-$C$9)&lt;1,(Q$18-(Assumptions!$C$7-1)-$C$9)&gt;36),0,INDEX(Schedules!$C$5:$AL$5,(Q$18-(Assumptions!$C$7-1)-$C$9)))*$C$7)*Q44)</f>
        <v>0</v>
      </c>
      <c r="R46" s="14" t="n">
        <f aca="false">((IF(OR((R$18-(Assumptions!$C$7-1)-$C$9)&lt;1,(R$18-(Assumptions!$C$7-1)-$C$9)&gt;36),0,INDEX(Schedules!$C$5:$AL$5,(R$18-(Assumptions!$C$7-1)-$C$9)))*$C$7)*R44)</f>
        <v>0</v>
      </c>
      <c r="S46" s="14" t="n">
        <f aca="false">((IF(OR((S$18-(Assumptions!$C$7-1)-$C$9)&lt;1,(S$18-(Assumptions!$C$7-1)-$C$9)&gt;36),0,INDEX(Schedules!$C$5:$AL$5,(S$18-(Assumptions!$C$7-1)-$C$9)))*$C$7)*S44)</f>
        <v>2.8</v>
      </c>
      <c r="T46" s="14" t="n">
        <f aca="false">((IF(OR((T$18-(Assumptions!$C$7-1)-$C$9)&lt;1,(T$18-(Assumptions!$C$7-1)-$C$9)&gt;36),0,INDEX(Schedules!$C$5:$AL$5,(T$18-(Assumptions!$C$7-1)-$C$9)))*$C$7)*T44)</f>
        <v>0</v>
      </c>
      <c r="U46" s="14" t="n">
        <f aca="false">((IF(OR((U$18-(Assumptions!$C$7-1)-$C$9)&lt;1,(U$18-(Assumptions!$C$7-1)-$C$9)&gt;36),0,INDEX(Schedules!$C$5:$AL$5,(U$18-(Assumptions!$C$7-1)-$C$9)))*$C$7)*U44)</f>
        <v>0</v>
      </c>
      <c r="V46" s="14" t="n">
        <f aca="false">((IF(OR((V$18-(Assumptions!$C$7-1)-$C$9)&lt;1,(V$18-(Assumptions!$C$7-1)-$C$9)&gt;36),0,INDEX(Schedules!$C$5:$AL$5,(V$18-(Assumptions!$C$7-1)-$C$9)))*$C$7)*V44)</f>
        <v>2.8</v>
      </c>
      <c r="W46" s="14" t="n">
        <f aca="false">((IF(OR((W$18-(Assumptions!$C$7-1)-$C$9)&lt;1,(W$18-(Assumptions!$C$7-1)-$C$9)&gt;36),0,INDEX(Schedules!$C$5:$AL$5,(W$18-(Assumptions!$C$7-1)-$C$9)))*$C$7)*W44)</f>
        <v>0</v>
      </c>
      <c r="X46" s="14" t="n">
        <f aca="false">((IF(OR((X$18-(Assumptions!$C$7-1)-$C$9)&lt;1,(X$18-(Assumptions!$C$7-1)-$C$9)&gt;36),0,INDEX(Schedules!$C$5:$AL$5,(X$18-(Assumptions!$C$7-1)-$C$9)))*$C$7)*X44)</f>
        <v>0</v>
      </c>
      <c r="Y46" s="14" t="n">
        <f aca="false">((IF(OR((Y$18-(Assumptions!$C$7-1)-$C$9)&lt;1,(Y$18-(Assumptions!$C$7-1)-$C$9)&gt;36),0,INDEX(Schedules!$C$5:$AL$5,(Y$18-(Assumptions!$C$7-1)-$C$9)))*$C$7)*Y44)</f>
        <v>4.2</v>
      </c>
      <c r="Z46" s="14" t="n">
        <f aca="false">((IF(OR((Z$18-(Assumptions!$C$7-1)-$C$9)&lt;1,(Z$18-(Assumptions!$C$7-1)-$C$9)&gt;36),0,INDEX(Schedules!$C$5:$AL$5,(Z$18-(Assumptions!$C$7-1)-$C$9)))*$C$7)*Z44)</f>
        <v>0</v>
      </c>
      <c r="AA46" s="14" t="n">
        <f aca="false">((IF(OR((AA$18-(Assumptions!$C$7-1)-$C$9)&lt;1,(AA$18-(Assumptions!$C$7-1)-$C$9)&gt;36),0,INDEX(Schedules!$C$5:$AL$5,(AA$18-(Assumptions!$C$7-1)-$C$9)))*$C$7)*AA44)</f>
        <v>0</v>
      </c>
      <c r="AB46" s="14" t="n">
        <f aca="false">((IF(OR((AB$18-(Assumptions!$C$7-1)-$C$9)&lt;1,(AB$18-(Assumptions!$C$7-1)-$C$9)&gt;36),0,INDEX(Schedules!$C$5:$AL$5,(AB$18-(Assumptions!$C$7-1)-$C$9)))*$C$7)*AB44)</f>
        <v>4.2</v>
      </c>
      <c r="AC46" s="14" t="n">
        <f aca="false">((IF(OR((AC$18-(Assumptions!$C$7-1)-$C$9)&lt;1,(AC$18-(Assumptions!$C$7-1)-$C$9)&gt;36),0,INDEX(Schedules!$C$5:$AL$5,(AC$18-(Assumptions!$C$7-1)-$C$9)))*$C$7)*AC44)</f>
        <v>0</v>
      </c>
      <c r="AD46" s="14" t="n">
        <f aca="false">((IF(OR((AD$18-(Assumptions!$C$7-1)-$C$9)&lt;1,(AD$18-(Assumptions!$C$7-1)-$C$9)&gt;36),0,INDEX(Schedules!$C$5:$AL$5,(AD$18-(Assumptions!$C$7-1)-$C$9)))*$C$7)*AD44)</f>
        <v>0</v>
      </c>
      <c r="AE46" s="14" t="n">
        <f aca="false">((IF(OR((AE$18-(Assumptions!$C$7-1)-$C$9)&lt;1,(AE$18-(Assumptions!$C$7-1)-$C$9)&gt;36),0,INDEX(Schedules!$C$5:$AL$5,(AE$18-(Assumptions!$C$7-1)-$C$9)))*$C$7)*AE44)</f>
        <v>4.2</v>
      </c>
      <c r="AF46" s="14" t="n">
        <f aca="false">((IF(OR((AF$18-(Assumptions!$C$7-1)-$C$9)&lt;1,(AF$18-(Assumptions!$C$7-1)-$C$9)&gt;36),0,INDEX(Schedules!$C$5:$AL$5,(AF$18-(Assumptions!$C$7-1)-$C$9)))*$C$7)*AF44)</f>
        <v>0</v>
      </c>
      <c r="AG46" s="14" t="n">
        <f aca="false">((IF(OR((AG$18-(Assumptions!$C$7-1)-$C$9)&lt;1,(AG$18-(Assumptions!$C$7-1)-$C$9)&gt;36),0,INDEX(Schedules!$C$5:$AL$5,(AG$18-(Assumptions!$C$7-1)-$C$9)))*$C$7)*AG44)</f>
        <v>0</v>
      </c>
      <c r="AH46" s="14" t="n">
        <f aca="false">((IF(OR((AH$18-(Assumptions!$C$7-1)-$C$9)&lt;1,(AH$18-(Assumptions!$C$7-1)-$C$9)&gt;36),0,INDEX(Schedules!$C$5:$AL$5,(AH$18-(Assumptions!$C$7-1)-$C$9)))*$C$7)*AH44)</f>
        <v>5.6</v>
      </c>
      <c r="AI46" s="14" t="n">
        <f aca="false">((IF(OR((AI$18-(Assumptions!$C$7-1)-$C$9)&lt;1,(AI$18-(Assumptions!$C$7-1)-$C$9)&gt;36),0,INDEX(Schedules!$C$5:$AL$5,(AI$18-(Assumptions!$C$7-1)-$C$9)))*$C$7)*AI44)</f>
        <v>0</v>
      </c>
      <c r="AJ46" s="14" t="n">
        <f aca="false">((IF(OR((AJ$18-(Assumptions!$C$7-1)-$C$9)&lt;1,(AJ$18-(Assumptions!$C$7-1)-$C$9)&gt;36),0,INDEX(Schedules!$C$5:$AL$5,(AJ$18-(Assumptions!$C$7-1)-$C$9)))*$C$7)*AJ44)</f>
        <v>0</v>
      </c>
      <c r="AK46" s="14" t="n">
        <f aca="false">((IF(OR((AK$18-(Assumptions!$C$7-1)-$C$9)&lt;1,(AK$18-(Assumptions!$C$7-1)-$C$9)&gt;36),0,INDEX(Schedules!$C$5:$AL$5,(AK$18-(Assumptions!$C$7-1)-$C$9)))*$C$7)*AK44)</f>
        <v>5.6</v>
      </c>
      <c r="AL46" s="14" t="n">
        <f aca="false">((IF(OR((AL$18-(Assumptions!$C$7-1)-$C$9)&lt;1,(AL$18-(Assumptions!$C$7-1)-$C$9)&gt;36),0,INDEX(Schedules!$C$5:$AL$5,(AL$18-(Assumptions!$C$7-1)-$C$9)))*$C$7)*AL44)</f>
        <v>0</v>
      </c>
      <c r="AN46" s="36" t="n">
        <f aca="false">SUM(C46:N46)</f>
        <v>1.4</v>
      </c>
      <c r="AO46" s="36" t="n">
        <f aca="false">SUM(O46:Z46)</f>
        <v>11.2</v>
      </c>
      <c r="AP46" s="36" t="n">
        <f aca="false">SUM(AA46:AL46)</f>
        <v>19.6</v>
      </c>
    </row>
    <row r="47" customFormat="false" ht="15" hidden="false" customHeight="false" outlineLevel="0" collapsed="false">
      <c r="A47" s="0" t="s">
        <v>853</v>
      </c>
      <c r="B47" s="0" t="s">
        <v>852</v>
      </c>
      <c r="C47" s="14" t="n">
        <f aca="false">INDEX(Schedules!$C$11:$AL$11,C$18)</f>
        <v>0</v>
      </c>
      <c r="D47" s="14" t="n">
        <f aca="false">INDEX(Schedules!$C$11:$AL$11,D$18)</f>
        <v>0</v>
      </c>
      <c r="E47" s="14" t="n">
        <f aca="false">INDEX(Schedules!$C$11:$AL$11,E$18)</f>
        <v>0</v>
      </c>
      <c r="F47" s="14" t="n">
        <f aca="false">INDEX(Schedules!$C$11:$AL$11,F$18)</f>
        <v>0</v>
      </c>
      <c r="G47" s="14" t="n">
        <f aca="false">INDEX(Schedules!$C$11:$AL$11,G$18)</f>
        <v>1</v>
      </c>
      <c r="H47" s="14" t="n">
        <f aca="false">INDEX(Schedules!$C$11:$AL$11,H$18)</f>
        <v>0</v>
      </c>
      <c r="I47" s="14" t="n">
        <f aca="false">INDEX(Schedules!$C$11:$AL$11,I$18)</f>
        <v>0</v>
      </c>
      <c r="J47" s="14" t="n">
        <f aca="false">INDEX(Schedules!$C$11:$AL$11,J$18)</f>
        <v>0</v>
      </c>
      <c r="K47" s="14" t="n">
        <f aca="false">INDEX(Schedules!$C$11:$AL$11,K$18)</f>
        <v>0</v>
      </c>
      <c r="L47" s="14" t="n">
        <f aca="false">INDEX(Schedules!$C$11:$AL$11,L$18)</f>
        <v>0</v>
      </c>
      <c r="M47" s="14" t="n">
        <f aca="false">INDEX(Schedules!$C$11:$AL$11,M$18)</f>
        <v>0</v>
      </c>
      <c r="N47" s="14" t="n">
        <f aca="false">INDEX(Schedules!$C$11:$AL$11,N$18)</f>
        <v>0</v>
      </c>
      <c r="O47" s="14" t="n">
        <f aca="false">INDEX(Schedules!$C$11:$AL$11,O$18)</f>
        <v>0</v>
      </c>
      <c r="P47" s="14" t="n">
        <f aca="false">INDEX(Schedules!$C$11:$AL$11,P$18)</f>
        <v>0</v>
      </c>
      <c r="Q47" s="14" t="n">
        <f aca="false">INDEX(Schedules!$C$11:$AL$11,Q$18)</f>
        <v>0</v>
      </c>
      <c r="R47" s="14" t="n">
        <f aca="false">INDEX(Schedules!$C$11:$AL$11,R$18)</f>
        <v>0</v>
      </c>
      <c r="S47" s="14" t="n">
        <f aca="false">INDEX(Schedules!$C$11:$AL$11,S$18)</f>
        <v>0</v>
      </c>
      <c r="T47" s="14" t="n">
        <f aca="false">INDEX(Schedules!$C$11:$AL$11,T$18)</f>
        <v>0</v>
      </c>
      <c r="U47" s="14" t="n">
        <f aca="false">INDEX(Schedules!$C$11:$AL$11,U$18)</f>
        <v>0</v>
      </c>
      <c r="V47" s="14" t="n">
        <f aca="false">INDEX(Schedules!$C$11:$AL$11,V$18)</f>
        <v>0</v>
      </c>
      <c r="W47" s="14" t="n">
        <f aca="false">INDEX(Schedules!$C$11:$AL$11,W$18)</f>
        <v>0</v>
      </c>
      <c r="X47" s="14" t="n">
        <f aca="false">INDEX(Schedules!$C$11:$AL$11,X$18)</f>
        <v>0</v>
      </c>
      <c r="Y47" s="14" t="n">
        <f aca="false">INDEX(Schedules!$C$11:$AL$11,Y$18)</f>
        <v>0</v>
      </c>
      <c r="Z47" s="14" t="n">
        <f aca="false">INDEX(Schedules!$C$11:$AL$11,Z$18)</f>
        <v>0</v>
      </c>
      <c r="AA47" s="14" t="n">
        <f aca="false">INDEX(Schedules!$C$11:$AL$11,AA$18)</f>
        <v>0</v>
      </c>
      <c r="AB47" s="14" t="n">
        <f aca="false">INDEX(Schedules!$C$11:$AL$11,AB$18)</f>
        <v>0</v>
      </c>
      <c r="AC47" s="14" t="n">
        <f aca="false">INDEX(Schedules!$C$11:$AL$11,AC$18)</f>
        <v>0</v>
      </c>
      <c r="AD47" s="14" t="n">
        <f aca="false">INDEX(Schedules!$C$11:$AL$11,AD$18)</f>
        <v>0</v>
      </c>
      <c r="AE47" s="14" t="n">
        <f aca="false">INDEX(Schedules!$C$11:$AL$11,AE$18)</f>
        <v>0</v>
      </c>
      <c r="AF47" s="14" t="n">
        <f aca="false">INDEX(Schedules!$C$11:$AL$11,AF$18)</f>
        <v>0</v>
      </c>
      <c r="AG47" s="14" t="n">
        <f aca="false">INDEX(Schedules!$C$11:$AL$11,AG$18)</f>
        <v>0</v>
      </c>
      <c r="AH47" s="14" t="n">
        <f aca="false">INDEX(Schedules!$C$11:$AL$11,AH$18)</f>
        <v>0</v>
      </c>
      <c r="AI47" s="14" t="n">
        <f aca="false">INDEX(Schedules!$C$11:$AL$11,AI$18)</f>
        <v>0</v>
      </c>
      <c r="AJ47" s="14" t="n">
        <f aca="false">INDEX(Schedules!$C$11:$AL$11,AJ$18)</f>
        <v>0</v>
      </c>
      <c r="AK47" s="14" t="n">
        <f aca="false">INDEX(Schedules!$C$11:$AL$11,AK$18)</f>
        <v>0</v>
      </c>
      <c r="AL47" s="14" t="n">
        <f aca="false">INDEX(Schedules!$C$11:$AL$11,AL$18)</f>
        <v>0</v>
      </c>
      <c r="AN47" s="36" t="n">
        <f aca="false">SUM(C47:N47)</f>
        <v>1</v>
      </c>
      <c r="AO47" s="36" t="n">
        <f aca="false">SUM(O47:Z47)</f>
        <v>0</v>
      </c>
      <c r="AP47" s="36" t="n">
        <f aca="false">SUM(AA47:AL47)</f>
        <v>0</v>
      </c>
    </row>
    <row r="48" customFormat="false" ht="15" hidden="false" customHeight="false" outlineLevel="0" collapsed="false">
      <c r="A48" s="0" t="s">
        <v>854</v>
      </c>
      <c r="B48" s="0" t="s">
        <v>852</v>
      </c>
      <c r="C48" s="14" t="n">
        <f aca="false">(C46+C47)</f>
        <v>0</v>
      </c>
      <c r="D48" s="14" t="n">
        <f aca="false">(D46+D47)</f>
        <v>0</v>
      </c>
      <c r="E48" s="14" t="n">
        <f aca="false">(E46+E47)</f>
        <v>0</v>
      </c>
      <c r="F48" s="14" t="n">
        <f aca="false">(F46+F47)</f>
        <v>0</v>
      </c>
      <c r="G48" s="14" t="n">
        <f aca="false">(G46+G47)</f>
        <v>1</v>
      </c>
      <c r="H48" s="14" t="n">
        <f aca="false">(H46+H47)</f>
        <v>0</v>
      </c>
      <c r="I48" s="14" t="n">
        <f aca="false">(I46+I47)</f>
        <v>0</v>
      </c>
      <c r="J48" s="14" t="n">
        <f aca="false">(J46+J47)</f>
        <v>0</v>
      </c>
      <c r="K48" s="14" t="n">
        <f aca="false">(K46+K47)</f>
        <v>0</v>
      </c>
      <c r="L48" s="14" t="n">
        <f aca="false">(L46+L47)</f>
        <v>0</v>
      </c>
      <c r="M48" s="14" t="n">
        <f aca="false">(M46+M47)</f>
        <v>1.4</v>
      </c>
      <c r="N48" s="14" t="n">
        <f aca="false">(N46+N47)</f>
        <v>0</v>
      </c>
      <c r="O48" s="14" t="n">
        <f aca="false">(O46+O47)</f>
        <v>0</v>
      </c>
      <c r="P48" s="14" t="n">
        <f aca="false">(P46+P47)</f>
        <v>1.4</v>
      </c>
      <c r="Q48" s="14" t="n">
        <f aca="false">(Q46+Q47)</f>
        <v>0</v>
      </c>
      <c r="R48" s="14" t="n">
        <f aca="false">(R46+R47)</f>
        <v>0</v>
      </c>
      <c r="S48" s="14" t="n">
        <f aca="false">(S46+S47)</f>
        <v>2.8</v>
      </c>
      <c r="T48" s="14" t="n">
        <f aca="false">(T46+T47)</f>
        <v>0</v>
      </c>
      <c r="U48" s="14" t="n">
        <f aca="false">(U46+U47)</f>
        <v>0</v>
      </c>
      <c r="V48" s="14" t="n">
        <f aca="false">(V46+V47)</f>
        <v>2.8</v>
      </c>
      <c r="W48" s="14" t="n">
        <f aca="false">(W46+W47)</f>
        <v>0</v>
      </c>
      <c r="X48" s="14" t="n">
        <f aca="false">(X46+X47)</f>
        <v>0</v>
      </c>
      <c r="Y48" s="14" t="n">
        <f aca="false">(Y46+Y47)</f>
        <v>4.2</v>
      </c>
      <c r="Z48" s="14" t="n">
        <f aca="false">(Z46+Z47)</f>
        <v>0</v>
      </c>
      <c r="AA48" s="14" t="n">
        <f aca="false">(AA46+AA47)</f>
        <v>0</v>
      </c>
      <c r="AB48" s="14" t="n">
        <f aca="false">(AB46+AB47)</f>
        <v>4.2</v>
      </c>
      <c r="AC48" s="14" t="n">
        <f aca="false">(AC46+AC47)</f>
        <v>0</v>
      </c>
      <c r="AD48" s="14" t="n">
        <f aca="false">(AD46+AD47)</f>
        <v>0</v>
      </c>
      <c r="AE48" s="14" t="n">
        <f aca="false">(AE46+AE47)</f>
        <v>4.2</v>
      </c>
      <c r="AF48" s="14" t="n">
        <f aca="false">(AF46+AF47)</f>
        <v>0</v>
      </c>
      <c r="AG48" s="14" t="n">
        <f aca="false">(AG46+AG47)</f>
        <v>0</v>
      </c>
      <c r="AH48" s="14" t="n">
        <f aca="false">(AH46+AH47)</f>
        <v>5.6</v>
      </c>
      <c r="AI48" s="14" t="n">
        <f aca="false">(AI46+AI47)</f>
        <v>0</v>
      </c>
      <c r="AJ48" s="14" t="n">
        <f aca="false">(AJ46+AJ47)</f>
        <v>0</v>
      </c>
      <c r="AK48" s="14" t="n">
        <f aca="false">(AK46+AK47)</f>
        <v>5.6</v>
      </c>
      <c r="AL48" s="14" t="n">
        <f aca="false">(AL46+AL47)</f>
        <v>0</v>
      </c>
      <c r="AN48" s="36" t="n">
        <f aca="false">SUM(C48:N48)</f>
        <v>2.4</v>
      </c>
      <c r="AO48" s="36" t="n">
        <f aca="false">SUM(O48:Z48)</f>
        <v>11.2</v>
      </c>
      <c r="AP48" s="36" t="n">
        <f aca="false">SUM(AA48:AL48)</f>
        <v>19.6</v>
      </c>
    </row>
    <row r="49" customFormat="false" ht="15" hidden="false" customHeight="false" outlineLevel="0" collapsed="false">
      <c r="A49" s="0" t="s">
        <v>855</v>
      </c>
      <c r="B49" s="0" t="s">
        <v>852</v>
      </c>
      <c r="C49" s="14" t="n">
        <f aca="false">((IF(OR((C$18-(Assumptions!$C$8-1)-$C$9)&lt;1,(C$18-(Assumptions!$C$8-1)-$C$9)&gt;36),0,INDEX(Schedules!$C$8:$AL$8,(C$18-(Assumptions!$C$8-1)-$C$9)))*$C$7)*C44)</f>
        <v>0</v>
      </c>
      <c r="D49" s="14" t="n">
        <f aca="false">((IF(OR((D$18-(Assumptions!$C$8-1)-$C$9)&lt;1,(D$18-(Assumptions!$C$8-1)-$C$9)&gt;36),0,INDEX(Schedules!$C$8:$AL$8,(D$18-(Assumptions!$C$8-1)-$C$9)))*$C$7)*D44)</f>
        <v>0</v>
      </c>
      <c r="E49" s="14" t="n">
        <f aca="false">((IF(OR((E$18-(Assumptions!$C$8-1)-$C$9)&lt;1,(E$18-(Assumptions!$C$8-1)-$C$9)&gt;36),0,INDEX(Schedules!$C$8:$AL$8,(E$18-(Assumptions!$C$8-1)-$C$9)))*$C$7)*E44)</f>
        <v>0</v>
      </c>
      <c r="F49" s="14" t="n">
        <f aca="false">((IF(OR((F$18-(Assumptions!$C$8-1)-$C$9)&lt;1,(F$18-(Assumptions!$C$8-1)-$C$9)&gt;36),0,INDEX(Schedules!$C$8:$AL$8,(F$18-(Assumptions!$C$8-1)-$C$9)))*$C$7)*F44)</f>
        <v>0</v>
      </c>
      <c r="G49" s="14" t="n">
        <f aca="false">((IF(OR((G$18-(Assumptions!$C$8-1)-$C$9)&lt;1,(G$18-(Assumptions!$C$8-1)-$C$9)&gt;36),0,INDEX(Schedules!$C$8:$AL$8,(G$18-(Assumptions!$C$8-1)-$C$9)))*$C$7)*G44)</f>
        <v>0</v>
      </c>
      <c r="H49" s="14" t="n">
        <f aca="false">((IF(OR((H$18-(Assumptions!$C$8-1)-$C$9)&lt;1,(H$18-(Assumptions!$C$8-1)-$C$9)&gt;36),0,INDEX(Schedules!$C$8:$AL$8,(H$18-(Assumptions!$C$8-1)-$C$9)))*$C$7)*H44)</f>
        <v>0</v>
      </c>
      <c r="I49" s="14" t="n">
        <f aca="false">((IF(OR((I$18-(Assumptions!$C$8-1)-$C$9)&lt;1,(I$18-(Assumptions!$C$8-1)-$C$9)&gt;36),0,INDEX(Schedules!$C$8:$AL$8,(I$18-(Assumptions!$C$8-1)-$C$9)))*$C$7)*I44)</f>
        <v>0</v>
      </c>
      <c r="J49" s="14" t="n">
        <f aca="false">((IF(OR((J$18-(Assumptions!$C$8-1)-$C$9)&lt;1,(J$18-(Assumptions!$C$8-1)-$C$9)&gt;36),0,INDEX(Schedules!$C$8:$AL$8,(J$18-(Assumptions!$C$8-1)-$C$9)))*$C$7)*J44)</f>
        <v>0</v>
      </c>
      <c r="K49" s="14" t="n">
        <f aca="false">((IF(OR((K$18-(Assumptions!$C$8-1)-$C$9)&lt;1,(K$18-(Assumptions!$C$8-1)-$C$9)&gt;36),0,INDEX(Schedules!$C$8:$AL$8,(K$18-(Assumptions!$C$8-1)-$C$9)))*$C$7)*K44)</f>
        <v>0</v>
      </c>
      <c r="L49" s="14" t="n">
        <f aca="false">((IF(OR((L$18-(Assumptions!$C$8-1)-$C$9)&lt;1,(L$18-(Assumptions!$C$8-1)-$C$9)&gt;36),0,INDEX(Schedules!$C$8:$AL$8,(L$18-(Assumptions!$C$8-1)-$C$9)))*$C$7)*L44)</f>
        <v>0</v>
      </c>
      <c r="M49" s="14" t="n">
        <f aca="false">((IF(OR((M$18-(Assumptions!$C$8-1)-$C$9)&lt;1,(M$18-(Assumptions!$C$8-1)-$C$9)&gt;36),0,INDEX(Schedules!$C$8:$AL$8,(M$18-(Assumptions!$C$8-1)-$C$9)))*$C$7)*M44)</f>
        <v>0</v>
      </c>
      <c r="N49" s="14" t="n">
        <f aca="false">((IF(OR((N$18-(Assumptions!$C$8-1)-$C$9)&lt;1,(N$18-(Assumptions!$C$8-1)-$C$9)&gt;36),0,INDEX(Schedules!$C$8:$AL$8,(N$18-(Assumptions!$C$8-1)-$C$9)))*$C$7)*N44)</f>
        <v>0</v>
      </c>
      <c r="O49" s="14" t="n">
        <f aca="false">((IF(OR((O$18-(Assumptions!$C$8-1)-$C$9)&lt;1,(O$18-(Assumptions!$C$8-1)-$C$9)&gt;36),0,INDEX(Schedules!$C$8:$AL$8,(O$18-(Assumptions!$C$8-1)-$C$9)))*$C$7)*O44)</f>
        <v>0</v>
      </c>
      <c r="P49" s="14" t="n">
        <f aca="false">((IF(OR((P$18-(Assumptions!$C$8-1)-$C$9)&lt;1,(P$18-(Assumptions!$C$8-1)-$C$9)&gt;36),0,INDEX(Schedules!$C$8:$AL$8,(P$18-(Assumptions!$C$8-1)-$C$9)))*$C$7)*P44)</f>
        <v>0</v>
      </c>
      <c r="Q49" s="14" t="n">
        <f aca="false">((IF(OR((Q$18-(Assumptions!$C$8-1)-$C$9)&lt;1,(Q$18-(Assumptions!$C$8-1)-$C$9)&gt;36),0,INDEX(Schedules!$C$8:$AL$8,(Q$18-(Assumptions!$C$8-1)-$C$9)))*$C$7)*Q44)</f>
        <v>0</v>
      </c>
      <c r="R49" s="14" t="n">
        <f aca="false">((IF(OR((R$18-(Assumptions!$C$8-1)-$C$9)&lt;1,(R$18-(Assumptions!$C$8-1)-$C$9)&gt;36),0,INDEX(Schedules!$C$8:$AL$8,(R$18-(Assumptions!$C$8-1)-$C$9)))*$C$7)*R44)</f>
        <v>0</v>
      </c>
      <c r="S49" s="14" t="n">
        <f aca="false">((IF(OR((S$18-(Assumptions!$C$8-1)-$C$9)&lt;1,(S$18-(Assumptions!$C$8-1)-$C$9)&gt;36),0,INDEX(Schedules!$C$8:$AL$8,(S$18-(Assumptions!$C$8-1)-$C$9)))*$C$7)*S44)</f>
        <v>0</v>
      </c>
      <c r="T49" s="14" t="n">
        <f aca="false">((IF(OR((T$18-(Assumptions!$C$8-1)-$C$9)&lt;1,(T$18-(Assumptions!$C$8-1)-$C$9)&gt;36),0,INDEX(Schedules!$C$8:$AL$8,(T$18-(Assumptions!$C$8-1)-$C$9)))*$C$7)*T44)</f>
        <v>0</v>
      </c>
      <c r="U49" s="14" t="n">
        <f aca="false">((IF(OR((U$18-(Assumptions!$C$8-1)-$C$9)&lt;1,(U$18-(Assumptions!$C$8-1)-$C$9)&gt;36),0,INDEX(Schedules!$C$8:$AL$8,(U$18-(Assumptions!$C$8-1)-$C$9)))*$C$7)*U44)</f>
        <v>0</v>
      </c>
      <c r="V49" s="14" t="n">
        <f aca="false">((IF(OR((V$18-(Assumptions!$C$8-1)-$C$9)&lt;1,(V$18-(Assumptions!$C$8-1)-$C$9)&gt;36),0,INDEX(Schedules!$C$8:$AL$8,(V$18-(Assumptions!$C$8-1)-$C$9)))*$C$7)*V44)</f>
        <v>0</v>
      </c>
      <c r="W49" s="14" t="n">
        <f aca="false">((IF(OR((W$18-(Assumptions!$C$8-1)-$C$9)&lt;1,(W$18-(Assumptions!$C$8-1)-$C$9)&gt;36),0,INDEX(Schedules!$C$8:$AL$8,(W$18-(Assumptions!$C$8-1)-$C$9)))*$C$7)*W44)</f>
        <v>1.4</v>
      </c>
      <c r="X49" s="14" t="n">
        <f aca="false">((IF(OR((X$18-(Assumptions!$C$8-1)-$C$9)&lt;1,(X$18-(Assumptions!$C$8-1)-$C$9)&gt;36),0,INDEX(Schedules!$C$8:$AL$8,(X$18-(Assumptions!$C$8-1)-$C$9)))*$C$7)*X44)</f>
        <v>0</v>
      </c>
      <c r="Y49" s="14" t="n">
        <f aca="false">((IF(OR((Y$18-(Assumptions!$C$8-1)-$C$9)&lt;1,(Y$18-(Assumptions!$C$8-1)-$C$9)&gt;36),0,INDEX(Schedules!$C$8:$AL$8,(Y$18-(Assumptions!$C$8-1)-$C$9)))*$C$7)*Y44)</f>
        <v>0</v>
      </c>
      <c r="Z49" s="14" t="n">
        <f aca="false">((IF(OR((Z$18-(Assumptions!$C$8-1)-$C$9)&lt;1,(Z$18-(Assumptions!$C$8-1)-$C$9)&gt;36),0,INDEX(Schedules!$C$8:$AL$8,(Z$18-(Assumptions!$C$8-1)-$C$9)))*$C$7)*Z44)</f>
        <v>1.4</v>
      </c>
      <c r="AA49" s="14" t="n">
        <f aca="false">((IF(OR((AA$18-(Assumptions!$C$8-1)-$C$9)&lt;1,(AA$18-(Assumptions!$C$8-1)-$C$9)&gt;36),0,INDEX(Schedules!$C$8:$AL$8,(AA$18-(Assumptions!$C$8-1)-$C$9)))*$C$7)*AA44)</f>
        <v>0</v>
      </c>
      <c r="AB49" s="14" t="n">
        <f aca="false">((IF(OR((AB$18-(Assumptions!$C$8-1)-$C$9)&lt;1,(AB$18-(Assumptions!$C$8-1)-$C$9)&gt;36),0,INDEX(Schedules!$C$8:$AL$8,(AB$18-(Assumptions!$C$8-1)-$C$9)))*$C$7)*AB44)</f>
        <v>0</v>
      </c>
      <c r="AC49" s="14" t="n">
        <f aca="false">((IF(OR((AC$18-(Assumptions!$C$8-1)-$C$9)&lt;1,(AC$18-(Assumptions!$C$8-1)-$C$9)&gt;36),0,INDEX(Schedules!$C$8:$AL$8,(AC$18-(Assumptions!$C$8-1)-$C$9)))*$C$7)*AC44)</f>
        <v>2.8</v>
      </c>
      <c r="AD49" s="14" t="n">
        <f aca="false">((IF(OR((AD$18-(Assumptions!$C$8-1)-$C$9)&lt;1,(AD$18-(Assumptions!$C$8-1)-$C$9)&gt;36),0,INDEX(Schedules!$C$8:$AL$8,(AD$18-(Assumptions!$C$8-1)-$C$9)))*$C$7)*AD44)</f>
        <v>0</v>
      </c>
      <c r="AE49" s="14" t="n">
        <f aca="false">((IF(OR((AE$18-(Assumptions!$C$8-1)-$C$9)&lt;1,(AE$18-(Assumptions!$C$8-1)-$C$9)&gt;36),0,INDEX(Schedules!$C$8:$AL$8,(AE$18-(Assumptions!$C$8-1)-$C$9)))*$C$7)*AE44)</f>
        <v>0</v>
      </c>
      <c r="AF49" s="14" t="n">
        <f aca="false">((IF(OR((AF$18-(Assumptions!$C$8-1)-$C$9)&lt;1,(AF$18-(Assumptions!$C$8-1)-$C$9)&gt;36),0,INDEX(Schedules!$C$8:$AL$8,(AF$18-(Assumptions!$C$8-1)-$C$9)))*$C$7)*AF44)</f>
        <v>2.8</v>
      </c>
      <c r="AG49" s="14" t="n">
        <f aca="false">((IF(OR((AG$18-(Assumptions!$C$8-1)-$C$9)&lt;1,(AG$18-(Assumptions!$C$8-1)-$C$9)&gt;36),0,INDEX(Schedules!$C$8:$AL$8,(AG$18-(Assumptions!$C$8-1)-$C$9)))*$C$7)*AG44)</f>
        <v>0</v>
      </c>
      <c r="AH49" s="14" t="n">
        <f aca="false">((IF(OR((AH$18-(Assumptions!$C$8-1)-$C$9)&lt;1,(AH$18-(Assumptions!$C$8-1)-$C$9)&gt;36),0,INDEX(Schedules!$C$8:$AL$8,(AH$18-(Assumptions!$C$8-1)-$C$9)))*$C$7)*AH44)</f>
        <v>0</v>
      </c>
      <c r="AI49" s="14" t="n">
        <f aca="false">((IF(OR((AI$18-(Assumptions!$C$8-1)-$C$9)&lt;1,(AI$18-(Assumptions!$C$8-1)-$C$9)&gt;36),0,INDEX(Schedules!$C$8:$AL$8,(AI$18-(Assumptions!$C$8-1)-$C$9)))*$C$7)*AI44)</f>
        <v>4.2</v>
      </c>
      <c r="AJ49" s="14" t="n">
        <f aca="false">((IF(OR((AJ$18-(Assumptions!$C$8-1)-$C$9)&lt;1,(AJ$18-(Assumptions!$C$8-1)-$C$9)&gt;36),0,INDEX(Schedules!$C$8:$AL$8,(AJ$18-(Assumptions!$C$8-1)-$C$9)))*$C$7)*AJ44)</f>
        <v>0</v>
      </c>
      <c r="AK49" s="14" t="n">
        <f aca="false">((IF(OR((AK$18-(Assumptions!$C$8-1)-$C$9)&lt;1,(AK$18-(Assumptions!$C$8-1)-$C$9)&gt;36),0,INDEX(Schedules!$C$8:$AL$8,(AK$18-(Assumptions!$C$8-1)-$C$9)))*$C$7)*AK44)</f>
        <v>0</v>
      </c>
      <c r="AL49" s="14" t="n">
        <f aca="false">((IF(OR((AL$18-(Assumptions!$C$8-1)-$C$9)&lt;1,(AL$18-(Assumptions!$C$8-1)-$C$9)&gt;36),0,INDEX(Schedules!$C$8:$AL$8,(AL$18-(Assumptions!$C$8-1)-$C$9)))*$C$7)*AL44)</f>
        <v>4.2</v>
      </c>
      <c r="AN49" s="36" t="n">
        <f aca="false">SUM(C49:N49)</f>
        <v>0</v>
      </c>
      <c r="AO49" s="36" t="n">
        <f aca="false">SUM(O49:Z49)</f>
        <v>2.8</v>
      </c>
      <c r="AP49" s="36" t="n">
        <f aca="false">SUM(AA49:AL49)</f>
        <v>14</v>
      </c>
    </row>
    <row r="50" customFormat="false" ht="15" hidden="false" customHeight="false" outlineLevel="0" collapsed="false">
      <c r="A50" s="0" t="s">
        <v>856</v>
      </c>
      <c r="B50" s="0" t="s">
        <v>852</v>
      </c>
      <c r="C50" s="14" t="n">
        <f aca="false">(C46+C49)</f>
        <v>0</v>
      </c>
      <c r="D50" s="14" t="n">
        <f aca="false">(D46+D49)</f>
        <v>0</v>
      </c>
      <c r="E50" s="14" t="n">
        <f aca="false">(E46+E49)</f>
        <v>0</v>
      </c>
      <c r="F50" s="14" t="n">
        <f aca="false">(F46+F49)</f>
        <v>0</v>
      </c>
      <c r="G50" s="14" t="n">
        <f aca="false">(G46+G49)</f>
        <v>0</v>
      </c>
      <c r="H50" s="14" t="n">
        <f aca="false">(H46+H49)</f>
        <v>0</v>
      </c>
      <c r="I50" s="14" t="n">
        <f aca="false">(I46+I49)</f>
        <v>0</v>
      </c>
      <c r="J50" s="14" t="n">
        <f aca="false">(J46+J49)</f>
        <v>0</v>
      </c>
      <c r="K50" s="14" t="n">
        <f aca="false">(K46+K49)</f>
        <v>0</v>
      </c>
      <c r="L50" s="14" t="n">
        <f aca="false">(L46+L49)</f>
        <v>0</v>
      </c>
      <c r="M50" s="14" t="n">
        <f aca="false">(M46+M49)</f>
        <v>1.4</v>
      </c>
      <c r="N50" s="14" t="n">
        <f aca="false">(N46+N49)</f>
        <v>0</v>
      </c>
      <c r="O50" s="14" t="n">
        <f aca="false">(O46+O49)</f>
        <v>0</v>
      </c>
      <c r="P50" s="14" t="n">
        <f aca="false">(P46+P49)</f>
        <v>1.4</v>
      </c>
      <c r="Q50" s="14" t="n">
        <f aca="false">(Q46+Q49)</f>
        <v>0</v>
      </c>
      <c r="R50" s="14" t="n">
        <f aca="false">(R46+R49)</f>
        <v>0</v>
      </c>
      <c r="S50" s="14" t="n">
        <f aca="false">(S46+S49)</f>
        <v>2.8</v>
      </c>
      <c r="T50" s="14" t="n">
        <f aca="false">(T46+T49)</f>
        <v>0</v>
      </c>
      <c r="U50" s="14" t="n">
        <f aca="false">(U46+U49)</f>
        <v>0</v>
      </c>
      <c r="V50" s="14" t="n">
        <f aca="false">(V46+V49)</f>
        <v>2.8</v>
      </c>
      <c r="W50" s="14" t="n">
        <f aca="false">(W46+W49)</f>
        <v>1.4</v>
      </c>
      <c r="X50" s="14" t="n">
        <f aca="false">(X46+X49)</f>
        <v>0</v>
      </c>
      <c r="Y50" s="14" t="n">
        <f aca="false">(Y46+Y49)</f>
        <v>4.2</v>
      </c>
      <c r="Z50" s="14" t="n">
        <f aca="false">(Z46+Z49)</f>
        <v>1.4</v>
      </c>
      <c r="AA50" s="14" t="n">
        <f aca="false">(AA46+AA49)</f>
        <v>0</v>
      </c>
      <c r="AB50" s="14" t="n">
        <f aca="false">(AB46+AB49)</f>
        <v>4.2</v>
      </c>
      <c r="AC50" s="14" t="n">
        <f aca="false">(AC46+AC49)</f>
        <v>2.8</v>
      </c>
      <c r="AD50" s="14" t="n">
        <f aca="false">(AD46+AD49)</f>
        <v>0</v>
      </c>
      <c r="AE50" s="14" t="n">
        <f aca="false">(AE46+AE49)</f>
        <v>4.2</v>
      </c>
      <c r="AF50" s="14" t="n">
        <f aca="false">(AF46+AF49)</f>
        <v>2.8</v>
      </c>
      <c r="AG50" s="14" t="n">
        <f aca="false">(AG46+AG49)</f>
        <v>0</v>
      </c>
      <c r="AH50" s="14" t="n">
        <f aca="false">(AH46+AH49)</f>
        <v>5.6</v>
      </c>
      <c r="AI50" s="14" t="n">
        <f aca="false">(AI46+AI49)</f>
        <v>4.2</v>
      </c>
      <c r="AJ50" s="14" t="n">
        <f aca="false">(AJ46+AJ49)</f>
        <v>0</v>
      </c>
      <c r="AK50" s="14" t="n">
        <f aca="false">(AK46+AK49)</f>
        <v>5.6</v>
      </c>
      <c r="AL50" s="14" t="n">
        <f aca="false">(AL46+AL49)</f>
        <v>4.2</v>
      </c>
      <c r="AN50" s="36" t="n">
        <f aca="false">SUM(C50:N50)</f>
        <v>1.4</v>
      </c>
      <c r="AO50" s="36" t="n">
        <f aca="false">SUM(O50:Z50)</f>
        <v>14</v>
      </c>
      <c r="AP50" s="36" t="n">
        <f aca="false">SUM(AA50:AL50)</f>
        <v>33.6</v>
      </c>
    </row>
    <row r="51" customFormat="false" ht="15" hidden="false" customHeight="false" outlineLevel="0" collapsed="false">
      <c r="A51" s="0" t="s">
        <v>857</v>
      </c>
      <c r="B51" s="0" t="s">
        <v>852</v>
      </c>
      <c r="C51" s="14" t="n">
        <f aca="false">C48</f>
        <v>0</v>
      </c>
      <c r="D51" s="14" t="n">
        <f aca="false">SUM(C48:D48)</f>
        <v>0</v>
      </c>
      <c r="E51" s="14" t="n">
        <f aca="false">SUM(C48:E48)</f>
        <v>0</v>
      </c>
      <c r="F51" s="14" t="n">
        <f aca="false">SUM(C48:F48)</f>
        <v>0</v>
      </c>
      <c r="G51" s="14" t="n">
        <f aca="false">SUM(C48:G48)</f>
        <v>1</v>
      </c>
      <c r="H51" s="14" t="n">
        <f aca="false">SUM(C48:H48)</f>
        <v>1</v>
      </c>
      <c r="I51" s="14" t="n">
        <f aca="false">SUM(D48:I48)</f>
        <v>1</v>
      </c>
      <c r="J51" s="14" t="n">
        <f aca="false">SUM(E48:J48)</f>
        <v>1</v>
      </c>
      <c r="K51" s="14" t="n">
        <f aca="false">SUM(F48:K48)</f>
        <v>1</v>
      </c>
      <c r="L51" s="14" t="n">
        <f aca="false">SUM(G48:L48)</f>
        <v>1</v>
      </c>
      <c r="M51" s="14" t="n">
        <f aca="false">SUM(H48:M48)</f>
        <v>1.4</v>
      </c>
      <c r="N51" s="14" t="n">
        <f aca="false">SUM(I48:N48)</f>
        <v>1.4</v>
      </c>
      <c r="O51" s="14" t="n">
        <f aca="false">SUM(J48:O48)</f>
        <v>1.4</v>
      </c>
      <c r="P51" s="14" t="n">
        <f aca="false">SUM(K48:P48)</f>
        <v>2.8</v>
      </c>
      <c r="Q51" s="14" t="n">
        <f aca="false">SUM(L48:Q48)</f>
        <v>2.8</v>
      </c>
      <c r="R51" s="14" t="n">
        <f aca="false">SUM(M48:R48)</f>
        <v>2.8</v>
      </c>
      <c r="S51" s="14" t="n">
        <f aca="false">SUM(N48:S48)</f>
        <v>4.2</v>
      </c>
      <c r="T51" s="14" t="n">
        <f aca="false">SUM(O48:T48)</f>
        <v>4.2</v>
      </c>
      <c r="U51" s="14" t="n">
        <f aca="false">SUM(P48:U48)</f>
        <v>4.2</v>
      </c>
      <c r="V51" s="14" t="n">
        <f aca="false">SUM(Q48:V48)</f>
        <v>5.6</v>
      </c>
      <c r="W51" s="14" t="n">
        <f aca="false">SUM(R48:W48)</f>
        <v>5.6</v>
      </c>
      <c r="X51" s="14" t="n">
        <f aca="false">SUM(S48:X48)</f>
        <v>5.6</v>
      </c>
      <c r="Y51" s="14" t="n">
        <f aca="false">SUM(T48:Y48)</f>
        <v>7</v>
      </c>
      <c r="Z51" s="14" t="n">
        <f aca="false">SUM(U48:Z48)</f>
        <v>7</v>
      </c>
      <c r="AA51" s="14" t="n">
        <f aca="false">SUM(V48:AA48)</f>
        <v>7</v>
      </c>
      <c r="AB51" s="14" t="n">
        <f aca="false">SUM(W48:AB48)</f>
        <v>8.4</v>
      </c>
      <c r="AC51" s="14" t="n">
        <f aca="false">SUM(X48:AC48)</f>
        <v>8.4</v>
      </c>
      <c r="AD51" s="14" t="n">
        <f aca="false">SUM(Y48:AD48)</f>
        <v>8.4</v>
      </c>
      <c r="AE51" s="14" t="n">
        <f aca="false">SUM(Z48:AE48)</f>
        <v>8.4</v>
      </c>
      <c r="AF51" s="14" t="n">
        <f aca="false">SUM(AA48:AF48)</f>
        <v>8.4</v>
      </c>
      <c r="AG51" s="14" t="n">
        <f aca="false">SUM(AB48:AG48)</f>
        <v>8.4</v>
      </c>
      <c r="AH51" s="14" t="n">
        <f aca="false">SUM(AC48:AH48)</f>
        <v>9.8</v>
      </c>
      <c r="AI51" s="14" t="n">
        <f aca="false">SUM(AD48:AI48)</f>
        <v>9.8</v>
      </c>
      <c r="AJ51" s="14" t="n">
        <f aca="false">SUM(AE48:AJ48)</f>
        <v>9.8</v>
      </c>
      <c r="AK51" s="14" t="n">
        <f aca="false">SUM(AF48:AK48)</f>
        <v>11.2</v>
      </c>
      <c r="AL51" s="14" t="n">
        <f aca="false">SUM(AG48:AL48)</f>
        <v>11.2</v>
      </c>
      <c r="AN51" s="36" t="n">
        <f aca="false">N51</f>
        <v>1.4</v>
      </c>
      <c r="AO51" s="36" t="n">
        <f aca="false">Z51</f>
        <v>7</v>
      </c>
      <c r="AP51" s="36" t="n">
        <f aca="false">AL51</f>
        <v>11.2</v>
      </c>
    </row>
    <row r="52" customFormat="false" ht="15" hidden="false" customHeight="false" outlineLevel="0" collapsed="false">
      <c r="A52" s="0" t="s">
        <v>858</v>
      </c>
      <c r="B52" s="0" t="s">
        <v>852</v>
      </c>
      <c r="C52" s="14" t="n">
        <f aca="false">C46</f>
        <v>0</v>
      </c>
      <c r="D52" s="14" t="n">
        <f aca="false">SUM(C46:D46)</f>
        <v>0</v>
      </c>
      <c r="E52" s="14" t="n">
        <f aca="false">SUM(C46:E46)</f>
        <v>0</v>
      </c>
      <c r="F52" s="14" t="n">
        <f aca="false">SUM(C46:F46)</f>
        <v>0</v>
      </c>
      <c r="G52" s="14" t="n">
        <f aca="false">SUM(C46:G46)</f>
        <v>0</v>
      </c>
      <c r="H52" s="14" t="n">
        <f aca="false">SUM(C46:H46)</f>
        <v>0</v>
      </c>
      <c r="I52" s="14" t="n">
        <f aca="false">SUM(D46:I46)</f>
        <v>0</v>
      </c>
      <c r="J52" s="14" t="n">
        <f aca="false">SUM(E46:J46)</f>
        <v>0</v>
      </c>
      <c r="K52" s="14" t="n">
        <f aca="false">SUM(F46:K46)</f>
        <v>0</v>
      </c>
      <c r="L52" s="14" t="n">
        <f aca="false">SUM(G46:L46)</f>
        <v>0</v>
      </c>
      <c r="M52" s="14" t="n">
        <f aca="false">SUM(H46:M46)</f>
        <v>1.4</v>
      </c>
      <c r="N52" s="14" t="n">
        <f aca="false">SUM(I46:N46)</f>
        <v>1.4</v>
      </c>
      <c r="O52" s="14" t="n">
        <f aca="false">SUM(J46:O46)</f>
        <v>1.4</v>
      </c>
      <c r="P52" s="14" t="n">
        <f aca="false">SUM(K46:P46)</f>
        <v>2.8</v>
      </c>
      <c r="Q52" s="14" t="n">
        <f aca="false">SUM(L46:Q46)</f>
        <v>2.8</v>
      </c>
      <c r="R52" s="14" t="n">
        <f aca="false">SUM(M46:R46)</f>
        <v>2.8</v>
      </c>
      <c r="S52" s="14" t="n">
        <f aca="false">SUM(N46:S46)</f>
        <v>4.2</v>
      </c>
      <c r="T52" s="14" t="n">
        <f aca="false">SUM(O46:T46)</f>
        <v>4.2</v>
      </c>
      <c r="U52" s="14" t="n">
        <f aca="false">SUM(P46:U46)</f>
        <v>4.2</v>
      </c>
      <c r="V52" s="14" t="n">
        <f aca="false">SUM(Q46:V46)</f>
        <v>5.6</v>
      </c>
      <c r="W52" s="14" t="n">
        <f aca="false">SUM(R46:W46)</f>
        <v>5.6</v>
      </c>
      <c r="X52" s="14" t="n">
        <f aca="false">SUM(S46:X46)</f>
        <v>5.6</v>
      </c>
      <c r="Y52" s="14" t="n">
        <f aca="false">SUM(T46:Y46)</f>
        <v>7</v>
      </c>
      <c r="Z52" s="14" t="n">
        <f aca="false">SUM(U46:Z46)</f>
        <v>7</v>
      </c>
      <c r="AA52" s="14" t="n">
        <f aca="false">SUM(V46:AA46)</f>
        <v>7</v>
      </c>
      <c r="AB52" s="14" t="n">
        <f aca="false">SUM(W46:AB46)</f>
        <v>8.4</v>
      </c>
      <c r="AC52" s="14" t="n">
        <f aca="false">SUM(X46:AC46)</f>
        <v>8.4</v>
      </c>
      <c r="AD52" s="14" t="n">
        <f aca="false">SUM(Y46:AD46)</f>
        <v>8.4</v>
      </c>
      <c r="AE52" s="14" t="n">
        <f aca="false">SUM(Z46:AE46)</f>
        <v>8.4</v>
      </c>
      <c r="AF52" s="14" t="n">
        <f aca="false">SUM(AA46:AF46)</f>
        <v>8.4</v>
      </c>
      <c r="AG52" s="14" t="n">
        <f aca="false">SUM(AB46:AG46)</f>
        <v>8.4</v>
      </c>
      <c r="AH52" s="14" t="n">
        <f aca="false">SUM(AC46:AH46)</f>
        <v>9.8</v>
      </c>
      <c r="AI52" s="14" t="n">
        <f aca="false">SUM(AD46:AI46)</f>
        <v>9.8</v>
      </c>
      <c r="AJ52" s="14" t="n">
        <f aca="false">SUM(AE46:AJ46)</f>
        <v>9.8</v>
      </c>
      <c r="AK52" s="14" t="n">
        <f aca="false">SUM(AF46:AK46)</f>
        <v>11.2</v>
      </c>
      <c r="AL52" s="14" t="n">
        <f aca="false">SUM(AG46:AL46)</f>
        <v>11.2</v>
      </c>
      <c r="AN52" s="36" t="n">
        <f aca="false">N52</f>
        <v>1.4</v>
      </c>
      <c r="AO52" s="36" t="n">
        <f aca="false">Z52</f>
        <v>7</v>
      </c>
      <c r="AP52" s="36" t="n">
        <f aca="false">AL52</f>
        <v>11.2</v>
      </c>
    </row>
    <row r="53" customFormat="false" ht="15" hidden="false" customHeight="false" outlineLevel="0" collapsed="false">
      <c r="A53" s="0" t="s">
        <v>859</v>
      </c>
      <c r="B53" s="0" t="s">
        <v>852</v>
      </c>
      <c r="C53" s="14" t="n">
        <f aca="false">((Assumptions!$C$127*$C$8)*0)</f>
        <v>0</v>
      </c>
      <c r="D53" s="14" t="n">
        <f aca="false">((Assumptions!$C$127*$C$8)*0)</f>
        <v>0</v>
      </c>
      <c r="E53" s="14" t="n">
        <f aca="false">((Assumptions!$C$127*$C$8)*0)</f>
        <v>0</v>
      </c>
      <c r="F53" s="14" t="n">
        <f aca="false">((Assumptions!$C$127*$C$8)*0)</f>
        <v>0</v>
      </c>
      <c r="G53" s="14" t="n">
        <f aca="false">((Assumptions!$C$127*$C$8)*0)</f>
        <v>0</v>
      </c>
      <c r="H53" s="14" t="n">
        <f aca="false">((Assumptions!$C$127*$C$8)*0)</f>
        <v>0</v>
      </c>
      <c r="I53" s="14" t="n">
        <f aca="false">((Assumptions!$C$127*$C$8)*0)</f>
        <v>0</v>
      </c>
      <c r="J53" s="14" t="n">
        <f aca="false">((Assumptions!$C$127*$C$8)*C46)</f>
        <v>0</v>
      </c>
      <c r="K53" s="14" t="n">
        <f aca="false">((Assumptions!$C$127*$C$8)*D46)</f>
        <v>0</v>
      </c>
      <c r="L53" s="14" t="n">
        <f aca="false">((Assumptions!$C$127*$C$8)*E46)</f>
        <v>0</v>
      </c>
      <c r="M53" s="14" t="n">
        <f aca="false">((Assumptions!$C$127*$C$8)*F46)</f>
        <v>0</v>
      </c>
      <c r="N53" s="14" t="n">
        <f aca="false">((Assumptions!$C$127*$C$8)*G46)</f>
        <v>0</v>
      </c>
      <c r="O53" s="14" t="n">
        <f aca="false">((Assumptions!$C$127*$C$8)*H46)</f>
        <v>0</v>
      </c>
      <c r="P53" s="14" t="n">
        <f aca="false">((Assumptions!$C$127*$C$8)*I46)</f>
        <v>0</v>
      </c>
      <c r="Q53" s="14" t="n">
        <f aca="false">((Assumptions!$C$127*$C$8)*J46)</f>
        <v>0</v>
      </c>
      <c r="R53" s="14" t="n">
        <f aca="false">((Assumptions!$C$127*$C$8)*K46)</f>
        <v>0</v>
      </c>
      <c r="S53" s="14" t="n">
        <f aca="false">((Assumptions!$C$127*$C$8)*L46)</f>
        <v>0</v>
      </c>
      <c r="T53" s="14" t="n">
        <f aca="false">((Assumptions!$C$127*$C$8)*M46)</f>
        <v>0.77</v>
      </c>
      <c r="U53" s="14" t="n">
        <f aca="false">((Assumptions!$C$127*$C$8)*N46)</f>
        <v>0</v>
      </c>
      <c r="V53" s="14" t="n">
        <f aca="false">((Assumptions!$C$127*$C$8)*O46)</f>
        <v>0</v>
      </c>
      <c r="W53" s="14" t="n">
        <f aca="false">((Assumptions!$C$127*$C$8)*P46)</f>
        <v>0.77</v>
      </c>
      <c r="X53" s="14" t="n">
        <f aca="false">((Assumptions!$C$127*$C$8)*Q46)</f>
        <v>0</v>
      </c>
      <c r="Y53" s="14" t="n">
        <f aca="false">((Assumptions!$C$127*$C$8)*R46)</f>
        <v>0</v>
      </c>
      <c r="Z53" s="14" t="n">
        <f aca="false">((Assumptions!$C$127*$C$8)*S46)</f>
        <v>1.54</v>
      </c>
      <c r="AA53" s="14" t="n">
        <f aca="false">((Assumptions!$C$127*$C$8)*T46)</f>
        <v>0</v>
      </c>
      <c r="AB53" s="14" t="n">
        <f aca="false">((Assumptions!$C$127*$C$8)*U46)</f>
        <v>0</v>
      </c>
      <c r="AC53" s="14" t="n">
        <f aca="false">((Assumptions!$C$127*$C$8)*V46)</f>
        <v>1.54</v>
      </c>
      <c r="AD53" s="14" t="n">
        <f aca="false">((Assumptions!$C$127*$C$8)*W46)</f>
        <v>0</v>
      </c>
      <c r="AE53" s="14" t="n">
        <f aca="false">((Assumptions!$C$127*$C$8)*X46)</f>
        <v>0</v>
      </c>
      <c r="AF53" s="14" t="n">
        <f aca="false">((Assumptions!$C$127*$C$8)*Y46)</f>
        <v>2.31</v>
      </c>
      <c r="AG53" s="14" t="n">
        <f aca="false">((Assumptions!$C$127*$C$8)*Z46)</f>
        <v>0</v>
      </c>
      <c r="AH53" s="14" t="n">
        <f aca="false">((Assumptions!$C$127*$C$8)*AA46)</f>
        <v>0</v>
      </c>
      <c r="AI53" s="14" t="n">
        <f aca="false">((Assumptions!$C$127*$C$8)*AB46)</f>
        <v>2.31</v>
      </c>
      <c r="AJ53" s="14" t="n">
        <f aca="false">((Assumptions!$C$127*$C$8)*AC46)</f>
        <v>0</v>
      </c>
      <c r="AK53" s="14" t="n">
        <f aca="false">((Assumptions!$C$127*$C$8)*AD46)</f>
        <v>0</v>
      </c>
      <c r="AL53" s="14" t="n">
        <f aca="false">((Assumptions!$C$127*$C$8)*AE46)</f>
        <v>2.31</v>
      </c>
      <c r="AN53" s="36" t="n">
        <f aca="false">SUM(C53:N53)</f>
        <v>0</v>
      </c>
      <c r="AO53" s="36" t="n">
        <f aca="false">SUM(O53:Z53)</f>
        <v>3.08</v>
      </c>
      <c r="AP53" s="36" t="n">
        <f aca="false">SUM(AA53:AL53)</f>
        <v>8.47</v>
      </c>
    </row>
    <row r="54" customFormat="false" ht="15" hidden="false" customHeight="false" outlineLevel="0" collapsed="false">
      <c r="A54" s="0" t="s">
        <v>860</v>
      </c>
      <c r="B54" s="0" t="s">
        <v>852</v>
      </c>
      <c r="C54" s="14" t="n">
        <f aca="false">((Assumptions!$C$10*$C$8)*IF((C$18=(Assumptions!$C$7+$C$9)),0,IF((C$18&gt;(Assumptions!$C$7+$C$9)),0,0)))</f>
        <v>0</v>
      </c>
      <c r="D54" s="14" t="n">
        <f aca="false">((Assumptions!$C$10*$C$8)*IF((D$18=(Assumptions!$C$7+$C$9)),0,IF((D$18&gt;(Assumptions!$C$7+$C$9)),0,0)))</f>
        <v>0</v>
      </c>
      <c r="E54" s="14" t="n">
        <f aca="false">((Assumptions!$C$10*$C$8)*IF((E$18=(Assumptions!$C$7+$C$9)),0,IF((E$18&gt;(Assumptions!$C$7+$C$9)),0,0)))</f>
        <v>0</v>
      </c>
      <c r="F54" s="14" t="n">
        <f aca="false">((Assumptions!$C$10*$C$8)*IF((F$18=(Assumptions!$C$7+$C$9)),0,IF((F$18&gt;(Assumptions!$C$7+$C$9)),0,0)))</f>
        <v>0</v>
      </c>
      <c r="G54" s="14" t="n">
        <f aca="false">((Assumptions!$C$10*$C$8)*IF((G$18=(Assumptions!$C$7+$C$9)),0,IF((G$18&gt;(Assumptions!$C$7+$C$9)),0,0)))</f>
        <v>0</v>
      </c>
      <c r="H54" s="14" t="n">
        <f aca="false">((Assumptions!$C$10*$C$8)*IF((H$18=(Assumptions!$C$7+$C$9)),0,IF((H$18&gt;(Assumptions!$C$7+$C$9)),0,0)))</f>
        <v>0</v>
      </c>
      <c r="I54" s="14" t="n">
        <f aca="false">((Assumptions!$C$10*$C$8)*IF((I$18=(Assumptions!$C$7+$C$9)),0,IF((I$18&gt;(Assumptions!$C$7+$C$9)),0,0)))</f>
        <v>0</v>
      </c>
      <c r="J54" s="14" t="n">
        <f aca="false">((Assumptions!$C$10*$C$8)*IF((J$18=(Assumptions!$C$7+$C$9)),C47,IF((J$18&gt;(Assumptions!$C$7+$C$9)),C47,0)))</f>
        <v>0</v>
      </c>
      <c r="K54" s="14" t="n">
        <f aca="false">((Assumptions!$C$10*$C$8)*IF((K$18=(Assumptions!$C$7+$C$9)),SUM(C47:D47),IF((K$18&gt;(Assumptions!$C$7+$C$9)),D47,0)))</f>
        <v>0</v>
      </c>
      <c r="L54" s="14" t="n">
        <f aca="false">((Assumptions!$C$10*$C$8)*IF((L$18=(Assumptions!$C$7+$C$9)),SUM(C47:E47),IF((L$18&gt;(Assumptions!$C$7+$C$9)),E47,0)))</f>
        <v>0</v>
      </c>
      <c r="M54" s="14" t="n">
        <f aca="false">((Assumptions!$C$10*$C$8)*IF((M$18=(Assumptions!$C$7+$C$9)),SUM(C47:F47),IF((M$18&gt;(Assumptions!$C$7+$C$9)),F47,0)))</f>
        <v>0</v>
      </c>
      <c r="N54" s="14" t="n">
        <f aca="false">((Assumptions!$C$10*$C$8)*IF((N$18=(Assumptions!$C$7+$C$9)),SUM(C47:G47),IF((N$18&gt;(Assumptions!$C$7+$C$9)),G47,0)))</f>
        <v>0.66</v>
      </c>
      <c r="O54" s="14" t="n">
        <f aca="false">((Assumptions!$C$10*$C$8)*IF((O$18=(Assumptions!$C$7+$C$9)),SUM(C47:H47),IF((O$18&gt;(Assumptions!$C$7+$C$9)),H47,0)))</f>
        <v>0</v>
      </c>
      <c r="P54" s="14" t="n">
        <f aca="false">((Assumptions!$C$10*$C$8)*IF((P$18=(Assumptions!$C$7+$C$9)),SUM(C47:I47),IF((P$18&gt;(Assumptions!$C$7+$C$9)),I47,0)))</f>
        <v>0</v>
      </c>
      <c r="Q54" s="14" t="n">
        <f aca="false">((Assumptions!$C$10*$C$8)*IF((Q$18=(Assumptions!$C$7+$C$9)),SUM(C47:J47),IF((Q$18&gt;(Assumptions!$C$7+$C$9)),J47,0)))</f>
        <v>0</v>
      </c>
      <c r="R54" s="14" t="n">
        <f aca="false">((Assumptions!$C$10*$C$8)*IF((R$18=(Assumptions!$C$7+$C$9)),SUM(C47:K47),IF((R$18&gt;(Assumptions!$C$7+$C$9)),K47,0)))</f>
        <v>0</v>
      </c>
      <c r="S54" s="14" t="n">
        <f aca="false">((Assumptions!$C$10*$C$8)*IF((S$18=(Assumptions!$C$7+$C$9)),SUM(C47:L47),IF((S$18&gt;(Assumptions!$C$7+$C$9)),L47,0)))</f>
        <v>0</v>
      </c>
      <c r="T54" s="14" t="n">
        <f aca="false">((Assumptions!$C$10*$C$8)*IF((T$18=(Assumptions!$C$7+$C$9)),SUM(C47:M47),IF((T$18&gt;(Assumptions!$C$7+$C$9)),M47,0)))</f>
        <v>0</v>
      </c>
      <c r="U54" s="14" t="n">
        <f aca="false">((Assumptions!$C$10*$C$8)*IF((U$18=(Assumptions!$C$7+$C$9)),SUM(C47:N47),IF((U$18&gt;(Assumptions!$C$7+$C$9)),N47,0)))</f>
        <v>0</v>
      </c>
      <c r="V54" s="14" t="n">
        <f aca="false">((Assumptions!$C$10*$C$8)*IF((V$18=(Assumptions!$C$7+$C$9)),SUM(C47:O47),IF((V$18&gt;(Assumptions!$C$7+$C$9)),O47,0)))</f>
        <v>0</v>
      </c>
      <c r="W54" s="14" t="n">
        <f aca="false">((Assumptions!$C$10*$C$8)*IF((W$18=(Assumptions!$C$7+$C$9)),SUM(C47:P47),IF((W$18&gt;(Assumptions!$C$7+$C$9)),P47,0)))</f>
        <v>0</v>
      </c>
      <c r="X54" s="14" t="n">
        <f aca="false">((Assumptions!$C$10*$C$8)*IF((X$18=(Assumptions!$C$7+$C$9)),SUM(C47:Q47),IF((X$18&gt;(Assumptions!$C$7+$C$9)),Q47,0)))</f>
        <v>0</v>
      </c>
      <c r="Y54" s="14" t="n">
        <f aca="false">((Assumptions!$C$10*$C$8)*IF((Y$18=(Assumptions!$C$7+$C$9)),SUM(C47:R47),IF((Y$18&gt;(Assumptions!$C$7+$C$9)),R47,0)))</f>
        <v>0</v>
      </c>
      <c r="Z54" s="14" t="n">
        <f aca="false">((Assumptions!$C$10*$C$8)*IF((Z$18=(Assumptions!$C$7+$C$9)),SUM(C47:S47),IF((Z$18&gt;(Assumptions!$C$7+$C$9)),S47,0)))</f>
        <v>0</v>
      </c>
      <c r="AA54" s="14" t="n">
        <f aca="false">((Assumptions!$C$10*$C$8)*IF((AA$18=(Assumptions!$C$7+$C$9)),SUM(C47:T47),IF((AA$18&gt;(Assumptions!$C$7+$C$9)),T47,0)))</f>
        <v>0</v>
      </c>
      <c r="AB54" s="14" t="n">
        <f aca="false">((Assumptions!$C$10*$C$8)*IF((AB$18=(Assumptions!$C$7+$C$9)),SUM(C47:U47),IF((AB$18&gt;(Assumptions!$C$7+$C$9)),U47,0)))</f>
        <v>0</v>
      </c>
      <c r="AC54" s="14" t="n">
        <f aca="false">((Assumptions!$C$10*$C$8)*IF((AC$18=(Assumptions!$C$7+$C$9)),SUM(C47:V47),IF((AC$18&gt;(Assumptions!$C$7+$C$9)),V47,0)))</f>
        <v>0</v>
      </c>
      <c r="AD54" s="14" t="n">
        <f aca="false">((Assumptions!$C$10*$C$8)*IF((AD$18=(Assumptions!$C$7+$C$9)),SUM(C47:W47),IF((AD$18&gt;(Assumptions!$C$7+$C$9)),W47,0)))</f>
        <v>0</v>
      </c>
      <c r="AE54" s="14" t="n">
        <f aca="false">((Assumptions!$C$10*$C$8)*IF((AE$18=(Assumptions!$C$7+$C$9)),SUM(C47:X47),IF((AE$18&gt;(Assumptions!$C$7+$C$9)),X47,0)))</f>
        <v>0</v>
      </c>
      <c r="AF54" s="14" t="n">
        <f aca="false">((Assumptions!$C$10*$C$8)*IF((AF$18=(Assumptions!$C$7+$C$9)),SUM(C47:Y47),IF((AF$18&gt;(Assumptions!$C$7+$C$9)),Y47,0)))</f>
        <v>0</v>
      </c>
      <c r="AG54" s="14" t="n">
        <f aca="false">((Assumptions!$C$10*$C$8)*IF((AG$18=(Assumptions!$C$7+$C$9)),SUM(C47:Z47),IF((AG$18&gt;(Assumptions!$C$7+$C$9)),Z47,0)))</f>
        <v>0</v>
      </c>
      <c r="AH54" s="14" t="n">
        <f aca="false">((Assumptions!$C$10*$C$8)*IF((AH$18=(Assumptions!$C$7+$C$9)),SUM(C47:AA47),IF((AH$18&gt;(Assumptions!$C$7+$C$9)),AA47,0)))</f>
        <v>0</v>
      </c>
      <c r="AI54" s="14" t="n">
        <f aca="false">((Assumptions!$C$10*$C$8)*IF((AI$18=(Assumptions!$C$7+$C$9)),SUM(C47:AB47),IF((AI$18&gt;(Assumptions!$C$7+$C$9)),AB47,0)))</f>
        <v>0</v>
      </c>
      <c r="AJ54" s="14" t="n">
        <f aca="false">((Assumptions!$C$10*$C$8)*IF((AJ$18=(Assumptions!$C$7+$C$9)),SUM(C47:AC47),IF((AJ$18&gt;(Assumptions!$C$7+$C$9)),AC47,0)))</f>
        <v>0</v>
      </c>
      <c r="AK54" s="14" t="n">
        <f aca="false">((Assumptions!$C$10*$C$8)*IF((AK$18=(Assumptions!$C$7+$C$9)),SUM(C47:AD47),IF((AK$18&gt;(Assumptions!$C$7+$C$9)),AD47,0)))</f>
        <v>0</v>
      </c>
      <c r="AL54" s="14" t="n">
        <f aca="false">((Assumptions!$C$10*$C$8)*IF((AL$18=(Assumptions!$C$7+$C$9)),SUM(C47:AE47),IF((AL$18&gt;(Assumptions!$C$7+$C$9)),AE47,0)))</f>
        <v>0</v>
      </c>
      <c r="AN54" s="36" t="n">
        <f aca="false">SUM(C54:N54)</f>
        <v>0.66</v>
      </c>
      <c r="AO54" s="36" t="n">
        <f aca="false">SUM(O54:Z54)</f>
        <v>0</v>
      </c>
      <c r="AP54" s="36" t="n">
        <f aca="false">SUM(AA54:AL54)</f>
        <v>0</v>
      </c>
    </row>
    <row r="55" customFormat="false" ht="15" hidden="false" customHeight="false" outlineLevel="0" collapsed="false">
      <c r="A55" s="0" t="s">
        <v>861</v>
      </c>
      <c r="B55" s="0" t="s">
        <v>852</v>
      </c>
      <c r="C55" s="14" t="n">
        <f aca="false">((C53+C54)+C49)</f>
        <v>0</v>
      </c>
      <c r="D55" s="14" t="n">
        <f aca="false">((D53+D54)+D49)</f>
        <v>0</v>
      </c>
      <c r="E55" s="14" t="n">
        <f aca="false">((E53+E54)+E49)</f>
        <v>0</v>
      </c>
      <c r="F55" s="14" t="n">
        <f aca="false">((F53+F54)+F49)</f>
        <v>0</v>
      </c>
      <c r="G55" s="14" t="n">
        <f aca="false">((G53+G54)+G49)</f>
        <v>0</v>
      </c>
      <c r="H55" s="14" t="n">
        <f aca="false">((H53+H54)+H49)</f>
        <v>0</v>
      </c>
      <c r="I55" s="14" t="n">
        <f aca="false">((I53+I54)+I49)</f>
        <v>0</v>
      </c>
      <c r="J55" s="14" t="n">
        <f aca="false">((J53+J54)+J49)</f>
        <v>0</v>
      </c>
      <c r="K55" s="14" t="n">
        <f aca="false">((K53+K54)+K49)</f>
        <v>0</v>
      </c>
      <c r="L55" s="14" t="n">
        <f aca="false">((L53+L54)+L49)</f>
        <v>0</v>
      </c>
      <c r="M55" s="14" t="n">
        <f aca="false">((M53+M54)+M49)</f>
        <v>0</v>
      </c>
      <c r="N55" s="14" t="n">
        <f aca="false">((N53+N54)+N49)</f>
        <v>0.66</v>
      </c>
      <c r="O55" s="14" t="n">
        <f aca="false">((O53+O54)+O49)</f>
        <v>0</v>
      </c>
      <c r="P55" s="14" t="n">
        <f aca="false">((P53+P54)+P49)</f>
        <v>0</v>
      </c>
      <c r="Q55" s="14" t="n">
        <f aca="false">((Q53+Q54)+Q49)</f>
        <v>0</v>
      </c>
      <c r="R55" s="14" t="n">
        <f aca="false">((R53+R54)+R49)</f>
        <v>0</v>
      </c>
      <c r="S55" s="14" t="n">
        <f aca="false">((S53+S54)+S49)</f>
        <v>0</v>
      </c>
      <c r="T55" s="14" t="n">
        <f aca="false">((T53+T54)+T49)</f>
        <v>0.77</v>
      </c>
      <c r="U55" s="14" t="n">
        <f aca="false">((U53+U54)+U49)</f>
        <v>0</v>
      </c>
      <c r="V55" s="14" t="n">
        <f aca="false">((V53+V54)+V49)</f>
        <v>0</v>
      </c>
      <c r="W55" s="14" t="n">
        <f aca="false">((W53+W54)+W49)</f>
        <v>2.17</v>
      </c>
      <c r="X55" s="14" t="n">
        <f aca="false">((X53+X54)+X49)</f>
        <v>0</v>
      </c>
      <c r="Y55" s="14" t="n">
        <f aca="false">((Y53+Y54)+Y49)</f>
        <v>0</v>
      </c>
      <c r="Z55" s="14" t="n">
        <f aca="false">((Z53+Z54)+Z49)</f>
        <v>2.94</v>
      </c>
      <c r="AA55" s="14" t="n">
        <f aca="false">((AA53+AA54)+AA49)</f>
        <v>0</v>
      </c>
      <c r="AB55" s="14" t="n">
        <f aca="false">((AB53+AB54)+AB49)</f>
        <v>0</v>
      </c>
      <c r="AC55" s="14" t="n">
        <f aca="false">((AC53+AC54)+AC49)</f>
        <v>4.34</v>
      </c>
      <c r="AD55" s="14" t="n">
        <f aca="false">((AD53+AD54)+AD49)</f>
        <v>0</v>
      </c>
      <c r="AE55" s="14" t="n">
        <f aca="false">((AE53+AE54)+AE49)</f>
        <v>0</v>
      </c>
      <c r="AF55" s="14" t="n">
        <f aca="false">((AF53+AF54)+AF49)</f>
        <v>5.11</v>
      </c>
      <c r="AG55" s="14" t="n">
        <f aca="false">((AG53+AG54)+AG49)</f>
        <v>0</v>
      </c>
      <c r="AH55" s="14" t="n">
        <f aca="false">((AH53+AH54)+AH49)</f>
        <v>0</v>
      </c>
      <c r="AI55" s="14" t="n">
        <f aca="false">((AI53+AI54)+AI49)</f>
        <v>6.51</v>
      </c>
      <c r="AJ55" s="14" t="n">
        <f aca="false">((AJ53+AJ54)+AJ49)</f>
        <v>0</v>
      </c>
      <c r="AK55" s="14" t="n">
        <f aca="false">((AK53+AK54)+AK49)</f>
        <v>0</v>
      </c>
      <c r="AL55" s="14" t="n">
        <f aca="false">((AL53+AL54)+AL49)</f>
        <v>6.51</v>
      </c>
      <c r="AN55" s="36" t="n">
        <f aca="false">SUM(C55:N55)</f>
        <v>0.66</v>
      </c>
      <c r="AO55" s="36" t="n">
        <f aca="false">SUM(O55:Z55)</f>
        <v>5.88</v>
      </c>
      <c r="AP55" s="36" t="n">
        <f aca="false">SUM(AA55:AL55)</f>
        <v>22.47</v>
      </c>
    </row>
    <row r="56" customFormat="false" ht="15" hidden="false" customHeight="false" outlineLevel="0" collapsed="false">
      <c r="A56" s="0" t="s">
        <v>862</v>
      </c>
      <c r="B56" s="0" t="s">
        <v>852</v>
      </c>
      <c r="C56" s="14" t="n">
        <f aca="false">(C55+(C45*0))</f>
        <v>0</v>
      </c>
      <c r="D56" s="14" t="n">
        <f aca="false">(D55+(D45*0))</f>
        <v>0</v>
      </c>
      <c r="E56" s="14" t="n">
        <f aca="false">(E55+(E45*0))</f>
        <v>0</v>
      </c>
      <c r="F56" s="14" t="n">
        <f aca="false">(F55+(F45*0))</f>
        <v>0</v>
      </c>
      <c r="G56" s="14" t="n">
        <f aca="false">(G55+(G45*0))</f>
        <v>0</v>
      </c>
      <c r="H56" s="14" t="n">
        <f aca="false">(H55+(H45*0))</f>
        <v>0</v>
      </c>
      <c r="I56" s="14" t="n">
        <f aca="false">(I55+(I45*0))</f>
        <v>0</v>
      </c>
      <c r="J56" s="14" t="n">
        <f aca="false">(J55+(J45*0))</f>
        <v>0</v>
      </c>
      <c r="K56" s="14" t="n">
        <f aca="false">(K55+(K45*0))</f>
        <v>0</v>
      </c>
      <c r="L56" s="14" t="n">
        <f aca="false">(L55+(L45*0))</f>
        <v>0</v>
      </c>
      <c r="M56" s="14" t="n">
        <f aca="false">(M55+(M45*0))</f>
        <v>0</v>
      </c>
      <c r="N56" s="14" t="n">
        <f aca="false">(N55+(N45*0))</f>
        <v>0.66</v>
      </c>
      <c r="O56" s="14" t="n">
        <f aca="false">(O55+(O45*C56))</f>
        <v>0</v>
      </c>
      <c r="P56" s="14" t="n">
        <f aca="false">(P55+(P45*D56))</f>
        <v>0</v>
      </c>
      <c r="Q56" s="14" t="n">
        <f aca="false">(Q55+(Q45*E56))</f>
        <v>0</v>
      </c>
      <c r="R56" s="14" t="n">
        <f aca="false">(R55+(R45*F56))</f>
        <v>0</v>
      </c>
      <c r="S56" s="14" t="n">
        <f aca="false">(S55+(S45*G56))</f>
        <v>0</v>
      </c>
      <c r="T56" s="14" t="n">
        <f aca="false">(T55+(T45*H56))</f>
        <v>0.77</v>
      </c>
      <c r="U56" s="14" t="n">
        <f aca="false">(U55+(U45*I56))</f>
        <v>0</v>
      </c>
      <c r="V56" s="14" t="n">
        <f aca="false">(V55+(V45*J56))</f>
        <v>0</v>
      </c>
      <c r="W56" s="14" t="n">
        <f aca="false">(W55+(W45*K56))</f>
        <v>2.17</v>
      </c>
      <c r="X56" s="14" t="n">
        <f aca="false">(X55+(X45*L56))</f>
        <v>0</v>
      </c>
      <c r="Y56" s="14" t="n">
        <f aca="false">(Y55+(Y45*M56))</f>
        <v>0</v>
      </c>
      <c r="Z56" s="14" t="n">
        <f aca="false">(Z55+(Z45*N56))</f>
        <v>3.53268</v>
      </c>
      <c r="AA56" s="14" t="n">
        <f aca="false">(AA55+(AA45*O56))</f>
        <v>0</v>
      </c>
      <c r="AB56" s="14" t="n">
        <f aca="false">(AB55+(AB45*P56))</f>
        <v>0</v>
      </c>
      <c r="AC56" s="14" t="n">
        <f aca="false">(AC55+(AC45*Q56))</f>
        <v>4.34</v>
      </c>
      <c r="AD56" s="14" t="n">
        <f aca="false">(AD55+(AD45*R56))</f>
        <v>0</v>
      </c>
      <c r="AE56" s="14" t="n">
        <f aca="false">(AE55+(AE45*S56))</f>
        <v>0</v>
      </c>
      <c r="AF56" s="14" t="n">
        <f aca="false">(AF55+(AF45*T56))</f>
        <v>5.80146</v>
      </c>
      <c r="AG56" s="14" t="n">
        <f aca="false">(AG55+(AG45*U56))</f>
        <v>0</v>
      </c>
      <c r="AH56" s="14" t="n">
        <f aca="false">(AH55+(AH45*V56))</f>
        <v>0</v>
      </c>
      <c r="AI56" s="14" t="n">
        <f aca="false">(AI55+(AI45*W56))</f>
        <v>8.45866</v>
      </c>
      <c r="AJ56" s="14" t="n">
        <f aca="false">(AJ55+(AJ45*X56))</f>
        <v>0</v>
      </c>
      <c r="AK56" s="14" t="n">
        <f aca="false">(AK55+(AK45*Y56))</f>
        <v>0</v>
      </c>
      <c r="AL56" s="14" t="n">
        <f aca="false">(AL55+(AL45*Z56))</f>
        <v>9.68234664</v>
      </c>
      <c r="AN56" s="36" t="n">
        <f aca="false">SUM(C56:N56)</f>
        <v>0.66</v>
      </c>
      <c r="AO56" s="36" t="n">
        <f aca="false">SUM(O56:Z56)</f>
        <v>6.47268</v>
      </c>
      <c r="AP56" s="36" t="n">
        <f aca="false">SUM(AA56:AL56)</f>
        <v>28.28246664</v>
      </c>
    </row>
    <row r="57" customFormat="false" ht="15" hidden="false" customHeight="false" outlineLevel="0" collapsed="false">
      <c r="A57" s="0" t="s">
        <v>863</v>
      </c>
      <c r="B57" s="0" t="s">
        <v>852</v>
      </c>
      <c r="C57" s="14" t="n">
        <f aca="false">C56</f>
        <v>0</v>
      </c>
      <c r="D57" s="14" t="n">
        <f aca="false">SUM(C56:D56)</f>
        <v>0</v>
      </c>
      <c r="E57" s="14" t="n">
        <f aca="false">SUM(C56:E56)</f>
        <v>0</v>
      </c>
      <c r="F57" s="14" t="n">
        <f aca="false">SUM(C56:F56)</f>
        <v>0</v>
      </c>
      <c r="G57" s="14" t="n">
        <f aca="false">SUM(C56:G56)</f>
        <v>0</v>
      </c>
      <c r="H57" s="14" t="n">
        <f aca="false">SUM(C56:H56)</f>
        <v>0</v>
      </c>
      <c r="I57" s="14" t="n">
        <f aca="false">SUM(C56:I56)</f>
        <v>0</v>
      </c>
      <c r="J57" s="14" t="n">
        <f aca="false">SUM(C56:J56)</f>
        <v>0</v>
      </c>
      <c r="K57" s="14" t="n">
        <f aca="false">SUM(C56:K56)</f>
        <v>0</v>
      </c>
      <c r="L57" s="14" t="n">
        <f aca="false">SUM(C56:L56)</f>
        <v>0</v>
      </c>
      <c r="M57" s="14" t="n">
        <f aca="false">SUM(C56:M56)</f>
        <v>0</v>
      </c>
      <c r="N57" s="14" t="n">
        <f aca="false">SUM(C56:N56)</f>
        <v>0.66</v>
      </c>
      <c r="O57" s="14" t="n">
        <f aca="false">SUM(D56:O56)</f>
        <v>0.66</v>
      </c>
      <c r="P57" s="14" t="n">
        <f aca="false">SUM(E56:P56)</f>
        <v>0.66</v>
      </c>
      <c r="Q57" s="14" t="n">
        <f aca="false">SUM(F56:Q56)</f>
        <v>0.66</v>
      </c>
      <c r="R57" s="14" t="n">
        <f aca="false">SUM(G56:R56)</f>
        <v>0.66</v>
      </c>
      <c r="S57" s="14" t="n">
        <f aca="false">SUM(H56:S56)</f>
        <v>0.66</v>
      </c>
      <c r="T57" s="14" t="n">
        <f aca="false">SUM(I56:T56)</f>
        <v>1.43</v>
      </c>
      <c r="U57" s="14" t="n">
        <f aca="false">SUM(J56:U56)</f>
        <v>1.43</v>
      </c>
      <c r="V57" s="14" t="n">
        <f aca="false">SUM(K56:V56)</f>
        <v>1.43</v>
      </c>
      <c r="W57" s="14" t="n">
        <f aca="false">SUM(L56:W56)</f>
        <v>3.6</v>
      </c>
      <c r="X57" s="14" t="n">
        <f aca="false">SUM(M56:X56)</f>
        <v>3.6</v>
      </c>
      <c r="Y57" s="14" t="n">
        <f aca="false">SUM(N56:Y56)</f>
        <v>3.6</v>
      </c>
      <c r="Z57" s="14" t="n">
        <f aca="false">SUM(O56:Z56)</f>
        <v>6.47268</v>
      </c>
      <c r="AA57" s="14" t="n">
        <f aca="false">SUM(P56:AA56)</f>
        <v>6.47268</v>
      </c>
      <c r="AB57" s="14" t="n">
        <f aca="false">SUM(Q56:AB56)</f>
        <v>6.47268</v>
      </c>
      <c r="AC57" s="14" t="n">
        <f aca="false">SUM(R56:AC56)</f>
        <v>10.81268</v>
      </c>
      <c r="AD57" s="14" t="n">
        <f aca="false">SUM(S56:AD56)</f>
        <v>10.81268</v>
      </c>
      <c r="AE57" s="14" t="n">
        <f aca="false">SUM(T56:AE56)</f>
        <v>10.81268</v>
      </c>
      <c r="AF57" s="14" t="n">
        <f aca="false">SUM(U56:AF56)</f>
        <v>15.84414</v>
      </c>
      <c r="AG57" s="14" t="n">
        <f aca="false">SUM(V56:AG56)</f>
        <v>15.84414</v>
      </c>
      <c r="AH57" s="14" t="n">
        <f aca="false">SUM(W56:AH56)</f>
        <v>15.84414</v>
      </c>
      <c r="AI57" s="14" t="n">
        <f aca="false">SUM(X56:AI56)</f>
        <v>22.1328</v>
      </c>
      <c r="AJ57" s="14" t="n">
        <f aca="false">SUM(Y56:AJ56)</f>
        <v>22.1328</v>
      </c>
      <c r="AK57" s="14" t="n">
        <f aca="false">SUM(Z56:AK56)</f>
        <v>22.1328</v>
      </c>
      <c r="AL57" s="14" t="n">
        <f aca="false">SUM(AA56:AL56)</f>
        <v>28.28246664</v>
      </c>
      <c r="AN57" s="36" t="n">
        <f aca="false">N57</f>
        <v>0.66</v>
      </c>
      <c r="AO57" s="36" t="n">
        <f aca="false">Z57</f>
        <v>6.47268</v>
      </c>
      <c r="AP57" s="36" t="n">
        <f aca="false">AL57</f>
        <v>28.28246664</v>
      </c>
    </row>
    <row r="58" customFormat="false" ht="15" hidden="false" customHeight="false" outlineLevel="0" collapsed="false">
      <c r="A58" s="0" t="s">
        <v>864</v>
      </c>
      <c r="B58" s="0" t="s">
        <v>230</v>
      </c>
      <c r="C58" s="9" t="n">
        <f aca="false">((Assumptions!$C$121*(1-Assumptions!$C$29))*$C$10)</f>
        <v>26400</v>
      </c>
      <c r="D58" s="9" t="n">
        <f aca="false">((Assumptions!$C$121*(1-Assumptions!$C$29))*$C$10)</f>
        <v>26400</v>
      </c>
      <c r="E58" s="9" t="n">
        <f aca="false">((Assumptions!$C$121*(1-Assumptions!$C$29))*$C$10)</f>
        <v>26400</v>
      </c>
      <c r="F58" s="9" t="n">
        <f aca="false">((Assumptions!$C$121*(1-Assumptions!$C$29))*$C$10)</f>
        <v>26400</v>
      </c>
      <c r="G58" s="9" t="n">
        <f aca="false">((Assumptions!$C$121*(1-Assumptions!$C$29))*$C$10)</f>
        <v>26400</v>
      </c>
      <c r="H58" s="9" t="n">
        <f aca="false">((Assumptions!$C$121*(1-Assumptions!$C$29))*$C$10)</f>
        <v>26400</v>
      </c>
      <c r="I58" s="9" t="n">
        <f aca="false">((Assumptions!$C$121*(1-Assumptions!$C$29))*$C$10)</f>
        <v>26400</v>
      </c>
      <c r="J58" s="9" t="n">
        <f aca="false">((Assumptions!$C$121*(1-Assumptions!$C$29))*$C$10)</f>
        <v>26400</v>
      </c>
      <c r="K58" s="9" t="n">
        <f aca="false">((Assumptions!$C$121*(1-Assumptions!$C$29))*$C$10)</f>
        <v>26400</v>
      </c>
      <c r="L58" s="9" t="n">
        <f aca="false">((Assumptions!$C$121*(1-Assumptions!$C$29))*$C$10)</f>
        <v>26400</v>
      </c>
      <c r="M58" s="9" t="n">
        <f aca="false">((Assumptions!$C$121*(1-Assumptions!$C$29))*$C$10)</f>
        <v>26400</v>
      </c>
      <c r="N58" s="9" t="n">
        <f aca="false">((Assumptions!$C$121*(1-Assumptions!$C$29))*$C$10)</f>
        <v>26400</v>
      </c>
      <c r="O58" s="9" t="n">
        <f aca="false">((Assumptions!$C$121*(1-Assumptions!$C$29))*$C$10)</f>
        <v>26400</v>
      </c>
      <c r="P58" s="9" t="n">
        <f aca="false">((Assumptions!$C$121*(1-Assumptions!$C$29))*$C$10)</f>
        <v>26400</v>
      </c>
      <c r="Q58" s="9" t="n">
        <f aca="false">((Assumptions!$C$121*(1-Assumptions!$C$29))*$C$10)</f>
        <v>26400</v>
      </c>
      <c r="R58" s="9" t="n">
        <f aca="false">((Assumptions!$C$121*(1-Assumptions!$C$29))*$C$10)</f>
        <v>26400</v>
      </c>
      <c r="S58" s="9" t="n">
        <f aca="false">((Assumptions!$C$121*(1-Assumptions!$C$29))*$C$10)</f>
        <v>26400</v>
      </c>
      <c r="T58" s="9" t="n">
        <f aca="false">((Assumptions!$C$121*(1-Assumptions!$C$29))*$C$10)</f>
        <v>26400</v>
      </c>
      <c r="U58" s="9" t="n">
        <f aca="false">((Assumptions!$C$121*(1-Assumptions!$C$29))*$C$10)</f>
        <v>26400</v>
      </c>
      <c r="V58" s="9" t="n">
        <f aca="false">((Assumptions!$C$121*(1-Assumptions!$C$29))*$C$10)</f>
        <v>26400</v>
      </c>
      <c r="W58" s="9" t="n">
        <f aca="false">((Assumptions!$C$121*(1-Assumptions!$C$29))*$C$10)</f>
        <v>26400</v>
      </c>
      <c r="X58" s="9" t="n">
        <f aca="false">((Assumptions!$C$121*(1-Assumptions!$C$29))*$C$10)</f>
        <v>26400</v>
      </c>
      <c r="Y58" s="9" t="n">
        <f aca="false">((Assumptions!$C$121*(1-Assumptions!$C$29))*$C$10)</f>
        <v>26400</v>
      </c>
      <c r="Z58" s="9" t="n">
        <f aca="false">((Assumptions!$C$121*(1-Assumptions!$C$29))*$C$10)</f>
        <v>26400</v>
      </c>
      <c r="AA58" s="9" t="n">
        <f aca="false">((Assumptions!$C$121*(1-Assumptions!$C$29))*$C$10)</f>
        <v>26400</v>
      </c>
      <c r="AB58" s="9" t="n">
        <f aca="false">((Assumptions!$C$121*(1-Assumptions!$C$29))*$C$10)</f>
        <v>26400</v>
      </c>
      <c r="AC58" s="9" t="n">
        <f aca="false">((Assumptions!$C$121*(1-Assumptions!$C$29))*$C$10)</f>
        <v>26400</v>
      </c>
      <c r="AD58" s="9" t="n">
        <f aca="false">((Assumptions!$C$121*(1-Assumptions!$C$29))*$C$10)</f>
        <v>26400</v>
      </c>
      <c r="AE58" s="9" t="n">
        <f aca="false">((Assumptions!$C$121*(1-Assumptions!$C$29))*$C$10)</f>
        <v>26400</v>
      </c>
      <c r="AF58" s="9" t="n">
        <f aca="false">((Assumptions!$C$121*(1-Assumptions!$C$29))*$C$10)</f>
        <v>26400</v>
      </c>
      <c r="AG58" s="9" t="n">
        <f aca="false">((Assumptions!$C$121*(1-Assumptions!$C$29))*$C$10)</f>
        <v>26400</v>
      </c>
      <c r="AH58" s="9" t="n">
        <f aca="false">((Assumptions!$C$121*(1-Assumptions!$C$29))*$C$10)</f>
        <v>26400</v>
      </c>
      <c r="AI58" s="9" t="n">
        <f aca="false">((Assumptions!$C$121*(1-Assumptions!$C$29))*$C$10)</f>
        <v>26400</v>
      </c>
      <c r="AJ58" s="9" t="n">
        <f aca="false">((Assumptions!$C$121*(1-Assumptions!$C$29))*$C$10)</f>
        <v>26400</v>
      </c>
      <c r="AK58" s="9" t="n">
        <f aca="false">((Assumptions!$C$121*(1-Assumptions!$C$29))*$C$10)</f>
        <v>26400</v>
      </c>
      <c r="AL58" s="9" t="n">
        <f aca="false">((Assumptions!$C$121*(1-Assumptions!$C$29))*$C$10)</f>
        <v>26400</v>
      </c>
    </row>
    <row r="59" customFormat="false" ht="15" hidden="false" customHeight="false" outlineLevel="0" collapsed="false">
      <c r="A59" s="0" t="s">
        <v>865</v>
      </c>
      <c r="B59" s="0" t="s">
        <v>230</v>
      </c>
      <c r="C59" s="9" t="n">
        <f aca="false">((C55*C58)+((C45*(1+Assumptions!$C$31))*0))</f>
        <v>0</v>
      </c>
      <c r="D59" s="9" t="n">
        <f aca="false">((D55*D58)+((D45*(1+Assumptions!$C$31))*0))</f>
        <v>0</v>
      </c>
      <c r="E59" s="9" t="n">
        <f aca="false">((E55*E58)+((E45*(1+Assumptions!$C$31))*0))</f>
        <v>0</v>
      </c>
      <c r="F59" s="9" t="n">
        <f aca="false">((F55*F58)+((F45*(1+Assumptions!$C$31))*0))</f>
        <v>0</v>
      </c>
      <c r="G59" s="9" t="n">
        <f aca="false">((G55*G58)+((G45*(1+Assumptions!$C$31))*0))</f>
        <v>0</v>
      </c>
      <c r="H59" s="9" t="n">
        <f aca="false">((H55*H58)+((H45*(1+Assumptions!$C$31))*0))</f>
        <v>0</v>
      </c>
      <c r="I59" s="9" t="n">
        <f aca="false">((I55*I58)+((I45*(1+Assumptions!$C$31))*0))</f>
        <v>0</v>
      </c>
      <c r="J59" s="9" t="n">
        <f aca="false">((J55*J58)+((J45*(1+Assumptions!$C$31))*0))</f>
        <v>0</v>
      </c>
      <c r="K59" s="9" t="n">
        <f aca="false">((K55*K58)+((K45*(1+Assumptions!$C$31))*0))</f>
        <v>0</v>
      </c>
      <c r="L59" s="9" t="n">
        <f aca="false">((L55*L58)+((L45*(1+Assumptions!$C$31))*0))</f>
        <v>0</v>
      </c>
      <c r="M59" s="9" t="n">
        <f aca="false">((M55*M58)+((M45*(1+Assumptions!$C$31))*0))</f>
        <v>0</v>
      </c>
      <c r="N59" s="9" t="n">
        <f aca="false">((N55*N58)+((N45*(1+Assumptions!$C$31))*0))</f>
        <v>17424</v>
      </c>
      <c r="O59" s="9" t="n">
        <f aca="false">((O55*O58)+((O45*(1+Assumptions!$C$31))*C59))</f>
        <v>0</v>
      </c>
      <c r="P59" s="9" t="n">
        <f aca="false">((P55*P58)+((P45*(1+Assumptions!$C$31))*D59))</f>
        <v>0</v>
      </c>
      <c r="Q59" s="9" t="n">
        <f aca="false">((Q55*Q58)+((Q45*(1+Assumptions!$C$31))*E59))</f>
        <v>0</v>
      </c>
      <c r="R59" s="9" t="n">
        <f aca="false">((R55*R58)+((R45*(1+Assumptions!$C$31))*F59))</f>
        <v>0</v>
      </c>
      <c r="S59" s="9" t="n">
        <f aca="false">((S55*S58)+((S45*(1+Assumptions!$C$31))*G59))</f>
        <v>0</v>
      </c>
      <c r="T59" s="9" t="n">
        <f aca="false">((T55*T58)+((T45*(1+Assumptions!$C$31))*H59))</f>
        <v>20328</v>
      </c>
      <c r="U59" s="9" t="n">
        <f aca="false">((U55*U58)+((U45*(1+Assumptions!$C$31))*I59))</f>
        <v>0</v>
      </c>
      <c r="V59" s="9" t="n">
        <f aca="false">((V55*V58)+((V45*(1+Assumptions!$C$31))*J59))</f>
        <v>0</v>
      </c>
      <c r="W59" s="9" t="n">
        <f aca="false">((W55*W58)+((W45*(1+Assumptions!$C$31))*K59))</f>
        <v>57288</v>
      </c>
      <c r="X59" s="9" t="n">
        <f aca="false">((X55*X58)+((X45*(1+Assumptions!$C$31))*L59))</f>
        <v>0</v>
      </c>
      <c r="Y59" s="9" t="n">
        <f aca="false">((Y55*Y58)+((Y45*(1+Assumptions!$C$31))*M59))</f>
        <v>0</v>
      </c>
      <c r="Z59" s="9" t="n">
        <f aca="false">((Z55*Z58)+((Z45*(1+Assumptions!$C$31))*N59))</f>
        <v>94827.4272</v>
      </c>
      <c r="AA59" s="9" t="n">
        <f aca="false">((AA55*AA58)+((AA45*(1+Assumptions!$C$31))*O59))</f>
        <v>0</v>
      </c>
      <c r="AB59" s="9" t="n">
        <f aca="false">((AB55*AB58)+((AB45*(1+Assumptions!$C$31))*P59))</f>
        <v>0</v>
      </c>
      <c r="AC59" s="9" t="n">
        <f aca="false">((AC55*AC58)+((AC45*(1+Assumptions!$C$31))*Q59))</f>
        <v>114576</v>
      </c>
      <c r="AD59" s="9" t="n">
        <f aca="false">((AD55*AD58)+((AD45*(1+Assumptions!$C$31))*R59))</f>
        <v>0</v>
      </c>
      <c r="AE59" s="9" t="n">
        <f aca="false">((AE55*AE58)+((AE45*(1+Assumptions!$C$31))*S59))</f>
        <v>0</v>
      </c>
      <c r="AF59" s="9" t="n">
        <f aca="false">((AF55*AF58)+((AF45*(1+Assumptions!$C$31))*T59))</f>
        <v>154983.9984</v>
      </c>
      <c r="AG59" s="9" t="n">
        <f aca="false">((AG55*AG58)+((AG45*(1+Assumptions!$C$31))*U59))</f>
        <v>0</v>
      </c>
      <c r="AH59" s="9" t="n">
        <f aca="false">((AH55*AH58)+((AH45*(1+Assumptions!$C$31))*V59))</f>
        <v>0</v>
      </c>
      <c r="AI59" s="9" t="n">
        <f aca="false">((AI55*AI58)+((AI45*(1+Assumptions!$C$31))*W59))</f>
        <v>228453.0864</v>
      </c>
      <c r="AJ59" s="9" t="n">
        <f aca="false">((AJ55*AJ58)+((AJ45*(1+Assumptions!$C$31))*X59))</f>
        <v>0</v>
      </c>
      <c r="AK59" s="9" t="n">
        <f aca="false">((AK55*AK58)+((AK45*(1+Assumptions!$C$31))*Y59))</f>
        <v>0</v>
      </c>
      <c r="AL59" s="9" t="n">
        <f aca="false">((AL55*AL58)+((AL45*(1+Assumptions!$C$31))*Z59))</f>
        <v>265534.53258816</v>
      </c>
      <c r="AN59" s="11" t="n">
        <f aca="false">SUM(C59:N59)</f>
        <v>17424</v>
      </c>
      <c r="AO59" s="11" t="n">
        <f aca="false">SUM(O59:Z59)</f>
        <v>172443.4272</v>
      </c>
      <c r="AP59" s="11" t="n">
        <f aca="false">SUM(AA59:AL59)</f>
        <v>763547.61738816</v>
      </c>
    </row>
    <row r="60" customFormat="false" ht="15" hidden="false" customHeight="false" outlineLevel="0" collapsed="false">
      <c r="A60" s="0" t="s">
        <v>866</v>
      </c>
      <c r="B60" s="0" t="s">
        <v>230</v>
      </c>
      <c r="C60" s="9" t="n">
        <f aca="false">(Assumptions!$C$126*C53)</f>
        <v>0</v>
      </c>
      <c r="D60" s="9" t="n">
        <f aca="false">(Assumptions!$C$126*D53)</f>
        <v>0</v>
      </c>
      <c r="E60" s="9" t="n">
        <f aca="false">(Assumptions!$C$126*E53)</f>
        <v>0</v>
      </c>
      <c r="F60" s="9" t="n">
        <f aca="false">(Assumptions!$C$126*F53)</f>
        <v>0</v>
      </c>
      <c r="G60" s="9" t="n">
        <f aca="false">(Assumptions!$C$126*G53)</f>
        <v>0</v>
      </c>
      <c r="H60" s="9" t="n">
        <f aca="false">(Assumptions!$C$126*H53)</f>
        <v>0</v>
      </c>
      <c r="I60" s="9" t="n">
        <f aca="false">(Assumptions!$C$126*I53)</f>
        <v>0</v>
      </c>
      <c r="J60" s="9" t="n">
        <f aca="false">(Assumptions!$C$126*J53)</f>
        <v>0</v>
      </c>
      <c r="K60" s="9" t="n">
        <f aca="false">(Assumptions!$C$126*K53)</f>
        <v>0</v>
      </c>
      <c r="L60" s="9" t="n">
        <f aca="false">(Assumptions!$C$126*L53)</f>
        <v>0</v>
      </c>
      <c r="M60" s="9" t="n">
        <f aca="false">(Assumptions!$C$126*M53)</f>
        <v>0</v>
      </c>
      <c r="N60" s="9" t="n">
        <f aca="false">(Assumptions!$C$126*N53)</f>
        <v>0</v>
      </c>
      <c r="O60" s="9" t="n">
        <f aca="false">(Assumptions!$C$126*O53)</f>
        <v>0</v>
      </c>
      <c r="P60" s="9" t="n">
        <f aca="false">(Assumptions!$C$126*P53)</f>
        <v>0</v>
      </c>
      <c r="Q60" s="9" t="n">
        <f aca="false">(Assumptions!$C$126*Q53)</f>
        <v>0</v>
      </c>
      <c r="R60" s="9" t="n">
        <f aca="false">(Assumptions!$C$126*R53)</f>
        <v>0</v>
      </c>
      <c r="S60" s="9" t="n">
        <f aca="false">(Assumptions!$C$126*S53)</f>
        <v>0</v>
      </c>
      <c r="T60" s="9" t="n">
        <f aca="false">(Assumptions!$C$126*T53)</f>
        <v>5775</v>
      </c>
      <c r="U60" s="9" t="n">
        <f aca="false">(Assumptions!$C$126*U53)</f>
        <v>0</v>
      </c>
      <c r="V60" s="9" t="n">
        <f aca="false">(Assumptions!$C$126*V53)</f>
        <v>0</v>
      </c>
      <c r="W60" s="9" t="n">
        <f aca="false">(Assumptions!$C$126*W53)</f>
        <v>5775</v>
      </c>
      <c r="X60" s="9" t="n">
        <f aca="false">(Assumptions!$C$126*X53)</f>
        <v>0</v>
      </c>
      <c r="Y60" s="9" t="n">
        <f aca="false">(Assumptions!$C$126*Y53)</f>
        <v>0</v>
      </c>
      <c r="Z60" s="9" t="n">
        <f aca="false">(Assumptions!$C$126*Z53)</f>
        <v>11550</v>
      </c>
      <c r="AA60" s="9" t="n">
        <f aca="false">(Assumptions!$C$126*AA53)</f>
        <v>0</v>
      </c>
      <c r="AB60" s="9" t="n">
        <f aca="false">(Assumptions!$C$126*AB53)</f>
        <v>0</v>
      </c>
      <c r="AC60" s="9" t="n">
        <f aca="false">(Assumptions!$C$126*AC53)</f>
        <v>11550</v>
      </c>
      <c r="AD60" s="9" t="n">
        <f aca="false">(Assumptions!$C$126*AD53)</f>
        <v>0</v>
      </c>
      <c r="AE60" s="9" t="n">
        <f aca="false">(Assumptions!$C$126*AE53)</f>
        <v>0</v>
      </c>
      <c r="AF60" s="9" t="n">
        <f aca="false">(Assumptions!$C$126*AF53)</f>
        <v>17325</v>
      </c>
      <c r="AG60" s="9" t="n">
        <f aca="false">(Assumptions!$C$126*AG53)</f>
        <v>0</v>
      </c>
      <c r="AH60" s="9" t="n">
        <f aca="false">(Assumptions!$C$126*AH53)</f>
        <v>0</v>
      </c>
      <c r="AI60" s="9" t="n">
        <f aca="false">(Assumptions!$C$126*AI53)</f>
        <v>17325</v>
      </c>
      <c r="AJ60" s="9" t="n">
        <f aca="false">(Assumptions!$C$126*AJ53)</f>
        <v>0</v>
      </c>
      <c r="AK60" s="9" t="n">
        <f aca="false">(Assumptions!$C$126*AK53)</f>
        <v>0</v>
      </c>
      <c r="AL60" s="9" t="n">
        <f aca="false">(Assumptions!$C$126*AL53)</f>
        <v>17325</v>
      </c>
      <c r="AN60" s="11" t="n">
        <f aca="false">SUM(C60:N60)</f>
        <v>0</v>
      </c>
      <c r="AO60" s="11" t="n">
        <f aca="false">SUM(O60:Z60)</f>
        <v>23100</v>
      </c>
      <c r="AP60" s="11" t="n">
        <f aca="false">SUM(AA60:AL60)</f>
        <v>63525</v>
      </c>
    </row>
    <row r="61" customFormat="false" ht="15" hidden="false" customHeight="false" outlineLevel="0" collapsed="false">
      <c r="A61" s="0" t="s">
        <v>867</v>
      </c>
      <c r="B61" s="0" t="s">
        <v>230</v>
      </c>
      <c r="C61" s="9" t="n">
        <f aca="false">((C59-C60)/12)</f>
        <v>0</v>
      </c>
      <c r="D61" s="9" t="n">
        <f aca="false">((SUM(C59:D59)-SUM(C60:D60))/12)</f>
        <v>0</v>
      </c>
      <c r="E61" s="9" t="n">
        <f aca="false">((SUM(C59:E59)-SUM(C60:E60))/12)</f>
        <v>0</v>
      </c>
      <c r="F61" s="9" t="n">
        <f aca="false">((SUM(C59:F59)-SUM(C60:F60))/12)</f>
        <v>0</v>
      </c>
      <c r="G61" s="9" t="n">
        <f aca="false">((SUM(C59:G59)-SUM(C60:G60))/12)</f>
        <v>0</v>
      </c>
      <c r="H61" s="9" t="n">
        <f aca="false">((SUM(C59:H59)-SUM(C60:H60))/12)</f>
        <v>0</v>
      </c>
      <c r="I61" s="9" t="n">
        <f aca="false">((SUM(C59:I59)-SUM(C60:I60))/12)</f>
        <v>0</v>
      </c>
      <c r="J61" s="9" t="n">
        <f aca="false">((SUM(C59:J59)-SUM(C60:J60))/12)</f>
        <v>0</v>
      </c>
      <c r="K61" s="9" t="n">
        <f aca="false">((SUM(C59:K59)-SUM(C60:K60))/12)</f>
        <v>0</v>
      </c>
      <c r="L61" s="9" t="n">
        <f aca="false">((SUM(C59:L59)-SUM(C60:L60))/12)</f>
        <v>0</v>
      </c>
      <c r="M61" s="9" t="n">
        <f aca="false">((SUM(C59:M59)-SUM(C60:M60))/12)</f>
        <v>0</v>
      </c>
      <c r="N61" s="9" t="n">
        <f aca="false">((SUM(C59:N59)-SUM(C60:N60))/12)</f>
        <v>1452</v>
      </c>
      <c r="O61" s="9" t="n">
        <f aca="false">((SUM(D59:O59)-SUM(D60:O60))/12)</f>
        <v>1452</v>
      </c>
      <c r="P61" s="9" t="n">
        <f aca="false">((SUM(E59:P59)-SUM(E60:P60))/12)</f>
        <v>1452</v>
      </c>
      <c r="Q61" s="9" t="n">
        <f aca="false">((SUM(F59:Q59)-SUM(F60:Q60))/12)</f>
        <v>1452</v>
      </c>
      <c r="R61" s="9" t="n">
        <f aca="false">((SUM(G59:R59)-SUM(G60:R60))/12)</f>
        <v>1452</v>
      </c>
      <c r="S61" s="9" t="n">
        <f aca="false">((SUM(H59:S59)-SUM(H60:S60))/12)</f>
        <v>1452</v>
      </c>
      <c r="T61" s="9" t="n">
        <f aca="false">((SUM(I59:T59)-SUM(I60:T60))/12)</f>
        <v>2664.75</v>
      </c>
      <c r="U61" s="9" t="n">
        <f aca="false">((SUM(J59:U59)-SUM(J60:U60))/12)</f>
        <v>2664.75</v>
      </c>
      <c r="V61" s="9" t="n">
        <f aca="false">((SUM(K59:V59)-SUM(K60:V60))/12)</f>
        <v>2664.75</v>
      </c>
      <c r="W61" s="9" t="n">
        <f aca="false">((SUM(L59:W59)-SUM(L60:W60))/12)</f>
        <v>6957.5</v>
      </c>
      <c r="X61" s="9" t="n">
        <f aca="false">((SUM(M59:X59)-SUM(M60:X60))/12)</f>
        <v>6957.5</v>
      </c>
      <c r="Y61" s="9" t="n">
        <f aca="false">((SUM(N59:Y59)-SUM(N60:Y60))/12)</f>
        <v>6957.5</v>
      </c>
      <c r="Z61" s="9" t="n">
        <f aca="false">((SUM(O59:Z59)-SUM(O60:Z60))/12)</f>
        <v>12445.2856</v>
      </c>
      <c r="AA61" s="9" t="n">
        <f aca="false">((SUM(P59:AA59)-SUM(P60:AA60))/12)</f>
        <v>12445.2856</v>
      </c>
      <c r="AB61" s="9" t="n">
        <f aca="false">((SUM(Q59:AB59)-SUM(Q60:AB60))/12)</f>
        <v>12445.2856</v>
      </c>
      <c r="AC61" s="9" t="n">
        <f aca="false">((SUM(R59:AC59)-SUM(R60:AC60))/12)</f>
        <v>21030.7856</v>
      </c>
      <c r="AD61" s="9" t="n">
        <f aca="false">((SUM(S59:AD59)-SUM(S60:AD60))/12)</f>
        <v>21030.7856</v>
      </c>
      <c r="AE61" s="9" t="n">
        <f aca="false">((SUM(T59:AE59)-SUM(T60:AE60))/12)</f>
        <v>21030.7856</v>
      </c>
      <c r="AF61" s="9" t="n">
        <f aca="false">((SUM(U59:AF59)-SUM(U60:AF60))/12)</f>
        <v>31289.6188</v>
      </c>
      <c r="AG61" s="9" t="n">
        <f aca="false">((SUM(V59:AG59)-SUM(V60:AG60))/12)</f>
        <v>31289.6188</v>
      </c>
      <c r="AH61" s="9" t="n">
        <f aca="false">((SUM(W59:AH59)-SUM(W60:AH60))/12)</f>
        <v>31289.6188</v>
      </c>
      <c r="AI61" s="9" t="n">
        <f aca="false">((SUM(X59:AI59)-SUM(X60:AI60))/12)</f>
        <v>44590.876</v>
      </c>
      <c r="AJ61" s="9" t="n">
        <f aca="false">((SUM(Y59:AJ59)-SUM(Y60:AJ60))/12)</f>
        <v>44590.876</v>
      </c>
      <c r="AK61" s="9" t="n">
        <f aca="false">((SUM(Z59:AK59)-SUM(Z60:AK60))/12)</f>
        <v>44590.876</v>
      </c>
      <c r="AL61" s="9" t="n">
        <f aca="false">((SUM(AA59:AL59)-SUM(AA60:AL60))/12)</f>
        <v>58335.21811568</v>
      </c>
      <c r="AN61" s="11" t="n">
        <f aca="false">SUM(C61:N61)</f>
        <v>1452</v>
      </c>
      <c r="AO61" s="11" t="n">
        <f aca="false">SUM(O61:Z61)</f>
        <v>48572.0356</v>
      </c>
      <c r="AP61" s="11" t="n">
        <f aca="false">SUM(AA61:AL61)</f>
        <v>373959.63051568</v>
      </c>
    </row>
    <row r="62" customFormat="false" ht="15" hidden="false" customHeight="false" outlineLevel="0" collapsed="false">
      <c r="A62" s="0" t="s">
        <v>868</v>
      </c>
      <c r="B62" s="0" t="s">
        <v>230</v>
      </c>
      <c r="C62" s="9" t="n">
        <f aca="false">(C59-C60)</f>
        <v>0</v>
      </c>
      <c r="D62" s="9" t="n">
        <f aca="false">(D59-D60)</f>
        <v>0</v>
      </c>
      <c r="E62" s="9" t="n">
        <f aca="false">(E59-E60)</f>
        <v>0</v>
      </c>
      <c r="F62" s="9" t="n">
        <f aca="false">(F59-F60)</f>
        <v>0</v>
      </c>
      <c r="G62" s="9" t="n">
        <f aca="false">(G59-G60)</f>
        <v>0</v>
      </c>
      <c r="H62" s="9" t="n">
        <f aca="false">(H59-H60)</f>
        <v>0</v>
      </c>
      <c r="I62" s="9" t="n">
        <f aca="false">(I59-I60)</f>
        <v>0</v>
      </c>
      <c r="J62" s="9" t="n">
        <f aca="false">(J59-J60)</f>
        <v>0</v>
      </c>
      <c r="K62" s="9" t="n">
        <f aca="false">(K59-K60)</f>
        <v>0</v>
      </c>
      <c r="L62" s="9" t="n">
        <f aca="false">(L59-L60)</f>
        <v>0</v>
      </c>
      <c r="M62" s="9" t="n">
        <f aca="false">(M59-M60)</f>
        <v>0</v>
      </c>
      <c r="N62" s="9" t="n">
        <f aca="false">(N59-N60)</f>
        <v>17424</v>
      </c>
      <c r="O62" s="9" t="n">
        <f aca="false">(O59-O60)</f>
        <v>0</v>
      </c>
      <c r="P62" s="9" t="n">
        <f aca="false">(P59-P60)</f>
        <v>0</v>
      </c>
      <c r="Q62" s="9" t="n">
        <f aca="false">(Q59-Q60)</f>
        <v>0</v>
      </c>
      <c r="R62" s="9" t="n">
        <f aca="false">(R59-R60)</f>
        <v>0</v>
      </c>
      <c r="S62" s="9" t="n">
        <f aca="false">(S59-S60)</f>
        <v>0</v>
      </c>
      <c r="T62" s="9" t="n">
        <f aca="false">(T59-T60)</f>
        <v>14553</v>
      </c>
      <c r="U62" s="9" t="n">
        <f aca="false">(U59-U60)</f>
        <v>0</v>
      </c>
      <c r="V62" s="9" t="n">
        <f aca="false">(V59-V60)</f>
        <v>0</v>
      </c>
      <c r="W62" s="9" t="n">
        <f aca="false">(W59-W60)</f>
        <v>51513</v>
      </c>
      <c r="X62" s="9" t="n">
        <f aca="false">(X59-X60)</f>
        <v>0</v>
      </c>
      <c r="Y62" s="9" t="n">
        <f aca="false">(Y59-Y60)</f>
        <v>0</v>
      </c>
      <c r="Z62" s="9" t="n">
        <f aca="false">(Z59-Z60)</f>
        <v>83277.4272</v>
      </c>
      <c r="AA62" s="9" t="n">
        <f aca="false">(AA59-AA60)</f>
        <v>0</v>
      </c>
      <c r="AB62" s="9" t="n">
        <f aca="false">(AB59-AB60)</f>
        <v>0</v>
      </c>
      <c r="AC62" s="9" t="n">
        <f aca="false">(AC59-AC60)</f>
        <v>103026</v>
      </c>
      <c r="AD62" s="9" t="n">
        <f aca="false">(AD59-AD60)</f>
        <v>0</v>
      </c>
      <c r="AE62" s="9" t="n">
        <f aca="false">(AE59-AE60)</f>
        <v>0</v>
      </c>
      <c r="AF62" s="9" t="n">
        <f aca="false">(AF59-AF60)</f>
        <v>137658.9984</v>
      </c>
      <c r="AG62" s="9" t="n">
        <f aca="false">(AG59-AG60)</f>
        <v>0</v>
      </c>
      <c r="AH62" s="9" t="n">
        <f aca="false">(AH59-AH60)</f>
        <v>0</v>
      </c>
      <c r="AI62" s="9" t="n">
        <f aca="false">(AI59-AI60)</f>
        <v>211128.0864</v>
      </c>
      <c r="AJ62" s="9" t="n">
        <f aca="false">(AJ59-AJ60)</f>
        <v>0</v>
      </c>
      <c r="AK62" s="9" t="n">
        <f aca="false">(AK59-AK60)</f>
        <v>0</v>
      </c>
      <c r="AL62" s="9" t="n">
        <f aca="false">(AL59-AL60)</f>
        <v>248209.53258816</v>
      </c>
      <c r="AN62" s="11" t="n">
        <f aca="false">SUM(C62:N62)</f>
        <v>17424</v>
      </c>
      <c r="AO62" s="11" t="n">
        <f aca="false">SUM(O62:Z62)</f>
        <v>149343.4272</v>
      </c>
      <c r="AP62" s="11" t="n">
        <f aca="false">SUM(AA62:AL62)</f>
        <v>700022.61738816</v>
      </c>
    </row>
    <row r="63" customFormat="false" ht="15" hidden="false" customHeight="false" outlineLevel="0" collapsed="false">
      <c r="A63" s="0" t="s">
        <v>869</v>
      </c>
      <c r="B63" s="0" t="s">
        <v>230</v>
      </c>
      <c r="C63" s="9" t="n">
        <f aca="false">(((Assumptions!$C$122*$C$10)/6)*C52)</f>
        <v>0</v>
      </c>
      <c r="D63" s="9" t="n">
        <f aca="false">(((Assumptions!$C$122*$C$10)/6)*D52)</f>
        <v>0</v>
      </c>
      <c r="E63" s="9" t="n">
        <f aca="false">(((Assumptions!$C$122*$C$10)/6)*E52)</f>
        <v>0</v>
      </c>
      <c r="F63" s="9" t="n">
        <f aca="false">(((Assumptions!$C$122*$C$10)/6)*F52)</f>
        <v>0</v>
      </c>
      <c r="G63" s="9" t="n">
        <f aca="false">(((Assumptions!$C$122*$C$10)/6)*G52)</f>
        <v>0</v>
      </c>
      <c r="H63" s="9" t="n">
        <f aca="false">(((Assumptions!$C$122*$C$10)/6)*H52)</f>
        <v>0</v>
      </c>
      <c r="I63" s="9" t="n">
        <f aca="false">(((Assumptions!$C$122*$C$10)/6)*I52)</f>
        <v>0</v>
      </c>
      <c r="J63" s="9" t="n">
        <f aca="false">(((Assumptions!$C$122*$C$10)/6)*J52)</f>
        <v>0</v>
      </c>
      <c r="K63" s="9" t="n">
        <f aca="false">(((Assumptions!$C$122*$C$10)/6)*K52)</f>
        <v>0</v>
      </c>
      <c r="L63" s="9" t="n">
        <f aca="false">(((Assumptions!$C$122*$C$10)/6)*L52)</f>
        <v>0</v>
      </c>
      <c r="M63" s="9" t="n">
        <f aca="false">(((Assumptions!$C$122*$C$10)/6)*M52)</f>
        <v>3500</v>
      </c>
      <c r="N63" s="9" t="n">
        <f aca="false">(((Assumptions!$C$122*$C$10)/6)*N52)</f>
        <v>3500</v>
      </c>
      <c r="O63" s="9" t="n">
        <f aca="false">(((Assumptions!$C$122*$C$10)/6)*O52)</f>
        <v>3500</v>
      </c>
      <c r="P63" s="9" t="n">
        <f aca="false">(((Assumptions!$C$122*$C$10)/6)*P52)</f>
        <v>7000</v>
      </c>
      <c r="Q63" s="9" t="n">
        <f aca="false">(((Assumptions!$C$122*$C$10)/6)*Q52)</f>
        <v>7000</v>
      </c>
      <c r="R63" s="9" t="n">
        <f aca="false">(((Assumptions!$C$122*$C$10)/6)*R52)</f>
        <v>7000</v>
      </c>
      <c r="S63" s="9" t="n">
        <f aca="false">(((Assumptions!$C$122*$C$10)/6)*S52)</f>
        <v>10500</v>
      </c>
      <c r="T63" s="9" t="n">
        <f aca="false">(((Assumptions!$C$122*$C$10)/6)*T52)</f>
        <v>10500</v>
      </c>
      <c r="U63" s="9" t="n">
        <f aca="false">(((Assumptions!$C$122*$C$10)/6)*U52)</f>
        <v>10500</v>
      </c>
      <c r="V63" s="9" t="n">
        <f aca="false">(((Assumptions!$C$122*$C$10)/6)*V52)</f>
        <v>14000</v>
      </c>
      <c r="W63" s="9" t="n">
        <f aca="false">(((Assumptions!$C$122*$C$10)/6)*W52)</f>
        <v>14000</v>
      </c>
      <c r="X63" s="9" t="n">
        <f aca="false">(((Assumptions!$C$122*$C$10)/6)*X52)</f>
        <v>14000</v>
      </c>
      <c r="Y63" s="9" t="n">
        <f aca="false">(((Assumptions!$C$122*$C$10)/6)*Y52)</f>
        <v>17500</v>
      </c>
      <c r="Z63" s="9" t="n">
        <f aca="false">(((Assumptions!$C$122*$C$10)/6)*Z52)</f>
        <v>17500</v>
      </c>
      <c r="AA63" s="9" t="n">
        <f aca="false">(((Assumptions!$C$122*$C$10)/6)*AA52)</f>
        <v>17500</v>
      </c>
      <c r="AB63" s="9" t="n">
        <f aca="false">(((Assumptions!$C$122*$C$10)/6)*AB52)</f>
        <v>21000</v>
      </c>
      <c r="AC63" s="9" t="n">
        <f aca="false">(((Assumptions!$C$122*$C$10)/6)*AC52)</f>
        <v>21000</v>
      </c>
      <c r="AD63" s="9" t="n">
        <f aca="false">(((Assumptions!$C$122*$C$10)/6)*AD52)</f>
        <v>21000</v>
      </c>
      <c r="AE63" s="9" t="n">
        <f aca="false">(((Assumptions!$C$122*$C$10)/6)*AE52)</f>
        <v>21000</v>
      </c>
      <c r="AF63" s="9" t="n">
        <f aca="false">(((Assumptions!$C$122*$C$10)/6)*AF52)</f>
        <v>21000</v>
      </c>
      <c r="AG63" s="9" t="n">
        <f aca="false">(((Assumptions!$C$122*$C$10)/6)*AG52)</f>
        <v>21000</v>
      </c>
      <c r="AH63" s="9" t="n">
        <f aca="false">(((Assumptions!$C$122*$C$10)/6)*AH52)</f>
        <v>24500</v>
      </c>
      <c r="AI63" s="9" t="n">
        <f aca="false">(((Assumptions!$C$122*$C$10)/6)*AI52)</f>
        <v>24500</v>
      </c>
      <c r="AJ63" s="9" t="n">
        <f aca="false">(((Assumptions!$C$122*$C$10)/6)*AJ52)</f>
        <v>24500</v>
      </c>
      <c r="AK63" s="9" t="n">
        <f aca="false">(((Assumptions!$C$122*$C$10)/6)*AK52)</f>
        <v>28000</v>
      </c>
      <c r="AL63" s="9" t="n">
        <f aca="false">(((Assumptions!$C$122*$C$10)/6)*AL52)</f>
        <v>28000</v>
      </c>
      <c r="AN63" s="11" t="n">
        <f aca="false">SUM(C63:N63)</f>
        <v>7000</v>
      </c>
      <c r="AO63" s="11" t="n">
        <f aca="false">SUM(O63:Z63)</f>
        <v>133000</v>
      </c>
      <c r="AP63" s="11" t="n">
        <f aca="false">SUM(AA63:AL63)</f>
        <v>273000</v>
      </c>
    </row>
    <row r="64" customFormat="false" ht="15" hidden="false" customHeight="false" outlineLevel="0" collapsed="false">
      <c r="A64" s="0" t="s">
        <v>870</v>
      </c>
      <c r="B64" s="0" t="s">
        <v>230</v>
      </c>
      <c r="C64" s="9" t="n">
        <f aca="false">((Assumptions!$C$122*$C$10)*C46)</f>
        <v>0</v>
      </c>
      <c r="D64" s="9" t="n">
        <f aca="false">((Assumptions!$C$122*$C$10)*D46)</f>
        <v>0</v>
      </c>
      <c r="E64" s="9" t="n">
        <f aca="false">((Assumptions!$C$122*$C$10)*E46)</f>
        <v>0</v>
      </c>
      <c r="F64" s="9" t="n">
        <f aca="false">((Assumptions!$C$122*$C$10)*F46)</f>
        <v>0</v>
      </c>
      <c r="G64" s="9" t="n">
        <f aca="false">((Assumptions!$C$122*$C$10)*G46)</f>
        <v>0</v>
      </c>
      <c r="H64" s="9" t="n">
        <f aca="false">((Assumptions!$C$122*$C$10)*H46)</f>
        <v>0</v>
      </c>
      <c r="I64" s="9" t="n">
        <f aca="false">((Assumptions!$C$122*$C$10)*I46)</f>
        <v>0</v>
      </c>
      <c r="J64" s="9" t="n">
        <f aca="false">((Assumptions!$C$122*$C$10)*J46)</f>
        <v>0</v>
      </c>
      <c r="K64" s="9" t="n">
        <f aca="false">((Assumptions!$C$122*$C$10)*K46)</f>
        <v>0</v>
      </c>
      <c r="L64" s="9" t="n">
        <f aca="false">((Assumptions!$C$122*$C$10)*L46)</f>
        <v>0</v>
      </c>
      <c r="M64" s="9" t="n">
        <f aca="false">((Assumptions!$C$122*$C$10)*M46)</f>
        <v>21000</v>
      </c>
      <c r="N64" s="9" t="n">
        <f aca="false">((Assumptions!$C$122*$C$10)*N46)</f>
        <v>0</v>
      </c>
      <c r="O64" s="9" t="n">
        <f aca="false">((Assumptions!$C$122*$C$10)*O46)</f>
        <v>0</v>
      </c>
      <c r="P64" s="9" t="n">
        <f aca="false">((Assumptions!$C$122*$C$10)*P46)</f>
        <v>21000</v>
      </c>
      <c r="Q64" s="9" t="n">
        <f aca="false">((Assumptions!$C$122*$C$10)*Q46)</f>
        <v>0</v>
      </c>
      <c r="R64" s="9" t="n">
        <f aca="false">((Assumptions!$C$122*$C$10)*R46)</f>
        <v>0</v>
      </c>
      <c r="S64" s="9" t="n">
        <f aca="false">((Assumptions!$C$122*$C$10)*S46)</f>
        <v>42000</v>
      </c>
      <c r="T64" s="9" t="n">
        <f aca="false">((Assumptions!$C$122*$C$10)*T46)</f>
        <v>0</v>
      </c>
      <c r="U64" s="9" t="n">
        <f aca="false">((Assumptions!$C$122*$C$10)*U46)</f>
        <v>0</v>
      </c>
      <c r="V64" s="9" t="n">
        <f aca="false">((Assumptions!$C$122*$C$10)*V46)</f>
        <v>42000</v>
      </c>
      <c r="W64" s="9" t="n">
        <f aca="false">((Assumptions!$C$122*$C$10)*W46)</f>
        <v>0</v>
      </c>
      <c r="X64" s="9" t="n">
        <f aca="false">((Assumptions!$C$122*$C$10)*X46)</f>
        <v>0</v>
      </c>
      <c r="Y64" s="9" t="n">
        <f aca="false">((Assumptions!$C$122*$C$10)*Y46)</f>
        <v>63000</v>
      </c>
      <c r="Z64" s="9" t="n">
        <f aca="false">((Assumptions!$C$122*$C$10)*Z46)</f>
        <v>0</v>
      </c>
      <c r="AA64" s="9" t="n">
        <f aca="false">((Assumptions!$C$122*$C$10)*AA46)</f>
        <v>0</v>
      </c>
      <c r="AB64" s="9" t="n">
        <f aca="false">((Assumptions!$C$122*$C$10)*AB46)</f>
        <v>63000</v>
      </c>
      <c r="AC64" s="9" t="n">
        <f aca="false">((Assumptions!$C$122*$C$10)*AC46)</f>
        <v>0</v>
      </c>
      <c r="AD64" s="9" t="n">
        <f aca="false">((Assumptions!$C$122*$C$10)*AD46)</f>
        <v>0</v>
      </c>
      <c r="AE64" s="9" t="n">
        <f aca="false">((Assumptions!$C$122*$C$10)*AE46)</f>
        <v>63000</v>
      </c>
      <c r="AF64" s="9" t="n">
        <f aca="false">((Assumptions!$C$122*$C$10)*AF46)</f>
        <v>0</v>
      </c>
      <c r="AG64" s="9" t="n">
        <f aca="false">((Assumptions!$C$122*$C$10)*AG46)</f>
        <v>0</v>
      </c>
      <c r="AH64" s="9" t="n">
        <f aca="false">((Assumptions!$C$122*$C$10)*AH46)</f>
        <v>84000</v>
      </c>
      <c r="AI64" s="9" t="n">
        <f aca="false">((Assumptions!$C$122*$C$10)*AI46)</f>
        <v>0</v>
      </c>
      <c r="AJ64" s="9" t="n">
        <f aca="false">((Assumptions!$C$122*$C$10)*AJ46)</f>
        <v>0</v>
      </c>
      <c r="AK64" s="9" t="n">
        <f aca="false">((Assumptions!$C$122*$C$10)*AK46)</f>
        <v>84000</v>
      </c>
      <c r="AL64" s="9" t="n">
        <f aca="false">((Assumptions!$C$122*$C$10)*AL46)</f>
        <v>0</v>
      </c>
      <c r="AN64" s="11" t="n">
        <f aca="false">SUM(C64:N64)</f>
        <v>21000</v>
      </c>
      <c r="AO64" s="11" t="n">
        <f aca="false">SUM(O64:Z64)</f>
        <v>168000</v>
      </c>
      <c r="AP64" s="11" t="n">
        <f aca="false">SUM(AA64:AL64)</f>
        <v>294000</v>
      </c>
    </row>
    <row r="65" customFormat="false" ht="15" hidden="false" customHeight="false" outlineLevel="0" collapsed="false">
      <c r="A65" s="0" t="s">
        <v>871</v>
      </c>
      <c r="B65" s="0" t="s">
        <v>230</v>
      </c>
      <c r="C65" s="9" t="n">
        <f aca="false">((Assumptions!$C$123*$C$10)+(Assumptions!$C$34*Assumptions!$C$35))</f>
        <v>21000</v>
      </c>
      <c r="D65" s="9" t="n">
        <f aca="false">((Assumptions!$C$123*$C$10)+(Assumptions!$C$34*Assumptions!$C$35))</f>
        <v>21000</v>
      </c>
      <c r="E65" s="9" t="n">
        <f aca="false">((Assumptions!$C$123*$C$10)+(Assumptions!$C$34*Assumptions!$C$35))</f>
        <v>21000</v>
      </c>
      <c r="F65" s="9" t="n">
        <f aca="false">((Assumptions!$C$123*$C$10)+(Assumptions!$C$34*Assumptions!$C$35))</f>
        <v>21000</v>
      </c>
      <c r="G65" s="9" t="n">
        <f aca="false">((Assumptions!$C$123*$C$10)+(Assumptions!$C$34*Assumptions!$C$35))</f>
        <v>21000</v>
      </c>
      <c r="H65" s="9" t="n">
        <f aca="false">((Assumptions!$C$123*$C$10)+(Assumptions!$C$34*Assumptions!$C$35))</f>
        <v>21000</v>
      </c>
      <c r="I65" s="9" t="n">
        <f aca="false">((Assumptions!$C$123*$C$10)+(Assumptions!$C$34*Assumptions!$C$35))</f>
        <v>21000</v>
      </c>
      <c r="J65" s="9" t="n">
        <f aca="false">((Assumptions!$C$123*$C$10)+(Assumptions!$C$34*Assumptions!$C$35))</f>
        <v>21000</v>
      </c>
      <c r="K65" s="9" t="n">
        <f aca="false">((Assumptions!$C$123*$C$10)+(Assumptions!$C$34*Assumptions!$C$35))</f>
        <v>21000</v>
      </c>
      <c r="L65" s="9" t="n">
        <f aca="false">((Assumptions!$C$123*$C$10)+(Assumptions!$C$34*Assumptions!$C$35))</f>
        <v>21000</v>
      </c>
      <c r="M65" s="9" t="n">
        <f aca="false">((Assumptions!$C$123*$C$10)+(Assumptions!$C$34*Assumptions!$C$35))</f>
        <v>21000</v>
      </c>
      <c r="N65" s="9" t="n">
        <f aca="false">((Assumptions!$C$123*$C$10)+(Assumptions!$C$34*Assumptions!$C$35))</f>
        <v>21000</v>
      </c>
      <c r="O65" s="9" t="n">
        <f aca="false">((Assumptions!$C$123*$C$10)+(Assumptions!$C$34*Assumptions!$C$35))</f>
        <v>21000</v>
      </c>
      <c r="P65" s="9" t="n">
        <f aca="false">((Assumptions!$C$123*$C$10)+(Assumptions!$C$34*Assumptions!$C$35))</f>
        <v>21000</v>
      </c>
      <c r="Q65" s="9" t="n">
        <f aca="false">((Assumptions!$C$123*$C$10)+(Assumptions!$C$34*Assumptions!$C$35))</f>
        <v>21000</v>
      </c>
      <c r="R65" s="9" t="n">
        <f aca="false">((Assumptions!$C$123*$C$10)+(Assumptions!$C$34*Assumptions!$C$35))</f>
        <v>21000</v>
      </c>
      <c r="S65" s="9" t="n">
        <f aca="false">((Assumptions!$C$123*$C$10)+(Assumptions!$C$34*Assumptions!$C$35))</f>
        <v>21000</v>
      </c>
      <c r="T65" s="9" t="n">
        <f aca="false">((Assumptions!$C$123*$C$10)+(Assumptions!$C$34*Assumptions!$C$35))</f>
        <v>21000</v>
      </c>
      <c r="U65" s="9" t="n">
        <f aca="false">((Assumptions!$C$123*$C$10)+(Assumptions!$C$34*Assumptions!$C$35))</f>
        <v>21000</v>
      </c>
      <c r="V65" s="9" t="n">
        <f aca="false">((Assumptions!$C$123*$C$10)+(Assumptions!$C$34*Assumptions!$C$35))</f>
        <v>21000</v>
      </c>
      <c r="W65" s="9" t="n">
        <f aca="false">((Assumptions!$C$123*$C$10)+(Assumptions!$C$34*Assumptions!$C$35))</f>
        <v>21000</v>
      </c>
      <c r="X65" s="9" t="n">
        <f aca="false">((Assumptions!$C$123*$C$10)+(Assumptions!$C$34*Assumptions!$C$35))</f>
        <v>21000</v>
      </c>
      <c r="Y65" s="9" t="n">
        <f aca="false">((Assumptions!$C$123*$C$10)+(Assumptions!$C$34*Assumptions!$C$35))</f>
        <v>21000</v>
      </c>
      <c r="Z65" s="9" t="n">
        <f aca="false">((Assumptions!$C$123*$C$10)+(Assumptions!$C$34*Assumptions!$C$35))</f>
        <v>21000</v>
      </c>
      <c r="AA65" s="9" t="n">
        <f aca="false">((Assumptions!$C$123*$C$10)+(Assumptions!$C$34*Assumptions!$C$35))</f>
        <v>21000</v>
      </c>
      <c r="AB65" s="9" t="n">
        <f aca="false">((Assumptions!$C$123*$C$10)+(Assumptions!$C$34*Assumptions!$C$35))</f>
        <v>21000</v>
      </c>
      <c r="AC65" s="9" t="n">
        <f aca="false">((Assumptions!$C$123*$C$10)+(Assumptions!$C$34*Assumptions!$C$35))</f>
        <v>21000</v>
      </c>
      <c r="AD65" s="9" t="n">
        <f aca="false">((Assumptions!$C$123*$C$10)+(Assumptions!$C$34*Assumptions!$C$35))</f>
        <v>21000</v>
      </c>
      <c r="AE65" s="9" t="n">
        <f aca="false">((Assumptions!$C$123*$C$10)+(Assumptions!$C$34*Assumptions!$C$35))</f>
        <v>21000</v>
      </c>
      <c r="AF65" s="9" t="n">
        <f aca="false">((Assumptions!$C$123*$C$10)+(Assumptions!$C$34*Assumptions!$C$35))</f>
        <v>21000</v>
      </c>
      <c r="AG65" s="9" t="n">
        <f aca="false">((Assumptions!$C$123*$C$10)+(Assumptions!$C$34*Assumptions!$C$35))</f>
        <v>21000</v>
      </c>
      <c r="AH65" s="9" t="n">
        <f aca="false">((Assumptions!$C$123*$C$10)+(Assumptions!$C$34*Assumptions!$C$35))</f>
        <v>21000</v>
      </c>
      <c r="AI65" s="9" t="n">
        <f aca="false">((Assumptions!$C$123*$C$10)+(Assumptions!$C$34*Assumptions!$C$35))</f>
        <v>21000</v>
      </c>
      <c r="AJ65" s="9" t="n">
        <f aca="false">((Assumptions!$C$123*$C$10)+(Assumptions!$C$34*Assumptions!$C$35))</f>
        <v>21000</v>
      </c>
      <c r="AK65" s="9" t="n">
        <f aca="false">((Assumptions!$C$123*$C$10)+(Assumptions!$C$34*Assumptions!$C$35))</f>
        <v>21000</v>
      </c>
      <c r="AL65" s="9" t="n">
        <f aca="false">((Assumptions!$C$123*$C$10)+(Assumptions!$C$34*Assumptions!$C$35))</f>
        <v>21000</v>
      </c>
    </row>
    <row r="66" customFormat="false" ht="15" hidden="false" customHeight="false" outlineLevel="0" collapsed="false">
      <c r="A66" s="0" t="s">
        <v>872</v>
      </c>
      <c r="B66" s="0" t="s">
        <v>230</v>
      </c>
      <c r="C66" s="9" t="n">
        <f aca="false">((C65/3)*C50)</f>
        <v>0</v>
      </c>
      <c r="D66" s="9" t="n">
        <f aca="false">((D65/3)*SUM(C50:D50))</f>
        <v>0</v>
      </c>
      <c r="E66" s="9" t="n">
        <f aca="false">((E65/3)*SUM(C50:E50))</f>
        <v>0</v>
      </c>
      <c r="F66" s="9" t="n">
        <f aca="false">((F65/3)*SUM(D50:F50))</f>
        <v>0</v>
      </c>
      <c r="G66" s="9" t="n">
        <f aca="false">((G65/3)*SUM(E50:G50))</f>
        <v>0</v>
      </c>
      <c r="H66" s="9" t="n">
        <f aca="false">((H65/3)*SUM(F50:H50))</f>
        <v>0</v>
      </c>
      <c r="I66" s="9" t="n">
        <f aca="false">((I65/3)*SUM(G50:I50))</f>
        <v>0</v>
      </c>
      <c r="J66" s="9" t="n">
        <f aca="false">((J65/3)*SUM(H50:J50))</f>
        <v>0</v>
      </c>
      <c r="K66" s="9" t="n">
        <f aca="false">((K65/3)*SUM(I50:K50))</f>
        <v>0</v>
      </c>
      <c r="L66" s="9" t="n">
        <f aca="false">((L65/3)*SUM(J50:L50))</f>
        <v>0</v>
      </c>
      <c r="M66" s="9" t="n">
        <f aca="false">((M65/3)*SUM(K50:M50))</f>
        <v>9800</v>
      </c>
      <c r="N66" s="9" t="n">
        <f aca="false">((N65/3)*SUM(L50:N50))</f>
        <v>9800</v>
      </c>
      <c r="O66" s="9" t="n">
        <f aca="false">((O65/3)*SUM(M50:O50))</f>
        <v>9800</v>
      </c>
      <c r="P66" s="9" t="n">
        <f aca="false">((P65/3)*SUM(N50:P50))</f>
        <v>9800</v>
      </c>
      <c r="Q66" s="9" t="n">
        <f aca="false">((Q65/3)*SUM(O50:Q50))</f>
        <v>9800</v>
      </c>
      <c r="R66" s="9" t="n">
        <f aca="false">((R65/3)*SUM(P50:R50))</f>
        <v>9800</v>
      </c>
      <c r="S66" s="9" t="n">
        <f aca="false">((S65/3)*SUM(Q50:S50))</f>
        <v>19600</v>
      </c>
      <c r="T66" s="9" t="n">
        <f aca="false">((T65/3)*SUM(R50:T50))</f>
        <v>19600</v>
      </c>
      <c r="U66" s="9" t="n">
        <f aca="false">((U65/3)*SUM(S50:U50))</f>
        <v>19600</v>
      </c>
      <c r="V66" s="9" t="n">
        <f aca="false">((V65/3)*SUM(T50:V50))</f>
        <v>19600</v>
      </c>
      <c r="W66" s="9" t="n">
        <f aca="false">((W65/3)*SUM(U50:W50))</f>
        <v>29400</v>
      </c>
      <c r="X66" s="9" t="n">
        <f aca="false">((X65/3)*SUM(V50:X50))</f>
        <v>29400</v>
      </c>
      <c r="Y66" s="9" t="n">
        <f aca="false">((Y65/3)*SUM(W50:Y50))</f>
        <v>39200</v>
      </c>
      <c r="Z66" s="9" t="n">
        <f aca="false">((Z65/3)*SUM(X50:Z50))</f>
        <v>39200</v>
      </c>
      <c r="AA66" s="9" t="n">
        <f aca="false">((AA65/3)*SUM(Y50:AA50))</f>
        <v>39200</v>
      </c>
      <c r="AB66" s="9" t="n">
        <f aca="false">((AB65/3)*SUM(Z50:AB50))</f>
        <v>39200</v>
      </c>
      <c r="AC66" s="9" t="n">
        <f aca="false">((AC65/3)*SUM(AA50:AC50))</f>
        <v>49000</v>
      </c>
      <c r="AD66" s="9" t="n">
        <f aca="false">((AD65/3)*SUM(AB50:AD50))</f>
        <v>49000</v>
      </c>
      <c r="AE66" s="9" t="n">
        <f aca="false">((AE65/3)*SUM(AC50:AE50))</f>
        <v>49000</v>
      </c>
      <c r="AF66" s="9" t="n">
        <f aca="false">((AF65/3)*SUM(AD50:AF50))</f>
        <v>49000</v>
      </c>
      <c r="AG66" s="9" t="n">
        <f aca="false">((AG65/3)*SUM(AE50:AG50))</f>
        <v>49000</v>
      </c>
      <c r="AH66" s="9" t="n">
        <f aca="false">((AH65/3)*SUM(AF50:AH50))</f>
        <v>58800</v>
      </c>
      <c r="AI66" s="9" t="n">
        <f aca="false">((AI65/3)*SUM(AG50:AI50))</f>
        <v>68600</v>
      </c>
      <c r="AJ66" s="9" t="n">
        <f aca="false">((AJ65/3)*SUM(AH50:AJ50))</f>
        <v>68600</v>
      </c>
      <c r="AK66" s="9" t="n">
        <f aca="false">((AK65/3)*SUM(AI50:AK50))</f>
        <v>68600</v>
      </c>
      <c r="AL66" s="9" t="n">
        <f aca="false">((AL65/3)*SUM(AJ50:AL50))</f>
        <v>68600</v>
      </c>
      <c r="AN66" s="11" t="n">
        <f aca="false">SUM(C66:N66)</f>
        <v>19600</v>
      </c>
      <c r="AO66" s="11" t="n">
        <f aca="false">SUM(O66:Z66)</f>
        <v>254800</v>
      </c>
      <c r="AP66" s="11" t="n">
        <f aca="false">SUM(AA66:AL66)</f>
        <v>656600</v>
      </c>
    </row>
    <row r="67" customFormat="false" ht="15" hidden="false" customHeight="false" outlineLevel="0" collapsed="false">
      <c r="A67" s="0" t="s">
        <v>873</v>
      </c>
      <c r="B67" s="0" t="s">
        <v>230</v>
      </c>
      <c r="C67" s="9" t="n">
        <f aca="false">(C65*C50)</f>
        <v>0</v>
      </c>
      <c r="D67" s="9" t="n">
        <f aca="false">(D65*D50)</f>
        <v>0</v>
      </c>
      <c r="E67" s="9" t="n">
        <f aca="false">(E65*E50)</f>
        <v>0</v>
      </c>
      <c r="F67" s="9" t="n">
        <f aca="false">(F65*F50)</f>
        <v>0</v>
      </c>
      <c r="G67" s="9" t="n">
        <f aca="false">(G65*G50)</f>
        <v>0</v>
      </c>
      <c r="H67" s="9" t="n">
        <f aca="false">(H65*H50)</f>
        <v>0</v>
      </c>
      <c r="I67" s="9" t="n">
        <f aca="false">(I65*I50)</f>
        <v>0</v>
      </c>
      <c r="J67" s="9" t="n">
        <f aca="false">(J65*J50)</f>
        <v>0</v>
      </c>
      <c r="K67" s="9" t="n">
        <f aca="false">(K65*K50)</f>
        <v>0</v>
      </c>
      <c r="L67" s="9" t="n">
        <f aca="false">(L65*L50)</f>
        <v>0</v>
      </c>
      <c r="M67" s="9" t="n">
        <f aca="false">(M65*M50)</f>
        <v>29400</v>
      </c>
      <c r="N67" s="9" t="n">
        <f aca="false">(N65*N50)</f>
        <v>0</v>
      </c>
      <c r="O67" s="9" t="n">
        <f aca="false">(O65*O50)</f>
        <v>0</v>
      </c>
      <c r="P67" s="9" t="n">
        <f aca="false">(P65*P50)</f>
        <v>29400</v>
      </c>
      <c r="Q67" s="9" t="n">
        <f aca="false">(Q65*Q50)</f>
        <v>0</v>
      </c>
      <c r="R67" s="9" t="n">
        <f aca="false">(R65*R50)</f>
        <v>0</v>
      </c>
      <c r="S67" s="9" t="n">
        <f aca="false">(S65*S50)</f>
        <v>58800</v>
      </c>
      <c r="T67" s="9" t="n">
        <f aca="false">(T65*T50)</f>
        <v>0</v>
      </c>
      <c r="U67" s="9" t="n">
        <f aca="false">(U65*U50)</f>
        <v>0</v>
      </c>
      <c r="V67" s="9" t="n">
        <f aca="false">(V65*V50)</f>
        <v>58800</v>
      </c>
      <c r="W67" s="9" t="n">
        <f aca="false">(W65*W50)</f>
        <v>29400</v>
      </c>
      <c r="X67" s="9" t="n">
        <f aca="false">(X65*X50)</f>
        <v>0</v>
      </c>
      <c r="Y67" s="9" t="n">
        <f aca="false">(Y65*Y50)</f>
        <v>88200</v>
      </c>
      <c r="Z67" s="9" t="n">
        <f aca="false">(Z65*Z50)</f>
        <v>29400</v>
      </c>
      <c r="AA67" s="9" t="n">
        <f aca="false">(AA65*AA50)</f>
        <v>0</v>
      </c>
      <c r="AB67" s="9" t="n">
        <f aca="false">(AB65*AB50)</f>
        <v>88200</v>
      </c>
      <c r="AC67" s="9" t="n">
        <f aca="false">(AC65*AC50)</f>
        <v>58800</v>
      </c>
      <c r="AD67" s="9" t="n">
        <f aca="false">(AD65*AD50)</f>
        <v>0</v>
      </c>
      <c r="AE67" s="9" t="n">
        <f aca="false">(AE65*AE50)</f>
        <v>88200</v>
      </c>
      <c r="AF67" s="9" t="n">
        <f aca="false">(AF65*AF50)</f>
        <v>58800</v>
      </c>
      <c r="AG67" s="9" t="n">
        <f aca="false">(AG65*AG50)</f>
        <v>0</v>
      </c>
      <c r="AH67" s="9" t="n">
        <f aca="false">(AH65*AH50)</f>
        <v>117600</v>
      </c>
      <c r="AI67" s="9" t="n">
        <f aca="false">(AI65*AI50)</f>
        <v>88200</v>
      </c>
      <c r="AJ67" s="9" t="n">
        <f aca="false">(AJ65*AJ50)</f>
        <v>0</v>
      </c>
      <c r="AK67" s="9" t="n">
        <f aca="false">(AK65*AK50)</f>
        <v>117600</v>
      </c>
      <c r="AL67" s="9" t="n">
        <f aca="false">(AL65*AL50)</f>
        <v>88200</v>
      </c>
      <c r="AN67" s="11" t="n">
        <f aca="false">SUM(C67:N67)</f>
        <v>29400</v>
      </c>
      <c r="AO67" s="11" t="n">
        <f aca="false">SUM(O67:Z67)</f>
        <v>294000</v>
      </c>
      <c r="AP67" s="11" t="n">
        <f aca="false">SUM(AA67:AL67)</f>
        <v>705600</v>
      </c>
    </row>
    <row r="68" customFormat="false" ht="15" hidden="false" customHeight="false" outlineLevel="0" collapsed="false">
      <c r="A68" s="0" t="s">
        <v>874</v>
      </c>
      <c r="B68" s="0" t="s">
        <v>285</v>
      </c>
      <c r="C68" s="9" t="n">
        <f aca="false">((C47*Assumptions!$C$124)+(C50*(Assumptions!$C$124+(Assumptions!$C$34*Assumptions!$C$36))))</f>
        <v>0</v>
      </c>
      <c r="D68" s="9" t="n">
        <f aca="false">((D47*Assumptions!$C$124)+(D50*(Assumptions!$C$124+(Assumptions!$C$34*Assumptions!$C$36))))</f>
        <v>0</v>
      </c>
      <c r="E68" s="9" t="n">
        <f aca="false">((E47*Assumptions!$C$124)+(E50*(Assumptions!$C$124+(Assumptions!$C$34*Assumptions!$C$36))))</f>
        <v>0</v>
      </c>
      <c r="F68" s="9" t="n">
        <f aca="false">((F47*Assumptions!$C$124)+(F50*(Assumptions!$C$124+(Assumptions!$C$34*Assumptions!$C$36))))</f>
        <v>0</v>
      </c>
      <c r="G68" s="9" t="n">
        <f aca="false">((G47*Assumptions!$C$124)+(G50*(Assumptions!$C$124+(Assumptions!$C$34*Assumptions!$C$36))))</f>
        <v>115</v>
      </c>
      <c r="H68" s="9" t="n">
        <f aca="false">((H47*Assumptions!$C$124)+(H50*(Assumptions!$C$124+(Assumptions!$C$34*Assumptions!$C$36))))</f>
        <v>0</v>
      </c>
      <c r="I68" s="9" t="n">
        <f aca="false">((I47*Assumptions!$C$124)+(I50*(Assumptions!$C$124+(Assumptions!$C$34*Assumptions!$C$36))))</f>
        <v>0</v>
      </c>
      <c r="J68" s="9" t="n">
        <f aca="false">((J47*Assumptions!$C$124)+(J50*(Assumptions!$C$124+(Assumptions!$C$34*Assumptions!$C$36))))</f>
        <v>0</v>
      </c>
      <c r="K68" s="9" t="n">
        <f aca="false">((K47*Assumptions!$C$124)+(K50*(Assumptions!$C$124+(Assumptions!$C$34*Assumptions!$C$36))))</f>
        <v>0</v>
      </c>
      <c r="L68" s="9" t="n">
        <f aca="false">((L47*Assumptions!$C$124)+(L50*(Assumptions!$C$124+(Assumptions!$C$34*Assumptions!$C$36))))</f>
        <v>0</v>
      </c>
      <c r="M68" s="9" t="n">
        <f aca="false">((M47*Assumptions!$C$124)+(M50*(Assumptions!$C$124+(Assumptions!$C$34*Assumptions!$C$36))))</f>
        <v>222.6</v>
      </c>
      <c r="N68" s="9" t="n">
        <f aca="false">((N47*Assumptions!$C$124)+(N50*(Assumptions!$C$124+(Assumptions!$C$34*Assumptions!$C$36))))</f>
        <v>0</v>
      </c>
      <c r="O68" s="9" t="n">
        <f aca="false">((O47*Assumptions!$C$124)+(O50*(Assumptions!$C$124+(Assumptions!$C$34*Assumptions!$C$36))))</f>
        <v>0</v>
      </c>
      <c r="P68" s="9" t="n">
        <f aca="false">((P47*Assumptions!$C$124)+(P50*(Assumptions!$C$124+(Assumptions!$C$34*Assumptions!$C$36))))</f>
        <v>222.6</v>
      </c>
      <c r="Q68" s="9" t="n">
        <f aca="false">((Q47*Assumptions!$C$124)+(Q50*(Assumptions!$C$124+(Assumptions!$C$34*Assumptions!$C$36))))</f>
        <v>0</v>
      </c>
      <c r="R68" s="9" t="n">
        <f aca="false">((R47*Assumptions!$C$124)+(R50*(Assumptions!$C$124+(Assumptions!$C$34*Assumptions!$C$36))))</f>
        <v>0</v>
      </c>
      <c r="S68" s="9" t="n">
        <f aca="false">((S47*Assumptions!$C$124)+(S50*(Assumptions!$C$124+(Assumptions!$C$34*Assumptions!$C$36))))</f>
        <v>445.2</v>
      </c>
      <c r="T68" s="9" t="n">
        <f aca="false">((T47*Assumptions!$C$124)+(T50*(Assumptions!$C$124+(Assumptions!$C$34*Assumptions!$C$36))))</f>
        <v>0</v>
      </c>
      <c r="U68" s="9" t="n">
        <f aca="false">((U47*Assumptions!$C$124)+(U50*(Assumptions!$C$124+(Assumptions!$C$34*Assumptions!$C$36))))</f>
        <v>0</v>
      </c>
      <c r="V68" s="9" t="n">
        <f aca="false">((V47*Assumptions!$C$124)+(V50*(Assumptions!$C$124+(Assumptions!$C$34*Assumptions!$C$36))))</f>
        <v>445.2</v>
      </c>
      <c r="W68" s="9" t="n">
        <f aca="false">((W47*Assumptions!$C$124)+(W50*(Assumptions!$C$124+(Assumptions!$C$34*Assumptions!$C$36))))</f>
        <v>222.6</v>
      </c>
      <c r="X68" s="9" t="n">
        <f aca="false">((X47*Assumptions!$C$124)+(X50*(Assumptions!$C$124+(Assumptions!$C$34*Assumptions!$C$36))))</f>
        <v>0</v>
      </c>
      <c r="Y68" s="9" t="n">
        <f aca="false">((Y47*Assumptions!$C$124)+(Y50*(Assumptions!$C$124+(Assumptions!$C$34*Assumptions!$C$36))))</f>
        <v>667.8</v>
      </c>
      <c r="Z68" s="9" t="n">
        <f aca="false">((Z47*Assumptions!$C$124)+(Z50*(Assumptions!$C$124+(Assumptions!$C$34*Assumptions!$C$36))))</f>
        <v>222.6</v>
      </c>
      <c r="AA68" s="9" t="n">
        <f aca="false">((AA47*Assumptions!$C$124)+(AA50*(Assumptions!$C$124+(Assumptions!$C$34*Assumptions!$C$36))))</f>
        <v>0</v>
      </c>
      <c r="AB68" s="9" t="n">
        <f aca="false">((AB47*Assumptions!$C$124)+(AB50*(Assumptions!$C$124+(Assumptions!$C$34*Assumptions!$C$36))))</f>
        <v>667.8</v>
      </c>
      <c r="AC68" s="9" t="n">
        <f aca="false">((AC47*Assumptions!$C$124)+(AC50*(Assumptions!$C$124+(Assumptions!$C$34*Assumptions!$C$36))))</f>
        <v>445.2</v>
      </c>
      <c r="AD68" s="9" t="n">
        <f aca="false">((AD47*Assumptions!$C$124)+(AD50*(Assumptions!$C$124+(Assumptions!$C$34*Assumptions!$C$36))))</f>
        <v>0</v>
      </c>
      <c r="AE68" s="9" t="n">
        <f aca="false">((AE47*Assumptions!$C$124)+(AE50*(Assumptions!$C$124+(Assumptions!$C$34*Assumptions!$C$36))))</f>
        <v>667.8</v>
      </c>
      <c r="AF68" s="9" t="n">
        <f aca="false">((AF47*Assumptions!$C$124)+(AF50*(Assumptions!$C$124+(Assumptions!$C$34*Assumptions!$C$36))))</f>
        <v>445.2</v>
      </c>
      <c r="AG68" s="9" t="n">
        <f aca="false">((AG47*Assumptions!$C$124)+(AG50*(Assumptions!$C$124+(Assumptions!$C$34*Assumptions!$C$36))))</f>
        <v>0</v>
      </c>
      <c r="AH68" s="9" t="n">
        <f aca="false">((AH47*Assumptions!$C$124)+(AH50*(Assumptions!$C$124+(Assumptions!$C$34*Assumptions!$C$36))))</f>
        <v>890.4</v>
      </c>
      <c r="AI68" s="9" t="n">
        <f aca="false">((AI47*Assumptions!$C$124)+(AI50*(Assumptions!$C$124+(Assumptions!$C$34*Assumptions!$C$36))))</f>
        <v>667.8</v>
      </c>
      <c r="AJ68" s="9" t="n">
        <f aca="false">((AJ47*Assumptions!$C$124)+(AJ50*(Assumptions!$C$124+(Assumptions!$C$34*Assumptions!$C$36))))</f>
        <v>0</v>
      </c>
      <c r="AK68" s="9" t="n">
        <f aca="false">((AK47*Assumptions!$C$124)+(AK50*(Assumptions!$C$124+(Assumptions!$C$34*Assumptions!$C$36))))</f>
        <v>890.4</v>
      </c>
      <c r="AL68" s="9" t="n">
        <f aca="false">((AL47*Assumptions!$C$124)+(AL50*(Assumptions!$C$124+(Assumptions!$C$34*Assumptions!$C$36))))</f>
        <v>667.8</v>
      </c>
      <c r="AN68" s="11" t="n">
        <f aca="false">SUM(C68:N68)</f>
        <v>337.6</v>
      </c>
      <c r="AO68" s="11" t="n">
        <f aca="false">SUM(O68:Z68)</f>
        <v>2226</v>
      </c>
      <c r="AP68" s="11" t="n">
        <f aca="false">SUM(AA68:AL68)</f>
        <v>5342.4</v>
      </c>
    </row>
    <row r="69" customFormat="false" ht="15" hidden="false" customHeight="false" outlineLevel="0" collapsed="false">
      <c r="A69" s="0" t="s">
        <v>875</v>
      </c>
      <c r="B69" s="0" t="s">
        <v>852</v>
      </c>
      <c r="C69" s="14" t="n">
        <f aca="false">((IF(OR((C$18-(Assumptions!$C$7-1)-$C$9)&lt;1,(C$18-(Assumptions!$C$7-1)-$C$9)&gt;36),0,INDEX(Schedules!$C$6:$AL$6,(C$18-(Assumptions!$C$7-1)-$C$9)))*$C$7)*C44)</f>
        <v>0</v>
      </c>
      <c r="D69" s="14" t="n">
        <f aca="false">((IF(OR((D$18-(Assumptions!$C$7-1)-$C$9)&lt;1,(D$18-(Assumptions!$C$7-1)-$C$9)&gt;36),0,INDEX(Schedules!$C$6:$AL$6,(D$18-(Assumptions!$C$7-1)-$C$9)))*$C$7)*D44)</f>
        <v>0</v>
      </c>
      <c r="E69" s="14" t="n">
        <f aca="false">((IF(OR((E$18-(Assumptions!$C$7-1)-$C$9)&lt;1,(E$18-(Assumptions!$C$7-1)-$C$9)&gt;36),0,INDEX(Schedules!$C$6:$AL$6,(E$18-(Assumptions!$C$7-1)-$C$9)))*$C$7)*E44)</f>
        <v>0</v>
      </c>
      <c r="F69" s="14" t="n">
        <f aca="false">((IF(OR((F$18-(Assumptions!$C$7-1)-$C$9)&lt;1,(F$18-(Assumptions!$C$7-1)-$C$9)&gt;36),0,INDEX(Schedules!$C$6:$AL$6,(F$18-(Assumptions!$C$7-1)-$C$9)))*$C$7)*F44)</f>
        <v>0</v>
      </c>
      <c r="G69" s="14" t="n">
        <f aca="false">((IF(OR((G$18-(Assumptions!$C$7-1)-$C$9)&lt;1,(G$18-(Assumptions!$C$7-1)-$C$9)&gt;36),0,INDEX(Schedules!$C$6:$AL$6,(G$18-(Assumptions!$C$7-1)-$C$9)))*$C$7)*G44)</f>
        <v>0</v>
      </c>
      <c r="H69" s="14" t="n">
        <f aca="false">((IF(OR((H$18-(Assumptions!$C$7-1)-$C$9)&lt;1,(H$18-(Assumptions!$C$7-1)-$C$9)&gt;36),0,INDEX(Schedules!$C$6:$AL$6,(H$18-(Assumptions!$C$7-1)-$C$9)))*$C$7)*H44)</f>
        <v>0</v>
      </c>
      <c r="I69" s="14" t="n">
        <f aca="false">((IF(OR((I$18-(Assumptions!$C$7-1)-$C$9)&lt;1,(I$18-(Assumptions!$C$7-1)-$C$9)&gt;36),0,INDEX(Schedules!$C$6:$AL$6,(I$18-(Assumptions!$C$7-1)-$C$9)))*$C$7)*I44)</f>
        <v>0</v>
      </c>
      <c r="J69" s="14" t="n">
        <f aca="false">((IF(OR((J$18-(Assumptions!$C$7-1)-$C$9)&lt;1,(J$18-(Assumptions!$C$7-1)-$C$9)&gt;36),0,INDEX(Schedules!$C$6:$AL$6,(J$18-(Assumptions!$C$7-1)-$C$9)))*$C$7)*J44)</f>
        <v>0</v>
      </c>
      <c r="K69" s="14" t="n">
        <f aca="false">((IF(OR((K$18-(Assumptions!$C$7-1)-$C$9)&lt;1,(K$18-(Assumptions!$C$7-1)-$C$9)&gt;36),0,INDEX(Schedules!$C$6:$AL$6,(K$18-(Assumptions!$C$7-1)-$C$9)))*$C$7)*K44)</f>
        <v>0</v>
      </c>
      <c r="L69" s="14" t="n">
        <f aca="false">((IF(OR((L$18-(Assumptions!$C$7-1)-$C$9)&lt;1,(L$18-(Assumptions!$C$7-1)-$C$9)&gt;36),0,INDEX(Schedules!$C$6:$AL$6,(L$18-(Assumptions!$C$7-1)-$C$9)))*$C$7)*L44)</f>
        <v>0</v>
      </c>
      <c r="M69" s="14" t="n">
        <f aca="false">((IF(OR((M$18-(Assumptions!$C$7-1)-$C$9)&lt;1,(M$18-(Assumptions!$C$7-1)-$C$9)&gt;36),0,INDEX(Schedules!$C$6:$AL$6,(M$18-(Assumptions!$C$7-1)-$C$9)))*$C$7)*M44)</f>
        <v>0</v>
      </c>
      <c r="N69" s="14" t="n">
        <f aca="false">((IF(OR((N$18-(Assumptions!$C$7-1)-$C$9)&lt;1,(N$18-(Assumptions!$C$7-1)-$C$9)&gt;36),0,INDEX(Schedules!$C$6:$AL$6,(N$18-(Assumptions!$C$7-1)-$C$9)))*$C$7)*N44)</f>
        <v>0</v>
      </c>
      <c r="O69" s="14" t="n">
        <f aca="false">((IF(OR((O$18-(Assumptions!$C$7-1)-$C$9)&lt;1,(O$18-(Assumptions!$C$7-1)-$C$9)&gt;36),0,INDEX(Schedules!$C$6:$AL$6,(O$18-(Assumptions!$C$7-1)-$C$9)))*$C$7)*O44)</f>
        <v>0</v>
      </c>
      <c r="P69" s="14" t="n">
        <f aca="false">((IF(OR((P$18-(Assumptions!$C$7-1)-$C$9)&lt;1,(P$18-(Assumptions!$C$7-1)-$C$9)&gt;36),0,INDEX(Schedules!$C$6:$AL$6,(P$18-(Assumptions!$C$7-1)-$C$9)))*$C$7)*P44)</f>
        <v>1.4</v>
      </c>
      <c r="Q69" s="14" t="n">
        <f aca="false">((IF(OR((Q$18-(Assumptions!$C$7-1)-$C$9)&lt;1,(Q$18-(Assumptions!$C$7-1)-$C$9)&gt;36),0,INDEX(Schedules!$C$6:$AL$6,(Q$18-(Assumptions!$C$7-1)-$C$9)))*$C$7)*Q44)</f>
        <v>0</v>
      </c>
      <c r="R69" s="14" t="n">
        <f aca="false">((IF(OR((R$18-(Assumptions!$C$7-1)-$C$9)&lt;1,(R$18-(Assumptions!$C$7-1)-$C$9)&gt;36),0,INDEX(Schedules!$C$6:$AL$6,(R$18-(Assumptions!$C$7-1)-$C$9)))*$C$7)*R44)</f>
        <v>0</v>
      </c>
      <c r="S69" s="14" t="n">
        <f aca="false">((IF(OR((S$18-(Assumptions!$C$7-1)-$C$9)&lt;1,(S$18-(Assumptions!$C$7-1)-$C$9)&gt;36),0,INDEX(Schedules!$C$6:$AL$6,(S$18-(Assumptions!$C$7-1)-$C$9)))*$C$7)*S44)</f>
        <v>1.4</v>
      </c>
      <c r="T69" s="14" t="n">
        <f aca="false">((IF(OR((T$18-(Assumptions!$C$7-1)-$C$9)&lt;1,(T$18-(Assumptions!$C$7-1)-$C$9)&gt;36),0,INDEX(Schedules!$C$6:$AL$6,(T$18-(Assumptions!$C$7-1)-$C$9)))*$C$7)*T44)</f>
        <v>0</v>
      </c>
      <c r="U69" s="14" t="n">
        <f aca="false">((IF(OR((U$18-(Assumptions!$C$7-1)-$C$9)&lt;1,(U$18-(Assumptions!$C$7-1)-$C$9)&gt;36),0,INDEX(Schedules!$C$6:$AL$6,(U$18-(Assumptions!$C$7-1)-$C$9)))*$C$7)*U44)</f>
        <v>0</v>
      </c>
      <c r="V69" s="14" t="n">
        <f aca="false">((IF(OR((V$18-(Assumptions!$C$7-1)-$C$9)&lt;1,(V$18-(Assumptions!$C$7-1)-$C$9)&gt;36),0,INDEX(Schedules!$C$6:$AL$6,(V$18-(Assumptions!$C$7-1)-$C$9)))*$C$7)*V44)</f>
        <v>1.4</v>
      </c>
      <c r="W69" s="14" t="n">
        <f aca="false">((IF(OR((W$18-(Assumptions!$C$7-1)-$C$9)&lt;1,(W$18-(Assumptions!$C$7-1)-$C$9)&gt;36),0,INDEX(Schedules!$C$6:$AL$6,(W$18-(Assumptions!$C$7-1)-$C$9)))*$C$7)*W44)</f>
        <v>0</v>
      </c>
      <c r="X69" s="14" t="n">
        <f aca="false">((IF(OR((X$18-(Assumptions!$C$7-1)-$C$9)&lt;1,(X$18-(Assumptions!$C$7-1)-$C$9)&gt;36),0,INDEX(Schedules!$C$6:$AL$6,(X$18-(Assumptions!$C$7-1)-$C$9)))*$C$7)*X44)</f>
        <v>0</v>
      </c>
      <c r="Y69" s="14" t="n">
        <f aca="false">((IF(OR((Y$18-(Assumptions!$C$7-1)-$C$9)&lt;1,(Y$18-(Assumptions!$C$7-1)-$C$9)&gt;36),0,INDEX(Schedules!$C$6:$AL$6,(Y$18-(Assumptions!$C$7-1)-$C$9)))*$C$7)*Y44)</f>
        <v>1.4</v>
      </c>
      <c r="Z69" s="14" t="n">
        <f aca="false">((IF(OR((Z$18-(Assumptions!$C$7-1)-$C$9)&lt;1,(Z$18-(Assumptions!$C$7-1)-$C$9)&gt;36),0,INDEX(Schedules!$C$6:$AL$6,(Z$18-(Assumptions!$C$7-1)-$C$9)))*$C$7)*Z44)</f>
        <v>0</v>
      </c>
      <c r="AA69" s="14" t="n">
        <f aca="false">((IF(OR((AA$18-(Assumptions!$C$7-1)-$C$9)&lt;1,(AA$18-(Assumptions!$C$7-1)-$C$9)&gt;36),0,INDEX(Schedules!$C$6:$AL$6,(AA$18-(Assumptions!$C$7-1)-$C$9)))*$C$7)*AA44)</f>
        <v>0</v>
      </c>
      <c r="AB69" s="14" t="n">
        <f aca="false">((IF(OR((AB$18-(Assumptions!$C$7-1)-$C$9)&lt;1,(AB$18-(Assumptions!$C$7-1)-$C$9)&gt;36),0,INDEX(Schedules!$C$6:$AL$6,(AB$18-(Assumptions!$C$7-1)-$C$9)))*$C$7)*AB44)</f>
        <v>2.8</v>
      </c>
      <c r="AC69" s="14" t="n">
        <f aca="false">((IF(OR((AC$18-(Assumptions!$C$7-1)-$C$9)&lt;1,(AC$18-(Assumptions!$C$7-1)-$C$9)&gt;36),0,INDEX(Schedules!$C$6:$AL$6,(AC$18-(Assumptions!$C$7-1)-$C$9)))*$C$7)*AC44)</f>
        <v>0</v>
      </c>
      <c r="AD69" s="14" t="n">
        <f aca="false">((IF(OR((AD$18-(Assumptions!$C$7-1)-$C$9)&lt;1,(AD$18-(Assumptions!$C$7-1)-$C$9)&gt;36),0,INDEX(Schedules!$C$6:$AL$6,(AD$18-(Assumptions!$C$7-1)-$C$9)))*$C$7)*AD44)</f>
        <v>0</v>
      </c>
      <c r="AE69" s="14" t="n">
        <f aca="false">((IF(OR((AE$18-(Assumptions!$C$7-1)-$C$9)&lt;1,(AE$18-(Assumptions!$C$7-1)-$C$9)&gt;36),0,INDEX(Schedules!$C$6:$AL$6,(AE$18-(Assumptions!$C$7-1)-$C$9)))*$C$7)*AE44)</f>
        <v>2.8</v>
      </c>
      <c r="AF69" s="14" t="n">
        <f aca="false">((IF(OR((AF$18-(Assumptions!$C$7-1)-$C$9)&lt;1,(AF$18-(Assumptions!$C$7-1)-$C$9)&gt;36),0,INDEX(Schedules!$C$6:$AL$6,(AF$18-(Assumptions!$C$7-1)-$C$9)))*$C$7)*AF44)</f>
        <v>0</v>
      </c>
      <c r="AG69" s="14" t="n">
        <f aca="false">((IF(OR((AG$18-(Assumptions!$C$7-1)-$C$9)&lt;1,(AG$18-(Assumptions!$C$7-1)-$C$9)&gt;36),0,INDEX(Schedules!$C$6:$AL$6,(AG$18-(Assumptions!$C$7-1)-$C$9)))*$C$7)*AG44)</f>
        <v>0</v>
      </c>
      <c r="AH69" s="14" t="n">
        <f aca="false">((IF(OR((AH$18-(Assumptions!$C$7-1)-$C$9)&lt;1,(AH$18-(Assumptions!$C$7-1)-$C$9)&gt;36),0,INDEX(Schedules!$C$6:$AL$6,(AH$18-(Assumptions!$C$7-1)-$C$9)))*$C$7)*AH44)</f>
        <v>2.8</v>
      </c>
      <c r="AI69" s="14" t="n">
        <f aca="false">((IF(OR((AI$18-(Assumptions!$C$7-1)-$C$9)&lt;1,(AI$18-(Assumptions!$C$7-1)-$C$9)&gt;36),0,INDEX(Schedules!$C$6:$AL$6,(AI$18-(Assumptions!$C$7-1)-$C$9)))*$C$7)*AI44)</f>
        <v>0</v>
      </c>
      <c r="AJ69" s="14" t="n">
        <f aca="false">((IF(OR((AJ$18-(Assumptions!$C$7-1)-$C$9)&lt;1,(AJ$18-(Assumptions!$C$7-1)-$C$9)&gt;36),0,INDEX(Schedules!$C$6:$AL$6,(AJ$18-(Assumptions!$C$7-1)-$C$9)))*$C$7)*AJ44)</f>
        <v>0</v>
      </c>
      <c r="AK69" s="14" t="n">
        <f aca="false">((IF(OR((AK$18-(Assumptions!$C$7-1)-$C$9)&lt;1,(AK$18-(Assumptions!$C$7-1)-$C$9)&gt;36),0,INDEX(Schedules!$C$6:$AL$6,(AK$18-(Assumptions!$C$7-1)-$C$9)))*$C$7)*AK44)</f>
        <v>2.8</v>
      </c>
      <c r="AL69" s="14" t="n">
        <f aca="false">((IF(OR((AL$18-(Assumptions!$C$7-1)-$C$9)&lt;1,(AL$18-(Assumptions!$C$7-1)-$C$9)&gt;36),0,INDEX(Schedules!$C$6:$AL$6,(AL$18-(Assumptions!$C$7-1)-$C$9)))*$C$7)*AL44)</f>
        <v>0</v>
      </c>
      <c r="AN69" s="36" t="n">
        <f aca="false">SUM(C69:N69)</f>
        <v>0</v>
      </c>
      <c r="AO69" s="36" t="n">
        <f aca="false">SUM(O69:Z69)</f>
        <v>5.6</v>
      </c>
      <c r="AP69" s="36" t="n">
        <f aca="false">SUM(AA69:AL69)</f>
        <v>11.2</v>
      </c>
    </row>
    <row r="70" customFormat="false" ht="15" hidden="false" customHeight="false" outlineLevel="0" collapsed="false">
      <c r="A70" s="0" t="s">
        <v>876</v>
      </c>
      <c r="B70" s="0" t="s">
        <v>852</v>
      </c>
      <c r="C70" s="14" t="n">
        <f aca="false">INDEX(Schedules!$C$12:$AL$12,C$18)</f>
        <v>0</v>
      </c>
      <c r="D70" s="14" t="n">
        <f aca="false">INDEX(Schedules!$C$12:$AL$12,D$18)</f>
        <v>0</v>
      </c>
      <c r="E70" s="14" t="n">
        <f aca="false">INDEX(Schedules!$C$12:$AL$12,E$18)</f>
        <v>0</v>
      </c>
      <c r="F70" s="14" t="n">
        <f aca="false">INDEX(Schedules!$C$12:$AL$12,F$18)</f>
        <v>0</v>
      </c>
      <c r="G70" s="14" t="n">
        <f aca="false">INDEX(Schedules!$C$12:$AL$12,G$18)</f>
        <v>0</v>
      </c>
      <c r="H70" s="14" t="n">
        <f aca="false">INDEX(Schedules!$C$12:$AL$12,H$18)</f>
        <v>0</v>
      </c>
      <c r="I70" s="14" t="n">
        <f aca="false">INDEX(Schedules!$C$12:$AL$12,I$18)</f>
        <v>0</v>
      </c>
      <c r="J70" s="14" t="n">
        <f aca="false">INDEX(Schedules!$C$12:$AL$12,J$18)</f>
        <v>1</v>
      </c>
      <c r="K70" s="14" t="n">
        <f aca="false">INDEX(Schedules!$C$12:$AL$12,K$18)</f>
        <v>0</v>
      </c>
      <c r="L70" s="14" t="n">
        <f aca="false">INDEX(Schedules!$C$12:$AL$12,L$18)</f>
        <v>0</v>
      </c>
      <c r="M70" s="14" t="n">
        <f aca="false">INDEX(Schedules!$C$12:$AL$12,M$18)</f>
        <v>0</v>
      </c>
      <c r="N70" s="14" t="n">
        <f aca="false">INDEX(Schedules!$C$12:$AL$12,N$18)</f>
        <v>0</v>
      </c>
      <c r="O70" s="14" t="n">
        <f aca="false">INDEX(Schedules!$C$12:$AL$12,O$18)</f>
        <v>0</v>
      </c>
      <c r="P70" s="14" t="n">
        <f aca="false">INDEX(Schedules!$C$12:$AL$12,P$18)</f>
        <v>0</v>
      </c>
      <c r="Q70" s="14" t="n">
        <f aca="false">INDEX(Schedules!$C$12:$AL$12,Q$18)</f>
        <v>0</v>
      </c>
      <c r="R70" s="14" t="n">
        <f aca="false">INDEX(Schedules!$C$12:$AL$12,R$18)</f>
        <v>0</v>
      </c>
      <c r="S70" s="14" t="n">
        <f aca="false">INDEX(Schedules!$C$12:$AL$12,S$18)</f>
        <v>0</v>
      </c>
      <c r="T70" s="14" t="n">
        <f aca="false">INDEX(Schedules!$C$12:$AL$12,T$18)</f>
        <v>0</v>
      </c>
      <c r="U70" s="14" t="n">
        <f aca="false">INDEX(Schedules!$C$12:$AL$12,U$18)</f>
        <v>0</v>
      </c>
      <c r="V70" s="14" t="n">
        <f aca="false">INDEX(Schedules!$C$12:$AL$12,V$18)</f>
        <v>0</v>
      </c>
      <c r="W70" s="14" t="n">
        <f aca="false">INDEX(Schedules!$C$12:$AL$12,W$18)</f>
        <v>0</v>
      </c>
      <c r="X70" s="14" t="n">
        <f aca="false">INDEX(Schedules!$C$12:$AL$12,X$18)</f>
        <v>0</v>
      </c>
      <c r="Y70" s="14" t="n">
        <f aca="false">INDEX(Schedules!$C$12:$AL$12,Y$18)</f>
        <v>0</v>
      </c>
      <c r="Z70" s="14" t="n">
        <f aca="false">INDEX(Schedules!$C$12:$AL$12,Z$18)</f>
        <v>0</v>
      </c>
      <c r="AA70" s="14" t="n">
        <f aca="false">INDEX(Schedules!$C$12:$AL$12,AA$18)</f>
        <v>0</v>
      </c>
      <c r="AB70" s="14" t="n">
        <f aca="false">INDEX(Schedules!$C$12:$AL$12,AB$18)</f>
        <v>0</v>
      </c>
      <c r="AC70" s="14" t="n">
        <f aca="false">INDEX(Schedules!$C$12:$AL$12,AC$18)</f>
        <v>0</v>
      </c>
      <c r="AD70" s="14" t="n">
        <f aca="false">INDEX(Schedules!$C$12:$AL$12,AD$18)</f>
        <v>0</v>
      </c>
      <c r="AE70" s="14" t="n">
        <f aca="false">INDEX(Schedules!$C$12:$AL$12,AE$18)</f>
        <v>0</v>
      </c>
      <c r="AF70" s="14" t="n">
        <f aca="false">INDEX(Schedules!$C$12:$AL$12,AF$18)</f>
        <v>0</v>
      </c>
      <c r="AG70" s="14" t="n">
        <f aca="false">INDEX(Schedules!$C$12:$AL$12,AG$18)</f>
        <v>0</v>
      </c>
      <c r="AH70" s="14" t="n">
        <f aca="false">INDEX(Schedules!$C$12:$AL$12,AH$18)</f>
        <v>0</v>
      </c>
      <c r="AI70" s="14" t="n">
        <f aca="false">INDEX(Schedules!$C$12:$AL$12,AI$18)</f>
        <v>0</v>
      </c>
      <c r="AJ70" s="14" t="n">
        <f aca="false">INDEX(Schedules!$C$12:$AL$12,AJ$18)</f>
        <v>0</v>
      </c>
      <c r="AK70" s="14" t="n">
        <f aca="false">INDEX(Schedules!$C$12:$AL$12,AK$18)</f>
        <v>0</v>
      </c>
      <c r="AL70" s="14" t="n">
        <f aca="false">INDEX(Schedules!$C$12:$AL$12,AL$18)</f>
        <v>0</v>
      </c>
      <c r="AN70" s="36" t="n">
        <f aca="false">SUM(C70:N70)</f>
        <v>1</v>
      </c>
      <c r="AO70" s="36" t="n">
        <f aca="false">SUM(O70:Z70)</f>
        <v>0</v>
      </c>
      <c r="AP70" s="36" t="n">
        <f aca="false">SUM(AA70:AL70)</f>
        <v>0</v>
      </c>
    </row>
    <row r="71" customFormat="false" ht="15" hidden="false" customHeight="false" outlineLevel="0" collapsed="false">
      <c r="A71" s="0" t="s">
        <v>877</v>
      </c>
      <c r="B71" s="0" t="s">
        <v>852</v>
      </c>
      <c r="C71" s="14" t="n">
        <f aca="false">(C69+C70)</f>
        <v>0</v>
      </c>
      <c r="D71" s="14" t="n">
        <f aca="false">(D69+D70)</f>
        <v>0</v>
      </c>
      <c r="E71" s="14" t="n">
        <f aca="false">(E69+E70)</f>
        <v>0</v>
      </c>
      <c r="F71" s="14" t="n">
        <f aca="false">(F69+F70)</f>
        <v>0</v>
      </c>
      <c r="G71" s="14" t="n">
        <f aca="false">(G69+G70)</f>
        <v>0</v>
      </c>
      <c r="H71" s="14" t="n">
        <f aca="false">(H69+H70)</f>
        <v>0</v>
      </c>
      <c r="I71" s="14" t="n">
        <f aca="false">(I69+I70)</f>
        <v>0</v>
      </c>
      <c r="J71" s="14" t="n">
        <f aca="false">(J69+J70)</f>
        <v>1</v>
      </c>
      <c r="K71" s="14" t="n">
        <f aca="false">(K69+K70)</f>
        <v>0</v>
      </c>
      <c r="L71" s="14" t="n">
        <f aca="false">(L69+L70)</f>
        <v>0</v>
      </c>
      <c r="M71" s="14" t="n">
        <f aca="false">(M69+M70)</f>
        <v>0</v>
      </c>
      <c r="N71" s="14" t="n">
        <f aca="false">(N69+N70)</f>
        <v>0</v>
      </c>
      <c r="O71" s="14" t="n">
        <f aca="false">(O69+O70)</f>
        <v>0</v>
      </c>
      <c r="P71" s="14" t="n">
        <f aca="false">(P69+P70)</f>
        <v>1.4</v>
      </c>
      <c r="Q71" s="14" t="n">
        <f aca="false">(Q69+Q70)</f>
        <v>0</v>
      </c>
      <c r="R71" s="14" t="n">
        <f aca="false">(R69+R70)</f>
        <v>0</v>
      </c>
      <c r="S71" s="14" t="n">
        <f aca="false">(S69+S70)</f>
        <v>1.4</v>
      </c>
      <c r="T71" s="14" t="n">
        <f aca="false">(T69+T70)</f>
        <v>0</v>
      </c>
      <c r="U71" s="14" t="n">
        <f aca="false">(U69+U70)</f>
        <v>0</v>
      </c>
      <c r="V71" s="14" t="n">
        <f aca="false">(V69+V70)</f>
        <v>1.4</v>
      </c>
      <c r="W71" s="14" t="n">
        <f aca="false">(W69+W70)</f>
        <v>0</v>
      </c>
      <c r="X71" s="14" t="n">
        <f aca="false">(X69+X70)</f>
        <v>0</v>
      </c>
      <c r="Y71" s="14" t="n">
        <f aca="false">(Y69+Y70)</f>
        <v>1.4</v>
      </c>
      <c r="Z71" s="14" t="n">
        <f aca="false">(Z69+Z70)</f>
        <v>0</v>
      </c>
      <c r="AA71" s="14" t="n">
        <f aca="false">(AA69+AA70)</f>
        <v>0</v>
      </c>
      <c r="AB71" s="14" t="n">
        <f aca="false">(AB69+AB70)</f>
        <v>2.8</v>
      </c>
      <c r="AC71" s="14" t="n">
        <f aca="false">(AC69+AC70)</f>
        <v>0</v>
      </c>
      <c r="AD71" s="14" t="n">
        <f aca="false">(AD69+AD70)</f>
        <v>0</v>
      </c>
      <c r="AE71" s="14" t="n">
        <f aca="false">(AE69+AE70)</f>
        <v>2.8</v>
      </c>
      <c r="AF71" s="14" t="n">
        <f aca="false">(AF69+AF70)</f>
        <v>0</v>
      </c>
      <c r="AG71" s="14" t="n">
        <f aca="false">(AG69+AG70)</f>
        <v>0</v>
      </c>
      <c r="AH71" s="14" t="n">
        <f aca="false">(AH69+AH70)</f>
        <v>2.8</v>
      </c>
      <c r="AI71" s="14" t="n">
        <f aca="false">(AI69+AI70)</f>
        <v>0</v>
      </c>
      <c r="AJ71" s="14" t="n">
        <f aca="false">(AJ69+AJ70)</f>
        <v>0</v>
      </c>
      <c r="AK71" s="14" t="n">
        <f aca="false">(AK69+AK70)</f>
        <v>2.8</v>
      </c>
      <c r="AL71" s="14" t="n">
        <f aca="false">(AL69+AL70)</f>
        <v>0</v>
      </c>
      <c r="AN71" s="36" t="n">
        <f aca="false">SUM(C71:N71)</f>
        <v>1</v>
      </c>
      <c r="AO71" s="36" t="n">
        <f aca="false">SUM(O71:Z71)</f>
        <v>5.6</v>
      </c>
      <c r="AP71" s="36" t="n">
        <f aca="false">SUM(AA71:AL71)</f>
        <v>11.2</v>
      </c>
    </row>
    <row r="72" customFormat="false" ht="15" hidden="false" customHeight="false" outlineLevel="0" collapsed="false">
      <c r="A72" s="0" t="s">
        <v>878</v>
      </c>
      <c r="B72" s="0" t="s">
        <v>852</v>
      </c>
      <c r="C72" s="14" t="n">
        <f aca="false">((IF(OR((C$18-(Assumptions!$C$8-1)-$C$9)&lt;1,(C$18-(Assumptions!$C$8-1)-$C$9)&gt;36),0,INDEX(Schedules!$C$9:$AL$9,(C$18-(Assumptions!$C$8-1)-$C$9)))*$C$7)*C44)</f>
        <v>0</v>
      </c>
      <c r="D72" s="14" t="n">
        <f aca="false">((IF(OR((D$18-(Assumptions!$C$8-1)-$C$9)&lt;1,(D$18-(Assumptions!$C$8-1)-$C$9)&gt;36),0,INDEX(Schedules!$C$9:$AL$9,(D$18-(Assumptions!$C$8-1)-$C$9)))*$C$7)*D44)</f>
        <v>0</v>
      </c>
      <c r="E72" s="14" t="n">
        <f aca="false">((IF(OR((E$18-(Assumptions!$C$8-1)-$C$9)&lt;1,(E$18-(Assumptions!$C$8-1)-$C$9)&gt;36),0,INDEX(Schedules!$C$9:$AL$9,(E$18-(Assumptions!$C$8-1)-$C$9)))*$C$7)*E44)</f>
        <v>0</v>
      </c>
      <c r="F72" s="14" t="n">
        <f aca="false">((IF(OR((F$18-(Assumptions!$C$8-1)-$C$9)&lt;1,(F$18-(Assumptions!$C$8-1)-$C$9)&gt;36),0,INDEX(Schedules!$C$9:$AL$9,(F$18-(Assumptions!$C$8-1)-$C$9)))*$C$7)*F44)</f>
        <v>0</v>
      </c>
      <c r="G72" s="14" t="n">
        <f aca="false">((IF(OR((G$18-(Assumptions!$C$8-1)-$C$9)&lt;1,(G$18-(Assumptions!$C$8-1)-$C$9)&gt;36),0,INDEX(Schedules!$C$9:$AL$9,(G$18-(Assumptions!$C$8-1)-$C$9)))*$C$7)*G44)</f>
        <v>0</v>
      </c>
      <c r="H72" s="14" t="n">
        <f aca="false">((IF(OR((H$18-(Assumptions!$C$8-1)-$C$9)&lt;1,(H$18-(Assumptions!$C$8-1)-$C$9)&gt;36),0,INDEX(Schedules!$C$9:$AL$9,(H$18-(Assumptions!$C$8-1)-$C$9)))*$C$7)*H44)</f>
        <v>0</v>
      </c>
      <c r="I72" s="14" t="n">
        <f aca="false">((IF(OR((I$18-(Assumptions!$C$8-1)-$C$9)&lt;1,(I$18-(Assumptions!$C$8-1)-$C$9)&gt;36),0,INDEX(Schedules!$C$9:$AL$9,(I$18-(Assumptions!$C$8-1)-$C$9)))*$C$7)*I44)</f>
        <v>0</v>
      </c>
      <c r="J72" s="14" t="n">
        <f aca="false">((IF(OR((J$18-(Assumptions!$C$8-1)-$C$9)&lt;1,(J$18-(Assumptions!$C$8-1)-$C$9)&gt;36),0,INDEX(Schedules!$C$9:$AL$9,(J$18-(Assumptions!$C$8-1)-$C$9)))*$C$7)*J44)</f>
        <v>0</v>
      </c>
      <c r="K72" s="14" t="n">
        <f aca="false">((IF(OR((K$18-(Assumptions!$C$8-1)-$C$9)&lt;1,(K$18-(Assumptions!$C$8-1)-$C$9)&gt;36),0,INDEX(Schedules!$C$9:$AL$9,(K$18-(Assumptions!$C$8-1)-$C$9)))*$C$7)*K44)</f>
        <v>0</v>
      </c>
      <c r="L72" s="14" t="n">
        <f aca="false">((IF(OR((L$18-(Assumptions!$C$8-1)-$C$9)&lt;1,(L$18-(Assumptions!$C$8-1)-$C$9)&gt;36),0,INDEX(Schedules!$C$9:$AL$9,(L$18-(Assumptions!$C$8-1)-$C$9)))*$C$7)*L44)</f>
        <v>0</v>
      </c>
      <c r="M72" s="14" t="n">
        <f aca="false">((IF(OR((M$18-(Assumptions!$C$8-1)-$C$9)&lt;1,(M$18-(Assumptions!$C$8-1)-$C$9)&gt;36),0,INDEX(Schedules!$C$9:$AL$9,(M$18-(Assumptions!$C$8-1)-$C$9)))*$C$7)*M44)</f>
        <v>0</v>
      </c>
      <c r="N72" s="14" t="n">
        <f aca="false">((IF(OR((N$18-(Assumptions!$C$8-1)-$C$9)&lt;1,(N$18-(Assumptions!$C$8-1)-$C$9)&gt;36),0,INDEX(Schedules!$C$9:$AL$9,(N$18-(Assumptions!$C$8-1)-$C$9)))*$C$7)*N44)</f>
        <v>0</v>
      </c>
      <c r="O72" s="14" t="n">
        <f aca="false">((IF(OR((O$18-(Assumptions!$C$8-1)-$C$9)&lt;1,(O$18-(Assumptions!$C$8-1)-$C$9)&gt;36),0,INDEX(Schedules!$C$9:$AL$9,(O$18-(Assumptions!$C$8-1)-$C$9)))*$C$7)*O44)</f>
        <v>0</v>
      </c>
      <c r="P72" s="14" t="n">
        <f aca="false">((IF(OR((P$18-(Assumptions!$C$8-1)-$C$9)&lt;1,(P$18-(Assumptions!$C$8-1)-$C$9)&gt;36),0,INDEX(Schedules!$C$9:$AL$9,(P$18-(Assumptions!$C$8-1)-$C$9)))*$C$7)*P44)</f>
        <v>0</v>
      </c>
      <c r="Q72" s="14" t="n">
        <f aca="false">((IF(OR((Q$18-(Assumptions!$C$8-1)-$C$9)&lt;1,(Q$18-(Assumptions!$C$8-1)-$C$9)&gt;36),0,INDEX(Schedules!$C$9:$AL$9,(Q$18-(Assumptions!$C$8-1)-$C$9)))*$C$7)*Q44)</f>
        <v>0</v>
      </c>
      <c r="R72" s="14" t="n">
        <f aca="false">((IF(OR((R$18-(Assumptions!$C$8-1)-$C$9)&lt;1,(R$18-(Assumptions!$C$8-1)-$C$9)&gt;36),0,INDEX(Schedules!$C$9:$AL$9,(R$18-(Assumptions!$C$8-1)-$C$9)))*$C$7)*R44)</f>
        <v>0</v>
      </c>
      <c r="S72" s="14" t="n">
        <f aca="false">((IF(OR((S$18-(Assumptions!$C$8-1)-$C$9)&lt;1,(S$18-(Assumptions!$C$8-1)-$C$9)&gt;36),0,INDEX(Schedules!$C$9:$AL$9,(S$18-(Assumptions!$C$8-1)-$C$9)))*$C$7)*S44)</f>
        <v>0</v>
      </c>
      <c r="T72" s="14" t="n">
        <f aca="false">((IF(OR((T$18-(Assumptions!$C$8-1)-$C$9)&lt;1,(T$18-(Assumptions!$C$8-1)-$C$9)&gt;36),0,INDEX(Schedules!$C$9:$AL$9,(T$18-(Assumptions!$C$8-1)-$C$9)))*$C$7)*T44)</f>
        <v>0</v>
      </c>
      <c r="U72" s="14" t="n">
        <f aca="false">((IF(OR((U$18-(Assumptions!$C$8-1)-$C$9)&lt;1,(U$18-(Assumptions!$C$8-1)-$C$9)&gt;36),0,INDEX(Schedules!$C$9:$AL$9,(U$18-(Assumptions!$C$8-1)-$C$9)))*$C$7)*U44)</f>
        <v>0</v>
      </c>
      <c r="V72" s="14" t="n">
        <f aca="false">((IF(OR((V$18-(Assumptions!$C$8-1)-$C$9)&lt;1,(V$18-(Assumptions!$C$8-1)-$C$9)&gt;36),0,INDEX(Schedules!$C$9:$AL$9,(V$18-(Assumptions!$C$8-1)-$C$9)))*$C$7)*V44)</f>
        <v>0</v>
      </c>
      <c r="W72" s="14" t="n">
        <f aca="false">((IF(OR((W$18-(Assumptions!$C$8-1)-$C$9)&lt;1,(W$18-(Assumptions!$C$8-1)-$C$9)&gt;36),0,INDEX(Schedules!$C$9:$AL$9,(W$18-(Assumptions!$C$8-1)-$C$9)))*$C$7)*W44)</f>
        <v>0</v>
      </c>
      <c r="X72" s="14" t="n">
        <f aca="false">((IF(OR((X$18-(Assumptions!$C$8-1)-$C$9)&lt;1,(X$18-(Assumptions!$C$8-1)-$C$9)&gt;36),0,INDEX(Schedules!$C$9:$AL$9,(X$18-(Assumptions!$C$8-1)-$C$9)))*$C$7)*X44)</f>
        <v>0</v>
      </c>
      <c r="Y72" s="14" t="n">
        <f aca="false">((IF(OR((Y$18-(Assumptions!$C$8-1)-$C$9)&lt;1,(Y$18-(Assumptions!$C$8-1)-$C$9)&gt;36),0,INDEX(Schedules!$C$9:$AL$9,(Y$18-(Assumptions!$C$8-1)-$C$9)))*$C$7)*Y44)</f>
        <v>0</v>
      </c>
      <c r="Z72" s="14" t="n">
        <f aca="false">((IF(OR((Z$18-(Assumptions!$C$8-1)-$C$9)&lt;1,(Z$18-(Assumptions!$C$8-1)-$C$9)&gt;36),0,INDEX(Schedules!$C$9:$AL$9,(Z$18-(Assumptions!$C$8-1)-$C$9)))*$C$7)*Z44)</f>
        <v>1.4</v>
      </c>
      <c r="AA72" s="14" t="n">
        <f aca="false">((IF(OR((AA$18-(Assumptions!$C$8-1)-$C$9)&lt;1,(AA$18-(Assumptions!$C$8-1)-$C$9)&gt;36),0,INDEX(Schedules!$C$9:$AL$9,(AA$18-(Assumptions!$C$8-1)-$C$9)))*$C$7)*AA44)</f>
        <v>0</v>
      </c>
      <c r="AB72" s="14" t="n">
        <f aca="false">((IF(OR((AB$18-(Assumptions!$C$8-1)-$C$9)&lt;1,(AB$18-(Assumptions!$C$8-1)-$C$9)&gt;36),0,INDEX(Schedules!$C$9:$AL$9,(AB$18-(Assumptions!$C$8-1)-$C$9)))*$C$7)*AB44)</f>
        <v>0</v>
      </c>
      <c r="AC72" s="14" t="n">
        <f aca="false">((IF(OR((AC$18-(Assumptions!$C$8-1)-$C$9)&lt;1,(AC$18-(Assumptions!$C$8-1)-$C$9)&gt;36),0,INDEX(Schedules!$C$9:$AL$9,(AC$18-(Assumptions!$C$8-1)-$C$9)))*$C$7)*AC44)</f>
        <v>1.4</v>
      </c>
      <c r="AD72" s="14" t="n">
        <f aca="false">((IF(OR((AD$18-(Assumptions!$C$8-1)-$C$9)&lt;1,(AD$18-(Assumptions!$C$8-1)-$C$9)&gt;36),0,INDEX(Schedules!$C$9:$AL$9,(AD$18-(Assumptions!$C$8-1)-$C$9)))*$C$7)*AD44)</f>
        <v>0</v>
      </c>
      <c r="AE72" s="14" t="n">
        <f aca="false">((IF(OR((AE$18-(Assumptions!$C$8-1)-$C$9)&lt;1,(AE$18-(Assumptions!$C$8-1)-$C$9)&gt;36),0,INDEX(Schedules!$C$9:$AL$9,(AE$18-(Assumptions!$C$8-1)-$C$9)))*$C$7)*AE44)</f>
        <v>0</v>
      </c>
      <c r="AF72" s="14" t="n">
        <f aca="false">((IF(OR((AF$18-(Assumptions!$C$8-1)-$C$9)&lt;1,(AF$18-(Assumptions!$C$8-1)-$C$9)&gt;36),0,INDEX(Schedules!$C$9:$AL$9,(AF$18-(Assumptions!$C$8-1)-$C$9)))*$C$7)*AF44)</f>
        <v>1.4</v>
      </c>
      <c r="AG72" s="14" t="n">
        <f aca="false">((IF(OR((AG$18-(Assumptions!$C$8-1)-$C$9)&lt;1,(AG$18-(Assumptions!$C$8-1)-$C$9)&gt;36),0,INDEX(Schedules!$C$9:$AL$9,(AG$18-(Assumptions!$C$8-1)-$C$9)))*$C$7)*AG44)</f>
        <v>0</v>
      </c>
      <c r="AH72" s="14" t="n">
        <f aca="false">((IF(OR((AH$18-(Assumptions!$C$8-1)-$C$9)&lt;1,(AH$18-(Assumptions!$C$8-1)-$C$9)&gt;36),0,INDEX(Schedules!$C$9:$AL$9,(AH$18-(Assumptions!$C$8-1)-$C$9)))*$C$7)*AH44)</f>
        <v>0</v>
      </c>
      <c r="AI72" s="14" t="n">
        <f aca="false">((IF(OR((AI$18-(Assumptions!$C$8-1)-$C$9)&lt;1,(AI$18-(Assumptions!$C$8-1)-$C$9)&gt;36),0,INDEX(Schedules!$C$9:$AL$9,(AI$18-(Assumptions!$C$8-1)-$C$9)))*$C$7)*AI44)</f>
        <v>2.8</v>
      </c>
      <c r="AJ72" s="14" t="n">
        <f aca="false">((IF(OR((AJ$18-(Assumptions!$C$8-1)-$C$9)&lt;1,(AJ$18-(Assumptions!$C$8-1)-$C$9)&gt;36),0,INDEX(Schedules!$C$9:$AL$9,(AJ$18-(Assumptions!$C$8-1)-$C$9)))*$C$7)*AJ44)</f>
        <v>0</v>
      </c>
      <c r="AK72" s="14" t="n">
        <f aca="false">((IF(OR((AK$18-(Assumptions!$C$8-1)-$C$9)&lt;1,(AK$18-(Assumptions!$C$8-1)-$C$9)&gt;36),0,INDEX(Schedules!$C$9:$AL$9,(AK$18-(Assumptions!$C$8-1)-$C$9)))*$C$7)*AK44)</f>
        <v>0</v>
      </c>
      <c r="AL72" s="14" t="n">
        <f aca="false">((IF(OR((AL$18-(Assumptions!$C$8-1)-$C$9)&lt;1,(AL$18-(Assumptions!$C$8-1)-$C$9)&gt;36),0,INDEX(Schedules!$C$9:$AL$9,(AL$18-(Assumptions!$C$8-1)-$C$9)))*$C$7)*AL44)</f>
        <v>2.8</v>
      </c>
      <c r="AN72" s="36" t="n">
        <f aca="false">SUM(C72:N72)</f>
        <v>0</v>
      </c>
      <c r="AO72" s="36" t="n">
        <f aca="false">SUM(O72:Z72)</f>
        <v>1.4</v>
      </c>
      <c r="AP72" s="36" t="n">
        <f aca="false">SUM(AA72:AL72)</f>
        <v>8.4</v>
      </c>
    </row>
    <row r="73" customFormat="false" ht="15" hidden="false" customHeight="false" outlineLevel="0" collapsed="false">
      <c r="A73" s="0" t="s">
        <v>879</v>
      </c>
      <c r="B73" s="0" t="s">
        <v>852</v>
      </c>
      <c r="C73" s="14" t="n">
        <f aca="false">(C69+C72)</f>
        <v>0</v>
      </c>
      <c r="D73" s="14" t="n">
        <f aca="false">(D69+D72)</f>
        <v>0</v>
      </c>
      <c r="E73" s="14" t="n">
        <f aca="false">(E69+E72)</f>
        <v>0</v>
      </c>
      <c r="F73" s="14" t="n">
        <f aca="false">(F69+F72)</f>
        <v>0</v>
      </c>
      <c r="G73" s="14" t="n">
        <f aca="false">(G69+G72)</f>
        <v>0</v>
      </c>
      <c r="H73" s="14" t="n">
        <f aca="false">(H69+H72)</f>
        <v>0</v>
      </c>
      <c r="I73" s="14" t="n">
        <f aca="false">(I69+I72)</f>
        <v>0</v>
      </c>
      <c r="J73" s="14" t="n">
        <f aca="false">(J69+J72)</f>
        <v>0</v>
      </c>
      <c r="K73" s="14" t="n">
        <f aca="false">(K69+K72)</f>
        <v>0</v>
      </c>
      <c r="L73" s="14" t="n">
        <f aca="false">(L69+L72)</f>
        <v>0</v>
      </c>
      <c r="M73" s="14" t="n">
        <f aca="false">(M69+M72)</f>
        <v>0</v>
      </c>
      <c r="N73" s="14" t="n">
        <f aca="false">(N69+N72)</f>
        <v>0</v>
      </c>
      <c r="O73" s="14" t="n">
        <f aca="false">(O69+O72)</f>
        <v>0</v>
      </c>
      <c r="P73" s="14" t="n">
        <f aca="false">(P69+P72)</f>
        <v>1.4</v>
      </c>
      <c r="Q73" s="14" t="n">
        <f aca="false">(Q69+Q72)</f>
        <v>0</v>
      </c>
      <c r="R73" s="14" t="n">
        <f aca="false">(R69+R72)</f>
        <v>0</v>
      </c>
      <c r="S73" s="14" t="n">
        <f aca="false">(S69+S72)</f>
        <v>1.4</v>
      </c>
      <c r="T73" s="14" t="n">
        <f aca="false">(T69+T72)</f>
        <v>0</v>
      </c>
      <c r="U73" s="14" t="n">
        <f aca="false">(U69+U72)</f>
        <v>0</v>
      </c>
      <c r="V73" s="14" t="n">
        <f aca="false">(V69+V72)</f>
        <v>1.4</v>
      </c>
      <c r="W73" s="14" t="n">
        <f aca="false">(W69+W72)</f>
        <v>0</v>
      </c>
      <c r="X73" s="14" t="n">
        <f aca="false">(X69+X72)</f>
        <v>0</v>
      </c>
      <c r="Y73" s="14" t="n">
        <f aca="false">(Y69+Y72)</f>
        <v>1.4</v>
      </c>
      <c r="Z73" s="14" t="n">
        <f aca="false">(Z69+Z72)</f>
        <v>1.4</v>
      </c>
      <c r="AA73" s="14" t="n">
        <f aca="false">(AA69+AA72)</f>
        <v>0</v>
      </c>
      <c r="AB73" s="14" t="n">
        <f aca="false">(AB69+AB72)</f>
        <v>2.8</v>
      </c>
      <c r="AC73" s="14" t="n">
        <f aca="false">(AC69+AC72)</f>
        <v>1.4</v>
      </c>
      <c r="AD73" s="14" t="n">
        <f aca="false">(AD69+AD72)</f>
        <v>0</v>
      </c>
      <c r="AE73" s="14" t="n">
        <f aca="false">(AE69+AE72)</f>
        <v>2.8</v>
      </c>
      <c r="AF73" s="14" t="n">
        <f aca="false">(AF69+AF72)</f>
        <v>1.4</v>
      </c>
      <c r="AG73" s="14" t="n">
        <f aca="false">(AG69+AG72)</f>
        <v>0</v>
      </c>
      <c r="AH73" s="14" t="n">
        <f aca="false">(AH69+AH72)</f>
        <v>2.8</v>
      </c>
      <c r="AI73" s="14" t="n">
        <f aca="false">(AI69+AI72)</f>
        <v>2.8</v>
      </c>
      <c r="AJ73" s="14" t="n">
        <f aca="false">(AJ69+AJ72)</f>
        <v>0</v>
      </c>
      <c r="AK73" s="14" t="n">
        <f aca="false">(AK69+AK72)</f>
        <v>2.8</v>
      </c>
      <c r="AL73" s="14" t="n">
        <f aca="false">(AL69+AL72)</f>
        <v>2.8</v>
      </c>
      <c r="AN73" s="36" t="n">
        <f aca="false">SUM(C73:N73)</f>
        <v>0</v>
      </c>
      <c r="AO73" s="36" t="n">
        <f aca="false">SUM(O73:Z73)</f>
        <v>7</v>
      </c>
      <c r="AP73" s="36" t="n">
        <f aca="false">SUM(AA73:AL73)</f>
        <v>19.6</v>
      </c>
    </row>
    <row r="74" customFormat="false" ht="15" hidden="false" customHeight="false" outlineLevel="0" collapsed="false">
      <c r="A74" s="0" t="s">
        <v>880</v>
      </c>
      <c r="B74" s="0" t="s">
        <v>852</v>
      </c>
      <c r="C74" s="14" t="n">
        <f aca="false">C71</f>
        <v>0</v>
      </c>
      <c r="D74" s="14" t="n">
        <f aca="false">SUM(C71:D71)</f>
        <v>0</v>
      </c>
      <c r="E74" s="14" t="n">
        <f aca="false">SUM(C71:E71)</f>
        <v>0</v>
      </c>
      <c r="F74" s="14" t="n">
        <f aca="false">SUM(C71:F71)</f>
        <v>0</v>
      </c>
      <c r="G74" s="14" t="n">
        <f aca="false">SUM(C71:G71)</f>
        <v>0</v>
      </c>
      <c r="H74" s="14" t="n">
        <f aca="false">SUM(C71:H71)</f>
        <v>0</v>
      </c>
      <c r="I74" s="14" t="n">
        <f aca="false">SUM(D71:I71)</f>
        <v>0</v>
      </c>
      <c r="J74" s="14" t="n">
        <f aca="false">SUM(E71:J71)</f>
        <v>1</v>
      </c>
      <c r="K74" s="14" t="n">
        <f aca="false">SUM(F71:K71)</f>
        <v>1</v>
      </c>
      <c r="L74" s="14" t="n">
        <f aca="false">SUM(G71:L71)</f>
        <v>1</v>
      </c>
      <c r="M74" s="14" t="n">
        <f aca="false">SUM(H71:M71)</f>
        <v>1</v>
      </c>
      <c r="N74" s="14" t="n">
        <f aca="false">SUM(I71:N71)</f>
        <v>1</v>
      </c>
      <c r="O74" s="14" t="n">
        <f aca="false">SUM(J71:O71)</f>
        <v>1</v>
      </c>
      <c r="P74" s="14" t="n">
        <f aca="false">SUM(K71:P71)</f>
        <v>1.4</v>
      </c>
      <c r="Q74" s="14" t="n">
        <f aca="false">SUM(L71:Q71)</f>
        <v>1.4</v>
      </c>
      <c r="R74" s="14" t="n">
        <f aca="false">SUM(M71:R71)</f>
        <v>1.4</v>
      </c>
      <c r="S74" s="14" t="n">
        <f aca="false">SUM(N71:S71)</f>
        <v>2.8</v>
      </c>
      <c r="T74" s="14" t="n">
        <f aca="false">SUM(O71:T71)</f>
        <v>2.8</v>
      </c>
      <c r="U74" s="14" t="n">
        <f aca="false">SUM(P71:U71)</f>
        <v>2.8</v>
      </c>
      <c r="V74" s="14" t="n">
        <f aca="false">SUM(Q71:V71)</f>
        <v>2.8</v>
      </c>
      <c r="W74" s="14" t="n">
        <f aca="false">SUM(R71:W71)</f>
        <v>2.8</v>
      </c>
      <c r="X74" s="14" t="n">
        <f aca="false">SUM(S71:X71)</f>
        <v>2.8</v>
      </c>
      <c r="Y74" s="14" t="n">
        <f aca="false">SUM(T71:Y71)</f>
        <v>2.8</v>
      </c>
      <c r="Z74" s="14" t="n">
        <f aca="false">SUM(U71:Z71)</f>
        <v>2.8</v>
      </c>
      <c r="AA74" s="14" t="n">
        <f aca="false">SUM(V71:AA71)</f>
        <v>2.8</v>
      </c>
      <c r="AB74" s="14" t="n">
        <f aca="false">SUM(W71:AB71)</f>
        <v>4.2</v>
      </c>
      <c r="AC74" s="14" t="n">
        <f aca="false">SUM(X71:AC71)</f>
        <v>4.2</v>
      </c>
      <c r="AD74" s="14" t="n">
        <f aca="false">SUM(Y71:AD71)</f>
        <v>4.2</v>
      </c>
      <c r="AE74" s="14" t="n">
        <f aca="false">SUM(Z71:AE71)</f>
        <v>5.6</v>
      </c>
      <c r="AF74" s="14" t="n">
        <f aca="false">SUM(AA71:AF71)</f>
        <v>5.6</v>
      </c>
      <c r="AG74" s="14" t="n">
        <f aca="false">SUM(AB71:AG71)</f>
        <v>5.6</v>
      </c>
      <c r="AH74" s="14" t="n">
        <f aca="false">SUM(AC71:AH71)</f>
        <v>5.6</v>
      </c>
      <c r="AI74" s="14" t="n">
        <f aca="false">SUM(AD71:AI71)</f>
        <v>5.6</v>
      </c>
      <c r="AJ74" s="14" t="n">
        <f aca="false">SUM(AE71:AJ71)</f>
        <v>5.6</v>
      </c>
      <c r="AK74" s="14" t="n">
        <f aca="false">SUM(AF71:AK71)</f>
        <v>5.6</v>
      </c>
      <c r="AL74" s="14" t="n">
        <f aca="false">SUM(AG71:AL71)</f>
        <v>5.6</v>
      </c>
      <c r="AN74" s="36" t="n">
        <f aca="false">N74</f>
        <v>1</v>
      </c>
      <c r="AO74" s="36" t="n">
        <f aca="false">Z74</f>
        <v>2.8</v>
      </c>
      <c r="AP74" s="36" t="n">
        <f aca="false">AL74</f>
        <v>5.6</v>
      </c>
    </row>
    <row r="75" customFormat="false" ht="15" hidden="false" customHeight="false" outlineLevel="0" collapsed="false">
      <c r="A75" s="0" t="s">
        <v>881</v>
      </c>
      <c r="B75" s="0" t="s">
        <v>852</v>
      </c>
      <c r="C75" s="14" t="n">
        <f aca="false">C69</f>
        <v>0</v>
      </c>
      <c r="D75" s="14" t="n">
        <f aca="false">SUM(C69:D69)</f>
        <v>0</v>
      </c>
      <c r="E75" s="14" t="n">
        <f aca="false">SUM(C69:E69)</f>
        <v>0</v>
      </c>
      <c r="F75" s="14" t="n">
        <f aca="false">SUM(C69:F69)</f>
        <v>0</v>
      </c>
      <c r="G75" s="14" t="n">
        <f aca="false">SUM(C69:G69)</f>
        <v>0</v>
      </c>
      <c r="H75" s="14" t="n">
        <f aca="false">SUM(C69:H69)</f>
        <v>0</v>
      </c>
      <c r="I75" s="14" t="n">
        <f aca="false">SUM(D69:I69)</f>
        <v>0</v>
      </c>
      <c r="J75" s="14" t="n">
        <f aca="false">SUM(E69:J69)</f>
        <v>0</v>
      </c>
      <c r="K75" s="14" t="n">
        <f aca="false">SUM(F69:K69)</f>
        <v>0</v>
      </c>
      <c r="L75" s="14" t="n">
        <f aca="false">SUM(G69:L69)</f>
        <v>0</v>
      </c>
      <c r="M75" s="14" t="n">
        <f aca="false">SUM(H69:M69)</f>
        <v>0</v>
      </c>
      <c r="N75" s="14" t="n">
        <f aca="false">SUM(I69:N69)</f>
        <v>0</v>
      </c>
      <c r="O75" s="14" t="n">
        <f aca="false">SUM(J69:O69)</f>
        <v>0</v>
      </c>
      <c r="P75" s="14" t="n">
        <f aca="false">SUM(K69:P69)</f>
        <v>1.4</v>
      </c>
      <c r="Q75" s="14" t="n">
        <f aca="false">SUM(L69:Q69)</f>
        <v>1.4</v>
      </c>
      <c r="R75" s="14" t="n">
        <f aca="false">SUM(M69:R69)</f>
        <v>1.4</v>
      </c>
      <c r="S75" s="14" t="n">
        <f aca="false">SUM(N69:S69)</f>
        <v>2.8</v>
      </c>
      <c r="T75" s="14" t="n">
        <f aca="false">SUM(O69:T69)</f>
        <v>2.8</v>
      </c>
      <c r="U75" s="14" t="n">
        <f aca="false">SUM(P69:U69)</f>
        <v>2.8</v>
      </c>
      <c r="V75" s="14" t="n">
        <f aca="false">SUM(Q69:V69)</f>
        <v>2.8</v>
      </c>
      <c r="W75" s="14" t="n">
        <f aca="false">SUM(R69:W69)</f>
        <v>2.8</v>
      </c>
      <c r="X75" s="14" t="n">
        <f aca="false">SUM(S69:X69)</f>
        <v>2.8</v>
      </c>
      <c r="Y75" s="14" t="n">
        <f aca="false">SUM(T69:Y69)</f>
        <v>2.8</v>
      </c>
      <c r="Z75" s="14" t="n">
        <f aca="false">SUM(U69:Z69)</f>
        <v>2.8</v>
      </c>
      <c r="AA75" s="14" t="n">
        <f aca="false">SUM(V69:AA69)</f>
        <v>2.8</v>
      </c>
      <c r="AB75" s="14" t="n">
        <f aca="false">SUM(W69:AB69)</f>
        <v>4.2</v>
      </c>
      <c r="AC75" s="14" t="n">
        <f aca="false">SUM(X69:AC69)</f>
        <v>4.2</v>
      </c>
      <c r="AD75" s="14" t="n">
        <f aca="false">SUM(Y69:AD69)</f>
        <v>4.2</v>
      </c>
      <c r="AE75" s="14" t="n">
        <f aca="false">SUM(Z69:AE69)</f>
        <v>5.6</v>
      </c>
      <c r="AF75" s="14" t="n">
        <f aca="false">SUM(AA69:AF69)</f>
        <v>5.6</v>
      </c>
      <c r="AG75" s="14" t="n">
        <f aca="false">SUM(AB69:AG69)</f>
        <v>5.6</v>
      </c>
      <c r="AH75" s="14" t="n">
        <f aca="false">SUM(AC69:AH69)</f>
        <v>5.6</v>
      </c>
      <c r="AI75" s="14" t="n">
        <f aca="false">SUM(AD69:AI69)</f>
        <v>5.6</v>
      </c>
      <c r="AJ75" s="14" t="n">
        <f aca="false">SUM(AE69:AJ69)</f>
        <v>5.6</v>
      </c>
      <c r="AK75" s="14" t="n">
        <f aca="false">SUM(AF69:AK69)</f>
        <v>5.6</v>
      </c>
      <c r="AL75" s="14" t="n">
        <f aca="false">SUM(AG69:AL69)</f>
        <v>5.6</v>
      </c>
      <c r="AN75" s="36" t="n">
        <f aca="false">N75</f>
        <v>0</v>
      </c>
      <c r="AO75" s="36" t="n">
        <f aca="false">Z75</f>
        <v>2.8</v>
      </c>
      <c r="AP75" s="36" t="n">
        <f aca="false">AL75</f>
        <v>5.6</v>
      </c>
    </row>
    <row r="76" customFormat="false" ht="15" hidden="false" customHeight="false" outlineLevel="0" collapsed="false">
      <c r="A76" s="0" t="s">
        <v>882</v>
      </c>
      <c r="B76" s="0" t="s">
        <v>852</v>
      </c>
      <c r="C76" s="14" t="n">
        <f aca="false">((Assumptions!$D$127*$C$8)*0)</f>
        <v>0</v>
      </c>
      <c r="D76" s="14" t="n">
        <f aca="false">((Assumptions!$D$127*$C$8)*0)</f>
        <v>0</v>
      </c>
      <c r="E76" s="14" t="n">
        <f aca="false">((Assumptions!$D$127*$C$8)*0)</f>
        <v>0</v>
      </c>
      <c r="F76" s="14" t="n">
        <f aca="false">((Assumptions!$D$127*$C$8)*0)</f>
        <v>0</v>
      </c>
      <c r="G76" s="14" t="n">
        <f aca="false">((Assumptions!$D$127*$C$8)*0)</f>
        <v>0</v>
      </c>
      <c r="H76" s="14" t="n">
        <f aca="false">((Assumptions!$D$127*$C$8)*0)</f>
        <v>0</v>
      </c>
      <c r="I76" s="14" t="n">
        <f aca="false">((Assumptions!$D$127*$C$8)*0)</f>
        <v>0</v>
      </c>
      <c r="J76" s="14" t="n">
        <f aca="false">((Assumptions!$D$127*$C$8)*C69)</f>
        <v>0</v>
      </c>
      <c r="K76" s="14" t="n">
        <f aca="false">((Assumptions!$D$127*$C$8)*D69)</f>
        <v>0</v>
      </c>
      <c r="L76" s="14" t="n">
        <f aca="false">((Assumptions!$D$127*$C$8)*E69)</f>
        <v>0</v>
      </c>
      <c r="M76" s="14" t="n">
        <f aca="false">((Assumptions!$D$127*$C$8)*F69)</f>
        <v>0</v>
      </c>
      <c r="N76" s="14" t="n">
        <f aca="false">((Assumptions!$D$127*$C$8)*G69)</f>
        <v>0</v>
      </c>
      <c r="O76" s="14" t="n">
        <f aca="false">((Assumptions!$D$127*$C$8)*H69)</f>
        <v>0</v>
      </c>
      <c r="P76" s="14" t="n">
        <f aca="false">((Assumptions!$D$127*$C$8)*I69)</f>
        <v>0</v>
      </c>
      <c r="Q76" s="14" t="n">
        <f aca="false">((Assumptions!$D$127*$C$8)*J69)</f>
        <v>0</v>
      </c>
      <c r="R76" s="14" t="n">
        <f aca="false">((Assumptions!$D$127*$C$8)*K69)</f>
        <v>0</v>
      </c>
      <c r="S76" s="14" t="n">
        <f aca="false">((Assumptions!$D$127*$C$8)*L69)</f>
        <v>0</v>
      </c>
      <c r="T76" s="14" t="n">
        <f aca="false">((Assumptions!$D$127*$C$8)*M69)</f>
        <v>0</v>
      </c>
      <c r="U76" s="14" t="n">
        <f aca="false">((Assumptions!$D$127*$C$8)*N69)</f>
        <v>0</v>
      </c>
      <c r="V76" s="14" t="n">
        <f aca="false">((Assumptions!$D$127*$C$8)*O69)</f>
        <v>0</v>
      </c>
      <c r="W76" s="14" t="n">
        <f aca="false">((Assumptions!$D$127*$C$8)*P69)</f>
        <v>0.693</v>
      </c>
      <c r="X76" s="14" t="n">
        <f aca="false">((Assumptions!$D$127*$C$8)*Q69)</f>
        <v>0</v>
      </c>
      <c r="Y76" s="14" t="n">
        <f aca="false">((Assumptions!$D$127*$C$8)*R69)</f>
        <v>0</v>
      </c>
      <c r="Z76" s="14" t="n">
        <f aca="false">((Assumptions!$D$127*$C$8)*S69)</f>
        <v>0.693</v>
      </c>
      <c r="AA76" s="14" t="n">
        <f aca="false">((Assumptions!$D$127*$C$8)*T69)</f>
        <v>0</v>
      </c>
      <c r="AB76" s="14" t="n">
        <f aca="false">((Assumptions!$D$127*$C$8)*U69)</f>
        <v>0</v>
      </c>
      <c r="AC76" s="14" t="n">
        <f aca="false">((Assumptions!$D$127*$C$8)*V69)</f>
        <v>0.693</v>
      </c>
      <c r="AD76" s="14" t="n">
        <f aca="false">((Assumptions!$D$127*$C$8)*W69)</f>
        <v>0</v>
      </c>
      <c r="AE76" s="14" t="n">
        <f aca="false">((Assumptions!$D$127*$C$8)*X69)</f>
        <v>0</v>
      </c>
      <c r="AF76" s="14" t="n">
        <f aca="false">((Assumptions!$D$127*$C$8)*Y69)</f>
        <v>0.693</v>
      </c>
      <c r="AG76" s="14" t="n">
        <f aca="false">((Assumptions!$D$127*$C$8)*Z69)</f>
        <v>0</v>
      </c>
      <c r="AH76" s="14" t="n">
        <f aca="false">((Assumptions!$D$127*$C$8)*AA69)</f>
        <v>0</v>
      </c>
      <c r="AI76" s="14" t="n">
        <f aca="false">((Assumptions!$D$127*$C$8)*AB69)</f>
        <v>1.386</v>
      </c>
      <c r="AJ76" s="14" t="n">
        <f aca="false">((Assumptions!$D$127*$C$8)*AC69)</f>
        <v>0</v>
      </c>
      <c r="AK76" s="14" t="n">
        <f aca="false">((Assumptions!$D$127*$C$8)*AD69)</f>
        <v>0</v>
      </c>
      <c r="AL76" s="14" t="n">
        <f aca="false">((Assumptions!$D$127*$C$8)*AE69)</f>
        <v>1.386</v>
      </c>
      <c r="AN76" s="36" t="n">
        <f aca="false">SUM(C76:N76)</f>
        <v>0</v>
      </c>
      <c r="AO76" s="36" t="n">
        <f aca="false">SUM(O76:Z76)</f>
        <v>1.386</v>
      </c>
      <c r="AP76" s="36" t="n">
        <f aca="false">SUM(AA76:AL76)</f>
        <v>4.158</v>
      </c>
    </row>
    <row r="77" customFormat="false" ht="15" hidden="false" customHeight="false" outlineLevel="0" collapsed="false">
      <c r="A77" s="0" t="s">
        <v>883</v>
      </c>
      <c r="B77" s="0" t="s">
        <v>852</v>
      </c>
      <c r="C77" s="14" t="n">
        <f aca="false">((Assumptions!$C$10*$C$8)*IF((C$18=(Assumptions!$C$7+$C$9)),0,IF((C$18&gt;(Assumptions!$C$7+$C$9)),0,0)))</f>
        <v>0</v>
      </c>
      <c r="D77" s="14" t="n">
        <f aca="false">((Assumptions!$C$10*$C$8)*IF((D$18=(Assumptions!$C$7+$C$9)),0,IF((D$18&gt;(Assumptions!$C$7+$C$9)),0,0)))</f>
        <v>0</v>
      </c>
      <c r="E77" s="14" t="n">
        <f aca="false">((Assumptions!$C$10*$C$8)*IF((E$18=(Assumptions!$C$7+$C$9)),0,IF((E$18&gt;(Assumptions!$C$7+$C$9)),0,0)))</f>
        <v>0</v>
      </c>
      <c r="F77" s="14" t="n">
        <f aca="false">((Assumptions!$C$10*$C$8)*IF((F$18=(Assumptions!$C$7+$C$9)),0,IF((F$18&gt;(Assumptions!$C$7+$C$9)),0,0)))</f>
        <v>0</v>
      </c>
      <c r="G77" s="14" t="n">
        <f aca="false">((Assumptions!$C$10*$C$8)*IF((G$18=(Assumptions!$C$7+$C$9)),0,IF((G$18&gt;(Assumptions!$C$7+$C$9)),0,0)))</f>
        <v>0</v>
      </c>
      <c r="H77" s="14" t="n">
        <f aca="false">((Assumptions!$C$10*$C$8)*IF((H$18=(Assumptions!$C$7+$C$9)),0,IF((H$18&gt;(Assumptions!$C$7+$C$9)),0,0)))</f>
        <v>0</v>
      </c>
      <c r="I77" s="14" t="n">
        <f aca="false">((Assumptions!$C$10*$C$8)*IF((I$18=(Assumptions!$C$7+$C$9)),0,IF((I$18&gt;(Assumptions!$C$7+$C$9)),0,0)))</f>
        <v>0</v>
      </c>
      <c r="J77" s="14" t="n">
        <f aca="false">((Assumptions!$C$10*$C$8)*IF((J$18=(Assumptions!$C$7+$C$9)),C70,IF((J$18&gt;(Assumptions!$C$7+$C$9)),C70,0)))</f>
        <v>0</v>
      </c>
      <c r="K77" s="14" t="n">
        <f aca="false">((Assumptions!$C$10*$C$8)*IF((K$18=(Assumptions!$C$7+$C$9)),SUM(C70:D70),IF((K$18&gt;(Assumptions!$C$7+$C$9)),D70,0)))</f>
        <v>0</v>
      </c>
      <c r="L77" s="14" t="n">
        <f aca="false">((Assumptions!$C$10*$C$8)*IF((L$18=(Assumptions!$C$7+$C$9)),SUM(C70:E70),IF((L$18&gt;(Assumptions!$C$7+$C$9)),E70,0)))</f>
        <v>0</v>
      </c>
      <c r="M77" s="14" t="n">
        <f aca="false">((Assumptions!$C$10*$C$8)*IF((M$18=(Assumptions!$C$7+$C$9)),SUM(C70:F70),IF((M$18&gt;(Assumptions!$C$7+$C$9)),F70,0)))</f>
        <v>0</v>
      </c>
      <c r="N77" s="14" t="n">
        <f aca="false">((Assumptions!$C$10*$C$8)*IF((N$18=(Assumptions!$C$7+$C$9)),SUM(C70:G70),IF((N$18&gt;(Assumptions!$C$7+$C$9)),G70,0)))</f>
        <v>0</v>
      </c>
      <c r="O77" s="14" t="n">
        <f aca="false">((Assumptions!$C$10*$C$8)*IF((O$18=(Assumptions!$C$7+$C$9)),SUM(C70:H70),IF((O$18&gt;(Assumptions!$C$7+$C$9)),H70,0)))</f>
        <v>0</v>
      </c>
      <c r="P77" s="14" t="n">
        <f aca="false">((Assumptions!$C$10*$C$8)*IF((P$18=(Assumptions!$C$7+$C$9)),SUM(C70:I70),IF((P$18&gt;(Assumptions!$C$7+$C$9)),I70,0)))</f>
        <v>0</v>
      </c>
      <c r="Q77" s="14" t="n">
        <f aca="false">((Assumptions!$C$10*$C$8)*IF((Q$18=(Assumptions!$C$7+$C$9)),SUM(C70:J70),IF((Q$18&gt;(Assumptions!$C$7+$C$9)),J70,0)))</f>
        <v>0.66</v>
      </c>
      <c r="R77" s="14" t="n">
        <f aca="false">((Assumptions!$C$10*$C$8)*IF((R$18=(Assumptions!$C$7+$C$9)),SUM(C70:K70),IF((R$18&gt;(Assumptions!$C$7+$C$9)),K70,0)))</f>
        <v>0</v>
      </c>
      <c r="S77" s="14" t="n">
        <f aca="false">((Assumptions!$C$10*$C$8)*IF((S$18=(Assumptions!$C$7+$C$9)),SUM(C70:L70),IF((S$18&gt;(Assumptions!$C$7+$C$9)),L70,0)))</f>
        <v>0</v>
      </c>
      <c r="T77" s="14" t="n">
        <f aca="false">((Assumptions!$C$10*$C$8)*IF((T$18=(Assumptions!$C$7+$C$9)),SUM(C70:M70),IF((T$18&gt;(Assumptions!$C$7+$C$9)),M70,0)))</f>
        <v>0</v>
      </c>
      <c r="U77" s="14" t="n">
        <f aca="false">((Assumptions!$C$10*$C$8)*IF((U$18=(Assumptions!$C$7+$C$9)),SUM(C70:N70),IF((U$18&gt;(Assumptions!$C$7+$C$9)),N70,0)))</f>
        <v>0</v>
      </c>
      <c r="V77" s="14" t="n">
        <f aca="false">((Assumptions!$C$10*$C$8)*IF((V$18=(Assumptions!$C$7+$C$9)),SUM(C70:O70),IF((V$18&gt;(Assumptions!$C$7+$C$9)),O70,0)))</f>
        <v>0</v>
      </c>
      <c r="W77" s="14" t="n">
        <f aca="false">((Assumptions!$C$10*$C$8)*IF((W$18=(Assumptions!$C$7+$C$9)),SUM(C70:P70),IF((W$18&gt;(Assumptions!$C$7+$C$9)),P70,0)))</f>
        <v>0</v>
      </c>
      <c r="X77" s="14" t="n">
        <f aca="false">((Assumptions!$C$10*$C$8)*IF((X$18=(Assumptions!$C$7+$C$9)),SUM(C70:Q70),IF((X$18&gt;(Assumptions!$C$7+$C$9)),Q70,0)))</f>
        <v>0</v>
      </c>
      <c r="Y77" s="14" t="n">
        <f aca="false">((Assumptions!$C$10*$C$8)*IF((Y$18=(Assumptions!$C$7+$C$9)),SUM(C70:R70),IF((Y$18&gt;(Assumptions!$C$7+$C$9)),R70,0)))</f>
        <v>0</v>
      </c>
      <c r="Z77" s="14" t="n">
        <f aca="false">((Assumptions!$C$10*$C$8)*IF((Z$18=(Assumptions!$C$7+$C$9)),SUM(C70:S70),IF((Z$18&gt;(Assumptions!$C$7+$C$9)),S70,0)))</f>
        <v>0</v>
      </c>
      <c r="AA77" s="14" t="n">
        <f aca="false">((Assumptions!$C$10*$C$8)*IF((AA$18=(Assumptions!$C$7+$C$9)),SUM(C70:T70),IF((AA$18&gt;(Assumptions!$C$7+$C$9)),T70,0)))</f>
        <v>0</v>
      </c>
      <c r="AB77" s="14" t="n">
        <f aca="false">((Assumptions!$C$10*$C$8)*IF((AB$18=(Assumptions!$C$7+$C$9)),SUM(C70:U70),IF((AB$18&gt;(Assumptions!$C$7+$C$9)),U70,0)))</f>
        <v>0</v>
      </c>
      <c r="AC77" s="14" t="n">
        <f aca="false">((Assumptions!$C$10*$C$8)*IF((AC$18=(Assumptions!$C$7+$C$9)),SUM(C70:V70),IF((AC$18&gt;(Assumptions!$C$7+$C$9)),V70,0)))</f>
        <v>0</v>
      </c>
      <c r="AD77" s="14" t="n">
        <f aca="false">((Assumptions!$C$10*$C$8)*IF((AD$18=(Assumptions!$C$7+$C$9)),SUM(C70:W70),IF((AD$18&gt;(Assumptions!$C$7+$C$9)),W70,0)))</f>
        <v>0</v>
      </c>
      <c r="AE77" s="14" t="n">
        <f aca="false">((Assumptions!$C$10*$C$8)*IF((AE$18=(Assumptions!$C$7+$C$9)),SUM(C70:X70),IF((AE$18&gt;(Assumptions!$C$7+$C$9)),X70,0)))</f>
        <v>0</v>
      </c>
      <c r="AF77" s="14" t="n">
        <f aca="false">((Assumptions!$C$10*$C$8)*IF((AF$18=(Assumptions!$C$7+$C$9)),SUM(C70:Y70),IF((AF$18&gt;(Assumptions!$C$7+$C$9)),Y70,0)))</f>
        <v>0</v>
      </c>
      <c r="AG77" s="14" t="n">
        <f aca="false">((Assumptions!$C$10*$C$8)*IF((AG$18=(Assumptions!$C$7+$C$9)),SUM(C70:Z70),IF((AG$18&gt;(Assumptions!$C$7+$C$9)),Z70,0)))</f>
        <v>0</v>
      </c>
      <c r="AH77" s="14" t="n">
        <f aca="false">((Assumptions!$C$10*$C$8)*IF((AH$18=(Assumptions!$C$7+$C$9)),SUM(C70:AA70),IF((AH$18&gt;(Assumptions!$C$7+$C$9)),AA70,0)))</f>
        <v>0</v>
      </c>
      <c r="AI77" s="14" t="n">
        <f aca="false">((Assumptions!$C$10*$C$8)*IF((AI$18=(Assumptions!$C$7+$C$9)),SUM(C70:AB70),IF((AI$18&gt;(Assumptions!$C$7+$C$9)),AB70,0)))</f>
        <v>0</v>
      </c>
      <c r="AJ77" s="14" t="n">
        <f aca="false">((Assumptions!$C$10*$C$8)*IF((AJ$18=(Assumptions!$C$7+$C$9)),SUM(C70:AC70),IF((AJ$18&gt;(Assumptions!$C$7+$C$9)),AC70,0)))</f>
        <v>0</v>
      </c>
      <c r="AK77" s="14" t="n">
        <f aca="false">((Assumptions!$C$10*$C$8)*IF((AK$18=(Assumptions!$C$7+$C$9)),SUM(C70:AD70),IF((AK$18&gt;(Assumptions!$C$7+$C$9)),AD70,0)))</f>
        <v>0</v>
      </c>
      <c r="AL77" s="14" t="n">
        <f aca="false">((Assumptions!$C$10*$C$8)*IF((AL$18=(Assumptions!$C$7+$C$9)),SUM(C70:AE70),IF((AL$18&gt;(Assumptions!$C$7+$C$9)),AE70,0)))</f>
        <v>0</v>
      </c>
      <c r="AN77" s="36" t="n">
        <f aca="false">SUM(C77:N77)</f>
        <v>0</v>
      </c>
      <c r="AO77" s="36" t="n">
        <f aca="false">SUM(O77:Z77)</f>
        <v>0.66</v>
      </c>
      <c r="AP77" s="36" t="n">
        <f aca="false">SUM(AA77:AL77)</f>
        <v>0</v>
      </c>
    </row>
    <row r="78" customFormat="false" ht="15" hidden="false" customHeight="false" outlineLevel="0" collapsed="false">
      <c r="A78" s="0" t="s">
        <v>884</v>
      </c>
      <c r="B78" s="0" t="s">
        <v>852</v>
      </c>
      <c r="C78" s="14" t="n">
        <f aca="false">((C76+C77)+C72)</f>
        <v>0</v>
      </c>
      <c r="D78" s="14" t="n">
        <f aca="false">((D76+D77)+D72)</f>
        <v>0</v>
      </c>
      <c r="E78" s="14" t="n">
        <f aca="false">((E76+E77)+E72)</f>
        <v>0</v>
      </c>
      <c r="F78" s="14" t="n">
        <f aca="false">((F76+F77)+F72)</f>
        <v>0</v>
      </c>
      <c r="G78" s="14" t="n">
        <f aca="false">((G76+G77)+G72)</f>
        <v>0</v>
      </c>
      <c r="H78" s="14" t="n">
        <f aca="false">((H76+H77)+H72)</f>
        <v>0</v>
      </c>
      <c r="I78" s="14" t="n">
        <f aca="false">((I76+I77)+I72)</f>
        <v>0</v>
      </c>
      <c r="J78" s="14" t="n">
        <f aca="false">((J76+J77)+J72)</f>
        <v>0</v>
      </c>
      <c r="K78" s="14" t="n">
        <f aca="false">((K76+K77)+K72)</f>
        <v>0</v>
      </c>
      <c r="L78" s="14" t="n">
        <f aca="false">((L76+L77)+L72)</f>
        <v>0</v>
      </c>
      <c r="M78" s="14" t="n">
        <f aca="false">((M76+M77)+M72)</f>
        <v>0</v>
      </c>
      <c r="N78" s="14" t="n">
        <f aca="false">((N76+N77)+N72)</f>
        <v>0</v>
      </c>
      <c r="O78" s="14" t="n">
        <f aca="false">((O76+O77)+O72)</f>
        <v>0</v>
      </c>
      <c r="P78" s="14" t="n">
        <f aca="false">((P76+P77)+P72)</f>
        <v>0</v>
      </c>
      <c r="Q78" s="14" t="n">
        <f aca="false">((Q76+Q77)+Q72)</f>
        <v>0.66</v>
      </c>
      <c r="R78" s="14" t="n">
        <f aca="false">((R76+R77)+R72)</f>
        <v>0</v>
      </c>
      <c r="S78" s="14" t="n">
        <f aca="false">((S76+S77)+S72)</f>
        <v>0</v>
      </c>
      <c r="T78" s="14" t="n">
        <f aca="false">((T76+T77)+T72)</f>
        <v>0</v>
      </c>
      <c r="U78" s="14" t="n">
        <f aca="false">((U76+U77)+U72)</f>
        <v>0</v>
      </c>
      <c r="V78" s="14" t="n">
        <f aca="false">((V76+V77)+V72)</f>
        <v>0</v>
      </c>
      <c r="W78" s="14" t="n">
        <f aca="false">((W76+W77)+W72)</f>
        <v>0.693</v>
      </c>
      <c r="X78" s="14" t="n">
        <f aca="false">((X76+X77)+X72)</f>
        <v>0</v>
      </c>
      <c r="Y78" s="14" t="n">
        <f aca="false">((Y76+Y77)+Y72)</f>
        <v>0</v>
      </c>
      <c r="Z78" s="14" t="n">
        <f aca="false">((Z76+Z77)+Z72)</f>
        <v>2.093</v>
      </c>
      <c r="AA78" s="14" t="n">
        <f aca="false">((AA76+AA77)+AA72)</f>
        <v>0</v>
      </c>
      <c r="AB78" s="14" t="n">
        <f aca="false">((AB76+AB77)+AB72)</f>
        <v>0</v>
      </c>
      <c r="AC78" s="14" t="n">
        <f aca="false">((AC76+AC77)+AC72)</f>
        <v>2.093</v>
      </c>
      <c r="AD78" s="14" t="n">
        <f aca="false">((AD76+AD77)+AD72)</f>
        <v>0</v>
      </c>
      <c r="AE78" s="14" t="n">
        <f aca="false">((AE76+AE77)+AE72)</f>
        <v>0</v>
      </c>
      <c r="AF78" s="14" t="n">
        <f aca="false">((AF76+AF77)+AF72)</f>
        <v>2.093</v>
      </c>
      <c r="AG78" s="14" t="n">
        <f aca="false">((AG76+AG77)+AG72)</f>
        <v>0</v>
      </c>
      <c r="AH78" s="14" t="n">
        <f aca="false">((AH76+AH77)+AH72)</f>
        <v>0</v>
      </c>
      <c r="AI78" s="14" t="n">
        <f aca="false">((AI76+AI77)+AI72)</f>
        <v>4.186</v>
      </c>
      <c r="AJ78" s="14" t="n">
        <f aca="false">((AJ76+AJ77)+AJ72)</f>
        <v>0</v>
      </c>
      <c r="AK78" s="14" t="n">
        <f aca="false">((AK76+AK77)+AK72)</f>
        <v>0</v>
      </c>
      <c r="AL78" s="14" t="n">
        <f aca="false">((AL76+AL77)+AL72)</f>
        <v>4.186</v>
      </c>
      <c r="AN78" s="36" t="n">
        <f aca="false">SUM(C78:N78)</f>
        <v>0</v>
      </c>
      <c r="AO78" s="36" t="n">
        <f aca="false">SUM(O78:Z78)</f>
        <v>3.446</v>
      </c>
      <c r="AP78" s="36" t="n">
        <f aca="false">SUM(AA78:AL78)</f>
        <v>12.558</v>
      </c>
    </row>
    <row r="79" customFormat="false" ht="15" hidden="false" customHeight="false" outlineLevel="0" collapsed="false">
      <c r="A79" s="0" t="s">
        <v>885</v>
      </c>
      <c r="B79" s="0" t="s">
        <v>852</v>
      </c>
      <c r="C79" s="14" t="n">
        <f aca="false">(C78+(C45*0))</f>
        <v>0</v>
      </c>
      <c r="D79" s="14" t="n">
        <f aca="false">(D78+(D45*0))</f>
        <v>0</v>
      </c>
      <c r="E79" s="14" t="n">
        <f aca="false">(E78+(E45*0))</f>
        <v>0</v>
      </c>
      <c r="F79" s="14" t="n">
        <f aca="false">(F78+(F45*0))</f>
        <v>0</v>
      </c>
      <c r="G79" s="14" t="n">
        <f aca="false">(G78+(G45*0))</f>
        <v>0</v>
      </c>
      <c r="H79" s="14" t="n">
        <f aca="false">(H78+(H45*0))</f>
        <v>0</v>
      </c>
      <c r="I79" s="14" t="n">
        <f aca="false">(I78+(I45*0))</f>
        <v>0</v>
      </c>
      <c r="J79" s="14" t="n">
        <f aca="false">(J78+(J45*0))</f>
        <v>0</v>
      </c>
      <c r="K79" s="14" t="n">
        <f aca="false">(K78+(K45*0))</f>
        <v>0</v>
      </c>
      <c r="L79" s="14" t="n">
        <f aca="false">(L78+(L45*0))</f>
        <v>0</v>
      </c>
      <c r="M79" s="14" t="n">
        <f aca="false">(M78+(M45*0))</f>
        <v>0</v>
      </c>
      <c r="N79" s="14" t="n">
        <f aca="false">(N78+(N45*0))</f>
        <v>0</v>
      </c>
      <c r="O79" s="14" t="n">
        <f aca="false">(O78+(O45*C79))</f>
        <v>0</v>
      </c>
      <c r="P79" s="14" t="n">
        <f aca="false">(P78+(P45*D79))</f>
        <v>0</v>
      </c>
      <c r="Q79" s="14" t="n">
        <f aca="false">(Q78+(Q45*E79))</f>
        <v>0.66</v>
      </c>
      <c r="R79" s="14" t="n">
        <f aca="false">(R78+(R45*F79))</f>
        <v>0</v>
      </c>
      <c r="S79" s="14" t="n">
        <f aca="false">(S78+(S45*G79))</f>
        <v>0</v>
      </c>
      <c r="T79" s="14" t="n">
        <f aca="false">(T78+(T45*H79))</f>
        <v>0</v>
      </c>
      <c r="U79" s="14" t="n">
        <f aca="false">(U78+(U45*I79))</f>
        <v>0</v>
      </c>
      <c r="V79" s="14" t="n">
        <f aca="false">(V78+(V45*J79))</f>
        <v>0</v>
      </c>
      <c r="W79" s="14" t="n">
        <f aca="false">(W78+(W45*K79))</f>
        <v>0.693</v>
      </c>
      <c r="X79" s="14" t="n">
        <f aca="false">(X78+(X45*L79))</f>
        <v>0</v>
      </c>
      <c r="Y79" s="14" t="n">
        <f aca="false">(Y78+(Y45*M79))</f>
        <v>0</v>
      </c>
      <c r="Z79" s="14" t="n">
        <f aca="false">(Z78+(Z45*N79))</f>
        <v>2.093</v>
      </c>
      <c r="AA79" s="14" t="n">
        <f aca="false">(AA78+(AA45*O79))</f>
        <v>0</v>
      </c>
      <c r="AB79" s="14" t="n">
        <f aca="false">(AB78+(AB45*P79))</f>
        <v>0</v>
      </c>
      <c r="AC79" s="14" t="n">
        <f aca="false">(AC78+(AC45*Q79))</f>
        <v>2.68568</v>
      </c>
      <c r="AD79" s="14" t="n">
        <f aca="false">(AD78+(AD45*R79))</f>
        <v>0</v>
      </c>
      <c r="AE79" s="14" t="n">
        <f aca="false">(AE78+(AE45*S79))</f>
        <v>0</v>
      </c>
      <c r="AF79" s="14" t="n">
        <f aca="false">(AF78+(AF45*T79))</f>
        <v>2.093</v>
      </c>
      <c r="AG79" s="14" t="n">
        <f aca="false">(AG78+(AG45*U79))</f>
        <v>0</v>
      </c>
      <c r="AH79" s="14" t="n">
        <f aca="false">(AH78+(AH45*V79))</f>
        <v>0</v>
      </c>
      <c r="AI79" s="14" t="n">
        <f aca="false">(AI78+(AI45*W79))</f>
        <v>4.808314</v>
      </c>
      <c r="AJ79" s="14" t="n">
        <f aca="false">(AJ78+(AJ45*X79))</f>
        <v>0</v>
      </c>
      <c r="AK79" s="14" t="n">
        <f aca="false">(AK78+(AK45*Y79))</f>
        <v>0</v>
      </c>
      <c r="AL79" s="14" t="n">
        <f aca="false">(AL78+(AL45*Z79))</f>
        <v>6.065514</v>
      </c>
      <c r="AN79" s="36" t="n">
        <f aca="false">SUM(C79:N79)</f>
        <v>0</v>
      </c>
      <c r="AO79" s="36" t="n">
        <f aca="false">SUM(O79:Z79)</f>
        <v>3.446</v>
      </c>
      <c r="AP79" s="36" t="n">
        <f aca="false">SUM(AA79:AL79)</f>
        <v>15.652508</v>
      </c>
    </row>
    <row r="80" customFormat="false" ht="15" hidden="false" customHeight="false" outlineLevel="0" collapsed="false">
      <c r="A80" s="0" t="s">
        <v>886</v>
      </c>
      <c r="B80" s="0" t="s">
        <v>852</v>
      </c>
      <c r="C80" s="14" t="n">
        <f aca="false">C79</f>
        <v>0</v>
      </c>
      <c r="D80" s="14" t="n">
        <f aca="false">SUM(C79:D79)</f>
        <v>0</v>
      </c>
      <c r="E80" s="14" t="n">
        <f aca="false">SUM(C79:E79)</f>
        <v>0</v>
      </c>
      <c r="F80" s="14" t="n">
        <f aca="false">SUM(C79:F79)</f>
        <v>0</v>
      </c>
      <c r="G80" s="14" t="n">
        <f aca="false">SUM(C79:G79)</f>
        <v>0</v>
      </c>
      <c r="H80" s="14" t="n">
        <f aca="false">SUM(C79:H79)</f>
        <v>0</v>
      </c>
      <c r="I80" s="14" t="n">
        <f aca="false">SUM(C79:I79)</f>
        <v>0</v>
      </c>
      <c r="J80" s="14" t="n">
        <f aca="false">SUM(C79:J79)</f>
        <v>0</v>
      </c>
      <c r="K80" s="14" t="n">
        <f aca="false">SUM(C79:K79)</f>
        <v>0</v>
      </c>
      <c r="L80" s="14" t="n">
        <f aca="false">SUM(C79:L79)</f>
        <v>0</v>
      </c>
      <c r="M80" s="14" t="n">
        <f aca="false">SUM(C79:M79)</f>
        <v>0</v>
      </c>
      <c r="N80" s="14" t="n">
        <f aca="false">SUM(C79:N79)</f>
        <v>0</v>
      </c>
      <c r="O80" s="14" t="n">
        <f aca="false">SUM(D79:O79)</f>
        <v>0</v>
      </c>
      <c r="P80" s="14" t="n">
        <f aca="false">SUM(E79:P79)</f>
        <v>0</v>
      </c>
      <c r="Q80" s="14" t="n">
        <f aca="false">SUM(F79:Q79)</f>
        <v>0.66</v>
      </c>
      <c r="R80" s="14" t="n">
        <f aca="false">SUM(G79:R79)</f>
        <v>0.66</v>
      </c>
      <c r="S80" s="14" t="n">
        <f aca="false">SUM(H79:S79)</f>
        <v>0.66</v>
      </c>
      <c r="T80" s="14" t="n">
        <f aca="false">SUM(I79:T79)</f>
        <v>0.66</v>
      </c>
      <c r="U80" s="14" t="n">
        <f aca="false">SUM(J79:U79)</f>
        <v>0.66</v>
      </c>
      <c r="V80" s="14" t="n">
        <f aca="false">SUM(K79:V79)</f>
        <v>0.66</v>
      </c>
      <c r="W80" s="14" t="n">
        <f aca="false">SUM(L79:W79)</f>
        <v>1.353</v>
      </c>
      <c r="X80" s="14" t="n">
        <f aca="false">SUM(M79:X79)</f>
        <v>1.353</v>
      </c>
      <c r="Y80" s="14" t="n">
        <f aca="false">SUM(N79:Y79)</f>
        <v>1.353</v>
      </c>
      <c r="Z80" s="14" t="n">
        <f aca="false">SUM(O79:Z79)</f>
        <v>3.446</v>
      </c>
      <c r="AA80" s="14" t="n">
        <f aca="false">SUM(P79:AA79)</f>
        <v>3.446</v>
      </c>
      <c r="AB80" s="14" t="n">
        <f aca="false">SUM(Q79:AB79)</f>
        <v>3.446</v>
      </c>
      <c r="AC80" s="14" t="n">
        <f aca="false">SUM(R79:AC79)</f>
        <v>5.47168</v>
      </c>
      <c r="AD80" s="14" t="n">
        <f aca="false">SUM(S79:AD79)</f>
        <v>5.47168</v>
      </c>
      <c r="AE80" s="14" t="n">
        <f aca="false">SUM(T79:AE79)</f>
        <v>5.47168</v>
      </c>
      <c r="AF80" s="14" t="n">
        <f aca="false">SUM(U79:AF79)</f>
        <v>7.56468</v>
      </c>
      <c r="AG80" s="14" t="n">
        <f aca="false">SUM(V79:AG79)</f>
        <v>7.56468</v>
      </c>
      <c r="AH80" s="14" t="n">
        <f aca="false">SUM(W79:AH79)</f>
        <v>7.56468</v>
      </c>
      <c r="AI80" s="14" t="n">
        <f aca="false">SUM(X79:AI79)</f>
        <v>11.679994</v>
      </c>
      <c r="AJ80" s="14" t="n">
        <f aca="false">SUM(Y79:AJ79)</f>
        <v>11.679994</v>
      </c>
      <c r="AK80" s="14" t="n">
        <f aca="false">SUM(Z79:AK79)</f>
        <v>11.679994</v>
      </c>
      <c r="AL80" s="14" t="n">
        <f aca="false">SUM(AA79:AL79)</f>
        <v>15.652508</v>
      </c>
      <c r="AN80" s="36" t="n">
        <f aca="false">N80</f>
        <v>0</v>
      </c>
      <c r="AO80" s="36" t="n">
        <f aca="false">Z80</f>
        <v>3.446</v>
      </c>
      <c r="AP80" s="36" t="n">
        <f aca="false">AL80</f>
        <v>15.652508</v>
      </c>
    </row>
    <row r="81" customFormat="false" ht="15" hidden="false" customHeight="false" outlineLevel="0" collapsed="false">
      <c r="A81" s="0" t="s">
        <v>887</v>
      </c>
      <c r="B81" s="0" t="s">
        <v>230</v>
      </c>
      <c r="C81" s="9" t="n">
        <f aca="false">((Assumptions!$D$121*(1-Assumptions!$C$29))*$C$10)</f>
        <v>74800</v>
      </c>
      <c r="D81" s="9" t="n">
        <f aca="false">((Assumptions!$D$121*(1-Assumptions!$C$29))*$C$10)</f>
        <v>74800</v>
      </c>
      <c r="E81" s="9" t="n">
        <f aca="false">((Assumptions!$D$121*(1-Assumptions!$C$29))*$C$10)</f>
        <v>74800</v>
      </c>
      <c r="F81" s="9" t="n">
        <f aca="false">((Assumptions!$D$121*(1-Assumptions!$C$29))*$C$10)</f>
        <v>74800</v>
      </c>
      <c r="G81" s="9" t="n">
        <f aca="false">((Assumptions!$D$121*(1-Assumptions!$C$29))*$C$10)</f>
        <v>74800</v>
      </c>
      <c r="H81" s="9" t="n">
        <f aca="false">((Assumptions!$D$121*(1-Assumptions!$C$29))*$C$10)</f>
        <v>74800</v>
      </c>
      <c r="I81" s="9" t="n">
        <f aca="false">((Assumptions!$D$121*(1-Assumptions!$C$29))*$C$10)</f>
        <v>74800</v>
      </c>
      <c r="J81" s="9" t="n">
        <f aca="false">((Assumptions!$D$121*(1-Assumptions!$C$29))*$C$10)</f>
        <v>74800</v>
      </c>
      <c r="K81" s="9" t="n">
        <f aca="false">((Assumptions!$D$121*(1-Assumptions!$C$29))*$C$10)</f>
        <v>74800</v>
      </c>
      <c r="L81" s="9" t="n">
        <f aca="false">((Assumptions!$D$121*(1-Assumptions!$C$29))*$C$10)</f>
        <v>74800</v>
      </c>
      <c r="M81" s="9" t="n">
        <f aca="false">((Assumptions!$D$121*(1-Assumptions!$C$29))*$C$10)</f>
        <v>74800</v>
      </c>
      <c r="N81" s="9" t="n">
        <f aca="false">((Assumptions!$D$121*(1-Assumptions!$C$29))*$C$10)</f>
        <v>74800</v>
      </c>
      <c r="O81" s="9" t="n">
        <f aca="false">((Assumptions!$D$121*(1-Assumptions!$C$29))*$C$10)</f>
        <v>74800</v>
      </c>
      <c r="P81" s="9" t="n">
        <f aca="false">((Assumptions!$D$121*(1-Assumptions!$C$29))*$C$10)</f>
        <v>74800</v>
      </c>
      <c r="Q81" s="9" t="n">
        <f aca="false">((Assumptions!$D$121*(1-Assumptions!$C$29))*$C$10)</f>
        <v>74800</v>
      </c>
      <c r="R81" s="9" t="n">
        <f aca="false">((Assumptions!$D$121*(1-Assumptions!$C$29))*$C$10)</f>
        <v>74800</v>
      </c>
      <c r="S81" s="9" t="n">
        <f aca="false">((Assumptions!$D$121*(1-Assumptions!$C$29))*$C$10)</f>
        <v>74800</v>
      </c>
      <c r="T81" s="9" t="n">
        <f aca="false">((Assumptions!$D$121*(1-Assumptions!$C$29))*$C$10)</f>
        <v>74800</v>
      </c>
      <c r="U81" s="9" t="n">
        <f aca="false">((Assumptions!$D$121*(1-Assumptions!$C$29))*$C$10)</f>
        <v>74800</v>
      </c>
      <c r="V81" s="9" t="n">
        <f aca="false">((Assumptions!$D$121*(1-Assumptions!$C$29))*$C$10)</f>
        <v>74800</v>
      </c>
      <c r="W81" s="9" t="n">
        <f aca="false">((Assumptions!$D$121*(1-Assumptions!$C$29))*$C$10)</f>
        <v>74800</v>
      </c>
      <c r="X81" s="9" t="n">
        <f aca="false">((Assumptions!$D$121*(1-Assumptions!$C$29))*$C$10)</f>
        <v>74800</v>
      </c>
      <c r="Y81" s="9" t="n">
        <f aca="false">((Assumptions!$D$121*(1-Assumptions!$C$29))*$C$10)</f>
        <v>74800</v>
      </c>
      <c r="Z81" s="9" t="n">
        <f aca="false">((Assumptions!$D$121*(1-Assumptions!$C$29))*$C$10)</f>
        <v>74800</v>
      </c>
      <c r="AA81" s="9" t="n">
        <f aca="false">((Assumptions!$D$121*(1-Assumptions!$C$29))*$C$10)</f>
        <v>74800</v>
      </c>
      <c r="AB81" s="9" t="n">
        <f aca="false">((Assumptions!$D$121*(1-Assumptions!$C$29))*$C$10)</f>
        <v>74800</v>
      </c>
      <c r="AC81" s="9" t="n">
        <f aca="false">((Assumptions!$D$121*(1-Assumptions!$C$29))*$C$10)</f>
        <v>74800</v>
      </c>
      <c r="AD81" s="9" t="n">
        <f aca="false">((Assumptions!$D$121*(1-Assumptions!$C$29))*$C$10)</f>
        <v>74800</v>
      </c>
      <c r="AE81" s="9" t="n">
        <f aca="false">((Assumptions!$D$121*(1-Assumptions!$C$29))*$C$10)</f>
        <v>74800</v>
      </c>
      <c r="AF81" s="9" t="n">
        <f aca="false">((Assumptions!$D$121*(1-Assumptions!$C$29))*$C$10)</f>
        <v>74800</v>
      </c>
      <c r="AG81" s="9" t="n">
        <f aca="false">((Assumptions!$D$121*(1-Assumptions!$C$29))*$C$10)</f>
        <v>74800</v>
      </c>
      <c r="AH81" s="9" t="n">
        <f aca="false">((Assumptions!$D$121*(1-Assumptions!$C$29))*$C$10)</f>
        <v>74800</v>
      </c>
      <c r="AI81" s="9" t="n">
        <f aca="false">((Assumptions!$D$121*(1-Assumptions!$C$29))*$C$10)</f>
        <v>74800</v>
      </c>
      <c r="AJ81" s="9" t="n">
        <f aca="false">((Assumptions!$D$121*(1-Assumptions!$C$29))*$C$10)</f>
        <v>74800</v>
      </c>
      <c r="AK81" s="9" t="n">
        <f aca="false">((Assumptions!$D$121*(1-Assumptions!$C$29))*$C$10)</f>
        <v>74800</v>
      </c>
      <c r="AL81" s="9" t="n">
        <f aca="false">((Assumptions!$D$121*(1-Assumptions!$C$29))*$C$10)</f>
        <v>74800</v>
      </c>
    </row>
    <row r="82" customFormat="false" ht="15" hidden="false" customHeight="false" outlineLevel="0" collapsed="false">
      <c r="A82" s="0" t="s">
        <v>888</v>
      </c>
      <c r="B82" s="0" t="s">
        <v>230</v>
      </c>
      <c r="C82" s="9" t="n">
        <f aca="false">((C78*C81)+((C45*(1+Assumptions!$C$31))*0))</f>
        <v>0</v>
      </c>
      <c r="D82" s="9" t="n">
        <f aca="false">((D78*D81)+((D45*(1+Assumptions!$C$31))*0))</f>
        <v>0</v>
      </c>
      <c r="E82" s="9" t="n">
        <f aca="false">((E78*E81)+((E45*(1+Assumptions!$C$31))*0))</f>
        <v>0</v>
      </c>
      <c r="F82" s="9" t="n">
        <f aca="false">((F78*F81)+((F45*(1+Assumptions!$C$31))*0))</f>
        <v>0</v>
      </c>
      <c r="G82" s="9" t="n">
        <f aca="false">((G78*G81)+((G45*(1+Assumptions!$C$31))*0))</f>
        <v>0</v>
      </c>
      <c r="H82" s="9" t="n">
        <f aca="false">((H78*H81)+((H45*(1+Assumptions!$C$31))*0))</f>
        <v>0</v>
      </c>
      <c r="I82" s="9" t="n">
        <f aca="false">((I78*I81)+((I45*(1+Assumptions!$C$31))*0))</f>
        <v>0</v>
      </c>
      <c r="J82" s="9" t="n">
        <f aca="false">((J78*J81)+((J45*(1+Assumptions!$C$31))*0))</f>
        <v>0</v>
      </c>
      <c r="K82" s="9" t="n">
        <f aca="false">((K78*K81)+((K45*(1+Assumptions!$C$31))*0))</f>
        <v>0</v>
      </c>
      <c r="L82" s="9" t="n">
        <f aca="false">((L78*L81)+((L45*(1+Assumptions!$C$31))*0))</f>
        <v>0</v>
      </c>
      <c r="M82" s="9" t="n">
        <f aca="false">((M78*M81)+((M45*(1+Assumptions!$C$31))*0))</f>
        <v>0</v>
      </c>
      <c r="N82" s="9" t="n">
        <f aca="false">((N78*N81)+((N45*(1+Assumptions!$C$31))*0))</f>
        <v>0</v>
      </c>
      <c r="O82" s="9" t="n">
        <f aca="false">((O78*O81)+((O45*(1+Assumptions!$C$31))*C82))</f>
        <v>0</v>
      </c>
      <c r="P82" s="9" t="n">
        <f aca="false">((P78*P81)+((P45*(1+Assumptions!$C$31))*D82))</f>
        <v>0</v>
      </c>
      <c r="Q82" s="9" t="n">
        <f aca="false">((Q78*Q81)+((Q45*(1+Assumptions!$C$31))*E82))</f>
        <v>49368</v>
      </c>
      <c r="R82" s="9" t="n">
        <f aca="false">((R78*R81)+((R45*(1+Assumptions!$C$31))*F82))</f>
        <v>0</v>
      </c>
      <c r="S82" s="9" t="n">
        <f aca="false">((S78*S81)+((S45*(1+Assumptions!$C$31))*G82))</f>
        <v>0</v>
      </c>
      <c r="T82" s="9" t="n">
        <f aca="false">((T78*T81)+((T45*(1+Assumptions!$C$31))*H82))</f>
        <v>0</v>
      </c>
      <c r="U82" s="9" t="n">
        <f aca="false">((U78*U81)+((U45*(1+Assumptions!$C$31))*I82))</f>
        <v>0</v>
      </c>
      <c r="V82" s="9" t="n">
        <f aca="false">((V78*V81)+((V45*(1+Assumptions!$C$31))*J82))</f>
        <v>0</v>
      </c>
      <c r="W82" s="9" t="n">
        <f aca="false">((W78*W81)+((W45*(1+Assumptions!$C$31))*K82))</f>
        <v>51836.4</v>
      </c>
      <c r="X82" s="9" t="n">
        <f aca="false">((X78*X81)+((X45*(1+Assumptions!$C$31))*L82))</f>
        <v>0</v>
      </c>
      <c r="Y82" s="9" t="n">
        <f aca="false">((Y78*Y81)+((Y45*(1+Assumptions!$C$31))*M82))</f>
        <v>0</v>
      </c>
      <c r="Z82" s="9" t="n">
        <f aca="false">((Z78*Z81)+((Z45*(1+Assumptions!$C$31))*N82))</f>
        <v>156556.4</v>
      </c>
      <c r="AA82" s="9" t="n">
        <f aca="false">((AA78*AA81)+((AA45*(1+Assumptions!$C$31))*O82))</f>
        <v>0</v>
      </c>
      <c r="AB82" s="9" t="n">
        <f aca="false">((AB78*AB81)+((AB45*(1+Assumptions!$C$31))*P82))</f>
        <v>0</v>
      </c>
      <c r="AC82" s="9" t="n">
        <f aca="false">((AC78*AC81)+((AC45*(1+Assumptions!$C$31))*Q82))</f>
        <v>205322.1104</v>
      </c>
      <c r="AD82" s="9" t="n">
        <f aca="false">((AD78*AD81)+((AD45*(1+Assumptions!$C$31))*R82))</f>
        <v>0</v>
      </c>
      <c r="AE82" s="9" t="n">
        <f aca="false">((AE78*AE81)+((AE45*(1+Assumptions!$C$31))*S82))</f>
        <v>0</v>
      </c>
      <c r="AF82" s="9" t="n">
        <f aca="false">((AF78*AF81)+((AF45*(1+Assumptions!$C$31))*T82))</f>
        <v>156556.4</v>
      </c>
      <c r="AG82" s="9" t="n">
        <f aca="false">((AG78*AG81)+((AG45*(1+Assumptions!$C$31))*U82))</f>
        <v>0</v>
      </c>
      <c r="AH82" s="9" t="n">
        <f aca="false">((AH78*AH81)+((AH45*(1+Assumptions!$C$31))*V82))</f>
        <v>0</v>
      </c>
      <c r="AI82" s="9" t="n">
        <f aca="false">((AI78*AI81)+((AI45*(1+Assumptions!$C$31))*W82))</f>
        <v>364316.79592</v>
      </c>
      <c r="AJ82" s="9" t="n">
        <f aca="false">((AJ78*AJ81)+((AJ45*(1+Assumptions!$C$31))*X82))</f>
        <v>0</v>
      </c>
      <c r="AK82" s="9" t="n">
        <f aca="false">((AK78*AK81)+((AK45*(1+Assumptions!$C$31))*Y82))</f>
        <v>0</v>
      </c>
      <c r="AL82" s="9" t="n">
        <f aca="false">((AL78*AL81)+((AL45*(1+Assumptions!$C$31))*Z82))</f>
        <v>467759.21192</v>
      </c>
      <c r="AN82" s="11" t="n">
        <f aca="false">SUM(C82:N82)</f>
        <v>0</v>
      </c>
      <c r="AO82" s="11" t="n">
        <f aca="false">SUM(O82:Z82)</f>
        <v>257760.8</v>
      </c>
      <c r="AP82" s="11" t="n">
        <f aca="false">SUM(AA82:AL82)</f>
        <v>1193954.51824</v>
      </c>
    </row>
    <row r="83" customFormat="false" ht="15" hidden="false" customHeight="false" outlineLevel="0" collapsed="false">
      <c r="A83" s="0" t="s">
        <v>889</v>
      </c>
      <c r="B83" s="0" t="s">
        <v>230</v>
      </c>
      <c r="C83" s="9" t="n">
        <f aca="false">(Assumptions!$D$126*C76)</f>
        <v>0</v>
      </c>
      <c r="D83" s="9" t="n">
        <f aca="false">(Assumptions!$D$126*D76)</f>
        <v>0</v>
      </c>
      <c r="E83" s="9" t="n">
        <f aca="false">(Assumptions!$D$126*E76)</f>
        <v>0</v>
      </c>
      <c r="F83" s="9" t="n">
        <f aca="false">(Assumptions!$D$126*F76)</f>
        <v>0</v>
      </c>
      <c r="G83" s="9" t="n">
        <f aca="false">(Assumptions!$D$126*G76)</f>
        <v>0</v>
      </c>
      <c r="H83" s="9" t="n">
        <f aca="false">(Assumptions!$D$126*H76)</f>
        <v>0</v>
      </c>
      <c r="I83" s="9" t="n">
        <f aca="false">(Assumptions!$D$126*I76)</f>
        <v>0</v>
      </c>
      <c r="J83" s="9" t="n">
        <f aca="false">(Assumptions!$D$126*J76)</f>
        <v>0</v>
      </c>
      <c r="K83" s="9" t="n">
        <f aca="false">(Assumptions!$D$126*K76)</f>
        <v>0</v>
      </c>
      <c r="L83" s="9" t="n">
        <f aca="false">(Assumptions!$D$126*L76)</f>
        <v>0</v>
      </c>
      <c r="M83" s="9" t="n">
        <f aca="false">(Assumptions!$D$126*M76)</f>
        <v>0</v>
      </c>
      <c r="N83" s="9" t="n">
        <f aca="false">(Assumptions!$D$126*N76)</f>
        <v>0</v>
      </c>
      <c r="O83" s="9" t="n">
        <f aca="false">(Assumptions!$D$126*O76)</f>
        <v>0</v>
      </c>
      <c r="P83" s="9" t="n">
        <f aca="false">(Assumptions!$D$126*P76)</f>
        <v>0</v>
      </c>
      <c r="Q83" s="9" t="n">
        <f aca="false">(Assumptions!$D$126*Q76)</f>
        <v>0</v>
      </c>
      <c r="R83" s="9" t="n">
        <f aca="false">(Assumptions!$D$126*R76)</f>
        <v>0</v>
      </c>
      <c r="S83" s="9" t="n">
        <f aca="false">(Assumptions!$D$126*S76)</f>
        <v>0</v>
      </c>
      <c r="T83" s="9" t="n">
        <f aca="false">(Assumptions!$D$126*T76)</f>
        <v>0</v>
      </c>
      <c r="U83" s="9" t="n">
        <f aca="false">(Assumptions!$D$126*U76)</f>
        <v>0</v>
      </c>
      <c r="V83" s="9" t="n">
        <f aca="false">(Assumptions!$D$126*V76)</f>
        <v>0</v>
      </c>
      <c r="W83" s="9" t="n">
        <f aca="false">(Assumptions!$D$126*W76)</f>
        <v>10395</v>
      </c>
      <c r="X83" s="9" t="n">
        <f aca="false">(Assumptions!$D$126*X76)</f>
        <v>0</v>
      </c>
      <c r="Y83" s="9" t="n">
        <f aca="false">(Assumptions!$D$126*Y76)</f>
        <v>0</v>
      </c>
      <c r="Z83" s="9" t="n">
        <f aca="false">(Assumptions!$D$126*Z76)</f>
        <v>10395</v>
      </c>
      <c r="AA83" s="9" t="n">
        <f aca="false">(Assumptions!$D$126*AA76)</f>
        <v>0</v>
      </c>
      <c r="AB83" s="9" t="n">
        <f aca="false">(Assumptions!$D$126*AB76)</f>
        <v>0</v>
      </c>
      <c r="AC83" s="9" t="n">
        <f aca="false">(Assumptions!$D$126*AC76)</f>
        <v>10395</v>
      </c>
      <c r="AD83" s="9" t="n">
        <f aca="false">(Assumptions!$D$126*AD76)</f>
        <v>0</v>
      </c>
      <c r="AE83" s="9" t="n">
        <f aca="false">(Assumptions!$D$126*AE76)</f>
        <v>0</v>
      </c>
      <c r="AF83" s="9" t="n">
        <f aca="false">(Assumptions!$D$126*AF76)</f>
        <v>10395</v>
      </c>
      <c r="AG83" s="9" t="n">
        <f aca="false">(Assumptions!$D$126*AG76)</f>
        <v>0</v>
      </c>
      <c r="AH83" s="9" t="n">
        <f aca="false">(Assumptions!$D$126*AH76)</f>
        <v>0</v>
      </c>
      <c r="AI83" s="9" t="n">
        <f aca="false">(Assumptions!$D$126*AI76)</f>
        <v>20790</v>
      </c>
      <c r="AJ83" s="9" t="n">
        <f aca="false">(Assumptions!$D$126*AJ76)</f>
        <v>0</v>
      </c>
      <c r="AK83" s="9" t="n">
        <f aca="false">(Assumptions!$D$126*AK76)</f>
        <v>0</v>
      </c>
      <c r="AL83" s="9" t="n">
        <f aca="false">(Assumptions!$D$126*AL76)</f>
        <v>20790</v>
      </c>
      <c r="AN83" s="11" t="n">
        <f aca="false">SUM(C83:N83)</f>
        <v>0</v>
      </c>
      <c r="AO83" s="11" t="n">
        <f aca="false">SUM(O83:Z83)</f>
        <v>20790</v>
      </c>
      <c r="AP83" s="11" t="n">
        <f aca="false">SUM(AA83:AL83)</f>
        <v>62370</v>
      </c>
    </row>
    <row r="84" customFormat="false" ht="15" hidden="false" customHeight="false" outlineLevel="0" collapsed="false">
      <c r="A84" s="0" t="s">
        <v>890</v>
      </c>
      <c r="B84" s="0" t="s">
        <v>230</v>
      </c>
      <c r="C84" s="9" t="n">
        <f aca="false">((C82-C83)/12)</f>
        <v>0</v>
      </c>
      <c r="D84" s="9" t="n">
        <f aca="false">((SUM(C82:D82)-SUM(C83:D83))/12)</f>
        <v>0</v>
      </c>
      <c r="E84" s="9" t="n">
        <f aca="false">((SUM(C82:E82)-SUM(C83:E83))/12)</f>
        <v>0</v>
      </c>
      <c r="F84" s="9" t="n">
        <f aca="false">((SUM(C82:F82)-SUM(C83:F83))/12)</f>
        <v>0</v>
      </c>
      <c r="G84" s="9" t="n">
        <f aca="false">((SUM(C82:G82)-SUM(C83:G83))/12)</f>
        <v>0</v>
      </c>
      <c r="H84" s="9" t="n">
        <f aca="false">((SUM(C82:H82)-SUM(C83:H83))/12)</f>
        <v>0</v>
      </c>
      <c r="I84" s="9" t="n">
        <f aca="false">((SUM(C82:I82)-SUM(C83:I83))/12)</f>
        <v>0</v>
      </c>
      <c r="J84" s="9" t="n">
        <f aca="false">((SUM(C82:J82)-SUM(C83:J83))/12)</f>
        <v>0</v>
      </c>
      <c r="K84" s="9" t="n">
        <f aca="false">((SUM(C82:K82)-SUM(C83:K83))/12)</f>
        <v>0</v>
      </c>
      <c r="L84" s="9" t="n">
        <f aca="false">((SUM(C82:L82)-SUM(C83:L83))/12)</f>
        <v>0</v>
      </c>
      <c r="M84" s="9" t="n">
        <f aca="false">((SUM(C82:M82)-SUM(C83:M83))/12)</f>
        <v>0</v>
      </c>
      <c r="N84" s="9" t="n">
        <f aca="false">((SUM(C82:N82)-SUM(C83:N83))/12)</f>
        <v>0</v>
      </c>
      <c r="O84" s="9" t="n">
        <f aca="false">((SUM(D82:O82)-SUM(D83:O83))/12)</f>
        <v>0</v>
      </c>
      <c r="P84" s="9" t="n">
        <f aca="false">((SUM(E82:P82)-SUM(E83:P83))/12)</f>
        <v>0</v>
      </c>
      <c r="Q84" s="9" t="n">
        <f aca="false">((SUM(F82:Q82)-SUM(F83:Q83))/12)</f>
        <v>4114</v>
      </c>
      <c r="R84" s="9" t="n">
        <f aca="false">((SUM(G82:R82)-SUM(G83:R83))/12)</f>
        <v>4114</v>
      </c>
      <c r="S84" s="9" t="n">
        <f aca="false">((SUM(H82:S82)-SUM(H83:S83))/12)</f>
        <v>4114</v>
      </c>
      <c r="T84" s="9" t="n">
        <f aca="false">((SUM(I82:T82)-SUM(I83:T83))/12)</f>
        <v>4114</v>
      </c>
      <c r="U84" s="9" t="n">
        <f aca="false">((SUM(J82:U82)-SUM(J83:U83))/12)</f>
        <v>4114</v>
      </c>
      <c r="V84" s="9" t="n">
        <f aca="false">((SUM(K82:V82)-SUM(K83:V83))/12)</f>
        <v>4114</v>
      </c>
      <c r="W84" s="9" t="n">
        <f aca="false">((SUM(L82:W82)-SUM(L83:W83))/12)</f>
        <v>7567.45</v>
      </c>
      <c r="X84" s="9" t="n">
        <f aca="false">((SUM(M82:X82)-SUM(M83:X83))/12)</f>
        <v>7567.45</v>
      </c>
      <c r="Y84" s="9" t="n">
        <f aca="false">((SUM(N82:Y82)-SUM(N83:Y83))/12)</f>
        <v>7567.45</v>
      </c>
      <c r="Z84" s="9" t="n">
        <f aca="false">((SUM(O82:Z82)-SUM(O83:Z83))/12)</f>
        <v>19747.5666666667</v>
      </c>
      <c r="AA84" s="9" t="n">
        <f aca="false">((SUM(P82:AA82)-SUM(P83:AA83))/12)</f>
        <v>19747.5666666667</v>
      </c>
      <c r="AB84" s="9" t="n">
        <f aca="false">((SUM(Q82:AB82)-SUM(Q83:AB83))/12)</f>
        <v>19747.5666666667</v>
      </c>
      <c r="AC84" s="9" t="n">
        <f aca="false">((SUM(R82:AC82)-SUM(R83:AC83))/12)</f>
        <v>31877.4925333333</v>
      </c>
      <c r="AD84" s="9" t="n">
        <f aca="false">((SUM(S82:AD82)-SUM(S83:AD83))/12)</f>
        <v>31877.4925333333</v>
      </c>
      <c r="AE84" s="9" t="n">
        <f aca="false">((SUM(T82:AE82)-SUM(T83:AE83))/12)</f>
        <v>31877.4925333333</v>
      </c>
      <c r="AF84" s="9" t="n">
        <f aca="false">((SUM(U82:AF82)-SUM(U83:AF83))/12)</f>
        <v>44057.6092</v>
      </c>
      <c r="AG84" s="9" t="n">
        <f aca="false">((SUM(V82:AG82)-SUM(V83:AG83))/12)</f>
        <v>44057.6092</v>
      </c>
      <c r="AH84" s="9" t="n">
        <f aca="false">((SUM(W82:AH82)-SUM(W83:AH83))/12)</f>
        <v>44057.6092</v>
      </c>
      <c r="AI84" s="9" t="n">
        <f aca="false">((SUM(X82:AI82)-SUM(X83:AI83))/12)</f>
        <v>69231.3921933333</v>
      </c>
      <c r="AJ84" s="9" t="n">
        <f aca="false">((SUM(Y82:AJ82)-SUM(Y83:AJ83))/12)</f>
        <v>69231.3921933333</v>
      </c>
      <c r="AK84" s="9" t="n">
        <f aca="false">((SUM(Z82:AK82)-SUM(Z83:AK83))/12)</f>
        <v>69231.3921933333</v>
      </c>
      <c r="AL84" s="9" t="n">
        <f aca="false">((SUM(AA82:AL82)-SUM(AA83:AL83))/12)</f>
        <v>94298.7098533334</v>
      </c>
      <c r="AN84" s="11" t="n">
        <f aca="false">SUM(C84:N84)</f>
        <v>0</v>
      </c>
      <c r="AO84" s="11" t="n">
        <f aca="false">SUM(O84:Z84)</f>
        <v>67133.9166666667</v>
      </c>
      <c r="AP84" s="11" t="n">
        <f aca="false">SUM(AA84:AL84)</f>
        <v>569293.324966667</v>
      </c>
    </row>
    <row r="85" customFormat="false" ht="15" hidden="false" customHeight="false" outlineLevel="0" collapsed="false">
      <c r="A85" s="0" t="s">
        <v>891</v>
      </c>
      <c r="B85" s="0" t="s">
        <v>230</v>
      </c>
      <c r="C85" s="9" t="n">
        <f aca="false">(C82-C83)</f>
        <v>0</v>
      </c>
      <c r="D85" s="9" t="n">
        <f aca="false">(D82-D83)</f>
        <v>0</v>
      </c>
      <c r="E85" s="9" t="n">
        <f aca="false">(E82-E83)</f>
        <v>0</v>
      </c>
      <c r="F85" s="9" t="n">
        <f aca="false">(F82-F83)</f>
        <v>0</v>
      </c>
      <c r="G85" s="9" t="n">
        <f aca="false">(G82-G83)</f>
        <v>0</v>
      </c>
      <c r="H85" s="9" t="n">
        <f aca="false">(H82-H83)</f>
        <v>0</v>
      </c>
      <c r="I85" s="9" t="n">
        <f aca="false">(I82-I83)</f>
        <v>0</v>
      </c>
      <c r="J85" s="9" t="n">
        <f aca="false">(J82-J83)</f>
        <v>0</v>
      </c>
      <c r="K85" s="9" t="n">
        <f aca="false">(K82-K83)</f>
        <v>0</v>
      </c>
      <c r="L85" s="9" t="n">
        <f aca="false">(L82-L83)</f>
        <v>0</v>
      </c>
      <c r="M85" s="9" t="n">
        <f aca="false">(M82-M83)</f>
        <v>0</v>
      </c>
      <c r="N85" s="9" t="n">
        <f aca="false">(N82-N83)</f>
        <v>0</v>
      </c>
      <c r="O85" s="9" t="n">
        <f aca="false">(O82-O83)</f>
        <v>0</v>
      </c>
      <c r="P85" s="9" t="n">
        <f aca="false">(P82-P83)</f>
        <v>0</v>
      </c>
      <c r="Q85" s="9" t="n">
        <f aca="false">(Q82-Q83)</f>
        <v>49368</v>
      </c>
      <c r="R85" s="9" t="n">
        <f aca="false">(R82-R83)</f>
        <v>0</v>
      </c>
      <c r="S85" s="9" t="n">
        <f aca="false">(S82-S83)</f>
        <v>0</v>
      </c>
      <c r="T85" s="9" t="n">
        <f aca="false">(T82-T83)</f>
        <v>0</v>
      </c>
      <c r="U85" s="9" t="n">
        <f aca="false">(U82-U83)</f>
        <v>0</v>
      </c>
      <c r="V85" s="9" t="n">
        <f aca="false">(V82-V83)</f>
        <v>0</v>
      </c>
      <c r="W85" s="9" t="n">
        <f aca="false">(W82-W83)</f>
        <v>41441.4</v>
      </c>
      <c r="X85" s="9" t="n">
        <f aca="false">(X82-X83)</f>
        <v>0</v>
      </c>
      <c r="Y85" s="9" t="n">
        <f aca="false">(Y82-Y83)</f>
        <v>0</v>
      </c>
      <c r="Z85" s="9" t="n">
        <f aca="false">(Z82-Z83)</f>
        <v>146161.4</v>
      </c>
      <c r="AA85" s="9" t="n">
        <f aca="false">(AA82-AA83)</f>
        <v>0</v>
      </c>
      <c r="AB85" s="9" t="n">
        <f aca="false">(AB82-AB83)</f>
        <v>0</v>
      </c>
      <c r="AC85" s="9" t="n">
        <f aca="false">(AC82-AC83)</f>
        <v>194927.1104</v>
      </c>
      <c r="AD85" s="9" t="n">
        <f aca="false">(AD82-AD83)</f>
        <v>0</v>
      </c>
      <c r="AE85" s="9" t="n">
        <f aca="false">(AE82-AE83)</f>
        <v>0</v>
      </c>
      <c r="AF85" s="9" t="n">
        <f aca="false">(AF82-AF83)</f>
        <v>146161.4</v>
      </c>
      <c r="AG85" s="9" t="n">
        <f aca="false">(AG82-AG83)</f>
        <v>0</v>
      </c>
      <c r="AH85" s="9" t="n">
        <f aca="false">(AH82-AH83)</f>
        <v>0</v>
      </c>
      <c r="AI85" s="9" t="n">
        <f aca="false">(AI82-AI83)</f>
        <v>343526.79592</v>
      </c>
      <c r="AJ85" s="9" t="n">
        <f aca="false">(AJ82-AJ83)</f>
        <v>0</v>
      </c>
      <c r="AK85" s="9" t="n">
        <f aca="false">(AK82-AK83)</f>
        <v>0</v>
      </c>
      <c r="AL85" s="9" t="n">
        <f aca="false">(AL82-AL83)</f>
        <v>446969.21192</v>
      </c>
      <c r="AN85" s="11" t="n">
        <f aca="false">SUM(C85:N85)</f>
        <v>0</v>
      </c>
      <c r="AO85" s="11" t="n">
        <f aca="false">SUM(O85:Z85)</f>
        <v>236970.8</v>
      </c>
      <c r="AP85" s="11" t="n">
        <f aca="false">SUM(AA85:AL85)</f>
        <v>1131584.51824</v>
      </c>
    </row>
    <row r="86" customFormat="false" ht="15" hidden="false" customHeight="false" outlineLevel="0" collapsed="false">
      <c r="A86" s="0" t="s">
        <v>892</v>
      </c>
      <c r="B86" s="0" t="s">
        <v>230</v>
      </c>
      <c r="C86" s="9" t="n">
        <f aca="false">(((Assumptions!$D$122*$C$10)/6)*C75)</f>
        <v>0</v>
      </c>
      <c r="D86" s="9" t="n">
        <f aca="false">(((Assumptions!$D$122*$C$10)/6)*D75)</f>
        <v>0</v>
      </c>
      <c r="E86" s="9" t="n">
        <f aca="false">(((Assumptions!$D$122*$C$10)/6)*E75)</f>
        <v>0</v>
      </c>
      <c r="F86" s="9" t="n">
        <f aca="false">(((Assumptions!$D$122*$C$10)/6)*F75)</f>
        <v>0</v>
      </c>
      <c r="G86" s="9" t="n">
        <f aca="false">(((Assumptions!$D$122*$C$10)/6)*G75)</f>
        <v>0</v>
      </c>
      <c r="H86" s="9" t="n">
        <f aca="false">(((Assumptions!$D$122*$C$10)/6)*H75)</f>
        <v>0</v>
      </c>
      <c r="I86" s="9" t="n">
        <f aca="false">(((Assumptions!$D$122*$C$10)/6)*I75)</f>
        <v>0</v>
      </c>
      <c r="J86" s="9" t="n">
        <f aca="false">(((Assumptions!$D$122*$C$10)/6)*J75)</f>
        <v>0</v>
      </c>
      <c r="K86" s="9" t="n">
        <f aca="false">(((Assumptions!$D$122*$C$10)/6)*K75)</f>
        <v>0</v>
      </c>
      <c r="L86" s="9" t="n">
        <f aca="false">(((Assumptions!$D$122*$C$10)/6)*L75)</f>
        <v>0</v>
      </c>
      <c r="M86" s="9" t="n">
        <f aca="false">(((Assumptions!$D$122*$C$10)/6)*M75)</f>
        <v>0</v>
      </c>
      <c r="N86" s="9" t="n">
        <f aca="false">(((Assumptions!$D$122*$C$10)/6)*N75)</f>
        <v>0</v>
      </c>
      <c r="O86" s="9" t="n">
        <f aca="false">(((Assumptions!$D$122*$C$10)/6)*O75)</f>
        <v>0</v>
      </c>
      <c r="P86" s="9" t="n">
        <f aca="false">(((Assumptions!$D$122*$C$10)/6)*P75)</f>
        <v>7000</v>
      </c>
      <c r="Q86" s="9" t="n">
        <f aca="false">(((Assumptions!$D$122*$C$10)/6)*Q75)</f>
        <v>7000</v>
      </c>
      <c r="R86" s="9" t="n">
        <f aca="false">(((Assumptions!$D$122*$C$10)/6)*R75)</f>
        <v>7000</v>
      </c>
      <c r="S86" s="9" t="n">
        <f aca="false">(((Assumptions!$D$122*$C$10)/6)*S75)</f>
        <v>14000</v>
      </c>
      <c r="T86" s="9" t="n">
        <f aca="false">(((Assumptions!$D$122*$C$10)/6)*T75)</f>
        <v>14000</v>
      </c>
      <c r="U86" s="9" t="n">
        <f aca="false">(((Assumptions!$D$122*$C$10)/6)*U75)</f>
        <v>14000</v>
      </c>
      <c r="V86" s="9" t="n">
        <f aca="false">(((Assumptions!$D$122*$C$10)/6)*V75)</f>
        <v>14000</v>
      </c>
      <c r="W86" s="9" t="n">
        <f aca="false">(((Assumptions!$D$122*$C$10)/6)*W75)</f>
        <v>14000</v>
      </c>
      <c r="X86" s="9" t="n">
        <f aca="false">(((Assumptions!$D$122*$C$10)/6)*X75)</f>
        <v>14000</v>
      </c>
      <c r="Y86" s="9" t="n">
        <f aca="false">(((Assumptions!$D$122*$C$10)/6)*Y75)</f>
        <v>14000</v>
      </c>
      <c r="Z86" s="9" t="n">
        <f aca="false">(((Assumptions!$D$122*$C$10)/6)*Z75)</f>
        <v>14000</v>
      </c>
      <c r="AA86" s="9" t="n">
        <f aca="false">(((Assumptions!$D$122*$C$10)/6)*AA75)</f>
        <v>14000</v>
      </c>
      <c r="AB86" s="9" t="n">
        <f aca="false">(((Assumptions!$D$122*$C$10)/6)*AB75)</f>
        <v>21000</v>
      </c>
      <c r="AC86" s="9" t="n">
        <f aca="false">(((Assumptions!$D$122*$C$10)/6)*AC75)</f>
        <v>21000</v>
      </c>
      <c r="AD86" s="9" t="n">
        <f aca="false">(((Assumptions!$D$122*$C$10)/6)*AD75)</f>
        <v>21000</v>
      </c>
      <c r="AE86" s="9" t="n">
        <f aca="false">(((Assumptions!$D$122*$C$10)/6)*AE75)</f>
        <v>28000</v>
      </c>
      <c r="AF86" s="9" t="n">
        <f aca="false">(((Assumptions!$D$122*$C$10)/6)*AF75)</f>
        <v>28000</v>
      </c>
      <c r="AG86" s="9" t="n">
        <f aca="false">(((Assumptions!$D$122*$C$10)/6)*AG75)</f>
        <v>28000</v>
      </c>
      <c r="AH86" s="9" t="n">
        <f aca="false">(((Assumptions!$D$122*$C$10)/6)*AH75)</f>
        <v>28000</v>
      </c>
      <c r="AI86" s="9" t="n">
        <f aca="false">(((Assumptions!$D$122*$C$10)/6)*AI75)</f>
        <v>28000</v>
      </c>
      <c r="AJ86" s="9" t="n">
        <f aca="false">(((Assumptions!$D$122*$C$10)/6)*AJ75)</f>
        <v>28000</v>
      </c>
      <c r="AK86" s="9" t="n">
        <f aca="false">(((Assumptions!$D$122*$C$10)/6)*AK75)</f>
        <v>28000</v>
      </c>
      <c r="AL86" s="9" t="n">
        <f aca="false">(((Assumptions!$D$122*$C$10)/6)*AL75)</f>
        <v>28000</v>
      </c>
      <c r="AN86" s="11" t="n">
        <f aca="false">SUM(C86:N86)</f>
        <v>0</v>
      </c>
      <c r="AO86" s="11" t="n">
        <f aca="false">SUM(O86:Z86)</f>
        <v>133000</v>
      </c>
      <c r="AP86" s="11" t="n">
        <f aca="false">SUM(AA86:AL86)</f>
        <v>301000</v>
      </c>
    </row>
    <row r="87" customFormat="false" ht="15" hidden="false" customHeight="false" outlineLevel="0" collapsed="false">
      <c r="A87" s="0" t="s">
        <v>893</v>
      </c>
      <c r="B87" s="0" t="s">
        <v>230</v>
      </c>
      <c r="C87" s="9" t="n">
        <f aca="false">((Assumptions!$D$122*$C$10)*C69)</f>
        <v>0</v>
      </c>
      <c r="D87" s="9" t="n">
        <f aca="false">((Assumptions!$D$122*$C$10)*D69)</f>
        <v>0</v>
      </c>
      <c r="E87" s="9" t="n">
        <f aca="false">((Assumptions!$D$122*$C$10)*E69)</f>
        <v>0</v>
      </c>
      <c r="F87" s="9" t="n">
        <f aca="false">((Assumptions!$D$122*$C$10)*F69)</f>
        <v>0</v>
      </c>
      <c r="G87" s="9" t="n">
        <f aca="false">((Assumptions!$D$122*$C$10)*G69)</f>
        <v>0</v>
      </c>
      <c r="H87" s="9" t="n">
        <f aca="false">((Assumptions!$D$122*$C$10)*H69)</f>
        <v>0</v>
      </c>
      <c r="I87" s="9" t="n">
        <f aca="false">((Assumptions!$D$122*$C$10)*I69)</f>
        <v>0</v>
      </c>
      <c r="J87" s="9" t="n">
        <f aca="false">((Assumptions!$D$122*$C$10)*J69)</f>
        <v>0</v>
      </c>
      <c r="K87" s="9" t="n">
        <f aca="false">((Assumptions!$D$122*$C$10)*K69)</f>
        <v>0</v>
      </c>
      <c r="L87" s="9" t="n">
        <f aca="false">((Assumptions!$D$122*$C$10)*L69)</f>
        <v>0</v>
      </c>
      <c r="M87" s="9" t="n">
        <f aca="false">((Assumptions!$D$122*$C$10)*M69)</f>
        <v>0</v>
      </c>
      <c r="N87" s="9" t="n">
        <f aca="false">((Assumptions!$D$122*$C$10)*N69)</f>
        <v>0</v>
      </c>
      <c r="O87" s="9" t="n">
        <f aca="false">((Assumptions!$D$122*$C$10)*O69)</f>
        <v>0</v>
      </c>
      <c r="P87" s="9" t="n">
        <f aca="false">((Assumptions!$D$122*$C$10)*P69)</f>
        <v>42000</v>
      </c>
      <c r="Q87" s="9" t="n">
        <f aca="false">((Assumptions!$D$122*$C$10)*Q69)</f>
        <v>0</v>
      </c>
      <c r="R87" s="9" t="n">
        <f aca="false">((Assumptions!$D$122*$C$10)*R69)</f>
        <v>0</v>
      </c>
      <c r="S87" s="9" t="n">
        <f aca="false">((Assumptions!$D$122*$C$10)*S69)</f>
        <v>42000</v>
      </c>
      <c r="T87" s="9" t="n">
        <f aca="false">((Assumptions!$D$122*$C$10)*T69)</f>
        <v>0</v>
      </c>
      <c r="U87" s="9" t="n">
        <f aca="false">((Assumptions!$D$122*$C$10)*U69)</f>
        <v>0</v>
      </c>
      <c r="V87" s="9" t="n">
        <f aca="false">((Assumptions!$D$122*$C$10)*V69)</f>
        <v>42000</v>
      </c>
      <c r="W87" s="9" t="n">
        <f aca="false">((Assumptions!$D$122*$C$10)*W69)</f>
        <v>0</v>
      </c>
      <c r="X87" s="9" t="n">
        <f aca="false">((Assumptions!$D$122*$C$10)*X69)</f>
        <v>0</v>
      </c>
      <c r="Y87" s="9" t="n">
        <f aca="false">((Assumptions!$D$122*$C$10)*Y69)</f>
        <v>42000</v>
      </c>
      <c r="Z87" s="9" t="n">
        <f aca="false">((Assumptions!$D$122*$C$10)*Z69)</f>
        <v>0</v>
      </c>
      <c r="AA87" s="9" t="n">
        <f aca="false">((Assumptions!$D$122*$C$10)*AA69)</f>
        <v>0</v>
      </c>
      <c r="AB87" s="9" t="n">
        <f aca="false">((Assumptions!$D$122*$C$10)*AB69)</f>
        <v>84000</v>
      </c>
      <c r="AC87" s="9" t="n">
        <f aca="false">((Assumptions!$D$122*$C$10)*AC69)</f>
        <v>0</v>
      </c>
      <c r="AD87" s="9" t="n">
        <f aca="false">((Assumptions!$D$122*$C$10)*AD69)</f>
        <v>0</v>
      </c>
      <c r="AE87" s="9" t="n">
        <f aca="false">((Assumptions!$D$122*$C$10)*AE69)</f>
        <v>84000</v>
      </c>
      <c r="AF87" s="9" t="n">
        <f aca="false">((Assumptions!$D$122*$C$10)*AF69)</f>
        <v>0</v>
      </c>
      <c r="AG87" s="9" t="n">
        <f aca="false">((Assumptions!$D$122*$C$10)*AG69)</f>
        <v>0</v>
      </c>
      <c r="AH87" s="9" t="n">
        <f aca="false">((Assumptions!$D$122*$C$10)*AH69)</f>
        <v>84000</v>
      </c>
      <c r="AI87" s="9" t="n">
        <f aca="false">((Assumptions!$D$122*$C$10)*AI69)</f>
        <v>0</v>
      </c>
      <c r="AJ87" s="9" t="n">
        <f aca="false">((Assumptions!$D$122*$C$10)*AJ69)</f>
        <v>0</v>
      </c>
      <c r="AK87" s="9" t="n">
        <f aca="false">((Assumptions!$D$122*$C$10)*AK69)</f>
        <v>84000</v>
      </c>
      <c r="AL87" s="9" t="n">
        <f aca="false">((Assumptions!$D$122*$C$10)*AL69)</f>
        <v>0</v>
      </c>
      <c r="AN87" s="11" t="n">
        <f aca="false">SUM(C87:N87)</f>
        <v>0</v>
      </c>
      <c r="AO87" s="11" t="n">
        <f aca="false">SUM(O87:Z87)</f>
        <v>168000</v>
      </c>
      <c r="AP87" s="11" t="n">
        <f aca="false">SUM(AA87:AL87)</f>
        <v>336000</v>
      </c>
    </row>
    <row r="88" customFormat="false" ht="15" hidden="false" customHeight="false" outlineLevel="0" collapsed="false">
      <c r="A88" s="0" t="s">
        <v>894</v>
      </c>
      <c r="B88" s="0" t="s">
        <v>230</v>
      </c>
      <c r="C88" s="9" t="n">
        <f aca="false">((Assumptions!$D$123*$C$10)+(Assumptions!$C$34*Assumptions!$C$35))</f>
        <v>46000</v>
      </c>
      <c r="D88" s="9" t="n">
        <f aca="false">((Assumptions!$D$123*$C$10)+(Assumptions!$C$34*Assumptions!$C$35))</f>
        <v>46000</v>
      </c>
      <c r="E88" s="9" t="n">
        <f aca="false">((Assumptions!$D$123*$C$10)+(Assumptions!$C$34*Assumptions!$C$35))</f>
        <v>46000</v>
      </c>
      <c r="F88" s="9" t="n">
        <f aca="false">((Assumptions!$D$123*$C$10)+(Assumptions!$C$34*Assumptions!$C$35))</f>
        <v>46000</v>
      </c>
      <c r="G88" s="9" t="n">
        <f aca="false">((Assumptions!$D$123*$C$10)+(Assumptions!$C$34*Assumptions!$C$35))</f>
        <v>46000</v>
      </c>
      <c r="H88" s="9" t="n">
        <f aca="false">((Assumptions!$D$123*$C$10)+(Assumptions!$C$34*Assumptions!$C$35))</f>
        <v>46000</v>
      </c>
      <c r="I88" s="9" t="n">
        <f aca="false">((Assumptions!$D$123*$C$10)+(Assumptions!$C$34*Assumptions!$C$35))</f>
        <v>46000</v>
      </c>
      <c r="J88" s="9" t="n">
        <f aca="false">((Assumptions!$D$123*$C$10)+(Assumptions!$C$34*Assumptions!$C$35))</f>
        <v>46000</v>
      </c>
      <c r="K88" s="9" t="n">
        <f aca="false">((Assumptions!$D$123*$C$10)+(Assumptions!$C$34*Assumptions!$C$35))</f>
        <v>46000</v>
      </c>
      <c r="L88" s="9" t="n">
        <f aca="false">((Assumptions!$D$123*$C$10)+(Assumptions!$C$34*Assumptions!$C$35))</f>
        <v>46000</v>
      </c>
      <c r="M88" s="9" t="n">
        <f aca="false">((Assumptions!$D$123*$C$10)+(Assumptions!$C$34*Assumptions!$C$35))</f>
        <v>46000</v>
      </c>
      <c r="N88" s="9" t="n">
        <f aca="false">((Assumptions!$D$123*$C$10)+(Assumptions!$C$34*Assumptions!$C$35))</f>
        <v>46000</v>
      </c>
      <c r="O88" s="9" t="n">
        <f aca="false">((Assumptions!$D$123*$C$10)+(Assumptions!$C$34*Assumptions!$C$35))</f>
        <v>46000</v>
      </c>
      <c r="P88" s="9" t="n">
        <f aca="false">((Assumptions!$D$123*$C$10)+(Assumptions!$C$34*Assumptions!$C$35))</f>
        <v>46000</v>
      </c>
      <c r="Q88" s="9" t="n">
        <f aca="false">((Assumptions!$D$123*$C$10)+(Assumptions!$C$34*Assumptions!$C$35))</f>
        <v>46000</v>
      </c>
      <c r="R88" s="9" t="n">
        <f aca="false">((Assumptions!$D$123*$C$10)+(Assumptions!$C$34*Assumptions!$C$35))</f>
        <v>46000</v>
      </c>
      <c r="S88" s="9" t="n">
        <f aca="false">((Assumptions!$D$123*$C$10)+(Assumptions!$C$34*Assumptions!$C$35))</f>
        <v>46000</v>
      </c>
      <c r="T88" s="9" t="n">
        <f aca="false">((Assumptions!$D$123*$C$10)+(Assumptions!$C$34*Assumptions!$C$35))</f>
        <v>46000</v>
      </c>
      <c r="U88" s="9" t="n">
        <f aca="false">((Assumptions!$D$123*$C$10)+(Assumptions!$C$34*Assumptions!$C$35))</f>
        <v>46000</v>
      </c>
      <c r="V88" s="9" t="n">
        <f aca="false">((Assumptions!$D$123*$C$10)+(Assumptions!$C$34*Assumptions!$C$35))</f>
        <v>46000</v>
      </c>
      <c r="W88" s="9" t="n">
        <f aca="false">((Assumptions!$D$123*$C$10)+(Assumptions!$C$34*Assumptions!$C$35))</f>
        <v>46000</v>
      </c>
      <c r="X88" s="9" t="n">
        <f aca="false">((Assumptions!$D$123*$C$10)+(Assumptions!$C$34*Assumptions!$C$35))</f>
        <v>46000</v>
      </c>
      <c r="Y88" s="9" t="n">
        <f aca="false">((Assumptions!$D$123*$C$10)+(Assumptions!$C$34*Assumptions!$C$35))</f>
        <v>46000</v>
      </c>
      <c r="Z88" s="9" t="n">
        <f aca="false">((Assumptions!$D$123*$C$10)+(Assumptions!$C$34*Assumptions!$C$35))</f>
        <v>46000</v>
      </c>
      <c r="AA88" s="9" t="n">
        <f aca="false">((Assumptions!$D$123*$C$10)+(Assumptions!$C$34*Assumptions!$C$35))</f>
        <v>46000</v>
      </c>
      <c r="AB88" s="9" t="n">
        <f aca="false">((Assumptions!$D$123*$C$10)+(Assumptions!$C$34*Assumptions!$C$35))</f>
        <v>46000</v>
      </c>
      <c r="AC88" s="9" t="n">
        <f aca="false">((Assumptions!$D$123*$C$10)+(Assumptions!$C$34*Assumptions!$C$35))</f>
        <v>46000</v>
      </c>
      <c r="AD88" s="9" t="n">
        <f aca="false">((Assumptions!$D$123*$C$10)+(Assumptions!$C$34*Assumptions!$C$35))</f>
        <v>46000</v>
      </c>
      <c r="AE88" s="9" t="n">
        <f aca="false">((Assumptions!$D$123*$C$10)+(Assumptions!$C$34*Assumptions!$C$35))</f>
        <v>46000</v>
      </c>
      <c r="AF88" s="9" t="n">
        <f aca="false">((Assumptions!$D$123*$C$10)+(Assumptions!$C$34*Assumptions!$C$35))</f>
        <v>46000</v>
      </c>
      <c r="AG88" s="9" t="n">
        <f aca="false">((Assumptions!$D$123*$C$10)+(Assumptions!$C$34*Assumptions!$C$35))</f>
        <v>46000</v>
      </c>
      <c r="AH88" s="9" t="n">
        <f aca="false">((Assumptions!$D$123*$C$10)+(Assumptions!$C$34*Assumptions!$C$35))</f>
        <v>46000</v>
      </c>
      <c r="AI88" s="9" t="n">
        <f aca="false">((Assumptions!$D$123*$C$10)+(Assumptions!$C$34*Assumptions!$C$35))</f>
        <v>46000</v>
      </c>
      <c r="AJ88" s="9" t="n">
        <f aca="false">((Assumptions!$D$123*$C$10)+(Assumptions!$C$34*Assumptions!$C$35))</f>
        <v>46000</v>
      </c>
      <c r="AK88" s="9" t="n">
        <f aca="false">((Assumptions!$D$123*$C$10)+(Assumptions!$C$34*Assumptions!$C$35))</f>
        <v>46000</v>
      </c>
      <c r="AL88" s="9" t="n">
        <f aca="false">((Assumptions!$D$123*$C$10)+(Assumptions!$C$34*Assumptions!$C$35))</f>
        <v>46000</v>
      </c>
    </row>
    <row r="89" customFormat="false" ht="15" hidden="false" customHeight="false" outlineLevel="0" collapsed="false">
      <c r="A89" s="0" t="s">
        <v>895</v>
      </c>
      <c r="B89" s="0" t="s">
        <v>230</v>
      </c>
      <c r="C89" s="9" t="n">
        <f aca="false">((C88/3)*C73)</f>
        <v>0</v>
      </c>
      <c r="D89" s="9" t="n">
        <f aca="false">((D88/3)*SUM(C73:D73))</f>
        <v>0</v>
      </c>
      <c r="E89" s="9" t="n">
        <f aca="false">((E88/3)*SUM(C73:E73))</f>
        <v>0</v>
      </c>
      <c r="F89" s="9" t="n">
        <f aca="false">((F88/3)*SUM(D73:F73))</f>
        <v>0</v>
      </c>
      <c r="G89" s="9" t="n">
        <f aca="false">((G88/3)*SUM(E73:G73))</f>
        <v>0</v>
      </c>
      <c r="H89" s="9" t="n">
        <f aca="false">((H88/3)*SUM(F73:H73))</f>
        <v>0</v>
      </c>
      <c r="I89" s="9" t="n">
        <f aca="false">((I88/3)*SUM(G73:I73))</f>
        <v>0</v>
      </c>
      <c r="J89" s="9" t="n">
        <f aca="false">((J88/3)*SUM(H73:J73))</f>
        <v>0</v>
      </c>
      <c r="K89" s="9" t="n">
        <f aca="false">((K88/3)*SUM(I73:K73))</f>
        <v>0</v>
      </c>
      <c r="L89" s="9" t="n">
        <f aca="false">((L88/3)*SUM(J73:L73))</f>
        <v>0</v>
      </c>
      <c r="M89" s="9" t="n">
        <f aca="false">((M88/3)*SUM(K73:M73))</f>
        <v>0</v>
      </c>
      <c r="N89" s="9" t="n">
        <f aca="false">((N88/3)*SUM(L73:N73))</f>
        <v>0</v>
      </c>
      <c r="O89" s="9" t="n">
        <f aca="false">((O88/3)*SUM(M73:O73))</f>
        <v>0</v>
      </c>
      <c r="P89" s="9" t="n">
        <f aca="false">((P88/3)*SUM(N73:P73))</f>
        <v>21466.6666666667</v>
      </c>
      <c r="Q89" s="9" t="n">
        <f aca="false">((Q88/3)*SUM(O73:Q73))</f>
        <v>21466.6666666667</v>
      </c>
      <c r="R89" s="9" t="n">
        <f aca="false">((R88/3)*SUM(P73:R73))</f>
        <v>21466.6666666667</v>
      </c>
      <c r="S89" s="9" t="n">
        <f aca="false">((S88/3)*SUM(Q73:S73))</f>
        <v>21466.6666666667</v>
      </c>
      <c r="T89" s="9" t="n">
        <f aca="false">((T88/3)*SUM(R73:T73))</f>
        <v>21466.6666666667</v>
      </c>
      <c r="U89" s="9" t="n">
        <f aca="false">((U88/3)*SUM(S73:U73))</f>
        <v>21466.6666666667</v>
      </c>
      <c r="V89" s="9" t="n">
        <f aca="false">((V88/3)*SUM(T73:V73))</f>
        <v>21466.6666666667</v>
      </c>
      <c r="W89" s="9" t="n">
        <f aca="false">((W88/3)*SUM(U73:W73))</f>
        <v>21466.6666666667</v>
      </c>
      <c r="X89" s="9" t="n">
        <f aca="false">((X88/3)*SUM(V73:X73))</f>
        <v>21466.6666666667</v>
      </c>
      <c r="Y89" s="9" t="n">
        <f aca="false">((Y88/3)*SUM(W73:Y73))</f>
        <v>21466.6666666667</v>
      </c>
      <c r="Z89" s="9" t="n">
        <f aca="false">((Z88/3)*SUM(X73:Z73))</f>
        <v>42933.3333333333</v>
      </c>
      <c r="AA89" s="9" t="n">
        <f aca="false">((AA88/3)*SUM(Y73:AA73))</f>
        <v>42933.3333333333</v>
      </c>
      <c r="AB89" s="9" t="n">
        <f aca="false">((AB88/3)*SUM(Z73:AB73))</f>
        <v>64400</v>
      </c>
      <c r="AC89" s="9" t="n">
        <f aca="false">((AC88/3)*SUM(AA73:AC73))</f>
        <v>64400</v>
      </c>
      <c r="AD89" s="9" t="n">
        <f aca="false">((AD88/3)*SUM(AB73:AD73))</f>
        <v>64400</v>
      </c>
      <c r="AE89" s="9" t="n">
        <f aca="false">((AE88/3)*SUM(AC73:AE73))</f>
        <v>64400</v>
      </c>
      <c r="AF89" s="9" t="n">
        <f aca="false">((AF88/3)*SUM(AD73:AF73))</f>
        <v>64400</v>
      </c>
      <c r="AG89" s="9" t="n">
        <f aca="false">((AG88/3)*SUM(AE73:AG73))</f>
        <v>64400</v>
      </c>
      <c r="AH89" s="9" t="n">
        <f aca="false">((AH88/3)*SUM(AF73:AH73))</f>
        <v>64400</v>
      </c>
      <c r="AI89" s="9" t="n">
        <f aca="false">((AI88/3)*SUM(AG73:AI73))</f>
        <v>85866.6666666667</v>
      </c>
      <c r="AJ89" s="9" t="n">
        <f aca="false">((AJ88/3)*SUM(AH73:AJ73))</f>
        <v>85866.6666666667</v>
      </c>
      <c r="AK89" s="9" t="n">
        <f aca="false">((AK88/3)*SUM(AI73:AK73))</f>
        <v>85866.6666666667</v>
      </c>
      <c r="AL89" s="9" t="n">
        <f aca="false">((AL88/3)*SUM(AJ73:AL73))</f>
        <v>85866.6666666667</v>
      </c>
      <c r="AN89" s="11" t="n">
        <f aca="false">SUM(C89:N89)</f>
        <v>0</v>
      </c>
      <c r="AO89" s="11" t="n">
        <f aca="false">SUM(O89:Z89)</f>
        <v>257600</v>
      </c>
      <c r="AP89" s="11" t="n">
        <f aca="false">SUM(AA89:AL89)</f>
        <v>837200</v>
      </c>
    </row>
    <row r="90" customFormat="false" ht="15" hidden="false" customHeight="false" outlineLevel="0" collapsed="false">
      <c r="A90" s="0" t="s">
        <v>896</v>
      </c>
      <c r="B90" s="0" t="s">
        <v>230</v>
      </c>
      <c r="C90" s="9" t="n">
        <f aca="false">(C88*C73)</f>
        <v>0</v>
      </c>
      <c r="D90" s="9" t="n">
        <f aca="false">(D88*D73)</f>
        <v>0</v>
      </c>
      <c r="E90" s="9" t="n">
        <f aca="false">(E88*E73)</f>
        <v>0</v>
      </c>
      <c r="F90" s="9" t="n">
        <f aca="false">(F88*F73)</f>
        <v>0</v>
      </c>
      <c r="G90" s="9" t="n">
        <f aca="false">(G88*G73)</f>
        <v>0</v>
      </c>
      <c r="H90" s="9" t="n">
        <f aca="false">(H88*H73)</f>
        <v>0</v>
      </c>
      <c r="I90" s="9" t="n">
        <f aca="false">(I88*I73)</f>
        <v>0</v>
      </c>
      <c r="J90" s="9" t="n">
        <f aca="false">(J88*J73)</f>
        <v>0</v>
      </c>
      <c r="K90" s="9" t="n">
        <f aca="false">(K88*K73)</f>
        <v>0</v>
      </c>
      <c r="L90" s="9" t="n">
        <f aca="false">(L88*L73)</f>
        <v>0</v>
      </c>
      <c r="M90" s="9" t="n">
        <f aca="false">(M88*M73)</f>
        <v>0</v>
      </c>
      <c r="N90" s="9" t="n">
        <f aca="false">(N88*N73)</f>
        <v>0</v>
      </c>
      <c r="O90" s="9" t="n">
        <f aca="false">(O88*O73)</f>
        <v>0</v>
      </c>
      <c r="P90" s="9" t="n">
        <f aca="false">(P88*P73)</f>
        <v>64400</v>
      </c>
      <c r="Q90" s="9" t="n">
        <f aca="false">(Q88*Q73)</f>
        <v>0</v>
      </c>
      <c r="R90" s="9" t="n">
        <f aca="false">(R88*R73)</f>
        <v>0</v>
      </c>
      <c r="S90" s="9" t="n">
        <f aca="false">(S88*S73)</f>
        <v>64400</v>
      </c>
      <c r="T90" s="9" t="n">
        <f aca="false">(T88*T73)</f>
        <v>0</v>
      </c>
      <c r="U90" s="9" t="n">
        <f aca="false">(U88*U73)</f>
        <v>0</v>
      </c>
      <c r="V90" s="9" t="n">
        <f aca="false">(V88*V73)</f>
        <v>64400</v>
      </c>
      <c r="W90" s="9" t="n">
        <f aca="false">(W88*W73)</f>
        <v>0</v>
      </c>
      <c r="X90" s="9" t="n">
        <f aca="false">(X88*X73)</f>
        <v>0</v>
      </c>
      <c r="Y90" s="9" t="n">
        <f aca="false">(Y88*Y73)</f>
        <v>64400</v>
      </c>
      <c r="Z90" s="9" t="n">
        <f aca="false">(Z88*Z73)</f>
        <v>64400</v>
      </c>
      <c r="AA90" s="9" t="n">
        <f aca="false">(AA88*AA73)</f>
        <v>0</v>
      </c>
      <c r="AB90" s="9" t="n">
        <f aca="false">(AB88*AB73)</f>
        <v>128800</v>
      </c>
      <c r="AC90" s="9" t="n">
        <f aca="false">(AC88*AC73)</f>
        <v>64400</v>
      </c>
      <c r="AD90" s="9" t="n">
        <f aca="false">(AD88*AD73)</f>
        <v>0</v>
      </c>
      <c r="AE90" s="9" t="n">
        <f aca="false">(AE88*AE73)</f>
        <v>128800</v>
      </c>
      <c r="AF90" s="9" t="n">
        <f aca="false">(AF88*AF73)</f>
        <v>64400</v>
      </c>
      <c r="AG90" s="9" t="n">
        <f aca="false">(AG88*AG73)</f>
        <v>0</v>
      </c>
      <c r="AH90" s="9" t="n">
        <f aca="false">(AH88*AH73)</f>
        <v>128800</v>
      </c>
      <c r="AI90" s="9" t="n">
        <f aca="false">(AI88*AI73)</f>
        <v>128800</v>
      </c>
      <c r="AJ90" s="9" t="n">
        <f aca="false">(AJ88*AJ73)</f>
        <v>0</v>
      </c>
      <c r="AK90" s="9" t="n">
        <f aca="false">(AK88*AK73)</f>
        <v>128800</v>
      </c>
      <c r="AL90" s="9" t="n">
        <f aca="false">(AL88*AL73)</f>
        <v>128800</v>
      </c>
      <c r="AN90" s="11" t="n">
        <f aca="false">SUM(C90:N90)</f>
        <v>0</v>
      </c>
      <c r="AO90" s="11" t="n">
        <f aca="false">SUM(O90:Z90)</f>
        <v>322000</v>
      </c>
      <c r="AP90" s="11" t="n">
        <f aca="false">SUM(AA90:AL90)</f>
        <v>901600</v>
      </c>
    </row>
    <row r="91" customFormat="false" ht="15" hidden="false" customHeight="false" outlineLevel="0" collapsed="false">
      <c r="A91" s="0" t="s">
        <v>897</v>
      </c>
      <c r="B91" s="0" t="s">
        <v>285</v>
      </c>
      <c r="C91" s="9" t="n">
        <f aca="false">((C70*Assumptions!$D$124)+(C73*(Assumptions!$D$124+(Assumptions!$C$34*Assumptions!$C$36))))</f>
        <v>0</v>
      </c>
      <c r="D91" s="9" t="n">
        <f aca="false">((D70*Assumptions!$D$124)+(D73*(Assumptions!$D$124+(Assumptions!$C$34*Assumptions!$C$36))))</f>
        <v>0</v>
      </c>
      <c r="E91" s="9" t="n">
        <f aca="false">((E70*Assumptions!$D$124)+(E73*(Assumptions!$D$124+(Assumptions!$C$34*Assumptions!$C$36))))</f>
        <v>0</v>
      </c>
      <c r="F91" s="9" t="n">
        <f aca="false">((F70*Assumptions!$D$124)+(F73*(Assumptions!$D$124+(Assumptions!$C$34*Assumptions!$C$36))))</f>
        <v>0</v>
      </c>
      <c r="G91" s="9" t="n">
        <f aca="false">((G70*Assumptions!$D$124)+(G73*(Assumptions!$D$124+(Assumptions!$C$34*Assumptions!$C$36))))</f>
        <v>0</v>
      </c>
      <c r="H91" s="9" t="n">
        <f aca="false">((H70*Assumptions!$D$124)+(H73*(Assumptions!$D$124+(Assumptions!$C$34*Assumptions!$C$36))))</f>
        <v>0</v>
      </c>
      <c r="I91" s="9" t="n">
        <f aca="false">((I70*Assumptions!$D$124)+(I73*(Assumptions!$D$124+(Assumptions!$C$34*Assumptions!$C$36))))</f>
        <v>0</v>
      </c>
      <c r="J91" s="9" t="n">
        <f aca="false">((J70*Assumptions!$D$124)+(J73*(Assumptions!$D$124+(Assumptions!$C$34*Assumptions!$C$36))))</f>
        <v>330</v>
      </c>
      <c r="K91" s="9" t="n">
        <f aca="false">((K70*Assumptions!$D$124)+(K73*(Assumptions!$D$124+(Assumptions!$C$34*Assumptions!$C$36))))</f>
        <v>0</v>
      </c>
      <c r="L91" s="9" t="n">
        <f aca="false">((L70*Assumptions!$D$124)+(L73*(Assumptions!$D$124+(Assumptions!$C$34*Assumptions!$C$36))))</f>
        <v>0</v>
      </c>
      <c r="M91" s="9" t="n">
        <f aca="false">((M70*Assumptions!$D$124)+(M73*(Assumptions!$D$124+(Assumptions!$C$34*Assumptions!$C$36))))</f>
        <v>0</v>
      </c>
      <c r="N91" s="9" t="n">
        <f aca="false">((N70*Assumptions!$D$124)+(N73*(Assumptions!$D$124+(Assumptions!$C$34*Assumptions!$C$36))))</f>
        <v>0</v>
      </c>
      <c r="O91" s="9" t="n">
        <f aca="false">((O70*Assumptions!$D$124)+(O73*(Assumptions!$D$124+(Assumptions!$C$34*Assumptions!$C$36))))</f>
        <v>0</v>
      </c>
      <c r="P91" s="9" t="n">
        <f aca="false">((P70*Assumptions!$D$124)+(P73*(Assumptions!$D$124+(Assumptions!$C$34*Assumptions!$C$36))))</f>
        <v>523.6</v>
      </c>
      <c r="Q91" s="9" t="n">
        <f aca="false">((Q70*Assumptions!$D$124)+(Q73*(Assumptions!$D$124+(Assumptions!$C$34*Assumptions!$C$36))))</f>
        <v>0</v>
      </c>
      <c r="R91" s="9" t="n">
        <f aca="false">((R70*Assumptions!$D$124)+(R73*(Assumptions!$D$124+(Assumptions!$C$34*Assumptions!$C$36))))</f>
        <v>0</v>
      </c>
      <c r="S91" s="9" t="n">
        <f aca="false">((S70*Assumptions!$D$124)+(S73*(Assumptions!$D$124+(Assumptions!$C$34*Assumptions!$C$36))))</f>
        <v>523.6</v>
      </c>
      <c r="T91" s="9" t="n">
        <f aca="false">((T70*Assumptions!$D$124)+(T73*(Assumptions!$D$124+(Assumptions!$C$34*Assumptions!$C$36))))</f>
        <v>0</v>
      </c>
      <c r="U91" s="9" t="n">
        <f aca="false">((U70*Assumptions!$D$124)+(U73*(Assumptions!$D$124+(Assumptions!$C$34*Assumptions!$C$36))))</f>
        <v>0</v>
      </c>
      <c r="V91" s="9" t="n">
        <f aca="false">((V70*Assumptions!$D$124)+(V73*(Assumptions!$D$124+(Assumptions!$C$34*Assumptions!$C$36))))</f>
        <v>523.6</v>
      </c>
      <c r="W91" s="9" t="n">
        <f aca="false">((W70*Assumptions!$D$124)+(W73*(Assumptions!$D$124+(Assumptions!$C$34*Assumptions!$C$36))))</f>
        <v>0</v>
      </c>
      <c r="X91" s="9" t="n">
        <f aca="false">((X70*Assumptions!$D$124)+(X73*(Assumptions!$D$124+(Assumptions!$C$34*Assumptions!$C$36))))</f>
        <v>0</v>
      </c>
      <c r="Y91" s="9" t="n">
        <f aca="false">((Y70*Assumptions!$D$124)+(Y73*(Assumptions!$D$124+(Assumptions!$C$34*Assumptions!$C$36))))</f>
        <v>523.6</v>
      </c>
      <c r="Z91" s="9" t="n">
        <f aca="false">((Z70*Assumptions!$D$124)+(Z73*(Assumptions!$D$124+(Assumptions!$C$34*Assumptions!$C$36))))</f>
        <v>523.6</v>
      </c>
      <c r="AA91" s="9" t="n">
        <f aca="false">((AA70*Assumptions!$D$124)+(AA73*(Assumptions!$D$124+(Assumptions!$C$34*Assumptions!$C$36))))</f>
        <v>0</v>
      </c>
      <c r="AB91" s="9" t="n">
        <f aca="false">((AB70*Assumptions!$D$124)+(AB73*(Assumptions!$D$124+(Assumptions!$C$34*Assumptions!$C$36))))</f>
        <v>1047.2</v>
      </c>
      <c r="AC91" s="9" t="n">
        <f aca="false">((AC70*Assumptions!$D$124)+(AC73*(Assumptions!$D$124+(Assumptions!$C$34*Assumptions!$C$36))))</f>
        <v>523.6</v>
      </c>
      <c r="AD91" s="9" t="n">
        <f aca="false">((AD70*Assumptions!$D$124)+(AD73*(Assumptions!$D$124+(Assumptions!$C$34*Assumptions!$C$36))))</f>
        <v>0</v>
      </c>
      <c r="AE91" s="9" t="n">
        <f aca="false">((AE70*Assumptions!$D$124)+(AE73*(Assumptions!$D$124+(Assumptions!$C$34*Assumptions!$C$36))))</f>
        <v>1047.2</v>
      </c>
      <c r="AF91" s="9" t="n">
        <f aca="false">((AF70*Assumptions!$D$124)+(AF73*(Assumptions!$D$124+(Assumptions!$C$34*Assumptions!$C$36))))</f>
        <v>523.6</v>
      </c>
      <c r="AG91" s="9" t="n">
        <f aca="false">((AG70*Assumptions!$D$124)+(AG73*(Assumptions!$D$124+(Assumptions!$C$34*Assumptions!$C$36))))</f>
        <v>0</v>
      </c>
      <c r="AH91" s="9" t="n">
        <f aca="false">((AH70*Assumptions!$D$124)+(AH73*(Assumptions!$D$124+(Assumptions!$C$34*Assumptions!$C$36))))</f>
        <v>1047.2</v>
      </c>
      <c r="AI91" s="9" t="n">
        <f aca="false">((AI70*Assumptions!$D$124)+(AI73*(Assumptions!$D$124+(Assumptions!$C$34*Assumptions!$C$36))))</f>
        <v>1047.2</v>
      </c>
      <c r="AJ91" s="9" t="n">
        <f aca="false">((AJ70*Assumptions!$D$124)+(AJ73*(Assumptions!$D$124+(Assumptions!$C$34*Assumptions!$C$36))))</f>
        <v>0</v>
      </c>
      <c r="AK91" s="9" t="n">
        <f aca="false">((AK70*Assumptions!$D$124)+(AK73*(Assumptions!$D$124+(Assumptions!$C$34*Assumptions!$C$36))))</f>
        <v>1047.2</v>
      </c>
      <c r="AL91" s="9" t="n">
        <f aca="false">((AL70*Assumptions!$D$124)+(AL73*(Assumptions!$D$124+(Assumptions!$C$34*Assumptions!$C$36))))</f>
        <v>1047.2</v>
      </c>
      <c r="AN91" s="11" t="n">
        <f aca="false">SUM(C91:N91)</f>
        <v>330</v>
      </c>
      <c r="AO91" s="11" t="n">
        <f aca="false">SUM(O91:Z91)</f>
        <v>2618</v>
      </c>
      <c r="AP91" s="11" t="n">
        <f aca="false">SUM(AA91:AL91)</f>
        <v>7330.4</v>
      </c>
    </row>
    <row r="92" customFormat="false" ht="15" hidden="false" customHeight="false" outlineLevel="0" collapsed="false">
      <c r="A92" s="0" t="s">
        <v>898</v>
      </c>
      <c r="B92" s="0" t="s">
        <v>852</v>
      </c>
      <c r="C92" s="14" t="n">
        <f aca="false">((IF(OR((C$18-(Assumptions!$C$9-1)-$C$9)&lt;1,(C$18-(Assumptions!$C$9-1)-$C$9)&gt;36),0,INDEX(Schedules!$C$7:$AL$7,(C$18-(Assumptions!$C$9-1)-$C$9)))*$C$7)*C44)</f>
        <v>0</v>
      </c>
      <c r="D92" s="14" t="n">
        <f aca="false">((IF(OR((D$18-(Assumptions!$C$9-1)-$C$9)&lt;1,(D$18-(Assumptions!$C$9-1)-$C$9)&gt;36),0,INDEX(Schedules!$C$7:$AL$7,(D$18-(Assumptions!$C$9-1)-$C$9)))*$C$7)*D44)</f>
        <v>0</v>
      </c>
      <c r="E92" s="14" t="n">
        <f aca="false">((IF(OR((E$18-(Assumptions!$C$9-1)-$C$9)&lt;1,(E$18-(Assumptions!$C$9-1)-$C$9)&gt;36),0,INDEX(Schedules!$C$7:$AL$7,(E$18-(Assumptions!$C$9-1)-$C$9)))*$C$7)*E44)</f>
        <v>0</v>
      </c>
      <c r="F92" s="14" t="n">
        <f aca="false">((IF(OR((F$18-(Assumptions!$C$9-1)-$C$9)&lt;1,(F$18-(Assumptions!$C$9-1)-$C$9)&gt;36),0,INDEX(Schedules!$C$7:$AL$7,(F$18-(Assumptions!$C$9-1)-$C$9)))*$C$7)*F44)</f>
        <v>0</v>
      </c>
      <c r="G92" s="14" t="n">
        <f aca="false">((IF(OR((G$18-(Assumptions!$C$9-1)-$C$9)&lt;1,(G$18-(Assumptions!$C$9-1)-$C$9)&gt;36),0,INDEX(Schedules!$C$7:$AL$7,(G$18-(Assumptions!$C$9-1)-$C$9)))*$C$7)*G44)</f>
        <v>0</v>
      </c>
      <c r="H92" s="14" t="n">
        <f aca="false">((IF(OR((H$18-(Assumptions!$C$9-1)-$C$9)&lt;1,(H$18-(Assumptions!$C$9-1)-$C$9)&gt;36),0,INDEX(Schedules!$C$7:$AL$7,(H$18-(Assumptions!$C$9-1)-$C$9)))*$C$7)*H44)</f>
        <v>0</v>
      </c>
      <c r="I92" s="14" t="n">
        <f aca="false">((IF(OR((I$18-(Assumptions!$C$9-1)-$C$9)&lt;1,(I$18-(Assumptions!$C$9-1)-$C$9)&gt;36),0,INDEX(Schedules!$C$7:$AL$7,(I$18-(Assumptions!$C$9-1)-$C$9)))*$C$7)*I44)</f>
        <v>0</v>
      </c>
      <c r="J92" s="14" t="n">
        <f aca="false">((IF(OR((J$18-(Assumptions!$C$9-1)-$C$9)&lt;1,(J$18-(Assumptions!$C$9-1)-$C$9)&gt;36),0,INDEX(Schedules!$C$7:$AL$7,(J$18-(Assumptions!$C$9-1)-$C$9)))*$C$7)*J44)</f>
        <v>0</v>
      </c>
      <c r="K92" s="14" t="n">
        <f aca="false">((IF(OR((K$18-(Assumptions!$C$9-1)-$C$9)&lt;1,(K$18-(Assumptions!$C$9-1)-$C$9)&gt;36),0,INDEX(Schedules!$C$7:$AL$7,(K$18-(Assumptions!$C$9-1)-$C$9)))*$C$7)*K44)</f>
        <v>0</v>
      </c>
      <c r="L92" s="14" t="n">
        <f aca="false">((IF(OR((L$18-(Assumptions!$C$9-1)-$C$9)&lt;1,(L$18-(Assumptions!$C$9-1)-$C$9)&gt;36),0,INDEX(Schedules!$C$7:$AL$7,(L$18-(Assumptions!$C$9-1)-$C$9)))*$C$7)*L44)</f>
        <v>0</v>
      </c>
      <c r="M92" s="14" t="n">
        <f aca="false">((IF(OR((M$18-(Assumptions!$C$9-1)-$C$9)&lt;1,(M$18-(Assumptions!$C$9-1)-$C$9)&gt;36),0,INDEX(Schedules!$C$7:$AL$7,(M$18-(Assumptions!$C$9-1)-$C$9)))*$C$7)*M44)</f>
        <v>0</v>
      </c>
      <c r="N92" s="14" t="n">
        <f aca="false">((IF(OR((N$18-(Assumptions!$C$9-1)-$C$9)&lt;1,(N$18-(Assumptions!$C$9-1)-$C$9)&gt;36),0,INDEX(Schedules!$C$7:$AL$7,(N$18-(Assumptions!$C$9-1)-$C$9)))*$C$7)*N44)</f>
        <v>0</v>
      </c>
      <c r="O92" s="14" t="n">
        <f aca="false">((IF(OR((O$18-(Assumptions!$C$9-1)-$C$9)&lt;1,(O$18-(Assumptions!$C$9-1)-$C$9)&gt;36),0,INDEX(Schedules!$C$7:$AL$7,(O$18-(Assumptions!$C$9-1)-$C$9)))*$C$7)*O44)</f>
        <v>0</v>
      </c>
      <c r="P92" s="14" t="n">
        <f aca="false">((IF(OR((P$18-(Assumptions!$C$9-1)-$C$9)&lt;1,(P$18-(Assumptions!$C$9-1)-$C$9)&gt;36),0,INDEX(Schedules!$C$7:$AL$7,(P$18-(Assumptions!$C$9-1)-$C$9)))*$C$7)*P44)</f>
        <v>0</v>
      </c>
      <c r="Q92" s="14" t="n">
        <f aca="false">((IF(OR((Q$18-(Assumptions!$C$9-1)-$C$9)&lt;1,(Q$18-(Assumptions!$C$9-1)-$C$9)&gt;36),0,INDEX(Schedules!$C$7:$AL$7,(Q$18-(Assumptions!$C$9-1)-$C$9)))*$C$7)*Q44)</f>
        <v>0</v>
      </c>
      <c r="R92" s="14" t="n">
        <f aca="false">((IF(OR((R$18-(Assumptions!$C$9-1)-$C$9)&lt;1,(R$18-(Assumptions!$C$9-1)-$C$9)&gt;36),0,INDEX(Schedules!$C$7:$AL$7,(R$18-(Assumptions!$C$9-1)-$C$9)))*$C$7)*R44)</f>
        <v>0</v>
      </c>
      <c r="S92" s="14" t="n">
        <f aca="false">((IF(OR((S$18-(Assumptions!$C$9-1)-$C$9)&lt;1,(S$18-(Assumptions!$C$9-1)-$C$9)&gt;36),0,INDEX(Schedules!$C$7:$AL$7,(S$18-(Assumptions!$C$9-1)-$C$9)))*$C$7)*S44)</f>
        <v>0</v>
      </c>
      <c r="T92" s="14" t="n">
        <f aca="false">((IF(OR((T$18-(Assumptions!$C$9-1)-$C$9)&lt;1,(T$18-(Assumptions!$C$9-1)-$C$9)&gt;36),0,INDEX(Schedules!$C$7:$AL$7,(T$18-(Assumptions!$C$9-1)-$C$9)))*$C$7)*T44)</f>
        <v>0</v>
      </c>
      <c r="U92" s="14" t="n">
        <f aca="false">((IF(OR((U$18-(Assumptions!$C$9-1)-$C$9)&lt;1,(U$18-(Assumptions!$C$9-1)-$C$9)&gt;36),0,INDEX(Schedules!$C$7:$AL$7,(U$18-(Assumptions!$C$9-1)-$C$9)))*$C$7)*U44)</f>
        <v>0</v>
      </c>
      <c r="V92" s="14" t="n">
        <f aca="false">((IF(OR((V$18-(Assumptions!$C$9-1)-$C$9)&lt;1,(V$18-(Assumptions!$C$9-1)-$C$9)&gt;36),0,INDEX(Schedules!$C$7:$AL$7,(V$18-(Assumptions!$C$9-1)-$C$9)))*$C$7)*V44)</f>
        <v>0</v>
      </c>
      <c r="W92" s="14" t="n">
        <f aca="false">((IF(OR((W$18-(Assumptions!$C$9-1)-$C$9)&lt;1,(W$18-(Assumptions!$C$9-1)-$C$9)&gt;36),0,INDEX(Schedules!$C$7:$AL$7,(W$18-(Assumptions!$C$9-1)-$C$9)))*$C$7)*W44)</f>
        <v>0</v>
      </c>
      <c r="X92" s="14" t="n">
        <f aca="false">((IF(OR((X$18-(Assumptions!$C$9-1)-$C$9)&lt;1,(X$18-(Assumptions!$C$9-1)-$C$9)&gt;36),0,INDEX(Schedules!$C$7:$AL$7,(X$18-(Assumptions!$C$9-1)-$C$9)))*$C$7)*X44)</f>
        <v>0</v>
      </c>
      <c r="Y92" s="14" t="n">
        <f aca="false">((IF(OR((Y$18-(Assumptions!$C$9-1)-$C$9)&lt;1,(Y$18-(Assumptions!$C$9-1)-$C$9)&gt;36),0,INDEX(Schedules!$C$7:$AL$7,(Y$18-(Assumptions!$C$9-1)-$C$9)))*$C$7)*Y44)</f>
        <v>0</v>
      </c>
      <c r="Z92" s="14" t="n">
        <f aca="false">((IF(OR((Z$18-(Assumptions!$C$9-1)-$C$9)&lt;1,(Z$18-(Assumptions!$C$9-1)-$C$9)&gt;36),0,INDEX(Schedules!$C$7:$AL$7,(Z$18-(Assumptions!$C$9-1)-$C$9)))*$C$7)*Z44)</f>
        <v>0</v>
      </c>
      <c r="AA92" s="14" t="n">
        <f aca="false">((IF(OR((AA$18-(Assumptions!$C$9-1)-$C$9)&lt;1,(AA$18-(Assumptions!$C$9-1)-$C$9)&gt;36),0,INDEX(Schedules!$C$7:$AL$7,(AA$18-(Assumptions!$C$9-1)-$C$9)))*$C$7)*AA44)</f>
        <v>0</v>
      </c>
      <c r="AB92" s="14" t="n">
        <f aca="false">((IF(OR((AB$18-(Assumptions!$C$9-1)-$C$9)&lt;1,(AB$18-(Assumptions!$C$9-1)-$C$9)&gt;36),0,INDEX(Schedules!$C$7:$AL$7,(AB$18-(Assumptions!$C$9-1)-$C$9)))*$C$7)*AB44)</f>
        <v>0</v>
      </c>
      <c r="AC92" s="14" t="n">
        <f aca="false">((IF(OR((AC$18-(Assumptions!$C$9-1)-$C$9)&lt;1,(AC$18-(Assumptions!$C$9-1)-$C$9)&gt;36),0,INDEX(Schedules!$C$7:$AL$7,(AC$18-(Assumptions!$C$9-1)-$C$9)))*$C$7)*AC44)</f>
        <v>0</v>
      </c>
      <c r="AD92" s="14" t="n">
        <f aca="false">((IF(OR((AD$18-(Assumptions!$C$9-1)-$C$9)&lt;1,(AD$18-(Assumptions!$C$9-1)-$C$9)&gt;36),0,INDEX(Schedules!$C$7:$AL$7,(AD$18-(Assumptions!$C$9-1)-$C$9)))*$C$7)*AD44)</f>
        <v>1.4</v>
      </c>
      <c r="AE92" s="14" t="n">
        <f aca="false">((IF(OR((AE$18-(Assumptions!$C$9-1)-$C$9)&lt;1,(AE$18-(Assumptions!$C$9-1)-$C$9)&gt;36),0,INDEX(Schedules!$C$7:$AL$7,(AE$18-(Assumptions!$C$9-1)-$C$9)))*$C$7)*AE44)</f>
        <v>0</v>
      </c>
      <c r="AF92" s="14" t="n">
        <f aca="false">((IF(OR((AF$18-(Assumptions!$C$9-1)-$C$9)&lt;1,(AF$18-(Assumptions!$C$9-1)-$C$9)&gt;36),0,INDEX(Schedules!$C$7:$AL$7,(AF$18-(Assumptions!$C$9-1)-$C$9)))*$C$7)*AF44)</f>
        <v>0</v>
      </c>
      <c r="AG92" s="14" t="n">
        <f aca="false">((IF(OR((AG$18-(Assumptions!$C$9-1)-$C$9)&lt;1,(AG$18-(Assumptions!$C$9-1)-$C$9)&gt;36),0,INDEX(Schedules!$C$7:$AL$7,(AG$18-(Assumptions!$C$9-1)-$C$9)))*$C$7)*AG44)</f>
        <v>0</v>
      </c>
      <c r="AH92" s="14" t="n">
        <f aca="false">((IF(OR((AH$18-(Assumptions!$C$9-1)-$C$9)&lt;1,(AH$18-(Assumptions!$C$9-1)-$C$9)&gt;36),0,INDEX(Schedules!$C$7:$AL$7,(AH$18-(Assumptions!$C$9-1)-$C$9)))*$C$7)*AH44)</f>
        <v>0</v>
      </c>
      <c r="AI92" s="14" t="n">
        <f aca="false">((IF(OR((AI$18-(Assumptions!$C$9-1)-$C$9)&lt;1,(AI$18-(Assumptions!$C$9-1)-$C$9)&gt;36),0,INDEX(Schedules!$C$7:$AL$7,(AI$18-(Assumptions!$C$9-1)-$C$9)))*$C$7)*AI44)</f>
        <v>0</v>
      </c>
      <c r="AJ92" s="14" t="n">
        <f aca="false">((IF(OR((AJ$18-(Assumptions!$C$9-1)-$C$9)&lt;1,(AJ$18-(Assumptions!$C$9-1)-$C$9)&gt;36),0,INDEX(Schedules!$C$7:$AL$7,(AJ$18-(Assumptions!$C$9-1)-$C$9)))*$C$7)*AJ44)</f>
        <v>1.4</v>
      </c>
      <c r="AK92" s="14" t="n">
        <f aca="false">((IF(OR((AK$18-(Assumptions!$C$9-1)-$C$9)&lt;1,(AK$18-(Assumptions!$C$9-1)-$C$9)&gt;36),0,INDEX(Schedules!$C$7:$AL$7,(AK$18-(Assumptions!$C$9-1)-$C$9)))*$C$7)*AK44)</f>
        <v>0</v>
      </c>
      <c r="AL92" s="14" t="n">
        <f aca="false">((IF(OR((AL$18-(Assumptions!$C$9-1)-$C$9)&lt;1,(AL$18-(Assumptions!$C$9-1)-$C$9)&gt;36),0,INDEX(Schedules!$C$7:$AL$7,(AL$18-(Assumptions!$C$9-1)-$C$9)))*$C$7)*AL44)</f>
        <v>0</v>
      </c>
      <c r="AN92" s="36" t="n">
        <f aca="false">SUM(C92:N92)</f>
        <v>0</v>
      </c>
      <c r="AO92" s="36" t="n">
        <f aca="false">SUM(O92:Z92)</f>
        <v>0</v>
      </c>
      <c r="AP92" s="36" t="n">
        <f aca="false">SUM(AA92:AL92)</f>
        <v>2.8</v>
      </c>
    </row>
    <row r="93" customFormat="false" ht="15" hidden="false" customHeight="false" outlineLevel="0" collapsed="false">
      <c r="A93" s="0" t="s">
        <v>899</v>
      </c>
      <c r="B93" s="0" t="s">
        <v>852</v>
      </c>
      <c r="C93" s="14" t="n">
        <f aca="false">INDEX(Schedules!$C$13:$AL$13,C$18)</f>
        <v>0</v>
      </c>
      <c r="D93" s="14" t="n">
        <f aca="false">INDEX(Schedules!$C$13:$AL$13,D$18)</f>
        <v>0</v>
      </c>
      <c r="E93" s="14" t="n">
        <f aca="false">INDEX(Schedules!$C$13:$AL$13,E$18)</f>
        <v>0</v>
      </c>
      <c r="F93" s="14" t="n">
        <f aca="false">INDEX(Schedules!$C$13:$AL$13,F$18)</f>
        <v>0</v>
      </c>
      <c r="G93" s="14" t="n">
        <f aca="false">INDEX(Schedules!$C$13:$AL$13,G$18)</f>
        <v>0</v>
      </c>
      <c r="H93" s="14" t="n">
        <f aca="false">INDEX(Schedules!$C$13:$AL$13,H$18)</f>
        <v>0</v>
      </c>
      <c r="I93" s="14" t="n">
        <f aca="false">INDEX(Schedules!$C$13:$AL$13,I$18)</f>
        <v>0</v>
      </c>
      <c r="J93" s="14" t="n">
        <f aca="false">INDEX(Schedules!$C$13:$AL$13,J$18)</f>
        <v>0</v>
      </c>
      <c r="K93" s="14" t="n">
        <f aca="false">INDEX(Schedules!$C$13:$AL$13,K$18)</f>
        <v>0</v>
      </c>
      <c r="L93" s="14" t="n">
        <f aca="false">INDEX(Schedules!$C$13:$AL$13,L$18)</f>
        <v>0</v>
      </c>
      <c r="M93" s="14" t="n">
        <f aca="false">INDEX(Schedules!$C$13:$AL$13,M$18)</f>
        <v>0</v>
      </c>
      <c r="N93" s="14" t="n">
        <f aca="false">INDEX(Schedules!$C$13:$AL$13,N$18)</f>
        <v>0</v>
      </c>
      <c r="O93" s="14" t="n">
        <f aca="false">INDEX(Schedules!$C$13:$AL$13,O$18)</f>
        <v>0</v>
      </c>
      <c r="P93" s="14" t="n">
        <f aca="false">INDEX(Schedules!$C$13:$AL$13,P$18)</f>
        <v>0</v>
      </c>
      <c r="Q93" s="14" t="n">
        <f aca="false">INDEX(Schedules!$C$13:$AL$13,Q$18)</f>
        <v>0</v>
      </c>
      <c r="R93" s="14" t="n">
        <f aca="false">INDEX(Schedules!$C$13:$AL$13,R$18)</f>
        <v>0</v>
      </c>
      <c r="S93" s="14" t="n">
        <f aca="false">INDEX(Schedules!$C$13:$AL$13,S$18)</f>
        <v>0</v>
      </c>
      <c r="T93" s="14" t="n">
        <f aca="false">INDEX(Schedules!$C$13:$AL$13,T$18)</f>
        <v>0</v>
      </c>
      <c r="U93" s="14" t="n">
        <f aca="false">INDEX(Schedules!$C$13:$AL$13,U$18)</f>
        <v>0</v>
      </c>
      <c r="V93" s="14" t="n">
        <f aca="false">INDEX(Schedules!$C$13:$AL$13,V$18)</f>
        <v>0</v>
      </c>
      <c r="W93" s="14" t="n">
        <f aca="false">INDEX(Schedules!$C$13:$AL$13,W$18)</f>
        <v>0</v>
      </c>
      <c r="X93" s="14" t="n">
        <f aca="false">INDEX(Schedules!$C$13:$AL$13,X$18)</f>
        <v>0</v>
      </c>
      <c r="Y93" s="14" t="n">
        <f aca="false">INDEX(Schedules!$C$13:$AL$13,Y$18)</f>
        <v>0</v>
      </c>
      <c r="Z93" s="14" t="n">
        <f aca="false">INDEX(Schedules!$C$13:$AL$13,Z$18)</f>
        <v>0</v>
      </c>
      <c r="AA93" s="14" t="n">
        <f aca="false">INDEX(Schedules!$C$13:$AL$13,AA$18)</f>
        <v>0</v>
      </c>
      <c r="AB93" s="14" t="n">
        <f aca="false">INDEX(Schedules!$C$13:$AL$13,AB$18)</f>
        <v>0</v>
      </c>
      <c r="AC93" s="14" t="n">
        <f aca="false">INDEX(Schedules!$C$13:$AL$13,AC$18)</f>
        <v>0</v>
      </c>
      <c r="AD93" s="14" t="n">
        <f aca="false">INDEX(Schedules!$C$13:$AL$13,AD$18)</f>
        <v>0</v>
      </c>
      <c r="AE93" s="14" t="n">
        <f aca="false">INDEX(Schedules!$C$13:$AL$13,AE$18)</f>
        <v>0</v>
      </c>
      <c r="AF93" s="14" t="n">
        <f aca="false">INDEX(Schedules!$C$13:$AL$13,AF$18)</f>
        <v>0</v>
      </c>
      <c r="AG93" s="14" t="n">
        <f aca="false">INDEX(Schedules!$C$13:$AL$13,AG$18)</f>
        <v>0</v>
      </c>
      <c r="AH93" s="14" t="n">
        <f aca="false">INDEX(Schedules!$C$13:$AL$13,AH$18)</f>
        <v>0</v>
      </c>
      <c r="AI93" s="14" t="n">
        <f aca="false">INDEX(Schedules!$C$13:$AL$13,AI$18)</f>
        <v>0</v>
      </c>
      <c r="AJ93" s="14" t="n">
        <f aca="false">INDEX(Schedules!$C$13:$AL$13,AJ$18)</f>
        <v>0</v>
      </c>
      <c r="AK93" s="14" t="n">
        <f aca="false">INDEX(Schedules!$C$13:$AL$13,AK$18)</f>
        <v>0</v>
      </c>
      <c r="AL93" s="14" t="n">
        <f aca="false">INDEX(Schedules!$C$13:$AL$13,AL$18)</f>
        <v>0</v>
      </c>
      <c r="AN93" s="36" t="n">
        <f aca="false">SUM(C93:N93)</f>
        <v>0</v>
      </c>
      <c r="AO93" s="36" t="n">
        <f aca="false">SUM(O93:Z93)</f>
        <v>0</v>
      </c>
      <c r="AP93" s="36" t="n">
        <f aca="false">SUM(AA93:AL93)</f>
        <v>0</v>
      </c>
    </row>
    <row r="94" customFormat="false" ht="15" hidden="false" customHeight="false" outlineLevel="0" collapsed="false">
      <c r="A94" s="0" t="s">
        <v>900</v>
      </c>
      <c r="B94" s="0" t="s">
        <v>852</v>
      </c>
      <c r="C94" s="14" t="n">
        <f aca="false">(C92+C93)</f>
        <v>0</v>
      </c>
      <c r="D94" s="14" t="n">
        <f aca="false">(D92+D93)</f>
        <v>0</v>
      </c>
      <c r="E94" s="14" t="n">
        <f aca="false">(E92+E93)</f>
        <v>0</v>
      </c>
      <c r="F94" s="14" t="n">
        <f aca="false">(F92+F93)</f>
        <v>0</v>
      </c>
      <c r="G94" s="14" t="n">
        <f aca="false">(G92+G93)</f>
        <v>0</v>
      </c>
      <c r="H94" s="14" t="n">
        <f aca="false">(H92+H93)</f>
        <v>0</v>
      </c>
      <c r="I94" s="14" t="n">
        <f aca="false">(I92+I93)</f>
        <v>0</v>
      </c>
      <c r="J94" s="14" t="n">
        <f aca="false">(J92+J93)</f>
        <v>0</v>
      </c>
      <c r="K94" s="14" t="n">
        <f aca="false">(K92+K93)</f>
        <v>0</v>
      </c>
      <c r="L94" s="14" t="n">
        <f aca="false">(L92+L93)</f>
        <v>0</v>
      </c>
      <c r="M94" s="14" t="n">
        <f aca="false">(M92+M93)</f>
        <v>0</v>
      </c>
      <c r="N94" s="14" t="n">
        <f aca="false">(N92+N93)</f>
        <v>0</v>
      </c>
      <c r="O94" s="14" t="n">
        <f aca="false">(O92+O93)</f>
        <v>0</v>
      </c>
      <c r="P94" s="14" t="n">
        <f aca="false">(P92+P93)</f>
        <v>0</v>
      </c>
      <c r="Q94" s="14" t="n">
        <f aca="false">(Q92+Q93)</f>
        <v>0</v>
      </c>
      <c r="R94" s="14" t="n">
        <f aca="false">(R92+R93)</f>
        <v>0</v>
      </c>
      <c r="S94" s="14" t="n">
        <f aca="false">(S92+S93)</f>
        <v>0</v>
      </c>
      <c r="T94" s="14" t="n">
        <f aca="false">(T92+T93)</f>
        <v>0</v>
      </c>
      <c r="U94" s="14" t="n">
        <f aca="false">(U92+U93)</f>
        <v>0</v>
      </c>
      <c r="V94" s="14" t="n">
        <f aca="false">(V92+V93)</f>
        <v>0</v>
      </c>
      <c r="W94" s="14" t="n">
        <f aca="false">(W92+W93)</f>
        <v>0</v>
      </c>
      <c r="X94" s="14" t="n">
        <f aca="false">(X92+X93)</f>
        <v>0</v>
      </c>
      <c r="Y94" s="14" t="n">
        <f aca="false">(Y92+Y93)</f>
        <v>0</v>
      </c>
      <c r="Z94" s="14" t="n">
        <f aca="false">(Z92+Z93)</f>
        <v>0</v>
      </c>
      <c r="AA94" s="14" t="n">
        <f aca="false">(AA92+AA93)</f>
        <v>0</v>
      </c>
      <c r="AB94" s="14" t="n">
        <f aca="false">(AB92+AB93)</f>
        <v>0</v>
      </c>
      <c r="AC94" s="14" t="n">
        <f aca="false">(AC92+AC93)</f>
        <v>0</v>
      </c>
      <c r="AD94" s="14" t="n">
        <f aca="false">(AD92+AD93)</f>
        <v>1.4</v>
      </c>
      <c r="AE94" s="14" t="n">
        <f aca="false">(AE92+AE93)</f>
        <v>0</v>
      </c>
      <c r="AF94" s="14" t="n">
        <f aca="false">(AF92+AF93)</f>
        <v>0</v>
      </c>
      <c r="AG94" s="14" t="n">
        <f aca="false">(AG92+AG93)</f>
        <v>0</v>
      </c>
      <c r="AH94" s="14" t="n">
        <f aca="false">(AH92+AH93)</f>
        <v>0</v>
      </c>
      <c r="AI94" s="14" t="n">
        <f aca="false">(AI92+AI93)</f>
        <v>0</v>
      </c>
      <c r="AJ94" s="14" t="n">
        <f aca="false">(AJ92+AJ93)</f>
        <v>1.4</v>
      </c>
      <c r="AK94" s="14" t="n">
        <f aca="false">(AK92+AK93)</f>
        <v>0</v>
      </c>
      <c r="AL94" s="14" t="n">
        <f aca="false">(AL92+AL93)</f>
        <v>0</v>
      </c>
      <c r="AN94" s="36" t="n">
        <f aca="false">SUM(C94:N94)</f>
        <v>0</v>
      </c>
      <c r="AO94" s="36" t="n">
        <f aca="false">SUM(O94:Z94)</f>
        <v>0</v>
      </c>
      <c r="AP94" s="36" t="n">
        <f aca="false">SUM(AA94:AL94)</f>
        <v>2.8</v>
      </c>
    </row>
    <row r="95" customFormat="false" ht="15" hidden="false" customHeight="false" outlineLevel="0" collapsed="false">
      <c r="A95" s="0" t="s">
        <v>901</v>
      </c>
      <c r="B95" s="0" t="s">
        <v>852</v>
      </c>
      <c r="C95" s="14" t="n">
        <f aca="false">((IF(OR((C$18-(Assumptions!$C$9-1)-$C$9)&lt;1,(C$18-(Assumptions!$C$9-1)-$C$9)&gt;36),0,INDEX(Schedules!$C$10:$AL$10,(C$18-(Assumptions!$C$9-1)-$C$9)))*$C$7)*C44)</f>
        <v>0</v>
      </c>
      <c r="D95" s="14" t="n">
        <f aca="false">((IF(OR((D$18-(Assumptions!$C$9-1)-$C$9)&lt;1,(D$18-(Assumptions!$C$9-1)-$C$9)&gt;36),0,INDEX(Schedules!$C$10:$AL$10,(D$18-(Assumptions!$C$9-1)-$C$9)))*$C$7)*D44)</f>
        <v>0</v>
      </c>
      <c r="E95" s="14" t="n">
        <f aca="false">((IF(OR((E$18-(Assumptions!$C$9-1)-$C$9)&lt;1,(E$18-(Assumptions!$C$9-1)-$C$9)&gt;36),0,INDEX(Schedules!$C$10:$AL$10,(E$18-(Assumptions!$C$9-1)-$C$9)))*$C$7)*E44)</f>
        <v>0</v>
      </c>
      <c r="F95" s="14" t="n">
        <f aca="false">((IF(OR((F$18-(Assumptions!$C$9-1)-$C$9)&lt;1,(F$18-(Assumptions!$C$9-1)-$C$9)&gt;36),0,INDEX(Schedules!$C$10:$AL$10,(F$18-(Assumptions!$C$9-1)-$C$9)))*$C$7)*F44)</f>
        <v>0</v>
      </c>
      <c r="G95" s="14" t="n">
        <f aca="false">((IF(OR((G$18-(Assumptions!$C$9-1)-$C$9)&lt;1,(G$18-(Assumptions!$C$9-1)-$C$9)&gt;36),0,INDEX(Schedules!$C$10:$AL$10,(G$18-(Assumptions!$C$9-1)-$C$9)))*$C$7)*G44)</f>
        <v>0</v>
      </c>
      <c r="H95" s="14" t="n">
        <f aca="false">((IF(OR((H$18-(Assumptions!$C$9-1)-$C$9)&lt;1,(H$18-(Assumptions!$C$9-1)-$C$9)&gt;36),0,INDEX(Schedules!$C$10:$AL$10,(H$18-(Assumptions!$C$9-1)-$C$9)))*$C$7)*H44)</f>
        <v>0</v>
      </c>
      <c r="I95" s="14" t="n">
        <f aca="false">((IF(OR((I$18-(Assumptions!$C$9-1)-$C$9)&lt;1,(I$18-(Assumptions!$C$9-1)-$C$9)&gt;36),0,INDEX(Schedules!$C$10:$AL$10,(I$18-(Assumptions!$C$9-1)-$C$9)))*$C$7)*I44)</f>
        <v>0</v>
      </c>
      <c r="J95" s="14" t="n">
        <f aca="false">((IF(OR((J$18-(Assumptions!$C$9-1)-$C$9)&lt;1,(J$18-(Assumptions!$C$9-1)-$C$9)&gt;36),0,INDEX(Schedules!$C$10:$AL$10,(J$18-(Assumptions!$C$9-1)-$C$9)))*$C$7)*J44)</f>
        <v>0</v>
      </c>
      <c r="K95" s="14" t="n">
        <f aca="false">((IF(OR((K$18-(Assumptions!$C$9-1)-$C$9)&lt;1,(K$18-(Assumptions!$C$9-1)-$C$9)&gt;36),0,INDEX(Schedules!$C$10:$AL$10,(K$18-(Assumptions!$C$9-1)-$C$9)))*$C$7)*K44)</f>
        <v>0</v>
      </c>
      <c r="L95" s="14" t="n">
        <f aca="false">((IF(OR((L$18-(Assumptions!$C$9-1)-$C$9)&lt;1,(L$18-(Assumptions!$C$9-1)-$C$9)&gt;36),0,INDEX(Schedules!$C$10:$AL$10,(L$18-(Assumptions!$C$9-1)-$C$9)))*$C$7)*L44)</f>
        <v>0</v>
      </c>
      <c r="M95" s="14" t="n">
        <f aca="false">((IF(OR((M$18-(Assumptions!$C$9-1)-$C$9)&lt;1,(M$18-(Assumptions!$C$9-1)-$C$9)&gt;36),0,INDEX(Schedules!$C$10:$AL$10,(M$18-(Assumptions!$C$9-1)-$C$9)))*$C$7)*M44)</f>
        <v>0</v>
      </c>
      <c r="N95" s="14" t="n">
        <f aca="false">((IF(OR((N$18-(Assumptions!$C$9-1)-$C$9)&lt;1,(N$18-(Assumptions!$C$9-1)-$C$9)&gt;36),0,INDEX(Schedules!$C$10:$AL$10,(N$18-(Assumptions!$C$9-1)-$C$9)))*$C$7)*N44)</f>
        <v>0</v>
      </c>
      <c r="O95" s="14" t="n">
        <f aca="false">((IF(OR((O$18-(Assumptions!$C$9-1)-$C$9)&lt;1,(O$18-(Assumptions!$C$9-1)-$C$9)&gt;36),0,INDEX(Schedules!$C$10:$AL$10,(O$18-(Assumptions!$C$9-1)-$C$9)))*$C$7)*O44)</f>
        <v>0</v>
      </c>
      <c r="P95" s="14" t="n">
        <f aca="false">((IF(OR((P$18-(Assumptions!$C$9-1)-$C$9)&lt;1,(P$18-(Assumptions!$C$9-1)-$C$9)&gt;36),0,INDEX(Schedules!$C$10:$AL$10,(P$18-(Assumptions!$C$9-1)-$C$9)))*$C$7)*P44)</f>
        <v>0</v>
      </c>
      <c r="Q95" s="14" t="n">
        <f aca="false">((IF(OR((Q$18-(Assumptions!$C$9-1)-$C$9)&lt;1,(Q$18-(Assumptions!$C$9-1)-$C$9)&gt;36),0,INDEX(Schedules!$C$10:$AL$10,(Q$18-(Assumptions!$C$9-1)-$C$9)))*$C$7)*Q44)</f>
        <v>0</v>
      </c>
      <c r="R95" s="14" t="n">
        <f aca="false">((IF(OR((R$18-(Assumptions!$C$9-1)-$C$9)&lt;1,(R$18-(Assumptions!$C$9-1)-$C$9)&gt;36),0,INDEX(Schedules!$C$10:$AL$10,(R$18-(Assumptions!$C$9-1)-$C$9)))*$C$7)*R44)</f>
        <v>0</v>
      </c>
      <c r="S95" s="14" t="n">
        <f aca="false">((IF(OR((S$18-(Assumptions!$C$9-1)-$C$9)&lt;1,(S$18-(Assumptions!$C$9-1)-$C$9)&gt;36),0,INDEX(Schedules!$C$10:$AL$10,(S$18-(Assumptions!$C$9-1)-$C$9)))*$C$7)*S44)</f>
        <v>0</v>
      </c>
      <c r="T95" s="14" t="n">
        <f aca="false">((IF(OR((T$18-(Assumptions!$C$9-1)-$C$9)&lt;1,(T$18-(Assumptions!$C$9-1)-$C$9)&gt;36),0,INDEX(Schedules!$C$10:$AL$10,(T$18-(Assumptions!$C$9-1)-$C$9)))*$C$7)*T44)</f>
        <v>0</v>
      </c>
      <c r="U95" s="14" t="n">
        <f aca="false">((IF(OR((U$18-(Assumptions!$C$9-1)-$C$9)&lt;1,(U$18-(Assumptions!$C$9-1)-$C$9)&gt;36),0,INDEX(Schedules!$C$10:$AL$10,(U$18-(Assumptions!$C$9-1)-$C$9)))*$C$7)*U44)</f>
        <v>0</v>
      </c>
      <c r="V95" s="14" t="n">
        <f aca="false">((IF(OR((V$18-(Assumptions!$C$9-1)-$C$9)&lt;1,(V$18-(Assumptions!$C$9-1)-$C$9)&gt;36),0,INDEX(Schedules!$C$10:$AL$10,(V$18-(Assumptions!$C$9-1)-$C$9)))*$C$7)*V44)</f>
        <v>0</v>
      </c>
      <c r="W95" s="14" t="n">
        <f aca="false">((IF(OR((W$18-(Assumptions!$C$9-1)-$C$9)&lt;1,(W$18-(Assumptions!$C$9-1)-$C$9)&gt;36),0,INDEX(Schedules!$C$10:$AL$10,(W$18-(Assumptions!$C$9-1)-$C$9)))*$C$7)*W44)</f>
        <v>0</v>
      </c>
      <c r="X95" s="14" t="n">
        <f aca="false">((IF(OR((X$18-(Assumptions!$C$9-1)-$C$9)&lt;1,(X$18-(Assumptions!$C$9-1)-$C$9)&gt;36),0,INDEX(Schedules!$C$10:$AL$10,(X$18-(Assumptions!$C$9-1)-$C$9)))*$C$7)*X44)</f>
        <v>0</v>
      </c>
      <c r="Y95" s="14" t="n">
        <f aca="false">((IF(OR((Y$18-(Assumptions!$C$9-1)-$C$9)&lt;1,(Y$18-(Assumptions!$C$9-1)-$C$9)&gt;36),0,INDEX(Schedules!$C$10:$AL$10,(Y$18-(Assumptions!$C$9-1)-$C$9)))*$C$7)*Y44)</f>
        <v>0</v>
      </c>
      <c r="Z95" s="14" t="n">
        <f aca="false">((IF(OR((Z$18-(Assumptions!$C$9-1)-$C$9)&lt;1,(Z$18-(Assumptions!$C$9-1)-$C$9)&gt;36),0,INDEX(Schedules!$C$10:$AL$10,(Z$18-(Assumptions!$C$9-1)-$C$9)))*$C$7)*Z44)</f>
        <v>0</v>
      </c>
      <c r="AA95" s="14" t="n">
        <f aca="false">((IF(OR((AA$18-(Assumptions!$C$9-1)-$C$9)&lt;1,(AA$18-(Assumptions!$C$9-1)-$C$9)&gt;36),0,INDEX(Schedules!$C$10:$AL$10,(AA$18-(Assumptions!$C$9-1)-$C$9)))*$C$7)*AA44)</f>
        <v>0</v>
      </c>
      <c r="AB95" s="14" t="n">
        <f aca="false">((IF(OR((AB$18-(Assumptions!$C$9-1)-$C$9)&lt;1,(AB$18-(Assumptions!$C$9-1)-$C$9)&gt;36),0,INDEX(Schedules!$C$10:$AL$10,(AB$18-(Assumptions!$C$9-1)-$C$9)))*$C$7)*AB44)</f>
        <v>0</v>
      </c>
      <c r="AC95" s="14" t="n">
        <f aca="false">((IF(OR((AC$18-(Assumptions!$C$9-1)-$C$9)&lt;1,(AC$18-(Assumptions!$C$9-1)-$C$9)&gt;36),0,INDEX(Schedules!$C$10:$AL$10,(AC$18-(Assumptions!$C$9-1)-$C$9)))*$C$7)*AC44)</f>
        <v>0</v>
      </c>
      <c r="AD95" s="14" t="n">
        <f aca="false">((IF(OR((AD$18-(Assumptions!$C$9-1)-$C$9)&lt;1,(AD$18-(Assumptions!$C$9-1)-$C$9)&gt;36),0,INDEX(Schedules!$C$10:$AL$10,(AD$18-(Assumptions!$C$9-1)-$C$9)))*$C$7)*AD44)</f>
        <v>0</v>
      </c>
      <c r="AE95" s="14" t="n">
        <f aca="false">((IF(OR((AE$18-(Assumptions!$C$9-1)-$C$9)&lt;1,(AE$18-(Assumptions!$C$9-1)-$C$9)&gt;36),0,INDEX(Schedules!$C$10:$AL$10,(AE$18-(Assumptions!$C$9-1)-$C$9)))*$C$7)*AE44)</f>
        <v>0</v>
      </c>
      <c r="AF95" s="14" t="n">
        <f aca="false">((IF(OR((AF$18-(Assumptions!$C$9-1)-$C$9)&lt;1,(AF$18-(Assumptions!$C$9-1)-$C$9)&gt;36),0,INDEX(Schedules!$C$10:$AL$10,(AF$18-(Assumptions!$C$9-1)-$C$9)))*$C$7)*AF44)</f>
        <v>0</v>
      </c>
      <c r="AG95" s="14" t="n">
        <f aca="false">((IF(OR((AG$18-(Assumptions!$C$9-1)-$C$9)&lt;1,(AG$18-(Assumptions!$C$9-1)-$C$9)&gt;36),0,INDEX(Schedules!$C$10:$AL$10,(AG$18-(Assumptions!$C$9-1)-$C$9)))*$C$7)*AG44)</f>
        <v>0</v>
      </c>
      <c r="AH95" s="14" t="n">
        <f aca="false">((IF(OR((AH$18-(Assumptions!$C$9-1)-$C$9)&lt;1,(AH$18-(Assumptions!$C$9-1)-$C$9)&gt;36),0,INDEX(Schedules!$C$10:$AL$10,(AH$18-(Assumptions!$C$9-1)-$C$9)))*$C$7)*AH44)</f>
        <v>0</v>
      </c>
      <c r="AI95" s="14" t="n">
        <f aca="false">((IF(OR((AI$18-(Assumptions!$C$9-1)-$C$9)&lt;1,(AI$18-(Assumptions!$C$9-1)-$C$9)&gt;36),0,INDEX(Schedules!$C$10:$AL$10,(AI$18-(Assumptions!$C$9-1)-$C$9)))*$C$7)*AI44)</f>
        <v>0</v>
      </c>
      <c r="AJ95" s="14" t="n">
        <f aca="false">((IF(OR((AJ$18-(Assumptions!$C$9-1)-$C$9)&lt;1,(AJ$18-(Assumptions!$C$9-1)-$C$9)&gt;36),0,INDEX(Schedules!$C$10:$AL$10,(AJ$18-(Assumptions!$C$9-1)-$C$9)))*$C$7)*AJ44)</f>
        <v>1.4</v>
      </c>
      <c r="AK95" s="14" t="n">
        <f aca="false">((IF(OR((AK$18-(Assumptions!$C$9-1)-$C$9)&lt;1,(AK$18-(Assumptions!$C$9-1)-$C$9)&gt;36),0,INDEX(Schedules!$C$10:$AL$10,(AK$18-(Assumptions!$C$9-1)-$C$9)))*$C$7)*AK44)</f>
        <v>0</v>
      </c>
      <c r="AL95" s="14" t="n">
        <f aca="false">((IF(OR((AL$18-(Assumptions!$C$9-1)-$C$9)&lt;1,(AL$18-(Assumptions!$C$9-1)-$C$9)&gt;36),0,INDEX(Schedules!$C$10:$AL$10,(AL$18-(Assumptions!$C$9-1)-$C$9)))*$C$7)*AL44)</f>
        <v>0</v>
      </c>
      <c r="AN95" s="36" t="n">
        <f aca="false">SUM(C95:N95)</f>
        <v>0</v>
      </c>
      <c r="AO95" s="36" t="n">
        <f aca="false">SUM(O95:Z95)</f>
        <v>0</v>
      </c>
      <c r="AP95" s="36" t="n">
        <f aca="false">SUM(AA95:AL95)</f>
        <v>1.4</v>
      </c>
    </row>
    <row r="96" customFormat="false" ht="15" hidden="false" customHeight="false" outlineLevel="0" collapsed="false">
      <c r="A96" s="0" t="s">
        <v>902</v>
      </c>
      <c r="B96" s="0" t="s">
        <v>852</v>
      </c>
      <c r="C96" s="14" t="n">
        <f aca="false">(C92+C95)</f>
        <v>0</v>
      </c>
      <c r="D96" s="14" t="n">
        <f aca="false">(D92+D95)</f>
        <v>0</v>
      </c>
      <c r="E96" s="14" t="n">
        <f aca="false">(E92+E95)</f>
        <v>0</v>
      </c>
      <c r="F96" s="14" t="n">
        <f aca="false">(F92+F95)</f>
        <v>0</v>
      </c>
      <c r="G96" s="14" t="n">
        <f aca="false">(G92+G95)</f>
        <v>0</v>
      </c>
      <c r="H96" s="14" t="n">
        <f aca="false">(H92+H95)</f>
        <v>0</v>
      </c>
      <c r="I96" s="14" t="n">
        <f aca="false">(I92+I95)</f>
        <v>0</v>
      </c>
      <c r="J96" s="14" t="n">
        <f aca="false">(J92+J95)</f>
        <v>0</v>
      </c>
      <c r="K96" s="14" t="n">
        <f aca="false">(K92+K95)</f>
        <v>0</v>
      </c>
      <c r="L96" s="14" t="n">
        <f aca="false">(L92+L95)</f>
        <v>0</v>
      </c>
      <c r="M96" s="14" t="n">
        <f aca="false">(M92+M95)</f>
        <v>0</v>
      </c>
      <c r="N96" s="14" t="n">
        <f aca="false">(N92+N95)</f>
        <v>0</v>
      </c>
      <c r="O96" s="14" t="n">
        <f aca="false">(O92+O95)</f>
        <v>0</v>
      </c>
      <c r="P96" s="14" t="n">
        <f aca="false">(P92+P95)</f>
        <v>0</v>
      </c>
      <c r="Q96" s="14" t="n">
        <f aca="false">(Q92+Q95)</f>
        <v>0</v>
      </c>
      <c r="R96" s="14" t="n">
        <f aca="false">(R92+R95)</f>
        <v>0</v>
      </c>
      <c r="S96" s="14" t="n">
        <f aca="false">(S92+S95)</f>
        <v>0</v>
      </c>
      <c r="T96" s="14" t="n">
        <f aca="false">(T92+T95)</f>
        <v>0</v>
      </c>
      <c r="U96" s="14" t="n">
        <f aca="false">(U92+U95)</f>
        <v>0</v>
      </c>
      <c r="V96" s="14" t="n">
        <f aca="false">(V92+V95)</f>
        <v>0</v>
      </c>
      <c r="W96" s="14" t="n">
        <f aca="false">(W92+W95)</f>
        <v>0</v>
      </c>
      <c r="X96" s="14" t="n">
        <f aca="false">(X92+X95)</f>
        <v>0</v>
      </c>
      <c r="Y96" s="14" t="n">
        <f aca="false">(Y92+Y95)</f>
        <v>0</v>
      </c>
      <c r="Z96" s="14" t="n">
        <f aca="false">(Z92+Z95)</f>
        <v>0</v>
      </c>
      <c r="AA96" s="14" t="n">
        <f aca="false">(AA92+AA95)</f>
        <v>0</v>
      </c>
      <c r="AB96" s="14" t="n">
        <f aca="false">(AB92+AB95)</f>
        <v>0</v>
      </c>
      <c r="AC96" s="14" t="n">
        <f aca="false">(AC92+AC95)</f>
        <v>0</v>
      </c>
      <c r="AD96" s="14" t="n">
        <f aca="false">(AD92+AD95)</f>
        <v>1.4</v>
      </c>
      <c r="AE96" s="14" t="n">
        <f aca="false">(AE92+AE95)</f>
        <v>0</v>
      </c>
      <c r="AF96" s="14" t="n">
        <f aca="false">(AF92+AF95)</f>
        <v>0</v>
      </c>
      <c r="AG96" s="14" t="n">
        <f aca="false">(AG92+AG95)</f>
        <v>0</v>
      </c>
      <c r="AH96" s="14" t="n">
        <f aca="false">(AH92+AH95)</f>
        <v>0</v>
      </c>
      <c r="AI96" s="14" t="n">
        <f aca="false">(AI92+AI95)</f>
        <v>0</v>
      </c>
      <c r="AJ96" s="14" t="n">
        <f aca="false">(AJ92+AJ95)</f>
        <v>2.8</v>
      </c>
      <c r="AK96" s="14" t="n">
        <f aca="false">(AK92+AK95)</f>
        <v>0</v>
      </c>
      <c r="AL96" s="14" t="n">
        <f aca="false">(AL92+AL95)</f>
        <v>0</v>
      </c>
      <c r="AN96" s="36" t="n">
        <f aca="false">SUM(C96:N96)</f>
        <v>0</v>
      </c>
      <c r="AO96" s="36" t="n">
        <f aca="false">SUM(O96:Z96)</f>
        <v>0</v>
      </c>
      <c r="AP96" s="36" t="n">
        <f aca="false">SUM(AA96:AL96)</f>
        <v>4.2</v>
      </c>
    </row>
    <row r="97" customFormat="false" ht="15" hidden="false" customHeight="false" outlineLevel="0" collapsed="false">
      <c r="A97" s="0" t="s">
        <v>903</v>
      </c>
      <c r="B97" s="0" t="s">
        <v>852</v>
      </c>
      <c r="C97" s="14" t="n">
        <f aca="false">C94</f>
        <v>0</v>
      </c>
      <c r="D97" s="14" t="n">
        <f aca="false">SUM(C94:D94)</f>
        <v>0</v>
      </c>
      <c r="E97" s="14" t="n">
        <f aca="false">SUM(C94:E94)</f>
        <v>0</v>
      </c>
      <c r="F97" s="14" t="n">
        <f aca="false">SUM(C94:F94)</f>
        <v>0</v>
      </c>
      <c r="G97" s="14" t="n">
        <f aca="false">SUM(C94:G94)</f>
        <v>0</v>
      </c>
      <c r="H97" s="14" t="n">
        <f aca="false">SUM(C94:H94)</f>
        <v>0</v>
      </c>
      <c r="I97" s="14" t="n">
        <f aca="false">SUM(D94:I94)</f>
        <v>0</v>
      </c>
      <c r="J97" s="14" t="n">
        <f aca="false">SUM(E94:J94)</f>
        <v>0</v>
      </c>
      <c r="K97" s="14" t="n">
        <f aca="false">SUM(F94:K94)</f>
        <v>0</v>
      </c>
      <c r="L97" s="14" t="n">
        <f aca="false">SUM(G94:L94)</f>
        <v>0</v>
      </c>
      <c r="M97" s="14" t="n">
        <f aca="false">SUM(H94:M94)</f>
        <v>0</v>
      </c>
      <c r="N97" s="14" t="n">
        <f aca="false">SUM(I94:N94)</f>
        <v>0</v>
      </c>
      <c r="O97" s="14" t="n">
        <f aca="false">SUM(J94:O94)</f>
        <v>0</v>
      </c>
      <c r="P97" s="14" t="n">
        <f aca="false">SUM(K94:P94)</f>
        <v>0</v>
      </c>
      <c r="Q97" s="14" t="n">
        <f aca="false">SUM(L94:Q94)</f>
        <v>0</v>
      </c>
      <c r="R97" s="14" t="n">
        <f aca="false">SUM(M94:R94)</f>
        <v>0</v>
      </c>
      <c r="S97" s="14" t="n">
        <f aca="false">SUM(N94:S94)</f>
        <v>0</v>
      </c>
      <c r="T97" s="14" t="n">
        <f aca="false">SUM(O94:T94)</f>
        <v>0</v>
      </c>
      <c r="U97" s="14" t="n">
        <f aca="false">SUM(P94:U94)</f>
        <v>0</v>
      </c>
      <c r="V97" s="14" t="n">
        <f aca="false">SUM(Q94:V94)</f>
        <v>0</v>
      </c>
      <c r="W97" s="14" t="n">
        <f aca="false">SUM(R94:W94)</f>
        <v>0</v>
      </c>
      <c r="X97" s="14" t="n">
        <f aca="false">SUM(S94:X94)</f>
        <v>0</v>
      </c>
      <c r="Y97" s="14" t="n">
        <f aca="false">SUM(T94:Y94)</f>
        <v>0</v>
      </c>
      <c r="Z97" s="14" t="n">
        <f aca="false">SUM(U94:Z94)</f>
        <v>0</v>
      </c>
      <c r="AA97" s="14" t="n">
        <f aca="false">SUM(V94:AA94)</f>
        <v>0</v>
      </c>
      <c r="AB97" s="14" t="n">
        <f aca="false">SUM(W94:AB94)</f>
        <v>0</v>
      </c>
      <c r="AC97" s="14" t="n">
        <f aca="false">SUM(X94:AC94)</f>
        <v>0</v>
      </c>
      <c r="AD97" s="14" t="n">
        <f aca="false">SUM(Y94:AD94)</f>
        <v>1.4</v>
      </c>
      <c r="AE97" s="14" t="n">
        <f aca="false">SUM(Z94:AE94)</f>
        <v>1.4</v>
      </c>
      <c r="AF97" s="14" t="n">
        <f aca="false">SUM(AA94:AF94)</f>
        <v>1.4</v>
      </c>
      <c r="AG97" s="14" t="n">
        <f aca="false">SUM(AB94:AG94)</f>
        <v>1.4</v>
      </c>
      <c r="AH97" s="14" t="n">
        <f aca="false">SUM(AC94:AH94)</f>
        <v>1.4</v>
      </c>
      <c r="AI97" s="14" t="n">
        <f aca="false">SUM(AD94:AI94)</f>
        <v>1.4</v>
      </c>
      <c r="AJ97" s="14" t="n">
        <f aca="false">SUM(AE94:AJ94)</f>
        <v>1.4</v>
      </c>
      <c r="AK97" s="14" t="n">
        <f aca="false">SUM(AF94:AK94)</f>
        <v>1.4</v>
      </c>
      <c r="AL97" s="14" t="n">
        <f aca="false">SUM(AG94:AL94)</f>
        <v>1.4</v>
      </c>
      <c r="AN97" s="36" t="n">
        <f aca="false">N97</f>
        <v>0</v>
      </c>
      <c r="AO97" s="36" t="n">
        <f aca="false">Z97</f>
        <v>0</v>
      </c>
      <c r="AP97" s="36" t="n">
        <f aca="false">AL97</f>
        <v>1.4</v>
      </c>
    </row>
    <row r="98" customFormat="false" ht="15" hidden="false" customHeight="false" outlineLevel="0" collapsed="false">
      <c r="A98" s="0" t="s">
        <v>904</v>
      </c>
      <c r="B98" s="0" t="s">
        <v>852</v>
      </c>
      <c r="C98" s="14" t="n">
        <f aca="false">C92</f>
        <v>0</v>
      </c>
      <c r="D98" s="14" t="n">
        <f aca="false">SUM(C92:D92)</f>
        <v>0</v>
      </c>
      <c r="E98" s="14" t="n">
        <f aca="false">SUM(C92:E92)</f>
        <v>0</v>
      </c>
      <c r="F98" s="14" t="n">
        <f aca="false">SUM(C92:F92)</f>
        <v>0</v>
      </c>
      <c r="G98" s="14" t="n">
        <f aca="false">SUM(C92:G92)</f>
        <v>0</v>
      </c>
      <c r="H98" s="14" t="n">
        <f aca="false">SUM(C92:H92)</f>
        <v>0</v>
      </c>
      <c r="I98" s="14" t="n">
        <f aca="false">SUM(D92:I92)</f>
        <v>0</v>
      </c>
      <c r="J98" s="14" t="n">
        <f aca="false">SUM(E92:J92)</f>
        <v>0</v>
      </c>
      <c r="K98" s="14" t="n">
        <f aca="false">SUM(F92:K92)</f>
        <v>0</v>
      </c>
      <c r="L98" s="14" t="n">
        <f aca="false">SUM(G92:L92)</f>
        <v>0</v>
      </c>
      <c r="M98" s="14" t="n">
        <f aca="false">SUM(H92:M92)</f>
        <v>0</v>
      </c>
      <c r="N98" s="14" t="n">
        <f aca="false">SUM(I92:N92)</f>
        <v>0</v>
      </c>
      <c r="O98" s="14" t="n">
        <f aca="false">SUM(J92:O92)</f>
        <v>0</v>
      </c>
      <c r="P98" s="14" t="n">
        <f aca="false">SUM(K92:P92)</f>
        <v>0</v>
      </c>
      <c r="Q98" s="14" t="n">
        <f aca="false">SUM(L92:Q92)</f>
        <v>0</v>
      </c>
      <c r="R98" s="14" t="n">
        <f aca="false">SUM(M92:R92)</f>
        <v>0</v>
      </c>
      <c r="S98" s="14" t="n">
        <f aca="false">SUM(N92:S92)</f>
        <v>0</v>
      </c>
      <c r="T98" s="14" t="n">
        <f aca="false">SUM(O92:T92)</f>
        <v>0</v>
      </c>
      <c r="U98" s="14" t="n">
        <f aca="false">SUM(P92:U92)</f>
        <v>0</v>
      </c>
      <c r="V98" s="14" t="n">
        <f aca="false">SUM(Q92:V92)</f>
        <v>0</v>
      </c>
      <c r="W98" s="14" t="n">
        <f aca="false">SUM(R92:W92)</f>
        <v>0</v>
      </c>
      <c r="X98" s="14" t="n">
        <f aca="false">SUM(S92:X92)</f>
        <v>0</v>
      </c>
      <c r="Y98" s="14" t="n">
        <f aca="false">SUM(T92:Y92)</f>
        <v>0</v>
      </c>
      <c r="Z98" s="14" t="n">
        <f aca="false">SUM(U92:Z92)</f>
        <v>0</v>
      </c>
      <c r="AA98" s="14" t="n">
        <f aca="false">SUM(V92:AA92)</f>
        <v>0</v>
      </c>
      <c r="AB98" s="14" t="n">
        <f aca="false">SUM(W92:AB92)</f>
        <v>0</v>
      </c>
      <c r="AC98" s="14" t="n">
        <f aca="false">SUM(X92:AC92)</f>
        <v>0</v>
      </c>
      <c r="AD98" s="14" t="n">
        <f aca="false">SUM(Y92:AD92)</f>
        <v>1.4</v>
      </c>
      <c r="AE98" s="14" t="n">
        <f aca="false">SUM(Z92:AE92)</f>
        <v>1.4</v>
      </c>
      <c r="AF98" s="14" t="n">
        <f aca="false">SUM(AA92:AF92)</f>
        <v>1.4</v>
      </c>
      <c r="AG98" s="14" t="n">
        <f aca="false">SUM(AB92:AG92)</f>
        <v>1.4</v>
      </c>
      <c r="AH98" s="14" t="n">
        <f aca="false">SUM(AC92:AH92)</f>
        <v>1.4</v>
      </c>
      <c r="AI98" s="14" t="n">
        <f aca="false">SUM(AD92:AI92)</f>
        <v>1.4</v>
      </c>
      <c r="AJ98" s="14" t="n">
        <f aca="false">SUM(AE92:AJ92)</f>
        <v>1.4</v>
      </c>
      <c r="AK98" s="14" t="n">
        <f aca="false">SUM(AF92:AK92)</f>
        <v>1.4</v>
      </c>
      <c r="AL98" s="14" t="n">
        <f aca="false">SUM(AG92:AL92)</f>
        <v>1.4</v>
      </c>
      <c r="AN98" s="36" t="n">
        <f aca="false">N98</f>
        <v>0</v>
      </c>
      <c r="AO98" s="36" t="n">
        <f aca="false">Z98</f>
        <v>0</v>
      </c>
      <c r="AP98" s="36" t="n">
        <f aca="false">AL98</f>
        <v>1.4</v>
      </c>
    </row>
    <row r="99" customFormat="false" ht="15" hidden="false" customHeight="false" outlineLevel="0" collapsed="false">
      <c r="A99" s="0" t="s">
        <v>905</v>
      </c>
      <c r="B99" s="0" t="s">
        <v>852</v>
      </c>
      <c r="C99" s="14" t="n">
        <f aca="false">((Assumptions!$E$127*$C$8)*0)</f>
        <v>0</v>
      </c>
      <c r="D99" s="14" t="n">
        <f aca="false">((Assumptions!$E$127*$C$8)*0)</f>
        <v>0</v>
      </c>
      <c r="E99" s="14" t="n">
        <f aca="false">((Assumptions!$E$127*$C$8)*0)</f>
        <v>0</v>
      </c>
      <c r="F99" s="14" t="n">
        <f aca="false">((Assumptions!$E$127*$C$8)*0)</f>
        <v>0</v>
      </c>
      <c r="G99" s="14" t="n">
        <f aca="false">((Assumptions!$E$127*$C$8)*0)</f>
        <v>0</v>
      </c>
      <c r="H99" s="14" t="n">
        <f aca="false">((Assumptions!$E$127*$C$8)*0)</f>
        <v>0</v>
      </c>
      <c r="I99" s="14" t="n">
        <f aca="false">((Assumptions!$E$127*$C$8)*0)</f>
        <v>0</v>
      </c>
      <c r="J99" s="14" t="n">
        <f aca="false">((Assumptions!$E$127*$C$8)*C92)</f>
        <v>0</v>
      </c>
      <c r="K99" s="14" t="n">
        <f aca="false">((Assumptions!$E$127*$C$8)*D92)</f>
        <v>0</v>
      </c>
      <c r="L99" s="14" t="n">
        <f aca="false">((Assumptions!$E$127*$C$8)*E92)</f>
        <v>0</v>
      </c>
      <c r="M99" s="14" t="n">
        <f aca="false">((Assumptions!$E$127*$C$8)*F92)</f>
        <v>0</v>
      </c>
      <c r="N99" s="14" t="n">
        <f aca="false">((Assumptions!$E$127*$C$8)*G92)</f>
        <v>0</v>
      </c>
      <c r="O99" s="14" t="n">
        <f aca="false">((Assumptions!$E$127*$C$8)*H92)</f>
        <v>0</v>
      </c>
      <c r="P99" s="14" t="n">
        <f aca="false">((Assumptions!$E$127*$C$8)*I92)</f>
        <v>0</v>
      </c>
      <c r="Q99" s="14" t="n">
        <f aca="false">((Assumptions!$E$127*$C$8)*J92)</f>
        <v>0</v>
      </c>
      <c r="R99" s="14" t="n">
        <f aca="false">((Assumptions!$E$127*$C$8)*K92)</f>
        <v>0</v>
      </c>
      <c r="S99" s="14" t="n">
        <f aca="false">((Assumptions!$E$127*$C$8)*L92)</f>
        <v>0</v>
      </c>
      <c r="T99" s="14" t="n">
        <f aca="false">((Assumptions!$E$127*$C$8)*M92)</f>
        <v>0</v>
      </c>
      <c r="U99" s="14" t="n">
        <f aca="false">((Assumptions!$E$127*$C$8)*N92)</f>
        <v>0</v>
      </c>
      <c r="V99" s="14" t="n">
        <f aca="false">((Assumptions!$E$127*$C$8)*O92)</f>
        <v>0</v>
      </c>
      <c r="W99" s="14" t="n">
        <f aca="false">((Assumptions!$E$127*$C$8)*P92)</f>
        <v>0</v>
      </c>
      <c r="X99" s="14" t="n">
        <f aca="false">((Assumptions!$E$127*$C$8)*Q92)</f>
        <v>0</v>
      </c>
      <c r="Y99" s="14" t="n">
        <f aca="false">((Assumptions!$E$127*$C$8)*R92)</f>
        <v>0</v>
      </c>
      <c r="Z99" s="14" t="n">
        <f aca="false">((Assumptions!$E$127*$C$8)*S92)</f>
        <v>0</v>
      </c>
      <c r="AA99" s="14" t="n">
        <f aca="false">((Assumptions!$E$127*$C$8)*T92)</f>
        <v>0</v>
      </c>
      <c r="AB99" s="14" t="n">
        <f aca="false">((Assumptions!$E$127*$C$8)*U92)</f>
        <v>0</v>
      </c>
      <c r="AC99" s="14" t="n">
        <f aca="false">((Assumptions!$E$127*$C$8)*V92)</f>
        <v>0</v>
      </c>
      <c r="AD99" s="14" t="n">
        <f aca="false">((Assumptions!$E$127*$C$8)*W92)</f>
        <v>0</v>
      </c>
      <c r="AE99" s="14" t="n">
        <f aca="false">((Assumptions!$E$127*$C$8)*X92)</f>
        <v>0</v>
      </c>
      <c r="AF99" s="14" t="n">
        <f aca="false">((Assumptions!$E$127*$C$8)*Y92)</f>
        <v>0</v>
      </c>
      <c r="AG99" s="14" t="n">
        <f aca="false">((Assumptions!$E$127*$C$8)*Z92)</f>
        <v>0</v>
      </c>
      <c r="AH99" s="14" t="n">
        <f aca="false">((Assumptions!$E$127*$C$8)*AA92)</f>
        <v>0</v>
      </c>
      <c r="AI99" s="14" t="n">
        <f aca="false">((Assumptions!$E$127*$C$8)*AB92)</f>
        <v>0</v>
      </c>
      <c r="AJ99" s="14" t="n">
        <f aca="false">((Assumptions!$E$127*$C$8)*AC92)</f>
        <v>0</v>
      </c>
      <c r="AK99" s="14" t="n">
        <f aca="false">((Assumptions!$E$127*$C$8)*AD92)</f>
        <v>0.616</v>
      </c>
      <c r="AL99" s="14" t="n">
        <f aca="false">((Assumptions!$E$127*$C$8)*AE92)</f>
        <v>0</v>
      </c>
      <c r="AN99" s="36" t="n">
        <f aca="false">SUM(C99:N99)</f>
        <v>0</v>
      </c>
      <c r="AO99" s="36" t="n">
        <f aca="false">SUM(O99:Z99)</f>
        <v>0</v>
      </c>
      <c r="AP99" s="36" t="n">
        <f aca="false">SUM(AA99:AL99)</f>
        <v>0.616</v>
      </c>
    </row>
    <row r="100" customFormat="false" ht="15" hidden="false" customHeight="false" outlineLevel="0" collapsed="false">
      <c r="A100" s="0" t="s">
        <v>906</v>
      </c>
      <c r="B100" s="0" t="s">
        <v>852</v>
      </c>
      <c r="C100" s="14" t="n">
        <f aca="false">((Assumptions!$C$10*$C$8)*IF((C$18=(Assumptions!$C$9+$C$9)),0,IF((C$18&gt;(Assumptions!$C$9+$C$9)),0,0)))</f>
        <v>0</v>
      </c>
      <c r="D100" s="14" t="n">
        <f aca="false">((Assumptions!$C$10*$C$8)*IF((D$18=(Assumptions!$C$9+$C$9)),0,IF((D$18&gt;(Assumptions!$C$9+$C$9)),0,0)))</f>
        <v>0</v>
      </c>
      <c r="E100" s="14" t="n">
        <f aca="false">((Assumptions!$C$10*$C$8)*IF((E$18=(Assumptions!$C$9+$C$9)),0,IF((E$18&gt;(Assumptions!$C$9+$C$9)),0,0)))</f>
        <v>0</v>
      </c>
      <c r="F100" s="14" t="n">
        <f aca="false">((Assumptions!$C$10*$C$8)*IF((F$18=(Assumptions!$C$9+$C$9)),0,IF((F$18&gt;(Assumptions!$C$9+$C$9)),0,0)))</f>
        <v>0</v>
      </c>
      <c r="G100" s="14" t="n">
        <f aca="false">((Assumptions!$C$10*$C$8)*IF((G$18=(Assumptions!$C$9+$C$9)),0,IF((G$18&gt;(Assumptions!$C$9+$C$9)),0,0)))</f>
        <v>0</v>
      </c>
      <c r="H100" s="14" t="n">
        <f aca="false">((Assumptions!$C$10*$C$8)*IF((H$18=(Assumptions!$C$9+$C$9)),0,IF((H$18&gt;(Assumptions!$C$9+$C$9)),0,0)))</f>
        <v>0</v>
      </c>
      <c r="I100" s="14" t="n">
        <f aca="false">((Assumptions!$C$10*$C$8)*IF((I$18=(Assumptions!$C$9+$C$9)),0,IF((I$18&gt;(Assumptions!$C$9+$C$9)),0,0)))</f>
        <v>0</v>
      </c>
      <c r="J100" s="14" t="n">
        <f aca="false">((Assumptions!$C$10*$C$8)*IF((J$18=(Assumptions!$C$9+$C$9)),C93,IF((J$18&gt;(Assumptions!$C$9+$C$9)),C93,0)))</f>
        <v>0</v>
      </c>
      <c r="K100" s="14" t="n">
        <f aca="false">((Assumptions!$C$10*$C$8)*IF((K$18=(Assumptions!$C$9+$C$9)),SUM(C93:D93),IF((K$18&gt;(Assumptions!$C$9+$C$9)),D93,0)))</f>
        <v>0</v>
      </c>
      <c r="L100" s="14" t="n">
        <f aca="false">((Assumptions!$C$10*$C$8)*IF((L$18=(Assumptions!$C$9+$C$9)),SUM(C93:E93),IF((L$18&gt;(Assumptions!$C$9+$C$9)),E93,0)))</f>
        <v>0</v>
      </c>
      <c r="M100" s="14" t="n">
        <f aca="false">((Assumptions!$C$10*$C$8)*IF((M$18=(Assumptions!$C$9+$C$9)),SUM(C93:F93),IF((M$18&gt;(Assumptions!$C$9+$C$9)),F93,0)))</f>
        <v>0</v>
      </c>
      <c r="N100" s="14" t="n">
        <f aca="false">((Assumptions!$C$10*$C$8)*IF((N$18=(Assumptions!$C$9+$C$9)),SUM(C93:G93),IF((N$18&gt;(Assumptions!$C$9+$C$9)),G93,0)))</f>
        <v>0</v>
      </c>
      <c r="O100" s="14" t="n">
        <f aca="false">((Assumptions!$C$10*$C$8)*IF((O$18=(Assumptions!$C$9+$C$9)),SUM(C93:H93),IF((O$18&gt;(Assumptions!$C$9+$C$9)),H93,0)))</f>
        <v>0</v>
      </c>
      <c r="P100" s="14" t="n">
        <f aca="false">((Assumptions!$C$10*$C$8)*IF((P$18=(Assumptions!$C$9+$C$9)),SUM(C93:I93),IF((P$18&gt;(Assumptions!$C$9+$C$9)),I93,0)))</f>
        <v>0</v>
      </c>
      <c r="Q100" s="14" t="n">
        <f aca="false">((Assumptions!$C$10*$C$8)*IF((Q$18=(Assumptions!$C$9+$C$9)),SUM(C93:J93),IF((Q$18&gt;(Assumptions!$C$9+$C$9)),J93,0)))</f>
        <v>0</v>
      </c>
      <c r="R100" s="14" t="n">
        <f aca="false">((Assumptions!$C$10*$C$8)*IF((R$18=(Assumptions!$C$9+$C$9)),SUM(C93:K93),IF((R$18&gt;(Assumptions!$C$9+$C$9)),K93,0)))</f>
        <v>0</v>
      </c>
      <c r="S100" s="14" t="n">
        <f aca="false">((Assumptions!$C$10*$C$8)*IF((S$18=(Assumptions!$C$9+$C$9)),SUM(C93:L93),IF((S$18&gt;(Assumptions!$C$9+$C$9)),L93,0)))</f>
        <v>0</v>
      </c>
      <c r="T100" s="14" t="n">
        <f aca="false">((Assumptions!$C$10*$C$8)*IF((T$18=(Assumptions!$C$9+$C$9)),SUM(C93:M93),IF((T$18&gt;(Assumptions!$C$9+$C$9)),M93,0)))</f>
        <v>0</v>
      </c>
      <c r="U100" s="14" t="n">
        <f aca="false">((Assumptions!$C$10*$C$8)*IF((U$18=(Assumptions!$C$9+$C$9)),SUM(C93:N93),IF((U$18&gt;(Assumptions!$C$9+$C$9)),N93,0)))</f>
        <v>0</v>
      </c>
      <c r="V100" s="14" t="n">
        <f aca="false">((Assumptions!$C$10*$C$8)*IF((V$18=(Assumptions!$C$9+$C$9)),SUM(C93:O93),IF((V$18&gt;(Assumptions!$C$9+$C$9)),O93,0)))</f>
        <v>0</v>
      </c>
      <c r="W100" s="14" t="n">
        <f aca="false">((Assumptions!$C$10*$C$8)*IF((W$18=(Assumptions!$C$9+$C$9)),SUM(C93:P93),IF((W$18&gt;(Assumptions!$C$9+$C$9)),P93,0)))</f>
        <v>0</v>
      </c>
      <c r="X100" s="14" t="n">
        <f aca="false">((Assumptions!$C$10*$C$8)*IF((X$18=(Assumptions!$C$9+$C$9)),SUM(C93:Q93),IF((X$18&gt;(Assumptions!$C$9+$C$9)),Q93,0)))</f>
        <v>0</v>
      </c>
      <c r="Y100" s="14" t="n">
        <f aca="false">((Assumptions!$C$10*$C$8)*IF((Y$18=(Assumptions!$C$9+$C$9)),SUM(C93:R93),IF((Y$18&gt;(Assumptions!$C$9+$C$9)),R93,0)))</f>
        <v>0</v>
      </c>
      <c r="Z100" s="14" t="n">
        <f aca="false">((Assumptions!$C$10*$C$8)*IF((Z$18=(Assumptions!$C$9+$C$9)),SUM(C93:S93),IF((Z$18&gt;(Assumptions!$C$9+$C$9)),S93,0)))</f>
        <v>0</v>
      </c>
      <c r="AA100" s="14" t="n">
        <f aca="false">((Assumptions!$C$10*$C$8)*IF((AA$18=(Assumptions!$C$9+$C$9)),SUM(C93:T93),IF((AA$18&gt;(Assumptions!$C$9+$C$9)),T93,0)))</f>
        <v>0</v>
      </c>
      <c r="AB100" s="14" t="n">
        <f aca="false">((Assumptions!$C$10*$C$8)*IF((AB$18=(Assumptions!$C$9+$C$9)),SUM(C93:U93),IF((AB$18&gt;(Assumptions!$C$9+$C$9)),U93,0)))</f>
        <v>0</v>
      </c>
      <c r="AC100" s="14" t="n">
        <f aca="false">((Assumptions!$C$10*$C$8)*IF((AC$18=(Assumptions!$C$9+$C$9)),SUM(C93:V93),IF((AC$18&gt;(Assumptions!$C$9+$C$9)),V93,0)))</f>
        <v>0</v>
      </c>
      <c r="AD100" s="14" t="n">
        <f aca="false">((Assumptions!$C$10*$C$8)*IF((AD$18=(Assumptions!$C$9+$C$9)),SUM(C93:W93),IF((AD$18&gt;(Assumptions!$C$9+$C$9)),W93,0)))</f>
        <v>0</v>
      </c>
      <c r="AE100" s="14" t="n">
        <f aca="false">((Assumptions!$C$10*$C$8)*IF((AE$18=(Assumptions!$C$9+$C$9)),SUM(C93:X93),IF((AE$18&gt;(Assumptions!$C$9+$C$9)),X93,0)))</f>
        <v>0</v>
      </c>
      <c r="AF100" s="14" t="n">
        <f aca="false">((Assumptions!$C$10*$C$8)*IF((AF$18=(Assumptions!$C$9+$C$9)),SUM(C93:Y93),IF((AF$18&gt;(Assumptions!$C$9+$C$9)),Y93,0)))</f>
        <v>0</v>
      </c>
      <c r="AG100" s="14" t="n">
        <f aca="false">((Assumptions!$C$10*$C$8)*IF((AG$18=(Assumptions!$C$9+$C$9)),SUM(C93:Z93),IF((AG$18&gt;(Assumptions!$C$9+$C$9)),Z93,0)))</f>
        <v>0</v>
      </c>
      <c r="AH100" s="14" t="n">
        <f aca="false">((Assumptions!$C$10*$C$8)*IF((AH$18=(Assumptions!$C$9+$C$9)),SUM(C93:AA93),IF((AH$18&gt;(Assumptions!$C$9+$C$9)),AA93,0)))</f>
        <v>0</v>
      </c>
      <c r="AI100" s="14" t="n">
        <f aca="false">((Assumptions!$C$10*$C$8)*IF((AI$18=(Assumptions!$C$9+$C$9)),SUM(C93:AB93),IF((AI$18&gt;(Assumptions!$C$9+$C$9)),AB93,0)))</f>
        <v>0</v>
      </c>
      <c r="AJ100" s="14" t="n">
        <f aca="false">((Assumptions!$C$10*$C$8)*IF((AJ$18=(Assumptions!$C$9+$C$9)),SUM(C93:AC93),IF((AJ$18&gt;(Assumptions!$C$9+$C$9)),AC93,0)))</f>
        <v>0</v>
      </c>
      <c r="AK100" s="14" t="n">
        <f aca="false">((Assumptions!$C$10*$C$8)*IF((AK$18=(Assumptions!$C$9+$C$9)),SUM(C93:AD93),IF((AK$18&gt;(Assumptions!$C$9+$C$9)),AD93,0)))</f>
        <v>0</v>
      </c>
      <c r="AL100" s="14" t="n">
        <f aca="false">((Assumptions!$C$10*$C$8)*IF((AL$18=(Assumptions!$C$9+$C$9)),SUM(C93:AE93),IF((AL$18&gt;(Assumptions!$C$9+$C$9)),AE93,0)))</f>
        <v>0</v>
      </c>
      <c r="AN100" s="36" t="n">
        <f aca="false">SUM(C100:N100)</f>
        <v>0</v>
      </c>
      <c r="AO100" s="36" t="n">
        <f aca="false">SUM(O100:Z100)</f>
        <v>0</v>
      </c>
      <c r="AP100" s="36" t="n">
        <f aca="false">SUM(AA100:AL100)</f>
        <v>0</v>
      </c>
    </row>
    <row r="101" customFormat="false" ht="15" hidden="false" customHeight="false" outlineLevel="0" collapsed="false">
      <c r="A101" s="0" t="s">
        <v>907</v>
      </c>
      <c r="B101" s="0" t="s">
        <v>852</v>
      </c>
      <c r="C101" s="14" t="n">
        <f aca="false">((C99+C100)+C95)</f>
        <v>0</v>
      </c>
      <c r="D101" s="14" t="n">
        <f aca="false">((D99+D100)+D95)</f>
        <v>0</v>
      </c>
      <c r="E101" s="14" t="n">
        <f aca="false">((E99+E100)+E95)</f>
        <v>0</v>
      </c>
      <c r="F101" s="14" t="n">
        <f aca="false">((F99+F100)+F95)</f>
        <v>0</v>
      </c>
      <c r="G101" s="14" t="n">
        <f aca="false">((G99+G100)+G95)</f>
        <v>0</v>
      </c>
      <c r="H101" s="14" t="n">
        <f aca="false">((H99+H100)+H95)</f>
        <v>0</v>
      </c>
      <c r="I101" s="14" t="n">
        <f aca="false">((I99+I100)+I95)</f>
        <v>0</v>
      </c>
      <c r="J101" s="14" t="n">
        <f aca="false">((J99+J100)+J95)</f>
        <v>0</v>
      </c>
      <c r="K101" s="14" t="n">
        <f aca="false">((K99+K100)+K95)</f>
        <v>0</v>
      </c>
      <c r="L101" s="14" t="n">
        <f aca="false">((L99+L100)+L95)</f>
        <v>0</v>
      </c>
      <c r="M101" s="14" t="n">
        <f aca="false">((M99+M100)+M95)</f>
        <v>0</v>
      </c>
      <c r="N101" s="14" t="n">
        <f aca="false">((N99+N100)+N95)</f>
        <v>0</v>
      </c>
      <c r="O101" s="14" t="n">
        <f aca="false">((O99+O100)+O95)</f>
        <v>0</v>
      </c>
      <c r="P101" s="14" t="n">
        <f aca="false">((P99+P100)+P95)</f>
        <v>0</v>
      </c>
      <c r="Q101" s="14" t="n">
        <f aca="false">((Q99+Q100)+Q95)</f>
        <v>0</v>
      </c>
      <c r="R101" s="14" t="n">
        <f aca="false">((R99+R100)+R95)</f>
        <v>0</v>
      </c>
      <c r="S101" s="14" t="n">
        <f aca="false">((S99+S100)+S95)</f>
        <v>0</v>
      </c>
      <c r="T101" s="14" t="n">
        <f aca="false">((T99+T100)+T95)</f>
        <v>0</v>
      </c>
      <c r="U101" s="14" t="n">
        <f aca="false">((U99+U100)+U95)</f>
        <v>0</v>
      </c>
      <c r="V101" s="14" t="n">
        <f aca="false">((V99+V100)+V95)</f>
        <v>0</v>
      </c>
      <c r="W101" s="14" t="n">
        <f aca="false">((W99+W100)+W95)</f>
        <v>0</v>
      </c>
      <c r="X101" s="14" t="n">
        <f aca="false">((X99+X100)+X95)</f>
        <v>0</v>
      </c>
      <c r="Y101" s="14" t="n">
        <f aca="false">((Y99+Y100)+Y95)</f>
        <v>0</v>
      </c>
      <c r="Z101" s="14" t="n">
        <f aca="false">((Z99+Z100)+Z95)</f>
        <v>0</v>
      </c>
      <c r="AA101" s="14" t="n">
        <f aca="false">((AA99+AA100)+AA95)</f>
        <v>0</v>
      </c>
      <c r="AB101" s="14" t="n">
        <f aca="false">((AB99+AB100)+AB95)</f>
        <v>0</v>
      </c>
      <c r="AC101" s="14" t="n">
        <f aca="false">((AC99+AC100)+AC95)</f>
        <v>0</v>
      </c>
      <c r="AD101" s="14" t="n">
        <f aca="false">((AD99+AD100)+AD95)</f>
        <v>0</v>
      </c>
      <c r="AE101" s="14" t="n">
        <f aca="false">((AE99+AE100)+AE95)</f>
        <v>0</v>
      </c>
      <c r="AF101" s="14" t="n">
        <f aca="false">((AF99+AF100)+AF95)</f>
        <v>0</v>
      </c>
      <c r="AG101" s="14" t="n">
        <f aca="false">((AG99+AG100)+AG95)</f>
        <v>0</v>
      </c>
      <c r="AH101" s="14" t="n">
        <f aca="false">((AH99+AH100)+AH95)</f>
        <v>0</v>
      </c>
      <c r="AI101" s="14" t="n">
        <f aca="false">((AI99+AI100)+AI95)</f>
        <v>0</v>
      </c>
      <c r="AJ101" s="14" t="n">
        <f aca="false">((AJ99+AJ100)+AJ95)</f>
        <v>1.4</v>
      </c>
      <c r="AK101" s="14" t="n">
        <f aca="false">((AK99+AK100)+AK95)</f>
        <v>0.616</v>
      </c>
      <c r="AL101" s="14" t="n">
        <f aca="false">((AL99+AL100)+AL95)</f>
        <v>0</v>
      </c>
      <c r="AN101" s="36" t="n">
        <f aca="false">SUM(C101:N101)</f>
        <v>0</v>
      </c>
      <c r="AO101" s="36" t="n">
        <f aca="false">SUM(O101:Z101)</f>
        <v>0</v>
      </c>
      <c r="AP101" s="36" t="n">
        <f aca="false">SUM(AA101:AL101)</f>
        <v>2.016</v>
      </c>
    </row>
    <row r="102" customFormat="false" ht="15" hidden="false" customHeight="false" outlineLevel="0" collapsed="false">
      <c r="A102" s="0" t="s">
        <v>908</v>
      </c>
      <c r="B102" s="0" t="s">
        <v>852</v>
      </c>
      <c r="C102" s="14" t="n">
        <f aca="false">(C101+(C45*0))</f>
        <v>0</v>
      </c>
      <c r="D102" s="14" t="n">
        <f aca="false">(D101+(D45*0))</f>
        <v>0</v>
      </c>
      <c r="E102" s="14" t="n">
        <f aca="false">(E101+(E45*0))</f>
        <v>0</v>
      </c>
      <c r="F102" s="14" t="n">
        <f aca="false">(F101+(F45*0))</f>
        <v>0</v>
      </c>
      <c r="G102" s="14" t="n">
        <f aca="false">(G101+(G45*0))</f>
        <v>0</v>
      </c>
      <c r="H102" s="14" t="n">
        <f aca="false">(H101+(H45*0))</f>
        <v>0</v>
      </c>
      <c r="I102" s="14" t="n">
        <f aca="false">(I101+(I45*0))</f>
        <v>0</v>
      </c>
      <c r="J102" s="14" t="n">
        <f aca="false">(J101+(J45*0))</f>
        <v>0</v>
      </c>
      <c r="K102" s="14" t="n">
        <f aca="false">(K101+(K45*0))</f>
        <v>0</v>
      </c>
      <c r="L102" s="14" t="n">
        <f aca="false">(L101+(L45*0))</f>
        <v>0</v>
      </c>
      <c r="M102" s="14" t="n">
        <f aca="false">(M101+(M45*0))</f>
        <v>0</v>
      </c>
      <c r="N102" s="14" t="n">
        <f aca="false">(N101+(N45*0))</f>
        <v>0</v>
      </c>
      <c r="O102" s="14" t="n">
        <f aca="false">(O101+(O45*C102))</f>
        <v>0</v>
      </c>
      <c r="P102" s="14" t="n">
        <f aca="false">(P101+(P45*D102))</f>
        <v>0</v>
      </c>
      <c r="Q102" s="14" t="n">
        <f aca="false">(Q101+(Q45*E102))</f>
        <v>0</v>
      </c>
      <c r="R102" s="14" t="n">
        <f aca="false">(R101+(R45*F102))</f>
        <v>0</v>
      </c>
      <c r="S102" s="14" t="n">
        <f aca="false">(S101+(S45*G102))</f>
        <v>0</v>
      </c>
      <c r="T102" s="14" t="n">
        <f aca="false">(T101+(T45*H102))</f>
        <v>0</v>
      </c>
      <c r="U102" s="14" t="n">
        <f aca="false">(U101+(U45*I102))</f>
        <v>0</v>
      </c>
      <c r="V102" s="14" t="n">
        <f aca="false">(V101+(V45*J102))</f>
        <v>0</v>
      </c>
      <c r="W102" s="14" t="n">
        <f aca="false">(W101+(W45*K102))</f>
        <v>0</v>
      </c>
      <c r="X102" s="14" t="n">
        <f aca="false">(X101+(X45*L102))</f>
        <v>0</v>
      </c>
      <c r="Y102" s="14" t="n">
        <f aca="false">(Y101+(Y45*M102))</f>
        <v>0</v>
      </c>
      <c r="Z102" s="14" t="n">
        <f aca="false">(Z101+(Z45*N102))</f>
        <v>0</v>
      </c>
      <c r="AA102" s="14" t="n">
        <f aca="false">(AA101+(AA45*O102))</f>
        <v>0</v>
      </c>
      <c r="AB102" s="14" t="n">
        <f aca="false">(AB101+(AB45*P102))</f>
        <v>0</v>
      </c>
      <c r="AC102" s="14" t="n">
        <f aca="false">(AC101+(AC45*Q102))</f>
        <v>0</v>
      </c>
      <c r="AD102" s="14" t="n">
        <f aca="false">(AD101+(AD45*R102))</f>
        <v>0</v>
      </c>
      <c r="AE102" s="14" t="n">
        <f aca="false">(AE101+(AE45*S102))</f>
        <v>0</v>
      </c>
      <c r="AF102" s="14" t="n">
        <f aca="false">(AF101+(AF45*T102))</f>
        <v>0</v>
      </c>
      <c r="AG102" s="14" t="n">
        <f aca="false">(AG101+(AG45*U102))</f>
        <v>0</v>
      </c>
      <c r="AH102" s="14" t="n">
        <f aca="false">(AH101+(AH45*V102))</f>
        <v>0</v>
      </c>
      <c r="AI102" s="14" t="n">
        <f aca="false">(AI101+(AI45*W102))</f>
        <v>0</v>
      </c>
      <c r="AJ102" s="14" t="n">
        <f aca="false">(AJ101+(AJ45*X102))</f>
        <v>1.4</v>
      </c>
      <c r="AK102" s="14" t="n">
        <f aca="false">(AK101+(AK45*Y102))</f>
        <v>0.616</v>
      </c>
      <c r="AL102" s="14" t="n">
        <f aca="false">(AL101+(AL45*Z102))</f>
        <v>0</v>
      </c>
      <c r="AN102" s="36" t="n">
        <f aca="false">SUM(C102:N102)</f>
        <v>0</v>
      </c>
      <c r="AO102" s="36" t="n">
        <f aca="false">SUM(O102:Z102)</f>
        <v>0</v>
      </c>
      <c r="AP102" s="36" t="n">
        <f aca="false">SUM(AA102:AL102)</f>
        <v>2.016</v>
      </c>
    </row>
    <row r="103" customFormat="false" ht="15" hidden="false" customHeight="false" outlineLevel="0" collapsed="false">
      <c r="A103" s="0" t="s">
        <v>909</v>
      </c>
      <c r="B103" s="0" t="s">
        <v>852</v>
      </c>
      <c r="C103" s="14" t="n">
        <f aca="false">C102</f>
        <v>0</v>
      </c>
      <c r="D103" s="14" t="n">
        <f aca="false">SUM(C102:D102)</f>
        <v>0</v>
      </c>
      <c r="E103" s="14" t="n">
        <f aca="false">SUM(C102:E102)</f>
        <v>0</v>
      </c>
      <c r="F103" s="14" t="n">
        <f aca="false">SUM(C102:F102)</f>
        <v>0</v>
      </c>
      <c r="G103" s="14" t="n">
        <f aca="false">SUM(C102:G102)</f>
        <v>0</v>
      </c>
      <c r="H103" s="14" t="n">
        <f aca="false">SUM(C102:H102)</f>
        <v>0</v>
      </c>
      <c r="I103" s="14" t="n">
        <f aca="false">SUM(C102:I102)</f>
        <v>0</v>
      </c>
      <c r="J103" s="14" t="n">
        <f aca="false">SUM(C102:J102)</f>
        <v>0</v>
      </c>
      <c r="K103" s="14" t="n">
        <f aca="false">SUM(C102:K102)</f>
        <v>0</v>
      </c>
      <c r="L103" s="14" t="n">
        <f aca="false">SUM(C102:L102)</f>
        <v>0</v>
      </c>
      <c r="M103" s="14" t="n">
        <f aca="false">SUM(C102:M102)</f>
        <v>0</v>
      </c>
      <c r="N103" s="14" t="n">
        <f aca="false">SUM(C102:N102)</f>
        <v>0</v>
      </c>
      <c r="O103" s="14" t="n">
        <f aca="false">SUM(D102:O102)</f>
        <v>0</v>
      </c>
      <c r="P103" s="14" t="n">
        <f aca="false">SUM(E102:P102)</f>
        <v>0</v>
      </c>
      <c r="Q103" s="14" t="n">
        <f aca="false">SUM(F102:Q102)</f>
        <v>0</v>
      </c>
      <c r="R103" s="14" t="n">
        <f aca="false">SUM(G102:R102)</f>
        <v>0</v>
      </c>
      <c r="S103" s="14" t="n">
        <f aca="false">SUM(H102:S102)</f>
        <v>0</v>
      </c>
      <c r="T103" s="14" t="n">
        <f aca="false">SUM(I102:T102)</f>
        <v>0</v>
      </c>
      <c r="U103" s="14" t="n">
        <f aca="false">SUM(J102:U102)</f>
        <v>0</v>
      </c>
      <c r="V103" s="14" t="n">
        <f aca="false">SUM(K102:V102)</f>
        <v>0</v>
      </c>
      <c r="W103" s="14" t="n">
        <f aca="false">SUM(L102:W102)</f>
        <v>0</v>
      </c>
      <c r="X103" s="14" t="n">
        <f aca="false">SUM(M102:X102)</f>
        <v>0</v>
      </c>
      <c r="Y103" s="14" t="n">
        <f aca="false">SUM(N102:Y102)</f>
        <v>0</v>
      </c>
      <c r="Z103" s="14" t="n">
        <f aca="false">SUM(O102:Z102)</f>
        <v>0</v>
      </c>
      <c r="AA103" s="14" t="n">
        <f aca="false">SUM(P102:AA102)</f>
        <v>0</v>
      </c>
      <c r="AB103" s="14" t="n">
        <f aca="false">SUM(Q102:AB102)</f>
        <v>0</v>
      </c>
      <c r="AC103" s="14" t="n">
        <f aca="false">SUM(R102:AC102)</f>
        <v>0</v>
      </c>
      <c r="AD103" s="14" t="n">
        <f aca="false">SUM(S102:AD102)</f>
        <v>0</v>
      </c>
      <c r="AE103" s="14" t="n">
        <f aca="false">SUM(T102:AE102)</f>
        <v>0</v>
      </c>
      <c r="AF103" s="14" t="n">
        <f aca="false">SUM(U102:AF102)</f>
        <v>0</v>
      </c>
      <c r="AG103" s="14" t="n">
        <f aca="false">SUM(V102:AG102)</f>
        <v>0</v>
      </c>
      <c r="AH103" s="14" t="n">
        <f aca="false">SUM(W102:AH102)</f>
        <v>0</v>
      </c>
      <c r="AI103" s="14" t="n">
        <f aca="false">SUM(X102:AI102)</f>
        <v>0</v>
      </c>
      <c r="AJ103" s="14" t="n">
        <f aca="false">SUM(Y102:AJ102)</f>
        <v>1.4</v>
      </c>
      <c r="AK103" s="14" t="n">
        <f aca="false">SUM(Z102:AK102)</f>
        <v>2.016</v>
      </c>
      <c r="AL103" s="14" t="n">
        <f aca="false">SUM(AA102:AL102)</f>
        <v>2.016</v>
      </c>
      <c r="AN103" s="36" t="n">
        <f aca="false">N103</f>
        <v>0</v>
      </c>
      <c r="AO103" s="36" t="n">
        <f aca="false">Z103</f>
        <v>0</v>
      </c>
      <c r="AP103" s="36" t="n">
        <f aca="false">AL103</f>
        <v>2.016</v>
      </c>
    </row>
    <row r="104" customFormat="false" ht="15" hidden="false" customHeight="false" outlineLevel="0" collapsed="false">
      <c r="A104" s="0" t="s">
        <v>910</v>
      </c>
      <c r="B104" s="0" t="s">
        <v>230</v>
      </c>
      <c r="C104" s="9" t="n">
        <f aca="false">((Assumptions!$E$121*(1-Assumptions!$C$29))*$C$10)</f>
        <v>193600</v>
      </c>
      <c r="D104" s="9" t="n">
        <f aca="false">((Assumptions!$E$121*(1-Assumptions!$C$29))*$C$10)</f>
        <v>193600</v>
      </c>
      <c r="E104" s="9" t="n">
        <f aca="false">((Assumptions!$E$121*(1-Assumptions!$C$29))*$C$10)</f>
        <v>193600</v>
      </c>
      <c r="F104" s="9" t="n">
        <f aca="false">((Assumptions!$E$121*(1-Assumptions!$C$29))*$C$10)</f>
        <v>193600</v>
      </c>
      <c r="G104" s="9" t="n">
        <f aca="false">((Assumptions!$E$121*(1-Assumptions!$C$29))*$C$10)</f>
        <v>193600</v>
      </c>
      <c r="H104" s="9" t="n">
        <f aca="false">((Assumptions!$E$121*(1-Assumptions!$C$29))*$C$10)</f>
        <v>193600</v>
      </c>
      <c r="I104" s="9" t="n">
        <f aca="false">((Assumptions!$E$121*(1-Assumptions!$C$29))*$C$10)</f>
        <v>193600</v>
      </c>
      <c r="J104" s="9" t="n">
        <f aca="false">((Assumptions!$E$121*(1-Assumptions!$C$29))*$C$10)</f>
        <v>193600</v>
      </c>
      <c r="K104" s="9" t="n">
        <f aca="false">((Assumptions!$E$121*(1-Assumptions!$C$29))*$C$10)</f>
        <v>193600</v>
      </c>
      <c r="L104" s="9" t="n">
        <f aca="false">((Assumptions!$E$121*(1-Assumptions!$C$29))*$C$10)</f>
        <v>193600</v>
      </c>
      <c r="M104" s="9" t="n">
        <f aca="false">((Assumptions!$E$121*(1-Assumptions!$C$29))*$C$10)</f>
        <v>193600</v>
      </c>
      <c r="N104" s="9" t="n">
        <f aca="false">((Assumptions!$E$121*(1-Assumptions!$C$29))*$C$10)</f>
        <v>193600</v>
      </c>
      <c r="O104" s="9" t="n">
        <f aca="false">((Assumptions!$E$121*(1-Assumptions!$C$29))*$C$10)</f>
        <v>193600</v>
      </c>
      <c r="P104" s="9" t="n">
        <f aca="false">((Assumptions!$E$121*(1-Assumptions!$C$29))*$C$10)</f>
        <v>193600</v>
      </c>
      <c r="Q104" s="9" t="n">
        <f aca="false">((Assumptions!$E$121*(1-Assumptions!$C$29))*$C$10)</f>
        <v>193600</v>
      </c>
      <c r="R104" s="9" t="n">
        <f aca="false">((Assumptions!$E$121*(1-Assumptions!$C$29))*$C$10)</f>
        <v>193600</v>
      </c>
      <c r="S104" s="9" t="n">
        <f aca="false">((Assumptions!$E$121*(1-Assumptions!$C$29))*$C$10)</f>
        <v>193600</v>
      </c>
      <c r="T104" s="9" t="n">
        <f aca="false">((Assumptions!$E$121*(1-Assumptions!$C$29))*$C$10)</f>
        <v>193600</v>
      </c>
      <c r="U104" s="9" t="n">
        <f aca="false">((Assumptions!$E$121*(1-Assumptions!$C$29))*$C$10)</f>
        <v>193600</v>
      </c>
      <c r="V104" s="9" t="n">
        <f aca="false">((Assumptions!$E$121*(1-Assumptions!$C$29))*$C$10)</f>
        <v>193600</v>
      </c>
      <c r="W104" s="9" t="n">
        <f aca="false">((Assumptions!$E$121*(1-Assumptions!$C$29))*$C$10)</f>
        <v>193600</v>
      </c>
      <c r="X104" s="9" t="n">
        <f aca="false">((Assumptions!$E$121*(1-Assumptions!$C$29))*$C$10)</f>
        <v>193600</v>
      </c>
      <c r="Y104" s="9" t="n">
        <f aca="false">((Assumptions!$E$121*(1-Assumptions!$C$29))*$C$10)</f>
        <v>193600</v>
      </c>
      <c r="Z104" s="9" t="n">
        <f aca="false">((Assumptions!$E$121*(1-Assumptions!$C$29))*$C$10)</f>
        <v>193600</v>
      </c>
      <c r="AA104" s="9" t="n">
        <f aca="false">((Assumptions!$E$121*(1-Assumptions!$C$29))*$C$10)</f>
        <v>193600</v>
      </c>
      <c r="AB104" s="9" t="n">
        <f aca="false">((Assumptions!$E$121*(1-Assumptions!$C$29))*$C$10)</f>
        <v>193600</v>
      </c>
      <c r="AC104" s="9" t="n">
        <f aca="false">((Assumptions!$E$121*(1-Assumptions!$C$29))*$C$10)</f>
        <v>193600</v>
      </c>
      <c r="AD104" s="9" t="n">
        <f aca="false">((Assumptions!$E$121*(1-Assumptions!$C$29))*$C$10)</f>
        <v>193600</v>
      </c>
      <c r="AE104" s="9" t="n">
        <f aca="false">((Assumptions!$E$121*(1-Assumptions!$C$29))*$C$10)</f>
        <v>193600</v>
      </c>
      <c r="AF104" s="9" t="n">
        <f aca="false">((Assumptions!$E$121*(1-Assumptions!$C$29))*$C$10)</f>
        <v>193600</v>
      </c>
      <c r="AG104" s="9" t="n">
        <f aca="false">((Assumptions!$E$121*(1-Assumptions!$C$29))*$C$10)</f>
        <v>193600</v>
      </c>
      <c r="AH104" s="9" t="n">
        <f aca="false">((Assumptions!$E$121*(1-Assumptions!$C$29))*$C$10)</f>
        <v>193600</v>
      </c>
      <c r="AI104" s="9" t="n">
        <f aca="false">((Assumptions!$E$121*(1-Assumptions!$C$29))*$C$10)</f>
        <v>193600</v>
      </c>
      <c r="AJ104" s="9" t="n">
        <f aca="false">((Assumptions!$E$121*(1-Assumptions!$C$29))*$C$10)</f>
        <v>193600</v>
      </c>
      <c r="AK104" s="9" t="n">
        <f aca="false">((Assumptions!$E$121*(1-Assumptions!$C$29))*$C$10)</f>
        <v>193600</v>
      </c>
      <c r="AL104" s="9" t="n">
        <f aca="false">((Assumptions!$E$121*(1-Assumptions!$C$29))*$C$10)</f>
        <v>193600</v>
      </c>
    </row>
    <row r="105" customFormat="false" ht="15" hidden="false" customHeight="false" outlineLevel="0" collapsed="false">
      <c r="A105" s="0" t="s">
        <v>911</v>
      </c>
      <c r="B105" s="0" t="s">
        <v>230</v>
      </c>
      <c r="C105" s="9" t="n">
        <f aca="false">((C101*C104)+((C45*(1+Assumptions!$C$31))*0))</f>
        <v>0</v>
      </c>
      <c r="D105" s="9" t="n">
        <f aca="false">((D101*D104)+((D45*(1+Assumptions!$C$31))*0))</f>
        <v>0</v>
      </c>
      <c r="E105" s="9" t="n">
        <f aca="false">((E101*E104)+((E45*(1+Assumptions!$C$31))*0))</f>
        <v>0</v>
      </c>
      <c r="F105" s="9" t="n">
        <f aca="false">((F101*F104)+((F45*(1+Assumptions!$C$31))*0))</f>
        <v>0</v>
      </c>
      <c r="G105" s="9" t="n">
        <f aca="false">((G101*G104)+((G45*(1+Assumptions!$C$31))*0))</f>
        <v>0</v>
      </c>
      <c r="H105" s="9" t="n">
        <f aca="false">((H101*H104)+((H45*(1+Assumptions!$C$31))*0))</f>
        <v>0</v>
      </c>
      <c r="I105" s="9" t="n">
        <f aca="false">((I101*I104)+((I45*(1+Assumptions!$C$31))*0))</f>
        <v>0</v>
      </c>
      <c r="J105" s="9" t="n">
        <f aca="false">((J101*J104)+((J45*(1+Assumptions!$C$31))*0))</f>
        <v>0</v>
      </c>
      <c r="K105" s="9" t="n">
        <f aca="false">((K101*K104)+((K45*(1+Assumptions!$C$31))*0))</f>
        <v>0</v>
      </c>
      <c r="L105" s="9" t="n">
        <f aca="false">((L101*L104)+((L45*(1+Assumptions!$C$31))*0))</f>
        <v>0</v>
      </c>
      <c r="M105" s="9" t="n">
        <f aca="false">((M101*M104)+((M45*(1+Assumptions!$C$31))*0))</f>
        <v>0</v>
      </c>
      <c r="N105" s="9" t="n">
        <f aca="false">((N101*N104)+((N45*(1+Assumptions!$C$31))*0))</f>
        <v>0</v>
      </c>
      <c r="O105" s="9" t="n">
        <f aca="false">((O101*O104)+((O45*(1+Assumptions!$C$31))*C105))</f>
        <v>0</v>
      </c>
      <c r="P105" s="9" t="n">
        <f aca="false">((P101*P104)+((P45*(1+Assumptions!$C$31))*D105))</f>
        <v>0</v>
      </c>
      <c r="Q105" s="9" t="n">
        <f aca="false">((Q101*Q104)+((Q45*(1+Assumptions!$C$31))*E105))</f>
        <v>0</v>
      </c>
      <c r="R105" s="9" t="n">
        <f aca="false">((R101*R104)+((R45*(1+Assumptions!$C$31))*F105))</f>
        <v>0</v>
      </c>
      <c r="S105" s="9" t="n">
        <f aca="false">((S101*S104)+((S45*(1+Assumptions!$C$31))*G105))</f>
        <v>0</v>
      </c>
      <c r="T105" s="9" t="n">
        <f aca="false">((T101*T104)+((T45*(1+Assumptions!$C$31))*H105))</f>
        <v>0</v>
      </c>
      <c r="U105" s="9" t="n">
        <f aca="false">((U101*U104)+((U45*(1+Assumptions!$C$31))*I105))</f>
        <v>0</v>
      </c>
      <c r="V105" s="9" t="n">
        <f aca="false">((V101*V104)+((V45*(1+Assumptions!$C$31))*J105))</f>
        <v>0</v>
      </c>
      <c r="W105" s="9" t="n">
        <f aca="false">((W101*W104)+((W45*(1+Assumptions!$C$31))*K105))</f>
        <v>0</v>
      </c>
      <c r="X105" s="9" t="n">
        <f aca="false">((X101*X104)+((X45*(1+Assumptions!$C$31))*L105))</f>
        <v>0</v>
      </c>
      <c r="Y105" s="9" t="n">
        <f aca="false">((Y101*Y104)+((Y45*(1+Assumptions!$C$31))*M105))</f>
        <v>0</v>
      </c>
      <c r="Z105" s="9" t="n">
        <f aca="false">((Z101*Z104)+((Z45*(1+Assumptions!$C$31))*N105))</f>
        <v>0</v>
      </c>
      <c r="AA105" s="9" t="n">
        <f aca="false">((AA101*AA104)+((AA45*(1+Assumptions!$C$31))*O105))</f>
        <v>0</v>
      </c>
      <c r="AB105" s="9" t="n">
        <f aca="false">((AB101*AB104)+((AB45*(1+Assumptions!$C$31))*P105))</f>
        <v>0</v>
      </c>
      <c r="AC105" s="9" t="n">
        <f aca="false">((AC101*AC104)+((AC45*(1+Assumptions!$C$31))*Q105))</f>
        <v>0</v>
      </c>
      <c r="AD105" s="9" t="n">
        <f aca="false">((AD101*AD104)+((AD45*(1+Assumptions!$C$31))*R105))</f>
        <v>0</v>
      </c>
      <c r="AE105" s="9" t="n">
        <f aca="false">((AE101*AE104)+((AE45*(1+Assumptions!$C$31))*S105))</f>
        <v>0</v>
      </c>
      <c r="AF105" s="9" t="n">
        <f aca="false">((AF101*AF104)+((AF45*(1+Assumptions!$C$31))*T105))</f>
        <v>0</v>
      </c>
      <c r="AG105" s="9" t="n">
        <f aca="false">((AG101*AG104)+((AG45*(1+Assumptions!$C$31))*U105))</f>
        <v>0</v>
      </c>
      <c r="AH105" s="9" t="n">
        <f aca="false">((AH101*AH104)+((AH45*(1+Assumptions!$C$31))*V105))</f>
        <v>0</v>
      </c>
      <c r="AI105" s="9" t="n">
        <f aca="false">((AI101*AI104)+((AI45*(1+Assumptions!$C$31))*W105))</f>
        <v>0</v>
      </c>
      <c r="AJ105" s="9" t="n">
        <f aca="false">((AJ101*AJ104)+((AJ45*(1+Assumptions!$C$31))*X105))</f>
        <v>271040</v>
      </c>
      <c r="AK105" s="9" t="n">
        <f aca="false">((AK101*AK104)+((AK45*(1+Assumptions!$C$31))*Y105))</f>
        <v>119257.6</v>
      </c>
      <c r="AL105" s="9" t="n">
        <f aca="false">((AL101*AL104)+((AL45*(1+Assumptions!$C$31))*Z105))</f>
        <v>0</v>
      </c>
      <c r="AN105" s="11" t="n">
        <f aca="false">SUM(C105:N105)</f>
        <v>0</v>
      </c>
      <c r="AO105" s="11" t="n">
        <f aca="false">SUM(O105:Z105)</f>
        <v>0</v>
      </c>
      <c r="AP105" s="11" t="n">
        <f aca="false">SUM(AA105:AL105)</f>
        <v>390297.6</v>
      </c>
    </row>
    <row r="106" customFormat="false" ht="15" hidden="false" customHeight="false" outlineLevel="0" collapsed="false">
      <c r="A106" s="0" t="s">
        <v>912</v>
      </c>
      <c r="B106" s="0" t="s">
        <v>230</v>
      </c>
      <c r="C106" s="9" t="n">
        <f aca="false">(Assumptions!$E$126*C99)</f>
        <v>0</v>
      </c>
      <c r="D106" s="9" t="n">
        <f aca="false">(Assumptions!$E$126*D99)</f>
        <v>0</v>
      </c>
      <c r="E106" s="9" t="n">
        <f aca="false">(Assumptions!$E$126*E99)</f>
        <v>0</v>
      </c>
      <c r="F106" s="9" t="n">
        <f aca="false">(Assumptions!$E$126*F99)</f>
        <v>0</v>
      </c>
      <c r="G106" s="9" t="n">
        <f aca="false">(Assumptions!$E$126*G99)</f>
        <v>0</v>
      </c>
      <c r="H106" s="9" t="n">
        <f aca="false">(Assumptions!$E$126*H99)</f>
        <v>0</v>
      </c>
      <c r="I106" s="9" t="n">
        <f aca="false">(Assumptions!$E$126*I99)</f>
        <v>0</v>
      </c>
      <c r="J106" s="9" t="n">
        <f aca="false">(Assumptions!$E$126*J99)</f>
        <v>0</v>
      </c>
      <c r="K106" s="9" t="n">
        <f aca="false">(Assumptions!$E$126*K99)</f>
        <v>0</v>
      </c>
      <c r="L106" s="9" t="n">
        <f aca="false">(Assumptions!$E$126*L99)</f>
        <v>0</v>
      </c>
      <c r="M106" s="9" t="n">
        <f aca="false">(Assumptions!$E$126*M99)</f>
        <v>0</v>
      </c>
      <c r="N106" s="9" t="n">
        <f aca="false">(Assumptions!$E$126*N99)</f>
        <v>0</v>
      </c>
      <c r="O106" s="9" t="n">
        <f aca="false">(Assumptions!$E$126*O99)</f>
        <v>0</v>
      </c>
      <c r="P106" s="9" t="n">
        <f aca="false">(Assumptions!$E$126*P99)</f>
        <v>0</v>
      </c>
      <c r="Q106" s="9" t="n">
        <f aca="false">(Assumptions!$E$126*Q99)</f>
        <v>0</v>
      </c>
      <c r="R106" s="9" t="n">
        <f aca="false">(Assumptions!$E$126*R99)</f>
        <v>0</v>
      </c>
      <c r="S106" s="9" t="n">
        <f aca="false">(Assumptions!$E$126*S99)</f>
        <v>0</v>
      </c>
      <c r="T106" s="9" t="n">
        <f aca="false">(Assumptions!$E$126*T99)</f>
        <v>0</v>
      </c>
      <c r="U106" s="9" t="n">
        <f aca="false">(Assumptions!$E$126*U99)</f>
        <v>0</v>
      </c>
      <c r="V106" s="9" t="n">
        <f aca="false">(Assumptions!$E$126*V99)</f>
        <v>0</v>
      </c>
      <c r="W106" s="9" t="n">
        <f aca="false">(Assumptions!$E$126*W99)</f>
        <v>0</v>
      </c>
      <c r="X106" s="9" t="n">
        <f aca="false">(Assumptions!$E$126*X99)</f>
        <v>0</v>
      </c>
      <c r="Y106" s="9" t="n">
        <f aca="false">(Assumptions!$E$126*Y99)</f>
        <v>0</v>
      </c>
      <c r="Z106" s="9" t="n">
        <f aca="false">(Assumptions!$E$126*Z99)</f>
        <v>0</v>
      </c>
      <c r="AA106" s="9" t="n">
        <f aca="false">(Assumptions!$E$126*AA99)</f>
        <v>0</v>
      </c>
      <c r="AB106" s="9" t="n">
        <f aca="false">(Assumptions!$E$126*AB99)</f>
        <v>0</v>
      </c>
      <c r="AC106" s="9" t="n">
        <f aca="false">(Assumptions!$E$126*AC99)</f>
        <v>0</v>
      </c>
      <c r="AD106" s="9" t="n">
        <f aca="false">(Assumptions!$E$126*AD99)</f>
        <v>0</v>
      </c>
      <c r="AE106" s="9" t="n">
        <f aca="false">(Assumptions!$E$126*AE99)</f>
        <v>0</v>
      </c>
      <c r="AF106" s="9" t="n">
        <f aca="false">(Assumptions!$E$126*AF99)</f>
        <v>0</v>
      </c>
      <c r="AG106" s="9" t="n">
        <f aca="false">(Assumptions!$E$126*AG99)</f>
        <v>0</v>
      </c>
      <c r="AH106" s="9" t="n">
        <f aca="false">(Assumptions!$E$126*AH99)</f>
        <v>0</v>
      </c>
      <c r="AI106" s="9" t="n">
        <f aca="false">(Assumptions!$E$126*AI99)</f>
        <v>0</v>
      </c>
      <c r="AJ106" s="9" t="n">
        <f aca="false">(Assumptions!$E$126*AJ99)</f>
        <v>0</v>
      </c>
      <c r="AK106" s="9" t="n">
        <f aca="false">(Assumptions!$E$126*AK99)</f>
        <v>18480</v>
      </c>
      <c r="AL106" s="9" t="n">
        <f aca="false">(Assumptions!$E$126*AL99)</f>
        <v>0</v>
      </c>
      <c r="AN106" s="11" t="n">
        <f aca="false">SUM(C106:N106)</f>
        <v>0</v>
      </c>
      <c r="AO106" s="11" t="n">
        <f aca="false">SUM(O106:Z106)</f>
        <v>0</v>
      </c>
      <c r="AP106" s="11" t="n">
        <f aca="false">SUM(AA106:AL106)</f>
        <v>18480</v>
      </c>
    </row>
    <row r="107" customFormat="false" ht="15" hidden="false" customHeight="false" outlineLevel="0" collapsed="false">
      <c r="A107" s="0" t="s">
        <v>913</v>
      </c>
      <c r="B107" s="0" t="s">
        <v>230</v>
      </c>
      <c r="C107" s="9" t="n">
        <f aca="false">((C105-C106)/12)</f>
        <v>0</v>
      </c>
      <c r="D107" s="9" t="n">
        <f aca="false">((SUM(C105:D105)-SUM(C106:D106))/12)</f>
        <v>0</v>
      </c>
      <c r="E107" s="9" t="n">
        <f aca="false">((SUM(C105:E105)-SUM(C106:E106))/12)</f>
        <v>0</v>
      </c>
      <c r="F107" s="9" t="n">
        <f aca="false">((SUM(C105:F105)-SUM(C106:F106))/12)</f>
        <v>0</v>
      </c>
      <c r="G107" s="9" t="n">
        <f aca="false">((SUM(C105:G105)-SUM(C106:G106))/12)</f>
        <v>0</v>
      </c>
      <c r="H107" s="9" t="n">
        <f aca="false">((SUM(C105:H105)-SUM(C106:H106))/12)</f>
        <v>0</v>
      </c>
      <c r="I107" s="9" t="n">
        <f aca="false">((SUM(C105:I105)-SUM(C106:I106))/12)</f>
        <v>0</v>
      </c>
      <c r="J107" s="9" t="n">
        <f aca="false">((SUM(C105:J105)-SUM(C106:J106))/12)</f>
        <v>0</v>
      </c>
      <c r="K107" s="9" t="n">
        <f aca="false">((SUM(C105:K105)-SUM(C106:K106))/12)</f>
        <v>0</v>
      </c>
      <c r="L107" s="9" t="n">
        <f aca="false">((SUM(C105:L105)-SUM(C106:L106))/12)</f>
        <v>0</v>
      </c>
      <c r="M107" s="9" t="n">
        <f aca="false">((SUM(C105:M105)-SUM(C106:M106))/12)</f>
        <v>0</v>
      </c>
      <c r="N107" s="9" t="n">
        <f aca="false">((SUM(C105:N105)-SUM(C106:N106))/12)</f>
        <v>0</v>
      </c>
      <c r="O107" s="9" t="n">
        <f aca="false">((SUM(D105:O105)-SUM(D106:O106))/12)</f>
        <v>0</v>
      </c>
      <c r="P107" s="9" t="n">
        <f aca="false">((SUM(E105:P105)-SUM(E106:P106))/12)</f>
        <v>0</v>
      </c>
      <c r="Q107" s="9" t="n">
        <f aca="false">((SUM(F105:Q105)-SUM(F106:Q106))/12)</f>
        <v>0</v>
      </c>
      <c r="R107" s="9" t="n">
        <f aca="false">((SUM(G105:R105)-SUM(G106:R106))/12)</f>
        <v>0</v>
      </c>
      <c r="S107" s="9" t="n">
        <f aca="false">((SUM(H105:S105)-SUM(H106:S106))/12)</f>
        <v>0</v>
      </c>
      <c r="T107" s="9" t="n">
        <f aca="false">((SUM(I105:T105)-SUM(I106:T106))/12)</f>
        <v>0</v>
      </c>
      <c r="U107" s="9" t="n">
        <f aca="false">((SUM(J105:U105)-SUM(J106:U106))/12)</f>
        <v>0</v>
      </c>
      <c r="V107" s="9" t="n">
        <f aca="false">((SUM(K105:V105)-SUM(K106:V106))/12)</f>
        <v>0</v>
      </c>
      <c r="W107" s="9" t="n">
        <f aca="false">((SUM(L105:W105)-SUM(L106:W106))/12)</f>
        <v>0</v>
      </c>
      <c r="X107" s="9" t="n">
        <f aca="false">((SUM(M105:X105)-SUM(M106:X106))/12)</f>
        <v>0</v>
      </c>
      <c r="Y107" s="9" t="n">
        <f aca="false">((SUM(N105:Y105)-SUM(N106:Y106))/12)</f>
        <v>0</v>
      </c>
      <c r="Z107" s="9" t="n">
        <f aca="false">((SUM(O105:Z105)-SUM(O106:Z106))/12)</f>
        <v>0</v>
      </c>
      <c r="AA107" s="9" t="n">
        <f aca="false">((SUM(P105:AA105)-SUM(P106:AA106))/12)</f>
        <v>0</v>
      </c>
      <c r="AB107" s="9" t="n">
        <f aca="false">((SUM(Q105:AB105)-SUM(Q106:AB106))/12)</f>
        <v>0</v>
      </c>
      <c r="AC107" s="9" t="n">
        <f aca="false">((SUM(R105:AC105)-SUM(R106:AC106))/12)</f>
        <v>0</v>
      </c>
      <c r="AD107" s="9" t="n">
        <f aca="false">((SUM(S105:AD105)-SUM(S106:AD106))/12)</f>
        <v>0</v>
      </c>
      <c r="AE107" s="9" t="n">
        <f aca="false">((SUM(T105:AE105)-SUM(T106:AE106))/12)</f>
        <v>0</v>
      </c>
      <c r="AF107" s="9" t="n">
        <f aca="false">((SUM(U105:AF105)-SUM(U106:AF106))/12)</f>
        <v>0</v>
      </c>
      <c r="AG107" s="9" t="n">
        <f aca="false">((SUM(V105:AG105)-SUM(V106:AG106))/12)</f>
        <v>0</v>
      </c>
      <c r="AH107" s="9" t="n">
        <f aca="false">((SUM(W105:AH105)-SUM(W106:AH106))/12)</f>
        <v>0</v>
      </c>
      <c r="AI107" s="9" t="n">
        <f aca="false">((SUM(X105:AI105)-SUM(X106:AI106))/12)</f>
        <v>0</v>
      </c>
      <c r="AJ107" s="9" t="n">
        <f aca="false">((SUM(Y105:AJ105)-SUM(Y106:AJ106))/12)</f>
        <v>22586.6666666667</v>
      </c>
      <c r="AK107" s="9" t="n">
        <f aca="false">((SUM(Z105:AK105)-SUM(Z106:AK106))/12)</f>
        <v>30984.8</v>
      </c>
      <c r="AL107" s="9" t="n">
        <f aca="false">((SUM(AA105:AL105)-SUM(AA106:AL106))/12)</f>
        <v>30984.8</v>
      </c>
      <c r="AN107" s="11" t="n">
        <f aca="false">SUM(C107:N107)</f>
        <v>0</v>
      </c>
      <c r="AO107" s="11" t="n">
        <f aca="false">SUM(O107:Z107)</f>
        <v>0</v>
      </c>
      <c r="AP107" s="11" t="n">
        <f aca="false">SUM(AA107:AL107)</f>
        <v>84556.2666666667</v>
      </c>
    </row>
    <row r="108" customFormat="false" ht="15" hidden="false" customHeight="false" outlineLevel="0" collapsed="false">
      <c r="A108" s="0" t="s">
        <v>914</v>
      </c>
      <c r="B108" s="0" t="s">
        <v>230</v>
      </c>
      <c r="C108" s="9" t="n">
        <f aca="false">(C105-C106)</f>
        <v>0</v>
      </c>
      <c r="D108" s="9" t="n">
        <f aca="false">(D105-D106)</f>
        <v>0</v>
      </c>
      <c r="E108" s="9" t="n">
        <f aca="false">(E105-E106)</f>
        <v>0</v>
      </c>
      <c r="F108" s="9" t="n">
        <f aca="false">(F105-F106)</f>
        <v>0</v>
      </c>
      <c r="G108" s="9" t="n">
        <f aca="false">(G105-G106)</f>
        <v>0</v>
      </c>
      <c r="H108" s="9" t="n">
        <f aca="false">(H105-H106)</f>
        <v>0</v>
      </c>
      <c r="I108" s="9" t="n">
        <f aca="false">(I105-I106)</f>
        <v>0</v>
      </c>
      <c r="J108" s="9" t="n">
        <f aca="false">(J105-J106)</f>
        <v>0</v>
      </c>
      <c r="K108" s="9" t="n">
        <f aca="false">(K105-K106)</f>
        <v>0</v>
      </c>
      <c r="L108" s="9" t="n">
        <f aca="false">(L105-L106)</f>
        <v>0</v>
      </c>
      <c r="M108" s="9" t="n">
        <f aca="false">(M105-M106)</f>
        <v>0</v>
      </c>
      <c r="N108" s="9" t="n">
        <f aca="false">(N105-N106)</f>
        <v>0</v>
      </c>
      <c r="O108" s="9" t="n">
        <f aca="false">(O105-O106)</f>
        <v>0</v>
      </c>
      <c r="P108" s="9" t="n">
        <f aca="false">(P105-P106)</f>
        <v>0</v>
      </c>
      <c r="Q108" s="9" t="n">
        <f aca="false">(Q105-Q106)</f>
        <v>0</v>
      </c>
      <c r="R108" s="9" t="n">
        <f aca="false">(R105-R106)</f>
        <v>0</v>
      </c>
      <c r="S108" s="9" t="n">
        <f aca="false">(S105-S106)</f>
        <v>0</v>
      </c>
      <c r="T108" s="9" t="n">
        <f aca="false">(T105-T106)</f>
        <v>0</v>
      </c>
      <c r="U108" s="9" t="n">
        <f aca="false">(U105-U106)</f>
        <v>0</v>
      </c>
      <c r="V108" s="9" t="n">
        <f aca="false">(V105-V106)</f>
        <v>0</v>
      </c>
      <c r="W108" s="9" t="n">
        <f aca="false">(W105-W106)</f>
        <v>0</v>
      </c>
      <c r="X108" s="9" t="n">
        <f aca="false">(X105-X106)</f>
        <v>0</v>
      </c>
      <c r="Y108" s="9" t="n">
        <f aca="false">(Y105-Y106)</f>
        <v>0</v>
      </c>
      <c r="Z108" s="9" t="n">
        <f aca="false">(Z105-Z106)</f>
        <v>0</v>
      </c>
      <c r="AA108" s="9" t="n">
        <f aca="false">(AA105-AA106)</f>
        <v>0</v>
      </c>
      <c r="AB108" s="9" t="n">
        <f aca="false">(AB105-AB106)</f>
        <v>0</v>
      </c>
      <c r="AC108" s="9" t="n">
        <f aca="false">(AC105-AC106)</f>
        <v>0</v>
      </c>
      <c r="AD108" s="9" t="n">
        <f aca="false">(AD105-AD106)</f>
        <v>0</v>
      </c>
      <c r="AE108" s="9" t="n">
        <f aca="false">(AE105-AE106)</f>
        <v>0</v>
      </c>
      <c r="AF108" s="9" t="n">
        <f aca="false">(AF105-AF106)</f>
        <v>0</v>
      </c>
      <c r="AG108" s="9" t="n">
        <f aca="false">(AG105-AG106)</f>
        <v>0</v>
      </c>
      <c r="AH108" s="9" t="n">
        <f aca="false">(AH105-AH106)</f>
        <v>0</v>
      </c>
      <c r="AI108" s="9" t="n">
        <f aca="false">(AI105-AI106)</f>
        <v>0</v>
      </c>
      <c r="AJ108" s="9" t="n">
        <f aca="false">(AJ105-AJ106)</f>
        <v>271040</v>
      </c>
      <c r="AK108" s="9" t="n">
        <f aca="false">(AK105-AK106)</f>
        <v>100777.6</v>
      </c>
      <c r="AL108" s="9" t="n">
        <f aca="false">(AL105-AL106)</f>
        <v>0</v>
      </c>
      <c r="AN108" s="11" t="n">
        <f aca="false">SUM(C108:N108)</f>
        <v>0</v>
      </c>
      <c r="AO108" s="11" t="n">
        <f aca="false">SUM(O108:Z108)</f>
        <v>0</v>
      </c>
      <c r="AP108" s="11" t="n">
        <f aca="false">SUM(AA108:AL108)</f>
        <v>371817.6</v>
      </c>
    </row>
    <row r="109" customFormat="false" ht="15" hidden="false" customHeight="false" outlineLevel="0" collapsed="false">
      <c r="A109" s="0" t="s">
        <v>915</v>
      </c>
      <c r="B109" s="0" t="s">
        <v>230</v>
      </c>
      <c r="C109" s="9" t="n">
        <f aca="false">(((Assumptions!$E$122*$C$10)/6)*C98)</f>
        <v>0</v>
      </c>
      <c r="D109" s="9" t="n">
        <f aca="false">(((Assumptions!$E$122*$C$10)/6)*D98)</f>
        <v>0</v>
      </c>
      <c r="E109" s="9" t="n">
        <f aca="false">(((Assumptions!$E$122*$C$10)/6)*E98)</f>
        <v>0</v>
      </c>
      <c r="F109" s="9" t="n">
        <f aca="false">(((Assumptions!$E$122*$C$10)/6)*F98)</f>
        <v>0</v>
      </c>
      <c r="G109" s="9" t="n">
        <f aca="false">(((Assumptions!$E$122*$C$10)/6)*G98)</f>
        <v>0</v>
      </c>
      <c r="H109" s="9" t="n">
        <f aca="false">(((Assumptions!$E$122*$C$10)/6)*H98)</f>
        <v>0</v>
      </c>
      <c r="I109" s="9" t="n">
        <f aca="false">(((Assumptions!$E$122*$C$10)/6)*I98)</f>
        <v>0</v>
      </c>
      <c r="J109" s="9" t="n">
        <f aca="false">(((Assumptions!$E$122*$C$10)/6)*J98)</f>
        <v>0</v>
      </c>
      <c r="K109" s="9" t="n">
        <f aca="false">(((Assumptions!$E$122*$C$10)/6)*K98)</f>
        <v>0</v>
      </c>
      <c r="L109" s="9" t="n">
        <f aca="false">(((Assumptions!$E$122*$C$10)/6)*L98)</f>
        <v>0</v>
      </c>
      <c r="M109" s="9" t="n">
        <f aca="false">(((Assumptions!$E$122*$C$10)/6)*M98)</f>
        <v>0</v>
      </c>
      <c r="N109" s="9" t="n">
        <f aca="false">(((Assumptions!$E$122*$C$10)/6)*N98)</f>
        <v>0</v>
      </c>
      <c r="O109" s="9" t="n">
        <f aca="false">(((Assumptions!$E$122*$C$10)/6)*O98)</f>
        <v>0</v>
      </c>
      <c r="P109" s="9" t="n">
        <f aca="false">(((Assumptions!$E$122*$C$10)/6)*P98)</f>
        <v>0</v>
      </c>
      <c r="Q109" s="9" t="n">
        <f aca="false">(((Assumptions!$E$122*$C$10)/6)*Q98)</f>
        <v>0</v>
      </c>
      <c r="R109" s="9" t="n">
        <f aca="false">(((Assumptions!$E$122*$C$10)/6)*R98)</f>
        <v>0</v>
      </c>
      <c r="S109" s="9" t="n">
        <f aca="false">(((Assumptions!$E$122*$C$10)/6)*S98)</f>
        <v>0</v>
      </c>
      <c r="T109" s="9" t="n">
        <f aca="false">(((Assumptions!$E$122*$C$10)/6)*T98)</f>
        <v>0</v>
      </c>
      <c r="U109" s="9" t="n">
        <f aca="false">(((Assumptions!$E$122*$C$10)/6)*U98)</f>
        <v>0</v>
      </c>
      <c r="V109" s="9" t="n">
        <f aca="false">(((Assumptions!$E$122*$C$10)/6)*V98)</f>
        <v>0</v>
      </c>
      <c r="W109" s="9" t="n">
        <f aca="false">(((Assumptions!$E$122*$C$10)/6)*W98)</f>
        <v>0</v>
      </c>
      <c r="X109" s="9" t="n">
        <f aca="false">(((Assumptions!$E$122*$C$10)/6)*X98)</f>
        <v>0</v>
      </c>
      <c r="Y109" s="9" t="n">
        <f aca="false">(((Assumptions!$E$122*$C$10)/6)*Y98)</f>
        <v>0</v>
      </c>
      <c r="Z109" s="9" t="n">
        <f aca="false">(((Assumptions!$E$122*$C$10)/6)*Z98)</f>
        <v>0</v>
      </c>
      <c r="AA109" s="9" t="n">
        <f aca="false">(((Assumptions!$E$122*$C$10)/6)*AA98)</f>
        <v>0</v>
      </c>
      <c r="AB109" s="9" t="n">
        <f aca="false">(((Assumptions!$E$122*$C$10)/6)*AB98)</f>
        <v>0</v>
      </c>
      <c r="AC109" s="9" t="n">
        <f aca="false">(((Assumptions!$E$122*$C$10)/6)*AC98)</f>
        <v>0</v>
      </c>
      <c r="AD109" s="9" t="n">
        <f aca="false">(((Assumptions!$E$122*$C$10)/6)*AD98)</f>
        <v>14000</v>
      </c>
      <c r="AE109" s="9" t="n">
        <f aca="false">(((Assumptions!$E$122*$C$10)/6)*AE98)</f>
        <v>14000</v>
      </c>
      <c r="AF109" s="9" t="n">
        <f aca="false">(((Assumptions!$E$122*$C$10)/6)*AF98)</f>
        <v>14000</v>
      </c>
      <c r="AG109" s="9" t="n">
        <f aca="false">(((Assumptions!$E$122*$C$10)/6)*AG98)</f>
        <v>14000</v>
      </c>
      <c r="AH109" s="9" t="n">
        <f aca="false">(((Assumptions!$E$122*$C$10)/6)*AH98)</f>
        <v>14000</v>
      </c>
      <c r="AI109" s="9" t="n">
        <f aca="false">(((Assumptions!$E$122*$C$10)/6)*AI98)</f>
        <v>14000</v>
      </c>
      <c r="AJ109" s="9" t="n">
        <f aca="false">(((Assumptions!$E$122*$C$10)/6)*AJ98)</f>
        <v>14000</v>
      </c>
      <c r="AK109" s="9" t="n">
        <f aca="false">(((Assumptions!$E$122*$C$10)/6)*AK98)</f>
        <v>14000</v>
      </c>
      <c r="AL109" s="9" t="n">
        <f aca="false">(((Assumptions!$E$122*$C$10)/6)*AL98)</f>
        <v>14000</v>
      </c>
      <c r="AN109" s="11" t="n">
        <f aca="false">SUM(C109:N109)</f>
        <v>0</v>
      </c>
      <c r="AO109" s="11" t="n">
        <f aca="false">SUM(O109:Z109)</f>
        <v>0</v>
      </c>
      <c r="AP109" s="11" t="n">
        <f aca="false">SUM(AA109:AL109)</f>
        <v>126000</v>
      </c>
    </row>
    <row r="110" customFormat="false" ht="15" hidden="false" customHeight="false" outlineLevel="0" collapsed="false">
      <c r="A110" s="0" t="s">
        <v>916</v>
      </c>
      <c r="B110" s="0" t="s">
        <v>230</v>
      </c>
      <c r="C110" s="9" t="n">
        <f aca="false">((Assumptions!$E$122*$C$10)*C92)</f>
        <v>0</v>
      </c>
      <c r="D110" s="9" t="n">
        <f aca="false">((Assumptions!$E$122*$C$10)*D92)</f>
        <v>0</v>
      </c>
      <c r="E110" s="9" t="n">
        <f aca="false">((Assumptions!$E$122*$C$10)*E92)</f>
        <v>0</v>
      </c>
      <c r="F110" s="9" t="n">
        <f aca="false">((Assumptions!$E$122*$C$10)*F92)</f>
        <v>0</v>
      </c>
      <c r="G110" s="9" t="n">
        <f aca="false">((Assumptions!$E$122*$C$10)*G92)</f>
        <v>0</v>
      </c>
      <c r="H110" s="9" t="n">
        <f aca="false">((Assumptions!$E$122*$C$10)*H92)</f>
        <v>0</v>
      </c>
      <c r="I110" s="9" t="n">
        <f aca="false">((Assumptions!$E$122*$C$10)*I92)</f>
        <v>0</v>
      </c>
      <c r="J110" s="9" t="n">
        <f aca="false">((Assumptions!$E$122*$C$10)*J92)</f>
        <v>0</v>
      </c>
      <c r="K110" s="9" t="n">
        <f aca="false">((Assumptions!$E$122*$C$10)*K92)</f>
        <v>0</v>
      </c>
      <c r="L110" s="9" t="n">
        <f aca="false">((Assumptions!$E$122*$C$10)*L92)</f>
        <v>0</v>
      </c>
      <c r="M110" s="9" t="n">
        <f aca="false">((Assumptions!$E$122*$C$10)*M92)</f>
        <v>0</v>
      </c>
      <c r="N110" s="9" t="n">
        <f aca="false">((Assumptions!$E$122*$C$10)*N92)</f>
        <v>0</v>
      </c>
      <c r="O110" s="9" t="n">
        <f aca="false">((Assumptions!$E$122*$C$10)*O92)</f>
        <v>0</v>
      </c>
      <c r="P110" s="9" t="n">
        <f aca="false">((Assumptions!$E$122*$C$10)*P92)</f>
        <v>0</v>
      </c>
      <c r="Q110" s="9" t="n">
        <f aca="false">((Assumptions!$E$122*$C$10)*Q92)</f>
        <v>0</v>
      </c>
      <c r="R110" s="9" t="n">
        <f aca="false">((Assumptions!$E$122*$C$10)*R92)</f>
        <v>0</v>
      </c>
      <c r="S110" s="9" t="n">
        <f aca="false">((Assumptions!$E$122*$C$10)*S92)</f>
        <v>0</v>
      </c>
      <c r="T110" s="9" t="n">
        <f aca="false">((Assumptions!$E$122*$C$10)*T92)</f>
        <v>0</v>
      </c>
      <c r="U110" s="9" t="n">
        <f aca="false">((Assumptions!$E$122*$C$10)*U92)</f>
        <v>0</v>
      </c>
      <c r="V110" s="9" t="n">
        <f aca="false">((Assumptions!$E$122*$C$10)*V92)</f>
        <v>0</v>
      </c>
      <c r="W110" s="9" t="n">
        <f aca="false">((Assumptions!$E$122*$C$10)*W92)</f>
        <v>0</v>
      </c>
      <c r="X110" s="9" t="n">
        <f aca="false">((Assumptions!$E$122*$C$10)*X92)</f>
        <v>0</v>
      </c>
      <c r="Y110" s="9" t="n">
        <f aca="false">((Assumptions!$E$122*$C$10)*Y92)</f>
        <v>0</v>
      </c>
      <c r="Z110" s="9" t="n">
        <f aca="false">((Assumptions!$E$122*$C$10)*Z92)</f>
        <v>0</v>
      </c>
      <c r="AA110" s="9" t="n">
        <f aca="false">((Assumptions!$E$122*$C$10)*AA92)</f>
        <v>0</v>
      </c>
      <c r="AB110" s="9" t="n">
        <f aca="false">((Assumptions!$E$122*$C$10)*AB92)</f>
        <v>0</v>
      </c>
      <c r="AC110" s="9" t="n">
        <f aca="false">((Assumptions!$E$122*$C$10)*AC92)</f>
        <v>0</v>
      </c>
      <c r="AD110" s="9" t="n">
        <f aca="false">((Assumptions!$E$122*$C$10)*AD92)</f>
        <v>84000</v>
      </c>
      <c r="AE110" s="9" t="n">
        <f aca="false">((Assumptions!$E$122*$C$10)*AE92)</f>
        <v>0</v>
      </c>
      <c r="AF110" s="9" t="n">
        <f aca="false">((Assumptions!$E$122*$C$10)*AF92)</f>
        <v>0</v>
      </c>
      <c r="AG110" s="9" t="n">
        <f aca="false">((Assumptions!$E$122*$C$10)*AG92)</f>
        <v>0</v>
      </c>
      <c r="AH110" s="9" t="n">
        <f aca="false">((Assumptions!$E$122*$C$10)*AH92)</f>
        <v>0</v>
      </c>
      <c r="AI110" s="9" t="n">
        <f aca="false">((Assumptions!$E$122*$C$10)*AI92)</f>
        <v>0</v>
      </c>
      <c r="AJ110" s="9" t="n">
        <f aca="false">((Assumptions!$E$122*$C$10)*AJ92)</f>
        <v>84000</v>
      </c>
      <c r="AK110" s="9" t="n">
        <f aca="false">((Assumptions!$E$122*$C$10)*AK92)</f>
        <v>0</v>
      </c>
      <c r="AL110" s="9" t="n">
        <f aca="false">((Assumptions!$E$122*$C$10)*AL92)</f>
        <v>0</v>
      </c>
      <c r="AN110" s="11" t="n">
        <f aca="false">SUM(C110:N110)</f>
        <v>0</v>
      </c>
      <c r="AO110" s="11" t="n">
        <f aca="false">SUM(O110:Z110)</f>
        <v>0</v>
      </c>
      <c r="AP110" s="11" t="n">
        <f aca="false">SUM(AA110:AL110)</f>
        <v>168000</v>
      </c>
    </row>
    <row r="111" customFormat="false" ht="15" hidden="false" customHeight="false" outlineLevel="0" collapsed="false">
      <c r="A111" s="0" t="s">
        <v>917</v>
      </c>
      <c r="B111" s="0" t="s">
        <v>230</v>
      </c>
      <c r="C111" s="9" t="n">
        <f aca="false">((Assumptions!$E$123*$C$10)+(Assumptions!$C$34*Assumptions!$C$35))</f>
        <v>106000</v>
      </c>
      <c r="D111" s="9" t="n">
        <f aca="false">((Assumptions!$E$123*$C$10)+(Assumptions!$C$34*Assumptions!$C$35))</f>
        <v>106000</v>
      </c>
      <c r="E111" s="9" t="n">
        <f aca="false">((Assumptions!$E$123*$C$10)+(Assumptions!$C$34*Assumptions!$C$35))</f>
        <v>106000</v>
      </c>
      <c r="F111" s="9" t="n">
        <f aca="false">((Assumptions!$E$123*$C$10)+(Assumptions!$C$34*Assumptions!$C$35))</f>
        <v>106000</v>
      </c>
      <c r="G111" s="9" t="n">
        <f aca="false">((Assumptions!$E$123*$C$10)+(Assumptions!$C$34*Assumptions!$C$35))</f>
        <v>106000</v>
      </c>
      <c r="H111" s="9" t="n">
        <f aca="false">((Assumptions!$E$123*$C$10)+(Assumptions!$C$34*Assumptions!$C$35))</f>
        <v>106000</v>
      </c>
      <c r="I111" s="9" t="n">
        <f aca="false">((Assumptions!$E$123*$C$10)+(Assumptions!$C$34*Assumptions!$C$35))</f>
        <v>106000</v>
      </c>
      <c r="J111" s="9" t="n">
        <f aca="false">((Assumptions!$E$123*$C$10)+(Assumptions!$C$34*Assumptions!$C$35))</f>
        <v>106000</v>
      </c>
      <c r="K111" s="9" t="n">
        <f aca="false">((Assumptions!$E$123*$C$10)+(Assumptions!$C$34*Assumptions!$C$35))</f>
        <v>106000</v>
      </c>
      <c r="L111" s="9" t="n">
        <f aca="false">((Assumptions!$E$123*$C$10)+(Assumptions!$C$34*Assumptions!$C$35))</f>
        <v>106000</v>
      </c>
      <c r="M111" s="9" t="n">
        <f aca="false">((Assumptions!$E$123*$C$10)+(Assumptions!$C$34*Assumptions!$C$35))</f>
        <v>106000</v>
      </c>
      <c r="N111" s="9" t="n">
        <f aca="false">((Assumptions!$E$123*$C$10)+(Assumptions!$C$34*Assumptions!$C$35))</f>
        <v>106000</v>
      </c>
      <c r="O111" s="9" t="n">
        <f aca="false">((Assumptions!$E$123*$C$10)+(Assumptions!$C$34*Assumptions!$C$35))</f>
        <v>106000</v>
      </c>
      <c r="P111" s="9" t="n">
        <f aca="false">((Assumptions!$E$123*$C$10)+(Assumptions!$C$34*Assumptions!$C$35))</f>
        <v>106000</v>
      </c>
      <c r="Q111" s="9" t="n">
        <f aca="false">((Assumptions!$E$123*$C$10)+(Assumptions!$C$34*Assumptions!$C$35))</f>
        <v>106000</v>
      </c>
      <c r="R111" s="9" t="n">
        <f aca="false">((Assumptions!$E$123*$C$10)+(Assumptions!$C$34*Assumptions!$C$35))</f>
        <v>106000</v>
      </c>
      <c r="S111" s="9" t="n">
        <f aca="false">((Assumptions!$E$123*$C$10)+(Assumptions!$C$34*Assumptions!$C$35))</f>
        <v>106000</v>
      </c>
      <c r="T111" s="9" t="n">
        <f aca="false">((Assumptions!$E$123*$C$10)+(Assumptions!$C$34*Assumptions!$C$35))</f>
        <v>106000</v>
      </c>
      <c r="U111" s="9" t="n">
        <f aca="false">((Assumptions!$E$123*$C$10)+(Assumptions!$C$34*Assumptions!$C$35))</f>
        <v>106000</v>
      </c>
      <c r="V111" s="9" t="n">
        <f aca="false">((Assumptions!$E$123*$C$10)+(Assumptions!$C$34*Assumptions!$C$35))</f>
        <v>106000</v>
      </c>
      <c r="W111" s="9" t="n">
        <f aca="false">((Assumptions!$E$123*$C$10)+(Assumptions!$C$34*Assumptions!$C$35))</f>
        <v>106000</v>
      </c>
      <c r="X111" s="9" t="n">
        <f aca="false">((Assumptions!$E$123*$C$10)+(Assumptions!$C$34*Assumptions!$C$35))</f>
        <v>106000</v>
      </c>
      <c r="Y111" s="9" t="n">
        <f aca="false">((Assumptions!$E$123*$C$10)+(Assumptions!$C$34*Assumptions!$C$35))</f>
        <v>106000</v>
      </c>
      <c r="Z111" s="9" t="n">
        <f aca="false">((Assumptions!$E$123*$C$10)+(Assumptions!$C$34*Assumptions!$C$35))</f>
        <v>106000</v>
      </c>
      <c r="AA111" s="9" t="n">
        <f aca="false">((Assumptions!$E$123*$C$10)+(Assumptions!$C$34*Assumptions!$C$35))</f>
        <v>106000</v>
      </c>
      <c r="AB111" s="9" t="n">
        <f aca="false">((Assumptions!$E$123*$C$10)+(Assumptions!$C$34*Assumptions!$C$35))</f>
        <v>106000</v>
      </c>
      <c r="AC111" s="9" t="n">
        <f aca="false">((Assumptions!$E$123*$C$10)+(Assumptions!$C$34*Assumptions!$C$35))</f>
        <v>106000</v>
      </c>
      <c r="AD111" s="9" t="n">
        <f aca="false">((Assumptions!$E$123*$C$10)+(Assumptions!$C$34*Assumptions!$C$35))</f>
        <v>106000</v>
      </c>
      <c r="AE111" s="9" t="n">
        <f aca="false">((Assumptions!$E$123*$C$10)+(Assumptions!$C$34*Assumptions!$C$35))</f>
        <v>106000</v>
      </c>
      <c r="AF111" s="9" t="n">
        <f aca="false">((Assumptions!$E$123*$C$10)+(Assumptions!$C$34*Assumptions!$C$35))</f>
        <v>106000</v>
      </c>
      <c r="AG111" s="9" t="n">
        <f aca="false">((Assumptions!$E$123*$C$10)+(Assumptions!$C$34*Assumptions!$C$35))</f>
        <v>106000</v>
      </c>
      <c r="AH111" s="9" t="n">
        <f aca="false">((Assumptions!$E$123*$C$10)+(Assumptions!$C$34*Assumptions!$C$35))</f>
        <v>106000</v>
      </c>
      <c r="AI111" s="9" t="n">
        <f aca="false">((Assumptions!$E$123*$C$10)+(Assumptions!$C$34*Assumptions!$C$35))</f>
        <v>106000</v>
      </c>
      <c r="AJ111" s="9" t="n">
        <f aca="false">((Assumptions!$E$123*$C$10)+(Assumptions!$C$34*Assumptions!$C$35))</f>
        <v>106000</v>
      </c>
      <c r="AK111" s="9" t="n">
        <f aca="false">((Assumptions!$E$123*$C$10)+(Assumptions!$C$34*Assumptions!$C$35))</f>
        <v>106000</v>
      </c>
      <c r="AL111" s="9" t="n">
        <f aca="false">((Assumptions!$E$123*$C$10)+(Assumptions!$C$34*Assumptions!$C$35))</f>
        <v>106000</v>
      </c>
    </row>
    <row r="112" customFormat="false" ht="15" hidden="false" customHeight="false" outlineLevel="0" collapsed="false">
      <c r="A112" s="0" t="s">
        <v>918</v>
      </c>
      <c r="B112" s="0" t="s">
        <v>230</v>
      </c>
      <c r="C112" s="9" t="n">
        <f aca="false">((C111/3)*C96)</f>
        <v>0</v>
      </c>
      <c r="D112" s="9" t="n">
        <f aca="false">((D111/3)*SUM(C96:D96))</f>
        <v>0</v>
      </c>
      <c r="E112" s="9" t="n">
        <f aca="false">((E111/3)*SUM(C96:E96))</f>
        <v>0</v>
      </c>
      <c r="F112" s="9" t="n">
        <f aca="false">((F111/3)*SUM(D96:F96))</f>
        <v>0</v>
      </c>
      <c r="G112" s="9" t="n">
        <f aca="false">((G111/3)*SUM(E96:G96))</f>
        <v>0</v>
      </c>
      <c r="H112" s="9" t="n">
        <f aca="false">((H111/3)*SUM(F96:H96))</f>
        <v>0</v>
      </c>
      <c r="I112" s="9" t="n">
        <f aca="false">((I111/3)*SUM(G96:I96))</f>
        <v>0</v>
      </c>
      <c r="J112" s="9" t="n">
        <f aca="false">((J111/3)*SUM(H96:J96))</f>
        <v>0</v>
      </c>
      <c r="K112" s="9" t="n">
        <f aca="false">((K111/3)*SUM(I96:K96))</f>
        <v>0</v>
      </c>
      <c r="L112" s="9" t="n">
        <f aca="false">((L111/3)*SUM(J96:L96))</f>
        <v>0</v>
      </c>
      <c r="M112" s="9" t="n">
        <f aca="false">((M111/3)*SUM(K96:M96))</f>
        <v>0</v>
      </c>
      <c r="N112" s="9" t="n">
        <f aca="false">((N111/3)*SUM(L96:N96))</f>
        <v>0</v>
      </c>
      <c r="O112" s="9" t="n">
        <f aca="false">((O111/3)*SUM(M96:O96))</f>
        <v>0</v>
      </c>
      <c r="P112" s="9" t="n">
        <f aca="false">((P111/3)*SUM(N96:P96))</f>
        <v>0</v>
      </c>
      <c r="Q112" s="9" t="n">
        <f aca="false">((Q111/3)*SUM(O96:Q96))</f>
        <v>0</v>
      </c>
      <c r="R112" s="9" t="n">
        <f aca="false">((R111/3)*SUM(P96:R96))</f>
        <v>0</v>
      </c>
      <c r="S112" s="9" t="n">
        <f aca="false">((S111/3)*SUM(Q96:S96))</f>
        <v>0</v>
      </c>
      <c r="T112" s="9" t="n">
        <f aca="false">((T111/3)*SUM(R96:T96))</f>
        <v>0</v>
      </c>
      <c r="U112" s="9" t="n">
        <f aca="false">((U111/3)*SUM(S96:U96))</f>
        <v>0</v>
      </c>
      <c r="V112" s="9" t="n">
        <f aca="false">((V111/3)*SUM(T96:V96))</f>
        <v>0</v>
      </c>
      <c r="W112" s="9" t="n">
        <f aca="false">((W111/3)*SUM(U96:W96))</f>
        <v>0</v>
      </c>
      <c r="X112" s="9" t="n">
        <f aca="false">((X111/3)*SUM(V96:X96))</f>
        <v>0</v>
      </c>
      <c r="Y112" s="9" t="n">
        <f aca="false">((Y111/3)*SUM(W96:Y96))</f>
        <v>0</v>
      </c>
      <c r="Z112" s="9" t="n">
        <f aca="false">((Z111/3)*SUM(X96:Z96))</f>
        <v>0</v>
      </c>
      <c r="AA112" s="9" t="n">
        <f aca="false">((AA111/3)*SUM(Y96:AA96))</f>
        <v>0</v>
      </c>
      <c r="AB112" s="9" t="n">
        <f aca="false">((AB111/3)*SUM(Z96:AB96))</f>
        <v>0</v>
      </c>
      <c r="AC112" s="9" t="n">
        <f aca="false">((AC111/3)*SUM(AA96:AC96))</f>
        <v>0</v>
      </c>
      <c r="AD112" s="9" t="n">
        <f aca="false">((AD111/3)*SUM(AB96:AD96))</f>
        <v>49466.6666666667</v>
      </c>
      <c r="AE112" s="9" t="n">
        <f aca="false">((AE111/3)*SUM(AC96:AE96))</f>
        <v>49466.6666666667</v>
      </c>
      <c r="AF112" s="9" t="n">
        <f aca="false">((AF111/3)*SUM(AD96:AF96))</f>
        <v>49466.6666666667</v>
      </c>
      <c r="AG112" s="9" t="n">
        <f aca="false">((AG111/3)*SUM(AE96:AG96))</f>
        <v>0</v>
      </c>
      <c r="AH112" s="9" t="n">
        <f aca="false">((AH111/3)*SUM(AF96:AH96))</f>
        <v>0</v>
      </c>
      <c r="AI112" s="9" t="n">
        <f aca="false">((AI111/3)*SUM(AG96:AI96))</f>
        <v>0</v>
      </c>
      <c r="AJ112" s="9" t="n">
        <f aca="false">((AJ111/3)*SUM(AH96:AJ96))</f>
        <v>98933.3333333333</v>
      </c>
      <c r="AK112" s="9" t="n">
        <f aca="false">((AK111/3)*SUM(AI96:AK96))</f>
        <v>98933.3333333333</v>
      </c>
      <c r="AL112" s="9" t="n">
        <f aca="false">((AL111/3)*SUM(AJ96:AL96))</f>
        <v>98933.3333333333</v>
      </c>
      <c r="AN112" s="11" t="n">
        <f aca="false">SUM(C112:N112)</f>
        <v>0</v>
      </c>
      <c r="AO112" s="11" t="n">
        <f aca="false">SUM(O112:Z112)</f>
        <v>0</v>
      </c>
      <c r="AP112" s="11" t="n">
        <f aca="false">SUM(AA112:AL112)</f>
        <v>445200</v>
      </c>
    </row>
    <row r="113" customFormat="false" ht="15" hidden="false" customHeight="false" outlineLevel="0" collapsed="false">
      <c r="A113" s="0" t="s">
        <v>919</v>
      </c>
      <c r="B113" s="0" t="s">
        <v>230</v>
      </c>
      <c r="C113" s="9" t="n">
        <f aca="false">(C111*C96)</f>
        <v>0</v>
      </c>
      <c r="D113" s="9" t="n">
        <f aca="false">(D111*D96)</f>
        <v>0</v>
      </c>
      <c r="E113" s="9" t="n">
        <f aca="false">(E111*E96)</f>
        <v>0</v>
      </c>
      <c r="F113" s="9" t="n">
        <f aca="false">(F111*F96)</f>
        <v>0</v>
      </c>
      <c r="G113" s="9" t="n">
        <f aca="false">(G111*G96)</f>
        <v>0</v>
      </c>
      <c r="H113" s="9" t="n">
        <f aca="false">(H111*H96)</f>
        <v>0</v>
      </c>
      <c r="I113" s="9" t="n">
        <f aca="false">(I111*I96)</f>
        <v>0</v>
      </c>
      <c r="J113" s="9" t="n">
        <f aca="false">(J111*J96)</f>
        <v>0</v>
      </c>
      <c r="K113" s="9" t="n">
        <f aca="false">(K111*K96)</f>
        <v>0</v>
      </c>
      <c r="L113" s="9" t="n">
        <f aca="false">(L111*L96)</f>
        <v>0</v>
      </c>
      <c r="M113" s="9" t="n">
        <f aca="false">(M111*M96)</f>
        <v>0</v>
      </c>
      <c r="N113" s="9" t="n">
        <f aca="false">(N111*N96)</f>
        <v>0</v>
      </c>
      <c r="O113" s="9" t="n">
        <f aca="false">(O111*O96)</f>
        <v>0</v>
      </c>
      <c r="P113" s="9" t="n">
        <f aca="false">(P111*P96)</f>
        <v>0</v>
      </c>
      <c r="Q113" s="9" t="n">
        <f aca="false">(Q111*Q96)</f>
        <v>0</v>
      </c>
      <c r="R113" s="9" t="n">
        <f aca="false">(R111*R96)</f>
        <v>0</v>
      </c>
      <c r="S113" s="9" t="n">
        <f aca="false">(S111*S96)</f>
        <v>0</v>
      </c>
      <c r="T113" s="9" t="n">
        <f aca="false">(T111*T96)</f>
        <v>0</v>
      </c>
      <c r="U113" s="9" t="n">
        <f aca="false">(U111*U96)</f>
        <v>0</v>
      </c>
      <c r="V113" s="9" t="n">
        <f aca="false">(V111*V96)</f>
        <v>0</v>
      </c>
      <c r="W113" s="9" t="n">
        <f aca="false">(W111*W96)</f>
        <v>0</v>
      </c>
      <c r="X113" s="9" t="n">
        <f aca="false">(X111*X96)</f>
        <v>0</v>
      </c>
      <c r="Y113" s="9" t="n">
        <f aca="false">(Y111*Y96)</f>
        <v>0</v>
      </c>
      <c r="Z113" s="9" t="n">
        <f aca="false">(Z111*Z96)</f>
        <v>0</v>
      </c>
      <c r="AA113" s="9" t="n">
        <f aca="false">(AA111*AA96)</f>
        <v>0</v>
      </c>
      <c r="AB113" s="9" t="n">
        <f aca="false">(AB111*AB96)</f>
        <v>0</v>
      </c>
      <c r="AC113" s="9" t="n">
        <f aca="false">(AC111*AC96)</f>
        <v>0</v>
      </c>
      <c r="AD113" s="9" t="n">
        <f aca="false">(AD111*AD96)</f>
        <v>148400</v>
      </c>
      <c r="AE113" s="9" t="n">
        <f aca="false">(AE111*AE96)</f>
        <v>0</v>
      </c>
      <c r="AF113" s="9" t="n">
        <f aca="false">(AF111*AF96)</f>
        <v>0</v>
      </c>
      <c r="AG113" s="9" t="n">
        <f aca="false">(AG111*AG96)</f>
        <v>0</v>
      </c>
      <c r="AH113" s="9" t="n">
        <f aca="false">(AH111*AH96)</f>
        <v>0</v>
      </c>
      <c r="AI113" s="9" t="n">
        <f aca="false">(AI111*AI96)</f>
        <v>0</v>
      </c>
      <c r="AJ113" s="9" t="n">
        <f aca="false">(AJ111*AJ96)</f>
        <v>296800</v>
      </c>
      <c r="AK113" s="9" t="n">
        <f aca="false">(AK111*AK96)</f>
        <v>0</v>
      </c>
      <c r="AL113" s="9" t="n">
        <f aca="false">(AL111*AL96)</f>
        <v>0</v>
      </c>
      <c r="AN113" s="11" t="n">
        <f aca="false">SUM(C113:N113)</f>
        <v>0</v>
      </c>
      <c r="AO113" s="11" t="n">
        <f aca="false">SUM(O113:Z113)</f>
        <v>0</v>
      </c>
      <c r="AP113" s="11" t="n">
        <f aca="false">SUM(AA113:AL113)</f>
        <v>445200</v>
      </c>
    </row>
    <row r="114" customFormat="false" ht="15" hidden="false" customHeight="false" outlineLevel="0" collapsed="false">
      <c r="A114" s="0" t="s">
        <v>920</v>
      </c>
      <c r="B114" s="0" t="s">
        <v>285</v>
      </c>
      <c r="C114" s="9" t="n">
        <f aca="false">((C93*Assumptions!$E$124)+(C96*(Assumptions!$E$124+(Assumptions!$C$34*Assumptions!$C$36))))</f>
        <v>0</v>
      </c>
      <c r="D114" s="9" t="n">
        <f aca="false">((D93*Assumptions!$E$124)+(D96*(Assumptions!$E$124+(Assumptions!$C$34*Assumptions!$C$36))))</f>
        <v>0</v>
      </c>
      <c r="E114" s="9" t="n">
        <f aca="false">((E93*Assumptions!$E$124)+(E96*(Assumptions!$E$124+(Assumptions!$C$34*Assumptions!$C$36))))</f>
        <v>0</v>
      </c>
      <c r="F114" s="9" t="n">
        <f aca="false">((F93*Assumptions!$E$124)+(F96*(Assumptions!$E$124+(Assumptions!$C$34*Assumptions!$C$36))))</f>
        <v>0</v>
      </c>
      <c r="G114" s="9" t="n">
        <f aca="false">((G93*Assumptions!$E$124)+(G96*(Assumptions!$E$124+(Assumptions!$C$34*Assumptions!$C$36))))</f>
        <v>0</v>
      </c>
      <c r="H114" s="9" t="n">
        <f aca="false">((H93*Assumptions!$E$124)+(H96*(Assumptions!$E$124+(Assumptions!$C$34*Assumptions!$C$36))))</f>
        <v>0</v>
      </c>
      <c r="I114" s="9" t="n">
        <f aca="false">((I93*Assumptions!$E$124)+(I96*(Assumptions!$E$124+(Assumptions!$C$34*Assumptions!$C$36))))</f>
        <v>0</v>
      </c>
      <c r="J114" s="9" t="n">
        <f aca="false">((J93*Assumptions!$E$124)+(J96*(Assumptions!$E$124+(Assumptions!$C$34*Assumptions!$C$36))))</f>
        <v>0</v>
      </c>
      <c r="K114" s="9" t="n">
        <f aca="false">((K93*Assumptions!$E$124)+(K96*(Assumptions!$E$124+(Assumptions!$C$34*Assumptions!$C$36))))</f>
        <v>0</v>
      </c>
      <c r="L114" s="9" t="n">
        <f aca="false">((L93*Assumptions!$E$124)+(L96*(Assumptions!$E$124+(Assumptions!$C$34*Assumptions!$C$36))))</f>
        <v>0</v>
      </c>
      <c r="M114" s="9" t="n">
        <f aca="false">((M93*Assumptions!$E$124)+(M96*(Assumptions!$E$124+(Assumptions!$C$34*Assumptions!$C$36))))</f>
        <v>0</v>
      </c>
      <c r="N114" s="9" t="n">
        <f aca="false">((N93*Assumptions!$E$124)+(N96*(Assumptions!$E$124+(Assumptions!$C$34*Assumptions!$C$36))))</f>
        <v>0</v>
      </c>
      <c r="O114" s="9" t="n">
        <f aca="false">((O93*Assumptions!$E$124)+(O96*(Assumptions!$E$124+(Assumptions!$C$34*Assumptions!$C$36))))</f>
        <v>0</v>
      </c>
      <c r="P114" s="9" t="n">
        <f aca="false">((P93*Assumptions!$E$124)+(P96*(Assumptions!$E$124+(Assumptions!$C$34*Assumptions!$C$36))))</f>
        <v>0</v>
      </c>
      <c r="Q114" s="9" t="n">
        <f aca="false">((Q93*Assumptions!$E$124)+(Q96*(Assumptions!$E$124+(Assumptions!$C$34*Assumptions!$C$36))))</f>
        <v>0</v>
      </c>
      <c r="R114" s="9" t="n">
        <f aca="false">((R93*Assumptions!$E$124)+(R96*(Assumptions!$E$124+(Assumptions!$C$34*Assumptions!$C$36))))</f>
        <v>0</v>
      </c>
      <c r="S114" s="9" t="n">
        <f aca="false">((S93*Assumptions!$E$124)+(S96*(Assumptions!$E$124+(Assumptions!$C$34*Assumptions!$C$36))))</f>
        <v>0</v>
      </c>
      <c r="T114" s="9" t="n">
        <f aca="false">((T93*Assumptions!$E$124)+(T96*(Assumptions!$E$124+(Assumptions!$C$34*Assumptions!$C$36))))</f>
        <v>0</v>
      </c>
      <c r="U114" s="9" t="n">
        <f aca="false">((U93*Assumptions!$E$124)+(U96*(Assumptions!$E$124+(Assumptions!$C$34*Assumptions!$C$36))))</f>
        <v>0</v>
      </c>
      <c r="V114" s="9" t="n">
        <f aca="false">((V93*Assumptions!$E$124)+(V96*(Assumptions!$E$124+(Assumptions!$C$34*Assumptions!$C$36))))</f>
        <v>0</v>
      </c>
      <c r="W114" s="9" t="n">
        <f aca="false">((W93*Assumptions!$E$124)+(W96*(Assumptions!$E$124+(Assumptions!$C$34*Assumptions!$C$36))))</f>
        <v>0</v>
      </c>
      <c r="X114" s="9" t="n">
        <f aca="false">((X93*Assumptions!$E$124)+(X96*(Assumptions!$E$124+(Assumptions!$C$34*Assumptions!$C$36))))</f>
        <v>0</v>
      </c>
      <c r="Y114" s="9" t="n">
        <f aca="false">((Y93*Assumptions!$E$124)+(Y96*(Assumptions!$E$124+(Assumptions!$C$34*Assumptions!$C$36))))</f>
        <v>0</v>
      </c>
      <c r="Z114" s="9" t="n">
        <f aca="false">((Z93*Assumptions!$E$124)+(Z96*(Assumptions!$E$124+(Assumptions!$C$34*Assumptions!$C$36))))</f>
        <v>0</v>
      </c>
      <c r="AA114" s="9" t="n">
        <f aca="false">((AA93*Assumptions!$E$124)+(AA96*(Assumptions!$E$124+(Assumptions!$C$34*Assumptions!$C$36))))</f>
        <v>0</v>
      </c>
      <c r="AB114" s="9" t="n">
        <f aca="false">((AB93*Assumptions!$E$124)+(AB96*(Assumptions!$E$124+(Assumptions!$C$34*Assumptions!$C$36))))</f>
        <v>0</v>
      </c>
      <c r="AC114" s="9" t="n">
        <f aca="false">((AC93*Assumptions!$E$124)+(AC96*(Assumptions!$E$124+(Assumptions!$C$34*Assumptions!$C$36))))</f>
        <v>0</v>
      </c>
      <c r="AD114" s="9" t="n">
        <f aca="false">((AD93*Assumptions!$E$124)+(AD96*(Assumptions!$E$124+(Assumptions!$C$34*Assumptions!$C$36))))</f>
        <v>1181.6</v>
      </c>
      <c r="AE114" s="9" t="n">
        <f aca="false">((AE93*Assumptions!$E$124)+(AE96*(Assumptions!$E$124+(Assumptions!$C$34*Assumptions!$C$36))))</f>
        <v>0</v>
      </c>
      <c r="AF114" s="9" t="n">
        <f aca="false">((AF93*Assumptions!$E$124)+(AF96*(Assumptions!$E$124+(Assumptions!$C$34*Assumptions!$C$36))))</f>
        <v>0</v>
      </c>
      <c r="AG114" s="9" t="n">
        <f aca="false">((AG93*Assumptions!$E$124)+(AG96*(Assumptions!$E$124+(Assumptions!$C$34*Assumptions!$C$36))))</f>
        <v>0</v>
      </c>
      <c r="AH114" s="9" t="n">
        <f aca="false">((AH93*Assumptions!$E$124)+(AH96*(Assumptions!$E$124+(Assumptions!$C$34*Assumptions!$C$36))))</f>
        <v>0</v>
      </c>
      <c r="AI114" s="9" t="n">
        <f aca="false">((AI93*Assumptions!$E$124)+(AI96*(Assumptions!$E$124+(Assumptions!$C$34*Assumptions!$C$36))))</f>
        <v>0</v>
      </c>
      <c r="AJ114" s="9" t="n">
        <f aca="false">((AJ93*Assumptions!$E$124)+(AJ96*(Assumptions!$E$124+(Assumptions!$C$34*Assumptions!$C$36))))</f>
        <v>2363.2</v>
      </c>
      <c r="AK114" s="9" t="n">
        <f aca="false">((AK93*Assumptions!$E$124)+(AK96*(Assumptions!$E$124+(Assumptions!$C$34*Assumptions!$C$36))))</f>
        <v>0</v>
      </c>
      <c r="AL114" s="9" t="n">
        <f aca="false">((AL93*Assumptions!$E$124)+(AL96*(Assumptions!$E$124+(Assumptions!$C$34*Assumptions!$C$36))))</f>
        <v>0</v>
      </c>
      <c r="AN114" s="11" t="n">
        <f aca="false">SUM(C114:N114)</f>
        <v>0</v>
      </c>
      <c r="AO114" s="11" t="n">
        <f aca="false">SUM(O114:Z114)</f>
        <v>0</v>
      </c>
      <c r="AP114" s="11" t="n">
        <f aca="false">SUM(AA114:AL114)</f>
        <v>3544.8</v>
      </c>
    </row>
    <row r="115" customFormat="false" ht="15" hidden="false" customHeight="false" outlineLevel="0" collapsed="false">
      <c r="A115" s="21" t="s">
        <v>921</v>
      </c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</row>
    <row r="116" customFormat="false" ht="15" hidden="false" customHeight="false" outlineLevel="0" collapsed="false">
      <c r="A116" s="0" t="s">
        <v>922</v>
      </c>
      <c r="B116" s="0" t="s">
        <v>852</v>
      </c>
      <c r="C116" s="14" t="n">
        <f aca="false">((C48+C71)+C94)</f>
        <v>0</v>
      </c>
      <c r="D116" s="14" t="n">
        <f aca="false">((D48+D71)+D94)</f>
        <v>0</v>
      </c>
      <c r="E116" s="14" t="n">
        <f aca="false">((E48+E71)+E94)</f>
        <v>0</v>
      </c>
      <c r="F116" s="14" t="n">
        <f aca="false">((F48+F71)+F94)</f>
        <v>0</v>
      </c>
      <c r="G116" s="14" t="n">
        <f aca="false">((G48+G71)+G94)</f>
        <v>1</v>
      </c>
      <c r="H116" s="14" t="n">
        <f aca="false">((H48+H71)+H94)</f>
        <v>0</v>
      </c>
      <c r="I116" s="14" t="n">
        <f aca="false">((I48+I71)+I94)</f>
        <v>0</v>
      </c>
      <c r="J116" s="14" t="n">
        <f aca="false">((J48+J71)+J94)</f>
        <v>1</v>
      </c>
      <c r="K116" s="14" t="n">
        <f aca="false">((K48+K71)+K94)</f>
        <v>0</v>
      </c>
      <c r="L116" s="14" t="n">
        <f aca="false">((L48+L71)+L94)</f>
        <v>0</v>
      </c>
      <c r="M116" s="14" t="n">
        <f aca="false">((M48+M71)+M94)</f>
        <v>1.4</v>
      </c>
      <c r="N116" s="14" t="n">
        <f aca="false">((N48+N71)+N94)</f>
        <v>0</v>
      </c>
      <c r="O116" s="14" t="n">
        <f aca="false">((O48+O71)+O94)</f>
        <v>0</v>
      </c>
      <c r="P116" s="14" t="n">
        <f aca="false">((P48+P71)+P94)</f>
        <v>2.8</v>
      </c>
      <c r="Q116" s="14" t="n">
        <f aca="false">((Q48+Q71)+Q94)</f>
        <v>0</v>
      </c>
      <c r="R116" s="14" t="n">
        <f aca="false">((R48+R71)+R94)</f>
        <v>0</v>
      </c>
      <c r="S116" s="14" t="n">
        <f aca="false">((S48+S71)+S94)</f>
        <v>4.2</v>
      </c>
      <c r="T116" s="14" t="n">
        <f aca="false">((T48+T71)+T94)</f>
        <v>0</v>
      </c>
      <c r="U116" s="14" t="n">
        <f aca="false">((U48+U71)+U94)</f>
        <v>0</v>
      </c>
      <c r="V116" s="14" t="n">
        <f aca="false">((V48+V71)+V94)</f>
        <v>4.2</v>
      </c>
      <c r="W116" s="14" t="n">
        <f aca="false">((W48+W71)+W94)</f>
        <v>0</v>
      </c>
      <c r="X116" s="14" t="n">
        <f aca="false">((X48+X71)+X94)</f>
        <v>0</v>
      </c>
      <c r="Y116" s="14" t="n">
        <f aca="false">((Y48+Y71)+Y94)</f>
        <v>5.6</v>
      </c>
      <c r="Z116" s="14" t="n">
        <f aca="false">((Z48+Z71)+Z94)</f>
        <v>0</v>
      </c>
      <c r="AA116" s="14" t="n">
        <f aca="false">((AA48+AA71)+AA94)</f>
        <v>0</v>
      </c>
      <c r="AB116" s="14" t="n">
        <f aca="false">((AB48+AB71)+AB94)</f>
        <v>7</v>
      </c>
      <c r="AC116" s="14" t="n">
        <f aca="false">((AC48+AC71)+AC94)</f>
        <v>0</v>
      </c>
      <c r="AD116" s="14" t="n">
        <f aca="false">((AD48+AD71)+AD94)</f>
        <v>1.4</v>
      </c>
      <c r="AE116" s="14" t="n">
        <f aca="false">((AE48+AE71)+AE94)</f>
        <v>7</v>
      </c>
      <c r="AF116" s="14" t="n">
        <f aca="false">((AF48+AF71)+AF94)</f>
        <v>0</v>
      </c>
      <c r="AG116" s="14" t="n">
        <f aca="false">((AG48+AG71)+AG94)</f>
        <v>0</v>
      </c>
      <c r="AH116" s="14" t="n">
        <f aca="false">((AH48+AH71)+AH94)</f>
        <v>8.4</v>
      </c>
      <c r="AI116" s="14" t="n">
        <f aca="false">((AI48+AI71)+AI94)</f>
        <v>0</v>
      </c>
      <c r="AJ116" s="14" t="n">
        <f aca="false">((AJ48+AJ71)+AJ94)</f>
        <v>1.4</v>
      </c>
      <c r="AK116" s="14" t="n">
        <f aca="false">((AK48+AK71)+AK94)</f>
        <v>8.4</v>
      </c>
      <c r="AL116" s="14" t="n">
        <f aca="false">((AL48+AL71)+AL94)</f>
        <v>0</v>
      </c>
      <c r="AN116" s="36" t="n">
        <f aca="false">SUM(C116:N116)</f>
        <v>3.4</v>
      </c>
      <c r="AO116" s="36" t="n">
        <f aca="false">SUM(O116:Z116)</f>
        <v>16.8</v>
      </c>
      <c r="AP116" s="36" t="n">
        <f aca="false">SUM(AA116:AL116)</f>
        <v>33.6</v>
      </c>
    </row>
    <row r="117" customFormat="false" ht="15" hidden="false" customHeight="false" outlineLevel="0" collapsed="false">
      <c r="A117" s="0" t="s">
        <v>923</v>
      </c>
      <c r="B117" s="0" t="s">
        <v>852</v>
      </c>
      <c r="C117" s="14" t="n">
        <f aca="false">((C46+C69)+C92)</f>
        <v>0</v>
      </c>
      <c r="D117" s="14" t="n">
        <f aca="false">((D46+D69)+D92)</f>
        <v>0</v>
      </c>
      <c r="E117" s="14" t="n">
        <f aca="false">((E46+E69)+E92)</f>
        <v>0</v>
      </c>
      <c r="F117" s="14" t="n">
        <f aca="false">((F46+F69)+F92)</f>
        <v>0</v>
      </c>
      <c r="G117" s="14" t="n">
        <f aca="false">((G46+G69)+G92)</f>
        <v>0</v>
      </c>
      <c r="H117" s="14" t="n">
        <f aca="false">((H46+H69)+H92)</f>
        <v>0</v>
      </c>
      <c r="I117" s="14" t="n">
        <f aca="false">((I46+I69)+I92)</f>
        <v>0</v>
      </c>
      <c r="J117" s="14" t="n">
        <f aca="false">((J46+J69)+J92)</f>
        <v>0</v>
      </c>
      <c r="K117" s="14" t="n">
        <f aca="false">((K46+K69)+K92)</f>
        <v>0</v>
      </c>
      <c r="L117" s="14" t="n">
        <f aca="false">((L46+L69)+L92)</f>
        <v>0</v>
      </c>
      <c r="M117" s="14" t="n">
        <f aca="false">((M46+M69)+M92)</f>
        <v>1.4</v>
      </c>
      <c r="N117" s="14" t="n">
        <f aca="false">((N46+N69)+N92)</f>
        <v>0</v>
      </c>
      <c r="O117" s="14" t="n">
        <f aca="false">((O46+O69)+O92)</f>
        <v>0</v>
      </c>
      <c r="P117" s="14" t="n">
        <f aca="false">((P46+P69)+P92)</f>
        <v>2.8</v>
      </c>
      <c r="Q117" s="14" t="n">
        <f aca="false">((Q46+Q69)+Q92)</f>
        <v>0</v>
      </c>
      <c r="R117" s="14" t="n">
        <f aca="false">((R46+R69)+R92)</f>
        <v>0</v>
      </c>
      <c r="S117" s="14" t="n">
        <f aca="false">((S46+S69)+S92)</f>
        <v>4.2</v>
      </c>
      <c r="T117" s="14" t="n">
        <f aca="false">((T46+T69)+T92)</f>
        <v>0</v>
      </c>
      <c r="U117" s="14" t="n">
        <f aca="false">((U46+U69)+U92)</f>
        <v>0</v>
      </c>
      <c r="V117" s="14" t="n">
        <f aca="false">((V46+V69)+V92)</f>
        <v>4.2</v>
      </c>
      <c r="W117" s="14" t="n">
        <f aca="false">((W46+W69)+W92)</f>
        <v>0</v>
      </c>
      <c r="X117" s="14" t="n">
        <f aca="false">((X46+X69)+X92)</f>
        <v>0</v>
      </c>
      <c r="Y117" s="14" t="n">
        <f aca="false">((Y46+Y69)+Y92)</f>
        <v>5.6</v>
      </c>
      <c r="Z117" s="14" t="n">
        <f aca="false">((Z46+Z69)+Z92)</f>
        <v>0</v>
      </c>
      <c r="AA117" s="14" t="n">
        <f aca="false">((AA46+AA69)+AA92)</f>
        <v>0</v>
      </c>
      <c r="AB117" s="14" t="n">
        <f aca="false">((AB46+AB69)+AB92)</f>
        <v>7</v>
      </c>
      <c r="AC117" s="14" t="n">
        <f aca="false">((AC46+AC69)+AC92)</f>
        <v>0</v>
      </c>
      <c r="AD117" s="14" t="n">
        <f aca="false">((AD46+AD69)+AD92)</f>
        <v>1.4</v>
      </c>
      <c r="AE117" s="14" t="n">
        <f aca="false">((AE46+AE69)+AE92)</f>
        <v>7</v>
      </c>
      <c r="AF117" s="14" t="n">
        <f aca="false">((AF46+AF69)+AF92)</f>
        <v>0</v>
      </c>
      <c r="AG117" s="14" t="n">
        <f aca="false">((AG46+AG69)+AG92)</f>
        <v>0</v>
      </c>
      <c r="AH117" s="14" t="n">
        <f aca="false">((AH46+AH69)+AH92)</f>
        <v>8.4</v>
      </c>
      <c r="AI117" s="14" t="n">
        <f aca="false">((AI46+AI69)+AI92)</f>
        <v>0</v>
      </c>
      <c r="AJ117" s="14" t="n">
        <f aca="false">((AJ46+AJ69)+AJ92)</f>
        <v>1.4</v>
      </c>
      <c r="AK117" s="14" t="n">
        <f aca="false">((AK46+AK69)+AK92)</f>
        <v>8.4</v>
      </c>
      <c r="AL117" s="14" t="n">
        <f aca="false">((AL46+AL69)+AL92)</f>
        <v>0</v>
      </c>
      <c r="AN117" s="36" t="n">
        <f aca="false">SUM(C117:N117)</f>
        <v>1.4</v>
      </c>
      <c r="AO117" s="36" t="n">
        <f aca="false">SUM(O117:Z117)</f>
        <v>16.8</v>
      </c>
      <c r="AP117" s="36" t="n">
        <f aca="false">SUM(AA117:AL117)</f>
        <v>33.6</v>
      </c>
    </row>
    <row r="118" customFormat="false" ht="15" hidden="false" customHeight="false" outlineLevel="0" collapsed="false">
      <c r="A118" s="0" t="s">
        <v>924</v>
      </c>
      <c r="B118" s="0" t="s">
        <v>852</v>
      </c>
      <c r="C118" s="14" t="n">
        <f aca="false">((C47+C70)+C93)</f>
        <v>0</v>
      </c>
      <c r="D118" s="14" t="n">
        <f aca="false">((D47+D70)+D93)</f>
        <v>0</v>
      </c>
      <c r="E118" s="14" t="n">
        <f aca="false">((E47+E70)+E93)</f>
        <v>0</v>
      </c>
      <c r="F118" s="14" t="n">
        <f aca="false">((F47+F70)+F93)</f>
        <v>0</v>
      </c>
      <c r="G118" s="14" t="n">
        <f aca="false">((G47+G70)+G93)</f>
        <v>1</v>
      </c>
      <c r="H118" s="14" t="n">
        <f aca="false">((H47+H70)+H93)</f>
        <v>0</v>
      </c>
      <c r="I118" s="14" t="n">
        <f aca="false">((I47+I70)+I93)</f>
        <v>0</v>
      </c>
      <c r="J118" s="14" t="n">
        <f aca="false">((J47+J70)+J93)</f>
        <v>1</v>
      </c>
      <c r="K118" s="14" t="n">
        <f aca="false">((K47+K70)+K93)</f>
        <v>0</v>
      </c>
      <c r="L118" s="14" t="n">
        <f aca="false">((L47+L70)+L93)</f>
        <v>0</v>
      </c>
      <c r="M118" s="14" t="n">
        <f aca="false">((M47+M70)+M93)</f>
        <v>0</v>
      </c>
      <c r="N118" s="14" t="n">
        <f aca="false">((N47+N70)+N93)</f>
        <v>0</v>
      </c>
      <c r="O118" s="14" t="n">
        <f aca="false">((O47+O70)+O93)</f>
        <v>0</v>
      </c>
      <c r="P118" s="14" t="n">
        <f aca="false">((P47+P70)+P93)</f>
        <v>0</v>
      </c>
      <c r="Q118" s="14" t="n">
        <f aca="false">((Q47+Q70)+Q93)</f>
        <v>0</v>
      </c>
      <c r="R118" s="14" t="n">
        <f aca="false">((R47+R70)+R93)</f>
        <v>0</v>
      </c>
      <c r="S118" s="14" t="n">
        <f aca="false">((S47+S70)+S93)</f>
        <v>0</v>
      </c>
      <c r="T118" s="14" t="n">
        <f aca="false">((T47+T70)+T93)</f>
        <v>0</v>
      </c>
      <c r="U118" s="14" t="n">
        <f aca="false">((U47+U70)+U93)</f>
        <v>0</v>
      </c>
      <c r="V118" s="14" t="n">
        <f aca="false">((V47+V70)+V93)</f>
        <v>0</v>
      </c>
      <c r="W118" s="14" t="n">
        <f aca="false">((W47+W70)+W93)</f>
        <v>0</v>
      </c>
      <c r="X118" s="14" t="n">
        <f aca="false">((X47+X70)+X93)</f>
        <v>0</v>
      </c>
      <c r="Y118" s="14" t="n">
        <f aca="false">((Y47+Y70)+Y93)</f>
        <v>0</v>
      </c>
      <c r="Z118" s="14" t="n">
        <f aca="false">((Z47+Z70)+Z93)</f>
        <v>0</v>
      </c>
      <c r="AA118" s="14" t="n">
        <f aca="false">((AA47+AA70)+AA93)</f>
        <v>0</v>
      </c>
      <c r="AB118" s="14" t="n">
        <f aca="false">((AB47+AB70)+AB93)</f>
        <v>0</v>
      </c>
      <c r="AC118" s="14" t="n">
        <f aca="false">((AC47+AC70)+AC93)</f>
        <v>0</v>
      </c>
      <c r="AD118" s="14" t="n">
        <f aca="false">((AD47+AD70)+AD93)</f>
        <v>0</v>
      </c>
      <c r="AE118" s="14" t="n">
        <f aca="false">((AE47+AE70)+AE93)</f>
        <v>0</v>
      </c>
      <c r="AF118" s="14" t="n">
        <f aca="false">((AF47+AF70)+AF93)</f>
        <v>0</v>
      </c>
      <c r="AG118" s="14" t="n">
        <f aca="false">((AG47+AG70)+AG93)</f>
        <v>0</v>
      </c>
      <c r="AH118" s="14" t="n">
        <f aca="false">((AH47+AH70)+AH93)</f>
        <v>0</v>
      </c>
      <c r="AI118" s="14" t="n">
        <f aca="false">((AI47+AI70)+AI93)</f>
        <v>0</v>
      </c>
      <c r="AJ118" s="14" t="n">
        <f aca="false">((AJ47+AJ70)+AJ93)</f>
        <v>0</v>
      </c>
      <c r="AK118" s="14" t="n">
        <f aca="false">((AK47+AK70)+AK93)</f>
        <v>0</v>
      </c>
      <c r="AL118" s="14" t="n">
        <f aca="false">((AL47+AL70)+AL93)</f>
        <v>0</v>
      </c>
      <c r="AN118" s="36" t="n">
        <f aca="false">SUM(C118:N118)</f>
        <v>2</v>
      </c>
      <c r="AO118" s="36" t="n">
        <f aca="false">SUM(O118:Z118)</f>
        <v>0</v>
      </c>
      <c r="AP118" s="36" t="n">
        <f aca="false">SUM(AA118:AL118)</f>
        <v>0</v>
      </c>
    </row>
    <row r="119" customFormat="false" ht="15" hidden="false" customHeight="false" outlineLevel="0" collapsed="false">
      <c r="A119" s="0" t="s">
        <v>925</v>
      </c>
      <c r="B119" s="0" t="s">
        <v>852</v>
      </c>
      <c r="C119" s="14" t="n">
        <f aca="false">((C49+C72)+C95)</f>
        <v>0</v>
      </c>
      <c r="D119" s="14" t="n">
        <f aca="false">((D49+D72)+D95)</f>
        <v>0</v>
      </c>
      <c r="E119" s="14" t="n">
        <f aca="false">((E49+E72)+E95)</f>
        <v>0</v>
      </c>
      <c r="F119" s="14" t="n">
        <f aca="false">((F49+F72)+F95)</f>
        <v>0</v>
      </c>
      <c r="G119" s="14" t="n">
        <f aca="false">((G49+G72)+G95)</f>
        <v>0</v>
      </c>
      <c r="H119" s="14" t="n">
        <f aca="false">((H49+H72)+H95)</f>
        <v>0</v>
      </c>
      <c r="I119" s="14" t="n">
        <f aca="false">((I49+I72)+I95)</f>
        <v>0</v>
      </c>
      <c r="J119" s="14" t="n">
        <f aca="false">((J49+J72)+J95)</f>
        <v>0</v>
      </c>
      <c r="K119" s="14" t="n">
        <f aca="false">((K49+K72)+K95)</f>
        <v>0</v>
      </c>
      <c r="L119" s="14" t="n">
        <f aca="false">((L49+L72)+L95)</f>
        <v>0</v>
      </c>
      <c r="M119" s="14" t="n">
        <f aca="false">((M49+M72)+M95)</f>
        <v>0</v>
      </c>
      <c r="N119" s="14" t="n">
        <f aca="false">((N49+N72)+N95)</f>
        <v>0</v>
      </c>
      <c r="O119" s="14" t="n">
        <f aca="false">((O49+O72)+O95)</f>
        <v>0</v>
      </c>
      <c r="P119" s="14" t="n">
        <f aca="false">((P49+P72)+P95)</f>
        <v>0</v>
      </c>
      <c r="Q119" s="14" t="n">
        <f aca="false">((Q49+Q72)+Q95)</f>
        <v>0</v>
      </c>
      <c r="R119" s="14" t="n">
        <f aca="false">((R49+R72)+R95)</f>
        <v>0</v>
      </c>
      <c r="S119" s="14" t="n">
        <f aca="false">((S49+S72)+S95)</f>
        <v>0</v>
      </c>
      <c r="T119" s="14" t="n">
        <f aca="false">((T49+T72)+T95)</f>
        <v>0</v>
      </c>
      <c r="U119" s="14" t="n">
        <f aca="false">((U49+U72)+U95)</f>
        <v>0</v>
      </c>
      <c r="V119" s="14" t="n">
        <f aca="false">((V49+V72)+V95)</f>
        <v>0</v>
      </c>
      <c r="W119" s="14" t="n">
        <f aca="false">((W49+W72)+W95)</f>
        <v>1.4</v>
      </c>
      <c r="X119" s="14" t="n">
        <f aca="false">((X49+X72)+X95)</f>
        <v>0</v>
      </c>
      <c r="Y119" s="14" t="n">
        <f aca="false">((Y49+Y72)+Y95)</f>
        <v>0</v>
      </c>
      <c r="Z119" s="14" t="n">
        <f aca="false">((Z49+Z72)+Z95)</f>
        <v>2.8</v>
      </c>
      <c r="AA119" s="14" t="n">
        <f aca="false">((AA49+AA72)+AA95)</f>
        <v>0</v>
      </c>
      <c r="AB119" s="14" t="n">
        <f aca="false">((AB49+AB72)+AB95)</f>
        <v>0</v>
      </c>
      <c r="AC119" s="14" t="n">
        <f aca="false">((AC49+AC72)+AC95)</f>
        <v>4.2</v>
      </c>
      <c r="AD119" s="14" t="n">
        <f aca="false">((AD49+AD72)+AD95)</f>
        <v>0</v>
      </c>
      <c r="AE119" s="14" t="n">
        <f aca="false">((AE49+AE72)+AE95)</f>
        <v>0</v>
      </c>
      <c r="AF119" s="14" t="n">
        <f aca="false">((AF49+AF72)+AF95)</f>
        <v>4.2</v>
      </c>
      <c r="AG119" s="14" t="n">
        <f aca="false">((AG49+AG72)+AG95)</f>
        <v>0</v>
      </c>
      <c r="AH119" s="14" t="n">
        <f aca="false">((AH49+AH72)+AH95)</f>
        <v>0</v>
      </c>
      <c r="AI119" s="14" t="n">
        <f aca="false">((AI49+AI72)+AI95)</f>
        <v>7</v>
      </c>
      <c r="AJ119" s="14" t="n">
        <f aca="false">((AJ49+AJ72)+AJ95)</f>
        <v>1.4</v>
      </c>
      <c r="AK119" s="14" t="n">
        <f aca="false">((AK49+AK72)+AK95)</f>
        <v>0</v>
      </c>
      <c r="AL119" s="14" t="n">
        <f aca="false">((AL49+AL72)+AL95)</f>
        <v>7</v>
      </c>
      <c r="AN119" s="36" t="n">
        <f aca="false">SUM(C119:N119)</f>
        <v>0</v>
      </c>
      <c r="AO119" s="36" t="n">
        <f aca="false">SUM(O119:Z119)</f>
        <v>4.2</v>
      </c>
      <c r="AP119" s="36" t="n">
        <f aca="false">SUM(AA119:AL119)</f>
        <v>23.8</v>
      </c>
    </row>
    <row r="120" customFormat="false" ht="15" hidden="false" customHeight="false" outlineLevel="0" collapsed="false">
      <c r="A120" s="0" t="s">
        <v>926</v>
      </c>
      <c r="B120" s="0" t="s">
        <v>852</v>
      </c>
      <c r="C120" s="14" t="n">
        <f aca="false">((C50+C73)+C96)</f>
        <v>0</v>
      </c>
      <c r="D120" s="14" t="n">
        <f aca="false">((D50+D73)+D96)</f>
        <v>0</v>
      </c>
      <c r="E120" s="14" t="n">
        <f aca="false">((E50+E73)+E96)</f>
        <v>0</v>
      </c>
      <c r="F120" s="14" t="n">
        <f aca="false">((F50+F73)+F96)</f>
        <v>0</v>
      </c>
      <c r="G120" s="14" t="n">
        <f aca="false">((G50+G73)+G96)</f>
        <v>0</v>
      </c>
      <c r="H120" s="14" t="n">
        <f aca="false">((H50+H73)+H96)</f>
        <v>0</v>
      </c>
      <c r="I120" s="14" t="n">
        <f aca="false">((I50+I73)+I96)</f>
        <v>0</v>
      </c>
      <c r="J120" s="14" t="n">
        <f aca="false">((J50+J73)+J96)</f>
        <v>0</v>
      </c>
      <c r="K120" s="14" t="n">
        <f aca="false">((K50+K73)+K96)</f>
        <v>0</v>
      </c>
      <c r="L120" s="14" t="n">
        <f aca="false">((L50+L73)+L96)</f>
        <v>0</v>
      </c>
      <c r="M120" s="14" t="n">
        <f aca="false">((M50+M73)+M96)</f>
        <v>1.4</v>
      </c>
      <c r="N120" s="14" t="n">
        <f aca="false">((N50+N73)+N96)</f>
        <v>0</v>
      </c>
      <c r="O120" s="14" t="n">
        <f aca="false">((O50+O73)+O96)</f>
        <v>0</v>
      </c>
      <c r="P120" s="14" t="n">
        <f aca="false">((P50+P73)+P96)</f>
        <v>2.8</v>
      </c>
      <c r="Q120" s="14" t="n">
        <f aca="false">((Q50+Q73)+Q96)</f>
        <v>0</v>
      </c>
      <c r="R120" s="14" t="n">
        <f aca="false">((R50+R73)+R96)</f>
        <v>0</v>
      </c>
      <c r="S120" s="14" t="n">
        <f aca="false">((S50+S73)+S96)</f>
        <v>4.2</v>
      </c>
      <c r="T120" s="14" t="n">
        <f aca="false">((T50+T73)+T96)</f>
        <v>0</v>
      </c>
      <c r="U120" s="14" t="n">
        <f aca="false">((U50+U73)+U96)</f>
        <v>0</v>
      </c>
      <c r="V120" s="14" t="n">
        <f aca="false">((V50+V73)+V96)</f>
        <v>4.2</v>
      </c>
      <c r="W120" s="14" t="n">
        <f aca="false">((W50+W73)+W96)</f>
        <v>1.4</v>
      </c>
      <c r="X120" s="14" t="n">
        <f aca="false">((X50+X73)+X96)</f>
        <v>0</v>
      </c>
      <c r="Y120" s="14" t="n">
        <f aca="false">((Y50+Y73)+Y96)</f>
        <v>5.6</v>
      </c>
      <c r="Z120" s="14" t="n">
        <f aca="false">((Z50+Z73)+Z96)</f>
        <v>2.8</v>
      </c>
      <c r="AA120" s="14" t="n">
        <f aca="false">((AA50+AA73)+AA96)</f>
        <v>0</v>
      </c>
      <c r="AB120" s="14" t="n">
        <f aca="false">((AB50+AB73)+AB96)</f>
        <v>7</v>
      </c>
      <c r="AC120" s="14" t="n">
        <f aca="false">((AC50+AC73)+AC96)</f>
        <v>4.2</v>
      </c>
      <c r="AD120" s="14" t="n">
        <f aca="false">((AD50+AD73)+AD96)</f>
        <v>1.4</v>
      </c>
      <c r="AE120" s="14" t="n">
        <f aca="false">((AE50+AE73)+AE96)</f>
        <v>7</v>
      </c>
      <c r="AF120" s="14" t="n">
        <f aca="false">((AF50+AF73)+AF96)</f>
        <v>4.2</v>
      </c>
      <c r="AG120" s="14" t="n">
        <f aca="false">((AG50+AG73)+AG96)</f>
        <v>0</v>
      </c>
      <c r="AH120" s="14" t="n">
        <f aca="false">((AH50+AH73)+AH96)</f>
        <v>8.4</v>
      </c>
      <c r="AI120" s="14" t="n">
        <f aca="false">((AI50+AI73)+AI96)</f>
        <v>7</v>
      </c>
      <c r="AJ120" s="14" t="n">
        <f aca="false">((AJ50+AJ73)+AJ96)</f>
        <v>2.8</v>
      </c>
      <c r="AK120" s="14" t="n">
        <f aca="false">((AK50+AK73)+AK96)</f>
        <v>8.4</v>
      </c>
      <c r="AL120" s="14" t="n">
        <f aca="false">((AL50+AL73)+AL96)</f>
        <v>7</v>
      </c>
      <c r="AN120" s="36" t="n">
        <f aca="false">SUM(C120:N120)</f>
        <v>1.4</v>
      </c>
      <c r="AO120" s="36" t="n">
        <f aca="false">SUM(O120:Z120)</f>
        <v>21</v>
      </c>
      <c r="AP120" s="36" t="n">
        <f aca="false">SUM(AA120:AL120)</f>
        <v>57.4</v>
      </c>
    </row>
    <row r="121" customFormat="false" ht="15" hidden="false" customHeight="false" outlineLevel="0" collapsed="false">
      <c r="A121" s="0" t="s">
        <v>927</v>
      </c>
      <c r="B121" s="0" t="s">
        <v>852</v>
      </c>
      <c r="C121" s="14" t="n">
        <f aca="false">((C55+C78)+C101)</f>
        <v>0</v>
      </c>
      <c r="D121" s="14" t="n">
        <f aca="false">((D55+D78)+D101)</f>
        <v>0</v>
      </c>
      <c r="E121" s="14" t="n">
        <f aca="false">((E55+E78)+E101)</f>
        <v>0</v>
      </c>
      <c r="F121" s="14" t="n">
        <f aca="false">((F55+F78)+F101)</f>
        <v>0</v>
      </c>
      <c r="G121" s="14" t="n">
        <f aca="false">((G55+G78)+G101)</f>
        <v>0</v>
      </c>
      <c r="H121" s="14" t="n">
        <f aca="false">((H55+H78)+H101)</f>
        <v>0</v>
      </c>
      <c r="I121" s="14" t="n">
        <f aca="false">((I55+I78)+I101)</f>
        <v>0</v>
      </c>
      <c r="J121" s="14" t="n">
        <f aca="false">((J55+J78)+J101)</f>
        <v>0</v>
      </c>
      <c r="K121" s="14" t="n">
        <f aca="false">((K55+K78)+K101)</f>
        <v>0</v>
      </c>
      <c r="L121" s="14" t="n">
        <f aca="false">((L55+L78)+L101)</f>
        <v>0</v>
      </c>
      <c r="M121" s="14" t="n">
        <f aca="false">((M55+M78)+M101)</f>
        <v>0</v>
      </c>
      <c r="N121" s="14" t="n">
        <f aca="false">((N55+N78)+N101)</f>
        <v>0.66</v>
      </c>
      <c r="O121" s="14" t="n">
        <f aca="false">((O55+O78)+O101)</f>
        <v>0</v>
      </c>
      <c r="P121" s="14" t="n">
        <f aca="false">((P55+P78)+P101)</f>
        <v>0</v>
      </c>
      <c r="Q121" s="14" t="n">
        <f aca="false">((Q55+Q78)+Q101)</f>
        <v>0.66</v>
      </c>
      <c r="R121" s="14" t="n">
        <f aca="false">((R55+R78)+R101)</f>
        <v>0</v>
      </c>
      <c r="S121" s="14" t="n">
        <f aca="false">((S55+S78)+S101)</f>
        <v>0</v>
      </c>
      <c r="T121" s="14" t="n">
        <f aca="false">((T55+T78)+T101)</f>
        <v>0.77</v>
      </c>
      <c r="U121" s="14" t="n">
        <f aca="false">((U55+U78)+U101)</f>
        <v>0</v>
      </c>
      <c r="V121" s="14" t="n">
        <f aca="false">((V55+V78)+V101)</f>
        <v>0</v>
      </c>
      <c r="W121" s="14" t="n">
        <f aca="false">((W55+W78)+W101)</f>
        <v>2.863</v>
      </c>
      <c r="X121" s="14" t="n">
        <f aca="false">((X55+X78)+X101)</f>
        <v>0</v>
      </c>
      <c r="Y121" s="14" t="n">
        <f aca="false">((Y55+Y78)+Y101)</f>
        <v>0</v>
      </c>
      <c r="Z121" s="14" t="n">
        <f aca="false">((Z55+Z78)+Z101)</f>
        <v>5.033</v>
      </c>
      <c r="AA121" s="14" t="n">
        <f aca="false">((AA55+AA78)+AA101)</f>
        <v>0</v>
      </c>
      <c r="AB121" s="14" t="n">
        <f aca="false">((AB55+AB78)+AB101)</f>
        <v>0</v>
      </c>
      <c r="AC121" s="14" t="n">
        <f aca="false">((AC55+AC78)+AC101)</f>
        <v>6.433</v>
      </c>
      <c r="AD121" s="14" t="n">
        <f aca="false">((AD55+AD78)+AD101)</f>
        <v>0</v>
      </c>
      <c r="AE121" s="14" t="n">
        <f aca="false">((AE55+AE78)+AE101)</f>
        <v>0</v>
      </c>
      <c r="AF121" s="14" t="n">
        <f aca="false">((AF55+AF78)+AF101)</f>
        <v>7.203</v>
      </c>
      <c r="AG121" s="14" t="n">
        <f aca="false">((AG55+AG78)+AG101)</f>
        <v>0</v>
      </c>
      <c r="AH121" s="14" t="n">
        <f aca="false">((AH55+AH78)+AH101)</f>
        <v>0</v>
      </c>
      <c r="AI121" s="14" t="n">
        <f aca="false">((AI55+AI78)+AI101)</f>
        <v>10.696</v>
      </c>
      <c r="AJ121" s="14" t="n">
        <f aca="false">((AJ55+AJ78)+AJ101)</f>
        <v>1.4</v>
      </c>
      <c r="AK121" s="14" t="n">
        <f aca="false">((AK55+AK78)+AK101)</f>
        <v>0.616</v>
      </c>
      <c r="AL121" s="14" t="n">
        <f aca="false">((AL55+AL78)+AL101)</f>
        <v>10.696</v>
      </c>
      <c r="AN121" s="36" t="n">
        <f aca="false">SUM(C121:N121)</f>
        <v>0.66</v>
      </c>
      <c r="AO121" s="36" t="n">
        <f aca="false">SUM(O121:Z121)</f>
        <v>9.326</v>
      </c>
      <c r="AP121" s="36" t="n">
        <f aca="false">SUM(AA121:AL121)</f>
        <v>37.044</v>
      </c>
    </row>
    <row r="122" customFormat="false" ht="15" hidden="false" customHeight="false" outlineLevel="0" collapsed="false">
      <c r="A122" s="0" t="s">
        <v>928</v>
      </c>
      <c r="B122" s="0" t="s">
        <v>852</v>
      </c>
      <c r="C122" s="13" t="n">
        <f aca="false">((C57+C80)+C103)</f>
        <v>0</v>
      </c>
      <c r="D122" s="13" t="n">
        <f aca="false">((D57+D80)+D103)</f>
        <v>0</v>
      </c>
      <c r="E122" s="13" t="n">
        <f aca="false">((E57+E80)+E103)</f>
        <v>0</v>
      </c>
      <c r="F122" s="13" t="n">
        <f aca="false">((F57+F80)+F103)</f>
        <v>0</v>
      </c>
      <c r="G122" s="13" t="n">
        <f aca="false">((G57+G80)+G103)</f>
        <v>0</v>
      </c>
      <c r="H122" s="13" t="n">
        <f aca="false">((H57+H80)+H103)</f>
        <v>0</v>
      </c>
      <c r="I122" s="13" t="n">
        <f aca="false">((I57+I80)+I103)</f>
        <v>0</v>
      </c>
      <c r="J122" s="13" t="n">
        <f aca="false">((J57+J80)+J103)</f>
        <v>0</v>
      </c>
      <c r="K122" s="13" t="n">
        <f aca="false">((K57+K80)+K103)</f>
        <v>0</v>
      </c>
      <c r="L122" s="13" t="n">
        <f aca="false">((L57+L80)+L103)</f>
        <v>0</v>
      </c>
      <c r="M122" s="13" t="n">
        <f aca="false">((M57+M80)+M103)</f>
        <v>0</v>
      </c>
      <c r="N122" s="13" t="n">
        <f aca="false">((N57+N80)+N103)</f>
        <v>0.66</v>
      </c>
      <c r="O122" s="13" t="n">
        <f aca="false">((O57+O80)+O103)</f>
        <v>0.66</v>
      </c>
      <c r="P122" s="13" t="n">
        <f aca="false">((P57+P80)+P103)</f>
        <v>0.66</v>
      </c>
      <c r="Q122" s="13" t="n">
        <f aca="false">((Q57+Q80)+Q103)</f>
        <v>1.32</v>
      </c>
      <c r="R122" s="13" t="n">
        <f aca="false">((R57+R80)+R103)</f>
        <v>1.32</v>
      </c>
      <c r="S122" s="13" t="n">
        <f aca="false">((S57+S80)+S103)</f>
        <v>1.32</v>
      </c>
      <c r="T122" s="13" t="n">
        <f aca="false">((T57+T80)+T103)</f>
        <v>2.09</v>
      </c>
      <c r="U122" s="13" t="n">
        <f aca="false">((U57+U80)+U103)</f>
        <v>2.09</v>
      </c>
      <c r="V122" s="13" t="n">
        <f aca="false">((V57+V80)+V103)</f>
        <v>2.09</v>
      </c>
      <c r="W122" s="13" t="n">
        <f aca="false">((W57+W80)+W103)</f>
        <v>4.953</v>
      </c>
      <c r="X122" s="13" t="n">
        <f aca="false">((X57+X80)+X103)</f>
        <v>4.953</v>
      </c>
      <c r="Y122" s="13" t="n">
        <f aca="false">((Y57+Y80)+Y103)</f>
        <v>4.953</v>
      </c>
      <c r="Z122" s="13" t="n">
        <f aca="false">((Z57+Z80)+Z103)</f>
        <v>9.91868</v>
      </c>
      <c r="AA122" s="13" t="n">
        <f aca="false">((AA57+AA80)+AA103)</f>
        <v>9.91868</v>
      </c>
      <c r="AB122" s="13" t="n">
        <f aca="false">((AB57+AB80)+AB103)</f>
        <v>9.91868</v>
      </c>
      <c r="AC122" s="13" t="n">
        <f aca="false">((AC57+AC80)+AC103)</f>
        <v>16.28436</v>
      </c>
      <c r="AD122" s="13" t="n">
        <f aca="false">((AD57+AD80)+AD103)</f>
        <v>16.28436</v>
      </c>
      <c r="AE122" s="13" t="n">
        <f aca="false">((AE57+AE80)+AE103)</f>
        <v>16.28436</v>
      </c>
      <c r="AF122" s="13" t="n">
        <f aca="false">((AF57+AF80)+AF103)</f>
        <v>23.40882</v>
      </c>
      <c r="AG122" s="13" t="n">
        <f aca="false">((AG57+AG80)+AG103)</f>
        <v>23.40882</v>
      </c>
      <c r="AH122" s="13" t="n">
        <f aca="false">((AH57+AH80)+AH103)</f>
        <v>23.40882</v>
      </c>
      <c r="AI122" s="13" t="n">
        <f aca="false">((AI57+AI80)+AI103)</f>
        <v>33.812794</v>
      </c>
      <c r="AJ122" s="13" t="n">
        <f aca="false">((AJ57+AJ80)+AJ103)</f>
        <v>35.212794</v>
      </c>
      <c r="AK122" s="13" t="n">
        <f aca="false">((AK57+AK80)+AK103)</f>
        <v>35.828794</v>
      </c>
      <c r="AL122" s="13" t="n">
        <f aca="false">((AL57+AL80)+AL103)</f>
        <v>45.95097464</v>
      </c>
      <c r="AN122" s="37" t="n">
        <f aca="false">N122</f>
        <v>0.66</v>
      </c>
      <c r="AO122" s="37" t="n">
        <f aca="false">Z122</f>
        <v>9.91868</v>
      </c>
      <c r="AP122" s="37" t="n">
        <f aca="false">AL122</f>
        <v>45.95097464</v>
      </c>
    </row>
    <row r="123" customFormat="false" ht="15" hidden="false" customHeight="false" outlineLevel="0" collapsed="false">
      <c r="A123" s="0" t="s">
        <v>929</v>
      </c>
      <c r="B123" s="0" t="s">
        <v>852</v>
      </c>
      <c r="C123" s="13" t="n">
        <f aca="false">((C51+C74)+C97)</f>
        <v>0</v>
      </c>
      <c r="D123" s="13" t="n">
        <f aca="false">((D51+D74)+D97)</f>
        <v>0</v>
      </c>
      <c r="E123" s="13" t="n">
        <f aca="false">((E51+E74)+E97)</f>
        <v>0</v>
      </c>
      <c r="F123" s="13" t="n">
        <f aca="false">((F51+F74)+F97)</f>
        <v>0</v>
      </c>
      <c r="G123" s="13" t="n">
        <f aca="false">((G51+G74)+G97)</f>
        <v>1</v>
      </c>
      <c r="H123" s="13" t="n">
        <f aca="false">((H51+H74)+H97)</f>
        <v>1</v>
      </c>
      <c r="I123" s="13" t="n">
        <f aca="false">((I51+I74)+I97)</f>
        <v>1</v>
      </c>
      <c r="J123" s="13" t="n">
        <f aca="false">((J51+J74)+J97)</f>
        <v>2</v>
      </c>
      <c r="K123" s="13" t="n">
        <f aca="false">((K51+K74)+K97)</f>
        <v>2</v>
      </c>
      <c r="L123" s="13" t="n">
        <f aca="false">((L51+L74)+L97)</f>
        <v>2</v>
      </c>
      <c r="M123" s="13" t="n">
        <f aca="false">((M51+M74)+M97)</f>
        <v>2.4</v>
      </c>
      <c r="N123" s="13" t="n">
        <f aca="false">((N51+N74)+N97)</f>
        <v>2.4</v>
      </c>
      <c r="O123" s="13" t="n">
        <f aca="false">((O51+O74)+O97)</f>
        <v>2.4</v>
      </c>
      <c r="P123" s="13" t="n">
        <f aca="false">((P51+P74)+P97)</f>
        <v>4.2</v>
      </c>
      <c r="Q123" s="13" t="n">
        <f aca="false">((Q51+Q74)+Q97)</f>
        <v>4.2</v>
      </c>
      <c r="R123" s="13" t="n">
        <f aca="false">((R51+R74)+R97)</f>
        <v>4.2</v>
      </c>
      <c r="S123" s="13" t="n">
        <f aca="false">((S51+S74)+S97)</f>
        <v>7</v>
      </c>
      <c r="T123" s="13" t="n">
        <f aca="false">((T51+T74)+T97)</f>
        <v>7</v>
      </c>
      <c r="U123" s="13" t="n">
        <f aca="false">((U51+U74)+U97)</f>
        <v>7</v>
      </c>
      <c r="V123" s="13" t="n">
        <f aca="false">((V51+V74)+V97)</f>
        <v>8.4</v>
      </c>
      <c r="W123" s="13" t="n">
        <f aca="false">((W51+W74)+W97)</f>
        <v>8.4</v>
      </c>
      <c r="X123" s="13" t="n">
        <f aca="false">((X51+X74)+X97)</f>
        <v>8.4</v>
      </c>
      <c r="Y123" s="13" t="n">
        <f aca="false">((Y51+Y74)+Y97)</f>
        <v>9.8</v>
      </c>
      <c r="Z123" s="13" t="n">
        <f aca="false">((Z51+Z74)+Z97)</f>
        <v>9.8</v>
      </c>
      <c r="AA123" s="13" t="n">
        <f aca="false">((AA51+AA74)+AA97)</f>
        <v>9.8</v>
      </c>
      <c r="AB123" s="13" t="n">
        <f aca="false">((AB51+AB74)+AB97)</f>
        <v>12.6</v>
      </c>
      <c r="AC123" s="13" t="n">
        <f aca="false">((AC51+AC74)+AC97)</f>
        <v>12.6</v>
      </c>
      <c r="AD123" s="13" t="n">
        <f aca="false">((AD51+AD74)+AD97)</f>
        <v>14</v>
      </c>
      <c r="AE123" s="13" t="n">
        <f aca="false">((AE51+AE74)+AE97)</f>
        <v>15.4</v>
      </c>
      <c r="AF123" s="13" t="n">
        <f aca="false">((AF51+AF74)+AF97)</f>
        <v>15.4</v>
      </c>
      <c r="AG123" s="13" t="n">
        <f aca="false">((AG51+AG74)+AG97)</f>
        <v>15.4</v>
      </c>
      <c r="AH123" s="13" t="n">
        <f aca="false">((AH51+AH74)+AH97)</f>
        <v>16.8</v>
      </c>
      <c r="AI123" s="13" t="n">
        <f aca="false">((AI51+AI74)+AI97)</f>
        <v>16.8</v>
      </c>
      <c r="AJ123" s="13" t="n">
        <f aca="false">((AJ51+AJ74)+AJ97)</f>
        <v>16.8</v>
      </c>
      <c r="AK123" s="13" t="n">
        <f aca="false">((AK51+AK74)+AK97)</f>
        <v>18.2</v>
      </c>
      <c r="AL123" s="13" t="n">
        <f aca="false">((AL51+AL74)+AL97)</f>
        <v>18.2</v>
      </c>
      <c r="AN123" s="37" t="n">
        <f aca="false">N123</f>
        <v>2.4</v>
      </c>
      <c r="AO123" s="37" t="n">
        <f aca="false">Z123</f>
        <v>9.8</v>
      </c>
      <c r="AP123" s="37" t="n">
        <f aca="false">AL123</f>
        <v>18.2</v>
      </c>
    </row>
    <row r="124" customFormat="false" ht="15" hidden="false" customHeight="false" outlineLevel="0" collapsed="false">
      <c r="A124" s="0" t="s">
        <v>930</v>
      </c>
      <c r="B124" s="0" t="s">
        <v>230</v>
      </c>
      <c r="C124" s="9" t="n">
        <f aca="false">((C61+C84)+C107)</f>
        <v>0</v>
      </c>
      <c r="D124" s="9" t="n">
        <f aca="false">((D61+D84)+D107)</f>
        <v>0</v>
      </c>
      <c r="E124" s="9" t="n">
        <f aca="false">((E61+E84)+E107)</f>
        <v>0</v>
      </c>
      <c r="F124" s="9" t="n">
        <f aca="false">((F61+F84)+F107)</f>
        <v>0</v>
      </c>
      <c r="G124" s="9" t="n">
        <f aca="false">((G61+G84)+G107)</f>
        <v>0</v>
      </c>
      <c r="H124" s="9" t="n">
        <f aca="false">((H61+H84)+H107)</f>
        <v>0</v>
      </c>
      <c r="I124" s="9" t="n">
        <f aca="false">((I61+I84)+I107)</f>
        <v>0</v>
      </c>
      <c r="J124" s="9" t="n">
        <f aca="false">((J61+J84)+J107)</f>
        <v>0</v>
      </c>
      <c r="K124" s="9" t="n">
        <f aca="false">((K61+K84)+K107)</f>
        <v>0</v>
      </c>
      <c r="L124" s="9" t="n">
        <f aca="false">((L61+L84)+L107)</f>
        <v>0</v>
      </c>
      <c r="M124" s="9" t="n">
        <f aca="false">((M61+M84)+M107)</f>
        <v>0</v>
      </c>
      <c r="N124" s="9" t="n">
        <f aca="false">((N61+N84)+N107)</f>
        <v>1452</v>
      </c>
      <c r="O124" s="9" t="n">
        <f aca="false">((O61+O84)+O107)</f>
        <v>1452</v>
      </c>
      <c r="P124" s="9" t="n">
        <f aca="false">((P61+P84)+P107)</f>
        <v>1452</v>
      </c>
      <c r="Q124" s="9" t="n">
        <f aca="false">((Q61+Q84)+Q107)</f>
        <v>5566</v>
      </c>
      <c r="R124" s="9" t="n">
        <f aca="false">((R61+R84)+R107)</f>
        <v>5566</v>
      </c>
      <c r="S124" s="9" t="n">
        <f aca="false">((S61+S84)+S107)</f>
        <v>5566</v>
      </c>
      <c r="T124" s="9" t="n">
        <f aca="false">((T61+T84)+T107)</f>
        <v>6778.75</v>
      </c>
      <c r="U124" s="9" t="n">
        <f aca="false">((U61+U84)+U107)</f>
        <v>6778.75</v>
      </c>
      <c r="V124" s="9" t="n">
        <f aca="false">((V61+V84)+V107)</f>
        <v>6778.75</v>
      </c>
      <c r="W124" s="9" t="n">
        <f aca="false">((W61+W84)+W107)</f>
        <v>14524.95</v>
      </c>
      <c r="X124" s="9" t="n">
        <f aca="false">((X61+X84)+X107)</f>
        <v>14524.95</v>
      </c>
      <c r="Y124" s="9" t="n">
        <f aca="false">((Y61+Y84)+Y107)</f>
        <v>14524.95</v>
      </c>
      <c r="Z124" s="9" t="n">
        <f aca="false">((Z61+Z84)+Z107)</f>
        <v>32192.8522666667</v>
      </c>
      <c r="AA124" s="9" t="n">
        <f aca="false">((AA61+AA84)+AA107)</f>
        <v>32192.8522666667</v>
      </c>
      <c r="AB124" s="9" t="n">
        <f aca="false">((AB61+AB84)+AB107)</f>
        <v>32192.8522666667</v>
      </c>
      <c r="AC124" s="9" t="n">
        <f aca="false">((AC61+AC84)+AC107)</f>
        <v>52908.2781333333</v>
      </c>
      <c r="AD124" s="9" t="n">
        <f aca="false">((AD61+AD84)+AD107)</f>
        <v>52908.2781333333</v>
      </c>
      <c r="AE124" s="9" t="n">
        <f aca="false">((AE61+AE84)+AE107)</f>
        <v>52908.2781333333</v>
      </c>
      <c r="AF124" s="9" t="n">
        <f aca="false">((AF61+AF84)+AF107)</f>
        <v>75347.228</v>
      </c>
      <c r="AG124" s="9" t="n">
        <f aca="false">((AG61+AG84)+AG107)</f>
        <v>75347.228</v>
      </c>
      <c r="AH124" s="9" t="n">
        <f aca="false">((AH61+AH84)+AH107)</f>
        <v>75347.228</v>
      </c>
      <c r="AI124" s="9" t="n">
        <f aca="false">((AI61+AI84)+AI107)</f>
        <v>113822.268193333</v>
      </c>
      <c r="AJ124" s="9" t="n">
        <f aca="false">((AJ61+AJ84)+AJ107)</f>
        <v>136408.93486</v>
      </c>
      <c r="AK124" s="9" t="n">
        <f aca="false">((AK61+AK84)+AK107)</f>
        <v>144807.068193333</v>
      </c>
      <c r="AL124" s="9" t="n">
        <f aca="false">((AL61+AL84)+AL107)</f>
        <v>183618.727969013</v>
      </c>
      <c r="AN124" s="11" t="n">
        <f aca="false">SUM(C124:N124)</f>
        <v>1452</v>
      </c>
      <c r="AO124" s="11" t="n">
        <f aca="false">SUM(O124:Z124)</f>
        <v>115705.952266667</v>
      </c>
      <c r="AP124" s="11" t="n">
        <f aca="false">SUM(AA124:AL124)</f>
        <v>1027809.22214901</v>
      </c>
    </row>
    <row r="125" customFormat="false" ht="15" hidden="false" customHeight="false" outlineLevel="0" collapsed="false">
      <c r="A125" s="0" t="s">
        <v>931</v>
      </c>
      <c r="B125" s="0" t="s">
        <v>230</v>
      </c>
      <c r="C125" s="9" t="n">
        <f aca="false">IF(AND(($C$14=1),(C$18=(Assumptions!$C$106+1))),((Assumptions!$C$114*12)*C124),0)</f>
        <v>0</v>
      </c>
      <c r="D125" s="9" t="n">
        <f aca="false">IF(AND(($C$14=1),(D$18=(Assumptions!$C$106+1))),((Assumptions!$C$114*12)*D124),0)</f>
        <v>0</v>
      </c>
      <c r="E125" s="9" t="n">
        <f aca="false">IF(AND(($C$14=1),(E$18=(Assumptions!$C$106+1))),((Assumptions!$C$114*12)*E124),0)</f>
        <v>0</v>
      </c>
      <c r="F125" s="9" t="n">
        <f aca="false">IF(AND(($C$14=1),(F$18=(Assumptions!$C$106+1))),((Assumptions!$C$114*12)*F124),0)</f>
        <v>0</v>
      </c>
      <c r="G125" s="9" t="n">
        <f aca="false">IF(AND(($C$14=1),(G$18=(Assumptions!$C$106+1))),((Assumptions!$C$114*12)*G124),0)</f>
        <v>0</v>
      </c>
      <c r="H125" s="9" t="n">
        <f aca="false">IF(AND(($C$14=1),(H$18=(Assumptions!$C$106+1))),((Assumptions!$C$114*12)*H124),0)</f>
        <v>0</v>
      </c>
      <c r="I125" s="9" t="n">
        <f aca="false">IF(AND(($C$14=1),(I$18=(Assumptions!$C$106+1))),((Assumptions!$C$114*12)*I124),0)</f>
        <v>0</v>
      </c>
      <c r="J125" s="9" t="n">
        <f aca="false">IF(AND(($C$14=1),(J$18=(Assumptions!$C$106+1))),((Assumptions!$C$114*12)*J124),0)</f>
        <v>0</v>
      </c>
      <c r="K125" s="9" t="n">
        <f aca="false">IF(AND(($C$14=1),(K$18=(Assumptions!$C$106+1))),((Assumptions!$C$114*12)*K124),0)</f>
        <v>0</v>
      </c>
      <c r="L125" s="9" t="n">
        <f aca="false">IF(AND(($C$14=1),(L$18=(Assumptions!$C$106+1))),((Assumptions!$C$114*12)*L124),0)</f>
        <v>0</v>
      </c>
      <c r="M125" s="9" t="n">
        <f aca="false">IF(AND(($C$14=1),(M$18=(Assumptions!$C$106+1))),((Assumptions!$C$114*12)*M124),0)</f>
        <v>0</v>
      </c>
      <c r="N125" s="9" t="n">
        <f aca="false">IF(AND(($C$14=1),(N$18=(Assumptions!$C$106+1))),((Assumptions!$C$114*12)*N124),0)</f>
        <v>0</v>
      </c>
      <c r="O125" s="9" t="n">
        <f aca="false">IF(AND(($C$14=1),(O$18=(Assumptions!$C$106+1))),((Assumptions!$C$114*12)*O124),0)</f>
        <v>0</v>
      </c>
      <c r="P125" s="9" t="n">
        <f aca="false">IF(AND(($C$14=1),(P$18=(Assumptions!$C$106+1))),((Assumptions!$C$114*12)*P124),0)</f>
        <v>0</v>
      </c>
      <c r="Q125" s="9" t="n">
        <f aca="false">IF(AND(($C$14=1),(Q$18=(Assumptions!$C$106+1))),((Assumptions!$C$114*12)*Q124),0)</f>
        <v>0</v>
      </c>
      <c r="R125" s="9" t="n">
        <f aca="false">IF(AND(($C$14=1),(R$18=(Assumptions!$C$106+1))),((Assumptions!$C$114*12)*R124),0)</f>
        <v>0</v>
      </c>
      <c r="S125" s="9" t="n">
        <f aca="false">IF(AND(($C$14=1),(S$18=(Assumptions!$C$106+1))),((Assumptions!$C$114*12)*S124),0)</f>
        <v>0</v>
      </c>
      <c r="T125" s="9" t="n">
        <f aca="false">IF(AND(($C$14=1),(T$18=(Assumptions!$C$106+1))),((Assumptions!$C$114*12)*T124),0)</f>
        <v>0</v>
      </c>
      <c r="U125" s="9" t="n">
        <f aca="false">IF(AND(($C$14=1),(U$18=(Assumptions!$C$106+1))),((Assumptions!$C$114*12)*U124),0)</f>
        <v>0</v>
      </c>
      <c r="V125" s="9" t="n">
        <f aca="false">IF(AND(($C$14=1),(V$18=(Assumptions!$C$106+1))),((Assumptions!$C$114*12)*V124),0)</f>
        <v>0</v>
      </c>
      <c r="W125" s="9" t="n">
        <f aca="false">IF(AND(($C$14=1),(W$18=(Assumptions!$C$106+1))),((Assumptions!$C$114*12)*W124),0)</f>
        <v>0</v>
      </c>
      <c r="X125" s="9" t="n">
        <f aca="false">IF(AND(($C$14=1),(X$18=(Assumptions!$C$106+1))),((Assumptions!$C$114*12)*X124),0)</f>
        <v>0</v>
      </c>
      <c r="Y125" s="9" t="n">
        <f aca="false">IF(AND(($C$14=1),(Y$18=(Assumptions!$C$106+1))),((Assumptions!$C$114*12)*Y124),0)</f>
        <v>0</v>
      </c>
      <c r="Z125" s="9" t="n">
        <f aca="false">IF(AND(($C$14=1),(Z$18=(Assumptions!$C$106+1))),((Assumptions!$C$114*12)*Z124),0)</f>
        <v>0</v>
      </c>
      <c r="AA125" s="9" t="n">
        <f aca="false">IF(AND(($C$14=1),(AA$18=(Assumptions!$C$106+1))),((Assumptions!$C$114*12)*AA124),0)</f>
        <v>0</v>
      </c>
      <c r="AB125" s="9" t="n">
        <f aca="false">IF(AND(($C$14=1),(AB$18=(Assumptions!$C$106+1))),((Assumptions!$C$114*12)*AB124),0)</f>
        <v>0</v>
      </c>
      <c r="AC125" s="9" t="n">
        <f aca="false">IF(AND(($C$14=1),(AC$18=(Assumptions!$C$106+1))),((Assumptions!$C$114*12)*AC124),0)</f>
        <v>0</v>
      </c>
      <c r="AD125" s="9" t="n">
        <f aca="false">IF(AND(($C$14=1),(AD$18=(Assumptions!$C$106+1))),((Assumptions!$C$114*12)*AD124),0)</f>
        <v>0</v>
      </c>
      <c r="AE125" s="9" t="n">
        <f aca="false">IF(AND(($C$14=1),(AE$18=(Assumptions!$C$106+1))),((Assumptions!$C$114*12)*AE124),0)</f>
        <v>0</v>
      </c>
      <c r="AF125" s="9" t="n">
        <f aca="false">IF(AND(($C$14=1),(AF$18=(Assumptions!$C$106+1))),((Assumptions!$C$114*12)*AF124),0)</f>
        <v>0</v>
      </c>
      <c r="AG125" s="9" t="n">
        <f aca="false">IF(AND(($C$14=1),(AG$18=(Assumptions!$C$106+1))),((Assumptions!$C$114*12)*AG124),0)</f>
        <v>0</v>
      </c>
      <c r="AH125" s="9" t="n">
        <f aca="false">IF(AND(($C$14=1),(AH$18=(Assumptions!$C$106+1))),((Assumptions!$C$114*12)*AH124),0)</f>
        <v>0</v>
      </c>
      <c r="AI125" s="9" t="n">
        <f aca="false">IF(AND(($C$14=1),(AI$18=(Assumptions!$C$106+1))),((Assumptions!$C$114*12)*AI124),0)</f>
        <v>0</v>
      </c>
      <c r="AJ125" s="9" t="n">
        <f aca="false">IF(AND(($C$14=1),(AJ$18=(Assumptions!$C$106+1))),((Assumptions!$C$114*12)*AJ124),0)</f>
        <v>0</v>
      </c>
      <c r="AK125" s="9" t="n">
        <f aca="false">IF(AND(($C$14=1),(AK$18=(Assumptions!$C$106+1))),((Assumptions!$C$114*12)*AK124),0)</f>
        <v>0</v>
      </c>
      <c r="AL125" s="9" t="n">
        <f aca="false">IF(AND(($C$14=1),(AL$18=(Assumptions!$C$106+1))),((Assumptions!$C$114*12)*AL124),0)</f>
        <v>0</v>
      </c>
      <c r="AN125" s="11" t="n">
        <f aca="false">SUM(C125:N125)</f>
        <v>0</v>
      </c>
      <c r="AO125" s="11" t="n">
        <f aca="false">SUM(O125:Z125)</f>
        <v>0</v>
      </c>
      <c r="AP125" s="11" t="n">
        <f aca="false">SUM(AA125:AL125)</f>
        <v>0</v>
      </c>
    </row>
    <row r="126" customFormat="false" ht="15" hidden="false" customHeight="false" outlineLevel="0" collapsed="false">
      <c r="A126" s="0" t="s">
        <v>932</v>
      </c>
      <c r="B126" s="0" t="s">
        <v>500</v>
      </c>
      <c r="C126" s="9" t="n">
        <f aca="false">(((Assumptions!$C$125*(C57+(Assumptions!$C$32*C51)))+(Assumptions!$D$125*(C80+(Assumptions!$C$32*C74))))+(Assumptions!$E$125*(C103+(Assumptions!$C$32*C97))))</f>
        <v>0</v>
      </c>
      <c r="D126" s="9" t="n">
        <f aca="false">(((Assumptions!$C$125*(D57+(Assumptions!$C$32*D51)))+(Assumptions!$D$125*(D80+(Assumptions!$C$32*D74))))+(Assumptions!$E$125*(D103+(Assumptions!$C$32*D97))))</f>
        <v>0</v>
      </c>
      <c r="E126" s="9" t="n">
        <f aca="false">(((Assumptions!$C$125*(E57+(Assumptions!$C$32*E51)))+(Assumptions!$D$125*(E80+(Assumptions!$C$32*E74))))+(Assumptions!$E$125*(E103+(Assumptions!$C$32*E97))))</f>
        <v>0</v>
      </c>
      <c r="F126" s="9" t="n">
        <f aca="false">(((Assumptions!$C$125*(F57+(Assumptions!$C$32*F51)))+(Assumptions!$D$125*(F80+(Assumptions!$C$32*F74))))+(Assumptions!$E$125*(F103+(Assumptions!$C$32*F97))))</f>
        <v>0</v>
      </c>
      <c r="G126" s="9" t="n">
        <f aca="false">(((Assumptions!$C$125*(G57+(Assumptions!$C$32*G51)))+(Assumptions!$D$125*(G80+(Assumptions!$C$32*G74))))+(Assumptions!$E$125*(G103+(Assumptions!$C$32*G97))))</f>
        <v>210</v>
      </c>
      <c r="H126" s="9" t="n">
        <f aca="false">(((Assumptions!$C$125*(H57+(Assumptions!$C$32*H51)))+(Assumptions!$D$125*(H80+(Assumptions!$C$32*H74))))+(Assumptions!$E$125*(H103+(Assumptions!$C$32*H97))))</f>
        <v>210</v>
      </c>
      <c r="I126" s="9" t="n">
        <f aca="false">(((Assumptions!$C$125*(I57+(Assumptions!$C$32*I51)))+(Assumptions!$D$125*(I80+(Assumptions!$C$32*I74))))+(Assumptions!$E$125*(I103+(Assumptions!$C$32*I97))))</f>
        <v>210</v>
      </c>
      <c r="J126" s="9" t="n">
        <f aca="false">(((Assumptions!$C$125*(J57+(Assumptions!$C$32*J51)))+(Assumptions!$D$125*(J80+(Assumptions!$C$32*J74))))+(Assumptions!$E$125*(J103+(Assumptions!$C$32*J97))))</f>
        <v>1085</v>
      </c>
      <c r="K126" s="9" t="n">
        <f aca="false">(((Assumptions!$C$125*(K57+(Assumptions!$C$32*K51)))+(Assumptions!$D$125*(K80+(Assumptions!$C$32*K74))))+(Assumptions!$E$125*(K103+(Assumptions!$C$32*K97))))</f>
        <v>1085</v>
      </c>
      <c r="L126" s="9" t="n">
        <f aca="false">(((Assumptions!$C$125*(L57+(Assumptions!$C$32*L51)))+(Assumptions!$D$125*(L80+(Assumptions!$C$32*L74))))+(Assumptions!$E$125*(L103+(Assumptions!$C$32*L97))))</f>
        <v>1085</v>
      </c>
      <c r="M126" s="9" t="n">
        <f aca="false">(((Assumptions!$C$125*(M57+(Assumptions!$C$32*M51)))+(Assumptions!$D$125*(M80+(Assumptions!$C$32*M74))))+(Assumptions!$E$125*(M103+(Assumptions!$C$32*M97))))</f>
        <v>1169</v>
      </c>
      <c r="N126" s="9" t="n">
        <f aca="false">(((Assumptions!$C$125*(N57+(Assumptions!$C$32*N51)))+(Assumptions!$D$125*(N80+(Assumptions!$C$32*N74))))+(Assumptions!$E$125*(N103+(Assumptions!$C$32*N97))))</f>
        <v>1565</v>
      </c>
      <c r="O126" s="9" t="n">
        <f aca="false">(((Assumptions!$C$125*(O57+(Assumptions!$C$32*O51)))+(Assumptions!$D$125*(O80+(Assumptions!$C$32*O74))))+(Assumptions!$E$125*(O103+(Assumptions!$C$32*O97))))</f>
        <v>1565</v>
      </c>
      <c r="P126" s="9" t="n">
        <f aca="false">(((Assumptions!$C$125*(P57+(Assumptions!$C$32*P51)))+(Assumptions!$D$125*(P80+(Assumptions!$C$32*P74))))+(Assumptions!$E$125*(P103+(Assumptions!$C$32*P97))))</f>
        <v>2209</v>
      </c>
      <c r="Q126" s="9" t="n">
        <f aca="false">(((Assumptions!$C$125*(Q57+(Assumptions!$C$32*Q51)))+(Assumptions!$D$125*(Q80+(Assumptions!$C$32*Q74))))+(Assumptions!$E$125*(Q103+(Assumptions!$C$32*Q97))))</f>
        <v>3859</v>
      </c>
      <c r="R126" s="9" t="n">
        <f aca="false">(((Assumptions!$C$125*(R57+(Assumptions!$C$32*R51)))+(Assumptions!$D$125*(R80+(Assumptions!$C$32*R74))))+(Assumptions!$E$125*(R103+(Assumptions!$C$32*R97))))</f>
        <v>3859</v>
      </c>
      <c r="S126" s="9" t="n">
        <f aca="false">(((Assumptions!$C$125*(S57+(Assumptions!$C$32*S51)))+(Assumptions!$D$125*(S80+(Assumptions!$C$32*S74))))+(Assumptions!$E$125*(S103+(Assumptions!$C$32*S97))))</f>
        <v>5378</v>
      </c>
      <c r="T126" s="9" t="n">
        <f aca="false">(((Assumptions!$C$125*(T57+(Assumptions!$C$32*T51)))+(Assumptions!$D$125*(T80+(Assumptions!$C$32*T74))))+(Assumptions!$E$125*(T103+(Assumptions!$C$32*T97))))</f>
        <v>5840</v>
      </c>
      <c r="U126" s="9" t="n">
        <f aca="false">(((Assumptions!$C$125*(U57+(Assumptions!$C$32*U51)))+(Assumptions!$D$125*(U80+(Assumptions!$C$32*U74))))+(Assumptions!$E$125*(U103+(Assumptions!$C$32*U97))))</f>
        <v>5840</v>
      </c>
      <c r="V126" s="9" t="n">
        <f aca="false">(((Assumptions!$C$125*(V57+(Assumptions!$C$32*V51)))+(Assumptions!$D$125*(V80+(Assumptions!$C$32*V74))))+(Assumptions!$E$125*(V103+(Assumptions!$C$32*V97))))</f>
        <v>6134</v>
      </c>
      <c r="W126" s="9" t="n">
        <f aca="false">(((Assumptions!$C$125*(W57+(Assumptions!$C$32*W51)))+(Assumptions!$D$125*(W80+(Assumptions!$C$32*W74))))+(Assumptions!$E$125*(W103+(Assumptions!$C$32*W97))))</f>
        <v>9168.5</v>
      </c>
      <c r="X126" s="9" t="n">
        <f aca="false">(((Assumptions!$C$125*(X57+(Assumptions!$C$32*X51)))+(Assumptions!$D$125*(X80+(Assumptions!$C$32*X74))))+(Assumptions!$E$125*(X103+(Assumptions!$C$32*X97))))</f>
        <v>9168.5</v>
      </c>
      <c r="Y126" s="9" t="n">
        <f aca="false">(((Assumptions!$C$125*(Y57+(Assumptions!$C$32*Y51)))+(Assumptions!$D$125*(Y80+(Assumptions!$C$32*Y74))))+(Assumptions!$E$125*(Y103+(Assumptions!$C$32*Y97))))</f>
        <v>9462.5</v>
      </c>
      <c r="Z126" s="9" t="n">
        <f aca="false">(((Assumptions!$C$125*(Z57+(Assumptions!$C$32*Z51)))+(Assumptions!$D$125*(Z80+(Assumptions!$C$32*Z74))))+(Assumptions!$E$125*(Z103+(Assumptions!$C$32*Z97))))</f>
        <v>16418.608</v>
      </c>
      <c r="AA126" s="9" t="n">
        <f aca="false">(((Assumptions!$C$125*(AA57+(Assumptions!$C$32*AA51)))+(Assumptions!$D$125*(AA80+(Assumptions!$C$32*AA74))))+(Assumptions!$E$125*(AA103+(Assumptions!$C$32*AA97))))</f>
        <v>16418.608</v>
      </c>
      <c r="AB126" s="9" t="n">
        <f aca="false">(((Assumptions!$C$125*(AB57+(Assumptions!$C$32*AB51)))+(Assumptions!$D$125*(AB80+(Assumptions!$C$32*AB74))))+(Assumptions!$E$125*(AB103+(Assumptions!$C$32*AB97))))</f>
        <v>17937.608</v>
      </c>
      <c r="AC126" s="9" t="n">
        <f aca="false">(((Assumptions!$C$125*(AC57+(Assumptions!$C$32*AC51)))+(Assumptions!$D$125*(AC80+(Assumptions!$C$32*AC74))))+(Assumptions!$E$125*(AC103+(Assumptions!$C$32*AC97))))</f>
        <v>25605.808</v>
      </c>
      <c r="AD126" s="9" t="n">
        <f aca="false">(((Assumptions!$C$125*(AD57+(Assumptions!$C$32*AD51)))+(Assumptions!$D$125*(AD80+(Assumptions!$C$32*AD74))))+(Assumptions!$E$125*(AD103+(Assumptions!$C$32*AD97))))</f>
        <v>30015.808</v>
      </c>
      <c r="AE126" s="9" t="n">
        <f aca="false">(((Assumptions!$C$125*(AE57+(Assumptions!$C$32*AE51)))+(Assumptions!$D$125*(AE80+(Assumptions!$C$32*AE74))))+(Assumptions!$E$125*(AE103+(Assumptions!$C$32*AE97))))</f>
        <v>31240.808</v>
      </c>
      <c r="AF126" s="9" t="n">
        <f aca="false">(((Assumptions!$C$125*(AF57+(Assumptions!$C$32*AF51)))+(Assumptions!$D$125*(AF80+(Assumptions!$C$32*AF74))))+(Assumptions!$E$125*(AF103+(Assumptions!$C$32*AF97))))</f>
        <v>39492.184</v>
      </c>
      <c r="AG126" s="9" t="n">
        <f aca="false">(((Assumptions!$C$125*(AG57+(Assumptions!$C$32*AG51)))+(Assumptions!$D$125*(AG80+(Assumptions!$C$32*AG74))))+(Assumptions!$E$125*(AG103+(Assumptions!$C$32*AG97))))</f>
        <v>39492.184</v>
      </c>
      <c r="AH126" s="9" t="n">
        <f aca="false">(((Assumptions!$C$125*(AH57+(Assumptions!$C$32*AH51)))+(Assumptions!$D$125*(AH80+(Assumptions!$C$32*AH74))))+(Assumptions!$E$125*(AH103+(Assumptions!$C$32*AH97))))</f>
        <v>39786.184</v>
      </c>
      <c r="AI126" s="9" t="n">
        <f aca="false">(((Assumptions!$C$125*(AI57+(Assumptions!$C$32*AI51)))+(Assumptions!$D$125*(AI80+(Assumptions!$C$32*AI74))))+(Assumptions!$E$125*(AI103+(Assumptions!$C$32*AI97))))</f>
        <v>53847.665</v>
      </c>
      <c r="AJ126" s="9" t="n">
        <f aca="false">(((Assumptions!$C$125*(AJ57+(Assumptions!$C$32*AJ51)))+(Assumptions!$D$125*(AJ80+(Assumptions!$C$32*AJ74))))+(Assumptions!$E$125*(AJ103+(Assumptions!$C$32*AJ97))))</f>
        <v>66447.665</v>
      </c>
      <c r="AK126" s="9" t="n">
        <f aca="false">(((Assumptions!$C$125*(AK57+(Assumptions!$C$32*AK51)))+(Assumptions!$D$125*(AK80+(Assumptions!$C$32*AK74))))+(Assumptions!$E$125*(AK103+(Assumptions!$C$32*AK97))))</f>
        <v>72285.665</v>
      </c>
      <c r="AL126" s="9" t="n">
        <f aca="false">(((Assumptions!$C$125*(AL57+(Assumptions!$C$32*AL51)))+(Assumptions!$D$125*(AL80+(Assumptions!$C$32*AL74))))+(Assumptions!$E$125*(AL103+(Assumptions!$C$32*AL97))))</f>
        <v>85906.749984</v>
      </c>
      <c r="AN126" s="11" t="n">
        <f aca="false">N126</f>
        <v>1565</v>
      </c>
      <c r="AO126" s="11" t="n">
        <f aca="false">Z126</f>
        <v>16418.608</v>
      </c>
      <c r="AP126" s="11" t="n">
        <f aca="false">AL126</f>
        <v>85906.749984</v>
      </c>
    </row>
    <row r="127" customFormat="false" ht="15" hidden="false" customHeight="false" outlineLevel="0" collapsed="false">
      <c r="A127" s="0" t="s">
        <v>933</v>
      </c>
      <c r="B127" s="0" t="s">
        <v>230</v>
      </c>
      <c r="C127" s="9" t="n">
        <f aca="false">(C124-C125)</f>
        <v>0</v>
      </c>
      <c r="D127" s="9" t="n">
        <f aca="false">(D124-D125)</f>
        <v>0</v>
      </c>
      <c r="E127" s="9" t="n">
        <f aca="false">(E124-E125)</f>
        <v>0</v>
      </c>
      <c r="F127" s="9" t="n">
        <f aca="false">(F124-F125)</f>
        <v>0</v>
      </c>
      <c r="G127" s="9" t="n">
        <f aca="false">(G124-G125)</f>
        <v>0</v>
      </c>
      <c r="H127" s="9" t="n">
        <f aca="false">(H124-H125)</f>
        <v>0</v>
      </c>
      <c r="I127" s="9" t="n">
        <f aca="false">(I124-I125)</f>
        <v>0</v>
      </c>
      <c r="J127" s="9" t="n">
        <f aca="false">(J124-J125)</f>
        <v>0</v>
      </c>
      <c r="K127" s="9" t="n">
        <f aca="false">(K124-K125)</f>
        <v>0</v>
      </c>
      <c r="L127" s="9" t="n">
        <f aca="false">(L124-L125)</f>
        <v>0</v>
      </c>
      <c r="M127" s="9" t="n">
        <f aca="false">(M124-M125)</f>
        <v>0</v>
      </c>
      <c r="N127" s="9" t="n">
        <f aca="false">(N124-N125)</f>
        <v>1452</v>
      </c>
      <c r="O127" s="9" t="n">
        <f aca="false">(O124-O125)</f>
        <v>1452</v>
      </c>
      <c r="P127" s="9" t="n">
        <f aca="false">(P124-P125)</f>
        <v>1452</v>
      </c>
      <c r="Q127" s="9" t="n">
        <f aca="false">(Q124-Q125)</f>
        <v>5566</v>
      </c>
      <c r="R127" s="9" t="n">
        <f aca="false">(R124-R125)</f>
        <v>5566</v>
      </c>
      <c r="S127" s="9" t="n">
        <f aca="false">(S124-S125)</f>
        <v>5566</v>
      </c>
      <c r="T127" s="9" t="n">
        <f aca="false">(T124-T125)</f>
        <v>6778.75</v>
      </c>
      <c r="U127" s="9" t="n">
        <f aca="false">(U124-U125)</f>
        <v>6778.75</v>
      </c>
      <c r="V127" s="9" t="n">
        <f aca="false">(V124-V125)</f>
        <v>6778.75</v>
      </c>
      <c r="W127" s="9" t="n">
        <f aca="false">(W124-W125)</f>
        <v>14524.95</v>
      </c>
      <c r="X127" s="9" t="n">
        <f aca="false">(X124-X125)</f>
        <v>14524.95</v>
      </c>
      <c r="Y127" s="9" t="n">
        <f aca="false">(Y124-Y125)</f>
        <v>14524.95</v>
      </c>
      <c r="Z127" s="9" t="n">
        <f aca="false">(Z124-Z125)</f>
        <v>32192.8522666667</v>
      </c>
      <c r="AA127" s="9" t="n">
        <f aca="false">(AA124-AA125)</f>
        <v>32192.8522666667</v>
      </c>
      <c r="AB127" s="9" t="n">
        <f aca="false">(AB124-AB125)</f>
        <v>32192.8522666667</v>
      </c>
      <c r="AC127" s="9" t="n">
        <f aca="false">(AC124-AC125)</f>
        <v>52908.2781333333</v>
      </c>
      <c r="AD127" s="9" t="n">
        <f aca="false">(AD124-AD125)</f>
        <v>52908.2781333333</v>
      </c>
      <c r="AE127" s="9" t="n">
        <f aca="false">(AE124-AE125)</f>
        <v>52908.2781333333</v>
      </c>
      <c r="AF127" s="9" t="n">
        <f aca="false">(AF124-AF125)</f>
        <v>75347.228</v>
      </c>
      <c r="AG127" s="9" t="n">
        <f aca="false">(AG124-AG125)</f>
        <v>75347.228</v>
      </c>
      <c r="AH127" s="9" t="n">
        <f aca="false">(AH124-AH125)</f>
        <v>75347.228</v>
      </c>
      <c r="AI127" s="9" t="n">
        <f aca="false">(AI124-AI125)</f>
        <v>113822.268193333</v>
      </c>
      <c r="AJ127" s="9" t="n">
        <f aca="false">(AJ124-AJ125)</f>
        <v>136408.93486</v>
      </c>
      <c r="AK127" s="9" t="n">
        <f aca="false">(AK124-AK125)</f>
        <v>144807.068193333</v>
      </c>
      <c r="AL127" s="9" t="n">
        <f aca="false">(AL124-AL125)</f>
        <v>183618.727969013</v>
      </c>
      <c r="AN127" s="11" t="n">
        <f aca="false">SUM(C127:N127)</f>
        <v>1452</v>
      </c>
      <c r="AO127" s="11" t="n">
        <f aca="false">SUM(O127:Z127)</f>
        <v>115705.952266667</v>
      </c>
      <c r="AP127" s="11" t="n">
        <f aca="false">SUM(AA127:AL127)</f>
        <v>1027809.22214901</v>
      </c>
    </row>
    <row r="128" customFormat="false" ht="15" hidden="false" customHeight="false" outlineLevel="0" collapsed="false">
      <c r="A128" s="0" t="s">
        <v>934</v>
      </c>
      <c r="B128" s="0" t="s">
        <v>230</v>
      </c>
      <c r="C128" s="9" t="n">
        <f aca="false">(((C62+C85)+C108)-C125)</f>
        <v>0</v>
      </c>
      <c r="D128" s="9" t="n">
        <f aca="false">(((D62+D85)+D108)-D125)</f>
        <v>0</v>
      </c>
      <c r="E128" s="9" t="n">
        <f aca="false">(((E62+E85)+E108)-E125)</f>
        <v>0</v>
      </c>
      <c r="F128" s="9" t="n">
        <f aca="false">(((F62+F85)+F108)-F125)</f>
        <v>0</v>
      </c>
      <c r="G128" s="9" t="n">
        <f aca="false">(((G62+G85)+G108)-G125)</f>
        <v>0</v>
      </c>
      <c r="H128" s="9" t="n">
        <f aca="false">(((H62+H85)+H108)-H125)</f>
        <v>0</v>
      </c>
      <c r="I128" s="9" t="n">
        <f aca="false">(((I62+I85)+I108)-I125)</f>
        <v>0</v>
      </c>
      <c r="J128" s="9" t="n">
        <f aca="false">(((J62+J85)+J108)-J125)</f>
        <v>0</v>
      </c>
      <c r="K128" s="9" t="n">
        <f aca="false">(((K62+K85)+K108)-K125)</f>
        <v>0</v>
      </c>
      <c r="L128" s="9" t="n">
        <f aca="false">(((L62+L85)+L108)-L125)</f>
        <v>0</v>
      </c>
      <c r="M128" s="9" t="n">
        <f aca="false">(((M62+M85)+M108)-M125)</f>
        <v>0</v>
      </c>
      <c r="N128" s="9" t="n">
        <f aca="false">(((N62+N85)+N108)-N125)</f>
        <v>17424</v>
      </c>
      <c r="O128" s="9" t="n">
        <f aca="false">(((O62+O85)+O108)-O125)</f>
        <v>0</v>
      </c>
      <c r="P128" s="9" t="n">
        <f aca="false">(((P62+P85)+P108)-P125)</f>
        <v>0</v>
      </c>
      <c r="Q128" s="9" t="n">
        <f aca="false">(((Q62+Q85)+Q108)-Q125)</f>
        <v>49368</v>
      </c>
      <c r="R128" s="9" t="n">
        <f aca="false">(((R62+R85)+R108)-R125)</f>
        <v>0</v>
      </c>
      <c r="S128" s="9" t="n">
        <f aca="false">(((S62+S85)+S108)-S125)</f>
        <v>0</v>
      </c>
      <c r="T128" s="9" t="n">
        <f aca="false">(((T62+T85)+T108)-T125)</f>
        <v>14553</v>
      </c>
      <c r="U128" s="9" t="n">
        <f aca="false">(((U62+U85)+U108)-U125)</f>
        <v>0</v>
      </c>
      <c r="V128" s="9" t="n">
        <f aca="false">(((V62+V85)+V108)-V125)</f>
        <v>0</v>
      </c>
      <c r="W128" s="9" t="n">
        <f aca="false">(((W62+W85)+W108)-W125)</f>
        <v>92954.4</v>
      </c>
      <c r="X128" s="9" t="n">
        <f aca="false">(((X62+X85)+X108)-X125)</f>
        <v>0</v>
      </c>
      <c r="Y128" s="9" t="n">
        <f aca="false">(((Y62+Y85)+Y108)-Y125)</f>
        <v>0</v>
      </c>
      <c r="Z128" s="9" t="n">
        <f aca="false">(((Z62+Z85)+Z108)-Z125)</f>
        <v>229438.8272</v>
      </c>
      <c r="AA128" s="9" t="n">
        <f aca="false">(((AA62+AA85)+AA108)-AA125)</f>
        <v>0</v>
      </c>
      <c r="AB128" s="9" t="n">
        <f aca="false">(((AB62+AB85)+AB108)-AB125)</f>
        <v>0</v>
      </c>
      <c r="AC128" s="9" t="n">
        <f aca="false">(((AC62+AC85)+AC108)-AC125)</f>
        <v>297953.1104</v>
      </c>
      <c r="AD128" s="9" t="n">
        <f aca="false">(((AD62+AD85)+AD108)-AD125)</f>
        <v>0</v>
      </c>
      <c r="AE128" s="9" t="n">
        <f aca="false">(((AE62+AE85)+AE108)-AE125)</f>
        <v>0</v>
      </c>
      <c r="AF128" s="9" t="n">
        <f aca="false">(((AF62+AF85)+AF108)-AF125)</f>
        <v>283820.3984</v>
      </c>
      <c r="AG128" s="9" t="n">
        <f aca="false">(((AG62+AG85)+AG108)-AG125)</f>
        <v>0</v>
      </c>
      <c r="AH128" s="9" t="n">
        <f aca="false">(((AH62+AH85)+AH108)-AH125)</f>
        <v>0</v>
      </c>
      <c r="AI128" s="9" t="n">
        <f aca="false">(((AI62+AI85)+AI108)-AI125)</f>
        <v>554654.88232</v>
      </c>
      <c r="AJ128" s="9" t="n">
        <f aca="false">(((AJ62+AJ85)+AJ108)-AJ125)</f>
        <v>271040</v>
      </c>
      <c r="AK128" s="9" t="n">
        <f aca="false">(((AK62+AK85)+AK108)-AK125)</f>
        <v>100777.6</v>
      </c>
      <c r="AL128" s="9" t="n">
        <f aca="false">(((AL62+AL85)+AL108)-AL125)</f>
        <v>695178.74450816</v>
      </c>
      <c r="AN128" s="11" t="n">
        <f aca="false">SUM(C128:N128)</f>
        <v>17424</v>
      </c>
      <c r="AO128" s="11" t="n">
        <f aca="false">SUM(O128:Z128)</f>
        <v>386314.2272</v>
      </c>
      <c r="AP128" s="11" t="n">
        <f aca="false">SUM(AA128:AL128)</f>
        <v>2203424.73562816</v>
      </c>
    </row>
    <row r="129" customFormat="false" ht="15" hidden="false" customHeight="false" outlineLevel="0" collapsed="false">
      <c r="A129" s="0" t="s">
        <v>935</v>
      </c>
      <c r="B129" s="0" t="s">
        <v>230</v>
      </c>
      <c r="C129" s="9" t="n">
        <f aca="false">((C63+C86)+C109)</f>
        <v>0</v>
      </c>
      <c r="D129" s="9" t="n">
        <f aca="false">((D63+D86)+D109)</f>
        <v>0</v>
      </c>
      <c r="E129" s="9" t="n">
        <f aca="false">((E63+E86)+E109)</f>
        <v>0</v>
      </c>
      <c r="F129" s="9" t="n">
        <f aca="false">((F63+F86)+F109)</f>
        <v>0</v>
      </c>
      <c r="G129" s="9" t="n">
        <f aca="false">((G63+G86)+G109)</f>
        <v>0</v>
      </c>
      <c r="H129" s="9" t="n">
        <f aca="false">((H63+H86)+H109)</f>
        <v>0</v>
      </c>
      <c r="I129" s="9" t="n">
        <f aca="false">((I63+I86)+I109)</f>
        <v>0</v>
      </c>
      <c r="J129" s="9" t="n">
        <f aca="false">((J63+J86)+J109)</f>
        <v>0</v>
      </c>
      <c r="K129" s="9" t="n">
        <f aca="false">((K63+K86)+K109)</f>
        <v>0</v>
      </c>
      <c r="L129" s="9" t="n">
        <f aca="false">((L63+L86)+L109)</f>
        <v>0</v>
      </c>
      <c r="M129" s="9" t="n">
        <f aca="false">((M63+M86)+M109)</f>
        <v>3500</v>
      </c>
      <c r="N129" s="9" t="n">
        <f aca="false">((N63+N86)+N109)</f>
        <v>3500</v>
      </c>
      <c r="O129" s="9" t="n">
        <f aca="false">((O63+O86)+O109)</f>
        <v>3500</v>
      </c>
      <c r="P129" s="9" t="n">
        <f aca="false">((P63+P86)+P109)</f>
        <v>14000</v>
      </c>
      <c r="Q129" s="9" t="n">
        <f aca="false">((Q63+Q86)+Q109)</f>
        <v>14000</v>
      </c>
      <c r="R129" s="9" t="n">
        <f aca="false">((R63+R86)+R109)</f>
        <v>14000</v>
      </c>
      <c r="S129" s="9" t="n">
        <f aca="false">((S63+S86)+S109)</f>
        <v>24500</v>
      </c>
      <c r="T129" s="9" t="n">
        <f aca="false">((T63+T86)+T109)</f>
        <v>24500</v>
      </c>
      <c r="U129" s="9" t="n">
        <f aca="false">((U63+U86)+U109)</f>
        <v>24500</v>
      </c>
      <c r="V129" s="9" t="n">
        <f aca="false">((V63+V86)+V109)</f>
        <v>28000</v>
      </c>
      <c r="W129" s="9" t="n">
        <f aca="false">((W63+W86)+W109)</f>
        <v>28000</v>
      </c>
      <c r="X129" s="9" t="n">
        <f aca="false">((X63+X86)+X109)</f>
        <v>28000</v>
      </c>
      <c r="Y129" s="9" t="n">
        <f aca="false">((Y63+Y86)+Y109)</f>
        <v>31500</v>
      </c>
      <c r="Z129" s="9" t="n">
        <f aca="false">((Z63+Z86)+Z109)</f>
        <v>31500</v>
      </c>
      <c r="AA129" s="9" t="n">
        <f aca="false">((AA63+AA86)+AA109)</f>
        <v>31500</v>
      </c>
      <c r="AB129" s="9" t="n">
        <f aca="false">((AB63+AB86)+AB109)</f>
        <v>42000</v>
      </c>
      <c r="AC129" s="9" t="n">
        <f aca="false">((AC63+AC86)+AC109)</f>
        <v>42000</v>
      </c>
      <c r="AD129" s="9" t="n">
        <f aca="false">((AD63+AD86)+AD109)</f>
        <v>56000</v>
      </c>
      <c r="AE129" s="9" t="n">
        <f aca="false">((AE63+AE86)+AE109)</f>
        <v>63000</v>
      </c>
      <c r="AF129" s="9" t="n">
        <f aca="false">((AF63+AF86)+AF109)</f>
        <v>63000</v>
      </c>
      <c r="AG129" s="9" t="n">
        <f aca="false">((AG63+AG86)+AG109)</f>
        <v>63000</v>
      </c>
      <c r="AH129" s="9" t="n">
        <f aca="false">((AH63+AH86)+AH109)</f>
        <v>66500</v>
      </c>
      <c r="AI129" s="9" t="n">
        <f aca="false">((AI63+AI86)+AI109)</f>
        <v>66500</v>
      </c>
      <c r="AJ129" s="9" t="n">
        <f aca="false">((AJ63+AJ86)+AJ109)</f>
        <v>66500</v>
      </c>
      <c r="AK129" s="9" t="n">
        <f aca="false">((AK63+AK86)+AK109)</f>
        <v>70000</v>
      </c>
      <c r="AL129" s="9" t="n">
        <f aca="false">((AL63+AL86)+AL109)</f>
        <v>70000</v>
      </c>
      <c r="AN129" s="11" t="n">
        <f aca="false">SUM(C129:N129)</f>
        <v>7000</v>
      </c>
      <c r="AO129" s="11" t="n">
        <f aca="false">SUM(O129:Z129)</f>
        <v>266000</v>
      </c>
      <c r="AP129" s="11" t="n">
        <f aca="false">SUM(AA129:AL129)</f>
        <v>700000</v>
      </c>
    </row>
    <row r="130" customFormat="false" ht="15" hidden="false" customHeight="false" outlineLevel="0" collapsed="false">
      <c r="A130" s="0" t="s">
        <v>936</v>
      </c>
      <c r="B130" s="0" t="s">
        <v>230</v>
      </c>
      <c r="C130" s="9" t="n">
        <f aca="false">((C64+C87)+C110)</f>
        <v>0</v>
      </c>
      <c r="D130" s="9" t="n">
        <f aca="false">((D64+D87)+D110)</f>
        <v>0</v>
      </c>
      <c r="E130" s="9" t="n">
        <f aca="false">((E64+E87)+E110)</f>
        <v>0</v>
      </c>
      <c r="F130" s="9" t="n">
        <f aca="false">((F64+F87)+F110)</f>
        <v>0</v>
      </c>
      <c r="G130" s="9" t="n">
        <f aca="false">((G64+G87)+G110)</f>
        <v>0</v>
      </c>
      <c r="H130" s="9" t="n">
        <f aca="false">((H64+H87)+H110)</f>
        <v>0</v>
      </c>
      <c r="I130" s="9" t="n">
        <f aca="false">((I64+I87)+I110)</f>
        <v>0</v>
      </c>
      <c r="J130" s="9" t="n">
        <f aca="false">((J64+J87)+J110)</f>
        <v>0</v>
      </c>
      <c r="K130" s="9" t="n">
        <f aca="false">((K64+K87)+K110)</f>
        <v>0</v>
      </c>
      <c r="L130" s="9" t="n">
        <f aca="false">((L64+L87)+L110)</f>
        <v>0</v>
      </c>
      <c r="M130" s="9" t="n">
        <f aca="false">((M64+M87)+M110)</f>
        <v>21000</v>
      </c>
      <c r="N130" s="9" t="n">
        <f aca="false">((N64+N87)+N110)</f>
        <v>0</v>
      </c>
      <c r="O130" s="9" t="n">
        <f aca="false">((O64+O87)+O110)</f>
        <v>0</v>
      </c>
      <c r="P130" s="9" t="n">
        <f aca="false">((P64+P87)+P110)</f>
        <v>63000</v>
      </c>
      <c r="Q130" s="9" t="n">
        <f aca="false">((Q64+Q87)+Q110)</f>
        <v>0</v>
      </c>
      <c r="R130" s="9" t="n">
        <f aca="false">((R64+R87)+R110)</f>
        <v>0</v>
      </c>
      <c r="S130" s="9" t="n">
        <f aca="false">((S64+S87)+S110)</f>
        <v>84000</v>
      </c>
      <c r="T130" s="9" t="n">
        <f aca="false">((T64+T87)+T110)</f>
        <v>0</v>
      </c>
      <c r="U130" s="9" t="n">
        <f aca="false">((U64+U87)+U110)</f>
        <v>0</v>
      </c>
      <c r="V130" s="9" t="n">
        <f aca="false">((V64+V87)+V110)</f>
        <v>84000</v>
      </c>
      <c r="W130" s="9" t="n">
        <f aca="false">((W64+W87)+W110)</f>
        <v>0</v>
      </c>
      <c r="X130" s="9" t="n">
        <f aca="false">((X64+X87)+X110)</f>
        <v>0</v>
      </c>
      <c r="Y130" s="9" t="n">
        <f aca="false">((Y64+Y87)+Y110)</f>
        <v>105000</v>
      </c>
      <c r="Z130" s="9" t="n">
        <f aca="false">((Z64+Z87)+Z110)</f>
        <v>0</v>
      </c>
      <c r="AA130" s="9" t="n">
        <f aca="false">((AA64+AA87)+AA110)</f>
        <v>0</v>
      </c>
      <c r="AB130" s="9" t="n">
        <f aca="false">((AB64+AB87)+AB110)</f>
        <v>147000</v>
      </c>
      <c r="AC130" s="9" t="n">
        <f aca="false">((AC64+AC87)+AC110)</f>
        <v>0</v>
      </c>
      <c r="AD130" s="9" t="n">
        <f aca="false">((AD64+AD87)+AD110)</f>
        <v>84000</v>
      </c>
      <c r="AE130" s="9" t="n">
        <f aca="false">((AE64+AE87)+AE110)</f>
        <v>147000</v>
      </c>
      <c r="AF130" s="9" t="n">
        <f aca="false">((AF64+AF87)+AF110)</f>
        <v>0</v>
      </c>
      <c r="AG130" s="9" t="n">
        <f aca="false">((AG64+AG87)+AG110)</f>
        <v>0</v>
      </c>
      <c r="AH130" s="9" t="n">
        <f aca="false">((AH64+AH87)+AH110)</f>
        <v>168000</v>
      </c>
      <c r="AI130" s="9" t="n">
        <f aca="false">((AI64+AI87)+AI110)</f>
        <v>0</v>
      </c>
      <c r="AJ130" s="9" t="n">
        <f aca="false">((AJ64+AJ87)+AJ110)</f>
        <v>84000</v>
      </c>
      <c r="AK130" s="9" t="n">
        <f aca="false">((AK64+AK87)+AK110)</f>
        <v>168000</v>
      </c>
      <c r="AL130" s="9" t="n">
        <f aca="false">((AL64+AL87)+AL110)</f>
        <v>0</v>
      </c>
      <c r="AN130" s="11" t="n">
        <f aca="false">SUM(C130:N130)</f>
        <v>21000</v>
      </c>
      <c r="AO130" s="11" t="n">
        <f aca="false">SUM(O130:Z130)</f>
        <v>336000</v>
      </c>
      <c r="AP130" s="11" t="n">
        <f aca="false">SUM(AA130:AL130)</f>
        <v>798000</v>
      </c>
    </row>
    <row r="131" customFormat="false" ht="15" hidden="false" customHeight="false" outlineLevel="0" collapsed="false">
      <c r="A131" s="0" t="s">
        <v>937</v>
      </c>
      <c r="B131" s="0" t="s">
        <v>230</v>
      </c>
      <c r="C131" s="9" t="n">
        <f aca="false">((C66+C89)+C112)</f>
        <v>0</v>
      </c>
      <c r="D131" s="9" t="n">
        <f aca="false">((D66+D89)+D112)</f>
        <v>0</v>
      </c>
      <c r="E131" s="9" t="n">
        <f aca="false">((E66+E89)+E112)</f>
        <v>0</v>
      </c>
      <c r="F131" s="9" t="n">
        <f aca="false">((F66+F89)+F112)</f>
        <v>0</v>
      </c>
      <c r="G131" s="9" t="n">
        <f aca="false">((G66+G89)+G112)</f>
        <v>0</v>
      </c>
      <c r="H131" s="9" t="n">
        <f aca="false">((H66+H89)+H112)</f>
        <v>0</v>
      </c>
      <c r="I131" s="9" t="n">
        <f aca="false">((I66+I89)+I112)</f>
        <v>0</v>
      </c>
      <c r="J131" s="9" t="n">
        <f aca="false">((J66+J89)+J112)</f>
        <v>0</v>
      </c>
      <c r="K131" s="9" t="n">
        <f aca="false">((K66+K89)+K112)</f>
        <v>0</v>
      </c>
      <c r="L131" s="9" t="n">
        <f aca="false">((L66+L89)+L112)</f>
        <v>0</v>
      </c>
      <c r="M131" s="9" t="n">
        <f aca="false">((M66+M89)+M112)</f>
        <v>9800</v>
      </c>
      <c r="N131" s="9" t="n">
        <f aca="false">((N66+N89)+N112)</f>
        <v>9800</v>
      </c>
      <c r="O131" s="9" t="n">
        <f aca="false">((O66+O89)+O112)</f>
        <v>9800</v>
      </c>
      <c r="P131" s="9" t="n">
        <f aca="false">((P66+P89)+P112)</f>
        <v>31266.6666666667</v>
      </c>
      <c r="Q131" s="9" t="n">
        <f aca="false">((Q66+Q89)+Q112)</f>
        <v>31266.6666666667</v>
      </c>
      <c r="R131" s="9" t="n">
        <f aca="false">((R66+R89)+R112)</f>
        <v>31266.6666666667</v>
      </c>
      <c r="S131" s="9" t="n">
        <f aca="false">((S66+S89)+S112)</f>
        <v>41066.6666666667</v>
      </c>
      <c r="T131" s="9" t="n">
        <f aca="false">((T66+T89)+T112)</f>
        <v>41066.6666666667</v>
      </c>
      <c r="U131" s="9" t="n">
        <f aca="false">((U66+U89)+U112)</f>
        <v>41066.6666666667</v>
      </c>
      <c r="V131" s="9" t="n">
        <f aca="false">((V66+V89)+V112)</f>
        <v>41066.6666666667</v>
      </c>
      <c r="W131" s="9" t="n">
        <f aca="false">((W66+W89)+W112)</f>
        <v>50866.6666666667</v>
      </c>
      <c r="X131" s="9" t="n">
        <f aca="false">((X66+X89)+X112)</f>
        <v>50866.6666666667</v>
      </c>
      <c r="Y131" s="9" t="n">
        <f aca="false">((Y66+Y89)+Y112)</f>
        <v>60666.6666666667</v>
      </c>
      <c r="Z131" s="9" t="n">
        <f aca="false">((Z66+Z89)+Z112)</f>
        <v>82133.3333333333</v>
      </c>
      <c r="AA131" s="9" t="n">
        <f aca="false">((AA66+AA89)+AA112)</f>
        <v>82133.3333333333</v>
      </c>
      <c r="AB131" s="9" t="n">
        <f aca="false">((AB66+AB89)+AB112)</f>
        <v>103600</v>
      </c>
      <c r="AC131" s="9" t="n">
        <f aca="false">((AC66+AC89)+AC112)</f>
        <v>113400</v>
      </c>
      <c r="AD131" s="9" t="n">
        <f aca="false">((AD66+AD89)+AD112)</f>
        <v>162866.666666667</v>
      </c>
      <c r="AE131" s="9" t="n">
        <f aca="false">((AE66+AE89)+AE112)</f>
        <v>162866.666666667</v>
      </c>
      <c r="AF131" s="9" t="n">
        <f aca="false">((AF66+AF89)+AF112)</f>
        <v>162866.666666667</v>
      </c>
      <c r="AG131" s="9" t="n">
        <f aca="false">((AG66+AG89)+AG112)</f>
        <v>113400</v>
      </c>
      <c r="AH131" s="9" t="n">
        <f aca="false">((AH66+AH89)+AH112)</f>
        <v>123200</v>
      </c>
      <c r="AI131" s="9" t="n">
        <f aca="false">((AI66+AI89)+AI112)</f>
        <v>154466.666666667</v>
      </c>
      <c r="AJ131" s="9" t="n">
        <f aca="false">((AJ66+AJ89)+AJ112)</f>
        <v>253400</v>
      </c>
      <c r="AK131" s="9" t="n">
        <f aca="false">((AK66+AK89)+AK112)</f>
        <v>253400</v>
      </c>
      <c r="AL131" s="9" t="n">
        <f aca="false">((AL66+AL89)+AL112)</f>
        <v>253400</v>
      </c>
      <c r="AN131" s="11" t="n">
        <f aca="false">SUM(C131:N131)</f>
        <v>19600</v>
      </c>
      <c r="AO131" s="11" t="n">
        <f aca="false">SUM(O131:Z131)</f>
        <v>512400</v>
      </c>
      <c r="AP131" s="11" t="n">
        <f aca="false">SUM(AA131:AL131)</f>
        <v>1939000</v>
      </c>
    </row>
    <row r="132" customFormat="false" ht="15" hidden="false" customHeight="false" outlineLevel="0" collapsed="false">
      <c r="A132" s="0" t="s">
        <v>938</v>
      </c>
      <c r="B132" s="0" t="s">
        <v>230</v>
      </c>
      <c r="C132" s="9" t="n">
        <f aca="false">((C67+C90)+C113)</f>
        <v>0</v>
      </c>
      <c r="D132" s="9" t="n">
        <f aca="false">((D67+D90)+D113)</f>
        <v>0</v>
      </c>
      <c r="E132" s="9" t="n">
        <f aca="false">((E67+E90)+E113)</f>
        <v>0</v>
      </c>
      <c r="F132" s="9" t="n">
        <f aca="false">((F67+F90)+F113)</f>
        <v>0</v>
      </c>
      <c r="G132" s="9" t="n">
        <f aca="false">((G67+G90)+G113)</f>
        <v>0</v>
      </c>
      <c r="H132" s="9" t="n">
        <f aca="false">((H67+H90)+H113)</f>
        <v>0</v>
      </c>
      <c r="I132" s="9" t="n">
        <f aca="false">((I67+I90)+I113)</f>
        <v>0</v>
      </c>
      <c r="J132" s="9" t="n">
        <f aca="false">((J67+J90)+J113)</f>
        <v>0</v>
      </c>
      <c r="K132" s="9" t="n">
        <f aca="false">((K67+K90)+K113)</f>
        <v>0</v>
      </c>
      <c r="L132" s="9" t="n">
        <f aca="false">((L67+L90)+L113)</f>
        <v>0</v>
      </c>
      <c r="M132" s="9" t="n">
        <f aca="false">((M67+M90)+M113)</f>
        <v>29400</v>
      </c>
      <c r="N132" s="9" t="n">
        <f aca="false">((N67+N90)+N113)</f>
        <v>0</v>
      </c>
      <c r="O132" s="9" t="n">
        <f aca="false">((O67+O90)+O113)</f>
        <v>0</v>
      </c>
      <c r="P132" s="9" t="n">
        <f aca="false">((P67+P90)+P113)</f>
        <v>93800</v>
      </c>
      <c r="Q132" s="9" t="n">
        <f aca="false">((Q67+Q90)+Q113)</f>
        <v>0</v>
      </c>
      <c r="R132" s="9" t="n">
        <f aca="false">((R67+R90)+R113)</f>
        <v>0</v>
      </c>
      <c r="S132" s="9" t="n">
        <f aca="false">((S67+S90)+S113)</f>
        <v>123200</v>
      </c>
      <c r="T132" s="9" t="n">
        <f aca="false">((T67+T90)+T113)</f>
        <v>0</v>
      </c>
      <c r="U132" s="9" t="n">
        <f aca="false">((U67+U90)+U113)</f>
        <v>0</v>
      </c>
      <c r="V132" s="9" t="n">
        <f aca="false">((V67+V90)+V113)</f>
        <v>123200</v>
      </c>
      <c r="W132" s="9" t="n">
        <f aca="false">((W67+W90)+W113)</f>
        <v>29400</v>
      </c>
      <c r="X132" s="9" t="n">
        <f aca="false">((X67+X90)+X113)</f>
        <v>0</v>
      </c>
      <c r="Y132" s="9" t="n">
        <f aca="false">((Y67+Y90)+Y113)</f>
        <v>152600</v>
      </c>
      <c r="Z132" s="9" t="n">
        <f aca="false">((Z67+Z90)+Z113)</f>
        <v>93800</v>
      </c>
      <c r="AA132" s="9" t="n">
        <f aca="false">((AA67+AA90)+AA113)</f>
        <v>0</v>
      </c>
      <c r="AB132" s="9" t="n">
        <f aca="false">((AB67+AB90)+AB113)</f>
        <v>217000</v>
      </c>
      <c r="AC132" s="9" t="n">
        <f aca="false">((AC67+AC90)+AC113)</f>
        <v>123200</v>
      </c>
      <c r="AD132" s="9" t="n">
        <f aca="false">((AD67+AD90)+AD113)</f>
        <v>148400</v>
      </c>
      <c r="AE132" s="9" t="n">
        <f aca="false">((AE67+AE90)+AE113)</f>
        <v>217000</v>
      </c>
      <c r="AF132" s="9" t="n">
        <f aca="false">((AF67+AF90)+AF113)</f>
        <v>123200</v>
      </c>
      <c r="AG132" s="9" t="n">
        <f aca="false">((AG67+AG90)+AG113)</f>
        <v>0</v>
      </c>
      <c r="AH132" s="9" t="n">
        <f aca="false">((AH67+AH90)+AH113)</f>
        <v>246400</v>
      </c>
      <c r="AI132" s="9" t="n">
        <f aca="false">((AI67+AI90)+AI113)</f>
        <v>217000</v>
      </c>
      <c r="AJ132" s="9" t="n">
        <f aca="false">((AJ67+AJ90)+AJ113)</f>
        <v>296800</v>
      </c>
      <c r="AK132" s="9" t="n">
        <f aca="false">((AK67+AK90)+AK113)</f>
        <v>246400</v>
      </c>
      <c r="AL132" s="9" t="n">
        <f aca="false">((AL67+AL90)+AL113)</f>
        <v>217000</v>
      </c>
      <c r="AN132" s="11" t="n">
        <f aca="false">SUM(C132:N132)</f>
        <v>29400</v>
      </c>
      <c r="AO132" s="11" t="n">
        <f aca="false">SUM(O132:Z132)</f>
        <v>616000</v>
      </c>
      <c r="AP132" s="11" t="n">
        <f aca="false">SUM(AA132:AL132)</f>
        <v>2052400</v>
      </c>
    </row>
    <row r="133" customFormat="false" ht="15" hidden="false" customHeight="false" outlineLevel="0" collapsed="false">
      <c r="A133" s="0" t="s">
        <v>939</v>
      </c>
      <c r="B133" s="0" t="s">
        <v>285</v>
      </c>
      <c r="C133" s="9" t="n">
        <f aca="false">((C68+C91)+C114)</f>
        <v>0</v>
      </c>
      <c r="D133" s="9" t="n">
        <f aca="false">((D68+D91)+D114)</f>
        <v>0</v>
      </c>
      <c r="E133" s="9" t="n">
        <f aca="false">((E68+E91)+E114)</f>
        <v>0</v>
      </c>
      <c r="F133" s="9" t="n">
        <f aca="false">((F68+F91)+F114)</f>
        <v>0</v>
      </c>
      <c r="G133" s="9" t="n">
        <f aca="false">((G68+G91)+G114)</f>
        <v>115</v>
      </c>
      <c r="H133" s="9" t="n">
        <f aca="false">((H68+H91)+H114)</f>
        <v>0</v>
      </c>
      <c r="I133" s="9" t="n">
        <f aca="false">((I68+I91)+I114)</f>
        <v>0</v>
      </c>
      <c r="J133" s="9" t="n">
        <f aca="false">((J68+J91)+J114)</f>
        <v>330</v>
      </c>
      <c r="K133" s="9" t="n">
        <f aca="false">((K68+K91)+K114)</f>
        <v>0</v>
      </c>
      <c r="L133" s="9" t="n">
        <f aca="false">((L68+L91)+L114)</f>
        <v>0</v>
      </c>
      <c r="M133" s="9" t="n">
        <f aca="false">((M68+M91)+M114)</f>
        <v>222.6</v>
      </c>
      <c r="N133" s="9" t="n">
        <f aca="false">((N68+N91)+N114)</f>
        <v>0</v>
      </c>
      <c r="O133" s="9" t="n">
        <f aca="false">((O68+O91)+O114)</f>
        <v>0</v>
      </c>
      <c r="P133" s="9" t="n">
        <f aca="false">((P68+P91)+P114)</f>
        <v>746.2</v>
      </c>
      <c r="Q133" s="9" t="n">
        <f aca="false">((Q68+Q91)+Q114)</f>
        <v>0</v>
      </c>
      <c r="R133" s="9" t="n">
        <f aca="false">((R68+R91)+R114)</f>
        <v>0</v>
      </c>
      <c r="S133" s="9" t="n">
        <f aca="false">((S68+S91)+S114)</f>
        <v>968.8</v>
      </c>
      <c r="T133" s="9" t="n">
        <f aca="false">((T68+T91)+T114)</f>
        <v>0</v>
      </c>
      <c r="U133" s="9" t="n">
        <f aca="false">((U68+U91)+U114)</f>
        <v>0</v>
      </c>
      <c r="V133" s="9" t="n">
        <f aca="false">((V68+V91)+V114)</f>
        <v>968.8</v>
      </c>
      <c r="W133" s="9" t="n">
        <f aca="false">((W68+W91)+W114)</f>
        <v>222.6</v>
      </c>
      <c r="X133" s="9" t="n">
        <f aca="false">((X68+X91)+X114)</f>
        <v>0</v>
      </c>
      <c r="Y133" s="9" t="n">
        <f aca="false">((Y68+Y91)+Y114)</f>
        <v>1191.4</v>
      </c>
      <c r="Z133" s="9" t="n">
        <f aca="false">((Z68+Z91)+Z114)</f>
        <v>746.2</v>
      </c>
      <c r="AA133" s="9" t="n">
        <f aca="false">((AA68+AA91)+AA114)</f>
        <v>0</v>
      </c>
      <c r="AB133" s="9" t="n">
        <f aca="false">((AB68+AB91)+AB114)</f>
        <v>1715</v>
      </c>
      <c r="AC133" s="9" t="n">
        <f aca="false">((AC68+AC91)+AC114)</f>
        <v>968.8</v>
      </c>
      <c r="AD133" s="9" t="n">
        <f aca="false">((AD68+AD91)+AD114)</f>
        <v>1181.6</v>
      </c>
      <c r="AE133" s="9" t="n">
        <f aca="false">((AE68+AE91)+AE114)</f>
        <v>1715</v>
      </c>
      <c r="AF133" s="9" t="n">
        <f aca="false">((AF68+AF91)+AF114)</f>
        <v>968.8</v>
      </c>
      <c r="AG133" s="9" t="n">
        <f aca="false">((AG68+AG91)+AG114)</f>
        <v>0</v>
      </c>
      <c r="AH133" s="9" t="n">
        <f aca="false">((AH68+AH91)+AH114)</f>
        <v>1937.6</v>
      </c>
      <c r="AI133" s="9" t="n">
        <f aca="false">((AI68+AI91)+AI114)</f>
        <v>1715</v>
      </c>
      <c r="AJ133" s="9" t="n">
        <f aca="false">((AJ68+AJ91)+AJ114)</f>
        <v>2363.2</v>
      </c>
      <c r="AK133" s="9" t="n">
        <f aca="false">((AK68+AK91)+AK114)</f>
        <v>1937.6</v>
      </c>
      <c r="AL133" s="9" t="n">
        <f aca="false">((AL68+AL91)+AL114)</f>
        <v>1715</v>
      </c>
      <c r="AN133" s="11" t="n">
        <f aca="false">SUM(C133:N133)</f>
        <v>667.6</v>
      </c>
      <c r="AO133" s="11" t="n">
        <f aca="false">SUM(O133:Z133)</f>
        <v>4844</v>
      </c>
      <c r="AP133" s="11" t="n">
        <f aca="false">SUM(AA133:AL133)</f>
        <v>16217.6</v>
      </c>
    </row>
    <row r="134" customFormat="false" ht="15" hidden="false" customHeight="false" outlineLevel="0" collapsed="false">
      <c r="A134" s="0" t="s">
        <v>940</v>
      </c>
      <c r="B134" s="0" t="s">
        <v>230</v>
      </c>
      <c r="C134" s="9" t="n">
        <f aca="false">((((C130+C132)+(C55*C58))+(C78*C81))+(C101*C104))</f>
        <v>0</v>
      </c>
      <c r="D134" s="9" t="n">
        <f aca="false">((((D130+D132)+(D55*D58))+(D78*D81))+(D101*D104))</f>
        <v>0</v>
      </c>
      <c r="E134" s="9" t="n">
        <f aca="false">((((E130+E132)+(E55*E58))+(E78*E81))+(E101*E104))</f>
        <v>0</v>
      </c>
      <c r="F134" s="9" t="n">
        <f aca="false">((((F130+F132)+(F55*F58))+(F78*F81))+(F101*F104))</f>
        <v>0</v>
      </c>
      <c r="G134" s="9" t="n">
        <f aca="false">((((G130+G132)+(G55*G58))+(G78*G81))+(G101*G104))</f>
        <v>0</v>
      </c>
      <c r="H134" s="9" t="n">
        <f aca="false">((((H130+H132)+(H55*H58))+(H78*H81))+(H101*H104))</f>
        <v>0</v>
      </c>
      <c r="I134" s="9" t="n">
        <f aca="false">((((I130+I132)+(I55*I58))+(I78*I81))+(I101*I104))</f>
        <v>0</v>
      </c>
      <c r="J134" s="9" t="n">
        <f aca="false">((((J130+J132)+(J55*J58))+(J78*J81))+(J101*J104))</f>
        <v>0</v>
      </c>
      <c r="K134" s="9" t="n">
        <f aca="false">((((K130+K132)+(K55*K58))+(K78*K81))+(K101*K104))</f>
        <v>0</v>
      </c>
      <c r="L134" s="9" t="n">
        <f aca="false">((((L130+L132)+(L55*L58))+(L78*L81))+(L101*L104))</f>
        <v>0</v>
      </c>
      <c r="M134" s="9" t="n">
        <f aca="false">((((M130+M132)+(M55*M58))+(M78*M81))+(M101*M104))</f>
        <v>50400</v>
      </c>
      <c r="N134" s="9" t="n">
        <f aca="false">((((N130+N132)+(N55*N58))+(N78*N81))+(N101*N104))</f>
        <v>17424</v>
      </c>
      <c r="O134" s="9" t="n">
        <f aca="false">((((O130+O132)+(O55*O58))+(O78*O81))+(O101*O104))</f>
        <v>0</v>
      </c>
      <c r="P134" s="9" t="n">
        <f aca="false">((((P130+P132)+(P55*P58))+(P78*P81))+(P101*P104))</f>
        <v>156800</v>
      </c>
      <c r="Q134" s="9" t="n">
        <f aca="false">((((Q130+Q132)+(Q55*Q58))+(Q78*Q81))+(Q101*Q104))</f>
        <v>49368</v>
      </c>
      <c r="R134" s="9" t="n">
        <f aca="false">((((R130+R132)+(R55*R58))+(R78*R81))+(R101*R104))</f>
        <v>0</v>
      </c>
      <c r="S134" s="9" t="n">
        <f aca="false">((((S130+S132)+(S55*S58))+(S78*S81))+(S101*S104))</f>
        <v>207200</v>
      </c>
      <c r="T134" s="9" t="n">
        <f aca="false">((((T130+T132)+(T55*T58))+(T78*T81))+(T101*T104))</f>
        <v>20328</v>
      </c>
      <c r="U134" s="9" t="n">
        <f aca="false">((((U130+U132)+(U55*U58))+(U78*U81))+(U101*U104))</f>
        <v>0</v>
      </c>
      <c r="V134" s="9" t="n">
        <f aca="false">((((V130+V132)+(V55*V58))+(V78*V81))+(V101*V104))</f>
        <v>207200</v>
      </c>
      <c r="W134" s="9" t="n">
        <f aca="false">((((W130+W132)+(W55*W58))+(W78*W81))+(W101*W104))</f>
        <v>138524.4</v>
      </c>
      <c r="X134" s="9" t="n">
        <f aca="false">((((X130+X132)+(X55*X58))+(X78*X81))+(X101*X104))</f>
        <v>0</v>
      </c>
      <c r="Y134" s="9" t="n">
        <f aca="false">((((Y130+Y132)+(Y55*Y58))+(Y78*Y81))+(Y101*Y104))</f>
        <v>257600</v>
      </c>
      <c r="Z134" s="9" t="n">
        <f aca="false">((((Z130+Z132)+(Z55*Z58))+(Z78*Z81))+(Z101*Z104))</f>
        <v>327972.4</v>
      </c>
      <c r="AA134" s="9" t="n">
        <f aca="false">((((AA130+AA132)+(AA55*AA58))+(AA78*AA81))+(AA101*AA104))</f>
        <v>0</v>
      </c>
      <c r="AB134" s="9" t="n">
        <f aca="false">((((AB130+AB132)+(AB55*AB58))+(AB78*AB81))+(AB101*AB104))</f>
        <v>364000</v>
      </c>
      <c r="AC134" s="9" t="n">
        <f aca="false">((((AC130+AC132)+(AC55*AC58))+(AC78*AC81))+(AC101*AC104))</f>
        <v>394332.4</v>
      </c>
      <c r="AD134" s="9" t="n">
        <f aca="false">((((AD130+AD132)+(AD55*AD58))+(AD78*AD81))+(AD101*AD104))</f>
        <v>232400</v>
      </c>
      <c r="AE134" s="9" t="n">
        <f aca="false">((((AE130+AE132)+(AE55*AE58))+(AE78*AE81))+(AE101*AE104))</f>
        <v>364000</v>
      </c>
      <c r="AF134" s="9" t="n">
        <f aca="false">((((AF130+AF132)+(AF55*AF58))+(AF78*AF81))+(AF101*AF104))</f>
        <v>414660.4</v>
      </c>
      <c r="AG134" s="9" t="n">
        <f aca="false">((((AG130+AG132)+(AG55*AG58))+(AG78*AG81))+(AG101*AG104))</f>
        <v>0</v>
      </c>
      <c r="AH134" s="9" t="n">
        <f aca="false">((((AH130+AH132)+(AH55*AH58))+(AH78*AH81))+(AH101*AH104))</f>
        <v>414400</v>
      </c>
      <c r="AI134" s="9" t="n">
        <f aca="false">((((AI130+AI132)+(AI55*AI58))+(AI78*AI81))+(AI101*AI104))</f>
        <v>701976.8</v>
      </c>
      <c r="AJ134" s="9" t="n">
        <f aca="false">((((AJ130+AJ132)+(AJ55*AJ58))+(AJ78*AJ81))+(AJ101*AJ104))</f>
        <v>651840</v>
      </c>
      <c r="AK134" s="9" t="n">
        <f aca="false">((((AK130+AK132)+(AK55*AK58))+(AK78*AK81))+(AK101*AK104))</f>
        <v>533657.6</v>
      </c>
      <c r="AL134" s="9" t="n">
        <f aca="false">((((AL130+AL132)+(AL55*AL58))+(AL78*AL81))+(AL101*AL104))</f>
        <v>701976.8</v>
      </c>
      <c r="AN134" s="11" t="n">
        <f aca="false">SUM(C134:N134)</f>
        <v>67824</v>
      </c>
      <c r="AO134" s="11" t="n">
        <f aca="false">SUM(O134:Z134)</f>
        <v>1364992.8</v>
      </c>
      <c r="AP134" s="11" t="n">
        <f aca="false">SUM(AA134:AL134)</f>
        <v>4773244</v>
      </c>
    </row>
    <row r="135" customFormat="false" ht="15" hidden="false" customHeight="false" outlineLevel="0" collapsed="false">
      <c r="A135" s="21" t="s">
        <v>941</v>
      </c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</row>
    <row r="136" customFormat="false" ht="15" hidden="false" customHeight="false" outlineLevel="0" collapsed="false">
      <c r="A136" s="0" t="s">
        <v>942</v>
      </c>
      <c r="B136" s="0" t="s">
        <v>230</v>
      </c>
      <c r="C136" s="9" t="n">
        <f aca="false">IF((C$18&gt;=Assumptions!$C$41),(((Assumptions!$C$42*$C$10)/12)*(((C57*Assumptions!$C$128)+(C80*Assumptions!$D$128))+(C103*Assumptions!$E$128))),0)</f>
        <v>0</v>
      </c>
      <c r="D136" s="9" t="n">
        <f aca="false">IF((D$18&gt;=Assumptions!$C$41),(((Assumptions!$C$42*$C$10)/12)*(((D57*Assumptions!$C$128)+(D80*Assumptions!$D$128))+(D103*Assumptions!$E$128))),0)</f>
        <v>0</v>
      </c>
      <c r="E136" s="9" t="n">
        <f aca="false">IF((E$18&gt;=Assumptions!$C$41),(((Assumptions!$C$42*$C$10)/12)*(((E57*Assumptions!$C$128)+(E80*Assumptions!$D$128))+(E103*Assumptions!$E$128))),0)</f>
        <v>0</v>
      </c>
      <c r="F136" s="9" t="n">
        <f aca="false">IF((F$18&gt;=Assumptions!$C$41),(((Assumptions!$C$42*$C$10)/12)*(((F57*Assumptions!$C$128)+(F80*Assumptions!$D$128))+(F103*Assumptions!$E$128))),0)</f>
        <v>0</v>
      </c>
      <c r="G136" s="9" t="n">
        <f aca="false">IF((G$18&gt;=Assumptions!$C$41),(((Assumptions!$C$42*$C$10)/12)*(((G57*Assumptions!$C$128)+(G80*Assumptions!$D$128))+(G103*Assumptions!$E$128))),0)</f>
        <v>0</v>
      </c>
      <c r="H136" s="9" t="n">
        <f aca="false">IF((H$18&gt;=Assumptions!$C$41),(((Assumptions!$C$42*$C$10)/12)*(((H57*Assumptions!$C$128)+(H80*Assumptions!$D$128))+(H103*Assumptions!$E$128))),0)</f>
        <v>0</v>
      </c>
      <c r="I136" s="9" t="n">
        <f aca="false">IF((I$18&gt;=Assumptions!$C$41),(((Assumptions!$C$42*$C$10)/12)*(((I57*Assumptions!$C$128)+(I80*Assumptions!$D$128))+(I103*Assumptions!$E$128))),0)</f>
        <v>0</v>
      </c>
      <c r="J136" s="9" t="n">
        <f aca="false">IF((J$18&gt;=Assumptions!$C$41),(((Assumptions!$C$42*$C$10)/12)*(((J57*Assumptions!$C$128)+(J80*Assumptions!$D$128))+(J103*Assumptions!$E$128))),0)</f>
        <v>0</v>
      </c>
      <c r="K136" s="9" t="n">
        <f aca="false">IF((K$18&gt;=Assumptions!$C$41),(((Assumptions!$C$42*$C$10)/12)*(((K57*Assumptions!$C$128)+(K80*Assumptions!$D$128))+(K103*Assumptions!$E$128))),0)</f>
        <v>0</v>
      </c>
      <c r="L136" s="9" t="n">
        <f aca="false">IF((L$18&gt;=Assumptions!$C$41),(((Assumptions!$C$42*$C$10)/12)*(((L57*Assumptions!$C$128)+(L80*Assumptions!$D$128))+(L103*Assumptions!$E$128))),0)</f>
        <v>0</v>
      </c>
      <c r="M136" s="9" t="n">
        <f aca="false">IF((M$18&gt;=Assumptions!$C$41),(((Assumptions!$C$42*$C$10)/12)*(((M57*Assumptions!$C$128)+(M80*Assumptions!$D$128))+(M103*Assumptions!$E$128))),0)</f>
        <v>0</v>
      </c>
      <c r="N136" s="9" t="n">
        <f aca="false">IF((N$18&gt;=Assumptions!$C$41),(((Assumptions!$C$42*$C$10)/12)*(((N57*Assumptions!$C$128)+(N80*Assumptions!$D$128))+(N103*Assumptions!$E$128))),0)</f>
        <v>0</v>
      </c>
      <c r="O136" s="9" t="n">
        <f aca="false">IF((O$18&gt;=Assumptions!$C$41),(((Assumptions!$C$42*$C$10)/12)*(((O57*Assumptions!$C$128)+(O80*Assumptions!$D$128))+(O103*Assumptions!$E$128))),0)</f>
        <v>0</v>
      </c>
      <c r="P136" s="9" t="n">
        <f aca="false">IF((P$18&gt;=Assumptions!$C$41),(((Assumptions!$C$42*$C$10)/12)*(((P57*Assumptions!$C$128)+(P80*Assumptions!$D$128))+(P103*Assumptions!$E$128))),0)</f>
        <v>0</v>
      </c>
      <c r="Q136" s="9" t="n">
        <f aca="false">IF((Q$18&gt;=Assumptions!$C$41),(((Assumptions!$C$42*$C$10)/12)*(((Q57*Assumptions!$C$128)+(Q80*Assumptions!$D$128))+(Q103*Assumptions!$E$128))),0)</f>
        <v>0</v>
      </c>
      <c r="R136" s="9" t="n">
        <f aca="false">IF((R$18&gt;=Assumptions!$C$41),(((Assumptions!$C$42*$C$10)/12)*(((R57*Assumptions!$C$128)+(R80*Assumptions!$D$128))+(R103*Assumptions!$E$128))),0)</f>
        <v>0</v>
      </c>
      <c r="S136" s="9" t="n">
        <f aca="false">IF((S$18&gt;=Assumptions!$C$41),(((Assumptions!$C$42*$C$10)/12)*(((S57*Assumptions!$C$128)+(S80*Assumptions!$D$128))+(S103*Assumptions!$E$128))),0)</f>
        <v>0</v>
      </c>
      <c r="T136" s="9" t="n">
        <f aca="false">IF((T$18&gt;=Assumptions!$C$41),(((Assumptions!$C$42*$C$10)/12)*(((T57*Assumptions!$C$128)+(T80*Assumptions!$D$128))+(T103*Assumptions!$E$128))),0)</f>
        <v>0</v>
      </c>
      <c r="U136" s="9" t="n">
        <f aca="false">IF((U$18&gt;=Assumptions!$C$41),(((Assumptions!$C$42*$C$10)/12)*(((U57*Assumptions!$C$128)+(U80*Assumptions!$D$128))+(U103*Assumptions!$E$128))),0)</f>
        <v>0</v>
      </c>
      <c r="V136" s="9" t="n">
        <f aca="false">IF((V$18&gt;=Assumptions!$C$41),(((Assumptions!$C$42*$C$10)/12)*(((V57*Assumptions!$C$128)+(V80*Assumptions!$D$128))+(V103*Assumptions!$E$128))),0)</f>
        <v>682</v>
      </c>
      <c r="W136" s="9" t="n">
        <f aca="false">IF((W$18&gt;=Assumptions!$C$41),(((Assumptions!$C$42*$C$10)/12)*(((W57*Assumptions!$C$128)+(W80*Assumptions!$D$128))+(W103*Assumptions!$E$128))),0)</f>
        <v>1531.8</v>
      </c>
      <c r="X136" s="9" t="n">
        <f aca="false">IF((X$18&gt;=Assumptions!$C$41),(((Assumptions!$C$42*$C$10)/12)*(((X57*Assumptions!$C$128)+(X80*Assumptions!$D$128))+(X103*Assumptions!$E$128))),0)</f>
        <v>1531.8</v>
      </c>
      <c r="Y136" s="9" t="n">
        <f aca="false">IF((Y$18&gt;=Assumptions!$C$41),(((Assumptions!$C$42*$C$10)/12)*(((Y57*Assumptions!$C$128)+(Y80*Assumptions!$D$128))+(Y103*Assumptions!$E$128))),0)</f>
        <v>1531.8</v>
      </c>
      <c r="Z136" s="9" t="n">
        <f aca="false">IF((Z$18&gt;=Assumptions!$C$41),(((Assumptions!$C$42*$C$10)/12)*(((Z57*Assumptions!$C$128)+(Z80*Assumptions!$D$128))+(Z103*Assumptions!$E$128))),0)</f>
        <v>3362.136</v>
      </c>
      <c r="AA136" s="9" t="n">
        <f aca="false">IF((AA$18&gt;=Assumptions!$C$41),(((Assumptions!$C$42*$C$10)/12)*(((AA57*Assumptions!$C$128)+(AA80*Assumptions!$D$128))+(AA103*Assumptions!$E$128))),0)</f>
        <v>3362.136</v>
      </c>
      <c r="AB136" s="9" t="n">
        <f aca="false">IF((AB$18&gt;=Assumptions!$C$41),(((Assumptions!$C$42*$C$10)/12)*(((AB57*Assumptions!$C$128)+(AB80*Assumptions!$D$128))+(AB103*Assumptions!$E$128))),0)</f>
        <v>3362.136</v>
      </c>
      <c r="AC136" s="9" t="n">
        <f aca="false">IF((AC$18&gt;=Assumptions!$C$41),(((Assumptions!$C$42*$C$10)/12)*(((AC57*Assumptions!$C$128)+(AC80*Assumptions!$D$128))+(AC103*Assumptions!$E$128))),0)</f>
        <v>5445.544</v>
      </c>
      <c r="AD136" s="9" t="n">
        <f aca="false">IF((AD$18&gt;=Assumptions!$C$41),(((Assumptions!$C$42*$C$10)/12)*(((AD57*Assumptions!$C$128)+(AD80*Assumptions!$D$128))+(AD103*Assumptions!$E$128))),0)</f>
        <v>5445.544</v>
      </c>
      <c r="AE136" s="9" t="n">
        <f aca="false">IF((AE$18&gt;=Assumptions!$C$41),(((Assumptions!$C$42*$C$10)/12)*(((AE57*Assumptions!$C$128)+(AE80*Assumptions!$D$128))+(AE103*Assumptions!$E$128))),0)</f>
        <v>5445.544</v>
      </c>
      <c r="AF136" s="9" t="n">
        <f aca="false">IF((AF$18&gt;=Assumptions!$C$41),(((Assumptions!$C$42*$C$10)/12)*(((AF57*Assumptions!$C$128)+(AF80*Assumptions!$D$128))+(AF103*Assumptions!$E$128))),0)</f>
        <v>7707.636</v>
      </c>
      <c r="AG136" s="9" t="n">
        <f aca="false">IF((AG$18&gt;=Assumptions!$C$41),(((Assumptions!$C$42*$C$10)/12)*(((AG57*Assumptions!$C$128)+(AG80*Assumptions!$D$128))+(AG103*Assumptions!$E$128))),0)</f>
        <v>7707.636</v>
      </c>
      <c r="AH136" s="9" t="n">
        <f aca="false">IF((AH$18&gt;=Assumptions!$C$41),(((Assumptions!$C$42*$C$10)/12)*(((AH57*Assumptions!$C$128)+(AH80*Assumptions!$D$128))+(AH103*Assumptions!$E$128))),0)</f>
        <v>7707.636</v>
      </c>
      <c r="AI136" s="9" t="n">
        <f aca="false">IF((AI$18&gt;=Assumptions!$C$41),(((Assumptions!$C$42*$C$10)/12)*(((AI57*Assumptions!$C$128)+(AI80*Assumptions!$D$128))+(AI103*Assumptions!$E$128))),0)</f>
        <v>11434.5564</v>
      </c>
      <c r="AJ136" s="9" t="n">
        <f aca="false">IF((AJ$18&gt;=Assumptions!$C$41),(((Assumptions!$C$42*$C$10)/12)*(((AJ57*Assumptions!$C$128)+(AJ80*Assumptions!$D$128))+(AJ103*Assumptions!$E$128))),0)</f>
        <v>13534.5564</v>
      </c>
      <c r="AK136" s="9" t="n">
        <f aca="false">IF((AK$18&gt;=Assumptions!$C$41),(((Assumptions!$C$42*$C$10)/12)*(((AK57*Assumptions!$C$128)+(AK80*Assumptions!$D$128))+(AK103*Assumptions!$E$128))),0)</f>
        <v>14458.5564</v>
      </c>
      <c r="AL136" s="9" t="n">
        <f aca="false">IF((AL$18&gt;=Assumptions!$C$41),(((Assumptions!$C$42*$C$10)/12)*(((AL57*Assumptions!$C$128)+(AL80*Assumptions!$D$128))+(AL103*Assumptions!$E$128))),0)</f>
        <v>18071.998128</v>
      </c>
      <c r="AN136" s="11" t="n">
        <f aca="false">SUM(C136:N136)</f>
        <v>0</v>
      </c>
      <c r="AO136" s="11" t="n">
        <f aca="false">SUM(O136:Z136)</f>
        <v>8639.536</v>
      </c>
      <c r="AP136" s="11" t="n">
        <f aca="false">SUM(AA136:AL136)</f>
        <v>103683.479328</v>
      </c>
    </row>
    <row r="137" customFormat="false" ht="15" hidden="false" customHeight="false" outlineLevel="0" collapsed="false">
      <c r="A137" s="0" t="s">
        <v>943</v>
      </c>
      <c r="B137" s="0" t="s">
        <v>230</v>
      </c>
      <c r="C137" s="9" t="n">
        <f aca="false">IF((C$18&gt;=Assumptions!$C$43),(((Assumptions!$C$44*$C$10)/12)*((C80*12000)+(C103*25000))),0)</f>
        <v>0</v>
      </c>
      <c r="D137" s="9" t="n">
        <f aca="false">IF((D$18&gt;=Assumptions!$C$43),(((Assumptions!$C$44*$C$10)/12)*((D80*12000)+(D103*25000))),0)</f>
        <v>0</v>
      </c>
      <c r="E137" s="9" t="n">
        <f aca="false">IF((E$18&gt;=Assumptions!$C$43),(((Assumptions!$C$44*$C$10)/12)*((E80*12000)+(E103*25000))),0)</f>
        <v>0</v>
      </c>
      <c r="F137" s="9" t="n">
        <f aca="false">IF((F$18&gt;=Assumptions!$C$43),(((Assumptions!$C$44*$C$10)/12)*((F80*12000)+(F103*25000))),0)</f>
        <v>0</v>
      </c>
      <c r="G137" s="9" t="n">
        <f aca="false">IF((G$18&gt;=Assumptions!$C$43),(((Assumptions!$C$44*$C$10)/12)*((G80*12000)+(G103*25000))),0)</f>
        <v>0</v>
      </c>
      <c r="H137" s="9" t="n">
        <f aca="false">IF((H$18&gt;=Assumptions!$C$43),(((Assumptions!$C$44*$C$10)/12)*((H80*12000)+(H103*25000))),0)</f>
        <v>0</v>
      </c>
      <c r="I137" s="9" t="n">
        <f aca="false">IF((I$18&gt;=Assumptions!$C$43),(((Assumptions!$C$44*$C$10)/12)*((I80*12000)+(I103*25000))),0)</f>
        <v>0</v>
      </c>
      <c r="J137" s="9" t="n">
        <f aca="false">IF((J$18&gt;=Assumptions!$C$43),(((Assumptions!$C$44*$C$10)/12)*((J80*12000)+(J103*25000))),0)</f>
        <v>0</v>
      </c>
      <c r="K137" s="9" t="n">
        <f aca="false">IF((K$18&gt;=Assumptions!$C$43),(((Assumptions!$C$44*$C$10)/12)*((K80*12000)+(K103*25000))),0)</f>
        <v>0</v>
      </c>
      <c r="L137" s="9" t="n">
        <f aca="false">IF((L$18&gt;=Assumptions!$C$43),(((Assumptions!$C$44*$C$10)/12)*((L80*12000)+(L103*25000))),0)</f>
        <v>0</v>
      </c>
      <c r="M137" s="9" t="n">
        <f aca="false">IF((M$18&gt;=Assumptions!$C$43),(((Assumptions!$C$44*$C$10)/12)*((M80*12000)+(M103*25000))),0)</f>
        <v>0</v>
      </c>
      <c r="N137" s="9" t="n">
        <f aca="false">IF((N$18&gt;=Assumptions!$C$43),(((Assumptions!$C$44*$C$10)/12)*((N80*12000)+(N103*25000))),0)</f>
        <v>0</v>
      </c>
      <c r="O137" s="9" t="n">
        <f aca="false">IF((O$18&gt;=Assumptions!$C$43),(((Assumptions!$C$44*$C$10)/12)*((O80*12000)+(O103*25000))),0)</f>
        <v>0</v>
      </c>
      <c r="P137" s="9" t="n">
        <f aca="false">IF((P$18&gt;=Assumptions!$C$43),(((Assumptions!$C$44*$C$10)/12)*((P80*12000)+(P103*25000))),0)</f>
        <v>0</v>
      </c>
      <c r="Q137" s="9" t="n">
        <f aca="false">IF((Q$18&gt;=Assumptions!$C$43),(((Assumptions!$C$44*$C$10)/12)*((Q80*12000)+(Q103*25000))),0)</f>
        <v>0</v>
      </c>
      <c r="R137" s="9" t="n">
        <f aca="false">IF((R$18&gt;=Assumptions!$C$43),(((Assumptions!$C$44*$C$10)/12)*((R80*12000)+(R103*25000))),0)</f>
        <v>0</v>
      </c>
      <c r="S137" s="9" t="n">
        <f aca="false">IF((S$18&gt;=Assumptions!$C$43),(((Assumptions!$C$44*$C$10)/12)*((S80*12000)+(S103*25000))),0)</f>
        <v>0</v>
      </c>
      <c r="T137" s="9" t="n">
        <f aca="false">IF((T$18&gt;=Assumptions!$C$43),(((Assumptions!$C$44*$C$10)/12)*((T80*12000)+(T103*25000))),0)</f>
        <v>0</v>
      </c>
      <c r="U137" s="9" t="n">
        <f aca="false">IF((U$18&gt;=Assumptions!$C$43),(((Assumptions!$C$44*$C$10)/12)*((U80*12000)+(U103*25000))),0)</f>
        <v>0</v>
      </c>
      <c r="V137" s="9" t="n">
        <f aca="false">IF((V$18&gt;=Assumptions!$C$43),(((Assumptions!$C$44*$C$10)/12)*((V80*12000)+(V103*25000))),0)</f>
        <v>0</v>
      </c>
      <c r="W137" s="9" t="n">
        <f aca="false">IF((W$18&gt;=Assumptions!$C$43),(((Assumptions!$C$44*$C$10)/12)*((W80*12000)+(W103*25000))),0)</f>
        <v>0</v>
      </c>
      <c r="X137" s="9" t="n">
        <f aca="false">IF((X$18&gt;=Assumptions!$C$43),(((Assumptions!$C$44*$C$10)/12)*((X80*12000)+(X103*25000))),0)</f>
        <v>0</v>
      </c>
      <c r="Y137" s="9" t="n">
        <f aca="false">IF((Y$18&gt;=Assumptions!$C$43),(((Assumptions!$C$44*$C$10)/12)*((Y80*12000)+(Y103*25000))),0)</f>
        <v>0</v>
      </c>
      <c r="Z137" s="9" t="n">
        <f aca="false">IF((Z$18&gt;=Assumptions!$C$43),(((Assumptions!$C$44*$C$10)/12)*((Z80*12000)+(Z103*25000))),0)</f>
        <v>0</v>
      </c>
      <c r="AA137" s="9" t="n">
        <f aca="false">IF((AA$18&gt;=Assumptions!$C$43),(((Assumptions!$C$44*$C$10)/12)*((AA80*12000)+(AA103*25000))),0)</f>
        <v>0</v>
      </c>
      <c r="AB137" s="9" t="n">
        <f aca="false">IF((AB$18&gt;=Assumptions!$C$43),(((Assumptions!$C$44*$C$10)/12)*((AB80*12000)+(AB103*25000))),0)</f>
        <v>0</v>
      </c>
      <c r="AC137" s="9" t="n">
        <f aca="false">IF((AC$18&gt;=Assumptions!$C$43),(((Assumptions!$C$44*$C$10)/12)*((AC80*12000)+(AC103*25000))),0)</f>
        <v>0</v>
      </c>
      <c r="AD137" s="9" t="n">
        <f aca="false">IF((AD$18&gt;=Assumptions!$C$43),(((Assumptions!$C$44*$C$10)/12)*((AD80*12000)+(AD103*25000))),0)</f>
        <v>0</v>
      </c>
      <c r="AE137" s="9" t="n">
        <f aca="false">IF((AE$18&gt;=Assumptions!$C$43),(((Assumptions!$C$44*$C$10)/12)*((AE80*12000)+(AE103*25000))),0)</f>
        <v>0</v>
      </c>
      <c r="AF137" s="9" t="n">
        <f aca="false">IF((AF$18&gt;=Assumptions!$C$43),(((Assumptions!$C$44*$C$10)/12)*((AF80*12000)+(AF103*25000))),0)</f>
        <v>1134.702</v>
      </c>
      <c r="AG137" s="9" t="n">
        <f aca="false">IF((AG$18&gt;=Assumptions!$C$43),(((Assumptions!$C$44*$C$10)/12)*((AG80*12000)+(AG103*25000))),0)</f>
        <v>1134.702</v>
      </c>
      <c r="AH137" s="9" t="n">
        <f aca="false">IF((AH$18&gt;=Assumptions!$C$43),(((Assumptions!$C$44*$C$10)/12)*((AH80*12000)+(AH103*25000))),0)</f>
        <v>1134.702</v>
      </c>
      <c r="AI137" s="9" t="n">
        <f aca="false">IF((AI$18&gt;=Assumptions!$C$43),(((Assumptions!$C$44*$C$10)/12)*((AI80*12000)+(AI103*25000))),0)</f>
        <v>1751.9991</v>
      </c>
      <c r="AJ137" s="9" t="n">
        <f aca="false">IF((AJ$18&gt;=Assumptions!$C$43),(((Assumptions!$C$44*$C$10)/12)*((AJ80*12000)+(AJ103*25000))),0)</f>
        <v>2189.4991</v>
      </c>
      <c r="AK137" s="9" t="n">
        <f aca="false">IF((AK$18&gt;=Assumptions!$C$43),(((Assumptions!$C$44*$C$10)/12)*((AK80*12000)+(AK103*25000))),0)</f>
        <v>2381.9991</v>
      </c>
      <c r="AL137" s="9" t="n">
        <f aca="false">IF((AL$18&gt;=Assumptions!$C$43),(((Assumptions!$C$44*$C$10)/12)*((AL80*12000)+(AL103*25000))),0)</f>
        <v>2977.8762</v>
      </c>
      <c r="AN137" s="11" t="n">
        <f aca="false">SUM(C137:N137)</f>
        <v>0</v>
      </c>
      <c r="AO137" s="11" t="n">
        <f aca="false">SUM(O137:Z137)</f>
        <v>0</v>
      </c>
      <c r="AP137" s="11" t="n">
        <f aca="false">SUM(AA137:AL137)</f>
        <v>12705.4795</v>
      </c>
    </row>
    <row r="138" customFormat="false" ht="15" hidden="false" customHeight="false" outlineLevel="0" collapsed="false">
      <c r="A138" s="0" t="s">
        <v>944</v>
      </c>
      <c r="B138" s="0" t="s">
        <v>852</v>
      </c>
      <c r="C138" s="14" t="n">
        <f aca="false">IF((C$18&gt;=Assumptions!$C$45),(INDEX(Schedules!$C$14:$AL$14,C$18)*$C$7),0)</f>
        <v>0</v>
      </c>
      <c r="D138" s="14" t="n">
        <f aca="false">IF((D$18&gt;=Assumptions!$C$45),(INDEX(Schedules!$C$14:$AL$14,D$18)*$C$7),0)</f>
        <v>0</v>
      </c>
      <c r="E138" s="14" t="n">
        <f aca="false">IF((E$18&gt;=Assumptions!$C$45),(INDEX(Schedules!$C$14:$AL$14,E$18)*$C$7),0)</f>
        <v>0</v>
      </c>
      <c r="F138" s="14" t="n">
        <f aca="false">IF((F$18&gt;=Assumptions!$C$45),(INDEX(Schedules!$C$14:$AL$14,F$18)*$C$7),0)</f>
        <v>0</v>
      </c>
      <c r="G138" s="14" t="n">
        <f aca="false">IF((G$18&gt;=Assumptions!$C$45),(INDEX(Schedules!$C$14:$AL$14,G$18)*$C$7),0)</f>
        <v>0</v>
      </c>
      <c r="H138" s="14" t="n">
        <f aca="false">IF((H$18&gt;=Assumptions!$C$45),(INDEX(Schedules!$C$14:$AL$14,H$18)*$C$7),0)</f>
        <v>0</v>
      </c>
      <c r="I138" s="14" t="n">
        <f aca="false">IF((I$18&gt;=Assumptions!$C$45),(INDEX(Schedules!$C$14:$AL$14,I$18)*$C$7),0)</f>
        <v>0</v>
      </c>
      <c r="J138" s="14" t="n">
        <f aca="false">IF((J$18&gt;=Assumptions!$C$45),(INDEX(Schedules!$C$14:$AL$14,J$18)*$C$7),0)</f>
        <v>0</v>
      </c>
      <c r="K138" s="14" t="n">
        <f aca="false">IF((K$18&gt;=Assumptions!$C$45),(INDEX(Schedules!$C$14:$AL$14,K$18)*$C$7),0)</f>
        <v>0</v>
      </c>
      <c r="L138" s="14" t="n">
        <f aca="false">IF((L$18&gt;=Assumptions!$C$45),(INDEX(Schedules!$C$14:$AL$14,L$18)*$C$7),0)</f>
        <v>0</v>
      </c>
      <c r="M138" s="14" t="n">
        <f aca="false">IF((M$18&gt;=Assumptions!$C$45),(INDEX(Schedules!$C$14:$AL$14,M$18)*$C$7),0)</f>
        <v>0</v>
      </c>
      <c r="N138" s="14" t="n">
        <f aca="false">IF((N$18&gt;=Assumptions!$C$45),(INDEX(Schedules!$C$14:$AL$14,N$18)*$C$7),0)</f>
        <v>0</v>
      </c>
      <c r="O138" s="14" t="n">
        <f aca="false">IF((O$18&gt;=Assumptions!$C$45),(INDEX(Schedules!$C$14:$AL$14,O$18)*$C$7),0)</f>
        <v>0</v>
      </c>
      <c r="P138" s="14" t="n">
        <f aca="false">IF((P$18&gt;=Assumptions!$C$45),(INDEX(Schedules!$C$14:$AL$14,P$18)*$C$7),0)</f>
        <v>0</v>
      </c>
      <c r="Q138" s="14" t="n">
        <f aca="false">IF((Q$18&gt;=Assumptions!$C$45),(INDEX(Schedules!$C$14:$AL$14,Q$18)*$C$7),0)</f>
        <v>0</v>
      </c>
      <c r="R138" s="14" t="n">
        <f aca="false">IF((R$18&gt;=Assumptions!$C$45),(INDEX(Schedules!$C$14:$AL$14,R$18)*$C$7),0)</f>
        <v>0</v>
      </c>
      <c r="S138" s="14" t="n">
        <f aca="false">IF((S$18&gt;=Assumptions!$C$45),(INDEX(Schedules!$C$14:$AL$14,S$18)*$C$7),0)</f>
        <v>0</v>
      </c>
      <c r="T138" s="14" t="n">
        <f aca="false">IF((T$18&gt;=Assumptions!$C$45),(INDEX(Schedules!$C$14:$AL$14,T$18)*$C$7),0)</f>
        <v>0</v>
      </c>
      <c r="U138" s="14" t="n">
        <f aca="false">IF((U$18&gt;=Assumptions!$C$45),(INDEX(Schedules!$C$14:$AL$14,U$18)*$C$7),0)</f>
        <v>0</v>
      </c>
      <c r="V138" s="14" t="n">
        <f aca="false">IF((V$18&gt;=Assumptions!$C$45),(INDEX(Schedules!$C$14:$AL$14,V$18)*$C$7),0)</f>
        <v>0</v>
      </c>
      <c r="W138" s="14" t="n">
        <f aca="false">IF((W$18&gt;=Assumptions!$C$45),(INDEX(Schedules!$C$14:$AL$14,W$18)*$C$7),0)</f>
        <v>0</v>
      </c>
      <c r="X138" s="14" t="n">
        <f aca="false">IF((X$18&gt;=Assumptions!$C$45),(INDEX(Schedules!$C$14:$AL$14,X$18)*$C$7),0)</f>
        <v>0</v>
      </c>
      <c r="Y138" s="14" t="n">
        <f aca="false">IF((Y$18&gt;=Assumptions!$C$45),(INDEX(Schedules!$C$14:$AL$14,Y$18)*$C$7),0)</f>
        <v>0</v>
      </c>
      <c r="Z138" s="14" t="n">
        <f aca="false">IF((Z$18&gt;=Assumptions!$C$45),(INDEX(Schedules!$C$14:$AL$14,Z$18)*$C$7),0)</f>
        <v>0</v>
      </c>
      <c r="AA138" s="14" t="n">
        <f aca="false">IF((AA$18&gt;=Assumptions!$C$45),(INDEX(Schedules!$C$14:$AL$14,AA$18)*$C$7),0)</f>
        <v>4.2</v>
      </c>
      <c r="AB138" s="14" t="n">
        <f aca="false">IF((AB$18&gt;=Assumptions!$C$45),(INDEX(Schedules!$C$14:$AL$14,AB$18)*$C$7),0)</f>
        <v>4.2</v>
      </c>
      <c r="AC138" s="14" t="n">
        <f aca="false">IF((AC$18&gt;=Assumptions!$C$45),(INDEX(Schedules!$C$14:$AL$14,AC$18)*$C$7),0)</f>
        <v>4.2</v>
      </c>
      <c r="AD138" s="14" t="n">
        <f aca="false">IF((AD$18&gt;=Assumptions!$C$45),(INDEX(Schedules!$C$14:$AL$14,AD$18)*$C$7),0)</f>
        <v>4.2</v>
      </c>
      <c r="AE138" s="14" t="n">
        <f aca="false">IF((AE$18&gt;=Assumptions!$C$45),(INDEX(Schedules!$C$14:$AL$14,AE$18)*$C$7),0)</f>
        <v>4.2</v>
      </c>
      <c r="AF138" s="14" t="n">
        <f aca="false">IF((AF$18&gt;=Assumptions!$C$45),(INDEX(Schedules!$C$14:$AL$14,AF$18)*$C$7),0)</f>
        <v>4.2</v>
      </c>
      <c r="AG138" s="14" t="n">
        <f aca="false">IF((AG$18&gt;=Assumptions!$C$45),(INDEX(Schedules!$C$14:$AL$14,AG$18)*$C$7),0)</f>
        <v>8.4</v>
      </c>
      <c r="AH138" s="14" t="n">
        <f aca="false">IF((AH$18&gt;=Assumptions!$C$45),(INDEX(Schedules!$C$14:$AL$14,AH$18)*$C$7),0)</f>
        <v>8.4</v>
      </c>
      <c r="AI138" s="14" t="n">
        <f aca="false">IF((AI$18&gt;=Assumptions!$C$45),(INDEX(Schedules!$C$14:$AL$14,AI$18)*$C$7),0)</f>
        <v>8.4</v>
      </c>
      <c r="AJ138" s="14" t="n">
        <f aca="false">IF((AJ$18&gt;=Assumptions!$C$45),(INDEX(Schedules!$C$14:$AL$14,AJ$18)*$C$7),0)</f>
        <v>8.4</v>
      </c>
      <c r="AK138" s="14" t="n">
        <f aca="false">IF((AK$18&gt;=Assumptions!$C$45),(INDEX(Schedules!$C$14:$AL$14,AK$18)*$C$7),0)</f>
        <v>8.4</v>
      </c>
      <c r="AL138" s="14" t="n">
        <f aca="false">IF((AL$18&gt;=Assumptions!$C$45),(INDEX(Schedules!$C$14:$AL$14,AL$18)*$C$7),0)</f>
        <v>8.4</v>
      </c>
      <c r="AN138" s="36" t="n">
        <f aca="false">SUM(C138:N138)</f>
        <v>0</v>
      </c>
      <c r="AO138" s="36" t="n">
        <f aca="false">SUM(O138:Z138)</f>
        <v>0</v>
      </c>
      <c r="AP138" s="36" t="n">
        <f aca="false">SUM(AA138:AL138)</f>
        <v>75.6</v>
      </c>
    </row>
    <row r="139" customFormat="false" ht="15" hidden="false" customHeight="false" outlineLevel="0" collapsed="false">
      <c r="A139" s="0" t="s">
        <v>945</v>
      </c>
      <c r="B139" s="0" t="s">
        <v>852</v>
      </c>
      <c r="C139" s="13" t="n">
        <f aca="false">((0*(1-Assumptions!$C$47))+C138)</f>
        <v>0</v>
      </c>
      <c r="D139" s="13" t="n">
        <f aca="false">((C139*(1-Assumptions!$C$47))+D138)</f>
        <v>0</v>
      </c>
      <c r="E139" s="13" t="n">
        <f aca="false">((D139*(1-Assumptions!$C$47))+E138)</f>
        <v>0</v>
      </c>
      <c r="F139" s="13" t="n">
        <f aca="false">((E139*(1-Assumptions!$C$47))+F138)</f>
        <v>0</v>
      </c>
      <c r="G139" s="13" t="n">
        <f aca="false">((F139*(1-Assumptions!$C$47))+G138)</f>
        <v>0</v>
      </c>
      <c r="H139" s="13" t="n">
        <f aca="false">((G139*(1-Assumptions!$C$47))+H138)</f>
        <v>0</v>
      </c>
      <c r="I139" s="13" t="n">
        <f aca="false">((H139*(1-Assumptions!$C$47))+I138)</f>
        <v>0</v>
      </c>
      <c r="J139" s="13" t="n">
        <f aca="false">((I139*(1-Assumptions!$C$47))+J138)</f>
        <v>0</v>
      </c>
      <c r="K139" s="13" t="n">
        <f aca="false">((J139*(1-Assumptions!$C$47))+K138)</f>
        <v>0</v>
      </c>
      <c r="L139" s="13" t="n">
        <f aca="false">((K139*(1-Assumptions!$C$47))+L138)</f>
        <v>0</v>
      </c>
      <c r="M139" s="13" t="n">
        <f aca="false">((L139*(1-Assumptions!$C$47))+M138)</f>
        <v>0</v>
      </c>
      <c r="N139" s="13" t="n">
        <f aca="false">((M139*(1-Assumptions!$C$47))+N138)</f>
        <v>0</v>
      </c>
      <c r="O139" s="13" t="n">
        <f aca="false">((N139*(1-Assumptions!$C$47))+O138)</f>
        <v>0</v>
      </c>
      <c r="P139" s="13" t="n">
        <f aca="false">((O139*(1-Assumptions!$C$47))+P138)</f>
        <v>0</v>
      </c>
      <c r="Q139" s="13" t="n">
        <f aca="false">((P139*(1-Assumptions!$C$47))+Q138)</f>
        <v>0</v>
      </c>
      <c r="R139" s="13" t="n">
        <f aca="false">((Q139*(1-Assumptions!$C$47))+R138)</f>
        <v>0</v>
      </c>
      <c r="S139" s="13" t="n">
        <f aca="false">((R139*(1-Assumptions!$C$47))+S138)</f>
        <v>0</v>
      </c>
      <c r="T139" s="13" t="n">
        <f aca="false">((S139*(1-Assumptions!$C$47))+T138)</f>
        <v>0</v>
      </c>
      <c r="U139" s="13" t="n">
        <f aca="false">((T139*(1-Assumptions!$C$47))+U138)</f>
        <v>0</v>
      </c>
      <c r="V139" s="13" t="n">
        <f aca="false">((U139*(1-Assumptions!$C$47))+V138)</f>
        <v>0</v>
      </c>
      <c r="W139" s="13" t="n">
        <f aca="false">((V139*(1-Assumptions!$C$47))+W138)</f>
        <v>0</v>
      </c>
      <c r="X139" s="13" t="n">
        <f aca="false">((W139*(1-Assumptions!$C$47))+X138)</f>
        <v>0</v>
      </c>
      <c r="Y139" s="13" t="n">
        <f aca="false">((X139*(1-Assumptions!$C$47))+Y138)</f>
        <v>0</v>
      </c>
      <c r="Z139" s="13" t="n">
        <f aca="false">((Y139*(1-Assumptions!$C$47))+Z138)</f>
        <v>0</v>
      </c>
      <c r="AA139" s="13" t="n">
        <f aca="false">((Z139*(1-Assumptions!$C$47))+AA138)</f>
        <v>4.2</v>
      </c>
      <c r="AB139" s="13" t="n">
        <f aca="false">((AA139*(1-Assumptions!$C$47))+AB138)</f>
        <v>8.316</v>
      </c>
      <c r="AC139" s="13" t="n">
        <f aca="false">((AB139*(1-Assumptions!$C$47))+AC138)</f>
        <v>12.34968</v>
      </c>
      <c r="AD139" s="13" t="n">
        <f aca="false">((AC139*(1-Assumptions!$C$47))+AD138)</f>
        <v>16.3026864</v>
      </c>
      <c r="AE139" s="13" t="n">
        <f aca="false">((AD139*(1-Assumptions!$C$47))+AE138)</f>
        <v>20.176632672</v>
      </c>
      <c r="AF139" s="13" t="n">
        <f aca="false">((AE139*(1-Assumptions!$C$47))+AF138)</f>
        <v>23.97310001856</v>
      </c>
      <c r="AG139" s="13" t="n">
        <f aca="false">((AF139*(1-Assumptions!$C$47))+AG138)</f>
        <v>31.8936380181888</v>
      </c>
      <c r="AH139" s="13" t="n">
        <f aca="false">((AG139*(1-Assumptions!$C$47))+AH138)</f>
        <v>39.655765257825</v>
      </c>
      <c r="AI139" s="13" t="n">
        <f aca="false">((AH139*(1-Assumptions!$C$47))+AI138)</f>
        <v>47.2626499526685</v>
      </c>
      <c r="AJ139" s="13" t="n">
        <f aca="false">((AI139*(1-Assumptions!$C$47))+AJ138)</f>
        <v>54.7173969536151</v>
      </c>
      <c r="AK139" s="13" t="n">
        <f aca="false">((AJ139*(1-Assumptions!$C$47))+AK138)</f>
        <v>62.0230490145428</v>
      </c>
      <c r="AL139" s="13" t="n">
        <f aca="false">((AK139*(1-Assumptions!$C$47))+AL138)</f>
        <v>69.182588034252</v>
      </c>
      <c r="AN139" s="37" t="n">
        <f aca="false">N139</f>
        <v>0</v>
      </c>
      <c r="AO139" s="37" t="n">
        <f aca="false">Z139</f>
        <v>0</v>
      </c>
      <c r="AP139" s="37" t="n">
        <f aca="false">AL139</f>
        <v>69.182588034252</v>
      </c>
    </row>
    <row r="140" customFormat="false" ht="15" hidden="false" customHeight="false" outlineLevel="0" collapsed="false">
      <c r="A140" s="0" t="s">
        <v>946</v>
      </c>
      <c r="B140" s="0" t="s">
        <v>230</v>
      </c>
      <c r="C140" s="9" t="n">
        <f aca="false">((C139*Assumptions!$C$46)/12)</f>
        <v>0</v>
      </c>
      <c r="D140" s="9" t="n">
        <f aca="false">((D139*Assumptions!$C$46)/12)</f>
        <v>0</v>
      </c>
      <c r="E140" s="9" t="n">
        <f aca="false">((E139*Assumptions!$C$46)/12)</f>
        <v>0</v>
      </c>
      <c r="F140" s="9" t="n">
        <f aca="false">((F139*Assumptions!$C$46)/12)</f>
        <v>0</v>
      </c>
      <c r="G140" s="9" t="n">
        <f aca="false">((G139*Assumptions!$C$46)/12)</f>
        <v>0</v>
      </c>
      <c r="H140" s="9" t="n">
        <f aca="false">((H139*Assumptions!$C$46)/12)</f>
        <v>0</v>
      </c>
      <c r="I140" s="9" t="n">
        <f aca="false">((I139*Assumptions!$C$46)/12)</f>
        <v>0</v>
      </c>
      <c r="J140" s="9" t="n">
        <f aca="false">((J139*Assumptions!$C$46)/12)</f>
        <v>0</v>
      </c>
      <c r="K140" s="9" t="n">
        <f aca="false">((K139*Assumptions!$C$46)/12)</f>
        <v>0</v>
      </c>
      <c r="L140" s="9" t="n">
        <f aca="false">((L139*Assumptions!$C$46)/12)</f>
        <v>0</v>
      </c>
      <c r="M140" s="9" t="n">
        <f aca="false">((M139*Assumptions!$C$46)/12)</f>
        <v>0</v>
      </c>
      <c r="N140" s="9" t="n">
        <f aca="false">((N139*Assumptions!$C$46)/12)</f>
        <v>0</v>
      </c>
      <c r="O140" s="9" t="n">
        <f aca="false">((O139*Assumptions!$C$46)/12)</f>
        <v>0</v>
      </c>
      <c r="P140" s="9" t="n">
        <f aca="false">((P139*Assumptions!$C$46)/12)</f>
        <v>0</v>
      </c>
      <c r="Q140" s="9" t="n">
        <f aca="false">((Q139*Assumptions!$C$46)/12)</f>
        <v>0</v>
      </c>
      <c r="R140" s="9" t="n">
        <f aca="false">((R139*Assumptions!$C$46)/12)</f>
        <v>0</v>
      </c>
      <c r="S140" s="9" t="n">
        <f aca="false">((S139*Assumptions!$C$46)/12)</f>
        <v>0</v>
      </c>
      <c r="T140" s="9" t="n">
        <f aca="false">((T139*Assumptions!$C$46)/12)</f>
        <v>0</v>
      </c>
      <c r="U140" s="9" t="n">
        <f aca="false">((U139*Assumptions!$C$46)/12)</f>
        <v>0</v>
      </c>
      <c r="V140" s="9" t="n">
        <f aca="false">((V139*Assumptions!$C$46)/12)</f>
        <v>0</v>
      </c>
      <c r="W140" s="9" t="n">
        <f aca="false">((W139*Assumptions!$C$46)/12)</f>
        <v>0</v>
      </c>
      <c r="X140" s="9" t="n">
        <f aca="false">((X139*Assumptions!$C$46)/12)</f>
        <v>0</v>
      </c>
      <c r="Y140" s="9" t="n">
        <f aca="false">((Y139*Assumptions!$C$46)/12)</f>
        <v>0</v>
      </c>
      <c r="Z140" s="9" t="n">
        <f aca="false">((Z139*Assumptions!$C$46)/12)</f>
        <v>0</v>
      </c>
      <c r="AA140" s="9" t="n">
        <f aca="false">((AA139*Assumptions!$C$46)/12)</f>
        <v>1400</v>
      </c>
      <c r="AB140" s="9" t="n">
        <f aca="false">((AB139*Assumptions!$C$46)/12)</f>
        <v>2772</v>
      </c>
      <c r="AC140" s="9" t="n">
        <f aca="false">((AC139*Assumptions!$C$46)/12)</f>
        <v>4116.56</v>
      </c>
      <c r="AD140" s="9" t="n">
        <f aca="false">((AD139*Assumptions!$C$46)/12)</f>
        <v>5434.2288</v>
      </c>
      <c r="AE140" s="9" t="n">
        <f aca="false">((AE139*Assumptions!$C$46)/12)</f>
        <v>6725.544224</v>
      </c>
      <c r="AF140" s="9" t="n">
        <f aca="false">((AF139*Assumptions!$C$46)/12)</f>
        <v>7991.03333952</v>
      </c>
      <c r="AG140" s="9" t="n">
        <f aca="false">((AG139*Assumptions!$C$46)/12)</f>
        <v>10631.2126727296</v>
      </c>
      <c r="AH140" s="9" t="n">
        <f aca="false">((AH139*Assumptions!$C$46)/12)</f>
        <v>13218.588419275</v>
      </c>
      <c r="AI140" s="9" t="n">
        <f aca="false">((AI139*Assumptions!$C$46)/12)</f>
        <v>15754.2166508895</v>
      </c>
      <c r="AJ140" s="9" t="n">
        <f aca="false">((AJ139*Assumptions!$C$46)/12)</f>
        <v>18239.1323178717</v>
      </c>
      <c r="AK140" s="9" t="n">
        <f aca="false">((AK139*Assumptions!$C$46)/12)</f>
        <v>20674.3496715143</v>
      </c>
      <c r="AL140" s="9" t="n">
        <f aca="false">((AL139*Assumptions!$C$46)/12)</f>
        <v>23060.862678084</v>
      </c>
      <c r="AN140" s="11" t="n">
        <f aca="false">SUM(C140:N140)</f>
        <v>0</v>
      </c>
      <c r="AO140" s="11" t="n">
        <f aca="false">SUM(O140:Z140)</f>
        <v>0</v>
      </c>
      <c r="AP140" s="11" t="n">
        <f aca="false">SUM(AA140:AL140)</f>
        <v>130017.728773884</v>
      </c>
    </row>
    <row r="141" customFormat="false" ht="15" hidden="false" customHeight="false" outlineLevel="0" collapsed="false">
      <c r="A141" s="0" t="s">
        <v>947</v>
      </c>
      <c r="B141" s="0" t="s">
        <v>852</v>
      </c>
      <c r="C141" s="13" t="n">
        <f aca="false">IF((C$18&lt;Assumptions!$C$48),0,IF((C$18=Assumptions!$C$48),(Assumptions!$C$49*$C$4),((0*(1-Assumptions!$C$51))+(Assumptions!$C$50*$C$4))))</f>
        <v>0</v>
      </c>
      <c r="D141" s="13" t="n">
        <f aca="false">IF((D$18&lt;Assumptions!$C$48),0,IF((D$18=Assumptions!$C$48),(Assumptions!$C$49*$C$4),((C141*(1-Assumptions!$C$51))+(Assumptions!$C$50*$C$4))))</f>
        <v>0</v>
      </c>
      <c r="E141" s="13" t="n">
        <f aca="false">IF((E$18&lt;Assumptions!$C$48),0,IF((E$18=Assumptions!$C$48),(Assumptions!$C$49*$C$4),((D141*(1-Assumptions!$C$51))+(Assumptions!$C$50*$C$4))))</f>
        <v>0</v>
      </c>
      <c r="F141" s="13" t="n">
        <f aca="false">IF((F$18&lt;Assumptions!$C$48),0,IF((F$18=Assumptions!$C$48),(Assumptions!$C$49*$C$4),((E141*(1-Assumptions!$C$51))+(Assumptions!$C$50*$C$4))))</f>
        <v>0</v>
      </c>
      <c r="G141" s="13" t="n">
        <f aca="false">IF((G$18&lt;Assumptions!$C$48),0,IF((G$18=Assumptions!$C$48),(Assumptions!$C$49*$C$4),((F141*(1-Assumptions!$C$51))+(Assumptions!$C$50*$C$4))))</f>
        <v>0</v>
      </c>
      <c r="H141" s="13" t="n">
        <f aca="false">IF((H$18&lt;Assumptions!$C$48),0,IF((H$18=Assumptions!$C$48),(Assumptions!$C$49*$C$4),((G141*(1-Assumptions!$C$51))+(Assumptions!$C$50*$C$4))))</f>
        <v>0</v>
      </c>
      <c r="I141" s="13" t="n">
        <f aca="false">IF((I$18&lt;Assumptions!$C$48),0,IF((I$18=Assumptions!$C$48),(Assumptions!$C$49*$C$4),((H141*(1-Assumptions!$C$51))+(Assumptions!$C$50*$C$4))))</f>
        <v>0</v>
      </c>
      <c r="J141" s="13" t="n">
        <f aca="false">IF((J$18&lt;Assumptions!$C$48),0,IF((J$18=Assumptions!$C$48),(Assumptions!$C$49*$C$4),((I141*(1-Assumptions!$C$51))+(Assumptions!$C$50*$C$4))))</f>
        <v>0</v>
      </c>
      <c r="K141" s="13" t="n">
        <f aca="false">IF((K$18&lt;Assumptions!$C$48),0,IF((K$18=Assumptions!$C$48),(Assumptions!$C$49*$C$4),((J141*(1-Assumptions!$C$51))+(Assumptions!$C$50*$C$4))))</f>
        <v>0</v>
      </c>
      <c r="L141" s="13" t="n">
        <f aca="false">IF((L$18&lt;Assumptions!$C$48),0,IF((L$18=Assumptions!$C$48),(Assumptions!$C$49*$C$4),((K141*(1-Assumptions!$C$51))+(Assumptions!$C$50*$C$4))))</f>
        <v>0</v>
      </c>
      <c r="M141" s="13" t="n">
        <f aca="false">IF((M$18&lt;Assumptions!$C$48),0,IF((M$18=Assumptions!$C$48),(Assumptions!$C$49*$C$4),((L141*(1-Assumptions!$C$51))+(Assumptions!$C$50*$C$4))))</f>
        <v>0</v>
      </c>
      <c r="N141" s="13" t="n">
        <f aca="false">IF((N$18&lt;Assumptions!$C$48),0,IF((N$18=Assumptions!$C$48),(Assumptions!$C$49*$C$4),((M141*(1-Assumptions!$C$51))+(Assumptions!$C$50*$C$4))))</f>
        <v>0</v>
      </c>
      <c r="O141" s="13" t="n">
        <f aca="false">IF((O$18&lt;Assumptions!$C$48),0,IF((O$18=Assumptions!$C$48),(Assumptions!$C$49*$C$4),((N141*(1-Assumptions!$C$51))+(Assumptions!$C$50*$C$4))))</f>
        <v>0</v>
      </c>
      <c r="P141" s="13" t="n">
        <f aca="false">IF((P$18&lt;Assumptions!$C$48),0,IF((P$18=Assumptions!$C$48),(Assumptions!$C$49*$C$4),((O141*(1-Assumptions!$C$51))+(Assumptions!$C$50*$C$4))))</f>
        <v>0</v>
      </c>
      <c r="Q141" s="13" t="n">
        <f aca="false">IF((Q$18&lt;Assumptions!$C$48),0,IF((Q$18=Assumptions!$C$48),(Assumptions!$C$49*$C$4),((P141*(1-Assumptions!$C$51))+(Assumptions!$C$50*$C$4))))</f>
        <v>0</v>
      </c>
      <c r="R141" s="13" t="n">
        <f aca="false">IF((R$18&lt;Assumptions!$C$48),0,IF((R$18=Assumptions!$C$48),(Assumptions!$C$49*$C$4),((Q141*(1-Assumptions!$C$51))+(Assumptions!$C$50*$C$4))))</f>
        <v>0</v>
      </c>
      <c r="S141" s="13" t="n">
        <f aca="false">IF((S$18&lt;Assumptions!$C$48),0,IF((S$18=Assumptions!$C$48),(Assumptions!$C$49*$C$4),((R141*(1-Assumptions!$C$51))+(Assumptions!$C$50*$C$4))))</f>
        <v>0</v>
      </c>
      <c r="T141" s="13" t="n">
        <f aca="false">IF((T$18&lt;Assumptions!$C$48),0,IF((T$18=Assumptions!$C$48),(Assumptions!$C$49*$C$4),((S141*(1-Assumptions!$C$51))+(Assumptions!$C$50*$C$4))))</f>
        <v>0</v>
      </c>
      <c r="U141" s="13" t="n">
        <f aca="false">IF((U$18&lt;Assumptions!$C$48),0,IF((U$18=Assumptions!$C$48),(Assumptions!$C$49*$C$4),((T141*(1-Assumptions!$C$51))+(Assumptions!$C$50*$C$4))))</f>
        <v>0</v>
      </c>
      <c r="V141" s="13" t="n">
        <f aca="false">IF((V$18&lt;Assumptions!$C$48),0,IF((V$18=Assumptions!$C$48),(Assumptions!$C$49*$C$4),((U141*(1-Assumptions!$C$51))+(Assumptions!$C$50*$C$4))))</f>
        <v>0</v>
      </c>
      <c r="W141" s="13" t="n">
        <f aca="false">IF((W$18&lt;Assumptions!$C$48),0,IF((W$18=Assumptions!$C$48),(Assumptions!$C$49*$C$4),((V141*(1-Assumptions!$C$51))+(Assumptions!$C$50*$C$4))))</f>
        <v>0</v>
      </c>
      <c r="X141" s="13" t="n">
        <f aca="false">IF((X$18&lt;Assumptions!$C$48),0,IF((X$18=Assumptions!$C$48),(Assumptions!$C$49*$C$4),((W141*(1-Assumptions!$C$51))+(Assumptions!$C$50*$C$4))))</f>
        <v>0</v>
      </c>
      <c r="Y141" s="13" t="n">
        <f aca="false">IF((Y$18&lt;Assumptions!$C$48),0,IF((Y$18=Assumptions!$C$48),(Assumptions!$C$49*$C$4),((X141*(1-Assumptions!$C$51))+(Assumptions!$C$50*$C$4))))</f>
        <v>0</v>
      </c>
      <c r="Z141" s="13" t="n">
        <f aca="false">IF((Z$18&lt;Assumptions!$C$48),0,IF((Z$18=Assumptions!$C$48),(Assumptions!$C$49*$C$4),((Y141*(1-Assumptions!$C$51))+(Assumptions!$C$50*$C$4))))</f>
        <v>0</v>
      </c>
      <c r="AA141" s="13" t="n">
        <f aca="false">IF((AA$18&lt;Assumptions!$C$48),0,IF((AA$18=Assumptions!$C$48),(Assumptions!$C$49*$C$4),((Z141*(1-Assumptions!$C$51))+(Assumptions!$C$50*$C$4))))</f>
        <v>0</v>
      </c>
      <c r="AB141" s="13" t="n">
        <f aca="false">IF((AB$18&lt;Assumptions!$C$48),0,IF((AB$18=Assumptions!$C$48),(Assumptions!$C$49*$C$4),((AA141*(1-Assumptions!$C$51))+(Assumptions!$C$50*$C$4))))</f>
        <v>0</v>
      </c>
      <c r="AC141" s="13" t="n">
        <f aca="false">IF((AC$18&lt;Assumptions!$C$48),0,IF((AC$18=Assumptions!$C$48),(Assumptions!$C$49*$C$4),((AB141*(1-Assumptions!$C$51))+(Assumptions!$C$50*$C$4))))</f>
        <v>0</v>
      </c>
      <c r="AD141" s="13" t="n">
        <f aca="false">IF((AD$18&lt;Assumptions!$C$48),0,IF((AD$18=Assumptions!$C$48),(Assumptions!$C$49*$C$4),((AC141*(1-Assumptions!$C$51))+(Assumptions!$C$50*$C$4))))</f>
        <v>0</v>
      </c>
      <c r="AE141" s="13" t="n">
        <f aca="false">IF((AE$18&lt;Assumptions!$C$48),0,IF((AE$18=Assumptions!$C$48),(Assumptions!$C$49*$C$4),((AD141*(1-Assumptions!$C$51))+(Assumptions!$C$50*$C$4))))</f>
        <v>0</v>
      </c>
      <c r="AF141" s="13" t="n">
        <f aca="false">IF((AF$18&lt;Assumptions!$C$48),0,IF((AF$18=Assumptions!$C$48),(Assumptions!$C$49*$C$4),((AE141*(1-Assumptions!$C$51))+(Assumptions!$C$50*$C$4))))</f>
        <v>0</v>
      </c>
      <c r="AG141" s="13" t="n">
        <f aca="false">IF((AG$18&lt;Assumptions!$C$48),0,IF((AG$18=Assumptions!$C$48),(Assumptions!$C$49*$C$4),((AF141*(1-Assumptions!$C$51))+(Assumptions!$C$50*$C$4))))</f>
        <v>60</v>
      </c>
      <c r="AH141" s="13" t="n">
        <f aca="false">IF((AH$18&lt;Assumptions!$C$48),0,IF((AH$18=Assumptions!$C$48),(Assumptions!$C$49*$C$4),((AG141*(1-Assumptions!$C$51))+(Assumptions!$C$50*$C$4))))</f>
        <v>80.1</v>
      </c>
      <c r="AI141" s="13" t="n">
        <f aca="false">IF((AI$18&lt;Assumptions!$C$48),0,IF((AI$18=Assumptions!$C$48),(Assumptions!$C$49*$C$4),((AH141*(1-Assumptions!$C$51))+(Assumptions!$C$50*$C$4))))</f>
        <v>99.396</v>
      </c>
      <c r="AJ141" s="13" t="n">
        <f aca="false">IF((AJ$18&lt;Assumptions!$C$48),0,IF((AJ$18=Assumptions!$C$48),(Assumptions!$C$49*$C$4),((AI141*(1-Assumptions!$C$51))+(Assumptions!$C$50*$C$4))))</f>
        <v>117.92016</v>
      </c>
      <c r="AK141" s="13" t="n">
        <f aca="false">IF((AK$18&lt;Assumptions!$C$48),0,IF((AK$18=Assumptions!$C$48),(Assumptions!$C$49*$C$4),((AJ141*(1-Assumptions!$C$51))+(Assumptions!$C$50*$C$4))))</f>
        <v>135.7033536</v>
      </c>
      <c r="AL141" s="13" t="n">
        <f aca="false">IF((AL$18&lt;Assumptions!$C$48),0,IF((AL$18=Assumptions!$C$48),(Assumptions!$C$49*$C$4),((AK141*(1-Assumptions!$C$51))+(Assumptions!$C$50*$C$4))))</f>
        <v>152.775219456</v>
      </c>
      <c r="AN141" s="37" t="n">
        <f aca="false">N141</f>
        <v>0</v>
      </c>
      <c r="AO141" s="37" t="n">
        <f aca="false">Z141</f>
        <v>0</v>
      </c>
      <c r="AP141" s="37" t="n">
        <f aca="false">AL141</f>
        <v>152.775219456</v>
      </c>
    </row>
    <row r="142" customFormat="false" ht="15" hidden="false" customHeight="false" outlineLevel="0" collapsed="false">
      <c r="A142" s="0" t="s">
        <v>948</v>
      </c>
      <c r="B142" s="0" t="s">
        <v>325</v>
      </c>
      <c r="C142" s="9" t="n">
        <f aca="false">(C141*Assumptions!$C$52)</f>
        <v>0</v>
      </c>
      <c r="D142" s="9" t="n">
        <f aca="false">(D141*Assumptions!$C$52)</f>
        <v>0</v>
      </c>
      <c r="E142" s="9" t="n">
        <f aca="false">(E141*Assumptions!$C$52)</f>
        <v>0</v>
      </c>
      <c r="F142" s="9" t="n">
        <f aca="false">(F141*Assumptions!$C$52)</f>
        <v>0</v>
      </c>
      <c r="G142" s="9" t="n">
        <f aca="false">(G141*Assumptions!$C$52)</f>
        <v>0</v>
      </c>
      <c r="H142" s="9" t="n">
        <f aca="false">(H141*Assumptions!$C$52)</f>
        <v>0</v>
      </c>
      <c r="I142" s="9" t="n">
        <f aca="false">(I141*Assumptions!$C$52)</f>
        <v>0</v>
      </c>
      <c r="J142" s="9" t="n">
        <f aca="false">(J141*Assumptions!$C$52)</f>
        <v>0</v>
      </c>
      <c r="K142" s="9" t="n">
        <f aca="false">(K141*Assumptions!$C$52)</f>
        <v>0</v>
      </c>
      <c r="L142" s="9" t="n">
        <f aca="false">(L141*Assumptions!$C$52)</f>
        <v>0</v>
      </c>
      <c r="M142" s="9" t="n">
        <f aca="false">(M141*Assumptions!$C$52)</f>
        <v>0</v>
      </c>
      <c r="N142" s="9" t="n">
        <f aca="false">(N141*Assumptions!$C$52)</f>
        <v>0</v>
      </c>
      <c r="O142" s="9" t="n">
        <f aca="false">(O141*Assumptions!$C$52)</f>
        <v>0</v>
      </c>
      <c r="P142" s="9" t="n">
        <f aca="false">(P141*Assumptions!$C$52)</f>
        <v>0</v>
      </c>
      <c r="Q142" s="9" t="n">
        <f aca="false">(Q141*Assumptions!$C$52)</f>
        <v>0</v>
      </c>
      <c r="R142" s="9" t="n">
        <f aca="false">(R141*Assumptions!$C$52)</f>
        <v>0</v>
      </c>
      <c r="S142" s="9" t="n">
        <f aca="false">(S141*Assumptions!$C$52)</f>
        <v>0</v>
      </c>
      <c r="T142" s="9" t="n">
        <f aca="false">(T141*Assumptions!$C$52)</f>
        <v>0</v>
      </c>
      <c r="U142" s="9" t="n">
        <f aca="false">(U141*Assumptions!$C$52)</f>
        <v>0</v>
      </c>
      <c r="V142" s="9" t="n">
        <f aca="false">(V141*Assumptions!$C$52)</f>
        <v>0</v>
      </c>
      <c r="W142" s="9" t="n">
        <f aca="false">(W141*Assumptions!$C$52)</f>
        <v>0</v>
      </c>
      <c r="X142" s="9" t="n">
        <f aca="false">(X141*Assumptions!$C$52)</f>
        <v>0</v>
      </c>
      <c r="Y142" s="9" t="n">
        <f aca="false">(Y141*Assumptions!$C$52)</f>
        <v>0</v>
      </c>
      <c r="Z142" s="9" t="n">
        <f aca="false">(Z141*Assumptions!$C$52)</f>
        <v>0</v>
      </c>
      <c r="AA142" s="9" t="n">
        <f aca="false">(AA141*Assumptions!$C$52)</f>
        <v>0</v>
      </c>
      <c r="AB142" s="9" t="n">
        <f aca="false">(AB141*Assumptions!$C$52)</f>
        <v>0</v>
      </c>
      <c r="AC142" s="9" t="n">
        <f aca="false">(AC141*Assumptions!$C$52)</f>
        <v>0</v>
      </c>
      <c r="AD142" s="9" t="n">
        <f aca="false">(AD141*Assumptions!$C$52)</f>
        <v>0</v>
      </c>
      <c r="AE142" s="9" t="n">
        <f aca="false">(AE141*Assumptions!$C$52)</f>
        <v>0</v>
      </c>
      <c r="AF142" s="9" t="n">
        <f aca="false">(AF141*Assumptions!$C$52)</f>
        <v>0</v>
      </c>
      <c r="AG142" s="9" t="n">
        <f aca="false">(AG141*Assumptions!$C$52)</f>
        <v>360</v>
      </c>
      <c r="AH142" s="9" t="n">
        <f aca="false">(AH141*Assumptions!$C$52)</f>
        <v>480.6</v>
      </c>
      <c r="AI142" s="9" t="n">
        <f aca="false">(AI141*Assumptions!$C$52)</f>
        <v>596.376</v>
      </c>
      <c r="AJ142" s="9" t="n">
        <f aca="false">(AJ141*Assumptions!$C$52)</f>
        <v>707.52096</v>
      </c>
      <c r="AK142" s="9" t="n">
        <f aca="false">(AK141*Assumptions!$C$52)</f>
        <v>814.2201216</v>
      </c>
      <c r="AL142" s="9" t="n">
        <f aca="false">(AL141*Assumptions!$C$52)</f>
        <v>916.651316736</v>
      </c>
      <c r="AN142" s="11" t="n">
        <f aca="false">SUM(C142:N142)</f>
        <v>0</v>
      </c>
      <c r="AO142" s="11" t="n">
        <f aca="false">SUM(O142:Z142)</f>
        <v>0</v>
      </c>
      <c r="AP142" s="11" t="n">
        <f aca="false">SUM(AA142:AL142)</f>
        <v>3875.368398336</v>
      </c>
    </row>
    <row r="143" customFormat="false" ht="15" hidden="false" customHeight="false" outlineLevel="0" collapsed="false">
      <c r="A143" s="0" t="s">
        <v>949</v>
      </c>
      <c r="B143" s="0" t="s">
        <v>230</v>
      </c>
      <c r="C143" s="9" t="n">
        <f aca="false">(C142*Assumptions!$C$53)</f>
        <v>0</v>
      </c>
      <c r="D143" s="9" t="n">
        <f aca="false">(D142*Assumptions!$C$53)</f>
        <v>0</v>
      </c>
      <c r="E143" s="9" t="n">
        <f aca="false">(E142*Assumptions!$C$53)</f>
        <v>0</v>
      </c>
      <c r="F143" s="9" t="n">
        <f aca="false">(F142*Assumptions!$C$53)</f>
        <v>0</v>
      </c>
      <c r="G143" s="9" t="n">
        <f aca="false">(G142*Assumptions!$C$53)</f>
        <v>0</v>
      </c>
      <c r="H143" s="9" t="n">
        <f aca="false">(H142*Assumptions!$C$53)</f>
        <v>0</v>
      </c>
      <c r="I143" s="9" t="n">
        <f aca="false">(I142*Assumptions!$C$53)</f>
        <v>0</v>
      </c>
      <c r="J143" s="9" t="n">
        <f aca="false">(J142*Assumptions!$C$53)</f>
        <v>0</v>
      </c>
      <c r="K143" s="9" t="n">
        <f aca="false">(K142*Assumptions!$C$53)</f>
        <v>0</v>
      </c>
      <c r="L143" s="9" t="n">
        <f aca="false">(L142*Assumptions!$C$53)</f>
        <v>0</v>
      </c>
      <c r="M143" s="9" t="n">
        <f aca="false">(M142*Assumptions!$C$53)</f>
        <v>0</v>
      </c>
      <c r="N143" s="9" t="n">
        <f aca="false">(N142*Assumptions!$C$53)</f>
        <v>0</v>
      </c>
      <c r="O143" s="9" t="n">
        <f aca="false">(O142*Assumptions!$C$53)</f>
        <v>0</v>
      </c>
      <c r="P143" s="9" t="n">
        <f aca="false">(P142*Assumptions!$C$53)</f>
        <v>0</v>
      </c>
      <c r="Q143" s="9" t="n">
        <f aca="false">(Q142*Assumptions!$C$53)</f>
        <v>0</v>
      </c>
      <c r="R143" s="9" t="n">
        <f aca="false">(R142*Assumptions!$C$53)</f>
        <v>0</v>
      </c>
      <c r="S143" s="9" t="n">
        <f aca="false">(S142*Assumptions!$C$53)</f>
        <v>0</v>
      </c>
      <c r="T143" s="9" t="n">
        <f aca="false">(T142*Assumptions!$C$53)</f>
        <v>0</v>
      </c>
      <c r="U143" s="9" t="n">
        <f aca="false">(U142*Assumptions!$C$53)</f>
        <v>0</v>
      </c>
      <c r="V143" s="9" t="n">
        <f aca="false">(V142*Assumptions!$C$53)</f>
        <v>0</v>
      </c>
      <c r="W143" s="9" t="n">
        <f aca="false">(W142*Assumptions!$C$53)</f>
        <v>0</v>
      </c>
      <c r="X143" s="9" t="n">
        <f aca="false">(X142*Assumptions!$C$53)</f>
        <v>0</v>
      </c>
      <c r="Y143" s="9" t="n">
        <f aca="false">(Y142*Assumptions!$C$53)</f>
        <v>0</v>
      </c>
      <c r="Z143" s="9" t="n">
        <f aca="false">(Z142*Assumptions!$C$53)</f>
        <v>0</v>
      </c>
      <c r="AA143" s="9" t="n">
        <f aca="false">(AA142*Assumptions!$C$53)</f>
        <v>0</v>
      </c>
      <c r="AB143" s="9" t="n">
        <f aca="false">(AB142*Assumptions!$C$53)</f>
        <v>0</v>
      </c>
      <c r="AC143" s="9" t="n">
        <f aca="false">(AC142*Assumptions!$C$53)</f>
        <v>0</v>
      </c>
      <c r="AD143" s="9" t="n">
        <f aca="false">(AD142*Assumptions!$C$53)</f>
        <v>0</v>
      </c>
      <c r="AE143" s="9" t="n">
        <f aca="false">(AE142*Assumptions!$C$53)</f>
        <v>0</v>
      </c>
      <c r="AF143" s="9" t="n">
        <f aca="false">(AF142*Assumptions!$C$53)</f>
        <v>0</v>
      </c>
      <c r="AG143" s="9" t="n">
        <f aca="false">(AG142*Assumptions!$C$53)</f>
        <v>16200</v>
      </c>
      <c r="AH143" s="9" t="n">
        <f aca="false">(AH142*Assumptions!$C$53)</f>
        <v>21627</v>
      </c>
      <c r="AI143" s="9" t="n">
        <f aca="false">(AI142*Assumptions!$C$53)</f>
        <v>26836.92</v>
      </c>
      <c r="AJ143" s="9" t="n">
        <f aca="false">(AJ142*Assumptions!$C$53)</f>
        <v>31838.4432</v>
      </c>
      <c r="AK143" s="9" t="n">
        <f aca="false">(AK142*Assumptions!$C$53)</f>
        <v>36639.905472</v>
      </c>
      <c r="AL143" s="9" t="n">
        <f aca="false">(AL142*Assumptions!$C$53)</f>
        <v>41249.30925312</v>
      </c>
      <c r="AN143" s="11" t="n">
        <f aca="false">SUM(C143:N143)</f>
        <v>0</v>
      </c>
      <c r="AO143" s="11" t="n">
        <f aca="false">SUM(O143:Z143)</f>
        <v>0</v>
      </c>
      <c r="AP143" s="11" t="n">
        <f aca="false">SUM(AA143:AL143)</f>
        <v>174391.57792512</v>
      </c>
    </row>
    <row r="144" customFormat="false" ht="15" hidden="false" customHeight="false" outlineLevel="0" collapsed="false">
      <c r="A144" s="0" t="s">
        <v>950</v>
      </c>
      <c r="B144" s="0" t="s">
        <v>230</v>
      </c>
      <c r="C144" s="9" t="n">
        <f aca="false">(C143*Assumptions!$C$54)</f>
        <v>0</v>
      </c>
      <c r="D144" s="9" t="n">
        <f aca="false">(D143*Assumptions!$C$54)</f>
        <v>0</v>
      </c>
      <c r="E144" s="9" t="n">
        <f aca="false">(E143*Assumptions!$C$54)</f>
        <v>0</v>
      </c>
      <c r="F144" s="9" t="n">
        <f aca="false">(F143*Assumptions!$C$54)</f>
        <v>0</v>
      </c>
      <c r="G144" s="9" t="n">
        <f aca="false">(G143*Assumptions!$C$54)</f>
        <v>0</v>
      </c>
      <c r="H144" s="9" t="n">
        <f aca="false">(H143*Assumptions!$C$54)</f>
        <v>0</v>
      </c>
      <c r="I144" s="9" t="n">
        <f aca="false">(I143*Assumptions!$C$54)</f>
        <v>0</v>
      </c>
      <c r="J144" s="9" t="n">
        <f aca="false">(J143*Assumptions!$C$54)</f>
        <v>0</v>
      </c>
      <c r="K144" s="9" t="n">
        <f aca="false">(K143*Assumptions!$C$54)</f>
        <v>0</v>
      </c>
      <c r="L144" s="9" t="n">
        <f aca="false">(L143*Assumptions!$C$54)</f>
        <v>0</v>
      </c>
      <c r="M144" s="9" t="n">
        <f aca="false">(M143*Assumptions!$C$54)</f>
        <v>0</v>
      </c>
      <c r="N144" s="9" t="n">
        <f aca="false">(N143*Assumptions!$C$54)</f>
        <v>0</v>
      </c>
      <c r="O144" s="9" t="n">
        <f aca="false">(O143*Assumptions!$C$54)</f>
        <v>0</v>
      </c>
      <c r="P144" s="9" t="n">
        <f aca="false">(P143*Assumptions!$C$54)</f>
        <v>0</v>
      </c>
      <c r="Q144" s="9" t="n">
        <f aca="false">(Q143*Assumptions!$C$54)</f>
        <v>0</v>
      </c>
      <c r="R144" s="9" t="n">
        <f aca="false">(R143*Assumptions!$C$54)</f>
        <v>0</v>
      </c>
      <c r="S144" s="9" t="n">
        <f aca="false">(S143*Assumptions!$C$54)</f>
        <v>0</v>
      </c>
      <c r="T144" s="9" t="n">
        <f aca="false">(T143*Assumptions!$C$54)</f>
        <v>0</v>
      </c>
      <c r="U144" s="9" t="n">
        <f aca="false">(U143*Assumptions!$C$54)</f>
        <v>0</v>
      </c>
      <c r="V144" s="9" t="n">
        <f aca="false">(V143*Assumptions!$C$54)</f>
        <v>0</v>
      </c>
      <c r="W144" s="9" t="n">
        <f aca="false">(W143*Assumptions!$C$54)</f>
        <v>0</v>
      </c>
      <c r="X144" s="9" t="n">
        <f aca="false">(X143*Assumptions!$C$54)</f>
        <v>0</v>
      </c>
      <c r="Y144" s="9" t="n">
        <f aca="false">(Y143*Assumptions!$C$54)</f>
        <v>0</v>
      </c>
      <c r="Z144" s="9" t="n">
        <f aca="false">(Z143*Assumptions!$C$54)</f>
        <v>0</v>
      </c>
      <c r="AA144" s="9" t="n">
        <f aca="false">(AA143*Assumptions!$C$54)</f>
        <v>0</v>
      </c>
      <c r="AB144" s="9" t="n">
        <f aca="false">(AB143*Assumptions!$C$54)</f>
        <v>0</v>
      </c>
      <c r="AC144" s="9" t="n">
        <f aca="false">(AC143*Assumptions!$C$54)</f>
        <v>0</v>
      </c>
      <c r="AD144" s="9" t="n">
        <f aca="false">(AD143*Assumptions!$C$54)</f>
        <v>0</v>
      </c>
      <c r="AE144" s="9" t="n">
        <f aca="false">(AE143*Assumptions!$C$54)</f>
        <v>0</v>
      </c>
      <c r="AF144" s="9" t="n">
        <f aca="false">(AF143*Assumptions!$C$54)</f>
        <v>0</v>
      </c>
      <c r="AG144" s="9" t="n">
        <f aca="false">(AG143*Assumptions!$C$54)</f>
        <v>2430</v>
      </c>
      <c r="AH144" s="9" t="n">
        <f aca="false">(AH143*Assumptions!$C$54)</f>
        <v>3244.05</v>
      </c>
      <c r="AI144" s="9" t="n">
        <f aca="false">(AI143*Assumptions!$C$54)</f>
        <v>4025.538</v>
      </c>
      <c r="AJ144" s="9" t="n">
        <f aca="false">(AJ143*Assumptions!$C$54)</f>
        <v>4775.76648</v>
      </c>
      <c r="AK144" s="9" t="n">
        <f aca="false">(AK143*Assumptions!$C$54)</f>
        <v>5495.9858208</v>
      </c>
      <c r="AL144" s="9" t="n">
        <f aca="false">(AL143*Assumptions!$C$54)</f>
        <v>6187.396387968</v>
      </c>
      <c r="AN144" s="11" t="n">
        <f aca="false">SUM(C144:N144)</f>
        <v>0</v>
      </c>
      <c r="AO144" s="11" t="n">
        <f aca="false">SUM(O144:Z144)</f>
        <v>0</v>
      </c>
      <c r="AP144" s="11" t="n">
        <f aca="false">SUM(AA144:AL144)</f>
        <v>26158.736688768</v>
      </c>
    </row>
    <row r="145" customFormat="false" ht="15" hidden="false" customHeight="false" outlineLevel="0" collapsed="false">
      <c r="A145" s="21" t="s">
        <v>951</v>
      </c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</row>
    <row r="146" customFormat="false" ht="15" hidden="false" customHeight="false" outlineLevel="0" collapsed="false">
      <c r="A146" s="10" t="s">
        <v>28</v>
      </c>
      <c r="B146" s="20" t="s">
        <v>230</v>
      </c>
      <c r="C146" s="11" t="n">
        <f aca="false">(((((((C42+C129)+C127)+C131)+C136)+C137)+C140)+C144)</f>
        <v>0</v>
      </c>
      <c r="D146" s="11" t="n">
        <f aca="false">(((((((D42+D129)+D127)+D131)+D136)+D137)+D140)+D144)</f>
        <v>0</v>
      </c>
      <c r="E146" s="11" t="n">
        <f aca="false">(((((((E42+E129)+E127)+E131)+E136)+E137)+E140)+E144)</f>
        <v>0</v>
      </c>
      <c r="F146" s="11" t="n">
        <f aca="false">(((((((F42+F129)+F127)+F131)+F136)+F137)+F140)+F144)</f>
        <v>0</v>
      </c>
      <c r="G146" s="11" t="n">
        <f aca="false">(((((((G42+G129)+G127)+G131)+G136)+G137)+G140)+G144)</f>
        <v>0</v>
      </c>
      <c r="H146" s="11" t="n">
        <f aca="false">(((((((H42+H129)+H127)+H131)+H136)+H137)+H140)+H144)</f>
        <v>0</v>
      </c>
      <c r="I146" s="11" t="n">
        <f aca="false">(((((((I42+I129)+I127)+I131)+I136)+I137)+I140)+I144)</f>
        <v>0</v>
      </c>
      <c r="J146" s="11" t="n">
        <f aca="false">(((((((J42+J129)+J127)+J131)+J136)+J137)+J140)+J144)</f>
        <v>0</v>
      </c>
      <c r="K146" s="11" t="n">
        <f aca="false">(((((((K42+K129)+K127)+K131)+K136)+K137)+K140)+K144)</f>
        <v>0</v>
      </c>
      <c r="L146" s="11" t="n">
        <f aca="false">(((((((L42+L129)+L127)+L131)+L136)+L137)+L140)+L144)</f>
        <v>0</v>
      </c>
      <c r="M146" s="11" t="n">
        <f aca="false">(((((((M42+M129)+M127)+M131)+M136)+M137)+M140)+M144)</f>
        <v>13300</v>
      </c>
      <c r="N146" s="11" t="n">
        <f aca="false">(((((((N42+N129)+N127)+N131)+N136)+N137)+N140)+N144)</f>
        <v>14752</v>
      </c>
      <c r="O146" s="11" t="n">
        <f aca="false">(((((((O42+O129)+O127)+O131)+O136)+O137)+O140)+O144)</f>
        <v>14798.7364183351</v>
      </c>
      <c r="P146" s="11" t="n">
        <f aca="false">(((((((P42+P129)+P127)+P131)+P136)+P137)+P140)+P144)</f>
        <v>46865.0608931325</v>
      </c>
      <c r="Q146" s="11" t="n">
        <f aca="false">(((((((Q42+Q129)+Q127)+Q131)+Q136)+Q137)+Q140)+Q144)</f>
        <v>51117.7533452201</v>
      </c>
      <c r="R146" s="11" t="n">
        <f aca="false">(((((((R42+R129)+R127)+R131)+R136)+R137)+R140)+R144)</f>
        <v>51282.998123166</v>
      </c>
      <c r="S146" s="11" t="n">
        <f aca="false">(((((((S42+S129)+S127)+S131)+S136)+S137)+S140)+S144)</f>
        <v>71767.6535058183</v>
      </c>
      <c r="T146" s="11" t="n">
        <f aca="false">(((((((T42+T129)+T127)+T131)+T136)+T137)+T140)+T144)</f>
        <v>73173.7559432061</v>
      </c>
      <c r="U146" s="11" t="n">
        <f aca="false">(((((((U42+U129)+U127)+U131)+U136)+U137)+U140)+U144)</f>
        <v>73370.4992832542</v>
      </c>
      <c r="V146" s="11" t="n">
        <f aca="false">(((((((V42+V129)+V127)+V131)+V136)+V137)+V140)+V144)</f>
        <v>77761.7560758821</v>
      </c>
      <c r="W146" s="11" t="n">
        <f aca="false">(((((((W42+W129)+W127)+W131)+W136)+W137)+W140)+W144)</f>
        <v>96421.9273165018</v>
      </c>
      <c r="X146" s="11" t="n">
        <f aca="false">(((((((X42+X129)+X127)+X131)+X136)+X137)+X140)+X144)</f>
        <v>96745.2711406758</v>
      </c>
      <c r="Y146" s="11" t="n">
        <f aca="false">(((((((Y42+Y129)+Y127)+Y131)+Y136)+Y137)+Y140)+Y144)</f>
        <v>110385.055601746</v>
      </c>
      <c r="Z146" s="11" t="n">
        <f aca="false">(((((((Z42+Z129)+Z127)+Z131)+Z136)+Z137)+Z140)+Z144)</f>
        <v>151694.181888206</v>
      </c>
      <c r="AA146" s="11" t="n">
        <f aca="false">(((((((AA42+AA129)+AA127)+AA131)+AA136)+AA137)+AA140)+AA144)</f>
        <v>153425.849508436</v>
      </c>
      <c r="AB146" s="11" t="n">
        <f aca="false">(((((((AB42+AB129)+AB127)+AB131)+AB136)+AB137)+AB140)+AB144)</f>
        <v>187126.624453198</v>
      </c>
      <c r="AC146" s="11" t="n">
        <f aca="false">(((((((AC42+AC129)+AC127)+AC131)+AC136)+AC137)+AC140)+AC144)</f>
        <v>221447.555089247</v>
      </c>
      <c r="AD146" s="11" t="n">
        <f aca="false">(((((((AD42+AD129)+AD127)+AD131)+AD136)+AD137)+AD140)+AD144)</f>
        <v>286611.578654529</v>
      </c>
      <c r="AE146" s="11" t="n">
        <f aca="false">(((((((AE42+AE129)+AE127)+AE131)+AE136)+AE137)+AE140)+AE144)</f>
        <v>295278.681020306</v>
      </c>
      <c r="AF146" s="11" t="n">
        <f aca="false">(((((((AF42+AF129)+AF127)+AF131)+AF136)+AF137)+AF140)+AF144)</f>
        <v>322740.584812937</v>
      </c>
      <c r="AG146" s="11" t="n">
        <f aca="false">(((((((AG42+AG129)+AG127)+AG131)+AG136)+AG137)+AG140)+AG144)</f>
        <v>278685.653961775</v>
      </c>
      <c r="AH146" s="11" t="n">
        <f aca="false">(((((((AH42+AH129)+AH127)+AH131)+AH136)+AH137)+AH140)+AH144)</f>
        <v>295724.342907349</v>
      </c>
      <c r="AI146" s="11" t="n">
        <f aca="false">(((((((AI42+AI129)+AI127)+AI131)+AI136)+AI137)+AI140)+AI144)</f>
        <v>373517.514772878</v>
      </c>
      <c r="AJ146" s="11" t="n">
        <f aca="false">(((((((AJ42+AJ129)+AJ127)+AJ131)+AJ136)+AJ137)+AJ140)+AJ144)</f>
        <v>501259.233274771</v>
      </c>
      <c r="AK146" s="11" t="n">
        <f aca="false">(((((((AK42+AK129)+AK127)+AK131)+AK136)+AK137)+AK140)+AK144)</f>
        <v>517883.742314234</v>
      </c>
      <c r="AL146" s="11" t="n">
        <f aca="false">(((((((AL42+AL129)+AL127)+AL131)+AL136)+AL137)+AL140)+AL144)</f>
        <v>564428.49093232</v>
      </c>
      <c r="AN146" s="11" t="n">
        <f aca="false">SUM(C146:N146)</f>
        <v>28052</v>
      </c>
      <c r="AO146" s="11" t="n">
        <f aca="false">SUM(O146:Z146)</f>
        <v>915384.649535145</v>
      </c>
      <c r="AP146" s="11" t="n">
        <f aca="false">SUM(AA146:AL146)</f>
        <v>3998129.85170198</v>
      </c>
    </row>
    <row r="147" customFormat="false" ht="15" hidden="false" customHeight="false" outlineLevel="0" collapsed="false">
      <c r="A147" s="0" t="s">
        <v>952</v>
      </c>
      <c r="B147" s="0" t="s">
        <v>230</v>
      </c>
      <c r="C147" s="9" t="n">
        <f aca="false">((((C42+C127)+C136)+C137)+C140)</f>
        <v>0</v>
      </c>
      <c r="D147" s="9" t="n">
        <f aca="false">((((D42+D127)+D136)+D137)+D140)</f>
        <v>0</v>
      </c>
      <c r="E147" s="9" t="n">
        <f aca="false">((((E42+E127)+E136)+E137)+E140)</f>
        <v>0</v>
      </c>
      <c r="F147" s="9" t="n">
        <f aca="false">((((F42+F127)+F136)+F137)+F140)</f>
        <v>0</v>
      </c>
      <c r="G147" s="9" t="n">
        <f aca="false">((((G42+G127)+G136)+G137)+G140)</f>
        <v>0</v>
      </c>
      <c r="H147" s="9" t="n">
        <f aca="false">((((H42+H127)+H136)+H137)+H140)</f>
        <v>0</v>
      </c>
      <c r="I147" s="9" t="n">
        <f aca="false">((((I42+I127)+I136)+I137)+I140)</f>
        <v>0</v>
      </c>
      <c r="J147" s="9" t="n">
        <f aca="false">((((J42+J127)+J136)+J137)+J140)</f>
        <v>0</v>
      </c>
      <c r="K147" s="9" t="n">
        <f aca="false">((((K42+K127)+K136)+K137)+K140)</f>
        <v>0</v>
      </c>
      <c r="L147" s="9" t="n">
        <f aca="false">((((L42+L127)+L136)+L137)+L140)</f>
        <v>0</v>
      </c>
      <c r="M147" s="9" t="n">
        <f aca="false">((((M42+M127)+M136)+M137)+M140)</f>
        <v>0</v>
      </c>
      <c r="N147" s="9" t="n">
        <f aca="false">((((N42+N127)+N136)+N137)+N140)</f>
        <v>1452</v>
      </c>
      <c r="O147" s="9" t="n">
        <f aca="false">((((O42+O127)+O136)+O137)+O140)</f>
        <v>1498.73641833511</v>
      </c>
      <c r="P147" s="9" t="n">
        <f aca="false">((((P42+P127)+P136)+P137)+P140)</f>
        <v>1598.3942264658</v>
      </c>
      <c r="Q147" s="9" t="n">
        <f aca="false">((((Q42+Q127)+Q136)+Q137)+Q140)</f>
        <v>5851.08667855346</v>
      </c>
      <c r="R147" s="9" t="n">
        <f aca="false">((((R42+R127)+R136)+R137)+R140)</f>
        <v>6016.33145649933</v>
      </c>
      <c r="S147" s="9" t="n">
        <f aca="false">((((S42+S127)+S136)+S137)+S140)</f>
        <v>6200.98683915162</v>
      </c>
      <c r="T147" s="9" t="n">
        <f aca="false">((((T42+T127)+T136)+T137)+T140)</f>
        <v>7607.08927653942</v>
      </c>
      <c r="U147" s="9" t="n">
        <f aca="false">((((U42+U127)+U136)+U137)+U140)</f>
        <v>7803.83261658757</v>
      </c>
      <c r="V147" s="9" t="n">
        <f aca="false">((((V42+V127)+V136)+V137)+V140)</f>
        <v>8695.0894092154</v>
      </c>
      <c r="W147" s="9" t="n">
        <f aca="false">((((W42+W127)+W136)+W137)+W140)</f>
        <v>17555.2606498352</v>
      </c>
      <c r="X147" s="9" t="n">
        <f aca="false">((((X42+X127)+X136)+X137)+X140)</f>
        <v>17878.6044740092</v>
      </c>
      <c r="Y147" s="9" t="n">
        <f aca="false">((((Y42+Y127)+Y136)+Y137)+Y140)</f>
        <v>18218.3889350797</v>
      </c>
      <c r="Z147" s="9" t="n">
        <f aca="false">((((Z42+Z127)+Z136)+Z137)+Z140)</f>
        <v>38060.8485548729</v>
      </c>
      <c r="AA147" s="9" t="n">
        <f aca="false">((((AA42+AA127)+AA136)+AA137)+AA140)</f>
        <v>39792.5161751022</v>
      </c>
      <c r="AB147" s="9" t="n">
        <f aca="false">((((AB42+AB127)+AB136)+AB137)+AB140)</f>
        <v>41526.6244531976</v>
      </c>
      <c r="AC147" s="9" t="n">
        <f aca="false">((((AC42+AC127)+AC136)+AC137)+AC140)</f>
        <v>66047.5550892469</v>
      </c>
      <c r="AD147" s="9" t="n">
        <f aca="false">((((AD42+AD127)+AD136)+AD137)+AD140)</f>
        <v>67744.9119878629</v>
      </c>
      <c r="AE147" s="9" t="n">
        <f aca="false">((((AE42+AE127)+AE136)+AE137)+AE140)</f>
        <v>69412.0143536392</v>
      </c>
      <c r="AF147" s="9" t="n">
        <f aca="false">((((AF42+AF127)+AF136)+AF137)+AF140)</f>
        <v>96873.9181462705</v>
      </c>
      <c r="AG147" s="9" t="n">
        <f aca="false">((((AG42+AG127)+AG136)+AG137)+AG140)</f>
        <v>99855.6539617747</v>
      </c>
      <c r="AH147" s="9" t="n">
        <f aca="false">((((AH42+AH127)+AH136)+AH137)+AH140)</f>
        <v>102780.292907349</v>
      </c>
      <c r="AI147" s="9" t="n">
        <f aca="false">((((AI42+AI127)+AI136)+AI137)+AI140)</f>
        <v>148525.310106212</v>
      </c>
      <c r="AJ147" s="9" t="n">
        <f aca="false">((((AJ42+AJ127)+AJ136)+AJ137)+AJ140)</f>
        <v>176583.466794771</v>
      </c>
      <c r="AK147" s="9" t="n">
        <f aca="false">((((AK42+AK127)+AK136)+AK137)+AK140)</f>
        <v>188987.756493434</v>
      </c>
      <c r="AL147" s="9" t="n">
        <f aca="false">((((AL42+AL127)+AL136)+AL137)+AL140)</f>
        <v>234841.094544352</v>
      </c>
      <c r="AN147" s="11" t="n">
        <f aca="false">SUM(C147:N147)</f>
        <v>1452</v>
      </c>
      <c r="AO147" s="11" t="n">
        <f aca="false">SUM(O147:Z147)</f>
        <v>136984.649535145</v>
      </c>
      <c r="AP147" s="11" t="n">
        <f aca="false">SUM(AA147:AL147)</f>
        <v>1332971.11501321</v>
      </c>
    </row>
    <row r="148" customFormat="false" ht="15" hidden="false" customHeight="false" outlineLevel="0" collapsed="false">
      <c r="A148" s="10" t="s">
        <v>953</v>
      </c>
      <c r="B148" s="20" t="s">
        <v>230</v>
      </c>
      <c r="C148" s="11" t="n">
        <f aca="false">(C147*12)</f>
        <v>0</v>
      </c>
      <c r="D148" s="11" t="n">
        <f aca="false">(D147*12)</f>
        <v>0</v>
      </c>
      <c r="E148" s="11" t="n">
        <f aca="false">(E147*12)</f>
        <v>0</v>
      </c>
      <c r="F148" s="11" t="n">
        <f aca="false">(F147*12)</f>
        <v>0</v>
      </c>
      <c r="G148" s="11" t="n">
        <f aca="false">(G147*12)</f>
        <v>0</v>
      </c>
      <c r="H148" s="11" t="n">
        <f aca="false">(H147*12)</f>
        <v>0</v>
      </c>
      <c r="I148" s="11" t="n">
        <f aca="false">(I147*12)</f>
        <v>0</v>
      </c>
      <c r="J148" s="11" t="n">
        <f aca="false">(J147*12)</f>
        <v>0</v>
      </c>
      <c r="K148" s="11" t="n">
        <f aca="false">(K147*12)</f>
        <v>0</v>
      </c>
      <c r="L148" s="11" t="n">
        <f aca="false">(L147*12)</f>
        <v>0</v>
      </c>
      <c r="M148" s="11" t="n">
        <f aca="false">(M147*12)</f>
        <v>0</v>
      </c>
      <c r="N148" s="11" t="n">
        <f aca="false">(N147*12)</f>
        <v>17424</v>
      </c>
      <c r="O148" s="11" t="n">
        <f aca="false">(O147*12)</f>
        <v>17984.8370200213</v>
      </c>
      <c r="P148" s="11" t="n">
        <f aca="false">(P147*12)</f>
        <v>19180.7307175896</v>
      </c>
      <c r="Q148" s="11" t="n">
        <f aca="false">(Q147*12)</f>
        <v>70213.0401426415</v>
      </c>
      <c r="R148" s="11" t="n">
        <f aca="false">(R147*12)</f>
        <v>72195.9774779919</v>
      </c>
      <c r="S148" s="11" t="n">
        <f aca="false">(S147*12)</f>
        <v>74411.8420698194</v>
      </c>
      <c r="T148" s="11" t="n">
        <f aca="false">(T147*12)</f>
        <v>91285.0713184731</v>
      </c>
      <c r="U148" s="11" t="n">
        <f aca="false">(U147*12)</f>
        <v>93645.9913990508</v>
      </c>
      <c r="V148" s="11" t="n">
        <f aca="false">(V147*12)</f>
        <v>104341.072910585</v>
      </c>
      <c r="W148" s="11" t="n">
        <f aca="false">(W147*12)</f>
        <v>210663.127798022</v>
      </c>
      <c r="X148" s="11" t="n">
        <f aca="false">(X147*12)</f>
        <v>214543.25368811</v>
      </c>
      <c r="Y148" s="11" t="n">
        <f aca="false">(Y147*12)</f>
        <v>218620.667220957</v>
      </c>
      <c r="Z148" s="11" t="n">
        <f aca="false">(Z147*12)</f>
        <v>456730.182658475</v>
      </c>
      <c r="AA148" s="11" t="n">
        <f aca="false">(AA147*12)</f>
        <v>477510.194101226</v>
      </c>
      <c r="AB148" s="11" t="n">
        <f aca="false">(AB147*12)</f>
        <v>498319.493438371</v>
      </c>
      <c r="AC148" s="11" t="n">
        <f aca="false">(AC147*12)</f>
        <v>792570.661070963</v>
      </c>
      <c r="AD148" s="11" t="n">
        <f aca="false">(AD147*12)</f>
        <v>812938.943854354</v>
      </c>
      <c r="AE148" s="11" t="n">
        <f aca="false">(AE147*12)</f>
        <v>832944.172243671</v>
      </c>
      <c r="AF148" s="11" t="n">
        <f aca="false">(AF147*12)</f>
        <v>1162487.01775525</v>
      </c>
      <c r="AG148" s="11" t="n">
        <f aca="false">(AG147*12)</f>
        <v>1198267.8475413</v>
      </c>
      <c r="AH148" s="11" t="n">
        <f aca="false">(AH147*12)</f>
        <v>1233363.51488819</v>
      </c>
      <c r="AI148" s="11" t="n">
        <f aca="false">(AI147*12)</f>
        <v>1782303.72127454</v>
      </c>
      <c r="AJ148" s="11" t="n">
        <f aca="false">(AJ147*12)</f>
        <v>2119001.60153725</v>
      </c>
      <c r="AK148" s="11" t="n">
        <f aca="false">(AK147*12)</f>
        <v>2267853.07792121</v>
      </c>
      <c r="AL148" s="11" t="n">
        <f aca="false">(AL147*12)</f>
        <v>2818093.13453222</v>
      </c>
      <c r="AN148" s="11" t="n">
        <f aca="false">N148</f>
        <v>17424</v>
      </c>
      <c r="AO148" s="11" t="n">
        <f aca="false">Z148</f>
        <v>456730.182658475</v>
      </c>
      <c r="AP148" s="11" t="n">
        <f aca="false">AL148</f>
        <v>2818093.13453222</v>
      </c>
    </row>
    <row r="149" customFormat="false" ht="15" hidden="false" customHeight="false" outlineLevel="0" collapsed="false">
      <c r="A149" s="0" t="s">
        <v>954</v>
      </c>
      <c r="B149" s="0" t="s">
        <v>230</v>
      </c>
      <c r="C149" s="9" t="n">
        <f aca="false">((((C127+C136)+C137)+C140)*12)</f>
        <v>0</v>
      </c>
      <c r="D149" s="9" t="n">
        <f aca="false">((((D127+D136)+D137)+D140)*12)</f>
        <v>0</v>
      </c>
      <c r="E149" s="9" t="n">
        <f aca="false">((((E127+E136)+E137)+E140)*12)</f>
        <v>0</v>
      </c>
      <c r="F149" s="9" t="n">
        <f aca="false">((((F127+F136)+F137)+F140)*12)</f>
        <v>0</v>
      </c>
      <c r="G149" s="9" t="n">
        <f aca="false">((((G127+G136)+G137)+G140)*12)</f>
        <v>0</v>
      </c>
      <c r="H149" s="9" t="n">
        <f aca="false">((((H127+H136)+H137)+H140)*12)</f>
        <v>0</v>
      </c>
      <c r="I149" s="9" t="n">
        <f aca="false">((((I127+I136)+I137)+I140)*12)</f>
        <v>0</v>
      </c>
      <c r="J149" s="9" t="n">
        <f aca="false">((((J127+J136)+J137)+J140)*12)</f>
        <v>0</v>
      </c>
      <c r="K149" s="9" t="n">
        <f aca="false">((((K127+K136)+K137)+K140)*12)</f>
        <v>0</v>
      </c>
      <c r="L149" s="9" t="n">
        <f aca="false">((((L127+L136)+L137)+L140)*12)</f>
        <v>0</v>
      </c>
      <c r="M149" s="9" t="n">
        <f aca="false">((((M127+M136)+M137)+M140)*12)</f>
        <v>0</v>
      </c>
      <c r="N149" s="9" t="n">
        <f aca="false">((((N127+N136)+N137)+N140)*12)</f>
        <v>17424</v>
      </c>
      <c r="O149" s="9" t="n">
        <f aca="false">((((O127+O136)+O137)+O140)*12)</f>
        <v>17424</v>
      </c>
      <c r="P149" s="9" t="n">
        <f aca="false">((((P127+P136)+P137)+P140)*12)</f>
        <v>17424</v>
      </c>
      <c r="Q149" s="9" t="n">
        <f aca="false">((((Q127+Q136)+Q137)+Q140)*12)</f>
        <v>66792</v>
      </c>
      <c r="R149" s="9" t="n">
        <f aca="false">((((R127+R136)+R137)+R140)*12)</f>
        <v>66792</v>
      </c>
      <c r="S149" s="9" t="n">
        <f aca="false">((((S127+S136)+S137)+S140)*12)</f>
        <v>66792</v>
      </c>
      <c r="T149" s="9" t="n">
        <f aca="false">((((T127+T136)+T137)+T140)*12)</f>
        <v>81345</v>
      </c>
      <c r="U149" s="9" t="n">
        <f aca="false">((((U127+U136)+U137)+U140)*12)</f>
        <v>81345</v>
      </c>
      <c r="V149" s="9" t="n">
        <f aca="false">((((V127+V136)+V137)+V140)*12)</f>
        <v>89529</v>
      </c>
      <c r="W149" s="9" t="n">
        <f aca="false">((((W127+W136)+W137)+W140)*12)</f>
        <v>192681</v>
      </c>
      <c r="X149" s="9" t="n">
        <f aca="false">((((X127+X136)+X137)+X140)*12)</f>
        <v>192681</v>
      </c>
      <c r="Y149" s="9" t="n">
        <f aca="false">((((Y127+Y136)+Y137)+Y140)*12)</f>
        <v>192681</v>
      </c>
      <c r="Z149" s="9" t="n">
        <f aca="false">((((Z127+Z136)+Z137)+Z140)*12)</f>
        <v>426659.8592</v>
      </c>
      <c r="AA149" s="9" t="n">
        <f aca="false">((((AA127+AA136)+AA137)+AA140)*12)</f>
        <v>443459.8592</v>
      </c>
      <c r="AB149" s="9" t="n">
        <f aca="false">((((AB127+AB136)+AB137)+AB140)*12)</f>
        <v>459923.8592</v>
      </c>
      <c r="AC149" s="9" t="n">
        <f aca="false">((((AC127+AC136)+AC137)+AC140)*12)</f>
        <v>749644.5856</v>
      </c>
      <c r="AD149" s="9" t="n">
        <f aca="false">((((AD127+AD136)+AD137)+AD140)*12)</f>
        <v>765456.6112</v>
      </c>
      <c r="AE149" s="9" t="n">
        <f aca="false">((((AE127+AE136)+AE137)+AE140)*12)</f>
        <v>780952.396288</v>
      </c>
      <c r="AF149" s="9" t="n">
        <f aca="false">((((AF127+AF136)+AF137)+AF140)*12)</f>
        <v>1106167.19207424</v>
      </c>
      <c r="AG149" s="9" t="n">
        <f aca="false">((((AG127+AG136)+AG137)+AG140)*12)</f>
        <v>1137849.34407276</v>
      </c>
      <c r="AH149" s="9" t="n">
        <f aca="false">((((AH127+AH136)+AH137)+AH140)*12)</f>
        <v>1168897.8530313</v>
      </c>
      <c r="AI149" s="9" t="n">
        <f aca="false">((((AI127+AI136)+AI137)+AI140)*12)</f>
        <v>1713156.48413067</v>
      </c>
      <c r="AJ149" s="9" t="n">
        <f aca="false">((((AJ127+AJ136)+AJ137)+AJ140)*12)</f>
        <v>2044465.47213446</v>
      </c>
      <c r="AK149" s="9" t="n">
        <f aca="false">((((AK127+AK136)+AK137)+AK140)*12)</f>
        <v>2187863.68037817</v>
      </c>
      <c r="AL149" s="9" t="n">
        <f aca="false">((((AL127+AL136)+AL137)+AL140)*12)</f>
        <v>2732753.57970117</v>
      </c>
      <c r="AN149" s="11" t="n">
        <f aca="false">N149</f>
        <v>17424</v>
      </c>
      <c r="AO149" s="11" t="n">
        <f aca="false">Z149</f>
        <v>426659.8592</v>
      </c>
      <c r="AP149" s="11" t="n">
        <f aca="false">AL149</f>
        <v>2732753.57970117</v>
      </c>
    </row>
    <row r="150" customFormat="false" ht="15" hidden="false" customHeight="false" outlineLevel="0" collapsed="false">
      <c r="A150" s="0" t="s">
        <v>955</v>
      </c>
      <c r="B150" s="0" t="s">
        <v>230</v>
      </c>
      <c r="C150" s="9" t="n">
        <f aca="false">(C42*12)</f>
        <v>0</v>
      </c>
      <c r="D150" s="9" t="n">
        <f aca="false">(D42*12)</f>
        <v>0</v>
      </c>
      <c r="E150" s="9" t="n">
        <f aca="false">(E42*12)</f>
        <v>0</v>
      </c>
      <c r="F150" s="9" t="n">
        <f aca="false">(F42*12)</f>
        <v>0</v>
      </c>
      <c r="G150" s="9" t="n">
        <f aca="false">(G42*12)</f>
        <v>0</v>
      </c>
      <c r="H150" s="9" t="n">
        <f aca="false">(H42*12)</f>
        <v>0</v>
      </c>
      <c r="I150" s="9" t="n">
        <f aca="false">(I42*12)</f>
        <v>0</v>
      </c>
      <c r="J150" s="9" t="n">
        <f aca="false">(J42*12)</f>
        <v>0</v>
      </c>
      <c r="K150" s="9" t="n">
        <f aca="false">(K42*12)</f>
        <v>0</v>
      </c>
      <c r="L150" s="9" t="n">
        <f aca="false">(L42*12)</f>
        <v>0</v>
      </c>
      <c r="M150" s="9" t="n">
        <f aca="false">(M42*12)</f>
        <v>0</v>
      </c>
      <c r="N150" s="9" t="n">
        <f aca="false">(N42*12)</f>
        <v>0</v>
      </c>
      <c r="O150" s="9" t="n">
        <f aca="false">(O42*12)</f>
        <v>560.837020021323</v>
      </c>
      <c r="P150" s="9" t="n">
        <f aca="false">(P42*12)</f>
        <v>1756.73071758965</v>
      </c>
      <c r="Q150" s="9" t="n">
        <f aca="false">(Q42*12)</f>
        <v>3421.0401426415</v>
      </c>
      <c r="R150" s="9" t="n">
        <f aca="false">(R42*12)</f>
        <v>5403.97747799194</v>
      </c>
      <c r="S150" s="9" t="n">
        <f aca="false">(S42*12)</f>
        <v>7619.84206981941</v>
      </c>
      <c r="T150" s="9" t="n">
        <f aca="false">(T42*12)</f>
        <v>9940.07131847306</v>
      </c>
      <c r="U150" s="9" t="n">
        <f aca="false">(U42*12)</f>
        <v>12300.9913990508</v>
      </c>
      <c r="V150" s="9" t="n">
        <f aca="false">(V42*12)</f>
        <v>14812.0729105848</v>
      </c>
      <c r="W150" s="9" t="n">
        <f aca="false">(W42*12)</f>
        <v>17982.1277980218</v>
      </c>
      <c r="X150" s="9" t="n">
        <f aca="false">(X42*12)</f>
        <v>21862.2536881099</v>
      </c>
      <c r="Y150" s="9" t="n">
        <f aca="false">(Y42*12)</f>
        <v>25939.6672209569</v>
      </c>
      <c r="Z150" s="9" t="n">
        <f aca="false">(Z42*12)</f>
        <v>30070.3234584746</v>
      </c>
      <c r="AA150" s="9" t="n">
        <f aca="false">(AA42*12)</f>
        <v>34050.3349012259</v>
      </c>
      <c r="AB150" s="9" t="n">
        <f aca="false">(AB42*12)</f>
        <v>38395.6342383713</v>
      </c>
      <c r="AC150" s="9" t="n">
        <f aca="false">(AC42*12)</f>
        <v>42926.0754709628</v>
      </c>
      <c r="AD150" s="9" t="n">
        <f aca="false">(AD42*12)</f>
        <v>47482.3326543544</v>
      </c>
      <c r="AE150" s="9" t="n">
        <f aca="false">(AE42*12)</f>
        <v>51991.7759556704</v>
      </c>
      <c r="AF150" s="9" t="n">
        <f aca="false">(AF42*12)</f>
        <v>56319.8256810063</v>
      </c>
      <c r="AG150" s="9" t="n">
        <f aca="false">(AG42*12)</f>
        <v>60418.5034685414</v>
      </c>
      <c r="AH150" s="9" t="n">
        <f aca="false">(AH42*12)</f>
        <v>64465.6618568881</v>
      </c>
      <c r="AI150" s="9" t="n">
        <f aca="false">(AI42*12)</f>
        <v>69147.2371438668</v>
      </c>
      <c r="AJ150" s="9" t="n">
        <f aca="false">(AJ42*12)</f>
        <v>74536.1294027909</v>
      </c>
      <c r="AK150" s="9" t="n">
        <f aca="false">(AK42*12)</f>
        <v>79989.3975430343</v>
      </c>
      <c r="AL150" s="9" t="n">
        <f aca="false">(AL42*12)</f>
        <v>85339.5548310523</v>
      </c>
      <c r="AN150" s="11" t="n">
        <f aca="false">N150</f>
        <v>0</v>
      </c>
      <c r="AO150" s="11" t="n">
        <f aca="false">Z150</f>
        <v>30070.3234584746</v>
      </c>
      <c r="AP150" s="11" t="n">
        <f aca="false">AL150</f>
        <v>85339.5548310523</v>
      </c>
    </row>
    <row r="151" customFormat="false" ht="15" hidden="false" customHeight="false" outlineLevel="0" collapsed="false">
      <c r="A151" s="10" t="s">
        <v>956</v>
      </c>
      <c r="B151" s="20" t="s">
        <v>230</v>
      </c>
      <c r="C151" s="11" t="n">
        <f aca="false">(((((((C41+C130)+C128)+C132)+C136)+C137)+C140)+C144)</f>
        <v>0</v>
      </c>
      <c r="D151" s="11" t="n">
        <f aca="false">(((((((D41+D130)+D128)+D132)+D136)+D137)+D140)+D144)</f>
        <v>0</v>
      </c>
      <c r="E151" s="11" t="n">
        <f aca="false">(((((((E41+E130)+E128)+E132)+E136)+E137)+E140)+E144)</f>
        <v>0</v>
      </c>
      <c r="F151" s="11" t="n">
        <f aca="false">(((((((F41+F130)+F128)+F132)+F136)+F137)+F140)+F144)</f>
        <v>0</v>
      </c>
      <c r="G151" s="11" t="n">
        <f aca="false">(((((((G41+G130)+G128)+G132)+G136)+G137)+G140)+G144)</f>
        <v>0</v>
      </c>
      <c r="H151" s="11" t="n">
        <f aca="false">(((((((H41+H130)+H128)+H132)+H136)+H137)+H140)+H144)</f>
        <v>0</v>
      </c>
      <c r="I151" s="11" t="n">
        <f aca="false">(((((((I41+I130)+I128)+I132)+I136)+I137)+I140)+I144)</f>
        <v>0</v>
      </c>
      <c r="J151" s="11" t="n">
        <f aca="false">(((((((J41+J130)+J128)+J132)+J136)+J137)+J140)+J144)</f>
        <v>0</v>
      </c>
      <c r="K151" s="11" t="n">
        <f aca="false">(((((((K41+K130)+K128)+K132)+K136)+K137)+K140)+K144)</f>
        <v>0</v>
      </c>
      <c r="L151" s="11" t="n">
        <f aca="false">(((((((L41+L130)+L128)+L132)+L136)+L137)+L140)+L144)</f>
        <v>0</v>
      </c>
      <c r="M151" s="11" t="n">
        <f aca="false">(((((((M41+M130)+M128)+M132)+M136)+M137)+M140)+M144)</f>
        <v>50400</v>
      </c>
      <c r="N151" s="11" t="n">
        <f aca="false">(((((((N41+N130)+N128)+N132)+N136)+N137)+N140)+N144)</f>
        <v>17424</v>
      </c>
      <c r="O151" s="11" t="n">
        <f aca="false">(((((((O41+O130)+O128)+O132)+O136)+O137)+O140)+O144)</f>
        <v>218.894369179782</v>
      </c>
      <c r="P151" s="11" t="n">
        <f aca="false">(((((((P41+P130)+P128)+P132)+P136)+P137)+P140)+P144)</f>
        <v>157302.708873764</v>
      </c>
      <c r="Q151" s="11" t="n">
        <f aca="false">(((((((Q41+Q130)+Q128)+Q132)+Q136)+Q137)+Q140)+Q144)</f>
        <v>50129.6819043712</v>
      </c>
      <c r="R151" s="11" t="n">
        <f aca="false">(((((((R41+R130)+R128)+R132)+R136)+R137)+R140)+R144)</f>
        <v>991.136667845226</v>
      </c>
      <c r="S151" s="11" t="n">
        <f aca="false">(((((((S41+S130)+S128)+S132)+S136)+S137)+S140)+S144)</f>
        <v>208406.072325562</v>
      </c>
      <c r="T151" s="11" t="n">
        <f aca="false">(((((((T41+T130)+T128)+T132)+T136)+T137)+T140)+T144)</f>
        <v>15936.9966661657</v>
      </c>
      <c r="U151" s="11" t="n">
        <f aca="false">(((((((U41+U130)+U128)+U132)+U136)+U137)+U140)+U144)</f>
        <v>1541.80689675379</v>
      </c>
      <c r="V151" s="11" t="n">
        <f aca="false">(((((((V41+V130)+V128)+V132)+V136)+V137)+V140)+V144)</f>
        <v>209624.931972849</v>
      </c>
      <c r="W151" s="11" t="n">
        <f aca="false">(((((((W41+W130)+W128)+W132)+W136)+W137)+W140)+W144)</f>
        <v>126036.443789467</v>
      </c>
      <c r="X151" s="11" t="n">
        <f aca="false">(((((((X41+X130)+X128)+X132)+X136)+X137)+X140)+X144)</f>
        <v>4149.40577539201</v>
      </c>
      <c r="Y151" s="11" t="n">
        <f aca="false">(((((((Y41+Y130)+Y128)+Y132)+Y136)+Y137)+Y140)+Y144)</f>
        <v>262059.440294586</v>
      </c>
      <c r="Z151" s="11" t="n">
        <f aca="false">(((((((Z41+Z130)+Z128)+Z132)+Z136)+Z137)+Z140)+Z144)</f>
        <v>329791.747861955</v>
      </c>
      <c r="AA151" s="11" t="n">
        <f aca="false">(((((((AA41+AA130)+AA128)+AA132)+AA136)+AA137)+AA140)+AA144)</f>
        <v>8280.46134616594</v>
      </c>
      <c r="AB151" s="11" t="n">
        <f aca="false">(((((((AB41+AB130)+AB128)+AB132)+AB136)+AB137)+AB140)+AB144)</f>
        <v>374195.998204019</v>
      </c>
      <c r="AC151" s="11" t="n">
        <f aca="false">(((((((AC41+AC130)+AC128)+AC132)+AC136)+AC137)+AC140)+AC144)</f>
        <v>435237.498236769</v>
      </c>
      <c r="AD151" s="11" t="n">
        <f aca="false">(((((((AD41+AD130)+AD128)+AD132)+AD136)+AD137)+AD140)+AD144)</f>
        <v>248177.409325419</v>
      </c>
      <c r="AE151" s="11" t="n">
        <f aca="false">(((((((AE41+AE130)+AE128)+AE132)+AE136)+AE137)+AE140)+AE144)</f>
        <v>381396.654415796</v>
      </c>
      <c r="AF151" s="11" t="n">
        <f aca="false">(((((((AF41+AF130)+AF128)+AF132)+AF136)+AF137)+AF140)+AF144)</f>
        <v>429318.702816401</v>
      </c>
      <c r="AG151" s="11" t="n">
        <f aca="false">(((((((AG41+AG130)+AG128)+AG132)+AG136)+AG137)+AG140)+AG144)</f>
        <v>27559.2249371801</v>
      </c>
      <c r="AH151" s="11" t="n">
        <f aca="false">(((((((AH41+AH130)+AH128)+AH132)+AH136)+AH137)+AH140)+AH144)</f>
        <v>445631.516604204</v>
      </c>
      <c r="AI151" s="11" t="n">
        <f aca="false">(((((((AI41+AI130)+AI128)+AI132)+AI136)+AI137)+AI140)+AI144)</f>
        <v>811212.913966857</v>
      </c>
      <c r="AJ151" s="11" t="n">
        <f aca="false">(((((((AJ41+AJ130)+AJ128)+AJ132)+AJ136)+AJ137)+AJ140)+AJ144)</f>
        <v>697925.302605758</v>
      </c>
      <c r="AK151" s="11" t="n">
        <f aca="false">(((((((AK41+AK130)+AK128)+AK132)+AK136)+AK137)+AK140)+AK144)</f>
        <v>565959.65546459</v>
      </c>
      <c r="AL151" s="11" t="n">
        <f aca="false">(((((((AL41+AL130)+AL128)+AL132)+AL136)+AL137)+AL140)+AL144)</f>
        <v>970573.556300651</v>
      </c>
      <c r="AN151" s="11" t="n">
        <f aca="false">SUM(C151:N151)</f>
        <v>67824</v>
      </c>
      <c r="AO151" s="11" t="n">
        <f aca="false">SUM(O151:Z151)</f>
        <v>1366189.26739789</v>
      </c>
      <c r="AP151" s="11" t="n">
        <f aca="false">SUM(AA151:AL151)</f>
        <v>5395468.89422381</v>
      </c>
    </row>
    <row r="152" customFormat="false" ht="15" hidden="false" customHeight="false" outlineLevel="0" collapsed="false">
      <c r="A152" s="0" t="s">
        <v>957</v>
      </c>
      <c r="B152" s="0" t="s">
        <v>230</v>
      </c>
      <c r="C152" s="9" t="n">
        <f aca="false">((C130+C128)+C132)</f>
        <v>0</v>
      </c>
      <c r="D152" s="9" t="n">
        <f aca="false">((D130+D128)+D132)</f>
        <v>0</v>
      </c>
      <c r="E152" s="9" t="n">
        <f aca="false">((E130+E128)+E132)</f>
        <v>0</v>
      </c>
      <c r="F152" s="9" t="n">
        <f aca="false">((F130+F128)+F132)</f>
        <v>0</v>
      </c>
      <c r="G152" s="9" t="n">
        <f aca="false">((G130+G128)+G132)</f>
        <v>0</v>
      </c>
      <c r="H152" s="9" t="n">
        <f aca="false">((H130+H128)+H132)</f>
        <v>0</v>
      </c>
      <c r="I152" s="9" t="n">
        <f aca="false">((I130+I128)+I132)</f>
        <v>0</v>
      </c>
      <c r="J152" s="9" t="n">
        <f aca="false">((J130+J128)+J132)</f>
        <v>0</v>
      </c>
      <c r="K152" s="9" t="n">
        <f aca="false">((K130+K128)+K132)</f>
        <v>0</v>
      </c>
      <c r="L152" s="9" t="n">
        <f aca="false">((L130+L128)+L132)</f>
        <v>0</v>
      </c>
      <c r="M152" s="9" t="n">
        <f aca="false">((M130+M128)+M132)</f>
        <v>50400</v>
      </c>
      <c r="N152" s="9" t="n">
        <f aca="false">((N130+N128)+N132)</f>
        <v>17424</v>
      </c>
      <c r="O152" s="9" t="n">
        <f aca="false">((O130+O128)+O132)</f>
        <v>0</v>
      </c>
      <c r="P152" s="9" t="n">
        <f aca="false">((P130+P128)+P132)</f>
        <v>156800</v>
      </c>
      <c r="Q152" s="9" t="n">
        <f aca="false">((Q130+Q128)+Q132)</f>
        <v>49368</v>
      </c>
      <c r="R152" s="9" t="n">
        <f aca="false">((R130+R128)+R132)</f>
        <v>0</v>
      </c>
      <c r="S152" s="9" t="n">
        <f aca="false">((S130+S128)+S132)</f>
        <v>207200</v>
      </c>
      <c r="T152" s="9" t="n">
        <f aca="false">((T130+T128)+T132)</f>
        <v>14553</v>
      </c>
      <c r="U152" s="9" t="n">
        <f aca="false">((U130+U128)+U132)</f>
        <v>0</v>
      </c>
      <c r="V152" s="9" t="n">
        <f aca="false">((V130+V128)+V132)</f>
        <v>207200</v>
      </c>
      <c r="W152" s="9" t="n">
        <f aca="false">((W130+W128)+W132)</f>
        <v>122354.4</v>
      </c>
      <c r="X152" s="9" t="n">
        <f aca="false">((X130+X128)+X132)</f>
        <v>0</v>
      </c>
      <c r="Y152" s="9" t="n">
        <f aca="false">((Y130+Y128)+Y132)</f>
        <v>257600</v>
      </c>
      <c r="Z152" s="9" t="n">
        <f aca="false">((Z130+Z128)+Z132)</f>
        <v>323238.8272</v>
      </c>
      <c r="AA152" s="9" t="n">
        <f aca="false">((AA130+AA128)+AA132)</f>
        <v>0</v>
      </c>
      <c r="AB152" s="9" t="n">
        <f aca="false">((AB130+AB128)+AB132)</f>
        <v>364000</v>
      </c>
      <c r="AC152" s="9" t="n">
        <f aca="false">((AC130+AC128)+AC132)</f>
        <v>421153.1104</v>
      </c>
      <c r="AD152" s="9" t="n">
        <f aca="false">((AD130+AD128)+AD132)</f>
        <v>232400</v>
      </c>
      <c r="AE152" s="9" t="n">
        <f aca="false">((AE130+AE128)+AE132)</f>
        <v>364000</v>
      </c>
      <c r="AF152" s="9" t="n">
        <f aca="false">((AF130+AF128)+AF132)</f>
        <v>407020.3984</v>
      </c>
      <c r="AG152" s="9" t="n">
        <f aca="false">((AG130+AG128)+AG132)</f>
        <v>0</v>
      </c>
      <c r="AH152" s="9" t="n">
        <f aca="false">((AH130+AH128)+AH132)</f>
        <v>414400</v>
      </c>
      <c r="AI152" s="9" t="n">
        <f aca="false">((AI130+AI128)+AI132)</f>
        <v>771654.88232</v>
      </c>
      <c r="AJ152" s="9" t="n">
        <f aca="false">((AJ130+AJ128)+AJ132)</f>
        <v>651840</v>
      </c>
      <c r="AK152" s="9" t="n">
        <f aca="false">((AK130+AK128)+AK132)</f>
        <v>515177.6</v>
      </c>
      <c r="AL152" s="9" t="n">
        <f aca="false">((AL130+AL128)+AL132)</f>
        <v>912178.74450816</v>
      </c>
      <c r="AN152" s="11" t="n">
        <f aca="false">SUM(C152:N152)</f>
        <v>67824</v>
      </c>
      <c r="AO152" s="11" t="n">
        <f aca="false">SUM(O152:Z152)</f>
        <v>1338314.2272</v>
      </c>
      <c r="AP152" s="11" t="n">
        <f aca="false">SUM(AA152:AL152)</f>
        <v>5053824.73562816</v>
      </c>
    </row>
    <row r="153" customFormat="false" ht="15" hidden="false" customHeight="false" outlineLevel="0" collapsed="false">
      <c r="A153" s="0" t="s">
        <v>43</v>
      </c>
      <c r="B153" s="0" t="s">
        <v>230</v>
      </c>
      <c r="C153" s="9" t="n">
        <f aca="false">(((((C41+C136)+C137)+C140)+C144)+((1-Assumptions!$C$33)*0))</f>
        <v>0</v>
      </c>
      <c r="D153" s="9" t="n">
        <f aca="false">(((((D41+D136)+D137)+D140)+D144)+((1-Assumptions!$C$33)*0))</f>
        <v>0</v>
      </c>
      <c r="E153" s="9" t="n">
        <f aca="false">(((((E41+E136)+E137)+E140)+E144)+((1-Assumptions!$C$33)*C152))</f>
        <v>0</v>
      </c>
      <c r="F153" s="9" t="n">
        <f aca="false">(((((F41+F136)+F137)+F140)+F144)+((1-Assumptions!$C$33)*D152))</f>
        <v>0</v>
      </c>
      <c r="G153" s="9" t="n">
        <f aca="false">(((((G41+G136)+G137)+G140)+G144)+((1-Assumptions!$C$33)*E152))</f>
        <v>0</v>
      </c>
      <c r="H153" s="9" t="n">
        <f aca="false">(((((H41+H136)+H137)+H140)+H144)+((1-Assumptions!$C$33)*F152))</f>
        <v>0</v>
      </c>
      <c r="I153" s="9" t="n">
        <f aca="false">(((((I41+I136)+I137)+I140)+I144)+((1-Assumptions!$C$33)*G152))</f>
        <v>0</v>
      </c>
      <c r="J153" s="9" t="n">
        <f aca="false">(((((J41+J136)+J137)+J140)+J144)+((1-Assumptions!$C$33)*H152))</f>
        <v>0</v>
      </c>
      <c r="K153" s="9" t="n">
        <f aca="false">(((((K41+K136)+K137)+K140)+K144)+((1-Assumptions!$C$33)*I152))</f>
        <v>0</v>
      </c>
      <c r="L153" s="9" t="n">
        <f aca="false">(((((L41+L136)+L137)+L140)+L144)+((1-Assumptions!$C$33)*J152))</f>
        <v>0</v>
      </c>
      <c r="M153" s="9" t="n">
        <f aca="false">(((((M41+M136)+M137)+M140)+M144)+((1-Assumptions!$C$33)*K152))</f>
        <v>0</v>
      </c>
      <c r="N153" s="9" t="n">
        <f aca="false">(((((N41+N136)+N137)+N140)+N144)+((1-Assumptions!$C$33)*L152))</f>
        <v>0</v>
      </c>
      <c r="O153" s="9" t="n">
        <f aca="false">(((((O41+O136)+O137)+O140)+O144)+((1-Assumptions!$C$33)*M152))</f>
        <v>50114.8943691798</v>
      </c>
      <c r="P153" s="9" t="n">
        <f aca="false">(((((P41+P136)+P137)+P140)+P144)+((1-Assumptions!$C$33)*N152))</f>
        <v>17752.4688737643</v>
      </c>
      <c r="Q153" s="9" t="n">
        <f aca="false">(((((Q41+Q136)+Q137)+Q140)+Q144)+((1-Assumptions!$C$33)*O152))</f>
        <v>761.681904371221</v>
      </c>
      <c r="R153" s="9" t="n">
        <f aca="false">(((((R41+R136)+R137)+R140)+R144)+((1-Assumptions!$C$33)*P152))</f>
        <v>156223.136667845</v>
      </c>
      <c r="S153" s="9" t="n">
        <f aca="false">(((((S41+S136)+S137)+S140)+S144)+((1-Assumptions!$C$33)*Q152))</f>
        <v>50080.3923255624</v>
      </c>
      <c r="T153" s="9" t="n">
        <f aca="false">(((((T41+T136)+T137)+T140)+T144)+((1-Assumptions!$C$33)*R152))</f>
        <v>1383.99666616566</v>
      </c>
      <c r="U153" s="9" t="n">
        <f aca="false">(((((U41+U136)+U137)+U140)+U144)+((1-Assumptions!$C$33)*S152))</f>
        <v>206669.806896754</v>
      </c>
      <c r="V153" s="9" t="n">
        <f aca="false">(((((V41+V136)+V137)+V140)+V144)+((1-Assumptions!$C$33)*T152))</f>
        <v>16832.4019728489</v>
      </c>
      <c r="W153" s="9" t="n">
        <f aca="false">(((((W41+W136)+W137)+W140)+W144)+((1-Assumptions!$C$33)*U152))</f>
        <v>3682.04378946734</v>
      </c>
      <c r="X153" s="9" t="n">
        <f aca="false">(((((X41+X136)+X137)+X140)+X144)+((1-Assumptions!$C$33)*V152))</f>
        <v>209277.405775392</v>
      </c>
      <c r="Y153" s="9" t="n">
        <f aca="false">(((((Y41+Y136)+Y137)+Y140)+Y144)+((1-Assumptions!$C$33)*W152))</f>
        <v>125590.296294586</v>
      </c>
      <c r="Z153" s="9" t="n">
        <f aca="false">(((((Z41+Z136)+Z137)+Z140)+Z144)+((1-Assumptions!$C$33)*X152))</f>
        <v>6552.92066195508</v>
      </c>
      <c r="AA153" s="9" t="n">
        <f aca="false">(((((AA41+AA136)+AA137)+AA140)+AA144)+((1-Assumptions!$C$33)*Y152))</f>
        <v>263304.461346166</v>
      </c>
      <c r="AB153" s="9" t="n">
        <f aca="false">(((((AB41+AB136)+AB137)+AB140)+AB144)+((1-Assumptions!$C$33)*Z152))</f>
        <v>330202.437132019</v>
      </c>
      <c r="AC153" s="9" t="n">
        <f aca="false">(((((AC41+AC136)+AC137)+AC140)+AC144)+((1-Assumptions!$C$33)*AA152))</f>
        <v>14084.3878367688</v>
      </c>
      <c r="AD153" s="9" t="n">
        <f aca="false">(((((AD41+AD136)+AD137)+AD140)+AD144)+((1-Assumptions!$C$33)*AB152))</f>
        <v>376137.409325419</v>
      </c>
      <c r="AE153" s="9" t="n">
        <f aca="false">(((((AE41+AE136)+AE137)+AE140)+AE144)+((1-Assumptions!$C$33)*AC152))</f>
        <v>434338.233711796</v>
      </c>
      <c r="AF153" s="9" t="n">
        <f aca="false">(((((AF41+AF136)+AF137)+AF140)+AF144)+((1-Assumptions!$C$33)*AD152))</f>
        <v>252374.304416401</v>
      </c>
      <c r="AG153" s="9" t="n">
        <f aca="false">(((((AG41+AG136)+AG137)+AG140)+AG144)+((1-Assumptions!$C$33)*AE152))</f>
        <v>387919.22493718</v>
      </c>
      <c r="AH153" s="9" t="n">
        <f aca="false">(((((AH41+AH136)+AH137)+AH140)+AH144)+((1-Assumptions!$C$33)*AF152))</f>
        <v>434181.711020204</v>
      </c>
      <c r="AI153" s="9" t="n">
        <f aca="false">(((((AI41+AI136)+AI137)+AI140)+AI144)+((1-Assumptions!$C$33)*AG152))</f>
        <v>39558.0316468568</v>
      </c>
      <c r="AJ153" s="9" t="n">
        <f aca="false">(((((AJ41+AJ136)+AJ137)+AJ140)+AJ144)+((1-Assumptions!$C$33)*AH152))</f>
        <v>456341.302605758</v>
      </c>
      <c r="AK153" s="9" t="n">
        <f aca="false">(((((AK41+AK136)+AK137)+AK140)+AK144)+((1-Assumptions!$C$33)*AI152))</f>
        <v>814720.38896139</v>
      </c>
      <c r="AL153" s="9" t="n">
        <f aca="false">(((((AL41+AL136)+AL137)+AL140)+AL144)+((1-Assumptions!$C$33)*AJ152))</f>
        <v>703716.411792491</v>
      </c>
      <c r="AN153" s="11" t="n">
        <f aca="false">SUM(C153:N153)</f>
        <v>0</v>
      </c>
      <c r="AO153" s="11" t="n">
        <f aca="false">SUM(O153:Z153)</f>
        <v>844921.446197892</v>
      </c>
      <c r="AP153" s="11" t="n">
        <f aca="false">SUM(AA153:AL153)</f>
        <v>4506878.30473245</v>
      </c>
    </row>
    <row r="154" customFormat="false" ht="15" hidden="false" customHeight="false" outlineLevel="0" collapsed="false">
      <c r="A154" s="0" t="s">
        <v>958</v>
      </c>
      <c r="B154" s="0" t="s">
        <v>230</v>
      </c>
      <c r="C154" s="9" t="n">
        <f aca="false">((0+C151)-C146)</f>
        <v>0</v>
      </c>
      <c r="D154" s="9" t="n">
        <f aca="false">((C154+D151)-D146)</f>
        <v>0</v>
      </c>
      <c r="E154" s="9" t="n">
        <f aca="false">((D154+E151)-E146)</f>
        <v>0</v>
      </c>
      <c r="F154" s="9" t="n">
        <f aca="false">((E154+F151)-F146)</f>
        <v>0</v>
      </c>
      <c r="G154" s="9" t="n">
        <f aca="false">((F154+G151)-G146)</f>
        <v>0</v>
      </c>
      <c r="H154" s="9" t="n">
        <f aca="false">((G154+H151)-H146)</f>
        <v>0</v>
      </c>
      <c r="I154" s="9" t="n">
        <f aca="false">((H154+I151)-I146)</f>
        <v>0</v>
      </c>
      <c r="J154" s="9" t="n">
        <f aca="false">((I154+J151)-J146)</f>
        <v>0</v>
      </c>
      <c r="K154" s="9" t="n">
        <f aca="false">((J154+K151)-K146)</f>
        <v>0</v>
      </c>
      <c r="L154" s="9" t="n">
        <f aca="false">((K154+L151)-L146)</f>
        <v>0</v>
      </c>
      <c r="M154" s="9" t="n">
        <f aca="false">((L154+M151)-M146)</f>
        <v>37100</v>
      </c>
      <c r="N154" s="9" t="n">
        <f aca="false">((M154+N151)-N146)</f>
        <v>39772</v>
      </c>
      <c r="O154" s="9" t="n">
        <f aca="false">((N154+O151)-O146)</f>
        <v>25192.1579508447</v>
      </c>
      <c r="P154" s="9" t="n">
        <f aca="false">((O154+P151)-P146)</f>
        <v>135629.805931477</v>
      </c>
      <c r="Q154" s="9" t="n">
        <f aca="false">((P154+Q151)-Q146)</f>
        <v>134641.734490628</v>
      </c>
      <c r="R154" s="9" t="n">
        <f aca="false">((Q154+R151)-R146)</f>
        <v>84349.8730353068</v>
      </c>
      <c r="S154" s="9" t="n">
        <f aca="false">((R154+S151)-S146)</f>
        <v>220988.291855051</v>
      </c>
      <c r="T154" s="9" t="n">
        <f aca="false">((S154+T151)-T146)</f>
        <v>163751.53257801</v>
      </c>
      <c r="U154" s="9" t="n">
        <f aca="false">((T154+U151)-U146)</f>
        <v>91922.84019151</v>
      </c>
      <c r="V154" s="9" t="n">
        <f aca="false">((U154+V151)-V146)</f>
        <v>223786.016088477</v>
      </c>
      <c r="W154" s="9" t="n">
        <f aca="false">((V154+W151)-W146)</f>
        <v>253400.532561442</v>
      </c>
      <c r="X154" s="9" t="n">
        <f aca="false">((W154+X151)-X146)</f>
        <v>160804.667196159</v>
      </c>
      <c r="Y154" s="9" t="n">
        <f aca="false">((X154+Y151)-Y146)</f>
        <v>312479.051888998</v>
      </c>
      <c r="Z154" s="9" t="n">
        <f aca="false">((Y154+Z151)-Z146)</f>
        <v>490576.617862747</v>
      </c>
      <c r="AA154" s="9" t="n">
        <f aca="false">((Z154+AA151)-AA146)</f>
        <v>345431.229700477</v>
      </c>
      <c r="AB154" s="9" t="n">
        <f aca="false">((AA154+AB151)-AB146)</f>
        <v>532500.603451299</v>
      </c>
      <c r="AC154" s="9" t="n">
        <f aca="false">((AB154+AC151)-AC146)</f>
        <v>746290.546598821</v>
      </c>
      <c r="AD154" s="9" t="n">
        <f aca="false">((AC154+AD151)-AD146)</f>
        <v>707856.37726971</v>
      </c>
      <c r="AE154" s="9" t="n">
        <f aca="false">((AD154+AE151)-AE146)</f>
        <v>793974.350665201</v>
      </c>
      <c r="AF154" s="9" t="n">
        <f aca="false">((AE154+AF151)-AF146)</f>
        <v>900552.468668665</v>
      </c>
      <c r="AG154" s="9" t="n">
        <f aca="false">((AF154+AG151)-AG146)</f>
        <v>649426.03964407</v>
      </c>
      <c r="AH154" s="9" t="n">
        <f aca="false">((AG154+AH151)-AH146)</f>
        <v>799333.213340925</v>
      </c>
      <c r="AI154" s="9" t="n">
        <f aca="false">((AH154+AI151)-AI146)</f>
        <v>1237028.6125349</v>
      </c>
      <c r="AJ154" s="9" t="n">
        <f aca="false">((AI154+AJ151)-AJ146)</f>
        <v>1433694.68186589</v>
      </c>
      <c r="AK154" s="9" t="n">
        <f aca="false">((AJ154+AK151)-AK146)</f>
        <v>1481770.59501625</v>
      </c>
      <c r="AL154" s="9" t="n">
        <f aca="false">((AK154+AL151)-AL146)</f>
        <v>1887915.66038458</v>
      </c>
      <c r="AN154" s="11" t="n">
        <f aca="false">N154</f>
        <v>39772</v>
      </c>
      <c r="AO154" s="11" t="n">
        <f aca="false">Z154</f>
        <v>490576.617862747</v>
      </c>
      <c r="AP154" s="11" t="n">
        <f aca="false">AL154</f>
        <v>1887915.66038458</v>
      </c>
    </row>
    <row r="155" customFormat="false" ht="15" hidden="false" customHeight="false" outlineLevel="0" collapsed="false">
      <c r="A155" s="0" t="s">
        <v>959</v>
      </c>
      <c r="B155" s="0" t="s">
        <v>230</v>
      </c>
      <c r="C155" s="9" t="n">
        <f aca="false">((0+((1-Assumptions!$C$33)*C152))-((1-Assumptions!$C$33)*0))</f>
        <v>0</v>
      </c>
      <c r="D155" s="9" t="n">
        <f aca="false">((C155+((1-Assumptions!$C$33)*D152))-((1-Assumptions!$C$33)*0))</f>
        <v>0</v>
      </c>
      <c r="E155" s="9" t="n">
        <f aca="false">((D155+((1-Assumptions!$C$33)*E152))-((1-Assumptions!$C$33)*C152))</f>
        <v>0</v>
      </c>
      <c r="F155" s="9" t="n">
        <f aca="false">((E155+((1-Assumptions!$C$33)*F152))-((1-Assumptions!$C$33)*D152))</f>
        <v>0</v>
      </c>
      <c r="G155" s="9" t="n">
        <f aca="false">((F155+((1-Assumptions!$C$33)*G152))-((1-Assumptions!$C$33)*E152))</f>
        <v>0</v>
      </c>
      <c r="H155" s="9" t="n">
        <f aca="false">((G155+((1-Assumptions!$C$33)*H152))-((1-Assumptions!$C$33)*F152))</f>
        <v>0</v>
      </c>
      <c r="I155" s="9" t="n">
        <f aca="false">((H155+((1-Assumptions!$C$33)*I152))-((1-Assumptions!$C$33)*G152))</f>
        <v>0</v>
      </c>
      <c r="J155" s="9" t="n">
        <f aca="false">((I155+((1-Assumptions!$C$33)*J152))-((1-Assumptions!$C$33)*H152))</f>
        <v>0</v>
      </c>
      <c r="K155" s="9" t="n">
        <f aca="false">((J155+((1-Assumptions!$C$33)*K152))-((1-Assumptions!$C$33)*I152))</f>
        <v>0</v>
      </c>
      <c r="L155" s="9" t="n">
        <f aca="false">((K155+((1-Assumptions!$C$33)*L152))-((1-Assumptions!$C$33)*J152))</f>
        <v>0</v>
      </c>
      <c r="M155" s="9" t="n">
        <f aca="false">((L155+((1-Assumptions!$C$33)*M152))-((1-Assumptions!$C$33)*K152))</f>
        <v>49896</v>
      </c>
      <c r="N155" s="9" t="n">
        <f aca="false">((M155+((1-Assumptions!$C$33)*N152))-((1-Assumptions!$C$33)*L152))</f>
        <v>67145.76</v>
      </c>
      <c r="O155" s="9" t="n">
        <f aca="false">((N155+((1-Assumptions!$C$33)*O152))-((1-Assumptions!$C$33)*M152))</f>
        <v>17249.76</v>
      </c>
      <c r="P155" s="9" t="n">
        <f aca="false">((O155+((1-Assumptions!$C$33)*P152))-((1-Assumptions!$C$33)*N152))</f>
        <v>155232</v>
      </c>
      <c r="Q155" s="9" t="n">
        <f aca="false">((P155+((1-Assumptions!$C$33)*Q152))-((1-Assumptions!$C$33)*O152))</f>
        <v>204106.32</v>
      </c>
      <c r="R155" s="9" t="n">
        <f aca="false">((Q155+((1-Assumptions!$C$33)*R152))-((1-Assumptions!$C$33)*P152))</f>
        <v>48874.32</v>
      </c>
      <c r="S155" s="9" t="n">
        <f aca="false">((R155+((1-Assumptions!$C$33)*S152))-((1-Assumptions!$C$33)*Q152))</f>
        <v>205128</v>
      </c>
      <c r="T155" s="9" t="n">
        <f aca="false">((S155+((1-Assumptions!$C$33)*T152))-((1-Assumptions!$C$33)*R152))</f>
        <v>219535.47</v>
      </c>
      <c r="U155" s="9" t="n">
        <f aca="false">((T155+((1-Assumptions!$C$33)*U152))-((1-Assumptions!$C$33)*S152))</f>
        <v>14407.47</v>
      </c>
      <c r="V155" s="9" t="n">
        <f aca="false">((U155+((1-Assumptions!$C$33)*V152))-((1-Assumptions!$C$33)*T152))</f>
        <v>205128</v>
      </c>
      <c r="W155" s="9" t="n">
        <f aca="false">((V155+((1-Assumptions!$C$33)*W152))-((1-Assumptions!$C$33)*U152))</f>
        <v>326258.856</v>
      </c>
      <c r="X155" s="9" t="n">
        <f aca="false">((W155+((1-Assumptions!$C$33)*X152))-((1-Assumptions!$C$33)*V152))</f>
        <v>121130.856</v>
      </c>
      <c r="Y155" s="9" t="n">
        <f aca="false">((X155+((1-Assumptions!$C$33)*Y152))-((1-Assumptions!$C$33)*W152))</f>
        <v>255024</v>
      </c>
      <c r="Z155" s="9" t="n">
        <f aca="false">((Y155+((1-Assumptions!$C$33)*Z152))-((1-Assumptions!$C$33)*X152))</f>
        <v>575030.438928</v>
      </c>
      <c r="AA155" s="9" t="n">
        <f aca="false">((Z155+((1-Assumptions!$C$33)*AA152))-((1-Assumptions!$C$33)*Y152))</f>
        <v>320006.438928</v>
      </c>
      <c r="AB155" s="9" t="n">
        <f aca="false">((AA155+((1-Assumptions!$C$33)*AB152))-((1-Assumptions!$C$33)*Z152))</f>
        <v>360360</v>
      </c>
      <c r="AC155" s="9" t="n">
        <f aca="false">((AB155+((1-Assumptions!$C$33)*AC152))-((1-Assumptions!$C$33)*AA152))</f>
        <v>777301.579296</v>
      </c>
      <c r="AD155" s="9" t="n">
        <f aca="false">((AC155+((1-Assumptions!$C$33)*AD152))-((1-Assumptions!$C$33)*AB152))</f>
        <v>647017.579296</v>
      </c>
      <c r="AE155" s="9" t="n">
        <f aca="false">((AD155+((1-Assumptions!$C$33)*AE152))-((1-Assumptions!$C$33)*AC152))</f>
        <v>590436</v>
      </c>
      <c r="AF155" s="9" t="n">
        <f aca="false">((AE155+((1-Assumptions!$C$33)*AF152))-((1-Assumptions!$C$33)*AD152))</f>
        <v>763310.194416</v>
      </c>
      <c r="AG155" s="9" t="n">
        <f aca="false">((AF155+((1-Assumptions!$C$33)*AG152))-((1-Assumptions!$C$33)*AE152))</f>
        <v>402950.194416</v>
      </c>
      <c r="AH155" s="9" t="n">
        <f aca="false">((AG155+((1-Assumptions!$C$33)*AH152))-((1-Assumptions!$C$33)*AF152))</f>
        <v>410256</v>
      </c>
      <c r="AI155" s="9" t="n">
        <f aca="false">((AH155+((1-Assumptions!$C$33)*AI152))-((1-Assumptions!$C$33)*AG152))</f>
        <v>1174194.3334968</v>
      </c>
      <c r="AJ155" s="9" t="n">
        <f aca="false">((AI155+((1-Assumptions!$C$33)*AJ152))-((1-Assumptions!$C$33)*AH152))</f>
        <v>1409259.9334968</v>
      </c>
      <c r="AK155" s="9" t="n">
        <f aca="false">((AJ155+((1-Assumptions!$C$33)*AK152))-((1-Assumptions!$C$33)*AI152))</f>
        <v>1155347.424</v>
      </c>
      <c r="AL155" s="9" t="n">
        <f aca="false">((AK155+((1-Assumptions!$C$33)*AL152))-((1-Assumptions!$C$33)*AJ152))</f>
        <v>1413082.78106308</v>
      </c>
      <c r="AN155" s="11" t="n">
        <f aca="false">N155</f>
        <v>67145.76</v>
      </c>
      <c r="AO155" s="11" t="n">
        <f aca="false">Z155</f>
        <v>575030.438928</v>
      </c>
      <c r="AP155" s="11" t="n">
        <f aca="false">AL155</f>
        <v>1413082.78106308</v>
      </c>
    </row>
    <row r="156" customFormat="false" ht="15" hidden="false" customHeight="false" outlineLevel="0" collapsed="false">
      <c r="A156" s="21" t="s">
        <v>29</v>
      </c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</row>
    <row r="157" customFormat="false" ht="15" hidden="false" customHeight="false" outlineLevel="0" collapsed="false">
      <c r="A157" s="0" t="s">
        <v>960</v>
      </c>
      <c r="B157" s="0" t="s">
        <v>500</v>
      </c>
      <c r="C157" s="9" t="n">
        <f aca="false">((C29+C39)+C126)</f>
        <v>351</v>
      </c>
      <c r="D157" s="9" t="n">
        <f aca="false">((D29+D39)+D126)</f>
        <v>623.7</v>
      </c>
      <c r="E157" s="9" t="n">
        <f aca="false">((E29+E39)+E126)</f>
        <v>821.8908</v>
      </c>
      <c r="F157" s="9" t="n">
        <f aca="false">((F29+F39)+F126)</f>
        <v>980.52336</v>
      </c>
      <c r="G157" s="9" t="n">
        <f aca="false">((G29+G39)+G126)</f>
        <v>1277.38182432</v>
      </c>
      <c r="H157" s="9" t="n">
        <f aca="false">((H29+H39)+H126)</f>
        <v>1329.9564583776</v>
      </c>
      <c r="I157" s="9" t="n">
        <f aca="false">((I29+I39)+I126)</f>
        <v>1463.66179558867</v>
      </c>
      <c r="J157" s="9" t="n">
        <f aca="false">((J29+J39)+J126)</f>
        <v>2837.7906520023</v>
      </c>
      <c r="K157" s="9" t="n">
        <f aca="false">((K29+K39)+K126)</f>
        <v>3402.06593798401</v>
      </c>
      <c r="L157" s="9" t="n">
        <f aca="false">((L29+L39)+L126)</f>
        <v>3625.79327624973</v>
      </c>
      <c r="M157" s="9" t="n">
        <f aca="false">((M29+M39)+M126)</f>
        <v>3840.07407335968</v>
      </c>
      <c r="N157" s="9" t="n">
        <f aca="false">((N29+N39)+N126)</f>
        <v>4274.32361208191</v>
      </c>
      <c r="O157" s="9" t="n">
        <f aca="false">((O29+O39)+O126)</f>
        <v>7426.90675451231</v>
      </c>
      <c r="P157" s="9" t="n">
        <f aca="false">((P29+P39)+P126)</f>
        <v>10513.3469302804</v>
      </c>
      <c r="Q157" s="9" t="n">
        <f aca="false">((Q29+Q39)+Q126)</f>
        <v>13950.7136902245</v>
      </c>
      <c r="R157" s="9" t="n">
        <f aca="false">((R29+R39)+R126)</f>
        <v>15369.1318909385</v>
      </c>
      <c r="S157" s="9" t="n">
        <f aca="false">((S29+S39)+S126)</f>
        <v>17717.0434553329</v>
      </c>
      <c r="T157" s="9" t="n">
        <f aca="false">((T29+T39)+T126)</f>
        <v>18712.1126770046</v>
      </c>
      <c r="U157" s="9" t="n">
        <f aca="false">((U29+U39)+U126)</f>
        <v>19776.0191724403</v>
      </c>
      <c r="V157" s="9" t="n">
        <f aca="false">((V29+V39)+V126)</f>
        <v>23610.4424419216</v>
      </c>
      <c r="W157" s="9" t="n">
        <f aca="false">((W29+W39)+W126)</f>
        <v>30527.3645085057</v>
      </c>
      <c r="X157" s="9" t="n">
        <f aca="false">((X29+X39)+X126)</f>
        <v>32034.303553871</v>
      </c>
      <c r="Y157" s="9" t="n">
        <f aca="false">((Y29+Y39)+Y126)</f>
        <v>33162.3752755666</v>
      </c>
      <c r="Z157" s="9" t="n">
        <f aca="false">((Z29+Z39)+Z126)</f>
        <v>40315.5995331356</v>
      </c>
      <c r="AA157" s="9" t="n">
        <f aca="false">((AA29+AA39)+AA126)</f>
        <v>43040.466560331</v>
      </c>
      <c r="AB157" s="9" t="n">
        <f aca="false">((AB29+AB39)+AB126)</f>
        <v>46381.2454619608</v>
      </c>
      <c r="AC157" s="9" t="n">
        <f aca="false">((AC29+AC39)+AC126)</f>
        <v>55045.6084859892</v>
      </c>
      <c r="AD157" s="9" t="n">
        <f aca="false">((AD29+AD39)+AD126)</f>
        <v>60055.1604815952</v>
      </c>
      <c r="AE157" s="9" t="n">
        <f aca="false">((AE29+AE39)+AE126)</f>
        <v>61143.438494159</v>
      </c>
      <c r="AF157" s="9" t="n">
        <f aca="false">((AF29+AF39)+AF126)</f>
        <v>68955.7636847235</v>
      </c>
      <c r="AG157" s="9" t="n">
        <f aca="false">((AG29+AG39)+AG126)</f>
        <v>69403.4730516603</v>
      </c>
      <c r="AH157" s="9" t="n">
        <f aca="false">((AH29+AH39)+AH126)</f>
        <v>73764.6631155267</v>
      </c>
      <c r="AI157" s="9" t="n">
        <f aca="false">((AI29+AI39)+AI126)</f>
        <v>92389.3579695989</v>
      </c>
      <c r="AJ157" s="9" t="n">
        <f aca="false">((AJ29+AJ39)+AJ126)</f>
        <v>106253.195274235</v>
      </c>
      <c r="AK157" s="9" t="n">
        <f aca="false">((AK29+AK39)+AK126)</f>
        <v>112464.698072422</v>
      </c>
      <c r="AL157" s="9" t="n">
        <f aca="false">((AL29+AL39)+AL126)</f>
        <v>125636.082857472</v>
      </c>
      <c r="AN157" s="11" t="n">
        <f aca="false">N157</f>
        <v>4274.32361208191</v>
      </c>
      <c r="AO157" s="11" t="n">
        <f aca="false">Z157</f>
        <v>40315.5995331356</v>
      </c>
      <c r="AP157" s="11" t="n">
        <f aca="false">AL157</f>
        <v>125636.082857472</v>
      </c>
    </row>
    <row r="158" customFormat="false" ht="15" hidden="false" customHeight="false" outlineLevel="0" collapsed="false">
      <c r="A158" s="0" t="s">
        <v>961</v>
      </c>
      <c r="B158" s="0" t="s">
        <v>230</v>
      </c>
      <c r="C158" s="9" t="n">
        <f aca="false">(C157*Assumptions!$C$58)</f>
        <v>10.53</v>
      </c>
      <c r="D158" s="9" t="n">
        <f aca="false">(D157*Assumptions!$C$58)</f>
        <v>18.711</v>
      </c>
      <c r="E158" s="9" t="n">
        <f aca="false">(E157*Assumptions!$C$58)</f>
        <v>24.656724</v>
      </c>
      <c r="F158" s="9" t="n">
        <f aca="false">(F157*Assumptions!$C$58)</f>
        <v>29.4157008</v>
      </c>
      <c r="G158" s="9" t="n">
        <f aca="false">(G157*Assumptions!$C$58)</f>
        <v>38.3214547296</v>
      </c>
      <c r="H158" s="9" t="n">
        <f aca="false">(H157*Assumptions!$C$58)</f>
        <v>39.898693751328</v>
      </c>
      <c r="I158" s="9" t="n">
        <f aca="false">(I157*Assumptions!$C$58)</f>
        <v>43.9098538676602</v>
      </c>
      <c r="J158" s="9" t="n">
        <f aca="false">(J157*Assumptions!$C$58)</f>
        <v>85.133719560069</v>
      </c>
      <c r="K158" s="9" t="n">
        <f aca="false">(K157*Assumptions!$C$58)</f>
        <v>102.06197813952</v>
      </c>
      <c r="L158" s="9" t="n">
        <f aca="false">(L157*Assumptions!$C$58)</f>
        <v>108.773798287492</v>
      </c>
      <c r="M158" s="9" t="n">
        <f aca="false">(M157*Assumptions!$C$58)</f>
        <v>115.20222220079</v>
      </c>
      <c r="N158" s="9" t="n">
        <f aca="false">(N157*Assumptions!$C$58)</f>
        <v>128.229708362457</v>
      </c>
      <c r="O158" s="9" t="n">
        <f aca="false">(O157*Assumptions!$C$58)</f>
        <v>222.807202635369</v>
      </c>
      <c r="P158" s="9" t="n">
        <f aca="false">(P157*Assumptions!$C$58)</f>
        <v>315.400407908413</v>
      </c>
      <c r="Q158" s="9" t="n">
        <f aca="false">(Q157*Assumptions!$C$58)</f>
        <v>418.521410706736</v>
      </c>
      <c r="R158" s="9" t="n">
        <f aca="false">(R157*Assumptions!$C$58)</f>
        <v>461.073956728155</v>
      </c>
      <c r="S158" s="9" t="n">
        <f aca="false">(S157*Assumptions!$C$58)</f>
        <v>531.511303659988</v>
      </c>
      <c r="T158" s="9" t="n">
        <f aca="false">(T157*Assumptions!$C$58)</f>
        <v>561.363380310137</v>
      </c>
      <c r="U158" s="9" t="n">
        <f aca="false">(U157*Assumptions!$C$58)</f>
        <v>593.28057517321</v>
      </c>
      <c r="V158" s="9" t="n">
        <f aca="false">(V157*Assumptions!$C$58)</f>
        <v>708.313273257649</v>
      </c>
      <c r="W158" s="9" t="n">
        <f aca="false">(W157*Assumptions!$C$58)</f>
        <v>915.820935255172</v>
      </c>
      <c r="X158" s="9" t="n">
        <f aca="false">(X157*Assumptions!$C$58)</f>
        <v>961.029106616131</v>
      </c>
      <c r="Y158" s="9" t="n">
        <f aca="false">(Y157*Assumptions!$C$58)</f>
        <v>994.871258266997</v>
      </c>
      <c r="Z158" s="9" t="n">
        <f aca="false">(Z157*Assumptions!$C$58)</f>
        <v>1209.46798599407</v>
      </c>
      <c r="AA158" s="9" t="n">
        <f aca="false">(AA157*Assumptions!$C$58)</f>
        <v>1291.21399680993</v>
      </c>
      <c r="AB158" s="9" t="n">
        <f aca="false">(AB157*Assumptions!$C$58)</f>
        <v>1391.43736385883</v>
      </c>
      <c r="AC158" s="9" t="n">
        <f aca="false">(AC157*Assumptions!$C$58)</f>
        <v>1651.36825457968</v>
      </c>
      <c r="AD158" s="9" t="n">
        <f aca="false">(AD157*Assumptions!$C$58)</f>
        <v>1801.65481444786</v>
      </c>
      <c r="AE158" s="9" t="n">
        <f aca="false">(AE157*Assumptions!$C$58)</f>
        <v>1834.30315482477</v>
      </c>
      <c r="AF158" s="9" t="n">
        <f aca="false">(AF157*Assumptions!$C$58)</f>
        <v>2068.6729105417</v>
      </c>
      <c r="AG158" s="9" t="n">
        <f aca="false">(AG157*Assumptions!$C$58)</f>
        <v>2082.10419154981</v>
      </c>
      <c r="AH158" s="9" t="n">
        <f aca="false">(AH157*Assumptions!$C$58)</f>
        <v>2212.9398934658</v>
      </c>
      <c r="AI158" s="9" t="n">
        <f aca="false">(AI157*Assumptions!$C$58)</f>
        <v>2771.68073908797</v>
      </c>
      <c r="AJ158" s="9" t="n">
        <f aca="false">(AJ157*Assumptions!$C$58)</f>
        <v>3187.59585822704</v>
      </c>
      <c r="AK158" s="9" t="n">
        <f aca="false">(AK157*Assumptions!$C$58)</f>
        <v>3373.94094217266</v>
      </c>
      <c r="AL158" s="9" t="n">
        <f aca="false">(AL157*Assumptions!$C$58)</f>
        <v>3769.08248572416</v>
      </c>
      <c r="AN158" s="11" t="n">
        <f aca="false">SUM(C158:N158)</f>
        <v>744.844853698917</v>
      </c>
      <c r="AO158" s="11" t="n">
        <f aca="false">SUM(O158:Z158)</f>
        <v>7893.46079651203</v>
      </c>
      <c r="AP158" s="11" t="n">
        <f aca="false">SUM(AA158:AL158)</f>
        <v>27435.9946052902</v>
      </c>
    </row>
    <row r="159" customFormat="false" ht="15" hidden="false" customHeight="false" outlineLevel="0" collapsed="false">
      <c r="A159" s="0" t="s">
        <v>962</v>
      </c>
      <c r="B159" s="0" t="s">
        <v>230</v>
      </c>
      <c r="C159" s="9" t="n">
        <f aca="false">(((C157*Assumptions!$C$59)*Assumptions!$C$60)*Assumptions!$C$61)</f>
        <v>5.8968</v>
      </c>
      <c r="D159" s="9" t="n">
        <f aca="false">(((D157*Assumptions!$C$59)*Assumptions!$C$60)*Assumptions!$C$61)</f>
        <v>10.47816</v>
      </c>
      <c r="E159" s="9" t="n">
        <f aca="false">(((E157*Assumptions!$C$59)*Assumptions!$C$60)*Assumptions!$C$61)</f>
        <v>13.80776544</v>
      </c>
      <c r="F159" s="9" t="n">
        <f aca="false">(((F157*Assumptions!$C$59)*Assumptions!$C$60)*Assumptions!$C$61)</f>
        <v>16.472792448</v>
      </c>
      <c r="G159" s="9" t="n">
        <f aca="false">(((G157*Assumptions!$C$59)*Assumptions!$C$60)*Assumptions!$C$61)</f>
        <v>21.460014648576</v>
      </c>
      <c r="H159" s="9" t="n">
        <f aca="false">(((H157*Assumptions!$C$59)*Assumptions!$C$60)*Assumptions!$C$61)</f>
        <v>22.3432685007437</v>
      </c>
      <c r="I159" s="9" t="n">
        <f aca="false">(((I157*Assumptions!$C$59)*Assumptions!$C$60)*Assumptions!$C$61)</f>
        <v>24.5895181658897</v>
      </c>
      <c r="J159" s="9" t="n">
        <f aca="false">(((J157*Assumptions!$C$59)*Assumptions!$C$60)*Assumptions!$C$61)</f>
        <v>47.6748829536386</v>
      </c>
      <c r="K159" s="9" t="n">
        <f aca="false">(((K157*Assumptions!$C$59)*Assumptions!$C$60)*Assumptions!$C$61)</f>
        <v>57.1547077581314</v>
      </c>
      <c r="L159" s="9" t="n">
        <f aca="false">(((L157*Assumptions!$C$59)*Assumptions!$C$60)*Assumptions!$C$61)</f>
        <v>60.9133270409955</v>
      </c>
      <c r="M159" s="9" t="n">
        <f aca="false">(((M157*Assumptions!$C$59)*Assumptions!$C$60)*Assumptions!$C$61)</f>
        <v>64.5132444324426</v>
      </c>
      <c r="N159" s="9" t="n">
        <f aca="false">(((N157*Assumptions!$C$59)*Assumptions!$C$60)*Assumptions!$C$61)</f>
        <v>71.8086366829761</v>
      </c>
      <c r="O159" s="9" t="n">
        <f aca="false">(((O157*Assumptions!$C$59)*Assumptions!$C$60)*Assumptions!$C$61)</f>
        <v>124.772033475807</v>
      </c>
      <c r="P159" s="9" t="n">
        <f aca="false">(((P157*Assumptions!$C$59)*Assumptions!$C$60)*Assumptions!$C$61)</f>
        <v>176.624228428711</v>
      </c>
      <c r="Q159" s="9" t="n">
        <f aca="false">(((Q157*Assumptions!$C$59)*Assumptions!$C$60)*Assumptions!$C$61)</f>
        <v>234.371989995772</v>
      </c>
      <c r="R159" s="9" t="n">
        <f aca="false">(((R157*Assumptions!$C$59)*Assumptions!$C$60)*Assumptions!$C$61)</f>
        <v>258.201415767767</v>
      </c>
      <c r="S159" s="9" t="n">
        <f aca="false">(((S157*Assumptions!$C$59)*Assumptions!$C$60)*Assumptions!$C$61)</f>
        <v>297.646330049593</v>
      </c>
      <c r="T159" s="9" t="n">
        <f aca="false">(((T157*Assumptions!$C$59)*Assumptions!$C$60)*Assumptions!$C$61)</f>
        <v>314.363492973677</v>
      </c>
      <c r="U159" s="9" t="n">
        <f aca="false">(((U157*Assumptions!$C$59)*Assumptions!$C$60)*Assumptions!$C$61)</f>
        <v>332.237122096998</v>
      </c>
      <c r="V159" s="9" t="n">
        <f aca="false">(((V157*Assumptions!$C$59)*Assumptions!$C$60)*Assumptions!$C$61)</f>
        <v>396.655433024283</v>
      </c>
      <c r="W159" s="9" t="n">
        <f aca="false">(((W157*Assumptions!$C$59)*Assumptions!$C$60)*Assumptions!$C$61)</f>
        <v>512.859723742897</v>
      </c>
      <c r="X159" s="9" t="n">
        <f aca="false">(((X157*Assumptions!$C$59)*Assumptions!$C$60)*Assumptions!$C$61)</f>
        <v>538.176299705034</v>
      </c>
      <c r="Y159" s="9" t="n">
        <f aca="false">(((Y157*Assumptions!$C$59)*Assumptions!$C$60)*Assumptions!$C$61)</f>
        <v>557.127904629518</v>
      </c>
      <c r="Z159" s="9" t="n">
        <f aca="false">(((Z157*Assumptions!$C$59)*Assumptions!$C$60)*Assumptions!$C$61)</f>
        <v>677.302072156679</v>
      </c>
      <c r="AA159" s="9" t="n">
        <f aca="false">(((AA157*Assumptions!$C$59)*Assumptions!$C$60)*Assumptions!$C$61)</f>
        <v>723.079838213561</v>
      </c>
      <c r="AB159" s="9" t="n">
        <f aca="false">(((AB157*Assumptions!$C$59)*Assumptions!$C$60)*Assumptions!$C$61)</f>
        <v>779.204923760942</v>
      </c>
      <c r="AC159" s="9" t="n">
        <f aca="false">(((AC157*Assumptions!$C$59)*Assumptions!$C$60)*Assumptions!$C$61)</f>
        <v>924.76622256462</v>
      </c>
      <c r="AD159" s="9" t="n">
        <f aca="false">(((AD157*Assumptions!$C$59)*Assumptions!$C$60)*Assumptions!$C$61)</f>
        <v>1008.9266960908</v>
      </c>
      <c r="AE159" s="9" t="n">
        <f aca="false">(((AE157*Assumptions!$C$59)*Assumptions!$C$60)*Assumptions!$C$61)</f>
        <v>1027.20976670187</v>
      </c>
      <c r="AF159" s="9" t="n">
        <f aca="false">(((AF157*Assumptions!$C$59)*Assumptions!$C$60)*Assumptions!$C$61)</f>
        <v>1158.45682990335</v>
      </c>
      <c r="AG159" s="9" t="n">
        <f aca="false">(((AG157*Assumptions!$C$59)*Assumptions!$C$60)*Assumptions!$C$61)</f>
        <v>1165.97834726789</v>
      </c>
      <c r="AH159" s="9" t="n">
        <f aca="false">(((AH157*Assumptions!$C$59)*Assumptions!$C$60)*Assumptions!$C$61)</f>
        <v>1239.24634034085</v>
      </c>
      <c r="AI159" s="9" t="n">
        <f aca="false">(((AI157*Assumptions!$C$59)*Assumptions!$C$60)*Assumptions!$C$61)</f>
        <v>1552.14121388926</v>
      </c>
      <c r="AJ159" s="9" t="n">
        <f aca="false">(((AJ157*Assumptions!$C$59)*Assumptions!$C$60)*Assumptions!$C$61)</f>
        <v>1785.05368060714</v>
      </c>
      <c r="AK159" s="9" t="n">
        <f aca="false">(((AK157*Assumptions!$C$59)*Assumptions!$C$60)*Assumptions!$C$61)</f>
        <v>1889.40692761669</v>
      </c>
      <c r="AL159" s="9" t="n">
        <f aca="false">(((AL157*Assumptions!$C$59)*Assumptions!$C$60)*Assumptions!$C$61)</f>
        <v>2110.68619200553</v>
      </c>
      <c r="AN159" s="11" t="n">
        <f aca="false">SUM(C159:N159)</f>
        <v>417.113118071394</v>
      </c>
      <c r="AO159" s="11" t="n">
        <f aca="false">SUM(O159:Z159)</f>
        <v>4420.33804604674</v>
      </c>
      <c r="AP159" s="11" t="n">
        <f aca="false">SUM(AA159:AL159)</f>
        <v>15364.1569789625</v>
      </c>
    </row>
    <row r="160" customFormat="false" ht="15" hidden="false" customHeight="false" outlineLevel="0" collapsed="false">
      <c r="A160" s="0" t="s">
        <v>963</v>
      </c>
      <c r="B160" s="0" t="s">
        <v>230</v>
      </c>
      <c r="C160" s="9" t="n">
        <f aca="false">(((C157*Assumptions!$C$62)*Assumptions!$C$63)*(1-Assumptions!$C$64))</f>
        <v>7.8975</v>
      </c>
      <c r="D160" s="9" t="n">
        <f aca="false">(((D157*Assumptions!$C$62)*Assumptions!$C$63)*(1-Assumptions!$C$64))</f>
        <v>14.03325</v>
      </c>
      <c r="E160" s="9" t="n">
        <f aca="false">(((E157*Assumptions!$C$62)*Assumptions!$C$63)*(1-Assumptions!$C$64))</f>
        <v>18.492543</v>
      </c>
      <c r="F160" s="9" t="n">
        <f aca="false">(((F157*Assumptions!$C$62)*Assumptions!$C$63)*(1-Assumptions!$C$64))</f>
        <v>22.0617756</v>
      </c>
      <c r="G160" s="9" t="n">
        <f aca="false">(((G157*Assumptions!$C$62)*Assumptions!$C$63)*(1-Assumptions!$C$64))</f>
        <v>28.7410910472</v>
      </c>
      <c r="H160" s="9" t="n">
        <f aca="false">(((H157*Assumptions!$C$62)*Assumptions!$C$63)*(1-Assumptions!$C$64))</f>
        <v>29.924020313496</v>
      </c>
      <c r="I160" s="9" t="n">
        <f aca="false">(((I157*Assumptions!$C$62)*Assumptions!$C$63)*(1-Assumptions!$C$64))</f>
        <v>32.9323904007451</v>
      </c>
      <c r="J160" s="9" t="n">
        <f aca="false">(((J157*Assumptions!$C$62)*Assumptions!$C$63)*(1-Assumptions!$C$64))</f>
        <v>63.8502896700517</v>
      </c>
      <c r="K160" s="9" t="n">
        <f aca="false">(((K157*Assumptions!$C$62)*Assumptions!$C$63)*(1-Assumptions!$C$64))</f>
        <v>76.5464836046403</v>
      </c>
      <c r="L160" s="9" t="n">
        <f aca="false">(((L157*Assumptions!$C$62)*Assumptions!$C$63)*(1-Assumptions!$C$64))</f>
        <v>81.580348715619</v>
      </c>
      <c r="M160" s="9" t="n">
        <f aca="false">(((M157*Assumptions!$C$62)*Assumptions!$C$63)*(1-Assumptions!$C$64))</f>
        <v>86.4016666505927</v>
      </c>
      <c r="N160" s="9" t="n">
        <f aca="false">(((N157*Assumptions!$C$62)*Assumptions!$C$63)*(1-Assumptions!$C$64))</f>
        <v>96.172281271843</v>
      </c>
      <c r="O160" s="9" t="n">
        <f aca="false">(((O157*Assumptions!$C$62)*Assumptions!$C$63)*(1-Assumptions!$C$64))</f>
        <v>167.105401976527</v>
      </c>
      <c r="P160" s="9" t="n">
        <f aca="false">(((P157*Assumptions!$C$62)*Assumptions!$C$63)*(1-Assumptions!$C$64))</f>
        <v>236.55030593131</v>
      </c>
      <c r="Q160" s="9" t="n">
        <f aca="false">(((Q157*Assumptions!$C$62)*Assumptions!$C$63)*(1-Assumptions!$C$64))</f>
        <v>313.891058030052</v>
      </c>
      <c r="R160" s="9" t="n">
        <f aca="false">(((R157*Assumptions!$C$62)*Assumptions!$C$63)*(1-Assumptions!$C$64))</f>
        <v>345.805467546116</v>
      </c>
      <c r="S160" s="9" t="n">
        <f aca="false">(((S157*Assumptions!$C$62)*Assumptions!$C$63)*(1-Assumptions!$C$64))</f>
        <v>398.633477744991</v>
      </c>
      <c r="T160" s="9" t="n">
        <f aca="false">(((T157*Assumptions!$C$62)*Assumptions!$C$63)*(1-Assumptions!$C$64))</f>
        <v>421.022535232603</v>
      </c>
      <c r="U160" s="9" t="n">
        <f aca="false">(((U157*Assumptions!$C$62)*Assumptions!$C$63)*(1-Assumptions!$C$64))</f>
        <v>444.960431379907</v>
      </c>
      <c r="V160" s="9" t="n">
        <f aca="false">(((V157*Assumptions!$C$62)*Assumptions!$C$63)*(1-Assumptions!$C$64))</f>
        <v>531.234954943237</v>
      </c>
      <c r="W160" s="9" t="n">
        <f aca="false">(((W157*Assumptions!$C$62)*Assumptions!$C$63)*(1-Assumptions!$C$64))</f>
        <v>686.865701441379</v>
      </c>
      <c r="X160" s="9" t="n">
        <f aca="false">(((X157*Assumptions!$C$62)*Assumptions!$C$63)*(1-Assumptions!$C$64))</f>
        <v>720.771829962098</v>
      </c>
      <c r="Y160" s="9" t="n">
        <f aca="false">(((Y157*Assumptions!$C$62)*Assumptions!$C$63)*(1-Assumptions!$C$64))</f>
        <v>746.153443700248</v>
      </c>
      <c r="Z160" s="9" t="n">
        <f aca="false">(((Z157*Assumptions!$C$62)*Assumptions!$C$63)*(1-Assumptions!$C$64))</f>
        <v>907.100989495552</v>
      </c>
      <c r="AA160" s="9" t="n">
        <f aca="false">(((AA157*Assumptions!$C$62)*Assumptions!$C$63)*(1-Assumptions!$C$64))</f>
        <v>968.410497607447</v>
      </c>
      <c r="AB160" s="9" t="n">
        <f aca="false">(((AB157*Assumptions!$C$62)*Assumptions!$C$63)*(1-Assumptions!$C$64))</f>
        <v>1043.57802289412</v>
      </c>
      <c r="AC160" s="9" t="n">
        <f aca="false">(((AC157*Assumptions!$C$62)*Assumptions!$C$63)*(1-Assumptions!$C$64))</f>
        <v>1238.52619093476</v>
      </c>
      <c r="AD160" s="9" t="n">
        <f aca="false">(((AD157*Assumptions!$C$62)*Assumptions!$C$63)*(1-Assumptions!$C$64))</f>
        <v>1351.24111083589</v>
      </c>
      <c r="AE160" s="9" t="n">
        <f aca="false">(((AE157*Assumptions!$C$62)*Assumptions!$C$63)*(1-Assumptions!$C$64))</f>
        <v>1375.72736611858</v>
      </c>
      <c r="AF160" s="9" t="n">
        <f aca="false">(((AF157*Assumptions!$C$62)*Assumptions!$C$63)*(1-Assumptions!$C$64))</f>
        <v>1551.50468290628</v>
      </c>
      <c r="AG160" s="9" t="n">
        <f aca="false">(((AG157*Assumptions!$C$62)*Assumptions!$C$63)*(1-Assumptions!$C$64))</f>
        <v>1561.57814366236</v>
      </c>
      <c r="AH160" s="9" t="n">
        <f aca="false">(((AH157*Assumptions!$C$62)*Assumptions!$C$63)*(1-Assumptions!$C$64))</f>
        <v>1659.70492009935</v>
      </c>
      <c r="AI160" s="9" t="n">
        <f aca="false">(((AI157*Assumptions!$C$62)*Assumptions!$C$63)*(1-Assumptions!$C$64))</f>
        <v>2078.76055431598</v>
      </c>
      <c r="AJ160" s="9" t="n">
        <f aca="false">(((AJ157*Assumptions!$C$62)*Assumptions!$C$63)*(1-Assumptions!$C$64))</f>
        <v>2390.69689367028</v>
      </c>
      <c r="AK160" s="9" t="n">
        <f aca="false">(((AK157*Assumptions!$C$62)*Assumptions!$C$63)*(1-Assumptions!$C$64))</f>
        <v>2530.45570662949</v>
      </c>
      <c r="AL160" s="9" t="n">
        <f aca="false">(((AL157*Assumptions!$C$62)*Assumptions!$C$63)*(1-Assumptions!$C$64))</f>
        <v>2826.81186429312</v>
      </c>
      <c r="AN160" s="11" t="n">
        <f aca="false">SUM(C160:N160)</f>
        <v>558.633640274188</v>
      </c>
      <c r="AO160" s="11" t="n">
        <f aca="false">SUM(O160:Z160)</f>
        <v>5920.09559738402</v>
      </c>
      <c r="AP160" s="11" t="n">
        <f aca="false">SUM(AA160:AL160)</f>
        <v>20576.9959539677</v>
      </c>
    </row>
    <row r="161" customFormat="false" ht="15" hidden="false" customHeight="false" outlineLevel="0" collapsed="false">
      <c r="A161" s="0" t="s">
        <v>964</v>
      </c>
      <c r="B161" s="0" t="s">
        <v>230</v>
      </c>
      <c r="C161" s="9" t="n">
        <f aca="false">(C157*Assumptions!$C$65)</f>
        <v>4.212</v>
      </c>
      <c r="D161" s="9" t="n">
        <f aca="false">(D157*Assumptions!$C$65)</f>
        <v>7.4844</v>
      </c>
      <c r="E161" s="9" t="n">
        <f aca="false">(E157*Assumptions!$C$65)</f>
        <v>9.8626896</v>
      </c>
      <c r="F161" s="9" t="n">
        <f aca="false">(F157*Assumptions!$C$65)</f>
        <v>11.76628032</v>
      </c>
      <c r="G161" s="9" t="n">
        <f aca="false">(G157*Assumptions!$C$65)</f>
        <v>15.32858189184</v>
      </c>
      <c r="H161" s="9" t="n">
        <f aca="false">(H157*Assumptions!$C$65)</f>
        <v>15.9594775005312</v>
      </c>
      <c r="I161" s="9" t="n">
        <f aca="false">(I157*Assumptions!$C$65)</f>
        <v>17.5639415470641</v>
      </c>
      <c r="J161" s="9" t="n">
        <f aca="false">(J157*Assumptions!$C$65)</f>
        <v>34.0534878240276</v>
      </c>
      <c r="K161" s="9" t="n">
        <f aca="false">(K157*Assumptions!$C$65)</f>
        <v>40.8247912558082</v>
      </c>
      <c r="L161" s="9" t="n">
        <f aca="false">(L157*Assumptions!$C$65)</f>
        <v>43.5095193149968</v>
      </c>
      <c r="M161" s="9" t="n">
        <f aca="false">(M157*Assumptions!$C$65)</f>
        <v>46.0808888803161</v>
      </c>
      <c r="N161" s="9" t="n">
        <f aca="false">(N157*Assumptions!$C$65)</f>
        <v>51.2918833449829</v>
      </c>
      <c r="O161" s="9" t="n">
        <f aca="false">(O157*Assumptions!$C$65)</f>
        <v>89.1228810541478</v>
      </c>
      <c r="P161" s="9" t="n">
        <f aca="false">(P157*Assumptions!$C$65)</f>
        <v>126.160163163365</v>
      </c>
      <c r="Q161" s="9" t="n">
        <f aca="false">(Q157*Assumptions!$C$65)</f>
        <v>167.408564282694</v>
      </c>
      <c r="R161" s="9" t="n">
        <f aca="false">(R157*Assumptions!$C$65)</f>
        <v>184.429582691262</v>
      </c>
      <c r="S161" s="9" t="n">
        <f aca="false">(S157*Assumptions!$C$65)</f>
        <v>212.604521463995</v>
      </c>
      <c r="T161" s="9" t="n">
        <f aca="false">(T157*Assumptions!$C$65)</f>
        <v>224.545352124055</v>
      </c>
      <c r="U161" s="9" t="n">
        <f aca="false">(U157*Assumptions!$C$65)</f>
        <v>237.312230069284</v>
      </c>
      <c r="V161" s="9" t="n">
        <f aca="false">(V157*Assumptions!$C$65)</f>
        <v>283.32530930306</v>
      </c>
      <c r="W161" s="9" t="n">
        <f aca="false">(W157*Assumptions!$C$65)</f>
        <v>366.328374102069</v>
      </c>
      <c r="X161" s="9" t="n">
        <f aca="false">(X157*Assumptions!$C$65)</f>
        <v>384.411642646453</v>
      </c>
      <c r="Y161" s="9" t="n">
        <f aca="false">(Y157*Assumptions!$C$65)</f>
        <v>397.948503306799</v>
      </c>
      <c r="Z161" s="9" t="n">
        <f aca="false">(Z157*Assumptions!$C$65)</f>
        <v>483.787194397628</v>
      </c>
      <c r="AA161" s="9" t="n">
        <f aca="false">(AA157*Assumptions!$C$65)</f>
        <v>516.485598723972</v>
      </c>
      <c r="AB161" s="9" t="n">
        <f aca="false">(AB157*Assumptions!$C$65)</f>
        <v>556.57494554353</v>
      </c>
      <c r="AC161" s="9" t="n">
        <f aca="false">(AC157*Assumptions!$C$65)</f>
        <v>660.547301831871</v>
      </c>
      <c r="AD161" s="9" t="n">
        <f aca="false">(AD157*Assumptions!$C$65)</f>
        <v>720.661925779143</v>
      </c>
      <c r="AE161" s="9" t="n">
        <f aca="false">(AE157*Assumptions!$C$65)</f>
        <v>733.721261929908</v>
      </c>
      <c r="AF161" s="9" t="n">
        <f aca="false">(AF157*Assumptions!$C$65)</f>
        <v>827.469164216682</v>
      </c>
      <c r="AG161" s="9" t="n">
        <f aca="false">(AG157*Assumptions!$C$65)</f>
        <v>832.841676619924</v>
      </c>
      <c r="AH161" s="9" t="n">
        <f aca="false">(AH157*Assumptions!$C$65)</f>
        <v>885.175957386321</v>
      </c>
      <c r="AI161" s="9" t="n">
        <f aca="false">(AI157*Assumptions!$C$65)</f>
        <v>1108.67229563519</v>
      </c>
      <c r="AJ161" s="9" t="n">
        <f aca="false">(AJ157*Assumptions!$C$65)</f>
        <v>1275.03834329082</v>
      </c>
      <c r="AK161" s="9" t="n">
        <f aca="false">(AK157*Assumptions!$C$65)</f>
        <v>1349.57637686906</v>
      </c>
      <c r="AL161" s="9" t="n">
        <f aca="false">(AL157*Assumptions!$C$65)</f>
        <v>1507.63299428967</v>
      </c>
      <c r="AN161" s="11" t="n">
        <f aca="false">SUM(C161:N161)</f>
        <v>297.937941479567</v>
      </c>
      <c r="AO161" s="11" t="n">
        <f aca="false">SUM(O161:Z161)</f>
        <v>3157.38431860481</v>
      </c>
      <c r="AP161" s="11" t="n">
        <f aca="false">SUM(AA161:AL161)</f>
        <v>10974.3978421161</v>
      </c>
    </row>
    <row r="162" customFormat="false" ht="15" hidden="false" customHeight="false" outlineLevel="0" collapsed="false">
      <c r="A162" s="0" t="s">
        <v>965</v>
      </c>
      <c r="B162" s="0" t="s">
        <v>230</v>
      </c>
      <c r="C162" s="9" t="n">
        <f aca="false">(C157*Assumptions!$C$66)</f>
        <v>7.02</v>
      </c>
      <c r="D162" s="9" t="n">
        <f aca="false">(D157*Assumptions!$C$66)</f>
        <v>12.474</v>
      </c>
      <c r="E162" s="9" t="n">
        <f aca="false">(E157*Assumptions!$C$66)</f>
        <v>16.437816</v>
      </c>
      <c r="F162" s="9" t="n">
        <f aca="false">(F157*Assumptions!$C$66)</f>
        <v>19.6104672</v>
      </c>
      <c r="G162" s="9" t="n">
        <f aca="false">(G157*Assumptions!$C$66)</f>
        <v>25.5476364864</v>
      </c>
      <c r="H162" s="9" t="n">
        <f aca="false">(H157*Assumptions!$C$66)</f>
        <v>26.599129167552</v>
      </c>
      <c r="I162" s="9" t="n">
        <f aca="false">(I157*Assumptions!$C$66)</f>
        <v>29.2732359117734</v>
      </c>
      <c r="J162" s="9" t="n">
        <f aca="false">(J157*Assumptions!$C$66)</f>
        <v>56.755813040046</v>
      </c>
      <c r="K162" s="9" t="n">
        <f aca="false">(K157*Assumptions!$C$66)</f>
        <v>68.0413187596803</v>
      </c>
      <c r="L162" s="9" t="n">
        <f aca="false">(L157*Assumptions!$C$66)</f>
        <v>72.5158655249946</v>
      </c>
      <c r="M162" s="9" t="n">
        <f aca="false">(M157*Assumptions!$C$66)</f>
        <v>76.8014814671935</v>
      </c>
      <c r="N162" s="9" t="n">
        <f aca="false">(N157*Assumptions!$C$66)</f>
        <v>85.4864722416382</v>
      </c>
      <c r="O162" s="9" t="n">
        <f aca="false">(O157*Assumptions!$C$66)</f>
        <v>148.538135090246</v>
      </c>
      <c r="P162" s="9" t="n">
        <f aca="false">(P157*Assumptions!$C$66)</f>
        <v>210.266938605609</v>
      </c>
      <c r="Q162" s="9" t="n">
        <f aca="false">(Q157*Assumptions!$C$66)</f>
        <v>279.014273804491</v>
      </c>
      <c r="R162" s="9" t="n">
        <f aca="false">(R157*Assumptions!$C$66)</f>
        <v>307.38263781877</v>
      </c>
      <c r="S162" s="9" t="n">
        <f aca="false">(S157*Assumptions!$C$66)</f>
        <v>354.340869106659</v>
      </c>
      <c r="T162" s="9" t="n">
        <f aca="false">(T157*Assumptions!$C$66)</f>
        <v>374.242253540092</v>
      </c>
      <c r="U162" s="9" t="n">
        <f aca="false">(U157*Assumptions!$C$66)</f>
        <v>395.520383448807</v>
      </c>
      <c r="V162" s="9" t="n">
        <f aca="false">(V157*Assumptions!$C$66)</f>
        <v>472.208848838433</v>
      </c>
      <c r="W162" s="9" t="n">
        <f aca="false">(W157*Assumptions!$C$66)</f>
        <v>610.547290170115</v>
      </c>
      <c r="X162" s="9" t="n">
        <f aca="false">(X157*Assumptions!$C$66)</f>
        <v>640.686071077421</v>
      </c>
      <c r="Y162" s="9" t="n">
        <f aca="false">(Y157*Assumptions!$C$66)</f>
        <v>663.247505511331</v>
      </c>
      <c r="Z162" s="9" t="n">
        <f aca="false">(Z157*Assumptions!$C$66)</f>
        <v>806.311990662713</v>
      </c>
      <c r="AA162" s="9" t="n">
        <f aca="false">(AA157*Assumptions!$C$66)</f>
        <v>860.80933120662</v>
      </c>
      <c r="AB162" s="9" t="n">
        <f aca="false">(AB157*Assumptions!$C$66)</f>
        <v>927.624909239217</v>
      </c>
      <c r="AC162" s="9" t="n">
        <f aca="false">(AC157*Assumptions!$C$66)</f>
        <v>1100.91216971979</v>
      </c>
      <c r="AD162" s="9" t="n">
        <f aca="false">(AD157*Assumptions!$C$66)</f>
        <v>1201.1032096319</v>
      </c>
      <c r="AE162" s="9" t="n">
        <f aca="false">(AE157*Assumptions!$C$66)</f>
        <v>1222.86876988318</v>
      </c>
      <c r="AF162" s="9" t="n">
        <f aca="false">(AF157*Assumptions!$C$66)</f>
        <v>1379.11527369447</v>
      </c>
      <c r="AG162" s="9" t="n">
        <f aca="false">(AG157*Assumptions!$C$66)</f>
        <v>1388.06946103321</v>
      </c>
      <c r="AH162" s="9" t="n">
        <f aca="false">(AH157*Assumptions!$C$66)</f>
        <v>1475.29326231053</v>
      </c>
      <c r="AI162" s="9" t="n">
        <f aca="false">(AI157*Assumptions!$C$66)</f>
        <v>1847.78715939198</v>
      </c>
      <c r="AJ162" s="9" t="n">
        <f aca="false">(AJ157*Assumptions!$C$66)</f>
        <v>2125.0639054847</v>
      </c>
      <c r="AK162" s="9" t="n">
        <f aca="false">(AK157*Assumptions!$C$66)</f>
        <v>2249.29396144844</v>
      </c>
      <c r="AL162" s="9" t="n">
        <f aca="false">(AL157*Assumptions!$C$66)</f>
        <v>2512.72165714944</v>
      </c>
      <c r="AN162" s="11" t="n">
        <f aca="false">SUM(C162:N162)</f>
        <v>496.563235799278</v>
      </c>
      <c r="AO162" s="11" t="n">
        <f aca="false">SUM(O162:Z162)</f>
        <v>5262.30719767469</v>
      </c>
      <c r="AP162" s="11" t="n">
        <f aca="false">SUM(AA162:AL162)</f>
        <v>18290.6630701935</v>
      </c>
    </row>
    <row r="163" customFormat="false" ht="15" hidden="false" customHeight="false" outlineLevel="0" collapsed="false">
      <c r="A163" s="0" t="s">
        <v>363</v>
      </c>
      <c r="B163" s="0" t="s">
        <v>230</v>
      </c>
      <c r="C163" s="9" t="n">
        <f aca="false">(C157*Assumptions!$C$67)</f>
        <v>3.51</v>
      </c>
      <c r="D163" s="9" t="n">
        <f aca="false">(D157*Assumptions!$C$67)</f>
        <v>6.237</v>
      </c>
      <c r="E163" s="9" t="n">
        <f aca="false">(E157*Assumptions!$C$67)</f>
        <v>8.218908</v>
      </c>
      <c r="F163" s="9" t="n">
        <f aca="false">(F157*Assumptions!$C$67)</f>
        <v>9.8052336</v>
      </c>
      <c r="G163" s="9" t="n">
        <f aca="false">(G157*Assumptions!$C$67)</f>
        <v>12.7738182432</v>
      </c>
      <c r="H163" s="9" t="n">
        <f aca="false">(H157*Assumptions!$C$67)</f>
        <v>13.299564583776</v>
      </c>
      <c r="I163" s="9" t="n">
        <f aca="false">(I157*Assumptions!$C$67)</f>
        <v>14.6366179558867</v>
      </c>
      <c r="J163" s="9" t="n">
        <f aca="false">(J157*Assumptions!$C$67)</f>
        <v>28.377906520023</v>
      </c>
      <c r="K163" s="9" t="n">
        <f aca="false">(K157*Assumptions!$C$67)</f>
        <v>34.0206593798401</v>
      </c>
      <c r="L163" s="9" t="n">
        <f aca="false">(L157*Assumptions!$C$67)</f>
        <v>36.2579327624973</v>
      </c>
      <c r="M163" s="9" t="n">
        <f aca="false">(M157*Assumptions!$C$67)</f>
        <v>38.4007407335968</v>
      </c>
      <c r="N163" s="9" t="n">
        <f aca="false">(N157*Assumptions!$C$67)</f>
        <v>42.7432361208191</v>
      </c>
      <c r="O163" s="9" t="n">
        <f aca="false">(O157*Assumptions!$C$67)</f>
        <v>74.2690675451232</v>
      </c>
      <c r="P163" s="9" t="n">
        <f aca="false">(P157*Assumptions!$C$67)</f>
        <v>105.133469302804</v>
      </c>
      <c r="Q163" s="9" t="n">
        <f aca="false">(Q157*Assumptions!$C$67)</f>
        <v>139.507136902245</v>
      </c>
      <c r="R163" s="9" t="n">
        <f aca="false">(R157*Assumptions!$C$67)</f>
        <v>153.691318909385</v>
      </c>
      <c r="S163" s="9" t="n">
        <f aca="false">(S157*Assumptions!$C$67)</f>
        <v>177.170434553329</v>
      </c>
      <c r="T163" s="9" t="n">
        <f aca="false">(T157*Assumptions!$C$67)</f>
        <v>187.121126770046</v>
      </c>
      <c r="U163" s="9" t="n">
        <f aca="false">(U157*Assumptions!$C$67)</f>
        <v>197.760191724403</v>
      </c>
      <c r="V163" s="9" t="n">
        <f aca="false">(V157*Assumptions!$C$67)</f>
        <v>236.104424419216</v>
      </c>
      <c r="W163" s="9" t="n">
        <f aca="false">(W157*Assumptions!$C$67)</f>
        <v>305.273645085057</v>
      </c>
      <c r="X163" s="9" t="n">
        <f aca="false">(X157*Assumptions!$C$67)</f>
        <v>320.34303553871</v>
      </c>
      <c r="Y163" s="9" t="n">
        <f aca="false">(Y157*Assumptions!$C$67)</f>
        <v>331.623752755666</v>
      </c>
      <c r="Z163" s="9" t="n">
        <f aca="false">(Z157*Assumptions!$C$67)</f>
        <v>403.155995331356</v>
      </c>
      <c r="AA163" s="9" t="n">
        <f aca="false">(AA157*Assumptions!$C$67)</f>
        <v>430.40466560331</v>
      </c>
      <c r="AB163" s="9" t="n">
        <f aca="false">(AB157*Assumptions!$C$67)</f>
        <v>463.812454619608</v>
      </c>
      <c r="AC163" s="9" t="n">
        <f aca="false">(AC157*Assumptions!$C$67)</f>
        <v>550.456084859893</v>
      </c>
      <c r="AD163" s="9" t="n">
        <f aca="false">(AD157*Assumptions!$C$67)</f>
        <v>600.551604815952</v>
      </c>
      <c r="AE163" s="9" t="n">
        <f aca="false">(AE157*Assumptions!$C$67)</f>
        <v>611.43438494159</v>
      </c>
      <c r="AF163" s="9" t="n">
        <f aca="false">(AF157*Assumptions!$C$67)</f>
        <v>689.557636847235</v>
      </c>
      <c r="AG163" s="9" t="n">
        <f aca="false">(AG157*Assumptions!$C$67)</f>
        <v>694.034730516603</v>
      </c>
      <c r="AH163" s="9" t="n">
        <f aca="false">(AH157*Assumptions!$C$67)</f>
        <v>737.646631155267</v>
      </c>
      <c r="AI163" s="9" t="n">
        <f aca="false">(AI157*Assumptions!$C$67)</f>
        <v>923.893579695989</v>
      </c>
      <c r="AJ163" s="9" t="n">
        <f aca="false">(AJ157*Assumptions!$C$67)</f>
        <v>1062.53195274235</v>
      </c>
      <c r="AK163" s="9" t="n">
        <f aca="false">(AK157*Assumptions!$C$67)</f>
        <v>1124.64698072422</v>
      </c>
      <c r="AL163" s="9" t="n">
        <f aca="false">(AL157*Assumptions!$C$67)</f>
        <v>1256.36082857472</v>
      </c>
      <c r="AN163" s="11" t="n">
        <f aca="false">SUM(C163:N163)</f>
        <v>248.281617899639</v>
      </c>
      <c r="AO163" s="11" t="n">
        <f aca="false">SUM(O163:Z163)</f>
        <v>2631.15359883734</v>
      </c>
      <c r="AP163" s="11" t="n">
        <f aca="false">SUM(AA163:AL163)</f>
        <v>9145.33153509674</v>
      </c>
    </row>
    <row r="164" customFormat="false" ht="15" hidden="false" customHeight="false" outlineLevel="0" collapsed="false">
      <c r="A164" s="0" t="s">
        <v>966</v>
      </c>
      <c r="B164" s="0" t="s">
        <v>230</v>
      </c>
      <c r="C164" s="9" t="n">
        <f aca="false">Assumptions!$C$135</f>
        <v>4000</v>
      </c>
      <c r="D164" s="9" t="n">
        <f aca="false">Assumptions!$C$135</f>
        <v>4000</v>
      </c>
      <c r="E164" s="9" t="n">
        <f aca="false">Assumptions!$C$135</f>
        <v>4000</v>
      </c>
      <c r="F164" s="9" t="n">
        <f aca="false">Assumptions!$C$135</f>
        <v>4000</v>
      </c>
      <c r="G164" s="9" t="n">
        <f aca="false">Assumptions!$C$135</f>
        <v>4000</v>
      </c>
      <c r="H164" s="9" t="n">
        <f aca="false">Assumptions!$C$135</f>
        <v>4000</v>
      </c>
      <c r="I164" s="9" t="n">
        <f aca="false">Assumptions!$C$135</f>
        <v>4000</v>
      </c>
      <c r="J164" s="9" t="n">
        <f aca="false">Assumptions!$C$135</f>
        <v>4000</v>
      </c>
      <c r="K164" s="9" t="n">
        <f aca="false">Assumptions!$C$135</f>
        <v>4000</v>
      </c>
      <c r="L164" s="9" t="n">
        <f aca="false">Assumptions!$C$135</f>
        <v>4000</v>
      </c>
      <c r="M164" s="9" t="n">
        <f aca="false">Assumptions!$C$135</f>
        <v>4000</v>
      </c>
      <c r="N164" s="9" t="n">
        <f aca="false">Assumptions!$C$135</f>
        <v>4000</v>
      </c>
      <c r="O164" s="9" t="n">
        <f aca="false">Assumptions!$D$135</f>
        <v>9000</v>
      </c>
      <c r="P164" s="9" t="n">
        <f aca="false">Assumptions!$D$135</f>
        <v>9000</v>
      </c>
      <c r="Q164" s="9" t="n">
        <f aca="false">Assumptions!$D$135</f>
        <v>9000</v>
      </c>
      <c r="R164" s="9" t="n">
        <f aca="false">Assumptions!$D$135</f>
        <v>9000</v>
      </c>
      <c r="S164" s="9" t="n">
        <f aca="false">Assumptions!$D$135</f>
        <v>9000</v>
      </c>
      <c r="T164" s="9" t="n">
        <f aca="false">Assumptions!$D$135</f>
        <v>9000</v>
      </c>
      <c r="U164" s="9" t="n">
        <f aca="false">Assumptions!$D$135</f>
        <v>9000</v>
      </c>
      <c r="V164" s="9" t="n">
        <f aca="false">Assumptions!$D$135</f>
        <v>9000</v>
      </c>
      <c r="W164" s="9" t="n">
        <f aca="false">Assumptions!$D$135</f>
        <v>9000</v>
      </c>
      <c r="X164" s="9" t="n">
        <f aca="false">Assumptions!$D$135</f>
        <v>9000</v>
      </c>
      <c r="Y164" s="9" t="n">
        <f aca="false">Assumptions!$D$135</f>
        <v>9000</v>
      </c>
      <c r="Z164" s="9" t="n">
        <f aca="false">Assumptions!$D$135</f>
        <v>9000</v>
      </c>
      <c r="AA164" s="9" t="n">
        <f aca="false">Assumptions!$E$135</f>
        <v>16000</v>
      </c>
      <c r="AB164" s="9" t="n">
        <f aca="false">Assumptions!$E$135</f>
        <v>16000</v>
      </c>
      <c r="AC164" s="9" t="n">
        <f aca="false">Assumptions!$E$135</f>
        <v>16000</v>
      </c>
      <c r="AD164" s="9" t="n">
        <f aca="false">Assumptions!$E$135</f>
        <v>16000</v>
      </c>
      <c r="AE164" s="9" t="n">
        <f aca="false">Assumptions!$E$135</f>
        <v>16000</v>
      </c>
      <c r="AF164" s="9" t="n">
        <f aca="false">Assumptions!$E$135</f>
        <v>16000</v>
      </c>
      <c r="AG164" s="9" t="n">
        <f aca="false">Assumptions!$E$135</f>
        <v>16000</v>
      </c>
      <c r="AH164" s="9" t="n">
        <f aca="false">Assumptions!$E$135</f>
        <v>16000</v>
      </c>
      <c r="AI164" s="9" t="n">
        <f aca="false">Assumptions!$E$135</f>
        <v>16000</v>
      </c>
      <c r="AJ164" s="9" t="n">
        <f aca="false">Assumptions!$E$135</f>
        <v>16000</v>
      </c>
      <c r="AK164" s="9" t="n">
        <f aca="false">Assumptions!$E$135</f>
        <v>16000</v>
      </c>
      <c r="AL164" s="9" t="n">
        <f aca="false">Assumptions!$E$135</f>
        <v>16000</v>
      </c>
      <c r="AN164" s="11" t="n">
        <f aca="false">SUM(C164:N164)</f>
        <v>48000</v>
      </c>
      <c r="AO164" s="11" t="n">
        <f aca="false">SUM(O164:Z164)</f>
        <v>108000</v>
      </c>
      <c r="AP164" s="11" t="n">
        <f aca="false">SUM(AA164:AL164)</f>
        <v>192000</v>
      </c>
    </row>
    <row r="165" customFormat="false" ht="15" hidden="false" customHeight="false" outlineLevel="0" collapsed="false">
      <c r="A165" s="0" t="s">
        <v>967</v>
      </c>
      <c r="B165" s="0" t="s">
        <v>230</v>
      </c>
      <c r="C165" s="9" t="n">
        <f aca="false">(((Assumptions!$C$184*$C$12)*$C$13)*(((C29*Assumptions!$C$85)+(C39*Assumptions!$C$86))+(C126*Assumptions!$C$87)))</f>
        <v>50.6273976</v>
      </c>
      <c r="D165" s="9" t="n">
        <f aca="false">(((Assumptions!$C$184*$C$12)*$C$13)*(((D29*Assumptions!$C$85)+(D39*Assumptions!$C$86))+(D126*Assumptions!$C$87)))</f>
        <v>89.96099112</v>
      </c>
      <c r="E165" s="9" t="n">
        <f aca="false">(((Assumptions!$C$184*$C$12)*$C$13)*(((E29*Assumptions!$C$85)+(E39*Assumptions!$C$86))+(E126*Assumptions!$C$87)))</f>
        <v>118.54755645408</v>
      </c>
      <c r="F165" s="9" t="n">
        <f aca="false">(((Assumptions!$C$184*$C$12)*$C$13)*(((F29*Assumptions!$C$85)+(F39*Assumptions!$C$86))+(F126*Assumptions!$C$87)))</f>
        <v>141.428336190336</v>
      </c>
      <c r="G165" s="9" t="n">
        <f aca="false">(((Assumptions!$C$184*$C$12)*$C$13)*(((G29*Assumptions!$C$85)+(G39*Assumptions!$C$86))+(G126*Assumptions!$C$87)))</f>
        <v>214.536384623538</v>
      </c>
      <c r="H165" s="9" t="n">
        <f aca="false">(((Assumptions!$C$184*$C$12)*$C$13)*(((H29*Assumptions!$C$85)+(H39*Assumptions!$C$86))+(H126*Assumptions!$C$87)))</f>
        <v>222.119623660885</v>
      </c>
      <c r="I165" s="9" t="n">
        <f aca="false">(((Assumptions!$C$184*$C$12)*$C$13)*(((I29*Assumptions!$C$85)+(I39*Assumptions!$C$86))+(I126*Assumptions!$C$87)))</f>
        <v>241.404960607401</v>
      </c>
      <c r="J165" s="9" t="n">
        <f aca="false">(((Assumptions!$C$184*$C$12)*$C$13)*(((J29*Assumptions!$C$85)+(J39*Assumptions!$C$86))+(J126*Assumptions!$C$87)))</f>
        <v>565.813908947247</v>
      </c>
      <c r="K165" s="9" t="n">
        <f aca="false">(((Assumptions!$C$184*$C$12)*$C$13)*(((K29*Assumptions!$C$85)+(K39*Assumptions!$C$86))+(K126*Assumptions!$C$87)))</f>
        <v>647.203621936563</v>
      </c>
      <c r="L165" s="9" t="n">
        <f aca="false">(((Assumptions!$C$184*$C$12)*$C$13)*(((L29*Assumptions!$C$85)+(L39*Assumptions!$C$86))+(L126*Assumptions!$C$87)))</f>
        <v>679.473516262398</v>
      </c>
      <c r="M165" s="9" t="n">
        <f aca="false">(((Assumptions!$C$184*$C$12)*$C$13)*(((M29*Assumptions!$C$85)+(M39*Assumptions!$C$86))+(M126*Assumptions!$C$87)))</f>
        <v>722.496822563624</v>
      </c>
      <c r="N165" s="9" t="n">
        <f aca="false">(((Assumptions!$C$184*$C$12)*$C$13)*(((N29*Assumptions!$C$85)+(N39*Assumptions!$C$86))+(N126*Assumptions!$C$87)))</f>
        <v>842.250023430026</v>
      </c>
      <c r="O165" s="9" t="n">
        <f aca="false">(((Assumptions!$C$184*$C$12)*$C$13)*(((O29*Assumptions!$C$85)+(O39*Assumptions!$C$86))+(O126*Assumptions!$C$87)))</f>
        <v>1301.07430621666</v>
      </c>
      <c r="P165" s="9" t="n">
        <f aca="false">(((Assumptions!$C$184*$C$12)*$C$13)*(((P29*Assumptions!$C$85)+(P39*Assumptions!$C$86))+(P126*Assumptions!$C$87)))</f>
        <v>1847.91364802006</v>
      </c>
      <c r="Q165" s="9" t="n">
        <f aca="false">(((Assumptions!$C$184*$C$12)*$C$13)*(((Q29*Assumptions!$C$85)+(Q39*Assumptions!$C$86))+(Q126*Assumptions!$C$87)))</f>
        <v>2593.94242269167</v>
      </c>
      <c r="R165" s="9" t="n">
        <f aca="false">(((Assumptions!$C$184*$C$12)*$C$13)*(((R29*Assumptions!$C$85)+(R39*Assumptions!$C$86))+(R126*Assumptions!$C$87)))</f>
        <v>2813.16073103379</v>
      </c>
      <c r="S165" s="9" t="n">
        <f aca="false">(((Assumptions!$C$184*$C$12)*$C$13)*(((S29*Assumptions!$C$85)+(S39*Assumptions!$C$86))+(S126*Assumptions!$C$87)))</f>
        <v>3387.3172728019</v>
      </c>
      <c r="T165" s="9" t="n">
        <f aca="false">(((Assumptions!$C$184*$C$12)*$C$13)*(((T29*Assumptions!$C$85)+(T39*Assumptions!$C$86))+(T126*Assumptions!$C$87)))</f>
        <v>3614.72411477803</v>
      </c>
      <c r="U165" s="9" t="n">
        <f aca="false">(((Assumptions!$C$184*$C$12)*$C$13)*(((U29*Assumptions!$C$85)+(U39*Assumptions!$C$86))+(U126*Assumptions!$C$87)))</f>
        <v>3785.79907320318</v>
      </c>
      <c r="V165" s="9" t="n">
        <f aca="false">(((Assumptions!$C$184*$C$12)*$C$13)*(((V29*Assumptions!$C$85)+(V39*Assumptions!$C$86))+(V126*Assumptions!$C$87)))</f>
        <v>4400.07079007216</v>
      </c>
      <c r="W165" s="9" t="n">
        <f aca="false">(((Assumptions!$C$184*$C$12)*$C$13)*(((W29*Assumptions!$C$85)+(W39*Assumptions!$C$86))+(W126*Assumptions!$C$87)))</f>
        <v>5859.14295990218</v>
      </c>
      <c r="X165" s="9" t="n">
        <f aca="false">(((Assumptions!$C$184*$C$12)*$C$13)*(((X29*Assumptions!$C$85)+(X39*Assumptions!$C$86))+(X126*Assumptions!$C$87)))</f>
        <v>6105.50449017627</v>
      </c>
      <c r="Y165" s="9" t="n">
        <f aca="false">(((Assumptions!$C$184*$C$12)*$C$13)*(((Y29*Assumptions!$C$85)+(Y39*Assumptions!$C$86))+(Y126*Assumptions!$C$87)))</f>
        <v>6341.19851236107</v>
      </c>
      <c r="Z165" s="9" t="n">
        <f aca="false">(((Assumptions!$C$184*$C$12)*$C$13)*(((Z29*Assumptions!$C$85)+(Z39*Assumptions!$C$86))+(Z126*Assumptions!$C$87)))</f>
        <v>8407.39742911484</v>
      </c>
      <c r="AA165" s="9" t="n">
        <f aca="false">(((Assumptions!$C$184*$C$12)*$C$13)*(((AA29*Assumptions!$C$85)+(AA39*Assumptions!$C$86))+(AA126*Assumptions!$C$87)))</f>
        <v>8830.3808712994</v>
      </c>
      <c r="AB165" s="9" t="n">
        <f aca="false">(((Assumptions!$C$184*$C$12)*$C$13)*(((AB29*Assumptions!$C$85)+(AB39*Assumptions!$C$86))+(AB126*Assumptions!$C$87)))</f>
        <v>9563.89230127849</v>
      </c>
      <c r="AC165" s="9" t="n">
        <f aca="false">(((Assumptions!$C$184*$C$12)*$C$13)*(((AC29*Assumptions!$C$85)+(AC39*Assumptions!$C$86))+(AC126*Assumptions!$C$87)))</f>
        <v>11953.548178454</v>
      </c>
      <c r="AD165" s="9" t="n">
        <f aca="false">(((Assumptions!$C$184*$C$12)*$C$13)*(((AD29*Assumptions!$C$85)+(AD39*Assumptions!$C$86))+(AD126*Assumptions!$C$87)))</f>
        <v>13346.3108746431</v>
      </c>
      <c r="AE165" s="9" t="n">
        <f aca="false">(((Assumptions!$C$184*$C$12)*$C$13)*(((AE29*Assumptions!$C$85)+(AE39*Assumptions!$C$86))+(AE126*Assumptions!$C$87)))</f>
        <v>13713.798584246</v>
      </c>
      <c r="AF165" s="9" t="n">
        <f aca="false">(((Assumptions!$C$184*$C$12)*$C$13)*(((AF29*Assumptions!$C$85)+(AF39*Assumptions!$C$86))+(AF126*Assumptions!$C$87)))</f>
        <v>16063.3836518241</v>
      </c>
      <c r="AG165" s="9" t="n">
        <f aca="false">(((Assumptions!$C$184*$C$12)*$C$13)*(((AG29*Assumptions!$C$85)+(AG39*Assumptions!$C$86))+(AG126*Assumptions!$C$87)))</f>
        <v>16158.9858077746</v>
      </c>
      <c r="AH165" s="9" t="n">
        <f aca="false">(((Assumptions!$C$184*$C$12)*$C$13)*(((AH29*Assumptions!$C$85)+(AH39*Assumptions!$C$86))+(AH126*Assumptions!$C$87)))</f>
        <v>16861.1512685938</v>
      </c>
      <c r="AI165" s="9" t="n">
        <f aca="false">(((Assumptions!$C$184*$C$12)*$C$13)*(((AI29*Assumptions!$C$85)+(AI39*Assumptions!$C$86))+(AI126*Assumptions!$C$87)))</f>
        <v>21610.9759979597</v>
      </c>
      <c r="AJ165" s="9" t="n">
        <f aca="false">(((Assumptions!$C$184*$C$12)*$C$13)*(((AJ29*Assumptions!$C$85)+(AJ39*Assumptions!$C$86))+(AJ126*Assumptions!$C$87)))</f>
        <v>25468.3780969683</v>
      </c>
      <c r="AK165" s="9" t="n">
        <f aca="false">(((Assumptions!$C$184*$C$12)*$C$13)*(((AK29*Assumptions!$C$85)+(AK39*Assumptions!$C$86))+(AK126*Assumptions!$C$87)))</f>
        <v>27247.2456806961</v>
      </c>
      <c r="AL165" s="9" t="n">
        <f aca="false">(((Assumptions!$C$184*$C$12)*$C$13)*(((AL29*Assumptions!$C$85)+(AL39*Assumptions!$C$86))+(AL126*Assumptions!$C$87)))</f>
        <v>31151.9787515911</v>
      </c>
      <c r="AN165" s="11" t="n">
        <f aca="false">SUM(C165:N165)</f>
        <v>4535.8631433961</v>
      </c>
      <c r="AO165" s="11" t="n">
        <f aca="false">SUM(O165:Z165)</f>
        <v>50457.2457503718</v>
      </c>
      <c r="AP165" s="11" t="n">
        <f aca="false">SUM(AA165:AL165)</f>
        <v>211970.030065329</v>
      </c>
    </row>
    <row r="166" customFormat="false" ht="15" hidden="false" customHeight="false" outlineLevel="0" collapsed="false">
      <c r="A166" s="0" t="s">
        <v>968</v>
      </c>
      <c r="B166" s="0" t="s">
        <v>230</v>
      </c>
      <c r="C166" s="9" t="n">
        <f aca="false">Assumptions!$C$136</f>
        <v>2000</v>
      </c>
      <c r="D166" s="9" t="n">
        <f aca="false">Assumptions!$C$136</f>
        <v>2000</v>
      </c>
      <c r="E166" s="9" t="n">
        <f aca="false">Assumptions!$C$136</f>
        <v>2000</v>
      </c>
      <c r="F166" s="9" t="n">
        <f aca="false">Assumptions!$C$136</f>
        <v>2000</v>
      </c>
      <c r="G166" s="9" t="n">
        <f aca="false">Assumptions!$C$136</f>
        <v>2000</v>
      </c>
      <c r="H166" s="9" t="n">
        <f aca="false">Assumptions!$C$136</f>
        <v>2000</v>
      </c>
      <c r="I166" s="9" t="n">
        <f aca="false">Assumptions!$C$136</f>
        <v>2000</v>
      </c>
      <c r="J166" s="9" t="n">
        <f aca="false">Assumptions!$C$136</f>
        <v>2000</v>
      </c>
      <c r="K166" s="9" t="n">
        <f aca="false">Assumptions!$C$136</f>
        <v>2000</v>
      </c>
      <c r="L166" s="9" t="n">
        <f aca="false">Assumptions!$C$136</f>
        <v>2000</v>
      </c>
      <c r="M166" s="9" t="n">
        <f aca="false">Assumptions!$C$136</f>
        <v>2000</v>
      </c>
      <c r="N166" s="9" t="n">
        <f aca="false">Assumptions!$C$136</f>
        <v>2000</v>
      </c>
      <c r="O166" s="9" t="n">
        <f aca="false">Assumptions!$D$136</f>
        <v>3000</v>
      </c>
      <c r="P166" s="9" t="n">
        <f aca="false">Assumptions!$D$136</f>
        <v>3000</v>
      </c>
      <c r="Q166" s="9" t="n">
        <f aca="false">Assumptions!$D$136</f>
        <v>3000</v>
      </c>
      <c r="R166" s="9" t="n">
        <f aca="false">Assumptions!$D$136</f>
        <v>3000</v>
      </c>
      <c r="S166" s="9" t="n">
        <f aca="false">Assumptions!$D$136</f>
        <v>3000</v>
      </c>
      <c r="T166" s="9" t="n">
        <f aca="false">Assumptions!$D$136</f>
        <v>3000</v>
      </c>
      <c r="U166" s="9" t="n">
        <f aca="false">Assumptions!$D$136</f>
        <v>3000</v>
      </c>
      <c r="V166" s="9" t="n">
        <f aca="false">Assumptions!$D$136</f>
        <v>3000</v>
      </c>
      <c r="W166" s="9" t="n">
        <f aca="false">Assumptions!$D$136</f>
        <v>3000</v>
      </c>
      <c r="X166" s="9" t="n">
        <f aca="false">Assumptions!$D$136</f>
        <v>3000</v>
      </c>
      <c r="Y166" s="9" t="n">
        <f aca="false">Assumptions!$D$136</f>
        <v>3000</v>
      </c>
      <c r="Z166" s="9" t="n">
        <f aca="false">Assumptions!$D$136</f>
        <v>3000</v>
      </c>
      <c r="AA166" s="9" t="n">
        <f aca="false">Assumptions!$E$136</f>
        <v>5000</v>
      </c>
      <c r="AB166" s="9" t="n">
        <f aca="false">Assumptions!$E$136</f>
        <v>5000</v>
      </c>
      <c r="AC166" s="9" t="n">
        <f aca="false">Assumptions!$E$136</f>
        <v>5000</v>
      </c>
      <c r="AD166" s="9" t="n">
        <f aca="false">Assumptions!$E$136</f>
        <v>5000</v>
      </c>
      <c r="AE166" s="9" t="n">
        <f aca="false">Assumptions!$E$136</f>
        <v>5000</v>
      </c>
      <c r="AF166" s="9" t="n">
        <f aca="false">Assumptions!$E$136</f>
        <v>5000</v>
      </c>
      <c r="AG166" s="9" t="n">
        <f aca="false">Assumptions!$E$136</f>
        <v>5000</v>
      </c>
      <c r="AH166" s="9" t="n">
        <f aca="false">Assumptions!$E$136</f>
        <v>5000</v>
      </c>
      <c r="AI166" s="9" t="n">
        <f aca="false">Assumptions!$E$136</f>
        <v>5000</v>
      </c>
      <c r="AJ166" s="9" t="n">
        <f aca="false">Assumptions!$E$136</f>
        <v>5000</v>
      </c>
      <c r="AK166" s="9" t="n">
        <f aca="false">Assumptions!$E$136</f>
        <v>5000</v>
      </c>
      <c r="AL166" s="9" t="n">
        <f aca="false">Assumptions!$E$136</f>
        <v>5000</v>
      </c>
      <c r="AN166" s="11" t="n">
        <f aca="false">SUM(C166:N166)</f>
        <v>24000</v>
      </c>
      <c r="AO166" s="11" t="n">
        <f aca="false">SUM(O166:Z166)</f>
        <v>36000</v>
      </c>
      <c r="AP166" s="11" t="n">
        <f aca="false">SUM(AA166:AL166)</f>
        <v>60000</v>
      </c>
    </row>
    <row r="167" customFormat="false" ht="15" hidden="false" customHeight="false" outlineLevel="0" collapsed="false">
      <c r="A167" s="0" t="s">
        <v>969</v>
      </c>
      <c r="B167" s="0" t="s">
        <v>230</v>
      </c>
      <c r="C167" s="9" t="n">
        <f aca="false">(C165+C166)</f>
        <v>2050.6273976</v>
      </c>
      <c r="D167" s="9" t="n">
        <f aca="false">(D165+D166)</f>
        <v>2089.96099112</v>
      </c>
      <c r="E167" s="9" t="n">
        <f aca="false">(E165+E166)</f>
        <v>2118.54755645408</v>
      </c>
      <c r="F167" s="9" t="n">
        <f aca="false">(F165+F166)</f>
        <v>2141.42833619034</v>
      </c>
      <c r="G167" s="9" t="n">
        <f aca="false">(G165+G166)</f>
        <v>2214.53638462354</v>
      </c>
      <c r="H167" s="9" t="n">
        <f aca="false">(H165+H166)</f>
        <v>2222.11962366089</v>
      </c>
      <c r="I167" s="9" t="n">
        <f aca="false">(I165+I166)</f>
        <v>2241.4049606074</v>
      </c>
      <c r="J167" s="9" t="n">
        <f aca="false">(J165+J166)</f>
        <v>2565.81390894725</v>
      </c>
      <c r="K167" s="9" t="n">
        <f aca="false">(K165+K166)</f>
        <v>2647.20362193656</v>
      </c>
      <c r="L167" s="9" t="n">
        <f aca="false">(L165+L166)</f>
        <v>2679.4735162624</v>
      </c>
      <c r="M167" s="9" t="n">
        <f aca="false">(M165+M166)</f>
        <v>2722.49682256362</v>
      </c>
      <c r="N167" s="9" t="n">
        <f aca="false">(N165+N166)</f>
        <v>2842.25002343003</v>
      </c>
      <c r="O167" s="9" t="n">
        <f aca="false">(O165+O166)</f>
        <v>4301.07430621666</v>
      </c>
      <c r="P167" s="9" t="n">
        <f aca="false">(P165+P166)</f>
        <v>4847.91364802006</v>
      </c>
      <c r="Q167" s="9" t="n">
        <f aca="false">(Q165+Q166)</f>
        <v>5593.94242269167</v>
      </c>
      <c r="R167" s="9" t="n">
        <f aca="false">(R165+R166)</f>
        <v>5813.16073103379</v>
      </c>
      <c r="S167" s="9" t="n">
        <f aca="false">(S165+S166)</f>
        <v>6387.3172728019</v>
      </c>
      <c r="T167" s="9" t="n">
        <f aca="false">(T165+T166)</f>
        <v>6614.72411477803</v>
      </c>
      <c r="U167" s="9" t="n">
        <f aca="false">(U165+U166)</f>
        <v>6785.79907320318</v>
      </c>
      <c r="V167" s="9" t="n">
        <f aca="false">(V165+V166)</f>
        <v>7400.07079007216</v>
      </c>
      <c r="W167" s="9" t="n">
        <f aca="false">(W165+W166)</f>
        <v>8859.14295990218</v>
      </c>
      <c r="X167" s="9" t="n">
        <f aca="false">(X165+X166)</f>
        <v>9105.50449017627</v>
      </c>
      <c r="Y167" s="9" t="n">
        <f aca="false">(Y165+Y166)</f>
        <v>9341.19851236107</v>
      </c>
      <c r="Z167" s="9" t="n">
        <f aca="false">(Z165+Z166)</f>
        <v>11407.3974291148</v>
      </c>
      <c r="AA167" s="9" t="n">
        <f aca="false">(AA165+AA166)</f>
        <v>13830.3808712994</v>
      </c>
      <c r="AB167" s="9" t="n">
        <f aca="false">(AB165+AB166)</f>
        <v>14563.8923012785</v>
      </c>
      <c r="AC167" s="9" t="n">
        <f aca="false">(AC165+AC166)</f>
        <v>16953.548178454</v>
      </c>
      <c r="AD167" s="9" t="n">
        <f aca="false">(AD165+AD166)</f>
        <v>18346.3108746431</v>
      </c>
      <c r="AE167" s="9" t="n">
        <f aca="false">(AE165+AE166)</f>
        <v>18713.798584246</v>
      </c>
      <c r="AF167" s="9" t="n">
        <f aca="false">(AF165+AF166)</f>
        <v>21063.3836518241</v>
      </c>
      <c r="AG167" s="9" t="n">
        <f aca="false">(AG165+AG166)</f>
        <v>21158.9858077746</v>
      </c>
      <c r="AH167" s="9" t="n">
        <f aca="false">(AH165+AH166)</f>
        <v>21861.1512685938</v>
      </c>
      <c r="AI167" s="9" t="n">
        <f aca="false">(AI165+AI166)</f>
        <v>26610.9759979597</v>
      </c>
      <c r="AJ167" s="9" t="n">
        <f aca="false">(AJ165+AJ166)</f>
        <v>30468.3780969683</v>
      </c>
      <c r="AK167" s="9" t="n">
        <f aca="false">(AK165+AK166)</f>
        <v>32247.2456806961</v>
      </c>
      <c r="AL167" s="9" t="n">
        <f aca="false">(AL165+AL166)</f>
        <v>36151.9787515911</v>
      </c>
      <c r="AN167" s="11" t="n">
        <f aca="false">SUM(C167:N167)</f>
        <v>28535.8631433961</v>
      </c>
      <c r="AO167" s="11" t="n">
        <f aca="false">SUM(O167:Z167)</f>
        <v>86457.2457503718</v>
      </c>
      <c r="AP167" s="11" t="n">
        <f aca="false">SUM(AA167:AL167)</f>
        <v>271970.030065329</v>
      </c>
    </row>
    <row r="168" customFormat="false" ht="15" hidden="false" customHeight="false" outlineLevel="0" collapsed="false">
      <c r="A168" s="0" t="s">
        <v>970</v>
      </c>
      <c r="B168" s="0" t="s">
        <v>230</v>
      </c>
      <c r="C168" s="9" t="n">
        <f aca="false">((C122+C123)*((Assumptions!$C$90*Assumptions!$C$89)+Assumptions!$C$91))</f>
        <v>0</v>
      </c>
      <c r="D168" s="9" t="n">
        <f aca="false">((D122+D123)*((Assumptions!$C$90*Assumptions!$C$89)+Assumptions!$C$91))</f>
        <v>0</v>
      </c>
      <c r="E168" s="9" t="n">
        <f aca="false">((E122+E123)*((Assumptions!$C$90*Assumptions!$C$89)+Assumptions!$C$91))</f>
        <v>0</v>
      </c>
      <c r="F168" s="9" t="n">
        <f aca="false">((F122+F123)*((Assumptions!$C$90*Assumptions!$C$89)+Assumptions!$C$91))</f>
        <v>0</v>
      </c>
      <c r="G168" s="9" t="n">
        <f aca="false">((G122+G123)*((Assumptions!$C$90*Assumptions!$C$89)+Assumptions!$C$91))</f>
        <v>305</v>
      </c>
      <c r="H168" s="9" t="n">
        <f aca="false">((H122+H123)*((Assumptions!$C$90*Assumptions!$C$89)+Assumptions!$C$91))</f>
        <v>305</v>
      </c>
      <c r="I168" s="9" t="n">
        <f aca="false">((I122+I123)*((Assumptions!$C$90*Assumptions!$C$89)+Assumptions!$C$91))</f>
        <v>305</v>
      </c>
      <c r="J168" s="9" t="n">
        <f aca="false">((J122+J123)*((Assumptions!$C$90*Assumptions!$C$89)+Assumptions!$C$91))</f>
        <v>610</v>
      </c>
      <c r="K168" s="9" t="n">
        <f aca="false">((K122+K123)*((Assumptions!$C$90*Assumptions!$C$89)+Assumptions!$C$91))</f>
        <v>610</v>
      </c>
      <c r="L168" s="9" t="n">
        <f aca="false">((L122+L123)*((Assumptions!$C$90*Assumptions!$C$89)+Assumptions!$C$91))</f>
        <v>610</v>
      </c>
      <c r="M168" s="9" t="n">
        <f aca="false">((M122+M123)*((Assumptions!$C$90*Assumptions!$C$89)+Assumptions!$C$91))</f>
        <v>732</v>
      </c>
      <c r="N168" s="9" t="n">
        <f aca="false">((N122+N123)*((Assumptions!$C$90*Assumptions!$C$89)+Assumptions!$C$91))</f>
        <v>933.3</v>
      </c>
      <c r="O168" s="9" t="n">
        <f aca="false">((O122+O123)*((Assumptions!$C$90*Assumptions!$C$89)+Assumptions!$C$91))</f>
        <v>933.3</v>
      </c>
      <c r="P168" s="9" t="n">
        <f aca="false">((P122+P123)*((Assumptions!$C$90*Assumptions!$C$89)+Assumptions!$C$91))</f>
        <v>1482.3</v>
      </c>
      <c r="Q168" s="9" t="n">
        <f aca="false">((Q122+Q123)*((Assumptions!$C$90*Assumptions!$C$89)+Assumptions!$C$91))</f>
        <v>1683.6</v>
      </c>
      <c r="R168" s="9" t="n">
        <f aca="false">((R122+R123)*((Assumptions!$C$90*Assumptions!$C$89)+Assumptions!$C$91))</f>
        <v>1683.6</v>
      </c>
      <c r="S168" s="9" t="n">
        <f aca="false">((S122+S123)*((Assumptions!$C$90*Assumptions!$C$89)+Assumptions!$C$91))</f>
        <v>2537.6</v>
      </c>
      <c r="T168" s="9" t="n">
        <f aca="false">((T122+T123)*((Assumptions!$C$90*Assumptions!$C$89)+Assumptions!$C$91))</f>
        <v>2772.45</v>
      </c>
      <c r="U168" s="9" t="n">
        <f aca="false">((U122+U123)*((Assumptions!$C$90*Assumptions!$C$89)+Assumptions!$C$91))</f>
        <v>2772.45</v>
      </c>
      <c r="V168" s="9" t="n">
        <f aca="false">((V122+V123)*((Assumptions!$C$90*Assumptions!$C$89)+Assumptions!$C$91))</f>
        <v>3199.45</v>
      </c>
      <c r="W168" s="9" t="n">
        <f aca="false">((W122+W123)*((Assumptions!$C$90*Assumptions!$C$89)+Assumptions!$C$91))</f>
        <v>4072.665</v>
      </c>
      <c r="X168" s="9" t="n">
        <f aca="false">((X122+X123)*((Assumptions!$C$90*Assumptions!$C$89)+Assumptions!$C$91))</f>
        <v>4072.665</v>
      </c>
      <c r="Y168" s="9" t="n">
        <f aca="false">((Y122+Y123)*((Assumptions!$C$90*Assumptions!$C$89)+Assumptions!$C$91))</f>
        <v>4499.665</v>
      </c>
      <c r="Z168" s="9" t="n">
        <f aca="false">((Z122+Z123)*((Assumptions!$C$90*Assumptions!$C$89)+Assumptions!$C$91))</f>
        <v>6014.1974</v>
      </c>
      <c r="AA168" s="9" t="n">
        <f aca="false">((AA122+AA123)*((Assumptions!$C$90*Assumptions!$C$89)+Assumptions!$C$91))</f>
        <v>6014.1974</v>
      </c>
      <c r="AB168" s="9" t="n">
        <f aca="false">((AB122+AB123)*((Assumptions!$C$90*Assumptions!$C$89)+Assumptions!$C$91))</f>
        <v>6868.1974</v>
      </c>
      <c r="AC168" s="9" t="n">
        <f aca="false">((AC122+AC123)*((Assumptions!$C$90*Assumptions!$C$89)+Assumptions!$C$91))</f>
        <v>8809.7298</v>
      </c>
      <c r="AD168" s="9" t="n">
        <f aca="false">((AD122+AD123)*((Assumptions!$C$90*Assumptions!$C$89)+Assumptions!$C$91))</f>
        <v>9236.7298</v>
      </c>
      <c r="AE168" s="9" t="n">
        <f aca="false">((AE122+AE123)*((Assumptions!$C$90*Assumptions!$C$89)+Assumptions!$C$91))</f>
        <v>9663.7298</v>
      </c>
      <c r="AF168" s="9" t="n">
        <f aca="false">((AF122+AF123)*((Assumptions!$C$90*Assumptions!$C$89)+Assumptions!$C$91))</f>
        <v>11836.6901</v>
      </c>
      <c r="AG168" s="9" t="n">
        <f aca="false">((AG122+AG123)*((Assumptions!$C$90*Assumptions!$C$89)+Assumptions!$C$91))</f>
        <v>11836.6901</v>
      </c>
      <c r="AH168" s="9" t="n">
        <f aca="false">((AH122+AH123)*((Assumptions!$C$90*Assumptions!$C$89)+Assumptions!$C$91))</f>
        <v>12263.6901</v>
      </c>
      <c r="AI168" s="9" t="n">
        <f aca="false">((AI122+AI123)*((Assumptions!$C$90*Assumptions!$C$89)+Assumptions!$C$91))</f>
        <v>15436.90217</v>
      </c>
      <c r="AJ168" s="9" t="n">
        <f aca="false">((AJ122+AJ123)*((Assumptions!$C$90*Assumptions!$C$89)+Assumptions!$C$91))</f>
        <v>15863.90217</v>
      </c>
      <c r="AK168" s="9" t="n">
        <f aca="false">((AK122+AK123)*((Assumptions!$C$90*Assumptions!$C$89)+Assumptions!$C$91))</f>
        <v>16478.78217</v>
      </c>
      <c r="AL168" s="9" t="n">
        <f aca="false">((AL122+AL123)*((Assumptions!$C$90*Assumptions!$C$89)+Assumptions!$C$91))</f>
        <v>19566.0472652</v>
      </c>
      <c r="AN168" s="11" t="n">
        <f aca="false">SUM(C168:N168)</f>
        <v>4410.3</v>
      </c>
      <c r="AO168" s="11" t="n">
        <f aca="false">SUM(O168:Z168)</f>
        <v>35723.9424</v>
      </c>
      <c r="AP168" s="11" t="n">
        <f aca="false">SUM(AA168:AL168)</f>
        <v>143875.2882752</v>
      </c>
    </row>
    <row r="169" customFormat="false" ht="15" hidden="false" customHeight="false" outlineLevel="0" collapsed="false">
      <c r="A169" s="0" t="s">
        <v>971</v>
      </c>
      <c r="B169" s="0" t="s">
        <v>421</v>
      </c>
      <c r="C169" s="9" t="n">
        <f aca="false">((((C29+C39)*Assumptions!$C$92)/100)+((C126*Assumptions!$C$93)/100))</f>
        <v>8.775</v>
      </c>
      <c r="D169" s="9" t="n">
        <f aca="false">((((D29+D39)*Assumptions!$C$92)/100)+((D126*Assumptions!$C$93)/100))</f>
        <v>15.5925</v>
      </c>
      <c r="E169" s="9" t="n">
        <f aca="false">((((E29+E39)*Assumptions!$C$92)/100)+((E126*Assumptions!$C$93)/100))</f>
        <v>20.54727</v>
      </c>
      <c r="F169" s="9" t="n">
        <f aca="false">((((F29+F39)*Assumptions!$C$92)/100)+((F126*Assumptions!$C$93)/100))</f>
        <v>24.513084</v>
      </c>
      <c r="G169" s="9" t="n">
        <f aca="false">((((G29+G39)*Assumptions!$C$92)/100)+((G126*Assumptions!$C$93)/100))</f>
        <v>34.034545608</v>
      </c>
      <c r="H169" s="9" t="n">
        <f aca="false">((((H29+H39)*Assumptions!$C$92)/100)+((H126*Assumptions!$C$93)/100))</f>
        <v>35.34891145944</v>
      </c>
      <c r="I169" s="9" t="n">
        <f aca="false">((((I29+I39)*Assumptions!$C$92)/100)+((I126*Assumptions!$C$93)/100))</f>
        <v>38.6915448897168</v>
      </c>
      <c r="J169" s="9" t="n">
        <f aca="false">((((J29+J39)*Assumptions!$C$92)/100)+((J126*Assumptions!$C$93)/100))</f>
        <v>81.7947663000575</v>
      </c>
      <c r="K169" s="9" t="n">
        <f aca="false">((((K29+K39)*Assumptions!$C$92)/100)+((K126*Assumptions!$C$93)/100))</f>
        <v>95.9016484496003</v>
      </c>
      <c r="L169" s="9" t="n">
        <f aca="false">((((L29+L39)*Assumptions!$C$92)/100)+((L126*Assumptions!$C$93)/100))</f>
        <v>101.494831906243</v>
      </c>
      <c r="M169" s="9" t="n">
        <f aca="false">((((M29+M39)*Assumptions!$C$92)/100)+((M126*Assumptions!$C$93)/100))</f>
        <v>107.691851833992</v>
      </c>
      <c r="N169" s="9" t="n">
        <f aca="false">((((N29+N39)*Assumptions!$C$92)/100)+((N126*Assumptions!$C$93)/100))</f>
        <v>122.508090302048</v>
      </c>
      <c r="O169" s="9" t="n">
        <f aca="false">((((O29+O39)*Assumptions!$C$92)/100)+((O126*Assumptions!$C$93)/100))</f>
        <v>201.322668862808</v>
      </c>
      <c r="P169" s="9" t="n">
        <f aca="false">((((P29+P39)*Assumptions!$C$92)/100)+((P126*Assumptions!$C$93)/100))</f>
        <v>284.923673257011</v>
      </c>
      <c r="Q169" s="9" t="n">
        <f aca="false">((((Q29+Q39)*Assumptions!$C$92)/100)+((Q126*Assumptions!$C$93)/100))</f>
        <v>387.357842255613</v>
      </c>
      <c r="R169" s="9" t="n">
        <f aca="false">((((R29+R39)*Assumptions!$C$92)/100)+((R126*Assumptions!$C$93)/100))</f>
        <v>422.818297273463</v>
      </c>
      <c r="S169" s="9" t="n">
        <f aca="false">((((S29+S39)*Assumptions!$C$92)/100)+((S126*Assumptions!$C$93)/100))</f>
        <v>496.706086383323</v>
      </c>
      <c r="T169" s="9" t="n">
        <f aca="false">((((T29+T39)*Assumptions!$C$92)/100)+((T126*Assumptions!$C$93)/100))</f>
        <v>526.202816925115</v>
      </c>
      <c r="U169" s="9" t="n">
        <f aca="false">((((U29+U39)*Assumptions!$C$92)/100)+((U126*Assumptions!$C$93)/100))</f>
        <v>552.800479311008</v>
      </c>
      <c r="V169" s="9" t="n">
        <f aca="false">((((V29+V39)*Assumptions!$C$92)/100)+((V126*Assumptions!$C$93)/100))</f>
        <v>651.601061048041</v>
      </c>
      <c r="W169" s="9" t="n">
        <f aca="false">((((W29+W39)*Assumptions!$C$92)/100)+((W126*Assumptions!$C$93)/100))</f>
        <v>854.869112712644</v>
      </c>
      <c r="X169" s="9" t="n">
        <f aca="false">((((X29+X39)*Assumptions!$C$92)/100)+((X126*Assumptions!$C$93)/100))</f>
        <v>892.542588846776</v>
      </c>
      <c r="Y169" s="9" t="n">
        <f aca="false">((((Y29+Y39)*Assumptions!$C$92)/100)+((Y126*Assumptions!$C$93)/100))</f>
        <v>923.684381889164</v>
      </c>
      <c r="Z169" s="9" t="n">
        <f aca="false">((((Z29+Z39)*Assumptions!$C$92)/100)+((Z126*Assumptions!$C$93)/100))</f>
        <v>1172.07606832839</v>
      </c>
      <c r="AA169" s="9" t="n">
        <f aca="false">((((AA29+AA39)*Assumptions!$C$92)/100)+((AA126*Assumptions!$C$93)/100))</f>
        <v>1240.19774400827</v>
      </c>
      <c r="AB169" s="9" t="n">
        <f aca="false">((((AB29+AB39)*Assumptions!$C$92)/100)+((AB126*Assumptions!$C$93)/100))</f>
        <v>1338.90721654902</v>
      </c>
      <c r="AC169" s="9" t="n">
        <f aca="false">((((AC29+AC39)*Assumptions!$C$92)/100)+((AC126*Assumptions!$C$93)/100))</f>
        <v>1632.19829214973</v>
      </c>
      <c r="AD169" s="9" t="n">
        <f aca="false">((((AD29+AD39)*Assumptions!$C$92)/100)+((AD126*Assumptions!$C$93)/100))</f>
        <v>1801.53709203988</v>
      </c>
      <c r="AE169" s="9" t="n">
        <f aca="false">((((AE29+AE39)*Assumptions!$C$92)/100)+((AE126*Assumptions!$C$93)/100))</f>
        <v>1840.99404235398</v>
      </c>
      <c r="AF169" s="9" t="n">
        <f aca="false">((((AF29+AF39)*Assumptions!$C$92)/100)+((AF126*Assumptions!$C$93)/100))</f>
        <v>2118.81593211809</v>
      </c>
      <c r="AG169" s="9" t="n">
        <f aca="false">((((AG29+AG39)*Assumptions!$C$92)/100)+((AG126*Assumptions!$C$93)/100))</f>
        <v>2130.00866629151</v>
      </c>
      <c r="AH169" s="9" t="n">
        <f aca="false">((((AH29+AH39)*Assumptions!$C$92)/100)+((AH126*Assumptions!$C$93)/100))</f>
        <v>2241.97841788817</v>
      </c>
      <c r="AI169" s="9" t="n">
        <f aca="false">((((AI29+AI39)*Assumptions!$C$92)/100)+((AI126*Assumptions!$C$93)/100))</f>
        <v>2848.21059923997</v>
      </c>
      <c r="AJ169" s="9" t="n">
        <f aca="false">((((AJ29+AJ39)*Assumptions!$C$92)/100)+((AJ126*Assumptions!$C$93)/100))</f>
        <v>3320.80653185587</v>
      </c>
      <c r="AK169" s="9" t="n">
        <f aca="false">((((AK29+AK39)*Assumptions!$C$92)/100)+((AK126*Assumptions!$C$93)/100))</f>
        <v>3534.47410181055</v>
      </c>
      <c r="AL169" s="9" t="n">
        <f aca="false">((((AL29+AL39)*Assumptions!$C$92)/100)+((AL126*Assumptions!$C$93)/100))</f>
        <v>3999.9695712768</v>
      </c>
      <c r="AN169" s="11" t="n">
        <f aca="false">SUM(C169:N169)</f>
        <v>686.894044749098</v>
      </c>
      <c r="AO169" s="11" t="n">
        <f aca="false">SUM(O169:Z169)</f>
        <v>7366.90507709336</v>
      </c>
      <c r="AP169" s="11" t="n">
        <f aca="false">SUM(AA169:AL169)</f>
        <v>28048.0982075818</v>
      </c>
    </row>
    <row r="170" customFormat="false" ht="15" hidden="false" customHeight="false" outlineLevel="0" collapsed="false">
      <c r="A170" s="0" t="s">
        <v>972</v>
      </c>
      <c r="B170" s="0" t="s">
        <v>230</v>
      </c>
      <c r="C170" s="9" t="n">
        <f aca="false">((C169*Assumptions!$C$94)*Assumptions!$C$95)</f>
        <v>10.96875</v>
      </c>
      <c r="D170" s="9" t="n">
        <f aca="false">((D169*Assumptions!$C$94)*Assumptions!$C$95)</f>
        <v>19.490625</v>
      </c>
      <c r="E170" s="9" t="n">
        <f aca="false">((E169*Assumptions!$C$94)*Assumptions!$C$95)</f>
        <v>25.6840875</v>
      </c>
      <c r="F170" s="9" t="n">
        <f aca="false">((F169*Assumptions!$C$94)*Assumptions!$C$95)</f>
        <v>30.641355</v>
      </c>
      <c r="G170" s="9" t="n">
        <f aca="false">((G169*Assumptions!$C$94)*Assumptions!$C$95)</f>
        <v>42.54318201</v>
      </c>
      <c r="H170" s="9" t="n">
        <f aca="false">((H169*Assumptions!$C$94)*Assumptions!$C$95)</f>
        <v>44.1861393243</v>
      </c>
      <c r="I170" s="9" t="n">
        <f aca="false">((I169*Assumptions!$C$94)*Assumptions!$C$95)</f>
        <v>48.364431112146</v>
      </c>
      <c r="J170" s="9" t="n">
        <f aca="false">((J169*Assumptions!$C$94)*Assumptions!$C$95)</f>
        <v>102.243457875072</v>
      </c>
      <c r="K170" s="9" t="n">
        <f aca="false">((K169*Assumptions!$C$94)*Assumptions!$C$95)</f>
        <v>119.877060562</v>
      </c>
      <c r="L170" s="9" t="n">
        <f aca="false">((L169*Assumptions!$C$94)*Assumptions!$C$95)</f>
        <v>126.868539882804</v>
      </c>
      <c r="M170" s="9" t="n">
        <f aca="false">((M169*Assumptions!$C$94)*Assumptions!$C$95)</f>
        <v>134.61481479249</v>
      </c>
      <c r="N170" s="9" t="n">
        <f aca="false">((N169*Assumptions!$C$94)*Assumptions!$C$95)</f>
        <v>153.13511287756</v>
      </c>
      <c r="O170" s="9" t="n">
        <f aca="false">((O169*Assumptions!$C$94)*Assumptions!$C$95)</f>
        <v>251.65333607851</v>
      </c>
      <c r="P170" s="9" t="n">
        <f aca="false">((P169*Assumptions!$C$94)*Assumptions!$C$95)</f>
        <v>356.154591571264</v>
      </c>
      <c r="Q170" s="9" t="n">
        <f aca="false">((Q169*Assumptions!$C$94)*Assumptions!$C$95)</f>
        <v>484.197302819517</v>
      </c>
      <c r="R170" s="9" t="n">
        <f aca="false">((R169*Assumptions!$C$94)*Assumptions!$C$95)</f>
        <v>528.522871591828</v>
      </c>
      <c r="S170" s="9" t="n">
        <f aca="false">((S169*Assumptions!$C$94)*Assumptions!$C$95)</f>
        <v>620.882607979154</v>
      </c>
      <c r="T170" s="9" t="n">
        <f aca="false">((T169*Assumptions!$C$94)*Assumptions!$C$95)</f>
        <v>657.753521156393</v>
      </c>
      <c r="U170" s="9" t="n">
        <f aca="false">((U169*Assumptions!$C$94)*Assumptions!$C$95)</f>
        <v>691.00059913876</v>
      </c>
      <c r="V170" s="9" t="n">
        <f aca="false">((V169*Assumptions!$C$94)*Assumptions!$C$95)</f>
        <v>814.501326310051</v>
      </c>
      <c r="W170" s="9" t="n">
        <f aca="false">((W169*Assumptions!$C$94)*Assumptions!$C$95)</f>
        <v>1068.5863908908</v>
      </c>
      <c r="X170" s="9" t="n">
        <f aca="false">((X169*Assumptions!$C$94)*Assumptions!$C$95)</f>
        <v>1115.67823605847</v>
      </c>
      <c r="Y170" s="9" t="n">
        <f aca="false">((Y169*Assumptions!$C$94)*Assumptions!$C$95)</f>
        <v>1154.60547736146</v>
      </c>
      <c r="Z170" s="9" t="n">
        <f aca="false">((Z169*Assumptions!$C$94)*Assumptions!$C$95)</f>
        <v>1465.09508541049</v>
      </c>
      <c r="AA170" s="9" t="n">
        <f aca="false">((AA169*Assumptions!$C$94)*Assumptions!$C$95)</f>
        <v>1550.24718001034</v>
      </c>
      <c r="AB170" s="9" t="n">
        <f aca="false">((AB169*Assumptions!$C$94)*Assumptions!$C$95)</f>
        <v>1673.63402068628</v>
      </c>
      <c r="AC170" s="9" t="n">
        <f aca="false">((AC169*Assumptions!$C$94)*Assumptions!$C$95)</f>
        <v>2040.24786518716</v>
      </c>
      <c r="AD170" s="9" t="n">
        <f aca="false">((AD169*Assumptions!$C$94)*Assumptions!$C$95)</f>
        <v>2251.92136504985</v>
      </c>
      <c r="AE170" s="9" t="n">
        <f aca="false">((AE169*Assumptions!$C$94)*Assumptions!$C$95)</f>
        <v>2301.24255294247</v>
      </c>
      <c r="AF170" s="9" t="n">
        <f aca="false">((AF169*Assumptions!$C$94)*Assumptions!$C$95)</f>
        <v>2648.51991514761</v>
      </c>
      <c r="AG170" s="9" t="n">
        <f aca="false">((AG169*Assumptions!$C$94)*Assumptions!$C$95)</f>
        <v>2662.51083286439</v>
      </c>
      <c r="AH170" s="9" t="n">
        <f aca="false">((AH169*Assumptions!$C$94)*Assumptions!$C$95)</f>
        <v>2802.47302236021</v>
      </c>
      <c r="AI170" s="9" t="n">
        <f aca="false">((AI169*Assumptions!$C$94)*Assumptions!$C$95)</f>
        <v>3560.26324904997</v>
      </c>
      <c r="AJ170" s="9" t="n">
        <f aca="false">((AJ169*Assumptions!$C$94)*Assumptions!$C$95)</f>
        <v>4151.00816481984</v>
      </c>
      <c r="AK170" s="9" t="n">
        <f aca="false">((AK169*Assumptions!$C$94)*Assumptions!$C$95)</f>
        <v>4418.09262726318</v>
      </c>
      <c r="AL170" s="9" t="n">
        <f aca="false">((AL169*Assumptions!$C$94)*Assumptions!$C$95)</f>
        <v>4999.961964096</v>
      </c>
      <c r="AN170" s="11" t="n">
        <f aca="false">SUM(C170:N170)</f>
        <v>858.617555936372</v>
      </c>
      <c r="AO170" s="11" t="n">
        <f aca="false">SUM(O170:Z170)</f>
        <v>9208.6313463667</v>
      </c>
      <c r="AP170" s="11" t="n">
        <f aca="false">SUM(AA170:AL170)</f>
        <v>35060.1227594773</v>
      </c>
    </row>
    <row r="171" customFormat="false" ht="15" hidden="false" customHeight="false" outlineLevel="0" collapsed="false">
      <c r="A171" s="0" t="s">
        <v>973</v>
      </c>
      <c r="B171" s="0" t="s">
        <v>230</v>
      </c>
      <c r="C171" s="9" t="n">
        <f aca="false">SUMPRODUCT((Headcount!$C$5:$C$90="SUPPORT")*Headcount!$D$5:$D$90*Headcount!$F$5:$F$90*((Headcount!$I$5:$I$90=0)+(Headcount!$I$5:$I$90=1)*$C$16)*(C$18&gt;=(Headcount!$E$5:$E$90+Headcount!$G$5:$G$90*$C$15)))/12*(1+Assumptions!$C$97)</f>
        <v>0</v>
      </c>
      <c r="D171" s="9" t="n">
        <f aca="false">SUMPRODUCT((Headcount!$C$5:$C$90="SUPPORT")*Headcount!$D$5:$D$90*Headcount!$F$5:$F$90*((Headcount!$I$5:$I$90=0)+(Headcount!$I$5:$I$90=1)*$C$16)*(D$18&gt;=(Headcount!$E$5:$E$90+Headcount!$G$5:$G$90*$C$15)))/12*(1+Assumptions!$C$97)</f>
        <v>0</v>
      </c>
      <c r="E171" s="9" t="n">
        <f aca="false">SUMPRODUCT((Headcount!$C$5:$C$90="SUPPORT")*Headcount!$D$5:$D$90*Headcount!$F$5:$F$90*((Headcount!$I$5:$I$90=0)+(Headcount!$I$5:$I$90=1)*$C$16)*(E$18&gt;=(Headcount!$E$5:$E$90+Headcount!$G$5:$G$90*$C$15)))/12*(1+Assumptions!$C$97)</f>
        <v>0</v>
      </c>
      <c r="F171" s="9" t="n">
        <f aca="false">SUMPRODUCT((Headcount!$C$5:$C$90="SUPPORT")*Headcount!$D$5:$D$90*Headcount!$F$5:$F$90*((Headcount!$I$5:$I$90=0)+(Headcount!$I$5:$I$90=1)*$C$16)*(F$18&gt;=(Headcount!$E$5:$E$90+Headcount!$G$5:$G$90*$C$15)))/12*(1+Assumptions!$C$97)</f>
        <v>0</v>
      </c>
      <c r="G171" s="9" t="n">
        <f aca="false">SUMPRODUCT((Headcount!$C$5:$C$90="SUPPORT")*Headcount!$D$5:$D$90*Headcount!$F$5:$F$90*((Headcount!$I$5:$I$90=0)+(Headcount!$I$5:$I$90=1)*$C$16)*(G$18&gt;=(Headcount!$E$5:$E$90+Headcount!$G$5:$G$90*$C$15)))/12*(1+Assumptions!$C$97)</f>
        <v>0</v>
      </c>
      <c r="H171" s="9" t="n">
        <f aca="false">SUMPRODUCT((Headcount!$C$5:$C$90="SUPPORT")*Headcount!$D$5:$D$90*Headcount!$F$5:$F$90*((Headcount!$I$5:$I$90=0)+(Headcount!$I$5:$I$90=1)*$C$16)*(H$18&gt;=(Headcount!$E$5:$E$90+Headcount!$G$5:$G$90*$C$15)))/12*(1+Assumptions!$C$97)</f>
        <v>0</v>
      </c>
      <c r="I171" s="9" t="n">
        <f aca="false">SUMPRODUCT((Headcount!$C$5:$C$90="SUPPORT")*Headcount!$D$5:$D$90*Headcount!$F$5:$F$90*((Headcount!$I$5:$I$90=0)+(Headcount!$I$5:$I$90=1)*$C$16)*(I$18&gt;=(Headcount!$E$5:$E$90+Headcount!$G$5:$G$90*$C$15)))/12*(1+Assumptions!$C$97)</f>
        <v>0</v>
      </c>
      <c r="J171" s="9" t="n">
        <f aca="false">SUMPRODUCT((Headcount!$C$5:$C$90="SUPPORT")*Headcount!$D$5:$D$90*Headcount!$F$5:$F$90*((Headcount!$I$5:$I$90=0)+(Headcount!$I$5:$I$90=1)*$C$16)*(J$18&gt;=(Headcount!$E$5:$E$90+Headcount!$G$5:$G$90*$C$15)))/12*(1+Assumptions!$C$97)</f>
        <v>0</v>
      </c>
      <c r="K171" s="9" t="n">
        <f aca="false">SUMPRODUCT((Headcount!$C$5:$C$90="SUPPORT")*Headcount!$D$5:$D$90*Headcount!$F$5:$F$90*((Headcount!$I$5:$I$90=0)+(Headcount!$I$5:$I$90=1)*$C$16)*(K$18&gt;=(Headcount!$E$5:$E$90+Headcount!$G$5:$G$90*$C$15)))/12*(1+Assumptions!$C$97)</f>
        <v>6303.33333333333</v>
      </c>
      <c r="L171" s="9" t="n">
        <f aca="false">SUMPRODUCT((Headcount!$C$5:$C$90="SUPPORT")*Headcount!$D$5:$D$90*Headcount!$F$5:$F$90*((Headcount!$I$5:$I$90=0)+(Headcount!$I$5:$I$90=1)*$C$16)*(L$18&gt;=(Headcount!$E$5:$E$90+Headcount!$G$5:$G$90*$C$15)))/12*(1+Assumptions!$C$97)</f>
        <v>6303.33333333333</v>
      </c>
      <c r="M171" s="9" t="n">
        <f aca="false">SUMPRODUCT((Headcount!$C$5:$C$90="SUPPORT")*Headcount!$D$5:$D$90*Headcount!$F$5:$F$90*((Headcount!$I$5:$I$90=0)+(Headcount!$I$5:$I$90=1)*$C$16)*(M$18&gt;=(Headcount!$E$5:$E$90+Headcount!$G$5:$G$90*$C$15)))/12*(1+Assumptions!$C$97)</f>
        <v>6303.33333333333</v>
      </c>
      <c r="N171" s="9" t="n">
        <f aca="false">SUMPRODUCT((Headcount!$C$5:$C$90="SUPPORT")*Headcount!$D$5:$D$90*Headcount!$F$5:$F$90*((Headcount!$I$5:$I$90=0)+(Headcount!$I$5:$I$90=1)*$C$16)*(N$18&gt;=(Headcount!$E$5:$E$90+Headcount!$G$5:$G$90*$C$15)))/12*(1+Assumptions!$C$97)</f>
        <v>6303.33333333333</v>
      </c>
      <c r="O171" s="9" t="n">
        <f aca="false">SUMPRODUCT((Headcount!$C$5:$C$90="SUPPORT")*Headcount!$D$5:$D$90*Headcount!$F$5:$F$90*((Headcount!$I$5:$I$90=0)+(Headcount!$I$5:$I$90=1)*$C$16)*(O$18&gt;=(Headcount!$E$5:$E$90+Headcount!$G$5:$G$90*$C$15)))/12*(1+Assumptions!$C$97)</f>
        <v>6303.33333333333</v>
      </c>
      <c r="P171" s="9" t="n">
        <f aca="false">SUMPRODUCT((Headcount!$C$5:$C$90="SUPPORT")*Headcount!$D$5:$D$90*Headcount!$F$5:$F$90*((Headcount!$I$5:$I$90=0)+(Headcount!$I$5:$I$90=1)*$C$16)*(P$18&gt;=(Headcount!$E$5:$E$90+Headcount!$G$5:$G$90*$C$15)))/12*(1+Assumptions!$C$97)</f>
        <v>6303.33333333333</v>
      </c>
      <c r="Q171" s="9" t="n">
        <f aca="false">SUMPRODUCT((Headcount!$C$5:$C$90="SUPPORT")*Headcount!$D$5:$D$90*Headcount!$F$5:$F$90*((Headcount!$I$5:$I$90=0)+(Headcount!$I$5:$I$90=1)*$C$16)*(Q$18&gt;=(Headcount!$E$5:$E$90+Headcount!$G$5:$G$90*$C$15)))/12*(1+Assumptions!$C$97)</f>
        <v>6303.33333333333</v>
      </c>
      <c r="R171" s="9" t="n">
        <f aca="false">SUMPRODUCT((Headcount!$C$5:$C$90="SUPPORT")*Headcount!$D$5:$D$90*Headcount!$F$5:$F$90*((Headcount!$I$5:$I$90=0)+(Headcount!$I$5:$I$90=1)*$C$16)*(R$18&gt;=(Headcount!$E$5:$E$90+Headcount!$G$5:$G$90*$C$15)))/12*(1+Assumptions!$C$97)</f>
        <v>6303.33333333333</v>
      </c>
      <c r="S171" s="9" t="n">
        <f aca="false">SUMPRODUCT((Headcount!$C$5:$C$90="SUPPORT")*Headcount!$D$5:$D$90*Headcount!$F$5:$F$90*((Headcount!$I$5:$I$90=0)+(Headcount!$I$5:$I$90=1)*$C$16)*(S$18&gt;=(Headcount!$E$5:$E$90+Headcount!$G$5:$G$90*$C$15)))/12*(1+Assumptions!$C$97)</f>
        <v>6303.33333333333</v>
      </c>
      <c r="T171" s="9" t="n">
        <f aca="false">SUMPRODUCT((Headcount!$C$5:$C$90="SUPPORT")*Headcount!$D$5:$D$90*Headcount!$F$5:$F$90*((Headcount!$I$5:$I$90=0)+(Headcount!$I$5:$I$90=1)*$C$16)*(T$18&gt;=(Headcount!$E$5:$E$90+Headcount!$G$5:$G$90*$C$15)))/12*(1+Assumptions!$C$97)</f>
        <v>14945</v>
      </c>
      <c r="U171" s="9" t="n">
        <f aca="false">SUMPRODUCT((Headcount!$C$5:$C$90="SUPPORT")*Headcount!$D$5:$D$90*Headcount!$F$5:$F$90*((Headcount!$I$5:$I$90=0)+(Headcount!$I$5:$I$90=1)*$C$16)*(U$18&gt;=(Headcount!$E$5:$E$90+Headcount!$G$5:$G$90*$C$15)))/12*(1+Assumptions!$C$97)</f>
        <v>14945</v>
      </c>
      <c r="V171" s="9" t="n">
        <f aca="false">SUMPRODUCT((Headcount!$C$5:$C$90="SUPPORT")*Headcount!$D$5:$D$90*Headcount!$F$5:$F$90*((Headcount!$I$5:$I$90=0)+(Headcount!$I$5:$I$90=1)*$C$16)*(V$18&gt;=(Headcount!$E$5:$E$90+Headcount!$G$5:$G$90*$C$15)))/12*(1+Assumptions!$C$97)</f>
        <v>14945</v>
      </c>
      <c r="W171" s="9" t="n">
        <f aca="false">SUMPRODUCT((Headcount!$C$5:$C$90="SUPPORT")*Headcount!$D$5:$D$90*Headcount!$F$5:$F$90*((Headcount!$I$5:$I$90=0)+(Headcount!$I$5:$I$90=1)*$C$16)*(W$18&gt;=(Headcount!$E$5:$E$90+Headcount!$G$5:$G$90*$C$15)))/12*(1+Assumptions!$C$97)</f>
        <v>14945</v>
      </c>
      <c r="X171" s="9" t="n">
        <f aca="false">SUMPRODUCT((Headcount!$C$5:$C$90="SUPPORT")*Headcount!$D$5:$D$90*Headcount!$F$5:$F$90*((Headcount!$I$5:$I$90=0)+(Headcount!$I$5:$I$90=1)*$C$16)*(X$18&gt;=(Headcount!$E$5:$E$90+Headcount!$G$5:$G$90*$C$15)))/12*(1+Assumptions!$C$97)</f>
        <v>14945</v>
      </c>
      <c r="Y171" s="9" t="n">
        <f aca="false">SUMPRODUCT((Headcount!$C$5:$C$90="SUPPORT")*Headcount!$D$5:$D$90*Headcount!$F$5:$F$90*((Headcount!$I$5:$I$90=0)+(Headcount!$I$5:$I$90=1)*$C$16)*(Y$18&gt;=(Headcount!$E$5:$E$90+Headcount!$G$5:$G$90*$C$15)))/12*(1+Assumptions!$C$97)</f>
        <v>14945</v>
      </c>
      <c r="Z171" s="9" t="n">
        <f aca="false">SUMPRODUCT((Headcount!$C$5:$C$90="SUPPORT")*Headcount!$D$5:$D$90*Headcount!$F$5:$F$90*((Headcount!$I$5:$I$90=0)+(Headcount!$I$5:$I$90=1)*$C$16)*(Z$18&gt;=(Headcount!$E$5:$E$90+Headcount!$G$5:$G$90*$C$15)))/12*(1+Assumptions!$C$97)</f>
        <v>14945</v>
      </c>
      <c r="AA171" s="9" t="n">
        <f aca="false">SUMPRODUCT((Headcount!$C$5:$C$90="SUPPORT")*Headcount!$D$5:$D$90*Headcount!$F$5:$F$90*((Headcount!$I$5:$I$90=0)+(Headcount!$I$5:$I$90=1)*$C$16)*(AA$18&gt;=(Headcount!$E$5:$E$90+Headcount!$G$5:$G$90*$C$15)))/12*(1+Assumptions!$C$97)</f>
        <v>14945</v>
      </c>
      <c r="AB171" s="9" t="n">
        <f aca="false">SUMPRODUCT((Headcount!$C$5:$C$90="SUPPORT")*Headcount!$D$5:$D$90*Headcount!$F$5:$F$90*((Headcount!$I$5:$I$90=0)+(Headcount!$I$5:$I$90=1)*$C$16)*(AB$18&gt;=(Headcount!$E$5:$E$90+Headcount!$G$5:$G$90*$C$15)))/12*(1+Assumptions!$C$97)</f>
        <v>21248.3333333333</v>
      </c>
      <c r="AC171" s="9" t="n">
        <f aca="false">SUMPRODUCT((Headcount!$C$5:$C$90="SUPPORT")*Headcount!$D$5:$D$90*Headcount!$F$5:$F$90*((Headcount!$I$5:$I$90=0)+(Headcount!$I$5:$I$90=1)*$C$16)*(AC$18&gt;=(Headcount!$E$5:$E$90+Headcount!$G$5:$G$90*$C$15)))/12*(1+Assumptions!$C$97)</f>
        <v>21248.3333333333</v>
      </c>
      <c r="AD171" s="9" t="n">
        <f aca="false">SUMPRODUCT((Headcount!$C$5:$C$90="SUPPORT")*Headcount!$D$5:$D$90*Headcount!$F$5:$F$90*((Headcount!$I$5:$I$90=0)+(Headcount!$I$5:$I$90=1)*$C$16)*(AD$18&gt;=(Headcount!$E$5:$E$90+Headcount!$G$5:$G$90*$C$15)))/12*(1+Assumptions!$C$97)</f>
        <v>21248.3333333333</v>
      </c>
      <c r="AE171" s="9" t="n">
        <f aca="false">SUMPRODUCT((Headcount!$C$5:$C$90="SUPPORT")*Headcount!$D$5:$D$90*Headcount!$F$5:$F$90*((Headcount!$I$5:$I$90=0)+(Headcount!$I$5:$I$90=1)*$C$16)*(AE$18&gt;=(Headcount!$E$5:$E$90+Headcount!$G$5:$G$90*$C$15)))/12*(1+Assumptions!$C$97)</f>
        <v>21248.3333333333</v>
      </c>
      <c r="AF171" s="9" t="n">
        <f aca="false">SUMPRODUCT((Headcount!$C$5:$C$90="SUPPORT")*Headcount!$D$5:$D$90*Headcount!$F$5:$F$90*((Headcount!$I$5:$I$90=0)+(Headcount!$I$5:$I$90=1)*$C$16)*(AF$18&gt;=(Headcount!$E$5:$E$90+Headcount!$G$5:$G$90*$C$15)))/12*(1+Assumptions!$C$97)</f>
        <v>21248.3333333333</v>
      </c>
      <c r="AG171" s="9" t="n">
        <f aca="false">SUMPRODUCT((Headcount!$C$5:$C$90="SUPPORT")*Headcount!$D$5:$D$90*Headcount!$F$5:$F$90*((Headcount!$I$5:$I$90=0)+(Headcount!$I$5:$I$90=1)*$C$16)*(AG$18&gt;=(Headcount!$E$5:$E$90+Headcount!$G$5:$G$90*$C$15)))/12*(1+Assumptions!$C$97)</f>
        <v>21248.3333333333</v>
      </c>
      <c r="AH171" s="9" t="n">
        <f aca="false">SUMPRODUCT((Headcount!$C$5:$C$90="SUPPORT")*Headcount!$D$5:$D$90*Headcount!$F$5:$F$90*((Headcount!$I$5:$I$90=0)+(Headcount!$I$5:$I$90=1)*$C$16)*(AH$18&gt;=(Headcount!$E$5:$E$90+Headcount!$G$5:$G$90*$C$15)))/12*(1+Assumptions!$C$97)</f>
        <v>21248.3333333333</v>
      </c>
      <c r="AI171" s="9" t="n">
        <f aca="false">SUMPRODUCT((Headcount!$C$5:$C$90="SUPPORT")*Headcount!$D$5:$D$90*Headcount!$F$5:$F$90*((Headcount!$I$5:$I$90=0)+(Headcount!$I$5:$I$90=1)*$C$16)*(AI$18&gt;=(Headcount!$E$5:$E$90+Headcount!$G$5:$G$90*$C$15)))/12*(1+Assumptions!$C$97)</f>
        <v>27551.6666666667</v>
      </c>
      <c r="AJ171" s="9" t="n">
        <f aca="false">SUMPRODUCT((Headcount!$C$5:$C$90="SUPPORT")*Headcount!$D$5:$D$90*Headcount!$F$5:$F$90*((Headcount!$I$5:$I$90=0)+(Headcount!$I$5:$I$90=1)*$C$16)*(AJ$18&gt;=(Headcount!$E$5:$E$90+Headcount!$G$5:$G$90*$C$15)))/12*(1+Assumptions!$C$97)</f>
        <v>27551.6666666667</v>
      </c>
      <c r="AK171" s="9" t="n">
        <f aca="false">SUMPRODUCT((Headcount!$C$5:$C$90="SUPPORT")*Headcount!$D$5:$D$90*Headcount!$F$5:$F$90*((Headcount!$I$5:$I$90=0)+(Headcount!$I$5:$I$90=1)*$C$16)*(AK$18&gt;=(Headcount!$E$5:$E$90+Headcount!$G$5:$G$90*$C$15)))/12*(1+Assumptions!$C$97)</f>
        <v>27551.6666666667</v>
      </c>
      <c r="AL171" s="9" t="n">
        <f aca="false">SUMPRODUCT((Headcount!$C$5:$C$90="SUPPORT")*Headcount!$D$5:$D$90*Headcount!$F$5:$F$90*((Headcount!$I$5:$I$90=0)+(Headcount!$I$5:$I$90=1)*$C$16)*(AL$18&gt;=(Headcount!$E$5:$E$90+Headcount!$G$5:$G$90*$C$15)))/12*(1+Assumptions!$C$97)</f>
        <v>27551.6666666667</v>
      </c>
      <c r="AN171" s="11" t="n">
        <f aca="false">SUM(C171:N171)</f>
        <v>25213.3333333333</v>
      </c>
      <c r="AO171" s="11" t="n">
        <f aca="false">SUM(O171:Z171)</f>
        <v>136131.666666667</v>
      </c>
      <c r="AP171" s="11" t="n">
        <f aca="false">SUM(AA171:AL171)</f>
        <v>273890</v>
      </c>
    </row>
    <row r="172" customFormat="false" ht="15" hidden="false" customHeight="false" outlineLevel="0" collapsed="false">
      <c r="A172" s="0" t="s">
        <v>974</v>
      </c>
      <c r="B172" s="0" t="s">
        <v>230</v>
      </c>
      <c r="C172" s="9" t="n">
        <f aca="false">SUMPRODUCT((Headcount!$C$5:$C$90="IMPL")*Headcount!$D$5:$D$90*Headcount!$F$5:$F$90*((Headcount!$I$5:$I$90=0)+(Headcount!$I$5:$I$90=1)*$C$16)*(C$18&gt;=(Headcount!$E$5:$E$90+Headcount!$G$5:$G$90*$C$15)))/12*(1+Assumptions!$C$97)</f>
        <v>0</v>
      </c>
      <c r="D172" s="9" t="n">
        <f aca="false">SUMPRODUCT((Headcount!$C$5:$C$90="IMPL")*Headcount!$D$5:$D$90*Headcount!$F$5:$F$90*((Headcount!$I$5:$I$90=0)+(Headcount!$I$5:$I$90=1)*$C$16)*(D$18&gt;=(Headcount!$E$5:$E$90+Headcount!$G$5:$G$90*$C$15)))/12*(1+Assumptions!$C$97)</f>
        <v>0</v>
      </c>
      <c r="E172" s="9" t="n">
        <f aca="false">SUMPRODUCT((Headcount!$C$5:$C$90="IMPL")*Headcount!$D$5:$D$90*Headcount!$F$5:$F$90*((Headcount!$I$5:$I$90=0)+(Headcount!$I$5:$I$90=1)*$C$16)*(E$18&gt;=(Headcount!$E$5:$E$90+Headcount!$G$5:$G$90*$C$15)))/12*(1+Assumptions!$C$97)</f>
        <v>0</v>
      </c>
      <c r="F172" s="9" t="n">
        <f aca="false">SUMPRODUCT((Headcount!$C$5:$C$90="IMPL")*Headcount!$D$5:$D$90*Headcount!$F$5:$F$90*((Headcount!$I$5:$I$90=0)+(Headcount!$I$5:$I$90=1)*$C$16)*(F$18&gt;=(Headcount!$E$5:$E$90+Headcount!$G$5:$G$90*$C$15)))/12*(1+Assumptions!$C$97)</f>
        <v>0</v>
      </c>
      <c r="G172" s="9" t="n">
        <f aca="false">SUMPRODUCT((Headcount!$C$5:$C$90="IMPL")*Headcount!$D$5:$D$90*Headcount!$F$5:$F$90*((Headcount!$I$5:$I$90=0)+(Headcount!$I$5:$I$90=1)*$C$16)*(G$18&gt;=(Headcount!$E$5:$E$90+Headcount!$G$5:$G$90*$C$15)))/12*(1+Assumptions!$C$97)</f>
        <v>10166.6666666667</v>
      </c>
      <c r="H172" s="9" t="n">
        <f aca="false">SUMPRODUCT((Headcount!$C$5:$C$90="IMPL")*Headcount!$D$5:$D$90*Headcount!$F$5:$F$90*((Headcount!$I$5:$I$90=0)+(Headcount!$I$5:$I$90=1)*$C$16)*(H$18&gt;=(Headcount!$E$5:$E$90+Headcount!$G$5:$G$90*$C$15)))/12*(1+Assumptions!$C$97)</f>
        <v>10166.6666666667</v>
      </c>
      <c r="I172" s="9" t="n">
        <f aca="false">SUMPRODUCT((Headcount!$C$5:$C$90="IMPL")*Headcount!$D$5:$D$90*Headcount!$F$5:$F$90*((Headcount!$I$5:$I$90=0)+(Headcount!$I$5:$I$90=1)*$C$16)*(I$18&gt;=(Headcount!$E$5:$E$90+Headcount!$G$5:$G$90*$C$15)))/12*(1+Assumptions!$C$97)</f>
        <v>10166.6666666667</v>
      </c>
      <c r="J172" s="9" t="n">
        <f aca="false">SUMPRODUCT((Headcount!$C$5:$C$90="IMPL")*Headcount!$D$5:$D$90*Headcount!$F$5:$F$90*((Headcount!$I$5:$I$90=0)+(Headcount!$I$5:$I$90=1)*$C$16)*(J$18&gt;=(Headcount!$E$5:$E$90+Headcount!$G$5:$G$90*$C$15)))/12*(1+Assumptions!$C$97)</f>
        <v>10166.6666666667</v>
      </c>
      <c r="K172" s="9" t="n">
        <f aca="false">SUMPRODUCT((Headcount!$C$5:$C$90="IMPL")*Headcount!$D$5:$D$90*Headcount!$F$5:$F$90*((Headcount!$I$5:$I$90=0)+(Headcount!$I$5:$I$90=1)*$C$16)*(K$18&gt;=(Headcount!$E$5:$E$90+Headcount!$G$5:$G$90*$C$15)))/12*(1+Assumptions!$C$97)</f>
        <v>10166.6666666667</v>
      </c>
      <c r="L172" s="9" t="n">
        <f aca="false">SUMPRODUCT((Headcount!$C$5:$C$90="IMPL")*Headcount!$D$5:$D$90*Headcount!$F$5:$F$90*((Headcount!$I$5:$I$90=0)+(Headcount!$I$5:$I$90=1)*$C$16)*(L$18&gt;=(Headcount!$E$5:$E$90+Headcount!$G$5:$G$90*$C$15)))/12*(1+Assumptions!$C$97)</f>
        <v>10166.6666666667</v>
      </c>
      <c r="M172" s="9" t="n">
        <f aca="false">SUMPRODUCT((Headcount!$C$5:$C$90="IMPL")*Headcount!$D$5:$D$90*Headcount!$F$5:$F$90*((Headcount!$I$5:$I$90=0)+(Headcount!$I$5:$I$90=1)*$C$16)*(M$18&gt;=(Headcount!$E$5:$E$90+Headcount!$G$5:$G$90*$C$15)))/12*(1+Assumptions!$C$97)</f>
        <v>20333.3333333333</v>
      </c>
      <c r="N172" s="9" t="n">
        <f aca="false">SUMPRODUCT((Headcount!$C$5:$C$90="IMPL")*Headcount!$D$5:$D$90*Headcount!$F$5:$F$90*((Headcount!$I$5:$I$90=0)+(Headcount!$I$5:$I$90=1)*$C$16)*(N$18&gt;=(Headcount!$E$5:$E$90+Headcount!$G$5:$G$90*$C$15)))/12*(1+Assumptions!$C$97)</f>
        <v>20333.3333333333</v>
      </c>
      <c r="O172" s="9" t="n">
        <f aca="false">SUMPRODUCT((Headcount!$C$5:$C$90="IMPL")*Headcount!$D$5:$D$90*Headcount!$F$5:$F$90*((Headcount!$I$5:$I$90=0)+(Headcount!$I$5:$I$90=1)*$C$16)*(O$18&gt;=(Headcount!$E$5:$E$90+Headcount!$G$5:$G$90*$C$15)))/12*(1+Assumptions!$C$97)</f>
        <v>20333.3333333333</v>
      </c>
      <c r="P172" s="9" t="n">
        <f aca="false">SUMPRODUCT((Headcount!$C$5:$C$90="IMPL")*Headcount!$D$5:$D$90*Headcount!$F$5:$F$90*((Headcount!$I$5:$I$90=0)+(Headcount!$I$5:$I$90=1)*$C$16)*(P$18&gt;=(Headcount!$E$5:$E$90+Headcount!$G$5:$G$90*$C$15)))/12*(1+Assumptions!$C$97)</f>
        <v>20333.3333333333</v>
      </c>
      <c r="Q172" s="9" t="n">
        <f aca="false">SUMPRODUCT((Headcount!$C$5:$C$90="IMPL")*Headcount!$D$5:$D$90*Headcount!$F$5:$F$90*((Headcount!$I$5:$I$90=0)+(Headcount!$I$5:$I$90=1)*$C$16)*(Q$18&gt;=(Headcount!$E$5:$E$90+Headcount!$G$5:$G$90*$C$15)))/12*(1+Assumptions!$C$97)</f>
        <v>30500</v>
      </c>
      <c r="R172" s="9" t="n">
        <f aca="false">SUMPRODUCT((Headcount!$C$5:$C$90="IMPL")*Headcount!$D$5:$D$90*Headcount!$F$5:$F$90*((Headcount!$I$5:$I$90=0)+(Headcount!$I$5:$I$90=1)*$C$16)*(R$18&gt;=(Headcount!$E$5:$E$90+Headcount!$G$5:$G$90*$C$15)))/12*(1+Assumptions!$C$97)</f>
        <v>30500</v>
      </c>
      <c r="S172" s="9" t="n">
        <f aca="false">SUMPRODUCT((Headcount!$C$5:$C$90="IMPL")*Headcount!$D$5:$D$90*Headcount!$F$5:$F$90*((Headcount!$I$5:$I$90=0)+(Headcount!$I$5:$I$90=1)*$C$16)*(S$18&gt;=(Headcount!$E$5:$E$90+Headcount!$G$5:$G$90*$C$15)))/12*(1+Assumptions!$C$97)</f>
        <v>30500</v>
      </c>
      <c r="T172" s="9" t="n">
        <f aca="false">SUMPRODUCT((Headcount!$C$5:$C$90="IMPL")*Headcount!$D$5:$D$90*Headcount!$F$5:$F$90*((Headcount!$I$5:$I$90=0)+(Headcount!$I$5:$I$90=1)*$C$16)*(T$18&gt;=(Headcount!$E$5:$E$90+Headcount!$G$5:$G$90*$C$15)))/12*(1+Assumptions!$C$97)</f>
        <v>30500</v>
      </c>
      <c r="U172" s="9" t="n">
        <f aca="false">SUMPRODUCT((Headcount!$C$5:$C$90="IMPL")*Headcount!$D$5:$D$90*Headcount!$F$5:$F$90*((Headcount!$I$5:$I$90=0)+(Headcount!$I$5:$I$90=1)*$C$16)*(U$18&gt;=(Headcount!$E$5:$E$90+Headcount!$G$5:$G$90*$C$15)))/12*(1+Assumptions!$C$97)</f>
        <v>40666.6666666667</v>
      </c>
      <c r="V172" s="9" t="n">
        <f aca="false">SUMPRODUCT((Headcount!$C$5:$C$90="IMPL")*Headcount!$D$5:$D$90*Headcount!$F$5:$F$90*((Headcount!$I$5:$I$90=0)+(Headcount!$I$5:$I$90=1)*$C$16)*(V$18&gt;=(Headcount!$E$5:$E$90+Headcount!$G$5:$G$90*$C$15)))/12*(1+Assumptions!$C$97)</f>
        <v>40666.6666666667</v>
      </c>
      <c r="W172" s="9" t="n">
        <f aca="false">SUMPRODUCT((Headcount!$C$5:$C$90="IMPL")*Headcount!$D$5:$D$90*Headcount!$F$5:$F$90*((Headcount!$I$5:$I$90=0)+(Headcount!$I$5:$I$90=1)*$C$16)*(W$18&gt;=(Headcount!$E$5:$E$90+Headcount!$G$5:$G$90*$C$15)))/12*(1+Assumptions!$C$97)</f>
        <v>40666.6666666667</v>
      </c>
      <c r="X172" s="9" t="n">
        <f aca="false">SUMPRODUCT((Headcount!$C$5:$C$90="IMPL")*Headcount!$D$5:$D$90*Headcount!$F$5:$F$90*((Headcount!$I$5:$I$90=0)+(Headcount!$I$5:$I$90=1)*$C$16)*(X$18&gt;=(Headcount!$E$5:$E$90+Headcount!$G$5:$G$90*$C$15)))/12*(1+Assumptions!$C$97)</f>
        <v>50833.3333333333</v>
      </c>
      <c r="Y172" s="9" t="n">
        <f aca="false">SUMPRODUCT((Headcount!$C$5:$C$90="IMPL")*Headcount!$D$5:$D$90*Headcount!$F$5:$F$90*((Headcount!$I$5:$I$90=0)+(Headcount!$I$5:$I$90=1)*$C$16)*(Y$18&gt;=(Headcount!$E$5:$E$90+Headcount!$G$5:$G$90*$C$15)))/12*(1+Assumptions!$C$97)</f>
        <v>50833.3333333333</v>
      </c>
      <c r="Z172" s="9" t="n">
        <f aca="false">SUMPRODUCT((Headcount!$C$5:$C$90="IMPL")*Headcount!$D$5:$D$90*Headcount!$F$5:$F$90*((Headcount!$I$5:$I$90=0)+(Headcount!$I$5:$I$90=1)*$C$16)*(Z$18&gt;=(Headcount!$E$5:$E$90+Headcount!$G$5:$G$90*$C$15)))/12*(1+Assumptions!$C$97)</f>
        <v>50833.3333333333</v>
      </c>
      <c r="AA172" s="9" t="n">
        <f aca="false">SUMPRODUCT((Headcount!$C$5:$C$90="IMPL")*Headcount!$D$5:$D$90*Headcount!$F$5:$F$90*((Headcount!$I$5:$I$90=0)+(Headcount!$I$5:$I$90=1)*$C$16)*(AA$18&gt;=(Headcount!$E$5:$E$90+Headcount!$G$5:$G$90*$C$15)))/12*(1+Assumptions!$C$97)</f>
        <v>61000</v>
      </c>
      <c r="AB172" s="9" t="n">
        <f aca="false">SUMPRODUCT((Headcount!$C$5:$C$90="IMPL")*Headcount!$D$5:$D$90*Headcount!$F$5:$F$90*((Headcount!$I$5:$I$90=0)+(Headcount!$I$5:$I$90=1)*$C$16)*(AB$18&gt;=(Headcount!$E$5:$E$90+Headcount!$G$5:$G$90*$C$15)))/12*(1+Assumptions!$C$97)</f>
        <v>61000</v>
      </c>
      <c r="AC172" s="9" t="n">
        <f aca="false">SUMPRODUCT((Headcount!$C$5:$C$90="IMPL")*Headcount!$D$5:$D$90*Headcount!$F$5:$F$90*((Headcount!$I$5:$I$90=0)+(Headcount!$I$5:$I$90=1)*$C$16)*(AC$18&gt;=(Headcount!$E$5:$E$90+Headcount!$G$5:$G$90*$C$15)))/12*(1+Assumptions!$C$97)</f>
        <v>61000</v>
      </c>
      <c r="AD172" s="9" t="n">
        <f aca="false">SUMPRODUCT((Headcount!$C$5:$C$90="IMPL")*Headcount!$D$5:$D$90*Headcount!$F$5:$F$90*((Headcount!$I$5:$I$90=0)+(Headcount!$I$5:$I$90=1)*$C$16)*(AD$18&gt;=(Headcount!$E$5:$E$90+Headcount!$G$5:$G$90*$C$15)))/12*(1+Assumptions!$C$97)</f>
        <v>71166.6666666667</v>
      </c>
      <c r="AE172" s="9" t="n">
        <f aca="false">SUMPRODUCT((Headcount!$C$5:$C$90="IMPL")*Headcount!$D$5:$D$90*Headcount!$F$5:$F$90*((Headcount!$I$5:$I$90=0)+(Headcount!$I$5:$I$90=1)*$C$16)*(AE$18&gt;=(Headcount!$E$5:$E$90+Headcount!$G$5:$G$90*$C$15)))/12*(1+Assumptions!$C$97)</f>
        <v>71166.6666666667</v>
      </c>
      <c r="AF172" s="9" t="n">
        <f aca="false">SUMPRODUCT((Headcount!$C$5:$C$90="IMPL")*Headcount!$D$5:$D$90*Headcount!$F$5:$F$90*((Headcount!$I$5:$I$90=0)+(Headcount!$I$5:$I$90=1)*$C$16)*(AF$18&gt;=(Headcount!$E$5:$E$90+Headcount!$G$5:$G$90*$C$15)))/12*(1+Assumptions!$C$97)</f>
        <v>71166.6666666667</v>
      </c>
      <c r="AG172" s="9" t="n">
        <f aca="false">SUMPRODUCT((Headcount!$C$5:$C$90="IMPL")*Headcount!$D$5:$D$90*Headcount!$F$5:$F$90*((Headcount!$I$5:$I$90=0)+(Headcount!$I$5:$I$90=1)*$C$16)*(AG$18&gt;=(Headcount!$E$5:$E$90+Headcount!$G$5:$G$90*$C$15)))/12*(1+Assumptions!$C$97)</f>
        <v>81333.3333333333</v>
      </c>
      <c r="AH172" s="9" t="n">
        <f aca="false">SUMPRODUCT((Headcount!$C$5:$C$90="IMPL")*Headcount!$D$5:$D$90*Headcount!$F$5:$F$90*((Headcount!$I$5:$I$90=0)+(Headcount!$I$5:$I$90=1)*$C$16)*(AH$18&gt;=(Headcount!$E$5:$E$90+Headcount!$G$5:$G$90*$C$15)))/12*(1+Assumptions!$C$97)</f>
        <v>81333.3333333333</v>
      </c>
      <c r="AI172" s="9" t="n">
        <f aca="false">SUMPRODUCT((Headcount!$C$5:$C$90="IMPL")*Headcount!$D$5:$D$90*Headcount!$F$5:$F$90*((Headcount!$I$5:$I$90=0)+(Headcount!$I$5:$I$90=1)*$C$16)*(AI$18&gt;=(Headcount!$E$5:$E$90+Headcount!$G$5:$G$90*$C$15)))/12*(1+Assumptions!$C$97)</f>
        <v>81333.3333333333</v>
      </c>
      <c r="AJ172" s="9" t="n">
        <f aca="false">SUMPRODUCT((Headcount!$C$5:$C$90="IMPL")*Headcount!$D$5:$D$90*Headcount!$F$5:$F$90*((Headcount!$I$5:$I$90=0)+(Headcount!$I$5:$I$90=1)*$C$16)*(AJ$18&gt;=(Headcount!$E$5:$E$90+Headcount!$G$5:$G$90*$C$15)))/12*(1+Assumptions!$C$97)</f>
        <v>81333.3333333333</v>
      </c>
      <c r="AK172" s="9" t="n">
        <f aca="false">SUMPRODUCT((Headcount!$C$5:$C$90="IMPL")*Headcount!$D$5:$D$90*Headcount!$F$5:$F$90*((Headcount!$I$5:$I$90=0)+(Headcount!$I$5:$I$90=1)*$C$16)*(AK$18&gt;=(Headcount!$E$5:$E$90+Headcount!$G$5:$G$90*$C$15)))/12*(1+Assumptions!$C$97)</f>
        <v>81333.3333333333</v>
      </c>
      <c r="AL172" s="9" t="n">
        <f aca="false">SUMPRODUCT((Headcount!$C$5:$C$90="IMPL")*Headcount!$D$5:$D$90*Headcount!$F$5:$F$90*((Headcount!$I$5:$I$90=0)+(Headcount!$I$5:$I$90=1)*$C$16)*(AL$18&gt;=(Headcount!$E$5:$E$90+Headcount!$G$5:$G$90*$C$15)))/12*(1+Assumptions!$C$97)</f>
        <v>81333.3333333333</v>
      </c>
      <c r="AN172" s="11" t="n">
        <f aca="false">SUM(C172:N172)</f>
        <v>101666.666666667</v>
      </c>
      <c r="AO172" s="11" t="n">
        <f aca="false">SUM(O172:Z172)</f>
        <v>437166.666666667</v>
      </c>
      <c r="AP172" s="11" t="n">
        <f aca="false">SUM(AA172:AL172)</f>
        <v>884500</v>
      </c>
    </row>
    <row r="173" customFormat="false" ht="15" hidden="false" customHeight="false" outlineLevel="0" collapsed="false">
      <c r="A173" s="0" t="s">
        <v>975</v>
      </c>
      <c r="B173" s="0" t="s">
        <v>230</v>
      </c>
      <c r="C173" s="9" t="n">
        <f aca="false">SUMPRODUCT((Headcount!$C$5:$C$90="CS")*Headcount!$D$5:$D$90*Headcount!$F$5:$F$90*((Headcount!$I$5:$I$90=0)+(Headcount!$I$5:$I$90=1)*$C$16)*(C$18&gt;=(Headcount!$E$5:$E$90+Headcount!$G$5:$G$90*$C$15)))/12*(1+Assumptions!$C$97)</f>
        <v>0</v>
      </c>
      <c r="D173" s="9" t="n">
        <f aca="false">SUMPRODUCT((Headcount!$C$5:$C$90="CS")*Headcount!$D$5:$D$90*Headcount!$F$5:$F$90*((Headcount!$I$5:$I$90=0)+(Headcount!$I$5:$I$90=1)*$C$16)*(D$18&gt;=(Headcount!$E$5:$E$90+Headcount!$G$5:$G$90*$C$15)))/12*(1+Assumptions!$C$97)</f>
        <v>0</v>
      </c>
      <c r="E173" s="9" t="n">
        <f aca="false">SUMPRODUCT((Headcount!$C$5:$C$90="CS")*Headcount!$D$5:$D$90*Headcount!$F$5:$F$90*((Headcount!$I$5:$I$90=0)+(Headcount!$I$5:$I$90=1)*$C$16)*(E$18&gt;=(Headcount!$E$5:$E$90+Headcount!$G$5:$G$90*$C$15)))/12*(1+Assumptions!$C$97)</f>
        <v>0</v>
      </c>
      <c r="F173" s="9" t="n">
        <f aca="false">SUMPRODUCT((Headcount!$C$5:$C$90="CS")*Headcount!$D$5:$D$90*Headcount!$F$5:$F$90*((Headcount!$I$5:$I$90=0)+(Headcount!$I$5:$I$90=1)*$C$16)*(F$18&gt;=(Headcount!$E$5:$E$90+Headcount!$G$5:$G$90*$C$15)))/12*(1+Assumptions!$C$97)</f>
        <v>0</v>
      </c>
      <c r="G173" s="9" t="n">
        <f aca="false">SUMPRODUCT((Headcount!$C$5:$C$90="CS")*Headcount!$D$5:$D$90*Headcount!$F$5:$F$90*((Headcount!$I$5:$I$90=0)+(Headcount!$I$5:$I$90=1)*$C$16)*(G$18&gt;=(Headcount!$E$5:$E$90+Headcount!$G$5:$G$90*$C$15)))/12*(1+Assumptions!$C$97)</f>
        <v>0</v>
      </c>
      <c r="H173" s="9" t="n">
        <f aca="false">SUMPRODUCT((Headcount!$C$5:$C$90="CS")*Headcount!$D$5:$D$90*Headcount!$F$5:$F$90*((Headcount!$I$5:$I$90=0)+(Headcount!$I$5:$I$90=1)*$C$16)*(H$18&gt;=(Headcount!$E$5:$E$90+Headcount!$G$5:$G$90*$C$15)))/12*(1+Assumptions!$C$97)</f>
        <v>0</v>
      </c>
      <c r="I173" s="9" t="n">
        <f aca="false">SUMPRODUCT((Headcount!$C$5:$C$90="CS")*Headcount!$D$5:$D$90*Headcount!$F$5:$F$90*((Headcount!$I$5:$I$90=0)+(Headcount!$I$5:$I$90=1)*$C$16)*(I$18&gt;=(Headcount!$E$5:$E$90+Headcount!$G$5:$G$90*$C$15)))/12*(1+Assumptions!$C$97)</f>
        <v>0</v>
      </c>
      <c r="J173" s="9" t="n">
        <f aca="false">SUMPRODUCT((Headcount!$C$5:$C$90="CS")*Headcount!$D$5:$D$90*Headcount!$F$5:$F$90*((Headcount!$I$5:$I$90=0)+(Headcount!$I$5:$I$90=1)*$C$16)*(J$18&gt;=(Headcount!$E$5:$E$90+Headcount!$G$5:$G$90*$C$15)))/12*(1+Assumptions!$C$97)</f>
        <v>0</v>
      </c>
      <c r="K173" s="9" t="n">
        <f aca="false">SUMPRODUCT((Headcount!$C$5:$C$90="CS")*Headcount!$D$5:$D$90*Headcount!$F$5:$F$90*((Headcount!$I$5:$I$90=0)+(Headcount!$I$5:$I$90=1)*$C$16)*(K$18&gt;=(Headcount!$E$5:$E$90+Headcount!$G$5:$G$90*$C$15)))/12*(1+Assumptions!$C$97)</f>
        <v>0</v>
      </c>
      <c r="L173" s="9" t="n">
        <f aca="false">SUMPRODUCT((Headcount!$C$5:$C$90="CS")*Headcount!$D$5:$D$90*Headcount!$F$5:$F$90*((Headcount!$I$5:$I$90=0)+(Headcount!$I$5:$I$90=1)*$C$16)*(L$18&gt;=(Headcount!$E$5:$E$90+Headcount!$G$5:$G$90*$C$15)))/12*(1+Assumptions!$C$97)</f>
        <v>0</v>
      </c>
      <c r="M173" s="9" t="n">
        <f aca="false">SUMPRODUCT((Headcount!$C$5:$C$90="CS")*Headcount!$D$5:$D$90*Headcount!$F$5:$F$90*((Headcount!$I$5:$I$90=0)+(Headcount!$I$5:$I$90=1)*$C$16)*(M$18&gt;=(Headcount!$E$5:$E$90+Headcount!$G$5:$G$90*$C$15)))/12*(1+Assumptions!$C$97)</f>
        <v>0</v>
      </c>
      <c r="N173" s="9" t="n">
        <f aca="false">SUMPRODUCT((Headcount!$C$5:$C$90="CS")*Headcount!$D$5:$D$90*Headcount!$F$5:$F$90*((Headcount!$I$5:$I$90=0)+(Headcount!$I$5:$I$90=1)*$C$16)*(N$18&gt;=(Headcount!$E$5:$E$90+Headcount!$G$5:$G$90*$C$15)))/12*(1+Assumptions!$C$97)</f>
        <v>0</v>
      </c>
      <c r="O173" s="9" t="n">
        <f aca="false">SUMPRODUCT((Headcount!$C$5:$C$90="CS")*Headcount!$D$5:$D$90*Headcount!$F$5:$F$90*((Headcount!$I$5:$I$90=0)+(Headcount!$I$5:$I$90=1)*$C$16)*(O$18&gt;=(Headcount!$E$5:$E$90+Headcount!$G$5:$G$90*$C$15)))/12*(1+Assumptions!$C$97)</f>
        <v>0</v>
      </c>
      <c r="P173" s="9" t="n">
        <f aca="false">SUMPRODUCT((Headcount!$C$5:$C$90="CS")*Headcount!$D$5:$D$90*Headcount!$F$5:$F$90*((Headcount!$I$5:$I$90=0)+(Headcount!$I$5:$I$90=1)*$C$16)*(P$18&gt;=(Headcount!$E$5:$E$90+Headcount!$G$5:$G$90*$C$15)))/12*(1+Assumptions!$C$97)</f>
        <v>0</v>
      </c>
      <c r="Q173" s="9" t="n">
        <f aca="false">SUMPRODUCT((Headcount!$C$5:$C$90="CS")*Headcount!$D$5:$D$90*Headcount!$F$5:$F$90*((Headcount!$I$5:$I$90=0)+(Headcount!$I$5:$I$90=1)*$C$16)*(Q$18&gt;=(Headcount!$E$5:$E$90+Headcount!$G$5:$G$90*$C$15)))/12*(1+Assumptions!$C$97)</f>
        <v>0</v>
      </c>
      <c r="R173" s="9" t="n">
        <f aca="false">SUMPRODUCT((Headcount!$C$5:$C$90="CS")*Headcount!$D$5:$D$90*Headcount!$F$5:$F$90*((Headcount!$I$5:$I$90=0)+(Headcount!$I$5:$I$90=1)*$C$16)*(R$18&gt;=(Headcount!$E$5:$E$90+Headcount!$G$5:$G$90*$C$15)))/12*(1+Assumptions!$C$97)</f>
        <v>0</v>
      </c>
      <c r="S173" s="9" t="n">
        <f aca="false">SUMPRODUCT((Headcount!$C$5:$C$90="CS")*Headcount!$D$5:$D$90*Headcount!$F$5:$F$90*((Headcount!$I$5:$I$90=0)+(Headcount!$I$5:$I$90=1)*$C$16)*(S$18&gt;=(Headcount!$E$5:$E$90+Headcount!$G$5:$G$90*$C$15)))/12*(1+Assumptions!$C$97)</f>
        <v>0</v>
      </c>
      <c r="T173" s="9" t="n">
        <f aca="false">SUMPRODUCT((Headcount!$C$5:$C$90="CS")*Headcount!$D$5:$D$90*Headcount!$F$5:$F$90*((Headcount!$I$5:$I$90=0)+(Headcount!$I$5:$I$90=1)*$C$16)*(T$18&gt;=(Headcount!$E$5:$E$90+Headcount!$G$5:$G$90*$C$15)))/12*(1+Assumptions!$C$97)</f>
        <v>10166.6666666667</v>
      </c>
      <c r="U173" s="9" t="n">
        <f aca="false">SUMPRODUCT((Headcount!$C$5:$C$90="CS")*Headcount!$D$5:$D$90*Headcount!$F$5:$F$90*((Headcount!$I$5:$I$90=0)+(Headcount!$I$5:$I$90=1)*$C$16)*(U$18&gt;=(Headcount!$E$5:$E$90+Headcount!$G$5:$G$90*$C$15)))/12*(1+Assumptions!$C$97)</f>
        <v>10166.6666666667</v>
      </c>
      <c r="V173" s="9" t="n">
        <f aca="false">SUMPRODUCT((Headcount!$C$5:$C$90="CS")*Headcount!$D$5:$D$90*Headcount!$F$5:$F$90*((Headcount!$I$5:$I$90=0)+(Headcount!$I$5:$I$90=1)*$C$16)*(V$18&gt;=(Headcount!$E$5:$E$90+Headcount!$G$5:$G$90*$C$15)))/12*(1+Assumptions!$C$97)</f>
        <v>10166.6666666667</v>
      </c>
      <c r="W173" s="9" t="n">
        <f aca="false">SUMPRODUCT((Headcount!$C$5:$C$90="CS")*Headcount!$D$5:$D$90*Headcount!$F$5:$F$90*((Headcount!$I$5:$I$90=0)+(Headcount!$I$5:$I$90=1)*$C$16)*(W$18&gt;=(Headcount!$E$5:$E$90+Headcount!$G$5:$G$90*$C$15)))/12*(1+Assumptions!$C$97)</f>
        <v>10166.6666666667</v>
      </c>
      <c r="X173" s="9" t="n">
        <f aca="false">SUMPRODUCT((Headcount!$C$5:$C$90="CS")*Headcount!$D$5:$D$90*Headcount!$F$5:$F$90*((Headcount!$I$5:$I$90=0)+(Headcount!$I$5:$I$90=1)*$C$16)*(X$18&gt;=(Headcount!$E$5:$E$90+Headcount!$G$5:$G$90*$C$15)))/12*(1+Assumptions!$C$97)</f>
        <v>10166.6666666667</v>
      </c>
      <c r="Y173" s="9" t="n">
        <f aca="false">SUMPRODUCT((Headcount!$C$5:$C$90="CS")*Headcount!$D$5:$D$90*Headcount!$F$5:$F$90*((Headcount!$I$5:$I$90=0)+(Headcount!$I$5:$I$90=1)*$C$16)*(Y$18&gt;=(Headcount!$E$5:$E$90+Headcount!$G$5:$G$90*$C$15)))/12*(1+Assumptions!$C$97)</f>
        <v>10166.6666666667</v>
      </c>
      <c r="Z173" s="9" t="n">
        <f aca="false">SUMPRODUCT((Headcount!$C$5:$C$90="CS")*Headcount!$D$5:$D$90*Headcount!$F$5:$F$90*((Headcount!$I$5:$I$90=0)+(Headcount!$I$5:$I$90=1)*$C$16)*(Z$18&gt;=(Headcount!$E$5:$E$90+Headcount!$G$5:$G$90*$C$15)))/12*(1+Assumptions!$C$97)</f>
        <v>10166.6666666667</v>
      </c>
      <c r="AA173" s="9" t="n">
        <f aca="false">SUMPRODUCT((Headcount!$C$5:$C$90="CS")*Headcount!$D$5:$D$90*Headcount!$F$5:$F$90*((Headcount!$I$5:$I$90=0)+(Headcount!$I$5:$I$90=1)*$C$16)*(AA$18&gt;=(Headcount!$E$5:$E$90+Headcount!$G$5:$G$90*$C$15)))/12*(1+Assumptions!$C$97)</f>
        <v>10166.6666666667</v>
      </c>
      <c r="AB173" s="9" t="n">
        <f aca="false">SUMPRODUCT((Headcount!$C$5:$C$90="CS")*Headcount!$D$5:$D$90*Headcount!$F$5:$F$90*((Headcount!$I$5:$I$90=0)+(Headcount!$I$5:$I$90=1)*$C$16)*(AB$18&gt;=(Headcount!$E$5:$E$90+Headcount!$G$5:$G$90*$C$15)))/12*(1+Assumptions!$C$97)</f>
        <v>10166.6666666667</v>
      </c>
      <c r="AC173" s="9" t="n">
        <f aca="false">SUMPRODUCT((Headcount!$C$5:$C$90="CS")*Headcount!$D$5:$D$90*Headcount!$F$5:$F$90*((Headcount!$I$5:$I$90=0)+(Headcount!$I$5:$I$90=1)*$C$16)*(AC$18&gt;=(Headcount!$E$5:$E$90+Headcount!$G$5:$G$90*$C$15)))/12*(1+Assumptions!$C$97)</f>
        <v>10166.6666666667</v>
      </c>
      <c r="AD173" s="9" t="n">
        <f aca="false">SUMPRODUCT((Headcount!$C$5:$C$90="CS")*Headcount!$D$5:$D$90*Headcount!$F$5:$F$90*((Headcount!$I$5:$I$90=0)+(Headcount!$I$5:$I$90=1)*$C$16)*(AD$18&gt;=(Headcount!$E$5:$E$90+Headcount!$G$5:$G$90*$C$15)))/12*(1+Assumptions!$C$97)</f>
        <v>10166.6666666667</v>
      </c>
      <c r="AE173" s="9" t="n">
        <f aca="false">SUMPRODUCT((Headcount!$C$5:$C$90="CS")*Headcount!$D$5:$D$90*Headcount!$F$5:$F$90*((Headcount!$I$5:$I$90=0)+(Headcount!$I$5:$I$90=1)*$C$16)*(AE$18&gt;=(Headcount!$E$5:$E$90+Headcount!$G$5:$G$90*$C$15)))/12*(1+Assumptions!$C$97)</f>
        <v>10166.6666666667</v>
      </c>
      <c r="AF173" s="9" t="n">
        <f aca="false">SUMPRODUCT((Headcount!$C$5:$C$90="CS")*Headcount!$D$5:$D$90*Headcount!$F$5:$F$90*((Headcount!$I$5:$I$90=0)+(Headcount!$I$5:$I$90=1)*$C$16)*(AF$18&gt;=(Headcount!$E$5:$E$90+Headcount!$G$5:$G$90*$C$15)))/12*(1+Assumptions!$C$97)</f>
        <v>20333.3333333333</v>
      </c>
      <c r="AG173" s="9" t="n">
        <f aca="false">SUMPRODUCT((Headcount!$C$5:$C$90="CS")*Headcount!$D$5:$D$90*Headcount!$F$5:$F$90*((Headcount!$I$5:$I$90=0)+(Headcount!$I$5:$I$90=1)*$C$16)*(AG$18&gt;=(Headcount!$E$5:$E$90+Headcount!$G$5:$G$90*$C$15)))/12*(1+Assumptions!$C$97)</f>
        <v>20333.3333333333</v>
      </c>
      <c r="AH173" s="9" t="n">
        <f aca="false">SUMPRODUCT((Headcount!$C$5:$C$90="CS")*Headcount!$D$5:$D$90*Headcount!$F$5:$F$90*((Headcount!$I$5:$I$90=0)+(Headcount!$I$5:$I$90=1)*$C$16)*(AH$18&gt;=(Headcount!$E$5:$E$90+Headcount!$G$5:$G$90*$C$15)))/12*(1+Assumptions!$C$97)</f>
        <v>20333.3333333333</v>
      </c>
      <c r="AI173" s="9" t="n">
        <f aca="false">SUMPRODUCT((Headcount!$C$5:$C$90="CS")*Headcount!$D$5:$D$90*Headcount!$F$5:$F$90*((Headcount!$I$5:$I$90=0)+(Headcount!$I$5:$I$90=1)*$C$16)*(AI$18&gt;=(Headcount!$E$5:$E$90+Headcount!$G$5:$G$90*$C$15)))/12*(1+Assumptions!$C$97)</f>
        <v>20333.3333333333</v>
      </c>
      <c r="AJ173" s="9" t="n">
        <f aca="false">SUMPRODUCT((Headcount!$C$5:$C$90="CS")*Headcount!$D$5:$D$90*Headcount!$F$5:$F$90*((Headcount!$I$5:$I$90=0)+(Headcount!$I$5:$I$90=1)*$C$16)*(AJ$18&gt;=(Headcount!$E$5:$E$90+Headcount!$G$5:$G$90*$C$15)))/12*(1+Assumptions!$C$97)</f>
        <v>20333.3333333333</v>
      </c>
      <c r="AK173" s="9" t="n">
        <f aca="false">SUMPRODUCT((Headcount!$C$5:$C$90="CS")*Headcount!$D$5:$D$90*Headcount!$F$5:$F$90*((Headcount!$I$5:$I$90=0)+(Headcount!$I$5:$I$90=1)*$C$16)*(AK$18&gt;=(Headcount!$E$5:$E$90+Headcount!$G$5:$G$90*$C$15)))/12*(1+Assumptions!$C$97)</f>
        <v>20333.3333333333</v>
      </c>
      <c r="AL173" s="9" t="n">
        <f aca="false">SUMPRODUCT((Headcount!$C$5:$C$90="CS")*Headcount!$D$5:$D$90*Headcount!$F$5:$F$90*((Headcount!$I$5:$I$90=0)+(Headcount!$I$5:$I$90=1)*$C$16)*(AL$18&gt;=(Headcount!$E$5:$E$90+Headcount!$G$5:$G$90*$C$15)))/12*(1+Assumptions!$C$97)</f>
        <v>20333.3333333333</v>
      </c>
      <c r="AN173" s="11" t="n">
        <f aca="false">SUM(C173:N173)</f>
        <v>0</v>
      </c>
      <c r="AO173" s="11" t="n">
        <f aca="false">SUM(O173:Z173)</f>
        <v>71166.6666666667</v>
      </c>
      <c r="AP173" s="11" t="n">
        <f aca="false">SUM(AA173:AL173)</f>
        <v>193166.666666667</v>
      </c>
    </row>
    <row r="174" customFormat="false" ht="15" hidden="false" customHeight="false" outlineLevel="0" collapsed="false">
      <c r="A174" s="0" t="s">
        <v>976</v>
      </c>
      <c r="B174" s="0" t="s">
        <v>230</v>
      </c>
      <c r="C174" s="9" t="n">
        <f aca="false">SUMPRODUCT((Headcount!$C$5:$C$90="TS")*Headcount!$D$5:$D$90*Headcount!$F$5:$F$90*((Headcount!$I$5:$I$90=0)+(Headcount!$I$5:$I$90=1)*$C$16)*(C$18&gt;=(Headcount!$E$5:$E$90+Headcount!$G$5:$G$90*$C$15)))/12*(1+Assumptions!$C$97)</f>
        <v>0</v>
      </c>
      <c r="D174" s="9" t="n">
        <f aca="false">SUMPRODUCT((Headcount!$C$5:$C$90="TS")*Headcount!$D$5:$D$90*Headcount!$F$5:$F$90*((Headcount!$I$5:$I$90=0)+(Headcount!$I$5:$I$90=1)*$C$16)*(D$18&gt;=(Headcount!$E$5:$E$90+Headcount!$G$5:$G$90*$C$15)))/12*(1+Assumptions!$C$97)</f>
        <v>0</v>
      </c>
      <c r="E174" s="9" t="n">
        <f aca="false">SUMPRODUCT((Headcount!$C$5:$C$90="TS")*Headcount!$D$5:$D$90*Headcount!$F$5:$F$90*((Headcount!$I$5:$I$90=0)+(Headcount!$I$5:$I$90=1)*$C$16)*(E$18&gt;=(Headcount!$E$5:$E$90+Headcount!$G$5:$G$90*$C$15)))/12*(1+Assumptions!$C$97)</f>
        <v>0</v>
      </c>
      <c r="F174" s="9" t="n">
        <f aca="false">SUMPRODUCT((Headcount!$C$5:$C$90="TS")*Headcount!$D$5:$D$90*Headcount!$F$5:$F$90*((Headcount!$I$5:$I$90=0)+(Headcount!$I$5:$I$90=1)*$C$16)*(F$18&gt;=(Headcount!$E$5:$E$90+Headcount!$G$5:$G$90*$C$15)))/12*(1+Assumptions!$C$97)</f>
        <v>0</v>
      </c>
      <c r="G174" s="9" t="n">
        <f aca="false">SUMPRODUCT((Headcount!$C$5:$C$90="TS")*Headcount!$D$5:$D$90*Headcount!$F$5:$F$90*((Headcount!$I$5:$I$90=0)+(Headcount!$I$5:$I$90=1)*$C$16)*(G$18&gt;=(Headcount!$E$5:$E$90+Headcount!$G$5:$G$90*$C$15)))/12*(1+Assumptions!$C$97)</f>
        <v>0</v>
      </c>
      <c r="H174" s="9" t="n">
        <f aca="false">SUMPRODUCT((Headcount!$C$5:$C$90="TS")*Headcount!$D$5:$D$90*Headcount!$F$5:$F$90*((Headcount!$I$5:$I$90=0)+(Headcount!$I$5:$I$90=1)*$C$16)*(H$18&gt;=(Headcount!$E$5:$E$90+Headcount!$G$5:$G$90*$C$15)))/12*(1+Assumptions!$C$97)</f>
        <v>0</v>
      </c>
      <c r="I174" s="9" t="n">
        <f aca="false">SUMPRODUCT((Headcount!$C$5:$C$90="TS")*Headcount!$D$5:$D$90*Headcount!$F$5:$F$90*((Headcount!$I$5:$I$90=0)+(Headcount!$I$5:$I$90=1)*$C$16)*(I$18&gt;=(Headcount!$E$5:$E$90+Headcount!$G$5:$G$90*$C$15)))/12*(1+Assumptions!$C$97)</f>
        <v>0</v>
      </c>
      <c r="J174" s="9" t="n">
        <f aca="false">SUMPRODUCT((Headcount!$C$5:$C$90="TS")*Headcount!$D$5:$D$90*Headcount!$F$5:$F$90*((Headcount!$I$5:$I$90=0)+(Headcount!$I$5:$I$90=1)*$C$16)*(J$18&gt;=(Headcount!$E$5:$E$90+Headcount!$G$5:$G$90*$C$15)))/12*(1+Assumptions!$C$97)</f>
        <v>0</v>
      </c>
      <c r="K174" s="9" t="n">
        <f aca="false">SUMPRODUCT((Headcount!$C$5:$C$90="TS")*Headcount!$D$5:$D$90*Headcount!$F$5:$F$90*((Headcount!$I$5:$I$90=0)+(Headcount!$I$5:$I$90=1)*$C$16)*(K$18&gt;=(Headcount!$E$5:$E$90+Headcount!$G$5:$G$90*$C$15)))/12*(1+Assumptions!$C$97)</f>
        <v>0</v>
      </c>
      <c r="L174" s="9" t="n">
        <f aca="false">SUMPRODUCT((Headcount!$C$5:$C$90="TS")*Headcount!$D$5:$D$90*Headcount!$F$5:$F$90*((Headcount!$I$5:$I$90=0)+(Headcount!$I$5:$I$90=1)*$C$16)*(L$18&gt;=(Headcount!$E$5:$E$90+Headcount!$G$5:$G$90*$C$15)))/12*(1+Assumptions!$C$97)</f>
        <v>0</v>
      </c>
      <c r="M174" s="9" t="n">
        <f aca="false">SUMPRODUCT((Headcount!$C$5:$C$90="TS")*Headcount!$D$5:$D$90*Headcount!$F$5:$F$90*((Headcount!$I$5:$I$90=0)+(Headcount!$I$5:$I$90=1)*$C$16)*(M$18&gt;=(Headcount!$E$5:$E$90+Headcount!$G$5:$G$90*$C$15)))/12*(1+Assumptions!$C$97)</f>
        <v>0</v>
      </c>
      <c r="N174" s="9" t="n">
        <f aca="false">SUMPRODUCT((Headcount!$C$5:$C$90="TS")*Headcount!$D$5:$D$90*Headcount!$F$5:$F$90*((Headcount!$I$5:$I$90=0)+(Headcount!$I$5:$I$90=1)*$C$16)*(N$18&gt;=(Headcount!$E$5:$E$90+Headcount!$G$5:$G$90*$C$15)))/12*(1+Assumptions!$C$97)</f>
        <v>0</v>
      </c>
      <c r="O174" s="9" t="n">
        <f aca="false">SUMPRODUCT((Headcount!$C$5:$C$90="TS")*Headcount!$D$5:$D$90*Headcount!$F$5:$F$90*((Headcount!$I$5:$I$90=0)+(Headcount!$I$5:$I$90=1)*$C$16)*(O$18&gt;=(Headcount!$E$5:$E$90+Headcount!$G$5:$G$90*$C$15)))/12*(1+Assumptions!$C$97)</f>
        <v>0</v>
      </c>
      <c r="P174" s="9" t="n">
        <f aca="false">SUMPRODUCT((Headcount!$C$5:$C$90="TS")*Headcount!$D$5:$D$90*Headcount!$F$5:$F$90*((Headcount!$I$5:$I$90=0)+(Headcount!$I$5:$I$90=1)*$C$16)*(P$18&gt;=(Headcount!$E$5:$E$90+Headcount!$G$5:$G$90*$C$15)))/12*(1+Assumptions!$C$97)</f>
        <v>0</v>
      </c>
      <c r="Q174" s="9" t="n">
        <f aca="false">SUMPRODUCT((Headcount!$C$5:$C$90="TS")*Headcount!$D$5:$D$90*Headcount!$F$5:$F$90*((Headcount!$I$5:$I$90=0)+(Headcount!$I$5:$I$90=1)*$C$16)*(Q$18&gt;=(Headcount!$E$5:$E$90+Headcount!$G$5:$G$90*$C$15)))/12*(1+Assumptions!$C$97)</f>
        <v>0</v>
      </c>
      <c r="R174" s="9" t="n">
        <f aca="false">SUMPRODUCT((Headcount!$C$5:$C$90="TS")*Headcount!$D$5:$D$90*Headcount!$F$5:$F$90*((Headcount!$I$5:$I$90=0)+(Headcount!$I$5:$I$90=1)*$C$16)*(R$18&gt;=(Headcount!$E$5:$E$90+Headcount!$G$5:$G$90*$C$15)))/12*(1+Assumptions!$C$97)</f>
        <v>0</v>
      </c>
      <c r="S174" s="9" t="n">
        <f aca="false">SUMPRODUCT((Headcount!$C$5:$C$90="TS")*Headcount!$D$5:$D$90*Headcount!$F$5:$F$90*((Headcount!$I$5:$I$90=0)+(Headcount!$I$5:$I$90=1)*$C$16)*(S$18&gt;=(Headcount!$E$5:$E$90+Headcount!$G$5:$G$90*$C$15)))/12*(1+Assumptions!$C$97)</f>
        <v>0</v>
      </c>
      <c r="T174" s="9" t="n">
        <f aca="false">SUMPRODUCT((Headcount!$C$5:$C$90="TS")*Headcount!$D$5:$D$90*Headcount!$F$5:$F$90*((Headcount!$I$5:$I$90=0)+(Headcount!$I$5:$I$90=1)*$C$16)*(T$18&gt;=(Headcount!$E$5:$E$90+Headcount!$G$5:$G$90*$C$15)))/12*(1+Assumptions!$C$97)</f>
        <v>0</v>
      </c>
      <c r="U174" s="9" t="n">
        <f aca="false">SUMPRODUCT((Headcount!$C$5:$C$90="TS")*Headcount!$D$5:$D$90*Headcount!$F$5:$F$90*((Headcount!$I$5:$I$90=0)+(Headcount!$I$5:$I$90=1)*$C$16)*(U$18&gt;=(Headcount!$E$5:$E$90+Headcount!$G$5:$G$90*$C$15)))/12*(1+Assumptions!$C$97)</f>
        <v>0</v>
      </c>
      <c r="V174" s="9" t="n">
        <f aca="false">SUMPRODUCT((Headcount!$C$5:$C$90="TS")*Headcount!$D$5:$D$90*Headcount!$F$5:$F$90*((Headcount!$I$5:$I$90=0)+(Headcount!$I$5:$I$90=1)*$C$16)*(V$18&gt;=(Headcount!$E$5:$E$90+Headcount!$G$5:$G$90*$C$15)))/12*(1+Assumptions!$C$97)</f>
        <v>0</v>
      </c>
      <c r="W174" s="9" t="n">
        <f aca="false">SUMPRODUCT((Headcount!$C$5:$C$90="TS")*Headcount!$D$5:$D$90*Headcount!$F$5:$F$90*((Headcount!$I$5:$I$90=0)+(Headcount!$I$5:$I$90=1)*$C$16)*(W$18&gt;=(Headcount!$E$5:$E$90+Headcount!$G$5:$G$90*$C$15)))/12*(1+Assumptions!$C$97)</f>
        <v>0</v>
      </c>
      <c r="X174" s="9" t="n">
        <f aca="false">SUMPRODUCT((Headcount!$C$5:$C$90="TS")*Headcount!$D$5:$D$90*Headcount!$F$5:$F$90*((Headcount!$I$5:$I$90=0)+(Headcount!$I$5:$I$90=1)*$C$16)*(X$18&gt;=(Headcount!$E$5:$E$90+Headcount!$G$5:$G$90*$C$15)))/12*(1+Assumptions!$C$97)</f>
        <v>0</v>
      </c>
      <c r="Y174" s="9" t="n">
        <f aca="false">SUMPRODUCT((Headcount!$C$5:$C$90="TS")*Headcount!$D$5:$D$90*Headcount!$F$5:$F$90*((Headcount!$I$5:$I$90=0)+(Headcount!$I$5:$I$90=1)*$C$16)*(Y$18&gt;=(Headcount!$E$5:$E$90+Headcount!$G$5:$G$90*$C$15)))/12*(1+Assumptions!$C$97)</f>
        <v>0</v>
      </c>
      <c r="Z174" s="9" t="n">
        <f aca="false">SUMPRODUCT((Headcount!$C$5:$C$90="TS")*Headcount!$D$5:$D$90*Headcount!$F$5:$F$90*((Headcount!$I$5:$I$90=0)+(Headcount!$I$5:$I$90=1)*$C$16)*(Z$18&gt;=(Headcount!$E$5:$E$90+Headcount!$G$5:$G$90*$C$15)))/12*(1+Assumptions!$C$97)</f>
        <v>0</v>
      </c>
      <c r="AA174" s="9" t="n">
        <f aca="false">SUMPRODUCT((Headcount!$C$5:$C$90="TS")*Headcount!$D$5:$D$90*Headcount!$F$5:$F$90*((Headcount!$I$5:$I$90=0)+(Headcount!$I$5:$I$90=1)*$C$16)*(AA$18&gt;=(Headcount!$E$5:$E$90+Headcount!$G$5:$G$90*$C$15)))/12*(1+Assumptions!$C$97)</f>
        <v>0</v>
      </c>
      <c r="AB174" s="9" t="n">
        <f aca="false">SUMPRODUCT((Headcount!$C$5:$C$90="TS")*Headcount!$D$5:$D$90*Headcount!$F$5:$F$90*((Headcount!$I$5:$I$90=0)+(Headcount!$I$5:$I$90=1)*$C$16)*(AB$18&gt;=(Headcount!$E$5:$E$90+Headcount!$G$5:$G$90*$C$15)))/12*(1+Assumptions!$C$97)</f>
        <v>0</v>
      </c>
      <c r="AC174" s="9" t="n">
        <f aca="false">SUMPRODUCT((Headcount!$C$5:$C$90="TS")*Headcount!$D$5:$D$90*Headcount!$F$5:$F$90*((Headcount!$I$5:$I$90=0)+(Headcount!$I$5:$I$90=1)*$C$16)*(AC$18&gt;=(Headcount!$E$5:$E$90+Headcount!$G$5:$G$90*$C$15)))/12*(1+Assumptions!$C$97)</f>
        <v>0</v>
      </c>
      <c r="AD174" s="9" t="n">
        <f aca="false">SUMPRODUCT((Headcount!$C$5:$C$90="TS")*Headcount!$D$5:$D$90*Headcount!$F$5:$F$90*((Headcount!$I$5:$I$90=0)+(Headcount!$I$5:$I$90=1)*$C$16)*(AD$18&gt;=(Headcount!$E$5:$E$90+Headcount!$G$5:$G$90*$C$15)))/12*(1+Assumptions!$C$97)</f>
        <v>0</v>
      </c>
      <c r="AE174" s="9" t="n">
        <f aca="false">SUMPRODUCT((Headcount!$C$5:$C$90="TS")*Headcount!$D$5:$D$90*Headcount!$F$5:$F$90*((Headcount!$I$5:$I$90=0)+(Headcount!$I$5:$I$90=1)*$C$16)*(AE$18&gt;=(Headcount!$E$5:$E$90+Headcount!$G$5:$G$90*$C$15)))/12*(1+Assumptions!$C$97)</f>
        <v>0</v>
      </c>
      <c r="AF174" s="9" t="n">
        <f aca="false">SUMPRODUCT((Headcount!$C$5:$C$90="TS")*Headcount!$D$5:$D$90*Headcount!$F$5:$F$90*((Headcount!$I$5:$I$90=0)+(Headcount!$I$5:$I$90=1)*$C$16)*(AF$18&gt;=(Headcount!$E$5:$E$90+Headcount!$G$5:$G$90*$C$15)))/12*(1+Assumptions!$C$97)</f>
        <v>0</v>
      </c>
      <c r="AG174" s="9" t="n">
        <f aca="false">SUMPRODUCT((Headcount!$C$5:$C$90="TS")*Headcount!$D$5:$D$90*Headcount!$F$5:$F$90*((Headcount!$I$5:$I$90=0)+(Headcount!$I$5:$I$90=1)*$C$16)*(AG$18&gt;=(Headcount!$E$5:$E$90+Headcount!$G$5:$G$90*$C$15)))/12*(1+Assumptions!$C$97)</f>
        <v>0</v>
      </c>
      <c r="AH174" s="9" t="n">
        <f aca="false">SUMPRODUCT((Headcount!$C$5:$C$90="TS")*Headcount!$D$5:$D$90*Headcount!$F$5:$F$90*((Headcount!$I$5:$I$90=0)+(Headcount!$I$5:$I$90=1)*$C$16)*(AH$18&gt;=(Headcount!$E$5:$E$90+Headcount!$G$5:$G$90*$C$15)))/12*(1+Assumptions!$C$97)</f>
        <v>7116.66666666667</v>
      </c>
      <c r="AI174" s="9" t="n">
        <f aca="false">SUMPRODUCT((Headcount!$C$5:$C$90="TS")*Headcount!$D$5:$D$90*Headcount!$F$5:$F$90*((Headcount!$I$5:$I$90=0)+(Headcount!$I$5:$I$90=1)*$C$16)*(AI$18&gt;=(Headcount!$E$5:$E$90+Headcount!$G$5:$G$90*$C$15)))/12*(1+Assumptions!$C$97)</f>
        <v>7116.66666666667</v>
      </c>
      <c r="AJ174" s="9" t="n">
        <f aca="false">SUMPRODUCT((Headcount!$C$5:$C$90="TS")*Headcount!$D$5:$D$90*Headcount!$F$5:$F$90*((Headcount!$I$5:$I$90=0)+(Headcount!$I$5:$I$90=1)*$C$16)*(AJ$18&gt;=(Headcount!$E$5:$E$90+Headcount!$G$5:$G$90*$C$15)))/12*(1+Assumptions!$C$97)</f>
        <v>7116.66666666667</v>
      </c>
      <c r="AK174" s="9" t="n">
        <f aca="false">SUMPRODUCT((Headcount!$C$5:$C$90="TS")*Headcount!$D$5:$D$90*Headcount!$F$5:$F$90*((Headcount!$I$5:$I$90=0)+(Headcount!$I$5:$I$90=1)*$C$16)*(AK$18&gt;=(Headcount!$E$5:$E$90+Headcount!$G$5:$G$90*$C$15)))/12*(1+Assumptions!$C$97)</f>
        <v>7116.66666666667</v>
      </c>
      <c r="AL174" s="9" t="n">
        <f aca="false">SUMPRODUCT((Headcount!$C$5:$C$90="TS")*Headcount!$D$5:$D$90*Headcount!$F$5:$F$90*((Headcount!$I$5:$I$90=0)+(Headcount!$I$5:$I$90=1)*$C$16)*(AL$18&gt;=(Headcount!$E$5:$E$90+Headcount!$G$5:$G$90*$C$15)))/12*(1+Assumptions!$C$97)</f>
        <v>7116.66666666667</v>
      </c>
      <c r="AN174" s="11" t="n">
        <f aca="false">SUM(C174:N174)</f>
        <v>0</v>
      </c>
      <c r="AO174" s="11" t="n">
        <f aca="false">SUM(O174:Z174)</f>
        <v>0</v>
      </c>
      <c r="AP174" s="11" t="n">
        <f aca="false">SUM(AA174:AL174)</f>
        <v>35583.3333333333</v>
      </c>
    </row>
    <row r="175" customFormat="false" ht="15" hidden="false" customHeight="false" outlineLevel="0" collapsed="false">
      <c r="A175" s="0" t="s">
        <v>977</v>
      </c>
      <c r="B175" s="0" t="s">
        <v>230</v>
      </c>
      <c r="C175" s="9" t="n">
        <f aca="false">(((1-Assumptions!$C$24)*((Assumptions!$C$26*C41)+(Assumptions!$C$27*(C34+C37))))+((Assumptions!$C$24*Assumptions!$C$25)*C41))</f>
        <v>0</v>
      </c>
      <c r="D175" s="9" t="n">
        <f aca="false">(((1-Assumptions!$C$24)*((Assumptions!$C$26*D41)+(Assumptions!$C$27*(D34+D37))))+((Assumptions!$C$24*Assumptions!$C$25)*D41))</f>
        <v>0</v>
      </c>
      <c r="E175" s="9" t="n">
        <f aca="false">(((1-Assumptions!$C$24)*((Assumptions!$C$26*E41)+(Assumptions!$C$27*(E34+E37))))+((Assumptions!$C$24*Assumptions!$C$25)*E41))</f>
        <v>0</v>
      </c>
      <c r="F175" s="9" t="n">
        <f aca="false">(((1-Assumptions!$C$24)*((Assumptions!$C$26*F41)+(Assumptions!$C$27*(F34+F37))))+((Assumptions!$C$24*Assumptions!$C$25)*F41))</f>
        <v>0</v>
      </c>
      <c r="G175" s="9" t="n">
        <f aca="false">(((1-Assumptions!$C$24)*((Assumptions!$C$26*G41)+(Assumptions!$C$27*(G34+G37))))+((Assumptions!$C$24*Assumptions!$C$25)*G41))</f>
        <v>0</v>
      </c>
      <c r="H175" s="9" t="n">
        <f aca="false">(((1-Assumptions!$C$24)*((Assumptions!$C$26*H41)+(Assumptions!$C$27*(H34+H37))))+((Assumptions!$C$24*Assumptions!$C$25)*H41))</f>
        <v>0</v>
      </c>
      <c r="I175" s="9" t="n">
        <f aca="false">(((1-Assumptions!$C$24)*((Assumptions!$C$26*I41)+(Assumptions!$C$27*(I34+I37))))+((Assumptions!$C$24*Assumptions!$C$25)*I41))</f>
        <v>0</v>
      </c>
      <c r="J175" s="9" t="n">
        <f aca="false">(((1-Assumptions!$C$24)*((Assumptions!$C$26*J41)+(Assumptions!$C$27*(J34+J37))))+((Assumptions!$C$24*Assumptions!$C$25)*J41))</f>
        <v>0</v>
      </c>
      <c r="K175" s="9" t="n">
        <f aca="false">(((1-Assumptions!$C$24)*((Assumptions!$C$26*K41)+(Assumptions!$C$27*(K34+K37))))+((Assumptions!$C$24*Assumptions!$C$25)*K41))</f>
        <v>0</v>
      </c>
      <c r="L175" s="9" t="n">
        <f aca="false">(((1-Assumptions!$C$24)*((Assumptions!$C$26*L41)+(Assumptions!$C$27*(L34+L37))))+((Assumptions!$C$24*Assumptions!$C$25)*L41))</f>
        <v>0</v>
      </c>
      <c r="M175" s="9" t="n">
        <f aca="false">(((1-Assumptions!$C$24)*((Assumptions!$C$26*M41)+(Assumptions!$C$27*(M34+M37))))+((Assumptions!$C$24*Assumptions!$C$25)*M41))</f>
        <v>0</v>
      </c>
      <c r="N175" s="9" t="n">
        <f aca="false">(((1-Assumptions!$C$24)*((Assumptions!$C$26*N41)+(Assumptions!$C$27*(N34+N37))))+((Assumptions!$C$24*Assumptions!$C$25)*N41))</f>
        <v>0</v>
      </c>
      <c r="O175" s="9" t="n">
        <f aca="false">(((1-Assumptions!$C$24)*((Assumptions!$C$26*O41)+(Assumptions!$C$27*(O34+O37))))+((Assumptions!$C$24*Assumptions!$C$25)*O41))</f>
        <v>14.7982848120574</v>
      </c>
      <c r="P175" s="9" t="n">
        <f aca="false">(((1-Assumptions!$C$24)*((Assumptions!$C$26*P41)+(Assumptions!$C$27*(P34+P37))))+((Assumptions!$C$24*Assumptions!$C$25)*P41))</f>
        <v>34.6998897938856</v>
      </c>
      <c r="Q175" s="9" t="n">
        <f aca="false">(((1-Assumptions!$C$24)*((Assumptions!$C$26*Q41)+(Assumptions!$C$27*(Q34+Q37))))+((Assumptions!$C$24*Assumptions!$C$25)*Q41))</f>
        <v>53.720885783524</v>
      </c>
      <c r="R175" s="9" t="n">
        <f aca="false">(((1-Assumptions!$C$24)*((Assumptions!$C$26*R41)+(Assumptions!$C$27*(R34+R37))))+((Assumptions!$C$24*Assumptions!$C$25)*R41))</f>
        <v>71.3214578195435</v>
      </c>
      <c r="S175" s="9" t="n">
        <f aca="false">(((1-Assumptions!$C$24)*((Assumptions!$C$26*S41)+(Assumptions!$C$27*(S34+S37))))+((Assumptions!$C$24*Assumptions!$C$25)*S41))</f>
        <v>88.3166286702364</v>
      </c>
      <c r="T175" s="9" t="n">
        <f aca="false">(((1-Assumptions!$C$24)*((Assumptions!$C$26*T41)+(Assumptions!$C$27*(T34+T37))))+((Assumptions!$C$24*Assumptions!$C$25)*T41))</f>
        <v>103.07129731392</v>
      </c>
      <c r="U175" s="9" t="n">
        <f aca="false">(((1-Assumptions!$C$24)*((Assumptions!$C$26*U41)+(Assumptions!$C$27*(U34+U37))))+((Assumptions!$C$24*Assumptions!$C$25)*U41))</f>
        <v>116.560302703423</v>
      </c>
      <c r="V175" s="9" t="n">
        <f aca="false">(((1-Assumptions!$C$24)*((Assumptions!$C$26*V41)+(Assumptions!$C$27*(V34+V37))))+((Assumptions!$C$24*Assumptions!$C$25)*V41))</f>
        <v>132.98928943593</v>
      </c>
      <c r="W175" s="9" t="n">
        <f aca="false">(((1-Assumptions!$C$24)*((Assumptions!$C$26*W41)+(Assumptions!$C$27*(W34+W37))))+((Assumptions!$C$24*Assumptions!$C$25)*W41))</f>
        <v>163.508441866461</v>
      </c>
      <c r="X175" s="9" t="n">
        <f aca="false">(((1-Assumptions!$C$24)*((Assumptions!$C$26*X41)+(Assumptions!$C$27*(X34+X37))))+((Assumptions!$C$24*Assumptions!$C$25)*X41))</f>
        <v>198.884237897197</v>
      </c>
      <c r="Y175" s="9" t="n">
        <f aca="false">(((1-Assumptions!$C$24)*((Assumptions!$C$26*Y41)+(Assumptions!$C$27*(Y34+Y37))))+((Assumptions!$C$24*Assumptions!$C$25)*Y41))</f>
        <v>224.474678483516</v>
      </c>
      <c r="Z175" s="9" t="n">
        <f aca="false">(((1-Assumptions!$C$24)*((Assumptions!$C$26*Z41)+(Assumptions!$C$27*(Z34+Z37))))+((Assumptions!$C$24*Assumptions!$C$25)*Z41))</f>
        <v>247.080533641218</v>
      </c>
      <c r="AA175" s="9" t="n">
        <f aca="false">(((1-Assumptions!$C$24)*((Assumptions!$C$26*AA41)+(Assumptions!$C$27*(AA34+AA37))))+((Assumptions!$C$24*Assumptions!$C$25)*AA41))</f>
        <v>273.578429180161</v>
      </c>
      <c r="AB175" s="9" t="n">
        <f aca="false">(((1-Assumptions!$C$24)*((Assumptions!$C$26*AB41)+(Assumptions!$C$27*(AB34+AB37))))+((Assumptions!$C$24*Assumptions!$C$25)*AB41))</f>
        <v>314.435761130449</v>
      </c>
      <c r="AC175" s="9" t="n">
        <f aca="false">(((1-Assumptions!$C$24)*((Assumptions!$C$26*AC41)+(Assumptions!$C$27*(AC34+AC37))))+((Assumptions!$C$24*Assumptions!$C$25)*AC41))</f>
        <v>350.301843409618</v>
      </c>
      <c r="AD175" s="9" t="n">
        <f aca="false">(((1-Assumptions!$C$24)*((Assumptions!$C$26*AD41)+(Assumptions!$C$27*(AD34+AD37))))+((Assumptions!$C$24*Assumptions!$C$25)*AD41))</f>
        <v>380.77386055885</v>
      </c>
      <c r="AE175" s="9" t="n">
        <f aca="false">(((1-Assumptions!$C$24)*((Assumptions!$C$26*AE41)+(Assumptions!$C$27*(AE34+AE37))))+((Assumptions!$C$24*Assumptions!$C$25)*AE41))</f>
        <v>408.119041318664</v>
      </c>
      <c r="AF175" s="9" t="n">
        <f aca="false">(((1-Assumptions!$C$24)*((Assumptions!$C$26*AF41)+(Assumptions!$C$27*(AF34+AF37))))+((Assumptions!$C$24*Assumptions!$C$25)*AF41))</f>
        <v>429.488082112831</v>
      </c>
      <c r="AG175" s="9" t="n">
        <f aca="false">(((1-Assumptions!$C$24)*((Assumptions!$C$26*AG41)+(Assumptions!$C$27*(AG34+AG37))))+((Assumptions!$C$24*Assumptions!$C$25)*AG41))</f>
        <v>447.34047859941</v>
      </c>
      <c r="AH175" s="9" t="n">
        <f aca="false">(((1-Assumptions!$C$24)*((Assumptions!$C$26*AH41)+(Assumptions!$C$27*(AH34+AH37))))+((Assumptions!$C$24*Assumptions!$C$25)*AH41))</f>
        <v>470.172445238368</v>
      </c>
      <c r="AI175" s="9" t="n">
        <f aca="false">(((1-Assumptions!$C$24)*((Assumptions!$C$26*AI41)+(Assumptions!$C$27*(AI34+AI37))))+((Assumptions!$C$24*Assumptions!$C$25)*AI41))</f>
        <v>519.143539957868</v>
      </c>
      <c r="AJ175" s="9" t="n">
        <f aca="false">(((1-Assumptions!$C$24)*((Assumptions!$C$26*AJ41)+(Assumptions!$C$27*(AJ34+AJ37))))+((Assumptions!$C$24*Assumptions!$C$25)*AJ41))</f>
        <v>574.966097276658</v>
      </c>
      <c r="AK175" s="9" t="n">
        <f aca="false">(((1-Assumptions!$C$24)*((Assumptions!$C$26*AK41)+(Assumptions!$C$27*(AK34+AK37))))+((Assumptions!$C$24*Assumptions!$C$25)*AK41))</f>
        <v>609.850522076814</v>
      </c>
      <c r="AL175" s="9" t="n">
        <f aca="false">(((1-Assumptions!$C$24)*((Assumptions!$C$26*AL41)+(Assumptions!$C$27*(AL34+AL37))))+((Assumptions!$C$24*Assumptions!$C$25)*AL41))</f>
        <v>638.176318939566</v>
      </c>
      <c r="AN175" s="11" t="n">
        <f aca="false">SUM(C175:N175)</f>
        <v>0</v>
      </c>
      <c r="AO175" s="11" t="n">
        <f aca="false">SUM(O175:Z175)</f>
        <v>1449.42592822091</v>
      </c>
      <c r="AP175" s="11" t="n">
        <f aca="false">SUM(AA175:AL175)</f>
        <v>5416.34641979926</v>
      </c>
    </row>
    <row r="176" customFormat="false" ht="15" hidden="false" customHeight="false" outlineLevel="0" collapsed="false">
      <c r="A176" s="0" t="s">
        <v>978</v>
      </c>
      <c r="B176" s="0" t="s">
        <v>230</v>
      </c>
      <c r="C176" s="9" t="n">
        <f aca="false">((C143*(Assumptions!$C$26+Assumptions!$C$55))+(C142*(Assumptions!$C$27+Assumptions!$C$56)))</f>
        <v>0</v>
      </c>
      <c r="D176" s="9" t="n">
        <f aca="false">((D143*(Assumptions!$C$26+Assumptions!$C$55))+(D142*(Assumptions!$C$27+Assumptions!$C$56)))</f>
        <v>0</v>
      </c>
      <c r="E176" s="9" t="n">
        <f aca="false">((E143*(Assumptions!$C$26+Assumptions!$C$55))+(E142*(Assumptions!$C$27+Assumptions!$C$56)))</f>
        <v>0</v>
      </c>
      <c r="F176" s="9" t="n">
        <f aca="false">((F143*(Assumptions!$C$26+Assumptions!$C$55))+(F142*(Assumptions!$C$27+Assumptions!$C$56)))</f>
        <v>0</v>
      </c>
      <c r="G176" s="9" t="n">
        <f aca="false">((G143*(Assumptions!$C$26+Assumptions!$C$55))+(G142*(Assumptions!$C$27+Assumptions!$C$56)))</f>
        <v>0</v>
      </c>
      <c r="H176" s="9" t="n">
        <f aca="false">((H143*(Assumptions!$C$26+Assumptions!$C$55))+(H142*(Assumptions!$C$27+Assumptions!$C$56)))</f>
        <v>0</v>
      </c>
      <c r="I176" s="9" t="n">
        <f aca="false">((I143*(Assumptions!$C$26+Assumptions!$C$55))+(I142*(Assumptions!$C$27+Assumptions!$C$56)))</f>
        <v>0</v>
      </c>
      <c r="J176" s="9" t="n">
        <f aca="false">((J143*(Assumptions!$C$26+Assumptions!$C$55))+(J142*(Assumptions!$C$27+Assumptions!$C$56)))</f>
        <v>0</v>
      </c>
      <c r="K176" s="9" t="n">
        <f aca="false">((K143*(Assumptions!$C$26+Assumptions!$C$55))+(K142*(Assumptions!$C$27+Assumptions!$C$56)))</f>
        <v>0</v>
      </c>
      <c r="L176" s="9" t="n">
        <f aca="false">((L143*(Assumptions!$C$26+Assumptions!$C$55))+(L142*(Assumptions!$C$27+Assumptions!$C$56)))</f>
        <v>0</v>
      </c>
      <c r="M176" s="9" t="n">
        <f aca="false">((M143*(Assumptions!$C$26+Assumptions!$C$55))+(M142*(Assumptions!$C$27+Assumptions!$C$56)))</f>
        <v>0</v>
      </c>
      <c r="N176" s="9" t="n">
        <f aca="false">((N143*(Assumptions!$C$26+Assumptions!$C$55))+(N142*(Assumptions!$C$27+Assumptions!$C$56)))</f>
        <v>0</v>
      </c>
      <c r="O176" s="9" t="n">
        <f aca="false">((O143*(Assumptions!$C$26+Assumptions!$C$55))+(O142*(Assumptions!$C$27+Assumptions!$C$56)))</f>
        <v>0</v>
      </c>
      <c r="P176" s="9" t="n">
        <f aca="false">((P143*(Assumptions!$C$26+Assumptions!$C$55))+(P142*(Assumptions!$C$27+Assumptions!$C$56)))</f>
        <v>0</v>
      </c>
      <c r="Q176" s="9" t="n">
        <f aca="false">((Q143*(Assumptions!$C$26+Assumptions!$C$55))+(Q142*(Assumptions!$C$27+Assumptions!$C$56)))</f>
        <v>0</v>
      </c>
      <c r="R176" s="9" t="n">
        <f aca="false">((R143*(Assumptions!$C$26+Assumptions!$C$55))+(R142*(Assumptions!$C$27+Assumptions!$C$56)))</f>
        <v>0</v>
      </c>
      <c r="S176" s="9" t="n">
        <f aca="false">((S143*(Assumptions!$C$26+Assumptions!$C$55))+(S142*(Assumptions!$C$27+Assumptions!$C$56)))</f>
        <v>0</v>
      </c>
      <c r="T176" s="9" t="n">
        <f aca="false">((T143*(Assumptions!$C$26+Assumptions!$C$55))+(T142*(Assumptions!$C$27+Assumptions!$C$56)))</f>
        <v>0</v>
      </c>
      <c r="U176" s="9" t="n">
        <f aca="false">((U143*(Assumptions!$C$26+Assumptions!$C$55))+(U142*(Assumptions!$C$27+Assumptions!$C$56)))</f>
        <v>0</v>
      </c>
      <c r="V176" s="9" t="n">
        <f aca="false">((V143*(Assumptions!$C$26+Assumptions!$C$55))+(V142*(Assumptions!$C$27+Assumptions!$C$56)))</f>
        <v>0</v>
      </c>
      <c r="W176" s="9" t="n">
        <f aca="false">((W143*(Assumptions!$C$26+Assumptions!$C$55))+(W142*(Assumptions!$C$27+Assumptions!$C$56)))</f>
        <v>0</v>
      </c>
      <c r="X176" s="9" t="n">
        <f aca="false">((X143*(Assumptions!$C$26+Assumptions!$C$55))+(X142*(Assumptions!$C$27+Assumptions!$C$56)))</f>
        <v>0</v>
      </c>
      <c r="Y176" s="9" t="n">
        <f aca="false">((Y143*(Assumptions!$C$26+Assumptions!$C$55))+(Y142*(Assumptions!$C$27+Assumptions!$C$56)))</f>
        <v>0</v>
      </c>
      <c r="Z176" s="9" t="n">
        <f aca="false">((Z143*(Assumptions!$C$26+Assumptions!$C$55))+(Z142*(Assumptions!$C$27+Assumptions!$C$56)))</f>
        <v>0</v>
      </c>
      <c r="AA176" s="9" t="n">
        <f aca="false">((AA143*(Assumptions!$C$26+Assumptions!$C$55))+(AA142*(Assumptions!$C$27+Assumptions!$C$56)))</f>
        <v>0</v>
      </c>
      <c r="AB176" s="9" t="n">
        <f aca="false">((AB143*(Assumptions!$C$26+Assumptions!$C$55))+(AB142*(Assumptions!$C$27+Assumptions!$C$56)))</f>
        <v>0</v>
      </c>
      <c r="AC176" s="9" t="n">
        <f aca="false">((AC143*(Assumptions!$C$26+Assumptions!$C$55))+(AC142*(Assumptions!$C$27+Assumptions!$C$56)))</f>
        <v>0</v>
      </c>
      <c r="AD176" s="9" t="n">
        <f aca="false">((AD143*(Assumptions!$C$26+Assumptions!$C$55))+(AD142*(Assumptions!$C$27+Assumptions!$C$56)))</f>
        <v>0</v>
      </c>
      <c r="AE176" s="9" t="n">
        <f aca="false">((AE143*(Assumptions!$C$26+Assumptions!$C$55))+(AE142*(Assumptions!$C$27+Assumptions!$C$56)))</f>
        <v>0</v>
      </c>
      <c r="AF176" s="9" t="n">
        <f aca="false">((AF143*(Assumptions!$C$26+Assumptions!$C$55))+(AF142*(Assumptions!$C$27+Assumptions!$C$56)))</f>
        <v>0</v>
      </c>
      <c r="AG176" s="9" t="n">
        <f aca="false">((AG143*(Assumptions!$C$26+Assumptions!$C$55))+(AG142*(Assumptions!$C$27+Assumptions!$C$56)))</f>
        <v>964.8</v>
      </c>
      <c r="AH176" s="9" t="n">
        <f aca="false">((AH143*(Assumptions!$C$26+Assumptions!$C$55))+(AH142*(Assumptions!$C$27+Assumptions!$C$56)))</f>
        <v>1288.008</v>
      </c>
      <c r="AI176" s="9" t="n">
        <f aca="false">((AI143*(Assumptions!$C$26+Assumptions!$C$55))+(AI142*(Assumptions!$C$27+Assumptions!$C$56)))</f>
        <v>1598.28768</v>
      </c>
      <c r="AJ176" s="9" t="n">
        <f aca="false">((AJ143*(Assumptions!$C$26+Assumptions!$C$55))+(AJ142*(Assumptions!$C$27+Assumptions!$C$56)))</f>
        <v>1896.1561728</v>
      </c>
      <c r="AK176" s="9" t="n">
        <f aca="false">((AK143*(Assumptions!$C$26+Assumptions!$C$55))+(AK142*(Assumptions!$C$27+Assumptions!$C$56)))</f>
        <v>2182.109925888</v>
      </c>
      <c r="AL176" s="9" t="n">
        <f aca="false">((AL143*(Assumptions!$C$26+Assumptions!$C$55))+(AL142*(Assumptions!$C$27+Assumptions!$C$56)))</f>
        <v>2456.62552885248</v>
      </c>
      <c r="AN176" s="11" t="n">
        <f aca="false">SUM(C176:N176)</f>
        <v>0</v>
      </c>
      <c r="AO176" s="11" t="n">
        <f aca="false">SUM(O176:Z176)</f>
        <v>0</v>
      </c>
      <c r="AP176" s="11" t="n">
        <f aca="false">SUM(AA176:AL176)</f>
        <v>10385.9873075405</v>
      </c>
    </row>
    <row r="177" customFormat="false" ht="15" hidden="false" customHeight="false" outlineLevel="0" collapsed="false">
      <c r="A177" s="0" t="s">
        <v>979</v>
      </c>
      <c r="B177" s="0" t="s">
        <v>230</v>
      </c>
      <c r="C177" s="9" t="n">
        <f aca="false">(((((((C158+C159)+C160)+C161)+C162)+C163)+C165)+C170)</f>
        <v>100.6624476</v>
      </c>
      <c r="D177" s="9" t="n">
        <f aca="false">(((((((D158+D159)+D160)+D161)+D162)+D163)+D165)+D170)</f>
        <v>178.86942612</v>
      </c>
      <c r="E177" s="9" t="n">
        <f aca="false">(((((((E158+E159)+E160)+E161)+E162)+E163)+E165)+E170)</f>
        <v>235.70808999408</v>
      </c>
      <c r="F177" s="9" t="n">
        <f aca="false">(((((((F158+F159)+F160)+F161)+F162)+F163)+F165)+F170)</f>
        <v>281.201941158336</v>
      </c>
      <c r="G177" s="9" t="n">
        <f aca="false">(((((((G158+G159)+G160)+G161)+G162)+G163)+G165)+G170)</f>
        <v>399.252163680355</v>
      </c>
      <c r="H177" s="9" t="n">
        <f aca="false">(((((((H158+H159)+H160)+H161)+H162)+H163)+H165)+H170)</f>
        <v>414.329916802612</v>
      </c>
      <c r="I177" s="9" t="n">
        <f aca="false">(((((((I158+I159)+I160)+I161)+I162)+I163)+I165)+I170)</f>
        <v>452.674949568566</v>
      </c>
      <c r="J177" s="9" t="n">
        <f aca="false">(((((((J158+J159)+J160)+J161)+J162)+J163)+J165)+J170)</f>
        <v>983.903466390175</v>
      </c>
      <c r="K177" s="9" t="n">
        <f aca="false">(((((((K158+K159)+K160)+K161)+K162)+K163)+K165)+K170)</f>
        <v>1145.73062139618</v>
      </c>
      <c r="L177" s="9" t="n">
        <f aca="false">(((((((L158+L159)+L160)+L161)+L162)+L163)+L165)+L170)</f>
        <v>1209.8928477918</v>
      </c>
      <c r="M177" s="9" t="n">
        <f aca="false">(((((((M158+M159)+M160)+M161)+M162)+M163)+M165)+M170)</f>
        <v>1284.51188172105</v>
      </c>
      <c r="N177" s="9" t="n">
        <f aca="false">(((((((N158+N159)+N160)+N161)+N162)+N163)+N165)+N170)</f>
        <v>1471.1173543323</v>
      </c>
      <c r="O177" s="9" t="n">
        <f aca="false">(((((((O158+O159)+O160)+O161)+O162)+O163)+O165)+O170)</f>
        <v>2379.34236407239</v>
      </c>
      <c r="P177" s="9" t="n">
        <f aca="false">(((((((P158+P159)+P160)+P161)+P162)+P163)+P165)+P170)</f>
        <v>3374.20375293153</v>
      </c>
      <c r="Q177" s="9" t="n">
        <f aca="false">(((((((Q158+Q159)+Q160)+Q161)+Q162)+Q163)+Q165)+Q170)</f>
        <v>4630.85415923317</v>
      </c>
      <c r="R177" s="9" t="n">
        <f aca="false">(((((((R158+R159)+R160)+R161)+R162)+R163)+R165)+R170)</f>
        <v>5052.26798208708</v>
      </c>
      <c r="S177" s="9" t="n">
        <f aca="false">(((((((S158+S159)+S160)+S161)+S162)+S163)+S165)+S170)</f>
        <v>5980.10681735961</v>
      </c>
      <c r="T177" s="9" t="n">
        <f aca="false">(((((((T158+T159)+T160)+T161)+T162)+T163)+T165)+T170)</f>
        <v>6355.13577688503</v>
      </c>
      <c r="U177" s="9" t="n">
        <f aca="false">(((((((U158+U159)+U160)+U161)+U162)+U163)+U165)+U170)</f>
        <v>6677.87060623454</v>
      </c>
      <c r="V177" s="9" t="n">
        <f aca="false">(((((((V158+V159)+V160)+V161)+V162)+V163)+V165)+V170)</f>
        <v>7842.41436016809</v>
      </c>
      <c r="W177" s="9" t="n">
        <f aca="false">(((((((W158+W159)+W160)+W161)+W162)+W163)+W165)+W170)</f>
        <v>10325.4250205897</v>
      </c>
      <c r="X177" s="9" t="n">
        <f aca="false">(((((((X158+X159)+X160)+X161)+X162)+X163)+X165)+X170)</f>
        <v>10786.6007117806</v>
      </c>
      <c r="Y177" s="9" t="n">
        <f aca="false">(((((((Y158+Y159)+Y160)+Y161)+Y162)+Y163)+Y165)+Y170)</f>
        <v>11186.7763578931</v>
      </c>
      <c r="Z177" s="9" t="n">
        <f aca="false">(((((((Z158+Z159)+Z160)+Z161)+Z162)+Z163)+Z165)+Z170)</f>
        <v>14359.6187425633</v>
      </c>
      <c r="AA177" s="9" t="n">
        <f aca="false">(((((((AA158+AA159)+AA160)+AA161)+AA162)+AA163)+AA165)+AA170)</f>
        <v>15171.0319794746</v>
      </c>
      <c r="AB177" s="9" t="n">
        <f aca="false">(((((((AB158+AB159)+AB160)+AB161)+AB162)+AB163)+AB165)+AB170)</f>
        <v>16399.758941881</v>
      </c>
      <c r="AC177" s="9" t="n">
        <f aca="false">(((((((AC158+AC159)+AC160)+AC161)+AC162)+AC163)+AC165)+AC170)</f>
        <v>20120.3722681317</v>
      </c>
      <c r="AD177" s="9" t="n">
        <f aca="false">(((((((AD158+AD159)+AD160)+AD161)+AD162)+AD163)+AD165)+AD170)</f>
        <v>22282.3716012945</v>
      </c>
      <c r="AE177" s="9" t="n">
        <f aca="false">(((((((AE158+AE159)+AE160)+AE161)+AE162)+AE163)+AE165)+AE170)</f>
        <v>22820.3058415884</v>
      </c>
      <c r="AF177" s="9" t="n">
        <f aca="false">(((((((AF158+AF159)+AF160)+AF161)+AF162)+AF163)+AF165)+AF170)</f>
        <v>26386.6800650815</v>
      </c>
      <c r="AG177" s="9" t="n">
        <f aca="false">(((((((AG158+AG159)+AG160)+AG161)+AG162)+AG163)+AG165)+AG170)</f>
        <v>26546.1031912888</v>
      </c>
      <c r="AH177" s="9" t="n">
        <f aca="false">(((((((AH158+AH159)+AH160)+AH161)+AH162)+AH163)+AH165)+AH170)</f>
        <v>27873.6312957121</v>
      </c>
      <c r="AI177" s="9" t="n">
        <f aca="false">(((((((AI158+AI159)+AI160)+AI161)+AI162)+AI163)+AI165)+AI170)</f>
        <v>35454.174789026</v>
      </c>
      <c r="AJ177" s="9" t="n">
        <f aca="false">(((((((AJ158+AJ159)+AJ160)+AJ161)+AJ162)+AJ163)+AJ165)+AJ170)</f>
        <v>41445.3668958105</v>
      </c>
      <c r="AK177" s="9" t="n">
        <f aca="false">(((((((AK158+AK159)+AK160)+AK161)+AK162)+AK163)+AK165)+AK170)</f>
        <v>44182.6592034198</v>
      </c>
      <c r="AL177" s="9" t="n">
        <f aca="false">(((((((AL158+AL159)+AL160)+AL161)+AL162)+AL163)+AL165)+AL170)</f>
        <v>50135.2367377237</v>
      </c>
      <c r="AN177" s="11" t="n">
        <f aca="false">SUM(C177:N177)</f>
        <v>8157.85510655545</v>
      </c>
      <c r="AO177" s="11" t="n">
        <f aca="false">SUM(O177:Z177)</f>
        <v>88950.6166517981</v>
      </c>
      <c r="AP177" s="11" t="n">
        <f aca="false">SUM(AA177:AL177)</f>
        <v>348817.692810433</v>
      </c>
    </row>
    <row r="178" customFormat="false" ht="15" hidden="false" customHeight="false" outlineLevel="0" collapsed="false">
      <c r="A178" s="0" t="s">
        <v>980</v>
      </c>
      <c r="B178" s="0" t="s">
        <v>193</v>
      </c>
      <c r="C178" s="12" t="n">
        <f aca="false">((C29+C39)/C157)</f>
        <v>1</v>
      </c>
      <c r="D178" s="12" t="n">
        <f aca="false">((D29+D39)/D157)</f>
        <v>1</v>
      </c>
      <c r="E178" s="12" t="n">
        <f aca="false">((E29+E39)/E157)</f>
        <v>1</v>
      </c>
      <c r="F178" s="12" t="n">
        <f aca="false">((F29+F39)/F157)</f>
        <v>1</v>
      </c>
      <c r="G178" s="12" t="n">
        <f aca="false">((G29+G39)/G157)</f>
        <v>0.835601230578186</v>
      </c>
      <c r="H178" s="12" t="n">
        <f aca="false">((H29+H39)/H157)</f>
        <v>0.842100093820984</v>
      </c>
      <c r="I178" s="12" t="n">
        <f aca="false">((I29+I39)/I157)</f>
        <v>0.856524232146444</v>
      </c>
      <c r="J178" s="12" t="n">
        <f aca="false">((J29+J39)/J157)</f>
        <v>0.617660309355646</v>
      </c>
      <c r="K178" s="12" t="n">
        <f aca="false">((K29+K39)/K157)</f>
        <v>0.681076140269361</v>
      </c>
      <c r="L178" s="12" t="n">
        <f aca="false">((L29+L39)/L157)</f>
        <v>0.700755140369655</v>
      </c>
      <c r="M178" s="12" t="n">
        <f aca="false">((M29+M39)/M157)</f>
        <v>0.695578788932776</v>
      </c>
      <c r="N178" s="12" t="n">
        <f aca="false">((N29+N39)/N157)</f>
        <v>0.633860198236668</v>
      </c>
      <c r="O178" s="12" t="n">
        <f aca="false">((O29+O39)/O157)</f>
        <v>0.789279702609816</v>
      </c>
      <c r="P178" s="12" t="n">
        <f aca="false">((P29+P39)/P157)</f>
        <v>0.789886130967707</v>
      </c>
      <c r="Q178" s="12" t="n">
        <f aca="false">((Q29+Q39)/Q157)</f>
        <v>0.723383327499291</v>
      </c>
      <c r="R178" s="12" t="n">
        <f aca="false">((R29+R39)/R157)</f>
        <v>0.748912298535532</v>
      </c>
      <c r="S178" s="12" t="n">
        <f aca="false">((S29+S39)/S157)</f>
        <v>0.696450482070631</v>
      </c>
      <c r="T178" s="12" t="n">
        <f aca="false">((T29+T39)/T157)</f>
        <v>0.687902691651873</v>
      </c>
      <c r="U178" s="12" t="n">
        <f aca="false">((U29+U39)/U157)</f>
        <v>0.704692842928744</v>
      </c>
      <c r="V178" s="12" t="n">
        <f aca="false">((V29+V39)/V157)</f>
        <v>0.74019970125131</v>
      </c>
      <c r="W178" s="12" t="n">
        <f aca="false">((W29+W39)/W157)</f>
        <v>0.69966290416438</v>
      </c>
      <c r="X178" s="12" t="n">
        <f aca="false">((X29+X39)/X157)</f>
        <v>0.7137911868575</v>
      </c>
      <c r="Y178" s="12" t="n">
        <f aca="false">((Y29+Y39)/Y157)</f>
        <v>0.714661572900908</v>
      </c>
      <c r="Z178" s="12" t="n">
        <f aca="false">((Z29+Z39)/Z157)</f>
        <v>0.592748013420824</v>
      </c>
      <c r="AA178" s="12" t="n">
        <f aca="false">((AA29+AA39)/AA157)</f>
        <v>0.618530900983948</v>
      </c>
      <c r="AB178" s="12" t="n">
        <f aca="false">((AB29+AB39)/AB157)</f>
        <v>0.613257302141415</v>
      </c>
      <c r="AC178" s="12" t="n">
        <f aca="false">((AC29+AC39)/AC157)</f>
        <v>0.534825598185231</v>
      </c>
      <c r="AD178" s="12" t="n">
        <f aca="false">((AD29+AD39)/AD157)</f>
        <v>0.500196023800506</v>
      </c>
      <c r="AE178" s="12" t="n">
        <f aca="false">((AE29+AE39)/AE157)</f>
        <v>0.489057063694833</v>
      </c>
      <c r="AF178" s="12" t="n">
        <f aca="false">((AF29+AF39)/AF157)</f>
        <v>0.427282334504126</v>
      </c>
      <c r="AG178" s="12" t="n">
        <f aca="false">((AG29+AG39)/AG157)</f>
        <v>0.430976833528143</v>
      </c>
      <c r="AH178" s="12" t="n">
        <f aca="false">((AH29+AH39)/AH157)</f>
        <v>0.460633556508097</v>
      </c>
      <c r="AI178" s="12" t="n">
        <f aca="false">((AI29+AI39)/AI157)</f>
        <v>0.417165935737763</v>
      </c>
      <c r="AJ178" s="12" t="n">
        <f aca="false">((AJ29+AJ39)/AJ157)</f>
        <v>0.374629018652084</v>
      </c>
      <c r="AK178" s="12" t="n">
        <f aca="false">((AK29+AK39)/AK157)</f>
        <v>0.357259066721083</v>
      </c>
      <c r="AL178" s="12" t="n">
        <f aca="false">((AL29+AL39)/AL157)</f>
        <v>0.316225498040583</v>
      </c>
    </row>
    <row r="179" customFormat="false" ht="15" hidden="false" customHeight="false" outlineLevel="0" collapsed="false">
      <c r="A179" s="0" t="s">
        <v>981</v>
      </c>
      <c r="B179" s="0" t="s">
        <v>230</v>
      </c>
      <c r="C179" s="9" t="n">
        <f aca="false">(C175+(C177*C178))</f>
        <v>100.6624476</v>
      </c>
      <c r="D179" s="9" t="n">
        <f aca="false">(D175+(D177*D178))</f>
        <v>178.86942612</v>
      </c>
      <c r="E179" s="9" t="n">
        <f aca="false">(E175+(E177*E178))</f>
        <v>235.70808999408</v>
      </c>
      <c r="F179" s="9" t="n">
        <f aca="false">(F175+(F177*F178))</f>
        <v>281.201941158336</v>
      </c>
      <c r="G179" s="9" t="n">
        <f aca="false">(G175+(G177*G178))</f>
        <v>333.615599282308</v>
      </c>
      <c r="H179" s="9" t="n">
        <f aca="false">(H175+(H177*H178))</f>
        <v>348.90726181232</v>
      </c>
      <c r="I179" s="9" t="n">
        <f aca="false">(I175+(I177*I178))</f>
        <v>387.727063591146</v>
      </c>
      <c r="J179" s="9" t="n">
        <f aca="false">(J175+(J177*J178))</f>
        <v>607.718119426647</v>
      </c>
      <c r="K179" s="9" t="n">
        <f aca="false">(K175+(K177*K178))</f>
        <v>780.329789408929</v>
      </c>
      <c r="L179" s="9" t="n">
        <f aca="false">(L175+(L177*L178))</f>
        <v>847.838632386582</v>
      </c>
      <c r="M179" s="9" t="n">
        <f aca="false">(M175+(M177*M178))</f>
        <v>893.479219057287</v>
      </c>
      <c r="N179" s="9" t="n">
        <f aca="false">(N175+(N177*N178))</f>
        <v>932.482737846476</v>
      </c>
      <c r="O179" s="9" t="n">
        <f aca="false">(O175+(O177*O178))</f>
        <v>1892.76491833405</v>
      </c>
      <c r="P179" s="9" t="n">
        <f aca="false">(P175+(P177*P178))</f>
        <v>2699.93663729369</v>
      </c>
      <c r="Q179" s="9" t="n">
        <f aca="false">(Q175+(Q177*Q178))</f>
        <v>3403.60357665355</v>
      </c>
      <c r="R179" s="9" t="n">
        <f aca="false">(R175+(R177*R178))</f>
        <v>3855.02708510185</v>
      </c>
      <c r="S179" s="9" t="n">
        <f aca="false">(S175+(S177*S178))</f>
        <v>4253.1649044542</v>
      </c>
      <c r="T179" s="9" t="n">
        <f aca="false">(T175+(T177*T178))</f>
        <v>4474.78630404625</v>
      </c>
      <c r="U179" s="9" t="n">
        <f aca="false">(U175+(U177*U178))</f>
        <v>4822.40792492114</v>
      </c>
      <c r="V179" s="9" t="n">
        <f aca="false">(V175+(V177*V178))</f>
        <v>5937.94205592133</v>
      </c>
      <c r="W179" s="9" t="n">
        <f aca="false">(W175+(W177*W178))</f>
        <v>7387.82529850379</v>
      </c>
      <c r="X179" s="9" t="n">
        <f aca="false">(X175+(X177*X178))</f>
        <v>7898.26476211702</v>
      </c>
      <c r="Y179" s="9" t="n">
        <f aca="false">(Y175+(Y177*Y178))</f>
        <v>8219.23386610607</v>
      </c>
      <c r="Z179" s="9" t="n">
        <f aca="false">(Z175+(Z177*Z178))</f>
        <v>8758.71601677606</v>
      </c>
      <c r="AA179" s="9" t="n">
        <f aca="false">(AA175+(AA177*AA178))</f>
        <v>9657.33050830086</v>
      </c>
      <c r="AB179" s="9" t="n">
        <f aca="false">(AB175+(AB177*AB178))</f>
        <v>10371.7076855979</v>
      </c>
      <c r="AC179" s="9" t="n">
        <f aca="false">(AC175+(AC177*AC178))</f>
        <v>11111.1919774227</v>
      </c>
      <c r="AD179" s="9" t="n">
        <f aca="false">(AD175+(AD177*AD178))</f>
        <v>11526.3275363717</v>
      </c>
      <c r="AE179" s="9" t="n">
        <f aca="false">(AE175+(AE177*AE178))</f>
        <v>11568.5508088239</v>
      </c>
      <c r="AF179" s="9" t="n">
        <f aca="false">(AF175+(AF177*AF178))</f>
        <v>11704.0503401343</v>
      </c>
      <c r="AG179" s="9" t="n">
        <f aca="false">(AG175+(AG177*AG178))</f>
        <v>11888.0959744924</v>
      </c>
      <c r="AH179" s="9" t="n">
        <f aca="false">(AH175+(AH177*AH178))</f>
        <v>13309.7023617776</v>
      </c>
      <c r="AI179" s="9" t="n">
        <f aca="false">(AI175+(AI177*AI178))</f>
        <v>15309.4175416321</v>
      </c>
      <c r="AJ179" s="9" t="n">
        <f aca="false">(AJ175+(AJ177*AJ178))</f>
        <v>16101.6032251297</v>
      </c>
      <c r="AK179" s="9" t="n">
        <f aca="false">(AK175+(AK177*AK178))</f>
        <v>16394.5061143463</v>
      </c>
      <c r="AL179" s="9" t="n">
        <f aca="false">(AL175+(AL177*AL178))</f>
        <v>16492.2165257088</v>
      </c>
      <c r="AN179" s="11" t="n">
        <f aca="false">SUM(C179:N179)</f>
        <v>5928.54032768411</v>
      </c>
      <c r="AO179" s="11" t="n">
        <f aca="false">SUM(O179:Z179)</f>
        <v>63603.673350229</v>
      </c>
      <c r="AP179" s="11" t="n">
        <f aca="false">SUM(AA179:AL179)</f>
        <v>155434.700599738</v>
      </c>
    </row>
    <row r="180" customFormat="false" ht="15" hidden="false" customHeight="false" outlineLevel="0" collapsed="false">
      <c r="A180" s="0" t="s">
        <v>982</v>
      </c>
      <c r="B180" s="0" t="s">
        <v>230</v>
      </c>
      <c r="C180" s="9" t="n">
        <f aca="false">(((C177*(1-C178))+C168)+C173)</f>
        <v>0</v>
      </c>
      <c r="D180" s="9" t="n">
        <f aca="false">(((D177*(1-D178))+D168)+D173)</f>
        <v>0</v>
      </c>
      <c r="E180" s="9" t="n">
        <f aca="false">(((E177*(1-E178))+E168)+E173)</f>
        <v>0</v>
      </c>
      <c r="F180" s="9" t="n">
        <f aca="false">(((F177*(1-F178))+F168)+F173)</f>
        <v>0</v>
      </c>
      <c r="G180" s="9" t="n">
        <f aca="false">(((G177*(1-G178))+G168)+G173)</f>
        <v>370.636564398047</v>
      </c>
      <c r="H180" s="9" t="n">
        <f aca="false">(((H177*(1-H178))+H168)+H173)</f>
        <v>370.422654990292</v>
      </c>
      <c r="I180" s="9" t="n">
        <f aca="false">(((I177*(1-I178))+I168)+I173)</f>
        <v>369.94788597742</v>
      </c>
      <c r="J180" s="9" t="n">
        <f aca="false">(((J177*(1-J178))+J168)+J173)</f>
        <v>986.185346963527</v>
      </c>
      <c r="K180" s="9" t="n">
        <f aca="false">(((K177*(1-K178))+K168)+K173)</f>
        <v>975.400831987255</v>
      </c>
      <c r="L180" s="9" t="n">
        <f aca="false">(((L177*(1-L178))+L168)+L173)</f>
        <v>972.054215405215</v>
      </c>
      <c r="M180" s="9" t="n">
        <f aca="false">(((M177*(1-M178))+M168)+M173)</f>
        <v>1123.03266266376</v>
      </c>
      <c r="N180" s="9" t="n">
        <f aca="false">(((N177*(1-N178))+N168)+N173)</f>
        <v>1471.93461648583</v>
      </c>
      <c r="O180" s="9" t="n">
        <f aca="false">(((O177*(1-O178))+O168)+O173)</f>
        <v>1434.6757305504</v>
      </c>
      <c r="P180" s="9" t="n">
        <f aca="false">(((P177*(1-P178))+P168)+P173)</f>
        <v>2191.26700543173</v>
      </c>
      <c r="Q180" s="9" t="n">
        <f aca="false">(((Q177*(1-Q178))+Q168)+Q173)</f>
        <v>2964.57146836315</v>
      </c>
      <c r="R180" s="9" t="n">
        <f aca="false">(((R177*(1-R178))+R168)+R173)</f>
        <v>2952.16235480477</v>
      </c>
      <c r="S180" s="9" t="n">
        <f aca="false">(((S177*(1-S178))+S168)+S173)</f>
        <v>4352.85854157565</v>
      </c>
      <c r="T180" s="9" t="n">
        <f aca="false">(((T177*(1-T178))+T168)+T173)</f>
        <v>14922.5374368194</v>
      </c>
      <c r="U180" s="9" t="n">
        <f aca="false">(((U177*(1-U178))+U168)+U173)</f>
        <v>14911.1396506835</v>
      </c>
      <c r="V180" s="9" t="n">
        <f aca="false">(((V177*(1-V178))+V168)+V173)</f>
        <v>15403.5782603494</v>
      </c>
      <c r="W180" s="9" t="n">
        <f aca="false">(((W177*(1-W178))+W168)+W173)</f>
        <v>17340.439830619</v>
      </c>
      <c r="X180" s="9" t="n">
        <f aca="false">(((X177*(1-X178))+X168)+X173)</f>
        <v>17326.5518542274</v>
      </c>
      <c r="Y180" s="9" t="n">
        <f aca="false">(((Y177*(1-Y178))+Y168)+Y173)</f>
        <v>17858.3488369372</v>
      </c>
      <c r="Z180" s="9" t="n">
        <f aca="false">(((Z177*(1-Z178))+Z168)+Z173)</f>
        <v>22028.8473260952</v>
      </c>
      <c r="AA180" s="9" t="n">
        <f aca="false">(((AA177*(1-AA178))+AA168)+AA173)</f>
        <v>21968.1439670206</v>
      </c>
      <c r="AB180" s="9" t="n">
        <f aca="false">(((AB177*(1-AB178))+AB168)+AB173)</f>
        <v>23377.3510840802</v>
      </c>
      <c r="AC180" s="9" t="n">
        <f aca="false">(((AC177*(1-AC178))+AC168)+AC173)</f>
        <v>28335.8786007853</v>
      </c>
      <c r="AD180" s="9" t="n">
        <f aca="false">(((AD177*(1-AD178))+AD168)+AD173)</f>
        <v>30540.2143921483</v>
      </c>
      <c r="AE180" s="9" t="n">
        <f aca="false">(((AE177*(1-AE178))+AE168)+AE173)</f>
        <v>31490.2705407498</v>
      </c>
      <c r="AF180" s="9" t="n">
        <f aca="false">(((AF177*(1-AF178))+AF168)+AF173)</f>
        <v>47282.1412403933</v>
      </c>
      <c r="AG180" s="9" t="n">
        <f aca="false">(((AG177*(1-AG178))+AG168)+AG173)</f>
        <v>47275.3711287292</v>
      </c>
      <c r="AH180" s="9" t="n">
        <f aca="false">(((AH177*(1-AH178))+AH168)+AH173)</f>
        <v>47631.1248125062</v>
      </c>
      <c r="AI180" s="9" t="n">
        <f aca="false">(((AI177*(1-AI178))+AI168)+AI173)</f>
        <v>56434.1362906851</v>
      </c>
      <c r="AJ180" s="9" t="n">
        <f aca="false">(((AJ177*(1-AJ178))+AJ168)+AJ173)</f>
        <v>62115.9652712908</v>
      </c>
      <c r="AK180" s="9" t="n">
        <f aca="false">(((AK177*(1-AK178))+AK168)+AK173)</f>
        <v>65210.1191144837</v>
      </c>
      <c r="AL180" s="9" t="n">
        <f aca="false">(((AL177*(1-AL178))+AL168)+AL173)</f>
        <v>74180.5771294878</v>
      </c>
      <c r="AN180" s="11" t="n">
        <f aca="false">SUM(C180:N180)</f>
        <v>6639.61477887134</v>
      </c>
      <c r="AO180" s="11" t="n">
        <f aca="false">SUM(O180:Z180)</f>
        <v>133686.978296457</v>
      </c>
      <c r="AP180" s="11" t="n">
        <f aca="false">SUM(AA180:AL180)</f>
        <v>535841.29357236</v>
      </c>
    </row>
    <row r="181" customFormat="false" ht="15" hidden="false" customHeight="false" outlineLevel="0" collapsed="false">
      <c r="A181" s="0" t="s">
        <v>983</v>
      </c>
      <c r="B181" s="0" t="s">
        <v>230</v>
      </c>
      <c r="C181" s="9" t="n">
        <f aca="false">((C164+C166)+C171)</f>
        <v>6000</v>
      </c>
      <c r="D181" s="9" t="n">
        <f aca="false">((D164+D166)+D171)</f>
        <v>6000</v>
      </c>
      <c r="E181" s="9" t="n">
        <f aca="false">((E164+E166)+E171)</f>
        <v>6000</v>
      </c>
      <c r="F181" s="9" t="n">
        <f aca="false">((F164+F166)+F171)</f>
        <v>6000</v>
      </c>
      <c r="G181" s="9" t="n">
        <f aca="false">((G164+G166)+G171)</f>
        <v>6000</v>
      </c>
      <c r="H181" s="9" t="n">
        <f aca="false">((H164+H166)+H171)</f>
        <v>6000</v>
      </c>
      <c r="I181" s="9" t="n">
        <f aca="false">((I164+I166)+I171)</f>
        <v>6000</v>
      </c>
      <c r="J181" s="9" t="n">
        <f aca="false">((J164+J166)+J171)</f>
        <v>6000</v>
      </c>
      <c r="K181" s="9" t="n">
        <f aca="false">((K164+K166)+K171)</f>
        <v>12303.3333333333</v>
      </c>
      <c r="L181" s="9" t="n">
        <f aca="false">((L164+L166)+L171)</f>
        <v>12303.3333333333</v>
      </c>
      <c r="M181" s="9" t="n">
        <f aca="false">((M164+M166)+M171)</f>
        <v>12303.3333333333</v>
      </c>
      <c r="N181" s="9" t="n">
        <f aca="false">((N164+N166)+N171)</f>
        <v>12303.3333333333</v>
      </c>
      <c r="O181" s="9" t="n">
        <f aca="false">((O164+O166)+O171)</f>
        <v>18303.3333333333</v>
      </c>
      <c r="P181" s="9" t="n">
        <f aca="false">((P164+P166)+P171)</f>
        <v>18303.3333333333</v>
      </c>
      <c r="Q181" s="9" t="n">
        <f aca="false">((Q164+Q166)+Q171)</f>
        <v>18303.3333333333</v>
      </c>
      <c r="R181" s="9" t="n">
        <f aca="false">((R164+R166)+R171)</f>
        <v>18303.3333333333</v>
      </c>
      <c r="S181" s="9" t="n">
        <f aca="false">((S164+S166)+S171)</f>
        <v>18303.3333333333</v>
      </c>
      <c r="T181" s="9" t="n">
        <f aca="false">((T164+T166)+T171)</f>
        <v>26945</v>
      </c>
      <c r="U181" s="9" t="n">
        <f aca="false">((U164+U166)+U171)</f>
        <v>26945</v>
      </c>
      <c r="V181" s="9" t="n">
        <f aca="false">((V164+V166)+V171)</f>
        <v>26945</v>
      </c>
      <c r="W181" s="9" t="n">
        <f aca="false">((W164+W166)+W171)</f>
        <v>26945</v>
      </c>
      <c r="X181" s="9" t="n">
        <f aca="false">((X164+X166)+X171)</f>
        <v>26945</v>
      </c>
      <c r="Y181" s="9" t="n">
        <f aca="false">((Y164+Y166)+Y171)</f>
        <v>26945</v>
      </c>
      <c r="Z181" s="9" t="n">
        <f aca="false">((Z164+Z166)+Z171)</f>
        <v>26945</v>
      </c>
      <c r="AA181" s="9" t="n">
        <f aca="false">((AA164+AA166)+AA171)</f>
        <v>35945</v>
      </c>
      <c r="AB181" s="9" t="n">
        <f aca="false">((AB164+AB166)+AB171)</f>
        <v>42248.3333333333</v>
      </c>
      <c r="AC181" s="9" t="n">
        <f aca="false">((AC164+AC166)+AC171)</f>
        <v>42248.3333333333</v>
      </c>
      <c r="AD181" s="9" t="n">
        <f aca="false">((AD164+AD166)+AD171)</f>
        <v>42248.3333333333</v>
      </c>
      <c r="AE181" s="9" t="n">
        <f aca="false">((AE164+AE166)+AE171)</f>
        <v>42248.3333333333</v>
      </c>
      <c r="AF181" s="9" t="n">
        <f aca="false">((AF164+AF166)+AF171)</f>
        <v>42248.3333333333</v>
      </c>
      <c r="AG181" s="9" t="n">
        <f aca="false">((AG164+AG166)+AG171)</f>
        <v>42248.3333333333</v>
      </c>
      <c r="AH181" s="9" t="n">
        <f aca="false">((AH164+AH166)+AH171)</f>
        <v>42248.3333333333</v>
      </c>
      <c r="AI181" s="9" t="n">
        <f aca="false">((AI164+AI166)+AI171)</f>
        <v>48551.6666666667</v>
      </c>
      <c r="AJ181" s="9" t="n">
        <f aca="false">((AJ164+AJ166)+AJ171)</f>
        <v>48551.6666666667</v>
      </c>
      <c r="AK181" s="9" t="n">
        <f aca="false">((AK164+AK166)+AK171)</f>
        <v>48551.6666666667</v>
      </c>
      <c r="AL181" s="9" t="n">
        <f aca="false">((AL164+AL166)+AL171)</f>
        <v>48551.6666666667</v>
      </c>
      <c r="AN181" s="11" t="n">
        <f aca="false">SUM(C181:N181)</f>
        <v>97213.3333333333</v>
      </c>
      <c r="AO181" s="11" t="n">
        <f aca="false">SUM(O181:Z181)</f>
        <v>280131.666666667</v>
      </c>
      <c r="AP181" s="11" t="n">
        <f aca="false">SUM(AA181:AL181)</f>
        <v>525890</v>
      </c>
    </row>
    <row r="182" customFormat="false" ht="15" hidden="false" customHeight="false" outlineLevel="0" collapsed="false">
      <c r="A182" s="0" t="s">
        <v>984</v>
      </c>
      <c r="B182" s="0" t="s">
        <v>230</v>
      </c>
      <c r="C182" s="9" t="n">
        <f aca="false">C172</f>
        <v>0</v>
      </c>
      <c r="D182" s="9" t="n">
        <f aca="false">D172</f>
        <v>0</v>
      </c>
      <c r="E182" s="9" t="n">
        <f aca="false">E172</f>
        <v>0</v>
      </c>
      <c r="F182" s="9" t="n">
        <f aca="false">F172</f>
        <v>0</v>
      </c>
      <c r="G182" s="9" t="n">
        <f aca="false">G172</f>
        <v>10166.6666666667</v>
      </c>
      <c r="H182" s="9" t="n">
        <f aca="false">H172</f>
        <v>10166.6666666667</v>
      </c>
      <c r="I182" s="9" t="n">
        <f aca="false">I172</f>
        <v>10166.6666666667</v>
      </c>
      <c r="J182" s="9" t="n">
        <f aca="false">J172</f>
        <v>10166.6666666667</v>
      </c>
      <c r="K182" s="9" t="n">
        <f aca="false">K172</f>
        <v>10166.6666666667</v>
      </c>
      <c r="L182" s="9" t="n">
        <f aca="false">L172</f>
        <v>10166.6666666667</v>
      </c>
      <c r="M182" s="9" t="n">
        <f aca="false">M172</f>
        <v>20333.3333333333</v>
      </c>
      <c r="N182" s="9" t="n">
        <f aca="false">N172</f>
        <v>20333.3333333333</v>
      </c>
      <c r="O182" s="9" t="n">
        <f aca="false">O172</f>
        <v>20333.3333333333</v>
      </c>
      <c r="P182" s="9" t="n">
        <f aca="false">P172</f>
        <v>20333.3333333333</v>
      </c>
      <c r="Q182" s="9" t="n">
        <f aca="false">Q172</f>
        <v>30500</v>
      </c>
      <c r="R182" s="9" t="n">
        <f aca="false">R172</f>
        <v>30500</v>
      </c>
      <c r="S182" s="9" t="n">
        <f aca="false">S172</f>
        <v>30500</v>
      </c>
      <c r="T182" s="9" t="n">
        <f aca="false">T172</f>
        <v>30500</v>
      </c>
      <c r="U182" s="9" t="n">
        <f aca="false">U172</f>
        <v>40666.6666666667</v>
      </c>
      <c r="V182" s="9" t="n">
        <f aca="false">V172</f>
        <v>40666.6666666667</v>
      </c>
      <c r="W182" s="9" t="n">
        <f aca="false">W172</f>
        <v>40666.6666666667</v>
      </c>
      <c r="X182" s="9" t="n">
        <f aca="false">X172</f>
        <v>50833.3333333333</v>
      </c>
      <c r="Y182" s="9" t="n">
        <f aca="false">Y172</f>
        <v>50833.3333333333</v>
      </c>
      <c r="Z182" s="9" t="n">
        <f aca="false">Z172</f>
        <v>50833.3333333333</v>
      </c>
      <c r="AA182" s="9" t="n">
        <f aca="false">AA172</f>
        <v>61000</v>
      </c>
      <c r="AB182" s="9" t="n">
        <f aca="false">AB172</f>
        <v>61000</v>
      </c>
      <c r="AC182" s="9" t="n">
        <f aca="false">AC172</f>
        <v>61000</v>
      </c>
      <c r="AD182" s="9" t="n">
        <f aca="false">AD172</f>
        <v>71166.6666666667</v>
      </c>
      <c r="AE182" s="9" t="n">
        <f aca="false">AE172</f>
        <v>71166.6666666667</v>
      </c>
      <c r="AF182" s="9" t="n">
        <f aca="false">AF172</f>
        <v>71166.6666666667</v>
      </c>
      <c r="AG182" s="9" t="n">
        <f aca="false">AG172</f>
        <v>81333.3333333333</v>
      </c>
      <c r="AH182" s="9" t="n">
        <f aca="false">AH172</f>
        <v>81333.3333333333</v>
      </c>
      <c r="AI182" s="9" t="n">
        <f aca="false">AI172</f>
        <v>81333.3333333333</v>
      </c>
      <c r="AJ182" s="9" t="n">
        <f aca="false">AJ172</f>
        <v>81333.3333333333</v>
      </c>
      <c r="AK182" s="9" t="n">
        <f aca="false">AK172</f>
        <v>81333.3333333333</v>
      </c>
      <c r="AL182" s="9" t="n">
        <f aca="false">AL172</f>
        <v>81333.3333333333</v>
      </c>
      <c r="AN182" s="11" t="n">
        <f aca="false">SUM(C182:N182)</f>
        <v>101666.666666667</v>
      </c>
      <c r="AO182" s="11" t="n">
        <f aca="false">SUM(O182:Z182)</f>
        <v>437166.666666667</v>
      </c>
      <c r="AP182" s="11" t="n">
        <f aca="false">SUM(AA182:AL182)</f>
        <v>884500</v>
      </c>
    </row>
    <row r="183" customFormat="false" ht="15" hidden="false" customHeight="false" outlineLevel="0" collapsed="false">
      <c r="A183" s="0" t="s">
        <v>985</v>
      </c>
      <c r="B183" s="0" t="s">
        <v>230</v>
      </c>
      <c r="C183" s="9" t="n">
        <f aca="false">(C176+C174)</f>
        <v>0</v>
      </c>
      <c r="D183" s="9" t="n">
        <f aca="false">(D176+D174)</f>
        <v>0</v>
      </c>
      <c r="E183" s="9" t="n">
        <f aca="false">(E176+E174)</f>
        <v>0</v>
      </c>
      <c r="F183" s="9" t="n">
        <f aca="false">(F176+F174)</f>
        <v>0</v>
      </c>
      <c r="G183" s="9" t="n">
        <f aca="false">(G176+G174)</f>
        <v>0</v>
      </c>
      <c r="H183" s="9" t="n">
        <f aca="false">(H176+H174)</f>
        <v>0</v>
      </c>
      <c r="I183" s="9" t="n">
        <f aca="false">(I176+I174)</f>
        <v>0</v>
      </c>
      <c r="J183" s="9" t="n">
        <f aca="false">(J176+J174)</f>
        <v>0</v>
      </c>
      <c r="K183" s="9" t="n">
        <f aca="false">(K176+K174)</f>
        <v>0</v>
      </c>
      <c r="L183" s="9" t="n">
        <f aca="false">(L176+L174)</f>
        <v>0</v>
      </c>
      <c r="M183" s="9" t="n">
        <f aca="false">(M176+M174)</f>
        <v>0</v>
      </c>
      <c r="N183" s="9" t="n">
        <f aca="false">(N176+N174)</f>
        <v>0</v>
      </c>
      <c r="O183" s="9" t="n">
        <f aca="false">(O176+O174)</f>
        <v>0</v>
      </c>
      <c r="P183" s="9" t="n">
        <f aca="false">(P176+P174)</f>
        <v>0</v>
      </c>
      <c r="Q183" s="9" t="n">
        <f aca="false">(Q176+Q174)</f>
        <v>0</v>
      </c>
      <c r="R183" s="9" t="n">
        <f aca="false">(R176+R174)</f>
        <v>0</v>
      </c>
      <c r="S183" s="9" t="n">
        <f aca="false">(S176+S174)</f>
        <v>0</v>
      </c>
      <c r="T183" s="9" t="n">
        <f aca="false">(T176+T174)</f>
        <v>0</v>
      </c>
      <c r="U183" s="9" t="n">
        <f aca="false">(U176+U174)</f>
        <v>0</v>
      </c>
      <c r="V183" s="9" t="n">
        <f aca="false">(V176+V174)</f>
        <v>0</v>
      </c>
      <c r="W183" s="9" t="n">
        <f aca="false">(W176+W174)</f>
        <v>0</v>
      </c>
      <c r="X183" s="9" t="n">
        <f aca="false">(X176+X174)</f>
        <v>0</v>
      </c>
      <c r="Y183" s="9" t="n">
        <f aca="false">(Y176+Y174)</f>
        <v>0</v>
      </c>
      <c r="Z183" s="9" t="n">
        <f aca="false">(Z176+Z174)</f>
        <v>0</v>
      </c>
      <c r="AA183" s="9" t="n">
        <f aca="false">(AA176+AA174)</f>
        <v>0</v>
      </c>
      <c r="AB183" s="9" t="n">
        <f aca="false">(AB176+AB174)</f>
        <v>0</v>
      </c>
      <c r="AC183" s="9" t="n">
        <f aca="false">(AC176+AC174)</f>
        <v>0</v>
      </c>
      <c r="AD183" s="9" t="n">
        <f aca="false">(AD176+AD174)</f>
        <v>0</v>
      </c>
      <c r="AE183" s="9" t="n">
        <f aca="false">(AE176+AE174)</f>
        <v>0</v>
      </c>
      <c r="AF183" s="9" t="n">
        <f aca="false">(AF176+AF174)</f>
        <v>0</v>
      </c>
      <c r="AG183" s="9" t="n">
        <f aca="false">(AG176+AG174)</f>
        <v>964.8</v>
      </c>
      <c r="AH183" s="9" t="n">
        <f aca="false">(AH176+AH174)</f>
        <v>8404.67466666667</v>
      </c>
      <c r="AI183" s="9" t="n">
        <f aca="false">(AI176+AI174)</f>
        <v>8714.95434666667</v>
      </c>
      <c r="AJ183" s="9" t="n">
        <f aca="false">(AJ176+AJ174)</f>
        <v>9012.82283946667</v>
      </c>
      <c r="AK183" s="9" t="n">
        <f aca="false">(AK176+AK174)</f>
        <v>9298.77659255467</v>
      </c>
      <c r="AL183" s="9" t="n">
        <f aca="false">(AL176+AL174)</f>
        <v>9573.29219551915</v>
      </c>
      <c r="AN183" s="11" t="n">
        <f aca="false">SUM(C183:N183)</f>
        <v>0</v>
      </c>
      <c r="AO183" s="11" t="n">
        <f aca="false">SUM(O183:Z183)</f>
        <v>0</v>
      </c>
      <c r="AP183" s="11" t="n">
        <f aca="false">SUM(AA183:AL183)</f>
        <v>45969.3206408738</v>
      </c>
    </row>
    <row r="184" customFormat="false" ht="15" hidden="false" customHeight="false" outlineLevel="0" collapsed="false">
      <c r="A184" s="10" t="s">
        <v>986</v>
      </c>
      <c r="B184" s="20" t="s">
        <v>230</v>
      </c>
      <c r="C184" s="11" t="n">
        <f aca="false">((((C179+C180)+C181)+C182)+C183)</f>
        <v>6100.6624476</v>
      </c>
      <c r="D184" s="11" t="n">
        <f aca="false">((((D179+D180)+D181)+D182)+D183)</f>
        <v>6178.86942612</v>
      </c>
      <c r="E184" s="11" t="n">
        <f aca="false">((((E179+E180)+E181)+E182)+E183)</f>
        <v>6235.70808999408</v>
      </c>
      <c r="F184" s="11" t="n">
        <f aca="false">((((F179+F180)+F181)+F182)+F183)</f>
        <v>6281.20194115834</v>
      </c>
      <c r="G184" s="11" t="n">
        <f aca="false">((((G179+G180)+G181)+G182)+G183)</f>
        <v>16870.918830347</v>
      </c>
      <c r="H184" s="11" t="n">
        <f aca="false">((((H179+H180)+H181)+H182)+H183)</f>
        <v>16885.9965834693</v>
      </c>
      <c r="I184" s="11" t="n">
        <f aca="false">((((I179+I180)+I181)+I182)+I183)</f>
        <v>16924.3416162352</v>
      </c>
      <c r="J184" s="11" t="n">
        <f aca="false">((((J179+J180)+J181)+J182)+J183)</f>
        <v>17760.5701330568</v>
      </c>
      <c r="K184" s="11" t="n">
        <f aca="false">((((K179+K180)+K181)+K182)+K183)</f>
        <v>24225.7306213962</v>
      </c>
      <c r="L184" s="11" t="n">
        <f aca="false">((((L179+L180)+L181)+L182)+L183)</f>
        <v>24289.8928477918</v>
      </c>
      <c r="M184" s="11" t="n">
        <f aca="false">((((M179+M180)+M181)+M182)+M183)</f>
        <v>34653.1785483877</v>
      </c>
      <c r="N184" s="11" t="n">
        <f aca="false">((((N179+N180)+N181)+N182)+N183)</f>
        <v>35041.084020999</v>
      </c>
      <c r="O184" s="11" t="n">
        <f aca="false">((((O179+O180)+O181)+O182)+O183)</f>
        <v>41964.1073155511</v>
      </c>
      <c r="P184" s="11" t="n">
        <f aca="false">((((P179+P180)+P181)+P182)+P183)</f>
        <v>43527.8703093921</v>
      </c>
      <c r="Q184" s="11" t="n">
        <f aca="false">((((Q179+Q180)+Q181)+Q182)+Q183)</f>
        <v>55171.50837835</v>
      </c>
      <c r="R184" s="11" t="n">
        <f aca="false">((((R179+R180)+R181)+R182)+R183)</f>
        <v>55610.52277324</v>
      </c>
      <c r="S184" s="11" t="n">
        <f aca="false">((((S179+S180)+S181)+S182)+S183)</f>
        <v>57409.3567793632</v>
      </c>
      <c r="T184" s="11" t="n">
        <f aca="false">((((T179+T180)+T181)+T182)+T183)</f>
        <v>76842.3237408656</v>
      </c>
      <c r="U184" s="11" t="n">
        <f aca="false">((((U179+U180)+U181)+U182)+U183)</f>
        <v>87345.2142422713</v>
      </c>
      <c r="V184" s="11" t="n">
        <f aca="false">((((V179+V180)+V181)+V182)+V183)</f>
        <v>88953.1869829374</v>
      </c>
      <c r="W184" s="11" t="n">
        <f aca="false">((((W179+W180)+W181)+W182)+W183)</f>
        <v>92339.9317957895</v>
      </c>
      <c r="X184" s="11" t="n">
        <f aca="false">((((X179+X180)+X181)+X182)+X183)</f>
        <v>103003.149949678</v>
      </c>
      <c r="Y184" s="11" t="n">
        <f aca="false">((((Y179+Y180)+Y181)+Y182)+Y183)</f>
        <v>103855.916036377</v>
      </c>
      <c r="Z184" s="11" t="n">
        <f aca="false">((((Z179+Z180)+Z181)+Z182)+Z183)</f>
        <v>108565.896676205</v>
      </c>
      <c r="AA184" s="11" t="n">
        <f aca="false">((((AA179+AA180)+AA181)+AA182)+AA183)</f>
        <v>128570.474475321</v>
      </c>
      <c r="AB184" s="11" t="n">
        <f aca="false">((((AB179+AB180)+AB181)+AB182)+AB183)</f>
        <v>136997.392103011</v>
      </c>
      <c r="AC184" s="11" t="n">
        <f aca="false">((((AC179+AC180)+AC181)+AC182)+AC183)</f>
        <v>142695.403911541</v>
      </c>
      <c r="AD184" s="11" t="n">
        <f aca="false">((((AD179+AD180)+AD181)+AD182)+AD183)</f>
        <v>155481.54192852</v>
      </c>
      <c r="AE184" s="11" t="n">
        <f aca="false">((((AE179+AE180)+AE181)+AE182)+AE183)</f>
        <v>156473.821349574</v>
      </c>
      <c r="AF184" s="11" t="n">
        <f aca="false">((((AF179+AF180)+AF181)+AF182)+AF183)</f>
        <v>172401.191580528</v>
      </c>
      <c r="AG184" s="11" t="n">
        <f aca="false">((((AG179+AG180)+AG181)+AG182)+AG183)</f>
        <v>183709.933769888</v>
      </c>
      <c r="AH184" s="11" t="n">
        <f aca="false">((((AH179+AH180)+AH181)+AH182)+AH183)</f>
        <v>192927.168507617</v>
      </c>
      <c r="AI184" s="11" t="n">
        <f aca="false">((((AI179+AI180)+AI181)+AI182)+AI183)</f>
        <v>210343.508178984</v>
      </c>
      <c r="AJ184" s="11" t="n">
        <f aca="false">((((AJ179+AJ180)+AJ181)+AJ182)+AJ183)</f>
        <v>217115.391335887</v>
      </c>
      <c r="AK184" s="11" t="n">
        <f aca="false">((((AK179+AK180)+AK181)+AK182)+AK183)</f>
        <v>220788.401821385</v>
      </c>
      <c r="AL184" s="11" t="n">
        <f aca="false">((((AL179+AL180)+AL181)+AL182)+AL183)</f>
        <v>230131.085850716</v>
      </c>
      <c r="AN184" s="11" t="n">
        <f aca="false">SUM(C184:N184)</f>
        <v>211448.155106555</v>
      </c>
      <c r="AO184" s="11" t="n">
        <f aca="false">SUM(O184:Z184)</f>
        <v>914588.984980019</v>
      </c>
      <c r="AP184" s="11" t="n">
        <f aca="false">SUM(AA184:AL184)</f>
        <v>2147635.31481297</v>
      </c>
    </row>
    <row r="185" customFormat="false" ht="15" hidden="false" customHeight="false" outlineLevel="0" collapsed="false">
      <c r="A185" s="0" t="s">
        <v>987</v>
      </c>
      <c r="B185" s="0" t="s">
        <v>230</v>
      </c>
      <c r="C185" s="9" t="n">
        <f aca="false">((((((((((((((((C158+C159)+C160)+C161)+C162)+C163)+C164)+C167)+C168)+C171)+C170)+C172)+C173)+C174)+C175)+C176)-C184)</f>
        <v>0</v>
      </c>
      <c r="D185" s="9" t="n">
        <f aca="false">((((((((((((((((D158+D159)+D160)+D161)+D162)+D163)+D164)+D167)+D168)+D171)+D170)+D172)+D173)+D174)+D175)+D176)-D184)</f>
        <v>0</v>
      </c>
      <c r="E185" s="9" t="n">
        <f aca="false">((((((((((((((((E158+E159)+E160)+E161)+E162)+E163)+E164)+E167)+E168)+E171)+E170)+E172)+E173)+E174)+E175)+E176)-E184)</f>
        <v>0</v>
      </c>
      <c r="F185" s="9" t="n">
        <f aca="false">((((((((((((((((F158+F159)+F160)+F161)+F162)+F163)+F164)+F167)+F168)+F171)+F170)+F172)+F173)+F174)+F175)+F176)-F184)</f>
        <v>0</v>
      </c>
      <c r="G185" s="9" t="n">
        <f aca="false">((((((((((((((((G158+G159)+G160)+G161)+G162)+G163)+G164)+G167)+G168)+G171)+G170)+G172)+G173)+G174)+G175)+G176)-G184)</f>
        <v>0</v>
      </c>
      <c r="H185" s="9" t="n">
        <f aca="false">((((((((((((((((H158+H159)+H160)+H161)+H162)+H163)+H164)+H167)+H168)+H171)+H170)+H172)+H173)+H174)+H175)+H176)-H184)</f>
        <v>0</v>
      </c>
      <c r="I185" s="9" t="n">
        <f aca="false">((((((((((((((((I158+I159)+I160)+I161)+I162)+I163)+I164)+I167)+I168)+I171)+I170)+I172)+I173)+I174)+I175)+I176)-I184)</f>
        <v>0</v>
      </c>
      <c r="J185" s="9" t="n">
        <f aca="false">((((((((((((((((J158+J159)+J160)+J161)+J162)+J163)+J164)+J167)+J168)+J171)+J170)+J172)+J173)+J174)+J175)+J176)-J184)</f>
        <v>0</v>
      </c>
      <c r="K185" s="9" t="n">
        <f aca="false">((((((((((((((((K158+K159)+K160)+K161)+K162)+K163)+K164)+K167)+K168)+K171)+K170)+K172)+K173)+K174)+K175)+K176)-K184)</f>
        <v>0</v>
      </c>
      <c r="L185" s="9" t="n">
        <f aca="false">((((((((((((((((L158+L159)+L160)+L161)+L162)+L163)+L164)+L167)+L168)+L171)+L170)+L172)+L173)+L174)+L175)+L176)-L184)</f>
        <v>0</v>
      </c>
      <c r="M185" s="9" t="n">
        <f aca="false">((((((((((((((((M158+M159)+M160)+M161)+M162)+M163)+M164)+M167)+M168)+M171)+M170)+M172)+M173)+M174)+M175)+M176)-M184)</f>
        <v>0</v>
      </c>
      <c r="N185" s="9" t="n">
        <f aca="false">((((((((((((((((N158+N159)+N160)+N161)+N162)+N163)+N164)+N167)+N168)+N171)+N170)+N172)+N173)+N174)+N175)+N176)-N184)</f>
        <v>0</v>
      </c>
      <c r="O185" s="9" t="n">
        <f aca="false">((((((((((((((((O158+O159)+O160)+O161)+O162)+O163)+O164)+O167)+O168)+O171)+O170)+O172)+O173)+O174)+O175)+O176)-O184)</f>
        <v>0</v>
      </c>
      <c r="P185" s="9" t="n">
        <f aca="false">((((((((((((((((P158+P159)+P160)+P161)+P162)+P163)+P164)+P167)+P168)+P171)+P170)+P172)+P173)+P174)+P175)+P176)-P184)</f>
        <v>0</v>
      </c>
      <c r="Q185" s="9" t="n">
        <f aca="false">((((((((((((((((Q158+Q159)+Q160)+Q161)+Q162)+Q163)+Q164)+Q167)+Q168)+Q171)+Q170)+Q172)+Q173)+Q174)+Q175)+Q176)-Q184)</f>
        <v>0</v>
      </c>
      <c r="R185" s="9" t="n">
        <f aca="false">((((((((((((((((R158+R159)+R160)+R161)+R162)+R163)+R164)+R167)+R168)+R171)+R170)+R172)+R173)+R174)+R175)+R176)-R184)</f>
        <v>0</v>
      </c>
      <c r="S185" s="9" t="n">
        <f aca="false">((((((((((((((((S158+S159)+S160)+S161)+S162)+S163)+S164)+S167)+S168)+S171)+S170)+S172)+S173)+S174)+S175)+S176)-S184)</f>
        <v>0</v>
      </c>
      <c r="T185" s="9" t="n">
        <f aca="false">((((((((((((((((T158+T159)+T160)+T161)+T162)+T163)+T164)+T167)+T168)+T171)+T170)+T172)+T173)+T174)+T175)+T176)-T184)</f>
        <v>0</v>
      </c>
      <c r="U185" s="9" t="n">
        <f aca="false">((((((((((((((((U158+U159)+U160)+U161)+U162)+U163)+U164)+U167)+U168)+U171)+U170)+U172)+U173)+U174)+U175)+U176)-U184)</f>
        <v>0</v>
      </c>
      <c r="V185" s="9" t="n">
        <f aca="false">((((((((((((((((V158+V159)+V160)+V161)+V162)+V163)+V164)+V167)+V168)+V171)+V170)+V172)+V173)+V174)+V175)+V176)-V184)</f>
        <v>0</v>
      </c>
      <c r="W185" s="9" t="n">
        <f aca="false">((((((((((((((((W158+W159)+W160)+W161)+W162)+W163)+W164)+W167)+W168)+W171)+W170)+W172)+W173)+W174)+W175)+W176)-W184)</f>
        <v>0</v>
      </c>
      <c r="X185" s="9" t="n">
        <f aca="false">((((((((((((((((X158+X159)+X160)+X161)+X162)+X163)+X164)+X167)+X168)+X171)+X170)+X172)+X173)+X174)+X175)+X176)-X184)</f>
        <v>0</v>
      </c>
      <c r="Y185" s="9" t="n">
        <f aca="false">((((((((((((((((Y158+Y159)+Y160)+Y161)+Y162)+Y163)+Y164)+Y167)+Y168)+Y171)+Y170)+Y172)+Y173)+Y174)+Y175)+Y176)-Y184)</f>
        <v>0</v>
      </c>
      <c r="Z185" s="9" t="n">
        <f aca="false">((((((((((((((((Z158+Z159)+Z160)+Z161)+Z162)+Z163)+Z164)+Z167)+Z168)+Z171)+Z170)+Z172)+Z173)+Z174)+Z175)+Z176)-Z184)</f>
        <v>0</v>
      </c>
      <c r="AA185" s="9" t="n">
        <f aca="false">((((((((((((((((AA158+AA159)+AA160)+AA161)+AA162)+AA163)+AA164)+AA167)+AA168)+AA171)+AA170)+AA172)+AA173)+AA174)+AA175)+AA176)-AA184)</f>
        <v>0</v>
      </c>
      <c r="AB185" s="9" t="n">
        <f aca="false">((((((((((((((((AB158+AB159)+AB160)+AB161)+AB162)+AB163)+AB164)+AB167)+AB168)+AB171)+AB170)+AB172)+AB173)+AB174)+AB175)+AB176)-AB184)</f>
        <v>0</v>
      </c>
      <c r="AC185" s="9" t="n">
        <f aca="false">((((((((((((((((AC158+AC159)+AC160)+AC161)+AC162)+AC163)+AC164)+AC167)+AC168)+AC171)+AC170)+AC172)+AC173)+AC174)+AC175)+AC176)-AC184)</f>
        <v>0</v>
      </c>
      <c r="AD185" s="9" t="n">
        <f aca="false">((((((((((((((((AD158+AD159)+AD160)+AD161)+AD162)+AD163)+AD164)+AD167)+AD168)+AD171)+AD170)+AD172)+AD173)+AD174)+AD175)+AD176)-AD184)</f>
        <v>0</v>
      </c>
      <c r="AE185" s="9" t="n">
        <f aca="false">((((((((((((((((AE158+AE159)+AE160)+AE161)+AE162)+AE163)+AE164)+AE167)+AE168)+AE171)+AE170)+AE172)+AE173)+AE174)+AE175)+AE176)-AE184)</f>
        <v>0</v>
      </c>
      <c r="AF185" s="9" t="n">
        <f aca="false">((((((((((((((((AF158+AF159)+AF160)+AF161)+AF162)+AF163)+AF164)+AF167)+AF168)+AF171)+AF170)+AF172)+AF173)+AF174)+AF175)+AF176)-AF184)</f>
        <v>0</v>
      </c>
      <c r="AG185" s="9" t="n">
        <f aca="false">((((((((((((((((AG158+AG159)+AG160)+AG161)+AG162)+AG163)+AG164)+AG167)+AG168)+AG171)+AG170)+AG172)+AG173)+AG174)+AG175)+AG176)-AG184)</f>
        <v>0</v>
      </c>
      <c r="AH185" s="9" t="n">
        <f aca="false">((((((((((((((((AH158+AH159)+AH160)+AH161)+AH162)+AH163)+AH164)+AH167)+AH168)+AH171)+AH170)+AH172)+AH173)+AH174)+AH175)+AH176)-AH184)</f>
        <v>0</v>
      </c>
      <c r="AI185" s="9" t="n">
        <f aca="false">((((((((((((((((AI158+AI159)+AI160)+AI161)+AI162)+AI163)+AI164)+AI167)+AI168)+AI171)+AI170)+AI172)+AI173)+AI174)+AI175)+AI176)-AI184)</f>
        <v>0</v>
      </c>
      <c r="AJ185" s="9" t="n">
        <f aca="false">((((((((((((((((AJ158+AJ159)+AJ160)+AJ161)+AJ162)+AJ163)+AJ164)+AJ167)+AJ168)+AJ171)+AJ170)+AJ172)+AJ173)+AJ174)+AJ175)+AJ176)-AJ184)</f>
        <v>0</v>
      </c>
      <c r="AK185" s="9" t="n">
        <f aca="false">((((((((((((((((AK158+AK159)+AK160)+AK161)+AK162)+AK163)+AK164)+AK167)+AK168)+AK171)+AK170)+AK172)+AK173)+AK174)+AK175)+AK176)-AK184)</f>
        <v>0</v>
      </c>
      <c r="AL185" s="9" t="n">
        <f aca="false">((((((((((((((((AL158+AL159)+AL160)+AL161)+AL162)+AL163)+AL164)+AL167)+AL168)+AL171)+AL170)+AL172)+AL173)+AL174)+AL175)+AL176)-AL184)</f>
        <v>0</v>
      </c>
      <c r="AN185" s="11" t="n">
        <f aca="false">SUM(C185:N185)</f>
        <v>0</v>
      </c>
      <c r="AO185" s="11" t="n">
        <f aca="false">SUM(O185:Z185)</f>
        <v>0</v>
      </c>
      <c r="AP185" s="11" t="n">
        <f aca="false">SUM(AA185:AL185)</f>
        <v>0</v>
      </c>
    </row>
    <row r="186" customFormat="false" ht="15" hidden="false" customHeight="false" outlineLevel="0" collapsed="false">
      <c r="A186" s="0" t="s">
        <v>988</v>
      </c>
      <c r="B186" s="0" t="s">
        <v>230</v>
      </c>
      <c r="C186" s="9" t="n">
        <f aca="false">(C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100.6624476</v>
      </c>
      <c r="D186" s="9" t="n">
        <f aca="false">(D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178.86942612</v>
      </c>
      <c r="E186" s="9" t="n">
        <f aca="false">(E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235.70808999408</v>
      </c>
      <c r="F186" s="9" t="n">
        <f aca="false">(F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281.201941158336</v>
      </c>
      <c r="G186" s="9" t="n">
        <f aca="false">(G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306.111871680355</v>
      </c>
      <c r="H186" s="9" t="n">
        <f aca="false">(H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321.189624802612</v>
      </c>
      <c r="I186" s="9" t="n">
        <f aca="false">(I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359.534657568566</v>
      </c>
      <c r="J186" s="9" t="n">
        <f aca="false">(J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502.678624390175</v>
      </c>
      <c r="K186" s="9" t="n">
        <f aca="false">(K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664.505779396184</v>
      </c>
      <c r="L186" s="9" t="n">
        <f aca="false">(L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728.668005791797</v>
      </c>
      <c r="M186" s="9" t="n">
        <f aca="false">(M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766.030922921046</v>
      </c>
      <c r="N186" s="9" t="n">
        <f aca="false">(N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777.000416332302</v>
      </c>
      <c r="O186" s="9" t="n">
        <f aca="false">(O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1678.79116830138</v>
      </c>
      <c r="P186" s="9" t="n">
        <f aca="false">(P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2374.27083810279</v>
      </c>
      <c r="Q186" s="9" t="n">
        <f aca="false">(Q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2879.91254567344</v>
      </c>
      <c r="R186" s="9" t="n">
        <f aca="false">(R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3278.38673142991</v>
      </c>
      <c r="S186" s="9" t="n">
        <f aca="false">(S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3506.7902652801</v>
      </c>
      <c r="T186" s="9" t="n">
        <f aca="false">(T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3649.87259167556</v>
      </c>
      <c r="U186" s="9" t="n">
        <f aca="false">(U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3944.97831767738</v>
      </c>
      <c r="V186" s="9" t="n">
        <f aca="false">(V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4949.64901928858</v>
      </c>
      <c r="W186" s="9" t="n">
        <f aca="false">(W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6049.61422849814</v>
      </c>
      <c r="X186" s="9" t="n">
        <f aca="false">(X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6465.30875661326</v>
      </c>
      <c r="Y186" s="9" t="n">
        <f aca="false">(Y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6687.13936807618</v>
      </c>
      <c r="Z186" s="9" t="n">
        <f aca="false">(Z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6726.00087142386</v>
      </c>
      <c r="AA186" s="9" t="n">
        <f aca="false">(AA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7490.44184814049</v>
      </c>
      <c r="AB186" s="9" t="n">
        <f aca="false">(AB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7994.41506238875</v>
      </c>
      <c r="AC186" s="9" t="n">
        <f aca="false">(AC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8260.85200914352</v>
      </c>
      <c r="AD186" s="9" t="n">
        <f aca="false">(AD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8413.41918274006</v>
      </c>
      <c r="AE186" s="9" t="n">
        <f aca="false">(AE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8354.99292281378</v>
      </c>
      <c r="AF186" s="9" t="n">
        <f aca="false">(AF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8210.56163740924</v>
      </c>
      <c r="AG186" s="9" t="n">
        <f aca="false">(AG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8321.33391552894</v>
      </c>
      <c r="AH186" s="9" t="n">
        <f aca="false">(AH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9470.30653496478</v>
      </c>
      <c r="AI186" s="9" t="n">
        <f aca="false">(AI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10758.9551353794</v>
      </c>
      <c r="AJ186" s="9" t="n">
        <f aca="false">(AJ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11098.501811605</v>
      </c>
      <c r="AK186" s="9" t="n">
        <f aca="false">(AK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11182.3965882916</v>
      </c>
      <c r="AL186" s="9" t="n">
        <f aca="false">(AL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11030.5618280507</v>
      </c>
      <c r="AN186" s="11" t="n">
        <f aca="false">SUM(C186:N186)</f>
        <v>5222.16180775545</v>
      </c>
      <c r="AO186" s="11" t="n">
        <f aca="false">SUM(O186:Z186)</f>
        <v>52190.7147020406</v>
      </c>
      <c r="AP186" s="11" t="n">
        <f aca="false">SUM(AA186:AL186)</f>
        <v>110586.738476456</v>
      </c>
    </row>
    <row r="187" customFormat="false" ht="15" hidden="false" customHeight="false" outlineLevel="0" collapsed="false">
      <c r="A187" s="0" t="s">
        <v>989</v>
      </c>
      <c r="B187" s="0" t="s">
        <v>230</v>
      </c>
      <c r="C187" s="9" t="n">
        <f aca="false">((C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C175)</f>
        <v>0</v>
      </c>
      <c r="D187" s="9" t="n">
        <f aca="false">((D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D175)</f>
        <v>0</v>
      </c>
      <c r="E187" s="9" t="n">
        <f aca="false">((E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E175)</f>
        <v>0</v>
      </c>
      <c r="F187" s="9" t="n">
        <f aca="false">((F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F175)</f>
        <v>0</v>
      </c>
      <c r="G187" s="9" t="n">
        <f aca="false">((G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G175)</f>
        <v>0</v>
      </c>
      <c r="H187" s="9" t="n">
        <f aca="false">((H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H175)</f>
        <v>0</v>
      </c>
      <c r="I187" s="9" t="n">
        <f aca="false">((I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I175)</f>
        <v>0</v>
      </c>
      <c r="J187" s="9" t="n">
        <f aca="false">((J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J175)</f>
        <v>0</v>
      </c>
      <c r="K187" s="9" t="n">
        <f aca="false">((K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K175)</f>
        <v>0</v>
      </c>
      <c r="L187" s="9" t="n">
        <f aca="false">((L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L175)</f>
        <v>0</v>
      </c>
      <c r="M187" s="9" t="n">
        <f aca="false">((M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M175)</f>
        <v>0</v>
      </c>
      <c r="N187" s="9" t="n">
        <f aca="false">((N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N175)</f>
        <v>0</v>
      </c>
      <c r="O187" s="9" t="n">
        <f aca="false">((O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O175)</f>
        <v>21.2325425830696</v>
      </c>
      <c r="P187" s="9" t="n">
        <f aca="false">((P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P175)</f>
        <v>54.8856378226322</v>
      </c>
      <c r="Q187" s="9" t="n">
        <f aca="false">((Q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Q175)</f>
        <v>93.0987525432551</v>
      </c>
      <c r="R187" s="9" t="n">
        <f aca="false">((R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R175)</f>
        <v>133.638961676712</v>
      </c>
      <c r="S187" s="9" t="n">
        <f aca="false">((S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S175)</f>
        <v>176.354655149748</v>
      </c>
      <c r="T187" s="9" t="n">
        <f aca="false">((T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T175)</f>
        <v>218.147314523394</v>
      </c>
      <c r="U187" s="9" t="n">
        <f aca="false">((U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U175)</f>
        <v>259.265423260587</v>
      </c>
      <c r="V187" s="9" t="n">
        <f aca="false">((V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V175)</f>
        <v>305.171053515442</v>
      </c>
      <c r="W187" s="9" t="n">
        <f aca="false">((W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W175)</f>
        <v>372.858437757998</v>
      </c>
      <c r="X187" s="9" t="n">
        <f aca="false">((X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X175)</f>
        <v>453.715396864533</v>
      </c>
      <c r="Y187" s="9" t="n">
        <f aca="false">((Y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Y175)</f>
        <v>527.254463300425</v>
      </c>
      <c r="Z187" s="9" t="n">
        <f aca="false">((Z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Z175)</f>
        <v>598.632007859082</v>
      </c>
      <c r="AA187" s="9" t="n">
        <f aca="false">((AA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A175)</f>
        <v>672.10216359266</v>
      </c>
      <c r="AB187" s="9" t="n">
        <f aca="false">((AB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B175)</f>
        <v>763.998464901104</v>
      </c>
      <c r="AC187" s="9" t="n">
        <f aca="false">((AC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C175)</f>
        <v>853.00098803623</v>
      </c>
      <c r="AD187" s="9" t="n">
        <f aca="false">((AD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D175)</f>
        <v>936.959032751697</v>
      </c>
      <c r="AE187" s="9" t="n">
        <f aca="false">((AE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E175)</f>
        <v>1017.34634373166</v>
      </c>
      <c r="AF187" s="9" t="n">
        <f aca="false">((AF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F175)</f>
        <v>1089.82770274826</v>
      </c>
      <c r="AG187" s="9" t="n">
        <f aca="false">((AG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G175)</f>
        <v>1156.33094732249</v>
      </c>
      <c r="AH187" s="9" t="n">
        <f aca="false">((AH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H175)</f>
        <v>1227.32199014891</v>
      </c>
      <c r="AI187" s="9" t="n">
        <f aca="false">((AI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I175)</f>
        <v>1331.56680494655</v>
      </c>
      <c r="AJ187" s="9" t="n">
        <f aca="false">((AJ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J175)</f>
        <v>1450.61727282415</v>
      </c>
      <c r="AK187" s="9" t="n">
        <f aca="false">((AK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K175)</f>
        <v>1549.59911094706</v>
      </c>
      <c r="AL187" s="9" t="n">
        <f aca="false">((AL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L175)</f>
        <v>1641.04276060897</v>
      </c>
      <c r="AN187" s="11" t="n">
        <f aca="false">SUM(C187:N187)</f>
        <v>0</v>
      </c>
      <c r="AO187" s="11" t="n">
        <f aca="false">SUM(O187:Z187)</f>
        <v>3214.25464685688</v>
      </c>
      <c r="AP187" s="11" t="n">
        <f aca="false">SUM(AA187:AL187)</f>
        <v>13689.7135825597</v>
      </c>
    </row>
    <row r="188" customFormat="false" ht="15" hidden="false" customHeight="false" outlineLevel="0" collapsed="false">
      <c r="A188" s="0" t="s">
        <v>990</v>
      </c>
      <c r="B188" s="0" t="s">
        <v>500</v>
      </c>
      <c r="C188" s="9" t="n">
        <f aca="false">0</f>
        <v>0</v>
      </c>
      <c r="D188" s="9" t="n">
        <f aca="false">C39</f>
        <v>0</v>
      </c>
      <c r="E188" s="9" t="n">
        <f aca="false">D39</f>
        <v>0</v>
      </c>
      <c r="F188" s="9" t="n">
        <f aca="false">E39</f>
        <v>0</v>
      </c>
      <c r="G188" s="9" t="n">
        <f aca="false">F39</f>
        <v>0</v>
      </c>
      <c r="H188" s="9" t="n">
        <f aca="false">G39</f>
        <v>0</v>
      </c>
      <c r="I188" s="9" t="n">
        <f aca="false">H39</f>
        <v>0</v>
      </c>
      <c r="J188" s="9" t="n">
        <f aca="false">I39</f>
        <v>0</v>
      </c>
      <c r="K188" s="9" t="n">
        <f aca="false">J39</f>
        <v>0</v>
      </c>
      <c r="L188" s="9" t="n">
        <f aca="false">K39</f>
        <v>0</v>
      </c>
      <c r="M188" s="9" t="n">
        <f aca="false">L39</f>
        <v>0</v>
      </c>
      <c r="N188" s="9" t="n">
        <f aca="false">M39</f>
        <v>0</v>
      </c>
      <c r="O188" s="9" t="n">
        <f aca="false">N39</f>
        <v>0</v>
      </c>
      <c r="P188" s="9" t="n">
        <f aca="false">O39</f>
        <v>8.12797083624573</v>
      </c>
      <c r="Q188" s="9" t="n">
        <f aca="false">P39</f>
        <v>25.4993158689767</v>
      </c>
      <c r="R188" s="9" t="n">
        <f aca="false">Q39</f>
        <v>49.7434457877362</v>
      </c>
      <c r="S188" s="9" t="n">
        <f aca="false">R39</f>
        <v>78.7215669569012</v>
      </c>
      <c r="T188" s="9" t="n">
        <f aca="false">S39</f>
        <v>111.212596257786</v>
      </c>
      <c r="U188" s="9" t="n">
        <f aca="false">T39</f>
        <v>145.367895586002</v>
      </c>
      <c r="V188" s="9" t="n">
        <f aca="false">U39</f>
        <v>180.269908255338</v>
      </c>
      <c r="W188" s="9" t="n">
        <f aca="false">V39</f>
        <v>217.505795816361</v>
      </c>
      <c r="X188" s="9" t="n">
        <f aca="false">W39</f>
        <v>264.457956415834</v>
      </c>
      <c r="Y188" s="9" t="n">
        <f aca="false">X39</f>
        <v>321.911291397854</v>
      </c>
      <c r="Z188" s="9" t="n">
        <f aca="false">Y39</f>
        <v>382.481608350213</v>
      </c>
      <c r="AA188" s="9" t="n">
        <f aca="false">Z39</f>
        <v>444.091646864887</v>
      </c>
      <c r="AB188" s="9" t="n">
        <f aca="false">AA39</f>
        <v>503.428585881317</v>
      </c>
      <c r="AC188" s="9" t="n">
        <f aca="false">AB39</f>
        <v>567.902728699171</v>
      </c>
      <c r="AD188" s="9" t="n">
        <f aca="false">AC39</f>
        <v>635.02646806269</v>
      </c>
      <c r="AE188" s="9" t="n">
        <f aca="false">AD39</f>
        <v>702.591817117178</v>
      </c>
      <c r="AF188" s="9" t="n">
        <f aca="false">AE39</f>
        <v>769.596420113346</v>
      </c>
      <c r="AG188" s="9" t="n">
        <f aca="false">AF39</f>
        <v>834.163219683689</v>
      </c>
      <c r="AH188" s="9" t="n">
        <f aca="false">AG39</f>
        <v>895.620607386829</v>
      </c>
      <c r="AI188" s="9" t="n">
        <f aca="false">AH39</f>
        <v>956.456772284628</v>
      </c>
      <c r="AJ188" s="9" t="n">
        <f aca="false">AI39</f>
        <v>1026.28039465021</v>
      </c>
      <c r="AK188" s="9" t="n">
        <f aca="false">AJ39</f>
        <v>1106.15201797466</v>
      </c>
      <c r="AL188" s="9" t="n">
        <f aca="false">AK39</f>
        <v>1187.12202643676</v>
      </c>
      <c r="AN188" s="11" t="n">
        <f aca="false">SUM(C188:N188)</f>
        <v>0</v>
      </c>
      <c r="AO188" s="11" t="n">
        <f aca="false">SUM(O188:Z188)</f>
        <v>1785.29935152925</v>
      </c>
      <c r="AP188" s="11" t="n">
        <f aca="false">SUM(AA188:AL188)</f>
        <v>9628.43270515537</v>
      </c>
    </row>
    <row r="189" customFormat="false" ht="15" hidden="false" customHeight="false" outlineLevel="0" collapsed="false">
      <c r="A189" s="21" t="s">
        <v>31</v>
      </c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</row>
    <row r="190" customFormat="false" ht="15" hidden="false" customHeight="false" outlineLevel="0" collapsed="false">
      <c r="A190" s="0" t="s">
        <v>991</v>
      </c>
      <c r="B190" s="0" t="s">
        <v>230</v>
      </c>
      <c r="C190" s="9" t="n">
        <f aca="false">SUMPRODUCT((Headcount!$C$5:$C$90="ENG")*Headcount!$D$5:$D$90*Headcount!$F$5:$F$90*((Headcount!$I$5:$I$90=0)+(Headcount!$I$5:$I$90=1)*$C$16)*(C$18&gt;=(Headcount!$E$5:$E$90+Headcount!$G$5:$G$90*$C$15)))/12*(1+Assumptions!$C$97)</f>
        <v>41683.3333333333</v>
      </c>
      <c r="D190" s="9" t="n">
        <f aca="false">SUMPRODUCT((Headcount!$C$5:$C$90="ENG")*Headcount!$D$5:$D$90*Headcount!$F$5:$F$90*((Headcount!$I$5:$I$90=0)+(Headcount!$I$5:$I$90=1)*$C$16)*(D$18&gt;=(Headcount!$E$5:$E$90+Headcount!$G$5:$G$90*$C$15)))/12*(1+Assumptions!$C$97)</f>
        <v>41683.3333333333</v>
      </c>
      <c r="E190" s="9" t="n">
        <f aca="false">SUMPRODUCT((Headcount!$C$5:$C$90="ENG")*Headcount!$D$5:$D$90*Headcount!$F$5:$F$90*((Headcount!$I$5:$I$90=0)+(Headcount!$I$5:$I$90=1)*$C$16)*(E$18&gt;=(Headcount!$E$5:$E$90+Headcount!$G$5:$G$90*$C$15)))/12*(1+Assumptions!$C$97)</f>
        <v>41683.3333333333</v>
      </c>
      <c r="F190" s="9" t="n">
        <f aca="false">SUMPRODUCT((Headcount!$C$5:$C$90="ENG")*Headcount!$D$5:$D$90*Headcount!$F$5:$F$90*((Headcount!$I$5:$I$90=0)+(Headcount!$I$5:$I$90=1)*$C$16)*(F$18&gt;=(Headcount!$E$5:$E$90+Headcount!$G$5:$G$90*$C$15)))/12*(1+Assumptions!$C$97)</f>
        <v>41683.3333333333</v>
      </c>
      <c r="G190" s="9" t="n">
        <f aca="false">SUMPRODUCT((Headcount!$C$5:$C$90="ENG")*Headcount!$D$5:$D$90*Headcount!$F$5:$F$90*((Headcount!$I$5:$I$90=0)+(Headcount!$I$5:$I$90=1)*$C$16)*(G$18&gt;=(Headcount!$E$5:$E$90+Headcount!$G$5:$G$90*$C$15)))/12*(1+Assumptions!$C$97)</f>
        <v>57950</v>
      </c>
      <c r="H190" s="9" t="n">
        <f aca="false">SUMPRODUCT((Headcount!$C$5:$C$90="ENG")*Headcount!$D$5:$D$90*Headcount!$F$5:$F$90*((Headcount!$I$5:$I$90=0)+(Headcount!$I$5:$I$90=1)*$C$16)*(H$18&gt;=(Headcount!$E$5:$E$90+Headcount!$G$5:$G$90*$C$15)))/12*(1+Assumptions!$C$97)</f>
        <v>73200</v>
      </c>
      <c r="I190" s="9" t="n">
        <f aca="false">SUMPRODUCT((Headcount!$C$5:$C$90="ENG")*Headcount!$D$5:$D$90*Headcount!$F$5:$F$90*((Headcount!$I$5:$I$90=0)+(Headcount!$I$5:$I$90=1)*$C$16)*(I$18&gt;=(Headcount!$E$5:$E$90+Headcount!$G$5:$G$90*$C$15)))/12*(1+Assumptions!$C$97)</f>
        <v>73200</v>
      </c>
      <c r="J190" s="9" t="n">
        <f aca="false">SUMPRODUCT((Headcount!$C$5:$C$90="ENG")*Headcount!$D$5:$D$90*Headcount!$F$5:$F$90*((Headcount!$I$5:$I$90=0)+(Headcount!$I$5:$I$90=1)*$C$16)*(J$18&gt;=(Headcount!$E$5:$E$90+Headcount!$G$5:$G$90*$C$15)))/12*(1+Assumptions!$C$97)</f>
        <v>73200</v>
      </c>
      <c r="K190" s="9" t="n">
        <f aca="false">SUMPRODUCT((Headcount!$C$5:$C$90="ENG")*Headcount!$D$5:$D$90*Headcount!$F$5:$F$90*((Headcount!$I$5:$I$90=0)+(Headcount!$I$5:$I$90=1)*$C$16)*(K$18&gt;=(Headcount!$E$5:$E$90+Headcount!$G$5:$G$90*$C$15)))/12*(1+Assumptions!$C$97)</f>
        <v>87941.6666666667</v>
      </c>
      <c r="L190" s="9" t="n">
        <f aca="false">SUMPRODUCT((Headcount!$C$5:$C$90="ENG")*Headcount!$D$5:$D$90*Headcount!$F$5:$F$90*((Headcount!$I$5:$I$90=0)+(Headcount!$I$5:$I$90=1)*$C$16)*(L$18&gt;=(Headcount!$E$5:$E$90+Headcount!$G$5:$G$90*$C$15)))/12*(1+Assumptions!$C$97)</f>
        <v>87941.6666666667</v>
      </c>
      <c r="M190" s="9" t="n">
        <f aca="false">SUMPRODUCT((Headcount!$C$5:$C$90="ENG")*Headcount!$D$5:$D$90*Headcount!$F$5:$F$90*((Headcount!$I$5:$I$90=0)+(Headcount!$I$5:$I$90=1)*$C$16)*(M$18&gt;=(Headcount!$E$5:$E$90+Headcount!$G$5:$G$90*$C$15)))/12*(1+Assumptions!$C$97)</f>
        <v>87941.6666666667</v>
      </c>
      <c r="N190" s="9" t="n">
        <f aca="false">SUMPRODUCT((Headcount!$C$5:$C$90="ENG")*Headcount!$D$5:$D$90*Headcount!$F$5:$F$90*((Headcount!$I$5:$I$90=0)+(Headcount!$I$5:$I$90=1)*$C$16)*(N$18&gt;=(Headcount!$E$5:$E$90+Headcount!$G$5:$G$90*$C$15)))/12*(1+Assumptions!$C$97)</f>
        <v>87941.6666666667</v>
      </c>
      <c r="O190" s="9" t="n">
        <f aca="false">SUMPRODUCT((Headcount!$C$5:$C$90="ENG")*Headcount!$D$5:$D$90*Headcount!$F$5:$F$90*((Headcount!$I$5:$I$90=0)+(Headcount!$I$5:$I$90=1)*$C$16)*(O$18&gt;=(Headcount!$E$5:$E$90+Headcount!$G$5:$G$90*$C$15)))/12*(1+Assumptions!$C$97)</f>
        <v>103191.666666667</v>
      </c>
      <c r="P190" s="9" t="n">
        <f aca="false">SUMPRODUCT((Headcount!$C$5:$C$90="ENG")*Headcount!$D$5:$D$90*Headcount!$F$5:$F$90*((Headcount!$I$5:$I$90=0)+(Headcount!$I$5:$I$90=1)*$C$16)*(P$18&gt;=(Headcount!$E$5:$E$90+Headcount!$G$5:$G$90*$C$15)))/12*(1+Assumptions!$C$97)</f>
        <v>118441.666666667</v>
      </c>
      <c r="Q190" s="9" t="n">
        <f aca="false">SUMPRODUCT((Headcount!$C$5:$C$90="ENG")*Headcount!$D$5:$D$90*Headcount!$F$5:$F$90*((Headcount!$I$5:$I$90=0)+(Headcount!$I$5:$I$90=1)*$C$16)*(Q$18&gt;=(Headcount!$E$5:$E$90+Headcount!$G$5:$G$90*$C$15)))/12*(1+Assumptions!$C$97)</f>
        <v>118441.666666667</v>
      </c>
      <c r="R190" s="9" t="n">
        <f aca="false">SUMPRODUCT((Headcount!$C$5:$C$90="ENG")*Headcount!$D$5:$D$90*Headcount!$F$5:$F$90*((Headcount!$I$5:$I$90=0)+(Headcount!$I$5:$I$90=1)*$C$16)*(R$18&gt;=(Headcount!$E$5:$E$90+Headcount!$G$5:$G$90*$C$15)))/12*(1+Assumptions!$C$97)</f>
        <v>118441.666666667</v>
      </c>
      <c r="S190" s="9" t="n">
        <f aca="false">SUMPRODUCT((Headcount!$C$5:$C$90="ENG")*Headcount!$D$5:$D$90*Headcount!$F$5:$F$90*((Headcount!$I$5:$I$90=0)+(Headcount!$I$5:$I$90=1)*$C$16)*(S$18&gt;=(Headcount!$E$5:$E$90+Headcount!$G$5:$G$90*$C$15)))/12*(1+Assumptions!$C$97)</f>
        <v>118441.666666667</v>
      </c>
      <c r="T190" s="9" t="n">
        <f aca="false">SUMPRODUCT((Headcount!$C$5:$C$90="ENG")*Headcount!$D$5:$D$90*Headcount!$F$5:$F$90*((Headcount!$I$5:$I$90=0)+(Headcount!$I$5:$I$90=1)*$C$16)*(T$18&gt;=(Headcount!$E$5:$E$90+Headcount!$G$5:$G$90*$C$15)))/12*(1+Assumptions!$C$97)</f>
        <v>118441.666666667</v>
      </c>
      <c r="U190" s="9" t="n">
        <f aca="false">SUMPRODUCT((Headcount!$C$5:$C$90="ENG")*Headcount!$D$5:$D$90*Headcount!$F$5:$F$90*((Headcount!$I$5:$I$90=0)+(Headcount!$I$5:$I$90=1)*$C$16)*(U$18&gt;=(Headcount!$E$5:$E$90+Headcount!$G$5:$G$90*$C$15)))/12*(1+Assumptions!$C$97)</f>
        <v>118441.666666667</v>
      </c>
      <c r="V190" s="9" t="n">
        <f aca="false">SUMPRODUCT((Headcount!$C$5:$C$90="ENG")*Headcount!$D$5:$D$90*Headcount!$F$5:$F$90*((Headcount!$I$5:$I$90=0)+(Headcount!$I$5:$I$90=1)*$C$16)*(V$18&gt;=(Headcount!$E$5:$E$90+Headcount!$G$5:$G$90*$C$15)))/12*(1+Assumptions!$C$97)</f>
        <v>129625</v>
      </c>
      <c r="W190" s="9" t="n">
        <f aca="false">SUMPRODUCT((Headcount!$C$5:$C$90="ENG")*Headcount!$D$5:$D$90*Headcount!$F$5:$F$90*((Headcount!$I$5:$I$90=0)+(Headcount!$I$5:$I$90=1)*$C$16)*(W$18&gt;=(Headcount!$E$5:$E$90+Headcount!$G$5:$G$90*$C$15)))/12*(1+Assumptions!$C$97)</f>
        <v>129625</v>
      </c>
      <c r="X190" s="9" t="n">
        <f aca="false">SUMPRODUCT((Headcount!$C$5:$C$90="ENG")*Headcount!$D$5:$D$90*Headcount!$F$5:$F$90*((Headcount!$I$5:$I$90=0)+(Headcount!$I$5:$I$90=1)*$C$16)*(X$18&gt;=(Headcount!$E$5:$E$90+Headcount!$G$5:$G$90*$C$15)))/12*(1+Assumptions!$C$97)</f>
        <v>129625</v>
      </c>
      <c r="Y190" s="9" t="n">
        <f aca="false">SUMPRODUCT((Headcount!$C$5:$C$90="ENG")*Headcount!$D$5:$D$90*Headcount!$F$5:$F$90*((Headcount!$I$5:$I$90=0)+(Headcount!$I$5:$I$90=1)*$C$16)*(Y$18&gt;=(Headcount!$E$5:$E$90+Headcount!$G$5:$G$90*$C$15)))/12*(1+Assumptions!$C$97)</f>
        <v>129625</v>
      </c>
      <c r="Z190" s="9" t="n">
        <f aca="false">SUMPRODUCT((Headcount!$C$5:$C$90="ENG")*Headcount!$D$5:$D$90*Headcount!$F$5:$F$90*((Headcount!$I$5:$I$90=0)+(Headcount!$I$5:$I$90=1)*$C$16)*(Z$18&gt;=(Headcount!$E$5:$E$90+Headcount!$G$5:$G$90*$C$15)))/12*(1+Assumptions!$C$97)</f>
        <v>129625</v>
      </c>
      <c r="AA190" s="9" t="n">
        <f aca="false">SUMPRODUCT((Headcount!$C$5:$C$90="ENG")*Headcount!$D$5:$D$90*Headcount!$F$5:$F$90*((Headcount!$I$5:$I$90=0)+(Headcount!$I$5:$I$90=1)*$C$16)*(AA$18&gt;=(Headcount!$E$5:$E$90+Headcount!$G$5:$G$90*$C$15)))/12*(1+Assumptions!$C$97)</f>
        <v>129625</v>
      </c>
      <c r="AB190" s="9" t="n">
        <f aca="false">SUMPRODUCT((Headcount!$C$5:$C$90="ENG")*Headcount!$D$5:$D$90*Headcount!$F$5:$F$90*((Headcount!$I$5:$I$90=0)+(Headcount!$I$5:$I$90=1)*$C$16)*(AB$18&gt;=(Headcount!$E$5:$E$90+Headcount!$G$5:$G$90*$C$15)))/12*(1+Assumptions!$C$97)</f>
        <v>144875</v>
      </c>
      <c r="AC190" s="9" t="n">
        <f aca="false">SUMPRODUCT((Headcount!$C$5:$C$90="ENG")*Headcount!$D$5:$D$90*Headcount!$F$5:$F$90*((Headcount!$I$5:$I$90=0)+(Headcount!$I$5:$I$90=1)*$C$16)*(AC$18&gt;=(Headcount!$E$5:$E$90+Headcount!$G$5:$G$90*$C$15)))/12*(1+Assumptions!$C$97)</f>
        <v>144875</v>
      </c>
      <c r="AD190" s="9" t="n">
        <f aca="false">SUMPRODUCT((Headcount!$C$5:$C$90="ENG")*Headcount!$D$5:$D$90*Headcount!$F$5:$F$90*((Headcount!$I$5:$I$90=0)+(Headcount!$I$5:$I$90=1)*$C$16)*(AD$18&gt;=(Headcount!$E$5:$E$90+Headcount!$G$5:$G$90*$C$15)))/12*(1+Assumptions!$C$97)</f>
        <v>144875</v>
      </c>
      <c r="AE190" s="9" t="n">
        <f aca="false">SUMPRODUCT((Headcount!$C$5:$C$90="ENG")*Headcount!$D$5:$D$90*Headcount!$F$5:$F$90*((Headcount!$I$5:$I$90=0)+(Headcount!$I$5:$I$90=1)*$C$16)*(AE$18&gt;=(Headcount!$E$5:$E$90+Headcount!$G$5:$G$90*$C$15)))/12*(1+Assumptions!$C$97)</f>
        <v>144875</v>
      </c>
      <c r="AF190" s="9" t="n">
        <f aca="false">SUMPRODUCT((Headcount!$C$5:$C$90="ENG")*Headcount!$D$5:$D$90*Headcount!$F$5:$F$90*((Headcount!$I$5:$I$90=0)+(Headcount!$I$5:$I$90=1)*$C$16)*(AF$18&gt;=(Headcount!$E$5:$E$90+Headcount!$G$5:$G$90*$C$15)))/12*(1+Assumptions!$C$97)</f>
        <v>144875</v>
      </c>
      <c r="AG190" s="9" t="n">
        <f aca="false">SUMPRODUCT((Headcount!$C$5:$C$90="ENG")*Headcount!$D$5:$D$90*Headcount!$F$5:$F$90*((Headcount!$I$5:$I$90=0)+(Headcount!$I$5:$I$90=1)*$C$16)*(AG$18&gt;=(Headcount!$E$5:$E$90+Headcount!$G$5:$G$90*$C$15)))/12*(1+Assumptions!$C$97)</f>
        <v>144875</v>
      </c>
      <c r="AH190" s="9" t="n">
        <f aca="false">SUMPRODUCT((Headcount!$C$5:$C$90="ENG")*Headcount!$D$5:$D$90*Headcount!$F$5:$F$90*((Headcount!$I$5:$I$90=0)+(Headcount!$I$5:$I$90=1)*$C$16)*(AH$18&gt;=(Headcount!$E$5:$E$90+Headcount!$G$5:$G$90*$C$15)))/12*(1+Assumptions!$C$97)</f>
        <v>144875</v>
      </c>
      <c r="AI190" s="9" t="n">
        <f aca="false">SUMPRODUCT((Headcount!$C$5:$C$90="ENG")*Headcount!$D$5:$D$90*Headcount!$F$5:$F$90*((Headcount!$I$5:$I$90=0)+(Headcount!$I$5:$I$90=1)*$C$16)*(AI$18&gt;=(Headcount!$E$5:$E$90+Headcount!$G$5:$G$90*$C$15)))/12*(1+Assumptions!$C$97)</f>
        <v>144875</v>
      </c>
      <c r="AJ190" s="9" t="n">
        <f aca="false">SUMPRODUCT((Headcount!$C$5:$C$90="ENG")*Headcount!$D$5:$D$90*Headcount!$F$5:$F$90*((Headcount!$I$5:$I$90=0)+(Headcount!$I$5:$I$90=1)*$C$16)*(AJ$18&gt;=(Headcount!$E$5:$E$90+Headcount!$G$5:$G$90*$C$15)))/12*(1+Assumptions!$C$97)</f>
        <v>144875</v>
      </c>
      <c r="AK190" s="9" t="n">
        <f aca="false">SUMPRODUCT((Headcount!$C$5:$C$90="ENG")*Headcount!$D$5:$D$90*Headcount!$F$5:$F$90*((Headcount!$I$5:$I$90=0)+(Headcount!$I$5:$I$90=1)*$C$16)*(AK$18&gt;=(Headcount!$E$5:$E$90+Headcount!$G$5:$G$90*$C$15)))/12*(1+Assumptions!$C$97)</f>
        <v>144875</v>
      </c>
      <c r="AL190" s="9" t="n">
        <f aca="false">SUMPRODUCT((Headcount!$C$5:$C$90="ENG")*Headcount!$D$5:$D$90*Headcount!$F$5:$F$90*((Headcount!$I$5:$I$90=0)+(Headcount!$I$5:$I$90=1)*$C$16)*(AL$18&gt;=(Headcount!$E$5:$E$90+Headcount!$G$5:$G$90*$C$15)))/12*(1+Assumptions!$C$97)</f>
        <v>144875</v>
      </c>
      <c r="AN190" s="11" t="n">
        <f aca="false">SUM(C190:N190)</f>
        <v>796050</v>
      </c>
      <c r="AO190" s="11" t="n">
        <f aca="false">SUM(O190:Z190)</f>
        <v>1461966.66666667</v>
      </c>
      <c r="AP190" s="11" t="n">
        <f aca="false">SUM(AA190:AL190)</f>
        <v>1723250</v>
      </c>
    </row>
    <row r="191" customFormat="false" ht="15" hidden="false" customHeight="false" outlineLevel="0" collapsed="false">
      <c r="A191" s="0" t="s">
        <v>992</v>
      </c>
      <c r="B191" s="0" t="s">
        <v>230</v>
      </c>
      <c r="C191" s="9" t="n">
        <f aca="false">SUMPRODUCT((Headcount!$C$5:$C$90="PROD")*Headcount!$D$5:$D$90*Headcount!$F$5:$F$90*((Headcount!$I$5:$I$90=0)+(Headcount!$I$5:$I$90=1)*$C$16)*(C$18&gt;=(Headcount!$E$5:$E$90+Headcount!$G$5:$G$90*$C$15)))/12*(1+Assumptions!$C$97)</f>
        <v>0</v>
      </c>
      <c r="D191" s="9" t="n">
        <f aca="false">SUMPRODUCT((Headcount!$C$5:$C$90="PROD")*Headcount!$D$5:$D$90*Headcount!$F$5:$F$90*((Headcount!$I$5:$I$90=0)+(Headcount!$I$5:$I$90=1)*$C$16)*(D$18&gt;=(Headcount!$E$5:$E$90+Headcount!$G$5:$G$90*$C$15)))/12*(1+Assumptions!$C$97)</f>
        <v>0</v>
      </c>
      <c r="E191" s="9" t="n">
        <f aca="false">SUMPRODUCT((Headcount!$C$5:$C$90="PROD")*Headcount!$D$5:$D$90*Headcount!$F$5:$F$90*((Headcount!$I$5:$I$90=0)+(Headcount!$I$5:$I$90=1)*$C$16)*(E$18&gt;=(Headcount!$E$5:$E$90+Headcount!$G$5:$G$90*$C$15)))/12*(1+Assumptions!$C$97)</f>
        <v>13216.6666666667</v>
      </c>
      <c r="F191" s="9" t="n">
        <f aca="false">SUMPRODUCT((Headcount!$C$5:$C$90="PROD")*Headcount!$D$5:$D$90*Headcount!$F$5:$F$90*((Headcount!$I$5:$I$90=0)+(Headcount!$I$5:$I$90=1)*$C$16)*(F$18&gt;=(Headcount!$E$5:$E$90+Headcount!$G$5:$G$90*$C$15)))/12*(1+Assumptions!$C$97)</f>
        <v>27450</v>
      </c>
      <c r="G191" s="9" t="n">
        <f aca="false">SUMPRODUCT((Headcount!$C$5:$C$90="PROD")*Headcount!$D$5:$D$90*Headcount!$F$5:$F$90*((Headcount!$I$5:$I$90=0)+(Headcount!$I$5:$I$90=1)*$C$16)*(G$18&gt;=(Headcount!$E$5:$E$90+Headcount!$G$5:$G$90*$C$15)))/12*(1+Assumptions!$C$97)</f>
        <v>27450</v>
      </c>
      <c r="H191" s="9" t="n">
        <f aca="false">SUMPRODUCT((Headcount!$C$5:$C$90="PROD")*Headcount!$D$5:$D$90*Headcount!$F$5:$F$90*((Headcount!$I$5:$I$90=0)+(Headcount!$I$5:$I$90=1)*$C$16)*(H$18&gt;=(Headcount!$E$5:$E$90+Headcount!$G$5:$G$90*$C$15)))/12*(1+Assumptions!$C$97)</f>
        <v>27450</v>
      </c>
      <c r="I191" s="9" t="n">
        <f aca="false">SUMPRODUCT((Headcount!$C$5:$C$90="PROD")*Headcount!$D$5:$D$90*Headcount!$F$5:$F$90*((Headcount!$I$5:$I$90=0)+(Headcount!$I$5:$I$90=1)*$C$16)*(I$18&gt;=(Headcount!$E$5:$E$90+Headcount!$G$5:$G$90*$C$15)))/12*(1+Assumptions!$C$97)</f>
        <v>27450</v>
      </c>
      <c r="J191" s="9" t="n">
        <f aca="false">SUMPRODUCT((Headcount!$C$5:$C$90="PROD")*Headcount!$D$5:$D$90*Headcount!$F$5:$F$90*((Headcount!$I$5:$I$90=0)+(Headcount!$I$5:$I$90=1)*$C$16)*(J$18&gt;=(Headcount!$E$5:$E$90+Headcount!$G$5:$G$90*$C$15)))/12*(1+Assumptions!$C$97)</f>
        <v>27450</v>
      </c>
      <c r="K191" s="9" t="n">
        <f aca="false">SUMPRODUCT((Headcount!$C$5:$C$90="PROD")*Headcount!$D$5:$D$90*Headcount!$F$5:$F$90*((Headcount!$I$5:$I$90=0)+(Headcount!$I$5:$I$90=1)*$C$16)*(K$18&gt;=(Headcount!$E$5:$E$90+Headcount!$G$5:$G$90*$C$15)))/12*(1+Assumptions!$C$97)</f>
        <v>27450</v>
      </c>
      <c r="L191" s="9" t="n">
        <f aca="false">SUMPRODUCT((Headcount!$C$5:$C$90="PROD")*Headcount!$D$5:$D$90*Headcount!$F$5:$F$90*((Headcount!$I$5:$I$90=0)+(Headcount!$I$5:$I$90=1)*$C$16)*(L$18&gt;=(Headcount!$E$5:$E$90+Headcount!$G$5:$G$90*$C$15)))/12*(1+Assumptions!$C$97)</f>
        <v>39141.6666666667</v>
      </c>
      <c r="M191" s="9" t="n">
        <f aca="false">SUMPRODUCT((Headcount!$C$5:$C$90="PROD")*Headcount!$D$5:$D$90*Headcount!$F$5:$F$90*((Headcount!$I$5:$I$90=0)+(Headcount!$I$5:$I$90=1)*$C$16)*(M$18&gt;=(Headcount!$E$5:$E$90+Headcount!$G$5:$G$90*$C$15)))/12*(1+Assumptions!$C$97)</f>
        <v>39141.6666666667</v>
      </c>
      <c r="N191" s="9" t="n">
        <f aca="false">SUMPRODUCT((Headcount!$C$5:$C$90="PROD")*Headcount!$D$5:$D$90*Headcount!$F$5:$F$90*((Headcount!$I$5:$I$90=0)+(Headcount!$I$5:$I$90=1)*$C$16)*(N$18&gt;=(Headcount!$E$5:$E$90+Headcount!$G$5:$G$90*$C$15)))/12*(1+Assumptions!$C$97)</f>
        <v>39141.6666666667</v>
      </c>
      <c r="O191" s="9" t="n">
        <f aca="false">SUMPRODUCT((Headcount!$C$5:$C$90="PROD")*Headcount!$D$5:$D$90*Headcount!$F$5:$F$90*((Headcount!$I$5:$I$90=0)+(Headcount!$I$5:$I$90=1)*$C$16)*(O$18&gt;=(Headcount!$E$5:$E$90+Headcount!$G$5:$G$90*$C$15)))/12*(1+Assumptions!$C$97)</f>
        <v>39141.6666666667</v>
      </c>
      <c r="P191" s="9" t="n">
        <f aca="false">SUMPRODUCT((Headcount!$C$5:$C$90="PROD")*Headcount!$D$5:$D$90*Headcount!$F$5:$F$90*((Headcount!$I$5:$I$90=0)+(Headcount!$I$5:$I$90=1)*$C$16)*(P$18&gt;=(Headcount!$E$5:$E$90+Headcount!$G$5:$G$90*$C$15)))/12*(1+Assumptions!$C$97)</f>
        <v>39141.6666666667</v>
      </c>
      <c r="Q191" s="9" t="n">
        <f aca="false">SUMPRODUCT((Headcount!$C$5:$C$90="PROD")*Headcount!$D$5:$D$90*Headcount!$F$5:$F$90*((Headcount!$I$5:$I$90=0)+(Headcount!$I$5:$I$90=1)*$C$16)*(Q$18&gt;=(Headcount!$E$5:$E$90+Headcount!$G$5:$G$90*$C$15)))/12*(1+Assumptions!$C$97)</f>
        <v>39141.6666666667</v>
      </c>
      <c r="R191" s="9" t="n">
        <f aca="false">SUMPRODUCT((Headcount!$C$5:$C$90="PROD")*Headcount!$D$5:$D$90*Headcount!$F$5:$F$90*((Headcount!$I$5:$I$90=0)+(Headcount!$I$5:$I$90=1)*$C$16)*(R$18&gt;=(Headcount!$E$5:$E$90+Headcount!$G$5:$G$90*$C$15)))/12*(1+Assumptions!$C$97)</f>
        <v>39141.6666666667</v>
      </c>
      <c r="S191" s="9" t="n">
        <f aca="false">SUMPRODUCT((Headcount!$C$5:$C$90="PROD")*Headcount!$D$5:$D$90*Headcount!$F$5:$F$90*((Headcount!$I$5:$I$90=0)+(Headcount!$I$5:$I$90=1)*$C$16)*(S$18&gt;=(Headcount!$E$5:$E$90+Headcount!$G$5:$G$90*$C$15)))/12*(1+Assumptions!$C$97)</f>
        <v>39141.6666666667</v>
      </c>
      <c r="T191" s="9" t="n">
        <f aca="false">SUMPRODUCT((Headcount!$C$5:$C$90="PROD")*Headcount!$D$5:$D$90*Headcount!$F$5:$F$90*((Headcount!$I$5:$I$90=0)+(Headcount!$I$5:$I$90=1)*$C$16)*(T$18&gt;=(Headcount!$E$5:$E$90+Headcount!$G$5:$G$90*$C$15)))/12*(1+Assumptions!$C$97)</f>
        <v>39141.6666666667</v>
      </c>
      <c r="U191" s="9" t="n">
        <f aca="false">SUMPRODUCT((Headcount!$C$5:$C$90="PROD")*Headcount!$D$5:$D$90*Headcount!$F$5:$F$90*((Headcount!$I$5:$I$90=0)+(Headcount!$I$5:$I$90=1)*$C$16)*(U$18&gt;=(Headcount!$E$5:$E$90+Headcount!$G$5:$G$90*$C$15)))/12*(1+Assumptions!$C$97)</f>
        <v>39141.6666666667</v>
      </c>
      <c r="V191" s="9" t="n">
        <f aca="false">SUMPRODUCT((Headcount!$C$5:$C$90="PROD")*Headcount!$D$5:$D$90*Headcount!$F$5:$F$90*((Headcount!$I$5:$I$90=0)+(Headcount!$I$5:$I$90=1)*$C$16)*(V$18&gt;=(Headcount!$E$5:$E$90+Headcount!$G$5:$G$90*$C$15)))/12*(1+Assumptions!$C$97)</f>
        <v>39141.6666666667</v>
      </c>
      <c r="W191" s="9" t="n">
        <f aca="false">SUMPRODUCT((Headcount!$C$5:$C$90="PROD")*Headcount!$D$5:$D$90*Headcount!$F$5:$F$90*((Headcount!$I$5:$I$90=0)+(Headcount!$I$5:$I$90=1)*$C$16)*(W$18&gt;=(Headcount!$E$5:$E$90+Headcount!$G$5:$G$90*$C$15)))/12*(1+Assumptions!$C$97)</f>
        <v>39141.6666666667</v>
      </c>
      <c r="X191" s="9" t="n">
        <f aca="false">SUMPRODUCT((Headcount!$C$5:$C$90="PROD")*Headcount!$D$5:$D$90*Headcount!$F$5:$F$90*((Headcount!$I$5:$I$90=0)+(Headcount!$I$5:$I$90=1)*$C$16)*(X$18&gt;=(Headcount!$E$5:$E$90+Headcount!$G$5:$G$90*$C$15)))/12*(1+Assumptions!$C$97)</f>
        <v>39141.6666666667</v>
      </c>
      <c r="Y191" s="9" t="n">
        <f aca="false">SUMPRODUCT((Headcount!$C$5:$C$90="PROD")*Headcount!$D$5:$D$90*Headcount!$F$5:$F$90*((Headcount!$I$5:$I$90=0)+(Headcount!$I$5:$I$90=1)*$C$16)*(Y$18&gt;=(Headcount!$E$5:$E$90+Headcount!$G$5:$G$90*$C$15)))/12*(1+Assumptions!$C$97)</f>
        <v>39141.6666666667</v>
      </c>
      <c r="Z191" s="9" t="n">
        <f aca="false">SUMPRODUCT((Headcount!$C$5:$C$90="PROD")*Headcount!$D$5:$D$90*Headcount!$F$5:$F$90*((Headcount!$I$5:$I$90=0)+(Headcount!$I$5:$I$90=1)*$C$16)*(Z$18&gt;=(Headcount!$E$5:$E$90+Headcount!$G$5:$G$90*$C$15)))/12*(1+Assumptions!$C$97)</f>
        <v>39141.6666666667</v>
      </c>
      <c r="AA191" s="9" t="n">
        <f aca="false">SUMPRODUCT((Headcount!$C$5:$C$90="PROD")*Headcount!$D$5:$D$90*Headcount!$F$5:$F$90*((Headcount!$I$5:$I$90=0)+(Headcount!$I$5:$I$90=1)*$C$16)*(AA$18&gt;=(Headcount!$E$5:$E$90+Headcount!$G$5:$G$90*$C$15)))/12*(1+Assumptions!$C$97)</f>
        <v>39141.6666666667</v>
      </c>
      <c r="AB191" s="9" t="n">
        <f aca="false">SUMPRODUCT((Headcount!$C$5:$C$90="PROD")*Headcount!$D$5:$D$90*Headcount!$F$5:$F$90*((Headcount!$I$5:$I$90=0)+(Headcount!$I$5:$I$90=1)*$C$16)*(AB$18&gt;=(Headcount!$E$5:$E$90+Headcount!$G$5:$G$90*$C$15)))/12*(1+Assumptions!$C$97)</f>
        <v>39141.6666666667</v>
      </c>
      <c r="AC191" s="9" t="n">
        <f aca="false">SUMPRODUCT((Headcount!$C$5:$C$90="PROD")*Headcount!$D$5:$D$90*Headcount!$F$5:$F$90*((Headcount!$I$5:$I$90=0)+(Headcount!$I$5:$I$90=1)*$C$16)*(AC$18&gt;=(Headcount!$E$5:$E$90+Headcount!$G$5:$G$90*$C$15)))/12*(1+Assumptions!$C$97)</f>
        <v>39141.6666666667</v>
      </c>
      <c r="AD191" s="9" t="n">
        <f aca="false">SUMPRODUCT((Headcount!$C$5:$C$90="PROD")*Headcount!$D$5:$D$90*Headcount!$F$5:$F$90*((Headcount!$I$5:$I$90=0)+(Headcount!$I$5:$I$90=1)*$C$16)*(AD$18&gt;=(Headcount!$E$5:$E$90+Headcount!$G$5:$G$90*$C$15)))/12*(1+Assumptions!$C$97)</f>
        <v>39141.6666666667</v>
      </c>
      <c r="AE191" s="9" t="n">
        <f aca="false">SUMPRODUCT((Headcount!$C$5:$C$90="PROD")*Headcount!$D$5:$D$90*Headcount!$F$5:$F$90*((Headcount!$I$5:$I$90=0)+(Headcount!$I$5:$I$90=1)*$C$16)*(AE$18&gt;=(Headcount!$E$5:$E$90+Headcount!$G$5:$G$90*$C$15)))/12*(1+Assumptions!$C$97)</f>
        <v>39141.6666666667</v>
      </c>
      <c r="AF191" s="9" t="n">
        <f aca="false">SUMPRODUCT((Headcount!$C$5:$C$90="PROD")*Headcount!$D$5:$D$90*Headcount!$F$5:$F$90*((Headcount!$I$5:$I$90=0)+(Headcount!$I$5:$I$90=1)*$C$16)*(AF$18&gt;=(Headcount!$E$5:$E$90+Headcount!$G$5:$G$90*$C$15)))/12*(1+Assumptions!$C$97)</f>
        <v>39141.6666666667</v>
      </c>
      <c r="AG191" s="9" t="n">
        <f aca="false">SUMPRODUCT((Headcount!$C$5:$C$90="PROD")*Headcount!$D$5:$D$90*Headcount!$F$5:$F$90*((Headcount!$I$5:$I$90=0)+(Headcount!$I$5:$I$90=1)*$C$16)*(AG$18&gt;=(Headcount!$E$5:$E$90+Headcount!$G$5:$G$90*$C$15)))/12*(1+Assumptions!$C$97)</f>
        <v>39141.6666666667</v>
      </c>
      <c r="AH191" s="9" t="n">
        <f aca="false">SUMPRODUCT((Headcount!$C$5:$C$90="PROD")*Headcount!$D$5:$D$90*Headcount!$F$5:$F$90*((Headcount!$I$5:$I$90=0)+(Headcount!$I$5:$I$90=1)*$C$16)*(AH$18&gt;=(Headcount!$E$5:$E$90+Headcount!$G$5:$G$90*$C$15)))/12*(1+Assumptions!$C$97)</f>
        <v>39141.6666666667</v>
      </c>
      <c r="AI191" s="9" t="n">
        <f aca="false">SUMPRODUCT((Headcount!$C$5:$C$90="PROD")*Headcount!$D$5:$D$90*Headcount!$F$5:$F$90*((Headcount!$I$5:$I$90=0)+(Headcount!$I$5:$I$90=1)*$C$16)*(AI$18&gt;=(Headcount!$E$5:$E$90+Headcount!$G$5:$G$90*$C$15)))/12*(1+Assumptions!$C$97)</f>
        <v>39141.6666666667</v>
      </c>
      <c r="AJ191" s="9" t="n">
        <f aca="false">SUMPRODUCT((Headcount!$C$5:$C$90="PROD")*Headcount!$D$5:$D$90*Headcount!$F$5:$F$90*((Headcount!$I$5:$I$90=0)+(Headcount!$I$5:$I$90=1)*$C$16)*(AJ$18&gt;=(Headcount!$E$5:$E$90+Headcount!$G$5:$G$90*$C$15)))/12*(1+Assumptions!$C$97)</f>
        <v>39141.6666666667</v>
      </c>
      <c r="AK191" s="9" t="n">
        <f aca="false">SUMPRODUCT((Headcount!$C$5:$C$90="PROD")*Headcount!$D$5:$D$90*Headcount!$F$5:$F$90*((Headcount!$I$5:$I$90=0)+(Headcount!$I$5:$I$90=1)*$C$16)*(AK$18&gt;=(Headcount!$E$5:$E$90+Headcount!$G$5:$G$90*$C$15)))/12*(1+Assumptions!$C$97)</f>
        <v>39141.6666666667</v>
      </c>
      <c r="AL191" s="9" t="n">
        <f aca="false">SUMPRODUCT((Headcount!$C$5:$C$90="PROD")*Headcount!$D$5:$D$90*Headcount!$F$5:$F$90*((Headcount!$I$5:$I$90=0)+(Headcount!$I$5:$I$90=1)*$C$16)*(AL$18&gt;=(Headcount!$E$5:$E$90+Headcount!$G$5:$G$90*$C$15)))/12*(1+Assumptions!$C$97)</f>
        <v>39141.6666666667</v>
      </c>
      <c r="AN191" s="11" t="n">
        <f aca="false">SUM(C191:N191)</f>
        <v>295341.666666667</v>
      </c>
      <c r="AO191" s="11" t="n">
        <f aca="false">SUM(O191:Z191)</f>
        <v>469700</v>
      </c>
      <c r="AP191" s="11" t="n">
        <f aca="false">SUM(AA191:AL191)</f>
        <v>469700</v>
      </c>
    </row>
    <row r="192" customFormat="false" ht="15" hidden="false" customHeight="false" outlineLevel="0" collapsed="false">
      <c r="A192" s="0" t="s">
        <v>993</v>
      </c>
      <c r="B192" s="0" t="s">
        <v>230</v>
      </c>
      <c r="C192" s="9" t="n">
        <f aca="false">SUMPRODUCT((Headcount!$C$5:$C$90="SEC")*Headcount!$D$5:$D$90*Headcount!$F$5:$F$90*((Headcount!$I$5:$I$90=0)+(Headcount!$I$5:$I$90=1)*$C$16)*(C$18&gt;=(Headcount!$E$5:$E$90+Headcount!$G$5:$G$90*$C$15)))/12*(1+Assumptions!$C$97)</f>
        <v>0</v>
      </c>
      <c r="D192" s="9" t="n">
        <f aca="false">SUMPRODUCT((Headcount!$C$5:$C$90="SEC")*Headcount!$D$5:$D$90*Headcount!$F$5:$F$90*((Headcount!$I$5:$I$90=0)+(Headcount!$I$5:$I$90=1)*$C$16)*(D$18&gt;=(Headcount!$E$5:$E$90+Headcount!$G$5:$G$90*$C$15)))/12*(1+Assumptions!$C$97)</f>
        <v>0</v>
      </c>
      <c r="E192" s="9" t="n">
        <f aca="false">SUMPRODUCT((Headcount!$C$5:$C$90="SEC")*Headcount!$D$5:$D$90*Headcount!$F$5:$F$90*((Headcount!$I$5:$I$90=0)+(Headcount!$I$5:$I$90=1)*$C$16)*(E$18&gt;=(Headcount!$E$5:$E$90+Headcount!$G$5:$G$90*$C$15)))/12*(1+Assumptions!$C$97)</f>
        <v>0</v>
      </c>
      <c r="F192" s="9" t="n">
        <f aca="false">SUMPRODUCT((Headcount!$C$5:$C$90="SEC")*Headcount!$D$5:$D$90*Headcount!$F$5:$F$90*((Headcount!$I$5:$I$90=0)+(Headcount!$I$5:$I$90=1)*$C$16)*(F$18&gt;=(Headcount!$E$5:$E$90+Headcount!$G$5:$G$90*$C$15)))/12*(1+Assumptions!$C$97)</f>
        <v>0</v>
      </c>
      <c r="G192" s="9" t="n">
        <f aca="false">SUMPRODUCT((Headcount!$C$5:$C$90="SEC")*Headcount!$D$5:$D$90*Headcount!$F$5:$F$90*((Headcount!$I$5:$I$90=0)+(Headcount!$I$5:$I$90=1)*$C$16)*(G$18&gt;=(Headcount!$E$5:$E$90+Headcount!$G$5:$G$90*$C$15)))/12*(1+Assumptions!$C$97)</f>
        <v>0</v>
      </c>
      <c r="H192" s="9" t="n">
        <f aca="false">SUMPRODUCT((Headcount!$C$5:$C$90="SEC")*Headcount!$D$5:$D$90*Headcount!$F$5:$F$90*((Headcount!$I$5:$I$90=0)+(Headcount!$I$5:$I$90=1)*$C$16)*(H$18&gt;=(Headcount!$E$5:$E$90+Headcount!$G$5:$G$90*$C$15)))/12*(1+Assumptions!$C$97)</f>
        <v>0</v>
      </c>
      <c r="I192" s="9" t="n">
        <f aca="false">SUMPRODUCT((Headcount!$C$5:$C$90="SEC")*Headcount!$D$5:$D$90*Headcount!$F$5:$F$90*((Headcount!$I$5:$I$90=0)+(Headcount!$I$5:$I$90=1)*$C$16)*(I$18&gt;=(Headcount!$E$5:$E$90+Headcount!$G$5:$G$90*$C$15)))/12*(1+Assumptions!$C$97)</f>
        <v>15250</v>
      </c>
      <c r="J192" s="9" t="n">
        <f aca="false">SUMPRODUCT((Headcount!$C$5:$C$90="SEC")*Headcount!$D$5:$D$90*Headcount!$F$5:$F$90*((Headcount!$I$5:$I$90=0)+(Headcount!$I$5:$I$90=1)*$C$16)*(J$18&gt;=(Headcount!$E$5:$E$90+Headcount!$G$5:$G$90*$C$15)))/12*(1+Assumptions!$C$97)</f>
        <v>15250</v>
      </c>
      <c r="K192" s="9" t="n">
        <f aca="false">SUMPRODUCT((Headcount!$C$5:$C$90="SEC")*Headcount!$D$5:$D$90*Headcount!$F$5:$F$90*((Headcount!$I$5:$I$90=0)+(Headcount!$I$5:$I$90=1)*$C$16)*(K$18&gt;=(Headcount!$E$5:$E$90+Headcount!$G$5:$G$90*$C$15)))/12*(1+Assumptions!$C$97)</f>
        <v>15250</v>
      </c>
      <c r="L192" s="9" t="n">
        <f aca="false">SUMPRODUCT((Headcount!$C$5:$C$90="SEC")*Headcount!$D$5:$D$90*Headcount!$F$5:$F$90*((Headcount!$I$5:$I$90=0)+(Headcount!$I$5:$I$90=1)*$C$16)*(L$18&gt;=(Headcount!$E$5:$E$90+Headcount!$G$5:$G$90*$C$15)))/12*(1+Assumptions!$C$97)</f>
        <v>15250</v>
      </c>
      <c r="M192" s="9" t="n">
        <f aca="false">SUMPRODUCT((Headcount!$C$5:$C$90="SEC")*Headcount!$D$5:$D$90*Headcount!$F$5:$F$90*((Headcount!$I$5:$I$90=0)+(Headcount!$I$5:$I$90=1)*$C$16)*(M$18&gt;=(Headcount!$E$5:$E$90+Headcount!$G$5:$G$90*$C$15)))/12*(1+Assumptions!$C$97)</f>
        <v>15250</v>
      </c>
      <c r="N192" s="9" t="n">
        <f aca="false">SUMPRODUCT((Headcount!$C$5:$C$90="SEC")*Headcount!$D$5:$D$90*Headcount!$F$5:$F$90*((Headcount!$I$5:$I$90=0)+(Headcount!$I$5:$I$90=1)*$C$16)*(N$18&gt;=(Headcount!$E$5:$E$90+Headcount!$G$5:$G$90*$C$15)))/12*(1+Assumptions!$C$97)</f>
        <v>15250</v>
      </c>
      <c r="O192" s="9" t="n">
        <f aca="false">SUMPRODUCT((Headcount!$C$5:$C$90="SEC")*Headcount!$D$5:$D$90*Headcount!$F$5:$F$90*((Headcount!$I$5:$I$90=0)+(Headcount!$I$5:$I$90=1)*$C$16)*(O$18&gt;=(Headcount!$E$5:$E$90+Headcount!$G$5:$G$90*$C$15)))/12*(1+Assumptions!$C$97)</f>
        <v>15250</v>
      </c>
      <c r="P192" s="9" t="n">
        <f aca="false">SUMPRODUCT((Headcount!$C$5:$C$90="SEC")*Headcount!$D$5:$D$90*Headcount!$F$5:$F$90*((Headcount!$I$5:$I$90=0)+(Headcount!$I$5:$I$90=1)*$C$16)*(P$18&gt;=(Headcount!$E$5:$E$90+Headcount!$G$5:$G$90*$C$15)))/12*(1+Assumptions!$C$97)</f>
        <v>15250</v>
      </c>
      <c r="Q192" s="9" t="n">
        <f aca="false">SUMPRODUCT((Headcount!$C$5:$C$90="SEC")*Headcount!$D$5:$D$90*Headcount!$F$5:$F$90*((Headcount!$I$5:$I$90=0)+(Headcount!$I$5:$I$90=1)*$C$16)*(Q$18&gt;=(Headcount!$E$5:$E$90+Headcount!$G$5:$G$90*$C$15)))/12*(1+Assumptions!$C$97)</f>
        <v>15250</v>
      </c>
      <c r="R192" s="9" t="n">
        <f aca="false">SUMPRODUCT((Headcount!$C$5:$C$90="SEC")*Headcount!$D$5:$D$90*Headcount!$F$5:$F$90*((Headcount!$I$5:$I$90=0)+(Headcount!$I$5:$I$90=1)*$C$16)*(R$18&gt;=(Headcount!$E$5:$E$90+Headcount!$G$5:$G$90*$C$15)))/12*(1+Assumptions!$C$97)</f>
        <v>15250</v>
      </c>
      <c r="S192" s="9" t="n">
        <f aca="false">SUMPRODUCT((Headcount!$C$5:$C$90="SEC")*Headcount!$D$5:$D$90*Headcount!$F$5:$F$90*((Headcount!$I$5:$I$90=0)+(Headcount!$I$5:$I$90=1)*$C$16)*(S$18&gt;=(Headcount!$E$5:$E$90+Headcount!$G$5:$G$90*$C$15)))/12*(1+Assumptions!$C$97)</f>
        <v>15250</v>
      </c>
      <c r="T192" s="9" t="n">
        <f aca="false">SUMPRODUCT((Headcount!$C$5:$C$90="SEC")*Headcount!$D$5:$D$90*Headcount!$F$5:$F$90*((Headcount!$I$5:$I$90=0)+(Headcount!$I$5:$I$90=1)*$C$16)*(T$18&gt;=(Headcount!$E$5:$E$90+Headcount!$G$5:$G$90*$C$15)))/12*(1+Assumptions!$C$97)</f>
        <v>15250</v>
      </c>
      <c r="U192" s="9" t="n">
        <f aca="false">SUMPRODUCT((Headcount!$C$5:$C$90="SEC")*Headcount!$D$5:$D$90*Headcount!$F$5:$F$90*((Headcount!$I$5:$I$90=0)+(Headcount!$I$5:$I$90=1)*$C$16)*(U$18&gt;=(Headcount!$E$5:$E$90+Headcount!$G$5:$G$90*$C$15)))/12*(1+Assumptions!$C$97)</f>
        <v>15250</v>
      </c>
      <c r="V192" s="9" t="n">
        <f aca="false">SUMPRODUCT((Headcount!$C$5:$C$90="SEC")*Headcount!$D$5:$D$90*Headcount!$F$5:$F$90*((Headcount!$I$5:$I$90=0)+(Headcount!$I$5:$I$90=1)*$C$16)*(V$18&gt;=(Headcount!$E$5:$E$90+Headcount!$G$5:$G$90*$C$15)))/12*(1+Assumptions!$C$97)</f>
        <v>15250</v>
      </c>
      <c r="W192" s="9" t="n">
        <f aca="false">SUMPRODUCT((Headcount!$C$5:$C$90="SEC")*Headcount!$D$5:$D$90*Headcount!$F$5:$F$90*((Headcount!$I$5:$I$90=0)+(Headcount!$I$5:$I$90=1)*$C$16)*(W$18&gt;=(Headcount!$E$5:$E$90+Headcount!$G$5:$G$90*$C$15)))/12*(1+Assumptions!$C$97)</f>
        <v>15250</v>
      </c>
      <c r="X192" s="9" t="n">
        <f aca="false">SUMPRODUCT((Headcount!$C$5:$C$90="SEC")*Headcount!$D$5:$D$90*Headcount!$F$5:$F$90*((Headcount!$I$5:$I$90=0)+(Headcount!$I$5:$I$90=1)*$C$16)*(X$18&gt;=(Headcount!$E$5:$E$90+Headcount!$G$5:$G$90*$C$15)))/12*(1+Assumptions!$C$97)</f>
        <v>15250</v>
      </c>
      <c r="Y192" s="9" t="n">
        <f aca="false">SUMPRODUCT((Headcount!$C$5:$C$90="SEC")*Headcount!$D$5:$D$90*Headcount!$F$5:$F$90*((Headcount!$I$5:$I$90=0)+(Headcount!$I$5:$I$90=1)*$C$16)*(Y$18&gt;=(Headcount!$E$5:$E$90+Headcount!$G$5:$G$90*$C$15)))/12*(1+Assumptions!$C$97)</f>
        <v>15250</v>
      </c>
      <c r="Z192" s="9" t="n">
        <f aca="false">SUMPRODUCT((Headcount!$C$5:$C$90="SEC")*Headcount!$D$5:$D$90*Headcount!$F$5:$F$90*((Headcount!$I$5:$I$90=0)+(Headcount!$I$5:$I$90=1)*$C$16)*(Z$18&gt;=(Headcount!$E$5:$E$90+Headcount!$G$5:$G$90*$C$15)))/12*(1+Assumptions!$C$97)</f>
        <v>15250</v>
      </c>
      <c r="AA192" s="9" t="n">
        <f aca="false">SUMPRODUCT((Headcount!$C$5:$C$90="SEC")*Headcount!$D$5:$D$90*Headcount!$F$5:$F$90*((Headcount!$I$5:$I$90=0)+(Headcount!$I$5:$I$90=1)*$C$16)*(AA$18&gt;=(Headcount!$E$5:$E$90+Headcount!$G$5:$G$90*$C$15)))/12*(1+Assumptions!$C$97)</f>
        <v>15250</v>
      </c>
      <c r="AB192" s="9" t="n">
        <f aca="false">SUMPRODUCT((Headcount!$C$5:$C$90="SEC")*Headcount!$D$5:$D$90*Headcount!$F$5:$F$90*((Headcount!$I$5:$I$90=0)+(Headcount!$I$5:$I$90=1)*$C$16)*(AB$18&gt;=(Headcount!$E$5:$E$90+Headcount!$G$5:$G$90*$C$15)))/12*(1+Assumptions!$C$97)</f>
        <v>15250</v>
      </c>
      <c r="AC192" s="9" t="n">
        <f aca="false">SUMPRODUCT((Headcount!$C$5:$C$90="SEC")*Headcount!$D$5:$D$90*Headcount!$F$5:$F$90*((Headcount!$I$5:$I$90=0)+(Headcount!$I$5:$I$90=1)*$C$16)*(AC$18&gt;=(Headcount!$E$5:$E$90+Headcount!$G$5:$G$90*$C$15)))/12*(1+Assumptions!$C$97)</f>
        <v>15250</v>
      </c>
      <c r="AD192" s="9" t="n">
        <f aca="false">SUMPRODUCT((Headcount!$C$5:$C$90="SEC")*Headcount!$D$5:$D$90*Headcount!$F$5:$F$90*((Headcount!$I$5:$I$90=0)+(Headcount!$I$5:$I$90=1)*$C$16)*(AD$18&gt;=(Headcount!$E$5:$E$90+Headcount!$G$5:$G$90*$C$15)))/12*(1+Assumptions!$C$97)</f>
        <v>15250</v>
      </c>
      <c r="AE192" s="9" t="n">
        <f aca="false">SUMPRODUCT((Headcount!$C$5:$C$90="SEC")*Headcount!$D$5:$D$90*Headcount!$F$5:$F$90*((Headcount!$I$5:$I$90=0)+(Headcount!$I$5:$I$90=1)*$C$16)*(AE$18&gt;=(Headcount!$E$5:$E$90+Headcount!$G$5:$G$90*$C$15)))/12*(1+Assumptions!$C$97)</f>
        <v>15250</v>
      </c>
      <c r="AF192" s="9" t="n">
        <f aca="false">SUMPRODUCT((Headcount!$C$5:$C$90="SEC")*Headcount!$D$5:$D$90*Headcount!$F$5:$F$90*((Headcount!$I$5:$I$90=0)+(Headcount!$I$5:$I$90=1)*$C$16)*(AF$18&gt;=(Headcount!$E$5:$E$90+Headcount!$G$5:$G$90*$C$15)))/12*(1+Assumptions!$C$97)</f>
        <v>15250</v>
      </c>
      <c r="AG192" s="9" t="n">
        <f aca="false">SUMPRODUCT((Headcount!$C$5:$C$90="SEC")*Headcount!$D$5:$D$90*Headcount!$F$5:$F$90*((Headcount!$I$5:$I$90=0)+(Headcount!$I$5:$I$90=1)*$C$16)*(AG$18&gt;=(Headcount!$E$5:$E$90+Headcount!$G$5:$G$90*$C$15)))/12*(1+Assumptions!$C$97)</f>
        <v>15250</v>
      </c>
      <c r="AH192" s="9" t="n">
        <f aca="false">SUMPRODUCT((Headcount!$C$5:$C$90="SEC")*Headcount!$D$5:$D$90*Headcount!$F$5:$F$90*((Headcount!$I$5:$I$90=0)+(Headcount!$I$5:$I$90=1)*$C$16)*(AH$18&gt;=(Headcount!$E$5:$E$90+Headcount!$G$5:$G$90*$C$15)))/12*(1+Assumptions!$C$97)</f>
        <v>15250</v>
      </c>
      <c r="AI192" s="9" t="n">
        <f aca="false">SUMPRODUCT((Headcount!$C$5:$C$90="SEC")*Headcount!$D$5:$D$90*Headcount!$F$5:$F$90*((Headcount!$I$5:$I$90=0)+(Headcount!$I$5:$I$90=1)*$C$16)*(AI$18&gt;=(Headcount!$E$5:$E$90+Headcount!$G$5:$G$90*$C$15)))/12*(1+Assumptions!$C$97)</f>
        <v>15250</v>
      </c>
      <c r="AJ192" s="9" t="n">
        <f aca="false">SUMPRODUCT((Headcount!$C$5:$C$90="SEC")*Headcount!$D$5:$D$90*Headcount!$F$5:$F$90*((Headcount!$I$5:$I$90=0)+(Headcount!$I$5:$I$90=1)*$C$16)*(AJ$18&gt;=(Headcount!$E$5:$E$90+Headcount!$G$5:$G$90*$C$15)))/12*(1+Assumptions!$C$97)</f>
        <v>15250</v>
      </c>
      <c r="AK192" s="9" t="n">
        <f aca="false">SUMPRODUCT((Headcount!$C$5:$C$90="SEC")*Headcount!$D$5:$D$90*Headcount!$F$5:$F$90*((Headcount!$I$5:$I$90=0)+(Headcount!$I$5:$I$90=1)*$C$16)*(AK$18&gt;=(Headcount!$E$5:$E$90+Headcount!$G$5:$G$90*$C$15)))/12*(1+Assumptions!$C$97)</f>
        <v>15250</v>
      </c>
      <c r="AL192" s="9" t="n">
        <f aca="false">SUMPRODUCT((Headcount!$C$5:$C$90="SEC")*Headcount!$D$5:$D$90*Headcount!$F$5:$F$90*((Headcount!$I$5:$I$90=0)+(Headcount!$I$5:$I$90=1)*$C$16)*(AL$18&gt;=(Headcount!$E$5:$E$90+Headcount!$G$5:$G$90*$C$15)))/12*(1+Assumptions!$C$97)</f>
        <v>15250</v>
      </c>
      <c r="AN192" s="11" t="n">
        <f aca="false">SUM(C192:N192)</f>
        <v>91500</v>
      </c>
      <c r="AO192" s="11" t="n">
        <f aca="false">SUM(O192:Z192)</f>
        <v>183000</v>
      </c>
      <c r="AP192" s="11" t="n">
        <f aca="false">SUM(AA192:AL192)</f>
        <v>183000</v>
      </c>
    </row>
    <row r="193" customFormat="false" ht="15" hidden="false" customHeight="false" outlineLevel="0" collapsed="false">
      <c r="A193" s="0" t="s">
        <v>994</v>
      </c>
      <c r="B193" s="0" t="s">
        <v>230</v>
      </c>
      <c r="C193" s="9" t="n">
        <f aca="false">SUMPRODUCT((Headcount!$C$5:$C$90="SALES")*Headcount!$D$5:$D$90*Headcount!$F$5:$F$90*((Headcount!$I$5:$I$90=0)+(Headcount!$I$5:$I$90=1)*$C$16)*(C$18&gt;=(Headcount!$E$5:$E$90+Headcount!$G$5:$G$90*$C$15)))/12*(1+Assumptions!$C$97)</f>
        <v>0</v>
      </c>
      <c r="D193" s="9" t="n">
        <f aca="false">SUMPRODUCT((Headcount!$C$5:$C$90="SALES")*Headcount!$D$5:$D$90*Headcount!$F$5:$F$90*((Headcount!$I$5:$I$90=0)+(Headcount!$I$5:$I$90=1)*$C$16)*(D$18&gt;=(Headcount!$E$5:$E$90+Headcount!$G$5:$G$90*$C$15)))/12*(1+Assumptions!$C$97)</f>
        <v>0</v>
      </c>
      <c r="E193" s="9" t="n">
        <f aca="false">SUMPRODUCT((Headcount!$C$5:$C$90="SALES")*Headcount!$D$5:$D$90*Headcount!$F$5:$F$90*((Headcount!$I$5:$I$90=0)+(Headcount!$I$5:$I$90=1)*$C$16)*(E$18&gt;=(Headcount!$E$5:$E$90+Headcount!$G$5:$G$90*$C$15)))/12*(1+Assumptions!$C$97)</f>
        <v>0</v>
      </c>
      <c r="F193" s="9" t="n">
        <f aca="false">SUMPRODUCT((Headcount!$C$5:$C$90="SALES")*Headcount!$D$5:$D$90*Headcount!$F$5:$F$90*((Headcount!$I$5:$I$90=0)+(Headcount!$I$5:$I$90=1)*$C$16)*(F$18&gt;=(Headcount!$E$5:$E$90+Headcount!$G$5:$G$90*$C$15)))/12*(1+Assumptions!$C$97)</f>
        <v>0</v>
      </c>
      <c r="G193" s="9" t="n">
        <f aca="false">SUMPRODUCT((Headcount!$C$5:$C$90="SALES")*Headcount!$D$5:$D$90*Headcount!$F$5:$F$90*((Headcount!$I$5:$I$90=0)+(Headcount!$I$5:$I$90=1)*$C$16)*(G$18&gt;=(Headcount!$E$5:$E$90+Headcount!$G$5:$G$90*$C$15)))/12*(1+Assumptions!$C$97)</f>
        <v>0</v>
      </c>
      <c r="H193" s="9" t="n">
        <f aca="false">SUMPRODUCT((Headcount!$C$5:$C$90="SALES")*Headcount!$D$5:$D$90*Headcount!$F$5:$F$90*((Headcount!$I$5:$I$90=0)+(Headcount!$I$5:$I$90=1)*$C$16)*(H$18&gt;=(Headcount!$E$5:$E$90+Headcount!$G$5:$G$90*$C$15)))/12*(1+Assumptions!$C$97)</f>
        <v>0</v>
      </c>
      <c r="I193" s="9" t="n">
        <f aca="false">SUMPRODUCT((Headcount!$C$5:$C$90="SALES")*Headcount!$D$5:$D$90*Headcount!$F$5:$F$90*((Headcount!$I$5:$I$90=0)+(Headcount!$I$5:$I$90=1)*$C$16)*(I$18&gt;=(Headcount!$E$5:$E$90+Headcount!$G$5:$G$90*$C$15)))/12*(1+Assumptions!$C$97)</f>
        <v>0</v>
      </c>
      <c r="J193" s="9" t="n">
        <f aca="false">SUMPRODUCT((Headcount!$C$5:$C$90="SALES")*Headcount!$D$5:$D$90*Headcount!$F$5:$F$90*((Headcount!$I$5:$I$90=0)+(Headcount!$I$5:$I$90=1)*$C$16)*(J$18&gt;=(Headcount!$E$5:$E$90+Headcount!$G$5:$G$90*$C$15)))/12*(1+Assumptions!$C$97)</f>
        <v>0</v>
      </c>
      <c r="K193" s="9" t="n">
        <f aca="false">SUMPRODUCT((Headcount!$C$5:$C$90="SALES")*Headcount!$D$5:$D$90*Headcount!$F$5:$F$90*((Headcount!$I$5:$I$90=0)+(Headcount!$I$5:$I$90=1)*$C$16)*(K$18&gt;=(Headcount!$E$5:$E$90+Headcount!$G$5:$G$90*$C$15)))/12*(1+Assumptions!$C$97)</f>
        <v>0</v>
      </c>
      <c r="L193" s="9" t="n">
        <f aca="false">SUMPRODUCT((Headcount!$C$5:$C$90="SALES")*Headcount!$D$5:$D$90*Headcount!$F$5:$F$90*((Headcount!$I$5:$I$90=0)+(Headcount!$I$5:$I$90=1)*$C$16)*(L$18&gt;=(Headcount!$E$5:$E$90+Headcount!$G$5:$G$90*$C$15)))/12*(1+Assumptions!$C$97)</f>
        <v>0</v>
      </c>
      <c r="M193" s="9" t="n">
        <f aca="false">SUMPRODUCT((Headcount!$C$5:$C$90="SALES")*Headcount!$D$5:$D$90*Headcount!$F$5:$F$90*((Headcount!$I$5:$I$90=0)+(Headcount!$I$5:$I$90=1)*$C$16)*(M$18&gt;=(Headcount!$E$5:$E$90+Headcount!$G$5:$G$90*$C$15)))/12*(1+Assumptions!$C$97)</f>
        <v>11183.3333333333</v>
      </c>
      <c r="N193" s="9" t="n">
        <f aca="false">SUMPRODUCT((Headcount!$C$5:$C$90="SALES")*Headcount!$D$5:$D$90*Headcount!$F$5:$F$90*((Headcount!$I$5:$I$90=0)+(Headcount!$I$5:$I$90=1)*$C$16)*(N$18&gt;=(Headcount!$E$5:$E$90+Headcount!$G$5:$G$90*$C$15)))/12*(1+Assumptions!$C$97)</f>
        <v>11183.3333333333</v>
      </c>
      <c r="O193" s="9" t="n">
        <f aca="false">SUMPRODUCT((Headcount!$C$5:$C$90="SALES")*Headcount!$D$5:$D$90*Headcount!$F$5:$F$90*((Headcount!$I$5:$I$90=0)+(Headcount!$I$5:$I$90=1)*$C$16)*(O$18&gt;=(Headcount!$E$5:$E$90+Headcount!$G$5:$G$90*$C$15)))/12*(1+Assumptions!$C$97)</f>
        <v>24400</v>
      </c>
      <c r="P193" s="9" t="n">
        <f aca="false">SUMPRODUCT((Headcount!$C$5:$C$90="SALES")*Headcount!$D$5:$D$90*Headcount!$F$5:$F$90*((Headcount!$I$5:$I$90=0)+(Headcount!$I$5:$I$90=1)*$C$16)*(P$18&gt;=(Headcount!$E$5:$E$90+Headcount!$G$5:$G$90*$C$15)))/12*(1+Assumptions!$C$97)</f>
        <v>24400</v>
      </c>
      <c r="Q193" s="9" t="n">
        <f aca="false">SUMPRODUCT((Headcount!$C$5:$C$90="SALES")*Headcount!$D$5:$D$90*Headcount!$F$5:$F$90*((Headcount!$I$5:$I$90=0)+(Headcount!$I$5:$I$90=1)*$C$16)*(Q$18&gt;=(Headcount!$E$5:$E$90+Headcount!$G$5:$G$90*$C$15)))/12*(1+Assumptions!$C$97)</f>
        <v>24400</v>
      </c>
      <c r="R193" s="9" t="n">
        <f aca="false">SUMPRODUCT((Headcount!$C$5:$C$90="SALES")*Headcount!$D$5:$D$90*Headcount!$F$5:$F$90*((Headcount!$I$5:$I$90=0)+(Headcount!$I$5:$I$90=1)*$C$16)*(R$18&gt;=(Headcount!$E$5:$E$90+Headcount!$G$5:$G$90*$C$15)))/12*(1+Assumptions!$C$97)</f>
        <v>24400</v>
      </c>
      <c r="S193" s="9" t="n">
        <f aca="false">SUMPRODUCT((Headcount!$C$5:$C$90="SALES")*Headcount!$D$5:$D$90*Headcount!$F$5:$F$90*((Headcount!$I$5:$I$90=0)+(Headcount!$I$5:$I$90=1)*$C$16)*(S$18&gt;=(Headcount!$E$5:$E$90+Headcount!$G$5:$G$90*$C$15)))/12*(1+Assumptions!$C$97)</f>
        <v>24400</v>
      </c>
      <c r="T193" s="9" t="n">
        <f aca="false">SUMPRODUCT((Headcount!$C$5:$C$90="SALES")*Headcount!$D$5:$D$90*Headcount!$F$5:$F$90*((Headcount!$I$5:$I$90=0)+(Headcount!$I$5:$I$90=1)*$C$16)*(T$18&gt;=(Headcount!$E$5:$E$90+Headcount!$G$5:$G$90*$C$15)))/12*(1+Assumptions!$C$97)</f>
        <v>24400</v>
      </c>
      <c r="U193" s="9" t="n">
        <f aca="false">SUMPRODUCT((Headcount!$C$5:$C$90="SALES")*Headcount!$D$5:$D$90*Headcount!$F$5:$F$90*((Headcount!$I$5:$I$90=0)+(Headcount!$I$5:$I$90=1)*$C$16)*(U$18&gt;=(Headcount!$E$5:$E$90+Headcount!$G$5:$G$90*$C$15)))/12*(1+Assumptions!$C$97)</f>
        <v>24400</v>
      </c>
      <c r="V193" s="9" t="n">
        <f aca="false">SUMPRODUCT((Headcount!$C$5:$C$90="SALES")*Headcount!$D$5:$D$90*Headcount!$F$5:$F$90*((Headcount!$I$5:$I$90=0)+(Headcount!$I$5:$I$90=1)*$C$16)*(V$18&gt;=(Headcount!$E$5:$E$90+Headcount!$G$5:$G$90*$C$15)))/12*(1+Assumptions!$C$97)</f>
        <v>24400</v>
      </c>
      <c r="W193" s="9" t="n">
        <f aca="false">SUMPRODUCT((Headcount!$C$5:$C$90="SALES")*Headcount!$D$5:$D$90*Headcount!$F$5:$F$90*((Headcount!$I$5:$I$90=0)+(Headcount!$I$5:$I$90=1)*$C$16)*(W$18&gt;=(Headcount!$E$5:$E$90+Headcount!$G$5:$G$90*$C$15)))/12*(1+Assumptions!$C$97)</f>
        <v>24400</v>
      </c>
      <c r="X193" s="9" t="n">
        <f aca="false">SUMPRODUCT((Headcount!$C$5:$C$90="SALES")*Headcount!$D$5:$D$90*Headcount!$F$5:$F$90*((Headcount!$I$5:$I$90=0)+(Headcount!$I$5:$I$90=1)*$C$16)*(X$18&gt;=(Headcount!$E$5:$E$90+Headcount!$G$5:$G$90*$C$15)))/12*(1+Assumptions!$C$97)</f>
        <v>35583.3333333333</v>
      </c>
      <c r="Y193" s="9" t="n">
        <f aca="false">SUMPRODUCT((Headcount!$C$5:$C$90="SALES")*Headcount!$D$5:$D$90*Headcount!$F$5:$F$90*((Headcount!$I$5:$I$90=0)+(Headcount!$I$5:$I$90=1)*$C$16)*(Y$18&gt;=(Headcount!$E$5:$E$90+Headcount!$G$5:$G$90*$C$15)))/12*(1+Assumptions!$C$97)</f>
        <v>35583.3333333333</v>
      </c>
      <c r="Z193" s="9" t="n">
        <f aca="false">SUMPRODUCT((Headcount!$C$5:$C$90="SALES")*Headcount!$D$5:$D$90*Headcount!$F$5:$F$90*((Headcount!$I$5:$I$90=0)+(Headcount!$I$5:$I$90=1)*$C$16)*(Z$18&gt;=(Headcount!$E$5:$E$90+Headcount!$G$5:$G$90*$C$15)))/12*(1+Assumptions!$C$97)</f>
        <v>35583.3333333333</v>
      </c>
      <c r="AA193" s="9" t="n">
        <f aca="false">SUMPRODUCT((Headcount!$C$5:$C$90="SALES")*Headcount!$D$5:$D$90*Headcount!$F$5:$F$90*((Headcount!$I$5:$I$90=0)+(Headcount!$I$5:$I$90=1)*$C$16)*(AA$18&gt;=(Headcount!$E$5:$E$90+Headcount!$G$5:$G$90*$C$15)))/12*(1+Assumptions!$C$97)</f>
        <v>35583.3333333333</v>
      </c>
      <c r="AB193" s="9" t="n">
        <f aca="false">SUMPRODUCT((Headcount!$C$5:$C$90="SALES")*Headcount!$D$5:$D$90*Headcount!$F$5:$F$90*((Headcount!$I$5:$I$90=0)+(Headcount!$I$5:$I$90=1)*$C$16)*(AB$18&gt;=(Headcount!$E$5:$E$90+Headcount!$G$5:$G$90*$C$15)))/12*(1+Assumptions!$C$97)</f>
        <v>35583.3333333333</v>
      </c>
      <c r="AC193" s="9" t="n">
        <f aca="false">SUMPRODUCT((Headcount!$C$5:$C$90="SALES")*Headcount!$D$5:$D$90*Headcount!$F$5:$F$90*((Headcount!$I$5:$I$90=0)+(Headcount!$I$5:$I$90=1)*$C$16)*(AC$18&gt;=(Headcount!$E$5:$E$90+Headcount!$G$5:$G$90*$C$15)))/12*(1+Assumptions!$C$97)</f>
        <v>35583.3333333333</v>
      </c>
      <c r="AD193" s="9" t="n">
        <f aca="false">SUMPRODUCT((Headcount!$C$5:$C$90="SALES")*Headcount!$D$5:$D$90*Headcount!$F$5:$F$90*((Headcount!$I$5:$I$90=0)+(Headcount!$I$5:$I$90=1)*$C$16)*(AD$18&gt;=(Headcount!$E$5:$E$90+Headcount!$G$5:$G$90*$C$15)))/12*(1+Assumptions!$C$97)</f>
        <v>46766.6666666667</v>
      </c>
      <c r="AE193" s="9" t="n">
        <f aca="false">SUMPRODUCT((Headcount!$C$5:$C$90="SALES")*Headcount!$D$5:$D$90*Headcount!$F$5:$F$90*((Headcount!$I$5:$I$90=0)+(Headcount!$I$5:$I$90=1)*$C$16)*(AE$18&gt;=(Headcount!$E$5:$E$90+Headcount!$G$5:$G$90*$C$15)))/12*(1+Assumptions!$C$97)</f>
        <v>46766.6666666667</v>
      </c>
      <c r="AF193" s="9" t="n">
        <f aca="false">SUMPRODUCT((Headcount!$C$5:$C$90="SALES")*Headcount!$D$5:$D$90*Headcount!$F$5:$F$90*((Headcount!$I$5:$I$90=0)+(Headcount!$I$5:$I$90=1)*$C$16)*(AF$18&gt;=(Headcount!$E$5:$E$90+Headcount!$G$5:$G$90*$C$15)))/12*(1+Assumptions!$C$97)</f>
        <v>46766.6666666667</v>
      </c>
      <c r="AG193" s="9" t="n">
        <f aca="false">SUMPRODUCT((Headcount!$C$5:$C$90="SALES")*Headcount!$D$5:$D$90*Headcount!$F$5:$F$90*((Headcount!$I$5:$I$90=0)+(Headcount!$I$5:$I$90=1)*$C$16)*(AG$18&gt;=(Headcount!$E$5:$E$90+Headcount!$G$5:$G$90*$C$15)))/12*(1+Assumptions!$C$97)</f>
        <v>46766.6666666667</v>
      </c>
      <c r="AH193" s="9" t="n">
        <f aca="false">SUMPRODUCT((Headcount!$C$5:$C$90="SALES")*Headcount!$D$5:$D$90*Headcount!$F$5:$F$90*((Headcount!$I$5:$I$90=0)+(Headcount!$I$5:$I$90=1)*$C$16)*(AH$18&gt;=(Headcount!$E$5:$E$90+Headcount!$G$5:$G$90*$C$15)))/12*(1+Assumptions!$C$97)</f>
        <v>46766.6666666667</v>
      </c>
      <c r="AI193" s="9" t="n">
        <f aca="false">SUMPRODUCT((Headcount!$C$5:$C$90="SALES")*Headcount!$D$5:$D$90*Headcount!$F$5:$F$90*((Headcount!$I$5:$I$90=0)+(Headcount!$I$5:$I$90=1)*$C$16)*(AI$18&gt;=(Headcount!$E$5:$E$90+Headcount!$G$5:$G$90*$C$15)))/12*(1+Assumptions!$C$97)</f>
        <v>46766.6666666667</v>
      </c>
      <c r="AJ193" s="9" t="n">
        <f aca="false">SUMPRODUCT((Headcount!$C$5:$C$90="SALES")*Headcount!$D$5:$D$90*Headcount!$F$5:$F$90*((Headcount!$I$5:$I$90=0)+(Headcount!$I$5:$I$90=1)*$C$16)*(AJ$18&gt;=(Headcount!$E$5:$E$90+Headcount!$G$5:$G$90*$C$15)))/12*(1+Assumptions!$C$97)</f>
        <v>46766.6666666667</v>
      </c>
      <c r="AK193" s="9" t="n">
        <f aca="false">SUMPRODUCT((Headcount!$C$5:$C$90="SALES")*Headcount!$D$5:$D$90*Headcount!$F$5:$F$90*((Headcount!$I$5:$I$90=0)+(Headcount!$I$5:$I$90=1)*$C$16)*(AK$18&gt;=(Headcount!$E$5:$E$90+Headcount!$G$5:$G$90*$C$15)))/12*(1+Assumptions!$C$97)</f>
        <v>46766.6666666667</v>
      </c>
      <c r="AL193" s="9" t="n">
        <f aca="false">SUMPRODUCT((Headcount!$C$5:$C$90="SALES")*Headcount!$D$5:$D$90*Headcount!$F$5:$F$90*((Headcount!$I$5:$I$90=0)+(Headcount!$I$5:$I$90=1)*$C$16)*(AL$18&gt;=(Headcount!$E$5:$E$90+Headcount!$G$5:$G$90*$C$15)))/12*(1+Assumptions!$C$97)</f>
        <v>46766.6666666667</v>
      </c>
      <c r="AN193" s="11" t="n">
        <f aca="false">SUM(C193:N193)</f>
        <v>22366.6666666667</v>
      </c>
      <c r="AO193" s="11" t="n">
        <f aca="false">SUM(O193:Z193)</f>
        <v>326350</v>
      </c>
      <c r="AP193" s="11" t="n">
        <f aca="false">SUM(AA193:AL193)</f>
        <v>527650</v>
      </c>
    </row>
    <row r="194" customFormat="false" ht="15" hidden="false" customHeight="false" outlineLevel="0" collapsed="false">
      <c r="A194" s="0" t="s">
        <v>995</v>
      </c>
      <c r="B194" s="0" t="s">
        <v>230</v>
      </c>
      <c r="C194" s="9" t="n">
        <f aca="false">SUMPRODUCT((Headcount!$C$5:$C$90="MKT")*Headcount!$D$5:$D$90*Headcount!$F$5:$F$90*((Headcount!$I$5:$I$90=0)+(Headcount!$I$5:$I$90=1)*$C$16)*(C$18&gt;=(Headcount!$E$5:$E$90+Headcount!$G$5:$G$90*$C$15)))/12*(1+Assumptions!$C$97)</f>
        <v>0</v>
      </c>
      <c r="D194" s="9" t="n">
        <f aca="false">SUMPRODUCT((Headcount!$C$5:$C$90="MKT")*Headcount!$D$5:$D$90*Headcount!$F$5:$F$90*((Headcount!$I$5:$I$90=0)+(Headcount!$I$5:$I$90=1)*$C$16)*(D$18&gt;=(Headcount!$E$5:$E$90+Headcount!$G$5:$G$90*$C$15)))/12*(1+Assumptions!$C$97)</f>
        <v>0</v>
      </c>
      <c r="E194" s="9" t="n">
        <f aca="false">SUMPRODUCT((Headcount!$C$5:$C$90="MKT")*Headcount!$D$5:$D$90*Headcount!$F$5:$F$90*((Headcount!$I$5:$I$90=0)+(Headcount!$I$5:$I$90=1)*$C$16)*(E$18&gt;=(Headcount!$E$5:$E$90+Headcount!$G$5:$G$90*$C$15)))/12*(1+Assumptions!$C$97)</f>
        <v>0</v>
      </c>
      <c r="F194" s="9" t="n">
        <f aca="false">SUMPRODUCT((Headcount!$C$5:$C$90="MKT")*Headcount!$D$5:$D$90*Headcount!$F$5:$F$90*((Headcount!$I$5:$I$90=0)+(Headcount!$I$5:$I$90=1)*$C$16)*(F$18&gt;=(Headcount!$E$5:$E$90+Headcount!$G$5:$G$90*$C$15)))/12*(1+Assumptions!$C$97)</f>
        <v>0</v>
      </c>
      <c r="G194" s="9" t="n">
        <f aca="false">SUMPRODUCT((Headcount!$C$5:$C$90="MKT")*Headcount!$D$5:$D$90*Headcount!$F$5:$F$90*((Headcount!$I$5:$I$90=0)+(Headcount!$I$5:$I$90=1)*$C$16)*(G$18&gt;=(Headcount!$E$5:$E$90+Headcount!$G$5:$G$90*$C$15)))/12*(1+Assumptions!$C$97)</f>
        <v>0</v>
      </c>
      <c r="H194" s="9" t="n">
        <f aca="false">SUMPRODUCT((Headcount!$C$5:$C$90="MKT")*Headcount!$D$5:$D$90*Headcount!$F$5:$F$90*((Headcount!$I$5:$I$90=0)+(Headcount!$I$5:$I$90=1)*$C$16)*(H$18&gt;=(Headcount!$E$5:$E$90+Headcount!$G$5:$G$90*$C$15)))/12*(1+Assumptions!$C$97)</f>
        <v>10675</v>
      </c>
      <c r="I194" s="9" t="n">
        <f aca="false">SUMPRODUCT((Headcount!$C$5:$C$90="MKT")*Headcount!$D$5:$D$90*Headcount!$F$5:$F$90*((Headcount!$I$5:$I$90=0)+(Headcount!$I$5:$I$90=1)*$C$16)*(I$18&gt;=(Headcount!$E$5:$E$90+Headcount!$G$5:$G$90*$C$15)))/12*(1+Assumptions!$C$97)</f>
        <v>10675</v>
      </c>
      <c r="J194" s="9" t="n">
        <f aca="false">SUMPRODUCT((Headcount!$C$5:$C$90="MKT")*Headcount!$D$5:$D$90*Headcount!$F$5:$F$90*((Headcount!$I$5:$I$90=0)+(Headcount!$I$5:$I$90=1)*$C$16)*(J$18&gt;=(Headcount!$E$5:$E$90+Headcount!$G$5:$G$90*$C$15)))/12*(1+Assumptions!$C$97)</f>
        <v>10675</v>
      </c>
      <c r="K194" s="9" t="n">
        <f aca="false">SUMPRODUCT((Headcount!$C$5:$C$90="MKT")*Headcount!$D$5:$D$90*Headcount!$F$5:$F$90*((Headcount!$I$5:$I$90=0)+(Headcount!$I$5:$I$90=1)*$C$16)*(K$18&gt;=(Headcount!$E$5:$E$90+Headcount!$G$5:$G$90*$C$15)))/12*(1+Assumptions!$C$97)</f>
        <v>10675</v>
      </c>
      <c r="L194" s="9" t="n">
        <f aca="false">SUMPRODUCT((Headcount!$C$5:$C$90="MKT")*Headcount!$D$5:$D$90*Headcount!$F$5:$F$90*((Headcount!$I$5:$I$90=0)+(Headcount!$I$5:$I$90=1)*$C$16)*(L$18&gt;=(Headcount!$E$5:$E$90+Headcount!$G$5:$G$90*$C$15)))/12*(1+Assumptions!$C$97)</f>
        <v>10675</v>
      </c>
      <c r="M194" s="9" t="n">
        <f aca="false">SUMPRODUCT((Headcount!$C$5:$C$90="MKT")*Headcount!$D$5:$D$90*Headcount!$F$5:$F$90*((Headcount!$I$5:$I$90=0)+(Headcount!$I$5:$I$90=1)*$C$16)*(M$18&gt;=(Headcount!$E$5:$E$90+Headcount!$G$5:$G$90*$C$15)))/12*(1+Assumptions!$C$97)</f>
        <v>10675</v>
      </c>
      <c r="N194" s="9" t="n">
        <f aca="false">SUMPRODUCT((Headcount!$C$5:$C$90="MKT")*Headcount!$D$5:$D$90*Headcount!$F$5:$F$90*((Headcount!$I$5:$I$90=0)+(Headcount!$I$5:$I$90=1)*$C$16)*(N$18&gt;=(Headcount!$E$5:$E$90+Headcount!$G$5:$G$90*$C$15)))/12*(1+Assumptions!$C$97)</f>
        <v>17283.3333333333</v>
      </c>
      <c r="O194" s="9" t="n">
        <f aca="false">SUMPRODUCT((Headcount!$C$5:$C$90="MKT")*Headcount!$D$5:$D$90*Headcount!$F$5:$F$90*((Headcount!$I$5:$I$90=0)+(Headcount!$I$5:$I$90=1)*$C$16)*(O$18&gt;=(Headcount!$E$5:$E$90+Headcount!$G$5:$G$90*$C$15)))/12*(1+Assumptions!$C$97)</f>
        <v>17283.3333333333</v>
      </c>
      <c r="P194" s="9" t="n">
        <f aca="false">SUMPRODUCT((Headcount!$C$5:$C$90="MKT")*Headcount!$D$5:$D$90*Headcount!$F$5:$F$90*((Headcount!$I$5:$I$90=0)+(Headcount!$I$5:$I$90=1)*$C$16)*(P$18&gt;=(Headcount!$E$5:$E$90+Headcount!$G$5:$G$90*$C$15)))/12*(1+Assumptions!$C$97)</f>
        <v>17283.3333333333</v>
      </c>
      <c r="Q194" s="9" t="n">
        <f aca="false">SUMPRODUCT((Headcount!$C$5:$C$90="MKT")*Headcount!$D$5:$D$90*Headcount!$F$5:$F$90*((Headcount!$I$5:$I$90=0)+(Headcount!$I$5:$I$90=1)*$C$16)*(Q$18&gt;=(Headcount!$E$5:$E$90+Headcount!$G$5:$G$90*$C$15)))/12*(1+Assumptions!$C$97)</f>
        <v>17283.3333333333</v>
      </c>
      <c r="R194" s="9" t="n">
        <f aca="false">SUMPRODUCT((Headcount!$C$5:$C$90="MKT")*Headcount!$D$5:$D$90*Headcount!$F$5:$F$90*((Headcount!$I$5:$I$90=0)+(Headcount!$I$5:$I$90=1)*$C$16)*(R$18&gt;=(Headcount!$E$5:$E$90+Headcount!$G$5:$G$90*$C$15)))/12*(1+Assumptions!$C$97)</f>
        <v>17283.3333333333</v>
      </c>
      <c r="S194" s="9" t="n">
        <f aca="false">SUMPRODUCT((Headcount!$C$5:$C$90="MKT")*Headcount!$D$5:$D$90*Headcount!$F$5:$F$90*((Headcount!$I$5:$I$90=0)+(Headcount!$I$5:$I$90=1)*$C$16)*(S$18&gt;=(Headcount!$E$5:$E$90+Headcount!$G$5:$G$90*$C$15)))/12*(1+Assumptions!$C$97)</f>
        <v>17283.3333333333</v>
      </c>
      <c r="T194" s="9" t="n">
        <f aca="false">SUMPRODUCT((Headcount!$C$5:$C$90="MKT")*Headcount!$D$5:$D$90*Headcount!$F$5:$F$90*((Headcount!$I$5:$I$90=0)+(Headcount!$I$5:$I$90=1)*$C$16)*(T$18&gt;=(Headcount!$E$5:$E$90+Headcount!$G$5:$G$90*$C$15)))/12*(1+Assumptions!$C$97)</f>
        <v>17283.3333333333</v>
      </c>
      <c r="U194" s="9" t="n">
        <f aca="false">SUMPRODUCT((Headcount!$C$5:$C$90="MKT")*Headcount!$D$5:$D$90*Headcount!$F$5:$F$90*((Headcount!$I$5:$I$90=0)+(Headcount!$I$5:$I$90=1)*$C$16)*(U$18&gt;=(Headcount!$E$5:$E$90+Headcount!$G$5:$G$90*$C$15)))/12*(1+Assumptions!$C$97)</f>
        <v>17283.3333333333</v>
      </c>
      <c r="V194" s="9" t="n">
        <f aca="false">SUMPRODUCT((Headcount!$C$5:$C$90="MKT")*Headcount!$D$5:$D$90*Headcount!$F$5:$F$90*((Headcount!$I$5:$I$90=0)+(Headcount!$I$5:$I$90=1)*$C$16)*(V$18&gt;=(Headcount!$E$5:$E$90+Headcount!$G$5:$G$90*$C$15)))/12*(1+Assumptions!$C$97)</f>
        <v>25925</v>
      </c>
      <c r="W194" s="9" t="n">
        <f aca="false">SUMPRODUCT((Headcount!$C$5:$C$90="MKT")*Headcount!$D$5:$D$90*Headcount!$F$5:$F$90*((Headcount!$I$5:$I$90=0)+(Headcount!$I$5:$I$90=1)*$C$16)*(W$18&gt;=(Headcount!$E$5:$E$90+Headcount!$G$5:$G$90*$C$15)))/12*(1+Assumptions!$C$97)</f>
        <v>25925</v>
      </c>
      <c r="X194" s="9" t="n">
        <f aca="false">SUMPRODUCT((Headcount!$C$5:$C$90="MKT")*Headcount!$D$5:$D$90*Headcount!$F$5:$F$90*((Headcount!$I$5:$I$90=0)+(Headcount!$I$5:$I$90=1)*$C$16)*(X$18&gt;=(Headcount!$E$5:$E$90+Headcount!$G$5:$G$90*$C$15)))/12*(1+Assumptions!$C$97)</f>
        <v>25925</v>
      </c>
      <c r="Y194" s="9" t="n">
        <f aca="false">SUMPRODUCT((Headcount!$C$5:$C$90="MKT")*Headcount!$D$5:$D$90*Headcount!$F$5:$F$90*((Headcount!$I$5:$I$90=0)+(Headcount!$I$5:$I$90=1)*$C$16)*(Y$18&gt;=(Headcount!$E$5:$E$90+Headcount!$G$5:$G$90*$C$15)))/12*(1+Assumptions!$C$97)</f>
        <v>25925</v>
      </c>
      <c r="Z194" s="9" t="n">
        <f aca="false">SUMPRODUCT((Headcount!$C$5:$C$90="MKT")*Headcount!$D$5:$D$90*Headcount!$F$5:$F$90*((Headcount!$I$5:$I$90=0)+(Headcount!$I$5:$I$90=1)*$C$16)*(Z$18&gt;=(Headcount!$E$5:$E$90+Headcount!$G$5:$G$90*$C$15)))/12*(1+Assumptions!$C$97)</f>
        <v>25925</v>
      </c>
      <c r="AA194" s="9" t="n">
        <f aca="false">SUMPRODUCT((Headcount!$C$5:$C$90="MKT")*Headcount!$D$5:$D$90*Headcount!$F$5:$F$90*((Headcount!$I$5:$I$90=0)+(Headcount!$I$5:$I$90=1)*$C$16)*(AA$18&gt;=(Headcount!$E$5:$E$90+Headcount!$G$5:$G$90*$C$15)))/12*(1+Assumptions!$C$97)</f>
        <v>25925</v>
      </c>
      <c r="AB194" s="9" t="n">
        <f aca="false">SUMPRODUCT((Headcount!$C$5:$C$90="MKT")*Headcount!$D$5:$D$90*Headcount!$F$5:$F$90*((Headcount!$I$5:$I$90=0)+(Headcount!$I$5:$I$90=1)*$C$16)*(AB$18&gt;=(Headcount!$E$5:$E$90+Headcount!$G$5:$G$90*$C$15)))/12*(1+Assumptions!$C$97)</f>
        <v>25925</v>
      </c>
      <c r="AC194" s="9" t="n">
        <f aca="false">SUMPRODUCT((Headcount!$C$5:$C$90="MKT")*Headcount!$D$5:$D$90*Headcount!$F$5:$F$90*((Headcount!$I$5:$I$90=0)+(Headcount!$I$5:$I$90=1)*$C$16)*(AC$18&gt;=(Headcount!$E$5:$E$90+Headcount!$G$5:$G$90*$C$15)))/12*(1+Assumptions!$C$97)</f>
        <v>25925</v>
      </c>
      <c r="AD194" s="9" t="n">
        <f aca="false">SUMPRODUCT((Headcount!$C$5:$C$90="MKT")*Headcount!$D$5:$D$90*Headcount!$F$5:$F$90*((Headcount!$I$5:$I$90=0)+(Headcount!$I$5:$I$90=1)*$C$16)*(AD$18&gt;=(Headcount!$E$5:$E$90+Headcount!$G$5:$G$90*$C$15)))/12*(1+Assumptions!$C$97)</f>
        <v>25925</v>
      </c>
      <c r="AE194" s="9" t="n">
        <f aca="false">SUMPRODUCT((Headcount!$C$5:$C$90="MKT")*Headcount!$D$5:$D$90*Headcount!$F$5:$F$90*((Headcount!$I$5:$I$90=0)+(Headcount!$I$5:$I$90=1)*$C$16)*(AE$18&gt;=(Headcount!$E$5:$E$90+Headcount!$G$5:$G$90*$C$15)))/12*(1+Assumptions!$C$97)</f>
        <v>25925</v>
      </c>
      <c r="AF194" s="9" t="n">
        <f aca="false">SUMPRODUCT((Headcount!$C$5:$C$90="MKT")*Headcount!$D$5:$D$90*Headcount!$F$5:$F$90*((Headcount!$I$5:$I$90=0)+(Headcount!$I$5:$I$90=1)*$C$16)*(AF$18&gt;=(Headcount!$E$5:$E$90+Headcount!$G$5:$G$90*$C$15)))/12*(1+Assumptions!$C$97)</f>
        <v>25925</v>
      </c>
      <c r="AG194" s="9" t="n">
        <f aca="false">SUMPRODUCT((Headcount!$C$5:$C$90="MKT")*Headcount!$D$5:$D$90*Headcount!$F$5:$F$90*((Headcount!$I$5:$I$90=0)+(Headcount!$I$5:$I$90=1)*$C$16)*(AG$18&gt;=(Headcount!$E$5:$E$90+Headcount!$G$5:$G$90*$C$15)))/12*(1+Assumptions!$C$97)</f>
        <v>25925</v>
      </c>
      <c r="AH194" s="9" t="n">
        <f aca="false">SUMPRODUCT((Headcount!$C$5:$C$90="MKT")*Headcount!$D$5:$D$90*Headcount!$F$5:$F$90*((Headcount!$I$5:$I$90=0)+(Headcount!$I$5:$I$90=1)*$C$16)*(AH$18&gt;=(Headcount!$E$5:$E$90+Headcount!$G$5:$G$90*$C$15)))/12*(1+Assumptions!$C$97)</f>
        <v>25925</v>
      </c>
      <c r="AI194" s="9" t="n">
        <f aca="false">SUMPRODUCT((Headcount!$C$5:$C$90="MKT")*Headcount!$D$5:$D$90*Headcount!$F$5:$F$90*((Headcount!$I$5:$I$90=0)+(Headcount!$I$5:$I$90=1)*$C$16)*(AI$18&gt;=(Headcount!$E$5:$E$90+Headcount!$G$5:$G$90*$C$15)))/12*(1+Assumptions!$C$97)</f>
        <v>25925</v>
      </c>
      <c r="AJ194" s="9" t="n">
        <f aca="false">SUMPRODUCT((Headcount!$C$5:$C$90="MKT")*Headcount!$D$5:$D$90*Headcount!$F$5:$F$90*((Headcount!$I$5:$I$90=0)+(Headcount!$I$5:$I$90=1)*$C$16)*(AJ$18&gt;=(Headcount!$E$5:$E$90+Headcount!$G$5:$G$90*$C$15)))/12*(1+Assumptions!$C$97)</f>
        <v>25925</v>
      </c>
      <c r="AK194" s="9" t="n">
        <f aca="false">SUMPRODUCT((Headcount!$C$5:$C$90="MKT")*Headcount!$D$5:$D$90*Headcount!$F$5:$F$90*((Headcount!$I$5:$I$90=0)+(Headcount!$I$5:$I$90=1)*$C$16)*(AK$18&gt;=(Headcount!$E$5:$E$90+Headcount!$G$5:$G$90*$C$15)))/12*(1+Assumptions!$C$97)</f>
        <v>25925</v>
      </c>
      <c r="AL194" s="9" t="n">
        <f aca="false">SUMPRODUCT((Headcount!$C$5:$C$90="MKT")*Headcount!$D$5:$D$90*Headcount!$F$5:$F$90*((Headcount!$I$5:$I$90=0)+(Headcount!$I$5:$I$90=1)*$C$16)*(AL$18&gt;=(Headcount!$E$5:$E$90+Headcount!$G$5:$G$90*$C$15)))/12*(1+Assumptions!$C$97)</f>
        <v>25925</v>
      </c>
      <c r="AN194" s="11" t="n">
        <f aca="false">SUM(C194:N194)</f>
        <v>81333.3333333333</v>
      </c>
      <c r="AO194" s="11" t="n">
        <f aca="false">SUM(O194:Z194)</f>
        <v>250608.333333333</v>
      </c>
      <c r="AP194" s="11" t="n">
        <f aca="false">SUM(AA194:AL194)</f>
        <v>311100</v>
      </c>
    </row>
    <row r="195" customFormat="false" ht="15" hidden="false" customHeight="false" outlineLevel="0" collapsed="false">
      <c r="A195" s="0" t="s">
        <v>996</v>
      </c>
      <c r="B195" s="0" t="s">
        <v>230</v>
      </c>
      <c r="C195" s="9" t="n">
        <f aca="false">SUMPRODUCT((Headcount!$C$5:$C$90="GA")*Headcount!$D$5:$D$90*Headcount!$F$5:$F$90*((Headcount!$I$5:$I$90=0)+(Headcount!$I$5:$I$90=1)*$C$16)*(C$18&gt;=(Headcount!$E$5:$E$90+Headcount!$G$5:$G$90*$C$15)))/12*(1+Assumptions!$C$97)</f>
        <v>15250</v>
      </c>
      <c r="D195" s="9" t="n">
        <f aca="false">SUMPRODUCT((Headcount!$C$5:$C$90="GA")*Headcount!$D$5:$D$90*Headcount!$F$5:$F$90*((Headcount!$I$5:$I$90=0)+(Headcount!$I$5:$I$90=1)*$C$16)*(D$18&gt;=(Headcount!$E$5:$E$90+Headcount!$G$5:$G$90*$C$15)))/12*(1+Assumptions!$C$97)</f>
        <v>15250</v>
      </c>
      <c r="E195" s="9" t="n">
        <f aca="false">SUMPRODUCT((Headcount!$C$5:$C$90="GA")*Headcount!$D$5:$D$90*Headcount!$F$5:$F$90*((Headcount!$I$5:$I$90=0)+(Headcount!$I$5:$I$90=1)*$C$16)*(E$18&gt;=(Headcount!$E$5:$E$90+Headcount!$G$5:$G$90*$C$15)))/12*(1+Assumptions!$C$97)</f>
        <v>15250</v>
      </c>
      <c r="F195" s="9" t="n">
        <f aca="false">SUMPRODUCT((Headcount!$C$5:$C$90="GA")*Headcount!$D$5:$D$90*Headcount!$F$5:$F$90*((Headcount!$I$5:$I$90=0)+(Headcount!$I$5:$I$90=1)*$C$16)*(F$18&gt;=(Headcount!$E$5:$E$90+Headcount!$G$5:$G$90*$C$15)))/12*(1+Assumptions!$C$97)</f>
        <v>15250</v>
      </c>
      <c r="G195" s="9" t="n">
        <f aca="false">SUMPRODUCT((Headcount!$C$5:$C$90="GA")*Headcount!$D$5:$D$90*Headcount!$F$5:$F$90*((Headcount!$I$5:$I$90=0)+(Headcount!$I$5:$I$90=1)*$C$16)*(G$18&gt;=(Headcount!$E$5:$E$90+Headcount!$G$5:$G$90*$C$15)))/12*(1+Assumptions!$C$97)</f>
        <v>15250</v>
      </c>
      <c r="H195" s="9" t="n">
        <f aca="false">SUMPRODUCT((Headcount!$C$5:$C$90="GA")*Headcount!$D$5:$D$90*Headcount!$F$5:$F$90*((Headcount!$I$5:$I$90=0)+(Headcount!$I$5:$I$90=1)*$C$16)*(H$18&gt;=(Headcount!$E$5:$E$90+Headcount!$G$5:$G$90*$C$15)))/12*(1+Assumptions!$C$97)</f>
        <v>15250</v>
      </c>
      <c r="I195" s="9" t="n">
        <f aca="false">SUMPRODUCT((Headcount!$C$5:$C$90="GA")*Headcount!$D$5:$D$90*Headcount!$F$5:$F$90*((Headcount!$I$5:$I$90=0)+(Headcount!$I$5:$I$90=1)*$C$16)*(I$18&gt;=(Headcount!$E$5:$E$90+Headcount!$G$5:$G$90*$C$15)))/12*(1+Assumptions!$C$97)</f>
        <v>15250</v>
      </c>
      <c r="J195" s="9" t="n">
        <f aca="false">SUMPRODUCT((Headcount!$C$5:$C$90="GA")*Headcount!$D$5:$D$90*Headcount!$F$5:$F$90*((Headcount!$I$5:$I$90=0)+(Headcount!$I$5:$I$90=1)*$C$16)*(J$18&gt;=(Headcount!$E$5:$E$90+Headcount!$G$5:$G$90*$C$15)))/12*(1+Assumptions!$C$97)</f>
        <v>15250</v>
      </c>
      <c r="K195" s="9" t="n">
        <f aca="false">SUMPRODUCT((Headcount!$C$5:$C$90="GA")*Headcount!$D$5:$D$90*Headcount!$F$5:$F$90*((Headcount!$I$5:$I$90=0)+(Headcount!$I$5:$I$90=1)*$C$16)*(K$18&gt;=(Headcount!$E$5:$E$90+Headcount!$G$5:$G$90*$C$15)))/12*(1+Assumptions!$C$97)</f>
        <v>27958.3333333333</v>
      </c>
      <c r="L195" s="9" t="n">
        <f aca="false">SUMPRODUCT((Headcount!$C$5:$C$90="GA")*Headcount!$D$5:$D$90*Headcount!$F$5:$F$90*((Headcount!$I$5:$I$90=0)+(Headcount!$I$5:$I$90=1)*$C$16)*(L$18&gt;=(Headcount!$E$5:$E$90+Headcount!$G$5:$G$90*$C$15)))/12*(1+Assumptions!$C$97)</f>
        <v>27958.3333333333</v>
      </c>
      <c r="M195" s="9" t="n">
        <f aca="false">SUMPRODUCT((Headcount!$C$5:$C$90="GA")*Headcount!$D$5:$D$90*Headcount!$F$5:$F$90*((Headcount!$I$5:$I$90=0)+(Headcount!$I$5:$I$90=1)*$C$16)*(M$18&gt;=(Headcount!$E$5:$E$90+Headcount!$G$5:$G$90*$C$15)))/12*(1+Assumptions!$C$97)</f>
        <v>27958.3333333333</v>
      </c>
      <c r="N195" s="9" t="n">
        <f aca="false">SUMPRODUCT((Headcount!$C$5:$C$90="GA")*Headcount!$D$5:$D$90*Headcount!$F$5:$F$90*((Headcount!$I$5:$I$90=0)+(Headcount!$I$5:$I$90=1)*$C$16)*(N$18&gt;=(Headcount!$E$5:$E$90+Headcount!$G$5:$G$90*$C$15)))/12*(1+Assumptions!$C$97)</f>
        <v>27958.3333333333</v>
      </c>
      <c r="O195" s="9" t="n">
        <f aca="false">SUMPRODUCT((Headcount!$C$5:$C$90="GA")*Headcount!$D$5:$D$90*Headcount!$F$5:$F$90*((Headcount!$I$5:$I$90=0)+(Headcount!$I$5:$I$90=1)*$C$16)*(O$18&gt;=(Headcount!$E$5:$E$90+Headcount!$G$5:$G$90*$C$15)))/12*(1+Assumptions!$C$97)</f>
        <v>27958.3333333333</v>
      </c>
      <c r="P195" s="9" t="n">
        <f aca="false">SUMPRODUCT((Headcount!$C$5:$C$90="GA")*Headcount!$D$5:$D$90*Headcount!$F$5:$F$90*((Headcount!$I$5:$I$90=0)+(Headcount!$I$5:$I$90=1)*$C$16)*(P$18&gt;=(Headcount!$E$5:$E$90+Headcount!$G$5:$G$90*$C$15)))/12*(1+Assumptions!$C$97)</f>
        <v>27958.3333333333</v>
      </c>
      <c r="Q195" s="9" t="n">
        <f aca="false">SUMPRODUCT((Headcount!$C$5:$C$90="GA")*Headcount!$D$5:$D$90*Headcount!$F$5:$F$90*((Headcount!$I$5:$I$90=0)+(Headcount!$I$5:$I$90=1)*$C$16)*(Q$18&gt;=(Headcount!$E$5:$E$90+Headcount!$G$5:$G$90*$C$15)))/12*(1+Assumptions!$C$97)</f>
        <v>40158.3333333333</v>
      </c>
      <c r="R195" s="9" t="n">
        <f aca="false">SUMPRODUCT((Headcount!$C$5:$C$90="GA")*Headcount!$D$5:$D$90*Headcount!$F$5:$F$90*((Headcount!$I$5:$I$90=0)+(Headcount!$I$5:$I$90=1)*$C$16)*(R$18&gt;=(Headcount!$E$5:$E$90+Headcount!$G$5:$G$90*$C$15)))/12*(1+Assumptions!$C$97)</f>
        <v>40158.3333333333</v>
      </c>
      <c r="S195" s="9" t="n">
        <f aca="false">SUMPRODUCT((Headcount!$C$5:$C$90="GA")*Headcount!$D$5:$D$90*Headcount!$F$5:$F$90*((Headcount!$I$5:$I$90=0)+(Headcount!$I$5:$I$90=1)*$C$16)*(S$18&gt;=(Headcount!$E$5:$E$90+Headcount!$G$5:$G$90*$C$15)))/12*(1+Assumptions!$C$97)</f>
        <v>40158.3333333333</v>
      </c>
      <c r="T195" s="9" t="n">
        <f aca="false">SUMPRODUCT((Headcount!$C$5:$C$90="GA")*Headcount!$D$5:$D$90*Headcount!$F$5:$F$90*((Headcount!$I$5:$I$90=0)+(Headcount!$I$5:$I$90=1)*$C$16)*(T$18&gt;=(Headcount!$E$5:$E$90+Headcount!$G$5:$G$90*$C$15)))/12*(1+Assumptions!$C$97)</f>
        <v>40158.3333333333</v>
      </c>
      <c r="U195" s="9" t="n">
        <f aca="false">SUMPRODUCT((Headcount!$C$5:$C$90="GA")*Headcount!$D$5:$D$90*Headcount!$F$5:$F$90*((Headcount!$I$5:$I$90=0)+(Headcount!$I$5:$I$90=1)*$C$16)*(U$18&gt;=(Headcount!$E$5:$E$90+Headcount!$G$5:$G$90*$C$15)))/12*(1+Assumptions!$C$97)</f>
        <v>40158.3333333333</v>
      </c>
      <c r="V195" s="9" t="n">
        <f aca="false">SUMPRODUCT((Headcount!$C$5:$C$90="GA")*Headcount!$D$5:$D$90*Headcount!$F$5:$F$90*((Headcount!$I$5:$I$90=0)+(Headcount!$I$5:$I$90=1)*$C$16)*(V$18&gt;=(Headcount!$E$5:$E$90+Headcount!$G$5:$G$90*$C$15)))/12*(1+Assumptions!$C$97)</f>
        <v>40158.3333333333</v>
      </c>
      <c r="W195" s="9" t="n">
        <f aca="false">SUMPRODUCT((Headcount!$C$5:$C$90="GA")*Headcount!$D$5:$D$90*Headcount!$F$5:$F$90*((Headcount!$I$5:$I$90=0)+(Headcount!$I$5:$I$90=1)*$C$16)*(W$18&gt;=(Headcount!$E$5:$E$90+Headcount!$G$5:$G$90*$C$15)))/12*(1+Assumptions!$C$97)</f>
        <v>40158.3333333333</v>
      </c>
      <c r="X195" s="9" t="n">
        <f aca="false">SUMPRODUCT((Headcount!$C$5:$C$90="GA")*Headcount!$D$5:$D$90*Headcount!$F$5:$F$90*((Headcount!$I$5:$I$90=0)+(Headcount!$I$5:$I$90=1)*$C$16)*(X$18&gt;=(Headcount!$E$5:$E$90+Headcount!$G$5:$G$90*$C$15)))/12*(1+Assumptions!$C$97)</f>
        <v>40158.3333333333</v>
      </c>
      <c r="Y195" s="9" t="n">
        <f aca="false">SUMPRODUCT((Headcount!$C$5:$C$90="GA")*Headcount!$D$5:$D$90*Headcount!$F$5:$F$90*((Headcount!$I$5:$I$90=0)+(Headcount!$I$5:$I$90=1)*$C$16)*(Y$18&gt;=(Headcount!$E$5:$E$90+Headcount!$G$5:$G$90*$C$15)))/12*(1+Assumptions!$C$97)</f>
        <v>40158.3333333333</v>
      </c>
      <c r="Z195" s="9" t="n">
        <f aca="false">SUMPRODUCT((Headcount!$C$5:$C$90="GA")*Headcount!$D$5:$D$90*Headcount!$F$5:$F$90*((Headcount!$I$5:$I$90=0)+(Headcount!$I$5:$I$90=1)*$C$16)*(Z$18&gt;=(Headcount!$E$5:$E$90+Headcount!$G$5:$G$90*$C$15)))/12*(1+Assumptions!$C$97)</f>
        <v>48800</v>
      </c>
      <c r="AA195" s="9" t="n">
        <f aca="false">SUMPRODUCT((Headcount!$C$5:$C$90="GA")*Headcount!$D$5:$D$90*Headcount!$F$5:$F$90*((Headcount!$I$5:$I$90=0)+(Headcount!$I$5:$I$90=1)*$C$16)*(AA$18&gt;=(Headcount!$E$5:$E$90+Headcount!$G$5:$G$90*$C$15)))/12*(1+Assumptions!$C$97)</f>
        <v>48800</v>
      </c>
      <c r="AB195" s="9" t="n">
        <f aca="false">SUMPRODUCT((Headcount!$C$5:$C$90="GA")*Headcount!$D$5:$D$90*Headcount!$F$5:$F$90*((Headcount!$I$5:$I$90=0)+(Headcount!$I$5:$I$90=1)*$C$16)*(AB$18&gt;=(Headcount!$E$5:$E$90+Headcount!$G$5:$G$90*$C$15)))/12*(1+Assumptions!$C$97)</f>
        <v>48800</v>
      </c>
      <c r="AC195" s="9" t="n">
        <f aca="false">SUMPRODUCT((Headcount!$C$5:$C$90="GA")*Headcount!$D$5:$D$90*Headcount!$F$5:$F$90*((Headcount!$I$5:$I$90=0)+(Headcount!$I$5:$I$90=1)*$C$16)*(AC$18&gt;=(Headcount!$E$5:$E$90+Headcount!$G$5:$G$90*$C$15)))/12*(1+Assumptions!$C$97)</f>
        <v>48800</v>
      </c>
      <c r="AD195" s="9" t="n">
        <f aca="false">SUMPRODUCT((Headcount!$C$5:$C$90="GA")*Headcount!$D$5:$D$90*Headcount!$F$5:$F$90*((Headcount!$I$5:$I$90=0)+(Headcount!$I$5:$I$90=1)*$C$16)*(AD$18&gt;=(Headcount!$E$5:$E$90+Headcount!$G$5:$G$90*$C$15)))/12*(1+Assumptions!$C$97)</f>
        <v>48800</v>
      </c>
      <c r="AE195" s="9" t="n">
        <f aca="false">SUMPRODUCT((Headcount!$C$5:$C$90="GA")*Headcount!$D$5:$D$90*Headcount!$F$5:$F$90*((Headcount!$I$5:$I$90=0)+(Headcount!$I$5:$I$90=1)*$C$16)*(AE$18&gt;=(Headcount!$E$5:$E$90+Headcount!$G$5:$G$90*$C$15)))/12*(1+Assumptions!$C$97)</f>
        <v>48800</v>
      </c>
      <c r="AF195" s="9" t="n">
        <f aca="false">SUMPRODUCT((Headcount!$C$5:$C$90="GA")*Headcount!$D$5:$D$90*Headcount!$F$5:$F$90*((Headcount!$I$5:$I$90=0)+(Headcount!$I$5:$I$90=1)*$C$16)*(AF$18&gt;=(Headcount!$E$5:$E$90+Headcount!$G$5:$G$90*$C$15)))/12*(1+Assumptions!$C$97)</f>
        <v>48800</v>
      </c>
      <c r="AG195" s="9" t="n">
        <f aca="false">SUMPRODUCT((Headcount!$C$5:$C$90="GA")*Headcount!$D$5:$D$90*Headcount!$F$5:$F$90*((Headcount!$I$5:$I$90=0)+(Headcount!$I$5:$I$90=1)*$C$16)*(AG$18&gt;=(Headcount!$E$5:$E$90+Headcount!$G$5:$G$90*$C$15)))/12*(1+Assumptions!$C$97)</f>
        <v>48800</v>
      </c>
      <c r="AH195" s="9" t="n">
        <f aca="false">SUMPRODUCT((Headcount!$C$5:$C$90="GA")*Headcount!$D$5:$D$90*Headcount!$F$5:$F$90*((Headcount!$I$5:$I$90=0)+(Headcount!$I$5:$I$90=1)*$C$16)*(AH$18&gt;=(Headcount!$E$5:$E$90+Headcount!$G$5:$G$90*$C$15)))/12*(1+Assumptions!$C$97)</f>
        <v>48800</v>
      </c>
      <c r="AI195" s="9" t="n">
        <f aca="false">SUMPRODUCT((Headcount!$C$5:$C$90="GA")*Headcount!$D$5:$D$90*Headcount!$F$5:$F$90*((Headcount!$I$5:$I$90=0)+(Headcount!$I$5:$I$90=1)*$C$16)*(AI$18&gt;=(Headcount!$E$5:$E$90+Headcount!$G$5:$G$90*$C$15)))/12*(1+Assumptions!$C$97)</f>
        <v>48800</v>
      </c>
      <c r="AJ195" s="9" t="n">
        <f aca="false">SUMPRODUCT((Headcount!$C$5:$C$90="GA")*Headcount!$D$5:$D$90*Headcount!$F$5:$F$90*((Headcount!$I$5:$I$90=0)+(Headcount!$I$5:$I$90=1)*$C$16)*(AJ$18&gt;=(Headcount!$E$5:$E$90+Headcount!$G$5:$G$90*$C$15)))/12*(1+Assumptions!$C$97)</f>
        <v>48800</v>
      </c>
      <c r="AK195" s="9" t="n">
        <f aca="false">SUMPRODUCT((Headcount!$C$5:$C$90="GA")*Headcount!$D$5:$D$90*Headcount!$F$5:$F$90*((Headcount!$I$5:$I$90=0)+(Headcount!$I$5:$I$90=1)*$C$16)*(AK$18&gt;=(Headcount!$E$5:$E$90+Headcount!$G$5:$G$90*$C$15)))/12*(1+Assumptions!$C$97)</f>
        <v>48800</v>
      </c>
      <c r="AL195" s="9" t="n">
        <f aca="false">SUMPRODUCT((Headcount!$C$5:$C$90="GA")*Headcount!$D$5:$D$90*Headcount!$F$5:$F$90*((Headcount!$I$5:$I$90=0)+(Headcount!$I$5:$I$90=1)*$C$16)*(AL$18&gt;=(Headcount!$E$5:$E$90+Headcount!$G$5:$G$90*$C$15)))/12*(1+Assumptions!$C$97)</f>
        <v>48800</v>
      </c>
      <c r="AN195" s="11" t="n">
        <f aca="false">SUM(C195:N195)</f>
        <v>233833.333333333</v>
      </c>
      <c r="AO195" s="11" t="n">
        <f aca="false">SUM(O195:Z195)</f>
        <v>466141.666666667</v>
      </c>
      <c r="AP195" s="11" t="n">
        <f aca="false">SUM(AA195:AL195)</f>
        <v>585600</v>
      </c>
    </row>
    <row r="196" customFormat="false" ht="15" hidden="false" customHeight="false" outlineLevel="0" collapsed="false">
      <c r="A196" s="0" t="s">
        <v>997</v>
      </c>
      <c r="B196" s="0" t="s">
        <v>618</v>
      </c>
      <c r="C196" s="13" t="n">
        <f aca="false">SUMPRODUCT(Headcount!$D$5:$D$90*((Headcount!$I$5:$I$90=0)+(Headcount!$I$5:$I$90=1)*$C$16)*(C$18&gt;=(Headcount!$E$5:$E$90+Headcount!$G$5:$G$90*$C$15)))</f>
        <v>4.4</v>
      </c>
      <c r="D196" s="13" t="n">
        <f aca="false">SUMPRODUCT(Headcount!$D$5:$D$90*((Headcount!$I$5:$I$90=0)+(Headcount!$I$5:$I$90=1)*$C$16)*(D$18&gt;=(Headcount!$E$5:$E$90+Headcount!$G$5:$G$90*$C$15)))</f>
        <v>4.4</v>
      </c>
      <c r="E196" s="13" t="n">
        <f aca="false">SUMPRODUCT(Headcount!$D$5:$D$90*((Headcount!$I$5:$I$90=0)+(Headcount!$I$5:$I$90=1)*$C$16)*(E$18&gt;=(Headcount!$E$5:$E$90+Headcount!$G$5:$G$90*$C$15)))</f>
        <v>5.4</v>
      </c>
      <c r="F196" s="13" t="n">
        <f aca="false">SUMPRODUCT(Headcount!$D$5:$D$90*((Headcount!$I$5:$I$90=0)+(Headcount!$I$5:$I$90=1)*$C$16)*(F$18&gt;=(Headcount!$E$5:$E$90+Headcount!$G$5:$G$90*$C$15)))</f>
        <v>6.4</v>
      </c>
      <c r="G196" s="13" t="n">
        <f aca="false">SUMPRODUCT(Headcount!$D$5:$D$90*((Headcount!$I$5:$I$90=0)+(Headcount!$I$5:$I$90=1)*$C$16)*(G$18&gt;=(Headcount!$E$5:$E$90+Headcount!$G$5:$G$90*$C$15)))</f>
        <v>8.4</v>
      </c>
      <c r="H196" s="13" t="n">
        <f aca="false">SUMPRODUCT(Headcount!$D$5:$D$90*((Headcount!$I$5:$I$90=0)+(Headcount!$I$5:$I$90=1)*$C$16)*(H$18&gt;=(Headcount!$E$5:$E$90+Headcount!$G$5:$G$90*$C$15)))</f>
        <v>10.4</v>
      </c>
      <c r="I196" s="13" t="n">
        <f aca="false">SUMPRODUCT(Headcount!$D$5:$D$90*((Headcount!$I$5:$I$90=0)+(Headcount!$I$5:$I$90=1)*$C$16)*(I$18&gt;=(Headcount!$E$5:$E$90+Headcount!$G$5:$G$90*$C$15)))</f>
        <v>11.4</v>
      </c>
      <c r="J196" s="13" t="n">
        <f aca="false">SUMPRODUCT(Headcount!$D$5:$D$90*((Headcount!$I$5:$I$90=0)+(Headcount!$I$5:$I$90=1)*$C$16)*(J$18&gt;=(Headcount!$E$5:$E$90+Headcount!$G$5:$G$90*$C$15)))</f>
        <v>11.4</v>
      </c>
      <c r="K196" s="13" t="n">
        <f aca="false">SUMPRODUCT(Headcount!$D$5:$D$90*((Headcount!$I$5:$I$90=0)+(Headcount!$I$5:$I$90=1)*$C$16)*(K$18&gt;=(Headcount!$E$5:$E$90+Headcount!$G$5:$G$90*$C$15)))</f>
        <v>14.4</v>
      </c>
      <c r="L196" s="13" t="n">
        <f aca="false">SUMPRODUCT(Headcount!$D$5:$D$90*((Headcount!$I$5:$I$90=0)+(Headcount!$I$5:$I$90=1)*$C$16)*(L$18&gt;=(Headcount!$E$5:$E$90+Headcount!$G$5:$G$90*$C$15)))</f>
        <v>15.4</v>
      </c>
      <c r="M196" s="13" t="n">
        <f aca="false">SUMPRODUCT(Headcount!$D$5:$D$90*((Headcount!$I$5:$I$90=0)+(Headcount!$I$5:$I$90=1)*$C$16)*(M$18&gt;=(Headcount!$E$5:$E$90+Headcount!$G$5:$G$90*$C$15)))</f>
        <v>17.4</v>
      </c>
      <c r="N196" s="13" t="n">
        <f aca="false">SUMPRODUCT(Headcount!$D$5:$D$90*((Headcount!$I$5:$I$90=0)+(Headcount!$I$5:$I$90=1)*$C$16)*(N$18&gt;=(Headcount!$E$5:$E$90+Headcount!$G$5:$G$90*$C$15)))</f>
        <v>18.4</v>
      </c>
      <c r="O196" s="13" t="n">
        <f aca="false">SUMPRODUCT(Headcount!$D$5:$D$90*((Headcount!$I$5:$I$90=0)+(Headcount!$I$5:$I$90=1)*$C$16)*(O$18&gt;=(Headcount!$E$5:$E$90+Headcount!$G$5:$G$90*$C$15)))</f>
        <v>20.4</v>
      </c>
      <c r="P196" s="13" t="n">
        <f aca="false">SUMPRODUCT(Headcount!$D$5:$D$90*((Headcount!$I$5:$I$90=0)+(Headcount!$I$5:$I$90=1)*$C$16)*(P$18&gt;=(Headcount!$E$5:$E$90+Headcount!$G$5:$G$90*$C$15)))</f>
        <v>21.4</v>
      </c>
      <c r="Q196" s="13" t="n">
        <f aca="false">SUMPRODUCT(Headcount!$D$5:$D$90*((Headcount!$I$5:$I$90=0)+(Headcount!$I$5:$I$90=1)*$C$16)*(Q$18&gt;=(Headcount!$E$5:$E$90+Headcount!$G$5:$G$90*$C$15)))</f>
        <v>23.4</v>
      </c>
      <c r="R196" s="13" t="n">
        <f aca="false">SUMPRODUCT(Headcount!$D$5:$D$90*((Headcount!$I$5:$I$90=0)+(Headcount!$I$5:$I$90=1)*$C$16)*(R$18&gt;=(Headcount!$E$5:$E$90+Headcount!$G$5:$G$90*$C$15)))</f>
        <v>23.4</v>
      </c>
      <c r="S196" s="13" t="n">
        <f aca="false">SUMPRODUCT(Headcount!$D$5:$D$90*((Headcount!$I$5:$I$90=0)+(Headcount!$I$5:$I$90=1)*$C$16)*(S$18&gt;=(Headcount!$E$5:$E$90+Headcount!$G$5:$G$90*$C$15)))</f>
        <v>23.4</v>
      </c>
      <c r="T196" s="13" t="n">
        <f aca="false">SUMPRODUCT(Headcount!$D$5:$D$90*((Headcount!$I$5:$I$90=0)+(Headcount!$I$5:$I$90=1)*$C$16)*(T$18&gt;=(Headcount!$E$5:$E$90+Headcount!$G$5:$G$90*$C$15)))</f>
        <v>25.4</v>
      </c>
      <c r="U196" s="13" t="n">
        <f aca="false">SUMPRODUCT(Headcount!$D$5:$D$90*((Headcount!$I$5:$I$90=0)+(Headcount!$I$5:$I$90=1)*$C$16)*(U$18&gt;=(Headcount!$E$5:$E$90+Headcount!$G$5:$G$90*$C$15)))</f>
        <v>26.4</v>
      </c>
      <c r="V196" s="13" t="n">
        <f aca="false">SUMPRODUCT(Headcount!$D$5:$D$90*((Headcount!$I$5:$I$90=0)+(Headcount!$I$5:$I$90=1)*$C$16)*(V$18&gt;=(Headcount!$E$5:$E$90+Headcount!$G$5:$G$90*$C$15)))</f>
        <v>28.4</v>
      </c>
      <c r="W196" s="13" t="n">
        <f aca="false">SUMPRODUCT(Headcount!$D$5:$D$90*((Headcount!$I$5:$I$90=0)+(Headcount!$I$5:$I$90=1)*$C$16)*(W$18&gt;=(Headcount!$E$5:$E$90+Headcount!$G$5:$G$90*$C$15)))</f>
        <v>28.4</v>
      </c>
      <c r="X196" s="13" t="n">
        <f aca="false">SUMPRODUCT(Headcount!$D$5:$D$90*((Headcount!$I$5:$I$90=0)+(Headcount!$I$5:$I$90=1)*$C$16)*(X$18&gt;=(Headcount!$E$5:$E$90+Headcount!$G$5:$G$90*$C$15)))</f>
        <v>30.4</v>
      </c>
      <c r="Y196" s="13" t="n">
        <f aca="false">SUMPRODUCT(Headcount!$D$5:$D$90*((Headcount!$I$5:$I$90=0)+(Headcount!$I$5:$I$90=1)*$C$16)*(Y$18&gt;=(Headcount!$E$5:$E$90+Headcount!$G$5:$G$90*$C$15)))</f>
        <v>30.4</v>
      </c>
      <c r="Z196" s="13" t="n">
        <f aca="false">SUMPRODUCT(Headcount!$D$5:$D$90*((Headcount!$I$5:$I$90=0)+(Headcount!$I$5:$I$90=1)*$C$16)*(Z$18&gt;=(Headcount!$E$5:$E$90+Headcount!$G$5:$G$90*$C$15)))</f>
        <v>31.4</v>
      </c>
      <c r="AA196" s="13" t="n">
        <f aca="false">SUMPRODUCT(Headcount!$D$5:$D$90*((Headcount!$I$5:$I$90=0)+(Headcount!$I$5:$I$90=1)*$C$16)*(AA$18&gt;=(Headcount!$E$5:$E$90+Headcount!$G$5:$G$90*$C$15)))</f>
        <v>32.4</v>
      </c>
      <c r="AB196" s="13" t="n">
        <f aca="false">SUMPRODUCT(Headcount!$D$5:$D$90*((Headcount!$I$5:$I$90=0)+(Headcount!$I$5:$I$90=1)*$C$16)*(AB$18&gt;=(Headcount!$E$5:$E$90+Headcount!$G$5:$G$90*$C$15)))</f>
        <v>34.4</v>
      </c>
      <c r="AC196" s="13" t="n">
        <f aca="false">SUMPRODUCT(Headcount!$D$5:$D$90*((Headcount!$I$5:$I$90=0)+(Headcount!$I$5:$I$90=1)*$C$16)*(AC$18&gt;=(Headcount!$E$5:$E$90+Headcount!$G$5:$G$90*$C$15)))</f>
        <v>34.4</v>
      </c>
      <c r="AD196" s="13" t="n">
        <f aca="false">SUMPRODUCT(Headcount!$D$5:$D$90*((Headcount!$I$5:$I$90=0)+(Headcount!$I$5:$I$90=1)*$C$16)*(AD$18&gt;=(Headcount!$E$5:$E$90+Headcount!$G$5:$G$90*$C$15)))</f>
        <v>36.4</v>
      </c>
      <c r="AE196" s="13" t="n">
        <f aca="false">SUMPRODUCT(Headcount!$D$5:$D$90*((Headcount!$I$5:$I$90=0)+(Headcount!$I$5:$I$90=1)*$C$16)*(AE$18&gt;=(Headcount!$E$5:$E$90+Headcount!$G$5:$G$90*$C$15)))</f>
        <v>36.4</v>
      </c>
      <c r="AF196" s="13" t="n">
        <f aca="false">SUMPRODUCT(Headcount!$D$5:$D$90*((Headcount!$I$5:$I$90=0)+(Headcount!$I$5:$I$90=1)*$C$16)*(AF$18&gt;=(Headcount!$E$5:$E$90+Headcount!$G$5:$G$90*$C$15)))</f>
        <v>37.4</v>
      </c>
      <c r="AG196" s="13" t="n">
        <f aca="false">SUMPRODUCT(Headcount!$D$5:$D$90*((Headcount!$I$5:$I$90=0)+(Headcount!$I$5:$I$90=1)*$C$16)*(AG$18&gt;=(Headcount!$E$5:$E$90+Headcount!$G$5:$G$90*$C$15)))</f>
        <v>38.4</v>
      </c>
      <c r="AH196" s="13" t="n">
        <f aca="false">SUMPRODUCT(Headcount!$D$5:$D$90*((Headcount!$I$5:$I$90=0)+(Headcount!$I$5:$I$90=1)*$C$16)*(AH$18&gt;=(Headcount!$E$5:$E$90+Headcount!$G$5:$G$90*$C$15)))</f>
        <v>39.4</v>
      </c>
      <c r="AI196" s="13" t="n">
        <f aca="false">SUMPRODUCT(Headcount!$D$5:$D$90*((Headcount!$I$5:$I$90=0)+(Headcount!$I$5:$I$90=1)*$C$16)*(AI$18&gt;=(Headcount!$E$5:$E$90+Headcount!$G$5:$G$90*$C$15)))</f>
        <v>40.4</v>
      </c>
      <c r="AJ196" s="13" t="n">
        <f aca="false">SUMPRODUCT(Headcount!$D$5:$D$90*((Headcount!$I$5:$I$90=0)+(Headcount!$I$5:$I$90=1)*$C$16)*(AJ$18&gt;=(Headcount!$E$5:$E$90+Headcount!$G$5:$G$90*$C$15)))</f>
        <v>40.4</v>
      </c>
      <c r="AK196" s="13" t="n">
        <f aca="false">SUMPRODUCT(Headcount!$D$5:$D$90*((Headcount!$I$5:$I$90=0)+(Headcount!$I$5:$I$90=1)*$C$16)*(AK$18&gt;=(Headcount!$E$5:$E$90+Headcount!$G$5:$G$90*$C$15)))</f>
        <v>40.4</v>
      </c>
      <c r="AL196" s="13" t="n">
        <f aca="false">SUMPRODUCT(Headcount!$D$5:$D$90*((Headcount!$I$5:$I$90=0)+(Headcount!$I$5:$I$90=1)*$C$16)*(AL$18&gt;=(Headcount!$E$5:$E$90+Headcount!$G$5:$G$90*$C$15)))</f>
        <v>40.4</v>
      </c>
      <c r="AN196" s="37" t="n">
        <f aca="false">N196</f>
        <v>18.4</v>
      </c>
      <c r="AO196" s="37" t="n">
        <f aca="false">Z196</f>
        <v>31.4</v>
      </c>
      <c r="AP196" s="37" t="n">
        <f aca="false">AL196</f>
        <v>40.4</v>
      </c>
    </row>
    <row r="197" customFormat="false" ht="15" hidden="false" customHeight="false" outlineLevel="0" collapsed="false">
      <c r="A197" s="0" t="s">
        <v>998</v>
      </c>
      <c r="B197" s="0" t="s">
        <v>618</v>
      </c>
      <c r="C197" s="13" t="n">
        <f aca="false">SUMPRODUCT(Headcount!$D$5:$D$90*(Headcount!$C$5:$C$90="IMPL")*((Headcount!$I$5:$I$90=0)+(Headcount!$I$5:$I$90=1)*$C$16)*(C$18&gt;=(Headcount!$E$5:$E$90+Headcount!$G$5:$G$90*$C$15)))</f>
        <v>0</v>
      </c>
      <c r="D197" s="13" t="n">
        <f aca="false">SUMPRODUCT(Headcount!$D$5:$D$90*(Headcount!$C$5:$C$90="IMPL")*((Headcount!$I$5:$I$90=0)+(Headcount!$I$5:$I$90=1)*$C$16)*(D$18&gt;=(Headcount!$E$5:$E$90+Headcount!$G$5:$G$90*$C$15)))</f>
        <v>0</v>
      </c>
      <c r="E197" s="13" t="n">
        <f aca="false">SUMPRODUCT(Headcount!$D$5:$D$90*(Headcount!$C$5:$C$90="IMPL")*((Headcount!$I$5:$I$90=0)+(Headcount!$I$5:$I$90=1)*$C$16)*(E$18&gt;=(Headcount!$E$5:$E$90+Headcount!$G$5:$G$90*$C$15)))</f>
        <v>0</v>
      </c>
      <c r="F197" s="13" t="n">
        <f aca="false">SUMPRODUCT(Headcount!$D$5:$D$90*(Headcount!$C$5:$C$90="IMPL")*((Headcount!$I$5:$I$90=0)+(Headcount!$I$5:$I$90=1)*$C$16)*(F$18&gt;=(Headcount!$E$5:$E$90+Headcount!$G$5:$G$90*$C$15)))</f>
        <v>0</v>
      </c>
      <c r="G197" s="13" t="n">
        <f aca="false">SUMPRODUCT(Headcount!$D$5:$D$90*(Headcount!$C$5:$C$90="IMPL")*((Headcount!$I$5:$I$90=0)+(Headcount!$I$5:$I$90=1)*$C$16)*(G$18&gt;=(Headcount!$E$5:$E$90+Headcount!$G$5:$G$90*$C$15)))</f>
        <v>1</v>
      </c>
      <c r="H197" s="13" t="n">
        <f aca="false">SUMPRODUCT(Headcount!$D$5:$D$90*(Headcount!$C$5:$C$90="IMPL")*((Headcount!$I$5:$I$90=0)+(Headcount!$I$5:$I$90=1)*$C$16)*(H$18&gt;=(Headcount!$E$5:$E$90+Headcount!$G$5:$G$90*$C$15)))</f>
        <v>1</v>
      </c>
      <c r="I197" s="13" t="n">
        <f aca="false">SUMPRODUCT(Headcount!$D$5:$D$90*(Headcount!$C$5:$C$90="IMPL")*((Headcount!$I$5:$I$90=0)+(Headcount!$I$5:$I$90=1)*$C$16)*(I$18&gt;=(Headcount!$E$5:$E$90+Headcount!$G$5:$G$90*$C$15)))</f>
        <v>1</v>
      </c>
      <c r="J197" s="13" t="n">
        <f aca="false">SUMPRODUCT(Headcount!$D$5:$D$90*(Headcount!$C$5:$C$90="IMPL")*((Headcount!$I$5:$I$90=0)+(Headcount!$I$5:$I$90=1)*$C$16)*(J$18&gt;=(Headcount!$E$5:$E$90+Headcount!$G$5:$G$90*$C$15)))</f>
        <v>1</v>
      </c>
      <c r="K197" s="13" t="n">
        <f aca="false">SUMPRODUCT(Headcount!$D$5:$D$90*(Headcount!$C$5:$C$90="IMPL")*((Headcount!$I$5:$I$90=0)+(Headcount!$I$5:$I$90=1)*$C$16)*(K$18&gt;=(Headcount!$E$5:$E$90+Headcount!$G$5:$G$90*$C$15)))</f>
        <v>1</v>
      </c>
      <c r="L197" s="13" t="n">
        <f aca="false">SUMPRODUCT(Headcount!$D$5:$D$90*(Headcount!$C$5:$C$90="IMPL")*((Headcount!$I$5:$I$90=0)+(Headcount!$I$5:$I$90=1)*$C$16)*(L$18&gt;=(Headcount!$E$5:$E$90+Headcount!$G$5:$G$90*$C$15)))</f>
        <v>1</v>
      </c>
      <c r="M197" s="13" t="n">
        <f aca="false">SUMPRODUCT(Headcount!$D$5:$D$90*(Headcount!$C$5:$C$90="IMPL")*((Headcount!$I$5:$I$90=0)+(Headcount!$I$5:$I$90=1)*$C$16)*(M$18&gt;=(Headcount!$E$5:$E$90+Headcount!$G$5:$G$90*$C$15)))</f>
        <v>2</v>
      </c>
      <c r="N197" s="13" t="n">
        <f aca="false">SUMPRODUCT(Headcount!$D$5:$D$90*(Headcount!$C$5:$C$90="IMPL")*((Headcount!$I$5:$I$90=0)+(Headcount!$I$5:$I$90=1)*$C$16)*(N$18&gt;=(Headcount!$E$5:$E$90+Headcount!$G$5:$G$90*$C$15)))</f>
        <v>2</v>
      </c>
      <c r="O197" s="13" t="n">
        <f aca="false">SUMPRODUCT(Headcount!$D$5:$D$90*(Headcount!$C$5:$C$90="IMPL")*((Headcount!$I$5:$I$90=0)+(Headcount!$I$5:$I$90=1)*$C$16)*(O$18&gt;=(Headcount!$E$5:$E$90+Headcount!$G$5:$G$90*$C$15)))</f>
        <v>2</v>
      </c>
      <c r="P197" s="13" t="n">
        <f aca="false">SUMPRODUCT(Headcount!$D$5:$D$90*(Headcount!$C$5:$C$90="IMPL")*((Headcount!$I$5:$I$90=0)+(Headcount!$I$5:$I$90=1)*$C$16)*(P$18&gt;=(Headcount!$E$5:$E$90+Headcount!$G$5:$G$90*$C$15)))</f>
        <v>2</v>
      </c>
      <c r="Q197" s="13" t="n">
        <f aca="false">SUMPRODUCT(Headcount!$D$5:$D$90*(Headcount!$C$5:$C$90="IMPL")*((Headcount!$I$5:$I$90=0)+(Headcount!$I$5:$I$90=1)*$C$16)*(Q$18&gt;=(Headcount!$E$5:$E$90+Headcount!$G$5:$G$90*$C$15)))</f>
        <v>3</v>
      </c>
      <c r="R197" s="13" t="n">
        <f aca="false">SUMPRODUCT(Headcount!$D$5:$D$90*(Headcount!$C$5:$C$90="IMPL")*((Headcount!$I$5:$I$90=0)+(Headcount!$I$5:$I$90=1)*$C$16)*(R$18&gt;=(Headcount!$E$5:$E$90+Headcount!$G$5:$G$90*$C$15)))</f>
        <v>3</v>
      </c>
      <c r="S197" s="13" t="n">
        <f aca="false">SUMPRODUCT(Headcount!$D$5:$D$90*(Headcount!$C$5:$C$90="IMPL")*((Headcount!$I$5:$I$90=0)+(Headcount!$I$5:$I$90=1)*$C$16)*(S$18&gt;=(Headcount!$E$5:$E$90+Headcount!$G$5:$G$90*$C$15)))</f>
        <v>3</v>
      </c>
      <c r="T197" s="13" t="n">
        <f aca="false">SUMPRODUCT(Headcount!$D$5:$D$90*(Headcount!$C$5:$C$90="IMPL")*((Headcount!$I$5:$I$90=0)+(Headcount!$I$5:$I$90=1)*$C$16)*(T$18&gt;=(Headcount!$E$5:$E$90+Headcount!$G$5:$G$90*$C$15)))</f>
        <v>3</v>
      </c>
      <c r="U197" s="13" t="n">
        <f aca="false">SUMPRODUCT(Headcount!$D$5:$D$90*(Headcount!$C$5:$C$90="IMPL")*((Headcount!$I$5:$I$90=0)+(Headcount!$I$5:$I$90=1)*$C$16)*(U$18&gt;=(Headcount!$E$5:$E$90+Headcount!$G$5:$G$90*$C$15)))</f>
        <v>4</v>
      </c>
      <c r="V197" s="13" t="n">
        <f aca="false">SUMPRODUCT(Headcount!$D$5:$D$90*(Headcount!$C$5:$C$90="IMPL")*((Headcount!$I$5:$I$90=0)+(Headcount!$I$5:$I$90=1)*$C$16)*(V$18&gt;=(Headcount!$E$5:$E$90+Headcount!$G$5:$G$90*$C$15)))</f>
        <v>4</v>
      </c>
      <c r="W197" s="13" t="n">
        <f aca="false">SUMPRODUCT(Headcount!$D$5:$D$90*(Headcount!$C$5:$C$90="IMPL")*((Headcount!$I$5:$I$90=0)+(Headcount!$I$5:$I$90=1)*$C$16)*(W$18&gt;=(Headcount!$E$5:$E$90+Headcount!$G$5:$G$90*$C$15)))</f>
        <v>4</v>
      </c>
      <c r="X197" s="13" t="n">
        <f aca="false">SUMPRODUCT(Headcount!$D$5:$D$90*(Headcount!$C$5:$C$90="IMPL")*((Headcount!$I$5:$I$90=0)+(Headcount!$I$5:$I$90=1)*$C$16)*(X$18&gt;=(Headcount!$E$5:$E$90+Headcount!$G$5:$G$90*$C$15)))</f>
        <v>5</v>
      </c>
      <c r="Y197" s="13" t="n">
        <f aca="false">SUMPRODUCT(Headcount!$D$5:$D$90*(Headcount!$C$5:$C$90="IMPL")*((Headcount!$I$5:$I$90=0)+(Headcount!$I$5:$I$90=1)*$C$16)*(Y$18&gt;=(Headcount!$E$5:$E$90+Headcount!$G$5:$G$90*$C$15)))</f>
        <v>5</v>
      </c>
      <c r="Z197" s="13" t="n">
        <f aca="false">SUMPRODUCT(Headcount!$D$5:$D$90*(Headcount!$C$5:$C$90="IMPL")*((Headcount!$I$5:$I$90=0)+(Headcount!$I$5:$I$90=1)*$C$16)*(Z$18&gt;=(Headcount!$E$5:$E$90+Headcount!$G$5:$G$90*$C$15)))</f>
        <v>5</v>
      </c>
      <c r="AA197" s="13" t="n">
        <f aca="false">SUMPRODUCT(Headcount!$D$5:$D$90*(Headcount!$C$5:$C$90="IMPL")*((Headcount!$I$5:$I$90=0)+(Headcount!$I$5:$I$90=1)*$C$16)*(AA$18&gt;=(Headcount!$E$5:$E$90+Headcount!$G$5:$G$90*$C$15)))</f>
        <v>6</v>
      </c>
      <c r="AB197" s="13" t="n">
        <f aca="false">SUMPRODUCT(Headcount!$D$5:$D$90*(Headcount!$C$5:$C$90="IMPL")*((Headcount!$I$5:$I$90=0)+(Headcount!$I$5:$I$90=1)*$C$16)*(AB$18&gt;=(Headcount!$E$5:$E$90+Headcount!$G$5:$G$90*$C$15)))</f>
        <v>6</v>
      </c>
      <c r="AC197" s="13" t="n">
        <f aca="false">SUMPRODUCT(Headcount!$D$5:$D$90*(Headcount!$C$5:$C$90="IMPL")*((Headcount!$I$5:$I$90=0)+(Headcount!$I$5:$I$90=1)*$C$16)*(AC$18&gt;=(Headcount!$E$5:$E$90+Headcount!$G$5:$G$90*$C$15)))</f>
        <v>6</v>
      </c>
      <c r="AD197" s="13" t="n">
        <f aca="false">SUMPRODUCT(Headcount!$D$5:$D$90*(Headcount!$C$5:$C$90="IMPL")*((Headcount!$I$5:$I$90=0)+(Headcount!$I$5:$I$90=1)*$C$16)*(AD$18&gt;=(Headcount!$E$5:$E$90+Headcount!$G$5:$G$90*$C$15)))</f>
        <v>7</v>
      </c>
      <c r="AE197" s="13" t="n">
        <f aca="false">SUMPRODUCT(Headcount!$D$5:$D$90*(Headcount!$C$5:$C$90="IMPL")*((Headcount!$I$5:$I$90=0)+(Headcount!$I$5:$I$90=1)*$C$16)*(AE$18&gt;=(Headcount!$E$5:$E$90+Headcount!$G$5:$G$90*$C$15)))</f>
        <v>7</v>
      </c>
      <c r="AF197" s="13" t="n">
        <f aca="false">SUMPRODUCT(Headcount!$D$5:$D$90*(Headcount!$C$5:$C$90="IMPL")*((Headcount!$I$5:$I$90=0)+(Headcount!$I$5:$I$90=1)*$C$16)*(AF$18&gt;=(Headcount!$E$5:$E$90+Headcount!$G$5:$G$90*$C$15)))</f>
        <v>7</v>
      </c>
      <c r="AG197" s="13" t="n">
        <f aca="false">SUMPRODUCT(Headcount!$D$5:$D$90*(Headcount!$C$5:$C$90="IMPL")*((Headcount!$I$5:$I$90=0)+(Headcount!$I$5:$I$90=1)*$C$16)*(AG$18&gt;=(Headcount!$E$5:$E$90+Headcount!$G$5:$G$90*$C$15)))</f>
        <v>8</v>
      </c>
      <c r="AH197" s="13" t="n">
        <f aca="false">SUMPRODUCT(Headcount!$D$5:$D$90*(Headcount!$C$5:$C$90="IMPL")*((Headcount!$I$5:$I$90=0)+(Headcount!$I$5:$I$90=1)*$C$16)*(AH$18&gt;=(Headcount!$E$5:$E$90+Headcount!$G$5:$G$90*$C$15)))</f>
        <v>8</v>
      </c>
      <c r="AI197" s="13" t="n">
        <f aca="false">SUMPRODUCT(Headcount!$D$5:$D$90*(Headcount!$C$5:$C$90="IMPL")*((Headcount!$I$5:$I$90=0)+(Headcount!$I$5:$I$90=1)*$C$16)*(AI$18&gt;=(Headcount!$E$5:$E$90+Headcount!$G$5:$G$90*$C$15)))</f>
        <v>8</v>
      </c>
      <c r="AJ197" s="13" t="n">
        <f aca="false">SUMPRODUCT(Headcount!$D$5:$D$90*(Headcount!$C$5:$C$90="IMPL")*((Headcount!$I$5:$I$90=0)+(Headcount!$I$5:$I$90=1)*$C$16)*(AJ$18&gt;=(Headcount!$E$5:$E$90+Headcount!$G$5:$G$90*$C$15)))</f>
        <v>8</v>
      </c>
      <c r="AK197" s="13" t="n">
        <f aca="false">SUMPRODUCT(Headcount!$D$5:$D$90*(Headcount!$C$5:$C$90="IMPL")*((Headcount!$I$5:$I$90=0)+(Headcount!$I$5:$I$90=1)*$C$16)*(AK$18&gt;=(Headcount!$E$5:$E$90+Headcount!$G$5:$G$90*$C$15)))</f>
        <v>8</v>
      </c>
      <c r="AL197" s="13" t="n">
        <f aca="false">SUMPRODUCT(Headcount!$D$5:$D$90*(Headcount!$C$5:$C$90="IMPL")*((Headcount!$I$5:$I$90=0)+(Headcount!$I$5:$I$90=1)*$C$16)*(AL$18&gt;=(Headcount!$E$5:$E$90+Headcount!$G$5:$G$90*$C$15)))</f>
        <v>8</v>
      </c>
      <c r="AN197" s="37" t="n">
        <f aca="false">N197</f>
        <v>2</v>
      </c>
      <c r="AO197" s="37" t="n">
        <f aca="false">Z197</f>
        <v>5</v>
      </c>
      <c r="AP197" s="37" t="n">
        <f aca="false">AL197</f>
        <v>8</v>
      </c>
    </row>
    <row r="198" customFormat="false" ht="15" hidden="false" customHeight="false" outlineLevel="0" collapsed="false">
      <c r="A198" s="0" t="s">
        <v>999</v>
      </c>
      <c r="B198" s="0" t="s">
        <v>618</v>
      </c>
      <c r="C198" s="13" t="n">
        <f aca="false">IF(C$18&gt;=2,SUMPRODUCT(Headcount!$D$5:$D$90*((Headcount!$I$5:$I$90=0)+(Headcount!$I$5:$I$90=1)*$C$16)*((Headcount!$E$5:$E$90+Headcount!$G$5:$G$90*$C$15)=C$18)),0)</f>
        <v>0</v>
      </c>
      <c r="D198" s="13" t="n">
        <f aca="false">IF(D$18&gt;=2,SUMPRODUCT(Headcount!$D$5:$D$90*((Headcount!$I$5:$I$90=0)+(Headcount!$I$5:$I$90=1)*$C$16)*((Headcount!$E$5:$E$90+Headcount!$G$5:$G$90*$C$15)=D$18)),0)</f>
        <v>0</v>
      </c>
      <c r="E198" s="13" t="n">
        <f aca="false">IF(E$18&gt;=2,SUMPRODUCT(Headcount!$D$5:$D$90*((Headcount!$I$5:$I$90=0)+(Headcount!$I$5:$I$90=1)*$C$16)*((Headcount!$E$5:$E$90+Headcount!$G$5:$G$90*$C$15)=E$18)),0)</f>
        <v>1</v>
      </c>
      <c r="F198" s="13" t="n">
        <f aca="false">IF(F$18&gt;=2,SUMPRODUCT(Headcount!$D$5:$D$90*((Headcount!$I$5:$I$90=0)+(Headcount!$I$5:$I$90=1)*$C$16)*((Headcount!$E$5:$E$90+Headcount!$G$5:$G$90*$C$15)=F$18)),0)</f>
        <v>1</v>
      </c>
      <c r="G198" s="13" t="n">
        <f aca="false">IF(G$18&gt;=2,SUMPRODUCT(Headcount!$D$5:$D$90*((Headcount!$I$5:$I$90=0)+(Headcount!$I$5:$I$90=1)*$C$16)*((Headcount!$E$5:$E$90+Headcount!$G$5:$G$90*$C$15)=G$18)),0)</f>
        <v>2</v>
      </c>
      <c r="H198" s="13" t="n">
        <f aca="false">IF(H$18&gt;=2,SUMPRODUCT(Headcount!$D$5:$D$90*((Headcount!$I$5:$I$90=0)+(Headcount!$I$5:$I$90=1)*$C$16)*((Headcount!$E$5:$E$90+Headcount!$G$5:$G$90*$C$15)=H$18)),0)</f>
        <v>2</v>
      </c>
      <c r="I198" s="13" t="n">
        <f aca="false">IF(I$18&gt;=2,SUMPRODUCT(Headcount!$D$5:$D$90*((Headcount!$I$5:$I$90=0)+(Headcount!$I$5:$I$90=1)*$C$16)*((Headcount!$E$5:$E$90+Headcount!$G$5:$G$90*$C$15)=I$18)),0)</f>
        <v>1</v>
      </c>
      <c r="J198" s="13" t="n">
        <f aca="false">IF(J$18&gt;=2,SUMPRODUCT(Headcount!$D$5:$D$90*((Headcount!$I$5:$I$90=0)+(Headcount!$I$5:$I$90=1)*$C$16)*((Headcount!$E$5:$E$90+Headcount!$G$5:$G$90*$C$15)=J$18)),0)</f>
        <v>0</v>
      </c>
      <c r="K198" s="13" t="n">
        <f aca="false">IF(K$18&gt;=2,SUMPRODUCT(Headcount!$D$5:$D$90*((Headcount!$I$5:$I$90=0)+(Headcount!$I$5:$I$90=1)*$C$16)*((Headcount!$E$5:$E$90+Headcount!$G$5:$G$90*$C$15)=K$18)),0)</f>
        <v>3</v>
      </c>
      <c r="L198" s="13" t="n">
        <f aca="false">IF(L$18&gt;=2,SUMPRODUCT(Headcount!$D$5:$D$90*((Headcount!$I$5:$I$90=0)+(Headcount!$I$5:$I$90=1)*$C$16)*((Headcount!$E$5:$E$90+Headcount!$G$5:$G$90*$C$15)=L$18)),0)</f>
        <v>1</v>
      </c>
      <c r="M198" s="13" t="n">
        <f aca="false">IF(M$18&gt;=2,SUMPRODUCT(Headcount!$D$5:$D$90*((Headcount!$I$5:$I$90=0)+(Headcount!$I$5:$I$90=1)*$C$16)*((Headcount!$E$5:$E$90+Headcount!$G$5:$G$90*$C$15)=M$18)),0)</f>
        <v>2</v>
      </c>
      <c r="N198" s="13" t="n">
        <f aca="false">IF(N$18&gt;=2,SUMPRODUCT(Headcount!$D$5:$D$90*((Headcount!$I$5:$I$90=0)+(Headcount!$I$5:$I$90=1)*$C$16)*((Headcount!$E$5:$E$90+Headcount!$G$5:$G$90*$C$15)=N$18)),0)</f>
        <v>1</v>
      </c>
      <c r="O198" s="13" t="n">
        <f aca="false">IF(O$18&gt;=2,SUMPRODUCT(Headcount!$D$5:$D$90*((Headcount!$I$5:$I$90=0)+(Headcount!$I$5:$I$90=1)*$C$16)*((Headcount!$E$5:$E$90+Headcount!$G$5:$G$90*$C$15)=O$18)),0)</f>
        <v>2</v>
      </c>
      <c r="P198" s="13" t="n">
        <f aca="false">IF(P$18&gt;=2,SUMPRODUCT(Headcount!$D$5:$D$90*((Headcount!$I$5:$I$90=0)+(Headcount!$I$5:$I$90=1)*$C$16)*((Headcount!$E$5:$E$90+Headcount!$G$5:$G$90*$C$15)=P$18)),0)</f>
        <v>1</v>
      </c>
      <c r="Q198" s="13" t="n">
        <f aca="false">IF(Q$18&gt;=2,SUMPRODUCT(Headcount!$D$5:$D$90*((Headcount!$I$5:$I$90=0)+(Headcount!$I$5:$I$90=1)*$C$16)*((Headcount!$E$5:$E$90+Headcount!$G$5:$G$90*$C$15)=Q$18)),0)</f>
        <v>2</v>
      </c>
      <c r="R198" s="13" t="n">
        <f aca="false">IF(R$18&gt;=2,SUMPRODUCT(Headcount!$D$5:$D$90*((Headcount!$I$5:$I$90=0)+(Headcount!$I$5:$I$90=1)*$C$16)*((Headcount!$E$5:$E$90+Headcount!$G$5:$G$90*$C$15)=R$18)),0)</f>
        <v>0</v>
      </c>
      <c r="S198" s="13" t="n">
        <f aca="false">IF(S$18&gt;=2,SUMPRODUCT(Headcount!$D$5:$D$90*((Headcount!$I$5:$I$90=0)+(Headcount!$I$5:$I$90=1)*$C$16)*((Headcount!$E$5:$E$90+Headcount!$G$5:$G$90*$C$15)=S$18)),0)</f>
        <v>0</v>
      </c>
      <c r="T198" s="13" t="n">
        <f aca="false">IF(T$18&gt;=2,SUMPRODUCT(Headcount!$D$5:$D$90*((Headcount!$I$5:$I$90=0)+(Headcount!$I$5:$I$90=1)*$C$16)*((Headcount!$E$5:$E$90+Headcount!$G$5:$G$90*$C$15)=T$18)),0)</f>
        <v>2</v>
      </c>
      <c r="U198" s="13" t="n">
        <f aca="false">IF(U$18&gt;=2,SUMPRODUCT(Headcount!$D$5:$D$90*((Headcount!$I$5:$I$90=0)+(Headcount!$I$5:$I$90=1)*$C$16)*((Headcount!$E$5:$E$90+Headcount!$G$5:$G$90*$C$15)=U$18)),0)</f>
        <v>1</v>
      </c>
      <c r="V198" s="13" t="n">
        <f aca="false">IF(V$18&gt;=2,SUMPRODUCT(Headcount!$D$5:$D$90*((Headcount!$I$5:$I$90=0)+(Headcount!$I$5:$I$90=1)*$C$16)*((Headcount!$E$5:$E$90+Headcount!$G$5:$G$90*$C$15)=V$18)),0)</f>
        <v>2</v>
      </c>
      <c r="W198" s="13" t="n">
        <f aca="false">IF(W$18&gt;=2,SUMPRODUCT(Headcount!$D$5:$D$90*((Headcount!$I$5:$I$90=0)+(Headcount!$I$5:$I$90=1)*$C$16)*((Headcount!$E$5:$E$90+Headcount!$G$5:$G$90*$C$15)=W$18)),0)</f>
        <v>0</v>
      </c>
      <c r="X198" s="13" t="n">
        <f aca="false">IF(X$18&gt;=2,SUMPRODUCT(Headcount!$D$5:$D$90*((Headcount!$I$5:$I$90=0)+(Headcount!$I$5:$I$90=1)*$C$16)*((Headcount!$E$5:$E$90+Headcount!$G$5:$G$90*$C$15)=X$18)),0)</f>
        <v>2</v>
      </c>
      <c r="Y198" s="13" t="n">
        <f aca="false">IF(Y$18&gt;=2,SUMPRODUCT(Headcount!$D$5:$D$90*((Headcount!$I$5:$I$90=0)+(Headcount!$I$5:$I$90=1)*$C$16)*((Headcount!$E$5:$E$90+Headcount!$G$5:$G$90*$C$15)=Y$18)),0)</f>
        <v>0</v>
      </c>
      <c r="Z198" s="13" t="n">
        <f aca="false">IF(Z$18&gt;=2,SUMPRODUCT(Headcount!$D$5:$D$90*((Headcount!$I$5:$I$90=0)+(Headcount!$I$5:$I$90=1)*$C$16)*((Headcount!$E$5:$E$90+Headcount!$G$5:$G$90*$C$15)=Z$18)),0)</f>
        <v>1</v>
      </c>
      <c r="AA198" s="13" t="n">
        <f aca="false">IF(AA$18&gt;=2,SUMPRODUCT(Headcount!$D$5:$D$90*((Headcount!$I$5:$I$90=0)+(Headcount!$I$5:$I$90=1)*$C$16)*((Headcount!$E$5:$E$90+Headcount!$G$5:$G$90*$C$15)=AA$18)),0)</f>
        <v>1</v>
      </c>
      <c r="AB198" s="13" t="n">
        <f aca="false">IF(AB$18&gt;=2,SUMPRODUCT(Headcount!$D$5:$D$90*((Headcount!$I$5:$I$90=0)+(Headcount!$I$5:$I$90=1)*$C$16)*((Headcount!$E$5:$E$90+Headcount!$G$5:$G$90*$C$15)=AB$18)),0)</f>
        <v>2</v>
      </c>
      <c r="AC198" s="13" t="n">
        <f aca="false">IF(AC$18&gt;=2,SUMPRODUCT(Headcount!$D$5:$D$90*((Headcount!$I$5:$I$90=0)+(Headcount!$I$5:$I$90=1)*$C$16)*((Headcount!$E$5:$E$90+Headcount!$G$5:$G$90*$C$15)=AC$18)),0)</f>
        <v>0</v>
      </c>
      <c r="AD198" s="13" t="n">
        <f aca="false">IF(AD$18&gt;=2,SUMPRODUCT(Headcount!$D$5:$D$90*((Headcount!$I$5:$I$90=0)+(Headcount!$I$5:$I$90=1)*$C$16)*((Headcount!$E$5:$E$90+Headcount!$G$5:$G$90*$C$15)=AD$18)),0)</f>
        <v>2</v>
      </c>
      <c r="AE198" s="13" t="n">
        <f aca="false">IF(AE$18&gt;=2,SUMPRODUCT(Headcount!$D$5:$D$90*((Headcount!$I$5:$I$90=0)+(Headcount!$I$5:$I$90=1)*$C$16)*((Headcount!$E$5:$E$90+Headcount!$G$5:$G$90*$C$15)=AE$18)),0)</f>
        <v>0</v>
      </c>
      <c r="AF198" s="13" t="n">
        <f aca="false">IF(AF$18&gt;=2,SUMPRODUCT(Headcount!$D$5:$D$90*((Headcount!$I$5:$I$90=0)+(Headcount!$I$5:$I$90=1)*$C$16)*((Headcount!$E$5:$E$90+Headcount!$G$5:$G$90*$C$15)=AF$18)),0)</f>
        <v>1</v>
      </c>
      <c r="AG198" s="13" t="n">
        <f aca="false">IF(AG$18&gt;=2,SUMPRODUCT(Headcount!$D$5:$D$90*((Headcount!$I$5:$I$90=0)+(Headcount!$I$5:$I$90=1)*$C$16)*((Headcount!$E$5:$E$90+Headcount!$G$5:$G$90*$C$15)=AG$18)),0)</f>
        <v>1</v>
      </c>
      <c r="AH198" s="13" t="n">
        <f aca="false">IF(AH$18&gt;=2,SUMPRODUCT(Headcount!$D$5:$D$90*((Headcount!$I$5:$I$90=0)+(Headcount!$I$5:$I$90=1)*$C$16)*((Headcount!$E$5:$E$90+Headcount!$G$5:$G$90*$C$15)=AH$18)),0)</f>
        <v>1</v>
      </c>
      <c r="AI198" s="13" t="n">
        <f aca="false">IF(AI$18&gt;=2,SUMPRODUCT(Headcount!$D$5:$D$90*((Headcount!$I$5:$I$90=0)+(Headcount!$I$5:$I$90=1)*$C$16)*((Headcount!$E$5:$E$90+Headcount!$G$5:$G$90*$C$15)=AI$18)),0)</f>
        <v>1</v>
      </c>
      <c r="AJ198" s="13" t="n">
        <f aca="false">IF(AJ$18&gt;=2,SUMPRODUCT(Headcount!$D$5:$D$90*((Headcount!$I$5:$I$90=0)+(Headcount!$I$5:$I$90=1)*$C$16)*((Headcount!$E$5:$E$90+Headcount!$G$5:$G$90*$C$15)=AJ$18)),0)</f>
        <v>0</v>
      </c>
      <c r="AK198" s="13" t="n">
        <f aca="false">IF(AK$18&gt;=2,SUMPRODUCT(Headcount!$D$5:$D$90*((Headcount!$I$5:$I$90=0)+(Headcount!$I$5:$I$90=1)*$C$16)*((Headcount!$E$5:$E$90+Headcount!$G$5:$G$90*$C$15)=AK$18)),0)</f>
        <v>0</v>
      </c>
      <c r="AL198" s="13" t="n">
        <f aca="false">IF(AL$18&gt;=2,SUMPRODUCT(Headcount!$D$5:$D$90*((Headcount!$I$5:$I$90=0)+(Headcount!$I$5:$I$90=1)*$C$16)*((Headcount!$E$5:$E$90+Headcount!$G$5:$G$90*$C$15)=AL$18)),0)</f>
        <v>0</v>
      </c>
      <c r="AN198" s="37" t="n">
        <f aca="false">SUM(C198:N198)</f>
        <v>14</v>
      </c>
      <c r="AO198" s="37" t="n">
        <f aca="false">SUM(O198:Z198)</f>
        <v>13</v>
      </c>
      <c r="AP198" s="37" t="n">
        <f aca="false">SUM(AA198:AL198)</f>
        <v>9</v>
      </c>
    </row>
    <row r="199" customFormat="false" ht="15" hidden="false" customHeight="false" outlineLevel="0" collapsed="false">
      <c r="A199" s="0" t="s">
        <v>1000</v>
      </c>
      <c r="B199" s="0" t="s">
        <v>230</v>
      </c>
      <c r="C199" s="9" t="n">
        <f aca="false">((((((Assumptions!$C$138+Assumptions!$C$139)+Assumptions!$C$140)+Assumptions!$C$141)+Assumptions!$C$142)+Assumptions!$C$143)/12)</f>
        <v>9833.33333333333</v>
      </c>
      <c r="D199" s="9" t="n">
        <f aca="false">((((((Assumptions!$C$138+Assumptions!$C$139)+Assumptions!$C$140)+Assumptions!$C$141)+Assumptions!$C$142)+Assumptions!$C$143)/12)</f>
        <v>9833.33333333333</v>
      </c>
      <c r="E199" s="9" t="n">
        <f aca="false">((((((Assumptions!$C$138+Assumptions!$C$139)+Assumptions!$C$140)+Assumptions!$C$141)+Assumptions!$C$142)+Assumptions!$C$143)/12)</f>
        <v>9833.33333333333</v>
      </c>
      <c r="F199" s="9" t="n">
        <f aca="false">((((((Assumptions!$C$138+Assumptions!$C$139)+Assumptions!$C$140)+Assumptions!$C$141)+Assumptions!$C$142)+Assumptions!$C$143)/12)</f>
        <v>9833.33333333333</v>
      </c>
      <c r="G199" s="9" t="n">
        <f aca="false">((((((Assumptions!$C$138+Assumptions!$C$139)+Assumptions!$C$140)+Assumptions!$C$141)+Assumptions!$C$142)+Assumptions!$C$143)/12)</f>
        <v>9833.33333333333</v>
      </c>
      <c r="H199" s="9" t="n">
        <f aca="false">((((((Assumptions!$C$138+Assumptions!$C$139)+Assumptions!$C$140)+Assumptions!$C$141)+Assumptions!$C$142)+Assumptions!$C$143)/12)</f>
        <v>9833.33333333333</v>
      </c>
      <c r="I199" s="9" t="n">
        <f aca="false">((((((Assumptions!$C$138+Assumptions!$C$139)+Assumptions!$C$140)+Assumptions!$C$141)+Assumptions!$C$142)+Assumptions!$C$143)/12)</f>
        <v>9833.33333333333</v>
      </c>
      <c r="J199" s="9" t="n">
        <f aca="false">((((((Assumptions!$C$138+Assumptions!$C$139)+Assumptions!$C$140)+Assumptions!$C$141)+Assumptions!$C$142)+Assumptions!$C$143)/12)</f>
        <v>9833.33333333333</v>
      </c>
      <c r="K199" s="9" t="n">
        <f aca="false">((((((Assumptions!$C$138+Assumptions!$C$139)+Assumptions!$C$140)+Assumptions!$C$141)+Assumptions!$C$142)+Assumptions!$C$143)/12)</f>
        <v>9833.33333333333</v>
      </c>
      <c r="L199" s="9" t="n">
        <f aca="false">((((((Assumptions!$C$138+Assumptions!$C$139)+Assumptions!$C$140)+Assumptions!$C$141)+Assumptions!$C$142)+Assumptions!$C$143)/12)</f>
        <v>9833.33333333333</v>
      </c>
      <c r="M199" s="9" t="n">
        <f aca="false">((((((Assumptions!$C$138+Assumptions!$C$139)+Assumptions!$C$140)+Assumptions!$C$141)+Assumptions!$C$142)+Assumptions!$C$143)/12)</f>
        <v>9833.33333333333</v>
      </c>
      <c r="N199" s="9" t="n">
        <f aca="false">((((((Assumptions!$C$138+Assumptions!$C$139)+Assumptions!$C$140)+Assumptions!$C$141)+Assumptions!$C$142)+Assumptions!$C$143)/12)</f>
        <v>9833.33333333333</v>
      </c>
      <c r="O199" s="9" t="n">
        <f aca="false">((((((Assumptions!$D$138+Assumptions!$D$139)+Assumptions!$D$140)+Assumptions!$D$141)+Assumptions!$D$142)+Assumptions!$D$143)/12)</f>
        <v>14166.6666666667</v>
      </c>
      <c r="P199" s="9" t="n">
        <f aca="false">((((((Assumptions!$D$138+Assumptions!$D$139)+Assumptions!$D$140)+Assumptions!$D$141)+Assumptions!$D$142)+Assumptions!$D$143)/12)</f>
        <v>14166.6666666667</v>
      </c>
      <c r="Q199" s="9" t="n">
        <f aca="false">((((((Assumptions!$D$138+Assumptions!$D$139)+Assumptions!$D$140)+Assumptions!$D$141)+Assumptions!$D$142)+Assumptions!$D$143)/12)</f>
        <v>14166.6666666667</v>
      </c>
      <c r="R199" s="9" t="n">
        <f aca="false">((((((Assumptions!$D$138+Assumptions!$D$139)+Assumptions!$D$140)+Assumptions!$D$141)+Assumptions!$D$142)+Assumptions!$D$143)/12)</f>
        <v>14166.6666666667</v>
      </c>
      <c r="S199" s="9" t="n">
        <f aca="false">((((((Assumptions!$D$138+Assumptions!$D$139)+Assumptions!$D$140)+Assumptions!$D$141)+Assumptions!$D$142)+Assumptions!$D$143)/12)</f>
        <v>14166.6666666667</v>
      </c>
      <c r="T199" s="9" t="n">
        <f aca="false">((((((Assumptions!$D$138+Assumptions!$D$139)+Assumptions!$D$140)+Assumptions!$D$141)+Assumptions!$D$142)+Assumptions!$D$143)/12)</f>
        <v>14166.6666666667</v>
      </c>
      <c r="U199" s="9" t="n">
        <f aca="false">((((((Assumptions!$D$138+Assumptions!$D$139)+Assumptions!$D$140)+Assumptions!$D$141)+Assumptions!$D$142)+Assumptions!$D$143)/12)</f>
        <v>14166.6666666667</v>
      </c>
      <c r="V199" s="9" t="n">
        <f aca="false">((((((Assumptions!$D$138+Assumptions!$D$139)+Assumptions!$D$140)+Assumptions!$D$141)+Assumptions!$D$142)+Assumptions!$D$143)/12)</f>
        <v>14166.6666666667</v>
      </c>
      <c r="W199" s="9" t="n">
        <f aca="false">((((((Assumptions!$D$138+Assumptions!$D$139)+Assumptions!$D$140)+Assumptions!$D$141)+Assumptions!$D$142)+Assumptions!$D$143)/12)</f>
        <v>14166.6666666667</v>
      </c>
      <c r="X199" s="9" t="n">
        <f aca="false">((((((Assumptions!$D$138+Assumptions!$D$139)+Assumptions!$D$140)+Assumptions!$D$141)+Assumptions!$D$142)+Assumptions!$D$143)/12)</f>
        <v>14166.6666666667</v>
      </c>
      <c r="Y199" s="9" t="n">
        <f aca="false">((((((Assumptions!$D$138+Assumptions!$D$139)+Assumptions!$D$140)+Assumptions!$D$141)+Assumptions!$D$142)+Assumptions!$D$143)/12)</f>
        <v>14166.6666666667</v>
      </c>
      <c r="Z199" s="9" t="n">
        <f aca="false">((((((Assumptions!$D$138+Assumptions!$D$139)+Assumptions!$D$140)+Assumptions!$D$141)+Assumptions!$D$142)+Assumptions!$D$143)/12)</f>
        <v>14166.6666666667</v>
      </c>
      <c r="AA199" s="9" t="n">
        <f aca="false">((((((Assumptions!$E$138+Assumptions!$E$139)+Assumptions!$E$140)+Assumptions!$E$141)+Assumptions!$E$142)+Assumptions!$E$143)/12)</f>
        <v>19583.3333333333</v>
      </c>
      <c r="AB199" s="9" t="n">
        <f aca="false">((((((Assumptions!$E$138+Assumptions!$E$139)+Assumptions!$E$140)+Assumptions!$E$141)+Assumptions!$E$142)+Assumptions!$E$143)/12)</f>
        <v>19583.3333333333</v>
      </c>
      <c r="AC199" s="9" t="n">
        <f aca="false">((((((Assumptions!$E$138+Assumptions!$E$139)+Assumptions!$E$140)+Assumptions!$E$141)+Assumptions!$E$142)+Assumptions!$E$143)/12)</f>
        <v>19583.3333333333</v>
      </c>
      <c r="AD199" s="9" t="n">
        <f aca="false">((((((Assumptions!$E$138+Assumptions!$E$139)+Assumptions!$E$140)+Assumptions!$E$141)+Assumptions!$E$142)+Assumptions!$E$143)/12)</f>
        <v>19583.3333333333</v>
      </c>
      <c r="AE199" s="9" t="n">
        <f aca="false">((((((Assumptions!$E$138+Assumptions!$E$139)+Assumptions!$E$140)+Assumptions!$E$141)+Assumptions!$E$142)+Assumptions!$E$143)/12)</f>
        <v>19583.3333333333</v>
      </c>
      <c r="AF199" s="9" t="n">
        <f aca="false">((((((Assumptions!$E$138+Assumptions!$E$139)+Assumptions!$E$140)+Assumptions!$E$141)+Assumptions!$E$142)+Assumptions!$E$143)/12)</f>
        <v>19583.3333333333</v>
      </c>
      <c r="AG199" s="9" t="n">
        <f aca="false">((((((Assumptions!$E$138+Assumptions!$E$139)+Assumptions!$E$140)+Assumptions!$E$141)+Assumptions!$E$142)+Assumptions!$E$143)/12)</f>
        <v>19583.3333333333</v>
      </c>
      <c r="AH199" s="9" t="n">
        <f aca="false">((((((Assumptions!$E$138+Assumptions!$E$139)+Assumptions!$E$140)+Assumptions!$E$141)+Assumptions!$E$142)+Assumptions!$E$143)/12)</f>
        <v>19583.3333333333</v>
      </c>
      <c r="AI199" s="9" t="n">
        <f aca="false">((((((Assumptions!$E$138+Assumptions!$E$139)+Assumptions!$E$140)+Assumptions!$E$141)+Assumptions!$E$142)+Assumptions!$E$143)/12)</f>
        <v>19583.3333333333</v>
      </c>
      <c r="AJ199" s="9" t="n">
        <f aca="false">((((((Assumptions!$E$138+Assumptions!$E$139)+Assumptions!$E$140)+Assumptions!$E$141)+Assumptions!$E$142)+Assumptions!$E$143)/12)</f>
        <v>19583.3333333333</v>
      </c>
      <c r="AK199" s="9" t="n">
        <f aca="false">((((((Assumptions!$E$138+Assumptions!$E$139)+Assumptions!$E$140)+Assumptions!$E$141)+Assumptions!$E$142)+Assumptions!$E$143)/12)</f>
        <v>19583.3333333333</v>
      </c>
      <c r="AL199" s="9" t="n">
        <f aca="false">((((((Assumptions!$E$138+Assumptions!$E$139)+Assumptions!$E$140)+Assumptions!$E$141)+Assumptions!$E$142)+Assumptions!$E$143)/12)</f>
        <v>19583.3333333333</v>
      </c>
      <c r="AN199" s="11" t="n">
        <f aca="false">SUM(C199:N199)</f>
        <v>118000</v>
      </c>
      <c r="AO199" s="11" t="n">
        <f aca="false">SUM(O199:Z199)</f>
        <v>170000</v>
      </c>
      <c r="AP199" s="11" t="n">
        <f aca="false">SUM(AA199:AL199)</f>
        <v>235000</v>
      </c>
    </row>
    <row r="200" customFormat="false" ht="15" hidden="false" customHeight="false" outlineLevel="0" collapsed="false">
      <c r="A200" s="0" t="s">
        <v>36</v>
      </c>
      <c r="B200" s="0" t="s">
        <v>230</v>
      </c>
      <c r="C200" s="9" t="n">
        <f aca="false">(((Assumptions!$C$145+Assumptions!$C$146)+Assumptions!$C$147)/12)</f>
        <v>7916.66666666667</v>
      </c>
      <c r="D200" s="9" t="n">
        <f aca="false">(((Assumptions!$C$145+Assumptions!$C$146)+Assumptions!$C$147)/12)</f>
        <v>7916.66666666667</v>
      </c>
      <c r="E200" s="9" t="n">
        <f aca="false">(((Assumptions!$C$145+Assumptions!$C$146)+Assumptions!$C$147)/12)</f>
        <v>7916.66666666667</v>
      </c>
      <c r="F200" s="9" t="n">
        <f aca="false">(((Assumptions!$C$145+Assumptions!$C$146)+Assumptions!$C$147)/12)</f>
        <v>7916.66666666667</v>
      </c>
      <c r="G200" s="9" t="n">
        <f aca="false">(((Assumptions!$C$145+Assumptions!$C$146)+Assumptions!$C$147)/12)</f>
        <v>7916.66666666667</v>
      </c>
      <c r="H200" s="9" t="n">
        <f aca="false">(((Assumptions!$C$145+Assumptions!$C$146)+Assumptions!$C$147)/12)</f>
        <v>7916.66666666667</v>
      </c>
      <c r="I200" s="9" t="n">
        <f aca="false">(((Assumptions!$C$145+Assumptions!$C$146)+Assumptions!$C$147)/12)</f>
        <v>7916.66666666667</v>
      </c>
      <c r="J200" s="9" t="n">
        <f aca="false">(((Assumptions!$C$145+Assumptions!$C$146)+Assumptions!$C$147)/12)</f>
        <v>7916.66666666667</v>
      </c>
      <c r="K200" s="9" t="n">
        <f aca="false">(((Assumptions!$C$145+Assumptions!$C$146)+Assumptions!$C$147)/12)</f>
        <v>7916.66666666667</v>
      </c>
      <c r="L200" s="9" t="n">
        <f aca="false">(((Assumptions!$C$145+Assumptions!$C$146)+Assumptions!$C$147)/12)</f>
        <v>7916.66666666667</v>
      </c>
      <c r="M200" s="9" t="n">
        <f aca="false">(((Assumptions!$C$145+Assumptions!$C$146)+Assumptions!$C$147)/12)</f>
        <v>7916.66666666667</v>
      </c>
      <c r="N200" s="9" t="n">
        <f aca="false">(((Assumptions!$C$145+Assumptions!$C$146)+Assumptions!$C$147)/12)</f>
        <v>7916.66666666667</v>
      </c>
      <c r="O200" s="9" t="n">
        <f aca="false">(((Assumptions!$D$145+Assumptions!$D$146)+Assumptions!$D$147)/12)</f>
        <v>9333.33333333333</v>
      </c>
      <c r="P200" s="9" t="n">
        <f aca="false">(((Assumptions!$D$145+Assumptions!$D$146)+Assumptions!$D$147)/12)</f>
        <v>9333.33333333333</v>
      </c>
      <c r="Q200" s="9" t="n">
        <f aca="false">(((Assumptions!$D$145+Assumptions!$D$146)+Assumptions!$D$147)/12)</f>
        <v>9333.33333333333</v>
      </c>
      <c r="R200" s="9" t="n">
        <f aca="false">(((Assumptions!$D$145+Assumptions!$D$146)+Assumptions!$D$147)/12)</f>
        <v>9333.33333333333</v>
      </c>
      <c r="S200" s="9" t="n">
        <f aca="false">(((Assumptions!$D$145+Assumptions!$D$146)+Assumptions!$D$147)/12)</f>
        <v>9333.33333333333</v>
      </c>
      <c r="T200" s="9" t="n">
        <f aca="false">(((Assumptions!$D$145+Assumptions!$D$146)+Assumptions!$D$147)/12)</f>
        <v>9333.33333333333</v>
      </c>
      <c r="U200" s="9" t="n">
        <f aca="false">(((Assumptions!$D$145+Assumptions!$D$146)+Assumptions!$D$147)/12)</f>
        <v>9333.33333333333</v>
      </c>
      <c r="V200" s="9" t="n">
        <f aca="false">(((Assumptions!$D$145+Assumptions!$D$146)+Assumptions!$D$147)/12)</f>
        <v>9333.33333333333</v>
      </c>
      <c r="W200" s="9" t="n">
        <f aca="false">(((Assumptions!$D$145+Assumptions!$D$146)+Assumptions!$D$147)/12)</f>
        <v>9333.33333333333</v>
      </c>
      <c r="X200" s="9" t="n">
        <f aca="false">(((Assumptions!$D$145+Assumptions!$D$146)+Assumptions!$D$147)/12)</f>
        <v>9333.33333333333</v>
      </c>
      <c r="Y200" s="9" t="n">
        <f aca="false">(((Assumptions!$D$145+Assumptions!$D$146)+Assumptions!$D$147)/12)</f>
        <v>9333.33333333333</v>
      </c>
      <c r="Z200" s="9" t="n">
        <f aca="false">(((Assumptions!$D$145+Assumptions!$D$146)+Assumptions!$D$147)/12)</f>
        <v>9333.33333333333</v>
      </c>
      <c r="AA200" s="9" t="n">
        <f aca="false">(((Assumptions!$E$145+Assumptions!$E$146)+Assumptions!$E$147)/12)</f>
        <v>12916.6666666667</v>
      </c>
      <c r="AB200" s="9" t="n">
        <f aca="false">(((Assumptions!$E$145+Assumptions!$E$146)+Assumptions!$E$147)/12)</f>
        <v>12916.6666666667</v>
      </c>
      <c r="AC200" s="9" t="n">
        <f aca="false">(((Assumptions!$E$145+Assumptions!$E$146)+Assumptions!$E$147)/12)</f>
        <v>12916.6666666667</v>
      </c>
      <c r="AD200" s="9" t="n">
        <f aca="false">(((Assumptions!$E$145+Assumptions!$E$146)+Assumptions!$E$147)/12)</f>
        <v>12916.6666666667</v>
      </c>
      <c r="AE200" s="9" t="n">
        <f aca="false">(((Assumptions!$E$145+Assumptions!$E$146)+Assumptions!$E$147)/12)</f>
        <v>12916.6666666667</v>
      </c>
      <c r="AF200" s="9" t="n">
        <f aca="false">(((Assumptions!$E$145+Assumptions!$E$146)+Assumptions!$E$147)/12)</f>
        <v>12916.6666666667</v>
      </c>
      <c r="AG200" s="9" t="n">
        <f aca="false">(((Assumptions!$E$145+Assumptions!$E$146)+Assumptions!$E$147)/12)</f>
        <v>12916.6666666667</v>
      </c>
      <c r="AH200" s="9" t="n">
        <f aca="false">(((Assumptions!$E$145+Assumptions!$E$146)+Assumptions!$E$147)/12)</f>
        <v>12916.6666666667</v>
      </c>
      <c r="AI200" s="9" t="n">
        <f aca="false">(((Assumptions!$E$145+Assumptions!$E$146)+Assumptions!$E$147)/12)</f>
        <v>12916.6666666667</v>
      </c>
      <c r="AJ200" s="9" t="n">
        <f aca="false">(((Assumptions!$E$145+Assumptions!$E$146)+Assumptions!$E$147)/12)</f>
        <v>12916.6666666667</v>
      </c>
      <c r="AK200" s="9" t="n">
        <f aca="false">(((Assumptions!$E$145+Assumptions!$E$146)+Assumptions!$E$147)/12)</f>
        <v>12916.6666666667</v>
      </c>
      <c r="AL200" s="9" t="n">
        <f aca="false">(((Assumptions!$E$145+Assumptions!$E$146)+Assumptions!$E$147)/12)</f>
        <v>12916.6666666667</v>
      </c>
      <c r="AN200" s="11" t="n">
        <f aca="false">SUM(C200:N200)</f>
        <v>95000</v>
      </c>
      <c r="AO200" s="11" t="n">
        <f aca="false">SUM(O200:Z200)</f>
        <v>112000</v>
      </c>
      <c r="AP200" s="11" t="n">
        <f aca="false">SUM(AA200:AL200)</f>
        <v>155000</v>
      </c>
    </row>
    <row r="201" customFormat="false" ht="15" hidden="false" customHeight="false" outlineLevel="0" collapsed="false">
      <c r="A201" s="0" t="s">
        <v>37</v>
      </c>
      <c r="B201" s="0" t="s">
        <v>230</v>
      </c>
      <c r="C201" s="9" t="n">
        <f aca="false">(((Assumptions!$C$148+Assumptions!$C$149)+Assumptions!$C$150)/12)</f>
        <v>3416.66666666667</v>
      </c>
      <c r="D201" s="9" t="n">
        <f aca="false">(((Assumptions!$C$148+Assumptions!$C$149)+Assumptions!$C$150)/12)</f>
        <v>3416.66666666667</v>
      </c>
      <c r="E201" s="9" t="n">
        <f aca="false">(((Assumptions!$C$148+Assumptions!$C$149)+Assumptions!$C$150)/12)</f>
        <v>3416.66666666667</v>
      </c>
      <c r="F201" s="9" t="n">
        <f aca="false">(((Assumptions!$C$148+Assumptions!$C$149)+Assumptions!$C$150)/12)</f>
        <v>3416.66666666667</v>
      </c>
      <c r="G201" s="9" t="n">
        <f aca="false">(((Assumptions!$C$148+Assumptions!$C$149)+Assumptions!$C$150)/12)</f>
        <v>3416.66666666667</v>
      </c>
      <c r="H201" s="9" t="n">
        <f aca="false">(((Assumptions!$C$148+Assumptions!$C$149)+Assumptions!$C$150)/12)</f>
        <v>3416.66666666667</v>
      </c>
      <c r="I201" s="9" t="n">
        <f aca="false">(((Assumptions!$C$148+Assumptions!$C$149)+Assumptions!$C$150)/12)</f>
        <v>3416.66666666667</v>
      </c>
      <c r="J201" s="9" t="n">
        <f aca="false">(((Assumptions!$C$148+Assumptions!$C$149)+Assumptions!$C$150)/12)</f>
        <v>3416.66666666667</v>
      </c>
      <c r="K201" s="9" t="n">
        <f aca="false">(((Assumptions!$C$148+Assumptions!$C$149)+Assumptions!$C$150)/12)</f>
        <v>3416.66666666667</v>
      </c>
      <c r="L201" s="9" t="n">
        <f aca="false">(((Assumptions!$C$148+Assumptions!$C$149)+Assumptions!$C$150)/12)</f>
        <v>3416.66666666667</v>
      </c>
      <c r="M201" s="9" t="n">
        <f aca="false">(((Assumptions!$C$148+Assumptions!$C$149)+Assumptions!$C$150)/12)</f>
        <v>3416.66666666667</v>
      </c>
      <c r="N201" s="9" t="n">
        <f aca="false">(((Assumptions!$C$148+Assumptions!$C$149)+Assumptions!$C$150)/12)</f>
        <v>3416.66666666667</v>
      </c>
      <c r="O201" s="9" t="n">
        <f aca="false">(((Assumptions!$D$148+Assumptions!$D$149)+Assumptions!$D$150)/12)</f>
        <v>5833.33333333333</v>
      </c>
      <c r="P201" s="9" t="n">
        <f aca="false">(((Assumptions!$D$148+Assumptions!$D$149)+Assumptions!$D$150)/12)</f>
        <v>5833.33333333333</v>
      </c>
      <c r="Q201" s="9" t="n">
        <f aca="false">(((Assumptions!$D$148+Assumptions!$D$149)+Assumptions!$D$150)/12)</f>
        <v>5833.33333333333</v>
      </c>
      <c r="R201" s="9" t="n">
        <f aca="false">(((Assumptions!$D$148+Assumptions!$D$149)+Assumptions!$D$150)/12)</f>
        <v>5833.33333333333</v>
      </c>
      <c r="S201" s="9" t="n">
        <f aca="false">(((Assumptions!$D$148+Assumptions!$D$149)+Assumptions!$D$150)/12)</f>
        <v>5833.33333333333</v>
      </c>
      <c r="T201" s="9" t="n">
        <f aca="false">(((Assumptions!$D$148+Assumptions!$D$149)+Assumptions!$D$150)/12)</f>
        <v>5833.33333333333</v>
      </c>
      <c r="U201" s="9" t="n">
        <f aca="false">(((Assumptions!$D$148+Assumptions!$D$149)+Assumptions!$D$150)/12)</f>
        <v>5833.33333333333</v>
      </c>
      <c r="V201" s="9" t="n">
        <f aca="false">(((Assumptions!$D$148+Assumptions!$D$149)+Assumptions!$D$150)/12)</f>
        <v>5833.33333333333</v>
      </c>
      <c r="W201" s="9" t="n">
        <f aca="false">(((Assumptions!$D$148+Assumptions!$D$149)+Assumptions!$D$150)/12)</f>
        <v>5833.33333333333</v>
      </c>
      <c r="X201" s="9" t="n">
        <f aca="false">(((Assumptions!$D$148+Assumptions!$D$149)+Assumptions!$D$150)/12)</f>
        <v>5833.33333333333</v>
      </c>
      <c r="Y201" s="9" t="n">
        <f aca="false">(((Assumptions!$D$148+Assumptions!$D$149)+Assumptions!$D$150)/12)</f>
        <v>5833.33333333333</v>
      </c>
      <c r="Z201" s="9" t="n">
        <f aca="false">(((Assumptions!$D$148+Assumptions!$D$149)+Assumptions!$D$150)/12)</f>
        <v>5833.33333333333</v>
      </c>
      <c r="AA201" s="9" t="n">
        <f aca="false">(((Assumptions!$E$148+Assumptions!$E$149)+Assumptions!$E$150)/12)</f>
        <v>10000</v>
      </c>
      <c r="AB201" s="9" t="n">
        <f aca="false">(((Assumptions!$E$148+Assumptions!$E$149)+Assumptions!$E$150)/12)</f>
        <v>10000</v>
      </c>
      <c r="AC201" s="9" t="n">
        <f aca="false">(((Assumptions!$E$148+Assumptions!$E$149)+Assumptions!$E$150)/12)</f>
        <v>10000</v>
      </c>
      <c r="AD201" s="9" t="n">
        <f aca="false">(((Assumptions!$E$148+Assumptions!$E$149)+Assumptions!$E$150)/12)</f>
        <v>10000</v>
      </c>
      <c r="AE201" s="9" t="n">
        <f aca="false">(((Assumptions!$E$148+Assumptions!$E$149)+Assumptions!$E$150)/12)</f>
        <v>10000</v>
      </c>
      <c r="AF201" s="9" t="n">
        <f aca="false">(((Assumptions!$E$148+Assumptions!$E$149)+Assumptions!$E$150)/12)</f>
        <v>10000</v>
      </c>
      <c r="AG201" s="9" t="n">
        <f aca="false">(((Assumptions!$E$148+Assumptions!$E$149)+Assumptions!$E$150)/12)</f>
        <v>10000</v>
      </c>
      <c r="AH201" s="9" t="n">
        <f aca="false">(((Assumptions!$E$148+Assumptions!$E$149)+Assumptions!$E$150)/12)</f>
        <v>10000</v>
      </c>
      <c r="AI201" s="9" t="n">
        <f aca="false">(((Assumptions!$E$148+Assumptions!$E$149)+Assumptions!$E$150)/12)</f>
        <v>10000</v>
      </c>
      <c r="AJ201" s="9" t="n">
        <f aca="false">(((Assumptions!$E$148+Assumptions!$E$149)+Assumptions!$E$150)/12)</f>
        <v>10000</v>
      </c>
      <c r="AK201" s="9" t="n">
        <f aca="false">(((Assumptions!$E$148+Assumptions!$E$149)+Assumptions!$E$150)/12)</f>
        <v>10000</v>
      </c>
      <c r="AL201" s="9" t="n">
        <f aca="false">(((Assumptions!$E$148+Assumptions!$E$149)+Assumptions!$E$150)/12)</f>
        <v>10000</v>
      </c>
      <c r="AN201" s="11" t="n">
        <f aca="false">SUM(C201:N201)</f>
        <v>41000</v>
      </c>
      <c r="AO201" s="11" t="n">
        <f aca="false">SUM(O201:Z201)</f>
        <v>70000</v>
      </c>
      <c r="AP201" s="11" t="n">
        <f aca="false">SUM(AA201:AL201)</f>
        <v>120000</v>
      </c>
    </row>
    <row r="202" customFormat="false" ht="15" hidden="false" customHeight="false" outlineLevel="0" collapsed="false">
      <c r="A202" s="0" t="s">
        <v>1001</v>
      </c>
      <c r="B202" s="0" t="s">
        <v>230</v>
      </c>
      <c r="C202" s="9" t="n">
        <f aca="false">(((Assumptions!$C$152+Assumptions!$C$153)+Assumptions!$C$154)/12)</f>
        <v>4000</v>
      </c>
      <c r="D202" s="9" t="n">
        <f aca="false">(((Assumptions!$C$152+Assumptions!$C$153)+Assumptions!$C$154)/12)</f>
        <v>4000</v>
      </c>
      <c r="E202" s="9" t="n">
        <f aca="false">(((Assumptions!$C$152+Assumptions!$C$153)+Assumptions!$C$154)/12)</f>
        <v>4000</v>
      </c>
      <c r="F202" s="9" t="n">
        <f aca="false">(((Assumptions!$C$152+Assumptions!$C$153)+Assumptions!$C$154)/12)</f>
        <v>4000</v>
      </c>
      <c r="G202" s="9" t="n">
        <f aca="false">(((Assumptions!$C$152+Assumptions!$C$153)+Assumptions!$C$154)/12)</f>
        <v>4000</v>
      </c>
      <c r="H202" s="9" t="n">
        <f aca="false">(((Assumptions!$C$152+Assumptions!$C$153)+Assumptions!$C$154)/12)</f>
        <v>4000</v>
      </c>
      <c r="I202" s="9" t="n">
        <f aca="false">(((Assumptions!$C$152+Assumptions!$C$153)+Assumptions!$C$154)/12)</f>
        <v>4000</v>
      </c>
      <c r="J202" s="9" t="n">
        <f aca="false">(((Assumptions!$C$152+Assumptions!$C$153)+Assumptions!$C$154)/12)</f>
        <v>4000</v>
      </c>
      <c r="K202" s="9" t="n">
        <f aca="false">(((Assumptions!$C$152+Assumptions!$C$153)+Assumptions!$C$154)/12)</f>
        <v>4000</v>
      </c>
      <c r="L202" s="9" t="n">
        <f aca="false">(((Assumptions!$C$152+Assumptions!$C$153)+Assumptions!$C$154)/12)</f>
        <v>4000</v>
      </c>
      <c r="M202" s="9" t="n">
        <f aca="false">(((Assumptions!$C$152+Assumptions!$C$153)+Assumptions!$C$154)/12)</f>
        <v>4000</v>
      </c>
      <c r="N202" s="9" t="n">
        <f aca="false">(((Assumptions!$C$152+Assumptions!$C$153)+Assumptions!$C$154)/12)</f>
        <v>4000</v>
      </c>
      <c r="O202" s="9" t="n">
        <f aca="false">(((Assumptions!$D$152+Assumptions!$D$153)+Assumptions!$D$154)/12)</f>
        <v>8250</v>
      </c>
      <c r="P202" s="9" t="n">
        <f aca="false">(((Assumptions!$D$152+Assumptions!$D$153)+Assumptions!$D$154)/12)</f>
        <v>8250</v>
      </c>
      <c r="Q202" s="9" t="n">
        <f aca="false">(((Assumptions!$D$152+Assumptions!$D$153)+Assumptions!$D$154)/12)</f>
        <v>8250</v>
      </c>
      <c r="R202" s="9" t="n">
        <f aca="false">(((Assumptions!$D$152+Assumptions!$D$153)+Assumptions!$D$154)/12)</f>
        <v>8250</v>
      </c>
      <c r="S202" s="9" t="n">
        <f aca="false">(((Assumptions!$D$152+Assumptions!$D$153)+Assumptions!$D$154)/12)</f>
        <v>8250</v>
      </c>
      <c r="T202" s="9" t="n">
        <f aca="false">(((Assumptions!$D$152+Assumptions!$D$153)+Assumptions!$D$154)/12)</f>
        <v>8250</v>
      </c>
      <c r="U202" s="9" t="n">
        <f aca="false">(((Assumptions!$D$152+Assumptions!$D$153)+Assumptions!$D$154)/12)</f>
        <v>8250</v>
      </c>
      <c r="V202" s="9" t="n">
        <f aca="false">(((Assumptions!$D$152+Assumptions!$D$153)+Assumptions!$D$154)/12)</f>
        <v>8250</v>
      </c>
      <c r="W202" s="9" t="n">
        <f aca="false">(((Assumptions!$D$152+Assumptions!$D$153)+Assumptions!$D$154)/12)</f>
        <v>8250</v>
      </c>
      <c r="X202" s="9" t="n">
        <f aca="false">(((Assumptions!$D$152+Assumptions!$D$153)+Assumptions!$D$154)/12)</f>
        <v>8250</v>
      </c>
      <c r="Y202" s="9" t="n">
        <f aca="false">(((Assumptions!$D$152+Assumptions!$D$153)+Assumptions!$D$154)/12)</f>
        <v>8250</v>
      </c>
      <c r="Z202" s="9" t="n">
        <f aca="false">(((Assumptions!$D$152+Assumptions!$D$153)+Assumptions!$D$154)/12)</f>
        <v>8250</v>
      </c>
      <c r="AA202" s="9" t="n">
        <f aca="false">(((Assumptions!$E$152+Assumptions!$E$153)+Assumptions!$E$154)/12)</f>
        <v>12583.3333333333</v>
      </c>
      <c r="AB202" s="9" t="n">
        <f aca="false">(((Assumptions!$E$152+Assumptions!$E$153)+Assumptions!$E$154)/12)</f>
        <v>12583.3333333333</v>
      </c>
      <c r="AC202" s="9" t="n">
        <f aca="false">(((Assumptions!$E$152+Assumptions!$E$153)+Assumptions!$E$154)/12)</f>
        <v>12583.3333333333</v>
      </c>
      <c r="AD202" s="9" t="n">
        <f aca="false">(((Assumptions!$E$152+Assumptions!$E$153)+Assumptions!$E$154)/12)</f>
        <v>12583.3333333333</v>
      </c>
      <c r="AE202" s="9" t="n">
        <f aca="false">(((Assumptions!$E$152+Assumptions!$E$153)+Assumptions!$E$154)/12)</f>
        <v>12583.3333333333</v>
      </c>
      <c r="AF202" s="9" t="n">
        <f aca="false">(((Assumptions!$E$152+Assumptions!$E$153)+Assumptions!$E$154)/12)</f>
        <v>12583.3333333333</v>
      </c>
      <c r="AG202" s="9" t="n">
        <f aca="false">(((Assumptions!$E$152+Assumptions!$E$153)+Assumptions!$E$154)/12)</f>
        <v>12583.3333333333</v>
      </c>
      <c r="AH202" s="9" t="n">
        <f aca="false">(((Assumptions!$E$152+Assumptions!$E$153)+Assumptions!$E$154)/12)</f>
        <v>12583.3333333333</v>
      </c>
      <c r="AI202" s="9" t="n">
        <f aca="false">(((Assumptions!$E$152+Assumptions!$E$153)+Assumptions!$E$154)/12)</f>
        <v>12583.3333333333</v>
      </c>
      <c r="AJ202" s="9" t="n">
        <f aca="false">(((Assumptions!$E$152+Assumptions!$E$153)+Assumptions!$E$154)/12)</f>
        <v>12583.3333333333</v>
      </c>
      <c r="AK202" s="9" t="n">
        <f aca="false">(((Assumptions!$E$152+Assumptions!$E$153)+Assumptions!$E$154)/12)</f>
        <v>12583.3333333333</v>
      </c>
      <c r="AL202" s="9" t="n">
        <f aca="false">(((Assumptions!$E$152+Assumptions!$E$153)+Assumptions!$E$154)/12)</f>
        <v>12583.3333333333</v>
      </c>
      <c r="AN202" s="11" t="n">
        <f aca="false">SUM(C202:N202)</f>
        <v>48000</v>
      </c>
      <c r="AO202" s="11" t="n">
        <f aca="false">SUM(O202:Z202)</f>
        <v>99000</v>
      </c>
      <c r="AP202" s="11" t="n">
        <f aca="false">SUM(AA202:AL202)</f>
        <v>151000</v>
      </c>
    </row>
    <row r="203" customFormat="false" ht="15" hidden="false" customHeight="false" outlineLevel="0" collapsed="false">
      <c r="A203" s="0" t="s">
        <v>561</v>
      </c>
      <c r="B203" s="0" t="s">
        <v>230</v>
      </c>
      <c r="C203" s="9" t="n">
        <f aca="false">(Assumptions!$C$155/12)</f>
        <v>833.333333333333</v>
      </c>
      <c r="D203" s="9" t="n">
        <f aca="false">(Assumptions!$C$155/12)</f>
        <v>833.333333333333</v>
      </c>
      <c r="E203" s="9" t="n">
        <f aca="false">(Assumptions!$C$155/12)</f>
        <v>833.333333333333</v>
      </c>
      <c r="F203" s="9" t="n">
        <f aca="false">(Assumptions!$C$155/12)</f>
        <v>833.333333333333</v>
      </c>
      <c r="G203" s="9" t="n">
        <f aca="false">(Assumptions!$C$155/12)</f>
        <v>833.333333333333</v>
      </c>
      <c r="H203" s="9" t="n">
        <f aca="false">(Assumptions!$C$155/12)</f>
        <v>833.333333333333</v>
      </c>
      <c r="I203" s="9" t="n">
        <f aca="false">(Assumptions!$C$155/12)</f>
        <v>833.333333333333</v>
      </c>
      <c r="J203" s="9" t="n">
        <f aca="false">(Assumptions!$C$155/12)</f>
        <v>833.333333333333</v>
      </c>
      <c r="K203" s="9" t="n">
        <f aca="false">(Assumptions!$C$155/12)</f>
        <v>833.333333333333</v>
      </c>
      <c r="L203" s="9" t="n">
        <f aca="false">(Assumptions!$C$155/12)</f>
        <v>833.333333333333</v>
      </c>
      <c r="M203" s="9" t="n">
        <f aca="false">(Assumptions!$C$155/12)</f>
        <v>833.333333333333</v>
      </c>
      <c r="N203" s="9" t="n">
        <f aca="false">(Assumptions!$C$155/12)</f>
        <v>833.333333333333</v>
      </c>
      <c r="O203" s="9" t="n">
        <f aca="false">(Assumptions!$D$155/12)</f>
        <v>1666.66666666667</v>
      </c>
      <c r="P203" s="9" t="n">
        <f aca="false">(Assumptions!$D$155/12)</f>
        <v>1666.66666666667</v>
      </c>
      <c r="Q203" s="9" t="n">
        <f aca="false">(Assumptions!$D$155/12)</f>
        <v>1666.66666666667</v>
      </c>
      <c r="R203" s="9" t="n">
        <f aca="false">(Assumptions!$D$155/12)</f>
        <v>1666.66666666667</v>
      </c>
      <c r="S203" s="9" t="n">
        <f aca="false">(Assumptions!$D$155/12)</f>
        <v>1666.66666666667</v>
      </c>
      <c r="T203" s="9" t="n">
        <f aca="false">(Assumptions!$D$155/12)</f>
        <v>1666.66666666667</v>
      </c>
      <c r="U203" s="9" t="n">
        <f aca="false">(Assumptions!$D$155/12)</f>
        <v>1666.66666666667</v>
      </c>
      <c r="V203" s="9" t="n">
        <f aca="false">(Assumptions!$D$155/12)</f>
        <v>1666.66666666667</v>
      </c>
      <c r="W203" s="9" t="n">
        <f aca="false">(Assumptions!$D$155/12)</f>
        <v>1666.66666666667</v>
      </c>
      <c r="X203" s="9" t="n">
        <f aca="false">(Assumptions!$D$155/12)</f>
        <v>1666.66666666667</v>
      </c>
      <c r="Y203" s="9" t="n">
        <f aca="false">(Assumptions!$D$155/12)</f>
        <v>1666.66666666667</v>
      </c>
      <c r="Z203" s="9" t="n">
        <f aca="false">(Assumptions!$D$155/12)</f>
        <v>1666.66666666667</v>
      </c>
      <c r="AA203" s="9" t="n">
        <f aca="false">(Assumptions!$E$155/12)</f>
        <v>2500</v>
      </c>
      <c r="AB203" s="9" t="n">
        <f aca="false">(Assumptions!$E$155/12)</f>
        <v>2500</v>
      </c>
      <c r="AC203" s="9" t="n">
        <f aca="false">(Assumptions!$E$155/12)</f>
        <v>2500</v>
      </c>
      <c r="AD203" s="9" t="n">
        <f aca="false">(Assumptions!$E$155/12)</f>
        <v>2500</v>
      </c>
      <c r="AE203" s="9" t="n">
        <f aca="false">(Assumptions!$E$155/12)</f>
        <v>2500</v>
      </c>
      <c r="AF203" s="9" t="n">
        <f aca="false">(Assumptions!$E$155/12)</f>
        <v>2500</v>
      </c>
      <c r="AG203" s="9" t="n">
        <f aca="false">(Assumptions!$E$155/12)</f>
        <v>2500</v>
      </c>
      <c r="AH203" s="9" t="n">
        <f aca="false">(Assumptions!$E$155/12)</f>
        <v>2500</v>
      </c>
      <c r="AI203" s="9" t="n">
        <f aca="false">(Assumptions!$E$155/12)</f>
        <v>2500</v>
      </c>
      <c r="AJ203" s="9" t="n">
        <f aca="false">(Assumptions!$E$155/12)</f>
        <v>2500</v>
      </c>
      <c r="AK203" s="9" t="n">
        <f aca="false">(Assumptions!$E$155/12)</f>
        <v>2500</v>
      </c>
      <c r="AL203" s="9" t="n">
        <f aca="false">(Assumptions!$E$155/12)</f>
        <v>2500</v>
      </c>
      <c r="AN203" s="11" t="n">
        <f aca="false">SUM(C203:N203)</f>
        <v>10000</v>
      </c>
      <c r="AO203" s="11" t="n">
        <f aca="false">SUM(O203:Z203)</f>
        <v>20000</v>
      </c>
      <c r="AP203" s="11" t="n">
        <f aca="false">SUM(AA203:AL203)</f>
        <v>30000</v>
      </c>
    </row>
    <row r="204" customFormat="false" ht="15" hidden="false" customHeight="false" outlineLevel="0" collapsed="false">
      <c r="A204" s="0" t="s">
        <v>1002</v>
      </c>
      <c r="B204" s="0" t="s">
        <v>230</v>
      </c>
      <c r="C204" s="9" t="n">
        <f aca="false">(Assumptions!$C$39*C134)</f>
        <v>0</v>
      </c>
      <c r="D204" s="9" t="n">
        <f aca="false">(Assumptions!$C$39*D134)</f>
        <v>0</v>
      </c>
      <c r="E204" s="9" t="n">
        <f aca="false">(Assumptions!$C$39*E134)</f>
        <v>0</v>
      </c>
      <c r="F204" s="9" t="n">
        <f aca="false">(Assumptions!$C$39*F134)</f>
        <v>0</v>
      </c>
      <c r="G204" s="9" t="n">
        <f aca="false">(Assumptions!$C$39*G134)</f>
        <v>0</v>
      </c>
      <c r="H204" s="9" t="n">
        <f aca="false">(Assumptions!$C$39*H134)</f>
        <v>0</v>
      </c>
      <c r="I204" s="9" t="n">
        <f aca="false">(Assumptions!$C$39*I134)</f>
        <v>0</v>
      </c>
      <c r="J204" s="9" t="n">
        <f aca="false">(Assumptions!$C$39*J134)</f>
        <v>0</v>
      </c>
      <c r="K204" s="9" t="n">
        <f aca="false">(Assumptions!$C$39*K134)</f>
        <v>0</v>
      </c>
      <c r="L204" s="9" t="n">
        <f aca="false">(Assumptions!$C$39*L134)</f>
        <v>0</v>
      </c>
      <c r="M204" s="9" t="n">
        <f aca="false">(Assumptions!$C$39*M134)</f>
        <v>4032</v>
      </c>
      <c r="N204" s="9" t="n">
        <f aca="false">(Assumptions!$C$39*N134)</f>
        <v>1393.92</v>
      </c>
      <c r="O204" s="9" t="n">
        <f aca="false">(Assumptions!$C$39*O134)</f>
        <v>0</v>
      </c>
      <c r="P204" s="9" t="n">
        <f aca="false">(Assumptions!$C$39*P134)</f>
        <v>12544</v>
      </c>
      <c r="Q204" s="9" t="n">
        <f aca="false">(Assumptions!$C$39*Q134)</f>
        <v>3949.44</v>
      </c>
      <c r="R204" s="9" t="n">
        <f aca="false">(Assumptions!$C$39*R134)</f>
        <v>0</v>
      </c>
      <c r="S204" s="9" t="n">
        <f aca="false">(Assumptions!$C$39*S134)</f>
        <v>16576</v>
      </c>
      <c r="T204" s="9" t="n">
        <f aca="false">(Assumptions!$C$39*T134)</f>
        <v>1626.24</v>
      </c>
      <c r="U204" s="9" t="n">
        <f aca="false">(Assumptions!$C$39*U134)</f>
        <v>0</v>
      </c>
      <c r="V204" s="9" t="n">
        <f aca="false">(Assumptions!$C$39*V134)</f>
        <v>16576</v>
      </c>
      <c r="W204" s="9" t="n">
        <f aca="false">(Assumptions!$C$39*W134)</f>
        <v>11081.952</v>
      </c>
      <c r="X204" s="9" t="n">
        <f aca="false">(Assumptions!$C$39*X134)</f>
        <v>0</v>
      </c>
      <c r="Y204" s="9" t="n">
        <f aca="false">(Assumptions!$C$39*Y134)</f>
        <v>20608</v>
      </c>
      <c r="Z204" s="9" t="n">
        <f aca="false">(Assumptions!$C$39*Z134)</f>
        <v>26237.792</v>
      </c>
      <c r="AA204" s="9" t="n">
        <f aca="false">(Assumptions!$C$39*AA134)</f>
        <v>0</v>
      </c>
      <c r="AB204" s="9" t="n">
        <f aca="false">(Assumptions!$C$39*AB134)</f>
        <v>29120</v>
      </c>
      <c r="AC204" s="9" t="n">
        <f aca="false">(Assumptions!$C$39*AC134)</f>
        <v>31546.592</v>
      </c>
      <c r="AD204" s="9" t="n">
        <f aca="false">(Assumptions!$C$39*AD134)</f>
        <v>18592</v>
      </c>
      <c r="AE204" s="9" t="n">
        <f aca="false">(Assumptions!$C$39*AE134)</f>
        <v>29120</v>
      </c>
      <c r="AF204" s="9" t="n">
        <f aca="false">(Assumptions!$C$39*AF134)</f>
        <v>33172.832</v>
      </c>
      <c r="AG204" s="9" t="n">
        <f aca="false">(Assumptions!$C$39*AG134)</f>
        <v>0</v>
      </c>
      <c r="AH204" s="9" t="n">
        <f aca="false">(Assumptions!$C$39*AH134)</f>
        <v>33152</v>
      </c>
      <c r="AI204" s="9" t="n">
        <f aca="false">(Assumptions!$C$39*AI134)</f>
        <v>56158.144</v>
      </c>
      <c r="AJ204" s="9" t="n">
        <f aca="false">(Assumptions!$C$39*AJ134)</f>
        <v>52147.2</v>
      </c>
      <c r="AK204" s="9" t="n">
        <f aca="false">(Assumptions!$C$39*AK134)</f>
        <v>42692.608</v>
      </c>
      <c r="AL204" s="9" t="n">
        <f aca="false">(Assumptions!$C$39*AL134)</f>
        <v>56158.144</v>
      </c>
      <c r="AN204" s="11" t="n">
        <f aca="false">SUM(C204:N204)</f>
        <v>5425.92</v>
      </c>
      <c r="AO204" s="11" t="n">
        <f aca="false">SUM(O204:Z204)</f>
        <v>109199.424</v>
      </c>
      <c r="AP204" s="11" t="n">
        <f aca="false">SUM(AA204:AL204)</f>
        <v>381859.52</v>
      </c>
    </row>
    <row r="205" customFormat="false" ht="15" hidden="false" customHeight="false" outlineLevel="0" collapsed="false">
      <c r="A205" s="0" t="s">
        <v>1003</v>
      </c>
      <c r="B205" s="0" t="s">
        <v>230</v>
      </c>
      <c r="C205" s="9" t="n">
        <f aca="false">((((Assumptions!$C$157+Assumptions!$C$158)+Assumptions!$C$159)+Assumptions!$C$160)/12)</f>
        <v>5000</v>
      </c>
      <c r="D205" s="9" t="n">
        <f aca="false">((((Assumptions!$C$157+Assumptions!$C$158)+Assumptions!$C$159)+Assumptions!$C$160)/12)</f>
        <v>5000</v>
      </c>
      <c r="E205" s="9" t="n">
        <f aca="false">((((Assumptions!$C$157+Assumptions!$C$158)+Assumptions!$C$159)+Assumptions!$C$160)/12)</f>
        <v>5000</v>
      </c>
      <c r="F205" s="9" t="n">
        <f aca="false">((((Assumptions!$C$157+Assumptions!$C$158)+Assumptions!$C$159)+Assumptions!$C$160)/12)</f>
        <v>5000</v>
      </c>
      <c r="G205" s="9" t="n">
        <f aca="false">((((Assumptions!$C$157+Assumptions!$C$158)+Assumptions!$C$159)+Assumptions!$C$160)/12)</f>
        <v>5000</v>
      </c>
      <c r="H205" s="9" t="n">
        <f aca="false">((((Assumptions!$C$157+Assumptions!$C$158)+Assumptions!$C$159)+Assumptions!$C$160)/12)</f>
        <v>5000</v>
      </c>
      <c r="I205" s="9" t="n">
        <f aca="false">((((Assumptions!$C$157+Assumptions!$C$158)+Assumptions!$C$159)+Assumptions!$C$160)/12)</f>
        <v>5000</v>
      </c>
      <c r="J205" s="9" t="n">
        <f aca="false">((((Assumptions!$C$157+Assumptions!$C$158)+Assumptions!$C$159)+Assumptions!$C$160)/12)</f>
        <v>5000</v>
      </c>
      <c r="K205" s="9" t="n">
        <f aca="false">((((Assumptions!$C$157+Assumptions!$C$158)+Assumptions!$C$159)+Assumptions!$C$160)/12)</f>
        <v>5000</v>
      </c>
      <c r="L205" s="9" t="n">
        <f aca="false">((((Assumptions!$C$157+Assumptions!$C$158)+Assumptions!$C$159)+Assumptions!$C$160)/12)</f>
        <v>5000</v>
      </c>
      <c r="M205" s="9" t="n">
        <f aca="false">((((Assumptions!$C$157+Assumptions!$C$158)+Assumptions!$C$159)+Assumptions!$C$160)/12)</f>
        <v>5000</v>
      </c>
      <c r="N205" s="9" t="n">
        <f aca="false">((((Assumptions!$C$157+Assumptions!$C$158)+Assumptions!$C$159)+Assumptions!$C$160)/12)</f>
        <v>5000</v>
      </c>
      <c r="O205" s="9" t="n">
        <f aca="false">((((Assumptions!$D$157+Assumptions!$D$158)+Assumptions!$D$159)+Assumptions!$D$160)/12)</f>
        <v>10833.3333333333</v>
      </c>
      <c r="P205" s="9" t="n">
        <f aca="false">((((Assumptions!$D$157+Assumptions!$D$158)+Assumptions!$D$159)+Assumptions!$D$160)/12)</f>
        <v>10833.3333333333</v>
      </c>
      <c r="Q205" s="9" t="n">
        <f aca="false">((((Assumptions!$D$157+Assumptions!$D$158)+Assumptions!$D$159)+Assumptions!$D$160)/12)</f>
        <v>10833.3333333333</v>
      </c>
      <c r="R205" s="9" t="n">
        <f aca="false">((((Assumptions!$D$157+Assumptions!$D$158)+Assumptions!$D$159)+Assumptions!$D$160)/12)</f>
        <v>10833.3333333333</v>
      </c>
      <c r="S205" s="9" t="n">
        <f aca="false">((((Assumptions!$D$157+Assumptions!$D$158)+Assumptions!$D$159)+Assumptions!$D$160)/12)</f>
        <v>10833.3333333333</v>
      </c>
      <c r="T205" s="9" t="n">
        <f aca="false">((((Assumptions!$D$157+Assumptions!$D$158)+Assumptions!$D$159)+Assumptions!$D$160)/12)</f>
        <v>10833.3333333333</v>
      </c>
      <c r="U205" s="9" t="n">
        <f aca="false">((((Assumptions!$D$157+Assumptions!$D$158)+Assumptions!$D$159)+Assumptions!$D$160)/12)</f>
        <v>10833.3333333333</v>
      </c>
      <c r="V205" s="9" t="n">
        <f aca="false">((((Assumptions!$D$157+Assumptions!$D$158)+Assumptions!$D$159)+Assumptions!$D$160)/12)</f>
        <v>10833.3333333333</v>
      </c>
      <c r="W205" s="9" t="n">
        <f aca="false">((((Assumptions!$D$157+Assumptions!$D$158)+Assumptions!$D$159)+Assumptions!$D$160)/12)</f>
        <v>10833.3333333333</v>
      </c>
      <c r="X205" s="9" t="n">
        <f aca="false">((((Assumptions!$D$157+Assumptions!$D$158)+Assumptions!$D$159)+Assumptions!$D$160)/12)</f>
        <v>10833.3333333333</v>
      </c>
      <c r="Y205" s="9" t="n">
        <f aca="false">((((Assumptions!$D$157+Assumptions!$D$158)+Assumptions!$D$159)+Assumptions!$D$160)/12)</f>
        <v>10833.3333333333</v>
      </c>
      <c r="Z205" s="9" t="n">
        <f aca="false">((((Assumptions!$D$157+Assumptions!$D$158)+Assumptions!$D$159)+Assumptions!$D$160)/12)</f>
        <v>10833.3333333333</v>
      </c>
      <c r="AA205" s="9" t="n">
        <f aca="false">((((Assumptions!$E$157+Assumptions!$E$158)+Assumptions!$E$159)+Assumptions!$E$160)/12)</f>
        <v>18333.3333333333</v>
      </c>
      <c r="AB205" s="9" t="n">
        <f aca="false">((((Assumptions!$E$157+Assumptions!$E$158)+Assumptions!$E$159)+Assumptions!$E$160)/12)</f>
        <v>18333.3333333333</v>
      </c>
      <c r="AC205" s="9" t="n">
        <f aca="false">((((Assumptions!$E$157+Assumptions!$E$158)+Assumptions!$E$159)+Assumptions!$E$160)/12)</f>
        <v>18333.3333333333</v>
      </c>
      <c r="AD205" s="9" t="n">
        <f aca="false">((((Assumptions!$E$157+Assumptions!$E$158)+Assumptions!$E$159)+Assumptions!$E$160)/12)</f>
        <v>18333.3333333333</v>
      </c>
      <c r="AE205" s="9" t="n">
        <f aca="false">((((Assumptions!$E$157+Assumptions!$E$158)+Assumptions!$E$159)+Assumptions!$E$160)/12)</f>
        <v>18333.3333333333</v>
      </c>
      <c r="AF205" s="9" t="n">
        <f aca="false">((((Assumptions!$E$157+Assumptions!$E$158)+Assumptions!$E$159)+Assumptions!$E$160)/12)</f>
        <v>18333.3333333333</v>
      </c>
      <c r="AG205" s="9" t="n">
        <f aca="false">((((Assumptions!$E$157+Assumptions!$E$158)+Assumptions!$E$159)+Assumptions!$E$160)/12)</f>
        <v>18333.3333333333</v>
      </c>
      <c r="AH205" s="9" t="n">
        <f aca="false">((((Assumptions!$E$157+Assumptions!$E$158)+Assumptions!$E$159)+Assumptions!$E$160)/12)</f>
        <v>18333.3333333333</v>
      </c>
      <c r="AI205" s="9" t="n">
        <f aca="false">((((Assumptions!$E$157+Assumptions!$E$158)+Assumptions!$E$159)+Assumptions!$E$160)/12)</f>
        <v>18333.3333333333</v>
      </c>
      <c r="AJ205" s="9" t="n">
        <f aca="false">((((Assumptions!$E$157+Assumptions!$E$158)+Assumptions!$E$159)+Assumptions!$E$160)/12)</f>
        <v>18333.3333333333</v>
      </c>
      <c r="AK205" s="9" t="n">
        <f aca="false">((((Assumptions!$E$157+Assumptions!$E$158)+Assumptions!$E$159)+Assumptions!$E$160)/12)</f>
        <v>18333.3333333333</v>
      </c>
      <c r="AL205" s="9" t="n">
        <f aca="false">((((Assumptions!$E$157+Assumptions!$E$158)+Assumptions!$E$159)+Assumptions!$E$160)/12)</f>
        <v>18333.3333333333</v>
      </c>
      <c r="AN205" s="11" t="n">
        <f aca="false">SUM(C205:N205)</f>
        <v>60000</v>
      </c>
      <c r="AO205" s="11" t="n">
        <f aca="false">SUM(O205:Z205)</f>
        <v>130000</v>
      </c>
      <c r="AP205" s="11" t="n">
        <f aca="false">SUM(AA205:AL205)</f>
        <v>220000</v>
      </c>
    </row>
    <row r="206" customFormat="false" ht="15" hidden="false" customHeight="false" outlineLevel="0" collapsed="false">
      <c r="A206" s="0" t="s">
        <v>1004</v>
      </c>
      <c r="B206" s="0" t="s">
        <v>230</v>
      </c>
      <c r="C206" s="9" t="n">
        <f aca="false">IF((C$18&gt;=Assumptions!$C$5),Assumptions!$C$134,0)</f>
        <v>0</v>
      </c>
      <c r="D206" s="9" t="n">
        <f aca="false">IF((D$18&gt;=Assumptions!$C$5),Assumptions!$C$134,0)</f>
        <v>0</v>
      </c>
      <c r="E206" s="9" t="n">
        <f aca="false">IF((E$18&gt;=Assumptions!$C$5),Assumptions!$C$134,0)</f>
        <v>0</v>
      </c>
      <c r="F206" s="9" t="n">
        <f aca="false">IF((F$18&gt;=Assumptions!$C$5),Assumptions!$C$134,0)</f>
        <v>0</v>
      </c>
      <c r="G206" s="9" t="n">
        <f aca="false">IF((G$18&gt;=Assumptions!$C$5),Assumptions!$C$134,0)</f>
        <v>0</v>
      </c>
      <c r="H206" s="9" t="n">
        <f aca="false">IF((H$18&gt;=Assumptions!$C$5),Assumptions!$C$134,0)</f>
        <v>0</v>
      </c>
      <c r="I206" s="9" t="n">
        <f aca="false">IF((I$18&gt;=Assumptions!$C$5),Assumptions!$C$134,0)</f>
        <v>0</v>
      </c>
      <c r="J206" s="9" t="n">
        <f aca="false">IF((J$18&gt;=Assumptions!$C$5),Assumptions!$C$134,0)</f>
        <v>0</v>
      </c>
      <c r="K206" s="9" t="n">
        <f aca="false">IF((K$18&gt;=Assumptions!$C$5),Assumptions!$C$134,0)</f>
        <v>0</v>
      </c>
      <c r="L206" s="9" t="n">
        <f aca="false">IF((L$18&gt;=Assumptions!$C$5),Assumptions!$C$134,0)</f>
        <v>0</v>
      </c>
      <c r="M206" s="9" t="n">
        <f aca="false">IF((M$18&gt;=Assumptions!$C$5),Assumptions!$C$134,0)</f>
        <v>0</v>
      </c>
      <c r="N206" s="9" t="n">
        <f aca="false">IF((N$18&gt;=Assumptions!$C$5),Assumptions!$C$134,0)</f>
        <v>0</v>
      </c>
      <c r="O206" s="9" t="n">
        <f aca="false">IF((O$18&gt;=Assumptions!$C$5),Assumptions!$D$134,0)</f>
        <v>3000</v>
      </c>
      <c r="P206" s="9" t="n">
        <f aca="false">IF((P$18&gt;=Assumptions!$C$5),Assumptions!$D$134,0)</f>
        <v>3000</v>
      </c>
      <c r="Q206" s="9" t="n">
        <f aca="false">IF((Q$18&gt;=Assumptions!$C$5),Assumptions!$D$134,0)</f>
        <v>3000</v>
      </c>
      <c r="R206" s="9" t="n">
        <f aca="false">IF((R$18&gt;=Assumptions!$C$5),Assumptions!$D$134,0)</f>
        <v>3000</v>
      </c>
      <c r="S206" s="9" t="n">
        <f aca="false">IF((S$18&gt;=Assumptions!$C$5),Assumptions!$D$134,0)</f>
        <v>3000</v>
      </c>
      <c r="T206" s="9" t="n">
        <f aca="false">IF((T$18&gt;=Assumptions!$C$5),Assumptions!$D$134,0)</f>
        <v>3000</v>
      </c>
      <c r="U206" s="9" t="n">
        <f aca="false">IF((U$18&gt;=Assumptions!$C$5),Assumptions!$D$134,0)</f>
        <v>3000</v>
      </c>
      <c r="V206" s="9" t="n">
        <f aca="false">IF((V$18&gt;=Assumptions!$C$5),Assumptions!$D$134,0)</f>
        <v>3000</v>
      </c>
      <c r="W206" s="9" t="n">
        <f aca="false">IF((W$18&gt;=Assumptions!$C$5),Assumptions!$D$134,0)</f>
        <v>3000</v>
      </c>
      <c r="X206" s="9" t="n">
        <f aca="false">IF((X$18&gt;=Assumptions!$C$5),Assumptions!$D$134,0)</f>
        <v>3000</v>
      </c>
      <c r="Y206" s="9" t="n">
        <f aca="false">IF((Y$18&gt;=Assumptions!$C$5),Assumptions!$D$134,0)</f>
        <v>3000</v>
      </c>
      <c r="Z206" s="9" t="n">
        <f aca="false">IF((Z$18&gt;=Assumptions!$C$5),Assumptions!$D$134,0)</f>
        <v>3000</v>
      </c>
      <c r="AA206" s="9" t="n">
        <f aca="false">IF((AA$18&gt;=Assumptions!$C$5),Assumptions!$E$134,0)</f>
        <v>5000</v>
      </c>
      <c r="AB206" s="9" t="n">
        <f aca="false">IF((AB$18&gt;=Assumptions!$C$5),Assumptions!$E$134,0)</f>
        <v>5000</v>
      </c>
      <c r="AC206" s="9" t="n">
        <f aca="false">IF((AC$18&gt;=Assumptions!$C$5),Assumptions!$E$134,0)</f>
        <v>5000</v>
      </c>
      <c r="AD206" s="9" t="n">
        <f aca="false">IF((AD$18&gt;=Assumptions!$C$5),Assumptions!$E$134,0)</f>
        <v>5000</v>
      </c>
      <c r="AE206" s="9" t="n">
        <f aca="false">IF((AE$18&gt;=Assumptions!$C$5),Assumptions!$E$134,0)</f>
        <v>5000</v>
      </c>
      <c r="AF206" s="9" t="n">
        <f aca="false">IF((AF$18&gt;=Assumptions!$C$5),Assumptions!$E$134,0)</f>
        <v>5000</v>
      </c>
      <c r="AG206" s="9" t="n">
        <f aca="false">IF((AG$18&gt;=Assumptions!$C$5),Assumptions!$E$134,0)</f>
        <v>5000</v>
      </c>
      <c r="AH206" s="9" t="n">
        <f aca="false">IF((AH$18&gt;=Assumptions!$C$5),Assumptions!$E$134,0)</f>
        <v>5000</v>
      </c>
      <c r="AI206" s="9" t="n">
        <f aca="false">IF((AI$18&gt;=Assumptions!$C$5),Assumptions!$E$134,0)</f>
        <v>5000</v>
      </c>
      <c r="AJ206" s="9" t="n">
        <f aca="false">IF((AJ$18&gt;=Assumptions!$C$5),Assumptions!$E$134,0)</f>
        <v>5000</v>
      </c>
      <c r="AK206" s="9" t="n">
        <f aca="false">IF((AK$18&gt;=Assumptions!$C$5),Assumptions!$E$134,0)</f>
        <v>5000</v>
      </c>
      <c r="AL206" s="9" t="n">
        <f aca="false">IF((AL$18&gt;=Assumptions!$C$5),Assumptions!$E$134,0)</f>
        <v>5000</v>
      </c>
      <c r="AN206" s="11" t="n">
        <f aca="false">SUM(C206:N206)</f>
        <v>0</v>
      </c>
      <c r="AO206" s="11" t="n">
        <f aca="false">SUM(O206:Z206)</f>
        <v>36000</v>
      </c>
      <c r="AP206" s="11" t="n">
        <f aca="false">SUM(AA206:AL206)</f>
        <v>60000</v>
      </c>
    </row>
    <row r="207" customFormat="false" ht="15" hidden="false" customHeight="false" outlineLevel="0" collapsed="false">
      <c r="A207" s="0" t="s">
        <v>1005</v>
      </c>
      <c r="B207" s="0" t="s">
        <v>230</v>
      </c>
      <c r="C207" s="9" t="n">
        <f aca="false">((((Assumptions!$C$161+Assumptions!$C$162)+Assumptions!$C$163)+Assumptions!$C$164)/12)</f>
        <v>4833.33333333333</v>
      </c>
      <c r="D207" s="9" t="n">
        <f aca="false">((((Assumptions!$C$161+Assumptions!$C$162)+Assumptions!$C$163)+Assumptions!$C$164)/12)</f>
        <v>4833.33333333333</v>
      </c>
      <c r="E207" s="9" t="n">
        <f aca="false">((((Assumptions!$C$161+Assumptions!$C$162)+Assumptions!$C$163)+Assumptions!$C$164)/12)</f>
        <v>4833.33333333333</v>
      </c>
      <c r="F207" s="9" t="n">
        <f aca="false">((((Assumptions!$C$161+Assumptions!$C$162)+Assumptions!$C$163)+Assumptions!$C$164)/12)</f>
        <v>4833.33333333333</v>
      </c>
      <c r="G207" s="9" t="n">
        <f aca="false">((((Assumptions!$C$161+Assumptions!$C$162)+Assumptions!$C$163)+Assumptions!$C$164)/12)</f>
        <v>4833.33333333333</v>
      </c>
      <c r="H207" s="9" t="n">
        <f aca="false">((((Assumptions!$C$161+Assumptions!$C$162)+Assumptions!$C$163)+Assumptions!$C$164)/12)</f>
        <v>4833.33333333333</v>
      </c>
      <c r="I207" s="9" t="n">
        <f aca="false">((((Assumptions!$C$161+Assumptions!$C$162)+Assumptions!$C$163)+Assumptions!$C$164)/12)</f>
        <v>4833.33333333333</v>
      </c>
      <c r="J207" s="9" t="n">
        <f aca="false">((((Assumptions!$C$161+Assumptions!$C$162)+Assumptions!$C$163)+Assumptions!$C$164)/12)</f>
        <v>4833.33333333333</v>
      </c>
      <c r="K207" s="9" t="n">
        <f aca="false">((((Assumptions!$C$161+Assumptions!$C$162)+Assumptions!$C$163)+Assumptions!$C$164)/12)</f>
        <v>4833.33333333333</v>
      </c>
      <c r="L207" s="9" t="n">
        <f aca="false">((((Assumptions!$C$161+Assumptions!$C$162)+Assumptions!$C$163)+Assumptions!$C$164)/12)</f>
        <v>4833.33333333333</v>
      </c>
      <c r="M207" s="9" t="n">
        <f aca="false">((((Assumptions!$C$161+Assumptions!$C$162)+Assumptions!$C$163)+Assumptions!$C$164)/12)</f>
        <v>4833.33333333333</v>
      </c>
      <c r="N207" s="9" t="n">
        <f aca="false">((((Assumptions!$C$161+Assumptions!$C$162)+Assumptions!$C$163)+Assumptions!$C$164)/12)</f>
        <v>4833.33333333333</v>
      </c>
      <c r="O207" s="9" t="n">
        <f aca="false">((((Assumptions!$D$161+Assumptions!$D$162)+Assumptions!$D$163)+Assumptions!$D$164)/12)</f>
        <v>11083.3333333333</v>
      </c>
      <c r="P207" s="9" t="n">
        <f aca="false">((((Assumptions!$D$161+Assumptions!$D$162)+Assumptions!$D$163)+Assumptions!$D$164)/12)</f>
        <v>11083.3333333333</v>
      </c>
      <c r="Q207" s="9" t="n">
        <f aca="false">((((Assumptions!$D$161+Assumptions!$D$162)+Assumptions!$D$163)+Assumptions!$D$164)/12)</f>
        <v>11083.3333333333</v>
      </c>
      <c r="R207" s="9" t="n">
        <f aca="false">((((Assumptions!$D$161+Assumptions!$D$162)+Assumptions!$D$163)+Assumptions!$D$164)/12)</f>
        <v>11083.3333333333</v>
      </c>
      <c r="S207" s="9" t="n">
        <f aca="false">((((Assumptions!$D$161+Assumptions!$D$162)+Assumptions!$D$163)+Assumptions!$D$164)/12)</f>
        <v>11083.3333333333</v>
      </c>
      <c r="T207" s="9" t="n">
        <f aca="false">((((Assumptions!$D$161+Assumptions!$D$162)+Assumptions!$D$163)+Assumptions!$D$164)/12)</f>
        <v>11083.3333333333</v>
      </c>
      <c r="U207" s="9" t="n">
        <f aca="false">((((Assumptions!$D$161+Assumptions!$D$162)+Assumptions!$D$163)+Assumptions!$D$164)/12)</f>
        <v>11083.3333333333</v>
      </c>
      <c r="V207" s="9" t="n">
        <f aca="false">((((Assumptions!$D$161+Assumptions!$D$162)+Assumptions!$D$163)+Assumptions!$D$164)/12)</f>
        <v>11083.3333333333</v>
      </c>
      <c r="W207" s="9" t="n">
        <f aca="false">((((Assumptions!$D$161+Assumptions!$D$162)+Assumptions!$D$163)+Assumptions!$D$164)/12)</f>
        <v>11083.3333333333</v>
      </c>
      <c r="X207" s="9" t="n">
        <f aca="false">((((Assumptions!$D$161+Assumptions!$D$162)+Assumptions!$D$163)+Assumptions!$D$164)/12)</f>
        <v>11083.3333333333</v>
      </c>
      <c r="Y207" s="9" t="n">
        <f aca="false">((((Assumptions!$D$161+Assumptions!$D$162)+Assumptions!$D$163)+Assumptions!$D$164)/12)</f>
        <v>11083.3333333333</v>
      </c>
      <c r="Z207" s="9" t="n">
        <f aca="false">((((Assumptions!$D$161+Assumptions!$D$162)+Assumptions!$D$163)+Assumptions!$D$164)/12)</f>
        <v>11083.3333333333</v>
      </c>
      <c r="AA207" s="9" t="n">
        <f aca="false">((((Assumptions!$E$161+Assumptions!$E$162)+Assumptions!$E$163)+Assumptions!$E$164)/12)</f>
        <v>19166.6666666667</v>
      </c>
      <c r="AB207" s="9" t="n">
        <f aca="false">((((Assumptions!$E$161+Assumptions!$E$162)+Assumptions!$E$163)+Assumptions!$E$164)/12)</f>
        <v>19166.6666666667</v>
      </c>
      <c r="AC207" s="9" t="n">
        <f aca="false">((((Assumptions!$E$161+Assumptions!$E$162)+Assumptions!$E$163)+Assumptions!$E$164)/12)</f>
        <v>19166.6666666667</v>
      </c>
      <c r="AD207" s="9" t="n">
        <f aca="false">((((Assumptions!$E$161+Assumptions!$E$162)+Assumptions!$E$163)+Assumptions!$E$164)/12)</f>
        <v>19166.6666666667</v>
      </c>
      <c r="AE207" s="9" t="n">
        <f aca="false">((((Assumptions!$E$161+Assumptions!$E$162)+Assumptions!$E$163)+Assumptions!$E$164)/12)</f>
        <v>19166.6666666667</v>
      </c>
      <c r="AF207" s="9" t="n">
        <f aca="false">((((Assumptions!$E$161+Assumptions!$E$162)+Assumptions!$E$163)+Assumptions!$E$164)/12)</f>
        <v>19166.6666666667</v>
      </c>
      <c r="AG207" s="9" t="n">
        <f aca="false">((((Assumptions!$E$161+Assumptions!$E$162)+Assumptions!$E$163)+Assumptions!$E$164)/12)</f>
        <v>19166.6666666667</v>
      </c>
      <c r="AH207" s="9" t="n">
        <f aca="false">((((Assumptions!$E$161+Assumptions!$E$162)+Assumptions!$E$163)+Assumptions!$E$164)/12)</f>
        <v>19166.6666666667</v>
      </c>
      <c r="AI207" s="9" t="n">
        <f aca="false">((((Assumptions!$E$161+Assumptions!$E$162)+Assumptions!$E$163)+Assumptions!$E$164)/12)</f>
        <v>19166.6666666667</v>
      </c>
      <c r="AJ207" s="9" t="n">
        <f aca="false">((((Assumptions!$E$161+Assumptions!$E$162)+Assumptions!$E$163)+Assumptions!$E$164)/12)</f>
        <v>19166.6666666667</v>
      </c>
      <c r="AK207" s="9" t="n">
        <f aca="false">((((Assumptions!$E$161+Assumptions!$E$162)+Assumptions!$E$163)+Assumptions!$E$164)/12)</f>
        <v>19166.6666666667</v>
      </c>
      <c r="AL207" s="9" t="n">
        <f aca="false">((((Assumptions!$E$161+Assumptions!$E$162)+Assumptions!$E$163)+Assumptions!$E$164)/12)</f>
        <v>19166.6666666667</v>
      </c>
      <c r="AN207" s="11" t="n">
        <f aca="false">SUM(C207:N207)</f>
        <v>58000</v>
      </c>
      <c r="AO207" s="11" t="n">
        <f aca="false">SUM(O207:Z207)</f>
        <v>133000</v>
      </c>
      <c r="AP207" s="11" t="n">
        <f aca="false">SUM(AA207:AL207)</f>
        <v>230000</v>
      </c>
    </row>
    <row r="208" customFormat="false" ht="15" hidden="false" customHeight="false" outlineLevel="0" collapsed="false">
      <c r="A208" s="0" t="s">
        <v>1006</v>
      </c>
      <c r="B208" s="0" t="s">
        <v>230</v>
      </c>
      <c r="C208" s="9" t="n">
        <f aca="false">(C196*((Assumptions!$C$98+Assumptions!$C$99)+Assumptions!$C$100))</f>
        <v>3740</v>
      </c>
      <c r="D208" s="9" t="n">
        <f aca="false">(D196*((Assumptions!$C$98+Assumptions!$C$99)+Assumptions!$C$100))</f>
        <v>3740</v>
      </c>
      <c r="E208" s="9" t="n">
        <f aca="false">(E196*((Assumptions!$C$98+Assumptions!$C$99)+Assumptions!$C$100))</f>
        <v>4590</v>
      </c>
      <c r="F208" s="9" t="n">
        <f aca="false">(F196*((Assumptions!$C$98+Assumptions!$C$99)+Assumptions!$C$100))</f>
        <v>5440</v>
      </c>
      <c r="G208" s="9" t="n">
        <f aca="false">(G196*((Assumptions!$C$98+Assumptions!$C$99)+Assumptions!$C$100))</f>
        <v>7140</v>
      </c>
      <c r="H208" s="9" t="n">
        <f aca="false">(H196*((Assumptions!$C$98+Assumptions!$C$99)+Assumptions!$C$100))</f>
        <v>8840</v>
      </c>
      <c r="I208" s="9" t="n">
        <f aca="false">(I196*((Assumptions!$C$98+Assumptions!$C$99)+Assumptions!$C$100))</f>
        <v>9690</v>
      </c>
      <c r="J208" s="9" t="n">
        <f aca="false">(J196*((Assumptions!$C$98+Assumptions!$C$99)+Assumptions!$C$100))</f>
        <v>9690</v>
      </c>
      <c r="K208" s="9" t="n">
        <f aca="false">(K196*((Assumptions!$C$98+Assumptions!$C$99)+Assumptions!$C$100))</f>
        <v>12240</v>
      </c>
      <c r="L208" s="9" t="n">
        <f aca="false">(L196*((Assumptions!$C$98+Assumptions!$C$99)+Assumptions!$C$100))</f>
        <v>13090</v>
      </c>
      <c r="M208" s="9" t="n">
        <f aca="false">(M196*((Assumptions!$C$98+Assumptions!$C$99)+Assumptions!$C$100))</f>
        <v>14790</v>
      </c>
      <c r="N208" s="9" t="n">
        <f aca="false">(N196*((Assumptions!$C$98+Assumptions!$C$99)+Assumptions!$C$100))</f>
        <v>15640</v>
      </c>
      <c r="O208" s="9" t="n">
        <f aca="false">(O196*((Assumptions!$C$98+Assumptions!$C$99)+Assumptions!$C$100))</f>
        <v>17340</v>
      </c>
      <c r="P208" s="9" t="n">
        <f aca="false">(P196*((Assumptions!$C$98+Assumptions!$C$99)+Assumptions!$C$100))</f>
        <v>18190</v>
      </c>
      <c r="Q208" s="9" t="n">
        <f aca="false">(Q196*((Assumptions!$C$98+Assumptions!$C$99)+Assumptions!$C$100))</f>
        <v>19890</v>
      </c>
      <c r="R208" s="9" t="n">
        <f aca="false">(R196*((Assumptions!$C$98+Assumptions!$C$99)+Assumptions!$C$100))</f>
        <v>19890</v>
      </c>
      <c r="S208" s="9" t="n">
        <f aca="false">(S196*((Assumptions!$C$98+Assumptions!$C$99)+Assumptions!$C$100))</f>
        <v>19890</v>
      </c>
      <c r="T208" s="9" t="n">
        <f aca="false">(T196*((Assumptions!$C$98+Assumptions!$C$99)+Assumptions!$C$100))</f>
        <v>21590</v>
      </c>
      <c r="U208" s="9" t="n">
        <f aca="false">(U196*((Assumptions!$C$98+Assumptions!$C$99)+Assumptions!$C$100))</f>
        <v>22440</v>
      </c>
      <c r="V208" s="9" t="n">
        <f aca="false">(V196*((Assumptions!$C$98+Assumptions!$C$99)+Assumptions!$C$100))</f>
        <v>24140</v>
      </c>
      <c r="W208" s="9" t="n">
        <f aca="false">(W196*((Assumptions!$C$98+Assumptions!$C$99)+Assumptions!$C$100))</f>
        <v>24140</v>
      </c>
      <c r="X208" s="9" t="n">
        <f aca="false">(X196*((Assumptions!$C$98+Assumptions!$C$99)+Assumptions!$C$100))</f>
        <v>25840</v>
      </c>
      <c r="Y208" s="9" t="n">
        <f aca="false">(Y196*((Assumptions!$C$98+Assumptions!$C$99)+Assumptions!$C$100))</f>
        <v>25840</v>
      </c>
      <c r="Z208" s="9" t="n">
        <f aca="false">(Z196*((Assumptions!$C$98+Assumptions!$C$99)+Assumptions!$C$100))</f>
        <v>26690</v>
      </c>
      <c r="AA208" s="9" t="n">
        <f aca="false">(AA196*((Assumptions!$C$98+Assumptions!$C$99)+Assumptions!$C$100))</f>
        <v>27540</v>
      </c>
      <c r="AB208" s="9" t="n">
        <f aca="false">(AB196*((Assumptions!$C$98+Assumptions!$C$99)+Assumptions!$C$100))</f>
        <v>29240</v>
      </c>
      <c r="AC208" s="9" t="n">
        <f aca="false">(AC196*((Assumptions!$C$98+Assumptions!$C$99)+Assumptions!$C$100))</f>
        <v>29240</v>
      </c>
      <c r="AD208" s="9" t="n">
        <f aca="false">(AD196*((Assumptions!$C$98+Assumptions!$C$99)+Assumptions!$C$100))</f>
        <v>30940</v>
      </c>
      <c r="AE208" s="9" t="n">
        <f aca="false">(AE196*((Assumptions!$C$98+Assumptions!$C$99)+Assumptions!$C$100))</f>
        <v>30940</v>
      </c>
      <c r="AF208" s="9" t="n">
        <f aca="false">(AF196*((Assumptions!$C$98+Assumptions!$C$99)+Assumptions!$C$100))</f>
        <v>31790</v>
      </c>
      <c r="AG208" s="9" t="n">
        <f aca="false">(AG196*((Assumptions!$C$98+Assumptions!$C$99)+Assumptions!$C$100))</f>
        <v>32640</v>
      </c>
      <c r="AH208" s="9" t="n">
        <f aca="false">(AH196*((Assumptions!$C$98+Assumptions!$C$99)+Assumptions!$C$100))</f>
        <v>33490</v>
      </c>
      <c r="AI208" s="9" t="n">
        <f aca="false">(AI196*((Assumptions!$C$98+Assumptions!$C$99)+Assumptions!$C$100))</f>
        <v>34340</v>
      </c>
      <c r="AJ208" s="9" t="n">
        <f aca="false">(AJ196*((Assumptions!$C$98+Assumptions!$C$99)+Assumptions!$C$100))</f>
        <v>34340</v>
      </c>
      <c r="AK208" s="9" t="n">
        <f aca="false">(AK196*((Assumptions!$C$98+Assumptions!$C$99)+Assumptions!$C$100))</f>
        <v>34340</v>
      </c>
      <c r="AL208" s="9" t="n">
        <f aca="false">(AL196*((Assumptions!$C$98+Assumptions!$C$99)+Assumptions!$C$100))</f>
        <v>34340</v>
      </c>
      <c r="AN208" s="11" t="n">
        <f aca="false">SUM(C208:N208)</f>
        <v>108630</v>
      </c>
      <c r="AO208" s="11" t="n">
        <f aca="false">SUM(O208:Z208)</f>
        <v>265880</v>
      </c>
      <c r="AP208" s="11" t="n">
        <f aca="false">SUM(AA208:AL208)</f>
        <v>383180</v>
      </c>
    </row>
    <row r="209" customFormat="false" ht="15" hidden="false" customHeight="false" outlineLevel="0" collapsed="false">
      <c r="A209" s="0" t="s">
        <v>1007</v>
      </c>
      <c r="B209" s="0" t="s">
        <v>230</v>
      </c>
      <c r="C209" s="9" t="n">
        <f aca="false">(C198*(Assumptions!$C$101+Assumptions!$C$102))</f>
        <v>0</v>
      </c>
      <c r="D209" s="9" t="n">
        <f aca="false">(D198*(Assumptions!$C$101+Assumptions!$C$102))</f>
        <v>0</v>
      </c>
      <c r="E209" s="9" t="n">
        <f aca="false">(E198*(Assumptions!$C$101+Assumptions!$C$102))</f>
        <v>11800</v>
      </c>
      <c r="F209" s="9" t="n">
        <f aca="false">(F198*(Assumptions!$C$101+Assumptions!$C$102))</f>
        <v>11800</v>
      </c>
      <c r="G209" s="9" t="n">
        <f aca="false">(G198*(Assumptions!$C$101+Assumptions!$C$102))</f>
        <v>23600</v>
      </c>
      <c r="H209" s="9" t="n">
        <f aca="false">(H198*(Assumptions!$C$101+Assumptions!$C$102))</f>
        <v>23600</v>
      </c>
      <c r="I209" s="9" t="n">
        <f aca="false">(I198*(Assumptions!$C$101+Assumptions!$C$102))</f>
        <v>11800</v>
      </c>
      <c r="J209" s="9" t="n">
        <f aca="false">(J198*(Assumptions!$C$101+Assumptions!$C$102))</f>
        <v>0</v>
      </c>
      <c r="K209" s="9" t="n">
        <f aca="false">(K198*(Assumptions!$C$101+Assumptions!$C$102))</f>
        <v>35400</v>
      </c>
      <c r="L209" s="9" t="n">
        <f aca="false">(L198*(Assumptions!$C$101+Assumptions!$C$102))</f>
        <v>11800</v>
      </c>
      <c r="M209" s="9" t="n">
        <f aca="false">(M198*(Assumptions!$C$101+Assumptions!$C$102))</f>
        <v>23600</v>
      </c>
      <c r="N209" s="9" t="n">
        <f aca="false">(N198*(Assumptions!$C$101+Assumptions!$C$102))</f>
        <v>11800</v>
      </c>
      <c r="O209" s="9" t="n">
        <f aca="false">(O198*(Assumptions!$C$101+Assumptions!$C$102))</f>
        <v>23600</v>
      </c>
      <c r="P209" s="9" t="n">
        <f aca="false">(P198*(Assumptions!$C$101+Assumptions!$C$102))</f>
        <v>11800</v>
      </c>
      <c r="Q209" s="9" t="n">
        <f aca="false">(Q198*(Assumptions!$C$101+Assumptions!$C$102))</f>
        <v>23600</v>
      </c>
      <c r="R209" s="9" t="n">
        <f aca="false">(R198*(Assumptions!$C$101+Assumptions!$C$102))</f>
        <v>0</v>
      </c>
      <c r="S209" s="9" t="n">
        <f aca="false">(S198*(Assumptions!$C$101+Assumptions!$C$102))</f>
        <v>0</v>
      </c>
      <c r="T209" s="9" t="n">
        <f aca="false">(T198*(Assumptions!$C$101+Assumptions!$C$102))</f>
        <v>23600</v>
      </c>
      <c r="U209" s="9" t="n">
        <f aca="false">(U198*(Assumptions!$C$101+Assumptions!$C$102))</f>
        <v>11800</v>
      </c>
      <c r="V209" s="9" t="n">
        <f aca="false">(V198*(Assumptions!$C$101+Assumptions!$C$102))</f>
        <v>23600</v>
      </c>
      <c r="W209" s="9" t="n">
        <f aca="false">(W198*(Assumptions!$C$101+Assumptions!$C$102))</f>
        <v>0</v>
      </c>
      <c r="X209" s="9" t="n">
        <f aca="false">(X198*(Assumptions!$C$101+Assumptions!$C$102))</f>
        <v>23600</v>
      </c>
      <c r="Y209" s="9" t="n">
        <f aca="false">(Y198*(Assumptions!$C$101+Assumptions!$C$102))</f>
        <v>0</v>
      </c>
      <c r="Z209" s="9" t="n">
        <f aca="false">(Z198*(Assumptions!$C$101+Assumptions!$C$102))</f>
        <v>11800</v>
      </c>
      <c r="AA209" s="9" t="n">
        <f aca="false">(AA198*(Assumptions!$C$101+Assumptions!$C$102))</f>
        <v>11800</v>
      </c>
      <c r="AB209" s="9" t="n">
        <f aca="false">(AB198*(Assumptions!$C$101+Assumptions!$C$102))</f>
        <v>23600</v>
      </c>
      <c r="AC209" s="9" t="n">
        <f aca="false">(AC198*(Assumptions!$C$101+Assumptions!$C$102))</f>
        <v>0</v>
      </c>
      <c r="AD209" s="9" t="n">
        <f aca="false">(AD198*(Assumptions!$C$101+Assumptions!$C$102))</f>
        <v>23600</v>
      </c>
      <c r="AE209" s="9" t="n">
        <f aca="false">(AE198*(Assumptions!$C$101+Assumptions!$C$102))</f>
        <v>0</v>
      </c>
      <c r="AF209" s="9" t="n">
        <f aca="false">(AF198*(Assumptions!$C$101+Assumptions!$C$102))</f>
        <v>11800</v>
      </c>
      <c r="AG209" s="9" t="n">
        <f aca="false">(AG198*(Assumptions!$C$101+Assumptions!$C$102))</f>
        <v>11800</v>
      </c>
      <c r="AH209" s="9" t="n">
        <f aca="false">(AH198*(Assumptions!$C$101+Assumptions!$C$102))</f>
        <v>11800</v>
      </c>
      <c r="AI209" s="9" t="n">
        <f aca="false">(AI198*(Assumptions!$C$101+Assumptions!$C$102))</f>
        <v>11800</v>
      </c>
      <c r="AJ209" s="9" t="n">
        <f aca="false">(AJ198*(Assumptions!$C$101+Assumptions!$C$102))</f>
        <v>0</v>
      </c>
      <c r="AK209" s="9" t="n">
        <f aca="false">(AK198*(Assumptions!$C$101+Assumptions!$C$102))</f>
        <v>0</v>
      </c>
      <c r="AL209" s="9" t="n">
        <f aca="false">(AL198*(Assumptions!$C$101+Assumptions!$C$102))</f>
        <v>0</v>
      </c>
      <c r="AN209" s="11" t="n">
        <f aca="false">SUM(C209:N209)</f>
        <v>165200</v>
      </c>
      <c r="AO209" s="11" t="n">
        <f aca="false">SUM(O209:Z209)</f>
        <v>153400</v>
      </c>
      <c r="AP209" s="11" t="n">
        <f aca="false">SUM(AA209:AL209)</f>
        <v>106200</v>
      </c>
    </row>
    <row r="210" customFormat="false" ht="15" hidden="false" customHeight="false" outlineLevel="0" collapsed="false">
      <c r="A210" s="0" t="s">
        <v>1008</v>
      </c>
      <c r="B210" s="0" t="s">
        <v>230</v>
      </c>
      <c r="C210" s="9" t="n">
        <f aca="false">(Assumptions!$C$103*((((((C199+C200)+C201)+C202)+C203)+C205)+C207))</f>
        <v>1791.66666666667</v>
      </c>
      <c r="D210" s="9" t="n">
        <f aca="false">(Assumptions!$C$103*((((((D199+D200)+D201)+D202)+D203)+D205)+D207))</f>
        <v>1791.66666666667</v>
      </c>
      <c r="E210" s="9" t="n">
        <f aca="false">(Assumptions!$C$103*((((((E199+E200)+E201)+E202)+E203)+E205)+E207))</f>
        <v>1791.66666666667</v>
      </c>
      <c r="F210" s="9" t="n">
        <f aca="false">(Assumptions!$C$103*((((((F199+F200)+F201)+F202)+F203)+F205)+F207))</f>
        <v>1791.66666666667</v>
      </c>
      <c r="G210" s="9" t="n">
        <f aca="false">(Assumptions!$C$103*((((((G199+G200)+G201)+G202)+G203)+G205)+G207))</f>
        <v>1791.66666666667</v>
      </c>
      <c r="H210" s="9" t="n">
        <f aca="false">(Assumptions!$C$103*((((((H199+H200)+H201)+H202)+H203)+H205)+H207))</f>
        <v>1791.66666666667</v>
      </c>
      <c r="I210" s="9" t="n">
        <f aca="false">(Assumptions!$C$103*((((((I199+I200)+I201)+I202)+I203)+I205)+I207))</f>
        <v>1791.66666666667</v>
      </c>
      <c r="J210" s="9" t="n">
        <f aca="false">(Assumptions!$C$103*((((((J199+J200)+J201)+J202)+J203)+J205)+J207))</f>
        <v>1791.66666666667</v>
      </c>
      <c r="K210" s="9" t="n">
        <f aca="false">(Assumptions!$C$103*((((((K199+K200)+K201)+K202)+K203)+K205)+K207))</f>
        <v>1791.66666666667</v>
      </c>
      <c r="L210" s="9" t="n">
        <f aca="false">(Assumptions!$C$103*((((((L199+L200)+L201)+L202)+L203)+L205)+L207))</f>
        <v>1791.66666666667</v>
      </c>
      <c r="M210" s="9" t="n">
        <f aca="false">(Assumptions!$C$103*((((((M199+M200)+M201)+M202)+M203)+M205)+M207))</f>
        <v>1791.66666666667</v>
      </c>
      <c r="N210" s="9" t="n">
        <f aca="false">(Assumptions!$C$103*((((((N199+N200)+N201)+N202)+N203)+N205)+N207))</f>
        <v>1791.66666666667</v>
      </c>
      <c r="O210" s="9" t="n">
        <f aca="false">(Assumptions!$C$103*((((((O199+O200)+O201)+O202)+O203)+O205)+O207))</f>
        <v>3058.33333333333</v>
      </c>
      <c r="P210" s="9" t="n">
        <f aca="false">(Assumptions!$C$103*((((((P199+P200)+P201)+P202)+P203)+P205)+P207))</f>
        <v>3058.33333333333</v>
      </c>
      <c r="Q210" s="9" t="n">
        <f aca="false">(Assumptions!$C$103*((((((Q199+Q200)+Q201)+Q202)+Q203)+Q205)+Q207))</f>
        <v>3058.33333333333</v>
      </c>
      <c r="R210" s="9" t="n">
        <f aca="false">(Assumptions!$C$103*((((((R199+R200)+R201)+R202)+R203)+R205)+R207))</f>
        <v>3058.33333333333</v>
      </c>
      <c r="S210" s="9" t="n">
        <f aca="false">(Assumptions!$C$103*((((((S199+S200)+S201)+S202)+S203)+S205)+S207))</f>
        <v>3058.33333333333</v>
      </c>
      <c r="T210" s="9" t="n">
        <f aca="false">(Assumptions!$C$103*((((((T199+T200)+T201)+T202)+T203)+T205)+T207))</f>
        <v>3058.33333333333</v>
      </c>
      <c r="U210" s="9" t="n">
        <f aca="false">(Assumptions!$C$103*((((((U199+U200)+U201)+U202)+U203)+U205)+U207))</f>
        <v>3058.33333333333</v>
      </c>
      <c r="V210" s="9" t="n">
        <f aca="false">(Assumptions!$C$103*((((((V199+V200)+V201)+V202)+V203)+V205)+V207))</f>
        <v>3058.33333333333</v>
      </c>
      <c r="W210" s="9" t="n">
        <f aca="false">(Assumptions!$C$103*((((((W199+W200)+W201)+W202)+W203)+W205)+W207))</f>
        <v>3058.33333333333</v>
      </c>
      <c r="X210" s="9" t="n">
        <f aca="false">(Assumptions!$C$103*((((((X199+X200)+X201)+X202)+X203)+X205)+X207))</f>
        <v>3058.33333333333</v>
      </c>
      <c r="Y210" s="9" t="n">
        <f aca="false">(Assumptions!$C$103*((((((Y199+Y200)+Y201)+Y202)+Y203)+Y205)+Y207))</f>
        <v>3058.33333333333</v>
      </c>
      <c r="Z210" s="9" t="n">
        <f aca="false">(Assumptions!$C$103*((((((Z199+Z200)+Z201)+Z202)+Z203)+Z205)+Z207))</f>
        <v>3058.33333333333</v>
      </c>
      <c r="AA210" s="9" t="n">
        <f aca="false">(Assumptions!$C$103*((((((AA199+AA200)+AA201)+AA202)+AA203)+AA205)+AA207))</f>
        <v>4754.16666666667</v>
      </c>
      <c r="AB210" s="9" t="n">
        <f aca="false">(Assumptions!$C$103*((((((AB199+AB200)+AB201)+AB202)+AB203)+AB205)+AB207))</f>
        <v>4754.16666666667</v>
      </c>
      <c r="AC210" s="9" t="n">
        <f aca="false">(Assumptions!$C$103*((((((AC199+AC200)+AC201)+AC202)+AC203)+AC205)+AC207))</f>
        <v>4754.16666666667</v>
      </c>
      <c r="AD210" s="9" t="n">
        <f aca="false">(Assumptions!$C$103*((((((AD199+AD200)+AD201)+AD202)+AD203)+AD205)+AD207))</f>
        <v>4754.16666666667</v>
      </c>
      <c r="AE210" s="9" t="n">
        <f aca="false">(Assumptions!$C$103*((((((AE199+AE200)+AE201)+AE202)+AE203)+AE205)+AE207))</f>
        <v>4754.16666666667</v>
      </c>
      <c r="AF210" s="9" t="n">
        <f aca="false">(Assumptions!$C$103*((((((AF199+AF200)+AF201)+AF202)+AF203)+AF205)+AF207))</f>
        <v>4754.16666666667</v>
      </c>
      <c r="AG210" s="9" t="n">
        <f aca="false">(Assumptions!$C$103*((((((AG199+AG200)+AG201)+AG202)+AG203)+AG205)+AG207))</f>
        <v>4754.16666666667</v>
      </c>
      <c r="AH210" s="9" t="n">
        <f aca="false">(Assumptions!$C$103*((((((AH199+AH200)+AH201)+AH202)+AH203)+AH205)+AH207))</f>
        <v>4754.16666666667</v>
      </c>
      <c r="AI210" s="9" t="n">
        <f aca="false">(Assumptions!$C$103*((((((AI199+AI200)+AI201)+AI202)+AI203)+AI205)+AI207))</f>
        <v>4754.16666666667</v>
      </c>
      <c r="AJ210" s="9" t="n">
        <f aca="false">(Assumptions!$C$103*((((((AJ199+AJ200)+AJ201)+AJ202)+AJ203)+AJ205)+AJ207))</f>
        <v>4754.16666666667</v>
      </c>
      <c r="AK210" s="9" t="n">
        <f aca="false">(Assumptions!$C$103*((((((AK199+AK200)+AK201)+AK202)+AK203)+AK205)+AK207))</f>
        <v>4754.16666666667</v>
      </c>
      <c r="AL210" s="9" t="n">
        <f aca="false">(Assumptions!$C$103*((((((AL199+AL200)+AL201)+AL202)+AL203)+AL205)+AL207))</f>
        <v>4754.16666666667</v>
      </c>
      <c r="AN210" s="11" t="n">
        <f aca="false">SUM(C210:N210)</f>
        <v>21500</v>
      </c>
      <c r="AO210" s="11" t="n">
        <f aca="false">SUM(O210:Z210)</f>
        <v>36700</v>
      </c>
      <c r="AP210" s="11" t="n">
        <f aca="false">SUM(AA210:AL210)</f>
        <v>57050</v>
      </c>
    </row>
    <row r="211" customFormat="false" ht="15" hidden="false" customHeight="false" outlineLevel="0" collapsed="false">
      <c r="A211" s="0" t="s">
        <v>1009</v>
      </c>
      <c r="B211" s="0" t="s">
        <v>230</v>
      </c>
      <c r="C211" s="9" t="n">
        <f aca="false">(Assumptions!$C$33*C152)</f>
        <v>0</v>
      </c>
      <c r="D211" s="9" t="n">
        <f aca="false">(Assumptions!$C$33*D152)</f>
        <v>0</v>
      </c>
      <c r="E211" s="9" t="n">
        <f aca="false">(Assumptions!$C$33*E152)</f>
        <v>0</v>
      </c>
      <c r="F211" s="9" t="n">
        <f aca="false">(Assumptions!$C$33*F152)</f>
        <v>0</v>
      </c>
      <c r="G211" s="9" t="n">
        <f aca="false">(Assumptions!$C$33*G152)</f>
        <v>0</v>
      </c>
      <c r="H211" s="9" t="n">
        <f aca="false">(Assumptions!$C$33*H152)</f>
        <v>0</v>
      </c>
      <c r="I211" s="9" t="n">
        <f aca="false">(Assumptions!$C$33*I152)</f>
        <v>0</v>
      </c>
      <c r="J211" s="9" t="n">
        <f aca="false">(Assumptions!$C$33*J152)</f>
        <v>0</v>
      </c>
      <c r="K211" s="9" t="n">
        <f aca="false">(Assumptions!$C$33*K152)</f>
        <v>0</v>
      </c>
      <c r="L211" s="9" t="n">
        <f aca="false">(Assumptions!$C$33*L152)</f>
        <v>0</v>
      </c>
      <c r="M211" s="9" t="n">
        <f aca="false">(Assumptions!$C$33*M152)</f>
        <v>504</v>
      </c>
      <c r="N211" s="9" t="n">
        <f aca="false">(Assumptions!$C$33*N152)</f>
        <v>174.24</v>
      </c>
      <c r="O211" s="9" t="n">
        <f aca="false">(Assumptions!$C$33*O152)</f>
        <v>0</v>
      </c>
      <c r="P211" s="9" t="n">
        <f aca="false">(Assumptions!$C$33*P152)</f>
        <v>1568</v>
      </c>
      <c r="Q211" s="9" t="n">
        <f aca="false">(Assumptions!$C$33*Q152)</f>
        <v>493.68</v>
      </c>
      <c r="R211" s="9" t="n">
        <f aca="false">(Assumptions!$C$33*R152)</f>
        <v>0</v>
      </c>
      <c r="S211" s="9" t="n">
        <f aca="false">(Assumptions!$C$33*S152)</f>
        <v>2072</v>
      </c>
      <c r="T211" s="9" t="n">
        <f aca="false">(Assumptions!$C$33*T152)</f>
        <v>145.53</v>
      </c>
      <c r="U211" s="9" t="n">
        <f aca="false">(Assumptions!$C$33*U152)</f>
        <v>0</v>
      </c>
      <c r="V211" s="9" t="n">
        <f aca="false">(Assumptions!$C$33*V152)</f>
        <v>2072</v>
      </c>
      <c r="W211" s="9" t="n">
        <f aca="false">(Assumptions!$C$33*W152)</f>
        <v>1223.544</v>
      </c>
      <c r="X211" s="9" t="n">
        <f aca="false">(Assumptions!$C$33*X152)</f>
        <v>0</v>
      </c>
      <c r="Y211" s="9" t="n">
        <f aca="false">(Assumptions!$C$33*Y152)</f>
        <v>2576</v>
      </c>
      <c r="Z211" s="9" t="n">
        <f aca="false">(Assumptions!$C$33*Z152)</f>
        <v>3232.388272</v>
      </c>
      <c r="AA211" s="9" t="n">
        <f aca="false">(Assumptions!$C$33*AA152)</f>
        <v>0</v>
      </c>
      <c r="AB211" s="9" t="n">
        <f aca="false">(Assumptions!$C$33*AB152)</f>
        <v>3640</v>
      </c>
      <c r="AC211" s="9" t="n">
        <f aca="false">(Assumptions!$C$33*AC152)</f>
        <v>4211.531104</v>
      </c>
      <c r="AD211" s="9" t="n">
        <f aca="false">(Assumptions!$C$33*AD152)</f>
        <v>2324</v>
      </c>
      <c r="AE211" s="9" t="n">
        <f aca="false">(Assumptions!$C$33*AE152)</f>
        <v>3640</v>
      </c>
      <c r="AF211" s="9" t="n">
        <f aca="false">(Assumptions!$C$33*AF152)</f>
        <v>4070.203984</v>
      </c>
      <c r="AG211" s="9" t="n">
        <f aca="false">(Assumptions!$C$33*AG152)</f>
        <v>0</v>
      </c>
      <c r="AH211" s="9" t="n">
        <f aca="false">(Assumptions!$C$33*AH152)</f>
        <v>4144</v>
      </c>
      <c r="AI211" s="9" t="n">
        <f aca="false">(Assumptions!$C$33*AI152)</f>
        <v>7716.5488232</v>
      </c>
      <c r="AJ211" s="9" t="n">
        <f aca="false">(Assumptions!$C$33*AJ152)</f>
        <v>6518.4</v>
      </c>
      <c r="AK211" s="9" t="n">
        <f aca="false">(Assumptions!$C$33*AK152)</f>
        <v>5151.776</v>
      </c>
      <c r="AL211" s="9" t="n">
        <f aca="false">(Assumptions!$C$33*AL152)</f>
        <v>9121.7874450816</v>
      </c>
      <c r="AN211" s="11" t="n">
        <f aca="false">SUM(C211:N211)</f>
        <v>678.24</v>
      </c>
      <c r="AO211" s="11" t="n">
        <f aca="false">SUM(O211:Z211)</f>
        <v>13383.142272</v>
      </c>
      <c r="AP211" s="11" t="n">
        <f aca="false">SUM(AA211:AL211)</f>
        <v>50538.2473562816</v>
      </c>
    </row>
    <row r="212" customFormat="false" ht="15" hidden="false" customHeight="false" outlineLevel="0" collapsed="false">
      <c r="A212" s="0" t="s">
        <v>1010</v>
      </c>
      <c r="B212" s="0" t="s">
        <v>230</v>
      </c>
      <c r="C212" s="9" t="n">
        <f aca="false">IF(AND(($C$14=1),(C$18=Assumptions!$C$106)),(((((Assumptions!$C$107+Assumptions!$C$108)+Assumptions!$C$111)+Assumptions!$C$112)+(Assumptions!$C$109*Assumptions!$C$110))-Assumptions!$C$113),0)</f>
        <v>0</v>
      </c>
      <c r="D212" s="9" t="n">
        <f aca="false">IF(AND(($C$14=1),(D$18=Assumptions!$C$106)),(((((Assumptions!$C$107+Assumptions!$C$108)+Assumptions!$C$111)+Assumptions!$C$112)+(Assumptions!$C$109*Assumptions!$C$110))-Assumptions!$C$113),0)</f>
        <v>0</v>
      </c>
      <c r="E212" s="9" t="n">
        <f aca="false">IF(AND(($C$14=1),(E$18=Assumptions!$C$106)),(((((Assumptions!$C$107+Assumptions!$C$108)+Assumptions!$C$111)+Assumptions!$C$112)+(Assumptions!$C$109*Assumptions!$C$110))-Assumptions!$C$113),0)</f>
        <v>0</v>
      </c>
      <c r="F212" s="9" t="n">
        <f aca="false">IF(AND(($C$14=1),(F$18=Assumptions!$C$106)),(((((Assumptions!$C$107+Assumptions!$C$108)+Assumptions!$C$111)+Assumptions!$C$112)+(Assumptions!$C$109*Assumptions!$C$110))-Assumptions!$C$113),0)</f>
        <v>0</v>
      </c>
      <c r="G212" s="9" t="n">
        <f aca="false">IF(AND(($C$14=1),(G$18=Assumptions!$C$106)),(((((Assumptions!$C$107+Assumptions!$C$108)+Assumptions!$C$111)+Assumptions!$C$112)+(Assumptions!$C$109*Assumptions!$C$110))-Assumptions!$C$113),0)</f>
        <v>0</v>
      </c>
      <c r="H212" s="9" t="n">
        <f aca="false">IF(AND(($C$14=1),(H$18=Assumptions!$C$106)),(((((Assumptions!$C$107+Assumptions!$C$108)+Assumptions!$C$111)+Assumptions!$C$112)+(Assumptions!$C$109*Assumptions!$C$110))-Assumptions!$C$113),0)</f>
        <v>0</v>
      </c>
      <c r="I212" s="9" t="n">
        <f aca="false">IF(AND(($C$14=1),(I$18=Assumptions!$C$106)),(((((Assumptions!$C$107+Assumptions!$C$108)+Assumptions!$C$111)+Assumptions!$C$112)+(Assumptions!$C$109*Assumptions!$C$110))-Assumptions!$C$113),0)</f>
        <v>0</v>
      </c>
      <c r="J212" s="9" t="n">
        <f aca="false">IF(AND(($C$14=1),(J$18=Assumptions!$C$106)),(((((Assumptions!$C$107+Assumptions!$C$108)+Assumptions!$C$111)+Assumptions!$C$112)+(Assumptions!$C$109*Assumptions!$C$110))-Assumptions!$C$113),0)</f>
        <v>0</v>
      </c>
      <c r="K212" s="9" t="n">
        <f aca="false">IF(AND(($C$14=1),(K$18=Assumptions!$C$106)),(((((Assumptions!$C$107+Assumptions!$C$108)+Assumptions!$C$111)+Assumptions!$C$112)+(Assumptions!$C$109*Assumptions!$C$110))-Assumptions!$C$113),0)</f>
        <v>0</v>
      </c>
      <c r="L212" s="9" t="n">
        <f aca="false">IF(AND(($C$14=1),(L$18=Assumptions!$C$106)),(((((Assumptions!$C$107+Assumptions!$C$108)+Assumptions!$C$111)+Assumptions!$C$112)+(Assumptions!$C$109*Assumptions!$C$110))-Assumptions!$C$113),0)</f>
        <v>0</v>
      </c>
      <c r="M212" s="9" t="n">
        <f aca="false">IF(AND(($C$14=1),(M$18=Assumptions!$C$106)),(((((Assumptions!$C$107+Assumptions!$C$108)+Assumptions!$C$111)+Assumptions!$C$112)+(Assumptions!$C$109*Assumptions!$C$110))-Assumptions!$C$113),0)</f>
        <v>0</v>
      </c>
      <c r="N212" s="9" t="n">
        <f aca="false">IF(AND(($C$14=1),(N$18=Assumptions!$C$106)),(((((Assumptions!$C$107+Assumptions!$C$108)+Assumptions!$C$111)+Assumptions!$C$112)+(Assumptions!$C$109*Assumptions!$C$110))-Assumptions!$C$113),0)</f>
        <v>0</v>
      </c>
      <c r="O212" s="9" t="n">
        <f aca="false">IF(AND(($C$14=1),(O$18=Assumptions!$C$106)),(((((Assumptions!$C$107+Assumptions!$C$108)+Assumptions!$C$111)+Assumptions!$C$112)+(Assumptions!$C$109*Assumptions!$C$110))-Assumptions!$C$113),0)</f>
        <v>0</v>
      </c>
      <c r="P212" s="9" t="n">
        <f aca="false">IF(AND(($C$14=1),(P$18=Assumptions!$C$106)),(((((Assumptions!$C$107+Assumptions!$C$108)+Assumptions!$C$111)+Assumptions!$C$112)+(Assumptions!$C$109*Assumptions!$C$110))-Assumptions!$C$113),0)</f>
        <v>0</v>
      </c>
      <c r="Q212" s="9" t="n">
        <f aca="false">IF(AND(($C$14=1),(Q$18=Assumptions!$C$106)),(((((Assumptions!$C$107+Assumptions!$C$108)+Assumptions!$C$111)+Assumptions!$C$112)+(Assumptions!$C$109*Assumptions!$C$110))-Assumptions!$C$113),0)</f>
        <v>0</v>
      </c>
      <c r="R212" s="9" t="n">
        <f aca="false">IF(AND(($C$14=1),(R$18=Assumptions!$C$106)),(((((Assumptions!$C$107+Assumptions!$C$108)+Assumptions!$C$111)+Assumptions!$C$112)+(Assumptions!$C$109*Assumptions!$C$110))-Assumptions!$C$113),0)</f>
        <v>0</v>
      </c>
      <c r="S212" s="9" t="n">
        <f aca="false">IF(AND(($C$14=1),(S$18=Assumptions!$C$106)),(((((Assumptions!$C$107+Assumptions!$C$108)+Assumptions!$C$111)+Assumptions!$C$112)+(Assumptions!$C$109*Assumptions!$C$110))-Assumptions!$C$113),0)</f>
        <v>0</v>
      </c>
      <c r="T212" s="9" t="n">
        <f aca="false">IF(AND(($C$14=1),(T$18=Assumptions!$C$106)),(((((Assumptions!$C$107+Assumptions!$C$108)+Assumptions!$C$111)+Assumptions!$C$112)+(Assumptions!$C$109*Assumptions!$C$110))-Assumptions!$C$113),0)</f>
        <v>0</v>
      </c>
      <c r="U212" s="9" t="n">
        <f aca="false">IF(AND(($C$14=1),(U$18=Assumptions!$C$106)),(((((Assumptions!$C$107+Assumptions!$C$108)+Assumptions!$C$111)+Assumptions!$C$112)+(Assumptions!$C$109*Assumptions!$C$110))-Assumptions!$C$113),0)</f>
        <v>0</v>
      </c>
      <c r="V212" s="9" t="n">
        <f aca="false">IF(AND(($C$14=1),(V$18=Assumptions!$C$106)),(((((Assumptions!$C$107+Assumptions!$C$108)+Assumptions!$C$111)+Assumptions!$C$112)+(Assumptions!$C$109*Assumptions!$C$110))-Assumptions!$C$113),0)</f>
        <v>0</v>
      </c>
      <c r="W212" s="9" t="n">
        <f aca="false">IF(AND(($C$14=1),(W$18=Assumptions!$C$106)),(((((Assumptions!$C$107+Assumptions!$C$108)+Assumptions!$C$111)+Assumptions!$C$112)+(Assumptions!$C$109*Assumptions!$C$110))-Assumptions!$C$113),0)</f>
        <v>0</v>
      </c>
      <c r="X212" s="9" t="n">
        <f aca="false">IF(AND(($C$14=1),(X$18=Assumptions!$C$106)),(((((Assumptions!$C$107+Assumptions!$C$108)+Assumptions!$C$111)+Assumptions!$C$112)+(Assumptions!$C$109*Assumptions!$C$110))-Assumptions!$C$113),0)</f>
        <v>0</v>
      </c>
      <c r="Y212" s="9" t="n">
        <f aca="false">IF(AND(($C$14=1),(Y$18=Assumptions!$C$106)),(((((Assumptions!$C$107+Assumptions!$C$108)+Assumptions!$C$111)+Assumptions!$C$112)+(Assumptions!$C$109*Assumptions!$C$110))-Assumptions!$C$113),0)</f>
        <v>0</v>
      </c>
      <c r="Z212" s="9" t="n">
        <f aca="false">IF(AND(($C$14=1),(Z$18=Assumptions!$C$106)),(((((Assumptions!$C$107+Assumptions!$C$108)+Assumptions!$C$111)+Assumptions!$C$112)+(Assumptions!$C$109*Assumptions!$C$110))-Assumptions!$C$113),0)</f>
        <v>0</v>
      </c>
      <c r="AA212" s="9" t="n">
        <f aca="false">IF(AND(($C$14=1),(AA$18=Assumptions!$C$106)),(((((Assumptions!$C$107+Assumptions!$C$108)+Assumptions!$C$111)+Assumptions!$C$112)+(Assumptions!$C$109*Assumptions!$C$110))-Assumptions!$C$113),0)</f>
        <v>0</v>
      </c>
      <c r="AB212" s="9" t="n">
        <f aca="false">IF(AND(($C$14=1),(AB$18=Assumptions!$C$106)),(((((Assumptions!$C$107+Assumptions!$C$108)+Assumptions!$C$111)+Assumptions!$C$112)+(Assumptions!$C$109*Assumptions!$C$110))-Assumptions!$C$113),0)</f>
        <v>0</v>
      </c>
      <c r="AC212" s="9" t="n">
        <f aca="false">IF(AND(($C$14=1),(AC$18=Assumptions!$C$106)),(((((Assumptions!$C$107+Assumptions!$C$108)+Assumptions!$C$111)+Assumptions!$C$112)+(Assumptions!$C$109*Assumptions!$C$110))-Assumptions!$C$113),0)</f>
        <v>0</v>
      </c>
      <c r="AD212" s="9" t="n">
        <f aca="false">IF(AND(($C$14=1),(AD$18=Assumptions!$C$106)),(((((Assumptions!$C$107+Assumptions!$C$108)+Assumptions!$C$111)+Assumptions!$C$112)+(Assumptions!$C$109*Assumptions!$C$110))-Assumptions!$C$113),0)</f>
        <v>0</v>
      </c>
      <c r="AE212" s="9" t="n">
        <f aca="false">IF(AND(($C$14=1),(AE$18=Assumptions!$C$106)),(((((Assumptions!$C$107+Assumptions!$C$108)+Assumptions!$C$111)+Assumptions!$C$112)+(Assumptions!$C$109*Assumptions!$C$110))-Assumptions!$C$113),0)</f>
        <v>0</v>
      </c>
      <c r="AF212" s="9" t="n">
        <f aca="false">IF(AND(($C$14=1),(AF$18=Assumptions!$C$106)),(((((Assumptions!$C$107+Assumptions!$C$108)+Assumptions!$C$111)+Assumptions!$C$112)+(Assumptions!$C$109*Assumptions!$C$110))-Assumptions!$C$113),0)</f>
        <v>0</v>
      </c>
      <c r="AG212" s="9" t="n">
        <f aca="false">IF(AND(($C$14=1),(AG$18=Assumptions!$C$106)),(((((Assumptions!$C$107+Assumptions!$C$108)+Assumptions!$C$111)+Assumptions!$C$112)+(Assumptions!$C$109*Assumptions!$C$110))-Assumptions!$C$113),0)</f>
        <v>0</v>
      </c>
      <c r="AH212" s="9" t="n">
        <f aca="false">IF(AND(($C$14=1),(AH$18=Assumptions!$C$106)),(((((Assumptions!$C$107+Assumptions!$C$108)+Assumptions!$C$111)+Assumptions!$C$112)+(Assumptions!$C$109*Assumptions!$C$110))-Assumptions!$C$113),0)</f>
        <v>0</v>
      </c>
      <c r="AI212" s="9" t="n">
        <f aca="false">IF(AND(($C$14=1),(AI$18=Assumptions!$C$106)),(((((Assumptions!$C$107+Assumptions!$C$108)+Assumptions!$C$111)+Assumptions!$C$112)+(Assumptions!$C$109*Assumptions!$C$110))-Assumptions!$C$113),0)</f>
        <v>0</v>
      </c>
      <c r="AJ212" s="9" t="n">
        <f aca="false">IF(AND(($C$14=1),(AJ$18=Assumptions!$C$106)),(((((Assumptions!$C$107+Assumptions!$C$108)+Assumptions!$C$111)+Assumptions!$C$112)+(Assumptions!$C$109*Assumptions!$C$110))-Assumptions!$C$113),0)</f>
        <v>0</v>
      </c>
      <c r="AK212" s="9" t="n">
        <f aca="false">IF(AND(($C$14=1),(AK$18=Assumptions!$C$106)),(((((Assumptions!$C$107+Assumptions!$C$108)+Assumptions!$C$111)+Assumptions!$C$112)+(Assumptions!$C$109*Assumptions!$C$110))-Assumptions!$C$113),0)</f>
        <v>0</v>
      </c>
      <c r="AL212" s="9" t="n">
        <f aca="false">IF(AND(($C$14=1),(AL$18=Assumptions!$C$106)),(((((Assumptions!$C$107+Assumptions!$C$108)+Assumptions!$C$111)+Assumptions!$C$112)+(Assumptions!$C$109*Assumptions!$C$110))-Assumptions!$C$113),0)</f>
        <v>0</v>
      </c>
      <c r="AN212" s="11" t="n">
        <f aca="false">SUM(C212:N212)</f>
        <v>0</v>
      </c>
      <c r="AO212" s="11" t="n">
        <f aca="false">SUM(O212:Z212)</f>
        <v>0</v>
      </c>
      <c r="AP212" s="11" t="n">
        <f aca="false">SUM(AA212:AL212)</f>
        <v>0</v>
      </c>
    </row>
    <row r="213" customFormat="false" ht="15" hidden="false" customHeight="false" outlineLevel="0" collapsed="false">
      <c r="A213" s="0" t="s">
        <v>32</v>
      </c>
      <c r="B213" s="0" t="s">
        <v>230</v>
      </c>
      <c r="C213" s="9" t="n">
        <f aca="false">(C190+C191)</f>
        <v>41683.3333333333</v>
      </c>
      <c r="D213" s="9" t="n">
        <f aca="false">(D190+D191)</f>
        <v>41683.3333333333</v>
      </c>
      <c r="E213" s="9" t="n">
        <f aca="false">(E190+E191)</f>
        <v>54900</v>
      </c>
      <c r="F213" s="9" t="n">
        <f aca="false">(F190+F191)</f>
        <v>69133.3333333333</v>
      </c>
      <c r="G213" s="9" t="n">
        <f aca="false">(G190+G191)</f>
        <v>85400</v>
      </c>
      <c r="H213" s="9" t="n">
        <f aca="false">(H190+H191)</f>
        <v>100650</v>
      </c>
      <c r="I213" s="9" t="n">
        <f aca="false">(I190+I191)</f>
        <v>100650</v>
      </c>
      <c r="J213" s="9" t="n">
        <f aca="false">(J190+J191)</f>
        <v>100650</v>
      </c>
      <c r="K213" s="9" t="n">
        <f aca="false">(K190+K191)</f>
        <v>115391.666666667</v>
      </c>
      <c r="L213" s="9" t="n">
        <f aca="false">(L190+L191)</f>
        <v>127083.333333333</v>
      </c>
      <c r="M213" s="9" t="n">
        <f aca="false">(M190+M191)</f>
        <v>127083.333333333</v>
      </c>
      <c r="N213" s="9" t="n">
        <f aca="false">(N190+N191)</f>
        <v>127083.333333333</v>
      </c>
      <c r="O213" s="9" t="n">
        <f aca="false">(O190+O191)</f>
        <v>142333.333333333</v>
      </c>
      <c r="P213" s="9" t="n">
        <f aca="false">(P190+P191)</f>
        <v>157583.333333333</v>
      </c>
      <c r="Q213" s="9" t="n">
        <f aca="false">(Q190+Q191)</f>
        <v>157583.333333333</v>
      </c>
      <c r="R213" s="9" t="n">
        <f aca="false">(R190+R191)</f>
        <v>157583.333333333</v>
      </c>
      <c r="S213" s="9" t="n">
        <f aca="false">(S190+S191)</f>
        <v>157583.333333333</v>
      </c>
      <c r="T213" s="9" t="n">
        <f aca="false">(T190+T191)</f>
        <v>157583.333333333</v>
      </c>
      <c r="U213" s="9" t="n">
        <f aca="false">(U190+U191)</f>
        <v>157583.333333333</v>
      </c>
      <c r="V213" s="9" t="n">
        <f aca="false">(V190+V191)</f>
        <v>168766.666666667</v>
      </c>
      <c r="W213" s="9" t="n">
        <f aca="false">(W190+W191)</f>
        <v>168766.666666667</v>
      </c>
      <c r="X213" s="9" t="n">
        <f aca="false">(X190+X191)</f>
        <v>168766.666666667</v>
      </c>
      <c r="Y213" s="9" t="n">
        <f aca="false">(Y190+Y191)</f>
        <v>168766.666666667</v>
      </c>
      <c r="Z213" s="9" t="n">
        <f aca="false">(Z190+Z191)</f>
        <v>168766.666666667</v>
      </c>
      <c r="AA213" s="9" t="n">
        <f aca="false">(AA190+AA191)</f>
        <v>168766.666666667</v>
      </c>
      <c r="AB213" s="9" t="n">
        <f aca="false">(AB190+AB191)</f>
        <v>184016.666666667</v>
      </c>
      <c r="AC213" s="9" t="n">
        <f aca="false">(AC190+AC191)</f>
        <v>184016.666666667</v>
      </c>
      <c r="AD213" s="9" t="n">
        <f aca="false">(AD190+AD191)</f>
        <v>184016.666666667</v>
      </c>
      <c r="AE213" s="9" t="n">
        <f aca="false">(AE190+AE191)</f>
        <v>184016.666666667</v>
      </c>
      <c r="AF213" s="9" t="n">
        <f aca="false">(AF190+AF191)</f>
        <v>184016.666666667</v>
      </c>
      <c r="AG213" s="9" t="n">
        <f aca="false">(AG190+AG191)</f>
        <v>184016.666666667</v>
      </c>
      <c r="AH213" s="9" t="n">
        <f aca="false">(AH190+AH191)</f>
        <v>184016.666666667</v>
      </c>
      <c r="AI213" s="9" t="n">
        <f aca="false">(AI190+AI191)</f>
        <v>184016.666666667</v>
      </c>
      <c r="AJ213" s="9" t="n">
        <f aca="false">(AJ190+AJ191)</f>
        <v>184016.666666667</v>
      </c>
      <c r="AK213" s="9" t="n">
        <f aca="false">(AK190+AK191)</f>
        <v>184016.666666667</v>
      </c>
      <c r="AL213" s="9" t="n">
        <f aca="false">(AL190+AL191)</f>
        <v>184016.666666667</v>
      </c>
      <c r="AN213" s="11" t="n">
        <f aca="false">SUM(C213:N213)</f>
        <v>1091391.66666667</v>
      </c>
      <c r="AO213" s="11" t="n">
        <f aca="false">SUM(O213:Z213)</f>
        <v>1931666.66666667</v>
      </c>
      <c r="AP213" s="11" t="n">
        <f aca="false">SUM(AA213:AL213)</f>
        <v>2192950</v>
      </c>
    </row>
    <row r="214" customFormat="false" ht="15" hidden="false" customHeight="false" outlineLevel="0" collapsed="false">
      <c r="A214" s="0" t="s">
        <v>33</v>
      </c>
      <c r="B214" s="0" t="s">
        <v>230</v>
      </c>
      <c r="C214" s="9" t="n">
        <f aca="false">(C192+C199)</f>
        <v>9833.33333333333</v>
      </c>
      <c r="D214" s="9" t="n">
        <f aca="false">(D192+D199)</f>
        <v>9833.33333333333</v>
      </c>
      <c r="E214" s="9" t="n">
        <f aca="false">(E192+E199)</f>
        <v>9833.33333333333</v>
      </c>
      <c r="F214" s="9" t="n">
        <f aca="false">(F192+F199)</f>
        <v>9833.33333333333</v>
      </c>
      <c r="G214" s="9" t="n">
        <f aca="false">(G192+G199)</f>
        <v>9833.33333333333</v>
      </c>
      <c r="H214" s="9" t="n">
        <f aca="false">(H192+H199)</f>
        <v>9833.33333333333</v>
      </c>
      <c r="I214" s="9" t="n">
        <f aca="false">(I192+I199)</f>
        <v>25083.3333333333</v>
      </c>
      <c r="J214" s="9" t="n">
        <f aca="false">(J192+J199)</f>
        <v>25083.3333333333</v>
      </c>
      <c r="K214" s="9" t="n">
        <f aca="false">(K192+K199)</f>
        <v>25083.3333333333</v>
      </c>
      <c r="L214" s="9" t="n">
        <f aca="false">(L192+L199)</f>
        <v>25083.3333333333</v>
      </c>
      <c r="M214" s="9" t="n">
        <f aca="false">(M192+M199)</f>
        <v>25083.3333333333</v>
      </c>
      <c r="N214" s="9" t="n">
        <f aca="false">(N192+N199)</f>
        <v>25083.3333333333</v>
      </c>
      <c r="O214" s="9" t="n">
        <f aca="false">(O192+O199)</f>
        <v>29416.6666666667</v>
      </c>
      <c r="P214" s="9" t="n">
        <f aca="false">(P192+P199)</f>
        <v>29416.6666666667</v>
      </c>
      <c r="Q214" s="9" t="n">
        <f aca="false">(Q192+Q199)</f>
        <v>29416.6666666667</v>
      </c>
      <c r="R214" s="9" t="n">
        <f aca="false">(R192+R199)</f>
        <v>29416.6666666667</v>
      </c>
      <c r="S214" s="9" t="n">
        <f aca="false">(S192+S199)</f>
        <v>29416.6666666667</v>
      </c>
      <c r="T214" s="9" t="n">
        <f aca="false">(T192+T199)</f>
        <v>29416.6666666667</v>
      </c>
      <c r="U214" s="9" t="n">
        <f aca="false">(U192+U199)</f>
        <v>29416.6666666667</v>
      </c>
      <c r="V214" s="9" t="n">
        <f aca="false">(V192+V199)</f>
        <v>29416.6666666667</v>
      </c>
      <c r="W214" s="9" t="n">
        <f aca="false">(W192+W199)</f>
        <v>29416.6666666667</v>
      </c>
      <c r="X214" s="9" t="n">
        <f aca="false">(X192+X199)</f>
        <v>29416.6666666667</v>
      </c>
      <c r="Y214" s="9" t="n">
        <f aca="false">(Y192+Y199)</f>
        <v>29416.6666666667</v>
      </c>
      <c r="Z214" s="9" t="n">
        <f aca="false">(Z192+Z199)</f>
        <v>29416.6666666667</v>
      </c>
      <c r="AA214" s="9" t="n">
        <f aca="false">(AA192+AA199)</f>
        <v>34833.3333333333</v>
      </c>
      <c r="AB214" s="9" t="n">
        <f aca="false">(AB192+AB199)</f>
        <v>34833.3333333333</v>
      </c>
      <c r="AC214" s="9" t="n">
        <f aca="false">(AC192+AC199)</f>
        <v>34833.3333333333</v>
      </c>
      <c r="AD214" s="9" t="n">
        <f aca="false">(AD192+AD199)</f>
        <v>34833.3333333333</v>
      </c>
      <c r="AE214" s="9" t="n">
        <f aca="false">(AE192+AE199)</f>
        <v>34833.3333333333</v>
      </c>
      <c r="AF214" s="9" t="n">
        <f aca="false">(AF192+AF199)</f>
        <v>34833.3333333333</v>
      </c>
      <c r="AG214" s="9" t="n">
        <f aca="false">(AG192+AG199)</f>
        <v>34833.3333333333</v>
      </c>
      <c r="AH214" s="9" t="n">
        <f aca="false">(AH192+AH199)</f>
        <v>34833.3333333333</v>
      </c>
      <c r="AI214" s="9" t="n">
        <f aca="false">(AI192+AI199)</f>
        <v>34833.3333333333</v>
      </c>
      <c r="AJ214" s="9" t="n">
        <f aca="false">(AJ192+AJ199)</f>
        <v>34833.3333333333</v>
      </c>
      <c r="AK214" s="9" t="n">
        <f aca="false">(AK192+AK199)</f>
        <v>34833.3333333333</v>
      </c>
      <c r="AL214" s="9" t="n">
        <f aca="false">(AL192+AL199)</f>
        <v>34833.3333333333</v>
      </c>
      <c r="AN214" s="11" t="n">
        <f aca="false">SUM(C214:N214)</f>
        <v>209500</v>
      </c>
      <c r="AO214" s="11" t="n">
        <f aca="false">SUM(O214:Z214)</f>
        <v>353000</v>
      </c>
      <c r="AP214" s="11" t="n">
        <f aca="false">SUM(AA214:AL214)</f>
        <v>418000</v>
      </c>
    </row>
    <row r="215" customFormat="false" ht="15" hidden="false" customHeight="false" outlineLevel="0" collapsed="false">
      <c r="A215" s="0" t="s">
        <v>34</v>
      </c>
      <c r="B215" s="0" t="s">
        <v>230</v>
      </c>
      <c r="C215" s="9" t="n">
        <f aca="false">((C193+C204)+C205)</f>
        <v>5000</v>
      </c>
      <c r="D215" s="9" t="n">
        <f aca="false">((D193+D204)+D205)</f>
        <v>5000</v>
      </c>
      <c r="E215" s="9" t="n">
        <f aca="false">((E193+E204)+E205)</f>
        <v>5000</v>
      </c>
      <c r="F215" s="9" t="n">
        <f aca="false">((F193+F204)+F205)</f>
        <v>5000</v>
      </c>
      <c r="G215" s="9" t="n">
        <f aca="false">((G193+G204)+G205)</f>
        <v>5000</v>
      </c>
      <c r="H215" s="9" t="n">
        <f aca="false">((H193+H204)+H205)</f>
        <v>5000</v>
      </c>
      <c r="I215" s="9" t="n">
        <f aca="false">((I193+I204)+I205)</f>
        <v>5000</v>
      </c>
      <c r="J215" s="9" t="n">
        <f aca="false">((J193+J204)+J205)</f>
        <v>5000</v>
      </c>
      <c r="K215" s="9" t="n">
        <f aca="false">((K193+K204)+K205)</f>
        <v>5000</v>
      </c>
      <c r="L215" s="9" t="n">
        <f aca="false">((L193+L204)+L205)</f>
        <v>5000</v>
      </c>
      <c r="M215" s="9" t="n">
        <f aca="false">((M193+M204)+M205)</f>
        <v>20215.3333333333</v>
      </c>
      <c r="N215" s="9" t="n">
        <f aca="false">((N193+N204)+N205)</f>
        <v>17577.2533333333</v>
      </c>
      <c r="O215" s="9" t="n">
        <f aca="false">((O193+O204)+O205)</f>
        <v>35233.3333333333</v>
      </c>
      <c r="P215" s="9" t="n">
        <f aca="false">((P193+P204)+P205)</f>
        <v>47777.3333333333</v>
      </c>
      <c r="Q215" s="9" t="n">
        <f aca="false">((Q193+Q204)+Q205)</f>
        <v>39182.7733333333</v>
      </c>
      <c r="R215" s="9" t="n">
        <f aca="false">((R193+R204)+R205)</f>
        <v>35233.3333333333</v>
      </c>
      <c r="S215" s="9" t="n">
        <f aca="false">((S193+S204)+S205)</f>
        <v>51809.3333333333</v>
      </c>
      <c r="T215" s="9" t="n">
        <f aca="false">((T193+T204)+T205)</f>
        <v>36859.5733333333</v>
      </c>
      <c r="U215" s="9" t="n">
        <f aca="false">((U193+U204)+U205)</f>
        <v>35233.3333333333</v>
      </c>
      <c r="V215" s="9" t="n">
        <f aca="false">((V193+V204)+V205)</f>
        <v>51809.3333333333</v>
      </c>
      <c r="W215" s="9" t="n">
        <f aca="false">((W193+W204)+W205)</f>
        <v>46315.2853333333</v>
      </c>
      <c r="X215" s="9" t="n">
        <f aca="false">((X193+X204)+X205)</f>
        <v>46416.6666666667</v>
      </c>
      <c r="Y215" s="9" t="n">
        <f aca="false">((Y193+Y204)+Y205)</f>
        <v>67024.6666666667</v>
      </c>
      <c r="Z215" s="9" t="n">
        <f aca="false">((Z193+Z204)+Z205)</f>
        <v>72654.4586666667</v>
      </c>
      <c r="AA215" s="9" t="n">
        <f aca="false">((AA193+AA204)+AA205)</f>
        <v>53916.6666666667</v>
      </c>
      <c r="AB215" s="9" t="n">
        <f aca="false">((AB193+AB204)+AB205)</f>
        <v>83036.6666666667</v>
      </c>
      <c r="AC215" s="9" t="n">
        <f aca="false">((AC193+AC204)+AC205)</f>
        <v>85463.2586666667</v>
      </c>
      <c r="AD215" s="9" t="n">
        <f aca="false">((AD193+AD204)+AD205)</f>
        <v>83692</v>
      </c>
      <c r="AE215" s="9" t="n">
        <f aca="false">((AE193+AE204)+AE205)</f>
        <v>94220</v>
      </c>
      <c r="AF215" s="9" t="n">
        <f aca="false">((AF193+AF204)+AF205)</f>
        <v>98272.832</v>
      </c>
      <c r="AG215" s="9" t="n">
        <f aca="false">((AG193+AG204)+AG205)</f>
        <v>65100</v>
      </c>
      <c r="AH215" s="9" t="n">
        <f aca="false">((AH193+AH204)+AH205)</f>
        <v>98252</v>
      </c>
      <c r="AI215" s="9" t="n">
        <f aca="false">((AI193+AI204)+AI205)</f>
        <v>121258.144</v>
      </c>
      <c r="AJ215" s="9" t="n">
        <f aca="false">((AJ193+AJ204)+AJ205)</f>
        <v>117247.2</v>
      </c>
      <c r="AK215" s="9" t="n">
        <f aca="false">((AK193+AK204)+AK205)</f>
        <v>107792.608</v>
      </c>
      <c r="AL215" s="9" t="n">
        <f aca="false">((AL193+AL204)+AL205)</f>
        <v>121258.144</v>
      </c>
      <c r="AN215" s="11" t="n">
        <f aca="false">SUM(C215:N215)</f>
        <v>87792.5866666667</v>
      </c>
      <c r="AO215" s="11" t="n">
        <f aca="false">SUM(O215:Z215)</f>
        <v>565549.424</v>
      </c>
      <c r="AP215" s="11" t="n">
        <f aca="false">SUM(AA215:AL215)</f>
        <v>1129509.52</v>
      </c>
    </row>
    <row r="216" customFormat="false" ht="15" hidden="false" customHeight="false" outlineLevel="0" collapsed="false">
      <c r="A216" s="0" t="s">
        <v>35</v>
      </c>
      <c r="B216" s="0" t="s">
        <v>230</v>
      </c>
      <c r="C216" s="9" t="n">
        <f aca="false">((C194+C206)+C207)</f>
        <v>4833.33333333333</v>
      </c>
      <c r="D216" s="9" t="n">
        <f aca="false">((D194+D206)+D207)</f>
        <v>4833.33333333333</v>
      </c>
      <c r="E216" s="9" t="n">
        <f aca="false">((E194+E206)+E207)</f>
        <v>4833.33333333333</v>
      </c>
      <c r="F216" s="9" t="n">
        <f aca="false">((F194+F206)+F207)</f>
        <v>4833.33333333333</v>
      </c>
      <c r="G216" s="9" t="n">
        <f aca="false">((G194+G206)+G207)</f>
        <v>4833.33333333333</v>
      </c>
      <c r="H216" s="9" t="n">
        <f aca="false">((H194+H206)+H207)</f>
        <v>15508.3333333333</v>
      </c>
      <c r="I216" s="9" t="n">
        <f aca="false">((I194+I206)+I207)</f>
        <v>15508.3333333333</v>
      </c>
      <c r="J216" s="9" t="n">
        <f aca="false">((J194+J206)+J207)</f>
        <v>15508.3333333333</v>
      </c>
      <c r="K216" s="9" t="n">
        <f aca="false">((K194+K206)+K207)</f>
        <v>15508.3333333333</v>
      </c>
      <c r="L216" s="9" t="n">
        <f aca="false">((L194+L206)+L207)</f>
        <v>15508.3333333333</v>
      </c>
      <c r="M216" s="9" t="n">
        <f aca="false">((M194+M206)+M207)</f>
        <v>15508.3333333333</v>
      </c>
      <c r="N216" s="9" t="n">
        <f aca="false">((N194+N206)+N207)</f>
        <v>22116.6666666667</v>
      </c>
      <c r="O216" s="9" t="n">
        <f aca="false">((O194+O206)+O207)</f>
        <v>31366.6666666667</v>
      </c>
      <c r="P216" s="9" t="n">
        <f aca="false">((P194+P206)+P207)</f>
        <v>31366.6666666667</v>
      </c>
      <c r="Q216" s="9" t="n">
        <f aca="false">((Q194+Q206)+Q207)</f>
        <v>31366.6666666667</v>
      </c>
      <c r="R216" s="9" t="n">
        <f aca="false">((R194+R206)+R207)</f>
        <v>31366.6666666667</v>
      </c>
      <c r="S216" s="9" t="n">
        <f aca="false">((S194+S206)+S207)</f>
        <v>31366.6666666667</v>
      </c>
      <c r="T216" s="9" t="n">
        <f aca="false">((T194+T206)+T207)</f>
        <v>31366.6666666667</v>
      </c>
      <c r="U216" s="9" t="n">
        <f aca="false">((U194+U206)+U207)</f>
        <v>31366.6666666667</v>
      </c>
      <c r="V216" s="9" t="n">
        <f aca="false">((V194+V206)+V207)</f>
        <v>40008.3333333333</v>
      </c>
      <c r="W216" s="9" t="n">
        <f aca="false">((W194+W206)+W207)</f>
        <v>40008.3333333333</v>
      </c>
      <c r="X216" s="9" t="n">
        <f aca="false">((X194+X206)+X207)</f>
        <v>40008.3333333333</v>
      </c>
      <c r="Y216" s="9" t="n">
        <f aca="false">((Y194+Y206)+Y207)</f>
        <v>40008.3333333333</v>
      </c>
      <c r="Z216" s="9" t="n">
        <f aca="false">((Z194+Z206)+Z207)</f>
        <v>40008.3333333333</v>
      </c>
      <c r="AA216" s="9" t="n">
        <f aca="false">((AA194+AA206)+AA207)</f>
        <v>50091.6666666667</v>
      </c>
      <c r="AB216" s="9" t="n">
        <f aca="false">((AB194+AB206)+AB207)</f>
        <v>50091.6666666667</v>
      </c>
      <c r="AC216" s="9" t="n">
        <f aca="false">((AC194+AC206)+AC207)</f>
        <v>50091.6666666667</v>
      </c>
      <c r="AD216" s="9" t="n">
        <f aca="false">((AD194+AD206)+AD207)</f>
        <v>50091.6666666667</v>
      </c>
      <c r="AE216" s="9" t="n">
        <f aca="false">((AE194+AE206)+AE207)</f>
        <v>50091.6666666667</v>
      </c>
      <c r="AF216" s="9" t="n">
        <f aca="false">((AF194+AF206)+AF207)</f>
        <v>50091.6666666667</v>
      </c>
      <c r="AG216" s="9" t="n">
        <f aca="false">((AG194+AG206)+AG207)</f>
        <v>50091.6666666667</v>
      </c>
      <c r="AH216" s="9" t="n">
        <f aca="false">((AH194+AH206)+AH207)</f>
        <v>50091.6666666667</v>
      </c>
      <c r="AI216" s="9" t="n">
        <f aca="false">((AI194+AI206)+AI207)</f>
        <v>50091.6666666667</v>
      </c>
      <c r="AJ216" s="9" t="n">
        <f aca="false">((AJ194+AJ206)+AJ207)</f>
        <v>50091.6666666667</v>
      </c>
      <c r="AK216" s="9" t="n">
        <f aca="false">((AK194+AK206)+AK207)</f>
        <v>50091.6666666667</v>
      </c>
      <c r="AL216" s="9" t="n">
        <f aca="false">((AL194+AL206)+AL207)</f>
        <v>50091.6666666667</v>
      </c>
      <c r="AN216" s="11" t="n">
        <f aca="false">SUM(C216:N216)</f>
        <v>139333.333333333</v>
      </c>
      <c r="AO216" s="11" t="n">
        <f aca="false">SUM(O216:Z216)</f>
        <v>419608.333333333</v>
      </c>
      <c r="AP216" s="11" t="n">
        <f aca="false">SUM(AA216:AL216)</f>
        <v>601100</v>
      </c>
    </row>
    <row r="217" customFormat="false" ht="15" hidden="false" customHeight="false" outlineLevel="0" collapsed="false">
      <c r="A217" s="0" t="s">
        <v>36</v>
      </c>
      <c r="B217" s="0" t="s">
        <v>230</v>
      </c>
      <c r="C217" s="9" t="n">
        <f aca="false">C200</f>
        <v>7916.66666666667</v>
      </c>
      <c r="D217" s="9" t="n">
        <f aca="false">D200</f>
        <v>7916.66666666667</v>
      </c>
      <c r="E217" s="9" t="n">
        <f aca="false">E200</f>
        <v>7916.66666666667</v>
      </c>
      <c r="F217" s="9" t="n">
        <f aca="false">F200</f>
        <v>7916.66666666667</v>
      </c>
      <c r="G217" s="9" t="n">
        <f aca="false">G200</f>
        <v>7916.66666666667</v>
      </c>
      <c r="H217" s="9" t="n">
        <f aca="false">H200</f>
        <v>7916.66666666667</v>
      </c>
      <c r="I217" s="9" t="n">
        <f aca="false">I200</f>
        <v>7916.66666666667</v>
      </c>
      <c r="J217" s="9" t="n">
        <f aca="false">J200</f>
        <v>7916.66666666667</v>
      </c>
      <c r="K217" s="9" t="n">
        <f aca="false">K200</f>
        <v>7916.66666666667</v>
      </c>
      <c r="L217" s="9" t="n">
        <f aca="false">L200</f>
        <v>7916.66666666667</v>
      </c>
      <c r="M217" s="9" t="n">
        <f aca="false">M200</f>
        <v>7916.66666666667</v>
      </c>
      <c r="N217" s="9" t="n">
        <f aca="false">N200</f>
        <v>7916.66666666667</v>
      </c>
      <c r="O217" s="9" t="n">
        <f aca="false">O200</f>
        <v>9333.33333333333</v>
      </c>
      <c r="P217" s="9" t="n">
        <f aca="false">P200</f>
        <v>9333.33333333333</v>
      </c>
      <c r="Q217" s="9" t="n">
        <f aca="false">Q200</f>
        <v>9333.33333333333</v>
      </c>
      <c r="R217" s="9" t="n">
        <f aca="false">R200</f>
        <v>9333.33333333333</v>
      </c>
      <c r="S217" s="9" t="n">
        <f aca="false">S200</f>
        <v>9333.33333333333</v>
      </c>
      <c r="T217" s="9" t="n">
        <f aca="false">T200</f>
        <v>9333.33333333333</v>
      </c>
      <c r="U217" s="9" t="n">
        <f aca="false">U200</f>
        <v>9333.33333333333</v>
      </c>
      <c r="V217" s="9" t="n">
        <f aca="false">V200</f>
        <v>9333.33333333333</v>
      </c>
      <c r="W217" s="9" t="n">
        <f aca="false">W200</f>
        <v>9333.33333333333</v>
      </c>
      <c r="X217" s="9" t="n">
        <f aca="false">X200</f>
        <v>9333.33333333333</v>
      </c>
      <c r="Y217" s="9" t="n">
        <f aca="false">Y200</f>
        <v>9333.33333333333</v>
      </c>
      <c r="Z217" s="9" t="n">
        <f aca="false">Z200</f>
        <v>9333.33333333333</v>
      </c>
      <c r="AA217" s="9" t="n">
        <f aca="false">AA200</f>
        <v>12916.6666666667</v>
      </c>
      <c r="AB217" s="9" t="n">
        <f aca="false">AB200</f>
        <v>12916.6666666667</v>
      </c>
      <c r="AC217" s="9" t="n">
        <f aca="false">AC200</f>
        <v>12916.6666666667</v>
      </c>
      <c r="AD217" s="9" t="n">
        <f aca="false">AD200</f>
        <v>12916.6666666667</v>
      </c>
      <c r="AE217" s="9" t="n">
        <f aca="false">AE200</f>
        <v>12916.6666666667</v>
      </c>
      <c r="AF217" s="9" t="n">
        <f aca="false">AF200</f>
        <v>12916.6666666667</v>
      </c>
      <c r="AG217" s="9" t="n">
        <f aca="false">AG200</f>
        <v>12916.6666666667</v>
      </c>
      <c r="AH217" s="9" t="n">
        <f aca="false">AH200</f>
        <v>12916.6666666667</v>
      </c>
      <c r="AI217" s="9" t="n">
        <f aca="false">AI200</f>
        <v>12916.6666666667</v>
      </c>
      <c r="AJ217" s="9" t="n">
        <f aca="false">AJ200</f>
        <v>12916.6666666667</v>
      </c>
      <c r="AK217" s="9" t="n">
        <f aca="false">AK200</f>
        <v>12916.6666666667</v>
      </c>
      <c r="AL217" s="9" t="n">
        <f aca="false">AL200</f>
        <v>12916.6666666667</v>
      </c>
      <c r="AN217" s="11" t="n">
        <f aca="false">SUM(C217:N217)</f>
        <v>95000</v>
      </c>
      <c r="AO217" s="11" t="n">
        <f aca="false">SUM(O217:Z217)</f>
        <v>112000</v>
      </c>
      <c r="AP217" s="11" t="n">
        <f aca="false">SUM(AA217:AL217)</f>
        <v>155000</v>
      </c>
    </row>
    <row r="218" customFormat="false" ht="15" hidden="false" customHeight="false" outlineLevel="0" collapsed="false">
      <c r="A218" s="0" t="s">
        <v>37</v>
      </c>
      <c r="B218" s="0" t="s">
        <v>230</v>
      </c>
      <c r="C218" s="9" t="n">
        <f aca="false">C201</f>
        <v>3416.66666666667</v>
      </c>
      <c r="D218" s="9" t="n">
        <f aca="false">D201</f>
        <v>3416.66666666667</v>
      </c>
      <c r="E218" s="9" t="n">
        <f aca="false">E201</f>
        <v>3416.66666666667</v>
      </c>
      <c r="F218" s="9" t="n">
        <f aca="false">F201</f>
        <v>3416.66666666667</v>
      </c>
      <c r="G218" s="9" t="n">
        <f aca="false">G201</f>
        <v>3416.66666666667</v>
      </c>
      <c r="H218" s="9" t="n">
        <f aca="false">H201</f>
        <v>3416.66666666667</v>
      </c>
      <c r="I218" s="9" t="n">
        <f aca="false">I201</f>
        <v>3416.66666666667</v>
      </c>
      <c r="J218" s="9" t="n">
        <f aca="false">J201</f>
        <v>3416.66666666667</v>
      </c>
      <c r="K218" s="9" t="n">
        <f aca="false">K201</f>
        <v>3416.66666666667</v>
      </c>
      <c r="L218" s="9" t="n">
        <f aca="false">L201</f>
        <v>3416.66666666667</v>
      </c>
      <c r="M218" s="9" t="n">
        <f aca="false">M201</f>
        <v>3416.66666666667</v>
      </c>
      <c r="N218" s="9" t="n">
        <f aca="false">N201</f>
        <v>3416.66666666667</v>
      </c>
      <c r="O218" s="9" t="n">
        <f aca="false">O201</f>
        <v>5833.33333333333</v>
      </c>
      <c r="P218" s="9" t="n">
        <f aca="false">P201</f>
        <v>5833.33333333333</v>
      </c>
      <c r="Q218" s="9" t="n">
        <f aca="false">Q201</f>
        <v>5833.33333333333</v>
      </c>
      <c r="R218" s="9" t="n">
        <f aca="false">R201</f>
        <v>5833.33333333333</v>
      </c>
      <c r="S218" s="9" t="n">
        <f aca="false">S201</f>
        <v>5833.33333333333</v>
      </c>
      <c r="T218" s="9" t="n">
        <f aca="false">T201</f>
        <v>5833.33333333333</v>
      </c>
      <c r="U218" s="9" t="n">
        <f aca="false">U201</f>
        <v>5833.33333333333</v>
      </c>
      <c r="V218" s="9" t="n">
        <f aca="false">V201</f>
        <v>5833.33333333333</v>
      </c>
      <c r="W218" s="9" t="n">
        <f aca="false">W201</f>
        <v>5833.33333333333</v>
      </c>
      <c r="X218" s="9" t="n">
        <f aca="false">X201</f>
        <v>5833.33333333333</v>
      </c>
      <c r="Y218" s="9" t="n">
        <f aca="false">Y201</f>
        <v>5833.33333333333</v>
      </c>
      <c r="Z218" s="9" t="n">
        <f aca="false">Z201</f>
        <v>5833.33333333333</v>
      </c>
      <c r="AA218" s="9" t="n">
        <f aca="false">AA201</f>
        <v>10000</v>
      </c>
      <c r="AB218" s="9" t="n">
        <f aca="false">AB201</f>
        <v>10000</v>
      </c>
      <c r="AC218" s="9" t="n">
        <f aca="false">AC201</f>
        <v>10000</v>
      </c>
      <c r="AD218" s="9" t="n">
        <f aca="false">AD201</f>
        <v>10000</v>
      </c>
      <c r="AE218" s="9" t="n">
        <f aca="false">AE201</f>
        <v>10000</v>
      </c>
      <c r="AF218" s="9" t="n">
        <f aca="false">AF201</f>
        <v>10000</v>
      </c>
      <c r="AG218" s="9" t="n">
        <f aca="false">AG201</f>
        <v>10000</v>
      </c>
      <c r="AH218" s="9" t="n">
        <f aca="false">AH201</f>
        <v>10000</v>
      </c>
      <c r="AI218" s="9" t="n">
        <f aca="false">AI201</f>
        <v>10000</v>
      </c>
      <c r="AJ218" s="9" t="n">
        <f aca="false">AJ201</f>
        <v>10000</v>
      </c>
      <c r="AK218" s="9" t="n">
        <f aca="false">AK201</f>
        <v>10000</v>
      </c>
      <c r="AL218" s="9" t="n">
        <f aca="false">AL201</f>
        <v>10000</v>
      </c>
      <c r="AN218" s="11" t="n">
        <f aca="false">SUM(C218:N218)</f>
        <v>41000</v>
      </c>
      <c r="AO218" s="11" t="n">
        <f aca="false">SUM(O218:Z218)</f>
        <v>70000</v>
      </c>
      <c r="AP218" s="11" t="n">
        <f aca="false">SUM(AA218:AL218)</f>
        <v>120000</v>
      </c>
    </row>
    <row r="219" customFormat="false" ht="15" hidden="false" customHeight="false" outlineLevel="0" collapsed="false">
      <c r="A219" s="0" t="s">
        <v>1011</v>
      </c>
      <c r="B219" s="0" t="s">
        <v>230</v>
      </c>
      <c r="C219" s="9" t="n">
        <f aca="false">((((((C195+C202)+C208)+C209)+C203)+C210)+C211)</f>
        <v>25615</v>
      </c>
      <c r="D219" s="9" t="n">
        <f aca="false">((((((D195+D202)+D208)+D209)+D203)+D210)+D211)</f>
        <v>25615</v>
      </c>
      <c r="E219" s="9" t="n">
        <f aca="false">((((((E195+E202)+E208)+E209)+E203)+E210)+E211)</f>
        <v>38265</v>
      </c>
      <c r="F219" s="9" t="n">
        <f aca="false">((((((F195+F202)+F208)+F209)+F203)+F210)+F211)</f>
        <v>39115</v>
      </c>
      <c r="G219" s="9" t="n">
        <f aca="false">((((((G195+G202)+G208)+G209)+G203)+G210)+G211)</f>
        <v>52615</v>
      </c>
      <c r="H219" s="9" t="n">
        <f aca="false">((((((H195+H202)+H208)+H209)+H203)+H210)+H211)</f>
        <v>54315</v>
      </c>
      <c r="I219" s="9" t="n">
        <f aca="false">((((((I195+I202)+I208)+I209)+I203)+I210)+I211)</f>
        <v>43365</v>
      </c>
      <c r="J219" s="9" t="n">
        <f aca="false">((((((J195+J202)+J208)+J209)+J203)+J210)+J211)</f>
        <v>31565</v>
      </c>
      <c r="K219" s="9" t="n">
        <f aca="false">((((((K195+K202)+K208)+K209)+K203)+K210)+K211)</f>
        <v>82223.3333333333</v>
      </c>
      <c r="L219" s="9" t="n">
        <f aca="false">((((((L195+L202)+L208)+L209)+L203)+L210)+L211)</f>
        <v>59473.3333333333</v>
      </c>
      <c r="M219" s="9" t="n">
        <f aca="false">((((((M195+M202)+M208)+M209)+M203)+M210)+M211)</f>
        <v>73477.3333333333</v>
      </c>
      <c r="N219" s="9" t="n">
        <f aca="false">((((((N195+N202)+N208)+N209)+N203)+N210)+N211)</f>
        <v>62197.5733333333</v>
      </c>
      <c r="O219" s="9" t="n">
        <f aca="false">((((((O195+O202)+O208)+O209)+O203)+O210)+O211)</f>
        <v>81873.3333333333</v>
      </c>
      <c r="P219" s="9" t="n">
        <f aca="false">((((((P195+P202)+P208)+P209)+P203)+P210)+P211)</f>
        <v>72491.3333333333</v>
      </c>
      <c r="Q219" s="9" t="n">
        <f aca="false">((((((Q195+Q202)+Q208)+Q209)+Q203)+Q210)+Q211)</f>
        <v>97117.0133333333</v>
      </c>
      <c r="R219" s="9" t="n">
        <f aca="false">((((((R195+R202)+R208)+R209)+R203)+R210)+R211)</f>
        <v>73023.3333333333</v>
      </c>
      <c r="S219" s="9" t="n">
        <f aca="false">((((((S195+S202)+S208)+S209)+S203)+S210)+S211)</f>
        <v>75095.3333333333</v>
      </c>
      <c r="T219" s="9" t="n">
        <f aca="false">((((((T195+T202)+T208)+T209)+T203)+T210)+T211)</f>
        <v>98468.8633333333</v>
      </c>
      <c r="U219" s="9" t="n">
        <f aca="false">((((((U195+U202)+U208)+U209)+U203)+U210)+U211)</f>
        <v>87373.3333333333</v>
      </c>
      <c r="V219" s="9" t="n">
        <f aca="false">((((((V195+V202)+V208)+V209)+V203)+V210)+V211)</f>
        <v>102945.333333333</v>
      </c>
      <c r="W219" s="9" t="n">
        <f aca="false">((((((W195+W202)+W208)+W209)+W203)+W210)+W211)</f>
        <v>78496.8773333333</v>
      </c>
      <c r="X219" s="9" t="n">
        <f aca="false">((((((X195+X202)+X208)+X209)+X203)+X210)+X211)</f>
        <v>102573.333333333</v>
      </c>
      <c r="Y219" s="9" t="n">
        <f aca="false">((((((Y195+Y202)+Y208)+Y209)+Y203)+Y210)+Y211)</f>
        <v>81549.3333333333</v>
      </c>
      <c r="Z219" s="9" t="n">
        <f aca="false">((((((Z195+Z202)+Z208)+Z209)+Z203)+Z210)+Z211)</f>
        <v>103497.388272</v>
      </c>
      <c r="AA219" s="9" t="n">
        <f aca="false">((((((AA195+AA202)+AA208)+AA209)+AA203)+AA210)+AA211)</f>
        <v>107977.5</v>
      </c>
      <c r="AB219" s="9" t="n">
        <f aca="false">((((((AB195+AB202)+AB208)+AB209)+AB203)+AB210)+AB211)</f>
        <v>125117.5</v>
      </c>
      <c r="AC219" s="9" t="n">
        <f aca="false">((((((AC195+AC202)+AC208)+AC209)+AC203)+AC210)+AC211)</f>
        <v>102089.031104</v>
      </c>
      <c r="AD219" s="9" t="n">
        <f aca="false">((((((AD195+AD202)+AD208)+AD209)+AD203)+AD210)+AD211)</f>
        <v>125501.5</v>
      </c>
      <c r="AE219" s="9" t="n">
        <f aca="false">((((((AE195+AE202)+AE208)+AE209)+AE203)+AE210)+AE211)</f>
        <v>103217.5</v>
      </c>
      <c r="AF219" s="9" t="n">
        <f aca="false">((((((AF195+AF202)+AF208)+AF209)+AF203)+AF210)+AF211)</f>
        <v>116297.703984</v>
      </c>
      <c r="AG219" s="9" t="n">
        <f aca="false">((((((AG195+AG202)+AG208)+AG209)+AG203)+AG210)+AG211)</f>
        <v>113077.5</v>
      </c>
      <c r="AH219" s="9" t="n">
        <f aca="false">((((((AH195+AH202)+AH208)+AH209)+AH203)+AH210)+AH211)</f>
        <v>118071.5</v>
      </c>
      <c r="AI219" s="9" t="n">
        <f aca="false">((((((AI195+AI202)+AI208)+AI209)+AI203)+AI210)+AI211)</f>
        <v>122494.0488232</v>
      </c>
      <c r="AJ219" s="9" t="n">
        <f aca="false">((((((AJ195+AJ202)+AJ208)+AJ209)+AJ203)+AJ210)+AJ211)</f>
        <v>109495.9</v>
      </c>
      <c r="AK219" s="9" t="n">
        <f aca="false">((((((AK195+AK202)+AK208)+AK209)+AK203)+AK210)+AK211)</f>
        <v>108129.276</v>
      </c>
      <c r="AL219" s="9" t="n">
        <f aca="false">((((((AL195+AL202)+AL208)+AL209)+AL203)+AL210)+AL211)</f>
        <v>112099.287445082</v>
      </c>
      <c r="AN219" s="11" t="n">
        <f aca="false">SUM(C219:N219)</f>
        <v>587841.573333333</v>
      </c>
      <c r="AO219" s="11" t="n">
        <f aca="false">SUM(O219:Z219)</f>
        <v>1054504.80893867</v>
      </c>
      <c r="AP219" s="11" t="n">
        <f aca="false">SUM(AA219:AL219)</f>
        <v>1363568.24735628</v>
      </c>
    </row>
    <row r="220" customFormat="false" ht="15" hidden="false" customHeight="false" outlineLevel="0" collapsed="false">
      <c r="A220" s="0" t="s">
        <v>39</v>
      </c>
      <c r="B220" s="0" t="s">
        <v>230</v>
      </c>
      <c r="C220" s="9" t="n">
        <f aca="false">C212</f>
        <v>0</v>
      </c>
      <c r="D220" s="9" t="n">
        <f aca="false">D212</f>
        <v>0</v>
      </c>
      <c r="E220" s="9" t="n">
        <f aca="false">E212</f>
        <v>0</v>
      </c>
      <c r="F220" s="9" t="n">
        <f aca="false">F212</f>
        <v>0</v>
      </c>
      <c r="G220" s="9" t="n">
        <f aca="false">G212</f>
        <v>0</v>
      </c>
      <c r="H220" s="9" t="n">
        <f aca="false">H212</f>
        <v>0</v>
      </c>
      <c r="I220" s="9" t="n">
        <f aca="false">I212</f>
        <v>0</v>
      </c>
      <c r="J220" s="9" t="n">
        <f aca="false">J212</f>
        <v>0</v>
      </c>
      <c r="K220" s="9" t="n">
        <f aca="false">K212</f>
        <v>0</v>
      </c>
      <c r="L220" s="9" t="n">
        <f aca="false">L212</f>
        <v>0</v>
      </c>
      <c r="M220" s="9" t="n">
        <f aca="false">M212</f>
        <v>0</v>
      </c>
      <c r="N220" s="9" t="n">
        <f aca="false">N212</f>
        <v>0</v>
      </c>
      <c r="O220" s="9" t="n">
        <f aca="false">O212</f>
        <v>0</v>
      </c>
      <c r="P220" s="9" t="n">
        <f aca="false">P212</f>
        <v>0</v>
      </c>
      <c r="Q220" s="9" t="n">
        <f aca="false">Q212</f>
        <v>0</v>
      </c>
      <c r="R220" s="9" t="n">
        <f aca="false">R212</f>
        <v>0</v>
      </c>
      <c r="S220" s="9" t="n">
        <f aca="false">S212</f>
        <v>0</v>
      </c>
      <c r="T220" s="9" t="n">
        <f aca="false">T212</f>
        <v>0</v>
      </c>
      <c r="U220" s="9" t="n">
        <f aca="false">U212</f>
        <v>0</v>
      </c>
      <c r="V220" s="9" t="n">
        <f aca="false">V212</f>
        <v>0</v>
      </c>
      <c r="W220" s="9" t="n">
        <f aca="false">W212</f>
        <v>0</v>
      </c>
      <c r="X220" s="9" t="n">
        <f aca="false">X212</f>
        <v>0</v>
      </c>
      <c r="Y220" s="9" t="n">
        <f aca="false">Y212</f>
        <v>0</v>
      </c>
      <c r="Z220" s="9" t="n">
        <f aca="false">Z212</f>
        <v>0</v>
      </c>
      <c r="AA220" s="9" t="n">
        <f aca="false">AA212</f>
        <v>0</v>
      </c>
      <c r="AB220" s="9" t="n">
        <f aca="false">AB212</f>
        <v>0</v>
      </c>
      <c r="AC220" s="9" t="n">
        <f aca="false">AC212</f>
        <v>0</v>
      </c>
      <c r="AD220" s="9" t="n">
        <f aca="false">AD212</f>
        <v>0</v>
      </c>
      <c r="AE220" s="9" t="n">
        <f aca="false">AE212</f>
        <v>0</v>
      </c>
      <c r="AF220" s="9" t="n">
        <f aca="false">AF212</f>
        <v>0</v>
      </c>
      <c r="AG220" s="9" t="n">
        <f aca="false">AG212</f>
        <v>0</v>
      </c>
      <c r="AH220" s="9" t="n">
        <f aca="false">AH212</f>
        <v>0</v>
      </c>
      <c r="AI220" s="9" t="n">
        <f aca="false">AI212</f>
        <v>0</v>
      </c>
      <c r="AJ220" s="9" t="n">
        <f aca="false">AJ212</f>
        <v>0</v>
      </c>
      <c r="AK220" s="9" t="n">
        <f aca="false">AK212</f>
        <v>0</v>
      </c>
      <c r="AL220" s="9" t="n">
        <f aca="false">AL212</f>
        <v>0</v>
      </c>
      <c r="AN220" s="11" t="n">
        <f aca="false">SUM(C220:N220)</f>
        <v>0</v>
      </c>
      <c r="AO220" s="11" t="n">
        <f aca="false">SUM(O220:Z220)</f>
        <v>0</v>
      </c>
      <c r="AP220" s="11" t="n">
        <f aca="false">SUM(AA220:AL220)</f>
        <v>0</v>
      </c>
    </row>
    <row r="221" customFormat="false" ht="15" hidden="false" customHeight="false" outlineLevel="0" collapsed="false">
      <c r="A221" s="10" t="s">
        <v>40</v>
      </c>
      <c r="B221" s="20" t="s">
        <v>230</v>
      </c>
      <c r="C221" s="11" t="n">
        <f aca="false">(((((((C213+C214)+C215)+C216)+C217)+C218)+C219)+C220)</f>
        <v>98298.3333333333</v>
      </c>
      <c r="D221" s="11" t="n">
        <f aca="false">(((((((D213+D214)+D215)+D216)+D217)+D218)+D219)+D220)</f>
        <v>98298.3333333333</v>
      </c>
      <c r="E221" s="11" t="n">
        <f aca="false">(((((((E213+E214)+E215)+E216)+E217)+E218)+E219)+E220)</f>
        <v>124165</v>
      </c>
      <c r="F221" s="11" t="n">
        <f aca="false">(((((((F213+F214)+F215)+F216)+F217)+F218)+F219)+F220)</f>
        <v>139248.333333333</v>
      </c>
      <c r="G221" s="11" t="n">
        <f aca="false">(((((((G213+G214)+G215)+G216)+G217)+G218)+G219)+G220)</f>
        <v>169015</v>
      </c>
      <c r="H221" s="11" t="n">
        <f aca="false">(((((((H213+H214)+H215)+H216)+H217)+H218)+H219)+H220)</f>
        <v>196640</v>
      </c>
      <c r="I221" s="11" t="n">
        <f aca="false">(((((((I213+I214)+I215)+I216)+I217)+I218)+I219)+I220)</f>
        <v>200940</v>
      </c>
      <c r="J221" s="11" t="n">
        <f aca="false">(((((((J213+J214)+J215)+J216)+J217)+J218)+J219)+J220)</f>
        <v>189140</v>
      </c>
      <c r="K221" s="11" t="n">
        <f aca="false">(((((((K213+K214)+K215)+K216)+K217)+K218)+K219)+K220)</f>
        <v>254540</v>
      </c>
      <c r="L221" s="11" t="n">
        <f aca="false">(((((((L213+L214)+L215)+L216)+L217)+L218)+L219)+L220)</f>
        <v>243481.666666667</v>
      </c>
      <c r="M221" s="11" t="n">
        <f aca="false">(((((((M213+M214)+M215)+M216)+M217)+M218)+M219)+M220)</f>
        <v>272701</v>
      </c>
      <c r="N221" s="11" t="n">
        <f aca="false">(((((((N213+N214)+N215)+N216)+N217)+N218)+N219)+N220)</f>
        <v>265391.493333333</v>
      </c>
      <c r="O221" s="11" t="n">
        <f aca="false">(((((((O213+O214)+O215)+O216)+O217)+O218)+O219)+O220)</f>
        <v>335390</v>
      </c>
      <c r="P221" s="11" t="n">
        <f aca="false">(((((((P213+P214)+P215)+P216)+P217)+P218)+P219)+P220)</f>
        <v>353802</v>
      </c>
      <c r="Q221" s="11" t="n">
        <f aca="false">(((((((Q213+Q214)+Q215)+Q216)+Q217)+Q218)+Q219)+Q220)</f>
        <v>369833.12</v>
      </c>
      <c r="R221" s="11" t="n">
        <f aca="false">(((((((R213+R214)+R215)+R216)+R217)+R218)+R219)+R220)</f>
        <v>341790</v>
      </c>
      <c r="S221" s="11" t="n">
        <f aca="false">(((((((S213+S214)+S215)+S216)+S217)+S218)+S219)+S220)</f>
        <v>360438</v>
      </c>
      <c r="T221" s="11" t="n">
        <f aca="false">(((((((T213+T214)+T215)+T216)+T217)+T218)+T219)+T220)</f>
        <v>368861.77</v>
      </c>
      <c r="U221" s="11" t="n">
        <f aca="false">(((((((U213+U214)+U215)+U216)+U217)+U218)+U219)+U220)</f>
        <v>356140</v>
      </c>
      <c r="V221" s="11" t="n">
        <f aca="false">(((((((V213+V214)+V215)+V216)+V217)+V218)+V219)+V220)</f>
        <v>408113</v>
      </c>
      <c r="W221" s="11" t="n">
        <f aca="false">(((((((W213+W214)+W215)+W216)+W217)+W218)+W219)+W220)</f>
        <v>378170.496</v>
      </c>
      <c r="X221" s="11" t="n">
        <f aca="false">(((((((X213+X214)+X215)+X216)+X217)+X218)+X219)+X220)</f>
        <v>402348.333333333</v>
      </c>
      <c r="Y221" s="11" t="n">
        <f aca="false">(((((((Y213+Y214)+Y215)+Y216)+Y217)+Y218)+Y219)+Y220)</f>
        <v>401932.333333333</v>
      </c>
      <c r="Z221" s="11" t="n">
        <f aca="false">(((((((Z213+Z214)+Z215)+Z216)+Z217)+Z218)+Z219)+Z220)</f>
        <v>429510.180272</v>
      </c>
      <c r="AA221" s="11" t="n">
        <f aca="false">(((((((AA213+AA214)+AA215)+AA216)+AA217)+AA218)+AA219)+AA220)</f>
        <v>438502.5</v>
      </c>
      <c r="AB221" s="11" t="n">
        <f aca="false">(((((((AB213+AB214)+AB215)+AB216)+AB217)+AB218)+AB219)+AB220)</f>
        <v>500012.5</v>
      </c>
      <c r="AC221" s="11" t="n">
        <f aca="false">(((((((AC213+AC214)+AC215)+AC216)+AC217)+AC218)+AC219)+AC220)</f>
        <v>479410.623104</v>
      </c>
      <c r="AD221" s="11" t="n">
        <f aca="false">(((((((AD213+AD214)+AD215)+AD216)+AD217)+AD218)+AD219)+AD220)</f>
        <v>501051.833333333</v>
      </c>
      <c r="AE221" s="11" t="n">
        <f aca="false">(((((((AE213+AE214)+AE215)+AE216)+AE217)+AE218)+AE219)+AE220)</f>
        <v>489295.833333333</v>
      </c>
      <c r="AF221" s="11" t="n">
        <f aca="false">(((((((AF213+AF214)+AF215)+AF216)+AF217)+AF218)+AF219)+AF220)</f>
        <v>506428.869317333</v>
      </c>
      <c r="AG221" s="11" t="n">
        <f aca="false">(((((((AG213+AG214)+AG215)+AG216)+AG217)+AG218)+AG219)+AG220)</f>
        <v>470035.833333333</v>
      </c>
      <c r="AH221" s="11" t="n">
        <f aca="false">(((((((AH213+AH214)+AH215)+AH216)+AH217)+AH218)+AH219)+AH220)</f>
        <v>508181.833333333</v>
      </c>
      <c r="AI221" s="11" t="n">
        <f aca="false">(((((((AI213+AI214)+AI215)+AI216)+AI217)+AI218)+AI219)+AI220)</f>
        <v>535610.526156533</v>
      </c>
      <c r="AJ221" s="11" t="n">
        <f aca="false">(((((((AJ213+AJ214)+AJ215)+AJ216)+AJ217)+AJ218)+AJ219)+AJ220)</f>
        <v>518601.433333333</v>
      </c>
      <c r="AK221" s="11" t="n">
        <f aca="false">(((((((AK213+AK214)+AK215)+AK216)+AK217)+AK218)+AK219)+AK220)</f>
        <v>507780.217333333</v>
      </c>
      <c r="AL221" s="11" t="n">
        <f aca="false">(((((((AL213+AL214)+AL215)+AL216)+AL217)+AL218)+AL219)+AL220)</f>
        <v>525215.764778415</v>
      </c>
      <c r="AN221" s="11" t="n">
        <f aca="false">SUM(C221:N221)</f>
        <v>2251859.16</v>
      </c>
      <c r="AO221" s="11" t="n">
        <f aca="false">SUM(O221:Z221)</f>
        <v>4506329.23293867</v>
      </c>
      <c r="AP221" s="11" t="n">
        <f aca="false">SUM(AA221:AL221)</f>
        <v>5980127.76735628</v>
      </c>
    </row>
    <row r="222" customFormat="false" ht="15" hidden="false" customHeight="false" outlineLevel="0" collapsed="false">
      <c r="A222" s="21" t="s">
        <v>1012</v>
      </c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</row>
    <row r="223" customFormat="false" ht="15" hidden="false" customHeight="false" outlineLevel="0" collapsed="false">
      <c r="A223" s="0" t="s">
        <v>30</v>
      </c>
      <c r="B223" s="0" t="s">
        <v>230</v>
      </c>
      <c r="C223" s="9" t="n">
        <f aca="false">(C146-C184)</f>
        <v>-6100.6624476</v>
      </c>
      <c r="D223" s="9" t="n">
        <f aca="false">(D146-D184)</f>
        <v>-6178.86942612</v>
      </c>
      <c r="E223" s="9" t="n">
        <f aca="false">(E146-E184)</f>
        <v>-6235.70808999408</v>
      </c>
      <c r="F223" s="9" t="n">
        <f aca="false">(F146-F184)</f>
        <v>-6281.20194115834</v>
      </c>
      <c r="G223" s="9" t="n">
        <f aca="false">(G146-G184)</f>
        <v>-16870.918830347</v>
      </c>
      <c r="H223" s="9" t="n">
        <f aca="false">(H146-H184)</f>
        <v>-16885.9965834693</v>
      </c>
      <c r="I223" s="9" t="n">
        <f aca="false">(I146-I184)</f>
        <v>-16924.3416162352</v>
      </c>
      <c r="J223" s="9" t="n">
        <f aca="false">(J146-J184)</f>
        <v>-17760.5701330568</v>
      </c>
      <c r="K223" s="9" t="n">
        <f aca="false">(K146-K184)</f>
        <v>-24225.7306213962</v>
      </c>
      <c r="L223" s="9" t="n">
        <f aca="false">(L146-L184)</f>
        <v>-24289.8928477918</v>
      </c>
      <c r="M223" s="9" t="n">
        <f aca="false">(M146-M184)</f>
        <v>-21353.1785483877</v>
      </c>
      <c r="N223" s="9" t="n">
        <f aca="false">(N146-N184)</f>
        <v>-20289.084020999</v>
      </c>
      <c r="O223" s="9" t="n">
        <f aca="false">(O146-O184)</f>
        <v>-27165.370897216</v>
      </c>
      <c r="P223" s="9" t="n">
        <f aca="false">(P146-P184)</f>
        <v>3337.19058374038</v>
      </c>
      <c r="Q223" s="9" t="n">
        <f aca="false">(Q146-Q184)</f>
        <v>-4053.7550331299</v>
      </c>
      <c r="R223" s="9" t="n">
        <f aca="false">(R146-R184)</f>
        <v>-4327.52465007397</v>
      </c>
      <c r="S223" s="9" t="n">
        <f aca="false">(S146-S184)</f>
        <v>14358.2967264551</v>
      </c>
      <c r="T223" s="9" t="n">
        <f aca="false">(T146-T184)</f>
        <v>-3668.56779765952</v>
      </c>
      <c r="U223" s="9" t="n">
        <f aca="false">(U146-U184)</f>
        <v>-13974.7149590171</v>
      </c>
      <c r="V223" s="9" t="n">
        <f aca="false">(V146-V184)</f>
        <v>-11191.4309070553</v>
      </c>
      <c r="W223" s="9" t="n">
        <f aca="false">(W146-W184)</f>
        <v>4081.99552071233</v>
      </c>
      <c r="X223" s="9" t="n">
        <f aca="false">(X146-X184)</f>
        <v>-6257.87880900195</v>
      </c>
      <c r="Y223" s="9" t="n">
        <f aca="false">(Y146-Y184)</f>
        <v>6529.13956536981</v>
      </c>
      <c r="Z223" s="9" t="n">
        <f aca="false">(Z146-Z184)</f>
        <v>43128.2852120017</v>
      </c>
      <c r="AA223" s="9" t="n">
        <f aca="false">(AA146-AA184)</f>
        <v>24855.3750331141</v>
      </c>
      <c r="AB223" s="9" t="n">
        <f aca="false">(AB146-AB184)</f>
        <v>50129.2323501862</v>
      </c>
      <c r="AC223" s="9" t="n">
        <f aca="false">(AC146-AC184)</f>
        <v>78752.1511777056</v>
      </c>
      <c r="AD223" s="9" t="n">
        <f aca="false">(AD146-AD184)</f>
        <v>131130.036726009</v>
      </c>
      <c r="AE223" s="9" t="n">
        <f aca="false">(AE146-AE184)</f>
        <v>138804.859670732</v>
      </c>
      <c r="AF223" s="9" t="n">
        <f aca="false">(AF146-AF184)</f>
        <v>150339.39323241</v>
      </c>
      <c r="AG223" s="9" t="n">
        <f aca="false">(AG146-AG184)</f>
        <v>94975.7201918864</v>
      </c>
      <c r="AH223" s="9" t="n">
        <f aca="false">(AH146-AH184)</f>
        <v>102797.174399732</v>
      </c>
      <c r="AI223" s="9" t="n">
        <f aca="false">(AI146-AI184)</f>
        <v>163174.006593895</v>
      </c>
      <c r="AJ223" s="9" t="n">
        <f aca="false">(AJ146-AJ184)</f>
        <v>284143.841938884</v>
      </c>
      <c r="AK223" s="9" t="n">
        <f aca="false">(AK146-AK184)</f>
        <v>297095.340492849</v>
      </c>
      <c r="AL223" s="9" t="n">
        <f aca="false">(AL146-AL184)</f>
        <v>334297.405081604</v>
      </c>
      <c r="AN223" s="11" t="n">
        <f aca="false">SUM(C223:N223)</f>
        <v>-183396.155106555</v>
      </c>
      <c r="AO223" s="11" t="n">
        <f aca="false">SUM(O223:Z223)</f>
        <v>795.664555125601</v>
      </c>
      <c r="AP223" s="11" t="n">
        <f aca="false">SUM(AA223:AL223)</f>
        <v>1850494.53688901</v>
      </c>
    </row>
    <row r="224" customFormat="false" ht="15" hidden="false" customHeight="false" outlineLevel="0" collapsed="false">
      <c r="A224" s="0" t="s">
        <v>1013</v>
      </c>
      <c r="B224" s="0" t="s">
        <v>230</v>
      </c>
      <c r="C224" s="9" t="n">
        <f aca="false">((C223-C206)-C204)</f>
        <v>-6100.6624476</v>
      </c>
      <c r="D224" s="9" t="n">
        <f aca="false">((D223-D206)-D204)</f>
        <v>-6178.86942612</v>
      </c>
      <c r="E224" s="9" t="n">
        <f aca="false">((E223-E206)-E204)</f>
        <v>-6235.70808999408</v>
      </c>
      <c r="F224" s="9" t="n">
        <f aca="false">((F223-F206)-F204)</f>
        <v>-6281.20194115834</v>
      </c>
      <c r="G224" s="9" t="n">
        <f aca="false">((G223-G206)-G204)</f>
        <v>-16870.918830347</v>
      </c>
      <c r="H224" s="9" t="n">
        <f aca="false">((H223-H206)-H204)</f>
        <v>-16885.9965834693</v>
      </c>
      <c r="I224" s="9" t="n">
        <f aca="false">((I223-I206)-I204)</f>
        <v>-16924.3416162352</v>
      </c>
      <c r="J224" s="9" t="n">
        <f aca="false">((J223-J206)-J204)</f>
        <v>-17760.5701330568</v>
      </c>
      <c r="K224" s="9" t="n">
        <f aca="false">((K223-K206)-K204)</f>
        <v>-24225.7306213962</v>
      </c>
      <c r="L224" s="9" t="n">
        <f aca="false">((L223-L206)-L204)</f>
        <v>-24289.8928477918</v>
      </c>
      <c r="M224" s="9" t="n">
        <f aca="false">((M223-M206)-M204)</f>
        <v>-25385.1785483877</v>
      </c>
      <c r="N224" s="9" t="n">
        <f aca="false">((N223-N206)-N204)</f>
        <v>-21683.004020999</v>
      </c>
      <c r="O224" s="9" t="n">
        <f aca="false">((O223-O206)-O204)</f>
        <v>-30165.370897216</v>
      </c>
      <c r="P224" s="9" t="n">
        <f aca="false">((P223-P206)-P204)</f>
        <v>-12206.8094162596</v>
      </c>
      <c r="Q224" s="9" t="n">
        <f aca="false">((Q223-Q206)-Q204)</f>
        <v>-11003.1950331299</v>
      </c>
      <c r="R224" s="9" t="n">
        <f aca="false">((R223-R206)-R204)</f>
        <v>-7327.52465007397</v>
      </c>
      <c r="S224" s="9" t="n">
        <f aca="false">((S223-S206)-S204)</f>
        <v>-5217.70327354489</v>
      </c>
      <c r="T224" s="9" t="n">
        <f aca="false">((T223-T206)-T204)</f>
        <v>-8294.80779765952</v>
      </c>
      <c r="U224" s="9" t="n">
        <f aca="false">((U223-U206)-U204)</f>
        <v>-16974.7149590171</v>
      </c>
      <c r="V224" s="9" t="n">
        <f aca="false">((V223-V206)-V204)</f>
        <v>-30767.4309070553</v>
      </c>
      <c r="W224" s="9" t="n">
        <f aca="false">((W223-W206)-W204)</f>
        <v>-9999.95647928767</v>
      </c>
      <c r="X224" s="9" t="n">
        <f aca="false">((X223-X206)-X204)</f>
        <v>-9257.87880900195</v>
      </c>
      <c r="Y224" s="9" t="n">
        <f aca="false">((Y223-Y206)-Y204)</f>
        <v>-17078.8604346302</v>
      </c>
      <c r="Z224" s="9" t="n">
        <f aca="false">((Z223-Z206)-Z204)</f>
        <v>13890.4932120017</v>
      </c>
      <c r="AA224" s="9" t="n">
        <f aca="false">((AA223-AA206)-AA204)</f>
        <v>19855.3750331141</v>
      </c>
      <c r="AB224" s="9" t="n">
        <f aca="false">((AB223-AB206)-AB204)</f>
        <v>16009.2323501862</v>
      </c>
      <c r="AC224" s="9" t="n">
        <f aca="false">((AC223-AC206)-AC204)</f>
        <v>42205.5591777056</v>
      </c>
      <c r="AD224" s="9" t="n">
        <f aca="false">((AD223-AD206)-AD204)</f>
        <v>107538.036726009</v>
      </c>
      <c r="AE224" s="9" t="n">
        <f aca="false">((AE223-AE206)-AE204)</f>
        <v>104684.859670732</v>
      </c>
      <c r="AF224" s="9" t="n">
        <f aca="false">((AF223-AF206)-AF204)</f>
        <v>112166.56123241</v>
      </c>
      <c r="AG224" s="9" t="n">
        <f aca="false">((AG223-AG206)-AG204)</f>
        <v>89975.7201918864</v>
      </c>
      <c r="AH224" s="9" t="n">
        <f aca="false">((AH223-AH206)-AH204)</f>
        <v>64645.1743997319</v>
      </c>
      <c r="AI224" s="9" t="n">
        <f aca="false">((AI223-AI206)-AI204)</f>
        <v>102015.862593895</v>
      </c>
      <c r="AJ224" s="9" t="n">
        <f aca="false">((AJ223-AJ206)-AJ204)</f>
        <v>226996.641938884</v>
      </c>
      <c r="AK224" s="9" t="n">
        <f aca="false">((AK223-AK206)-AK204)</f>
        <v>249402.732492849</v>
      </c>
      <c r="AL224" s="9" t="n">
        <f aca="false">((AL223-AL206)-AL204)</f>
        <v>273139.261081604</v>
      </c>
      <c r="AN224" s="11" t="n">
        <f aca="false">SUM(C224:N224)</f>
        <v>-188822.075106555</v>
      </c>
      <c r="AO224" s="11" t="n">
        <f aca="false">SUM(O224:Z224)</f>
        <v>-144403.759444874</v>
      </c>
      <c r="AP224" s="11" t="n">
        <f aca="false">SUM(AA224:AL224)</f>
        <v>1408635.01688901</v>
      </c>
    </row>
    <row r="225" customFormat="false" ht="15" hidden="false" customHeight="false" outlineLevel="0" collapsed="false">
      <c r="A225" s="10" t="s">
        <v>1014</v>
      </c>
      <c r="B225" s="20" t="s">
        <v>230</v>
      </c>
      <c r="C225" s="11" t="n">
        <f aca="false">(C223-C221)</f>
        <v>-104398.995780933</v>
      </c>
      <c r="D225" s="11" t="n">
        <f aca="false">(D223-D221)</f>
        <v>-104477.202759453</v>
      </c>
      <c r="E225" s="11" t="n">
        <f aca="false">(E223-E221)</f>
        <v>-130400.708089994</v>
      </c>
      <c r="F225" s="11" t="n">
        <f aca="false">(F223-F221)</f>
        <v>-145529.535274492</v>
      </c>
      <c r="G225" s="11" t="n">
        <f aca="false">(G223-G221)</f>
        <v>-185885.918830347</v>
      </c>
      <c r="H225" s="11" t="n">
        <f aca="false">(H223-H221)</f>
        <v>-213525.996583469</v>
      </c>
      <c r="I225" s="11" t="n">
        <f aca="false">(I223-I221)</f>
        <v>-217864.341616235</v>
      </c>
      <c r="J225" s="11" t="n">
        <f aca="false">(J223-J221)</f>
        <v>-206900.570133057</v>
      </c>
      <c r="K225" s="11" t="n">
        <f aca="false">(K223-K221)</f>
        <v>-278765.730621396</v>
      </c>
      <c r="L225" s="11" t="n">
        <f aca="false">(L223-L221)</f>
        <v>-267771.559514458</v>
      </c>
      <c r="M225" s="11" t="n">
        <f aca="false">(M223-M221)</f>
        <v>-294054.178548388</v>
      </c>
      <c r="N225" s="11" t="n">
        <f aca="false">(N223-N221)</f>
        <v>-285680.577354332</v>
      </c>
      <c r="O225" s="11" t="n">
        <f aca="false">(O223-O221)</f>
        <v>-362555.370897216</v>
      </c>
      <c r="P225" s="11" t="n">
        <f aca="false">(P223-P221)</f>
        <v>-350464.80941626</v>
      </c>
      <c r="Q225" s="11" t="n">
        <f aca="false">(Q223-Q221)</f>
        <v>-373886.87503313</v>
      </c>
      <c r="R225" s="11" t="n">
        <f aca="false">(R223-R221)</f>
        <v>-346117.524650074</v>
      </c>
      <c r="S225" s="11" t="n">
        <f aca="false">(S223-S221)</f>
        <v>-346079.703273545</v>
      </c>
      <c r="T225" s="11" t="n">
        <f aca="false">(T223-T221)</f>
        <v>-372530.337797659</v>
      </c>
      <c r="U225" s="11" t="n">
        <f aca="false">(U223-U221)</f>
        <v>-370114.714959017</v>
      </c>
      <c r="V225" s="11" t="n">
        <f aca="false">(V223-V221)</f>
        <v>-419304.430907055</v>
      </c>
      <c r="W225" s="11" t="n">
        <f aca="false">(W223-W221)</f>
        <v>-374088.500479288</v>
      </c>
      <c r="X225" s="11" t="n">
        <f aca="false">(X223-X221)</f>
        <v>-408606.212142335</v>
      </c>
      <c r="Y225" s="11" t="n">
        <f aca="false">(Y223-Y221)</f>
        <v>-395403.193767963</v>
      </c>
      <c r="Z225" s="11" t="n">
        <f aca="false">(Z223-Z221)</f>
        <v>-386381.895059998</v>
      </c>
      <c r="AA225" s="11" t="n">
        <f aca="false">(AA223-AA221)</f>
        <v>-413647.124966886</v>
      </c>
      <c r="AB225" s="11" t="n">
        <f aca="false">(AB223-AB221)</f>
        <v>-449883.267649814</v>
      </c>
      <c r="AC225" s="11" t="n">
        <f aca="false">(AC223-AC221)</f>
        <v>-400658.471926295</v>
      </c>
      <c r="AD225" s="11" t="n">
        <f aca="false">(AD223-AD221)</f>
        <v>-369921.796607324</v>
      </c>
      <c r="AE225" s="11" t="n">
        <f aca="false">(AE223-AE221)</f>
        <v>-350490.973662601</v>
      </c>
      <c r="AF225" s="11" t="n">
        <f aca="false">(AF223-AF221)</f>
        <v>-356089.476084924</v>
      </c>
      <c r="AG225" s="11" t="n">
        <f aca="false">(AG223-AG221)</f>
        <v>-375060.113141447</v>
      </c>
      <c r="AH225" s="11" t="n">
        <f aca="false">(AH223-AH221)</f>
        <v>-405384.658933602</v>
      </c>
      <c r="AI225" s="11" t="n">
        <f aca="false">(AI223-AI221)</f>
        <v>-372436.519562639</v>
      </c>
      <c r="AJ225" s="11" t="n">
        <f aca="false">(AJ223-AJ221)</f>
        <v>-234457.59139445</v>
      </c>
      <c r="AK225" s="11" t="n">
        <f aca="false">(AK223-AK221)</f>
        <v>-210684.876840484</v>
      </c>
      <c r="AL225" s="11" t="n">
        <f aca="false">(AL223-AL221)</f>
        <v>-190918.359696811</v>
      </c>
      <c r="AN225" s="11" t="n">
        <f aca="false">SUM(C225:N225)</f>
        <v>-2435255.31510656</v>
      </c>
      <c r="AO225" s="11" t="n">
        <f aca="false">SUM(O225:Z225)</f>
        <v>-4505533.56838354</v>
      </c>
      <c r="AP225" s="11" t="n">
        <f aca="false">SUM(AA225:AL225)</f>
        <v>-4129633.23046728</v>
      </c>
    </row>
    <row r="226" customFormat="false" ht="15" hidden="false" customHeight="false" outlineLevel="0" collapsed="false">
      <c r="A226" s="10" t="s">
        <v>44</v>
      </c>
      <c r="B226" s="20" t="s">
        <v>230</v>
      </c>
      <c r="C226" s="11" t="n">
        <f aca="false">((C153-C184)-C221)</f>
        <v>-104398.995780933</v>
      </c>
      <c r="D226" s="11" t="n">
        <f aca="false">((D153-D184)-D221)</f>
        <v>-104477.202759453</v>
      </c>
      <c r="E226" s="11" t="n">
        <f aca="false">((E153-E184)-E221)</f>
        <v>-130400.708089994</v>
      </c>
      <c r="F226" s="11" t="n">
        <f aca="false">((F153-F184)-F221)</f>
        <v>-145529.535274492</v>
      </c>
      <c r="G226" s="11" t="n">
        <f aca="false">((G153-G184)-G221)</f>
        <v>-185885.918830347</v>
      </c>
      <c r="H226" s="11" t="n">
        <f aca="false">((H153-H184)-H221)</f>
        <v>-213525.996583469</v>
      </c>
      <c r="I226" s="11" t="n">
        <f aca="false">((I153-I184)-I221)</f>
        <v>-217864.341616235</v>
      </c>
      <c r="J226" s="11" t="n">
        <f aca="false">((J153-J184)-J221)</f>
        <v>-206900.570133057</v>
      </c>
      <c r="K226" s="11" t="n">
        <f aca="false">((K153-K184)-K221)</f>
        <v>-278765.730621396</v>
      </c>
      <c r="L226" s="11" t="n">
        <f aca="false">((L153-L184)-L221)</f>
        <v>-267771.559514458</v>
      </c>
      <c r="M226" s="11" t="n">
        <f aca="false">((M153-M184)-M221)</f>
        <v>-307354.178548388</v>
      </c>
      <c r="N226" s="11" t="n">
        <f aca="false">((N153-N184)-N221)</f>
        <v>-300432.577354332</v>
      </c>
      <c r="O226" s="11" t="n">
        <f aca="false">((O153-O184)-O221)</f>
        <v>-327239.212946371</v>
      </c>
      <c r="P226" s="11" t="n">
        <f aca="false">((P153-P184)-P221)</f>
        <v>-379577.401435628</v>
      </c>
      <c r="Q226" s="11" t="n">
        <f aca="false">((Q153-Q184)-Q221)</f>
        <v>-424242.946473979</v>
      </c>
      <c r="R226" s="11" t="n">
        <f aca="false">((R153-R184)-R221)</f>
        <v>-241177.386105395</v>
      </c>
      <c r="S226" s="11" t="n">
        <f aca="false">((S153-S184)-S221)</f>
        <v>-367766.964453801</v>
      </c>
      <c r="T226" s="11" t="n">
        <f aca="false">((T153-T184)-T221)</f>
        <v>-444320.0970747</v>
      </c>
      <c r="U226" s="11" t="n">
        <f aca="false">((U153-U184)-U221)</f>
        <v>-236815.407345517</v>
      </c>
      <c r="V226" s="11" t="n">
        <f aca="false">((V153-V184)-V221)</f>
        <v>-480233.785010088</v>
      </c>
      <c r="W226" s="11" t="n">
        <f aca="false">((W153-W184)-W221)</f>
        <v>-466828.384006322</v>
      </c>
      <c r="X226" s="11" t="n">
        <f aca="false">((X153-X184)-X221)</f>
        <v>-296074.077507619</v>
      </c>
      <c r="Y226" s="11" t="n">
        <f aca="false">((Y153-Y184)-Y221)</f>
        <v>-380197.953075124</v>
      </c>
      <c r="Z226" s="11" t="n">
        <f aca="false">((Z153-Z184)-Z221)</f>
        <v>-531523.156286249</v>
      </c>
      <c r="AA226" s="11" t="n">
        <f aca="false">((AA153-AA184)-AA221)</f>
        <v>-303768.513129156</v>
      </c>
      <c r="AB226" s="11" t="n">
        <f aca="false">((AB153-AB184)-AB221)</f>
        <v>-306807.454970992</v>
      </c>
      <c r="AC226" s="11" t="n">
        <f aca="false">((AC153-AC184)-AC221)</f>
        <v>-608021.639178773</v>
      </c>
      <c r="AD226" s="11" t="n">
        <f aca="false">((AD153-AD184)-AD221)</f>
        <v>-280395.965936434</v>
      </c>
      <c r="AE226" s="11" t="n">
        <f aca="false">((AE153-AE184)-AE221)</f>
        <v>-211431.420971111</v>
      </c>
      <c r="AF226" s="11" t="n">
        <f aca="false">((AF153-AF184)-AF221)</f>
        <v>-426455.75648146</v>
      </c>
      <c r="AG226" s="11" t="n">
        <f aca="false">((AG153-AG184)-AG221)</f>
        <v>-265826.542166042</v>
      </c>
      <c r="AH226" s="11" t="n">
        <f aca="false">((AH153-AH184)-AH221)</f>
        <v>-266927.290820747</v>
      </c>
      <c r="AI226" s="11" t="n">
        <f aca="false">((AI153-AI184)-AI221)</f>
        <v>-706396.002688661</v>
      </c>
      <c r="AJ226" s="11" t="n">
        <f aca="false">((AJ153-AJ184)-AJ221)</f>
        <v>-279375.522063462</v>
      </c>
      <c r="AK226" s="11" t="n">
        <f aca="false">((AK153-AK184)-AK221)</f>
        <v>86151.7698066716</v>
      </c>
      <c r="AL226" s="11" t="n">
        <f aca="false">((AL153-AL184)-AL221)</f>
        <v>-51630.43883664</v>
      </c>
      <c r="AN226" s="11" t="n">
        <f aca="false">SUM(C226:N226)</f>
        <v>-2463307.31510656</v>
      </c>
      <c r="AO226" s="11" t="n">
        <f aca="false">SUM(O226:Z226)</f>
        <v>-4575996.77172079</v>
      </c>
      <c r="AP226" s="11" t="n">
        <f aca="false">SUM(AA226:AL226)</f>
        <v>-3620884.77743681</v>
      </c>
    </row>
    <row r="227" customFormat="false" ht="15" hidden="false" customHeight="false" outlineLevel="0" collapsed="false">
      <c r="A227" s="0" t="s">
        <v>45</v>
      </c>
      <c r="B227" s="0" t="s">
        <v>230</v>
      </c>
      <c r="C227" s="9" t="n">
        <f aca="false">(0+C226)</f>
        <v>-104398.995780933</v>
      </c>
      <c r="D227" s="9" t="n">
        <f aca="false">(C227+D226)</f>
        <v>-208876.198540387</v>
      </c>
      <c r="E227" s="9" t="n">
        <f aca="false">(D227+E226)</f>
        <v>-339276.906630381</v>
      </c>
      <c r="F227" s="9" t="n">
        <f aca="false">(E227+F226)</f>
        <v>-484806.441904872</v>
      </c>
      <c r="G227" s="9" t="n">
        <f aca="false">(F227+G226)</f>
        <v>-670692.360735219</v>
      </c>
      <c r="H227" s="9" t="n">
        <f aca="false">(G227+H226)</f>
        <v>-884218.357318689</v>
      </c>
      <c r="I227" s="9" t="n">
        <f aca="false">(H227+I226)</f>
        <v>-1102082.69893492</v>
      </c>
      <c r="J227" s="9" t="n">
        <f aca="false">(I227+J226)</f>
        <v>-1308983.26906798</v>
      </c>
      <c r="K227" s="9" t="n">
        <f aca="false">(J227+K226)</f>
        <v>-1587748.99968938</v>
      </c>
      <c r="L227" s="9" t="n">
        <f aca="false">(K227+L226)</f>
        <v>-1855520.55920384</v>
      </c>
      <c r="M227" s="9" t="n">
        <f aca="false">(L227+M226)</f>
        <v>-2162874.73775222</v>
      </c>
      <c r="N227" s="9" t="n">
        <f aca="false">(M227+N226)</f>
        <v>-2463307.31510656</v>
      </c>
      <c r="O227" s="9" t="n">
        <f aca="false">(N227+O226)</f>
        <v>-2790546.52805293</v>
      </c>
      <c r="P227" s="9" t="n">
        <f aca="false">(O227+P226)</f>
        <v>-3170123.92948855</v>
      </c>
      <c r="Q227" s="9" t="n">
        <f aca="false">(P227+Q226)</f>
        <v>-3594366.87596253</v>
      </c>
      <c r="R227" s="9" t="n">
        <f aca="false">(Q227+R226)</f>
        <v>-3835544.26206793</v>
      </c>
      <c r="S227" s="9" t="n">
        <f aca="false">(R227+S226)</f>
        <v>-4203311.22652173</v>
      </c>
      <c r="T227" s="9" t="n">
        <f aca="false">(S227+T226)</f>
        <v>-4647631.32359643</v>
      </c>
      <c r="U227" s="9" t="n">
        <f aca="false">(T227+U226)</f>
        <v>-4884446.73094195</v>
      </c>
      <c r="V227" s="9" t="n">
        <f aca="false">(U227+V226)</f>
        <v>-5364680.51595203</v>
      </c>
      <c r="W227" s="9" t="n">
        <f aca="false">(V227+W226)</f>
        <v>-5831508.89995836</v>
      </c>
      <c r="X227" s="9" t="n">
        <f aca="false">(W227+X226)</f>
        <v>-6127582.97746598</v>
      </c>
      <c r="Y227" s="9" t="n">
        <f aca="false">(X227+Y226)</f>
        <v>-6507780.9305411</v>
      </c>
      <c r="Z227" s="9" t="n">
        <f aca="false">(Y227+Z226)</f>
        <v>-7039304.08682735</v>
      </c>
      <c r="AA227" s="9" t="n">
        <f aca="false">(Z227+AA226)</f>
        <v>-7343072.5999565</v>
      </c>
      <c r="AB227" s="9" t="n">
        <f aca="false">(AA227+AB226)</f>
        <v>-7649880.0549275</v>
      </c>
      <c r="AC227" s="9" t="n">
        <f aca="false">(AB227+AC226)</f>
        <v>-8257901.69410627</v>
      </c>
      <c r="AD227" s="9" t="n">
        <f aca="false">(AC227+AD226)</f>
        <v>-8538297.6600427</v>
      </c>
      <c r="AE227" s="9" t="n">
        <f aca="false">(AD227+AE226)</f>
        <v>-8749729.08101381</v>
      </c>
      <c r="AF227" s="9" t="n">
        <f aca="false">(AE227+AF226)</f>
        <v>-9176184.83749527</v>
      </c>
      <c r="AG227" s="9" t="n">
        <f aca="false">(AF227+AG226)</f>
        <v>-9442011.37966131</v>
      </c>
      <c r="AH227" s="9" t="n">
        <f aca="false">(AG227+AH226)</f>
        <v>-9708938.67048206</v>
      </c>
      <c r="AI227" s="9" t="n">
        <f aca="false">(AH227+AI226)</f>
        <v>-10415334.6731707</v>
      </c>
      <c r="AJ227" s="9" t="n">
        <f aca="false">(AI227+AJ226)</f>
        <v>-10694710.1952342</v>
      </c>
      <c r="AK227" s="9" t="n">
        <f aca="false">(AJ227+AK226)</f>
        <v>-10608558.4254275</v>
      </c>
      <c r="AL227" s="9" t="n">
        <f aca="false">(AK227+AL226)</f>
        <v>-10660188.8642642</v>
      </c>
      <c r="AN227" s="11" t="n">
        <f aca="false">N227</f>
        <v>-2463307.31510656</v>
      </c>
      <c r="AO227" s="11" t="n">
        <f aca="false">Z227</f>
        <v>-7039304.08682735</v>
      </c>
      <c r="AP227" s="11" t="n">
        <f aca="false">AL227</f>
        <v>-10660188.8642642</v>
      </c>
    </row>
    <row r="228" customFormat="false" ht="15" hidden="false" customHeight="false" outlineLevel="0" collapsed="false">
      <c r="A228" s="10" t="s">
        <v>1015</v>
      </c>
      <c r="B228" s="20" t="s">
        <v>230</v>
      </c>
      <c r="C228" s="11" t="n">
        <f aca="false">(Assumptions!$C$104+C227)</f>
        <v>2895601.00421907</v>
      </c>
      <c r="D228" s="11" t="n">
        <f aca="false">(Assumptions!$C$104+D227)</f>
        <v>2791123.80145961</v>
      </c>
      <c r="E228" s="11" t="n">
        <f aca="false">(Assumptions!$C$104+E227)</f>
        <v>2660723.09336962</v>
      </c>
      <c r="F228" s="11" t="n">
        <f aca="false">(Assumptions!$C$104+F227)</f>
        <v>2515193.55809513</v>
      </c>
      <c r="G228" s="11" t="n">
        <f aca="false">(Assumptions!$C$104+G227)</f>
        <v>2329307.63926478</v>
      </c>
      <c r="H228" s="11" t="n">
        <f aca="false">(Assumptions!$C$104+H227)</f>
        <v>2115781.64268131</v>
      </c>
      <c r="I228" s="11" t="n">
        <f aca="false">(Assumptions!$C$104+I227)</f>
        <v>1897917.30106508</v>
      </c>
      <c r="J228" s="11" t="n">
        <f aca="false">(Assumptions!$C$104+J227)</f>
        <v>1691016.73093202</v>
      </c>
      <c r="K228" s="11" t="n">
        <f aca="false">(Assumptions!$C$104+K227)</f>
        <v>1412251.00031062</v>
      </c>
      <c r="L228" s="11" t="n">
        <f aca="false">(Assumptions!$C$104+L227)</f>
        <v>1144479.44079616</v>
      </c>
      <c r="M228" s="11" t="n">
        <f aca="false">(Assumptions!$C$104+M227)</f>
        <v>837125.262247777</v>
      </c>
      <c r="N228" s="11" t="n">
        <f aca="false">(Assumptions!$C$104+N227)</f>
        <v>536692.684893444</v>
      </c>
      <c r="O228" s="11" t="n">
        <f aca="false">(Assumptions!$C$104+O227)</f>
        <v>209453.471947073</v>
      </c>
      <c r="P228" s="11" t="n">
        <f aca="false">(Assumptions!$C$104+P227)</f>
        <v>-170123.929488555</v>
      </c>
      <c r="Q228" s="11" t="n">
        <f aca="false">(Assumptions!$C$104+Q227)</f>
        <v>-594366.875962534</v>
      </c>
      <c r="R228" s="11" t="n">
        <f aca="false">(Assumptions!$C$104+R227)</f>
        <v>-835544.262067928</v>
      </c>
      <c r="S228" s="11" t="n">
        <f aca="false">(Assumptions!$C$104+S227)</f>
        <v>-1203311.22652173</v>
      </c>
      <c r="T228" s="11" t="n">
        <f aca="false">(Assumptions!$C$104+T227)</f>
        <v>-1647631.32359643</v>
      </c>
      <c r="U228" s="11" t="n">
        <f aca="false">(Assumptions!$C$104+U227)</f>
        <v>-1884446.73094195</v>
      </c>
      <c r="V228" s="11" t="n">
        <f aca="false">(Assumptions!$C$104+V227)</f>
        <v>-2364680.51595203</v>
      </c>
      <c r="W228" s="11" t="n">
        <f aca="false">(Assumptions!$C$104+W227)</f>
        <v>-2831508.89995836</v>
      </c>
      <c r="X228" s="11" t="n">
        <f aca="false">(Assumptions!$C$104+X227)</f>
        <v>-3127582.97746598</v>
      </c>
      <c r="Y228" s="11" t="n">
        <f aca="false">(Assumptions!$C$104+Y227)</f>
        <v>-3507780.9305411</v>
      </c>
      <c r="Z228" s="11" t="n">
        <f aca="false">(Assumptions!$C$104+Z227)</f>
        <v>-4039304.08682735</v>
      </c>
      <c r="AA228" s="11" t="n">
        <f aca="false">(Assumptions!$C$104+AA227)</f>
        <v>-4343072.5999565</v>
      </c>
      <c r="AB228" s="11" t="n">
        <f aca="false">(Assumptions!$C$104+AB227)</f>
        <v>-4649880.0549275</v>
      </c>
      <c r="AC228" s="11" t="n">
        <f aca="false">(Assumptions!$C$104+AC227)</f>
        <v>-5257901.69410627</v>
      </c>
      <c r="AD228" s="11" t="n">
        <f aca="false">(Assumptions!$C$104+AD227)</f>
        <v>-5538297.6600427</v>
      </c>
      <c r="AE228" s="11" t="n">
        <f aca="false">(Assumptions!$C$104+AE227)</f>
        <v>-5749729.08101381</v>
      </c>
      <c r="AF228" s="11" t="n">
        <f aca="false">(Assumptions!$C$104+AF227)</f>
        <v>-6176184.83749527</v>
      </c>
      <c r="AG228" s="11" t="n">
        <f aca="false">(Assumptions!$C$104+AG227)</f>
        <v>-6442011.37966131</v>
      </c>
      <c r="AH228" s="11" t="n">
        <f aca="false">(Assumptions!$C$104+AH227)</f>
        <v>-6708938.67048206</v>
      </c>
      <c r="AI228" s="11" t="n">
        <f aca="false">(Assumptions!$C$104+AI227)</f>
        <v>-7415334.67317072</v>
      </c>
      <c r="AJ228" s="11" t="n">
        <f aca="false">(Assumptions!$C$104+AJ227)</f>
        <v>-7694710.19523418</v>
      </c>
      <c r="AK228" s="11" t="n">
        <f aca="false">(Assumptions!$C$104+AK227)</f>
        <v>-7608558.42542751</v>
      </c>
      <c r="AL228" s="11" t="n">
        <f aca="false">(Assumptions!$C$104+AL227)</f>
        <v>-7660188.86426415</v>
      </c>
      <c r="AN228" s="11" t="n">
        <f aca="false">N228</f>
        <v>536692.684893444</v>
      </c>
      <c r="AO228" s="11" t="n">
        <f aca="false">Z228</f>
        <v>-4039304.08682735</v>
      </c>
      <c r="AP228" s="11" t="n">
        <f aca="false">AL228</f>
        <v>-7660188.86426415</v>
      </c>
    </row>
    <row r="229" customFormat="false" ht="15" hidden="false" customHeight="false" outlineLevel="0" collapsed="false">
      <c r="A229" s="0" t="s">
        <v>1016</v>
      </c>
      <c r="B229" s="0" t="s">
        <v>1017</v>
      </c>
      <c r="C229" s="9" t="n">
        <f aca="false">IF((C228&lt;0),1,0)</f>
        <v>0</v>
      </c>
      <c r="D229" s="9" t="n">
        <f aca="false">IF((D228&lt;0),1,0)</f>
        <v>0</v>
      </c>
      <c r="E229" s="9" t="n">
        <f aca="false">IF((E228&lt;0),1,0)</f>
        <v>0</v>
      </c>
      <c r="F229" s="9" t="n">
        <f aca="false">IF((F228&lt;0),1,0)</f>
        <v>0</v>
      </c>
      <c r="G229" s="9" t="n">
        <f aca="false">IF((G228&lt;0),1,0)</f>
        <v>0</v>
      </c>
      <c r="H229" s="9" t="n">
        <f aca="false">IF((H228&lt;0),1,0)</f>
        <v>0</v>
      </c>
      <c r="I229" s="9" t="n">
        <f aca="false">IF((I228&lt;0),1,0)</f>
        <v>0</v>
      </c>
      <c r="J229" s="9" t="n">
        <f aca="false">IF((J228&lt;0),1,0)</f>
        <v>0</v>
      </c>
      <c r="K229" s="9" t="n">
        <f aca="false">IF((K228&lt;0),1,0)</f>
        <v>0</v>
      </c>
      <c r="L229" s="9" t="n">
        <f aca="false">IF((L228&lt;0),1,0)</f>
        <v>0</v>
      </c>
      <c r="M229" s="9" t="n">
        <f aca="false">IF((M228&lt;0),1,0)</f>
        <v>0</v>
      </c>
      <c r="N229" s="9" t="n">
        <f aca="false">IF((N228&lt;0),1,0)</f>
        <v>0</v>
      </c>
      <c r="O229" s="9" t="n">
        <f aca="false">IF((O228&lt;0),1,0)</f>
        <v>0</v>
      </c>
      <c r="P229" s="9" t="n">
        <f aca="false">IF((P228&lt;0),1,0)</f>
        <v>1</v>
      </c>
      <c r="Q229" s="9" t="n">
        <f aca="false">IF((Q228&lt;0),1,0)</f>
        <v>1</v>
      </c>
      <c r="R229" s="9" t="n">
        <f aca="false">IF((R228&lt;0),1,0)</f>
        <v>1</v>
      </c>
      <c r="S229" s="9" t="n">
        <f aca="false">IF((S228&lt;0),1,0)</f>
        <v>1</v>
      </c>
      <c r="T229" s="9" t="n">
        <f aca="false">IF((T228&lt;0),1,0)</f>
        <v>1</v>
      </c>
      <c r="U229" s="9" t="n">
        <f aca="false">IF((U228&lt;0),1,0)</f>
        <v>1</v>
      </c>
      <c r="V229" s="9" t="n">
        <f aca="false">IF((V228&lt;0),1,0)</f>
        <v>1</v>
      </c>
      <c r="W229" s="9" t="n">
        <f aca="false">IF((W228&lt;0),1,0)</f>
        <v>1</v>
      </c>
      <c r="X229" s="9" t="n">
        <f aca="false">IF((X228&lt;0),1,0)</f>
        <v>1</v>
      </c>
      <c r="Y229" s="9" t="n">
        <f aca="false">IF((Y228&lt;0),1,0)</f>
        <v>1</v>
      </c>
      <c r="Z229" s="9" t="n">
        <f aca="false">IF((Z228&lt;0),1,0)</f>
        <v>1</v>
      </c>
      <c r="AA229" s="9" t="n">
        <f aca="false">IF((AA228&lt;0),1,0)</f>
        <v>1</v>
      </c>
      <c r="AB229" s="9" t="n">
        <f aca="false">IF((AB228&lt;0),1,0)</f>
        <v>1</v>
      </c>
      <c r="AC229" s="9" t="n">
        <f aca="false">IF((AC228&lt;0),1,0)</f>
        <v>1</v>
      </c>
      <c r="AD229" s="9" t="n">
        <f aca="false">IF((AD228&lt;0),1,0)</f>
        <v>1</v>
      </c>
      <c r="AE229" s="9" t="n">
        <f aca="false">IF((AE228&lt;0),1,0)</f>
        <v>1</v>
      </c>
      <c r="AF229" s="9" t="n">
        <f aca="false">IF((AF228&lt;0),1,0)</f>
        <v>1</v>
      </c>
      <c r="AG229" s="9" t="n">
        <f aca="false">IF((AG228&lt;0),1,0)</f>
        <v>1</v>
      </c>
      <c r="AH229" s="9" t="n">
        <f aca="false">IF((AH228&lt;0),1,0)</f>
        <v>1</v>
      </c>
      <c r="AI229" s="9" t="n">
        <f aca="false">IF((AI228&lt;0),1,0)</f>
        <v>1</v>
      </c>
      <c r="AJ229" s="9" t="n">
        <f aca="false">IF((AJ228&lt;0),1,0)</f>
        <v>1</v>
      </c>
      <c r="AK229" s="9" t="n">
        <f aca="false">IF((AK228&lt;0),1,0)</f>
        <v>1</v>
      </c>
      <c r="AL229" s="9" t="n">
        <f aca="false">IF((AL228&lt;0),1,0)</f>
        <v>1</v>
      </c>
    </row>
    <row r="230" customFormat="false" ht="15" hidden="false" customHeight="false" outlineLevel="0" collapsed="false">
      <c r="A230" s="0" t="s">
        <v>1018</v>
      </c>
      <c r="B230" s="0" t="s">
        <v>230</v>
      </c>
      <c r="C230" s="9" t="n">
        <f aca="false">(C133*Assumptions!$C$37)</f>
        <v>0</v>
      </c>
      <c r="D230" s="9" t="n">
        <f aca="false">(D133*Assumptions!$C$37)</f>
        <v>0</v>
      </c>
      <c r="E230" s="9" t="n">
        <f aca="false">(E133*Assumptions!$C$37)</f>
        <v>0</v>
      </c>
      <c r="F230" s="9" t="n">
        <f aca="false">(F133*Assumptions!$C$37)</f>
        <v>0</v>
      </c>
      <c r="G230" s="9" t="n">
        <f aca="false">(G133*Assumptions!$C$37)</f>
        <v>9775</v>
      </c>
      <c r="H230" s="9" t="n">
        <f aca="false">(H133*Assumptions!$C$37)</f>
        <v>0</v>
      </c>
      <c r="I230" s="9" t="n">
        <f aca="false">(I133*Assumptions!$C$37)</f>
        <v>0</v>
      </c>
      <c r="J230" s="9" t="n">
        <f aca="false">(J133*Assumptions!$C$37)</f>
        <v>28050</v>
      </c>
      <c r="K230" s="9" t="n">
        <f aca="false">(K133*Assumptions!$C$37)</f>
        <v>0</v>
      </c>
      <c r="L230" s="9" t="n">
        <f aca="false">(L133*Assumptions!$C$37)</f>
        <v>0</v>
      </c>
      <c r="M230" s="9" t="n">
        <f aca="false">(M133*Assumptions!$C$37)</f>
        <v>18921</v>
      </c>
      <c r="N230" s="9" t="n">
        <f aca="false">(N133*Assumptions!$C$37)</f>
        <v>0</v>
      </c>
      <c r="O230" s="9" t="n">
        <f aca="false">(O133*Assumptions!$C$37)</f>
        <v>0</v>
      </c>
      <c r="P230" s="9" t="n">
        <f aca="false">(P133*Assumptions!$C$37)</f>
        <v>63427</v>
      </c>
      <c r="Q230" s="9" t="n">
        <f aca="false">(Q133*Assumptions!$C$37)</f>
        <v>0</v>
      </c>
      <c r="R230" s="9" t="n">
        <f aca="false">(R133*Assumptions!$C$37)</f>
        <v>0</v>
      </c>
      <c r="S230" s="9" t="n">
        <f aca="false">(S133*Assumptions!$C$37)</f>
        <v>82348</v>
      </c>
      <c r="T230" s="9" t="n">
        <f aca="false">(T133*Assumptions!$C$37)</f>
        <v>0</v>
      </c>
      <c r="U230" s="9" t="n">
        <f aca="false">(U133*Assumptions!$C$37)</f>
        <v>0</v>
      </c>
      <c r="V230" s="9" t="n">
        <f aca="false">(V133*Assumptions!$C$37)</f>
        <v>82348</v>
      </c>
      <c r="W230" s="9" t="n">
        <f aca="false">(W133*Assumptions!$C$37)</f>
        <v>18921</v>
      </c>
      <c r="X230" s="9" t="n">
        <f aca="false">(X133*Assumptions!$C$37)</f>
        <v>0</v>
      </c>
      <c r="Y230" s="9" t="n">
        <f aca="false">(Y133*Assumptions!$C$37)</f>
        <v>101269</v>
      </c>
      <c r="Z230" s="9" t="n">
        <f aca="false">(Z133*Assumptions!$C$37)</f>
        <v>63427</v>
      </c>
      <c r="AA230" s="9" t="n">
        <f aca="false">(AA133*Assumptions!$C$37)</f>
        <v>0</v>
      </c>
      <c r="AB230" s="9" t="n">
        <f aca="false">(AB133*Assumptions!$C$37)</f>
        <v>145775</v>
      </c>
      <c r="AC230" s="9" t="n">
        <f aca="false">(AC133*Assumptions!$C$37)</f>
        <v>82348</v>
      </c>
      <c r="AD230" s="9" t="n">
        <f aca="false">(AD133*Assumptions!$C$37)</f>
        <v>100436</v>
      </c>
      <c r="AE230" s="9" t="n">
        <f aca="false">(AE133*Assumptions!$C$37)</f>
        <v>145775</v>
      </c>
      <c r="AF230" s="9" t="n">
        <f aca="false">(AF133*Assumptions!$C$37)</f>
        <v>82348</v>
      </c>
      <c r="AG230" s="9" t="n">
        <f aca="false">(AG133*Assumptions!$C$37)</f>
        <v>0</v>
      </c>
      <c r="AH230" s="9" t="n">
        <f aca="false">(AH133*Assumptions!$C$37)</f>
        <v>164696</v>
      </c>
      <c r="AI230" s="9" t="n">
        <f aca="false">(AI133*Assumptions!$C$37)</f>
        <v>145775</v>
      </c>
      <c r="AJ230" s="9" t="n">
        <f aca="false">(AJ133*Assumptions!$C$37)</f>
        <v>200872</v>
      </c>
      <c r="AK230" s="9" t="n">
        <f aca="false">(AK133*Assumptions!$C$37)</f>
        <v>164696</v>
      </c>
      <c r="AL230" s="9" t="n">
        <f aca="false">(AL133*Assumptions!$C$37)</f>
        <v>145775</v>
      </c>
      <c r="AN230" s="11" t="n">
        <f aca="false">SUM(C230:N230)</f>
        <v>56746</v>
      </c>
      <c r="AO230" s="11" t="n">
        <f aca="false">SUM(O230:Z230)</f>
        <v>411740</v>
      </c>
      <c r="AP230" s="11" t="n">
        <f aca="false">SUM(AA230:AL230)</f>
        <v>1378496</v>
      </c>
    </row>
    <row r="231" customFormat="false" ht="15" hidden="false" customHeight="false" outlineLevel="0" collapsed="false">
      <c r="A231" s="0" t="s">
        <v>1019</v>
      </c>
      <c r="B231" s="0" t="s">
        <v>285</v>
      </c>
      <c r="C231" s="9" t="n">
        <f aca="false">(C197*Assumptions!$C$38)</f>
        <v>0</v>
      </c>
      <c r="D231" s="9" t="n">
        <f aca="false">(D197*Assumptions!$C$38)</f>
        <v>0</v>
      </c>
      <c r="E231" s="9" t="n">
        <f aca="false">(E197*Assumptions!$C$38)</f>
        <v>0</v>
      </c>
      <c r="F231" s="9" t="n">
        <f aca="false">(F197*Assumptions!$C$38)</f>
        <v>0</v>
      </c>
      <c r="G231" s="9" t="n">
        <f aca="false">(G197*Assumptions!$C$38)</f>
        <v>110</v>
      </c>
      <c r="H231" s="9" t="n">
        <f aca="false">(H197*Assumptions!$C$38)</f>
        <v>110</v>
      </c>
      <c r="I231" s="9" t="n">
        <f aca="false">(I197*Assumptions!$C$38)</f>
        <v>110</v>
      </c>
      <c r="J231" s="9" t="n">
        <f aca="false">(J197*Assumptions!$C$38)</f>
        <v>110</v>
      </c>
      <c r="K231" s="9" t="n">
        <f aca="false">(K197*Assumptions!$C$38)</f>
        <v>110</v>
      </c>
      <c r="L231" s="9" t="n">
        <f aca="false">(L197*Assumptions!$C$38)</f>
        <v>110</v>
      </c>
      <c r="M231" s="9" t="n">
        <f aca="false">(M197*Assumptions!$C$38)</f>
        <v>220</v>
      </c>
      <c r="N231" s="9" t="n">
        <f aca="false">(N197*Assumptions!$C$38)</f>
        <v>220</v>
      </c>
      <c r="O231" s="9" t="n">
        <f aca="false">(O197*Assumptions!$C$38)</f>
        <v>220</v>
      </c>
      <c r="P231" s="9" t="n">
        <f aca="false">(P197*Assumptions!$C$38)</f>
        <v>220</v>
      </c>
      <c r="Q231" s="9" t="n">
        <f aca="false">(Q197*Assumptions!$C$38)</f>
        <v>330</v>
      </c>
      <c r="R231" s="9" t="n">
        <f aca="false">(R197*Assumptions!$C$38)</f>
        <v>330</v>
      </c>
      <c r="S231" s="9" t="n">
        <f aca="false">(S197*Assumptions!$C$38)</f>
        <v>330</v>
      </c>
      <c r="T231" s="9" t="n">
        <f aca="false">(T197*Assumptions!$C$38)</f>
        <v>330</v>
      </c>
      <c r="U231" s="9" t="n">
        <f aca="false">(U197*Assumptions!$C$38)</f>
        <v>440</v>
      </c>
      <c r="V231" s="9" t="n">
        <f aca="false">(V197*Assumptions!$C$38)</f>
        <v>440</v>
      </c>
      <c r="W231" s="9" t="n">
        <f aca="false">(W197*Assumptions!$C$38)</f>
        <v>440</v>
      </c>
      <c r="X231" s="9" t="n">
        <f aca="false">(X197*Assumptions!$C$38)</f>
        <v>550</v>
      </c>
      <c r="Y231" s="9" t="n">
        <f aca="false">(Y197*Assumptions!$C$38)</f>
        <v>550</v>
      </c>
      <c r="Z231" s="9" t="n">
        <f aca="false">(Z197*Assumptions!$C$38)</f>
        <v>550</v>
      </c>
      <c r="AA231" s="9" t="n">
        <f aca="false">(AA197*Assumptions!$C$38)</f>
        <v>660</v>
      </c>
      <c r="AB231" s="9" t="n">
        <f aca="false">(AB197*Assumptions!$C$38)</f>
        <v>660</v>
      </c>
      <c r="AC231" s="9" t="n">
        <f aca="false">(AC197*Assumptions!$C$38)</f>
        <v>660</v>
      </c>
      <c r="AD231" s="9" t="n">
        <f aca="false">(AD197*Assumptions!$C$38)</f>
        <v>770</v>
      </c>
      <c r="AE231" s="9" t="n">
        <f aca="false">(AE197*Assumptions!$C$38)</f>
        <v>770</v>
      </c>
      <c r="AF231" s="9" t="n">
        <f aca="false">(AF197*Assumptions!$C$38)</f>
        <v>770</v>
      </c>
      <c r="AG231" s="9" t="n">
        <f aca="false">(AG197*Assumptions!$C$38)</f>
        <v>880</v>
      </c>
      <c r="AH231" s="9" t="n">
        <f aca="false">(AH197*Assumptions!$C$38)</f>
        <v>880</v>
      </c>
      <c r="AI231" s="9" t="n">
        <f aca="false">(AI197*Assumptions!$C$38)</f>
        <v>880</v>
      </c>
      <c r="AJ231" s="9" t="n">
        <f aca="false">(AJ197*Assumptions!$C$38)</f>
        <v>880</v>
      </c>
      <c r="AK231" s="9" t="n">
        <f aca="false">(AK197*Assumptions!$C$38)</f>
        <v>880</v>
      </c>
      <c r="AL231" s="9" t="n">
        <f aca="false">(AL197*Assumptions!$C$38)</f>
        <v>880</v>
      </c>
      <c r="AN231" s="11" t="n">
        <f aca="false">SUM(C231:N231)</f>
        <v>1100</v>
      </c>
      <c r="AO231" s="11" t="n">
        <f aca="false">SUM(O231:Z231)</f>
        <v>4730</v>
      </c>
      <c r="AP231" s="11" t="n">
        <f aca="false">SUM(AA231:AL231)</f>
        <v>9570</v>
      </c>
    </row>
    <row r="234" customFormat="false" ht="15" hidden="false" customHeight="false" outlineLevel="0" collapsed="false">
      <c r="A234" s="21" t="s">
        <v>1020</v>
      </c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</row>
    <row r="235" customFormat="false" ht="15" hidden="false" customHeight="false" outlineLevel="0" collapsed="false">
      <c r="A235" s="0" t="s">
        <v>61</v>
      </c>
      <c r="B235" s="0" t="s">
        <v>230</v>
      </c>
      <c r="AN235" s="9" t="n">
        <f aca="false">AN146</f>
        <v>28052</v>
      </c>
      <c r="AO235" s="9" t="n">
        <f aca="false">AO146</f>
        <v>915384.649535145</v>
      </c>
      <c r="AP235" s="9" t="n">
        <f aca="false">AP146</f>
        <v>3998129.85170198</v>
      </c>
    </row>
    <row r="236" customFormat="false" ht="15" hidden="false" customHeight="false" outlineLevel="0" collapsed="false">
      <c r="A236" s="0" t="s">
        <v>62</v>
      </c>
      <c r="B236" s="0" t="s">
        <v>230</v>
      </c>
      <c r="AN236" s="9" t="n">
        <f aca="false">AN148</f>
        <v>17424</v>
      </c>
      <c r="AO236" s="9" t="n">
        <f aca="false">AO148</f>
        <v>456730.182658475</v>
      </c>
      <c r="AP236" s="9" t="n">
        <f aca="false">AP148</f>
        <v>2818093.13453222</v>
      </c>
    </row>
    <row r="237" customFormat="false" ht="15" hidden="false" customHeight="false" outlineLevel="0" collapsed="false">
      <c r="A237" s="0" t="s">
        <v>63</v>
      </c>
      <c r="B237" s="0" t="s">
        <v>193</v>
      </c>
      <c r="AN237" s="12" t="n">
        <f aca="false">IFERROR((AN223/AN146),0)</f>
        <v>-6.53772120014814</v>
      </c>
      <c r="AO237" s="12" t="n">
        <f aca="false">IFERROR((AO223/AO146),0)</f>
        <v>0.000869213347120972</v>
      </c>
      <c r="AP237" s="12" t="n">
        <f aca="false">IFERROR((AP223/AP146),0)</f>
        <v>0.462840029095419</v>
      </c>
    </row>
    <row r="238" customFormat="false" ht="15" hidden="false" customHeight="false" outlineLevel="0" collapsed="false">
      <c r="A238" s="0" t="s">
        <v>64</v>
      </c>
      <c r="B238" s="0" t="s">
        <v>193</v>
      </c>
      <c r="AN238" s="12" t="n">
        <f aca="false">IFERROR((AN224/AN146),0)</f>
        <v>-6.73114484195621</v>
      </c>
      <c r="AO238" s="12" t="n">
        <f aca="false">IFERROR((AO224/AO146),0)</f>
        <v>-0.157752000230948</v>
      </c>
      <c r="AP238" s="12" t="n">
        <f aca="false">IFERROR((AP224/AP146),0)</f>
        <v>0.352323478510674</v>
      </c>
    </row>
    <row r="239" customFormat="false" ht="15" hidden="false" customHeight="false" outlineLevel="0" collapsed="false">
      <c r="A239" s="0" t="s">
        <v>65</v>
      </c>
      <c r="B239" s="0" t="s">
        <v>193</v>
      </c>
      <c r="AN239" s="12" t="n">
        <f aca="false">IFERROR(((AN42-AN179)/AN42),0)</f>
        <v>0</v>
      </c>
      <c r="AO239" s="12" t="n">
        <f aca="false">IFERROR(((AO42-AO179)/AO42),0)</f>
        <v>-4.03227010077452</v>
      </c>
      <c r="AP239" s="12" t="n">
        <f aca="false">IFERROR(((AP42-AP179)/AP42),0)</f>
        <v>-1.64546264294027</v>
      </c>
    </row>
    <row r="240" customFormat="false" ht="15" hidden="false" customHeight="false" outlineLevel="0" collapsed="false">
      <c r="A240" s="0" t="s">
        <v>66</v>
      </c>
      <c r="B240" s="0" t="s">
        <v>193</v>
      </c>
      <c r="AN240" s="12" t="n">
        <f aca="false">IFERROR(((((((AN129+AN127)+AN136)+AN137)+AN140)-AN180)/((((AN129+AN127)+AN136)+AN137)+AN140)),0)</f>
        <v>0.214432704818819</v>
      </c>
      <c r="AO240" s="12" t="n">
        <f aca="false">IFERROR(((((((AO129+AO127)+AO136)+AO137)+AO140)-AO180)/((((AO129+AO127)+AO136)+AO137)+AO140)),0)</f>
        <v>0.657516271316225</v>
      </c>
      <c r="AP240" s="12" t="n">
        <f aca="false">IFERROR(((((((AP129+AP127)+AP136)+AP137)+AP140)-AP180)/((((AP129+AP127)+AP136)+AP137)+AP140)),0)</f>
        <v>0.728580196864095</v>
      </c>
    </row>
    <row r="241" customFormat="false" ht="15" hidden="false" customHeight="false" outlineLevel="0" collapsed="false">
      <c r="A241" s="0" t="s">
        <v>67</v>
      </c>
      <c r="B241" s="0" t="s">
        <v>193</v>
      </c>
      <c r="AN241" s="12" t="n">
        <f aca="false">IFERROR(((AN131-AN182)/AN131),0)</f>
        <v>-4.18707482993197</v>
      </c>
      <c r="AO241" s="12" t="n">
        <f aca="false">IFERROR(((AO131-AO182)/AO131),0)</f>
        <v>0.146825396825397</v>
      </c>
      <c r="AP241" s="12" t="n">
        <f aca="false">IFERROR(((AP131-AP182)/AP131),0)</f>
        <v>0.543837029396596</v>
      </c>
    </row>
    <row r="242" customFormat="false" ht="15" hidden="false" customHeight="false" outlineLevel="0" collapsed="false">
      <c r="A242" s="0" t="s">
        <v>68</v>
      </c>
      <c r="B242" s="0" t="s">
        <v>193</v>
      </c>
      <c r="AN242" s="12" t="n">
        <f aca="false">IFERROR(((AN131-AN230)/AN131),0)</f>
        <v>-1.89520408163265</v>
      </c>
      <c r="AO242" s="12" t="n">
        <f aca="false">IFERROR(((AO131-AO230)/AO131),0)</f>
        <v>0.196448087431694</v>
      </c>
      <c r="AP242" s="12" t="n">
        <f aca="false">IFERROR(((AP131-AP230)/AP131),0)</f>
        <v>0.289068592057762</v>
      </c>
    </row>
    <row r="243" customFormat="false" ht="15" hidden="false" customHeight="false" outlineLevel="0" collapsed="false">
      <c r="A243" s="0" t="s">
        <v>69</v>
      </c>
      <c r="B243" s="0" t="s">
        <v>193</v>
      </c>
      <c r="AN243" s="12" t="n">
        <f aca="false">IFERROR((AN133/AN231),0)</f>
        <v>0.606909090909091</v>
      </c>
      <c r="AO243" s="12" t="n">
        <f aca="false">IFERROR((AO133/AO231),0)</f>
        <v>1.02410147991543</v>
      </c>
      <c r="AP243" s="12" t="n">
        <f aca="false">IFERROR((AP133/AP231),0)</f>
        <v>1.69462904911181</v>
      </c>
    </row>
    <row r="244" customFormat="false" ht="15" hidden="false" customHeight="false" outlineLevel="0" collapsed="false">
      <c r="A244" s="0" t="s">
        <v>41</v>
      </c>
      <c r="B244" s="0" t="s">
        <v>230</v>
      </c>
      <c r="AN244" s="9" t="n">
        <f aca="false">AN225</f>
        <v>-2435255.31510656</v>
      </c>
      <c r="AO244" s="9" t="n">
        <f aca="false">AO225</f>
        <v>-4505533.56838354</v>
      </c>
      <c r="AP244" s="9" t="n">
        <f aca="false">AP225</f>
        <v>-4129633.23046728</v>
      </c>
    </row>
    <row r="245" customFormat="false" ht="15" hidden="false" customHeight="false" outlineLevel="0" collapsed="false">
      <c r="A245" s="0" t="s">
        <v>70</v>
      </c>
      <c r="B245" s="0" t="s">
        <v>230</v>
      </c>
      <c r="AN245" s="9" t="n">
        <f aca="false">(0-AN226)</f>
        <v>2463307.31510656</v>
      </c>
      <c r="AO245" s="9" t="n">
        <f aca="false">(0-AO226)</f>
        <v>4575996.77172079</v>
      </c>
      <c r="AP245" s="9" t="n">
        <f aca="false">(0-AP226)</f>
        <v>3620884.77743681</v>
      </c>
    </row>
    <row r="246" customFormat="false" ht="15" hidden="false" customHeight="false" outlineLevel="0" collapsed="false">
      <c r="A246" s="0" t="s">
        <v>71</v>
      </c>
      <c r="B246" s="0" t="s">
        <v>230</v>
      </c>
      <c r="AN246" s="9" t="n">
        <f aca="false">AN227</f>
        <v>-2463307.31510656</v>
      </c>
      <c r="AO246" s="9" t="n">
        <f aca="false">AO227</f>
        <v>-7039304.08682735</v>
      </c>
      <c r="AP246" s="9" t="n">
        <f aca="false">AP227</f>
        <v>-10660188.8642642</v>
      </c>
    </row>
    <row r="247" customFormat="false" ht="15" hidden="false" customHeight="false" outlineLevel="0" collapsed="false">
      <c r="A247" s="0" t="s">
        <v>72</v>
      </c>
      <c r="B247" s="0" t="s">
        <v>230</v>
      </c>
      <c r="AN247" s="9" t="n">
        <f aca="false">AN228</f>
        <v>536692.684893444</v>
      </c>
      <c r="AO247" s="9" t="n">
        <f aca="false">AO228</f>
        <v>-4039304.08682735</v>
      </c>
      <c r="AP247" s="9" t="n">
        <f aca="false">AP228</f>
        <v>-7660188.86426415</v>
      </c>
    </row>
    <row r="248" customFormat="false" ht="15" hidden="false" customHeight="false" outlineLevel="0" collapsed="false">
      <c r="A248" s="0" t="s">
        <v>73</v>
      </c>
      <c r="B248" s="0" t="s">
        <v>230</v>
      </c>
      <c r="AN248" s="9" t="n">
        <f aca="false">(AN148-0)</f>
        <v>17424</v>
      </c>
      <c r="AO248" s="9" t="n">
        <f aca="false">(AO148-AN148)</f>
        <v>439306.182658475</v>
      </c>
      <c r="AP248" s="9" t="n">
        <f aca="false">(AP148-AO148)</f>
        <v>2361362.95187375</v>
      </c>
    </row>
    <row r="249" customFormat="false" ht="15" hidden="false" customHeight="false" outlineLevel="0" collapsed="false">
      <c r="A249" s="0" t="s">
        <v>74</v>
      </c>
      <c r="B249" s="0" t="s">
        <v>160</v>
      </c>
      <c r="AN249" s="13" t="n">
        <f aca="false">IFERROR(((0-AN226)/(AN148-0)),0)</f>
        <v>141.374386771497</v>
      </c>
      <c r="AO249" s="13" t="n">
        <f aca="false">IFERROR(((0-AO226)/(AO148-AN148)),0)</f>
        <v>10.4164178706273</v>
      </c>
      <c r="AP249" s="13" t="n">
        <f aca="false">IFERROR(((0-AP226)/(AP148-AO148)),0)</f>
        <v>1.53338764570844</v>
      </c>
    </row>
    <row r="250" customFormat="false" ht="15" hidden="false" customHeight="false" outlineLevel="0" collapsed="false">
      <c r="A250" s="0" t="s">
        <v>75</v>
      </c>
      <c r="B250" s="0" t="s">
        <v>230</v>
      </c>
      <c r="AN250" s="13" t="n">
        <f aca="false">IFERROR(((AN206+(0.5*(AN194+AN207)))/AN28),0)</f>
        <v>0</v>
      </c>
      <c r="AO250" s="13" t="n">
        <f aca="false">IFERROR(((AO206+(0.5*(AO194+AO207)))/AO28),0)</f>
        <v>470.94138047044</v>
      </c>
      <c r="AP250" s="13" t="n">
        <f aca="false">IFERROR(((AP206+(0.5*(AP194+AP207)))/AP28),0)</f>
        <v>297.31432366232</v>
      </c>
    </row>
    <row r="251" customFormat="false" ht="15" hidden="false" customHeight="false" outlineLevel="0" collapsed="false">
      <c r="A251" s="0" t="s">
        <v>76</v>
      </c>
      <c r="B251" s="0" t="s">
        <v>230</v>
      </c>
      <c r="AN251" s="13" t="n">
        <f aca="false">IFERROR((((AN206+(0.5*(AN194+AN207)))+AN186)/AN28),0)</f>
        <v>0</v>
      </c>
      <c r="AO251" s="13" t="n">
        <f aca="false">IFERROR((((AO206+(0.5*(AO194+AO207)))+AO186)/AO28),0)</f>
        <v>578.835663481877</v>
      </c>
      <c r="AP251" s="13" t="n">
        <f aca="false">IFERROR((((AP206+(0.5*(AP194+AP207)))+AP186)/AP28),0)</f>
        <v>396.781942346783</v>
      </c>
    </row>
    <row r="252" customFormat="false" ht="15" hidden="false" customHeight="false" outlineLevel="0" collapsed="false">
      <c r="A252" s="0" t="s">
        <v>77</v>
      </c>
      <c r="B252" s="0" t="s">
        <v>230</v>
      </c>
      <c r="AN252" s="14" t="n">
        <f aca="false">IFERROR(((AN42/12)/((AN39*0.5)+(0*0.5))),0)</f>
        <v>0</v>
      </c>
      <c r="AO252" s="14" t="n">
        <f aca="false">IFERROR(((AO42/12)/((AO39*0.5)+(AN39*0.5))),0)</f>
        <v>4.74345080109234</v>
      </c>
      <c r="AP252" s="14" t="n">
        <f aca="false">IFERROR(((AP42/12)/((AP39*0.5)+(AO39*0.5))),0)</f>
        <v>5.7234609839902</v>
      </c>
    </row>
    <row r="253" customFormat="false" ht="15" hidden="false" customHeight="false" outlineLevel="0" collapsed="false">
      <c r="A253" s="0" t="s">
        <v>78</v>
      </c>
      <c r="B253" s="0" t="s">
        <v>193</v>
      </c>
      <c r="AN253" s="12" t="n">
        <f aca="false">IFERROR(((AN42-AN187)/AN42),0)</f>
        <v>0</v>
      </c>
      <c r="AO253" s="12" t="n">
        <f aca="false">IFERROR(((AO42-AO187)/AO42),0)</f>
        <v>0.745690827217055</v>
      </c>
      <c r="AP253" s="12" t="n">
        <f aca="false">IFERROR(((AP42-AP187)/AP42),0)</f>
        <v>0.767004242067716</v>
      </c>
    </row>
    <row r="254" customFormat="false" ht="15" hidden="false" customHeight="false" outlineLevel="0" collapsed="false">
      <c r="A254" s="0" t="s">
        <v>79</v>
      </c>
      <c r="B254" s="0" t="s">
        <v>166</v>
      </c>
      <c r="AN254" s="13" t="n">
        <f aca="false">IFERROR(((((AN206+(0.5*(AN194+AN207)))+AN186)/AN28)/(((AN42/12)/((AN39*0.5)+(0*0.5)))*((AN42-AN187)/AN42))),0)</f>
        <v>0</v>
      </c>
      <c r="AO254" s="13" t="n">
        <f aca="false">IFERROR(((((AO206+(0.5*(AO194+AO207)))+AO186)/AO28)/(((AO42/12)/((AO39*0.5)+(AN39*0.5)))*((AO42-AO187)/AO42))),0)</f>
        <v>163.644751113035</v>
      </c>
      <c r="AP254" s="13" t="n">
        <f aca="false">IFERROR(((((AP206+(0.5*(AP194+AP207)))+AP186)/AP28)/(((AP42/12)/((AP39*0.5)+(AO39*0.5)))*((AP42-AP187)/AP42))),0)</f>
        <v>90.3848010727063</v>
      </c>
    </row>
    <row r="255" customFormat="false" ht="15" hidden="false" customHeight="false" outlineLevel="0" collapsed="false">
      <c r="A255" s="0" t="s">
        <v>80</v>
      </c>
      <c r="B255" s="0" t="s">
        <v>230</v>
      </c>
      <c r="AN255" s="9" t="n">
        <f aca="false">IFERROR(((AN215+(0.5*(AN194+AN207)))/AN121),0)</f>
        <v>238574.626262626</v>
      </c>
      <c r="AO255" s="9" t="n">
        <f aca="false">IFERROR(((AO215+(0.5*(AO194+AO207)))/AO121),0)</f>
        <v>81208.8345128315</v>
      </c>
      <c r="AP255" s="9" t="n">
        <f aca="false">IFERROR(((AP215+(0.5*(AP194+AP207)))/AP121),0)</f>
        <v>37794.5016736854</v>
      </c>
    </row>
    <row r="256" customFormat="false" ht="15" hidden="false" customHeight="false" outlineLevel="0" collapsed="false">
      <c r="A256" s="0" t="s">
        <v>81</v>
      </c>
      <c r="B256" s="0" t="s">
        <v>230</v>
      </c>
      <c r="AN256" s="9" t="n">
        <f aca="false">IFERROR(((AN215+(0.5*(AN194+AN207)))/AN120),0)</f>
        <v>112470.895238095</v>
      </c>
      <c r="AO256" s="9" t="n">
        <f aca="false">IFERROR(((AO215+(0.5*(AO194+AO207)))/AO120),0)</f>
        <v>36064.4566984127</v>
      </c>
      <c r="AP256" s="9" t="n">
        <f aca="false">IFERROR(((AP215+(0.5*(AP194+AP207)))/AP120),0)</f>
        <v>24391.2808362369</v>
      </c>
    </row>
    <row r="257" customFormat="false" ht="15" hidden="false" customHeight="false" outlineLevel="0" collapsed="false">
      <c r="A257" s="0" t="s">
        <v>82</v>
      </c>
      <c r="B257" s="0" t="s">
        <v>193</v>
      </c>
      <c r="AN257" s="12" t="n">
        <f aca="false">((1-((1-Assumptions!$C$30)*$C$6))*(1+Assumptions!$C$31))</f>
        <v>0.9878</v>
      </c>
      <c r="AO257" s="12" t="n">
        <f aca="false">((1-((1-Assumptions!$C$30)*$C$6))*(1+Assumptions!$C$31))</f>
        <v>0.9878</v>
      </c>
      <c r="AP257" s="12" t="n">
        <f aca="false">((1-((1-Assumptions!$C$30)*$C$6))*(1+Assumptions!$C$31))</f>
        <v>0.9878</v>
      </c>
    </row>
    <row r="258" customFormat="false" ht="15" hidden="false" customHeight="false" outlineLevel="0" collapsed="false">
      <c r="A258" s="0" t="s">
        <v>83</v>
      </c>
      <c r="B258" s="0" t="s">
        <v>193</v>
      </c>
      <c r="AN258" s="12" t="n">
        <f aca="false">(1-((1-Assumptions!$C$30)*$C$6))</f>
        <v>0.898</v>
      </c>
      <c r="AO258" s="12" t="n">
        <f aca="false">(1-((1-Assumptions!$C$30)*$C$6))</f>
        <v>0.898</v>
      </c>
      <c r="AP258" s="12" t="n">
        <f aca="false">(1-((1-Assumptions!$C$30)*$C$6))</f>
        <v>0.898</v>
      </c>
    </row>
    <row r="259" customFormat="false" ht="15" hidden="false" customHeight="false" outlineLevel="0" collapsed="false">
      <c r="A259" s="0" t="s">
        <v>84</v>
      </c>
      <c r="B259" s="0" t="s">
        <v>852</v>
      </c>
      <c r="AN259" s="13" t="n">
        <f aca="false">AN122</f>
        <v>0.66</v>
      </c>
      <c r="AO259" s="13" t="n">
        <f aca="false">AO122</f>
        <v>9.91868</v>
      </c>
      <c r="AP259" s="13" t="n">
        <f aca="false">AP122</f>
        <v>45.95097464</v>
      </c>
    </row>
    <row r="260" customFormat="false" ht="15" hidden="false" customHeight="false" outlineLevel="0" collapsed="false">
      <c r="A260" s="0" t="s">
        <v>85</v>
      </c>
      <c r="B260" s="0" t="s">
        <v>500</v>
      </c>
      <c r="AN260" s="9" t="n">
        <f aca="false">AN39</f>
        <v>0</v>
      </c>
      <c r="AO260" s="9" t="n">
        <f aca="false">AO39</f>
        <v>444.091646864887</v>
      </c>
      <c r="AP260" s="9" t="n">
        <f aca="false">AP39</f>
        <v>1266.85462109737</v>
      </c>
    </row>
    <row r="261" customFormat="false" ht="15" hidden="false" customHeight="false" outlineLevel="0" collapsed="false">
      <c r="A261" s="0" t="s">
        <v>86</v>
      </c>
      <c r="B261" s="0" t="s">
        <v>500</v>
      </c>
      <c r="AN261" s="9" t="n">
        <f aca="false">AN157</f>
        <v>4274.32361208191</v>
      </c>
      <c r="AO261" s="9" t="n">
        <f aca="false">AO157</f>
        <v>40315.5995331356</v>
      </c>
      <c r="AP261" s="9" t="n">
        <f aca="false">AP157</f>
        <v>125636.082857472</v>
      </c>
    </row>
    <row r="262" customFormat="false" ht="15" hidden="false" customHeight="false" outlineLevel="0" collapsed="false">
      <c r="A262" s="0" t="s">
        <v>87</v>
      </c>
      <c r="B262" s="0" t="s">
        <v>230</v>
      </c>
      <c r="AN262" s="14" t="n">
        <f aca="false">IFERROR(((AN167/12)/((AN157*0.5)+(0*0.5))),0)</f>
        <v>1.11268533274426</v>
      </c>
      <c r="AO262" s="14" t="n">
        <f aca="false">IFERROR(((AO167/12)/((AO157*0.5)+(AN157*0.5))),0)</f>
        <v>0.323156891557477</v>
      </c>
      <c r="AP262" s="14" t="n">
        <f aca="false">IFERROR(((AP167/12)/((AP157*0.5)+(AO157*0.5))),0)</f>
        <v>0.273141782543248</v>
      </c>
    </row>
    <row r="263" customFormat="false" ht="15" hidden="false" customHeight="false" outlineLevel="0" collapsed="false">
      <c r="A263" s="0" t="s">
        <v>88</v>
      </c>
      <c r="B263" s="0" t="s">
        <v>193</v>
      </c>
      <c r="AN263" s="12" t="n">
        <f aca="false">IFERROR((AN167/AN146),0)</f>
        <v>1.017248793077</v>
      </c>
      <c r="AO263" s="12" t="n">
        <f aca="false">IFERROR((AO167/AO146),0)</f>
        <v>0.0944490884725639</v>
      </c>
      <c r="AP263" s="12" t="n">
        <f aca="false">IFERROR((AP167/AP146),0)</f>
        <v>0.0680243114038812</v>
      </c>
    </row>
    <row r="264" customFormat="false" ht="15" hidden="false" customHeight="false" outlineLevel="0" collapsed="false">
      <c r="A264" s="0" t="s">
        <v>89</v>
      </c>
      <c r="B264" s="0" t="s">
        <v>618</v>
      </c>
      <c r="AN264" s="13" t="n">
        <f aca="false">AN196</f>
        <v>18.4</v>
      </c>
      <c r="AO264" s="13" t="n">
        <f aca="false">AO196</f>
        <v>31.4</v>
      </c>
      <c r="AP264" s="13" t="n">
        <f aca="false">AP196</f>
        <v>40.4</v>
      </c>
    </row>
    <row r="265" customFormat="false" ht="15" hidden="false" customHeight="false" outlineLevel="0" collapsed="false">
      <c r="A265" s="0" t="s">
        <v>90</v>
      </c>
      <c r="B265" s="0" t="s">
        <v>230</v>
      </c>
      <c r="AN265" s="9" t="n">
        <f aca="false">IFERROR((AN148/AN196),0)</f>
        <v>946.956521739131</v>
      </c>
      <c r="AO265" s="9" t="n">
        <f aca="false">IFERROR((AO148/AO196),0)</f>
        <v>14545.5472184228</v>
      </c>
      <c r="AP265" s="9" t="n">
        <f aca="false">IFERROR((AP148/AP196),0)</f>
        <v>69754.7805577282</v>
      </c>
    </row>
    <row r="266" customFormat="false" ht="15" hidden="false" customHeight="false" outlineLevel="0" collapsed="false">
      <c r="A266" s="0" t="s">
        <v>91</v>
      </c>
      <c r="B266" s="0" t="s">
        <v>193</v>
      </c>
      <c r="AN266" s="12" t="n">
        <f aca="false">IFERROR((AN40/AN188),0)</f>
        <v>0</v>
      </c>
      <c r="AO266" s="12" t="n">
        <f aca="false">IFERROR((AO40/AO188),0)</f>
        <v>0.0221975137864816</v>
      </c>
      <c r="AP266" s="12" t="n">
        <f aca="false">IFERROR((AP40/AP188),0)</f>
        <v>0.0300176946818466</v>
      </c>
    </row>
    <row r="267" customFormat="false" ht="15" hidden="false" customHeight="false" outlineLevel="0" collapsed="false">
      <c r="A267" s="0" t="s">
        <v>92</v>
      </c>
      <c r="B267" s="0" t="s">
        <v>230</v>
      </c>
      <c r="AN267" s="13" t="n">
        <f aca="false">IFERROR(((((AN42/12)/((AN39*0.5)+(0*0.5)))*((AN42-AN187)/AN42))/(AN40/AN188)),0)</f>
        <v>0</v>
      </c>
      <c r="AO267" s="13" t="n">
        <f aca="false">IFERROR(((((AO42/12)/((AO39*0.5)+(AN39*0.5)))*((AO42-AO187)/AO42))/(AO40/AO188)),0)</f>
        <v>159.348825537573</v>
      </c>
      <c r="AP267" s="13" t="n">
        <f aca="false">IFERROR(((((AP42/12)/((AP39*0.5)+(AO39*0.5)))*((AP42-AP187)/AP42))/(AP40/AP188)),0)</f>
        <v>146.244370214225</v>
      </c>
    </row>
    <row r="268" customFormat="false" ht="15" hidden="false" customHeight="false" outlineLevel="0" collapsed="false">
      <c r="A268" s="0" t="s">
        <v>93</v>
      </c>
      <c r="B268" s="0" t="s">
        <v>160</v>
      </c>
      <c r="AN268" s="14" t="n">
        <f aca="false">IFERROR((((((AN42/12)/((AN39*0.5)+(0*0.5)))*((AN42-AN187)/AN42))/(AN40/AN188))/(((AN206+(0.5*(AN194+AN207)))+AN186)/AN28)),0)</f>
        <v>0</v>
      </c>
      <c r="AO268" s="14" t="n">
        <f aca="false">IFERROR((((((AO42/12)/((AO39*0.5)+(AN39*0.5)))*((AO42-AO187)/AO42))/(AO40/AO188))/(((AO206+(0.5*(AO194+AO207)))+AO186)/AO28)),0)</f>
        <v>0.275291996659364</v>
      </c>
      <c r="AP268" s="14" t="n">
        <f aca="false">IFERROR((((((AP42/12)/((AP39*0.5)+(AO39*0.5)))*((AP42-AP187)/AP42))/(AP40/AP188))/(((AP206+(0.5*(AP194+AP207)))+AP186)/AP28)),0)</f>
        <v>0.36857617397923</v>
      </c>
    </row>
    <row r="269" customFormat="false" ht="15" hidden="false" customHeight="false" outlineLevel="0" collapsed="false">
      <c r="A269" s="0" t="s">
        <v>94</v>
      </c>
      <c r="B269" s="0" t="s">
        <v>230</v>
      </c>
      <c r="AN269" s="9" t="n">
        <f aca="false">AN186</f>
        <v>5222.16180775545</v>
      </c>
      <c r="AO269" s="9" t="n">
        <f aca="false">AO186</f>
        <v>52190.7147020406</v>
      </c>
      <c r="AP269" s="9" t="n">
        <f aca="false">AP186</f>
        <v>110586.738476456</v>
      </c>
    </row>
    <row r="270" customFormat="false" ht="15" hidden="false" customHeight="false" outlineLevel="0" collapsed="false">
      <c r="A270" s="0" t="s">
        <v>95</v>
      </c>
      <c r="B270" s="0" t="s">
        <v>193</v>
      </c>
      <c r="AN270" s="12" t="n">
        <f aca="false">IFERROR((AN186/AN42),0)</f>
        <v>0</v>
      </c>
      <c r="AO270" s="12" t="n">
        <f aca="false">IFERROR((AO186/AO42),0)</f>
        <v>4.12928623928584</v>
      </c>
      <c r="AP270" s="12" t="n">
        <f aca="false">IFERROR((AP186/AP42),0)</f>
        <v>1.88216070359621</v>
      </c>
    </row>
    <row r="271" customFormat="false" ht="15" hidden="false" customHeight="false" outlineLevel="0" collapsed="false">
      <c r="A271" s="0" t="s">
        <v>96</v>
      </c>
      <c r="B271" s="0" t="s">
        <v>193</v>
      </c>
      <c r="AN271" s="12" t="n">
        <f aca="false">IFERROR((AN39/(AN39+AN29)),0)</f>
        <v>0</v>
      </c>
      <c r="AO271" s="12" t="n">
        <f aca="false">IFERROR((AO39/(AO39+AO29)),0)</f>
        <v>0.0185835797049644</v>
      </c>
      <c r="AP271" s="12" t="n">
        <f aca="false">IFERROR((AP39/(AP39+AP29)),0)</f>
        <v>0.0318871355109834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3" topLeftCell="C24" activePane="bottomRight" state="frozen"/>
      <selection pane="topLeft" activeCell="A1" activeCellId="0" sqref="A1"/>
      <selection pane="topRight" activeCell="C1" activeCellId="0" sqref="C1"/>
      <selection pane="bottomLeft" activeCell="A24" activeCellId="0" sqref="A2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9"/>
    <col collapsed="false" customWidth="true" hidden="false" outlineLevel="0" max="38" min="3" style="0" width="11"/>
    <col collapsed="false" customWidth="true" hidden="false" outlineLevel="0" max="39" min="39" style="0" width="3"/>
    <col collapsed="false" customWidth="true" hidden="false" outlineLevel="0" max="42" min="40" style="0" width="14"/>
  </cols>
  <sheetData>
    <row r="1" customFormat="false" ht="16.15" hidden="false" customHeight="false" outlineLevel="0" collapsed="false">
      <c r="A1" s="18" t="s">
        <v>1023</v>
      </c>
    </row>
    <row r="2" customFormat="false" ht="15" hidden="false" customHeight="false" outlineLevel="0" collapsed="false">
      <c r="A2" s="0" t="s">
        <v>781</v>
      </c>
    </row>
    <row r="3" customFormat="false" ht="15" hidden="false" customHeight="false" outlineLevel="0" collapsed="false">
      <c r="A3" s="15" t="s">
        <v>782</v>
      </c>
    </row>
    <row r="4" customFormat="false" ht="15" hidden="false" customHeight="false" outlineLevel="0" collapsed="false">
      <c r="A4" s="0" t="s">
        <v>159</v>
      </c>
      <c r="B4" s="0" t="s">
        <v>160</v>
      </c>
      <c r="C4" s="0" t="n">
        <f aca="false">Scenarios!F4</f>
        <v>1</v>
      </c>
    </row>
    <row r="5" customFormat="false" ht="15" hidden="false" customHeight="false" outlineLevel="0" collapsed="false">
      <c r="A5" s="0" t="s">
        <v>161</v>
      </c>
      <c r="B5" s="0" t="s">
        <v>160</v>
      </c>
      <c r="C5" s="0" t="n">
        <f aca="false">Scenarios!F5</f>
        <v>1</v>
      </c>
    </row>
    <row r="6" customFormat="false" ht="15" hidden="false" customHeight="false" outlineLevel="0" collapsed="false">
      <c r="A6" s="0" t="s">
        <v>162</v>
      </c>
      <c r="B6" s="0" t="s">
        <v>160</v>
      </c>
      <c r="C6" s="0" t="n">
        <f aca="false">Scenarios!F6</f>
        <v>1</v>
      </c>
    </row>
    <row r="7" customFormat="false" ht="15" hidden="false" customHeight="false" outlineLevel="0" collapsed="false">
      <c r="A7" s="0" t="s">
        <v>163</v>
      </c>
      <c r="B7" s="0" t="s">
        <v>160</v>
      </c>
      <c r="C7" s="0" t="n">
        <f aca="false">Scenarios!F7</f>
        <v>1</v>
      </c>
    </row>
    <row r="8" customFormat="false" ht="15" hidden="false" customHeight="false" outlineLevel="0" collapsed="false">
      <c r="A8" s="0" t="s">
        <v>164</v>
      </c>
      <c r="B8" s="0" t="s">
        <v>160</v>
      </c>
      <c r="C8" s="0" t="n">
        <f aca="false">Scenarios!F8</f>
        <v>0.9</v>
      </c>
    </row>
    <row r="9" customFormat="false" ht="15" hidden="false" customHeight="false" outlineLevel="0" collapsed="false">
      <c r="A9" s="0" t="s">
        <v>165</v>
      </c>
      <c r="B9" s="0" t="s">
        <v>166</v>
      </c>
      <c r="C9" s="0" t="n">
        <f aca="false">Scenarios!F9</f>
        <v>6</v>
      </c>
    </row>
    <row r="10" customFormat="false" ht="15" hidden="false" customHeight="false" outlineLevel="0" collapsed="false">
      <c r="A10" s="0" t="s">
        <v>168</v>
      </c>
      <c r="B10" s="0" t="s">
        <v>160</v>
      </c>
      <c r="C10" s="0" t="n">
        <f aca="false">Scenarios!F10</f>
        <v>1</v>
      </c>
    </row>
    <row r="11" customFormat="false" ht="15" hidden="false" customHeight="false" outlineLevel="0" collapsed="false">
      <c r="A11" s="0" t="s">
        <v>169</v>
      </c>
      <c r="B11" s="0" t="s">
        <v>160</v>
      </c>
      <c r="C11" s="0" t="n">
        <f aca="false">Scenarios!F11</f>
        <v>1</v>
      </c>
    </row>
    <row r="12" customFormat="false" ht="15" hidden="false" customHeight="false" outlineLevel="0" collapsed="false">
      <c r="A12" s="0" t="s">
        <v>170</v>
      </c>
      <c r="B12" s="0" t="s">
        <v>160</v>
      </c>
      <c r="C12" s="0" t="n">
        <f aca="false">Scenarios!F12</f>
        <v>1</v>
      </c>
    </row>
    <row r="13" customFormat="false" ht="15" hidden="false" customHeight="false" outlineLevel="0" collapsed="false">
      <c r="A13" s="0" t="s">
        <v>171</v>
      </c>
      <c r="B13" s="0" t="s">
        <v>160</v>
      </c>
      <c r="C13" s="0" t="n">
        <f aca="false">Scenarios!F13</f>
        <v>1</v>
      </c>
    </row>
    <row r="14" customFormat="false" ht="15" hidden="false" customHeight="false" outlineLevel="0" collapsed="false">
      <c r="A14" s="0" t="s">
        <v>172</v>
      </c>
      <c r="B14" s="0" t="s">
        <v>173</v>
      </c>
      <c r="C14" s="0" t="n">
        <f aca="false">Scenarios!F14</f>
        <v>0</v>
      </c>
    </row>
    <row r="15" customFormat="false" ht="15" hidden="false" customHeight="false" outlineLevel="0" collapsed="false">
      <c r="A15" s="0" t="s">
        <v>174</v>
      </c>
      <c r="B15" s="0" t="s">
        <v>166</v>
      </c>
      <c r="C15" s="0" t="n">
        <f aca="false">Scenarios!F15</f>
        <v>0</v>
      </c>
    </row>
    <row r="16" customFormat="false" ht="15" hidden="false" customHeight="false" outlineLevel="0" collapsed="false">
      <c r="A16" s="0" t="s">
        <v>176</v>
      </c>
      <c r="B16" s="0" t="s">
        <v>173</v>
      </c>
      <c r="C16" s="0" t="n">
        <f aca="false">Scenarios!F16</f>
        <v>0</v>
      </c>
    </row>
    <row r="18" customFormat="false" ht="15" hidden="false" customHeight="false" outlineLevel="0" collapsed="false">
      <c r="A18" s="8" t="s">
        <v>98</v>
      </c>
      <c r="B18" s="8"/>
      <c r="C18" s="8" t="n">
        <v>1</v>
      </c>
      <c r="D18" s="8" t="n">
        <v>2</v>
      </c>
      <c r="E18" s="8" t="n">
        <v>3</v>
      </c>
      <c r="F18" s="8" t="n">
        <v>4</v>
      </c>
      <c r="G18" s="8" t="n">
        <v>5</v>
      </c>
      <c r="H18" s="8" t="n">
        <v>6</v>
      </c>
      <c r="I18" s="8" t="n">
        <v>7</v>
      </c>
      <c r="J18" s="8" t="n">
        <v>8</v>
      </c>
      <c r="K18" s="8" t="n">
        <v>9</v>
      </c>
      <c r="L18" s="8" t="n">
        <v>10</v>
      </c>
      <c r="M18" s="8" t="n">
        <v>11</v>
      </c>
      <c r="N18" s="8" t="n">
        <v>12</v>
      </c>
      <c r="O18" s="8" t="n">
        <v>13</v>
      </c>
      <c r="P18" s="8" t="n">
        <v>14</v>
      </c>
      <c r="Q18" s="8" t="n">
        <v>15</v>
      </c>
      <c r="R18" s="8" t="n">
        <v>16</v>
      </c>
      <c r="S18" s="8" t="n">
        <v>17</v>
      </c>
      <c r="T18" s="8" t="n">
        <v>18</v>
      </c>
      <c r="U18" s="8" t="n">
        <v>19</v>
      </c>
      <c r="V18" s="8" t="n">
        <v>20</v>
      </c>
      <c r="W18" s="8" t="n">
        <v>21</v>
      </c>
      <c r="X18" s="8" t="n">
        <v>22</v>
      </c>
      <c r="Y18" s="8" t="n">
        <v>23</v>
      </c>
      <c r="Z18" s="8" t="n">
        <v>24</v>
      </c>
      <c r="AA18" s="8" t="n">
        <v>25</v>
      </c>
      <c r="AB18" s="8" t="n">
        <v>26</v>
      </c>
      <c r="AC18" s="8" t="n">
        <v>27</v>
      </c>
      <c r="AD18" s="8" t="n">
        <v>28</v>
      </c>
      <c r="AE18" s="8" t="n">
        <v>29</v>
      </c>
      <c r="AF18" s="8" t="n">
        <v>30</v>
      </c>
      <c r="AG18" s="8" t="n">
        <v>31</v>
      </c>
      <c r="AH18" s="8" t="n">
        <v>32</v>
      </c>
      <c r="AI18" s="8" t="n">
        <v>33</v>
      </c>
      <c r="AJ18" s="8" t="n">
        <v>34</v>
      </c>
      <c r="AK18" s="8" t="n">
        <v>35</v>
      </c>
      <c r="AL18" s="8" t="n">
        <v>36</v>
      </c>
      <c r="AM18" s="8"/>
      <c r="AN18" s="8" t="s">
        <v>783</v>
      </c>
      <c r="AO18" s="8" t="s">
        <v>784</v>
      </c>
      <c r="AP18" s="8" t="s">
        <v>785</v>
      </c>
    </row>
    <row r="19" customFormat="false" ht="15" hidden="false" customHeight="false" outlineLevel="0" collapsed="false">
      <c r="A19" s="0" t="s">
        <v>786</v>
      </c>
      <c r="C19" s="0" t="s">
        <v>787</v>
      </c>
      <c r="D19" s="0" t="s">
        <v>788</v>
      </c>
      <c r="E19" s="0" t="s">
        <v>789</v>
      </c>
      <c r="F19" s="0" t="s">
        <v>790</v>
      </c>
      <c r="G19" s="0" t="s">
        <v>791</v>
      </c>
      <c r="H19" s="0" t="s">
        <v>792</v>
      </c>
      <c r="I19" s="0" t="s">
        <v>793</v>
      </c>
      <c r="J19" s="0" t="s">
        <v>794</v>
      </c>
      <c r="K19" s="0" t="s">
        <v>795</v>
      </c>
      <c r="L19" s="0" t="s">
        <v>796</v>
      </c>
      <c r="M19" s="0" t="s">
        <v>797</v>
      </c>
      <c r="N19" s="0" t="s">
        <v>798</v>
      </c>
      <c r="O19" s="0" t="s">
        <v>799</v>
      </c>
      <c r="P19" s="0" t="s">
        <v>800</v>
      </c>
      <c r="Q19" s="0" t="s">
        <v>801</v>
      </c>
      <c r="R19" s="0" t="s">
        <v>802</v>
      </c>
      <c r="S19" s="0" t="s">
        <v>803</v>
      </c>
      <c r="T19" s="0" t="s">
        <v>804</v>
      </c>
      <c r="U19" s="0" t="s">
        <v>805</v>
      </c>
      <c r="V19" s="0" t="s">
        <v>806</v>
      </c>
      <c r="W19" s="0" t="s">
        <v>807</v>
      </c>
      <c r="X19" s="0" t="s">
        <v>808</v>
      </c>
      <c r="Y19" s="0" t="s">
        <v>809</v>
      </c>
      <c r="Z19" s="0" t="s">
        <v>810</v>
      </c>
      <c r="AA19" s="0" t="s">
        <v>811</v>
      </c>
      <c r="AB19" s="0" t="s">
        <v>812</v>
      </c>
      <c r="AC19" s="0" t="s">
        <v>813</v>
      </c>
      <c r="AD19" s="0" t="s">
        <v>814</v>
      </c>
      <c r="AE19" s="0" t="s">
        <v>815</v>
      </c>
      <c r="AF19" s="0" t="s">
        <v>816</v>
      </c>
      <c r="AG19" s="0" t="s">
        <v>817</v>
      </c>
      <c r="AH19" s="0" t="s">
        <v>818</v>
      </c>
      <c r="AI19" s="0" t="s">
        <v>819</v>
      </c>
      <c r="AJ19" s="0" t="s">
        <v>820</v>
      </c>
      <c r="AK19" s="0" t="s">
        <v>821</v>
      </c>
      <c r="AL19" s="0" t="s">
        <v>822</v>
      </c>
      <c r="AN19" s="0" t="s">
        <v>823</v>
      </c>
      <c r="AO19" s="0" t="s">
        <v>824</v>
      </c>
      <c r="AP19" s="0" t="s">
        <v>825</v>
      </c>
    </row>
    <row r="20" customFormat="false" ht="15" hidden="false" customHeight="false" outlineLevel="0" collapsed="false">
      <c r="A20" s="0" t="s">
        <v>826</v>
      </c>
      <c r="C20" s="0" t="n">
        <f aca="false">INT((C18-1)/12)+1</f>
        <v>1</v>
      </c>
      <c r="D20" s="0" t="n">
        <f aca="false">INT((D18-1)/12)+1</f>
        <v>1</v>
      </c>
      <c r="E20" s="0" t="n">
        <f aca="false">INT((E18-1)/12)+1</f>
        <v>1</v>
      </c>
      <c r="F20" s="0" t="n">
        <f aca="false">INT((F18-1)/12)+1</f>
        <v>1</v>
      </c>
      <c r="G20" s="0" t="n">
        <f aca="false">INT((G18-1)/12)+1</f>
        <v>1</v>
      </c>
      <c r="H20" s="0" t="n">
        <f aca="false">INT((H18-1)/12)+1</f>
        <v>1</v>
      </c>
      <c r="I20" s="0" t="n">
        <f aca="false">INT((I18-1)/12)+1</f>
        <v>1</v>
      </c>
      <c r="J20" s="0" t="n">
        <f aca="false">INT((J18-1)/12)+1</f>
        <v>1</v>
      </c>
      <c r="K20" s="0" t="n">
        <f aca="false">INT((K18-1)/12)+1</f>
        <v>1</v>
      </c>
      <c r="L20" s="0" t="n">
        <f aca="false">INT((L18-1)/12)+1</f>
        <v>1</v>
      </c>
      <c r="M20" s="0" t="n">
        <f aca="false">INT((M18-1)/12)+1</f>
        <v>1</v>
      </c>
      <c r="N20" s="0" t="n">
        <f aca="false">INT((N18-1)/12)+1</f>
        <v>1</v>
      </c>
      <c r="O20" s="0" t="n">
        <f aca="false">INT((O18-1)/12)+1</f>
        <v>2</v>
      </c>
      <c r="P20" s="0" t="n">
        <f aca="false">INT((P18-1)/12)+1</f>
        <v>2</v>
      </c>
      <c r="Q20" s="0" t="n">
        <f aca="false">INT((Q18-1)/12)+1</f>
        <v>2</v>
      </c>
      <c r="R20" s="0" t="n">
        <f aca="false">INT((R18-1)/12)+1</f>
        <v>2</v>
      </c>
      <c r="S20" s="0" t="n">
        <f aca="false">INT((S18-1)/12)+1</f>
        <v>2</v>
      </c>
      <c r="T20" s="0" t="n">
        <f aca="false">INT((T18-1)/12)+1</f>
        <v>2</v>
      </c>
      <c r="U20" s="0" t="n">
        <f aca="false">INT((U18-1)/12)+1</f>
        <v>2</v>
      </c>
      <c r="V20" s="0" t="n">
        <f aca="false">INT((V18-1)/12)+1</f>
        <v>2</v>
      </c>
      <c r="W20" s="0" t="n">
        <f aca="false">INT((W18-1)/12)+1</f>
        <v>2</v>
      </c>
      <c r="X20" s="0" t="n">
        <f aca="false">INT((X18-1)/12)+1</f>
        <v>2</v>
      </c>
      <c r="Y20" s="0" t="n">
        <f aca="false">INT((Y18-1)/12)+1</f>
        <v>2</v>
      </c>
      <c r="Z20" s="0" t="n">
        <f aca="false">INT((Z18-1)/12)+1</f>
        <v>2</v>
      </c>
      <c r="AA20" s="0" t="n">
        <f aca="false">INT((AA18-1)/12)+1</f>
        <v>3</v>
      </c>
      <c r="AB20" s="0" t="n">
        <f aca="false">INT((AB18-1)/12)+1</f>
        <v>3</v>
      </c>
      <c r="AC20" s="0" t="n">
        <f aca="false">INT((AC18-1)/12)+1</f>
        <v>3</v>
      </c>
      <c r="AD20" s="0" t="n">
        <f aca="false">INT((AD18-1)/12)+1</f>
        <v>3</v>
      </c>
      <c r="AE20" s="0" t="n">
        <f aca="false">INT((AE18-1)/12)+1</f>
        <v>3</v>
      </c>
      <c r="AF20" s="0" t="n">
        <f aca="false">INT((AF18-1)/12)+1</f>
        <v>3</v>
      </c>
      <c r="AG20" s="0" t="n">
        <f aca="false">INT((AG18-1)/12)+1</f>
        <v>3</v>
      </c>
      <c r="AH20" s="0" t="n">
        <f aca="false">INT((AH18-1)/12)+1</f>
        <v>3</v>
      </c>
      <c r="AI20" s="0" t="n">
        <f aca="false">INT((AI18-1)/12)+1</f>
        <v>3</v>
      </c>
      <c r="AJ20" s="0" t="n">
        <f aca="false">INT((AJ18-1)/12)+1</f>
        <v>3</v>
      </c>
      <c r="AK20" s="0" t="n">
        <f aca="false">INT((AK18-1)/12)+1</f>
        <v>3</v>
      </c>
      <c r="AL20" s="0" t="n">
        <f aca="false">INT((AL18-1)/12)+1</f>
        <v>3</v>
      </c>
    </row>
    <row r="21" customFormat="false" ht="15" hidden="false" customHeight="false" outlineLevel="0" collapsed="false">
      <c r="A21" s="0" t="s">
        <v>827</v>
      </c>
      <c r="C21" s="0" t="n">
        <f aca="false">MOD(C18-1,12)+1</f>
        <v>1</v>
      </c>
      <c r="D21" s="0" t="n">
        <f aca="false">MOD(D18-1,12)+1</f>
        <v>2</v>
      </c>
      <c r="E21" s="0" t="n">
        <f aca="false">MOD(E18-1,12)+1</f>
        <v>3</v>
      </c>
      <c r="F21" s="0" t="n">
        <f aca="false">MOD(F18-1,12)+1</f>
        <v>4</v>
      </c>
      <c r="G21" s="0" t="n">
        <f aca="false">MOD(G18-1,12)+1</f>
        <v>5</v>
      </c>
      <c r="H21" s="0" t="n">
        <f aca="false">MOD(H18-1,12)+1</f>
        <v>6</v>
      </c>
      <c r="I21" s="0" t="n">
        <f aca="false">MOD(I18-1,12)+1</f>
        <v>7</v>
      </c>
      <c r="J21" s="0" t="n">
        <f aca="false">MOD(J18-1,12)+1</f>
        <v>8</v>
      </c>
      <c r="K21" s="0" t="n">
        <f aca="false">MOD(K18-1,12)+1</f>
        <v>9</v>
      </c>
      <c r="L21" s="0" t="n">
        <f aca="false">MOD(L18-1,12)+1</f>
        <v>10</v>
      </c>
      <c r="M21" s="0" t="n">
        <f aca="false">MOD(M18-1,12)+1</f>
        <v>11</v>
      </c>
      <c r="N21" s="0" t="n">
        <f aca="false">MOD(N18-1,12)+1</f>
        <v>12</v>
      </c>
      <c r="O21" s="0" t="n">
        <f aca="false">MOD(O18-1,12)+1</f>
        <v>1</v>
      </c>
      <c r="P21" s="0" t="n">
        <f aca="false">MOD(P18-1,12)+1</f>
        <v>2</v>
      </c>
      <c r="Q21" s="0" t="n">
        <f aca="false">MOD(Q18-1,12)+1</f>
        <v>3</v>
      </c>
      <c r="R21" s="0" t="n">
        <f aca="false">MOD(R18-1,12)+1</f>
        <v>4</v>
      </c>
      <c r="S21" s="0" t="n">
        <f aca="false">MOD(S18-1,12)+1</f>
        <v>5</v>
      </c>
      <c r="T21" s="0" t="n">
        <f aca="false">MOD(T18-1,12)+1</f>
        <v>6</v>
      </c>
      <c r="U21" s="0" t="n">
        <f aca="false">MOD(U18-1,12)+1</f>
        <v>7</v>
      </c>
      <c r="V21" s="0" t="n">
        <f aca="false">MOD(V18-1,12)+1</f>
        <v>8</v>
      </c>
      <c r="W21" s="0" t="n">
        <f aca="false">MOD(W18-1,12)+1</f>
        <v>9</v>
      </c>
      <c r="X21" s="0" t="n">
        <f aca="false">MOD(X18-1,12)+1</f>
        <v>10</v>
      </c>
      <c r="Y21" s="0" t="n">
        <f aca="false">MOD(Y18-1,12)+1</f>
        <v>11</v>
      </c>
      <c r="Z21" s="0" t="n">
        <f aca="false">MOD(Z18-1,12)+1</f>
        <v>12</v>
      </c>
      <c r="AA21" s="0" t="n">
        <f aca="false">MOD(AA18-1,12)+1</f>
        <v>1</v>
      </c>
      <c r="AB21" s="0" t="n">
        <f aca="false">MOD(AB18-1,12)+1</f>
        <v>2</v>
      </c>
      <c r="AC21" s="0" t="n">
        <f aca="false">MOD(AC18-1,12)+1</f>
        <v>3</v>
      </c>
      <c r="AD21" s="0" t="n">
        <f aca="false">MOD(AD18-1,12)+1</f>
        <v>4</v>
      </c>
      <c r="AE21" s="0" t="n">
        <f aca="false">MOD(AE18-1,12)+1</f>
        <v>5</v>
      </c>
      <c r="AF21" s="0" t="n">
        <f aca="false">MOD(AF18-1,12)+1</f>
        <v>6</v>
      </c>
      <c r="AG21" s="0" t="n">
        <f aca="false">MOD(AG18-1,12)+1</f>
        <v>7</v>
      </c>
      <c r="AH21" s="0" t="n">
        <f aca="false">MOD(AH18-1,12)+1</f>
        <v>8</v>
      </c>
      <c r="AI21" s="0" t="n">
        <f aca="false">MOD(AI18-1,12)+1</f>
        <v>9</v>
      </c>
      <c r="AJ21" s="0" t="n">
        <f aca="false">MOD(AJ18-1,12)+1</f>
        <v>10</v>
      </c>
      <c r="AK21" s="0" t="n">
        <f aca="false">MOD(AK18-1,12)+1</f>
        <v>11</v>
      </c>
      <c r="AL21" s="0" t="n">
        <f aca="false">MOD(AL18-1,12)+1</f>
        <v>12</v>
      </c>
    </row>
    <row r="23" customFormat="false" ht="15" hidden="false" customHeight="false" outlineLevel="0" collapsed="false">
      <c r="A23" s="21" t="s">
        <v>828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</row>
    <row r="24" customFormat="false" ht="15" hidden="false" customHeight="false" outlineLevel="0" collapsed="false">
      <c r="A24" s="0" t="s">
        <v>829</v>
      </c>
      <c r="B24" s="0" t="s">
        <v>500</v>
      </c>
      <c r="C24" s="9" t="n">
        <f aca="false">IF((C$18=1),Assumptions!$C$16,(0*(1+Assumptions!$C$133)))</f>
        <v>1200</v>
      </c>
      <c r="D24" s="9" t="n">
        <f aca="false">IF((D$18=1),Assumptions!$C$16,(C24*(1+Assumptions!$C$133)))</f>
        <v>1272</v>
      </c>
      <c r="E24" s="9" t="n">
        <f aca="false">IF((E$18=1),Assumptions!$C$16,(D24*(1+Assumptions!$C$133)))</f>
        <v>1348.32</v>
      </c>
      <c r="F24" s="9" t="n">
        <f aca="false">IF((F$18=1),Assumptions!$C$16,(E24*(1+Assumptions!$C$133)))</f>
        <v>1429.2192</v>
      </c>
      <c r="G24" s="9" t="n">
        <f aca="false">IF((G$18=1),Assumptions!$C$16,(F24*(1+Assumptions!$C$133)))</f>
        <v>1514.972352</v>
      </c>
      <c r="H24" s="9" t="n">
        <f aca="false">IF((H$18=1),Assumptions!$C$16,(G24*(1+Assumptions!$C$133)))</f>
        <v>1605.87069312</v>
      </c>
      <c r="I24" s="9" t="n">
        <f aca="false">IF((I$18=1),Assumptions!$C$16,(H24*(1+Assumptions!$C$133)))</f>
        <v>1702.2229347072</v>
      </c>
      <c r="J24" s="9" t="n">
        <f aca="false">IF((J$18=1),Assumptions!$C$16,(I24*(1+Assumptions!$C$133)))</f>
        <v>1804.35631078963</v>
      </c>
      <c r="K24" s="9" t="n">
        <f aca="false">IF((K$18=1),Assumptions!$C$16,(J24*(1+Assumptions!$C$133)))</f>
        <v>1912.61768943701</v>
      </c>
      <c r="L24" s="9" t="n">
        <f aca="false">IF((L$18=1),Assumptions!$C$16,(K24*(1+Assumptions!$C$133)))</f>
        <v>2027.37475080323</v>
      </c>
      <c r="M24" s="9" t="n">
        <f aca="false">IF((M$18=1),Assumptions!$C$16,(L24*(1+Assumptions!$C$133)))</f>
        <v>2149.01723585143</v>
      </c>
      <c r="N24" s="9" t="n">
        <f aca="false">IF((N$18=1),Assumptions!$C$16,(M24*(1+Assumptions!$C$133)))</f>
        <v>2277.95827000251</v>
      </c>
      <c r="O24" s="9" t="n">
        <f aca="false">IF((O$18=1),Assumptions!$C$16,(N24*(1+Assumptions!$D$133)))</f>
        <v>2369.07660080261</v>
      </c>
      <c r="P24" s="9" t="n">
        <f aca="false">IF((P$18=1),Assumptions!$C$16,(O24*(1+Assumptions!$D$133)))</f>
        <v>2463.83966483472</v>
      </c>
      <c r="Q24" s="9" t="n">
        <f aca="false">IF((Q$18=1),Assumptions!$C$16,(P24*(1+Assumptions!$D$133)))</f>
        <v>2562.39325142811</v>
      </c>
      <c r="R24" s="9" t="n">
        <f aca="false">IF((R$18=1),Assumptions!$C$16,(Q24*(1+Assumptions!$D$133)))</f>
        <v>2664.88898148523</v>
      </c>
      <c r="S24" s="9" t="n">
        <f aca="false">IF((S$18=1),Assumptions!$C$16,(R24*(1+Assumptions!$D$133)))</f>
        <v>2771.48454074464</v>
      </c>
      <c r="T24" s="9" t="n">
        <f aca="false">IF((T$18=1),Assumptions!$C$16,(S24*(1+Assumptions!$D$133)))</f>
        <v>2882.34392237442</v>
      </c>
      <c r="U24" s="9" t="n">
        <f aca="false">IF((U$18=1),Assumptions!$C$16,(T24*(1+Assumptions!$D$133)))</f>
        <v>2997.6376792694</v>
      </c>
      <c r="V24" s="9" t="n">
        <f aca="false">IF((V$18=1),Assumptions!$C$16,(U24*(1+Assumptions!$D$133)))</f>
        <v>3117.54318644018</v>
      </c>
      <c r="W24" s="9" t="n">
        <f aca="false">IF((W$18=1),Assumptions!$C$16,(V24*(1+Assumptions!$D$133)))</f>
        <v>3242.24491389778</v>
      </c>
      <c r="X24" s="9" t="n">
        <f aca="false">IF((X$18=1),Assumptions!$C$16,(W24*(1+Assumptions!$D$133)))</f>
        <v>3371.9347104537</v>
      </c>
      <c r="Y24" s="9" t="n">
        <f aca="false">IF((Y$18=1),Assumptions!$C$16,(X24*(1+Assumptions!$D$133)))</f>
        <v>3506.81209887184</v>
      </c>
      <c r="Z24" s="9" t="n">
        <f aca="false">IF((Z$18=1),Assumptions!$C$16,(Y24*(1+Assumptions!$D$133)))</f>
        <v>3647.08458282672</v>
      </c>
      <c r="AA24" s="9" t="n">
        <f aca="false">IF((AA$18=1),Assumptions!$C$16,(Z24*(1+Assumptions!$E$133)))</f>
        <v>3738.26169739739</v>
      </c>
      <c r="AB24" s="9" t="n">
        <f aca="false">IF((AB$18=1),Assumptions!$C$16,(AA24*(1+Assumptions!$E$133)))</f>
        <v>3831.71823983232</v>
      </c>
      <c r="AC24" s="9" t="n">
        <f aca="false">IF((AC$18=1),Assumptions!$C$16,(AB24*(1+Assumptions!$E$133)))</f>
        <v>3927.51119582813</v>
      </c>
      <c r="AD24" s="9" t="n">
        <f aca="false">IF((AD$18=1),Assumptions!$C$16,(AC24*(1+Assumptions!$E$133)))</f>
        <v>4025.69897572383</v>
      </c>
      <c r="AE24" s="9" t="n">
        <f aca="false">IF((AE$18=1),Assumptions!$C$16,(AD24*(1+Assumptions!$E$133)))</f>
        <v>4126.34145011693</v>
      </c>
      <c r="AF24" s="9" t="n">
        <f aca="false">IF((AF$18=1),Assumptions!$C$16,(AE24*(1+Assumptions!$E$133)))</f>
        <v>4229.49998636985</v>
      </c>
      <c r="AG24" s="9" t="n">
        <f aca="false">IF((AG$18=1),Assumptions!$C$16,(AF24*(1+Assumptions!$E$133)))</f>
        <v>4335.2374860291</v>
      </c>
      <c r="AH24" s="9" t="n">
        <f aca="false">IF((AH$18=1),Assumptions!$C$16,(AG24*(1+Assumptions!$E$133)))</f>
        <v>4443.61842317982</v>
      </c>
      <c r="AI24" s="9" t="n">
        <f aca="false">IF((AI$18=1),Assumptions!$C$16,(AH24*(1+Assumptions!$E$133)))</f>
        <v>4554.70888375932</v>
      </c>
      <c r="AJ24" s="9" t="n">
        <f aca="false">IF((AJ$18=1),Assumptions!$C$16,(AI24*(1+Assumptions!$E$133)))</f>
        <v>4668.5766058533</v>
      </c>
      <c r="AK24" s="9" t="n">
        <f aca="false">IF((AK$18=1),Assumptions!$C$16,(AJ24*(1+Assumptions!$E$133)))</f>
        <v>4785.29102099963</v>
      </c>
      <c r="AL24" s="9" t="n">
        <f aca="false">IF((AL$18=1),Assumptions!$C$16,(AK24*(1+Assumptions!$E$133)))</f>
        <v>4904.92329652462</v>
      </c>
    </row>
    <row r="25" customFormat="false" ht="15" hidden="false" customHeight="false" outlineLevel="0" collapsed="false">
      <c r="A25" s="0" t="s">
        <v>830</v>
      </c>
      <c r="B25" s="0" t="s">
        <v>500</v>
      </c>
      <c r="C25" s="9" t="n">
        <f aca="false">(((C24*INDEX(Assumptions!$C$167:$C$178,C$21))*$C$4)*IF((C$18&lt;Assumptions!$C$5),Assumptions!$C$6,1))</f>
        <v>390</v>
      </c>
      <c r="D25" s="9" t="n">
        <f aca="false">(((D24*INDEX(Assumptions!$C$167:$C$178,D$21))*$C$4)*IF((D$18&lt;Assumptions!$C$5),Assumptions!$C$6,1))</f>
        <v>349.8</v>
      </c>
      <c r="E25" s="9" t="n">
        <f aca="false">(((E24*INDEX(Assumptions!$C$167:$C$178,E$21))*$C$4)*IF((E$18&lt;Assumptions!$C$5),Assumptions!$C$6,1))</f>
        <v>303.372</v>
      </c>
      <c r="F25" s="9" t="n">
        <f aca="false">(((F24*INDEX(Assumptions!$C$167:$C$178,F$21))*$C$4)*IF((F$18&lt;Assumptions!$C$5),Assumptions!$C$6,1))</f>
        <v>285.84384</v>
      </c>
      <c r="G25" s="9" t="n">
        <f aca="false">(((G24*INDEX(Assumptions!$C$167:$C$178,G$21))*$C$4)*IF((G$18&lt;Assumptions!$C$5),Assumptions!$C$6,1))</f>
        <v>227.2458528</v>
      </c>
      <c r="H25" s="9" t="n">
        <f aca="false">(((H24*INDEX(Assumptions!$C$167:$C$178,H$21))*$C$4)*IF((H$18&lt;Assumptions!$C$5),Assumptions!$C$6,1))</f>
        <v>200.73383664</v>
      </c>
      <c r="I25" s="9" t="n">
        <f aca="false">(((I24*INDEX(Assumptions!$C$167:$C$178,I$21))*$C$4)*IF((I$18&lt;Assumptions!$C$5),Assumptions!$C$6,1))</f>
        <v>297.88901357376</v>
      </c>
      <c r="J25" s="9" t="n">
        <f aca="false">(((J24*INDEX(Assumptions!$C$167:$C$178,J$21))*$C$4)*IF((J$18&lt;Assumptions!$C$5),Assumptions!$C$6,1))</f>
        <v>721.742524315853</v>
      </c>
      <c r="K25" s="9" t="n">
        <f aca="false">(((K24*INDEX(Assumptions!$C$167:$C$178,K$21))*$C$4)*IF((K$18&lt;Assumptions!$C$5),Assumptions!$C$6,1))</f>
        <v>860.677960246655</v>
      </c>
      <c r="L25" s="9" t="n">
        <f aca="false">(((L24*INDEX(Assumptions!$C$167:$C$178,L$21))*$C$4)*IF((L$18&lt;Assumptions!$C$5),Assumptions!$C$6,1))</f>
        <v>557.528056470889</v>
      </c>
      <c r="M25" s="9" t="n">
        <f aca="false">(((M24*INDEX(Assumptions!$C$167:$C$178,M$21))*$C$4)*IF((M$18&lt;Assumptions!$C$5),Assumptions!$C$6,1))</f>
        <v>483.528878066571</v>
      </c>
      <c r="N25" s="9" t="n">
        <f aca="false">(((N24*INDEX(Assumptions!$C$167:$C$178,N$21))*$C$4)*IF((N$18&lt;Assumptions!$C$5),Assumptions!$C$6,1))</f>
        <v>398.642697250439</v>
      </c>
      <c r="O25" s="9" t="n">
        <f aca="false">(((O24*INDEX(Assumptions!$C$167:$C$178,O$21))*$C$4)*IF((O$18&lt;Assumptions!$C$5),Assumptions!$C$6,1))</f>
        <v>3079.7995810434</v>
      </c>
      <c r="P25" s="9" t="n">
        <f aca="false">(((P24*INDEX(Assumptions!$C$167:$C$178,P$21))*$C$4)*IF((P$18&lt;Assumptions!$C$5),Assumptions!$C$6,1))</f>
        <v>2710.22363131819</v>
      </c>
      <c r="Q25" s="9" t="n">
        <f aca="false">(((Q24*INDEX(Assumptions!$C$167:$C$178,Q$21))*$C$4)*IF((Q$18&lt;Assumptions!$C$5),Assumptions!$C$6,1))</f>
        <v>2306.1539262853</v>
      </c>
      <c r="R25" s="9" t="n">
        <f aca="false">(((R24*INDEX(Assumptions!$C$167:$C$178,R$21))*$C$4)*IF((R$18&lt;Assumptions!$C$5),Assumptions!$C$6,1))</f>
        <v>2131.91118518818</v>
      </c>
      <c r="S25" s="9" t="n">
        <f aca="false">(((S24*INDEX(Assumptions!$C$167:$C$178,S$21))*$C$4)*IF((S$18&lt;Assumptions!$C$5),Assumptions!$C$6,1))</f>
        <v>1662.89072444678</v>
      </c>
      <c r="T25" s="9" t="n">
        <f aca="false">(((T24*INDEX(Assumptions!$C$167:$C$178,T$21))*$C$4)*IF((T$18&lt;Assumptions!$C$5),Assumptions!$C$6,1))</f>
        <v>1441.17196118721</v>
      </c>
      <c r="U25" s="9" t="n">
        <f aca="false">(((U24*INDEX(Assumptions!$C$167:$C$178,U$21))*$C$4)*IF((U$18&lt;Assumptions!$C$5),Assumptions!$C$6,1))</f>
        <v>2098.34637548858</v>
      </c>
      <c r="V25" s="9" t="n">
        <f aca="false">(((V24*INDEX(Assumptions!$C$167:$C$178,V$21))*$C$4)*IF((V$18&lt;Assumptions!$C$5),Assumptions!$C$6,1))</f>
        <v>4988.06909830428</v>
      </c>
      <c r="W25" s="9" t="n">
        <f aca="false">(((W24*INDEX(Assumptions!$C$167:$C$178,W$21))*$C$4)*IF((W$18&lt;Assumptions!$C$5),Assumptions!$C$6,1))</f>
        <v>5836.04084501601</v>
      </c>
      <c r="X25" s="9" t="n">
        <f aca="false">(((X24*INDEX(Assumptions!$C$167:$C$178,X$21))*$C$4)*IF((X$18&lt;Assumptions!$C$5),Assumptions!$C$6,1))</f>
        <v>3709.12818149907</v>
      </c>
      <c r="Y25" s="9" t="n">
        <f aca="false">(((Y24*INDEX(Assumptions!$C$167:$C$178,Y$21))*$C$4)*IF((Y$18&lt;Assumptions!$C$5),Assumptions!$C$6,1))</f>
        <v>3156.13088898466</v>
      </c>
      <c r="Z25" s="9" t="n">
        <f aca="false">(((Z24*INDEX(Assumptions!$C$167:$C$178,Z$21))*$C$4)*IF((Z$18&lt;Assumptions!$C$5),Assumptions!$C$6,1))</f>
        <v>2552.9592079787</v>
      </c>
      <c r="AA25" s="9" t="n">
        <f aca="false">(((AA24*INDEX(Assumptions!$C$167:$C$178,AA$21))*$C$4)*IF((AA$18&lt;Assumptions!$C$5),Assumptions!$C$6,1))</f>
        <v>4859.7402066166</v>
      </c>
      <c r="AB25" s="9" t="n">
        <f aca="false">(((AB24*INDEX(Assumptions!$C$167:$C$178,AB$21))*$C$4)*IF((AB$18&lt;Assumptions!$C$5),Assumptions!$C$6,1))</f>
        <v>4214.89006381555</v>
      </c>
      <c r="AC25" s="9" t="n">
        <f aca="false">(((AC24*INDEX(Assumptions!$C$167:$C$178,AC$21))*$C$4)*IF((AC$18&lt;Assumptions!$C$5),Assumptions!$C$6,1))</f>
        <v>3534.76007624531</v>
      </c>
      <c r="AD25" s="9" t="n">
        <f aca="false">(((AD24*INDEX(Assumptions!$C$167:$C$178,AD$21))*$C$4)*IF((AD$18&lt;Assumptions!$C$5),Assumptions!$C$6,1))</f>
        <v>3220.55918057906</v>
      </c>
      <c r="AE25" s="9" t="n">
        <f aca="false">(((AE24*INDEX(Assumptions!$C$167:$C$178,AE$21))*$C$4)*IF((AE$18&lt;Assumptions!$C$5),Assumptions!$C$6,1))</f>
        <v>2475.80487007016</v>
      </c>
      <c r="AF25" s="9" t="n">
        <f aca="false">(((AF24*INDEX(Assumptions!$C$167:$C$178,AF$21))*$C$4)*IF((AF$18&lt;Assumptions!$C$5),Assumptions!$C$6,1))</f>
        <v>2114.74999318492</v>
      </c>
      <c r="AG25" s="9" t="n">
        <f aca="false">(((AG24*INDEX(Assumptions!$C$167:$C$178,AG$21))*$C$4)*IF((AG$18&lt;Assumptions!$C$5),Assumptions!$C$6,1))</f>
        <v>3034.66624022037</v>
      </c>
      <c r="AH25" s="9" t="n">
        <f aca="false">(((AH24*INDEX(Assumptions!$C$167:$C$178,AH$21))*$C$4)*IF((AH$18&lt;Assumptions!$C$5),Assumptions!$C$6,1))</f>
        <v>7109.78947708772</v>
      </c>
      <c r="AI25" s="9" t="n">
        <f aca="false">(((AI24*INDEX(Assumptions!$C$167:$C$178,AI$21))*$C$4)*IF((AI$18&lt;Assumptions!$C$5),Assumptions!$C$6,1))</f>
        <v>8198.47599076677</v>
      </c>
      <c r="AJ25" s="9" t="n">
        <f aca="false">(((AJ24*INDEX(Assumptions!$C$167:$C$178,AJ$21))*$C$4)*IF((AJ$18&lt;Assumptions!$C$5),Assumptions!$C$6,1))</f>
        <v>5135.43426643863</v>
      </c>
      <c r="AK25" s="9" t="n">
        <f aca="false">(((AK24*INDEX(Assumptions!$C$167:$C$178,AK$21))*$C$4)*IF((AK$18&lt;Assumptions!$C$5),Assumptions!$C$6,1))</f>
        <v>4306.76191889967</v>
      </c>
      <c r="AL25" s="9" t="n">
        <f aca="false">(((AL24*INDEX(Assumptions!$C$167:$C$178,AL$21))*$C$4)*IF((AL$18&lt;Assumptions!$C$5),Assumptions!$C$6,1))</f>
        <v>3433.44630756723</v>
      </c>
      <c r="AN25" s="11" t="n">
        <f aca="false">SUM(C25:N25)</f>
        <v>5077.00465936417</v>
      </c>
      <c r="AO25" s="11" t="n">
        <f aca="false">SUM(O25:Z25)</f>
        <v>35672.8256067404</v>
      </c>
      <c r="AP25" s="11" t="n">
        <f aca="false">SUM(AA25:AL25)</f>
        <v>51639.078591492</v>
      </c>
    </row>
    <row r="26" customFormat="false" ht="15" hidden="false" customHeight="false" outlineLevel="0" collapsed="false">
      <c r="A26" s="0" t="s">
        <v>831</v>
      </c>
      <c r="B26" s="0" t="s">
        <v>500</v>
      </c>
      <c r="C26" s="9" t="n">
        <f aca="false">IF((C$18&gt;=Assumptions!$C$5),(Assumptions!$C$134/(Assumptions!$C$17*$C$11)),0)</f>
        <v>0</v>
      </c>
      <c r="D26" s="9" t="n">
        <f aca="false">IF((D$18&gt;=Assumptions!$C$5),(Assumptions!$C$134/(Assumptions!$C$17*$C$11)),0)</f>
        <v>0</v>
      </c>
      <c r="E26" s="9" t="n">
        <f aca="false">IF((E$18&gt;=Assumptions!$C$5),(Assumptions!$C$134/(Assumptions!$C$17*$C$11)),0)</f>
        <v>0</v>
      </c>
      <c r="F26" s="9" t="n">
        <f aca="false">IF((F$18&gt;=Assumptions!$C$5),(Assumptions!$C$134/(Assumptions!$C$17*$C$11)),0)</f>
        <v>0</v>
      </c>
      <c r="G26" s="9" t="n">
        <f aca="false">IF((G$18&gt;=Assumptions!$C$5),(Assumptions!$C$134/(Assumptions!$C$17*$C$11)),0)</f>
        <v>0</v>
      </c>
      <c r="H26" s="9" t="n">
        <f aca="false">IF((H$18&gt;=Assumptions!$C$5),(Assumptions!$C$134/(Assumptions!$C$17*$C$11)),0)</f>
        <v>0</v>
      </c>
      <c r="I26" s="9" t="n">
        <f aca="false">IF((I$18&gt;=Assumptions!$C$5),(Assumptions!$C$134/(Assumptions!$C$17*$C$11)),0)</f>
        <v>0</v>
      </c>
      <c r="J26" s="9" t="n">
        <f aca="false">IF((J$18&gt;=Assumptions!$C$5),(Assumptions!$C$134/(Assumptions!$C$17*$C$11)),0)</f>
        <v>0</v>
      </c>
      <c r="K26" s="9" t="n">
        <f aca="false">IF((K$18&gt;=Assumptions!$C$5),(Assumptions!$C$134/(Assumptions!$C$17*$C$11)),0)</f>
        <v>0</v>
      </c>
      <c r="L26" s="9" t="n">
        <f aca="false">IF((L$18&gt;=Assumptions!$C$5),(Assumptions!$C$134/(Assumptions!$C$17*$C$11)),0)</f>
        <v>0</v>
      </c>
      <c r="M26" s="9" t="n">
        <f aca="false">IF((M$18&gt;=Assumptions!$C$5),(Assumptions!$C$134/(Assumptions!$C$17*$C$11)),0)</f>
        <v>0</v>
      </c>
      <c r="N26" s="9" t="n">
        <f aca="false">IF((N$18&gt;=Assumptions!$C$5),(Assumptions!$C$134/(Assumptions!$C$17*$C$11)),0)</f>
        <v>0</v>
      </c>
      <c r="O26" s="9" t="n">
        <f aca="false">IF((O$18&gt;=Assumptions!$C$5),(Assumptions!$D$134/(Assumptions!$C$17*$C$11)),0)</f>
        <v>1000</v>
      </c>
      <c r="P26" s="9" t="n">
        <f aca="false">IF((P$18&gt;=Assumptions!$C$5),(Assumptions!$D$134/(Assumptions!$C$17*$C$11)),0)</f>
        <v>1000</v>
      </c>
      <c r="Q26" s="9" t="n">
        <f aca="false">IF((Q$18&gt;=Assumptions!$C$5),(Assumptions!$D$134/(Assumptions!$C$17*$C$11)),0)</f>
        <v>1000</v>
      </c>
      <c r="R26" s="9" t="n">
        <f aca="false">IF((R$18&gt;=Assumptions!$C$5),(Assumptions!$D$134/(Assumptions!$C$17*$C$11)),0)</f>
        <v>1000</v>
      </c>
      <c r="S26" s="9" t="n">
        <f aca="false">IF((S$18&gt;=Assumptions!$C$5),(Assumptions!$D$134/(Assumptions!$C$17*$C$11)),0)</f>
        <v>1000</v>
      </c>
      <c r="T26" s="9" t="n">
        <f aca="false">IF((T$18&gt;=Assumptions!$C$5),(Assumptions!$D$134/(Assumptions!$C$17*$C$11)),0)</f>
        <v>1000</v>
      </c>
      <c r="U26" s="9" t="n">
        <f aca="false">IF((U$18&gt;=Assumptions!$C$5),(Assumptions!$D$134/(Assumptions!$C$17*$C$11)),0)</f>
        <v>1000</v>
      </c>
      <c r="V26" s="9" t="n">
        <f aca="false">IF((V$18&gt;=Assumptions!$C$5),(Assumptions!$D$134/(Assumptions!$C$17*$C$11)),0)</f>
        <v>1000</v>
      </c>
      <c r="W26" s="9" t="n">
        <f aca="false">IF((W$18&gt;=Assumptions!$C$5),(Assumptions!$D$134/(Assumptions!$C$17*$C$11)),0)</f>
        <v>1000</v>
      </c>
      <c r="X26" s="9" t="n">
        <f aca="false">IF((X$18&gt;=Assumptions!$C$5),(Assumptions!$D$134/(Assumptions!$C$17*$C$11)),0)</f>
        <v>1000</v>
      </c>
      <c r="Y26" s="9" t="n">
        <f aca="false">IF((Y$18&gt;=Assumptions!$C$5),(Assumptions!$D$134/(Assumptions!$C$17*$C$11)),0)</f>
        <v>1000</v>
      </c>
      <c r="Z26" s="9" t="n">
        <f aca="false">IF((Z$18&gt;=Assumptions!$C$5),(Assumptions!$D$134/(Assumptions!$C$17*$C$11)),0)</f>
        <v>1000</v>
      </c>
      <c r="AA26" s="9" t="n">
        <f aca="false">IF((AA$18&gt;=Assumptions!$C$5),(Assumptions!$E$134/(Assumptions!$C$17*$C$11)),0)</f>
        <v>1666.66666666667</v>
      </c>
      <c r="AB26" s="9" t="n">
        <f aca="false">IF((AB$18&gt;=Assumptions!$C$5),(Assumptions!$E$134/(Assumptions!$C$17*$C$11)),0)</f>
        <v>1666.66666666667</v>
      </c>
      <c r="AC26" s="9" t="n">
        <f aca="false">IF((AC$18&gt;=Assumptions!$C$5),(Assumptions!$E$134/(Assumptions!$C$17*$C$11)),0)</f>
        <v>1666.66666666667</v>
      </c>
      <c r="AD26" s="9" t="n">
        <f aca="false">IF((AD$18&gt;=Assumptions!$C$5),(Assumptions!$E$134/(Assumptions!$C$17*$C$11)),0)</f>
        <v>1666.66666666667</v>
      </c>
      <c r="AE26" s="9" t="n">
        <f aca="false">IF((AE$18&gt;=Assumptions!$C$5),(Assumptions!$E$134/(Assumptions!$C$17*$C$11)),0)</f>
        <v>1666.66666666667</v>
      </c>
      <c r="AF26" s="9" t="n">
        <f aca="false">IF((AF$18&gt;=Assumptions!$C$5),(Assumptions!$E$134/(Assumptions!$C$17*$C$11)),0)</f>
        <v>1666.66666666667</v>
      </c>
      <c r="AG26" s="9" t="n">
        <f aca="false">IF((AG$18&gt;=Assumptions!$C$5),(Assumptions!$E$134/(Assumptions!$C$17*$C$11)),0)</f>
        <v>1666.66666666667</v>
      </c>
      <c r="AH26" s="9" t="n">
        <f aca="false">IF((AH$18&gt;=Assumptions!$C$5),(Assumptions!$E$134/(Assumptions!$C$17*$C$11)),0)</f>
        <v>1666.66666666667</v>
      </c>
      <c r="AI26" s="9" t="n">
        <f aca="false">IF((AI$18&gt;=Assumptions!$C$5),(Assumptions!$E$134/(Assumptions!$C$17*$C$11)),0)</f>
        <v>1666.66666666667</v>
      </c>
      <c r="AJ26" s="9" t="n">
        <f aca="false">IF((AJ$18&gt;=Assumptions!$C$5),(Assumptions!$E$134/(Assumptions!$C$17*$C$11)),0)</f>
        <v>1666.66666666667</v>
      </c>
      <c r="AK26" s="9" t="n">
        <f aca="false">IF((AK$18&gt;=Assumptions!$C$5),(Assumptions!$E$134/(Assumptions!$C$17*$C$11)),0)</f>
        <v>1666.66666666667</v>
      </c>
      <c r="AL26" s="9" t="n">
        <f aca="false">IF((AL$18&gt;=Assumptions!$C$5),(Assumptions!$E$134/(Assumptions!$C$17*$C$11)),0)</f>
        <v>1666.66666666667</v>
      </c>
      <c r="AN26" s="11" t="n">
        <f aca="false">SUM(C26:N26)</f>
        <v>0</v>
      </c>
      <c r="AO26" s="11" t="n">
        <f aca="false">SUM(O26:Z26)</f>
        <v>12000</v>
      </c>
      <c r="AP26" s="11" t="n">
        <f aca="false">SUM(AA26:AL26)</f>
        <v>20000</v>
      </c>
    </row>
    <row r="27" customFormat="false" ht="15" hidden="false" customHeight="false" outlineLevel="0" collapsed="false">
      <c r="A27" s="0" t="s">
        <v>832</v>
      </c>
      <c r="B27" s="0" t="s">
        <v>500</v>
      </c>
      <c r="C27" s="9" t="n">
        <f aca="false">((C25+C26)*Assumptions!$C$18)</f>
        <v>234</v>
      </c>
      <c r="D27" s="9" t="n">
        <f aca="false">((D25+D26)*Assumptions!$C$18)</f>
        <v>209.88</v>
      </c>
      <c r="E27" s="9" t="n">
        <f aca="false">((E25+E26)*Assumptions!$C$18)</f>
        <v>182.0232</v>
      </c>
      <c r="F27" s="9" t="n">
        <f aca="false">((F25+F26)*Assumptions!$C$18)</f>
        <v>171.506304</v>
      </c>
      <c r="G27" s="9" t="n">
        <f aca="false">((G25+G26)*Assumptions!$C$18)</f>
        <v>136.34751168</v>
      </c>
      <c r="H27" s="9" t="n">
        <f aca="false">((H25+H26)*Assumptions!$C$18)</f>
        <v>120.440301984</v>
      </c>
      <c r="I27" s="9" t="n">
        <f aca="false">((I25+I26)*Assumptions!$C$18)</f>
        <v>178.733408144256</v>
      </c>
      <c r="J27" s="9" t="n">
        <f aca="false">((J25+J26)*Assumptions!$C$18)</f>
        <v>433.045514589512</v>
      </c>
      <c r="K27" s="9" t="n">
        <f aca="false">((K25+K26)*Assumptions!$C$18)</f>
        <v>516.406776147993</v>
      </c>
      <c r="L27" s="9" t="n">
        <f aca="false">((L25+L26)*Assumptions!$C$18)</f>
        <v>334.516833882533</v>
      </c>
      <c r="M27" s="9" t="n">
        <f aca="false">((M25+M26)*Assumptions!$C$18)</f>
        <v>290.117326839942</v>
      </c>
      <c r="N27" s="9" t="n">
        <f aca="false">((N25+N26)*Assumptions!$C$18)</f>
        <v>239.185618350264</v>
      </c>
      <c r="O27" s="9" t="n">
        <f aca="false">((O25+O26)*Assumptions!$C$18)</f>
        <v>2447.87974862604</v>
      </c>
      <c r="P27" s="9" t="n">
        <f aca="false">((P25+P26)*Assumptions!$C$18)</f>
        <v>2226.13417879091</v>
      </c>
      <c r="Q27" s="9" t="n">
        <f aca="false">((Q25+Q26)*Assumptions!$C$18)</f>
        <v>1983.69235577118</v>
      </c>
      <c r="R27" s="9" t="n">
        <f aca="false">((R25+R26)*Assumptions!$C$18)</f>
        <v>1879.14671111291</v>
      </c>
      <c r="S27" s="9" t="n">
        <f aca="false">((S25+S26)*Assumptions!$C$18)</f>
        <v>1597.73443466807</v>
      </c>
      <c r="T27" s="9" t="n">
        <f aca="false">((T25+T26)*Assumptions!$C$18)</f>
        <v>1464.70317671233</v>
      </c>
      <c r="U27" s="9" t="n">
        <f aca="false">((U25+U26)*Assumptions!$C$18)</f>
        <v>1859.00782529315</v>
      </c>
      <c r="V27" s="9" t="n">
        <f aca="false">((V25+V26)*Assumptions!$C$18)</f>
        <v>3592.84145898257</v>
      </c>
      <c r="W27" s="9" t="n">
        <f aca="false">((W25+W26)*Assumptions!$C$18)</f>
        <v>4101.62450700961</v>
      </c>
      <c r="X27" s="9" t="n">
        <f aca="false">((X25+X26)*Assumptions!$C$18)</f>
        <v>2825.47690889944</v>
      </c>
      <c r="Y27" s="9" t="n">
        <f aca="false">((Y25+Y26)*Assumptions!$C$18)</f>
        <v>2493.6785333908</v>
      </c>
      <c r="Z27" s="9" t="n">
        <f aca="false">((Z25+Z26)*Assumptions!$C$18)</f>
        <v>2131.77552478722</v>
      </c>
      <c r="AA27" s="9" t="n">
        <f aca="false">((AA25+AA26)*Assumptions!$C$18)</f>
        <v>3915.84412396996</v>
      </c>
      <c r="AB27" s="9" t="n">
        <f aca="false">((AB25+AB26)*Assumptions!$C$18)</f>
        <v>3528.93403828933</v>
      </c>
      <c r="AC27" s="9" t="n">
        <f aca="false">((AC25+AC26)*Assumptions!$C$18)</f>
        <v>3120.85604574719</v>
      </c>
      <c r="AD27" s="9" t="n">
        <f aca="false">((AD25+AD26)*Assumptions!$C$18)</f>
        <v>2932.33550834744</v>
      </c>
      <c r="AE27" s="9" t="n">
        <f aca="false">((AE25+AE26)*Assumptions!$C$18)</f>
        <v>2485.48292204209</v>
      </c>
      <c r="AF27" s="9" t="n">
        <f aca="false">((AF25+AF26)*Assumptions!$C$18)</f>
        <v>2268.84999591095</v>
      </c>
      <c r="AG27" s="9" t="n">
        <f aca="false">((AG25+AG26)*Assumptions!$C$18)</f>
        <v>2820.79974413222</v>
      </c>
      <c r="AH27" s="9" t="n">
        <f aca="false">((AH25+AH26)*Assumptions!$C$18)</f>
        <v>5265.87368625263</v>
      </c>
      <c r="AI27" s="9" t="n">
        <f aca="false">((AI25+AI26)*Assumptions!$C$18)</f>
        <v>5919.08559446006</v>
      </c>
      <c r="AJ27" s="9" t="n">
        <f aca="false">((AJ25+AJ26)*Assumptions!$C$18)</f>
        <v>4081.26055986318</v>
      </c>
      <c r="AK27" s="9" t="n">
        <f aca="false">((AK25+AK26)*Assumptions!$C$18)</f>
        <v>3584.0571513398</v>
      </c>
      <c r="AL27" s="9" t="n">
        <f aca="false">((AL25+AL26)*Assumptions!$C$18)</f>
        <v>3060.06778454034</v>
      </c>
      <c r="AN27" s="11" t="n">
        <f aca="false">SUM(C27:N27)</f>
        <v>3046.2027956185</v>
      </c>
      <c r="AO27" s="11" t="n">
        <f aca="false">SUM(O27:Z27)</f>
        <v>28603.6953640442</v>
      </c>
      <c r="AP27" s="11" t="n">
        <f aca="false">SUM(AA27:AL27)</f>
        <v>42983.4471548952</v>
      </c>
    </row>
    <row r="28" customFormat="false" ht="15" hidden="false" customHeight="false" outlineLevel="0" collapsed="false">
      <c r="A28" s="0" t="s">
        <v>833</v>
      </c>
      <c r="B28" s="0" t="s">
        <v>500</v>
      </c>
      <c r="C28" s="9" t="n">
        <f aca="false">IF((C$18&gt;=Assumptions!$C$5),((Assumptions!$C$20*$C$5)*0),0)</f>
        <v>0</v>
      </c>
      <c r="D28" s="9" t="n">
        <f aca="false">IF((D$18&gt;=Assumptions!$C$5),((Assumptions!$C$20*$C$5)*C29),0)</f>
        <v>0</v>
      </c>
      <c r="E28" s="9" t="n">
        <f aca="false">IF((E$18&gt;=Assumptions!$C$5),((Assumptions!$C$20*$C$5)*D29),0)</f>
        <v>0</v>
      </c>
      <c r="F28" s="9" t="n">
        <f aca="false">IF((F$18&gt;=Assumptions!$C$5),((Assumptions!$C$20*$C$5)*E29),0)</f>
        <v>0</v>
      </c>
      <c r="G28" s="9" t="n">
        <f aca="false">IF((G$18&gt;=Assumptions!$C$5),((Assumptions!$C$20*$C$5)*F29),0)</f>
        <v>0</v>
      </c>
      <c r="H28" s="9" t="n">
        <f aca="false">IF((H$18&gt;=Assumptions!$C$5),((Assumptions!$C$20*$C$5)*G29),0)</f>
        <v>0</v>
      </c>
      <c r="I28" s="9" t="n">
        <f aca="false">IF((I$18&gt;=Assumptions!$C$5),((Assumptions!$C$20*$C$5)*H29),0)</f>
        <v>0</v>
      </c>
      <c r="J28" s="9" t="n">
        <f aca="false">IF((J$18&gt;=Assumptions!$C$5),((Assumptions!$C$20*$C$5)*I29),0)</f>
        <v>0</v>
      </c>
      <c r="K28" s="9" t="n">
        <f aca="false">IF((K$18&gt;=Assumptions!$C$5),((Assumptions!$C$20*$C$5)*J29),0)</f>
        <v>0</v>
      </c>
      <c r="L28" s="9" t="n">
        <f aca="false">IF((L$18&gt;=Assumptions!$C$5),((Assumptions!$C$20*$C$5)*K29),0)</f>
        <v>0</v>
      </c>
      <c r="M28" s="9" t="n">
        <f aca="false">IF((M$18&gt;=Assumptions!$C$5),((Assumptions!$C$20*$C$5)*L29),0)</f>
        <v>0</v>
      </c>
      <c r="N28" s="9" t="n">
        <f aca="false">IF((N$18&gt;=Assumptions!$C$5),((Assumptions!$C$20*$C$5)*M29),0)</f>
        <v>0</v>
      </c>
      <c r="O28" s="9" t="n">
        <f aca="false">IF((O$18&gt;=Assumptions!$C$5),((Assumptions!$C$20*$C$5)*N29),0)</f>
        <v>4.51553935346985</v>
      </c>
      <c r="P28" s="9" t="n">
        <f aca="false">IF((P$18&gt;=Assumptions!$C$5),((Assumptions!$C$20*$C$5)*O29),0)</f>
        <v>10.0820851542349</v>
      </c>
      <c r="Q28" s="9" t="n">
        <f aca="false">IF((Q$18&gt;=Assumptions!$C$5),((Assumptions!$C$20*$C$5)*P29),0)</f>
        <v>14.4123651698184</v>
      </c>
      <c r="R28" s="9" t="n">
        <f aca="false">IF((R$18&gt;=Assumptions!$C$5),((Assumptions!$C$20*$C$5)*Q29),0)</f>
        <v>17.6060813259436</v>
      </c>
      <c r="S28" s="9" t="n">
        <f aca="false">IF((S$18&gt;=Assumptions!$C$5),((Assumptions!$C$20*$C$5)*R29),0)</f>
        <v>20.1472031412978</v>
      </c>
      <c r="T28" s="9" t="n">
        <f aca="false">IF((T$18&gt;=Assumptions!$C$5),((Assumptions!$C$20*$C$5)*S29),0)</f>
        <v>21.673506843159</v>
      </c>
      <c r="U28" s="9" t="n">
        <f aca="false">IF((U$18&gt;=Assumptions!$C$5),((Assumptions!$C$20*$C$5)*T29),0)</f>
        <v>22.6802601966528</v>
      </c>
      <c r="V28" s="9" t="n">
        <f aca="false">IF((V$18&gt;=Assumptions!$C$5),((Assumptions!$C$20*$C$5)*U29),0)</f>
        <v>24.5494478857957</v>
      </c>
      <c r="W28" s="9" t="n">
        <f aca="false">IF((W$18&gt;=Assumptions!$C$5),((Assumptions!$C$20*$C$5)*V29),0)</f>
        <v>30.5242441672422</v>
      </c>
      <c r="X28" s="9" t="n">
        <f aca="false">IF((X$18&gt;=Assumptions!$C$5),((Assumptions!$C$20*$C$5)*W29),0)</f>
        <v>37.039085524279</v>
      </c>
      <c r="Y28" s="9" t="n">
        <f aca="false">IF((Y$18&gt;=Assumptions!$C$5),((Assumptions!$C$20*$C$5)*X29),0)</f>
        <v>39.5654898198034</v>
      </c>
      <c r="Z28" s="9" t="n">
        <f aca="false">IF((Z$18&gt;=Assumptions!$C$5),((Assumptions!$C$20*$C$5)*Y29),0)</f>
        <v>40.9529136503545</v>
      </c>
      <c r="AA28" s="9" t="n">
        <f aca="false">IF((AA$18&gt;=Assumptions!$C$5),((Assumptions!$C$20*$C$5)*Z29),0)</f>
        <v>41.2656205401541</v>
      </c>
      <c r="AB28" s="9" t="n">
        <f aca="false">IF((AB$18&gt;=Assumptions!$C$5),((Assumptions!$C$20*$C$5)*AA29),0)</f>
        <v>46.0001923339102</v>
      </c>
      <c r="AC28" s="9" t="n">
        <f aca="false">IF((AC$18&gt;=Assumptions!$C$5),((Assumptions!$C$20*$C$5)*AB29),0)</f>
        <v>49.1875038687295</v>
      </c>
      <c r="AD28" s="9" t="n">
        <f aca="false">IF((AD$18&gt;=Assumptions!$C$5),((Assumptions!$C$20*$C$5)*AC29),0)</f>
        <v>50.9641747591781</v>
      </c>
      <c r="AE28" s="9" t="n">
        <f aca="false">IF((AE$18&gt;=Assumptions!$C$5),((Assumptions!$C$20*$C$5)*AD29),0)</f>
        <v>52.0519021220474</v>
      </c>
      <c r="AF28" s="9" t="n">
        <f aca="false">IF((AF$18&gt;=Assumptions!$C$5),((Assumptions!$C$20*$C$5)*AE29),0)</f>
        <v>51.8892514172018</v>
      </c>
      <c r="AG28" s="9" t="n">
        <f aca="false">IF((AG$18&gt;=Assumptions!$C$5),((Assumptions!$C$20*$C$5)*AF29),0)</f>
        <v>51.204943108372</v>
      </c>
      <c r="AH28" s="9" t="n">
        <f aca="false">IF((AH$18&gt;=Assumptions!$C$5),((Assumptions!$C$20*$C$5)*AG29),0)</f>
        <v>51.984336937927</v>
      </c>
      <c r="AI28" s="9" t="n">
        <f aca="false">IF((AI$18&gt;=Assumptions!$C$5),((Assumptions!$C$20*$C$5)*AH29),0)</f>
        <v>58.7809398786625</v>
      </c>
      <c r="AJ28" s="9" t="n">
        <f aca="false">IF((AJ$18&gt;=Assumptions!$C$5),((Assumptions!$C$20*$C$5)*AI29),0)</f>
        <v>66.3779887296765</v>
      </c>
      <c r="AK28" s="9" t="n">
        <f aca="false">IF((AK$18&gt;=Assumptions!$C$5),((Assumptions!$C$20*$C$5)*AJ29),0)</f>
        <v>68.4498365099491</v>
      </c>
      <c r="AL28" s="9" t="n">
        <f aca="false">IF((AL$18&gt;=Assumptions!$C$5),((Assumptions!$C$20*$C$5)*AK29),0)</f>
        <v>69.0248744158298</v>
      </c>
      <c r="AN28" s="11" t="n">
        <f aca="false">SUM(C28:N28)</f>
        <v>0</v>
      </c>
      <c r="AO28" s="11" t="n">
        <f aca="false">SUM(O28:Z28)</f>
        <v>283.748222232051</v>
      </c>
      <c r="AP28" s="11" t="n">
        <f aca="false">SUM(AA28:AL28)</f>
        <v>657.181564621638</v>
      </c>
    </row>
    <row r="29" customFormat="false" ht="15" hidden="false" customHeight="false" outlineLevel="0" collapsed="false">
      <c r="A29" s="0" t="s">
        <v>834</v>
      </c>
      <c r="B29" s="0" t="s">
        <v>500</v>
      </c>
      <c r="C29" s="9" t="n">
        <f aca="false">MAX(0,(((0*(1-Assumptions!$C$19))+C27)-C28))</f>
        <v>234</v>
      </c>
      <c r="D29" s="9" t="n">
        <f aca="false">MAX(0,(((C29*(1-Assumptions!$C$19))+D27)-D28))</f>
        <v>415.8</v>
      </c>
      <c r="E29" s="9" t="n">
        <f aca="false">MAX(0,(((D29*(1-Assumptions!$C$19))+E27)-E28))</f>
        <v>547.9272</v>
      </c>
      <c r="F29" s="9" t="n">
        <f aca="false">MAX(0,(((E29*(1-Assumptions!$C$19))+F27)-F28))</f>
        <v>653.68224</v>
      </c>
      <c r="G29" s="9" t="n">
        <f aca="false">MAX(0,(((F29*(1-Assumptions!$C$19))+G27)-G28))</f>
        <v>711.58788288</v>
      </c>
      <c r="H29" s="9" t="n">
        <f aca="false">MAX(0,(((G29*(1-Assumptions!$C$19))+H27)-H28))</f>
        <v>746.6376389184</v>
      </c>
      <c r="I29" s="9" t="n">
        <f aca="false">MAX(0,(((H29*(1-Assumptions!$C$19))+I27)-I28))</f>
        <v>835.774530392448</v>
      </c>
      <c r="J29" s="9" t="n">
        <f aca="false">MAX(0,(((I29*(1-Assumptions!$C$19))+J27)-J28))</f>
        <v>1168.52710133487</v>
      </c>
      <c r="K29" s="9" t="n">
        <f aca="false">MAX(0,(((J29*(1-Assumptions!$C$19))+K27)-K28))</f>
        <v>1544.71062532268</v>
      </c>
      <c r="L29" s="9" t="n">
        <f aca="false">MAX(0,(((K29*(1-Assumptions!$C$19))+L27)-L28))</f>
        <v>1693.86218416649</v>
      </c>
      <c r="M29" s="9" t="n">
        <f aca="false">MAX(0,(((L29*(1-Assumptions!$C$19))+M27)-M28))</f>
        <v>1780.71604890645</v>
      </c>
      <c r="N29" s="9" t="n">
        <f aca="false">MAX(0,(((M29*(1-Assumptions!$C$19))+N27)-N28))</f>
        <v>1806.21574138794</v>
      </c>
      <c r="O29" s="9" t="n">
        <f aca="false">MAX(0,(((N29*(1-Assumptions!$C$19))+O27)-O28))</f>
        <v>4032.83406169396</v>
      </c>
      <c r="P29" s="9" t="n">
        <f aca="false">MAX(0,(((O29*(1-Assumptions!$C$19))+P27)-P28))</f>
        <v>5764.94606792736</v>
      </c>
      <c r="Q29" s="9" t="n">
        <f aca="false">MAX(0,(((P29*(1-Assumptions!$C$19))+Q27)-Q28))</f>
        <v>7042.43253037744</v>
      </c>
      <c r="R29" s="9" t="n">
        <f aca="false">MAX(0,(((Q29*(1-Assumptions!$C$19))+R27)-R28))</f>
        <v>8058.88125651911</v>
      </c>
      <c r="S29" s="9" t="n">
        <f aca="false">MAX(0,(((R29*(1-Assumptions!$C$19))+S27)-S28))</f>
        <v>8669.40273726359</v>
      </c>
      <c r="T29" s="9" t="n">
        <f aca="false">MAX(0,(((S29*(1-Assumptions!$C$19))+T27)-T28))</f>
        <v>9072.10407866113</v>
      </c>
      <c r="U29" s="9" t="n">
        <f aca="false">MAX(0,(((T29*(1-Assumptions!$C$19))+U27)-U28))</f>
        <v>9819.77915431829</v>
      </c>
      <c r="V29" s="9" t="n">
        <f aca="false">MAX(0,(((U29*(1-Assumptions!$C$19))+V27)-V28))</f>
        <v>12209.6976668969</v>
      </c>
      <c r="W29" s="9" t="n">
        <f aca="false">MAX(0,(((V29*(1-Assumptions!$C$19))+W27)-W28))</f>
        <v>14815.6342097116</v>
      </c>
      <c r="X29" s="9" t="n">
        <f aca="false">MAX(0,(((W29*(1-Assumptions!$C$19))+X27)-X28))</f>
        <v>15826.1959279214</v>
      </c>
      <c r="Y29" s="9" t="n">
        <f aca="false">MAX(0,(((X29*(1-Assumptions!$C$19))+Y27)-Y28))</f>
        <v>16381.1654601418</v>
      </c>
      <c r="Z29" s="9" t="n">
        <f aca="false">MAX(0,(((Y29*(1-Assumptions!$C$19))+Z27)-Z28))</f>
        <v>16506.2482160617</v>
      </c>
      <c r="AA29" s="9" t="n">
        <f aca="false">MAX(0,(((Z29*(1-Assumptions!$C$19))+AA27)-AA28))</f>
        <v>18400.0769335641</v>
      </c>
      <c r="AB29" s="9" t="n">
        <f aca="false">MAX(0,(((AA29*(1-Assumptions!$C$19))+AB27)-AB28))</f>
        <v>19675.0015474918</v>
      </c>
      <c r="AC29" s="9" t="n">
        <f aca="false">MAX(0,(((AB29*(1-Assumptions!$C$19))+AC27)-AC28))</f>
        <v>20385.6699036712</v>
      </c>
      <c r="AD29" s="9" t="n">
        <f aca="false">MAX(0,(((AC29*(1-Assumptions!$C$19))+AD27)-AD28))</f>
        <v>20820.760848819</v>
      </c>
      <c r="AE29" s="9" t="n">
        <f aca="false">MAX(0,(((AD29*(1-Assumptions!$C$19))+AE27)-AE28))</f>
        <v>20755.7005668807</v>
      </c>
      <c r="AF29" s="9" t="n">
        <f aca="false">MAX(0,(((AE29*(1-Assumptions!$C$19))+AF27)-AF28))</f>
        <v>20481.9772433488</v>
      </c>
      <c r="AG29" s="9" t="n">
        <f aca="false">MAX(0,(((AF29*(1-Assumptions!$C$19))+AG27)-AG28))</f>
        <v>20793.7347751708</v>
      </c>
      <c r="AH29" s="9" t="n">
        <f aca="false">MAX(0,(((AG29*(1-Assumptions!$C$19))+AH27)-AH28))</f>
        <v>23512.375951465</v>
      </c>
      <c r="AI29" s="9" t="n">
        <f aca="false">MAX(0,(((AH29*(1-Assumptions!$C$19))+AI27)-AI28))</f>
        <v>26551.1954918706</v>
      </c>
      <c r="AJ29" s="9" t="n">
        <f aca="false">MAX(0,(((AI29*(1-Assumptions!$C$19))+AJ27)-AJ28))</f>
        <v>27379.9346039796</v>
      </c>
      <c r="AK29" s="9" t="n">
        <f aca="false">MAX(0,(((AJ29*(1-Assumptions!$C$19))+AK27)-AK28))</f>
        <v>27609.9497663319</v>
      </c>
      <c r="AL29" s="9" t="n">
        <f aca="false">MAX(0,(((AK29*(1-Assumptions!$C$19))+AL27)-AL28))</f>
        <v>27287.7987044966</v>
      </c>
      <c r="AN29" s="11" t="n">
        <f aca="false">N29</f>
        <v>1806.21574138794</v>
      </c>
      <c r="AO29" s="11" t="n">
        <f aca="false">Z29</f>
        <v>16506.2482160617</v>
      </c>
      <c r="AP29" s="11" t="n">
        <f aca="false">AL29</f>
        <v>27287.7987044966</v>
      </c>
    </row>
    <row r="30" customFormat="false" ht="15" hidden="false" customHeight="false" outlineLevel="0" collapsed="false">
      <c r="A30" s="0" t="s">
        <v>835</v>
      </c>
      <c r="B30" s="0" t="s">
        <v>193</v>
      </c>
      <c r="C30" s="12" t="n">
        <f aca="false">IF(AND(($C$14=1),(C$18&gt;=(Assumptions!$C$106+1)),(C$18&lt;=(Assumptions!$C$106+3))),Assumptions!$C$115,0)</f>
        <v>0</v>
      </c>
      <c r="D30" s="12" t="n">
        <f aca="false">IF(AND(($C$14=1),(D$18&gt;=(Assumptions!$C$106+1)),(D$18&lt;=(Assumptions!$C$106+3))),Assumptions!$C$115,0)</f>
        <v>0</v>
      </c>
      <c r="E30" s="12" t="n">
        <f aca="false">IF(AND(($C$14=1),(E$18&gt;=(Assumptions!$C$106+1)),(E$18&lt;=(Assumptions!$C$106+3))),Assumptions!$C$115,0)</f>
        <v>0</v>
      </c>
      <c r="F30" s="12" t="n">
        <f aca="false">IF(AND(($C$14=1),(F$18&gt;=(Assumptions!$C$106+1)),(F$18&lt;=(Assumptions!$C$106+3))),Assumptions!$C$115,0)</f>
        <v>0</v>
      </c>
      <c r="G30" s="12" t="n">
        <f aca="false">IF(AND(($C$14=1),(G$18&gt;=(Assumptions!$C$106+1)),(G$18&lt;=(Assumptions!$C$106+3))),Assumptions!$C$115,0)</f>
        <v>0</v>
      </c>
      <c r="H30" s="12" t="n">
        <f aca="false">IF(AND(($C$14=1),(H$18&gt;=(Assumptions!$C$106+1)),(H$18&lt;=(Assumptions!$C$106+3))),Assumptions!$C$115,0)</f>
        <v>0</v>
      </c>
      <c r="I30" s="12" t="n">
        <f aca="false">IF(AND(($C$14=1),(I$18&gt;=(Assumptions!$C$106+1)),(I$18&lt;=(Assumptions!$C$106+3))),Assumptions!$C$115,0)</f>
        <v>0</v>
      </c>
      <c r="J30" s="12" t="n">
        <f aca="false">IF(AND(($C$14=1),(J$18&gt;=(Assumptions!$C$106+1)),(J$18&lt;=(Assumptions!$C$106+3))),Assumptions!$C$115,0)</f>
        <v>0</v>
      </c>
      <c r="K30" s="12" t="n">
        <f aca="false">IF(AND(($C$14=1),(K$18&gt;=(Assumptions!$C$106+1)),(K$18&lt;=(Assumptions!$C$106+3))),Assumptions!$C$115,0)</f>
        <v>0</v>
      </c>
      <c r="L30" s="12" t="n">
        <f aca="false">IF(AND(($C$14=1),(L$18&gt;=(Assumptions!$C$106+1)),(L$18&lt;=(Assumptions!$C$106+3))),Assumptions!$C$115,0)</f>
        <v>0</v>
      </c>
      <c r="M30" s="12" t="n">
        <f aca="false">IF(AND(($C$14=1),(M$18&gt;=(Assumptions!$C$106+1)),(M$18&lt;=(Assumptions!$C$106+3))),Assumptions!$C$115,0)</f>
        <v>0</v>
      </c>
      <c r="N30" s="12" t="n">
        <f aca="false">IF(AND(($C$14=1),(N$18&gt;=(Assumptions!$C$106+1)),(N$18&lt;=(Assumptions!$C$106+3))),Assumptions!$C$115,0)</f>
        <v>0</v>
      </c>
      <c r="O30" s="12" t="n">
        <f aca="false">IF(AND(($C$14=1),(O$18&gt;=(Assumptions!$C$106+1)),(O$18&lt;=(Assumptions!$C$106+3))),Assumptions!$C$115,0)</f>
        <v>0</v>
      </c>
      <c r="P30" s="12" t="n">
        <f aca="false">IF(AND(($C$14=1),(P$18&gt;=(Assumptions!$C$106+1)),(P$18&lt;=(Assumptions!$C$106+3))),Assumptions!$C$115,0)</f>
        <v>0</v>
      </c>
      <c r="Q30" s="12" t="n">
        <f aca="false">IF(AND(($C$14=1),(Q$18&gt;=(Assumptions!$C$106+1)),(Q$18&lt;=(Assumptions!$C$106+3))),Assumptions!$C$115,0)</f>
        <v>0</v>
      </c>
      <c r="R30" s="12" t="n">
        <f aca="false">IF(AND(($C$14=1),(R$18&gt;=(Assumptions!$C$106+1)),(R$18&lt;=(Assumptions!$C$106+3))),Assumptions!$C$115,0)</f>
        <v>0</v>
      </c>
      <c r="S30" s="12" t="n">
        <f aca="false">IF(AND(($C$14=1),(S$18&gt;=(Assumptions!$C$106+1)),(S$18&lt;=(Assumptions!$C$106+3))),Assumptions!$C$115,0)</f>
        <v>0</v>
      </c>
      <c r="T30" s="12" t="n">
        <f aca="false">IF(AND(($C$14=1),(T$18&gt;=(Assumptions!$C$106+1)),(T$18&lt;=(Assumptions!$C$106+3))),Assumptions!$C$115,0)</f>
        <v>0</v>
      </c>
      <c r="U30" s="12" t="n">
        <f aca="false">IF(AND(($C$14=1),(U$18&gt;=(Assumptions!$C$106+1)),(U$18&lt;=(Assumptions!$C$106+3))),Assumptions!$C$115,0)</f>
        <v>0</v>
      </c>
      <c r="V30" s="12" t="n">
        <f aca="false">IF(AND(($C$14=1),(V$18&gt;=(Assumptions!$C$106+1)),(V$18&lt;=(Assumptions!$C$106+3))),Assumptions!$C$115,0)</f>
        <v>0</v>
      </c>
      <c r="W30" s="12" t="n">
        <f aca="false">IF(AND(($C$14=1),(W$18&gt;=(Assumptions!$C$106+1)),(W$18&lt;=(Assumptions!$C$106+3))),Assumptions!$C$115,0)</f>
        <v>0</v>
      </c>
      <c r="X30" s="12" t="n">
        <f aca="false">IF(AND(($C$14=1),(X$18&gt;=(Assumptions!$C$106+1)),(X$18&lt;=(Assumptions!$C$106+3))),Assumptions!$C$115,0)</f>
        <v>0</v>
      </c>
      <c r="Y30" s="12" t="n">
        <f aca="false">IF(AND(($C$14=1),(Y$18&gt;=(Assumptions!$C$106+1)),(Y$18&lt;=(Assumptions!$C$106+3))),Assumptions!$C$115,0)</f>
        <v>0</v>
      </c>
      <c r="Z30" s="12" t="n">
        <f aca="false">IF(AND(($C$14=1),(Z$18&gt;=(Assumptions!$C$106+1)),(Z$18&lt;=(Assumptions!$C$106+3))),Assumptions!$C$115,0)</f>
        <v>0</v>
      </c>
      <c r="AA30" s="12" t="n">
        <f aca="false">IF(AND(($C$14=1),(AA$18&gt;=(Assumptions!$C$106+1)),(AA$18&lt;=(Assumptions!$C$106+3))),Assumptions!$C$115,0)</f>
        <v>0</v>
      </c>
      <c r="AB30" s="12" t="n">
        <f aca="false">IF(AND(($C$14=1),(AB$18&gt;=(Assumptions!$C$106+1)),(AB$18&lt;=(Assumptions!$C$106+3))),Assumptions!$C$115,0)</f>
        <v>0</v>
      </c>
      <c r="AC30" s="12" t="n">
        <f aca="false">IF(AND(($C$14=1),(AC$18&gt;=(Assumptions!$C$106+1)),(AC$18&lt;=(Assumptions!$C$106+3))),Assumptions!$C$115,0)</f>
        <v>0</v>
      </c>
      <c r="AD30" s="12" t="n">
        <f aca="false">IF(AND(($C$14=1),(AD$18&gt;=(Assumptions!$C$106+1)),(AD$18&lt;=(Assumptions!$C$106+3))),Assumptions!$C$115,0)</f>
        <v>0</v>
      </c>
      <c r="AE30" s="12" t="n">
        <f aca="false">IF(AND(($C$14=1),(AE$18&gt;=(Assumptions!$C$106+1)),(AE$18&lt;=(Assumptions!$C$106+3))),Assumptions!$C$115,0)</f>
        <v>0</v>
      </c>
      <c r="AF30" s="12" t="n">
        <f aca="false">IF(AND(($C$14=1),(AF$18&gt;=(Assumptions!$C$106+1)),(AF$18&lt;=(Assumptions!$C$106+3))),Assumptions!$C$115,0)</f>
        <v>0</v>
      </c>
      <c r="AG30" s="12" t="n">
        <f aca="false">IF(AND(($C$14=1),(AG$18&gt;=(Assumptions!$C$106+1)),(AG$18&lt;=(Assumptions!$C$106+3))),Assumptions!$C$115,0)</f>
        <v>0</v>
      </c>
      <c r="AH30" s="12" t="n">
        <f aca="false">IF(AND(($C$14=1),(AH$18&gt;=(Assumptions!$C$106+1)),(AH$18&lt;=(Assumptions!$C$106+3))),Assumptions!$C$115,0)</f>
        <v>0</v>
      </c>
      <c r="AI30" s="12" t="n">
        <f aca="false">IF(AND(($C$14=1),(AI$18&gt;=(Assumptions!$C$106+1)),(AI$18&lt;=(Assumptions!$C$106+3))),Assumptions!$C$115,0)</f>
        <v>0</v>
      </c>
      <c r="AJ30" s="12" t="n">
        <f aca="false">IF(AND(($C$14=1),(AJ$18&gt;=(Assumptions!$C$106+1)),(AJ$18&lt;=(Assumptions!$C$106+3))),Assumptions!$C$115,0)</f>
        <v>0</v>
      </c>
      <c r="AK30" s="12" t="n">
        <f aca="false">IF(AND(($C$14=1),(AK$18&gt;=(Assumptions!$C$106+1)),(AK$18&lt;=(Assumptions!$C$106+3))),Assumptions!$C$115,0)</f>
        <v>0</v>
      </c>
      <c r="AL30" s="12" t="n">
        <f aca="false">IF(AND(($C$14=1),(AL$18&gt;=(Assumptions!$C$106+1)),(AL$18&lt;=(Assumptions!$C$106+3))),Assumptions!$C$115,0)</f>
        <v>0</v>
      </c>
    </row>
    <row r="31" customFormat="false" ht="15" hidden="false" customHeight="false" outlineLevel="0" collapsed="false">
      <c r="A31" s="0" t="s">
        <v>836</v>
      </c>
      <c r="B31" s="0" t="s">
        <v>193</v>
      </c>
      <c r="C31" s="12" t="n">
        <f aca="false">MIN(1,((Assumptions!$C$22*$C$6)+C30))</f>
        <v>0.05</v>
      </c>
      <c r="D31" s="12" t="n">
        <f aca="false">MIN(1,((Assumptions!$C$22*$C$6)+D30))</f>
        <v>0.05</v>
      </c>
      <c r="E31" s="12" t="n">
        <f aca="false">MIN(1,((Assumptions!$C$22*$C$6)+E30))</f>
        <v>0.05</v>
      </c>
      <c r="F31" s="12" t="n">
        <f aca="false">MIN(1,((Assumptions!$C$22*$C$6)+F30))</f>
        <v>0.05</v>
      </c>
      <c r="G31" s="12" t="n">
        <f aca="false">MIN(1,((Assumptions!$C$22*$C$6)+G30))</f>
        <v>0.05</v>
      </c>
      <c r="H31" s="12" t="n">
        <f aca="false">MIN(1,((Assumptions!$C$22*$C$6)+H30))</f>
        <v>0.05</v>
      </c>
      <c r="I31" s="12" t="n">
        <f aca="false">MIN(1,((Assumptions!$C$22*$C$6)+I30))</f>
        <v>0.05</v>
      </c>
      <c r="J31" s="12" t="n">
        <f aca="false">MIN(1,((Assumptions!$C$22*$C$6)+J30))</f>
        <v>0.05</v>
      </c>
      <c r="K31" s="12" t="n">
        <f aca="false">MIN(1,((Assumptions!$C$22*$C$6)+K30))</f>
        <v>0.05</v>
      </c>
      <c r="L31" s="12" t="n">
        <f aca="false">MIN(1,((Assumptions!$C$22*$C$6)+L30))</f>
        <v>0.05</v>
      </c>
      <c r="M31" s="12" t="n">
        <f aca="false">MIN(1,((Assumptions!$C$22*$C$6)+M30))</f>
        <v>0.05</v>
      </c>
      <c r="N31" s="12" t="n">
        <f aca="false">MIN(1,((Assumptions!$C$22*$C$6)+N30))</f>
        <v>0.05</v>
      </c>
      <c r="O31" s="12" t="n">
        <f aca="false">MIN(1,((Assumptions!$C$22*$C$6)+O30))</f>
        <v>0.05</v>
      </c>
      <c r="P31" s="12" t="n">
        <f aca="false">MIN(1,((Assumptions!$C$22*$C$6)+P30))</f>
        <v>0.05</v>
      </c>
      <c r="Q31" s="12" t="n">
        <f aca="false">MIN(1,((Assumptions!$C$22*$C$6)+Q30))</f>
        <v>0.05</v>
      </c>
      <c r="R31" s="12" t="n">
        <f aca="false">MIN(1,((Assumptions!$C$22*$C$6)+R30))</f>
        <v>0.05</v>
      </c>
      <c r="S31" s="12" t="n">
        <f aca="false">MIN(1,((Assumptions!$C$22*$C$6)+S30))</f>
        <v>0.05</v>
      </c>
      <c r="T31" s="12" t="n">
        <f aca="false">MIN(1,((Assumptions!$C$22*$C$6)+T30))</f>
        <v>0.05</v>
      </c>
      <c r="U31" s="12" t="n">
        <f aca="false">MIN(1,((Assumptions!$C$22*$C$6)+U30))</f>
        <v>0.05</v>
      </c>
      <c r="V31" s="12" t="n">
        <f aca="false">MIN(1,((Assumptions!$C$22*$C$6)+V30))</f>
        <v>0.05</v>
      </c>
      <c r="W31" s="12" t="n">
        <f aca="false">MIN(1,((Assumptions!$C$22*$C$6)+W30))</f>
        <v>0.05</v>
      </c>
      <c r="X31" s="12" t="n">
        <f aca="false">MIN(1,((Assumptions!$C$22*$C$6)+X30))</f>
        <v>0.05</v>
      </c>
      <c r="Y31" s="12" t="n">
        <f aca="false">MIN(1,((Assumptions!$C$22*$C$6)+Y30))</f>
        <v>0.05</v>
      </c>
      <c r="Z31" s="12" t="n">
        <f aca="false">MIN(1,((Assumptions!$C$22*$C$6)+Z30))</f>
        <v>0.05</v>
      </c>
      <c r="AA31" s="12" t="n">
        <f aca="false">MIN(1,((Assumptions!$C$22*$C$6)+AA30))</f>
        <v>0.05</v>
      </c>
      <c r="AB31" s="12" t="n">
        <f aca="false">MIN(1,((Assumptions!$C$22*$C$6)+AB30))</f>
        <v>0.05</v>
      </c>
      <c r="AC31" s="12" t="n">
        <f aca="false">MIN(1,((Assumptions!$C$22*$C$6)+AC30))</f>
        <v>0.05</v>
      </c>
      <c r="AD31" s="12" t="n">
        <f aca="false">MIN(1,((Assumptions!$C$22*$C$6)+AD30))</f>
        <v>0.05</v>
      </c>
      <c r="AE31" s="12" t="n">
        <f aca="false">MIN(1,((Assumptions!$C$22*$C$6)+AE30))</f>
        <v>0.05</v>
      </c>
      <c r="AF31" s="12" t="n">
        <f aca="false">MIN(1,((Assumptions!$C$22*$C$6)+AF30))</f>
        <v>0.05</v>
      </c>
      <c r="AG31" s="12" t="n">
        <f aca="false">MIN(1,((Assumptions!$C$22*$C$6)+AG30))</f>
        <v>0.05</v>
      </c>
      <c r="AH31" s="12" t="n">
        <f aca="false">MIN(1,((Assumptions!$C$22*$C$6)+AH30))</f>
        <v>0.05</v>
      </c>
      <c r="AI31" s="12" t="n">
        <f aca="false">MIN(1,((Assumptions!$C$22*$C$6)+AI30))</f>
        <v>0.05</v>
      </c>
      <c r="AJ31" s="12" t="n">
        <f aca="false">MIN(1,((Assumptions!$C$22*$C$6)+AJ30))</f>
        <v>0.05</v>
      </c>
      <c r="AK31" s="12" t="n">
        <f aca="false">MIN(1,((Assumptions!$C$22*$C$6)+AK30))</f>
        <v>0.05</v>
      </c>
      <c r="AL31" s="12" t="n">
        <f aca="false">MIN(1,((Assumptions!$C$22*$C$6)+AL30))</f>
        <v>0.05</v>
      </c>
    </row>
    <row r="32" customFormat="false" ht="15" hidden="false" customHeight="false" outlineLevel="0" collapsed="false">
      <c r="A32" s="0" t="s">
        <v>837</v>
      </c>
      <c r="B32" s="0" t="s">
        <v>500</v>
      </c>
      <c r="C32" s="9" t="n">
        <f aca="false">(C28*(1-Assumptions!$C$21))</f>
        <v>0</v>
      </c>
      <c r="D32" s="9" t="n">
        <f aca="false">(D28*(1-Assumptions!$C$21))</f>
        <v>0</v>
      </c>
      <c r="E32" s="9" t="n">
        <f aca="false">(E28*(1-Assumptions!$C$21))</f>
        <v>0</v>
      </c>
      <c r="F32" s="9" t="n">
        <f aca="false">(F28*(1-Assumptions!$C$21))</f>
        <v>0</v>
      </c>
      <c r="G32" s="9" t="n">
        <f aca="false">(G28*(1-Assumptions!$C$21))</f>
        <v>0</v>
      </c>
      <c r="H32" s="9" t="n">
        <f aca="false">(H28*(1-Assumptions!$C$21))</f>
        <v>0</v>
      </c>
      <c r="I32" s="9" t="n">
        <f aca="false">(I28*(1-Assumptions!$C$21))</f>
        <v>0</v>
      </c>
      <c r="J32" s="9" t="n">
        <f aca="false">(J28*(1-Assumptions!$C$21))</f>
        <v>0</v>
      </c>
      <c r="K32" s="9" t="n">
        <f aca="false">(K28*(1-Assumptions!$C$21))</f>
        <v>0</v>
      </c>
      <c r="L32" s="9" t="n">
        <f aca="false">(L28*(1-Assumptions!$C$21))</f>
        <v>0</v>
      </c>
      <c r="M32" s="9" t="n">
        <f aca="false">(M28*(1-Assumptions!$C$21))</f>
        <v>0</v>
      </c>
      <c r="N32" s="9" t="n">
        <f aca="false">(N28*(1-Assumptions!$C$21))</f>
        <v>0</v>
      </c>
      <c r="O32" s="9" t="n">
        <f aca="false">(O28*(1-Assumptions!$C$21))</f>
        <v>2.48354664440842</v>
      </c>
      <c r="P32" s="9" t="n">
        <f aca="false">(P28*(1-Assumptions!$C$21))</f>
        <v>5.54514683482919</v>
      </c>
      <c r="Q32" s="9" t="n">
        <f aca="false">(Q28*(1-Assumptions!$C$21))</f>
        <v>7.92680084340012</v>
      </c>
      <c r="R32" s="9" t="n">
        <f aca="false">(R28*(1-Assumptions!$C$21))</f>
        <v>9.68334472926897</v>
      </c>
      <c r="S32" s="9" t="n">
        <f aca="false">(S28*(1-Assumptions!$C$21))</f>
        <v>11.0809617277138</v>
      </c>
      <c r="T32" s="9" t="n">
        <f aca="false">(T28*(1-Assumptions!$C$21))</f>
        <v>11.9204287637374</v>
      </c>
      <c r="U32" s="9" t="n">
        <f aca="false">(U28*(1-Assumptions!$C$21))</f>
        <v>12.4741431081591</v>
      </c>
      <c r="V32" s="9" t="n">
        <f aca="false">(V28*(1-Assumptions!$C$21))</f>
        <v>13.5021963371876</v>
      </c>
      <c r="W32" s="9" t="n">
        <f aca="false">(W28*(1-Assumptions!$C$21))</f>
        <v>16.7883342919832</v>
      </c>
      <c r="X32" s="9" t="n">
        <f aca="false">(X28*(1-Assumptions!$C$21))</f>
        <v>20.3714970383535</v>
      </c>
      <c r="Y32" s="9" t="n">
        <f aca="false">(Y28*(1-Assumptions!$C$21))</f>
        <v>21.7610194008919</v>
      </c>
      <c r="Z32" s="9" t="n">
        <f aca="false">(Z28*(1-Assumptions!$C$21))</f>
        <v>22.524102507695</v>
      </c>
      <c r="AA32" s="9" t="n">
        <f aca="false">(AA28*(1-Assumptions!$C$21))</f>
        <v>22.6960912970848</v>
      </c>
      <c r="AB32" s="9" t="n">
        <f aca="false">(AB28*(1-Assumptions!$C$21))</f>
        <v>25.3001057836506</v>
      </c>
      <c r="AC32" s="9" t="n">
        <f aca="false">(AC28*(1-Assumptions!$C$21))</f>
        <v>27.0531271278012</v>
      </c>
      <c r="AD32" s="9" t="n">
        <f aca="false">(AD28*(1-Assumptions!$C$21))</f>
        <v>28.030296117548</v>
      </c>
      <c r="AE32" s="9" t="n">
        <f aca="false">(AE28*(1-Assumptions!$C$21))</f>
        <v>28.6285461671261</v>
      </c>
      <c r="AF32" s="9" t="n">
        <f aca="false">(AF28*(1-Assumptions!$C$21))</f>
        <v>28.539088279461</v>
      </c>
      <c r="AG32" s="9" t="n">
        <f aca="false">(AG28*(1-Assumptions!$C$21))</f>
        <v>28.1627187096046</v>
      </c>
      <c r="AH32" s="9" t="n">
        <f aca="false">(AH28*(1-Assumptions!$C$21))</f>
        <v>28.5913853158598</v>
      </c>
      <c r="AI32" s="9" t="n">
        <f aca="false">(AI28*(1-Assumptions!$C$21))</f>
        <v>32.3295169332644</v>
      </c>
      <c r="AJ32" s="9" t="n">
        <f aca="false">(AJ28*(1-Assumptions!$C$21))</f>
        <v>36.5078938013221</v>
      </c>
      <c r="AK32" s="9" t="n">
        <f aca="false">(AK28*(1-Assumptions!$C$21))</f>
        <v>37.647410080472</v>
      </c>
      <c r="AL32" s="9" t="n">
        <f aca="false">(AL28*(1-Assumptions!$C$21))</f>
        <v>37.9636809287064</v>
      </c>
      <c r="AN32" s="11" t="n">
        <f aca="false">SUM(C32:N32)</f>
        <v>0</v>
      </c>
      <c r="AO32" s="11" t="n">
        <f aca="false">SUM(O32:Z32)</f>
        <v>156.061522227628</v>
      </c>
      <c r="AP32" s="11" t="n">
        <f aca="false">SUM(AA32:AL32)</f>
        <v>361.449860541901</v>
      </c>
    </row>
    <row r="33" customFormat="false" ht="15" hidden="false" customHeight="false" outlineLevel="0" collapsed="false">
      <c r="A33" s="0" t="s">
        <v>838</v>
      </c>
      <c r="B33" s="0" t="s">
        <v>500</v>
      </c>
      <c r="C33" s="9" t="n">
        <f aca="false">(C28*Assumptions!$C$21)</f>
        <v>0</v>
      </c>
      <c r="D33" s="9" t="n">
        <f aca="false">(D28*Assumptions!$C$21)</f>
        <v>0</v>
      </c>
      <c r="E33" s="9" t="n">
        <f aca="false">(E28*Assumptions!$C$21)</f>
        <v>0</v>
      </c>
      <c r="F33" s="9" t="n">
        <f aca="false">(F28*Assumptions!$C$21)</f>
        <v>0</v>
      </c>
      <c r="G33" s="9" t="n">
        <f aca="false">(G28*Assumptions!$C$21)</f>
        <v>0</v>
      </c>
      <c r="H33" s="9" t="n">
        <f aca="false">(H28*Assumptions!$C$21)</f>
        <v>0</v>
      </c>
      <c r="I33" s="9" t="n">
        <f aca="false">(I28*Assumptions!$C$21)</f>
        <v>0</v>
      </c>
      <c r="J33" s="9" t="n">
        <f aca="false">(J28*Assumptions!$C$21)</f>
        <v>0</v>
      </c>
      <c r="K33" s="9" t="n">
        <f aca="false">(K28*Assumptions!$C$21)</f>
        <v>0</v>
      </c>
      <c r="L33" s="9" t="n">
        <f aca="false">(L28*Assumptions!$C$21)</f>
        <v>0</v>
      </c>
      <c r="M33" s="9" t="n">
        <f aca="false">(M28*Assumptions!$C$21)</f>
        <v>0</v>
      </c>
      <c r="N33" s="9" t="n">
        <f aca="false">(N28*Assumptions!$C$21)</f>
        <v>0</v>
      </c>
      <c r="O33" s="9" t="n">
        <f aca="false">(O28*Assumptions!$C$21)</f>
        <v>2.03199270906143</v>
      </c>
      <c r="P33" s="9" t="n">
        <f aca="false">(P28*Assumptions!$C$21)</f>
        <v>4.5369383194057</v>
      </c>
      <c r="Q33" s="9" t="n">
        <f aca="false">(Q28*Assumptions!$C$21)</f>
        <v>6.48556432641828</v>
      </c>
      <c r="R33" s="9" t="n">
        <f aca="false">(R28*Assumptions!$C$21)</f>
        <v>7.92273659667462</v>
      </c>
      <c r="S33" s="9" t="n">
        <f aca="false">(S28*Assumptions!$C$21)</f>
        <v>9.066241413584</v>
      </c>
      <c r="T33" s="9" t="n">
        <f aca="false">(T28*Assumptions!$C$21)</f>
        <v>9.75307807942154</v>
      </c>
      <c r="U33" s="9" t="n">
        <f aca="false">(U28*Assumptions!$C$21)</f>
        <v>10.2061170884938</v>
      </c>
      <c r="V33" s="9" t="n">
        <f aca="false">(V28*Assumptions!$C$21)</f>
        <v>11.0472515486081</v>
      </c>
      <c r="W33" s="9" t="n">
        <f aca="false">(W28*Assumptions!$C$21)</f>
        <v>13.735909875259</v>
      </c>
      <c r="X33" s="9" t="n">
        <f aca="false">(X28*Assumptions!$C$21)</f>
        <v>16.6675884859256</v>
      </c>
      <c r="Y33" s="9" t="n">
        <f aca="false">(Y28*Assumptions!$C$21)</f>
        <v>17.8044704189116</v>
      </c>
      <c r="Z33" s="9" t="n">
        <f aca="false">(Z28*Assumptions!$C$21)</f>
        <v>18.4288111426595</v>
      </c>
      <c r="AA33" s="9" t="n">
        <f aca="false">(AA28*Assumptions!$C$21)</f>
        <v>18.5695292430694</v>
      </c>
      <c r="AB33" s="9" t="n">
        <f aca="false">(AB28*Assumptions!$C$21)</f>
        <v>20.7000865502596</v>
      </c>
      <c r="AC33" s="9" t="n">
        <f aca="false">(AC28*Assumptions!$C$21)</f>
        <v>22.1343767409283</v>
      </c>
      <c r="AD33" s="9" t="n">
        <f aca="false">(AD28*Assumptions!$C$21)</f>
        <v>22.9338786416301</v>
      </c>
      <c r="AE33" s="9" t="n">
        <f aca="false">(AE28*Assumptions!$C$21)</f>
        <v>23.4233559549213</v>
      </c>
      <c r="AF33" s="9" t="n">
        <f aca="false">(AF28*Assumptions!$C$21)</f>
        <v>23.3501631377408</v>
      </c>
      <c r="AG33" s="9" t="n">
        <f aca="false">(AG28*Assumptions!$C$21)</f>
        <v>23.0422243987674</v>
      </c>
      <c r="AH33" s="9" t="n">
        <f aca="false">(AH28*Assumptions!$C$21)</f>
        <v>23.3929516220671</v>
      </c>
      <c r="AI33" s="9" t="n">
        <f aca="false">(AI28*Assumptions!$C$21)</f>
        <v>26.4514229453981</v>
      </c>
      <c r="AJ33" s="9" t="n">
        <f aca="false">(AJ28*Assumptions!$C$21)</f>
        <v>29.8700949283544</v>
      </c>
      <c r="AK33" s="9" t="n">
        <f aca="false">(AK28*Assumptions!$C$21)</f>
        <v>30.8024264294771</v>
      </c>
      <c r="AL33" s="9" t="n">
        <f aca="false">(AL28*Assumptions!$C$21)</f>
        <v>31.0611934871234</v>
      </c>
      <c r="AN33" s="11" t="n">
        <f aca="false">SUM(C33:N33)</f>
        <v>0</v>
      </c>
      <c r="AO33" s="11" t="n">
        <f aca="false">SUM(O33:Z33)</f>
        <v>127.686700004423</v>
      </c>
      <c r="AP33" s="11" t="n">
        <f aca="false">SUM(AA33:AL33)</f>
        <v>295.731704079737</v>
      </c>
    </row>
    <row r="34" customFormat="false" ht="15" hidden="false" customHeight="false" outlineLevel="0" collapsed="false">
      <c r="A34" s="0" t="s">
        <v>839</v>
      </c>
      <c r="B34" s="0" t="s">
        <v>500</v>
      </c>
      <c r="C34" s="9" t="n">
        <f aca="false">((0*(1-C31))+C32)</f>
        <v>0</v>
      </c>
      <c r="D34" s="9" t="n">
        <f aca="false">((C34*(1-D31))+D32)</f>
        <v>0</v>
      </c>
      <c r="E34" s="9" t="n">
        <f aca="false">((D34*(1-E31))+E32)</f>
        <v>0</v>
      </c>
      <c r="F34" s="9" t="n">
        <f aca="false">((E34*(1-F31))+F32)</f>
        <v>0</v>
      </c>
      <c r="G34" s="9" t="n">
        <f aca="false">((F34*(1-G31))+G32)</f>
        <v>0</v>
      </c>
      <c r="H34" s="9" t="n">
        <f aca="false">((G34*(1-H31))+H32)</f>
        <v>0</v>
      </c>
      <c r="I34" s="9" t="n">
        <f aca="false">((H34*(1-I31))+I32)</f>
        <v>0</v>
      </c>
      <c r="J34" s="9" t="n">
        <f aca="false">((I34*(1-J31))+J32)</f>
        <v>0</v>
      </c>
      <c r="K34" s="9" t="n">
        <f aca="false">((J34*(1-K31))+K32)</f>
        <v>0</v>
      </c>
      <c r="L34" s="9" t="n">
        <f aca="false">((K34*(1-L31))+L32)</f>
        <v>0</v>
      </c>
      <c r="M34" s="9" t="n">
        <f aca="false">((L34*(1-M31))+M32)</f>
        <v>0</v>
      </c>
      <c r="N34" s="9" t="n">
        <f aca="false">((M34*(1-N31))+N32)</f>
        <v>0</v>
      </c>
      <c r="O34" s="9" t="n">
        <f aca="false">((N34*(1-O31))+O32)</f>
        <v>2.48354664440842</v>
      </c>
      <c r="P34" s="9" t="n">
        <f aca="false">((O34*(1-P31))+P32)</f>
        <v>7.90451614701719</v>
      </c>
      <c r="Q34" s="9" t="n">
        <f aca="false">((P34*(1-Q31))+Q32)</f>
        <v>15.4360911830664</v>
      </c>
      <c r="R34" s="9" t="n">
        <f aca="false">((Q34*(1-R31))+R32)</f>
        <v>24.3476313531821</v>
      </c>
      <c r="S34" s="9" t="n">
        <f aca="false">((R34*(1-S31))+S32)</f>
        <v>34.2112115132368</v>
      </c>
      <c r="T34" s="9" t="n">
        <f aca="false">((S34*(1-T31))+T32)</f>
        <v>44.4210797013124</v>
      </c>
      <c r="U34" s="9" t="n">
        <f aca="false">((T34*(1-U31))+U32)</f>
        <v>54.6741688244058</v>
      </c>
      <c r="V34" s="9" t="n">
        <f aca="false">((U34*(1-V31))+V32)</f>
        <v>65.4426567203731</v>
      </c>
      <c r="W34" s="9" t="n">
        <f aca="false">((V34*(1-W31))+W32)</f>
        <v>78.9588581763377</v>
      </c>
      <c r="X34" s="9" t="n">
        <f aca="false">((W34*(1-X31))+X32)</f>
        <v>95.3824123058743</v>
      </c>
      <c r="Y34" s="9" t="n">
        <f aca="false">((X34*(1-Y31))+Y32)</f>
        <v>112.374311091472</v>
      </c>
      <c r="Z34" s="9" t="n">
        <f aca="false">((Y34*(1-Z31))+Z32)</f>
        <v>129.279698044594</v>
      </c>
      <c r="AA34" s="9" t="n">
        <f aca="false">((Z34*(1-AA31))+AA32)</f>
        <v>145.511804439449</v>
      </c>
      <c r="AB34" s="9" t="n">
        <f aca="false">((AA34*(1-AB31))+AB32)</f>
        <v>163.536320001127</v>
      </c>
      <c r="AC34" s="9" t="n">
        <f aca="false">((AB34*(1-AC31))+AC32)</f>
        <v>182.412631128872</v>
      </c>
      <c r="AD34" s="9" t="n">
        <f aca="false">((AC34*(1-AD31))+AD32)</f>
        <v>201.322295689976</v>
      </c>
      <c r="AE34" s="9" t="n">
        <f aca="false">((AD34*(1-AE31))+AE32)</f>
        <v>219.884727072603</v>
      </c>
      <c r="AF34" s="9" t="n">
        <f aca="false">((AE34*(1-AF31))+AF32)</f>
        <v>237.429578998434</v>
      </c>
      <c r="AG34" s="9" t="n">
        <f aca="false">((AF34*(1-AG31))+AG32)</f>
        <v>253.720818758117</v>
      </c>
      <c r="AH34" s="9" t="n">
        <f aca="false">((AG34*(1-AH31))+AH32)</f>
        <v>269.626163136071</v>
      </c>
      <c r="AI34" s="9" t="n">
        <f aca="false">((AH34*(1-AI31))+AI32)</f>
        <v>288.474371912532</v>
      </c>
      <c r="AJ34" s="9" t="n">
        <f aca="false">((AI34*(1-AJ31))+AJ32)</f>
        <v>310.558547118227</v>
      </c>
      <c r="AK34" s="9" t="n">
        <f aca="false">((AJ34*(1-AK31))+AK32)</f>
        <v>332.678029842788</v>
      </c>
      <c r="AL34" s="9" t="n">
        <f aca="false">((AK34*(1-AL31))+AL32)</f>
        <v>354.007809279355</v>
      </c>
      <c r="AN34" s="11" t="n">
        <f aca="false">N34</f>
        <v>0</v>
      </c>
      <c r="AO34" s="11" t="n">
        <f aca="false">Z34</f>
        <v>129.279698044594</v>
      </c>
      <c r="AP34" s="11" t="n">
        <f aca="false">AL34</f>
        <v>354.007809279355</v>
      </c>
    </row>
    <row r="35" customFormat="false" ht="15" hidden="false" customHeight="false" outlineLevel="0" collapsed="false">
      <c r="A35" s="0" t="s">
        <v>840</v>
      </c>
      <c r="B35" s="0" t="s">
        <v>193</v>
      </c>
      <c r="C35" s="12" t="n">
        <f aca="false">MAX(0,(1-((1-Assumptions!$C$23)*$C$6)))</f>
        <v>0.55</v>
      </c>
      <c r="D35" s="12" t="n">
        <f aca="false">MAX(0,(1-((1-Assumptions!$C$23)*$C$6)))</f>
        <v>0.55</v>
      </c>
      <c r="E35" s="12" t="n">
        <f aca="false">MAX(0,(1-((1-Assumptions!$C$23)*$C$6)))</f>
        <v>0.55</v>
      </c>
      <c r="F35" s="12" t="n">
        <f aca="false">MAX(0,(1-((1-Assumptions!$C$23)*$C$6)))</f>
        <v>0.55</v>
      </c>
      <c r="G35" s="12" t="n">
        <f aca="false">MAX(0,(1-((1-Assumptions!$C$23)*$C$6)))</f>
        <v>0.55</v>
      </c>
      <c r="H35" s="12" t="n">
        <f aca="false">MAX(0,(1-((1-Assumptions!$C$23)*$C$6)))</f>
        <v>0.55</v>
      </c>
      <c r="I35" s="12" t="n">
        <f aca="false">MAX(0,(1-((1-Assumptions!$C$23)*$C$6)))</f>
        <v>0.55</v>
      </c>
      <c r="J35" s="12" t="n">
        <f aca="false">MAX(0,(1-((1-Assumptions!$C$23)*$C$6)))</f>
        <v>0.55</v>
      </c>
      <c r="K35" s="12" t="n">
        <f aca="false">MAX(0,(1-((1-Assumptions!$C$23)*$C$6)))</f>
        <v>0.55</v>
      </c>
      <c r="L35" s="12" t="n">
        <f aca="false">MAX(0,(1-((1-Assumptions!$C$23)*$C$6)))</f>
        <v>0.55</v>
      </c>
      <c r="M35" s="12" t="n">
        <f aca="false">MAX(0,(1-((1-Assumptions!$C$23)*$C$6)))</f>
        <v>0.55</v>
      </c>
      <c r="N35" s="12" t="n">
        <f aca="false">MAX(0,(1-((1-Assumptions!$C$23)*$C$6)))</f>
        <v>0.55</v>
      </c>
      <c r="O35" s="12" t="n">
        <f aca="false">MAX(0,(1-((1-Assumptions!$C$23)*$C$6)))</f>
        <v>0.55</v>
      </c>
      <c r="P35" s="12" t="n">
        <f aca="false">MAX(0,(1-((1-Assumptions!$C$23)*$C$6)))</f>
        <v>0.55</v>
      </c>
      <c r="Q35" s="12" t="n">
        <f aca="false">MAX(0,(1-((1-Assumptions!$C$23)*$C$6)))</f>
        <v>0.55</v>
      </c>
      <c r="R35" s="12" t="n">
        <f aca="false">MAX(0,(1-((1-Assumptions!$C$23)*$C$6)))</f>
        <v>0.55</v>
      </c>
      <c r="S35" s="12" t="n">
        <f aca="false">MAX(0,(1-((1-Assumptions!$C$23)*$C$6)))</f>
        <v>0.55</v>
      </c>
      <c r="T35" s="12" t="n">
        <f aca="false">MAX(0,(1-((1-Assumptions!$C$23)*$C$6)))</f>
        <v>0.55</v>
      </c>
      <c r="U35" s="12" t="n">
        <f aca="false">MAX(0,(1-((1-Assumptions!$C$23)*$C$6)))</f>
        <v>0.55</v>
      </c>
      <c r="V35" s="12" t="n">
        <f aca="false">MAX(0,(1-((1-Assumptions!$C$23)*$C$6)))</f>
        <v>0.55</v>
      </c>
      <c r="W35" s="12" t="n">
        <f aca="false">MAX(0,(1-((1-Assumptions!$C$23)*$C$6)))</f>
        <v>0.55</v>
      </c>
      <c r="X35" s="12" t="n">
        <f aca="false">MAX(0,(1-((1-Assumptions!$C$23)*$C$6)))</f>
        <v>0.55</v>
      </c>
      <c r="Y35" s="12" t="n">
        <f aca="false">MAX(0,(1-((1-Assumptions!$C$23)*$C$6)))</f>
        <v>0.55</v>
      </c>
      <c r="Z35" s="12" t="n">
        <f aca="false">MAX(0,(1-((1-Assumptions!$C$23)*$C$6)))</f>
        <v>0.55</v>
      </c>
      <c r="AA35" s="12" t="n">
        <f aca="false">MAX(0,(1-((1-Assumptions!$C$23)*$C$6)))</f>
        <v>0.55</v>
      </c>
      <c r="AB35" s="12" t="n">
        <f aca="false">MAX(0,(1-((1-Assumptions!$C$23)*$C$6)))</f>
        <v>0.55</v>
      </c>
      <c r="AC35" s="12" t="n">
        <f aca="false">MAX(0,(1-((1-Assumptions!$C$23)*$C$6)))</f>
        <v>0.55</v>
      </c>
      <c r="AD35" s="12" t="n">
        <f aca="false">MAX(0,(1-((1-Assumptions!$C$23)*$C$6)))</f>
        <v>0.55</v>
      </c>
      <c r="AE35" s="12" t="n">
        <f aca="false">MAX(0,(1-((1-Assumptions!$C$23)*$C$6)))</f>
        <v>0.55</v>
      </c>
      <c r="AF35" s="12" t="n">
        <f aca="false">MAX(0,(1-((1-Assumptions!$C$23)*$C$6)))</f>
        <v>0.55</v>
      </c>
      <c r="AG35" s="12" t="n">
        <f aca="false">MAX(0,(1-((1-Assumptions!$C$23)*$C$6)))</f>
        <v>0.55</v>
      </c>
      <c r="AH35" s="12" t="n">
        <f aca="false">MAX(0,(1-((1-Assumptions!$C$23)*$C$6)))</f>
        <v>0.55</v>
      </c>
      <c r="AI35" s="12" t="n">
        <f aca="false">MAX(0,(1-((1-Assumptions!$C$23)*$C$6)))</f>
        <v>0.55</v>
      </c>
      <c r="AJ35" s="12" t="n">
        <f aca="false">MAX(0,(1-((1-Assumptions!$C$23)*$C$6)))</f>
        <v>0.55</v>
      </c>
      <c r="AK35" s="12" t="n">
        <f aca="false">MAX(0,(1-((1-Assumptions!$C$23)*$C$6)))</f>
        <v>0.55</v>
      </c>
      <c r="AL35" s="12" t="n">
        <f aca="false">MAX(0,(1-((1-Assumptions!$C$23)*$C$6)))</f>
        <v>0.55</v>
      </c>
    </row>
    <row r="36" customFormat="false" ht="15" hidden="false" customHeight="false" outlineLevel="0" collapsed="false">
      <c r="A36" s="0" t="s">
        <v>841</v>
      </c>
      <c r="B36" s="0" t="s">
        <v>500</v>
      </c>
      <c r="C36" s="9" t="n">
        <f aca="false">(C35*0)</f>
        <v>0</v>
      </c>
      <c r="D36" s="9" t="n">
        <f aca="false">(D35*0)</f>
        <v>0</v>
      </c>
      <c r="E36" s="9" t="n">
        <f aca="false">(E35*0)</f>
        <v>0</v>
      </c>
      <c r="F36" s="9" t="n">
        <f aca="false">(F35*0)</f>
        <v>0</v>
      </c>
      <c r="G36" s="9" t="n">
        <f aca="false">(G35*0)</f>
        <v>0</v>
      </c>
      <c r="H36" s="9" t="n">
        <f aca="false">(H35*0)</f>
        <v>0</v>
      </c>
      <c r="I36" s="9" t="n">
        <f aca="false">(I35*0)</f>
        <v>0</v>
      </c>
      <c r="J36" s="9" t="n">
        <f aca="false">(J35*0)</f>
        <v>0</v>
      </c>
      <c r="K36" s="9" t="n">
        <f aca="false">(K35*0)</f>
        <v>0</v>
      </c>
      <c r="L36" s="9" t="n">
        <f aca="false">(L35*0)</f>
        <v>0</v>
      </c>
      <c r="M36" s="9" t="n">
        <f aca="false">(M35*0)</f>
        <v>0</v>
      </c>
      <c r="N36" s="9" t="n">
        <f aca="false">(N35*0)</f>
        <v>0</v>
      </c>
      <c r="O36" s="9" t="n">
        <f aca="false">(O35*C37)</f>
        <v>0</v>
      </c>
      <c r="P36" s="9" t="n">
        <f aca="false">(P35*D37)</f>
        <v>0</v>
      </c>
      <c r="Q36" s="9" t="n">
        <f aca="false">(Q35*E37)</f>
        <v>0</v>
      </c>
      <c r="R36" s="9" t="n">
        <f aca="false">(R35*F37)</f>
        <v>0</v>
      </c>
      <c r="S36" s="9" t="n">
        <f aca="false">(S35*G37)</f>
        <v>0</v>
      </c>
      <c r="T36" s="9" t="n">
        <f aca="false">(T35*H37)</f>
        <v>0</v>
      </c>
      <c r="U36" s="9" t="n">
        <f aca="false">(U35*I37)</f>
        <v>0</v>
      </c>
      <c r="V36" s="9" t="n">
        <f aca="false">(V35*J37)</f>
        <v>0</v>
      </c>
      <c r="W36" s="9" t="n">
        <f aca="false">(W35*K37)</f>
        <v>0</v>
      </c>
      <c r="X36" s="9" t="n">
        <f aca="false">(X35*L37)</f>
        <v>0</v>
      </c>
      <c r="Y36" s="9" t="n">
        <f aca="false">(Y35*M37)</f>
        <v>0</v>
      </c>
      <c r="Z36" s="9" t="n">
        <f aca="false">(Z35*N37)</f>
        <v>0</v>
      </c>
      <c r="AA36" s="9" t="n">
        <f aca="false">(AA35*O37)</f>
        <v>1.11759598998379</v>
      </c>
      <c r="AB36" s="9" t="n">
        <f aca="false">(AB35*P37)</f>
        <v>2.49531607567314</v>
      </c>
      <c r="AC36" s="9" t="n">
        <f aca="false">(AC35*Q37)</f>
        <v>3.56706037953005</v>
      </c>
      <c r="AD36" s="9" t="n">
        <f aca="false">(AD35*R37)</f>
        <v>4.35750512817104</v>
      </c>
      <c r="AE36" s="9" t="n">
        <f aca="false">(AE35*S37)</f>
        <v>4.9864327774712</v>
      </c>
      <c r="AF36" s="9" t="n">
        <f aca="false">(AF35*T37)</f>
        <v>5.36419294368185</v>
      </c>
      <c r="AG36" s="9" t="n">
        <f aca="false">(AG35*U37)</f>
        <v>5.61336439867157</v>
      </c>
      <c r="AH36" s="9" t="n">
        <f aca="false">(AH35*V37)</f>
        <v>6.07598835173444</v>
      </c>
      <c r="AI36" s="9" t="n">
        <f aca="false">(AI35*W37)</f>
        <v>7.55475043139244</v>
      </c>
      <c r="AJ36" s="9" t="n">
        <f aca="false">(AJ35*X37)</f>
        <v>9.16717366725906</v>
      </c>
      <c r="AK36" s="9" t="n">
        <f aca="false">(AK35*Y37)</f>
        <v>9.79245873040136</v>
      </c>
      <c r="AL36" s="9" t="n">
        <f aca="false">(AL35*Z37)</f>
        <v>10.1358461284627</v>
      </c>
      <c r="AN36" s="11" t="n">
        <f aca="false">SUM(C36:N36)</f>
        <v>0</v>
      </c>
      <c r="AO36" s="11" t="n">
        <f aca="false">SUM(O36:Z36)</f>
        <v>0</v>
      </c>
      <c r="AP36" s="11" t="n">
        <f aca="false">SUM(AA36:AL36)</f>
        <v>70.2276850024327</v>
      </c>
    </row>
    <row r="37" customFormat="false" ht="15" hidden="false" customHeight="false" outlineLevel="0" collapsed="false">
      <c r="A37" s="0" t="s">
        <v>842</v>
      </c>
      <c r="B37" s="0" t="s">
        <v>500</v>
      </c>
      <c r="C37" s="9" t="n">
        <f aca="false">(C33+C36)</f>
        <v>0</v>
      </c>
      <c r="D37" s="9" t="n">
        <f aca="false">(D33+D36)</f>
        <v>0</v>
      </c>
      <c r="E37" s="9" t="n">
        <f aca="false">(E33+E36)</f>
        <v>0</v>
      </c>
      <c r="F37" s="9" t="n">
        <f aca="false">(F33+F36)</f>
        <v>0</v>
      </c>
      <c r="G37" s="9" t="n">
        <f aca="false">(G33+G36)</f>
        <v>0</v>
      </c>
      <c r="H37" s="9" t="n">
        <f aca="false">(H33+H36)</f>
        <v>0</v>
      </c>
      <c r="I37" s="9" t="n">
        <f aca="false">(I33+I36)</f>
        <v>0</v>
      </c>
      <c r="J37" s="9" t="n">
        <f aca="false">(J33+J36)</f>
        <v>0</v>
      </c>
      <c r="K37" s="9" t="n">
        <f aca="false">(K33+K36)</f>
        <v>0</v>
      </c>
      <c r="L37" s="9" t="n">
        <f aca="false">(L33+L36)</f>
        <v>0</v>
      </c>
      <c r="M37" s="9" t="n">
        <f aca="false">(M33+M36)</f>
        <v>0</v>
      </c>
      <c r="N37" s="9" t="n">
        <f aca="false">(N33+N36)</f>
        <v>0</v>
      </c>
      <c r="O37" s="9" t="n">
        <f aca="false">(O33+O36)</f>
        <v>2.03199270906143</v>
      </c>
      <c r="P37" s="9" t="n">
        <f aca="false">(P33+P36)</f>
        <v>4.5369383194057</v>
      </c>
      <c r="Q37" s="9" t="n">
        <f aca="false">(Q33+Q36)</f>
        <v>6.48556432641828</v>
      </c>
      <c r="R37" s="9" t="n">
        <f aca="false">(R33+R36)</f>
        <v>7.92273659667462</v>
      </c>
      <c r="S37" s="9" t="n">
        <f aca="false">(S33+S36)</f>
        <v>9.066241413584</v>
      </c>
      <c r="T37" s="9" t="n">
        <f aca="false">(T33+T36)</f>
        <v>9.75307807942154</v>
      </c>
      <c r="U37" s="9" t="n">
        <f aca="false">(U33+U36)</f>
        <v>10.2061170884938</v>
      </c>
      <c r="V37" s="9" t="n">
        <f aca="false">(V33+V36)</f>
        <v>11.0472515486081</v>
      </c>
      <c r="W37" s="9" t="n">
        <f aca="false">(W33+W36)</f>
        <v>13.735909875259</v>
      </c>
      <c r="X37" s="9" t="n">
        <f aca="false">(X33+X36)</f>
        <v>16.6675884859256</v>
      </c>
      <c r="Y37" s="9" t="n">
        <f aca="false">(Y33+Y36)</f>
        <v>17.8044704189116</v>
      </c>
      <c r="Z37" s="9" t="n">
        <f aca="false">(Z33+Z36)</f>
        <v>18.4288111426595</v>
      </c>
      <c r="AA37" s="9" t="n">
        <f aca="false">(AA33+AA36)</f>
        <v>19.6871252330532</v>
      </c>
      <c r="AB37" s="9" t="n">
        <f aca="false">(AB33+AB36)</f>
        <v>23.1954026259327</v>
      </c>
      <c r="AC37" s="9" t="n">
        <f aca="false">(AC33+AC36)</f>
        <v>25.7014371204583</v>
      </c>
      <c r="AD37" s="9" t="n">
        <f aca="false">(AD33+AD36)</f>
        <v>27.2913837698012</v>
      </c>
      <c r="AE37" s="9" t="n">
        <f aca="false">(AE33+AE36)</f>
        <v>28.4097887323925</v>
      </c>
      <c r="AF37" s="9" t="n">
        <f aca="false">(AF33+AF36)</f>
        <v>28.7143560814227</v>
      </c>
      <c r="AG37" s="9" t="n">
        <f aca="false">(AG33+AG36)</f>
        <v>28.655588797439</v>
      </c>
      <c r="AH37" s="9" t="n">
        <f aca="false">(AH33+AH36)</f>
        <v>29.4689399738016</v>
      </c>
      <c r="AI37" s="9" t="n">
        <f aca="false">(AI33+AI36)</f>
        <v>34.0061733767906</v>
      </c>
      <c r="AJ37" s="9" t="n">
        <f aca="false">(AJ33+AJ36)</f>
        <v>39.0372685956135</v>
      </c>
      <c r="AK37" s="9" t="n">
        <f aca="false">(AK33+AK36)</f>
        <v>40.5948851598784</v>
      </c>
      <c r="AL37" s="9" t="n">
        <f aca="false">(AL33+AL36)</f>
        <v>41.1970396155862</v>
      </c>
      <c r="AN37" s="11" t="n">
        <f aca="false">SUM(C37:N37)</f>
        <v>0</v>
      </c>
      <c r="AO37" s="11" t="n">
        <f aca="false">SUM(O37:Z37)</f>
        <v>127.686700004423</v>
      </c>
      <c r="AP37" s="11" t="n">
        <f aca="false">SUM(AA37:AL37)</f>
        <v>365.95938908217</v>
      </c>
    </row>
    <row r="38" customFormat="false" ht="15" hidden="false" customHeight="false" outlineLevel="0" collapsed="false">
      <c r="A38" s="0" t="s">
        <v>843</v>
      </c>
      <c r="B38" s="0" t="s">
        <v>500</v>
      </c>
      <c r="C38" s="9" t="n">
        <f aca="false">C37</f>
        <v>0</v>
      </c>
      <c r="D38" s="9" t="n">
        <f aca="false">SUM(C37:D37)</f>
        <v>0</v>
      </c>
      <c r="E38" s="9" t="n">
        <f aca="false">SUM(C37:E37)</f>
        <v>0</v>
      </c>
      <c r="F38" s="9" t="n">
        <f aca="false">SUM(C37:F37)</f>
        <v>0</v>
      </c>
      <c r="G38" s="9" t="n">
        <f aca="false">SUM(C37:G37)</f>
        <v>0</v>
      </c>
      <c r="H38" s="9" t="n">
        <f aca="false">SUM(C37:H37)</f>
        <v>0</v>
      </c>
      <c r="I38" s="9" t="n">
        <f aca="false">SUM(C37:I37)</f>
        <v>0</v>
      </c>
      <c r="J38" s="9" t="n">
        <f aca="false">SUM(C37:J37)</f>
        <v>0</v>
      </c>
      <c r="K38" s="9" t="n">
        <f aca="false">SUM(C37:K37)</f>
        <v>0</v>
      </c>
      <c r="L38" s="9" t="n">
        <f aca="false">SUM(C37:L37)</f>
        <v>0</v>
      </c>
      <c r="M38" s="9" t="n">
        <f aca="false">SUM(C37:M37)</f>
        <v>0</v>
      </c>
      <c r="N38" s="9" t="n">
        <f aca="false">SUM(C37:N37)</f>
        <v>0</v>
      </c>
      <c r="O38" s="9" t="n">
        <f aca="false">SUM(D37:O37)</f>
        <v>2.03199270906143</v>
      </c>
      <c r="P38" s="9" t="n">
        <f aca="false">SUM(E37:P37)</f>
        <v>6.56893102846713</v>
      </c>
      <c r="Q38" s="9" t="n">
        <f aca="false">SUM(F37:Q37)</f>
        <v>13.0544953548854</v>
      </c>
      <c r="R38" s="9" t="n">
        <f aca="false">SUM(G37:R37)</f>
        <v>20.97723195156</v>
      </c>
      <c r="S38" s="9" t="n">
        <f aca="false">SUM(H37:S37)</f>
        <v>30.043473365144</v>
      </c>
      <c r="T38" s="9" t="n">
        <f aca="false">SUM(I37:T37)</f>
        <v>39.7965514445656</v>
      </c>
      <c r="U38" s="9" t="n">
        <f aca="false">SUM(J37:U37)</f>
        <v>50.0026685330593</v>
      </c>
      <c r="V38" s="9" t="n">
        <f aca="false">SUM(K37:V37)</f>
        <v>61.0499200816674</v>
      </c>
      <c r="W38" s="9" t="n">
        <f aca="false">SUM(L37:W37)</f>
        <v>74.7858299569264</v>
      </c>
      <c r="X38" s="9" t="n">
        <f aca="false">SUM(M37:X37)</f>
        <v>91.4534184428519</v>
      </c>
      <c r="Y38" s="9" t="n">
        <f aca="false">SUM(N37:Y37)</f>
        <v>109.257888861763</v>
      </c>
      <c r="Z38" s="9" t="n">
        <f aca="false">SUM(O37:Z37)</f>
        <v>127.686700004423</v>
      </c>
      <c r="AA38" s="9" t="n">
        <f aca="false">SUM(P37:AA37)</f>
        <v>145.341832528415</v>
      </c>
      <c r="AB38" s="9" t="n">
        <f aca="false">SUM(Q37:AB37)</f>
        <v>164.000296834942</v>
      </c>
      <c r="AC38" s="9" t="n">
        <f aca="false">SUM(R37:AC37)</f>
        <v>183.216169628982</v>
      </c>
      <c r="AD38" s="9" t="n">
        <f aca="false">SUM(S37:AD37)</f>
        <v>202.584816802108</v>
      </c>
      <c r="AE38" s="9" t="n">
        <f aca="false">SUM(T37:AE37)</f>
        <v>221.928364120917</v>
      </c>
      <c r="AF38" s="9" t="n">
        <f aca="false">SUM(U37:AF37)</f>
        <v>240.889642122918</v>
      </c>
      <c r="AG38" s="9" t="n">
        <f aca="false">SUM(V37:AG37)</f>
        <v>259.339113831863</v>
      </c>
      <c r="AH38" s="9" t="n">
        <f aca="false">SUM(W37:AH37)</f>
        <v>277.760802257057</v>
      </c>
      <c r="AI38" s="9" t="n">
        <f aca="false">SUM(X37:AI37)</f>
        <v>298.031065758588</v>
      </c>
      <c r="AJ38" s="9" t="n">
        <f aca="false">SUM(Y37:AJ37)</f>
        <v>320.400745868276</v>
      </c>
      <c r="AK38" s="9" t="n">
        <f aca="false">SUM(Z37:AK37)</f>
        <v>343.191160609243</v>
      </c>
      <c r="AL38" s="9" t="n">
        <f aca="false">SUM(AA37:AL37)</f>
        <v>365.95938908217</v>
      </c>
      <c r="AN38" s="11" t="n">
        <f aca="false">N38</f>
        <v>0</v>
      </c>
      <c r="AO38" s="11" t="n">
        <f aca="false">Z38</f>
        <v>127.686700004423</v>
      </c>
      <c r="AP38" s="11" t="n">
        <f aca="false">AL38</f>
        <v>365.95938908217</v>
      </c>
    </row>
    <row r="39" customFormat="false" ht="15" hidden="false" customHeight="false" outlineLevel="0" collapsed="false">
      <c r="A39" s="0" t="s">
        <v>844</v>
      </c>
      <c r="B39" s="0" t="s">
        <v>500</v>
      </c>
      <c r="C39" s="9" t="n">
        <f aca="false">(C34+C38)</f>
        <v>0</v>
      </c>
      <c r="D39" s="9" t="n">
        <f aca="false">(D34+D38)</f>
        <v>0</v>
      </c>
      <c r="E39" s="9" t="n">
        <f aca="false">(E34+E38)</f>
        <v>0</v>
      </c>
      <c r="F39" s="9" t="n">
        <f aca="false">(F34+F38)</f>
        <v>0</v>
      </c>
      <c r="G39" s="9" t="n">
        <f aca="false">(G34+G38)</f>
        <v>0</v>
      </c>
      <c r="H39" s="9" t="n">
        <f aca="false">(H34+H38)</f>
        <v>0</v>
      </c>
      <c r="I39" s="9" t="n">
        <f aca="false">(I34+I38)</f>
        <v>0</v>
      </c>
      <c r="J39" s="9" t="n">
        <f aca="false">(J34+J38)</f>
        <v>0</v>
      </c>
      <c r="K39" s="9" t="n">
        <f aca="false">(K34+K38)</f>
        <v>0</v>
      </c>
      <c r="L39" s="9" t="n">
        <f aca="false">(L34+L38)</f>
        <v>0</v>
      </c>
      <c r="M39" s="9" t="n">
        <f aca="false">(M34+M38)</f>
        <v>0</v>
      </c>
      <c r="N39" s="9" t="n">
        <f aca="false">(N34+N38)</f>
        <v>0</v>
      </c>
      <c r="O39" s="9" t="n">
        <f aca="false">(O34+O38)</f>
        <v>4.51553935346985</v>
      </c>
      <c r="P39" s="9" t="n">
        <f aca="false">(P34+P38)</f>
        <v>14.4734471754843</v>
      </c>
      <c r="Q39" s="9" t="n">
        <f aca="false">(Q34+Q38)</f>
        <v>28.4905865379519</v>
      </c>
      <c r="R39" s="9" t="n">
        <f aca="false">(R34+R38)</f>
        <v>45.3248633047421</v>
      </c>
      <c r="S39" s="9" t="n">
        <f aca="false">(S34+S38)</f>
        <v>64.2546848783808</v>
      </c>
      <c r="T39" s="9" t="n">
        <f aca="false">(T34+T38)</f>
        <v>84.2176311458779</v>
      </c>
      <c r="U39" s="9" t="n">
        <f aca="false">(U34+U38)</f>
        <v>104.676837357465</v>
      </c>
      <c r="V39" s="9" t="n">
        <f aca="false">(V34+V38)</f>
        <v>126.492576802041</v>
      </c>
      <c r="W39" s="9" t="n">
        <f aca="false">(W34+W38)</f>
        <v>153.744688133264</v>
      </c>
      <c r="X39" s="9" t="n">
        <f aca="false">(X34+X38)</f>
        <v>186.835830748726</v>
      </c>
      <c r="Y39" s="9" t="n">
        <f aca="false">(Y34+Y38)</f>
        <v>221.632199953236</v>
      </c>
      <c r="Z39" s="9" t="n">
        <f aca="false">(Z34+Z38)</f>
        <v>256.966398049017</v>
      </c>
      <c r="AA39" s="9" t="n">
        <f aca="false">(AA34+AA38)</f>
        <v>290.853636967864</v>
      </c>
      <c r="AB39" s="9" t="n">
        <f aca="false">(AB34+AB38)</f>
        <v>327.536616836069</v>
      </c>
      <c r="AC39" s="9" t="n">
        <f aca="false">(AC34+AC38)</f>
        <v>365.628800757854</v>
      </c>
      <c r="AD39" s="9" t="n">
        <f aca="false">(AD34+AD38)</f>
        <v>403.907112492085</v>
      </c>
      <c r="AE39" s="9" t="n">
        <f aca="false">(AE34+AE38)</f>
        <v>441.81309119352</v>
      </c>
      <c r="AF39" s="9" t="n">
        <f aca="false">(AF34+AF38)</f>
        <v>478.319221121352</v>
      </c>
      <c r="AG39" s="9" t="n">
        <f aca="false">(AG34+AG38)</f>
        <v>513.05993258998</v>
      </c>
      <c r="AH39" s="9" t="n">
        <f aca="false">(AH34+AH38)</f>
        <v>547.386965393128</v>
      </c>
      <c r="AI39" s="9" t="n">
        <f aca="false">(AI34+AI38)</f>
        <v>586.50543767112</v>
      </c>
      <c r="AJ39" s="9" t="n">
        <f aca="false">(AJ34+AJ38)</f>
        <v>630.959292986504</v>
      </c>
      <c r="AK39" s="9" t="n">
        <f aca="false">(AK34+AK38)</f>
        <v>675.869190452031</v>
      </c>
      <c r="AL39" s="9" t="n">
        <f aca="false">(AL34+AL38)</f>
        <v>719.967198361525</v>
      </c>
      <c r="AN39" s="11" t="n">
        <f aca="false">N39</f>
        <v>0</v>
      </c>
      <c r="AO39" s="11" t="n">
        <f aca="false">Z39</f>
        <v>256.966398049017</v>
      </c>
      <c r="AP39" s="11" t="n">
        <f aca="false">AL39</f>
        <v>719.967198361525</v>
      </c>
    </row>
    <row r="40" customFormat="false" ht="15" hidden="false" customHeight="false" outlineLevel="0" collapsed="false">
      <c r="A40" s="0" t="s">
        <v>845</v>
      </c>
      <c r="B40" s="0" t="s">
        <v>500</v>
      </c>
      <c r="C40" s="9" t="n">
        <f aca="false">((0+C28)-C39)</f>
        <v>0</v>
      </c>
      <c r="D40" s="9" t="n">
        <f aca="false">((C39+D28)-D39)</f>
        <v>0</v>
      </c>
      <c r="E40" s="9" t="n">
        <f aca="false">((D39+E28)-E39)</f>
        <v>0</v>
      </c>
      <c r="F40" s="9" t="n">
        <f aca="false">((E39+F28)-F39)</f>
        <v>0</v>
      </c>
      <c r="G40" s="9" t="n">
        <f aca="false">((F39+G28)-G39)</f>
        <v>0</v>
      </c>
      <c r="H40" s="9" t="n">
        <f aca="false">((G39+H28)-H39)</f>
        <v>0</v>
      </c>
      <c r="I40" s="9" t="n">
        <f aca="false">((H39+I28)-I39)</f>
        <v>0</v>
      </c>
      <c r="J40" s="9" t="n">
        <f aca="false">((I39+J28)-J39)</f>
        <v>0</v>
      </c>
      <c r="K40" s="9" t="n">
        <f aca="false">((J39+K28)-K39)</f>
        <v>0</v>
      </c>
      <c r="L40" s="9" t="n">
        <f aca="false">((K39+L28)-L39)</f>
        <v>0</v>
      </c>
      <c r="M40" s="9" t="n">
        <f aca="false">((L39+M28)-M39)</f>
        <v>0</v>
      </c>
      <c r="N40" s="9" t="n">
        <f aca="false">((M39+N28)-N39)</f>
        <v>0</v>
      </c>
      <c r="O40" s="9" t="n">
        <f aca="false">((N39+O28)-O39)</f>
        <v>0</v>
      </c>
      <c r="P40" s="9" t="n">
        <f aca="false">((O39+P28)-P39)</f>
        <v>0.12417733222042</v>
      </c>
      <c r="Q40" s="9" t="n">
        <f aca="false">((P39+Q28)-Q39)</f>
        <v>0.395225807350862</v>
      </c>
      <c r="R40" s="9" t="n">
        <f aca="false">((Q39+R28)-R39)</f>
        <v>0.771804559153324</v>
      </c>
      <c r="S40" s="9" t="n">
        <f aca="false">((R39+S28)-S39)</f>
        <v>1.2173815676591</v>
      </c>
      <c r="T40" s="9" t="n">
        <f aca="false">((S39+T28)-T39)</f>
        <v>1.71056057566183</v>
      </c>
      <c r="U40" s="9" t="n">
        <f aca="false">((T39+U28)-U39)</f>
        <v>2.22105398506564</v>
      </c>
      <c r="V40" s="9" t="n">
        <f aca="false">((U39+V28)-V39)</f>
        <v>2.73370844122029</v>
      </c>
      <c r="W40" s="9" t="n">
        <f aca="false">((V39+W28)-W39)</f>
        <v>3.27213283601867</v>
      </c>
      <c r="X40" s="9" t="n">
        <f aca="false">((W39+X28)-X39)</f>
        <v>3.94794290881686</v>
      </c>
      <c r="Y40" s="9" t="n">
        <f aca="false">((X39+Y28)-Y39)</f>
        <v>4.76912061529373</v>
      </c>
      <c r="Z40" s="9" t="n">
        <f aca="false">((Y39+Z28)-Z39)</f>
        <v>5.61871555457367</v>
      </c>
      <c r="AA40" s="9" t="n">
        <f aca="false">((Z39+AA28)-AA39)</f>
        <v>7.37838162130731</v>
      </c>
      <c r="AB40" s="9" t="n">
        <f aca="false">((AA39+AB28)-AB39)</f>
        <v>9.31721246570498</v>
      </c>
      <c r="AC40" s="9" t="n">
        <f aca="false">((AB39+AC28)-AC39)</f>
        <v>11.0953199469446</v>
      </c>
      <c r="AD40" s="9" t="n">
        <f aca="false">((AC39+AD28)-AD39)</f>
        <v>12.6858630249472</v>
      </c>
      <c r="AE40" s="9" t="n">
        <f aca="false">((AD39+AE28)-AE39)</f>
        <v>14.1459234206117</v>
      </c>
      <c r="AF40" s="9" t="n">
        <f aca="false">((AE39+AF28)-AF39)</f>
        <v>15.3831214893698</v>
      </c>
      <c r="AG40" s="9" t="n">
        <f aca="false">((AF39+AG28)-AG39)</f>
        <v>16.464231639744</v>
      </c>
      <c r="AH40" s="9" t="n">
        <f aca="false">((AG39+AH28)-AH39)</f>
        <v>17.6573041347795</v>
      </c>
      <c r="AI40" s="9" t="n">
        <f aca="false">((AH39+AI28)-AI39)</f>
        <v>19.6624676006701</v>
      </c>
      <c r="AJ40" s="9" t="n">
        <f aca="false">((AI39+AJ28)-AJ39)</f>
        <v>21.9241334142932</v>
      </c>
      <c r="AK40" s="9" t="n">
        <f aca="false">((AJ39+AK28)-AK39)</f>
        <v>23.5399390444215</v>
      </c>
      <c r="AL40" s="9" t="n">
        <f aca="false">((AK39+AL28)-AL39)</f>
        <v>24.9268665063362</v>
      </c>
      <c r="AN40" s="11" t="n">
        <f aca="false">SUM(C40:N40)</f>
        <v>0</v>
      </c>
      <c r="AO40" s="11" t="n">
        <f aca="false">SUM(O40:Z40)</f>
        <v>26.7818241830344</v>
      </c>
      <c r="AP40" s="11" t="n">
        <f aca="false">SUM(AA40:AL40)</f>
        <v>194.18076430913</v>
      </c>
    </row>
    <row r="41" customFormat="false" ht="15" hidden="false" customHeight="false" outlineLevel="0" collapsed="false">
      <c r="A41" s="0" t="s">
        <v>846</v>
      </c>
      <c r="B41" s="0" t="s">
        <v>230</v>
      </c>
      <c r="C41" s="9" t="n">
        <f aca="false">((((Assumptions!$C$12*(1-Assumptions!$C$14))*C34)+((Assumptions!$C$13*(1-Assumptions!$C$14))*C37))*(1-Assumptions!$C$15))</f>
        <v>0</v>
      </c>
      <c r="D41" s="9" t="n">
        <f aca="false">((((Assumptions!$C$12*(1-Assumptions!$C$14))*D34)+((Assumptions!$C$13*(1-Assumptions!$C$14))*D37))*(1-Assumptions!$C$15))</f>
        <v>0</v>
      </c>
      <c r="E41" s="9" t="n">
        <f aca="false">((((Assumptions!$C$12*(1-Assumptions!$C$14))*E34)+((Assumptions!$C$13*(1-Assumptions!$C$14))*E37))*(1-Assumptions!$C$15))</f>
        <v>0</v>
      </c>
      <c r="F41" s="9" t="n">
        <f aca="false">((((Assumptions!$C$12*(1-Assumptions!$C$14))*F34)+((Assumptions!$C$13*(1-Assumptions!$C$14))*F37))*(1-Assumptions!$C$15))</f>
        <v>0</v>
      </c>
      <c r="G41" s="9" t="n">
        <f aca="false">((((Assumptions!$C$12*(1-Assumptions!$C$14))*G34)+((Assumptions!$C$13*(1-Assumptions!$C$14))*G37))*(1-Assumptions!$C$15))</f>
        <v>0</v>
      </c>
      <c r="H41" s="9" t="n">
        <f aca="false">((((Assumptions!$C$12*(1-Assumptions!$C$14))*H34)+((Assumptions!$C$13*(1-Assumptions!$C$14))*H37))*(1-Assumptions!$C$15))</f>
        <v>0</v>
      </c>
      <c r="I41" s="9" t="n">
        <f aca="false">((((Assumptions!$C$12*(1-Assumptions!$C$14))*I34)+((Assumptions!$C$13*(1-Assumptions!$C$14))*I37))*(1-Assumptions!$C$15))</f>
        <v>0</v>
      </c>
      <c r="J41" s="9" t="n">
        <f aca="false">((((Assumptions!$C$12*(1-Assumptions!$C$14))*J34)+((Assumptions!$C$13*(1-Assumptions!$C$14))*J37))*(1-Assumptions!$C$15))</f>
        <v>0</v>
      </c>
      <c r="K41" s="9" t="n">
        <f aca="false">((((Assumptions!$C$12*(1-Assumptions!$C$14))*K34)+((Assumptions!$C$13*(1-Assumptions!$C$14))*K37))*(1-Assumptions!$C$15))</f>
        <v>0</v>
      </c>
      <c r="L41" s="9" t="n">
        <f aca="false">((((Assumptions!$C$12*(1-Assumptions!$C$14))*L34)+((Assumptions!$C$13*(1-Assumptions!$C$14))*L37))*(1-Assumptions!$C$15))</f>
        <v>0</v>
      </c>
      <c r="M41" s="9" t="n">
        <f aca="false">((((Assumptions!$C$12*(1-Assumptions!$C$14))*M34)+((Assumptions!$C$13*(1-Assumptions!$C$14))*M37))*(1-Assumptions!$C$15))</f>
        <v>0</v>
      </c>
      <c r="N41" s="9" t="n">
        <f aca="false">((((Assumptions!$C$12*(1-Assumptions!$C$14))*N34)+((Assumptions!$C$13*(1-Assumptions!$C$14))*N37))*(1-Assumptions!$C$15))</f>
        <v>0</v>
      </c>
      <c r="O41" s="9" t="n">
        <f aca="false">((((Assumptions!$C$12*(1-Assumptions!$C$14))*O34)+((Assumptions!$C$13*(1-Assumptions!$C$14))*O37))*(1-Assumptions!$C$15))</f>
        <v>121.607982877657</v>
      </c>
      <c r="P41" s="9" t="n">
        <f aca="false">((((Assumptions!$C$12*(1-Assumptions!$C$14))*P34)+((Assumptions!$C$13*(1-Assumptions!$C$14))*P37))*(1-Assumptions!$C$15))</f>
        <v>287.926957961313</v>
      </c>
      <c r="Q41" s="9" t="n">
        <f aca="false">((((Assumptions!$C$12*(1-Assumptions!$C$14))*Q34)+((Assumptions!$C$13*(1-Assumptions!$C$14))*Q37))*(1-Assumptions!$C$15))</f>
        <v>440.356712315043</v>
      </c>
      <c r="R41" s="9" t="n">
        <f aca="false">((((Assumptions!$C$12*(1-Assumptions!$C$14))*R34)+((Assumptions!$C$13*(1-Assumptions!$C$14))*R37))*(1-Assumptions!$C$15))</f>
        <v>576.120353042797</v>
      </c>
      <c r="S41" s="9" t="n">
        <f aca="false">((((Assumptions!$C$12*(1-Assumptions!$C$14))*S34)+((Assumptions!$C$13*(1-Assumptions!$C$14))*S37))*(1-Assumptions!$C$15))</f>
        <v>703.425043098247</v>
      </c>
      <c r="T41" s="9" t="n">
        <f aca="false">((((Assumptions!$C$12*(1-Assumptions!$C$14))*T34)+((Assumptions!$C$13*(1-Assumptions!$C$14))*T37))*(1-Assumptions!$C$15))</f>
        <v>809.68885595449</v>
      </c>
      <c r="U41" s="9" t="n">
        <f aca="false">((((Assumptions!$C$12*(1-Assumptions!$C$14))*U34)+((Assumptions!$C$13*(1-Assumptions!$C$14))*U37))*(1-Assumptions!$C$15))</f>
        <v>904.248242156615</v>
      </c>
      <c r="V41" s="9" t="n">
        <f aca="false">((((Assumptions!$C$12*(1-Assumptions!$C$14))*V34)+((Assumptions!$C$13*(1-Assumptions!$C$14))*V37))*(1-Assumptions!$C$15))</f>
        <v>1022.31936405095</v>
      </c>
      <c r="W41" s="9" t="n">
        <f aca="false">((((Assumptions!$C$12*(1-Assumptions!$C$14))*W34)+((Assumptions!$C$13*(1-Assumptions!$C$14))*W37))*(1-Assumptions!$C$15))</f>
        <v>1254.36335472606</v>
      </c>
      <c r="X41" s="9" t="n">
        <f aca="false">((((Assumptions!$C$12*(1-Assumptions!$C$14))*X34)+((Assumptions!$C$13*(1-Assumptions!$C$14))*X37))*(1-Assumptions!$C$15))</f>
        <v>1519.10272760288</v>
      </c>
      <c r="Y41" s="9" t="n">
        <f aca="false">((((Assumptions!$C$12*(1-Assumptions!$C$14))*Y34)+((Assumptions!$C$13*(1-Assumptions!$C$14))*Y37))*(1-Assumptions!$C$15))</f>
        <v>1695.63551564298</v>
      </c>
      <c r="Z41" s="9" t="n">
        <f aca="false">((((Assumptions!$C$12*(1-Assumptions!$C$14))*Z34)+((Assumptions!$C$13*(1-Assumptions!$C$14))*Z37))*(1-Assumptions!$C$15))</f>
        <v>1845.24891436354</v>
      </c>
      <c r="AA41" s="9" t="n">
        <f aca="false">((((Assumptions!$C$12*(1-Assumptions!$C$14))*AA34)+((Assumptions!$C$13*(1-Assumptions!$C$14))*AA37))*(1-Assumptions!$C$15))</f>
        <v>2022.73359832443</v>
      </c>
      <c r="AB41" s="9" t="n">
        <f aca="false">((((Assumptions!$C$12*(1-Assumptions!$C$14))*AB34)+((Assumptions!$C$13*(1-Assumptions!$C$14))*AB37))*(1-Assumptions!$C$15))</f>
        <v>2328.21259319848</v>
      </c>
      <c r="AC41" s="9" t="n">
        <f aca="false">((((Assumptions!$C$12*(1-Assumptions!$C$14))*AC34)+((Assumptions!$C$13*(1-Assumptions!$C$14))*AC37))*(1-Assumptions!$C$15))</f>
        <v>2588.1518486731</v>
      </c>
      <c r="AD41" s="9" t="n">
        <f aca="false">((((Assumptions!$C$12*(1-Assumptions!$C$14))*AD34)+((Assumptions!$C$13*(1-Assumptions!$C$14))*AD37))*(1-Assumptions!$C$15))</f>
        <v>2801.28402996912</v>
      </c>
      <c r="AE41" s="9" t="n">
        <f aca="false">((((Assumptions!$C$12*(1-Assumptions!$C$14))*AE34)+((Assumptions!$C$13*(1-Assumptions!$C$14))*AE37))*(1-Assumptions!$C$15))</f>
        <v>2987.78907588485</v>
      </c>
      <c r="AF41" s="9" t="n">
        <f aca="false">((((Assumptions!$C$12*(1-Assumptions!$C$14))*AF34)+((Assumptions!$C$13*(1-Assumptions!$C$14))*AF37))*(1-Assumptions!$C$15))</f>
        <v>3125.42949295474</v>
      </c>
      <c r="AG41" s="9" t="n">
        <f aca="false">((((Assumptions!$C$12*(1-Assumptions!$C$14))*AG34)+((Assumptions!$C$13*(1-Assumptions!$C$14))*AG37))*(1-Assumptions!$C$15))</f>
        <v>3235.69627313012</v>
      </c>
      <c r="AH41" s="9" t="n">
        <f aca="false">((((Assumptions!$C$12*(1-Assumptions!$C$14))*AH34)+((Assumptions!$C$13*(1-Assumptions!$C$14))*AH37))*(1-Assumptions!$C$15))</f>
        <v>3388.06093081358</v>
      </c>
      <c r="AI41" s="9" t="n">
        <f aca="false">((((Assumptions!$C$12*(1-Assumptions!$C$14))*AI34)+((Assumptions!$C$13*(1-Assumptions!$C$14))*AI37))*(1-Assumptions!$C$15))</f>
        <v>3752.10216324449</v>
      </c>
      <c r="AJ41" s="9" t="n">
        <f aca="false">((((Assumptions!$C$12*(1-Assumptions!$C$14))*AJ34)+((Assumptions!$C$13*(1-Assumptions!$C$14))*AJ37))*(1-Assumptions!$C$15))</f>
        <v>4164.00399408736</v>
      </c>
      <c r="AK41" s="9" t="n">
        <f aca="false">((((Assumptions!$C$12*(1-Assumptions!$C$14))*AK34)+((Assumptions!$C$13*(1-Assumptions!$C$14))*AK37))*(1-Assumptions!$C$15))</f>
        <v>4397.79620280759</v>
      </c>
      <c r="AL41" s="9" t="n">
        <f aca="false">((((Assumptions!$C$12*(1-Assumptions!$C$14))*AL34)+((Assumptions!$C$13*(1-Assumptions!$C$14))*AL37))*(1-Assumptions!$C$15))</f>
        <v>4577.03627243166</v>
      </c>
      <c r="AN41" s="11" t="n">
        <f aca="false">SUM(C41:N41)</f>
        <v>0</v>
      </c>
      <c r="AO41" s="11" t="n">
        <f aca="false">SUM(O41:Z41)</f>
        <v>11180.0440237926</v>
      </c>
      <c r="AP41" s="11" t="n">
        <f aca="false">SUM(AA41:AL41)</f>
        <v>39368.2964755195</v>
      </c>
    </row>
    <row r="42" customFormat="false" ht="15" hidden="false" customHeight="false" outlineLevel="0" collapsed="false">
      <c r="A42" s="0" t="s">
        <v>847</v>
      </c>
      <c r="B42" s="0" t="s">
        <v>230</v>
      </c>
      <c r="C42" s="9" t="n">
        <f aca="false">((((Assumptions!$C$12*(1-Assumptions!$C$14))*C34)+(((Assumptions!$C$13*(1-Assumptions!$C$14))/12)*C38))*(1-Assumptions!$C$15))</f>
        <v>0</v>
      </c>
      <c r="D42" s="9" t="n">
        <f aca="false">((((Assumptions!$C$12*(1-Assumptions!$C$14))*D34)+(((Assumptions!$C$13*(1-Assumptions!$C$14))/12)*D38))*(1-Assumptions!$C$15))</f>
        <v>0</v>
      </c>
      <c r="E42" s="9" t="n">
        <f aca="false">((((Assumptions!$C$12*(1-Assumptions!$C$14))*E34)+(((Assumptions!$C$13*(1-Assumptions!$C$14))/12)*E38))*(1-Assumptions!$C$15))</f>
        <v>0</v>
      </c>
      <c r="F42" s="9" t="n">
        <f aca="false">((((Assumptions!$C$12*(1-Assumptions!$C$14))*F34)+(((Assumptions!$C$13*(1-Assumptions!$C$14))/12)*F38))*(1-Assumptions!$C$15))</f>
        <v>0</v>
      </c>
      <c r="G42" s="9" t="n">
        <f aca="false">((((Assumptions!$C$12*(1-Assumptions!$C$14))*G34)+(((Assumptions!$C$13*(1-Assumptions!$C$14))/12)*G38))*(1-Assumptions!$C$15))</f>
        <v>0</v>
      </c>
      <c r="H42" s="9" t="n">
        <f aca="false">((((Assumptions!$C$12*(1-Assumptions!$C$14))*H34)+(((Assumptions!$C$13*(1-Assumptions!$C$14))/12)*H38))*(1-Assumptions!$C$15))</f>
        <v>0</v>
      </c>
      <c r="I42" s="9" t="n">
        <f aca="false">((((Assumptions!$C$12*(1-Assumptions!$C$14))*I34)+(((Assumptions!$C$13*(1-Assumptions!$C$14))/12)*I38))*(1-Assumptions!$C$15))</f>
        <v>0</v>
      </c>
      <c r="J42" s="9" t="n">
        <f aca="false">((((Assumptions!$C$12*(1-Assumptions!$C$14))*J34)+(((Assumptions!$C$13*(1-Assumptions!$C$14))/12)*J38))*(1-Assumptions!$C$15))</f>
        <v>0</v>
      </c>
      <c r="K42" s="9" t="n">
        <f aca="false">((((Assumptions!$C$12*(1-Assumptions!$C$14))*K34)+(((Assumptions!$C$13*(1-Assumptions!$C$14))/12)*K38))*(1-Assumptions!$C$15))</f>
        <v>0</v>
      </c>
      <c r="L42" s="9" t="n">
        <f aca="false">((((Assumptions!$C$12*(1-Assumptions!$C$14))*L34)+(((Assumptions!$C$13*(1-Assumptions!$C$14))/12)*L38))*(1-Assumptions!$C$15))</f>
        <v>0</v>
      </c>
      <c r="M42" s="9" t="n">
        <f aca="false">((((Assumptions!$C$12*(1-Assumptions!$C$14))*M34)+(((Assumptions!$C$13*(1-Assumptions!$C$14))/12)*M38))*(1-Assumptions!$C$15))</f>
        <v>0</v>
      </c>
      <c r="N42" s="9" t="n">
        <f aca="false">((((Assumptions!$C$12*(1-Assumptions!$C$14))*N34)+(((Assumptions!$C$13*(1-Assumptions!$C$14))/12)*N38))*(1-Assumptions!$C$15))</f>
        <v>0</v>
      </c>
      <c r="O42" s="9" t="n">
        <f aca="false">((((Assumptions!$C$12*(1-Assumptions!$C$14))*O34)+(((Assumptions!$C$13*(1-Assumptions!$C$14))/12)*O38))*(1-Assumptions!$C$15))</f>
        <v>25.964676852839</v>
      </c>
      <c r="P42" s="9" t="n">
        <f aca="false">((((Assumptions!$C$12*(1-Assumptions!$C$14))*P34)+(((Assumptions!$C$13*(1-Assumptions!$C$14))/12)*P38))*(1-Assumptions!$C$15))</f>
        <v>83.0739018655001</v>
      </c>
      <c r="Q42" s="9" t="n">
        <f aca="false">((((Assumptions!$C$12*(1-Assumptions!$C$14))*Q34)+(((Assumptions!$C$13*(1-Assumptions!$C$14))/12)*Q38))*(1-Assumptions!$C$15))</f>
        <v>163.197760212586</v>
      </c>
      <c r="R42" s="9" t="n">
        <f aca="false">((((Assumptions!$C$12*(1-Assumptions!$C$14))*R34)+(((Assumptions!$C$13*(1-Assumptions!$C$14))/12)*R38))*(1-Assumptions!$C$15))</f>
        <v>259.067102187655</v>
      </c>
      <c r="S42" s="9" t="n">
        <f aca="false">((((Assumptions!$C$12*(1-Assumptions!$C$14))*S34)+(((Assumptions!$C$13*(1-Assumptions!$C$14))/12)*S38))*(1-Assumptions!$C$15))</f>
        <v>366.449670308577</v>
      </c>
      <c r="T42" s="9" t="n">
        <f aca="false">((((Assumptions!$C$12*(1-Assumptions!$C$14))*T34)+(((Assumptions!$C$13*(1-Assumptions!$C$14))/12)*T38))*(1-Assumptions!$C$15))</f>
        <v>479.179177373287</v>
      </c>
      <c r="U42" s="9" t="n">
        <f aca="false">((((Assumptions!$C$12*(1-Assumptions!$C$14))*U34)+(((Assumptions!$C$13*(1-Assumptions!$C$14))/12)*U38))*(1-Assumptions!$C$15))</f>
        <v>594.147772318012</v>
      </c>
      <c r="V42" s="9" t="n">
        <f aca="false">((((Assumptions!$C$12*(1-Assumptions!$C$14))*V34)+(((Assumptions!$C$13*(1-Assumptions!$C$14))/12)*V38))*(1-Assumptions!$C$15))</f>
        <v>716.299487489941</v>
      </c>
      <c r="W42" s="9" t="n">
        <f aca="false">((((Assumptions!$C$12*(1-Assumptions!$C$14))*W34)+(((Assumptions!$C$13*(1-Assumptions!$C$14))/12)*W38))*(1-Assumptions!$C$15))</f>
        <v>869.062671964164</v>
      </c>
      <c r="X42" s="9" t="n">
        <f aca="false">((((Assumptions!$C$12*(1-Assumptions!$C$14))*X34)+(((Assumptions!$C$13*(1-Assumptions!$C$14))/12)*X38))*(1-Assumptions!$C$15))</f>
        <v>1054.58728548562</v>
      </c>
      <c r="Y42" s="9" t="n">
        <f aca="false">((((Assumptions!$C$12*(1-Assumptions!$C$14))*Y34)+(((Assumptions!$C$13*(1-Assumptions!$C$14))/12)*Y38))*(1-Assumptions!$C$15))</f>
        <v>1248.9286849061</v>
      </c>
      <c r="Z42" s="9" t="n">
        <f aca="false">((((Assumptions!$C$12*(1-Assumptions!$C$14))*Z34)+(((Assumptions!$C$13*(1-Assumptions!$C$14))/12)*Z38))*(1-Assumptions!$C$15))</f>
        <v>1445.34004560502</v>
      </c>
      <c r="AA42" s="9" t="n">
        <f aca="false">((((Assumptions!$C$12*(1-Assumptions!$C$14))*AA34)+(((Assumptions!$C$13*(1-Assumptions!$C$14))/12)*AA38))*(1-Assumptions!$C$15))</f>
        <v>1633.75906583846</v>
      </c>
      <c r="AB42" s="9" t="n">
        <f aca="false">((((Assumptions!$C$12*(1-Assumptions!$C$14))*AB34)+(((Assumptions!$C$13*(1-Assumptions!$C$14))/12)*AB38))*(1-Assumptions!$C$15))</f>
        <v>1838.93518793217</v>
      </c>
      <c r="AC42" s="9" t="n">
        <f aca="false">((((Assumptions!$C$12*(1-Assumptions!$C$14))*AC34)+(((Assumptions!$C$13*(1-Assumptions!$C$14))/12)*AC38))*(1-Assumptions!$C$15))</f>
        <v>2052.41957528112</v>
      </c>
      <c r="AD42" s="9" t="n">
        <f aca="false">((((Assumptions!$C$12*(1-Assumptions!$C$14))*AD34)+(((Assumptions!$C$13*(1-Assumptions!$C$14))/12)*AD38))*(1-Assumptions!$C$15))</f>
        <v>2266.7896100483</v>
      </c>
      <c r="AE42" s="9" t="n">
        <f aca="false">((((Assumptions!$C$12*(1-Assumptions!$C$14))*AE34)+(((Assumptions!$C$13*(1-Assumptions!$C$14))/12)*AE38))*(1-Assumptions!$C$15))</f>
        <v>2478.63768885488</v>
      </c>
      <c r="AF42" s="9" t="n">
        <f aca="false">((((Assumptions!$C$12*(1-Assumptions!$C$14))*AF34)+(((Assumptions!$C$13*(1-Assumptions!$C$14))/12)*AF38))*(1-Assumptions!$C$15))</f>
        <v>2681.77410759559</v>
      </c>
      <c r="AG42" s="9" t="n">
        <f aca="false">((((Assumptions!$C$12*(1-Assumptions!$C$14))*AG34)+(((Assumptions!$C$13*(1-Assumptions!$C$14))/12)*AG38))*(1-Assumptions!$C$15))</f>
        <v>2874.00328084456</v>
      </c>
      <c r="AH42" s="9" t="n">
        <f aca="false">((((Assumptions!$C$12*(1-Assumptions!$C$14))*AH34)+(((Assumptions!$C$13*(1-Assumptions!$C$14))/12)*AH38))*(1-Assumptions!$C$15))</f>
        <v>3063.4301705587</v>
      </c>
      <c r="AI42" s="9" t="n">
        <f aca="false">((((Assumptions!$C$12*(1-Assumptions!$C$14))*AI34)+(((Assumptions!$C$13*(1-Assumptions!$C$14))/12)*AI38))*(1-Assumptions!$C$15))</f>
        <v>3281.23085414941</v>
      </c>
      <c r="AJ42" s="9" t="n">
        <f aca="false">((((Assumptions!$C$12*(1-Assumptions!$C$14))*AJ34)+(((Assumptions!$C$13*(1-Assumptions!$C$14))/12)*AJ38))*(1-Assumptions!$C$15))</f>
        <v>3530.51681897208</v>
      </c>
      <c r="AK42" s="9" t="n">
        <f aca="false">((((Assumptions!$C$12*(1-Assumptions!$C$14))*AK34)+(((Assumptions!$C$13*(1-Assumptions!$C$14))/12)*AK38))*(1-Assumptions!$C$15))</f>
        <v>3781.84861455164</v>
      </c>
      <c r="AL42" s="9" t="n">
        <f aca="false">((((Assumptions!$C$12*(1-Assumptions!$C$14))*AL34)+(((Assumptions!$C$13*(1-Assumptions!$C$14))/12)*AL38))*(1-Assumptions!$C$15))</f>
        <v>4027.5941182603</v>
      </c>
      <c r="AN42" s="11" t="n">
        <f aca="false">SUM(C42:N42)</f>
        <v>0</v>
      </c>
      <c r="AO42" s="11" t="n">
        <f aca="false">SUM(O42:Z42)</f>
        <v>7305.29823656931</v>
      </c>
      <c r="AP42" s="11" t="n">
        <f aca="false">SUM(AA42:AL42)</f>
        <v>33510.9390928872</v>
      </c>
    </row>
    <row r="43" customFormat="false" ht="15" hidden="false" customHeight="false" outlineLevel="0" collapsed="false">
      <c r="A43" s="21" t="s">
        <v>848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</row>
    <row r="44" customFormat="false" ht="15" hidden="false" customHeight="false" outlineLevel="0" collapsed="false">
      <c r="A44" s="0" t="s">
        <v>849</v>
      </c>
      <c r="B44" s="0" t="s">
        <v>160</v>
      </c>
      <c r="C44" s="14" t="n">
        <f aca="false">IF(AND(($C$14=1),(C$18&gt;=(Assumptions!$C$106+1)),(C$18&lt;=(Assumptions!$C$106+6))),Assumptions!$C$117,1)</f>
        <v>1</v>
      </c>
      <c r="D44" s="14" t="n">
        <f aca="false">IF(AND(($C$14=1),(D$18&gt;=(Assumptions!$C$106+1)),(D$18&lt;=(Assumptions!$C$106+6))),Assumptions!$C$117,1)</f>
        <v>1</v>
      </c>
      <c r="E44" s="14" t="n">
        <f aca="false">IF(AND(($C$14=1),(E$18&gt;=(Assumptions!$C$106+1)),(E$18&lt;=(Assumptions!$C$106+6))),Assumptions!$C$117,1)</f>
        <v>1</v>
      </c>
      <c r="F44" s="14" t="n">
        <f aca="false">IF(AND(($C$14=1),(F$18&gt;=(Assumptions!$C$106+1)),(F$18&lt;=(Assumptions!$C$106+6))),Assumptions!$C$117,1)</f>
        <v>1</v>
      </c>
      <c r="G44" s="14" t="n">
        <f aca="false">IF(AND(($C$14=1),(G$18&gt;=(Assumptions!$C$106+1)),(G$18&lt;=(Assumptions!$C$106+6))),Assumptions!$C$117,1)</f>
        <v>1</v>
      </c>
      <c r="H44" s="14" t="n">
        <f aca="false">IF(AND(($C$14=1),(H$18&gt;=(Assumptions!$C$106+1)),(H$18&lt;=(Assumptions!$C$106+6))),Assumptions!$C$117,1)</f>
        <v>1</v>
      </c>
      <c r="I44" s="14" t="n">
        <f aca="false">IF(AND(($C$14=1),(I$18&gt;=(Assumptions!$C$106+1)),(I$18&lt;=(Assumptions!$C$106+6))),Assumptions!$C$117,1)</f>
        <v>1</v>
      </c>
      <c r="J44" s="14" t="n">
        <f aca="false">IF(AND(($C$14=1),(J$18&gt;=(Assumptions!$C$106+1)),(J$18&lt;=(Assumptions!$C$106+6))),Assumptions!$C$117,1)</f>
        <v>1</v>
      </c>
      <c r="K44" s="14" t="n">
        <f aca="false">IF(AND(($C$14=1),(K$18&gt;=(Assumptions!$C$106+1)),(K$18&lt;=(Assumptions!$C$106+6))),Assumptions!$C$117,1)</f>
        <v>1</v>
      </c>
      <c r="L44" s="14" t="n">
        <f aca="false">IF(AND(($C$14=1),(L$18&gt;=(Assumptions!$C$106+1)),(L$18&lt;=(Assumptions!$C$106+6))),Assumptions!$C$117,1)</f>
        <v>1</v>
      </c>
      <c r="M44" s="14" t="n">
        <f aca="false">IF(AND(($C$14=1),(M$18&gt;=(Assumptions!$C$106+1)),(M$18&lt;=(Assumptions!$C$106+6))),Assumptions!$C$117,1)</f>
        <v>1</v>
      </c>
      <c r="N44" s="14" t="n">
        <f aca="false">IF(AND(($C$14=1),(N$18&gt;=(Assumptions!$C$106+1)),(N$18&lt;=(Assumptions!$C$106+6))),Assumptions!$C$117,1)</f>
        <v>1</v>
      </c>
      <c r="O44" s="14" t="n">
        <f aca="false">IF(AND(($C$14=1),(O$18&gt;=(Assumptions!$C$106+1)),(O$18&lt;=(Assumptions!$C$106+6))),Assumptions!$C$117,1)</f>
        <v>1</v>
      </c>
      <c r="P44" s="14" t="n">
        <f aca="false">IF(AND(($C$14=1),(P$18&gt;=(Assumptions!$C$106+1)),(P$18&lt;=(Assumptions!$C$106+6))),Assumptions!$C$117,1)</f>
        <v>1</v>
      </c>
      <c r="Q44" s="14" t="n">
        <f aca="false">IF(AND(($C$14=1),(Q$18&gt;=(Assumptions!$C$106+1)),(Q$18&lt;=(Assumptions!$C$106+6))),Assumptions!$C$117,1)</f>
        <v>1</v>
      </c>
      <c r="R44" s="14" t="n">
        <f aca="false">IF(AND(($C$14=1),(R$18&gt;=(Assumptions!$C$106+1)),(R$18&lt;=(Assumptions!$C$106+6))),Assumptions!$C$117,1)</f>
        <v>1</v>
      </c>
      <c r="S44" s="14" t="n">
        <f aca="false">IF(AND(($C$14=1),(S$18&gt;=(Assumptions!$C$106+1)),(S$18&lt;=(Assumptions!$C$106+6))),Assumptions!$C$117,1)</f>
        <v>1</v>
      </c>
      <c r="T44" s="14" t="n">
        <f aca="false">IF(AND(($C$14=1),(T$18&gt;=(Assumptions!$C$106+1)),(T$18&lt;=(Assumptions!$C$106+6))),Assumptions!$C$117,1)</f>
        <v>1</v>
      </c>
      <c r="U44" s="14" t="n">
        <f aca="false">IF(AND(($C$14=1),(U$18&gt;=(Assumptions!$C$106+1)),(U$18&lt;=(Assumptions!$C$106+6))),Assumptions!$C$117,1)</f>
        <v>1</v>
      </c>
      <c r="V44" s="14" t="n">
        <f aca="false">IF(AND(($C$14=1),(V$18&gt;=(Assumptions!$C$106+1)),(V$18&lt;=(Assumptions!$C$106+6))),Assumptions!$C$117,1)</f>
        <v>1</v>
      </c>
      <c r="W44" s="14" t="n">
        <f aca="false">IF(AND(($C$14=1),(W$18&gt;=(Assumptions!$C$106+1)),(W$18&lt;=(Assumptions!$C$106+6))),Assumptions!$C$117,1)</f>
        <v>1</v>
      </c>
      <c r="X44" s="14" t="n">
        <f aca="false">IF(AND(($C$14=1),(X$18&gt;=(Assumptions!$C$106+1)),(X$18&lt;=(Assumptions!$C$106+6))),Assumptions!$C$117,1)</f>
        <v>1</v>
      </c>
      <c r="Y44" s="14" t="n">
        <f aca="false">IF(AND(($C$14=1),(Y$18&gt;=(Assumptions!$C$106+1)),(Y$18&lt;=(Assumptions!$C$106+6))),Assumptions!$C$117,1)</f>
        <v>1</v>
      </c>
      <c r="Z44" s="14" t="n">
        <f aca="false">IF(AND(($C$14=1),(Z$18&gt;=(Assumptions!$C$106+1)),(Z$18&lt;=(Assumptions!$C$106+6))),Assumptions!$C$117,1)</f>
        <v>1</v>
      </c>
      <c r="AA44" s="14" t="n">
        <f aca="false">IF(AND(($C$14=1),(AA$18&gt;=(Assumptions!$C$106+1)),(AA$18&lt;=(Assumptions!$C$106+6))),Assumptions!$C$117,1)</f>
        <v>1</v>
      </c>
      <c r="AB44" s="14" t="n">
        <f aca="false">IF(AND(($C$14=1),(AB$18&gt;=(Assumptions!$C$106+1)),(AB$18&lt;=(Assumptions!$C$106+6))),Assumptions!$C$117,1)</f>
        <v>1</v>
      </c>
      <c r="AC44" s="14" t="n">
        <f aca="false">IF(AND(($C$14=1),(AC$18&gt;=(Assumptions!$C$106+1)),(AC$18&lt;=(Assumptions!$C$106+6))),Assumptions!$C$117,1)</f>
        <v>1</v>
      </c>
      <c r="AD44" s="14" t="n">
        <f aca="false">IF(AND(($C$14=1),(AD$18&gt;=(Assumptions!$C$106+1)),(AD$18&lt;=(Assumptions!$C$106+6))),Assumptions!$C$117,1)</f>
        <v>1</v>
      </c>
      <c r="AE44" s="14" t="n">
        <f aca="false">IF(AND(($C$14=1),(AE$18&gt;=(Assumptions!$C$106+1)),(AE$18&lt;=(Assumptions!$C$106+6))),Assumptions!$C$117,1)</f>
        <v>1</v>
      </c>
      <c r="AF44" s="14" t="n">
        <f aca="false">IF(AND(($C$14=1),(AF$18&gt;=(Assumptions!$C$106+1)),(AF$18&lt;=(Assumptions!$C$106+6))),Assumptions!$C$117,1)</f>
        <v>1</v>
      </c>
      <c r="AG44" s="14" t="n">
        <f aca="false">IF(AND(($C$14=1),(AG$18&gt;=(Assumptions!$C$106+1)),(AG$18&lt;=(Assumptions!$C$106+6))),Assumptions!$C$117,1)</f>
        <v>1</v>
      </c>
      <c r="AH44" s="14" t="n">
        <f aca="false">IF(AND(($C$14=1),(AH$18&gt;=(Assumptions!$C$106+1)),(AH$18&lt;=(Assumptions!$C$106+6))),Assumptions!$C$117,1)</f>
        <v>1</v>
      </c>
      <c r="AI44" s="14" t="n">
        <f aca="false">IF(AND(($C$14=1),(AI$18&gt;=(Assumptions!$C$106+1)),(AI$18&lt;=(Assumptions!$C$106+6))),Assumptions!$C$117,1)</f>
        <v>1</v>
      </c>
      <c r="AJ44" s="14" t="n">
        <f aca="false">IF(AND(($C$14=1),(AJ$18&gt;=(Assumptions!$C$106+1)),(AJ$18&lt;=(Assumptions!$C$106+6))),Assumptions!$C$117,1)</f>
        <v>1</v>
      </c>
      <c r="AK44" s="14" t="n">
        <f aca="false">IF(AND(($C$14=1),(AK$18&gt;=(Assumptions!$C$106+1)),(AK$18&lt;=(Assumptions!$C$106+6))),Assumptions!$C$117,1)</f>
        <v>1</v>
      </c>
      <c r="AL44" s="14" t="n">
        <f aca="false">IF(AND(($C$14=1),(AL$18&gt;=(Assumptions!$C$106+1)),(AL$18&lt;=(Assumptions!$C$106+6))),Assumptions!$C$117,1)</f>
        <v>1</v>
      </c>
    </row>
    <row r="45" customFormat="false" ht="15" hidden="false" customHeight="false" outlineLevel="0" collapsed="false">
      <c r="A45" s="0" t="s">
        <v>850</v>
      </c>
      <c r="B45" s="0" t="s">
        <v>193</v>
      </c>
      <c r="C45" s="12" t="n">
        <f aca="false">MAX(0,((1-((1-Assumptions!$C$30)*$C$6))-IF(AND(($C$14=1),(C$18&gt;=Assumptions!$C$106),(C$18&lt;=(Assumptions!$C$106+11))),Assumptions!$C$116,0)))</f>
        <v>0.88</v>
      </c>
      <c r="D45" s="12" t="n">
        <f aca="false">MAX(0,((1-((1-Assumptions!$C$30)*$C$6))-IF(AND(($C$14=1),(D$18&gt;=Assumptions!$C$106),(D$18&lt;=(Assumptions!$C$106+11))),Assumptions!$C$116,0)))</f>
        <v>0.88</v>
      </c>
      <c r="E45" s="12" t="n">
        <f aca="false">MAX(0,((1-((1-Assumptions!$C$30)*$C$6))-IF(AND(($C$14=1),(E$18&gt;=Assumptions!$C$106),(E$18&lt;=(Assumptions!$C$106+11))),Assumptions!$C$116,0)))</f>
        <v>0.88</v>
      </c>
      <c r="F45" s="12" t="n">
        <f aca="false">MAX(0,((1-((1-Assumptions!$C$30)*$C$6))-IF(AND(($C$14=1),(F$18&gt;=Assumptions!$C$106),(F$18&lt;=(Assumptions!$C$106+11))),Assumptions!$C$116,0)))</f>
        <v>0.88</v>
      </c>
      <c r="G45" s="12" t="n">
        <f aca="false">MAX(0,((1-((1-Assumptions!$C$30)*$C$6))-IF(AND(($C$14=1),(G$18&gt;=Assumptions!$C$106),(G$18&lt;=(Assumptions!$C$106+11))),Assumptions!$C$116,0)))</f>
        <v>0.88</v>
      </c>
      <c r="H45" s="12" t="n">
        <f aca="false">MAX(0,((1-((1-Assumptions!$C$30)*$C$6))-IF(AND(($C$14=1),(H$18&gt;=Assumptions!$C$106),(H$18&lt;=(Assumptions!$C$106+11))),Assumptions!$C$116,0)))</f>
        <v>0.88</v>
      </c>
      <c r="I45" s="12" t="n">
        <f aca="false">MAX(0,((1-((1-Assumptions!$C$30)*$C$6))-IF(AND(($C$14=1),(I$18&gt;=Assumptions!$C$106),(I$18&lt;=(Assumptions!$C$106+11))),Assumptions!$C$116,0)))</f>
        <v>0.88</v>
      </c>
      <c r="J45" s="12" t="n">
        <f aca="false">MAX(0,((1-((1-Assumptions!$C$30)*$C$6))-IF(AND(($C$14=1),(J$18&gt;=Assumptions!$C$106),(J$18&lt;=(Assumptions!$C$106+11))),Assumptions!$C$116,0)))</f>
        <v>0.88</v>
      </c>
      <c r="K45" s="12" t="n">
        <f aca="false">MAX(0,((1-((1-Assumptions!$C$30)*$C$6))-IF(AND(($C$14=1),(K$18&gt;=Assumptions!$C$106),(K$18&lt;=(Assumptions!$C$106+11))),Assumptions!$C$116,0)))</f>
        <v>0.88</v>
      </c>
      <c r="L45" s="12" t="n">
        <f aca="false">MAX(0,((1-((1-Assumptions!$C$30)*$C$6))-IF(AND(($C$14=1),(L$18&gt;=Assumptions!$C$106),(L$18&lt;=(Assumptions!$C$106+11))),Assumptions!$C$116,0)))</f>
        <v>0.88</v>
      </c>
      <c r="M45" s="12" t="n">
        <f aca="false">MAX(0,((1-((1-Assumptions!$C$30)*$C$6))-IF(AND(($C$14=1),(M$18&gt;=Assumptions!$C$106),(M$18&lt;=(Assumptions!$C$106+11))),Assumptions!$C$116,0)))</f>
        <v>0.88</v>
      </c>
      <c r="N45" s="12" t="n">
        <f aca="false">MAX(0,((1-((1-Assumptions!$C$30)*$C$6))-IF(AND(($C$14=1),(N$18&gt;=Assumptions!$C$106),(N$18&lt;=(Assumptions!$C$106+11))),Assumptions!$C$116,0)))</f>
        <v>0.88</v>
      </c>
      <c r="O45" s="12" t="n">
        <f aca="false">MAX(0,((1-((1-Assumptions!$C$30)*$C$6))-IF(AND(($C$14=1),(O$18&gt;=Assumptions!$C$106),(O$18&lt;=(Assumptions!$C$106+11))),Assumptions!$C$116,0)))</f>
        <v>0.88</v>
      </c>
      <c r="P45" s="12" t="n">
        <f aca="false">MAX(0,((1-((1-Assumptions!$C$30)*$C$6))-IF(AND(($C$14=1),(P$18&gt;=Assumptions!$C$106),(P$18&lt;=(Assumptions!$C$106+11))),Assumptions!$C$116,0)))</f>
        <v>0.88</v>
      </c>
      <c r="Q45" s="12" t="n">
        <f aca="false">MAX(0,((1-((1-Assumptions!$C$30)*$C$6))-IF(AND(($C$14=1),(Q$18&gt;=Assumptions!$C$106),(Q$18&lt;=(Assumptions!$C$106+11))),Assumptions!$C$116,0)))</f>
        <v>0.88</v>
      </c>
      <c r="R45" s="12" t="n">
        <f aca="false">MAX(0,((1-((1-Assumptions!$C$30)*$C$6))-IF(AND(($C$14=1),(R$18&gt;=Assumptions!$C$106),(R$18&lt;=(Assumptions!$C$106+11))),Assumptions!$C$116,0)))</f>
        <v>0.88</v>
      </c>
      <c r="S45" s="12" t="n">
        <f aca="false">MAX(0,((1-((1-Assumptions!$C$30)*$C$6))-IF(AND(($C$14=1),(S$18&gt;=Assumptions!$C$106),(S$18&lt;=(Assumptions!$C$106+11))),Assumptions!$C$116,0)))</f>
        <v>0.88</v>
      </c>
      <c r="T45" s="12" t="n">
        <f aca="false">MAX(0,((1-((1-Assumptions!$C$30)*$C$6))-IF(AND(($C$14=1),(T$18&gt;=Assumptions!$C$106),(T$18&lt;=(Assumptions!$C$106+11))),Assumptions!$C$116,0)))</f>
        <v>0.88</v>
      </c>
      <c r="U45" s="12" t="n">
        <f aca="false">MAX(0,((1-((1-Assumptions!$C$30)*$C$6))-IF(AND(($C$14=1),(U$18&gt;=Assumptions!$C$106),(U$18&lt;=(Assumptions!$C$106+11))),Assumptions!$C$116,0)))</f>
        <v>0.88</v>
      </c>
      <c r="V45" s="12" t="n">
        <f aca="false">MAX(0,((1-((1-Assumptions!$C$30)*$C$6))-IF(AND(($C$14=1),(V$18&gt;=Assumptions!$C$106),(V$18&lt;=(Assumptions!$C$106+11))),Assumptions!$C$116,0)))</f>
        <v>0.88</v>
      </c>
      <c r="W45" s="12" t="n">
        <f aca="false">MAX(0,((1-((1-Assumptions!$C$30)*$C$6))-IF(AND(($C$14=1),(W$18&gt;=Assumptions!$C$106),(W$18&lt;=(Assumptions!$C$106+11))),Assumptions!$C$116,0)))</f>
        <v>0.88</v>
      </c>
      <c r="X45" s="12" t="n">
        <f aca="false">MAX(0,((1-((1-Assumptions!$C$30)*$C$6))-IF(AND(($C$14=1),(X$18&gt;=Assumptions!$C$106),(X$18&lt;=(Assumptions!$C$106+11))),Assumptions!$C$116,0)))</f>
        <v>0.88</v>
      </c>
      <c r="Y45" s="12" t="n">
        <f aca="false">MAX(0,((1-((1-Assumptions!$C$30)*$C$6))-IF(AND(($C$14=1),(Y$18&gt;=Assumptions!$C$106),(Y$18&lt;=(Assumptions!$C$106+11))),Assumptions!$C$116,0)))</f>
        <v>0.88</v>
      </c>
      <c r="Z45" s="12" t="n">
        <f aca="false">MAX(0,((1-((1-Assumptions!$C$30)*$C$6))-IF(AND(($C$14=1),(Z$18&gt;=Assumptions!$C$106),(Z$18&lt;=(Assumptions!$C$106+11))),Assumptions!$C$116,0)))</f>
        <v>0.88</v>
      </c>
      <c r="AA45" s="12" t="n">
        <f aca="false">MAX(0,((1-((1-Assumptions!$C$30)*$C$6))-IF(AND(($C$14=1),(AA$18&gt;=Assumptions!$C$106),(AA$18&lt;=(Assumptions!$C$106+11))),Assumptions!$C$116,0)))</f>
        <v>0.88</v>
      </c>
      <c r="AB45" s="12" t="n">
        <f aca="false">MAX(0,((1-((1-Assumptions!$C$30)*$C$6))-IF(AND(($C$14=1),(AB$18&gt;=Assumptions!$C$106),(AB$18&lt;=(Assumptions!$C$106+11))),Assumptions!$C$116,0)))</f>
        <v>0.88</v>
      </c>
      <c r="AC45" s="12" t="n">
        <f aca="false">MAX(0,((1-((1-Assumptions!$C$30)*$C$6))-IF(AND(($C$14=1),(AC$18&gt;=Assumptions!$C$106),(AC$18&lt;=(Assumptions!$C$106+11))),Assumptions!$C$116,0)))</f>
        <v>0.88</v>
      </c>
      <c r="AD45" s="12" t="n">
        <f aca="false">MAX(0,((1-((1-Assumptions!$C$30)*$C$6))-IF(AND(($C$14=1),(AD$18&gt;=Assumptions!$C$106),(AD$18&lt;=(Assumptions!$C$106+11))),Assumptions!$C$116,0)))</f>
        <v>0.88</v>
      </c>
      <c r="AE45" s="12" t="n">
        <f aca="false">MAX(0,((1-((1-Assumptions!$C$30)*$C$6))-IF(AND(($C$14=1),(AE$18&gt;=Assumptions!$C$106),(AE$18&lt;=(Assumptions!$C$106+11))),Assumptions!$C$116,0)))</f>
        <v>0.88</v>
      </c>
      <c r="AF45" s="12" t="n">
        <f aca="false">MAX(0,((1-((1-Assumptions!$C$30)*$C$6))-IF(AND(($C$14=1),(AF$18&gt;=Assumptions!$C$106),(AF$18&lt;=(Assumptions!$C$106+11))),Assumptions!$C$116,0)))</f>
        <v>0.88</v>
      </c>
      <c r="AG45" s="12" t="n">
        <f aca="false">MAX(0,((1-((1-Assumptions!$C$30)*$C$6))-IF(AND(($C$14=1),(AG$18&gt;=Assumptions!$C$106),(AG$18&lt;=(Assumptions!$C$106+11))),Assumptions!$C$116,0)))</f>
        <v>0.88</v>
      </c>
      <c r="AH45" s="12" t="n">
        <f aca="false">MAX(0,((1-((1-Assumptions!$C$30)*$C$6))-IF(AND(($C$14=1),(AH$18&gt;=Assumptions!$C$106),(AH$18&lt;=(Assumptions!$C$106+11))),Assumptions!$C$116,0)))</f>
        <v>0.88</v>
      </c>
      <c r="AI45" s="12" t="n">
        <f aca="false">MAX(0,((1-((1-Assumptions!$C$30)*$C$6))-IF(AND(($C$14=1),(AI$18&gt;=Assumptions!$C$106),(AI$18&lt;=(Assumptions!$C$106+11))),Assumptions!$C$116,0)))</f>
        <v>0.88</v>
      </c>
      <c r="AJ45" s="12" t="n">
        <f aca="false">MAX(0,((1-((1-Assumptions!$C$30)*$C$6))-IF(AND(($C$14=1),(AJ$18&gt;=Assumptions!$C$106),(AJ$18&lt;=(Assumptions!$C$106+11))),Assumptions!$C$116,0)))</f>
        <v>0.88</v>
      </c>
      <c r="AK45" s="12" t="n">
        <f aca="false">MAX(0,((1-((1-Assumptions!$C$30)*$C$6))-IF(AND(($C$14=1),(AK$18&gt;=Assumptions!$C$106),(AK$18&lt;=(Assumptions!$C$106+11))),Assumptions!$C$116,0)))</f>
        <v>0.88</v>
      </c>
      <c r="AL45" s="12" t="n">
        <f aca="false">MAX(0,((1-((1-Assumptions!$C$30)*$C$6))-IF(AND(($C$14=1),(AL$18&gt;=Assumptions!$C$106),(AL$18&lt;=(Assumptions!$C$106+11))),Assumptions!$C$116,0)))</f>
        <v>0.88</v>
      </c>
    </row>
    <row r="46" customFormat="false" ht="15" hidden="false" customHeight="false" outlineLevel="0" collapsed="false">
      <c r="A46" s="0" t="s">
        <v>851</v>
      </c>
      <c r="B46" s="0" t="s">
        <v>852</v>
      </c>
      <c r="C46" s="14" t="n">
        <f aca="false">((IF(OR((C$18-(Assumptions!$C$7-1)-$C$9)&lt;1,(C$18-(Assumptions!$C$7-1)-$C$9)&gt;36),0,INDEX(Schedules!$C$5:$AL$5,(C$18-(Assumptions!$C$7-1)-$C$9)))*$C$7)*C44)</f>
        <v>0</v>
      </c>
      <c r="D46" s="14" t="n">
        <f aca="false">((IF(OR((D$18-(Assumptions!$C$7-1)-$C$9)&lt;1,(D$18-(Assumptions!$C$7-1)-$C$9)&gt;36),0,INDEX(Schedules!$C$5:$AL$5,(D$18-(Assumptions!$C$7-1)-$C$9)))*$C$7)*D44)</f>
        <v>0</v>
      </c>
      <c r="E46" s="14" t="n">
        <f aca="false">((IF(OR((E$18-(Assumptions!$C$7-1)-$C$9)&lt;1,(E$18-(Assumptions!$C$7-1)-$C$9)&gt;36),0,INDEX(Schedules!$C$5:$AL$5,(E$18-(Assumptions!$C$7-1)-$C$9)))*$C$7)*E44)</f>
        <v>0</v>
      </c>
      <c r="F46" s="14" t="n">
        <f aca="false">((IF(OR((F$18-(Assumptions!$C$7-1)-$C$9)&lt;1,(F$18-(Assumptions!$C$7-1)-$C$9)&gt;36),0,INDEX(Schedules!$C$5:$AL$5,(F$18-(Assumptions!$C$7-1)-$C$9)))*$C$7)*F44)</f>
        <v>0</v>
      </c>
      <c r="G46" s="14" t="n">
        <f aca="false">((IF(OR((G$18-(Assumptions!$C$7-1)-$C$9)&lt;1,(G$18-(Assumptions!$C$7-1)-$C$9)&gt;36),0,INDEX(Schedules!$C$5:$AL$5,(G$18-(Assumptions!$C$7-1)-$C$9)))*$C$7)*G44)</f>
        <v>0</v>
      </c>
      <c r="H46" s="14" t="n">
        <f aca="false">((IF(OR((H$18-(Assumptions!$C$7-1)-$C$9)&lt;1,(H$18-(Assumptions!$C$7-1)-$C$9)&gt;36),0,INDEX(Schedules!$C$5:$AL$5,(H$18-(Assumptions!$C$7-1)-$C$9)))*$C$7)*H44)</f>
        <v>0</v>
      </c>
      <c r="I46" s="14" t="n">
        <f aca="false">((IF(OR((I$18-(Assumptions!$C$7-1)-$C$9)&lt;1,(I$18-(Assumptions!$C$7-1)-$C$9)&gt;36),0,INDEX(Schedules!$C$5:$AL$5,(I$18-(Assumptions!$C$7-1)-$C$9)))*$C$7)*I44)</f>
        <v>0</v>
      </c>
      <c r="J46" s="14" t="n">
        <f aca="false">((IF(OR((J$18-(Assumptions!$C$7-1)-$C$9)&lt;1,(J$18-(Assumptions!$C$7-1)-$C$9)&gt;36),0,INDEX(Schedules!$C$5:$AL$5,(J$18-(Assumptions!$C$7-1)-$C$9)))*$C$7)*J44)</f>
        <v>0</v>
      </c>
      <c r="K46" s="14" t="n">
        <f aca="false">((IF(OR((K$18-(Assumptions!$C$7-1)-$C$9)&lt;1,(K$18-(Assumptions!$C$7-1)-$C$9)&gt;36),0,INDEX(Schedules!$C$5:$AL$5,(K$18-(Assumptions!$C$7-1)-$C$9)))*$C$7)*K44)</f>
        <v>0</v>
      </c>
      <c r="L46" s="14" t="n">
        <f aca="false">((IF(OR((L$18-(Assumptions!$C$7-1)-$C$9)&lt;1,(L$18-(Assumptions!$C$7-1)-$C$9)&gt;36),0,INDEX(Schedules!$C$5:$AL$5,(L$18-(Assumptions!$C$7-1)-$C$9)))*$C$7)*L44)</f>
        <v>0</v>
      </c>
      <c r="M46" s="14" t="n">
        <f aca="false">((IF(OR((M$18-(Assumptions!$C$7-1)-$C$9)&lt;1,(M$18-(Assumptions!$C$7-1)-$C$9)&gt;36),0,INDEX(Schedules!$C$5:$AL$5,(M$18-(Assumptions!$C$7-1)-$C$9)))*$C$7)*M44)</f>
        <v>0</v>
      </c>
      <c r="N46" s="14" t="n">
        <f aca="false">((IF(OR((N$18-(Assumptions!$C$7-1)-$C$9)&lt;1,(N$18-(Assumptions!$C$7-1)-$C$9)&gt;36),0,INDEX(Schedules!$C$5:$AL$5,(N$18-(Assumptions!$C$7-1)-$C$9)))*$C$7)*N44)</f>
        <v>0</v>
      </c>
      <c r="O46" s="14" t="n">
        <f aca="false">((IF(OR((O$18-(Assumptions!$C$7-1)-$C$9)&lt;1,(O$18-(Assumptions!$C$7-1)-$C$9)&gt;36),0,INDEX(Schedules!$C$5:$AL$5,(O$18-(Assumptions!$C$7-1)-$C$9)))*$C$7)*O44)</f>
        <v>0</v>
      </c>
      <c r="P46" s="14" t="n">
        <f aca="false">((IF(OR((P$18-(Assumptions!$C$7-1)-$C$9)&lt;1,(P$18-(Assumptions!$C$7-1)-$C$9)&gt;36),0,INDEX(Schedules!$C$5:$AL$5,(P$18-(Assumptions!$C$7-1)-$C$9)))*$C$7)*P44)</f>
        <v>0</v>
      </c>
      <c r="Q46" s="14" t="n">
        <f aca="false">((IF(OR((Q$18-(Assumptions!$C$7-1)-$C$9)&lt;1,(Q$18-(Assumptions!$C$7-1)-$C$9)&gt;36),0,INDEX(Schedules!$C$5:$AL$5,(Q$18-(Assumptions!$C$7-1)-$C$9)))*$C$7)*Q44)</f>
        <v>0</v>
      </c>
      <c r="R46" s="14" t="n">
        <f aca="false">((IF(OR((R$18-(Assumptions!$C$7-1)-$C$9)&lt;1,(R$18-(Assumptions!$C$7-1)-$C$9)&gt;36),0,INDEX(Schedules!$C$5:$AL$5,(R$18-(Assumptions!$C$7-1)-$C$9)))*$C$7)*R44)</f>
        <v>0</v>
      </c>
      <c r="S46" s="14" t="n">
        <f aca="false">((IF(OR((S$18-(Assumptions!$C$7-1)-$C$9)&lt;1,(S$18-(Assumptions!$C$7-1)-$C$9)&gt;36),0,INDEX(Schedules!$C$5:$AL$5,(S$18-(Assumptions!$C$7-1)-$C$9)))*$C$7)*S44)</f>
        <v>0</v>
      </c>
      <c r="T46" s="14" t="n">
        <f aca="false">((IF(OR((T$18-(Assumptions!$C$7-1)-$C$9)&lt;1,(T$18-(Assumptions!$C$7-1)-$C$9)&gt;36),0,INDEX(Schedules!$C$5:$AL$5,(T$18-(Assumptions!$C$7-1)-$C$9)))*$C$7)*T44)</f>
        <v>0</v>
      </c>
      <c r="U46" s="14" t="n">
        <f aca="false">((IF(OR((U$18-(Assumptions!$C$7-1)-$C$9)&lt;1,(U$18-(Assumptions!$C$7-1)-$C$9)&gt;36),0,INDEX(Schedules!$C$5:$AL$5,(U$18-(Assumptions!$C$7-1)-$C$9)))*$C$7)*U44)</f>
        <v>1</v>
      </c>
      <c r="V46" s="14" t="n">
        <f aca="false">((IF(OR((V$18-(Assumptions!$C$7-1)-$C$9)&lt;1,(V$18-(Assumptions!$C$7-1)-$C$9)&gt;36),0,INDEX(Schedules!$C$5:$AL$5,(V$18-(Assumptions!$C$7-1)-$C$9)))*$C$7)*V44)</f>
        <v>0</v>
      </c>
      <c r="W46" s="14" t="n">
        <f aca="false">((IF(OR((W$18-(Assumptions!$C$7-1)-$C$9)&lt;1,(W$18-(Assumptions!$C$7-1)-$C$9)&gt;36),0,INDEX(Schedules!$C$5:$AL$5,(W$18-(Assumptions!$C$7-1)-$C$9)))*$C$7)*W44)</f>
        <v>0</v>
      </c>
      <c r="X46" s="14" t="n">
        <f aca="false">((IF(OR((X$18-(Assumptions!$C$7-1)-$C$9)&lt;1,(X$18-(Assumptions!$C$7-1)-$C$9)&gt;36),0,INDEX(Schedules!$C$5:$AL$5,(X$18-(Assumptions!$C$7-1)-$C$9)))*$C$7)*X44)</f>
        <v>1</v>
      </c>
      <c r="Y46" s="14" t="n">
        <f aca="false">((IF(OR((Y$18-(Assumptions!$C$7-1)-$C$9)&lt;1,(Y$18-(Assumptions!$C$7-1)-$C$9)&gt;36),0,INDEX(Schedules!$C$5:$AL$5,(Y$18-(Assumptions!$C$7-1)-$C$9)))*$C$7)*Y44)</f>
        <v>0</v>
      </c>
      <c r="Z46" s="14" t="n">
        <f aca="false">((IF(OR((Z$18-(Assumptions!$C$7-1)-$C$9)&lt;1,(Z$18-(Assumptions!$C$7-1)-$C$9)&gt;36),0,INDEX(Schedules!$C$5:$AL$5,(Z$18-(Assumptions!$C$7-1)-$C$9)))*$C$7)*Z44)</f>
        <v>0</v>
      </c>
      <c r="AA46" s="14" t="n">
        <f aca="false">((IF(OR((AA$18-(Assumptions!$C$7-1)-$C$9)&lt;1,(AA$18-(Assumptions!$C$7-1)-$C$9)&gt;36),0,INDEX(Schedules!$C$5:$AL$5,(AA$18-(Assumptions!$C$7-1)-$C$9)))*$C$7)*AA44)</f>
        <v>2</v>
      </c>
      <c r="AB46" s="14" t="n">
        <f aca="false">((IF(OR((AB$18-(Assumptions!$C$7-1)-$C$9)&lt;1,(AB$18-(Assumptions!$C$7-1)-$C$9)&gt;36),0,INDEX(Schedules!$C$5:$AL$5,(AB$18-(Assumptions!$C$7-1)-$C$9)))*$C$7)*AB44)</f>
        <v>0</v>
      </c>
      <c r="AC46" s="14" t="n">
        <f aca="false">((IF(OR((AC$18-(Assumptions!$C$7-1)-$C$9)&lt;1,(AC$18-(Assumptions!$C$7-1)-$C$9)&gt;36),0,INDEX(Schedules!$C$5:$AL$5,(AC$18-(Assumptions!$C$7-1)-$C$9)))*$C$7)*AC44)</f>
        <v>0</v>
      </c>
      <c r="AD46" s="14" t="n">
        <f aca="false">((IF(OR((AD$18-(Assumptions!$C$7-1)-$C$9)&lt;1,(AD$18-(Assumptions!$C$7-1)-$C$9)&gt;36),0,INDEX(Schedules!$C$5:$AL$5,(AD$18-(Assumptions!$C$7-1)-$C$9)))*$C$7)*AD44)</f>
        <v>2</v>
      </c>
      <c r="AE46" s="14" t="n">
        <f aca="false">((IF(OR((AE$18-(Assumptions!$C$7-1)-$C$9)&lt;1,(AE$18-(Assumptions!$C$7-1)-$C$9)&gt;36),0,INDEX(Schedules!$C$5:$AL$5,(AE$18-(Assumptions!$C$7-1)-$C$9)))*$C$7)*AE44)</f>
        <v>0</v>
      </c>
      <c r="AF46" s="14" t="n">
        <f aca="false">((IF(OR((AF$18-(Assumptions!$C$7-1)-$C$9)&lt;1,(AF$18-(Assumptions!$C$7-1)-$C$9)&gt;36),0,INDEX(Schedules!$C$5:$AL$5,(AF$18-(Assumptions!$C$7-1)-$C$9)))*$C$7)*AF44)</f>
        <v>0</v>
      </c>
      <c r="AG46" s="14" t="n">
        <f aca="false">((IF(OR((AG$18-(Assumptions!$C$7-1)-$C$9)&lt;1,(AG$18-(Assumptions!$C$7-1)-$C$9)&gt;36),0,INDEX(Schedules!$C$5:$AL$5,(AG$18-(Assumptions!$C$7-1)-$C$9)))*$C$7)*AG44)</f>
        <v>3</v>
      </c>
      <c r="AH46" s="14" t="n">
        <f aca="false">((IF(OR((AH$18-(Assumptions!$C$7-1)-$C$9)&lt;1,(AH$18-(Assumptions!$C$7-1)-$C$9)&gt;36),0,INDEX(Schedules!$C$5:$AL$5,(AH$18-(Assumptions!$C$7-1)-$C$9)))*$C$7)*AH44)</f>
        <v>0</v>
      </c>
      <c r="AI46" s="14" t="n">
        <f aca="false">((IF(OR((AI$18-(Assumptions!$C$7-1)-$C$9)&lt;1,(AI$18-(Assumptions!$C$7-1)-$C$9)&gt;36),0,INDEX(Schedules!$C$5:$AL$5,(AI$18-(Assumptions!$C$7-1)-$C$9)))*$C$7)*AI44)</f>
        <v>0</v>
      </c>
      <c r="AJ46" s="14" t="n">
        <f aca="false">((IF(OR((AJ$18-(Assumptions!$C$7-1)-$C$9)&lt;1,(AJ$18-(Assumptions!$C$7-1)-$C$9)&gt;36),0,INDEX(Schedules!$C$5:$AL$5,(AJ$18-(Assumptions!$C$7-1)-$C$9)))*$C$7)*AJ44)</f>
        <v>3</v>
      </c>
      <c r="AK46" s="14" t="n">
        <f aca="false">((IF(OR((AK$18-(Assumptions!$C$7-1)-$C$9)&lt;1,(AK$18-(Assumptions!$C$7-1)-$C$9)&gt;36),0,INDEX(Schedules!$C$5:$AL$5,(AK$18-(Assumptions!$C$7-1)-$C$9)))*$C$7)*AK44)</f>
        <v>0</v>
      </c>
      <c r="AL46" s="14" t="n">
        <f aca="false">((IF(OR((AL$18-(Assumptions!$C$7-1)-$C$9)&lt;1,(AL$18-(Assumptions!$C$7-1)-$C$9)&gt;36),0,INDEX(Schedules!$C$5:$AL$5,(AL$18-(Assumptions!$C$7-1)-$C$9)))*$C$7)*AL44)</f>
        <v>0</v>
      </c>
      <c r="AN46" s="36" t="n">
        <f aca="false">SUM(C46:N46)</f>
        <v>0</v>
      </c>
      <c r="AO46" s="36" t="n">
        <f aca="false">SUM(O46:Z46)</f>
        <v>2</v>
      </c>
      <c r="AP46" s="36" t="n">
        <f aca="false">SUM(AA46:AL46)</f>
        <v>10</v>
      </c>
    </row>
    <row r="47" customFormat="false" ht="15" hidden="false" customHeight="false" outlineLevel="0" collapsed="false">
      <c r="A47" s="0" t="s">
        <v>853</v>
      </c>
      <c r="B47" s="0" t="s">
        <v>852</v>
      </c>
      <c r="C47" s="14" t="n">
        <f aca="false">INDEX(Schedules!$C$11:$AL$11,C$18)</f>
        <v>0</v>
      </c>
      <c r="D47" s="14" t="n">
        <f aca="false">INDEX(Schedules!$C$11:$AL$11,D$18)</f>
        <v>0</v>
      </c>
      <c r="E47" s="14" t="n">
        <f aca="false">INDEX(Schedules!$C$11:$AL$11,E$18)</f>
        <v>0</v>
      </c>
      <c r="F47" s="14" t="n">
        <f aca="false">INDEX(Schedules!$C$11:$AL$11,F$18)</f>
        <v>0</v>
      </c>
      <c r="G47" s="14" t="n">
        <f aca="false">INDEX(Schedules!$C$11:$AL$11,G$18)</f>
        <v>1</v>
      </c>
      <c r="H47" s="14" t="n">
        <f aca="false">INDEX(Schedules!$C$11:$AL$11,H$18)</f>
        <v>0</v>
      </c>
      <c r="I47" s="14" t="n">
        <f aca="false">INDEX(Schedules!$C$11:$AL$11,I$18)</f>
        <v>0</v>
      </c>
      <c r="J47" s="14" t="n">
        <f aca="false">INDEX(Schedules!$C$11:$AL$11,J$18)</f>
        <v>0</v>
      </c>
      <c r="K47" s="14" t="n">
        <f aca="false">INDEX(Schedules!$C$11:$AL$11,K$18)</f>
        <v>0</v>
      </c>
      <c r="L47" s="14" t="n">
        <f aca="false">INDEX(Schedules!$C$11:$AL$11,L$18)</f>
        <v>0</v>
      </c>
      <c r="M47" s="14" t="n">
        <f aca="false">INDEX(Schedules!$C$11:$AL$11,M$18)</f>
        <v>0</v>
      </c>
      <c r="N47" s="14" t="n">
        <f aca="false">INDEX(Schedules!$C$11:$AL$11,N$18)</f>
        <v>0</v>
      </c>
      <c r="O47" s="14" t="n">
        <f aca="false">INDEX(Schedules!$C$11:$AL$11,O$18)</f>
        <v>0</v>
      </c>
      <c r="P47" s="14" t="n">
        <f aca="false">INDEX(Schedules!$C$11:$AL$11,P$18)</f>
        <v>0</v>
      </c>
      <c r="Q47" s="14" t="n">
        <f aca="false">INDEX(Schedules!$C$11:$AL$11,Q$18)</f>
        <v>0</v>
      </c>
      <c r="R47" s="14" t="n">
        <f aca="false">INDEX(Schedules!$C$11:$AL$11,R$18)</f>
        <v>0</v>
      </c>
      <c r="S47" s="14" t="n">
        <f aca="false">INDEX(Schedules!$C$11:$AL$11,S$18)</f>
        <v>0</v>
      </c>
      <c r="T47" s="14" t="n">
        <f aca="false">INDEX(Schedules!$C$11:$AL$11,T$18)</f>
        <v>0</v>
      </c>
      <c r="U47" s="14" t="n">
        <f aca="false">INDEX(Schedules!$C$11:$AL$11,U$18)</f>
        <v>0</v>
      </c>
      <c r="V47" s="14" t="n">
        <f aca="false">INDEX(Schedules!$C$11:$AL$11,V$18)</f>
        <v>0</v>
      </c>
      <c r="W47" s="14" t="n">
        <f aca="false">INDEX(Schedules!$C$11:$AL$11,W$18)</f>
        <v>0</v>
      </c>
      <c r="X47" s="14" t="n">
        <f aca="false">INDEX(Schedules!$C$11:$AL$11,X$18)</f>
        <v>0</v>
      </c>
      <c r="Y47" s="14" t="n">
        <f aca="false">INDEX(Schedules!$C$11:$AL$11,Y$18)</f>
        <v>0</v>
      </c>
      <c r="Z47" s="14" t="n">
        <f aca="false">INDEX(Schedules!$C$11:$AL$11,Z$18)</f>
        <v>0</v>
      </c>
      <c r="AA47" s="14" t="n">
        <f aca="false">INDEX(Schedules!$C$11:$AL$11,AA$18)</f>
        <v>0</v>
      </c>
      <c r="AB47" s="14" t="n">
        <f aca="false">INDEX(Schedules!$C$11:$AL$11,AB$18)</f>
        <v>0</v>
      </c>
      <c r="AC47" s="14" t="n">
        <f aca="false">INDEX(Schedules!$C$11:$AL$11,AC$18)</f>
        <v>0</v>
      </c>
      <c r="AD47" s="14" t="n">
        <f aca="false">INDEX(Schedules!$C$11:$AL$11,AD$18)</f>
        <v>0</v>
      </c>
      <c r="AE47" s="14" t="n">
        <f aca="false">INDEX(Schedules!$C$11:$AL$11,AE$18)</f>
        <v>0</v>
      </c>
      <c r="AF47" s="14" t="n">
        <f aca="false">INDEX(Schedules!$C$11:$AL$11,AF$18)</f>
        <v>0</v>
      </c>
      <c r="AG47" s="14" t="n">
        <f aca="false">INDEX(Schedules!$C$11:$AL$11,AG$18)</f>
        <v>0</v>
      </c>
      <c r="AH47" s="14" t="n">
        <f aca="false">INDEX(Schedules!$C$11:$AL$11,AH$18)</f>
        <v>0</v>
      </c>
      <c r="AI47" s="14" t="n">
        <f aca="false">INDEX(Schedules!$C$11:$AL$11,AI$18)</f>
        <v>0</v>
      </c>
      <c r="AJ47" s="14" t="n">
        <f aca="false">INDEX(Schedules!$C$11:$AL$11,AJ$18)</f>
        <v>0</v>
      </c>
      <c r="AK47" s="14" t="n">
        <f aca="false">INDEX(Schedules!$C$11:$AL$11,AK$18)</f>
        <v>0</v>
      </c>
      <c r="AL47" s="14" t="n">
        <f aca="false">INDEX(Schedules!$C$11:$AL$11,AL$18)</f>
        <v>0</v>
      </c>
      <c r="AN47" s="36" t="n">
        <f aca="false">SUM(C47:N47)</f>
        <v>1</v>
      </c>
      <c r="AO47" s="36" t="n">
        <f aca="false">SUM(O47:Z47)</f>
        <v>0</v>
      </c>
      <c r="AP47" s="36" t="n">
        <f aca="false">SUM(AA47:AL47)</f>
        <v>0</v>
      </c>
    </row>
    <row r="48" customFormat="false" ht="15" hidden="false" customHeight="false" outlineLevel="0" collapsed="false">
      <c r="A48" s="0" t="s">
        <v>854</v>
      </c>
      <c r="B48" s="0" t="s">
        <v>852</v>
      </c>
      <c r="C48" s="14" t="n">
        <f aca="false">(C46+C47)</f>
        <v>0</v>
      </c>
      <c r="D48" s="14" t="n">
        <f aca="false">(D46+D47)</f>
        <v>0</v>
      </c>
      <c r="E48" s="14" t="n">
        <f aca="false">(E46+E47)</f>
        <v>0</v>
      </c>
      <c r="F48" s="14" t="n">
        <f aca="false">(F46+F47)</f>
        <v>0</v>
      </c>
      <c r="G48" s="14" t="n">
        <f aca="false">(G46+G47)</f>
        <v>1</v>
      </c>
      <c r="H48" s="14" t="n">
        <f aca="false">(H46+H47)</f>
        <v>0</v>
      </c>
      <c r="I48" s="14" t="n">
        <f aca="false">(I46+I47)</f>
        <v>0</v>
      </c>
      <c r="J48" s="14" t="n">
        <f aca="false">(J46+J47)</f>
        <v>0</v>
      </c>
      <c r="K48" s="14" t="n">
        <f aca="false">(K46+K47)</f>
        <v>0</v>
      </c>
      <c r="L48" s="14" t="n">
        <f aca="false">(L46+L47)</f>
        <v>0</v>
      </c>
      <c r="M48" s="14" t="n">
        <f aca="false">(M46+M47)</f>
        <v>0</v>
      </c>
      <c r="N48" s="14" t="n">
        <f aca="false">(N46+N47)</f>
        <v>0</v>
      </c>
      <c r="O48" s="14" t="n">
        <f aca="false">(O46+O47)</f>
        <v>0</v>
      </c>
      <c r="P48" s="14" t="n">
        <f aca="false">(P46+P47)</f>
        <v>0</v>
      </c>
      <c r="Q48" s="14" t="n">
        <f aca="false">(Q46+Q47)</f>
        <v>0</v>
      </c>
      <c r="R48" s="14" t="n">
        <f aca="false">(R46+R47)</f>
        <v>0</v>
      </c>
      <c r="S48" s="14" t="n">
        <f aca="false">(S46+S47)</f>
        <v>0</v>
      </c>
      <c r="T48" s="14" t="n">
        <f aca="false">(T46+T47)</f>
        <v>0</v>
      </c>
      <c r="U48" s="14" t="n">
        <f aca="false">(U46+U47)</f>
        <v>1</v>
      </c>
      <c r="V48" s="14" t="n">
        <f aca="false">(V46+V47)</f>
        <v>0</v>
      </c>
      <c r="W48" s="14" t="n">
        <f aca="false">(W46+W47)</f>
        <v>0</v>
      </c>
      <c r="X48" s="14" t="n">
        <f aca="false">(X46+X47)</f>
        <v>1</v>
      </c>
      <c r="Y48" s="14" t="n">
        <f aca="false">(Y46+Y47)</f>
        <v>0</v>
      </c>
      <c r="Z48" s="14" t="n">
        <f aca="false">(Z46+Z47)</f>
        <v>0</v>
      </c>
      <c r="AA48" s="14" t="n">
        <f aca="false">(AA46+AA47)</f>
        <v>2</v>
      </c>
      <c r="AB48" s="14" t="n">
        <f aca="false">(AB46+AB47)</f>
        <v>0</v>
      </c>
      <c r="AC48" s="14" t="n">
        <f aca="false">(AC46+AC47)</f>
        <v>0</v>
      </c>
      <c r="AD48" s="14" t="n">
        <f aca="false">(AD46+AD47)</f>
        <v>2</v>
      </c>
      <c r="AE48" s="14" t="n">
        <f aca="false">(AE46+AE47)</f>
        <v>0</v>
      </c>
      <c r="AF48" s="14" t="n">
        <f aca="false">(AF46+AF47)</f>
        <v>0</v>
      </c>
      <c r="AG48" s="14" t="n">
        <f aca="false">(AG46+AG47)</f>
        <v>3</v>
      </c>
      <c r="AH48" s="14" t="n">
        <f aca="false">(AH46+AH47)</f>
        <v>0</v>
      </c>
      <c r="AI48" s="14" t="n">
        <f aca="false">(AI46+AI47)</f>
        <v>0</v>
      </c>
      <c r="AJ48" s="14" t="n">
        <f aca="false">(AJ46+AJ47)</f>
        <v>3</v>
      </c>
      <c r="AK48" s="14" t="n">
        <f aca="false">(AK46+AK47)</f>
        <v>0</v>
      </c>
      <c r="AL48" s="14" t="n">
        <f aca="false">(AL46+AL47)</f>
        <v>0</v>
      </c>
      <c r="AN48" s="36" t="n">
        <f aca="false">SUM(C48:N48)</f>
        <v>1</v>
      </c>
      <c r="AO48" s="36" t="n">
        <f aca="false">SUM(O48:Z48)</f>
        <v>2</v>
      </c>
      <c r="AP48" s="36" t="n">
        <f aca="false">SUM(AA48:AL48)</f>
        <v>10</v>
      </c>
    </row>
    <row r="49" customFormat="false" ht="15" hidden="false" customHeight="false" outlineLevel="0" collapsed="false">
      <c r="A49" s="0" t="s">
        <v>855</v>
      </c>
      <c r="B49" s="0" t="s">
        <v>852</v>
      </c>
      <c r="C49" s="14" t="n">
        <f aca="false">((IF(OR((C$18-(Assumptions!$C$8-1)-$C$9)&lt;1,(C$18-(Assumptions!$C$8-1)-$C$9)&gt;36),0,INDEX(Schedules!$C$8:$AL$8,(C$18-(Assumptions!$C$8-1)-$C$9)))*$C$7)*C44)</f>
        <v>0</v>
      </c>
      <c r="D49" s="14" t="n">
        <f aca="false">((IF(OR((D$18-(Assumptions!$C$8-1)-$C$9)&lt;1,(D$18-(Assumptions!$C$8-1)-$C$9)&gt;36),0,INDEX(Schedules!$C$8:$AL$8,(D$18-(Assumptions!$C$8-1)-$C$9)))*$C$7)*D44)</f>
        <v>0</v>
      </c>
      <c r="E49" s="14" t="n">
        <f aca="false">((IF(OR((E$18-(Assumptions!$C$8-1)-$C$9)&lt;1,(E$18-(Assumptions!$C$8-1)-$C$9)&gt;36),0,INDEX(Schedules!$C$8:$AL$8,(E$18-(Assumptions!$C$8-1)-$C$9)))*$C$7)*E44)</f>
        <v>0</v>
      </c>
      <c r="F49" s="14" t="n">
        <f aca="false">((IF(OR((F$18-(Assumptions!$C$8-1)-$C$9)&lt;1,(F$18-(Assumptions!$C$8-1)-$C$9)&gt;36),0,INDEX(Schedules!$C$8:$AL$8,(F$18-(Assumptions!$C$8-1)-$C$9)))*$C$7)*F44)</f>
        <v>0</v>
      </c>
      <c r="G49" s="14" t="n">
        <f aca="false">((IF(OR((G$18-(Assumptions!$C$8-1)-$C$9)&lt;1,(G$18-(Assumptions!$C$8-1)-$C$9)&gt;36),0,INDEX(Schedules!$C$8:$AL$8,(G$18-(Assumptions!$C$8-1)-$C$9)))*$C$7)*G44)</f>
        <v>0</v>
      </c>
      <c r="H49" s="14" t="n">
        <f aca="false">((IF(OR((H$18-(Assumptions!$C$8-1)-$C$9)&lt;1,(H$18-(Assumptions!$C$8-1)-$C$9)&gt;36),0,INDEX(Schedules!$C$8:$AL$8,(H$18-(Assumptions!$C$8-1)-$C$9)))*$C$7)*H44)</f>
        <v>0</v>
      </c>
      <c r="I49" s="14" t="n">
        <f aca="false">((IF(OR((I$18-(Assumptions!$C$8-1)-$C$9)&lt;1,(I$18-(Assumptions!$C$8-1)-$C$9)&gt;36),0,INDEX(Schedules!$C$8:$AL$8,(I$18-(Assumptions!$C$8-1)-$C$9)))*$C$7)*I44)</f>
        <v>0</v>
      </c>
      <c r="J49" s="14" t="n">
        <f aca="false">((IF(OR((J$18-(Assumptions!$C$8-1)-$C$9)&lt;1,(J$18-(Assumptions!$C$8-1)-$C$9)&gt;36),0,INDEX(Schedules!$C$8:$AL$8,(J$18-(Assumptions!$C$8-1)-$C$9)))*$C$7)*J44)</f>
        <v>0</v>
      </c>
      <c r="K49" s="14" t="n">
        <f aca="false">((IF(OR((K$18-(Assumptions!$C$8-1)-$C$9)&lt;1,(K$18-(Assumptions!$C$8-1)-$C$9)&gt;36),0,INDEX(Schedules!$C$8:$AL$8,(K$18-(Assumptions!$C$8-1)-$C$9)))*$C$7)*K44)</f>
        <v>0</v>
      </c>
      <c r="L49" s="14" t="n">
        <f aca="false">((IF(OR((L$18-(Assumptions!$C$8-1)-$C$9)&lt;1,(L$18-(Assumptions!$C$8-1)-$C$9)&gt;36),0,INDEX(Schedules!$C$8:$AL$8,(L$18-(Assumptions!$C$8-1)-$C$9)))*$C$7)*L44)</f>
        <v>0</v>
      </c>
      <c r="M49" s="14" t="n">
        <f aca="false">((IF(OR((M$18-(Assumptions!$C$8-1)-$C$9)&lt;1,(M$18-(Assumptions!$C$8-1)-$C$9)&gt;36),0,INDEX(Schedules!$C$8:$AL$8,(M$18-(Assumptions!$C$8-1)-$C$9)))*$C$7)*M44)</f>
        <v>0</v>
      </c>
      <c r="N49" s="14" t="n">
        <f aca="false">((IF(OR((N$18-(Assumptions!$C$8-1)-$C$9)&lt;1,(N$18-(Assumptions!$C$8-1)-$C$9)&gt;36),0,INDEX(Schedules!$C$8:$AL$8,(N$18-(Assumptions!$C$8-1)-$C$9)))*$C$7)*N44)</f>
        <v>0</v>
      </c>
      <c r="O49" s="14" t="n">
        <f aca="false">((IF(OR((O$18-(Assumptions!$C$8-1)-$C$9)&lt;1,(O$18-(Assumptions!$C$8-1)-$C$9)&gt;36),0,INDEX(Schedules!$C$8:$AL$8,(O$18-(Assumptions!$C$8-1)-$C$9)))*$C$7)*O44)</f>
        <v>0</v>
      </c>
      <c r="P49" s="14" t="n">
        <f aca="false">((IF(OR((P$18-(Assumptions!$C$8-1)-$C$9)&lt;1,(P$18-(Assumptions!$C$8-1)-$C$9)&gt;36),0,INDEX(Schedules!$C$8:$AL$8,(P$18-(Assumptions!$C$8-1)-$C$9)))*$C$7)*P44)</f>
        <v>0</v>
      </c>
      <c r="Q49" s="14" t="n">
        <f aca="false">((IF(OR((Q$18-(Assumptions!$C$8-1)-$C$9)&lt;1,(Q$18-(Assumptions!$C$8-1)-$C$9)&gt;36),0,INDEX(Schedules!$C$8:$AL$8,(Q$18-(Assumptions!$C$8-1)-$C$9)))*$C$7)*Q44)</f>
        <v>0</v>
      </c>
      <c r="R49" s="14" t="n">
        <f aca="false">((IF(OR((R$18-(Assumptions!$C$8-1)-$C$9)&lt;1,(R$18-(Assumptions!$C$8-1)-$C$9)&gt;36),0,INDEX(Schedules!$C$8:$AL$8,(R$18-(Assumptions!$C$8-1)-$C$9)))*$C$7)*R44)</f>
        <v>0</v>
      </c>
      <c r="S49" s="14" t="n">
        <f aca="false">((IF(OR((S$18-(Assumptions!$C$8-1)-$C$9)&lt;1,(S$18-(Assumptions!$C$8-1)-$C$9)&gt;36),0,INDEX(Schedules!$C$8:$AL$8,(S$18-(Assumptions!$C$8-1)-$C$9)))*$C$7)*S44)</f>
        <v>0</v>
      </c>
      <c r="T49" s="14" t="n">
        <f aca="false">((IF(OR((T$18-(Assumptions!$C$8-1)-$C$9)&lt;1,(T$18-(Assumptions!$C$8-1)-$C$9)&gt;36),0,INDEX(Schedules!$C$8:$AL$8,(T$18-(Assumptions!$C$8-1)-$C$9)))*$C$7)*T44)</f>
        <v>0</v>
      </c>
      <c r="U49" s="14" t="n">
        <f aca="false">((IF(OR((U$18-(Assumptions!$C$8-1)-$C$9)&lt;1,(U$18-(Assumptions!$C$8-1)-$C$9)&gt;36),0,INDEX(Schedules!$C$8:$AL$8,(U$18-(Assumptions!$C$8-1)-$C$9)))*$C$7)*U44)</f>
        <v>0</v>
      </c>
      <c r="V49" s="14" t="n">
        <f aca="false">((IF(OR((V$18-(Assumptions!$C$8-1)-$C$9)&lt;1,(V$18-(Assumptions!$C$8-1)-$C$9)&gt;36),0,INDEX(Schedules!$C$8:$AL$8,(V$18-(Assumptions!$C$8-1)-$C$9)))*$C$7)*V44)</f>
        <v>0</v>
      </c>
      <c r="W49" s="14" t="n">
        <f aca="false">((IF(OR((W$18-(Assumptions!$C$8-1)-$C$9)&lt;1,(W$18-(Assumptions!$C$8-1)-$C$9)&gt;36),0,INDEX(Schedules!$C$8:$AL$8,(W$18-(Assumptions!$C$8-1)-$C$9)))*$C$7)*W44)</f>
        <v>0</v>
      </c>
      <c r="X49" s="14" t="n">
        <f aca="false">((IF(OR((X$18-(Assumptions!$C$8-1)-$C$9)&lt;1,(X$18-(Assumptions!$C$8-1)-$C$9)&gt;36),0,INDEX(Schedules!$C$8:$AL$8,(X$18-(Assumptions!$C$8-1)-$C$9)))*$C$7)*X44)</f>
        <v>0</v>
      </c>
      <c r="Y49" s="14" t="n">
        <f aca="false">((IF(OR((Y$18-(Assumptions!$C$8-1)-$C$9)&lt;1,(Y$18-(Assumptions!$C$8-1)-$C$9)&gt;36),0,INDEX(Schedules!$C$8:$AL$8,(Y$18-(Assumptions!$C$8-1)-$C$9)))*$C$7)*Y44)</f>
        <v>0</v>
      </c>
      <c r="Z49" s="14" t="n">
        <f aca="false">((IF(OR((Z$18-(Assumptions!$C$8-1)-$C$9)&lt;1,(Z$18-(Assumptions!$C$8-1)-$C$9)&gt;36),0,INDEX(Schedules!$C$8:$AL$8,(Z$18-(Assumptions!$C$8-1)-$C$9)))*$C$7)*Z44)</f>
        <v>0</v>
      </c>
      <c r="AA49" s="14" t="n">
        <f aca="false">((IF(OR((AA$18-(Assumptions!$C$8-1)-$C$9)&lt;1,(AA$18-(Assumptions!$C$8-1)-$C$9)&gt;36),0,INDEX(Schedules!$C$8:$AL$8,(AA$18-(Assumptions!$C$8-1)-$C$9)))*$C$7)*AA44)</f>
        <v>0</v>
      </c>
      <c r="AB49" s="14" t="n">
        <f aca="false">((IF(OR((AB$18-(Assumptions!$C$8-1)-$C$9)&lt;1,(AB$18-(Assumptions!$C$8-1)-$C$9)&gt;36),0,INDEX(Schedules!$C$8:$AL$8,(AB$18-(Assumptions!$C$8-1)-$C$9)))*$C$7)*AB44)</f>
        <v>0</v>
      </c>
      <c r="AC49" s="14" t="n">
        <f aca="false">((IF(OR((AC$18-(Assumptions!$C$8-1)-$C$9)&lt;1,(AC$18-(Assumptions!$C$8-1)-$C$9)&gt;36),0,INDEX(Schedules!$C$8:$AL$8,(AC$18-(Assumptions!$C$8-1)-$C$9)))*$C$7)*AC44)</f>
        <v>0</v>
      </c>
      <c r="AD49" s="14" t="n">
        <f aca="false">((IF(OR((AD$18-(Assumptions!$C$8-1)-$C$9)&lt;1,(AD$18-(Assumptions!$C$8-1)-$C$9)&gt;36),0,INDEX(Schedules!$C$8:$AL$8,(AD$18-(Assumptions!$C$8-1)-$C$9)))*$C$7)*AD44)</f>
        <v>0</v>
      </c>
      <c r="AE49" s="14" t="n">
        <f aca="false">((IF(OR((AE$18-(Assumptions!$C$8-1)-$C$9)&lt;1,(AE$18-(Assumptions!$C$8-1)-$C$9)&gt;36),0,INDEX(Schedules!$C$8:$AL$8,(AE$18-(Assumptions!$C$8-1)-$C$9)))*$C$7)*AE44)</f>
        <v>1</v>
      </c>
      <c r="AF49" s="14" t="n">
        <f aca="false">((IF(OR((AF$18-(Assumptions!$C$8-1)-$C$9)&lt;1,(AF$18-(Assumptions!$C$8-1)-$C$9)&gt;36),0,INDEX(Schedules!$C$8:$AL$8,(AF$18-(Assumptions!$C$8-1)-$C$9)))*$C$7)*AF44)</f>
        <v>0</v>
      </c>
      <c r="AG49" s="14" t="n">
        <f aca="false">((IF(OR((AG$18-(Assumptions!$C$8-1)-$C$9)&lt;1,(AG$18-(Assumptions!$C$8-1)-$C$9)&gt;36),0,INDEX(Schedules!$C$8:$AL$8,(AG$18-(Assumptions!$C$8-1)-$C$9)))*$C$7)*AG44)</f>
        <v>0</v>
      </c>
      <c r="AH49" s="14" t="n">
        <f aca="false">((IF(OR((AH$18-(Assumptions!$C$8-1)-$C$9)&lt;1,(AH$18-(Assumptions!$C$8-1)-$C$9)&gt;36),0,INDEX(Schedules!$C$8:$AL$8,(AH$18-(Assumptions!$C$8-1)-$C$9)))*$C$7)*AH44)</f>
        <v>1</v>
      </c>
      <c r="AI49" s="14" t="n">
        <f aca="false">((IF(OR((AI$18-(Assumptions!$C$8-1)-$C$9)&lt;1,(AI$18-(Assumptions!$C$8-1)-$C$9)&gt;36),0,INDEX(Schedules!$C$8:$AL$8,(AI$18-(Assumptions!$C$8-1)-$C$9)))*$C$7)*AI44)</f>
        <v>0</v>
      </c>
      <c r="AJ49" s="14" t="n">
        <f aca="false">((IF(OR((AJ$18-(Assumptions!$C$8-1)-$C$9)&lt;1,(AJ$18-(Assumptions!$C$8-1)-$C$9)&gt;36),0,INDEX(Schedules!$C$8:$AL$8,(AJ$18-(Assumptions!$C$8-1)-$C$9)))*$C$7)*AJ44)</f>
        <v>0</v>
      </c>
      <c r="AK49" s="14" t="n">
        <f aca="false">((IF(OR((AK$18-(Assumptions!$C$8-1)-$C$9)&lt;1,(AK$18-(Assumptions!$C$8-1)-$C$9)&gt;36),0,INDEX(Schedules!$C$8:$AL$8,(AK$18-(Assumptions!$C$8-1)-$C$9)))*$C$7)*AK44)</f>
        <v>2</v>
      </c>
      <c r="AL49" s="14" t="n">
        <f aca="false">((IF(OR((AL$18-(Assumptions!$C$8-1)-$C$9)&lt;1,(AL$18-(Assumptions!$C$8-1)-$C$9)&gt;36),0,INDEX(Schedules!$C$8:$AL$8,(AL$18-(Assumptions!$C$8-1)-$C$9)))*$C$7)*AL44)</f>
        <v>0</v>
      </c>
      <c r="AN49" s="36" t="n">
        <f aca="false">SUM(C49:N49)</f>
        <v>0</v>
      </c>
      <c r="AO49" s="36" t="n">
        <f aca="false">SUM(O49:Z49)</f>
        <v>0</v>
      </c>
      <c r="AP49" s="36" t="n">
        <f aca="false">SUM(AA49:AL49)</f>
        <v>4</v>
      </c>
    </row>
    <row r="50" customFormat="false" ht="15" hidden="false" customHeight="false" outlineLevel="0" collapsed="false">
      <c r="A50" s="0" t="s">
        <v>856</v>
      </c>
      <c r="B50" s="0" t="s">
        <v>852</v>
      </c>
      <c r="C50" s="14" t="n">
        <f aca="false">(C46+C49)</f>
        <v>0</v>
      </c>
      <c r="D50" s="14" t="n">
        <f aca="false">(D46+D49)</f>
        <v>0</v>
      </c>
      <c r="E50" s="14" t="n">
        <f aca="false">(E46+E49)</f>
        <v>0</v>
      </c>
      <c r="F50" s="14" t="n">
        <f aca="false">(F46+F49)</f>
        <v>0</v>
      </c>
      <c r="G50" s="14" t="n">
        <f aca="false">(G46+G49)</f>
        <v>0</v>
      </c>
      <c r="H50" s="14" t="n">
        <f aca="false">(H46+H49)</f>
        <v>0</v>
      </c>
      <c r="I50" s="14" t="n">
        <f aca="false">(I46+I49)</f>
        <v>0</v>
      </c>
      <c r="J50" s="14" t="n">
        <f aca="false">(J46+J49)</f>
        <v>0</v>
      </c>
      <c r="K50" s="14" t="n">
        <f aca="false">(K46+K49)</f>
        <v>0</v>
      </c>
      <c r="L50" s="14" t="n">
        <f aca="false">(L46+L49)</f>
        <v>0</v>
      </c>
      <c r="M50" s="14" t="n">
        <f aca="false">(M46+M49)</f>
        <v>0</v>
      </c>
      <c r="N50" s="14" t="n">
        <f aca="false">(N46+N49)</f>
        <v>0</v>
      </c>
      <c r="O50" s="14" t="n">
        <f aca="false">(O46+O49)</f>
        <v>0</v>
      </c>
      <c r="P50" s="14" t="n">
        <f aca="false">(P46+P49)</f>
        <v>0</v>
      </c>
      <c r="Q50" s="14" t="n">
        <f aca="false">(Q46+Q49)</f>
        <v>0</v>
      </c>
      <c r="R50" s="14" t="n">
        <f aca="false">(R46+R49)</f>
        <v>0</v>
      </c>
      <c r="S50" s="14" t="n">
        <f aca="false">(S46+S49)</f>
        <v>0</v>
      </c>
      <c r="T50" s="14" t="n">
        <f aca="false">(T46+T49)</f>
        <v>0</v>
      </c>
      <c r="U50" s="14" t="n">
        <f aca="false">(U46+U49)</f>
        <v>1</v>
      </c>
      <c r="V50" s="14" t="n">
        <f aca="false">(V46+V49)</f>
        <v>0</v>
      </c>
      <c r="W50" s="14" t="n">
        <f aca="false">(W46+W49)</f>
        <v>0</v>
      </c>
      <c r="X50" s="14" t="n">
        <f aca="false">(X46+X49)</f>
        <v>1</v>
      </c>
      <c r="Y50" s="14" t="n">
        <f aca="false">(Y46+Y49)</f>
        <v>0</v>
      </c>
      <c r="Z50" s="14" t="n">
        <f aca="false">(Z46+Z49)</f>
        <v>0</v>
      </c>
      <c r="AA50" s="14" t="n">
        <f aca="false">(AA46+AA49)</f>
        <v>2</v>
      </c>
      <c r="AB50" s="14" t="n">
        <f aca="false">(AB46+AB49)</f>
        <v>0</v>
      </c>
      <c r="AC50" s="14" t="n">
        <f aca="false">(AC46+AC49)</f>
        <v>0</v>
      </c>
      <c r="AD50" s="14" t="n">
        <f aca="false">(AD46+AD49)</f>
        <v>2</v>
      </c>
      <c r="AE50" s="14" t="n">
        <f aca="false">(AE46+AE49)</f>
        <v>1</v>
      </c>
      <c r="AF50" s="14" t="n">
        <f aca="false">(AF46+AF49)</f>
        <v>0</v>
      </c>
      <c r="AG50" s="14" t="n">
        <f aca="false">(AG46+AG49)</f>
        <v>3</v>
      </c>
      <c r="AH50" s="14" t="n">
        <f aca="false">(AH46+AH49)</f>
        <v>1</v>
      </c>
      <c r="AI50" s="14" t="n">
        <f aca="false">(AI46+AI49)</f>
        <v>0</v>
      </c>
      <c r="AJ50" s="14" t="n">
        <f aca="false">(AJ46+AJ49)</f>
        <v>3</v>
      </c>
      <c r="AK50" s="14" t="n">
        <f aca="false">(AK46+AK49)</f>
        <v>2</v>
      </c>
      <c r="AL50" s="14" t="n">
        <f aca="false">(AL46+AL49)</f>
        <v>0</v>
      </c>
      <c r="AN50" s="36" t="n">
        <f aca="false">SUM(C50:N50)</f>
        <v>0</v>
      </c>
      <c r="AO50" s="36" t="n">
        <f aca="false">SUM(O50:Z50)</f>
        <v>2</v>
      </c>
      <c r="AP50" s="36" t="n">
        <f aca="false">SUM(AA50:AL50)</f>
        <v>14</v>
      </c>
    </row>
    <row r="51" customFormat="false" ht="15" hidden="false" customHeight="false" outlineLevel="0" collapsed="false">
      <c r="A51" s="0" t="s">
        <v>857</v>
      </c>
      <c r="B51" s="0" t="s">
        <v>852</v>
      </c>
      <c r="C51" s="14" t="n">
        <f aca="false">C48</f>
        <v>0</v>
      </c>
      <c r="D51" s="14" t="n">
        <f aca="false">SUM(C48:D48)</f>
        <v>0</v>
      </c>
      <c r="E51" s="14" t="n">
        <f aca="false">SUM(C48:E48)</f>
        <v>0</v>
      </c>
      <c r="F51" s="14" t="n">
        <f aca="false">SUM(C48:F48)</f>
        <v>0</v>
      </c>
      <c r="G51" s="14" t="n">
        <f aca="false">SUM(C48:G48)</f>
        <v>1</v>
      </c>
      <c r="H51" s="14" t="n">
        <f aca="false">SUM(C48:H48)</f>
        <v>1</v>
      </c>
      <c r="I51" s="14" t="n">
        <f aca="false">SUM(D48:I48)</f>
        <v>1</v>
      </c>
      <c r="J51" s="14" t="n">
        <f aca="false">SUM(E48:J48)</f>
        <v>1</v>
      </c>
      <c r="K51" s="14" t="n">
        <f aca="false">SUM(F48:K48)</f>
        <v>1</v>
      </c>
      <c r="L51" s="14" t="n">
        <f aca="false">SUM(G48:L48)</f>
        <v>1</v>
      </c>
      <c r="M51" s="14" t="n">
        <f aca="false">SUM(H48:M48)</f>
        <v>0</v>
      </c>
      <c r="N51" s="14" t="n">
        <f aca="false">SUM(I48:N48)</f>
        <v>0</v>
      </c>
      <c r="O51" s="14" t="n">
        <f aca="false">SUM(J48:O48)</f>
        <v>0</v>
      </c>
      <c r="P51" s="14" t="n">
        <f aca="false">SUM(K48:P48)</f>
        <v>0</v>
      </c>
      <c r="Q51" s="14" t="n">
        <f aca="false">SUM(L48:Q48)</f>
        <v>0</v>
      </c>
      <c r="R51" s="14" t="n">
        <f aca="false">SUM(M48:R48)</f>
        <v>0</v>
      </c>
      <c r="S51" s="14" t="n">
        <f aca="false">SUM(N48:S48)</f>
        <v>0</v>
      </c>
      <c r="T51" s="14" t="n">
        <f aca="false">SUM(O48:T48)</f>
        <v>0</v>
      </c>
      <c r="U51" s="14" t="n">
        <f aca="false">SUM(P48:U48)</f>
        <v>1</v>
      </c>
      <c r="V51" s="14" t="n">
        <f aca="false">SUM(Q48:V48)</f>
        <v>1</v>
      </c>
      <c r="W51" s="14" t="n">
        <f aca="false">SUM(R48:W48)</f>
        <v>1</v>
      </c>
      <c r="X51" s="14" t="n">
        <f aca="false">SUM(S48:X48)</f>
        <v>2</v>
      </c>
      <c r="Y51" s="14" t="n">
        <f aca="false">SUM(T48:Y48)</f>
        <v>2</v>
      </c>
      <c r="Z51" s="14" t="n">
        <f aca="false">SUM(U48:Z48)</f>
        <v>2</v>
      </c>
      <c r="AA51" s="14" t="n">
        <f aca="false">SUM(V48:AA48)</f>
        <v>3</v>
      </c>
      <c r="AB51" s="14" t="n">
        <f aca="false">SUM(W48:AB48)</f>
        <v>3</v>
      </c>
      <c r="AC51" s="14" t="n">
        <f aca="false">SUM(X48:AC48)</f>
        <v>3</v>
      </c>
      <c r="AD51" s="14" t="n">
        <f aca="false">SUM(Y48:AD48)</f>
        <v>4</v>
      </c>
      <c r="AE51" s="14" t="n">
        <f aca="false">SUM(Z48:AE48)</f>
        <v>4</v>
      </c>
      <c r="AF51" s="14" t="n">
        <f aca="false">SUM(AA48:AF48)</f>
        <v>4</v>
      </c>
      <c r="AG51" s="14" t="n">
        <f aca="false">SUM(AB48:AG48)</f>
        <v>5</v>
      </c>
      <c r="AH51" s="14" t="n">
        <f aca="false">SUM(AC48:AH48)</f>
        <v>5</v>
      </c>
      <c r="AI51" s="14" t="n">
        <f aca="false">SUM(AD48:AI48)</f>
        <v>5</v>
      </c>
      <c r="AJ51" s="14" t="n">
        <f aca="false">SUM(AE48:AJ48)</f>
        <v>6</v>
      </c>
      <c r="AK51" s="14" t="n">
        <f aca="false">SUM(AF48:AK48)</f>
        <v>6</v>
      </c>
      <c r="AL51" s="14" t="n">
        <f aca="false">SUM(AG48:AL48)</f>
        <v>6</v>
      </c>
      <c r="AN51" s="36" t="n">
        <f aca="false">N51</f>
        <v>0</v>
      </c>
      <c r="AO51" s="36" t="n">
        <f aca="false">Z51</f>
        <v>2</v>
      </c>
      <c r="AP51" s="36" t="n">
        <f aca="false">AL51</f>
        <v>6</v>
      </c>
    </row>
    <row r="52" customFormat="false" ht="15" hidden="false" customHeight="false" outlineLevel="0" collapsed="false">
      <c r="A52" s="0" t="s">
        <v>858</v>
      </c>
      <c r="B52" s="0" t="s">
        <v>852</v>
      </c>
      <c r="C52" s="14" t="n">
        <f aca="false">C46</f>
        <v>0</v>
      </c>
      <c r="D52" s="14" t="n">
        <f aca="false">SUM(C46:D46)</f>
        <v>0</v>
      </c>
      <c r="E52" s="14" t="n">
        <f aca="false">SUM(C46:E46)</f>
        <v>0</v>
      </c>
      <c r="F52" s="14" t="n">
        <f aca="false">SUM(C46:F46)</f>
        <v>0</v>
      </c>
      <c r="G52" s="14" t="n">
        <f aca="false">SUM(C46:G46)</f>
        <v>0</v>
      </c>
      <c r="H52" s="14" t="n">
        <f aca="false">SUM(C46:H46)</f>
        <v>0</v>
      </c>
      <c r="I52" s="14" t="n">
        <f aca="false">SUM(D46:I46)</f>
        <v>0</v>
      </c>
      <c r="J52" s="14" t="n">
        <f aca="false">SUM(E46:J46)</f>
        <v>0</v>
      </c>
      <c r="K52" s="14" t="n">
        <f aca="false">SUM(F46:K46)</f>
        <v>0</v>
      </c>
      <c r="L52" s="14" t="n">
        <f aca="false">SUM(G46:L46)</f>
        <v>0</v>
      </c>
      <c r="M52" s="14" t="n">
        <f aca="false">SUM(H46:M46)</f>
        <v>0</v>
      </c>
      <c r="N52" s="14" t="n">
        <f aca="false">SUM(I46:N46)</f>
        <v>0</v>
      </c>
      <c r="O52" s="14" t="n">
        <f aca="false">SUM(J46:O46)</f>
        <v>0</v>
      </c>
      <c r="P52" s="14" t="n">
        <f aca="false">SUM(K46:P46)</f>
        <v>0</v>
      </c>
      <c r="Q52" s="14" t="n">
        <f aca="false">SUM(L46:Q46)</f>
        <v>0</v>
      </c>
      <c r="R52" s="14" t="n">
        <f aca="false">SUM(M46:R46)</f>
        <v>0</v>
      </c>
      <c r="S52" s="14" t="n">
        <f aca="false">SUM(N46:S46)</f>
        <v>0</v>
      </c>
      <c r="T52" s="14" t="n">
        <f aca="false">SUM(O46:T46)</f>
        <v>0</v>
      </c>
      <c r="U52" s="14" t="n">
        <f aca="false">SUM(P46:U46)</f>
        <v>1</v>
      </c>
      <c r="V52" s="14" t="n">
        <f aca="false">SUM(Q46:V46)</f>
        <v>1</v>
      </c>
      <c r="W52" s="14" t="n">
        <f aca="false">SUM(R46:W46)</f>
        <v>1</v>
      </c>
      <c r="X52" s="14" t="n">
        <f aca="false">SUM(S46:X46)</f>
        <v>2</v>
      </c>
      <c r="Y52" s="14" t="n">
        <f aca="false">SUM(T46:Y46)</f>
        <v>2</v>
      </c>
      <c r="Z52" s="14" t="n">
        <f aca="false">SUM(U46:Z46)</f>
        <v>2</v>
      </c>
      <c r="AA52" s="14" t="n">
        <f aca="false">SUM(V46:AA46)</f>
        <v>3</v>
      </c>
      <c r="AB52" s="14" t="n">
        <f aca="false">SUM(W46:AB46)</f>
        <v>3</v>
      </c>
      <c r="AC52" s="14" t="n">
        <f aca="false">SUM(X46:AC46)</f>
        <v>3</v>
      </c>
      <c r="AD52" s="14" t="n">
        <f aca="false">SUM(Y46:AD46)</f>
        <v>4</v>
      </c>
      <c r="AE52" s="14" t="n">
        <f aca="false">SUM(Z46:AE46)</f>
        <v>4</v>
      </c>
      <c r="AF52" s="14" t="n">
        <f aca="false">SUM(AA46:AF46)</f>
        <v>4</v>
      </c>
      <c r="AG52" s="14" t="n">
        <f aca="false">SUM(AB46:AG46)</f>
        <v>5</v>
      </c>
      <c r="AH52" s="14" t="n">
        <f aca="false">SUM(AC46:AH46)</f>
        <v>5</v>
      </c>
      <c r="AI52" s="14" t="n">
        <f aca="false">SUM(AD46:AI46)</f>
        <v>5</v>
      </c>
      <c r="AJ52" s="14" t="n">
        <f aca="false">SUM(AE46:AJ46)</f>
        <v>6</v>
      </c>
      <c r="AK52" s="14" t="n">
        <f aca="false">SUM(AF46:AK46)</f>
        <v>6</v>
      </c>
      <c r="AL52" s="14" t="n">
        <f aca="false">SUM(AG46:AL46)</f>
        <v>6</v>
      </c>
      <c r="AN52" s="36" t="n">
        <f aca="false">N52</f>
        <v>0</v>
      </c>
      <c r="AO52" s="36" t="n">
        <f aca="false">Z52</f>
        <v>2</v>
      </c>
      <c r="AP52" s="36" t="n">
        <f aca="false">AL52</f>
        <v>6</v>
      </c>
    </row>
    <row r="53" customFormat="false" ht="15" hidden="false" customHeight="false" outlineLevel="0" collapsed="false">
      <c r="A53" s="0" t="s">
        <v>859</v>
      </c>
      <c r="B53" s="0" t="s">
        <v>852</v>
      </c>
      <c r="C53" s="14" t="n">
        <f aca="false">((Assumptions!$C$127*$C$8)*0)</f>
        <v>0</v>
      </c>
      <c r="D53" s="14" t="n">
        <f aca="false">((Assumptions!$C$127*$C$8)*0)</f>
        <v>0</v>
      </c>
      <c r="E53" s="14" t="n">
        <f aca="false">((Assumptions!$C$127*$C$8)*0)</f>
        <v>0</v>
      </c>
      <c r="F53" s="14" t="n">
        <f aca="false">((Assumptions!$C$127*$C$8)*0)</f>
        <v>0</v>
      </c>
      <c r="G53" s="14" t="n">
        <f aca="false">((Assumptions!$C$127*$C$8)*0)</f>
        <v>0</v>
      </c>
      <c r="H53" s="14" t="n">
        <f aca="false">((Assumptions!$C$127*$C$8)*0)</f>
        <v>0</v>
      </c>
      <c r="I53" s="14" t="n">
        <f aca="false">((Assumptions!$C$127*$C$8)*0)</f>
        <v>0</v>
      </c>
      <c r="J53" s="14" t="n">
        <f aca="false">((Assumptions!$C$127*$C$8)*C46)</f>
        <v>0</v>
      </c>
      <c r="K53" s="14" t="n">
        <f aca="false">((Assumptions!$C$127*$C$8)*D46)</f>
        <v>0</v>
      </c>
      <c r="L53" s="14" t="n">
        <f aca="false">((Assumptions!$C$127*$C$8)*E46)</f>
        <v>0</v>
      </c>
      <c r="M53" s="14" t="n">
        <f aca="false">((Assumptions!$C$127*$C$8)*F46)</f>
        <v>0</v>
      </c>
      <c r="N53" s="14" t="n">
        <f aca="false">((Assumptions!$C$127*$C$8)*G46)</f>
        <v>0</v>
      </c>
      <c r="O53" s="14" t="n">
        <f aca="false">((Assumptions!$C$127*$C$8)*H46)</f>
        <v>0</v>
      </c>
      <c r="P53" s="14" t="n">
        <f aca="false">((Assumptions!$C$127*$C$8)*I46)</f>
        <v>0</v>
      </c>
      <c r="Q53" s="14" t="n">
        <f aca="false">((Assumptions!$C$127*$C$8)*J46)</f>
        <v>0</v>
      </c>
      <c r="R53" s="14" t="n">
        <f aca="false">((Assumptions!$C$127*$C$8)*K46)</f>
        <v>0</v>
      </c>
      <c r="S53" s="14" t="n">
        <f aca="false">((Assumptions!$C$127*$C$8)*L46)</f>
        <v>0</v>
      </c>
      <c r="T53" s="14" t="n">
        <f aca="false">((Assumptions!$C$127*$C$8)*M46)</f>
        <v>0</v>
      </c>
      <c r="U53" s="14" t="n">
        <f aca="false">((Assumptions!$C$127*$C$8)*N46)</f>
        <v>0</v>
      </c>
      <c r="V53" s="14" t="n">
        <f aca="false">((Assumptions!$C$127*$C$8)*O46)</f>
        <v>0</v>
      </c>
      <c r="W53" s="14" t="n">
        <f aca="false">((Assumptions!$C$127*$C$8)*P46)</f>
        <v>0</v>
      </c>
      <c r="X53" s="14" t="n">
        <f aca="false">((Assumptions!$C$127*$C$8)*Q46)</f>
        <v>0</v>
      </c>
      <c r="Y53" s="14" t="n">
        <f aca="false">((Assumptions!$C$127*$C$8)*R46)</f>
        <v>0</v>
      </c>
      <c r="Z53" s="14" t="n">
        <f aca="false">((Assumptions!$C$127*$C$8)*S46)</f>
        <v>0</v>
      </c>
      <c r="AA53" s="14" t="n">
        <f aca="false">((Assumptions!$C$127*$C$8)*T46)</f>
        <v>0</v>
      </c>
      <c r="AB53" s="14" t="n">
        <f aca="false">((Assumptions!$C$127*$C$8)*U46)</f>
        <v>0.45</v>
      </c>
      <c r="AC53" s="14" t="n">
        <f aca="false">((Assumptions!$C$127*$C$8)*V46)</f>
        <v>0</v>
      </c>
      <c r="AD53" s="14" t="n">
        <f aca="false">((Assumptions!$C$127*$C$8)*W46)</f>
        <v>0</v>
      </c>
      <c r="AE53" s="14" t="n">
        <f aca="false">((Assumptions!$C$127*$C$8)*X46)</f>
        <v>0.45</v>
      </c>
      <c r="AF53" s="14" t="n">
        <f aca="false">((Assumptions!$C$127*$C$8)*Y46)</f>
        <v>0</v>
      </c>
      <c r="AG53" s="14" t="n">
        <f aca="false">((Assumptions!$C$127*$C$8)*Z46)</f>
        <v>0</v>
      </c>
      <c r="AH53" s="14" t="n">
        <f aca="false">((Assumptions!$C$127*$C$8)*AA46)</f>
        <v>0.9</v>
      </c>
      <c r="AI53" s="14" t="n">
        <f aca="false">((Assumptions!$C$127*$C$8)*AB46)</f>
        <v>0</v>
      </c>
      <c r="AJ53" s="14" t="n">
        <f aca="false">((Assumptions!$C$127*$C$8)*AC46)</f>
        <v>0</v>
      </c>
      <c r="AK53" s="14" t="n">
        <f aca="false">((Assumptions!$C$127*$C$8)*AD46)</f>
        <v>0.9</v>
      </c>
      <c r="AL53" s="14" t="n">
        <f aca="false">((Assumptions!$C$127*$C$8)*AE46)</f>
        <v>0</v>
      </c>
      <c r="AN53" s="36" t="n">
        <f aca="false">SUM(C53:N53)</f>
        <v>0</v>
      </c>
      <c r="AO53" s="36" t="n">
        <f aca="false">SUM(O53:Z53)</f>
        <v>0</v>
      </c>
      <c r="AP53" s="36" t="n">
        <f aca="false">SUM(AA53:AL53)</f>
        <v>2.7</v>
      </c>
    </row>
    <row r="54" customFormat="false" ht="15" hidden="false" customHeight="false" outlineLevel="0" collapsed="false">
      <c r="A54" s="0" t="s">
        <v>860</v>
      </c>
      <c r="B54" s="0" t="s">
        <v>852</v>
      </c>
      <c r="C54" s="14" t="n">
        <f aca="false">((Assumptions!$C$10*$C$8)*IF((C$18=(Assumptions!$C$7+$C$9)),0,IF((C$18&gt;(Assumptions!$C$7+$C$9)),0,0)))</f>
        <v>0</v>
      </c>
      <c r="D54" s="14" t="n">
        <f aca="false">((Assumptions!$C$10*$C$8)*IF((D$18=(Assumptions!$C$7+$C$9)),0,IF((D$18&gt;(Assumptions!$C$7+$C$9)),0,0)))</f>
        <v>0</v>
      </c>
      <c r="E54" s="14" t="n">
        <f aca="false">((Assumptions!$C$10*$C$8)*IF((E$18=(Assumptions!$C$7+$C$9)),0,IF((E$18&gt;(Assumptions!$C$7+$C$9)),0,0)))</f>
        <v>0</v>
      </c>
      <c r="F54" s="14" t="n">
        <f aca="false">((Assumptions!$C$10*$C$8)*IF((F$18=(Assumptions!$C$7+$C$9)),0,IF((F$18&gt;(Assumptions!$C$7+$C$9)),0,0)))</f>
        <v>0</v>
      </c>
      <c r="G54" s="14" t="n">
        <f aca="false">((Assumptions!$C$10*$C$8)*IF((G$18=(Assumptions!$C$7+$C$9)),0,IF((G$18&gt;(Assumptions!$C$7+$C$9)),0,0)))</f>
        <v>0</v>
      </c>
      <c r="H54" s="14" t="n">
        <f aca="false">((Assumptions!$C$10*$C$8)*IF((H$18=(Assumptions!$C$7+$C$9)),0,IF((H$18&gt;(Assumptions!$C$7+$C$9)),0,0)))</f>
        <v>0</v>
      </c>
      <c r="I54" s="14" t="n">
        <f aca="false">((Assumptions!$C$10*$C$8)*IF((I$18=(Assumptions!$C$7+$C$9)),0,IF((I$18&gt;(Assumptions!$C$7+$C$9)),0,0)))</f>
        <v>0</v>
      </c>
      <c r="J54" s="14" t="n">
        <f aca="false">((Assumptions!$C$10*$C$8)*IF((J$18=(Assumptions!$C$7+$C$9)),C47,IF((J$18&gt;(Assumptions!$C$7+$C$9)),C47,0)))</f>
        <v>0</v>
      </c>
      <c r="K54" s="14" t="n">
        <f aca="false">((Assumptions!$C$10*$C$8)*IF((K$18=(Assumptions!$C$7+$C$9)),SUM(C47:D47),IF((K$18&gt;(Assumptions!$C$7+$C$9)),D47,0)))</f>
        <v>0</v>
      </c>
      <c r="L54" s="14" t="n">
        <f aca="false">((Assumptions!$C$10*$C$8)*IF((L$18=(Assumptions!$C$7+$C$9)),SUM(C47:E47),IF((L$18&gt;(Assumptions!$C$7+$C$9)),E47,0)))</f>
        <v>0</v>
      </c>
      <c r="M54" s="14" t="n">
        <f aca="false">((Assumptions!$C$10*$C$8)*IF((M$18=(Assumptions!$C$7+$C$9)),SUM(C47:F47),IF((M$18&gt;(Assumptions!$C$7+$C$9)),F47,0)))</f>
        <v>0</v>
      </c>
      <c r="N54" s="14" t="n">
        <f aca="false">((Assumptions!$C$10*$C$8)*IF((N$18=(Assumptions!$C$7+$C$9)),SUM(C47:G47),IF((N$18&gt;(Assumptions!$C$7+$C$9)),G47,0)))</f>
        <v>0</v>
      </c>
      <c r="O54" s="14" t="n">
        <f aca="false">((Assumptions!$C$10*$C$8)*IF((O$18=(Assumptions!$C$7+$C$9)),SUM(C47:H47),IF((O$18&gt;(Assumptions!$C$7+$C$9)),H47,0)))</f>
        <v>0</v>
      </c>
      <c r="P54" s="14" t="n">
        <f aca="false">((Assumptions!$C$10*$C$8)*IF((P$18=(Assumptions!$C$7+$C$9)),SUM(C47:I47),IF((P$18&gt;(Assumptions!$C$7+$C$9)),I47,0)))</f>
        <v>0</v>
      </c>
      <c r="Q54" s="14" t="n">
        <f aca="false">((Assumptions!$C$10*$C$8)*IF((Q$18=(Assumptions!$C$7+$C$9)),SUM(C47:J47),IF((Q$18&gt;(Assumptions!$C$7+$C$9)),J47,0)))</f>
        <v>0</v>
      </c>
      <c r="R54" s="14" t="n">
        <f aca="false">((Assumptions!$C$10*$C$8)*IF((R$18=(Assumptions!$C$7+$C$9)),SUM(C47:K47),IF((R$18&gt;(Assumptions!$C$7+$C$9)),K47,0)))</f>
        <v>0</v>
      </c>
      <c r="S54" s="14" t="n">
        <f aca="false">((Assumptions!$C$10*$C$8)*IF((S$18=(Assumptions!$C$7+$C$9)),SUM(C47:L47),IF((S$18&gt;(Assumptions!$C$7+$C$9)),L47,0)))</f>
        <v>0</v>
      </c>
      <c r="T54" s="14" t="n">
        <f aca="false">((Assumptions!$C$10*$C$8)*IF((T$18=(Assumptions!$C$7+$C$9)),SUM(C47:M47),IF((T$18&gt;(Assumptions!$C$7+$C$9)),M47,0)))</f>
        <v>0.54</v>
      </c>
      <c r="U54" s="14" t="n">
        <f aca="false">((Assumptions!$C$10*$C$8)*IF((U$18=(Assumptions!$C$7+$C$9)),SUM(C47:N47),IF((U$18&gt;(Assumptions!$C$7+$C$9)),N47,0)))</f>
        <v>0</v>
      </c>
      <c r="V54" s="14" t="n">
        <f aca="false">((Assumptions!$C$10*$C$8)*IF((V$18=(Assumptions!$C$7+$C$9)),SUM(C47:O47),IF((V$18&gt;(Assumptions!$C$7+$C$9)),O47,0)))</f>
        <v>0</v>
      </c>
      <c r="W54" s="14" t="n">
        <f aca="false">((Assumptions!$C$10*$C$8)*IF((W$18=(Assumptions!$C$7+$C$9)),SUM(C47:P47),IF((W$18&gt;(Assumptions!$C$7+$C$9)),P47,0)))</f>
        <v>0</v>
      </c>
      <c r="X54" s="14" t="n">
        <f aca="false">((Assumptions!$C$10*$C$8)*IF((X$18=(Assumptions!$C$7+$C$9)),SUM(C47:Q47),IF((X$18&gt;(Assumptions!$C$7+$C$9)),Q47,0)))</f>
        <v>0</v>
      </c>
      <c r="Y54" s="14" t="n">
        <f aca="false">((Assumptions!$C$10*$C$8)*IF((Y$18=(Assumptions!$C$7+$C$9)),SUM(C47:R47),IF((Y$18&gt;(Assumptions!$C$7+$C$9)),R47,0)))</f>
        <v>0</v>
      </c>
      <c r="Z54" s="14" t="n">
        <f aca="false">((Assumptions!$C$10*$C$8)*IF((Z$18=(Assumptions!$C$7+$C$9)),SUM(C47:S47),IF((Z$18&gt;(Assumptions!$C$7+$C$9)),S47,0)))</f>
        <v>0</v>
      </c>
      <c r="AA54" s="14" t="n">
        <f aca="false">((Assumptions!$C$10*$C$8)*IF((AA$18=(Assumptions!$C$7+$C$9)),SUM(C47:T47),IF((AA$18&gt;(Assumptions!$C$7+$C$9)),T47,0)))</f>
        <v>0</v>
      </c>
      <c r="AB54" s="14" t="n">
        <f aca="false">((Assumptions!$C$10*$C$8)*IF((AB$18=(Assumptions!$C$7+$C$9)),SUM(C47:U47),IF((AB$18&gt;(Assumptions!$C$7+$C$9)),U47,0)))</f>
        <v>0</v>
      </c>
      <c r="AC54" s="14" t="n">
        <f aca="false">((Assumptions!$C$10*$C$8)*IF((AC$18=(Assumptions!$C$7+$C$9)),SUM(C47:V47),IF((AC$18&gt;(Assumptions!$C$7+$C$9)),V47,0)))</f>
        <v>0</v>
      </c>
      <c r="AD54" s="14" t="n">
        <f aca="false">((Assumptions!$C$10*$C$8)*IF((AD$18=(Assumptions!$C$7+$C$9)),SUM(C47:W47),IF((AD$18&gt;(Assumptions!$C$7+$C$9)),W47,0)))</f>
        <v>0</v>
      </c>
      <c r="AE54" s="14" t="n">
        <f aca="false">((Assumptions!$C$10*$C$8)*IF((AE$18=(Assumptions!$C$7+$C$9)),SUM(C47:X47),IF((AE$18&gt;(Assumptions!$C$7+$C$9)),X47,0)))</f>
        <v>0</v>
      </c>
      <c r="AF54" s="14" t="n">
        <f aca="false">((Assumptions!$C$10*$C$8)*IF((AF$18=(Assumptions!$C$7+$C$9)),SUM(C47:Y47),IF((AF$18&gt;(Assumptions!$C$7+$C$9)),Y47,0)))</f>
        <v>0</v>
      </c>
      <c r="AG54" s="14" t="n">
        <f aca="false">((Assumptions!$C$10*$C$8)*IF((AG$18=(Assumptions!$C$7+$C$9)),SUM(C47:Z47),IF((AG$18&gt;(Assumptions!$C$7+$C$9)),Z47,0)))</f>
        <v>0</v>
      </c>
      <c r="AH54" s="14" t="n">
        <f aca="false">((Assumptions!$C$10*$C$8)*IF((AH$18=(Assumptions!$C$7+$C$9)),SUM(C47:AA47),IF((AH$18&gt;(Assumptions!$C$7+$C$9)),AA47,0)))</f>
        <v>0</v>
      </c>
      <c r="AI54" s="14" t="n">
        <f aca="false">((Assumptions!$C$10*$C$8)*IF((AI$18=(Assumptions!$C$7+$C$9)),SUM(C47:AB47),IF((AI$18&gt;(Assumptions!$C$7+$C$9)),AB47,0)))</f>
        <v>0</v>
      </c>
      <c r="AJ54" s="14" t="n">
        <f aca="false">((Assumptions!$C$10*$C$8)*IF((AJ$18=(Assumptions!$C$7+$C$9)),SUM(C47:AC47),IF((AJ$18&gt;(Assumptions!$C$7+$C$9)),AC47,0)))</f>
        <v>0</v>
      </c>
      <c r="AK54" s="14" t="n">
        <f aca="false">((Assumptions!$C$10*$C$8)*IF((AK$18=(Assumptions!$C$7+$C$9)),SUM(C47:AD47),IF((AK$18&gt;(Assumptions!$C$7+$C$9)),AD47,0)))</f>
        <v>0</v>
      </c>
      <c r="AL54" s="14" t="n">
        <f aca="false">((Assumptions!$C$10*$C$8)*IF((AL$18=(Assumptions!$C$7+$C$9)),SUM(C47:AE47),IF((AL$18&gt;(Assumptions!$C$7+$C$9)),AE47,0)))</f>
        <v>0</v>
      </c>
      <c r="AN54" s="36" t="n">
        <f aca="false">SUM(C54:N54)</f>
        <v>0</v>
      </c>
      <c r="AO54" s="36" t="n">
        <f aca="false">SUM(O54:Z54)</f>
        <v>0.54</v>
      </c>
      <c r="AP54" s="36" t="n">
        <f aca="false">SUM(AA54:AL54)</f>
        <v>0</v>
      </c>
    </row>
    <row r="55" customFormat="false" ht="15" hidden="false" customHeight="false" outlineLevel="0" collapsed="false">
      <c r="A55" s="0" t="s">
        <v>861</v>
      </c>
      <c r="B55" s="0" t="s">
        <v>852</v>
      </c>
      <c r="C55" s="14" t="n">
        <f aca="false">((C53+C54)+C49)</f>
        <v>0</v>
      </c>
      <c r="D55" s="14" t="n">
        <f aca="false">((D53+D54)+D49)</f>
        <v>0</v>
      </c>
      <c r="E55" s="14" t="n">
        <f aca="false">((E53+E54)+E49)</f>
        <v>0</v>
      </c>
      <c r="F55" s="14" t="n">
        <f aca="false">((F53+F54)+F49)</f>
        <v>0</v>
      </c>
      <c r="G55" s="14" t="n">
        <f aca="false">((G53+G54)+G49)</f>
        <v>0</v>
      </c>
      <c r="H55" s="14" t="n">
        <f aca="false">((H53+H54)+H49)</f>
        <v>0</v>
      </c>
      <c r="I55" s="14" t="n">
        <f aca="false">((I53+I54)+I49)</f>
        <v>0</v>
      </c>
      <c r="J55" s="14" t="n">
        <f aca="false">((J53+J54)+J49)</f>
        <v>0</v>
      </c>
      <c r="K55" s="14" t="n">
        <f aca="false">((K53+K54)+K49)</f>
        <v>0</v>
      </c>
      <c r="L55" s="14" t="n">
        <f aca="false">((L53+L54)+L49)</f>
        <v>0</v>
      </c>
      <c r="M55" s="14" t="n">
        <f aca="false">((M53+M54)+M49)</f>
        <v>0</v>
      </c>
      <c r="N55" s="14" t="n">
        <f aca="false">((N53+N54)+N49)</f>
        <v>0</v>
      </c>
      <c r="O55" s="14" t="n">
        <f aca="false">((O53+O54)+O49)</f>
        <v>0</v>
      </c>
      <c r="P55" s="14" t="n">
        <f aca="false">((P53+P54)+P49)</f>
        <v>0</v>
      </c>
      <c r="Q55" s="14" t="n">
        <f aca="false">((Q53+Q54)+Q49)</f>
        <v>0</v>
      </c>
      <c r="R55" s="14" t="n">
        <f aca="false">((R53+R54)+R49)</f>
        <v>0</v>
      </c>
      <c r="S55" s="14" t="n">
        <f aca="false">((S53+S54)+S49)</f>
        <v>0</v>
      </c>
      <c r="T55" s="14" t="n">
        <f aca="false">((T53+T54)+T49)</f>
        <v>0.54</v>
      </c>
      <c r="U55" s="14" t="n">
        <f aca="false">((U53+U54)+U49)</f>
        <v>0</v>
      </c>
      <c r="V55" s="14" t="n">
        <f aca="false">((V53+V54)+V49)</f>
        <v>0</v>
      </c>
      <c r="W55" s="14" t="n">
        <f aca="false">((W53+W54)+W49)</f>
        <v>0</v>
      </c>
      <c r="X55" s="14" t="n">
        <f aca="false">((X53+X54)+X49)</f>
        <v>0</v>
      </c>
      <c r="Y55" s="14" t="n">
        <f aca="false">((Y53+Y54)+Y49)</f>
        <v>0</v>
      </c>
      <c r="Z55" s="14" t="n">
        <f aca="false">((Z53+Z54)+Z49)</f>
        <v>0</v>
      </c>
      <c r="AA55" s="14" t="n">
        <f aca="false">((AA53+AA54)+AA49)</f>
        <v>0</v>
      </c>
      <c r="AB55" s="14" t="n">
        <f aca="false">((AB53+AB54)+AB49)</f>
        <v>0.45</v>
      </c>
      <c r="AC55" s="14" t="n">
        <f aca="false">((AC53+AC54)+AC49)</f>
        <v>0</v>
      </c>
      <c r="AD55" s="14" t="n">
        <f aca="false">((AD53+AD54)+AD49)</f>
        <v>0</v>
      </c>
      <c r="AE55" s="14" t="n">
        <f aca="false">((AE53+AE54)+AE49)</f>
        <v>1.45</v>
      </c>
      <c r="AF55" s="14" t="n">
        <f aca="false">((AF53+AF54)+AF49)</f>
        <v>0</v>
      </c>
      <c r="AG55" s="14" t="n">
        <f aca="false">((AG53+AG54)+AG49)</f>
        <v>0</v>
      </c>
      <c r="AH55" s="14" t="n">
        <f aca="false">((AH53+AH54)+AH49)</f>
        <v>1.9</v>
      </c>
      <c r="AI55" s="14" t="n">
        <f aca="false">((AI53+AI54)+AI49)</f>
        <v>0</v>
      </c>
      <c r="AJ55" s="14" t="n">
        <f aca="false">((AJ53+AJ54)+AJ49)</f>
        <v>0</v>
      </c>
      <c r="AK55" s="14" t="n">
        <f aca="false">((AK53+AK54)+AK49)</f>
        <v>2.9</v>
      </c>
      <c r="AL55" s="14" t="n">
        <f aca="false">((AL53+AL54)+AL49)</f>
        <v>0</v>
      </c>
      <c r="AN55" s="36" t="n">
        <f aca="false">SUM(C55:N55)</f>
        <v>0</v>
      </c>
      <c r="AO55" s="36" t="n">
        <f aca="false">SUM(O55:Z55)</f>
        <v>0.54</v>
      </c>
      <c r="AP55" s="36" t="n">
        <f aca="false">SUM(AA55:AL55)</f>
        <v>6.7</v>
      </c>
    </row>
    <row r="56" customFormat="false" ht="15" hidden="false" customHeight="false" outlineLevel="0" collapsed="false">
      <c r="A56" s="0" t="s">
        <v>862</v>
      </c>
      <c r="B56" s="0" t="s">
        <v>852</v>
      </c>
      <c r="C56" s="14" t="n">
        <f aca="false">(C55+(C45*0))</f>
        <v>0</v>
      </c>
      <c r="D56" s="14" t="n">
        <f aca="false">(D55+(D45*0))</f>
        <v>0</v>
      </c>
      <c r="E56" s="14" t="n">
        <f aca="false">(E55+(E45*0))</f>
        <v>0</v>
      </c>
      <c r="F56" s="14" t="n">
        <f aca="false">(F55+(F45*0))</f>
        <v>0</v>
      </c>
      <c r="G56" s="14" t="n">
        <f aca="false">(G55+(G45*0))</f>
        <v>0</v>
      </c>
      <c r="H56" s="14" t="n">
        <f aca="false">(H55+(H45*0))</f>
        <v>0</v>
      </c>
      <c r="I56" s="14" t="n">
        <f aca="false">(I55+(I45*0))</f>
        <v>0</v>
      </c>
      <c r="J56" s="14" t="n">
        <f aca="false">(J55+(J45*0))</f>
        <v>0</v>
      </c>
      <c r="K56" s="14" t="n">
        <f aca="false">(K55+(K45*0))</f>
        <v>0</v>
      </c>
      <c r="L56" s="14" t="n">
        <f aca="false">(L55+(L45*0))</f>
        <v>0</v>
      </c>
      <c r="M56" s="14" t="n">
        <f aca="false">(M55+(M45*0))</f>
        <v>0</v>
      </c>
      <c r="N56" s="14" t="n">
        <f aca="false">(N55+(N45*0))</f>
        <v>0</v>
      </c>
      <c r="O56" s="14" t="n">
        <f aca="false">(O55+(O45*C56))</f>
        <v>0</v>
      </c>
      <c r="P56" s="14" t="n">
        <f aca="false">(P55+(P45*D56))</f>
        <v>0</v>
      </c>
      <c r="Q56" s="14" t="n">
        <f aca="false">(Q55+(Q45*E56))</f>
        <v>0</v>
      </c>
      <c r="R56" s="14" t="n">
        <f aca="false">(R55+(R45*F56))</f>
        <v>0</v>
      </c>
      <c r="S56" s="14" t="n">
        <f aca="false">(S55+(S45*G56))</f>
        <v>0</v>
      </c>
      <c r="T56" s="14" t="n">
        <f aca="false">(T55+(T45*H56))</f>
        <v>0.54</v>
      </c>
      <c r="U56" s="14" t="n">
        <f aca="false">(U55+(U45*I56))</f>
        <v>0</v>
      </c>
      <c r="V56" s="14" t="n">
        <f aca="false">(V55+(V45*J56))</f>
        <v>0</v>
      </c>
      <c r="W56" s="14" t="n">
        <f aca="false">(W55+(W45*K56))</f>
        <v>0</v>
      </c>
      <c r="X56" s="14" t="n">
        <f aca="false">(X55+(X45*L56))</f>
        <v>0</v>
      </c>
      <c r="Y56" s="14" t="n">
        <f aca="false">(Y55+(Y45*M56))</f>
        <v>0</v>
      </c>
      <c r="Z56" s="14" t="n">
        <f aca="false">(Z55+(Z45*N56))</f>
        <v>0</v>
      </c>
      <c r="AA56" s="14" t="n">
        <f aca="false">(AA55+(AA45*O56))</f>
        <v>0</v>
      </c>
      <c r="AB56" s="14" t="n">
        <f aca="false">(AB55+(AB45*P56))</f>
        <v>0.45</v>
      </c>
      <c r="AC56" s="14" t="n">
        <f aca="false">(AC55+(AC45*Q56))</f>
        <v>0</v>
      </c>
      <c r="AD56" s="14" t="n">
        <f aca="false">(AD55+(AD45*R56))</f>
        <v>0</v>
      </c>
      <c r="AE56" s="14" t="n">
        <f aca="false">(AE55+(AE45*S56))</f>
        <v>1.45</v>
      </c>
      <c r="AF56" s="14" t="n">
        <f aca="false">(AF55+(AF45*T56))</f>
        <v>0.4752</v>
      </c>
      <c r="AG56" s="14" t="n">
        <f aca="false">(AG55+(AG45*U56))</f>
        <v>0</v>
      </c>
      <c r="AH56" s="14" t="n">
        <f aca="false">(AH55+(AH45*V56))</f>
        <v>1.9</v>
      </c>
      <c r="AI56" s="14" t="n">
        <f aca="false">(AI55+(AI45*W56))</f>
        <v>0</v>
      </c>
      <c r="AJ56" s="14" t="n">
        <f aca="false">(AJ55+(AJ45*X56))</f>
        <v>0</v>
      </c>
      <c r="AK56" s="14" t="n">
        <f aca="false">(AK55+(AK45*Y56))</f>
        <v>2.9</v>
      </c>
      <c r="AL56" s="14" t="n">
        <f aca="false">(AL55+(AL45*Z56))</f>
        <v>0</v>
      </c>
      <c r="AN56" s="36" t="n">
        <f aca="false">SUM(C56:N56)</f>
        <v>0</v>
      </c>
      <c r="AO56" s="36" t="n">
        <f aca="false">SUM(O56:Z56)</f>
        <v>0.54</v>
      </c>
      <c r="AP56" s="36" t="n">
        <f aca="false">SUM(AA56:AL56)</f>
        <v>7.1752</v>
      </c>
    </row>
    <row r="57" customFormat="false" ht="15" hidden="false" customHeight="false" outlineLevel="0" collapsed="false">
      <c r="A57" s="0" t="s">
        <v>863</v>
      </c>
      <c r="B57" s="0" t="s">
        <v>852</v>
      </c>
      <c r="C57" s="14" t="n">
        <f aca="false">C56</f>
        <v>0</v>
      </c>
      <c r="D57" s="14" t="n">
        <f aca="false">SUM(C56:D56)</f>
        <v>0</v>
      </c>
      <c r="E57" s="14" t="n">
        <f aca="false">SUM(C56:E56)</f>
        <v>0</v>
      </c>
      <c r="F57" s="14" t="n">
        <f aca="false">SUM(C56:F56)</f>
        <v>0</v>
      </c>
      <c r="G57" s="14" t="n">
        <f aca="false">SUM(C56:G56)</f>
        <v>0</v>
      </c>
      <c r="H57" s="14" t="n">
        <f aca="false">SUM(C56:H56)</f>
        <v>0</v>
      </c>
      <c r="I57" s="14" t="n">
        <f aca="false">SUM(C56:I56)</f>
        <v>0</v>
      </c>
      <c r="J57" s="14" t="n">
        <f aca="false">SUM(C56:J56)</f>
        <v>0</v>
      </c>
      <c r="K57" s="14" t="n">
        <f aca="false">SUM(C56:K56)</f>
        <v>0</v>
      </c>
      <c r="L57" s="14" t="n">
        <f aca="false">SUM(C56:L56)</f>
        <v>0</v>
      </c>
      <c r="M57" s="14" t="n">
        <f aca="false">SUM(C56:M56)</f>
        <v>0</v>
      </c>
      <c r="N57" s="14" t="n">
        <f aca="false">SUM(C56:N56)</f>
        <v>0</v>
      </c>
      <c r="O57" s="14" t="n">
        <f aca="false">SUM(D56:O56)</f>
        <v>0</v>
      </c>
      <c r="P57" s="14" t="n">
        <f aca="false">SUM(E56:P56)</f>
        <v>0</v>
      </c>
      <c r="Q57" s="14" t="n">
        <f aca="false">SUM(F56:Q56)</f>
        <v>0</v>
      </c>
      <c r="R57" s="14" t="n">
        <f aca="false">SUM(G56:R56)</f>
        <v>0</v>
      </c>
      <c r="S57" s="14" t="n">
        <f aca="false">SUM(H56:S56)</f>
        <v>0</v>
      </c>
      <c r="T57" s="14" t="n">
        <f aca="false">SUM(I56:T56)</f>
        <v>0.54</v>
      </c>
      <c r="U57" s="14" t="n">
        <f aca="false">SUM(J56:U56)</f>
        <v>0.54</v>
      </c>
      <c r="V57" s="14" t="n">
        <f aca="false">SUM(K56:V56)</f>
        <v>0.54</v>
      </c>
      <c r="W57" s="14" t="n">
        <f aca="false">SUM(L56:W56)</f>
        <v>0.54</v>
      </c>
      <c r="X57" s="14" t="n">
        <f aca="false">SUM(M56:X56)</f>
        <v>0.54</v>
      </c>
      <c r="Y57" s="14" t="n">
        <f aca="false">SUM(N56:Y56)</f>
        <v>0.54</v>
      </c>
      <c r="Z57" s="14" t="n">
        <f aca="false">SUM(O56:Z56)</f>
        <v>0.54</v>
      </c>
      <c r="AA57" s="14" t="n">
        <f aca="false">SUM(P56:AA56)</f>
        <v>0.54</v>
      </c>
      <c r="AB57" s="14" t="n">
        <f aca="false">SUM(Q56:AB56)</f>
        <v>0.99</v>
      </c>
      <c r="AC57" s="14" t="n">
        <f aca="false">SUM(R56:AC56)</f>
        <v>0.99</v>
      </c>
      <c r="AD57" s="14" t="n">
        <f aca="false">SUM(S56:AD56)</f>
        <v>0.99</v>
      </c>
      <c r="AE57" s="14" t="n">
        <f aca="false">SUM(T56:AE56)</f>
        <v>2.44</v>
      </c>
      <c r="AF57" s="14" t="n">
        <f aca="false">SUM(U56:AF56)</f>
        <v>2.3752</v>
      </c>
      <c r="AG57" s="14" t="n">
        <f aca="false">SUM(V56:AG56)</f>
        <v>2.3752</v>
      </c>
      <c r="AH57" s="14" t="n">
        <f aca="false">SUM(W56:AH56)</f>
        <v>4.2752</v>
      </c>
      <c r="AI57" s="14" t="n">
        <f aca="false">SUM(X56:AI56)</f>
        <v>4.2752</v>
      </c>
      <c r="AJ57" s="14" t="n">
        <f aca="false">SUM(Y56:AJ56)</f>
        <v>4.2752</v>
      </c>
      <c r="AK57" s="14" t="n">
        <f aca="false">SUM(Z56:AK56)</f>
        <v>7.1752</v>
      </c>
      <c r="AL57" s="14" t="n">
        <f aca="false">SUM(AA56:AL56)</f>
        <v>7.1752</v>
      </c>
      <c r="AN57" s="36" t="n">
        <f aca="false">N57</f>
        <v>0</v>
      </c>
      <c r="AO57" s="36" t="n">
        <f aca="false">Z57</f>
        <v>0.54</v>
      </c>
      <c r="AP57" s="36" t="n">
        <f aca="false">AL57</f>
        <v>7.1752</v>
      </c>
    </row>
    <row r="58" customFormat="false" ht="15" hidden="false" customHeight="false" outlineLevel="0" collapsed="false">
      <c r="A58" s="0" t="s">
        <v>864</v>
      </c>
      <c r="B58" s="0" t="s">
        <v>230</v>
      </c>
      <c r="C58" s="9" t="n">
        <f aca="false">((Assumptions!$C$121*(1-Assumptions!$C$29))*$C$10)</f>
        <v>26400</v>
      </c>
      <c r="D58" s="9" t="n">
        <f aca="false">((Assumptions!$C$121*(1-Assumptions!$C$29))*$C$10)</f>
        <v>26400</v>
      </c>
      <c r="E58" s="9" t="n">
        <f aca="false">((Assumptions!$C$121*(1-Assumptions!$C$29))*$C$10)</f>
        <v>26400</v>
      </c>
      <c r="F58" s="9" t="n">
        <f aca="false">((Assumptions!$C$121*(1-Assumptions!$C$29))*$C$10)</f>
        <v>26400</v>
      </c>
      <c r="G58" s="9" t="n">
        <f aca="false">((Assumptions!$C$121*(1-Assumptions!$C$29))*$C$10)</f>
        <v>26400</v>
      </c>
      <c r="H58" s="9" t="n">
        <f aca="false">((Assumptions!$C$121*(1-Assumptions!$C$29))*$C$10)</f>
        <v>26400</v>
      </c>
      <c r="I58" s="9" t="n">
        <f aca="false">((Assumptions!$C$121*(1-Assumptions!$C$29))*$C$10)</f>
        <v>26400</v>
      </c>
      <c r="J58" s="9" t="n">
        <f aca="false">((Assumptions!$C$121*(1-Assumptions!$C$29))*$C$10)</f>
        <v>26400</v>
      </c>
      <c r="K58" s="9" t="n">
        <f aca="false">((Assumptions!$C$121*(1-Assumptions!$C$29))*$C$10)</f>
        <v>26400</v>
      </c>
      <c r="L58" s="9" t="n">
        <f aca="false">((Assumptions!$C$121*(1-Assumptions!$C$29))*$C$10)</f>
        <v>26400</v>
      </c>
      <c r="M58" s="9" t="n">
        <f aca="false">((Assumptions!$C$121*(1-Assumptions!$C$29))*$C$10)</f>
        <v>26400</v>
      </c>
      <c r="N58" s="9" t="n">
        <f aca="false">((Assumptions!$C$121*(1-Assumptions!$C$29))*$C$10)</f>
        <v>26400</v>
      </c>
      <c r="O58" s="9" t="n">
        <f aca="false">((Assumptions!$C$121*(1-Assumptions!$C$29))*$C$10)</f>
        <v>26400</v>
      </c>
      <c r="P58" s="9" t="n">
        <f aca="false">((Assumptions!$C$121*(1-Assumptions!$C$29))*$C$10)</f>
        <v>26400</v>
      </c>
      <c r="Q58" s="9" t="n">
        <f aca="false">((Assumptions!$C$121*(1-Assumptions!$C$29))*$C$10)</f>
        <v>26400</v>
      </c>
      <c r="R58" s="9" t="n">
        <f aca="false">((Assumptions!$C$121*(1-Assumptions!$C$29))*$C$10)</f>
        <v>26400</v>
      </c>
      <c r="S58" s="9" t="n">
        <f aca="false">((Assumptions!$C$121*(1-Assumptions!$C$29))*$C$10)</f>
        <v>26400</v>
      </c>
      <c r="T58" s="9" t="n">
        <f aca="false">((Assumptions!$C$121*(1-Assumptions!$C$29))*$C$10)</f>
        <v>26400</v>
      </c>
      <c r="U58" s="9" t="n">
        <f aca="false">((Assumptions!$C$121*(1-Assumptions!$C$29))*$C$10)</f>
        <v>26400</v>
      </c>
      <c r="V58" s="9" t="n">
        <f aca="false">((Assumptions!$C$121*(1-Assumptions!$C$29))*$C$10)</f>
        <v>26400</v>
      </c>
      <c r="W58" s="9" t="n">
        <f aca="false">((Assumptions!$C$121*(1-Assumptions!$C$29))*$C$10)</f>
        <v>26400</v>
      </c>
      <c r="X58" s="9" t="n">
        <f aca="false">((Assumptions!$C$121*(1-Assumptions!$C$29))*$C$10)</f>
        <v>26400</v>
      </c>
      <c r="Y58" s="9" t="n">
        <f aca="false">((Assumptions!$C$121*(1-Assumptions!$C$29))*$C$10)</f>
        <v>26400</v>
      </c>
      <c r="Z58" s="9" t="n">
        <f aca="false">((Assumptions!$C$121*(1-Assumptions!$C$29))*$C$10)</f>
        <v>26400</v>
      </c>
      <c r="AA58" s="9" t="n">
        <f aca="false">((Assumptions!$C$121*(1-Assumptions!$C$29))*$C$10)</f>
        <v>26400</v>
      </c>
      <c r="AB58" s="9" t="n">
        <f aca="false">((Assumptions!$C$121*(1-Assumptions!$C$29))*$C$10)</f>
        <v>26400</v>
      </c>
      <c r="AC58" s="9" t="n">
        <f aca="false">((Assumptions!$C$121*(1-Assumptions!$C$29))*$C$10)</f>
        <v>26400</v>
      </c>
      <c r="AD58" s="9" t="n">
        <f aca="false">((Assumptions!$C$121*(1-Assumptions!$C$29))*$C$10)</f>
        <v>26400</v>
      </c>
      <c r="AE58" s="9" t="n">
        <f aca="false">((Assumptions!$C$121*(1-Assumptions!$C$29))*$C$10)</f>
        <v>26400</v>
      </c>
      <c r="AF58" s="9" t="n">
        <f aca="false">((Assumptions!$C$121*(1-Assumptions!$C$29))*$C$10)</f>
        <v>26400</v>
      </c>
      <c r="AG58" s="9" t="n">
        <f aca="false">((Assumptions!$C$121*(1-Assumptions!$C$29))*$C$10)</f>
        <v>26400</v>
      </c>
      <c r="AH58" s="9" t="n">
        <f aca="false">((Assumptions!$C$121*(1-Assumptions!$C$29))*$C$10)</f>
        <v>26400</v>
      </c>
      <c r="AI58" s="9" t="n">
        <f aca="false">((Assumptions!$C$121*(1-Assumptions!$C$29))*$C$10)</f>
        <v>26400</v>
      </c>
      <c r="AJ58" s="9" t="n">
        <f aca="false">((Assumptions!$C$121*(1-Assumptions!$C$29))*$C$10)</f>
        <v>26400</v>
      </c>
      <c r="AK58" s="9" t="n">
        <f aca="false">((Assumptions!$C$121*(1-Assumptions!$C$29))*$C$10)</f>
        <v>26400</v>
      </c>
      <c r="AL58" s="9" t="n">
        <f aca="false">((Assumptions!$C$121*(1-Assumptions!$C$29))*$C$10)</f>
        <v>26400</v>
      </c>
    </row>
    <row r="59" customFormat="false" ht="15" hidden="false" customHeight="false" outlineLevel="0" collapsed="false">
      <c r="A59" s="0" t="s">
        <v>865</v>
      </c>
      <c r="B59" s="0" t="s">
        <v>230</v>
      </c>
      <c r="C59" s="9" t="n">
        <f aca="false">((C55*C58)+((C45*(1+Assumptions!$C$31))*0))</f>
        <v>0</v>
      </c>
      <c r="D59" s="9" t="n">
        <f aca="false">((D55*D58)+((D45*(1+Assumptions!$C$31))*0))</f>
        <v>0</v>
      </c>
      <c r="E59" s="9" t="n">
        <f aca="false">((E55*E58)+((E45*(1+Assumptions!$C$31))*0))</f>
        <v>0</v>
      </c>
      <c r="F59" s="9" t="n">
        <f aca="false">((F55*F58)+((F45*(1+Assumptions!$C$31))*0))</f>
        <v>0</v>
      </c>
      <c r="G59" s="9" t="n">
        <f aca="false">((G55*G58)+((G45*(1+Assumptions!$C$31))*0))</f>
        <v>0</v>
      </c>
      <c r="H59" s="9" t="n">
        <f aca="false">((H55*H58)+((H45*(1+Assumptions!$C$31))*0))</f>
        <v>0</v>
      </c>
      <c r="I59" s="9" t="n">
        <f aca="false">((I55*I58)+((I45*(1+Assumptions!$C$31))*0))</f>
        <v>0</v>
      </c>
      <c r="J59" s="9" t="n">
        <f aca="false">((J55*J58)+((J45*(1+Assumptions!$C$31))*0))</f>
        <v>0</v>
      </c>
      <c r="K59" s="9" t="n">
        <f aca="false">((K55*K58)+((K45*(1+Assumptions!$C$31))*0))</f>
        <v>0</v>
      </c>
      <c r="L59" s="9" t="n">
        <f aca="false">((L55*L58)+((L45*(1+Assumptions!$C$31))*0))</f>
        <v>0</v>
      </c>
      <c r="M59" s="9" t="n">
        <f aca="false">((M55*M58)+((M45*(1+Assumptions!$C$31))*0))</f>
        <v>0</v>
      </c>
      <c r="N59" s="9" t="n">
        <f aca="false">((N55*N58)+((N45*(1+Assumptions!$C$31))*0))</f>
        <v>0</v>
      </c>
      <c r="O59" s="9" t="n">
        <f aca="false">((O55*O58)+((O45*(1+Assumptions!$C$31))*C59))</f>
        <v>0</v>
      </c>
      <c r="P59" s="9" t="n">
        <f aca="false">((P55*P58)+((P45*(1+Assumptions!$C$31))*D59))</f>
        <v>0</v>
      </c>
      <c r="Q59" s="9" t="n">
        <f aca="false">((Q55*Q58)+((Q45*(1+Assumptions!$C$31))*E59))</f>
        <v>0</v>
      </c>
      <c r="R59" s="9" t="n">
        <f aca="false">((R55*R58)+((R45*(1+Assumptions!$C$31))*F59))</f>
        <v>0</v>
      </c>
      <c r="S59" s="9" t="n">
        <f aca="false">((S55*S58)+((S45*(1+Assumptions!$C$31))*G59))</f>
        <v>0</v>
      </c>
      <c r="T59" s="9" t="n">
        <f aca="false">((T55*T58)+((T45*(1+Assumptions!$C$31))*H59))</f>
        <v>14256</v>
      </c>
      <c r="U59" s="9" t="n">
        <f aca="false">((U55*U58)+((U45*(1+Assumptions!$C$31))*I59))</f>
        <v>0</v>
      </c>
      <c r="V59" s="9" t="n">
        <f aca="false">((V55*V58)+((V45*(1+Assumptions!$C$31))*J59))</f>
        <v>0</v>
      </c>
      <c r="W59" s="9" t="n">
        <f aca="false">((W55*W58)+((W45*(1+Assumptions!$C$31))*K59))</f>
        <v>0</v>
      </c>
      <c r="X59" s="9" t="n">
        <f aca="false">((X55*X58)+((X45*(1+Assumptions!$C$31))*L59))</f>
        <v>0</v>
      </c>
      <c r="Y59" s="9" t="n">
        <f aca="false">((Y55*Y58)+((Y45*(1+Assumptions!$C$31))*M59))</f>
        <v>0</v>
      </c>
      <c r="Z59" s="9" t="n">
        <f aca="false">((Z55*Z58)+((Z45*(1+Assumptions!$C$31))*N59))</f>
        <v>0</v>
      </c>
      <c r="AA59" s="9" t="n">
        <f aca="false">((AA55*AA58)+((AA45*(1+Assumptions!$C$31))*O59))</f>
        <v>0</v>
      </c>
      <c r="AB59" s="9" t="n">
        <f aca="false">((AB55*AB58)+((AB45*(1+Assumptions!$C$31))*P59))</f>
        <v>11880</v>
      </c>
      <c r="AC59" s="9" t="n">
        <f aca="false">((AC55*AC58)+((AC45*(1+Assumptions!$C$31))*Q59))</f>
        <v>0</v>
      </c>
      <c r="AD59" s="9" t="n">
        <f aca="false">((AD55*AD58)+((AD45*(1+Assumptions!$C$31))*R59))</f>
        <v>0</v>
      </c>
      <c r="AE59" s="9" t="n">
        <f aca="false">((AE55*AE58)+((AE45*(1+Assumptions!$C$31))*S59))</f>
        <v>38280</v>
      </c>
      <c r="AF59" s="9" t="n">
        <f aca="false">((AF55*AF58)+((AF45*(1+Assumptions!$C$31))*T59))</f>
        <v>13799.808</v>
      </c>
      <c r="AG59" s="9" t="n">
        <f aca="false">((AG55*AG58)+((AG45*(1+Assumptions!$C$31))*U59))</f>
        <v>0</v>
      </c>
      <c r="AH59" s="9" t="n">
        <f aca="false">((AH55*AH58)+((AH45*(1+Assumptions!$C$31))*V59))</f>
        <v>50160</v>
      </c>
      <c r="AI59" s="9" t="n">
        <f aca="false">((AI55*AI58)+((AI45*(1+Assumptions!$C$31))*W59))</f>
        <v>0</v>
      </c>
      <c r="AJ59" s="9" t="n">
        <f aca="false">((AJ55*AJ58)+((AJ45*(1+Assumptions!$C$31))*X59))</f>
        <v>0</v>
      </c>
      <c r="AK59" s="9" t="n">
        <f aca="false">((AK55*AK58)+((AK45*(1+Assumptions!$C$31))*Y59))</f>
        <v>76560</v>
      </c>
      <c r="AL59" s="9" t="n">
        <f aca="false">((AL55*AL58)+((AL45*(1+Assumptions!$C$31))*Z59))</f>
        <v>0</v>
      </c>
      <c r="AN59" s="11" t="n">
        <f aca="false">SUM(C59:N59)</f>
        <v>0</v>
      </c>
      <c r="AO59" s="11" t="n">
        <f aca="false">SUM(O59:Z59)</f>
        <v>14256</v>
      </c>
      <c r="AP59" s="11" t="n">
        <f aca="false">SUM(AA59:AL59)</f>
        <v>190679.808</v>
      </c>
    </row>
    <row r="60" customFormat="false" ht="15" hidden="false" customHeight="false" outlineLevel="0" collapsed="false">
      <c r="A60" s="0" t="s">
        <v>866</v>
      </c>
      <c r="B60" s="0" t="s">
        <v>230</v>
      </c>
      <c r="C60" s="9" t="n">
        <f aca="false">(Assumptions!$C$126*C53)</f>
        <v>0</v>
      </c>
      <c r="D60" s="9" t="n">
        <f aca="false">(Assumptions!$C$126*D53)</f>
        <v>0</v>
      </c>
      <c r="E60" s="9" t="n">
        <f aca="false">(Assumptions!$C$126*E53)</f>
        <v>0</v>
      </c>
      <c r="F60" s="9" t="n">
        <f aca="false">(Assumptions!$C$126*F53)</f>
        <v>0</v>
      </c>
      <c r="G60" s="9" t="n">
        <f aca="false">(Assumptions!$C$126*G53)</f>
        <v>0</v>
      </c>
      <c r="H60" s="9" t="n">
        <f aca="false">(Assumptions!$C$126*H53)</f>
        <v>0</v>
      </c>
      <c r="I60" s="9" t="n">
        <f aca="false">(Assumptions!$C$126*I53)</f>
        <v>0</v>
      </c>
      <c r="J60" s="9" t="n">
        <f aca="false">(Assumptions!$C$126*J53)</f>
        <v>0</v>
      </c>
      <c r="K60" s="9" t="n">
        <f aca="false">(Assumptions!$C$126*K53)</f>
        <v>0</v>
      </c>
      <c r="L60" s="9" t="n">
        <f aca="false">(Assumptions!$C$126*L53)</f>
        <v>0</v>
      </c>
      <c r="M60" s="9" t="n">
        <f aca="false">(Assumptions!$C$126*M53)</f>
        <v>0</v>
      </c>
      <c r="N60" s="9" t="n">
        <f aca="false">(Assumptions!$C$126*N53)</f>
        <v>0</v>
      </c>
      <c r="O60" s="9" t="n">
        <f aca="false">(Assumptions!$C$126*O53)</f>
        <v>0</v>
      </c>
      <c r="P60" s="9" t="n">
        <f aca="false">(Assumptions!$C$126*P53)</f>
        <v>0</v>
      </c>
      <c r="Q60" s="9" t="n">
        <f aca="false">(Assumptions!$C$126*Q53)</f>
        <v>0</v>
      </c>
      <c r="R60" s="9" t="n">
        <f aca="false">(Assumptions!$C$126*R53)</f>
        <v>0</v>
      </c>
      <c r="S60" s="9" t="n">
        <f aca="false">(Assumptions!$C$126*S53)</f>
        <v>0</v>
      </c>
      <c r="T60" s="9" t="n">
        <f aca="false">(Assumptions!$C$126*T53)</f>
        <v>0</v>
      </c>
      <c r="U60" s="9" t="n">
        <f aca="false">(Assumptions!$C$126*U53)</f>
        <v>0</v>
      </c>
      <c r="V60" s="9" t="n">
        <f aca="false">(Assumptions!$C$126*V53)</f>
        <v>0</v>
      </c>
      <c r="W60" s="9" t="n">
        <f aca="false">(Assumptions!$C$126*W53)</f>
        <v>0</v>
      </c>
      <c r="X60" s="9" t="n">
        <f aca="false">(Assumptions!$C$126*X53)</f>
        <v>0</v>
      </c>
      <c r="Y60" s="9" t="n">
        <f aca="false">(Assumptions!$C$126*Y53)</f>
        <v>0</v>
      </c>
      <c r="Z60" s="9" t="n">
        <f aca="false">(Assumptions!$C$126*Z53)</f>
        <v>0</v>
      </c>
      <c r="AA60" s="9" t="n">
        <f aca="false">(Assumptions!$C$126*AA53)</f>
        <v>0</v>
      </c>
      <c r="AB60" s="9" t="n">
        <f aca="false">(Assumptions!$C$126*AB53)</f>
        <v>3375</v>
      </c>
      <c r="AC60" s="9" t="n">
        <f aca="false">(Assumptions!$C$126*AC53)</f>
        <v>0</v>
      </c>
      <c r="AD60" s="9" t="n">
        <f aca="false">(Assumptions!$C$126*AD53)</f>
        <v>0</v>
      </c>
      <c r="AE60" s="9" t="n">
        <f aca="false">(Assumptions!$C$126*AE53)</f>
        <v>3375</v>
      </c>
      <c r="AF60" s="9" t="n">
        <f aca="false">(Assumptions!$C$126*AF53)</f>
        <v>0</v>
      </c>
      <c r="AG60" s="9" t="n">
        <f aca="false">(Assumptions!$C$126*AG53)</f>
        <v>0</v>
      </c>
      <c r="AH60" s="9" t="n">
        <f aca="false">(Assumptions!$C$126*AH53)</f>
        <v>6750</v>
      </c>
      <c r="AI60" s="9" t="n">
        <f aca="false">(Assumptions!$C$126*AI53)</f>
        <v>0</v>
      </c>
      <c r="AJ60" s="9" t="n">
        <f aca="false">(Assumptions!$C$126*AJ53)</f>
        <v>0</v>
      </c>
      <c r="AK60" s="9" t="n">
        <f aca="false">(Assumptions!$C$126*AK53)</f>
        <v>6750</v>
      </c>
      <c r="AL60" s="9" t="n">
        <f aca="false">(Assumptions!$C$126*AL53)</f>
        <v>0</v>
      </c>
      <c r="AN60" s="11" t="n">
        <f aca="false">SUM(C60:N60)</f>
        <v>0</v>
      </c>
      <c r="AO60" s="11" t="n">
        <f aca="false">SUM(O60:Z60)</f>
        <v>0</v>
      </c>
      <c r="AP60" s="11" t="n">
        <f aca="false">SUM(AA60:AL60)</f>
        <v>20250</v>
      </c>
    </row>
    <row r="61" customFormat="false" ht="15" hidden="false" customHeight="false" outlineLevel="0" collapsed="false">
      <c r="A61" s="0" t="s">
        <v>867</v>
      </c>
      <c r="B61" s="0" t="s">
        <v>230</v>
      </c>
      <c r="C61" s="9" t="n">
        <f aca="false">((C59-C60)/12)</f>
        <v>0</v>
      </c>
      <c r="D61" s="9" t="n">
        <f aca="false">((SUM(C59:D59)-SUM(C60:D60))/12)</f>
        <v>0</v>
      </c>
      <c r="E61" s="9" t="n">
        <f aca="false">((SUM(C59:E59)-SUM(C60:E60))/12)</f>
        <v>0</v>
      </c>
      <c r="F61" s="9" t="n">
        <f aca="false">((SUM(C59:F59)-SUM(C60:F60))/12)</f>
        <v>0</v>
      </c>
      <c r="G61" s="9" t="n">
        <f aca="false">((SUM(C59:G59)-SUM(C60:G60))/12)</f>
        <v>0</v>
      </c>
      <c r="H61" s="9" t="n">
        <f aca="false">((SUM(C59:H59)-SUM(C60:H60))/12)</f>
        <v>0</v>
      </c>
      <c r="I61" s="9" t="n">
        <f aca="false">((SUM(C59:I59)-SUM(C60:I60))/12)</f>
        <v>0</v>
      </c>
      <c r="J61" s="9" t="n">
        <f aca="false">((SUM(C59:J59)-SUM(C60:J60))/12)</f>
        <v>0</v>
      </c>
      <c r="K61" s="9" t="n">
        <f aca="false">((SUM(C59:K59)-SUM(C60:K60))/12)</f>
        <v>0</v>
      </c>
      <c r="L61" s="9" t="n">
        <f aca="false">((SUM(C59:L59)-SUM(C60:L60))/12)</f>
        <v>0</v>
      </c>
      <c r="M61" s="9" t="n">
        <f aca="false">((SUM(C59:M59)-SUM(C60:M60))/12)</f>
        <v>0</v>
      </c>
      <c r="N61" s="9" t="n">
        <f aca="false">((SUM(C59:N59)-SUM(C60:N60))/12)</f>
        <v>0</v>
      </c>
      <c r="O61" s="9" t="n">
        <f aca="false">((SUM(D59:O59)-SUM(D60:O60))/12)</f>
        <v>0</v>
      </c>
      <c r="P61" s="9" t="n">
        <f aca="false">((SUM(E59:P59)-SUM(E60:P60))/12)</f>
        <v>0</v>
      </c>
      <c r="Q61" s="9" t="n">
        <f aca="false">((SUM(F59:Q59)-SUM(F60:Q60))/12)</f>
        <v>0</v>
      </c>
      <c r="R61" s="9" t="n">
        <f aca="false">((SUM(G59:R59)-SUM(G60:R60))/12)</f>
        <v>0</v>
      </c>
      <c r="S61" s="9" t="n">
        <f aca="false">((SUM(H59:S59)-SUM(H60:S60))/12)</f>
        <v>0</v>
      </c>
      <c r="T61" s="9" t="n">
        <f aca="false">((SUM(I59:T59)-SUM(I60:T60))/12)</f>
        <v>1188</v>
      </c>
      <c r="U61" s="9" t="n">
        <f aca="false">((SUM(J59:U59)-SUM(J60:U60))/12)</f>
        <v>1188</v>
      </c>
      <c r="V61" s="9" t="n">
        <f aca="false">((SUM(K59:V59)-SUM(K60:V60))/12)</f>
        <v>1188</v>
      </c>
      <c r="W61" s="9" t="n">
        <f aca="false">((SUM(L59:W59)-SUM(L60:W60))/12)</f>
        <v>1188</v>
      </c>
      <c r="X61" s="9" t="n">
        <f aca="false">((SUM(M59:X59)-SUM(M60:X60))/12)</f>
        <v>1188</v>
      </c>
      <c r="Y61" s="9" t="n">
        <f aca="false">((SUM(N59:Y59)-SUM(N60:Y60))/12)</f>
        <v>1188</v>
      </c>
      <c r="Z61" s="9" t="n">
        <f aca="false">((SUM(O59:Z59)-SUM(O60:Z60))/12)</f>
        <v>1188</v>
      </c>
      <c r="AA61" s="9" t="n">
        <f aca="false">((SUM(P59:AA59)-SUM(P60:AA60))/12)</f>
        <v>1188</v>
      </c>
      <c r="AB61" s="9" t="n">
        <f aca="false">((SUM(Q59:AB59)-SUM(Q60:AB60))/12)</f>
        <v>1896.75</v>
      </c>
      <c r="AC61" s="9" t="n">
        <f aca="false">((SUM(R59:AC59)-SUM(R60:AC60))/12)</f>
        <v>1896.75</v>
      </c>
      <c r="AD61" s="9" t="n">
        <f aca="false">((SUM(S59:AD59)-SUM(S60:AD60))/12)</f>
        <v>1896.75</v>
      </c>
      <c r="AE61" s="9" t="n">
        <f aca="false">((SUM(T59:AE59)-SUM(T60:AE60))/12)</f>
        <v>4805.5</v>
      </c>
      <c r="AF61" s="9" t="n">
        <f aca="false">((SUM(U59:AF59)-SUM(U60:AF60))/12)</f>
        <v>4767.484</v>
      </c>
      <c r="AG61" s="9" t="n">
        <f aca="false">((SUM(V59:AG59)-SUM(V60:AG60))/12)</f>
        <v>4767.484</v>
      </c>
      <c r="AH61" s="9" t="n">
        <f aca="false">((SUM(W59:AH59)-SUM(W60:AH60))/12)</f>
        <v>8384.984</v>
      </c>
      <c r="AI61" s="9" t="n">
        <f aca="false">((SUM(X59:AI59)-SUM(X60:AI60))/12)</f>
        <v>8384.984</v>
      </c>
      <c r="AJ61" s="9" t="n">
        <f aca="false">((SUM(Y59:AJ59)-SUM(Y60:AJ60))/12)</f>
        <v>8384.984</v>
      </c>
      <c r="AK61" s="9" t="n">
        <f aca="false">((SUM(Z59:AK59)-SUM(Z60:AK60))/12)</f>
        <v>14202.484</v>
      </c>
      <c r="AL61" s="9" t="n">
        <f aca="false">((SUM(AA59:AL59)-SUM(AA60:AL60))/12)</f>
        <v>14202.484</v>
      </c>
      <c r="AN61" s="11" t="n">
        <f aca="false">SUM(C61:N61)</f>
        <v>0</v>
      </c>
      <c r="AO61" s="11" t="n">
        <f aca="false">SUM(O61:Z61)</f>
        <v>8316</v>
      </c>
      <c r="AP61" s="11" t="n">
        <f aca="false">SUM(AA61:AL61)</f>
        <v>74778.638</v>
      </c>
    </row>
    <row r="62" customFormat="false" ht="15" hidden="false" customHeight="false" outlineLevel="0" collapsed="false">
      <c r="A62" s="0" t="s">
        <v>868</v>
      </c>
      <c r="B62" s="0" t="s">
        <v>230</v>
      </c>
      <c r="C62" s="9" t="n">
        <f aca="false">(C59-C60)</f>
        <v>0</v>
      </c>
      <c r="D62" s="9" t="n">
        <f aca="false">(D59-D60)</f>
        <v>0</v>
      </c>
      <c r="E62" s="9" t="n">
        <f aca="false">(E59-E60)</f>
        <v>0</v>
      </c>
      <c r="F62" s="9" t="n">
        <f aca="false">(F59-F60)</f>
        <v>0</v>
      </c>
      <c r="G62" s="9" t="n">
        <f aca="false">(G59-G60)</f>
        <v>0</v>
      </c>
      <c r="H62" s="9" t="n">
        <f aca="false">(H59-H60)</f>
        <v>0</v>
      </c>
      <c r="I62" s="9" t="n">
        <f aca="false">(I59-I60)</f>
        <v>0</v>
      </c>
      <c r="J62" s="9" t="n">
        <f aca="false">(J59-J60)</f>
        <v>0</v>
      </c>
      <c r="K62" s="9" t="n">
        <f aca="false">(K59-K60)</f>
        <v>0</v>
      </c>
      <c r="L62" s="9" t="n">
        <f aca="false">(L59-L60)</f>
        <v>0</v>
      </c>
      <c r="M62" s="9" t="n">
        <f aca="false">(M59-M60)</f>
        <v>0</v>
      </c>
      <c r="N62" s="9" t="n">
        <f aca="false">(N59-N60)</f>
        <v>0</v>
      </c>
      <c r="O62" s="9" t="n">
        <f aca="false">(O59-O60)</f>
        <v>0</v>
      </c>
      <c r="P62" s="9" t="n">
        <f aca="false">(P59-P60)</f>
        <v>0</v>
      </c>
      <c r="Q62" s="9" t="n">
        <f aca="false">(Q59-Q60)</f>
        <v>0</v>
      </c>
      <c r="R62" s="9" t="n">
        <f aca="false">(R59-R60)</f>
        <v>0</v>
      </c>
      <c r="S62" s="9" t="n">
        <f aca="false">(S59-S60)</f>
        <v>0</v>
      </c>
      <c r="T62" s="9" t="n">
        <f aca="false">(T59-T60)</f>
        <v>14256</v>
      </c>
      <c r="U62" s="9" t="n">
        <f aca="false">(U59-U60)</f>
        <v>0</v>
      </c>
      <c r="V62" s="9" t="n">
        <f aca="false">(V59-V60)</f>
        <v>0</v>
      </c>
      <c r="W62" s="9" t="n">
        <f aca="false">(W59-W60)</f>
        <v>0</v>
      </c>
      <c r="X62" s="9" t="n">
        <f aca="false">(X59-X60)</f>
        <v>0</v>
      </c>
      <c r="Y62" s="9" t="n">
        <f aca="false">(Y59-Y60)</f>
        <v>0</v>
      </c>
      <c r="Z62" s="9" t="n">
        <f aca="false">(Z59-Z60)</f>
        <v>0</v>
      </c>
      <c r="AA62" s="9" t="n">
        <f aca="false">(AA59-AA60)</f>
        <v>0</v>
      </c>
      <c r="AB62" s="9" t="n">
        <f aca="false">(AB59-AB60)</f>
        <v>8505</v>
      </c>
      <c r="AC62" s="9" t="n">
        <f aca="false">(AC59-AC60)</f>
        <v>0</v>
      </c>
      <c r="AD62" s="9" t="n">
        <f aca="false">(AD59-AD60)</f>
        <v>0</v>
      </c>
      <c r="AE62" s="9" t="n">
        <f aca="false">(AE59-AE60)</f>
        <v>34905</v>
      </c>
      <c r="AF62" s="9" t="n">
        <f aca="false">(AF59-AF60)</f>
        <v>13799.808</v>
      </c>
      <c r="AG62" s="9" t="n">
        <f aca="false">(AG59-AG60)</f>
        <v>0</v>
      </c>
      <c r="AH62" s="9" t="n">
        <f aca="false">(AH59-AH60)</f>
        <v>43410</v>
      </c>
      <c r="AI62" s="9" t="n">
        <f aca="false">(AI59-AI60)</f>
        <v>0</v>
      </c>
      <c r="AJ62" s="9" t="n">
        <f aca="false">(AJ59-AJ60)</f>
        <v>0</v>
      </c>
      <c r="AK62" s="9" t="n">
        <f aca="false">(AK59-AK60)</f>
        <v>69810</v>
      </c>
      <c r="AL62" s="9" t="n">
        <f aca="false">(AL59-AL60)</f>
        <v>0</v>
      </c>
      <c r="AN62" s="11" t="n">
        <f aca="false">SUM(C62:N62)</f>
        <v>0</v>
      </c>
      <c r="AO62" s="11" t="n">
        <f aca="false">SUM(O62:Z62)</f>
        <v>14256</v>
      </c>
      <c r="AP62" s="11" t="n">
        <f aca="false">SUM(AA62:AL62)</f>
        <v>170429.808</v>
      </c>
    </row>
    <row r="63" customFormat="false" ht="15" hidden="false" customHeight="false" outlineLevel="0" collapsed="false">
      <c r="A63" s="0" t="s">
        <v>869</v>
      </c>
      <c r="B63" s="0" t="s">
        <v>230</v>
      </c>
      <c r="C63" s="9" t="n">
        <f aca="false">(((Assumptions!$C$122*$C$10)/6)*C52)</f>
        <v>0</v>
      </c>
      <c r="D63" s="9" t="n">
        <f aca="false">(((Assumptions!$C$122*$C$10)/6)*D52)</f>
        <v>0</v>
      </c>
      <c r="E63" s="9" t="n">
        <f aca="false">(((Assumptions!$C$122*$C$10)/6)*E52)</f>
        <v>0</v>
      </c>
      <c r="F63" s="9" t="n">
        <f aca="false">(((Assumptions!$C$122*$C$10)/6)*F52)</f>
        <v>0</v>
      </c>
      <c r="G63" s="9" t="n">
        <f aca="false">(((Assumptions!$C$122*$C$10)/6)*G52)</f>
        <v>0</v>
      </c>
      <c r="H63" s="9" t="n">
        <f aca="false">(((Assumptions!$C$122*$C$10)/6)*H52)</f>
        <v>0</v>
      </c>
      <c r="I63" s="9" t="n">
        <f aca="false">(((Assumptions!$C$122*$C$10)/6)*I52)</f>
        <v>0</v>
      </c>
      <c r="J63" s="9" t="n">
        <f aca="false">(((Assumptions!$C$122*$C$10)/6)*J52)</f>
        <v>0</v>
      </c>
      <c r="K63" s="9" t="n">
        <f aca="false">(((Assumptions!$C$122*$C$10)/6)*K52)</f>
        <v>0</v>
      </c>
      <c r="L63" s="9" t="n">
        <f aca="false">(((Assumptions!$C$122*$C$10)/6)*L52)</f>
        <v>0</v>
      </c>
      <c r="M63" s="9" t="n">
        <f aca="false">(((Assumptions!$C$122*$C$10)/6)*M52)</f>
        <v>0</v>
      </c>
      <c r="N63" s="9" t="n">
        <f aca="false">(((Assumptions!$C$122*$C$10)/6)*N52)</f>
        <v>0</v>
      </c>
      <c r="O63" s="9" t="n">
        <f aca="false">(((Assumptions!$C$122*$C$10)/6)*O52)</f>
        <v>0</v>
      </c>
      <c r="P63" s="9" t="n">
        <f aca="false">(((Assumptions!$C$122*$C$10)/6)*P52)</f>
        <v>0</v>
      </c>
      <c r="Q63" s="9" t="n">
        <f aca="false">(((Assumptions!$C$122*$C$10)/6)*Q52)</f>
        <v>0</v>
      </c>
      <c r="R63" s="9" t="n">
        <f aca="false">(((Assumptions!$C$122*$C$10)/6)*R52)</f>
        <v>0</v>
      </c>
      <c r="S63" s="9" t="n">
        <f aca="false">(((Assumptions!$C$122*$C$10)/6)*S52)</f>
        <v>0</v>
      </c>
      <c r="T63" s="9" t="n">
        <f aca="false">(((Assumptions!$C$122*$C$10)/6)*T52)</f>
        <v>0</v>
      </c>
      <c r="U63" s="9" t="n">
        <f aca="false">(((Assumptions!$C$122*$C$10)/6)*U52)</f>
        <v>2500</v>
      </c>
      <c r="V63" s="9" t="n">
        <f aca="false">(((Assumptions!$C$122*$C$10)/6)*V52)</f>
        <v>2500</v>
      </c>
      <c r="W63" s="9" t="n">
        <f aca="false">(((Assumptions!$C$122*$C$10)/6)*W52)</f>
        <v>2500</v>
      </c>
      <c r="X63" s="9" t="n">
        <f aca="false">(((Assumptions!$C$122*$C$10)/6)*X52)</f>
        <v>5000</v>
      </c>
      <c r="Y63" s="9" t="n">
        <f aca="false">(((Assumptions!$C$122*$C$10)/6)*Y52)</f>
        <v>5000</v>
      </c>
      <c r="Z63" s="9" t="n">
        <f aca="false">(((Assumptions!$C$122*$C$10)/6)*Z52)</f>
        <v>5000</v>
      </c>
      <c r="AA63" s="9" t="n">
        <f aca="false">(((Assumptions!$C$122*$C$10)/6)*AA52)</f>
        <v>7500</v>
      </c>
      <c r="AB63" s="9" t="n">
        <f aca="false">(((Assumptions!$C$122*$C$10)/6)*AB52)</f>
        <v>7500</v>
      </c>
      <c r="AC63" s="9" t="n">
        <f aca="false">(((Assumptions!$C$122*$C$10)/6)*AC52)</f>
        <v>7500</v>
      </c>
      <c r="AD63" s="9" t="n">
        <f aca="false">(((Assumptions!$C$122*$C$10)/6)*AD52)</f>
        <v>10000</v>
      </c>
      <c r="AE63" s="9" t="n">
        <f aca="false">(((Assumptions!$C$122*$C$10)/6)*AE52)</f>
        <v>10000</v>
      </c>
      <c r="AF63" s="9" t="n">
        <f aca="false">(((Assumptions!$C$122*$C$10)/6)*AF52)</f>
        <v>10000</v>
      </c>
      <c r="AG63" s="9" t="n">
        <f aca="false">(((Assumptions!$C$122*$C$10)/6)*AG52)</f>
        <v>12500</v>
      </c>
      <c r="AH63" s="9" t="n">
        <f aca="false">(((Assumptions!$C$122*$C$10)/6)*AH52)</f>
        <v>12500</v>
      </c>
      <c r="AI63" s="9" t="n">
        <f aca="false">(((Assumptions!$C$122*$C$10)/6)*AI52)</f>
        <v>12500</v>
      </c>
      <c r="AJ63" s="9" t="n">
        <f aca="false">(((Assumptions!$C$122*$C$10)/6)*AJ52)</f>
        <v>15000</v>
      </c>
      <c r="AK63" s="9" t="n">
        <f aca="false">(((Assumptions!$C$122*$C$10)/6)*AK52)</f>
        <v>15000</v>
      </c>
      <c r="AL63" s="9" t="n">
        <f aca="false">(((Assumptions!$C$122*$C$10)/6)*AL52)</f>
        <v>15000</v>
      </c>
      <c r="AN63" s="11" t="n">
        <f aca="false">SUM(C63:N63)</f>
        <v>0</v>
      </c>
      <c r="AO63" s="11" t="n">
        <f aca="false">SUM(O63:Z63)</f>
        <v>22500</v>
      </c>
      <c r="AP63" s="11" t="n">
        <f aca="false">SUM(AA63:AL63)</f>
        <v>135000</v>
      </c>
    </row>
    <row r="64" customFormat="false" ht="15" hidden="false" customHeight="false" outlineLevel="0" collapsed="false">
      <c r="A64" s="0" t="s">
        <v>870</v>
      </c>
      <c r="B64" s="0" t="s">
        <v>230</v>
      </c>
      <c r="C64" s="9" t="n">
        <f aca="false">((Assumptions!$C$122*$C$10)*C46)</f>
        <v>0</v>
      </c>
      <c r="D64" s="9" t="n">
        <f aca="false">((Assumptions!$C$122*$C$10)*D46)</f>
        <v>0</v>
      </c>
      <c r="E64" s="9" t="n">
        <f aca="false">((Assumptions!$C$122*$C$10)*E46)</f>
        <v>0</v>
      </c>
      <c r="F64" s="9" t="n">
        <f aca="false">((Assumptions!$C$122*$C$10)*F46)</f>
        <v>0</v>
      </c>
      <c r="G64" s="9" t="n">
        <f aca="false">((Assumptions!$C$122*$C$10)*G46)</f>
        <v>0</v>
      </c>
      <c r="H64" s="9" t="n">
        <f aca="false">((Assumptions!$C$122*$C$10)*H46)</f>
        <v>0</v>
      </c>
      <c r="I64" s="9" t="n">
        <f aca="false">((Assumptions!$C$122*$C$10)*I46)</f>
        <v>0</v>
      </c>
      <c r="J64" s="9" t="n">
        <f aca="false">((Assumptions!$C$122*$C$10)*J46)</f>
        <v>0</v>
      </c>
      <c r="K64" s="9" t="n">
        <f aca="false">((Assumptions!$C$122*$C$10)*K46)</f>
        <v>0</v>
      </c>
      <c r="L64" s="9" t="n">
        <f aca="false">((Assumptions!$C$122*$C$10)*L46)</f>
        <v>0</v>
      </c>
      <c r="M64" s="9" t="n">
        <f aca="false">((Assumptions!$C$122*$C$10)*M46)</f>
        <v>0</v>
      </c>
      <c r="N64" s="9" t="n">
        <f aca="false">((Assumptions!$C$122*$C$10)*N46)</f>
        <v>0</v>
      </c>
      <c r="O64" s="9" t="n">
        <f aca="false">((Assumptions!$C$122*$C$10)*O46)</f>
        <v>0</v>
      </c>
      <c r="P64" s="9" t="n">
        <f aca="false">((Assumptions!$C$122*$C$10)*P46)</f>
        <v>0</v>
      </c>
      <c r="Q64" s="9" t="n">
        <f aca="false">((Assumptions!$C$122*$C$10)*Q46)</f>
        <v>0</v>
      </c>
      <c r="R64" s="9" t="n">
        <f aca="false">((Assumptions!$C$122*$C$10)*R46)</f>
        <v>0</v>
      </c>
      <c r="S64" s="9" t="n">
        <f aca="false">((Assumptions!$C$122*$C$10)*S46)</f>
        <v>0</v>
      </c>
      <c r="T64" s="9" t="n">
        <f aca="false">((Assumptions!$C$122*$C$10)*T46)</f>
        <v>0</v>
      </c>
      <c r="U64" s="9" t="n">
        <f aca="false">((Assumptions!$C$122*$C$10)*U46)</f>
        <v>15000</v>
      </c>
      <c r="V64" s="9" t="n">
        <f aca="false">((Assumptions!$C$122*$C$10)*V46)</f>
        <v>0</v>
      </c>
      <c r="W64" s="9" t="n">
        <f aca="false">((Assumptions!$C$122*$C$10)*W46)</f>
        <v>0</v>
      </c>
      <c r="X64" s="9" t="n">
        <f aca="false">((Assumptions!$C$122*$C$10)*X46)</f>
        <v>15000</v>
      </c>
      <c r="Y64" s="9" t="n">
        <f aca="false">((Assumptions!$C$122*$C$10)*Y46)</f>
        <v>0</v>
      </c>
      <c r="Z64" s="9" t="n">
        <f aca="false">((Assumptions!$C$122*$C$10)*Z46)</f>
        <v>0</v>
      </c>
      <c r="AA64" s="9" t="n">
        <f aca="false">((Assumptions!$C$122*$C$10)*AA46)</f>
        <v>30000</v>
      </c>
      <c r="AB64" s="9" t="n">
        <f aca="false">((Assumptions!$C$122*$C$10)*AB46)</f>
        <v>0</v>
      </c>
      <c r="AC64" s="9" t="n">
        <f aca="false">((Assumptions!$C$122*$C$10)*AC46)</f>
        <v>0</v>
      </c>
      <c r="AD64" s="9" t="n">
        <f aca="false">((Assumptions!$C$122*$C$10)*AD46)</f>
        <v>30000</v>
      </c>
      <c r="AE64" s="9" t="n">
        <f aca="false">((Assumptions!$C$122*$C$10)*AE46)</f>
        <v>0</v>
      </c>
      <c r="AF64" s="9" t="n">
        <f aca="false">((Assumptions!$C$122*$C$10)*AF46)</f>
        <v>0</v>
      </c>
      <c r="AG64" s="9" t="n">
        <f aca="false">((Assumptions!$C$122*$C$10)*AG46)</f>
        <v>45000</v>
      </c>
      <c r="AH64" s="9" t="n">
        <f aca="false">((Assumptions!$C$122*$C$10)*AH46)</f>
        <v>0</v>
      </c>
      <c r="AI64" s="9" t="n">
        <f aca="false">((Assumptions!$C$122*$C$10)*AI46)</f>
        <v>0</v>
      </c>
      <c r="AJ64" s="9" t="n">
        <f aca="false">((Assumptions!$C$122*$C$10)*AJ46)</f>
        <v>45000</v>
      </c>
      <c r="AK64" s="9" t="n">
        <f aca="false">((Assumptions!$C$122*$C$10)*AK46)</f>
        <v>0</v>
      </c>
      <c r="AL64" s="9" t="n">
        <f aca="false">((Assumptions!$C$122*$C$10)*AL46)</f>
        <v>0</v>
      </c>
      <c r="AN64" s="11" t="n">
        <f aca="false">SUM(C64:N64)</f>
        <v>0</v>
      </c>
      <c r="AO64" s="11" t="n">
        <f aca="false">SUM(O64:Z64)</f>
        <v>30000</v>
      </c>
      <c r="AP64" s="11" t="n">
        <f aca="false">SUM(AA64:AL64)</f>
        <v>150000</v>
      </c>
    </row>
    <row r="65" customFormat="false" ht="15" hidden="false" customHeight="false" outlineLevel="0" collapsed="false">
      <c r="A65" s="0" t="s">
        <v>871</v>
      </c>
      <c r="B65" s="0" t="s">
        <v>230</v>
      </c>
      <c r="C65" s="9" t="n">
        <f aca="false">((Assumptions!$C$123*$C$10)+(Assumptions!$C$34*Assumptions!$C$35))</f>
        <v>21000</v>
      </c>
      <c r="D65" s="9" t="n">
        <f aca="false">((Assumptions!$C$123*$C$10)+(Assumptions!$C$34*Assumptions!$C$35))</f>
        <v>21000</v>
      </c>
      <c r="E65" s="9" t="n">
        <f aca="false">((Assumptions!$C$123*$C$10)+(Assumptions!$C$34*Assumptions!$C$35))</f>
        <v>21000</v>
      </c>
      <c r="F65" s="9" t="n">
        <f aca="false">((Assumptions!$C$123*$C$10)+(Assumptions!$C$34*Assumptions!$C$35))</f>
        <v>21000</v>
      </c>
      <c r="G65" s="9" t="n">
        <f aca="false">((Assumptions!$C$123*$C$10)+(Assumptions!$C$34*Assumptions!$C$35))</f>
        <v>21000</v>
      </c>
      <c r="H65" s="9" t="n">
        <f aca="false">((Assumptions!$C$123*$C$10)+(Assumptions!$C$34*Assumptions!$C$35))</f>
        <v>21000</v>
      </c>
      <c r="I65" s="9" t="n">
        <f aca="false">((Assumptions!$C$123*$C$10)+(Assumptions!$C$34*Assumptions!$C$35))</f>
        <v>21000</v>
      </c>
      <c r="J65" s="9" t="n">
        <f aca="false">((Assumptions!$C$123*$C$10)+(Assumptions!$C$34*Assumptions!$C$35))</f>
        <v>21000</v>
      </c>
      <c r="K65" s="9" t="n">
        <f aca="false">((Assumptions!$C$123*$C$10)+(Assumptions!$C$34*Assumptions!$C$35))</f>
        <v>21000</v>
      </c>
      <c r="L65" s="9" t="n">
        <f aca="false">((Assumptions!$C$123*$C$10)+(Assumptions!$C$34*Assumptions!$C$35))</f>
        <v>21000</v>
      </c>
      <c r="M65" s="9" t="n">
        <f aca="false">((Assumptions!$C$123*$C$10)+(Assumptions!$C$34*Assumptions!$C$35))</f>
        <v>21000</v>
      </c>
      <c r="N65" s="9" t="n">
        <f aca="false">((Assumptions!$C$123*$C$10)+(Assumptions!$C$34*Assumptions!$C$35))</f>
        <v>21000</v>
      </c>
      <c r="O65" s="9" t="n">
        <f aca="false">((Assumptions!$C$123*$C$10)+(Assumptions!$C$34*Assumptions!$C$35))</f>
        <v>21000</v>
      </c>
      <c r="P65" s="9" t="n">
        <f aca="false">((Assumptions!$C$123*$C$10)+(Assumptions!$C$34*Assumptions!$C$35))</f>
        <v>21000</v>
      </c>
      <c r="Q65" s="9" t="n">
        <f aca="false">((Assumptions!$C$123*$C$10)+(Assumptions!$C$34*Assumptions!$C$35))</f>
        <v>21000</v>
      </c>
      <c r="R65" s="9" t="n">
        <f aca="false">((Assumptions!$C$123*$C$10)+(Assumptions!$C$34*Assumptions!$C$35))</f>
        <v>21000</v>
      </c>
      <c r="S65" s="9" t="n">
        <f aca="false">((Assumptions!$C$123*$C$10)+(Assumptions!$C$34*Assumptions!$C$35))</f>
        <v>21000</v>
      </c>
      <c r="T65" s="9" t="n">
        <f aca="false">((Assumptions!$C$123*$C$10)+(Assumptions!$C$34*Assumptions!$C$35))</f>
        <v>21000</v>
      </c>
      <c r="U65" s="9" t="n">
        <f aca="false">((Assumptions!$C$123*$C$10)+(Assumptions!$C$34*Assumptions!$C$35))</f>
        <v>21000</v>
      </c>
      <c r="V65" s="9" t="n">
        <f aca="false">((Assumptions!$C$123*$C$10)+(Assumptions!$C$34*Assumptions!$C$35))</f>
        <v>21000</v>
      </c>
      <c r="W65" s="9" t="n">
        <f aca="false">((Assumptions!$C$123*$C$10)+(Assumptions!$C$34*Assumptions!$C$35))</f>
        <v>21000</v>
      </c>
      <c r="X65" s="9" t="n">
        <f aca="false">((Assumptions!$C$123*$C$10)+(Assumptions!$C$34*Assumptions!$C$35))</f>
        <v>21000</v>
      </c>
      <c r="Y65" s="9" t="n">
        <f aca="false">((Assumptions!$C$123*$C$10)+(Assumptions!$C$34*Assumptions!$C$35))</f>
        <v>21000</v>
      </c>
      <c r="Z65" s="9" t="n">
        <f aca="false">((Assumptions!$C$123*$C$10)+(Assumptions!$C$34*Assumptions!$C$35))</f>
        <v>21000</v>
      </c>
      <c r="AA65" s="9" t="n">
        <f aca="false">((Assumptions!$C$123*$C$10)+(Assumptions!$C$34*Assumptions!$C$35))</f>
        <v>21000</v>
      </c>
      <c r="AB65" s="9" t="n">
        <f aca="false">((Assumptions!$C$123*$C$10)+(Assumptions!$C$34*Assumptions!$C$35))</f>
        <v>21000</v>
      </c>
      <c r="AC65" s="9" t="n">
        <f aca="false">((Assumptions!$C$123*$C$10)+(Assumptions!$C$34*Assumptions!$C$35))</f>
        <v>21000</v>
      </c>
      <c r="AD65" s="9" t="n">
        <f aca="false">((Assumptions!$C$123*$C$10)+(Assumptions!$C$34*Assumptions!$C$35))</f>
        <v>21000</v>
      </c>
      <c r="AE65" s="9" t="n">
        <f aca="false">((Assumptions!$C$123*$C$10)+(Assumptions!$C$34*Assumptions!$C$35))</f>
        <v>21000</v>
      </c>
      <c r="AF65" s="9" t="n">
        <f aca="false">((Assumptions!$C$123*$C$10)+(Assumptions!$C$34*Assumptions!$C$35))</f>
        <v>21000</v>
      </c>
      <c r="AG65" s="9" t="n">
        <f aca="false">((Assumptions!$C$123*$C$10)+(Assumptions!$C$34*Assumptions!$C$35))</f>
        <v>21000</v>
      </c>
      <c r="AH65" s="9" t="n">
        <f aca="false">((Assumptions!$C$123*$C$10)+(Assumptions!$C$34*Assumptions!$C$35))</f>
        <v>21000</v>
      </c>
      <c r="AI65" s="9" t="n">
        <f aca="false">((Assumptions!$C$123*$C$10)+(Assumptions!$C$34*Assumptions!$C$35))</f>
        <v>21000</v>
      </c>
      <c r="AJ65" s="9" t="n">
        <f aca="false">((Assumptions!$C$123*$C$10)+(Assumptions!$C$34*Assumptions!$C$35))</f>
        <v>21000</v>
      </c>
      <c r="AK65" s="9" t="n">
        <f aca="false">((Assumptions!$C$123*$C$10)+(Assumptions!$C$34*Assumptions!$C$35))</f>
        <v>21000</v>
      </c>
      <c r="AL65" s="9" t="n">
        <f aca="false">((Assumptions!$C$123*$C$10)+(Assumptions!$C$34*Assumptions!$C$35))</f>
        <v>21000</v>
      </c>
    </row>
    <row r="66" customFormat="false" ht="15" hidden="false" customHeight="false" outlineLevel="0" collapsed="false">
      <c r="A66" s="0" t="s">
        <v>872</v>
      </c>
      <c r="B66" s="0" t="s">
        <v>230</v>
      </c>
      <c r="C66" s="9" t="n">
        <f aca="false">((C65/3)*C50)</f>
        <v>0</v>
      </c>
      <c r="D66" s="9" t="n">
        <f aca="false">((D65/3)*SUM(C50:D50))</f>
        <v>0</v>
      </c>
      <c r="E66" s="9" t="n">
        <f aca="false">((E65/3)*SUM(C50:E50))</f>
        <v>0</v>
      </c>
      <c r="F66" s="9" t="n">
        <f aca="false">((F65/3)*SUM(D50:F50))</f>
        <v>0</v>
      </c>
      <c r="G66" s="9" t="n">
        <f aca="false">((G65/3)*SUM(E50:G50))</f>
        <v>0</v>
      </c>
      <c r="H66" s="9" t="n">
        <f aca="false">((H65/3)*SUM(F50:H50))</f>
        <v>0</v>
      </c>
      <c r="I66" s="9" t="n">
        <f aca="false">((I65/3)*SUM(G50:I50))</f>
        <v>0</v>
      </c>
      <c r="J66" s="9" t="n">
        <f aca="false">((J65/3)*SUM(H50:J50))</f>
        <v>0</v>
      </c>
      <c r="K66" s="9" t="n">
        <f aca="false">((K65/3)*SUM(I50:K50))</f>
        <v>0</v>
      </c>
      <c r="L66" s="9" t="n">
        <f aca="false">((L65/3)*SUM(J50:L50))</f>
        <v>0</v>
      </c>
      <c r="M66" s="9" t="n">
        <f aca="false">((M65/3)*SUM(K50:M50))</f>
        <v>0</v>
      </c>
      <c r="N66" s="9" t="n">
        <f aca="false">((N65/3)*SUM(L50:N50))</f>
        <v>0</v>
      </c>
      <c r="O66" s="9" t="n">
        <f aca="false">((O65/3)*SUM(M50:O50))</f>
        <v>0</v>
      </c>
      <c r="P66" s="9" t="n">
        <f aca="false">((P65/3)*SUM(N50:P50))</f>
        <v>0</v>
      </c>
      <c r="Q66" s="9" t="n">
        <f aca="false">((Q65/3)*SUM(O50:Q50))</f>
        <v>0</v>
      </c>
      <c r="R66" s="9" t="n">
        <f aca="false">((R65/3)*SUM(P50:R50))</f>
        <v>0</v>
      </c>
      <c r="S66" s="9" t="n">
        <f aca="false">((S65/3)*SUM(Q50:S50))</f>
        <v>0</v>
      </c>
      <c r="T66" s="9" t="n">
        <f aca="false">((T65/3)*SUM(R50:T50))</f>
        <v>0</v>
      </c>
      <c r="U66" s="9" t="n">
        <f aca="false">((U65/3)*SUM(S50:U50))</f>
        <v>7000</v>
      </c>
      <c r="V66" s="9" t="n">
        <f aca="false">((V65/3)*SUM(T50:V50))</f>
        <v>7000</v>
      </c>
      <c r="W66" s="9" t="n">
        <f aca="false">((W65/3)*SUM(U50:W50))</f>
        <v>7000</v>
      </c>
      <c r="X66" s="9" t="n">
        <f aca="false">((X65/3)*SUM(V50:X50))</f>
        <v>7000</v>
      </c>
      <c r="Y66" s="9" t="n">
        <f aca="false">((Y65/3)*SUM(W50:Y50))</f>
        <v>7000</v>
      </c>
      <c r="Z66" s="9" t="n">
        <f aca="false">((Z65/3)*SUM(X50:Z50))</f>
        <v>7000</v>
      </c>
      <c r="AA66" s="9" t="n">
        <f aca="false">((AA65/3)*SUM(Y50:AA50))</f>
        <v>14000</v>
      </c>
      <c r="AB66" s="9" t="n">
        <f aca="false">((AB65/3)*SUM(Z50:AB50))</f>
        <v>14000</v>
      </c>
      <c r="AC66" s="9" t="n">
        <f aca="false">((AC65/3)*SUM(AA50:AC50))</f>
        <v>14000</v>
      </c>
      <c r="AD66" s="9" t="n">
        <f aca="false">((AD65/3)*SUM(AB50:AD50))</f>
        <v>14000</v>
      </c>
      <c r="AE66" s="9" t="n">
        <f aca="false">((AE65/3)*SUM(AC50:AE50))</f>
        <v>21000</v>
      </c>
      <c r="AF66" s="9" t="n">
        <f aca="false">((AF65/3)*SUM(AD50:AF50))</f>
        <v>21000</v>
      </c>
      <c r="AG66" s="9" t="n">
        <f aca="false">((AG65/3)*SUM(AE50:AG50))</f>
        <v>28000</v>
      </c>
      <c r="AH66" s="9" t="n">
        <f aca="false">((AH65/3)*SUM(AF50:AH50))</f>
        <v>28000</v>
      </c>
      <c r="AI66" s="9" t="n">
        <f aca="false">((AI65/3)*SUM(AG50:AI50))</f>
        <v>28000</v>
      </c>
      <c r="AJ66" s="9" t="n">
        <f aca="false">((AJ65/3)*SUM(AH50:AJ50))</f>
        <v>28000</v>
      </c>
      <c r="AK66" s="9" t="n">
        <f aca="false">((AK65/3)*SUM(AI50:AK50))</f>
        <v>35000</v>
      </c>
      <c r="AL66" s="9" t="n">
        <f aca="false">((AL65/3)*SUM(AJ50:AL50))</f>
        <v>35000</v>
      </c>
      <c r="AN66" s="11" t="n">
        <f aca="false">SUM(C66:N66)</f>
        <v>0</v>
      </c>
      <c r="AO66" s="11" t="n">
        <f aca="false">SUM(O66:Z66)</f>
        <v>42000</v>
      </c>
      <c r="AP66" s="11" t="n">
        <f aca="false">SUM(AA66:AL66)</f>
        <v>280000</v>
      </c>
    </row>
    <row r="67" customFormat="false" ht="15" hidden="false" customHeight="false" outlineLevel="0" collapsed="false">
      <c r="A67" s="0" t="s">
        <v>873</v>
      </c>
      <c r="B67" s="0" t="s">
        <v>230</v>
      </c>
      <c r="C67" s="9" t="n">
        <f aca="false">(C65*C50)</f>
        <v>0</v>
      </c>
      <c r="D67" s="9" t="n">
        <f aca="false">(D65*D50)</f>
        <v>0</v>
      </c>
      <c r="E67" s="9" t="n">
        <f aca="false">(E65*E50)</f>
        <v>0</v>
      </c>
      <c r="F67" s="9" t="n">
        <f aca="false">(F65*F50)</f>
        <v>0</v>
      </c>
      <c r="G67" s="9" t="n">
        <f aca="false">(G65*G50)</f>
        <v>0</v>
      </c>
      <c r="H67" s="9" t="n">
        <f aca="false">(H65*H50)</f>
        <v>0</v>
      </c>
      <c r="I67" s="9" t="n">
        <f aca="false">(I65*I50)</f>
        <v>0</v>
      </c>
      <c r="J67" s="9" t="n">
        <f aca="false">(J65*J50)</f>
        <v>0</v>
      </c>
      <c r="K67" s="9" t="n">
        <f aca="false">(K65*K50)</f>
        <v>0</v>
      </c>
      <c r="L67" s="9" t="n">
        <f aca="false">(L65*L50)</f>
        <v>0</v>
      </c>
      <c r="M67" s="9" t="n">
        <f aca="false">(M65*M50)</f>
        <v>0</v>
      </c>
      <c r="N67" s="9" t="n">
        <f aca="false">(N65*N50)</f>
        <v>0</v>
      </c>
      <c r="O67" s="9" t="n">
        <f aca="false">(O65*O50)</f>
        <v>0</v>
      </c>
      <c r="P67" s="9" t="n">
        <f aca="false">(P65*P50)</f>
        <v>0</v>
      </c>
      <c r="Q67" s="9" t="n">
        <f aca="false">(Q65*Q50)</f>
        <v>0</v>
      </c>
      <c r="R67" s="9" t="n">
        <f aca="false">(R65*R50)</f>
        <v>0</v>
      </c>
      <c r="S67" s="9" t="n">
        <f aca="false">(S65*S50)</f>
        <v>0</v>
      </c>
      <c r="T67" s="9" t="n">
        <f aca="false">(T65*T50)</f>
        <v>0</v>
      </c>
      <c r="U67" s="9" t="n">
        <f aca="false">(U65*U50)</f>
        <v>21000</v>
      </c>
      <c r="V67" s="9" t="n">
        <f aca="false">(V65*V50)</f>
        <v>0</v>
      </c>
      <c r="W67" s="9" t="n">
        <f aca="false">(W65*W50)</f>
        <v>0</v>
      </c>
      <c r="X67" s="9" t="n">
        <f aca="false">(X65*X50)</f>
        <v>21000</v>
      </c>
      <c r="Y67" s="9" t="n">
        <f aca="false">(Y65*Y50)</f>
        <v>0</v>
      </c>
      <c r="Z67" s="9" t="n">
        <f aca="false">(Z65*Z50)</f>
        <v>0</v>
      </c>
      <c r="AA67" s="9" t="n">
        <f aca="false">(AA65*AA50)</f>
        <v>42000</v>
      </c>
      <c r="AB67" s="9" t="n">
        <f aca="false">(AB65*AB50)</f>
        <v>0</v>
      </c>
      <c r="AC67" s="9" t="n">
        <f aca="false">(AC65*AC50)</f>
        <v>0</v>
      </c>
      <c r="AD67" s="9" t="n">
        <f aca="false">(AD65*AD50)</f>
        <v>42000</v>
      </c>
      <c r="AE67" s="9" t="n">
        <f aca="false">(AE65*AE50)</f>
        <v>21000</v>
      </c>
      <c r="AF67" s="9" t="n">
        <f aca="false">(AF65*AF50)</f>
        <v>0</v>
      </c>
      <c r="AG67" s="9" t="n">
        <f aca="false">(AG65*AG50)</f>
        <v>63000</v>
      </c>
      <c r="AH67" s="9" t="n">
        <f aca="false">(AH65*AH50)</f>
        <v>21000</v>
      </c>
      <c r="AI67" s="9" t="n">
        <f aca="false">(AI65*AI50)</f>
        <v>0</v>
      </c>
      <c r="AJ67" s="9" t="n">
        <f aca="false">(AJ65*AJ50)</f>
        <v>63000</v>
      </c>
      <c r="AK67" s="9" t="n">
        <f aca="false">(AK65*AK50)</f>
        <v>42000</v>
      </c>
      <c r="AL67" s="9" t="n">
        <f aca="false">(AL65*AL50)</f>
        <v>0</v>
      </c>
      <c r="AN67" s="11" t="n">
        <f aca="false">SUM(C67:N67)</f>
        <v>0</v>
      </c>
      <c r="AO67" s="11" t="n">
        <f aca="false">SUM(O67:Z67)</f>
        <v>42000</v>
      </c>
      <c r="AP67" s="11" t="n">
        <f aca="false">SUM(AA67:AL67)</f>
        <v>294000</v>
      </c>
    </row>
    <row r="68" customFormat="false" ht="15" hidden="false" customHeight="false" outlineLevel="0" collapsed="false">
      <c r="A68" s="0" t="s">
        <v>874</v>
      </c>
      <c r="B68" s="0" t="s">
        <v>285</v>
      </c>
      <c r="C68" s="9" t="n">
        <f aca="false">((C47*Assumptions!$C$124)+(C50*(Assumptions!$C$124+(Assumptions!$C$34*Assumptions!$C$36))))</f>
        <v>0</v>
      </c>
      <c r="D68" s="9" t="n">
        <f aca="false">((D47*Assumptions!$C$124)+(D50*(Assumptions!$C$124+(Assumptions!$C$34*Assumptions!$C$36))))</f>
        <v>0</v>
      </c>
      <c r="E68" s="9" t="n">
        <f aca="false">((E47*Assumptions!$C$124)+(E50*(Assumptions!$C$124+(Assumptions!$C$34*Assumptions!$C$36))))</f>
        <v>0</v>
      </c>
      <c r="F68" s="9" t="n">
        <f aca="false">((F47*Assumptions!$C$124)+(F50*(Assumptions!$C$124+(Assumptions!$C$34*Assumptions!$C$36))))</f>
        <v>0</v>
      </c>
      <c r="G68" s="9" t="n">
        <f aca="false">((G47*Assumptions!$C$124)+(G50*(Assumptions!$C$124+(Assumptions!$C$34*Assumptions!$C$36))))</f>
        <v>115</v>
      </c>
      <c r="H68" s="9" t="n">
        <f aca="false">((H47*Assumptions!$C$124)+(H50*(Assumptions!$C$124+(Assumptions!$C$34*Assumptions!$C$36))))</f>
        <v>0</v>
      </c>
      <c r="I68" s="9" t="n">
        <f aca="false">((I47*Assumptions!$C$124)+(I50*(Assumptions!$C$124+(Assumptions!$C$34*Assumptions!$C$36))))</f>
        <v>0</v>
      </c>
      <c r="J68" s="9" t="n">
        <f aca="false">((J47*Assumptions!$C$124)+(J50*(Assumptions!$C$124+(Assumptions!$C$34*Assumptions!$C$36))))</f>
        <v>0</v>
      </c>
      <c r="K68" s="9" t="n">
        <f aca="false">((K47*Assumptions!$C$124)+(K50*(Assumptions!$C$124+(Assumptions!$C$34*Assumptions!$C$36))))</f>
        <v>0</v>
      </c>
      <c r="L68" s="9" t="n">
        <f aca="false">((L47*Assumptions!$C$124)+(L50*(Assumptions!$C$124+(Assumptions!$C$34*Assumptions!$C$36))))</f>
        <v>0</v>
      </c>
      <c r="M68" s="9" t="n">
        <f aca="false">((M47*Assumptions!$C$124)+(M50*(Assumptions!$C$124+(Assumptions!$C$34*Assumptions!$C$36))))</f>
        <v>0</v>
      </c>
      <c r="N68" s="9" t="n">
        <f aca="false">((N47*Assumptions!$C$124)+(N50*(Assumptions!$C$124+(Assumptions!$C$34*Assumptions!$C$36))))</f>
        <v>0</v>
      </c>
      <c r="O68" s="9" t="n">
        <f aca="false">((O47*Assumptions!$C$124)+(O50*(Assumptions!$C$124+(Assumptions!$C$34*Assumptions!$C$36))))</f>
        <v>0</v>
      </c>
      <c r="P68" s="9" t="n">
        <f aca="false">((P47*Assumptions!$C$124)+(P50*(Assumptions!$C$124+(Assumptions!$C$34*Assumptions!$C$36))))</f>
        <v>0</v>
      </c>
      <c r="Q68" s="9" t="n">
        <f aca="false">((Q47*Assumptions!$C$124)+(Q50*(Assumptions!$C$124+(Assumptions!$C$34*Assumptions!$C$36))))</f>
        <v>0</v>
      </c>
      <c r="R68" s="9" t="n">
        <f aca="false">((R47*Assumptions!$C$124)+(R50*(Assumptions!$C$124+(Assumptions!$C$34*Assumptions!$C$36))))</f>
        <v>0</v>
      </c>
      <c r="S68" s="9" t="n">
        <f aca="false">((S47*Assumptions!$C$124)+(S50*(Assumptions!$C$124+(Assumptions!$C$34*Assumptions!$C$36))))</f>
        <v>0</v>
      </c>
      <c r="T68" s="9" t="n">
        <f aca="false">((T47*Assumptions!$C$124)+(T50*(Assumptions!$C$124+(Assumptions!$C$34*Assumptions!$C$36))))</f>
        <v>0</v>
      </c>
      <c r="U68" s="9" t="n">
        <f aca="false">((U47*Assumptions!$C$124)+(U50*(Assumptions!$C$124+(Assumptions!$C$34*Assumptions!$C$36))))</f>
        <v>159</v>
      </c>
      <c r="V68" s="9" t="n">
        <f aca="false">((V47*Assumptions!$C$124)+(V50*(Assumptions!$C$124+(Assumptions!$C$34*Assumptions!$C$36))))</f>
        <v>0</v>
      </c>
      <c r="W68" s="9" t="n">
        <f aca="false">((W47*Assumptions!$C$124)+(W50*(Assumptions!$C$124+(Assumptions!$C$34*Assumptions!$C$36))))</f>
        <v>0</v>
      </c>
      <c r="X68" s="9" t="n">
        <f aca="false">((X47*Assumptions!$C$124)+(X50*(Assumptions!$C$124+(Assumptions!$C$34*Assumptions!$C$36))))</f>
        <v>159</v>
      </c>
      <c r="Y68" s="9" t="n">
        <f aca="false">((Y47*Assumptions!$C$124)+(Y50*(Assumptions!$C$124+(Assumptions!$C$34*Assumptions!$C$36))))</f>
        <v>0</v>
      </c>
      <c r="Z68" s="9" t="n">
        <f aca="false">((Z47*Assumptions!$C$124)+(Z50*(Assumptions!$C$124+(Assumptions!$C$34*Assumptions!$C$36))))</f>
        <v>0</v>
      </c>
      <c r="AA68" s="9" t="n">
        <f aca="false">((AA47*Assumptions!$C$124)+(AA50*(Assumptions!$C$124+(Assumptions!$C$34*Assumptions!$C$36))))</f>
        <v>318</v>
      </c>
      <c r="AB68" s="9" t="n">
        <f aca="false">((AB47*Assumptions!$C$124)+(AB50*(Assumptions!$C$124+(Assumptions!$C$34*Assumptions!$C$36))))</f>
        <v>0</v>
      </c>
      <c r="AC68" s="9" t="n">
        <f aca="false">((AC47*Assumptions!$C$124)+(AC50*(Assumptions!$C$124+(Assumptions!$C$34*Assumptions!$C$36))))</f>
        <v>0</v>
      </c>
      <c r="AD68" s="9" t="n">
        <f aca="false">((AD47*Assumptions!$C$124)+(AD50*(Assumptions!$C$124+(Assumptions!$C$34*Assumptions!$C$36))))</f>
        <v>318</v>
      </c>
      <c r="AE68" s="9" t="n">
        <f aca="false">((AE47*Assumptions!$C$124)+(AE50*(Assumptions!$C$124+(Assumptions!$C$34*Assumptions!$C$36))))</f>
        <v>159</v>
      </c>
      <c r="AF68" s="9" t="n">
        <f aca="false">((AF47*Assumptions!$C$124)+(AF50*(Assumptions!$C$124+(Assumptions!$C$34*Assumptions!$C$36))))</f>
        <v>0</v>
      </c>
      <c r="AG68" s="9" t="n">
        <f aca="false">((AG47*Assumptions!$C$124)+(AG50*(Assumptions!$C$124+(Assumptions!$C$34*Assumptions!$C$36))))</f>
        <v>477</v>
      </c>
      <c r="AH68" s="9" t="n">
        <f aca="false">((AH47*Assumptions!$C$124)+(AH50*(Assumptions!$C$124+(Assumptions!$C$34*Assumptions!$C$36))))</f>
        <v>159</v>
      </c>
      <c r="AI68" s="9" t="n">
        <f aca="false">((AI47*Assumptions!$C$124)+(AI50*(Assumptions!$C$124+(Assumptions!$C$34*Assumptions!$C$36))))</f>
        <v>0</v>
      </c>
      <c r="AJ68" s="9" t="n">
        <f aca="false">((AJ47*Assumptions!$C$124)+(AJ50*(Assumptions!$C$124+(Assumptions!$C$34*Assumptions!$C$36))))</f>
        <v>477</v>
      </c>
      <c r="AK68" s="9" t="n">
        <f aca="false">((AK47*Assumptions!$C$124)+(AK50*(Assumptions!$C$124+(Assumptions!$C$34*Assumptions!$C$36))))</f>
        <v>318</v>
      </c>
      <c r="AL68" s="9" t="n">
        <f aca="false">((AL47*Assumptions!$C$124)+(AL50*(Assumptions!$C$124+(Assumptions!$C$34*Assumptions!$C$36))))</f>
        <v>0</v>
      </c>
      <c r="AN68" s="11" t="n">
        <f aca="false">SUM(C68:N68)</f>
        <v>115</v>
      </c>
      <c r="AO68" s="11" t="n">
        <f aca="false">SUM(O68:Z68)</f>
        <v>318</v>
      </c>
      <c r="AP68" s="11" t="n">
        <f aca="false">SUM(AA68:AL68)</f>
        <v>2226</v>
      </c>
    </row>
    <row r="69" customFormat="false" ht="15" hidden="false" customHeight="false" outlineLevel="0" collapsed="false">
      <c r="A69" s="0" t="s">
        <v>875</v>
      </c>
      <c r="B69" s="0" t="s">
        <v>852</v>
      </c>
      <c r="C69" s="14" t="n">
        <f aca="false">((IF(OR((C$18-(Assumptions!$C$7-1)-$C$9)&lt;1,(C$18-(Assumptions!$C$7-1)-$C$9)&gt;36),0,INDEX(Schedules!$C$6:$AL$6,(C$18-(Assumptions!$C$7-1)-$C$9)))*$C$7)*C44)</f>
        <v>0</v>
      </c>
      <c r="D69" s="14" t="n">
        <f aca="false">((IF(OR((D$18-(Assumptions!$C$7-1)-$C$9)&lt;1,(D$18-(Assumptions!$C$7-1)-$C$9)&gt;36),0,INDEX(Schedules!$C$6:$AL$6,(D$18-(Assumptions!$C$7-1)-$C$9)))*$C$7)*D44)</f>
        <v>0</v>
      </c>
      <c r="E69" s="14" t="n">
        <f aca="false">((IF(OR((E$18-(Assumptions!$C$7-1)-$C$9)&lt;1,(E$18-(Assumptions!$C$7-1)-$C$9)&gt;36),0,INDEX(Schedules!$C$6:$AL$6,(E$18-(Assumptions!$C$7-1)-$C$9)))*$C$7)*E44)</f>
        <v>0</v>
      </c>
      <c r="F69" s="14" t="n">
        <f aca="false">((IF(OR((F$18-(Assumptions!$C$7-1)-$C$9)&lt;1,(F$18-(Assumptions!$C$7-1)-$C$9)&gt;36),0,INDEX(Schedules!$C$6:$AL$6,(F$18-(Assumptions!$C$7-1)-$C$9)))*$C$7)*F44)</f>
        <v>0</v>
      </c>
      <c r="G69" s="14" t="n">
        <f aca="false">((IF(OR((G$18-(Assumptions!$C$7-1)-$C$9)&lt;1,(G$18-(Assumptions!$C$7-1)-$C$9)&gt;36),0,INDEX(Schedules!$C$6:$AL$6,(G$18-(Assumptions!$C$7-1)-$C$9)))*$C$7)*G44)</f>
        <v>0</v>
      </c>
      <c r="H69" s="14" t="n">
        <f aca="false">((IF(OR((H$18-(Assumptions!$C$7-1)-$C$9)&lt;1,(H$18-(Assumptions!$C$7-1)-$C$9)&gt;36),0,INDEX(Schedules!$C$6:$AL$6,(H$18-(Assumptions!$C$7-1)-$C$9)))*$C$7)*H44)</f>
        <v>0</v>
      </c>
      <c r="I69" s="14" t="n">
        <f aca="false">((IF(OR((I$18-(Assumptions!$C$7-1)-$C$9)&lt;1,(I$18-(Assumptions!$C$7-1)-$C$9)&gt;36),0,INDEX(Schedules!$C$6:$AL$6,(I$18-(Assumptions!$C$7-1)-$C$9)))*$C$7)*I44)</f>
        <v>0</v>
      </c>
      <c r="J69" s="14" t="n">
        <f aca="false">((IF(OR((J$18-(Assumptions!$C$7-1)-$C$9)&lt;1,(J$18-(Assumptions!$C$7-1)-$C$9)&gt;36),0,INDEX(Schedules!$C$6:$AL$6,(J$18-(Assumptions!$C$7-1)-$C$9)))*$C$7)*J44)</f>
        <v>0</v>
      </c>
      <c r="K69" s="14" t="n">
        <f aca="false">((IF(OR((K$18-(Assumptions!$C$7-1)-$C$9)&lt;1,(K$18-(Assumptions!$C$7-1)-$C$9)&gt;36),0,INDEX(Schedules!$C$6:$AL$6,(K$18-(Assumptions!$C$7-1)-$C$9)))*$C$7)*K44)</f>
        <v>0</v>
      </c>
      <c r="L69" s="14" t="n">
        <f aca="false">((IF(OR((L$18-(Assumptions!$C$7-1)-$C$9)&lt;1,(L$18-(Assumptions!$C$7-1)-$C$9)&gt;36),0,INDEX(Schedules!$C$6:$AL$6,(L$18-(Assumptions!$C$7-1)-$C$9)))*$C$7)*L44)</f>
        <v>0</v>
      </c>
      <c r="M69" s="14" t="n">
        <f aca="false">((IF(OR((M$18-(Assumptions!$C$7-1)-$C$9)&lt;1,(M$18-(Assumptions!$C$7-1)-$C$9)&gt;36),0,INDEX(Schedules!$C$6:$AL$6,(M$18-(Assumptions!$C$7-1)-$C$9)))*$C$7)*M44)</f>
        <v>0</v>
      </c>
      <c r="N69" s="14" t="n">
        <f aca="false">((IF(OR((N$18-(Assumptions!$C$7-1)-$C$9)&lt;1,(N$18-(Assumptions!$C$7-1)-$C$9)&gt;36),0,INDEX(Schedules!$C$6:$AL$6,(N$18-(Assumptions!$C$7-1)-$C$9)))*$C$7)*N44)</f>
        <v>0</v>
      </c>
      <c r="O69" s="14" t="n">
        <f aca="false">((IF(OR((O$18-(Assumptions!$C$7-1)-$C$9)&lt;1,(O$18-(Assumptions!$C$7-1)-$C$9)&gt;36),0,INDEX(Schedules!$C$6:$AL$6,(O$18-(Assumptions!$C$7-1)-$C$9)))*$C$7)*O44)</f>
        <v>0</v>
      </c>
      <c r="P69" s="14" t="n">
        <f aca="false">((IF(OR((P$18-(Assumptions!$C$7-1)-$C$9)&lt;1,(P$18-(Assumptions!$C$7-1)-$C$9)&gt;36),0,INDEX(Schedules!$C$6:$AL$6,(P$18-(Assumptions!$C$7-1)-$C$9)))*$C$7)*P44)</f>
        <v>0</v>
      </c>
      <c r="Q69" s="14" t="n">
        <f aca="false">((IF(OR((Q$18-(Assumptions!$C$7-1)-$C$9)&lt;1,(Q$18-(Assumptions!$C$7-1)-$C$9)&gt;36),0,INDEX(Schedules!$C$6:$AL$6,(Q$18-(Assumptions!$C$7-1)-$C$9)))*$C$7)*Q44)</f>
        <v>0</v>
      </c>
      <c r="R69" s="14" t="n">
        <f aca="false">((IF(OR((R$18-(Assumptions!$C$7-1)-$C$9)&lt;1,(R$18-(Assumptions!$C$7-1)-$C$9)&gt;36),0,INDEX(Schedules!$C$6:$AL$6,(R$18-(Assumptions!$C$7-1)-$C$9)))*$C$7)*R44)</f>
        <v>0</v>
      </c>
      <c r="S69" s="14" t="n">
        <f aca="false">((IF(OR((S$18-(Assumptions!$C$7-1)-$C$9)&lt;1,(S$18-(Assumptions!$C$7-1)-$C$9)&gt;36),0,INDEX(Schedules!$C$6:$AL$6,(S$18-(Assumptions!$C$7-1)-$C$9)))*$C$7)*S44)</f>
        <v>0</v>
      </c>
      <c r="T69" s="14" t="n">
        <f aca="false">((IF(OR((T$18-(Assumptions!$C$7-1)-$C$9)&lt;1,(T$18-(Assumptions!$C$7-1)-$C$9)&gt;36),0,INDEX(Schedules!$C$6:$AL$6,(T$18-(Assumptions!$C$7-1)-$C$9)))*$C$7)*T44)</f>
        <v>0</v>
      </c>
      <c r="U69" s="14" t="n">
        <f aca="false">((IF(OR((U$18-(Assumptions!$C$7-1)-$C$9)&lt;1,(U$18-(Assumptions!$C$7-1)-$C$9)&gt;36),0,INDEX(Schedules!$C$6:$AL$6,(U$18-(Assumptions!$C$7-1)-$C$9)))*$C$7)*U44)</f>
        <v>0</v>
      </c>
      <c r="V69" s="14" t="n">
        <f aca="false">((IF(OR((V$18-(Assumptions!$C$7-1)-$C$9)&lt;1,(V$18-(Assumptions!$C$7-1)-$C$9)&gt;36),0,INDEX(Schedules!$C$6:$AL$6,(V$18-(Assumptions!$C$7-1)-$C$9)))*$C$7)*V44)</f>
        <v>0</v>
      </c>
      <c r="W69" s="14" t="n">
        <f aca="false">((IF(OR((W$18-(Assumptions!$C$7-1)-$C$9)&lt;1,(W$18-(Assumptions!$C$7-1)-$C$9)&gt;36),0,INDEX(Schedules!$C$6:$AL$6,(W$18-(Assumptions!$C$7-1)-$C$9)))*$C$7)*W44)</f>
        <v>0</v>
      </c>
      <c r="X69" s="14" t="n">
        <f aca="false">((IF(OR((X$18-(Assumptions!$C$7-1)-$C$9)&lt;1,(X$18-(Assumptions!$C$7-1)-$C$9)&gt;36),0,INDEX(Schedules!$C$6:$AL$6,(X$18-(Assumptions!$C$7-1)-$C$9)))*$C$7)*X44)</f>
        <v>1</v>
      </c>
      <c r="Y69" s="14" t="n">
        <f aca="false">((IF(OR((Y$18-(Assumptions!$C$7-1)-$C$9)&lt;1,(Y$18-(Assumptions!$C$7-1)-$C$9)&gt;36),0,INDEX(Schedules!$C$6:$AL$6,(Y$18-(Assumptions!$C$7-1)-$C$9)))*$C$7)*Y44)</f>
        <v>0</v>
      </c>
      <c r="Z69" s="14" t="n">
        <f aca="false">((IF(OR((Z$18-(Assumptions!$C$7-1)-$C$9)&lt;1,(Z$18-(Assumptions!$C$7-1)-$C$9)&gt;36),0,INDEX(Schedules!$C$6:$AL$6,(Z$18-(Assumptions!$C$7-1)-$C$9)))*$C$7)*Z44)</f>
        <v>0</v>
      </c>
      <c r="AA69" s="14" t="n">
        <f aca="false">((IF(OR((AA$18-(Assumptions!$C$7-1)-$C$9)&lt;1,(AA$18-(Assumptions!$C$7-1)-$C$9)&gt;36),0,INDEX(Schedules!$C$6:$AL$6,(AA$18-(Assumptions!$C$7-1)-$C$9)))*$C$7)*AA44)</f>
        <v>1</v>
      </c>
      <c r="AB69" s="14" t="n">
        <f aca="false">((IF(OR((AB$18-(Assumptions!$C$7-1)-$C$9)&lt;1,(AB$18-(Assumptions!$C$7-1)-$C$9)&gt;36),0,INDEX(Schedules!$C$6:$AL$6,(AB$18-(Assumptions!$C$7-1)-$C$9)))*$C$7)*AB44)</f>
        <v>0</v>
      </c>
      <c r="AC69" s="14" t="n">
        <f aca="false">((IF(OR((AC$18-(Assumptions!$C$7-1)-$C$9)&lt;1,(AC$18-(Assumptions!$C$7-1)-$C$9)&gt;36),0,INDEX(Schedules!$C$6:$AL$6,(AC$18-(Assumptions!$C$7-1)-$C$9)))*$C$7)*AC44)</f>
        <v>0</v>
      </c>
      <c r="AD69" s="14" t="n">
        <f aca="false">((IF(OR((AD$18-(Assumptions!$C$7-1)-$C$9)&lt;1,(AD$18-(Assumptions!$C$7-1)-$C$9)&gt;36),0,INDEX(Schedules!$C$6:$AL$6,(AD$18-(Assumptions!$C$7-1)-$C$9)))*$C$7)*AD44)</f>
        <v>1</v>
      </c>
      <c r="AE69" s="14" t="n">
        <f aca="false">((IF(OR((AE$18-(Assumptions!$C$7-1)-$C$9)&lt;1,(AE$18-(Assumptions!$C$7-1)-$C$9)&gt;36),0,INDEX(Schedules!$C$6:$AL$6,(AE$18-(Assumptions!$C$7-1)-$C$9)))*$C$7)*AE44)</f>
        <v>0</v>
      </c>
      <c r="AF69" s="14" t="n">
        <f aca="false">((IF(OR((AF$18-(Assumptions!$C$7-1)-$C$9)&lt;1,(AF$18-(Assumptions!$C$7-1)-$C$9)&gt;36),0,INDEX(Schedules!$C$6:$AL$6,(AF$18-(Assumptions!$C$7-1)-$C$9)))*$C$7)*AF44)</f>
        <v>0</v>
      </c>
      <c r="AG69" s="14" t="n">
        <f aca="false">((IF(OR((AG$18-(Assumptions!$C$7-1)-$C$9)&lt;1,(AG$18-(Assumptions!$C$7-1)-$C$9)&gt;36),0,INDEX(Schedules!$C$6:$AL$6,(AG$18-(Assumptions!$C$7-1)-$C$9)))*$C$7)*AG44)</f>
        <v>1</v>
      </c>
      <c r="AH69" s="14" t="n">
        <f aca="false">((IF(OR((AH$18-(Assumptions!$C$7-1)-$C$9)&lt;1,(AH$18-(Assumptions!$C$7-1)-$C$9)&gt;36),0,INDEX(Schedules!$C$6:$AL$6,(AH$18-(Assumptions!$C$7-1)-$C$9)))*$C$7)*AH44)</f>
        <v>0</v>
      </c>
      <c r="AI69" s="14" t="n">
        <f aca="false">((IF(OR((AI$18-(Assumptions!$C$7-1)-$C$9)&lt;1,(AI$18-(Assumptions!$C$7-1)-$C$9)&gt;36),0,INDEX(Schedules!$C$6:$AL$6,(AI$18-(Assumptions!$C$7-1)-$C$9)))*$C$7)*AI44)</f>
        <v>0</v>
      </c>
      <c r="AJ69" s="14" t="n">
        <f aca="false">((IF(OR((AJ$18-(Assumptions!$C$7-1)-$C$9)&lt;1,(AJ$18-(Assumptions!$C$7-1)-$C$9)&gt;36),0,INDEX(Schedules!$C$6:$AL$6,(AJ$18-(Assumptions!$C$7-1)-$C$9)))*$C$7)*AJ44)</f>
        <v>2</v>
      </c>
      <c r="AK69" s="14" t="n">
        <f aca="false">((IF(OR((AK$18-(Assumptions!$C$7-1)-$C$9)&lt;1,(AK$18-(Assumptions!$C$7-1)-$C$9)&gt;36),0,INDEX(Schedules!$C$6:$AL$6,(AK$18-(Assumptions!$C$7-1)-$C$9)))*$C$7)*AK44)</f>
        <v>0</v>
      </c>
      <c r="AL69" s="14" t="n">
        <f aca="false">((IF(OR((AL$18-(Assumptions!$C$7-1)-$C$9)&lt;1,(AL$18-(Assumptions!$C$7-1)-$C$9)&gt;36),0,INDEX(Schedules!$C$6:$AL$6,(AL$18-(Assumptions!$C$7-1)-$C$9)))*$C$7)*AL44)</f>
        <v>0</v>
      </c>
      <c r="AN69" s="36" t="n">
        <f aca="false">SUM(C69:N69)</f>
        <v>0</v>
      </c>
      <c r="AO69" s="36" t="n">
        <f aca="false">SUM(O69:Z69)</f>
        <v>1</v>
      </c>
      <c r="AP69" s="36" t="n">
        <f aca="false">SUM(AA69:AL69)</f>
        <v>5</v>
      </c>
    </row>
    <row r="70" customFormat="false" ht="15" hidden="false" customHeight="false" outlineLevel="0" collapsed="false">
      <c r="A70" s="0" t="s">
        <v>876</v>
      </c>
      <c r="B70" s="0" t="s">
        <v>852</v>
      </c>
      <c r="C70" s="14" t="n">
        <f aca="false">INDEX(Schedules!$C$12:$AL$12,C$18)</f>
        <v>0</v>
      </c>
      <c r="D70" s="14" t="n">
        <f aca="false">INDEX(Schedules!$C$12:$AL$12,D$18)</f>
        <v>0</v>
      </c>
      <c r="E70" s="14" t="n">
        <f aca="false">INDEX(Schedules!$C$12:$AL$12,E$18)</f>
        <v>0</v>
      </c>
      <c r="F70" s="14" t="n">
        <f aca="false">INDEX(Schedules!$C$12:$AL$12,F$18)</f>
        <v>0</v>
      </c>
      <c r="G70" s="14" t="n">
        <f aca="false">INDEX(Schedules!$C$12:$AL$12,G$18)</f>
        <v>0</v>
      </c>
      <c r="H70" s="14" t="n">
        <f aca="false">INDEX(Schedules!$C$12:$AL$12,H$18)</f>
        <v>0</v>
      </c>
      <c r="I70" s="14" t="n">
        <f aca="false">INDEX(Schedules!$C$12:$AL$12,I$18)</f>
        <v>0</v>
      </c>
      <c r="J70" s="14" t="n">
        <f aca="false">INDEX(Schedules!$C$12:$AL$12,J$18)</f>
        <v>1</v>
      </c>
      <c r="K70" s="14" t="n">
        <f aca="false">INDEX(Schedules!$C$12:$AL$12,K$18)</f>
        <v>0</v>
      </c>
      <c r="L70" s="14" t="n">
        <f aca="false">INDEX(Schedules!$C$12:$AL$12,L$18)</f>
        <v>0</v>
      </c>
      <c r="M70" s="14" t="n">
        <f aca="false">INDEX(Schedules!$C$12:$AL$12,M$18)</f>
        <v>0</v>
      </c>
      <c r="N70" s="14" t="n">
        <f aca="false">INDEX(Schedules!$C$12:$AL$12,N$18)</f>
        <v>0</v>
      </c>
      <c r="O70" s="14" t="n">
        <f aca="false">INDEX(Schedules!$C$12:$AL$12,O$18)</f>
        <v>0</v>
      </c>
      <c r="P70" s="14" t="n">
        <f aca="false">INDEX(Schedules!$C$12:$AL$12,P$18)</f>
        <v>0</v>
      </c>
      <c r="Q70" s="14" t="n">
        <f aca="false">INDEX(Schedules!$C$12:$AL$12,Q$18)</f>
        <v>0</v>
      </c>
      <c r="R70" s="14" t="n">
        <f aca="false">INDEX(Schedules!$C$12:$AL$12,R$18)</f>
        <v>0</v>
      </c>
      <c r="S70" s="14" t="n">
        <f aca="false">INDEX(Schedules!$C$12:$AL$12,S$18)</f>
        <v>0</v>
      </c>
      <c r="T70" s="14" t="n">
        <f aca="false">INDEX(Schedules!$C$12:$AL$12,T$18)</f>
        <v>0</v>
      </c>
      <c r="U70" s="14" t="n">
        <f aca="false">INDEX(Schedules!$C$12:$AL$12,U$18)</f>
        <v>0</v>
      </c>
      <c r="V70" s="14" t="n">
        <f aca="false">INDEX(Schedules!$C$12:$AL$12,V$18)</f>
        <v>0</v>
      </c>
      <c r="W70" s="14" t="n">
        <f aca="false">INDEX(Schedules!$C$12:$AL$12,W$18)</f>
        <v>0</v>
      </c>
      <c r="X70" s="14" t="n">
        <f aca="false">INDEX(Schedules!$C$12:$AL$12,X$18)</f>
        <v>0</v>
      </c>
      <c r="Y70" s="14" t="n">
        <f aca="false">INDEX(Schedules!$C$12:$AL$12,Y$18)</f>
        <v>0</v>
      </c>
      <c r="Z70" s="14" t="n">
        <f aca="false">INDEX(Schedules!$C$12:$AL$12,Z$18)</f>
        <v>0</v>
      </c>
      <c r="AA70" s="14" t="n">
        <f aca="false">INDEX(Schedules!$C$12:$AL$12,AA$18)</f>
        <v>0</v>
      </c>
      <c r="AB70" s="14" t="n">
        <f aca="false">INDEX(Schedules!$C$12:$AL$12,AB$18)</f>
        <v>0</v>
      </c>
      <c r="AC70" s="14" t="n">
        <f aca="false">INDEX(Schedules!$C$12:$AL$12,AC$18)</f>
        <v>0</v>
      </c>
      <c r="AD70" s="14" t="n">
        <f aca="false">INDEX(Schedules!$C$12:$AL$12,AD$18)</f>
        <v>0</v>
      </c>
      <c r="AE70" s="14" t="n">
        <f aca="false">INDEX(Schedules!$C$12:$AL$12,AE$18)</f>
        <v>0</v>
      </c>
      <c r="AF70" s="14" t="n">
        <f aca="false">INDEX(Schedules!$C$12:$AL$12,AF$18)</f>
        <v>0</v>
      </c>
      <c r="AG70" s="14" t="n">
        <f aca="false">INDEX(Schedules!$C$12:$AL$12,AG$18)</f>
        <v>0</v>
      </c>
      <c r="AH70" s="14" t="n">
        <f aca="false">INDEX(Schedules!$C$12:$AL$12,AH$18)</f>
        <v>0</v>
      </c>
      <c r="AI70" s="14" t="n">
        <f aca="false">INDEX(Schedules!$C$12:$AL$12,AI$18)</f>
        <v>0</v>
      </c>
      <c r="AJ70" s="14" t="n">
        <f aca="false">INDEX(Schedules!$C$12:$AL$12,AJ$18)</f>
        <v>0</v>
      </c>
      <c r="AK70" s="14" t="n">
        <f aca="false">INDEX(Schedules!$C$12:$AL$12,AK$18)</f>
        <v>0</v>
      </c>
      <c r="AL70" s="14" t="n">
        <f aca="false">INDEX(Schedules!$C$12:$AL$12,AL$18)</f>
        <v>0</v>
      </c>
      <c r="AN70" s="36" t="n">
        <f aca="false">SUM(C70:N70)</f>
        <v>1</v>
      </c>
      <c r="AO70" s="36" t="n">
        <f aca="false">SUM(O70:Z70)</f>
        <v>0</v>
      </c>
      <c r="AP70" s="36" t="n">
        <f aca="false">SUM(AA70:AL70)</f>
        <v>0</v>
      </c>
    </row>
    <row r="71" customFormat="false" ht="15" hidden="false" customHeight="false" outlineLevel="0" collapsed="false">
      <c r="A71" s="0" t="s">
        <v>877</v>
      </c>
      <c r="B71" s="0" t="s">
        <v>852</v>
      </c>
      <c r="C71" s="14" t="n">
        <f aca="false">(C69+C70)</f>
        <v>0</v>
      </c>
      <c r="D71" s="14" t="n">
        <f aca="false">(D69+D70)</f>
        <v>0</v>
      </c>
      <c r="E71" s="14" t="n">
        <f aca="false">(E69+E70)</f>
        <v>0</v>
      </c>
      <c r="F71" s="14" t="n">
        <f aca="false">(F69+F70)</f>
        <v>0</v>
      </c>
      <c r="G71" s="14" t="n">
        <f aca="false">(G69+G70)</f>
        <v>0</v>
      </c>
      <c r="H71" s="14" t="n">
        <f aca="false">(H69+H70)</f>
        <v>0</v>
      </c>
      <c r="I71" s="14" t="n">
        <f aca="false">(I69+I70)</f>
        <v>0</v>
      </c>
      <c r="J71" s="14" t="n">
        <f aca="false">(J69+J70)</f>
        <v>1</v>
      </c>
      <c r="K71" s="14" t="n">
        <f aca="false">(K69+K70)</f>
        <v>0</v>
      </c>
      <c r="L71" s="14" t="n">
        <f aca="false">(L69+L70)</f>
        <v>0</v>
      </c>
      <c r="M71" s="14" t="n">
        <f aca="false">(M69+M70)</f>
        <v>0</v>
      </c>
      <c r="N71" s="14" t="n">
        <f aca="false">(N69+N70)</f>
        <v>0</v>
      </c>
      <c r="O71" s="14" t="n">
        <f aca="false">(O69+O70)</f>
        <v>0</v>
      </c>
      <c r="P71" s="14" t="n">
        <f aca="false">(P69+P70)</f>
        <v>0</v>
      </c>
      <c r="Q71" s="14" t="n">
        <f aca="false">(Q69+Q70)</f>
        <v>0</v>
      </c>
      <c r="R71" s="14" t="n">
        <f aca="false">(R69+R70)</f>
        <v>0</v>
      </c>
      <c r="S71" s="14" t="n">
        <f aca="false">(S69+S70)</f>
        <v>0</v>
      </c>
      <c r="T71" s="14" t="n">
        <f aca="false">(T69+T70)</f>
        <v>0</v>
      </c>
      <c r="U71" s="14" t="n">
        <f aca="false">(U69+U70)</f>
        <v>0</v>
      </c>
      <c r="V71" s="14" t="n">
        <f aca="false">(V69+V70)</f>
        <v>0</v>
      </c>
      <c r="W71" s="14" t="n">
        <f aca="false">(W69+W70)</f>
        <v>0</v>
      </c>
      <c r="X71" s="14" t="n">
        <f aca="false">(X69+X70)</f>
        <v>1</v>
      </c>
      <c r="Y71" s="14" t="n">
        <f aca="false">(Y69+Y70)</f>
        <v>0</v>
      </c>
      <c r="Z71" s="14" t="n">
        <f aca="false">(Z69+Z70)</f>
        <v>0</v>
      </c>
      <c r="AA71" s="14" t="n">
        <f aca="false">(AA69+AA70)</f>
        <v>1</v>
      </c>
      <c r="AB71" s="14" t="n">
        <f aca="false">(AB69+AB70)</f>
        <v>0</v>
      </c>
      <c r="AC71" s="14" t="n">
        <f aca="false">(AC69+AC70)</f>
        <v>0</v>
      </c>
      <c r="AD71" s="14" t="n">
        <f aca="false">(AD69+AD70)</f>
        <v>1</v>
      </c>
      <c r="AE71" s="14" t="n">
        <f aca="false">(AE69+AE70)</f>
        <v>0</v>
      </c>
      <c r="AF71" s="14" t="n">
        <f aca="false">(AF69+AF70)</f>
        <v>0</v>
      </c>
      <c r="AG71" s="14" t="n">
        <f aca="false">(AG69+AG70)</f>
        <v>1</v>
      </c>
      <c r="AH71" s="14" t="n">
        <f aca="false">(AH69+AH70)</f>
        <v>0</v>
      </c>
      <c r="AI71" s="14" t="n">
        <f aca="false">(AI69+AI70)</f>
        <v>0</v>
      </c>
      <c r="AJ71" s="14" t="n">
        <f aca="false">(AJ69+AJ70)</f>
        <v>2</v>
      </c>
      <c r="AK71" s="14" t="n">
        <f aca="false">(AK69+AK70)</f>
        <v>0</v>
      </c>
      <c r="AL71" s="14" t="n">
        <f aca="false">(AL69+AL70)</f>
        <v>0</v>
      </c>
      <c r="AN71" s="36" t="n">
        <f aca="false">SUM(C71:N71)</f>
        <v>1</v>
      </c>
      <c r="AO71" s="36" t="n">
        <f aca="false">SUM(O71:Z71)</f>
        <v>1</v>
      </c>
      <c r="AP71" s="36" t="n">
        <f aca="false">SUM(AA71:AL71)</f>
        <v>5</v>
      </c>
    </row>
    <row r="72" customFormat="false" ht="15" hidden="false" customHeight="false" outlineLevel="0" collapsed="false">
      <c r="A72" s="0" t="s">
        <v>878</v>
      </c>
      <c r="B72" s="0" t="s">
        <v>852</v>
      </c>
      <c r="C72" s="14" t="n">
        <f aca="false">((IF(OR((C$18-(Assumptions!$C$8-1)-$C$9)&lt;1,(C$18-(Assumptions!$C$8-1)-$C$9)&gt;36),0,INDEX(Schedules!$C$9:$AL$9,(C$18-(Assumptions!$C$8-1)-$C$9)))*$C$7)*C44)</f>
        <v>0</v>
      </c>
      <c r="D72" s="14" t="n">
        <f aca="false">((IF(OR((D$18-(Assumptions!$C$8-1)-$C$9)&lt;1,(D$18-(Assumptions!$C$8-1)-$C$9)&gt;36),0,INDEX(Schedules!$C$9:$AL$9,(D$18-(Assumptions!$C$8-1)-$C$9)))*$C$7)*D44)</f>
        <v>0</v>
      </c>
      <c r="E72" s="14" t="n">
        <f aca="false">((IF(OR((E$18-(Assumptions!$C$8-1)-$C$9)&lt;1,(E$18-(Assumptions!$C$8-1)-$C$9)&gt;36),0,INDEX(Schedules!$C$9:$AL$9,(E$18-(Assumptions!$C$8-1)-$C$9)))*$C$7)*E44)</f>
        <v>0</v>
      </c>
      <c r="F72" s="14" t="n">
        <f aca="false">((IF(OR((F$18-(Assumptions!$C$8-1)-$C$9)&lt;1,(F$18-(Assumptions!$C$8-1)-$C$9)&gt;36),0,INDEX(Schedules!$C$9:$AL$9,(F$18-(Assumptions!$C$8-1)-$C$9)))*$C$7)*F44)</f>
        <v>0</v>
      </c>
      <c r="G72" s="14" t="n">
        <f aca="false">((IF(OR((G$18-(Assumptions!$C$8-1)-$C$9)&lt;1,(G$18-(Assumptions!$C$8-1)-$C$9)&gt;36),0,INDEX(Schedules!$C$9:$AL$9,(G$18-(Assumptions!$C$8-1)-$C$9)))*$C$7)*G44)</f>
        <v>0</v>
      </c>
      <c r="H72" s="14" t="n">
        <f aca="false">((IF(OR((H$18-(Assumptions!$C$8-1)-$C$9)&lt;1,(H$18-(Assumptions!$C$8-1)-$C$9)&gt;36),0,INDEX(Schedules!$C$9:$AL$9,(H$18-(Assumptions!$C$8-1)-$C$9)))*$C$7)*H44)</f>
        <v>0</v>
      </c>
      <c r="I72" s="14" t="n">
        <f aca="false">((IF(OR((I$18-(Assumptions!$C$8-1)-$C$9)&lt;1,(I$18-(Assumptions!$C$8-1)-$C$9)&gt;36),0,INDEX(Schedules!$C$9:$AL$9,(I$18-(Assumptions!$C$8-1)-$C$9)))*$C$7)*I44)</f>
        <v>0</v>
      </c>
      <c r="J72" s="14" t="n">
        <f aca="false">((IF(OR((J$18-(Assumptions!$C$8-1)-$C$9)&lt;1,(J$18-(Assumptions!$C$8-1)-$C$9)&gt;36),0,INDEX(Schedules!$C$9:$AL$9,(J$18-(Assumptions!$C$8-1)-$C$9)))*$C$7)*J44)</f>
        <v>0</v>
      </c>
      <c r="K72" s="14" t="n">
        <f aca="false">((IF(OR((K$18-(Assumptions!$C$8-1)-$C$9)&lt;1,(K$18-(Assumptions!$C$8-1)-$C$9)&gt;36),0,INDEX(Schedules!$C$9:$AL$9,(K$18-(Assumptions!$C$8-1)-$C$9)))*$C$7)*K44)</f>
        <v>0</v>
      </c>
      <c r="L72" s="14" t="n">
        <f aca="false">((IF(OR((L$18-(Assumptions!$C$8-1)-$C$9)&lt;1,(L$18-(Assumptions!$C$8-1)-$C$9)&gt;36),0,INDEX(Schedules!$C$9:$AL$9,(L$18-(Assumptions!$C$8-1)-$C$9)))*$C$7)*L44)</f>
        <v>0</v>
      </c>
      <c r="M72" s="14" t="n">
        <f aca="false">((IF(OR((M$18-(Assumptions!$C$8-1)-$C$9)&lt;1,(M$18-(Assumptions!$C$8-1)-$C$9)&gt;36),0,INDEX(Schedules!$C$9:$AL$9,(M$18-(Assumptions!$C$8-1)-$C$9)))*$C$7)*M44)</f>
        <v>0</v>
      </c>
      <c r="N72" s="14" t="n">
        <f aca="false">((IF(OR((N$18-(Assumptions!$C$8-1)-$C$9)&lt;1,(N$18-(Assumptions!$C$8-1)-$C$9)&gt;36),0,INDEX(Schedules!$C$9:$AL$9,(N$18-(Assumptions!$C$8-1)-$C$9)))*$C$7)*N44)</f>
        <v>0</v>
      </c>
      <c r="O72" s="14" t="n">
        <f aca="false">((IF(OR((O$18-(Assumptions!$C$8-1)-$C$9)&lt;1,(O$18-(Assumptions!$C$8-1)-$C$9)&gt;36),0,INDEX(Schedules!$C$9:$AL$9,(O$18-(Assumptions!$C$8-1)-$C$9)))*$C$7)*O44)</f>
        <v>0</v>
      </c>
      <c r="P72" s="14" t="n">
        <f aca="false">((IF(OR((P$18-(Assumptions!$C$8-1)-$C$9)&lt;1,(P$18-(Assumptions!$C$8-1)-$C$9)&gt;36),0,INDEX(Schedules!$C$9:$AL$9,(P$18-(Assumptions!$C$8-1)-$C$9)))*$C$7)*P44)</f>
        <v>0</v>
      </c>
      <c r="Q72" s="14" t="n">
        <f aca="false">((IF(OR((Q$18-(Assumptions!$C$8-1)-$C$9)&lt;1,(Q$18-(Assumptions!$C$8-1)-$C$9)&gt;36),0,INDEX(Schedules!$C$9:$AL$9,(Q$18-(Assumptions!$C$8-1)-$C$9)))*$C$7)*Q44)</f>
        <v>0</v>
      </c>
      <c r="R72" s="14" t="n">
        <f aca="false">((IF(OR((R$18-(Assumptions!$C$8-1)-$C$9)&lt;1,(R$18-(Assumptions!$C$8-1)-$C$9)&gt;36),0,INDEX(Schedules!$C$9:$AL$9,(R$18-(Assumptions!$C$8-1)-$C$9)))*$C$7)*R44)</f>
        <v>0</v>
      </c>
      <c r="S72" s="14" t="n">
        <f aca="false">((IF(OR((S$18-(Assumptions!$C$8-1)-$C$9)&lt;1,(S$18-(Assumptions!$C$8-1)-$C$9)&gt;36),0,INDEX(Schedules!$C$9:$AL$9,(S$18-(Assumptions!$C$8-1)-$C$9)))*$C$7)*S44)</f>
        <v>0</v>
      </c>
      <c r="T72" s="14" t="n">
        <f aca="false">((IF(OR((T$18-(Assumptions!$C$8-1)-$C$9)&lt;1,(T$18-(Assumptions!$C$8-1)-$C$9)&gt;36),0,INDEX(Schedules!$C$9:$AL$9,(T$18-(Assumptions!$C$8-1)-$C$9)))*$C$7)*T44)</f>
        <v>0</v>
      </c>
      <c r="U72" s="14" t="n">
        <f aca="false">((IF(OR((U$18-(Assumptions!$C$8-1)-$C$9)&lt;1,(U$18-(Assumptions!$C$8-1)-$C$9)&gt;36),0,INDEX(Schedules!$C$9:$AL$9,(U$18-(Assumptions!$C$8-1)-$C$9)))*$C$7)*U44)</f>
        <v>0</v>
      </c>
      <c r="V72" s="14" t="n">
        <f aca="false">((IF(OR((V$18-(Assumptions!$C$8-1)-$C$9)&lt;1,(V$18-(Assumptions!$C$8-1)-$C$9)&gt;36),0,INDEX(Schedules!$C$9:$AL$9,(V$18-(Assumptions!$C$8-1)-$C$9)))*$C$7)*V44)</f>
        <v>0</v>
      </c>
      <c r="W72" s="14" t="n">
        <f aca="false">((IF(OR((W$18-(Assumptions!$C$8-1)-$C$9)&lt;1,(W$18-(Assumptions!$C$8-1)-$C$9)&gt;36),0,INDEX(Schedules!$C$9:$AL$9,(W$18-(Assumptions!$C$8-1)-$C$9)))*$C$7)*W44)</f>
        <v>0</v>
      </c>
      <c r="X72" s="14" t="n">
        <f aca="false">((IF(OR((X$18-(Assumptions!$C$8-1)-$C$9)&lt;1,(X$18-(Assumptions!$C$8-1)-$C$9)&gt;36),0,INDEX(Schedules!$C$9:$AL$9,(X$18-(Assumptions!$C$8-1)-$C$9)))*$C$7)*X44)</f>
        <v>0</v>
      </c>
      <c r="Y72" s="14" t="n">
        <f aca="false">((IF(OR((Y$18-(Assumptions!$C$8-1)-$C$9)&lt;1,(Y$18-(Assumptions!$C$8-1)-$C$9)&gt;36),0,INDEX(Schedules!$C$9:$AL$9,(Y$18-(Assumptions!$C$8-1)-$C$9)))*$C$7)*Y44)</f>
        <v>0</v>
      </c>
      <c r="Z72" s="14" t="n">
        <f aca="false">((IF(OR((Z$18-(Assumptions!$C$8-1)-$C$9)&lt;1,(Z$18-(Assumptions!$C$8-1)-$C$9)&gt;36),0,INDEX(Schedules!$C$9:$AL$9,(Z$18-(Assumptions!$C$8-1)-$C$9)))*$C$7)*Z44)</f>
        <v>0</v>
      </c>
      <c r="AA72" s="14" t="n">
        <f aca="false">((IF(OR((AA$18-(Assumptions!$C$8-1)-$C$9)&lt;1,(AA$18-(Assumptions!$C$8-1)-$C$9)&gt;36),0,INDEX(Schedules!$C$9:$AL$9,(AA$18-(Assumptions!$C$8-1)-$C$9)))*$C$7)*AA44)</f>
        <v>0</v>
      </c>
      <c r="AB72" s="14" t="n">
        <f aca="false">((IF(OR((AB$18-(Assumptions!$C$8-1)-$C$9)&lt;1,(AB$18-(Assumptions!$C$8-1)-$C$9)&gt;36),0,INDEX(Schedules!$C$9:$AL$9,(AB$18-(Assumptions!$C$8-1)-$C$9)))*$C$7)*AB44)</f>
        <v>0</v>
      </c>
      <c r="AC72" s="14" t="n">
        <f aca="false">((IF(OR((AC$18-(Assumptions!$C$8-1)-$C$9)&lt;1,(AC$18-(Assumptions!$C$8-1)-$C$9)&gt;36),0,INDEX(Schedules!$C$9:$AL$9,(AC$18-(Assumptions!$C$8-1)-$C$9)))*$C$7)*AC44)</f>
        <v>0</v>
      </c>
      <c r="AD72" s="14" t="n">
        <f aca="false">((IF(OR((AD$18-(Assumptions!$C$8-1)-$C$9)&lt;1,(AD$18-(Assumptions!$C$8-1)-$C$9)&gt;36),0,INDEX(Schedules!$C$9:$AL$9,(AD$18-(Assumptions!$C$8-1)-$C$9)))*$C$7)*AD44)</f>
        <v>0</v>
      </c>
      <c r="AE72" s="14" t="n">
        <f aca="false">((IF(OR((AE$18-(Assumptions!$C$8-1)-$C$9)&lt;1,(AE$18-(Assumptions!$C$8-1)-$C$9)&gt;36),0,INDEX(Schedules!$C$9:$AL$9,(AE$18-(Assumptions!$C$8-1)-$C$9)))*$C$7)*AE44)</f>
        <v>0</v>
      </c>
      <c r="AF72" s="14" t="n">
        <f aca="false">((IF(OR((AF$18-(Assumptions!$C$8-1)-$C$9)&lt;1,(AF$18-(Assumptions!$C$8-1)-$C$9)&gt;36),0,INDEX(Schedules!$C$9:$AL$9,(AF$18-(Assumptions!$C$8-1)-$C$9)))*$C$7)*AF44)</f>
        <v>0</v>
      </c>
      <c r="AG72" s="14" t="n">
        <f aca="false">((IF(OR((AG$18-(Assumptions!$C$8-1)-$C$9)&lt;1,(AG$18-(Assumptions!$C$8-1)-$C$9)&gt;36),0,INDEX(Schedules!$C$9:$AL$9,(AG$18-(Assumptions!$C$8-1)-$C$9)))*$C$7)*AG44)</f>
        <v>0</v>
      </c>
      <c r="AH72" s="14" t="n">
        <f aca="false">((IF(OR((AH$18-(Assumptions!$C$8-1)-$C$9)&lt;1,(AH$18-(Assumptions!$C$8-1)-$C$9)&gt;36),0,INDEX(Schedules!$C$9:$AL$9,(AH$18-(Assumptions!$C$8-1)-$C$9)))*$C$7)*AH44)</f>
        <v>1</v>
      </c>
      <c r="AI72" s="14" t="n">
        <f aca="false">((IF(OR((AI$18-(Assumptions!$C$8-1)-$C$9)&lt;1,(AI$18-(Assumptions!$C$8-1)-$C$9)&gt;36),0,INDEX(Schedules!$C$9:$AL$9,(AI$18-(Assumptions!$C$8-1)-$C$9)))*$C$7)*AI44)</f>
        <v>0</v>
      </c>
      <c r="AJ72" s="14" t="n">
        <f aca="false">((IF(OR((AJ$18-(Assumptions!$C$8-1)-$C$9)&lt;1,(AJ$18-(Assumptions!$C$8-1)-$C$9)&gt;36),0,INDEX(Schedules!$C$9:$AL$9,(AJ$18-(Assumptions!$C$8-1)-$C$9)))*$C$7)*AJ44)</f>
        <v>0</v>
      </c>
      <c r="AK72" s="14" t="n">
        <f aca="false">((IF(OR((AK$18-(Assumptions!$C$8-1)-$C$9)&lt;1,(AK$18-(Assumptions!$C$8-1)-$C$9)&gt;36),0,INDEX(Schedules!$C$9:$AL$9,(AK$18-(Assumptions!$C$8-1)-$C$9)))*$C$7)*AK44)</f>
        <v>1</v>
      </c>
      <c r="AL72" s="14" t="n">
        <f aca="false">((IF(OR((AL$18-(Assumptions!$C$8-1)-$C$9)&lt;1,(AL$18-(Assumptions!$C$8-1)-$C$9)&gt;36),0,INDEX(Schedules!$C$9:$AL$9,(AL$18-(Assumptions!$C$8-1)-$C$9)))*$C$7)*AL44)</f>
        <v>0</v>
      </c>
      <c r="AN72" s="36" t="n">
        <f aca="false">SUM(C72:N72)</f>
        <v>0</v>
      </c>
      <c r="AO72" s="36" t="n">
        <f aca="false">SUM(O72:Z72)</f>
        <v>0</v>
      </c>
      <c r="AP72" s="36" t="n">
        <f aca="false">SUM(AA72:AL72)</f>
        <v>2</v>
      </c>
    </row>
    <row r="73" customFormat="false" ht="15" hidden="false" customHeight="false" outlineLevel="0" collapsed="false">
      <c r="A73" s="0" t="s">
        <v>879</v>
      </c>
      <c r="B73" s="0" t="s">
        <v>852</v>
      </c>
      <c r="C73" s="14" t="n">
        <f aca="false">(C69+C72)</f>
        <v>0</v>
      </c>
      <c r="D73" s="14" t="n">
        <f aca="false">(D69+D72)</f>
        <v>0</v>
      </c>
      <c r="E73" s="14" t="n">
        <f aca="false">(E69+E72)</f>
        <v>0</v>
      </c>
      <c r="F73" s="14" t="n">
        <f aca="false">(F69+F72)</f>
        <v>0</v>
      </c>
      <c r="G73" s="14" t="n">
        <f aca="false">(G69+G72)</f>
        <v>0</v>
      </c>
      <c r="H73" s="14" t="n">
        <f aca="false">(H69+H72)</f>
        <v>0</v>
      </c>
      <c r="I73" s="14" t="n">
        <f aca="false">(I69+I72)</f>
        <v>0</v>
      </c>
      <c r="J73" s="14" t="n">
        <f aca="false">(J69+J72)</f>
        <v>0</v>
      </c>
      <c r="K73" s="14" t="n">
        <f aca="false">(K69+K72)</f>
        <v>0</v>
      </c>
      <c r="L73" s="14" t="n">
        <f aca="false">(L69+L72)</f>
        <v>0</v>
      </c>
      <c r="M73" s="14" t="n">
        <f aca="false">(M69+M72)</f>
        <v>0</v>
      </c>
      <c r="N73" s="14" t="n">
        <f aca="false">(N69+N72)</f>
        <v>0</v>
      </c>
      <c r="O73" s="14" t="n">
        <f aca="false">(O69+O72)</f>
        <v>0</v>
      </c>
      <c r="P73" s="14" t="n">
        <f aca="false">(P69+P72)</f>
        <v>0</v>
      </c>
      <c r="Q73" s="14" t="n">
        <f aca="false">(Q69+Q72)</f>
        <v>0</v>
      </c>
      <c r="R73" s="14" t="n">
        <f aca="false">(R69+R72)</f>
        <v>0</v>
      </c>
      <c r="S73" s="14" t="n">
        <f aca="false">(S69+S72)</f>
        <v>0</v>
      </c>
      <c r="T73" s="14" t="n">
        <f aca="false">(T69+T72)</f>
        <v>0</v>
      </c>
      <c r="U73" s="14" t="n">
        <f aca="false">(U69+U72)</f>
        <v>0</v>
      </c>
      <c r="V73" s="14" t="n">
        <f aca="false">(V69+V72)</f>
        <v>0</v>
      </c>
      <c r="W73" s="14" t="n">
        <f aca="false">(W69+W72)</f>
        <v>0</v>
      </c>
      <c r="X73" s="14" t="n">
        <f aca="false">(X69+X72)</f>
        <v>1</v>
      </c>
      <c r="Y73" s="14" t="n">
        <f aca="false">(Y69+Y72)</f>
        <v>0</v>
      </c>
      <c r="Z73" s="14" t="n">
        <f aca="false">(Z69+Z72)</f>
        <v>0</v>
      </c>
      <c r="AA73" s="14" t="n">
        <f aca="false">(AA69+AA72)</f>
        <v>1</v>
      </c>
      <c r="AB73" s="14" t="n">
        <f aca="false">(AB69+AB72)</f>
        <v>0</v>
      </c>
      <c r="AC73" s="14" t="n">
        <f aca="false">(AC69+AC72)</f>
        <v>0</v>
      </c>
      <c r="AD73" s="14" t="n">
        <f aca="false">(AD69+AD72)</f>
        <v>1</v>
      </c>
      <c r="AE73" s="14" t="n">
        <f aca="false">(AE69+AE72)</f>
        <v>0</v>
      </c>
      <c r="AF73" s="14" t="n">
        <f aca="false">(AF69+AF72)</f>
        <v>0</v>
      </c>
      <c r="AG73" s="14" t="n">
        <f aca="false">(AG69+AG72)</f>
        <v>1</v>
      </c>
      <c r="AH73" s="14" t="n">
        <f aca="false">(AH69+AH72)</f>
        <v>1</v>
      </c>
      <c r="AI73" s="14" t="n">
        <f aca="false">(AI69+AI72)</f>
        <v>0</v>
      </c>
      <c r="AJ73" s="14" t="n">
        <f aca="false">(AJ69+AJ72)</f>
        <v>2</v>
      </c>
      <c r="AK73" s="14" t="n">
        <f aca="false">(AK69+AK72)</f>
        <v>1</v>
      </c>
      <c r="AL73" s="14" t="n">
        <f aca="false">(AL69+AL72)</f>
        <v>0</v>
      </c>
      <c r="AN73" s="36" t="n">
        <f aca="false">SUM(C73:N73)</f>
        <v>0</v>
      </c>
      <c r="AO73" s="36" t="n">
        <f aca="false">SUM(O73:Z73)</f>
        <v>1</v>
      </c>
      <c r="AP73" s="36" t="n">
        <f aca="false">SUM(AA73:AL73)</f>
        <v>7</v>
      </c>
    </row>
    <row r="74" customFormat="false" ht="15" hidden="false" customHeight="false" outlineLevel="0" collapsed="false">
      <c r="A74" s="0" t="s">
        <v>880</v>
      </c>
      <c r="B74" s="0" t="s">
        <v>852</v>
      </c>
      <c r="C74" s="14" t="n">
        <f aca="false">C71</f>
        <v>0</v>
      </c>
      <c r="D74" s="14" t="n">
        <f aca="false">SUM(C71:D71)</f>
        <v>0</v>
      </c>
      <c r="E74" s="14" t="n">
        <f aca="false">SUM(C71:E71)</f>
        <v>0</v>
      </c>
      <c r="F74" s="14" t="n">
        <f aca="false">SUM(C71:F71)</f>
        <v>0</v>
      </c>
      <c r="G74" s="14" t="n">
        <f aca="false">SUM(C71:G71)</f>
        <v>0</v>
      </c>
      <c r="H74" s="14" t="n">
        <f aca="false">SUM(C71:H71)</f>
        <v>0</v>
      </c>
      <c r="I74" s="14" t="n">
        <f aca="false">SUM(D71:I71)</f>
        <v>0</v>
      </c>
      <c r="J74" s="14" t="n">
        <f aca="false">SUM(E71:J71)</f>
        <v>1</v>
      </c>
      <c r="K74" s="14" t="n">
        <f aca="false">SUM(F71:K71)</f>
        <v>1</v>
      </c>
      <c r="L74" s="14" t="n">
        <f aca="false">SUM(G71:L71)</f>
        <v>1</v>
      </c>
      <c r="M74" s="14" t="n">
        <f aca="false">SUM(H71:M71)</f>
        <v>1</v>
      </c>
      <c r="N74" s="14" t="n">
        <f aca="false">SUM(I71:N71)</f>
        <v>1</v>
      </c>
      <c r="O74" s="14" t="n">
        <f aca="false">SUM(J71:O71)</f>
        <v>1</v>
      </c>
      <c r="P74" s="14" t="n">
        <f aca="false">SUM(K71:P71)</f>
        <v>0</v>
      </c>
      <c r="Q74" s="14" t="n">
        <f aca="false">SUM(L71:Q71)</f>
        <v>0</v>
      </c>
      <c r="R74" s="14" t="n">
        <f aca="false">SUM(M71:R71)</f>
        <v>0</v>
      </c>
      <c r="S74" s="14" t="n">
        <f aca="false">SUM(N71:S71)</f>
        <v>0</v>
      </c>
      <c r="T74" s="14" t="n">
        <f aca="false">SUM(O71:T71)</f>
        <v>0</v>
      </c>
      <c r="U74" s="14" t="n">
        <f aca="false">SUM(P71:U71)</f>
        <v>0</v>
      </c>
      <c r="V74" s="14" t="n">
        <f aca="false">SUM(Q71:V71)</f>
        <v>0</v>
      </c>
      <c r="W74" s="14" t="n">
        <f aca="false">SUM(R71:W71)</f>
        <v>0</v>
      </c>
      <c r="X74" s="14" t="n">
        <f aca="false">SUM(S71:X71)</f>
        <v>1</v>
      </c>
      <c r="Y74" s="14" t="n">
        <f aca="false">SUM(T71:Y71)</f>
        <v>1</v>
      </c>
      <c r="Z74" s="14" t="n">
        <f aca="false">SUM(U71:Z71)</f>
        <v>1</v>
      </c>
      <c r="AA74" s="14" t="n">
        <f aca="false">SUM(V71:AA71)</f>
        <v>2</v>
      </c>
      <c r="AB74" s="14" t="n">
        <f aca="false">SUM(W71:AB71)</f>
        <v>2</v>
      </c>
      <c r="AC74" s="14" t="n">
        <f aca="false">SUM(X71:AC71)</f>
        <v>2</v>
      </c>
      <c r="AD74" s="14" t="n">
        <f aca="false">SUM(Y71:AD71)</f>
        <v>2</v>
      </c>
      <c r="AE74" s="14" t="n">
        <f aca="false">SUM(Z71:AE71)</f>
        <v>2</v>
      </c>
      <c r="AF74" s="14" t="n">
        <f aca="false">SUM(AA71:AF71)</f>
        <v>2</v>
      </c>
      <c r="AG74" s="14" t="n">
        <f aca="false">SUM(AB71:AG71)</f>
        <v>2</v>
      </c>
      <c r="AH74" s="14" t="n">
        <f aca="false">SUM(AC71:AH71)</f>
        <v>2</v>
      </c>
      <c r="AI74" s="14" t="n">
        <f aca="false">SUM(AD71:AI71)</f>
        <v>2</v>
      </c>
      <c r="AJ74" s="14" t="n">
        <f aca="false">SUM(AE71:AJ71)</f>
        <v>3</v>
      </c>
      <c r="AK74" s="14" t="n">
        <f aca="false">SUM(AF71:AK71)</f>
        <v>3</v>
      </c>
      <c r="AL74" s="14" t="n">
        <f aca="false">SUM(AG71:AL71)</f>
        <v>3</v>
      </c>
      <c r="AN74" s="36" t="n">
        <f aca="false">N74</f>
        <v>1</v>
      </c>
      <c r="AO74" s="36" t="n">
        <f aca="false">Z74</f>
        <v>1</v>
      </c>
      <c r="AP74" s="36" t="n">
        <f aca="false">AL74</f>
        <v>3</v>
      </c>
    </row>
    <row r="75" customFormat="false" ht="15" hidden="false" customHeight="false" outlineLevel="0" collapsed="false">
      <c r="A75" s="0" t="s">
        <v>881</v>
      </c>
      <c r="B75" s="0" t="s">
        <v>852</v>
      </c>
      <c r="C75" s="14" t="n">
        <f aca="false">C69</f>
        <v>0</v>
      </c>
      <c r="D75" s="14" t="n">
        <f aca="false">SUM(C69:D69)</f>
        <v>0</v>
      </c>
      <c r="E75" s="14" t="n">
        <f aca="false">SUM(C69:E69)</f>
        <v>0</v>
      </c>
      <c r="F75" s="14" t="n">
        <f aca="false">SUM(C69:F69)</f>
        <v>0</v>
      </c>
      <c r="G75" s="14" t="n">
        <f aca="false">SUM(C69:G69)</f>
        <v>0</v>
      </c>
      <c r="H75" s="14" t="n">
        <f aca="false">SUM(C69:H69)</f>
        <v>0</v>
      </c>
      <c r="I75" s="14" t="n">
        <f aca="false">SUM(D69:I69)</f>
        <v>0</v>
      </c>
      <c r="J75" s="14" t="n">
        <f aca="false">SUM(E69:J69)</f>
        <v>0</v>
      </c>
      <c r="K75" s="14" t="n">
        <f aca="false">SUM(F69:K69)</f>
        <v>0</v>
      </c>
      <c r="L75" s="14" t="n">
        <f aca="false">SUM(G69:L69)</f>
        <v>0</v>
      </c>
      <c r="M75" s="14" t="n">
        <f aca="false">SUM(H69:M69)</f>
        <v>0</v>
      </c>
      <c r="N75" s="14" t="n">
        <f aca="false">SUM(I69:N69)</f>
        <v>0</v>
      </c>
      <c r="O75" s="14" t="n">
        <f aca="false">SUM(J69:O69)</f>
        <v>0</v>
      </c>
      <c r="P75" s="14" t="n">
        <f aca="false">SUM(K69:P69)</f>
        <v>0</v>
      </c>
      <c r="Q75" s="14" t="n">
        <f aca="false">SUM(L69:Q69)</f>
        <v>0</v>
      </c>
      <c r="R75" s="14" t="n">
        <f aca="false">SUM(M69:R69)</f>
        <v>0</v>
      </c>
      <c r="S75" s="14" t="n">
        <f aca="false">SUM(N69:S69)</f>
        <v>0</v>
      </c>
      <c r="T75" s="14" t="n">
        <f aca="false">SUM(O69:T69)</f>
        <v>0</v>
      </c>
      <c r="U75" s="14" t="n">
        <f aca="false">SUM(P69:U69)</f>
        <v>0</v>
      </c>
      <c r="V75" s="14" t="n">
        <f aca="false">SUM(Q69:V69)</f>
        <v>0</v>
      </c>
      <c r="W75" s="14" t="n">
        <f aca="false">SUM(R69:W69)</f>
        <v>0</v>
      </c>
      <c r="X75" s="14" t="n">
        <f aca="false">SUM(S69:X69)</f>
        <v>1</v>
      </c>
      <c r="Y75" s="14" t="n">
        <f aca="false">SUM(T69:Y69)</f>
        <v>1</v>
      </c>
      <c r="Z75" s="14" t="n">
        <f aca="false">SUM(U69:Z69)</f>
        <v>1</v>
      </c>
      <c r="AA75" s="14" t="n">
        <f aca="false">SUM(V69:AA69)</f>
        <v>2</v>
      </c>
      <c r="AB75" s="14" t="n">
        <f aca="false">SUM(W69:AB69)</f>
        <v>2</v>
      </c>
      <c r="AC75" s="14" t="n">
        <f aca="false">SUM(X69:AC69)</f>
        <v>2</v>
      </c>
      <c r="AD75" s="14" t="n">
        <f aca="false">SUM(Y69:AD69)</f>
        <v>2</v>
      </c>
      <c r="AE75" s="14" t="n">
        <f aca="false">SUM(Z69:AE69)</f>
        <v>2</v>
      </c>
      <c r="AF75" s="14" t="n">
        <f aca="false">SUM(AA69:AF69)</f>
        <v>2</v>
      </c>
      <c r="AG75" s="14" t="n">
        <f aca="false">SUM(AB69:AG69)</f>
        <v>2</v>
      </c>
      <c r="AH75" s="14" t="n">
        <f aca="false">SUM(AC69:AH69)</f>
        <v>2</v>
      </c>
      <c r="AI75" s="14" t="n">
        <f aca="false">SUM(AD69:AI69)</f>
        <v>2</v>
      </c>
      <c r="AJ75" s="14" t="n">
        <f aca="false">SUM(AE69:AJ69)</f>
        <v>3</v>
      </c>
      <c r="AK75" s="14" t="n">
        <f aca="false">SUM(AF69:AK69)</f>
        <v>3</v>
      </c>
      <c r="AL75" s="14" t="n">
        <f aca="false">SUM(AG69:AL69)</f>
        <v>3</v>
      </c>
      <c r="AN75" s="36" t="n">
        <f aca="false">N75</f>
        <v>0</v>
      </c>
      <c r="AO75" s="36" t="n">
        <f aca="false">Z75</f>
        <v>1</v>
      </c>
      <c r="AP75" s="36" t="n">
        <f aca="false">AL75</f>
        <v>3</v>
      </c>
    </row>
    <row r="76" customFormat="false" ht="15" hidden="false" customHeight="false" outlineLevel="0" collapsed="false">
      <c r="A76" s="0" t="s">
        <v>882</v>
      </c>
      <c r="B76" s="0" t="s">
        <v>852</v>
      </c>
      <c r="C76" s="14" t="n">
        <f aca="false">((Assumptions!$D$127*$C$8)*0)</f>
        <v>0</v>
      </c>
      <c r="D76" s="14" t="n">
        <f aca="false">((Assumptions!$D$127*$C$8)*0)</f>
        <v>0</v>
      </c>
      <c r="E76" s="14" t="n">
        <f aca="false">((Assumptions!$D$127*$C$8)*0)</f>
        <v>0</v>
      </c>
      <c r="F76" s="14" t="n">
        <f aca="false">((Assumptions!$D$127*$C$8)*0)</f>
        <v>0</v>
      </c>
      <c r="G76" s="14" t="n">
        <f aca="false">((Assumptions!$D$127*$C$8)*0)</f>
        <v>0</v>
      </c>
      <c r="H76" s="14" t="n">
        <f aca="false">((Assumptions!$D$127*$C$8)*0)</f>
        <v>0</v>
      </c>
      <c r="I76" s="14" t="n">
        <f aca="false">((Assumptions!$D$127*$C$8)*0)</f>
        <v>0</v>
      </c>
      <c r="J76" s="14" t="n">
        <f aca="false">((Assumptions!$D$127*$C$8)*C69)</f>
        <v>0</v>
      </c>
      <c r="K76" s="14" t="n">
        <f aca="false">((Assumptions!$D$127*$C$8)*D69)</f>
        <v>0</v>
      </c>
      <c r="L76" s="14" t="n">
        <f aca="false">((Assumptions!$D$127*$C$8)*E69)</f>
        <v>0</v>
      </c>
      <c r="M76" s="14" t="n">
        <f aca="false">((Assumptions!$D$127*$C$8)*F69)</f>
        <v>0</v>
      </c>
      <c r="N76" s="14" t="n">
        <f aca="false">((Assumptions!$D$127*$C$8)*G69)</f>
        <v>0</v>
      </c>
      <c r="O76" s="14" t="n">
        <f aca="false">((Assumptions!$D$127*$C$8)*H69)</f>
        <v>0</v>
      </c>
      <c r="P76" s="14" t="n">
        <f aca="false">((Assumptions!$D$127*$C$8)*I69)</f>
        <v>0</v>
      </c>
      <c r="Q76" s="14" t="n">
        <f aca="false">((Assumptions!$D$127*$C$8)*J69)</f>
        <v>0</v>
      </c>
      <c r="R76" s="14" t="n">
        <f aca="false">((Assumptions!$D$127*$C$8)*K69)</f>
        <v>0</v>
      </c>
      <c r="S76" s="14" t="n">
        <f aca="false">((Assumptions!$D$127*$C$8)*L69)</f>
        <v>0</v>
      </c>
      <c r="T76" s="14" t="n">
        <f aca="false">((Assumptions!$D$127*$C$8)*M69)</f>
        <v>0</v>
      </c>
      <c r="U76" s="14" t="n">
        <f aca="false">((Assumptions!$D$127*$C$8)*N69)</f>
        <v>0</v>
      </c>
      <c r="V76" s="14" t="n">
        <f aca="false">((Assumptions!$D$127*$C$8)*O69)</f>
        <v>0</v>
      </c>
      <c r="W76" s="14" t="n">
        <f aca="false">((Assumptions!$D$127*$C$8)*P69)</f>
        <v>0</v>
      </c>
      <c r="X76" s="14" t="n">
        <f aca="false">((Assumptions!$D$127*$C$8)*Q69)</f>
        <v>0</v>
      </c>
      <c r="Y76" s="14" t="n">
        <f aca="false">((Assumptions!$D$127*$C$8)*R69)</f>
        <v>0</v>
      </c>
      <c r="Z76" s="14" t="n">
        <f aca="false">((Assumptions!$D$127*$C$8)*S69)</f>
        <v>0</v>
      </c>
      <c r="AA76" s="14" t="n">
        <f aca="false">((Assumptions!$D$127*$C$8)*T69)</f>
        <v>0</v>
      </c>
      <c r="AB76" s="14" t="n">
        <f aca="false">((Assumptions!$D$127*$C$8)*U69)</f>
        <v>0</v>
      </c>
      <c r="AC76" s="14" t="n">
        <f aca="false">((Assumptions!$D$127*$C$8)*V69)</f>
        <v>0</v>
      </c>
      <c r="AD76" s="14" t="n">
        <f aca="false">((Assumptions!$D$127*$C$8)*W69)</f>
        <v>0</v>
      </c>
      <c r="AE76" s="14" t="n">
        <f aca="false">((Assumptions!$D$127*$C$8)*X69)</f>
        <v>0.405</v>
      </c>
      <c r="AF76" s="14" t="n">
        <f aca="false">((Assumptions!$D$127*$C$8)*Y69)</f>
        <v>0</v>
      </c>
      <c r="AG76" s="14" t="n">
        <f aca="false">((Assumptions!$D$127*$C$8)*Z69)</f>
        <v>0</v>
      </c>
      <c r="AH76" s="14" t="n">
        <f aca="false">((Assumptions!$D$127*$C$8)*AA69)</f>
        <v>0.405</v>
      </c>
      <c r="AI76" s="14" t="n">
        <f aca="false">((Assumptions!$D$127*$C$8)*AB69)</f>
        <v>0</v>
      </c>
      <c r="AJ76" s="14" t="n">
        <f aca="false">((Assumptions!$D$127*$C$8)*AC69)</f>
        <v>0</v>
      </c>
      <c r="AK76" s="14" t="n">
        <f aca="false">((Assumptions!$D$127*$C$8)*AD69)</f>
        <v>0.405</v>
      </c>
      <c r="AL76" s="14" t="n">
        <f aca="false">((Assumptions!$D$127*$C$8)*AE69)</f>
        <v>0</v>
      </c>
      <c r="AN76" s="36" t="n">
        <f aca="false">SUM(C76:N76)</f>
        <v>0</v>
      </c>
      <c r="AO76" s="36" t="n">
        <f aca="false">SUM(O76:Z76)</f>
        <v>0</v>
      </c>
      <c r="AP76" s="36" t="n">
        <f aca="false">SUM(AA76:AL76)</f>
        <v>1.215</v>
      </c>
    </row>
    <row r="77" customFormat="false" ht="15" hidden="false" customHeight="false" outlineLevel="0" collapsed="false">
      <c r="A77" s="0" t="s">
        <v>883</v>
      </c>
      <c r="B77" s="0" t="s">
        <v>852</v>
      </c>
      <c r="C77" s="14" t="n">
        <f aca="false">((Assumptions!$C$10*$C$8)*IF((C$18=(Assumptions!$C$7+$C$9)),0,IF((C$18&gt;(Assumptions!$C$7+$C$9)),0,0)))</f>
        <v>0</v>
      </c>
      <c r="D77" s="14" t="n">
        <f aca="false">((Assumptions!$C$10*$C$8)*IF((D$18=(Assumptions!$C$7+$C$9)),0,IF((D$18&gt;(Assumptions!$C$7+$C$9)),0,0)))</f>
        <v>0</v>
      </c>
      <c r="E77" s="14" t="n">
        <f aca="false">((Assumptions!$C$10*$C$8)*IF((E$18=(Assumptions!$C$7+$C$9)),0,IF((E$18&gt;(Assumptions!$C$7+$C$9)),0,0)))</f>
        <v>0</v>
      </c>
      <c r="F77" s="14" t="n">
        <f aca="false">((Assumptions!$C$10*$C$8)*IF((F$18=(Assumptions!$C$7+$C$9)),0,IF((F$18&gt;(Assumptions!$C$7+$C$9)),0,0)))</f>
        <v>0</v>
      </c>
      <c r="G77" s="14" t="n">
        <f aca="false">((Assumptions!$C$10*$C$8)*IF((G$18=(Assumptions!$C$7+$C$9)),0,IF((G$18&gt;(Assumptions!$C$7+$C$9)),0,0)))</f>
        <v>0</v>
      </c>
      <c r="H77" s="14" t="n">
        <f aca="false">((Assumptions!$C$10*$C$8)*IF((H$18=(Assumptions!$C$7+$C$9)),0,IF((H$18&gt;(Assumptions!$C$7+$C$9)),0,0)))</f>
        <v>0</v>
      </c>
      <c r="I77" s="14" t="n">
        <f aca="false">((Assumptions!$C$10*$C$8)*IF((I$18=(Assumptions!$C$7+$C$9)),0,IF((I$18&gt;(Assumptions!$C$7+$C$9)),0,0)))</f>
        <v>0</v>
      </c>
      <c r="J77" s="14" t="n">
        <f aca="false">((Assumptions!$C$10*$C$8)*IF((J$18=(Assumptions!$C$7+$C$9)),C70,IF((J$18&gt;(Assumptions!$C$7+$C$9)),C70,0)))</f>
        <v>0</v>
      </c>
      <c r="K77" s="14" t="n">
        <f aca="false">((Assumptions!$C$10*$C$8)*IF((K$18=(Assumptions!$C$7+$C$9)),SUM(C70:D70),IF((K$18&gt;(Assumptions!$C$7+$C$9)),D70,0)))</f>
        <v>0</v>
      </c>
      <c r="L77" s="14" t="n">
        <f aca="false">((Assumptions!$C$10*$C$8)*IF((L$18=(Assumptions!$C$7+$C$9)),SUM(C70:E70),IF((L$18&gt;(Assumptions!$C$7+$C$9)),E70,0)))</f>
        <v>0</v>
      </c>
      <c r="M77" s="14" t="n">
        <f aca="false">((Assumptions!$C$10*$C$8)*IF((M$18=(Assumptions!$C$7+$C$9)),SUM(C70:F70),IF((M$18&gt;(Assumptions!$C$7+$C$9)),F70,0)))</f>
        <v>0</v>
      </c>
      <c r="N77" s="14" t="n">
        <f aca="false">((Assumptions!$C$10*$C$8)*IF((N$18=(Assumptions!$C$7+$C$9)),SUM(C70:G70),IF((N$18&gt;(Assumptions!$C$7+$C$9)),G70,0)))</f>
        <v>0</v>
      </c>
      <c r="O77" s="14" t="n">
        <f aca="false">((Assumptions!$C$10*$C$8)*IF((O$18=(Assumptions!$C$7+$C$9)),SUM(C70:H70),IF((O$18&gt;(Assumptions!$C$7+$C$9)),H70,0)))</f>
        <v>0</v>
      </c>
      <c r="P77" s="14" t="n">
        <f aca="false">((Assumptions!$C$10*$C$8)*IF((P$18=(Assumptions!$C$7+$C$9)),SUM(C70:I70),IF((P$18&gt;(Assumptions!$C$7+$C$9)),I70,0)))</f>
        <v>0</v>
      </c>
      <c r="Q77" s="14" t="n">
        <f aca="false">((Assumptions!$C$10*$C$8)*IF((Q$18=(Assumptions!$C$7+$C$9)),SUM(C70:J70),IF((Q$18&gt;(Assumptions!$C$7+$C$9)),J70,0)))</f>
        <v>0</v>
      </c>
      <c r="R77" s="14" t="n">
        <f aca="false">((Assumptions!$C$10*$C$8)*IF((R$18=(Assumptions!$C$7+$C$9)),SUM(C70:K70),IF((R$18&gt;(Assumptions!$C$7+$C$9)),K70,0)))</f>
        <v>0</v>
      </c>
      <c r="S77" s="14" t="n">
        <f aca="false">((Assumptions!$C$10*$C$8)*IF((S$18=(Assumptions!$C$7+$C$9)),SUM(C70:L70),IF((S$18&gt;(Assumptions!$C$7+$C$9)),L70,0)))</f>
        <v>0</v>
      </c>
      <c r="T77" s="14" t="n">
        <f aca="false">((Assumptions!$C$10*$C$8)*IF((T$18=(Assumptions!$C$7+$C$9)),SUM(C70:M70),IF((T$18&gt;(Assumptions!$C$7+$C$9)),M70,0)))</f>
        <v>0.54</v>
      </c>
      <c r="U77" s="14" t="n">
        <f aca="false">((Assumptions!$C$10*$C$8)*IF((U$18=(Assumptions!$C$7+$C$9)),SUM(C70:N70),IF((U$18&gt;(Assumptions!$C$7+$C$9)),N70,0)))</f>
        <v>0</v>
      </c>
      <c r="V77" s="14" t="n">
        <f aca="false">((Assumptions!$C$10*$C$8)*IF((V$18=(Assumptions!$C$7+$C$9)),SUM(C70:O70),IF((V$18&gt;(Assumptions!$C$7+$C$9)),O70,0)))</f>
        <v>0</v>
      </c>
      <c r="W77" s="14" t="n">
        <f aca="false">((Assumptions!$C$10*$C$8)*IF((W$18=(Assumptions!$C$7+$C$9)),SUM(C70:P70),IF((W$18&gt;(Assumptions!$C$7+$C$9)),P70,0)))</f>
        <v>0</v>
      </c>
      <c r="X77" s="14" t="n">
        <f aca="false">((Assumptions!$C$10*$C$8)*IF((X$18=(Assumptions!$C$7+$C$9)),SUM(C70:Q70),IF((X$18&gt;(Assumptions!$C$7+$C$9)),Q70,0)))</f>
        <v>0</v>
      </c>
      <c r="Y77" s="14" t="n">
        <f aca="false">((Assumptions!$C$10*$C$8)*IF((Y$18=(Assumptions!$C$7+$C$9)),SUM(C70:R70),IF((Y$18&gt;(Assumptions!$C$7+$C$9)),R70,0)))</f>
        <v>0</v>
      </c>
      <c r="Z77" s="14" t="n">
        <f aca="false">((Assumptions!$C$10*$C$8)*IF((Z$18=(Assumptions!$C$7+$C$9)),SUM(C70:S70),IF((Z$18&gt;(Assumptions!$C$7+$C$9)),S70,0)))</f>
        <v>0</v>
      </c>
      <c r="AA77" s="14" t="n">
        <f aca="false">((Assumptions!$C$10*$C$8)*IF((AA$18=(Assumptions!$C$7+$C$9)),SUM(C70:T70),IF((AA$18&gt;(Assumptions!$C$7+$C$9)),T70,0)))</f>
        <v>0</v>
      </c>
      <c r="AB77" s="14" t="n">
        <f aca="false">((Assumptions!$C$10*$C$8)*IF((AB$18=(Assumptions!$C$7+$C$9)),SUM(C70:U70),IF((AB$18&gt;(Assumptions!$C$7+$C$9)),U70,0)))</f>
        <v>0</v>
      </c>
      <c r="AC77" s="14" t="n">
        <f aca="false">((Assumptions!$C$10*$C$8)*IF((AC$18=(Assumptions!$C$7+$C$9)),SUM(C70:V70),IF((AC$18&gt;(Assumptions!$C$7+$C$9)),V70,0)))</f>
        <v>0</v>
      </c>
      <c r="AD77" s="14" t="n">
        <f aca="false">((Assumptions!$C$10*$C$8)*IF((AD$18=(Assumptions!$C$7+$C$9)),SUM(C70:W70),IF((AD$18&gt;(Assumptions!$C$7+$C$9)),W70,0)))</f>
        <v>0</v>
      </c>
      <c r="AE77" s="14" t="n">
        <f aca="false">((Assumptions!$C$10*$C$8)*IF((AE$18=(Assumptions!$C$7+$C$9)),SUM(C70:X70),IF((AE$18&gt;(Assumptions!$C$7+$C$9)),X70,0)))</f>
        <v>0</v>
      </c>
      <c r="AF77" s="14" t="n">
        <f aca="false">((Assumptions!$C$10*$C$8)*IF((AF$18=(Assumptions!$C$7+$C$9)),SUM(C70:Y70),IF((AF$18&gt;(Assumptions!$C$7+$C$9)),Y70,0)))</f>
        <v>0</v>
      </c>
      <c r="AG77" s="14" t="n">
        <f aca="false">((Assumptions!$C$10*$C$8)*IF((AG$18=(Assumptions!$C$7+$C$9)),SUM(C70:Z70),IF((AG$18&gt;(Assumptions!$C$7+$C$9)),Z70,0)))</f>
        <v>0</v>
      </c>
      <c r="AH77" s="14" t="n">
        <f aca="false">((Assumptions!$C$10*$C$8)*IF((AH$18=(Assumptions!$C$7+$C$9)),SUM(C70:AA70),IF((AH$18&gt;(Assumptions!$C$7+$C$9)),AA70,0)))</f>
        <v>0</v>
      </c>
      <c r="AI77" s="14" t="n">
        <f aca="false">((Assumptions!$C$10*$C$8)*IF((AI$18=(Assumptions!$C$7+$C$9)),SUM(C70:AB70),IF((AI$18&gt;(Assumptions!$C$7+$C$9)),AB70,0)))</f>
        <v>0</v>
      </c>
      <c r="AJ77" s="14" t="n">
        <f aca="false">((Assumptions!$C$10*$C$8)*IF((AJ$18=(Assumptions!$C$7+$C$9)),SUM(C70:AC70),IF((AJ$18&gt;(Assumptions!$C$7+$C$9)),AC70,0)))</f>
        <v>0</v>
      </c>
      <c r="AK77" s="14" t="n">
        <f aca="false">((Assumptions!$C$10*$C$8)*IF((AK$18=(Assumptions!$C$7+$C$9)),SUM(C70:AD70),IF((AK$18&gt;(Assumptions!$C$7+$C$9)),AD70,0)))</f>
        <v>0</v>
      </c>
      <c r="AL77" s="14" t="n">
        <f aca="false">((Assumptions!$C$10*$C$8)*IF((AL$18=(Assumptions!$C$7+$C$9)),SUM(C70:AE70),IF((AL$18&gt;(Assumptions!$C$7+$C$9)),AE70,0)))</f>
        <v>0</v>
      </c>
      <c r="AN77" s="36" t="n">
        <f aca="false">SUM(C77:N77)</f>
        <v>0</v>
      </c>
      <c r="AO77" s="36" t="n">
        <f aca="false">SUM(O77:Z77)</f>
        <v>0.54</v>
      </c>
      <c r="AP77" s="36" t="n">
        <f aca="false">SUM(AA77:AL77)</f>
        <v>0</v>
      </c>
    </row>
    <row r="78" customFormat="false" ht="15" hidden="false" customHeight="false" outlineLevel="0" collapsed="false">
      <c r="A78" s="0" t="s">
        <v>884</v>
      </c>
      <c r="B78" s="0" t="s">
        <v>852</v>
      </c>
      <c r="C78" s="14" t="n">
        <f aca="false">((C76+C77)+C72)</f>
        <v>0</v>
      </c>
      <c r="D78" s="14" t="n">
        <f aca="false">((D76+D77)+D72)</f>
        <v>0</v>
      </c>
      <c r="E78" s="14" t="n">
        <f aca="false">((E76+E77)+E72)</f>
        <v>0</v>
      </c>
      <c r="F78" s="14" t="n">
        <f aca="false">((F76+F77)+F72)</f>
        <v>0</v>
      </c>
      <c r="G78" s="14" t="n">
        <f aca="false">((G76+G77)+G72)</f>
        <v>0</v>
      </c>
      <c r="H78" s="14" t="n">
        <f aca="false">((H76+H77)+H72)</f>
        <v>0</v>
      </c>
      <c r="I78" s="14" t="n">
        <f aca="false">((I76+I77)+I72)</f>
        <v>0</v>
      </c>
      <c r="J78" s="14" t="n">
        <f aca="false">((J76+J77)+J72)</f>
        <v>0</v>
      </c>
      <c r="K78" s="14" t="n">
        <f aca="false">((K76+K77)+K72)</f>
        <v>0</v>
      </c>
      <c r="L78" s="14" t="n">
        <f aca="false">((L76+L77)+L72)</f>
        <v>0</v>
      </c>
      <c r="M78" s="14" t="n">
        <f aca="false">((M76+M77)+M72)</f>
        <v>0</v>
      </c>
      <c r="N78" s="14" t="n">
        <f aca="false">((N76+N77)+N72)</f>
        <v>0</v>
      </c>
      <c r="O78" s="14" t="n">
        <f aca="false">((O76+O77)+O72)</f>
        <v>0</v>
      </c>
      <c r="P78" s="14" t="n">
        <f aca="false">((P76+P77)+P72)</f>
        <v>0</v>
      </c>
      <c r="Q78" s="14" t="n">
        <f aca="false">((Q76+Q77)+Q72)</f>
        <v>0</v>
      </c>
      <c r="R78" s="14" t="n">
        <f aca="false">((R76+R77)+R72)</f>
        <v>0</v>
      </c>
      <c r="S78" s="14" t="n">
        <f aca="false">((S76+S77)+S72)</f>
        <v>0</v>
      </c>
      <c r="T78" s="14" t="n">
        <f aca="false">((T76+T77)+T72)</f>
        <v>0.54</v>
      </c>
      <c r="U78" s="14" t="n">
        <f aca="false">((U76+U77)+U72)</f>
        <v>0</v>
      </c>
      <c r="V78" s="14" t="n">
        <f aca="false">((V76+V77)+V72)</f>
        <v>0</v>
      </c>
      <c r="W78" s="14" t="n">
        <f aca="false">((W76+W77)+W72)</f>
        <v>0</v>
      </c>
      <c r="X78" s="14" t="n">
        <f aca="false">((X76+X77)+X72)</f>
        <v>0</v>
      </c>
      <c r="Y78" s="14" t="n">
        <f aca="false">((Y76+Y77)+Y72)</f>
        <v>0</v>
      </c>
      <c r="Z78" s="14" t="n">
        <f aca="false">((Z76+Z77)+Z72)</f>
        <v>0</v>
      </c>
      <c r="AA78" s="14" t="n">
        <f aca="false">((AA76+AA77)+AA72)</f>
        <v>0</v>
      </c>
      <c r="AB78" s="14" t="n">
        <f aca="false">((AB76+AB77)+AB72)</f>
        <v>0</v>
      </c>
      <c r="AC78" s="14" t="n">
        <f aca="false">((AC76+AC77)+AC72)</f>
        <v>0</v>
      </c>
      <c r="AD78" s="14" t="n">
        <f aca="false">((AD76+AD77)+AD72)</f>
        <v>0</v>
      </c>
      <c r="AE78" s="14" t="n">
        <f aca="false">((AE76+AE77)+AE72)</f>
        <v>0.405</v>
      </c>
      <c r="AF78" s="14" t="n">
        <f aca="false">((AF76+AF77)+AF72)</f>
        <v>0</v>
      </c>
      <c r="AG78" s="14" t="n">
        <f aca="false">((AG76+AG77)+AG72)</f>
        <v>0</v>
      </c>
      <c r="AH78" s="14" t="n">
        <f aca="false">((AH76+AH77)+AH72)</f>
        <v>1.405</v>
      </c>
      <c r="AI78" s="14" t="n">
        <f aca="false">((AI76+AI77)+AI72)</f>
        <v>0</v>
      </c>
      <c r="AJ78" s="14" t="n">
        <f aca="false">((AJ76+AJ77)+AJ72)</f>
        <v>0</v>
      </c>
      <c r="AK78" s="14" t="n">
        <f aca="false">((AK76+AK77)+AK72)</f>
        <v>1.405</v>
      </c>
      <c r="AL78" s="14" t="n">
        <f aca="false">((AL76+AL77)+AL72)</f>
        <v>0</v>
      </c>
      <c r="AN78" s="36" t="n">
        <f aca="false">SUM(C78:N78)</f>
        <v>0</v>
      </c>
      <c r="AO78" s="36" t="n">
        <f aca="false">SUM(O78:Z78)</f>
        <v>0.54</v>
      </c>
      <c r="AP78" s="36" t="n">
        <f aca="false">SUM(AA78:AL78)</f>
        <v>3.215</v>
      </c>
    </row>
    <row r="79" customFormat="false" ht="15" hidden="false" customHeight="false" outlineLevel="0" collapsed="false">
      <c r="A79" s="0" t="s">
        <v>885</v>
      </c>
      <c r="B79" s="0" t="s">
        <v>852</v>
      </c>
      <c r="C79" s="14" t="n">
        <f aca="false">(C78+(C45*0))</f>
        <v>0</v>
      </c>
      <c r="D79" s="14" t="n">
        <f aca="false">(D78+(D45*0))</f>
        <v>0</v>
      </c>
      <c r="E79" s="14" t="n">
        <f aca="false">(E78+(E45*0))</f>
        <v>0</v>
      </c>
      <c r="F79" s="14" t="n">
        <f aca="false">(F78+(F45*0))</f>
        <v>0</v>
      </c>
      <c r="G79" s="14" t="n">
        <f aca="false">(G78+(G45*0))</f>
        <v>0</v>
      </c>
      <c r="H79" s="14" t="n">
        <f aca="false">(H78+(H45*0))</f>
        <v>0</v>
      </c>
      <c r="I79" s="14" t="n">
        <f aca="false">(I78+(I45*0))</f>
        <v>0</v>
      </c>
      <c r="J79" s="14" t="n">
        <f aca="false">(J78+(J45*0))</f>
        <v>0</v>
      </c>
      <c r="K79" s="14" t="n">
        <f aca="false">(K78+(K45*0))</f>
        <v>0</v>
      </c>
      <c r="L79" s="14" t="n">
        <f aca="false">(L78+(L45*0))</f>
        <v>0</v>
      </c>
      <c r="M79" s="14" t="n">
        <f aca="false">(M78+(M45*0))</f>
        <v>0</v>
      </c>
      <c r="N79" s="14" t="n">
        <f aca="false">(N78+(N45*0))</f>
        <v>0</v>
      </c>
      <c r="O79" s="14" t="n">
        <f aca="false">(O78+(O45*C79))</f>
        <v>0</v>
      </c>
      <c r="P79" s="14" t="n">
        <f aca="false">(P78+(P45*D79))</f>
        <v>0</v>
      </c>
      <c r="Q79" s="14" t="n">
        <f aca="false">(Q78+(Q45*E79))</f>
        <v>0</v>
      </c>
      <c r="R79" s="14" t="n">
        <f aca="false">(R78+(R45*F79))</f>
        <v>0</v>
      </c>
      <c r="S79" s="14" t="n">
        <f aca="false">(S78+(S45*G79))</f>
        <v>0</v>
      </c>
      <c r="T79" s="14" t="n">
        <f aca="false">(T78+(T45*H79))</f>
        <v>0.54</v>
      </c>
      <c r="U79" s="14" t="n">
        <f aca="false">(U78+(U45*I79))</f>
        <v>0</v>
      </c>
      <c r="V79" s="14" t="n">
        <f aca="false">(V78+(V45*J79))</f>
        <v>0</v>
      </c>
      <c r="W79" s="14" t="n">
        <f aca="false">(W78+(W45*K79))</f>
        <v>0</v>
      </c>
      <c r="X79" s="14" t="n">
        <f aca="false">(X78+(X45*L79))</f>
        <v>0</v>
      </c>
      <c r="Y79" s="14" t="n">
        <f aca="false">(Y78+(Y45*M79))</f>
        <v>0</v>
      </c>
      <c r="Z79" s="14" t="n">
        <f aca="false">(Z78+(Z45*N79))</f>
        <v>0</v>
      </c>
      <c r="AA79" s="14" t="n">
        <f aca="false">(AA78+(AA45*O79))</f>
        <v>0</v>
      </c>
      <c r="AB79" s="14" t="n">
        <f aca="false">(AB78+(AB45*P79))</f>
        <v>0</v>
      </c>
      <c r="AC79" s="14" t="n">
        <f aca="false">(AC78+(AC45*Q79))</f>
        <v>0</v>
      </c>
      <c r="AD79" s="14" t="n">
        <f aca="false">(AD78+(AD45*R79))</f>
        <v>0</v>
      </c>
      <c r="AE79" s="14" t="n">
        <f aca="false">(AE78+(AE45*S79))</f>
        <v>0.405</v>
      </c>
      <c r="AF79" s="14" t="n">
        <f aca="false">(AF78+(AF45*T79))</f>
        <v>0.4752</v>
      </c>
      <c r="AG79" s="14" t="n">
        <f aca="false">(AG78+(AG45*U79))</f>
        <v>0</v>
      </c>
      <c r="AH79" s="14" t="n">
        <f aca="false">(AH78+(AH45*V79))</f>
        <v>1.405</v>
      </c>
      <c r="AI79" s="14" t="n">
        <f aca="false">(AI78+(AI45*W79))</f>
        <v>0</v>
      </c>
      <c r="AJ79" s="14" t="n">
        <f aca="false">(AJ78+(AJ45*X79))</f>
        <v>0</v>
      </c>
      <c r="AK79" s="14" t="n">
        <f aca="false">(AK78+(AK45*Y79))</f>
        <v>1.405</v>
      </c>
      <c r="AL79" s="14" t="n">
        <f aca="false">(AL78+(AL45*Z79))</f>
        <v>0</v>
      </c>
      <c r="AN79" s="36" t="n">
        <f aca="false">SUM(C79:N79)</f>
        <v>0</v>
      </c>
      <c r="AO79" s="36" t="n">
        <f aca="false">SUM(O79:Z79)</f>
        <v>0.54</v>
      </c>
      <c r="AP79" s="36" t="n">
        <f aca="false">SUM(AA79:AL79)</f>
        <v>3.6902</v>
      </c>
    </row>
    <row r="80" customFormat="false" ht="15" hidden="false" customHeight="false" outlineLevel="0" collapsed="false">
      <c r="A80" s="0" t="s">
        <v>886</v>
      </c>
      <c r="B80" s="0" t="s">
        <v>852</v>
      </c>
      <c r="C80" s="14" t="n">
        <f aca="false">C79</f>
        <v>0</v>
      </c>
      <c r="D80" s="14" t="n">
        <f aca="false">SUM(C79:D79)</f>
        <v>0</v>
      </c>
      <c r="E80" s="14" t="n">
        <f aca="false">SUM(C79:E79)</f>
        <v>0</v>
      </c>
      <c r="F80" s="14" t="n">
        <f aca="false">SUM(C79:F79)</f>
        <v>0</v>
      </c>
      <c r="G80" s="14" t="n">
        <f aca="false">SUM(C79:G79)</f>
        <v>0</v>
      </c>
      <c r="H80" s="14" t="n">
        <f aca="false">SUM(C79:H79)</f>
        <v>0</v>
      </c>
      <c r="I80" s="14" t="n">
        <f aca="false">SUM(C79:I79)</f>
        <v>0</v>
      </c>
      <c r="J80" s="14" t="n">
        <f aca="false">SUM(C79:J79)</f>
        <v>0</v>
      </c>
      <c r="K80" s="14" t="n">
        <f aca="false">SUM(C79:K79)</f>
        <v>0</v>
      </c>
      <c r="L80" s="14" t="n">
        <f aca="false">SUM(C79:L79)</f>
        <v>0</v>
      </c>
      <c r="M80" s="14" t="n">
        <f aca="false">SUM(C79:M79)</f>
        <v>0</v>
      </c>
      <c r="N80" s="14" t="n">
        <f aca="false">SUM(C79:N79)</f>
        <v>0</v>
      </c>
      <c r="O80" s="14" t="n">
        <f aca="false">SUM(D79:O79)</f>
        <v>0</v>
      </c>
      <c r="P80" s="14" t="n">
        <f aca="false">SUM(E79:P79)</f>
        <v>0</v>
      </c>
      <c r="Q80" s="14" t="n">
        <f aca="false">SUM(F79:Q79)</f>
        <v>0</v>
      </c>
      <c r="R80" s="14" t="n">
        <f aca="false">SUM(G79:R79)</f>
        <v>0</v>
      </c>
      <c r="S80" s="14" t="n">
        <f aca="false">SUM(H79:S79)</f>
        <v>0</v>
      </c>
      <c r="T80" s="14" t="n">
        <f aca="false">SUM(I79:T79)</f>
        <v>0.54</v>
      </c>
      <c r="U80" s="14" t="n">
        <f aca="false">SUM(J79:U79)</f>
        <v>0.54</v>
      </c>
      <c r="V80" s="14" t="n">
        <f aca="false">SUM(K79:V79)</f>
        <v>0.54</v>
      </c>
      <c r="W80" s="14" t="n">
        <f aca="false">SUM(L79:W79)</f>
        <v>0.54</v>
      </c>
      <c r="X80" s="14" t="n">
        <f aca="false">SUM(M79:X79)</f>
        <v>0.54</v>
      </c>
      <c r="Y80" s="14" t="n">
        <f aca="false">SUM(N79:Y79)</f>
        <v>0.54</v>
      </c>
      <c r="Z80" s="14" t="n">
        <f aca="false">SUM(O79:Z79)</f>
        <v>0.54</v>
      </c>
      <c r="AA80" s="14" t="n">
        <f aca="false">SUM(P79:AA79)</f>
        <v>0.54</v>
      </c>
      <c r="AB80" s="14" t="n">
        <f aca="false">SUM(Q79:AB79)</f>
        <v>0.54</v>
      </c>
      <c r="AC80" s="14" t="n">
        <f aca="false">SUM(R79:AC79)</f>
        <v>0.54</v>
      </c>
      <c r="AD80" s="14" t="n">
        <f aca="false">SUM(S79:AD79)</f>
        <v>0.54</v>
      </c>
      <c r="AE80" s="14" t="n">
        <f aca="false">SUM(T79:AE79)</f>
        <v>0.945</v>
      </c>
      <c r="AF80" s="14" t="n">
        <f aca="false">SUM(U79:AF79)</f>
        <v>0.8802</v>
      </c>
      <c r="AG80" s="14" t="n">
        <f aca="false">SUM(V79:AG79)</f>
        <v>0.8802</v>
      </c>
      <c r="AH80" s="14" t="n">
        <f aca="false">SUM(W79:AH79)</f>
        <v>2.2852</v>
      </c>
      <c r="AI80" s="14" t="n">
        <f aca="false">SUM(X79:AI79)</f>
        <v>2.2852</v>
      </c>
      <c r="AJ80" s="14" t="n">
        <f aca="false">SUM(Y79:AJ79)</f>
        <v>2.2852</v>
      </c>
      <c r="AK80" s="14" t="n">
        <f aca="false">SUM(Z79:AK79)</f>
        <v>3.6902</v>
      </c>
      <c r="AL80" s="14" t="n">
        <f aca="false">SUM(AA79:AL79)</f>
        <v>3.6902</v>
      </c>
      <c r="AN80" s="36" t="n">
        <f aca="false">N80</f>
        <v>0</v>
      </c>
      <c r="AO80" s="36" t="n">
        <f aca="false">Z80</f>
        <v>0.54</v>
      </c>
      <c r="AP80" s="36" t="n">
        <f aca="false">AL80</f>
        <v>3.6902</v>
      </c>
    </row>
    <row r="81" customFormat="false" ht="15" hidden="false" customHeight="false" outlineLevel="0" collapsed="false">
      <c r="A81" s="0" t="s">
        <v>887</v>
      </c>
      <c r="B81" s="0" t="s">
        <v>230</v>
      </c>
      <c r="C81" s="9" t="n">
        <f aca="false">((Assumptions!$D$121*(1-Assumptions!$C$29))*$C$10)</f>
        <v>74800</v>
      </c>
      <c r="D81" s="9" t="n">
        <f aca="false">((Assumptions!$D$121*(1-Assumptions!$C$29))*$C$10)</f>
        <v>74800</v>
      </c>
      <c r="E81" s="9" t="n">
        <f aca="false">((Assumptions!$D$121*(1-Assumptions!$C$29))*$C$10)</f>
        <v>74800</v>
      </c>
      <c r="F81" s="9" t="n">
        <f aca="false">((Assumptions!$D$121*(1-Assumptions!$C$29))*$C$10)</f>
        <v>74800</v>
      </c>
      <c r="G81" s="9" t="n">
        <f aca="false">((Assumptions!$D$121*(1-Assumptions!$C$29))*$C$10)</f>
        <v>74800</v>
      </c>
      <c r="H81" s="9" t="n">
        <f aca="false">((Assumptions!$D$121*(1-Assumptions!$C$29))*$C$10)</f>
        <v>74800</v>
      </c>
      <c r="I81" s="9" t="n">
        <f aca="false">((Assumptions!$D$121*(1-Assumptions!$C$29))*$C$10)</f>
        <v>74800</v>
      </c>
      <c r="J81" s="9" t="n">
        <f aca="false">((Assumptions!$D$121*(1-Assumptions!$C$29))*$C$10)</f>
        <v>74800</v>
      </c>
      <c r="K81" s="9" t="n">
        <f aca="false">((Assumptions!$D$121*(1-Assumptions!$C$29))*$C$10)</f>
        <v>74800</v>
      </c>
      <c r="L81" s="9" t="n">
        <f aca="false">((Assumptions!$D$121*(1-Assumptions!$C$29))*$C$10)</f>
        <v>74800</v>
      </c>
      <c r="M81" s="9" t="n">
        <f aca="false">((Assumptions!$D$121*(1-Assumptions!$C$29))*$C$10)</f>
        <v>74800</v>
      </c>
      <c r="N81" s="9" t="n">
        <f aca="false">((Assumptions!$D$121*(1-Assumptions!$C$29))*$C$10)</f>
        <v>74800</v>
      </c>
      <c r="O81" s="9" t="n">
        <f aca="false">((Assumptions!$D$121*(1-Assumptions!$C$29))*$C$10)</f>
        <v>74800</v>
      </c>
      <c r="P81" s="9" t="n">
        <f aca="false">((Assumptions!$D$121*(1-Assumptions!$C$29))*$C$10)</f>
        <v>74800</v>
      </c>
      <c r="Q81" s="9" t="n">
        <f aca="false">((Assumptions!$D$121*(1-Assumptions!$C$29))*$C$10)</f>
        <v>74800</v>
      </c>
      <c r="R81" s="9" t="n">
        <f aca="false">((Assumptions!$D$121*(1-Assumptions!$C$29))*$C$10)</f>
        <v>74800</v>
      </c>
      <c r="S81" s="9" t="n">
        <f aca="false">((Assumptions!$D$121*(1-Assumptions!$C$29))*$C$10)</f>
        <v>74800</v>
      </c>
      <c r="T81" s="9" t="n">
        <f aca="false">((Assumptions!$D$121*(1-Assumptions!$C$29))*$C$10)</f>
        <v>74800</v>
      </c>
      <c r="U81" s="9" t="n">
        <f aca="false">((Assumptions!$D$121*(1-Assumptions!$C$29))*$C$10)</f>
        <v>74800</v>
      </c>
      <c r="V81" s="9" t="n">
        <f aca="false">((Assumptions!$D$121*(1-Assumptions!$C$29))*$C$10)</f>
        <v>74800</v>
      </c>
      <c r="W81" s="9" t="n">
        <f aca="false">((Assumptions!$D$121*(1-Assumptions!$C$29))*$C$10)</f>
        <v>74800</v>
      </c>
      <c r="X81" s="9" t="n">
        <f aca="false">((Assumptions!$D$121*(1-Assumptions!$C$29))*$C$10)</f>
        <v>74800</v>
      </c>
      <c r="Y81" s="9" t="n">
        <f aca="false">((Assumptions!$D$121*(1-Assumptions!$C$29))*$C$10)</f>
        <v>74800</v>
      </c>
      <c r="Z81" s="9" t="n">
        <f aca="false">((Assumptions!$D$121*(1-Assumptions!$C$29))*$C$10)</f>
        <v>74800</v>
      </c>
      <c r="AA81" s="9" t="n">
        <f aca="false">((Assumptions!$D$121*(1-Assumptions!$C$29))*$C$10)</f>
        <v>74800</v>
      </c>
      <c r="AB81" s="9" t="n">
        <f aca="false">((Assumptions!$D$121*(1-Assumptions!$C$29))*$C$10)</f>
        <v>74800</v>
      </c>
      <c r="AC81" s="9" t="n">
        <f aca="false">((Assumptions!$D$121*(1-Assumptions!$C$29))*$C$10)</f>
        <v>74800</v>
      </c>
      <c r="AD81" s="9" t="n">
        <f aca="false">((Assumptions!$D$121*(1-Assumptions!$C$29))*$C$10)</f>
        <v>74800</v>
      </c>
      <c r="AE81" s="9" t="n">
        <f aca="false">((Assumptions!$D$121*(1-Assumptions!$C$29))*$C$10)</f>
        <v>74800</v>
      </c>
      <c r="AF81" s="9" t="n">
        <f aca="false">((Assumptions!$D$121*(1-Assumptions!$C$29))*$C$10)</f>
        <v>74800</v>
      </c>
      <c r="AG81" s="9" t="n">
        <f aca="false">((Assumptions!$D$121*(1-Assumptions!$C$29))*$C$10)</f>
        <v>74800</v>
      </c>
      <c r="AH81" s="9" t="n">
        <f aca="false">((Assumptions!$D$121*(1-Assumptions!$C$29))*$C$10)</f>
        <v>74800</v>
      </c>
      <c r="AI81" s="9" t="n">
        <f aca="false">((Assumptions!$D$121*(1-Assumptions!$C$29))*$C$10)</f>
        <v>74800</v>
      </c>
      <c r="AJ81" s="9" t="n">
        <f aca="false">((Assumptions!$D$121*(1-Assumptions!$C$29))*$C$10)</f>
        <v>74800</v>
      </c>
      <c r="AK81" s="9" t="n">
        <f aca="false">((Assumptions!$D$121*(1-Assumptions!$C$29))*$C$10)</f>
        <v>74800</v>
      </c>
      <c r="AL81" s="9" t="n">
        <f aca="false">((Assumptions!$D$121*(1-Assumptions!$C$29))*$C$10)</f>
        <v>74800</v>
      </c>
    </row>
    <row r="82" customFormat="false" ht="15" hidden="false" customHeight="false" outlineLevel="0" collapsed="false">
      <c r="A82" s="0" t="s">
        <v>888</v>
      </c>
      <c r="B82" s="0" t="s">
        <v>230</v>
      </c>
      <c r="C82" s="9" t="n">
        <f aca="false">((C78*C81)+((C45*(1+Assumptions!$C$31))*0))</f>
        <v>0</v>
      </c>
      <c r="D82" s="9" t="n">
        <f aca="false">((D78*D81)+((D45*(1+Assumptions!$C$31))*0))</f>
        <v>0</v>
      </c>
      <c r="E82" s="9" t="n">
        <f aca="false">((E78*E81)+((E45*(1+Assumptions!$C$31))*0))</f>
        <v>0</v>
      </c>
      <c r="F82" s="9" t="n">
        <f aca="false">((F78*F81)+((F45*(1+Assumptions!$C$31))*0))</f>
        <v>0</v>
      </c>
      <c r="G82" s="9" t="n">
        <f aca="false">((G78*G81)+((G45*(1+Assumptions!$C$31))*0))</f>
        <v>0</v>
      </c>
      <c r="H82" s="9" t="n">
        <f aca="false">((H78*H81)+((H45*(1+Assumptions!$C$31))*0))</f>
        <v>0</v>
      </c>
      <c r="I82" s="9" t="n">
        <f aca="false">((I78*I81)+((I45*(1+Assumptions!$C$31))*0))</f>
        <v>0</v>
      </c>
      <c r="J82" s="9" t="n">
        <f aca="false">((J78*J81)+((J45*(1+Assumptions!$C$31))*0))</f>
        <v>0</v>
      </c>
      <c r="K82" s="9" t="n">
        <f aca="false">((K78*K81)+((K45*(1+Assumptions!$C$31))*0))</f>
        <v>0</v>
      </c>
      <c r="L82" s="9" t="n">
        <f aca="false">((L78*L81)+((L45*(1+Assumptions!$C$31))*0))</f>
        <v>0</v>
      </c>
      <c r="M82" s="9" t="n">
        <f aca="false">((M78*M81)+((M45*(1+Assumptions!$C$31))*0))</f>
        <v>0</v>
      </c>
      <c r="N82" s="9" t="n">
        <f aca="false">((N78*N81)+((N45*(1+Assumptions!$C$31))*0))</f>
        <v>0</v>
      </c>
      <c r="O82" s="9" t="n">
        <f aca="false">((O78*O81)+((O45*(1+Assumptions!$C$31))*C82))</f>
        <v>0</v>
      </c>
      <c r="P82" s="9" t="n">
        <f aca="false">((P78*P81)+((P45*(1+Assumptions!$C$31))*D82))</f>
        <v>0</v>
      </c>
      <c r="Q82" s="9" t="n">
        <f aca="false">((Q78*Q81)+((Q45*(1+Assumptions!$C$31))*E82))</f>
        <v>0</v>
      </c>
      <c r="R82" s="9" t="n">
        <f aca="false">((R78*R81)+((R45*(1+Assumptions!$C$31))*F82))</f>
        <v>0</v>
      </c>
      <c r="S82" s="9" t="n">
        <f aca="false">((S78*S81)+((S45*(1+Assumptions!$C$31))*G82))</f>
        <v>0</v>
      </c>
      <c r="T82" s="9" t="n">
        <f aca="false">((T78*T81)+((T45*(1+Assumptions!$C$31))*H82))</f>
        <v>40392</v>
      </c>
      <c r="U82" s="9" t="n">
        <f aca="false">((U78*U81)+((U45*(1+Assumptions!$C$31))*I82))</f>
        <v>0</v>
      </c>
      <c r="V82" s="9" t="n">
        <f aca="false">((V78*V81)+((V45*(1+Assumptions!$C$31))*J82))</f>
        <v>0</v>
      </c>
      <c r="W82" s="9" t="n">
        <f aca="false">((W78*W81)+((W45*(1+Assumptions!$C$31))*K82))</f>
        <v>0</v>
      </c>
      <c r="X82" s="9" t="n">
        <f aca="false">((X78*X81)+((X45*(1+Assumptions!$C$31))*L82))</f>
        <v>0</v>
      </c>
      <c r="Y82" s="9" t="n">
        <f aca="false">((Y78*Y81)+((Y45*(1+Assumptions!$C$31))*M82))</f>
        <v>0</v>
      </c>
      <c r="Z82" s="9" t="n">
        <f aca="false">((Z78*Z81)+((Z45*(1+Assumptions!$C$31))*N82))</f>
        <v>0</v>
      </c>
      <c r="AA82" s="9" t="n">
        <f aca="false">((AA78*AA81)+((AA45*(1+Assumptions!$C$31))*O82))</f>
        <v>0</v>
      </c>
      <c r="AB82" s="9" t="n">
        <f aca="false">((AB78*AB81)+((AB45*(1+Assumptions!$C$31))*P82))</f>
        <v>0</v>
      </c>
      <c r="AC82" s="9" t="n">
        <f aca="false">((AC78*AC81)+((AC45*(1+Assumptions!$C$31))*Q82))</f>
        <v>0</v>
      </c>
      <c r="AD82" s="9" t="n">
        <f aca="false">((AD78*AD81)+((AD45*(1+Assumptions!$C$31))*R82))</f>
        <v>0</v>
      </c>
      <c r="AE82" s="9" t="n">
        <f aca="false">((AE78*AE81)+((AE45*(1+Assumptions!$C$31))*S82))</f>
        <v>30294</v>
      </c>
      <c r="AF82" s="9" t="n">
        <f aca="false">((AF78*AF81)+((AF45*(1+Assumptions!$C$31))*T82))</f>
        <v>39099.456</v>
      </c>
      <c r="AG82" s="9" t="n">
        <f aca="false">((AG78*AG81)+((AG45*(1+Assumptions!$C$31))*U82))</f>
        <v>0</v>
      </c>
      <c r="AH82" s="9" t="n">
        <f aca="false">((AH78*AH81)+((AH45*(1+Assumptions!$C$31))*V82))</f>
        <v>105094</v>
      </c>
      <c r="AI82" s="9" t="n">
        <f aca="false">((AI78*AI81)+((AI45*(1+Assumptions!$C$31))*W82))</f>
        <v>0</v>
      </c>
      <c r="AJ82" s="9" t="n">
        <f aca="false">((AJ78*AJ81)+((AJ45*(1+Assumptions!$C$31))*X82))</f>
        <v>0</v>
      </c>
      <c r="AK82" s="9" t="n">
        <f aca="false">((AK78*AK81)+((AK45*(1+Assumptions!$C$31))*Y82))</f>
        <v>105094</v>
      </c>
      <c r="AL82" s="9" t="n">
        <f aca="false">((AL78*AL81)+((AL45*(1+Assumptions!$C$31))*Z82))</f>
        <v>0</v>
      </c>
      <c r="AN82" s="11" t="n">
        <f aca="false">SUM(C82:N82)</f>
        <v>0</v>
      </c>
      <c r="AO82" s="11" t="n">
        <f aca="false">SUM(O82:Z82)</f>
        <v>40392</v>
      </c>
      <c r="AP82" s="11" t="n">
        <f aca="false">SUM(AA82:AL82)</f>
        <v>279581.456</v>
      </c>
    </row>
    <row r="83" customFormat="false" ht="15" hidden="false" customHeight="false" outlineLevel="0" collapsed="false">
      <c r="A83" s="0" t="s">
        <v>889</v>
      </c>
      <c r="B83" s="0" t="s">
        <v>230</v>
      </c>
      <c r="C83" s="9" t="n">
        <f aca="false">(Assumptions!$D$126*C76)</f>
        <v>0</v>
      </c>
      <c r="D83" s="9" t="n">
        <f aca="false">(Assumptions!$D$126*D76)</f>
        <v>0</v>
      </c>
      <c r="E83" s="9" t="n">
        <f aca="false">(Assumptions!$D$126*E76)</f>
        <v>0</v>
      </c>
      <c r="F83" s="9" t="n">
        <f aca="false">(Assumptions!$D$126*F76)</f>
        <v>0</v>
      </c>
      <c r="G83" s="9" t="n">
        <f aca="false">(Assumptions!$D$126*G76)</f>
        <v>0</v>
      </c>
      <c r="H83" s="9" t="n">
        <f aca="false">(Assumptions!$D$126*H76)</f>
        <v>0</v>
      </c>
      <c r="I83" s="9" t="n">
        <f aca="false">(Assumptions!$D$126*I76)</f>
        <v>0</v>
      </c>
      <c r="J83" s="9" t="n">
        <f aca="false">(Assumptions!$D$126*J76)</f>
        <v>0</v>
      </c>
      <c r="K83" s="9" t="n">
        <f aca="false">(Assumptions!$D$126*K76)</f>
        <v>0</v>
      </c>
      <c r="L83" s="9" t="n">
        <f aca="false">(Assumptions!$D$126*L76)</f>
        <v>0</v>
      </c>
      <c r="M83" s="9" t="n">
        <f aca="false">(Assumptions!$D$126*M76)</f>
        <v>0</v>
      </c>
      <c r="N83" s="9" t="n">
        <f aca="false">(Assumptions!$D$126*N76)</f>
        <v>0</v>
      </c>
      <c r="O83" s="9" t="n">
        <f aca="false">(Assumptions!$D$126*O76)</f>
        <v>0</v>
      </c>
      <c r="P83" s="9" t="n">
        <f aca="false">(Assumptions!$D$126*P76)</f>
        <v>0</v>
      </c>
      <c r="Q83" s="9" t="n">
        <f aca="false">(Assumptions!$D$126*Q76)</f>
        <v>0</v>
      </c>
      <c r="R83" s="9" t="n">
        <f aca="false">(Assumptions!$D$126*R76)</f>
        <v>0</v>
      </c>
      <c r="S83" s="9" t="n">
        <f aca="false">(Assumptions!$D$126*S76)</f>
        <v>0</v>
      </c>
      <c r="T83" s="9" t="n">
        <f aca="false">(Assumptions!$D$126*T76)</f>
        <v>0</v>
      </c>
      <c r="U83" s="9" t="n">
        <f aca="false">(Assumptions!$D$126*U76)</f>
        <v>0</v>
      </c>
      <c r="V83" s="9" t="n">
        <f aca="false">(Assumptions!$D$126*V76)</f>
        <v>0</v>
      </c>
      <c r="W83" s="9" t="n">
        <f aca="false">(Assumptions!$D$126*W76)</f>
        <v>0</v>
      </c>
      <c r="X83" s="9" t="n">
        <f aca="false">(Assumptions!$D$126*X76)</f>
        <v>0</v>
      </c>
      <c r="Y83" s="9" t="n">
        <f aca="false">(Assumptions!$D$126*Y76)</f>
        <v>0</v>
      </c>
      <c r="Z83" s="9" t="n">
        <f aca="false">(Assumptions!$D$126*Z76)</f>
        <v>0</v>
      </c>
      <c r="AA83" s="9" t="n">
        <f aca="false">(Assumptions!$D$126*AA76)</f>
        <v>0</v>
      </c>
      <c r="AB83" s="9" t="n">
        <f aca="false">(Assumptions!$D$126*AB76)</f>
        <v>0</v>
      </c>
      <c r="AC83" s="9" t="n">
        <f aca="false">(Assumptions!$D$126*AC76)</f>
        <v>0</v>
      </c>
      <c r="AD83" s="9" t="n">
        <f aca="false">(Assumptions!$D$126*AD76)</f>
        <v>0</v>
      </c>
      <c r="AE83" s="9" t="n">
        <f aca="false">(Assumptions!$D$126*AE76)</f>
        <v>6075</v>
      </c>
      <c r="AF83" s="9" t="n">
        <f aca="false">(Assumptions!$D$126*AF76)</f>
        <v>0</v>
      </c>
      <c r="AG83" s="9" t="n">
        <f aca="false">(Assumptions!$D$126*AG76)</f>
        <v>0</v>
      </c>
      <c r="AH83" s="9" t="n">
        <f aca="false">(Assumptions!$D$126*AH76)</f>
        <v>6075</v>
      </c>
      <c r="AI83" s="9" t="n">
        <f aca="false">(Assumptions!$D$126*AI76)</f>
        <v>0</v>
      </c>
      <c r="AJ83" s="9" t="n">
        <f aca="false">(Assumptions!$D$126*AJ76)</f>
        <v>0</v>
      </c>
      <c r="AK83" s="9" t="n">
        <f aca="false">(Assumptions!$D$126*AK76)</f>
        <v>6075</v>
      </c>
      <c r="AL83" s="9" t="n">
        <f aca="false">(Assumptions!$D$126*AL76)</f>
        <v>0</v>
      </c>
      <c r="AN83" s="11" t="n">
        <f aca="false">SUM(C83:N83)</f>
        <v>0</v>
      </c>
      <c r="AO83" s="11" t="n">
        <f aca="false">SUM(O83:Z83)</f>
        <v>0</v>
      </c>
      <c r="AP83" s="11" t="n">
        <f aca="false">SUM(AA83:AL83)</f>
        <v>18225</v>
      </c>
    </row>
    <row r="84" customFormat="false" ht="15" hidden="false" customHeight="false" outlineLevel="0" collapsed="false">
      <c r="A84" s="0" t="s">
        <v>890</v>
      </c>
      <c r="B84" s="0" t="s">
        <v>230</v>
      </c>
      <c r="C84" s="9" t="n">
        <f aca="false">((C82-C83)/12)</f>
        <v>0</v>
      </c>
      <c r="D84" s="9" t="n">
        <f aca="false">((SUM(C82:D82)-SUM(C83:D83))/12)</f>
        <v>0</v>
      </c>
      <c r="E84" s="9" t="n">
        <f aca="false">((SUM(C82:E82)-SUM(C83:E83))/12)</f>
        <v>0</v>
      </c>
      <c r="F84" s="9" t="n">
        <f aca="false">((SUM(C82:F82)-SUM(C83:F83))/12)</f>
        <v>0</v>
      </c>
      <c r="G84" s="9" t="n">
        <f aca="false">((SUM(C82:G82)-SUM(C83:G83))/12)</f>
        <v>0</v>
      </c>
      <c r="H84" s="9" t="n">
        <f aca="false">((SUM(C82:H82)-SUM(C83:H83))/12)</f>
        <v>0</v>
      </c>
      <c r="I84" s="9" t="n">
        <f aca="false">((SUM(C82:I82)-SUM(C83:I83))/12)</f>
        <v>0</v>
      </c>
      <c r="J84" s="9" t="n">
        <f aca="false">((SUM(C82:J82)-SUM(C83:J83))/12)</f>
        <v>0</v>
      </c>
      <c r="K84" s="9" t="n">
        <f aca="false">((SUM(C82:K82)-SUM(C83:K83))/12)</f>
        <v>0</v>
      </c>
      <c r="L84" s="9" t="n">
        <f aca="false">((SUM(C82:L82)-SUM(C83:L83))/12)</f>
        <v>0</v>
      </c>
      <c r="M84" s="9" t="n">
        <f aca="false">((SUM(C82:M82)-SUM(C83:M83))/12)</f>
        <v>0</v>
      </c>
      <c r="N84" s="9" t="n">
        <f aca="false">((SUM(C82:N82)-SUM(C83:N83))/12)</f>
        <v>0</v>
      </c>
      <c r="O84" s="9" t="n">
        <f aca="false">((SUM(D82:O82)-SUM(D83:O83))/12)</f>
        <v>0</v>
      </c>
      <c r="P84" s="9" t="n">
        <f aca="false">((SUM(E82:P82)-SUM(E83:P83))/12)</f>
        <v>0</v>
      </c>
      <c r="Q84" s="9" t="n">
        <f aca="false">((SUM(F82:Q82)-SUM(F83:Q83))/12)</f>
        <v>0</v>
      </c>
      <c r="R84" s="9" t="n">
        <f aca="false">((SUM(G82:R82)-SUM(G83:R83))/12)</f>
        <v>0</v>
      </c>
      <c r="S84" s="9" t="n">
        <f aca="false">((SUM(H82:S82)-SUM(H83:S83))/12)</f>
        <v>0</v>
      </c>
      <c r="T84" s="9" t="n">
        <f aca="false">((SUM(I82:T82)-SUM(I83:T83))/12)</f>
        <v>3366</v>
      </c>
      <c r="U84" s="9" t="n">
        <f aca="false">((SUM(J82:U82)-SUM(J83:U83))/12)</f>
        <v>3366</v>
      </c>
      <c r="V84" s="9" t="n">
        <f aca="false">((SUM(K82:V82)-SUM(K83:V83))/12)</f>
        <v>3366</v>
      </c>
      <c r="W84" s="9" t="n">
        <f aca="false">((SUM(L82:W82)-SUM(L83:W83))/12)</f>
        <v>3366</v>
      </c>
      <c r="X84" s="9" t="n">
        <f aca="false">((SUM(M82:X82)-SUM(M83:X83))/12)</f>
        <v>3366</v>
      </c>
      <c r="Y84" s="9" t="n">
        <f aca="false">((SUM(N82:Y82)-SUM(N83:Y83))/12)</f>
        <v>3366</v>
      </c>
      <c r="Z84" s="9" t="n">
        <f aca="false">((SUM(O82:Z82)-SUM(O83:Z83))/12)</f>
        <v>3366</v>
      </c>
      <c r="AA84" s="9" t="n">
        <f aca="false">((SUM(P82:AA82)-SUM(P83:AA83))/12)</f>
        <v>3366</v>
      </c>
      <c r="AB84" s="9" t="n">
        <f aca="false">((SUM(Q82:AB82)-SUM(Q83:AB83))/12)</f>
        <v>3366</v>
      </c>
      <c r="AC84" s="9" t="n">
        <f aca="false">((SUM(R82:AC82)-SUM(R83:AC83))/12)</f>
        <v>3366</v>
      </c>
      <c r="AD84" s="9" t="n">
        <f aca="false">((SUM(S82:AD82)-SUM(S83:AD83))/12)</f>
        <v>3366</v>
      </c>
      <c r="AE84" s="9" t="n">
        <f aca="false">((SUM(T82:AE82)-SUM(T83:AE83))/12)</f>
        <v>5384.25</v>
      </c>
      <c r="AF84" s="9" t="n">
        <f aca="false">((SUM(U82:AF82)-SUM(U83:AF83))/12)</f>
        <v>5276.538</v>
      </c>
      <c r="AG84" s="9" t="n">
        <f aca="false">((SUM(V82:AG82)-SUM(V83:AG83))/12)</f>
        <v>5276.538</v>
      </c>
      <c r="AH84" s="9" t="n">
        <f aca="false">((SUM(W82:AH82)-SUM(W83:AH83))/12)</f>
        <v>13528.1213333333</v>
      </c>
      <c r="AI84" s="9" t="n">
        <f aca="false">((SUM(X82:AI82)-SUM(X83:AI83))/12)</f>
        <v>13528.1213333333</v>
      </c>
      <c r="AJ84" s="9" t="n">
        <f aca="false">((SUM(Y82:AJ82)-SUM(Y83:AJ83))/12)</f>
        <v>13528.1213333333</v>
      </c>
      <c r="AK84" s="9" t="n">
        <f aca="false">((SUM(Z82:AK82)-SUM(Z83:AK83))/12)</f>
        <v>21779.7046666667</v>
      </c>
      <c r="AL84" s="9" t="n">
        <f aca="false">((SUM(AA82:AL82)-SUM(AA83:AL83))/12)</f>
        <v>21779.7046666667</v>
      </c>
      <c r="AN84" s="11" t="n">
        <f aca="false">SUM(C84:N84)</f>
        <v>0</v>
      </c>
      <c r="AO84" s="11" t="n">
        <f aca="false">SUM(O84:Z84)</f>
        <v>23562</v>
      </c>
      <c r="AP84" s="11" t="n">
        <f aca="false">SUM(AA84:AL84)</f>
        <v>113545.099333333</v>
      </c>
    </row>
    <row r="85" customFormat="false" ht="15" hidden="false" customHeight="false" outlineLevel="0" collapsed="false">
      <c r="A85" s="0" t="s">
        <v>891</v>
      </c>
      <c r="B85" s="0" t="s">
        <v>230</v>
      </c>
      <c r="C85" s="9" t="n">
        <f aca="false">(C82-C83)</f>
        <v>0</v>
      </c>
      <c r="D85" s="9" t="n">
        <f aca="false">(D82-D83)</f>
        <v>0</v>
      </c>
      <c r="E85" s="9" t="n">
        <f aca="false">(E82-E83)</f>
        <v>0</v>
      </c>
      <c r="F85" s="9" t="n">
        <f aca="false">(F82-F83)</f>
        <v>0</v>
      </c>
      <c r="G85" s="9" t="n">
        <f aca="false">(G82-G83)</f>
        <v>0</v>
      </c>
      <c r="H85" s="9" t="n">
        <f aca="false">(H82-H83)</f>
        <v>0</v>
      </c>
      <c r="I85" s="9" t="n">
        <f aca="false">(I82-I83)</f>
        <v>0</v>
      </c>
      <c r="J85" s="9" t="n">
        <f aca="false">(J82-J83)</f>
        <v>0</v>
      </c>
      <c r="K85" s="9" t="n">
        <f aca="false">(K82-K83)</f>
        <v>0</v>
      </c>
      <c r="L85" s="9" t="n">
        <f aca="false">(L82-L83)</f>
        <v>0</v>
      </c>
      <c r="M85" s="9" t="n">
        <f aca="false">(M82-M83)</f>
        <v>0</v>
      </c>
      <c r="N85" s="9" t="n">
        <f aca="false">(N82-N83)</f>
        <v>0</v>
      </c>
      <c r="O85" s="9" t="n">
        <f aca="false">(O82-O83)</f>
        <v>0</v>
      </c>
      <c r="P85" s="9" t="n">
        <f aca="false">(P82-P83)</f>
        <v>0</v>
      </c>
      <c r="Q85" s="9" t="n">
        <f aca="false">(Q82-Q83)</f>
        <v>0</v>
      </c>
      <c r="R85" s="9" t="n">
        <f aca="false">(R82-R83)</f>
        <v>0</v>
      </c>
      <c r="S85" s="9" t="n">
        <f aca="false">(S82-S83)</f>
        <v>0</v>
      </c>
      <c r="T85" s="9" t="n">
        <f aca="false">(T82-T83)</f>
        <v>40392</v>
      </c>
      <c r="U85" s="9" t="n">
        <f aca="false">(U82-U83)</f>
        <v>0</v>
      </c>
      <c r="V85" s="9" t="n">
        <f aca="false">(V82-V83)</f>
        <v>0</v>
      </c>
      <c r="W85" s="9" t="n">
        <f aca="false">(W82-W83)</f>
        <v>0</v>
      </c>
      <c r="X85" s="9" t="n">
        <f aca="false">(X82-X83)</f>
        <v>0</v>
      </c>
      <c r="Y85" s="9" t="n">
        <f aca="false">(Y82-Y83)</f>
        <v>0</v>
      </c>
      <c r="Z85" s="9" t="n">
        <f aca="false">(Z82-Z83)</f>
        <v>0</v>
      </c>
      <c r="AA85" s="9" t="n">
        <f aca="false">(AA82-AA83)</f>
        <v>0</v>
      </c>
      <c r="AB85" s="9" t="n">
        <f aca="false">(AB82-AB83)</f>
        <v>0</v>
      </c>
      <c r="AC85" s="9" t="n">
        <f aca="false">(AC82-AC83)</f>
        <v>0</v>
      </c>
      <c r="AD85" s="9" t="n">
        <f aca="false">(AD82-AD83)</f>
        <v>0</v>
      </c>
      <c r="AE85" s="9" t="n">
        <f aca="false">(AE82-AE83)</f>
        <v>24219</v>
      </c>
      <c r="AF85" s="9" t="n">
        <f aca="false">(AF82-AF83)</f>
        <v>39099.456</v>
      </c>
      <c r="AG85" s="9" t="n">
        <f aca="false">(AG82-AG83)</f>
        <v>0</v>
      </c>
      <c r="AH85" s="9" t="n">
        <f aca="false">(AH82-AH83)</f>
        <v>99019</v>
      </c>
      <c r="AI85" s="9" t="n">
        <f aca="false">(AI82-AI83)</f>
        <v>0</v>
      </c>
      <c r="AJ85" s="9" t="n">
        <f aca="false">(AJ82-AJ83)</f>
        <v>0</v>
      </c>
      <c r="AK85" s="9" t="n">
        <f aca="false">(AK82-AK83)</f>
        <v>99019</v>
      </c>
      <c r="AL85" s="9" t="n">
        <f aca="false">(AL82-AL83)</f>
        <v>0</v>
      </c>
      <c r="AN85" s="11" t="n">
        <f aca="false">SUM(C85:N85)</f>
        <v>0</v>
      </c>
      <c r="AO85" s="11" t="n">
        <f aca="false">SUM(O85:Z85)</f>
        <v>40392</v>
      </c>
      <c r="AP85" s="11" t="n">
        <f aca="false">SUM(AA85:AL85)</f>
        <v>261356.456</v>
      </c>
    </row>
    <row r="86" customFormat="false" ht="15" hidden="false" customHeight="false" outlineLevel="0" collapsed="false">
      <c r="A86" s="0" t="s">
        <v>892</v>
      </c>
      <c r="B86" s="0" t="s">
        <v>230</v>
      </c>
      <c r="C86" s="9" t="n">
        <f aca="false">(((Assumptions!$D$122*$C$10)/6)*C75)</f>
        <v>0</v>
      </c>
      <c r="D86" s="9" t="n">
        <f aca="false">(((Assumptions!$D$122*$C$10)/6)*D75)</f>
        <v>0</v>
      </c>
      <c r="E86" s="9" t="n">
        <f aca="false">(((Assumptions!$D$122*$C$10)/6)*E75)</f>
        <v>0</v>
      </c>
      <c r="F86" s="9" t="n">
        <f aca="false">(((Assumptions!$D$122*$C$10)/6)*F75)</f>
        <v>0</v>
      </c>
      <c r="G86" s="9" t="n">
        <f aca="false">(((Assumptions!$D$122*$C$10)/6)*G75)</f>
        <v>0</v>
      </c>
      <c r="H86" s="9" t="n">
        <f aca="false">(((Assumptions!$D$122*$C$10)/6)*H75)</f>
        <v>0</v>
      </c>
      <c r="I86" s="9" t="n">
        <f aca="false">(((Assumptions!$D$122*$C$10)/6)*I75)</f>
        <v>0</v>
      </c>
      <c r="J86" s="9" t="n">
        <f aca="false">(((Assumptions!$D$122*$C$10)/6)*J75)</f>
        <v>0</v>
      </c>
      <c r="K86" s="9" t="n">
        <f aca="false">(((Assumptions!$D$122*$C$10)/6)*K75)</f>
        <v>0</v>
      </c>
      <c r="L86" s="9" t="n">
        <f aca="false">(((Assumptions!$D$122*$C$10)/6)*L75)</f>
        <v>0</v>
      </c>
      <c r="M86" s="9" t="n">
        <f aca="false">(((Assumptions!$D$122*$C$10)/6)*M75)</f>
        <v>0</v>
      </c>
      <c r="N86" s="9" t="n">
        <f aca="false">(((Assumptions!$D$122*$C$10)/6)*N75)</f>
        <v>0</v>
      </c>
      <c r="O86" s="9" t="n">
        <f aca="false">(((Assumptions!$D$122*$C$10)/6)*O75)</f>
        <v>0</v>
      </c>
      <c r="P86" s="9" t="n">
        <f aca="false">(((Assumptions!$D$122*$C$10)/6)*P75)</f>
        <v>0</v>
      </c>
      <c r="Q86" s="9" t="n">
        <f aca="false">(((Assumptions!$D$122*$C$10)/6)*Q75)</f>
        <v>0</v>
      </c>
      <c r="R86" s="9" t="n">
        <f aca="false">(((Assumptions!$D$122*$C$10)/6)*R75)</f>
        <v>0</v>
      </c>
      <c r="S86" s="9" t="n">
        <f aca="false">(((Assumptions!$D$122*$C$10)/6)*S75)</f>
        <v>0</v>
      </c>
      <c r="T86" s="9" t="n">
        <f aca="false">(((Assumptions!$D$122*$C$10)/6)*T75)</f>
        <v>0</v>
      </c>
      <c r="U86" s="9" t="n">
        <f aca="false">(((Assumptions!$D$122*$C$10)/6)*U75)</f>
        <v>0</v>
      </c>
      <c r="V86" s="9" t="n">
        <f aca="false">(((Assumptions!$D$122*$C$10)/6)*V75)</f>
        <v>0</v>
      </c>
      <c r="W86" s="9" t="n">
        <f aca="false">(((Assumptions!$D$122*$C$10)/6)*W75)</f>
        <v>0</v>
      </c>
      <c r="X86" s="9" t="n">
        <f aca="false">(((Assumptions!$D$122*$C$10)/6)*X75)</f>
        <v>5000</v>
      </c>
      <c r="Y86" s="9" t="n">
        <f aca="false">(((Assumptions!$D$122*$C$10)/6)*Y75)</f>
        <v>5000</v>
      </c>
      <c r="Z86" s="9" t="n">
        <f aca="false">(((Assumptions!$D$122*$C$10)/6)*Z75)</f>
        <v>5000</v>
      </c>
      <c r="AA86" s="9" t="n">
        <f aca="false">(((Assumptions!$D$122*$C$10)/6)*AA75)</f>
        <v>10000</v>
      </c>
      <c r="AB86" s="9" t="n">
        <f aca="false">(((Assumptions!$D$122*$C$10)/6)*AB75)</f>
        <v>10000</v>
      </c>
      <c r="AC86" s="9" t="n">
        <f aca="false">(((Assumptions!$D$122*$C$10)/6)*AC75)</f>
        <v>10000</v>
      </c>
      <c r="AD86" s="9" t="n">
        <f aca="false">(((Assumptions!$D$122*$C$10)/6)*AD75)</f>
        <v>10000</v>
      </c>
      <c r="AE86" s="9" t="n">
        <f aca="false">(((Assumptions!$D$122*$C$10)/6)*AE75)</f>
        <v>10000</v>
      </c>
      <c r="AF86" s="9" t="n">
        <f aca="false">(((Assumptions!$D$122*$C$10)/6)*AF75)</f>
        <v>10000</v>
      </c>
      <c r="AG86" s="9" t="n">
        <f aca="false">(((Assumptions!$D$122*$C$10)/6)*AG75)</f>
        <v>10000</v>
      </c>
      <c r="AH86" s="9" t="n">
        <f aca="false">(((Assumptions!$D$122*$C$10)/6)*AH75)</f>
        <v>10000</v>
      </c>
      <c r="AI86" s="9" t="n">
        <f aca="false">(((Assumptions!$D$122*$C$10)/6)*AI75)</f>
        <v>10000</v>
      </c>
      <c r="AJ86" s="9" t="n">
        <f aca="false">(((Assumptions!$D$122*$C$10)/6)*AJ75)</f>
        <v>15000</v>
      </c>
      <c r="AK86" s="9" t="n">
        <f aca="false">(((Assumptions!$D$122*$C$10)/6)*AK75)</f>
        <v>15000</v>
      </c>
      <c r="AL86" s="9" t="n">
        <f aca="false">(((Assumptions!$D$122*$C$10)/6)*AL75)</f>
        <v>15000</v>
      </c>
      <c r="AN86" s="11" t="n">
        <f aca="false">SUM(C86:N86)</f>
        <v>0</v>
      </c>
      <c r="AO86" s="11" t="n">
        <f aca="false">SUM(O86:Z86)</f>
        <v>15000</v>
      </c>
      <c r="AP86" s="11" t="n">
        <f aca="false">SUM(AA86:AL86)</f>
        <v>135000</v>
      </c>
    </row>
    <row r="87" customFormat="false" ht="15" hidden="false" customHeight="false" outlineLevel="0" collapsed="false">
      <c r="A87" s="0" t="s">
        <v>893</v>
      </c>
      <c r="B87" s="0" t="s">
        <v>230</v>
      </c>
      <c r="C87" s="9" t="n">
        <f aca="false">((Assumptions!$D$122*$C$10)*C69)</f>
        <v>0</v>
      </c>
      <c r="D87" s="9" t="n">
        <f aca="false">((Assumptions!$D$122*$C$10)*D69)</f>
        <v>0</v>
      </c>
      <c r="E87" s="9" t="n">
        <f aca="false">((Assumptions!$D$122*$C$10)*E69)</f>
        <v>0</v>
      </c>
      <c r="F87" s="9" t="n">
        <f aca="false">((Assumptions!$D$122*$C$10)*F69)</f>
        <v>0</v>
      </c>
      <c r="G87" s="9" t="n">
        <f aca="false">((Assumptions!$D$122*$C$10)*G69)</f>
        <v>0</v>
      </c>
      <c r="H87" s="9" t="n">
        <f aca="false">((Assumptions!$D$122*$C$10)*H69)</f>
        <v>0</v>
      </c>
      <c r="I87" s="9" t="n">
        <f aca="false">((Assumptions!$D$122*$C$10)*I69)</f>
        <v>0</v>
      </c>
      <c r="J87" s="9" t="n">
        <f aca="false">((Assumptions!$D$122*$C$10)*J69)</f>
        <v>0</v>
      </c>
      <c r="K87" s="9" t="n">
        <f aca="false">((Assumptions!$D$122*$C$10)*K69)</f>
        <v>0</v>
      </c>
      <c r="L87" s="9" t="n">
        <f aca="false">((Assumptions!$D$122*$C$10)*L69)</f>
        <v>0</v>
      </c>
      <c r="M87" s="9" t="n">
        <f aca="false">((Assumptions!$D$122*$C$10)*M69)</f>
        <v>0</v>
      </c>
      <c r="N87" s="9" t="n">
        <f aca="false">((Assumptions!$D$122*$C$10)*N69)</f>
        <v>0</v>
      </c>
      <c r="O87" s="9" t="n">
        <f aca="false">((Assumptions!$D$122*$C$10)*O69)</f>
        <v>0</v>
      </c>
      <c r="P87" s="9" t="n">
        <f aca="false">((Assumptions!$D$122*$C$10)*P69)</f>
        <v>0</v>
      </c>
      <c r="Q87" s="9" t="n">
        <f aca="false">((Assumptions!$D$122*$C$10)*Q69)</f>
        <v>0</v>
      </c>
      <c r="R87" s="9" t="n">
        <f aca="false">((Assumptions!$D$122*$C$10)*R69)</f>
        <v>0</v>
      </c>
      <c r="S87" s="9" t="n">
        <f aca="false">((Assumptions!$D$122*$C$10)*S69)</f>
        <v>0</v>
      </c>
      <c r="T87" s="9" t="n">
        <f aca="false">((Assumptions!$D$122*$C$10)*T69)</f>
        <v>0</v>
      </c>
      <c r="U87" s="9" t="n">
        <f aca="false">((Assumptions!$D$122*$C$10)*U69)</f>
        <v>0</v>
      </c>
      <c r="V87" s="9" t="n">
        <f aca="false">((Assumptions!$D$122*$C$10)*V69)</f>
        <v>0</v>
      </c>
      <c r="W87" s="9" t="n">
        <f aca="false">((Assumptions!$D$122*$C$10)*W69)</f>
        <v>0</v>
      </c>
      <c r="X87" s="9" t="n">
        <f aca="false">((Assumptions!$D$122*$C$10)*X69)</f>
        <v>30000</v>
      </c>
      <c r="Y87" s="9" t="n">
        <f aca="false">((Assumptions!$D$122*$C$10)*Y69)</f>
        <v>0</v>
      </c>
      <c r="Z87" s="9" t="n">
        <f aca="false">((Assumptions!$D$122*$C$10)*Z69)</f>
        <v>0</v>
      </c>
      <c r="AA87" s="9" t="n">
        <f aca="false">((Assumptions!$D$122*$C$10)*AA69)</f>
        <v>30000</v>
      </c>
      <c r="AB87" s="9" t="n">
        <f aca="false">((Assumptions!$D$122*$C$10)*AB69)</f>
        <v>0</v>
      </c>
      <c r="AC87" s="9" t="n">
        <f aca="false">((Assumptions!$D$122*$C$10)*AC69)</f>
        <v>0</v>
      </c>
      <c r="AD87" s="9" t="n">
        <f aca="false">((Assumptions!$D$122*$C$10)*AD69)</f>
        <v>30000</v>
      </c>
      <c r="AE87" s="9" t="n">
        <f aca="false">((Assumptions!$D$122*$C$10)*AE69)</f>
        <v>0</v>
      </c>
      <c r="AF87" s="9" t="n">
        <f aca="false">((Assumptions!$D$122*$C$10)*AF69)</f>
        <v>0</v>
      </c>
      <c r="AG87" s="9" t="n">
        <f aca="false">((Assumptions!$D$122*$C$10)*AG69)</f>
        <v>30000</v>
      </c>
      <c r="AH87" s="9" t="n">
        <f aca="false">((Assumptions!$D$122*$C$10)*AH69)</f>
        <v>0</v>
      </c>
      <c r="AI87" s="9" t="n">
        <f aca="false">((Assumptions!$D$122*$C$10)*AI69)</f>
        <v>0</v>
      </c>
      <c r="AJ87" s="9" t="n">
        <f aca="false">((Assumptions!$D$122*$C$10)*AJ69)</f>
        <v>60000</v>
      </c>
      <c r="AK87" s="9" t="n">
        <f aca="false">((Assumptions!$D$122*$C$10)*AK69)</f>
        <v>0</v>
      </c>
      <c r="AL87" s="9" t="n">
        <f aca="false">((Assumptions!$D$122*$C$10)*AL69)</f>
        <v>0</v>
      </c>
      <c r="AN87" s="11" t="n">
        <f aca="false">SUM(C87:N87)</f>
        <v>0</v>
      </c>
      <c r="AO87" s="11" t="n">
        <f aca="false">SUM(O87:Z87)</f>
        <v>30000</v>
      </c>
      <c r="AP87" s="11" t="n">
        <f aca="false">SUM(AA87:AL87)</f>
        <v>150000</v>
      </c>
    </row>
    <row r="88" customFormat="false" ht="15" hidden="false" customHeight="false" outlineLevel="0" collapsed="false">
      <c r="A88" s="0" t="s">
        <v>894</v>
      </c>
      <c r="B88" s="0" t="s">
        <v>230</v>
      </c>
      <c r="C88" s="9" t="n">
        <f aca="false">((Assumptions!$D$123*$C$10)+(Assumptions!$C$34*Assumptions!$C$35))</f>
        <v>46000</v>
      </c>
      <c r="D88" s="9" t="n">
        <f aca="false">((Assumptions!$D$123*$C$10)+(Assumptions!$C$34*Assumptions!$C$35))</f>
        <v>46000</v>
      </c>
      <c r="E88" s="9" t="n">
        <f aca="false">((Assumptions!$D$123*$C$10)+(Assumptions!$C$34*Assumptions!$C$35))</f>
        <v>46000</v>
      </c>
      <c r="F88" s="9" t="n">
        <f aca="false">((Assumptions!$D$123*$C$10)+(Assumptions!$C$34*Assumptions!$C$35))</f>
        <v>46000</v>
      </c>
      <c r="G88" s="9" t="n">
        <f aca="false">((Assumptions!$D$123*$C$10)+(Assumptions!$C$34*Assumptions!$C$35))</f>
        <v>46000</v>
      </c>
      <c r="H88" s="9" t="n">
        <f aca="false">((Assumptions!$D$123*$C$10)+(Assumptions!$C$34*Assumptions!$C$35))</f>
        <v>46000</v>
      </c>
      <c r="I88" s="9" t="n">
        <f aca="false">((Assumptions!$D$123*$C$10)+(Assumptions!$C$34*Assumptions!$C$35))</f>
        <v>46000</v>
      </c>
      <c r="J88" s="9" t="n">
        <f aca="false">((Assumptions!$D$123*$C$10)+(Assumptions!$C$34*Assumptions!$C$35))</f>
        <v>46000</v>
      </c>
      <c r="K88" s="9" t="n">
        <f aca="false">((Assumptions!$D$123*$C$10)+(Assumptions!$C$34*Assumptions!$C$35))</f>
        <v>46000</v>
      </c>
      <c r="L88" s="9" t="n">
        <f aca="false">((Assumptions!$D$123*$C$10)+(Assumptions!$C$34*Assumptions!$C$35))</f>
        <v>46000</v>
      </c>
      <c r="M88" s="9" t="n">
        <f aca="false">((Assumptions!$D$123*$C$10)+(Assumptions!$C$34*Assumptions!$C$35))</f>
        <v>46000</v>
      </c>
      <c r="N88" s="9" t="n">
        <f aca="false">((Assumptions!$D$123*$C$10)+(Assumptions!$C$34*Assumptions!$C$35))</f>
        <v>46000</v>
      </c>
      <c r="O88" s="9" t="n">
        <f aca="false">((Assumptions!$D$123*$C$10)+(Assumptions!$C$34*Assumptions!$C$35))</f>
        <v>46000</v>
      </c>
      <c r="P88" s="9" t="n">
        <f aca="false">((Assumptions!$D$123*$C$10)+(Assumptions!$C$34*Assumptions!$C$35))</f>
        <v>46000</v>
      </c>
      <c r="Q88" s="9" t="n">
        <f aca="false">((Assumptions!$D$123*$C$10)+(Assumptions!$C$34*Assumptions!$C$35))</f>
        <v>46000</v>
      </c>
      <c r="R88" s="9" t="n">
        <f aca="false">((Assumptions!$D$123*$C$10)+(Assumptions!$C$34*Assumptions!$C$35))</f>
        <v>46000</v>
      </c>
      <c r="S88" s="9" t="n">
        <f aca="false">((Assumptions!$D$123*$C$10)+(Assumptions!$C$34*Assumptions!$C$35))</f>
        <v>46000</v>
      </c>
      <c r="T88" s="9" t="n">
        <f aca="false">((Assumptions!$D$123*$C$10)+(Assumptions!$C$34*Assumptions!$C$35))</f>
        <v>46000</v>
      </c>
      <c r="U88" s="9" t="n">
        <f aca="false">((Assumptions!$D$123*$C$10)+(Assumptions!$C$34*Assumptions!$C$35))</f>
        <v>46000</v>
      </c>
      <c r="V88" s="9" t="n">
        <f aca="false">((Assumptions!$D$123*$C$10)+(Assumptions!$C$34*Assumptions!$C$35))</f>
        <v>46000</v>
      </c>
      <c r="W88" s="9" t="n">
        <f aca="false">((Assumptions!$D$123*$C$10)+(Assumptions!$C$34*Assumptions!$C$35))</f>
        <v>46000</v>
      </c>
      <c r="X88" s="9" t="n">
        <f aca="false">((Assumptions!$D$123*$C$10)+(Assumptions!$C$34*Assumptions!$C$35))</f>
        <v>46000</v>
      </c>
      <c r="Y88" s="9" t="n">
        <f aca="false">((Assumptions!$D$123*$C$10)+(Assumptions!$C$34*Assumptions!$C$35))</f>
        <v>46000</v>
      </c>
      <c r="Z88" s="9" t="n">
        <f aca="false">((Assumptions!$D$123*$C$10)+(Assumptions!$C$34*Assumptions!$C$35))</f>
        <v>46000</v>
      </c>
      <c r="AA88" s="9" t="n">
        <f aca="false">((Assumptions!$D$123*$C$10)+(Assumptions!$C$34*Assumptions!$C$35))</f>
        <v>46000</v>
      </c>
      <c r="AB88" s="9" t="n">
        <f aca="false">((Assumptions!$D$123*$C$10)+(Assumptions!$C$34*Assumptions!$C$35))</f>
        <v>46000</v>
      </c>
      <c r="AC88" s="9" t="n">
        <f aca="false">((Assumptions!$D$123*$C$10)+(Assumptions!$C$34*Assumptions!$C$35))</f>
        <v>46000</v>
      </c>
      <c r="AD88" s="9" t="n">
        <f aca="false">((Assumptions!$D$123*$C$10)+(Assumptions!$C$34*Assumptions!$C$35))</f>
        <v>46000</v>
      </c>
      <c r="AE88" s="9" t="n">
        <f aca="false">((Assumptions!$D$123*$C$10)+(Assumptions!$C$34*Assumptions!$C$35))</f>
        <v>46000</v>
      </c>
      <c r="AF88" s="9" t="n">
        <f aca="false">((Assumptions!$D$123*$C$10)+(Assumptions!$C$34*Assumptions!$C$35))</f>
        <v>46000</v>
      </c>
      <c r="AG88" s="9" t="n">
        <f aca="false">((Assumptions!$D$123*$C$10)+(Assumptions!$C$34*Assumptions!$C$35))</f>
        <v>46000</v>
      </c>
      <c r="AH88" s="9" t="n">
        <f aca="false">((Assumptions!$D$123*$C$10)+(Assumptions!$C$34*Assumptions!$C$35))</f>
        <v>46000</v>
      </c>
      <c r="AI88" s="9" t="n">
        <f aca="false">((Assumptions!$D$123*$C$10)+(Assumptions!$C$34*Assumptions!$C$35))</f>
        <v>46000</v>
      </c>
      <c r="AJ88" s="9" t="n">
        <f aca="false">((Assumptions!$D$123*$C$10)+(Assumptions!$C$34*Assumptions!$C$35))</f>
        <v>46000</v>
      </c>
      <c r="AK88" s="9" t="n">
        <f aca="false">((Assumptions!$D$123*$C$10)+(Assumptions!$C$34*Assumptions!$C$35))</f>
        <v>46000</v>
      </c>
      <c r="AL88" s="9" t="n">
        <f aca="false">((Assumptions!$D$123*$C$10)+(Assumptions!$C$34*Assumptions!$C$35))</f>
        <v>46000</v>
      </c>
    </row>
    <row r="89" customFormat="false" ht="15" hidden="false" customHeight="false" outlineLevel="0" collapsed="false">
      <c r="A89" s="0" t="s">
        <v>895</v>
      </c>
      <c r="B89" s="0" t="s">
        <v>230</v>
      </c>
      <c r="C89" s="9" t="n">
        <f aca="false">((C88/3)*C73)</f>
        <v>0</v>
      </c>
      <c r="D89" s="9" t="n">
        <f aca="false">((D88/3)*SUM(C73:D73))</f>
        <v>0</v>
      </c>
      <c r="E89" s="9" t="n">
        <f aca="false">((E88/3)*SUM(C73:E73))</f>
        <v>0</v>
      </c>
      <c r="F89" s="9" t="n">
        <f aca="false">((F88/3)*SUM(D73:F73))</f>
        <v>0</v>
      </c>
      <c r="G89" s="9" t="n">
        <f aca="false">((G88/3)*SUM(E73:G73))</f>
        <v>0</v>
      </c>
      <c r="H89" s="9" t="n">
        <f aca="false">((H88/3)*SUM(F73:H73))</f>
        <v>0</v>
      </c>
      <c r="I89" s="9" t="n">
        <f aca="false">((I88/3)*SUM(G73:I73))</f>
        <v>0</v>
      </c>
      <c r="J89" s="9" t="n">
        <f aca="false">((J88/3)*SUM(H73:J73))</f>
        <v>0</v>
      </c>
      <c r="K89" s="9" t="n">
        <f aca="false">((K88/3)*SUM(I73:K73))</f>
        <v>0</v>
      </c>
      <c r="L89" s="9" t="n">
        <f aca="false">((L88/3)*SUM(J73:L73))</f>
        <v>0</v>
      </c>
      <c r="M89" s="9" t="n">
        <f aca="false">((M88/3)*SUM(K73:M73))</f>
        <v>0</v>
      </c>
      <c r="N89" s="9" t="n">
        <f aca="false">((N88/3)*SUM(L73:N73))</f>
        <v>0</v>
      </c>
      <c r="O89" s="9" t="n">
        <f aca="false">((O88/3)*SUM(M73:O73))</f>
        <v>0</v>
      </c>
      <c r="P89" s="9" t="n">
        <f aca="false">((P88/3)*SUM(N73:P73))</f>
        <v>0</v>
      </c>
      <c r="Q89" s="9" t="n">
        <f aca="false">((Q88/3)*SUM(O73:Q73))</f>
        <v>0</v>
      </c>
      <c r="R89" s="9" t="n">
        <f aca="false">((R88/3)*SUM(P73:R73))</f>
        <v>0</v>
      </c>
      <c r="S89" s="9" t="n">
        <f aca="false">((S88/3)*SUM(Q73:S73))</f>
        <v>0</v>
      </c>
      <c r="T89" s="9" t="n">
        <f aca="false">((T88/3)*SUM(R73:T73))</f>
        <v>0</v>
      </c>
      <c r="U89" s="9" t="n">
        <f aca="false">((U88/3)*SUM(S73:U73))</f>
        <v>0</v>
      </c>
      <c r="V89" s="9" t="n">
        <f aca="false">((V88/3)*SUM(T73:V73))</f>
        <v>0</v>
      </c>
      <c r="W89" s="9" t="n">
        <f aca="false">((W88/3)*SUM(U73:W73))</f>
        <v>0</v>
      </c>
      <c r="X89" s="9" t="n">
        <f aca="false">((X88/3)*SUM(V73:X73))</f>
        <v>15333.3333333333</v>
      </c>
      <c r="Y89" s="9" t="n">
        <f aca="false">((Y88/3)*SUM(W73:Y73))</f>
        <v>15333.3333333333</v>
      </c>
      <c r="Z89" s="9" t="n">
        <f aca="false">((Z88/3)*SUM(X73:Z73))</f>
        <v>15333.3333333333</v>
      </c>
      <c r="AA89" s="9" t="n">
        <f aca="false">((AA88/3)*SUM(Y73:AA73))</f>
        <v>15333.3333333333</v>
      </c>
      <c r="AB89" s="9" t="n">
        <f aca="false">((AB88/3)*SUM(Z73:AB73))</f>
        <v>15333.3333333333</v>
      </c>
      <c r="AC89" s="9" t="n">
        <f aca="false">((AC88/3)*SUM(AA73:AC73))</f>
        <v>15333.3333333333</v>
      </c>
      <c r="AD89" s="9" t="n">
        <f aca="false">((AD88/3)*SUM(AB73:AD73))</f>
        <v>15333.3333333333</v>
      </c>
      <c r="AE89" s="9" t="n">
        <f aca="false">((AE88/3)*SUM(AC73:AE73))</f>
        <v>15333.3333333333</v>
      </c>
      <c r="AF89" s="9" t="n">
        <f aca="false">((AF88/3)*SUM(AD73:AF73))</f>
        <v>15333.3333333333</v>
      </c>
      <c r="AG89" s="9" t="n">
        <f aca="false">((AG88/3)*SUM(AE73:AG73))</f>
        <v>15333.3333333333</v>
      </c>
      <c r="AH89" s="9" t="n">
        <f aca="false">((AH88/3)*SUM(AF73:AH73))</f>
        <v>30666.6666666667</v>
      </c>
      <c r="AI89" s="9" t="n">
        <f aca="false">((AI88/3)*SUM(AG73:AI73))</f>
        <v>30666.6666666667</v>
      </c>
      <c r="AJ89" s="9" t="n">
        <f aca="false">((AJ88/3)*SUM(AH73:AJ73))</f>
        <v>46000</v>
      </c>
      <c r="AK89" s="9" t="n">
        <f aca="false">((AK88/3)*SUM(AI73:AK73))</f>
        <v>46000</v>
      </c>
      <c r="AL89" s="9" t="n">
        <f aca="false">((AL88/3)*SUM(AJ73:AL73))</f>
        <v>46000</v>
      </c>
      <c r="AN89" s="11" t="n">
        <f aca="false">SUM(C89:N89)</f>
        <v>0</v>
      </c>
      <c r="AO89" s="11" t="n">
        <f aca="false">SUM(O89:Z89)</f>
        <v>46000</v>
      </c>
      <c r="AP89" s="11" t="n">
        <f aca="false">SUM(AA89:AL89)</f>
        <v>306666.666666667</v>
      </c>
    </row>
    <row r="90" customFormat="false" ht="15" hidden="false" customHeight="false" outlineLevel="0" collapsed="false">
      <c r="A90" s="0" t="s">
        <v>896</v>
      </c>
      <c r="B90" s="0" t="s">
        <v>230</v>
      </c>
      <c r="C90" s="9" t="n">
        <f aca="false">(C88*C73)</f>
        <v>0</v>
      </c>
      <c r="D90" s="9" t="n">
        <f aca="false">(D88*D73)</f>
        <v>0</v>
      </c>
      <c r="E90" s="9" t="n">
        <f aca="false">(E88*E73)</f>
        <v>0</v>
      </c>
      <c r="F90" s="9" t="n">
        <f aca="false">(F88*F73)</f>
        <v>0</v>
      </c>
      <c r="G90" s="9" t="n">
        <f aca="false">(G88*G73)</f>
        <v>0</v>
      </c>
      <c r="H90" s="9" t="n">
        <f aca="false">(H88*H73)</f>
        <v>0</v>
      </c>
      <c r="I90" s="9" t="n">
        <f aca="false">(I88*I73)</f>
        <v>0</v>
      </c>
      <c r="J90" s="9" t="n">
        <f aca="false">(J88*J73)</f>
        <v>0</v>
      </c>
      <c r="K90" s="9" t="n">
        <f aca="false">(K88*K73)</f>
        <v>0</v>
      </c>
      <c r="L90" s="9" t="n">
        <f aca="false">(L88*L73)</f>
        <v>0</v>
      </c>
      <c r="M90" s="9" t="n">
        <f aca="false">(M88*M73)</f>
        <v>0</v>
      </c>
      <c r="N90" s="9" t="n">
        <f aca="false">(N88*N73)</f>
        <v>0</v>
      </c>
      <c r="O90" s="9" t="n">
        <f aca="false">(O88*O73)</f>
        <v>0</v>
      </c>
      <c r="P90" s="9" t="n">
        <f aca="false">(P88*P73)</f>
        <v>0</v>
      </c>
      <c r="Q90" s="9" t="n">
        <f aca="false">(Q88*Q73)</f>
        <v>0</v>
      </c>
      <c r="R90" s="9" t="n">
        <f aca="false">(R88*R73)</f>
        <v>0</v>
      </c>
      <c r="S90" s="9" t="n">
        <f aca="false">(S88*S73)</f>
        <v>0</v>
      </c>
      <c r="T90" s="9" t="n">
        <f aca="false">(T88*T73)</f>
        <v>0</v>
      </c>
      <c r="U90" s="9" t="n">
        <f aca="false">(U88*U73)</f>
        <v>0</v>
      </c>
      <c r="V90" s="9" t="n">
        <f aca="false">(V88*V73)</f>
        <v>0</v>
      </c>
      <c r="W90" s="9" t="n">
        <f aca="false">(W88*W73)</f>
        <v>0</v>
      </c>
      <c r="X90" s="9" t="n">
        <f aca="false">(X88*X73)</f>
        <v>46000</v>
      </c>
      <c r="Y90" s="9" t="n">
        <f aca="false">(Y88*Y73)</f>
        <v>0</v>
      </c>
      <c r="Z90" s="9" t="n">
        <f aca="false">(Z88*Z73)</f>
        <v>0</v>
      </c>
      <c r="AA90" s="9" t="n">
        <f aca="false">(AA88*AA73)</f>
        <v>46000</v>
      </c>
      <c r="AB90" s="9" t="n">
        <f aca="false">(AB88*AB73)</f>
        <v>0</v>
      </c>
      <c r="AC90" s="9" t="n">
        <f aca="false">(AC88*AC73)</f>
        <v>0</v>
      </c>
      <c r="AD90" s="9" t="n">
        <f aca="false">(AD88*AD73)</f>
        <v>46000</v>
      </c>
      <c r="AE90" s="9" t="n">
        <f aca="false">(AE88*AE73)</f>
        <v>0</v>
      </c>
      <c r="AF90" s="9" t="n">
        <f aca="false">(AF88*AF73)</f>
        <v>0</v>
      </c>
      <c r="AG90" s="9" t="n">
        <f aca="false">(AG88*AG73)</f>
        <v>46000</v>
      </c>
      <c r="AH90" s="9" t="n">
        <f aca="false">(AH88*AH73)</f>
        <v>46000</v>
      </c>
      <c r="AI90" s="9" t="n">
        <f aca="false">(AI88*AI73)</f>
        <v>0</v>
      </c>
      <c r="AJ90" s="9" t="n">
        <f aca="false">(AJ88*AJ73)</f>
        <v>92000</v>
      </c>
      <c r="AK90" s="9" t="n">
        <f aca="false">(AK88*AK73)</f>
        <v>46000</v>
      </c>
      <c r="AL90" s="9" t="n">
        <f aca="false">(AL88*AL73)</f>
        <v>0</v>
      </c>
      <c r="AN90" s="11" t="n">
        <f aca="false">SUM(C90:N90)</f>
        <v>0</v>
      </c>
      <c r="AO90" s="11" t="n">
        <f aca="false">SUM(O90:Z90)</f>
        <v>46000</v>
      </c>
      <c r="AP90" s="11" t="n">
        <f aca="false">SUM(AA90:AL90)</f>
        <v>322000</v>
      </c>
    </row>
    <row r="91" customFormat="false" ht="15" hidden="false" customHeight="false" outlineLevel="0" collapsed="false">
      <c r="A91" s="0" t="s">
        <v>897</v>
      </c>
      <c r="B91" s="0" t="s">
        <v>285</v>
      </c>
      <c r="C91" s="9" t="n">
        <f aca="false">((C70*Assumptions!$D$124)+(C73*(Assumptions!$D$124+(Assumptions!$C$34*Assumptions!$C$36))))</f>
        <v>0</v>
      </c>
      <c r="D91" s="9" t="n">
        <f aca="false">((D70*Assumptions!$D$124)+(D73*(Assumptions!$D$124+(Assumptions!$C$34*Assumptions!$C$36))))</f>
        <v>0</v>
      </c>
      <c r="E91" s="9" t="n">
        <f aca="false">((E70*Assumptions!$D$124)+(E73*(Assumptions!$D$124+(Assumptions!$C$34*Assumptions!$C$36))))</f>
        <v>0</v>
      </c>
      <c r="F91" s="9" t="n">
        <f aca="false">((F70*Assumptions!$D$124)+(F73*(Assumptions!$D$124+(Assumptions!$C$34*Assumptions!$C$36))))</f>
        <v>0</v>
      </c>
      <c r="G91" s="9" t="n">
        <f aca="false">((G70*Assumptions!$D$124)+(G73*(Assumptions!$D$124+(Assumptions!$C$34*Assumptions!$C$36))))</f>
        <v>0</v>
      </c>
      <c r="H91" s="9" t="n">
        <f aca="false">((H70*Assumptions!$D$124)+(H73*(Assumptions!$D$124+(Assumptions!$C$34*Assumptions!$C$36))))</f>
        <v>0</v>
      </c>
      <c r="I91" s="9" t="n">
        <f aca="false">((I70*Assumptions!$D$124)+(I73*(Assumptions!$D$124+(Assumptions!$C$34*Assumptions!$C$36))))</f>
        <v>0</v>
      </c>
      <c r="J91" s="9" t="n">
        <f aca="false">((J70*Assumptions!$D$124)+(J73*(Assumptions!$D$124+(Assumptions!$C$34*Assumptions!$C$36))))</f>
        <v>330</v>
      </c>
      <c r="K91" s="9" t="n">
        <f aca="false">((K70*Assumptions!$D$124)+(K73*(Assumptions!$D$124+(Assumptions!$C$34*Assumptions!$C$36))))</f>
        <v>0</v>
      </c>
      <c r="L91" s="9" t="n">
        <f aca="false">((L70*Assumptions!$D$124)+(L73*(Assumptions!$D$124+(Assumptions!$C$34*Assumptions!$C$36))))</f>
        <v>0</v>
      </c>
      <c r="M91" s="9" t="n">
        <f aca="false">((M70*Assumptions!$D$124)+(M73*(Assumptions!$D$124+(Assumptions!$C$34*Assumptions!$C$36))))</f>
        <v>0</v>
      </c>
      <c r="N91" s="9" t="n">
        <f aca="false">((N70*Assumptions!$D$124)+(N73*(Assumptions!$D$124+(Assumptions!$C$34*Assumptions!$C$36))))</f>
        <v>0</v>
      </c>
      <c r="O91" s="9" t="n">
        <f aca="false">((O70*Assumptions!$D$124)+(O73*(Assumptions!$D$124+(Assumptions!$C$34*Assumptions!$C$36))))</f>
        <v>0</v>
      </c>
      <c r="P91" s="9" t="n">
        <f aca="false">((P70*Assumptions!$D$124)+(P73*(Assumptions!$D$124+(Assumptions!$C$34*Assumptions!$C$36))))</f>
        <v>0</v>
      </c>
      <c r="Q91" s="9" t="n">
        <f aca="false">((Q70*Assumptions!$D$124)+(Q73*(Assumptions!$D$124+(Assumptions!$C$34*Assumptions!$C$36))))</f>
        <v>0</v>
      </c>
      <c r="R91" s="9" t="n">
        <f aca="false">((R70*Assumptions!$D$124)+(R73*(Assumptions!$D$124+(Assumptions!$C$34*Assumptions!$C$36))))</f>
        <v>0</v>
      </c>
      <c r="S91" s="9" t="n">
        <f aca="false">((S70*Assumptions!$D$124)+(S73*(Assumptions!$D$124+(Assumptions!$C$34*Assumptions!$C$36))))</f>
        <v>0</v>
      </c>
      <c r="T91" s="9" t="n">
        <f aca="false">((T70*Assumptions!$D$124)+(T73*(Assumptions!$D$124+(Assumptions!$C$34*Assumptions!$C$36))))</f>
        <v>0</v>
      </c>
      <c r="U91" s="9" t="n">
        <f aca="false">((U70*Assumptions!$D$124)+(U73*(Assumptions!$D$124+(Assumptions!$C$34*Assumptions!$C$36))))</f>
        <v>0</v>
      </c>
      <c r="V91" s="9" t="n">
        <f aca="false">((V70*Assumptions!$D$124)+(V73*(Assumptions!$D$124+(Assumptions!$C$34*Assumptions!$C$36))))</f>
        <v>0</v>
      </c>
      <c r="W91" s="9" t="n">
        <f aca="false">((W70*Assumptions!$D$124)+(W73*(Assumptions!$D$124+(Assumptions!$C$34*Assumptions!$C$36))))</f>
        <v>0</v>
      </c>
      <c r="X91" s="9" t="n">
        <f aca="false">((X70*Assumptions!$D$124)+(X73*(Assumptions!$D$124+(Assumptions!$C$34*Assumptions!$C$36))))</f>
        <v>374</v>
      </c>
      <c r="Y91" s="9" t="n">
        <f aca="false">((Y70*Assumptions!$D$124)+(Y73*(Assumptions!$D$124+(Assumptions!$C$34*Assumptions!$C$36))))</f>
        <v>0</v>
      </c>
      <c r="Z91" s="9" t="n">
        <f aca="false">((Z70*Assumptions!$D$124)+(Z73*(Assumptions!$D$124+(Assumptions!$C$34*Assumptions!$C$36))))</f>
        <v>0</v>
      </c>
      <c r="AA91" s="9" t="n">
        <f aca="false">((AA70*Assumptions!$D$124)+(AA73*(Assumptions!$D$124+(Assumptions!$C$34*Assumptions!$C$36))))</f>
        <v>374</v>
      </c>
      <c r="AB91" s="9" t="n">
        <f aca="false">((AB70*Assumptions!$D$124)+(AB73*(Assumptions!$D$124+(Assumptions!$C$34*Assumptions!$C$36))))</f>
        <v>0</v>
      </c>
      <c r="AC91" s="9" t="n">
        <f aca="false">((AC70*Assumptions!$D$124)+(AC73*(Assumptions!$D$124+(Assumptions!$C$34*Assumptions!$C$36))))</f>
        <v>0</v>
      </c>
      <c r="AD91" s="9" t="n">
        <f aca="false">((AD70*Assumptions!$D$124)+(AD73*(Assumptions!$D$124+(Assumptions!$C$34*Assumptions!$C$36))))</f>
        <v>374</v>
      </c>
      <c r="AE91" s="9" t="n">
        <f aca="false">((AE70*Assumptions!$D$124)+(AE73*(Assumptions!$D$124+(Assumptions!$C$34*Assumptions!$C$36))))</f>
        <v>0</v>
      </c>
      <c r="AF91" s="9" t="n">
        <f aca="false">((AF70*Assumptions!$D$124)+(AF73*(Assumptions!$D$124+(Assumptions!$C$34*Assumptions!$C$36))))</f>
        <v>0</v>
      </c>
      <c r="AG91" s="9" t="n">
        <f aca="false">((AG70*Assumptions!$D$124)+(AG73*(Assumptions!$D$124+(Assumptions!$C$34*Assumptions!$C$36))))</f>
        <v>374</v>
      </c>
      <c r="AH91" s="9" t="n">
        <f aca="false">((AH70*Assumptions!$D$124)+(AH73*(Assumptions!$D$124+(Assumptions!$C$34*Assumptions!$C$36))))</f>
        <v>374</v>
      </c>
      <c r="AI91" s="9" t="n">
        <f aca="false">((AI70*Assumptions!$D$124)+(AI73*(Assumptions!$D$124+(Assumptions!$C$34*Assumptions!$C$36))))</f>
        <v>0</v>
      </c>
      <c r="AJ91" s="9" t="n">
        <f aca="false">((AJ70*Assumptions!$D$124)+(AJ73*(Assumptions!$D$124+(Assumptions!$C$34*Assumptions!$C$36))))</f>
        <v>748</v>
      </c>
      <c r="AK91" s="9" t="n">
        <f aca="false">((AK70*Assumptions!$D$124)+(AK73*(Assumptions!$D$124+(Assumptions!$C$34*Assumptions!$C$36))))</f>
        <v>374</v>
      </c>
      <c r="AL91" s="9" t="n">
        <f aca="false">((AL70*Assumptions!$D$124)+(AL73*(Assumptions!$D$124+(Assumptions!$C$34*Assumptions!$C$36))))</f>
        <v>0</v>
      </c>
      <c r="AN91" s="11" t="n">
        <f aca="false">SUM(C91:N91)</f>
        <v>330</v>
      </c>
      <c r="AO91" s="11" t="n">
        <f aca="false">SUM(O91:Z91)</f>
        <v>374</v>
      </c>
      <c r="AP91" s="11" t="n">
        <f aca="false">SUM(AA91:AL91)</f>
        <v>2618</v>
      </c>
    </row>
    <row r="92" customFormat="false" ht="15" hidden="false" customHeight="false" outlineLevel="0" collapsed="false">
      <c r="A92" s="0" t="s">
        <v>898</v>
      </c>
      <c r="B92" s="0" t="s">
        <v>852</v>
      </c>
      <c r="C92" s="14" t="n">
        <f aca="false">((IF(OR((C$18-(Assumptions!$C$9-1)-$C$9)&lt;1,(C$18-(Assumptions!$C$9-1)-$C$9)&gt;36),0,INDEX(Schedules!$C$7:$AL$7,(C$18-(Assumptions!$C$9-1)-$C$9)))*$C$7)*C44)</f>
        <v>0</v>
      </c>
      <c r="D92" s="14" t="n">
        <f aca="false">((IF(OR((D$18-(Assumptions!$C$9-1)-$C$9)&lt;1,(D$18-(Assumptions!$C$9-1)-$C$9)&gt;36),0,INDEX(Schedules!$C$7:$AL$7,(D$18-(Assumptions!$C$9-1)-$C$9)))*$C$7)*D44)</f>
        <v>0</v>
      </c>
      <c r="E92" s="14" t="n">
        <f aca="false">((IF(OR((E$18-(Assumptions!$C$9-1)-$C$9)&lt;1,(E$18-(Assumptions!$C$9-1)-$C$9)&gt;36),0,INDEX(Schedules!$C$7:$AL$7,(E$18-(Assumptions!$C$9-1)-$C$9)))*$C$7)*E44)</f>
        <v>0</v>
      </c>
      <c r="F92" s="14" t="n">
        <f aca="false">((IF(OR((F$18-(Assumptions!$C$9-1)-$C$9)&lt;1,(F$18-(Assumptions!$C$9-1)-$C$9)&gt;36),0,INDEX(Schedules!$C$7:$AL$7,(F$18-(Assumptions!$C$9-1)-$C$9)))*$C$7)*F44)</f>
        <v>0</v>
      </c>
      <c r="G92" s="14" t="n">
        <f aca="false">((IF(OR((G$18-(Assumptions!$C$9-1)-$C$9)&lt;1,(G$18-(Assumptions!$C$9-1)-$C$9)&gt;36),0,INDEX(Schedules!$C$7:$AL$7,(G$18-(Assumptions!$C$9-1)-$C$9)))*$C$7)*G44)</f>
        <v>0</v>
      </c>
      <c r="H92" s="14" t="n">
        <f aca="false">((IF(OR((H$18-(Assumptions!$C$9-1)-$C$9)&lt;1,(H$18-(Assumptions!$C$9-1)-$C$9)&gt;36),0,INDEX(Schedules!$C$7:$AL$7,(H$18-(Assumptions!$C$9-1)-$C$9)))*$C$7)*H44)</f>
        <v>0</v>
      </c>
      <c r="I92" s="14" t="n">
        <f aca="false">((IF(OR((I$18-(Assumptions!$C$9-1)-$C$9)&lt;1,(I$18-(Assumptions!$C$9-1)-$C$9)&gt;36),0,INDEX(Schedules!$C$7:$AL$7,(I$18-(Assumptions!$C$9-1)-$C$9)))*$C$7)*I44)</f>
        <v>0</v>
      </c>
      <c r="J92" s="14" t="n">
        <f aca="false">((IF(OR((J$18-(Assumptions!$C$9-1)-$C$9)&lt;1,(J$18-(Assumptions!$C$9-1)-$C$9)&gt;36),0,INDEX(Schedules!$C$7:$AL$7,(J$18-(Assumptions!$C$9-1)-$C$9)))*$C$7)*J44)</f>
        <v>0</v>
      </c>
      <c r="K92" s="14" t="n">
        <f aca="false">((IF(OR((K$18-(Assumptions!$C$9-1)-$C$9)&lt;1,(K$18-(Assumptions!$C$9-1)-$C$9)&gt;36),0,INDEX(Schedules!$C$7:$AL$7,(K$18-(Assumptions!$C$9-1)-$C$9)))*$C$7)*K44)</f>
        <v>0</v>
      </c>
      <c r="L92" s="14" t="n">
        <f aca="false">((IF(OR((L$18-(Assumptions!$C$9-1)-$C$9)&lt;1,(L$18-(Assumptions!$C$9-1)-$C$9)&gt;36),0,INDEX(Schedules!$C$7:$AL$7,(L$18-(Assumptions!$C$9-1)-$C$9)))*$C$7)*L44)</f>
        <v>0</v>
      </c>
      <c r="M92" s="14" t="n">
        <f aca="false">((IF(OR((M$18-(Assumptions!$C$9-1)-$C$9)&lt;1,(M$18-(Assumptions!$C$9-1)-$C$9)&gt;36),0,INDEX(Schedules!$C$7:$AL$7,(M$18-(Assumptions!$C$9-1)-$C$9)))*$C$7)*M44)</f>
        <v>0</v>
      </c>
      <c r="N92" s="14" t="n">
        <f aca="false">((IF(OR((N$18-(Assumptions!$C$9-1)-$C$9)&lt;1,(N$18-(Assumptions!$C$9-1)-$C$9)&gt;36),0,INDEX(Schedules!$C$7:$AL$7,(N$18-(Assumptions!$C$9-1)-$C$9)))*$C$7)*N44)</f>
        <v>0</v>
      </c>
      <c r="O92" s="14" t="n">
        <f aca="false">((IF(OR((O$18-(Assumptions!$C$9-1)-$C$9)&lt;1,(O$18-(Assumptions!$C$9-1)-$C$9)&gt;36),0,INDEX(Schedules!$C$7:$AL$7,(O$18-(Assumptions!$C$9-1)-$C$9)))*$C$7)*O44)</f>
        <v>0</v>
      </c>
      <c r="P92" s="14" t="n">
        <f aca="false">((IF(OR((P$18-(Assumptions!$C$9-1)-$C$9)&lt;1,(P$18-(Assumptions!$C$9-1)-$C$9)&gt;36),0,INDEX(Schedules!$C$7:$AL$7,(P$18-(Assumptions!$C$9-1)-$C$9)))*$C$7)*P44)</f>
        <v>0</v>
      </c>
      <c r="Q92" s="14" t="n">
        <f aca="false">((IF(OR((Q$18-(Assumptions!$C$9-1)-$C$9)&lt;1,(Q$18-(Assumptions!$C$9-1)-$C$9)&gt;36),0,INDEX(Schedules!$C$7:$AL$7,(Q$18-(Assumptions!$C$9-1)-$C$9)))*$C$7)*Q44)</f>
        <v>0</v>
      </c>
      <c r="R92" s="14" t="n">
        <f aca="false">((IF(OR((R$18-(Assumptions!$C$9-1)-$C$9)&lt;1,(R$18-(Assumptions!$C$9-1)-$C$9)&gt;36),0,INDEX(Schedules!$C$7:$AL$7,(R$18-(Assumptions!$C$9-1)-$C$9)))*$C$7)*R44)</f>
        <v>0</v>
      </c>
      <c r="S92" s="14" t="n">
        <f aca="false">((IF(OR((S$18-(Assumptions!$C$9-1)-$C$9)&lt;1,(S$18-(Assumptions!$C$9-1)-$C$9)&gt;36),0,INDEX(Schedules!$C$7:$AL$7,(S$18-(Assumptions!$C$9-1)-$C$9)))*$C$7)*S44)</f>
        <v>0</v>
      </c>
      <c r="T92" s="14" t="n">
        <f aca="false">((IF(OR((T$18-(Assumptions!$C$9-1)-$C$9)&lt;1,(T$18-(Assumptions!$C$9-1)-$C$9)&gt;36),0,INDEX(Schedules!$C$7:$AL$7,(T$18-(Assumptions!$C$9-1)-$C$9)))*$C$7)*T44)</f>
        <v>0</v>
      </c>
      <c r="U92" s="14" t="n">
        <f aca="false">((IF(OR((U$18-(Assumptions!$C$9-1)-$C$9)&lt;1,(U$18-(Assumptions!$C$9-1)-$C$9)&gt;36),0,INDEX(Schedules!$C$7:$AL$7,(U$18-(Assumptions!$C$9-1)-$C$9)))*$C$7)*U44)</f>
        <v>0</v>
      </c>
      <c r="V92" s="14" t="n">
        <f aca="false">((IF(OR((V$18-(Assumptions!$C$9-1)-$C$9)&lt;1,(V$18-(Assumptions!$C$9-1)-$C$9)&gt;36),0,INDEX(Schedules!$C$7:$AL$7,(V$18-(Assumptions!$C$9-1)-$C$9)))*$C$7)*V44)</f>
        <v>0</v>
      </c>
      <c r="W92" s="14" t="n">
        <f aca="false">((IF(OR((W$18-(Assumptions!$C$9-1)-$C$9)&lt;1,(W$18-(Assumptions!$C$9-1)-$C$9)&gt;36),0,INDEX(Schedules!$C$7:$AL$7,(W$18-(Assumptions!$C$9-1)-$C$9)))*$C$7)*W44)</f>
        <v>0</v>
      </c>
      <c r="X92" s="14" t="n">
        <f aca="false">((IF(OR((X$18-(Assumptions!$C$9-1)-$C$9)&lt;1,(X$18-(Assumptions!$C$9-1)-$C$9)&gt;36),0,INDEX(Schedules!$C$7:$AL$7,(X$18-(Assumptions!$C$9-1)-$C$9)))*$C$7)*X44)</f>
        <v>0</v>
      </c>
      <c r="Y92" s="14" t="n">
        <f aca="false">((IF(OR((Y$18-(Assumptions!$C$9-1)-$C$9)&lt;1,(Y$18-(Assumptions!$C$9-1)-$C$9)&gt;36),0,INDEX(Schedules!$C$7:$AL$7,(Y$18-(Assumptions!$C$9-1)-$C$9)))*$C$7)*Y44)</f>
        <v>0</v>
      </c>
      <c r="Z92" s="14" t="n">
        <f aca="false">((IF(OR((Z$18-(Assumptions!$C$9-1)-$C$9)&lt;1,(Z$18-(Assumptions!$C$9-1)-$C$9)&gt;36),0,INDEX(Schedules!$C$7:$AL$7,(Z$18-(Assumptions!$C$9-1)-$C$9)))*$C$7)*Z44)</f>
        <v>0</v>
      </c>
      <c r="AA92" s="14" t="n">
        <f aca="false">((IF(OR((AA$18-(Assumptions!$C$9-1)-$C$9)&lt;1,(AA$18-(Assumptions!$C$9-1)-$C$9)&gt;36),0,INDEX(Schedules!$C$7:$AL$7,(AA$18-(Assumptions!$C$9-1)-$C$9)))*$C$7)*AA44)</f>
        <v>0</v>
      </c>
      <c r="AB92" s="14" t="n">
        <f aca="false">((IF(OR((AB$18-(Assumptions!$C$9-1)-$C$9)&lt;1,(AB$18-(Assumptions!$C$9-1)-$C$9)&gt;36),0,INDEX(Schedules!$C$7:$AL$7,(AB$18-(Assumptions!$C$9-1)-$C$9)))*$C$7)*AB44)</f>
        <v>0</v>
      </c>
      <c r="AC92" s="14" t="n">
        <f aca="false">((IF(OR((AC$18-(Assumptions!$C$9-1)-$C$9)&lt;1,(AC$18-(Assumptions!$C$9-1)-$C$9)&gt;36),0,INDEX(Schedules!$C$7:$AL$7,(AC$18-(Assumptions!$C$9-1)-$C$9)))*$C$7)*AC44)</f>
        <v>0</v>
      </c>
      <c r="AD92" s="14" t="n">
        <f aca="false">((IF(OR((AD$18-(Assumptions!$C$9-1)-$C$9)&lt;1,(AD$18-(Assumptions!$C$9-1)-$C$9)&gt;36),0,INDEX(Schedules!$C$7:$AL$7,(AD$18-(Assumptions!$C$9-1)-$C$9)))*$C$7)*AD44)</f>
        <v>0</v>
      </c>
      <c r="AE92" s="14" t="n">
        <f aca="false">((IF(OR((AE$18-(Assumptions!$C$9-1)-$C$9)&lt;1,(AE$18-(Assumptions!$C$9-1)-$C$9)&gt;36),0,INDEX(Schedules!$C$7:$AL$7,(AE$18-(Assumptions!$C$9-1)-$C$9)))*$C$7)*AE44)</f>
        <v>0</v>
      </c>
      <c r="AF92" s="14" t="n">
        <f aca="false">((IF(OR((AF$18-(Assumptions!$C$9-1)-$C$9)&lt;1,(AF$18-(Assumptions!$C$9-1)-$C$9)&gt;36),0,INDEX(Schedules!$C$7:$AL$7,(AF$18-(Assumptions!$C$9-1)-$C$9)))*$C$7)*AF44)</f>
        <v>0</v>
      </c>
      <c r="AG92" s="14" t="n">
        <f aca="false">((IF(OR((AG$18-(Assumptions!$C$9-1)-$C$9)&lt;1,(AG$18-(Assumptions!$C$9-1)-$C$9)&gt;36),0,INDEX(Schedules!$C$7:$AL$7,(AG$18-(Assumptions!$C$9-1)-$C$9)))*$C$7)*AG44)</f>
        <v>0</v>
      </c>
      <c r="AH92" s="14" t="n">
        <f aca="false">((IF(OR((AH$18-(Assumptions!$C$9-1)-$C$9)&lt;1,(AH$18-(Assumptions!$C$9-1)-$C$9)&gt;36),0,INDEX(Schedules!$C$7:$AL$7,(AH$18-(Assumptions!$C$9-1)-$C$9)))*$C$7)*AH44)</f>
        <v>0</v>
      </c>
      <c r="AI92" s="14" t="n">
        <f aca="false">((IF(OR((AI$18-(Assumptions!$C$9-1)-$C$9)&lt;1,(AI$18-(Assumptions!$C$9-1)-$C$9)&gt;36),0,INDEX(Schedules!$C$7:$AL$7,(AI$18-(Assumptions!$C$9-1)-$C$9)))*$C$7)*AI44)</f>
        <v>0</v>
      </c>
      <c r="AJ92" s="14" t="n">
        <f aca="false">((IF(OR((AJ$18-(Assumptions!$C$9-1)-$C$9)&lt;1,(AJ$18-(Assumptions!$C$9-1)-$C$9)&gt;36),0,INDEX(Schedules!$C$7:$AL$7,(AJ$18-(Assumptions!$C$9-1)-$C$9)))*$C$7)*AJ44)</f>
        <v>0</v>
      </c>
      <c r="AK92" s="14" t="n">
        <f aca="false">((IF(OR((AK$18-(Assumptions!$C$9-1)-$C$9)&lt;1,(AK$18-(Assumptions!$C$9-1)-$C$9)&gt;36),0,INDEX(Schedules!$C$7:$AL$7,(AK$18-(Assumptions!$C$9-1)-$C$9)))*$C$7)*AK44)</f>
        <v>0</v>
      </c>
      <c r="AL92" s="14" t="n">
        <f aca="false">((IF(OR((AL$18-(Assumptions!$C$9-1)-$C$9)&lt;1,(AL$18-(Assumptions!$C$9-1)-$C$9)&gt;36),0,INDEX(Schedules!$C$7:$AL$7,(AL$18-(Assumptions!$C$9-1)-$C$9)))*$C$7)*AL44)</f>
        <v>1</v>
      </c>
      <c r="AN92" s="36" t="n">
        <f aca="false">SUM(C92:N92)</f>
        <v>0</v>
      </c>
      <c r="AO92" s="36" t="n">
        <f aca="false">SUM(O92:Z92)</f>
        <v>0</v>
      </c>
      <c r="AP92" s="36" t="n">
        <f aca="false">SUM(AA92:AL92)</f>
        <v>1</v>
      </c>
    </row>
    <row r="93" customFormat="false" ht="15" hidden="false" customHeight="false" outlineLevel="0" collapsed="false">
      <c r="A93" s="0" t="s">
        <v>899</v>
      </c>
      <c r="B93" s="0" t="s">
        <v>852</v>
      </c>
      <c r="C93" s="14" t="n">
        <f aca="false">INDEX(Schedules!$C$13:$AL$13,C$18)</f>
        <v>0</v>
      </c>
      <c r="D93" s="14" t="n">
        <f aca="false">INDEX(Schedules!$C$13:$AL$13,D$18)</f>
        <v>0</v>
      </c>
      <c r="E93" s="14" t="n">
        <f aca="false">INDEX(Schedules!$C$13:$AL$13,E$18)</f>
        <v>0</v>
      </c>
      <c r="F93" s="14" t="n">
        <f aca="false">INDEX(Schedules!$C$13:$AL$13,F$18)</f>
        <v>0</v>
      </c>
      <c r="G93" s="14" t="n">
        <f aca="false">INDEX(Schedules!$C$13:$AL$13,G$18)</f>
        <v>0</v>
      </c>
      <c r="H93" s="14" t="n">
        <f aca="false">INDEX(Schedules!$C$13:$AL$13,H$18)</f>
        <v>0</v>
      </c>
      <c r="I93" s="14" t="n">
        <f aca="false">INDEX(Schedules!$C$13:$AL$13,I$18)</f>
        <v>0</v>
      </c>
      <c r="J93" s="14" t="n">
        <f aca="false">INDEX(Schedules!$C$13:$AL$13,J$18)</f>
        <v>0</v>
      </c>
      <c r="K93" s="14" t="n">
        <f aca="false">INDEX(Schedules!$C$13:$AL$13,K$18)</f>
        <v>0</v>
      </c>
      <c r="L93" s="14" t="n">
        <f aca="false">INDEX(Schedules!$C$13:$AL$13,L$18)</f>
        <v>0</v>
      </c>
      <c r="M93" s="14" t="n">
        <f aca="false">INDEX(Schedules!$C$13:$AL$13,M$18)</f>
        <v>0</v>
      </c>
      <c r="N93" s="14" t="n">
        <f aca="false">INDEX(Schedules!$C$13:$AL$13,N$18)</f>
        <v>0</v>
      </c>
      <c r="O93" s="14" t="n">
        <f aca="false">INDEX(Schedules!$C$13:$AL$13,O$18)</f>
        <v>0</v>
      </c>
      <c r="P93" s="14" t="n">
        <f aca="false">INDEX(Schedules!$C$13:$AL$13,P$18)</f>
        <v>0</v>
      </c>
      <c r="Q93" s="14" t="n">
        <f aca="false">INDEX(Schedules!$C$13:$AL$13,Q$18)</f>
        <v>0</v>
      </c>
      <c r="R93" s="14" t="n">
        <f aca="false">INDEX(Schedules!$C$13:$AL$13,R$18)</f>
        <v>0</v>
      </c>
      <c r="S93" s="14" t="n">
        <f aca="false">INDEX(Schedules!$C$13:$AL$13,S$18)</f>
        <v>0</v>
      </c>
      <c r="T93" s="14" t="n">
        <f aca="false">INDEX(Schedules!$C$13:$AL$13,T$18)</f>
        <v>0</v>
      </c>
      <c r="U93" s="14" t="n">
        <f aca="false">INDEX(Schedules!$C$13:$AL$13,U$18)</f>
        <v>0</v>
      </c>
      <c r="V93" s="14" t="n">
        <f aca="false">INDEX(Schedules!$C$13:$AL$13,V$18)</f>
        <v>0</v>
      </c>
      <c r="W93" s="14" t="n">
        <f aca="false">INDEX(Schedules!$C$13:$AL$13,W$18)</f>
        <v>0</v>
      </c>
      <c r="X93" s="14" t="n">
        <f aca="false">INDEX(Schedules!$C$13:$AL$13,X$18)</f>
        <v>0</v>
      </c>
      <c r="Y93" s="14" t="n">
        <f aca="false">INDEX(Schedules!$C$13:$AL$13,Y$18)</f>
        <v>0</v>
      </c>
      <c r="Z93" s="14" t="n">
        <f aca="false">INDEX(Schedules!$C$13:$AL$13,Z$18)</f>
        <v>0</v>
      </c>
      <c r="AA93" s="14" t="n">
        <f aca="false">INDEX(Schedules!$C$13:$AL$13,AA$18)</f>
        <v>0</v>
      </c>
      <c r="AB93" s="14" t="n">
        <f aca="false">INDEX(Schedules!$C$13:$AL$13,AB$18)</f>
        <v>0</v>
      </c>
      <c r="AC93" s="14" t="n">
        <f aca="false">INDEX(Schedules!$C$13:$AL$13,AC$18)</f>
        <v>0</v>
      </c>
      <c r="AD93" s="14" t="n">
        <f aca="false">INDEX(Schedules!$C$13:$AL$13,AD$18)</f>
        <v>0</v>
      </c>
      <c r="AE93" s="14" t="n">
        <f aca="false">INDEX(Schedules!$C$13:$AL$13,AE$18)</f>
        <v>0</v>
      </c>
      <c r="AF93" s="14" t="n">
        <f aca="false">INDEX(Schedules!$C$13:$AL$13,AF$18)</f>
        <v>0</v>
      </c>
      <c r="AG93" s="14" t="n">
        <f aca="false">INDEX(Schedules!$C$13:$AL$13,AG$18)</f>
        <v>0</v>
      </c>
      <c r="AH93" s="14" t="n">
        <f aca="false">INDEX(Schedules!$C$13:$AL$13,AH$18)</f>
        <v>0</v>
      </c>
      <c r="AI93" s="14" t="n">
        <f aca="false">INDEX(Schedules!$C$13:$AL$13,AI$18)</f>
        <v>0</v>
      </c>
      <c r="AJ93" s="14" t="n">
        <f aca="false">INDEX(Schedules!$C$13:$AL$13,AJ$18)</f>
        <v>0</v>
      </c>
      <c r="AK93" s="14" t="n">
        <f aca="false">INDEX(Schedules!$C$13:$AL$13,AK$18)</f>
        <v>0</v>
      </c>
      <c r="AL93" s="14" t="n">
        <f aca="false">INDEX(Schedules!$C$13:$AL$13,AL$18)</f>
        <v>0</v>
      </c>
      <c r="AN93" s="36" t="n">
        <f aca="false">SUM(C93:N93)</f>
        <v>0</v>
      </c>
      <c r="AO93" s="36" t="n">
        <f aca="false">SUM(O93:Z93)</f>
        <v>0</v>
      </c>
      <c r="AP93" s="36" t="n">
        <f aca="false">SUM(AA93:AL93)</f>
        <v>0</v>
      </c>
    </row>
    <row r="94" customFormat="false" ht="15" hidden="false" customHeight="false" outlineLevel="0" collapsed="false">
      <c r="A94" s="0" t="s">
        <v>900</v>
      </c>
      <c r="B94" s="0" t="s">
        <v>852</v>
      </c>
      <c r="C94" s="14" t="n">
        <f aca="false">(C92+C93)</f>
        <v>0</v>
      </c>
      <c r="D94" s="14" t="n">
        <f aca="false">(D92+D93)</f>
        <v>0</v>
      </c>
      <c r="E94" s="14" t="n">
        <f aca="false">(E92+E93)</f>
        <v>0</v>
      </c>
      <c r="F94" s="14" t="n">
        <f aca="false">(F92+F93)</f>
        <v>0</v>
      </c>
      <c r="G94" s="14" t="n">
        <f aca="false">(G92+G93)</f>
        <v>0</v>
      </c>
      <c r="H94" s="14" t="n">
        <f aca="false">(H92+H93)</f>
        <v>0</v>
      </c>
      <c r="I94" s="14" t="n">
        <f aca="false">(I92+I93)</f>
        <v>0</v>
      </c>
      <c r="J94" s="14" t="n">
        <f aca="false">(J92+J93)</f>
        <v>0</v>
      </c>
      <c r="K94" s="14" t="n">
        <f aca="false">(K92+K93)</f>
        <v>0</v>
      </c>
      <c r="L94" s="14" t="n">
        <f aca="false">(L92+L93)</f>
        <v>0</v>
      </c>
      <c r="M94" s="14" t="n">
        <f aca="false">(M92+M93)</f>
        <v>0</v>
      </c>
      <c r="N94" s="14" t="n">
        <f aca="false">(N92+N93)</f>
        <v>0</v>
      </c>
      <c r="O94" s="14" t="n">
        <f aca="false">(O92+O93)</f>
        <v>0</v>
      </c>
      <c r="P94" s="14" t="n">
        <f aca="false">(P92+P93)</f>
        <v>0</v>
      </c>
      <c r="Q94" s="14" t="n">
        <f aca="false">(Q92+Q93)</f>
        <v>0</v>
      </c>
      <c r="R94" s="14" t="n">
        <f aca="false">(R92+R93)</f>
        <v>0</v>
      </c>
      <c r="S94" s="14" t="n">
        <f aca="false">(S92+S93)</f>
        <v>0</v>
      </c>
      <c r="T94" s="14" t="n">
        <f aca="false">(T92+T93)</f>
        <v>0</v>
      </c>
      <c r="U94" s="14" t="n">
        <f aca="false">(U92+U93)</f>
        <v>0</v>
      </c>
      <c r="V94" s="14" t="n">
        <f aca="false">(V92+V93)</f>
        <v>0</v>
      </c>
      <c r="W94" s="14" t="n">
        <f aca="false">(W92+W93)</f>
        <v>0</v>
      </c>
      <c r="X94" s="14" t="n">
        <f aca="false">(X92+X93)</f>
        <v>0</v>
      </c>
      <c r="Y94" s="14" t="n">
        <f aca="false">(Y92+Y93)</f>
        <v>0</v>
      </c>
      <c r="Z94" s="14" t="n">
        <f aca="false">(Z92+Z93)</f>
        <v>0</v>
      </c>
      <c r="AA94" s="14" t="n">
        <f aca="false">(AA92+AA93)</f>
        <v>0</v>
      </c>
      <c r="AB94" s="14" t="n">
        <f aca="false">(AB92+AB93)</f>
        <v>0</v>
      </c>
      <c r="AC94" s="14" t="n">
        <f aca="false">(AC92+AC93)</f>
        <v>0</v>
      </c>
      <c r="AD94" s="14" t="n">
        <f aca="false">(AD92+AD93)</f>
        <v>0</v>
      </c>
      <c r="AE94" s="14" t="n">
        <f aca="false">(AE92+AE93)</f>
        <v>0</v>
      </c>
      <c r="AF94" s="14" t="n">
        <f aca="false">(AF92+AF93)</f>
        <v>0</v>
      </c>
      <c r="AG94" s="14" t="n">
        <f aca="false">(AG92+AG93)</f>
        <v>0</v>
      </c>
      <c r="AH94" s="14" t="n">
        <f aca="false">(AH92+AH93)</f>
        <v>0</v>
      </c>
      <c r="AI94" s="14" t="n">
        <f aca="false">(AI92+AI93)</f>
        <v>0</v>
      </c>
      <c r="AJ94" s="14" t="n">
        <f aca="false">(AJ92+AJ93)</f>
        <v>0</v>
      </c>
      <c r="AK94" s="14" t="n">
        <f aca="false">(AK92+AK93)</f>
        <v>0</v>
      </c>
      <c r="AL94" s="14" t="n">
        <f aca="false">(AL92+AL93)</f>
        <v>1</v>
      </c>
      <c r="AN94" s="36" t="n">
        <f aca="false">SUM(C94:N94)</f>
        <v>0</v>
      </c>
      <c r="AO94" s="36" t="n">
        <f aca="false">SUM(O94:Z94)</f>
        <v>0</v>
      </c>
      <c r="AP94" s="36" t="n">
        <f aca="false">SUM(AA94:AL94)</f>
        <v>1</v>
      </c>
    </row>
    <row r="95" customFormat="false" ht="15" hidden="false" customHeight="false" outlineLevel="0" collapsed="false">
      <c r="A95" s="0" t="s">
        <v>901</v>
      </c>
      <c r="B95" s="0" t="s">
        <v>852</v>
      </c>
      <c r="C95" s="14" t="n">
        <f aca="false">((IF(OR((C$18-(Assumptions!$C$9-1)-$C$9)&lt;1,(C$18-(Assumptions!$C$9-1)-$C$9)&gt;36),0,INDEX(Schedules!$C$10:$AL$10,(C$18-(Assumptions!$C$9-1)-$C$9)))*$C$7)*C44)</f>
        <v>0</v>
      </c>
      <c r="D95" s="14" t="n">
        <f aca="false">((IF(OR((D$18-(Assumptions!$C$9-1)-$C$9)&lt;1,(D$18-(Assumptions!$C$9-1)-$C$9)&gt;36),0,INDEX(Schedules!$C$10:$AL$10,(D$18-(Assumptions!$C$9-1)-$C$9)))*$C$7)*D44)</f>
        <v>0</v>
      </c>
      <c r="E95" s="14" t="n">
        <f aca="false">((IF(OR((E$18-(Assumptions!$C$9-1)-$C$9)&lt;1,(E$18-(Assumptions!$C$9-1)-$C$9)&gt;36),0,INDEX(Schedules!$C$10:$AL$10,(E$18-(Assumptions!$C$9-1)-$C$9)))*$C$7)*E44)</f>
        <v>0</v>
      </c>
      <c r="F95" s="14" t="n">
        <f aca="false">((IF(OR((F$18-(Assumptions!$C$9-1)-$C$9)&lt;1,(F$18-(Assumptions!$C$9-1)-$C$9)&gt;36),0,INDEX(Schedules!$C$10:$AL$10,(F$18-(Assumptions!$C$9-1)-$C$9)))*$C$7)*F44)</f>
        <v>0</v>
      </c>
      <c r="G95" s="14" t="n">
        <f aca="false">((IF(OR((G$18-(Assumptions!$C$9-1)-$C$9)&lt;1,(G$18-(Assumptions!$C$9-1)-$C$9)&gt;36),0,INDEX(Schedules!$C$10:$AL$10,(G$18-(Assumptions!$C$9-1)-$C$9)))*$C$7)*G44)</f>
        <v>0</v>
      </c>
      <c r="H95" s="14" t="n">
        <f aca="false">((IF(OR((H$18-(Assumptions!$C$9-1)-$C$9)&lt;1,(H$18-(Assumptions!$C$9-1)-$C$9)&gt;36),0,INDEX(Schedules!$C$10:$AL$10,(H$18-(Assumptions!$C$9-1)-$C$9)))*$C$7)*H44)</f>
        <v>0</v>
      </c>
      <c r="I95" s="14" t="n">
        <f aca="false">((IF(OR((I$18-(Assumptions!$C$9-1)-$C$9)&lt;1,(I$18-(Assumptions!$C$9-1)-$C$9)&gt;36),0,INDEX(Schedules!$C$10:$AL$10,(I$18-(Assumptions!$C$9-1)-$C$9)))*$C$7)*I44)</f>
        <v>0</v>
      </c>
      <c r="J95" s="14" t="n">
        <f aca="false">((IF(OR((J$18-(Assumptions!$C$9-1)-$C$9)&lt;1,(J$18-(Assumptions!$C$9-1)-$C$9)&gt;36),0,INDEX(Schedules!$C$10:$AL$10,(J$18-(Assumptions!$C$9-1)-$C$9)))*$C$7)*J44)</f>
        <v>0</v>
      </c>
      <c r="K95" s="14" t="n">
        <f aca="false">((IF(OR((K$18-(Assumptions!$C$9-1)-$C$9)&lt;1,(K$18-(Assumptions!$C$9-1)-$C$9)&gt;36),0,INDEX(Schedules!$C$10:$AL$10,(K$18-(Assumptions!$C$9-1)-$C$9)))*$C$7)*K44)</f>
        <v>0</v>
      </c>
      <c r="L95" s="14" t="n">
        <f aca="false">((IF(OR((L$18-(Assumptions!$C$9-1)-$C$9)&lt;1,(L$18-(Assumptions!$C$9-1)-$C$9)&gt;36),0,INDEX(Schedules!$C$10:$AL$10,(L$18-(Assumptions!$C$9-1)-$C$9)))*$C$7)*L44)</f>
        <v>0</v>
      </c>
      <c r="M95" s="14" t="n">
        <f aca="false">((IF(OR((M$18-(Assumptions!$C$9-1)-$C$9)&lt;1,(M$18-(Assumptions!$C$9-1)-$C$9)&gt;36),0,INDEX(Schedules!$C$10:$AL$10,(M$18-(Assumptions!$C$9-1)-$C$9)))*$C$7)*M44)</f>
        <v>0</v>
      </c>
      <c r="N95" s="14" t="n">
        <f aca="false">((IF(OR((N$18-(Assumptions!$C$9-1)-$C$9)&lt;1,(N$18-(Assumptions!$C$9-1)-$C$9)&gt;36),0,INDEX(Schedules!$C$10:$AL$10,(N$18-(Assumptions!$C$9-1)-$C$9)))*$C$7)*N44)</f>
        <v>0</v>
      </c>
      <c r="O95" s="14" t="n">
        <f aca="false">((IF(OR((O$18-(Assumptions!$C$9-1)-$C$9)&lt;1,(O$18-(Assumptions!$C$9-1)-$C$9)&gt;36),0,INDEX(Schedules!$C$10:$AL$10,(O$18-(Assumptions!$C$9-1)-$C$9)))*$C$7)*O44)</f>
        <v>0</v>
      </c>
      <c r="P95" s="14" t="n">
        <f aca="false">((IF(OR((P$18-(Assumptions!$C$9-1)-$C$9)&lt;1,(P$18-(Assumptions!$C$9-1)-$C$9)&gt;36),0,INDEX(Schedules!$C$10:$AL$10,(P$18-(Assumptions!$C$9-1)-$C$9)))*$C$7)*P44)</f>
        <v>0</v>
      </c>
      <c r="Q95" s="14" t="n">
        <f aca="false">((IF(OR((Q$18-(Assumptions!$C$9-1)-$C$9)&lt;1,(Q$18-(Assumptions!$C$9-1)-$C$9)&gt;36),0,INDEX(Schedules!$C$10:$AL$10,(Q$18-(Assumptions!$C$9-1)-$C$9)))*$C$7)*Q44)</f>
        <v>0</v>
      </c>
      <c r="R95" s="14" t="n">
        <f aca="false">((IF(OR((R$18-(Assumptions!$C$9-1)-$C$9)&lt;1,(R$18-(Assumptions!$C$9-1)-$C$9)&gt;36),0,INDEX(Schedules!$C$10:$AL$10,(R$18-(Assumptions!$C$9-1)-$C$9)))*$C$7)*R44)</f>
        <v>0</v>
      </c>
      <c r="S95" s="14" t="n">
        <f aca="false">((IF(OR((S$18-(Assumptions!$C$9-1)-$C$9)&lt;1,(S$18-(Assumptions!$C$9-1)-$C$9)&gt;36),0,INDEX(Schedules!$C$10:$AL$10,(S$18-(Assumptions!$C$9-1)-$C$9)))*$C$7)*S44)</f>
        <v>0</v>
      </c>
      <c r="T95" s="14" t="n">
        <f aca="false">((IF(OR((T$18-(Assumptions!$C$9-1)-$C$9)&lt;1,(T$18-(Assumptions!$C$9-1)-$C$9)&gt;36),0,INDEX(Schedules!$C$10:$AL$10,(T$18-(Assumptions!$C$9-1)-$C$9)))*$C$7)*T44)</f>
        <v>0</v>
      </c>
      <c r="U95" s="14" t="n">
        <f aca="false">((IF(OR((U$18-(Assumptions!$C$9-1)-$C$9)&lt;1,(U$18-(Assumptions!$C$9-1)-$C$9)&gt;36),0,INDEX(Schedules!$C$10:$AL$10,(U$18-(Assumptions!$C$9-1)-$C$9)))*$C$7)*U44)</f>
        <v>0</v>
      </c>
      <c r="V95" s="14" t="n">
        <f aca="false">((IF(OR((V$18-(Assumptions!$C$9-1)-$C$9)&lt;1,(V$18-(Assumptions!$C$9-1)-$C$9)&gt;36),0,INDEX(Schedules!$C$10:$AL$10,(V$18-(Assumptions!$C$9-1)-$C$9)))*$C$7)*V44)</f>
        <v>0</v>
      </c>
      <c r="W95" s="14" t="n">
        <f aca="false">((IF(OR((W$18-(Assumptions!$C$9-1)-$C$9)&lt;1,(W$18-(Assumptions!$C$9-1)-$C$9)&gt;36),0,INDEX(Schedules!$C$10:$AL$10,(W$18-(Assumptions!$C$9-1)-$C$9)))*$C$7)*W44)</f>
        <v>0</v>
      </c>
      <c r="X95" s="14" t="n">
        <f aca="false">((IF(OR((X$18-(Assumptions!$C$9-1)-$C$9)&lt;1,(X$18-(Assumptions!$C$9-1)-$C$9)&gt;36),0,INDEX(Schedules!$C$10:$AL$10,(X$18-(Assumptions!$C$9-1)-$C$9)))*$C$7)*X44)</f>
        <v>0</v>
      </c>
      <c r="Y95" s="14" t="n">
        <f aca="false">((IF(OR((Y$18-(Assumptions!$C$9-1)-$C$9)&lt;1,(Y$18-(Assumptions!$C$9-1)-$C$9)&gt;36),0,INDEX(Schedules!$C$10:$AL$10,(Y$18-(Assumptions!$C$9-1)-$C$9)))*$C$7)*Y44)</f>
        <v>0</v>
      </c>
      <c r="Z95" s="14" t="n">
        <f aca="false">((IF(OR((Z$18-(Assumptions!$C$9-1)-$C$9)&lt;1,(Z$18-(Assumptions!$C$9-1)-$C$9)&gt;36),0,INDEX(Schedules!$C$10:$AL$10,(Z$18-(Assumptions!$C$9-1)-$C$9)))*$C$7)*Z44)</f>
        <v>0</v>
      </c>
      <c r="AA95" s="14" t="n">
        <f aca="false">((IF(OR((AA$18-(Assumptions!$C$9-1)-$C$9)&lt;1,(AA$18-(Assumptions!$C$9-1)-$C$9)&gt;36),0,INDEX(Schedules!$C$10:$AL$10,(AA$18-(Assumptions!$C$9-1)-$C$9)))*$C$7)*AA44)</f>
        <v>0</v>
      </c>
      <c r="AB95" s="14" t="n">
        <f aca="false">((IF(OR((AB$18-(Assumptions!$C$9-1)-$C$9)&lt;1,(AB$18-(Assumptions!$C$9-1)-$C$9)&gt;36),0,INDEX(Schedules!$C$10:$AL$10,(AB$18-(Assumptions!$C$9-1)-$C$9)))*$C$7)*AB44)</f>
        <v>0</v>
      </c>
      <c r="AC95" s="14" t="n">
        <f aca="false">((IF(OR((AC$18-(Assumptions!$C$9-1)-$C$9)&lt;1,(AC$18-(Assumptions!$C$9-1)-$C$9)&gt;36),0,INDEX(Schedules!$C$10:$AL$10,(AC$18-(Assumptions!$C$9-1)-$C$9)))*$C$7)*AC44)</f>
        <v>0</v>
      </c>
      <c r="AD95" s="14" t="n">
        <f aca="false">((IF(OR((AD$18-(Assumptions!$C$9-1)-$C$9)&lt;1,(AD$18-(Assumptions!$C$9-1)-$C$9)&gt;36),0,INDEX(Schedules!$C$10:$AL$10,(AD$18-(Assumptions!$C$9-1)-$C$9)))*$C$7)*AD44)</f>
        <v>0</v>
      </c>
      <c r="AE95" s="14" t="n">
        <f aca="false">((IF(OR((AE$18-(Assumptions!$C$9-1)-$C$9)&lt;1,(AE$18-(Assumptions!$C$9-1)-$C$9)&gt;36),0,INDEX(Schedules!$C$10:$AL$10,(AE$18-(Assumptions!$C$9-1)-$C$9)))*$C$7)*AE44)</f>
        <v>0</v>
      </c>
      <c r="AF95" s="14" t="n">
        <f aca="false">((IF(OR((AF$18-(Assumptions!$C$9-1)-$C$9)&lt;1,(AF$18-(Assumptions!$C$9-1)-$C$9)&gt;36),0,INDEX(Schedules!$C$10:$AL$10,(AF$18-(Assumptions!$C$9-1)-$C$9)))*$C$7)*AF44)</f>
        <v>0</v>
      </c>
      <c r="AG95" s="14" t="n">
        <f aca="false">((IF(OR((AG$18-(Assumptions!$C$9-1)-$C$9)&lt;1,(AG$18-(Assumptions!$C$9-1)-$C$9)&gt;36),0,INDEX(Schedules!$C$10:$AL$10,(AG$18-(Assumptions!$C$9-1)-$C$9)))*$C$7)*AG44)</f>
        <v>0</v>
      </c>
      <c r="AH95" s="14" t="n">
        <f aca="false">((IF(OR((AH$18-(Assumptions!$C$9-1)-$C$9)&lt;1,(AH$18-(Assumptions!$C$9-1)-$C$9)&gt;36),0,INDEX(Schedules!$C$10:$AL$10,(AH$18-(Assumptions!$C$9-1)-$C$9)))*$C$7)*AH44)</f>
        <v>0</v>
      </c>
      <c r="AI95" s="14" t="n">
        <f aca="false">((IF(OR((AI$18-(Assumptions!$C$9-1)-$C$9)&lt;1,(AI$18-(Assumptions!$C$9-1)-$C$9)&gt;36),0,INDEX(Schedules!$C$10:$AL$10,(AI$18-(Assumptions!$C$9-1)-$C$9)))*$C$7)*AI44)</f>
        <v>0</v>
      </c>
      <c r="AJ95" s="14" t="n">
        <f aca="false">((IF(OR((AJ$18-(Assumptions!$C$9-1)-$C$9)&lt;1,(AJ$18-(Assumptions!$C$9-1)-$C$9)&gt;36),0,INDEX(Schedules!$C$10:$AL$10,(AJ$18-(Assumptions!$C$9-1)-$C$9)))*$C$7)*AJ44)</f>
        <v>0</v>
      </c>
      <c r="AK95" s="14" t="n">
        <f aca="false">((IF(OR((AK$18-(Assumptions!$C$9-1)-$C$9)&lt;1,(AK$18-(Assumptions!$C$9-1)-$C$9)&gt;36),0,INDEX(Schedules!$C$10:$AL$10,(AK$18-(Assumptions!$C$9-1)-$C$9)))*$C$7)*AK44)</f>
        <v>0</v>
      </c>
      <c r="AL95" s="14" t="n">
        <f aca="false">((IF(OR((AL$18-(Assumptions!$C$9-1)-$C$9)&lt;1,(AL$18-(Assumptions!$C$9-1)-$C$9)&gt;36),0,INDEX(Schedules!$C$10:$AL$10,(AL$18-(Assumptions!$C$9-1)-$C$9)))*$C$7)*AL44)</f>
        <v>0</v>
      </c>
      <c r="AN95" s="36" t="n">
        <f aca="false">SUM(C95:N95)</f>
        <v>0</v>
      </c>
      <c r="AO95" s="36" t="n">
        <f aca="false">SUM(O95:Z95)</f>
        <v>0</v>
      </c>
      <c r="AP95" s="36" t="n">
        <f aca="false">SUM(AA95:AL95)</f>
        <v>0</v>
      </c>
    </row>
    <row r="96" customFormat="false" ht="15" hidden="false" customHeight="false" outlineLevel="0" collapsed="false">
      <c r="A96" s="0" t="s">
        <v>902</v>
      </c>
      <c r="B96" s="0" t="s">
        <v>852</v>
      </c>
      <c r="C96" s="14" t="n">
        <f aca="false">(C92+C95)</f>
        <v>0</v>
      </c>
      <c r="D96" s="14" t="n">
        <f aca="false">(D92+D95)</f>
        <v>0</v>
      </c>
      <c r="E96" s="14" t="n">
        <f aca="false">(E92+E95)</f>
        <v>0</v>
      </c>
      <c r="F96" s="14" t="n">
        <f aca="false">(F92+F95)</f>
        <v>0</v>
      </c>
      <c r="G96" s="14" t="n">
        <f aca="false">(G92+G95)</f>
        <v>0</v>
      </c>
      <c r="H96" s="14" t="n">
        <f aca="false">(H92+H95)</f>
        <v>0</v>
      </c>
      <c r="I96" s="14" t="n">
        <f aca="false">(I92+I95)</f>
        <v>0</v>
      </c>
      <c r="J96" s="14" t="n">
        <f aca="false">(J92+J95)</f>
        <v>0</v>
      </c>
      <c r="K96" s="14" t="n">
        <f aca="false">(K92+K95)</f>
        <v>0</v>
      </c>
      <c r="L96" s="14" t="n">
        <f aca="false">(L92+L95)</f>
        <v>0</v>
      </c>
      <c r="M96" s="14" t="n">
        <f aca="false">(M92+M95)</f>
        <v>0</v>
      </c>
      <c r="N96" s="14" t="n">
        <f aca="false">(N92+N95)</f>
        <v>0</v>
      </c>
      <c r="O96" s="14" t="n">
        <f aca="false">(O92+O95)</f>
        <v>0</v>
      </c>
      <c r="P96" s="14" t="n">
        <f aca="false">(P92+P95)</f>
        <v>0</v>
      </c>
      <c r="Q96" s="14" t="n">
        <f aca="false">(Q92+Q95)</f>
        <v>0</v>
      </c>
      <c r="R96" s="14" t="n">
        <f aca="false">(R92+R95)</f>
        <v>0</v>
      </c>
      <c r="S96" s="14" t="n">
        <f aca="false">(S92+S95)</f>
        <v>0</v>
      </c>
      <c r="T96" s="14" t="n">
        <f aca="false">(T92+T95)</f>
        <v>0</v>
      </c>
      <c r="U96" s="14" t="n">
        <f aca="false">(U92+U95)</f>
        <v>0</v>
      </c>
      <c r="V96" s="14" t="n">
        <f aca="false">(V92+V95)</f>
        <v>0</v>
      </c>
      <c r="W96" s="14" t="n">
        <f aca="false">(W92+W95)</f>
        <v>0</v>
      </c>
      <c r="X96" s="14" t="n">
        <f aca="false">(X92+X95)</f>
        <v>0</v>
      </c>
      <c r="Y96" s="14" t="n">
        <f aca="false">(Y92+Y95)</f>
        <v>0</v>
      </c>
      <c r="Z96" s="14" t="n">
        <f aca="false">(Z92+Z95)</f>
        <v>0</v>
      </c>
      <c r="AA96" s="14" t="n">
        <f aca="false">(AA92+AA95)</f>
        <v>0</v>
      </c>
      <c r="AB96" s="14" t="n">
        <f aca="false">(AB92+AB95)</f>
        <v>0</v>
      </c>
      <c r="AC96" s="14" t="n">
        <f aca="false">(AC92+AC95)</f>
        <v>0</v>
      </c>
      <c r="AD96" s="14" t="n">
        <f aca="false">(AD92+AD95)</f>
        <v>0</v>
      </c>
      <c r="AE96" s="14" t="n">
        <f aca="false">(AE92+AE95)</f>
        <v>0</v>
      </c>
      <c r="AF96" s="14" t="n">
        <f aca="false">(AF92+AF95)</f>
        <v>0</v>
      </c>
      <c r="AG96" s="14" t="n">
        <f aca="false">(AG92+AG95)</f>
        <v>0</v>
      </c>
      <c r="AH96" s="14" t="n">
        <f aca="false">(AH92+AH95)</f>
        <v>0</v>
      </c>
      <c r="AI96" s="14" t="n">
        <f aca="false">(AI92+AI95)</f>
        <v>0</v>
      </c>
      <c r="AJ96" s="14" t="n">
        <f aca="false">(AJ92+AJ95)</f>
        <v>0</v>
      </c>
      <c r="AK96" s="14" t="n">
        <f aca="false">(AK92+AK95)</f>
        <v>0</v>
      </c>
      <c r="AL96" s="14" t="n">
        <f aca="false">(AL92+AL95)</f>
        <v>1</v>
      </c>
      <c r="AN96" s="36" t="n">
        <f aca="false">SUM(C96:N96)</f>
        <v>0</v>
      </c>
      <c r="AO96" s="36" t="n">
        <f aca="false">SUM(O96:Z96)</f>
        <v>0</v>
      </c>
      <c r="AP96" s="36" t="n">
        <f aca="false">SUM(AA96:AL96)</f>
        <v>1</v>
      </c>
    </row>
    <row r="97" customFormat="false" ht="15" hidden="false" customHeight="false" outlineLevel="0" collapsed="false">
      <c r="A97" s="0" t="s">
        <v>903</v>
      </c>
      <c r="B97" s="0" t="s">
        <v>852</v>
      </c>
      <c r="C97" s="14" t="n">
        <f aca="false">C94</f>
        <v>0</v>
      </c>
      <c r="D97" s="14" t="n">
        <f aca="false">SUM(C94:D94)</f>
        <v>0</v>
      </c>
      <c r="E97" s="14" t="n">
        <f aca="false">SUM(C94:E94)</f>
        <v>0</v>
      </c>
      <c r="F97" s="14" t="n">
        <f aca="false">SUM(C94:F94)</f>
        <v>0</v>
      </c>
      <c r="G97" s="14" t="n">
        <f aca="false">SUM(C94:G94)</f>
        <v>0</v>
      </c>
      <c r="H97" s="14" t="n">
        <f aca="false">SUM(C94:H94)</f>
        <v>0</v>
      </c>
      <c r="I97" s="14" t="n">
        <f aca="false">SUM(D94:I94)</f>
        <v>0</v>
      </c>
      <c r="J97" s="14" t="n">
        <f aca="false">SUM(E94:J94)</f>
        <v>0</v>
      </c>
      <c r="K97" s="14" t="n">
        <f aca="false">SUM(F94:K94)</f>
        <v>0</v>
      </c>
      <c r="L97" s="14" t="n">
        <f aca="false">SUM(G94:L94)</f>
        <v>0</v>
      </c>
      <c r="M97" s="14" t="n">
        <f aca="false">SUM(H94:M94)</f>
        <v>0</v>
      </c>
      <c r="N97" s="14" t="n">
        <f aca="false">SUM(I94:N94)</f>
        <v>0</v>
      </c>
      <c r="O97" s="14" t="n">
        <f aca="false">SUM(J94:O94)</f>
        <v>0</v>
      </c>
      <c r="P97" s="14" t="n">
        <f aca="false">SUM(K94:P94)</f>
        <v>0</v>
      </c>
      <c r="Q97" s="14" t="n">
        <f aca="false">SUM(L94:Q94)</f>
        <v>0</v>
      </c>
      <c r="R97" s="14" t="n">
        <f aca="false">SUM(M94:R94)</f>
        <v>0</v>
      </c>
      <c r="S97" s="14" t="n">
        <f aca="false">SUM(N94:S94)</f>
        <v>0</v>
      </c>
      <c r="T97" s="14" t="n">
        <f aca="false">SUM(O94:T94)</f>
        <v>0</v>
      </c>
      <c r="U97" s="14" t="n">
        <f aca="false">SUM(P94:U94)</f>
        <v>0</v>
      </c>
      <c r="V97" s="14" t="n">
        <f aca="false">SUM(Q94:V94)</f>
        <v>0</v>
      </c>
      <c r="W97" s="14" t="n">
        <f aca="false">SUM(R94:W94)</f>
        <v>0</v>
      </c>
      <c r="X97" s="14" t="n">
        <f aca="false">SUM(S94:X94)</f>
        <v>0</v>
      </c>
      <c r="Y97" s="14" t="n">
        <f aca="false">SUM(T94:Y94)</f>
        <v>0</v>
      </c>
      <c r="Z97" s="14" t="n">
        <f aca="false">SUM(U94:Z94)</f>
        <v>0</v>
      </c>
      <c r="AA97" s="14" t="n">
        <f aca="false">SUM(V94:AA94)</f>
        <v>0</v>
      </c>
      <c r="AB97" s="14" t="n">
        <f aca="false">SUM(W94:AB94)</f>
        <v>0</v>
      </c>
      <c r="AC97" s="14" t="n">
        <f aca="false">SUM(X94:AC94)</f>
        <v>0</v>
      </c>
      <c r="AD97" s="14" t="n">
        <f aca="false">SUM(Y94:AD94)</f>
        <v>0</v>
      </c>
      <c r="AE97" s="14" t="n">
        <f aca="false">SUM(Z94:AE94)</f>
        <v>0</v>
      </c>
      <c r="AF97" s="14" t="n">
        <f aca="false">SUM(AA94:AF94)</f>
        <v>0</v>
      </c>
      <c r="AG97" s="14" t="n">
        <f aca="false">SUM(AB94:AG94)</f>
        <v>0</v>
      </c>
      <c r="AH97" s="14" t="n">
        <f aca="false">SUM(AC94:AH94)</f>
        <v>0</v>
      </c>
      <c r="AI97" s="14" t="n">
        <f aca="false">SUM(AD94:AI94)</f>
        <v>0</v>
      </c>
      <c r="AJ97" s="14" t="n">
        <f aca="false">SUM(AE94:AJ94)</f>
        <v>0</v>
      </c>
      <c r="AK97" s="14" t="n">
        <f aca="false">SUM(AF94:AK94)</f>
        <v>0</v>
      </c>
      <c r="AL97" s="14" t="n">
        <f aca="false">SUM(AG94:AL94)</f>
        <v>1</v>
      </c>
      <c r="AN97" s="36" t="n">
        <f aca="false">N97</f>
        <v>0</v>
      </c>
      <c r="AO97" s="36" t="n">
        <f aca="false">Z97</f>
        <v>0</v>
      </c>
      <c r="AP97" s="36" t="n">
        <f aca="false">AL97</f>
        <v>1</v>
      </c>
    </row>
    <row r="98" customFormat="false" ht="15" hidden="false" customHeight="false" outlineLevel="0" collapsed="false">
      <c r="A98" s="0" t="s">
        <v>904</v>
      </c>
      <c r="B98" s="0" t="s">
        <v>852</v>
      </c>
      <c r="C98" s="14" t="n">
        <f aca="false">C92</f>
        <v>0</v>
      </c>
      <c r="D98" s="14" t="n">
        <f aca="false">SUM(C92:D92)</f>
        <v>0</v>
      </c>
      <c r="E98" s="14" t="n">
        <f aca="false">SUM(C92:E92)</f>
        <v>0</v>
      </c>
      <c r="F98" s="14" t="n">
        <f aca="false">SUM(C92:F92)</f>
        <v>0</v>
      </c>
      <c r="G98" s="14" t="n">
        <f aca="false">SUM(C92:G92)</f>
        <v>0</v>
      </c>
      <c r="H98" s="14" t="n">
        <f aca="false">SUM(C92:H92)</f>
        <v>0</v>
      </c>
      <c r="I98" s="14" t="n">
        <f aca="false">SUM(D92:I92)</f>
        <v>0</v>
      </c>
      <c r="J98" s="14" t="n">
        <f aca="false">SUM(E92:J92)</f>
        <v>0</v>
      </c>
      <c r="K98" s="14" t="n">
        <f aca="false">SUM(F92:K92)</f>
        <v>0</v>
      </c>
      <c r="L98" s="14" t="n">
        <f aca="false">SUM(G92:L92)</f>
        <v>0</v>
      </c>
      <c r="M98" s="14" t="n">
        <f aca="false">SUM(H92:M92)</f>
        <v>0</v>
      </c>
      <c r="N98" s="14" t="n">
        <f aca="false">SUM(I92:N92)</f>
        <v>0</v>
      </c>
      <c r="O98" s="14" t="n">
        <f aca="false">SUM(J92:O92)</f>
        <v>0</v>
      </c>
      <c r="P98" s="14" t="n">
        <f aca="false">SUM(K92:P92)</f>
        <v>0</v>
      </c>
      <c r="Q98" s="14" t="n">
        <f aca="false">SUM(L92:Q92)</f>
        <v>0</v>
      </c>
      <c r="R98" s="14" t="n">
        <f aca="false">SUM(M92:R92)</f>
        <v>0</v>
      </c>
      <c r="S98" s="14" t="n">
        <f aca="false">SUM(N92:S92)</f>
        <v>0</v>
      </c>
      <c r="T98" s="14" t="n">
        <f aca="false">SUM(O92:T92)</f>
        <v>0</v>
      </c>
      <c r="U98" s="14" t="n">
        <f aca="false">SUM(P92:U92)</f>
        <v>0</v>
      </c>
      <c r="V98" s="14" t="n">
        <f aca="false">SUM(Q92:V92)</f>
        <v>0</v>
      </c>
      <c r="W98" s="14" t="n">
        <f aca="false">SUM(R92:W92)</f>
        <v>0</v>
      </c>
      <c r="X98" s="14" t="n">
        <f aca="false">SUM(S92:X92)</f>
        <v>0</v>
      </c>
      <c r="Y98" s="14" t="n">
        <f aca="false">SUM(T92:Y92)</f>
        <v>0</v>
      </c>
      <c r="Z98" s="14" t="n">
        <f aca="false">SUM(U92:Z92)</f>
        <v>0</v>
      </c>
      <c r="AA98" s="14" t="n">
        <f aca="false">SUM(V92:AA92)</f>
        <v>0</v>
      </c>
      <c r="AB98" s="14" t="n">
        <f aca="false">SUM(W92:AB92)</f>
        <v>0</v>
      </c>
      <c r="AC98" s="14" t="n">
        <f aca="false">SUM(X92:AC92)</f>
        <v>0</v>
      </c>
      <c r="AD98" s="14" t="n">
        <f aca="false">SUM(Y92:AD92)</f>
        <v>0</v>
      </c>
      <c r="AE98" s="14" t="n">
        <f aca="false">SUM(Z92:AE92)</f>
        <v>0</v>
      </c>
      <c r="AF98" s="14" t="n">
        <f aca="false">SUM(AA92:AF92)</f>
        <v>0</v>
      </c>
      <c r="AG98" s="14" t="n">
        <f aca="false">SUM(AB92:AG92)</f>
        <v>0</v>
      </c>
      <c r="AH98" s="14" t="n">
        <f aca="false">SUM(AC92:AH92)</f>
        <v>0</v>
      </c>
      <c r="AI98" s="14" t="n">
        <f aca="false">SUM(AD92:AI92)</f>
        <v>0</v>
      </c>
      <c r="AJ98" s="14" t="n">
        <f aca="false">SUM(AE92:AJ92)</f>
        <v>0</v>
      </c>
      <c r="AK98" s="14" t="n">
        <f aca="false">SUM(AF92:AK92)</f>
        <v>0</v>
      </c>
      <c r="AL98" s="14" t="n">
        <f aca="false">SUM(AG92:AL92)</f>
        <v>1</v>
      </c>
      <c r="AN98" s="36" t="n">
        <f aca="false">N98</f>
        <v>0</v>
      </c>
      <c r="AO98" s="36" t="n">
        <f aca="false">Z98</f>
        <v>0</v>
      </c>
      <c r="AP98" s="36" t="n">
        <f aca="false">AL98</f>
        <v>1</v>
      </c>
    </row>
    <row r="99" customFormat="false" ht="15" hidden="false" customHeight="false" outlineLevel="0" collapsed="false">
      <c r="A99" s="0" t="s">
        <v>905</v>
      </c>
      <c r="B99" s="0" t="s">
        <v>852</v>
      </c>
      <c r="C99" s="14" t="n">
        <f aca="false">((Assumptions!$E$127*$C$8)*0)</f>
        <v>0</v>
      </c>
      <c r="D99" s="14" t="n">
        <f aca="false">((Assumptions!$E$127*$C$8)*0)</f>
        <v>0</v>
      </c>
      <c r="E99" s="14" t="n">
        <f aca="false">((Assumptions!$E$127*$C$8)*0)</f>
        <v>0</v>
      </c>
      <c r="F99" s="14" t="n">
        <f aca="false">((Assumptions!$E$127*$C$8)*0)</f>
        <v>0</v>
      </c>
      <c r="G99" s="14" t="n">
        <f aca="false">((Assumptions!$E$127*$C$8)*0)</f>
        <v>0</v>
      </c>
      <c r="H99" s="14" t="n">
        <f aca="false">((Assumptions!$E$127*$C$8)*0)</f>
        <v>0</v>
      </c>
      <c r="I99" s="14" t="n">
        <f aca="false">((Assumptions!$E$127*$C$8)*0)</f>
        <v>0</v>
      </c>
      <c r="J99" s="14" t="n">
        <f aca="false">((Assumptions!$E$127*$C$8)*C92)</f>
        <v>0</v>
      </c>
      <c r="K99" s="14" t="n">
        <f aca="false">((Assumptions!$E$127*$C$8)*D92)</f>
        <v>0</v>
      </c>
      <c r="L99" s="14" t="n">
        <f aca="false">((Assumptions!$E$127*$C$8)*E92)</f>
        <v>0</v>
      </c>
      <c r="M99" s="14" t="n">
        <f aca="false">((Assumptions!$E$127*$C$8)*F92)</f>
        <v>0</v>
      </c>
      <c r="N99" s="14" t="n">
        <f aca="false">((Assumptions!$E$127*$C$8)*G92)</f>
        <v>0</v>
      </c>
      <c r="O99" s="14" t="n">
        <f aca="false">((Assumptions!$E$127*$C$8)*H92)</f>
        <v>0</v>
      </c>
      <c r="P99" s="14" t="n">
        <f aca="false">((Assumptions!$E$127*$C$8)*I92)</f>
        <v>0</v>
      </c>
      <c r="Q99" s="14" t="n">
        <f aca="false">((Assumptions!$E$127*$C$8)*J92)</f>
        <v>0</v>
      </c>
      <c r="R99" s="14" t="n">
        <f aca="false">((Assumptions!$E$127*$C$8)*K92)</f>
        <v>0</v>
      </c>
      <c r="S99" s="14" t="n">
        <f aca="false">((Assumptions!$E$127*$C$8)*L92)</f>
        <v>0</v>
      </c>
      <c r="T99" s="14" t="n">
        <f aca="false">((Assumptions!$E$127*$C$8)*M92)</f>
        <v>0</v>
      </c>
      <c r="U99" s="14" t="n">
        <f aca="false">((Assumptions!$E$127*$C$8)*N92)</f>
        <v>0</v>
      </c>
      <c r="V99" s="14" t="n">
        <f aca="false">((Assumptions!$E$127*$C$8)*O92)</f>
        <v>0</v>
      </c>
      <c r="W99" s="14" t="n">
        <f aca="false">((Assumptions!$E$127*$C$8)*P92)</f>
        <v>0</v>
      </c>
      <c r="X99" s="14" t="n">
        <f aca="false">((Assumptions!$E$127*$C$8)*Q92)</f>
        <v>0</v>
      </c>
      <c r="Y99" s="14" t="n">
        <f aca="false">((Assumptions!$E$127*$C$8)*R92)</f>
        <v>0</v>
      </c>
      <c r="Z99" s="14" t="n">
        <f aca="false">((Assumptions!$E$127*$C$8)*S92)</f>
        <v>0</v>
      </c>
      <c r="AA99" s="14" t="n">
        <f aca="false">((Assumptions!$E$127*$C$8)*T92)</f>
        <v>0</v>
      </c>
      <c r="AB99" s="14" t="n">
        <f aca="false">((Assumptions!$E$127*$C$8)*U92)</f>
        <v>0</v>
      </c>
      <c r="AC99" s="14" t="n">
        <f aca="false">((Assumptions!$E$127*$C$8)*V92)</f>
        <v>0</v>
      </c>
      <c r="AD99" s="14" t="n">
        <f aca="false">((Assumptions!$E$127*$C$8)*W92)</f>
        <v>0</v>
      </c>
      <c r="AE99" s="14" t="n">
        <f aca="false">((Assumptions!$E$127*$C$8)*X92)</f>
        <v>0</v>
      </c>
      <c r="AF99" s="14" t="n">
        <f aca="false">((Assumptions!$E$127*$C$8)*Y92)</f>
        <v>0</v>
      </c>
      <c r="AG99" s="14" t="n">
        <f aca="false">((Assumptions!$E$127*$C$8)*Z92)</f>
        <v>0</v>
      </c>
      <c r="AH99" s="14" t="n">
        <f aca="false">((Assumptions!$E$127*$C$8)*AA92)</f>
        <v>0</v>
      </c>
      <c r="AI99" s="14" t="n">
        <f aca="false">((Assumptions!$E$127*$C$8)*AB92)</f>
        <v>0</v>
      </c>
      <c r="AJ99" s="14" t="n">
        <f aca="false">((Assumptions!$E$127*$C$8)*AC92)</f>
        <v>0</v>
      </c>
      <c r="AK99" s="14" t="n">
        <f aca="false">((Assumptions!$E$127*$C$8)*AD92)</f>
        <v>0</v>
      </c>
      <c r="AL99" s="14" t="n">
        <f aca="false">((Assumptions!$E$127*$C$8)*AE92)</f>
        <v>0</v>
      </c>
      <c r="AN99" s="36" t="n">
        <f aca="false">SUM(C99:N99)</f>
        <v>0</v>
      </c>
      <c r="AO99" s="36" t="n">
        <f aca="false">SUM(O99:Z99)</f>
        <v>0</v>
      </c>
      <c r="AP99" s="36" t="n">
        <f aca="false">SUM(AA99:AL99)</f>
        <v>0</v>
      </c>
    </row>
    <row r="100" customFormat="false" ht="15" hidden="false" customHeight="false" outlineLevel="0" collapsed="false">
      <c r="A100" s="0" t="s">
        <v>906</v>
      </c>
      <c r="B100" s="0" t="s">
        <v>852</v>
      </c>
      <c r="C100" s="14" t="n">
        <f aca="false">((Assumptions!$C$10*$C$8)*IF((C$18=(Assumptions!$C$9+$C$9)),0,IF((C$18&gt;(Assumptions!$C$9+$C$9)),0,0)))</f>
        <v>0</v>
      </c>
      <c r="D100" s="14" t="n">
        <f aca="false">((Assumptions!$C$10*$C$8)*IF((D$18=(Assumptions!$C$9+$C$9)),0,IF((D$18&gt;(Assumptions!$C$9+$C$9)),0,0)))</f>
        <v>0</v>
      </c>
      <c r="E100" s="14" t="n">
        <f aca="false">((Assumptions!$C$10*$C$8)*IF((E$18=(Assumptions!$C$9+$C$9)),0,IF((E$18&gt;(Assumptions!$C$9+$C$9)),0,0)))</f>
        <v>0</v>
      </c>
      <c r="F100" s="14" t="n">
        <f aca="false">((Assumptions!$C$10*$C$8)*IF((F$18=(Assumptions!$C$9+$C$9)),0,IF((F$18&gt;(Assumptions!$C$9+$C$9)),0,0)))</f>
        <v>0</v>
      </c>
      <c r="G100" s="14" t="n">
        <f aca="false">((Assumptions!$C$10*$C$8)*IF((G$18=(Assumptions!$C$9+$C$9)),0,IF((G$18&gt;(Assumptions!$C$9+$C$9)),0,0)))</f>
        <v>0</v>
      </c>
      <c r="H100" s="14" t="n">
        <f aca="false">((Assumptions!$C$10*$C$8)*IF((H$18=(Assumptions!$C$9+$C$9)),0,IF((H$18&gt;(Assumptions!$C$9+$C$9)),0,0)))</f>
        <v>0</v>
      </c>
      <c r="I100" s="14" t="n">
        <f aca="false">((Assumptions!$C$10*$C$8)*IF((I$18=(Assumptions!$C$9+$C$9)),0,IF((I$18&gt;(Assumptions!$C$9+$C$9)),0,0)))</f>
        <v>0</v>
      </c>
      <c r="J100" s="14" t="n">
        <f aca="false">((Assumptions!$C$10*$C$8)*IF((J$18=(Assumptions!$C$9+$C$9)),C93,IF((J$18&gt;(Assumptions!$C$9+$C$9)),C93,0)))</f>
        <v>0</v>
      </c>
      <c r="K100" s="14" t="n">
        <f aca="false">((Assumptions!$C$10*$C$8)*IF((K$18=(Assumptions!$C$9+$C$9)),SUM(C93:D93),IF((K$18&gt;(Assumptions!$C$9+$C$9)),D93,0)))</f>
        <v>0</v>
      </c>
      <c r="L100" s="14" t="n">
        <f aca="false">((Assumptions!$C$10*$C$8)*IF((L$18=(Assumptions!$C$9+$C$9)),SUM(C93:E93),IF((L$18&gt;(Assumptions!$C$9+$C$9)),E93,0)))</f>
        <v>0</v>
      </c>
      <c r="M100" s="14" t="n">
        <f aca="false">((Assumptions!$C$10*$C$8)*IF((M$18=(Assumptions!$C$9+$C$9)),SUM(C93:F93),IF((M$18&gt;(Assumptions!$C$9+$C$9)),F93,0)))</f>
        <v>0</v>
      </c>
      <c r="N100" s="14" t="n">
        <f aca="false">((Assumptions!$C$10*$C$8)*IF((N$18=(Assumptions!$C$9+$C$9)),SUM(C93:G93),IF((N$18&gt;(Assumptions!$C$9+$C$9)),G93,0)))</f>
        <v>0</v>
      </c>
      <c r="O100" s="14" t="n">
        <f aca="false">((Assumptions!$C$10*$C$8)*IF((O$18=(Assumptions!$C$9+$C$9)),SUM(C93:H93),IF((O$18&gt;(Assumptions!$C$9+$C$9)),H93,0)))</f>
        <v>0</v>
      </c>
      <c r="P100" s="14" t="n">
        <f aca="false">((Assumptions!$C$10*$C$8)*IF((P$18=(Assumptions!$C$9+$C$9)),SUM(C93:I93),IF((P$18&gt;(Assumptions!$C$9+$C$9)),I93,0)))</f>
        <v>0</v>
      </c>
      <c r="Q100" s="14" t="n">
        <f aca="false">((Assumptions!$C$10*$C$8)*IF((Q$18=(Assumptions!$C$9+$C$9)),SUM(C93:J93),IF((Q$18&gt;(Assumptions!$C$9+$C$9)),J93,0)))</f>
        <v>0</v>
      </c>
      <c r="R100" s="14" t="n">
        <f aca="false">((Assumptions!$C$10*$C$8)*IF((R$18=(Assumptions!$C$9+$C$9)),SUM(C93:K93),IF((R$18&gt;(Assumptions!$C$9+$C$9)),K93,0)))</f>
        <v>0</v>
      </c>
      <c r="S100" s="14" t="n">
        <f aca="false">((Assumptions!$C$10*$C$8)*IF((S$18=(Assumptions!$C$9+$C$9)),SUM(C93:L93),IF((S$18&gt;(Assumptions!$C$9+$C$9)),L93,0)))</f>
        <v>0</v>
      </c>
      <c r="T100" s="14" t="n">
        <f aca="false">((Assumptions!$C$10*$C$8)*IF((T$18=(Assumptions!$C$9+$C$9)),SUM(C93:M93),IF((T$18&gt;(Assumptions!$C$9+$C$9)),M93,0)))</f>
        <v>0</v>
      </c>
      <c r="U100" s="14" t="n">
        <f aca="false">((Assumptions!$C$10*$C$8)*IF((U$18=(Assumptions!$C$9+$C$9)),SUM(C93:N93),IF((U$18&gt;(Assumptions!$C$9+$C$9)),N93,0)))</f>
        <v>0</v>
      </c>
      <c r="V100" s="14" t="n">
        <f aca="false">((Assumptions!$C$10*$C$8)*IF((V$18=(Assumptions!$C$9+$C$9)),SUM(C93:O93),IF((V$18&gt;(Assumptions!$C$9+$C$9)),O93,0)))</f>
        <v>0</v>
      </c>
      <c r="W100" s="14" t="n">
        <f aca="false">((Assumptions!$C$10*$C$8)*IF((W$18=(Assumptions!$C$9+$C$9)),SUM(C93:P93),IF((W$18&gt;(Assumptions!$C$9+$C$9)),P93,0)))</f>
        <v>0</v>
      </c>
      <c r="X100" s="14" t="n">
        <f aca="false">((Assumptions!$C$10*$C$8)*IF((X$18=(Assumptions!$C$9+$C$9)),SUM(C93:Q93),IF((X$18&gt;(Assumptions!$C$9+$C$9)),Q93,0)))</f>
        <v>0</v>
      </c>
      <c r="Y100" s="14" t="n">
        <f aca="false">((Assumptions!$C$10*$C$8)*IF((Y$18=(Assumptions!$C$9+$C$9)),SUM(C93:R93),IF((Y$18&gt;(Assumptions!$C$9+$C$9)),R93,0)))</f>
        <v>0</v>
      </c>
      <c r="Z100" s="14" t="n">
        <f aca="false">((Assumptions!$C$10*$C$8)*IF((Z$18=(Assumptions!$C$9+$C$9)),SUM(C93:S93),IF((Z$18&gt;(Assumptions!$C$9+$C$9)),S93,0)))</f>
        <v>0</v>
      </c>
      <c r="AA100" s="14" t="n">
        <f aca="false">((Assumptions!$C$10*$C$8)*IF((AA$18=(Assumptions!$C$9+$C$9)),SUM(C93:T93),IF((AA$18&gt;(Assumptions!$C$9+$C$9)),T93,0)))</f>
        <v>0</v>
      </c>
      <c r="AB100" s="14" t="n">
        <f aca="false">((Assumptions!$C$10*$C$8)*IF((AB$18=(Assumptions!$C$9+$C$9)),SUM(C93:U93),IF((AB$18&gt;(Assumptions!$C$9+$C$9)),U93,0)))</f>
        <v>0</v>
      </c>
      <c r="AC100" s="14" t="n">
        <f aca="false">((Assumptions!$C$10*$C$8)*IF((AC$18=(Assumptions!$C$9+$C$9)),SUM(C93:V93),IF((AC$18&gt;(Assumptions!$C$9+$C$9)),V93,0)))</f>
        <v>0</v>
      </c>
      <c r="AD100" s="14" t="n">
        <f aca="false">((Assumptions!$C$10*$C$8)*IF((AD$18=(Assumptions!$C$9+$C$9)),SUM(C93:W93),IF((AD$18&gt;(Assumptions!$C$9+$C$9)),W93,0)))</f>
        <v>0</v>
      </c>
      <c r="AE100" s="14" t="n">
        <f aca="false">((Assumptions!$C$10*$C$8)*IF((AE$18=(Assumptions!$C$9+$C$9)),SUM(C93:X93),IF((AE$18&gt;(Assumptions!$C$9+$C$9)),X93,0)))</f>
        <v>0</v>
      </c>
      <c r="AF100" s="14" t="n">
        <f aca="false">((Assumptions!$C$10*$C$8)*IF((AF$18=(Assumptions!$C$9+$C$9)),SUM(C93:Y93),IF((AF$18&gt;(Assumptions!$C$9+$C$9)),Y93,0)))</f>
        <v>0</v>
      </c>
      <c r="AG100" s="14" t="n">
        <f aca="false">((Assumptions!$C$10*$C$8)*IF((AG$18=(Assumptions!$C$9+$C$9)),SUM(C93:Z93),IF((AG$18&gt;(Assumptions!$C$9+$C$9)),Z93,0)))</f>
        <v>0</v>
      </c>
      <c r="AH100" s="14" t="n">
        <f aca="false">((Assumptions!$C$10*$C$8)*IF((AH$18=(Assumptions!$C$9+$C$9)),SUM(C93:AA93),IF((AH$18&gt;(Assumptions!$C$9+$C$9)),AA93,0)))</f>
        <v>0</v>
      </c>
      <c r="AI100" s="14" t="n">
        <f aca="false">((Assumptions!$C$10*$C$8)*IF((AI$18=(Assumptions!$C$9+$C$9)),SUM(C93:AB93),IF((AI$18&gt;(Assumptions!$C$9+$C$9)),AB93,0)))</f>
        <v>0</v>
      </c>
      <c r="AJ100" s="14" t="n">
        <f aca="false">((Assumptions!$C$10*$C$8)*IF((AJ$18=(Assumptions!$C$9+$C$9)),SUM(C93:AC93),IF((AJ$18&gt;(Assumptions!$C$9+$C$9)),AC93,0)))</f>
        <v>0</v>
      </c>
      <c r="AK100" s="14" t="n">
        <f aca="false">((Assumptions!$C$10*$C$8)*IF((AK$18=(Assumptions!$C$9+$C$9)),SUM(C93:AD93),IF((AK$18&gt;(Assumptions!$C$9+$C$9)),AD93,0)))</f>
        <v>0</v>
      </c>
      <c r="AL100" s="14" t="n">
        <f aca="false">((Assumptions!$C$10*$C$8)*IF((AL$18=(Assumptions!$C$9+$C$9)),SUM(C93:AE93),IF((AL$18&gt;(Assumptions!$C$9+$C$9)),AE93,0)))</f>
        <v>0</v>
      </c>
      <c r="AN100" s="36" t="n">
        <f aca="false">SUM(C100:N100)</f>
        <v>0</v>
      </c>
      <c r="AO100" s="36" t="n">
        <f aca="false">SUM(O100:Z100)</f>
        <v>0</v>
      </c>
      <c r="AP100" s="36" t="n">
        <f aca="false">SUM(AA100:AL100)</f>
        <v>0</v>
      </c>
    </row>
    <row r="101" customFormat="false" ht="15" hidden="false" customHeight="false" outlineLevel="0" collapsed="false">
      <c r="A101" s="0" t="s">
        <v>907</v>
      </c>
      <c r="B101" s="0" t="s">
        <v>852</v>
      </c>
      <c r="C101" s="14" t="n">
        <f aca="false">((C99+C100)+C95)</f>
        <v>0</v>
      </c>
      <c r="D101" s="14" t="n">
        <f aca="false">((D99+D100)+D95)</f>
        <v>0</v>
      </c>
      <c r="E101" s="14" t="n">
        <f aca="false">((E99+E100)+E95)</f>
        <v>0</v>
      </c>
      <c r="F101" s="14" t="n">
        <f aca="false">((F99+F100)+F95)</f>
        <v>0</v>
      </c>
      <c r="G101" s="14" t="n">
        <f aca="false">((G99+G100)+G95)</f>
        <v>0</v>
      </c>
      <c r="H101" s="14" t="n">
        <f aca="false">((H99+H100)+H95)</f>
        <v>0</v>
      </c>
      <c r="I101" s="14" t="n">
        <f aca="false">((I99+I100)+I95)</f>
        <v>0</v>
      </c>
      <c r="J101" s="14" t="n">
        <f aca="false">((J99+J100)+J95)</f>
        <v>0</v>
      </c>
      <c r="K101" s="14" t="n">
        <f aca="false">((K99+K100)+K95)</f>
        <v>0</v>
      </c>
      <c r="L101" s="14" t="n">
        <f aca="false">((L99+L100)+L95)</f>
        <v>0</v>
      </c>
      <c r="M101" s="14" t="n">
        <f aca="false">((M99+M100)+M95)</f>
        <v>0</v>
      </c>
      <c r="N101" s="14" t="n">
        <f aca="false">((N99+N100)+N95)</f>
        <v>0</v>
      </c>
      <c r="O101" s="14" t="n">
        <f aca="false">((O99+O100)+O95)</f>
        <v>0</v>
      </c>
      <c r="P101" s="14" t="n">
        <f aca="false">((P99+P100)+P95)</f>
        <v>0</v>
      </c>
      <c r="Q101" s="14" t="n">
        <f aca="false">((Q99+Q100)+Q95)</f>
        <v>0</v>
      </c>
      <c r="R101" s="14" t="n">
        <f aca="false">((R99+R100)+R95)</f>
        <v>0</v>
      </c>
      <c r="S101" s="14" t="n">
        <f aca="false">((S99+S100)+S95)</f>
        <v>0</v>
      </c>
      <c r="T101" s="14" t="n">
        <f aca="false">((T99+T100)+T95)</f>
        <v>0</v>
      </c>
      <c r="U101" s="14" t="n">
        <f aca="false">((U99+U100)+U95)</f>
        <v>0</v>
      </c>
      <c r="V101" s="14" t="n">
        <f aca="false">((V99+V100)+V95)</f>
        <v>0</v>
      </c>
      <c r="W101" s="14" t="n">
        <f aca="false">((W99+W100)+W95)</f>
        <v>0</v>
      </c>
      <c r="X101" s="14" t="n">
        <f aca="false">((X99+X100)+X95)</f>
        <v>0</v>
      </c>
      <c r="Y101" s="14" t="n">
        <f aca="false">((Y99+Y100)+Y95)</f>
        <v>0</v>
      </c>
      <c r="Z101" s="14" t="n">
        <f aca="false">((Z99+Z100)+Z95)</f>
        <v>0</v>
      </c>
      <c r="AA101" s="14" t="n">
        <f aca="false">((AA99+AA100)+AA95)</f>
        <v>0</v>
      </c>
      <c r="AB101" s="14" t="n">
        <f aca="false">((AB99+AB100)+AB95)</f>
        <v>0</v>
      </c>
      <c r="AC101" s="14" t="n">
        <f aca="false">((AC99+AC100)+AC95)</f>
        <v>0</v>
      </c>
      <c r="AD101" s="14" t="n">
        <f aca="false">((AD99+AD100)+AD95)</f>
        <v>0</v>
      </c>
      <c r="AE101" s="14" t="n">
        <f aca="false">((AE99+AE100)+AE95)</f>
        <v>0</v>
      </c>
      <c r="AF101" s="14" t="n">
        <f aca="false">((AF99+AF100)+AF95)</f>
        <v>0</v>
      </c>
      <c r="AG101" s="14" t="n">
        <f aca="false">((AG99+AG100)+AG95)</f>
        <v>0</v>
      </c>
      <c r="AH101" s="14" t="n">
        <f aca="false">((AH99+AH100)+AH95)</f>
        <v>0</v>
      </c>
      <c r="AI101" s="14" t="n">
        <f aca="false">((AI99+AI100)+AI95)</f>
        <v>0</v>
      </c>
      <c r="AJ101" s="14" t="n">
        <f aca="false">((AJ99+AJ100)+AJ95)</f>
        <v>0</v>
      </c>
      <c r="AK101" s="14" t="n">
        <f aca="false">((AK99+AK100)+AK95)</f>
        <v>0</v>
      </c>
      <c r="AL101" s="14" t="n">
        <f aca="false">((AL99+AL100)+AL95)</f>
        <v>0</v>
      </c>
      <c r="AN101" s="36" t="n">
        <f aca="false">SUM(C101:N101)</f>
        <v>0</v>
      </c>
      <c r="AO101" s="36" t="n">
        <f aca="false">SUM(O101:Z101)</f>
        <v>0</v>
      </c>
      <c r="AP101" s="36" t="n">
        <f aca="false">SUM(AA101:AL101)</f>
        <v>0</v>
      </c>
    </row>
    <row r="102" customFormat="false" ht="15" hidden="false" customHeight="false" outlineLevel="0" collapsed="false">
      <c r="A102" s="0" t="s">
        <v>908</v>
      </c>
      <c r="B102" s="0" t="s">
        <v>852</v>
      </c>
      <c r="C102" s="14" t="n">
        <f aca="false">(C101+(C45*0))</f>
        <v>0</v>
      </c>
      <c r="D102" s="14" t="n">
        <f aca="false">(D101+(D45*0))</f>
        <v>0</v>
      </c>
      <c r="E102" s="14" t="n">
        <f aca="false">(E101+(E45*0))</f>
        <v>0</v>
      </c>
      <c r="F102" s="14" t="n">
        <f aca="false">(F101+(F45*0))</f>
        <v>0</v>
      </c>
      <c r="G102" s="14" t="n">
        <f aca="false">(G101+(G45*0))</f>
        <v>0</v>
      </c>
      <c r="H102" s="14" t="n">
        <f aca="false">(H101+(H45*0))</f>
        <v>0</v>
      </c>
      <c r="I102" s="14" t="n">
        <f aca="false">(I101+(I45*0))</f>
        <v>0</v>
      </c>
      <c r="J102" s="14" t="n">
        <f aca="false">(J101+(J45*0))</f>
        <v>0</v>
      </c>
      <c r="K102" s="14" t="n">
        <f aca="false">(K101+(K45*0))</f>
        <v>0</v>
      </c>
      <c r="L102" s="14" t="n">
        <f aca="false">(L101+(L45*0))</f>
        <v>0</v>
      </c>
      <c r="M102" s="14" t="n">
        <f aca="false">(M101+(M45*0))</f>
        <v>0</v>
      </c>
      <c r="N102" s="14" t="n">
        <f aca="false">(N101+(N45*0))</f>
        <v>0</v>
      </c>
      <c r="O102" s="14" t="n">
        <f aca="false">(O101+(O45*C102))</f>
        <v>0</v>
      </c>
      <c r="P102" s="14" t="n">
        <f aca="false">(P101+(P45*D102))</f>
        <v>0</v>
      </c>
      <c r="Q102" s="14" t="n">
        <f aca="false">(Q101+(Q45*E102))</f>
        <v>0</v>
      </c>
      <c r="R102" s="14" t="n">
        <f aca="false">(R101+(R45*F102))</f>
        <v>0</v>
      </c>
      <c r="S102" s="14" t="n">
        <f aca="false">(S101+(S45*G102))</f>
        <v>0</v>
      </c>
      <c r="T102" s="14" t="n">
        <f aca="false">(T101+(T45*H102))</f>
        <v>0</v>
      </c>
      <c r="U102" s="14" t="n">
        <f aca="false">(U101+(U45*I102))</f>
        <v>0</v>
      </c>
      <c r="V102" s="14" t="n">
        <f aca="false">(V101+(V45*J102))</f>
        <v>0</v>
      </c>
      <c r="W102" s="14" t="n">
        <f aca="false">(W101+(W45*K102))</f>
        <v>0</v>
      </c>
      <c r="X102" s="14" t="n">
        <f aca="false">(X101+(X45*L102))</f>
        <v>0</v>
      </c>
      <c r="Y102" s="14" t="n">
        <f aca="false">(Y101+(Y45*M102))</f>
        <v>0</v>
      </c>
      <c r="Z102" s="14" t="n">
        <f aca="false">(Z101+(Z45*N102))</f>
        <v>0</v>
      </c>
      <c r="AA102" s="14" t="n">
        <f aca="false">(AA101+(AA45*O102))</f>
        <v>0</v>
      </c>
      <c r="AB102" s="14" t="n">
        <f aca="false">(AB101+(AB45*P102))</f>
        <v>0</v>
      </c>
      <c r="AC102" s="14" t="n">
        <f aca="false">(AC101+(AC45*Q102))</f>
        <v>0</v>
      </c>
      <c r="AD102" s="14" t="n">
        <f aca="false">(AD101+(AD45*R102))</f>
        <v>0</v>
      </c>
      <c r="AE102" s="14" t="n">
        <f aca="false">(AE101+(AE45*S102))</f>
        <v>0</v>
      </c>
      <c r="AF102" s="14" t="n">
        <f aca="false">(AF101+(AF45*T102))</f>
        <v>0</v>
      </c>
      <c r="AG102" s="14" t="n">
        <f aca="false">(AG101+(AG45*U102))</f>
        <v>0</v>
      </c>
      <c r="AH102" s="14" t="n">
        <f aca="false">(AH101+(AH45*V102))</f>
        <v>0</v>
      </c>
      <c r="AI102" s="14" t="n">
        <f aca="false">(AI101+(AI45*W102))</f>
        <v>0</v>
      </c>
      <c r="AJ102" s="14" t="n">
        <f aca="false">(AJ101+(AJ45*X102))</f>
        <v>0</v>
      </c>
      <c r="AK102" s="14" t="n">
        <f aca="false">(AK101+(AK45*Y102))</f>
        <v>0</v>
      </c>
      <c r="AL102" s="14" t="n">
        <f aca="false">(AL101+(AL45*Z102))</f>
        <v>0</v>
      </c>
      <c r="AN102" s="36" t="n">
        <f aca="false">SUM(C102:N102)</f>
        <v>0</v>
      </c>
      <c r="AO102" s="36" t="n">
        <f aca="false">SUM(O102:Z102)</f>
        <v>0</v>
      </c>
      <c r="AP102" s="36" t="n">
        <f aca="false">SUM(AA102:AL102)</f>
        <v>0</v>
      </c>
    </row>
    <row r="103" customFormat="false" ht="15" hidden="false" customHeight="false" outlineLevel="0" collapsed="false">
      <c r="A103" s="0" t="s">
        <v>909</v>
      </c>
      <c r="B103" s="0" t="s">
        <v>852</v>
      </c>
      <c r="C103" s="14" t="n">
        <f aca="false">C102</f>
        <v>0</v>
      </c>
      <c r="D103" s="14" t="n">
        <f aca="false">SUM(C102:D102)</f>
        <v>0</v>
      </c>
      <c r="E103" s="14" t="n">
        <f aca="false">SUM(C102:E102)</f>
        <v>0</v>
      </c>
      <c r="F103" s="14" t="n">
        <f aca="false">SUM(C102:F102)</f>
        <v>0</v>
      </c>
      <c r="G103" s="14" t="n">
        <f aca="false">SUM(C102:G102)</f>
        <v>0</v>
      </c>
      <c r="H103" s="14" t="n">
        <f aca="false">SUM(C102:H102)</f>
        <v>0</v>
      </c>
      <c r="I103" s="14" t="n">
        <f aca="false">SUM(C102:I102)</f>
        <v>0</v>
      </c>
      <c r="J103" s="14" t="n">
        <f aca="false">SUM(C102:J102)</f>
        <v>0</v>
      </c>
      <c r="K103" s="14" t="n">
        <f aca="false">SUM(C102:K102)</f>
        <v>0</v>
      </c>
      <c r="L103" s="14" t="n">
        <f aca="false">SUM(C102:L102)</f>
        <v>0</v>
      </c>
      <c r="M103" s="14" t="n">
        <f aca="false">SUM(C102:M102)</f>
        <v>0</v>
      </c>
      <c r="N103" s="14" t="n">
        <f aca="false">SUM(C102:N102)</f>
        <v>0</v>
      </c>
      <c r="O103" s="14" t="n">
        <f aca="false">SUM(D102:O102)</f>
        <v>0</v>
      </c>
      <c r="P103" s="14" t="n">
        <f aca="false">SUM(E102:P102)</f>
        <v>0</v>
      </c>
      <c r="Q103" s="14" t="n">
        <f aca="false">SUM(F102:Q102)</f>
        <v>0</v>
      </c>
      <c r="R103" s="14" t="n">
        <f aca="false">SUM(G102:R102)</f>
        <v>0</v>
      </c>
      <c r="S103" s="14" t="n">
        <f aca="false">SUM(H102:S102)</f>
        <v>0</v>
      </c>
      <c r="T103" s="14" t="n">
        <f aca="false">SUM(I102:T102)</f>
        <v>0</v>
      </c>
      <c r="U103" s="14" t="n">
        <f aca="false">SUM(J102:U102)</f>
        <v>0</v>
      </c>
      <c r="V103" s="14" t="n">
        <f aca="false">SUM(K102:V102)</f>
        <v>0</v>
      </c>
      <c r="W103" s="14" t="n">
        <f aca="false">SUM(L102:W102)</f>
        <v>0</v>
      </c>
      <c r="X103" s="14" t="n">
        <f aca="false">SUM(M102:X102)</f>
        <v>0</v>
      </c>
      <c r="Y103" s="14" t="n">
        <f aca="false">SUM(N102:Y102)</f>
        <v>0</v>
      </c>
      <c r="Z103" s="14" t="n">
        <f aca="false">SUM(O102:Z102)</f>
        <v>0</v>
      </c>
      <c r="AA103" s="14" t="n">
        <f aca="false">SUM(P102:AA102)</f>
        <v>0</v>
      </c>
      <c r="AB103" s="14" t="n">
        <f aca="false">SUM(Q102:AB102)</f>
        <v>0</v>
      </c>
      <c r="AC103" s="14" t="n">
        <f aca="false">SUM(R102:AC102)</f>
        <v>0</v>
      </c>
      <c r="AD103" s="14" t="n">
        <f aca="false">SUM(S102:AD102)</f>
        <v>0</v>
      </c>
      <c r="AE103" s="14" t="n">
        <f aca="false">SUM(T102:AE102)</f>
        <v>0</v>
      </c>
      <c r="AF103" s="14" t="n">
        <f aca="false">SUM(U102:AF102)</f>
        <v>0</v>
      </c>
      <c r="AG103" s="14" t="n">
        <f aca="false">SUM(V102:AG102)</f>
        <v>0</v>
      </c>
      <c r="AH103" s="14" t="n">
        <f aca="false">SUM(W102:AH102)</f>
        <v>0</v>
      </c>
      <c r="AI103" s="14" t="n">
        <f aca="false">SUM(X102:AI102)</f>
        <v>0</v>
      </c>
      <c r="AJ103" s="14" t="n">
        <f aca="false">SUM(Y102:AJ102)</f>
        <v>0</v>
      </c>
      <c r="AK103" s="14" t="n">
        <f aca="false">SUM(Z102:AK102)</f>
        <v>0</v>
      </c>
      <c r="AL103" s="14" t="n">
        <f aca="false">SUM(AA102:AL102)</f>
        <v>0</v>
      </c>
      <c r="AN103" s="36" t="n">
        <f aca="false">N103</f>
        <v>0</v>
      </c>
      <c r="AO103" s="36" t="n">
        <f aca="false">Z103</f>
        <v>0</v>
      </c>
      <c r="AP103" s="36" t="n">
        <f aca="false">AL103</f>
        <v>0</v>
      </c>
    </row>
    <row r="104" customFormat="false" ht="15" hidden="false" customHeight="false" outlineLevel="0" collapsed="false">
      <c r="A104" s="0" t="s">
        <v>910</v>
      </c>
      <c r="B104" s="0" t="s">
        <v>230</v>
      </c>
      <c r="C104" s="9" t="n">
        <f aca="false">((Assumptions!$E$121*(1-Assumptions!$C$29))*$C$10)</f>
        <v>193600</v>
      </c>
      <c r="D104" s="9" t="n">
        <f aca="false">((Assumptions!$E$121*(1-Assumptions!$C$29))*$C$10)</f>
        <v>193600</v>
      </c>
      <c r="E104" s="9" t="n">
        <f aca="false">((Assumptions!$E$121*(1-Assumptions!$C$29))*$C$10)</f>
        <v>193600</v>
      </c>
      <c r="F104" s="9" t="n">
        <f aca="false">((Assumptions!$E$121*(1-Assumptions!$C$29))*$C$10)</f>
        <v>193600</v>
      </c>
      <c r="G104" s="9" t="n">
        <f aca="false">((Assumptions!$E$121*(1-Assumptions!$C$29))*$C$10)</f>
        <v>193600</v>
      </c>
      <c r="H104" s="9" t="n">
        <f aca="false">((Assumptions!$E$121*(1-Assumptions!$C$29))*$C$10)</f>
        <v>193600</v>
      </c>
      <c r="I104" s="9" t="n">
        <f aca="false">((Assumptions!$E$121*(1-Assumptions!$C$29))*$C$10)</f>
        <v>193600</v>
      </c>
      <c r="J104" s="9" t="n">
        <f aca="false">((Assumptions!$E$121*(1-Assumptions!$C$29))*$C$10)</f>
        <v>193600</v>
      </c>
      <c r="K104" s="9" t="n">
        <f aca="false">((Assumptions!$E$121*(1-Assumptions!$C$29))*$C$10)</f>
        <v>193600</v>
      </c>
      <c r="L104" s="9" t="n">
        <f aca="false">((Assumptions!$E$121*(1-Assumptions!$C$29))*$C$10)</f>
        <v>193600</v>
      </c>
      <c r="M104" s="9" t="n">
        <f aca="false">((Assumptions!$E$121*(1-Assumptions!$C$29))*$C$10)</f>
        <v>193600</v>
      </c>
      <c r="N104" s="9" t="n">
        <f aca="false">((Assumptions!$E$121*(1-Assumptions!$C$29))*$C$10)</f>
        <v>193600</v>
      </c>
      <c r="O104" s="9" t="n">
        <f aca="false">((Assumptions!$E$121*(1-Assumptions!$C$29))*$C$10)</f>
        <v>193600</v>
      </c>
      <c r="P104" s="9" t="n">
        <f aca="false">((Assumptions!$E$121*(1-Assumptions!$C$29))*$C$10)</f>
        <v>193600</v>
      </c>
      <c r="Q104" s="9" t="n">
        <f aca="false">((Assumptions!$E$121*(1-Assumptions!$C$29))*$C$10)</f>
        <v>193600</v>
      </c>
      <c r="R104" s="9" t="n">
        <f aca="false">((Assumptions!$E$121*(1-Assumptions!$C$29))*$C$10)</f>
        <v>193600</v>
      </c>
      <c r="S104" s="9" t="n">
        <f aca="false">((Assumptions!$E$121*(1-Assumptions!$C$29))*$C$10)</f>
        <v>193600</v>
      </c>
      <c r="T104" s="9" t="n">
        <f aca="false">((Assumptions!$E$121*(1-Assumptions!$C$29))*$C$10)</f>
        <v>193600</v>
      </c>
      <c r="U104" s="9" t="n">
        <f aca="false">((Assumptions!$E$121*(1-Assumptions!$C$29))*$C$10)</f>
        <v>193600</v>
      </c>
      <c r="V104" s="9" t="n">
        <f aca="false">((Assumptions!$E$121*(1-Assumptions!$C$29))*$C$10)</f>
        <v>193600</v>
      </c>
      <c r="W104" s="9" t="n">
        <f aca="false">((Assumptions!$E$121*(1-Assumptions!$C$29))*$C$10)</f>
        <v>193600</v>
      </c>
      <c r="X104" s="9" t="n">
        <f aca="false">((Assumptions!$E$121*(1-Assumptions!$C$29))*$C$10)</f>
        <v>193600</v>
      </c>
      <c r="Y104" s="9" t="n">
        <f aca="false">((Assumptions!$E$121*(1-Assumptions!$C$29))*$C$10)</f>
        <v>193600</v>
      </c>
      <c r="Z104" s="9" t="n">
        <f aca="false">((Assumptions!$E$121*(1-Assumptions!$C$29))*$C$10)</f>
        <v>193600</v>
      </c>
      <c r="AA104" s="9" t="n">
        <f aca="false">((Assumptions!$E$121*(1-Assumptions!$C$29))*$C$10)</f>
        <v>193600</v>
      </c>
      <c r="AB104" s="9" t="n">
        <f aca="false">((Assumptions!$E$121*(1-Assumptions!$C$29))*$C$10)</f>
        <v>193600</v>
      </c>
      <c r="AC104" s="9" t="n">
        <f aca="false">((Assumptions!$E$121*(1-Assumptions!$C$29))*$C$10)</f>
        <v>193600</v>
      </c>
      <c r="AD104" s="9" t="n">
        <f aca="false">((Assumptions!$E$121*(1-Assumptions!$C$29))*$C$10)</f>
        <v>193600</v>
      </c>
      <c r="AE104" s="9" t="n">
        <f aca="false">((Assumptions!$E$121*(1-Assumptions!$C$29))*$C$10)</f>
        <v>193600</v>
      </c>
      <c r="AF104" s="9" t="n">
        <f aca="false">((Assumptions!$E$121*(1-Assumptions!$C$29))*$C$10)</f>
        <v>193600</v>
      </c>
      <c r="AG104" s="9" t="n">
        <f aca="false">((Assumptions!$E$121*(1-Assumptions!$C$29))*$C$10)</f>
        <v>193600</v>
      </c>
      <c r="AH104" s="9" t="n">
        <f aca="false">((Assumptions!$E$121*(1-Assumptions!$C$29))*$C$10)</f>
        <v>193600</v>
      </c>
      <c r="AI104" s="9" t="n">
        <f aca="false">((Assumptions!$E$121*(1-Assumptions!$C$29))*$C$10)</f>
        <v>193600</v>
      </c>
      <c r="AJ104" s="9" t="n">
        <f aca="false">((Assumptions!$E$121*(1-Assumptions!$C$29))*$C$10)</f>
        <v>193600</v>
      </c>
      <c r="AK104" s="9" t="n">
        <f aca="false">((Assumptions!$E$121*(1-Assumptions!$C$29))*$C$10)</f>
        <v>193600</v>
      </c>
      <c r="AL104" s="9" t="n">
        <f aca="false">((Assumptions!$E$121*(1-Assumptions!$C$29))*$C$10)</f>
        <v>193600</v>
      </c>
    </row>
    <row r="105" customFormat="false" ht="15" hidden="false" customHeight="false" outlineLevel="0" collapsed="false">
      <c r="A105" s="0" t="s">
        <v>911</v>
      </c>
      <c r="B105" s="0" t="s">
        <v>230</v>
      </c>
      <c r="C105" s="9" t="n">
        <f aca="false">((C101*C104)+((C45*(1+Assumptions!$C$31))*0))</f>
        <v>0</v>
      </c>
      <c r="D105" s="9" t="n">
        <f aca="false">((D101*D104)+((D45*(1+Assumptions!$C$31))*0))</f>
        <v>0</v>
      </c>
      <c r="E105" s="9" t="n">
        <f aca="false">((E101*E104)+((E45*(1+Assumptions!$C$31))*0))</f>
        <v>0</v>
      </c>
      <c r="F105" s="9" t="n">
        <f aca="false">((F101*F104)+((F45*(1+Assumptions!$C$31))*0))</f>
        <v>0</v>
      </c>
      <c r="G105" s="9" t="n">
        <f aca="false">((G101*G104)+((G45*(1+Assumptions!$C$31))*0))</f>
        <v>0</v>
      </c>
      <c r="H105" s="9" t="n">
        <f aca="false">((H101*H104)+((H45*(1+Assumptions!$C$31))*0))</f>
        <v>0</v>
      </c>
      <c r="I105" s="9" t="n">
        <f aca="false">((I101*I104)+((I45*(1+Assumptions!$C$31))*0))</f>
        <v>0</v>
      </c>
      <c r="J105" s="9" t="n">
        <f aca="false">((J101*J104)+((J45*(1+Assumptions!$C$31))*0))</f>
        <v>0</v>
      </c>
      <c r="K105" s="9" t="n">
        <f aca="false">((K101*K104)+((K45*(1+Assumptions!$C$31))*0))</f>
        <v>0</v>
      </c>
      <c r="L105" s="9" t="n">
        <f aca="false">((L101*L104)+((L45*(1+Assumptions!$C$31))*0))</f>
        <v>0</v>
      </c>
      <c r="M105" s="9" t="n">
        <f aca="false">((M101*M104)+((M45*(1+Assumptions!$C$31))*0))</f>
        <v>0</v>
      </c>
      <c r="N105" s="9" t="n">
        <f aca="false">((N101*N104)+((N45*(1+Assumptions!$C$31))*0))</f>
        <v>0</v>
      </c>
      <c r="O105" s="9" t="n">
        <f aca="false">((O101*O104)+((O45*(1+Assumptions!$C$31))*C105))</f>
        <v>0</v>
      </c>
      <c r="P105" s="9" t="n">
        <f aca="false">((P101*P104)+((P45*(1+Assumptions!$C$31))*D105))</f>
        <v>0</v>
      </c>
      <c r="Q105" s="9" t="n">
        <f aca="false">((Q101*Q104)+((Q45*(1+Assumptions!$C$31))*E105))</f>
        <v>0</v>
      </c>
      <c r="R105" s="9" t="n">
        <f aca="false">((R101*R104)+((R45*(1+Assumptions!$C$31))*F105))</f>
        <v>0</v>
      </c>
      <c r="S105" s="9" t="n">
        <f aca="false">((S101*S104)+((S45*(1+Assumptions!$C$31))*G105))</f>
        <v>0</v>
      </c>
      <c r="T105" s="9" t="n">
        <f aca="false">((T101*T104)+((T45*(1+Assumptions!$C$31))*H105))</f>
        <v>0</v>
      </c>
      <c r="U105" s="9" t="n">
        <f aca="false">((U101*U104)+((U45*(1+Assumptions!$C$31))*I105))</f>
        <v>0</v>
      </c>
      <c r="V105" s="9" t="n">
        <f aca="false">((V101*V104)+((V45*(1+Assumptions!$C$31))*J105))</f>
        <v>0</v>
      </c>
      <c r="W105" s="9" t="n">
        <f aca="false">((W101*W104)+((W45*(1+Assumptions!$C$31))*K105))</f>
        <v>0</v>
      </c>
      <c r="X105" s="9" t="n">
        <f aca="false">((X101*X104)+((X45*(1+Assumptions!$C$31))*L105))</f>
        <v>0</v>
      </c>
      <c r="Y105" s="9" t="n">
        <f aca="false">((Y101*Y104)+((Y45*(1+Assumptions!$C$31))*M105))</f>
        <v>0</v>
      </c>
      <c r="Z105" s="9" t="n">
        <f aca="false">((Z101*Z104)+((Z45*(1+Assumptions!$C$31))*N105))</f>
        <v>0</v>
      </c>
      <c r="AA105" s="9" t="n">
        <f aca="false">((AA101*AA104)+((AA45*(1+Assumptions!$C$31))*O105))</f>
        <v>0</v>
      </c>
      <c r="AB105" s="9" t="n">
        <f aca="false">((AB101*AB104)+((AB45*(1+Assumptions!$C$31))*P105))</f>
        <v>0</v>
      </c>
      <c r="AC105" s="9" t="n">
        <f aca="false">((AC101*AC104)+((AC45*(1+Assumptions!$C$31))*Q105))</f>
        <v>0</v>
      </c>
      <c r="AD105" s="9" t="n">
        <f aca="false">((AD101*AD104)+((AD45*(1+Assumptions!$C$31))*R105))</f>
        <v>0</v>
      </c>
      <c r="AE105" s="9" t="n">
        <f aca="false">((AE101*AE104)+((AE45*(1+Assumptions!$C$31))*S105))</f>
        <v>0</v>
      </c>
      <c r="AF105" s="9" t="n">
        <f aca="false">((AF101*AF104)+((AF45*(1+Assumptions!$C$31))*T105))</f>
        <v>0</v>
      </c>
      <c r="AG105" s="9" t="n">
        <f aca="false">((AG101*AG104)+((AG45*(1+Assumptions!$C$31))*U105))</f>
        <v>0</v>
      </c>
      <c r="AH105" s="9" t="n">
        <f aca="false">((AH101*AH104)+((AH45*(1+Assumptions!$C$31))*V105))</f>
        <v>0</v>
      </c>
      <c r="AI105" s="9" t="n">
        <f aca="false">((AI101*AI104)+((AI45*(1+Assumptions!$C$31))*W105))</f>
        <v>0</v>
      </c>
      <c r="AJ105" s="9" t="n">
        <f aca="false">((AJ101*AJ104)+((AJ45*(1+Assumptions!$C$31))*X105))</f>
        <v>0</v>
      </c>
      <c r="AK105" s="9" t="n">
        <f aca="false">((AK101*AK104)+((AK45*(1+Assumptions!$C$31))*Y105))</f>
        <v>0</v>
      </c>
      <c r="AL105" s="9" t="n">
        <f aca="false">((AL101*AL104)+((AL45*(1+Assumptions!$C$31))*Z105))</f>
        <v>0</v>
      </c>
      <c r="AN105" s="11" t="n">
        <f aca="false">SUM(C105:N105)</f>
        <v>0</v>
      </c>
      <c r="AO105" s="11" t="n">
        <f aca="false">SUM(O105:Z105)</f>
        <v>0</v>
      </c>
      <c r="AP105" s="11" t="n">
        <f aca="false">SUM(AA105:AL105)</f>
        <v>0</v>
      </c>
    </row>
    <row r="106" customFormat="false" ht="15" hidden="false" customHeight="false" outlineLevel="0" collapsed="false">
      <c r="A106" s="0" t="s">
        <v>912</v>
      </c>
      <c r="B106" s="0" t="s">
        <v>230</v>
      </c>
      <c r="C106" s="9" t="n">
        <f aca="false">(Assumptions!$E$126*C99)</f>
        <v>0</v>
      </c>
      <c r="D106" s="9" t="n">
        <f aca="false">(Assumptions!$E$126*D99)</f>
        <v>0</v>
      </c>
      <c r="E106" s="9" t="n">
        <f aca="false">(Assumptions!$E$126*E99)</f>
        <v>0</v>
      </c>
      <c r="F106" s="9" t="n">
        <f aca="false">(Assumptions!$E$126*F99)</f>
        <v>0</v>
      </c>
      <c r="G106" s="9" t="n">
        <f aca="false">(Assumptions!$E$126*G99)</f>
        <v>0</v>
      </c>
      <c r="H106" s="9" t="n">
        <f aca="false">(Assumptions!$E$126*H99)</f>
        <v>0</v>
      </c>
      <c r="I106" s="9" t="n">
        <f aca="false">(Assumptions!$E$126*I99)</f>
        <v>0</v>
      </c>
      <c r="J106" s="9" t="n">
        <f aca="false">(Assumptions!$E$126*J99)</f>
        <v>0</v>
      </c>
      <c r="K106" s="9" t="n">
        <f aca="false">(Assumptions!$E$126*K99)</f>
        <v>0</v>
      </c>
      <c r="L106" s="9" t="n">
        <f aca="false">(Assumptions!$E$126*L99)</f>
        <v>0</v>
      </c>
      <c r="M106" s="9" t="n">
        <f aca="false">(Assumptions!$E$126*M99)</f>
        <v>0</v>
      </c>
      <c r="N106" s="9" t="n">
        <f aca="false">(Assumptions!$E$126*N99)</f>
        <v>0</v>
      </c>
      <c r="O106" s="9" t="n">
        <f aca="false">(Assumptions!$E$126*O99)</f>
        <v>0</v>
      </c>
      <c r="P106" s="9" t="n">
        <f aca="false">(Assumptions!$E$126*P99)</f>
        <v>0</v>
      </c>
      <c r="Q106" s="9" t="n">
        <f aca="false">(Assumptions!$E$126*Q99)</f>
        <v>0</v>
      </c>
      <c r="R106" s="9" t="n">
        <f aca="false">(Assumptions!$E$126*R99)</f>
        <v>0</v>
      </c>
      <c r="S106" s="9" t="n">
        <f aca="false">(Assumptions!$E$126*S99)</f>
        <v>0</v>
      </c>
      <c r="T106" s="9" t="n">
        <f aca="false">(Assumptions!$E$126*T99)</f>
        <v>0</v>
      </c>
      <c r="U106" s="9" t="n">
        <f aca="false">(Assumptions!$E$126*U99)</f>
        <v>0</v>
      </c>
      <c r="V106" s="9" t="n">
        <f aca="false">(Assumptions!$E$126*V99)</f>
        <v>0</v>
      </c>
      <c r="W106" s="9" t="n">
        <f aca="false">(Assumptions!$E$126*W99)</f>
        <v>0</v>
      </c>
      <c r="X106" s="9" t="n">
        <f aca="false">(Assumptions!$E$126*X99)</f>
        <v>0</v>
      </c>
      <c r="Y106" s="9" t="n">
        <f aca="false">(Assumptions!$E$126*Y99)</f>
        <v>0</v>
      </c>
      <c r="Z106" s="9" t="n">
        <f aca="false">(Assumptions!$E$126*Z99)</f>
        <v>0</v>
      </c>
      <c r="AA106" s="9" t="n">
        <f aca="false">(Assumptions!$E$126*AA99)</f>
        <v>0</v>
      </c>
      <c r="AB106" s="9" t="n">
        <f aca="false">(Assumptions!$E$126*AB99)</f>
        <v>0</v>
      </c>
      <c r="AC106" s="9" t="n">
        <f aca="false">(Assumptions!$E$126*AC99)</f>
        <v>0</v>
      </c>
      <c r="AD106" s="9" t="n">
        <f aca="false">(Assumptions!$E$126*AD99)</f>
        <v>0</v>
      </c>
      <c r="AE106" s="9" t="n">
        <f aca="false">(Assumptions!$E$126*AE99)</f>
        <v>0</v>
      </c>
      <c r="AF106" s="9" t="n">
        <f aca="false">(Assumptions!$E$126*AF99)</f>
        <v>0</v>
      </c>
      <c r="AG106" s="9" t="n">
        <f aca="false">(Assumptions!$E$126*AG99)</f>
        <v>0</v>
      </c>
      <c r="AH106" s="9" t="n">
        <f aca="false">(Assumptions!$E$126*AH99)</f>
        <v>0</v>
      </c>
      <c r="AI106" s="9" t="n">
        <f aca="false">(Assumptions!$E$126*AI99)</f>
        <v>0</v>
      </c>
      <c r="AJ106" s="9" t="n">
        <f aca="false">(Assumptions!$E$126*AJ99)</f>
        <v>0</v>
      </c>
      <c r="AK106" s="9" t="n">
        <f aca="false">(Assumptions!$E$126*AK99)</f>
        <v>0</v>
      </c>
      <c r="AL106" s="9" t="n">
        <f aca="false">(Assumptions!$E$126*AL99)</f>
        <v>0</v>
      </c>
      <c r="AN106" s="11" t="n">
        <f aca="false">SUM(C106:N106)</f>
        <v>0</v>
      </c>
      <c r="AO106" s="11" t="n">
        <f aca="false">SUM(O106:Z106)</f>
        <v>0</v>
      </c>
      <c r="AP106" s="11" t="n">
        <f aca="false">SUM(AA106:AL106)</f>
        <v>0</v>
      </c>
    </row>
    <row r="107" customFormat="false" ht="15" hidden="false" customHeight="false" outlineLevel="0" collapsed="false">
      <c r="A107" s="0" t="s">
        <v>913</v>
      </c>
      <c r="B107" s="0" t="s">
        <v>230</v>
      </c>
      <c r="C107" s="9" t="n">
        <f aca="false">((C105-C106)/12)</f>
        <v>0</v>
      </c>
      <c r="D107" s="9" t="n">
        <f aca="false">((SUM(C105:D105)-SUM(C106:D106))/12)</f>
        <v>0</v>
      </c>
      <c r="E107" s="9" t="n">
        <f aca="false">((SUM(C105:E105)-SUM(C106:E106))/12)</f>
        <v>0</v>
      </c>
      <c r="F107" s="9" t="n">
        <f aca="false">((SUM(C105:F105)-SUM(C106:F106))/12)</f>
        <v>0</v>
      </c>
      <c r="G107" s="9" t="n">
        <f aca="false">((SUM(C105:G105)-SUM(C106:G106))/12)</f>
        <v>0</v>
      </c>
      <c r="H107" s="9" t="n">
        <f aca="false">((SUM(C105:H105)-SUM(C106:H106))/12)</f>
        <v>0</v>
      </c>
      <c r="I107" s="9" t="n">
        <f aca="false">((SUM(C105:I105)-SUM(C106:I106))/12)</f>
        <v>0</v>
      </c>
      <c r="J107" s="9" t="n">
        <f aca="false">((SUM(C105:J105)-SUM(C106:J106))/12)</f>
        <v>0</v>
      </c>
      <c r="K107" s="9" t="n">
        <f aca="false">((SUM(C105:K105)-SUM(C106:K106))/12)</f>
        <v>0</v>
      </c>
      <c r="L107" s="9" t="n">
        <f aca="false">((SUM(C105:L105)-SUM(C106:L106))/12)</f>
        <v>0</v>
      </c>
      <c r="M107" s="9" t="n">
        <f aca="false">((SUM(C105:M105)-SUM(C106:M106))/12)</f>
        <v>0</v>
      </c>
      <c r="N107" s="9" t="n">
        <f aca="false">((SUM(C105:N105)-SUM(C106:N106))/12)</f>
        <v>0</v>
      </c>
      <c r="O107" s="9" t="n">
        <f aca="false">((SUM(D105:O105)-SUM(D106:O106))/12)</f>
        <v>0</v>
      </c>
      <c r="P107" s="9" t="n">
        <f aca="false">((SUM(E105:P105)-SUM(E106:P106))/12)</f>
        <v>0</v>
      </c>
      <c r="Q107" s="9" t="n">
        <f aca="false">((SUM(F105:Q105)-SUM(F106:Q106))/12)</f>
        <v>0</v>
      </c>
      <c r="R107" s="9" t="n">
        <f aca="false">((SUM(G105:R105)-SUM(G106:R106))/12)</f>
        <v>0</v>
      </c>
      <c r="S107" s="9" t="n">
        <f aca="false">((SUM(H105:S105)-SUM(H106:S106))/12)</f>
        <v>0</v>
      </c>
      <c r="T107" s="9" t="n">
        <f aca="false">((SUM(I105:T105)-SUM(I106:T106))/12)</f>
        <v>0</v>
      </c>
      <c r="U107" s="9" t="n">
        <f aca="false">((SUM(J105:U105)-SUM(J106:U106))/12)</f>
        <v>0</v>
      </c>
      <c r="V107" s="9" t="n">
        <f aca="false">((SUM(K105:V105)-SUM(K106:V106))/12)</f>
        <v>0</v>
      </c>
      <c r="W107" s="9" t="n">
        <f aca="false">((SUM(L105:W105)-SUM(L106:W106))/12)</f>
        <v>0</v>
      </c>
      <c r="X107" s="9" t="n">
        <f aca="false">((SUM(M105:X105)-SUM(M106:X106))/12)</f>
        <v>0</v>
      </c>
      <c r="Y107" s="9" t="n">
        <f aca="false">((SUM(N105:Y105)-SUM(N106:Y106))/12)</f>
        <v>0</v>
      </c>
      <c r="Z107" s="9" t="n">
        <f aca="false">((SUM(O105:Z105)-SUM(O106:Z106))/12)</f>
        <v>0</v>
      </c>
      <c r="AA107" s="9" t="n">
        <f aca="false">((SUM(P105:AA105)-SUM(P106:AA106))/12)</f>
        <v>0</v>
      </c>
      <c r="AB107" s="9" t="n">
        <f aca="false">((SUM(Q105:AB105)-SUM(Q106:AB106))/12)</f>
        <v>0</v>
      </c>
      <c r="AC107" s="9" t="n">
        <f aca="false">((SUM(R105:AC105)-SUM(R106:AC106))/12)</f>
        <v>0</v>
      </c>
      <c r="AD107" s="9" t="n">
        <f aca="false">((SUM(S105:AD105)-SUM(S106:AD106))/12)</f>
        <v>0</v>
      </c>
      <c r="AE107" s="9" t="n">
        <f aca="false">((SUM(T105:AE105)-SUM(T106:AE106))/12)</f>
        <v>0</v>
      </c>
      <c r="AF107" s="9" t="n">
        <f aca="false">((SUM(U105:AF105)-SUM(U106:AF106))/12)</f>
        <v>0</v>
      </c>
      <c r="AG107" s="9" t="n">
        <f aca="false">((SUM(V105:AG105)-SUM(V106:AG106))/12)</f>
        <v>0</v>
      </c>
      <c r="AH107" s="9" t="n">
        <f aca="false">((SUM(W105:AH105)-SUM(W106:AH106))/12)</f>
        <v>0</v>
      </c>
      <c r="AI107" s="9" t="n">
        <f aca="false">((SUM(X105:AI105)-SUM(X106:AI106))/12)</f>
        <v>0</v>
      </c>
      <c r="AJ107" s="9" t="n">
        <f aca="false">((SUM(Y105:AJ105)-SUM(Y106:AJ106))/12)</f>
        <v>0</v>
      </c>
      <c r="AK107" s="9" t="n">
        <f aca="false">((SUM(Z105:AK105)-SUM(Z106:AK106))/12)</f>
        <v>0</v>
      </c>
      <c r="AL107" s="9" t="n">
        <f aca="false">((SUM(AA105:AL105)-SUM(AA106:AL106))/12)</f>
        <v>0</v>
      </c>
      <c r="AN107" s="11" t="n">
        <f aca="false">SUM(C107:N107)</f>
        <v>0</v>
      </c>
      <c r="AO107" s="11" t="n">
        <f aca="false">SUM(O107:Z107)</f>
        <v>0</v>
      </c>
      <c r="AP107" s="11" t="n">
        <f aca="false">SUM(AA107:AL107)</f>
        <v>0</v>
      </c>
    </row>
    <row r="108" customFormat="false" ht="15" hidden="false" customHeight="false" outlineLevel="0" collapsed="false">
      <c r="A108" s="0" t="s">
        <v>914</v>
      </c>
      <c r="B108" s="0" t="s">
        <v>230</v>
      </c>
      <c r="C108" s="9" t="n">
        <f aca="false">(C105-C106)</f>
        <v>0</v>
      </c>
      <c r="D108" s="9" t="n">
        <f aca="false">(D105-D106)</f>
        <v>0</v>
      </c>
      <c r="E108" s="9" t="n">
        <f aca="false">(E105-E106)</f>
        <v>0</v>
      </c>
      <c r="F108" s="9" t="n">
        <f aca="false">(F105-F106)</f>
        <v>0</v>
      </c>
      <c r="G108" s="9" t="n">
        <f aca="false">(G105-G106)</f>
        <v>0</v>
      </c>
      <c r="H108" s="9" t="n">
        <f aca="false">(H105-H106)</f>
        <v>0</v>
      </c>
      <c r="I108" s="9" t="n">
        <f aca="false">(I105-I106)</f>
        <v>0</v>
      </c>
      <c r="J108" s="9" t="n">
        <f aca="false">(J105-J106)</f>
        <v>0</v>
      </c>
      <c r="K108" s="9" t="n">
        <f aca="false">(K105-K106)</f>
        <v>0</v>
      </c>
      <c r="L108" s="9" t="n">
        <f aca="false">(L105-L106)</f>
        <v>0</v>
      </c>
      <c r="M108" s="9" t="n">
        <f aca="false">(M105-M106)</f>
        <v>0</v>
      </c>
      <c r="N108" s="9" t="n">
        <f aca="false">(N105-N106)</f>
        <v>0</v>
      </c>
      <c r="O108" s="9" t="n">
        <f aca="false">(O105-O106)</f>
        <v>0</v>
      </c>
      <c r="P108" s="9" t="n">
        <f aca="false">(P105-P106)</f>
        <v>0</v>
      </c>
      <c r="Q108" s="9" t="n">
        <f aca="false">(Q105-Q106)</f>
        <v>0</v>
      </c>
      <c r="R108" s="9" t="n">
        <f aca="false">(R105-R106)</f>
        <v>0</v>
      </c>
      <c r="S108" s="9" t="n">
        <f aca="false">(S105-S106)</f>
        <v>0</v>
      </c>
      <c r="T108" s="9" t="n">
        <f aca="false">(T105-T106)</f>
        <v>0</v>
      </c>
      <c r="U108" s="9" t="n">
        <f aca="false">(U105-U106)</f>
        <v>0</v>
      </c>
      <c r="V108" s="9" t="n">
        <f aca="false">(V105-V106)</f>
        <v>0</v>
      </c>
      <c r="W108" s="9" t="n">
        <f aca="false">(W105-W106)</f>
        <v>0</v>
      </c>
      <c r="X108" s="9" t="n">
        <f aca="false">(X105-X106)</f>
        <v>0</v>
      </c>
      <c r="Y108" s="9" t="n">
        <f aca="false">(Y105-Y106)</f>
        <v>0</v>
      </c>
      <c r="Z108" s="9" t="n">
        <f aca="false">(Z105-Z106)</f>
        <v>0</v>
      </c>
      <c r="AA108" s="9" t="n">
        <f aca="false">(AA105-AA106)</f>
        <v>0</v>
      </c>
      <c r="AB108" s="9" t="n">
        <f aca="false">(AB105-AB106)</f>
        <v>0</v>
      </c>
      <c r="AC108" s="9" t="n">
        <f aca="false">(AC105-AC106)</f>
        <v>0</v>
      </c>
      <c r="AD108" s="9" t="n">
        <f aca="false">(AD105-AD106)</f>
        <v>0</v>
      </c>
      <c r="AE108" s="9" t="n">
        <f aca="false">(AE105-AE106)</f>
        <v>0</v>
      </c>
      <c r="AF108" s="9" t="n">
        <f aca="false">(AF105-AF106)</f>
        <v>0</v>
      </c>
      <c r="AG108" s="9" t="n">
        <f aca="false">(AG105-AG106)</f>
        <v>0</v>
      </c>
      <c r="AH108" s="9" t="n">
        <f aca="false">(AH105-AH106)</f>
        <v>0</v>
      </c>
      <c r="AI108" s="9" t="n">
        <f aca="false">(AI105-AI106)</f>
        <v>0</v>
      </c>
      <c r="AJ108" s="9" t="n">
        <f aca="false">(AJ105-AJ106)</f>
        <v>0</v>
      </c>
      <c r="AK108" s="9" t="n">
        <f aca="false">(AK105-AK106)</f>
        <v>0</v>
      </c>
      <c r="AL108" s="9" t="n">
        <f aca="false">(AL105-AL106)</f>
        <v>0</v>
      </c>
      <c r="AN108" s="11" t="n">
        <f aca="false">SUM(C108:N108)</f>
        <v>0</v>
      </c>
      <c r="AO108" s="11" t="n">
        <f aca="false">SUM(O108:Z108)</f>
        <v>0</v>
      </c>
      <c r="AP108" s="11" t="n">
        <f aca="false">SUM(AA108:AL108)</f>
        <v>0</v>
      </c>
    </row>
    <row r="109" customFormat="false" ht="15" hidden="false" customHeight="false" outlineLevel="0" collapsed="false">
      <c r="A109" s="0" t="s">
        <v>915</v>
      </c>
      <c r="B109" s="0" t="s">
        <v>230</v>
      </c>
      <c r="C109" s="9" t="n">
        <f aca="false">(((Assumptions!$E$122*$C$10)/6)*C98)</f>
        <v>0</v>
      </c>
      <c r="D109" s="9" t="n">
        <f aca="false">(((Assumptions!$E$122*$C$10)/6)*D98)</f>
        <v>0</v>
      </c>
      <c r="E109" s="9" t="n">
        <f aca="false">(((Assumptions!$E$122*$C$10)/6)*E98)</f>
        <v>0</v>
      </c>
      <c r="F109" s="9" t="n">
        <f aca="false">(((Assumptions!$E$122*$C$10)/6)*F98)</f>
        <v>0</v>
      </c>
      <c r="G109" s="9" t="n">
        <f aca="false">(((Assumptions!$E$122*$C$10)/6)*G98)</f>
        <v>0</v>
      </c>
      <c r="H109" s="9" t="n">
        <f aca="false">(((Assumptions!$E$122*$C$10)/6)*H98)</f>
        <v>0</v>
      </c>
      <c r="I109" s="9" t="n">
        <f aca="false">(((Assumptions!$E$122*$C$10)/6)*I98)</f>
        <v>0</v>
      </c>
      <c r="J109" s="9" t="n">
        <f aca="false">(((Assumptions!$E$122*$C$10)/6)*J98)</f>
        <v>0</v>
      </c>
      <c r="K109" s="9" t="n">
        <f aca="false">(((Assumptions!$E$122*$C$10)/6)*K98)</f>
        <v>0</v>
      </c>
      <c r="L109" s="9" t="n">
        <f aca="false">(((Assumptions!$E$122*$C$10)/6)*L98)</f>
        <v>0</v>
      </c>
      <c r="M109" s="9" t="n">
        <f aca="false">(((Assumptions!$E$122*$C$10)/6)*M98)</f>
        <v>0</v>
      </c>
      <c r="N109" s="9" t="n">
        <f aca="false">(((Assumptions!$E$122*$C$10)/6)*N98)</f>
        <v>0</v>
      </c>
      <c r="O109" s="9" t="n">
        <f aca="false">(((Assumptions!$E$122*$C$10)/6)*O98)</f>
        <v>0</v>
      </c>
      <c r="P109" s="9" t="n">
        <f aca="false">(((Assumptions!$E$122*$C$10)/6)*P98)</f>
        <v>0</v>
      </c>
      <c r="Q109" s="9" t="n">
        <f aca="false">(((Assumptions!$E$122*$C$10)/6)*Q98)</f>
        <v>0</v>
      </c>
      <c r="R109" s="9" t="n">
        <f aca="false">(((Assumptions!$E$122*$C$10)/6)*R98)</f>
        <v>0</v>
      </c>
      <c r="S109" s="9" t="n">
        <f aca="false">(((Assumptions!$E$122*$C$10)/6)*S98)</f>
        <v>0</v>
      </c>
      <c r="T109" s="9" t="n">
        <f aca="false">(((Assumptions!$E$122*$C$10)/6)*T98)</f>
        <v>0</v>
      </c>
      <c r="U109" s="9" t="n">
        <f aca="false">(((Assumptions!$E$122*$C$10)/6)*U98)</f>
        <v>0</v>
      </c>
      <c r="V109" s="9" t="n">
        <f aca="false">(((Assumptions!$E$122*$C$10)/6)*V98)</f>
        <v>0</v>
      </c>
      <c r="W109" s="9" t="n">
        <f aca="false">(((Assumptions!$E$122*$C$10)/6)*W98)</f>
        <v>0</v>
      </c>
      <c r="X109" s="9" t="n">
        <f aca="false">(((Assumptions!$E$122*$C$10)/6)*X98)</f>
        <v>0</v>
      </c>
      <c r="Y109" s="9" t="n">
        <f aca="false">(((Assumptions!$E$122*$C$10)/6)*Y98)</f>
        <v>0</v>
      </c>
      <c r="Z109" s="9" t="n">
        <f aca="false">(((Assumptions!$E$122*$C$10)/6)*Z98)</f>
        <v>0</v>
      </c>
      <c r="AA109" s="9" t="n">
        <f aca="false">(((Assumptions!$E$122*$C$10)/6)*AA98)</f>
        <v>0</v>
      </c>
      <c r="AB109" s="9" t="n">
        <f aca="false">(((Assumptions!$E$122*$C$10)/6)*AB98)</f>
        <v>0</v>
      </c>
      <c r="AC109" s="9" t="n">
        <f aca="false">(((Assumptions!$E$122*$C$10)/6)*AC98)</f>
        <v>0</v>
      </c>
      <c r="AD109" s="9" t="n">
        <f aca="false">(((Assumptions!$E$122*$C$10)/6)*AD98)</f>
        <v>0</v>
      </c>
      <c r="AE109" s="9" t="n">
        <f aca="false">(((Assumptions!$E$122*$C$10)/6)*AE98)</f>
        <v>0</v>
      </c>
      <c r="AF109" s="9" t="n">
        <f aca="false">(((Assumptions!$E$122*$C$10)/6)*AF98)</f>
        <v>0</v>
      </c>
      <c r="AG109" s="9" t="n">
        <f aca="false">(((Assumptions!$E$122*$C$10)/6)*AG98)</f>
        <v>0</v>
      </c>
      <c r="AH109" s="9" t="n">
        <f aca="false">(((Assumptions!$E$122*$C$10)/6)*AH98)</f>
        <v>0</v>
      </c>
      <c r="AI109" s="9" t="n">
        <f aca="false">(((Assumptions!$E$122*$C$10)/6)*AI98)</f>
        <v>0</v>
      </c>
      <c r="AJ109" s="9" t="n">
        <f aca="false">(((Assumptions!$E$122*$C$10)/6)*AJ98)</f>
        <v>0</v>
      </c>
      <c r="AK109" s="9" t="n">
        <f aca="false">(((Assumptions!$E$122*$C$10)/6)*AK98)</f>
        <v>0</v>
      </c>
      <c r="AL109" s="9" t="n">
        <f aca="false">(((Assumptions!$E$122*$C$10)/6)*AL98)</f>
        <v>10000</v>
      </c>
      <c r="AN109" s="11" t="n">
        <f aca="false">SUM(C109:N109)</f>
        <v>0</v>
      </c>
      <c r="AO109" s="11" t="n">
        <f aca="false">SUM(O109:Z109)</f>
        <v>0</v>
      </c>
      <c r="AP109" s="11" t="n">
        <f aca="false">SUM(AA109:AL109)</f>
        <v>10000</v>
      </c>
    </row>
    <row r="110" customFormat="false" ht="15" hidden="false" customHeight="false" outlineLevel="0" collapsed="false">
      <c r="A110" s="0" t="s">
        <v>916</v>
      </c>
      <c r="B110" s="0" t="s">
        <v>230</v>
      </c>
      <c r="C110" s="9" t="n">
        <f aca="false">((Assumptions!$E$122*$C$10)*C92)</f>
        <v>0</v>
      </c>
      <c r="D110" s="9" t="n">
        <f aca="false">((Assumptions!$E$122*$C$10)*D92)</f>
        <v>0</v>
      </c>
      <c r="E110" s="9" t="n">
        <f aca="false">((Assumptions!$E$122*$C$10)*E92)</f>
        <v>0</v>
      </c>
      <c r="F110" s="9" t="n">
        <f aca="false">((Assumptions!$E$122*$C$10)*F92)</f>
        <v>0</v>
      </c>
      <c r="G110" s="9" t="n">
        <f aca="false">((Assumptions!$E$122*$C$10)*G92)</f>
        <v>0</v>
      </c>
      <c r="H110" s="9" t="n">
        <f aca="false">((Assumptions!$E$122*$C$10)*H92)</f>
        <v>0</v>
      </c>
      <c r="I110" s="9" t="n">
        <f aca="false">((Assumptions!$E$122*$C$10)*I92)</f>
        <v>0</v>
      </c>
      <c r="J110" s="9" t="n">
        <f aca="false">((Assumptions!$E$122*$C$10)*J92)</f>
        <v>0</v>
      </c>
      <c r="K110" s="9" t="n">
        <f aca="false">((Assumptions!$E$122*$C$10)*K92)</f>
        <v>0</v>
      </c>
      <c r="L110" s="9" t="n">
        <f aca="false">((Assumptions!$E$122*$C$10)*L92)</f>
        <v>0</v>
      </c>
      <c r="M110" s="9" t="n">
        <f aca="false">((Assumptions!$E$122*$C$10)*M92)</f>
        <v>0</v>
      </c>
      <c r="N110" s="9" t="n">
        <f aca="false">((Assumptions!$E$122*$C$10)*N92)</f>
        <v>0</v>
      </c>
      <c r="O110" s="9" t="n">
        <f aca="false">((Assumptions!$E$122*$C$10)*O92)</f>
        <v>0</v>
      </c>
      <c r="P110" s="9" t="n">
        <f aca="false">((Assumptions!$E$122*$C$10)*P92)</f>
        <v>0</v>
      </c>
      <c r="Q110" s="9" t="n">
        <f aca="false">((Assumptions!$E$122*$C$10)*Q92)</f>
        <v>0</v>
      </c>
      <c r="R110" s="9" t="n">
        <f aca="false">((Assumptions!$E$122*$C$10)*R92)</f>
        <v>0</v>
      </c>
      <c r="S110" s="9" t="n">
        <f aca="false">((Assumptions!$E$122*$C$10)*S92)</f>
        <v>0</v>
      </c>
      <c r="T110" s="9" t="n">
        <f aca="false">((Assumptions!$E$122*$C$10)*T92)</f>
        <v>0</v>
      </c>
      <c r="U110" s="9" t="n">
        <f aca="false">((Assumptions!$E$122*$C$10)*U92)</f>
        <v>0</v>
      </c>
      <c r="V110" s="9" t="n">
        <f aca="false">((Assumptions!$E$122*$C$10)*V92)</f>
        <v>0</v>
      </c>
      <c r="W110" s="9" t="n">
        <f aca="false">((Assumptions!$E$122*$C$10)*W92)</f>
        <v>0</v>
      </c>
      <c r="X110" s="9" t="n">
        <f aca="false">((Assumptions!$E$122*$C$10)*X92)</f>
        <v>0</v>
      </c>
      <c r="Y110" s="9" t="n">
        <f aca="false">((Assumptions!$E$122*$C$10)*Y92)</f>
        <v>0</v>
      </c>
      <c r="Z110" s="9" t="n">
        <f aca="false">((Assumptions!$E$122*$C$10)*Z92)</f>
        <v>0</v>
      </c>
      <c r="AA110" s="9" t="n">
        <f aca="false">((Assumptions!$E$122*$C$10)*AA92)</f>
        <v>0</v>
      </c>
      <c r="AB110" s="9" t="n">
        <f aca="false">((Assumptions!$E$122*$C$10)*AB92)</f>
        <v>0</v>
      </c>
      <c r="AC110" s="9" t="n">
        <f aca="false">((Assumptions!$E$122*$C$10)*AC92)</f>
        <v>0</v>
      </c>
      <c r="AD110" s="9" t="n">
        <f aca="false">((Assumptions!$E$122*$C$10)*AD92)</f>
        <v>0</v>
      </c>
      <c r="AE110" s="9" t="n">
        <f aca="false">((Assumptions!$E$122*$C$10)*AE92)</f>
        <v>0</v>
      </c>
      <c r="AF110" s="9" t="n">
        <f aca="false">((Assumptions!$E$122*$C$10)*AF92)</f>
        <v>0</v>
      </c>
      <c r="AG110" s="9" t="n">
        <f aca="false">((Assumptions!$E$122*$C$10)*AG92)</f>
        <v>0</v>
      </c>
      <c r="AH110" s="9" t="n">
        <f aca="false">((Assumptions!$E$122*$C$10)*AH92)</f>
        <v>0</v>
      </c>
      <c r="AI110" s="9" t="n">
        <f aca="false">((Assumptions!$E$122*$C$10)*AI92)</f>
        <v>0</v>
      </c>
      <c r="AJ110" s="9" t="n">
        <f aca="false">((Assumptions!$E$122*$C$10)*AJ92)</f>
        <v>0</v>
      </c>
      <c r="AK110" s="9" t="n">
        <f aca="false">((Assumptions!$E$122*$C$10)*AK92)</f>
        <v>0</v>
      </c>
      <c r="AL110" s="9" t="n">
        <f aca="false">((Assumptions!$E$122*$C$10)*AL92)</f>
        <v>60000</v>
      </c>
      <c r="AN110" s="11" t="n">
        <f aca="false">SUM(C110:N110)</f>
        <v>0</v>
      </c>
      <c r="AO110" s="11" t="n">
        <f aca="false">SUM(O110:Z110)</f>
        <v>0</v>
      </c>
      <c r="AP110" s="11" t="n">
        <f aca="false">SUM(AA110:AL110)</f>
        <v>60000</v>
      </c>
    </row>
    <row r="111" customFormat="false" ht="15" hidden="false" customHeight="false" outlineLevel="0" collapsed="false">
      <c r="A111" s="0" t="s">
        <v>917</v>
      </c>
      <c r="B111" s="0" t="s">
        <v>230</v>
      </c>
      <c r="C111" s="9" t="n">
        <f aca="false">((Assumptions!$E$123*$C$10)+(Assumptions!$C$34*Assumptions!$C$35))</f>
        <v>106000</v>
      </c>
      <c r="D111" s="9" t="n">
        <f aca="false">((Assumptions!$E$123*$C$10)+(Assumptions!$C$34*Assumptions!$C$35))</f>
        <v>106000</v>
      </c>
      <c r="E111" s="9" t="n">
        <f aca="false">((Assumptions!$E$123*$C$10)+(Assumptions!$C$34*Assumptions!$C$35))</f>
        <v>106000</v>
      </c>
      <c r="F111" s="9" t="n">
        <f aca="false">((Assumptions!$E$123*$C$10)+(Assumptions!$C$34*Assumptions!$C$35))</f>
        <v>106000</v>
      </c>
      <c r="G111" s="9" t="n">
        <f aca="false">((Assumptions!$E$123*$C$10)+(Assumptions!$C$34*Assumptions!$C$35))</f>
        <v>106000</v>
      </c>
      <c r="H111" s="9" t="n">
        <f aca="false">((Assumptions!$E$123*$C$10)+(Assumptions!$C$34*Assumptions!$C$35))</f>
        <v>106000</v>
      </c>
      <c r="I111" s="9" t="n">
        <f aca="false">((Assumptions!$E$123*$C$10)+(Assumptions!$C$34*Assumptions!$C$35))</f>
        <v>106000</v>
      </c>
      <c r="J111" s="9" t="n">
        <f aca="false">((Assumptions!$E$123*$C$10)+(Assumptions!$C$34*Assumptions!$C$35))</f>
        <v>106000</v>
      </c>
      <c r="K111" s="9" t="n">
        <f aca="false">((Assumptions!$E$123*$C$10)+(Assumptions!$C$34*Assumptions!$C$35))</f>
        <v>106000</v>
      </c>
      <c r="L111" s="9" t="n">
        <f aca="false">((Assumptions!$E$123*$C$10)+(Assumptions!$C$34*Assumptions!$C$35))</f>
        <v>106000</v>
      </c>
      <c r="M111" s="9" t="n">
        <f aca="false">((Assumptions!$E$123*$C$10)+(Assumptions!$C$34*Assumptions!$C$35))</f>
        <v>106000</v>
      </c>
      <c r="N111" s="9" t="n">
        <f aca="false">((Assumptions!$E$123*$C$10)+(Assumptions!$C$34*Assumptions!$C$35))</f>
        <v>106000</v>
      </c>
      <c r="O111" s="9" t="n">
        <f aca="false">((Assumptions!$E$123*$C$10)+(Assumptions!$C$34*Assumptions!$C$35))</f>
        <v>106000</v>
      </c>
      <c r="P111" s="9" t="n">
        <f aca="false">((Assumptions!$E$123*$C$10)+(Assumptions!$C$34*Assumptions!$C$35))</f>
        <v>106000</v>
      </c>
      <c r="Q111" s="9" t="n">
        <f aca="false">((Assumptions!$E$123*$C$10)+(Assumptions!$C$34*Assumptions!$C$35))</f>
        <v>106000</v>
      </c>
      <c r="R111" s="9" t="n">
        <f aca="false">((Assumptions!$E$123*$C$10)+(Assumptions!$C$34*Assumptions!$C$35))</f>
        <v>106000</v>
      </c>
      <c r="S111" s="9" t="n">
        <f aca="false">((Assumptions!$E$123*$C$10)+(Assumptions!$C$34*Assumptions!$C$35))</f>
        <v>106000</v>
      </c>
      <c r="T111" s="9" t="n">
        <f aca="false">((Assumptions!$E$123*$C$10)+(Assumptions!$C$34*Assumptions!$C$35))</f>
        <v>106000</v>
      </c>
      <c r="U111" s="9" t="n">
        <f aca="false">((Assumptions!$E$123*$C$10)+(Assumptions!$C$34*Assumptions!$C$35))</f>
        <v>106000</v>
      </c>
      <c r="V111" s="9" t="n">
        <f aca="false">((Assumptions!$E$123*$C$10)+(Assumptions!$C$34*Assumptions!$C$35))</f>
        <v>106000</v>
      </c>
      <c r="W111" s="9" t="n">
        <f aca="false">((Assumptions!$E$123*$C$10)+(Assumptions!$C$34*Assumptions!$C$35))</f>
        <v>106000</v>
      </c>
      <c r="X111" s="9" t="n">
        <f aca="false">((Assumptions!$E$123*$C$10)+(Assumptions!$C$34*Assumptions!$C$35))</f>
        <v>106000</v>
      </c>
      <c r="Y111" s="9" t="n">
        <f aca="false">((Assumptions!$E$123*$C$10)+(Assumptions!$C$34*Assumptions!$C$35))</f>
        <v>106000</v>
      </c>
      <c r="Z111" s="9" t="n">
        <f aca="false">((Assumptions!$E$123*$C$10)+(Assumptions!$C$34*Assumptions!$C$35))</f>
        <v>106000</v>
      </c>
      <c r="AA111" s="9" t="n">
        <f aca="false">((Assumptions!$E$123*$C$10)+(Assumptions!$C$34*Assumptions!$C$35))</f>
        <v>106000</v>
      </c>
      <c r="AB111" s="9" t="n">
        <f aca="false">((Assumptions!$E$123*$C$10)+(Assumptions!$C$34*Assumptions!$C$35))</f>
        <v>106000</v>
      </c>
      <c r="AC111" s="9" t="n">
        <f aca="false">((Assumptions!$E$123*$C$10)+(Assumptions!$C$34*Assumptions!$C$35))</f>
        <v>106000</v>
      </c>
      <c r="AD111" s="9" t="n">
        <f aca="false">((Assumptions!$E$123*$C$10)+(Assumptions!$C$34*Assumptions!$C$35))</f>
        <v>106000</v>
      </c>
      <c r="AE111" s="9" t="n">
        <f aca="false">((Assumptions!$E$123*$C$10)+(Assumptions!$C$34*Assumptions!$C$35))</f>
        <v>106000</v>
      </c>
      <c r="AF111" s="9" t="n">
        <f aca="false">((Assumptions!$E$123*$C$10)+(Assumptions!$C$34*Assumptions!$C$35))</f>
        <v>106000</v>
      </c>
      <c r="AG111" s="9" t="n">
        <f aca="false">((Assumptions!$E$123*$C$10)+(Assumptions!$C$34*Assumptions!$C$35))</f>
        <v>106000</v>
      </c>
      <c r="AH111" s="9" t="n">
        <f aca="false">((Assumptions!$E$123*$C$10)+(Assumptions!$C$34*Assumptions!$C$35))</f>
        <v>106000</v>
      </c>
      <c r="AI111" s="9" t="n">
        <f aca="false">((Assumptions!$E$123*$C$10)+(Assumptions!$C$34*Assumptions!$C$35))</f>
        <v>106000</v>
      </c>
      <c r="AJ111" s="9" t="n">
        <f aca="false">((Assumptions!$E$123*$C$10)+(Assumptions!$C$34*Assumptions!$C$35))</f>
        <v>106000</v>
      </c>
      <c r="AK111" s="9" t="n">
        <f aca="false">((Assumptions!$E$123*$C$10)+(Assumptions!$C$34*Assumptions!$C$35))</f>
        <v>106000</v>
      </c>
      <c r="AL111" s="9" t="n">
        <f aca="false">((Assumptions!$E$123*$C$10)+(Assumptions!$C$34*Assumptions!$C$35))</f>
        <v>106000</v>
      </c>
    </row>
    <row r="112" customFormat="false" ht="15" hidden="false" customHeight="false" outlineLevel="0" collapsed="false">
      <c r="A112" s="0" t="s">
        <v>918</v>
      </c>
      <c r="B112" s="0" t="s">
        <v>230</v>
      </c>
      <c r="C112" s="9" t="n">
        <f aca="false">((C111/3)*C96)</f>
        <v>0</v>
      </c>
      <c r="D112" s="9" t="n">
        <f aca="false">((D111/3)*SUM(C96:D96))</f>
        <v>0</v>
      </c>
      <c r="E112" s="9" t="n">
        <f aca="false">((E111/3)*SUM(C96:E96))</f>
        <v>0</v>
      </c>
      <c r="F112" s="9" t="n">
        <f aca="false">((F111/3)*SUM(D96:F96))</f>
        <v>0</v>
      </c>
      <c r="G112" s="9" t="n">
        <f aca="false">((G111/3)*SUM(E96:G96))</f>
        <v>0</v>
      </c>
      <c r="H112" s="9" t="n">
        <f aca="false">((H111/3)*SUM(F96:H96))</f>
        <v>0</v>
      </c>
      <c r="I112" s="9" t="n">
        <f aca="false">((I111/3)*SUM(G96:I96))</f>
        <v>0</v>
      </c>
      <c r="J112" s="9" t="n">
        <f aca="false">((J111/3)*SUM(H96:J96))</f>
        <v>0</v>
      </c>
      <c r="K112" s="9" t="n">
        <f aca="false">((K111/3)*SUM(I96:K96))</f>
        <v>0</v>
      </c>
      <c r="L112" s="9" t="n">
        <f aca="false">((L111/3)*SUM(J96:L96))</f>
        <v>0</v>
      </c>
      <c r="M112" s="9" t="n">
        <f aca="false">((M111/3)*SUM(K96:M96))</f>
        <v>0</v>
      </c>
      <c r="N112" s="9" t="n">
        <f aca="false">((N111/3)*SUM(L96:N96))</f>
        <v>0</v>
      </c>
      <c r="O112" s="9" t="n">
        <f aca="false">((O111/3)*SUM(M96:O96))</f>
        <v>0</v>
      </c>
      <c r="P112" s="9" t="n">
        <f aca="false">((P111/3)*SUM(N96:P96))</f>
        <v>0</v>
      </c>
      <c r="Q112" s="9" t="n">
        <f aca="false">((Q111/3)*SUM(O96:Q96))</f>
        <v>0</v>
      </c>
      <c r="R112" s="9" t="n">
        <f aca="false">((R111/3)*SUM(P96:R96))</f>
        <v>0</v>
      </c>
      <c r="S112" s="9" t="n">
        <f aca="false">((S111/3)*SUM(Q96:S96))</f>
        <v>0</v>
      </c>
      <c r="T112" s="9" t="n">
        <f aca="false">((T111/3)*SUM(R96:T96))</f>
        <v>0</v>
      </c>
      <c r="U112" s="9" t="n">
        <f aca="false">((U111/3)*SUM(S96:U96))</f>
        <v>0</v>
      </c>
      <c r="V112" s="9" t="n">
        <f aca="false">((V111/3)*SUM(T96:V96))</f>
        <v>0</v>
      </c>
      <c r="W112" s="9" t="n">
        <f aca="false">((W111/3)*SUM(U96:W96))</f>
        <v>0</v>
      </c>
      <c r="X112" s="9" t="n">
        <f aca="false">((X111/3)*SUM(V96:X96))</f>
        <v>0</v>
      </c>
      <c r="Y112" s="9" t="n">
        <f aca="false">((Y111/3)*SUM(W96:Y96))</f>
        <v>0</v>
      </c>
      <c r="Z112" s="9" t="n">
        <f aca="false">((Z111/3)*SUM(X96:Z96))</f>
        <v>0</v>
      </c>
      <c r="AA112" s="9" t="n">
        <f aca="false">((AA111/3)*SUM(Y96:AA96))</f>
        <v>0</v>
      </c>
      <c r="AB112" s="9" t="n">
        <f aca="false">((AB111/3)*SUM(Z96:AB96))</f>
        <v>0</v>
      </c>
      <c r="AC112" s="9" t="n">
        <f aca="false">((AC111/3)*SUM(AA96:AC96))</f>
        <v>0</v>
      </c>
      <c r="AD112" s="9" t="n">
        <f aca="false">((AD111/3)*SUM(AB96:AD96))</f>
        <v>0</v>
      </c>
      <c r="AE112" s="9" t="n">
        <f aca="false">((AE111/3)*SUM(AC96:AE96))</f>
        <v>0</v>
      </c>
      <c r="AF112" s="9" t="n">
        <f aca="false">((AF111/3)*SUM(AD96:AF96))</f>
        <v>0</v>
      </c>
      <c r="AG112" s="9" t="n">
        <f aca="false">((AG111/3)*SUM(AE96:AG96))</f>
        <v>0</v>
      </c>
      <c r="AH112" s="9" t="n">
        <f aca="false">((AH111/3)*SUM(AF96:AH96))</f>
        <v>0</v>
      </c>
      <c r="AI112" s="9" t="n">
        <f aca="false">((AI111/3)*SUM(AG96:AI96))</f>
        <v>0</v>
      </c>
      <c r="AJ112" s="9" t="n">
        <f aca="false">((AJ111/3)*SUM(AH96:AJ96))</f>
        <v>0</v>
      </c>
      <c r="AK112" s="9" t="n">
        <f aca="false">((AK111/3)*SUM(AI96:AK96))</f>
        <v>0</v>
      </c>
      <c r="AL112" s="9" t="n">
        <f aca="false">((AL111/3)*SUM(AJ96:AL96))</f>
        <v>35333.3333333333</v>
      </c>
      <c r="AN112" s="11" t="n">
        <f aca="false">SUM(C112:N112)</f>
        <v>0</v>
      </c>
      <c r="AO112" s="11" t="n">
        <f aca="false">SUM(O112:Z112)</f>
        <v>0</v>
      </c>
      <c r="AP112" s="11" t="n">
        <f aca="false">SUM(AA112:AL112)</f>
        <v>35333.3333333333</v>
      </c>
    </row>
    <row r="113" customFormat="false" ht="15" hidden="false" customHeight="false" outlineLevel="0" collapsed="false">
      <c r="A113" s="0" t="s">
        <v>919</v>
      </c>
      <c r="B113" s="0" t="s">
        <v>230</v>
      </c>
      <c r="C113" s="9" t="n">
        <f aca="false">(C111*C96)</f>
        <v>0</v>
      </c>
      <c r="D113" s="9" t="n">
        <f aca="false">(D111*D96)</f>
        <v>0</v>
      </c>
      <c r="E113" s="9" t="n">
        <f aca="false">(E111*E96)</f>
        <v>0</v>
      </c>
      <c r="F113" s="9" t="n">
        <f aca="false">(F111*F96)</f>
        <v>0</v>
      </c>
      <c r="G113" s="9" t="n">
        <f aca="false">(G111*G96)</f>
        <v>0</v>
      </c>
      <c r="H113" s="9" t="n">
        <f aca="false">(H111*H96)</f>
        <v>0</v>
      </c>
      <c r="I113" s="9" t="n">
        <f aca="false">(I111*I96)</f>
        <v>0</v>
      </c>
      <c r="J113" s="9" t="n">
        <f aca="false">(J111*J96)</f>
        <v>0</v>
      </c>
      <c r="K113" s="9" t="n">
        <f aca="false">(K111*K96)</f>
        <v>0</v>
      </c>
      <c r="L113" s="9" t="n">
        <f aca="false">(L111*L96)</f>
        <v>0</v>
      </c>
      <c r="M113" s="9" t="n">
        <f aca="false">(M111*M96)</f>
        <v>0</v>
      </c>
      <c r="N113" s="9" t="n">
        <f aca="false">(N111*N96)</f>
        <v>0</v>
      </c>
      <c r="O113" s="9" t="n">
        <f aca="false">(O111*O96)</f>
        <v>0</v>
      </c>
      <c r="P113" s="9" t="n">
        <f aca="false">(P111*P96)</f>
        <v>0</v>
      </c>
      <c r="Q113" s="9" t="n">
        <f aca="false">(Q111*Q96)</f>
        <v>0</v>
      </c>
      <c r="R113" s="9" t="n">
        <f aca="false">(R111*R96)</f>
        <v>0</v>
      </c>
      <c r="S113" s="9" t="n">
        <f aca="false">(S111*S96)</f>
        <v>0</v>
      </c>
      <c r="T113" s="9" t="n">
        <f aca="false">(T111*T96)</f>
        <v>0</v>
      </c>
      <c r="U113" s="9" t="n">
        <f aca="false">(U111*U96)</f>
        <v>0</v>
      </c>
      <c r="V113" s="9" t="n">
        <f aca="false">(V111*V96)</f>
        <v>0</v>
      </c>
      <c r="W113" s="9" t="n">
        <f aca="false">(W111*W96)</f>
        <v>0</v>
      </c>
      <c r="X113" s="9" t="n">
        <f aca="false">(X111*X96)</f>
        <v>0</v>
      </c>
      <c r="Y113" s="9" t="n">
        <f aca="false">(Y111*Y96)</f>
        <v>0</v>
      </c>
      <c r="Z113" s="9" t="n">
        <f aca="false">(Z111*Z96)</f>
        <v>0</v>
      </c>
      <c r="AA113" s="9" t="n">
        <f aca="false">(AA111*AA96)</f>
        <v>0</v>
      </c>
      <c r="AB113" s="9" t="n">
        <f aca="false">(AB111*AB96)</f>
        <v>0</v>
      </c>
      <c r="AC113" s="9" t="n">
        <f aca="false">(AC111*AC96)</f>
        <v>0</v>
      </c>
      <c r="AD113" s="9" t="n">
        <f aca="false">(AD111*AD96)</f>
        <v>0</v>
      </c>
      <c r="AE113" s="9" t="n">
        <f aca="false">(AE111*AE96)</f>
        <v>0</v>
      </c>
      <c r="AF113" s="9" t="n">
        <f aca="false">(AF111*AF96)</f>
        <v>0</v>
      </c>
      <c r="AG113" s="9" t="n">
        <f aca="false">(AG111*AG96)</f>
        <v>0</v>
      </c>
      <c r="AH113" s="9" t="n">
        <f aca="false">(AH111*AH96)</f>
        <v>0</v>
      </c>
      <c r="AI113" s="9" t="n">
        <f aca="false">(AI111*AI96)</f>
        <v>0</v>
      </c>
      <c r="AJ113" s="9" t="n">
        <f aca="false">(AJ111*AJ96)</f>
        <v>0</v>
      </c>
      <c r="AK113" s="9" t="n">
        <f aca="false">(AK111*AK96)</f>
        <v>0</v>
      </c>
      <c r="AL113" s="9" t="n">
        <f aca="false">(AL111*AL96)</f>
        <v>106000</v>
      </c>
      <c r="AN113" s="11" t="n">
        <f aca="false">SUM(C113:N113)</f>
        <v>0</v>
      </c>
      <c r="AO113" s="11" t="n">
        <f aca="false">SUM(O113:Z113)</f>
        <v>0</v>
      </c>
      <c r="AP113" s="11" t="n">
        <f aca="false">SUM(AA113:AL113)</f>
        <v>106000</v>
      </c>
    </row>
    <row r="114" customFormat="false" ht="15" hidden="false" customHeight="false" outlineLevel="0" collapsed="false">
      <c r="A114" s="0" t="s">
        <v>920</v>
      </c>
      <c r="B114" s="0" t="s">
        <v>285</v>
      </c>
      <c r="C114" s="9" t="n">
        <f aca="false">((C93*Assumptions!$E$124)+(C96*(Assumptions!$E$124+(Assumptions!$C$34*Assumptions!$C$36))))</f>
        <v>0</v>
      </c>
      <c r="D114" s="9" t="n">
        <f aca="false">((D93*Assumptions!$E$124)+(D96*(Assumptions!$E$124+(Assumptions!$C$34*Assumptions!$C$36))))</f>
        <v>0</v>
      </c>
      <c r="E114" s="9" t="n">
        <f aca="false">((E93*Assumptions!$E$124)+(E96*(Assumptions!$E$124+(Assumptions!$C$34*Assumptions!$C$36))))</f>
        <v>0</v>
      </c>
      <c r="F114" s="9" t="n">
        <f aca="false">((F93*Assumptions!$E$124)+(F96*(Assumptions!$E$124+(Assumptions!$C$34*Assumptions!$C$36))))</f>
        <v>0</v>
      </c>
      <c r="G114" s="9" t="n">
        <f aca="false">((G93*Assumptions!$E$124)+(G96*(Assumptions!$E$124+(Assumptions!$C$34*Assumptions!$C$36))))</f>
        <v>0</v>
      </c>
      <c r="H114" s="9" t="n">
        <f aca="false">((H93*Assumptions!$E$124)+(H96*(Assumptions!$E$124+(Assumptions!$C$34*Assumptions!$C$36))))</f>
        <v>0</v>
      </c>
      <c r="I114" s="9" t="n">
        <f aca="false">((I93*Assumptions!$E$124)+(I96*(Assumptions!$E$124+(Assumptions!$C$34*Assumptions!$C$36))))</f>
        <v>0</v>
      </c>
      <c r="J114" s="9" t="n">
        <f aca="false">((J93*Assumptions!$E$124)+(J96*(Assumptions!$E$124+(Assumptions!$C$34*Assumptions!$C$36))))</f>
        <v>0</v>
      </c>
      <c r="K114" s="9" t="n">
        <f aca="false">((K93*Assumptions!$E$124)+(K96*(Assumptions!$E$124+(Assumptions!$C$34*Assumptions!$C$36))))</f>
        <v>0</v>
      </c>
      <c r="L114" s="9" t="n">
        <f aca="false">((L93*Assumptions!$E$124)+(L96*(Assumptions!$E$124+(Assumptions!$C$34*Assumptions!$C$36))))</f>
        <v>0</v>
      </c>
      <c r="M114" s="9" t="n">
        <f aca="false">((M93*Assumptions!$E$124)+(M96*(Assumptions!$E$124+(Assumptions!$C$34*Assumptions!$C$36))))</f>
        <v>0</v>
      </c>
      <c r="N114" s="9" t="n">
        <f aca="false">((N93*Assumptions!$E$124)+(N96*(Assumptions!$E$124+(Assumptions!$C$34*Assumptions!$C$36))))</f>
        <v>0</v>
      </c>
      <c r="O114" s="9" t="n">
        <f aca="false">((O93*Assumptions!$E$124)+(O96*(Assumptions!$E$124+(Assumptions!$C$34*Assumptions!$C$36))))</f>
        <v>0</v>
      </c>
      <c r="P114" s="9" t="n">
        <f aca="false">((P93*Assumptions!$E$124)+(P96*(Assumptions!$E$124+(Assumptions!$C$34*Assumptions!$C$36))))</f>
        <v>0</v>
      </c>
      <c r="Q114" s="9" t="n">
        <f aca="false">((Q93*Assumptions!$E$124)+(Q96*(Assumptions!$E$124+(Assumptions!$C$34*Assumptions!$C$36))))</f>
        <v>0</v>
      </c>
      <c r="R114" s="9" t="n">
        <f aca="false">((R93*Assumptions!$E$124)+(R96*(Assumptions!$E$124+(Assumptions!$C$34*Assumptions!$C$36))))</f>
        <v>0</v>
      </c>
      <c r="S114" s="9" t="n">
        <f aca="false">((S93*Assumptions!$E$124)+(S96*(Assumptions!$E$124+(Assumptions!$C$34*Assumptions!$C$36))))</f>
        <v>0</v>
      </c>
      <c r="T114" s="9" t="n">
        <f aca="false">((T93*Assumptions!$E$124)+(T96*(Assumptions!$E$124+(Assumptions!$C$34*Assumptions!$C$36))))</f>
        <v>0</v>
      </c>
      <c r="U114" s="9" t="n">
        <f aca="false">((U93*Assumptions!$E$124)+(U96*(Assumptions!$E$124+(Assumptions!$C$34*Assumptions!$C$36))))</f>
        <v>0</v>
      </c>
      <c r="V114" s="9" t="n">
        <f aca="false">((V93*Assumptions!$E$124)+(V96*(Assumptions!$E$124+(Assumptions!$C$34*Assumptions!$C$36))))</f>
        <v>0</v>
      </c>
      <c r="W114" s="9" t="n">
        <f aca="false">((W93*Assumptions!$E$124)+(W96*(Assumptions!$E$124+(Assumptions!$C$34*Assumptions!$C$36))))</f>
        <v>0</v>
      </c>
      <c r="X114" s="9" t="n">
        <f aca="false">((X93*Assumptions!$E$124)+(X96*(Assumptions!$E$124+(Assumptions!$C$34*Assumptions!$C$36))))</f>
        <v>0</v>
      </c>
      <c r="Y114" s="9" t="n">
        <f aca="false">((Y93*Assumptions!$E$124)+(Y96*(Assumptions!$E$124+(Assumptions!$C$34*Assumptions!$C$36))))</f>
        <v>0</v>
      </c>
      <c r="Z114" s="9" t="n">
        <f aca="false">((Z93*Assumptions!$E$124)+(Z96*(Assumptions!$E$124+(Assumptions!$C$34*Assumptions!$C$36))))</f>
        <v>0</v>
      </c>
      <c r="AA114" s="9" t="n">
        <f aca="false">((AA93*Assumptions!$E$124)+(AA96*(Assumptions!$E$124+(Assumptions!$C$34*Assumptions!$C$36))))</f>
        <v>0</v>
      </c>
      <c r="AB114" s="9" t="n">
        <f aca="false">((AB93*Assumptions!$E$124)+(AB96*(Assumptions!$E$124+(Assumptions!$C$34*Assumptions!$C$36))))</f>
        <v>0</v>
      </c>
      <c r="AC114" s="9" t="n">
        <f aca="false">((AC93*Assumptions!$E$124)+(AC96*(Assumptions!$E$124+(Assumptions!$C$34*Assumptions!$C$36))))</f>
        <v>0</v>
      </c>
      <c r="AD114" s="9" t="n">
        <f aca="false">((AD93*Assumptions!$E$124)+(AD96*(Assumptions!$E$124+(Assumptions!$C$34*Assumptions!$C$36))))</f>
        <v>0</v>
      </c>
      <c r="AE114" s="9" t="n">
        <f aca="false">((AE93*Assumptions!$E$124)+(AE96*(Assumptions!$E$124+(Assumptions!$C$34*Assumptions!$C$36))))</f>
        <v>0</v>
      </c>
      <c r="AF114" s="9" t="n">
        <f aca="false">((AF93*Assumptions!$E$124)+(AF96*(Assumptions!$E$124+(Assumptions!$C$34*Assumptions!$C$36))))</f>
        <v>0</v>
      </c>
      <c r="AG114" s="9" t="n">
        <f aca="false">((AG93*Assumptions!$E$124)+(AG96*(Assumptions!$E$124+(Assumptions!$C$34*Assumptions!$C$36))))</f>
        <v>0</v>
      </c>
      <c r="AH114" s="9" t="n">
        <f aca="false">((AH93*Assumptions!$E$124)+(AH96*(Assumptions!$E$124+(Assumptions!$C$34*Assumptions!$C$36))))</f>
        <v>0</v>
      </c>
      <c r="AI114" s="9" t="n">
        <f aca="false">((AI93*Assumptions!$E$124)+(AI96*(Assumptions!$E$124+(Assumptions!$C$34*Assumptions!$C$36))))</f>
        <v>0</v>
      </c>
      <c r="AJ114" s="9" t="n">
        <f aca="false">((AJ93*Assumptions!$E$124)+(AJ96*(Assumptions!$E$124+(Assumptions!$C$34*Assumptions!$C$36))))</f>
        <v>0</v>
      </c>
      <c r="AK114" s="9" t="n">
        <f aca="false">((AK93*Assumptions!$E$124)+(AK96*(Assumptions!$E$124+(Assumptions!$C$34*Assumptions!$C$36))))</f>
        <v>0</v>
      </c>
      <c r="AL114" s="9" t="n">
        <f aca="false">((AL93*Assumptions!$E$124)+(AL96*(Assumptions!$E$124+(Assumptions!$C$34*Assumptions!$C$36))))</f>
        <v>844</v>
      </c>
      <c r="AN114" s="11" t="n">
        <f aca="false">SUM(C114:N114)</f>
        <v>0</v>
      </c>
      <c r="AO114" s="11" t="n">
        <f aca="false">SUM(O114:Z114)</f>
        <v>0</v>
      </c>
      <c r="AP114" s="11" t="n">
        <f aca="false">SUM(AA114:AL114)</f>
        <v>844</v>
      </c>
    </row>
    <row r="115" customFormat="false" ht="15" hidden="false" customHeight="false" outlineLevel="0" collapsed="false">
      <c r="A115" s="21" t="s">
        <v>921</v>
      </c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</row>
    <row r="116" customFormat="false" ht="15" hidden="false" customHeight="false" outlineLevel="0" collapsed="false">
      <c r="A116" s="0" t="s">
        <v>922</v>
      </c>
      <c r="B116" s="0" t="s">
        <v>852</v>
      </c>
      <c r="C116" s="14" t="n">
        <f aca="false">((C48+C71)+C94)</f>
        <v>0</v>
      </c>
      <c r="D116" s="14" t="n">
        <f aca="false">((D48+D71)+D94)</f>
        <v>0</v>
      </c>
      <c r="E116" s="14" t="n">
        <f aca="false">((E48+E71)+E94)</f>
        <v>0</v>
      </c>
      <c r="F116" s="14" t="n">
        <f aca="false">((F48+F71)+F94)</f>
        <v>0</v>
      </c>
      <c r="G116" s="14" t="n">
        <f aca="false">((G48+G71)+G94)</f>
        <v>1</v>
      </c>
      <c r="H116" s="14" t="n">
        <f aca="false">((H48+H71)+H94)</f>
        <v>0</v>
      </c>
      <c r="I116" s="14" t="n">
        <f aca="false">((I48+I71)+I94)</f>
        <v>0</v>
      </c>
      <c r="J116" s="14" t="n">
        <f aca="false">((J48+J71)+J94)</f>
        <v>1</v>
      </c>
      <c r="K116" s="14" t="n">
        <f aca="false">((K48+K71)+K94)</f>
        <v>0</v>
      </c>
      <c r="L116" s="14" t="n">
        <f aca="false">((L48+L71)+L94)</f>
        <v>0</v>
      </c>
      <c r="M116" s="14" t="n">
        <f aca="false">((M48+M71)+M94)</f>
        <v>0</v>
      </c>
      <c r="N116" s="14" t="n">
        <f aca="false">((N48+N71)+N94)</f>
        <v>0</v>
      </c>
      <c r="O116" s="14" t="n">
        <f aca="false">((O48+O71)+O94)</f>
        <v>0</v>
      </c>
      <c r="P116" s="14" t="n">
        <f aca="false">((P48+P71)+P94)</f>
        <v>0</v>
      </c>
      <c r="Q116" s="14" t="n">
        <f aca="false">((Q48+Q71)+Q94)</f>
        <v>0</v>
      </c>
      <c r="R116" s="14" t="n">
        <f aca="false">((R48+R71)+R94)</f>
        <v>0</v>
      </c>
      <c r="S116" s="14" t="n">
        <f aca="false">((S48+S71)+S94)</f>
        <v>0</v>
      </c>
      <c r="T116" s="14" t="n">
        <f aca="false">((T48+T71)+T94)</f>
        <v>0</v>
      </c>
      <c r="U116" s="14" t="n">
        <f aca="false">((U48+U71)+U94)</f>
        <v>1</v>
      </c>
      <c r="V116" s="14" t="n">
        <f aca="false">((V48+V71)+V94)</f>
        <v>0</v>
      </c>
      <c r="W116" s="14" t="n">
        <f aca="false">((W48+W71)+W94)</f>
        <v>0</v>
      </c>
      <c r="X116" s="14" t="n">
        <f aca="false">((X48+X71)+X94)</f>
        <v>2</v>
      </c>
      <c r="Y116" s="14" t="n">
        <f aca="false">((Y48+Y71)+Y94)</f>
        <v>0</v>
      </c>
      <c r="Z116" s="14" t="n">
        <f aca="false">((Z48+Z71)+Z94)</f>
        <v>0</v>
      </c>
      <c r="AA116" s="14" t="n">
        <f aca="false">((AA48+AA71)+AA94)</f>
        <v>3</v>
      </c>
      <c r="AB116" s="14" t="n">
        <f aca="false">((AB48+AB71)+AB94)</f>
        <v>0</v>
      </c>
      <c r="AC116" s="14" t="n">
        <f aca="false">((AC48+AC71)+AC94)</f>
        <v>0</v>
      </c>
      <c r="AD116" s="14" t="n">
        <f aca="false">((AD48+AD71)+AD94)</f>
        <v>3</v>
      </c>
      <c r="AE116" s="14" t="n">
        <f aca="false">((AE48+AE71)+AE94)</f>
        <v>0</v>
      </c>
      <c r="AF116" s="14" t="n">
        <f aca="false">((AF48+AF71)+AF94)</f>
        <v>0</v>
      </c>
      <c r="AG116" s="14" t="n">
        <f aca="false">((AG48+AG71)+AG94)</f>
        <v>4</v>
      </c>
      <c r="AH116" s="14" t="n">
        <f aca="false">((AH48+AH71)+AH94)</f>
        <v>0</v>
      </c>
      <c r="AI116" s="14" t="n">
        <f aca="false">((AI48+AI71)+AI94)</f>
        <v>0</v>
      </c>
      <c r="AJ116" s="14" t="n">
        <f aca="false">((AJ48+AJ71)+AJ94)</f>
        <v>5</v>
      </c>
      <c r="AK116" s="14" t="n">
        <f aca="false">((AK48+AK71)+AK94)</f>
        <v>0</v>
      </c>
      <c r="AL116" s="14" t="n">
        <f aca="false">((AL48+AL71)+AL94)</f>
        <v>1</v>
      </c>
      <c r="AN116" s="36" t="n">
        <f aca="false">SUM(C116:N116)</f>
        <v>2</v>
      </c>
      <c r="AO116" s="36" t="n">
        <f aca="false">SUM(O116:Z116)</f>
        <v>3</v>
      </c>
      <c r="AP116" s="36" t="n">
        <f aca="false">SUM(AA116:AL116)</f>
        <v>16</v>
      </c>
    </row>
    <row r="117" customFormat="false" ht="15" hidden="false" customHeight="false" outlineLevel="0" collapsed="false">
      <c r="A117" s="0" t="s">
        <v>923</v>
      </c>
      <c r="B117" s="0" t="s">
        <v>852</v>
      </c>
      <c r="C117" s="14" t="n">
        <f aca="false">((C46+C69)+C92)</f>
        <v>0</v>
      </c>
      <c r="D117" s="14" t="n">
        <f aca="false">((D46+D69)+D92)</f>
        <v>0</v>
      </c>
      <c r="E117" s="14" t="n">
        <f aca="false">((E46+E69)+E92)</f>
        <v>0</v>
      </c>
      <c r="F117" s="14" t="n">
        <f aca="false">((F46+F69)+F92)</f>
        <v>0</v>
      </c>
      <c r="G117" s="14" t="n">
        <f aca="false">((G46+G69)+G92)</f>
        <v>0</v>
      </c>
      <c r="H117" s="14" t="n">
        <f aca="false">((H46+H69)+H92)</f>
        <v>0</v>
      </c>
      <c r="I117" s="14" t="n">
        <f aca="false">((I46+I69)+I92)</f>
        <v>0</v>
      </c>
      <c r="J117" s="14" t="n">
        <f aca="false">((J46+J69)+J92)</f>
        <v>0</v>
      </c>
      <c r="K117" s="14" t="n">
        <f aca="false">((K46+K69)+K92)</f>
        <v>0</v>
      </c>
      <c r="L117" s="14" t="n">
        <f aca="false">((L46+L69)+L92)</f>
        <v>0</v>
      </c>
      <c r="M117" s="14" t="n">
        <f aca="false">((M46+M69)+M92)</f>
        <v>0</v>
      </c>
      <c r="N117" s="14" t="n">
        <f aca="false">((N46+N69)+N92)</f>
        <v>0</v>
      </c>
      <c r="O117" s="14" t="n">
        <f aca="false">((O46+O69)+O92)</f>
        <v>0</v>
      </c>
      <c r="P117" s="14" t="n">
        <f aca="false">((P46+P69)+P92)</f>
        <v>0</v>
      </c>
      <c r="Q117" s="14" t="n">
        <f aca="false">((Q46+Q69)+Q92)</f>
        <v>0</v>
      </c>
      <c r="R117" s="14" t="n">
        <f aca="false">((R46+R69)+R92)</f>
        <v>0</v>
      </c>
      <c r="S117" s="14" t="n">
        <f aca="false">((S46+S69)+S92)</f>
        <v>0</v>
      </c>
      <c r="T117" s="14" t="n">
        <f aca="false">((T46+T69)+T92)</f>
        <v>0</v>
      </c>
      <c r="U117" s="14" t="n">
        <f aca="false">((U46+U69)+U92)</f>
        <v>1</v>
      </c>
      <c r="V117" s="14" t="n">
        <f aca="false">((V46+V69)+V92)</f>
        <v>0</v>
      </c>
      <c r="W117" s="14" t="n">
        <f aca="false">((W46+W69)+W92)</f>
        <v>0</v>
      </c>
      <c r="X117" s="14" t="n">
        <f aca="false">((X46+X69)+X92)</f>
        <v>2</v>
      </c>
      <c r="Y117" s="14" t="n">
        <f aca="false">((Y46+Y69)+Y92)</f>
        <v>0</v>
      </c>
      <c r="Z117" s="14" t="n">
        <f aca="false">((Z46+Z69)+Z92)</f>
        <v>0</v>
      </c>
      <c r="AA117" s="14" t="n">
        <f aca="false">((AA46+AA69)+AA92)</f>
        <v>3</v>
      </c>
      <c r="AB117" s="14" t="n">
        <f aca="false">((AB46+AB69)+AB92)</f>
        <v>0</v>
      </c>
      <c r="AC117" s="14" t="n">
        <f aca="false">((AC46+AC69)+AC92)</f>
        <v>0</v>
      </c>
      <c r="AD117" s="14" t="n">
        <f aca="false">((AD46+AD69)+AD92)</f>
        <v>3</v>
      </c>
      <c r="AE117" s="14" t="n">
        <f aca="false">((AE46+AE69)+AE92)</f>
        <v>0</v>
      </c>
      <c r="AF117" s="14" t="n">
        <f aca="false">((AF46+AF69)+AF92)</f>
        <v>0</v>
      </c>
      <c r="AG117" s="14" t="n">
        <f aca="false">((AG46+AG69)+AG92)</f>
        <v>4</v>
      </c>
      <c r="AH117" s="14" t="n">
        <f aca="false">((AH46+AH69)+AH92)</f>
        <v>0</v>
      </c>
      <c r="AI117" s="14" t="n">
        <f aca="false">((AI46+AI69)+AI92)</f>
        <v>0</v>
      </c>
      <c r="AJ117" s="14" t="n">
        <f aca="false">((AJ46+AJ69)+AJ92)</f>
        <v>5</v>
      </c>
      <c r="AK117" s="14" t="n">
        <f aca="false">((AK46+AK69)+AK92)</f>
        <v>0</v>
      </c>
      <c r="AL117" s="14" t="n">
        <f aca="false">((AL46+AL69)+AL92)</f>
        <v>1</v>
      </c>
      <c r="AN117" s="36" t="n">
        <f aca="false">SUM(C117:N117)</f>
        <v>0</v>
      </c>
      <c r="AO117" s="36" t="n">
        <f aca="false">SUM(O117:Z117)</f>
        <v>3</v>
      </c>
      <c r="AP117" s="36" t="n">
        <f aca="false">SUM(AA117:AL117)</f>
        <v>16</v>
      </c>
    </row>
    <row r="118" customFormat="false" ht="15" hidden="false" customHeight="false" outlineLevel="0" collapsed="false">
      <c r="A118" s="0" t="s">
        <v>924</v>
      </c>
      <c r="B118" s="0" t="s">
        <v>852</v>
      </c>
      <c r="C118" s="14" t="n">
        <f aca="false">((C47+C70)+C93)</f>
        <v>0</v>
      </c>
      <c r="D118" s="14" t="n">
        <f aca="false">((D47+D70)+D93)</f>
        <v>0</v>
      </c>
      <c r="E118" s="14" t="n">
        <f aca="false">((E47+E70)+E93)</f>
        <v>0</v>
      </c>
      <c r="F118" s="14" t="n">
        <f aca="false">((F47+F70)+F93)</f>
        <v>0</v>
      </c>
      <c r="G118" s="14" t="n">
        <f aca="false">((G47+G70)+G93)</f>
        <v>1</v>
      </c>
      <c r="H118" s="14" t="n">
        <f aca="false">((H47+H70)+H93)</f>
        <v>0</v>
      </c>
      <c r="I118" s="14" t="n">
        <f aca="false">((I47+I70)+I93)</f>
        <v>0</v>
      </c>
      <c r="J118" s="14" t="n">
        <f aca="false">((J47+J70)+J93)</f>
        <v>1</v>
      </c>
      <c r="K118" s="14" t="n">
        <f aca="false">((K47+K70)+K93)</f>
        <v>0</v>
      </c>
      <c r="L118" s="14" t="n">
        <f aca="false">((L47+L70)+L93)</f>
        <v>0</v>
      </c>
      <c r="M118" s="14" t="n">
        <f aca="false">((M47+M70)+M93)</f>
        <v>0</v>
      </c>
      <c r="N118" s="14" t="n">
        <f aca="false">((N47+N70)+N93)</f>
        <v>0</v>
      </c>
      <c r="O118" s="14" t="n">
        <f aca="false">((O47+O70)+O93)</f>
        <v>0</v>
      </c>
      <c r="P118" s="14" t="n">
        <f aca="false">((P47+P70)+P93)</f>
        <v>0</v>
      </c>
      <c r="Q118" s="14" t="n">
        <f aca="false">((Q47+Q70)+Q93)</f>
        <v>0</v>
      </c>
      <c r="R118" s="14" t="n">
        <f aca="false">((R47+R70)+R93)</f>
        <v>0</v>
      </c>
      <c r="S118" s="14" t="n">
        <f aca="false">((S47+S70)+S93)</f>
        <v>0</v>
      </c>
      <c r="T118" s="14" t="n">
        <f aca="false">((T47+T70)+T93)</f>
        <v>0</v>
      </c>
      <c r="U118" s="14" t="n">
        <f aca="false">((U47+U70)+U93)</f>
        <v>0</v>
      </c>
      <c r="V118" s="14" t="n">
        <f aca="false">((V47+V70)+V93)</f>
        <v>0</v>
      </c>
      <c r="W118" s="14" t="n">
        <f aca="false">((W47+W70)+W93)</f>
        <v>0</v>
      </c>
      <c r="X118" s="14" t="n">
        <f aca="false">((X47+X70)+X93)</f>
        <v>0</v>
      </c>
      <c r="Y118" s="14" t="n">
        <f aca="false">((Y47+Y70)+Y93)</f>
        <v>0</v>
      </c>
      <c r="Z118" s="14" t="n">
        <f aca="false">((Z47+Z70)+Z93)</f>
        <v>0</v>
      </c>
      <c r="AA118" s="14" t="n">
        <f aca="false">((AA47+AA70)+AA93)</f>
        <v>0</v>
      </c>
      <c r="AB118" s="14" t="n">
        <f aca="false">((AB47+AB70)+AB93)</f>
        <v>0</v>
      </c>
      <c r="AC118" s="14" t="n">
        <f aca="false">((AC47+AC70)+AC93)</f>
        <v>0</v>
      </c>
      <c r="AD118" s="14" t="n">
        <f aca="false">((AD47+AD70)+AD93)</f>
        <v>0</v>
      </c>
      <c r="AE118" s="14" t="n">
        <f aca="false">((AE47+AE70)+AE93)</f>
        <v>0</v>
      </c>
      <c r="AF118" s="14" t="n">
        <f aca="false">((AF47+AF70)+AF93)</f>
        <v>0</v>
      </c>
      <c r="AG118" s="14" t="n">
        <f aca="false">((AG47+AG70)+AG93)</f>
        <v>0</v>
      </c>
      <c r="AH118" s="14" t="n">
        <f aca="false">((AH47+AH70)+AH93)</f>
        <v>0</v>
      </c>
      <c r="AI118" s="14" t="n">
        <f aca="false">((AI47+AI70)+AI93)</f>
        <v>0</v>
      </c>
      <c r="AJ118" s="14" t="n">
        <f aca="false">((AJ47+AJ70)+AJ93)</f>
        <v>0</v>
      </c>
      <c r="AK118" s="14" t="n">
        <f aca="false">((AK47+AK70)+AK93)</f>
        <v>0</v>
      </c>
      <c r="AL118" s="14" t="n">
        <f aca="false">((AL47+AL70)+AL93)</f>
        <v>0</v>
      </c>
      <c r="AN118" s="36" t="n">
        <f aca="false">SUM(C118:N118)</f>
        <v>2</v>
      </c>
      <c r="AO118" s="36" t="n">
        <f aca="false">SUM(O118:Z118)</f>
        <v>0</v>
      </c>
      <c r="AP118" s="36" t="n">
        <f aca="false">SUM(AA118:AL118)</f>
        <v>0</v>
      </c>
    </row>
    <row r="119" customFormat="false" ht="15" hidden="false" customHeight="false" outlineLevel="0" collapsed="false">
      <c r="A119" s="0" t="s">
        <v>925</v>
      </c>
      <c r="B119" s="0" t="s">
        <v>852</v>
      </c>
      <c r="C119" s="14" t="n">
        <f aca="false">((C49+C72)+C95)</f>
        <v>0</v>
      </c>
      <c r="D119" s="14" t="n">
        <f aca="false">((D49+D72)+D95)</f>
        <v>0</v>
      </c>
      <c r="E119" s="14" t="n">
        <f aca="false">((E49+E72)+E95)</f>
        <v>0</v>
      </c>
      <c r="F119" s="14" t="n">
        <f aca="false">((F49+F72)+F95)</f>
        <v>0</v>
      </c>
      <c r="G119" s="14" t="n">
        <f aca="false">((G49+G72)+G95)</f>
        <v>0</v>
      </c>
      <c r="H119" s="14" t="n">
        <f aca="false">((H49+H72)+H95)</f>
        <v>0</v>
      </c>
      <c r="I119" s="14" t="n">
        <f aca="false">((I49+I72)+I95)</f>
        <v>0</v>
      </c>
      <c r="J119" s="14" t="n">
        <f aca="false">((J49+J72)+J95)</f>
        <v>0</v>
      </c>
      <c r="K119" s="14" t="n">
        <f aca="false">((K49+K72)+K95)</f>
        <v>0</v>
      </c>
      <c r="L119" s="14" t="n">
        <f aca="false">((L49+L72)+L95)</f>
        <v>0</v>
      </c>
      <c r="M119" s="14" t="n">
        <f aca="false">((M49+M72)+M95)</f>
        <v>0</v>
      </c>
      <c r="N119" s="14" t="n">
        <f aca="false">((N49+N72)+N95)</f>
        <v>0</v>
      </c>
      <c r="O119" s="14" t="n">
        <f aca="false">((O49+O72)+O95)</f>
        <v>0</v>
      </c>
      <c r="P119" s="14" t="n">
        <f aca="false">((P49+P72)+P95)</f>
        <v>0</v>
      </c>
      <c r="Q119" s="14" t="n">
        <f aca="false">((Q49+Q72)+Q95)</f>
        <v>0</v>
      </c>
      <c r="R119" s="14" t="n">
        <f aca="false">((R49+R72)+R95)</f>
        <v>0</v>
      </c>
      <c r="S119" s="14" t="n">
        <f aca="false">((S49+S72)+S95)</f>
        <v>0</v>
      </c>
      <c r="T119" s="14" t="n">
        <f aca="false">((T49+T72)+T95)</f>
        <v>0</v>
      </c>
      <c r="U119" s="14" t="n">
        <f aca="false">((U49+U72)+U95)</f>
        <v>0</v>
      </c>
      <c r="V119" s="14" t="n">
        <f aca="false">((V49+V72)+V95)</f>
        <v>0</v>
      </c>
      <c r="W119" s="14" t="n">
        <f aca="false">((W49+W72)+W95)</f>
        <v>0</v>
      </c>
      <c r="X119" s="14" t="n">
        <f aca="false">((X49+X72)+X95)</f>
        <v>0</v>
      </c>
      <c r="Y119" s="14" t="n">
        <f aca="false">((Y49+Y72)+Y95)</f>
        <v>0</v>
      </c>
      <c r="Z119" s="14" t="n">
        <f aca="false">((Z49+Z72)+Z95)</f>
        <v>0</v>
      </c>
      <c r="AA119" s="14" t="n">
        <f aca="false">((AA49+AA72)+AA95)</f>
        <v>0</v>
      </c>
      <c r="AB119" s="14" t="n">
        <f aca="false">((AB49+AB72)+AB95)</f>
        <v>0</v>
      </c>
      <c r="AC119" s="14" t="n">
        <f aca="false">((AC49+AC72)+AC95)</f>
        <v>0</v>
      </c>
      <c r="AD119" s="14" t="n">
        <f aca="false">((AD49+AD72)+AD95)</f>
        <v>0</v>
      </c>
      <c r="AE119" s="14" t="n">
        <f aca="false">((AE49+AE72)+AE95)</f>
        <v>1</v>
      </c>
      <c r="AF119" s="14" t="n">
        <f aca="false">((AF49+AF72)+AF95)</f>
        <v>0</v>
      </c>
      <c r="AG119" s="14" t="n">
        <f aca="false">((AG49+AG72)+AG95)</f>
        <v>0</v>
      </c>
      <c r="AH119" s="14" t="n">
        <f aca="false">((AH49+AH72)+AH95)</f>
        <v>2</v>
      </c>
      <c r="AI119" s="14" t="n">
        <f aca="false">((AI49+AI72)+AI95)</f>
        <v>0</v>
      </c>
      <c r="AJ119" s="14" t="n">
        <f aca="false">((AJ49+AJ72)+AJ95)</f>
        <v>0</v>
      </c>
      <c r="AK119" s="14" t="n">
        <f aca="false">((AK49+AK72)+AK95)</f>
        <v>3</v>
      </c>
      <c r="AL119" s="14" t="n">
        <f aca="false">((AL49+AL72)+AL95)</f>
        <v>0</v>
      </c>
      <c r="AN119" s="36" t="n">
        <f aca="false">SUM(C119:N119)</f>
        <v>0</v>
      </c>
      <c r="AO119" s="36" t="n">
        <f aca="false">SUM(O119:Z119)</f>
        <v>0</v>
      </c>
      <c r="AP119" s="36" t="n">
        <f aca="false">SUM(AA119:AL119)</f>
        <v>6</v>
      </c>
    </row>
    <row r="120" customFormat="false" ht="15" hidden="false" customHeight="false" outlineLevel="0" collapsed="false">
      <c r="A120" s="0" t="s">
        <v>926</v>
      </c>
      <c r="B120" s="0" t="s">
        <v>852</v>
      </c>
      <c r="C120" s="14" t="n">
        <f aca="false">((C50+C73)+C96)</f>
        <v>0</v>
      </c>
      <c r="D120" s="14" t="n">
        <f aca="false">((D50+D73)+D96)</f>
        <v>0</v>
      </c>
      <c r="E120" s="14" t="n">
        <f aca="false">((E50+E73)+E96)</f>
        <v>0</v>
      </c>
      <c r="F120" s="14" t="n">
        <f aca="false">((F50+F73)+F96)</f>
        <v>0</v>
      </c>
      <c r="G120" s="14" t="n">
        <f aca="false">((G50+G73)+G96)</f>
        <v>0</v>
      </c>
      <c r="H120" s="14" t="n">
        <f aca="false">((H50+H73)+H96)</f>
        <v>0</v>
      </c>
      <c r="I120" s="14" t="n">
        <f aca="false">((I50+I73)+I96)</f>
        <v>0</v>
      </c>
      <c r="J120" s="14" t="n">
        <f aca="false">((J50+J73)+J96)</f>
        <v>0</v>
      </c>
      <c r="K120" s="14" t="n">
        <f aca="false">((K50+K73)+K96)</f>
        <v>0</v>
      </c>
      <c r="L120" s="14" t="n">
        <f aca="false">((L50+L73)+L96)</f>
        <v>0</v>
      </c>
      <c r="M120" s="14" t="n">
        <f aca="false">((M50+M73)+M96)</f>
        <v>0</v>
      </c>
      <c r="N120" s="14" t="n">
        <f aca="false">((N50+N73)+N96)</f>
        <v>0</v>
      </c>
      <c r="O120" s="14" t="n">
        <f aca="false">((O50+O73)+O96)</f>
        <v>0</v>
      </c>
      <c r="P120" s="14" t="n">
        <f aca="false">((P50+P73)+P96)</f>
        <v>0</v>
      </c>
      <c r="Q120" s="14" t="n">
        <f aca="false">((Q50+Q73)+Q96)</f>
        <v>0</v>
      </c>
      <c r="R120" s="14" t="n">
        <f aca="false">((R50+R73)+R96)</f>
        <v>0</v>
      </c>
      <c r="S120" s="14" t="n">
        <f aca="false">((S50+S73)+S96)</f>
        <v>0</v>
      </c>
      <c r="T120" s="14" t="n">
        <f aca="false">((T50+T73)+T96)</f>
        <v>0</v>
      </c>
      <c r="U120" s="14" t="n">
        <f aca="false">((U50+U73)+U96)</f>
        <v>1</v>
      </c>
      <c r="V120" s="14" t="n">
        <f aca="false">((V50+V73)+V96)</f>
        <v>0</v>
      </c>
      <c r="W120" s="14" t="n">
        <f aca="false">((W50+W73)+W96)</f>
        <v>0</v>
      </c>
      <c r="X120" s="14" t="n">
        <f aca="false">((X50+X73)+X96)</f>
        <v>2</v>
      </c>
      <c r="Y120" s="14" t="n">
        <f aca="false">((Y50+Y73)+Y96)</f>
        <v>0</v>
      </c>
      <c r="Z120" s="14" t="n">
        <f aca="false">((Z50+Z73)+Z96)</f>
        <v>0</v>
      </c>
      <c r="AA120" s="14" t="n">
        <f aca="false">((AA50+AA73)+AA96)</f>
        <v>3</v>
      </c>
      <c r="AB120" s="14" t="n">
        <f aca="false">((AB50+AB73)+AB96)</f>
        <v>0</v>
      </c>
      <c r="AC120" s="14" t="n">
        <f aca="false">((AC50+AC73)+AC96)</f>
        <v>0</v>
      </c>
      <c r="AD120" s="14" t="n">
        <f aca="false">((AD50+AD73)+AD96)</f>
        <v>3</v>
      </c>
      <c r="AE120" s="14" t="n">
        <f aca="false">((AE50+AE73)+AE96)</f>
        <v>1</v>
      </c>
      <c r="AF120" s="14" t="n">
        <f aca="false">((AF50+AF73)+AF96)</f>
        <v>0</v>
      </c>
      <c r="AG120" s="14" t="n">
        <f aca="false">((AG50+AG73)+AG96)</f>
        <v>4</v>
      </c>
      <c r="AH120" s="14" t="n">
        <f aca="false">((AH50+AH73)+AH96)</f>
        <v>2</v>
      </c>
      <c r="AI120" s="14" t="n">
        <f aca="false">((AI50+AI73)+AI96)</f>
        <v>0</v>
      </c>
      <c r="AJ120" s="14" t="n">
        <f aca="false">((AJ50+AJ73)+AJ96)</f>
        <v>5</v>
      </c>
      <c r="AK120" s="14" t="n">
        <f aca="false">((AK50+AK73)+AK96)</f>
        <v>3</v>
      </c>
      <c r="AL120" s="14" t="n">
        <f aca="false">((AL50+AL73)+AL96)</f>
        <v>1</v>
      </c>
      <c r="AN120" s="36" t="n">
        <f aca="false">SUM(C120:N120)</f>
        <v>0</v>
      </c>
      <c r="AO120" s="36" t="n">
        <f aca="false">SUM(O120:Z120)</f>
        <v>3</v>
      </c>
      <c r="AP120" s="36" t="n">
        <f aca="false">SUM(AA120:AL120)</f>
        <v>22</v>
      </c>
    </row>
    <row r="121" customFormat="false" ht="15" hidden="false" customHeight="false" outlineLevel="0" collapsed="false">
      <c r="A121" s="0" t="s">
        <v>927</v>
      </c>
      <c r="B121" s="0" t="s">
        <v>852</v>
      </c>
      <c r="C121" s="14" t="n">
        <f aca="false">((C55+C78)+C101)</f>
        <v>0</v>
      </c>
      <c r="D121" s="14" t="n">
        <f aca="false">((D55+D78)+D101)</f>
        <v>0</v>
      </c>
      <c r="E121" s="14" t="n">
        <f aca="false">((E55+E78)+E101)</f>
        <v>0</v>
      </c>
      <c r="F121" s="14" t="n">
        <f aca="false">((F55+F78)+F101)</f>
        <v>0</v>
      </c>
      <c r="G121" s="14" t="n">
        <f aca="false">((G55+G78)+G101)</f>
        <v>0</v>
      </c>
      <c r="H121" s="14" t="n">
        <f aca="false">((H55+H78)+H101)</f>
        <v>0</v>
      </c>
      <c r="I121" s="14" t="n">
        <f aca="false">((I55+I78)+I101)</f>
        <v>0</v>
      </c>
      <c r="J121" s="14" t="n">
        <f aca="false">((J55+J78)+J101)</f>
        <v>0</v>
      </c>
      <c r="K121" s="14" t="n">
        <f aca="false">((K55+K78)+K101)</f>
        <v>0</v>
      </c>
      <c r="L121" s="14" t="n">
        <f aca="false">((L55+L78)+L101)</f>
        <v>0</v>
      </c>
      <c r="M121" s="14" t="n">
        <f aca="false">((M55+M78)+M101)</f>
        <v>0</v>
      </c>
      <c r="N121" s="14" t="n">
        <f aca="false">((N55+N78)+N101)</f>
        <v>0</v>
      </c>
      <c r="O121" s="14" t="n">
        <f aca="false">((O55+O78)+O101)</f>
        <v>0</v>
      </c>
      <c r="P121" s="14" t="n">
        <f aca="false">((P55+P78)+P101)</f>
        <v>0</v>
      </c>
      <c r="Q121" s="14" t="n">
        <f aca="false">((Q55+Q78)+Q101)</f>
        <v>0</v>
      </c>
      <c r="R121" s="14" t="n">
        <f aca="false">((R55+R78)+R101)</f>
        <v>0</v>
      </c>
      <c r="S121" s="14" t="n">
        <f aca="false">((S55+S78)+S101)</f>
        <v>0</v>
      </c>
      <c r="T121" s="14" t="n">
        <f aca="false">((T55+T78)+T101)</f>
        <v>1.08</v>
      </c>
      <c r="U121" s="14" t="n">
        <f aca="false">((U55+U78)+U101)</f>
        <v>0</v>
      </c>
      <c r="V121" s="14" t="n">
        <f aca="false">((V55+V78)+V101)</f>
        <v>0</v>
      </c>
      <c r="W121" s="14" t="n">
        <f aca="false">((W55+W78)+W101)</f>
        <v>0</v>
      </c>
      <c r="X121" s="14" t="n">
        <f aca="false">((X55+X78)+X101)</f>
        <v>0</v>
      </c>
      <c r="Y121" s="14" t="n">
        <f aca="false">((Y55+Y78)+Y101)</f>
        <v>0</v>
      </c>
      <c r="Z121" s="14" t="n">
        <f aca="false">((Z55+Z78)+Z101)</f>
        <v>0</v>
      </c>
      <c r="AA121" s="14" t="n">
        <f aca="false">((AA55+AA78)+AA101)</f>
        <v>0</v>
      </c>
      <c r="AB121" s="14" t="n">
        <f aca="false">((AB55+AB78)+AB101)</f>
        <v>0.45</v>
      </c>
      <c r="AC121" s="14" t="n">
        <f aca="false">((AC55+AC78)+AC101)</f>
        <v>0</v>
      </c>
      <c r="AD121" s="14" t="n">
        <f aca="false">((AD55+AD78)+AD101)</f>
        <v>0</v>
      </c>
      <c r="AE121" s="14" t="n">
        <f aca="false">((AE55+AE78)+AE101)</f>
        <v>1.855</v>
      </c>
      <c r="AF121" s="14" t="n">
        <f aca="false">((AF55+AF78)+AF101)</f>
        <v>0</v>
      </c>
      <c r="AG121" s="14" t="n">
        <f aca="false">((AG55+AG78)+AG101)</f>
        <v>0</v>
      </c>
      <c r="AH121" s="14" t="n">
        <f aca="false">((AH55+AH78)+AH101)</f>
        <v>3.305</v>
      </c>
      <c r="AI121" s="14" t="n">
        <f aca="false">((AI55+AI78)+AI101)</f>
        <v>0</v>
      </c>
      <c r="AJ121" s="14" t="n">
        <f aca="false">((AJ55+AJ78)+AJ101)</f>
        <v>0</v>
      </c>
      <c r="AK121" s="14" t="n">
        <f aca="false">((AK55+AK78)+AK101)</f>
        <v>4.305</v>
      </c>
      <c r="AL121" s="14" t="n">
        <f aca="false">((AL55+AL78)+AL101)</f>
        <v>0</v>
      </c>
      <c r="AN121" s="36" t="n">
        <f aca="false">SUM(C121:N121)</f>
        <v>0</v>
      </c>
      <c r="AO121" s="36" t="n">
        <f aca="false">SUM(O121:Z121)</f>
        <v>1.08</v>
      </c>
      <c r="AP121" s="36" t="n">
        <f aca="false">SUM(AA121:AL121)</f>
        <v>9.915</v>
      </c>
    </row>
    <row r="122" customFormat="false" ht="15" hidden="false" customHeight="false" outlineLevel="0" collapsed="false">
      <c r="A122" s="0" t="s">
        <v>928</v>
      </c>
      <c r="B122" s="0" t="s">
        <v>852</v>
      </c>
      <c r="C122" s="13" t="n">
        <f aca="false">((C57+C80)+C103)</f>
        <v>0</v>
      </c>
      <c r="D122" s="13" t="n">
        <f aca="false">((D57+D80)+D103)</f>
        <v>0</v>
      </c>
      <c r="E122" s="13" t="n">
        <f aca="false">((E57+E80)+E103)</f>
        <v>0</v>
      </c>
      <c r="F122" s="13" t="n">
        <f aca="false">((F57+F80)+F103)</f>
        <v>0</v>
      </c>
      <c r="G122" s="13" t="n">
        <f aca="false">((G57+G80)+G103)</f>
        <v>0</v>
      </c>
      <c r="H122" s="13" t="n">
        <f aca="false">((H57+H80)+H103)</f>
        <v>0</v>
      </c>
      <c r="I122" s="13" t="n">
        <f aca="false">((I57+I80)+I103)</f>
        <v>0</v>
      </c>
      <c r="J122" s="13" t="n">
        <f aca="false">((J57+J80)+J103)</f>
        <v>0</v>
      </c>
      <c r="K122" s="13" t="n">
        <f aca="false">((K57+K80)+K103)</f>
        <v>0</v>
      </c>
      <c r="L122" s="13" t="n">
        <f aca="false">((L57+L80)+L103)</f>
        <v>0</v>
      </c>
      <c r="M122" s="13" t="n">
        <f aca="false">((M57+M80)+M103)</f>
        <v>0</v>
      </c>
      <c r="N122" s="13" t="n">
        <f aca="false">((N57+N80)+N103)</f>
        <v>0</v>
      </c>
      <c r="O122" s="13" t="n">
        <f aca="false">((O57+O80)+O103)</f>
        <v>0</v>
      </c>
      <c r="P122" s="13" t="n">
        <f aca="false">((P57+P80)+P103)</f>
        <v>0</v>
      </c>
      <c r="Q122" s="13" t="n">
        <f aca="false">((Q57+Q80)+Q103)</f>
        <v>0</v>
      </c>
      <c r="R122" s="13" t="n">
        <f aca="false">((R57+R80)+R103)</f>
        <v>0</v>
      </c>
      <c r="S122" s="13" t="n">
        <f aca="false">((S57+S80)+S103)</f>
        <v>0</v>
      </c>
      <c r="T122" s="13" t="n">
        <f aca="false">((T57+T80)+T103)</f>
        <v>1.08</v>
      </c>
      <c r="U122" s="13" t="n">
        <f aca="false">((U57+U80)+U103)</f>
        <v>1.08</v>
      </c>
      <c r="V122" s="13" t="n">
        <f aca="false">((V57+V80)+V103)</f>
        <v>1.08</v>
      </c>
      <c r="W122" s="13" t="n">
        <f aca="false">((W57+W80)+W103)</f>
        <v>1.08</v>
      </c>
      <c r="X122" s="13" t="n">
        <f aca="false">((X57+X80)+X103)</f>
        <v>1.08</v>
      </c>
      <c r="Y122" s="13" t="n">
        <f aca="false">((Y57+Y80)+Y103)</f>
        <v>1.08</v>
      </c>
      <c r="Z122" s="13" t="n">
        <f aca="false">((Z57+Z80)+Z103)</f>
        <v>1.08</v>
      </c>
      <c r="AA122" s="13" t="n">
        <f aca="false">((AA57+AA80)+AA103)</f>
        <v>1.08</v>
      </c>
      <c r="AB122" s="13" t="n">
        <f aca="false">((AB57+AB80)+AB103)</f>
        <v>1.53</v>
      </c>
      <c r="AC122" s="13" t="n">
        <f aca="false">((AC57+AC80)+AC103)</f>
        <v>1.53</v>
      </c>
      <c r="AD122" s="13" t="n">
        <f aca="false">((AD57+AD80)+AD103)</f>
        <v>1.53</v>
      </c>
      <c r="AE122" s="13" t="n">
        <f aca="false">((AE57+AE80)+AE103)</f>
        <v>3.385</v>
      </c>
      <c r="AF122" s="13" t="n">
        <f aca="false">((AF57+AF80)+AF103)</f>
        <v>3.2554</v>
      </c>
      <c r="AG122" s="13" t="n">
        <f aca="false">((AG57+AG80)+AG103)</f>
        <v>3.2554</v>
      </c>
      <c r="AH122" s="13" t="n">
        <f aca="false">((AH57+AH80)+AH103)</f>
        <v>6.5604</v>
      </c>
      <c r="AI122" s="13" t="n">
        <f aca="false">((AI57+AI80)+AI103)</f>
        <v>6.5604</v>
      </c>
      <c r="AJ122" s="13" t="n">
        <f aca="false">((AJ57+AJ80)+AJ103)</f>
        <v>6.5604</v>
      </c>
      <c r="AK122" s="13" t="n">
        <f aca="false">((AK57+AK80)+AK103)</f>
        <v>10.8654</v>
      </c>
      <c r="AL122" s="13" t="n">
        <f aca="false">((AL57+AL80)+AL103)</f>
        <v>10.8654</v>
      </c>
      <c r="AN122" s="37" t="n">
        <f aca="false">N122</f>
        <v>0</v>
      </c>
      <c r="AO122" s="37" t="n">
        <f aca="false">Z122</f>
        <v>1.08</v>
      </c>
      <c r="AP122" s="37" t="n">
        <f aca="false">AL122</f>
        <v>10.8654</v>
      </c>
    </row>
    <row r="123" customFormat="false" ht="15" hidden="false" customHeight="false" outlineLevel="0" collapsed="false">
      <c r="A123" s="0" t="s">
        <v>929</v>
      </c>
      <c r="B123" s="0" t="s">
        <v>852</v>
      </c>
      <c r="C123" s="13" t="n">
        <f aca="false">((C51+C74)+C97)</f>
        <v>0</v>
      </c>
      <c r="D123" s="13" t="n">
        <f aca="false">((D51+D74)+D97)</f>
        <v>0</v>
      </c>
      <c r="E123" s="13" t="n">
        <f aca="false">((E51+E74)+E97)</f>
        <v>0</v>
      </c>
      <c r="F123" s="13" t="n">
        <f aca="false">((F51+F74)+F97)</f>
        <v>0</v>
      </c>
      <c r="G123" s="13" t="n">
        <f aca="false">((G51+G74)+G97)</f>
        <v>1</v>
      </c>
      <c r="H123" s="13" t="n">
        <f aca="false">((H51+H74)+H97)</f>
        <v>1</v>
      </c>
      <c r="I123" s="13" t="n">
        <f aca="false">((I51+I74)+I97)</f>
        <v>1</v>
      </c>
      <c r="J123" s="13" t="n">
        <f aca="false">((J51+J74)+J97)</f>
        <v>2</v>
      </c>
      <c r="K123" s="13" t="n">
        <f aca="false">((K51+K74)+K97)</f>
        <v>2</v>
      </c>
      <c r="L123" s="13" t="n">
        <f aca="false">((L51+L74)+L97)</f>
        <v>2</v>
      </c>
      <c r="M123" s="13" t="n">
        <f aca="false">((M51+M74)+M97)</f>
        <v>1</v>
      </c>
      <c r="N123" s="13" t="n">
        <f aca="false">((N51+N74)+N97)</f>
        <v>1</v>
      </c>
      <c r="O123" s="13" t="n">
        <f aca="false">((O51+O74)+O97)</f>
        <v>1</v>
      </c>
      <c r="P123" s="13" t="n">
        <f aca="false">((P51+P74)+P97)</f>
        <v>0</v>
      </c>
      <c r="Q123" s="13" t="n">
        <f aca="false">((Q51+Q74)+Q97)</f>
        <v>0</v>
      </c>
      <c r="R123" s="13" t="n">
        <f aca="false">((R51+R74)+R97)</f>
        <v>0</v>
      </c>
      <c r="S123" s="13" t="n">
        <f aca="false">((S51+S74)+S97)</f>
        <v>0</v>
      </c>
      <c r="T123" s="13" t="n">
        <f aca="false">((T51+T74)+T97)</f>
        <v>0</v>
      </c>
      <c r="U123" s="13" t="n">
        <f aca="false">((U51+U74)+U97)</f>
        <v>1</v>
      </c>
      <c r="V123" s="13" t="n">
        <f aca="false">((V51+V74)+V97)</f>
        <v>1</v>
      </c>
      <c r="W123" s="13" t="n">
        <f aca="false">((W51+W74)+W97)</f>
        <v>1</v>
      </c>
      <c r="X123" s="13" t="n">
        <f aca="false">((X51+X74)+X97)</f>
        <v>3</v>
      </c>
      <c r="Y123" s="13" t="n">
        <f aca="false">((Y51+Y74)+Y97)</f>
        <v>3</v>
      </c>
      <c r="Z123" s="13" t="n">
        <f aca="false">((Z51+Z74)+Z97)</f>
        <v>3</v>
      </c>
      <c r="AA123" s="13" t="n">
        <f aca="false">((AA51+AA74)+AA97)</f>
        <v>5</v>
      </c>
      <c r="AB123" s="13" t="n">
        <f aca="false">((AB51+AB74)+AB97)</f>
        <v>5</v>
      </c>
      <c r="AC123" s="13" t="n">
        <f aca="false">((AC51+AC74)+AC97)</f>
        <v>5</v>
      </c>
      <c r="AD123" s="13" t="n">
        <f aca="false">((AD51+AD74)+AD97)</f>
        <v>6</v>
      </c>
      <c r="AE123" s="13" t="n">
        <f aca="false">((AE51+AE74)+AE97)</f>
        <v>6</v>
      </c>
      <c r="AF123" s="13" t="n">
        <f aca="false">((AF51+AF74)+AF97)</f>
        <v>6</v>
      </c>
      <c r="AG123" s="13" t="n">
        <f aca="false">((AG51+AG74)+AG97)</f>
        <v>7</v>
      </c>
      <c r="AH123" s="13" t="n">
        <f aca="false">((AH51+AH74)+AH97)</f>
        <v>7</v>
      </c>
      <c r="AI123" s="13" t="n">
        <f aca="false">((AI51+AI74)+AI97)</f>
        <v>7</v>
      </c>
      <c r="AJ123" s="13" t="n">
        <f aca="false">((AJ51+AJ74)+AJ97)</f>
        <v>9</v>
      </c>
      <c r="AK123" s="13" t="n">
        <f aca="false">((AK51+AK74)+AK97)</f>
        <v>9</v>
      </c>
      <c r="AL123" s="13" t="n">
        <f aca="false">((AL51+AL74)+AL97)</f>
        <v>10</v>
      </c>
      <c r="AN123" s="37" t="n">
        <f aca="false">N123</f>
        <v>1</v>
      </c>
      <c r="AO123" s="37" t="n">
        <f aca="false">Z123</f>
        <v>3</v>
      </c>
      <c r="AP123" s="37" t="n">
        <f aca="false">AL123</f>
        <v>10</v>
      </c>
    </row>
    <row r="124" customFormat="false" ht="15" hidden="false" customHeight="false" outlineLevel="0" collapsed="false">
      <c r="A124" s="0" t="s">
        <v>930</v>
      </c>
      <c r="B124" s="0" t="s">
        <v>230</v>
      </c>
      <c r="C124" s="9" t="n">
        <f aca="false">((C61+C84)+C107)</f>
        <v>0</v>
      </c>
      <c r="D124" s="9" t="n">
        <f aca="false">((D61+D84)+D107)</f>
        <v>0</v>
      </c>
      <c r="E124" s="9" t="n">
        <f aca="false">((E61+E84)+E107)</f>
        <v>0</v>
      </c>
      <c r="F124" s="9" t="n">
        <f aca="false">((F61+F84)+F107)</f>
        <v>0</v>
      </c>
      <c r="G124" s="9" t="n">
        <f aca="false">((G61+G84)+G107)</f>
        <v>0</v>
      </c>
      <c r="H124" s="9" t="n">
        <f aca="false">((H61+H84)+H107)</f>
        <v>0</v>
      </c>
      <c r="I124" s="9" t="n">
        <f aca="false">((I61+I84)+I107)</f>
        <v>0</v>
      </c>
      <c r="J124" s="9" t="n">
        <f aca="false">((J61+J84)+J107)</f>
        <v>0</v>
      </c>
      <c r="K124" s="9" t="n">
        <f aca="false">((K61+K84)+K107)</f>
        <v>0</v>
      </c>
      <c r="L124" s="9" t="n">
        <f aca="false">((L61+L84)+L107)</f>
        <v>0</v>
      </c>
      <c r="M124" s="9" t="n">
        <f aca="false">((M61+M84)+M107)</f>
        <v>0</v>
      </c>
      <c r="N124" s="9" t="n">
        <f aca="false">((N61+N84)+N107)</f>
        <v>0</v>
      </c>
      <c r="O124" s="9" t="n">
        <f aca="false">((O61+O84)+O107)</f>
        <v>0</v>
      </c>
      <c r="P124" s="9" t="n">
        <f aca="false">((P61+P84)+P107)</f>
        <v>0</v>
      </c>
      <c r="Q124" s="9" t="n">
        <f aca="false">((Q61+Q84)+Q107)</f>
        <v>0</v>
      </c>
      <c r="R124" s="9" t="n">
        <f aca="false">((R61+R84)+R107)</f>
        <v>0</v>
      </c>
      <c r="S124" s="9" t="n">
        <f aca="false">((S61+S84)+S107)</f>
        <v>0</v>
      </c>
      <c r="T124" s="9" t="n">
        <f aca="false">((T61+T84)+T107)</f>
        <v>4554</v>
      </c>
      <c r="U124" s="9" t="n">
        <f aca="false">((U61+U84)+U107)</f>
        <v>4554</v>
      </c>
      <c r="V124" s="9" t="n">
        <f aca="false">((V61+V84)+V107)</f>
        <v>4554</v>
      </c>
      <c r="W124" s="9" t="n">
        <f aca="false">((W61+W84)+W107)</f>
        <v>4554</v>
      </c>
      <c r="X124" s="9" t="n">
        <f aca="false">((X61+X84)+X107)</f>
        <v>4554</v>
      </c>
      <c r="Y124" s="9" t="n">
        <f aca="false">((Y61+Y84)+Y107)</f>
        <v>4554</v>
      </c>
      <c r="Z124" s="9" t="n">
        <f aca="false">((Z61+Z84)+Z107)</f>
        <v>4554</v>
      </c>
      <c r="AA124" s="9" t="n">
        <f aca="false">((AA61+AA84)+AA107)</f>
        <v>4554</v>
      </c>
      <c r="AB124" s="9" t="n">
        <f aca="false">((AB61+AB84)+AB107)</f>
        <v>5262.75</v>
      </c>
      <c r="AC124" s="9" t="n">
        <f aca="false">((AC61+AC84)+AC107)</f>
        <v>5262.75</v>
      </c>
      <c r="AD124" s="9" t="n">
        <f aca="false">((AD61+AD84)+AD107)</f>
        <v>5262.75</v>
      </c>
      <c r="AE124" s="9" t="n">
        <f aca="false">((AE61+AE84)+AE107)</f>
        <v>10189.75</v>
      </c>
      <c r="AF124" s="9" t="n">
        <f aca="false">((AF61+AF84)+AF107)</f>
        <v>10044.022</v>
      </c>
      <c r="AG124" s="9" t="n">
        <f aca="false">((AG61+AG84)+AG107)</f>
        <v>10044.022</v>
      </c>
      <c r="AH124" s="9" t="n">
        <f aca="false">((AH61+AH84)+AH107)</f>
        <v>21913.1053333333</v>
      </c>
      <c r="AI124" s="9" t="n">
        <f aca="false">((AI61+AI84)+AI107)</f>
        <v>21913.1053333333</v>
      </c>
      <c r="AJ124" s="9" t="n">
        <f aca="false">((AJ61+AJ84)+AJ107)</f>
        <v>21913.1053333333</v>
      </c>
      <c r="AK124" s="9" t="n">
        <f aca="false">((AK61+AK84)+AK107)</f>
        <v>35982.1886666667</v>
      </c>
      <c r="AL124" s="9" t="n">
        <f aca="false">((AL61+AL84)+AL107)</f>
        <v>35982.1886666667</v>
      </c>
      <c r="AN124" s="11" t="n">
        <f aca="false">SUM(C124:N124)</f>
        <v>0</v>
      </c>
      <c r="AO124" s="11" t="n">
        <f aca="false">SUM(O124:Z124)</f>
        <v>31878</v>
      </c>
      <c r="AP124" s="11" t="n">
        <f aca="false">SUM(AA124:AL124)</f>
        <v>188323.737333333</v>
      </c>
    </row>
    <row r="125" customFormat="false" ht="15" hidden="false" customHeight="false" outlineLevel="0" collapsed="false">
      <c r="A125" s="0" t="s">
        <v>931</v>
      </c>
      <c r="B125" s="0" t="s">
        <v>230</v>
      </c>
      <c r="C125" s="9" t="n">
        <f aca="false">IF(AND(($C$14=1),(C$18=(Assumptions!$C$106+1))),((Assumptions!$C$114*12)*C124),0)</f>
        <v>0</v>
      </c>
      <c r="D125" s="9" t="n">
        <f aca="false">IF(AND(($C$14=1),(D$18=(Assumptions!$C$106+1))),((Assumptions!$C$114*12)*D124),0)</f>
        <v>0</v>
      </c>
      <c r="E125" s="9" t="n">
        <f aca="false">IF(AND(($C$14=1),(E$18=(Assumptions!$C$106+1))),((Assumptions!$C$114*12)*E124),0)</f>
        <v>0</v>
      </c>
      <c r="F125" s="9" t="n">
        <f aca="false">IF(AND(($C$14=1),(F$18=(Assumptions!$C$106+1))),((Assumptions!$C$114*12)*F124),0)</f>
        <v>0</v>
      </c>
      <c r="G125" s="9" t="n">
        <f aca="false">IF(AND(($C$14=1),(G$18=(Assumptions!$C$106+1))),((Assumptions!$C$114*12)*G124),0)</f>
        <v>0</v>
      </c>
      <c r="H125" s="9" t="n">
        <f aca="false">IF(AND(($C$14=1),(H$18=(Assumptions!$C$106+1))),((Assumptions!$C$114*12)*H124),0)</f>
        <v>0</v>
      </c>
      <c r="I125" s="9" t="n">
        <f aca="false">IF(AND(($C$14=1),(I$18=(Assumptions!$C$106+1))),((Assumptions!$C$114*12)*I124),0)</f>
        <v>0</v>
      </c>
      <c r="J125" s="9" t="n">
        <f aca="false">IF(AND(($C$14=1),(J$18=(Assumptions!$C$106+1))),((Assumptions!$C$114*12)*J124),0)</f>
        <v>0</v>
      </c>
      <c r="K125" s="9" t="n">
        <f aca="false">IF(AND(($C$14=1),(K$18=(Assumptions!$C$106+1))),((Assumptions!$C$114*12)*K124),0)</f>
        <v>0</v>
      </c>
      <c r="L125" s="9" t="n">
        <f aca="false">IF(AND(($C$14=1),(L$18=(Assumptions!$C$106+1))),((Assumptions!$C$114*12)*L124),0)</f>
        <v>0</v>
      </c>
      <c r="M125" s="9" t="n">
        <f aca="false">IF(AND(($C$14=1),(M$18=(Assumptions!$C$106+1))),((Assumptions!$C$114*12)*M124),0)</f>
        <v>0</v>
      </c>
      <c r="N125" s="9" t="n">
        <f aca="false">IF(AND(($C$14=1),(N$18=(Assumptions!$C$106+1))),((Assumptions!$C$114*12)*N124),0)</f>
        <v>0</v>
      </c>
      <c r="O125" s="9" t="n">
        <f aca="false">IF(AND(($C$14=1),(O$18=(Assumptions!$C$106+1))),((Assumptions!$C$114*12)*O124),0)</f>
        <v>0</v>
      </c>
      <c r="P125" s="9" t="n">
        <f aca="false">IF(AND(($C$14=1),(P$18=(Assumptions!$C$106+1))),((Assumptions!$C$114*12)*P124),0)</f>
        <v>0</v>
      </c>
      <c r="Q125" s="9" t="n">
        <f aca="false">IF(AND(($C$14=1),(Q$18=(Assumptions!$C$106+1))),((Assumptions!$C$114*12)*Q124),0)</f>
        <v>0</v>
      </c>
      <c r="R125" s="9" t="n">
        <f aca="false">IF(AND(($C$14=1),(R$18=(Assumptions!$C$106+1))),((Assumptions!$C$114*12)*R124),0)</f>
        <v>0</v>
      </c>
      <c r="S125" s="9" t="n">
        <f aca="false">IF(AND(($C$14=1),(S$18=(Assumptions!$C$106+1))),((Assumptions!$C$114*12)*S124),0)</f>
        <v>0</v>
      </c>
      <c r="T125" s="9" t="n">
        <f aca="false">IF(AND(($C$14=1),(T$18=(Assumptions!$C$106+1))),((Assumptions!$C$114*12)*T124),0)</f>
        <v>0</v>
      </c>
      <c r="U125" s="9" t="n">
        <f aca="false">IF(AND(($C$14=1),(U$18=(Assumptions!$C$106+1))),((Assumptions!$C$114*12)*U124),0)</f>
        <v>0</v>
      </c>
      <c r="V125" s="9" t="n">
        <f aca="false">IF(AND(($C$14=1),(V$18=(Assumptions!$C$106+1))),((Assumptions!$C$114*12)*V124),0)</f>
        <v>0</v>
      </c>
      <c r="W125" s="9" t="n">
        <f aca="false">IF(AND(($C$14=1),(W$18=(Assumptions!$C$106+1))),((Assumptions!$C$114*12)*W124),0)</f>
        <v>0</v>
      </c>
      <c r="X125" s="9" t="n">
        <f aca="false">IF(AND(($C$14=1),(X$18=(Assumptions!$C$106+1))),((Assumptions!$C$114*12)*X124),0)</f>
        <v>0</v>
      </c>
      <c r="Y125" s="9" t="n">
        <f aca="false">IF(AND(($C$14=1),(Y$18=(Assumptions!$C$106+1))),((Assumptions!$C$114*12)*Y124),0)</f>
        <v>0</v>
      </c>
      <c r="Z125" s="9" t="n">
        <f aca="false">IF(AND(($C$14=1),(Z$18=(Assumptions!$C$106+1))),((Assumptions!$C$114*12)*Z124),0)</f>
        <v>0</v>
      </c>
      <c r="AA125" s="9" t="n">
        <f aca="false">IF(AND(($C$14=1),(AA$18=(Assumptions!$C$106+1))),((Assumptions!$C$114*12)*AA124),0)</f>
        <v>0</v>
      </c>
      <c r="AB125" s="9" t="n">
        <f aca="false">IF(AND(($C$14=1),(AB$18=(Assumptions!$C$106+1))),((Assumptions!$C$114*12)*AB124),0)</f>
        <v>0</v>
      </c>
      <c r="AC125" s="9" t="n">
        <f aca="false">IF(AND(($C$14=1),(AC$18=(Assumptions!$C$106+1))),((Assumptions!$C$114*12)*AC124),0)</f>
        <v>0</v>
      </c>
      <c r="AD125" s="9" t="n">
        <f aca="false">IF(AND(($C$14=1),(AD$18=(Assumptions!$C$106+1))),((Assumptions!$C$114*12)*AD124),0)</f>
        <v>0</v>
      </c>
      <c r="AE125" s="9" t="n">
        <f aca="false">IF(AND(($C$14=1),(AE$18=(Assumptions!$C$106+1))),((Assumptions!$C$114*12)*AE124),0)</f>
        <v>0</v>
      </c>
      <c r="AF125" s="9" t="n">
        <f aca="false">IF(AND(($C$14=1),(AF$18=(Assumptions!$C$106+1))),((Assumptions!$C$114*12)*AF124),0)</f>
        <v>0</v>
      </c>
      <c r="AG125" s="9" t="n">
        <f aca="false">IF(AND(($C$14=1),(AG$18=(Assumptions!$C$106+1))),((Assumptions!$C$114*12)*AG124),0)</f>
        <v>0</v>
      </c>
      <c r="AH125" s="9" t="n">
        <f aca="false">IF(AND(($C$14=1),(AH$18=(Assumptions!$C$106+1))),((Assumptions!$C$114*12)*AH124),0)</f>
        <v>0</v>
      </c>
      <c r="AI125" s="9" t="n">
        <f aca="false">IF(AND(($C$14=1),(AI$18=(Assumptions!$C$106+1))),((Assumptions!$C$114*12)*AI124),0)</f>
        <v>0</v>
      </c>
      <c r="AJ125" s="9" t="n">
        <f aca="false">IF(AND(($C$14=1),(AJ$18=(Assumptions!$C$106+1))),((Assumptions!$C$114*12)*AJ124),0)</f>
        <v>0</v>
      </c>
      <c r="AK125" s="9" t="n">
        <f aca="false">IF(AND(($C$14=1),(AK$18=(Assumptions!$C$106+1))),((Assumptions!$C$114*12)*AK124),0)</f>
        <v>0</v>
      </c>
      <c r="AL125" s="9" t="n">
        <f aca="false">IF(AND(($C$14=1),(AL$18=(Assumptions!$C$106+1))),((Assumptions!$C$114*12)*AL124),0)</f>
        <v>0</v>
      </c>
      <c r="AN125" s="11" t="n">
        <f aca="false">SUM(C125:N125)</f>
        <v>0</v>
      </c>
      <c r="AO125" s="11" t="n">
        <f aca="false">SUM(O125:Z125)</f>
        <v>0</v>
      </c>
      <c r="AP125" s="11" t="n">
        <f aca="false">SUM(AA125:AL125)</f>
        <v>0</v>
      </c>
    </row>
    <row r="126" customFormat="false" ht="15" hidden="false" customHeight="false" outlineLevel="0" collapsed="false">
      <c r="A126" s="0" t="s">
        <v>932</v>
      </c>
      <c r="B126" s="0" t="s">
        <v>500</v>
      </c>
      <c r="C126" s="9" t="n">
        <f aca="false">(((Assumptions!$C$125*(C57+(Assumptions!$C$32*C51)))+(Assumptions!$D$125*(C80+(Assumptions!$C$32*C74))))+(Assumptions!$E$125*(C103+(Assumptions!$C$32*C97))))</f>
        <v>0</v>
      </c>
      <c r="D126" s="9" t="n">
        <f aca="false">(((Assumptions!$C$125*(D57+(Assumptions!$C$32*D51)))+(Assumptions!$D$125*(D80+(Assumptions!$C$32*D74))))+(Assumptions!$E$125*(D103+(Assumptions!$C$32*D97))))</f>
        <v>0</v>
      </c>
      <c r="E126" s="9" t="n">
        <f aca="false">(((Assumptions!$C$125*(E57+(Assumptions!$C$32*E51)))+(Assumptions!$D$125*(E80+(Assumptions!$C$32*E74))))+(Assumptions!$E$125*(E103+(Assumptions!$C$32*E97))))</f>
        <v>0</v>
      </c>
      <c r="F126" s="9" t="n">
        <f aca="false">(((Assumptions!$C$125*(F57+(Assumptions!$C$32*F51)))+(Assumptions!$D$125*(F80+(Assumptions!$C$32*F74))))+(Assumptions!$E$125*(F103+(Assumptions!$C$32*F97))))</f>
        <v>0</v>
      </c>
      <c r="G126" s="9" t="n">
        <f aca="false">(((Assumptions!$C$125*(G57+(Assumptions!$C$32*G51)))+(Assumptions!$D$125*(G80+(Assumptions!$C$32*G74))))+(Assumptions!$E$125*(G103+(Assumptions!$C$32*G97))))</f>
        <v>210</v>
      </c>
      <c r="H126" s="9" t="n">
        <f aca="false">(((Assumptions!$C$125*(H57+(Assumptions!$C$32*H51)))+(Assumptions!$D$125*(H80+(Assumptions!$C$32*H74))))+(Assumptions!$E$125*(H103+(Assumptions!$C$32*H97))))</f>
        <v>210</v>
      </c>
      <c r="I126" s="9" t="n">
        <f aca="false">(((Assumptions!$C$125*(I57+(Assumptions!$C$32*I51)))+(Assumptions!$D$125*(I80+(Assumptions!$C$32*I74))))+(Assumptions!$E$125*(I103+(Assumptions!$C$32*I97))))</f>
        <v>210</v>
      </c>
      <c r="J126" s="9" t="n">
        <f aca="false">(((Assumptions!$C$125*(J57+(Assumptions!$C$32*J51)))+(Assumptions!$D$125*(J80+(Assumptions!$C$32*J74))))+(Assumptions!$E$125*(J103+(Assumptions!$C$32*J97))))</f>
        <v>1085</v>
      </c>
      <c r="K126" s="9" t="n">
        <f aca="false">(((Assumptions!$C$125*(K57+(Assumptions!$C$32*K51)))+(Assumptions!$D$125*(K80+(Assumptions!$C$32*K74))))+(Assumptions!$E$125*(K103+(Assumptions!$C$32*K97))))</f>
        <v>1085</v>
      </c>
      <c r="L126" s="9" t="n">
        <f aca="false">(((Assumptions!$C$125*(L57+(Assumptions!$C$32*L51)))+(Assumptions!$D$125*(L80+(Assumptions!$C$32*L74))))+(Assumptions!$E$125*(L103+(Assumptions!$C$32*L97))))</f>
        <v>1085</v>
      </c>
      <c r="M126" s="9" t="n">
        <f aca="false">(((Assumptions!$C$125*(M57+(Assumptions!$C$32*M51)))+(Assumptions!$D$125*(M80+(Assumptions!$C$32*M74))))+(Assumptions!$E$125*(M103+(Assumptions!$C$32*M97))))</f>
        <v>875</v>
      </c>
      <c r="N126" s="9" t="n">
        <f aca="false">(((Assumptions!$C$125*(N57+(Assumptions!$C$32*N51)))+(Assumptions!$D$125*(N80+(Assumptions!$C$32*N74))))+(Assumptions!$E$125*(N103+(Assumptions!$C$32*N97))))</f>
        <v>875</v>
      </c>
      <c r="O126" s="9" t="n">
        <f aca="false">(((Assumptions!$C$125*(O57+(Assumptions!$C$32*O51)))+(Assumptions!$D$125*(O80+(Assumptions!$C$32*O74))))+(Assumptions!$E$125*(O103+(Assumptions!$C$32*O97))))</f>
        <v>875</v>
      </c>
      <c r="P126" s="9" t="n">
        <f aca="false">(((Assumptions!$C$125*(P57+(Assumptions!$C$32*P51)))+(Assumptions!$D$125*(P80+(Assumptions!$C$32*P74))))+(Assumptions!$E$125*(P103+(Assumptions!$C$32*P97))))</f>
        <v>0</v>
      </c>
      <c r="Q126" s="9" t="n">
        <f aca="false">(((Assumptions!$C$125*(Q57+(Assumptions!$C$32*Q51)))+(Assumptions!$D$125*(Q80+(Assumptions!$C$32*Q74))))+(Assumptions!$E$125*(Q103+(Assumptions!$C$32*Q97))))</f>
        <v>0</v>
      </c>
      <c r="R126" s="9" t="n">
        <f aca="false">(((Assumptions!$C$125*(R57+(Assumptions!$C$32*R51)))+(Assumptions!$D$125*(R80+(Assumptions!$C$32*R74))))+(Assumptions!$E$125*(R103+(Assumptions!$C$32*R97))))</f>
        <v>0</v>
      </c>
      <c r="S126" s="9" t="n">
        <f aca="false">(((Assumptions!$C$125*(S57+(Assumptions!$C$32*S51)))+(Assumptions!$D$125*(S80+(Assumptions!$C$32*S74))))+(Assumptions!$E$125*(S103+(Assumptions!$C$32*S97))))</f>
        <v>0</v>
      </c>
      <c r="T126" s="9" t="n">
        <f aca="false">(((Assumptions!$C$125*(T57+(Assumptions!$C$32*T51)))+(Assumptions!$D$125*(T80+(Assumptions!$C$32*T74))))+(Assumptions!$E$125*(T103+(Assumptions!$C$32*T97))))</f>
        <v>1674</v>
      </c>
      <c r="U126" s="9" t="n">
        <f aca="false">(((Assumptions!$C$125*(U57+(Assumptions!$C$32*U51)))+(Assumptions!$D$125*(U80+(Assumptions!$C$32*U74))))+(Assumptions!$E$125*(U103+(Assumptions!$C$32*U97))))</f>
        <v>1884</v>
      </c>
      <c r="V126" s="9" t="n">
        <f aca="false">(((Assumptions!$C$125*(V57+(Assumptions!$C$32*V51)))+(Assumptions!$D$125*(V80+(Assumptions!$C$32*V74))))+(Assumptions!$E$125*(V103+(Assumptions!$C$32*V97))))</f>
        <v>1884</v>
      </c>
      <c r="W126" s="9" t="n">
        <f aca="false">(((Assumptions!$C$125*(W57+(Assumptions!$C$32*W51)))+(Assumptions!$D$125*(W80+(Assumptions!$C$32*W74))))+(Assumptions!$E$125*(W103+(Assumptions!$C$32*W97))))</f>
        <v>1884</v>
      </c>
      <c r="X126" s="9" t="n">
        <f aca="false">(((Assumptions!$C$125*(X57+(Assumptions!$C$32*X51)))+(Assumptions!$D$125*(X80+(Assumptions!$C$32*X74))))+(Assumptions!$E$125*(X103+(Assumptions!$C$32*X97))))</f>
        <v>2969</v>
      </c>
      <c r="Y126" s="9" t="n">
        <f aca="false">(((Assumptions!$C$125*(Y57+(Assumptions!$C$32*Y51)))+(Assumptions!$D$125*(Y80+(Assumptions!$C$32*Y74))))+(Assumptions!$E$125*(Y103+(Assumptions!$C$32*Y97))))</f>
        <v>2969</v>
      </c>
      <c r="Z126" s="9" t="n">
        <f aca="false">(((Assumptions!$C$125*(Z57+(Assumptions!$C$32*Z51)))+(Assumptions!$D$125*(Z80+(Assumptions!$C$32*Z74))))+(Assumptions!$E$125*(Z103+(Assumptions!$C$32*Z97))))</f>
        <v>2969</v>
      </c>
      <c r="AA126" s="9" t="n">
        <f aca="false">(((Assumptions!$C$125*(AA57+(Assumptions!$C$32*AA51)))+(Assumptions!$D$125*(AA80+(Assumptions!$C$32*AA74))))+(Assumptions!$E$125*(AA103+(Assumptions!$C$32*AA97))))</f>
        <v>4054</v>
      </c>
      <c r="AB126" s="9" t="n">
        <f aca="false">(((Assumptions!$C$125*(AB57+(Assumptions!$C$32*AB51)))+(Assumptions!$D$125*(AB80+(Assumptions!$C$32*AB74))))+(Assumptions!$E$125*(AB103+(Assumptions!$C$32*AB97))))</f>
        <v>4324</v>
      </c>
      <c r="AC126" s="9" t="n">
        <f aca="false">(((Assumptions!$C$125*(AC57+(Assumptions!$C$32*AC51)))+(Assumptions!$D$125*(AC80+(Assumptions!$C$32*AC74))))+(Assumptions!$E$125*(AC103+(Assumptions!$C$32*AC97))))</f>
        <v>4324</v>
      </c>
      <c r="AD126" s="9" t="n">
        <f aca="false">(((Assumptions!$C$125*(AD57+(Assumptions!$C$32*AD51)))+(Assumptions!$D$125*(AD80+(Assumptions!$C$32*AD74))))+(Assumptions!$E$125*(AD103+(Assumptions!$C$32*AD97))))</f>
        <v>4534</v>
      </c>
      <c r="AE126" s="9" t="n">
        <f aca="false">(((Assumptions!$C$125*(AE57+(Assumptions!$C$32*AE51)))+(Assumptions!$D$125*(AE80+(Assumptions!$C$32*AE74))))+(Assumptions!$E$125*(AE103+(Assumptions!$C$32*AE97))))</f>
        <v>6416.5</v>
      </c>
      <c r="AF126" s="9" t="n">
        <f aca="false">(((Assumptions!$C$125*(AF57+(Assumptions!$C$32*AF51)))+(Assumptions!$D$125*(AF80+(Assumptions!$C$32*AF74))))+(Assumptions!$E$125*(AF103+(Assumptions!$C$32*AF97))))</f>
        <v>6215.62</v>
      </c>
      <c r="AG126" s="9" t="n">
        <f aca="false">(((Assumptions!$C$125*(AG57+(Assumptions!$C$32*AG51)))+(Assumptions!$D$125*(AG80+(Assumptions!$C$32*AG74))))+(Assumptions!$E$125*(AG103+(Assumptions!$C$32*AG97))))</f>
        <v>6425.62</v>
      </c>
      <c r="AH126" s="9" t="n">
        <f aca="false">(((Assumptions!$C$125*(AH57+(Assumptions!$C$32*AH51)))+(Assumptions!$D$125*(AH80+(Assumptions!$C$32*AH74))))+(Assumptions!$E$125*(AH103+(Assumptions!$C$32*AH97))))</f>
        <v>11078.12</v>
      </c>
      <c r="AI126" s="9" t="n">
        <f aca="false">(((Assumptions!$C$125*(AI57+(Assumptions!$C$32*AI51)))+(Assumptions!$D$125*(AI80+(Assumptions!$C$32*AI74))))+(Assumptions!$E$125*(AI103+(Assumptions!$C$32*AI97))))</f>
        <v>11078.12</v>
      </c>
      <c r="AJ126" s="9" t="n">
        <f aca="false">(((Assumptions!$C$125*(AJ57+(Assumptions!$C$32*AJ51)))+(Assumptions!$D$125*(AJ80+(Assumptions!$C$32*AJ74))))+(Assumptions!$E$125*(AJ103+(Assumptions!$C$32*AJ97))))</f>
        <v>12163.12</v>
      </c>
      <c r="AK126" s="9" t="n">
        <f aca="false">(((Assumptions!$C$125*(AK57+(Assumptions!$C$32*AK51)))+(Assumptions!$D$125*(AK80+(Assumptions!$C$32*AK74))))+(Assumptions!$E$125*(AK103+(Assumptions!$C$32*AK97))))</f>
        <v>17415.62</v>
      </c>
      <c r="AL126" s="9" t="n">
        <f aca="false">(((Assumptions!$C$125*(AL57+(Assumptions!$C$32*AL51)))+(Assumptions!$D$125*(AL80+(Assumptions!$C$32*AL74))))+(Assumptions!$E$125*(AL103+(Assumptions!$C$32*AL97))))</f>
        <v>20565.62</v>
      </c>
      <c r="AN126" s="11" t="n">
        <f aca="false">N126</f>
        <v>875</v>
      </c>
      <c r="AO126" s="11" t="n">
        <f aca="false">Z126</f>
        <v>2969</v>
      </c>
      <c r="AP126" s="11" t="n">
        <f aca="false">AL126</f>
        <v>20565.62</v>
      </c>
    </row>
    <row r="127" customFormat="false" ht="15" hidden="false" customHeight="false" outlineLevel="0" collapsed="false">
      <c r="A127" s="0" t="s">
        <v>933</v>
      </c>
      <c r="B127" s="0" t="s">
        <v>230</v>
      </c>
      <c r="C127" s="9" t="n">
        <f aca="false">(C124-C125)</f>
        <v>0</v>
      </c>
      <c r="D127" s="9" t="n">
        <f aca="false">(D124-D125)</f>
        <v>0</v>
      </c>
      <c r="E127" s="9" t="n">
        <f aca="false">(E124-E125)</f>
        <v>0</v>
      </c>
      <c r="F127" s="9" t="n">
        <f aca="false">(F124-F125)</f>
        <v>0</v>
      </c>
      <c r="G127" s="9" t="n">
        <f aca="false">(G124-G125)</f>
        <v>0</v>
      </c>
      <c r="H127" s="9" t="n">
        <f aca="false">(H124-H125)</f>
        <v>0</v>
      </c>
      <c r="I127" s="9" t="n">
        <f aca="false">(I124-I125)</f>
        <v>0</v>
      </c>
      <c r="J127" s="9" t="n">
        <f aca="false">(J124-J125)</f>
        <v>0</v>
      </c>
      <c r="K127" s="9" t="n">
        <f aca="false">(K124-K125)</f>
        <v>0</v>
      </c>
      <c r="L127" s="9" t="n">
        <f aca="false">(L124-L125)</f>
        <v>0</v>
      </c>
      <c r="M127" s="9" t="n">
        <f aca="false">(M124-M125)</f>
        <v>0</v>
      </c>
      <c r="N127" s="9" t="n">
        <f aca="false">(N124-N125)</f>
        <v>0</v>
      </c>
      <c r="O127" s="9" t="n">
        <f aca="false">(O124-O125)</f>
        <v>0</v>
      </c>
      <c r="P127" s="9" t="n">
        <f aca="false">(P124-P125)</f>
        <v>0</v>
      </c>
      <c r="Q127" s="9" t="n">
        <f aca="false">(Q124-Q125)</f>
        <v>0</v>
      </c>
      <c r="R127" s="9" t="n">
        <f aca="false">(R124-R125)</f>
        <v>0</v>
      </c>
      <c r="S127" s="9" t="n">
        <f aca="false">(S124-S125)</f>
        <v>0</v>
      </c>
      <c r="T127" s="9" t="n">
        <f aca="false">(T124-T125)</f>
        <v>4554</v>
      </c>
      <c r="U127" s="9" t="n">
        <f aca="false">(U124-U125)</f>
        <v>4554</v>
      </c>
      <c r="V127" s="9" t="n">
        <f aca="false">(V124-V125)</f>
        <v>4554</v>
      </c>
      <c r="W127" s="9" t="n">
        <f aca="false">(W124-W125)</f>
        <v>4554</v>
      </c>
      <c r="X127" s="9" t="n">
        <f aca="false">(X124-X125)</f>
        <v>4554</v>
      </c>
      <c r="Y127" s="9" t="n">
        <f aca="false">(Y124-Y125)</f>
        <v>4554</v>
      </c>
      <c r="Z127" s="9" t="n">
        <f aca="false">(Z124-Z125)</f>
        <v>4554</v>
      </c>
      <c r="AA127" s="9" t="n">
        <f aca="false">(AA124-AA125)</f>
        <v>4554</v>
      </c>
      <c r="AB127" s="9" t="n">
        <f aca="false">(AB124-AB125)</f>
        <v>5262.75</v>
      </c>
      <c r="AC127" s="9" t="n">
        <f aca="false">(AC124-AC125)</f>
        <v>5262.75</v>
      </c>
      <c r="AD127" s="9" t="n">
        <f aca="false">(AD124-AD125)</f>
        <v>5262.75</v>
      </c>
      <c r="AE127" s="9" t="n">
        <f aca="false">(AE124-AE125)</f>
        <v>10189.75</v>
      </c>
      <c r="AF127" s="9" t="n">
        <f aca="false">(AF124-AF125)</f>
        <v>10044.022</v>
      </c>
      <c r="AG127" s="9" t="n">
        <f aca="false">(AG124-AG125)</f>
        <v>10044.022</v>
      </c>
      <c r="AH127" s="9" t="n">
        <f aca="false">(AH124-AH125)</f>
        <v>21913.1053333333</v>
      </c>
      <c r="AI127" s="9" t="n">
        <f aca="false">(AI124-AI125)</f>
        <v>21913.1053333333</v>
      </c>
      <c r="AJ127" s="9" t="n">
        <f aca="false">(AJ124-AJ125)</f>
        <v>21913.1053333333</v>
      </c>
      <c r="AK127" s="9" t="n">
        <f aca="false">(AK124-AK125)</f>
        <v>35982.1886666667</v>
      </c>
      <c r="AL127" s="9" t="n">
        <f aca="false">(AL124-AL125)</f>
        <v>35982.1886666667</v>
      </c>
      <c r="AN127" s="11" t="n">
        <f aca="false">SUM(C127:N127)</f>
        <v>0</v>
      </c>
      <c r="AO127" s="11" t="n">
        <f aca="false">SUM(O127:Z127)</f>
        <v>31878</v>
      </c>
      <c r="AP127" s="11" t="n">
        <f aca="false">SUM(AA127:AL127)</f>
        <v>188323.737333333</v>
      </c>
    </row>
    <row r="128" customFormat="false" ht="15" hidden="false" customHeight="false" outlineLevel="0" collapsed="false">
      <c r="A128" s="0" t="s">
        <v>934</v>
      </c>
      <c r="B128" s="0" t="s">
        <v>230</v>
      </c>
      <c r="C128" s="9" t="n">
        <f aca="false">(((C62+C85)+C108)-C125)</f>
        <v>0</v>
      </c>
      <c r="D128" s="9" t="n">
        <f aca="false">(((D62+D85)+D108)-D125)</f>
        <v>0</v>
      </c>
      <c r="E128" s="9" t="n">
        <f aca="false">(((E62+E85)+E108)-E125)</f>
        <v>0</v>
      </c>
      <c r="F128" s="9" t="n">
        <f aca="false">(((F62+F85)+F108)-F125)</f>
        <v>0</v>
      </c>
      <c r="G128" s="9" t="n">
        <f aca="false">(((G62+G85)+G108)-G125)</f>
        <v>0</v>
      </c>
      <c r="H128" s="9" t="n">
        <f aca="false">(((H62+H85)+H108)-H125)</f>
        <v>0</v>
      </c>
      <c r="I128" s="9" t="n">
        <f aca="false">(((I62+I85)+I108)-I125)</f>
        <v>0</v>
      </c>
      <c r="J128" s="9" t="n">
        <f aca="false">(((J62+J85)+J108)-J125)</f>
        <v>0</v>
      </c>
      <c r="K128" s="9" t="n">
        <f aca="false">(((K62+K85)+K108)-K125)</f>
        <v>0</v>
      </c>
      <c r="L128" s="9" t="n">
        <f aca="false">(((L62+L85)+L108)-L125)</f>
        <v>0</v>
      </c>
      <c r="M128" s="9" t="n">
        <f aca="false">(((M62+M85)+M108)-M125)</f>
        <v>0</v>
      </c>
      <c r="N128" s="9" t="n">
        <f aca="false">(((N62+N85)+N108)-N125)</f>
        <v>0</v>
      </c>
      <c r="O128" s="9" t="n">
        <f aca="false">(((O62+O85)+O108)-O125)</f>
        <v>0</v>
      </c>
      <c r="P128" s="9" t="n">
        <f aca="false">(((P62+P85)+P108)-P125)</f>
        <v>0</v>
      </c>
      <c r="Q128" s="9" t="n">
        <f aca="false">(((Q62+Q85)+Q108)-Q125)</f>
        <v>0</v>
      </c>
      <c r="R128" s="9" t="n">
        <f aca="false">(((R62+R85)+R108)-R125)</f>
        <v>0</v>
      </c>
      <c r="S128" s="9" t="n">
        <f aca="false">(((S62+S85)+S108)-S125)</f>
        <v>0</v>
      </c>
      <c r="T128" s="9" t="n">
        <f aca="false">(((T62+T85)+T108)-T125)</f>
        <v>54648</v>
      </c>
      <c r="U128" s="9" t="n">
        <f aca="false">(((U62+U85)+U108)-U125)</f>
        <v>0</v>
      </c>
      <c r="V128" s="9" t="n">
        <f aca="false">(((V62+V85)+V108)-V125)</f>
        <v>0</v>
      </c>
      <c r="W128" s="9" t="n">
        <f aca="false">(((W62+W85)+W108)-W125)</f>
        <v>0</v>
      </c>
      <c r="X128" s="9" t="n">
        <f aca="false">(((X62+X85)+X108)-X125)</f>
        <v>0</v>
      </c>
      <c r="Y128" s="9" t="n">
        <f aca="false">(((Y62+Y85)+Y108)-Y125)</f>
        <v>0</v>
      </c>
      <c r="Z128" s="9" t="n">
        <f aca="false">(((Z62+Z85)+Z108)-Z125)</f>
        <v>0</v>
      </c>
      <c r="AA128" s="9" t="n">
        <f aca="false">(((AA62+AA85)+AA108)-AA125)</f>
        <v>0</v>
      </c>
      <c r="AB128" s="9" t="n">
        <f aca="false">(((AB62+AB85)+AB108)-AB125)</f>
        <v>8505</v>
      </c>
      <c r="AC128" s="9" t="n">
        <f aca="false">(((AC62+AC85)+AC108)-AC125)</f>
        <v>0</v>
      </c>
      <c r="AD128" s="9" t="n">
        <f aca="false">(((AD62+AD85)+AD108)-AD125)</f>
        <v>0</v>
      </c>
      <c r="AE128" s="9" t="n">
        <f aca="false">(((AE62+AE85)+AE108)-AE125)</f>
        <v>59124</v>
      </c>
      <c r="AF128" s="9" t="n">
        <f aca="false">(((AF62+AF85)+AF108)-AF125)</f>
        <v>52899.264</v>
      </c>
      <c r="AG128" s="9" t="n">
        <f aca="false">(((AG62+AG85)+AG108)-AG125)</f>
        <v>0</v>
      </c>
      <c r="AH128" s="9" t="n">
        <f aca="false">(((AH62+AH85)+AH108)-AH125)</f>
        <v>142429</v>
      </c>
      <c r="AI128" s="9" t="n">
        <f aca="false">(((AI62+AI85)+AI108)-AI125)</f>
        <v>0</v>
      </c>
      <c r="AJ128" s="9" t="n">
        <f aca="false">(((AJ62+AJ85)+AJ108)-AJ125)</f>
        <v>0</v>
      </c>
      <c r="AK128" s="9" t="n">
        <f aca="false">(((AK62+AK85)+AK108)-AK125)</f>
        <v>168829</v>
      </c>
      <c r="AL128" s="9" t="n">
        <f aca="false">(((AL62+AL85)+AL108)-AL125)</f>
        <v>0</v>
      </c>
      <c r="AN128" s="11" t="n">
        <f aca="false">SUM(C128:N128)</f>
        <v>0</v>
      </c>
      <c r="AO128" s="11" t="n">
        <f aca="false">SUM(O128:Z128)</f>
        <v>54648</v>
      </c>
      <c r="AP128" s="11" t="n">
        <f aca="false">SUM(AA128:AL128)</f>
        <v>431786.264</v>
      </c>
    </row>
    <row r="129" customFormat="false" ht="15" hidden="false" customHeight="false" outlineLevel="0" collapsed="false">
      <c r="A129" s="0" t="s">
        <v>935</v>
      </c>
      <c r="B129" s="0" t="s">
        <v>230</v>
      </c>
      <c r="C129" s="9" t="n">
        <f aca="false">((C63+C86)+C109)</f>
        <v>0</v>
      </c>
      <c r="D129" s="9" t="n">
        <f aca="false">((D63+D86)+D109)</f>
        <v>0</v>
      </c>
      <c r="E129" s="9" t="n">
        <f aca="false">((E63+E86)+E109)</f>
        <v>0</v>
      </c>
      <c r="F129" s="9" t="n">
        <f aca="false">((F63+F86)+F109)</f>
        <v>0</v>
      </c>
      <c r="G129" s="9" t="n">
        <f aca="false">((G63+G86)+G109)</f>
        <v>0</v>
      </c>
      <c r="H129" s="9" t="n">
        <f aca="false">((H63+H86)+H109)</f>
        <v>0</v>
      </c>
      <c r="I129" s="9" t="n">
        <f aca="false">((I63+I86)+I109)</f>
        <v>0</v>
      </c>
      <c r="J129" s="9" t="n">
        <f aca="false">((J63+J86)+J109)</f>
        <v>0</v>
      </c>
      <c r="K129" s="9" t="n">
        <f aca="false">((K63+K86)+K109)</f>
        <v>0</v>
      </c>
      <c r="L129" s="9" t="n">
        <f aca="false">((L63+L86)+L109)</f>
        <v>0</v>
      </c>
      <c r="M129" s="9" t="n">
        <f aca="false">((M63+M86)+M109)</f>
        <v>0</v>
      </c>
      <c r="N129" s="9" t="n">
        <f aca="false">((N63+N86)+N109)</f>
        <v>0</v>
      </c>
      <c r="O129" s="9" t="n">
        <f aca="false">((O63+O86)+O109)</f>
        <v>0</v>
      </c>
      <c r="P129" s="9" t="n">
        <f aca="false">((P63+P86)+P109)</f>
        <v>0</v>
      </c>
      <c r="Q129" s="9" t="n">
        <f aca="false">((Q63+Q86)+Q109)</f>
        <v>0</v>
      </c>
      <c r="R129" s="9" t="n">
        <f aca="false">((R63+R86)+R109)</f>
        <v>0</v>
      </c>
      <c r="S129" s="9" t="n">
        <f aca="false">((S63+S86)+S109)</f>
        <v>0</v>
      </c>
      <c r="T129" s="9" t="n">
        <f aca="false">((T63+T86)+T109)</f>
        <v>0</v>
      </c>
      <c r="U129" s="9" t="n">
        <f aca="false">((U63+U86)+U109)</f>
        <v>2500</v>
      </c>
      <c r="V129" s="9" t="n">
        <f aca="false">((V63+V86)+V109)</f>
        <v>2500</v>
      </c>
      <c r="W129" s="9" t="n">
        <f aca="false">((W63+W86)+W109)</f>
        <v>2500</v>
      </c>
      <c r="X129" s="9" t="n">
        <f aca="false">((X63+X86)+X109)</f>
        <v>10000</v>
      </c>
      <c r="Y129" s="9" t="n">
        <f aca="false">((Y63+Y86)+Y109)</f>
        <v>10000</v>
      </c>
      <c r="Z129" s="9" t="n">
        <f aca="false">((Z63+Z86)+Z109)</f>
        <v>10000</v>
      </c>
      <c r="AA129" s="9" t="n">
        <f aca="false">((AA63+AA86)+AA109)</f>
        <v>17500</v>
      </c>
      <c r="AB129" s="9" t="n">
        <f aca="false">((AB63+AB86)+AB109)</f>
        <v>17500</v>
      </c>
      <c r="AC129" s="9" t="n">
        <f aca="false">((AC63+AC86)+AC109)</f>
        <v>17500</v>
      </c>
      <c r="AD129" s="9" t="n">
        <f aca="false">((AD63+AD86)+AD109)</f>
        <v>20000</v>
      </c>
      <c r="AE129" s="9" t="n">
        <f aca="false">((AE63+AE86)+AE109)</f>
        <v>20000</v>
      </c>
      <c r="AF129" s="9" t="n">
        <f aca="false">((AF63+AF86)+AF109)</f>
        <v>20000</v>
      </c>
      <c r="AG129" s="9" t="n">
        <f aca="false">((AG63+AG86)+AG109)</f>
        <v>22500</v>
      </c>
      <c r="AH129" s="9" t="n">
        <f aca="false">((AH63+AH86)+AH109)</f>
        <v>22500</v>
      </c>
      <c r="AI129" s="9" t="n">
        <f aca="false">((AI63+AI86)+AI109)</f>
        <v>22500</v>
      </c>
      <c r="AJ129" s="9" t="n">
        <f aca="false">((AJ63+AJ86)+AJ109)</f>
        <v>30000</v>
      </c>
      <c r="AK129" s="9" t="n">
        <f aca="false">((AK63+AK86)+AK109)</f>
        <v>30000</v>
      </c>
      <c r="AL129" s="9" t="n">
        <f aca="false">((AL63+AL86)+AL109)</f>
        <v>40000</v>
      </c>
      <c r="AN129" s="11" t="n">
        <f aca="false">SUM(C129:N129)</f>
        <v>0</v>
      </c>
      <c r="AO129" s="11" t="n">
        <f aca="false">SUM(O129:Z129)</f>
        <v>37500</v>
      </c>
      <c r="AP129" s="11" t="n">
        <f aca="false">SUM(AA129:AL129)</f>
        <v>280000</v>
      </c>
    </row>
    <row r="130" customFormat="false" ht="15" hidden="false" customHeight="false" outlineLevel="0" collapsed="false">
      <c r="A130" s="0" t="s">
        <v>936</v>
      </c>
      <c r="B130" s="0" t="s">
        <v>230</v>
      </c>
      <c r="C130" s="9" t="n">
        <f aca="false">((C64+C87)+C110)</f>
        <v>0</v>
      </c>
      <c r="D130" s="9" t="n">
        <f aca="false">((D64+D87)+D110)</f>
        <v>0</v>
      </c>
      <c r="E130" s="9" t="n">
        <f aca="false">((E64+E87)+E110)</f>
        <v>0</v>
      </c>
      <c r="F130" s="9" t="n">
        <f aca="false">((F64+F87)+F110)</f>
        <v>0</v>
      </c>
      <c r="G130" s="9" t="n">
        <f aca="false">((G64+G87)+G110)</f>
        <v>0</v>
      </c>
      <c r="H130" s="9" t="n">
        <f aca="false">((H64+H87)+H110)</f>
        <v>0</v>
      </c>
      <c r="I130" s="9" t="n">
        <f aca="false">((I64+I87)+I110)</f>
        <v>0</v>
      </c>
      <c r="J130" s="9" t="n">
        <f aca="false">((J64+J87)+J110)</f>
        <v>0</v>
      </c>
      <c r="K130" s="9" t="n">
        <f aca="false">((K64+K87)+K110)</f>
        <v>0</v>
      </c>
      <c r="L130" s="9" t="n">
        <f aca="false">((L64+L87)+L110)</f>
        <v>0</v>
      </c>
      <c r="M130" s="9" t="n">
        <f aca="false">((M64+M87)+M110)</f>
        <v>0</v>
      </c>
      <c r="N130" s="9" t="n">
        <f aca="false">((N64+N87)+N110)</f>
        <v>0</v>
      </c>
      <c r="O130" s="9" t="n">
        <f aca="false">((O64+O87)+O110)</f>
        <v>0</v>
      </c>
      <c r="P130" s="9" t="n">
        <f aca="false">((P64+P87)+P110)</f>
        <v>0</v>
      </c>
      <c r="Q130" s="9" t="n">
        <f aca="false">((Q64+Q87)+Q110)</f>
        <v>0</v>
      </c>
      <c r="R130" s="9" t="n">
        <f aca="false">((R64+R87)+R110)</f>
        <v>0</v>
      </c>
      <c r="S130" s="9" t="n">
        <f aca="false">((S64+S87)+S110)</f>
        <v>0</v>
      </c>
      <c r="T130" s="9" t="n">
        <f aca="false">((T64+T87)+T110)</f>
        <v>0</v>
      </c>
      <c r="U130" s="9" t="n">
        <f aca="false">((U64+U87)+U110)</f>
        <v>15000</v>
      </c>
      <c r="V130" s="9" t="n">
        <f aca="false">((V64+V87)+V110)</f>
        <v>0</v>
      </c>
      <c r="W130" s="9" t="n">
        <f aca="false">((W64+W87)+W110)</f>
        <v>0</v>
      </c>
      <c r="X130" s="9" t="n">
        <f aca="false">((X64+X87)+X110)</f>
        <v>45000</v>
      </c>
      <c r="Y130" s="9" t="n">
        <f aca="false">((Y64+Y87)+Y110)</f>
        <v>0</v>
      </c>
      <c r="Z130" s="9" t="n">
        <f aca="false">((Z64+Z87)+Z110)</f>
        <v>0</v>
      </c>
      <c r="AA130" s="9" t="n">
        <f aca="false">((AA64+AA87)+AA110)</f>
        <v>60000</v>
      </c>
      <c r="AB130" s="9" t="n">
        <f aca="false">((AB64+AB87)+AB110)</f>
        <v>0</v>
      </c>
      <c r="AC130" s="9" t="n">
        <f aca="false">((AC64+AC87)+AC110)</f>
        <v>0</v>
      </c>
      <c r="AD130" s="9" t="n">
        <f aca="false">((AD64+AD87)+AD110)</f>
        <v>60000</v>
      </c>
      <c r="AE130" s="9" t="n">
        <f aca="false">((AE64+AE87)+AE110)</f>
        <v>0</v>
      </c>
      <c r="AF130" s="9" t="n">
        <f aca="false">((AF64+AF87)+AF110)</f>
        <v>0</v>
      </c>
      <c r="AG130" s="9" t="n">
        <f aca="false">((AG64+AG87)+AG110)</f>
        <v>75000</v>
      </c>
      <c r="AH130" s="9" t="n">
        <f aca="false">((AH64+AH87)+AH110)</f>
        <v>0</v>
      </c>
      <c r="AI130" s="9" t="n">
        <f aca="false">((AI64+AI87)+AI110)</f>
        <v>0</v>
      </c>
      <c r="AJ130" s="9" t="n">
        <f aca="false">((AJ64+AJ87)+AJ110)</f>
        <v>105000</v>
      </c>
      <c r="AK130" s="9" t="n">
        <f aca="false">((AK64+AK87)+AK110)</f>
        <v>0</v>
      </c>
      <c r="AL130" s="9" t="n">
        <f aca="false">((AL64+AL87)+AL110)</f>
        <v>60000</v>
      </c>
      <c r="AN130" s="11" t="n">
        <f aca="false">SUM(C130:N130)</f>
        <v>0</v>
      </c>
      <c r="AO130" s="11" t="n">
        <f aca="false">SUM(O130:Z130)</f>
        <v>60000</v>
      </c>
      <c r="AP130" s="11" t="n">
        <f aca="false">SUM(AA130:AL130)</f>
        <v>360000</v>
      </c>
    </row>
    <row r="131" customFormat="false" ht="15" hidden="false" customHeight="false" outlineLevel="0" collapsed="false">
      <c r="A131" s="0" t="s">
        <v>937</v>
      </c>
      <c r="B131" s="0" t="s">
        <v>230</v>
      </c>
      <c r="C131" s="9" t="n">
        <f aca="false">((C66+C89)+C112)</f>
        <v>0</v>
      </c>
      <c r="D131" s="9" t="n">
        <f aca="false">((D66+D89)+D112)</f>
        <v>0</v>
      </c>
      <c r="E131" s="9" t="n">
        <f aca="false">((E66+E89)+E112)</f>
        <v>0</v>
      </c>
      <c r="F131" s="9" t="n">
        <f aca="false">((F66+F89)+F112)</f>
        <v>0</v>
      </c>
      <c r="G131" s="9" t="n">
        <f aca="false">((G66+G89)+G112)</f>
        <v>0</v>
      </c>
      <c r="H131" s="9" t="n">
        <f aca="false">((H66+H89)+H112)</f>
        <v>0</v>
      </c>
      <c r="I131" s="9" t="n">
        <f aca="false">((I66+I89)+I112)</f>
        <v>0</v>
      </c>
      <c r="J131" s="9" t="n">
        <f aca="false">((J66+J89)+J112)</f>
        <v>0</v>
      </c>
      <c r="K131" s="9" t="n">
        <f aca="false">((K66+K89)+K112)</f>
        <v>0</v>
      </c>
      <c r="L131" s="9" t="n">
        <f aca="false">((L66+L89)+L112)</f>
        <v>0</v>
      </c>
      <c r="M131" s="9" t="n">
        <f aca="false">((M66+M89)+M112)</f>
        <v>0</v>
      </c>
      <c r="N131" s="9" t="n">
        <f aca="false">((N66+N89)+N112)</f>
        <v>0</v>
      </c>
      <c r="O131" s="9" t="n">
        <f aca="false">((O66+O89)+O112)</f>
        <v>0</v>
      </c>
      <c r="P131" s="9" t="n">
        <f aca="false">((P66+P89)+P112)</f>
        <v>0</v>
      </c>
      <c r="Q131" s="9" t="n">
        <f aca="false">((Q66+Q89)+Q112)</f>
        <v>0</v>
      </c>
      <c r="R131" s="9" t="n">
        <f aca="false">((R66+R89)+R112)</f>
        <v>0</v>
      </c>
      <c r="S131" s="9" t="n">
        <f aca="false">((S66+S89)+S112)</f>
        <v>0</v>
      </c>
      <c r="T131" s="9" t="n">
        <f aca="false">((T66+T89)+T112)</f>
        <v>0</v>
      </c>
      <c r="U131" s="9" t="n">
        <f aca="false">((U66+U89)+U112)</f>
        <v>7000</v>
      </c>
      <c r="V131" s="9" t="n">
        <f aca="false">((V66+V89)+V112)</f>
        <v>7000</v>
      </c>
      <c r="W131" s="9" t="n">
        <f aca="false">((W66+W89)+W112)</f>
        <v>7000</v>
      </c>
      <c r="X131" s="9" t="n">
        <f aca="false">((X66+X89)+X112)</f>
        <v>22333.3333333333</v>
      </c>
      <c r="Y131" s="9" t="n">
        <f aca="false">((Y66+Y89)+Y112)</f>
        <v>22333.3333333333</v>
      </c>
      <c r="Z131" s="9" t="n">
        <f aca="false">((Z66+Z89)+Z112)</f>
        <v>22333.3333333333</v>
      </c>
      <c r="AA131" s="9" t="n">
        <f aca="false">((AA66+AA89)+AA112)</f>
        <v>29333.3333333333</v>
      </c>
      <c r="AB131" s="9" t="n">
        <f aca="false">((AB66+AB89)+AB112)</f>
        <v>29333.3333333333</v>
      </c>
      <c r="AC131" s="9" t="n">
        <f aca="false">((AC66+AC89)+AC112)</f>
        <v>29333.3333333333</v>
      </c>
      <c r="AD131" s="9" t="n">
        <f aca="false">((AD66+AD89)+AD112)</f>
        <v>29333.3333333333</v>
      </c>
      <c r="AE131" s="9" t="n">
        <f aca="false">((AE66+AE89)+AE112)</f>
        <v>36333.3333333333</v>
      </c>
      <c r="AF131" s="9" t="n">
        <f aca="false">((AF66+AF89)+AF112)</f>
        <v>36333.3333333333</v>
      </c>
      <c r="AG131" s="9" t="n">
        <f aca="false">((AG66+AG89)+AG112)</f>
        <v>43333.3333333333</v>
      </c>
      <c r="AH131" s="9" t="n">
        <f aca="false">((AH66+AH89)+AH112)</f>
        <v>58666.6666666667</v>
      </c>
      <c r="AI131" s="9" t="n">
        <f aca="false">((AI66+AI89)+AI112)</f>
        <v>58666.6666666667</v>
      </c>
      <c r="AJ131" s="9" t="n">
        <f aca="false">((AJ66+AJ89)+AJ112)</f>
        <v>74000</v>
      </c>
      <c r="AK131" s="9" t="n">
        <f aca="false">((AK66+AK89)+AK112)</f>
        <v>81000</v>
      </c>
      <c r="AL131" s="9" t="n">
        <f aca="false">((AL66+AL89)+AL112)</f>
        <v>116333.333333333</v>
      </c>
      <c r="AN131" s="11" t="n">
        <f aca="false">SUM(C131:N131)</f>
        <v>0</v>
      </c>
      <c r="AO131" s="11" t="n">
        <f aca="false">SUM(O131:Z131)</f>
        <v>88000</v>
      </c>
      <c r="AP131" s="11" t="n">
        <f aca="false">SUM(AA131:AL131)</f>
        <v>622000</v>
      </c>
    </row>
    <row r="132" customFormat="false" ht="15" hidden="false" customHeight="false" outlineLevel="0" collapsed="false">
      <c r="A132" s="0" t="s">
        <v>938</v>
      </c>
      <c r="B132" s="0" t="s">
        <v>230</v>
      </c>
      <c r="C132" s="9" t="n">
        <f aca="false">((C67+C90)+C113)</f>
        <v>0</v>
      </c>
      <c r="D132" s="9" t="n">
        <f aca="false">((D67+D90)+D113)</f>
        <v>0</v>
      </c>
      <c r="E132" s="9" t="n">
        <f aca="false">((E67+E90)+E113)</f>
        <v>0</v>
      </c>
      <c r="F132" s="9" t="n">
        <f aca="false">((F67+F90)+F113)</f>
        <v>0</v>
      </c>
      <c r="G132" s="9" t="n">
        <f aca="false">((G67+G90)+G113)</f>
        <v>0</v>
      </c>
      <c r="H132" s="9" t="n">
        <f aca="false">((H67+H90)+H113)</f>
        <v>0</v>
      </c>
      <c r="I132" s="9" t="n">
        <f aca="false">((I67+I90)+I113)</f>
        <v>0</v>
      </c>
      <c r="J132" s="9" t="n">
        <f aca="false">((J67+J90)+J113)</f>
        <v>0</v>
      </c>
      <c r="K132" s="9" t="n">
        <f aca="false">((K67+K90)+K113)</f>
        <v>0</v>
      </c>
      <c r="L132" s="9" t="n">
        <f aca="false">((L67+L90)+L113)</f>
        <v>0</v>
      </c>
      <c r="M132" s="9" t="n">
        <f aca="false">((M67+M90)+M113)</f>
        <v>0</v>
      </c>
      <c r="N132" s="9" t="n">
        <f aca="false">((N67+N90)+N113)</f>
        <v>0</v>
      </c>
      <c r="O132" s="9" t="n">
        <f aca="false">((O67+O90)+O113)</f>
        <v>0</v>
      </c>
      <c r="P132" s="9" t="n">
        <f aca="false">((P67+P90)+P113)</f>
        <v>0</v>
      </c>
      <c r="Q132" s="9" t="n">
        <f aca="false">((Q67+Q90)+Q113)</f>
        <v>0</v>
      </c>
      <c r="R132" s="9" t="n">
        <f aca="false">((R67+R90)+R113)</f>
        <v>0</v>
      </c>
      <c r="S132" s="9" t="n">
        <f aca="false">((S67+S90)+S113)</f>
        <v>0</v>
      </c>
      <c r="T132" s="9" t="n">
        <f aca="false">((T67+T90)+T113)</f>
        <v>0</v>
      </c>
      <c r="U132" s="9" t="n">
        <f aca="false">((U67+U90)+U113)</f>
        <v>21000</v>
      </c>
      <c r="V132" s="9" t="n">
        <f aca="false">((V67+V90)+V113)</f>
        <v>0</v>
      </c>
      <c r="W132" s="9" t="n">
        <f aca="false">((W67+W90)+W113)</f>
        <v>0</v>
      </c>
      <c r="X132" s="9" t="n">
        <f aca="false">((X67+X90)+X113)</f>
        <v>67000</v>
      </c>
      <c r="Y132" s="9" t="n">
        <f aca="false">((Y67+Y90)+Y113)</f>
        <v>0</v>
      </c>
      <c r="Z132" s="9" t="n">
        <f aca="false">((Z67+Z90)+Z113)</f>
        <v>0</v>
      </c>
      <c r="AA132" s="9" t="n">
        <f aca="false">((AA67+AA90)+AA113)</f>
        <v>88000</v>
      </c>
      <c r="AB132" s="9" t="n">
        <f aca="false">((AB67+AB90)+AB113)</f>
        <v>0</v>
      </c>
      <c r="AC132" s="9" t="n">
        <f aca="false">((AC67+AC90)+AC113)</f>
        <v>0</v>
      </c>
      <c r="AD132" s="9" t="n">
        <f aca="false">((AD67+AD90)+AD113)</f>
        <v>88000</v>
      </c>
      <c r="AE132" s="9" t="n">
        <f aca="false">((AE67+AE90)+AE113)</f>
        <v>21000</v>
      </c>
      <c r="AF132" s="9" t="n">
        <f aca="false">((AF67+AF90)+AF113)</f>
        <v>0</v>
      </c>
      <c r="AG132" s="9" t="n">
        <f aca="false">((AG67+AG90)+AG113)</f>
        <v>109000</v>
      </c>
      <c r="AH132" s="9" t="n">
        <f aca="false">((AH67+AH90)+AH113)</f>
        <v>67000</v>
      </c>
      <c r="AI132" s="9" t="n">
        <f aca="false">((AI67+AI90)+AI113)</f>
        <v>0</v>
      </c>
      <c r="AJ132" s="9" t="n">
        <f aca="false">((AJ67+AJ90)+AJ113)</f>
        <v>155000</v>
      </c>
      <c r="AK132" s="9" t="n">
        <f aca="false">((AK67+AK90)+AK113)</f>
        <v>88000</v>
      </c>
      <c r="AL132" s="9" t="n">
        <f aca="false">((AL67+AL90)+AL113)</f>
        <v>106000</v>
      </c>
      <c r="AN132" s="11" t="n">
        <f aca="false">SUM(C132:N132)</f>
        <v>0</v>
      </c>
      <c r="AO132" s="11" t="n">
        <f aca="false">SUM(O132:Z132)</f>
        <v>88000</v>
      </c>
      <c r="AP132" s="11" t="n">
        <f aca="false">SUM(AA132:AL132)</f>
        <v>722000</v>
      </c>
    </row>
    <row r="133" customFormat="false" ht="15" hidden="false" customHeight="false" outlineLevel="0" collapsed="false">
      <c r="A133" s="0" t="s">
        <v>939</v>
      </c>
      <c r="B133" s="0" t="s">
        <v>285</v>
      </c>
      <c r="C133" s="9" t="n">
        <f aca="false">((C68+C91)+C114)</f>
        <v>0</v>
      </c>
      <c r="D133" s="9" t="n">
        <f aca="false">((D68+D91)+D114)</f>
        <v>0</v>
      </c>
      <c r="E133" s="9" t="n">
        <f aca="false">((E68+E91)+E114)</f>
        <v>0</v>
      </c>
      <c r="F133" s="9" t="n">
        <f aca="false">((F68+F91)+F114)</f>
        <v>0</v>
      </c>
      <c r="G133" s="9" t="n">
        <f aca="false">((G68+G91)+G114)</f>
        <v>115</v>
      </c>
      <c r="H133" s="9" t="n">
        <f aca="false">((H68+H91)+H114)</f>
        <v>0</v>
      </c>
      <c r="I133" s="9" t="n">
        <f aca="false">((I68+I91)+I114)</f>
        <v>0</v>
      </c>
      <c r="J133" s="9" t="n">
        <f aca="false">((J68+J91)+J114)</f>
        <v>330</v>
      </c>
      <c r="K133" s="9" t="n">
        <f aca="false">((K68+K91)+K114)</f>
        <v>0</v>
      </c>
      <c r="L133" s="9" t="n">
        <f aca="false">((L68+L91)+L114)</f>
        <v>0</v>
      </c>
      <c r="M133" s="9" t="n">
        <f aca="false">((M68+M91)+M114)</f>
        <v>0</v>
      </c>
      <c r="N133" s="9" t="n">
        <f aca="false">((N68+N91)+N114)</f>
        <v>0</v>
      </c>
      <c r="O133" s="9" t="n">
        <f aca="false">((O68+O91)+O114)</f>
        <v>0</v>
      </c>
      <c r="P133" s="9" t="n">
        <f aca="false">((P68+P91)+P114)</f>
        <v>0</v>
      </c>
      <c r="Q133" s="9" t="n">
        <f aca="false">((Q68+Q91)+Q114)</f>
        <v>0</v>
      </c>
      <c r="R133" s="9" t="n">
        <f aca="false">((R68+R91)+R114)</f>
        <v>0</v>
      </c>
      <c r="S133" s="9" t="n">
        <f aca="false">((S68+S91)+S114)</f>
        <v>0</v>
      </c>
      <c r="T133" s="9" t="n">
        <f aca="false">((T68+T91)+T114)</f>
        <v>0</v>
      </c>
      <c r="U133" s="9" t="n">
        <f aca="false">((U68+U91)+U114)</f>
        <v>159</v>
      </c>
      <c r="V133" s="9" t="n">
        <f aca="false">((V68+V91)+V114)</f>
        <v>0</v>
      </c>
      <c r="W133" s="9" t="n">
        <f aca="false">((W68+W91)+W114)</f>
        <v>0</v>
      </c>
      <c r="X133" s="9" t="n">
        <f aca="false">((X68+X91)+X114)</f>
        <v>533</v>
      </c>
      <c r="Y133" s="9" t="n">
        <f aca="false">((Y68+Y91)+Y114)</f>
        <v>0</v>
      </c>
      <c r="Z133" s="9" t="n">
        <f aca="false">((Z68+Z91)+Z114)</f>
        <v>0</v>
      </c>
      <c r="AA133" s="9" t="n">
        <f aca="false">((AA68+AA91)+AA114)</f>
        <v>692</v>
      </c>
      <c r="AB133" s="9" t="n">
        <f aca="false">((AB68+AB91)+AB114)</f>
        <v>0</v>
      </c>
      <c r="AC133" s="9" t="n">
        <f aca="false">((AC68+AC91)+AC114)</f>
        <v>0</v>
      </c>
      <c r="AD133" s="9" t="n">
        <f aca="false">((AD68+AD91)+AD114)</f>
        <v>692</v>
      </c>
      <c r="AE133" s="9" t="n">
        <f aca="false">((AE68+AE91)+AE114)</f>
        <v>159</v>
      </c>
      <c r="AF133" s="9" t="n">
        <f aca="false">((AF68+AF91)+AF114)</f>
        <v>0</v>
      </c>
      <c r="AG133" s="9" t="n">
        <f aca="false">((AG68+AG91)+AG114)</f>
        <v>851</v>
      </c>
      <c r="AH133" s="9" t="n">
        <f aca="false">((AH68+AH91)+AH114)</f>
        <v>533</v>
      </c>
      <c r="AI133" s="9" t="n">
        <f aca="false">((AI68+AI91)+AI114)</f>
        <v>0</v>
      </c>
      <c r="AJ133" s="9" t="n">
        <f aca="false">((AJ68+AJ91)+AJ114)</f>
        <v>1225</v>
      </c>
      <c r="AK133" s="9" t="n">
        <f aca="false">((AK68+AK91)+AK114)</f>
        <v>692</v>
      </c>
      <c r="AL133" s="9" t="n">
        <f aca="false">((AL68+AL91)+AL114)</f>
        <v>844</v>
      </c>
      <c r="AN133" s="11" t="n">
        <f aca="false">SUM(C133:N133)</f>
        <v>445</v>
      </c>
      <c r="AO133" s="11" t="n">
        <f aca="false">SUM(O133:Z133)</f>
        <v>692</v>
      </c>
      <c r="AP133" s="11" t="n">
        <f aca="false">SUM(AA133:AL133)</f>
        <v>5688</v>
      </c>
    </row>
    <row r="134" customFormat="false" ht="15" hidden="false" customHeight="false" outlineLevel="0" collapsed="false">
      <c r="A134" s="0" t="s">
        <v>940</v>
      </c>
      <c r="B134" s="0" t="s">
        <v>230</v>
      </c>
      <c r="C134" s="9" t="n">
        <f aca="false">((((C130+C132)+(C55*C58))+(C78*C81))+(C101*C104))</f>
        <v>0</v>
      </c>
      <c r="D134" s="9" t="n">
        <f aca="false">((((D130+D132)+(D55*D58))+(D78*D81))+(D101*D104))</f>
        <v>0</v>
      </c>
      <c r="E134" s="9" t="n">
        <f aca="false">((((E130+E132)+(E55*E58))+(E78*E81))+(E101*E104))</f>
        <v>0</v>
      </c>
      <c r="F134" s="9" t="n">
        <f aca="false">((((F130+F132)+(F55*F58))+(F78*F81))+(F101*F104))</f>
        <v>0</v>
      </c>
      <c r="G134" s="9" t="n">
        <f aca="false">((((G130+G132)+(G55*G58))+(G78*G81))+(G101*G104))</f>
        <v>0</v>
      </c>
      <c r="H134" s="9" t="n">
        <f aca="false">((((H130+H132)+(H55*H58))+(H78*H81))+(H101*H104))</f>
        <v>0</v>
      </c>
      <c r="I134" s="9" t="n">
        <f aca="false">((((I130+I132)+(I55*I58))+(I78*I81))+(I101*I104))</f>
        <v>0</v>
      </c>
      <c r="J134" s="9" t="n">
        <f aca="false">((((J130+J132)+(J55*J58))+(J78*J81))+(J101*J104))</f>
        <v>0</v>
      </c>
      <c r="K134" s="9" t="n">
        <f aca="false">((((K130+K132)+(K55*K58))+(K78*K81))+(K101*K104))</f>
        <v>0</v>
      </c>
      <c r="L134" s="9" t="n">
        <f aca="false">((((L130+L132)+(L55*L58))+(L78*L81))+(L101*L104))</f>
        <v>0</v>
      </c>
      <c r="M134" s="9" t="n">
        <f aca="false">((((M130+M132)+(M55*M58))+(M78*M81))+(M101*M104))</f>
        <v>0</v>
      </c>
      <c r="N134" s="9" t="n">
        <f aca="false">((((N130+N132)+(N55*N58))+(N78*N81))+(N101*N104))</f>
        <v>0</v>
      </c>
      <c r="O134" s="9" t="n">
        <f aca="false">((((O130+O132)+(O55*O58))+(O78*O81))+(O101*O104))</f>
        <v>0</v>
      </c>
      <c r="P134" s="9" t="n">
        <f aca="false">((((P130+P132)+(P55*P58))+(P78*P81))+(P101*P104))</f>
        <v>0</v>
      </c>
      <c r="Q134" s="9" t="n">
        <f aca="false">((((Q130+Q132)+(Q55*Q58))+(Q78*Q81))+(Q101*Q104))</f>
        <v>0</v>
      </c>
      <c r="R134" s="9" t="n">
        <f aca="false">((((R130+R132)+(R55*R58))+(R78*R81))+(R101*R104))</f>
        <v>0</v>
      </c>
      <c r="S134" s="9" t="n">
        <f aca="false">((((S130+S132)+(S55*S58))+(S78*S81))+(S101*S104))</f>
        <v>0</v>
      </c>
      <c r="T134" s="9" t="n">
        <f aca="false">((((T130+T132)+(T55*T58))+(T78*T81))+(T101*T104))</f>
        <v>54648</v>
      </c>
      <c r="U134" s="9" t="n">
        <f aca="false">((((U130+U132)+(U55*U58))+(U78*U81))+(U101*U104))</f>
        <v>36000</v>
      </c>
      <c r="V134" s="9" t="n">
        <f aca="false">((((V130+V132)+(V55*V58))+(V78*V81))+(V101*V104))</f>
        <v>0</v>
      </c>
      <c r="W134" s="9" t="n">
        <f aca="false">((((W130+W132)+(W55*W58))+(W78*W81))+(W101*W104))</f>
        <v>0</v>
      </c>
      <c r="X134" s="9" t="n">
        <f aca="false">((((X130+X132)+(X55*X58))+(X78*X81))+(X101*X104))</f>
        <v>112000</v>
      </c>
      <c r="Y134" s="9" t="n">
        <f aca="false">((((Y130+Y132)+(Y55*Y58))+(Y78*Y81))+(Y101*Y104))</f>
        <v>0</v>
      </c>
      <c r="Z134" s="9" t="n">
        <f aca="false">((((Z130+Z132)+(Z55*Z58))+(Z78*Z81))+(Z101*Z104))</f>
        <v>0</v>
      </c>
      <c r="AA134" s="9" t="n">
        <f aca="false">((((AA130+AA132)+(AA55*AA58))+(AA78*AA81))+(AA101*AA104))</f>
        <v>148000</v>
      </c>
      <c r="AB134" s="9" t="n">
        <f aca="false">((((AB130+AB132)+(AB55*AB58))+(AB78*AB81))+(AB101*AB104))</f>
        <v>11880</v>
      </c>
      <c r="AC134" s="9" t="n">
        <f aca="false">((((AC130+AC132)+(AC55*AC58))+(AC78*AC81))+(AC101*AC104))</f>
        <v>0</v>
      </c>
      <c r="AD134" s="9" t="n">
        <f aca="false">((((AD130+AD132)+(AD55*AD58))+(AD78*AD81))+(AD101*AD104))</f>
        <v>148000</v>
      </c>
      <c r="AE134" s="9" t="n">
        <f aca="false">((((AE130+AE132)+(AE55*AE58))+(AE78*AE81))+(AE101*AE104))</f>
        <v>89574</v>
      </c>
      <c r="AF134" s="9" t="n">
        <f aca="false">((((AF130+AF132)+(AF55*AF58))+(AF78*AF81))+(AF101*AF104))</f>
        <v>0</v>
      </c>
      <c r="AG134" s="9" t="n">
        <f aca="false">((((AG130+AG132)+(AG55*AG58))+(AG78*AG81))+(AG101*AG104))</f>
        <v>184000</v>
      </c>
      <c r="AH134" s="9" t="n">
        <f aca="false">((((AH130+AH132)+(AH55*AH58))+(AH78*AH81))+(AH101*AH104))</f>
        <v>222254</v>
      </c>
      <c r="AI134" s="9" t="n">
        <f aca="false">((((AI130+AI132)+(AI55*AI58))+(AI78*AI81))+(AI101*AI104))</f>
        <v>0</v>
      </c>
      <c r="AJ134" s="9" t="n">
        <f aca="false">((((AJ130+AJ132)+(AJ55*AJ58))+(AJ78*AJ81))+(AJ101*AJ104))</f>
        <v>260000</v>
      </c>
      <c r="AK134" s="9" t="n">
        <f aca="false">((((AK130+AK132)+(AK55*AK58))+(AK78*AK81))+(AK101*AK104))</f>
        <v>269654</v>
      </c>
      <c r="AL134" s="9" t="n">
        <f aca="false">((((AL130+AL132)+(AL55*AL58))+(AL78*AL81))+(AL101*AL104))</f>
        <v>166000</v>
      </c>
      <c r="AN134" s="11" t="n">
        <f aca="false">SUM(C134:N134)</f>
        <v>0</v>
      </c>
      <c r="AO134" s="11" t="n">
        <f aca="false">SUM(O134:Z134)</f>
        <v>202648</v>
      </c>
      <c r="AP134" s="11" t="n">
        <f aca="false">SUM(AA134:AL134)</f>
        <v>1499362</v>
      </c>
    </row>
    <row r="135" customFormat="false" ht="15" hidden="false" customHeight="false" outlineLevel="0" collapsed="false">
      <c r="A135" s="21" t="s">
        <v>941</v>
      </c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</row>
    <row r="136" customFormat="false" ht="15" hidden="false" customHeight="false" outlineLevel="0" collapsed="false">
      <c r="A136" s="0" t="s">
        <v>942</v>
      </c>
      <c r="B136" s="0" t="s">
        <v>230</v>
      </c>
      <c r="C136" s="9" t="n">
        <f aca="false">IF((C$18&gt;=Assumptions!$C$41),(((Assumptions!$C$42*$C$10)/12)*(((C57*Assumptions!$C$128)+(C80*Assumptions!$D$128))+(C103*Assumptions!$E$128))),0)</f>
        <v>0</v>
      </c>
      <c r="D136" s="9" t="n">
        <f aca="false">IF((D$18&gt;=Assumptions!$C$41),(((Assumptions!$C$42*$C$10)/12)*(((D57*Assumptions!$C$128)+(D80*Assumptions!$D$128))+(D103*Assumptions!$E$128))),0)</f>
        <v>0</v>
      </c>
      <c r="E136" s="9" t="n">
        <f aca="false">IF((E$18&gt;=Assumptions!$C$41),(((Assumptions!$C$42*$C$10)/12)*(((E57*Assumptions!$C$128)+(E80*Assumptions!$D$128))+(E103*Assumptions!$E$128))),0)</f>
        <v>0</v>
      </c>
      <c r="F136" s="9" t="n">
        <f aca="false">IF((F$18&gt;=Assumptions!$C$41),(((Assumptions!$C$42*$C$10)/12)*(((F57*Assumptions!$C$128)+(F80*Assumptions!$D$128))+(F103*Assumptions!$E$128))),0)</f>
        <v>0</v>
      </c>
      <c r="G136" s="9" t="n">
        <f aca="false">IF((G$18&gt;=Assumptions!$C$41),(((Assumptions!$C$42*$C$10)/12)*(((G57*Assumptions!$C$128)+(G80*Assumptions!$D$128))+(G103*Assumptions!$E$128))),0)</f>
        <v>0</v>
      </c>
      <c r="H136" s="9" t="n">
        <f aca="false">IF((H$18&gt;=Assumptions!$C$41),(((Assumptions!$C$42*$C$10)/12)*(((H57*Assumptions!$C$128)+(H80*Assumptions!$D$128))+(H103*Assumptions!$E$128))),0)</f>
        <v>0</v>
      </c>
      <c r="I136" s="9" t="n">
        <f aca="false">IF((I$18&gt;=Assumptions!$C$41),(((Assumptions!$C$42*$C$10)/12)*(((I57*Assumptions!$C$128)+(I80*Assumptions!$D$128))+(I103*Assumptions!$E$128))),0)</f>
        <v>0</v>
      </c>
      <c r="J136" s="9" t="n">
        <f aca="false">IF((J$18&gt;=Assumptions!$C$41),(((Assumptions!$C$42*$C$10)/12)*(((J57*Assumptions!$C$128)+(J80*Assumptions!$D$128))+(J103*Assumptions!$E$128))),0)</f>
        <v>0</v>
      </c>
      <c r="K136" s="9" t="n">
        <f aca="false">IF((K$18&gt;=Assumptions!$C$41),(((Assumptions!$C$42*$C$10)/12)*(((K57*Assumptions!$C$128)+(K80*Assumptions!$D$128))+(K103*Assumptions!$E$128))),0)</f>
        <v>0</v>
      </c>
      <c r="L136" s="9" t="n">
        <f aca="false">IF((L$18&gt;=Assumptions!$C$41),(((Assumptions!$C$42*$C$10)/12)*(((L57*Assumptions!$C$128)+(L80*Assumptions!$D$128))+(L103*Assumptions!$E$128))),0)</f>
        <v>0</v>
      </c>
      <c r="M136" s="9" t="n">
        <f aca="false">IF((M$18&gt;=Assumptions!$C$41),(((Assumptions!$C$42*$C$10)/12)*(((M57*Assumptions!$C$128)+(M80*Assumptions!$D$128))+(M103*Assumptions!$E$128))),0)</f>
        <v>0</v>
      </c>
      <c r="N136" s="9" t="n">
        <f aca="false">IF((N$18&gt;=Assumptions!$C$41),(((Assumptions!$C$42*$C$10)/12)*(((N57*Assumptions!$C$128)+(N80*Assumptions!$D$128))+(N103*Assumptions!$E$128))),0)</f>
        <v>0</v>
      </c>
      <c r="O136" s="9" t="n">
        <f aca="false">IF((O$18&gt;=Assumptions!$C$41),(((Assumptions!$C$42*$C$10)/12)*(((O57*Assumptions!$C$128)+(O80*Assumptions!$D$128))+(O103*Assumptions!$E$128))),0)</f>
        <v>0</v>
      </c>
      <c r="P136" s="9" t="n">
        <f aca="false">IF((P$18&gt;=Assumptions!$C$41),(((Assumptions!$C$42*$C$10)/12)*(((P57*Assumptions!$C$128)+(P80*Assumptions!$D$128))+(P103*Assumptions!$E$128))),0)</f>
        <v>0</v>
      </c>
      <c r="Q136" s="9" t="n">
        <f aca="false">IF((Q$18&gt;=Assumptions!$C$41),(((Assumptions!$C$42*$C$10)/12)*(((Q57*Assumptions!$C$128)+(Q80*Assumptions!$D$128))+(Q103*Assumptions!$E$128))),0)</f>
        <v>0</v>
      </c>
      <c r="R136" s="9" t="n">
        <f aca="false">IF((R$18&gt;=Assumptions!$C$41),(((Assumptions!$C$42*$C$10)/12)*(((R57*Assumptions!$C$128)+(R80*Assumptions!$D$128))+(R103*Assumptions!$E$128))),0)</f>
        <v>0</v>
      </c>
      <c r="S136" s="9" t="n">
        <f aca="false">IF((S$18&gt;=Assumptions!$C$41),(((Assumptions!$C$42*$C$10)/12)*(((S57*Assumptions!$C$128)+(S80*Assumptions!$D$128))+(S103*Assumptions!$E$128))),0)</f>
        <v>0</v>
      </c>
      <c r="T136" s="9" t="n">
        <f aca="false">IF((T$18&gt;=Assumptions!$C$41),(((Assumptions!$C$42*$C$10)/12)*(((T57*Assumptions!$C$128)+(T80*Assumptions!$D$128))+(T103*Assumptions!$E$128))),0)</f>
        <v>0</v>
      </c>
      <c r="U136" s="9" t="n">
        <f aca="false">IF((U$18&gt;=Assumptions!$C$41),(((Assumptions!$C$42*$C$10)/12)*(((U57*Assumptions!$C$128)+(U80*Assumptions!$D$128))+(U103*Assumptions!$E$128))),0)</f>
        <v>0</v>
      </c>
      <c r="V136" s="9" t="n">
        <f aca="false">IF((V$18&gt;=Assumptions!$C$41),(((Assumptions!$C$42*$C$10)/12)*(((V57*Assumptions!$C$128)+(V80*Assumptions!$D$128))+(V103*Assumptions!$E$128))),0)</f>
        <v>432</v>
      </c>
      <c r="W136" s="9" t="n">
        <f aca="false">IF((W$18&gt;=Assumptions!$C$41),(((Assumptions!$C$42*$C$10)/12)*(((W57*Assumptions!$C$128)+(W80*Assumptions!$D$128))+(W103*Assumptions!$E$128))),0)</f>
        <v>432</v>
      </c>
      <c r="X136" s="9" t="n">
        <f aca="false">IF((X$18&gt;=Assumptions!$C$41),(((Assumptions!$C$42*$C$10)/12)*(((X57*Assumptions!$C$128)+(X80*Assumptions!$D$128))+(X103*Assumptions!$E$128))),0)</f>
        <v>432</v>
      </c>
      <c r="Y136" s="9" t="n">
        <f aca="false">IF((Y$18&gt;=Assumptions!$C$41),(((Assumptions!$C$42*$C$10)/12)*(((Y57*Assumptions!$C$128)+(Y80*Assumptions!$D$128))+(Y103*Assumptions!$E$128))),0)</f>
        <v>432</v>
      </c>
      <c r="Z136" s="9" t="n">
        <f aca="false">IF((Z$18&gt;=Assumptions!$C$41),(((Assumptions!$C$42*$C$10)/12)*(((Z57*Assumptions!$C$128)+(Z80*Assumptions!$D$128))+(Z103*Assumptions!$E$128))),0)</f>
        <v>432</v>
      </c>
      <c r="AA136" s="9" t="n">
        <f aca="false">IF((AA$18&gt;=Assumptions!$C$41),(((Assumptions!$C$42*$C$10)/12)*(((AA57*Assumptions!$C$128)+(AA80*Assumptions!$D$128))+(AA103*Assumptions!$E$128))),0)</f>
        <v>432</v>
      </c>
      <c r="AB136" s="9" t="n">
        <f aca="false">IF((AB$18&gt;=Assumptions!$C$41),(((Assumptions!$C$42*$C$10)/12)*(((AB57*Assumptions!$C$128)+(AB80*Assumptions!$D$128))+(AB103*Assumptions!$E$128))),0)</f>
        <v>522</v>
      </c>
      <c r="AC136" s="9" t="n">
        <f aca="false">IF((AC$18&gt;=Assumptions!$C$41),(((Assumptions!$C$42*$C$10)/12)*(((AC57*Assumptions!$C$128)+(AC80*Assumptions!$D$128))+(AC103*Assumptions!$E$128))),0)</f>
        <v>522</v>
      </c>
      <c r="AD136" s="9" t="n">
        <f aca="false">IF((AD$18&gt;=Assumptions!$C$41),(((Assumptions!$C$42*$C$10)/12)*(((AD57*Assumptions!$C$128)+(AD80*Assumptions!$D$128))+(AD103*Assumptions!$E$128))),0)</f>
        <v>522</v>
      </c>
      <c r="AE136" s="9" t="n">
        <f aca="false">IF((AE$18&gt;=Assumptions!$C$41),(((Assumptions!$C$42*$C$10)/12)*(((AE57*Assumptions!$C$128)+(AE80*Assumptions!$D$128))+(AE103*Assumptions!$E$128))),0)</f>
        <v>1055</v>
      </c>
      <c r="AF136" s="9" t="n">
        <f aca="false">IF((AF$18&gt;=Assumptions!$C$41),(((Assumptions!$C$42*$C$10)/12)*(((AF57*Assumptions!$C$128)+(AF80*Assumptions!$D$128))+(AF103*Assumptions!$E$128))),0)</f>
        <v>1003.16</v>
      </c>
      <c r="AG136" s="9" t="n">
        <f aca="false">IF((AG$18&gt;=Assumptions!$C$41),(((Assumptions!$C$42*$C$10)/12)*(((AG57*Assumptions!$C$128)+(AG80*Assumptions!$D$128))+(AG103*Assumptions!$E$128))),0)</f>
        <v>1003.16</v>
      </c>
      <c r="AH136" s="9" t="n">
        <f aca="false">IF((AH$18&gt;=Assumptions!$C$41),(((Assumptions!$C$42*$C$10)/12)*(((AH57*Assumptions!$C$128)+(AH80*Assumptions!$D$128))+(AH103*Assumptions!$E$128))),0)</f>
        <v>2226.16</v>
      </c>
      <c r="AI136" s="9" t="n">
        <f aca="false">IF((AI$18&gt;=Assumptions!$C$41),(((Assumptions!$C$42*$C$10)/12)*(((AI57*Assumptions!$C$128)+(AI80*Assumptions!$D$128))+(AI103*Assumptions!$E$128))),0)</f>
        <v>2226.16</v>
      </c>
      <c r="AJ136" s="9" t="n">
        <f aca="false">IF((AJ$18&gt;=Assumptions!$C$41),(((Assumptions!$C$42*$C$10)/12)*(((AJ57*Assumptions!$C$128)+(AJ80*Assumptions!$D$128))+(AJ103*Assumptions!$E$128))),0)</f>
        <v>2226.16</v>
      </c>
      <c r="AK136" s="9" t="n">
        <f aca="false">IF((AK$18&gt;=Assumptions!$C$41),(((Assumptions!$C$42*$C$10)/12)*(((AK57*Assumptions!$C$128)+(AK80*Assumptions!$D$128))+(AK103*Assumptions!$E$128))),0)</f>
        <v>3649.16</v>
      </c>
      <c r="AL136" s="9" t="n">
        <f aca="false">IF((AL$18&gt;=Assumptions!$C$41),(((Assumptions!$C$42*$C$10)/12)*(((AL57*Assumptions!$C$128)+(AL80*Assumptions!$D$128))+(AL103*Assumptions!$E$128))),0)</f>
        <v>3649.16</v>
      </c>
      <c r="AN136" s="11" t="n">
        <f aca="false">SUM(C136:N136)</f>
        <v>0</v>
      </c>
      <c r="AO136" s="11" t="n">
        <f aca="false">SUM(O136:Z136)</f>
        <v>2160</v>
      </c>
      <c r="AP136" s="11" t="n">
        <f aca="false">SUM(AA136:AL136)</f>
        <v>19036.12</v>
      </c>
    </row>
    <row r="137" customFormat="false" ht="15" hidden="false" customHeight="false" outlineLevel="0" collapsed="false">
      <c r="A137" s="0" t="s">
        <v>943</v>
      </c>
      <c r="B137" s="0" t="s">
        <v>230</v>
      </c>
      <c r="C137" s="9" t="n">
        <f aca="false">IF((C$18&gt;=Assumptions!$C$43),(((Assumptions!$C$44*$C$10)/12)*((C80*12000)+(C103*25000))),0)</f>
        <v>0</v>
      </c>
      <c r="D137" s="9" t="n">
        <f aca="false">IF((D$18&gt;=Assumptions!$C$43),(((Assumptions!$C$44*$C$10)/12)*((D80*12000)+(D103*25000))),0)</f>
        <v>0</v>
      </c>
      <c r="E137" s="9" t="n">
        <f aca="false">IF((E$18&gt;=Assumptions!$C$43),(((Assumptions!$C$44*$C$10)/12)*((E80*12000)+(E103*25000))),0)</f>
        <v>0</v>
      </c>
      <c r="F137" s="9" t="n">
        <f aca="false">IF((F$18&gt;=Assumptions!$C$43),(((Assumptions!$C$44*$C$10)/12)*((F80*12000)+(F103*25000))),0)</f>
        <v>0</v>
      </c>
      <c r="G137" s="9" t="n">
        <f aca="false">IF((G$18&gt;=Assumptions!$C$43),(((Assumptions!$C$44*$C$10)/12)*((G80*12000)+(G103*25000))),0)</f>
        <v>0</v>
      </c>
      <c r="H137" s="9" t="n">
        <f aca="false">IF((H$18&gt;=Assumptions!$C$43),(((Assumptions!$C$44*$C$10)/12)*((H80*12000)+(H103*25000))),0)</f>
        <v>0</v>
      </c>
      <c r="I137" s="9" t="n">
        <f aca="false">IF((I$18&gt;=Assumptions!$C$43),(((Assumptions!$C$44*$C$10)/12)*((I80*12000)+(I103*25000))),0)</f>
        <v>0</v>
      </c>
      <c r="J137" s="9" t="n">
        <f aca="false">IF((J$18&gt;=Assumptions!$C$43),(((Assumptions!$C$44*$C$10)/12)*((J80*12000)+(J103*25000))),0)</f>
        <v>0</v>
      </c>
      <c r="K137" s="9" t="n">
        <f aca="false">IF((K$18&gt;=Assumptions!$C$43),(((Assumptions!$C$44*$C$10)/12)*((K80*12000)+(K103*25000))),0)</f>
        <v>0</v>
      </c>
      <c r="L137" s="9" t="n">
        <f aca="false">IF((L$18&gt;=Assumptions!$C$43),(((Assumptions!$C$44*$C$10)/12)*((L80*12000)+(L103*25000))),0)</f>
        <v>0</v>
      </c>
      <c r="M137" s="9" t="n">
        <f aca="false">IF((M$18&gt;=Assumptions!$C$43),(((Assumptions!$C$44*$C$10)/12)*((M80*12000)+(M103*25000))),0)</f>
        <v>0</v>
      </c>
      <c r="N137" s="9" t="n">
        <f aca="false">IF((N$18&gt;=Assumptions!$C$43),(((Assumptions!$C$44*$C$10)/12)*((N80*12000)+(N103*25000))),0)</f>
        <v>0</v>
      </c>
      <c r="O137" s="9" t="n">
        <f aca="false">IF((O$18&gt;=Assumptions!$C$43),(((Assumptions!$C$44*$C$10)/12)*((O80*12000)+(O103*25000))),0)</f>
        <v>0</v>
      </c>
      <c r="P137" s="9" t="n">
        <f aca="false">IF((P$18&gt;=Assumptions!$C$43),(((Assumptions!$C$44*$C$10)/12)*((P80*12000)+(P103*25000))),0)</f>
        <v>0</v>
      </c>
      <c r="Q137" s="9" t="n">
        <f aca="false">IF((Q$18&gt;=Assumptions!$C$43),(((Assumptions!$C$44*$C$10)/12)*((Q80*12000)+(Q103*25000))),0)</f>
        <v>0</v>
      </c>
      <c r="R137" s="9" t="n">
        <f aca="false">IF((R$18&gt;=Assumptions!$C$43),(((Assumptions!$C$44*$C$10)/12)*((R80*12000)+(R103*25000))),0)</f>
        <v>0</v>
      </c>
      <c r="S137" s="9" t="n">
        <f aca="false">IF((S$18&gt;=Assumptions!$C$43),(((Assumptions!$C$44*$C$10)/12)*((S80*12000)+(S103*25000))),0)</f>
        <v>0</v>
      </c>
      <c r="T137" s="9" t="n">
        <f aca="false">IF((T$18&gt;=Assumptions!$C$43),(((Assumptions!$C$44*$C$10)/12)*((T80*12000)+(T103*25000))),0)</f>
        <v>0</v>
      </c>
      <c r="U137" s="9" t="n">
        <f aca="false">IF((U$18&gt;=Assumptions!$C$43),(((Assumptions!$C$44*$C$10)/12)*((U80*12000)+(U103*25000))),0)</f>
        <v>0</v>
      </c>
      <c r="V137" s="9" t="n">
        <f aca="false">IF((V$18&gt;=Assumptions!$C$43),(((Assumptions!$C$44*$C$10)/12)*((V80*12000)+(V103*25000))),0)</f>
        <v>0</v>
      </c>
      <c r="W137" s="9" t="n">
        <f aca="false">IF((W$18&gt;=Assumptions!$C$43),(((Assumptions!$C$44*$C$10)/12)*((W80*12000)+(W103*25000))),0)</f>
        <v>0</v>
      </c>
      <c r="X137" s="9" t="n">
        <f aca="false">IF((X$18&gt;=Assumptions!$C$43),(((Assumptions!$C$44*$C$10)/12)*((X80*12000)+(X103*25000))),0)</f>
        <v>0</v>
      </c>
      <c r="Y137" s="9" t="n">
        <f aca="false">IF((Y$18&gt;=Assumptions!$C$43),(((Assumptions!$C$44*$C$10)/12)*((Y80*12000)+(Y103*25000))),0)</f>
        <v>0</v>
      </c>
      <c r="Z137" s="9" t="n">
        <f aca="false">IF((Z$18&gt;=Assumptions!$C$43),(((Assumptions!$C$44*$C$10)/12)*((Z80*12000)+(Z103*25000))),0)</f>
        <v>0</v>
      </c>
      <c r="AA137" s="9" t="n">
        <f aca="false">IF((AA$18&gt;=Assumptions!$C$43),(((Assumptions!$C$44*$C$10)/12)*((AA80*12000)+(AA103*25000))),0)</f>
        <v>0</v>
      </c>
      <c r="AB137" s="9" t="n">
        <f aca="false">IF((AB$18&gt;=Assumptions!$C$43),(((Assumptions!$C$44*$C$10)/12)*((AB80*12000)+(AB103*25000))),0)</f>
        <v>0</v>
      </c>
      <c r="AC137" s="9" t="n">
        <f aca="false">IF((AC$18&gt;=Assumptions!$C$43),(((Assumptions!$C$44*$C$10)/12)*((AC80*12000)+(AC103*25000))),0)</f>
        <v>0</v>
      </c>
      <c r="AD137" s="9" t="n">
        <f aca="false">IF((AD$18&gt;=Assumptions!$C$43),(((Assumptions!$C$44*$C$10)/12)*((AD80*12000)+(AD103*25000))),0)</f>
        <v>0</v>
      </c>
      <c r="AE137" s="9" t="n">
        <f aca="false">IF((AE$18&gt;=Assumptions!$C$43),(((Assumptions!$C$44*$C$10)/12)*((AE80*12000)+(AE103*25000))),0)</f>
        <v>0</v>
      </c>
      <c r="AF137" s="9" t="n">
        <f aca="false">IF((AF$18&gt;=Assumptions!$C$43),(((Assumptions!$C$44*$C$10)/12)*((AF80*12000)+(AF103*25000))),0)</f>
        <v>132.03</v>
      </c>
      <c r="AG137" s="9" t="n">
        <f aca="false">IF((AG$18&gt;=Assumptions!$C$43),(((Assumptions!$C$44*$C$10)/12)*((AG80*12000)+(AG103*25000))),0)</f>
        <v>132.03</v>
      </c>
      <c r="AH137" s="9" t="n">
        <f aca="false">IF((AH$18&gt;=Assumptions!$C$43),(((Assumptions!$C$44*$C$10)/12)*((AH80*12000)+(AH103*25000))),0)</f>
        <v>342.78</v>
      </c>
      <c r="AI137" s="9" t="n">
        <f aca="false">IF((AI$18&gt;=Assumptions!$C$43),(((Assumptions!$C$44*$C$10)/12)*((AI80*12000)+(AI103*25000))),0)</f>
        <v>342.78</v>
      </c>
      <c r="AJ137" s="9" t="n">
        <f aca="false">IF((AJ$18&gt;=Assumptions!$C$43),(((Assumptions!$C$44*$C$10)/12)*((AJ80*12000)+(AJ103*25000))),0)</f>
        <v>342.78</v>
      </c>
      <c r="AK137" s="9" t="n">
        <f aca="false">IF((AK$18&gt;=Assumptions!$C$43),(((Assumptions!$C$44*$C$10)/12)*((AK80*12000)+(AK103*25000))),0)</f>
        <v>553.53</v>
      </c>
      <c r="AL137" s="9" t="n">
        <f aca="false">IF((AL$18&gt;=Assumptions!$C$43),(((Assumptions!$C$44*$C$10)/12)*((AL80*12000)+(AL103*25000))),0)</f>
        <v>553.53</v>
      </c>
      <c r="AN137" s="11" t="n">
        <f aca="false">SUM(C137:N137)</f>
        <v>0</v>
      </c>
      <c r="AO137" s="11" t="n">
        <f aca="false">SUM(O137:Z137)</f>
        <v>0</v>
      </c>
      <c r="AP137" s="11" t="n">
        <f aca="false">SUM(AA137:AL137)</f>
        <v>2399.46</v>
      </c>
    </row>
    <row r="138" customFormat="false" ht="15" hidden="false" customHeight="false" outlineLevel="0" collapsed="false">
      <c r="A138" s="0" t="s">
        <v>944</v>
      </c>
      <c r="B138" s="0" t="s">
        <v>852</v>
      </c>
      <c r="C138" s="14" t="n">
        <f aca="false">IF((C$18&gt;=Assumptions!$C$45),(INDEX(Schedules!$C$14:$AL$14,C$18)*$C$7),0)</f>
        <v>0</v>
      </c>
      <c r="D138" s="14" t="n">
        <f aca="false">IF((D$18&gt;=Assumptions!$C$45),(INDEX(Schedules!$C$14:$AL$14,D$18)*$C$7),0)</f>
        <v>0</v>
      </c>
      <c r="E138" s="14" t="n">
        <f aca="false">IF((E$18&gt;=Assumptions!$C$45),(INDEX(Schedules!$C$14:$AL$14,E$18)*$C$7),0)</f>
        <v>0</v>
      </c>
      <c r="F138" s="14" t="n">
        <f aca="false">IF((F$18&gt;=Assumptions!$C$45),(INDEX(Schedules!$C$14:$AL$14,F$18)*$C$7),0)</f>
        <v>0</v>
      </c>
      <c r="G138" s="14" t="n">
        <f aca="false">IF((G$18&gt;=Assumptions!$C$45),(INDEX(Schedules!$C$14:$AL$14,G$18)*$C$7),0)</f>
        <v>0</v>
      </c>
      <c r="H138" s="14" t="n">
        <f aca="false">IF((H$18&gt;=Assumptions!$C$45),(INDEX(Schedules!$C$14:$AL$14,H$18)*$C$7),0)</f>
        <v>0</v>
      </c>
      <c r="I138" s="14" t="n">
        <f aca="false">IF((I$18&gt;=Assumptions!$C$45),(INDEX(Schedules!$C$14:$AL$14,I$18)*$C$7),0)</f>
        <v>0</v>
      </c>
      <c r="J138" s="14" t="n">
        <f aca="false">IF((J$18&gt;=Assumptions!$C$45),(INDEX(Schedules!$C$14:$AL$14,J$18)*$C$7),0)</f>
        <v>0</v>
      </c>
      <c r="K138" s="14" t="n">
        <f aca="false">IF((K$18&gt;=Assumptions!$C$45),(INDEX(Schedules!$C$14:$AL$14,K$18)*$C$7),0)</f>
        <v>0</v>
      </c>
      <c r="L138" s="14" t="n">
        <f aca="false">IF((L$18&gt;=Assumptions!$C$45),(INDEX(Schedules!$C$14:$AL$14,L$18)*$C$7),0)</f>
        <v>0</v>
      </c>
      <c r="M138" s="14" t="n">
        <f aca="false">IF((M$18&gt;=Assumptions!$C$45),(INDEX(Schedules!$C$14:$AL$14,M$18)*$C$7),0)</f>
        <v>0</v>
      </c>
      <c r="N138" s="14" t="n">
        <f aca="false">IF((N$18&gt;=Assumptions!$C$45),(INDEX(Schedules!$C$14:$AL$14,N$18)*$C$7),0)</f>
        <v>0</v>
      </c>
      <c r="O138" s="14" t="n">
        <f aca="false">IF((O$18&gt;=Assumptions!$C$45),(INDEX(Schedules!$C$14:$AL$14,O$18)*$C$7),0)</f>
        <v>0</v>
      </c>
      <c r="P138" s="14" t="n">
        <f aca="false">IF((P$18&gt;=Assumptions!$C$45),(INDEX(Schedules!$C$14:$AL$14,P$18)*$C$7),0)</f>
        <v>0</v>
      </c>
      <c r="Q138" s="14" t="n">
        <f aca="false">IF((Q$18&gt;=Assumptions!$C$45),(INDEX(Schedules!$C$14:$AL$14,Q$18)*$C$7),0)</f>
        <v>0</v>
      </c>
      <c r="R138" s="14" t="n">
        <f aca="false">IF((R$18&gt;=Assumptions!$C$45),(INDEX(Schedules!$C$14:$AL$14,R$18)*$C$7),0)</f>
        <v>0</v>
      </c>
      <c r="S138" s="14" t="n">
        <f aca="false">IF((S$18&gt;=Assumptions!$C$45),(INDEX(Schedules!$C$14:$AL$14,S$18)*$C$7),0)</f>
        <v>0</v>
      </c>
      <c r="T138" s="14" t="n">
        <f aca="false">IF((T$18&gt;=Assumptions!$C$45),(INDEX(Schedules!$C$14:$AL$14,T$18)*$C$7),0)</f>
        <v>0</v>
      </c>
      <c r="U138" s="14" t="n">
        <f aca="false">IF((U$18&gt;=Assumptions!$C$45),(INDEX(Schedules!$C$14:$AL$14,U$18)*$C$7),0)</f>
        <v>0</v>
      </c>
      <c r="V138" s="14" t="n">
        <f aca="false">IF((V$18&gt;=Assumptions!$C$45),(INDEX(Schedules!$C$14:$AL$14,V$18)*$C$7),0)</f>
        <v>0</v>
      </c>
      <c r="W138" s="14" t="n">
        <f aca="false">IF((W$18&gt;=Assumptions!$C$45),(INDEX(Schedules!$C$14:$AL$14,W$18)*$C$7),0)</f>
        <v>0</v>
      </c>
      <c r="X138" s="14" t="n">
        <f aca="false">IF((X$18&gt;=Assumptions!$C$45),(INDEX(Schedules!$C$14:$AL$14,X$18)*$C$7),0)</f>
        <v>0</v>
      </c>
      <c r="Y138" s="14" t="n">
        <f aca="false">IF((Y$18&gt;=Assumptions!$C$45),(INDEX(Schedules!$C$14:$AL$14,Y$18)*$C$7),0)</f>
        <v>0</v>
      </c>
      <c r="Z138" s="14" t="n">
        <f aca="false">IF((Z$18&gt;=Assumptions!$C$45),(INDEX(Schedules!$C$14:$AL$14,Z$18)*$C$7),0)</f>
        <v>0</v>
      </c>
      <c r="AA138" s="14" t="n">
        <f aca="false">IF((AA$18&gt;=Assumptions!$C$45),(INDEX(Schedules!$C$14:$AL$14,AA$18)*$C$7),0)</f>
        <v>3</v>
      </c>
      <c r="AB138" s="14" t="n">
        <f aca="false">IF((AB$18&gt;=Assumptions!$C$45),(INDEX(Schedules!$C$14:$AL$14,AB$18)*$C$7),0)</f>
        <v>3</v>
      </c>
      <c r="AC138" s="14" t="n">
        <f aca="false">IF((AC$18&gt;=Assumptions!$C$45),(INDEX(Schedules!$C$14:$AL$14,AC$18)*$C$7),0)</f>
        <v>3</v>
      </c>
      <c r="AD138" s="14" t="n">
        <f aca="false">IF((AD$18&gt;=Assumptions!$C$45),(INDEX(Schedules!$C$14:$AL$14,AD$18)*$C$7),0)</f>
        <v>3</v>
      </c>
      <c r="AE138" s="14" t="n">
        <f aca="false">IF((AE$18&gt;=Assumptions!$C$45),(INDEX(Schedules!$C$14:$AL$14,AE$18)*$C$7),0)</f>
        <v>3</v>
      </c>
      <c r="AF138" s="14" t="n">
        <f aca="false">IF((AF$18&gt;=Assumptions!$C$45),(INDEX(Schedules!$C$14:$AL$14,AF$18)*$C$7),0)</f>
        <v>3</v>
      </c>
      <c r="AG138" s="14" t="n">
        <f aca="false">IF((AG$18&gt;=Assumptions!$C$45),(INDEX(Schedules!$C$14:$AL$14,AG$18)*$C$7),0)</f>
        <v>6</v>
      </c>
      <c r="AH138" s="14" t="n">
        <f aca="false">IF((AH$18&gt;=Assumptions!$C$45),(INDEX(Schedules!$C$14:$AL$14,AH$18)*$C$7),0)</f>
        <v>6</v>
      </c>
      <c r="AI138" s="14" t="n">
        <f aca="false">IF((AI$18&gt;=Assumptions!$C$45),(INDEX(Schedules!$C$14:$AL$14,AI$18)*$C$7),0)</f>
        <v>6</v>
      </c>
      <c r="AJ138" s="14" t="n">
        <f aca="false">IF((AJ$18&gt;=Assumptions!$C$45),(INDEX(Schedules!$C$14:$AL$14,AJ$18)*$C$7),0)</f>
        <v>6</v>
      </c>
      <c r="AK138" s="14" t="n">
        <f aca="false">IF((AK$18&gt;=Assumptions!$C$45),(INDEX(Schedules!$C$14:$AL$14,AK$18)*$C$7),0)</f>
        <v>6</v>
      </c>
      <c r="AL138" s="14" t="n">
        <f aca="false">IF((AL$18&gt;=Assumptions!$C$45),(INDEX(Schedules!$C$14:$AL$14,AL$18)*$C$7),0)</f>
        <v>6</v>
      </c>
      <c r="AN138" s="36" t="n">
        <f aca="false">SUM(C138:N138)</f>
        <v>0</v>
      </c>
      <c r="AO138" s="36" t="n">
        <f aca="false">SUM(O138:Z138)</f>
        <v>0</v>
      </c>
      <c r="AP138" s="36" t="n">
        <f aca="false">SUM(AA138:AL138)</f>
        <v>54</v>
      </c>
    </row>
    <row r="139" customFormat="false" ht="15" hidden="false" customHeight="false" outlineLevel="0" collapsed="false">
      <c r="A139" s="0" t="s">
        <v>945</v>
      </c>
      <c r="B139" s="0" t="s">
        <v>852</v>
      </c>
      <c r="C139" s="13" t="n">
        <f aca="false">((0*(1-Assumptions!$C$47))+C138)</f>
        <v>0</v>
      </c>
      <c r="D139" s="13" t="n">
        <f aca="false">((C139*(1-Assumptions!$C$47))+D138)</f>
        <v>0</v>
      </c>
      <c r="E139" s="13" t="n">
        <f aca="false">((D139*(1-Assumptions!$C$47))+E138)</f>
        <v>0</v>
      </c>
      <c r="F139" s="13" t="n">
        <f aca="false">((E139*(1-Assumptions!$C$47))+F138)</f>
        <v>0</v>
      </c>
      <c r="G139" s="13" t="n">
        <f aca="false">((F139*(1-Assumptions!$C$47))+G138)</f>
        <v>0</v>
      </c>
      <c r="H139" s="13" t="n">
        <f aca="false">((G139*(1-Assumptions!$C$47))+H138)</f>
        <v>0</v>
      </c>
      <c r="I139" s="13" t="n">
        <f aca="false">((H139*(1-Assumptions!$C$47))+I138)</f>
        <v>0</v>
      </c>
      <c r="J139" s="13" t="n">
        <f aca="false">((I139*(1-Assumptions!$C$47))+J138)</f>
        <v>0</v>
      </c>
      <c r="K139" s="13" t="n">
        <f aca="false">((J139*(1-Assumptions!$C$47))+K138)</f>
        <v>0</v>
      </c>
      <c r="L139" s="13" t="n">
        <f aca="false">((K139*(1-Assumptions!$C$47))+L138)</f>
        <v>0</v>
      </c>
      <c r="M139" s="13" t="n">
        <f aca="false">((L139*(1-Assumptions!$C$47))+M138)</f>
        <v>0</v>
      </c>
      <c r="N139" s="13" t="n">
        <f aca="false">((M139*(1-Assumptions!$C$47))+N138)</f>
        <v>0</v>
      </c>
      <c r="O139" s="13" t="n">
        <f aca="false">((N139*(1-Assumptions!$C$47))+O138)</f>
        <v>0</v>
      </c>
      <c r="P139" s="13" t="n">
        <f aca="false">((O139*(1-Assumptions!$C$47))+P138)</f>
        <v>0</v>
      </c>
      <c r="Q139" s="13" t="n">
        <f aca="false">((P139*(1-Assumptions!$C$47))+Q138)</f>
        <v>0</v>
      </c>
      <c r="R139" s="13" t="n">
        <f aca="false">((Q139*(1-Assumptions!$C$47))+R138)</f>
        <v>0</v>
      </c>
      <c r="S139" s="13" t="n">
        <f aca="false">((R139*(1-Assumptions!$C$47))+S138)</f>
        <v>0</v>
      </c>
      <c r="T139" s="13" t="n">
        <f aca="false">((S139*(1-Assumptions!$C$47))+T138)</f>
        <v>0</v>
      </c>
      <c r="U139" s="13" t="n">
        <f aca="false">((T139*(1-Assumptions!$C$47))+U138)</f>
        <v>0</v>
      </c>
      <c r="V139" s="13" t="n">
        <f aca="false">((U139*(1-Assumptions!$C$47))+V138)</f>
        <v>0</v>
      </c>
      <c r="W139" s="13" t="n">
        <f aca="false">((V139*(1-Assumptions!$C$47))+W138)</f>
        <v>0</v>
      </c>
      <c r="X139" s="13" t="n">
        <f aca="false">((W139*(1-Assumptions!$C$47))+X138)</f>
        <v>0</v>
      </c>
      <c r="Y139" s="13" t="n">
        <f aca="false">((X139*(1-Assumptions!$C$47))+Y138)</f>
        <v>0</v>
      </c>
      <c r="Z139" s="13" t="n">
        <f aca="false">((Y139*(1-Assumptions!$C$47))+Z138)</f>
        <v>0</v>
      </c>
      <c r="AA139" s="13" t="n">
        <f aca="false">((Z139*(1-Assumptions!$C$47))+AA138)</f>
        <v>3</v>
      </c>
      <c r="AB139" s="13" t="n">
        <f aca="false">((AA139*(1-Assumptions!$C$47))+AB138)</f>
        <v>5.94</v>
      </c>
      <c r="AC139" s="13" t="n">
        <f aca="false">((AB139*(1-Assumptions!$C$47))+AC138)</f>
        <v>8.8212</v>
      </c>
      <c r="AD139" s="13" t="n">
        <f aca="false">((AC139*(1-Assumptions!$C$47))+AD138)</f>
        <v>11.644776</v>
      </c>
      <c r="AE139" s="13" t="n">
        <f aca="false">((AD139*(1-Assumptions!$C$47))+AE138)</f>
        <v>14.41188048</v>
      </c>
      <c r="AF139" s="13" t="n">
        <f aca="false">((AE139*(1-Assumptions!$C$47))+AF138)</f>
        <v>17.1236428704</v>
      </c>
      <c r="AG139" s="13" t="n">
        <f aca="false">((AF139*(1-Assumptions!$C$47))+AG138)</f>
        <v>22.781170012992</v>
      </c>
      <c r="AH139" s="13" t="n">
        <f aca="false">((AG139*(1-Assumptions!$C$47))+AH138)</f>
        <v>28.3255466127322</v>
      </c>
      <c r="AI139" s="13" t="n">
        <f aca="false">((AH139*(1-Assumptions!$C$47))+AI138)</f>
        <v>33.7590356804775</v>
      </c>
      <c r="AJ139" s="13" t="n">
        <f aca="false">((AI139*(1-Assumptions!$C$47))+AJ138)</f>
        <v>39.083854966868</v>
      </c>
      <c r="AK139" s="13" t="n">
        <f aca="false">((AJ139*(1-Assumptions!$C$47))+AK138)</f>
        <v>44.3021778675306</v>
      </c>
      <c r="AL139" s="13" t="n">
        <f aca="false">((AK139*(1-Assumptions!$C$47))+AL138)</f>
        <v>49.41613431018</v>
      </c>
      <c r="AN139" s="37" t="n">
        <f aca="false">N139</f>
        <v>0</v>
      </c>
      <c r="AO139" s="37" t="n">
        <f aca="false">Z139</f>
        <v>0</v>
      </c>
      <c r="AP139" s="37" t="n">
        <f aca="false">AL139</f>
        <v>49.41613431018</v>
      </c>
    </row>
    <row r="140" customFormat="false" ht="15" hidden="false" customHeight="false" outlineLevel="0" collapsed="false">
      <c r="A140" s="0" t="s">
        <v>946</v>
      </c>
      <c r="B140" s="0" t="s">
        <v>230</v>
      </c>
      <c r="C140" s="9" t="n">
        <f aca="false">((C139*Assumptions!$C$46)/12)</f>
        <v>0</v>
      </c>
      <c r="D140" s="9" t="n">
        <f aca="false">((D139*Assumptions!$C$46)/12)</f>
        <v>0</v>
      </c>
      <c r="E140" s="9" t="n">
        <f aca="false">((E139*Assumptions!$C$46)/12)</f>
        <v>0</v>
      </c>
      <c r="F140" s="9" t="n">
        <f aca="false">((F139*Assumptions!$C$46)/12)</f>
        <v>0</v>
      </c>
      <c r="G140" s="9" t="n">
        <f aca="false">((G139*Assumptions!$C$46)/12)</f>
        <v>0</v>
      </c>
      <c r="H140" s="9" t="n">
        <f aca="false">((H139*Assumptions!$C$46)/12)</f>
        <v>0</v>
      </c>
      <c r="I140" s="9" t="n">
        <f aca="false">((I139*Assumptions!$C$46)/12)</f>
        <v>0</v>
      </c>
      <c r="J140" s="9" t="n">
        <f aca="false">((J139*Assumptions!$C$46)/12)</f>
        <v>0</v>
      </c>
      <c r="K140" s="9" t="n">
        <f aca="false">((K139*Assumptions!$C$46)/12)</f>
        <v>0</v>
      </c>
      <c r="L140" s="9" t="n">
        <f aca="false">((L139*Assumptions!$C$46)/12)</f>
        <v>0</v>
      </c>
      <c r="M140" s="9" t="n">
        <f aca="false">((M139*Assumptions!$C$46)/12)</f>
        <v>0</v>
      </c>
      <c r="N140" s="9" t="n">
        <f aca="false">((N139*Assumptions!$C$46)/12)</f>
        <v>0</v>
      </c>
      <c r="O140" s="9" t="n">
        <f aca="false">((O139*Assumptions!$C$46)/12)</f>
        <v>0</v>
      </c>
      <c r="P140" s="9" t="n">
        <f aca="false">((P139*Assumptions!$C$46)/12)</f>
        <v>0</v>
      </c>
      <c r="Q140" s="9" t="n">
        <f aca="false">((Q139*Assumptions!$C$46)/12)</f>
        <v>0</v>
      </c>
      <c r="R140" s="9" t="n">
        <f aca="false">((R139*Assumptions!$C$46)/12)</f>
        <v>0</v>
      </c>
      <c r="S140" s="9" t="n">
        <f aca="false">((S139*Assumptions!$C$46)/12)</f>
        <v>0</v>
      </c>
      <c r="T140" s="9" t="n">
        <f aca="false">((T139*Assumptions!$C$46)/12)</f>
        <v>0</v>
      </c>
      <c r="U140" s="9" t="n">
        <f aca="false">((U139*Assumptions!$C$46)/12)</f>
        <v>0</v>
      </c>
      <c r="V140" s="9" t="n">
        <f aca="false">((V139*Assumptions!$C$46)/12)</f>
        <v>0</v>
      </c>
      <c r="W140" s="9" t="n">
        <f aca="false">((W139*Assumptions!$C$46)/12)</f>
        <v>0</v>
      </c>
      <c r="X140" s="9" t="n">
        <f aca="false">((X139*Assumptions!$C$46)/12)</f>
        <v>0</v>
      </c>
      <c r="Y140" s="9" t="n">
        <f aca="false">((Y139*Assumptions!$C$46)/12)</f>
        <v>0</v>
      </c>
      <c r="Z140" s="9" t="n">
        <f aca="false">((Z139*Assumptions!$C$46)/12)</f>
        <v>0</v>
      </c>
      <c r="AA140" s="9" t="n">
        <f aca="false">((AA139*Assumptions!$C$46)/12)</f>
        <v>1000</v>
      </c>
      <c r="AB140" s="9" t="n">
        <f aca="false">((AB139*Assumptions!$C$46)/12)</f>
        <v>1980</v>
      </c>
      <c r="AC140" s="9" t="n">
        <f aca="false">((AC139*Assumptions!$C$46)/12)</f>
        <v>2940.4</v>
      </c>
      <c r="AD140" s="9" t="n">
        <f aca="false">((AD139*Assumptions!$C$46)/12)</f>
        <v>3881.592</v>
      </c>
      <c r="AE140" s="9" t="n">
        <f aca="false">((AE139*Assumptions!$C$46)/12)</f>
        <v>4803.96016</v>
      </c>
      <c r="AF140" s="9" t="n">
        <f aca="false">((AF139*Assumptions!$C$46)/12)</f>
        <v>5707.8809568</v>
      </c>
      <c r="AG140" s="9" t="n">
        <f aca="false">((AG139*Assumptions!$C$46)/12)</f>
        <v>7593.723337664</v>
      </c>
      <c r="AH140" s="9" t="n">
        <f aca="false">((AH139*Assumptions!$C$46)/12)</f>
        <v>9441.84887091072</v>
      </c>
      <c r="AI140" s="9" t="n">
        <f aca="false">((AI139*Assumptions!$C$46)/12)</f>
        <v>11253.0118934925</v>
      </c>
      <c r="AJ140" s="9" t="n">
        <f aca="false">((AJ139*Assumptions!$C$46)/12)</f>
        <v>13027.9516556227</v>
      </c>
      <c r="AK140" s="9" t="n">
        <f aca="false">((AK139*Assumptions!$C$46)/12)</f>
        <v>14767.3926225102</v>
      </c>
      <c r="AL140" s="9" t="n">
        <f aca="false">((AL139*Assumptions!$C$46)/12)</f>
        <v>16472.04477006</v>
      </c>
      <c r="AN140" s="11" t="n">
        <f aca="false">SUM(C140:N140)</f>
        <v>0</v>
      </c>
      <c r="AO140" s="11" t="n">
        <f aca="false">SUM(O140:Z140)</f>
        <v>0</v>
      </c>
      <c r="AP140" s="11" t="n">
        <f aca="false">SUM(AA140:AL140)</f>
        <v>92869.8062670601</v>
      </c>
    </row>
    <row r="141" customFormat="false" ht="15" hidden="false" customHeight="false" outlineLevel="0" collapsed="false">
      <c r="A141" s="0" t="s">
        <v>947</v>
      </c>
      <c r="B141" s="0" t="s">
        <v>852</v>
      </c>
      <c r="C141" s="13" t="n">
        <f aca="false">IF((C$18&lt;Assumptions!$C$48),0,IF((C$18=Assumptions!$C$48),(Assumptions!$C$49*$C$4),((0*(1-Assumptions!$C$51))+(Assumptions!$C$50*$C$4))))</f>
        <v>0</v>
      </c>
      <c r="D141" s="13" t="n">
        <f aca="false">IF((D$18&lt;Assumptions!$C$48),0,IF((D$18=Assumptions!$C$48),(Assumptions!$C$49*$C$4),((C141*(1-Assumptions!$C$51))+(Assumptions!$C$50*$C$4))))</f>
        <v>0</v>
      </c>
      <c r="E141" s="13" t="n">
        <f aca="false">IF((E$18&lt;Assumptions!$C$48),0,IF((E$18=Assumptions!$C$48),(Assumptions!$C$49*$C$4),((D141*(1-Assumptions!$C$51))+(Assumptions!$C$50*$C$4))))</f>
        <v>0</v>
      </c>
      <c r="F141" s="13" t="n">
        <f aca="false">IF((F$18&lt;Assumptions!$C$48),0,IF((F$18=Assumptions!$C$48),(Assumptions!$C$49*$C$4),((E141*(1-Assumptions!$C$51))+(Assumptions!$C$50*$C$4))))</f>
        <v>0</v>
      </c>
      <c r="G141" s="13" t="n">
        <f aca="false">IF((G$18&lt;Assumptions!$C$48),0,IF((G$18=Assumptions!$C$48),(Assumptions!$C$49*$C$4),((F141*(1-Assumptions!$C$51))+(Assumptions!$C$50*$C$4))))</f>
        <v>0</v>
      </c>
      <c r="H141" s="13" t="n">
        <f aca="false">IF((H$18&lt;Assumptions!$C$48),0,IF((H$18=Assumptions!$C$48),(Assumptions!$C$49*$C$4),((G141*(1-Assumptions!$C$51))+(Assumptions!$C$50*$C$4))))</f>
        <v>0</v>
      </c>
      <c r="I141" s="13" t="n">
        <f aca="false">IF((I$18&lt;Assumptions!$C$48),0,IF((I$18=Assumptions!$C$48),(Assumptions!$C$49*$C$4),((H141*(1-Assumptions!$C$51))+(Assumptions!$C$50*$C$4))))</f>
        <v>0</v>
      </c>
      <c r="J141" s="13" t="n">
        <f aca="false">IF((J$18&lt;Assumptions!$C$48),0,IF((J$18=Assumptions!$C$48),(Assumptions!$C$49*$C$4),((I141*(1-Assumptions!$C$51))+(Assumptions!$C$50*$C$4))))</f>
        <v>0</v>
      </c>
      <c r="K141" s="13" t="n">
        <f aca="false">IF((K$18&lt;Assumptions!$C$48),0,IF((K$18=Assumptions!$C$48),(Assumptions!$C$49*$C$4),((J141*(1-Assumptions!$C$51))+(Assumptions!$C$50*$C$4))))</f>
        <v>0</v>
      </c>
      <c r="L141" s="13" t="n">
        <f aca="false">IF((L$18&lt;Assumptions!$C$48),0,IF((L$18=Assumptions!$C$48),(Assumptions!$C$49*$C$4),((K141*(1-Assumptions!$C$51))+(Assumptions!$C$50*$C$4))))</f>
        <v>0</v>
      </c>
      <c r="M141" s="13" t="n">
        <f aca="false">IF((M$18&lt;Assumptions!$C$48),0,IF((M$18=Assumptions!$C$48),(Assumptions!$C$49*$C$4),((L141*(1-Assumptions!$C$51))+(Assumptions!$C$50*$C$4))))</f>
        <v>0</v>
      </c>
      <c r="N141" s="13" t="n">
        <f aca="false">IF((N$18&lt;Assumptions!$C$48),0,IF((N$18=Assumptions!$C$48),(Assumptions!$C$49*$C$4),((M141*(1-Assumptions!$C$51))+(Assumptions!$C$50*$C$4))))</f>
        <v>0</v>
      </c>
      <c r="O141" s="13" t="n">
        <f aca="false">IF((O$18&lt;Assumptions!$C$48),0,IF((O$18=Assumptions!$C$48),(Assumptions!$C$49*$C$4),((N141*(1-Assumptions!$C$51))+(Assumptions!$C$50*$C$4))))</f>
        <v>0</v>
      </c>
      <c r="P141" s="13" t="n">
        <f aca="false">IF((P$18&lt;Assumptions!$C$48),0,IF((P$18=Assumptions!$C$48),(Assumptions!$C$49*$C$4),((O141*(1-Assumptions!$C$51))+(Assumptions!$C$50*$C$4))))</f>
        <v>0</v>
      </c>
      <c r="Q141" s="13" t="n">
        <f aca="false">IF((Q$18&lt;Assumptions!$C$48),0,IF((Q$18=Assumptions!$C$48),(Assumptions!$C$49*$C$4),((P141*(1-Assumptions!$C$51))+(Assumptions!$C$50*$C$4))))</f>
        <v>0</v>
      </c>
      <c r="R141" s="13" t="n">
        <f aca="false">IF((R$18&lt;Assumptions!$C$48),0,IF((R$18=Assumptions!$C$48),(Assumptions!$C$49*$C$4),((Q141*(1-Assumptions!$C$51))+(Assumptions!$C$50*$C$4))))</f>
        <v>0</v>
      </c>
      <c r="S141" s="13" t="n">
        <f aca="false">IF((S$18&lt;Assumptions!$C$48),0,IF((S$18=Assumptions!$C$48),(Assumptions!$C$49*$C$4),((R141*(1-Assumptions!$C$51))+(Assumptions!$C$50*$C$4))))</f>
        <v>0</v>
      </c>
      <c r="T141" s="13" t="n">
        <f aca="false">IF((T$18&lt;Assumptions!$C$48),0,IF((T$18=Assumptions!$C$48),(Assumptions!$C$49*$C$4),((S141*(1-Assumptions!$C$51))+(Assumptions!$C$50*$C$4))))</f>
        <v>0</v>
      </c>
      <c r="U141" s="13" t="n">
        <f aca="false">IF((U$18&lt;Assumptions!$C$48),0,IF((U$18=Assumptions!$C$48),(Assumptions!$C$49*$C$4),((T141*(1-Assumptions!$C$51))+(Assumptions!$C$50*$C$4))))</f>
        <v>0</v>
      </c>
      <c r="V141" s="13" t="n">
        <f aca="false">IF((V$18&lt;Assumptions!$C$48),0,IF((V$18=Assumptions!$C$48),(Assumptions!$C$49*$C$4),((U141*(1-Assumptions!$C$51))+(Assumptions!$C$50*$C$4))))</f>
        <v>0</v>
      </c>
      <c r="W141" s="13" t="n">
        <f aca="false">IF((W$18&lt;Assumptions!$C$48),0,IF((W$18=Assumptions!$C$48),(Assumptions!$C$49*$C$4),((V141*(1-Assumptions!$C$51))+(Assumptions!$C$50*$C$4))))</f>
        <v>0</v>
      </c>
      <c r="X141" s="13" t="n">
        <f aca="false">IF((X$18&lt;Assumptions!$C$48),0,IF((X$18=Assumptions!$C$48),(Assumptions!$C$49*$C$4),((W141*(1-Assumptions!$C$51))+(Assumptions!$C$50*$C$4))))</f>
        <v>0</v>
      </c>
      <c r="Y141" s="13" t="n">
        <f aca="false">IF((Y$18&lt;Assumptions!$C$48),0,IF((Y$18=Assumptions!$C$48),(Assumptions!$C$49*$C$4),((X141*(1-Assumptions!$C$51))+(Assumptions!$C$50*$C$4))))</f>
        <v>0</v>
      </c>
      <c r="Z141" s="13" t="n">
        <f aca="false">IF((Z$18&lt;Assumptions!$C$48),0,IF((Z$18=Assumptions!$C$48),(Assumptions!$C$49*$C$4),((Y141*(1-Assumptions!$C$51))+(Assumptions!$C$50*$C$4))))</f>
        <v>0</v>
      </c>
      <c r="AA141" s="13" t="n">
        <f aca="false">IF((AA$18&lt;Assumptions!$C$48),0,IF((AA$18=Assumptions!$C$48),(Assumptions!$C$49*$C$4),((Z141*(1-Assumptions!$C$51))+(Assumptions!$C$50*$C$4))))</f>
        <v>0</v>
      </c>
      <c r="AB141" s="13" t="n">
        <f aca="false">IF((AB$18&lt;Assumptions!$C$48),0,IF((AB$18=Assumptions!$C$48),(Assumptions!$C$49*$C$4),((AA141*(1-Assumptions!$C$51))+(Assumptions!$C$50*$C$4))))</f>
        <v>0</v>
      </c>
      <c r="AC141" s="13" t="n">
        <f aca="false">IF((AC$18&lt;Assumptions!$C$48),0,IF((AC$18=Assumptions!$C$48),(Assumptions!$C$49*$C$4),((AB141*(1-Assumptions!$C$51))+(Assumptions!$C$50*$C$4))))</f>
        <v>0</v>
      </c>
      <c r="AD141" s="13" t="n">
        <f aca="false">IF((AD$18&lt;Assumptions!$C$48),0,IF((AD$18=Assumptions!$C$48),(Assumptions!$C$49*$C$4),((AC141*(1-Assumptions!$C$51))+(Assumptions!$C$50*$C$4))))</f>
        <v>0</v>
      </c>
      <c r="AE141" s="13" t="n">
        <f aca="false">IF((AE$18&lt;Assumptions!$C$48),0,IF((AE$18=Assumptions!$C$48),(Assumptions!$C$49*$C$4),((AD141*(1-Assumptions!$C$51))+(Assumptions!$C$50*$C$4))))</f>
        <v>0</v>
      </c>
      <c r="AF141" s="13" t="n">
        <f aca="false">IF((AF$18&lt;Assumptions!$C$48),0,IF((AF$18=Assumptions!$C$48),(Assumptions!$C$49*$C$4),((AE141*(1-Assumptions!$C$51))+(Assumptions!$C$50*$C$4))))</f>
        <v>0</v>
      </c>
      <c r="AG141" s="13" t="n">
        <f aca="false">IF((AG$18&lt;Assumptions!$C$48),0,IF((AG$18=Assumptions!$C$48),(Assumptions!$C$49*$C$4),((AF141*(1-Assumptions!$C$51))+(Assumptions!$C$50*$C$4))))</f>
        <v>40</v>
      </c>
      <c r="AH141" s="13" t="n">
        <f aca="false">IF((AH$18&lt;Assumptions!$C$48),0,IF((AH$18=Assumptions!$C$48),(Assumptions!$C$49*$C$4),((AG141*(1-Assumptions!$C$51))+(Assumptions!$C$50*$C$4))))</f>
        <v>53.4</v>
      </c>
      <c r="AI141" s="13" t="n">
        <f aca="false">IF((AI$18&lt;Assumptions!$C$48),0,IF((AI$18=Assumptions!$C$48),(Assumptions!$C$49*$C$4),((AH141*(1-Assumptions!$C$51))+(Assumptions!$C$50*$C$4))))</f>
        <v>66.264</v>
      </c>
      <c r="AJ141" s="13" t="n">
        <f aca="false">IF((AJ$18&lt;Assumptions!$C$48),0,IF((AJ$18=Assumptions!$C$48),(Assumptions!$C$49*$C$4),((AI141*(1-Assumptions!$C$51))+(Assumptions!$C$50*$C$4))))</f>
        <v>78.61344</v>
      </c>
      <c r="AK141" s="13" t="n">
        <f aca="false">IF((AK$18&lt;Assumptions!$C$48),0,IF((AK$18=Assumptions!$C$48),(Assumptions!$C$49*$C$4),((AJ141*(1-Assumptions!$C$51))+(Assumptions!$C$50*$C$4))))</f>
        <v>90.4689024</v>
      </c>
      <c r="AL141" s="13" t="n">
        <f aca="false">IF((AL$18&lt;Assumptions!$C$48),0,IF((AL$18=Assumptions!$C$48),(Assumptions!$C$49*$C$4),((AK141*(1-Assumptions!$C$51))+(Assumptions!$C$50*$C$4))))</f>
        <v>101.850146304</v>
      </c>
      <c r="AN141" s="37" t="n">
        <f aca="false">N141</f>
        <v>0</v>
      </c>
      <c r="AO141" s="37" t="n">
        <f aca="false">Z141</f>
        <v>0</v>
      </c>
      <c r="AP141" s="37" t="n">
        <f aca="false">AL141</f>
        <v>101.850146304</v>
      </c>
    </row>
    <row r="142" customFormat="false" ht="15" hidden="false" customHeight="false" outlineLevel="0" collapsed="false">
      <c r="A142" s="0" t="s">
        <v>948</v>
      </c>
      <c r="B142" s="0" t="s">
        <v>325</v>
      </c>
      <c r="C142" s="9" t="n">
        <f aca="false">(C141*Assumptions!$C$52)</f>
        <v>0</v>
      </c>
      <c r="D142" s="9" t="n">
        <f aca="false">(D141*Assumptions!$C$52)</f>
        <v>0</v>
      </c>
      <c r="E142" s="9" t="n">
        <f aca="false">(E141*Assumptions!$C$52)</f>
        <v>0</v>
      </c>
      <c r="F142" s="9" t="n">
        <f aca="false">(F141*Assumptions!$C$52)</f>
        <v>0</v>
      </c>
      <c r="G142" s="9" t="n">
        <f aca="false">(G141*Assumptions!$C$52)</f>
        <v>0</v>
      </c>
      <c r="H142" s="9" t="n">
        <f aca="false">(H141*Assumptions!$C$52)</f>
        <v>0</v>
      </c>
      <c r="I142" s="9" t="n">
        <f aca="false">(I141*Assumptions!$C$52)</f>
        <v>0</v>
      </c>
      <c r="J142" s="9" t="n">
        <f aca="false">(J141*Assumptions!$C$52)</f>
        <v>0</v>
      </c>
      <c r="K142" s="9" t="n">
        <f aca="false">(K141*Assumptions!$C$52)</f>
        <v>0</v>
      </c>
      <c r="L142" s="9" t="n">
        <f aca="false">(L141*Assumptions!$C$52)</f>
        <v>0</v>
      </c>
      <c r="M142" s="9" t="n">
        <f aca="false">(M141*Assumptions!$C$52)</f>
        <v>0</v>
      </c>
      <c r="N142" s="9" t="n">
        <f aca="false">(N141*Assumptions!$C$52)</f>
        <v>0</v>
      </c>
      <c r="O142" s="9" t="n">
        <f aca="false">(O141*Assumptions!$C$52)</f>
        <v>0</v>
      </c>
      <c r="P142" s="9" t="n">
        <f aca="false">(P141*Assumptions!$C$52)</f>
        <v>0</v>
      </c>
      <c r="Q142" s="9" t="n">
        <f aca="false">(Q141*Assumptions!$C$52)</f>
        <v>0</v>
      </c>
      <c r="R142" s="9" t="n">
        <f aca="false">(R141*Assumptions!$C$52)</f>
        <v>0</v>
      </c>
      <c r="S142" s="9" t="n">
        <f aca="false">(S141*Assumptions!$C$52)</f>
        <v>0</v>
      </c>
      <c r="T142" s="9" t="n">
        <f aca="false">(T141*Assumptions!$C$52)</f>
        <v>0</v>
      </c>
      <c r="U142" s="9" t="n">
        <f aca="false">(U141*Assumptions!$C$52)</f>
        <v>0</v>
      </c>
      <c r="V142" s="9" t="n">
        <f aca="false">(V141*Assumptions!$C$52)</f>
        <v>0</v>
      </c>
      <c r="W142" s="9" t="n">
        <f aca="false">(W141*Assumptions!$C$52)</f>
        <v>0</v>
      </c>
      <c r="X142" s="9" t="n">
        <f aca="false">(X141*Assumptions!$C$52)</f>
        <v>0</v>
      </c>
      <c r="Y142" s="9" t="n">
        <f aca="false">(Y141*Assumptions!$C$52)</f>
        <v>0</v>
      </c>
      <c r="Z142" s="9" t="n">
        <f aca="false">(Z141*Assumptions!$C$52)</f>
        <v>0</v>
      </c>
      <c r="AA142" s="9" t="n">
        <f aca="false">(AA141*Assumptions!$C$52)</f>
        <v>0</v>
      </c>
      <c r="AB142" s="9" t="n">
        <f aca="false">(AB141*Assumptions!$C$52)</f>
        <v>0</v>
      </c>
      <c r="AC142" s="9" t="n">
        <f aca="false">(AC141*Assumptions!$C$52)</f>
        <v>0</v>
      </c>
      <c r="AD142" s="9" t="n">
        <f aca="false">(AD141*Assumptions!$C$52)</f>
        <v>0</v>
      </c>
      <c r="AE142" s="9" t="n">
        <f aca="false">(AE141*Assumptions!$C$52)</f>
        <v>0</v>
      </c>
      <c r="AF142" s="9" t="n">
        <f aca="false">(AF141*Assumptions!$C$52)</f>
        <v>0</v>
      </c>
      <c r="AG142" s="9" t="n">
        <f aca="false">(AG141*Assumptions!$C$52)</f>
        <v>240</v>
      </c>
      <c r="AH142" s="9" t="n">
        <f aca="false">(AH141*Assumptions!$C$52)</f>
        <v>320.4</v>
      </c>
      <c r="AI142" s="9" t="n">
        <f aca="false">(AI141*Assumptions!$C$52)</f>
        <v>397.584</v>
      </c>
      <c r="AJ142" s="9" t="n">
        <f aca="false">(AJ141*Assumptions!$C$52)</f>
        <v>471.68064</v>
      </c>
      <c r="AK142" s="9" t="n">
        <f aca="false">(AK141*Assumptions!$C$52)</f>
        <v>542.8134144</v>
      </c>
      <c r="AL142" s="9" t="n">
        <f aca="false">(AL141*Assumptions!$C$52)</f>
        <v>611.100877824</v>
      </c>
      <c r="AN142" s="11" t="n">
        <f aca="false">SUM(C142:N142)</f>
        <v>0</v>
      </c>
      <c r="AO142" s="11" t="n">
        <f aca="false">SUM(O142:Z142)</f>
        <v>0</v>
      </c>
      <c r="AP142" s="11" t="n">
        <f aca="false">SUM(AA142:AL142)</f>
        <v>2583.578932224</v>
      </c>
    </row>
    <row r="143" customFormat="false" ht="15" hidden="false" customHeight="false" outlineLevel="0" collapsed="false">
      <c r="A143" s="0" t="s">
        <v>949</v>
      </c>
      <c r="B143" s="0" t="s">
        <v>230</v>
      </c>
      <c r="C143" s="9" t="n">
        <f aca="false">(C142*Assumptions!$C$53)</f>
        <v>0</v>
      </c>
      <c r="D143" s="9" t="n">
        <f aca="false">(D142*Assumptions!$C$53)</f>
        <v>0</v>
      </c>
      <c r="E143" s="9" t="n">
        <f aca="false">(E142*Assumptions!$C$53)</f>
        <v>0</v>
      </c>
      <c r="F143" s="9" t="n">
        <f aca="false">(F142*Assumptions!$C$53)</f>
        <v>0</v>
      </c>
      <c r="G143" s="9" t="n">
        <f aca="false">(G142*Assumptions!$C$53)</f>
        <v>0</v>
      </c>
      <c r="H143" s="9" t="n">
        <f aca="false">(H142*Assumptions!$C$53)</f>
        <v>0</v>
      </c>
      <c r="I143" s="9" t="n">
        <f aca="false">(I142*Assumptions!$C$53)</f>
        <v>0</v>
      </c>
      <c r="J143" s="9" t="n">
        <f aca="false">(J142*Assumptions!$C$53)</f>
        <v>0</v>
      </c>
      <c r="K143" s="9" t="n">
        <f aca="false">(K142*Assumptions!$C$53)</f>
        <v>0</v>
      </c>
      <c r="L143" s="9" t="n">
        <f aca="false">(L142*Assumptions!$C$53)</f>
        <v>0</v>
      </c>
      <c r="M143" s="9" t="n">
        <f aca="false">(M142*Assumptions!$C$53)</f>
        <v>0</v>
      </c>
      <c r="N143" s="9" t="n">
        <f aca="false">(N142*Assumptions!$C$53)</f>
        <v>0</v>
      </c>
      <c r="O143" s="9" t="n">
        <f aca="false">(O142*Assumptions!$C$53)</f>
        <v>0</v>
      </c>
      <c r="P143" s="9" t="n">
        <f aca="false">(P142*Assumptions!$C$53)</f>
        <v>0</v>
      </c>
      <c r="Q143" s="9" t="n">
        <f aca="false">(Q142*Assumptions!$C$53)</f>
        <v>0</v>
      </c>
      <c r="R143" s="9" t="n">
        <f aca="false">(R142*Assumptions!$C$53)</f>
        <v>0</v>
      </c>
      <c r="S143" s="9" t="n">
        <f aca="false">(S142*Assumptions!$C$53)</f>
        <v>0</v>
      </c>
      <c r="T143" s="9" t="n">
        <f aca="false">(T142*Assumptions!$C$53)</f>
        <v>0</v>
      </c>
      <c r="U143" s="9" t="n">
        <f aca="false">(U142*Assumptions!$C$53)</f>
        <v>0</v>
      </c>
      <c r="V143" s="9" t="n">
        <f aca="false">(V142*Assumptions!$C$53)</f>
        <v>0</v>
      </c>
      <c r="W143" s="9" t="n">
        <f aca="false">(W142*Assumptions!$C$53)</f>
        <v>0</v>
      </c>
      <c r="X143" s="9" t="n">
        <f aca="false">(X142*Assumptions!$C$53)</f>
        <v>0</v>
      </c>
      <c r="Y143" s="9" t="n">
        <f aca="false">(Y142*Assumptions!$C$53)</f>
        <v>0</v>
      </c>
      <c r="Z143" s="9" t="n">
        <f aca="false">(Z142*Assumptions!$C$53)</f>
        <v>0</v>
      </c>
      <c r="AA143" s="9" t="n">
        <f aca="false">(AA142*Assumptions!$C$53)</f>
        <v>0</v>
      </c>
      <c r="AB143" s="9" t="n">
        <f aca="false">(AB142*Assumptions!$C$53)</f>
        <v>0</v>
      </c>
      <c r="AC143" s="9" t="n">
        <f aca="false">(AC142*Assumptions!$C$53)</f>
        <v>0</v>
      </c>
      <c r="AD143" s="9" t="n">
        <f aca="false">(AD142*Assumptions!$C$53)</f>
        <v>0</v>
      </c>
      <c r="AE143" s="9" t="n">
        <f aca="false">(AE142*Assumptions!$C$53)</f>
        <v>0</v>
      </c>
      <c r="AF143" s="9" t="n">
        <f aca="false">(AF142*Assumptions!$C$53)</f>
        <v>0</v>
      </c>
      <c r="AG143" s="9" t="n">
        <f aca="false">(AG142*Assumptions!$C$53)</f>
        <v>10800</v>
      </c>
      <c r="AH143" s="9" t="n">
        <f aca="false">(AH142*Assumptions!$C$53)</f>
        <v>14418</v>
      </c>
      <c r="AI143" s="9" t="n">
        <f aca="false">(AI142*Assumptions!$C$53)</f>
        <v>17891.28</v>
      </c>
      <c r="AJ143" s="9" t="n">
        <f aca="false">(AJ142*Assumptions!$C$53)</f>
        <v>21225.6288</v>
      </c>
      <c r="AK143" s="9" t="n">
        <f aca="false">(AK142*Assumptions!$C$53)</f>
        <v>24426.603648</v>
      </c>
      <c r="AL143" s="9" t="n">
        <f aca="false">(AL142*Assumptions!$C$53)</f>
        <v>27499.53950208</v>
      </c>
      <c r="AN143" s="11" t="n">
        <f aca="false">SUM(C143:N143)</f>
        <v>0</v>
      </c>
      <c r="AO143" s="11" t="n">
        <f aca="false">SUM(O143:Z143)</f>
        <v>0</v>
      </c>
      <c r="AP143" s="11" t="n">
        <f aca="false">SUM(AA143:AL143)</f>
        <v>116261.05195008</v>
      </c>
    </row>
    <row r="144" customFormat="false" ht="15" hidden="false" customHeight="false" outlineLevel="0" collapsed="false">
      <c r="A144" s="0" t="s">
        <v>950</v>
      </c>
      <c r="B144" s="0" t="s">
        <v>230</v>
      </c>
      <c r="C144" s="9" t="n">
        <f aca="false">(C143*Assumptions!$C$54)</f>
        <v>0</v>
      </c>
      <c r="D144" s="9" t="n">
        <f aca="false">(D143*Assumptions!$C$54)</f>
        <v>0</v>
      </c>
      <c r="E144" s="9" t="n">
        <f aca="false">(E143*Assumptions!$C$54)</f>
        <v>0</v>
      </c>
      <c r="F144" s="9" t="n">
        <f aca="false">(F143*Assumptions!$C$54)</f>
        <v>0</v>
      </c>
      <c r="G144" s="9" t="n">
        <f aca="false">(G143*Assumptions!$C$54)</f>
        <v>0</v>
      </c>
      <c r="H144" s="9" t="n">
        <f aca="false">(H143*Assumptions!$C$54)</f>
        <v>0</v>
      </c>
      <c r="I144" s="9" t="n">
        <f aca="false">(I143*Assumptions!$C$54)</f>
        <v>0</v>
      </c>
      <c r="J144" s="9" t="n">
        <f aca="false">(J143*Assumptions!$C$54)</f>
        <v>0</v>
      </c>
      <c r="K144" s="9" t="n">
        <f aca="false">(K143*Assumptions!$C$54)</f>
        <v>0</v>
      </c>
      <c r="L144" s="9" t="n">
        <f aca="false">(L143*Assumptions!$C$54)</f>
        <v>0</v>
      </c>
      <c r="M144" s="9" t="n">
        <f aca="false">(M143*Assumptions!$C$54)</f>
        <v>0</v>
      </c>
      <c r="N144" s="9" t="n">
        <f aca="false">(N143*Assumptions!$C$54)</f>
        <v>0</v>
      </c>
      <c r="O144" s="9" t="n">
        <f aca="false">(O143*Assumptions!$C$54)</f>
        <v>0</v>
      </c>
      <c r="P144" s="9" t="n">
        <f aca="false">(P143*Assumptions!$C$54)</f>
        <v>0</v>
      </c>
      <c r="Q144" s="9" t="n">
        <f aca="false">(Q143*Assumptions!$C$54)</f>
        <v>0</v>
      </c>
      <c r="R144" s="9" t="n">
        <f aca="false">(R143*Assumptions!$C$54)</f>
        <v>0</v>
      </c>
      <c r="S144" s="9" t="n">
        <f aca="false">(S143*Assumptions!$C$54)</f>
        <v>0</v>
      </c>
      <c r="T144" s="9" t="n">
        <f aca="false">(T143*Assumptions!$C$54)</f>
        <v>0</v>
      </c>
      <c r="U144" s="9" t="n">
        <f aca="false">(U143*Assumptions!$C$54)</f>
        <v>0</v>
      </c>
      <c r="V144" s="9" t="n">
        <f aca="false">(V143*Assumptions!$C$54)</f>
        <v>0</v>
      </c>
      <c r="W144" s="9" t="n">
        <f aca="false">(W143*Assumptions!$C$54)</f>
        <v>0</v>
      </c>
      <c r="X144" s="9" t="n">
        <f aca="false">(X143*Assumptions!$C$54)</f>
        <v>0</v>
      </c>
      <c r="Y144" s="9" t="n">
        <f aca="false">(Y143*Assumptions!$C$54)</f>
        <v>0</v>
      </c>
      <c r="Z144" s="9" t="n">
        <f aca="false">(Z143*Assumptions!$C$54)</f>
        <v>0</v>
      </c>
      <c r="AA144" s="9" t="n">
        <f aca="false">(AA143*Assumptions!$C$54)</f>
        <v>0</v>
      </c>
      <c r="AB144" s="9" t="n">
        <f aca="false">(AB143*Assumptions!$C$54)</f>
        <v>0</v>
      </c>
      <c r="AC144" s="9" t="n">
        <f aca="false">(AC143*Assumptions!$C$54)</f>
        <v>0</v>
      </c>
      <c r="AD144" s="9" t="n">
        <f aca="false">(AD143*Assumptions!$C$54)</f>
        <v>0</v>
      </c>
      <c r="AE144" s="9" t="n">
        <f aca="false">(AE143*Assumptions!$C$54)</f>
        <v>0</v>
      </c>
      <c r="AF144" s="9" t="n">
        <f aca="false">(AF143*Assumptions!$C$54)</f>
        <v>0</v>
      </c>
      <c r="AG144" s="9" t="n">
        <f aca="false">(AG143*Assumptions!$C$54)</f>
        <v>1620</v>
      </c>
      <c r="AH144" s="9" t="n">
        <f aca="false">(AH143*Assumptions!$C$54)</f>
        <v>2162.7</v>
      </c>
      <c r="AI144" s="9" t="n">
        <f aca="false">(AI143*Assumptions!$C$54)</f>
        <v>2683.692</v>
      </c>
      <c r="AJ144" s="9" t="n">
        <f aca="false">(AJ143*Assumptions!$C$54)</f>
        <v>3183.84432</v>
      </c>
      <c r="AK144" s="9" t="n">
        <f aca="false">(AK143*Assumptions!$C$54)</f>
        <v>3663.9905472</v>
      </c>
      <c r="AL144" s="9" t="n">
        <f aca="false">(AL143*Assumptions!$C$54)</f>
        <v>4124.930925312</v>
      </c>
      <c r="AN144" s="11" t="n">
        <f aca="false">SUM(C144:N144)</f>
        <v>0</v>
      </c>
      <c r="AO144" s="11" t="n">
        <f aca="false">SUM(O144:Z144)</f>
        <v>0</v>
      </c>
      <c r="AP144" s="11" t="n">
        <f aca="false">SUM(AA144:AL144)</f>
        <v>17439.157792512</v>
      </c>
    </row>
    <row r="145" customFormat="false" ht="15" hidden="false" customHeight="false" outlineLevel="0" collapsed="false">
      <c r="A145" s="21" t="s">
        <v>951</v>
      </c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</row>
    <row r="146" customFormat="false" ht="15" hidden="false" customHeight="false" outlineLevel="0" collapsed="false">
      <c r="A146" s="10" t="s">
        <v>28</v>
      </c>
      <c r="B146" s="20" t="s">
        <v>230</v>
      </c>
      <c r="C146" s="11" t="n">
        <f aca="false">(((((((C42+C129)+C127)+C131)+C136)+C137)+C140)+C144)</f>
        <v>0</v>
      </c>
      <c r="D146" s="11" t="n">
        <f aca="false">(((((((D42+D129)+D127)+D131)+D136)+D137)+D140)+D144)</f>
        <v>0</v>
      </c>
      <c r="E146" s="11" t="n">
        <f aca="false">(((((((E42+E129)+E127)+E131)+E136)+E137)+E140)+E144)</f>
        <v>0</v>
      </c>
      <c r="F146" s="11" t="n">
        <f aca="false">(((((((F42+F129)+F127)+F131)+F136)+F137)+F140)+F144)</f>
        <v>0</v>
      </c>
      <c r="G146" s="11" t="n">
        <f aca="false">(((((((G42+G129)+G127)+G131)+G136)+G137)+G140)+G144)</f>
        <v>0</v>
      </c>
      <c r="H146" s="11" t="n">
        <f aca="false">(((((((H42+H129)+H127)+H131)+H136)+H137)+H140)+H144)</f>
        <v>0</v>
      </c>
      <c r="I146" s="11" t="n">
        <f aca="false">(((((((I42+I129)+I127)+I131)+I136)+I137)+I140)+I144)</f>
        <v>0</v>
      </c>
      <c r="J146" s="11" t="n">
        <f aca="false">(((((((J42+J129)+J127)+J131)+J136)+J137)+J140)+J144)</f>
        <v>0</v>
      </c>
      <c r="K146" s="11" t="n">
        <f aca="false">(((((((K42+K129)+K127)+K131)+K136)+K137)+K140)+K144)</f>
        <v>0</v>
      </c>
      <c r="L146" s="11" t="n">
        <f aca="false">(((((((L42+L129)+L127)+L131)+L136)+L137)+L140)+L144)</f>
        <v>0</v>
      </c>
      <c r="M146" s="11" t="n">
        <f aca="false">(((((((M42+M129)+M127)+M131)+M136)+M137)+M140)+M144)</f>
        <v>0</v>
      </c>
      <c r="N146" s="11" t="n">
        <f aca="false">(((((((N42+N129)+N127)+N131)+N136)+N137)+N140)+N144)</f>
        <v>0</v>
      </c>
      <c r="O146" s="11" t="n">
        <f aca="false">(((((((O42+O129)+O127)+O131)+O136)+O137)+O140)+O144)</f>
        <v>25.964676852839</v>
      </c>
      <c r="P146" s="11" t="n">
        <f aca="false">(((((((P42+P129)+P127)+P131)+P136)+P137)+P140)+P144)</f>
        <v>83.0739018655001</v>
      </c>
      <c r="Q146" s="11" t="n">
        <f aca="false">(((((((Q42+Q129)+Q127)+Q131)+Q136)+Q137)+Q140)+Q144)</f>
        <v>163.197760212586</v>
      </c>
      <c r="R146" s="11" t="n">
        <f aca="false">(((((((R42+R129)+R127)+R131)+R136)+R137)+R140)+R144)</f>
        <v>259.067102187655</v>
      </c>
      <c r="S146" s="11" t="n">
        <f aca="false">(((((((S42+S129)+S127)+S131)+S136)+S137)+S140)+S144)</f>
        <v>366.449670308577</v>
      </c>
      <c r="T146" s="11" t="n">
        <f aca="false">(((((((T42+T129)+T127)+T131)+T136)+T137)+T140)+T144)</f>
        <v>5033.17917737329</v>
      </c>
      <c r="U146" s="11" t="n">
        <f aca="false">(((((((U42+U129)+U127)+U131)+U136)+U137)+U140)+U144)</f>
        <v>14648.147772318</v>
      </c>
      <c r="V146" s="11" t="n">
        <f aca="false">(((((((V42+V129)+V127)+V131)+V136)+V137)+V140)+V144)</f>
        <v>15202.2994874899</v>
      </c>
      <c r="W146" s="11" t="n">
        <f aca="false">(((((((W42+W129)+W127)+W131)+W136)+W137)+W140)+W144)</f>
        <v>15355.0626719642</v>
      </c>
      <c r="X146" s="11" t="n">
        <f aca="false">(((((((X42+X129)+X127)+X131)+X136)+X137)+X140)+X144)</f>
        <v>38373.920618819</v>
      </c>
      <c r="Y146" s="11" t="n">
        <f aca="false">(((((((Y42+Y129)+Y127)+Y131)+Y136)+Y137)+Y140)+Y144)</f>
        <v>38568.2620182394</v>
      </c>
      <c r="Z146" s="11" t="n">
        <f aca="false">(((((((Z42+Z129)+Z127)+Z131)+Z136)+Z137)+Z140)+Z144)</f>
        <v>38764.6733789384</v>
      </c>
      <c r="AA146" s="11" t="n">
        <f aca="false">(((((((AA42+AA129)+AA127)+AA131)+AA136)+AA137)+AA140)+AA144)</f>
        <v>54453.0923991718</v>
      </c>
      <c r="AB146" s="11" t="n">
        <f aca="false">(((((((AB42+AB129)+AB127)+AB131)+AB136)+AB137)+AB140)+AB144)</f>
        <v>56437.0185212655</v>
      </c>
      <c r="AC146" s="11" t="n">
        <f aca="false">(((((((AC42+AC129)+AC127)+AC131)+AC136)+AC137)+AC140)+AC144)</f>
        <v>57610.9029086145</v>
      </c>
      <c r="AD146" s="11" t="n">
        <f aca="false">(((((((AD42+AD129)+AD127)+AD131)+AD136)+AD137)+AD140)+AD144)</f>
        <v>61266.4649433816</v>
      </c>
      <c r="AE146" s="11" t="n">
        <f aca="false">(((((((AE42+AE129)+AE127)+AE131)+AE136)+AE137)+AE140)+AE144)</f>
        <v>74860.6811821882</v>
      </c>
      <c r="AF146" s="11" t="n">
        <f aca="false">(((((((AF42+AF129)+AF127)+AF131)+AF136)+AF137)+AF140)+AF144)</f>
        <v>75902.2003977289</v>
      </c>
      <c r="AG146" s="11" t="n">
        <f aca="false">(((((((AG42+AG129)+AG127)+AG131)+AG136)+AG137)+AG140)+AG144)</f>
        <v>89100.2719518419</v>
      </c>
      <c r="AH146" s="11" t="n">
        <f aca="false">(((((((AH42+AH129)+AH127)+AH131)+AH136)+AH137)+AH140)+AH144)</f>
        <v>120316.691041469</v>
      </c>
      <c r="AI146" s="11" t="n">
        <f aca="false">(((((((AI42+AI129)+AI127)+AI131)+AI136)+AI137)+AI140)+AI144)</f>
        <v>122866.646747642</v>
      </c>
      <c r="AJ146" s="11" t="n">
        <f aca="false">(((((((AJ42+AJ129)+AJ127)+AJ131)+AJ136)+AJ137)+AJ140)+AJ144)</f>
        <v>148224.358127928</v>
      </c>
      <c r="AK146" s="11" t="n">
        <f aca="false">(((((((AK42+AK129)+AK127)+AK131)+AK136)+AK137)+AK140)+AK144)</f>
        <v>173398.110450929</v>
      </c>
      <c r="AL146" s="11" t="n">
        <f aca="false">(((((((AL42+AL129)+AL127)+AL131)+AL136)+AL137)+AL140)+AL144)</f>
        <v>221142.781813632</v>
      </c>
      <c r="AN146" s="11" t="n">
        <f aca="false">SUM(C146:N146)</f>
        <v>0</v>
      </c>
      <c r="AO146" s="11" t="n">
        <f aca="false">SUM(O146:Z146)</f>
        <v>166843.298236569</v>
      </c>
      <c r="AP146" s="11" t="n">
        <f aca="false">SUM(AA146:AL146)</f>
        <v>1255579.22048579</v>
      </c>
    </row>
    <row r="147" customFormat="false" ht="15" hidden="false" customHeight="false" outlineLevel="0" collapsed="false">
      <c r="A147" s="0" t="s">
        <v>952</v>
      </c>
      <c r="B147" s="0" t="s">
        <v>230</v>
      </c>
      <c r="C147" s="9" t="n">
        <f aca="false">((((C42+C127)+C136)+C137)+C140)</f>
        <v>0</v>
      </c>
      <c r="D147" s="9" t="n">
        <f aca="false">((((D42+D127)+D136)+D137)+D140)</f>
        <v>0</v>
      </c>
      <c r="E147" s="9" t="n">
        <f aca="false">((((E42+E127)+E136)+E137)+E140)</f>
        <v>0</v>
      </c>
      <c r="F147" s="9" t="n">
        <f aca="false">((((F42+F127)+F136)+F137)+F140)</f>
        <v>0</v>
      </c>
      <c r="G147" s="9" t="n">
        <f aca="false">((((G42+G127)+G136)+G137)+G140)</f>
        <v>0</v>
      </c>
      <c r="H147" s="9" t="n">
        <f aca="false">((((H42+H127)+H136)+H137)+H140)</f>
        <v>0</v>
      </c>
      <c r="I147" s="9" t="n">
        <f aca="false">((((I42+I127)+I136)+I137)+I140)</f>
        <v>0</v>
      </c>
      <c r="J147" s="9" t="n">
        <f aca="false">((((J42+J127)+J136)+J137)+J140)</f>
        <v>0</v>
      </c>
      <c r="K147" s="9" t="n">
        <f aca="false">((((K42+K127)+K136)+K137)+K140)</f>
        <v>0</v>
      </c>
      <c r="L147" s="9" t="n">
        <f aca="false">((((L42+L127)+L136)+L137)+L140)</f>
        <v>0</v>
      </c>
      <c r="M147" s="9" t="n">
        <f aca="false">((((M42+M127)+M136)+M137)+M140)</f>
        <v>0</v>
      </c>
      <c r="N147" s="9" t="n">
        <f aca="false">((((N42+N127)+N136)+N137)+N140)</f>
        <v>0</v>
      </c>
      <c r="O147" s="9" t="n">
        <f aca="false">((((O42+O127)+O136)+O137)+O140)</f>
        <v>25.964676852839</v>
      </c>
      <c r="P147" s="9" t="n">
        <f aca="false">((((P42+P127)+P136)+P137)+P140)</f>
        <v>83.0739018655001</v>
      </c>
      <c r="Q147" s="9" t="n">
        <f aca="false">((((Q42+Q127)+Q136)+Q137)+Q140)</f>
        <v>163.197760212586</v>
      </c>
      <c r="R147" s="9" t="n">
        <f aca="false">((((R42+R127)+R136)+R137)+R140)</f>
        <v>259.067102187655</v>
      </c>
      <c r="S147" s="9" t="n">
        <f aca="false">((((S42+S127)+S136)+S137)+S140)</f>
        <v>366.449670308577</v>
      </c>
      <c r="T147" s="9" t="n">
        <f aca="false">((((T42+T127)+T136)+T137)+T140)</f>
        <v>5033.17917737329</v>
      </c>
      <c r="U147" s="9" t="n">
        <f aca="false">((((U42+U127)+U136)+U137)+U140)</f>
        <v>5148.14777231801</v>
      </c>
      <c r="V147" s="9" t="n">
        <f aca="false">((((V42+V127)+V136)+V137)+V140)</f>
        <v>5702.29948748994</v>
      </c>
      <c r="W147" s="9" t="n">
        <f aca="false">((((W42+W127)+W136)+W137)+W140)</f>
        <v>5855.06267196416</v>
      </c>
      <c r="X147" s="9" t="n">
        <f aca="false">((((X42+X127)+X136)+X137)+X140)</f>
        <v>6040.58728548562</v>
      </c>
      <c r="Y147" s="9" t="n">
        <f aca="false">((((Y42+Y127)+Y136)+Y137)+Y140)</f>
        <v>6234.9286849061</v>
      </c>
      <c r="Z147" s="9" t="n">
        <f aca="false">((((Z42+Z127)+Z136)+Z137)+Z140)</f>
        <v>6431.34004560502</v>
      </c>
      <c r="AA147" s="9" t="n">
        <f aca="false">((((AA42+AA127)+AA136)+AA137)+AA140)</f>
        <v>7619.75906583846</v>
      </c>
      <c r="AB147" s="9" t="n">
        <f aca="false">((((AB42+AB127)+AB136)+AB137)+AB140)</f>
        <v>9603.68518793217</v>
      </c>
      <c r="AC147" s="9" t="n">
        <f aca="false">((((AC42+AC127)+AC136)+AC137)+AC140)</f>
        <v>10777.5695752811</v>
      </c>
      <c r="AD147" s="9" t="n">
        <f aca="false">((((AD42+AD127)+AD136)+AD137)+AD140)</f>
        <v>11933.1316100483</v>
      </c>
      <c r="AE147" s="9" t="n">
        <f aca="false">((((AE42+AE127)+AE136)+AE137)+AE140)</f>
        <v>18527.3478488549</v>
      </c>
      <c r="AF147" s="9" t="n">
        <f aca="false">((((AF42+AF127)+AF136)+AF137)+AF140)</f>
        <v>19568.8670643956</v>
      </c>
      <c r="AG147" s="9" t="n">
        <f aca="false">((((AG42+AG127)+AG136)+AG137)+AG140)</f>
        <v>21646.9386185086</v>
      </c>
      <c r="AH147" s="9" t="n">
        <f aca="false">((((AH42+AH127)+AH136)+AH137)+AH140)</f>
        <v>36987.3243748027</v>
      </c>
      <c r="AI147" s="9" t="n">
        <f aca="false">((((AI42+AI127)+AI136)+AI137)+AI140)</f>
        <v>39016.2880809752</v>
      </c>
      <c r="AJ147" s="9" t="n">
        <f aca="false">((((AJ42+AJ127)+AJ136)+AJ137)+AJ140)</f>
        <v>41040.5138079281</v>
      </c>
      <c r="AK147" s="9" t="n">
        <f aca="false">((((AK42+AK127)+AK136)+AK137)+AK140)</f>
        <v>58734.1199037285</v>
      </c>
      <c r="AL147" s="9" t="n">
        <f aca="false">((((AL42+AL127)+AL136)+AL137)+AL140)</f>
        <v>60684.517554987</v>
      </c>
      <c r="AN147" s="11" t="n">
        <f aca="false">SUM(C147:N147)</f>
        <v>0</v>
      </c>
      <c r="AO147" s="11" t="n">
        <f aca="false">SUM(O147:Z147)</f>
        <v>41343.2982365693</v>
      </c>
      <c r="AP147" s="11" t="n">
        <f aca="false">SUM(AA147:AL147)</f>
        <v>336140.062693281</v>
      </c>
    </row>
    <row r="148" customFormat="false" ht="15" hidden="false" customHeight="false" outlineLevel="0" collapsed="false">
      <c r="A148" s="10" t="s">
        <v>953</v>
      </c>
      <c r="B148" s="20" t="s">
        <v>230</v>
      </c>
      <c r="C148" s="11" t="n">
        <f aca="false">(C147*12)</f>
        <v>0</v>
      </c>
      <c r="D148" s="11" t="n">
        <f aca="false">(D147*12)</f>
        <v>0</v>
      </c>
      <c r="E148" s="11" t="n">
        <f aca="false">(E147*12)</f>
        <v>0</v>
      </c>
      <c r="F148" s="11" t="n">
        <f aca="false">(F147*12)</f>
        <v>0</v>
      </c>
      <c r="G148" s="11" t="n">
        <f aca="false">(G147*12)</f>
        <v>0</v>
      </c>
      <c r="H148" s="11" t="n">
        <f aca="false">(H147*12)</f>
        <v>0</v>
      </c>
      <c r="I148" s="11" t="n">
        <f aca="false">(I147*12)</f>
        <v>0</v>
      </c>
      <c r="J148" s="11" t="n">
        <f aca="false">(J147*12)</f>
        <v>0</v>
      </c>
      <c r="K148" s="11" t="n">
        <f aca="false">(K147*12)</f>
        <v>0</v>
      </c>
      <c r="L148" s="11" t="n">
        <f aca="false">(L147*12)</f>
        <v>0</v>
      </c>
      <c r="M148" s="11" t="n">
        <f aca="false">(M147*12)</f>
        <v>0</v>
      </c>
      <c r="N148" s="11" t="n">
        <f aca="false">(N147*12)</f>
        <v>0</v>
      </c>
      <c r="O148" s="11" t="n">
        <f aca="false">(O147*12)</f>
        <v>311.576122234068</v>
      </c>
      <c r="P148" s="11" t="n">
        <f aca="false">(P147*12)</f>
        <v>996.886822386001</v>
      </c>
      <c r="Q148" s="11" t="n">
        <f aca="false">(Q147*12)</f>
        <v>1958.37312255104</v>
      </c>
      <c r="R148" s="11" t="n">
        <f aca="false">(R147*12)</f>
        <v>3108.80522625186</v>
      </c>
      <c r="S148" s="11" t="n">
        <f aca="false">(S147*12)</f>
        <v>4397.39604370293</v>
      </c>
      <c r="T148" s="11" t="n">
        <f aca="false">(T147*12)</f>
        <v>60398.1501284794</v>
      </c>
      <c r="U148" s="11" t="n">
        <f aca="false">(U147*12)</f>
        <v>61777.7732678161</v>
      </c>
      <c r="V148" s="11" t="n">
        <f aca="false">(V147*12)</f>
        <v>68427.5938498793</v>
      </c>
      <c r="W148" s="11" t="n">
        <f aca="false">(W147*12)</f>
        <v>70260.75206357</v>
      </c>
      <c r="X148" s="11" t="n">
        <f aca="false">(X147*12)</f>
        <v>72487.0474258275</v>
      </c>
      <c r="Y148" s="11" t="n">
        <f aca="false">(Y147*12)</f>
        <v>74819.1442188732</v>
      </c>
      <c r="Z148" s="11" t="n">
        <f aca="false">(Z147*12)</f>
        <v>77176.0805472603</v>
      </c>
      <c r="AA148" s="11" t="n">
        <f aca="false">(AA147*12)</f>
        <v>91437.1087900615</v>
      </c>
      <c r="AB148" s="11" t="n">
        <f aca="false">(AB147*12)</f>
        <v>115244.222255186</v>
      </c>
      <c r="AC148" s="11" t="n">
        <f aca="false">(AC147*12)</f>
        <v>129330.834903373</v>
      </c>
      <c r="AD148" s="11" t="n">
        <f aca="false">(AD147*12)</f>
        <v>143197.57932058</v>
      </c>
      <c r="AE148" s="11" t="n">
        <f aca="false">(AE147*12)</f>
        <v>222328.174186259</v>
      </c>
      <c r="AF148" s="11" t="n">
        <f aca="false">(AF147*12)</f>
        <v>234826.404772747</v>
      </c>
      <c r="AG148" s="11" t="n">
        <f aca="false">(AG147*12)</f>
        <v>259763.263422103</v>
      </c>
      <c r="AH148" s="11" t="n">
        <f aca="false">(AH147*12)</f>
        <v>443847.892497633</v>
      </c>
      <c r="AI148" s="11" t="n">
        <f aca="false">(AI147*12)</f>
        <v>468195.456971703</v>
      </c>
      <c r="AJ148" s="11" t="n">
        <f aca="false">(AJ147*12)</f>
        <v>492486.165695137</v>
      </c>
      <c r="AK148" s="11" t="n">
        <f aca="false">(AK147*12)</f>
        <v>704809.438844742</v>
      </c>
      <c r="AL148" s="11" t="n">
        <f aca="false">(AL147*12)</f>
        <v>728214.210659844</v>
      </c>
      <c r="AN148" s="11" t="n">
        <f aca="false">N148</f>
        <v>0</v>
      </c>
      <c r="AO148" s="11" t="n">
        <f aca="false">Z148</f>
        <v>77176.0805472603</v>
      </c>
      <c r="AP148" s="11" t="n">
        <f aca="false">AL148</f>
        <v>728214.210659844</v>
      </c>
    </row>
    <row r="149" customFormat="false" ht="15" hidden="false" customHeight="false" outlineLevel="0" collapsed="false">
      <c r="A149" s="0" t="s">
        <v>954</v>
      </c>
      <c r="B149" s="0" t="s">
        <v>230</v>
      </c>
      <c r="C149" s="9" t="n">
        <f aca="false">((((C127+C136)+C137)+C140)*12)</f>
        <v>0</v>
      </c>
      <c r="D149" s="9" t="n">
        <f aca="false">((((D127+D136)+D137)+D140)*12)</f>
        <v>0</v>
      </c>
      <c r="E149" s="9" t="n">
        <f aca="false">((((E127+E136)+E137)+E140)*12)</f>
        <v>0</v>
      </c>
      <c r="F149" s="9" t="n">
        <f aca="false">((((F127+F136)+F137)+F140)*12)</f>
        <v>0</v>
      </c>
      <c r="G149" s="9" t="n">
        <f aca="false">((((G127+G136)+G137)+G140)*12)</f>
        <v>0</v>
      </c>
      <c r="H149" s="9" t="n">
        <f aca="false">((((H127+H136)+H137)+H140)*12)</f>
        <v>0</v>
      </c>
      <c r="I149" s="9" t="n">
        <f aca="false">((((I127+I136)+I137)+I140)*12)</f>
        <v>0</v>
      </c>
      <c r="J149" s="9" t="n">
        <f aca="false">((((J127+J136)+J137)+J140)*12)</f>
        <v>0</v>
      </c>
      <c r="K149" s="9" t="n">
        <f aca="false">((((K127+K136)+K137)+K140)*12)</f>
        <v>0</v>
      </c>
      <c r="L149" s="9" t="n">
        <f aca="false">((((L127+L136)+L137)+L140)*12)</f>
        <v>0</v>
      </c>
      <c r="M149" s="9" t="n">
        <f aca="false">((((M127+M136)+M137)+M140)*12)</f>
        <v>0</v>
      </c>
      <c r="N149" s="9" t="n">
        <f aca="false">((((N127+N136)+N137)+N140)*12)</f>
        <v>0</v>
      </c>
      <c r="O149" s="9" t="n">
        <f aca="false">((((O127+O136)+O137)+O140)*12)</f>
        <v>0</v>
      </c>
      <c r="P149" s="9" t="n">
        <f aca="false">((((P127+P136)+P137)+P140)*12)</f>
        <v>0</v>
      </c>
      <c r="Q149" s="9" t="n">
        <f aca="false">((((Q127+Q136)+Q137)+Q140)*12)</f>
        <v>0</v>
      </c>
      <c r="R149" s="9" t="n">
        <f aca="false">((((R127+R136)+R137)+R140)*12)</f>
        <v>0</v>
      </c>
      <c r="S149" s="9" t="n">
        <f aca="false">((((S127+S136)+S137)+S140)*12)</f>
        <v>0</v>
      </c>
      <c r="T149" s="9" t="n">
        <f aca="false">((((T127+T136)+T137)+T140)*12)</f>
        <v>54648</v>
      </c>
      <c r="U149" s="9" t="n">
        <f aca="false">((((U127+U136)+U137)+U140)*12)</f>
        <v>54648</v>
      </c>
      <c r="V149" s="9" t="n">
        <f aca="false">((((V127+V136)+V137)+V140)*12)</f>
        <v>59832</v>
      </c>
      <c r="W149" s="9" t="n">
        <f aca="false">((((W127+W136)+W137)+W140)*12)</f>
        <v>59832</v>
      </c>
      <c r="X149" s="9" t="n">
        <f aca="false">((((X127+X136)+X137)+X140)*12)</f>
        <v>59832</v>
      </c>
      <c r="Y149" s="9" t="n">
        <f aca="false">((((Y127+Y136)+Y137)+Y140)*12)</f>
        <v>59832</v>
      </c>
      <c r="Z149" s="9" t="n">
        <f aca="false">((((Z127+Z136)+Z137)+Z140)*12)</f>
        <v>59832</v>
      </c>
      <c r="AA149" s="9" t="n">
        <f aca="false">((((AA127+AA136)+AA137)+AA140)*12)</f>
        <v>71832</v>
      </c>
      <c r="AB149" s="9" t="n">
        <f aca="false">((((AB127+AB136)+AB137)+AB140)*12)</f>
        <v>93177</v>
      </c>
      <c r="AC149" s="9" t="n">
        <f aca="false">((((AC127+AC136)+AC137)+AC140)*12)</f>
        <v>104701.8</v>
      </c>
      <c r="AD149" s="9" t="n">
        <f aca="false">((((AD127+AD136)+AD137)+AD140)*12)</f>
        <v>115996.104</v>
      </c>
      <c r="AE149" s="9" t="n">
        <f aca="false">((((AE127+AE136)+AE137)+AE140)*12)</f>
        <v>192584.52192</v>
      </c>
      <c r="AF149" s="9" t="n">
        <f aca="false">((((AF127+AF136)+AF137)+AF140)*12)</f>
        <v>202645.1154816</v>
      </c>
      <c r="AG149" s="9" t="n">
        <f aca="false">((((AG127+AG136)+AG137)+AG140)*12)</f>
        <v>225275.224051968</v>
      </c>
      <c r="AH149" s="9" t="n">
        <f aca="false">((((AH127+AH136)+AH137)+AH140)*12)</f>
        <v>407086.730450929</v>
      </c>
      <c r="AI149" s="9" t="n">
        <f aca="false">((((AI127+AI136)+AI137)+AI140)*12)</f>
        <v>428820.68672191</v>
      </c>
      <c r="AJ149" s="9" t="n">
        <f aca="false">((((AJ127+AJ136)+AJ137)+AJ140)*12)</f>
        <v>450119.963867472</v>
      </c>
      <c r="AK149" s="9" t="n">
        <f aca="false">((((AK127+AK136)+AK137)+AK140)*12)</f>
        <v>659427.255470122</v>
      </c>
      <c r="AL149" s="9" t="n">
        <f aca="false">((((AL127+AL136)+AL137)+AL140)*12)</f>
        <v>679883.08124072</v>
      </c>
      <c r="AN149" s="11" t="n">
        <f aca="false">N149</f>
        <v>0</v>
      </c>
      <c r="AO149" s="11" t="n">
        <f aca="false">Z149</f>
        <v>59832</v>
      </c>
      <c r="AP149" s="11" t="n">
        <f aca="false">AL149</f>
        <v>679883.08124072</v>
      </c>
    </row>
    <row r="150" customFormat="false" ht="15" hidden="false" customHeight="false" outlineLevel="0" collapsed="false">
      <c r="A150" s="0" t="s">
        <v>955</v>
      </c>
      <c r="B150" s="0" t="s">
        <v>230</v>
      </c>
      <c r="C150" s="9" t="n">
        <f aca="false">(C42*12)</f>
        <v>0</v>
      </c>
      <c r="D150" s="9" t="n">
        <f aca="false">(D42*12)</f>
        <v>0</v>
      </c>
      <c r="E150" s="9" t="n">
        <f aca="false">(E42*12)</f>
        <v>0</v>
      </c>
      <c r="F150" s="9" t="n">
        <f aca="false">(F42*12)</f>
        <v>0</v>
      </c>
      <c r="G150" s="9" t="n">
        <f aca="false">(G42*12)</f>
        <v>0</v>
      </c>
      <c r="H150" s="9" t="n">
        <f aca="false">(H42*12)</f>
        <v>0</v>
      </c>
      <c r="I150" s="9" t="n">
        <f aca="false">(I42*12)</f>
        <v>0</v>
      </c>
      <c r="J150" s="9" t="n">
        <f aca="false">(J42*12)</f>
        <v>0</v>
      </c>
      <c r="K150" s="9" t="n">
        <f aca="false">(K42*12)</f>
        <v>0</v>
      </c>
      <c r="L150" s="9" t="n">
        <f aca="false">(L42*12)</f>
        <v>0</v>
      </c>
      <c r="M150" s="9" t="n">
        <f aca="false">(M42*12)</f>
        <v>0</v>
      </c>
      <c r="N150" s="9" t="n">
        <f aca="false">(N42*12)</f>
        <v>0</v>
      </c>
      <c r="O150" s="9" t="n">
        <f aca="false">(O42*12)</f>
        <v>311.576122234068</v>
      </c>
      <c r="P150" s="9" t="n">
        <f aca="false">(P42*12)</f>
        <v>996.886822386001</v>
      </c>
      <c r="Q150" s="9" t="n">
        <f aca="false">(Q42*12)</f>
        <v>1958.37312255104</v>
      </c>
      <c r="R150" s="9" t="n">
        <f aca="false">(R42*12)</f>
        <v>3108.80522625186</v>
      </c>
      <c r="S150" s="9" t="n">
        <f aca="false">(S42*12)</f>
        <v>4397.39604370293</v>
      </c>
      <c r="T150" s="9" t="n">
        <f aca="false">(T42*12)</f>
        <v>5750.15012847944</v>
      </c>
      <c r="U150" s="9" t="n">
        <f aca="false">(U42*12)</f>
        <v>7129.77326781614</v>
      </c>
      <c r="V150" s="9" t="n">
        <f aca="false">(V42*12)</f>
        <v>8595.5938498793</v>
      </c>
      <c r="W150" s="9" t="n">
        <f aca="false">(W42*12)</f>
        <v>10428.75206357</v>
      </c>
      <c r="X150" s="9" t="n">
        <f aca="false">(X42*12)</f>
        <v>12655.0474258275</v>
      </c>
      <c r="Y150" s="9" t="n">
        <f aca="false">(Y42*12)</f>
        <v>14987.1442188732</v>
      </c>
      <c r="Z150" s="9" t="n">
        <f aca="false">(Z42*12)</f>
        <v>17344.0805472603</v>
      </c>
      <c r="AA150" s="9" t="n">
        <f aca="false">(AA42*12)</f>
        <v>19605.1087900615</v>
      </c>
      <c r="AB150" s="9" t="n">
        <f aca="false">(AB42*12)</f>
        <v>22067.2222551861</v>
      </c>
      <c r="AC150" s="9" t="n">
        <f aca="false">(AC42*12)</f>
        <v>24629.0349033734</v>
      </c>
      <c r="AD150" s="9" t="n">
        <f aca="false">(AD42*12)</f>
        <v>27201.4753205796</v>
      </c>
      <c r="AE150" s="9" t="n">
        <f aca="false">(AE42*12)</f>
        <v>29743.6522662586</v>
      </c>
      <c r="AF150" s="9" t="n">
        <f aca="false">(AF42*12)</f>
        <v>32181.2892911471</v>
      </c>
      <c r="AG150" s="9" t="n">
        <f aca="false">(AG42*12)</f>
        <v>34488.0393701347</v>
      </c>
      <c r="AH150" s="9" t="n">
        <f aca="false">(AH42*12)</f>
        <v>36761.1620467044</v>
      </c>
      <c r="AI150" s="9" t="n">
        <f aca="false">(AI42*12)</f>
        <v>39374.770249793</v>
      </c>
      <c r="AJ150" s="9" t="n">
        <f aca="false">(AJ42*12)</f>
        <v>42366.201827665</v>
      </c>
      <c r="AK150" s="9" t="n">
        <f aca="false">(AK42*12)</f>
        <v>45382.1833746197</v>
      </c>
      <c r="AL150" s="9" t="n">
        <f aca="false">(AL42*12)</f>
        <v>48331.1294191236</v>
      </c>
      <c r="AN150" s="11" t="n">
        <f aca="false">N150</f>
        <v>0</v>
      </c>
      <c r="AO150" s="11" t="n">
        <f aca="false">Z150</f>
        <v>17344.0805472603</v>
      </c>
      <c r="AP150" s="11" t="n">
        <f aca="false">AL150</f>
        <v>48331.1294191236</v>
      </c>
    </row>
    <row r="151" customFormat="false" ht="15" hidden="false" customHeight="false" outlineLevel="0" collapsed="false">
      <c r="A151" s="10" t="s">
        <v>956</v>
      </c>
      <c r="B151" s="20" t="s">
        <v>230</v>
      </c>
      <c r="C151" s="11" t="n">
        <f aca="false">(((((((C41+C130)+C128)+C132)+C136)+C137)+C140)+C144)</f>
        <v>0</v>
      </c>
      <c r="D151" s="11" t="n">
        <f aca="false">(((((((D41+D130)+D128)+D132)+D136)+D137)+D140)+D144)</f>
        <v>0</v>
      </c>
      <c r="E151" s="11" t="n">
        <f aca="false">(((((((E41+E130)+E128)+E132)+E136)+E137)+E140)+E144)</f>
        <v>0</v>
      </c>
      <c r="F151" s="11" t="n">
        <f aca="false">(((((((F41+F130)+F128)+F132)+F136)+F137)+F140)+F144)</f>
        <v>0</v>
      </c>
      <c r="G151" s="11" t="n">
        <f aca="false">(((((((G41+G130)+G128)+G132)+G136)+G137)+G140)+G144)</f>
        <v>0</v>
      </c>
      <c r="H151" s="11" t="n">
        <f aca="false">(((((((H41+H130)+H128)+H132)+H136)+H137)+H140)+H144)</f>
        <v>0</v>
      </c>
      <c r="I151" s="11" t="n">
        <f aca="false">(((((((I41+I130)+I128)+I132)+I136)+I137)+I140)+I144)</f>
        <v>0</v>
      </c>
      <c r="J151" s="11" t="n">
        <f aca="false">(((((((J41+J130)+J128)+J132)+J136)+J137)+J140)+J144)</f>
        <v>0</v>
      </c>
      <c r="K151" s="11" t="n">
        <f aca="false">(((((((K41+K130)+K128)+K132)+K136)+K137)+K140)+K144)</f>
        <v>0</v>
      </c>
      <c r="L151" s="11" t="n">
        <f aca="false">(((((((L41+L130)+L128)+L132)+L136)+L137)+L140)+L144)</f>
        <v>0</v>
      </c>
      <c r="M151" s="11" t="n">
        <f aca="false">(((((((M41+M130)+M128)+M132)+M136)+M137)+M140)+M144)</f>
        <v>0</v>
      </c>
      <c r="N151" s="11" t="n">
        <f aca="false">(((((((N41+N130)+N128)+N132)+N136)+N137)+N140)+N144)</f>
        <v>0</v>
      </c>
      <c r="O151" s="11" t="n">
        <f aca="false">(((((((O41+O130)+O128)+O132)+O136)+O137)+O140)+O144)</f>
        <v>121.607982877657</v>
      </c>
      <c r="P151" s="11" t="n">
        <f aca="false">(((((((P41+P130)+P128)+P132)+P136)+P137)+P140)+P144)</f>
        <v>287.926957961313</v>
      </c>
      <c r="Q151" s="11" t="n">
        <f aca="false">(((((((Q41+Q130)+Q128)+Q132)+Q136)+Q137)+Q140)+Q144)</f>
        <v>440.356712315043</v>
      </c>
      <c r="R151" s="11" t="n">
        <f aca="false">(((((((R41+R130)+R128)+R132)+R136)+R137)+R140)+R144)</f>
        <v>576.120353042797</v>
      </c>
      <c r="S151" s="11" t="n">
        <f aca="false">(((((((S41+S130)+S128)+S132)+S136)+S137)+S140)+S144)</f>
        <v>703.425043098247</v>
      </c>
      <c r="T151" s="11" t="n">
        <f aca="false">(((((((T41+T130)+T128)+T132)+T136)+T137)+T140)+T144)</f>
        <v>55457.6888559545</v>
      </c>
      <c r="U151" s="11" t="n">
        <f aca="false">(((((((U41+U130)+U128)+U132)+U136)+U137)+U140)+U144)</f>
        <v>36904.2482421566</v>
      </c>
      <c r="V151" s="11" t="n">
        <f aca="false">(((((((V41+V130)+V128)+V132)+V136)+V137)+V140)+V144)</f>
        <v>1454.31936405095</v>
      </c>
      <c r="W151" s="11" t="n">
        <f aca="false">(((((((W41+W130)+W128)+W132)+W136)+W137)+W140)+W144)</f>
        <v>1686.36335472606</v>
      </c>
      <c r="X151" s="11" t="n">
        <f aca="false">(((((((X41+X130)+X128)+X132)+X136)+X137)+X140)+X144)</f>
        <v>113951.102727603</v>
      </c>
      <c r="Y151" s="11" t="n">
        <f aca="false">(((((((Y41+Y130)+Y128)+Y132)+Y136)+Y137)+Y140)+Y144)</f>
        <v>2127.63551564298</v>
      </c>
      <c r="Z151" s="11" t="n">
        <f aca="false">(((((((Z41+Z130)+Z128)+Z132)+Z136)+Z137)+Z140)+Z144)</f>
        <v>2277.24891436354</v>
      </c>
      <c r="AA151" s="11" t="n">
        <f aca="false">(((((((AA41+AA130)+AA128)+AA132)+AA136)+AA137)+AA140)+AA144)</f>
        <v>151454.733598324</v>
      </c>
      <c r="AB151" s="11" t="n">
        <f aca="false">(((((((AB41+AB130)+AB128)+AB132)+AB136)+AB137)+AB140)+AB144)</f>
        <v>13335.2125931985</v>
      </c>
      <c r="AC151" s="11" t="n">
        <f aca="false">(((((((AC41+AC130)+AC128)+AC132)+AC136)+AC137)+AC140)+AC144)</f>
        <v>6050.5518486731</v>
      </c>
      <c r="AD151" s="11" t="n">
        <f aca="false">(((((((AD41+AD130)+AD128)+AD132)+AD136)+AD137)+AD140)+AD144)</f>
        <v>155204.876029969</v>
      </c>
      <c r="AE151" s="11" t="n">
        <f aca="false">(((((((AE41+AE130)+AE128)+AE132)+AE136)+AE137)+AE140)+AE144)</f>
        <v>88970.7492358849</v>
      </c>
      <c r="AF151" s="11" t="n">
        <f aca="false">(((((((AF41+AF130)+AF128)+AF132)+AF136)+AF137)+AF140)+AF144)</f>
        <v>62867.7644497548</v>
      </c>
      <c r="AG151" s="11" t="n">
        <f aca="false">(((((((AG41+AG130)+AG128)+AG132)+AG136)+AG137)+AG140)+AG144)</f>
        <v>197584.609610794</v>
      </c>
      <c r="AH151" s="11" t="n">
        <f aca="false">(((((((AH41+AH130)+AH128)+AH132)+AH136)+AH137)+AH140)+AH144)</f>
        <v>226990.549801724</v>
      </c>
      <c r="AI151" s="11" t="n">
        <f aca="false">(((((((AI41+AI130)+AI128)+AI132)+AI136)+AI137)+AI140)+AI144)</f>
        <v>20257.746056737</v>
      </c>
      <c r="AJ151" s="11" t="n">
        <f aca="false">(((((((AJ41+AJ130)+AJ128)+AJ132)+AJ136)+AJ137)+AJ140)+AJ144)</f>
        <v>282944.73996971</v>
      </c>
      <c r="AK151" s="11" t="n">
        <f aca="false">(((((((AK41+AK130)+AK128)+AK132)+AK136)+AK137)+AK140)+AK144)</f>
        <v>283860.869372518</v>
      </c>
      <c r="AL151" s="11" t="n">
        <f aca="false">(((((((AL41+AL130)+AL128)+AL132)+AL136)+AL137)+AL140)+AL144)</f>
        <v>195376.701967804</v>
      </c>
      <c r="AN151" s="11" t="n">
        <f aca="false">SUM(C151:N151)</f>
        <v>0</v>
      </c>
      <c r="AO151" s="11" t="n">
        <f aca="false">SUM(O151:Z151)</f>
        <v>215988.044023793</v>
      </c>
      <c r="AP151" s="11" t="n">
        <f aca="false">SUM(AA151:AL151)</f>
        <v>1684899.10453509</v>
      </c>
    </row>
    <row r="152" customFormat="false" ht="15" hidden="false" customHeight="false" outlineLevel="0" collapsed="false">
      <c r="A152" s="0" t="s">
        <v>957</v>
      </c>
      <c r="B152" s="0" t="s">
        <v>230</v>
      </c>
      <c r="C152" s="9" t="n">
        <f aca="false">((C130+C128)+C132)</f>
        <v>0</v>
      </c>
      <c r="D152" s="9" t="n">
        <f aca="false">((D130+D128)+D132)</f>
        <v>0</v>
      </c>
      <c r="E152" s="9" t="n">
        <f aca="false">((E130+E128)+E132)</f>
        <v>0</v>
      </c>
      <c r="F152" s="9" t="n">
        <f aca="false">((F130+F128)+F132)</f>
        <v>0</v>
      </c>
      <c r="G152" s="9" t="n">
        <f aca="false">((G130+G128)+G132)</f>
        <v>0</v>
      </c>
      <c r="H152" s="9" t="n">
        <f aca="false">((H130+H128)+H132)</f>
        <v>0</v>
      </c>
      <c r="I152" s="9" t="n">
        <f aca="false">((I130+I128)+I132)</f>
        <v>0</v>
      </c>
      <c r="J152" s="9" t="n">
        <f aca="false">((J130+J128)+J132)</f>
        <v>0</v>
      </c>
      <c r="K152" s="9" t="n">
        <f aca="false">((K130+K128)+K132)</f>
        <v>0</v>
      </c>
      <c r="L152" s="9" t="n">
        <f aca="false">((L130+L128)+L132)</f>
        <v>0</v>
      </c>
      <c r="M152" s="9" t="n">
        <f aca="false">((M130+M128)+M132)</f>
        <v>0</v>
      </c>
      <c r="N152" s="9" t="n">
        <f aca="false">((N130+N128)+N132)</f>
        <v>0</v>
      </c>
      <c r="O152" s="9" t="n">
        <f aca="false">((O130+O128)+O132)</f>
        <v>0</v>
      </c>
      <c r="P152" s="9" t="n">
        <f aca="false">((P130+P128)+P132)</f>
        <v>0</v>
      </c>
      <c r="Q152" s="9" t="n">
        <f aca="false">((Q130+Q128)+Q132)</f>
        <v>0</v>
      </c>
      <c r="R152" s="9" t="n">
        <f aca="false">((R130+R128)+R132)</f>
        <v>0</v>
      </c>
      <c r="S152" s="9" t="n">
        <f aca="false">((S130+S128)+S132)</f>
        <v>0</v>
      </c>
      <c r="T152" s="9" t="n">
        <f aca="false">((T130+T128)+T132)</f>
        <v>54648</v>
      </c>
      <c r="U152" s="9" t="n">
        <f aca="false">((U130+U128)+U132)</f>
        <v>36000</v>
      </c>
      <c r="V152" s="9" t="n">
        <f aca="false">((V130+V128)+V132)</f>
        <v>0</v>
      </c>
      <c r="W152" s="9" t="n">
        <f aca="false">((W130+W128)+W132)</f>
        <v>0</v>
      </c>
      <c r="X152" s="9" t="n">
        <f aca="false">((X130+X128)+X132)</f>
        <v>112000</v>
      </c>
      <c r="Y152" s="9" t="n">
        <f aca="false">((Y130+Y128)+Y132)</f>
        <v>0</v>
      </c>
      <c r="Z152" s="9" t="n">
        <f aca="false">((Z130+Z128)+Z132)</f>
        <v>0</v>
      </c>
      <c r="AA152" s="9" t="n">
        <f aca="false">((AA130+AA128)+AA132)</f>
        <v>148000</v>
      </c>
      <c r="AB152" s="9" t="n">
        <f aca="false">((AB130+AB128)+AB132)</f>
        <v>8505</v>
      </c>
      <c r="AC152" s="9" t="n">
        <f aca="false">((AC130+AC128)+AC132)</f>
        <v>0</v>
      </c>
      <c r="AD152" s="9" t="n">
        <f aca="false">((AD130+AD128)+AD132)</f>
        <v>148000</v>
      </c>
      <c r="AE152" s="9" t="n">
        <f aca="false">((AE130+AE128)+AE132)</f>
        <v>80124</v>
      </c>
      <c r="AF152" s="9" t="n">
        <f aca="false">((AF130+AF128)+AF132)</f>
        <v>52899.264</v>
      </c>
      <c r="AG152" s="9" t="n">
        <f aca="false">((AG130+AG128)+AG132)</f>
        <v>184000</v>
      </c>
      <c r="AH152" s="9" t="n">
        <f aca="false">((AH130+AH128)+AH132)</f>
        <v>209429</v>
      </c>
      <c r="AI152" s="9" t="n">
        <f aca="false">((AI130+AI128)+AI132)</f>
        <v>0</v>
      </c>
      <c r="AJ152" s="9" t="n">
        <f aca="false">((AJ130+AJ128)+AJ132)</f>
        <v>260000</v>
      </c>
      <c r="AK152" s="9" t="n">
        <f aca="false">((AK130+AK128)+AK132)</f>
        <v>256829</v>
      </c>
      <c r="AL152" s="9" t="n">
        <f aca="false">((AL130+AL128)+AL132)</f>
        <v>166000</v>
      </c>
      <c r="AN152" s="11" t="n">
        <f aca="false">SUM(C152:N152)</f>
        <v>0</v>
      </c>
      <c r="AO152" s="11" t="n">
        <f aca="false">SUM(O152:Z152)</f>
        <v>202648</v>
      </c>
      <c r="AP152" s="11" t="n">
        <f aca="false">SUM(AA152:AL152)</f>
        <v>1513786.264</v>
      </c>
    </row>
    <row r="153" customFormat="false" ht="15" hidden="false" customHeight="false" outlineLevel="0" collapsed="false">
      <c r="A153" s="0" t="s">
        <v>43</v>
      </c>
      <c r="B153" s="0" t="s">
        <v>230</v>
      </c>
      <c r="C153" s="9" t="n">
        <f aca="false">(((((C41+C136)+C137)+C140)+C144)+((1-Assumptions!$C$33)*0))</f>
        <v>0</v>
      </c>
      <c r="D153" s="9" t="n">
        <f aca="false">(((((D41+D136)+D137)+D140)+D144)+((1-Assumptions!$C$33)*0))</f>
        <v>0</v>
      </c>
      <c r="E153" s="9" t="n">
        <f aca="false">(((((E41+E136)+E137)+E140)+E144)+((1-Assumptions!$C$33)*C152))</f>
        <v>0</v>
      </c>
      <c r="F153" s="9" t="n">
        <f aca="false">(((((F41+F136)+F137)+F140)+F144)+((1-Assumptions!$C$33)*D152))</f>
        <v>0</v>
      </c>
      <c r="G153" s="9" t="n">
        <f aca="false">(((((G41+G136)+G137)+G140)+G144)+((1-Assumptions!$C$33)*E152))</f>
        <v>0</v>
      </c>
      <c r="H153" s="9" t="n">
        <f aca="false">(((((H41+H136)+H137)+H140)+H144)+((1-Assumptions!$C$33)*F152))</f>
        <v>0</v>
      </c>
      <c r="I153" s="9" t="n">
        <f aca="false">(((((I41+I136)+I137)+I140)+I144)+((1-Assumptions!$C$33)*G152))</f>
        <v>0</v>
      </c>
      <c r="J153" s="9" t="n">
        <f aca="false">(((((J41+J136)+J137)+J140)+J144)+((1-Assumptions!$C$33)*H152))</f>
        <v>0</v>
      </c>
      <c r="K153" s="9" t="n">
        <f aca="false">(((((K41+K136)+K137)+K140)+K144)+((1-Assumptions!$C$33)*I152))</f>
        <v>0</v>
      </c>
      <c r="L153" s="9" t="n">
        <f aca="false">(((((L41+L136)+L137)+L140)+L144)+((1-Assumptions!$C$33)*J152))</f>
        <v>0</v>
      </c>
      <c r="M153" s="9" t="n">
        <f aca="false">(((((M41+M136)+M137)+M140)+M144)+((1-Assumptions!$C$33)*K152))</f>
        <v>0</v>
      </c>
      <c r="N153" s="9" t="n">
        <f aca="false">(((((N41+N136)+N137)+N140)+N144)+((1-Assumptions!$C$33)*L152))</f>
        <v>0</v>
      </c>
      <c r="O153" s="9" t="n">
        <f aca="false">(((((O41+O136)+O137)+O140)+O144)+((1-Assumptions!$C$33)*M152))</f>
        <v>121.607982877657</v>
      </c>
      <c r="P153" s="9" t="n">
        <f aca="false">(((((P41+P136)+P137)+P140)+P144)+((1-Assumptions!$C$33)*N152))</f>
        <v>287.926957961313</v>
      </c>
      <c r="Q153" s="9" t="n">
        <f aca="false">(((((Q41+Q136)+Q137)+Q140)+Q144)+((1-Assumptions!$C$33)*O152))</f>
        <v>440.356712315043</v>
      </c>
      <c r="R153" s="9" t="n">
        <f aca="false">(((((R41+R136)+R137)+R140)+R144)+((1-Assumptions!$C$33)*P152))</f>
        <v>576.120353042797</v>
      </c>
      <c r="S153" s="9" t="n">
        <f aca="false">(((((S41+S136)+S137)+S140)+S144)+((1-Assumptions!$C$33)*Q152))</f>
        <v>703.425043098247</v>
      </c>
      <c r="T153" s="9" t="n">
        <f aca="false">(((((T41+T136)+T137)+T140)+T144)+((1-Assumptions!$C$33)*R152))</f>
        <v>809.68885595449</v>
      </c>
      <c r="U153" s="9" t="n">
        <f aca="false">(((((U41+U136)+U137)+U140)+U144)+((1-Assumptions!$C$33)*S152))</f>
        <v>904.248242156615</v>
      </c>
      <c r="V153" s="9" t="n">
        <f aca="false">(((((V41+V136)+V137)+V140)+V144)+((1-Assumptions!$C$33)*T152))</f>
        <v>55555.8393640509</v>
      </c>
      <c r="W153" s="9" t="n">
        <f aca="false">(((((W41+W136)+W137)+W140)+W144)+((1-Assumptions!$C$33)*U152))</f>
        <v>37326.3633547261</v>
      </c>
      <c r="X153" s="9" t="n">
        <f aca="false">(((((X41+X136)+X137)+X140)+X144)+((1-Assumptions!$C$33)*V152))</f>
        <v>1951.10272760288</v>
      </c>
      <c r="Y153" s="9" t="n">
        <f aca="false">(((((Y41+Y136)+Y137)+Y140)+Y144)+((1-Assumptions!$C$33)*W152))</f>
        <v>2127.63551564298</v>
      </c>
      <c r="Z153" s="9" t="n">
        <f aca="false">(((((Z41+Z136)+Z137)+Z140)+Z144)+((1-Assumptions!$C$33)*X152))</f>
        <v>113157.248914364</v>
      </c>
      <c r="AA153" s="9" t="n">
        <f aca="false">(((((AA41+AA136)+AA137)+AA140)+AA144)+((1-Assumptions!$C$33)*Y152))</f>
        <v>3454.73359832443</v>
      </c>
      <c r="AB153" s="9" t="n">
        <f aca="false">(((((AB41+AB136)+AB137)+AB140)+AB144)+((1-Assumptions!$C$33)*Z152))</f>
        <v>4830.21259319848</v>
      </c>
      <c r="AC153" s="9" t="n">
        <f aca="false">(((((AC41+AC136)+AC137)+AC140)+AC144)+((1-Assumptions!$C$33)*AA152))</f>
        <v>152570.551848673</v>
      </c>
      <c r="AD153" s="9" t="n">
        <f aca="false">(((((AD41+AD136)+AD137)+AD140)+AD144)+((1-Assumptions!$C$33)*AB152))</f>
        <v>15624.8260299691</v>
      </c>
      <c r="AE153" s="9" t="n">
        <f aca="false">(((((AE41+AE136)+AE137)+AE140)+AE144)+((1-Assumptions!$C$33)*AC152))</f>
        <v>8846.74923588485</v>
      </c>
      <c r="AF153" s="9" t="n">
        <f aca="false">(((((AF41+AF136)+AF137)+AF140)+AF144)+((1-Assumptions!$C$33)*AD152))</f>
        <v>156488.500449755</v>
      </c>
      <c r="AG153" s="9" t="n">
        <f aca="false">(((((AG41+AG136)+AG137)+AG140)+AG144)+((1-Assumptions!$C$33)*AE152))</f>
        <v>92907.3696107941</v>
      </c>
      <c r="AH153" s="9" t="n">
        <f aca="false">(((((AH41+AH136)+AH137)+AH140)+AH144)+((1-Assumptions!$C$33)*AF152))</f>
        <v>69931.8211617243</v>
      </c>
      <c r="AI153" s="9" t="n">
        <f aca="false">(((((AI41+AI136)+AI137)+AI140)+AI144)+((1-Assumptions!$C$33)*AG152))</f>
        <v>202417.746056737</v>
      </c>
      <c r="AJ153" s="9" t="n">
        <f aca="false">(((((AJ41+AJ136)+AJ137)+AJ140)+AJ144)+((1-Assumptions!$C$33)*AH152))</f>
        <v>230279.44996971</v>
      </c>
      <c r="AK153" s="9" t="n">
        <f aca="false">(((((AK41+AK136)+AK137)+AK140)+AK144)+((1-Assumptions!$C$33)*AI152))</f>
        <v>27031.8693725178</v>
      </c>
      <c r="AL153" s="9" t="n">
        <f aca="false">(((((AL41+AL136)+AL137)+AL140)+AL144)+((1-Assumptions!$C$33)*AJ152))</f>
        <v>286776.701967804</v>
      </c>
      <c r="AN153" s="11" t="n">
        <f aca="false">SUM(C153:N153)</f>
        <v>0</v>
      </c>
      <c r="AO153" s="11" t="n">
        <f aca="false">SUM(O153:Z153)</f>
        <v>213961.564023793</v>
      </c>
      <c r="AP153" s="11" t="n">
        <f aca="false">SUM(AA153:AL153)</f>
        <v>1251160.53189509</v>
      </c>
    </row>
    <row r="154" customFormat="false" ht="15" hidden="false" customHeight="false" outlineLevel="0" collapsed="false">
      <c r="A154" s="0" t="s">
        <v>958</v>
      </c>
      <c r="B154" s="0" t="s">
        <v>230</v>
      </c>
      <c r="C154" s="9" t="n">
        <f aca="false">((0+C151)-C146)</f>
        <v>0</v>
      </c>
      <c r="D154" s="9" t="n">
        <f aca="false">((C154+D151)-D146)</f>
        <v>0</v>
      </c>
      <c r="E154" s="9" t="n">
        <f aca="false">((D154+E151)-E146)</f>
        <v>0</v>
      </c>
      <c r="F154" s="9" t="n">
        <f aca="false">((E154+F151)-F146)</f>
        <v>0</v>
      </c>
      <c r="G154" s="9" t="n">
        <f aca="false">((F154+G151)-G146)</f>
        <v>0</v>
      </c>
      <c r="H154" s="9" t="n">
        <f aca="false">((G154+H151)-H146)</f>
        <v>0</v>
      </c>
      <c r="I154" s="9" t="n">
        <f aca="false">((H154+I151)-I146)</f>
        <v>0</v>
      </c>
      <c r="J154" s="9" t="n">
        <f aca="false">((I154+J151)-J146)</f>
        <v>0</v>
      </c>
      <c r="K154" s="9" t="n">
        <f aca="false">((J154+K151)-K146)</f>
        <v>0</v>
      </c>
      <c r="L154" s="9" t="n">
        <f aca="false">((K154+L151)-L146)</f>
        <v>0</v>
      </c>
      <c r="M154" s="9" t="n">
        <f aca="false">((L154+M151)-M146)</f>
        <v>0</v>
      </c>
      <c r="N154" s="9" t="n">
        <f aca="false">((M154+N151)-N146)</f>
        <v>0</v>
      </c>
      <c r="O154" s="9" t="n">
        <f aca="false">((N154+O151)-O146)</f>
        <v>95.6433060248176</v>
      </c>
      <c r="P154" s="9" t="n">
        <f aca="false">((O154+P151)-P146)</f>
        <v>300.49636212063</v>
      </c>
      <c r="Q154" s="9" t="n">
        <f aca="false">((P154+Q151)-Q146)</f>
        <v>577.655314223088</v>
      </c>
      <c r="R154" s="9" t="n">
        <f aca="false">((Q154+R151)-R146)</f>
        <v>894.70856507823</v>
      </c>
      <c r="S154" s="9" t="n">
        <f aca="false">((R154+S151)-S146)</f>
        <v>1231.6839378679</v>
      </c>
      <c r="T154" s="9" t="n">
        <f aca="false">((S154+T151)-T146)</f>
        <v>51656.1936164491</v>
      </c>
      <c r="U154" s="9" t="n">
        <f aca="false">((T154+U151)-U146)</f>
        <v>73912.2940862877</v>
      </c>
      <c r="V154" s="9" t="n">
        <f aca="false">((U154+V151)-V146)</f>
        <v>60164.3139628487</v>
      </c>
      <c r="W154" s="9" t="n">
        <f aca="false">((V154+W151)-W146)</f>
        <v>46495.6146456106</v>
      </c>
      <c r="X154" s="9" t="n">
        <f aca="false">((W154+X151)-X146)</f>
        <v>122072.796754395</v>
      </c>
      <c r="Y154" s="9" t="n">
        <f aca="false">((X154+Y151)-Y146)</f>
        <v>85632.1702517981</v>
      </c>
      <c r="Z154" s="9" t="n">
        <f aca="false">((Y154+Z151)-Z146)</f>
        <v>49144.7457872233</v>
      </c>
      <c r="AA154" s="9" t="n">
        <f aca="false">((Z154+AA151)-AA146)</f>
        <v>146146.386986376</v>
      </c>
      <c r="AB154" s="9" t="n">
        <f aca="false">((AA154+AB151)-AB146)</f>
        <v>103044.581058309</v>
      </c>
      <c r="AC154" s="9" t="n">
        <f aca="false">((AB154+AC151)-AC146)</f>
        <v>51484.2299983675</v>
      </c>
      <c r="AD154" s="9" t="n">
        <f aca="false">((AC154+AD151)-AD146)</f>
        <v>145422.641084955</v>
      </c>
      <c r="AE154" s="9" t="n">
        <f aca="false">((AD154+AE151)-AE146)</f>
        <v>159532.709138652</v>
      </c>
      <c r="AF154" s="9" t="n">
        <f aca="false">((AE154+AF151)-AF146)</f>
        <v>146498.273190678</v>
      </c>
      <c r="AG154" s="9" t="n">
        <f aca="false">((AF154+AG151)-AG146)</f>
        <v>254982.61084963</v>
      </c>
      <c r="AH154" s="9" t="n">
        <f aca="false">((AG154+AH151)-AH146)</f>
        <v>361656.469609885</v>
      </c>
      <c r="AI154" s="9" t="n">
        <f aca="false">((AH154+AI151)-AI146)</f>
        <v>259047.56891898</v>
      </c>
      <c r="AJ154" s="9" t="n">
        <f aca="false">((AI154+AJ151)-AJ146)</f>
        <v>393767.950760762</v>
      </c>
      <c r="AK154" s="9" t="n">
        <f aca="false">((AJ154+AK151)-AK146)</f>
        <v>504230.709682351</v>
      </c>
      <c r="AL154" s="9" t="n">
        <f aca="false">((AK154+AL151)-AL146)</f>
        <v>478464.629836522</v>
      </c>
      <c r="AN154" s="11" t="n">
        <f aca="false">N154</f>
        <v>0</v>
      </c>
      <c r="AO154" s="11" t="n">
        <f aca="false">Z154</f>
        <v>49144.7457872233</v>
      </c>
      <c r="AP154" s="11" t="n">
        <f aca="false">AL154</f>
        <v>478464.629836522</v>
      </c>
    </row>
    <row r="155" customFormat="false" ht="15" hidden="false" customHeight="false" outlineLevel="0" collapsed="false">
      <c r="A155" s="0" t="s">
        <v>959</v>
      </c>
      <c r="B155" s="0" t="s">
        <v>230</v>
      </c>
      <c r="C155" s="9" t="n">
        <f aca="false">((0+((1-Assumptions!$C$33)*C152))-((1-Assumptions!$C$33)*0))</f>
        <v>0</v>
      </c>
      <c r="D155" s="9" t="n">
        <f aca="false">((C155+((1-Assumptions!$C$33)*D152))-((1-Assumptions!$C$33)*0))</f>
        <v>0</v>
      </c>
      <c r="E155" s="9" t="n">
        <f aca="false">((D155+((1-Assumptions!$C$33)*E152))-((1-Assumptions!$C$33)*C152))</f>
        <v>0</v>
      </c>
      <c r="F155" s="9" t="n">
        <f aca="false">((E155+((1-Assumptions!$C$33)*F152))-((1-Assumptions!$C$33)*D152))</f>
        <v>0</v>
      </c>
      <c r="G155" s="9" t="n">
        <f aca="false">((F155+((1-Assumptions!$C$33)*G152))-((1-Assumptions!$C$33)*E152))</f>
        <v>0</v>
      </c>
      <c r="H155" s="9" t="n">
        <f aca="false">((G155+((1-Assumptions!$C$33)*H152))-((1-Assumptions!$C$33)*F152))</f>
        <v>0</v>
      </c>
      <c r="I155" s="9" t="n">
        <f aca="false">((H155+((1-Assumptions!$C$33)*I152))-((1-Assumptions!$C$33)*G152))</f>
        <v>0</v>
      </c>
      <c r="J155" s="9" t="n">
        <f aca="false">((I155+((1-Assumptions!$C$33)*J152))-((1-Assumptions!$C$33)*H152))</f>
        <v>0</v>
      </c>
      <c r="K155" s="9" t="n">
        <f aca="false">((J155+((1-Assumptions!$C$33)*K152))-((1-Assumptions!$C$33)*I152))</f>
        <v>0</v>
      </c>
      <c r="L155" s="9" t="n">
        <f aca="false">((K155+((1-Assumptions!$C$33)*L152))-((1-Assumptions!$C$33)*J152))</f>
        <v>0</v>
      </c>
      <c r="M155" s="9" t="n">
        <f aca="false">((L155+((1-Assumptions!$C$33)*M152))-((1-Assumptions!$C$33)*K152))</f>
        <v>0</v>
      </c>
      <c r="N155" s="9" t="n">
        <f aca="false">((M155+((1-Assumptions!$C$33)*N152))-((1-Assumptions!$C$33)*L152))</f>
        <v>0</v>
      </c>
      <c r="O155" s="9" t="n">
        <f aca="false">((N155+((1-Assumptions!$C$33)*O152))-((1-Assumptions!$C$33)*M152))</f>
        <v>0</v>
      </c>
      <c r="P155" s="9" t="n">
        <f aca="false">((O155+((1-Assumptions!$C$33)*P152))-((1-Assumptions!$C$33)*N152))</f>
        <v>0</v>
      </c>
      <c r="Q155" s="9" t="n">
        <f aca="false">((P155+((1-Assumptions!$C$33)*Q152))-((1-Assumptions!$C$33)*O152))</f>
        <v>0</v>
      </c>
      <c r="R155" s="9" t="n">
        <f aca="false">((Q155+((1-Assumptions!$C$33)*R152))-((1-Assumptions!$C$33)*P152))</f>
        <v>0</v>
      </c>
      <c r="S155" s="9" t="n">
        <f aca="false">((R155+((1-Assumptions!$C$33)*S152))-((1-Assumptions!$C$33)*Q152))</f>
        <v>0</v>
      </c>
      <c r="T155" s="9" t="n">
        <f aca="false">((S155+((1-Assumptions!$C$33)*T152))-((1-Assumptions!$C$33)*R152))</f>
        <v>54101.52</v>
      </c>
      <c r="U155" s="9" t="n">
        <f aca="false">((T155+((1-Assumptions!$C$33)*U152))-((1-Assumptions!$C$33)*S152))</f>
        <v>89741.52</v>
      </c>
      <c r="V155" s="9" t="n">
        <f aca="false">((U155+((1-Assumptions!$C$33)*V152))-((1-Assumptions!$C$33)*T152))</f>
        <v>35640</v>
      </c>
      <c r="W155" s="9" t="n">
        <f aca="false">((V155+((1-Assumptions!$C$33)*W152))-((1-Assumptions!$C$33)*U152))</f>
        <v>0</v>
      </c>
      <c r="X155" s="9" t="n">
        <f aca="false">((W155+((1-Assumptions!$C$33)*X152))-((1-Assumptions!$C$33)*V152))</f>
        <v>110880</v>
      </c>
      <c r="Y155" s="9" t="n">
        <f aca="false">((X155+((1-Assumptions!$C$33)*Y152))-((1-Assumptions!$C$33)*W152))</f>
        <v>110880</v>
      </c>
      <c r="Z155" s="9" t="n">
        <f aca="false">((Y155+((1-Assumptions!$C$33)*Z152))-((1-Assumptions!$C$33)*X152))</f>
        <v>0</v>
      </c>
      <c r="AA155" s="9" t="n">
        <f aca="false">((Z155+((1-Assumptions!$C$33)*AA152))-((1-Assumptions!$C$33)*Y152))</f>
        <v>146520</v>
      </c>
      <c r="AB155" s="9" t="n">
        <f aca="false">((AA155+((1-Assumptions!$C$33)*AB152))-((1-Assumptions!$C$33)*Z152))</f>
        <v>154939.95</v>
      </c>
      <c r="AC155" s="9" t="n">
        <f aca="false">((AB155+((1-Assumptions!$C$33)*AC152))-((1-Assumptions!$C$33)*AA152))</f>
        <v>8419.95000000001</v>
      </c>
      <c r="AD155" s="9" t="n">
        <f aca="false">((AC155+((1-Assumptions!$C$33)*AD152))-((1-Assumptions!$C$33)*AB152))</f>
        <v>146520</v>
      </c>
      <c r="AE155" s="9" t="n">
        <f aca="false">((AD155+((1-Assumptions!$C$33)*AE152))-((1-Assumptions!$C$33)*AC152))</f>
        <v>225842.76</v>
      </c>
      <c r="AF155" s="9" t="n">
        <f aca="false">((AE155+((1-Assumptions!$C$33)*AF152))-((1-Assumptions!$C$33)*AD152))</f>
        <v>131693.03136</v>
      </c>
      <c r="AG155" s="9" t="n">
        <f aca="false">((AF155+((1-Assumptions!$C$33)*AG152))-((1-Assumptions!$C$33)*AE152))</f>
        <v>234530.27136</v>
      </c>
      <c r="AH155" s="9" t="n">
        <f aca="false">((AG155+((1-Assumptions!$C$33)*AH152))-((1-Assumptions!$C$33)*AF152))</f>
        <v>389494.71</v>
      </c>
      <c r="AI155" s="9" t="n">
        <f aca="false">((AH155+((1-Assumptions!$C$33)*AI152))-((1-Assumptions!$C$33)*AG152))</f>
        <v>207334.71</v>
      </c>
      <c r="AJ155" s="9" t="n">
        <f aca="false">((AI155+((1-Assumptions!$C$33)*AJ152))-((1-Assumptions!$C$33)*AH152))</f>
        <v>257400</v>
      </c>
      <c r="AK155" s="9" t="n">
        <f aca="false">((AJ155+((1-Assumptions!$C$33)*AK152))-((1-Assumptions!$C$33)*AI152))</f>
        <v>511660.71</v>
      </c>
      <c r="AL155" s="9" t="n">
        <f aca="false">((AK155+((1-Assumptions!$C$33)*AL152))-((1-Assumptions!$C$33)*AJ152))</f>
        <v>418600.71</v>
      </c>
      <c r="AN155" s="11" t="n">
        <f aca="false">N155</f>
        <v>0</v>
      </c>
      <c r="AO155" s="11" t="n">
        <f aca="false">Z155</f>
        <v>0</v>
      </c>
      <c r="AP155" s="11" t="n">
        <f aca="false">AL155</f>
        <v>418600.71</v>
      </c>
    </row>
    <row r="156" customFormat="false" ht="15" hidden="false" customHeight="false" outlineLevel="0" collapsed="false">
      <c r="A156" s="21" t="s">
        <v>29</v>
      </c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</row>
    <row r="157" customFormat="false" ht="15" hidden="false" customHeight="false" outlineLevel="0" collapsed="false">
      <c r="A157" s="0" t="s">
        <v>960</v>
      </c>
      <c r="B157" s="0" t="s">
        <v>500</v>
      </c>
      <c r="C157" s="9" t="n">
        <f aca="false">((C29+C39)+C126)</f>
        <v>234</v>
      </c>
      <c r="D157" s="9" t="n">
        <f aca="false">((D29+D39)+D126)</f>
        <v>415.8</v>
      </c>
      <c r="E157" s="9" t="n">
        <f aca="false">((E29+E39)+E126)</f>
        <v>547.9272</v>
      </c>
      <c r="F157" s="9" t="n">
        <f aca="false">((F29+F39)+F126)</f>
        <v>653.68224</v>
      </c>
      <c r="G157" s="9" t="n">
        <f aca="false">((G29+G39)+G126)</f>
        <v>921.58788288</v>
      </c>
      <c r="H157" s="9" t="n">
        <f aca="false">((H29+H39)+H126)</f>
        <v>956.6376389184</v>
      </c>
      <c r="I157" s="9" t="n">
        <f aca="false">((I29+I39)+I126)</f>
        <v>1045.77453039245</v>
      </c>
      <c r="J157" s="9" t="n">
        <f aca="false">((J29+J39)+J126)</f>
        <v>2253.52710133487</v>
      </c>
      <c r="K157" s="9" t="n">
        <f aca="false">((K29+K39)+K126)</f>
        <v>2629.71062532268</v>
      </c>
      <c r="L157" s="9" t="n">
        <f aca="false">((L29+L39)+L126)</f>
        <v>2778.86218416649</v>
      </c>
      <c r="M157" s="9" t="n">
        <f aca="false">((M29+M39)+M126)</f>
        <v>2655.71604890645</v>
      </c>
      <c r="N157" s="9" t="n">
        <f aca="false">((N29+N39)+N126)</f>
        <v>2681.21574138794</v>
      </c>
      <c r="O157" s="9" t="n">
        <f aca="false">((O29+O39)+O126)</f>
        <v>4912.34960104743</v>
      </c>
      <c r="P157" s="9" t="n">
        <f aca="false">((P29+P39)+P126)</f>
        <v>5779.41951510284</v>
      </c>
      <c r="Q157" s="9" t="n">
        <f aca="false">((Q29+Q39)+Q126)</f>
        <v>7070.92311691539</v>
      </c>
      <c r="R157" s="9" t="n">
        <f aca="false">((R29+R39)+R126)</f>
        <v>8104.20611982385</v>
      </c>
      <c r="S157" s="9" t="n">
        <f aca="false">((S29+S39)+S126)</f>
        <v>8733.65742214197</v>
      </c>
      <c r="T157" s="9" t="n">
        <f aca="false">((T29+T39)+T126)</f>
        <v>10830.321709807</v>
      </c>
      <c r="U157" s="9" t="n">
        <f aca="false">((U29+U39)+U126)</f>
        <v>11808.4559916758</v>
      </c>
      <c r="V157" s="9" t="n">
        <f aca="false">((V29+V39)+V126)</f>
        <v>14220.1902436989</v>
      </c>
      <c r="W157" s="9" t="n">
        <f aca="false">((W29+W39)+W126)</f>
        <v>16853.3788978449</v>
      </c>
      <c r="X157" s="9" t="n">
        <f aca="false">((X29+X39)+X126)</f>
        <v>18982.0317586701</v>
      </c>
      <c r="Y157" s="9" t="n">
        <f aca="false">((Y29+Y39)+Y126)</f>
        <v>19571.797660095</v>
      </c>
      <c r="Z157" s="9" t="n">
        <f aca="false">((Z29+Z39)+Z126)</f>
        <v>19732.2146141107</v>
      </c>
      <c r="AA157" s="9" t="n">
        <f aca="false">((AA29+AA39)+AA126)</f>
        <v>22744.9305705319</v>
      </c>
      <c r="AB157" s="9" t="n">
        <f aca="false">((AB29+AB39)+AB126)</f>
        <v>24326.5381643279</v>
      </c>
      <c r="AC157" s="9" t="n">
        <f aca="false">((AC29+AC39)+AC126)</f>
        <v>25075.2987044291</v>
      </c>
      <c r="AD157" s="9" t="n">
        <f aca="false">((AD29+AD39)+AD126)</f>
        <v>25758.667961311</v>
      </c>
      <c r="AE157" s="9" t="n">
        <f aca="false">((AE29+AE39)+AE126)</f>
        <v>27614.0136580742</v>
      </c>
      <c r="AF157" s="9" t="n">
        <f aca="false">((AF29+AF39)+AF126)</f>
        <v>27175.9164644701</v>
      </c>
      <c r="AG157" s="9" t="n">
        <f aca="false">((AG29+AG39)+AG126)</f>
        <v>27732.4147077608</v>
      </c>
      <c r="AH157" s="9" t="n">
        <f aca="false">((AH29+AH39)+AH126)</f>
        <v>35137.8829168581</v>
      </c>
      <c r="AI157" s="9" t="n">
        <f aca="false">((AI29+AI39)+AI126)</f>
        <v>38215.8209295417</v>
      </c>
      <c r="AJ157" s="9" t="n">
        <f aca="false">((AJ29+AJ39)+AJ126)</f>
        <v>40174.0138969661</v>
      </c>
      <c r="AK157" s="9" t="n">
        <f aca="false">((AK29+AK39)+AK126)</f>
        <v>45701.438956784</v>
      </c>
      <c r="AL157" s="9" t="n">
        <f aca="false">((AL29+AL39)+AL126)</f>
        <v>48573.3859028581</v>
      </c>
      <c r="AN157" s="11" t="n">
        <f aca="false">N157</f>
        <v>2681.21574138794</v>
      </c>
      <c r="AO157" s="11" t="n">
        <f aca="false">Z157</f>
        <v>19732.2146141107</v>
      </c>
      <c r="AP157" s="11" t="n">
        <f aca="false">AL157</f>
        <v>48573.3859028581</v>
      </c>
    </row>
    <row r="158" customFormat="false" ht="15" hidden="false" customHeight="false" outlineLevel="0" collapsed="false">
      <c r="A158" s="0" t="s">
        <v>961</v>
      </c>
      <c r="B158" s="0" t="s">
        <v>230</v>
      </c>
      <c r="C158" s="9" t="n">
        <f aca="false">(C157*Assumptions!$C$58)</f>
        <v>7.02</v>
      </c>
      <c r="D158" s="9" t="n">
        <f aca="false">(D157*Assumptions!$C$58)</f>
        <v>12.474</v>
      </c>
      <c r="E158" s="9" t="n">
        <f aca="false">(E157*Assumptions!$C$58)</f>
        <v>16.437816</v>
      </c>
      <c r="F158" s="9" t="n">
        <f aca="false">(F157*Assumptions!$C$58)</f>
        <v>19.6104672</v>
      </c>
      <c r="G158" s="9" t="n">
        <f aca="false">(G157*Assumptions!$C$58)</f>
        <v>27.6476364864</v>
      </c>
      <c r="H158" s="9" t="n">
        <f aca="false">(H157*Assumptions!$C$58)</f>
        <v>28.699129167552</v>
      </c>
      <c r="I158" s="9" t="n">
        <f aca="false">(I157*Assumptions!$C$58)</f>
        <v>31.3732359117734</v>
      </c>
      <c r="J158" s="9" t="n">
        <f aca="false">(J157*Assumptions!$C$58)</f>
        <v>67.605813040046</v>
      </c>
      <c r="K158" s="9" t="n">
        <f aca="false">(K157*Assumptions!$C$58)</f>
        <v>78.8913187596803</v>
      </c>
      <c r="L158" s="9" t="n">
        <f aca="false">(L157*Assumptions!$C$58)</f>
        <v>83.3658655249946</v>
      </c>
      <c r="M158" s="9" t="n">
        <f aca="false">(M157*Assumptions!$C$58)</f>
        <v>79.6714814671935</v>
      </c>
      <c r="N158" s="9" t="n">
        <f aca="false">(N157*Assumptions!$C$58)</f>
        <v>80.4364722416382</v>
      </c>
      <c r="O158" s="9" t="n">
        <f aca="false">(O157*Assumptions!$C$58)</f>
        <v>147.370488031423</v>
      </c>
      <c r="P158" s="9" t="n">
        <f aca="false">(P157*Assumptions!$C$58)</f>
        <v>173.382585453085</v>
      </c>
      <c r="Q158" s="9" t="n">
        <f aca="false">(Q157*Assumptions!$C$58)</f>
        <v>212.127693507462</v>
      </c>
      <c r="R158" s="9" t="n">
        <f aca="false">(R157*Assumptions!$C$58)</f>
        <v>243.126183594716</v>
      </c>
      <c r="S158" s="9" t="n">
        <f aca="false">(S157*Assumptions!$C$58)</f>
        <v>262.009722664259</v>
      </c>
      <c r="T158" s="9" t="n">
        <f aca="false">(T157*Assumptions!$C$58)</f>
        <v>324.90965129421</v>
      </c>
      <c r="U158" s="9" t="n">
        <f aca="false">(U157*Assumptions!$C$58)</f>
        <v>354.253679750273</v>
      </c>
      <c r="V158" s="9" t="n">
        <f aca="false">(V157*Assumptions!$C$58)</f>
        <v>426.605707310967</v>
      </c>
      <c r="W158" s="9" t="n">
        <f aca="false">(W157*Assumptions!$C$58)</f>
        <v>505.601366935346</v>
      </c>
      <c r="X158" s="9" t="n">
        <f aca="false">(X157*Assumptions!$C$58)</f>
        <v>569.460952760103</v>
      </c>
      <c r="Y158" s="9" t="n">
        <f aca="false">(Y157*Assumptions!$C$58)</f>
        <v>587.153929802851</v>
      </c>
      <c r="Z158" s="9" t="n">
        <f aca="false">(Z157*Assumptions!$C$58)</f>
        <v>591.96643842332</v>
      </c>
      <c r="AA158" s="9" t="n">
        <f aca="false">(AA157*Assumptions!$C$58)</f>
        <v>682.347917115958</v>
      </c>
      <c r="AB158" s="9" t="n">
        <f aca="false">(AB157*Assumptions!$C$58)</f>
        <v>729.796144929836</v>
      </c>
      <c r="AC158" s="9" t="n">
        <f aca="false">(AC157*Assumptions!$C$58)</f>
        <v>752.258961132873</v>
      </c>
      <c r="AD158" s="9" t="n">
        <f aca="false">(AD157*Assumptions!$C$58)</f>
        <v>772.760038839331</v>
      </c>
      <c r="AE158" s="9" t="n">
        <f aca="false">(AE157*Assumptions!$C$58)</f>
        <v>828.420409742227</v>
      </c>
      <c r="AF158" s="9" t="n">
        <f aca="false">(AF157*Assumptions!$C$58)</f>
        <v>815.277493934104</v>
      </c>
      <c r="AG158" s="9" t="n">
        <f aca="false">(AG157*Assumptions!$C$58)</f>
        <v>831.972441232823</v>
      </c>
      <c r="AH158" s="9" t="n">
        <f aca="false">(AH157*Assumptions!$C$58)</f>
        <v>1054.13648750574</v>
      </c>
      <c r="AI158" s="9" t="n">
        <f aca="false">(AI157*Assumptions!$C$58)</f>
        <v>1146.47462788625</v>
      </c>
      <c r="AJ158" s="9" t="n">
        <f aca="false">(AJ157*Assumptions!$C$58)</f>
        <v>1205.22041690898</v>
      </c>
      <c r="AK158" s="9" t="n">
        <f aca="false">(AK157*Assumptions!$C$58)</f>
        <v>1371.04316870352</v>
      </c>
      <c r="AL158" s="9" t="n">
        <f aca="false">(AL157*Assumptions!$C$58)</f>
        <v>1457.20157708574</v>
      </c>
      <c r="AN158" s="11" t="n">
        <f aca="false">SUM(C158:N158)</f>
        <v>533.233235799278</v>
      </c>
      <c r="AO158" s="11" t="n">
        <f aca="false">SUM(O158:Z158)</f>
        <v>4397.96839952802</v>
      </c>
      <c r="AP158" s="11" t="n">
        <f aca="false">SUM(AA158:AL158)</f>
        <v>11646.9096850174</v>
      </c>
    </row>
    <row r="159" customFormat="false" ht="15" hidden="false" customHeight="false" outlineLevel="0" collapsed="false">
      <c r="A159" s="0" t="s">
        <v>962</v>
      </c>
      <c r="B159" s="0" t="s">
        <v>230</v>
      </c>
      <c r="C159" s="9" t="n">
        <f aca="false">(((C157*Assumptions!$C$59)*Assumptions!$C$60)*Assumptions!$C$61)</f>
        <v>3.9312</v>
      </c>
      <c r="D159" s="9" t="n">
        <f aca="false">(((D157*Assumptions!$C$59)*Assumptions!$C$60)*Assumptions!$C$61)</f>
        <v>6.98544</v>
      </c>
      <c r="E159" s="9" t="n">
        <f aca="false">(((E157*Assumptions!$C$59)*Assumptions!$C$60)*Assumptions!$C$61)</f>
        <v>9.20517696</v>
      </c>
      <c r="F159" s="9" t="n">
        <f aca="false">(((F157*Assumptions!$C$59)*Assumptions!$C$60)*Assumptions!$C$61)</f>
        <v>10.981861632</v>
      </c>
      <c r="G159" s="9" t="n">
        <f aca="false">(((G157*Assumptions!$C$59)*Assumptions!$C$60)*Assumptions!$C$61)</f>
        <v>15.482676432384</v>
      </c>
      <c r="H159" s="9" t="n">
        <f aca="false">(((H157*Assumptions!$C$59)*Assumptions!$C$60)*Assumptions!$C$61)</f>
        <v>16.0715123338291</v>
      </c>
      <c r="I159" s="9" t="n">
        <f aca="false">(((I157*Assumptions!$C$59)*Assumptions!$C$60)*Assumptions!$C$61)</f>
        <v>17.5690121105931</v>
      </c>
      <c r="J159" s="9" t="n">
        <f aca="false">(((J157*Assumptions!$C$59)*Assumptions!$C$60)*Assumptions!$C$61)</f>
        <v>37.8592553024258</v>
      </c>
      <c r="K159" s="9" t="n">
        <f aca="false">(((K157*Assumptions!$C$59)*Assumptions!$C$60)*Assumptions!$C$61)</f>
        <v>44.1791385054209</v>
      </c>
      <c r="L159" s="9" t="n">
        <f aca="false">(((L157*Assumptions!$C$59)*Assumptions!$C$60)*Assumptions!$C$61)</f>
        <v>46.684884693997</v>
      </c>
      <c r="M159" s="9" t="n">
        <f aca="false">(((M157*Assumptions!$C$59)*Assumptions!$C$60)*Assumptions!$C$61)</f>
        <v>44.6160296216284</v>
      </c>
      <c r="N159" s="9" t="n">
        <f aca="false">(((N157*Assumptions!$C$59)*Assumptions!$C$60)*Assumptions!$C$61)</f>
        <v>45.0444244553174</v>
      </c>
      <c r="O159" s="9" t="n">
        <f aca="false">(((O157*Assumptions!$C$59)*Assumptions!$C$60)*Assumptions!$C$61)</f>
        <v>82.5274732975968</v>
      </c>
      <c r="P159" s="9" t="n">
        <f aca="false">(((P157*Assumptions!$C$59)*Assumptions!$C$60)*Assumptions!$C$61)</f>
        <v>97.0942478537278</v>
      </c>
      <c r="Q159" s="9" t="n">
        <f aca="false">(((Q157*Assumptions!$C$59)*Assumptions!$C$60)*Assumptions!$C$61)</f>
        <v>118.791508364179</v>
      </c>
      <c r="R159" s="9" t="n">
        <f aca="false">(((R157*Assumptions!$C$59)*Assumptions!$C$60)*Assumptions!$C$61)</f>
        <v>136.150662813041</v>
      </c>
      <c r="S159" s="9" t="n">
        <f aca="false">(((S157*Assumptions!$C$59)*Assumptions!$C$60)*Assumptions!$C$61)</f>
        <v>146.725444691985</v>
      </c>
      <c r="T159" s="9" t="n">
        <f aca="false">(((T157*Assumptions!$C$59)*Assumptions!$C$60)*Assumptions!$C$61)</f>
        <v>181.949404724758</v>
      </c>
      <c r="U159" s="9" t="n">
        <f aca="false">(((U157*Assumptions!$C$59)*Assumptions!$C$60)*Assumptions!$C$61)</f>
        <v>198.382060660153</v>
      </c>
      <c r="V159" s="9" t="n">
        <f aca="false">(((V157*Assumptions!$C$59)*Assumptions!$C$60)*Assumptions!$C$61)</f>
        <v>238.899196094142</v>
      </c>
      <c r="W159" s="9" t="n">
        <f aca="false">(((W157*Assumptions!$C$59)*Assumptions!$C$60)*Assumptions!$C$61)</f>
        <v>283.136765483794</v>
      </c>
      <c r="X159" s="9" t="n">
        <f aca="false">(((X157*Assumptions!$C$59)*Assumptions!$C$60)*Assumptions!$C$61)</f>
        <v>318.898133545658</v>
      </c>
      <c r="Y159" s="9" t="n">
        <f aca="false">(((Y157*Assumptions!$C$59)*Assumptions!$C$60)*Assumptions!$C$61)</f>
        <v>328.806200689597</v>
      </c>
      <c r="Z159" s="9" t="n">
        <f aca="false">(((Z157*Assumptions!$C$59)*Assumptions!$C$60)*Assumptions!$C$61)</f>
        <v>331.501205517059</v>
      </c>
      <c r="AA159" s="9" t="n">
        <f aca="false">(((AA157*Assumptions!$C$59)*Assumptions!$C$60)*Assumptions!$C$61)</f>
        <v>382.114833584936</v>
      </c>
      <c r="AB159" s="9" t="n">
        <f aca="false">(((AB157*Assumptions!$C$59)*Assumptions!$C$60)*Assumptions!$C$61)</f>
        <v>408.685841160708</v>
      </c>
      <c r="AC159" s="9" t="n">
        <f aca="false">(((AC157*Assumptions!$C$59)*Assumptions!$C$60)*Assumptions!$C$61)</f>
        <v>421.265018234409</v>
      </c>
      <c r="AD159" s="9" t="n">
        <f aca="false">(((AD157*Assumptions!$C$59)*Assumptions!$C$60)*Assumptions!$C$61)</f>
        <v>432.745621750025</v>
      </c>
      <c r="AE159" s="9" t="n">
        <f aca="false">(((AE157*Assumptions!$C$59)*Assumptions!$C$60)*Assumptions!$C$61)</f>
        <v>463.915429455647</v>
      </c>
      <c r="AF159" s="9" t="n">
        <f aca="false">(((AF157*Assumptions!$C$59)*Assumptions!$C$60)*Assumptions!$C$61)</f>
        <v>456.555396603099</v>
      </c>
      <c r="AG159" s="9" t="n">
        <f aca="false">(((AG157*Assumptions!$C$59)*Assumptions!$C$60)*Assumptions!$C$61)</f>
        <v>465.904567090381</v>
      </c>
      <c r="AH159" s="9" t="n">
        <f aca="false">(((AH157*Assumptions!$C$59)*Assumptions!$C$60)*Assumptions!$C$61)</f>
        <v>590.316433003216</v>
      </c>
      <c r="AI159" s="9" t="n">
        <f aca="false">(((AI157*Assumptions!$C$59)*Assumptions!$C$60)*Assumptions!$C$61)</f>
        <v>642.025791616301</v>
      </c>
      <c r="AJ159" s="9" t="n">
        <f aca="false">(((AJ157*Assumptions!$C$59)*Assumptions!$C$60)*Assumptions!$C$61)</f>
        <v>674.923433469031</v>
      </c>
      <c r="AK159" s="9" t="n">
        <f aca="false">(((AK157*Assumptions!$C$59)*Assumptions!$C$60)*Assumptions!$C$61)</f>
        <v>767.784174473971</v>
      </c>
      <c r="AL159" s="9" t="n">
        <f aca="false">(((AL157*Assumptions!$C$59)*Assumptions!$C$60)*Assumptions!$C$61)</f>
        <v>816.032883168017</v>
      </c>
      <c r="AN159" s="11" t="n">
        <f aca="false">SUM(C159:N159)</f>
        <v>298.610612047596</v>
      </c>
      <c r="AO159" s="11" t="n">
        <f aca="false">SUM(O159:Z159)</f>
        <v>2462.86230373569</v>
      </c>
      <c r="AP159" s="11" t="n">
        <f aca="false">SUM(AA159:AL159)</f>
        <v>6522.26942360974</v>
      </c>
    </row>
    <row r="160" customFormat="false" ht="15" hidden="false" customHeight="false" outlineLevel="0" collapsed="false">
      <c r="A160" s="0" t="s">
        <v>963</v>
      </c>
      <c r="B160" s="0" t="s">
        <v>230</v>
      </c>
      <c r="C160" s="9" t="n">
        <f aca="false">(((C157*Assumptions!$C$62)*Assumptions!$C$63)*(1-Assumptions!$C$64))</f>
        <v>5.265</v>
      </c>
      <c r="D160" s="9" t="n">
        <f aca="false">(((D157*Assumptions!$C$62)*Assumptions!$C$63)*(1-Assumptions!$C$64))</f>
        <v>9.3555</v>
      </c>
      <c r="E160" s="9" t="n">
        <f aca="false">(((E157*Assumptions!$C$62)*Assumptions!$C$63)*(1-Assumptions!$C$64))</f>
        <v>12.328362</v>
      </c>
      <c r="F160" s="9" t="n">
        <f aca="false">(((F157*Assumptions!$C$62)*Assumptions!$C$63)*(1-Assumptions!$C$64))</f>
        <v>14.7078504</v>
      </c>
      <c r="G160" s="9" t="n">
        <f aca="false">(((G157*Assumptions!$C$62)*Assumptions!$C$63)*(1-Assumptions!$C$64))</f>
        <v>20.7357273648</v>
      </c>
      <c r="H160" s="9" t="n">
        <f aca="false">(((H157*Assumptions!$C$62)*Assumptions!$C$63)*(1-Assumptions!$C$64))</f>
        <v>21.524346875664</v>
      </c>
      <c r="I160" s="9" t="n">
        <f aca="false">(((I157*Assumptions!$C$62)*Assumptions!$C$63)*(1-Assumptions!$C$64))</f>
        <v>23.5299269338301</v>
      </c>
      <c r="J160" s="9" t="n">
        <f aca="false">(((J157*Assumptions!$C$62)*Assumptions!$C$63)*(1-Assumptions!$C$64))</f>
        <v>50.7043597800345</v>
      </c>
      <c r="K160" s="9" t="n">
        <f aca="false">(((K157*Assumptions!$C$62)*Assumptions!$C$63)*(1-Assumptions!$C$64))</f>
        <v>59.1684890697602</v>
      </c>
      <c r="L160" s="9" t="n">
        <f aca="false">(((L157*Assumptions!$C$62)*Assumptions!$C$63)*(1-Assumptions!$C$64))</f>
        <v>62.524399143746</v>
      </c>
      <c r="M160" s="9" t="n">
        <f aca="false">(((M157*Assumptions!$C$62)*Assumptions!$C$63)*(1-Assumptions!$C$64))</f>
        <v>59.7536111003952</v>
      </c>
      <c r="N160" s="9" t="n">
        <f aca="false">(((N157*Assumptions!$C$62)*Assumptions!$C$63)*(1-Assumptions!$C$64))</f>
        <v>60.3273541812287</v>
      </c>
      <c r="O160" s="9" t="n">
        <f aca="false">(((O157*Assumptions!$C$62)*Assumptions!$C$63)*(1-Assumptions!$C$64))</f>
        <v>110.527866023567</v>
      </c>
      <c r="P160" s="9" t="n">
        <f aca="false">(((P157*Assumptions!$C$62)*Assumptions!$C$63)*(1-Assumptions!$C$64))</f>
        <v>130.036939089814</v>
      </c>
      <c r="Q160" s="9" t="n">
        <f aca="false">(((Q157*Assumptions!$C$62)*Assumptions!$C$63)*(1-Assumptions!$C$64))</f>
        <v>159.095770130596</v>
      </c>
      <c r="R160" s="9" t="n">
        <f aca="false">(((R157*Assumptions!$C$62)*Assumptions!$C$63)*(1-Assumptions!$C$64))</f>
        <v>182.344637696037</v>
      </c>
      <c r="S160" s="9" t="n">
        <f aca="false">(((S157*Assumptions!$C$62)*Assumptions!$C$63)*(1-Assumptions!$C$64))</f>
        <v>196.507291998194</v>
      </c>
      <c r="T160" s="9" t="n">
        <f aca="false">(((T157*Assumptions!$C$62)*Assumptions!$C$63)*(1-Assumptions!$C$64))</f>
        <v>243.682238470658</v>
      </c>
      <c r="U160" s="9" t="n">
        <f aca="false">(((U157*Assumptions!$C$62)*Assumptions!$C$63)*(1-Assumptions!$C$64))</f>
        <v>265.690259812704</v>
      </c>
      <c r="V160" s="9" t="n">
        <f aca="false">(((V157*Assumptions!$C$62)*Assumptions!$C$63)*(1-Assumptions!$C$64))</f>
        <v>319.954280483225</v>
      </c>
      <c r="W160" s="9" t="n">
        <f aca="false">(((W157*Assumptions!$C$62)*Assumptions!$C$63)*(1-Assumptions!$C$64))</f>
        <v>379.20102520151</v>
      </c>
      <c r="X160" s="9" t="n">
        <f aca="false">(((X157*Assumptions!$C$62)*Assumptions!$C$63)*(1-Assumptions!$C$64))</f>
        <v>427.095714570077</v>
      </c>
      <c r="Y160" s="9" t="n">
        <f aca="false">(((Y157*Assumptions!$C$62)*Assumptions!$C$63)*(1-Assumptions!$C$64))</f>
        <v>440.365447352138</v>
      </c>
      <c r="Z160" s="9" t="n">
        <f aca="false">(((Z157*Assumptions!$C$62)*Assumptions!$C$63)*(1-Assumptions!$C$64))</f>
        <v>443.97482881749</v>
      </c>
      <c r="AA160" s="9" t="n">
        <f aca="false">(((AA157*Assumptions!$C$62)*Assumptions!$C$63)*(1-Assumptions!$C$64))</f>
        <v>511.760937836968</v>
      </c>
      <c r="AB160" s="9" t="n">
        <f aca="false">(((AB157*Assumptions!$C$62)*Assumptions!$C$63)*(1-Assumptions!$C$64))</f>
        <v>547.347108697377</v>
      </c>
      <c r="AC160" s="9" t="n">
        <f aca="false">(((AC157*Assumptions!$C$62)*Assumptions!$C$63)*(1-Assumptions!$C$64))</f>
        <v>564.194220849655</v>
      </c>
      <c r="AD160" s="9" t="n">
        <f aca="false">(((AD157*Assumptions!$C$62)*Assumptions!$C$63)*(1-Assumptions!$C$64))</f>
        <v>579.570029129498</v>
      </c>
      <c r="AE160" s="9" t="n">
        <f aca="false">(((AE157*Assumptions!$C$62)*Assumptions!$C$63)*(1-Assumptions!$C$64))</f>
        <v>621.31530730667</v>
      </c>
      <c r="AF160" s="9" t="n">
        <f aca="false">(((AF157*Assumptions!$C$62)*Assumptions!$C$63)*(1-Assumptions!$C$64))</f>
        <v>611.458120450578</v>
      </c>
      <c r="AG160" s="9" t="n">
        <f aca="false">(((AG157*Assumptions!$C$62)*Assumptions!$C$63)*(1-Assumptions!$C$64))</f>
        <v>623.979330924617</v>
      </c>
      <c r="AH160" s="9" t="n">
        <f aca="false">(((AH157*Assumptions!$C$62)*Assumptions!$C$63)*(1-Assumptions!$C$64))</f>
        <v>790.602365629308</v>
      </c>
      <c r="AI160" s="9" t="n">
        <f aca="false">(((AI157*Assumptions!$C$62)*Assumptions!$C$63)*(1-Assumptions!$C$64))</f>
        <v>859.855970914688</v>
      </c>
      <c r="AJ160" s="9" t="n">
        <f aca="false">(((AJ157*Assumptions!$C$62)*Assumptions!$C$63)*(1-Assumptions!$C$64))</f>
        <v>903.915312681738</v>
      </c>
      <c r="AK160" s="9" t="n">
        <f aca="false">(((AK157*Assumptions!$C$62)*Assumptions!$C$63)*(1-Assumptions!$C$64))</f>
        <v>1028.28237652764</v>
      </c>
      <c r="AL160" s="9" t="n">
        <f aca="false">(((AL157*Assumptions!$C$62)*Assumptions!$C$63)*(1-Assumptions!$C$64))</f>
        <v>1092.90118281431</v>
      </c>
      <c r="AN160" s="11" t="n">
        <f aca="false">SUM(C160:N160)</f>
        <v>399.924926849459</v>
      </c>
      <c r="AO160" s="11" t="n">
        <f aca="false">SUM(O160:Z160)</f>
        <v>3298.47629964601</v>
      </c>
      <c r="AP160" s="11" t="n">
        <f aca="false">SUM(AA160:AL160)</f>
        <v>8735.18226376305</v>
      </c>
    </row>
    <row r="161" customFormat="false" ht="15" hidden="false" customHeight="false" outlineLevel="0" collapsed="false">
      <c r="A161" s="0" t="s">
        <v>964</v>
      </c>
      <c r="B161" s="0" t="s">
        <v>230</v>
      </c>
      <c r="C161" s="9" t="n">
        <f aca="false">(C157*Assumptions!$C$65)</f>
        <v>2.808</v>
      </c>
      <c r="D161" s="9" t="n">
        <f aca="false">(D157*Assumptions!$C$65)</f>
        <v>4.9896</v>
      </c>
      <c r="E161" s="9" t="n">
        <f aca="false">(E157*Assumptions!$C$65)</f>
        <v>6.5751264</v>
      </c>
      <c r="F161" s="9" t="n">
        <f aca="false">(F157*Assumptions!$C$65)</f>
        <v>7.84418688</v>
      </c>
      <c r="G161" s="9" t="n">
        <f aca="false">(G157*Assumptions!$C$65)</f>
        <v>11.05905459456</v>
      </c>
      <c r="H161" s="9" t="n">
        <f aca="false">(H157*Assumptions!$C$65)</f>
        <v>11.4796516670208</v>
      </c>
      <c r="I161" s="9" t="n">
        <f aca="false">(I157*Assumptions!$C$65)</f>
        <v>12.5492943647094</v>
      </c>
      <c r="J161" s="9" t="n">
        <f aca="false">(J157*Assumptions!$C$65)</f>
        <v>27.0423252160184</v>
      </c>
      <c r="K161" s="9" t="n">
        <f aca="false">(K157*Assumptions!$C$65)</f>
        <v>31.5565275038721</v>
      </c>
      <c r="L161" s="9" t="n">
        <f aca="false">(L157*Assumptions!$C$65)</f>
        <v>33.3463462099979</v>
      </c>
      <c r="M161" s="9" t="n">
        <f aca="false">(M157*Assumptions!$C$65)</f>
        <v>31.8685925868774</v>
      </c>
      <c r="N161" s="9" t="n">
        <f aca="false">(N157*Assumptions!$C$65)</f>
        <v>32.1745888966553</v>
      </c>
      <c r="O161" s="9" t="n">
        <f aca="false">(O157*Assumptions!$C$65)</f>
        <v>58.9481952125691</v>
      </c>
      <c r="P161" s="9" t="n">
        <f aca="false">(P157*Assumptions!$C$65)</f>
        <v>69.3530341812341</v>
      </c>
      <c r="Q161" s="9" t="n">
        <f aca="false">(Q157*Assumptions!$C$65)</f>
        <v>84.8510774029846</v>
      </c>
      <c r="R161" s="9" t="n">
        <f aca="false">(R157*Assumptions!$C$65)</f>
        <v>97.2504734378862</v>
      </c>
      <c r="S161" s="9" t="n">
        <f aca="false">(S157*Assumptions!$C$65)</f>
        <v>104.803889065704</v>
      </c>
      <c r="T161" s="9" t="n">
        <f aca="false">(T157*Assumptions!$C$65)</f>
        <v>129.963860517684</v>
      </c>
      <c r="U161" s="9" t="n">
        <f aca="false">(U157*Assumptions!$C$65)</f>
        <v>141.701471900109</v>
      </c>
      <c r="V161" s="9" t="n">
        <f aca="false">(V157*Assumptions!$C$65)</f>
        <v>170.642282924387</v>
      </c>
      <c r="W161" s="9" t="n">
        <f aca="false">(W157*Assumptions!$C$65)</f>
        <v>202.240546774138</v>
      </c>
      <c r="X161" s="9" t="n">
        <f aca="false">(X157*Assumptions!$C$65)</f>
        <v>227.784381104041</v>
      </c>
      <c r="Y161" s="9" t="n">
        <f aca="false">(Y157*Assumptions!$C$65)</f>
        <v>234.861571921141</v>
      </c>
      <c r="Z161" s="9" t="n">
        <f aca="false">(Z157*Assumptions!$C$65)</f>
        <v>236.786575369328</v>
      </c>
      <c r="AA161" s="9" t="n">
        <f aca="false">(AA157*Assumptions!$C$65)</f>
        <v>272.939166846383</v>
      </c>
      <c r="AB161" s="9" t="n">
        <f aca="false">(AB157*Assumptions!$C$65)</f>
        <v>291.918457971934</v>
      </c>
      <c r="AC161" s="9" t="n">
        <f aca="false">(AC157*Assumptions!$C$65)</f>
        <v>300.903584453149</v>
      </c>
      <c r="AD161" s="9" t="n">
        <f aca="false">(AD157*Assumptions!$C$65)</f>
        <v>309.104015535732</v>
      </c>
      <c r="AE161" s="9" t="n">
        <f aca="false">(AE157*Assumptions!$C$65)</f>
        <v>331.368163896891</v>
      </c>
      <c r="AF161" s="9" t="n">
        <f aca="false">(AF157*Assumptions!$C$65)</f>
        <v>326.110997573642</v>
      </c>
      <c r="AG161" s="9" t="n">
        <f aca="false">(AG157*Assumptions!$C$65)</f>
        <v>332.788976493129</v>
      </c>
      <c r="AH161" s="9" t="n">
        <f aca="false">(AH157*Assumptions!$C$65)</f>
        <v>421.654595002297</v>
      </c>
      <c r="AI161" s="9" t="n">
        <f aca="false">(AI157*Assumptions!$C$65)</f>
        <v>458.589851154501</v>
      </c>
      <c r="AJ161" s="9" t="n">
        <f aca="false">(AJ157*Assumptions!$C$65)</f>
        <v>482.088166763593</v>
      </c>
      <c r="AK161" s="9" t="n">
        <f aca="false">(AK157*Assumptions!$C$65)</f>
        <v>548.417267481407</v>
      </c>
      <c r="AL161" s="9" t="n">
        <f aca="false">(AL157*Assumptions!$C$65)</f>
        <v>582.880630834297</v>
      </c>
      <c r="AN161" s="11" t="n">
        <f aca="false">SUM(C161:N161)</f>
        <v>213.293294319711</v>
      </c>
      <c r="AO161" s="11" t="n">
        <f aca="false">SUM(O161:Z161)</f>
        <v>1759.18735981121</v>
      </c>
      <c r="AP161" s="11" t="n">
        <f aca="false">SUM(AA161:AL161)</f>
        <v>4658.76387400696</v>
      </c>
    </row>
    <row r="162" customFormat="false" ht="15" hidden="false" customHeight="false" outlineLevel="0" collapsed="false">
      <c r="A162" s="0" t="s">
        <v>965</v>
      </c>
      <c r="B162" s="0" t="s">
        <v>230</v>
      </c>
      <c r="C162" s="9" t="n">
        <f aca="false">(C157*Assumptions!$C$66)</f>
        <v>4.68</v>
      </c>
      <c r="D162" s="9" t="n">
        <f aca="false">(D157*Assumptions!$C$66)</f>
        <v>8.316</v>
      </c>
      <c r="E162" s="9" t="n">
        <f aca="false">(E157*Assumptions!$C$66)</f>
        <v>10.958544</v>
      </c>
      <c r="F162" s="9" t="n">
        <f aca="false">(F157*Assumptions!$C$66)</f>
        <v>13.0736448</v>
      </c>
      <c r="G162" s="9" t="n">
        <f aca="false">(G157*Assumptions!$C$66)</f>
        <v>18.4317576576</v>
      </c>
      <c r="H162" s="9" t="n">
        <f aca="false">(H157*Assumptions!$C$66)</f>
        <v>19.132752778368</v>
      </c>
      <c r="I162" s="9" t="n">
        <f aca="false">(I157*Assumptions!$C$66)</f>
        <v>20.915490607849</v>
      </c>
      <c r="J162" s="9" t="n">
        <f aca="false">(J157*Assumptions!$C$66)</f>
        <v>45.0705420266973</v>
      </c>
      <c r="K162" s="9" t="n">
        <f aca="false">(K157*Assumptions!$C$66)</f>
        <v>52.5942125064535</v>
      </c>
      <c r="L162" s="9" t="n">
        <f aca="false">(L157*Assumptions!$C$66)</f>
        <v>55.5772436833298</v>
      </c>
      <c r="M162" s="9" t="n">
        <f aca="false">(M157*Assumptions!$C$66)</f>
        <v>53.114320978129</v>
      </c>
      <c r="N162" s="9" t="n">
        <f aca="false">(N157*Assumptions!$C$66)</f>
        <v>53.6243148277588</v>
      </c>
      <c r="O162" s="9" t="n">
        <f aca="false">(O157*Assumptions!$C$66)</f>
        <v>98.2469920209485</v>
      </c>
      <c r="P162" s="9" t="n">
        <f aca="false">(P157*Assumptions!$C$66)</f>
        <v>115.588390302057</v>
      </c>
      <c r="Q162" s="9" t="n">
        <f aca="false">(Q157*Assumptions!$C$66)</f>
        <v>141.418462338308</v>
      </c>
      <c r="R162" s="9" t="n">
        <f aca="false">(R157*Assumptions!$C$66)</f>
        <v>162.084122396477</v>
      </c>
      <c r="S162" s="9" t="n">
        <f aca="false">(S157*Assumptions!$C$66)</f>
        <v>174.673148442839</v>
      </c>
      <c r="T162" s="9" t="n">
        <f aca="false">(T157*Assumptions!$C$66)</f>
        <v>216.60643419614</v>
      </c>
      <c r="U162" s="9" t="n">
        <f aca="false">(U157*Assumptions!$C$66)</f>
        <v>236.169119833515</v>
      </c>
      <c r="V162" s="9" t="n">
        <f aca="false">(V157*Assumptions!$C$66)</f>
        <v>284.403804873978</v>
      </c>
      <c r="W162" s="9" t="n">
        <f aca="false">(W157*Assumptions!$C$66)</f>
        <v>337.067577956897</v>
      </c>
      <c r="X162" s="9" t="n">
        <f aca="false">(X157*Assumptions!$C$66)</f>
        <v>379.640635173402</v>
      </c>
      <c r="Y162" s="9" t="n">
        <f aca="false">(Y157*Assumptions!$C$66)</f>
        <v>391.435953201901</v>
      </c>
      <c r="Z162" s="9" t="n">
        <f aca="false">(Z157*Assumptions!$C$66)</f>
        <v>394.644292282213</v>
      </c>
      <c r="AA162" s="9" t="n">
        <f aca="false">(AA157*Assumptions!$C$66)</f>
        <v>454.898611410638</v>
      </c>
      <c r="AB162" s="9" t="n">
        <f aca="false">(AB157*Assumptions!$C$66)</f>
        <v>486.530763286557</v>
      </c>
      <c r="AC162" s="9" t="n">
        <f aca="false">(AC157*Assumptions!$C$66)</f>
        <v>501.505974088582</v>
      </c>
      <c r="AD162" s="9" t="n">
        <f aca="false">(AD157*Assumptions!$C$66)</f>
        <v>515.173359226221</v>
      </c>
      <c r="AE162" s="9" t="n">
        <f aca="false">(AE157*Assumptions!$C$66)</f>
        <v>552.280273161485</v>
      </c>
      <c r="AF162" s="9" t="n">
        <f aca="false">(AF157*Assumptions!$C$66)</f>
        <v>543.518329289403</v>
      </c>
      <c r="AG162" s="9" t="n">
        <f aca="false">(AG157*Assumptions!$C$66)</f>
        <v>554.648294155215</v>
      </c>
      <c r="AH162" s="9" t="n">
        <f aca="false">(AH157*Assumptions!$C$66)</f>
        <v>702.757658337162</v>
      </c>
      <c r="AI162" s="9" t="n">
        <f aca="false">(AI157*Assumptions!$C$66)</f>
        <v>764.316418590834</v>
      </c>
      <c r="AJ162" s="9" t="n">
        <f aca="false">(AJ157*Assumptions!$C$66)</f>
        <v>803.480277939322</v>
      </c>
      <c r="AK162" s="9" t="n">
        <f aca="false">(AK157*Assumptions!$C$66)</f>
        <v>914.028779135679</v>
      </c>
      <c r="AL162" s="9" t="n">
        <f aca="false">(AL157*Assumptions!$C$66)</f>
        <v>971.467718057162</v>
      </c>
      <c r="AN162" s="11" t="n">
        <f aca="false">SUM(C162:N162)</f>
        <v>355.488823866185</v>
      </c>
      <c r="AO162" s="11" t="n">
        <f aca="false">SUM(O162:Z162)</f>
        <v>2931.97893301868</v>
      </c>
      <c r="AP162" s="11" t="n">
        <f aca="false">SUM(AA162:AL162)</f>
        <v>7764.60645667826</v>
      </c>
    </row>
    <row r="163" customFormat="false" ht="15" hidden="false" customHeight="false" outlineLevel="0" collapsed="false">
      <c r="A163" s="0" t="s">
        <v>363</v>
      </c>
      <c r="B163" s="0" t="s">
        <v>230</v>
      </c>
      <c r="C163" s="9" t="n">
        <f aca="false">(C157*Assumptions!$C$67)</f>
        <v>2.34</v>
      </c>
      <c r="D163" s="9" t="n">
        <f aca="false">(D157*Assumptions!$C$67)</f>
        <v>4.158</v>
      </c>
      <c r="E163" s="9" t="n">
        <f aca="false">(E157*Assumptions!$C$67)</f>
        <v>5.479272</v>
      </c>
      <c r="F163" s="9" t="n">
        <f aca="false">(F157*Assumptions!$C$67)</f>
        <v>6.5368224</v>
      </c>
      <c r="G163" s="9" t="n">
        <f aca="false">(G157*Assumptions!$C$67)</f>
        <v>9.2158788288</v>
      </c>
      <c r="H163" s="9" t="n">
        <f aca="false">(H157*Assumptions!$C$67)</f>
        <v>9.566376389184</v>
      </c>
      <c r="I163" s="9" t="n">
        <f aca="false">(I157*Assumptions!$C$67)</f>
        <v>10.4577453039245</v>
      </c>
      <c r="J163" s="9" t="n">
        <f aca="false">(J157*Assumptions!$C$67)</f>
        <v>22.5352710133487</v>
      </c>
      <c r="K163" s="9" t="n">
        <f aca="false">(K157*Assumptions!$C$67)</f>
        <v>26.2971062532267</v>
      </c>
      <c r="L163" s="9" t="n">
        <f aca="false">(L157*Assumptions!$C$67)</f>
        <v>27.7886218416649</v>
      </c>
      <c r="M163" s="9" t="n">
        <f aca="false">(M157*Assumptions!$C$67)</f>
        <v>26.5571604890645</v>
      </c>
      <c r="N163" s="9" t="n">
        <f aca="false">(N157*Assumptions!$C$67)</f>
        <v>26.8121574138794</v>
      </c>
      <c r="O163" s="9" t="n">
        <f aca="false">(O157*Assumptions!$C$67)</f>
        <v>49.1234960104743</v>
      </c>
      <c r="P163" s="9" t="n">
        <f aca="false">(P157*Assumptions!$C$67)</f>
        <v>57.7941951510284</v>
      </c>
      <c r="Q163" s="9" t="n">
        <f aca="false">(Q157*Assumptions!$C$67)</f>
        <v>70.7092311691539</v>
      </c>
      <c r="R163" s="9" t="n">
        <f aca="false">(R157*Assumptions!$C$67)</f>
        <v>81.0420611982385</v>
      </c>
      <c r="S163" s="9" t="n">
        <f aca="false">(S157*Assumptions!$C$67)</f>
        <v>87.3365742214197</v>
      </c>
      <c r="T163" s="9" t="n">
        <f aca="false">(T157*Assumptions!$C$67)</f>
        <v>108.30321709807</v>
      </c>
      <c r="U163" s="9" t="n">
        <f aca="false">(U157*Assumptions!$C$67)</f>
        <v>118.084559916758</v>
      </c>
      <c r="V163" s="9" t="n">
        <f aca="false">(V157*Assumptions!$C$67)</f>
        <v>142.201902436989</v>
      </c>
      <c r="W163" s="9" t="n">
        <f aca="false">(W157*Assumptions!$C$67)</f>
        <v>168.533788978449</v>
      </c>
      <c r="X163" s="9" t="n">
        <f aca="false">(X157*Assumptions!$C$67)</f>
        <v>189.820317586701</v>
      </c>
      <c r="Y163" s="9" t="n">
        <f aca="false">(Y157*Assumptions!$C$67)</f>
        <v>195.71797660095</v>
      </c>
      <c r="Z163" s="9" t="n">
        <f aca="false">(Z157*Assumptions!$C$67)</f>
        <v>197.322146141107</v>
      </c>
      <c r="AA163" s="9" t="n">
        <f aca="false">(AA157*Assumptions!$C$67)</f>
        <v>227.449305705319</v>
      </c>
      <c r="AB163" s="9" t="n">
        <f aca="false">(AB157*Assumptions!$C$67)</f>
        <v>243.265381643279</v>
      </c>
      <c r="AC163" s="9" t="n">
        <f aca="false">(AC157*Assumptions!$C$67)</f>
        <v>250.752987044291</v>
      </c>
      <c r="AD163" s="9" t="n">
        <f aca="false">(AD157*Assumptions!$C$67)</f>
        <v>257.58667961311</v>
      </c>
      <c r="AE163" s="9" t="n">
        <f aca="false">(AE157*Assumptions!$C$67)</f>
        <v>276.140136580742</v>
      </c>
      <c r="AF163" s="9" t="n">
        <f aca="false">(AF157*Assumptions!$C$67)</f>
        <v>271.759164644701</v>
      </c>
      <c r="AG163" s="9" t="n">
        <f aca="false">(AG157*Assumptions!$C$67)</f>
        <v>277.324147077608</v>
      </c>
      <c r="AH163" s="9" t="n">
        <f aca="false">(AH157*Assumptions!$C$67)</f>
        <v>351.378829168581</v>
      </c>
      <c r="AI163" s="9" t="n">
        <f aca="false">(AI157*Assumptions!$C$67)</f>
        <v>382.158209295417</v>
      </c>
      <c r="AJ163" s="9" t="n">
        <f aca="false">(AJ157*Assumptions!$C$67)</f>
        <v>401.740138969661</v>
      </c>
      <c r="AK163" s="9" t="n">
        <f aca="false">(AK157*Assumptions!$C$67)</f>
        <v>457.01438956784</v>
      </c>
      <c r="AL163" s="9" t="n">
        <f aca="false">(AL157*Assumptions!$C$67)</f>
        <v>485.733859028581</v>
      </c>
      <c r="AN163" s="11" t="n">
        <f aca="false">SUM(C163:N163)</f>
        <v>177.744411933093</v>
      </c>
      <c r="AO163" s="11" t="n">
        <f aca="false">SUM(O163:Z163)</f>
        <v>1465.98946650934</v>
      </c>
      <c r="AP163" s="11" t="n">
        <f aca="false">SUM(AA163:AL163)</f>
        <v>3882.30322833913</v>
      </c>
    </row>
    <row r="164" customFormat="false" ht="15" hidden="false" customHeight="false" outlineLevel="0" collapsed="false">
      <c r="A164" s="0" t="s">
        <v>966</v>
      </c>
      <c r="B164" s="0" t="s">
        <v>230</v>
      </c>
      <c r="C164" s="9" t="n">
        <f aca="false">Assumptions!$C$135</f>
        <v>4000</v>
      </c>
      <c r="D164" s="9" t="n">
        <f aca="false">Assumptions!$C$135</f>
        <v>4000</v>
      </c>
      <c r="E164" s="9" t="n">
        <f aca="false">Assumptions!$C$135</f>
        <v>4000</v>
      </c>
      <c r="F164" s="9" t="n">
        <f aca="false">Assumptions!$C$135</f>
        <v>4000</v>
      </c>
      <c r="G164" s="9" t="n">
        <f aca="false">Assumptions!$C$135</f>
        <v>4000</v>
      </c>
      <c r="H164" s="9" t="n">
        <f aca="false">Assumptions!$C$135</f>
        <v>4000</v>
      </c>
      <c r="I164" s="9" t="n">
        <f aca="false">Assumptions!$C$135</f>
        <v>4000</v>
      </c>
      <c r="J164" s="9" t="n">
        <f aca="false">Assumptions!$C$135</f>
        <v>4000</v>
      </c>
      <c r="K164" s="9" t="n">
        <f aca="false">Assumptions!$C$135</f>
        <v>4000</v>
      </c>
      <c r="L164" s="9" t="n">
        <f aca="false">Assumptions!$C$135</f>
        <v>4000</v>
      </c>
      <c r="M164" s="9" t="n">
        <f aca="false">Assumptions!$C$135</f>
        <v>4000</v>
      </c>
      <c r="N164" s="9" t="n">
        <f aca="false">Assumptions!$C$135</f>
        <v>4000</v>
      </c>
      <c r="O164" s="9" t="n">
        <f aca="false">Assumptions!$D$135</f>
        <v>9000</v>
      </c>
      <c r="P164" s="9" t="n">
        <f aca="false">Assumptions!$D$135</f>
        <v>9000</v>
      </c>
      <c r="Q164" s="9" t="n">
        <f aca="false">Assumptions!$D$135</f>
        <v>9000</v>
      </c>
      <c r="R164" s="9" t="n">
        <f aca="false">Assumptions!$D$135</f>
        <v>9000</v>
      </c>
      <c r="S164" s="9" t="n">
        <f aca="false">Assumptions!$D$135</f>
        <v>9000</v>
      </c>
      <c r="T164" s="9" t="n">
        <f aca="false">Assumptions!$D$135</f>
        <v>9000</v>
      </c>
      <c r="U164" s="9" t="n">
        <f aca="false">Assumptions!$D$135</f>
        <v>9000</v>
      </c>
      <c r="V164" s="9" t="n">
        <f aca="false">Assumptions!$D$135</f>
        <v>9000</v>
      </c>
      <c r="W164" s="9" t="n">
        <f aca="false">Assumptions!$D$135</f>
        <v>9000</v>
      </c>
      <c r="X164" s="9" t="n">
        <f aca="false">Assumptions!$D$135</f>
        <v>9000</v>
      </c>
      <c r="Y164" s="9" t="n">
        <f aca="false">Assumptions!$D$135</f>
        <v>9000</v>
      </c>
      <c r="Z164" s="9" t="n">
        <f aca="false">Assumptions!$D$135</f>
        <v>9000</v>
      </c>
      <c r="AA164" s="9" t="n">
        <f aca="false">Assumptions!$E$135</f>
        <v>16000</v>
      </c>
      <c r="AB164" s="9" t="n">
        <f aca="false">Assumptions!$E$135</f>
        <v>16000</v>
      </c>
      <c r="AC164" s="9" t="n">
        <f aca="false">Assumptions!$E$135</f>
        <v>16000</v>
      </c>
      <c r="AD164" s="9" t="n">
        <f aca="false">Assumptions!$E$135</f>
        <v>16000</v>
      </c>
      <c r="AE164" s="9" t="n">
        <f aca="false">Assumptions!$E$135</f>
        <v>16000</v>
      </c>
      <c r="AF164" s="9" t="n">
        <f aca="false">Assumptions!$E$135</f>
        <v>16000</v>
      </c>
      <c r="AG164" s="9" t="n">
        <f aca="false">Assumptions!$E$135</f>
        <v>16000</v>
      </c>
      <c r="AH164" s="9" t="n">
        <f aca="false">Assumptions!$E$135</f>
        <v>16000</v>
      </c>
      <c r="AI164" s="9" t="n">
        <f aca="false">Assumptions!$E$135</f>
        <v>16000</v>
      </c>
      <c r="AJ164" s="9" t="n">
        <f aca="false">Assumptions!$E$135</f>
        <v>16000</v>
      </c>
      <c r="AK164" s="9" t="n">
        <f aca="false">Assumptions!$E$135</f>
        <v>16000</v>
      </c>
      <c r="AL164" s="9" t="n">
        <f aca="false">Assumptions!$E$135</f>
        <v>16000</v>
      </c>
      <c r="AN164" s="11" t="n">
        <f aca="false">SUM(C164:N164)</f>
        <v>48000</v>
      </c>
      <c r="AO164" s="11" t="n">
        <f aca="false">SUM(O164:Z164)</f>
        <v>108000</v>
      </c>
      <c r="AP164" s="11" t="n">
        <f aca="false">SUM(AA164:AL164)</f>
        <v>192000</v>
      </c>
    </row>
    <row r="165" customFormat="false" ht="15" hidden="false" customHeight="false" outlineLevel="0" collapsed="false">
      <c r="A165" s="0" t="s">
        <v>967</v>
      </c>
      <c r="B165" s="0" t="s">
        <v>230</v>
      </c>
      <c r="C165" s="9" t="n">
        <f aca="false">(((Assumptions!$C$184*$C$12)*$C$13)*(((C29*Assumptions!$C$85)+(C39*Assumptions!$C$86))+(C126*Assumptions!$C$87)))</f>
        <v>33.7515984</v>
      </c>
      <c r="D165" s="9" t="n">
        <f aca="false">(((Assumptions!$C$184*$C$12)*$C$13)*(((D29*Assumptions!$C$85)+(D39*Assumptions!$C$86))+(D126*Assumptions!$C$87)))</f>
        <v>59.97399408</v>
      </c>
      <c r="E165" s="9" t="n">
        <f aca="false">(((Assumptions!$C$184*$C$12)*$C$13)*(((E29*Assumptions!$C$85)+(E39*Assumptions!$C$86))+(E126*Assumptions!$C$87)))</f>
        <v>79.03170430272</v>
      </c>
      <c r="F165" s="9" t="n">
        <f aca="false">(((Assumptions!$C$184*$C$12)*$C$13)*(((F29*Assumptions!$C$85)+(F39*Assumptions!$C$86))+(F126*Assumptions!$C$87)))</f>
        <v>94.285557460224</v>
      </c>
      <c r="G165" s="9" t="n">
        <f aca="false">(((Assumptions!$C$184*$C$12)*$C$13)*(((G29*Assumptions!$C$85)+(G39*Assumptions!$C$86))+(G126*Assumptions!$C$87)))</f>
        <v>163.217520415692</v>
      </c>
      <c r="H165" s="9" t="n">
        <f aca="false">(((Assumptions!$C$184*$C$12)*$C$13)*(((H29*Assumptions!$C$85)+(H39*Assumptions!$C$86))+(H126*Assumptions!$C$87)))</f>
        <v>168.273013107257</v>
      </c>
      <c r="I165" s="9" t="n">
        <f aca="false">(((Assumptions!$C$184*$C$12)*$C$13)*(((I29*Assumptions!$C$85)+(I39*Assumptions!$C$86))+(I126*Assumptions!$C$87)))</f>
        <v>181.129904404934</v>
      </c>
      <c r="J165" s="9" t="n">
        <f aca="false">(((Assumptions!$C$184*$C$12)*$C$13)*(((J29*Assumptions!$C$85)+(J39*Assumptions!$C$86))+(J126*Assumptions!$C$87)))</f>
        <v>481.541136631498</v>
      </c>
      <c r="K165" s="9" t="n">
        <f aca="false">(((Assumptions!$C$184*$C$12)*$C$13)*(((K29*Assumptions!$C$85)+(K39*Assumptions!$C$86))+(K126*Assumptions!$C$87)))</f>
        <v>535.800945291042</v>
      </c>
      <c r="L165" s="9" t="n">
        <f aca="false">(((Assumptions!$C$184*$C$12)*$C$13)*(((L29*Assumptions!$C$85)+(L39*Assumptions!$C$86))+(L126*Assumptions!$C$87)))</f>
        <v>557.314208174932</v>
      </c>
      <c r="M165" s="9" t="n">
        <f aca="false">(((Assumptions!$C$184*$C$12)*$C$13)*(((M29*Assumptions!$C$85)+(M39*Assumptions!$C$86))+(M126*Assumptions!$C$87)))</f>
        <v>509.262009175749</v>
      </c>
      <c r="N165" s="9" t="n">
        <f aca="false">(((Assumptions!$C$184*$C$12)*$C$13)*(((N29*Assumptions!$C$85)+(N39*Assumptions!$C$86))+(N126*Assumptions!$C$87)))</f>
        <v>512.940023620017</v>
      </c>
      <c r="O165" s="9" t="n">
        <f aca="false">(((Assumptions!$C$184*$C$12)*$C$13)*(((O29*Assumptions!$C$85)+(O39*Assumptions!$C$86))+(O126*Assumptions!$C$87)))</f>
        <v>837.033003772713</v>
      </c>
      <c r="P165" s="9" t="n">
        <f aca="false">(((Assumptions!$C$184*$C$12)*$C$13)*(((P29*Assumptions!$C$85)+(P39*Assumptions!$C$86))+(P126*Assumptions!$C$87)))</f>
        <v>840.916253746713</v>
      </c>
      <c r="Q165" s="9" t="n">
        <f aca="false">(((Assumptions!$C$184*$C$12)*$C$13)*(((Q29*Assumptions!$C$85)+(Q39*Assumptions!$C$86))+(Q126*Assumptions!$C$87)))</f>
        <v>1034.27592855529</v>
      </c>
      <c r="R165" s="9" t="n">
        <f aca="false">(((Assumptions!$C$184*$C$12)*$C$13)*(((R29*Assumptions!$C$85)+(R39*Assumptions!$C$86))+(R126*Assumptions!$C$87)))</f>
        <v>1191.81266389062</v>
      </c>
      <c r="S165" s="9" t="n">
        <f aca="false">(((Assumptions!$C$184*$C$12)*$C$13)*(((S29*Assumptions!$C$85)+(S39*Assumptions!$C$86))+(S126*Assumptions!$C$87)))</f>
        <v>1292.15958116659</v>
      </c>
      <c r="T165" s="9" t="n">
        <f aca="false">(((Assumptions!$C$184*$C$12)*$C$13)*(((T29*Assumptions!$C$85)+(T39*Assumptions!$C$86))+(T126*Assumptions!$C$87)))</f>
        <v>1846.10907453004</v>
      </c>
      <c r="U165" s="9" t="n">
        <f aca="false">(((Assumptions!$C$184*$C$12)*$C$13)*(((U29*Assumptions!$C$85)+(U39*Assumptions!$C$86))+(U126*Assumptions!$C$87)))</f>
        <v>2027.81116563104</v>
      </c>
      <c r="V165" s="9" t="n">
        <f aca="false">(((Assumptions!$C$184*$C$12)*$C$13)*(((V29*Assumptions!$C$85)+(V39*Assumptions!$C$86))+(V126*Assumptions!$C$87)))</f>
        <v>2386.68720062964</v>
      </c>
      <c r="W165" s="9" t="n">
        <f aca="false">(((Assumptions!$C$184*$C$12)*$C$13)*(((W29*Assumptions!$C$85)+(W39*Assumptions!$C$86))+(W126*Assumptions!$C$87)))</f>
        <v>2780.24973941761</v>
      </c>
      <c r="X165" s="9" t="n">
        <f aca="false">(((Assumptions!$C$184*$C$12)*$C$13)*(((X29*Assumptions!$C$85)+(X39*Assumptions!$C$86))+(X126*Assumptions!$C$87)))</f>
        <v>3260.48476976856</v>
      </c>
      <c r="Y165" s="9" t="n">
        <f aca="false">(((Assumptions!$C$184*$C$12)*$C$13)*(((Y29*Assumptions!$C$85)+(Y39*Assumptions!$C$86))+(Y126*Assumptions!$C$87)))</f>
        <v>3363.11749469164</v>
      </c>
      <c r="Z165" s="9" t="n">
        <f aca="false">(((Assumptions!$C$184*$C$12)*$C$13)*(((Z29*Assumptions!$C$85)+(Z39*Assumptions!$C$86))+(Z126*Assumptions!$C$87)))</f>
        <v>3404.09347089757</v>
      </c>
      <c r="AA165" s="9" t="n">
        <f aca="false">(((Assumptions!$C$184*$C$12)*$C$13)*(((AA29*Assumptions!$C$85)+(AA39*Assumptions!$C$86))+(AA126*Assumptions!$C$87)))</f>
        <v>4012.24553497646</v>
      </c>
      <c r="AB165" s="9" t="n">
        <f aca="false">(((Assumptions!$C$184*$C$12)*$C$13)*(((AB29*Assumptions!$C$85)+(AB39*Assumptions!$C$86))+(AB126*Assumptions!$C$87)))</f>
        <v>4297.835697867</v>
      </c>
      <c r="AC165" s="9" t="n">
        <f aca="false">(((Assumptions!$C$184*$C$12)*$C$13)*(((AC29*Assumptions!$C$85)+(AC39*Assumptions!$C$86))+(AC126*Assumptions!$C$87)))</f>
        <v>4425.06525930263</v>
      </c>
      <c r="AD165" s="9" t="n">
        <f aca="false">(((Assumptions!$C$184*$C$12)*$C$13)*(((AD29*Assumptions!$C$85)+(AD39*Assumptions!$C$86))+(AD126*Assumptions!$C$87)))</f>
        <v>4573.24679818716</v>
      </c>
      <c r="AE165" s="9" t="n">
        <f aca="false">(((Assumptions!$C$184*$C$12)*$C$13)*(((AE29*Assumptions!$C$85)+(AE39*Assumptions!$C$86))+(AE126*Assumptions!$C$87)))</f>
        <v>5131.52082653602</v>
      </c>
      <c r="AF165" s="9" t="n">
        <f aca="false">(((Assumptions!$C$184*$C$12)*$C$13)*(((AF29*Assumptions!$C$85)+(AF39*Assumptions!$C$86))+(AF126*Assumptions!$C$87)))</f>
        <v>5057.78573765711</v>
      </c>
      <c r="AG165" s="9" t="n">
        <f aca="false">(((Assumptions!$C$184*$C$12)*$C$13)*(((AG29*Assumptions!$C$85)+(AG39*Assumptions!$C$86))+(AG126*Assumptions!$C$87)))</f>
        <v>5185.88181362941</v>
      </c>
      <c r="AH165" s="9" t="n">
        <f aca="false">(((Assumptions!$C$184*$C$12)*$C$13)*(((AH29*Assumptions!$C$85)+(AH39*Assumptions!$C$86))+(AH126*Assumptions!$C$87)))</f>
        <v>6942.42357987917</v>
      </c>
      <c r="AI165" s="9" t="n">
        <f aca="false">(((Assumptions!$C$184*$C$12)*$C$13)*(((AI29*Assumptions!$C$85)+(AI39*Assumptions!$C$86))+(AI126*Assumptions!$C$87)))</f>
        <v>7406.12621272708</v>
      </c>
      <c r="AJ165" s="9" t="n">
        <f aca="false">(((Assumptions!$C$184*$C$12)*$C$13)*(((AJ29*Assumptions!$C$85)+(AJ39*Assumptions!$C$86))+(AJ126*Assumptions!$C$87)))</f>
        <v>7867.51077359029</v>
      </c>
      <c r="AK165" s="9" t="n">
        <f aca="false">(((Assumptions!$C$184*$C$12)*$C$13)*(((AK29*Assumptions!$C$85)+(AK39*Assumptions!$C$86))+(AK126*Assumptions!$C$87)))</f>
        <v>9445.05322779163</v>
      </c>
      <c r="AL165" s="9" t="n">
        <f aca="false">(((Assumptions!$C$184*$C$12)*$C$13)*(((AL29*Assumptions!$C$85)+(AL39*Assumptions!$C$86))+(AL126*Assumptions!$C$87)))</f>
        <v>10335.9064705105</v>
      </c>
      <c r="AN165" s="11" t="n">
        <f aca="false">SUM(C165:N165)</f>
        <v>3376.52161506407</v>
      </c>
      <c r="AO165" s="11" t="n">
        <f aca="false">SUM(O165:Z165)</f>
        <v>24264.750346698</v>
      </c>
      <c r="AP165" s="11" t="n">
        <f aca="false">SUM(AA165:AL165)</f>
        <v>74680.6019326544</v>
      </c>
    </row>
    <row r="166" customFormat="false" ht="15" hidden="false" customHeight="false" outlineLevel="0" collapsed="false">
      <c r="A166" s="0" t="s">
        <v>968</v>
      </c>
      <c r="B166" s="0" t="s">
        <v>230</v>
      </c>
      <c r="C166" s="9" t="n">
        <f aca="false">Assumptions!$C$136</f>
        <v>2000</v>
      </c>
      <c r="D166" s="9" t="n">
        <f aca="false">Assumptions!$C$136</f>
        <v>2000</v>
      </c>
      <c r="E166" s="9" t="n">
        <f aca="false">Assumptions!$C$136</f>
        <v>2000</v>
      </c>
      <c r="F166" s="9" t="n">
        <f aca="false">Assumptions!$C$136</f>
        <v>2000</v>
      </c>
      <c r="G166" s="9" t="n">
        <f aca="false">Assumptions!$C$136</f>
        <v>2000</v>
      </c>
      <c r="H166" s="9" t="n">
        <f aca="false">Assumptions!$C$136</f>
        <v>2000</v>
      </c>
      <c r="I166" s="9" t="n">
        <f aca="false">Assumptions!$C$136</f>
        <v>2000</v>
      </c>
      <c r="J166" s="9" t="n">
        <f aca="false">Assumptions!$C$136</f>
        <v>2000</v>
      </c>
      <c r="K166" s="9" t="n">
        <f aca="false">Assumptions!$C$136</f>
        <v>2000</v>
      </c>
      <c r="L166" s="9" t="n">
        <f aca="false">Assumptions!$C$136</f>
        <v>2000</v>
      </c>
      <c r="M166" s="9" t="n">
        <f aca="false">Assumptions!$C$136</f>
        <v>2000</v>
      </c>
      <c r="N166" s="9" t="n">
        <f aca="false">Assumptions!$C$136</f>
        <v>2000</v>
      </c>
      <c r="O166" s="9" t="n">
        <f aca="false">Assumptions!$D$136</f>
        <v>3000</v>
      </c>
      <c r="P166" s="9" t="n">
        <f aca="false">Assumptions!$D$136</f>
        <v>3000</v>
      </c>
      <c r="Q166" s="9" t="n">
        <f aca="false">Assumptions!$D$136</f>
        <v>3000</v>
      </c>
      <c r="R166" s="9" t="n">
        <f aca="false">Assumptions!$D$136</f>
        <v>3000</v>
      </c>
      <c r="S166" s="9" t="n">
        <f aca="false">Assumptions!$D$136</f>
        <v>3000</v>
      </c>
      <c r="T166" s="9" t="n">
        <f aca="false">Assumptions!$D$136</f>
        <v>3000</v>
      </c>
      <c r="U166" s="9" t="n">
        <f aca="false">Assumptions!$D$136</f>
        <v>3000</v>
      </c>
      <c r="V166" s="9" t="n">
        <f aca="false">Assumptions!$D$136</f>
        <v>3000</v>
      </c>
      <c r="W166" s="9" t="n">
        <f aca="false">Assumptions!$D$136</f>
        <v>3000</v>
      </c>
      <c r="X166" s="9" t="n">
        <f aca="false">Assumptions!$D$136</f>
        <v>3000</v>
      </c>
      <c r="Y166" s="9" t="n">
        <f aca="false">Assumptions!$D$136</f>
        <v>3000</v>
      </c>
      <c r="Z166" s="9" t="n">
        <f aca="false">Assumptions!$D$136</f>
        <v>3000</v>
      </c>
      <c r="AA166" s="9" t="n">
        <f aca="false">Assumptions!$E$136</f>
        <v>5000</v>
      </c>
      <c r="AB166" s="9" t="n">
        <f aca="false">Assumptions!$E$136</f>
        <v>5000</v>
      </c>
      <c r="AC166" s="9" t="n">
        <f aca="false">Assumptions!$E$136</f>
        <v>5000</v>
      </c>
      <c r="AD166" s="9" t="n">
        <f aca="false">Assumptions!$E$136</f>
        <v>5000</v>
      </c>
      <c r="AE166" s="9" t="n">
        <f aca="false">Assumptions!$E$136</f>
        <v>5000</v>
      </c>
      <c r="AF166" s="9" t="n">
        <f aca="false">Assumptions!$E$136</f>
        <v>5000</v>
      </c>
      <c r="AG166" s="9" t="n">
        <f aca="false">Assumptions!$E$136</f>
        <v>5000</v>
      </c>
      <c r="AH166" s="9" t="n">
        <f aca="false">Assumptions!$E$136</f>
        <v>5000</v>
      </c>
      <c r="AI166" s="9" t="n">
        <f aca="false">Assumptions!$E$136</f>
        <v>5000</v>
      </c>
      <c r="AJ166" s="9" t="n">
        <f aca="false">Assumptions!$E$136</f>
        <v>5000</v>
      </c>
      <c r="AK166" s="9" t="n">
        <f aca="false">Assumptions!$E$136</f>
        <v>5000</v>
      </c>
      <c r="AL166" s="9" t="n">
        <f aca="false">Assumptions!$E$136</f>
        <v>5000</v>
      </c>
      <c r="AN166" s="11" t="n">
        <f aca="false">SUM(C166:N166)</f>
        <v>24000</v>
      </c>
      <c r="AO166" s="11" t="n">
        <f aca="false">SUM(O166:Z166)</f>
        <v>36000</v>
      </c>
      <c r="AP166" s="11" t="n">
        <f aca="false">SUM(AA166:AL166)</f>
        <v>60000</v>
      </c>
    </row>
    <row r="167" customFormat="false" ht="15" hidden="false" customHeight="false" outlineLevel="0" collapsed="false">
      <c r="A167" s="0" t="s">
        <v>969</v>
      </c>
      <c r="B167" s="0" t="s">
        <v>230</v>
      </c>
      <c r="C167" s="9" t="n">
        <f aca="false">(C165+C166)</f>
        <v>2033.7515984</v>
      </c>
      <c r="D167" s="9" t="n">
        <f aca="false">(D165+D166)</f>
        <v>2059.97399408</v>
      </c>
      <c r="E167" s="9" t="n">
        <f aca="false">(E165+E166)</f>
        <v>2079.03170430272</v>
      </c>
      <c r="F167" s="9" t="n">
        <f aca="false">(F165+F166)</f>
        <v>2094.28555746022</v>
      </c>
      <c r="G167" s="9" t="n">
        <f aca="false">(G165+G166)</f>
        <v>2163.21752041569</v>
      </c>
      <c r="H167" s="9" t="n">
        <f aca="false">(H165+H166)</f>
        <v>2168.27301310726</v>
      </c>
      <c r="I167" s="9" t="n">
        <f aca="false">(I165+I166)</f>
        <v>2181.12990440493</v>
      </c>
      <c r="J167" s="9" t="n">
        <f aca="false">(J165+J166)</f>
        <v>2481.5411366315</v>
      </c>
      <c r="K167" s="9" t="n">
        <f aca="false">(K165+K166)</f>
        <v>2535.80094529104</v>
      </c>
      <c r="L167" s="9" t="n">
        <f aca="false">(L165+L166)</f>
        <v>2557.31420817493</v>
      </c>
      <c r="M167" s="9" t="n">
        <f aca="false">(M165+M166)</f>
        <v>2509.26200917575</v>
      </c>
      <c r="N167" s="9" t="n">
        <f aca="false">(N165+N166)</f>
        <v>2512.94002362002</v>
      </c>
      <c r="O167" s="9" t="n">
        <f aca="false">(O165+O166)</f>
        <v>3837.03300377271</v>
      </c>
      <c r="P167" s="9" t="n">
        <f aca="false">(P165+P166)</f>
        <v>3840.91625374671</v>
      </c>
      <c r="Q167" s="9" t="n">
        <f aca="false">(Q165+Q166)</f>
        <v>4034.27592855529</v>
      </c>
      <c r="R167" s="9" t="n">
        <f aca="false">(R165+R166)</f>
        <v>4191.81266389062</v>
      </c>
      <c r="S167" s="9" t="n">
        <f aca="false">(S165+S166)</f>
        <v>4292.15958116659</v>
      </c>
      <c r="T167" s="9" t="n">
        <f aca="false">(T165+T166)</f>
        <v>4846.10907453004</v>
      </c>
      <c r="U167" s="9" t="n">
        <f aca="false">(U165+U166)</f>
        <v>5027.81116563104</v>
      </c>
      <c r="V167" s="9" t="n">
        <f aca="false">(V165+V166)</f>
        <v>5386.68720062964</v>
      </c>
      <c r="W167" s="9" t="n">
        <f aca="false">(W165+W166)</f>
        <v>5780.24973941761</v>
      </c>
      <c r="X167" s="9" t="n">
        <f aca="false">(X165+X166)</f>
        <v>6260.48476976856</v>
      </c>
      <c r="Y167" s="9" t="n">
        <f aca="false">(Y165+Y166)</f>
        <v>6363.11749469164</v>
      </c>
      <c r="Z167" s="9" t="n">
        <f aca="false">(Z165+Z166)</f>
        <v>6404.09347089757</v>
      </c>
      <c r="AA167" s="9" t="n">
        <f aca="false">(AA165+AA166)</f>
        <v>9012.24553497646</v>
      </c>
      <c r="AB167" s="9" t="n">
        <f aca="false">(AB165+AB166)</f>
        <v>9297.835697867</v>
      </c>
      <c r="AC167" s="9" t="n">
        <f aca="false">(AC165+AC166)</f>
        <v>9425.06525930263</v>
      </c>
      <c r="AD167" s="9" t="n">
        <f aca="false">(AD165+AD166)</f>
        <v>9573.24679818716</v>
      </c>
      <c r="AE167" s="9" t="n">
        <f aca="false">(AE165+AE166)</f>
        <v>10131.520826536</v>
      </c>
      <c r="AF167" s="9" t="n">
        <f aca="false">(AF165+AF166)</f>
        <v>10057.7857376571</v>
      </c>
      <c r="AG167" s="9" t="n">
        <f aca="false">(AG165+AG166)</f>
        <v>10185.8818136294</v>
      </c>
      <c r="AH167" s="9" t="n">
        <f aca="false">(AH165+AH166)</f>
        <v>11942.4235798792</v>
      </c>
      <c r="AI167" s="9" t="n">
        <f aca="false">(AI165+AI166)</f>
        <v>12406.1262127271</v>
      </c>
      <c r="AJ167" s="9" t="n">
        <f aca="false">(AJ165+AJ166)</f>
        <v>12867.5107735903</v>
      </c>
      <c r="AK167" s="9" t="n">
        <f aca="false">(AK165+AK166)</f>
        <v>14445.0532277916</v>
      </c>
      <c r="AL167" s="9" t="n">
        <f aca="false">(AL165+AL166)</f>
        <v>15335.9064705105</v>
      </c>
      <c r="AN167" s="11" t="n">
        <f aca="false">SUM(C167:N167)</f>
        <v>27376.5216150641</v>
      </c>
      <c r="AO167" s="11" t="n">
        <f aca="false">SUM(O167:Z167)</f>
        <v>60264.750346698</v>
      </c>
      <c r="AP167" s="11" t="n">
        <f aca="false">SUM(AA167:AL167)</f>
        <v>134680.601932654</v>
      </c>
    </row>
    <row r="168" customFormat="false" ht="15" hidden="false" customHeight="false" outlineLevel="0" collapsed="false">
      <c r="A168" s="0" t="s">
        <v>970</v>
      </c>
      <c r="B168" s="0" t="s">
        <v>230</v>
      </c>
      <c r="C168" s="9" t="n">
        <f aca="false">((C122+C123)*((Assumptions!$C$90*Assumptions!$C$89)+Assumptions!$C$91))</f>
        <v>0</v>
      </c>
      <c r="D168" s="9" t="n">
        <f aca="false">((D122+D123)*((Assumptions!$C$90*Assumptions!$C$89)+Assumptions!$C$91))</f>
        <v>0</v>
      </c>
      <c r="E168" s="9" t="n">
        <f aca="false">((E122+E123)*((Assumptions!$C$90*Assumptions!$C$89)+Assumptions!$C$91))</f>
        <v>0</v>
      </c>
      <c r="F168" s="9" t="n">
        <f aca="false">((F122+F123)*((Assumptions!$C$90*Assumptions!$C$89)+Assumptions!$C$91))</f>
        <v>0</v>
      </c>
      <c r="G168" s="9" t="n">
        <f aca="false">((G122+G123)*((Assumptions!$C$90*Assumptions!$C$89)+Assumptions!$C$91))</f>
        <v>305</v>
      </c>
      <c r="H168" s="9" t="n">
        <f aca="false">((H122+H123)*((Assumptions!$C$90*Assumptions!$C$89)+Assumptions!$C$91))</f>
        <v>305</v>
      </c>
      <c r="I168" s="9" t="n">
        <f aca="false">((I122+I123)*((Assumptions!$C$90*Assumptions!$C$89)+Assumptions!$C$91))</f>
        <v>305</v>
      </c>
      <c r="J168" s="9" t="n">
        <f aca="false">((J122+J123)*((Assumptions!$C$90*Assumptions!$C$89)+Assumptions!$C$91))</f>
        <v>610</v>
      </c>
      <c r="K168" s="9" t="n">
        <f aca="false">((K122+K123)*((Assumptions!$C$90*Assumptions!$C$89)+Assumptions!$C$91))</f>
        <v>610</v>
      </c>
      <c r="L168" s="9" t="n">
        <f aca="false">((L122+L123)*((Assumptions!$C$90*Assumptions!$C$89)+Assumptions!$C$91))</f>
        <v>610</v>
      </c>
      <c r="M168" s="9" t="n">
        <f aca="false">((M122+M123)*((Assumptions!$C$90*Assumptions!$C$89)+Assumptions!$C$91))</f>
        <v>305</v>
      </c>
      <c r="N168" s="9" t="n">
        <f aca="false">((N122+N123)*((Assumptions!$C$90*Assumptions!$C$89)+Assumptions!$C$91))</f>
        <v>305</v>
      </c>
      <c r="O168" s="9" t="n">
        <f aca="false">((O122+O123)*((Assumptions!$C$90*Assumptions!$C$89)+Assumptions!$C$91))</f>
        <v>305</v>
      </c>
      <c r="P168" s="9" t="n">
        <f aca="false">((P122+P123)*((Assumptions!$C$90*Assumptions!$C$89)+Assumptions!$C$91))</f>
        <v>0</v>
      </c>
      <c r="Q168" s="9" t="n">
        <f aca="false">((Q122+Q123)*((Assumptions!$C$90*Assumptions!$C$89)+Assumptions!$C$91))</f>
        <v>0</v>
      </c>
      <c r="R168" s="9" t="n">
        <f aca="false">((R122+R123)*((Assumptions!$C$90*Assumptions!$C$89)+Assumptions!$C$91))</f>
        <v>0</v>
      </c>
      <c r="S168" s="9" t="n">
        <f aca="false">((S122+S123)*((Assumptions!$C$90*Assumptions!$C$89)+Assumptions!$C$91))</f>
        <v>0</v>
      </c>
      <c r="T168" s="9" t="n">
        <f aca="false">((T122+T123)*((Assumptions!$C$90*Assumptions!$C$89)+Assumptions!$C$91))</f>
        <v>329.4</v>
      </c>
      <c r="U168" s="9" t="n">
        <f aca="false">((U122+U123)*((Assumptions!$C$90*Assumptions!$C$89)+Assumptions!$C$91))</f>
        <v>634.4</v>
      </c>
      <c r="V168" s="9" t="n">
        <f aca="false">((V122+V123)*((Assumptions!$C$90*Assumptions!$C$89)+Assumptions!$C$91))</f>
        <v>634.4</v>
      </c>
      <c r="W168" s="9" t="n">
        <f aca="false">((W122+W123)*((Assumptions!$C$90*Assumptions!$C$89)+Assumptions!$C$91))</f>
        <v>634.4</v>
      </c>
      <c r="X168" s="9" t="n">
        <f aca="false">((X122+X123)*((Assumptions!$C$90*Assumptions!$C$89)+Assumptions!$C$91))</f>
        <v>1244.4</v>
      </c>
      <c r="Y168" s="9" t="n">
        <f aca="false">((Y122+Y123)*((Assumptions!$C$90*Assumptions!$C$89)+Assumptions!$C$91))</f>
        <v>1244.4</v>
      </c>
      <c r="Z168" s="9" t="n">
        <f aca="false">((Z122+Z123)*((Assumptions!$C$90*Assumptions!$C$89)+Assumptions!$C$91))</f>
        <v>1244.4</v>
      </c>
      <c r="AA168" s="9" t="n">
        <f aca="false">((AA122+AA123)*((Assumptions!$C$90*Assumptions!$C$89)+Assumptions!$C$91))</f>
        <v>1854.4</v>
      </c>
      <c r="AB168" s="9" t="n">
        <f aca="false">((AB122+AB123)*((Assumptions!$C$90*Assumptions!$C$89)+Assumptions!$C$91))</f>
        <v>1991.65</v>
      </c>
      <c r="AC168" s="9" t="n">
        <f aca="false">((AC122+AC123)*((Assumptions!$C$90*Assumptions!$C$89)+Assumptions!$C$91))</f>
        <v>1991.65</v>
      </c>
      <c r="AD168" s="9" t="n">
        <f aca="false">((AD122+AD123)*((Assumptions!$C$90*Assumptions!$C$89)+Assumptions!$C$91))</f>
        <v>2296.65</v>
      </c>
      <c r="AE168" s="9" t="n">
        <f aca="false">((AE122+AE123)*((Assumptions!$C$90*Assumptions!$C$89)+Assumptions!$C$91))</f>
        <v>2862.425</v>
      </c>
      <c r="AF168" s="9" t="n">
        <f aca="false">((AF122+AF123)*((Assumptions!$C$90*Assumptions!$C$89)+Assumptions!$C$91))</f>
        <v>2822.897</v>
      </c>
      <c r="AG168" s="9" t="n">
        <f aca="false">((AG122+AG123)*((Assumptions!$C$90*Assumptions!$C$89)+Assumptions!$C$91))</f>
        <v>3127.897</v>
      </c>
      <c r="AH168" s="9" t="n">
        <f aca="false">((AH122+AH123)*((Assumptions!$C$90*Assumptions!$C$89)+Assumptions!$C$91))</f>
        <v>4135.922</v>
      </c>
      <c r="AI168" s="9" t="n">
        <f aca="false">((AI122+AI123)*((Assumptions!$C$90*Assumptions!$C$89)+Assumptions!$C$91))</f>
        <v>4135.922</v>
      </c>
      <c r="AJ168" s="9" t="n">
        <f aca="false">((AJ122+AJ123)*((Assumptions!$C$90*Assumptions!$C$89)+Assumptions!$C$91))</f>
        <v>4745.922</v>
      </c>
      <c r="AK168" s="9" t="n">
        <f aca="false">((AK122+AK123)*((Assumptions!$C$90*Assumptions!$C$89)+Assumptions!$C$91))</f>
        <v>6058.947</v>
      </c>
      <c r="AL168" s="9" t="n">
        <f aca="false">((AL122+AL123)*((Assumptions!$C$90*Assumptions!$C$89)+Assumptions!$C$91))</f>
        <v>6363.947</v>
      </c>
      <c r="AN168" s="11" t="n">
        <f aca="false">SUM(C168:N168)</f>
        <v>3355</v>
      </c>
      <c r="AO168" s="11" t="n">
        <f aca="false">SUM(O168:Z168)</f>
        <v>6270.8</v>
      </c>
      <c r="AP168" s="11" t="n">
        <f aca="false">SUM(AA168:AL168)</f>
        <v>42388.229</v>
      </c>
    </row>
    <row r="169" customFormat="false" ht="15" hidden="false" customHeight="false" outlineLevel="0" collapsed="false">
      <c r="A169" s="0" t="s">
        <v>971</v>
      </c>
      <c r="B169" s="0" t="s">
        <v>421</v>
      </c>
      <c r="C169" s="9" t="n">
        <f aca="false">((((C29+C39)*Assumptions!$C$92)/100)+((C126*Assumptions!$C$93)/100))</f>
        <v>5.85</v>
      </c>
      <c r="D169" s="9" t="n">
        <f aca="false">((((D29+D39)*Assumptions!$C$92)/100)+((D126*Assumptions!$C$93)/100))</f>
        <v>10.395</v>
      </c>
      <c r="E169" s="9" t="n">
        <f aca="false">((((E29+E39)*Assumptions!$C$92)/100)+((E126*Assumptions!$C$93)/100))</f>
        <v>13.69818</v>
      </c>
      <c r="F169" s="9" t="n">
        <f aca="false">((((F29+F39)*Assumptions!$C$92)/100)+((F126*Assumptions!$C$93)/100))</f>
        <v>16.342056</v>
      </c>
      <c r="G169" s="9" t="n">
        <f aca="false">((((G29+G39)*Assumptions!$C$92)/100)+((G126*Assumptions!$C$93)/100))</f>
        <v>25.139697072</v>
      </c>
      <c r="H169" s="9" t="n">
        <f aca="false">((((H29+H39)*Assumptions!$C$92)/100)+((H126*Assumptions!$C$93)/100))</f>
        <v>26.01594097296</v>
      </c>
      <c r="I169" s="9" t="n">
        <f aca="false">((((I29+I39)*Assumptions!$C$92)/100)+((I126*Assumptions!$C$93)/100))</f>
        <v>28.2443632598112</v>
      </c>
      <c r="J169" s="9" t="n">
        <f aca="false">((((J29+J39)*Assumptions!$C$92)/100)+((J126*Assumptions!$C$93)/100))</f>
        <v>67.1881775333717</v>
      </c>
      <c r="K169" s="9" t="n">
        <f aca="false">((((K29+K39)*Assumptions!$C$92)/100)+((K126*Assumptions!$C$93)/100))</f>
        <v>76.5927656330669</v>
      </c>
      <c r="L169" s="9" t="n">
        <f aca="false">((((L29+L39)*Assumptions!$C$92)/100)+((L126*Assumptions!$C$93)/100))</f>
        <v>80.3215546041622</v>
      </c>
      <c r="M169" s="9" t="n">
        <f aca="false">((((M29+M39)*Assumptions!$C$92)/100)+((M126*Assumptions!$C$93)/100))</f>
        <v>75.1429012226613</v>
      </c>
      <c r="N169" s="9" t="n">
        <f aca="false">((((N29+N39)*Assumptions!$C$92)/100)+((N126*Assumptions!$C$93)/100))</f>
        <v>75.7803935346985</v>
      </c>
      <c r="O169" s="9" t="n">
        <f aca="false">((((O29+O39)*Assumptions!$C$92)/100)+((O126*Assumptions!$C$93)/100))</f>
        <v>131.558740026186</v>
      </c>
      <c r="P169" s="9" t="n">
        <f aca="false">((((P29+P39)*Assumptions!$C$92)/100)+((P126*Assumptions!$C$93)/100))</f>
        <v>144.485487877571</v>
      </c>
      <c r="Q169" s="9" t="n">
        <f aca="false">((((Q29+Q39)*Assumptions!$C$92)/100)+((Q126*Assumptions!$C$93)/100))</f>
        <v>176.773077922885</v>
      </c>
      <c r="R169" s="9" t="n">
        <f aca="false">((((R29+R39)*Assumptions!$C$92)/100)+((R126*Assumptions!$C$93)/100))</f>
        <v>202.605152995596</v>
      </c>
      <c r="S169" s="9" t="n">
        <f aca="false">((((S29+S39)*Assumptions!$C$92)/100)+((S126*Assumptions!$C$93)/100))</f>
        <v>218.341435553549</v>
      </c>
      <c r="T169" s="9" t="n">
        <f aca="false">((((T29+T39)*Assumptions!$C$92)/100)+((T126*Assumptions!$C$93)/100))</f>
        <v>287.498042745175</v>
      </c>
      <c r="U169" s="9" t="n">
        <f aca="false">((((U29+U39)*Assumptions!$C$92)/100)+((U126*Assumptions!$C$93)/100))</f>
        <v>314.051399791894</v>
      </c>
      <c r="V169" s="9" t="n">
        <f aca="false">((((V29+V39)*Assumptions!$C$92)/100)+((V126*Assumptions!$C$93)/100))</f>
        <v>374.344756092473</v>
      </c>
      <c r="W169" s="9" t="n">
        <f aca="false">((((W29+W39)*Assumptions!$C$92)/100)+((W126*Assumptions!$C$93)/100))</f>
        <v>440.174472446122</v>
      </c>
      <c r="X169" s="9" t="n">
        <f aca="false">((((X29+X39)*Assumptions!$C$92)/100)+((X126*Assumptions!$C$93)/100))</f>
        <v>504.240793966753</v>
      </c>
      <c r="Y169" s="9" t="n">
        <f aca="false">((((Y29+Y39)*Assumptions!$C$92)/100)+((Y126*Assumptions!$C$93)/100))</f>
        <v>518.984941502376</v>
      </c>
      <c r="Z169" s="9" t="n">
        <f aca="false">((((Z29+Z39)*Assumptions!$C$92)/100)+((Z126*Assumptions!$C$93)/100))</f>
        <v>522.995365352767</v>
      </c>
      <c r="AA169" s="9" t="n">
        <f aca="false">((((AA29+AA39)*Assumptions!$C$92)/100)+((AA126*Assumptions!$C$93)/100))</f>
        <v>609.163264263298</v>
      </c>
      <c r="AB169" s="9" t="n">
        <f aca="false">((((AB29+AB39)*Assumptions!$C$92)/100)+((AB126*Assumptions!$C$93)/100))</f>
        <v>651.403454108197</v>
      </c>
      <c r="AC169" s="9" t="n">
        <f aca="false">((((AC29+AC39)*Assumptions!$C$92)/100)+((AC126*Assumptions!$C$93)/100))</f>
        <v>670.122467610727</v>
      </c>
      <c r="AD169" s="9" t="n">
        <f aca="false">((((AD29+AD39)*Assumptions!$C$92)/100)+((AD126*Assumptions!$C$93)/100))</f>
        <v>689.306699032776</v>
      </c>
      <c r="AE169" s="9" t="n">
        <f aca="false">((((AE29+AE39)*Assumptions!$C$92)/100)+((AE126*Assumptions!$C$93)/100))</f>
        <v>754.515341451856</v>
      </c>
      <c r="AF169" s="9" t="n">
        <f aca="false">((((AF29+AF39)*Assumptions!$C$92)/100)+((AF126*Assumptions!$C$93)/100))</f>
        <v>741.554111611754</v>
      </c>
      <c r="AG169" s="9" t="n">
        <f aca="false">((((AG29+AG39)*Assumptions!$C$92)/100)+((AG126*Assumptions!$C$93)/100))</f>
        <v>757.566567694019</v>
      </c>
      <c r="AH169" s="9" t="n">
        <f aca="false">((((AH29+AH39)*Assumptions!$C$92)/100)+((AH126*Assumptions!$C$93)/100))</f>
        <v>989.228272921453</v>
      </c>
      <c r="AI169" s="9" t="n">
        <f aca="false">((((AI29+AI39)*Assumptions!$C$92)/100)+((AI126*Assumptions!$C$93)/100))</f>
        <v>1066.17672323854</v>
      </c>
      <c r="AJ169" s="9" t="n">
        <f aca="false">((((AJ29+AJ39)*Assumptions!$C$92)/100)+((AJ126*Assumptions!$C$93)/100))</f>
        <v>1125.98154742415</v>
      </c>
      <c r="AK169" s="9" t="n">
        <f aca="false">((((AK29+AK39)*Assumptions!$C$92)/100)+((AK126*Assumptions!$C$93)/100))</f>
        <v>1316.6921739196</v>
      </c>
      <c r="AL169" s="9" t="n">
        <f aca="false">((((AL29+AL39)*Assumptions!$C$92)/100)+((AL126*Assumptions!$C$93)/100))</f>
        <v>1419.99084757145</v>
      </c>
      <c r="AN169" s="11" t="n">
        <f aca="false">SUM(C169:N169)</f>
        <v>500.711029832732</v>
      </c>
      <c r="AO169" s="11" t="n">
        <f aca="false">SUM(O169:Z169)</f>
        <v>3836.05366627335</v>
      </c>
      <c r="AP169" s="11" t="n">
        <f aca="false">SUM(AA169:AL169)</f>
        <v>10791.7014708478</v>
      </c>
    </row>
    <row r="170" customFormat="false" ht="15" hidden="false" customHeight="false" outlineLevel="0" collapsed="false">
      <c r="A170" s="0" t="s">
        <v>972</v>
      </c>
      <c r="B170" s="0" t="s">
        <v>230</v>
      </c>
      <c r="C170" s="9" t="n">
        <f aca="false">((C169*Assumptions!$C$94)*Assumptions!$C$95)</f>
        <v>7.3125</v>
      </c>
      <c r="D170" s="9" t="n">
        <f aca="false">((D169*Assumptions!$C$94)*Assumptions!$C$95)</f>
        <v>12.99375</v>
      </c>
      <c r="E170" s="9" t="n">
        <f aca="false">((E169*Assumptions!$C$94)*Assumptions!$C$95)</f>
        <v>17.122725</v>
      </c>
      <c r="F170" s="9" t="n">
        <f aca="false">((F169*Assumptions!$C$94)*Assumptions!$C$95)</f>
        <v>20.42757</v>
      </c>
      <c r="G170" s="9" t="n">
        <f aca="false">((G169*Assumptions!$C$94)*Assumptions!$C$95)</f>
        <v>31.42462134</v>
      </c>
      <c r="H170" s="9" t="n">
        <f aca="false">((H169*Assumptions!$C$94)*Assumptions!$C$95)</f>
        <v>32.5199262162</v>
      </c>
      <c r="I170" s="9" t="n">
        <f aca="false">((I169*Assumptions!$C$94)*Assumptions!$C$95)</f>
        <v>35.305454074764</v>
      </c>
      <c r="J170" s="9" t="n">
        <f aca="false">((J169*Assumptions!$C$94)*Assumptions!$C$95)</f>
        <v>83.9852219167146</v>
      </c>
      <c r="K170" s="9" t="n">
        <f aca="false">((K169*Assumptions!$C$94)*Assumptions!$C$95)</f>
        <v>95.7409570413336</v>
      </c>
      <c r="L170" s="9" t="n">
        <f aca="false">((L169*Assumptions!$C$94)*Assumptions!$C$95)</f>
        <v>100.401943255203</v>
      </c>
      <c r="M170" s="9" t="n">
        <f aca="false">((M169*Assumptions!$C$94)*Assumptions!$C$95)</f>
        <v>93.9286265283266</v>
      </c>
      <c r="N170" s="9" t="n">
        <f aca="false">((N169*Assumptions!$C$94)*Assumptions!$C$95)</f>
        <v>94.7254919183732</v>
      </c>
      <c r="O170" s="9" t="n">
        <f aca="false">((O169*Assumptions!$C$94)*Assumptions!$C$95)</f>
        <v>164.448425032732</v>
      </c>
      <c r="P170" s="9" t="n">
        <f aca="false">((P169*Assumptions!$C$94)*Assumptions!$C$95)</f>
        <v>180.606859846964</v>
      </c>
      <c r="Q170" s="9" t="n">
        <f aca="false">((Q169*Assumptions!$C$94)*Assumptions!$C$95)</f>
        <v>220.966347403606</v>
      </c>
      <c r="R170" s="9" t="n">
        <f aca="false">((R169*Assumptions!$C$94)*Assumptions!$C$95)</f>
        <v>253.256441244495</v>
      </c>
      <c r="S170" s="9" t="n">
        <f aca="false">((S169*Assumptions!$C$94)*Assumptions!$C$95)</f>
        <v>272.926794441937</v>
      </c>
      <c r="T170" s="9" t="n">
        <f aca="false">((T169*Assumptions!$C$94)*Assumptions!$C$95)</f>
        <v>359.372553431469</v>
      </c>
      <c r="U170" s="9" t="n">
        <f aca="false">((U169*Assumptions!$C$94)*Assumptions!$C$95)</f>
        <v>392.564249739867</v>
      </c>
      <c r="V170" s="9" t="n">
        <f aca="false">((V169*Assumptions!$C$94)*Assumptions!$C$95)</f>
        <v>467.930945115591</v>
      </c>
      <c r="W170" s="9" t="n">
        <f aca="false">((W169*Assumptions!$C$94)*Assumptions!$C$95)</f>
        <v>550.218090557652</v>
      </c>
      <c r="X170" s="9" t="n">
        <f aca="false">((X169*Assumptions!$C$94)*Assumptions!$C$95)</f>
        <v>630.300992458441</v>
      </c>
      <c r="Y170" s="9" t="n">
        <f aca="false">((Y169*Assumptions!$C$94)*Assumptions!$C$95)</f>
        <v>648.73117687797</v>
      </c>
      <c r="Z170" s="9" t="n">
        <f aca="false">((Z169*Assumptions!$C$94)*Assumptions!$C$95)</f>
        <v>653.744206690959</v>
      </c>
      <c r="AA170" s="9" t="n">
        <f aca="false">((AA169*Assumptions!$C$94)*Assumptions!$C$95)</f>
        <v>761.454080329123</v>
      </c>
      <c r="AB170" s="9" t="n">
        <f aca="false">((AB169*Assumptions!$C$94)*Assumptions!$C$95)</f>
        <v>814.254317635246</v>
      </c>
      <c r="AC170" s="9" t="n">
        <f aca="false">((AC169*Assumptions!$C$94)*Assumptions!$C$95)</f>
        <v>837.653084513409</v>
      </c>
      <c r="AD170" s="9" t="n">
        <f aca="false">((AD169*Assumptions!$C$94)*Assumptions!$C$95)</f>
        <v>861.63337379097</v>
      </c>
      <c r="AE170" s="9" t="n">
        <f aca="false">((AE169*Assumptions!$C$94)*Assumptions!$C$95)</f>
        <v>943.14417681482</v>
      </c>
      <c r="AF170" s="9" t="n">
        <f aca="false">((AF169*Assumptions!$C$94)*Assumptions!$C$95)</f>
        <v>926.942639514692</v>
      </c>
      <c r="AG170" s="9" t="n">
        <f aca="false">((AG169*Assumptions!$C$94)*Assumptions!$C$95)</f>
        <v>946.958209617524</v>
      </c>
      <c r="AH170" s="9" t="n">
        <f aca="false">((AH169*Assumptions!$C$94)*Assumptions!$C$95)</f>
        <v>1236.53534115182</v>
      </c>
      <c r="AI170" s="9" t="n">
        <f aca="false">((AI169*Assumptions!$C$94)*Assumptions!$C$95)</f>
        <v>1332.72090404818</v>
      </c>
      <c r="AJ170" s="9" t="n">
        <f aca="false">((AJ169*Assumptions!$C$94)*Assumptions!$C$95)</f>
        <v>1407.47693428019</v>
      </c>
      <c r="AK170" s="9" t="n">
        <f aca="false">((AK169*Assumptions!$C$94)*Assumptions!$C$95)</f>
        <v>1645.8652173995</v>
      </c>
      <c r="AL170" s="9" t="n">
        <f aca="false">((AL169*Assumptions!$C$94)*Assumptions!$C$95)</f>
        <v>1774.98855946432</v>
      </c>
      <c r="AN170" s="11" t="n">
        <f aca="false">SUM(C170:N170)</f>
        <v>625.888787290915</v>
      </c>
      <c r="AO170" s="11" t="n">
        <f aca="false">SUM(O170:Z170)</f>
        <v>4795.06708284168</v>
      </c>
      <c r="AP170" s="11" t="n">
        <f aca="false">SUM(AA170:AL170)</f>
        <v>13489.6268385598</v>
      </c>
    </row>
    <row r="171" customFormat="false" ht="15" hidden="false" customHeight="false" outlineLevel="0" collapsed="false">
      <c r="A171" s="0" t="s">
        <v>973</v>
      </c>
      <c r="B171" s="0" t="s">
        <v>230</v>
      </c>
      <c r="C171" s="9" t="n">
        <f aca="false">SUMPRODUCT((Headcount!$C$5:$C$90="SUPPORT")*Headcount!$D$5:$D$90*Headcount!$F$5:$F$90*((Headcount!$I$5:$I$90=0)+(Headcount!$I$5:$I$90=1)*$C$16)*(C$18&gt;=(Headcount!$E$5:$E$90+Headcount!$G$5:$G$90*$C$15)))/12*(1+Assumptions!$C$97)</f>
        <v>0</v>
      </c>
      <c r="D171" s="9" t="n">
        <f aca="false">SUMPRODUCT((Headcount!$C$5:$C$90="SUPPORT")*Headcount!$D$5:$D$90*Headcount!$F$5:$F$90*((Headcount!$I$5:$I$90=0)+(Headcount!$I$5:$I$90=1)*$C$16)*(D$18&gt;=(Headcount!$E$5:$E$90+Headcount!$G$5:$G$90*$C$15)))/12*(1+Assumptions!$C$97)</f>
        <v>0</v>
      </c>
      <c r="E171" s="9" t="n">
        <f aca="false">SUMPRODUCT((Headcount!$C$5:$C$90="SUPPORT")*Headcount!$D$5:$D$90*Headcount!$F$5:$F$90*((Headcount!$I$5:$I$90=0)+(Headcount!$I$5:$I$90=1)*$C$16)*(E$18&gt;=(Headcount!$E$5:$E$90+Headcount!$G$5:$G$90*$C$15)))/12*(1+Assumptions!$C$97)</f>
        <v>0</v>
      </c>
      <c r="F171" s="9" t="n">
        <f aca="false">SUMPRODUCT((Headcount!$C$5:$C$90="SUPPORT")*Headcount!$D$5:$D$90*Headcount!$F$5:$F$90*((Headcount!$I$5:$I$90=0)+(Headcount!$I$5:$I$90=1)*$C$16)*(F$18&gt;=(Headcount!$E$5:$E$90+Headcount!$G$5:$G$90*$C$15)))/12*(1+Assumptions!$C$97)</f>
        <v>0</v>
      </c>
      <c r="G171" s="9" t="n">
        <f aca="false">SUMPRODUCT((Headcount!$C$5:$C$90="SUPPORT")*Headcount!$D$5:$D$90*Headcount!$F$5:$F$90*((Headcount!$I$5:$I$90=0)+(Headcount!$I$5:$I$90=1)*$C$16)*(G$18&gt;=(Headcount!$E$5:$E$90+Headcount!$G$5:$G$90*$C$15)))/12*(1+Assumptions!$C$97)</f>
        <v>0</v>
      </c>
      <c r="H171" s="9" t="n">
        <f aca="false">SUMPRODUCT((Headcount!$C$5:$C$90="SUPPORT")*Headcount!$D$5:$D$90*Headcount!$F$5:$F$90*((Headcount!$I$5:$I$90=0)+(Headcount!$I$5:$I$90=1)*$C$16)*(H$18&gt;=(Headcount!$E$5:$E$90+Headcount!$G$5:$G$90*$C$15)))/12*(1+Assumptions!$C$97)</f>
        <v>0</v>
      </c>
      <c r="I171" s="9" t="n">
        <f aca="false">SUMPRODUCT((Headcount!$C$5:$C$90="SUPPORT")*Headcount!$D$5:$D$90*Headcount!$F$5:$F$90*((Headcount!$I$5:$I$90=0)+(Headcount!$I$5:$I$90=1)*$C$16)*(I$18&gt;=(Headcount!$E$5:$E$90+Headcount!$G$5:$G$90*$C$15)))/12*(1+Assumptions!$C$97)</f>
        <v>0</v>
      </c>
      <c r="J171" s="9" t="n">
        <f aca="false">SUMPRODUCT((Headcount!$C$5:$C$90="SUPPORT")*Headcount!$D$5:$D$90*Headcount!$F$5:$F$90*((Headcount!$I$5:$I$90=0)+(Headcount!$I$5:$I$90=1)*$C$16)*(J$18&gt;=(Headcount!$E$5:$E$90+Headcount!$G$5:$G$90*$C$15)))/12*(1+Assumptions!$C$97)</f>
        <v>0</v>
      </c>
      <c r="K171" s="9" t="n">
        <f aca="false">SUMPRODUCT((Headcount!$C$5:$C$90="SUPPORT")*Headcount!$D$5:$D$90*Headcount!$F$5:$F$90*((Headcount!$I$5:$I$90=0)+(Headcount!$I$5:$I$90=1)*$C$16)*(K$18&gt;=(Headcount!$E$5:$E$90+Headcount!$G$5:$G$90*$C$15)))/12*(1+Assumptions!$C$97)</f>
        <v>6303.33333333333</v>
      </c>
      <c r="L171" s="9" t="n">
        <f aca="false">SUMPRODUCT((Headcount!$C$5:$C$90="SUPPORT")*Headcount!$D$5:$D$90*Headcount!$F$5:$F$90*((Headcount!$I$5:$I$90=0)+(Headcount!$I$5:$I$90=1)*$C$16)*(L$18&gt;=(Headcount!$E$5:$E$90+Headcount!$G$5:$G$90*$C$15)))/12*(1+Assumptions!$C$97)</f>
        <v>6303.33333333333</v>
      </c>
      <c r="M171" s="9" t="n">
        <f aca="false">SUMPRODUCT((Headcount!$C$5:$C$90="SUPPORT")*Headcount!$D$5:$D$90*Headcount!$F$5:$F$90*((Headcount!$I$5:$I$90=0)+(Headcount!$I$5:$I$90=1)*$C$16)*(M$18&gt;=(Headcount!$E$5:$E$90+Headcount!$G$5:$G$90*$C$15)))/12*(1+Assumptions!$C$97)</f>
        <v>6303.33333333333</v>
      </c>
      <c r="N171" s="9" t="n">
        <f aca="false">SUMPRODUCT((Headcount!$C$5:$C$90="SUPPORT")*Headcount!$D$5:$D$90*Headcount!$F$5:$F$90*((Headcount!$I$5:$I$90=0)+(Headcount!$I$5:$I$90=1)*$C$16)*(N$18&gt;=(Headcount!$E$5:$E$90+Headcount!$G$5:$G$90*$C$15)))/12*(1+Assumptions!$C$97)</f>
        <v>6303.33333333333</v>
      </c>
      <c r="O171" s="9" t="n">
        <f aca="false">SUMPRODUCT((Headcount!$C$5:$C$90="SUPPORT")*Headcount!$D$5:$D$90*Headcount!$F$5:$F$90*((Headcount!$I$5:$I$90=0)+(Headcount!$I$5:$I$90=1)*$C$16)*(O$18&gt;=(Headcount!$E$5:$E$90+Headcount!$G$5:$G$90*$C$15)))/12*(1+Assumptions!$C$97)</f>
        <v>6303.33333333333</v>
      </c>
      <c r="P171" s="9" t="n">
        <f aca="false">SUMPRODUCT((Headcount!$C$5:$C$90="SUPPORT")*Headcount!$D$5:$D$90*Headcount!$F$5:$F$90*((Headcount!$I$5:$I$90=0)+(Headcount!$I$5:$I$90=1)*$C$16)*(P$18&gt;=(Headcount!$E$5:$E$90+Headcount!$G$5:$G$90*$C$15)))/12*(1+Assumptions!$C$97)</f>
        <v>6303.33333333333</v>
      </c>
      <c r="Q171" s="9" t="n">
        <f aca="false">SUMPRODUCT((Headcount!$C$5:$C$90="SUPPORT")*Headcount!$D$5:$D$90*Headcount!$F$5:$F$90*((Headcount!$I$5:$I$90=0)+(Headcount!$I$5:$I$90=1)*$C$16)*(Q$18&gt;=(Headcount!$E$5:$E$90+Headcount!$G$5:$G$90*$C$15)))/12*(1+Assumptions!$C$97)</f>
        <v>6303.33333333333</v>
      </c>
      <c r="R171" s="9" t="n">
        <f aca="false">SUMPRODUCT((Headcount!$C$5:$C$90="SUPPORT")*Headcount!$D$5:$D$90*Headcount!$F$5:$F$90*((Headcount!$I$5:$I$90=0)+(Headcount!$I$5:$I$90=1)*$C$16)*(R$18&gt;=(Headcount!$E$5:$E$90+Headcount!$G$5:$G$90*$C$15)))/12*(1+Assumptions!$C$97)</f>
        <v>6303.33333333333</v>
      </c>
      <c r="S171" s="9" t="n">
        <f aca="false">SUMPRODUCT((Headcount!$C$5:$C$90="SUPPORT")*Headcount!$D$5:$D$90*Headcount!$F$5:$F$90*((Headcount!$I$5:$I$90=0)+(Headcount!$I$5:$I$90=1)*$C$16)*(S$18&gt;=(Headcount!$E$5:$E$90+Headcount!$G$5:$G$90*$C$15)))/12*(1+Assumptions!$C$97)</f>
        <v>6303.33333333333</v>
      </c>
      <c r="T171" s="9" t="n">
        <f aca="false">SUMPRODUCT((Headcount!$C$5:$C$90="SUPPORT")*Headcount!$D$5:$D$90*Headcount!$F$5:$F$90*((Headcount!$I$5:$I$90=0)+(Headcount!$I$5:$I$90=1)*$C$16)*(T$18&gt;=(Headcount!$E$5:$E$90+Headcount!$G$5:$G$90*$C$15)))/12*(1+Assumptions!$C$97)</f>
        <v>14945</v>
      </c>
      <c r="U171" s="9" t="n">
        <f aca="false">SUMPRODUCT((Headcount!$C$5:$C$90="SUPPORT")*Headcount!$D$5:$D$90*Headcount!$F$5:$F$90*((Headcount!$I$5:$I$90=0)+(Headcount!$I$5:$I$90=1)*$C$16)*(U$18&gt;=(Headcount!$E$5:$E$90+Headcount!$G$5:$G$90*$C$15)))/12*(1+Assumptions!$C$97)</f>
        <v>14945</v>
      </c>
      <c r="V171" s="9" t="n">
        <f aca="false">SUMPRODUCT((Headcount!$C$5:$C$90="SUPPORT")*Headcount!$D$5:$D$90*Headcount!$F$5:$F$90*((Headcount!$I$5:$I$90=0)+(Headcount!$I$5:$I$90=1)*$C$16)*(V$18&gt;=(Headcount!$E$5:$E$90+Headcount!$G$5:$G$90*$C$15)))/12*(1+Assumptions!$C$97)</f>
        <v>14945</v>
      </c>
      <c r="W171" s="9" t="n">
        <f aca="false">SUMPRODUCT((Headcount!$C$5:$C$90="SUPPORT")*Headcount!$D$5:$D$90*Headcount!$F$5:$F$90*((Headcount!$I$5:$I$90=0)+(Headcount!$I$5:$I$90=1)*$C$16)*(W$18&gt;=(Headcount!$E$5:$E$90+Headcount!$G$5:$G$90*$C$15)))/12*(1+Assumptions!$C$97)</f>
        <v>14945</v>
      </c>
      <c r="X171" s="9" t="n">
        <f aca="false">SUMPRODUCT((Headcount!$C$5:$C$90="SUPPORT")*Headcount!$D$5:$D$90*Headcount!$F$5:$F$90*((Headcount!$I$5:$I$90=0)+(Headcount!$I$5:$I$90=1)*$C$16)*(X$18&gt;=(Headcount!$E$5:$E$90+Headcount!$G$5:$G$90*$C$15)))/12*(1+Assumptions!$C$97)</f>
        <v>14945</v>
      </c>
      <c r="Y171" s="9" t="n">
        <f aca="false">SUMPRODUCT((Headcount!$C$5:$C$90="SUPPORT")*Headcount!$D$5:$D$90*Headcount!$F$5:$F$90*((Headcount!$I$5:$I$90=0)+(Headcount!$I$5:$I$90=1)*$C$16)*(Y$18&gt;=(Headcount!$E$5:$E$90+Headcount!$G$5:$G$90*$C$15)))/12*(1+Assumptions!$C$97)</f>
        <v>14945</v>
      </c>
      <c r="Z171" s="9" t="n">
        <f aca="false">SUMPRODUCT((Headcount!$C$5:$C$90="SUPPORT")*Headcount!$D$5:$D$90*Headcount!$F$5:$F$90*((Headcount!$I$5:$I$90=0)+(Headcount!$I$5:$I$90=1)*$C$16)*(Z$18&gt;=(Headcount!$E$5:$E$90+Headcount!$G$5:$G$90*$C$15)))/12*(1+Assumptions!$C$97)</f>
        <v>14945</v>
      </c>
      <c r="AA171" s="9" t="n">
        <f aca="false">SUMPRODUCT((Headcount!$C$5:$C$90="SUPPORT")*Headcount!$D$5:$D$90*Headcount!$F$5:$F$90*((Headcount!$I$5:$I$90=0)+(Headcount!$I$5:$I$90=1)*$C$16)*(AA$18&gt;=(Headcount!$E$5:$E$90+Headcount!$G$5:$G$90*$C$15)))/12*(1+Assumptions!$C$97)</f>
        <v>14945</v>
      </c>
      <c r="AB171" s="9" t="n">
        <f aca="false">SUMPRODUCT((Headcount!$C$5:$C$90="SUPPORT")*Headcount!$D$5:$D$90*Headcount!$F$5:$F$90*((Headcount!$I$5:$I$90=0)+(Headcount!$I$5:$I$90=1)*$C$16)*(AB$18&gt;=(Headcount!$E$5:$E$90+Headcount!$G$5:$G$90*$C$15)))/12*(1+Assumptions!$C$97)</f>
        <v>21248.3333333333</v>
      </c>
      <c r="AC171" s="9" t="n">
        <f aca="false">SUMPRODUCT((Headcount!$C$5:$C$90="SUPPORT")*Headcount!$D$5:$D$90*Headcount!$F$5:$F$90*((Headcount!$I$5:$I$90=0)+(Headcount!$I$5:$I$90=1)*$C$16)*(AC$18&gt;=(Headcount!$E$5:$E$90+Headcount!$G$5:$G$90*$C$15)))/12*(1+Assumptions!$C$97)</f>
        <v>21248.3333333333</v>
      </c>
      <c r="AD171" s="9" t="n">
        <f aca="false">SUMPRODUCT((Headcount!$C$5:$C$90="SUPPORT")*Headcount!$D$5:$D$90*Headcount!$F$5:$F$90*((Headcount!$I$5:$I$90=0)+(Headcount!$I$5:$I$90=1)*$C$16)*(AD$18&gt;=(Headcount!$E$5:$E$90+Headcount!$G$5:$G$90*$C$15)))/12*(1+Assumptions!$C$97)</f>
        <v>21248.3333333333</v>
      </c>
      <c r="AE171" s="9" t="n">
        <f aca="false">SUMPRODUCT((Headcount!$C$5:$C$90="SUPPORT")*Headcount!$D$5:$D$90*Headcount!$F$5:$F$90*((Headcount!$I$5:$I$90=0)+(Headcount!$I$5:$I$90=1)*$C$16)*(AE$18&gt;=(Headcount!$E$5:$E$90+Headcount!$G$5:$G$90*$C$15)))/12*(1+Assumptions!$C$97)</f>
        <v>21248.3333333333</v>
      </c>
      <c r="AF171" s="9" t="n">
        <f aca="false">SUMPRODUCT((Headcount!$C$5:$C$90="SUPPORT")*Headcount!$D$5:$D$90*Headcount!$F$5:$F$90*((Headcount!$I$5:$I$90=0)+(Headcount!$I$5:$I$90=1)*$C$16)*(AF$18&gt;=(Headcount!$E$5:$E$90+Headcount!$G$5:$G$90*$C$15)))/12*(1+Assumptions!$C$97)</f>
        <v>21248.3333333333</v>
      </c>
      <c r="AG171" s="9" t="n">
        <f aca="false">SUMPRODUCT((Headcount!$C$5:$C$90="SUPPORT")*Headcount!$D$5:$D$90*Headcount!$F$5:$F$90*((Headcount!$I$5:$I$90=0)+(Headcount!$I$5:$I$90=1)*$C$16)*(AG$18&gt;=(Headcount!$E$5:$E$90+Headcount!$G$5:$G$90*$C$15)))/12*(1+Assumptions!$C$97)</f>
        <v>21248.3333333333</v>
      </c>
      <c r="AH171" s="9" t="n">
        <f aca="false">SUMPRODUCT((Headcount!$C$5:$C$90="SUPPORT")*Headcount!$D$5:$D$90*Headcount!$F$5:$F$90*((Headcount!$I$5:$I$90=0)+(Headcount!$I$5:$I$90=1)*$C$16)*(AH$18&gt;=(Headcount!$E$5:$E$90+Headcount!$G$5:$G$90*$C$15)))/12*(1+Assumptions!$C$97)</f>
        <v>21248.3333333333</v>
      </c>
      <c r="AI171" s="9" t="n">
        <f aca="false">SUMPRODUCT((Headcount!$C$5:$C$90="SUPPORT")*Headcount!$D$5:$D$90*Headcount!$F$5:$F$90*((Headcount!$I$5:$I$90=0)+(Headcount!$I$5:$I$90=1)*$C$16)*(AI$18&gt;=(Headcount!$E$5:$E$90+Headcount!$G$5:$G$90*$C$15)))/12*(1+Assumptions!$C$97)</f>
        <v>27551.6666666667</v>
      </c>
      <c r="AJ171" s="9" t="n">
        <f aca="false">SUMPRODUCT((Headcount!$C$5:$C$90="SUPPORT")*Headcount!$D$5:$D$90*Headcount!$F$5:$F$90*((Headcount!$I$5:$I$90=0)+(Headcount!$I$5:$I$90=1)*$C$16)*(AJ$18&gt;=(Headcount!$E$5:$E$90+Headcount!$G$5:$G$90*$C$15)))/12*(1+Assumptions!$C$97)</f>
        <v>27551.6666666667</v>
      </c>
      <c r="AK171" s="9" t="n">
        <f aca="false">SUMPRODUCT((Headcount!$C$5:$C$90="SUPPORT")*Headcount!$D$5:$D$90*Headcount!$F$5:$F$90*((Headcount!$I$5:$I$90=0)+(Headcount!$I$5:$I$90=1)*$C$16)*(AK$18&gt;=(Headcount!$E$5:$E$90+Headcount!$G$5:$G$90*$C$15)))/12*(1+Assumptions!$C$97)</f>
        <v>27551.6666666667</v>
      </c>
      <c r="AL171" s="9" t="n">
        <f aca="false">SUMPRODUCT((Headcount!$C$5:$C$90="SUPPORT")*Headcount!$D$5:$D$90*Headcount!$F$5:$F$90*((Headcount!$I$5:$I$90=0)+(Headcount!$I$5:$I$90=1)*$C$16)*(AL$18&gt;=(Headcount!$E$5:$E$90+Headcount!$G$5:$G$90*$C$15)))/12*(1+Assumptions!$C$97)</f>
        <v>27551.6666666667</v>
      </c>
      <c r="AN171" s="11" t="n">
        <f aca="false">SUM(C171:N171)</f>
        <v>25213.3333333333</v>
      </c>
      <c r="AO171" s="11" t="n">
        <f aca="false">SUM(O171:Z171)</f>
        <v>136131.666666667</v>
      </c>
      <c r="AP171" s="11" t="n">
        <f aca="false">SUM(AA171:AL171)</f>
        <v>273890</v>
      </c>
    </row>
    <row r="172" customFormat="false" ht="15" hidden="false" customHeight="false" outlineLevel="0" collapsed="false">
      <c r="A172" s="0" t="s">
        <v>974</v>
      </c>
      <c r="B172" s="0" t="s">
        <v>230</v>
      </c>
      <c r="C172" s="9" t="n">
        <f aca="false">SUMPRODUCT((Headcount!$C$5:$C$90="IMPL")*Headcount!$D$5:$D$90*Headcount!$F$5:$F$90*((Headcount!$I$5:$I$90=0)+(Headcount!$I$5:$I$90=1)*$C$16)*(C$18&gt;=(Headcount!$E$5:$E$90+Headcount!$G$5:$G$90*$C$15)))/12*(1+Assumptions!$C$97)</f>
        <v>0</v>
      </c>
      <c r="D172" s="9" t="n">
        <f aca="false">SUMPRODUCT((Headcount!$C$5:$C$90="IMPL")*Headcount!$D$5:$D$90*Headcount!$F$5:$F$90*((Headcount!$I$5:$I$90=0)+(Headcount!$I$5:$I$90=1)*$C$16)*(D$18&gt;=(Headcount!$E$5:$E$90+Headcount!$G$5:$G$90*$C$15)))/12*(1+Assumptions!$C$97)</f>
        <v>0</v>
      </c>
      <c r="E172" s="9" t="n">
        <f aca="false">SUMPRODUCT((Headcount!$C$5:$C$90="IMPL")*Headcount!$D$5:$D$90*Headcount!$F$5:$F$90*((Headcount!$I$5:$I$90=0)+(Headcount!$I$5:$I$90=1)*$C$16)*(E$18&gt;=(Headcount!$E$5:$E$90+Headcount!$G$5:$G$90*$C$15)))/12*(1+Assumptions!$C$97)</f>
        <v>0</v>
      </c>
      <c r="F172" s="9" t="n">
        <f aca="false">SUMPRODUCT((Headcount!$C$5:$C$90="IMPL")*Headcount!$D$5:$D$90*Headcount!$F$5:$F$90*((Headcount!$I$5:$I$90=0)+(Headcount!$I$5:$I$90=1)*$C$16)*(F$18&gt;=(Headcount!$E$5:$E$90+Headcount!$G$5:$G$90*$C$15)))/12*(1+Assumptions!$C$97)</f>
        <v>0</v>
      </c>
      <c r="G172" s="9" t="n">
        <f aca="false">SUMPRODUCT((Headcount!$C$5:$C$90="IMPL")*Headcount!$D$5:$D$90*Headcount!$F$5:$F$90*((Headcount!$I$5:$I$90=0)+(Headcount!$I$5:$I$90=1)*$C$16)*(G$18&gt;=(Headcount!$E$5:$E$90+Headcount!$G$5:$G$90*$C$15)))/12*(1+Assumptions!$C$97)</f>
        <v>10166.6666666667</v>
      </c>
      <c r="H172" s="9" t="n">
        <f aca="false">SUMPRODUCT((Headcount!$C$5:$C$90="IMPL")*Headcount!$D$5:$D$90*Headcount!$F$5:$F$90*((Headcount!$I$5:$I$90=0)+(Headcount!$I$5:$I$90=1)*$C$16)*(H$18&gt;=(Headcount!$E$5:$E$90+Headcount!$G$5:$G$90*$C$15)))/12*(1+Assumptions!$C$97)</f>
        <v>10166.6666666667</v>
      </c>
      <c r="I172" s="9" t="n">
        <f aca="false">SUMPRODUCT((Headcount!$C$5:$C$90="IMPL")*Headcount!$D$5:$D$90*Headcount!$F$5:$F$90*((Headcount!$I$5:$I$90=0)+(Headcount!$I$5:$I$90=1)*$C$16)*(I$18&gt;=(Headcount!$E$5:$E$90+Headcount!$G$5:$G$90*$C$15)))/12*(1+Assumptions!$C$97)</f>
        <v>10166.6666666667</v>
      </c>
      <c r="J172" s="9" t="n">
        <f aca="false">SUMPRODUCT((Headcount!$C$5:$C$90="IMPL")*Headcount!$D$5:$D$90*Headcount!$F$5:$F$90*((Headcount!$I$5:$I$90=0)+(Headcount!$I$5:$I$90=1)*$C$16)*(J$18&gt;=(Headcount!$E$5:$E$90+Headcount!$G$5:$G$90*$C$15)))/12*(1+Assumptions!$C$97)</f>
        <v>10166.6666666667</v>
      </c>
      <c r="K172" s="9" t="n">
        <f aca="false">SUMPRODUCT((Headcount!$C$5:$C$90="IMPL")*Headcount!$D$5:$D$90*Headcount!$F$5:$F$90*((Headcount!$I$5:$I$90=0)+(Headcount!$I$5:$I$90=1)*$C$16)*(K$18&gt;=(Headcount!$E$5:$E$90+Headcount!$G$5:$G$90*$C$15)))/12*(1+Assumptions!$C$97)</f>
        <v>10166.6666666667</v>
      </c>
      <c r="L172" s="9" t="n">
        <f aca="false">SUMPRODUCT((Headcount!$C$5:$C$90="IMPL")*Headcount!$D$5:$D$90*Headcount!$F$5:$F$90*((Headcount!$I$5:$I$90=0)+(Headcount!$I$5:$I$90=1)*$C$16)*(L$18&gt;=(Headcount!$E$5:$E$90+Headcount!$G$5:$G$90*$C$15)))/12*(1+Assumptions!$C$97)</f>
        <v>10166.6666666667</v>
      </c>
      <c r="M172" s="9" t="n">
        <f aca="false">SUMPRODUCT((Headcount!$C$5:$C$90="IMPL")*Headcount!$D$5:$D$90*Headcount!$F$5:$F$90*((Headcount!$I$5:$I$90=0)+(Headcount!$I$5:$I$90=1)*$C$16)*(M$18&gt;=(Headcount!$E$5:$E$90+Headcount!$G$5:$G$90*$C$15)))/12*(1+Assumptions!$C$97)</f>
        <v>20333.3333333333</v>
      </c>
      <c r="N172" s="9" t="n">
        <f aca="false">SUMPRODUCT((Headcount!$C$5:$C$90="IMPL")*Headcount!$D$5:$D$90*Headcount!$F$5:$F$90*((Headcount!$I$5:$I$90=0)+(Headcount!$I$5:$I$90=1)*$C$16)*(N$18&gt;=(Headcount!$E$5:$E$90+Headcount!$G$5:$G$90*$C$15)))/12*(1+Assumptions!$C$97)</f>
        <v>20333.3333333333</v>
      </c>
      <c r="O172" s="9" t="n">
        <f aca="false">SUMPRODUCT((Headcount!$C$5:$C$90="IMPL")*Headcount!$D$5:$D$90*Headcount!$F$5:$F$90*((Headcount!$I$5:$I$90=0)+(Headcount!$I$5:$I$90=1)*$C$16)*(O$18&gt;=(Headcount!$E$5:$E$90+Headcount!$G$5:$G$90*$C$15)))/12*(1+Assumptions!$C$97)</f>
        <v>20333.3333333333</v>
      </c>
      <c r="P172" s="9" t="n">
        <f aca="false">SUMPRODUCT((Headcount!$C$5:$C$90="IMPL")*Headcount!$D$5:$D$90*Headcount!$F$5:$F$90*((Headcount!$I$5:$I$90=0)+(Headcount!$I$5:$I$90=1)*$C$16)*(P$18&gt;=(Headcount!$E$5:$E$90+Headcount!$G$5:$G$90*$C$15)))/12*(1+Assumptions!$C$97)</f>
        <v>20333.3333333333</v>
      </c>
      <c r="Q172" s="9" t="n">
        <f aca="false">SUMPRODUCT((Headcount!$C$5:$C$90="IMPL")*Headcount!$D$5:$D$90*Headcount!$F$5:$F$90*((Headcount!$I$5:$I$90=0)+(Headcount!$I$5:$I$90=1)*$C$16)*(Q$18&gt;=(Headcount!$E$5:$E$90+Headcount!$G$5:$G$90*$C$15)))/12*(1+Assumptions!$C$97)</f>
        <v>30500</v>
      </c>
      <c r="R172" s="9" t="n">
        <f aca="false">SUMPRODUCT((Headcount!$C$5:$C$90="IMPL")*Headcount!$D$5:$D$90*Headcount!$F$5:$F$90*((Headcount!$I$5:$I$90=0)+(Headcount!$I$5:$I$90=1)*$C$16)*(R$18&gt;=(Headcount!$E$5:$E$90+Headcount!$G$5:$G$90*$C$15)))/12*(1+Assumptions!$C$97)</f>
        <v>30500</v>
      </c>
      <c r="S172" s="9" t="n">
        <f aca="false">SUMPRODUCT((Headcount!$C$5:$C$90="IMPL")*Headcount!$D$5:$D$90*Headcount!$F$5:$F$90*((Headcount!$I$5:$I$90=0)+(Headcount!$I$5:$I$90=1)*$C$16)*(S$18&gt;=(Headcount!$E$5:$E$90+Headcount!$G$5:$G$90*$C$15)))/12*(1+Assumptions!$C$97)</f>
        <v>30500</v>
      </c>
      <c r="T172" s="9" t="n">
        <f aca="false">SUMPRODUCT((Headcount!$C$5:$C$90="IMPL")*Headcount!$D$5:$D$90*Headcount!$F$5:$F$90*((Headcount!$I$5:$I$90=0)+(Headcount!$I$5:$I$90=1)*$C$16)*(T$18&gt;=(Headcount!$E$5:$E$90+Headcount!$G$5:$G$90*$C$15)))/12*(1+Assumptions!$C$97)</f>
        <v>30500</v>
      </c>
      <c r="U172" s="9" t="n">
        <f aca="false">SUMPRODUCT((Headcount!$C$5:$C$90="IMPL")*Headcount!$D$5:$D$90*Headcount!$F$5:$F$90*((Headcount!$I$5:$I$90=0)+(Headcount!$I$5:$I$90=1)*$C$16)*(U$18&gt;=(Headcount!$E$5:$E$90+Headcount!$G$5:$G$90*$C$15)))/12*(1+Assumptions!$C$97)</f>
        <v>40666.6666666667</v>
      </c>
      <c r="V172" s="9" t="n">
        <f aca="false">SUMPRODUCT((Headcount!$C$5:$C$90="IMPL")*Headcount!$D$5:$D$90*Headcount!$F$5:$F$90*((Headcount!$I$5:$I$90=0)+(Headcount!$I$5:$I$90=1)*$C$16)*(V$18&gt;=(Headcount!$E$5:$E$90+Headcount!$G$5:$G$90*$C$15)))/12*(1+Assumptions!$C$97)</f>
        <v>40666.6666666667</v>
      </c>
      <c r="W172" s="9" t="n">
        <f aca="false">SUMPRODUCT((Headcount!$C$5:$C$90="IMPL")*Headcount!$D$5:$D$90*Headcount!$F$5:$F$90*((Headcount!$I$5:$I$90=0)+(Headcount!$I$5:$I$90=1)*$C$16)*(W$18&gt;=(Headcount!$E$5:$E$90+Headcount!$G$5:$G$90*$C$15)))/12*(1+Assumptions!$C$97)</f>
        <v>40666.6666666667</v>
      </c>
      <c r="X172" s="9" t="n">
        <f aca="false">SUMPRODUCT((Headcount!$C$5:$C$90="IMPL")*Headcount!$D$5:$D$90*Headcount!$F$5:$F$90*((Headcount!$I$5:$I$90=0)+(Headcount!$I$5:$I$90=1)*$C$16)*(X$18&gt;=(Headcount!$E$5:$E$90+Headcount!$G$5:$G$90*$C$15)))/12*(1+Assumptions!$C$97)</f>
        <v>50833.3333333333</v>
      </c>
      <c r="Y172" s="9" t="n">
        <f aca="false">SUMPRODUCT((Headcount!$C$5:$C$90="IMPL")*Headcount!$D$5:$D$90*Headcount!$F$5:$F$90*((Headcount!$I$5:$I$90=0)+(Headcount!$I$5:$I$90=1)*$C$16)*(Y$18&gt;=(Headcount!$E$5:$E$90+Headcount!$G$5:$G$90*$C$15)))/12*(1+Assumptions!$C$97)</f>
        <v>50833.3333333333</v>
      </c>
      <c r="Z172" s="9" t="n">
        <f aca="false">SUMPRODUCT((Headcount!$C$5:$C$90="IMPL")*Headcount!$D$5:$D$90*Headcount!$F$5:$F$90*((Headcount!$I$5:$I$90=0)+(Headcount!$I$5:$I$90=1)*$C$16)*(Z$18&gt;=(Headcount!$E$5:$E$90+Headcount!$G$5:$G$90*$C$15)))/12*(1+Assumptions!$C$97)</f>
        <v>50833.3333333333</v>
      </c>
      <c r="AA172" s="9" t="n">
        <f aca="false">SUMPRODUCT((Headcount!$C$5:$C$90="IMPL")*Headcount!$D$5:$D$90*Headcount!$F$5:$F$90*((Headcount!$I$5:$I$90=0)+(Headcount!$I$5:$I$90=1)*$C$16)*(AA$18&gt;=(Headcount!$E$5:$E$90+Headcount!$G$5:$G$90*$C$15)))/12*(1+Assumptions!$C$97)</f>
        <v>61000</v>
      </c>
      <c r="AB172" s="9" t="n">
        <f aca="false">SUMPRODUCT((Headcount!$C$5:$C$90="IMPL")*Headcount!$D$5:$D$90*Headcount!$F$5:$F$90*((Headcount!$I$5:$I$90=0)+(Headcount!$I$5:$I$90=1)*$C$16)*(AB$18&gt;=(Headcount!$E$5:$E$90+Headcount!$G$5:$G$90*$C$15)))/12*(1+Assumptions!$C$97)</f>
        <v>61000</v>
      </c>
      <c r="AC172" s="9" t="n">
        <f aca="false">SUMPRODUCT((Headcount!$C$5:$C$90="IMPL")*Headcount!$D$5:$D$90*Headcount!$F$5:$F$90*((Headcount!$I$5:$I$90=0)+(Headcount!$I$5:$I$90=1)*$C$16)*(AC$18&gt;=(Headcount!$E$5:$E$90+Headcount!$G$5:$G$90*$C$15)))/12*(1+Assumptions!$C$97)</f>
        <v>61000</v>
      </c>
      <c r="AD172" s="9" t="n">
        <f aca="false">SUMPRODUCT((Headcount!$C$5:$C$90="IMPL")*Headcount!$D$5:$D$90*Headcount!$F$5:$F$90*((Headcount!$I$5:$I$90=0)+(Headcount!$I$5:$I$90=1)*$C$16)*(AD$18&gt;=(Headcount!$E$5:$E$90+Headcount!$G$5:$G$90*$C$15)))/12*(1+Assumptions!$C$97)</f>
        <v>71166.6666666667</v>
      </c>
      <c r="AE172" s="9" t="n">
        <f aca="false">SUMPRODUCT((Headcount!$C$5:$C$90="IMPL")*Headcount!$D$5:$D$90*Headcount!$F$5:$F$90*((Headcount!$I$5:$I$90=0)+(Headcount!$I$5:$I$90=1)*$C$16)*(AE$18&gt;=(Headcount!$E$5:$E$90+Headcount!$G$5:$G$90*$C$15)))/12*(1+Assumptions!$C$97)</f>
        <v>71166.6666666667</v>
      </c>
      <c r="AF172" s="9" t="n">
        <f aca="false">SUMPRODUCT((Headcount!$C$5:$C$90="IMPL")*Headcount!$D$5:$D$90*Headcount!$F$5:$F$90*((Headcount!$I$5:$I$90=0)+(Headcount!$I$5:$I$90=1)*$C$16)*(AF$18&gt;=(Headcount!$E$5:$E$90+Headcount!$G$5:$G$90*$C$15)))/12*(1+Assumptions!$C$97)</f>
        <v>71166.6666666667</v>
      </c>
      <c r="AG172" s="9" t="n">
        <f aca="false">SUMPRODUCT((Headcount!$C$5:$C$90="IMPL")*Headcount!$D$5:$D$90*Headcount!$F$5:$F$90*((Headcount!$I$5:$I$90=0)+(Headcount!$I$5:$I$90=1)*$C$16)*(AG$18&gt;=(Headcount!$E$5:$E$90+Headcount!$G$5:$G$90*$C$15)))/12*(1+Assumptions!$C$97)</f>
        <v>81333.3333333333</v>
      </c>
      <c r="AH172" s="9" t="n">
        <f aca="false">SUMPRODUCT((Headcount!$C$5:$C$90="IMPL")*Headcount!$D$5:$D$90*Headcount!$F$5:$F$90*((Headcount!$I$5:$I$90=0)+(Headcount!$I$5:$I$90=1)*$C$16)*(AH$18&gt;=(Headcount!$E$5:$E$90+Headcount!$G$5:$G$90*$C$15)))/12*(1+Assumptions!$C$97)</f>
        <v>81333.3333333333</v>
      </c>
      <c r="AI172" s="9" t="n">
        <f aca="false">SUMPRODUCT((Headcount!$C$5:$C$90="IMPL")*Headcount!$D$5:$D$90*Headcount!$F$5:$F$90*((Headcount!$I$5:$I$90=0)+(Headcount!$I$5:$I$90=1)*$C$16)*(AI$18&gt;=(Headcount!$E$5:$E$90+Headcount!$G$5:$G$90*$C$15)))/12*(1+Assumptions!$C$97)</f>
        <v>81333.3333333333</v>
      </c>
      <c r="AJ172" s="9" t="n">
        <f aca="false">SUMPRODUCT((Headcount!$C$5:$C$90="IMPL")*Headcount!$D$5:$D$90*Headcount!$F$5:$F$90*((Headcount!$I$5:$I$90=0)+(Headcount!$I$5:$I$90=1)*$C$16)*(AJ$18&gt;=(Headcount!$E$5:$E$90+Headcount!$G$5:$G$90*$C$15)))/12*(1+Assumptions!$C$97)</f>
        <v>81333.3333333333</v>
      </c>
      <c r="AK172" s="9" t="n">
        <f aca="false">SUMPRODUCT((Headcount!$C$5:$C$90="IMPL")*Headcount!$D$5:$D$90*Headcount!$F$5:$F$90*((Headcount!$I$5:$I$90=0)+(Headcount!$I$5:$I$90=1)*$C$16)*(AK$18&gt;=(Headcount!$E$5:$E$90+Headcount!$G$5:$G$90*$C$15)))/12*(1+Assumptions!$C$97)</f>
        <v>81333.3333333333</v>
      </c>
      <c r="AL172" s="9" t="n">
        <f aca="false">SUMPRODUCT((Headcount!$C$5:$C$90="IMPL")*Headcount!$D$5:$D$90*Headcount!$F$5:$F$90*((Headcount!$I$5:$I$90=0)+(Headcount!$I$5:$I$90=1)*$C$16)*(AL$18&gt;=(Headcount!$E$5:$E$90+Headcount!$G$5:$G$90*$C$15)))/12*(1+Assumptions!$C$97)</f>
        <v>81333.3333333333</v>
      </c>
      <c r="AN172" s="11" t="n">
        <f aca="false">SUM(C172:N172)</f>
        <v>101666.666666667</v>
      </c>
      <c r="AO172" s="11" t="n">
        <f aca="false">SUM(O172:Z172)</f>
        <v>437166.666666667</v>
      </c>
      <c r="AP172" s="11" t="n">
        <f aca="false">SUM(AA172:AL172)</f>
        <v>884500</v>
      </c>
    </row>
    <row r="173" customFormat="false" ht="15" hidden="false" customHeight="false" outlineLevel="0" collapsed="false">
      <c r="A173" s="0" t="s">
        <v>975</v>
      </c>
      <c r="B173" s="0" t="s">
        <v>230</v>
      </c>
      <c r="C173" s="9" t="n">
        <f aca="false">SUMPRODUCT((Headcount!$C$5:$C$90="CS")*Headcount!$D$5:$D$90*Headcount!$F$5:$F$90*((Headcount!$I$5:$I$90=0)+(Headcount!$I$5:$I$90=1)*$C$16)*(C$18&gt;=(Headcount!$E$5:$E$90+Headcount!$G$5:$G$90*$C$15)))/12*(1+Assumptions!$C$97)</f>
        <v>0</v>
      </c>
      <c r="D173" s="9" t="n">
        <f aca="false">SUMPRODUCT((Headcount!$C$5:$C$90="CS")*Headcount!$D$5:$D$90*Headcount!$F$5:$F$90*((Headcount!$I$5:$I$90=0)+(Headcount!$I$5:$I$90=1)*$C$16)*(D$18&gt;=(Headcount!$E$5:$E$90+Headcount!$G$5:$G$90*$C$15)))/12*(1+Assumptions!$C$97)</f>
        <v>0</v>
      </c>
      <c r="E173" s="9" t="n">
        <f aca="false">SUMPRODUCT((Headcount!$C$5:$C$90="CS")*Headcount!$D$5:$D$90*Headcount!$F$5:$F$90*((Headcount!$I$5:$I$90=0)+(Headcount!$I$5:$I$90=1)*$C$16)*(E$18&gt;=(Headcount!$E$5:$E$90+Headcount!$G$5:$G$90*$C$15)))/12*(1+Assumptions!$C$97)</f>
        <v>0</v>
      </c>
      <c r="F173" s="9" t="n">
        <f aca="false">SUMPRODUCT((Headcount!$C$5:$C$90="CS")*Headcount!$D$5:$D$90*Headcount!$F$5:$F$90*((Headcount!$I$5:$I$90=0)+(Headcount!$I$5:$I$90=1)*$C$16)*(F$18&gt;=(Headcount!$E$5:$E$90+Headcount!$G$5:$G$90*$C$15)))/12*(1+Assumptions!$C$97)</f>
        <v>0</v>
      </c>
      <c r="G173" s="9" t="n">
        <f aca="false">SUMPRODUCT((Headcount!$C$5:$C$90="CS")*Headcount!$D$5:$D$90*Headcount!$F$5:$F$90*((Headcount!$I$5:$I$90=0)+(Headcount!$I$5:$I$90=1)*$C$16)*(G$18&gt;=(Headcount!$E$5:$E$90+Headcount!$G$5:$G$90*$C$15)))/12*(1+Assumptions!$C$97)</f>
        <v>0</v>
      </c>
      <c r="H173" s="9" t="n">
        <f aca="false">SUMPRODUCT((Headcount!$C$5:$C$90="CS")*Headcount!$D$5:$D$90*Headcount!$F$5:$F$90*((Headcount!$I$5:$I$90=0)+(Headcount!$I$5:$I$90=1)*$C$16)*(H$18&gt;=(Headcount!$E$5:$E$90+Headcount!$G$5:$G$90*$C$15)))/12*(1+Assumptions!$C$97)</f>
        <v>0</v>
      </c>
      <c r="I173" s="9" t="n">
        <f aca="false">SUMPRODUCT((Headcount!$C$5:$C$90="CS")*Headcount!$D$5:$D$90*Headcount!$F$5:$F$90*((Headcount!$I$5:$I$90=0)+(Headcount!$I$5:$I$90=1)*$C$16)*(I$18&gt;=(Headcount!$E$5:$E$90+Headcount!$G$5:$G$90*$C$15)))/12*(1+Assumptions!$C$97)</f>
        <v>0</v>
      </c>
      <c r="J173" s="9" t="n">
        <f aca="false">SUMPRODUCT((Headcount!$C$5:$C$90="CS")*Headcount!$D$5:$D$90*Headcount!$F$5:$F$90*((Headcount!$I$5:$I$90=0)+(Headcount!$I$5:$I$90=1)*$C$16)*(J$18&gt;=(Headcount!$E$5:$E$90+Headcount!$G$5:$G$90*$C$15)))/12*(1+Assumptions!$C$97)</f>
        <v>0</v>
      </c>
      <c r="K173" s="9" t="n">
        <f aca="false">SUMPRODUCT((Headcount!$C$5:$C$90="CS")*Headcount!$D$5:$D$90*Headcount!$F$5:$F$90*((Headcount!$I$5:$I$90=0)+(Headcount!$I$5:$I$90=1)*$C$16)*(K$18&gt;=(Headcount!$E$5:$E$90+Headcount!$G$5:$G$90*$C$15)))/12*(1+Assumptions!$C$97)</f>
        <v>0</v>
      </c>
      <c r="L173" s="9" t="n">
        <f aca="false">SUMPRODUCT((Headcount!$C$5:$C$90="CS")*Headcount!$D$5:$D$90*Headcount!$F$5:$F$90*((Headcount!$I$5:$I$90=0)+(Headcount!$I$5:$I$90=1)*$C$16)*(L$18&gt;=(Headcount!$E$5:$E$90+Headcount!$G$5:$G$90*$C$15)))/12*(1+Assumptions!$C$97)</f>
        <v>0</v>
      </c>
      <c r="M173" s="9" t="n">
        <f aca="false">SUMPRODUCT((Headcount!$C$5:$C$90="CS")*Headcount!$D$5:$D$90*Headcount!$F$5:$F$90*((Headcount!$I$5:$I$90=0)+(Headcount!$I$5:$I$90=1)*$C$16)*(M$18&gt;=(Headcount!$E$5:$E$90+Headcount!$G$5:$G$90*$C$15)))/12*(1+Assumptions!$C$97)</f>
        <v>0</v>
      </c>
      <c r="N173" s="9" t="n">
        <f aca="false">SUMPRODUCT((Headcount!$C$5:$C$90="CS")*Headcount!$D$5:$D$90*Headcount!$F$5:$F$90*((Headcount!$I$5:$I$90=0)+(Headcount!$I$5:$I$90=1)*$C$16)*(N$18&gt;=(Headcount!$E$5:$E$90+Headcount!$G$5:$G$90*$C$15)))/12*(1+Assumptions!$C$97)</f>
        <v>0</v>
      </c>
      <c r="O173" s="9" t="n">
        <f aca="false">SUMPRODUCT((Headcount!$C$5:$C$90="CS")*Headcount!$D$5:$D$90*Headcount!$F$5:$F$90*((Headcount!$I$5:$I$90=0)+(Headcount!$I$5:$I$90=1)*$C$16)*(O$18&gt;=(Headcount!$E$5:$E$90+Headcount!$G$5:$G$90*$C$15)))/12*(1+Assumptions!$C$97)</f>
        <v>0</v>
      </c>
      <c r="P173" s="9" t="n">
        <f aca="false">SUMPRODUCT((Headcount!$C$5:$C$90="CS")*Headcount!$D$5:$D$90*Headcount!$F$5:$F$90*((Headcount!$I$5:$I$90=0)+(Headcount!$I$5:$I$90=1)*$C$16)*(P$18&gt;=(Headcount!$E$5:$E$90+Headcount!$G$5:$G$90*$C$15)))/12*(1+Assumptions!$C$97)</f>
        <v>0</v>
      </c>
      <c r="Q173" s="9" t="n">
        <f aca="false">SUMPRODUCT((Headcount!$C$5:$C$90="CS")*Headcount!$D$5:$D$90*Headcount!$F$5:$F$90*((Headcount!$I$5:$I$90=0)+(Headcount!$I$5:$I$90=1)*$C$16)*(Q$18&gt;=(Headcount!$E$5:$E$90+Headcount!$G$5:$G$90*$C$15)))/12*(1+Assumptions!$C$97)</f>
        <v>0</v>
      </c>
      <c r="R173" s="9" t="n">
        <f aca="false">SUMPRODUCT((Headcount!$C$5:$C$90="CS")*Headcount!$D$5:$D$90*Headcount!$F$5:$F$90*((Headcount!$I$5:$I$90=0)+(Headcount!$I$5:$I$90=1)*$C$16)*(R$18&gt;=(Headcount!$E$5:$E$90+Headcount!$G$5:$G$90*$C$15)))/12*(1+Assumptions!$C$97)</f>
        <v>0</v>
      </c>
      <c r="S173" s="9" t="n">
        <f aca="false">SUMPRODUCT((Headcount!$C$5:$C$90="CS")*Headcount!$D$5:$D$90*Headcount!$F$5:$F$90*((Headcount!$I$5:$I$90=0)+(Headcount!$I$5:$I$90=1)*$C$16)*(S$18&gt;=(Headcount!$E$5:$E$90+Headcount!$G$5:$G$90*$C$15)))/12*(1+Assumptions!$C$97)</f>
        <v>0</v>
      </c>
      <c r="T173" s="9" t="n">
        <f aca="false">SUMPRODUCT((Headcount!$C$5:$C$90="CS")*Headcount!$D$5:$D$90*Headcount!$F$5:$F$90*((Headcount!$I$5:$I$90=0)+(Headcount!$I$5:$I$90=1)*$C$16)*(T$18&gt;=(Headcount!$E$5:$E$90+Headcount!$G$5:$G$90*$C$15)))/12*(1+Assumptions!$C$97)</f>
        <v>10166.6666666667</v>
      </c>
      <c r="U173" s="9" t="n">
        <f aca="false">SUMPRODUCT((Headcount!$C$5:$C$90="CS")*Headcount!$D$5:$D$90*Headcount!$F$5:$F$90*((Headcount!$I$5:$I$90=0)+(Headcount!$I$5:$I$90=1)*$C$16)*(U$18&gt;=(Headcount!$E$5:$E$90+Headcount!$G$5:$G$90*$C$15)))/12*(1+Assumptions!$C$97)</f>
        <v>10166.6666666667</v>
      </c>
      <c r="V173" s="9" t="n">
        <f aca="false">SUMPRODUCT((Headcount!$C$5:$C$90="CS")*Headcount!$D$5:$D$90*Headcount!$F$5:$F$90*((Headcount!$I$5:$I$90=0)+(Headcount!$I$5:$I$90=1)*$C$16)*(V$18&gt;=(Headcount!$E$5:$E$90+Headcount!$G$5:$G$90*$C$15)))/12*(1+Assumptions!$C$97)</f>
        <v>10166.6666666667</v>
      </c>
      <c r="W173" s="9" t="n">
        <f aca="false">SUMPRODUCT((Headcount!$C$5:$C$90="CS")*Headcount!$D$5:$D$90*Headcount!$F$5:$F$90*((Headcount!$I$5:$I$90=0)+(Headcount!$I$5:$I$90=1)*$C$16)*(W$18&gt;=(Headcount!$E$5:$E$90+Headcount!$G$5:$G$90*$C$15)))/12*(1+Assumptions!$C$97)</f>
        <v>10166.6666666667</v>
      </c>
      <c r="X173" s="9" t="n">
        <f aca="false">SUMPRODUCT((Headcount!$C$5:$C$90="CS")*Headcount!$D$5:$D$90*Headcount!$F$5:$F$90*((Headcount!$I$5:$I$90=0)+(Headcount!$I$5:$I$90=1)*$C$16)*(X$18&gt;=(Headcount!$E$5:$E$90+Headcount!$G$5:$G$90*$C$15)))/12*(1+Assumptions!$C$97)</f>
        <v>10166.6666666667</v>
      </c>
      <c r="Y173" s="9" t="n">
        <f aca="false">SUMPRODUCT((Headcount!$C$5:$C$90="CS")*Headcount!$D$5:$D$90*Headcount!$F$5:$F$90*((Headcount!$I$5:$I$90=0)+(Headcount!$I$5:$I$90=1)*$C$16)*(Y$18&gt;=(Headcount!$E$5:$E$90+Headcount!$G$5:$G$90*$C$15)))/12*(1+Assumptions!$C$97)</f>
        <v>10166.6666666667</v>
      </c>
      <c r="Z173" s="9" t="n">
        <f aca="false">SUMPRODUCT((Headcount!$C$5:$C$90="CS")*Headcount!$D$5:$D$90*Headcount!$F$5:$F$90*((Headcount!$I$5:$I$90=0)+(Headcount!$I$5:$I$90=1)*$C$16)*(Z$18&gt;=(Headcount!$E$5:$E$90+Headcount!$G$5:$G$90*$C$15)))/12*(1+Assumptions!$C$97)</f>
        <v>10166.6666666667</v>
      </c>
      <c r="AA173" s="9" t="n">
        <f aca="false">SUMPRODUCT((Headcount!$C$5:$C$90="CS")*Headcount!$D$5:$D$90*Headcount!$F$5:$F$90*((Headcount!$I$5:$I$90=0)+(Headcount!$I$5:$I$90=1)*$C$16)*(AA$18&gt;=(Headcount!$E$5:$E$90+Headcount!$G$5:$G$90*$C$15)))/12*(1+Assumptions!$C$97)</f>
        <v>10166.6666666667</v>
      </c>
      <c r="AB173" s="9" t="n">
        <f aca="false">SUMPRODUCT((Headcount!$C$5:$C$90="CS")*Headcount!$D$5:$D$90*Headcount!$F$5:$F$90*((Headcount!$I$5:$I$90=0)+(Headcount!$I$5:$I$90=1)*$C$16)*(AB$18&gt;=(Headcount!$E$5:$E$90+Headcount!$G$5:$G$90*$C$15)))/12*(1+Assumptions!$C$97)</f>
        <v>10166.6666666667</v>
      </c>
      <c r="AC173" s="9" t="n">
        <f aca="false">SUMPRODUCT((Headcount!$C$5:$C$90="CS")*Headcount!$D$5:$D$90*Headcount!$F$5:$F$90*((Headcount!$I$5:$I$90=0)+(Headcount!$I$5:$I$90=1)*$C$16)*(AC$18&gt;=(Headcount!$E$5:$E$90+Headcount!$G$5:$G$90*$C$15)))/12*(1+Assumptions!$C$97)</f>
        <v>10166.6666666667</v>
      </c>
      <c r="AD173" s="9" t="n">
        <f aca="false">SUMPRODUCT((Headcount!$C$5:$C$90="CS")*Headcount!$D$5:$D$90*Headcount!$F$5:$F$90*((Headcount!$I$5:$I$90=0)+(Headcount!$I$5:$I$90=1)*$C$16)*(AD$18&gt;=(Headcount!$E$5:$E$90+Headcount!$G$5:$G$90*$C$15)))/12*(1+Assumptions!$C$97)</f>
        <v>10166.6666666667</v>
      </c>
      <c r="AE173" s="9" t="n">
        <f aca="false">SUMPRODUCT((Headcount!$C$5:$C$90="CS")*Headcount!$D$5:$D$90*Headcount!$F$5:$F$90*((Headcount!$I$5:$I$90=0)+(Headcount!$I$5:$I$90=1)*$C$16)*(AE$18&gt;=(Headcount!$E$5:$E$90+Headcount!$G$5:$G$90*$C$15)))/12*(1+Assumptions!$C$97)</f>
        <v>10166.6666666667</v>
      </c>
      <c r="AF173" s="9" t="n">
        <f aca="false">SUMPRODUCT((Headcount!$C$5:$C$90="CS")*Headcount!$D$5:$D$90*Headcount!$F$5:$F$90*((Headcount!$I$5:$I$90=0)+(Headcount!$I$5:$I$90=1)*$C$16)*(AF$18&gt;=(Headcount!$E$5:$E$90+Headcount!$G$5:$G$90*$C$15)))/12*(1+Assumptions!$C$97)</f>
        <v>20333.3333333333</v>
      </c>
      <c r="AG173" s="9" t="n">
        <f aca="false">SUMPRODUCT((Headcount!$C$5:$C$90="CS")*Headcount!$D$5:$D$90*Headcount!$F$5:$F$90*((Headcount!$I$5:$I$90=0)+(Headcount!$I$5:$I$90=1)*$C$16)*(AG$18&gt;=(Headcount!$E$5:$E$90+Headcount!$G$5:$G$90*$C$15)))/12*(1+Assumptions!$C$97)</f>
        <v>20333.3333333333</v>
      </c>
      <c r="AH173" s="9" t="n">
        <f aca="false">SUMPRODUCT((Headcount!$C$5:$C$90="CS")*Headcount!$D$5:$D$90*Headcount!$F$5:$F$90*((Headcount!$I$5:$I$90=0)+(Headcount!$I$5:$I$90=1)*$C$16)*(AH$18&gt;=(Headcount!$E$5:$E$90+Headcount!$G$5:$G$90*$C$15)))/12*(1+Assumptions!$C$97)</f>
        <v>20333.3333333333</v>
      </c>
      <c r="AI173" s="9" t="n">
        <f aca="false">SUMPRODUCT((Headcount!$C$5:$C$90="CS")*Headcount!$D$5:$D$90*Headcount!$F$5:$F$90*((Headcount!$I$5:$I$90=0)+(Headcount!$I$5:$I$90=1)*$C$16)*(AI$18&gt;=(Headcount!$E$5:$E$90+Headcount!$G$5:$G$90*$C$15)))/12*(1+Assumptions!$C$97)</f>
        <v>20333.3333333333</v>
      </c>
      <c r="AJ173" s="9" t="n">
        <f aca="false">SUMPRODUCT((Headcount!$C$5:$C$90="CS")*Headcount!$D$5:$D$90*Headcount!$F$5:$F$90*((Headcount!$I$5:$I$90=0)+(Headcount!$I$5:$I$90=1)*$C$16)*(AJ$18&gt;=(Headcount!$E$5:$E$90+Headcount!$G$5:$G$90*$C$15)))/12*(1+Assumptions!$C$97)</f>
        <v>20333.3333333333</v>
      </c>
      <c r="AK173" s="9" t="n">
        <f aca="false">SUMPRODUCT((Headcount!$C$5:$C$90="CS")*Headcount!$D$5:$D$90*Headcount!$F$5:$F$90*((Headcount!$I$5:$I$90=0)+(Headcount!$I$5:$I$90=1)*$C$16)*(AK$18&gt;=(Headcount!$E$5:$E$90+Headcount!$G$5:$G$90*$C$15)))/12*(1+Assumptions!$C$97)</f>
        <v>20333.3333333333</v>
      </c>
      <c r="AL173" s="9" t="n">
        <f aca="false">SUMPRODUCT((Headcount!$C$5:$C$90="CS")*Headcount!$D$5:$D$90*Headcount!$F$5:$F$90*((Headcount!$I$5:$I$90=0)+(Headcount!$I$5:$I$90=1)*$C$16)*(AL$18&gt;=(Headcount!$E$5:$E$90+Headcount!$G$5:$G$90*$C$15)))/12*(1+Assumptions!$C$97)</f>
        <v>20333.3333333333</v>
      </c>
      <c r="AN173" s="11" t="n">
        <f aca="false">SUM(C173:N173)</f>
        <v>0</v>
      </c>
      <c r="AO173" s="11" t="n">
        <f aca="false">SUM(O173:Z173)</f>
        <v>71166.6666666667</v>
      </c>
      <c r="AP173" s="11" t="n">
        <f aca="false">SUM(AA173:AL173)</f>
        <v>193166.666666667</v>
      </c>
    </row>
    <row r="174" customFormat="false" ht="15" hidden="false" customHeight="false" outlineLevel="0" collapsed="false">
      <c r="A174" s="0" t="s">
        <v>976</v>
      </c>
      <c r="B174" s="0" t="s">
        <v>230</v>
      </c>
      <c r="C174" s="9" t="n">
        <f aca="false">SUMPRODUCT((Headcount!$C$5:$C$90="TS")*Headcount!$D$5:$D$90*Headcount!$F$5:$F$90*((Headcount!$I$5:$I$90=0)+(Headcount!$I$5:$I$90=1)*$C$16)*(C$18&gt;=(Headcount!$E$5:$E$90+Headcount!$G$5:$G$90*$C$15)))/12*(1+Assumptions!$C$97)</f>
        <v>0</v>
      </c>
      <c r="D174" s="9" t="n">
        <f aca="false">SUMPRODUCT((Headcount!$C$5:$C$90="TS")*Headcount!$D$5:$D$90*Headcount!$F$5:$F$90*((Headcount!$I$5:$I$90=0)+(Headcount!$I$5:$I$90=1)*$C$16)*(D$18&gt;=(Headcount!$E$5:$E$90+Headcount!$G$5:$G$90*$C$15)))/12*(1+Assumptions!$C$97)</f>
        <v>0</v>
      </c>
      <c r="E174" s="9" t="n">
        <f aca="false">SUMPRODUCT((Headcount!$C$5:$C$90="TS")*Headcount!$D$5:$D$90*Headcount!$F$5:$F$90*((Headcount!$I$5:$I$90=0)+(Headcount!$I$5:$I$90=1)*$C$16)*(E$18&gt;=(Headcount!$E$5:$E$90+Headcount!$G$5:$G$90*$C$15)))/12*(1+Assumptions!$C$97)</f>
        <v>0</v>
      </c>
      <c r="F174" s="9" t="n">
        <f aca="false">SUMPRODUCT((Headcount!$C$5:$C$90="TS")*Headcount!$D$5:$D$90*Headcount!$F$5:$F$90*((Headcount!$I$5:$I$90=0)+(Headcount!$I$5:$I$90=1)*$C$16)*(F$18&gt;=(Headcount!$E$5:$E$90+Headcount!$G$5:$G$90*$C$15)))/12*(1+Assumptions!$C$97)</f>
        <v>0</v>
      </c>
      <c r="G174" s="9" t="n">
        <f aca="false">SUMPRODUCT((Headcount!$C$5:$C$90="TS")*Headcount!$D$5:$D$90*Headcount!$F$5:$F$90*((Headcount!$I$5:$I$90=0)+(Headcount!$I$5:$I$90=1)*$C$16)*(G$18&gt;=(Headcount!$E$5:$E$90+Headcount!$G$5:$G$90*$C$15)))/12*(1+Assumptions!$C$97)</f>
        <v>0</v>
      </c>
      <c r="H174" s="9" t="n">
        <f aca="false">SUMPRODUCT((Headcount!$C$5:$C$90="TS")*Headcount!$D$5:$D$90*Headcount!$F$5:$F$90*((Headcount!$I$5:$I$90=0)+(Headcount!$I$5:$I$90=1)*$C$16)*(H$18&gt;=(Headcount!$E$5:$E$90+Headcount!$G$5:$G$90*$C$15)))/12*(1+Assumptions!$C$97)</f>
        <v>0</v>
      </c>
      <c r="I174" s="9" t="n">
        <f aca="false">SUMPRODUCT((Headcount!$C$5:$C$90="TS")*Headcount!$D$5:$D$90*Headcount!$F$5:$F$90*((Headcount!$I$5:$I$90=0)+(Headcount!$I$5:$I$90=1)*$C$16)*(I$18&gt;=(Headcount!$E$5:$E$90+Headcount!$G$5:$G$90*$C$15)))/12*(1+Assumptions!$C$97)</f>
        <v>0</v>
      </c>
      <c r="J174" s="9" t="n">
        <f aca="false">SUMPRODUCT((Headcount!$C$5:$C$90="TS")*Headcount!$D$5:$D$90*Headcount!$F$5:$F$90*((Headcount!$I$5:$I$90=0)+(Headcount!$I$5:$I$90=1)*$C$16)*(J$18&gt;=(Headcount!$E$5:$E$90+Headcount!$G$5:$G$90*$C$15)))/12*(1+Assumptions!$C$97)</f>
        <v>0</v>
      </c>
      <c r="K174" s="9" t="n">
        <f aca="false">SUMPRODUCT((Headcount!$C$5:$C$90="TS")*Headcount!$D$5:$D$90*Headcount!$F$5:$F$90*((Headcount!$I$5:$I$90=0)+(Headcount!$I$5:$I$90=1)*$C$16)*(K$18&gt;=(Headcount!$E$5:$E$90+Headcount!$G$5:$G$90*$C$15)))/12*(1+Assumptions!$C$97)</f>
        <v>0</v>
      </c>
      <c r="L174" s="9" t="n">
        <f aca="false">SUMPRODUCT((Headcount!$C$5:$C$90="TS")*Headcount!$D$5:$D$90*Headcount!$F$5:$F$90*((Headcount!$I$5:$I$90=0)+(Headcount!$I$5:$I$90=1)*$C$16)*(L$18&gt;=(Headcount!$E$5:$E$90+Headcount!$G$5:$G$90*$C$15)))/12*(1+Assumptions!$C$97)</f>
        <v>0</v>
      </c>
      <c r="M174" s="9" t="n">
        <f aca="false">SUMPRODUCT((Headcount!$C$5:$C$90="TS")*Headcount!$D$5:$D$90*Headcount!$F$5:$F$90*((Headcount!$I$5:$I$90=0)+(Headcount!$I$5:$I$90=1)*$C$16)*(M$18&gt;=(Headcount!$E$5:$E$90+Headcount!$G$5:$G$90*$C$15)))/12*(1+Assumptions!$C$97)</f>
        <v>0</v>
      </c>
      <c r="N174" s="9" t="n">
        <f aca="false">SUMPRODUCT((Headcount!$C$5:$C$90="TS")*Headcount!$D$5:$D$90*Headcount!$F$5:$F$90*((Headcount!$I$5:$I$90=0)+(Headcount!$I$5:$I$90=1)*$C$16)*(N$18&gt;=(Headcount!$E$5:$E$90+Headcount!$G$5:$G$90*$C$15)))/12*(1+Assumptions!$C$97)</f>
        <v>0</v>
      </c>
      <c r="O174" s="9" t="n">
        <f aca="false">SUMPRODUCT((Headcount!$C$5:$C$90="TS")*Headcount!$D$5:$D$90*Headcount!$F$5:$F$90*((Headcount!$I$5:$I$90=0)+(Headcount!$I$5:$I$90=1)*$C$16)*(O$18&gt;=(Headcount!$E$5:$E$90+Headcount!$G$5:$G$90*$C$15)))/12*(1+Assumptions!$C$97)</f>
        <v>0</v>
      </c>
      <c r="P174" s="9" t="n">
        <f aca="false">SUMPRODUCT((Headcount!$C$5:$C$90="TS")*Headcount!$D$5:$D$90*Headcount!$F$5:$F$90*((Headcount!$I$5:$I$90=0)+(Headcount!$I$5:$I$90=1)*$C$16)*(P$18&gt;=(Headcount!$E$5:$E$90+Headcount!$G$5:$G$90*$C$15)))/12*(1+Assumptions!$C$97)</f>
        <v>0</v>
      </c>
      <c r="Q174" s="9" t="n">
        <f aca="false">SUMPRODUCT((Headcount!$C$5:$C$90="TS")*Headcount!$D$5:$D$90*Headcount!$F$5:$F$90*((Headcount!$I$5:$I$90=0)+(Headcount!$I$5:$I$90=1)*$C$16)*(Q$18&gt;=(Headcount!$E$5:$E$90+Headcount!$G$5:$G$90*$C$15)))/12*(1+Assumptions!$C$97)</f>
        <v>0</v>
      </c>
      <c r="R174" s="9" t="n">
        <f aca="false">SUMPRODUCT((Headcount!$C$5:$C$90="TS")*Headcount!$D$5:$D$90*Headcount!$F$5:$F$90*((Headcount!$I$5:$I$90=0)+(Headcount!$I$5:$I$90=1)*$C$16)*(R$18&gt;=(Headcount!$E$5:$E$90+Headcount!$G$5:$G$90*$C$15)))/12*(1+Assumptions!$C$97)</f>
        <v>0</v>
      </c>
      <c r="S174" s="9" t="n">
        <f aca="false">SUMPRODUCT((Headcount!$C$5:$C$90="TS")*Headcount!$D$5:$D$90*Headcount!$F$5:$F$90*((Headcount!$I$5:$I$90=0)+(Headcount!$I$5:$I$90=1)*$C$16)*(S$18&gt;=(Headcount!$E$5:$E$90+Headcount!$G$5:$G$90*$C$15)))/12*(1+Assumptions!$C$97)</f>
        <v>0</v>
      </c>
      <c r="T174" s="9" t="n">
        <f aca="false">SUMPRODUCT((Headcount!$C$5:$C$90="TS")*Headcount!$D$5:$D$90*Headcount!$F$5:$F$90*((Headcount!$I$5:$I$90=0)+(Headcount!$I$5:$I$90=1)*$C$16)*(T$18&gt;=(Headcount!$E$5:$E$90+Headcount!$G$5:$G$90*$C$15)))/12*(1+Assumptions!$C$97)</f>
        <v>0</v>
      </c>
      <c r="U174" s="9" t="n">
        <f aca="false">SUMPRODUCT((Headcount!$C$5:$C$90="TS")*Headcount!$D$5:$D$90*Headcount!$F$5:$F$90*((Headcount!$I$5:$I$90=0)+(Headcount!$I$5:$I$90=1)*$C$16)*(U$18&gt;=(Headcount!$E$5:$E$90+Headcount!$G$5:$G$90*$C$15)))/12*(1+Assumptions!$C$97)</f>
        <v>0</v>
      </c>
      <c r="V174" s="9" t="n">
        <f aca="false">SUMPRODUCT((Headcount!$C$5:$C$90="TS")*Headcount!$D$5:$D$90*Headcount!$F$5:$F$90*((Headcount!$I$5:$I$90=0)+(Headcount!$I$5:$I$90=1)*$C$16)*(V$18&gt;=(Headcount!$E$5:$E$90+Headcount!$G$5:$G$90*$C$15)))/12*(1+Assumptions!$C$97)</f>
        <v>0</v>
      </c>
      <c r="W174" s="9" t="n">
        <f aca="false">SUMPRODUCT((Headcount!$C$5:$C$90="TS")*Headcount!$D$5:$D$90*Headcount!$F$5:$F$90*((Headcount!$I$5:$I$90=0)+(Headcount!$I$5:$I$90=1)*$C$16)*(W$18&gt;=(Headcount!$E$5:$E$90+Headcount!$G$5:$G$90*$C$15)))/12*(1+Assumptions!$C$97)</f>
        <v>0</v>
      </c>
      <c r="X174" s="9" t="n">
        <f aca="false">SUMPRODUCT((Headcount!$C$5:$C$90="TS")*Headcount!$D$5:$D$90*Headcount!$F$5:$F$90*((Headcount!$I$5:$I$90=0)+(Headcount!$I$5:$I$90=1)*$C$16)*(X$18&gt;=(Headcount!$E$5:$E$90+Headcount!$G$5:$G$90*$C$15)))/12*(1+Assumptions!$C$97)</f>
        <v>0</v>
      </c>
      <c r="Y174" s="9" t="n">
        <f aca="false">SUMPRODUCT((Headcount!$C$5:$C$90="TS")*Headcount!$D$5:$D$90*Headcount!$F$5:$F$90*((Headcount!$I$5:$I$90=0)+(Headcount!$I$5:$I$90=1)*$C$16)*(Y$18&gt;=(Headcount!$E$5:$E$90+Headcount!$G$5:$G$90*$C$15)))/12*(1+Assumptions!$C$97)</f>
        <v>0</v>
      </c>
      <c r="Z174" s="9" t="n">
        <f aca="false">SUMPRODUCT((Headcount!$C$5:$C$90="TS")*Headcount!$D$5:$D$90*Headcount!$F$5:$F$90*((Headcount!$I$5:$I$90=0)+(Headcount!$I$5:$I$90=1)*$C$16)*(Z$18&gt;=(Headcount!$E$5:$E$90+Headcount!$G$5:$G$90*$C$15)))/12*(1+Assumptions!$C$97)</f>
        <v>0</v>
      </c>
      <c r="AA174" s="9" t="n">
        <f aca="false">SUMPRODUCT((Headcount!$C$5:$C$90="TS")*Headcount!$D$5:$D$90*Headcount!$F$5:$F$90*((Headcount!$I$5:$I$90=0)+(Headcount!$I$5:$I$90=1)*$C$16)*(AA$18&gt;=(Headcount!$E$5:$E$90+Headcount!$G$5:$G$90*$C$15)))/12*(1+Assumptions!$C$97)</f>
        <v>0</v>
      </c>
      <c r="AB174" s="9" t="n">
        <f aca="false">SUMPRODUCT((Headcount!$C$5:$C$90="TS")*Headcount!$D$5:$D$90*Headcount!$F$5:$F$90*((Headcount!$I$5:$I$90=0)+(Headcount!$I$5:$I$90=1)*$C$16)*(AB$18&gt;=(Headcount!$E$5:$E$90+Headcount!$G$5:$G$90*$C$15)))/12*(1+Assumptions!$C$97)</f>
        <v>0</v>
      </c>
      <c r="AC174" s="9" t="n">
        <f aca="false">SUMPRODUCT((Headcount!$C$5:$C$90="TS")*Headcount!$D$5:$D$90*Headcount!$F$5:$F$90*((Headcount!$I$5:$I$90=0)+(Headcount!$I$5:$I$90=1)*$C$16)*(AC$18&gt;=(Headcount!$E$5:$E$90+Headcount!$G$5:$G$90*$C$15)))/12*(1+Assumptions!$C$97)</f>
        <v>0</v>
      </c>
      <c r="AD174" s="9" t="n">
        <f aca="false">SUMPRODUCT((Headcount!$C$5:$C$90="TS")*Headcount!$D$5:$D$90*Headcount!$F$5:$F$90*((Headcount!$I$5:$I$90=0)+(Headcount!$I$5:$I$90=1)*$C$16)*(AD$18&gt;=(Headcount!$E$5:$E$90+Headcount!$G$5:$G$90*$C$15)))/12*(1+Assumptions!$C$97)</f>
        <v>0</v>
      </c>
      <c r="AE174" s="9" t="n">
        <f aca="false">SUMPRODUCT((Headcount!$C$5:$C$90="TS")*Headcount!$D$5:$D$90*Headcount!$F$5:$F$90*((Headcount!$I$5:$I$90=0)+(Headcount!$I$5:$I$90=1)*$C$16)*(AE$18&gt;=(Headcount!$E$5:$E$90+Headcount!$G$5:$G$90*$C$15)))/12*(1+Assumptions!$C$97)</f>
        <v>0</v>
      </c>
      <c r="AF174" s="9" t="n">
        <f aca="false">SUMPRODUCT((Headcount!$C$5:$C$90="TS")*Headcount!$D$5:$D$90*Headcount!$F$5:$F$90*((Headcount!$I$5:$I$90=0)+(Headcount!$I$5:$I$90=1)*$C$16)*(AF$18&gt;=(Headcount!$E$5:$E$90+Headcount!$G$5:$G$90*$C$15)))/12*(1+Assumptions!$C$97)</f>
        <v>0</v>
      </c>
      <c r="AG174" s="9" t="n">
        <f aca="false">SUMPRODUCT((Headcount!$C$5:$C$90="TS")*Headcount!$D$5:$D$90*Headcount!$F$5:$F$90*((Headcount!$I$5:$I$90=0)+(Headcount!$I$5:$I$90=1)*$C$16)*(AG$18&gt;=(Headcount!$E$5:$E$90+Headcount!$G$5:$G$90*$C$15)))/12*(1+Assumptions!$C$97)</f>
        <v>0</v>
      </c>
      <c r="AH174" s="9" t="n">
        <f aca="false">SUMPRODUCT((Headcount!$C$5:$C$90="TS")*Headcount!$D$5:$D$90*Headcount!$F$5:$F$90*((Headcount!$I$5:$I$90=0)+(Headcount!$I$5:$I$90=1)*$C$16)*(AH$18&gt;=(Headcount!$E$5:$E$90+Headcount!$G$5:$G$90*$C$15)))/12*(1+Assumptions!$C$97)</f>
        <v>7116.66666666667</v>
      </c>
      <c r="AI174" s="9" t="n">
        <f aca="false">SUMPRODUCT((Headcount!$C$5:$C$90="TS")*Headcount!$D$5:$D$90*Headcount!$F$5:$F$90*((Headcount!$I$5:$I$90=0)+(Headcount!$I$5:$I$90=1)*$C$16)*(AI$18&gt;=(Headcount!$E$5:$E$90+Headcount!$G$5:$G$90*$C$15)))/12*(1+Assumptions!$C$97)</f>
        <v>7116.66666666667</v>
      </c>
      <c r="AJ174" s="9" t="n">
        <f aca="false">SUMPRODUCT((Headcount!$C$5:$C$90="TS")*Headcount!$D$5:$D$90*Headcount!$F$5:$F$90*((Headcount!$I$5:$I$90=0)+(Headcount!$I$5:$I$90=1)*$C$16)*(AJ$18&gt;=(Headcount!$E$5:$E$90+Headcount!$G$5:$G$90*$C$15)))/12*(1+Assumptions!$C$97)</f>
        <v>7116.66666666667</v>
      </c>
      <c r="AK174" s="9" t="n">
        <f aca="false">SUMPRODUCT((Headcount!$C$5:$C$90="TS")*Headcount!$D$5:$D$90*Headcount!$F$5:$F$90*((Headcount!$I$5:$I$90=0)+(Headcount!$I$5:$I$90=1)*$C$16)*(AK$18&gt;=(Headcount!$E$5:$E$90+Headcount!$G$5:$G$90*$C$15)))/12*(1+Assumptions!$C$97)</f>
        <v>7116.66666666667</v>
      </c>
      <c r="AL174" s="9" t="n">
        <f aca="false">SUMPRODUCT((Headcount!$C$5:$C$90="TS")*Headcount!$D$5:$D$90*Headcount!$F$5:$F$90*((Headcount!$I$5:$I$90=0)+(Headcount!$I$5:$I$90=1)*$C$16)*(AL$18&gt;=(Headcount!$E$5:$E$90+Headcount!$G$5:$G$90*$C$15)))/12*(1+Assumptions!$C$97)</f>
        <v>7116.66666666667</v>
      </c>
      <c r="AN174" s="11" t="n">
        <f aca="false">SUM(C174:N174)</f>
        <v>0</v>
      </c>
      <c r="AO174" s="11" t="n">
        <f aca="false">SUM(O174:Z174)</f>
        <v>0</v>
      </c>
      <c r="AP174" s="11" t="n">
        <f aca="false">SUM(AA174:AL174)</f>
        <v>35583.3333333333</v>
      </c>
    </row>
    <row r="175" customFormat="false" ht="15" hidden="false" customHeight="false" outlineLevel="0" collapsed="false">
      <c r="A175" s="0" t="s">
        <v>977</v>
      </c>
      <c r="B175" s="0" t="s">
        <v>230</v>
      </c>
      <c r="C175" s="9" t="n">
        <f aca="false">(((1-Assumptions!$C$24)*((Assumptions!$C$26*C41)+(Assumptions!$C$27*(C34+C37))))+((Assumptions!$C$24*Assumptions!$C$25)*C41))</f>
        <v>0</v>
      </c>
      <c r="D175" s="9" t="n">
        <f aca="false">(((1-Assumptions!$C$24)*((Assumptions!$C$26*D41)+(Assumptions!$C$27*(D34+D37))))+((Assumptions!$C$24*Assumptions!$C$25)*D41))</f>
        <v>0</v>
      </c>
      <c r="E175" s="9" t="n">
        <f aca="false">(((1-Assumptions!$C$24)*((Assumptions!$C$26*E41)+(Assumptions!$C$27*(E34+E37))))+((Assumptions!$C$24*Assumptions!$C$25)*E41))</f>
        <v>0</v>
      </c>
      <c r="F175" s="9" t="n">
        <f aca="false">(((1-Assumptions!$C$24)*((Assumptions!$C$26*F41)+(Assumptions!$C$27*(F34+F37))))+((Assumptions!$C$24*Assumptions!$C$25)*F41))</f>
        <v>0</v>
      </c>
      <c r="G175" s="9" t="n">
        <f aca="false">(((1-Assumptions!$C$24)*((Assumptions!$C$26*G41)+(Assumptions!$C$27*(G34+G37))))+((Assumptions!$C$24*Assumptions!$C$25)*G41))</f>
        <v>0</v>
      </c>
      <c r="H175" s="9" t="n">
        <f aca="false">(((1-Assumptions!$C$24)*((Assumptions!$C$26*H41)+(Assumptions!$C$27*(H34+H37))))+((Assumptions!$C$24*Assumptions!$C$25)*H41))</f>
        <v>0</v>
      </c>
      <c r="I175" s="9" t="n">
        <f aca="false">(((1-Assumptions!$C$24)*((Assumptions!$C$26*I41)+(Assumptions!$C$27*(I34+I37))))+((Assumptions!$C$24*Assumptions!$C$25)*I41))</f>
        <v>0</v>
      </c>
      <c r="J175" s="9" t="n">
        <f aca="false">(((1-Assumptions!$C$24)*((Assumptions!$C$26*J41)+(Assumptions!$C$27*(J34+J37))))+((Assumptions!$C$24*Assumptions!$C$25)*J41))</f>
        <v>0</v>
      </c>
      <c r="K175" s="9" t="n">
        <f aca="false">(((1-Assumptions!$C$24)*((Assumptions!$C$26*K41)+(Assumptions!$C$27*(K34+K37))))+((Assumptions!$C$24*Assumptions!$C$25)*K41))</f>
        <v>0</v>
      </c>
      <c r="L175" s="9" t="n">
        <f aca="false">(((1-Assumptions!$C$24)*((Assumptions!$C$26*L41)+(Assumptions!$C$27*(L34+L37))))+((Assumptions!$C$24*Assumptions!$C$25)*L41))</f>
        <v>0</v>
      </c>
      <c r="M175" s="9" t="n">
        <f aca="false">(((1-Assumptions!$C$24)*((Assumptions!$C$26*M41)+(Assumptions!$C$27*(M34+M37))))+((Assumptions!$C$24*Assumptions!$C$25)*M41))</f>
        <v>0</v>
      </c>
      <c r="N175" s="9" t="n">
        <f aca="false">(((1-Assumptions!$C$24)*((Assumptions!$C$26*N41)+(Assumptions!$C$27*(N34+N37))))+((Assumptions!$C$24*Assumptions!$C$25)*N41))</f>
        <v>0</v>
      </c>
      <c r="O175" s="9" t="n">
        <f aca="false">(((1-Assumptions!$C$24)*((Assumptions!$C$26*O41)+(Assumptions!$C$27*(O34+O37))))+((Assumptions!$C$24*Assumptions!$C$25)*O41))</f>
        <v>8.22126934003187</v>
      </c>
      <c r="P175" s="9" t="n">
        <f aca="false">(((1-Assumptions!$C$24)*((Assumptions!$C$26*P41)+(Assumptions!$C$27*(P34+P37))))+((Assumptions!$C$24*Assumptions!$C$25)*P41))</f>
        <v>19.8589995141529</v>
      </c>
      <c r="Q175" s="9" t="n">
        <f aca="false">(((1-Assumptions!$C$24)*((Assumptions!$C$26*Q41)+(Assumptions!$C$27*(Q34+Q37))))+((Assumptions!$C$24*Assumptions!$C$25)*Q41))</f>
        <v>31.0235076943004</v>
      </c>
      <c r="R175" s="9" t="n">
        <f aca="false">(((1-Assumptions!$C$24)*((Assumptions!$C$26*R41)+(Assumptions!$C$27*(R34+R37))))+((Assumptions!$C$24*Assumptions!$C$25)*R41))</f>
        <v>41.3959637065035</v>
      </c>
      <c r="S175" s="9" t="n">
        <f aca="false">(((1-Assumptions!$C$24)*((Assumptions!$C$26*S41)+(Assumptions!$C$27*(S34+S37))))+((Assumptions!$C$24*Assumptions!$C$25)*S41))</f>
        <v>51.4153607121058</v>
      </c>
      <c r="T175" s="9" t="n">
        <f aca="false">(((1-Assumptions!$C$24)*((Assumptions!$C$26*T41)+(Assumptions!$C$27*(T34+T37))))+((Assumptions!$C$24*Assumptions!$C$25)*T41))</f>
        <v>60.1632502159687</v>
      </c>
      <c r="U175" s="9" t="n">
        <f aca="false">(((1-Assumptions!$C$24)*((Assumptions!$C$26*U41)+(Assumptions!$C$27*(U34+U37))))+((Assumptions!$C$24*Assumptions!$C$25)*U41))</f>
        <v>68.1747726781819</v>
      </c>
      <c r="V175" s="9" t="n">
        <f aca="false">(((1-Assumptions!$C$24)*((Assumptions!$C$26*V41)+(Assumptions!$C$27*(V34+V37))))+((Assumptions!$C$24*Assumptions!$C$25)*V41))</f>
        <v>77.7826516805396</v>
      </c>
      <c r="W175" s="9" t="n">
        <f aca="false">(((1-Assumptions!$C$24)*((Assumptions!$C$26*W41)+(Assumptions!$C$27*(W34+W37))))+((Assumptions!$C$24*Assumptions!$C$25)*W41))</f>
        <v>95.1773515791283</v>
      </c>
      <c r="X175" s="9" t="n">
        <f aca="false">(((1-Assumptions!$C$24)*((Assumptions!$C$26*X41)+(Assumptions!$C$27*(X34+X37))))+((Assumptions!$C$24*Assumptions!$C$25)*X41))</f>
        <v>115.218086788626</v>
      </c>
      <c r="Y175" s="9" t="n">
        <f aca="false">(((1-Assumptions!$C$24)*((Assumptions!$C$26*Y41)+(Assumptions!$C$27*(Y34+Y37))))+((Assumptions!$C$24*Assumptions!$C$25)*Y41))</f>
        <v>129.756630141683</v>
      </c>
      <c r="Z175" s="9" t="n">
        <f aca="false">(((1-Assumptions!$C$24)*((Assumptions!$C$26*Z41)+(Assumptions!$C$27*(Z34+Z37))))+((Assumptions!$C$24*Assumptions!$C$25)*Z41))</f>
        <v>142.565412743172</v>
      </c>
      <c r="AA175" s="9" t="n">
        <f aca="false">(((1-Assumptions!$C$24)*((Assumptions!$C$26*AA41)+(Assumptions!$C$27*(AA34+AA37))))+((Assumptions!$C$24*Assumptions!$C$25)*AA41))</f>
        <v>157.016724877035</v>
      </c>
      <c r="AB175" s="9" t="n">
        <f aca="false">(((1-Assumptions!$C$24)*((Assumptions!$C$26*AB41)+(Assumptions!$C$27*(AB34+AB37))))+((Assumptions!$C$24*Assumptions!$C$25)*AB41))</f>
        <v>179.961233738098</v>
      </c>
      <c r="AC175" s="9" t="n">
        <f aca="false">(((1-Assumptions!$C$24)*((Assumptions!$C$26*AC41)+(Assumptions!$C$27*(AC34+AC37))))+((Assumptions!$C$24*Assumptions!$C$25)*AC41))</f>
        <v>200.173662389981</v>
      </c>
      <c r="AD175" s="9" t="n">
        <f aca="false">(((1-Assumptions!$C$24)*((Assumptions!$C$26*AD41)+(Assumptions!$C$27*(AD34+AD37))))+((Assumptions!$C$24*Assumptions!$C$25)*AD41))</f>
        <v>217.41415665412</v>
      </c>
      <c r="AE175" s="9" t="n">
        <f aca="false">(((1-Assumptions!$C$24)*((Assumptions!$C$26*AE41)+(Assumptions!$C$27*(AE34+AE37))))+((Assumptions!$C$24*Assumptions!$C$25)*AE41))</f>
        <v>232.892768802302</v>
      </c>
      <c r="AF175" s="9" t="n">
        <f aca="false">(((1-Assumptions!$C$24)*((Assumptions!$C$26*AF41)+(Assumptions!$C$27*(AF34+AF37))))+((Assumptions!$C$24*Assumptions!$C$25)*AF41))</f>
        <v>245.064082850536</v>
      </c>
      <c r="AG175" s="9" t="n">
        <f aca="false">(((1-Assumptions!$C$24)*((Assumptions!$C$26*AG41)+(Assumptions!$C$27*(AG34+AG37))))+((Assumptions!$C$24*Assumptions!$C$25)*AG41))</f>
        <v>255.24969588296</v>
      </c>
      <c r="AH175" s="9" t="n">
        <f aca="false">(((1-Assumptions!$C$24)*((Assumptions!$C$26*AH41)+(Assumptions!$C$27*(AH34+AH37))))+((Assumptions!$C$24*Assumptions!$C$25)*AH41))</f>
        <v>268.039008350426</v>
      </c>
      <c r="AI175" s="9" t="n">
        <f aca="false">(((1-Assumptions!$C$24)*((Assumptions!$C$26*AI41)+(Assumptions!$C$27*(AI34+AI37))))+((Assumptions!$C$24*Assumptions!$C$25)*AI41))</f>
        <v>294.870175862333</v>
      </c>
      <c r="AJ175" s="9" t="n">
        <f aca="false">(((1-Assumptions!$C$24)*((Assumptions!$C$26*AJ41)+(Assumptions!$C$27*(AJ34+AJ37))))+((Assumptions!$C$24*Assumptions!$C$25)*AJ41))</f>
        <v>325.37629518529</v>
      </c>
      <c r="AK175" s="9" t="n">
        <f aca="false">(((1-Assumptions!$C$24)*((Assumptions!$C$26*AK41)+(Assumptions!$C$27*(AK34+AK37))))+((Assumptions!$C$24*Assumptions!$C$25)*AK41))</f>
        <v>344.55583089195</v>
      </c>
      <c r="AL175" s="9" t="n">
        <f aca="false">(((1-Assumptions!$C$24)*((Assumptions!$C$26*AL41)+(Assumptions!$C$27*(AL34+AL37))))+((Assumptions!$C$24*Assumptions!$C$25)*AL41))</f>
        <v>360.110490142937</v>
      </c>
      <c r="AN175" s="11" t="n">
        <f aca="false">SUM(C175:N175)</f>
        <v>0</v>
      </c>
      <c r="AO175" s="11" t="n">
        <f aca="false">SUM(O175:Z175)</f>
        <v>840.753256794393</v>
      </c>
      <c r="AP175" s="11" t="n">
        <f aca="false">SUM(AA175:AL175)</f>
        <v>3080.72412562797</v>
      </c>
    </row>
    <row r="176" customFormat="false" ht="15" hidden="false" customHeight="false" outlineLevel="0" collapsed="false">
      <c r="A176" s="0" t="s">
        <v>978</v>
      </c>
      <c r="B176" s="0" t="s">
        <v>230</v>
      </c>
      <c r="C176" s="9" t="n">
        <f aca="false">((C143*(Assumptions!$C$26+Assumptions!$C$55))+(C142*(Assumptions!$C$27+Assumptions!$C$56)))</f>
        <v>0</v>
      </c>
      <c r="D176" s="9" t="n">
        <f aca="false">((D143*(Assumptions!$C$26+Assumptions!$C$55))+(D142*(Assumptions!$C$27+Assumptions!$C$56)))</f>
        <v>0</v>
      </c>
      <c r="E176" s="9" t="n">
        <f aca="false">((E143*(Assumptions!$C$26+Assumptions!$C$55))+(E142*(Assumptions!$C$27+Assumptions!$C$56)))</f>
        <v>0</v>
      </c>
      <c r="F176" s="9" t="n">
        <f aca="false">((F143*(Assumptions!$C$26+Assumptions!$C$55))+(F142*(Assumptions!$C$27+Assumptions!$C$56)))</f>
        <v>0</v>
      </c>
      <c r="G176" s="9" t="n">
        <f aca="false">((G143*(Assumptions!$C$26+Assumptions!$C$55))+(G142*(Assumptions!$C$27+Assumptions!$C$56)))</f>
        <v>0</v>
      </c>
      <c r="H176" s="9" t="n">
        <f aca="false">((H143*(Assumptions!$C$26+Assumptions!$C$55))+(H142*(Assumptions!$C$27+Assumptions!$C$56)))</f>
        <v>0</v>
      </c>
      <c r="I176" s="9" t="n">
        <f aca="false">((I143*(Assumptions!$C$26+Assumptions!$C$55))+(I142*(Assumptions!$C$27+Assumptions!$C$56)))</f>
        <v>0</v>
      </c>
      <c r="J176" s="9" t="n">
        <f aca="false">((J143*(Assumptions!$C$26+Assumptions!$C$55))+(J142*(Assumptions!$C$27+Assumptions!$C$56)))</f>
        <v>0</v>
      </c>
      <c r="K176" s="9" t="n">
        <f aca="false">((K143*(Assumptions!$C$26+Assumptions!$C$55))+(K142*(Assumptions!$C$27+Assumptions!$C$56)))</f>
        <v>0</v>
      </c>
      <c r="L176" s="9" t="n">
        <f aca="false">((L143*(Assumptions!$C$26+Assumptions!$C$55))+(L142*(Assumptions!$C$27+Assumptions!$C$56)))</f>
        <v>0</v>
      </c>
      <c r="M176" s="9" t="n">
        <f aca="false">((M143*(Assumptions!$C$26+Assumptions!$C$55))+(M142*(Assumptions!$C$27+Assumptions!$C$56)))</f>
        <v>0</v>
      </c>
      <c r="N176" s="9" t="n">
        <f aca="false">((N143*(Assumptions!$C$26+Assumptions!$C$55))+(N142*(Assumptions!$C$27+Assumptions!$C$56)))</f>
        <v>0</v>
      </c>
      <c r="O176" s="9" t="n">
        <f aca="false">((O143*(Assumptions!$C$26+Assumptions!$C$55))+(O142*(Assumptions!$C$27+Assumptions!$C$56)))</f>
        <v>0</v>
      </c>
      <c r="P176" s="9" t="n">
        <f aca="false">((P143*(Assumptions!$C$26+Assumptions!$C$55))+(P142*(Assumptions!$C$27+Assumptions!$C$56)))</f>
        <v>0</v>
      </c>
      <c r="Q176" s="9" t="n">
        <f aca="false">((Q143*(Assumptions!$C$26+Assumptions!$C$55))+(Q142*(Assumptions!$C$27+Assumptions!$C$56)))</f>
        <v>0</v>
      </c>
      <c r="R176" s="9" t="n">
        <f aca="false">((R143*(Assumptions!$C$26+Assumptions!$C$55))+(R142*(Assumptions!$C$27+Assumptions!$C$56)))</f>
        <v>0</v>
      </c>
      <c r="S176" s="9" t="n">
        <f aca="false">((S143*(Assumptions!$C$26+Assumptions!$C$55))+(S142*(Assumptions!$C$27+Assumptions!$C$56)))</f>
        <v>0</v>
      </c>
      <c r="T176" s="9" t="n">
        <f aca="false">((T143*(Assumptions!$C$26+Assumptions!$C$55))+(T142*(Assumptions!$C$27+Assumptions!$C$56)))</f>
        <v>0</v>
      </c>
      <c r="U176" s="9" t="n">
        <f aca="false">((U143*(Assumptions!$C$26+Assumptions!$C$55))+(U142*(Assumptions!$C$27+Assumptions!$C$56)))</f>
        <v>0</v>
      </c>
      <c r="V176" s="9" t="n">
        <f aca="false">((V143*(Assumptions!$C$26+Assumptions!$C$55))+(V142*(Assumptions!$C$27+Assumptions!$C$56)))</f>
        <v>0</v>
      </c>
      <c r="W176" s="9" t="n">
        <f aca="false">((W143*(Assumptions!$C$26+Assumptions!$C$55))+(W142*(Assumptions!$C$27+Assumptions!$C$56)))</f>
        <v>0</v>
      </c>
      <c r="X176" s="9" t="n">
        <f aca="false">((X143*(Assumptions!$C$26+Assumptions!$C$55))+(X142*(Assumptions!$C$27+Assumptions!$C$56)))</f>
        <v>0</v>
      </c>
      <c r="Y176" s="9" t="n">
        <f aca="false">((Y143*(Assumptions!$C$26+Assumptions!$C$55))+(Y142*(Assumptions!$C$27+Assumptions!$C$56)))</f>
        <v>0</v>
      </c>
      <c r="Z176" s="9" t="n">
        <f aca="false">((Z143*(Assumptions!$C$26+Assumptions!$C$55))+(Z142*(Assumptions!$C$27+Assumptions!$C$56)))</f>
        <v>0</v>
      </c>
      <c r="AA176" s="9" t="n">
        <f aca="false">((AA143*(Assumptions!$C$26+Assumptions!$C$55))+(AA142*(Assumptions!$C$27+Assumptions!$C$56)))</f>
        <v>0</v>
      </c>
      <c r="AB176" s="9" t="n">
        <f aca="false">((AB143*(Assumptions!$C$26+Assumptions!$C$55))+(AB142*(Assumptions!$C$27+Assumptions!$C$56)))</f>
        <v>0</v>
      </c>
      <c r="AC176" s="9" t="n">
        <f aca="false">((AC143*(Assumptions!$C$26+Assumptions!$C$55))+(AC142*(Assumptions!$C$27+Assumptions!$C$56)))</f>
        <v>0</v>
      </c>
      <c r="AD176" s="9" t="n">
        <f aca="false">((AD143*(Assumptions!$C$26+Assumptions!$C$55))+(AD142*(Assumptions!$C$27+Assumptions!$C$56)))</f>
        <v>0</v>
      </c>
      <c r="AE176" s="9" t="n">
        <f aca="false">((AE143*(Assumptions!$C$26+Assumptions!$C$55))+(AE142*(Assumptions!$C$27+Assumptions!$C$56)))</f>
        <v>0</v>
      </c>
      <c r="AF176" s="9" t="n">
        <f aca="false">((AF143*(Assumptions!$C$26+Assumptions!$C$55))+(AF142*(Assumptions!$C$27+Assumptions!$C$56)))</f>
        <v>0</v>
      </c>
      <c r="AG176" s="9" t="n">
        <f aca="false">((AG143*(Assumptions!$C$26+Assumptions!$C$55))+(AG142*(Assumptions!$C$27+Assumptions!$C$56)))</f>
        <v>643.2</v>
      </c>
      <c r="AH176" s="9" t="n">
        <f aca="false">((AH143*(Assumptions!$C$26+Assumptions!$C$55))+(AH142*(Assumptions!$C$27+Assumptions!$C$56)))</f>
        <v>858.672</v>
      </c>
      <c r="AI176" s="9" t="n">
        <f aca="false">((AI143*(Assumptions!$C$26+Assumptions!$C$55))+(AI142*(Assumptions!$C$27+Assumptions!$C$56)))</f>
        <v>1065.52512</v>
      </c>
      <c r="AJ176" s="9" t="n">
        <f aca="false">((AJ143*(Assumptions!$C$26+Assumptions!$C$55))+(AJ142*(Assumptions!$C$27+Assumptions!$C$56)))</f>
        <v>1264.1041152</v>
      </c>
      <c r="AK176" s="9" t="n">
        <f aca="false">((AK143*(Assumptions!$C$26+Assumptions!$C$55))+(AK142*(Assumptions!$C$27+Assumptions!$C$56)))</f>
        <v>1454.739950592</v>
      </c>
      <c r="AL176" s="9" t="n">
        <f aca="false">((AL143*(Assumptions!$C$26+Assumptions!$C$55))+(AL142*(Assumptions!$C$27+Assumptions!$C$56)))</f>
        <v>1637.75035256832</v>
      </c>
      <c r="AN176" s="11" t="n">
        <f aca="false">SUM(C176:N176)</f>
        <v>0</v>
      </c>
      <c r="AO176" s="11" t="n">
        <f aca="false">SUM(O176:Z176)</f>
        <v>0</v>
      </c>
      <c r="AP176" s="11" t="n">
        <f aca="false">SUM(AA176:AL176)</f>
        <v>6923.99153836032</v>
      </c>
    </row>
    <row r="177" customFormat="false" ht="15" hidden="false" customHeight="false" outlineLevel="0" collapsed="false">
      <c r="A177" s="0" t="s">
        <v>979</v>
      </c>
      <c r="B177" s="0" t="s">
        <v>230</v>
      </c>
      <c r="C177" s="9" t="n">
        <f aca="false">(((((((C158+C159)+C160)+C161)+C162)+C163)+C165)+C170)</f>
        <v>67.1082984</v>
      </c>
      <c r="D177" s="9" t="n">
        <f aca="false">(((((((D158+D159)+D160)+D161)+D162)+D163)+D165)+D170)</f>
        <v>119.24628408</v>
      </c>
      <c r="E177" s="9" t="n">
        <f aca="false">(((((((E158+E159)+E160)+E161)+E162)+E163)+E165)+E170)</f>
        <v>157.13872666272</v>
      </c>
      <c r="F177" s="9" t="n">
        <f aca="false">(((((((F158+F159)+F160)+F161)+F162)+F163)+F165)+F170)</f>
        <v>187.467960772224</v>
      </c>
      <c r="G177" s="9" t="n">
        <f aca="false">(((((((G158+G159)+G160)+G161)+G162)+G163)+G165)+G170)</f>
        <v>297.214873120236</v>
      </c>
      <c r="H177" s="9" t="n">
        <f aca="false">(((((((H158+H159)+H160)+H161)+H162)+H163)+H165)+H170)</f>
        <v>307.266708535075</v>
      </c>
      <c r="I177" s="9" t="n">
        <f aca="false">(((((((I158+I159)+I160)+I161)+I162)+I163)+I165)+I170)</f>
        <v>332.830063712377</v>
      </c>
      <c r="J177" s="9" t="n">
        <f aca="false">(((((((J158+J159)+J160)+J161)+J162)+J163)+J165)+J170)</f>
        <v>816.343924926783</v>
      </c>
      <c r="K177" s="9" t="n">
        <f aca="false">(((((((K158+K159)+K160)+K161)+K162)+K163)+K165)+K170)</f>
        <v>924.228694930789</v>
      </c>
      <c r="L177" s="9" t="n">
        <f aca="false">(((((((L158+L159)+L160)+L161)+L162)+L163)+L165)+L170)</f>
        <v>967.003512527865</v>
      </c>
      <c r="M177" s="9" t="n">
        <f aca="false">(((((((M158+M159)+M160)+M161)+M162)+M163)+M165)+M170)</f>
        <v>898.771831947364</v>
      </c>
      <c r="N177" s="9" t="n">
        <f aca="false">(((((((N158+N159)+N160)+N161)+N162)+N163)+N165)+N170)</f>
        <v>906.084827554868</v>
      </c>
      <c r="O177" s="9" t="n">
        <f aca="false">(((((((O158+O159)+O160)+O161)+O162)+O163)+O165)+O170)</f>
        <v>1548.22593940202</v>
      </c>
      <c r="P177" s="9" t="n">
        <f aca="false">(((((((P158+P159)+P160)+P161)+P162)+P163)+P165)+P170)</f>
        <v>1664.77250562462</v>
      </c>
      <c r="Q177" s="9" t="n">
        <f aca="false">(((((((Q158+Q159)+Q160)+Q161)+Q162)+Q163)+Q165)+Q170)</f>
        <v>2042.23601887158</v>
      </c>
      <c r="R177" s="9" t="n">
        <f aca="false">(((((((R158+R159)+R160)+R161)+R162)+R163)+R165)+R170)</f>
        <v>2347.06724627151</v>
      </c>
      <c r="S177" s="9" t="n">
        <f aca="false">(((((((S158+S159)+S160)+S161)+S162)+S163)+S165)+S170)</f>
        <v>2537.14244669293</v>
      </c>
      <c r="T177" s="9" t="n">
        <f aca="false">(((((((T158+T159)+T160)+T161)+T162)+T163)+T165)+T170)</f>
        <v>3410.89643426303</v>
      </c>
      <c r="U177" s="9" t="n">
        <f aca="false">(((((((U158+U159)+U160)+U161)+U162)+U163)+U165)+U170)</f>
        <v>3734.65656724442</v>
      </c>
      <c r="V177" s="9" t="n">
        <f aca="false">(((((((V158+V159)+V160)+V161)+V162)+V163)+V165)+V170)</f>
        <v>4437.32531986892</v>
      </c>
      <c r="W177" s="9" t="n">
        <f aca="false">(((((((W158+W159)+W160)+W161)+W162)+W163)+W165)+W170)</f>
        <v>5206.24890130539</v>
      </c>
      <c r="X177" s="9" t="n">
        <f aca="false">(((((((X158+X159)+X160)+X161)+X162)+X163)+X165)+X170)</f>
        <v>6003.48589696699</v>
      </c>
      <c r="Y177" s="9" t="n">
        <f aca="false">(((((((Y158+Y159)+Y160)+Y161)+Y162)+Y163)+Y165)+Y170)</f>
        <v>6190.18975113819</v>
      </c>
      <c r="Z177" s="9" t="n">
        <f aca="false">(((((((Z158+Z159)+Z160)+Z161)+Z162)+Z163)+Z165)+Z170)</f>
        <v>6254.03316413905</v>
      </c>
      <c r="AA177" s="9" t="n">
        <f aca="false">(((((((AA158+AA159)+AA160)+AA161)+AA162)+AA163)+AA165)+AA170)</f>
        <v>7305.21038780579</v>
      </c>
      <c r="AB177" s="9" t="n">
        <f aca="false">(((((((AB158+AB159)+AB160)+AB161)+AB162)+AB163)+AB165)+AB170)</f>
        <v>7819.63371319193</v>
      </c>
      <c r="AC177" s="9" t="n">
        <f aca="false">(((((((AC158+AC159)+AC160)+AC161)+AC162)+AC163)+AC165)+AC170)</f>
        <v>8053.599089619</v>
      </c>
      <c r="AD177" s="9" t="n">
        <f aca="false">(((((((AD158+AD159)+AD160)+AD161)+AD162)+AD163)+AD165)+AD170)</f>
        <v>8301.81991607205</v>
      </c>
      <c r="AE177" s="9" t="n">
        <f aca="false">(((((((AE158+AE159)+AE160)+AE161)+AE162)+AE163)+AE165)+AE170)</f>
        <v>9148.10472349451</v>
      </c>
      <c r="AF177" s="9" t="n">
        <f aca="false">(((((((AF158+AF159)+AF160)+AF161)+AF162)+AF163)+AF165)+AF170)</f>
        <v>9009.40787966732</v>
      </c>
      <c r="AG177" s="9" t="n">
        <f aca="false">(((((((AG158+AG159)+AG160)+AG161)+AG162)+AG163)+AG165)+AG170)</f>
        <v>9219.4577802207</v>
      </c>
      <c r="AH177" s="9" t="n">
        <f aca="false">(((((((AH158+AH159)+AH160)+AH161)+AH162)+AH163)+AH165)+AH170)</f>
        <v>12089.8052896773</v>
      </c>
      <c r="AI177" s="9" t="n">
        <f aca="false">(((((((AI158+AI159)+AI160)+AI161)+AI162)+AI163)+AI165)+AI170)</f>
        <v>12992.2679862332</v>
      </c>
      <c r="AJ177" s="9" t="n">
        <f aca="false">(((((((AJ158+AJ159)+AJ160)+AJ161)+AJ162)+AJ163)+AJ165)+AJ170)</f>
        <v>13746.3554546028</v>
      </c>
      <c r="AK177" s="9" t="n">
        <f aca="false">(((((((AK158+AK159)+AK160)+AK161)+AK162)+AK163)+AK165)+AK170)</f>
        <v>16177.4886010812</v>
      </c>
      <c r="AL177" s="9" t="n">
        <f aca="false">(((((((AL158+AL159)+AL160)+AL161)+AL162)+AL163)+AL165)+AL170)</f>
        <v>17517.1128809629</v>
      </c>
      <c r="AN177" s="11" t="n">
        <f aca="false">SUM(C177:N177)</f>
        <v>5980.7057071703</v>
      </c>
      <c r="AO177" s="11" t="n">
        <f aca="false">SUM(O177:Z177)</f>
        <v>45376.2801917887</v>
      </c>
      <c r="AP177" s="11" t="n">
        <f aca="false">SUM(AA177:AL177)</f>
        <v>131380.263702629</v>
      </c>
    </row>
    <row r="178" customFormat="false" ht="15" hidden="false" customHeight="false" outlineLevel="0" collapsed="false">
      <c r="A178" s="0" t="s">
        <v>980</v>
      </c>
      <c r="B178" s="0" t="s">
        <v>193</v>
      </c>
      <c r="C178" s="12" t="n">
        <f aca="false">((C29+C39)/C157)</f>
        <v>1</v>
      </c>
      <c r="D178" s="12" t="n">
        <f aca="false">((D29+D39)/D157)</f>
        <v>1</v>
      </c>
      <c r="E178" s="12" t="n">
        <f aca="false">((E29+E39)/E157)</f>
        <v>1</v>
      </c>
      <c r="F178" s="12" t="n">
        <f aca="false">((F29+F39)/F157)</f>
        <v>1</v>
      </c>
      <c r="G178" s="12" t="n">
        <f aca="false">((G29+G39)/G157)</f>
        <v>0.772132420682723</v>
      </c>
      <c r="H178" s="12" t="n">
        <f aca="false">((H29+H39)/H157)</f>
        <v>0.780481144106528</v>
      </c>
      <c r="I178" s="12" t="n">
        <f aca="false">((I29+I39)/I157)</f>
        <v>0.799191896630727</v>
      </c>
      <c r="J178" s="12" t="n">
        <f aca="false">((J29+J39)/J157)</f>
        <v>0.518532526474918</v>
      </c>
      <c r="K178" s="12" t="n">
        <f aca="false">((K29+K39)/K157)</f>
        <v>0.587407074545753</v>
      </c>
      <c r="L178" s="12" t="n">
        <f aca="false">((L29+L39)/L157)</f>
        <v>0.609552425383973</v>
      </c>
      <c r="M178" s="12" t="n">
        <f aca="false">((M29+M39)/M157)</f>
        <v>0.670522004654715</v>
      </c>
      <c r="N178" s="12" t="n">
        <f aca="false">((N29+N39)/N157)</f>
        <v>0.673655503921869</v>
      </c>
      <c r="O178" s="12" t="n">
        <f aca="false">((O29+O39)/O157)</f>
        <v>0.821877498333297</v>
      </c>
      <c r="P178" s="12" t="n">
        <f aca="false">((P29+P39)/P157)</f>
        <v>1</v>
      </c>
      <c r="Q178" s="12" t="n">
        <f aca="false">((Q29+Q39)/Q157)</f>
        <v>1</v>
      </c>
      <c r="R178" s="12" t="n">
        <f aca="false">((R29+R39)/R157)</f>
        <v>1</v>
      </c>
      <c r="S178" s="12" t="n">
        <f aca="false">((S29+S39)/S157)</f>
        <v>1</v>
      </c>
      <c r="T178" s="12" t="n">
        <f aca="false">((T29+T39)/T157)</f>
        <v>0.845433954331738</v>
      </c>
      <c r="U178" s="12" t="n">
        <f aca="false">((U29+U39)/U157)</f>
        <v>0.840453315714764</v>
      </c>
      <c r="V178" s="12" t="n">
        <f aca="false">((V29+V39)/V157)</f>
        <v>0.867512321022933</v>
      </c>
      <c r="W178" s="12" t="n">
        <f aca="false">((W29+W39)/W157)</f>
        <v>0.888212327544543</v>
      </c>
      <c r="X178" s="12" t="n">
        <f aca="false">((X29+X39)/X157)</f>
        <v>0.843588924634272</v>
      </c>
      <c r="Y178" s="12" t="n">
        <f aca="false">((Y29+Y39)/Y157)</f>
        <v>0.848302130874084</v>
      </c>
      <c r="Z178" s="12" t="n">
        <f aca="false">((Z29+Z39)/Z157)</f>
        <v>0.849535388801374</v>
      </c>
      <c r="AA178" s="12" t="n">
        <f aca="false">((AA29+AA39)/AA157)</f>
        <v>0.82176248076781</v>
      </c>
      <c r="AB178" s="12" t="n">
        <f aca="false">((AB29+AB39)/AB157)</f>
        <v>0.822251733033652</v>
      </c>
      <c r="AC178" s="12" t="n">
        <f aca="false">((AC29+AC39)/AC157)</f>
        <v>0.827559382204438</v>
      </c>
      <c r="AD178" s="12" t="n">
        <f aca="false">((AD29+AD39)/AD157)</f>
        <v>0.823981581391943</v>
      </c>
      <c r="AE178" s="12" t="n">
        <f aca="false">((AE29+AE39)/AE157)</f>
        <v>0.767636096677173</v>
      </c>
      <c r="AF178" s="12" t="n">
        <f aca="false">((AF29+AF39)/AF157)</f>
        <v>0.771282046435258</v>
      </c>
      <c r="AG178" s="12" t="n">
        <f aca="false">((AG29+AG39)/AG157)</f>
        <v>0.768299296411364</v>
      </c>
      <c r="AH178" s="12" t="n">
        <f aca="false">((AH29+AH39)/AH157)</f>
        <v>0.684724318018459</v>
      </c>
      <c r="AI178" s="12" t="n">
        <f aca="false">((AI29+AI39)/AI157)</f>
        <v>0.710116916749619</v>
      </c>
      <c r="AJ178" s="12" t="n">
        <f aca="false">((AJ29+AJ39)/AJ157)</f>
        <v>0.697239115036037</v>
      </c>
      <c r="AK178" s="12" t="n">
        <f aca="false">((AK29+AK39)/AK157)</f>
        <v>0.618926222072165</v>
      </c>
      <c r="AL178" s="12" t="n">
        <f aca="false">((AL29+AL39)/AL157)</f>
        <v>0.576607238352106</v>
      </c>
    </row>
    <row r="179" customFormat="false" ht="15" hidden="false" customHeight="false" outlineLevel="0" collapsed="false">
      <c r="A179" s="0" t="s">
        <v>981</v>
      </c>
      <c r="B179" s="0" t="s">
        <v>230</v>
      </c>
      <c r="C179" s="9" t="n">
        <f aca="false">(C175+(C177*C178))</f>
        <v>67.1082984</v>
      </c>
      <c r="D179" s="9" t="n">
        <f aca="false">(D175+(D177*D178))</f>
        <v>119.24628408</v>
      </c>
      <c r="E179" s="9" t="n">
        <f aca="false">(E175+(E177*E178))</f>
        <v>157.13872666272</v>
      </c>
      <c r="F179" s="9" t="n">
        <f aca="false">(F175+(F177*F178))</f>
        <v>187.467960772224</v>
      </c>
      <c r="G179" s="9" t="n">
        <f aca="false">(G175+(G177*G178))</f>
        <v>229.489239445236</v>
      </c>
      <c r="H179" s="9" t="n">
        <f aca="false">(H175+(H177*H178))</f>
        <v>239.815872223302</v>
      </c>
      <c r="I179" s="9" t="n">
        <f aca="false">(I175+(I177*I178))</f>
        <v>265.99508987402</v>
      </c>
      <c r="J179" s="9" t="n">
        <f aca="false">(J175+(J177*J178))</f>
        <v>423.300877864735</v>
      </c>
      <c r="K179" s="9" t="n">
        <f aca="false">(K175+(K177*K178))</f>
        <v>542.898473900534</v>
      </c>
      <c r="L179" s="9" t="n">
        <f aca="false">(L175+(L177*L178))</f>
        <v>589.439336416181</v>
      </c>
      <c r="M179" s="9" t="n">
        <f aca="false">(M175+(M177*M178))</f>
        <v>602.646290484537</v>
      </c>
      <c r="N179" s="9" t="n">
        <f aca="false">(N175+(N177*N178))</f>
        <v>610.389031102435</v>
      </c>
      <c r="O179" s="9" t="n">
        <f aca="false">(O175+(O177*O178))</f>
        <v>1280.67333127049</v>
      </c>
      <c r="P179" s="9" t="n">
        <f aca="false">(P175+(P177*P178))</f>
        <v>1684.63150513878</v>
      </c>
      <c r="Q179" s="9" t="n">
        <f aca="false">(Q175+(Q177*Q178))</f>
        <v>2073.25952656588</v>
      </c>
      <c r="R179" s="9" t="n">
        <f aca="false">(R175+(R177*R178))</f>
        <v>2388.46320997801</v>
      </c>
      <c r="S179" s="9" t="n">
        <f aca="false">(S175+(S177*S178))</f>
        <v>2588.55780740504</v>
      </c>
      <c r="T179" s="9" t="n">
        <f aca="false">(T175+(T177*T178))</f>
        <v>2943.85091045099</v>
      </c>
      <c r="U179" s="9" t="n">
        <f aca="false">(U175+(U177*U178))</f>
        <v>3206.97926767467</v>
      </c>
      <c r="V179" s="9" t="n">
        <f aca="false">(V175+(V177*V178))</f>
        <v>3927.21703905386</v>
      </c>
      <c r="W179" s="9" t="n">
        <f aca="false">(W175+(W177*W178))</f>
        <v>4719.43180598381</v>
      </c>
      <c r="X179" s="9" t="n">
        <f aca="false">(X175+(X177*X178))</f>
        <v>5179.69229866802</v>
      </c>
      <c r="Y179" s="9" t="n">
        <f aca="false">(Y175+(Y177*Y178))</f>
        <v>5380.90778654712</v>
      </c>
      <c r="Z179" s="9" t="n">
        <f aca="false">(Z175+(Z177*Z178))</f>
        <v>5455.58790841673</v>
      </c>
      <c r="AA179" s="9" t="n">
        <f aca="false">(AA175+(AA177*AA178))</f>
        <v>6160.1645356911</v>
      </c>
      <c r="AB179" s="9" t="n">
        <f aca="false">(AB175+(AB177*AB178))</f>
        <v>6609.66860609854</v>
      </c>
      <c r="AC179" s="9" t="n">
        <f aca="false">(AC175+(AC177*AC178))</f>
        <v>6865.00514951731</v>
      </c>
      <c r="AD179" s="9" t="n">
        <f aca="false">(AD175+(AD177*AD178))</f>
        <v>7057.96085953029</v>
      </c>
      <c r="AE179" s="9" t="n">
        <f aca="false">(AE175+(AE177*AE178))</f>
        <v>7255.30817073963</v>
      </c>
      <c r="AF179" s="9" t="n">
        <f aca="false">(AF175+(AF177*AF178))</f>
        <v>7193.85862945029</v>
      </c>
      <c r="AG179" s="9" t="n">
        <f aca="false">(AG175+(AG177*AG178))</f>
        <v>7338.5526217208</v>
      </c>
      <c r="AH179" s="9" t="n">
        <f aca="false">(AH175+(AH177*AH178))</f>
        <v>8546.22269030067</v>
      </c>
      <c r="AI179" s="9" t="n">
        <f aca="false">(AI175+(AI177*AI178))</f>
        <v>9520.89945983107</v>
      </c>
      <c r="AJ179" s="9" t="n">
        <f aca="false">(AJ175+(AJ177*AJ178))</f>
        <v>9909.87300732336</v>
      </c>
      <c r="AK179" s="9" t="n">
        <f aca="false">(AK175+(AK177*AK178))</f>
        <v>10357.2277333746</v>
      </c>
      <c r="AL179" s="9" t="n">
        <f aca="false">(AL175+(AL177*AL178))</f>
        <v>10460.604572337</v>
      </c>
      <c r="AN179" s="11" t="n">
        <f aca="false">SUM(C179:N179)</f>
        <v>4034.93548122593</v>
      </c>
      <c r="AO179" s="11" t="n">
        <f aca="false">SUM(O179:Z179)</f>
        <v>40829.2523971534</v>
      </c>
      <c r="AP179" s="11" t="n">
        <f aca="false">SUM(AA179:AL179)</f>
        <v>97275.3460359147</v>
      </c>
    </row>
    <row r="180" customFormat="false" ht="15" hidden="false" customHeight="false" outlineLevel="0" collapsed="false">
      <c r="A180" s="0" t="s">
        <v>982</v>
      </c>
      <c r="B180" s="0" t="s">
        <v>230</v>
      </c>
      <c r="C180" s="9" t="n">
        <f aca="false">(((C177*(1-C178))+C168)+C173)</f>
        <v>0</v>
      </c>
      <c r="D180" s="9" t="n">
        <f aca="false">(((D177*(1-D178))+D168)+D173)</f>
        <v>0</v>
      </c>
      <c r="E180" s="9" t="n">
        <f aca="false">(((E177*(1-E178))+E168)+E173)</f>
        <v>0</v>
      </c>
      <c r="F180" s="9" t="n">
        <f aca="false">(((F177*(1-F178))+F168)+F173)</f>
        <v>0</v>
      </c>
      <c r="G180" s="9" t="n">
        <f aca="false">(((G177*(1-G178))+G168)+G173)</f>
        <v>372.725633675</v>
      </c>
      <c r="H180" s="9" t="n">
        <f aca="false">(((H177*(1-H178))+H168)+H173)</f>
        <v>372.450836311773</v>
      </c>
      <c r="I180" s="9" t="n">
        <f aca="false">(((I177*(1-I178))+I168)+I173)</f>
        <v>371.834973838357</v>
      </c>
      <c r="J180" s="9" t="n">
        <f aca="false">(((J177*(1-J178))+J168)+J173)</f>
        <v>1003.04304706205</v>
      </c>
      <c r="K180" s="9" t="n">
        <f aca="false">(((K177*(1-K178))+K168)+K173)</f>
        <v>991.330221030255</v>
      </c>
      <c r="L180" s="9" t="n">
        <f aca="false">(((L177*(1-L178))+L168)+L173)</f>
        <v>987.564176111684</v>
      </c>
      <c r="M180" s="9" t="n">
        <f aca="false">(((M177*(1-M178))+M168)+M173)</f>
        <v>601.125541462827</v>
      </c>
      <c r="N180" s="9" t="n">
        <f aca="false">(((N177*(1-N178))+N168)+N173)</f>
        <v>600.695796452434</v>
      </c>
      <c r="O180" s="9" t="n">
        <f aca="false">(((O177*(1-O178))+O168)+O173)</f>
        <v>580.77387747157</v>
      </c>
      <c r="P180" s="9" t="n">
        <f aca="false">(((P177*(1-P178))+P168)+P173)</f>
        <v>0</v>
      </c>
      <c r="Q180" s="9" t="n">
        <f aca="false">(((Q177*(1-Q178))+Q168)+Q173)</f>
        <v>0</v>
      </c>
      <c r="R180" s="9" t="n">
        <f aca="false">(((R177*(1-R178))+R168)+R173)</f>
        <v>0</v>
      </c>
      <c r="S180" s="9" t="n">
        <f aca="false">(((S177*(1-S178))+S168)+S173)</f>
        <v>0</v>
      </c>
      <c r="T180" s="9" t="n">
        <f aca="false">(((T177*(1-T178))+T168)+T173)</f>
        <v>11023.2754406947</v>
      </c>
      <c r="U180" s="9" t="n">
        <f aca="false">(((U177*(1-U178))+U168)+U173)</f>
        <v>11396.9187389146</v>
      </c>
      <c r="V180" s="9" t="n">
        <f aca="false">(((V177*(1-V178))+V168)+V173)</f>
        <v>11388.9575991623</v>
      </c>
      <c r="W180" s="9" t="n">
        <f aca="false">(((W177*(1-W178))+W168)+W173)</f>
        <v>11383.0611135674</v>
      </c>
      <c r="X180" s="9" t="n">
        <f aca="false">(((X177*(1-X178))+X168)+X173)</f>
        <v>12350.0783517543</v>
      </c>
      <c r="Y180" s="9" t="n">
        <f aca="false">(((Y177*(1-Y178))+Y168)+Y173)</f>
        <v>12350.1052613994</v>
      </c>
      <c r="Z180" s="9" t="n">
        <f aca="false">(((Z177*(1-Z178))+Z168)+Z173)</f>
        <v>12352.0773351322</v>
      </c>
      <c r="AA180" s="9" t="n">
        <f aca="false">(((AA177*(1-AA178))+AA168)+AA173)</f>
        <v>13323.1292436584</v>
      </c>
      <c r="AB180" s="9" t="n">
        <f aca="false">(((AB177*(1-AB178))+AB168)+AB173)</f>
        <v>13548.2430074982</v>
      </c>
      <c r="AC180" s="9" t="n">
        <f aca="false">(((AC177*(1-AC178))+AC168)+AC173)</f>
        <v>13547.0842691583</v>
      </c>
      <c r="AD180" s="9" t="n">
        <f aca="false">(((AD177*(1-AD178))+AD168)+AD173)</f>
        <v>13924.5898798625</v>
      </c>
      <c r="AE180" s="9" t="n">
        <f aca="false">(((AE177*(1-AE178))+AE168)+AE173)</f>
        <v>15154.7809882238</v>
      </c>
      <c r="AF180" s="9" t="n">
        <f aca="false">(((AF177*(1-AF178))+AF168)+AF173)</f>
        <v>25216.8436664009</v>
      </c>
      <c r="AG180" s="9" t="n">
        <f aca="false">(((AG177*(1-AG178))+AG168)+AG173)</f>
        <v>25597.3851877162</v>
      </c>
      <c r="AH180" s="9" t="n">
        <f aca="false">(((AH177*(1-AH178))+AH168)+AH173)</f>
        <v>28280.8769410604</v>
      </c>
      <c r="AI180" s="9" t="n">
        <f aca="false">(((AI177*(1-AI178))+AI168)+AI173)</f>
        <v>28235.4940355979</v>
      </c>
      <c r="AJ180" s="9" t="n">
        <f aca="false">(((AJ177*(1-AJ178))+AJ168)+AJ173)</f>
        <v>29241.1140757981</v>
      </c>
      <c r="AK180" s="9" t="n">
        <f aca="false">(((AK177*(1-AK178))+AK168)+AK173)</f>
        <v>32557.0970319318</v>
      </c>
      <c r="AL180" s="9" t="n">
        <f aca="false">(((AL177*(1-AL178))+AL168)+AL173)</f>
        <v>34113.8991321021</v>
      </c>
      <c r="AN180" s="11" t="n">
        <f aca="false">SUM(C180:N180)</f>
        <v>5300.77022594438</v>
      </c>
      <c r="AO180" s="11" t="n">
        <f aca="false">SUM(O180:Z180)</f>
        <v>82825.2477180963</v>
      </c>
      <c r="AP180" s="11" t="n">
        <f aca="false">SUM(AA180:AL180)</f>
        <v>272740.537459009</v>
      </c>
    </row>
    <row r="181" customFormat="false" ht="15" hidden="false" customHeight="false" outlineLevel="0" collapsed="false">
      <c r="A181" s="0" t="s">
        <v>983</v>
      </c>
      <c r="B181" s="0" t="s">
        <v>230</v>
      </c>
      <c r="C181" s="9" t="n">
        <f aca="false">((C164+C166)+C171)</f>
        <v>6000</v>
      </c>
      <c r="D181" s="9" t="n">
        <f aca="false">((D164+D166)+D171)</f>
        <v>6000</v>
      </c>
      <c r="E181" s="9" t="n">
        <f aca="false">((E164+E166)+E171)</f>
        <v>6000</v>
      </c>
      <c r="F181" s="9" t="n">
        <f aca="false">((F164+F166)+F171)</f>
        <v>6000</v>
      </c>
      <c r="G181" s="9" t="n">
        <f aca="false">((G164+G166)+G171)</f>
        <v>6000</v>
      </c>
      <c r="H181" s="9" t="n">
        <f aca="false">((H164+H166)+H171)</f>
        <v>6000</v>
      </c>
      <c r="I181" s="9" t="n">
        <f aca="false">((I164+I166)+I171)</f>
        <v>6000</v>
      </c>
      <c r="J181" s="9" t="n">
        <f aca="false">((J164+J166)+J171)</f>
        <v>6000</v>
      </c>
      <c r="K181" s="9" t="n">
        <f aca="false">((K164+K166)+K171)</f>
        <v>12303.3333333333</v>
      </c>
      <c r="L181" s="9" t="n">
        <f aca="false">((L164+L166)+L171)</f>
        <v>12303.3333333333</v>
      </c>
      <c r="M181" s="9" t="n">
        <f aca="false">((M164+M166)+M171)</f>
        <v>12303.3333333333</v>
      </c>
      <c r="N181" s="9" t="n">
        <f aca="false">((N164+N166)+N171)</f>
        <v>12303.3333333333</v>
      </c>
      <c r="O181" s="9" t="n">
        <f aca="false">((O164+O166)+O171)</f>
        <v>18303.3333333333</v>
      </c>
      <c r="P181" s="9" t="n">
        <f aca="false">((P164+P166)+P171)</f>
        <v>18303.3333333333</v>
      </c>
      <c r="Q181" s="9" t="n">
        <f aca="false">((Q164+Q166)+Q171)</f>
        <v>18303.3333333333</v>
      </c>
      <c r="R181" s="9" t="n">
        <f aca="false">((R164+R166)+R171)</f>
        <v>18303.3333333333</v>
      </c>
      <c r="S181" s="9" t="n">
        <f aca="false">((S164+S166)+S171)</f>
        <v>18303.3333333333</v>
      </c>
      <c r="T181" s="9" t="n">
        <f aca="false">((T164+T166)+T171)</f>
        <v>26945</v>
      </c>
      <c r="U181" s="9" t="n">
        <f aca="false">((U164+U166)+U171)</f>
        <v>26945</v>
      </c>
      <c r="V181" s="9" t="n">
        <f aca="false">((V164+V166)+V171)</f>
        <v>26945</v>
      </c>
      <c r="W181" s="9" t="n">
        <f aca="false">((W164+W166)+W171)</f>
        <v>26945</v>
      </c>
      <c r="X181" s="9" t="n">
        <f aca="false">((X164+X166)+X171)</f>
        <v>26945</v>
      </c>
      <c r="Y181" s="9" t="n">
        <f aca="false">((Y164+Y166)+Y171)</f>
        <v>26945</v>
      </c>
      <c r="Z181" s="9" t="n">
        <f aca="false">((Z164+Z166)+Z171)</f>
        <v>26945</v>
      </c>
      <c r="AA181" s="9" t="n">
        <f aca="false">((AA164+AA166)+AA171)</f>
        <v>35945</v>
      </c>
      <c r="AB181" s="9" t="n">
        <f aca="false">((AB164+AB166)+AB171)</f>
        <v>42248.3333333333</v>
      </c>
      <c r="AC181" s="9" t="n">
        <f aca="false">((AC164+AC166)+AC171)</f>
        <v>42248.3333333333</v>
      </c>
      <c r="AD181" s="9" t="n">
        <f aca="false">((AD164+AD166)+AD171)</f>
        <v>42248.3333333333</v>
      </c>
      <c r="AE181" s="9" t="n">
        <f aca="false">((AE164+AE166)+AE171)</f>
        <v>42248.3333333333</v>
      </c>
      <c r="AF181" s="9" t="n">
        <f aca="false">((AF164+AF166)+AF171)</f>
        <v>42248.3333333333</v>
      </c>
      <c r="AG181" s="9" t="n">
        <f aca="false">((AG164+AG166)+AG171)</f>
        <v>42248.3333333333</v>
      </c>
      <c r="AH181" s="9" t="n">
        <f aca="false">((AH164+AH166)+AH171)</f>
        <v>42248.3333333333</v>
      </c>
      <c r="AI181" s="9" t="n">
        <f aca="false">((AI164+AI166)+AI171)</f>
        <v>48551.6666666667</v>
      </c>
      <c r="AJ181" s="9" t="n">
        <f aca="false">((AJ164+AJ166)+AJ171)</f>
        <v>48551.6666666667</v>
      </c>
      <c r="AK181" s="9" t="n">
        <f aca="false">((AK164+AK166)+AK171)</f>
        <v>48551.6666666667</v>
      </c>
      <c r="AL181" s="9" t="n">
        <f aca="false">((AL164+AL166)+AL171)</f>
        <v>48551.6666666667</v>
      </c>
      <c r="AN181" s="11" t="n">
        <f aca="false">SUM(C181:N181)</f>
        <v>97213.3333333333</v>
      </c>
      <c r="AO181" s="11" t="n">
        <f aca="false">SUM(O181:Z181)</f>
        <v>280131.666666667</v>
      </c>
      <c r="AP181" s="11" t="n">
        <f aca="false">SUM(AA181:AL181)</f>
        <v>525890</v>
      </c>
    </row>
    <row r="182" customFormat="false" ht="15" hidden="false" customHeight="false" outlineLevel="0" collapsed="false">
      <c r="A182" s="0" t="s">
        <v>984</v>
      </c>
      <c r="B182" s="0" t="s">
        <v>230</v>
      </c>
      <c r="C182" s="9" t="n">
        <f aca="false">C172</f>
        <v>0</v>
      </c>
      <c r="D182" s="9" t="n">
        <f aca="false">D172</f>
        <v>0</v>
      </c>
      <c r="E182" s="9" t="n">
        <f aca="false">E172</f>
        <v>0</v>
      </c>
      <c r="F182" s="9" t="n">
        <f aca="false">F172</f>
        <v>0</v>
      </c>
      <c r="G182" s="9" t="n">
        <f aca="false">G172</f>
        <v>10166.6666666667</v>
      </c>
      <c r="H182" s="9" t="n">
        <f aca="false">H172</f>
        <v>10166.6666666667</v>
      </c>
      <c r="I182" s="9" t="n">
        <f aca="false">I172</f>
        <v>10166.6666666667</v>
      </c>
      <c r="J182" s="9" t="n">
        <f aca="false">J172</f>
        <v>10166.6666666667</v>
      </c>
      <c r="K182" s="9" t="n">
        <f aca="false">K172</f>
        <v>10166.6666666667</v>
      </c>
      <c r="L182" s="9" t="n">
        <f aca="false">L172</f>
        <v>10166.6666666667</v>
      </c>
      <c r="M182" s="9" t="n">
        <f aca="false">M172</f>
        <v>20333.3333333333</v>
      </c>
      <c r="N182" s="9" t="n">
        <f aca="false">N172</f>
        <v>20333.3333333333</v>
      </c>
      <c r="O182" s="9" t="n">
        <f aca="false">O172</f>
        <v>20333.3333333333</v>
      </c>
      <c r="P182" s="9" t="n">
        <f aca="false">P172</f>
        <v>20333.3333333333</v>
      </c>
      <c r="Q182" s="9" t="n">
        <f aca="false">Q172</f>
        <v>30500</v>
      </c>
      <c r="R182" s="9" t="n">
        <f aca="false">R172</f>
        <v>30500</v>
      </c>
      <c r="S182" s="9" t="n">
        <f aca="false">S172</f>
        <v>30500</v>
      </c>
      <c r="T182" s="9" t="n">
        <f aca="false">T172</f>
        <v>30500</v>
      </c>
      <c r="U182" s="9" t="n">
        <f aca="false">U172</f>
        <v>40666.6666666667</v>
      </c>
      <c r="V182" s="9" t="n">
        <f aca="false">V172</f>
        <v>40666.6666666667</v>
      </c>
      <c r="W182" s="9" t="n">
        <f aca="false">W172</f>
        <v>40666.6666666667</v>
      </c>
      <c r="X182" s="9" t="n">
        <f aca="false">X172</f>
        <v>50833.3333333333</v>
      </c>
      <c r="Y182" s="9" t="n">
        <f aca="false">Y172</f>
        <v>50833.3333333333</v>
      </c>
      <c r="Z182" s="9" t="n">
        <f aca="false">Z172</f>
        <v>50833.3333333333</v>
      </c>
      <c r="AA182" s="9" t="n">
        <f aca="false">AA172</f>
        <v>61000</v>
      </c>
      <c r="AB182" s="9" t="n">
        <f aca="false">AB172</f>
        <v>61000</v>
      </c>
      <c r="AC182" s="9" t="n">
        <f aca="false">AC172</f>
        <v>61000</v>
      </c>
      <c r="AD182" s="9" t="n">
        <f aca="false">AD172</f>
        <v>71166.6666666667</v>
      </c>
      <c r="AE182" s="9" t="n">
        <f aca="false">AE172</f>
        <v>71166.6666666667</v>
      </c>
      <c r="AF182" s="9" t="n">
        <f aca="false">AF172</f>
        <v>71166.6666666667</v>
      </c>
      <c r="AG182" s="9" t="n">
        <f aca="false">AG172</f>
        <v>81333.3333333333</v>
      </c>
      <c r="AH182" s="9" t="n">
        <f aca="false">AH172</f>
        <v>81333.3333333333</v>
      </c>
      <c r="AI182" s="9" t="n">
        <f aca="false">AI172</f>
        <v>81333.3333333333</v>
      </c>
      <c r="AJ182" s="9" t="n">
        <f aca="false">AJ172</f>
        <v>81333.3333333333</v>
      </c>
      <c r="AK182" s="9" t="n">
        <f aca="false">AK172</f>
        <v>81333.3333333333</v>
      </c>
      <c r="AL182" s="9" t="n">
        <f aca="false">AL172</f>
        <v>81333.3333333333</v>
      </c>
      <c r="AN182" s="11" t="n">
        <f aca="false">SUM(C182:N182)</f>
        <v>101666.666666667</v>
      </c>
      <c r="AO182" s="11" t="n">
        <f aca="false">SUM(O182:Z182)</f>
        <v>437166.666666667</v>
      </c>
      <c r="AP182" s="11" t="n">
        <f aca="false">SUM(AA182:AL182)</f>
        <v>884500</v>
      </c>
    </row>
    <row r="183" customFormat="false" ht="15" hidden="false" customHeight="false" outlineLevel="0" collapsed="false">
      <c r="A183" s="0" t="s">
        <v>985</v>
      </c>
      <c r="B183" s="0" t="s">
        <v>230</v>
      </c>
      <c r="C183" s="9" t="n">
        <f aca="false">(C176+C174)</f>
        <v>0</v>
      </c>
      <c r="D183" s="9" t="n">
        <f aca="false">(D176+D174)</f>
        <v>0</v>
      </c>
      <c r="E183" s="9" t="n">
        <f aca="false">(E176+E174)</f>
        <v>0</v>
      </c>
      <c r="F183" s="9" t="n">
        <f aca="false">(F176+F174)</f>
        <v>0</v>
      </c>
      <c r="G183" s="9" t="n">
        <f aca="false">(G176+G174)</f>
        <v>0</v>
      </c>
      <c r="H183" s="9" t="n">
        <f aca="false">(H176+H174)</f>
        <v>0</v>
      </c>
      <c r="I183" s="9" t="n">
        <f aca="false">(I176+I174)</f>
        <v>0</v>
      </c>
      <c r="J183" s="9" t="n">
        <f aca="false">(J176+J174)</f>
        <v>0</v>
      </c>
      <c r="K183" s="9" t="n">
        <f aca="false">(K176+K174)</f>
        <v>0</v>
      </c>
      <c r="L183" s="9" t="n">
        <f aca="false">(L176+L174)</f>
        <v>0</v>
      </c>
      <c r="M183" s="9" t="n">
        <f aca="false">(M176+M174)</f>
        <v>0</v>
      </c>
      <c r="N183" s="9" t="n">
        <f aca="false">(N176+N174)</f>
        <v>0</v>
      </c>
      <c r="O183" s="9" t="n">
        <f aca="false">(O176+O174)</f>
        <v>0</v>
      </c>
      <c r="P183" s="9" t="n">
        <f aca="false">(P176+P174)</f>
        <v>0</v>
      </c>
      <c r="Q183" s="9" t="n">
        <f aca="false">(Q176+Q174)</f>
        <v>0</v>
      </c>
      <c r="R183" s="9" t="n">
        <f aca="false">(R176+R174)</f>
        <v>0</v>
      </c>
      <c r="S183" s="9" t="n">
        <f aca="false">(S176+S174)</f>
        <v>0</v>
      </c>
      <c r="T183" s="9" t="n">
        <f aca="false">(T176+T174)</f>
        <v>0</v>
      </c>
      <c r="U183" s="9" t="n">
        <f aca="false">(U176+U174)</f>
        <v>0</v>
      </c>
      <c r="V183" s="9" t="n">
        <f aca="false">(V176+V174)</f>
        <v>0</v>
      </c>
      <c r="W183" s="9" t="n">
        <f aca="false">(W176+W174)</f>
        <v>0</v>
      </c>
      <c r="X183" s="9" t="n">
        <f aca="false">(X176+X174)</f>
        <v>0</v>
      </c>
      <c r="Y183" s="9" t="n">
        <f aca="false">(Y176+Y174)</f>
        <v>0</v>
      </c>
      <c r="Z183" s="9" t="n">
        <f aca="false">(Z176+Z174)</f>
        <v>0</v>
      </c>
      <c r="AA183" s="9" t="n">
        <f aca="false">(AA176+AA174)</f>
        <v>0</v>
      </c>
      <c r="AB183" s="9" t="n">
        <f aca="false">(AB176+AB174)</f>
        <v>0</v>
      </c>
      <c r="AC183" s="9" t="n">
        <f aca="false">(AC176+AC174)</f>
        <v>0</v>
      </c>
      <c r="AD183" s="9" t="n">
        <f aca="false">(AD176+AD174)</f>
        <v>0</v>
      </c>
      <c r="AE183" s="9" t="n">
        <f aca="false">(AE176+AE174)</f>
        <v>0</v>
      </c>
      <c r="AF183" s="9" t="n">
        <f aca="false">(AF176+AF174)</f>
        <v>0</v>
      </c>
      <c r="AG183" s="9" t="n">
        <f aca="false">(AG176+AG174)</f>
        <v>643.2</v>
      </c>
      <c r="AH183" s="9" t="n">
        <f aca="false">(AH176+AH174)</f>
        <v>7975.33866666667</v>
      </c>
      <c r="AI183" s="9" t="n">
        <f aca="false">(AI176+AI174)</f>
        <v>8182.19178666667</v>
      </c>
      <c r="AJ183" s="9" t="n">
        <f aca="false">(AJ176+AJ174)</f>
        <v>8380.77078186667</v>
      </c>
      <c r="AK183" s="9" t="n">
        <f aca="false">(AK176+AK174)</f>
        <v>8571.40661725867</v>
      </c>
      <c r="AL183" s="9" t="n">
        <f aca="false">(AL176+AL174)</f>
        <v>8754.41701923499</v>
      </c>
      <c r="AN183" s="11" t="n">
        <f aca="false">SUM(C183:N183)</f>
        <v>0</v>
      </c>
      <c r="AO183" s="11" t="n">
        <f aca="false">SUM(O183:Z183)</f>
        <v>0</v>
      </c>
      <c r="AP183" s="11" t="n">
        <f aca="false">SUM(AA183:AL183)</f>
        <v>42507.3248716937</v>
      </c>
    </row>
    <row r="184" customFormat="false" ht="15" hidden="false" customHeight="false" outlineLevel="0" collapsed="false">
      <c r="A184" s="10" t="s">
        <v>986</v>
      </c>
      <c r="B184" s="20" t="s">
        <v>230</v>
      </c>
      <c r="C184" s="11" t="n">
        <f aca="false">((((C179+C180)+C181)+C182)+C183)</f>
        <v>6067.1082984</v>
      </c>
      <c r="D184" s="11" t="n">
        <f aca="false">((((D179+D180)+D181)+D182)+D183)</f>
        <v>6119.24628408</v>
      </c>
      <c r="E184" s="11" t="n">
        <f aca="false">((((E179+E180)+E181)+E182)+E183)</f>
        <v>6157.13872666272</v>
      </c>
      <c r="F184" s="11" t="n">
        <f aca="false">((((F179+F180)+F181)+F182)+F183)</f>
        <v>6187.46796077222</v>
      </c>
      <c r="G184" s="11" t="n">
        <f aca="false">((((G179+G180)+G181)+G182)+G183)</f>
        <v>16768.8815397869</v>
      </c>
      <c r="H184" s="11" t="n">
        <f aca="false">((((H179+H180)+H181)+H182)+H183)</f>
        <v>16778.9333752017</v>
      </c>
      <c r="I184" s="11" t="n">
        <f aca="false">((((I179+I180)+I181)+I182)+I183)</f>
        <v>16804.496730379</v>
      </c>
      <c r="J184" s="11" t="n">
        <f aca="false">((((J179+J180)+J181)+J182)+J183)</f>
        <v>17593.0105915935</v>
      </c>
      <c r="K184" s="11" t="n">
        <f aca="false">((((K179+K180)+K181)+K182)+K183)</f>
        <v>24004.2286949308</v>
      </c>
      <c r="L184" s="11" t="n">
        <f aca="false">((((L179+L180)+L181)+L182)+L183)</f>
        <v>24047.0035125279</v>
      </c>
      <c r="M184" s="11" t="n">
        <f aca="false">((((M179+M180)+M181)+M182)+M183)</f>
        <v>33840.438498614</v>
      </c>
      <c r="N184" s="11" t="n">
        <f aca="false">((((N179+N180)+N181)+N182)+N183)</f>
        <v>33847.7514942215</v>
      </c>
      <c r="O184" s="11" t="n">
        <f aca="false">((((O179+O180)+O181)+O182)+O183)</f>
        <v>40498.1138754087</v>
      </c>
      <c r="P184" s="11" t="n">
        <f aca="false">((((P179+P180)+P181)+P182)+P183)</f>
        <v>40321.2981718055</v>
      </c>
      <c r="Q184" s="11" t="n">
        <f aca="false">((((Q179+Q180)+Q181)+Q182)+Q183)</f>
        <v>50876.5928598992</v>
      </c>
      <c r="R184" s="11" t="n">
        <f aca="false">((((R179+R180)+R181)+R182)+R183)</f>
        <v>51191.7965433114</v>
      </c>
      <c r="S184" s="11" t="n">
        <f aca="false">((((S179+S180)+S181)+S182)+S183)</f>
        <v>51391.8911407384</v>
      </c>
      <c r="T184" s="11" t="n">
        <f aca="false">((((T179+T180)+T181)+T182)+T183)</f>
        <v>71412.1263511457</v>
      </c>
      <c r="U184" s="11" t="n">
        <f aca="false">((((U179+U180)+U181)+U182)+U183)</f>
        <v>82215.5646732559</v>
      </c>
      <c r="V184" s="11" t="n">
        <f aca="false">((((V179+V180)+V181)+V182)+V183)</f>
        <v>82927.8413048828</v>
      </c>
      <c r="W184" s="11" t="n">
        <f aca="false">((((W179+W180)+W181)+W182)+W183)</f>
        <v>83714.1595862179</v>
      </c>
      <c r="X184" s="11" t="n">
        <f aca="false">((((X179+X180)+X181)+X182)+X183)</f>
        <v>95308.1039837556</v>
      </c>
      <c r="Y184" s="11" t="n">
        <f aca="false">((((Y179+Y180)+Y181)+Y182)+Y183)</f>
        <v>95509.3463812799</v>
      </c>
      <c r="Z184" s="11" t="n">
        <f aca="false">((((Z179+Z180)+Z181)+Z182)+Z183)</f>
        <v>95585.9985768822</v>
      </c>
      <c r="AA184" s="11" t="n">
        <f aca="false">((((AA179+AA180)+AA181)+AA182)+AA183)</f>
        <v>116428.29377935</v>
      </c>
      <c r="AB184" s="11" t="n">
        <f aca="false">((((AB179+AB180)+AB181)+AB182)+AB183)</f>
        <v>123406.24494693</v>
      </c>
      <c r="AC184" s="11" t="n">
        <f aca="false">((((AC179+AC180)+AC181)+AC182)+AC183)</f>
        <v>123660.422752009</v>
      </c>
      <c r="AD184" s="11" t="n">
        <f aca="false">((((AD179+AD180)+AD181)+AD182)+AD183)</f>
        <v>134397.550739393</v>
      </c>
      <c r="AE184" s="11" t="n">
        <f aca="false">((((AE179+AE180)+AE181)+AE182)+AE183)</f>
        <v>135825.089158963</v>
      </c>
      <c r="AF184" s="11" t="n">
        <f aca="false">((((AF179+AF180)+AF181)+AF182)+AF183)</f>
        <v>145825.702295851</v>
      </c>
      <c r="AG184" s="11" t="n">
        <f aca="false">((((AG179+AG180)+AG181)+AG182)+AG183)</f>
        <v>157160.804476104</v>
      </c>
      <c r="AH184" s="11" t="n">
        <f aca="false">((((AH179+AH180)+AH181)+AH182)+AH183)</f>
        <v>168384.104964694</v>
      </c>
      <c r="AI184" s="11" t="n">
        <f aca="false">((((AI179+AI180)+AI181)+AI182)+AI183)</f>
        <v>175823.585282096</v>
      </c>
      <c r="AJ184" s="11" t="n">
        <f aca="false">((((AJ179+AJ180)+AJ181)+AJ182)+AJ183)</f>
        <v>177416.757864988</v>
      </c>
      <c r="AK184" s="11" t="n">
        <f aca="false">((((AK179+AK180)+AK181)+AK182)+AK183)</f>
        <v>181370.731382565</v>
      </c>
      <c r="AL184" s="11" t="n">
        <f aca="false">((((AL179+AL180)+AL181)+AL182)+AL183)</f>
        <v>183213.920723674</v>
      </c>
      <c r="AN184" s="11" t="n">
        <f aca="false">SUM(C184:N184)</f>
        <v>208215.70570717</v>
      </c>
      <c r="AO184" s="11" t="n">
        <f aca="false">SUM(O184:Z184)</f>
        <v>840952.833448583</v>
      </c>
      <c r="AP184" s="11" t="n">
        <f aca="false">SUM(AA184:AL184)</f>
        <v>1822913.20836662</v>
      </c>
    </row>
    <row r="185" customFormat="false" ht="15" hidden="false" customHeight="false" outlineLevel="0" collapsed="false">
      <c r="A185" s="0" t="s">
        <v>987</v>
      </c>
      <c r="B185" s="0" t="s">
        <v>230</v>
      </c>
      <c r="C185" s="9" t="n">
        <f aca="false">((((((((((((((((C158+C159)+C160)+C161)+C162)+C163)+C164)+C167)+C168)+C171)+C170)+C172)+C173)+C174)+C175)+C176)-C184)</f>
        <v>0</v>
      </c>
      <c r="D185" s="9" t="n">
        <f aca="false">((((((((((((((((D158+D159)+D160)+D161)+D162)+D163)+D164)+D167)+D168)+D171)+D170)+D172)+D173)+D174)+D175)+D176)-D184)</f>
        <v>0</v>
      </c>
      <c r="E185" s="9" t="n">
        <f aca="false">((((((((((((((((E158+E159)+E160)+E161)+E162)+E163)+E164)+E167)+E168)+E171)+E170)+E172)+E173)+E174)+E175)+E176)-E184)</f>
        <v>0</v>
      </c>
      <c r="F185" s="9" t="n">
        <f aca="false">((((((((((((((((F158+F159)+F160)+F161)+F162)+F163)+F164)+F167)+F168)+F171)+F170)+F172)+F173)+F174)+F175)+F176)-F184)</f>
        <v>0</v>
      </c>
      <c r="G185" s="9" t="n">
        <f aca="false">((((((((((((((((G158+G159)+G160)+G161)+G162)+G163)+G164)+G167)+G168)+G171)+G170)+G172)+G173)+G174)+G175)+G176)-G184)</f>
        <v>0</v>
      </c>
      <c r="H185" s="9" t="n">
        <f aca="false">((((((((((((((((H158+H159)+H160)+H161)+H162)+H163)+H164)+H167)+H168)+H171)+H170)+H172)+H173)+H174)+H175)+H176)-H184)</f>
        <v>0</v>
      </c>
      <c r="I185" s="9" t="n">
        <f aca="false">((((((((((((((((I158+I159)+I160)+I161)+I162)+I163)+I164)+I167)+I168)+I171)+I170)+I172)+I173)+I174)+I175)+I176)-I184)</f>
        <v>0</v>
      </c>
      <c r="J185" s="9" t="n">
        <f aca="false">((((((((((((((((J158+J159)+J160)+J161)+J162)+J163)+J164)+J167)+J168)+J171)+J170)+J172)+J173)+J174)+J175)+J176)-J184)</f>
        <v>0</v>
      </c>
      <c r="K185" s="9" t="n">
        <f aca="false">((((((((((((((((K158+K159)+K160)+K161)+K162)+K163)+K164)+K167)+K168)+K171)+K170)+K172)+K173)+K174)+K175)+K176)-K184)</f>
        <v>0</v>
      </c>
      <c r="L185" s="9" t="n">
        <f aca="false">((((((((((((((((L158+L159)+L160)+L161)+L162)+L163)+L164)+L167)+L168)+L171)+L170)+L172)+L173)+L174)+L175)+L176)-L184)</f>
        <v>0</v>
      </c>
      <c r="M185" s="9" t="n">
        <f aca="false">((((((((((((((((M158+M159)+M160)+M161)+M162)+M163)+M164)+M167)+M168)+M171)+M170)+M172)+M173)+M174)+M175)+M176)-M184)</f>
        <v>0</v>
      </c>
      <c r="N185" s="9" t="n">
        <f aca="false">((((((((((((((((N158+N159)+N160)+N161)+N162)+N163)+N164)+N167)+N168)+N171)+N170)+N172)+N173)+N174)+N175)+N176)-N184)</f>
        <v>0</v>
      </c>
      <c r="O185" s="9" t="n">
        <f aca="false">((((((((((((((((O158+O159)+O160)+O161)+O162)+O163)+O164)+O167)+O168)+O171)+O170)+O172)+O173)+O174)+O175)+O176)-O184)</f>
        <v>0</v>
      </c>
      <c r="P185" s="9" t="n">
        <f aca="false">((((((((((((((((P158+P159)+P160)+P161)+P162)+P163)+P164)+P167)+P168)+P171)+P170)+P172)+P173)+P174)+P175)+P176)-P184)</f>
        <v>0</v>
      </c>
      <c r="Q185" s="9" t="n">
        <f aca="false">((((((((((((((((Q158+Q159)+Q160)+Q161)+Q162)+Q163)+Q164)+Q167)+Q168)+Q171)+Q170)+Q172)+Q173)+Q174)+Q175)+Q176)-Q184)</f>
        <v>0</v>
      </c>
      <c r="R185" s="9" t="n">
        <f aca="false">((((((((((((((((R158+R159)+R160)+R161)+R162)+R163)+R164)+R167)+R168)+R171)+R170)+R172)+R173)+R174)+R175)+R176)-R184)</f>
        <v>0</v>
      </c>
      <c r="S185" s="9" t="n">
        <f aca="false">((((((((((((((((S158+S159)+S160)+S161)+S162)+S163)+S164)+S167)+S168)+S171)+S170)+S172)+S173)+S174)+S175)+S176)-S184)</f>
        <v>0</v>
      </c>
      <c r="T185" s="9" t="n">
        <f aca="false">((((((((((((((((T158+T159)+T160)+T161)+T162)+T163)+T164)+T167)+T168)+T171)+T170)+T172)+T173)+T174)+T175)+T176)-T184)</f>
        <v>0</v>
      </c>
      <c r="U185" s="9" t="n">
        <f aca="false">((((((((((((((((U158+U159)+U160)+U161)+U162)+U163)+U164)+U167)+U168)+U171)+U170)+U172)+U173)+U174)+U175)+U176)-U184)</f>
        <v>0</v>
      </c>
      <c r="V185" s="9" t="n">
        <f aca="false">((((((((((((((((V158+V159)+V160)+V161)+V162)+V163)+V164)+V167)+V168)+V171)+V170)+V172)+V173)+V174)+V175)+V176)-V184)</f>
        <v>0</v>
      </c>
      <c r="W185" s="9" t="n">
        <f aca="false">((((((((((((((((W158+W159)+W160)+W161)+W162)+W163)+W164)+W167)+W168)+W171)+W170)+W172)+W173)+W174)+W175)+W176)-W184)</f>
        <v>0</v>
      </c>
      <c r="X185" s="9" t="n">
        <f aca="false">((((((((((((((((X158+X159)+X160)+X161)+X162)+X163)+X164)+X167)+X168)+X171)+X170)+X172)+X173)+X174)+X175)+X176)-X184)</f>
        <v>0</v>
      </c>
      <c r="Y185" s="9" t="n">
        <f aca="false">((((((((((((((((Y158+Y159)+Y160)+Y161)+Y162)+Y163)+Y164)+Y167)+Y168)+Y171)+Y170)+Y172)+Y173)+Y174)+Y175)+Y176)-Y184)</f>
        <v>0</v>
      </c>
      <c r="Z185" s="9" t="n">
        <f aca="false">((((((((((((((((Z158+Z159)+Z160)+Z161)+Z162)+Z163)+Z164)+Z167)+Z168)+Z171)+Z170)+Z172)+Z173)+Z174)+Z175)+Z176)-Z184)</f>
        <v>0</v>
      </c>
      <c r="AA185" s="9" t="n">
        <f aca="false">((((((((((((((((AA158+AA159)+AA160)+AA161)+AA162)+AA163)+AA164)+AA167)+AA168)+AA171)+AA170)+AA172)+AA173)+AA174)+AA175)+AA176)-AA184)</f>
        <v>0</v>
      </c>
      <c r="AB185" s="9" t="n">
        <f aca="false">((((((((((((((((AB158+AB159)+AB160)+AB161)+AB162)+AB163)+AB164)+AB167)+AB168)+AB171)+AB170)+AB172)+AB173)+AB174)+AB175)+AB176)-AB184)</f>
        <v>0</v>
      </c>
      <c r="AC185" s="9" t="n">
        <f aca="false">((((((((((((((((AC158+AC159)+AC160)+AC161)+AC162)+AC163)+AC164)+AC167)+AC168)+AC171)+AC170)+AC172)+AC173)+AC174)+AC175)+AC176)-AC184)</f>
        <v>0</v>
      </c>
      <c r="AD185" s="9" t="n">
        <f aca="false">((((((((((((((((AD158+AD159)+AD160)+AD161)+AD162)+AD163)+AD164)+AD167)+AD168)+AD171)+AD170)+AD172)+AD173)+AD174)+AD175)+AD176)-AD184)</f>
        <v>0</v>
      </c>
      <c r="AE185" s="9" t="n">
        <f aca="false">((((((((((((((((AE158+AE159)+AE160)+AE161)+AE162)+AE163)+AE164)+AE167)+AE168)+AE171)+AE170)+AE172)+AE173)+AE174)+AE175)+AE176)-AE184)</f>
        <v>0</v>
      </c>
      <c r="AF185" s="9" t="n">
        <f aca="false">((((((((((((((((AF158+AF159)+AF160)+AF161)+AF162)+AF163)+AF164)+AF167)+AF168)+AF171)+AF170)+AF172)+AF173)+AF174)+AF175)+AF176)-AF184)</f>
        <v>0</v>
      </c>
      <c r="AG185" s="9" t="n">
        <f aca="false">((((((((((((((((AG158+AG159)+AG160)+AG161)+AG162)+AG163)+AG164)+AG167)+AG168)+AG171)+AG170)+AG172)+AG173)+AG174)+AG175)+AG176)-AG184)</f>
        <v>0</v>
      </c>
      <c r="AH185" s="9" t="n">
        <f aca="false">((((((((((((((((AH158+AH159)+AH160)+AH161)+AH162)+AH163)+AH164)+AH167)+AH168)+AH171)+AH170)+AH172)+AH173)+AH174)+AH175)+AH176)-AH184)</f>
        <v>0</v>
      </c>
      <c r="AI185" s="9" t="n">
        <f aca="false">((((((((((((((((AI158+AI159)+AI160)+AI161)+AI162)+AI163)+AI164)+AI167)+AI168)+AI171)+AI170)+AI172)+AI173)+AI174)+AI175)+AI176)-AI184)</f>
        <v>0</v>
      </c>
      <c r="AJ185" s="9" t="n">
        <f aca="false">((((((((((((((((AJ158+AJ159)+AJ160)+AJ161)+AJ162)+AJ163)+AJ164)+AJ167)+AJ168)+AJ171)+AJ170)+AJ172)+AJ173)+AJ174)+AJ175)+AJ176)-AJ184)</f>
        <v>0</v>
      </c>
      <c r="AK185" s="9" t="n">
        <f aca="false">((((((((((((((((AK158+AK159)+AK160)+AK161)+AK162)+AK163)+AK164)+AK167)+AK168)+AK171)+AK170)+AK172)+AK173)+AK174)+AK175)+AK176)-AK184)</f>
        <v>0</v>
      </c>
      <c r="AL185" s="9" t="n">
        <f aca="false">((((((((((((((((AL158+AL159)+AL160)+AL161)+AL162)+AL163)+AL164)+AL167)+AL168)+AL171)+AL170)+AL172)+AL173)+AL174)+AL175)+AL176)-AL184)</f>
        <v>0</v>
      </c>
      <c r="AN185" s="11" t="n">
        <f aca="false">SUM(C185:N185)</f>
        <v>0</v>
      </c>
      <c r="AO185" s="11" t="n">
        <f aca="false">SUM(O185:Z185)</f>
        <v>0</v>
      </c>
      <c r="AP185" s="11" t="n">
        <f aca="false">SUM(AA185:AL185)</f>
        <v>0</v>
      </c>
    </row>
    <row r="186" customFormat="false" ht="15" hidden="false" customHeight="false" outlineLevel="0" collapsed="false">
      <c r="A186" s="0" t="s">
        <v>988</v>
      </c>
      <c r="B186" s="0" t="s">
        <v>230</v>
      </c>
      <c r="C186" s="9" t="n">
        <f aca="false">(C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67.1082984</v>
      </c>
      <c r="D186" s="9" t="n">
        <f aca="false">(D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119.24628408</v>
      </c>
      <c r="E186" s="9" t="n">
        <f aca="false">(E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157.13872666272</v>
      </c>
      <c r="F186" s="9" t="n">
        <f aca="false">(F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187.467960772224</v>
      </c>
      <c r="G186" s="9" t="n">
        <f aca="false">(G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204.074581120236</v>
      </c>
      <c r="H186" s="9" t="n">
        <f aca="false">(H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214.126416535075</v>
      </c>
      <c r="I186" s="9" t="n">
        <f aca="false">(I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239.689771712377</v>
      </c>
      <c r="J186" s="9" t="n">
        <f aca="false">(J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335.119082926783</v>
      </c>
      <c r="K186" s="9" t="n">
        <f aca="false">(K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443.003852930789</v>
      </c>
      <c r="L186" s="9" t="n">
        <f aca="false">(L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485.778670527865</v>
      </c>
      <c r="M186" s="9" t="n">
        <f aca="false">(M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510.687281947364</v>
      </c>
      <c r="N186" s="9" t="n">
        <f aca="false">(N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518.000277554868</v>
      </c>
      <c r="O186" s="9" t="n">
        <f aca="false">(O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1156.56680175146</v>
      </c>
      <c r="P186" s="9" t="n">
        <f aca="false">(P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1653.31504695032</v>
      </c>
      <c r="Q186" s="9" t="n">
        <f aca="false">(Q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2019.68232354887</v>
      </c>
      <c r="R186" s="9" t="n">
        <f aca="false">(R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2311.1872142421</v>
      </c>
      <c r="S186" s="9" t="n">
        <f aca="false">(S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2486.27720445326</v>
      </c>
      <c r="T186" s="9" t="n">
        <f aca="false">(T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2601.76695566944</v>
      </c>
      <c r="U186" s="9" t="n">
        <f aca="false">(U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2816.19089619697</v>
      </c>
      <c r="V186" s="9" t="n">
        <f aca="false">(V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3501.58989061495</v>
      </c>
      <c r="W186" s="9" t="n">
        <f aca="false">(W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4248.94017748109</v>
      </c>
      <c r="X186" s="9" t="n">
        <f aca="false">(X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4538.75674729835</v>
      </c>
      <c r="Y186" s="9" t="n">
        <f aca="false">(Y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4697.91512751697</v>
      </c>
      <c r="Z186" s="9" t="n">
        <f aca="false">(Z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4733.7873108886</v>
      </c>
      <c r="AA186" s="9" t="n">
        <f aca="false">(AA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5276.9139035922</v>
      </c>
      <c r="AB186" s="9" t="n">
        <f aca="false">(AB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5642.54647380146</v>
      </c>
      <c r="AC186" s="9" t="n">
        <f aca="false">(AC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5846.35734606611</v>
      </c>
      <c r="AD186" s="9" t="n">
        <f aca="false">(AD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5971.13603400675</v>
      </c>
      <c r="AE186" s="9" t="n">
        <f aca="false">(AE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5952.47755189436</v>
      </c>
      <c r="AF186" s="9" t="n">
        <f aca="false">(AF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5873.97709687462</v>
      </c>
      <c r="AG186" s="9" t="n">
        <f aca="false">(AG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5963.38529120777</v>
      </c>
      <c r="AH186" s="9" t="n">
        <f aca="false">(AH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6743.05786941836</v>
      </c>
      <c r="AI186" s="9" t="n">
        <f aca="false">(AI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7614.55363224439</v>
      </c>
      <c r="AJ186" s="9" t="n">
        <f aca="false">(AJ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7852.22573323227</v>
      </c>
      <c r="AK186" s="9" t="n">
        <f aca="false">(AK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7918.19122960689</v>
      </c>
      <c r="AL186" s="9" t="n">
        <f aca="false">(AL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7825.80229974569</v>
      </c>
      <c r="AN186" s="11" t="n">
        <f aca="false">SUM(C186:N186)</f>
        <v>3481.4412051703</v>
      </c>
      <c r="AO186" s="11" t="n">
        <f aca="false">SUM(O186:Z186)</f>
        <v>36765.9756966124</v>
      </c>
      <c r="AP186" s="11" t="n">
        <f aca="false">SUM(AA186:AL186)</f>
        <v>78480.6244616909</v>
      </c>
    </row>
    <row r="187" customFormat="false" ht="15" hidden="false" customHeight="false" outlineLevel="0" collapsed="false">
      <c r="A187" s="0" t="s">
        <v>989</v>
      </c>
      <c r="B187" s="0" t="s">
        <v>230</v>
      </c>
      <c r="C187" s="9" t="n">
        <f aca="false">((C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C175)</f>
        <v>0</v>
      </c>
      <c r="D187" s="9" t="n">
        <f aca="false">((D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D175)</f>
        <v>0</v>
      </c>
      <c r="E187" s="9" t="n">
        <f aca="false">((E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E175)</f>
        <v>0</v>
      </c>
      <c r="F187" s="9" t="n">
        <f aca="false">((F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F175)</f>
        <v>0</v>
      </c>
      <c r="G187" s="9" t="n">
        <f aca="false">((G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G175)</f>
        <v>0</v>
      </c>
      <c r="H187" s="9" t="n">
        <f aca="false">((H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H175)</f>
        <v>0</v>
      </c>
      <c r="I187" s="9" t="n">
        <f aca="false">((I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I175)</f>
        <v>0</v>
      </c>
      <c r="J187" s="9" t="n">
        <f aca="false">((J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J175)</f>
        <v>0</v>
      </c>
      <c r="K187" s="9" t="n">
        <f aca="false">((K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K175)</f>
        <v>0</v>
      </c>
      <c r="L187" s="9" t="n">
        <f aca="false">((L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L175)</f>
        <v>0</v>
      </c>
      <c r="M187" s="9" t="n">
        <f aca="false">((M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M175)</f>
        <v>0</v>
      </c>
      <c r="N187" s="9" t="n">
        <f aca="false">((N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N175)</f>
        <v>0</v>
      </c>
      <c r="O187" s="9" t="n">
        <f aca="false">((O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O175)</f>
        <v>11.7958569905942</v>
      </c>
      <c r="P187" s="9" t="n">
        <f aca="false">((P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P175)</f>
        <v>31.3164581884521</v>
      </c>
      <c r="Q187" s="9" t="n">
        <f aca="false">((Q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Q175)</f>
        <v>53.5772030170046</v>
      </c>
      <c r="R187" s="9" t="n">
        <f aca="false">((R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R175)</f>
        <v>77.2759957359128</v>
      </c>
      <c r="S187" s="9" t="n">
        <f aca="false">((S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S175)</f>
        <v>102.280602951782</v>
      </c>
      <c r="T187" s="9" t="n">
        <f aca="false">((T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T175)</f>
        <v>126.831544009564</v>
      </c>
      <c r="U187" s="9" t="n">
        <f aca="false">((U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U175)</f>
        <v>151.038966925629</v>
      </c>
      <c r="V187" s="9" t="n">
        <f aca="false">((V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V175)</f>
        <v>177.91660413451</v>
      </c>
      <c r="W187" s="9" t="n">
        <f aca="false">((W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W175)</f>
        <v>216.884598603432</v>
      </c>
      <c r="X187" s="9" t="n">
        <f aca="false">((X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X175)</f>
        <v>263.120917657268</v>
      </c>
      <c r="Y187" s="9" t="n">
        <f aca="false">((Y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Y175)</f>
        <v>305.204934962904</v>
      </c>
      <c r="Z187" s="9" t="n">
        <f aca="false">((Z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Z175)</f>
        <v>345.984947193616</v>
      </c>
      <c r="AA187" s="9" t="n">
        <f aca="false">((AA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A175)</f>
        <v>387.262048290626</v>
      </c>
      <c r="AB187" s="9" t="n">
        <f aca="false">((AB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B175)</f>
        <v>439.245508328574</v>
      </c>
      <c r="AC187" s="9" t="n">
        <f aca="false">((AC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C175)</f>
        <v>489.612441142872</v>
      </c>
      <c r="AD187" s="9" t="n">
        <f aca="false">((AD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D175)</f>
        <v>537.154781919414</v>
      </c>
      <c r="AE187" s="9" t="n">
        <f aca="false">((AE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E175)</f>
        <v>582.640494602443</v>
      </c>
      <c r="AF187" s="9" t="n">
        <f aca="false">((AF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F175)</f>
        <v>623.710762019244</v>
      </c>
      <c r="AG187" s="9" t="n">
        <f aca="false">((AG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G175)</f>
        <v>661.397789271894</v>
      </c>
      <c r="AH187" s="9" t="n">
        <f aca="false">((AH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H175)</f>
        <v>701.361039985362</v>
      </c>
      <c r="AI187" s="9" t="n">
        <f aca="false">((AI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I175)</f>
        <v>759.159141227196</v>
      </c>
      <c r="AJ187" s="9" t="n">
        <f aca="false">((AJ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J175)</f>
        <v>824.855785931832</v>
      </c>
      <c r="AK187" s="9" t="n">
        <f aca="false">((AK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K175)</f>
        <v>879.586858742234</v>
      </c>
      <c r="AL187" s="9" t="n">
        <f aca="false">((AL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L175)</f>
        <v>930.050347736129</v>
      </c>
      <c r="AN187" s="11" t="n">
        <f aca="false">SUM(C187:N187)</f>
        <v>0</v>
      </c>
      <c r="AO187" s="11" t="n">
        <f aca="false">SUM(O187:Z187)</f>
        <v>1863.22863037067</v>
      </c>
      <c r="AP187" s="11" t="n">
        <f aca="false">SUM(AA187:AL187)</f>
        <v>7816.03699919782</v>
      </c>
    </row>
    <row r="188" customFormat="false" ht="15" hidden="false" customHeight="false" outlineLevel="0" collapsed="false">
      <c r="A188" s="0" t="s">
        <v>990</v>
      </c>
      <c r="B188" s="0" t="s">
        <v>500</v>
      </c>
      <c r="C188" s="9" t="n">
        <f aca="false">0</f>
        <v>0</v>
      </c>
      <c r="D188" s="9" t="n">
        <f aca="false">C39</f>
        <v>0</v>
      </c>
      <c r="E188" s="9" t="n">
        <f aca="false">D39</f>
        <v>0</v>
      </c>
      <c r="F188" s="9" t="n">
        <f aca="false">E39</f>
        <v>0</v>
      </c>
      <c r="G188" s="9" t="n">
        <f aca="false">F39</f>
        <v>0</v>
      </c>
      <c r="H188" s="9" t="n">
        <f aca="false">G39</f>
        <v>0</v>
      </c>
      <c r="I188" s="9" t="n">
        <f aca="false">H39</f>
        <v>0</v>
      </c>
      <c r="J188" s="9" t="n">
        <f aca="false">I39</f>
        <v>0</v>
      </c>
      <c r="K188" s="9" t="n">
        <f aca="false">J39</f>
        <v>0</v>
      </c>
      <c r="L188" s="9" t="n">
        <f aca="false">K39</f>
        <v>0</v>
      </c>
      <c r="M188" s="9" t="n">
        <f aca="false">L39</f>
        <v>0</v>
      </c>
      <c r="N188" s="9" t="n">
        <f aca="false">M39</f>
        <v>0</v>
      </c>
      <c r="O188" s="9" t="n">
        <f aca="false">N39</f>
        <v>0</v>
      </c>
      <c r="P188" s="9" t="n">
        <f aca="false">O39</f>
        <v>4.51553935346985</v>
      </c>
      <c r="Q188" s="9" t="n">
        <f aca="false">P39</f>
        <v>14.4734471754843</v>
      </c>
      <c r="R188" s="9" t="n">
        <f aca="false">Q39</f>
        <v>28.4905865379519</v>
      </c>
      <c r="S188" s="9" t="n">
        <f aca="false">R39</f>
        <v>45.3248633047421</v>
      </c>
      <c r="T188" s="9" t="n">
        <f aca="false">S39</f>
        <v>64.2546848783808</v>
      </c>
      <c r="U188" s="9" t="n">
        <f aca="false">T39</f>
        <v>84.2176311458779</v>
      </c>
      <c r="V188" s="9" t="n">
        <f aca="false">U39</f>
        <v>104.676837357465</v>
      </c>
      <c r="W188" s="9" t="n">
        <f aca="false">V39</f>
        <v>126.492576802041</v>
      </c>
      <c r="X188" s="9" t="n">
        <f aca="false">W39</f>
        <v>153.744688133264</v>
      </c>
      <c r="Y188" s="9" t="n">
        <f aca="false">X39</f>
        <v>186.835830748726</v>
      </c>
      <c r="Z188" s="9" t="n">
        <f aca="false">Y39</f>
        <v>221.632199953236</v>
      </c>
      <c r="AA188" s="9" t="n">
        <f aca="false">Z39</f>
        <v>256.966398049017</v>
      </c>
      <c r="AB188" s="9" t="n">
        <f aca="false">AA39</f>
        <v>290.853636967864</v>
      </c>
      <c r="AC188" s="9" t="n">
        <f aca="false">AB39</f>
        <v>327.536616836069</v>
      </c>
      <c r="AD188" s="9" t="n">
        <f aca="false">AC39</f>
        <v>365.628800757854</v>
      </c>
      <c r="AE188" s="9" t="n">
        <f aca="false">AD39</f>
        <v>403.907112492085</v>
      </c>
      <c r="AF188" s="9" t="n">
        <f aca="false">AE39</f>
        <v>441.81309119352</v>
      </c>
      <c r="AG188" s="9" t="n">
        <f aca="false">AF39</f>
        <v>478.319221121352</v>
      </c>
      <c r="AH188" s="9" t="n">
        <f aca="false">AG39</f>
        <v>513.05993258998</v>
      </c>
      <c r="AI188" s="9" t="n">
        <f aca="false">AH39</f>
        <v>547.386965393128</v>
      </c>
      <c r="AJ188" s="9" t="n">
        <f aca="false">AI39</f>
        <v>586.50543767112</v>
      </c>
      <c r="AK188" s="9" t="n">
        <f aca="false">AJ39</f>
        <v>630.959292986504</v>
      </c>
      <c r="AL188" s="9" t="n">
        <f aca="false">AK39</f>
        <v>675.869190452031</v>
      </c>
      <c r="AN188" s="11" t="n">
        <f aca="false">SUM(C188:N188)</f>
        <v>0</v>
      </c>
      <c r="AO188" s="11" t="n">
        <f aca="false">SUM(O188:Z188)</f>
        <v>1034.65888539064</v>
      </c>
      <c r="AP188" s="11" t="n">
        <f aca="false">SUM(AA188:AL188)</f>
        <v>5518.80569651052</v>
      </c>
    </row>
    <row r="189" customFormat="false" ht="15" hidden="false" customHeight="false" outlineLevel="0" collapsed="false">
      <c r="A189" s="21" t="s">
        <v>31</v>
      </c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</row>
    <row r="190" customFormat="false" ht="15" hidden="false" customHeight="false" outlineLevel="0" collapsed="false">
      <c r="A190" s="0" t="s">
        <v>991</v>
      </c>
      <c r="B190" s="0" t="s">
        <v>230</v>
      </c>
      <c r="C190" s="9" t="n">
        <f aca="false">SUMPRODUCT((Headcount!$C$5:$C$90="ENG")*Headcount!$D$5:$D$90*Headcount!$F$5:$F$90*((Headcount!$I$5:$I$90=0)+(Headcount!$I$5:$I$90=1)*$C$16)*(C$18&gt;=(Headcount!$E$5:$E$90+Headcount!$G$5:$G$90*$C$15)))/12*(1+Assumptions!$C$97)</f>
        <v>41683.3333333333</v>
      </c>
      <c r="D190" s="9" t="n">
        <f aca="false">SUMPRODUCT((Headcount!$C$5:$C$90="ENG")*Headcount!$D$5:$D$90*Headcount!$F$5:$F$90*((Headcount!$I$5:$I$90=0)+(Headcount!$I$5:$I$90=1)*$C$16)*(D$18&gt;=(Headcount!$E$5:$E$90+Headcount!$G$5:$G$90*$C$15)))/12*(1+Assumptions!$C$97)</f>
        <v>41683.3333333333</v>
      </c>
      <c r="E190" s="9" t="n">
        <f aca="false">SUMPRODUCT((Headcount!$C$5:$C$90="ENG")*Headcount!$D$5:$D$90*Headcount!$F$5:$F$90*((Headcount!$I$5:$I$90=0)+(Headcount!$I$5:$I$90=1)*$C$16)*(E$18&gt;=(Headcount!$E$5:$E$90+Headcount!$G$5:$G$90*$C$15)))/12*(1+Assumptions!$C$97)</f>
        <v>41683.3333333333</v>
      </c>
      <c r="F190" s="9" t="n">
        <f aca="false">SUMPRODUCT((Headcount!$C$5:$C$90="ENG")*Headcount!$D$5:$D$90*Headcount!$F$5:$F$90*((Headcount!$I$5:$I$90=0)+(Headcount!$I$5:$I$90=1)*$C$16)*(F$18&gt;=(Headcount!$E$5:$E$90+Headcount!$G$5:$G$90*$C$15)))/12*(1+Assumptions!$C$97)</f>
        <v>41683.3333333333</v>
      </c>
      <c r="G190" s="9" t="n">
        <f aca="false">SUMPRODUCT((Headcount!$C$5:$C$90="ENG")*Headcount!$D$5:$D$90*Headcount!$F$5:$F$90*((Headcount!$I$5:$I$90=0)+(Headcount!$I$5:$I$90=1)*$C$16)*(G$18&gt;=(Headcount!$E$5:$E$90+Headcount!$G$5:$G$90*$C$15)))/12*(1+Assumptions!$C$97)</f>
        <v>57950</v>
      </c>
      <c r="H190" s="9" t="n">
        <f aca="false">SUMPRODUCT((Headcount!$C$5:$C$90="ENG")*Headcount!$D$5:$D$90*Headcount!$F$5:$F$90*((Headcount!$I$5:$I$90=0)+(Headcount!$I$5:$I$90=1)*$C$16)*(H$18&gt;=(Headcount!$E$5:$E$90+Headcount!$G$5:$G$90*$C$15)))/12*(1+Assumptions!$C$97)</f>
        <v>73200</v>
      </c>
      <c r="I190" s="9" t="n">
        <f aca="false">SUMPRODUCT((Headcount!$C$5:$C$90="ENG")*Headcount!$D$5:$D$90*Headcount!$F$5:$F$90*((Headcount!$I$5:$I$90=0)+(Headcount!$I$5:$I$90=1)*$C$16)*(I$18&gt;=(Headcount!$E$5:$E$90+Headcount!$G$5:$G$90*$C$15)))/12*(1+Assumptions!$C$97)</f>
        <v>73200</v>
      </c>
      <c r="J190" s="9" t="n">
        <f aca="false">SUMPRODUCT((Headcount!$C$5:$C$90="ENG")*Headcount!$D$5:$D$90*Headcount!$F$5:$F$90*((Headcount!$I$5:$I$90=0)+(Headcount!$I$5:$I$90=1)*$C$16)*(J$18&gt;=(Headcount!$E$5:$E$90+Headcount!$G$5:$G$90*$C$15)))/12*(1+Assumptions!$C$97)</f>
        <v>73200</v>
      </c>
      <c r="K190" s="9" t="n">
        <f aca="false">SUMPRODUCT((Headcount!$C$5:$C$90="ENG")*Headcount!$D$5:$D$90*Headcount!$F$5:$F$90*((Headcount!$I$5:$I$90=0)+(Headcount!$I$5:$I$90=1)*$C$16)*(K$18&gt;=(Headcount!$E$5:$E$90+Headcount!$G$5:$G$90*$C$15)))/12*(1+Assumptions!$C$97)</f>
        <v>87941.6666666667</v>
      </c>
      <c r="L190" s="9" t="n">
        <f aca="false">SUMPRODUCT((Headcount!$C$5:$C$90="ENG")*Headcount!$D$5:$D$90*Headcount!$F$5:$F$90*((Headcount!$I$5:$I$90=0)+(Headcount!$I$5:$I$90=1)*$C$16)*(L$18&gt;=(Headcount!$E$5:$E$90+Headcount!$G$5:$G$90*$C$15)))/12*(1+Assumptions!$C$97)</f>
        <v>87941.6666666667</v>
      </c>
      <c r="M190" s="9" t="n">
        <f aca="false">SUMPRODUCT((Headcount!$C$5:$C$90="ENG")*Headcount!$D$5:$D$90*Headcount!$F$5:$F$90*((Headcount!$I$5:$I$90=0)+(Headcount!$I$5:$I$90=1)*$C$16)*(M$18&gt;=(Headcount!$E$5:$E$90+Headcount!$G$5:$G$90*$C$15)))/12*(1+Assumptions!$C$97)</f>
        <v>87941.6666666667</v>
      </c>
      <c r="N190" s="9" t="n">
        <f aca="false">SUMPRODUCT((Headcount!$C$5:$C$90="ENG")*Headcount!$D$5:$D$90*Headcount!$F$5:$F$90*((Headcount!$I$5:$I$90=0)+(Headcount!$I$5:$I$90=1)*$C$16)*(N$18&gt;=(Headcount!$E$5:$E$90+Headcount!$G$5:$G$90*$C$15)))/12*(1+Assumptions!$C$97)</f>
        <v>87941.6666666667</v>
      </c>
      <c r="O190" s="9" t="n">
        <f aca="false">SUMPRODUCT((Headcount!$C$5:$C$90="ENG")*Headcount!$D$5:$D$90*Headcount!$F$5:$F$90*((Headcount!$I$5:$I$90=0)+(Headcount!$I$5:$I$90=1)*$C$16)*(O$18&gt;=(Headcount!$E$5:$E$90+Headcount!$G$5:$G$90*$C$15)))/12*(1+Assumptions!$C$97)</f>
        <v>103191.666666667</v>
      </c>
      <c r="P190" s="9" t="n">
        <f aca="false">SUMPRODUCT((Headcount!$C$5:$C$90="ENG")*Headcount!$D$5:$D$90*Headcount!$F$5:$F$90*((Headcount!$I$5:$I$90=0)+(Headcount!$I$5:$I$90=1)*$C$16)*(P$18&gt;=(Headcount!$E$5:$E$90+Headcount!$G$5:$G$90*$C$15)))/12*(1+Assumptions!$C$97)</f>
        <v>118441.666666667</v>
      </c>
      <c r="Q190" s="9" t="n">
        <f aca="false">SUMPRODUCT((Headcount!$C$5:$C$90="ENG")*Headcount!$D$5:$D$90*Headcount!$F$5:$F$90*((Headcount!$I$5:$I$90=0)+(Headcount!$I$5:$I$90=1)*$C$16)*(Q$18&gt;=(Headcount!$E$5:$E$90+Headcount!$G$5:$G$90*$C$15)))/12*(1+Assumptions!$C$97)</f>
        <v>118441.666666667</v>
      </c>
      <c r="R190" s="9" t="n">
        <f aca="false">SUMPRODUCT((Headcount!$C$5:$C$90="ENG")*Headcount!$D$5:$D$90*Headcount!$F$5:$F$90*((Headcount!$I$5:$I$90=0)+(Headcount!$I$5:$I$90=1)*$C$16)*(R$18&gt;=(Headcount!$E$5:$E$90+Headcount!$G$5:$G$90*$C$15)))/12*(1+Assumptions!$C$97)</f>
        <v>118441.666666667</v>
      </c>
      <c r="S190" s="9" t="n">
        <f aca="false">SUMPRODUCT((Headcount!$C$5:$C$90="ENG")*Headcount!$D$5:$D$90*Headcount!$F$5:$F$90*((Headcount!$I$5:$I$90=0)+(Headcount!$I$5:$I$90=1)*$C$16)*(S$18&gt;=(Headcount!$E$5:$E$90+Headcount!$G$5:$G$90*$C$15)))/12*(1+Assumptions!$C$97)</f>
        <v>118441.666666667</v>
      </c>
      <c r="T190" s="9" t="n">
        <f aca="false">SUMPRODUCT((Headcount!$C$5:$C$90="ENG")*Headcount!$D$5:$D$90*Headcount!$F$5:$F$90*((Headcount!$I$5:$I$90=0)+(Headcount!$I$5:$I$90=1)*$C$16)*(T$18&gt;=(Headcount!$E$5:$E$90+Headcount!$G$5:$G$90*$C$15)))/12*(1+Assumptions!$C$97)</f>
        <v>118441.666666667</v>
      </c>
      <c r="U190" s="9" t="n">
        <f aca="false">SUMPRODUCT((Headcount!$C$5:$C$90="ENG")*Headcount!$D$5:$D$90*Headcount!$F$5:$F$90*((Headcount!$I$5:$I$90=0)+(Headcount!$I$5:$I$90=1)*$C$16)*(U$18&gt;=(Headcount!$E$5:$E$90+Headcount!$G$5:$G$90*$C$15)))/12*(1+Assumptions!$C$97)</f>
        <v>118441.666666667</v>
      </c>
      <c r="V190" s="9" t="n">
        <f aca="false">SUMPRODUCT((Headcount!$C$5:$C$90="ENG")*Headcount!$D$5:$D$90*Headcount!$F$5:$F$90*((Headcount!$I$5:$I$90=0)+(Headcount!$I$5:$I$90=1)*$C$16)*(V$18&gt;=(Headcount!$E$5:$E$90+Headcount!$G$5:$G$90*$C$15)))/12*(1+Assumptions!$C$97)</f>
        <v>129625</v>
      </c>
      <c r="W190" s="9" t="n">
        <f aca="false">SUMPRODUCT((Headcount!$C$5:$C$90="ENG")*Headcount!$D$5:$D$90*Headcount!$F$5:$F$90*((Headcount!$I$5:$I$90=0)+(Headcount!$I$5:$I$90=1)*$C$16)*(W$18&gt;=(Headcount!$E$5:$E$90+Headcount!$G$5:$G$90*$C$15)))/12*(1+Assumptions!$C$97)</f>
        <v>129625</v>
      </c>
      <c r="X190" s="9" t="n">
        <f aca="false">SUMPRODUCT((Headcount!$C$5:$C$90="ENG")*Headcount!$D$5:$D$90*Headcount!$F$5:$F$90*((Headcount!$I$5:$I$90=0)+(Headcount!$I$5:$I$90=1)*$C$16)*(X$18&gt;=(Headcount!$E$5:$E$90+Headcount!$G$5:$G$90*$C$15)))/12*(1+Assumptions!$C$97)</f>
        <v>129625</v>
      </c>
      <c r="Y190" s="9" t="n">
        <f aca="false">SUMPRODUCT((Headcount!$C$5:$C$90="ENG")*Headcount!$D$5:$D$90*Headcount!$F$5:$F$90*((Headcount!$I$5:$I$90=0)+(Headcount!$I$5:$I$90=1)*$C$16)*(Y$18&gt;=(Headcount!$E$5:$E$90+Headcount!$G$5:$G$90*$C$15)))/12*(1+Assumptions!$C$97)</f>
        <v>129625</v>
      </c>
      <c r="Z190" s="9" t="n">
        <f aca="false">SUMPRODUCT((Headcount!$C$5:$C$90="ENG")*Headcount!$D$5:$D$90*Headcount!$F$5:$F$90*((Headcount!$I$5:$I$90=0)+(Headcount!$I$5:$I$90=1)*$C$16)*(Z$18&gt;=(Headcount!$E$5:$E$90+Headcount!$G$5:$G$90*$C$15)))/12*(1+Assumptions!$C$97)</f>
        <v>129625</v>
      </c>
      <c r="AA190" s="9" t="n">
        <f aca="false">SUMPRODUCT((Headcount!$C$5:$C$90="ENG")*Headcount!$D$5:$D$90*Headcount!$F$5:$F$90*((Headcount!$I$5:$I$90=0)+(Headcount!$I$5:$I$90=1)*$C$16)*(AA$18&gt;=(Headcount!$E$5:$E$90+Headcount!$G$5:$G$90*$C$15)))/12*(1+Assumptions!$C$97)</f>
        <v>129625</v>
      </c>
      <c r="AB190" s="9" t="n">
        <f aca="false">SUMPRODUCT((Headcount!$C$5:$C$90="ENG")*Headcount!$D$5:$D$90*Headcount!$F$5:$F$90*((Headcount!$I$5:$I$90=0)+(Headcount!$I$5:$I$90=1)*$C$16)*(AB$18&gt;=(Headcount!$E$5:$E$90+Headcount!$G$5:$G$90*$C$15)))/12*(1+Assumptions!$C$97)</f>
        <v>144875</v>
      </c>
      <c r="AC190" s="9" t="n">
        <f aca="false">SUMPRODUCT((Headcount!$C$5:$C$90="ENG")*Headcount!$D$5:$D$90*Headcount!$F$5:$F$90*((Headcount!$I$5:$I$90=0)+(Headcount!$I$5:$I$90=1)*$C$16)*(AC$18&gt;=(Headcount!$E$5:$E$90+Headcount!$G$5:$G$90*$C$15)))/12*(1+Assumptions!$C$97)</f>
        <v>144875</v>
      </c>
      <c r="AD190" s="9" t="n">
        <f aca="false">SUMPRODUCT((Headcount!$C$5:$C$90="ENG")*Headcount!$D$5:$D$90*Headcount!$F$5:$F$90*((Headcount!$I$5:$I$90=0)+(Headcount!$I$5:$I$90=1)*$C$16)*(AD$18&gt;=(Headcount!$E$5:$E$90+Headcount!$G$5:$G$90*$C$15)))/12*(1+Assumptions!$C$97)</f>
        <v>144875</v>
      </c>
      <c r="AE190" s="9" t="n">
        <f aca="false">SUMPRODUCT((Headcount!$C$5:$C$90="ENG")*Headcount!$D$5:$D$90*Headcount!$F$5:$F$90*((Headcount!$I$5:$I$90=0)+(Headcount!$I$5:$I$90=1)*$C$16)*(AE$18&gt;=(Headcount!$E$5:$E$90+Headcount!$G$5:$G$90*$C$15)))/12*(1+Assumptions!$C$97)</f>
        <v>144875</v>
      </c>
      <c r="AF190" s="9" t="n">
        <f aca="false">SUMPRODUCT((Headcount!$C$5:$C$90="ENG")*Headcount!$D$5:$D$90*Headcount!$F$5:$F$90*((Headcount!$I$5:$I$90=0)+(Headcount!$I$5:$I$90=1)*$C$16)*(AF$18&gt;=(Headcount!$E$5:$E$90+Headcount!$G$5:$G$90*$C$15)))/12*(1+Assumptions!$C$97)</f>
        <v>144875</v>
      </c>
      <c r="AG190" s="9" t="n">
        <f aca="false">SUMPRODUCT((Headcount!$C$5:$C$90="ENG")*Headcount!$D$5:$D$90*Headcount!$F$5:$F$90*((Headcount!$I$5:$I$90=0)+(Headcount!$I$5:$I$90=1)*$C$16)*(AG$18&gt;=(Headcount!$E$5:$E$90+Headcount!$G$5:$G$90*$C$15)))/12*(1+Assumptions!$C$97)</f>
        <v>144875</v>
      </c>
      <c r="AH190" s="9" t="n">
        <f aca="false">SUMPRODUCT((Headcount!$C$5:$C$90="ENG")*Headcount!$D$5:$D$90*Headcount!$F$5:$F$90*((Headcount!$I$5:$I$90=0)+(Headcount!$I$5:$I$90=1)*$C$16)*(AH$18&gt;=(Headcount!$E$5:$E$90+Headcount!$G$5:$G$90*$C$15)))/12*(1+Assumptions!$C$97)</f>
        <v>144875</v>
      </c>
      <c r="AI190" s="9" t="n">
        <f aca="false">SUMPRODUCT((Headcount!$C$5:$C$90="ENG")*Headcount!$D$5:$D$90*Headcount!$F$5:$F$90*((Headcount!$I$5:$I$90=0)+(Headcount!$I$5:$I$90=1)*$C$16)*(AI$18&gt;=(Headcount!$E$5:$E$90+Headcount!$G$5:$G$90*$C$15)))/12*(1+Assumptions!$C$97)</f>
        <v>144875</v>
      </c>
      <c r="AJ190" s="9" t="n">
        <f aca="false">SUMPRODUCT((Headcount!$C$5:$C$90="ENG")*Headcount!$D$5:$D$90*Headcount!$F$5:$F$90*((Headcount!$I$5:$I$90=0)+(Headcount!$I$5:$I$90=1)*$C$16)*(AJ$18&gt;=(Headcount!$E$5:$E$90+Headcount!$G$5:$G$90*$C$15)))/12*(1+Assumptions!$C$97)</f>
        <v>144875</v>
      </c>
      <c r="AK190" s="9" t="n">
        <f aca="false">SUMPRODUCT((Headcount!$C$5:$C$90="ENG")*Headcount!$D$5:$D$90*Headcount!$F$5:$F$90*((Headcount!$I$5:$I$90=0)+(Headcount!$I$5:$I$90=1)*$C$16)*(AK$18&gt;=(Headcount!$E$5:$E$90+Headcount!$G$5:$G$90*$C$15)))/12*(1+Assumptions!$C$97)</f>
        <v>144875</v>
      </c>
      <c r="AL190" s="9" t="n">
        <f aca="false">SUMPRODUCT((Headcount!$C$5:$C$90="ENG")*Headcount!$D$5:$D$90*Headcount!$F$5:$F$90*((Headcount!$I$5:$I$90=0)+(Headcount!$I$5:$I$90=1)*$C$16)*(AL$18&gt;=(Headcount!$E$5:$E$90+Headcount!$G$5:$G$90*$C$15)))/12*(1+Assumptions!$C$97)</f>
        <v>144875</v>
      </c>
      <c r="AN190" s="11" t="n">
        <f aca="false">SUM(C190:N190)</f>
        <v>796050</v>
      </c>
      <c r="AO190" s="11" t="n">
        <f aca="false">SUM(O190:Z190)</f>
        <v>1461966.66666667</v>
      </c>
      <c r="AP190" s="11" t="n">
        <f aca="false">SUM(AA190:AL190)</f>
        <v>1723250</v>
      </c>
    </row>
    <row r="191" customFormat="false" ht="15" hidden="false" customHeight="false" outlineLevel="0" collapsed="false">
      <c r="A191" s="0" t="s">
        <v>992</v>
      </c>
      <c r="B191" s="0" t="s">
        <v>230</v>
      </c>
      <c r="C191" s="9" t="n">
        <f aca="false">SUMPRODUCT((Headcount!$C$5:$C$90="PROD")*Headcount!$D$5:$D$90*Headcount!$F$5:$F$90*((Headcount!$I$5:$I$90=0)+(Headcount!$I$5:$I$90=1)*$C$16)*(C$18&gt;=(Headcount!$E$5:$E$90+Headcount!$G$5:$G$90*$C$15)))/12*(1+Assumptions!$C$97)</f>
        <v>0</v>
      </c>
      <c r="D191" s="9" t="n">
        <f aca="false">SUMPRODUCT((Headcount!$C$5:$C$90="PROD")*Headcount!$D$5:$D$90*Headcount!$F$5:$F$90*((Headcount!$I$5:$I$90=0)+(Headcount!$I$5:$I$90=1)*$C$16)*(D$18&gt;=(Headcount!$E$5:$E$90+Headcount!$G$5:$G$90*$C$15)))/12*(1+Assumptions!$C$97)</f>
        <v>0</v>
      </c>
      <c r="E191" s="9" t="n">
        <f aca="false">SUMPRODUCT((Headcount!$C$5:$C$90="PROD")*Headcount!$D$5:$D$90*Headcount!$F$5:$F$90*((Headcount!$I$5:$I$90=0)+(Headcount!$I$5:$I$90=1)*$C$16)*(E$18&gt;=(Headcount!$E$5:$E$90+Headcount!$G$5:$G$90*$C$15)))/12*(1+Assumptions!$C$97)</f>
        <v>13216.6666666667</v>
      </c>
      <c r="F191" s="9" t="n">
        <f aca="false">SUMPRODUCT((Headcount!$C$5:$C$90="PROD")*Headcount!$D$5:$D$90*Headcount!$F$5:$F$90*((Headcount!$I$5:$I$90=0)+(Headcount!$I$5:$I$90=1)*$C$16)*(F$18&gt;=(Headcount!$E$5:$E$90+Headcount!$G$5:$G$90*$C$15)))/12*(1+Assumptions!$C$97)</f>
        <v>27450</v>
      </c>
      <c r="G191" s="9" t="n">
        <f aca="false">SUMPRODUCT((Headcount!$C$5:$C$90="PROD")*Headcount!$D$5:$D$90*Headcount!$F$5:$F$90*((Headcount!$I$5:$I$90=0)+(Headcount!$I$5:$I$90=1)*$C$16)*(G$18&gt;=(Headcount!$E$5:$E$90+Headcount!$G$5:$G$90*$C$15)))/12*(1+Assumptions!$C$97)</f>
        <v>27450</v>
      </c>
      <c r="H191" s="9" t="n">
        <f aca="false">SUMPRODUCT((Headcount!$C$5:$C$90="PROD")*Headcount!$D$5:$D$90*Headcount!$F$5:$F$90*((Headcount!$I$5:$I$90=0)+(Headcount!$I$5:$I$90=1)*$C$16)*(H$18&gt;=(Headcount!$E$5:$E$90+Headcount!$G$5:$G$90*$C$15)))/12*(1+Assumptions!$C$97)</f>
        <v>27450</v>
      </c>
      <c r="I191" s="9" t="n">
        <f aca="false">SUMPRODUCT((Headcount!$C$5:$C$90="PROD")*Headcount!$D$5:$D$90*Headcount!$F$5:$F$90*((Headcount!$I$5:$I$90=0)+(Headcount!$I$5:$I$90=1)*$C$16)*(I$18&gt;=(Headcount!$E$5:$E$90+Headcount!$G$5:$G$90*$C$15)))/12*(1+Assumptions!$C$97)</f>
        <v>27450</v>
      </c>
      <c r="J191" s="9" t="n">
        <f aca="false">SUMPRODUCT((Headcount!$C$5:$C$90="PROD")*Headcount!$D$5:$D$90*Headcount!$F$5:$F$90*((Headcount!$I$5:$I$90=0)+(Headcount!$I$5:$I$90=1)*$C$16)*(J$18&gt;=(Headcount!$E$5:$E$90+Headcount!$G$5:$G$90*$C$15)))/12*(1+Assumptions!$C$97)</f>
        <v>27450</v>
      </c>
      <c r="K191" s="9" t="n">
        <f aca="false">SUMPRODUCT((Headcount!$C$5:$C$90="PROD")*Headcount!$D$5:$D$90*Headcount!$F$5:$F$90*((Headcount!$I$5:$I$90=0)+(Headcount!$I$5:$I$90=1)*$C$16)*(K$18&gt;=(Headcount!$E$5:$E$90+Headcount!$G$5:$G$90*$C$15)))/12*(1+Assumptions!$C$97)</f>
        <v>27450</v>
      </c>
      <c r="L191" s="9" t="n">
        <f aca="false">SUMPRODUCT((Headcount!$C$5:$C$90="PROD")*Headcount!$D$5:$D$90*Headcount!$F$5:$F$90*((Headcount!$I$5:$I$90=0)+(Headcount!$I$5:$I$90=1)*$C$16)*(L$18&gt;=(Headcount!$E$5:$E$90+Headcount!$G$5:$G$90*$C$15)))/12*(1+Assumptions!$C$97)</f>
        <v>39141.6666666667</v>
      </c>
      <c r="M191" s="9" t="n">
        <f aca="false">SUMPRODUCT((Headcount!$C$5:$C$90="PROD")*Headcount!$D$5:$D$90*Headcount!$F$5:$F$90*((Headcount!$I$5:$I$90=0)+(Headcount!$I$5:$I$90=1)*$C$16)*(M$18&gt;=(Headcount!$E$5:$E$90+Headcount!$G$5:$G$90*$C$15)))/12*(1+Assumptions!$C$97)</f>
        <v>39141.6666666667</v>
      </c>
      <c r="N191" s="9" t="n">
        <f aca="false">SUMPRODUCT((Headcount!$C$5:$C$90="PROD")*Headcount!$D$5:$D$90*Headcount!$F$5:$F$90*((Headcount!$I$5:$I$90=0)+(Headcount!$I$5:$I$90=1)*$C$16)*(N$18&gt;=(Headcount!$E$5:$E$90+Headcount!$G$5:$G$90*$C$15)))/12*(1+Assumptions!$C$97)</f>
        <v>39141.6666666667</v>
      </c>
      <c r="O191" s="9" t="n">
        <f aca="false">SUMPRODUCT((Headcount!$C$5:$C$90="PROD")*Headcount!$D$5:$D$90*Headcount!$F$5:$F$90*((Headcount!$I$5:$I$90=0)+(Headcount!$I$5:$I$90=1)*$C$16)*(O$18&gt;=(Headcount!$E$5:$E$90+Headcount!$G$5:$G$90*$C$15)))/12*(1+Assumptions!$C$97)</f>
        <v>39141.6666666667</v>
      </c>
      <c r="P191" s="9" t="n">
        <f aca="false">SUMPRODUCT((Headcount!$C$5:$C$90="PROD")*Headcount!$D$5:$D$90*Headcount!$F$5:$F$90*((Headcount!$I$5:$I$90=0)+(Headcount!$I$5:$I$90=1)*$C$16)*(P$18&gt;=(Headcount!$E$5:$E$90+Headcount!$G$5:$G$90*$C$15)))/12*(1+Assumptions!$C$97)</f>
        <v>39141.6666666667</v>
      </c>
      <c r="Q191" s="9" t="n">
        <f aca="false">SUMPRODUCT((Headcount!$C$5:$C$90="PROD")*Headcount!$D$5:$D$90*Headcount!$F$5:$F$90*((Headcount!$I$5:$I$90=0)+(Headcount!$I$5:$I$90=1)*$C$16)*(Q$18&gt;=(Headcount!$E$5:$E$90+Headcount!$G$5:$G$90*$C$15)))/12*(1+Assumptions!$C$97)</f>
        <v>39141.6666666667</v>
      </c>
      <c r="R191" s="9" t="n">
        <f aca="false">SUMPRODUCT((Headcount!$C$5:$C$90="PROD")*Headcount!$D$5:$D$90*Headcount!$F$5:$F$90*((Headcount!$I$5:$I$90=0)+(Headcount!$I$5:$I$90=1)*$C$16)*(R$18&gt;=(Headcount!$E$5:$E$90+Headcount!$G$5:$G$90*$C$15)))/12*(1+Assumptions!$C$97)</f>
        <v>39141.6666666667</v>
      </c>
      <c r="S191" s="9" t="n">
        <f aca="false">SUMPRODUCT((Headcount!$C$5:$C$90="PROD")*Headcount!$D$5:$D$90*Headcount!$F$5:$F$90*((Headcount!$I$5:$I$90=0)+(Headcount!$I$5:$I$90=1)*$C$16)*(S$18&gt;=(Headcount!$E$5:$E$90+Headcount!$G$5:$G$90*$C$15)))/12*(1+Assumptions!$C$97)</f>
        <v>39141.6666666667</v>
      </c>
      <c r="T191" s="9" t="n">
        <f aca="false">SUMPRODUCT((Headcount!$C$5:$C$90="PROD")*Headcount!$D$5:$D$90*Headcount!$F$5:$F$90*((Headcount!$I$5:$I$90=0)+(Headcount!$I$5:$I$90=1)*$C$16)*(T$18&gt;=(Headcount!$E$5:$E$90+Headcount!$G$5:$G$90*$C$15)))/12*(1+Assumptions!$C$97)</f>
        <v>39141.6666666667</v>
      </c>
      <c r="U191" s="9" t="n">
        <f aca="false">SUMPRODUCT((Headcount!$C$5:$C$90="PROD")*Headcount!$D$5:$D$90*Headcount!$F$5:$F$90*((Headcount!$I$5:$I$90=0)+(Headcount!$I$5:$I$90=1)*$C$16)*(U$18&gt;=(Headcount!$E$5:$E$90+Headcount!$G$5:$G$90*$C$15)))/12*(1+Assumptions!$C$97)</f>
        <v>39141.6666666667</v>
      </c>
      <c r="V191" s="9" t="n">
        <f aca="false">SUMPRODUCT((Headcount!$C$5:$C$90="PROD")*Headcount!$D$5:$D$90*Headcount!$F$5:$F$90*((Headcount!$I$5:$I$90=0)+(Headcount!$I$5:$I$90=1)*$C$16)*(V$18&gt;=(Headcount!$E$5:$E$90+Headcount!$G$5:$G$90*$C$15)))/12*(1+Assumptions!$C$97)</f>
        <v>39141.6666666667</v>
      </c>
      <c r="W191" s="9" t="n">
        <f aca="false">SUMPRODUCT((Headcount!$C$5:$C$90="PROD")*Headcount!$D$5:$D$90*Headcount!$F$5:$F$90*((Headcount!$I$5:$I$90=0)+(Headcount!$I$5:$I$90=1)*$C$16)*(W$18&gt;=(Headcount!$E$5:$E$90+Headcount!$G$5:$G$90*$C$15)))/12*(1+Assumptions!$C$97)</f>
        <v>39141.6666666667</v>
      </c>
      <c r="X191" s="9" t="n">
        <f aca="false">SUMPRODUCT((Headcount!$C$5:$C$90="PROD")*Headcount!$D$5:$D$90*Headcount!$F$5:$F$90*((Headcount!$I$5:$I$90=0)+(Headcount!$I$5:$I$90=1)*$C$16)*(X$18&gt;=(Headcount!$E$5:$E$90+Headcount!$G$5:$G$90*$C$15)))/12*(1+Assumptions!$C$97)</f>
        <v>39141.6666666667</v>
      </c>
      <c r="Y191" s="9" t="n">
        <f aca="false">SUMPRODUCT((Headcount!$C$5:$C$90="PROD")*Headcount!$D$5:$D$90*Headcount!$F$5:$F$90*((Headcount!$I$5:$I$90=0)+(Headcount!$I$5:$I$90=1)*$C$16)*(Y$18&gt;=(Headcount!$E$5:$E$90+Headcount!$G$5:$G$90*$C$15)))/12*(1+Assumptions!$C$97)</f>
        <v>39141.6666666667</v>
      </c>
      <c r="Z191" s="9" t="n">
        <f aca="false">SUMPRODUCT((Headcount!$C$5:$C$90="PROD")*Headcount!$D$5:$D$90*Headcount!$F$5:$F$90*((Headcount!$I$5:$I$90=0)+(Headcount!$I$5:$I$90=1)*$C$16)*(Z$18&gt;=(Headcount!$E$5:$E$90+Headcount!$G$5:$G$90*$C$15)))/12*(1+Assumptions!$C$97)</f>
        <v>39141.6666666667</v>
      </c>
      <c r="AA191" s="9" t="n">
        <f aca="false">SUMPRODUCT((Headcount!$C$5:$C$90="PROD")*Headcount!$D$5:$D$90*Headcount!$F$5:$F$90*((Headcount!$I$5:$I$90=0)+(Headcount!$I$5:$I$90=1)*$C$16)*(AA$18&gt;=(Headcount!$E$5:$E$90+Headcount!$G$5:$G$90*$C$15)))/12*(1+Assumptions!$C$97)</f>
        <v>39141.6666666667</v>
      </c>
      <c r="AB191" s="9" t="n">
        <f aca="false">SUMPRODUCT((Headcount!$C$5:$C$90="PROD")*Headcount!$D$5:$D$90*Headcount!$F$5:$F$90*((Headcount!$I$5:$I$90=0)+(Headcount!$I$5:$I$90=1)*$C$16)*(AB$18&gt;=(Headcount!$E$5:$E$90+Headcount!$G$5:$G$90*$C$15)))/12*(1+Assumptions!$C$97)</f>
        <v>39141.6666666667</v>
      </c>
      <c r="AC191" s="9" t="n">
        <f aca="false">SUMPRODUCT((Headcount!$C$5:$C$90="PROD")*Headcount!$D$5:$D$90*Headcount!$F$5:$F$90*((Headcount!$I$5:$I$90=0)+(Headcount!$I$5:$I$90=1)*$C$16)*(AC$18&gt;=(Headcount!$E$5:$E$90+Headcount!$G$5:$G$90*$C$15)))/12*(1+Assumptions!$C$97)</f>
        <v>39141.6666666667</v>
      </c>
      <c r="AD191" s="9" t="n">
        <f aca="false">SUMPRODUCT((Headcount!$C$5:$C$90="PROD")*Headcount!$D$5:$D$90*Headcount!$F$5:$F$90*((Headcount!$I$5:$I$90=0)+(Headcount!$I$5:$I$90=1)*$C$16)*(AD$18&gt;=(Headcount!$E$5:$E$90+Headcount!$G$5:$G$90*$C$15)))/12*(1+Assumptions!$C$97)</f>
        <v>39141.6666666667</v>
      </c>
      <c r="AE191" s="9" t="n">
        <f aca="false">SUMPRODUCT((Headcount!$C$5:$C$90="PROD")*Headcount!$D$5:$D$90*Headcount!$F$5:$F$90*((Headcount!$I$5:$I$90=0)+(Headcount!$I$5:$I$90=1)*$C$16)*(AE$18&gt;=(Headcount!$E$5:$E$90+Headcount!$G$5:$G$90*$C$15)))/12*(1+Assumptions!$C$97)</f>
        <v>39141.6666666667</v>
      </c>
      <c r="AF191" s="9" t="n">
        <f aca="false">SUMPRODUCT((Headcount!$C$5:$C$90="PROD")*Headcount!$D$5:$D$90*Headcount!$F$5:$F$90*((Headcount!$I$5:$I$90=0)+(Headcount!$I$5:$I$90=1)*$C$16)*(AF$18&gt;=(Headcount!$E$5:$E$90+Headcount!$G$5:$G$90*$C$15)))/12*(1+Assumptions!$C$97)</f>
        <v>39141.6666666667</v>
      </c>
      <c r="AG191" s="9" t="n">
        <f aca="false">SUMPRODUCT((Headcount!$C$5:$C$90="PROD")*Headcount!$D$5:$D$90*Headcount!$F$5:$F$90*((Headcount!$I$5:$I$90=0)+(Headcount!$I$5:$I$90=1)*$C$16)*(AG$18&gt;=(Headcount!$E$5:$E$90+Headcount!$G$5:$G$90*$C$15)))/12*(1+Assumptions!$C$97)</f>
        <v>39141.6666666667</v>
      </c>
      <c r="AH191" s="9" t="n">
        <f aca="false">SUMPRODUCT((Headcount!$C$5:$C$90="PROD")*Headcount!$D$5:$D$90*Headcount!$F$5:$F$90*((Headcount!$I$5:$I$90=0)+(Headcount!$I$5:$I$90=1)*$C$16)*(AH$18&gt;=(Headcount!$E$5:$E$90+Headcount!$G$5:$G$90*$C$15)))/12*(1+Assumptions!$C$97)</f>
        <v>39141.6666666667</v>
      </c>
      <c r="AI191" s="9" t="n">
        <f aca="false">SUMPRODUCT((Headcount!$C$5:$C$90="PROD")*Headcount!$D$5:$D$90*Headcount!$F$5:$F$90*((Headcount!$I$5:$I$90=0)+(Headcount!$I$5:$I$90=1)*$C$16)*(AI$18&gt;=(Headcount!$E$5:$E$90+Headcount!$G$5:$G$90*$C$15)))/12*(1+Assumptions!$C$97)</f>
        <v>39141.6666666667</v>
      </c>
      <c r="AJ191" s="9" t="n">
        <f aca="false">SUMPRODUCT((Headcount!$C$5:$C$90="PROD")*Headcount!$D$5:$D$90*Headcount!$F$5:$F$90*((Headcount!$I$5:$I$90=0)+(Headcount!$I$5:$I$90=1)*$C$16)*(AJ$18&gt;=(Headcount!$E$5:$E$90+Headcount!$G$5:$G$90*$C$15)))/12*(1+Assumptions!$C$97)</f>
        <v>39141.6666666667</v>
      </c>
      <c r="AK191" s="9" t="n">
        <f aca="false">SUMPRODUCT((Headcount!$C$5:$C$90="PROD")*Headcount!$D$5:$D$90*Headcount!$F$5:$F$90*((Headcount!$I$5:$I$90=0)+(Headcount!$I$5:$I$90=1)*$C$16)*(AK$18&gt;=(Headcount!$E$5:$E$90+Headcount!$G$5:$G$90*$C$15)))/12*(1+Assumptions!$C$97)</f>
        <v>39141.6666666667</v>
      </c>
      <c r="AL191" s="9" t="n">
        <f aca="false">SUMPRODUCT((Headcount!$C$5:$C$90="PROD")*Headcount!$D$5:$D$90*Headcount!$F$5:$F$90*((Headcount!$I$5:$I$90=0)+(Headcount!$I$5:$I$90=1)*$C$16)*(AL$18&gt;=(Headcount!$E$5:$E$90+Headcount!$G$5:$G$90*$C$15)))/12*(1+Assumptions!$C$97)</f>
        <v>39141.6666666667</v>
      </c>
      <c r="AN191" s="11" t="n">
        <f aca="false">SUM(C191:N191)</f>
        <v>295341.666666667</v>
      </c>
      <c r="AO191" s="11" t="n">
        <f aca="false">SUM(O191:Z191)</f>
        <v>469700</v>
      </c>
      <c r="AP191" s="11" t="n">
        <f aca="false">SUM(AA191:AL191)</f>
        <v>469700</v>
      </c>
    </row>
    <row r="192" customFormat="false" ht="15" hidden="false" customHeight="false" outlineLevel="0" collapsed="false">
      <c r="A192" s="0" t="s">
        <v>993</v>
      </c>
      <c r="B192" s="0" t="s">
        <v>230</v>
      </c>
      <c r="C192" s="9" t="n">
        <f aca="false">SUMPRODUCT((Headcount!$C$5:$C$90="SEC")*Headcount!$D$5:$D$90*Headcount!$F$5:$F$90*((Headcount!$I$5:$I$90=0)+(Headcount!$I$5:$I$90=1)*$C$16)*(C$18&gt;=(Headcount!$E$5:$E$90+Headcount!$G$5:$G$90*$C$15)))/12*(1+Assumptions!$C$97)</f>
        <v>0</v>
      </c>
      <c r="D192" s="9" t="n">
        <f aca="false">SUMPRODUCT((Headcount!$C$5:$C$90="SEC")*Headcount!$D$5:$D$90*Headcount!$F$5:$F$90*((Headcount!$I$5:$I$90=0)+(Headcount!$I$5:$I$90=1)*$C$16)*(D$18&gt;=(Headcount!$E$5:$E$90+Headcount!$G$5:$G$90*$C$15)))/12*(1+Assumptions!$C$97)</f>
        <v>0</v>
      </c>
      <c r="E192" s="9" t="n">
        <f aca="false">SUMPRODUCT((Headcount!$C$5:$C$90="SEC")*Headcount!$D$5:$D$90*Headcount!$F$5:$F$90*((Headcount!$I$5:$I$90=0)+(Headcount!$I$5:$I$90=1)*$C$16)*(E$18&gt;=(Headcount!$E$5:$E$90+Headcount!$G$5:$G$90*$C$15)))/12*(1+Assumptions!$C$97)</f>
        <v>0</v>
      </c>
      <c r="F192" s="9" t="n">
        <f aca="false">SUMPRODUCT((Headcount!$C$5:$C$90="SEC")*Headcount!$D$5:$D$90*Headcount!$F$5:$F$90*((Headcount!$I$5:$I$90=0)+(Headcount!$I$5:$I$90=1)*$C$16)*(F$18&gt;=(Headcount!$E$5:$E$90+Headcount!$G$5:$G$90*$C$15)))/12*(1+Assumptions!$C$97)</f>
        <v>0</v>
      </c>
      <c r="G192" s="9" t="n">
        <f aca="false">SUMPRODUCT((Headcount!$C$5:$C$90="SEC")*Headcount!$D$5:$D$90*Headcount!$F$5:$F$90*((Headcount!$I$5:$I$90=0)+(Headcount!$I$5:$I$90=1)*$C$16)*(G$18&gt;=(Headcount!$E$5:$E$90+Headcount!$G$5:$G$90*$C$15)))/12*(1+Assumptions!$C$97)</f>
        <v>0</v>
      </c>
      <c r="H192" s="9" t="n">
        <f aca="false">SUMPRODUCT((Headcount!$C$5:$C$90="SEC")*Headcount!$D$5:$D$90*Headcount!$F$5:$F$90*((Headcount!$I$5:$I$90=0)+(Headcount!$I$5:$I$90=1)*$C$16)*(H$18&gt;=(Headcount!$E$5:$E$90+Headcount!$G$5:$G$90*$C$15)))/12*(1+Assumptions!$C$97)</f>
        <v>0</v>
      </c>
      <c r="I192" s="9" t="n">
        <f aca="false">SUMPRODUCT((Headcount!$C$5:$C$90="SEC")*Headcount!$D$5:$D$90*Headcount!$F$5:$F$90*((Headcount!$I$5:$I$90=0)+(Headcount!$I$5:$I$90=1)*$C$16)*(I$18&gt;=(Headcount!$E$5:$E$90+Headcount!$G$5:$G$90*$C$15)))/12*(1+Assumptions!$C$97)</f>
        <v>15250</v>
      </c>
      <c r="J192" s="9" t="n">
        <f aca="false">SUMPRODUCT((Headcount!$C$5:$C$90="SEC")*Headcount!$D$5:$D$90*Headcount!$F$5:$F$90*((Headcount!$I$5:$I$90=0)+(Headcount!$I$5:$I$90=1)*$C$16)*(J$18&gt;=(Headcount!$E$5:$E$90+Headcount!$G$5:$G$90*$C$15)))/12*(1+Assumptions!$C$97)</f>
        <v>15250</v>
      </c>
      <c r="K192" s="9" t="n">
        <f aca="false">SUMPRODUCT((Headcount!$C$5:$C$90="SEC")*Headcount!$D$5:$D$90*Headcount!$F$5:$F$90*((Headcount!$I$5:$I$90=0)+(Headcount!$I$5:$I$90=1)*$C$16)*(K$18&gt;=(Headcount!$E$5:$E$90+Headcount!$G$5:$G$90*$C$15)))/12*(1+Assumptions!$C$97)</f>
        <v>15250</v>
      </c>
      <c r="L192" s="9" t="n">
        <f aca="false">SUMPRODUCT((Headcount!$C$5:$C$90="SEC")*Headcount!$D$5:$D$90*Headcount!$F$5:$F$90*((Headcount!$I$5:$I$90=0)+(Headcount!$I$5:$I$90=1)*$C$16)*(L$18&gt;=(Headcount!$E$5:$E$90+Headcount!$G$5:$G$90*$C$15)))/12*(1+Assumptions!$C$97)</f>
        <v>15250</v>
      </c>
      <c r="M192" s="9" t="n">
        <f aca="false">SUMPRODUCT((Headcount!$C$5:$C$90="SEC")*Headcount!$D$5:$D$90*Headcount!$F$5:$F$90*((Headcount!$I$5:$I$90=0)+(Headcount!$I$5:$I$90=1)*$C$16)*(M$18&gt;=(Headcount!$E$5:$E$90+Headcount!$G$5:$G$90*$C$15)))/12*(1+Assumptions!$C$97)</f>
        <v>15250</v>
      </c>
      <c r="N192" s="9" t="n">
        <f aca="false">SUMPRODUCT((Headcount!$C$5:$C$90="SEC")*Headcount!$D$5:$D$90*Headcount!$F$5:$F$90*((Headcount!$I$5:$I$90=0)+(Headcount!$I$5:$I$90=1)*$C$16)*(N$18&gt;=(Headcount!$E$5:$E$90+Headcount!$G$5:$G$90*$C$15)))/12*(1+Assumptions!$C$97)</f>
        <v>15250</v>
      </c>
      <c r="O192" s="9" t="n">
        <f aca="false">SUMPRODUCT((Headcount!$C$5:$C$90="SEC")*Headcount!$D$5:$D$90*Headcount!$F$5:$F$90*((Headcount!$I$5:$I$90=0)+(Headcount!$I$5:$I$90=1)*$C$16)*(O$18&gt;=(Headcount!$E$5:$E$90+Headcount!$G$5:$G$90*$C$15)))/12*(1+Assumptions!$C$97)</f>
        <v>15250</v>
      </c>
      <c r="P192" s="9" t="n">
        <f aca="false">SUMPRODUCT((Headcount!$C$5:$C$90="SEC")*Headcount!$D$5:$D$90*Headcount!$F$5:$F$90*((Headcount!$I$5:$I$90=0)+(Headcount!$I$5:$I$90=1)*$C$16)*(P$18&gt;=(Headcount!$E$5:$E$90+Headcount!$G$5:$G$90*$C$15)))/12*(1+Assumptions!$C$97)</f>
        <v>15250</v>
      </c>
      <c r="Q192" s="9" t="n">
        <f aca="false">SUMPRODUCT((Headcount!$C$5:$C$90="SEC")*Headcount!$D$5:$D$90*Headcount!$F$5:$F$90*((Headcount!$I$5:$I$90=0)+(Headcount!$I$5:$I$90=1)*$C$16)*(Q$18&gt;=(Headcount!$E$5:$E$90+Headcount!$G$5:$G$90*$C$15)))/12*(1+Assumptions!$C$97)</f>
        <v>15250</v>
      </c>
      <c r="R192" s="9" t="n">
        <f aca="false">SUMPRODUCT((Headcount!$C$5:$C$90="SEC")*Headcount!$D$5:$D$90*Headcount!$F$5:$F$90*((Headcount!$I$5:$I$90=0)+(Headcount!$I$5:$I$90=1)*$C$16)*(R$18&gt;=(Headcount!$E$5:$E$90+Headcount!$G$5:$G$90*$C$15)))/12*(1+Assumptions!$C$97)</f>
        <v>15250</v>
      </c>
      <c r="S192" s="9" t="n">
        <f aca="false">SUMPRODUCT((Headcount!$C$5:$C$90="SEC")*Headcount!$D$5:$D$90*Headcount!$F$5:$F$90*((Headcount!$I$5:$I$90=0)+(Headcount!$I$5:$I$90=1)*$C$16)*(S$18&gt;=(Headcount!$E$5:$E$90+Headcount!$G$5:$G$90*$C$15)))/12*(1+Assumptions!$C$97)</f>
        <v>15250</v>
      </c>
      <c r="T192" s="9" t="n">
        <f aca="false">SUMPRODUCT((Headcount!$C$5:$C$90="SEC")*Headcount!$D$5:$D$90*Headcount!$F$5:$F$90*((Headcount!$I$5:$I$90=0)+(Headcount!$I$5:$I$90=1)*$C$16)*(T$18&gt;=(Headcount!$E$5:$E$90+Headcount!$G$5:$G$90*$C$15)))/12*(1+Assumptions!$C$97)</f>
        <v>15250</v>
      </c>
      <c r="U192" s="9" t="n">
        <f aca="false">SUMPRODUCT((Headcount!$C$5:$C$90="SEC")*Headcount!$D$5:$D$90*Headcount!$F$5:$F$90*((Headcount!$I$5:$I$90=0)+(Headcount!$I$5:$I$90=1)*$C$16)*(U$18&gt;=(Headcount!$E$5:$E$90+Headcount!$G$5:$G$90*$C$15)))/12*(1+Assumptions!$C$97)</f>
        <v>15250</v>
      </c>
      <c r="V192" s="9" t="n">
        <f aca="false">SUMPRODUCT((Headcount!$C$5:$C$90="SEC")*Headcount!$D$5:$D$90*Headcount!$F$5:$F$90*((Headcount!$I$5:$I$90=0)+(Headcount!$I$5:$I$90=1)*$C$16)*(V$18&gt;=(Headcount!$E$5:$E$90+Headcount!$G$5:$G$90*$C$15)))/12*(1+Assumptions!$C$97)</f>
        <v>15250</v>
      </c>
      <c r="W192" s="9" t="n">
        <f aca="false">SUMPRODUCT((Headcount!$C$5:$C$90="SEC")*Headcount!$D$5:$D$90*Headcount!$F$5:$F$90*((Headcount!$I$5:$I$90=0)+(Headcount!$I$5:$I$90=1)*$C$16)*(W$18&gt;=(Headcount!$E$5:$E$90+Headcount!$G$5:$G$90*$C$15)))/12*(1+Assumptions!$C$97)</f>
        <v>15250</v>
      </c>
      <c r="X192" s="9" t="n">
        <f aca="false">SUMPRODUCT((Headcount!$C$5:$C$90="SEC")*Headcount!$D$5:$D$90*Headcount!$F$5:$F$90*((Headcount!$I$5:$I$90=0)+(Headcount!$I$5:$I$90=1)*$C$16)*(X$18&gt;=(Headcount!$E$5:$E$90+Headcount!$G$5:$G$90*$C$15)))/12*(1+Assumptions!$C$97)</f>
        <v>15250</v>
      </c>
      <c r="Y192" s="9" t="n">
        <f aca="false">SUMPRODUCT((Headcount!$C$5:$C$90="SEC")*Headcount!$D$5:$D$90*Headcount!$F$5:$F$90*((Headcount!$I$5:$I$90=0)+(Headcount!$I$5:$I$90=1)*$C$16)*(Y$18&gt;=(Headcount!$E$5:$E$90+Headcount!$G$5:$G$90*$C$15)))/12*(1+Assumptions!$C$97)</f>
        <v>15250</v>
      </c>
      <c r="Z192" s="9" t="n">
        <f aca="false">SUMPRODUCT((Headcount!$C$5:$C$90="SEC")*Headcount!$D$5:$D$90*Headcount!$F$5:$F$90*((Headcount!$I$5:$I$90=0)+(Headcount!$I$5:$I$90=1)*$C$16)*(Z$18&gt;=(Headcount!$E$5:$E$90+Headcount!$G$5:$G$90*$C$15)))/12*(1+Assumptions!$C$97)</f>
        <v>15250</v>
      </c>
      <c r="AA192" s="9" t="n">
        <f aca="false">SUMPRODUCT((Headcount!$C$5:$C$90="SEC")*Headcount!$D$5:$D$90*Headcount!$F$5:$F$90*((Headcount!$I$5:$I$90=0)+(Headcount!$I$5:$I$90=1)*$C$16)*(AA$18&gt;=(Headcount!$E$5:$E$90+Headcount!$G$5:$G$90*$C$15)))/12*(1+Assumptions!$C$97)</f>
        <v>15250</v>
      </c>
      <c r="AB192" s="9" t="n">
        <f aca="false">SUMPRODUCT((Headcount!$C$5:$C$90="SEC")*Headcount!$D$5:$D$90*Headcount!$F$5:$F$90*((Headcount!$I$5:$I$90=0)+(Headcount!$I$5:$I$90=1)*$C$16)*(AB$18&gt;=(Headcount!$E$5:$E$90+Headcount!$G$5:$G$90*$C$15)))/12*(1+Assumptions!$C$97)</f>
        <v>15250</v>
      </c>
      <c r="AC192" s="9" t="n">
        <f aca="false">SUMPRODUCT((Headcount!$C$5:$C$90="SEC")*Headcount!$D$5:$D$90*Headcount!$F$5:$F$90*((Headcount!$I$5:$I$90=0)+(Headcount!$I$5:$I$90=1)*$C$16)*(AC$18&gt;=(Headcount!$E$5:$E$90+Headcount!$G$5:$G$90*$C$15)))/12*(1+Assumptions!$C$97)</f>
        <v>15250</v>
      </c>
      <c r="AD192" s="9" t="n">
        <f aca="false">SUMPRODUCT((Headcount!$C$5:$C$90="SEC")*Headcount!$D$5:$D$90*Headcount!$F$5:$F$90*((Headcount!$I$5:$I$90=0)+(Headcount!$I$5:$I$90=1)*$C$16)*(AD$18&gt;=(Headcount!$E$5:$E$90+Headcount!$G$5:$G$90*$C$15)))/12*(1+Assumptions!$C$97)</f>
        <v>15250</v>
      </c>
      <c r="AE192" s="9" t="n">
        <f aca="false">SUMPRODUCT((Headcount!$C$5:$C$90="SEC")*Headcount!$D$5:$D$90*Headcount!$F$5:$F$90*((Headcount!$I$5:$I$90=0)+(Headcount!$I$5:$I$90=1)*$C$16)*(AE$18&gt;=(Headcount!$E$5:$E$90+Headcount!$G$5:$G$90*$C$15)))/12*(1+Assumptions!$C$97)</f>
        <v>15250</v>
      </c>
      <c r="AF192" s="9" t="n">
        <f aca="false">SUMPRODUCT((Headcount!$C$5:$C$90="SEC")*Headcount!$D$5:$D$90*Headcount!$F$5:$F$90*((Headcount!$I$5:$I$90=0)+(Headcount!$I$5:$I$90=1)*$C$16)*(AF$18&gt;=(Headcount!$E$5:$E$90+Headcount!$G$5:$G$90*$C$15)))/12*(1+Assumptions!$C$97)</f>
        <v>15250</v>
      </c>
      <c r="AG192" s="9" t="n">
        <f aca="false">SUMPRODUCT((Headcount!$C$5:$C$90="SEC")*Headcount!$D$5:$D$90*Headcount!$F$5:$F$90*((Headcount!$I$5:$I$90=0)+(Headcount!$I$5:$I$90=1)*$C$16)*(AG$18&gt;=(Headcount!$E$5:$E$90+Headcount!$G$5:$G$90*$C$15)))/12*(1+Assumptions!$C$97)</f>
        <v>15250</v>
      </c>
      <c r="AH192" s="9" t="n">
        <f aca="false">SUMPRODUCT((Headcount!$C$5:$C$90="SEC")*Headcount!$D$5:$D$90*Headcount!$F$5:$F$90*((Headcount!$I$5:$I$90=0)+(Headcount!$I$5:$I$90=1)*$C$16)*(AH$18&gt;=(Headcount!$E$5:$E$90+Headcount!$G$5:$G$90*$C$15)))/12*(1+Assumptions!$C$97)</f>
        <v>15250</v>
      </c>
      <c r="AI192" s="9" t="n">
        <f aca="false">SUMPRODUCT((Headcount!$C$5:$C$90="SEC")*Headcount!$D$5:$D$90*Headcount!$F$5:$F$90*((Headcount!$I$5:$I$90=0)+(Headcount!$I$5:$I$90=1)*$C$16)*(AI$18&gt;=(Headcount!$E$5:$E$90+Headcount!$G$5:$G$90*$C$15)))/12*(1+Assumptions!$C$97)</f>
        <v>15250</v>
      </c>
      <c r="AJ192" s="9" t="n">
        <f aca="false">SUMPRODUCT((Headcount!$C$5:$C$90="SEC")*Headcount!$D$5:$D$90*Headcount!$F$5:$F$90*((Headcount!$I$5:$I$90=0)+(Headcount!$I$5:$I$90=1)*$C$16)*(AJ$18&gt;=(Headcount!$E$5:$E$90+Headcount!$G$5:$G$90*$C$15)))/12*(1+Assumptions!$C$97)</f>
        <v>15250</v>
      </c>
      <c r="AK192" s="9" t="n">
        <f aca="false">SUMPRODUCT((Headcount!$C$5:$C$90="SEC")*Headcount!$D$5:$D$90*Headcount!$F$5:$F$90*((Headcount!$I$5:$I$90=0)+(Headcount!$I$5:$I$90=1)*$C$16)*(AK$18&gt;=(Headcount!$E$5:$E$90+Headcount!$G$5:$G$90*$C$15)))/12*(1+Assumptions!$C$97)</f>
        <v>15250</v>
      </c>
      <c r="AL192" s="9" t="n">
        <f aca="false">SUMPRODUCT((Headcount!$C$5:$C$90="SEC")*Headcount!$D$5:$D$90*Headcount!$F$5:$F$90*((Headcount!$I$5:$I$90=0)+(Headcount!$I$5:$I$90=1)*$C$16)*(AL$18&gt;=(Headcount!$E$5:$E$90+Headcount!$G$5:$G$90*$C$15)))/12*(1+Assumptions!$C$97)</f>
        <v>15250</v>
      </c>
      <c r="AN192" s="11" t="n">
        <f aca="false">SUM(C192:N192)</f>
        <v>91500</v>
      </c>
      <c r="AO192" s="11" t="n">
        <f aca="false">SUM(O192:Z192)</f>
        <v>183000</v>
      </c>
      <c r="AP192" s="11" t="n">
        <f aca="false">SUM(AA192:AL192)</f>
        <v>183000</v>
      </c>
    </row>
    <row r="193" customFormat="false" ht="15" hidden="false" customHeight="false" outlineLevel="0" collapsed="false">
      <c r="A193" s="0" t="s">
        <v>994</v>
      </c>
      <c r="B193" s="0" t="s">
        <v>230</v>
      </c>
      <c r="C193" s="9" t="n">
        <f aca="false">SUMPRODUCT((Headcount!$C$5:$C$90="SALES")*Headcount!$D$5:$D$90*Headcount!$F$5:$F$90*((Headcount!$I$5:$I$90=0)+(Headcount!$I$5:$I$90=1)*$C$16)*(C$18&gt;=(Headcount!$E$5:$E$90+Headcount!$G$5:$G$90*$C$15)))/12*(1+Assumptions!$C$97)</f>
        <v>0</v>
      </c>
      <c r="D193" s="9" t="n">
        <f aca="false">SUMPRODUCT((Headcount!$C$5:$C$90="SALES")*Headcount!$D$5:$D$90*Headcount!$F$5:$F$90*((Headcount!$I$5:$I$90=0)+(Headcount!$I$5:$I$90=1)*$C$16)*(D$18&gt;=(Headcount!$E$5:$E$90+Headcount!$G$5:$G$90*$C$15)))/12*(1+Assumptions!$C$97)</f>
        <v>0</v>
      </c>
      <c r="E193" s="9" t="n">
        <f aca="false">SUMPRODUCT((Headcount!$C$5:$C$90="SALES")*Headcount!$D$5:$D$90*Headcount!$F$5:$F$90*((Headcount!$I$5:$I$90=0)+(Headcount!$I$5:$I$90=1)*$C$16)*(E$18&gt;=(Headcount!$E$5:$E$90+Headcount!$G$5:$G$90*$C$15)))/12*(1+Assumptions!$C$97)</f>
        <v>0</v>
      </c>
      <c r="F193" s="9" t="n">
        <f aca="false">SUMPRODUCT((Headcount!$C$5:$C$90="SALES")*Headcount!$D$5:$D$90*Headcount!$F$5:$F$90*((Headcount!$I$5:$I$90=0)+(Headcount!$I$5:$I$90=1)*$C$16)*(F$18&gt;=(Headcount!$E$5:$E$90+Headcount!$G$5:$G$90*$C$15)))/12*(1+Assumptions!$C$97)</f>
        <v>0</v>
      </c>
      <c r="G193" s="9" t="n">
        <f aca="false">SUMPRODUCT((Headcount!$C$5:$C$90="SALES")*Headcount!$D$5:$D$90*Headcount!$F$5:$F$90*((Headcount!$I$5:$I$90=0)+(Headcount!$I$5:$I$90=1)*$C$16)*(G$18&gt;=(Headcount!$E$5:$E$90+Headcount!$G$5:$G$90*$C$15)))/12*(1+Assumptions!$C$97)</f>
        <v>0</v>
      </c>
      <c r="H193" s="9" t="n">
        <f aca="false">SUMPRODUCT((Headcount!$C$5:$C$90="SALES")*Headcount!$D$5:$D$90*Headcount!$F$5:$F$90*((Headcount!$I$5:$I$90=0)+(Headcount!$I$5:$I$90=1)*$C$16)*(H$18&gt;=(Headcount!$E$5:$E$90+Headcount!$G$5:$G$90*$C$15)))/12*(1+Assumptions!$C$97)</f>
        <v>0</v>
      </c>
      <c r="I193" s="9" t="n">
        <f aca="false">SUMPRODUCT((Headcount!$C$5:$C$90="SALES")*Headcount!$D$5:$D$90*Headcount!$F$5:$F$90*((Headcount!$I$5:$I$90=0)+(Headcount!$I$5:$I$90=1)*$C$16)*(I$18&gt;=(Headcount!$E$5:$E$90+Headcount!$G$5:$G$90*$C$15)))/12*(1+Assumptions!$C$97)</f>
        <v>0</v>
      </c>
      <c r="J193" s="9" t="n">
        <f aca="false">SUMPRODUCT((Headcount!$C$5:$C$90="SALES")*Headcount!$D$5:$D$90*Headcount!$F$5:$F$90*((Headcount!$I$5:$I$90=0)+(Headcount!$I$5:$I$90=1)*$C$16)*(J$18&gt;=(Headcount!$E$5:$E$90+Headcount!$G$5:$G$90*$C$15)))/12*(1+Assumptions!$C$97)</f>
        <v>0</v>
      </c>
      <c r="K193" s="9" t="n">
        <f aca="false">SUMPRODUCT((Headcount!$C$5:$C$90="SALES")*Headcount!$D$5:$D$90*Headcount!$F$5:$F$90*((Headcount!$I$5:$I$90=0)+(Headcount!$I$5:$I$90=1)*$C$16)*(K$18&gt;=(Headcount!$E$5:$E$90+Headcount!$G$5:$G$90*$C$15)))/12*(1+Assumptions!$C$97)</f>
        <v>0</v>
      </c>
      <c r="L193" s="9" t="n">
        <f aca="false">SUMPRODUCT((Headcount!$C$5:$C$90="SALES")*Headcount!$D$5:$D$90*Headcount!$F$5:$F$90*((Headcount!$I$5:$I$90=0)+(Headcount!$I$5:$I$90=1)*$C$16)*(L$18&gt;=(Headcount!$E$5:$E$90+Headcount!$G$5:$G$90*$C$15)))/12*(1+Assumptions!$C$97)</f>
        <v>0</v>
      </c>
      <c r="M193" s="9" t="n">
        <f aca="false">SUMPRODUCT((Headcount!$C$5:$C$90="SALES")*Headcount!$D$5:$D$90*Headcount!$F$5:$F$90*((Headcount!$I$5:$I$90=0)+(Headcount!$I$5:$I$90=1)*$C$16)*(M$18&gt;=(Headcount!$E$5:$E$90+Headcount!$G$5:$G$90*$C$15)))/12*(1+Assumptions!$C$97)</f>
        <v>11183.3333333333</v>
      </c>
      <c r="N193" s="9" t="n">
        <f aca="false">SUMPRODUCT((Headcount!$C$5:$C$90="SALES")*Headcount!$D$5:$D$90*Headcount!$F$5:$F$90*((Headcount!$I$5:$I$90=0)+(Headcount!$I$5:$I$90=1)*$C$16)*(N$18&gt;=(Headcount!$E$5:$E$90+Headcount!$G$5:$G$90*$C$15)))/12*(1+Assumptions!$C$97)</f>
        <v>11183.3333333333</v>
      </c>
      <c r="O193" s="9" t="n">
        <f aca="false">SUMPRODUCT((Headcount!$C$5:$C$90="SALES")*Headcount!$D$5:$D$90*Headcount!$F$5:$F$90*((Headcount!$I$5:$I$90=0)+(Headcount!$I$5:$I$90=1)*$C$16)*(O$18&gt;=(Headcount!$E$5:$E$90+Headcount!$G$5:$G$90*$C$15)))/12*(1+Assumptions!$C$97)</f>
        <v>24400</v>
      </c>
      <c r="P193" s="9" t="n">
        <f aca="false">SUMPRODUCT((Headcount!$C$5:$C$90="SALES")*Headcount!$D$5:$D$90*Headcount!$F$5:$F$90*((Headcount!$I$5:$I$90=0)+(Headcount!$I$5:$I$90=1)*$C$16)*(P$18&gt;=(Headcount!$E$5:$E$90+Headcount!$G$5:$G$90*$C$15)))/12*(1+Assumptions!$C$97)</f>
        <v>24400</v>
      </c>
      <c r="Q193" s="9" t="n">
        <f aca="false">SUMPRODUCT((Headcount!$C$5:$C$90="SALES")*Headcount!$D$5:$D$90*Headcount!$F$5:$F$90*((Headcount!$I$5:$I$90=0)+(Headcount!$I$5:$I$90=1)*$C$16)*(Q$18&gt;=(Headcount!$E$5:$E$90+Headcount!$G$5:$G$90*$C$15)))/12*(1+Assumptions!$C$97)</f>
        <v>24400</v>
      </c>
      <c r="R193" s="9" t="n">
        <f aca="false">SUMPRODUCT((Headcount!$C$5:$C$90="SALES")*Headcount!$D$5:$D$90*Headcount!$F$5:$F$90*((Headcount!$I$5:$I$90=0)+(Headcount!$I$5:$I$90=1)*$C$16)*(R$18&gt;=(Headcount!$E$5:$E$90+Headcount!$G$5:$G$90*$C$15)))/12*(1+Assumptions!$C$97)</f>
        <v>24400</v>
      </c>
      <c r="S193" s="9" t="n">
        <f aca="false">SUMPRODUCT((Headcount!$C$5:$C$90="SALES")*Headcount!$D$5:$D$90*Headcount!$F$5:$F$90*((Headcount!$I$5:$I$90=0)+(Headcount!$I$5:$I$90=1)*$C$16)*(S$18&gt;=(Headcount!$E$5:$E$90+Headcount!$G$5:$G$90*$C$15)))/12*(1+Assumptions!$C$97)</f>
        <v>24400</v>
      </c>
      <c r="T193" s="9" t="n">
        <f aca="false">SUMPRODUCT((Headcount!$C$5:$C$90="SALES")*Headcount!$D$5:$D$90*Headcount!$F$5:$F$90*((Headcount!$I$5:$I$90=0)+(Headcount!$I$5:$I$90=1)*$C$16)*(T$18&gt;=(Headcount!$E$5:$E$90+Headcount!$G$5:$G$90*$C$15)))/12*(1+Assumptions!$C$97)</f>
        <v>24400</v>
      </c>
      <c r="U193" s="9" t="n">
        <f aca="false">SUMPRODUCT((Headcount!$C$5:$C$90="SALES")*Headcount!$D$5:$D$90*Headcount!$F$5:$F$90*((Headcount!$I$5:$I$90=0)+(Headcount!$I$5:$I$90=1)*$C$16)*(U$18&gt;=(Headcount!$E$5:$E$90+Headcount!$G$5:$G$90*$C$15)))/12*(1+Assumptions!$C$97)</f>
        <v>24400</v>
      </c>
      <c r="V193" s="9" t="n">
        <f aca="false">SUMPRODUCT((Headcount!$C$5:$C$90="SALES")*Headcount!$D$5:$D$90*Headcount!$F$5:$F$90*((Headcount!$I$5:$I$90=0)+(Headcount!$I$5:$I$90=1)*$C$16)*(V$18&gt;=(Headcount!$E$5:$E$90+Headcount!$G$5:$G$90*$C$15)))/12*(1+Assumptions!$C$97)</f>
        <v>24400</v>
      </c>
      <c r="W193" s="9" t="n">
        <f aca="false">SUMPRODUCT((Headcount!$C$5:$C$90="SALES")*Headcount!$D$5:$D$90*Headcount!$F$5:$F$90*((Headcount!$I$5:$I$90=0)+(Headcount!$I$5:$I$90=1)*$C$16)*(W$18&gt;=(Headcount!$E$5:$E$90+Headcount!$G$5:$G$90*$C$15)))/12*(1+Assumptions!$C$97)</f>
        <v>24400</v>
      </c>
      <c r="X193" s="9" t="n">
        <f aca="false">SUMPRODUCT((Headcount!$C$5:$C$90="SALES")*Headcount!$D$5:$D$90*Headcount!$F$5:$F$90*((Headcount!$I$5:$I$90=0)+(Headcount!$I$5:$I$90=1)*$C$16)*(X$18&gt;=(Headcount!$E$5:$E$90+Headcount!$G$5:$G$90*$C$15)))/12*(1+Assumptions!$C$97)</f>
        <v>35583.3333333333</v>
      </c>
      <c r="Y193" s="9" t="n">
        <f aca="false">SUMPRODUCT((Headcount!$C$5:$C$90="SALES")*Headcount!$D$5:$D$90*Headcount!$F$5:$F$90*((Headcount!$I$5:$I$90=0)+(Headcount!$I$5:$I$90=1)*$C$16)*(Y$18&gt;=(Headcount!$E$5:$E$90+Headcount!$G$5:$G$90*$C$15)))/12*(1+Assumptions!$C$97)</f>
        <v>35583.3333333333</v>
      </c>
      <c r="Z193" s="9" t="n">
        <f aca="false">SUMPRODUCT((Headcount!$C$5:$C$90="SALES")*Headcount!$D$5:$D$90*Headcount!$F$5:$F$90*((Headcount!$I$5:$I$90=0)+(Headcount!$I$5:$I$90=1)*$C$16)*(Z$18&gt;=(Headcount!$E$5:$E$90+Headcount!$G$5:$G$90*$C$15)))/12*(1+Assumptions!$C$97)</f>
        <v>35583.3333333333</v>
      </c>
      <c r="AA193" s="9" t="n">
        <f aca="false">SUMPRODUCT((Headcount!$C$5:$C$90="SALES")*Headcount!$D$5:$D$90*Headcount!$F$5:$F$90*((Headcount!$I$5:$I$90=0)+(Headcount!$I$5:$I$90=1)*$C$16)*(AA$18&gt;=(Headcount!$E$5:$E$90+Headcount!$G$5:$G$90*$C$15)))/12*(1+Assumptions!$C$97)</f>
        <v>35583.3333333333</v>
      </c>
      <c r="AB193" s="9" t="n">
        <f aca="false">SUMPRODUCT((Headcount!$C$5:$C$90="SALES")*Headcount!$D$5:$D$90*Headcount!$F$5:$F$90*((Headcount!$I$5:$I$90=0)+(Headcount!$I$5:$I$90=1)*$C$16)*(AB$18&gt;=(Headcount!$E$5:$E$90+Headcount!$G$5:$G$90*$C$15)))/12*(1+Assumptions!$C$97)</f>
        <v>35583.3333333333</v>
      </c>
      <c r="AC193" s="9" t="n">
        <f aca="false">SUMPRODUCT((Headcount!$C$5:$C$90="SALES")*Headcount!$D$5:$D$90*Headcount!$F$5:$F$90*((Headcount!$I$5:$I$90=0)+(Headcount!$I$5:$I$90=1)*$C$16)*(AC$18&gt;=(Headcount!$E$5:$E$90+Headcount!$G$5:$G$90*$C$15)))/12*(1+Assumptions!$C$97)</f>
        <v>35583.3333333333</v>
      </c>
      <c r="AD193" s="9" t="n">
        <f aca="false">SUMPRODUCT((Headcount!$C$5:$C$90="SALES")*Headcount!$D$5:$D$90*Headcount!$F$5:$F$90*((Headcount!$I$5:$I$90=0)+(Headcount!$I$5:$I$90=1)*$C$16)*(AD$18&gt;=(Headcount!$E$5:$E$90+Headcount!$G$5:$G$90*$C$15)))/12*(1+Assumptions!$C$97)</f>
        <v>46766.6666666667</v>
      </c>
      <c r="AE193" s="9" t="n">
        <f aca="false">SUMPRODUCT((Headcount!$C$5:$C$90="SALES")*Headcount!$D$5:$D$90*Headcount!$F$5:$F$90*((Headcount!$I$5:$I$90=0)+(Headcount!$I$5:$I$90=1)*$C$16)*(AE$18&gt;=(Headcount!$E$5:$E$90+Headcount!$G$5:$G$90*$C$15)))/12*(1+Assumptions!$C$97)</f>
        <v>46766.6666666667</v>
      </c>
      <c r="AF193" s="9" t="n">
        <f aca="false">SUMPRODUCT((Headcount!$C$5:$C$90="SALES")*Headcount!$D$5:$D$90*Headcount!$F$5:$F$90*((Headcount!$I$5:$I$90=0)+(Headcount!$I$5:$I$90=1)*$C$16)*(AF$18&gt;=(Headcount!$E$5:$E$90+Headcount!$G$5:$G$90*$C$15)))/12*(1+Assumptions!$C$97)</f>
        <v>46766.6666666667</v>
      </c>
      <c r="AG193" s="9" t="n">
        <f aca="false">SUMPRODUCT((Headcount!$C$5:$C$90="SALES")*Headcount!$D$5:$D$90*Headcount!$F$5:$F$90*((Headcount!$I$5:$I$90=0)+(Headcount!$I$5:$I$90=1)*$C$16)*(AG$18&gt;=(Headcount!$E$5:$E$90+Headcount!$G$5:$G$90*$C$15)))/12*(1+Assumptions!$C$97)</f>
        <v>46766.6666666667</v>
      </c>
      <c r="AH193" s="9" t="n">
        <f aca="false">SUMPRODUCT((Headcount!$C$5:$C$90="SALES")*Headcount!$D$5:$D$90*Headcount!$F$5:$F$90*((Headcount!$I$5:$I$90=0)+(Headcount!$I$5:$I$90=1)*$C$16)*(AH$18&gt;=(Headcount!$E$5:$E$90+Headcount!$G$5:$G$90*$C$15)))/12*(1+Assumptions!$C$97)</f>
        <v>46766.6666666667</v>
      </c>
      <c r="AI193" s="9" t="n">
        <f aca="false">SUMPRODUCT((Headcount!$C$5:$C$90="SALES")*Headcount!$D$5:$D$90*Headcount!$F$5:$F$90*((Headcount!$I$5:$I$90=0)+(Headcount!$I$5:$I$90=1)*$C$16)*(AI$18&gt;=(Headcount!$E$5:$E$90+Headcount!$G$5:$G$90*$C$15)))/12*(1+Assumptions!$C$97)</f>
        <v>46766.6666666667</v>
      </c>
      <c r="AJ193" s="9" t="n">
        <f aca="false">SUMPRODUCT((Headcount!$C$5:$C$90="SALES")*Headcount!$D$5:$D$90*Headcount!$F$5:$F$90*((Headcount!$I$5:$I$90=0)+(Headcount!$I$5:$I$90=1)*$C$16)*(AJ$18&gt;=(Headcount!$E$5:$E$90+Headcount!$G$5:$G$90*$C$15)))/12*(1+Assumptions!$C$97)</f>
        <v>46766.6666666667</v>
      </c>
      <c r="AK193" s="9" t="n">
        <f aca="false">SUMPRODUCT((Headcount!$C$5:$C$90="SALES")*Headcount!$D$5:$D$90*Headcount!$F$5:$F$90*((Headcount!$I$5:$I$90=0)+(Headcount!$I$5:$I$90=1)*$C$16)*(AK$18&gt;=(Headcount!$E$5:$E$90+Headcount!$G$5:$G$90*$C$15)))/12*(1+Assumptions!$C$97)</f>
        <v>46766.6666666667</v>
      </c>
      <c r="AL193" s="9" t="n">
        <f aca="false">SUMPRODUCT((Headcount!$C$5:$C$90="SALES")*Headcount!$D$5:$D$90*Headcount!$F$5:$F$90*((Headcount!$I$5:$I$90=0)+(Headcount!$I$5:$I$90=1)*$C$16)*(AL$18&gt;=(Headcount!$E$5:$E$90+Headcount!$G$5:$G$90*$C$15)))/12*(1+Assumptions!$C$97)</f>
        <v>46766.6666666667</v>
      </c>
      <c r="AN193" s="11" t="n">
        <f aca="false">SUM(C193:N193)</f>
        <v>22366.6666666667</v>
      </c>
      <c r="AO193" s="11" t="n">
        <f aca="false">SUM(O193:Z193)</f>
        <v>326350</v>
      </c>
      <c r="AP193" s="11" t="n">
        <f aca="false">SUM(AA193:AL193)</f>
        <v>527650</v>
      </c>
    </row>
    <row r="194" customFormat="false" ht="15" hidden="false" customHeight="false" outlineLevel="0" collapsed="false">
      <c r="A194" s="0" t="s">
        <v>995</v>
      </c>
      <c r="B194" s="0" t="s">
        <v>230</v>
      </c>
      <c r="C194" s="9" t="n">
        <f aca="false">SUMPRODUCT((Headcount!$C$5:$C$90="MKT")*Headcount!$D$5:$D$90*Headcount!$F$5:$F$90*((Headcount!$I$5:$I$90=0)+(Headcount!$I$5:$I$90=1)*$C$16)*(C$18&gt;=(Headcount!$E$5:$E$90+Headcount!$G$5:$G$90*$C$15)))/12*(1+Assumptions!$C$97)</f>
        <v>0</v>
      </c>
      <c r="D194" s="9" t="n">
        <f aca="false">SUMPRODUCT((Headcount!$C$5:$C$90="MKT")*Headcount!$D$5:$D$90*Headcount!$F$5:$F$90*((Headcount!$I$5:$I$90=0)+(Headcount!$I$5:$I$90=1)*$C$16)*(D$18&gt;=(Headcount!$E$5:$E$90+Headcount!$G$5:$G$90*$C$15)))/12*(1+Assumptions!$C$97)</f>
        <v>0</v>
      </c>
      <c r="E194" s="9" t="n">
        <f aca="false">SUMPRODUCT((Headcount!$C$5:$C$90="MKT")*Headcount!$D$5:$D$90*Headcount!$F$5:$F$90*((Headcount!$I$5:$I$90=0)+(Headcount!$I$5:$I$90=1)*$C$16)*(E$18&gt;=(Headcount!$E$5:$E$90+Headcount!$G$5:$G$90*$C$15)))/12*(1+Assumptions!$C$97)</f>
        <v>0</v>
      </c>
      <c r="F194" s="9" t="n">
        <f aca="false">SUMPRODUCT((Headcount!$C$5:$C$90="MKT")*Headcount!$D$5:$D$90*Headcount!$F$5:$F$90*((Headcount!$I$5:$I$90=0)+(Headcount!$I$5:$I$90=1)*$C$16)*(F$18&gt;=(Headcount!$E$5:$E$90+Headcount!$G$5:$G$90*$C$15)))/12*(1+Assumptions!$C$97)</f>
        <v>0</v>
      </c>
      <c r="G194" s="9" t="n">
        <f aca="false">SUMPRODUCT((Headcount!$C$5:$C$90="MKT")*Headcount!$D$5:$D$90*Headcount!$F$5:$F$90*((Headcount!$I$5:$I$90=0)+(Headcount!$I$5:$I$90=1)*$C$16)*(G$18&gt;=(Headcount!$E$5:$E$90+Headcount!$G$5:$G$90*$C$15)))/12*(1+Assumptions!$C$97)</f>
        <v>0</v>
      </c>
      <c r="H194" s="9" t="n">
        <f aca="false">SUMPRODUCT((Headcount!$C$5:$C$90="MKT")*Headcount!$D$5:$D$90*Headcount!$F$5:$F$90*((Headcount!$I$5:$I$90=0)+(Headcount!$I$5:$I$90=1)*$C$16)*(H$18&gt;=(Headcount!$E$5:$E$90+Headcount!$G$5:$G$90*$C$15)))/12*(1+Assumptions!$C$97)</f>
        <v>10675</v>
      </c>
      <c r="I194" s="9" t="n">
        <f aca="false">SUMPRODUCT((Headcount!$C$5:$C$90="MKT")*Headcount!$D$5:$D$90*Headcount!$F$5:$F$90*((Headcount!$I$5:$I$90=0)+(Headcount!$I$5:$I$90=1)*$C$16)*(I$18&gt;=(Headcount!$E$5:$E$90+Headcount!$G$5:$G$90*$C$15)))/12*(1+Assumptions!$C$97)</f>
        <v>10675</v>
      </c>
      <c r="J194" s="9" t="n">
        <f aca="false">SUMPRODUCT((Headcount!$C$5:$C$90="MKT")*Headcount!$D$5:$D$90*Headcount!$F$5:$F$90*((Headcount!$I$5:$I$90=0)+(Headcount!$I$5:$I$90=1)*$C$16)*(J$18&gt;=(Headcount!$E$5:$E$90+Headcount!$G$5:$G$90*$C$15)))/12*(1+Assumptions!$C$97)</f>
        <v>10675</v>
      </c>
      <c r="K194" s="9" t="n">
        <f aca="false">SUMPRODUCT((Headcount!$C$5:$C$90="MKT")*Headcount!$D$5:$D$90*Headcount!$F$5:$F$90*((Headcount!$I$5:$I$90=0)+(Headcount!$I$5:$I$90=1)*$C$16)*(K$18&gt;=(Headcount!$E$5:$E$90+Headcount!$G$5:$G$90*$C$15)))/12*(1+Assumptions!$C$97)</f>
        <v>10675</v>
      </c>
      <c r="L194" s="9" t="n">
        <f aca="false">SUMPRODUCT((Headcount!$C$5:$C$90="MKT")*Headcount!$D$5:$D$90*Headcount!$F$5:$F$90*((Headcount!$I$5:$I$90=0)+(Headcount!$I$5:$I$90=1)*$C$16)*(L$18&gt;=(Headcount!$E$5:$E$90+Headcount!$G$5:$G$90*$C$15)))/12*(1+Assumptions!$C$97)</f>
        <v>10675</v>
      </c>
      <c r="M194" s="9" t="n">
        <f aca="false">SUMPRODUCT((Headcount!$C$5:$C$90="MKT")*Headcount!$D$5:$D$90*Headcount!$F$5:$F$90*((Headcount!$I$5:$I$90=0)+(Headcount!$I$5:$I$90=1)*$C$16)*(M$18&gt;=(Headcount!$E$5:$E$90+Headcount!$G$5:$G$90*$C$15)))/12*(1+Assumptions!$C$97)</f>
        <v>10675</v>
      </c>
      <c r="N194" s="9" t="n">
        <f aca="false">SUMPRODUCT((Headcount!$C$5:$C$90="MKT")*Headcount!$D$5:$D$90*Headcount!$F$5:$F$90*((Headcount!$I$5:$I$90=0)+(Headcount!$I$5:$I$90=1)*$C$16)*(N$18&gt;=(Headcount!$E$5:$E$90+Headcount!$G$5:$G$90*$C$15)))/12*(1+Assumptions!$C$97)</f>
        <v>17283.3333333333</v>
      </c>
      <c r="O194" s="9" t="n">
        <f aca="false">SUMPRODUCT((Headcount!$C$5:$C$90="MKT")*Headcount!$D$5:$D$90*Headcount!$F$5:$F$90*((Headcount!$I$5:$I$90=0)+(Headcount!$I$5:$I$90=1)*$C$16)*(O$18&gt;=(Headcount!$E$5:$E$90+Headcount!$G$5:$G$90*$C$15)))/12*(1+Assumptions!$C$97)</f>
        <v>17283.3333333333</v>
      </c>
      <c r="P194" s="9" t="n">
        <f aca="false">SUMPRODUCT((Headcount!$C$5:$C$90="MKT")*Headcount!$D$5:$D$90*Headcount!$F$5:$F$90*((Headcount!$I$5:$I$90=0)+(Headcount!$I$5:$I$90=1)*$C$16)*(P$18&gt;=(Headcount!$E$5:$E$90+Headcount!$G$5:$G$90*$C$15)))/12*(1+Assumptions!$C$97)</f>
        <v>17283.3333333333</v>
      </c>
      <c r="Q194" s="9" t="n">
        <f aca="false">SUMPRODUCT((Headcount!$C$5:$C$90="MKT")*Headcount!$D$5:$D$90*Headcount!$F$5:$F$90*((Headcount!$I$5:$I$90=0)+(Headcount!$I$5:$I$90=1)*$C$16)*(Q$18&gt;=(Headcount!$E$5:$E$90+Headcount!$G$5:$G$90*$C$15)))/12*(1+Assumptions!$C$97)</f>
        <v>17283.3333333333</v>
      </c>
      <c r="R194" s="9" t="n">
        <f aca="false">SUMPRODUCT((Headcount!$C$5:$C$90="MKT")*Headcount!$D$5:$D$90*Headcount!$F$5:$F$90*((Headcount!$I$5:$I$90=0)+(Headcount!$I$5:$I$90=1)*$C$16)*(R$18&gt;=(Headcount!$E$5:$E$90+Headcount!$G$5:$G$90*$C$15)))/12*(1+Assumptions!$C$97)</f>
        <v>17283.3333333333</v>
      </c>
      <c r="S194" s="9" t="n">
        <f aca="false">SUMPRODUCT((Headcount!$C$5:$C$90="MKT")*Headcount!$D$5:$D$90*Headcount!$F$5:$F$90*((Headcount!$I$5:$I$90=0)+(Headcount!$I$5:$I$90=1)*$C$16)*(S$18&gt;=(Headcount!$E$5:$E$90+Headcount!$G$5:$G$90*$C$15)))/12*(1+Assumptions!$C$97)</f>
        <v>17283.3333333333</v>
      </c>
      <c r="T194" s="9" t="n">
        <f aca="false">SUMPRODUCT((Headcount!$C$5:$C$90="MKT")*Headcount!$D$5:$D$90*Headcount!$F$5:$F$90*((Headcount!$I$5:$I$90=0)+(Headcount!$I$5:$I$90=1)*$C$16)*(T$18&gt;=(Headcount!$E$5:$E$90+Headcount!$G$5:$G$90*$C$15)))/12*(1+Assumptions!$C$97)</f>
        <v>17283.3333333333</v>
      </c>
      <c r="U194" s="9" t="n">
        <f aca="false">SUMPRODUCT((Headcount!$C$5:$C$90="MKT")*Headcount!$D$5:$D$90*Headcount!$F$5:$F$90*((Headcount!$I$5:$I$90=0)+(Headcount!$I$5:$I$90=1)*$C$16)*(U$18&gt;=(Headcount!$E$5:$E$90+Headcount!$G$5:$G$90*$C$15)))/12*(1+Assumptions!$C$97)</f>
        <v>17283.3333333333</v>
      </c>
      <c r="V194" s="9" t="n">
        <f aca="false">SUMPRODUCT((Headcount!$C$5:$C$90="MKT")*Headcount!$D$5:$D$90*Headcount!$F$5:$F$90*((Headcount!$I$5:$I$90=0)+(Headcount!$I$5:$I$90=1)*$C$16)*(V$18&gt;=(Headcount!$E$5:$E$90+Headcount!$G$5:$G$90*$C$15)))/12*(1+Assumptions!$C$97)</f>
        <v>25925</v>
      </c>
      <c r="W194" s="9" t="n">
        <f aca="false">SUMPRODUCT((Headcount!$C$5:$C$90="MKT")*Headcount!$D$5:$D$90*Headcount!$F$5:$F$90*((Headcount!$I$5:$I$90=0)+(Headcount!$I$5:$I$90=1)*$C$16)*(W$18&gt;=(Headcount!$E$5:$E$90+Headcount!$G$5:$G$90*$C$15)))/12*(1+Assumptions!$C$97)</f>
        <v>25925</v>
      </c>
      <c r="X194" s="9" t="n">
        <f aca="false">SUMPRODUCT((Headcount!$C$5:$C$90="MKT")*Headcount!$D$5:$D$90*Headcount!$F$5:$F$90*((Headcount!$I$5:$I$90=0)+(Headcount!$I$5:$I$90=1)*$C$16)*(X$18&gt;=(Headcount!$E$5:$E$90+Headcount!$G$5:$G$90*$C$15)))/12*(1+Assumptions!$C$97)</f>
        <v>25925</v>
      </c>
      <c r="Y194" s="9" t="n">
        <f aca="false">SUMPRODUCT((Headcount!$C$5:$C$90="MKT")*Headcount!$D$5:$D$90*Headcount!$F$5:$F$90*((Headcount!$I$5:$I$90=0)+(Headcount!$I$5:$I$90=1)*$C$16)*(Y$18&gt;=(Headcount!$E$5:$E$90+Headcount!$G$5:$G$90*$C$15)))/12*(1+Assumptions!$C$97)</f>
        <v>25925</v>
      </c>
      <c r="Z194" s="9" t="n">
        <f aca="false">SUMPRODUCT((Headcount!$C$5:$C$90="MKT")*Headcount!$D$5:$D$90*Headcount!$F$5:$F$90*((Headcount!$I$5:$I$90=0)+(Headcount!$I$5:$I$90=1)*$C$16)*(Z$18&gt;=(Headcount!$E$5:$E$90+Headcount!$G$5:$G$90*$C$15)))/12*(1+Assumptions!$C$97)</f>
        <v>25925</v>
      </c>
      <c r="AA194" s="9" t="n">
        <f aca="false">SUMPRODUCT((Headcount!$C$5:$C$90="MKT")*Headcount!$D$5:$D$90*Headcount!$F$5:$F$90*((Headcount!$I$5:$I$90=0)+(Headcount!$I$5:$I$90=1)*$C$16)*(AA$18&gt;=(Headcount!$E$5:$E$90+Headcount!$G$5:$G$90*$C$15)))/12*(1+Assumptions!$C$97)</f>
        <v>25925</v>
      </c>
      <c r="AB194" s="9" t="n">
        <f aca="false">SUMPRODUCT((Headcount!$C$5:$C$90="MKT")*Headcount!$D$5:$D$90*Headcount!$F$5:$F$90*((Headcount!$I$5:$I$90=0)+(Headcount!$I$5:$I$90=1)*$C$16)*(AB$18&gt;=(Headcount!$E$5:$E$90+Headcount!$G$5:$G$90*$C$15)))/12*(1+Assumptions!$C$97)</f>
        <v>25925</v>
      </c>
      <c r="AC194" s="9" t="n">
        <f aca="false">SUMPRODUCT((Headcount!$C$5:$C$90="MKT")*Headcount!$D$5:$D$90*Headcount!$F$5:$F$90*((Headcount!$I$5:$I$90=0)+(Headcount!$I$5:$I$90=1)*$C$16)*(AC$18&gt;=(Headcount!$E$5:$E$90+Headcount!$G$5:$G$90*$C$15)))/12*(1+Assumptions!$C$97)</f>
        <v>25925</v>
      </c>
      <c r="AD194" s="9" t="n">
        <f aca="false">SUMPRODUCT((Headcount!$C$5:$C$90="MKT")*Headcount!$D$5:$D$90*Headcount!$F$5:$F$90*((Headcount!$I$5:$I$90=0)+(Headcount!$I$5:$I$90=1)*$C$16)*(AD$18&gt;=(Headcount!$E$5:$E$90+Headcount!$G$5:$G$90*$C$15)))/12*(1+Assumptions!$C$97)</f>
        <v>25925</v>
      </c>
      <c r="AE194" s="9" t="n">
        <f aca="false">SUMPRODUCT((Headcount!$C$5:$C$90="MKT")*Headcount!$D$5:$D$90*Headcount!$F$5:$F$90*((Headcount!$I$5:$I$90=0)+(Headcount!$I$5:$I$90=1)*$C$16)*(AE$18&gt;=(Headcount!$E$5:$E$90+Headcount!$G$5:$G$90*$C$15)))/12*(1+Assumptions!$C$97)</f>
        <v>25925</v>
      </c>
      <c r="AF194" s="9" t="n">
        <f aca="false">SUMPRODUCT((Headcount!$C$5:$C$90="MKT")*Headcount!$D$5:$D$90*Headcount!$F$5:$F$90*((Headcount!$I$5:$I$90=0)+(Headcount!$I$5:$I$90=1)*$C$16)*(AF$18&gt;=(Headcount!$E$5:$E$90+Headcount!$G$5:$G$90*$C$15)))/12*(1+Assumptions!$C$97)</f>
        <v>25925</v>
      </c>
      <c r="AG194" s="9" t="n">
        <f aca="false">SUMPRODUCT((Headcount!$C$5:$C$90="MKT")*Headcount!$D$5:$D$90*Headcount!$F$5:$F$90*((Headcount!$I$5:$I$90=0)+(Headcount!$I$5:$I$90=1)*$C$16)*(AG$18&gt;=(Headcount!$E$5:$E$90+Headcount!$G$5:$G$90*$C$15)))/12*(1+Assumptions!$C$97)</f>
        <v>25925</v>
      </c>
      <c r="AH194" s="9" t="n">
        <f aca="false">SUMPRODUCT((Headcount!$C$5:$C$90="MKT")*Headcount!$D$5:$D$90*Headcount!$F$5:$F$90*((Headcount!$I$5:$I$90=0)+(Headcount!$I$5:$I$90=1)*$C$16)*(AH$18&gt;=(Headcount!$E$5:$E$90+Headcount!$G$5:$G$90*$C$15)))/12*(1+Assumptions!$C$97)</f>
        <v>25925</v>
      </c>
      <c r="AI194" s="9" t="n">
        <f aca="false">SUMPRODUCT((Headcount!$C$5:$C$90="MKT")*Headcount!$D$5:$D$90*Headcount!$F$5:$F$90*((Headcount!$I$5:$I$90=0)+(Headcount!$I$5:$I$90=1)*$C$16)*(AI$18&gt;=(Headcount!$E$5:$E$90+Headcount!$G$5:$G$90*$C$15)))/12*(1+Assumptions!$C$97)</f>
        <v>25925</v>
      </c>
      <c r="AJ194" s="9" t="n">
        <f aca="false">SUMPRODUCT((Headcount!$C$5:$C$90="MKT")*Headcount!$D$5:$D$90*Headcount!$F$5:$F$90*((Headcount!$I$5:$I$90=0)+(Headcount!$I$5:$I$90=1)*$C$16)*(AJ$18&gt;=(Headcount!$E$5:$E$90+Headcount!$G$5:$G$90*$C$15)))/12*(1+Assumptions!$C$97)</f>
        <v>25925</v>
      </c>
      <c r="AK194" s="9" t="n">
        <f aca="false">SUMPRODUCT((Headcount!$C$5:$C$90="MKT")*Headcount!$D$5:$D$90*Headcount!$F$5:$F$90*((Headcount!$I$5:$I$90=0)+(Headcount!$I$5:$I$90=1)*$C$16)*(AK$18&gt;=(Headcount!$E$5:$E$90+Headcount!$G$5:$G$90*$C$15)))/12*(1+Assumptions!$C$97)</f>
        <v>25925</v>
      </c>
      <c r="AL194" s="9" t="n">
        <f aca="false">SUMPRODUCT((Headcount!$C$5:$C$90="MKT")*Headcount!$D$5:$D$90*Headcount!$F$5:$F$90*((Headcount!$I$5:$I$90=0)+(Headcount!$I$5:$I$90=1)*$C$16)*(AL$18&gt;=(Headcount!$E$5:$E$90+Headcount!$G$5:$G$90*$C$15)))/12*(1+Assumptions!$C$97)</f>
        <v>25925</v>
      </c>
      <c r="AN194" s="11" t="n">
        <f aca="false">SUM(C194:N194)</f>
        <v>81333.3333333333</v>
      </c>
      <c r="AO194" s="11" t="n">
        <f aca="false">SUM(O194:Z194)</f>
        <v>250608.333333333</v>
      </c>
      <c r="AP194" s="11" t="n">
        <f aca="false">SUM(AA194:AL194)</f>
        <v>311100</v>
      </c>
    </row>
    <row r="195" customFormat="false" ht="15" hidden="false" customHeight="false" outlineLevel="0" collapsed="false">
      <c r="A195" s="0" t="s">
        <v>996</v>
      </c>
      <c r="B195" s="0" t="s">
        <v>230</v>
      </c>
      <c r="C195" s="9" t="n">
        <f aca="false">SUMPRODUCT((Headcount!$C$5:$C$90="GA")*Headcount!$D$5:$D$90*Headcount!$F$5:$F$90*((Headcount!$I$5:$I$90=0)+(Headcount!$I$5:$I$90=1)*$C$16)*(C$18&gt;=(Headcount!$E$5:$E$90+Headcount!$G$5:$G$90*$C$15)))/12*(1+Assumptions!$C$97)</f>
        <v>15250</v>
      </c>
      <c r="D195" s="9" t="n">
        <f aca="false">SUMPRODUCT((Headcount!$C$5:$C$90="GA")*Headcount!$D$5:$D$90*Headcount!$F$5:$F$90*((Headcount!$I$5:$I$90=0)+(Headcount!$I$5:$I$90=1)*$C$16)*(D$18&gt;=(Headcount!$E$5:$E$90+Headcount!$G$5:$G$90*$C$15)))/12*(1+Assumptions!$C$97)</f>
        <v>15250</v>
      </c>
      <c r="E195" s="9" t="n">
        <f aca="false">SUMPRODUCT((Headcount!$C$5:$C$90="GA")*Headcount!$D$5:$D$90*Headcount!$F$5:$F$90*((Headcount!$I$5:$I$90=0)+(Headcount!$I$5:$I$90=1)*$C$16)*(E$18&gt;=(Headcount!$E$5:$E$90+Headcount!$G$5:$G$90*$C$15)))/12*(1+Assumptions!$C$97)</f>
        <v>15250</v>
      </c>
      <c r="F195" s="9" t="n">
        <f aca="false">SUMPRODUCT((Headcount!$C$5:$C$90="GA")*Headcount!$D$5:$D$90*Headcount!$F$5:$F$90*((Headcount!$I$5:$I$90=0)+(Headcount!$I$5:$I$90=1)*$C$16)*(F$18&gt;=(Headcount!$E$5:$E$90+Headcount!$G$5:$G$90*$C$15)))/12*(1+Assumptions!$C$97)</f>
        <v>15250</v>
      </c>
      <c r="G195" s="9" t="n">
        <f aca="false">SUMPRODUCT((Headcount!$C$5:$C$90="GA")*Headcount!$D$5:$D$90*Headcount!$F$5:$F$90*((Headcount!$I$5:$I$90=0)+(Headcount!$I$5:$I$90=1)*$C$16)*(G$18&gt;=(Headcount!$E$5:$E$90+Headcount!$G$5:$G$90*$C$15)))/12*(1+Assumptions!$C$97)</f>
        <v>15250</v>
      </c>
      <c r="H195" s="9" t="n">
        <f aca="false">SUMPRODUCT((Headcount!$C$5:$C$90="GA")*Headcount!$D$5:$D$90*Headcount!$F$5:$F$90*((Headcount!$I$5:$I$90=0)+(Headcount!$I$5:$I$90=1)*$C$16)*(H$18&gt;=(Headcount!$E$5:$E$90+Headcount!$G$5:$G$90*$C$15)))/12*(1+Assumptions!$C$97)</f>
        <v>15250</v>
      </c>
      <c r="I195" s="9" t="n">
        <f aca="false">SUMPRODUCT((Headcount!$C$5:$C$90="GA")*Headcount!$D$5:$D$90*Headcount!$F$5:$F$90*((Headcount!$I$5:$I$90=0)+(Headcount!$I$5:$I$90=1)*$C$16)*(I$18&gt;=(Headcount!$E$5:$E$90+Headcount!$G$5:$G$90*$C$15)))/12*(1+Assumptions!$C$97)</f>
        <v>15250</v>
      </c>
      <c r="J195" s="9" t="n">
        <f aca="false">SUMPRODUCT((Headcount!$C$5:$C$90="GA")*Headcount!$D$5:$D$90*Headcount!$F$5:$F$90*((Headcount!$I$5:$I$90=0)+(Headcount!$I$5:$I$90=1)*$C$16)*(J$18&gt;=(Headcount!$E$5:$E$90+Headcount!$G$5:$G$90*$C$15)))/12*(1+Assumptions!$C$97)</f>
        <v>15250</v>
      </c>
      <c r="K195" s="9" t="n">
        <f aca="false">SUMPRODUCT((Headcount!$C$5:$C$90="GA")*Headcount!$D$5:$D$90*Headcount!$F$5:$F$90*((Headcount!$I$5:$I$90=0)+(Headcount!$I$5:$I$90=1)*$C$16)*(K$18&gt;=(Headcount!$E$5:$E$90+Headcount!$G$5:$G$90*$C$15)))/12*(1+Assumptions!$C$97)</f>
        <v>27958.3333333333</v>
      </c>
      <c r="L195" s="9" t="n">
        <f aca="false">SUMPRODUCT((Headcount!$C$5:$C$90="GA")*Headcount!$D$5:$D$90*Headcount!$F$5:$F$90*((Headcount!$I$5:$I$90=0)+(Headcount!$I$5:$I$90=1)*$C$16)*(L$18&gt;=(Headcount!$E$5:$E$90+Headcount!$G$5:$G$90*$C$15)))/12*(1+Assumptions!$C$97)</f>
        <v>27958.3333333333</v>
      </c>
      <c r="M195" s="9" t="n">
        <f aca="false">SUMPRODUCT((Headcount!$C$5:$C$90="GA")*Headcount!$D$5:$D$90*Headcount!$F$5:$F$90*((Headcount!$I$5:$I$90=0)+(Headcount!$I$5:$I$90=1)*$C$16)*(M$18&gt;=(Headcount!$E$5:$E$90+Headcount!$G$5:$G$90*$C$15)))/12*(1+Assumptions!$C$97)</f>
        <v>27958.3333333333</v>
      </c>
      <c r="N195" s="9" t="n">
        <f aca="false">SUMPRODUCT((Headcount!$C$5:$C$90="GA")*Headcount!$D$5:$D$90*Headcount!$F$5:$F$90*((Headcount!$I$5:$I$90=0)+(Headcount!$I$5:$I$90=1)*$C$16)*(N$18&gt;=(Headcount!$E$5:$E$90+Headcount!$G$5:$G$90*$C$15)))/12*(1+Assumptions!$C$97)</f>
        <v>27958.3333333333</v>
      </c>
      <c r="O195" s="9" t="n">
        <f aca="false">SUMPRODUCT((Headcount!$C$5:$C$90="GA")*Headcount!$D$5:$D$90*Headcount!$F$5:$F$90*((Headcount!$I$5:$I$90=0)+(Headcount!$I$5:$I$90=1)*$C$16)*(O$18&gt;=(Headcount!$E$5:$E$90+Headcount!$G$5:$G$90*$C$15)))/12*(1+Assumptions!$C$97)</f>
        <v>27958.3333333333</v>
      </c>
      <c r="P195" s="9" t="n">
        <f aca="false">SUMPRODUCT((Headcount!$C$5:$C$90="GA")*Headcount!$D$5:$D$90*Headcount!$F$5:$F$90*((Headcount!$I$5:$I$90=0)+(Headcount!$I$5:$I$90=1)*$C$16)*(P$18&gt;=(Headcount!$E$5:$E$90+Headcount!$G$5:$G$90*$C$15)))/12*(1+Assumptions!$C$97)</f>
        <v>27958.3333333333</v>
      </c>
      <c r="Q195" s="9" t="n">
        <f aca="false">SUMPRODUCT((Headcount!$C$5:$C$90="GA")*Headcount!$D$5:$D$90*Headcount!$F$5:$F$90*((Headcount!$I$5:$I$90=0)+(Headcount!$I$5:$I$90=1)*$C$16)*(Q$18&gt;=(Headcount!$E$5:$E$90+Headcount!$G$5:$G$90*$C$15)))/12*(1+Assumptions!$C$97)</f>
        <v>40158.3333333333</v>
      </c>
      <c r="R195" s="9" t="n">
        <f aca="false">SUMPRODUCT((Headcount!$C$5:$C$90="GA")*Headcount!$D$5:$D$90*Headcount!$F$5:$F$90*((Headcount!$I$5:$I$90=0)+(Headcount!$I$5:$I$90=1)*$C$16)*(R$18&gt;=(Headcount!$E$5:$E$90+Headcount!$G$5:$G$90*$C$15)))/12*(1+Assumptions!$C$97)</f>
        <v>40158.3333333333</v>
      </c>
      <c r="S195" s="9" t="n">
        <f aca="false">SUMPRODUCT((Headcount!$C$5:$C$90="GA")*Headcount!$D$5:$D$90*Headcount!$F$5:$F$90*((Headcount!$I$5:$I$90=0)+(Headcount!$I$5:$I$90=1)*$C$16)*(S$18&gt;=(Headcount!$E$5:$E$90+Headcount!$G$5:$G$90*$C$15)))/12*(1+Assumptions!$C$97)</f>
        <v>40158.3333333333</v>
      </c>
      <c r="T195" s="9" t="n">
        <f aca="false">SUMPRODUCT((Headcount!$C$5:$C$90="GA")*Headcount!$D$5:$D$90*Headcount!$F$5:$F$90*((Headcount!$I$5:$I$90=0)+(Headcount!$I$5:$I$90=1)*$C$16)*(T$18&gt;=(Headcount!$E$5:$E$90+Headcount!$G$5:$G$90*$C$15)))/12*(1+Assumptions!$C$97)</f>
        <v>40158.3333333333</v>
      </c>
      <c r="U195" s="9" t="n">
        <f aca="false">SUMPRODUCT((Headcount!$C$5:$C$90="GA")*Headcount!$D$5:$D$90*Headcount!$F$5:$F$90*((Headcount!$I$5:$I$90=0)+(Headcount!$I$5:$I$90=1)*$C$16)*(U$18&gt;=(Headcount!$E$5:$E$90+Headcount!$G$5:$G$90*$C$15)))/12*(1+Assumptions!$C$97)</f>
        <v>40158.3333333333</v>
      </c>
      <c r="V195" s="9" t="n">
        <f aca="false">SUMPRODUCT((Headcount!$C$5:$C$90="GA")*Headcount!$D$5:$D$90*Headcount!$F$5:$F$90*((Headcount!$I$5:$I$90=0)+(Headcount!$I$5:$I$90=1)*$C$16)*(V$18&gt;=(Headcount!$E$5:$E$90+Headcount!$G$5:$G$90*$C$15)))/12*(1+Assumptions!$C$97)</f>
        <v>40158.3333333333</v>
      </c>
      <c r="W195" s="9" t="n">
        <f aca="false">SUMPRODUCT((Headcount!$C$5:$C$90="GA")*Headcount!$D$5:$D$90*Headcount!$F$5:$F$90*((Headcount!$I$5:$I$90=0)+(Headcount!$I$5:$I$90=1)*$C$16)*(W$18&gt;=(Headcount!$E$5:$E$90+Headcount!$G$5:$G$90*$C$15)))/12*(1+Assumptions!$C$97)</f>
        <v>40158.3333333333</v>
      </c>
      <c r="X195" s="9" t="n">
        <f aca="false">SUMPRODUCT((Headcount!$C$5:$C$90="GA")*Headcount!$D$5:$D$90*Headcount!$F$5:$F$90*((Headcount!$I$5:$I$90=0)+(Headcount!$I$5:$I$90=1)*$C$16)*(X$18&gt;=(Headcount!$E$5:$E$90+Headcount!$G$5:$G$90*$C$15)))/12*(1+Assumptions!$C$97)</f>
        <v>40158.3333333333</v>
      </c>
      <c r="Y195" s="9" t="n">
        <f aca="false">SUMPRODUCT((Headcount!$C$5:$C$90="GA")*Headcount!$D$5:$D$90*Headcount!$F$5:$F$90*((Headcount!$I$5:$I$90=0)+(Headcount!$I$5:$I$90=1)*$C$16)*(Y$18&gt;=(Headcount!$E$5:$E$90+Headcount!$G$5:$G$90*$C$15)))/12*(1+Assumptions!$C$97)</f>
        <v>40158.3333333333</v>
      </c>
      <c r="Z195" s="9" t="n">
        <f aca="false">SUMPRODUCT((Headcount!$C$5:$C$90="GA")*Headcount!$D$5:$D$90*Headcount!$F$5:$F$90*((Headcount!$I$5:$I$90=0)+(Headcount!$I$5:$I$90=1)*$C$16)*(Z$18&gt;=(Headcount!$E$5:$E$90+Headcount!$G$5:$G$90*$C$15)))/12*(1+Assumptions!$C$97)</f>
        <v>48800</v>
      </c>
      <c r="AA195" s="9" t="n">
        <f aca="false">SUMPRODUCT((Headcount!$C$5:$C$90="GA")*Headcount!$D$5:$D$90*Headcount!$F$5:$F$90*((Headcount!$I$5:$I$90=0)+(Headcount!$I$5:$I$90=1)*$C$16)*(AA$18&gt;=(Headcount!$E$5:$E$90+Headcount!$G$5:$G$90*$C$15)))/12*(1+Assumptions!$C$97)</f>
        <v>48800</v>
      </c>
      <c r="AB195" s="9" t="n">
        <f aca="false">SUMPRODUCT((Headcount!$C$5:$C$90="GA")*Headcount!$D$5:$D$90*Headcount!$F$5:$F$90*((Headcount!$I$5:$I$90=0)+(Headcount!$I$5:$I$90=1)*$C$16)*(AB$18&gt;=(Headcount!$E$5:$E$90+Headcount!$G$5:$G$90*$C$15)))/12*(1+Assumptions!$C$97)</f>
        <v>48800</v>
      </c>
      <c r="AC195" s="9" t="n">
        <f aca="false">SUMPRODUCT((Headcount!$C$5:$C$90="GA")*Headcount!$D$5:$D$90*Headcount!$F$5:$F$90*((Headcount!$I$5:$I$90=0)+(Headcount!$I$5:$I$90=1)*$C$16)*(AC$18&gt;=(Headcount!$E$5:$E$90+Headcount!$G$5:$G$90*$C$15)))/12*(1+Assumptions!$C$97)</f>
        <v>48800</v>
      </c>
      <c r="AD195" s="9" t="n">
        <f aca="false">SUMPRODUCT((Headcount!$C$5:$C$90="GA")*Headcount!$D$5:$D$90*Headcount!$F$5:$F$90*((Headcount!$I$5:$I$90=0)+(Headcount!$I$5:$I$90=1)*$C$16)*(AD$18&gt;=(Headcount!$E$5:$E$90+Headcount!$G$5:$G$90*$C$15)))/12*(1+Assumptions!$C$97)</f>
        <v>48800</v>
      </c>
      <c r="AE195" s="9" t="n">
        <f aca="false">SUMPRODUCT((Headcount!$C$5:$C$90="GA")*Headcount!$D$5:$D$90*Headcount!$F$5:$F$90*((Headcount!$I$5:$I$90=0)+(Headcount!$I$5:$I$90=1)*$C$16)*(AE$18&gt;=(Headcount!$E$5:$E$90+Headcount!$G$5:$G$90*$C$15)))/12*(1+Assumptions!$C$97)</f>
        <v>48800</v>
      </c>
      <c r="AF195" s="9" t="n">
        <f aca="false">SUMPRODUCT((Headcount!$C$5:$C$90="GA")*Headcount!$D$5:$D$90*Headcount!$F$5:$F$90*((Headcount!$I$5:$I$90=0)+(Headcount!$I$5:$I$90=1)*$C$16)*(AF$18&gt;=(Headcount!$E$5:$E$90+Headcount!$G$5:$G$90*$C$15)))/12*(1+Assumptions!$C$97)</f>
        <v>48800</v>
      </c>
      <c r="AG195" s="9" t="n">
        <f aca="false">SUMPRODUCT((Headcount!$C$5:$C$90="GA")*Headcount!$D$5:$D$90*Headcount!$F$5:$F$90*((Headcount!$I$5:$I$90=0)+(Headcount!$I$5:$I$90=1)*$C$16)*(AG$18&gt;=(Headcount!$E$5:$E$90+Headcount!$G$5:$G$90*$C$15)))/12*(1+Assumptions!$C$97)</f>
        <v>48800</v>
      </c>
      <c r="AH195" s="9" t="n">
        <f aca="false">SUMPRODUCT((Headcount!$C$5:$C$90="GA")*Headcount!$D$5:$D$90*Headcount!$F$5:$F$90*((Headcount!$I$5:$I$90=0)+(Headcount!$I$5:$I$90=1)*$C$16)*(AH$18&gt;=(Headcount!$E$5:$E$90+Headcount!$G$5:$G$90*$C$15)))/12*(1+Assumptions!$C$97)</f>
        <v>48800</v>
      </c>
      <c r="AI195" s="9" t="n">
        <f aca="false">SUMPRODUCT((Headcount!$C$5:$C$90="GA")*Headcount!$D$5:$D$90*Headcount!$F$5:$F$90*((Headcount!$I$5:$I$90=0)+(Headcount!$I$5:$I$90=1)*$C$16)*(AI$18&gt;=(Headcount!$E$5:$E$90+Headcount!$G$5:$G$90*$C$15)))/12*(1+Assumptions!$C$97)</f>
        <v>48800</v>
      </c>
      <c r="AJ195" s="9" t="n">
        <f aca="false">SUMPRODUCT((Headcount!$C$5:$C$90="GA")*Headcount!$D$5:$D$90*Headcount!$F$5:$F$90*((Headcount!$I$5:$I$90=0)+(Headcount!$I$5:$I$90=1)*$C$16)*(AJ$18&gt;=(Headcount!$E$5:$E$90+Headcount!$G$5:$G$90*$C$15)))/12*(1+Assumptions!$C$97)</f>
        <v>48800</v>
      </c>
      <c r="AK195" s="9" t="n">
        <f aca="false">SUMPRODUCT((Headcount!$C$5:$C$90="GA")*Headcount!$D$5:$D$90*Headcount!$F$5:$F$90*((Headcount!$I$5:$I$90=0)+(Headcount!$I$5:$I$90=1)*$C$16)*(AK$18&gt;=(Headcount!$E$5:$E$90+Headcount!$G$5:$G$90*$C$15)))/12*(1+Assumptions!$C$97)</f>
        <v>48800</v>
      </c>
      <c r="AL195" s="9" t="n">
        <f aca="false">SUMPRODUCT((Headcount!$C$5:$C$90="GA")*Headcount!$D$5:$D$90*Headcount!$F$5:$F$90*((Headcount!$I$5:$I$90=0)+(Headcount!$I$5:$I$90=1)*$C$16)*(AL$18&gt;=(Headcount!$E$5:$E$90+Headcount!$G$5:$G$90*$C$15)))/12*(1+Assumptions!$C$97)</f>
        <v>48800</v>
      </c>
      <c r="AN195" s="11" t="n">
        <f aca="false">SUM(C195:N195)</f>
        <v>233833.333333333</v>
      </c>
      <c r="AO195" s="11" t="n">
        <f aca="false">SUM(O195:Z195)</f>
        <v>466141.666666667</v>
      </c>
      <c r="AP195" s="11" t="n">
        <f aca="false">SUM(AA195:AL195)</f>
        <v>585600</v>
      </c>
    </row>
    <row r="196" customFormat="false" ht="15" hidden="false" customHeight="false" outlineLevel="0" collapsed="false">
      <c r="A196" s="0" t="s">
        <v>997</v>
      </c>
      <c r="B196" s="0" t="s">
        <v>618</v>
      </c>
      <c r="C196" s="13" t="n">
        <f aca="false">SUMPRODUCT(Headcount!$D$5:$D$90*((Headcount!$I$5:$I$90=0)+(Headcount!$I$5:$I$90=1)*$C$16)*(C$18&gt;=(Headcount!$E$5:$E$90+Headcount!$G$5:$G$90*$C$15)))</f>
        <v>4.4</v>
      </c>
      <c r="D196" s="13" t="n">
        <f aca="false">SUMPRODUCT(Headcount!$D$5:$D$90*((Headcount!$I$5:$I$90=0)+(Headcount!$I$5:$I$90=1)*$C$16)*(D$18&gt;=(Headcount!$E$5:$E$90+Headcount!$G$5:$G$90*$C$15)))</f>
        <v>4.4</v>
      </c>
      <c r="E196" s="13" t="n">
        <f aca="false">SUMPRODUCT(Headcount!$D$5:$D$90*((Headcount!$I$5:$I$90=0)+(Headcount!$I$5:$I$90=1)*$C$16)*(E$18&gt;=(Headcount!$E$5:$E$90+Headcount!$G$5:$G$90*$C$15)))</f>
        <v>5.4</v>
      </c>
      <c r="F196" s="13" t="n">
        <f aca="false">SUMPRODUCT(Headcount!$D$5:$D$90*((Headcount!$I$5:$I$90=0)+(Headcount!$I$5:$I$90=1)*$C$16)*(F$18&gt;=(Headcount!$E$5:$E$90+Headcount!$G$5:$G$90*$C$15)))</f>
        <v>6.4</v>
      </c>
      <c r="G196" s="13" t="n">
        <f aca="false">SUMPRODUCT(Headcount!$D$5:$D$90*((Headcount!$I$5:$I$90=0)+(Headcount!$I$5:$I$90=1)*$C$16)*(G$18&gt;=(Headcount!$E$5:$E$90+Headcount!$G$5:$G$90*$C$15)))</f>
        <v>8.4</v>
      </c>
      <c r="H196" s="13" t="n">
        <f aca="false">SUMPRODUCT(Headcount!$D$5:$D$90*((Headcount!$I$5:$I$90=0)+(Headcount!$I$5:$I$90=1)*$C$16)*(H$18&gt;=(Headcount!$E$5:$E$90+Headcount!$G$5:$G$90*$C$15)))</f>
        <v>10.4</v>
      </c>
      <c r="I196" s="13" t="n">
        <f aca="false">SUMPRODUCT(Headcount!$D$5:$D$90*((Headcount!$I$5:$I$90=0)+(Headcount!$I$5:$I$90=1)*$C$16)*(I$18&gt;=(Headcount!$E$5:$E$90+Headcount!$G$5:$G$90*$C$15)))</f>
        <v>11.4</v>
      </c>
      <c r="J196" s="13" t="n">
        <f aca="false">SUMPRODUCT(Headcount!$D$5:$D$90*((Headcount!$I$5:$I$90=0)+(Headcount!$I$5:$I$90=1)*$C$16)*(J$18&gt;=(Headcount!$E$5:$E$90+Headcount!$G$5:$G$90*$C$15)))</f>
        <v>11.4</v>
      </c>
      <c r="K196" s="13" t="n">
        <f aca="false">SUMPRODUCT(Headcount!$D$5:$D$90*((Headcount!$I$5:$I$90=0)+(Headcount!$I$5:$I$90=1)*$C$16)*(K$18&gt;=(Headcount!$E$5:$E$90+Headcount!$G$5:$G$90*$C$15)))</f>
        <v>14.4</v>
      </c>
      <c r="L196" s="13" t="n">
        <f aca="false">SUMPRODUCT(Headcount!$D$5:$D$90*((Headcount!$I$5:$I$90=0)+(Headcount!$I$5:$I$90=1)*$C$16)*(L$18&gt;=(Headcount!$E$5:$E$90+Headcount!$G$5:$G$90*$C$15)))</f>
        <v>15.4</v>
      </c>
      <c r="M196" s="13" t="n">
        <f aca="false">SUMPRODUCT(Headcount!$D$5:$D$90*((Headcount!$I$5:$I$90=0)+(Headcount!$I$5:$I$90=1)*$C$16)*(M$18&gt;=(Headcount!$E$5:$E$90+Headcount!$G$5:$G$90*$C$15)))</f>
        <v>17.4</v>
      </c>
      <c r="N196" s="13" t="n">
        <f aca="false">SUMPRODUCT(Headcount!$D$5:$D$90*((Headcount!$I$5:$I$90=0)+(Headcount!$I$5:$I$90=1)*$C$16)*(N$18&gt;=(Headcount!$E$5:$E$90+Headcount!$G$5:$G$90*$C$15)))</f>
        <v>18.4</v>
      </c>
      <c r="O196" s="13" t="n">
        <f aca="false">SUMPRODUCT(Headcount!$D$5:$D$90*((Headcount!$I$5:$I$90=0)+(Headcount!$I$5:$I$90=1)*$C$16)*(O$18&gt;=(Headcount!$E$5:$E$90+Headcount!$G$5:$G$90*$C$15)))</f>
        <v>20.4</v>
      </c>
      <c r="P196" s="13" t="n">
        <f aca="false">SUMPRODUCT(Headcount!$D$5:$D$90*((Headcount!$I$5:$I$90=0)+(Headcount!$I$5:$I$90=1)*$C$16)*(P$18&gt;=(Headcount!$E$5:$E$90+Headcount!$G$5:$G$90*$C$15)))</f>
        <v>21.4</v>
      </c>
      <c r="Q196" s="13" t="n">
        <f aca="false">SUMPRODUCT(Headcount!$D$5:$D$90*((Headcount!$I$5:$I$90=0)+(Headcount!$I$5:$I$90=1)*$C$16)*(Q$18&gt;=(Headcount!$E$5:$E$90+Headcount!$G$5:$G$90*$C$15)))</f>
        <v>23.4</v>
      </c>
      <c r="R196" s="13" t="n">
        <f aca="false">SUMPRODUCT(Headcount!$D$5:$D$90*((Headcount!$I$5:$I$90=0)+(Headcount!$I$5:$I$90=1)*$C$16)*(R$18&gt;=(Headcount!$E$5:$E$90+Headcount!$G$5:$G$90*$C$15)))</f>
        <v>23.4</v>
      </c>
      <c r="S196" s="13" t="n">
        <f aca="false">SUMPRODUCT(Headcount!$D$5:$D$90*((Headcount!$I$5:$I$90=0)+(Headcount!$I$5:$I$90=1)*$C$16)*(S$18&gt;=(Headcount!$E$5:$E$90+Headcount!$G$5:$G$90*$C$15)))</f>
        <v>23.4</v>
      </c>
      <c r="T196" s="13" t="n">
        <f aca="false">SUMPRODUCT(Headcount!$D$5:$D$90*((Headcount!$I$5:$I$90=0)+(Headcount!$I$5:$I$90=1)*$C$16)*(T$18&gt;=(Headcount!$E$5:$E$90+Headcount!$G$5:$G$90*$C$15)))</f>
        <v>25.4</v>
      </c>
      <c r="U196" s="13" t="n">
        <f aca="false">SUMPRODUCT(Headcount!$D$5:$D$90*((Headcount!$I$5:$I$90=0)+(Headcount!$I$5:$I$90=1)*$C$16)*(U$18&gt;=(Headcount!$E$5:$E$90+Headcount!$G$5:$G$90*$C$15)))</f>
        <v>26.4</v>
      </c>
      <c r="V196" s="13" t="n">
        <f aca="false">SUMPRODUCT(Headcount!$D$5:$D$90*((Headcount!$I$5:$I$90=0)+(Headcount!$I$5:$I$90=1)*$C$16)*(V$18&gt;=(Headcount!$E$5:$E$90+Headcount!$G$5:$G$90*$C$15)))</f>
        <v>28.4</v>
      </c>
      <c r="W196" s="13" t="n">
        <f aca="false">SUMPRODUCT(Headcount!$D$5:$D$90*((Headcount!$I$5:$I$90=0)+(Headcount!$I$5:$I$90=1)*$C$16)*(W$18&gt;=(Headcount!$E$5:$E$90+Headcount!$G$5:$G$90*$C$15)))</f>
        <v>28.4</v>
      </c>
      <c r="X196" s="13" t="n">
        <f aca="false">SUMPRODUCT(Headcount!$D$5:$D$90*((Headcount!$I$5:$I$90=0)+(Headcount!$I$5:$I$90=1)*$C$16)*(X$18&gt;=(Headcount!$E$5:$E$90+Headcount!$G$5:$G$90*$C$15)))</f>
        <v>30.4</v>
      </c>
      <c r="Y196" s="13" t="n">
        <f aca="false">SUMPRODUCT(Headcount!$D$5:$D$90*((Headcount!$I$5:$I$90=0)+(Headcount!$I$5:$I$90=1)*$C$16)*(Y$18&gt;=(Headcount!$E$5:$E$90+Headcount!$G$5:$G$90*$C$15)))</f>
        <v>30.4</v>
      </c>
      <c r="Z196" s="13" t="n">
        <f aca="false">SUMPRODUCT(Headcount!$D$5:$D$90*((Headcount!$I$5:$I$90=0)+(Headcount!$I$5:$I$90=1)*$C$16)*(Z$18&gt;=(Headcount!$E$5:$E$90+Headcount!$G$5:$G$90*$C$15)))</f>
        <v>31.4</v>
      </c>
      <c r="AA196" s="13" t="n">
        <f aca="false">SUMPRODUCT(Headcount!$D$5:$D$90*((Headcount!$I$5:$I$90=0)+(Headcount!$I$5:$I$90=1)*$C$16)*(AA$18&gt;=(Headcount!$E$5:$E$90+Headcount!$G$5:$G$90*$C$15)))</f>
        <v>32.4</v>
      </c>
      <c r="AB196" s="13" t="n">
        <f aca="false">SUMPRODUCT(Headcount!$D$5:$D$90*((Headcount!$I$5:$I$90=0)+(Headcount!$I$5:$I$90=1)*$C$16)*(AB$18&gt;=(Headcount!$E$5:$E$90+Headcount!$G$5:$G$90*$C$15)))</f>
        <v>34.4</v>
      </c>
      <c r="AC196" s="13" t="n">
        <f aca="false">SUMPRODUCT(Headcount!$D$5:$D$90*((Headcount!$I$5:$I$90=0)+(Headcount!$I$5:$I$90=1)*$C$16)*(AC$18&gt;=(Headcount!$E$5:$E$90+Headcount!$G$5:$G$90*$C$15)))</f>
        <v>34.4</v>
      </c>
      <c r="AD196" s="13" t="n">
        <f aca="false">SUMPRODUCT(Headcount!$D$5:$D$90*((Headcount!$I$5:$I$90=0)+(Headcount!$I$5:$I$90=1)*$C$16)*(AD$18&gt;=(Headcount!$E$5:$E$90+Headcount!$G$5:$G$90*$C$15)))</f>
        <v>36.4</v>
      </c>
      <c r="AE196" s="13" t="n">
        <f aca="false">SUMPRODUCT(Headcount!$D$5:$D$90*((Headcount!$I$5:$I$90=0)+(Headcount!$I$5:$I$90=1)*$C$16)*(AE$18&gt;=(Headcount!$E$5:$E$90+Headcount!$G$5:$G$90*$C$15)))</f>
        <v>36.4</v>
      </c>
      <c r="AF196" s="13" t="n">
        <f aca="false">SUMPRODUCT(Headcount!$D$5:$D$90*((Headcount!$I$5:$I$90=0)+(Headcount!$I$5:$I$90=1)*$C$16)*(AF$18&gt;=(Headcount!$E$5:$E$90+Headcount!$G$5:$G$90*$C$15)))</f>
        <v>37.4</v>
      </c>
      <c r="AG196" s="13" t="n">
        <f aca="false">SUMPRODUCT(Headcount!$D$5:$D$90*((Headcount!$I$5:$I$90=0)+(Headcount!$I$5:$I$90=1)*$C$16)*(AG$18&gt;=(Headcount!$E$5:$E$90+Headcount!$G$5:$G$90*$C$15)))</f>
        <v>38.4</v>
      </c>
      <c r="AH196" s="13" t="n">
        <f aca="false">SUMPRODUCT(Headcount!$D$5:$D$90*((Headcount!$I$5:$I$90=0)+(Headcount!$I$5:$I$90=1)*$C$16)*(AH$18&gt;=(Headcount!$E$5:$E$90+Headcount!$G$5:$G$90*$C$15)))</f>
        <v>39.4</v>
      </c>
      <c r="AI196" s="13" t="n">
        <f aca="false">SUMPRODUCT(Headcount!$D$5:$D$90*((Headcount!$I$5:$I$90=0)+(Headcount!$I$5:$I$90=1)*$C$16)*(AI$18&gt;=(Headcount!$E$5:$E$90+Headcount!$G$5:$G$90*$C$15)))</f>
        <v>40.4</v>
      </c>
      <c r="AJ196" s="13" t="n">
        <f aca="false">SUMPRODUCT(Headcount!$D$5:$D$90*((Headcount!$I$5:$I$90=0)+(Headcount!$I$5:$I$90=1)*$C$16)*(AJ$18&gt;=(Headcount!$E$5:$E$90+Headcount!$G$5:$G$90*$C$15)))</f>
        <v>40.4</v>
      </c>
      <c r="AK196" s="13" t="n">
        <f aca="false">SUMPRODUCT(Headcount!$D$5:$D$90*((Headcount!$I$5:$I$90=0)+(Headcount!$I$5:$I$90=1)*$C$16)*(AK$18&gt;=(Headcount!$E$5:$E$90+Headcount!$G$5:$G$90*$C$15)))</f>
        <v>40.4</v>
      </c>
      <c r="AL196" s="13" t="n">
        <f aca="false">SUMPRODUCT(Headcount!$D$5:$D$90*((Headcount!$I$5:$I$90=0)+(Headcount!$I$5:$I$90=1)*$C$16)*(AL$18&gt;=(Headcount!$E$5:$E$90+Headcount!$G$5:$G$90*$C$15)))</f>
        <v>40.4</v>
      </c>
      <c r="AN196" s="37" t="n">
        <f aca="false">N196</f>
        <v>18.4</v>
      </c>
      <c r="AO196" s="37" t="n">
        <f aca="false">Z196</f>
        <v>31.4</v>
      </c>
      <c r="AP196" s="37" t="n">
        <f aca="false">AL196</f>
        <v>40.4</v>
      </c>
    </row>
    <row r="197" customFormat="false" ht="15" hidden="false" customHeight="false" outlineLevel="0" collapsed="false">
      <c r="A197" s="0" t="s">
        <v>998</v>
      </c>
      <c r="B197" s="0" t="s">
        <v>618</v>
      </c>
      <c r="C197" s="13" t="n">
        <f aca="false">SUMPRODUCT(Headcount!$D$5:$D$90*(Headcount!$C$5:$C$90="IMPL")*((Headcount!$I$5:$I$90=0)+(Headcount!$I$5:$I$90=1)*$C$16)*(C$18&gt;=(Headcount!$E$5:$E$90+Headcount!$G$5:$G$90*$C$15)))</f>
        <v>0</v>
      </c>
      <c r="D197" s="13" t="n">
        <f aca="false">SUMPRODUCT(Headcount!$D$5:$D$90*(Headcount!$C$5:$C$90="IMPL")*((Headcount!$I$5:$I$90=0)+(Headcount!$I$5:$I$90=1)*$C$16)*(D$18&gt;=(Headcount!$E$5:$E$90+Headcount!$G$5:$G$90*$C$15)))</f>
        <v>0</v>
      </c>
      <c r="E197" s="13" t="n">
        <f aca="false">SUMPRODUCT(Headcount!$D$5:$D$90*(Headcount!$C$5:$C$90="IMPL")*((Headcount!$I$5:$I$90=0)+(Headcount!$I$5:$I$90=1)*$C$16)*(E$18&gt;=(Headcount!$E$5:$E$90+Headcount!$G$5:$G$90*$C$15)))</f>
        <v>0</v>
      </c>
      <c r="F197" s="13" t="n">
        <f aca="false">SUMPRODUCT(Headcount!$D$5:$D$90*(Headcount!$C$5:$C$90="IMPL")*((Headcount!$I$5:$I$90=0)+(Headcount!$I$5:$I$90=1)*$C$16)*(F$18&gt;=(Headcount!$E$5:$E$90+Headcount!$G$5:$G$90*$C$15)))</f>
        <v>0</v>
      </c>
      <c r="G197" s="13" t="n">
        <f aca="false">SUMPRODUCT(Headcount!$D$5:$D$90*(Headcount!$C$5:$C$90="IMPL")*((Headcount!$I$5:$I$90=0)+(Headcount!$I$5:$I$90=1)*$C$16)*(G$18&gt;=(Headcount!$E$5:$E$90+Headcount!$G$5:$G$90*$C$15)))</f>
        <v>1</v>
      </c>
      <c r="H197" s="13" t="n">
        <f aca="false">SUMPRODUCT(Headcount!$D$5:$D$90*(Headcount!$C$5:$C$90="IMPL")*((Headcount!$I$5:$I$90=0)+(Headcount!$I$5:$I$90=1)*$C$16)*(H$18&gt;=(Headcount!$E$5:$E$90+Headcount!$G$5:$G$90*$C$15)))</f>
        <v>1</v>
      </c>
      <c r="I197" s="13" t="n">
        <f aca="false">SUMPRODUCT(Headcount!$D$5:$D$90*(Headcount!$C$5:$C$90="IMPL")*((Headcount!$I$5:$I$90=0)+(Headcount!$I$5:$I$90=1)*$C$16)*(I$18&gt;=(Headcount!$E$5:$E$90+Headcount!$G$5:$G$90*$C$15)))</f>
        <v>1</v>
      </c>
      <c r="J197" s="13" t="n">
        <f aca="false">SUMPRODUCT(Headcount!$D$5:$D$90*(Headcount!$C$5:$C$90="IMPL")*((Headcount!$I$5:$I$90=0)+(Headcount!$I$5:$I$90=1)*$C$16)*(J$18&gt;=(Headcount!$E$5:$E$90+Headcount!$G$5:$G$90*$C$15)))</f>
        <v>1</v>
      </c>
      <c r="K197" s="13" t="n">
        <f aca="false">SUMPRODUCT(Headcount!$D$5:$D$90*(Headcount!$C$5:$C$90="IMPL")*((Headcount!$I$5:$I$90=0)+(Headcount!$I$5:$I$90=1)*$C$16)*(K$18&gt;=(Headcount!$E$5:$E$90+Headcount!$G$5:$G$90*$C$15)))</f>
        <v>1</v>
      </c>
      <c r="L197" s="13" t="n">
        <f aca="false">SUMPRODUCT(Headcount!$D$5:$D$90*(Headcount!$C$5:$C$90="IMPL")*((Headcount!$I$5:$I$90=0)+(Headcount!$I$5:$I$90=1)*$C$16)*(L$18&gt;=(Headcount!$E$5:$E$90+Headcount!$G$5:$G$90*$C$15)))</f>
        <v>1</v>
      </c>
      <c r="M197" s="13" t="n">
        <f aca="false">SUMPRODUCT(Headcount!$D$5:$D$90*(Headcount!$C$5:$C$90="IMPL")*((Headcount!$I$5:$I$90=0)+(Headcount!$I$5:$I$90=1)*$C$16)*(M$18&gt;=(Headcount!$E$5:$E$90+Headcount!$G$5:$G$90*$C$15)))</f>
        <v>2</v>
      </c>
      <c r="N197" s="13" t="n">
        <f aca="false">SUMPRODUCT(Headcount!$D$5:$D$90*(Headcount!$C$5:$C$90="IMPL")*((Headcount!$I$5:$I$90=0)+(Headcount!$I$5:$I$90=1)*$C$16)*(N$18&gt;=(Headcount!$E$5:$E$90+Headcount!$G$5:$G$90*$C$15)))</f>
        <v>2</v>
      </c>
      <c r="O197" s="13" t="n">
        <f aca="false">SUMPRODUCT(Headcount!$D$5:$D$90*(Headcount!$C$5:$C$90="IMPL")*((Headcount!$I$5:$I$90=0)+(Headcount!$I$5:$I$90=1)*$C$16)*(O$18&gt;=(Headcount!$E$5:$E$90+Headcount!$G$5:$G$90*$C$15)))</f>
        <v>2</v>
      </c>
      <c r="P197" s="13" t="n">
        <f aca="false">SUMPRODUCT(Headcount!$D$5:$D$90*(Headcount!$C$5:$C$90="IMPL")*((Headcount!$I$5:$I$90=0)+(Headcount!$I$5:$I$90=1)*$C$16)*(P$18&gt;=(Headcount!$E$5:$E$90+Headcount!$G$5:$G$90*$C$15)))</f>
        <v>2</v>
      </c>
      <c r="Q197" s="13" t="n">
        <f aca="false">SUMPRODUCT(Headcount!$D$5:$D$90*(Headcount!$C$5:$C$90="IMPL")*((Headcount!$I$5:$I$90=0)+(Headcount!$I$5:$I$90=1)*$C$16)*(Q$18&gt;=(Headcount!$E$5:$E$90+Headcount!$G$5:$G$90*$C$15)))</f>
        <v>3</v>
      </c>
      <c r="R197" s="13" t="n">
        <f aca="false">SUMPRODUCT(Headcount!$D$5:$D$90*(Headcount!$C$5:$C$90="IMPL")*((Headcount!$I$5:$I$90=0)+(Headcount!$I$5:$I$90=1)*$C$16)*(R$18&gt;=(Headcount!$E$5:$E$90+Headcount!$G$5:$G$90*$C$15)))</f>
        <v>3</v>
      </c>
      <c r="S197" s="13" t="n">
        <f aca="false">SUMPRODUCT(Headcount!$D$5:$D$90*(Headcount!$C$5:$C$90="IMPL")*((Headcount!$I$5:$I$90=0)+(Headcount!$I$5:$I$90=1)*$C$16)*(S$18&gt;=(Headcount!$E$5:$E$90+Headcount!$G$5:$G$90*$C$15)))</f>
        <v>3</v>
      </c>
      <c r="T197" s="13" t="n">
        <f aca="false">SUMPRODUCT(Headcount!$D$5:$D$90*(Headcount!$C$5:$C$90="IMPL")*((Headcount!$I$5:$I$90=0)+(Headcount!$I$5:$I$90=1)*$C$16)*(T$18&gt;=(Headcount!$E$5:$E$90+Headcount!$G$5:$G$90*$C$15)))</f>
        <v>3</v>
      </c>
      <c r="U197" s="13" t="n">
        <f aca="false">SUMPRODUCT(Headcount!$D$5:$D$90*(Headcount!$C$5:$C$90="IMPL")*((Headcount!$I$5:$I$90=0)+(Headcount!$I$5:$I$90=1)*$C$16)*(U$18&gt;=(Headcount!$E$5:$E$90+Headcount!$G$5:$G$90*$C$15)))</f>
        <v>4</v>
      </c>
      <c r="V197" s="13" t="n">
        <f aca="false">SUMPRODUCT(Headcount!$D$5:$D$90*(Headcount!$C$5:$C$90="IMPL")*((Headcount!$I$5:$I$90=0)+(Headcount!$I$5:$I$90=1)*$C$16)*(V$18&gt;=(Headcount!$E$5:$E$90+Headcount!$G$5:$G$90*$C$15)))</f>
        <v>4</v>
      </c>
      <c r="W197" s="13" t="n">
        <f aca="false">SUMPRODUCT(Headcount!$D$5:$D$90*(Headcount!$C$5:$C$90="IMPL")*((Headcount!$I$5:$I$90=0)+(Headcount!$I$5:$I$90=1)*$C$16)*(W$18&gt;=(Headcount!$E$5:$E$90+Headcount!$G$5:$G$90*$C$15)))</f>
        <v>4</v>
      </c>
      <c r="X197" s="13" t="n">
        <f aca="false">SUMPRODUCT(Headcount!$D$5:$D$90*(Headcount!$C$5:$C$90="IMPL")*((Headcount!$I$5:$I$90=0)+(Headcount!$I$5:$I$90=1)*$C$16)*(X$18&gt;=(Headcount!$E$5:$E$90+Headcount!$G$5:$G$90*$C$15)))</f>
        <v>5</v>
      </c>
      <c r="Y197" s="13" t="n">
        <f aca="false">SUMPRODUCT(Headcount!$D$5:$D$90*(Headcount!$C$5:$C$90="IMPL")*((Headcount!$I$5:$I$90=0)+(Headcount!$I$5:$I$90=1)*$C$16)*(Y$18&gt;=(Headcount!$E$5:$E$90+Headcount!$G$5:$G$90*$C$15)))</f>
        <v>5</v>
      </c>
      <c r="Z197" s="13" t="n">
        <f aca="false">SUMPRODUCT(Headcount!$D$5:$D$90*(Headcount!$C$5:$C$90="IMPL")*((Headcount!$I$5:$I$90=0)+(Headcount!$I$5:$I$90=1)*$C$16)*(Z$18&gt;=(Headcount!$E$5:$E$90+Headcount!$G$5:$G$90*$C$15)))</f>
        <v>5</v>
      </c>
      <c r="AA197" s="13" t="n">
        <f aca="false">SUMPRODUCT(Headcount!$D$5:$D$90*(Headcount!$C$5:$C$90="IMPL")*((Headcount!$I$5:$I$90=0)+(Headcount!$I$5:$I$90=1)*$C$16)*(AA$18&gt;=(Headcount!$E$5:$E$90+Headcount!$G$5:$G$90*$C$15)))</f>
        <v>6</v>
      </c>
      <c r="AB197" s="13" t="n">
        <f aca="false">SUMPRODUCT(Headcount!$D$5:$D$90*(Headcount!$C$5:$C$90="IMPL")*((Headcount!$I$5:$I$90=0)+(Headcount!$I$5:$I$90=1)*$C$16)*(AB$18&gt;=(Headcount!$E$5:$E$90+Headcount!$G$5:$G$90*$C$15)))</f>
        <v>6</v>
      </c>
      <c r="AC197" s="13" t="n">
        <f aca="false">SUMPRODUCT(Headcount!$D$5:$D$90*(Headcount!$C$5:$C$90="IMPL")*((Headcount!$I$5:$I$90=0)+(Headcount!$I$5:$I$90=1)*$C$16)*(AC$18&gt;=(Headcount!$E$5:$E$90+Headcount!$G$5:$G$90*$C$15)))</f>
        <v>6</v>
      </c>
      <c r="AD197" s="13" t="n">
        <f aca="false">SUMPRODUCT(Headcount!$D$5:$D$90*(Headcount!$C$5:$C$90="IMPL")*((Headcount!$I$5:$I$90=0)+(Headcount!$I$5:$I$90=1)*$C$16)*(AD$18&gt;=(Headcount!$E$5:$E$90+Headcount!$G$5:$G$90*$C$15)))</f>
        <v>7</v>
      </c>
      <c r="AE197" s="13" t="n">
        <f aca="false">SUMPRODUCT(Headcount!$D$5:$D$90*(Headcount!$C$5:$C$90="IMPL")*((Headcount!$I$5:$I$90=0)+(Headcount!$I$5:$I$90=1)*$C$16)*(AE$18&gt;=(Headcount!$E$5:$E$90+Headcount!$G$5:$G$90*$C$15)))</f>
        <v>7</v>
      </c>
      <c r="AF197" s="13" t="n">
        <f aca="false">SUMPRODUCT(Headcount!$D$5:$D$90*(Headcount!$C$5:$C$90="IMPL")*((Headcount!$I$5:$I$90=0)+(Headcount!$I$5:$I$90=1)*$C$16)*(AF$18&gt;=(Headcount!$E$5:$E$90+Headcount!$G$5:$G$90*$C$15)))</f>
        <v>7</v>
      </c>
      <c r="AG197" s="13" t="n">
        <f aca="false">SUMPRODUCT(Headcount!$D$5:$D$90*(Headcount!$C$5:$C$90="IMPL")*((Headcount!$I$5:$I$90=0)+(Headcount!$I$5:$I$90=1)*$C$16)*(AG$18&gt;=(Headcount!$E$5:$E$90+Headcount!$G$5:$G$90*$C$15)))</f>
        <v>8</v>
      </c>
      <c r="AH197" s="13" t="n">
        <f aca="false">SUMPRODUCT(Headcount!$D$5:$D$90*(Headcount!$C$5:$C$90="IMPL")*((Headcount!$I$5:$I$90=0)+(Headcount!$I$5:$I$90=1)*$C$16)*(AH$18&gt;=(Headcount!$E$5:$E$90+Headcount!$G$5:$G$90*$C$15)))</f>
        <v>8</v>
      </c>
      <c r="AI197" s="13" t="n">
        <f aca="false">SUMPRODUCT(Headcount!$D$5:$D$90*(Headcount!$C$5:$C$90="IMPL")*((Headcount!$I$5:$I$90=0)+(Headcount!$I$5:$I$90=1)*$C$16)*(AI$18&gt;=(Headcount!$E$5:$E$90+Headcount!$G$5:$G$90*$C$15)))</f>
        <v>8</v>
      </c>
      <c r="AJ197" s="13" t="n">
        <f aca="false">SUMPRODUCT(Headcount!$D$5:$D$90*(Headcount!$C$5:$C$90="IMPL")*((Headcount!$I$5:$I$90=0)+(Headcount!$I$5:$I$90=1)*$C$16)*(AJ$18&gt;=(Headcount!$E$5:$E$90+Headcount!$G$5:$G$90*$C$15)))</f>
        <v>8</v>
      </c>
      <c r="AK197" s="13" t="n">
        <f aca="false">SUMPRODUCT(Headcount!$D$5:$D$90*(Headcount!$C$5:$C$90="IMPL")*((Headcount!$I$5:$I$90=0)+(Headcount!$I$5:$I$90=1)*$C$16)*(AK$18&gt;=(Headcount!$E$5:$E$90+Headcount!$G$5:$G$90*$C$15)))</f>
        <v>8</v>
      </c>
      <c r="AL197" s="13" t="n">
        <f aca="false">SUMPRODUCT(Headcount!$D$5:$D$90*(Headcount!$C$5:$C$90="IMPL")*((Headcount!$I$5:$I$90=0)+(Headcount!$I$5:$I$90=1)*$C$16)*(AL$18&gt;=(Headcount!$E$5:$E$90+Headcount!$G$5:$G$90*$C$15)))</f>
        <v>8</v>
      </c>
      <c r="AN197" s="37" t="n">
        <f aca="false">N197</f>
        <v>2</v>
      </c>
      <c r="AO197" s="37" t="n">
        <f aca="false">Z197</f>
        <v>5</v>
      </c>
      <c r="AP197" s="37" t="n">
        <f aca="false">AL197</f>
        <v>8</v>
      </c>
    </row>
    <row r="198" customFormat="false" ht="15" hidden="false" customHeight="false" outlineLevel="0" collapsed="false">
      <c r="A198" s="0" t="s">
        <v>999</v>
      </c>
      <c r="B198" s="0" t="s">
        <v>618</v>
      </c>
      <c r="C198" s="13" t="n">
        <f aca="false">IF(C$18&gt;=2,SUMPRODUCT(Headcount!$D$5:$D$90*((Headcount!$I$5:$I$90=0)+(Headcount!$I$5:$I$90=1)*$C$16)*((Headcount!$E$5:$E$90+Headcount!$G$5:$G$90*$C$15)=C$18)),0)</f>
        <v>0</v>
      </c>
      <c r="D198" s="13" t="n">
        <f aca="false">IF(D$18&gt;=2,SUMPRODUCT(Headcount!$D$5:$D$90*((Headcount!$I$5:$I$90=0)+(Headcount!$I$5:$I$90=1)*$C$16)*((Headcount!$E$5:$E$90+Headcount!$G$5:$G$90*$C$15)=D$18)),0)</f>
        <v>0</v>
      </c>
      <c r="E198" s="13" t="n">
        <f aca="false">IF(E$18&gt;=2,SUMPRODUCT(Headcount!$D$5:$D$90*((Headcount!$I$5:$I$90=0)+(Headcount!$I$5:$I$90=1)*$C$16)*((Headcount!$E$5:$E$90+Headcount!$G$5:$G$90*$C$15)=E$18)),0)</f>
        <v>1</v>
      </c>
      <c r="F198" s="13" t="n">
        <f aca="false">IF(F$18&gt;=2,SUMPRODUCT(Headcount!$D$5:$D$90*((Headcount!$I$5:$I$90=0)+(Headcount!$I$5:$I$90=1)*$C$16)*((Headcount!$E$5:$E$90+Headcount!$G$5:$G$90*$C$15)=F$18)),0)</f>
        <v>1</v>
      </c>
      <c r="G198" s="13" t="n">
        <f aca="false">IF(G$18&gt;=2,SUMPRODUCT(Headcount!$D$5:$D$90*((Headcount!$I$5:$I$90=0)+(Headcount!$I$5:$I$90=1)*$C$16)*((Headcount!$E$5:$E$90+Headcount!$G$5:$G$90*$C$15)=G$18)),0)</f>
        <v>2</v>
      </c>
      <c r="H198" s="13" t="n">
        <f aca="false">IF(H$18&gt;=2,SUMPRODUCT(Headcount!$D$5:$D$90*((Headcount!$I$5:$I$90=0)+(Headcount!$I$5:$I$90=1)*$C$16)*((Headcount!$E$5:$E$90+Headcount!$G$5:$G$90*$C$15)=H$18)),0)</f>
        <v>2</v>
      </c>
      <c r="I198" s="13" t="n">
        <f aca="false">IF(I$18&gt;=2,SUMPRODUCT(Headcount!$D$5:$D$90*((Headcount!$I$5:$I$90=0)+(Headcount!$I$5:$I$90=1)*$C$16)*((Headcount!$E$5:$E$90+Headcount!$G$5:$G$90*$C$15)=I$18)),0)</f>
        <v>1</v>
      </c>
      <c r="J198" s="13" t="n">
        <f aca="false">IF(J$18&gt;=2,SUMPRODUCT(Headcount!$D$5:$D$90*((Headcount!$I$5:$I$90=0)+(Headcount!$I$5:$I$90=1)*$C$16)*((Headcount!$E$5:$E$90+Headcount!$G$5:$G$90*$C$15)=J$18)),0)</f>
        <v>0</v>
      </c>
      <c r="K198" s="13" t="n">
        <f aca="false">IF(K$18&gt;=2,SUMPRODUCT(Headcount!$D$5:$D$90*((Headcount!$I$5:$I$90=0)+(Headcount!$I$5:$I$90=1)*$C$16)*((Headcount!$E$5:$E$90+Headcount!$G$5:$G$90*$C$15)=K$18)),0)</f>
        <v>3</v>
      </c>
      <c r="L198" s="13" t="n">
        <f aca="false">IF(L$18&gt;=2,SUMPRODUCT(Headcount!$D$5:$D$90*((Headcount!$I$5:$I$90=0)+(Headcount!$I$5:$I$90=1)*$C$16)*((Headcount!$E$5:$E$90+Headcount!$G$5:$G$90*$C$15)=L$18)),0)</f>
        <v>1</v>
      </c>
      <c r="M198" s="13" t="n">
        <f aca="false">IF(M$18&gt;=2,SUMPRODUCT(Headcount!$D$5:$D$90*((Headcount!$I$5:$I$90=0)+(Headcount!$I$5:$I$90=1)*$C$16)*((Headcount!$E$5:$E$90+Headcount!$G$5:$G$90*$C$15)=M$18)),0)</f>
        <v>2</v>
      </c>
      <c r="N198" s="13" t="n">
        <f aca="false">IF(N$18&gt;=2,SUMPRODUCT(Headcount!$D$5:$D$90*((Headcount!$I$5:$I$90=0)+(Headcount!$I$5:$I$90=1)*$C$16)*((Headcount!$E$5:$E$90+Headcount!$G$5:$G$90*$C$15)=N$18)),0)</f>
        <v>1</v>
      </c>
      <c r="O198" s="13" t="n">
        <f aca="false">IF(O$18&gt;=2,SUMPRODUCT(Headcount!$D$5:$D$90*((Headcount!$I$5:$I$90=0)+(Headcount!$I$5:$I$90=1)*$C$16)*((Headcount!$E$5:$E$90+Headcount!$G$5:$G$90*$C$15)=O$18)),0)</f>
        <v>2</v>
      </c>
      <c r="P198" s="13" t="n">
        <f aca="false">IF(P$18&gt;=2,SUMPRODUCT(Headcount!$D$5:$D$90*((Headcount!$I$5:$I$90=0)+(Headcount!$I$5:$I$90=1)*$C$16)*((Headcount!$E$5:$E$90+Headcount!$G$5:$G$90*$C$15)=P$18)),0)</f>
        <v>1</v>
      </c>
      <c r="Q198" s="13" t="n">
        <f aca="false">IF(Q$18&gt;=2,SUMPRODUCT(Headcount!$D$5:$D$90*((Headcount!$I$5:$I$90=0)+(Headcount!$I$5:$I$90=1)*$C$16)*((Headcount!$E$5:$E$90+Headcount!$G$5:$G$90*$C$15)=Q$18)),0)</f>
        <v>2</v>
      </c>
      <c r="R198" s="13" t="n">
        <f aca="false">IF(R$18&gt;=2,SUMPRODUCT(Headcount!$D$5:$D$90*((Headcount!$I$5:$I$90=0)+(Headcount!$I$5:$I$90=1)*$C$16)*((Headcount!$E$5:$E$90+Headcount!$G$5:$G$90*$C$15)=R$18)),0)</f>
        <v>0</v>
      </c>
      <c r="S198" s="13" t="n">
        <f aca="false">IF(S$18&gt;=2,SUMPRODUCT(Headcount!$D$5:$D$90*((Headcount!$I$5:$I$90=0)+(Headcount!$I$5:$I$90=1)*$C$16)*((Headcount!$E$5:$E$90+Headcount!$G$5:$G$90*$C$15)=S$18)),0)</f>
        <v>0</v>
      </c>
      <c r="T198" s="13" t="n">
        <f aca="false">IF(T$18&gt;=2,SUMPRODUCT(Headcount!$D$5:$D$90*((Headcount!$I$5:$I$90=0)+(Headcount!$I$5:$I$90=1)*$C$16)*((Headcount!$E$5:$E$90+Headcount!$G$5:$G$90*$C$15)=T$18)),0)</f>
        <v>2</v>
      </c>
      <c r="U198" s="13" t="n">
        <f aca="false">IF(U$18&gt;=2,SUMPRODUCT(Headcount!$D$5:$D$90*((Headcount!$I$5:$I$90=0)+(Headcount!$I$5:$I$90=1)*$C$16)*((Headcount!$E$5:$E$90+Headcount!$G$5:$G$90*$C$15)=U$18)),0)</f>
        <v>1</v>
      </c>
      <c r="V198" s="13" t="n">
        <f aca="false">IF(V$18&gt;=2,SUMPRODUCT(Headcount!$D$5:$D$90*((Headcount!$I$5:$I$90=0)+(Headcount!$I$5:$I$90=1)*$C$16)*((Headcount!$E$5:$E$90+Headcount!$G$5:$G$90*$C$15)=V$18)),0)</f>
        <v>2</v>
      </c>
      <c r="W198" s="13" t="n">
        <f aca="false">IF(W$18&gt;=2,SUMPRODUCT(Headcount!$D$5:$D$90*((Headcount!$I$5:$I$90=0)+(Headcount!$I$5:$I$90=1)*$C$16)*((Headcount!$E$5:$E$90+Headcount!$G$5:$G$90*$C$15)=W$18)),0)</f>
        <v>0</v>
      </c>
      <c r="X198" s="13" t="n">
        <f aca="false">IF(X$18&gt;=2,SUMPRODUCT(Headcount!$D$5:$D$90*((Headcount!$I$5:$I$90=0)+(Headcount!$I$5:$I$90=1)*$C$16)*((Headcount!$E$5:$E$90+Headcount!$G$5:$G$90*$C$15)=X$18)),0)</f>
        <v>2</v>
      </c>
      <c r="Y198" s="13" t="n">
        <f aca="false">IF(Y$18&gt;=2,SUMPRODUCT(Headcount!$D$5:$D$90*((Headcount!$I$5:$I$90=0)+(Headcount!$I$5:$I$90=1)*$C$16)*((Headcount!$E$5:$E$90+Headcount!$G$5:$G$90*$C$15)=Y$18)),0)</f>
        <v>0</v>
      </c>
      <c r="Z198" s="13" t="n">
        <f aca="false">IF(Z$18&gt;=2,SUMPRODUCT(Headcount!$D$5:$D$90*((Headcount!$I$5:$I$90=0)+(Headcount!$I$5:$I$90=1)*$C$16)*((Headcount!$E$5:$E$90+Headcount!$G$5:$G$90*$C$15)=Z$18)),0)</f>
        <v>1</v>
      </c>
      <c r="AA198" s="13" t="n">
        <f aca="false">IF(AA$18&gt;=2,SUMPRODUCT(Headcount!$D$5:$D$90*((Headcount!$I$5:$I$90=0)+(Headcount!$I$5:$I$90=1)*$C$16)*((Headcount!$E$5:$E$90+Headcount!$G$5:$G$90*$C$15)=AA$18)),0)</f>
        <v>1</v>
      </c>
      <c r="AB198" s="13" t="n">
        <f aca="false">IF(AB$18&gt;=2,SUMPRODUCT(Headcount!$D$5:$D$90*((Headcount!$I$5:$I$90=0)+(Headcount!$I$5:$I$90=1)*$C$16)*((Headcount!$E$5:$E$90+Headcount!$G$5:$G$90*$C$15)=AB$18)),0)</f>
        <v>2</v>
      </c>
      <c r="AC198" s="13" t="n">
        <f aca="false">IF(AC$18&gt;=2,SUMPRODUCT(Headcount!$D$5:$D$90*((Headcount!$I$5:$I$90=0)+(Headcount!$I$5:$I$90=1)*$C$16)*((Headcount!$E$5:$E$90+Headcount!$G$5:$G$90*$C$15)=AC$18)),0)</f>
        <v>0</v>
      </c>
      <c r="AD198" s="13" t="n">
        <f aca="false">IF(AD$18&gt;=2,SUMPRODUCT(Headcount!$D$5:$D$90*((Headcount!$I$5:$I$90=0)+(Headcount!$I$5:$I$90=1)*$C$16)*((Headcount!$E$5:$E$90+Headcount!$G$5:$G$90*$C$15)=AD$18)),0)</f>
        <v>2</v>
      </c>
      <c r="AE198" s="13" t="n">
        <f aca="false">IF(AE$18&gt;=2,SUMPRODUCT(Headcount!$D$5:$D$90*((Headcount!$I$5:$I$90=0)+(Headcount!$I$5:$I$90=1)*$C$16)*((Headcount!$E$5:$E$90+Headcount!$G$5:$G$90*$C$15)=AE$18)),0)</f>
        <v>0</v>
      </c>
      <c r="AF198" s="13" t="n">
        <f aca="false">IF(AF$18&gt;=2,SUMPRODUCT(Headcount!$D$5:$D$90*((Headcount!$I$5:$I$90=0)+(Headcount!$I$5:$I$90=1)*$C$16)*((Headcount!$E$5:$E$90+Headcount!$G$5:$G$90*$C$15)=AF$18)),0)</f>
        <v>1</v>
      </c>
      <c r="AG198" s="13" t="n">
        <f aca="false">IF(AG$18&gt;=2,SUMPRODUCT(Headcount!$D$5:$D$90*((Headcount!$I$5:$I$90=0)+(Headcount!$I$5:$I$90=1)*$C$16)*((Headcount!$E$5:$E$90+Headcount!$G$5:$G$90*$C$15)=AG$18)),0)</f>
        <v>1</v>
      </c>
      <c r="AH198" s="13" t="n">
        <f aca="false">IF(AH$18&gt;=2,SUMPRODUCT(Headcount!$D$5:$D$90*((Headcount!$I$5:$I$90=0)+(Headcount!$I$5:$I$90=1)*$C$16)*((Headcount!$E$5:$E$90+Headcount!$G$5:$G$90*$C$15)=AH$18)),0)</f>
        <v>1</v>
      </c>
      <c r="AI198" s="13" t="n">
        <f aca="false">IF(AI$18&gt;=2,SUMPRODUCT(Headcount!$D$5:$D$90*((Headcount!$I$5:$I$90=0)+(Headcount!$I$5:$I$90=1)*$C$16)*((Headcount!$E$5:$E$90+Headcount!$G$5:$G$90*$C$15)=AI$18)),0)</f>
        <v>1</v>
      </c>
      <c r="AJ198" s="13" t="n">
        <f aca="false">IF(AJ$18&gt;=2,SUMPRODUCT(Headcount!$D$5:$D$90*((Headcount!$I$5:$I$90=0)+(Headcount!$I$5:$I$90=1)*$C$16)*((Headcount!$E$5:$E$90+Headcount!$G$5:$G$90*$C$15)=AJ$18)),0)</f>
        <v>0</v>
      </c>
      <c r="AK198" s="13" t="n">
        <f aca="false">IF(AK$18&gt;=2,SUMPRODUCT(Headcount!$D$5:$D$90*((Headcount!$I$5:$I$90=0)+(Headcount!$I$5:$I$90=1)*$C$16)*((Headcount!$E$5:$E$90+Headcount!$G$5:$G$90*$C$15)=AK$18)),0)</f>
        <v>0</v>
      </c>
      <c r="AL198" s="13" t="n">
        <f aca="false">IF(AL$18&gt;=2,SUMPRODUCT(Headcount!$D$5:$D$90*((Headcount!$I$5:$I$90=0)+(Headcount!$I$5:$I$90=1)*$C$16)*((Headcount!$E$5:$E$90+Headcount!$G$5:$G$90*$C$15)=AL$18)),0)</f>
        <v>0</v>
      </c>
      <c r="AN198" s="37" t="n">
        <f aca="false">SUM(C198:N198)</f>
        <v>14</v>
      </c>
      <c r="AO198" s="37" t="n">
        <f aca="false">SUM(O198:Z198)</f>
        <v>13</v>
      </c>
      <c r="AP198" s="37" t="n">
        <f aca="false">SUM(AA198:AL198)</f>
        <v>9</v>
      </c>
    </row>
    <row r="199" customFormat="false" ht="15" hidden="false" customHeight="false" outlineLevel="0" collapsed="false">
      <c r="A199" s="0" t="s">
        <v>1000</v>
      </c>
      <c r="B199" s="0" t="s">
        <v>230</v>
      </c>
      <c r="C199" s="9" t="n">
        <f aca="false">((((((Assumptions!$C$138+Assumptions!$C$139)+Assumptions!$C$140)+Assumptions!$C$141)+Assumptions!$C$142)+Assumptions!$C$143)/12)</f>
        <v>9833.33333333333</v>
      </c>
      <c r="D199" s="9" t="n">
        <f aca="false">((((((Assumptions!$C$138+Assumptions!$C$139)+Assumptions!$C$140)+Assumptions!$C$141)+Assumptions!$C$142)+Assumptions!$C$143)/12)</f>
        <v>9833.33333333333</v>
      </c>
      <c r="E199" s="9" t="n">
        <f aca="false">((((((Assumptions!$C$138+Assumptions!$C$139)+Assumptions!$C$140)+Assumptions!$C$141)+Assumptions!$C$142)+Assumptions!$C$143)/12)</f>
        <v>9833.33333333333</v>
      </c>
      <c r="F199" s="9" t="n">
        <f aca="false">((((((Assumptions!$C$138+Assumptions!$C$139)+Assumptions!$C$140)+Assumptions!$C$141)+Assumptions!$C$142)+Assumptions!$C$143)/12)</f>
        <v>9833.33333333333</v>
      </c>
      <c r="G199" s="9" t="n">
        <f aca="false">((((((Assumptions!$C$138+Assumptions!$C$139)+Assumptions!$C$140)+Assumptions!$C$141)+Assumptions!$C$142)+Assumptions!$C$143)/12)</f>
        <v>9833.33333333333</v>
      </c>
      <c r="H199" s="9" t="n">
        <f aca="false">((((((Assumptions!$C$138+Assumptions!$C$139)+Assumptions!$C$140)+Assumptions!$C$141)+Assumptions!$C$142)+Assumptions!$C$143)/12)</f>
        <v>9833.33333333333</v>
      </c>
      <c r="I199" s="9" t="n">
        <f aca="false">((((((Assumptions!$C$138+Assumptions!$C$139)+Assumptions!$C$140)+Assumptions!$C$141)+Assumptions!$C$142)+Assumptions!$C$143)/12)</f>
        <v>9833.33333333333</v>
      </c>
      <c r="J199" s="9" t="n">
        <f aca="false">((((((Assumptions!$C$138+Assumptions!$C$139)+Assumptions!$C$140)+Assumptions!$C$141)+Assumptions!$C$142)+Assumptions!$C$143)/12)</f>
        <v>9833.33333333333</v>
      </c>
      <c r="K199" s="9" t="n">
        <f aca="false">((((((Assumptions!$C$138+Assumptions!$C$139)+Assumptions!$C$140)+Assumptions!$C$141)+Assumptions!$C$142)+Assumptions!$C$143)/12)</f>
        <v>9833.33333333333</v>
      </c>
      <c r="L199" s="9" t="n">
        <f aca="false">((((((Assumptions!$C$138+Assumptions!$C$139)+Assumptions!$C$140)+Assumptions!$C$141)+Assumptions!$C$142)+Assumptions!$C$143)/12)</f>
        <v>9833.33333333333</v>
      </c>
      <c r="M199" s="9" t="n">
        <f aca="false">((((((Assumptions!$C$138+Assumptions!$C$139)+Assumptions!$C$140)+Assumptions!$C$141)+Assumptions!$C$142)+Assumptions!$C$143)/12)</f>
        <v>9833.33333333333</v>
      </c>
      <c r="N199" s="9" t="n">
        <f aca="false">((((((Assumptions!$C$138+Assumptions!$C$139)+Assumptions!$C$140)+Assumptions!$C$141)+Assumptions!$C$142)+Assumptions!$C$143)/12)</f>
        <v>9833.33333333333</v>
      </c>
      <c r="O199" s="9" t="n">
        <f aca="false">((((((Assumptions!$D$138+Assumptions!$D$139)+Assumptions!$D$140)+Assumptions!$D$141)+Assumptions!$D$142)+Assumptions!$D$143)/12)</f>
        <v>14166.6666666667</v>
      </c>
      <c r="P199" s="9" t="n">
        <f aca="false">((((((Assumptions!$D$138+Assumptions!$D$139)+Assumptions!$D$140)+Assumptions!$D$141)+Assumptions!$D$142)+Assumptions!$D$143)/12)</f>
        <v>14166.6666666667</v>
      </c>
      <c r="Q199" s="9" t="n">
        <f aca="false">((((((Assumptions!$D$138+Assumptions!$D$139)+Assumptions!$D$140)+Assumptions!$D$141)+Assumptions!$D$142)+Assumptions!$D$143)/12)</f>
        <v>14166.6666666667</v>
      </c>
      <c r="R199" s="9" t="n">
        <f aca="false">((((((Assumptions!$D$138+Assumptions!$D$139)+Assumptions!$D$140)+Assumptions!$D$141)+Assumptions!$D$142)+Assumptions!$D$143)/12)</f>
        <v>14166.6666666667</v>
      </c>
      <c r="S199" s="9" t="n">
        <f aca="false">((((((Assumptions!$D$138+Assumptions!$D$139)+Assumptions!$D$140)+Assumptions!$D$141)+Assumptions!$D$142)+Assumptions!$D$143)/12)</f>
        <v>14166.6666666667</v>
      </c>
      <c r="T199" s="9" t="n">
        <f aca="false">((((((Assumptions!$D$138+Assumptions!$D$139)+Assumptions!$D$140)+Assumptions!$D$141)+Assumptions!$D$142)+Assumptions!$D$143)/12)</f>
        <v>14166.6666666667</v>
      </c>
      <c r="U199" s="9" t="n">
        <f aca="false">((((((Assumptions!$D$138+Assumptions!$D$139)+Assumptions!$D$140)+Assumptions!$D$141)+Assumptions!$D$142)+Assumptions!$D$143)/12)</f>
        <v>14166.6666666667</v>
      </c>
      <c r="V199" s="9" t="n">
        <f aca="false">((((((Assumptions!$D$138+Assumptions!$D$139)+Assumptions!$D$140)+Assumptions!$D$141)+Assumptions!$D$142)+Assumptions!$D$143)/12)</f>
        <v>14166.6666666667</v>
      </c>
      <c r="W199" s="9" t="n">
        <f aca="false">((((((Assumptions!$D$138+Assumptions!$D$139)+Assumptions!$D$140)+Assumptions!$D$141)+Assumptions!$D$142)+Assumptions!$D$143)/12)</f>
        <v>14166.6666666667</v>
      </c>
      <c r="X199" s="9" t="n">
        <f aca="false">((((((Assumptions!$D$138+Assumptions!$D$139)+Assumptions!$D$140)+Assumptions!$D$141)+Assumptions!$D$142)+Assumptions!$D$143)/12)</f>
        <v>14166.6666666667</v>
      </c>
      <c r="Y199" s="9" t="n">
        <f aca="false">((((((Assumptions!$D$138+Assumptions!$D$139)+Assumptions!$D$140)+Assumptions!$D$141)+Assumptions!$D$142)+Assumptions!$D$143)/12)</f>
        <v>14166.6666666667</v>
      </c>
      <c r="Z199" s="9" t="n">
        <f aca="false">((((((Assumptions!$D$138+Assumptions!$D$139)+Assumptions!$D$140)+Assumptions!$D$141)+Assumptions!$D$142)+Assumptions!$D$143)/12)</f>
        <v>14166.6666666667</v>
      </c>
      <c r="AA199" s="9" t="n">
        <f aca="false">((((((Assumptions!$E$138+Assumptions!$E$139)+Assumptions!$E$140)+Assumptions!$E$141)+Assumptions!$E$142)+Assumptions!$E$143)/12)</f>
        <v>19583.3333333333</v>
      </c>
      <c r="AB199" s="9" t="n">
        <f aca="false">((((((Assumptions!$E$138+Assumptions!$E$139)+Assumptions!$E$140)+Assumptions!$E$141)+Assumptions!$E$142)+Assumptions!$E$143)/12)</f>
        <v>19583.3333333333</v>
      </c>
      <c r="AC199" s="9" t="n">
        <f aca="false">((((((Assumptions!$E$138+Assumptions!$E$139)+Assumptions!$E$140)+Assumptions!$E$141)+Assumptions!$E$142)+Assumptions!$E$143)/12)</f>
        <v>19583.3333333333</v>
      </c>
      <c r="AD199" s="9" t="n">
        <f aca="false">((((((Assumptions!$E$138+Assumptions!$E$139)+Assumptions!$E$140)+Assumptions!$E$141)+Assumptions!$E$142)+Assumptions!$E$143)/12)</f>
        <v>19583.3333333333</v>
      </c>
      <c r="AE199" s="9" t="n">
        <f aca="false">((((((Assumptions!$E$138+Assumptions!$E$139)+Assumptions!$E$140)+Assumptions!$E$141)+Assumptions!$E$142)+Assumptions!$E$143)/12)</f>
        <v>19583.3333333333</v>
      </c>
      <c r="AF199" s="9" t="n">
        <f aca="false">((((((Assumptions!$E$138+Assumptions!$E$139)+Assumptions!$E$140)+Assumptions!$E$141)+Assumptions!$E$142)+Assumptions!$E$143)/12)</f>
        <v>19583.3333333333</v>
      </c>
      <c r="AG199" s="9" t="n">
        <f aca="false">((((((Assumptions!$E$138+Assumptions!$E$139)+Assumptions!$E$140)+Assumptions!$E$141)+Assumptions!$E$142)+Assumptions!$E$143)/12)</f>
        <v>19583.3333333333</v>
      </c>
      <c r="AH199" s="9" t="n">
        <f aca="false">((((((Assumptions!$E$138+Assumptions!$E$139)+Assumptions!$E$140)+Assumptions!$E$141)+Assumptions!$E$142)+Assumptions!$E$143)/12)</f>
        <v>19583.3333333333</v>
      </c>
      <c r="AI199" s="9" t="n">
        <f aca="false">((((((Assumptions!$E$138+Assumptions!$E$139)+Assumptions!$E$140)+Assumptions!$E$141)+Assumptions!$E$142)+Assumptions!$E$143)/12)</f>
        <v>19583.3333333333</v>
      </c>
      <c r="AJ199" s="9" t="n">
        <f aca="false">((((((Assumptions!$E$138+Assumptions!$E$139)+Assumptions!$E$140)+Assumptions!$E$141)+Assumptions!$E$142)+Assumptions!$E$143)/12)</f>
        <v>19583.3333333333</v>
      </c>
      <c r="AK199" s="9" t="n">
        <f aca="false">((((((Assumptions!$E$138+Assumptions!$E$139)+Assumptions!$E$140)+Assumptions!$E$141)+Assumptions!$E$142)+Assumptions!$E$143)/12)</f>
        <v>19583.3333333333</v>
      </c>
      <c r="AL199" s="9" t="n">
        <f aca="false">((((((Assumptions!$E$138+Assumptions!$E$139)+Assumptions!$E$140)+Assumptions!$E$141)+Assumptions!$E$142)+Assumptions!$E$143)/12)</f>
        <v>19583.3333333333</v>
      </c>
      <c r="AN199" s="11" t="n">
        <f aca="false">SUM(C199:N199)</f>
        <v>118000</v>
      </c>
      <c r="AO199" s="11" t="n">
        <f aca="false">SUM(O199:Z199)</f>
        <v>170000</v>
      </c>
      <c r="AP199" s="11" t="n">
        <f aca="false">SUM(AA199:AL199)</f>
        <v>235000</v>
      </c>
    </row>
    <row r="200" customFormat="false" ht="15" hidden="false" customHeight="false" outlineLevel="0" collapsed="false">
      <c r="A200" s="0" t="s">
        <v>36</v>
      </c>
      <c r="B200" s="0" t="s">
        <v>230</v>
      </c>
      <c r="C200" s="9" t="n">
        <f aca="false">(((Assumptions!$C$145+Assumptions!$C$146)+Assumptions!$C$147)/12)</f>
        <v>7916.66666666667</v>
      </c>
      <c r="D200" s="9" t="n">
        <f aca="false">(((Assumptions!$C$145+Assumptions!$C$146)+Assumptions!$C$147)/12)</f>
        <v>7916.66666666667</v>
      </c>
      <c r="E200" s="9" t="n">
        <f aca="false">(((Assumptions!$C$145+Assumptions!$C$146)+Assumptions!$C$147)/12)</f>
        <v>7916.66666666667</v>
      </c>
      <c r="F200" s="9" t="n">
        <f aca="false">(((Assumptions!$C$145+Assumptions!$C$146)+Assumptions!$C$147)/12)</f>
        <v>7916.66666666667</v>
      </c>
      <c r="G200" s="9" t="n">
        <f aca="false">(((Assumptions!$C$145+Assumptions!$C$146)+Assumptions!$C$147)/12)</f>
        <v>7916.66666666667</v>
      </c>
      <c r="H200" s="9" t="n">
        <f aca="false">(((Assumptions!$C$145+Assumptions!$C$146)+Assumptions!$C$147)/12)</f>
        <v>7916.66666666667</v>
      </c>
      <c r="I200" s="9" t="n">
        <f aca="false">(((Assumptions!$C$145+Assumptions!$C$146)+Assumptions!$C$147)/12)</f>
        <v>7916.66666666667</v>
      </c>
      <c r="J200" s="9" t="n">
        <f aca="false">(((Assumptions!$C$145+Assumptions!$C$146)+Assumptions!$C$147)/12)</f>
        <v>7916.66666666667</v>
      </c>
      <c r="K200" s="9" t="n">
        <f aca="false">(((Assumptions!$C$145+Assumptions!$C$146)+Assumptions!$C$147)/12)</f>
        <v>7916.66666666667</v>
      </c>
      <c r="L200" s="9" t="n">
        <f aca="false">(((Assumptions!$C$145+Assumptions!$C$146)+Assumptions!$C$147)/12)</f>
        <v>7916.66666666667</v>
      </c>
      <c r="M200" s="9" t="n">
        <f aca="false">(((Assumptions!$C$145+Assumptions!$C$146)+Assumptions!$C$147)/12)</f>
        <v>7916.66666666667</v>
      </c>
      <c r="N200" s="9" t="n">
        <f aca="false">(((Assumptions!$C$145+Assumptions!$C$146)+Assumptions!$C$147)/12)</f>
        <v>7916.66666666667</v>
      </c>
      <c r="O200" s="9" t="n">
        <f aca="false">(((Assumptions!$D$145+Assumptions!$D$146)+Assumptions!$D$147)/12)</f>
        <v>9333.33333333333</v>
      </c>
      <c r="P200" s="9" t="n">
        <f aca="false">(((Assumptions!$D$145+Assumptions!$D$146)+Assumptions!$D$147)/12)</f>
        <v>9333.33333333333</v>
      </c>
      <c r="Q200" s="9" t="n">
        <f aca="false">(((Assumptions!$D$145+Assumptions!$D$146)+Assumptions!$D$147)/12)</f>
        <v>9333.33333333333</v>
      </c>
      <c r="R200" s="9" t="n">
        <f aca="false">(((Assumptions!$D$145+Assumptions!$D$146)+Assumptions!$D$147)/12)</f>
        <v>9333.33333333333</v>
      </c>
      <c r="S200" s="9" t="n">
        <f aca="false">(((Assumptions!$D$145+Assumptions!$D$146)+Assumptions!$D$147)/12)</f>
        <v>9333.33333333333</v>
      </c>
      <c r="T200" s="9" t="n">
        <f aca="false">(((Assumptions!$D$145+Assumptions!$D$146)+Assumptions!$D$147)/12)</f>
        <v>9333.33333333333</v>
      </c>
      <c r="U200" s="9" t="n">
        <f aca="false">(((Assumptions!$D$145+Assumptions!$D$146)+Assumptions!$D$147)/12)</f>
        <v>9333.33333333333</v>
      </c>
      <c r="V200" s="9" t="n">
        <f aca="false">(((Assumptions!$D$145+Assumptions!$D$146)+Assumptions!$D$147)/12)</f>
        <v>9333.33333333333</v>
      </c>
      <c r="W200" s="9" t="n">
        <f aca="false">(((Assumptions!$D$145+Assumptions!$D$146)+Assumptions!$D$147)/12)</f>
        <v>9333.33333333333</v>
      </c>
      <c r="X200" s="9" t="n">
        <f aca="false">(((Assumptions!$D$145+Assumptions!$D$146)+Assumptions!$D$147)/12)</f>
        <v>9333.33333333333</v>
      </c>
      <c r="Y200" s="9" t="n">
        <f aca="false">(((Assumptions!$D$145+Assumptions!$D$146)+Assumptions!$D$147)/12)</f>
        <v>9333.33333333333</v>
      </c>
      <c r="Z200" s="9" t="n">
        <f aca="false">(((Assumptions!$D$145+Assumptions!$D$146)+Assumptions!$D$147)/12)</f>
        <v>9333.33333333333</v>
      </c>
      <c r="AA200" s="9" t="n">
        <f aca="false">(((Assumptions!$E$145+Assumptions!$E$146)+Assumptions!$E$147)/12)</f>
        <v>12916.6666666667</v>
      </c>
      <c r="AB200" s="9" t="n">
        <f aca="false">(((Assumptions!$E$145+Assumptions!$E$146)+Assumptions!$E$147)/12)</f>
        <v>12916.6666666667</v>
      </c>
      <c r="AC200" s="9" t="n">
        <f aca="false">(((Assumptions!$E$145+Assumptions!$E$146)+Assumptions!$E$147)/12)</f>
        <v>12916.6666666667</v>
      </c>
      <c r="AD200" s="9" t="n">
        <f aca="false">(((Assumptions!$E$145+Assumptions!$E$146)+Assumptions!$E$147)/12)</f>
        <v>12916.6666666667</v>
      </c>
      <c r="AE200" s="9" t="n">
        <f aca="false">(((Assumptions!$E$145+Assumptions!$E$146)+Assumptions!$E$147)/12)</f>
        <v>12916.6666666667</v>
      </c>
      <c r="AF200" s="9" t="n">
        <f aca="false">(((Assumptions!$E$145+Assumptions!$E$146)+Assumptions!$E$147)/12)</f>
        <v>12916.6666666667</v>
      </c>
      <c r="AG200" s="9" t="n">
        <f aca="false">(((Assumptions!$E$145+Assumptions!$E$146)+Assumptions!$E$147)/12)</f>
        <v>12916.6666666667</v>
      </c>
      <c r="AH200" s="9" t="n">
        <f aca="false">(((Assumptions!$E$145+Assumptions!$E$146)+Assumptions!$E$147)/12)</f>
        <v>12916.6666666667</v>
      </c>
      <c r="AI200" s="9" t="n">
        <f aca="false">(((Assumptions!$E$145+Assumptions!$E$146)+Assumptions!$E$147)/12)</f>
        <v>12916.6666666667</v>
      </c>
      <c r="AJ200" s="9" t="n">
        <f aca="false">(((Assumptions!$E$145+Assumptions!$E$146)+Assumptions!$E$147)/12)</f>
        <v>12916.6666666667</v>
      </c>
      <c r="AK200" s="9" t="n">
        <f aca="false">(((Assumptions!$E$145+Assumptions!$E$146)+Assumptions!$E$147)/12)</f>
        <v>12916.6666666667</v>
      </c>
      <c r="AL200" s="9" t="n">
        <f aca="false">(((Assumptions!$E$145+Assumptions!$E$146)+Assumptions!$E$147)/12)</f>
        <v>12916.6666666667</v>
      </c>
      <c r="AN200" s="11" t="n">
        <f aca="false">SUM(C200:N200)</f>
        <v>95000</v>
      </c>
      <c r="AO200" s="11" t="n">
        <f aca="false">SUM(O200:Z200)</f>
        <v>112000</v>
      </c>
      <c r="AP200" s="11" t="n">
        <f aca="false">SUM(AA200:AL200)</f>
        <v>155000</v>
      </c>
    </row>
    <row r="201" customFormat="false" ht="15" hidden="false" customHeight="false" outlineLevel="0" collapsed="false">
      <c r="A201" s="0" t="s">
        <v>37</v>
      </c>
      <c r="B201" s="0" t="s">
        <v>230</v>
      </c>
      <c r="C201" s="9" t="n">
        <f aca="false">(((Assumptions!$C$148+Assumptions!$C$149)+Assumptions!$C$150)/12)</f>
        <v>3416.66666666667</v>
      </c>
      <c r="D201" s="9" t="n">
        <f aca="false">(((Assumptions!$C$148+Assumptions!$C$149)+Assumptions!$C$150)/12)</f>
        <v>3416.66666666667</v>
      </c>
      <c r="E201" s="9" t="n">
        <f aca="false">(((Assumptions!$C$148+Assumptions!$C$149)+Assumptions!$C$150)/12)</f>
        <v>3416.66666666667</v>
      </c>
      <c r="F201" s="9" t="n">
        <f aca="false">(((Assumptions!$C$148+Assumptions!$C$149)+Assumptions!$C$150)/12)</f>
        <v>3416.66666666667</v>
      </c>
      <c r="G201" s="9" t="n">
        <f aca="false">(((Assumptions!$C$148+Assumptions!$C$149)+Assumptions!$C$150)/12)</f>
        <v>3416.66666666667</v>
      </c>
      <c r="H201" s="9" t="n">
        <f aca="false">(((Assumptions!$C$148+Assumptions!$C$149)+Assumptions!$C$150)/12)</f>
        <v>3416.66666666667</v>
      </c>
      <c r="I201" s="9" t="n">
        <f aca="false">(((Assumptions!$C$148+Assumptions!$C$149)+Assumptions!$C$150)/12)</f>
        <v>3416.66666666667</v>
      </c>
      <c r="J201" s="9" t="n">
        <f aca="false">(((Assumptions!$C$148+Assumptions!$C$149)+Assumptions!$C$150)/12)</f>
        <v>3416.66666666667</v>
      </c>
      <c r="K201" s="9" t="n">
        <f aca="false">(((Assumptions!$C$148+Assumptions!$C$149)+Assumptions!$C$150)/12)</f>
        <v>3416.66666666667</v>
      </c>
      <c r="L201" s="9" t="n">
        <f aca="false">(((Assumptions!$C$148+Assumptions!$C$149)+Assumptions!$C$150)/12)</f>
        <v>3416.66666666667</v>
      </c>
      <c r="M201" s="9" t="n">
        <f aca="false">(((Assumptions!$C$148+Assumptions!$C$149)+Assumptions!$C$150)/12)</f>
        <v>3416.66666666667</v>
      </c>
      <c r="N201" s="9" t="n">
        <f aca="false">(((Assumptions!$C$148+Assumptions!$C$149)+Assumptions!$C$150)/12)</f>
        <v>3416.66666666667</v>
      </c>
      <c r="O201" s="9" t="n">
        <f aca="false">(((Assumptions!$D$148+Assumptions!$D$149)+Assumptions!$D$150)/12)</f>
        <v>5833.33333333333</v>
      </c>
      <c r="P201" s="9" t="n">
        <f aca="false">(((Assumptions!$D$148+Assumptions!$D$149)+Assumptions!$D$150)/12)</f>
        <v>5833.33333333333</v>
      </c>
      <c r="Q201" s="9" t="n">
        <f aca="false">(((Assumptions!$D$148+Assumptions!$D$149)+Assumptions!$D$150)/12)</f>
        <v>5833.33333333333</v>
      </c>
      <c r="R201" s="9" t="n">
        <f aca="false">(((Assumptions!$D$148+Assumptions!$D$149)+Assumptions!$D$150)/12)</f>
        <v>5833.33333333333</v>
      </c>
      <c r="S201" s="9" t="n">
        <f aca="false">(((Assumptions!$D$148+Assumptions!$D$149)+Assumptions!$D$150)/12)</f>
        <v>5833.33333333333</v>
      </c>
      <c r="T201" s="9" t="n">
        <f aca="false">(((Assumptions!$D$148+Assumptions!$D$149)+Assumptions!$D$150)/12)</f>
        <v>5833.33333333333</v>
      </c>
      <c r="U201" s="9" t="n">
        <f aca="false">(((Assumptions!$D$148+Assumptions!$D$149)+Assumptions!$D$150)/12)</f>
        <v>5833.33333333333</v>
      </c>
      <c r="V201" s="9" t="n">
        <f aca="false">(((Assumptions!$D$148+Assumptions!$D$149)+Assumptions!$D$150)/12)</f>
        <v>5833.33333333333</v>
      </c>
      <c r="W201" s="9" t="n">
        <f aca="false">(((Assumptions!$D$148+Assumptions!$D$149)+Assumptions!$D$150)/12)</f>
        <v>5833.33333333333</v>
      </c>
      <c r="X201" s="9" t="n">
        <f aca="false">(((Assumptions!$D$148+Assumptions!$D$149)+Assumptions!$D$150)/12)</f>
        <v>5833.33333333333</v>
      </c>
      <c r="Y201" s="9" t="n">
        <f aca="false">(((Assumptions!$D$148+Assumptions!$D$149)+Assumptions!$D$150)/12)</f>
        <v>5833.33333333333</v>
      </c>
      <c r="Z201" s="9" t="n">
        <f aca="false">(((Assumptions!$D$148+Assumptions!$D$149)+Assumptions!$D$150)/12)</f>
        <v>5833.33333333333</v>
      </c>
      <c r="AA201" s="9" t="n">
        <f aca="false">(((Assumptions!$E$148+Assumptions!$E$149)+Assumptions!$E$150)/12)</f>
        <v>10000</v>
      </c>
      <c r="AB201" s="9" t="n">
        <f aca="false">(((Assumptions!$E$148+Assumptions!$E$149)+Assumptions!$E$150)/12)</f>
        <v>10000</v>
      </c>
      <c r="AC201" s="9" t="n">
        <f aca="false">(((Assumptions!$E$148+Assumptions!$E$149)+Assumptions!$E$150)/12)</f>
        <v>10000</v>
      </c>
      <c r="AD201" s="9" t="n">
        <f aca="false">(((Assumptions!$E$148+Assumptions!$E$149)+Assumptions!$E$150)/12)</f>
        <v>10000</v>
      </c>
      <c r="AE201" s="9" t="n">
        <f aca="false">(((Assumptions!$E$148+Assumptions!$E$149)+Assumptions!$E$150)/12)</f>
        <v>10000</v>
      </c>
      <c r="AF201" s="9" t="n">
        <f aca="false">(((Assumptions!$E$148+Assumptions!$E$149)+Assumptions!$E$150)/12)</f>
        <v>10000</v>
      </c>
      <c r="AG201" s="9" t="n">
        <f aca="false">(((Assumptions!$E$148+Assumptions!$E$149)+Assumptions!$E$150)/12)</f>
        <v>10000</v>
      </c>
      <c r="AH201" s="9" t="n">
        <f aca="false">(((Assumptions!$E$148+Assumptions!$E$149)+Assumptions!$E$150)/12)</f>
        <v>10000</v>
      </c>
      <c r="AI201" s="9" t="n">
        <f aca="false">(((Assumptions!$E$148+Assumptions!$E$149)+Assumptions!$E$150)/12)</f>
        <v>10000</v>
      </c>
      <c r="AJ201" s="9" t="n">
        <f aca="false">(((Assumptions!$E$148+Assumptions!$E$149)+Assumptions!$E$150)/12)</f>
        <v>10000</v>
      </c>
      <c r="AK201" s="9" t="n">
        <f aca="false">(((Assumptions!$E$148+Assumptions!$E$149)+Assumptions!$E$150)/12)</f>
        <v>10000</v>
      </c>
      <c r="AL201" s="9" t="n">
        <f aca="false">(((Assumptions!$E$148+Assumptions!$E$149)+Assumptions!$E$150)/12)</f>
        <v>10000</v>
      </c>
      <c r="AN201" s="11" t="n">
        <f aca="false">SUM(C201:N201)</f>
        <v>41000</v>
      </c>
      <c r="AO201" s="11" t="n">
        <f aca="false">SUM(O201:Z201)</f>
        <v>70000</v>
      </c>
      <c r="AP201" s="11" t="n">
        <f aca="false">SUM(AA201:AL201)</f>
        <v>120000</v>
      </c>
    </row>
    <row r="202" customFormat="false" ht="15" hidden="false" customHeight="false" outlineLevel="0" collapsed="false">
      <c r="A202" s="0" t="s">
        <v>1001</v>
      </c>
      <c r="B202" s="0" t="s">
        <v>230</v>
      </c>
      <c r="C202" s="9" t="n">
        <f aca="false">(((Assumptions!$C$152+Assumptions!$C$153)+Assumptions!$C$154)/12)</f>
        <v>4000</v>
      </c>
      <c r="D202" s="9" t="n">
        <f aca="false">(((Assumptions!$C$152+Assumptions!$C$153)+Assumptions!$C$154)/12)</f>
        <v>4000</v>
      </c>
      <c r="E202" s="9" t="n">
        <f aca="false">(((Assumptions!$C$152+Assumptions!$C$153)+Assumptions!$C$154)/12)</f>
        <v>4000</v>
      </c>
      <c r="F202" s="9" t="n">
        <f aca="false">(((Assumptions!$C$152+Assumptions!$C$153)+Assumptions!$C$154)/12)</f>
        <v>4000</v>
      </c>
      <c r="G202" s="9" t="n">
        <f aca="false">(((Assumptions!$C$152+Assumptions!$C$153)+Assumptions!$C$154)/12)</f>
        <v>4000</v>
      </c>
      <c r="H202" s="9" t="n">
        <f aca="false">(((Assumptions!$C$152+Assumptions!$C$153)+Assumptions!$C$154)/12)</f>
        <v>4000</v>
      </c>
      <c r="I202" s="9" t="n">
        <f aca="false">(((Assumptions!$C$152+Assumptions!$C$153)+Assumptions!$C$154)/12)</f>
        <v>4000</v>
      </c>
      <c r="J202" s="9" t="n">
        <f aca="false">(((Assumptions!$C$152+Assumptions!$C$153)+Assumptions!$C$154)/12)</f>
        <v>4000</v>
      </c>
      <c r="K202" s="9" t="n">
        <f aca="false">(((Assumptions!$C$152+Assumptions!$C$153)+Assumptions!$C$154)/12)</f>
        <v>4000</v>
      </c>
      <c r="L202" s="9" t="n">
        <f aca="false">(((Assumptions!$C$152+Assumptions!$C$153)+Assumptions!$C$154)/12)</f>
        <v>4000</v>
      </c>
      <c r="M202" s="9" t="n">
        <f aca="false">(((Assumptions!$C$152+Assumptions!$C$153)+Assumptions!$C$154)/12)</f>
        <v>4000</v>
      </c>
      <c r="N202" s="9" t="n">
        <f aca="false">(((Assumptions!$C$152+Assumptions!$C$153)+Assumptions!$C$154)/12)</f>
        <v>4000</v>
      </c>
      <c r="O202" s="9" t="n">
        <f aca="false">(((Assumptions!$D$152+Assumptions!$D$153)+Assumptions!$D$154)/12)</f>
        <v>8250</v>
      </c>
      <c r="P202" s="9" t="n">
        <f aca="false">(((Assumptions!$D$152+Assumptions!$D$153)+Assumptions!$D$154)/12)</f>
        <v>8250</v>
      </c>
      <c r="Q202" s="9" t="n">
        <f aca="false">(((Assumptions!$D$152+Assumptions!$D$153)+Assumptions!$D$154)/12)</f>
        <v>8250</v>
      </c>
      <c r="R202" s="9" t="n">
        <f aca="false">(((Assumptions!$D$152+Assumptions!$D$153)+Assumptions!$D$154)/12)</f>
        <v>8250</v>
      </c>
      <c r="S202" s="9" t="n">
        <f aca="false">(((Assumptions!$D$152+Assumptions!$D$153)+Assumptions!$D$154)/12)</f>
        <v>8250</v>
      </c>
      <c r="T202" s="9" t="n">
        <f aca="false">(((Assumptions!$D$152+Assumptions!$D$153)+Assumptions!$D$154)/12)</f>
        <v>8250</v>
      </c>
      <c r="U202" s="9" t="n">
        <f aca="false">(((Assumptions!$D$152+Assumptions!$D$153)+Assumptions!$D$154)/12)</f>
        <v>8250</v>
      </c>
      <c r="V202" s="9" t="n">
        <f aca="false">(((Assumptions!$D$152+Assumptions!$D$153)+Assumptions!$D$154)/12)</f>
        <v>8250</v>
      </c>
      <c r="W202" s="9" t="n">
        <f aca="false">(((Assumptions!$D$152+Assumptions!$D$153)+Assumptions!$D$154)/12)</f>
        <v>8250</v>
      </c>
      <c r="X202" s="9" t="n">
        <f aca="false">(((Assumptions!$D$152+Assumptions!$D$153)+Assumptions!$D$154)/12)</f>
        <v>8250</v>
      </c>
      <c r="Y202" s="9" t="n">
        <f aca="false">(((Assumptions!$D$152+Assumptions!$D$153)+Assumptions!$D$154)/12)</f>
        <v>8250</v>
      </c>
      <c r="Z202" s="9" t="n">
        <f aca="false">(((Assumptions!$D$152+Assumptions!$D$153)+Assumptions!$D$154)/12)</f>
        <v>8250</v>
      </c>
      <c r="AA202" s="9" t="n">
        <f aca="false">(((Assumptions!$E$152+Assumptions!$E$153)+Assumptions!$E$154)/12)</f>
        <v>12583.3333333333</v>
      </c>
      <c r="AB202" s="9" t="n">
        <f aca="false">(((Assumptions!$E$152+Assumptions!$E$153)+Assumptions!$E$154)/12)</f>
        <v>12583.3333333333</v>
      </c>
      <c r="AC202" s="9" t="n">
        <f aca="false">(((Assumptions!$E$152+Assumptions!$E$153)+Assumptions!$E$154)/12)</f>
        <v>12583.3333333333</v>
      </c>
      <c r="AD202" s="9" t="n">
        <f aca="false">(((Assumptions!$E$152+Assumptions!$E$153)+Assumptions!$E$154)/12)</f>
        <v>12583.3333333333</v>
      </c>
      <c r="AE202" s="9" t="n">
        <f aca="false">(((Assumptions!$E$152+Assumptions!$E$153)+Assumptions!$E$154)/12)</f>
        <v>12583.3333333333</v>
      </c>
      <c r="AF202" s="9" t="n">
        <f aca="false">(((Assumptions!$E$152+Assumptions!$E$153)+Assumptions!$E$154)/12)</f>
        <v>12583.3333333333</v>
      </c>
      <c r="AG202" s="9" t="n">
        <f aca="false">(((Assumptions!$E$152+Assumptions!$E$153)+Assumptions!$E$154)/12)</f>
        <v>12583.3333333333</v>
      </c>
      <c r="AH202" s="9" t="n">
        <f aca="false">(((Assumptions!$E$152+Assumptions!$E$153)+Assumptions!$E$154)/12)</f>
        <v>12583.3333333333</v>
      </c>
      <c r="AI202" s="9" t="n">
        <f aca="false">(((Assumptions!$E$152+Assumptions!$E$153)+Assumptions!$E$154)/12)</f>
        <v>12583.3333333333</v>
      </c>
      <c r="AJ202" s="9" t="n">
        <f aca="false">(((Assumptions!$E$152+Assumptions!$E$153)+Assumptions!$E$154)/12)</f>
        <v>12583.3333333333</v>
      </c>
      <c r="AK202" s="9" t="n">
        <f aca="false">(((Assumptions!$E$152+Assumptions!$E$153)+Assumptions!$E$154)/12)</f>
        <v>12583.3333333333</v>
      </c>
      <c r="AL202" s="9" t="n">
        <f aca="false">(((Assumptions!$E$152+Assumptions!$E$153)+Assumptions!$E$154)/12)</f>
        <v>12583.3333333333</v>
      </c>
      <c r="AN202" s="11" t="n">
        <f aca="false">SUM(C202:N202)</f>
        <v>48000</v>
      </c>
      <c r="AO202" s="11" t="n">
        <f aca="false">SUM(O202:Z202)</f>
        <v>99000</v>
      </c>
      <c r="AP202" s="11" t="n">
        <f aca="false">SUM(AA202:AL202)</f>
        <v>151000</v>
      </c>
    </row>
    <row r="203" customFormat="false" ht="15" hidden="false" customHeight="false" outlineLevel="0" collapsed="false">
      <c r="A203" s="0" t="s">
        <v>561</v>
      </c>
      <c r="B203" s="0" t="s">
        <v>230</v>
      </c>
      <c r="C203" s="9" t="n">
        <f aca="false">(Assumptions!$C$155/12)</f>
        <v>833.333333333333</v>
      </c>
      <c r="D203" s="9" t="n">
        <f aca="false">(Assumptions!$C$155/12)</f>
        <v>833.333333333333</v>
      </c>
      <c r="E203" s="9" t="n">
        <f aca="false">(Assumptions!$C$155/12)</f>
        <v>833.333333333333</v>
      </c>
      <c r="F203" s="9" t="n">
        <f aca="false">(Assumptions!$C$155/12)</f>
        <v>833.333333333333</v>
      </c>
      <c r="G203" s="9" t="n">
        <f aca="false">(Assumptions!$C$155/12)</f>
        <v>833.333333333333</v>
      </c>
      <c r="H203" s="9" t="n">
        <f aca="false">(Assumptions!$C$155/12)</f>
        <v>833.333333333333</v>
      </c>
      <c r="I203" s="9" t="n">
        <f aca="false">(Assumptions!$C$155/12)</f>
        <v>833.333333333333</v>
      </c>
      <c r="J203" s="9" t="n">
        <f aca="false">(Assumptions!$C$155/12)</f>
        <v>833.333333333333</v>
      </c>
      <c r="K203" s="9" t="n">
        <f aca="false">(Assumptions!$C$155/12)</f>
        <v>833.333333333333</v>
      </c>
      <c r="L203" s="9" t="n">
        <f aca="false">(Assumptions!$C$155/12)</f>
        <v>833.333333333333</v>
      </c>
      <c r="M203" s="9" t="n">
        <f aca="false">(Assumptions!$C$155/12)</f>
        <v>833.333333333333</v>
      </c>
      <c r="N203" s="9" t="n">
        <f aca="false">(Assumptions!$C$155/12)</f>
        <v>833.333333333333</v>
      </c>
      <c r="O203" s="9" t="n">
        <f aca="false">(Assumptions!$D$155/12)</f>
        <v>1666.66666666667</v>
      </c>
      <c r="P203" s="9" t="n">
        <f aca="false">(Assumptions!$D$155/12)</f>
        <v>1666.66666666667</v>
      </c>
      <c r="Q203" s="9" t="n">
        <f aca="false">(Assumptions!$D$155/12)</f>
        <v>1666.66666666667</v>
      </c>
      <c r="R203" s="9" t="n">
        <f aca="false">(Assumptions!$D$155/12)</f>
        <v>1666.66666666667</v>
      </c>
      <c r="S203" s="9" t="n">
        <f aca="false">(Assumptions!$D$155/12)</f>
        <v>1666.66666666667</v>
      </c>
      <c r="T203" s="9" t="n">
        <f aca="false">(Assumptions!$D$155/12)</f>
        <v>1666.66666666667</v>
      </c>
      <c r="U203" s="9" t="n">
        <f aca="false">(Assumptions!$D$155/12)</f>
        <v>1666.66666666667</v>
      </c>
      <c r="V203" s="9" t="n">
        <f aca="false">(Assumptions!$D$155/12)</f>
        <v>1666.66666666667</v>
      </c>
      <c r="W203" s="9" t="n">
        <f aca="false">(Assumptions!$D$155/12)</f>
        <v>1666.66666666667</v>
      </c>
      <c r="X203" s="9" t="n">
        <f aca="false">(Assumptions!$D$155/12)</f>
        <v>1666.66666666667</v>
      </c>
      <c r="Y203" s="9" t="n">
        <f aca="false">(Assumptions!$D$155/12)</f>
        <v>1666.66666666667</v>
      </c>
      <c r="Z203" s="9" t="n">
        <f aca="false">(Assumptions!$D$155/12)</f>
        <v>1666.66666666667</v>
      </c>
      <c r="AA203" s="9" t="n">
        <f aca="false">(Assumptions!$E$155/12)</f>
        <v>2500</v>
      </c>
      <c r="AB203" s="9" t="n">
        <f aca="false">(Assumptions!$E$155/12)</f>
        <v>2500</v>
      </c>
      <c r="AC203" s="9" t="n">
        <f aca="false">(Assumptions!$E$155/12)</f>
        <v>2500</v>
      </c>
      <c r="AD203" s="9" t="n">
        <f aca="false">(Assumptions!$E$155/12)</f>
        <v>2500</v>
      </c>
      <c r="AE203" s="9" t="n">
        <f aca="false">(Assumptions!$E$155/12)</f>
        <v>2500</v>
      </c>
      <c r="AF203" s="9" t="n">
        <f aca="false">(Assumptions!$E$155/12)</f>
        <v>2500</v>
      </c>
      <c r="AG203" s="9" t="n">
        <f aca="false">(Assumptions!$E$155/12)</f>
        <v>2500</v>
      </c>
      <c r="AH203" s="9" t="n">
        <f aca="false">(Assumptions!$E$155/12)</f>
        <v>2500</v>
      </c>
      <c r="AI203" s="9" t="n">
        <f aca="false">(Assumptions!$E$155/12)</f>
        <v>2500</v>
      </c>
      <c r="AJ203" s="9" t="n">
        <f aca="false">(Assumptions!$E$155/12)</f>
        <v>2500</v>
      </c>
      <c r="AK203" s="9" t="n">
        <f aca="false">(Assumptions!$E$155/12)</f>
        <v>2500</v>
      </c>
      <c r="AL203" s="9" t="n">
        <f aca="false">(Assumptions!$E$155/12)</f>
        <v>2500</v>
      </c>
      <c r="AN203" s="11" t="n">
        <f aca="false">SUM(C203:N203)</f>
        <v>10000</v>
      </c>
      <c r="AO203" s="11" t="n">
        <f aca="false">SUM(O203:Z203)</f>
        <v>20000</v>
      </c>
      <c r="AP203" s="11" t="n">
        <f aca="false">SUM(AA203:AL203)</f>
        <v>30000</v>
      </c>
    </row>
    <row r="204" customFormat="false" ht="15" hidden="false" customHeight="false" outlineLevel="0" collapsed="false">
      <c r="A204" s="0" t="s">
        <v>1002</v>
      </c>
      <c r="B204" s="0" t="s">
        <v>230</v>
      </c>
      <c r="C204" s="9" t="n">
        <f aca="false">(Assumptions!$C$39*C134)</f>
        <v>0</v>
      </c>
      <c r="D204" s="9" t="n">
        <f aca="false">(Assumptions!$C$39*D134)</f>
        <v>0</v>
      </c>
      <c r="E204" s="9" t="n">
        <f aca="false">(Assumptions!$C$39*E134)</f>
        <v>0</v>
      </c>
      <c r="F204" s="9" t="n">
        <f aca="false">(Assumptions!$C$39*F134)</f>
        <v>0</v>
      </c>
      <c r="G204" s="9" t="n">
        <f aca="false">(Assumptions!$C$39*G134)</f>
        <v>0</v>
      </c>
      <c r="H204" s="9" t="n">
        <f aca="false">(Assumptions!$C$39*H134)</f>
        <v>0</v>
      </c>
      <c r="I204" s="9" t="n">
        <f aca="false">(Assumptions!$C$39*I134)</f>
        <v>0</v>
      </c>
      <c r="J204" s="9" t="n">
        <f aca="false">(Assumptions!$C$39*J134)</f>
        <v>0</v>
      </c>
      <c r="K204" s="9" t="n">
        <f aca="false">(Assumptions!$C$39*K134)</f>
        <v>0</v>
      </c>
      <c r="L204" s="9" t="n">
        <f aca="false">(Assumptions!$C$39*L134)</f>
        <v>0</v>
      </c>
      <c r="M204" s="9" t="n">
        <f aca="false">(Assumptions!$C$39*M134)</f>
        <v>0</v>
      </c>
      <c r="N204" s="9" t="n">
        <f aca="false">(Assumptions!$C$39*N134)</f>
        <v>0</v>
      </c>
      <c r="O204" s="9" t="n">
        <f aca="false">(Assumptions!$C$39*O134)</f>
        <v>0</v>
      </c>
      <c r="P204" s="9" t="n">
        <f aca="false">(Assumptions!$C$39*P134)</f>
        <v>0</v>
      </c>
      <c r="Q204" s="9" t="n">
        <f aca="false">(Assumptions!$C$39*Q134)</f>
        <v>0</v>
      </c>
      <c r="R204" s="9" t="n">
        <f aca="false">(Assumptions!$C$39*R134)</f>
        <v>0</v>
      </c>
      <c r="S204" s="9" t="n">
        <f aca="false">(Assumptions!$C$39*S134)</f>
        <v>0</v>
      </c>
      <c r="T204" s="9" t="n">
        <f aca="false">(Assumptions!$C$39*T134)</f>
        <v>4371.84</v>
      </c>
      <c r="U204" s="9" t="n">
        <f aca="false">(Assumptions!$C$39*U134)</f>
        <v>2880</v>
      </c>
      <c r="V204" s="9" t="n">
        <f aca="false">(Assumptions!$C$39*V134)</f>
        <v>0</v>
      </c>
      <c r="W204" s="9" t="n">
        <f aca="false">(Assumptions!$C$39*W134)</f>
        <v>0</v>
      </c>
      <c r="X204" s="9" t="n">
        <f aca="false">(Assumptions!$C$39*X134)</f>
        <v>8960</v>
      </c>
      <c r="Y204" s="9" t="n">
        <f aca="false">(Assumptions!$C$39*Y134)</f>
        <v>0</v>
      </c>
      <c r="Z204" s="9" t="n">
        <f aca="false">(Assumptions!$C$39*Z134)</f>
        <v>0</v>
      </c>
      <c r="AA204" s="9" t="n">
        <f aca="false">(Assumptions!$C$39*AA134)</f>
        <v>11840</v>
      </c>
      <c r="AB204" s="9" t="n">
        <f aca="false">(Assumptions!$C$39*AB134)</f>
        <v>950.4</v>
      </c>
      <c r="AC204" s="9" t="n">
        <f aca="false">(Assumptions!$C$39*AC134)</f>
        <v>0</v>
      </c>
      <c r="AD204" s="9" t="n">
        <f aca="false">(Assumptions!$C$39*AD134)</f>
        <v>11840</v>
      </c>
      <c r="AE204" s="9" t="n">
        <f aca="false">(Assumptions!$C$39*AE134)</f>
        <v>7165.92</v>
      </c>
      <c r="AF204" s="9" t="n">
        <f aca="false">(Assumptions!$C$39*AF134)</f>
        <v>0</v>
      </c>
      <c r="AG204" s="9" t="n">
        <f aca="false">(Assumptions!$C$39*AG134)</f>
        <v>14720</v>
      </c>
      <c r="AH204" s="9" t="n">
        <f aca="false">(Assumptions!$C$39*AH134)</f>
        <v>17780.32</v>
      </c>
      <c r="AI204" s="9" t="n">
        <f aca="false">(Assumptions!$C$39*AI134)</f>
        <v>0</v>
      </c>
      <c r="AJ204" s="9" t="n">
        <f aca="false">(Assumptions!$C$39*AJ134)</f>
        <v>20800</v>
      </c>
      <c r="AK204" s="9" t="n">
        <f aca="false">(Assumptions!$C$39*AK134)</f>
        <v>21572.32</v>
      </c>
      <c r="AL204" s="9" t="n">
        <f aca="false">(Assumptions!$C$39*AL134)</f>
        <v>13280</v>
      </c>
      <c r="AN204" s="11" t="n">
        <f aca="false">SUM(C204:N204)</f>
        <v>0</v>
      </c>
      <c r="AO204" s="11" t="n">
        <f aca="false">SUM(O204:Z204)</f>
        <v>16211.84</v>
      </c>
      <c r="AP204" s="11" t="n">
        <f aca="false">SUM(AA204:AL204)</f>
        <v>119948.96</v>
      </c>
    </row>
    <row r="205" customFormat="false" ht="15" hidden="false" customHeight="false" outlineLevel="0" collapsed="false">
      <c r="A205" s="0" t="s">
        <v>1003</v>
      </c>
      <c r="B205" s="0" t="s">
        <v>230</v>
      </c>
      <c r="C205" s="9" t="n">
        <f aca="false">((((Assumptions!$C$157+Assumptions!$C$158)+Assumptions!$C$159)+Assumptions!$C$160)/12)</f>
        <v>5000</v>
      </c>
      <c r="D205" s="9" t="n">
        <f aca="false">((((Assumptions!$C$157+Assumptions!$C$158)+Assumptions!$C$159)+Assumptions!$C$160)/12)</f>
        <v>5000</v>
      </c>
      <c r="E205" s="9" t="n">
        <f aca="false">((((Assumptions!$C$157+Assumptions!$C$158)+Assumptions!$C$159)+Assumptions!$C$160)/12)</f>
        <v>5000</v>
      </c>
      <c r="F205" s="9" t="n">
        <f aca="false">((((Assumptions!$C$157+Assumptions!$C$158)+Assumptions!$C$159)+Assumptions!$C$160)/12)</f>
        <v>5000</v>
      </c>
      <c r="G205" s="9" t="n">
        <f aca="false">((((Assumptions!$C$157+Assumptions!$C$158)+Assumptions!$C$159)+Assumptions!$C$160)/12)</f>
        <v>5000</v>
      </c>
      <c r="H205" s="9" t="n">
        <f aca="false">((((Assumptions!$C$157+Assumptions!$C$158)+Assumptions!$C$159)+Assumptions!$C$160)/12)</f>
        <v>5000</v>
      </c>
      <c r="I205" s="9" t="n">
        <f aca="false">((((Assumptions!$C$157+Assumptions!$C$158)+Assumptions!$C$159)+Assumptions!$C$160)/12)</f>
        <v>5000</v>
      </c>
      <c r="J205" s="9" t="n">
        <f aca="false">((((Assumptions!$C$157+Assumptions!$C$158)+Assumptions!$C$159)+Assumptions!$C$160)/12)</f>
        <v>5000</v>
      </c>
      <c r="K205" s="9" t="n">
        <f aca="false">((((Assumptions!$C$157+Assumptions!$C$158)+Assumptions!$C$159)+Assumptions!$C$160)/12)</f>
        <v>5000</v>
      </c>
      <c r="L205" s="9" t="n">
        <f aca="false">((((Assumptions!$C$157+Assumptions!$C$158)+Assumptions!$C$159)+Assumptions!$C$160)/12)</f>
        <v>5000</v>
      </c>
      <c r="M205" s="9" t="n">
        <f aca="false">((((Assumptions!$C$157+Assumptions!$C$158)+Assumptions!$C$159)+Assumptions!$C$160)/12)</f>
        <v>5000</v>
      </c>
      <c r="N205" s="9" t="n">
        <f aca="false">((((Assumptions!$C$157+Assumptions!$C$158)+Assumptions!$C$159)+Assumptions!$C$160)/12)</f>
        <v>5000</v>
      </c>
      <c r="O205" s="9" t="n">
        <f aca="false">((((Assumptions!$D$157+Assumptions!$D$158)+Assumptions!$D$159)+Assumptions!$D$160)/12)</f>
        <v>10833.3333333333</v>
      </c>
      <c r="P205" s="9" t="n">
        <f aca="false">((((Assumptions!$D$157+Assumptions!$D$158)+Assumptions!$D$159)+Assumptions!$D$160)/12)</f>
        <v>10833.3333333333</v>
      </c>
      <c r="Q205" s="9" t="n">
        <f aca="false">((((Assumptions!$D$157+Assumptions!$D$158)+Assumptions!$D$159)+Assumptions!$D$160)/12)</f>
        <v>10833.3333333333</v>
      </c>
      <c r="R205" s="9" t="n">
        <f aca="false">((((Assumptions!$D$157+Assumptions!$D$158)+Assumptions!$D$159)+Assumptions!$D$160)/12)</f>
        <v>10833.3333333333</v>
      </c>
      <c r="S205" s="9" t="n">
        <f aca="false">((((Assumptions!$D$157+Assumptions!$D$158)+Assumptions!$D$159)+Assumptions!$D$160)/12)</f>
        <v>10833.3333333333</v>
      </c>
      <c r="T205" s="9" t="n">
        <f aca="false">((((Assumptions!$D$157+Assumptions!$D$158)+Assumptions!$D$159)+Assumptions!$D$160)/12)</f>
        <v>10833.3333333333</v>
      </c>
      <c r="U205" s="9" t="n">
        <f aca="false">((((Assumptions!$D$157+Assumptions!$D$158)+Assumptions!$D$159)+Assumptions!$D$160)/12)</f>
        <v>10833.3333333333</v>
      </c>
      <c r="V205" s="9" t="n">
        <f aca="false">((((Assumptions!$D$157+Assumptions!$D$158)+Assumptions!$D$159)+Assumptions!$D$160)/12)</f>
        <v>10833.3333333333</v>
      </c>
      <c r="W205" s="9" t="n">
        <f aca="false">((((Assumptions!$D$157+Assumptions!$D$158)+Assumptions!$D$159)+Assumptions!$D$160)/12)</f>
        <v>10833.3333333333</v>
      </c>
      <c r="X205" s="9" t="n">
        <f aca="false">((((Assumptions!$D$157+Assumptions!$D$158)+Assumptions!$D$159)+Assumptions!$D$160)/12)</f>
        <v>10833.3333333333</v>
      </c>
      <c r="Y205" s="9" t="n">
        <f aca="false">((((Assumptions!$D$157+Assumptions!$D$158)+Assumptions!$D$159)+Assumptions!$D$160)/12)</f>
        <v>10833.3333333333</v>
      </c>
      <c r="Z205" s="9" t="n">
        <f aca="false">((((Assumptions!$D$157+Assumptions!$D$158)+Assumptions!$D$159)+Assumptions!$D$160)/12)</f>
        <v>10833.3333333333</v>
      </c>
      <c r="AA205" s="9" t="n">
        <f aca="false">((((Assumptions!$E$157+Assumptions!$E$158)+Assumptions!$E$159)+Assumptions!$E$160)/12)</f>
        <v>18333.3333333333</v>
      </c>
      <c r="AB205" s="9" t="n">
        <f aca="false">((((Assumptions!$E$157+Assumptions!$E$158)+Assumptions!$E$159)+Assumptions!$E$160)/12)</f>
        <v>18333.3333333333</v>
      </c>
      <c r="AC205" s="9" t="n">
        <f aca="false">((((Assumptions!$E$157+Assumptions!$E$158)+Assumptions!$E$159)+Assumptions!$E$160)/12)</f>
        <v>18333.3333333333</v>
      </c>
      <c r="AD205" s="9" t="n">
        <f aca="false">((((Assumptions!$E$157+Assumptions!$E$158)+Assumptions!$E$159)+Assumptions!$E$160)/12)</f>
        <v>18333.3333333333</v>
      </c>
      <c r="AE205" s="9" t="n">
        <f aca="false">((((Assumptions!$E$157+Assumptions!$E$158)+Assumptions!$E$159)+Assumptions!$E$160)/12)</f>
        <v>18333.3333333333</v>
      </c>
      <c r="AF205" s="9" t="n">
        <f aca="false">((((Assumptions!$E$157+Assumptions!$E$158)+Assumptions!$E$159)+Assumptions!$E$160)/12)</f>
        <v>18333.3333333333</v>
      </c>
      <c r="AG205" s="9" t="n">
        <f aca="false">((((Assumptions!$E$157+Assumptions!$E$158)+Assumptions!$E$159)+Assumptions!$E$160)/12)</f>
        <v>18333.3333333333</v>
      </c>
      <c r="AH205" s="9" t="n">
        <f aca="false">((((Assumptions!$E$157+Assumptions!$E$158)+Assumptions!$E$159)+Assumptions!$E$160)/12)</f>
        <v>18333.3333333333</v>
      </c>
      <c r="AI205" s="9" t="n">
        <f aca="false">((((Assumptions!$E$157+Assumptions!$E$158)+Assumptions!$E$159)+Assumptions!$E$160)/12)</f>
        <v>18333.3333333333</v>
      </c>
      <c r="AJ205" s="9" t="n">
        <f aca="false">((((Assumptions!$E$157+Assumptions!$E$158)+Assumptions!$E$159)+Assumptions!$E$160)/12)</f>
        <v>18333.3333333333</v>
      </c>
      <c r="AK205" s="9" t="n">
        <f aca="false">((((Assumptions!$E$157+Assumptions!$E$158)+Assumptions!$E$159)+Assumptions!$E$160)/12)</f>
        <v>18333.3333333333</v>
      </c>
      <c r="AL205" s="9" t="n">
        <f aca="false">((((Assumptions!$E$157+Assumptions!$E$158)+Assumptions!$E$159)+Assumptions!$E$160)/12)</f>
        <v>18333.3333333333</v>
      </c>
      <c r="AN205" s="11" t="n">
        <f aca="false">SUM(C205:N205)</f>
        <v>60000</v>
      </c>
      <c r="AO205" s="11" t="n">
        <f aca="false">SUM(O205:Z205)</f>
        <v>130000</v>
      </c>
      <c r="AP205" s="11" t="n">
        <f aca="false">SUM(AA205:AL205)</f>
        <v>220000</v>
      </c>
    </row>
    <row r="206" customFormat="false" ht="15" hidden="false" customHeight="false" outlineLevel="0" collapsed="false">
      <c r="A206" s="0" t="s">
        <v>1004</v>
      </c>
      <c r="B206" s="0" t="s">
        <v>230</v>
      </c>
      <c r="C206" s="9" t="n">
        <f aca="false">IF((C$18&gt;=Assumptions!$C$5),Assumptions!$C$134,0)</f>
        <v>0</v>
      </c>
      <c r="D206" s="9" t="n">
        <f aca="false">IF((D$18&gt;=Assumptions!$C$5),Assumptions!$C$134,0)</f>
        <v>0</v>
      </c>
      <c r="E206" s="9" t="n">
        <f aca="false">IF((E$18&gt;=Assumptions!$C$5),Assumptions!$C$134,0)</f>
        <v>0</v>
      </c>
      <c r="F206" s="9" t="n">
        <f aca="false">IF((F$18&gt;=Assumptions!$C$5),Assumptions!$C$134,0)</f>
        <v>0</v>
      </c>
      <c r="G206" s="9" t="n">
        <f aca="false">IF((G$18&gt;=Assumptions!$C$5),Assumptions!$C$134,0)</f>
        <v>0</v>
      </c>
      <c r="H206" s="9" t="n">
        <f aca="false">IF((H$18&gt;=Assumptions!$C$5),Assumptions!$C$134,0)</f>
        <v>0</v>
      </c>
      <c r="I206" s="9" t="n">
        <f aca="false">IF((I$18&gt;=Assumptions!$C$5),Assumptions!$C$134,0)</f>
        <v>0</v>
      </c>
      <c r="J206" s="9" t="n">
        <f aca="false">IF((J$18&gt;=Assumptions!$C$5),Assumptions!$C$134,0)</f>
        <v>0</v>
      </c>
      <c r="K206" s="9" t="n">
        <f aca="false">IF((K$18&gt;=Assumptions!$C$5),Assumptions!$C$134,0)</f>
        <v>0</v>
      </c>
      <c r="L206" s="9" t="n">
        <f aca="false">IF((L$18&gt;=Assumptions!$C$5),Assumptions!$C$134,0)</f>
        <v>0</v>
      </c>
      <c r="M206" s="9" t="n">
        <f aca="false">IF((M$18&gt;=Assumptions!$C$5),Assumptions!$C$134,0)</f>
        <v>0</v>
      </c>
      <c r="N206" s="9" t="n">
        <f aca="false">IF((N$18&gt;=Assumptions!$C$5),Assumptions!$C$134,0)</f>
        <v>0</v>
      </c>
      <c r="O206" s="9" t="n">
        <f aca="false">IF((O$18&gt;=Assumptions!$C$5),Assumptions!$D$134,0)</f>
        <v>3000</v>
      </c>
      <c r="P206" s="9" t="n">
        <f aca="false">IF((P$18&gt;=Assumptions!$C$5),Assumptions!$D$134,0)</f>
        <v>3000</v>
      </c>
      <c r="Q206" s="9" t="n">
        <f aca="false">IF((Q$18&gt;=Assumptions!$C$5),Assumptions!$D$134,0)</f>
        <v>3000</v>
      </c>
      <c r="R206" s="9" t="n">
        <f aca="false">IF((R$18&gt;=Assumptions!$C$5),Assumptions!$D$134,0)</f>
        <v>3000</v>
      </c>
      <c r="S206" s="9" t="n">
        <f aca="false">IF((S$18&gt;=Assumptions!$C$5),Assumptions!$D$134,0)</f>
        <v>3000</v>
      </c>
      <c r="T206" s="9" t="n">
        <f aca="false">IF((T$18&gt;=Assumptions!$C$5),Assumptions!$D$134,0)</f>
        <v>3000</v>
      </c>
      <c r="U206" s="9" t="n">
        <f aca="false">IF((U$18&gt;=Assumptions!$C$5),Assumptions!$D$134,0)</f>
        <v>3000</v>
      </c>
      <c r="V206" s="9" t="n">
        <f aca="false">IF((V$18&gt;=Assumptions!$C$5),Assumptions!$D$134,0)</f>
        <v>3000</v>
      </c>
      <c r="W206" s="9" t="n">
        <f aca="false">IF((W$18&gt;=Assumptions!$C$5),Assumptions!$D$134,0)</f>
        <v>3000</v>
      </c>
      <c r="X206" s="9" t="n">
        <f aca="false">IF((X$18&gt;=Assumptions!$C$5),Assumptions!$D$134,0)</f>
        <v>3000</v>
      </c>
      <c r="Y206" s="9" t="n">
        <f aca="false">IF((Y$18&gt;=Assumptions!$C$5),Assumptions!$D$134,0)</f>
        <v>3000</v>
      </c>
      <c r="Z206" s="9" t="n">
        <f aca="false">IF((Z$18&gt;=Assumptions!$C$5),Assumptions!$D$134,0)</f>
        <v>3000</v>
      </c>
      <c r="AA206" s="9" t="n">
        <f aca="false">IF((AA$18&gt;=Assumptions!$C$5),Assumptions!$E$134,0)</f>
        <v>5000</v>
      </c>
      <c r="AB206" s="9" t="n">
        <f aca="false">IF((AB$18&gt;=Assumptions!$C$5),Assumptions!$E$134,0)</f>
        <v>5000</v>
      </c>
      <c r="AC206" s="9" t="n">
        <f aca="false">IF((AC$18&gt;=Assumptions!$C$5),Assumptions!$E$134,0)</f>
        <v>5000</v>
      </c>
      <c r="AD206" s="9" t="n">
        <f aca="false">IF((AD$18&gt;=Assumptions!$C$5),Assumptions!$E$134,0)</f>
        <v>5000</v>
      </c>
      <c r="AE206" s="9" t="n">
        <f aca="false">IF((AE$18&gt;=Assumptions!$C$5),Assumptions!$E$134,0)</f>
        <v>5000</v>
      </c>
      <c r="AF206" s="9" t="n">
        <f aca="false">IF((AF$18&gt;=Assumptions!$C$5),Assumptions!$E$134,0)</f>
        <v>5000</v>
      </c>
      <c r="AG206" s="9" t="n">
        <f aca="false">IF((AG$18&gt;=Assumptions!$C$5),Assumptions!$E$134,0)</f>
        <v>5000</v>
      </c>
      <c r="AH206" s="9" t="n">
        <f aca="false">IF((AH$18&gt;=Assumptions!$C$5),Assumptions!$E$134,0)</f>
        <v>5000</v>
      </c>
      <c r="AI206" s="9" t="n">
        <f aca="false">IF((AI$18&gt;=Assumptions!$C$5),Assumptions!$E$134,0)</f>
        <v>5000</v>
      </c>
      <c r="AJ206" s="9" t="n">
        <f aca="false">IF((AJ$18&gt;=Assumptions!$C$5),Assumptions!$E$134,0)</f>
        <v>5000</v>
      </c>
      <c r="AK206" s="9" t="n">
        <f aca="false">IF((AK$18&gt;=Assumptions!$C$5),Assumptions!$E$134,0)</f>
        <v>5000</v>
      </c>
      <c r="AL206" s="9" t="n">
        <f aca="false">IF((AL$18&gt;=Assumptions!$C$5),Assumptions!$E$134,0)</f>
        <v>5000</v>
      </c>
      <c r="AN206" s="11" t="n">
        <f aca="false">SUM(C206:N206)</f>
        <v>0</v>
      </c>
      <c r="AO206" s="11" t="n">
        <f aca="false">SUM(O206:Z206)</f>
        <v>36000</v>
      </c>
      <c r="AP206" s="11" t="n">
        <f aca="false">SUM(AA206:AL206)</f>
        <v>60000</v>
      </c>
    </row>
    <row r="207" customFormat="false" ht="15" hidden="false" customHeight="false" outlineLevel="0" collapsed="false">
      <c r="A207" s="0" t="s">
        <v>1005</v>
      </c>
      <c r="B207" s="0" t="s">
        <v>230</v>
      </c>
      <c r="C207" s="9" t="n">
        <f aca="false">((((Assumptions!$C$161+Assumptions!$C$162)+Assumptions!$C$163)+Assumptions!$C$164)/12)</f>
        <v>4833.33333333333</v>
      </c>
      <c r="D207" s="9" t="n">
        <f aca="false">((((Assumptions!$C$161+Assumptions!$C$162)+Assumptions!$C$163)+Assumptions!$C$164)/12)</f>
        <v>4833.33333333333</v>
      </c>
      <c r="E207" s="9" t="n">
        <f aca="false">((((Assumptions!$C$161+Assumptions!$C$162)+Assumptions!$C$163)+Assumptions!$C$164)/12)</f>
        <v>4833.33333333333</v>
      </c>
      <c r="F207" s="9" t="n">
        <f aca="false">((((Assumptions!$C$161+Assumptions!$C$162)+Assumptions!$C$163)+Assumptions!$C$164)/12)</f>
        <v>4833.33333333333</v>
      </c>
      <c r="G207" s="9" t="n">
        <f aca="false">((((Assumptions!$C$161+Assumptions!$C$162)+Assumptions!$C$163)+Assumptions!$C$164)/12)</f>
        <v>4833.33333333333</v>
      </c>
      <c r="H207" s="9" t="n">
        <f aca="false">((((Assumptions!$C$161+Assumptions!$C$162)+Assumptions!$C$163)+Assumptions!$C$164)/12)</f>
        <v>4833.33333333333</v>
      </c>
      <c r="I207" s="9" t="n">
        <f aca="false">((((Assumptions!$C$161+Assumptions!$C$162)+Assumptions!$C$163)+Assumptions!$C$164)/12)</f>
        <v>4833.33333333333</v>
      </c>
      <c r="J207" s="9" t="n">
        <f aca="false">((((Assumptions!$C$161+Assumptions!$C$162)+Assumptions!$C$163)+Assumptions!$C$164)/12)</f>
        <v>4833.33333333333</v>
      </c>
      <c r="K207" s="9" t="n">
        <f aca="false">((((Assumptions!$C$161+Assumptions!$C$162)+Assumptions!$C$163)+Assumptions!$C$164)/12)</f>
        <v>4833.33333333333</v>
      </c>
      <c r="L207" s="9" t="n">
        <f aca="false">((((Assumptions!$C$161+Assumptions!$C$162)+Assumptions!$C$163)+Assumptions!$C$164)/12)</f>
        <v>4833.33333333333</v>
      </c>
      <c r="M207" s="9" t="n">
        <f aca="false">((((Assumptions!$C$161+Assumptions!$C$162)+Assumptions!$C$163)+Assumptions!$C$164)/12)</f>
        <v>4833.33333333333</v>
      </c>
      <c r="N207" s="9" t="n">
        <f aca="false">((((Assumptions!$C$161+Assumptions!$C$162)+Assumptions!$C$163)+Assumptions!$C$164)/12)</f>
        <v>4833.33333333333</v>
      </c>
      <c r="O207" s="9" t="n">
        <f aca="false">((((Assumptions!$D$161+Assumptions!$D$162)+Assumptions!$D$163)+Assumptions!$D$164)/12)</f>
        <v>11083.3333333333</v>
      </c>
      <c r="P207" s="9" t="n">
        <f aca="false">((((Assumptions!$D$161+Assumptions!$D$162)+Assumptions!$D$163)+Assumptions!$D$164)/12)</f>
        <v>11083.3333333333</v>
      </c>
      <c r="Q207" s="9" t="n">
        <f aca="false">((((Assumptions!$D$161+Assumptions!$D$162)+Assumptions!$D$163)+Assumptions!$D$164)/12)</f>
        <v>11083.3333333333</v>
      </c>
      <c r="R207" s="9" t="n">
        <f aca="false">((((Assumptions!$D$161+Assumptions!$D$162)+Assumptions!$D$163)+Assumptions!$D$164)/12)</f>
        <v>11083.3333333333</v>
      </c>
      <c r="S207" s="9" t="n">
        <f aca="false">((((Assumptions!$D$161+Assumptions!$D$162)+Assumptions!$D$163)+Assumptions!$D$164)/12)</f>
        <v>11083.3333333333</v>
      </c>
      <c r="T207" s="9" t="n">
        <f aca="false">((((Assumptions!$D$161+Assumptions!$D$162)+Assumptions!$D$163)+Assumptions!$D$164)/12)</f>
        <v>11083.3333333333</v>
      </c>
      <c r="U207" s="9" t="n">
        <f aca="false">((((Assumptions!$D$161+Assumptions!$D$162)+Assumptions!$D$163)+Assumptions!$D$164)/12)</f>
        <v>11083.3333333333</v>
      </c>
      <c r="V207" s="9" t="n">
        <f aca="false">((((Assumptions!$D$161+Assumptions!$D$162)+Assumptions!$D$163)+Assumptions!$D$164)/12)</f>
        <v>11083.3333333333</v>
      </c>
      <c r="W207" s="9" t="n">
        <f aca="false">((((Assumptions!$D$161+Assumptions!$D$162)+Assumptions!$D$163)+Assumptions!$D$164)/12)</f>
        <v>11083.3333333333</v>
      </c>
      <c r="X207" s="9" t="n">
        <f aca="false">((((Assumptions!$D$161+Assumptions!$D$162)+Assumptions!$D$163)+Assumptions!$D$164)/12)</f>
        <v>11083.3333333333</v>
      </c>
      <c r="Y207" s="9" t="n">
        <f aca="false">((((Assumptions!$D$161+Assumptions!$D$162)+Assumptions!$D$163)+Assumptions!$D$164)/12)</f>
        <v>11083.3333333333</v>
      </c>
      <c r="Z207" s="9" t="n">
        <f aca="false">((((Assumptions!$D$161+Assumptions!$D$162)+Assumptions!$D$163)+Assumptions!$D$164)/12)</f>
        <v>11083.3333333333</v>
      </c>
      <c r="AA207" s="9" t="n">
        <f aca="false">((((Assumptions!$E$161+Assumptions!$E$162)+Assumptions!$E$163)+Assumptions!$E$164)/12)</f>
        <v>19166.6666666667</v>
      </c>
      <c r="AB207" s="9" t="n">
        <f aca="false">((((Assumptions!$E$161+Assumptions!$E$162)+Assumptions!$E$163)+Assumptions!$E$164)/12)</f>
        <v>19166.6666666667</v>
      </c>
      <c r="AC207" s="9" t="n">
        <f aca="false">((((Assumptions!$E$161+Assumptions!$E$162)+Assumptions!$E$163)+Assumptions!$E$164)/12)</f>
        <v>19166.6666666667</v>
      </c>
      <c r="AD207" s="9" t="n">
        <f aca="false">((((Assumptions!$E$161+Assumptions!$E$162)+Assumptions!$E$163)+Assumptions!$E$164)/12)</f>
        <v>19166.6666666667</v>
      </c>
      <c r="AE207" s="9" t="n">
        <f aca="false">((((Assumptions!$E$161+Assumptions!$E$162)+Assumptions!$E$163)+Assumptions!$E$164)/12)</f>
        <v>19166.6666666667</v>
      </c>
      <c r="AF207" s="9" t="n">
        <f aca="false">((((Assumptions!$E$161+Assumptions!$E$162)+Assumptions!$E$163)+Assumptions!$E$164)/12)</f>
        <v>19166.6666666667</v>
      </c>
      <c r="AG207" s="9" t="n">
        <f aca="false">((((Assumptions!$E$161+Assumptions!$E$162)+Assumptions!$E$163)+Assumptions!$E$164)/12)</f>
        <v>19166.6666666667</v>
      </c>
      <c r="AH207" s="9" t="n">
        <f aca="false">((((Assumptions!$E$161+Assumptions!$E$162)+Assumptions!$E$163)+Assumptions!$E$164)/12)</f>
        <v>19166.6666666667</v>
      </c>
      <c r="AI207" s="9" t="n">
        <f aca="false">((((Assumptions!$E$161+Assumptions!$E$162)+Assumptions!$E$163)+Assumptions!$E$164)/12)</f>
        <v>19166.6666666667</v>
      </c>
      <c r="AJ207" s="9" t="n">
        <f aca="false">((((Assumptions!$E$161+Assumptions!$E$162)+Assumptions!$E$163)+Assumptions!$E$164)/12)</f>
        <v>19166.6666666667</v>
      </c>
      <c r="AK207" s="9" t="n">
        <f aca="false">((((Assumptions!$E$161+Assumptions!$E$162)+Assumptions!$E$163)+Assumptions!$E$164)/12)</f>
        <v>19166.6666666667</v>
      </c>
      <c r="AL207" s="9" t="n">
        <f aca="false">((((Assumptions!$E$161+Assumptions!$E$162)+Assumptions!$E$163)+Assumptions!$E$164)/12)</f>
        <v>19166.6666666667</v>
      </c>
      <c r="AN207" s="11" t="n">
        <f aca="false">SUM(C207:N207)</f>
        <v>58000</v>
      </c>
      <c r="AO207" s="11" t="n">
        <f aca="false">SUM(O207:Z207)</f>
        <v>133000</v>
      </c>
      <c r="AP207" s="11" t="n">
        <f aca="false">SUM(AA207:AL207)</f>
        <v>230000</v>
      </c>
    </row>
    <row r="208" customFormat="false" ht="15" hidden="false" customHeight="false" outlineLevel="0" collapsed="false">
      <c r="A208" s="0" t="s">
        <v>1006</v>
      </c>
      <c r="B208" s="0" t="s">
        <v>230</v>
      </c>
      <c r="C208" s="9" t="n">
        <f aca="false">(C196*((Assumptions!$C$98+Assumptions!$C$99)+Assumptions!$C$100))</f>
        <v>3740</v>
      </c>
      <c r="D208" s="9" t="n">
        <f aca="false">(D196*((Assumptions!$C$98+Assumptions!$C$99)+Assumptions!$C$100))</f>
        <v>3740</v>
      </c>
      <c r="E208" s="9" t="n">
        <f aca="false">(E196*((Assumptions!$C$98+Assumptions!$C$99)+Assumptions!$C$100))</f>
        <v>4590</v>
      </c>
      <c r="F208" s="9" t="n">
        <f aca="false">(F196*((Assumptions!$C$98+Assumptions!$C$99)+Assumptions!$C$100))</f>
        <v>5440</v>
      </c>
      <c r="G208" s="9" t="n">
        <f aca="false">(G196*((Assumptions!$C$98+Assumptions!$C$99)+Assumptions!$C$100))</f>
        <v>7140</v>
      </c>
      <c r="H208" s="9" t="n">
        <f aca="false">(H196*((Assumptions!$C$98+Assumptions!$C$99)+Assumptions!$C$100))</f>
        <v>8840</v>
      </c>
      <c r="I208" s="9" t="n">
        <f aca="false">(I196*((Assumptions!$C$98+Assumptions!$C$99)+Assumptions!$C$100))</f>
        <v>9690</v>
      </c>
      <c r="J208" s="9" t="n">
        <f aca="false">(J196*((Assumptions!$C$98+Assumptions!$C$99)+Assumptions!$C$100))</f>
        <v>9690</v>
      </c>
      <c r="K208" s="9" t="n">
        <f aca="false">(K196*((Assumptions!$C$98+Assumptions!$C$99)+Assumptions!$C$100))</f>
        <v>12240</v>
      </c>
      <c r="L208" s="9" t="n">
        <f aca="false">(L196*((Assumptions!$C$98+Assumptions!$C$99)+Assumptions!$C$100))</f>
        <v>13090</v>
      </c>
      <c r="M208" s="9" t="n">
        <f aca="false">(M196*((Assumptions!$C$98+Assumptions!$C$99)+Assumptions!$C$100))</f>
        <v>14790</v>
      </c>
      <c r="N208" s="9" t="n">
        <f aca="false">(N196*((Assumptions!$C$98+Assumptions!$C$99)+Assumptions!$C$100))</f>
        <v>15640</v>
      </c>
      <c r="O208" s="9" t="n">
        <f aca="false">(O196*((Assumptions!$C$98+Assumptions!$C$99)+Assumptions!$C$100))</f>
        <v>17340</v>
      </c>
      <c r="P208" s="9" t="n">
        <f aca="false">(P196*((Assumptions!$C$98+Assumptions!$C$99)+Assumptions!$C$100))</f>
        <v>18190</v>
      </c>
      <c r="Q208" s="9" t="n">
        <f aca="false">(Q196*((Assumptions!$C$98+Assumptions!$C$99)+Assumptions!$C$100))</f>
        <v>19890</v>
      </c>
      <c r="R208" s="9" t="n">
        <f aca="false">(R196*((Assumptions!$C$98+Assumptions!$C$99)+Assumptions!$C$100))</f>
        <v>19890</v>
      </c>
      <c r="S208" s="9" t="n">
        <f aca="false">(S196*((Assumptions!$C$98+Assumptions!$C$99)+Assumptions!$C$100))</f>
        <v>19890</v>
      </c>
      <c r="T208" s="9" t="n">
        <f aca="false">(T196*((Assumptions!$C$98+Assumptions!$C$99)+Assumptions!$C$100))</f>
        <v>21590</v>
      </c>
      <c r="U208" s="9" t="n">
        <f aca="false">(U196*((Assumptions!$C$98+Assumptions!$C$99)+Assumptions!$C$100))</f>
        <v>22440</v>
      </c>
      <c r="V208" s="9" t="n">
        <f aca="false">(V196*((Assumptions!$C$98+Assumptions!$C$99)+Assumptions!$C$100))</f>
        <v>24140</v>
      </c>
      <c r="W208" s="9" t="n">
        <f aca="false">(W196*((Assumptions!$C$98+Assumptions!$C$99)+Assumptions!$C$100))</f>
        <v>24140</v>
      </c>
      <c r="X208" s="9" t="n">
        <f aca="false">(X196*((Assumptions!$C$98+Assumptions!$C$99)+Assumptions!$C$100))</f>
        <v>25840</v>
      </c>
      <c r="Y208" s="9" t="n">
        <f aca="false">(Y196*((Assumptions!$C$98+Assumptions!$C$99)+Assumptions!$C$100))</f>
        <v>25840</v>
      </c>
      <c r="Z208" s="9" t="n">
        <f aca="false">(Z196*((Assumptions!$C$98+Assumptions!$C$99)+Assumptions!$C$100))</f>
        <v>26690</v>
      </c>
      <c r="AA208" s="9" t="n">
        <f aca="false">(AA196*((Assumptions!$C$98+Assumptions!$C$99)+Assumptions!$C$100))</f>
        <v>27540</v>
      </c>
      <c r="AB208" s="9" t="n">
        <f aca="false">(AB196*((Assumptions!$C$98+Assumptions!$C$99)+Assumptions!$C$100))</f>
        <v>29240</v>
      </c>
      <c r="AC208" s="9" t="n">
        <f aca="false">(AC196*((Assumptions!$C$98+Assumptions!$C$99)+Assumptions!$C$100))</f>
        <v>29240</v>
      </c>
      <c r="AD208" s="9" t="n">
        <f aca="false">(AD196*((Assumptions!$C$98+Assumptions!$C$99)+Assumptions!$C$100))</f>
        <v>30940</v>
      </c>
      <c r="AE208" s="9" t="n">
        <f aca="false">(AE196*((Assumptions!$C$98+Assumptions!$C$99)+Assumptions!$C$100))</f>
        <v>30940</v>
      </c>
      <c r="AF208" s="9" t="n">
        <f aca="false">(AF196*((Assumptions!$C$98+Assumptions!$C$99)+Assumptions!$C$100))</f>
        <v>31790</v>
      </c>
      <c r="AG208" s="9" t="n">
        <f aca="false">(AG196*((Assumptions!$C$98+Assumptions!$C$99)+Assumptions!$C$100))</f>
        <v>32640</v>
      </c>
      <c r="AH208" s="9" t="n">
        <f aca="false">(AH196*((Assumptions!$C$98+Assumptions!$C$99)+Assumptions!$C$100))</f>
        <v>33490</v>
      </c>
      <c r="AI208" s="9" t="n">
        <f aca="false">(AI196*((Assumptions!$C$98+Assumptions!$C$99)+Assumptions!$C$100))</f>
        <v>34340</v>
      </c>
      <c r="AJ208" s="9" t="n">
        <f aca="false">(AJ196*((Assumptions!$C$98+Assumptions!$C$99)+Assumptions!$C$100))</f>
        <v>34340</v>
      </c>
      <c r="AK208" s="9" t="n">
        <f aca="false">(AK196*((Assumptions!$C$98+Assumptions!$C$99)+Assumptions!$C$100))</f>
        <v>34340</v>
      </c>
      <c r="AL208" s="9" t="n">
        <f aca="false">(AL196*((Assumptions!$C$98+Assumptions!$C$99)+Assumptions!$C$100))</f>
        <v>34340</v>
      </c>
      <c r="AN208" s="11" t="n">
        <f aca="false">SUM(C208:N208)</f>
        <v>108630</v>
      </c>
      <c r="AO208" s="11" t="n">
        <f aca="false">SUM(O208:Z208)</f>
        <v>265880</v>
      </c>
      <c r="AP208" s="11" t="n">
        <f aca="false">SUM(AA208:AL208)</f>
        <v>383180</v>
      </c>
    </row>
    <row r="209" customFormat="false" ht="15" hidden="false" customHeight="false" outlineLevel="0" collapsed="false">
      <c r="A209" s="0" t="s">
        <v>1007</v>
      </c>
      <c r="B209" s="0" t="s">
        <v>230</v>
      </c>
      <c r="C209" s="9" t="n">
        <f aca="false">(C198*(Assumptions!$C$101+Assumptions!$C$102))</f>
        <v>0</v>
      </c>
      <c r="D209" s="9" t="n">
        <f aca="false">(D198*(Assumptions!$C$101+Assumptions!$C$102))</f>
        <v>0</v>
      </c>
      <c r="E209" s="9" t="n">
        <f aca="false">(E198*(Assumptions!$C$101+Assumptions!$C$102))</f>
        <v>11800</v>
      </c>
      <c r="F209" s="9" t="n">
        <f aca="false">(F198*(Assumptions!$C$101+Assumptions!$C$102))</f>
        <v>11800</v>
      </c>
      <c r="G209" s="9" t="n">
        <f aca="false">(G198*(Assumptions!$C$101+Assumptions!$C$102))</f>
        <v>23600</v>
      </c>
      <c r="H209" s="9" t="n">
        <f aca="false">(H198*(Assumptions!$C$101+Assumptions!$C$102))</f>
        <v>23600</v>
      </c>
      <c r="I209" s="9" t="n">
        <f aca="false">(I198*(Assumptions!$C$101+Assumptions!$C$102))</f>
        <v>11800</v>
      </c>
      <c r="J209" s="9" t="n">
        <f aca="false">(J198*(Assumptions!$C$101+Assumptions!$C$102))</f>
        <v>0</v>
      </c>
      <c r="K209" s="9" t="n">
        <f aca="false">(K198*(Assumptions!$C$101+Assumptions!$C$102))</f>
        <v>35400</v>
      </c>
      <c r="L209" s="9" t="n">
        <f aca="false">(L198*(Assumptions!$C$101+Assumptions!$C$102))</f>
        <v>11800</v>
      </c>
      <c r="M209" s="9" t="n">
        <f aca="false">(M198*(Assumptions!$C$101+Assumptions!$C$102))</f>
        <v>23600</v>
      </c>
      <c r="N209" s="9" t="n">
        <f aca="false">(N198*(Assumptions!$C$101+Assumptions!$C$102))</f>
        <v>11800</v>
      </c>
      <c r="O209" s="9" t="n">
        <f aca="false">(O198*(Assumptions!$C$101+Assumptions!$C$102))</f>
        <v>23600</v>
      </c>
      <c r="P209" s="9" t="n">
        <f aca="false">(P198*(Assumptions!$C$101+Assumptions!$C$102))</f>
        <v>11800</v>
      </c>
      <c r="Q209" s="9" t="n">
        <f aca="false">(Q198*(Assumptions!$C$101+Assumptions!$C$102))</f>
        <v>23600</v>
      </c>
      <c r="R209" s="9" t="n">
        <f aca="false">(R198*(Assumptions!$C$101+Assumptions!$C$102))</f>
        <v>0</v>
      </c>
      <c r="S209" s="9" t="n">
        <f aca="false">(S198*(Assumptions!$C$101+Assumptions!$C$102))</f>
        <v>0</v>
      </c>
      <c r="T209" s="9" t="n">
        <f aca="false">(T198*(Assumptions!$C$101+Assumptions!$C$102))</f>
        <v>23600</v>
      </c>
      <c r="U209" s="9" t="n">
        <f aca="false">(U198*(Assumptions!$C$101+Assumptions!$C$102))</f>
        <v>11800</v>
      </c>
      <c r="V209" s="9" t="n">
        <f aca="false">(V198*(Assumptions!$C$101+Assumptions!$C$102))</f>
        <v>23600</v>
      </c>
      <c r="W209" s="9" t="n">
        <f aca="false">(W198*(Assumptions!$C$101+Assumptions!$C$102))</f>
        <v>0</v>
      </c>
      <c r="X209" s="9" t="n">
        <f aca="false">(X198*(Assumptions!$C$101+Assumptions!$C$102))</f>
        <v>23600</v>
      </c>
      <c r="Y209" s="9" t="n">
        <f aca="false">(Y198*(Assumptions!$C$101+Assumptions!$C$102))</f>
        <v>0</v>
      </c>
      <c r="Z209" s="9" t="n">
        <f aca="false">(Z198*(Assumptions!$C$101+Assumptions!$C$102))</f>
        <v>11800</v>
      </c>
      <c r="AA209" s="9" t="n">
        <f aca="false">(AA198*(Assumptions!$C$101+Assumptions!$C$102))</f>
        <v>11800</v>
      </c>
      <c r="AB209" s="9" t="n">
        <f aca="false">(AB198*(Assumptions!$C$101+Assumptions!$C$102))</f>
        <v>23600</v>
      </c>
      <c r="AC209" s="9" t="n">
        <f aca="false">(AC198*(Assumptions!$C$101+Assumptions!$C$102))</f>
        <v>0</v>
      </c>
      <c r="AD209" s="9" t="n">
        <f aca="false">(AD198*(Assumptions!$C$101+Assumptions!$C$102))</f>
        <v>23600</v>
      </c>
      <c r="AE209" s="9" t="n">
        <f aca="false">(AE198*(Assumptions!$C$101+Assumptions!$C$102))</f>
        <v>0</v>
      </c>
      <c r="AF209" s="9" t="n">
        <f aca="false">(AF198*(Assumptions!$C$101+Assumptions!$C$102))</f>
        <v>11800</v>
      </c>
      <c r="AG209" s="9" t="n">
        <f aca="false">(AG198*(Assumptions!$C$101+Assumptions!$C$102))</f>
        <v>11800</v>
      </c>
      <c r="AH209" s="9" t="n">
        <f aca="false">(AH198*(Assumptions!$C$101+Assumptions!$C$102))</f>
        <v>11800</v>
      </c>
      <c r="AI209" s="9" t="n">
        <f aca="false">(AI198*(Assumptions!$C$101+Assumptions!$C$102))</f>
        <v>11800</v>
      </c>
      <c r="AJ209" s="9" t="n">
        <f aca="false">(AJ198*(Assumptions!$C$101+Assumptions!$C$102))</f>
        <v>0</v>
      </c>
      <c r="AK209" s="9" t="n">
        <f aca="false">(AK198*(Assumptions!$C$101+Assumptions!$C$102))</f>
        <v>0</v>
      </c>
      <c r="AL209" s="9" t="n">
        <f aca="false">(AL198*(Assumptions!$C$101+Assumptions!$C$102))</f>
        <v>0</v>
      </c>
      <c r="AN209" s="11" t="n">
        <f aca="false">SUM(C209:N209)</f>
        <v>165200</v>
      </c>
      <c r="AO209" s="11" t="n">
        <f aca="false">SUM(O209:Z209)</f>
        <v>153400</v>
      </c>
      <c r="AP209" s="11" t="n">
        <f aca="false">SUM(AA209:AL209)</f>
        <v>106200</v>
      </c>
    </row>
    <row r="210" customFormat="false" ht="15" hidden="false" customHeight="false" outlineLevel="0" collapsed="false">
      <c r="A210" s="0" t="s">
        <v>1008</v>
      </c>
      <c r="B210" s="0" t="s">
        <v>230</v>
      </c>
      <c r="C210" s="9" t="n">
        <f aca="false">(Assumptions!$C$103*((((((C199+C200)+C201)+C202)+C203)+C205)+C207))</f>
        <v>1791.66666666667</v>
      </c>
      <c r="D210" s="9" t="n">
        <f aca="false">(Assumptions!$C$103*((((((D199+D200)+D201)+D202)+D203)+D205)+D207))</f>
        <v>1791.66666666667</v>
      </c>
      <c r="E210" s="9" t="n">
        <f aca="false">(Assumptions!$C$103*((((((E199+E200)+E201)+E202)+E203)+E205)+E207))</f>
        <v>1791.66666666667</v>
      </c>
      <c r="F210" s="9" t="n">
        <f aca="false">(Assumptions!$C$103*((((((F199+F200)+F201)+F202)+F203)+F205)+F207))</f>
        <v>1791.66666666667</v>
      </c>
      <c r="G210" s="9" t="n">
        <f aca="false">(Assumptions!$C$103*((((((G199+G200)+G201)+G202)+G203)+G205)+G207))</f>
        <v>1791.66666666667</v>
      </c>
      <c r="H210" s="9" t="n">
        <f aca="false">(Assumptions!$C$103*((((((H199+H200)+H201)+H202)+H203)+H205)+H207))</f>
        <v>1791.66666666667</v>
      </c>
      <c r="I210" s="9" t="n">
        <f aca="false">(Assumptions!$C$103*((((((I199+I200)+I201)+I202)+I203)+I205)+I207))</f>
        <v>1791.66666666667</v>
      </c>
      <c r="J210" s="9" t="n">
        <f aca="false">(Assumptions!$C$103*((((((J199+J200)+J201)+J202)+J203)+J205)+J207))</f>
        <v>1791.66666666667</v>
      </c>
      <c r="K210" s="9" t="n">
        <f aca="false">(Assumptions!$C$103*((((((K199+K200)+K201)+K202)+K203)+K205)+K207))</f>
        <v>1791.66666666667</v>
      </c>
      <c r="L210" s="9" t="n">
        <f aca="false">(Assumptions!$C$103*((((((L199+L200)+L201)+L202)+L203)+L205)+L207))</f>
        <v>1791.66666666667</v>
      </c>
      <c r="M210" s="9" t="n">
        <f aca="false">(Assumptions!$C$103*((((((M199+M200)+M201)+M202)+M203)+M205)+M207))</f>
        <v>1791.66666666667</v>
      </c>
      <c r="N210" s="9" t="n">
        <f aca="false">(Assumptions!$C$103*((((((N199+N200)+N201)+N202)+N203)+N205)+N207))</f>
        <v>1791.66666666667</v>
      </c>
      <c r="O210" s="9" t="n">
        <f aca="false">(Assumptions!$C$103*((((((O199+O200)+O201)+O202)+O203)+O205)+O207))</f>
        <v>3058.33333333333</v>
      </c>
      <c r="P210" s="9" t="n">
        <f aca="false">(Assumptions!$C$103*((((((P199+P200)+P201)+P202)+P203)+P205)+P207))</f>
        <v>3058.33333333333</v>
      </c>
      <c r="Q210" s="9" t="n">
        <f aca="false">(Assumptions!$C$103*((((((Q199+Q200)+Q201)+Q202)+Q203)+Q205)+Q207))</f>
        <v>3058.33333333333</v>
      </c>
      <c r="R210" s="9" t="n">
        <f aca="false">(Assumptions!$C$103*((((((R199+R200)+R201)+R202)+R203)+R205)+R207))</f>
        <v>3058.33333333333</v>
      </c>
      <c r="S210" s="9" t="n">
        <f aca="false">(Assumptions!$C$103*((((((S199+S200)+S201)+S202)+S203)+S205)+S207))</f>
        <v>3058.33333333333</v>
      </c>
      <c r="T210" s="9" t="n">
        <f aca="false">(Assumptions!$C$103*((((((T199+T200)+T201)+T202)+T203)+T205)+T207))</f>
        <v>3058.33333333333</v>
      </c>
      <c r="U210" s="9" t="n">
        <f aca="false">(Assumptions!$C$103*((((((U199+U200)+U201)+U202)+U203)+U205)+U207))</f>
        <v>3058.33333333333</v>
      </c>
      <c r="V210" s="9" t="n">
        <f aca="false">(Assumptions!$C$103*((((((V199+V200)+V201)+V202)+V203)+V205)+V207))</f>
        <v>3058.33333333333</v>
      </c>
      <c r="W210" s="9" t="n">
        <f aca="false">(Assumptions!$C$103*((((((W199+W200)+W201)+W202)+W203)+W205)+W207))</f>
        <v>3058.33333333333</v>
      </c>
      <c r="X210" s="9" t="n">
        <f aca="false">(Assumptions!$C$103*((((((X199+X200)+X201)+X202)+X203)+X205)+X207))</f>
        <v>3058.33333333333</v>
      </c>
      <c r="Y210" s="9" t="n">
        <f aca="false">(Assumptions!$C$103*((((((Y199+Y200)+Y201)+Y202)+Y203)+Y205)+Y207))</f>
        <v>3058.33333333333</v>
      </c>
      <c r="Z210" s="9" t="n">
        <f aca="false">(Assumptions!$C$103*((((((Z199+Z200)+Z201)+Z202)+Z203)+Z205)+Z207))</f>
        <v>3058.33333333333</v>
      </c>
      <c r="AA210" s="9" t="n">
        <f aca="false">(Assumptions!$C$103*((((((AA199+AA200)+AA201)+AA202)+AA203)+AA205)+AA207))</f>
        <v>4754.16666666667</v>
      </c>
      <c r="AB210" s="9" t="n">
        <f aca="false">(Assumptions!$C$103*((((((AB199+AB200)+AB201)+AB202)+AB203)+AB205)+AB207))</f>
        <v>4754.16666666667</v>
      </c>
      <c r="AC210" s="9" t="n">
        <f aca="false">(Assumptions!$C$103*((((((AC199+AC200)+AC201)+AC202)+AC203)+AC205)+AC207))</f>
        <v>4754.16666666667</v>
      </c>
      <c r="AD210" s="9" t="n">
        <f aca="false">(Assumptions!$C$103*((((((AD199+AD200)+AD201)+AD202)+AD203)+AD205)+AD207))</f>
        <v>4754.16666666667</v>
      </c>
      <c r="AE210" s="9" t="n">
        <f aca="false">(Assumptions!$C$103*((((((AE199+AE200)+AE201)+AE202)+AE203)+AE205)+AE207))</f>
        <v>4754.16666666667</v>
      </c>
      <c r="AF210" s="9" t="n">
        <f aca="false">(Assumptions!$C$103*((((((AF199+AF200)+AF201)+AF202)+AF203)+AF205)+AF207))</f>
        <v>4754.16666666667</v>
      </c>
      <c r="AG210" s="9" t="n">
        <f aca="false">(Assumptions!$C$103*((((((AG199+AG200)+AG201)+AG202)+AG203)+AG205)+AG207))</f>
        <v>4754.16666666667</v>
      </c>
      <c r="AH210" s="9" t="n">
        <f aca="false">(Assumptions!$C$103*((((((AH199+AH200)+AH201)+AH202)+AH203)+AH205)+AH207))</f>
        <v>4754.16666666667</v>
      </c>
      <c r="AI210" s="9" t="n">
        <f aca="false">(Assumptions!$C$103*((((((AI199+AI200)+AI201)+AI202)+AI203)+AI205)+AI207))</f>
        <v>4754.16666666667</v>
      </c>
      <c r="AJ210" s="9" t="n">
        <f aca="false">(Assumptions!$C$103*((((((AJ199+AJ200)+AJ201)+AJ202)+AJ203)+AJ205)+AJ207))</f>
        <v>4754.16666666667</v>
      </c>
      <c r="AK210" s="9" t="n">
        <f aca="false">(Assumptions!$C$103*((((((AK199+AK200)+AK201)+AK202)+AK203)+AK205)+AK207))</f>
        <v>4754.16666666667</v>
      </c>
      <c r="AL210" s="9" t="n">
        <f aca="false">(Assumptions!$C$103*((((((AL199+AL200)+AL201)+AL202)+AL203)+AL205)+AL207))</f>
        <v>4754.16666666667</v>
      </c>
      <c r="AN210" s="11" t="n">
        <f aca="false">SUM(C210:N210)</f>
        <v>21500</v>
      </c>
      <c r="AO210" s="11" t="n">
        <f aca="false">SUM(O210:Z210)</f>
        <v>36700</v>
      </c>
      <c r="AP210" s="11" t="n">
        <f aca="false">SUM(AA210:AL210)</f>
        <v>57050</v>
      </c>
    </row>
    <row r="211" customFormat="false" ht="15" hidden="false" customHeight="false" outlineLevel="0" collapsed="false">
      <c r="A211" s="0" t="s">
        <v>1009</v>
      </c>
      <c r="B211" s="0" t="s">
        <v>230</v>
      </c>
      <c r="C211" s="9" t="n">
        <f aca="false">(Assumptions!$C$33*C152)</f>
        <v>0</v>
      </c>
      <c r="D211" s="9" t="n">
        <f aca="false">(Assumptions!$C$33*D152)</f>
        <v>0</v>
      </c>
      <c r="E211" s="9" t="n">
        <f aca="false">(Assumptions!$C$33*E152)</f>
        <v>0</v>
      </c>
      <c r="F211" s="9" t="n">
        <f aca="false">(Assumptions!$C$33*F152)</f>
        <v>0</v>
      </c>
      <c r="G211" s="9" t="n">
        <f aca="false">(Assumptions!$C$33*G152)</f>
        <v>0</v>
      </c>
      <c r="H211" s="9" t="n">
        <f aca="false">(Assumptions!$C$33*H152)</f>
        <v>0</v>
      </c>
      <c r="I211" s="9" t="n">
        <f aca="false">(Assumptions!$C$33*I152)</f>
        <v>0</v>
      </c>
      <c r="J211" s="9" t="n">
        <f aca="false">(Assumptions!$C$33*J152)</f>
        <v>0</v>
      </c>
      <c r="K211" s="9" t="n">
        <f aca="false">(Assumptions!$C$33*K152)</f>
        <v>0</v>
      </c>
      <c r="L211" s="9" t="n">
        <f aca="false">(Assumptions!$C$33*L152)</f>
        <v>0</v>
      </c>
      <c r="M211" s="9" t="n">
        <f aca="false">(Assumptions!$C$33*M152)</f>
        <v>0</v>
      </c>
      <c r="N211" s="9" t="n">
        <f aca="false">(Assumptions!$C$33*N152)</f>
        <v>0</v>
      </c>
      <c r="O211" s="9" t="n">
        <f aca="false">(Assumptions!$C$33*O152)</f>
        <v>0</v>
      </c>
      <c r="P211" s="9" t="n">
        <f aca="false">(Assumptions!$C$33*P152)</f>
        <v>0</v>
      </c>
      <c r="Q211" s="9" t="n">
        <f aca="false">(Assumptions!$C$33*Q152)</f>
        <v>0</v>
      </c>
      <c r="R211" s="9" t="n">
        <f aca="false">(Assumptions!$C$33*R152)</f>
        <v>0</v>
      </c>
      <c r="S211" s="9" t="n">
        <f aca="false">(Assumptions!$C$33*S152)</f>
        <v>0</v>
      </c>
      <c r="T211" s="9" t="n">
        <f aca="false">(Assumptions!$C$33*T152)</f>
        <v>546.48</v>
      </c>
      <c r="U211" s="9" t="n">
        <f aca="false">(Assumptions!$C$33*U152)</f>
        <v>360</v>
      </c>
      <c r="V211" s="9" t="n">
        <f aca="false">(Assumptions!$C$33*V152)</f>
        <v>0</v>
      </c>
      <c r="W211" s="9" t="n">
        <f aca="false">(Assumptions!$C$33*W152)</f>
        <v>0</v>
      </c>
      <c r="X211" s="9" t="n">
        <f aca="false">(Assumptions!$C$33*X152)</f>
        <v>1120</v>
      </c>
      <c r="Y211" s="9" t="n">
        <f aca="false">(Assumptions!$C$33*Y152)</f>
        <v>0</v>
      </c>
      <c r="Z211" s="9" t="n">
        <f aca="false">(Assumptions!$C$33*Z152)</f>
        <v>0</v>
      </c>
      <c r="AA211" s="9" t="n">
        <f aca="false">(Assumptions!$C$33*AA152)</f>
        <v>1480</v>
      </c>
      <c r="AB211" s="9" t="n">
        <f aca="false">(Assumptions!$C$33*AB152)</f>
        <v>85.05</v>
      </c>
      <c r="AC211" s="9" t="n">
        <f aca="false">(Assumptions!$C$33*AC152)</f>
        <v>0</v>
      </c>
      <c r="AD211" s="9" t="n">
        <f aca="false">(Assumptions!$C$33*AD152)</f>
        <v>1480</v>
      </c>
      <c r="AE211" s="9" t="n">
        <f aca="false">(Assumptions!$C$33*AE152)</f>
        <v>801.24</v>
      </c>
      <c r="AF211" s="9" t="n">
        <f aca="false">(Assumptions!$C$33*AF152)</f>
        <v>528.99264</v>
      </c>
      <c r="AG211" s="9" t="n">
        <f aca="false">(Assumptions!$C$33*AG152)</f>
        <v>1840</v>
      </c>
      <c r="AH211" s="9" t="n">
        <f aca="false">(Assumptions!$C$33*AH152)</f>
        <v>2094.29</v>
      </c>
      <c r="AI211" s="9" t="n">
        <f aca="false">(Assumptions!$C$33*AI152)</f>
        <v>0</v>
      </c>
      <c r="AJ211" s="9" t="n">
        <f aca="false">(Assumptions!$C$33*AJ152)</f>
        <v>2600</v>
      </c>
      <c r="AK211" s="9" t="n">
        <f aca="false">(Assumptions!$C$33*AK152)</f>
        <v>2568.29</v>
      </c>
      <c r="AL211" s="9" t="n">
        <f aca="false">(Assumptions!$C$33*AL152)</f>
        <v>1660</v>
      </c>
      <c r="AN211" s="11" t="n">
        <f aca="false">SUM(C211:N211)</f>
        <v>0</v>
      </c>
      <c r="AO211" s="11" t="n">
        <f aca="false">SUM(O211:Z211)</f>
        <v>2026.48</v>
      </c>
      <c r="AP211" s="11" t="n">
        <f aca="false">SUM(AA211:AL211)</f>
        <v>15137.86264</v>
      </c>
    </row>
    <row r="212" customFormat="false" ht="15" hidden="false" customHeight="false" outlineLevel="0" collapsed="false">
      <c r="A212" s="0" t="s">
        <v>1010</v>
      </c>
      <c r="B212" s="0" t="s">
        <v>230</v>
      </c>
      <c r="C212" s="9" t="n">
        <f aca="false">IF(AND(($C$14=1),(C$18=Assumptions!$C$106)),(((((Assumptions!$C$107+Assumptions!$C$108)+Assumptions!$C$111)+Assumptions!$C$112)+(Assumptions!$C$109*Assumptions!$C$110))-Assumptions!$C$113),0)</f>
        <v>0</v>
      </c>
      <c r="D212" s="9" t="n">
        <f aca="false">IF(AND(($C$14=1),(D$18=Assumptions!$C$106)),(((((Assumptions!$C$107+Assumptions!$C$108)+Assumptions!$C$111)+Assumptions!$C$112)+(Assumptions!$C$109*Assumptions!$C$110))-Assumptions!$C$113),0)</f>
        <v>0</v>
      </c>
      <c r="E212" s="9" t="n">
        <f aca="false">IF(AND(($C$14=1),(E$18=Assumptions!$C$106)),(((((Assumptions!$C$107+Assumptions!$C$108)+Assumptions!$C$111)+Assumptions!$C$112)+(Assumptions!$C$109*Assumptions!$C$110))-Assumptions!$C$113),0)</f>
        <v>0</v>
      </c>
      <c r="F212" s="9" t="n">
        <f aca="false">IF(AND(($C$14=1),(F$18=Assumptions!$C$106)),(((((Assumptions!$C$107+Assumptions!$C$108)+Assumptions!$C$111)+Assumptions!$C$112)+(Assumptions!$C$109*Assumptions!$C$110))-Assumptions!$C$113),0)</f>
        <v>0</v>
      </c>
      <c r="G212" s="9" t="n">
        <f aca="false">IF(AND(($C$14=1),(G$18=Assumptions!$C$106)),(((((Assumptions!$C$107+Assumptions!$C$108)+Assumptions!$C$111)+Assumptions!$C$112)+(Assumptions!$C$109*Assumptions!$C$110))-Assumptions!$C$113),0)</f>
        <v>0</v>
      </c>
      <c r="H212" s="9" t="n">
        <f aca="false">IF(AND(($C$14=1),(H$18=Assumptions!$C$106)),(((((Assumptions!$C$107+Assumptions!$C$108)+Assumptions!$C$111)+Assumptions!$C$112)+(Assumptions!$C$109*Assumptions!$C$110))-Assumptions!$C$113),0)</f>
        <v>0</v>
      </c>
      <c r="I212" s="9" t="n">
        <f aca="false">IF(AND(($C$14=1),(I$18=Assumptions!$C$106)),(((((Assumptions!$C$107+Assumptions!$C$108)+Assumptions!$C$111)+Assumptions!$C$112)+(Assumptions!$C$109*Assumptions!$C$110))-Assumptions!$C$113),0)</f>
        <v>0</v>
      </c>
      <c r="J212" s="9" t="n">
        <f aca="false">IF(AND(($C$14=1),(J$18=Assumptions!$C$106)),(((((Assumptions!$C$107+Assumptions!$C$108)+Assumptions!$C$111)+Assumptions!$C$112)+(Assumptions!$C$109*Assumptions!$C$110))-Assumptions!$C$113),0)</f>
        <v>0</v>
      </c>
      <c r="K212" s="9" t="n">
        <f aca="false">IF(AND(($C$14=1),(K$18=Assumptions!$C$106)),(((((Assumptions!$C$107+Assumptions!$C$108)+Assumptions!$C$111)+Assumptions!$C$112)+(Assumptions!$C$109*Assumptions!$C$110))-Assumptions!$C$113),0)</f>
        <v>0</v>
      </c>
      <c r="L212" s="9" t="n">
        <f aca="false">IF(AND(($C$14=1),(L$18=Assumptions!$C$106)),(((((Assumptions!$C$107+Assumptions!$C$108)+Assumptions!$C$111)+Assumptions!$C$112)+(Assumptions!$C$109*Assumptions!$C$110))-Assumptions!$C$113),0)</f>
        <v>0</v>
      </c>
      <c r="M212" s="9" t="n">
        <f aca="false">IF(AND(($C$14=1),(M$18=Assumptions!$C$106)),(((((Assumptions!$C$107+Assumptions!$C$108)+Assumptions!$C$111)+Assumptions!$C$112)+(Assumptions!$C$109*Assumptions!$C$110))-Assumptions!$C$113),0)</f>
        <v>0</v>
      </c>
      <c r="N212" s="9" t="n">
        <f aca="false">IF(AND(($C$14=1),(N$18=Assumptions!$C$106)),(((((Assumptions!$C$107+Assumptions!$C$108)+Assumptions!$C$111)+Assumptions!$C$112)+(Assumptions!$C$109*Assumptions!$C$110))-Assumptions!$C$113),0)</f>
        <v>0</v>
      </c>
      <c r="O212" s="9" t="n">
        <f aca="false">IF(AND(($C$14=1),(O$18=Assumptions!$C$106)),(((((Assumptions!$C$107+Assumptions!$C$108)+Assumptions!$C$111)+Assumptions!$C$112)+(Assumptions!$C$109*Assumptions!$C$110))-Assumptions!$C$113),0)</f>
        <v>0</v>
      </c>
      <c r="P212" s="9" t="n">
        <f aca="false">IF(AND(($C$14=1),(P$18=Assumptions!$C$106)),(((((Assumptions!$C$107+Assumptions!$C$108)+Assumptions!$C$111)+Assumptions!$C$112)+(Assumptions!$C$109*Assumptions!$C$110))-Assumptions!$C$113),0)</f>
        <v>0</v>
      </c>
      <c r="Q212" s="9" t="n">
        <f aca="false">IF(AND(($C$14=1),(Q$18=Assumptions!$C$106)),(((((Assumptions!$C$107+Assumptions!$C$108)+Assumptions!$C$111)+Assumptions!$C$112)+(Assumptions!$C$109*Assumptions!$C$110))-Assumptions!$C$113),0)</f>
        <v>0</v>
      </c>
      <c r="R212" s="9" t="n">
        <f aca="false">IF(AND(($C$14=1),(R$18=Assumptions!$C$106)),(((((Assumptions!$C$107+Assumptions!$C$108)+Assumptions!$C$111)+Assumptions!$C$112)+(Assumptions!$C$109*Assumptions!$C$110))-Assumptions!$C$113),0)</f>
        <v>0</v>
      </c>
      <c r="S212" s="9" t="n">
        <f aca="false">IF(AND(($C$14=1),(S$18=Assumptions!$C$106)),(((((Assumptions!$C$107+Assumptions!$C$108)+Assumptions!$C$111)+Assumptions!$C$112)+(Assumptions!$C$109*Assumptions!$C$110))-Assumptions!$C$113),0)</f>
        <v>0</v>
      </c>
      <c r="T212" s="9" t="n">
        <f aca="false">IF(AND(($C$14=1),(T$18=Assumptions!$C$106)),(((((Assumptions!$C$107+Assumptions!$C$108)+Assumptions!$C$111)+Assumptions!$C$112)+(Assumptions!$C$109*Assumptions!$C$110))-Assumptions!$C$113),0)</f>
        <v>0</v>
      </c>
      <c r="U212" s="9" t="n">
        <f aca="false">IF(AND(($C$14=1),(U$18=Assumptions!$C$106)),(((((Assumptions!$C$107+Assumptions!$C$108)+Assumptions!$C$111)+Assumptions!$C$112)+(Assumptions!$C$109*Assumptions!$C$110))-Assumptions!$C$113),0)</f>
        <v>0</v>
      </c>
      <c r="V212" s="9" t="n">
        <f aca="false">IF(AND(($C$14=1),(V$18=Assumptions!$C$106)),(((((Assumptions!$C$107+Assumptions!$C$108)+Assumptions!$C$111)+Assumptions!$C$112)+(Assumptions!$C$109*Assumptions!$C$110))-Assumptions!$C$113),0)</f>
        <v>0</v>
      </c>
      <c r="W212" s="9" t="n">
        <f aca="false">IF(AND(($C$14=1),(W$18=Assumptions!$C$106)),(((((Assumptions!$C$107+Assumptions!$C$108)+Assumptions!$C$111)+Assumptions!$C$112)+(Assumptions!$C$109*Assumptions!$C$110))-Assumptions!$C$113),0)</f>
        <v>0</v>
      </c>
      <c r="X212" s="9" t="n">
        <f aca="false">IF(AND(($C$14=1),(X$18=Assumptions!$C$106)),(((((Assumptions!$C$107+Assumptions!$C$108)+Assumptions!$C$111)+Assumptions!$C$112)+(Assumptions!$C$109*Assumptions!$C$110))-Assumptions!$C$113),0)</f>
        <v>0</v>
      </c>
      <c r="Y212" s="9" t="n">
        <f aca="false">IF(AND(($C$14=1),(Y$18=Assumptions!$C$106)),(((((Assumptions!$C$107+Assumptions!$C$108)+Assumptions!$C$111)+Assumptions!$C$112)+(Assumptions!$C$109*Assumptions!$C$110))-Assumptions!$C$113),0)</f>
        <v>0</v>
      </c>
      <c r="Z212" s="9" t="n">
        <f aca="false">IF(AND(($C$14=1),(Z$18=Assumptions!$C$106)),(((((Assumptions!$C$107+Assumptions!$C$108)+Assumptions!$C$111)+Assumptions!$C$112)+(Assumptions!$C$109*Assumptions!$C$110))-Assumptions!$C$113),0)</f>
        <v>0</v>
      </c>
      <c r="AA212" s="9" t="n">
        <f aca="false">IF(AND(($C$14=1),(AA$18=Assumptions!$C$106)),(((((Assumptions!$C$107+Assumptions!$C$108)+Assumptions!$C$111)+Assumptions!$C$112)+(Assumptions!$C$109*Assumptions!$C$110))-Assumptions!$C$113),0)</f>
        <v>0</v>
      </c>
      <c r="AB212" s="9" t="n">
        <f aca="false">IF(AND(($C$14=1),(AB$18=Assumptions!$C$106)),(((((Assumptions!$C$107+Assumptions!$C$108)+Assumptions!$C$111)+Assumptions!$C$112)+(Assumptions!$C$109*Assumptions!$C$110))-Assumptions!$C$113),0)</f>
        <v>0</v>
      </c>
      <c r="AC212" s="9" t="n">
        <f aca="false">IF(AND(($C$14=1),(AC$18=Assumptions!$C$106)),(((((Assumptions!$C$107+Assumptions!$C$108)+Assumptions!$C$111)+Assumptions!$C$112)+(Assumptions!$C$109*Assumptions!$C$110))-Assumptions!$C$113),0)</f>
        <v>0</v>
      </c>
      <c r="AD212" s="9" t="n">
        <f aca="false">IF(AND(($C$14=1),(AD$18=Assumptions!$C$106)),(((((Assumptions!$C$107+Assumptions!$C$108)+Assumptions!$C$111)+Assumptions!$C$112)+(Assumptions!$C$109*Assumptions!$C$110))-Assumptions!$C$113),0)</f>
        <v>0</v>
      </c>
      <c r="AE212" s="9" t="n">
        <f aca="false">IF(AND(($C$14=1),(AE$18=Assumptions!$C$106)),(((((Assumptions!$C$107+Assumptions!$C$108)+Assumptions!$C$111)+Assumptions!$C$112)+(Assumptions!$C$109*Assumptions!$C$110))-Assumptions!$C$113),0)</f>
        <v>0</v>
      </c>
      <c r="AF212" s="9" t="n">
        <f aca="false">IF(AND(($C$14=1),(AF$18=Assumptions!$C$106)),(((((Assumptions!$C$107+Assumptions!$C$108)+Assumptions!$C$111)+Assumptions!$C$112)+(Assumptions!$C$109*Assumptions!$C$110))-Assumptions!$C$113),0)</f>
        <v>0</v>
      </c>
      <c r="AG212" s="9" t="n">
        <f aca="false">IF(AND(($C$14=1),(AG$18=Assumptions!$C$106)),(((((Assumptions!$C$107+Assumptions!$C$108)+Assumptions!$C$111)+Assumptions!$C$112)+(Assumptions!$C$109*Assumptions!$C$110))-Assumptions!$C$113),0)</f>
        <v>0</v>
      </c>
      <c r="AH212" s="9" t="n">
        <f aca="false">IF(AND(($C$14=1),(AH$18=Assumptions!$C$106)),(((((Assumptions!$C$107+Assumptions!$C$108)+Assumptions!$C$111)+Assumptions!$C$112)+(Assumptions!$C$109*Assumptions!$C$110))-Assumptions!$C$113),0)</f>
        <v>0</v>
      </c>
      <c r="AI212" s="9" t="n">
        <f aca="false">IF(AND(($C$14=1),(AI$18=Assumptions!$C$106)),(((((Assumptions!$C$107+Assumptions!$C$108)+Assumptions!$C$111)+Assumptions!$C$112)+(Assumptions!$C$109*Assumptions!$C$110))-Assumptions!$C$113),0)</f>
        <v>0</v>
      </c>
      <c r="AJ212" s="9" t="n">
        <f aca="false">IF(AND(($C$14=1),(AJ$18=Assumptions!$C$106)),(((((Assumptions!$C$107+Assumptions!$C$108)+Assumptions!$C$111)+Assumptions!$C$112)+(Assumptions!$C$109*Assumptions!$C$110))-Assumptions!$C$113),0)</f>
        <v>0</v>
      </c>
      <c r="AK212" s="9" t="n">
        <f aca="false">IF(AND(($C$14=1),(AK$18=Assumptions!$C$106)),(((((Assumptions!$C$107+Assumptions!$C$108)+Assumptions!$C$111)+Assumptions!$C$112)+(Assumptions!$C$109*Assumptions!$C$110))-Assumptions!$C$113),0)</f>
        <v>0</v>
      </c>
      <c r="AL212" s="9" t="n">
        <f aca="false">IF(AND(($C$14=1),(AL$18=Assumptions!$C$106)),(((((Assumptions!$C$107+Assumptions!$C$108)+Assumptions!$C$111)+Assumptions!$C$112)+(Assumptions!$C$109*Assumptions!$C$110))-Assumptions!$C$113),0)</f>
        <v>0</v>
      </c>
      <c r="AN212" s="11" t="n">
        <f aca="false">SUM(C212:N212)</f>
        <v>0</v>
      </c>
      <c r="AO212" s="11" t="n">
        <f aca="false">SUM(O212:Z212)</f>
        <v>0</v>
      </c>
      <c r="AP212" s="11" t="n">
        <f aca="false">SUM(AA212:AL212)</f>
        <v>0</v>
      </c>
    </row>
    <row r="213" customFormat="false" ht="15" hidden="false" customHeight="false" outlineLevel="0" collapsed="false">
      <c r="A213" s="0" t="s">
        <v>32</v>
      </c>
      <c r="B213" s="0" t="s">
        <v>230</v>
      </c>
      <c r="C213" s="9" t="n">
        <f aca="false">(C190+C191)</f>
        <v>41683.3333333333</v>
      </c>
      <c r="D213" s="9" t="n">
        <f aca="false">(D190+D191)</f>
        <v>41683.3333333333</v>
      </c>
      <c r="E213" s="9" t="n">
        <f aca="false">(E190+E191)</f>
        <v>54900</v>
      </c>
      <c r="F213" s="9" t="n">
        <f aca="false">(F190+F191)</f>
        <v>69133.3333333333</v>
      </c>
      <c r="G213" s="9" t="n">
        <f aca="false">(G190+G191)</f>
        <v>85400</v>
      </c>
      <c r="H213" s="9" t="n">
        <f aca="false">(H190+H191)</f>
        <v>100650</v>
      </c>
      <c r="I213" s="9" t="n">
        <f aca="false">(I190+I191)</f>
        <v>100650</v>
      </c>
      <c r="J213" s="9" t="n">
        <f aca="false">(J190+J191)</f>
        <v>100650</v>
      </c>
      <c r="K213" s="9" t="n">
        <f aca="false">(K190+K191)</f>
        <v>115391.666666667</v>
      </c>
      <c r="L213" s="9" t="n">
        <f aca="false">(L190+L191)</f>
        <v>127083.333333333</v>
      </c>
      <c r="M213" s="9" t="n">
        <f aca="false">(M190+M191)</f>
        <v>127083.333333333</v>
      </c>
      <c r="N213" s="9" t="n">
        <f aca="false">(N190+N191)</f>
        <v>127083.333333333</v>
      </c>
      <c r="O213" s="9" t="n">
        <f aca="false">(O190+O191)</f>
        <v>142333.333333333</v>
      </c>
      <c r="P213" s="9" t="n">
        <f aca="false">(P190+P191)</f>
        <v>157583.333333333</v>
      </c>
      <c r="Q213" s="9" t="n">
        <f aca="false">(Q190+Q191)</f>
        <v>157583.333333333</v>
      </c>
      <c r="R213" s="9" t="n">
        <f aca="false">(R190+R191)</f>
        <v>157583.333333333</v>
      </c>
      <c r="S213" s="9" t="n">
        <f aca="false">(S190+S191)</f>
        <v>157583.333333333</v>
      </c>
      <c r="T213" s="9" t="n">
        <f aca="false">(T190+T191)</f>
        <v>157583.333333333</v>
      </c>
      <c r="U213" s="9" t="n">
        <f aca="false">(U190+U191)</f>
        <v>157583.333333333</v>
      </c>
      <c r="V213" s="9" t="n">
        <f aca="false">(V190+V191)</f>
        <v>168766.666666667</v>
      </c>
      <c r="W213" s="9" t="n">
        <f aca="false">(W190+W191)</f>
        <v>168766.666666667</v>
      </c>
      <c r="X213" s="9" t="n">
        <f aca="false">(X190+X191)</f>
        <v>168766.666666667</v>
      </c>
      <c r="Y213" s="9" t="n">
        <f aca="false">(Y190+Y191)</f>
        <v>168766.666666667</v>
      </c>
      <c r="Z213" s="9" t="n">
        <f aca="false">(Z190+Z191)</f>
        <v>168766.666666667</v>
      </c>
      <c r="AA213" s="9" t="n">
        <f aca="false">(AA190+AA191)</f>
        <v>168766.666666667</v>
      </c>
      <c r="AB213" s="9" t="n">
        <f aca="false">(AB190+AB191)</f>
        <v>184016.666666667</v>
      </c>
      <c r="AC213" s="9" t="n">
        <f aca="false">(AC190+AC191)</f>
        <v>184016.666666667</v>
      </c>
      <c r="AD213" s="9" t="n">
        <f aca="false">(AD190+AD191)</f>
        <v>184016.666666667</v>
      </c>
      <c r="AE213" s="9" t="n">
        <f aca="false">(AE190+AE191)</f>
        <v>184016.666666667</v>
      </c>
      <c r="AF213" s="9" t="n">
        <f aca="false">(AF190+AF191)</f>
        <v>184016.666666667</v>
      </c>
      <c r="AG213" s="9" t="n">
        <f aca="false">(AG190+AG191)</f>
        <v>184016.666666667</v>
      </c>
      <c r="AH213" s="9" t="n">
        <f aca="false">(AH190+AH191)</f>
        <v>184016.666666667</v>
      </c>
      <c r="AI213" s="9" t="n">
        <f aca="false">(AI190+AI191)</f>
        <v>184016.666666667</v>
      </c>
      <c r="AJ213" s="9" t="n">
        <f aca="false">(AJ190+AJ191)</f>
        <v>184016.666666667</v>
      </c>
      <c r="AK213" s="9" t="n">
        <f aca="false">(AK190+AK191)</f>
        <v>184016.666666667</v>
      </c>
      <c r="AL213" s="9" t="n">
        <f aca="false">(AL190+AL191)</f>
        <v>184016.666666667</v>
      </c>
      <c r="AN213" s="11" t="n">
        <f aca="false">SUM(C213:N213)</f>
        <v>1091391.66666667</v>
      </c>
      <c r="AO213" s="11" t="n">
        <f aca="false">SUM(O213:Z213)</f>
        <v>1931666.66666667</v>
      </c>
      <c r="AP213" s="11" t="n">
        <f aca="false">SUM(AA213:AL213)</f>
        <v>2192950</v>
      </c>
    </row>
    <row r="214" customFormat="false" ht="15" hidden="false" customHeight="false" outlineLevel="0" collapsed="false">
      <c r="A214" s="0" t="s">
        <v>33</v>
      </c>
      <c r="B214" s="0" t="s">
        <v>230</v>
      </c>
      <c r="C214" s="9" t="n">
        <f aca="false">(C192+C199)</f>
        <v>9833.33333333333</v>
      </c>
      <c r="D214" s="9" t="n">
        <f aca="false">(D192+D199)</f>
        <v>9833.33333333333</v>
      </c>
      <c r="E214" s="9" t="n">
        <f aca="false">(E192+E199)</f>
        <v>9833.33333333333</v>
      </c>
      <c r="F214" s="9" t="n">
        <f aca="false">(F192+F199)</f>
        <v>9833.33333333333</v>
      </c>
      <c r="G214" s="9" t="n">
        <f aca="false">(G192+G199)</f>
        <v>9833.33333333333</v>
      </c>
      <c r="H214" s="9" t="n">
        <f aca="false">(H192+H199)</f>
        <v>9833.33333333333</v>
      </c>
      <c r="I214" s="9" t="n">
        <f aca="false">(I192+I199)</f>
        <v>25083.3333333333</v>
      </c>
      <c r="J214" s="9" t="n">
        <f aca="false">(J192+J199)</f>
        <v>25083.3333333333</v>
      </c>
      <c r="K214" s="9" t="n">
        <f aca="false">(K192+K199)</f>
        <v>25083.3333333333</v>
      </c>
      <c r="L214" s="9" t="n">
        <f aca="false">(L192+L199)</f>
        <v>25083.3333333333</v>
      </c>
      <c r="M214" s="9" t="n">
        <f aca="false">(M192+M199)</f>
        <v>25083.3333333333</v>
      </c>
      <c r="N214" s="9" t="n">
        <f aca="false">(N192+N199)</f>
        <v>25083.3333333333</v>
      </c>
      <c r="O214" s="9" t="n">
        <f aca="false">(O192+O199)</f>
        <v>29416.6666666667</v>
      </c>
      <c r="P214" s="9" t="n">
        <f aca="false">(P192+P199)</f>
        <v>29416.6666666667</v>
      </c>
      <c r="Q214" s="9" t="n">
        <f aca="false">(Q192+Q199)</f>
        <v>29416.6666666667</v>
      </c>
      <c r="R214" s="9" t="n">
        <f aca="false">(R192+R199)</f>
        <v>29416.6666666667</v>
      </c>
      <c r="S214" s="9" t="n">
        <f aca="false">(S192+S199)</f>
        <v>29416.6666666667</v>
      </c>
      <c r="T214" s="9" t="n">
        <f aca="false">(T192+T199)</f>
        <v>29416.6666666667</v>
      </c>
      <c r="U214" s="9" t="n">
        <f aca="false">(U192+U199)</f>
        <v>29416.6666666667</v>
      </c>
      <c r="V214" s="9" t="n">
        <f aca="false">(V192+V199)</f>
        <v>29416.6666666667</v>
      </c>
      <c r="W214" s="9" t="n">
        <f aca="false">(W192+W199)</f>
        <v>29416.6666666667</v>
      </c>
      <c r="X214" s="9" t="n">
        <f aca="false">(X192+X199)</f>
        <v>29416.6666666667</v>
      </c>
      <c r="Y214" s="9" t="n">
        <f aca="false">(Y192+Y199)</f>
        <v>29416.6666666667</v>
      </c>
      <c r="Z214" s="9" t="n">
        <f aca="false">(Z192+Z199)</f>
        <v>29416.6666666667</v>
      </c>
      <c r="AA214" s="9" t="n">
        <f aca="false">(AA192+AA199)</f>
        <v>34833.3333333333</v>
      </c>
      <c r="AB214" s="9" t="n">
        <f aca="false">(AB192+AB199)</f>
        <v>34833.3333333333</v>
      </c>
      <c r="AC214" s="9" t="n">
        <f aca="false">(AC192+AC199)</f>
        <v>34833.3333333333</v>
      </c>
      <c r="AD214" s="9" t="n">
        <f aca="false">(AD192+AD199)</f>
        <v>34833.3333333333</v>
      </c>
      <c r="AE214" s="9" t="n">
        <f aca="false">(AE192+AE199)</f>
        <v>34833.3333333333</v>
      </c>
      <c r="AF214" s="9" t="n">
        <f aca="false">(AF192+AF199)</f>
        <v>34833.3333333333</v>
      </c>
      <c r="AG214" s="9" t="n">
        <f aca="false">(AG192+AG199)</f>
        <v>34833.3333333333</v>
      </c>
      <c r="AH214" s="9" t="n">
        <f aca="false">(AH192+AH199)</f>
        <v>34833.3333333333</v>
      </c>
      <c r="AI214" s="9" t="n">
        <f aca="false">(AI192+AI199)</f>
        <v>34833.3333333333</v>
      </c>
      <c r="AJ214" s="9" t="n">
        <f aca="false">(AJ192+AJ199)</f>
        <v>34833.3333333333</v>
      </c>
      <c r="AK214" s="9" t="n">
        <f aca="false">(AK192+AK199)</f>
        <v>34833.3333333333</v>
      </c>
      <c r="AL214" s="9" t="n">
        <f aca="false">(AL192+AL199)</f>
        <v>34833.3333333333</v>
      </c>
      <c r="AN214" s="11" t="n">
        <f aca="false">SUM(C214:N214)</f>
        <v>209500</v>
      </c>
      <c r="AO214" s="11" t="n">
        <f aca="false">SUM(O214:Z214)</f>
        <v>353000</v>
      </c>
      <c r="AP214" s="11" t="n">
        <f aca="false">SUM(AA214:AL214)</f>
        <v>418000</v>
      </c>
    </row>
    <row r="215" customFormat="false" ht="15" hidden="false" customHeight="false" outlineLevel="0" collapsed="false">
      <c r="A215" s="0" t="s">
        <v>34</v>
      </c>
      <c r="B215" s="0" t="s">
        <v>230</v>
      </c>
      <c r="C215" s="9" t="n">
        <f aca="false">((C193+C204)+C205)</f>
        <v>5000</v>
      </c>
      <c r="D215" s="9" t="n">
        <f aca="false">((D193+D204)+D205)</f>
        <v>5000</v>
      </c>
      <c r="E215" s="9" t="n">
        <f aca="false">((E193+E204)+E205)</f>
        <v>5000</v>
      </c>
      <c r="F215" s="9" t="n">
        <f aca="false">((F193+F204)+F205)</f>
        <v>5000</v>
      </c>
      <c r="G215" s="9" t="n">
        <f aca="false">((G193+G204)+G205)</f>
        <v>5000</v>
      </c>
      <c r="H215" s="9" t="n">
        <f aca="false">((H193+H204)+H205)</f>
        <v>5000</v>
      </c>
      <c r="I215" s="9" t="n">
        <f aca="false">((I193+I204)+I205)</f>
        <v>5000</v>
      </c>
      <c r="J215" s="9" t="n">
        <f aca="false">((J193+J204)+J205)</f>
        <v>5000</v>
      </c>
      <c r="K215" s="9" t="n">
        <f aca="false">((K193+K204)+K205)</f>
        <v>5000</v>
      </c>
      <c r="L215" s="9" t="n">
        <f aca="false">((L193+L204)+L205)</f>
        <v>5000</v>
      </c>
      <c r="M215" s="9" t="n">
        <f aca="false">((M193+M204)+M205)</f>
        <v>16183.3333333333</v>
      </c>
      <c r="N215" s="9" t="n">
        <f aca="false">((N193+N204)+N205)</f>
        <v>16183.3333333333</v>
      </c>
      <c r="O215" s="9" t="n">
        <f aca="false">((O193+O204)+O205)</f>
        <v>35233.3333333333</v>
      </c>
      <c r="P215" s="9" t="n">
        <f aca="false">((P193+P204)+P205)</f>
        <v>35233.3333333333</v>
      </c>
      <c r="Q215" s="9" t="n">
        <f aca="false">((Q193+Q204)+Q205)</f>
        <v>35233.3333333333</v>
      </c>
      <c r="R215" s="9" t="n">
        <f aca="false">((R193+R204)+R205)</f>
        <v>35233.3333333333</v>
      </c>
      <c r="S215" s="9" t="n">
        <f aca="false">((S193+S204)+S205)</f>
        <v>35233.3333333333</v>
      </c>
      <c r="T215" s="9" t="n">
        <f aca="false">((T193+T204)+T205)</f>
        <v>39605.1733333333</v>
      </c>
      <c r="U215" s="9" t="n">
        <f aca="false">((U193+U204)+U205)</f>
        <v>38113.3333333333</v>
      </c>
      <c r="V215" s="9" t="n">
        <f aca="false">((V193+V204)+V205)</f>
        <v>35233.3333333333</v>
      </c>
      <c r="W215" s="9" t="n">
        <f aca="false">((W193+W204)+W205)</f>
        <v>35233.3333333333</v>
      </c>
      <c r="X215" s="9" t="n">
        <f aca="false">((X193+X204)+X205)</f>
        <v>55376.6666666667</v>
      </c>
      <c r="Y215" s="9" t="n">
        <f aca="false">((Y193+Y204)+Y205)</f>
        <v>46416.6666666667</v>
      </c>
      <c r="Z215" s="9" t="n">
        <f aca="false">((Z193+Z204)+Z205)</f>
        <v>46416.6666666667</v>
      </c>
      <c r="AA215" s="9" t="n">
        <f aca="false">((AA193+AA204)+AA205)</f>
        <v>65756.6666666667</v>
      </c>
      <c r="AB215" s="9" t="n">
        <f aca="false">((AB193+AB204)+AB205)</f>
        <v>54867.0666666667</v>
      </c>
      <c r="AC215" s="9" t="n">
        <f aca="false">((AC193+AC204)+AC205)</f>
        <v>53916.6666666667</v>
      </c>
      <c r="AD215" s="9" t="n">
        <f aca="false">((AD193+AD204)+AD205)</f>
        <v>76940</v>
      </c>
      <c r="AE215" s="9" t="n">
        <f aca="false">((AE193+AE204)+AE205)</f>
        <v>72265.92</v>
      </c>
      <c r="AF215" s="9" t="n">
        <f aca="false">((AF193+AF204)+AF205)</f>
        <v>65100</v>
      </c>
      <c r="AG215" s="9" t="n">
        <f aca="false">((AG193+AG204)+AG205)</f>
        <v>79820</v>
      </c>
      <c r="AH215" s="9" t="n">
        <f aca="false">((AH193+AH204)+AH205)</f>
        <v>82880.32</v>
      </c>
      <c r="AI215" s="9" t="n">
        <f aca="false">((AI193+AI204)+AI205)</f>
        <v>65100</v>
      </c>
      <c r="AJ215" s="9" t="n">
        <f aca="false">((AJ193+AJ204)+AJ205)</f>
        <v>85900</v>
      </c>
      <c r="AK215" s="9" t="n">
        <f aca="false">((AK193+AK204)+AK205)</f>
        <v>86672.32</v>
      </c>
      <c r="AL215" s="9" t="n">
        <f aca="false">((AL193+AL204)+AL205)</f>
        <v>78380</v>
      </c>
      <c r="AN215" s="11" t="n">
        <f aca="false">SUM(C215:N215)</f>
        <v>82366.6666666667</v>
      </c>
      <c r="AO215" s="11" t="n">
        <f aca="false">SUM(O215:Z215)</f>
        <v>472561.84</v>
      </c>
      <c r="AP215" s="11" t="n">
        <f aca="false">SUM(AA215:AL215)</f>
        <v>867598.96</v>
      </c>
    </row>
    <row r="216" customFormat="false" ht="15" hidden="false" customHeight="false" outlineLevel="0" collapsed="false">
      <c r="A216" s="0" t="s">
        <v>35</v>
      </c>
      <c r="B216" s="0" t="s">
        <v>230</v>
      </c>
      <c r="C216" s="9" t="n">
        <f aca="false">((C194+C206)+C207)</f>
        <v>4833.33333333333</v>
      </c>
      <c r="D216" s="9" t="n">
        <f aca="false">((D194+D206)+D207)</f>
        <v>4833.33333333333</v>
      </c>
      <c r="E216" s="9" t="n">
        <f aca="false">((E194+E206)+E207)</f>
        <v>4833.33333333333</v>
      </c>
      <c r="F216" s="9" t="n">
        <f aca="false">((F194+F206)+F207)</f>
        <v>4833.33333333333</v>
      </c>
      <c r="G216" s="9" t="n">
        <f aca="false">((G194+G206)+G207)</f>
        <v>4833.33333333333</v>
      </c>
      <c r="H216" s="9" t="n">
        <f aca="false">((H194+H206)+H207)</f>
        <v>15508.3333333333</v>
      </c>
      <c r="I216" s="9" t="n">
        <f aca="false">((I194+I206)+I207)</f>
        <v>15508.3333333333</v>
      </c>
      <c r="J216" s="9" t="n">
        <f aca="false">((J194+J206)+J207)</f>
        <v>15508.3333333333</v>
      </c>
      <c r="K216" s="9" t="n">
        <f aca="false">((K194+K206)+K207)</f>
        <v>15508.3333333333</v>
      </c>
      <c r="L216" s="9" t="n">
        <f aca="false">((L194+L206)+L207)</f>
        <v>15508.3333333333</v>
      </c>
      <c r="M216" s="9" t="n">
        <f aca="false">((M194+M206)+M207)</f>
        <v>15508.3333333333</v>
      </c>
      <c r="N216" s="9" t="n">
        <f aca="false">((N194+N206)+N207)</f>
        <v>22116.6666666667</v>
      </c>
      <c r="O216" s="9" t="n">
        <f aca="false">((O194+O206)+O207)</f>
        <v>31366.6666666667</v>
      </c>
      <c r="P216" s="9" t="n">
        <f aca="false">((P194+P206)+P207)</f>
        <v>31366.6666666667</v>
      </c>
      <c r="Q216" s="9" t="n">
        <f aca="false">((Q194+Q206)+Q207)</f>
        <v>31366.6666666667</v>
      </c>
      <c r="R216" s="9" t="n">
        <f aca="false">((R194+R206)+R207)</f>
        <v>31366.6666666667</v>
      </c>
      <c r="S216" s="9" t="n">
        <f aca="false">((S194+S206)+S207)</f>
        <v>31366.6666666667</v>
      </c>
      <c r="T216" s="9" t="n">
        <f aca="false">((T194+T206)+T207)</f>
        <v>31366.6666666667</v>
      </c>
      <c r="U216" s="9" t="n">
        <f aca="false">((U194+U206)+U207)</f>
        <v>31366.6666666667</v>
      </c>
      <c r="V216" s="9" t="n">
        <f aca="false">((V194+V206)+V207)</f>
        <v>40008.3333333333</v>
      </c>
      <c r="W216" s="9" t="n">
        <f aca="false">((W194+W206)+W207)</f>
        <v>40008.3333333333</v>
      </c>
      <c r="X216" s="9" t="n">
        <f aca="false">((X194+X206)+X207)</f>
        <v>40008.3333333333</v>
      </c>
      <c r="Y216" s="9" t="n">
        <f aca="false">((Y194+Y206)+Y207)</f>
        <v>40008.3333333333</v>
      </c>
      <c r="Z216" s="9" t="n">
        <f aca="false">((Z194+Z206)+Z207)</f>
        <v>40008.3333333333</v>
      </c>
      <c r="AA216" s="9" t="n">
        <f aca="false">((AA194+AA206)+AA207)</f>
        <v>50091.6666666667</v>
      </c>
      <c r="AB216" s="9" t="n">
        <f aca="false">((AB194+AB206)+AB207)</f>
        <v>50091.6666666667</v>
      </c>
      <c r="AC216" s="9" t="n">
        <f aca="false">((AC194+AC206)+AC207)</f>
        <v>50091.6666666667</v>
      </c>
      <c r="AD216" s="9" t="n">
        <f aca="false">((AD194+AD206)+AD207)</f>
        <v>50091.6666666667</v>
      </c>
      <c r="AE216" s="9" t="n">
        <f aca="false">((AE194+AE206)+AE207)</f>
        <v>50091.6666666667</v>
      </c>
      <c r="AF216" s="9" t="n">
        <f aca="false">((AF194+AF206)+AF207)</f>
        <v>50091.6666666667</v>
      </c>
      <c r="AG216" s="9" t="n">
        <f aca="false">((AG194+AG206)+AG207)</f>
        <v>50091.6666666667</v>
      </c>
      <c r="AH216" s="9" t="n">
        <f aca="false">((AH194+AH206)+AH207)</f>
        <v>50091.6666666667</v>
      </c>
      <c r="AI216" s="9" t="n">
        <f aca="false">((AI194+AI206)+AI207)</f>
        <v>50091.6666666667</v>
      </c>
      <c r="AJ216" s="9" t="n">
        <f aca="false">((AJ194+AJ206)+AJ207)</f>
        <v>50091.6666666667</v>
      </c>
      <c r="AK216" s="9" t="n">
        <f aca="false">((AK194+AK206)+AK207)</f>
        <v>50091.6666666667</v>
      </c>
      <c r="AL216" s="9" t="n">
        <f aca="false">((AL194+AL206)+AL207)</f>
        <v>50091.6666666667</v>
      </c>
      <c r="AN216" s="11" t="n">
        <f aca="false">SUM(C216:N216)</f>
        <v>139333.333333333</v>
      </c>
      <c r="AO216" s="11" t="n">
        <f aca="false">SUM(O216:Z216)</f>
        <v>419608.333333333</v>
      </c>
      <c r="AP216" s="11" t="n">
        <f aca="false">SUM(AA216:AL216)</f>
        <v>601100</v>
      </c>
    </row>
    <row r="217" customFormat="false" ht="15" hidden="false" customHeight="false" outlineLevel="0" collapsed="false">
      <c r="A217" s="0" t="s">
        <v>36</v>
      </c>
      <c r="B217" s="0" t="s">
        <v>230</v>
      </c>
      <c r="C217" s="9" t="n">
        <f aca="false">C200</f>
        <v>7916.66666666667</v>
      </c>
      <c r="D217" s="9" t="n">
        <f aca="false">D200</f>
        <v>7916.66666666667</v>
      </c>
      <c r="E217" s="9" t="n">
        <f aca="false">E200</f>
        <v>7916.66666666667</v>
      </c>
      <c r="F217" s="9" t="n">
        <f aca="false">F200</f>
        <v>7916.66666666667</v>
      </c>
      <c r="G217" s="9" t="n">
        <f aca="false">G200</f>
        <v>7916.66666666667</v>
      </c>
      <c r="H217" s="9" t="n">
        <f aca="false">H200</f>
        <v>7916.66666666667</v>
      </c>
      <c r="I217" s="9" t="n">
        <f aca="false">I200</f>
        <v>7916.66666666667</v>
      </c>
      <c r="J217" s="9" t="n">
        <f aca="false">J200</f>
        <v>7916.66666666667</v>
      </c>
      <c r="K217" s="9" t="n">
        <f aca="false">K200</f>
        <v>7916.66666666667</v>
      </c>
      <c r="L217" s="9" t="n">
        <f aca="false">L200</f>
        <v>7916.66666666667</v>
      </c>
      <c r="M217" s="9" t="n">
        <f aca="false">M200</f>
        <v>7916.66666666667</v>
      </c>
      <c r="N217" s="9" t="n">
        <f aca="false">N200</f>
        <v>7916.66666666667</v>
      </c>
      <c r="O217" s="9" t="n">
        <f aca="false">O200</f>
        <v>9333.33333333333</v>
      </c>
      <c r="P217" s="9" t="n">
        <f aca="false">P200</f>
        <v>9333.33333333333</v>
      </c>
      <c r="Q217" s="9" t="n">
        <f aca="false">Q200</f>
        <v>9333.33333333333</v>
      </c>
      <c r="R217" s="9" t="n">
        <f aca="false">R200</f>
        <v>9333.33333333333</v>
      </c>
      <c r="S217" s="9" t="n">
        <f aca="false">S200</f>
        <v>9333.33333333333</v>
      </c>
      <c r="T217" s="9" t="n">
        <f aca="false">T200</f>
        <v>9333.33333333333</v>
      </c>
      <c r="U217" s="9" t="n">
        <f aca="false">U200</f>
        <v>9333.33333333333</v>
      </c>
      <c r="V217" s="9" t="n">
        <f aca="false">V200</f>
        <v>9333.33333333333</v>
      </c>
      <c r="W217" s="9" t="n">
        <f aca="false">W200</f>
        <v>9333.33333333333</v>
      </c>
      <c r="X217" s="9" t="n">
        <f aca="false">X200</f>
        <v>9333.33333333333</v>
      </c>
      <c r="Y217" s="9" t="n">
        <f aca="false">Y200</f>
        <v>9333.33333333333</v>
      </c>
      <c r="Z217" s="9" t="n">
        <f aca="false">Z200</f>
        <v>9333.33333333333</v>
      </c>
      <c r="AA217" s="9" t="n">
        <f aca="false">AA200</f>
        <v>12916.6666666667</v>
      </c>
      <c r="AB217" s="9" t="n">
        <f aca="false">AB200</f>
        <v>12916.6666666667</v>
      </c>
      <c r="AC217" s="9" t="n">
        <f aca="false">AC200</f>
        <v>12916.6666666667</v>
      </c>
      <c r="AD217" s="9" t="n">
        <f aca="false">AD200</f>
        <v>12916.6666666667</v>
      </c>
      <c r="AE217" s="9" t="n">
        <f aca="false">AE200</f>
        <v>12916.6666666667</v>
      </c>
      <c r="AF217" s="9" t="n">
        <f aca="false">AF200</f>
        <v>12916.6666666667</v>
      </c>
      <c r="AG217" s="9" t="n">
        <f aca="false">AG200</f>
        <v>12916.6666666667</v>
      </c>
      <c r="AH217" s="9" t="n">
        <f aca="false">AH200</f>
        <v>12916.6666666667</v>
      </c>
      <c r="AI217" s="9" t="n">
        <f aca="false">AI200</f>
        <v>12916.6666666667</v>
      </c>
      <c r="AJ217" s="9" t="n">
        <f aca="false">AJ200</f>
        <v>12916.6666666667</v>
      </c>
      <c r="AK217" s="9" t="n">
        <f aca="false">AK200</f>
        <v>12916.6666666667</v>
      </c>
      <c r="AL217" s="9" t="n">
        <f aca="false">AL200</f>
        <v>12916.6666666667</v>
      </c>
      <c r="AN217" s="11" t="n">
        <f aca="false">SUM(C217:N217)</f>
        <v>95000</v>
      </c>
      <c r="AO217" s="11" t="n">
        <f aca="false">SUM(O217:Z217)</f>
        <v>112000</v>
      </c>
      <c r="AP217" s="11" t="n">
        <f aca="false">SUM(AA217:AL217)</f>
        <v>155000</v>
      </c>
    </row>
    <row r="218" customFormat="false" ht="15" hidden="false" customHeight="false" outlineLevel="0" collapsed="false">
      <c r="A218" s="0" t="s">
        <v>37</v>
      </c>
      <c r="B218" s="0" t="s">
        <v>230</v>
      </c>
      <c r="C218" s="9" t="n">
        <f aca="false">C201</f>
        <v>3416.66666666667</v>
      </c>
      <c r="D218" s="9" t="n">
        <f aca="false">D201</f>
        <v>3416.66666666667</v>
      </c>
      <c r="E218" s="9" t="n">
        <f aca="false">E201</f>
        <v>3416.66666666667</v>
      </c>
      <c r="F218" s="9" t="n">
        <f aca="false">F201</f>
        <v>3416.66666666667</v>
      </c>
      <c r="G218" s="9" t="n">
        <f aca="false">G201</f>
        <v>3416.66666666667</v>
      </c>
      <c r="H218" s="9" t="n">
        <f aca="false">H201</f>
        <v>3416.66666666667</v>
      </c>
      <c r="I218" s="9" t="n">
        <f aca="false">I201</f>
        <v>3416.66666666667</v>
      </c>
      <c r="J218" s="9" t="n">
        <f aca="false">J201</f>
        <v>3416.66666666667</v>
      </c>
      <c r="K218" s="9" t="n">
        <f aca="false">K201</f>
        <v>3416.66666666667</v>
      </c>
      <c r="L218" s="9" t="n">
        <f aca="false">L201</f>
        <v>3416.66666666667</v>
      </c>
      <c r="M218" s="9" t="n">
        <f aca="false">M201</f>
        <v>3416.66666666667</v>
      </c>
      <c r="N218" s="9" t="n">
        <f aca="false">N201</f>
        <v>3416.66666666667</v>
      </c>
      <c r="O218" s="9" t="n">
        <f aca="false">O201</f>
        <v>5833.33333333333</v>
      </c>
      <c r="P218" s="9" t="n">
        <f aca="false">P201</f>
        <v>5833.33333333333</v>
      </c>
      <c r="Q218" s="9" t="n">
        <f aca="false">Q201</f>
        <v>5833.33333333333</v>
      </c>
      <c r="R218" s="9" t="n">
        <f aca="false">R201</f>
        <v>5833.33333333333</v>
      </c>
      <c r="S218" s="9" t="n">
        <f aca="false">S201</f>
        <v>5833.33333333333</v>
      </c>
      <c r="T218" s="9" t="n">
        <f aca="false">T201</f>
        <v>5833.33333333333</v>
      </c>
      <c r="U218" s="9" t="n">
        <f aca="false">U201</f>
        <v>5833.33333333333</v>
      </c>
      <c r="V218" s="9" t="n">
        <f aca="false">V201</f>
        <v>5833.33333333333</v>
      </c>
      <c r="W218" s="9" t="n">
        <f aca="false">W201</f>
        <v>5833.33333333333</v>
      </c>
      <c r="X218" s="9" t="n">
        <f aca="false">X201</f>
        <v>5833.33333333333</v>
      </c>
      <c r="Y218" s="9" t="n">
        <f aca="false">Y201</f>
        <v>5833.33333333333</v>
      </c>
      <c r="Z218" s="9" t="n">
        <f aca="false">Z201</f>
        <v>5833.33333333333</v>
      </c>
      <c r="AA218" s="9" t="n">
        <f aca="false">AA201</f>
        <v>10000</v>
      </c>
      <c r="AB218" s="9" t="n">
        <f aca="false">AB201</f>
        <v>10000</v>
      </c>
      <c r="AC218" s="9" t="n">
        <f aca="false">AC201</f>
        <v>10000</v>
      </c>
      <c r="AD218" s="9" t="n">
        <f aca="false">AD201</f>
        <v>10000</v>
      </c>
      <c r="AE218" s="9" t="n">
        <f aca="false">AE201</f>
        <v>10000</v>
      </c>
      <c r="AF218" s="9" t="n">
        <f aca="false">AF201</f>
        <v>10000</v>
      </c>
      <c r="AG218" s="9" t="n">
        <f aca="false">AG201</f>
        <v>10000</v>
      </c>
      <c r="AH218" s="9" t="n">
        <f aca="false">AH201</f>
        <v>10000</v>
      </c>
      <c r="AI218" s="9" t="n">
        <f aca="false">AI201</f>
        <v>10000</v>
      </c>
      <c r="AJ218" s="9" t="n">
        <f aca="false">AJ201</f>
        <v>10000</v>
      </c>
      <c r="AK218" s="9" t="n">
        <f aca="false">AK201</f>
        <v>10000</v>
      </c>
      <c r="AL218" s="9" t="n">
        <f aca="false">AL201</f>
        <v>10000</v>
      </c>
      <c r="AN218" s="11" t="n">
        <f aca="false">SUM(C218:N218)</f>
        <v>41000</v>
      </c>
      <c r="AO218" s="11" t="n">
        <f aca="false">SUM(O218:Z218)</f>
        <v>70000</v>
      </c>
      <c r="AP218" s="11" t="n">
        <f aca="false">SUM(AA218:AL218)</f>
        <v>120000</v>
      </c>
    </row>
    <row r="219" customFormat="false" ht="15" hidden="false" customHeight="false" outlineLevel="0" collapsed="false">
      <c r="A219" s="0" t="s">
        <v>1011</v>
      </c>
      <c r="B219" s="0" t="s">
        <v>230</v>
      </c>
      <c r="C219" s="9" t="n">
        <f aca="false">((((((C195+C202)+C208)+C209)+C203)+C210)+C211)</f>
        <v>25615</v>
      </c>
      <c r="D219" s="9" t="n">
        <f aca="false">((((((D195+D202)+D208)+D209)+D203)+D210)+D211)</f>
        <v>25615</v>
      </c>
      <c r="E219" s="9" t="n">
        <f aca="false">((((((E195+E202)+E208)+E209)+E203)+E210)+E211)</f>
        <v>38265</v>
      </c>
      <c r="F219" s="9" t="n">
        <f aca="false">((((((F195+F202)+F208)+F209)+F203)+F210)+F211)</f>
        <v>39115</v>
      </c>
      <c r="G219" s="9" t="n">
        <f aca="false">((((((G195+G202)+G208)+G209)+G203)+G210)+G211)</f>
        <v>52615</v>
      </c>
      <c r="H219" s="9" t="n">
        <f aca="false">((((((H195+H202)+H208)+H209)+H203)+H210)+H211)</f>
        <v>54315</v>
      </c>
      <c r="I219" s="9" t="n">
        <f aca="false">((((((I195+I202)+I208)+I209)+I203)+I210)+I211)</f>
        <v>43365</v>
      </c>
      <c r="J219" s="9" t="n">
        <f aca="false">((((((J195+J202)+J208)+J209)+J203)+J210)+J211)</f>
        <v>31565</v>
      </c>
      <c r="K219" s="9" t="n">
        <f aca="false">((((((K195+K202)+K208)+K209)+K203)+K210)+K211)</f>
        <v>82223.3333333333</v>
      </c>
      <c r="L219" s="9" t="n">
        <f aca="false">((((((L195+L202)+L208)+L209)+L203)+L210)+L211)</f>
        <v>59473.3333333333</v>
      </c>
      <c r="M219" s="9" t="n">
        <f aca="false">((((((M195+M202)+M208)+M209)+M203)+M210)+M211)</f>
        <v>72973.3333333333</v>
      </c>
      <c r="N219" s="9" t="n">
        <f aca="false">((((((N195+N202)+N208)+N209)+N203)+N210)+N211)</f>
        <v>62023.3333333333</v>
      </c>
      <c r="O219" s="9" t="n">
        <f aca="false">((((((O195+O202)+O208)+O209)+O203)+O210)+O211)</f>
        <v>81873.3333333333</v>
      </c>
      <c r="P219" s="9" t="n">
        <f aca="false">((((((P195+P202)+P208)+P209)+P203)+P210)+P211)</f>
        <v>70923.3333333333</v>
      </c>
      <c r="Q219" s="9" t="n">
        <f aca="false">((((((Q195+Q202)+Q208)+Q209)+Q203)+Q210)+Q211)</f>
        <v>96623.3333333333</v>
      </c>
      <c r="R219" s="9" t="n">
        <f aca="false">((((((R195+R202)+R208)+R209)+R203)+R210)+R211)</f>
        <v>73023.3333333333</v>
      </c>
      <c r="S219" s="9" t="n">
        <f aca="false">((((((S195+S202)+S208)+S209)+S203)+S210)+S211)</f>
        <v>73023.3333333333</v>
      </c>
      <c r="T219" s="9" t="n">
        <f aca="false">((((((T195+T202)+T208)+T209)+T203)+T210)+T211)</f>
        <v>98869.8133333333</v>
      </c>
      <c r="U219" s="9" t="n">
        <f aca="false">((((((U195+U202)+U208)+U209)+U203)+U210)+U211)</f>
        <v>87733.3333333333</v>
      </c>
      <c r="V219" s="9" t="n">
        <f aca="false">((((((V195+V202)+V208)+V209)+V203)+V210)+V211)</f>
        <v>100873.333333333</v>
      </c>
      <c r="W219" s="9" t="n">
        <f aca="false">((((((W195+W202)+W208)+W209)+W203)+W210)+W211)</f>
        <v>77273.3333333333</v>
      </c>
      <c r="X219" s="9" t="n">
        <f aca="false">((((((X195+X202)+X208)+X209)+X203)+X210)+X211)</f>
        <v>103693.333333333</v>
      </c>
      <c r="Y219" s="9" t="n">
        <f aca="false">((((((Y195+Y202)+Y208)+Y209)+Y203)+Y210)+Y211)</f>
        <v>78973.3333333333</v>
      </c>
      <c r="Z219" s="9" t="n">
        <f aca="false">((((((Z195+Z202)+Z208)+Z209)+Z203)+Z210)+Z211)</f>
        <v>100265</v>
      </c>
      <c r="AA219" s="9" t="n">
        <f aca="false">((((((AA195+AA202)+AA208)+AA209)+AA203)+AA210)+AA211)</f>
        <v>109457.5</v>
      </c>
      <c r="AB219" s="9" t="n">
        <f aca="false">((((((AB195+AB202)+AB208)+AB209)+AB203)+AB210)+AB211)</f>
        <v>121562.55</v>
      </c>
      <c r="AC219" s="9" t="n">
        <f aca="false">((((((AC195+AC202)+AC208)+AC209)+AC203)+AC210)+AC211)</f>
        <v>97877.5</v>
      </c>
      <c r="AD219" s="9" t="n">
        <f aca="false">((((((AD195+AD202)+AD208)+AD209)+AD203)+AD210)+AD211)</f>
        <v>124657.5</v>
      </c>
      <c r="AE219" s="9" t="n">
        <f aca="false">((((((AE195+AE202)+AE208)+AE209)+AE203)+AE210)+AE211)</f>
        <v>100378.74</v>
      </c>
      <c r="AF219" s="9" t="n">
        <f aca="false">((((((AF195+AF202)+AF208)+AF209)+AF203)+AF210)+AF211)</f>
        <v>112756.49264</v>
      </c>
      <c r="AG219" s="9" t="n">
        <f aca="false">((((((AG195+AG202)+AG208)+AG209)+AG203)+AG210)+AG211)</f>
        <v>114917.5</v>
      </c>
      <c r="AH219" s="9" t="n">
        <f aca="false">((((((AH195+AH202)+AH208)+AH209)+AH203)+AH210)+AH211)</f>
        <v>116021.79</v>
      </c>
      <c r="AI219" s="9" t="n">
        <f aca="false">((((((AI195+AI202)+AI208)+AI209)+AI203)+AI210)+AI211)</f>
        <v>114777.5</v>
      </c>
      <c r="AJ219" s="9" t="n">
        <f aca="false">((((((AJ195+AJ202)+AJ208)+AJ209)+AJ203)+AJ210)+AJ211)</f>
        <v>105577.5</v>
      </c>
      <c r="AK219" s="9" t="n">
        <f aca="false">((((((AK195+AK202)+AK208)+AK209)+AK203)+AK210)+AK211)</f>
        <v>105545.79</v>
      </c>
      <c r="AL219" s="9" t="n">
        <f aca="false">((((((AL195+AL202)+AL208)+AL209)+AL203)+AL210)+AL211)</f>
        <v>104637.5</v>
      </c>
      <c r="AN219" s="11" t="n">
        <f aca="false">SUM(C219:N219)</f>
        <v>587163.333333333</v>
      </c>
      <c r="AO219" s="11" t="n">
        <f aca="false">SUM(O219:Z219)</f>
        <v>1043148.14666667</v>
      </c>
      <c r="AP219" s="11" t="n">
        <f aca="false">SUM(AA219:AL219)</f>
        <v>1328167.86264</v>
      </c>
    </row>
    <row r="220" customFormat="false" ht="15" hidden="false" customHeight="false" outlineLevel="0" collapsed="false">
      <c r="A220" s="0" t="s">
        <v>39</v>
      </c>
      <c r="B220" s="0" t="s">
        <v>230</v>
      </c>
      <c r="C220" s="9" t="n">
        <f aca="false">C212</f>
        <v>0</v>
      </c>
      <c r="D220" s="9" t="n">
        <f aca="false">D212</f>
        <v>0</v>
      </c>
      <c r="E220" s="9" t="n">
        <f aca="false">E212</f>
        <v>0</v>
      </c>
      <c r="F220" s="9" t="n">
        <f aca="false">F212</f>
        <v>0</v>
      </c>
      <c r="G220" s="9" t="n">
        <f aca="false">G212</f>
        <v>0</v>
      </c>
      <c r="H220" s="9" t="n">
        <f aca="false">H212</f>
        <v>0</v>
      </c>
      <c r="I220" s="9" t="n">
        <f aca="false">I212</f>
        <v>0</v>
      </c>
      <c r="J220" s="9" t="n">
        <f aca="false">J212</f>
        <v>0</v>
      </c>
      <c r="K220" s="9" t="n">
        <f aca="false">K212</f>
        <v>0</v>
      </c>
      <c r="L220" s="9" t="n">
        <f aca="false">L212</f>
        <v>0</v>
      </c>
      <c r="M220" s="9" t="n">
        <f aca="false">M212</f>
        <v>0</v>
      </c>
      <c r="N220" s="9" t="n">
        <f aca="false">N212</f>
        <v>0</v>
      </c>
      <c r="O220" s="9" t="n">
        <f aca="false">O212</f>
        <v>0</v>
      </c>
      <c r="P220" s="9" t="n">
        <f aca="false">P212</f>
        <v>0</v>
      </c>
      <c r="Q220" s="9" t="n">
        <f aca="false">Q212</f>
        <v>0</v>
      </c>
      <c r="R220" s="9" t="n">
        <f aca="false">R212</f>
        <v>0</v>
      </c>
      <c r="S220" s="9" t="n">
        <f aca="false">S212</f>
        <v>0</v>
      </c>
      <c r="T220" s="9" t="n">
        <f aca="false">T212</f>
        <v>0</v>
      </c>
      <c r="U220" s="9" t="n">
        <f aca="false">U212</f>
        <v>0</v>
      </c>
      <c r="V220" s="9" t="n">
        <f aca="false">V212</f>
        <v>0</v>
      </c>
      <c r="W220" s="9" t="n">
        <f aca="false">W212</f>
        <v>0</v>
      </c>
      <c r="X220" s="9" t="n">
        <f aca="false">X212</f>
        <v>0</v>
      </c>
      <c r="Y220" s="9" t="n">
        <f aca="false">Y212</f>
        <v>0</v>
      </c>
      <c r="Z220" s="9" t="n">
        <f aca="false">Z212</f>
        <v>0</v>
      </c>
      <c r="AA220" s="9" t="n">
        <f aca="false">AA212</f>
        <v>0</v>
      </c>
      <c r="AB220" s="9" t="n">
        <f aca="false">AB212</f>
        <v>0</v>
      </c>
      <c r="AC220" s="9" t="n">
        <f aca="false">AC212</f>
        <v>0</v>
      </c>
      <c r="AD220" s="9" t="n">
        <f aca="false">AD212</f>
        <v>0</v>
      </c>
      <c r="AE220" s="9" t="n">
        <f aca="false">AE212</f>
        <v>0</v>
      </c>
      <c r="AF220" s="9" t="n">
        <f aca="false">AF212</f>
        <v>0</v>
      </c>
      <c r="AG220" s="9" t="n">
        <f aca="false">AG212</f>
        <v>0</v>
      </c>
      <c r="AH220" s="9" t="n">
        <f aca="false">AH212</f>
        <v>0</v>
      </c>
      <c r="AI220" s="9" t="n">
        <f aca="false">AI212</f>
        <v>0</v>
      </c>
      <c r="AJ220" s="9" t="n">
        <f aca="false">AJ212</f>
        <v>0</v>
      </c>
      <c r="AK220" s="9" t="n">
        <f aca="false">AK212</f>
        <v>0</v>
      </c>
      <c r="AL220" s="9" t="n">
        <f aca="false">AL212</f>
        <v>0</v>
      </c>
      <c r="AN220" s="11" t="n">
        <f aca="false">SUM(C220:N220)</f>
        <v>0</v>
      </c>
      <c r="AO220" s="11" t="n">
        <f aca="false">SUM(O220:Z220)</f>
        <v>0</v>
      </c>
      <c r="AP220" s="11" t="n">
        <f aca="false">SUM(AA220:AL220)</f>
        <v>0</v>
      </c>
    </row>
    <row r="221" customFormat="false" ht="15" hidden="false" customHeight="false" outlineLevel="0" collapsed="false">
      <c r="A221" s="10" t="s">
        <v>40</v>
      </c>
      <c r="B221" s="20" t="s">
        <v>230</v>
      </c>
      <c r="C221" s="11" t="n">
        <f aca="false">(((((((C213+C214)+C215)+C216)+C217)+C218)+C219)+C220)</f>
        <v>98298.3333333333</v>
      </c>
      <c r="D221" s="11" t="n">
        <f aca="false">(((((((D213+D214)+D215)+D216)+D217)+D218)+D219)+D220)</f>
        <v>98298.3333333333</v>
      </c>
      <c r="E221" s="11" t="n">
        <f aca="false">(((((((E213+E214)+E215)+E216)+E217)+E218)+E219)+E220)</f>
        <v>124165</v>
      </c>
      <c r="F221" s="11" t="n">
        <f aca="false">(((((((F213+F214)+F215)+F216)+F217)+F218)+F219)+F220)</f>
        <v>139248.333333333</v>
      </c>
      <c r="G221" s="11" t="n">
        <f aca="false">(((((((G213+G214)+G215)+G216)+G217)+G218)+G219)+G220)</f>
        <v>169015</v>
      </c>
      <c r="H221" s="11" t="n">
        <f aca="false">(((((((H213+H214)+H215)+H216)+H217)+H218)+H219)+H220)</f>
        <v>196640</v>
      </c>
      <c r="I221" s="11" t="n">
        <f aca="false">(((((((I213+I214)+I215)+I216)+I217)+I218)+I219)+I220)</f>
        <v>200940</v>
      </c>
      <c r="J221" s="11" t="n">
        <f aca="false">(((((((J213+J214)+J215)+J216)+J217)+J218)+J219)+J220)</f>
        <v>189140</v>
      </c>
      <c r="K221" s="11" t="n">
        <f aca="false">(((((((K213+K214)+K215)+K216)+K217)+K218)+K219)+K220)</f>
        <v>254540</v>
      </c>
      <c r="L221" s="11" t="n">
        <f aca="false">(((((((L213+L214)+L215)+L216)+L217)+L218)+L219)+L220)</f>
        <v>243481.666666667</v>
      </c>
      <c r="M221" s="11" t="n">
        <f aca="false">(((((((M213+M214)+M215)+M216)+M217)+M218)+M219)+M220)</f>
        <v>268165</v>
      </c>
      <c r="N221" s="11" t="n">
        <f aca="false">(((((((N213+N214)+N215)+N216)+N217)+N218)+N219)+N220)</f>
        <v>263823.333333333</v>
      </c>
      <c r="O221" s="11" t="n">
        <f aca="false">(((((((O213+O214)+O215)+O216)+O217)+O218)+O219)+O220)</f>
        <v>335390</v>
      </c>
      <c r="P221" s="11" t="n">
        <f aca="false">(((((((P213+P214)+P215)+P216)+P217)+P218)+P219)+P220)</f>
        <v>339690</v>
      </c>
      <c r="Q221" s="11" t="n">
        <f aca="false">(((((((Q213+Q214)+Q215)+Q216)+Q217)+Q218)+Q219)+Q220)</f>
        <v>365390</v>
      </c>
      <c r="R221" s="11" t="n">
        <f aca="false">(((((((R213+R214)+R215)+R216)+R217)+R218)+R219)+R220)</f>
        <v>341790</v>
      </c>
      <c r="S221" s="11" t="n">
        <f aca="false">(((((((S213+S214)+S215)+S216)+S217)+S218)+S219)+S220)</f>
        <v>341790</v>
      </c>
      <c r="T221" s="11" t="n">
        <f aca="false">(((((((T213+T214)+T215)+T216)+T217)+T218)+T219)+T220)</f>
        <v>372008.32</v>
      </c>
      <c r="U221" s="11" t="n">
        <f aca="false">(((((((U213+U214)+U215)+U216)+U217)+U218)+U219)+U220)</f>
        <v>359380</v>
      </c>
      <c r="V221" s="11" t="n">
        <f aca="false">(((((((V213+V214)+V215)+V216)+V217)+V218)+V219)+V220)</f>
        <v>389465</v>
      </c>
      <c r="W221" s="11" t="n">
        <f aca="false">(((((((W213+W214)+W215)+W216)+W217)+W218)+W219)+W220)</f>
        <v>365865</v>
      </c>
      <c r="X221" s="11" t="n">
        <f aca="false">(((((((X213+X214)+X215)+X216)+X217)+X218)+X219)+X220)</f>
        <v>412428.333333333</v>
      </c>
      <c r="Y221" s="11" t="n">
        <f aca="false">(((((((Y213+Y214)+Y215)+Y216)+Y217)+Y218)+Y219)+Y220)</f>
        <v>378748.333333333</v>
      </c>
      <c r="Z221" s="11" t="n">
        <f aca="false">(((((((Z213+Z214)+Z215)+Z216)+Z217)+Z218)+Z219)+Z220)</f>
        <v>400040</v>
      </c>
      <c r="AA221" s="11" t="n">
        <f aca="false">(((((((AA213+AA214)+AA215)+AA216)+AA217)+AA218)+AA219)+AA220)</f>
        <v>451822.5</v>
      </c>
      <c r="AB221" s="11" t="n">
        <f aca="false">(((((((AB213+AB214)+AB215)+AB216)+AB217)+AB218)+AB219)+AB220)</f>
        <v>468287.95</v>
      </c>
      <c r="AC221" s="11" t="n">
        <f aca="false">(((((((AC213+AC214)+AC215)+AC216)+AC217)+AC218)+AC219)+AC220)</f>
        <v>443652.5</v>
      </c>
      <c r="AD221" s="11" t="n">
        <f aca="false">(((((((AD213+AD214)+AD215)+AD216)+AD217)+AD218)+AD219)+AD220)</f>
        <v>493455.833333333</v>
      </c>
      <c r="AE221" s="11" t="n">
        <f aca="false">(((((((AE213+AE214)+AE215)+AE216)+AE217)+AE218)+AE219)+AE220)</f>
        <v>464502.993333333</v>
      </c>
      <c r="AF221" s="11" t="n">
        <f aca="false">(((((((AF213+AF214)+AF215)+AF216)+AF217)+AF218)+AF219)+AF220)</f>
        <v>469714.825973333</v>
      </c>
      <c r="AG221" s="11" t="n">
        <f aca="false">(((((((AG213+AG214)+AG215)+AG216)+AG217)+AG218)+AG219)+AG220)</f>
        <v>486595.833333333</v>
      </c>
      <c r="AH221" s="11" t="n">
        <f aca="false">(((((((AH213+AH214)+AH215)+AH216)+AH217)+AH218)+AH219)+AH220)</f>
        <v>490760.443333333</v>
      </c>
      <c r="AI221" s="11" t="n">
        <f aca="false">(((((((AI213+AI214)+AI215)+AI216)+AI217)+AI218)+AI219)+AI220)</f>
        <v>471735.833333333</v>
      </c>
      <c r="AJ221" s="11" t="n">
        <f aca="false">(((((((AJ213+AJ214)+AJ215)+AJ216)+AJ217)+AJ218)+AJ219)+AJ220)</f>
        <v>483335.833333333</v>
      </c>
      <c r="AK221" s="11" t="n">
        <f aca="false">(((((((AK213+AK214)+AK215)+AK216)+AK217)+AK218)+AK219)+AK220)</f>
        <v>484076.443333333</v>
      </c>
      <c r="AL221" s="11" t="n">
        <f aca="false">(((((((AL213+AL214)+AL215)+AL216)+AL217)+AL218)+AL219)+AL220)</f>
        <v>474875.833333333</v>
      </c>
      <c r="AN221" s="11" t="n">
        <f aca="false">SUM(C221:N221)</f>
        <v>2245755</v>
      </c>
      <c r="AO221" s="11" t="n">
        <f aca="false">SUM(O221:Z221)</f>
        <v>4401984.98666667</v>
      </c>
      <c r="AP221" s="11" t="n">
        <f aca="false">SUM(AA221:AL221)</f>
        <v>5682816.82264</v>
      </c>
    </row>
    <row r="222" customFormat="false" ht="15" hidden="false" customHeight="false" outlineLevel="0" collapsed="false">
      <c r="A222" s="21" t="s">
        <v>1012</v>
      </c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</row>
    <row r="223" customFormat="false" ht="15" hidden="false" customHeight="false" outlineLevel="0" collapsed="false">
      <c r="A223" s="0" t="s">
        <v>30</v>
      </c>
      <c r="B223" s="0" t="s">
        <v>230</v>
      </c>
      <c r="C223" s="9" t="n">
        <f aca="false">(C146-C184)</f>
        <v>-6067.1082984</v>
      </c>
      <c r="D223" s="9" t="n">
        <f aca="false">(D146-D184)</f>
        <v>-6119.24628408</v>
      </c>
      <c r="E223" s="9" t="n">
        <f aca="false">(E146-E184)</f>
        <v>-6157.13872666272</v>
      </c>
      <c r="F223" s="9" t="n">
        <f aca="false">(F146-F184)</f>
        <v>-6187.46796077222</v>
      </c>
      <c r="G223" s="9" t="n">
        <f aca="false">(G146-G184)</f>
        <v>-16768.8815397869</v>
      </c>
      <c r="H223" s="9" t="n">
        <f aca="false">(H146-H184)</f>
        <v>-16778.9333752017</v>
      </c>
      <c r="I223" s="9" t="n">
        <f aca="false">(I146-I184)</f>
        <v>-16804.496730379</v>
      </c>
      <c r="J223" s="9" t="n">
        <f aca="false">(J146-J184)</f>
        <v>-17593.0105915935</v>
      </c>
      <c r="K223" s="9" t="n">
        <f aca="false">(K146-K184)</f>
        <v>-24004.2286949308</v>
      </c>
      <c r="L223" s="9" t="n">
        <f aca="false">(L146-L184)</f>
        <v>-24047.0035125279</v>
      </c>
      <c r="M223" s="9" t="n">
        <f aca="false">(M146-M184)</f>
        <v>-33840.438498614</v>
      </c>
      <c r="N223" s="9" t="n">
        <f aca="false">(N146-N184)</f>
        <v>-33847.7514942215</v>
      </c>
      <c r="O223" s="9" t="n">
        <f aca="false">(O146-O184)</f>
        <v>-40472.1491985559</v>
      </c>
      <c r="P223" s="9" t="n">
        <f aca="false">(P146-P184)</f>
        <v>-40238.22426994</v>
      </c>
      <c r="Q223" s="9" t="n">
        <f aca="false">(Q146-Q184)</f>
        <v>-50713.3950996866</v>
      </c>
      <c r="R223" s="9" t="n">
        <f aca="false">(R146-R184)</f>
        <v>-50932.7294411237</v>
      </c>
      <c r="S223" s="9" t="n">
        <f aca="false">(S146-S184)</f>
        <v>-51025.4414704298</v>
      </c>
      <c r="T223" s="9" t="n">
        <f aca="false">(T146-T184)</f>
        <v>-66378.9471737724</v>
      </c>
      <c r="U223" s="9" t="n">
        <f aca="false">(U146-U184)</f>
        <v>-67567.4169009379</v>
      </c>
      <c r="V223" s="9" t="n">
        <f aca="false">(V146-V184)</f>
        <v>-67725.5418173929</v>
      </c>
      <c r="W223" s="9" t="n">
        <f aca="false">(W146-W184)</f>
        <v>-68359.0969142537</v>
      </c>
      <c r="X223" s="9" t="n">
        <f aca="false">(X146-X184)</f>
        <v>-56934.1833649366</v>
      </c>
      <c r="Y223" s="9" t="n">
        <f aca="false">(Y146-Y184)</f>
        <v>-56941.0843630404</v>
      </c>
      <c r="Z223" s="9" t="n">
        <f aca="false">(Z146-Z184)</f>
        <v>-56821.3251979439</v>
      </c>
      <c r="AA223" s="9" t="n">
        <f aca="false">(AA146-AA184)</f>
        <v>-61975.2013801777</v>
      </c>
      <c r="AB223" s="9" t="n">
        <f aca="false">(AB146-AB184)</f>
        <v>-66969.2264256645</v>
      </c>
      <c r="AC223" s="9" t="n">
        <f aca="false">(AC146-AC184)</f>
        <v>-66049.5198433945</v>
      </c>
      <c r="AD223" s="9" t="n">
        <f aca="false">(AD146-AD184)</f>
        <v>-73131.0857960112</v>
      </c>
      <c r="AE223" s="9" t="n">
        <f aca="false">(AE146-AE184)</f>
        <v>-60964.4079767752</v>
      </c>
      <c r="AF223" s="9" t="n">
        <f aca="false">(AF146-AF184)</f>
        <v>-69923.5018981223</v>
      </c>
      <c r="AG223" s="9" t="n">
        <f aca="false">(AG146-AG184)</f>
        <v>-68060.5325242618</v>
      </c>
      <c r="AH223" s="9" t="n">
        <f aca="false">(AH146-AH184)</f>
        <v>-48067.413923225</v>
      </c>
      <c r="AI223" s="9" t="n">
        <f aca="false">(AI146-AI184)</f>
        <v>-52956.9385344537</v>
      </c>
      <c r="AJ223" s="9" t="n">
        <f aca="false">(AJ146-AJ184)</f>
        <v>-29192.39973706</v>
      </c>
      <c r="AK223" s="9" t="n">
        <f aca="false">(AK146-AK184)</f>
        <v>-7972.62093163663</v>
      </c>
      <c r="AL223" s="9" t="n">
        <f aca="false">(AL146-AL184)</f>
        <v>37928.8610899581</v>
      </c>
      <c r="AN223" s="11" t="n">
        <f aca="false">SUM(C223:N223)</f>
        <v>-208215.70570717</v>
      </c>
      <c r="AO223" s="11" t="n">
        <f aca="false">SUM(O223:Z223)</f>
        <v>-674109.535212014</v>
      </c>
      <c r="AP223" s="11" t="n">
        <f aca="false">SUM(AA223:AL223)</f>
        <v>-567333.987880825</v>
      </c>
    </row>
    <row r="224" customFormat="false" ht="15" hidden="false" customHeight="false" outlineLevel="0" collapsed="false">
      <c r="A224" s="0" t="s">
        <v>1013</v>
      </c>
      <c r="B224" s="0" t="s">
        <v>230</v>
      </c>
      <c r="C224" s="9" t="n">
        <f aca="false">((C223-C206)-C204)</f>
        <v>-6067.1082984</v>
      </c>
      <c r="D224" s="9" t="n">
        <f aca="false">((D223-D206)-D204)</f>
        <v>-6119.24628408</v>
      </c>
      <c r="E224" s="9" t="n">
        <f aca="false">((E223-E206)-E204)</f>
        <v>-6157.13872666272</v>
      </c>
      <c r="F224" s="9" t="n">
        <f aca="false">((F223-F206)-F204)</f>
        <v>-6187.46796077222</v>
      </c>
      <c r="G224" s="9" t="n">
        <f aca="false">((G223-G206)-G204)</f>
        <v>-16768.8815397869</v>
      </c>
      <c r="H224" s="9" t="n">
        <f aca="false">((H223-H206)-H204)</f>
        <v>-16778.9333752017</v>
      </c>
      <c r="I224" s="9" t="n">
        <f aca="false">((I223-I206)-I204)</f>
        <v>-16804.496730379</v>
      </c>
      <c r="J224" s="9" t="n">
        <f aca="false">((J223-J206)-J204)</f>
        <v>-17593.0105915935</v>
      </c>
      <c r="K224" s="9" t="n">
        <f aca="false">((K223-K206)-K204)</f>
        <v>-24004.2286949308</v>
      </c>
      <c r="L224" s="9" t="n">
        <f aca="false">((L223-L206)-L204)</f>
        <v>-24047.0035125279</v>
      </c>
      <c r="M224" s="9" t="n">
        <f aca="false">((M223-M206)-M204)</f>
        <v>-33840.438498614</v>
      </c>
      <c r="N224" s="9" t="n">
        <f aca="false">((N223-N206)-N204)</f>
        <v>-33847.7514942215</v>
      </c>
      <c r="O224" s="9" t="n">
        <f aca="false">((O223-O206)-O204)</f>
        <v>-43472.1491985559</v>
      </c>
      <c r="P224" s="9" t="n">
        <f aca="false">((P223-P206)-P204)</f>
        <v>-43238.22426994</v>
      </c>
      <c r="Q224" s="9" t="n">
        <f aca="false">((Q223-Q206)-Q204)</f>
        <v>-53713.3950996866</v>
      </c>
      <c r="R224" s="9" t="n">
        <f aca="false">((R223-R206)-R204)</f>
        <v>-53932.7294411237</v>
      </c>
      <c r="S224" s="9" t="n">
        <f aca="false">((S223-S206)-S204)</f>
        <v>-54025.4414704298</v>
      </c>
      <c r="T224" s="9" t="n">
        <f aca="false">((T223-T206)-T204)</f>
        <v>-73750.7871737724</v>
      </c>
      <c r="U224" s="9" t="n">
        <f aca="false">((U223-U206)-U204)</f>
        <v>-73447.4169009379</v>
      </c>
      <c r="V224" s="9" t="n">
        <f aca="false">((V223-V206)-V204)</f>
        <v>-70725.5418173929</v>
      </c>
      <c r="W224" s="9" t="n">
        <f aca="false">((W223-W206)-W204)</f>
        <v>-71359.0969142537</v>
      </c>
      <c r="X224" s="9" t="n">
        <f aca="false">((X223-X206)-X204)</f>
        <v>-68894.1833649367</v>
      </c>
      <c r="Y224" s="9" t="n">
        <f aca="false">((Y223-Y206)-Y204)</f>
        <v>-59941.0843630404</v>
      </c>
      <c r="Z224" s="9" t="n">
        <f aca="false">((Z223-Z206)-Z204)</f>
        <v>-59821.3251979439</v>
      </c>
      <c r="AA224" s="9" t="n">
        <f aca="false">((AA223-AA206)-AA204)</f>
        <v>-78815.2013801777</v>
      </c>
      <c r="AB224" s="9" t="n">
        <f aca="false">((AB223-AB206)-AB204)</f>
        <v>-72919.6264256645</v>
      </c>
      <c r="AC224" s="9" t="n">
        <f aca="false">((AC223-AC206)-AC204)</f>
        <v>-71049.5198433945</v>
      </c>
      <c r="AD224" s="9" t="n">
        <f aca="false">((AD223-AD206)-AD204)</f>
        <v>-89971.0857960112</v>
      </c>
      <c r="AE224" s="9" t="n">
        <f aca="false">((AE223-AE206)-AE204)</f>
        <v>-73130.3279767752</v>
      </c>
      <c r="AF224" s="9" t="n">
        <f aca="false">((AF223-AF206)-AF204)</f>
        <v>-74923.5018981223</v>
      </c>
      <c r="AG224" s="9" t="n">
        <f aca="false">((AG223-AG206)-AG204)</f>
        <v>-87780.5325242618</v>
      </c>
      <c r="AH224" s="9" t="n">
        <f aca="false">((AH223-AH206)-AH204)</f>
        <v>-70847.733923225</v>
      </c>
      <c r="AI224" s="9" t="n">
        <f aca="false">((AI223-AI206)-AI204)</f>
        <v>-57956.9385344537</v>
      </c>
      <c r="AJ224" s="9" t="n">
        <f aca="false">((AJ223-AJ206)-AJ204)</f>
        <v>-54992.39973706</v>
      </c>
      <c r="AK224" s="9" t="n">
        <f aca="false">((AK223-AK206)-AK204)</f>
        <v>-34544.9409316366</v>
      </c>
      <c r="AL224" s="9" t="n">
        <f aca="false">((AL223-AL206)-AL204)</f>
        <v>19648.8610899581</v>
      </c>
      <c r="AN224" s="11" t="n">
        <f aca="false">SUM(C224:N224)</f>
        <v>-208215.70570717</v>
      </c>
      <c r="AO224" s="11" t="n">
        <f aca="false">SUM(O224:Z224)</f>
        <v>-726321.375212014</v>
      </c>
      <c r="AP224" s="11" t="n">
        <f aca="false">SUM(AA224:AL224)</f>
        <v>-747282.947880824</v>
      </c>
    </row>
    <row r="225" customFormat="false" ht="15" hidden="false" customHeight="false" outlineLevel="0" collapsed="false">
      <c r="A225" s="10" t="s">
        <v>1014</v>
      </c>
      <c r="B225" s="20" t="s">
        <v>230</v>
      </c>
      <c r="C225" s="11" t="n">
        <f aca="false">(C223-C221)</f>
        <v>-104365.441631733</v>
      </c>
      <c r="D225" s="11" t="n">
        <f aca="false">(D223-D221)</f>
        <v>-104417.579617413</v>
      </c>
      <c r="E225" s="11" t="n">
        <f aca="false">(E223-E221)</f>
        <v>-130322.138726663</v>
      </c>
      <c r="F225" s="11" t="n">
        <f aca="false">(F223-F221)</f>
        <v>-145435.801294106</v>
      </c>
      <c r="G225" s="11" t="n">
        <f aca="false">(G223-G221)</f>
        <v>-185783.881539787</v>
      </c>
      <c r="H225" s="11" t="n">
        <f aca="false">(H223-H221)</f>
        <v>-213418.933375202</v>
      </c>
      <c r="I225" s="11" t="n">
        <f aca="false">(I223-I221)</f>
        <v>-217744.496730379</v>
      </c>
      <c r="J225" s="11" t="n">
        <f aca="false">(J223-J221)</f>
        <v>-206733.010591593</v>
      </c>
      <c r="K225" s="11" t="n">
        <f aca="false">(K223-K221)</f>
        <v>-278544.228694931</v>
      </c>
      <c r="L225" s="11" t="n">
        <f aca="false">(L223-L221)</f>
        <v>-267528.670179195</v>
      </c>
      <c r="M225" s="11" t="n">
        <f aca="false">(M223-M221)</f>
        <v>-302005.438498614</v>
      </c>
      <c r="N225" s="11" t="n">
        <f aca="false">(N223-N221)</f>
        <v>-297671.084827555</v>
      </c>
      <c r="O225" s="11" t="n">
        <f aca="false">(O223-O221)</f>
        <v>-375862.149198556</v>
      </c>
      <c r="P225" s="11" t="n">
        <f aca="false">(P223-P221)</f>
        <v>-379928.22426994</v>
      </c>
      <c r="Q225" s="11" t="n">
        <f aca="false">(Q223-Q221)</f>
        <v>-416103.395099687</v>
      </c>
      <c r="R225" s="11" t="n">
        <f aca="false">(R223-R221)</f>
        <v>-392722.729441124</v>
      </c>
      <c r="S225" s="11" t="n">
        <f aca="false">(S223-S221)</f>
        <v>-392815.44147043</v>
      </c>
      <c r="T225" s="11" t="n">
        <f aca="false">(T223-T221)</f>
        <v>-438387.267173772</v>
      </c>
      <c r="U225" s="11" t="n">
        <f aca="false">(U223-U221)</f>
        <v>-426947.416900938</v>
      </c>
      <c r="V225" s="11" t="n">
        <f aca="false">(V223-V221)</f>
        <v>-457190.541817393</v>
      </c>
      <c r="W225" s="11" t="n">
        <f aca="false">(W223-W221)</f>
        <v>-434224.096914254</v>
      </c>
      <c r="X225" s="11" t="n">
        <f aca="false">(X223-X221)</f>
        <v>-469362.51669827</v>
      </c>
      <c r="Y225" s="11" t="n">
        <f aca="false">(Y223-Y221)</f>
        <v>-435689.417696374</v>
      </c>
      <c r="Z225" s="11" t="n">
        <f aca="false">(Z223-Z221)</f>
        <v>-456861.325197944</v>
      </c>
      <c r="AA225" s="11" t="n">
        <f aca="false">(AA223-AA221)</f>
        <v>-513797.701380178</v>
      </c>
      <c r="AB225" s="11" t="n">
        <f aca="false">(AB223-AB221)</f>
        <v>-535257.176425665</v>
      </c>
      <c r="AC225" s="11" t="n">
        <f aca="false">(AC223-AC221)</f>
        <v>-509702.019843395</v>
      </c>
      <c r="AD225" s="11" t="n">
        <f aca="false">(AD223-AD221)</f>
        <v>-566586.919129345</v>
      </c>
      <c r="AE225" s="11" t="n">
        <f aca="false">(AE223-AE221)</f>
        <v>-525467.401310109</v>
      </c>
      <c r="AF225" s="11" t="n">
        <f aca="false">(AF223-AF221)</f>
        <v>-539638.327871456</v>
      </c>
      <c r="AG225" s="11" t="n">
        <f aca="false">(AG223-AG221)</f>
        <v>-554656.365857595</v>
      </c>
      <c r="AH225" s="11" t="n">
        <f aca="false">(AH223-AH221)</f>
        <v>-538827.857256558</v>
      </c>
      <c r="AI225" s="11" t="n">
        <f aca="false">(AI223-AI221)</f>
        <v>-524692.771867787</v>
      </c>
      <c r="AJ225" s="11" t="n">
        <f aca="false">(AJ223-AJ221)</f>
        <v>-512528.233070393</v>
      </c>
      <c r="AK225" s="11" t="n">
        <f aca="false">(AK223-AK221)</f>
        <v>-492049.06426497</v>
      </c>
      <c r="AL225" s="11" t="n">
        <f aca="false">(AL223-AL221)</f>
        <v>-436946.972243375</v>
      </c>
      <c r="AN225" s="11" t="n">
        <f aca="false">SUM(C225:N225)</f>
        <v>-2453970.70570717</v>
      </c>
      <c r="AO225" s="11" t="n">
        <f aca="false">SUM(O225:Z225)</f>
        <v>-5076094.52187868</v>
      </c>
      <c r="AP225" s="11" t="n">
        <f aca="false">SUM(AA225:AL225)</f>
        <v>-6250150.81052083</v>
      </c>
    </row>
    <row r="226" customFormat="false" ht="15" hidden="false" customHeight="false" outlineLevel="0" collapsed="false">
      <c r="A226" s="10" t="s">
        <v>44</v>
      </c>
      <c r="B226" s="20" t="s">
        <v>230</v>
      </c>
      <c r="C226" s="11" t="n">
        <f aca="false">((C153-C184)-C221)</f>
        <v>-104365.441631733</v>
      </c>
      <c r="D226" s="11" t="n">
        <f aca="false">((D153-D184)-D221)</f>
        <v>-104417.579617413</v>
      </c>
      <c r="E226" s="11" t="n">
        <f aca="false">((E153-E184)-E221)</f>
        <v>-130322.138726663</v>
      </c>
      <c r="F226" s="11" t="n">
        <f aca="false">((F153-F184)-F221)</f>
        <v>-145435.801294106</v>
      </c>
      <c r="G226" s="11" t="n">
        <f aca="false">((G153-G184)-G221)</f>
        <v>-185783.881539787</v>
      </c>
      <c r="H226" s="11" t="n">
        <f aca="false">((H153-H184)-H221)</f>
        <v>-213418.933375202</v>
      </c>
      <c r="I226" s="11" t="n">
        <f aca="false">((I153-I184)-I221)</f>
        <v>-217744.496730379</v>
      </c>
      <c r="J226" s="11" t="n">
        <f aca="false">((J153-J184)-J221)</f>
        <v>-206733.010591593</v>
      </c>
      <c r="K226" s="11" t="n">
        <f aca="false">((K153-K184)-K221)</f>
        <v>-278544.228694931</v>
      </c>
      <c r="L226" s="11" t="n">
        <f aca="false">((L153-L184)-L221)</f>
        <v>-267528.670179195</v>
      </c>
      <c r="M226" s="11" t="n">
        <f aca="false">((M153-M184)-M221)</f>
        <v>-302005.438498614</v>
      </c>
      <c r="N226" s="11" t="n">
        <f aca="false">((N153-N184)-N221)</f>
        <v>-297671.084827555</v>
      </c>
      <c r="O226" s="11" t="n">
        <f aca="false">((O153-O184)-O221)</f>
        <v>-375766.505892531</v>
      </c>
      <c r="P226" s="11" t="n">
        <f aca="false">((P153-P184)-P221)</f>
        <v>-379723.371213844</v>
      </c>
      <c r="Q226" s="11" t="n">
        <f aca="false">((Q153-Q184)-Q221)</f>
        <v>-415826.236147584</v>
      </c>
      <c r="R226" s="11" t="n">
        <f aca="false">((R153-R184)-R221)</f>
        <v>-392405.676190269</v>
      </c>
      <c r="S226" s="11" t="n">
        <f aca="false">((S153-S184)-S221)</f>
        <v>-392478.46609764</v>
      </c>
      <c r="T226" s="11" t="n">
        <f aca="false">((T153-T184)-T221)</f>
        <v>-442610.757495191</v>
      </c>
      <c r="U226" s="11" t="n">
        <f aca="false">((U153-U184)-U221)</f>
        <v>-440691.316431099</v>
      </c>
      <c r="V226" s="11" t="n">
        <f aca="false">((V153-V184)-V221)</f>
        <v>-416837.001940832</v>
      </c>
      <c r="W226" s="11" t="n">
        <f aca="false">((W153-W184)-W221)</f>
        <v>-412252.796231492</v>
      </c>
      <c r="X226" s="11" t="n">
        <f aca="false">((X153-X184)-X221)</f>
        <v>-505785.334589486</v>
      </c>
      <c r="Y226" s="11" t="n">
        <f aca="false">((Y153-Y184)-Y221)</f>
        <v>-472130.04419897</v>
      </c>
      <c r="Z226" s="11" t="n">
        <f aca="false">((Z153-Z184)-Z221)</f>
        <v>-382468.749662519</v>
      </c>
      <c r="AA226" s="11" t="n">
        <f aca="false">((AA153-AA184)-AA221)</f>
        <v>-564796.060181025</v>
      </c>
      <c r="AB226" s="11" t="n">
        <f aca="false">((AB153-AB184)-AB221)</f>
        <v>-586863.982353732</v>
      </c>
      <c r="AC226" s="11" t="n">
        <f aca="false">((AC153-AC184)-AC221)</f>
        <v>-414742.370903336</v>
      </c>
      <c r="AD226" s="11" t="n">
        <f aca="false">((AD153-AD184)-AD221)</f>
        <v>-612228.558042757</v>
      </c>
      <c r="AE226" s="11" t="n">
        <f aca="false">((AE153-AE184)-AE221)</f>
        <v>-591481.333256412</v>
      </c>
      <c r="AF226" s="11" t="n">
        <f aca="false">((AF153-AF184)-AF221)</f>
        <v>-459052.02781943</v>
      </c>
      <c r="AG226" s="11" t="n">
        <f aca="false">((AG153-AG184)-AG221)</f>
        <v>-550849.268198643</v>
      </c>
      <c r="AH226" s="11" t="n">
        <f aca="false">((AH153-AH184)-AH221)</f>
        <v>-589212.727136303</v>
      </c>
      <c r="AI226" s="11" t="n">
        <f aca="false">((AI153-AI184)-AI221)</f>
        <v>-445141.672558692</v>
      </c>
      <c r="AJ226" s="11" t="n">
        <f aca="false">((AJ153-AJ184)-AJ221)</f>
        <v>-430473.141228611</v>
      </c>
      <c r="AK226" s="11" t="n">
        <f aca="false">((AK153-AK184)-AK221)</f>
        <v>-638415.305343381</v>
      </c>
      <c r="AL226" s="11" t="n">
        <f aca="false">((AL153-AL184)-AL221)</f>
        <v>-371313.052089204</v>
      </c>
      <c r="AN226" s="11" t="n">
        <f aca="false">SUM(C226:N226)</f>
        <v>-2453970.70570717</v>
      </c>
      <c r="AO226" s="11" t="n">
        <f aca="false">SUM(O226:Z226)</f>
        <v>-5028976.25609146</v>
      </c>
      <c r="AP226" s="11" t="n">
        <f aca="false">SUM(AA226:AL226)</f>
        <v>-6254569.49911153</v>
      </c>
    </row>
    <row r="227" customFormat="false" ht="15" hidden="false" customHeight="false" outlineLevel="0" collapsed="false">
      <c r="A227" s="0" t="s">
        <v>45</v>
      </c>
      <c r="B227" s="0" t="s">
        <v>230</v>
      </c>
      <c r="C227" s="9" t="n">
        <f aca="false">(0+C226)</f>
        <v>-104365.441631733</v>
      </c>
      <c r="D227" s="9" t="n">
        <f aca="false">(C227+D226)</f>
        <v>-208783.021249147</v>
      </c>
      <c r="E227" s="9" t="n">
        <f aca="false">(D227+E226)</f>
        <v>-339105.159975809</v>
      </c>
      <c r="F227" s="9" t="n">
        <f aca="false">(E227+F226)</f>
        <v>-484540.961269915</v>
      </c>
      <c r="G227" s="9" t="n">
        <f aca="false">(F227+G226)</f>
        <v>-670324.842809702</v>
      </c>
      <c r="H227" s="9" t="n">
        <f aca="false">(G227+H226)</f>
        <v>-883743.776184904</v>
      </c>
      <c r="I227" s="9" t="n">
        <f aca="false">(H227+I226)</f>
        <v>-1101488.27291528</v>
      </c>
      <c r="J227" s="9" t="n">
        <f aca="false">(I227+J226)</f>
        <v>-1308221.28350688</v>
      </c>
      <c r="K227" s="9" t="n">
        <f aca="false">(J227+K226)</f>
        <v>-1586765.51220181</v>
      </c>
      <c r="L227" s="9" t="n">
        <f aca="false">(K227+L226)</f>
        <v>-1854294.182381</v>
      </c>
      <c r="M227" s="9" t="n">
        <f aca="false">(L227+M226)</f>
        <v>-2156299.62087962</v>
      </c>
      <c r="N227" s="9" t="n">
        <f aca="false">(M227+N226)</f>
        <v>-2453970.70570717</v>
      </c>
      <c r="O227" s="9" t="n">
        <f aca="false">(N227+O226)</f>
        <v>-2829737.2115997</v>
      </c>
      <c r="P227" s="9" t="n">
        <f aca="false">(O227+P226)</f>
        <v>-3209460.58281355</v>
      </c>
      <c r="Q227" s="9" t="n">
        <f aca="false">(P227+Q226)</f>
        <v>-3625286.81896113</v>
      </c>
      <c r="R227" s="9" t="n">
        <f aca="false">(Q227+R226)</f>
        <v>-4017692.4951514</v>
      </c>
      <c r="S227" s="9" t="n">
        <f aca="false">(R227+S226)</f>
        <v>-4410170.96124904</v>
      </c>
      <c r="T227" s="9" t="n">
        <f aca="false">(S227+T226)</f>
        <v>-4852781.71874423</v>
      </c>
      <c r="U227" s="9" t="n">
        <f aca="false">(T227+U226)</f>
        <v>-5293473.03517533</v>
      </c>
      <c r="V227" s="9" t="n">
        <f aca="false">(U227+V226)</f>
        <v>-5710310.03711616</v>
      </c>
      <c r="W227" s="9" t="n">
        <f aca="false">(V227+W226)</f>
        <v>-6122562.83334765</v>
      </c>
      <c r="X227" s="9" t="n">
        <f aca="false">(W227+X226)</f>
        <v>-6628348.16793714</v>
      </c>
      <c r="Y227" s="9" t="n">
        <f aca="false">(X227+Y226)</f>
        <v>-7100478.21213611</v>
      </c>
      <c r="Z227" s="9" t="n">
        <f aca="false">(Y227+Z226)</f>
        <v>-7482946.96179863</v>
      </c>
      <c r="AA227" s="9" t="n">
        <f aca="false">(Z227+AA226)</f>
        <v>-8047743.02197965</v>
      </c>
      <c r="AB227" s="9" t="n">
        <f aca="false">(AA227+AB226)</f>
        <v>-8634607.00433338</v>
      </c>
      <c r="AC227" s="9" t="n">
        <f aca="false">(AB227+AC226)</f>
        <v>-9049349.37523672</v>
      </c>
      <c r="AD227" s="9" t="n">
        <f aca="false">(AC227+AD226)</f>
        <v>-9661577.93327948</v>
      </c>
      <c r="AE227" s="9" t="n">
        <f aca="false">(AD227+AE226)</f>
        <v>-10253059.2665359</v>
      </c>
      <c r="AF227" s="9" t="n">
        <f aca="false">(AE227+AF226)</f>
        <v>-10712111.2943553</v>
      </c>
      <c r="AG227" s="9" t="n">
        <f aca="false">(AF227+AG226)</f>
        <v>-11262960.562554</v>
      </c>
      <c r="AH227" s="9" t="n">
        <f aca="false">(AG227+AH226)</f>
        <v>-11852173.2896903</v>
      </c>
      <c r="AI227" s="9" t="n">
        <f aca="false">(AH227+AI226)</f>
        <v>-12297314.962249</v>
      </c>
      <c r="AJ227" s="9" t="n">
        <f aca="false">(AI227+AJ226)</f>
        <v>-12727788.1034776</v>
      </c>
      <c r="AK227" s="9" t="n">
        <f aca="false">(AJ227+AK226)</f>
        <v>-13366203.4088209</v>
      </c>
      <c r="AL227" s="9" t="n">
        <f aca="false">(AK227+AL226)</f>
        <v>-13737516.4609101</v>
      </c>
      <c r="AN227" s="11" t="n">
        <f aca="false">N227</f>
        <v>-2453970.70570717</v>
      </c>
      <c r="AO227" s="11" t="n">
        <f aca="false">Z227</f>
        <v>-7482946.96179863</v>
      </c>
      <c r="AP227" s="11" t="n">
        <f aca="false">AL227</f>
        <v>-13737516.4609101</v>
      </c>
    </row>
    <row r="228" customFormat="false" ht="15" hidden="false" customHeight="false" outlineLevel="0" collapsed="false">
      <c r="A228" s="10" t="s">
        <v>1015</v>
      </c>
      <c r="B228" s="20" t="s">
        <v>230</v>
      </c>
      <c r="C228" s="11" t="n">
        <f aca="false">(Assumptions!$C$104+C227)</f>
        <v>2895634.55836827</v>
      </c>
      <c r="D228" s="11" t="n">
        <f aca="false">(Assumptions!$C$104+D227)</f>
        <v>2791216.97875085</v>
      </c>
      <c r="E228" s="11" t="n">
        <f aca="false">(Assumptions!$C$104+E227)</f>
        <v>2660894.84002419</v>
      </c>
      <c r="F228" s="11" t="n">
        <f aca="false">(Assumptions!$C$104+F227)</f>
        <v>2515459.03873009</v>
      </c>
      <c r="G228" s="11" t="n">
        <f aca="false">(Assumptions!$C$104+G227)</f>
        <v>2329675.1571903</v>
      </c>
      <c r="H228" s="11" t="n">
        <f aca="false">(Assumptions!$C$104+H227)</f>
        <v>2116256.2238151</v>
      </c>
      <c r="I228" s="11" t="n">
        <f aca="false">(Assumptions!$C$104+I227)</f>
        <v>1898511.72708472</v>
      </c>
      <c r="J228" s="11" t="n">
        <f aca="false">(Assumptions!$C$104+J227)</f>
        <v>1691778.71649312</v>
      </c>
      <c r="K228" s="11" t="n">
        <f aca="false">(Assumptions!$C$104+K227)</f>
        <v>1413234.48779819</v>
      </c>
      <c r="L228" s="11" t="n">
        <f aca="false">(Assumptions!$C$104+L227)</f>
        <v>1145705.817619</v>
      </c>
      <c r="M228" s="11" t="n">
        <f aca="false">(Assumptions!$C$104+M227)</f>
        <v>843700.379120385</v>
      </c>
      <c r="N228" s="11" t="n">
        <f aca="false">(Assumptions!$C$104+N227)</f>
        <v>546029.29429283</v>
      </c>
      <c r="O228" s="11" t="n">
        <f aca="false">(Assumptions!$C$104+O227)</f>
        <v>170262.788400299</v>
      </c>
      <c r="P228" s="11" t="n">
        <f aca="false">(Assumptions!$C$104+P227)</f>
        <v>-209460.582813545</v>
      </c>
      <c r="Q228" s="11" t="n">
        <f aca="false">(Assumptions!$C$104+Q227)</f>
        <v>-625286.818961129</v>
      </c>
      <c r="R228" s="11" t="n">
        <f aca="false">(Assumptions!$C$104+R227)</f>
        <v>-1017692.4951514</v>
      </c>
      <c r="S228" s="11" t="n">
        <f aca="false">(Assumptions!$C$104+S227)</f>
        <v>-1410170.96124904</v>
      </c>
      <c r="T228" s="11" t="n">
        <f aca="false">(Assumptions!$C$104+T227)</f>
        <v>-1852781.71874423</v>
      </c>
      <c r="U228" s="11" t="n">
        <f aca="false">(Assumptions!$C$104+U227)</f>
        <v>-2293473.03517533</v>
      </c>
      <c r="V228" s="11" t="n">
        <f aca="false">(Assumptions!$C$104+V227)</f>
        <v>-2710310.03711616</v>
      </c>
      <c r="W228" s="11" t="n">
        <f aca="false">(Assumptions!$C$104+W227)</f>
        <v>-3122562.83334765</v>
      </c>
      <c r="X228" s="11" t="n">
        <f aca="false">(Assumptions!$C$104+X227)</f>
        <v>-3628348.16793714</v>
      </c>
      <c r="Y228" s="11" t="n">
        <f aca="false">(Assumptions!$C$104+Y227)</f>
        <v>-4100478.21213611</v>
      </c>
      <c r="Z228" s="11" t="n">
        <f aca="false">(Assumptions!$C$104+Z227)</f>
        <v>-4482946.96179863</v>
      </c>
      <c r="AA228" s="11" t="n">
        <f aca="false">(Assumptions!$C$104+AA227)</f>
        <v>-5047743.02197965</v>
      </c>
      <c r="AB228" s="11" t="n">
        <f aca="false">(Assumptions!$C$104+AB227)</f>
        <v>-5634607.00433338</v>
      </c>
      <c r="AC228" s="11" t="n">
        <f aca="false">(Assumptions!$C$104+AC227)</f>
        <v>-6049349.37523672</v>
      </c>
      <c r="AD228" s="11" t="n">
        <f aca="false">(Assumptions!$C$104+AD227)</f>
        <v>-6661577.93327948</v>
      </c>
      <c r="AE228" s="11" t="n">
        <f aca="false">(Assumptions!$C$104+AE227)</f>
        <v>-7253059.26653589</v>
      </c>
      <c r="AF228" s="11" t="n">
        <f aca="false">(Assumptions!$C$104+AF227)</f>
        <v>-7712111.29435532</v>
      </c>
      <c r="AG228" s="11" t="n">
        <f aca="false">(Assumptions!$C$104+AG227)</f>
        <v>-8262960.56255396</v>
      </c>
      <c r="AH228" s="11" t="n">
        <f aca="false">(Assumptions!$C$104+AH227)</f>
        <v>-8852173.28969026</v>
      </c>
      <c r="AI228" s="11" t="n">
        <f aca="false">(Assumptions!$C$104+AI227)</f>
        <v>-9297314.96224896</v>
      </c>
      <c r="AJ228" s="11" t="n">
        <f aca="false">(Assumptions!$C$104+AJ227)</f>
        <v>-9727788.10347757</v>
      </c>
      <c r="AK228" s="11" t="n">
        <f aca="false">(Assumptions!$C$104+AK227)</f>
        <v>-10366203.4088209</v>
      </c>
      <c r="AL228" s="11" t="n">
        <f aca="false">(Assumptions!$C$104+AL227)</f>
        <v>-10737516.4609101</v>
      </c>
      <c r="AN228" s="11" t="n">
        <f aca="false">N228</f>
        <v>546029.29429283</v>
      </c>
      <c r="AO228" s="11" t="n">
        <f aca="false">Z228</f>
        <v>-4482946.96179863</v>
      </c>
      <c r="AP228" s="11" t="n">
        <f aca="false">AL228</f>
        <v>-10737516.4609101</v>
      </c>
    </row>
    <row r="229" customFormat="false" ht="15" hidden="false" customHeight="false" outlineLevel="0" collapsed="false">
      <c r="A229" s="0" t="s">
        <v>1016</v>
      </c>
      <c r="B229" s="0" t="s">
        <v>1017</v>
      </c>
      <c r="C229" s="9" t="n">
        <f aca="false">IF((C228&lt;0),1,0)</f>
        <v>0</v>
      </c>
      <c r="D229" s="9" t="n">
        <f aca="false">IF((D228&lt;0),1,0)</f>
        <v>0</v>
      </c>
      <c r="E229" s="9" t="n">
        <f aca="false">IF((E228&lt;0),1,0)</f>
        <v>0</v>
      </c>
      <c r="F229" s="9" t="n">
        <f aca="false">IF((F228&lt;0),1,0)</f>
        <v>0</v>
      </c>
      <c r="G229" s="9" t="n">
        <f aca="false">IF((G228&lt;0),1,0)</f>
        <v>0</v>
      </c>
      <c r="H229" s="9" t="n">
        <f aca="false">IF((H228&lt;0),1,0)</f>
        <v>0</v>
      </c>
      <c r="I229" s="9" t="n">
        <f aca="false">IF((I228&lt;0),1,0)</f>
        <v>0</v>
      </c>
      <c r="J229" s="9" t="n">
        <f aca="false">IF((J228&lt;0),1,0)</f>
        <v>0</v>
      </c>
      <c r="K229" s="9" t="n">
        <f aca="false">IF((K228&lt;0),1,0)</f>
        <v>0</v>
      </c>
      <c r="L229" s="9" t="n">
        <f aca="false">IF((L228&lt;0),1,0)</f>
        <v>0</v>
      </c>
      <c r="M229" s="9" t="n">
        <f aca="false">IF((M228&lt;0),1,0)</f>
        <v>0</v>
      </c>
      <c r="N229" s="9" t="n">
        <f aca="false">IF((N228&lt;0),1,0)</f>
        <v>0</v>
      </c>
      <c r="O229" s="9" t="n">
        <f aca="false">IF((O228&lt;0),1,0)</f>
        <v>0</v>
      </c>
      <c r="P229" s="9" t="n">
        <f aca="false">IF((P228&lt;0),1,0)</f>
        <v>1</v>
      </c>
      <c r="Q229" s="9" t="n">
        <f aca="false">IF((Q228&lt;0),1,0)</f>
        <v>1</v>
      </c>
      <c r="R229" s="9" t="n">
        <f aca="false">IF((R228&lt;0),1,0)</f>
        <v>1</v>
      </c>
      <c r="S229" s="9" t="n">
        <f aca="false">IF((S228&lt;0),1,0)</f>
        <v>1</v>
      </c>
      <c r="T229" s="9" t="n">
        <f aca="false">IF((T228&lt;0),1,0)</f>
        <v>1</v>
      </c>
      <c r="U229" s="9" t="n">
        <f aca="false">IF((U228&lt;0),1,0)</f>
        <v>1</v>
      </c>
      <c r="V229" s="9" t="n">
        <f aca="false">IF((V228&lt;0),1,0)</f>
        <v>1</v>
      </c>
      <c r="W229" s="9" t="n">
        <f aca="false">IF((W228&lt;0),1,0)</f>
        <v>1</v>
      </c>
      <c r="X229" s="9" t="n">
        <f aca="false">IF((X228&lt;0),1,0)</f>
        <v>1</v>
      </c>
      <c r="Y229" s="9" t="n">
        <f aca="false">IF((Y228&lt;0),1,0)</f>
        <v>1</v>
      </c>
      <c r="Z229" s="9" t="n">
        <f aca="false">IF((Z228&lt;0),1,0)</f>
        <v>1</v>
      </c>
      <c r="AA229" s="9" t="n">
        <f aca="false">IF((AA228&lt;0),1,0)</f>
        <v>1</v>
      </c>
      <c r="AB229" s="9" t="n">
        <f aca="false">IF((AB228&lt;0),1,0)</f>
        <v>1</v>
      </c>
      <c r="AC229" s="9" t="n">
        <f aca="false">IF((AC228&lt;0),1,0)</f>
        <v>1</v>
      </c>
      <c r="AD229" s="9" t="n">
        <f aca="false">IF((AD228&lt;0),1,0)</f>
        <v>1</v>
      </c>
      <c r="AE229" s="9" t="n">
        <f aca="false">IF((AE228&lt;0),1,0)</f>
        <v>1</v>
      </c>
      <c r="AF229" s="9" t="n">
        <f aca="false">IF((AF228&lt;0),1,0)</f>
        <v>1</v>
      </c>
      <c r="AG229" s="9" t="n">
        <f aca="false">IF((AG228&lt;0),1,0)</f>
        <v>1</v>
      </c>
      <c r="AH229" s="9" t="n">
        <f aca="false">IF((AH228&lt;0),1,0)</f>
        <v>1</v>
      </c>
      <c r="AI229" s="9" t="n">
        <f aca="false">IF((AI228&lt;0),1,0)</f>
        <v>1</v>
      </c>
      <c r="AJ229" s="9" t="n">
        <f aca="false">IF((AJ228&lt;0),1,0)</f>
        <v>1</v>
      </c>
      <c r="AK229" s="9" t="n">
        <f aca="false">IF((AK228&lt;0),1,0)</f>
        <v>1</v>
      </c>
      <c r="AL229" s="9" t="n">
        <f aca="false">IF((AL228&lt;0),1,0)</f>
        <v>1</v>
      </c>
    </row>
    <row r="230" customFormat="false" ht="15" hidden="false" customHeight="false" outlineLevel="0" collapsed="false">
      <c r="A230" s="0" t="s">
        <v>1018</v>
      </c>
      <c r="B230" s="0" t="s">
        <v>230</v>
      </c>
      <c r="C230" s="9" t="n">
        <f aca="false">(C133*Assumptions!$C$37)</f>
        <v>0</v>
      </c>
      <c r="D230" s="9" t="n">
        <f aca="false">(D133*Assumptions!$C$37)</f>
        <v>0</v>
      </c>
      <c r="E230" s="9" t="n">
        <f aca="false">(E133*Assumptions!$C$37)</f>
        <v>0</v>
      </c>
      <c r="F230" s="9" t="n">
        <f aca="false">(F133*Assumptions!$C$37)</f>
        <v>0</v>
      </c>
      <c r="G230" s="9" t="n">
        <f aca="false">(G133*Assumptions!$C$37)</f>
        <v>9775</v>
      </c>
      <c r="H230" s="9" t="n">
        <f aca="false">(H133*Assumptions!$C$37)</f>
        <v>0</v>
      </c>
      <c r="I230" s="9" t="n">
        <f aca="false">(I133*Assumptions!$C$37)</f>
        <v>0</v>
      </c>
      <c r="J230" s="9" t="n">
        <f aca="false">(J133*Assumptions!$C$37)</f>
        <v>28050</v>
      </c>
      <c r="K230" s="9" t="n">
        <f aca="false">(K133*Assumptions!$C$37)</f>
        <v>0</v>
      </c>
      <c r="L230" s="9" t="n">
        <f aca="false">(L133*Assumptions!$C$37)</f>
        <v>0</v>
      </c>
      <c r="M230" s="9" t="n">
        <f aca="false">(M133*Assumptions!$C$37)</f>
        <v>0</v>
      </c>
      <c r="N230" s="9" t="n">
        <f aca="false">(N133*Assumptions!$C$37)</f>
        <v>0</v>
      </c>
      <c r="O230" s="9" t="n">
        <f aca="false">(O133*Assumptions!$C$37)</f>
        <v>0</v>
      </c>
      <c r="P230" s="9" t="n">
        <f aca="false">(P133*Assumptions!$C$37)</f>
        <v>0</v>
      </c>
      <c r="Q230" s="9" t="n">
        <f aca="false">(Q133*Assumptions!$C$37)</f>
        <v>0</v>
      </c>
      <c r="R230" s="9" t="n">
        <f aca="false">(R133*Assumptions!$C$37)</f>
        <v>0</v>
      </c>
      <c r="S230" s="9" t="n">
        <f aca="false">(S133*Assumptions!$C$37)</f>
        <v>0</v>
      </c>
      <c r="T230" s="9" t="n">
        <f aca="false">(T133*Assumptions!$C$37)</f>
        <v>0</v>
      </c>
      <c r="U230" s="9" t="n">
        <f aca="false">(U133*Assumptions!$C$37)</f>
        <v>13515</v>
      </c>
      <c r="V230" s="9" t="n">
        <f aca="false">(V133*Assumptions!$C$37)</f>
        <v>0</v>
      </c>
      <c r="W230" s="9" t="n">
        <f aca="false">(W133*Assumptions!$C$37)</f>
        <v>0</v>
      </c>
      <c r="X230" s="9" t="n">
        <f aca="false">(X133*Assumptions!$C$37)</f>
        <v>45305</v>
      </c>
      <c r="Y230" s="9" t="n">
        <f aca="false">(Y133*Assumptions!$C$37)</f>
        <v>0</v>
      </c>
      <c r="Z230" s="9" t="n">
        <f aca="false">(Z133*Assumptions!$C$37)</f>
        <v>0</v>
      </c>
      <c r="AA230" s="9" t="n">
        <f aca="false">(AA133*Assumptions!$C$37)</f>
        <v>58820</v>
      </c>
      <c r="AB230" s="9" t="n">
        <f aca="false">(AB133*Assumptions!$C$37)</f>
        <v>0</v>
      </c>
      <c r="AC230" s="9" t="n">
        <f aca="false">(AC133*Assumptions!$C$37)</f>
        <v>0</v>
      </c>
      <c r="AD230" s="9" t="n">
        <f aca="false">(AD133*Assumptions!$C$37)</f>
        <v>58820</v>
      </c>
      <c r="AE230" s="9" t="n">
        <f aca="false">(AE133*Assumptions!$C$37)</f>
        <v>13515</v>
      </c>
      <c r="AF230" s="9" t="n">
        <f aca="false">(AF133*Assumptions!$C$37)</f>
        <v>0</v>
      </c>
      <c r="AG230" s="9" t="n">
        <f aca="false">(AG133*Assumptions!$C$37)</f>
        <v>72335</v>
      </c>
      <c r="AH230" s="9" t="n">
        <f aca="false">(AH133*Assumptions!$C$37)</f>
        <v>45305</v>
      </c>
      <c r="AI230" s="9" t="n">
        <f aca="false">(AI133*Assumptions!$C$37)</f>
        <v>0</v>
      </c>
      <c r="AJ230" s="9" t="n">
        <f aca="false">(AJ133*Assumptions!$C$37)</f>
        <v>104125</v>
      </c>
      <c r="AK230" s="9" t="n">
        <f aca="false">(AK133*Assumptions!$C$37)</f>
        <v>58820</v>
      </c>
      <c r="AL230" s="9" t="n">
        <f aca="false">(AL133*Assumptions!$C$37)</f>
        <v>71740</v>
      </c>
      <c r="AN230" s="11" t="n">
        <f aca="false">SUM(C230:N230)</f>
        <v>37825</v>
      </c>
      <c r="AO230" s="11" t="n">
        <f aca="false">SUM(O230:Z230)</f>
        <v>58820</v>
      </c>
      <c r="AP230" s="11" t="n">
        <f aca="false">SUM(AA230:AL230)</f>
        <v>483480</v>
      </c>
    </row>
    <row r="231" customFormat="false" ht="15" hidden="false" customHeight="false" outlineLevel="0" collapsed="false">
      <c r="A231" s="0" t="s">
        <v>1019</v>
      </c>
      <c r="B231" s="0" t="s">
        <v>285</v>
      </c>
      <c r="C231" s="9" t="n">
        <f aca="false">(C197*Assumptions!$C$38)</f>
        <v>0</v>
      </c>
      <c r="D231" s="9" t="n">
        <f aca="false">(D197*Assumptions!$C$38)</f>
        <v>0</v>
      </c>
      <c r="E231" s="9" t="n">
        <f aca="false">(E197*Assumptions!$C$38)</f>
        <v>0</v>
      </c>
      <c r="F231" s="9" t="n">
        <f aca="false">(F197*Assumptions!$C$38)</f>
        <v>0</v>
      </c>
      <c r="G231" s="9" t="n">
        <f aca="false">(G197*Assumptions!$C$38)</f>
        <v>110</v>
      </c>
      <c r="H231" s="9" t="n">
        <f aca="false">(H197*Assumptions!$C$38)</f>
        <v>110</v>
      </c>
      <c r="I231" s="9" t="n">
        <f aca="false">(I197*Assumptions!$C$38)</f>
        <v>110</v>
      </c>
      <c r="J231" s="9" t="n">
        <f aca="false">(J197*Assumptions!$C$38)</f>
        <v>110</v>
      </c>
      <c r="K231" s="9" t="n">
        <f aca="false">(K197*Assumptions!$C$38)</f>
        <v>110</v>
      </c>
      <c r="L231" s="9" t="n">
        <f aca="false">(L197*Assumptions!$C$38)</f>
        <v>110</v>
      </c>
      <c r="M231" s="9" t="n">
        <f aca="false">(M197*Assumptions!$C$38)</f>
        <v>220</v>
      </c>
      <c r="N231" s="9" t="n">
        <f aca="false">(N197*Assumptions!$C$38)</f>
        <v>220</v>
      </c>
      <c r="O231" s="9" t="n">
        <f aca="false">(O197*Assumptions!$C$38)</f>
        <v>220</v>
      </c>
      <c r="P231" s="9" t="n">
        <f aca="false">(P197*Assumptions!$C$38)</f>
        <v>220</v>
      </c>
      <c r="Q231" s="9" t="n">
        <f aca="false">(Q197*Assumptions!$C$38)</f>
        <v>330</v>
      </c>
      <c r="R231" s="9" t="n">
        <f aca="false">(R197*Assumptions!$C$38)</f>
        <v>330</v>
      </c>
      <c r="S231" s="9" t="n">
        <f aca="false">(S197*Assumptions!$C$38)</f>
        <v>330</v>
      </c>
      <c r="T231" s="9" t="n">
        <f aca="false">(T197*Assumptions!$C$38)</f>
        <v>330</v>
      </c>
      <c r="U231" s="9" t="n">
        <f aca="false">(U197*Assumptions!$C$38)</f>
        <v>440</v>
      </c>
      <c r="V231" s="9" t="n">
        <f aca="false">(V197*Assumptions!$C$38)</f>
        <v>440</v>
      </c>
      <c r="W231" s="9" t="n">
        <f aca="false">(W197*Assumptions!$C$38)</f>
        <v>440</v>
      </c>
      <c r="X231" s="9" t="n">
        <f aca="false">(X197*Assumptions!$C$38)</f>
        <v>550</v>
      </c>
      <c r="Y231" s="9" t="n">
        <f aca="false">(Y197*Assumptions!$C$38)</f>
        <v>550</v>
      </c>
      <c r="Z231" s="9" t="n">
        <f aca="false">(Z197*Assumptions!$C$38)</f>
        <v>550</v>
      </c>
      <c r="AA231" s="9" t="n">
        <f aca="false">(AA197*Assumptions!$C$38)</f>
        <v>660</v>
      </c>
      <c r="AB231" s="9" t="n">
        <f aca="false">(AB197*Assumptions!$C$38)</f>
        <v>660</v>
      </c>
      <c r="AC231" s="9" t="n">
        <f aca="false">(AC197*Assumptions!$C$38)</f>
        <v>660</v>
      </c>
      <c r="AD231" s="9" t="n">
        <f aca="false">(AD197*Assumptions!$C$38)</f>
        <v>770</v>
      </c>
      <c r="AE231" s="9" t="n">
        <f aca="false">(AE197*Assumptions!$C$38)</f>
        <v>770</v>
      </c>
      <c r="AF231" s="9" t="n">
        <f aca="false">(AF197*Assumptions!$C$38)</f>
        <v>770</v>
      </c>
      <c r="AG231" s="9" t="n">
        <f aca="false">(AG197*Assumptions!$C$38)</f>
        <v>880</v>
      </c>
      <c r="AH231" s="9" t="n">
        <f aca="false">(AH197*Assumptions!$C$38)</f>
        <v>880</v>
      </c>
      <c r="AI231" s="9" t="n">
        <f aca="false">(AI197*Assumptions!$C$38)</f>
        <v>880</v>
      </c>
      <c r="AJ231" s="9" t="n">
        <f aca="false">(AJ197*Assumptions!$C$38)</f>
        <v>880</v>
      </c>
      <c r="AK231" s="9" t="n">
        <f aca="false">(AK197*Assumptions!$C$38)</f>
        <v>880</v>
      </c>
      <c r="AL231" s="9" t="n">
        <f aca="false">(AL197*Assumptions!$C$38)</f>
        <v>880</v>
      </c>
      <c r="AN231" s="11" t="n">
        <f aca="false">SUM(C231:N231)</f>
        <v>1100</v>
      </c>
      <c r="AO231" s="11" t="n">
        <f aca="false">SUM(O231:Z231)</f>
        <v>4730</v>
      </c>
      <c r="AP231" s="11" t="n">
        <f aca="false">SUM(AA231:AL231)</f>
        <v>9570</v>
      </c>
    </row>
    <row r="234" customFormat="false" ht="15" hidden="false" customHeight="false" outlineLevel="0" collapsed="false">
      <c r="A234" s="21" t="s">
        <v>1020</v>
      </c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</row>
    <row r="235" customFormat="false" ht="15" hidden="false" customHeight="false" outlineLevel="0" collapsed="false">
      <c r="A235" s="0" t="s">
        <v>61</v>
      </c>
      <c r="B235" s="0" t="s">
        <v>230</v>
      </c>
      <c r="AN235" s="9" t="n">
        <f aca="false">AN146</f>
        <v>0</v>
      </c>
      <c r="AO235" s="9" t="n">
        <f aca="false">AO146</f>
        <v>166843.298236569</v>
      </c>
      <c r="AP235" s="9" t="n">
        <f aca="false">AP146</f>
        <v>1255579.22048579</v>
      </c>
    </row>
    <row r="236" customFormat="false" ht="15" hidden="false" customHeight="false" outlineLevel="0" collapsed="false">
      <c r="A236" s="0" t="s">
        <v>62</v>
      </c>
      <c r="B236" s="0" t="s">
        <v>230</v>
      </c>
      <c r="AN236" s="9" t="n">
        <f aca="false">AN148</f>
        <v>0</v>
      </c>
      <c r="AO236" s="9" t="n">
        <f aca="false">AO148</f>
        <v>77176.0805472603</v>
      </c>
      <c r="AP236" s="9" t="n">
        <f aca="false">AP148</f>
        <v>728214.210659844</v>
      </c>
    </row>
    <row r="237" customFormat="false" ht="15" hidden="false" customHeight="false" outlineLevel="0" collapsed="false">
      <c r="A237" s="0" t="s">
        <v>63</v>
      </c>
      <c r="B237" s="0" t="s">
        <v>193</v>
      </c>
      <c r="AN237" s="12" t="n">
        <f aca="false">IFERROR((AN223/AN146),0)</f>
        <v>0</v>
      </c>
      <c r="AO237" s="12" t="n">
        <f aca="false">IFERROR((AO223/AO146),0)</f>
        <v>-4.04037526431649</v>
      </c>
      <c r="AP237" s="12" t="n">
        <f aca="false">IFERROR((AP223/AP146),0)</f>
        <v>-0.451850411845235</v>
      </c>
    </row>
    <row r="238" customFormat="false" ht="15" hidden="false" customHeight="false" outlineLevel="0" collapsed="false">
      <c r="A238" s="0" t="s">
        <v>64</v>
      </c>
      <c r="B238" s="0" t="s">
        <v>193</v>
      </c>
      <c r="AN238" s="12" t="n">
        <f aca="false">IFERROR((AN224/AN146),0)</f>
        <v>0</v>
      </c>
      <c r="AO238" s="12" t="n">
        <f aca="false">IFERROR((AO224/AO146),0)</f>
        <v>-4.3533146544619</v>
      </c>
      <c r="AP238" s="12" t="n">
        <f aca="false">IFERROR((AP224/AP146),0)</f>
        <v>-0.595169891065651</v>
      </c>
    </row>
    <row r="239" customFormat="false" ht="15" hidden="false" customHeight="false" outlineLevel="0" collapsed="false">
      <c r="A239" s="0" t="s">
        <v>65</v>
      </c>
      <c r="B239" s="0" t="s">
        <v>193</v>
      </c>
      <c r="AN239" s="12" t="n">
        <f aca="false">IFERROR(((AN42-AN179)/AN42),0)</f>
        <v>0</v>
      </c>
      <c r="AO239" s="12" t="n">
        <f aca="false">IFERROR(((AO42-AO179)/AO42),0)</f>
        <v>-4.58899186247699</v>
      </c>
      <c r="AP239" s="12" t="n">
        <f aca="false">IFERROR(((AP42-AP179)/AP42),0)</f>
        <v>-1.90279379417814</v>
      </c>
    </row>
    <row r="240" customFormat="false" ht="15" hidden="false" customHeight="false" outlineLevel="0" collapsed="false">
      <c r="A240" s="0" t="s">
        <v>66</v>
      </c>
      <c r="B240" s="0" t="s">
        <v>193</v>
      </c>
      <c r="AN240" s="12" t="n">
        <f aca="false">IFERROR(((((((AN129+AN127)+AN136)+AN137)+AN140)-AN180)/((((AN129+AN127)+AN136)+AN137)+AN140)),0)</f>
        <v>0</v>
      </c>
      <c r="AO240" s="12" t="n">
        <f aca="false">IFERROR(((((((AO129+AO127)+AO136)+AO137)+AO140)-AO180)/((((AO129+AO127)+AO136)+AO137)+AO140)),0)</f>
        <v>-0.15777974947715</v>
      </c>
      <c r="AP240" s="12" t="n">
        <f aca="false">IFERROR(((((((AP129+AP127)+AP136)+AP137)+AP140)-AP180)/((((AP129+AP127)+AP136)+AP137)+AP140)),0)</f>
        <v>0.531879670254739</v>
      </c>
    </row>
    <row r="241" customFormat="false" ht="15" hidden="false" customHeight="false" outlineLevel="0" collapsed="false">
      <c r="A241" s="0" t="s">
        <v>67</v>
      </c>
      <c r="B241" s="0" t="s">
        <v>193</v>
      </c>
      <c r="AN241" s="12" t="n">
        <f aca="false">IFERROR(((AN131-AN182)/AN131),0)</f>
        <v>0</v>
      </c>
      <c r="AO241" s="12" t="n">
        <f aca="false">IFERROR(((AO131-AO182)/AO131),0)</f>
        <v>-3.96780303030303</v>
      </c>
      <c r="AP241" s="12" t="n">
        <f aca="false">IFERROR(((AP131-AP182)/AP131),0)</f>
        <v>-0.422025723472669</v>
      </c>
    </row>
    <row r="242" customFormat="false" ht="15" hidden="false" customHeight="false" outlineLevel="0" collapsed="false">
      <c r="A242" s="0" t="s">
        <v>68</v>
      </c>
      <c r="B242" s="0" t="s">
        <v>193</v>
      </c>
      <c r="AN242" s="12" t="n">
        <f aca="false">IFERROR(((AN131-AN230)/AN131),0)</f>
        <v>0</v>
      </c>
      <c r="AO242" s="12" t="n">
        <f aca="false">IFERROR(((AO131-AO230)/AO131),0)</f>
        <v>0.331590909090909</v>
      </c>
      <c r="AP242" s="12" t="n">
        <f aca="false">IFERROR(((AP131-AP230)/AP131),0)</f>
        <v>0.222700964630225</v>
      </c>
    </row>
    <row r="243" customFormat="false" ht="15" hidden="false" customHeight="false" outlineLevel="0" collapsed="false">
      <c r="A243" s="0" t="s">
        <v>69</v>
      </c>
      <c r="B243" s="0" t="s">
        <v>193</v>
      </c>
      <c r="AN243" s="12" t="n">
        <f aca="false">IFERROR((AN133/AN231),0)</f>
        <v>0.404545454545455</v>
      </c>
      <c r="AO243" s="12" t="n">
        <f aca="false">IFERROR((AO133/AO231),0)</f>
        <v>0.146300211416491</v>
      </c>
      <c r="AP243" s="12" t="n">
        <f aca="false">IFERROR((AP133/AP231),0)</f>
        <v>0.59435736677116</v>
      </c>
    </row>
    <row r="244" customFormat="false" ht="15" hidden="false" customHeight="false" outlineLevel="0" collapsed="false">
      <c r="A244" s="0" t="s">
        <v>41</v>
      </c>
      <c r="B244" s="0" t="s">
        <v>230</v>
      </c>
      <c r="AN244" s="9" t="n">
        <f aca="false">AN225</f>
        <v>-2453970.70570717</v>
      </c>
      <c r="AO244" s="9" t="n">
        <f aca="false">AO225</f>
        <v>-5076094.52187868</v>
      </c>
      <c r="AP244" s="9" t="n">
        <f aca="false">AP225</f>
        <v>-6250150.81052083</v>
      </c>
    </row>
    <row r="245" customFormat="false" ht="15" hidden="false" customHeight="false" outlineLevel="0" collapsed="false">
      <c r="A245" s="0" t="s">
        <v>70</v>
      </c>
      <c r="B245" s="0" t="s">
        <v>230</v>
      </c>
      <c r="AN245" s="9" t="n">
        <f aca="false">(0-AN226)</f>
        <v>2453970.70570717</v>
      </c>
      <c r="AO245" s="9" t="n">
        <f aca="false">(0-AO226)</f>
        <v>5028976.25609146</v>
      </c>
      <c r="AP245" s="9" t="n">
        <f aca="false">(0-AP226)</f>
        <v>6254569.49911153</v>
      </c>
    </row>
    <row r="246" customFormat="false" ht="15" hidden="false" customHeight="false" outlineLevel="0" collapsed="false">
      <c r="A246" s="0" t="s">
        <v>71</v>
      </c>
      <c r="B246" s="0" t="s">
        <v>230</v>
      </c>
      <c r="AN246" s="9" t="n">
        <f aca="false">AN227</f>
        <v>-2453970.70570717</v>
      </c>
      <c r="AO246" s="9" t="n">
        <f aca="false">AO227</f>
        <v>-7482946.96179863</v>
      </c>
      <c r="AP246" s="9" t="n">
        <f aca="false">AP227</f>
        <v>-13737516.4609101</v>
      </c>
    </row>
    <row r="247" customFormat="false" ht="15" hidden="false" customHeight="false" outlineLevel="0" collapsed="false">
      <c r="A247" s="0" t="s">
        <v>72</v>
      </c>
      <c r="B247" s="0" t="s">
        <v>230</v>
      </c>
      <c r="AN247" s="9" t="n">
        <f aca="false">AN228</f>
        <v>546029.29429283</v>
      </c>
      <c r="AO247" s="9" t="n">
        <f aca="false">AO228</f>
        <v>-4482946.96179863</v>
      </c>
      <c r="AP247" s="9" t="n">
        <f aca="false">AP228</f>
        <v>-10737516.4609101</v>
      </c>
    </row>
    <row r="248" customFormat="false" ht="15" hidden="false" customHeight="false" outlineLevel="0" collapsed="false">
      <c r="A248" s="0" t="s">
        <v>73</v>
      </c>
      <c r="B248" s="0" t="s">
        <v>230</v>
      </c>
      <c r="AN248" s="9" t="n">
        <f aca="false">(AN148-0)</f>
        <v>0</v>
      </c>
      <c r="AO248" s="9" t="n">
        <f aca="false">(AO148-AN148)</f>
        <v>77176.0805472603</v>
      </c>
      <c r="AP248" s="9" t="n">
        <f aca="false">(AP148-AO148)</f>
        <v>651038.130112583</v>
      </c>
    </row>
    <row r="249" customFormat="false" ht="15" hidden="false" customHeight="false" outlineLevel="0" collapsed="false">
      <c r="A249" s="0" t="s">
        <v>74</v>
      </c>
      <c r="B249" s="0" t="s">
        <v>160</v>
      </c>
      <c r="AN249" s="13" t="n">
        <f aca="false">IFERROR(((0-AN226)/(AN148-0)),0)</f>
        <v>0</v>
      </c>
      <c r="AO249" s="13" t="n">
        <f aca="false">IFERROR(((0-AO226)/(AO148-AN148)),0)</f>
        <v>65.1623692267174</v>
      </c>
      <c r="AP249" s="13" t="n">
        <f aca="false">IFERROR(((0-AP226)/(AP148-AO148)),0)</f>
        <v>9.60707093765757</v>
      </c>
    </row>
    <row r="250" customFormat="false" ht="15" hidden="false" customHeight="false" outlineLevel="0" collapsed="false">
      <c r="A250" s="0" t="s">
        <v>75</v>
      </c>
      <c r="B250" s="0" t="s">
        <v>230</v>
      </c>
      <c r="AN250" s="13" t="n">
        <f aca="false">IFERROR(((AN206+(0.5*(AN194+AN207)))/AN28),0)</f>
        <v>0</v>
      </c>
      <c r="AO250" s="13" t="n">
        <f aca="false">IFERROR(((AO206+(0.5*(AO194+AO207)))/AO28),0)</f>
        <v>802.839097544607</v>
      </c>
      <c r="AP250" s="13" t="n">
        <f aca="false">IFERROR(((AP206+(0.5*(AP194+AP207)))/AP28),0)</f>
        <v>502.981242619472</v>
      </c>
    </row>
    <row r="251" customFormat="false" ht="15" hidden="false" customHeight="false" outlineLevel="0" collapsed="false">
      <c r="A251" s="0" t="s">
        <v>76</v>
      </c>
      <c r="B251" s="0" t="s">
        <v>230</v>
      </c>
      <c r="AN251" s="13" t="n">
        <f aca="false">IFERROR((((AN206+(0.5*(AN194+AN207)))+AN186)/AN28),0)</f>
        <v>0</v>
      </c>
      <c r="AO251" s="13" t="n">
        <f aca="false">IFERROR((((AO206+(0.5*(AO194+AO207)))+AO186)/AO28),0)</f>
        <v>932.4116298671</v>
      </c>
      <c r="AP251" s="13" t="n">
        <f aca="false">IFERROR((((AP206+(0.5*(AP194+AP207)))+AP186)/AP28),0)</f>
        <v>622.401245684949</v>
      </c>
    </row>
    <row r="252" customFormat="false" ht="15" hidden="false" customHeight="false" outlineLevel="0" collapsed="false">
      <c r="A252" s="0" t="s">
        <v>77</v>
      </c>
      <c r="B252" s="0" t="s">
        <v>230</v>
      </c>
      <c r="AN252" s="14" t="n">
        <f aca="false">IFERROR(((AN42/12)/((AN39*0.5)+(0*0.5))),0)</f>
        <v>0</v>
      </c>
      <c r="AO252" s="14" t="n">
        <f aca="false">IFERROR(((AO42/12)/((AO39*0.5)+(AN39*0.5))),0)</f>
        <v>4.73816699513621</v>
      </c>
      <c r="AP252" s="14" t="n">
        <f aca="false">IFERROR(((AP42/12)/((AP39*0.5)+(AO39*0.5))),0)</f>
        <v>5.71702778571874</v>
      </c>
    </row>
    <row r="253" customFormat="false" ht="15" hidden="false" customHeight="false" outlineLevel="0" collapsed="false">
      <c r="A253" s="0" t="s">
        <v>78</v>
      </c>
      <c r="B253" s="0" t="s">
        <v>193</v>
      </c>
      <c r="AN253" s="12" t="n">
        <f aca="false">IFERROR(((AN42-AN187)/AN42),0)</f>
        <v>0</v>
      </c>
      <c r="AO253" s="12" t="n">
        <f aca="false">IFERROR(((AO42-AO187)/AO42),0)</f>
        <v>0.744948314218905</v>
      </c>
      <c r="AP253" s="12" t="n">
        <f aca="false">IFERROR(((AP42-AP187)/AP42),0)</f>
        <v>0.766761624389786</v>
      </c>
    </row>
    <row r="254" customFormat="false" ht="15" hidden="false" customHeight="false" outlineLevel="0" collapsed="false">
      <c r="A254" s="0" t="s">
        <v>79</v>
      </c>
      <c r="B254" s="0" t="s">
        <v>166</v>
      </c>
      <c r="AN254" s="13" t="n">
        <f aca="false">IFERROR(((((AN206+(0.5*(AN194+AN207)))+AN186)/AN28)/(((AN42/12)/((AN39*0.5)+(0*0.5)))*((AN42-AN187)/AN42))),0)</f>
        <v>0</v>
      </c>
      <c r="AO254" s="13" t="n">
        <f aca="false">IFERROR(((((AO206+(0.5*(AO194+AO207)))+AO186)/AO28)/(((AO42/12)/((AO39*0.5)+(AN39*0.5)))*((AO42-AO187)/AO42))),0)</f>
        <v>264.162506579909</v>
      </c>
      <c r="AP254" s="13" t="n">
        <f aca="false">IFERROR(((((AP206+(0.5*(AP194+AP207)))+AP186)/AP28)/(((AP42/12)/((AP39*0.5)+(AO39*0.5)))*((AP42-AP187)/AP42))),0)</f>
        <v>141.984122408483</v>
      </c>
    </row>
    <row r="255" customFormat="false" ht="15" hidden="false" customHeight="false" outlineLevel="0" collapsed="false">
      <c r="A255" s="0" t="s">
        <v>80</v>
      </c>
      <c r="B255" s="0" t="s">
        <v>230</v>
      </c>
      <c r="AN255" s="9" t="n">
        <f aca="false">IFERROR(((AN215+(0.5*(AN194+AN207)))/AN121),0)</f>
        <v>0</v>
      </c>
      <c r="AO255" s="9" t="n">
        <f aca="false">IFERROR(((AO215+(0.5*(AO194+AO207)))/AO121),0)</f>
        <v>615153.709876543</v>
      </c>
      <c r="AP255" s="9" t="n">
        <f aca="false">IFERROR(((AP215+(0.5*(AP194+AP207)))/AP121),0)</f>
        <v>114790.616238023</v>
      </c>
    </row>
    <row r="256" customFormat="false" ht="15" hidden="false" customHeight="false" outlineLevel="0" collapsed="false">
      <c r="A256" s="0" t="s">
        <v>81</v>
      </c>
      <c r="B256" s="0" t="s">
        <v>230</v>
      </c>
      <c r="AN256" s="9" t="n">
        <f aca="false">IFERROR(((AN215+(0.5*(AN194+AN207)))/AN120),0)</f>
        <v>0</v>
      </c>
      <c r="AO256" s="9" t="n">
        <f aca="false">IFERROR(((AO215+(0.5*(AO194+AO207)))/AO120),0)</f>
        <v>221455.335555556</v>
      </c>
      <c r="AP256" s="9" t="n">
        <f aca="false">IFERROR(((AP215+(0.5*(AP194+AP207)))/AP120),0)</f>
        <v>51734.0436363636</v>
      </c>
    </row>
    <row r="257" customFormat="false" ht="15" hidden="false" customHeight="false" outlineLevel="0" collapsed="false">
      <c r="A257" s="0" t="s">
        <v>82</v>
      </c>
      <c r="B257" s="0" t="s">
        <v>193</v>
      </c>
      <c r="AN257" s="12" t="n">
        <f aca="false">((1-((1-Assumptions!$C$30)*$C$6))*(1+Assumptions!$C$31))</f>
        <v>0.968</v>
      </c>
      <c r="AO257" s="12" t="n">
        <f aca="false">((1-((1-Assumptions!$C$30)*$C$6))*(1+Assumptions!$C$31))</f>
        <v>0.968</v>
      </c>
      <c r="AP257" s="12" t="n">
        <f aca="false">((1-((1-Assumptions!$C$30)*$C$6))*(1+Assumptions!$C$31))</f>
        <v>0.968</v>
      </c>
    </row>
    <row r="258" customFormat="false" ht="15" hidden="false" customHeight="false" outlineLevel="0" collapsed="false">
      <c r="A258" s="0" t="s">
        <v>83</v>
      </c>
      <c r="B258" s="0" t="s">
        <v>193</v>
      </c>
      <c r="AN258" s="12" t="n">
        <f aca="false">(1-((1-Assumptions!$C$30)*$C$6))</f>
        <v>0.88</v>
      </c>
      <c r="AO258" s="12" t="n">
        <f aca="false">(1-((1-Assumptions!$C$30)*$C$6))</f>
        <v>0.88</v>
      </c>
      <c r="AP258" s="12" t="n">
        <f aca="false">(1-((1-Assumptions!$C$30)*$C$6))</f>
        <v>0.88</v>
      </c>
    </row>
    <row r="259" customFormat="false" ht="15" hidden="false" customHeight="false" outlineLevel="0" collapsed="false">
      <c r="A259" s="0" t="s">
        <v>84</v>
      </c>
      <c r="B259" s="0" t="s">
        <v>852</v>
      </c>
      <c r="AN259" s="13" t="n">
        <f aca="false">AN122</f>
        <v>0</v>
      </c>
      <c r="AO259" s="13" t="n">
        <f aca="false">AO122</f>
        <v>1.08</v>
      </c>
      <c r="AP259" s="13" t="n">
        <f aca="false">AP122</f>
        <v>10.8654</v>
      </c>
    </row>
    <row r="260" customFormat="false" ht="15" hidden="false" customHeight="false" outlineLevel="0" collapsed="false">
      <c r="A260" s="0" t="s">
        <v>85</v>
      </c>
      <c r="B260" s="0" t="s">
        <v>500</v>
      </c>
      <c r="AN260" s="9" t="n">
        <f aca="false">AN39</f>
        <v>0</v>
      </c>
      <c r="AO260" s="9" t="n">
        <f aca="false">AO39</f>
        <v>256.966398049017</v>
      </c>
      <c r="AP260" s="9" t="n">
        <f aca="false">AP39</f>
        <v>719.967198361525</v>
      </c>
    </row>
    <row r="261" customFormat="false" ht="15" hidden="false" customHeight="false" outlineLevel="0" collapsed="false">
      <c r="A261" s="0" t="s">
        <v>86</v>
      </c>
      <c r="B261" s="0" t="s">
        <v>500</v>
      </c>
      <c r="AN261" s="9" t="n">
        <f aca="false">AN157</f>
        <v>2681.21574138794</v>
      </c>
      <c r="AO261" s="9" t="n">
        <f aca="false">AO157</f>
        <v>19732.2146141107</v>
      </c>
      <c r="AP261" s="9" t="n">
        <f aca="false">AP157</f>
        <v>48573.3859028581</v>
      </c>
    </row>
    <row r="262" customFormat="false" ht="15" hidden="false" customHeight="false" outlineLevel="0" collapsed="false">
      <c r="A262" s="0" t="s">
        <v>87</v>
      </c>
      <c r="B262" s="0" t="s">
        <v>230</v>
      </c>
      <c r="AN262" s="14" t="n">
        <f aca="false">IFERROR(((AN167/12)/((AN157*0.5)+(0*0.5))),0)</f>
        <v>1.70174802873146</v>
      </c>
      <c r="AO262" s="14" t="n">
        <f aca="false">IFERROR(((AO167/12)/((AO157*0.5)+(AN157*0.5))),0)</f>
        <v>0.44812975517239</v>
      </c>
      <c r="AP262" s="14" t="n">
        <f aca="false">IFERROR(((AP167/12)/((AP157*0.5)+(AO157*0.5))),0)</f>
        <v>0.328622643222343</v>
      </c>
    </row>
    <row r="263" customFormat="false" ht="15" hidden="false" customHeight="false" outlineLevel="0" collapsed="false">
      <c r="A263" s="0" t="s">
        <v>88</v>
      </c>
      <c r="B263" s="0" t="s">
        <v>193</v>
      </c>
      <c r="AN263" s="12" t="n">
        <f aca="false">IFERROR((AN167/AN146),0)</f>
        <v>0</v>
      </c>
      <c r="AO263" s="12" t="n">
        <f aca="false">IFERROR((AO167/AO146),0)</f>
        <v>0.361205700100988</v>
      </c>
      <c r="AP263" s="12" t="n">
        <f aca="false">IFERROR((AP167/AP146),0)</f>
        <v>0.107265714289653</v>
      </c>
    </row>
    <row r="264" customFormat="false" ht="15" hidden="false" customHeight="false" outlineLevel="0" collapsed="false">
      <c r="A264" s="0" t="s">
        <v>89</v>
      </c>
      <c r="B264" s="0" t="s">
        <v>618</v>
      </c>
      <c r="AN264" s="13" t="n">
        <f aca="false">AN196</f>
        <v>18.4</v>
      </c>
      <c r="AO264" s="13" t="n">
        <f aca="false">AO196</f>
        <v>31.4</v>
      </c>
      <c r="AP264" s="13" t="n">
        <f aca="false">AP196</f>
        <v>40.4</v>
      </c>
    </row>
    <row r="265" customFormat="false" ht="15" hidden="false" customHeight="false" outlineLevel="0" collapsed="false">
      <c r="A265" s="0" t="s">
        <v>90</v>
      </c>
      <c r="B265" s="0" t="s">
        <v>230</v>
      </c>
      <c r="AN265" s="9" t="n">
        <f aca="false">IFERROR((AN148/AN196),0)</f>
        <v>0</v>
      </c>
      <c r="AO265" s="9" t="n">
        <f aca="false">IFERROR((AO148/AO196),0)</f>
        <v>2457.83696010383</v>
      </c>
      <c r="AP265" s="9" t="n">
        <f aca="false">IFERROR((AP148/AP196),0)</f>
        <v>18025.1042242536</v>
      </c>
    </row>
    <row r="266" customFormat="false" ht="15" hidden="false" customHeight="false" outlineLevel="0" collapsed="false">
      <c r="A266" s="0" t="s">
        <v>91</v>
      </c>
      <c r="B266" s="0" t="s">
        <v>193</v>
      </c>
      <c r="AN266" s="12" t="n">
        <f aca="false">IFERROR((AN40/AN188),0)</f>
        <v>0</v>
      </c>
      <c r="AO266" s="12" t="n">
        <f aca="false">IFERROR((AO40/AO188),0)</f>
        <v>0.0258846896897066</v>
      </c>
      <c r="AP266" s="12" t="n">
        <f aca="false">IFERROR((AP40/AP188),0)</f>
        <v>0.0351852873588045</v>
      </c>
    </row>
    <row r="267" customFormat="false" ht="15" hidden="false" customHeight="false" outlineLevel="0" collapsed="false">
      <c r="A267" s="0" t="s">
        <v>92</v>
      </c>
      <c r="B267" s="0" t="s">
        <v>230</v>
      </c>
      <c r="AN267" s="13" t="n">
        <f aca="false">IFERROR(((((AN42/12)/((AN39*0.5)+(0*0.5)))*((AN42-AN187)/AN42))/(AN40/AN188)),0)</f>
        <v>0</v>
      </c>
      <c r="AO267" s="13" t="n">
        <f aca="false">IFERROR(((((AO42/12)/((AO39*0.5)+(AN39*0.5)))*((AO42-AO187)/AO42))/(AO40/AO188)),0)</f>
        <v>136.362056405799</v>
      </c>
      <c r="AP267" s="13" t="n">
        <f aca="false">IFERROR(((((AP42/12)/((AP39*0.5)+(AO39*0.5)))*((AP42-AP187)/AP42))/(AP40/AP188)),0)</f>
        <v>124.586093811234</v>
      </c>
    </row>
    <row r="268" customFormat="false" ht="15" hidden="false" customHeight="false" outlineLevel="0" collapsed="false">
      <c r="A268" s="0" t="s">
        <v>93</v>
      </c>
      <c r="B268" s="0" t="s">
        <v>160</v>
      </c>
      <c r="AN268" s="14" t="n">
        <f aca="false">IFERROR((((((AN42/12)/((AN39*0.5)+(0*0.5)))*((AN42-AN187)/AN42))/(AN40/AN188))/(((AN206+(0.5*(AN194+AN207)))+AN186)/AN28)),0)</f>
        <v>0</v>
      </c>
      <c r="AO268" s="14" t="n">
        <f aca="false">IFERROR((((((AO42/12)/((AO39*0.5)+(AN39*0.5)))*((AO42-AO187)/AO42))/(AO40/AO188))/(((AO206+(0.5*(AO194+AO207)))+AO186)/AO28)),0)</f>
        <v>0.146246627602913</v>
      </c>
      <c r="AP268" s="14" t="n">
        <f aca="false">IFERROR((((((AP42/12)/((AP39*0.5)+(AO39*0.5)))*((AP42-AP187)/AP42))/(AP40/AP188))/(((AP206+(0.5*(AP194+AP207)))+AP186)/AP28)),0)</f>
        <v>0.200170058583555</v>
      </c>
    </row>
    <row r="269" customFormat="false" ht="15" hidden="false" customHeight="false" outlineLevel="0" collapsed="false">
      <c r="A269" s="0" t="s">
        <v>94</v>
      </c>
      <c r="B269" s="0" t="s">
        <v>230</v>
      </c>
      <c r="AN269" s="9" t="n">
        <f aca="false">AN186</f>
        <v>3481.4412051703</v>
      </c>
      <c r="AO269" s="9" t="n">
        <f aca="false">AO186</f>
        <v>36765.9756966124</v>
      </c>
      <c r="AP269" s="9" t="n">
        <f aca="false">AP186</f>
        <v>78480.6244616909</v>
      </c>
    </row>
    <row r="270" customFormat="false" ht="15" hidden="false" customHeight="false" outlineLevel="0" collapsed="false">
      <c r="A270" s="0" t="s">
        <v>95</v>
      </c>
      <c r="B270" s="0" t="s">
        <v>193</v>
      </c>
      <c r="AN270" s="12" t="n">
        <f aca="false">IFERROR((AN186/AN42),0)</f>
        <v>0</v>
      </c>
      <c r="AO270" s="12" t="n">
        <f aca="false">IFERROR((AO186/AO42),0)</f>
        <v>5.03278230484376</v>
      </c>
      <c r="AP270" s="12" t="n">
        <f aca="false">IFERROR((AP186/AP42),0)</f>
        <v>2.34194047036863</v>
      </c>
    </row>
    <row r="271" customFormat="false" ht="15" hidden="false" customHeight="false" outlineLevel="0" collapsed="false">
      <c r="A271" s="0" t="s">
        <v>96</v>
      </c>
      <c r="B271" s="0" t="s">
        <v>193</v>
      </c>
      <c r="AN271" s="12" t="n">
        <f aca="false">IFERROR((AN39/(AN39+AN29)),0)</f>
        <v>0</v>
      </c>
      <c r="AO271" s="12" t="n">
        <f aca="false">IFERROR((AO39/(AO39+AO29)),0)</f>
        <v>0.0153291838089761</v>
      </c>
      <c r="AP271" s="12" t="n">
        <f aca="false">IFERROR((AP39/(AP39+AP29)),0)</f>
        <v>0.0257059845779436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3" topLeftCell="C24" activePane="bottomRight" state="frozen"/>
      <selection pane="topLeft" activeCell="A1" activeCellId="0" sqref="A1"/>
      <selection pane="topRight" activeCell="C1" activeCellId="0" sqref="C1"/>
      <selection pane="bottomLeft" activeCell="A24" activeCellId="0" sqref="A2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9"/>
    <col collapsed="false" customWidth="true" hidden="false" outlineLevel="0" max="38" min="3" style="0" width="11"/>
    <col collapsed="false" customWidth="true" hidden="false" outlineLevel="0" max="39" min="39" style="0" width="3"/>
    <col collapsed="false" customWidth="true" hidden="false" outlineLevel="0" max="42" min="40" style="0" width="14"/>
  </cols>
  <sheetData>
    <row r="1" customFormat="false" ht="16.15" hidden="false" customHeight="false" outlineLevel="0" collapsed="false">
      <c r="A1" s="18" t="s">
        <v>1024</v>
      </c>
    </row>
    <row r="2" customFormat="false" ht="15" hidden="false" customHeight="false" outlineLevel="0" collapsed="false">
      <c r="A2" s="0" t="s">
        <v>781</v>
      </c>
    </row>
    <row r="3" customFormat="false" ht="15" hidden="false" customHeight="false" outlineLevel="0" collapsed="false">
      <c r="A3" s="15" t="s">
        <v>782</v>
      </c>
    </row>
    <row r="4" customFormat="false" ht="15" hidden="false" customHeight="false" outlineLevel="0" collapsed="false">
      <c r="A4" s="0" t="s">
        <v>159</v>
      </c>
      <c r="B4" s="0" t="s">
        <v>160</v>
      </c>
      <c r="C4" s="0" t="n">
        <f aca="false">Scenarios!G4</f>
        <v>1</v>
      </c>
    </row>
    <row r="5" customFormat="false" ht="15" hidden="false" customHeight="false" outlineLevel="0" collapsed="false">
      <c r="A5" s="0" t="s">
        <v>161</v>
      </c>
      <c r="B5" s="0" t="s">
        <v>160</v>
      </c>
      <c r="C5" s="0" t="n">
        <f aca="false">Scenarios!G5</f>
        <v>1</v>
      </c>
    </row>
    <row r="6" customFormat="false" ht="15" hidden="false" customHeight="false" outlineLevel="0" collapsed="false">
      <c r="A6" s="0" t="s">
        <v>162</v>
      </c>
      <c r="B6" s="0" t="s">
        <v>160</v>
      </c>
      <c r="C6" s="0" t="n">
        <f aca="false">Scenarios!G6</f>
        <v>1</v>
      </c>
    </row>
    <row r="7" customFormat="false" ht="15" hidden="false" customHeight="false" outlineLevel="0" collapsed="false">
      <c r="A7" s="0" t="s">
        <v>163</v>
      </c>
      <c r="B7" s="0" t="s">
        <v>160</v>
      </c>
      <c r="C7" s="0" t="n">
        <f aca="false">Scenarios!G7</f>
        <v>1</v>
      </c>
    </row>
    <row r="8" customFormat="false" ht="15" hidden="false" customHeight="false" outlineLevel="0" collapsed="false">
      <c r="A8" s="0" t="s">
        <v>164</v>
      </c>
      <c r="B8" s="0" t="s">
        <v>160</v>
      </c>
      <c r="C8" s="0" t="n">
        <f aca="false">Scenarios!G8</f>
        <v>1</v>
      </c>
    </row>
    <row r="9" customFormat="false" ht="15" hidden="false" customHeight="false" outlineLevel="0" collapsed="false">
      <c r="A9" s="0" t="s">
        <v>165</v>
      </c>
      <c r="B9" s="0" t="s">
        <v>166</v>
      </c>
      <c r="C9" s="0" t="n">
        <f aca="false">Scenarios!G9</f>
        <v>0</v>
      </c>
    </row>
    <row r="10" customFormat="false" ht="15" hidden="false" customHeight="false" outlineLevel="0" collapsed="false">
      <c r="A10" s="0" t="s">
        <v>168</v>
      </c>
      <c r="B10" s="0" t="s">
        <v>160</v>
      </c>
      <c r="C10" s="0" t="n">
        <f aca="false">Scenarios!G10</f>
        <v>1</v>
      </c>
    </row>
    <row r="11" customFormat="false" ht="15" hidden="false" customHeight="false" outlineLevel="0" collapsed="false">
      <c r="A11" s="0" t="s">
        <v>169</v>
      </c>
      <c r="B11" s="0" t="s">
        <v>160</v>
      </c>
      <c r="C11" s="0" t="n">
        <f aca="false">Scenarios!G11</f>
        <v>1</v>
      </c>
    </row>
    <row r="12" customFormat="false" ht="15" hidden="false" customHeight="false" outlineLevel="0" collapsed="false">
      <c r="A12" s="0" t="s">
        <v>170</v>
      </c>
      <c r="B12" s="0" t="s">
        <v>160</v>
      </c>
      <c r="C12" s="0" t="n">
        <f aca="false">Scenarios!G12</f>
        <v>2.5</v>
      </c>
    </row>
    <row r="13" customFormat="false" ht="15" hidden="false" customHeight="false" outlineLevel="0" collapsed="false">
      <c r="A13" s="0" t="s">
        <v>171</v>
      </c>
      <c r="B13" s="0" t="s">
        <v>160</v>
      </c>
      <c r="C13" s="0" t="n">
        <f aca="false">Scenarios!G13</f>
        <v>1.5</v>
      </c>
    </row>
    <row r="14" customFormat="false" ht="15" hidden="false" customHeight="false" outlineLevel="0" collapsed="false">
      <c r="A14" s="0" t="s">
        <v>172</v>
      </c>
      <c r="B14" s="0" t="s">
        <v>173</v>
      </c>
      <c r="C14" s="0" t="n">
        <f aca="false">Scenarios!G14</f>
        <v>0</v>
      </c>
    </row>
    <row r="15" customFormat="false" ht="15" hidden="false" customHeight="false" outlineLevel="0" collapsed="false">
      <c r="A15" s="0" t="s">
        <v>174</v>
      </c>
      <c r="B15" s="0" t="s">
        <v>166</v>
      </c>
      <c r="C15" s="0" t="n">
        <f aca="false">Scenarios!G15</f>
        <v>0</v>
      </c>
    </row>
    <row r="16" customFormat="false" ht="15" hidden="false" customHeight="false" outlineLevel="0" collapsed="false">
      <c r="A16" s="0" t="s">
        <v>176</v>
      </c>
      <c r="B16" s="0" t="s">
        <v>173</v>
      </c>
      <c r="C16" s="0" t="n">
        <f aca="false">Scenarios!G16</f>
        <v>0</v>
      </c>
    </row>
    <row r="18" customFormat="false" ht="15" hidden="false" customHeight="false" outlineLevel="0" collapsed="false">
      <c r="A18" s="8" t="s">
        <v>98</v>
      </c>
      <c r="B18" s="8"/>
      <c r="C18" s="8" t="n">
        <v>1</v>
      </c>
      <c r="D18" s="8" t="n">
        <v>2</v>
      </c>
      <c r="E18" s="8" t="n">
        <v>3</v>
      </c>
      <c r="F18" s="8" t="n">
        <v>4</v>
      </c>
      <c r="G18" s="8" t="n">
        <v>5</v>
      </c>
      <c r="H18" s="8" t="n">
        <v>6</v>
      </c>
      <c r="I18" s="8" t="n">
        <v>7</v>
      </c>
      <c r="J18" s="8" t="n">
        <v>8</v>
      </c>
      <c r="K18" s="8" t="n">
        <v>9</v>
      </c>
      <c r="L18" s="8" t="n">
        <v>10</v>
      </c>
      <c r="M18" s="8" t="n">
        <v>11</v>
      </c>
      <c r="N18" s="8" t="n">
        <v>12</v>
      </c>
      <c r="O18" s="8" t="n">
        <v>13</v>
      </c>
      <c r="P18" s="8" t="n">
        <v>14</v>
      </c>
      <c r="Q18" s="8" t="n">
        <v>15</v>
      </c>
      <c r="R18" s="8" t="n">
        <v>16</v>
      </c>
      <c r="S18" s="8" t="n">
        <v>17</v>
      </c>
      <c r="T18" s="8" t="n">
        <v>18</v>
      </c>
      <c r="U18" s="8" t="n">
        <v>19</v>
      </c>
      <c r="V18" s="8" t="n">
        <v>20</v>
      </c>
      <c r="W18" s="8" t="n">
        <v>21</v>
      </c>
      <c r="X18" s="8" t="n">
        <v>22</v>
      </c>
      <c r="Y18" s="8" t="n">
        <v>23</v>
      </c>
      <c r="Z18" s="8" t="n">
        <v>24</v>
      </c>
      <c r="AA18" s="8" t="n">
        <v>25</v>
      </c>
      <c r="AB18" s="8" t="n">
        <v>26</v>
      </c>
      <c r="AC18" s="8" t="n">
        <v>27</v>
      </c>
      <c r="AD18" s="8" t="n">
        <v>28</v>
      </c>
      <c r="AE18" s="8" t="n">
        <v>29</v>
      </c>
      <c r="AF18" s="8" t="n">
        <v>30</v>
      </c>
      <c r="AG18" s="8" t="n">
        <v>31</v>
      </c>
      <c r="AH18" s="8" t="n">
        <v>32</v>
      </c>
      <c r="AI18" s="8" t="n">
        <v>33</v>
      </c>
      <c r="AJ18" s="8" t="n">
        <v>34</v>
      </c>
      <c r="AK18" s="8" t="n">
        <v>35</v>
      </c>
      <c r="AL18" s="8" t="n">
        <v>36</v>
      </c>
      <c r="AM18" s="8"/>
      <c r="AN18" s="8" t="s">
        <v>783</v>
      </c>
      <c r="AO18" s="8" t="s">
        <v>784</v>
      </c>
      <c r="AP18" s="8" t="s">
        <v>785</v>
      </c>
    </row>
    <row r="19" customFormat="false" ht="15" hidden="false" customHeight="false" outlineLevel="0" collapsed="false">
      <c r="A19" s="0" t="s">
        <v>786</v>
      </c>
      <c r="C19" s="0" t="s">
        <v>787</v>
      </c>
      <c r="D19" s="0" t="s">
        <v>788</v>
      </c>
      <c r="E19" s="0" t="s">
        <v>789</v>
      </c>
      <c r="F19" s="0" t="s">
        <v>790</v>
      </c>
      <c r="G19" s="0" t="s">
        <v>791</v>
      </c>
      <c r="H19" s="0" t="s">
        <v>792</v>
      </c>
      <c r="I19" s="0" t="s">
        <v>793</v>
      </c>
      <c r="J19" s="0" t="s">
        <v>794</v>
      </c>
      <c r="K19" s="0" t="s">
        <v>795</v>
      </c>
      <c r="L19" s="0" t="s">
        <v>796</v>
      </c>
      <c r="M19" s="0" t="s">
        <v>797</v>
      </c>
      <c r="N19" s="0" t="s">
        <v>798</v>
      </c>
      <c r="O19" s="0" t="s">
        <v>799</v>
      </c>
      <c r="P19" s="0" t="s">
        <v>800</v>
      </c>
      <c r="Q19" s="0" t="s">
        <v>801</v>
      </c>
      <c r="R19" s="0" t="s">
        <v>802</v>
      </c>
      <c r="S19" s="0" t="s">
        <v>803</v>
      </c>
      <c r="T19" s="0" t="s">
        <v>804</v>
      </c>
      <c r="U19" s="0" t="s">
        <v>805</v>
      </c>
      <c r="V19" s="0" t="s">
        <v>806</v>
      </c>
      <c r="W19" s="0" t="s">
        <v>807</v>
      </c>
      <c r="X19" s="0" t="s">
        <v>808</v>
      </c>
      <c r="Y19" s="0" t="s">
        <v>809</v>
      </c>
      <c r="Z19" s="0" t="s">
        <v>810</v>
      </c>
      <c r="AA19" s="0" t="s">
        <v>811</v>
      </c>
      <c r="AB19" s="0" t="s">
        <v>812</v>
      </c>
      <c r="AC19" s="0" t="s">
        <v>813</v>
      </c>
      <c r="AD19" s="0" t="s">
        <v>814</v>
      </c>
      <c r="AE19" s="0" t="s">
        <v>815</v>
      </c>
      <c r="AF19" s="0" t="s">
        <v>816</v>
      </c>
      <c r="AG19" s="0" t="s">
        <v>817</v>
      </c>
      <c r="AH19" s="0" t="s">
        <v>818</v>
      </c>
      <c r="AI19" s="0" t="s">
        <v>819</v>
      </c>
      <c r="AJ19" s="0" t="s">
        <v>820</v>
      </c>
      <c r="AK19" s="0" t="s">
        <v>821</v>
      </c>
      <c r="AL19" s="0" t="s">
        <v>822</v>
      </c>
      <c r="AN19" s="0" t="s">
        <v>823</v>
      </c>
      <c r="AO19" s="0" t="s">
        <v>824</v>
      </c>
      <c r="AP19" s="0" t="s">
        <v>825</v>
      </c>
    </row>
    <row r="20" customFormat="false" ht="15" hidden="false" customHeight="false" outlineLevel="0" collapsed="false">
      <c r="A20" s="0" t="s">
        <v>826</v>
      </c>
      <c r="C20" s="0" t="n">
        <f aca="false">INT((C18-1)/12)+1</f>
        <v>1</v>
      </c>
      <c r="D20" s="0" t="n">
        <f aca="false">INT((D18-1)/12)+1</f>
        <v>1</v>
      </c>
      <c r="E20" s="0" t="n">
        <f aca="false">INT((E18-1)/12)+1</f>
        <v>1</v>
      </c>
      <c r="F20" s="0" t="n">
        <f aca="false">INT((F18-1)/12)+1</f>
        <v>1</v>
      </c>
      <c r="G20" s="0" t="n">
        <f aca="false">INT((G18-1)/12)+1</f>
        <v>1</v>
      </c>
      <c r="H20" s="0" t="n">
        <f aca="false">INT((H18-1)/12)+1</f>
        <v>1</v>
      </c>
      <c r="I20" s="0" t="n">
        <f aca="false">INT((I18-1)/12)+1</f>
        <v>1</v>
      </c>
      <c r="J20" s="0" t="n">
        <f aca="false">INT((J18-1)/12)+1</f>
        <v>1</v>
      </c>
      <c r="K20" s="0" t="n">
        <f aca="false">INT((K18-1)/12)+1</f>
        <v>1</v>
      </c>
      <c r="L20" s="0" t="n">
        <f aca="false">INT((L18-1)/12)+1</f>
        <v>1</v>
      </c>
      <c r="M20" s="0" t="n">
        <f aca="false">INT((M18-1)/12)+1</f>
        <v>1</v>
      </c>
      <c r="N20" s="0" t="n">
        <f aca="false">INT((N18-1)/12)+1</f>
        <v>1</v>
      </c>
      <c r="O20" s="0" t="n">
        <f aca="false">INT((O18-1)/12)+1</f>
        <v>2</v>
      </c>
      <c r="P20" s="0" t="n">
        <f aca="false">INT((P18-1)/12)+1</f>
        <v>2</v>
      </c>
      <c r="Q20" s="0" t="n">
        <f aca="false">INT((Q18-1)/12)+1</f>
        <v>2</v>
      </c>
      <c r="R20" s="0" t="n">
        <f aca="false">INT((R18-1)/12)+1</f>
        <v>2</v>
      </c>
      <c r="S20" s="0" t="n">
        <f aca="false">INT((S18-1)/12)+1</f>
        <v>2</v>
      </c>
      <c r="T20" s="0" t="n">
        <f aca="false">INT((T18-1)/12)+1</f>
        <v>2</v>
      </c>
      <c r="U20" s="0" t="n">
        <f aca="false">INT((U18-1)/12)+1</f>
        <v>2</v>
      </c>
      <c r="V20" s="0" t="n">
        <f aca="false">INT((V18-1)/12)+1</f>
        <v>2</v>
      </c>
      <c r="W20" s="0" t="n">
        <f aca="false">INT((W18-1)/12)+1</f>
        <v>2</v>
      </c>
      <c r="X20" s="0" t="n">
        <f aca="false">INT((X18-1)/12)+1</f>
        <v>2</v>
      </c>
      <c r="Y20" s="0" t="n">
        <f aca="false">INT((Y18-1)/12)+1</f>
        <v>2</v>
      </c>
      <c r="Z20" s="0" t="n">
        <f aca="false">INT((Z18-1)/12)+1</f>
        <v>2</v>
      </c>
      <c r="AA20" s="0" t="n">
        <f aca="false">INT((AA18-1)/12)+1</f>
        <v>3</v>
      </c>
      <c r="AB20" s="0" t="n">
        <f aca="false">INT((AB18-1)/12)+1</f>
        <v>3</v>
      </c>
      <c r="AC20" s="0" t="n">
        <f aca="false">INT((AC18-1)/12)+1</f>
        <v>3</v>
      </c>
      <c r="AD20" s="0" t="n">
        <f aca="false">INT((AD18-1)/12)+1</f>
        <v>3</v>
      </c>
      <c r="AE20" s="0" t="n">
        <f aca="false">INT((AE18-1)/12)+1</f>
        <v>3</v>
      </c>
      <c r="AF20" s="0" t="n">
        <f aca="false">INT((AF18-1)/12)+1</f>
        <v>3</v>
      </c>
      <c r="AG20" s="0" t="n">
        <f aca="false">INT((AG18-1)/12)+1</f>
        <v>3</v>
      </c>
      <c r="AH20" s="0" t="n">
        <f aca="false">INT((AH18-1)/12)+1</f>
        <v>3</v>
      </c>
      <c r="AI20" s="0" t="n">
        <f aca="false">INT((AI18-1)/12)+1</f>
        <v>3</v>
      </c>
      <c r="AJ20" s="0" t="n">
        <f aca="false">INT((AJ18-1)/12)+1</f>
        <v>3</v>
      </c>
      <c r="AK20" s="0" t="n">
        <f aca="false">INT((AK18-1)/12)+1</f>
        <v>3</v>
      </c>
      <c r="AL20" s="0" t="n">
        <f aca="false">INT((AL18-1)/12)+1</f>
        <v>3</v>
      </c>
    </row>
    <row r="21" customFormat="false" ht="15" hidden="false" customHeight="false" outlineLevel="0" collapsed="false">
      <c r="A21" s="0" t="s">
        <v>827</v>
      </c>
      <c r="C21" s="0" t="n">
        <f aca="false">MOD(C18-1,12)+1</f>
        <v>1</v>
      </c>
      <c r="D21" s="0" t="n">
        <f aca="false">MOD(D18-1,12)+1</f>
        <v>2</v>
      </c>
      <c r="E21" s="0" t="n">
        <f aca="false">MOD(E18-1,12)+1</f>
        <v>3</v>
      </c>
      <c r="F21" s="0" t="n">
        <f aca="false">MOD(F18-1,12)+1</f>
        <v>4</v>
      </c>
      <c r="G21" s="0" t="n">
        <f aca="false">MOD(G18-1,12)+1</f>
        <v>5</v>
      </c>
      <c r="H21" s="0" t="n">
        <f aca="false">MOD(H18-1,12)+1</f>
        <v>6</v>
      </c>
      <c r="I21" s="0" t="n">
        <f aca="false">MOD(I18-1,12)+1</f>
        <v>7</v>
      </c>
      <c r="J21" s="0" t="n">
        <f aca="false">MOD(J18-1,12)+1</f>
        <v>8</v>
      </c>
      <c r="K21" s="0" t="n">
        <f aca="false">MOD(K18-1,12)+1</f>
        <v>9</v>
      </c>
      <c r="L21" s="0" t="n">
        <f aca="false">MOD(L18-1,12)+1</f>
        <v>10</v>
      </c>
      <c r="M21" s="0" t="n">
        <f aca="false">MOD(M18-1,12)+1</f>
        <v>11</v>
      </c>
      <c r="N21" s="0" t="n">
        <f aca="false">MOD(N18-1,12)+1</f>
        <v>12</v>
      </c>
      <c r="O21" s="0" t="n">
        <f aca="false">MOD(O18-1,12)+1</f>
        <v>1</v>
      </c>
      <c r="P21" s="0" t="n">
        <f aca="false">MOD(P18-1,12)+1</f>
        <v>2</v>
      </c>
      <c r="Q21" s="0" t="n">
        <f aca="false">MOD(Q18-1,12)+1</f>
        <v>3</v>
      </c>
      <c r="R21" s="0" t="n">
        <f aca="false">MOD(R18-1,12)+1</f>
        <v>4</v>
      </c>
      <c r="S21" s="0" t="n">
        <f aca="false">MOD(S18-1,12)+1</f>
        <v>5</v>
      </c>
      <c r="T21" s="0" t="n">
        <f aca="false">MOD(T18-1,12)+1</f>
        <v>6</v>
      </c>
      <c r="U21" s="0" t="n">
        <f aca="false">MOD(U18-1,12)+1</f>
        <v>7</v>
      </c>
      <c r="V21" s="0" t="n">
        <f aca="false">MOD(V18-1,12)+1</f>
        <v>8</v>
      </c>
      <c r="W21" s="0" t="n">
        <f aca="false">MOD(W18-1,12)+1</f>
        <v>9</v>
      </c>
      <c r="X21" s="0" t="n">
        <f aca="false">MOD(X18-1,12)+1</f>
        <v>10</v>
      </c>
      <c r="Y21" s="0" t="n">
        <f aca="false">MOD(Y18-1,12)+1</f>
        <v>11</v>
      </c>
      <c r="Z21" s="0" t="n">
        <f aca="false">MOD(Z18-1,12)+1</f>
        <v>12</v>
      </c>
      <c r="AA21" s="0" t="n">
        <f aca="false">MOD(AA18-1,12)+1</f>
        <v>1</v>
      </c>
      <c r="AB21" s="0" t="n">
        <f aca="false">MOD(AB18-1,12)+1</f>
        <v>2</v>
      </c>
      <c r="AC21" s="0" t="n">
        <f aca="false">MOD(AC18-1,12)+1</f>
        <v>3</v>
      </c>
      <c r="AD21" s="0" t="n">
        <f aca="false">MOD(AD18-1,12)+1</f>
        <v>4</v>
      </c>
      <c r="AE21" s="0" t="n">
        <f aca="false">MOD(AE18-1,12)+1</f>
        <v>5</v>
      </c>
      <c r="AF21" s="0" t="n">
        <f aca="false">MOD(AF18-1,12)+1</f>
        <v>6</v>
      </c>
      <c r="AG21" s="0" t="n">
        <f aca="false">MOD(AG18-1,12)+1</f>
        <v>7</v>
      </c>
      <c r="AH21" s="0" t="n">
        <f aca="false">MOD(AH18-1,12)+1</f>
        <v>8</v>
      </c>
      <c r="AI21" s="0" t="n">
        <f aca="false">MOD(AI18-1,12)+1</f>
        <v>9</v>
      </c>
      <c r="AJ21" s="0" t="n">
        <f aca="false">MOD(AJ18-1,12)+1</f>
        <v>10</v>
      </c>
      <c r="AK21" s="0" t="n">
        <f aca="false">MOD(AK18-1,12)+1</f>
        <v>11</v>
      </c>
      <c r="AL21" s="0" t="n">
        <f aca="false">MOD(AL18-1,12)+1</f>
        <v>12</v>
      </c>
    </row>
    <row r="23" customFormat="false" ht="15" hidden="false" customHeight="false" outlineLevel="0" collapsed="false">
      <c r="A23" s="21" t="s">
        <v>828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</row>
    <row r="24" customFormat="false" ht="15" hidden="false" customHeight="false" outlineLevel="0" collapsed="false">
      <c r="A24" s="0" t="s">
        <v>829</v>
      </c>
      <c r="B24" s="0" t="s">
        <v>500</v>
      </c>
      <c r="C24" s="9" t="n">
        <f aca="false">IF((C$18=1),Assumptions!$C$16,(0*(1+Assumptions!$C$133)))</f>
        <v>1200</v>
      </c>
      <c r="D24" s="9" t="n">
        <f aca="false">IF((D$18=1),Assumptions!$C$16,(C24*(1+Assumptions!$C$133)))</f>
        <v>1272</v>
      </c>
      <c r="E24" s="9" t="n">
        <f aca="false">IF((E$18=1),Assumptions!$C$16,(D24*(1+Assumptions!$C$133)))</f>
        <v>1348.32</v>
      </c>
      <c r="F24" s="9" t="n">
        <f aca="false">IF((F$18=1),Assumptions!$C$16,(E24*(1+Assumptions!$C$133)))</f>
        <v>1429.2192</v>
      </c>
      <c r="G24" s="9" t="n">
        <f aca="false">IF((G$18=1),Assumptions!$C$16,(F24*(1+Assumptions!$C$133)))</f>
        <v>1514.972352</v>
      </c>
      <c r="H24" s="9" t="n">
        <f aca="false">IF((H$18=1),Assumptions!$C$16,(G24*(1+Assumptions!$C$133)))</f>
        <v>1605.87069312</v>
      </c>
      <c r="I24" s="9" t="n">
        <f aca="false">IF((I$18=1),Assumptions!$C$16,(H24*(1+Assumptions!$C$133)))</f>
        <v>1702.2229347072</v>
      </c>
      <c r="J24" s="9" t="n">
        <f aca="false">IF((J$18=1),Assumptions!$C$16,(I24*(1+Assumptions!$C$133)))</f>
        <v>1804.35631078963</v>
      </c>
      <c r="K24" s="9" t="n">
        <f aca="false">IF((K$18=1),Assumptions!$C$16,(J24*(1+Assumptions!$C$133)))</f>
        <v>1912.61768943701</v>
      </c>
      <c r="L24" s="9" t="n">
        <f aca="false">IF((L$18=1),Assumptions!$C$16,(K24*(1+Assumptions!$C$133)))</f>
        <v>2027.37475080323</v>
      </c>
      <c r="M24" s="9" t="n">
        <f aca="false">IF((M$18=1),Assumptions!$C$16,(L24*(1+Assumptions!$C$133)))</f>
        <v>2149.01723585143</v>
      </c>
      <c r="N24" s="9" t="n">
        <f aca="false">IF((N$18=1),Assumptions!$C$16,(M24*(1+Assumptions!$C$133)))</f>
        <v>2277.95827000251</v>
      </c>
      <c r="O24" s="9" t="n">
        <f aca="false">IF((O$18=1),Assumptions!$C$16,(N24*(1+Assumptions!$D$133)))</f>
        <v>2369.07660080261</v>
      </c>
      <c r="P24" s="9" t="n">
        <f aca="false">IF((P$18=1),Assumptions!$C$16,(O24*(1+Assumptions!$D$133)))</f>
        <v>2463.83966483472</v>
      </c>
      <c r="Q24" s="9" t="n">
        <f aca="false">IF((Q$18=1),Assumptions!$C$16,(P24*(1+Assumptions!$D$133)))</f>
        <v>2562.39325142811</v>
      </c>
      <c r="R24" s="9" t="n">
        <f aca="false">IF((R$18=1),Assumptions!$C$16,(Q24*(1+Assumptions!$D$133)))</f>
        <v>2664.88898148523</v>
      </c>
      <c r="S24" s="9" t="n">
        <f aca="false">IF((S$18=1),Assumptions!$C$16,(R24*(1+Assumptions!$D$133)))</f>
        <v>2771.48454074464</v>
      </c>
      <c r="T24" s="9" t="n">
        <f aca="false">IF((T$18=1),Assumptions!$C$16,(S24*(1+Assumptions!$D$133)))</f>
        <v>2882.34392237442</v>
      </c>
      <c r="U24" s="9" t="n">
        <f aca="false">IF((U$18=1),Assumptions!$C$16,(T24*(1+Assumptions!$D$133)))</f>
        <v>2997.6376792694</v>
      </c>
      <c r="V24" s="9" t="n">
        <f aca="false">IF((V$18=1),Assumptions!$C$16,(U24*(1+Assumptions!$D$133)))</f>
        <v>3117.54318644018</v>
      </c>
      <c r="W24" s="9" t="n">
        <f aca="false">IF((W$18=1),Assumptions!$C$16,(V24*(1+Assumptions!$D$133)))</f>
        <v>3242.24491389778</v>
      </c>
      <c r="X24" s="9" t="n">
        <f aca="false">IF((X$18=1),Assumptions!$C$16,(W24*(1+Assumptions!$D$133)))</f>
        <v>3371.9347104537</v>
      </c>
      <c r="Y24" s="9" t="n">
        <f aca="false">IF((Y$18=1),Assumptions!$C$16,(X24*(1+Assumptions!$D$133)))</f>
        <v>3506.81209887184</v>
      </c>
      <c r="Z24" s="9" t="n">
        <f aca="false">IF((Z$18=1),Assumptions!$C$16,(Y24*(1+Assumptions!$D$133)))</f>
        <v>3647.08458282672</v>
      </c>
      <c r="AA24" s="9" t="n">
        <f aca="false">IF((AA$18=1),Assumptions!$C$16,(Z24*(1+Assumptions!$E$133)))</f>
        <v>3738.26169739739</v>
      </c>
      <c r="AB24" s="9" t="n">
        <f aca="false">IF((AB$18=1),Assumptions!$C$16,(AA24*(1+Assumptions!$E$133)))</f>
        <v>3831.71823983232</v>
      </c>
      <c r="AC24" s="9" t="n">
        <f aca="false">IF((AC$18=1),Assumptions!$C$16,(AB24*(1+Assumptions!$E$133)))</f>
        <v>3927.51119582813</v>
      </c>
      <c r="AD24" s="9" t="n">
        <f aca="false">IF((AD$18=1),Assumptions!$C$16,(AC24*(1+Assumptions!$E$133)))</f>
        <v>4025.69897572383</v>
      </c>
      <c r="AE24" s="9" t="n">
        <f aca="false">IF((AE$18=1),Assumptions!$C$16,(AD24*(1+Assumptions!$E$133)))</f>
        <v>4126.34145011693</v>
      </c>
      <c r="AF24" s="9" t="n">
        <f aca="false">IF((AF$18=1),Assumptions!$C$16,(AE24*(1+Assumptions!$E$133)))</f>
        <v>4229.49998636985</v>
      </c>
      <c r="AG24" s="9" t="n">
        <f aca="false">IF((AG$18=1),Assumptions!$C$16,(AF24*(1+Assumptions!$E$133)))</f>
        <v>4335.2374860291</v>
      </c>
      <c r="AH24" s="9" t="n">
        <f aca="false">IF((AH$18=1),Assumptions!$C$16,(AG24*(1+Assumptions!$E$133)))</f>
        <v>4443.61842317982</v>
      </c>
      <c r="AI24" s="9" t="n">
        <f aca="false">IF((AI$18=1),Assumptions!$C$16,(AH24*(1+Assumptions!$E$133)))</f>
        <v>4554.70888375932</v>
      </c>
      <c r="AJ24" s="9" t="n">
        <f aca="false">IF((AJ$18=1),Assumptions!$C$16,(AI24*(1+Assumptions!$E$133)))</f>
        <v>4668.5766058533</v>
      </c>
      <c r="AK24" s="9" t="n">
        <f aca="false">IF((AK$18=1),Assumptions!$C$16,(AJ24*(1+Assumptions!$E$133)))</f>
        <v>4785.29102099963</v>
      </c>
      <c r="AL24" s="9" t="n">
        <f aca="false">IF((AL$18=1),Assumptions!$C$16,(AK24*(1+Assumptions!$E$133)))</f>
        <v>4904.92329652462</v>
      </c>
    </row>
    <row r="25" customFormat="false" ht="15" hidden="false" customHeight="false" outlineLevel="0" collapsed="false">
      <c r="A25" s="0" t="s">
        <v>830</v>
      </c>
      <c r="B25" s="0" t="s">
        <v>500</v>
      </c>
      <c r="C25" s="9" t="n">
        <f aca="false">(((C24*INDEX(Assumptions!$C$167:$C$178,C$21))*$C$4)*IF((C$18&lt;Assumptions!$C$5),Assumptions!$C$6,1))</f>
        <v>390</v>
      </c>
      <c r="D25" s="9" t="n">
        <f aca="false">(((D24*INDEX(Assumptions!$C$167:$C$178,D$21))*$C$4)*IF((D$18&lt;Assumptions!$C$5),Assumptions!$C$6,1))</f>
        <v>349.8</v>
      </c>
      <c r="E25" s="9" t="n">
        <f aca="false">(((E24*INDEX(Assumptions!$C$167:$C$178,E$21))*$C$4)*IF((E$18&lt;Assumptions!$C$5),Assumptions!$C$6,1))</f>
        <v>303.372</v>
      </c>
      <c r="F25" s="9" t="n">
        <f aca="false">(((F24*INDEX(Assumptions!$C$167:$C$178,F$21))*$C$4)*IF((F$18&lt;Assumptions!$C$5),Assumptions!$C$6,1))</f>
        <v>285.84384</v>
      </c>
      <c r="G25" s="9" t="n">
        <f aca="false">(((G24*INDEX(Assumptions!$C$167:$C$178,G$21))*$C$4)*IF((G$18&lt;Assumptions!$C$5),Assumptions!$C$6,1))</f>
        <v>227.2458528</v>
      </c>
      <c r="H25" s="9" t="n">
        <f aca="false">(((H24*INDEX(Assumptions!$C$167:$C$178,H$21))*$C$4)*IF((H$18&lt;Assumptions!$C$5),Assumptions!$C$6,1))</f>
        <v>200.73383664</v>
      </c>
      <c r="I25" s="9" t="n">
        <f aca="false">(((I24*INDEX(Assumptions!$C$167:$C$178,I$21))*$C$4)*IF((I$18&lt;Assumptions!$C$5),Assumptions!$C$6,1))</f>
        <v>297.88901357376</v>
      </c>
      <c r="J25" s="9" t="n">
        <f aca="false">(((J24*INDEX(Assumptions!$C$167:$C$178,J$21))*$C$4)*IF((J$18&lt;Assumptions!$C$5),Assumptions!$C$6,1))</f>
        <v>721.742524315853</v>
      </c>
      <c r="K25" s="9" t="n">
        <f aca="false">(((K24*INDEX(Assumptions!$C$167:$C$178,K$21))*$C$4)*IF((K$18&lt;Assumptions!$C$5),Assumptions!$C$6,1))</f>
        <v>860.677960246655</v>
      </c>
      <c r="L25" s="9" t="n">
        <f aca="false">(((L24*INDEX(Assumptions!$C$167:$C$178,L$21))*$C$4)*IF((L$18&lt;Assumptions!$C$5),Assumptions!$C$6,1))</f>
        <v>557.528056470889</v>
      </c>
      <c r="M25" s="9" t="n">
        <f aca="false">(((M24*INDEX(Assumptions!$C$167:$C$178,M$21))*$C$4)*IF((M$18&lt;Assumptions!$C$5),Assumptions!$C$6,1))</f>
        <v>483.528878066571</v>
      </c>
      <c r="N25" s="9" t="n">
        <f aca="false">(((N24*INDEX(Assumptions!$C$167:$C$178,N$21))*$C$4)*IF((N$18&lt;Assumptions!$C$5),Assumptions!$C$6,1))</f>
        <v>398.642697250439</v>
      </c>
      <c r="O25" s="9" t="n">
        <f aca="false">(((O24*INDEX(Assumptions!$C$167:$C$178,O$21))*$C$4)*IF((O$18&lt;Assumptions!$C$5),Assumptions!$C$6,1))</f>
        <v>3079.7995810434</v>
      </c>
      <c r="P25" s="9" t="n">
        <f aca="false">(((P24*INDEX(Assumptions!$C$167:$C$178,P$21))*$C$4)*IF((P$18&lt;Assumptions!$C$5),Assumptions!$C$6,1))</f>
        <v>2710.22363131819</v>
      </c>
      <c r="Q25" s="9" t="n">
        <f aca="false">(((Q24*INDEX(Assumptions!$C$167:$C$178,Q$21))*$C$4)*IF((Q$18&lt;Assumptions!$C$5),Assumptions!$C$6,1))</f>
        <v>2306.1539262853</v>
      </c>
      <c r="R25" s="9" t="n">
        <f aca="false">(((R24*INDEX(Assumptions!$C$167:$C$178,R$21))*$C$4)*IF((R$18&lt;Assumptions!$C$5),Assumptions!$C$6,1))</f>
        <v>2131.91118518818</v>
      </c>
      <c r="S25" s="9" t="n">
        <f aca="false">(((S24*INDEX(Assumptions!$C$167:$C$178,S$21))*$C$4)*IF((S$18&lt;Assumptions!$C$5),Assumptions!$C$6,1))</f>
        <v>1662.89072444678</v>
      </c>
      <c r="T25" s="9" t="n">
        <f aca="false">(((T24*INDEX(Assumptions!$C$167:$C$178,T$21))*$C$4)*IF((T$18&lt;Assumptions!$C$5),Assumptions!$C$6,1))</f>
        <v>1441.17196118721</v>
      </c>
      <c r="U25" s="9" t="n">
        <f aca="false">(((U24*INDEX(Assumptions!$C$167:$C$178,U$21))*$C$4)*IF((U$18&lt;Assumptions!$C$5),Assumptions!$C$6,1))</f>
        <v>2098.34637548858</v>
      </c>
      <c r="V25" s="9" t="n">
        <f aca="false">(((V24*INDEX(Assumptions!$C$167:$C$178,V$21))*$C$4)*IF((V$18&lt;Assumptions!$C$5),Assumptions!$C$6,1))</f>
        <v>4988.06909830428</v>
      </c>
      <c r="W25" s="9" t="n">
        <f aca="false">(((W24*INDEX(Assumptions!$C$167:$C$178,W$21))*$C$4)*IF((W$18&lt;Assumptions!$C$5),Assumptions!$C$6,1))</f>
        <v>5836.04084501601</v>
      </c>
      <c r="X25" s="9" t="n">
        <f aca="false">(((X24*INDEX(Assumptions!$C$167:$C$178,X$21))*$C$4)*IF((X$18&lt;Assumptions!$C$5),Assumptions!$C$6,1))</f>
        <v>3709.12818149907</v>
      </c>
      <c r="Y25" s="9" t="n">
        <f aca="false">(((Y24*INDEX(Assumptions!$C$167:$C$178,Y$21))*$C$4)*IF((Y$18&lt;Assumptions!$C$5),Assumptions!$C$6,1))</f>
        <v>3156.13088898466</v>
      </c>
      <c r="Z25" s="9" t="n">
        <f aca="false">(((Z24*INDEX(Assumptions!$C$167:$C$178,Z$21))*$C$4)*IF((Z$18&lt;Assumptions!$C$5),Assumptions!$C$6,1))</f>
        <v>2552.9592079787</v>
      </c>
      <c r="AA25" s="9" t="n">
        <f aca="false">(((AA24*INDEX(Assumptions!$C$167:$C$178,AA$21))*$C$4)*IF((AA$18&lt;Assumptions!$C$5),Assumptions!$C$6,1))</f>
        <v>4859.7402066166</v>
      </c>
      <c r="AB25" s="9" t="n">
        <f aca="false">(((AB24*INDEX(Assumptions!$C$167:$C$178,AB$21))*$C$4)*IF((AB$18&lt;Assumptions!$C$5),Assumptions!$C$6,1))</f>
        <v>4214.89006381555</v>
      </c>
      <c r="AC25" s="9" t="n">
        <f aca="false">(((AC24*INDEX(Assumptions!$C$167:$C$178,AC$21))*$C$4)*IF((AC$18&lt;Assumptions!$C$5),Assumptions!$C$6,1))</f>
        <v>3534.76007624531</v>
      </c>
      <c r="AD25" s="9" t="n">
        <f aca="false">(((AD24*INDEX(Assumptions!$C$167:$C$178,AD$21))*$C$4)*IF((AD$18&lt;Assumptions!$C$5),Assumptions!$C$6,1))</f>
        <v>3220.55918057906</v>
      </c>
      <c r="AE25" s="9" t="n">
        <f aca="false">(((AE24*INDEX(Assumptions!$C$167:$C$178,AE$21))*$C$4)*IF((AE$18&lt;Assumptions!$C$5),Assumptions!$C$6,1))</f>
        <v>2475.80487007016</v>
      </c>
      <c r="AF25" s="9" t="n">
        <f aca="false">(((AF24*INDEX(Assumptions!$C$167:$C$178,AF$21))*$C$4)*IF((AF$18&lt;Assumptions!$C$5),Assumptions!$C$6,1))</f>
        <v>2114.74999318492</v>
      </c>
      <c r="AG25" s="9" t="n">
        <f aca="false">(((AG24*INDEX(Assumptions!$C$167:$C$178,AG$21))*$C$4)*IF((AG$18&lt;Assumptions!$C$5),Assumptions!$C$6,1))</f>
        <v>3034.66624022037</v>
      </c>
      <c r="AH25" s="9" t="n">
        <f aca="false">(((AH24*INDEX(Assumptions!$C$167:$C$178,AH$21))*$C$4)*IF((AH$18&lt;Assumptions!$C$5),Assumptions!$C$6,1))</f>
        <v>7109.78947708772</v>
      </c>
      <c r="AI25" s="9" t="n">
        <f aca="false">(((AI24*INDEX(Assumptions!$C$167:$C$178,AI$21))*$C$4)*IF((AI$18&lt;Assumptions!$C$5),Assumptions!$C$6,1))</f>
        <v>8198.47599076677</v>
      </c>
      <c r="AJ25" s="9" t="n">
        <f aca="false">(((AJ24*INDEX(Assumptions!$C$167:$C$178,AJ$21))*$C$4)*IF((AJ$18&lt;Assumptions!$C$5),Assumptions!$C$6,1))</f>
        <v>5135.43426643863</v>
      </c>
      <c r="AK25" s="9" t="n">
        <f aca="false">(((AK24*INDEX(Assumptions!$C$167:$C$178,AK$21))*$C$4)*IF((AK$18&lt;Assumptions!$C$5),Assumptions!$C$6,1))</f>
        <v>4306.76191889967</v>
      </c>
      <c r="AL25" s="9" t="n">
        <f aca="false">(((AL24*INDEX(Assumptions!$C$167:$C$178,AL$21))*$C$4)*IF((AL$18&lt;Assumptions!$C$5),Assumptions!$C$6,1))</f>
        <v>3433.44630756723</v>
      </c>
      <c r="AN25" s="11" t="n">
        <f aca="false">SUM(C25:N25)</f>
        <v>5077.00465936417</v>
      </c>
      <c r="AO25" s="11" t="n">
        <f aca="false">SUM(O25:Z25)</f>
        <v>35672.8256067404</v>
      </c>
      <c r="AP25" s="11" t="n">
        <f aca="false">SUM(AA25:AL25)</f>
        <v>51639.078591492</v>
      </c>
    </row>
    <row r="26" customFormat="false" ht="15" hidden="false" customHeight="false" outlineLevel="0" collapsed="false">
      <c r="A26" s="0" t="s">
        <v>831</v>
      </c>
      <c r="B26" s="0" t="s">
        <v>500</v>
      </c>
      <c r="C26" s="9" t="n">
        <f aca="false">IF((C$18&gt;=Assumptions!$C$5),(Assumptions!$C$134/(Assumptions!$C$17*$C$11)),0)</f>
        <v>0</v>
      </c>
      <c r="D26" s="9" t="n">
        <f aca="false">IF((D$18&gt;=Assumptions!$C$5),(Assumptions!$C$134/(Assumptions!$C$17*$C$11)),0)</f>
        <v>0</v>
      </c>
      <c r="E26" s="9" t="n">
        <f aca="false">IF((E$18&gt;=Assumptions!$C$5),(Assumptions!$C$134/(Assumptions!$C$17*$C$11)),0)</f>
        <v>0</v>
      </c>
      <c r="F26" s="9" t="n">
        <f aca="false">IF((F$18&gt;=Assumptions!$C$5),(Assumptions!$C$134/(Assumptions!$C$17*$C$11)),0)</f>
        <v>0</v>
      </c>
      <c r="G26" s="9" t="n">
        <f aca="false">IF((G$18&gt;=Assumptions!$C$5),(Assumptions!$C$134/(Assumptions!$C$17*$C$11)),0)</f>
        <v>0</v>
      </c>
      <c r="H26" s="9" t="n">
        <f aca="false">IF((H$18&gt;=Assumptions!$C$5),(Assumptions!$C$134/(Assumptions!$C$17*$C$11)),0)</f>
        <v>0</v>
      </c>
      <c r="I26" s="9" t="n">
        <f aca="false">IF((I$18&gt;=Assumptions!$C$5),(Assumptions!$C$134/(Assumptions!$C$17*$C$11)),0)</f>
        <v>0</v>
      </c>
      <c r="J26" s="9" t="n">
        <f aca="false">IF((J$18&gt;=Assumptions!$C$5),(Assumptions!$C$134/(Assumptions!$C$17*$C$11)),0)</f>
        <v>0</v>
      </c>
      <c r="K26" s="9" t="n">
        <f aca="false">IF((K$18&gt;=Assumptions!$C$5),(Assumptions!$C$134/(Assumptions!$C$17*$C$11)),0)</f>
        <v>0</v>
      </c>
      <c r="L26" s="9" t="n">
        <f aca="false">IF((L$18&gt;=Assumptions!$C$5),(Assumptions!$C$134/(Assumptions!$C$17*$C$11)),0)</f>
        <v>0</v>
      </c>
      <c r="M26" s="9" t="n">
        <f aca="false">IF((M$18&gt;=Assumptions!$C$5),(Assumptions!$C$134/(Assumptions!$C$17*$C$11)),0)</f>
        <v>0</v>
      </c>
      <c r="N26" s="9" t="n">
        <f aca="false">IF((N$18&gt;=Assumptions!$C$5),(Assumptions!$C$134/(Assumptions!$C$17*$C$11)),0)</f>
        <v>0</v>
      </c>
      <c r="O26" s="9" t="n">
        <f aca="false">IF((O$18&gt;=Assumptions!$C$5),(Assumptions!$D$134/(Assumptions!$C$17*$C$11)),0)</f>
        <v>1000</v>
      </c>
      <c r="P26" s="9" t="n">
        <f aca="false">IF((P$18&gt;=Assumptions!$C$5),(Assumptions!$D$134/(Assumptions!$C$17*$C$11)),0)</f>
        <v>1000</v>
      </c>
      <c r="Q26" s="9" t="n">
        <f aca="false">IF((Q$18&gt;=Assumptions!$C$5),(Assumptions!$D$134/(Assumptions!$C$17*$C$11)),0)</f>
        <v>1000</v>
      </c>
      <c r="R26" s="9" t="n">
        <f aca="false">IF((R$18&gt;=Assumptions!$C$5),(Assumptions!$D$134/(Assumptions!$C$17*$C$11)),0)</f>
        <v>1000</v>
      </c>
      <c r="S26" s="9" t="n">
        <f aca="false">IF((S$18&gt;=Assumptions!$C$5),(Assumptions!$D$134/(Assumptions!$C$17*$C$11)),0)</f>
        <v>1000</v>
      </c>
      <c r="T26" s="9" t="n">
        <f aca="false">IF((T$18&gt;=Assumptions!$C$5),(Assumptions!$D$134/(Assumptions!$C$17*$C$11)),0)</f>
        <v>1000</v>
      </c>
      <c r="U26" s="9" t="n">
        <f aca="false">IF((U$18&gt;=Assumptions!$C$5),(Assumptions!$D$134/(Assumptions!$C$17*$C$11)),0)</f>
        <v>1000</v>
      </c>
      <c r="V26" s="9" t="n">
        <f aca="false">IF((V$18&gt;=Assumptions!$C$5),(Assumptions!$D$134/(Assumptions!$C$17*$C$11)),0)</f>
        <v>1000</v>
      </c>
      <c r="W26" s="9" t="n">
        <f aca="false">IF((W$18&gt;=Assumptions!$C$5),(Assumptions!$D$134/(Assumptions!$C$17*$C$11)),0)</f>
        <v>1000</v>
      </c>
      <c r="X26" s="9" t="n">
        <f aca="false">IF((X$18&gt;=Assumptions!$C$5),(Assumptions!$D$134/(Assumptions!$C$17*$C$11)),0)</f>
        <v>1000</v>
      </c>
      <c r="Y26" s="9" t="n">
        <f aca="false">IF((Y$18&gt;=Assumptions!$C$5),(Assumptions!$D$134/(Assumptions!$C$17*$C$11)),0)</f>
        <v>1000</v>
      </c>
      <c r="Z26" s="9" t="n">
        <f aca="false">IF((Z$18&gt;=Assumptions!$C$5),(Assumptions!$D$134/(Assumptions!$C$17*$C$11)),0)</f>
        <v>1000</v>
      </c>
      <c r="AA26" s="9" t="n">
        <f aca="false">IF((AA$18&gt;=Assumptions!$C$5),(Assumptions!$E$134/(Assumptions!$C$17*$C$11)),0)</f>
        <v>1666.66666666667</v>
      </c>
      <c r="AB26" s="9" t="n">
        <f aca="false">IF((AB$18&gt;=Assumptions!$C$5),(Assumptions!$E$134/(Assumptions!$C$17*$C$11)),0)</f>
        <v>1666.66666666667</v>
      </c>
      <c r="AC26" s="9" t="n">
        <f aca="false">IF((AC$18&gt;=Assumptions!$C$5),(Assumptions!$E$134/(Assumptions!$C$17*$C$11)),0)</f>
        <v>1666.66666666667</v>
      </c>
      <c r="AD26" s="9" t="n">
        <f aca="false">IF((AD$18&gt;=Assumptions!$C$5),(Assumptions!$E$134/(Assumptions!$C$17*$C$11)),0)</f>
        <v>1666.66666666667</v>
      </c>
      <c r="AE26" s="9" t="n">
        <f aca="false">IF((AE$18&gt;=Assumptions!$C$5),(Assumptions!$E$134/(Assumptions!$C$17*$C$11)),0)</f>
        <v>1666.66666666667</v>
      </c>
      <c r="AF26" s="9" t="n">
        <f aca="false">IF((AF$18&gt;=Assumptions!$C$5),(Assumptions!$E$134/(Assumptions!$C$17*$C$11)),0)</f>
        <v>1666.66666666667</v>
      </c>
      <c r="AG26" s="9" t="n">
        <f aca="false">IF((AG$18&gt;=Assumptions!$C$5),(Assumptions!$E$134/(Assumptions!$C$17*$C$11)),0)</f>
        <v>1666.66666666667</v>
      </c>
      <c r="AH26" s="9" t="n">
        <f aca="false">IF((AH$18&gt;=Assumptions!$C$5),(Assumptions!$E$134/(Assumptions!$C$17*$C$11)),0)</f>
        <v>1666.66666666667</v>
      </c>
      <c r="AI26" s="9" t="n">
        <f aca="false">IF((AI$18&gt;=Assumptions!$C$5),(Assumptions!$E$134/(Assumptions!$C$17*$C$11)),0)</f>
        <v>1666.66666666667</v>
      </c>
      <c r="AJ26" s="9" t="n">
        <f aca="false">IF((AJ$18&gt;=Assumptions!$C$5),(Assumptions!$E$134/(Assumptions!$C$17*$C$11)),0)</f>
        <v>1666.66666666667</v>
      </c>
      <c r="AK26" s="9" t="n">
        <f aca="false">IF((AK$18&gt;=Assumptions!$C$5),(Assumptions!$E$134/(Assumptions!$C$17*$C$11)),0)</f>
        <v>1666.66666666667</v>
      </c>
      <c r="AL26" s="9" t="n">
        <f aca="false">IF((AL$18&gt;=Assumptions!$C$5),(Assumptions!$E$134/(Assumptions!$C$17*$C$11)),0)</f>
        <v>1666.66666666667</v>
      </c>
      <c r="AN26" s="11" t="n">
        <f aca="false">SUM(C26:N26)</f>
        <v>0</v>
      </c>
      <c r="AO26" s="11" t="n">
        <f aca="false">SUM(O26:Z26)</f>
        <v>12000</v>
      </c>
      <c r="AP26" s="11" t="n">
        <f aca="false">SUM(AA26:AL26)</f>
        <v>20000</v>
      </c>
    </row>
    <row r="27" customFormat="false" ht="15" hidden="false" customHeight="false" outlineLevel="0" collapsed="false">
      <c r="A27" s="0" t="s">
        <v>832</v>
      </c>
      <c r="B27" s="0" t="s">
        <v>500</v>
      </c>
      <c r="C27" s="9" t="n">
        <f aca="false">((C25+C26)*Assumptions!$C$18)</f>
        <v>234</v>
      </c>
      <c r="D27" s="9" t="n">
        <f aca="false">((D25+D26)*Assumptions!$C$18)</f>
        <v>209.88</v>
      </c>
      <c r="E27" s="9" t="n">
        <f aca="false">((E25+E26)*Assumptions!$C$18)</f>
        <v>182.0232</v>
      </c>
      <c r="F27" s="9" t="n">
        <f aca="false">((F25+F26)*Assumptions!$C$18)</f>
        <v>171.506304</v>
      </c>
      <c r="G27" s="9" t="n">
        <f aca="false">((G25+G26)*Assumptions!$C$18)</f>
        <v>136.34751168</v>
      </c>
      <c r="H27" s="9" t="n">
        <f aca="false">((H25+H26)*Assumptions!$C$18)</f>
        <v>120.440301984</v>
      </c>
      <c r="I27" s="9" t="n">
        <f aca="false">((I25+I26)*Assumptions!$C$18)</f>
        <v>178.733408144256</v>
      </c>
      <c r="J27" s="9" t="n">
        <f aca="false">((J25+J26)*Assumptions!$C$18)</f>
        <v>433.045514589512</v>
      </c>
      <c r="K27" s="9" t="n">
        <f aca="false">((K25+K26)*Assumptions!$C$18)</f>
        <v>516.406776147993</v>
      </c>
      <c r="L27" s="9" t="n">
        <f aca="false">((L25+L26)*Assumptions!$C$18)</f>
        <v>334.516833882533</v>
      </c>
      <c r="M27" s="9" t="n">
        <f aca="false">((M25+M26)*Assumptions!$C$18)</f>
        <v>290.117326839942</v>
      </c>
      <c r="N27" s="9" t="n">
        <f aca="false">((N25+N26)*Assumptions!$C$18)</f>
        <v>239.185618350264</v>
      </c>
      <c r="O27" s="9" t="n">
        <f aca="false">((O25+O26)*Assumptions!$C$18)</f>
        <v>2447.87974862604</v>
      </c>
      <c r="P27" s="9" t="n">
        <f aca="false">((P25+P26)*Assumptions!$C$18)</f>
        <v>2226.13417879091</v>
      </c>
      <c r="Q27" s="9" t="n">
        <f aca="false">((Q25+Q26)*Assumptions!$C$18)</f>
        <v>1983.69235577118</v>
      </c>
      <c r="R27" s="9" t="n">
        <f aca="false">((R25+R26)*Assumptions!$C$18)</f>
        <v>1879.14671111291</v>
      </c>
      <c r="S27" s="9" t="n">
        <f aca="false">((S25+S26)*Assumptions!$C$18)</f>
        <v>1597.73443466807</v>
      </c>
      <c r="T27" s="9" t="n">
        <f aca="false">((T25+T26)*Assumptions!$C$18)</f>
        <v>1464.70317671233</v>
      </c>
      <c r="U27" s="9" t="n">
        <f aca="false">((U25+U26)*Assumptions!$C$18)</f>
        <v>1859.00782529315</v>
      </c>
      <c r="V27" s="9" t="n">
        <f aca="false">((V25+V26)*Assumptions!$C$18)</f>
        <v>3592.84145898257</v>
      </c>
      <c r="W27" s="9" t="n">
        <f aca="false">((W25+W26)*Assumptions!$C$18)</f>
        <v>4101.62450700961</v>
      </c>
      <c r="X27" s="9" t="n">
        <f aca="false">((X25+X26)*Assumptions!$C$18)</f>
        <v>2825.47690889944</v>
      </c>
      <c r="Y27" s="9" t="n">
        <f aca="false">((Y25+Y26)*Assumptions!$C$18)</f>
        <v>2493.6785333908</v>
      </c>
      <c r="Z27" s="9" t="n">
        <f aca="false">((Z25+Z26)*Assumptions!$C$18)</f>
        <v>2131.77552478722</v>
      </c>
      <c r="AA27" s="9" t="n">
        <f aca="false">((AA25+AA26)*Assumptions!$C$18)</f>
        <v>3915.84412396996</v>
      </c>
      <c r="AB27" s="9" t="n">
        <f aca="false">((AB25+AB26)*Assumptions!$C$18)</f>
        <v>3528.93403828933</v>
      </c>
      <c r="AC27" s="9" t="n">
        <f aca="false">((AC25+AC26)*Assumptions!$C$18)</f>
        <v>3120.85604574719</v>
      </c>
      <c r="AD27" s="9" t="n">
        <f aca="false">((AD25+AD26)*Assumptions!$C$18)</f>
        <v>2932.33550834744</v>
      </c>
      <c r="AE27" s="9" t="n">
        <f aca="false">((AE25+AE26)*Assumptions!$C$18)</f>
        <v>2485.48292204209</v>
      </c>
      <c r="AF27" s="9" t="n">
        <f aca="false">((AF25+AF26)*Assumptions!$C$18)</f>
        <v>2268.84999591095</v>
      </c>
      <c r="AG27" s="9" t="n">
        <f aca="false">((AG25+AG26)*Assumptions!$C$18)</f>
        <v>2820.79974413222</v>
      </c>
      <c r="AH27" s="9" t="n">
        <f aca="false">((AH25+AH26)*Assumptions!$C$18)</f>
        <v>5265.87368625263</v>
      </c>
      <c r="AI27" s="9" t="n">
        <f aca="false">((AI25+AI26)*Assumptions!$C$18)</f>
        <v>5919.08559446006</v>
      </c>
      <c r="AJ27" s="9" t="n">
        <f aca="false">((AJ25+AJ26)*Assumptions!$C$18)</f>
        <v>4081.26055986318</v>
      </c>
      <c r="AK27" s="9" t="n">
        <f aca="false">((AK25+AK26)*Assumptions!$C$18)</f>
        <v>3584.0571513398</v>
      </c>
      <c r="AL27" s="9" t="n">
        <f aca="false">((AL25+AL26)*Assumptions!$C$18)</f>
        <v>3060.06778454034</v>
      </c>
      <c r="AN27" s="11" t="n">
        <f aca="false">SUM(C27:N27)</f>
        <v>3046.2027956185</v>
      </c>
      <c r="AO27" s="11" t="n">
        <f aca="false">SUM(O27:Z27)</f>
        <v>28603.6953640442</v>
      </c>
      <c r="AP27" s="11" t="n">
        <f aca="false">SUM(AA27:AL27)</f>
        <v>42983.4471548952</v>
      </c>
    </row>
    <row r="28" customFormat="false" ht="15" hidden="false" customHeight="false" outlineLevel="0" collapsed="false">
      <c r="A28" s="0" t="s">
        <v>833</v>
      </c>
      <c r="B28" s="0" t="s">
        <v>500</v>
      </c>
      <c r="C28" s="9" t="n">
        <f aca="false">IF((C$18&gt;=Assumptions!$C$5),((Assumptions!$C$20*$C$5)*0),0)</f>
        <v>0</v>
      </c>
      <c r="D28" s="9" t="n">
        <f aca="false">IF((D$18&gt;=Assumptions!$C$5),((Assumptions!$C$20*$C$5)*C29),0)</f>
        <v>0</v>
      </c>
      <c r="E28" s="9" t="n">
        <f aca="false">IF((E$18&gt;=Assumptions!$C$5),((Assumptions!$C$20*$C$5)*D29),0)</f>
        <v>0</v>
      </c>
      <c r="F28" s="9" t="n">
        <f aca="false">IF((F$18&gt;=Assumptions!$C$5),((Assumptions!$C$20*$C$5)*E29),0)</f>
        <v>0</v>
      </c>
      <c r="G28" s="9" t="n">
        <f aca="false">IF((G$18&gt;=Assumptions!$C$5),((Assumptions!$C$20*$C$5)*F29),0)</f>
        <v>0</v>
      </c>
      <c r="H28" s="9" t="n">
        <f aca="false">IF((H$18&gt;=Assumptions!$C$5),((Assumptions!$C$20*$C$5)*G29),0)</f>
        <v>0</v>
      </c>
      <c r="I28" s="9" t="n">
        <f aca="false">IF((I$18&gt;=Assumptions!$C$5),((Assumptions!$C$20*$C$5)*H29),0)</f>
        <v>0</v>
      </c>
      <c r="J28" s="9" t="n">
        <f aca="false">IF((J$18&gt;=Assumptions!$C$5),((Assumptions!$C$20*$C$5)*I29),0)</f>
        <v>0</v>
      </c>
      <c r="K28" s="9" t="n">
        <f aca="false">IF((K$18&gt;=Assumptions!$C$5),((Assumptions!$C$20*$C$5)*J29),0)</f>
        <v>0</v>
      </c>
      <c r="L28" s="9" t="n">
        <f aca="false">IF((L$18&gt;=Assumptions!$C$5),((Assumptions!$C$20*$C$5)*K29),0)</f>
        <v>0</v>
      </c>
      <c r="M28" s="9" t="n">
        <f aca="false">IF((M$18&gt;=Assumptions!$C$5),((Assumptions!$C$20*$C$5)*L29),0)</f>
        <v>0</v>
      </c>
      <c r="N28" s="9" t="n">
        <f aca="false">IF((N$18&gt;=Assumptions!$C$5),((Assumptions!$C$20*$C$5)*M29),0)</f>
        <v>0</v>
      </c>
      <c r="O28" s="9" t="n">
        <f aca="false">IF((O$18&gt;=Assumptions!$C$5),((Assumptions!$C$20*$C$5)*N29),0)</f>
        <v>4.51553935346985</v>
      </c>
      <c r="P28" s="9" t="n">
        <f aca="false">IF((P$18&gt;=Assumptions!$C$5),((Assumptions!$C$20*$C$5)*O29),0)</f>
        <v>10.0820851542349</v>
      </c>
      <c r="Q28" s="9" t="n">
        <f aca="false">IF((Q$18&gt;=Assumptions!$C$5),((Assumptions!$C$20*$C$5)*P29),0)</f>
        <v>14.4123651698184</v>
      </c>
      <c r="R28" s="9" t="n">
        <f aca="false">IF((R$18&gt;=Assumptions!$C$5),((Assumptions!$C$20*$C$5)*Q29),0)</f>
        <v>17.6060813259436</v>
      </c>
      <c r="S28" s="9" t="n">
        <f aca="false">IF((S$18&gt;=Assumptions!$C$5),((Assumptions!$C$20*$C$5)*R29),0)</f>
        <v>20.1472031412978</v>
      </c>
      <c r="T28" s="9" t="n">
        <f aca="false">IF((T$18&gt;=Assumptions!$C$5),((Assumptions!$C$20*$C$5)*S29),0)</f>
        <v>21.673506843159</v>
      </c>
      <c r="U28" s="9" t="n">
        <f aca="false">IF((U$18&gt;=Assumptions!$C$5),((Assumptions!$C$20*$C$5)*T29),0)</f>
        <v>22.6802601966528</v>
      </c>
      <c r="V28" s="9" t="n">
        <f aca="false">IF((V$18&gt;=Assumptions!$C$5),((Assumptions!$C$20*$C$5)*U29),0)</f>
        <v>24.5494478857957</v>
      </c>
      <c r="W28" s="9" t="n">
        <f aca="false">IF((W$18&gt;=Assumptions!$C$5),((Assumptions!$C$20*$C$5)*V29),0)</f>
        <v>30.5242441672422</v>
      </c>
      <c r="X28" s="9" t="n">
        <f aca="false">IF((X$18&gt;=Assumptions!$C$5),((Assumptions!$C$20*$C$5)*W29),0)</f>
        <v>37.039085524279</v>
      </c>
      <c r="Y28" s="9" t="n">
        <f aca="false">IF((Y$18&gt;=Assumptions!$C$5),((Assumptions!$C$20*$C$5)*X29),0)</f>
        <v>39.5654898198034</v>
      </c>
      <c r="Z28" s="9" t="n">
        <f aca="false">IF((Z$18&gt;=Assumptions!$C$5),((Assumptions!$C$20*$C$5)*Y29),0)</f>
        <v>40.9529136503545</v>
      </c>
      <c r="AA28" s="9" t="n">
        <f aca="false">IF((AA$18&gt;=Assumptions!$C$5),((Assumptions!$C$20*$C$5)*Z29),0)</f>
        <v>41.2656205401541</v>
      </c>
      <c r="AB28" s="9" t="n">
        <f aca="false">IF((AB$18&gt;=Assumptions!$C$5),((Assumptions!$C$20*$C$5)*AA29),0)</f>
        <v>46.0001923339102</v>
      </c>
      <c r="AC28" s="9" t="n">
        <f aca="false">IF((AC$18&gt;=Assumptions!$C$5),((Assumptions!$C$20*$C$5)*AB29),0)</f>
        <v>49.1875038687295</v>
      </c>
      <c r="AD28" s="9" t="n">
        <f aca="false">IF((AD$18&gt;=Assumptions!$C$5),((Assumptions!$C$20*$C$5)*AC29),0)</f>
        <v>50.9641747591781</v>
      </c>
      <c r="AE28" s="9" t="n">
        <f aca="false">IF((AE$18&gt;=Assumptions!$C$5),((Assumptions!$C$20*$C$5)*AD29),0)</f>
        <v>52.0519021220474</v>
      </c>
      <c r="AF28" s="9" t="n">
        <f aca="false">IF((AF$18&gt;=Assumptions!$C$5),((Assumptions!$C$20*$C$5)*AE29),0)</f>
        <v>51.8892514172018</v>
      </c>
      <c r="AG28" s="9" t="n">
        <f aca="false">IF((AG$18&gt;=Assumptions!$C$5),((Assumptions!$C$20*$C$5)*AF29),0)</f>
        <v>51.204943108372</v>
      </c>
      <c r="AH28" s="9" t="n">
        <f aca="false">IF((AH$18&gt;=Assumptions!$C$5),((Assumptions!$C$20*$C$5)*AG29),0)</f>
        <v>51.984336937927</v>
      </c>
      <c r="AI28" s="9" t="n">
        <f aca="false">IF((AI$18&gt;=Assumptions!$C$5),((Assumptions!$C$20*$C$5)*AH29),0)</f>
        <v>58.7809398786625</v>
      </c>
      <c r="AJ28" s="9" t="n">
        <f aca="false">IF((AJ$18&gt;=Assumptions!$C$5),((Assumptions!$C$20*$C$5)*AI29),0)</f>
        <v>66.3779887296765</v>
      </c>
      <c r="AK28" s="9" t="n">
        <f aca="false">IF((AK$18&gt;=Assumptions!$C$5),((Assumptions!$C$20*$C$5)*AJ29),0)</f>
        <v>68.4498365099491</v>
      </c>
      <c r="AL28" s="9" t="n">
        <f aca="false">IF((AL$18&gt;=Assumptions!$C$5),((Assumptions!$C$20*$C$5)*AK29),0)</f>
        <v>69.0248744158298</v>
      </c>
      <c r="AN28" s="11" t="n">
        <f aca="false">SUM(C28:N28)</f>
        <v>0</v>
      </c>
      <c r="AO28" s="11" t="n">
        <f aca="false">SUM(O28:Z28)</f>
        <v>283.748222232051</v>
      </c>
      <c r="AP28" s="11" t="n">
        <f aca="false">SUM(AA28:AL28)</f>
        <v>657.181564621638</v>
      </c>
    </row>
    <row r="29" customFormat="false" ht="15" hidden="false" customHeight="false" outlineLevel="0" collapsed="false">
      <c r="A29" s="0" t="s">
        <v>834</v>
      </c>
      <c r="B29" s="0" t="s">
        <v>500</v>
      </c>
      <c r="C29" s="9" t="n">
        <f aca="false">MAX(0,(((0*(1-Assumptions!$C$19))+C27)-C28))</f>
        <v>234</v>
      </c>
      <c r="D29" s="9" t="n">
        <f aca="false">MAX(0,(((C29*(1-Assumptions!$C$19))+D27)-D28))</f>
        <v>415.8</v>
      </c>
      <c r="E29" s="9" t="n">
        <f aca="false">MAX(0,(((D29*(1-Assumptions!$C$19))+E27)-E28))</f>
        <v>547.9272</v>
      </c>
      <c r="F29" s="9" t="n">
        <f aca="false">MAX(0,(((E29*(1-Assumptions!$C$19))+F27)-F28))</f>
        <v>653.68224</v>
      </c>
      <c r="G29" s="9" t="n">
        <f aca="false">MAX(0,(((F29*(1-Assumptions!$C$19))+G27)-G28))</f>
        <v>711.58788288</v>
      </c>
      <c r="H29" s="9" t="n">
        <f aca="false">MAX(0,(((G29*(1-Assumptions!$C$19))+H27)-H28))</f>
        <v>746.6376389184</v>
      </c>
      <c r="I29" s="9" t="n">
        <f aca="false">MAX(0,(((H29*(1-Assumptions!$C$19))+I27)-I28))</f>
        <v>835.774530392448</v>
      </c>
      <c r="J29" s="9" t="n">
        <f aca="false">MAX(0,(((I29*(1-Assumptions!$C$19))+J27)-J28))</f>
        <v>1168.52710133487</v>
      </c>
      <c r="K29" s="9" t="n">
        <f aca="false">MAX(0,(((J29*(1-Assumptions!$C$19))+K27)-K28))</f>
        <v>1544.71062532268</v>
      </c>
      <c r="L29" s="9" t="n">
        <f aca="false">MAX(0,(((K29*(1-Assumptions!$C$19))+L27)-L28))</f>
        <v>1693.86218416649</v>
      </c>
      <c r="M29" s="9" t="n">
        <f aca="false">MAX(0,(((L29*(1-Assumptions!$C$19))+M27)-M28))</f>
        <v>1780.71604890645</v>
      </c>
      <c r="N29" s="9" t="n">
        <f aca="false">MAX(0,(((M29*(1-Assumptions!$C$19))+N27)-N28))</f>
        <v>1806.21574138794</v>
      </c>
      <c r="O29" s="9" t="n">
        <f aca="false">MAX(0,(((N29*(1-Assumptions!$C$19))+O27)-O28))</f>
        <v>4032.83406169396</v>
      </c>
      <c r="P29" s="9" t="n">
        <f aca="false">MAX(0,(((O29*(1-Assumptions!$C$19))+P27)-P28))</f>
        <v>5764.94606792736</v>
      </c>
      <c r="Q29" s="9" t="n">
        <f aca="false">MAX(0,(((P29*(1-Assumptions!$C$19))+Q27)-Q28))</f>
        <v>7042.43253037744</v>
      </c>
      <c r="R29" s="9" t="n">
        <f aca="false">MAX(0,(((Q29*(1-Assumptions!$C$19))+R27)-R28))</f>
        <v>8058.88125651911</v>
      </c>
      <c r="S29" s="9" t="n">
        <f aca="false">MAX(0,(((R29*(1-Assumptions!$C$19))+S27)-S28))</f>
        <v>8669.40273726359</v>
      </c>
      <c r="T29" s="9" t="n">
        <f aca="false">MAX(0,(((S29*(1-Assumptions!$C$19))+T27)-T28))</f>
        <v>9072.10407866113</v>
      </c>
      <c r="U29" s="9" t="n">
        <f aca="false">MAX(0,(((T29*(1-Assumptions!$C$19))+U27)-U28))</f>
        <v>9819.77915431829</v>
      </c>
      <c r="V29" s="9" t="n">
        <f aca="false">MAX(0,(((U29*(1-Assumptions!$C$19))+V27)-V28))</f>
        <v>12209.6976668969</v>
      </c>
      <c r="W29" s="9" t="n">
        <f aca="false">MAX(0,(((V29*(1-Assumptions!$C$19))+W27)-W28))</f>
        <v>14815.6342097116</v>
      </c>
      <c r="X29" s="9" t="n">
        <f aca="false">MAX(0,(((W29*(1-Assumptions!$C$19))+X27)-X28))</f>
        <v>15826.1959279214</v>
      </c>
      <c r="Y29" s="9" t="n">
        <f aca="false">MAX(0,(((X29*(1-Assumptions!$C$19))+Y27)-Y28))</f>
        <v>16381.1654601418</v>
      </c>
      <c r="Z29" s="9" t="n">
        <f aca="false">MAX(0,(((Y29*(1-Assumptions!$C$19))+Z27)-Z28))</f>
        <v>16506.2482160617</v>
      </c>
      <c r="AA29" s="9" t="n">
        <f aca="false">MAX(0,(((Z29*(1-Assumptions!$C$19))+AA27)-AA28))</f>
        <v>18400.0769335641</v>
      </c>
      <c r="AB29" s="9" t="n">
        <f aca="false">MAX(0,(((AA29*(1-Assumptions!$C$19))+AB27)-AB28))</f>
        <v>19675.0015474918</v>
      </c>
      <c r="AC29" s="9" t="n">
        <f aca="false">MAX(0,(((AB29*(1-Assumptions!$C$19))+AC27)-AC28))</f>
        <v>20385.6699036712</v>
      </c>
      <c r="AD29" s="9" t="n">
        <f aca="false">MAX(0,(((AC29*(1-Assumptions!$C$19))+AD27)-AD28))</f>
        <v>20820.760848819</v>
      </c>
      <c r="AE29" s="9" t="n">
        <f aca="false">MAX(0,(((AD29*(1-Assumptions!$C$19))+AE27)-AE28))</f>
        <v>20755.7005668807</v>
      </c>
      <c r="AF29" s="9" t="n">
        <f aca="false">MAX(0,(((AE29*(1-Assumptions!$C$19))+AF27)-AF28))</f>
        <v>20481.9772433488</v>
      </c>
      <c r="AG29" s="9" t="n">
        <f aca="false">MAX(0,(((AF29*(1-Assumptions!$C$19))+AG27)-AG28))</f>
        <v>20793.7347751708</v>
      </c>
      <c r="AH29" s="9" t="n">
        <f aca="false">MAX(0,(((AG29*(1-Assumptions!$C$19))+AH27)-AH28))</f>
        <v>23512.375951465</v>
      </c>
      <c r="AI29" s="9" t="n">
        <f aca="false">MAX(0,(((AH29*(1-Assumptions!$C$19))+AI27)-AI28))</f>
        <v>26551.1954918706</v>
      </c>
      <c r="AJ29" s="9" t="n">
        <f aca="false">MAX(0,(((AI29*(1-Assumptions!$C$19))+AJ27)-AJ28))</f>
        <v>27379.9346039796</v>
      </c>
      <c r="AK29" s="9" t="n">
        <f aca="false">MAX(0,(((AJ29*(1-Assumptions!$C$19))+AK27)-AK28))</f>
        <v>27609.9497663319</v>
      </c>
      <c r="AL29" s="9" t="n">
        <f aca="false">MAX(0,(((AK29*(1-Assumptions!$C$19))+AL27)-AL28))</f>
        <v>27287.7987044966</v>
      </c>
      <c r="AN29" s="11" t="n">
        <f aca="false">N29</f>
        <v>1806.21574138794</v>
      </c>
      <c r="AO29" s="11" t="n">
        <f aca="false">Z29</f>
        <v>16506.2482160617</v>
      </c>
      <c r="AP29" s="11" t="n">
        <f aca="false">AL29</f>
        <v>27287.7987044966</v>
      </c>
    </row>
    <row r="30" customFormat="false" ht="15" hidden="false" customHeight="false" outlineLevel="0" collapsed="false">
      <c r="A30" s="0" t="s">
        <v>835</v>
      </c>
      <c r="B30" s="0" t="s">
        <v>193</v>
      </c>
      <c r="C30" s="12" t="n">
        <f aca="false">IF(AND(($C$14=1),(C$18&gt;=(Assumptions!$C$106+1)),(C$18&lt;=(Assumptions!$C$106+3))),Assumptions!$C$115,0)</f>
        <v>0</v>
      </c>
      <c r="D30" s="12" t="n">
        <f aca="false">IF(AND(($C$14=1),(D$18&gt;=(Assumptions!$C$106+1)),(D$18&lt;=(Assumptions!$C$106+3))),Assumptions!$C$115,0)</f>
        <v>0</v>
      </c>
      <c r="E30" s="12" t="n">
        <f aca="false">IF(AND(($C$14=1),(E$18&gt;=(Assumptions!$C$106+1)),(E$18&lt;=(Assumptions!$C$106+3))),Assumptions!$C$115,0)</f>
        <v>0</v>
      </c>
      <c r="F30" s="12" t="n">
        <f aca="false">IF(AND(($C$14=1),(F$18&gt;=(Assumptions!$C$106+1)),(F$18&lt;=(Assumptions!$C$106+3))),Assumptions!$C$115,0)</f>
        <v>0</v>
      </c>
      <c r="G30" s="12" t="n">
        <f aca="false">IF(AND(($C$14=1),(G$18&gt;=(Assumptions!$C$106+1)),(G$18&lt;=(Assumptions!$C$106+3))),Assumptions!$C$115,0)</f>
        <v>0</v>
      </c>
      <c r="H30" s="12" t="n">
        <f aca="false">IF(AND(($C$14=1),(H$18&gt;=(Assumptions!$C$106+1)),(H$18&lt;=(Assumptions!$C$106+3))),Assumptions!$C$115,0)</f>
        <v>0</v>
      </c>
      <c r="I30" s="12" t="n">
        <f aca="false">IF(AND(($C$14=1),(I$18&gt;=(Assumptions!$C$106+1)),(I$18&lt;=(Assumptions!$C$106+3))),Assumptions!$C$115,0)</f>
        <v>0</v>
      </c>
      <c r="J30" s="12" t="n">
        <f aca="false">IF(AND(($C$14=1),(J$18&gt;=(Assumptions!$C$106+1)),(J$18&lt;=(Assumptions!$C$106+3))),Assumptions!$C$115,0)</f>
        <v>0</v>
      </c>
      <c r="K30" s="12" t="n">
        <f aca="false">IF(AND(($C$14=1),(K$18&gt;=(Assumptions!$C$106+1)),(K$18&lt;=(Assumptions!$C$106+3))),Assumptions!$C$115,0)</f>
        <v>0</v>
      </c>
      <c r="L30" s="12" t="n">
        <f aca="false">IF(AND(($C$14=1),(L$18&gt;=(Assumptions!$C$106+1)),(L$18&lt;=(Assumptions!$C$106+3))),Assumptions!$C$115,0)</f>
        <v>0</v>
      </c>
      <c r="M30" s="12" t="n">
        <f aca="false">IF(AND(($C$14=1),(M$18&gt;=(Assumptions!$C$106+1)),(M$18&lt;=(Assumptions!$C$106+3))),Assumptions!$C$115,0)</f>
        <v>0</v>
      </c>
      <c r="N30" s="12" t="n">
        <f aca="false">IF(AND(($C$14=1),(N$18&gt;=(Assumptions!$C$106+1)),(N$18&lt;=(Assumptions!$C$106+3))),Assumptions!$C$115,0)</f>
        <v>0</v>
      </c>
      <c r="O30" s="12" t="n">
        <f aca="false">IF(AND(($C$14=1),(O$18&gt;=(Assumptions!$C$106+1)),(O$18&lt;=(Assumptions!$C$106+3))),Assumptions!$C$115,0)</f>
        <v>0</v>
      </c>
      <c r="P30" s="12" t="n">
        <f aca="false">IF(AND(($C$14=1),(P$18&gt;=(Assumptions!$C$106+1)),(P$18&lt;=(Assumptions!$C$106+3))),Assumptions!$C$115,0)</f>
        <v>0</v>
      </c>
      <c r="Q30" s="12" t="n">
        <f aca="false">IF(AND(($C$14=1),(Q$18&gt;=(Assumptions!$C$106+1)),(Q$18&lt;=(Assumptions!$C$106+3))),Assumptions!$C$115,0)</f>
        <v>0</v>
      </c>
      <c r="R30" s="12" t="n">
        <f aca="false">IF(AND(($C$14=1),(R$18&gt;=(Assumptions!$C$106+1)),(R$18&lt;=(Assumptions!$C$106+3))),Assumptions!$C$115,0)</f>
        <v>0</v>
      </c>
      <c r="S30" s="12" t="n">
        <f aca="false">IF(AND(($C$14=1),(S$18&gt;=(Assumptions!$C$106+1)),(S$18&lt;=(Assumptions!$C$106+3))),Assumptions!$C$115,0)</f>
        <v>0</v>
      </c>
      <c r="T30" s="12" t="n">
        <f aca="false">IF(AND(($C$14=1),(T$18&gt;=(Assumptions!$C$106+1)),(T$18&lt;=(Assumptions!$C$106+3))),Assumptions!$C$115,0)</f>
        <v>0</v>
      </c>
      <c r="U30" s="12" t="n">
        <f aca="false">IF(AND(($C$14=1),(U$18&gt;=(Assumptions!$C$106+1)),(U$18&lt;=(Assumptions!$C$106+3))),Assumptions!$C$115,0)</f>
        <v>0</v>
      </c>
      <c r="V30" s="12" t="n">
        <f aca="false">IF(AND(($C$14=1),(V$18&gt;=(Assumptions!$C$106+1)),(V$18&lt;=(Assumptions!$C$106+3))),Assumptions!$C$115,0)</f>
        <v>0</v>
      </c>
      <c r="W30" s="12" t="n">
        <f aca="false">IF(AND(($C$14=1),(W$18&gt;=(Assumptions!$C$106+1)),(W$18&lt;=(Assumptions!$C$106+3))),Assumptions!$C$115,0)</f>
        <v>0</v>
      </c>
      <c r="X30" s="12" t="n">
        <f aca="false">IF(AND(($C$14=1),(X$18&gt;=(Assumptions!$C$106+1)),(X$18&lt;=(Assumptions!$C$106+3))),Assumptions!$C$115,0)</f>
        <v>0</v>
      </c>
      <c r="Y30" s="12" t="n">
        <f aca="false">IF(AND(($C$14=1),(Y$18&gt;=(Assumptions!$C$106+1)),(Y$18&lt;=(Assumptions!$C$106+3))),Assumptions!$C$115,0)</f>
        <v>0</v>
      </c>
      <c r="Z30" s="12" t="n">
        <f aca="false">IF(AND(($C$14=1),(Z$18&gt;=(Assumptions!$C$106+1)),(Z$18&lt;=(Assumptions!$C$106+3))),Assumptions!$C$115,0)</f>
        <v>0</v>
      </c>
      <c r="AA30" s="12" t="n">
        <f aca="false">IF(AND(($C$14=1),(AA$18&gt;=(Assumptions!$C$106+1)),(AA$18&lt;=(Assumptions!$C$106+3))),Assumptions!$C$115,0)</f>
        <v>0</v>
      </c>
      <c r="AB30" s="12" t="n">
        <f aca="false">IF(AND(($C$14=1),(AB$18&gt;=(Assumptions!$C$106+1)),(AB$18&lt;=(Assumptions!$C$106+3))),Assumptions!$C$115,0)</f>
        <v>0</v>
      </c>
      <c r="AC30" s="12" t="n">
        <f aca="false">IF(AND(($C$14=1),(AC$18&gt;=(Assumptions!$C$106+1)),(AC$18&lt;=(Assumptions!$C$106+3))),Assumptions!$C$115,0)</f>
        <v>0</v>
      </c>
      <c r="AD30" s="12" t="n">
        <f aca="false">IF(AND(($C$14=1),(AD$18&gt;=(Assumptions!$C$106+1)),(AD$18&lt;=(Assumptions!$C$106+3))),Assumptions!$C$115,0)</f>
        <v>0</v>
      </c>
      <c r="AE30" s="12" t="n">
        <f aca="false">IF(AND(($C$14=1),(AE$18&gt;=(Assumptions!$C$106+1)),(AE$18&lt;=(Assumptions!$C$106+3))),Assumptions!$C$115,0)</f>
        <v>0</v>
      </c>
      <c r="AF30" s="12" t="n">
        <f aca="false">IF(AND(($C$14=1),(AF$18&gt;=(Assumptions!$C$106+1)),(AF$18&lt;=(Assumptions!$C$106+3))),Assumptions!$C$115,0)</f>
        <v>0</v>
      </c>
      <c r="AG30" s="12" t="n">
        <f aca="false">IF(AND(($C$14=1),(AG$18&gt;=(Assumptions!$C$106+1)),(AG$18&lt;=(Assumptions!$C$106+3))),Assumptions!$C$115,0)</f>
        <v>0</v>
      </c>
      <c r="AH30" s="12" t="n">
        <f aca="false">IF(AND(($C$14=1),(AH$18&gt;=(Assumptions!$C$106+1)),(AH$18&lt;=(Assumptions!$C$106+3))),Assumptions!$C$115,0)</f>
        <v>0</v>
      </c>
      <c r="AI30" s="12" t="n">
        <f aca="false">IF(AND(($C$14=1),(AI$18&gt;=(Assumptions!$C$106+1)),(AI$18&lt;=(Assumptions!$C$106+3))),Assumptions!$C$115,0)</f>
        <v>0</v>
      </c>
      <c r="AJ30" s="12" t="n">
        <f aca="false">IF(AND(($C$14=1),(AJ$18&gt;=(Assumptions!$C$106+1)),(AJ$18&lt;=(Assumptions!$C$106+3))),Assumptions!$C$115,0)</f>
        <v>0</v>
      </c>
      <c r="AK30" s="12" t="n">
        <f aca="false">IF(AND(($C$14=1),(AK$18&gt;=(Assumptions!$C$106+1)),(AK$18&lt;=(Assumptions!$C$106+3))),Assumptions!$C$115,0)</f>
        <v>0</v>
      </c>
      <c r="AL30" s="12" t="n">
        <f aca="false">IF(AND(($C$14=1),(AL$18&gt;=(Assumptions!$C$106+1)),(AL$18&lt;=(Assumptions!$C$106+3))),Assumptions!$C$115,0)</f>
        <v>0</v>
      </c>
    </row>
    <row r="31" customFormat="false" ht="15" hidden="false" customHeight="false" outlineLevel="0" collapsed="false">
      <c r="A31" s="0" t="s">
        <v>836</v>
      </c>
      <c r="B31" s="0" t="s">
        <v>193</v>
      </c>
      <c r="C31" s="12" t="n">
        <f aca="false">MIN(1,((Assumptions!$C$22*$C$6)+C30))</f>
        <v>0.05</v>
      </c>
      <c r="D31" s="12" t="n">
        <f aca="false">MIN(1,((Assumptions!$C$22*$C$6)+D30))</f>
        <v>0.05</v>
      </c>
      <c r="E31" s="12" t="n">
        <f aca="false">MIN(1,((Assumptions!$C$22*$C$6)+E30))</f>
        <v>0.05</v>
      </c>
      <c r="F31" s="12" t="n">
        <f aca="false">MIN(1,((Assumptions!$C$22*$C$6)+F30))</f>
        <v>0.05</v>
      </c>
      <c r="G31" s="12" t="n">
        <f aca="false">MIN(1,((Assumptions!$C$22*$C$6)+G30))</f>
        <v>0.05</v>
      </c>
      <c r="H31" s="12" t="n">
        <f aca="false">MIN(1,((Assumptions!$C$22*$C$6)+H30))</f>
        <v>0.05</v>
      </c>
      <c r="I31" s="12" t="n">
        <f aca="false">MIN(1,((Assumptions!$C$22*$C$6)+I30))</f>
        <v>0.05</v>
      </c>
      <c r="J31" s="12" t="n">
        <f aca="false">MIN(1,((Assumptions!$C$22*$C$6)+J30))</f>
        <v>0.05</v>
      </c>
      <c r="K31" s="12" t="n">
        <f aca="false">MIN(1,((Assumptions!$C$22*$C$6)+K30))</f>
        <v>0.05</v>
      </c>
      <c r="L31" s="12" t="n">
        <f aca="false">MIN(1,((Assumptions!$C$22*$C$6)+L30))</f>
        <v>0.05</v>
      </c>
      <c r="M31" s="12" t="n">
        <f aca="false">MIN(1,((Assumptions!$C$22*$C$6)+M30))</f>
        <v>0.05</v>
      </c>
      <c r="N31" s="12" t="n">
        <f aca="false">MIN(1,((Assumptions!$C$22*$C$6)+N30))</f>
        <v>0.05</v>
      </c>
      <c r="O31" s="12" t="n">
        <f aca="false">MIN(1,((Assumptions!$C$22*$C$6)+O30))</f>
        <v>0.05</v>
      </c>
      <c r="P31" s="12" t="n">
        <f aca="false">MIN(1,((Assumptions!$C$22*$C$6)+P30))</f>
        <v>0.05</v>
      </c>
      <c r="Q31" s="12" t="n">
        <f aca="false">MIN(1,((Assumptions!$C$22*$C$6)+Q30))</f>
        <v>0.05</v>
      </c>
      <c r="R31" s="12" t="n">
        <f aca="false">MIN(1,((Assumptions!$C$22*$C$6)+R30))</f>
        <v>0.05</v>
      </c>
      <c r="S31" s="12" t="n">
        <f aca="false">MIN(1,((Assumptions!$C$22*$C$6)+S30))</f>
        <v>0.05</v>
      </c>
      <c r="T31" s="12" t="n">
        <f aca="false">MIN(1,((Assumptions!$C$22*$C$6)+T30))</f>
        <v>0.05</v>
      </c>
      <c r="U31" s="12" t="n">
        <f aca="false">MIN(1,((Assumptions!$C$22*$C$6)+U30))</f>
        <v>0.05</v>
      </c>
      <c r="V31" s="12" t="n">
        <f aca="false">MIN(1,((Assumptions!$C$22*$C$6)+V30))</f>
        <v>0.05</v>
      </c>
      <c r="W31" s="12" t="n">
        <f aca="false">MIN(1,((Assumptions!$C$22*$C$6)+W30))</f>
        <v>0.05</v>
      </c>
      <c r="X31" s="12" t="n">
        <f aca="false">MIN(1,((Assumptions!$C$22*$C$6)+X30))</f>
        <v>0.05</v>
      </c>
      <c r="Y31" s="12" t="n">
        <f aca="false">MIN(1,((Assumptions!$C$22*$C$6)+Y30))</f>
        <v>0.05</v>
      </c>
      <c r="Z31" s="12" t="n">
        <f aca="false">MIN(1,((Assumptions!$C$22*$C$6)+Z30))</f>
        <v>0.05</v>
      </c>
      <c r="AA31" s="12" t="n">
        <f aca="false">MIN(1,((Assumptions!$C$22*$C$6)+AA30))</f>
        <v>0.05</v>
      </c>
      <c r="AB31" s="12" t="n">
        <f aca="false">MIN(1,((Assumptions!$C$22*$C$6)+AB30))</f>
        <v>0.05</v>
      </c>
      <c r="AC31" s="12" t="n">
        <f aca="false">MIN(1,((Assumptions!$C$22*$C$6)+AC30))</f>
        <v>0.05</v>
      </c>
      <c r="AD31" s="12" t="n">
        <f aca="false">MIN(1,((Assumptions!$C$22*$C$6)+AD30))</f>
        <v>0.05</v>
      </c>
      <c r="AE31" s="12" t="n">
        <f aca="false">MIN(1,((Assumptions!$C$22*$C$6)+AE30))</f>
        <v>0.05</v>
      </c>
      <c r="AF31" s="12" t="n">
        <f aca="false">MIN(1,((Assumptions!$C$22*$C$6)+AF30))</f>
        <v>0.05</v>
      </c>
      <c r="AG31" s="12" t="n">
        <f aca="false">MIN(1,((Assumptions!$C$22*$C$6)+AG30))</f>
        <v>0.05</v>
      </c>
      <c r="AH31" s="12" t="n">
        <f aca="false">MIN(1,((Assumptions!$C$22*$C$6)+AH30))</f>
        <v>0.05</v>
      </c>
      <c r="AI31" s="12" t="n">
        <f aca="false">MIN(1,((Assumptions!$C$22*$C$6)+AI30))</f>
        <v>0.05</v>
      </c>
      <c r="AJ31" s="12" t="n">
        <f aca="false">MIN(1,((Assumptions!$C$22*$C$6)+AJ30))</f>
        <v>0.05</v>
      </c>
      <c r="AK31" s="12" t="n">
        <f aca="false">MIN(1,((Assumptions!$C$22*$C$6)+AK30))</f>
        <v>0.05</v>
      </c>
      <c r="AL31" s="12" t="n">
        <f aca="false">MIN(1,((Assumptions!$C$22*$C$6)+AL30))</f>
        <v>0.05</v>
      </c>
    </row>
    <row r="32" customFormat="false" ht="15" hidden="false" customHeight="false" outlineLevel="0" collapsed="false">
      <c r="A32" s="0" t="s">
        <v>837</v>
      </c>
      <c r="B32" s="0" t="s">
        <v>500</v>
      </c>
      <c r="C32" s="9" t="n">
        <f aca="false">(C28*(1-Assumptions!$C$21))</f>
        <v>0</v>
      </c>
      <c r="D32" s="9" t="n">
        <f aca="false">(D28*(1-Assumptions!$C$21))</f>
        <v>0</v>
      </c>
      <c r="E32" s="9" t="n">
        <f aca="false">(E28*(1-Assumptions!$C$21))</f>
        <v>0</v>
      </c>
      <c r="F32" s="9" t="n">
        <f aca="false">(F28*(1-Assumptions!$C$21))</f>
        <v>0</v>
      </c>
      <c r="G32" s="9" t="n">
        <f aca="false">(G28*(1-Assumptions!$C$21))</f>
        <v>0</v>
      </c>
      <c r="H32" s="9" t="n">
        <f aca="false">(H28*(1-Assumptions!$C$21))</f>
        <v>0</v>
      </c>
      <c r="I32" s="9" t="n">
        <f aca="false">(I28*(1-Assumptions!$C$21))</f>
        <v>0</v>
      </c>
      <c r="J32" s="9" t="n">
        <f aca="false">(J28*(1-Assumptions!$C$21))</f>
        <v>0</v>
      </c>
      <c r="K32" s="9" t="n">
        <f aca="false">(K28*(1-Assumptions!$C$21))</f>
        <v>0</v>
      </c>
      <c r="L32" s="9" t="n">
        <f aca="false">(L28*(1-Assumptions!$C$21))</f>
        <v>0</v>
      </c>
      <c r="M32" s="9" t="n">
        <f aca="false">(M28*(1-Assumptions!$C$21))</f>
        <v>0</v>
      </c>
      <c r="N32" s="9" t="n">
        <f aca="false">(N28*(1-Assumptions!$C$21))</f>
        <v>0</v>
      </c>
      <c r="O32" s="9" t="n">
        <f aca="false">(O28*(1-Assumptions!$C$21))</f>
        <v>2.48354664440842</v>
      </c>
      <c r="P32" s="9" t="n">
        <f aca="false">(P28*(1-Assumptions!$C$21))</f>
        <v>5.54514683482919</v>
      </c>
      <c r="Q32" s="9" t="n">
        <f aca="false">(Q28*(1-Assumptions!$C$21))</f>
        <v>7.92680084340012</v>
      </c>
      <c r="R32" s="9" t="n">
        <f aca="false">(R28*(1-Assumptions!$C$21))</f>
        <v>9.68334472926897</v>
      </c>
      <c r="S32" s="9" t="n">
        <f aca="false">(S28*(1-Assumptions!$C$21))</f>
        <v>11.0809617277138</v>
      </c>
      <c r="T32" s="9" t="n">
        <f aca="false">(T28*(1-Assumptions!$C$21))</f>
        <v>11.9204287637374</v>
      </c>
      <c r="U32" s="9" t="n">
        <f aca="false">(U28*(1-Assumptions!$C$21))</f>
        <v>12.4741431081591</v>
      </c>
      <c r="V32" s="9" t="n">
        <f aca="false">(V28*(1-Assumptions!$C$21))</f>
        <v>13.5021963371876</v>
      </c>
      <c r="W32" s="9" t="n">
        <f aca="false">(W28*(1-Assumptions!$C$21))</f>
        <v>16.7883342919832</v>
      </c>
      <c r="X32" s="9" t="n">
        <f aca="false">(X28*(1-Assumptions!$C$21))</f>
        <v>20.3714970383535</v>
      </c>
      <c r="Y32" s="9" t="n">
        <f aca="false">(Y28*(1-Assumptions!$C$21))</f>
        <v>21.7610194008919</v>
      </c>
      <c r="Z32" s="9" t="n">
        <f aca="false">(Z28*(1-Assumptions!$C$21))</f>
        <v>22.524102507695</v>
      </c>
      <c r="AA32" s="9" t="n">
        <f aca="false">(AA28*(1-Assumptions!$C$21))</f>
        <v>22.6960912970848</v>
      </c>
      <c r="AB32" s="9" t="n">
        <f aca="false">(AB28*(1-Assumptions!$C$21))</f>
        <v>25.3001057836506</v>
      </c>
      <c r="AC32" s="9" t="n">
        <f aca="false">(AC28*(1-Assumptions!$C$21))</f>
        <v>27.0531271278012</v>
      </c>
      <c r="AD32" s="9" t="n">
        <f aca="false">(AD28*(1-Assumptions!$C$21))</f>
        <v>28.030296117548</v>
      </c>
      <c r="AE32" s="9" t="n">
        <f aca="false">(AE28*(1-Assumptions!$C$21))</f>
        <v>28.6285461671261</v>
      </c>
      <c r="AF32" s="9" t="n">
        <f aca="false">(AF28*(1-Assumptions!$C$21))</f>
        <v>28.539088279461</v>
      </c>
      <c r="AG32" s="9" t="n">
        <f aca="false">(AG28*(1-Assumptions!$C$21))</f>
        <v>28.1627187096046</v>
      </c>
      <c r="AH32" s="9" t="n">
        <f aca="false">(AH28*(1-Assumptions!$C$21))</f>
        <v>28.5913853158598</v>
      </c>
      <c r="AI32" s="9" t="n">
        <f aca="false">(AI28*(1-Assumptions!$C$21))</f>
        <v>32.3295169332644</v>
      </c>
      <c r="AJ32" s="9" t="n">
        <f aca="false">(AJ28*(1-Assumptions!$C$21))</f>
        <v>36.5078938013221</v>
      </c>
      <c r="AK32" s="9" t="n">
        <f aca="false">(AK28*(1-Assumptions!$C$21))</f>
        <v>37.647410080472</v>
      </c>
      <c r="AL32" s="9" t="n">
        <f aca="false">(AL28*(1-Assumptions!$C$21))</f>
        <v>37.9636809287064</v>
      </c>
      <c r="AN32" s="11" t="n">
        <f aca="false">SUM(C32:N32)</f>
        <v>0</v>
      </c>
      <c r="AO32" s="11" t="n">
        <f aca="false">SUM(O32:Z32)</f>
        <v>156.061522227628</v>
      </c>
      <c r="AP32" s="11" t="n">
        <f aca="false">SUM(AA32:AL32)</f>
        <v>361.449860541901</v>
      </c>
    </row>
    <row r="33" customFormat="false" ht="15" hidden="false" customHeight="false" outlineLevel="0" collapsed="false">
      <c r="A33" s="0" t="s">
        <v>838</v>
      </c>
      <c r="B33" s="0" t="s">
        <v>500</v>
      </c>
      <c r="C33" s="9" t="n">
        <f aca="false">(C28*Assumptions!$C$21)</f>
        <v>0</v>
      </c>
      <c r="D33" s="9" t="n">
        <f aca="false">(D28*Assumptions!$C$21)</f>
        <v>0</v>
      </c>
      <c r="E33" s="9" t="n">
        <f aca="false">(E28*Assumptions!$C$21)</f>
        <v>0</v>
      </c>
      <c r="F33" s="9" t="n">
        <f aca="false">(F28*Assumptions!$C$21)</f>
        <v>0</v>
      </c>
      <c r="G33" s="9" t="n">
        <f aca="false">(G28*Assumptions!$C$21)</f>
        <v>0</v>
      </c>
      <c r="H33" s="9" t="n">
        <f aca="false">(H28*Assumptions!$C$21)</f>
        <v>0</v>
      </c>
      <c r="I33" s="9" t="n">
        <f aca="false">(I28*Assumptions!$C$21)</f>
        <v>0</v>
      </c>
      <c r="J33" s="9" t="n">
        <f aca="false">(J28*Assumptions!$C$21)</f>
        <v>0</v>
      </c>
      <c r="K33" s="9" t="n">
        <f aca="false">(K28*Assumptions!$C$21)</f>
        <v>0</v>
      </c>
      <c r="L33" s="9" t="n">
        <f aca="false">(L28*Assumptions!$C$21)</f>
        <v>0</v>
      </c>
      <c r="M33" s="9" t="n">
        <f aca="false">(M28*Assumptions!$C$21)</f>
        <v>0</v>
      </c>
      <c r="N33" s="9" t="n">
        <f aca="false">(N28*Assumptions!$C$21)</f>
        <v>0</v>
      </c>
      <c r="O33" s="9" t="n">
        <f aca="false">(O28*Assumptions!$C$21)</f>
        <v>2.03199270906143</v>
      </c>
      <c r="P33" s="9" t="n">
        <f aca="false">(P28*Assumptions!$C$21)</f>
        <v>4.5369383194057</v>
      </c>
      <c r="Q33" s="9" t="n">
        <f aca="false">(Q28*Assumptions!$C$21)</f>
        <v>6.48556432641828</v>
      </c>
      <c r="R33" s="9" t="n">
        <f aca="false">(R28*Assumptions!$C$21)</f>
        <v>7.92273659667462</v>
      </c>
      <c r="S33" s="9" t="n">
        <f aca="false">(S28*Assumptions!$C$21)</f>
        <v>9.066241413584</v>
      </c>
      <c r="T33" s="9" t="n">
        <f aca="false">(T28*Assumptions!$C$21)</f>
        <v>9.75307807942154</v>
      </c>
      <c r="U33" s="9" t="n">
        <f aca="false">(U28*Assumptions!$C$21)</f>
        <v>10.2061170884938</v>
      </c>
      <c r="V33" s="9" t="n">
        <f aca="false">(V28*Assumptions!$C$21)</f>
        <v>11.0472515486081</v>
      </c>
      <c r="W33" s="9" t="n">
        <f aca="false">(W28*Assumptions!$C$21)</f>
        <v>13.735909875259</v>
      </c>
      <c r="X33" s="9" t="n">
        <f aca="false">(X28*Assumptions!$C$21)</f>
        <v>16.6675884859256</v>
      </c>
      <c r="Y33" s="9" t="n">
        <f aca="false">(Y28*Assumptions!$C$21)</f>
        <v>17.8044704189116</v>
      </c>
      <c r="Z33" s="9" t="n">
        <f aca="false">(Z28*Assumptions!$C$21)</f>
        <v>18.4288111426595</v>
      </c>
      <c r="AA33" s="9" t="n">
        <f aca="false">(AA28*Assumptions!$C$21)</f>
        <v>18.5695292430694</v>
      </c>
      <c r="AB33" s="9" t="n">
        <f aca="false">(AB28*Assumptions!$C$21)</f>
        <v>20.7000865502596</v>
      </c>
      <c r="AC33" s="9" t="n">
        <f aca="false">(AC28*Assumptions!$C$21)</f>
        <v>22.1343767409283</v>
      </c>
      <c r="AD33" s="9" t="n">
        <f aca="false">(AD28*Assumptions!$C$21)</f>
        <v>22.9338786416301</v>
      </c>
      <c r="AE33" s="9" t="n">
        <f aca="false">(AE28*Assumptions!$C$21)</f>
        <v>23.4233559549213</v>
      </c>
      <c r="AF33" s="9" t="n">
        <f aca="false">(AF28*Assumptions!$C$21)</f>
        <v>23.3501631377408</v>
      </c>
      <c r="AG33" s="9" t="n">
        <f aca="false">(AG28*Assumptions!$C$21)</f>
        <v>23.0422243987674</v>
      </c>
      <c r="AH33" s="9" t="n">
        <f aca="false">(AH28*Assumptions!$C$21)</f>
        <v>23.3929516220671</v>
      </c>
      <c r="AI33" s="9" t="n">
        <f aca="false">(AI28*Assumptions!$C$21)</f>
        <v>26.4514229453981</v>
      </c>
      <c r="AJ33" s="9" t="n">
        <f aca="false">(AJ28*Assumptions!$C$21)</f>
        <v>29.8700949283544</v>
      </c>
      <c r="AK33" s="9" t="n">
        <f aca="false">(AK28*Assumptions!$C$21)</f>
        <v>30.8024264294771</v>
      </c>
      <c r="AL33" s="9" t="n">
        <f aca="false">(AL28*Assumptions!$C$21)</f>
        <v>31.0611934871234</v>
      </c>
      <c r="AN33" s="11" t="n">
        <f aca="false">SUM(C33:N33)</f>
        <v>0</v>
      </c>
      <c r="AO33" s="11" t="n">
        <f aca="false">SUM(O33:Z33)</f>
        <v>127.686700004423</v>
      </c>
      <c r="AP33" s="11" t="n">
        <f aca="false">SUM(AA33:AL33)</f>
        <v>295.731704079737</v>
      </c>
    </row>
    <row r="34" customFormat="false" ht="15" hidden="false" customHeight="false" outlineLevel="0" collapsed="false">
      <c r="A34" s="0" t="s">
        <v>839</v>
      </c>
      <c r="B34" s="0" t="s">
        <v>500</v>
      </c>
      <c r="C34" s="9" t="n">
        <f aca="false">((0*(1-C31))+C32)</f>
        <v>0</v>
      </c>
      <c r="D34" s="9" t="n">
        <f aca="false">((C34*(1-D31))+D32)</f>
        <v>0</v>
      </c>
      <c r="E34" s="9" t="n">
        <f aca="false">((D34*(1-E31))+E32)</f>
        <v>0</v>
      </c>
      <c r="F34" s="9" t="n">
        <f aca="false">((E34*(1-F31))+F32)</f>
        <v>0</v>
      </c>
      <c r="G34" s="9" t="n">
        <f aca="false">((F34*(1-G31))+G32)</f>
        <v>0</v>
      </c>
      <c r="H34" s="9" t="n">
        <f aca="false">((G34*(1-H31))+H32)</f>
        <v>0</v>
      </c>
      <c r="I34" s="9" t="n">
        <f aca="false">((H34*(1-I31))+I32)</f>
        <v>0</v>
      </c>
      <c r="J34" s="9" t="n">
        <f aca="false">((I34*(1-J31))+J32)</f>
        <v>0</v>
      </c>
      <c r="K34" s="9" t="n">
        <f aca="false">((J34*(1-K31))+K32)</f>
        <v>0</v>
      </c>
      <c r="L34" s="9" t="n">
        <f aca="false">((K34*(1-L31))+L32)</f>
        <v>0</v>
      </c>
      <c r="M34" s="9" t="n">
        <f aca="false">((L34*(1-M31))+M32)</f>
        <v>0</v>
      </c>
      <c r="N34" s="9" t="n">
        <f aca="false">((M34*(1-N31))+N32)</f>
        <v>0</v>
      </c>
      <c r="O34" s="9" t="n">
        <f aca="false">((N34*(1-O31))+O32)</f>
        <v>2.48354664440842</v>
      </c>
      <c r="P34" s="9" t="n">
        <f aca="false">((O34*(1-P31))+P32)</f>
        <v>7.90451614701719</v>
      </c>
      <c r="Q34" s="9" t="n">
        <f aca="false">((P34*(1-Q31))+Q32)</f>
        <v>15.4360911830664</v>
      </c>
      <c r="R34" s="9" t="n">
        <f aca="false">((Q34*(1-R31))+R32)</f>
        <v>24.3476313531821</v>
      </c>
      <c r="S34" s="9" t="n">
        <f aca="false">((R34*(1-S31))+S32)</f>
        <v>34.2112115132368</v>
      </c>
      <c r="T34" s="9" t="n">
        <f aca="false">((S34*(1-T31))+T32)</f>
        <v>44.4210797013124</v>
      </c>
      <c r="U34" s="9" t="n">
        <f aca="false">((T34*(1-U31))+U32)</f>
        <v>54.6741688244058</v>
      </c>
      <c r="V34" s="9" t="n">
        <f aca="false">((U34*(1-V31))+V32)</f>
        <v>65.4426567203731</v>
      </c>
      <c r="W34" s="9" t="n">
        <f aca="false">((V34*(1-W31))+W32)</f>
        <v>78.9588581763377</v>
      </c>
      <c r="X34" s="9" t="n">
        <f aca="false">((W34*(1-X31))+X32)</f>
        <v>95.3824123058743</v>
      </c>
      <c r="Y34" s="9" t="n">
        <f aca="false">((X34*(1-Y31))+Y32)</f>
        <v>112.374311091472</v>
      </c>
      <c r="Z34" s="9" t="n">
        <f aca="false">((Y34*(1-Z31))+Z32)</f>
        <v>129.279698044594</v>
      </c>
      <c r="AA34" s="9" t="n">
        <f aca="false">((Z34*(1-AA31))+AA32)</f>
        <v>145.511804439449</v>
      </c>
      <c r="AB34" s="9" t="n">
        <f aca="false">((AA34*(1-AB31))+AB32)</f>
        <v>163.536320001127</v>
      </c>
      <c r="AC34" s="9" t="n">
        <f aca="false">((AB34*(1-AC31))+AC32)</f>
        <v>182.412631128872</v>
      </c>
      <c r="AD34" s="9" t="n">
        <f aca="false">((AC34*(1-AD31))+AD32)</f>
        <v>201.322295689976</v>
      </c>
      <c r="AE34" s="9" t="n">
        <f aca="false">((AD34*(1-AE31))+AE32)</f>
        <v>219.884727072603</v>
      </c>
      <c r="AF34" s="9" t="n">
        <f aca="false">((AE34*(1-AF31))+AF32)</f>
        <v>237.429578998434</v>
      </c>
      <c r="AG34" s="9" t="n">
        <f aca="false">((AF34*(1-AG31))+AG32)</f>
        <v>253.720818758117</v>
      </c>
      <c r="AH34" s="9" t="n">
        <f aca="false">((AG34*(1-AH31))+AH32)</f>
        <v>269.626163136071</v>
      </c>
      <c r="AI34" s="9" t="n">
        <f aca="false">((AH34*(1-AI31))+AI32)</f>
        <v>288.474371912532</v>
      </c>
      <c r="AJ34" s="9" t="n">
        <f aca="false">((AI34*(1-AJ31))+AJ32)</f>
        <v>310.558547118227</v>
      </c>
      <c r="AK34" s="9" t="n">
        <f aca="false">((AJ34*(1-AK31))+AK32)</f>
        <v>332.678029842788</v>
      </c>
      <c r="AL34" s="9" t="n">
        <f aca="false">((AK34*(1-AL31))+AL32)</f>
        <v>354.007809279355</v>
      </c>
      <c r="AN34" s="11" t="n">
        <f aca="false">N34</f>
        <v>0</v>
      </c>
      <c r="AO34" s="11" t="n">
        <f aca="false">Z34</f>
        <v>129.279698044594</v>
      </c>
      <c r="AP34" s="11" t="n">
        <f aca="false">AL34</f>
        <v>354.007809279355</v>
      </c>
    </row>
    <row r="35" customFormat="false" ht="15" hidden="false" customHeight="false" outlineLevel="0" collapsed="false">
      <c r="A35" s="0" t="s">
        <v>840</v>
      </c>
      <c r="B35" s="0" t="s">
        <v>193</v>
      </c>
      <c r="C35" s="12" t="n">
        <f aca="false">MAX(0,(1-((1-Assumptions!$C$23)*$C$6)))</f>
        <v>0.55</v>
      </c>
      <c r="D35" s="12" t="n">
        <f aca="false">MAX(0,(1-((1-Assumptions!$C$23)*$C$6)))</f>
        <v>0.55</v>
      </c>
      <c r="E35" s="12" t="n">
        <f aca="false">MAX(0,(1-((1-Assumptions!$C$23)*$C$6)))</f>
        <v>0.55</v>
      </c>
      <c r="F35" s="12" t="n">
        <f aca="false">MAX(0,(1-((1-Assumptions!$C$23)*$C$6)))</f>
        <v>0.55</v>
      </c>
      <c r="G35" s="12" t="n">
        <f aca="false">MAX(0,(1-((1-Assumptions!$C$23)*$C$6)))</f>
        <v>0.55</v>
      </c>
      <c r="H35" s="12" t="n">
        <f aca="false">MAX(0,(1-((1-Assumptions!$C$23)*$C$6)))</f>
        <v>0.55</v>
      </c>
      <c r="I35" s="12" t="n">
        <f aca="false">MAX(0,(1-((1-Assumptions!$C$23)*$C$6)))</f>
        <v>0.55</v>
      </c>
      <c r="J35" s="12" t="n">
        <f aca="false">MAX(0,(1-((1-Assumptions!$C$23)*$C$6)))</f>
        <v>0.55</v>
      </c>
      <c r="K35" s="12" t="n">
        <f aca="false">MAX(0,(1-((1-Assumptions!$C$23)*$C$6)))</f>
        <v>0.55</v>
      </c>
      <c r="L35" s="12" t="n">
        <f aca="false">MAX(0,(1-((1-Assumptions!$C$23)*$C$6)))</f>
        <v>0.55</v>
      </c>
      <c r="M35" s="12" t="n">
        <f aca="false">MAX(0,(1-((1-Assumptions!$C$23)*$C$6)))</f>
        <v>0.55</v>
      </c>
      <c r="N35" s="12" t="n">
        <f aca="false">MAX(0,(1-((1-Assumptions!$C$23)*$C$6)))</f>
        <v>0.55</v>
      </c>
      <c r="O35" s="12" t="n">
        <f aca="false">MAX(0,(1-((1-Assumptions!$C$23)*$C$6)))</f>
        <v>0.55</v>
      </c>
      <c r="P35" s="12" t="n">
        <f aca="false">MAX(0,(1-((1-Assumptions!$C$23)*$C$6)))</f>
        <v>0.55</v>
      </c>
      <c r="Q35" s="12" t="n">
        <f aca="false">MAX(0,(1-((1-Assumptions!$C$23)*$C$6)))</f>
        <v>0.55</v>
      </c>
      <c r="R35" s="12" t="n">
        <f aca="false">MAX(0,(1-((1-Assumptions!$C$23)*$C$6)))</f>
        <v>0.55</v>
      </c>
      <c r="S35" s="12" t="n">
        <f aca="false">MAX(0,(1-((1-Assumptions!$C$23)*$C$6)))</f>
        <v>0.55</v>
      </c>
      <c r="T35" s="12" t="n">
        <f aca="false">MAX(0,(1-((1-Assumptions!$C$23)*$C$6)))</f>
        <v>0.55</v>
      </c>
      <c r="U35" s="12" t="n">
        <f aca="false">MAX(0,(1-((1-Assumptions!$C$23)*$C$6)))</f>
        <v>0.55</v>
      </c>
      <c r="V35" s="12" t="n">
        <f aca="false">MAX(0,(1-((1-Assumptions!$C$23)*$C$6)))</f>
        <v>0.55</v>
      </c>
      <c r="W35" s="12" t="n">
        <f aca="false">MAX(0,(1-((1-Assumptions!$C$23)*$C$6)))</f>
        <v>0.55</v>
      </c>
      <c r="X35" s="12" t="n">
        <f aca="false">MAX(0,(1-((1-Assumptions!$C$23)*$C$6)))</f>
        <v>0.55</v>
      </c>
      <c r="Y35" s="12" t="n">
        <f aca="false">MAX(0,(1-((1-Assumptions!$C$23)*$C$6)))</f>
        <v>0.55</v>
      </c>
      <c r="Z35" s="12" t="n">
        <f aca="false">MAX(0,(1-((1-Assumptions!$C$23)*$C$6)))</f>
        <v>0.55</v>
      </c>
      <c r="AA35" s="12" t="n">
        <f aca="false">MAX(0,(1-((1-Assumptions!$C$23)*$C$6)))</f>
        <v>0.55</v>
      </c>
      <c r="AB35" s="12" t="n">
        <f aca="false">MAX(0,(1-((1-Assumptions!$C$23)*$C$6)))</f>
        <v>0.55</v>
      </c>
      <c r="AC35" s="12" t="n">
        <f aca="false">MAX(0,(1-((1-Assumptions!$C$23)*$C$6)))</f>
        <v>0.55</v>
      </c>
      <c r="AD35" s="12" t="n">
        <f aca="false">MAX(0,(1-((1-Assumptions!$C$23)*$C$6)))</f>
        <v>0.55</v>
      </c>
      <c r="AE35" s="12" t="n">
        <f aca="false">MAX(0,(1-((1-Assumptions!$C$23)*$C$6)))</f>
        <v>0.55</v>
      </c>
      <c r="AF35" s="12" t="n">
        <f aca="false">MAX(0,(1-((1-Assumptions!$C$23)*$C$6)))</f>
        <v>0.55</v>
      </c>
      <c r="AG35" s="12" t="n">
        <f aca="false">MAX(0,(1-((1-Assumptions!$C$23)*$C$6)))</f>
        <v>0.55</v>
      </c>
      <c r="AH35" s="12" t="n">
        <f aca="false">MAX(0,(1-((1-Assumptions!$C$23)*$C$6)))</f>
        <v>0.55</v>
      </c>
      <c r="AI35" s="12" t="n">
        <f aca="false">MAX(0,(1-((1-Assumptions!$C$23)*$C$6)))</f>
        <v>0.55</v>
      </c>
      <c r="AJ35" s="12" t="n">
        <f aca="false">MAX(0,(1-((1-Assumptions!$C$23)*$C$6)))</f>
        <v>0.55</v>
      </c>
      <c r="AK35" s="12" t="n">
        <f aca="false">MAX(0,(1-((1-Assumptions!$C$23)*$C$6)))</f>
        <v>0.55</v>
      </c>
      <c r="AL35" s="12" t="n">
        <f aca="false">MAX(0,(1-((1-Assumptions!$C$23)*$C$6)))</f>
        <v>0.55</v>
      </c>
    </row>
    <row r="36" customFormat="false" ht="15" hidden="false" customHeight="false" outlineLevel="0" collapsed="false">
      <c r="A36" s="0" t="s">
        <v>841</v>
      </c>
      <c r="B36" s="0" t="s">
        <v>500</v>
      </c>
      <c r="C36" s="9" t="n">
        <f aca="false">(C35*0)</f>
        <v>0</v>
      </c>
      <c r="D36" s="9" t="n">
        <f aca="false">(D35*0)</f>
        <v>0</v>
      </c>
      <c r="E36" s="9" t="n">
        <f aca="false">(E35*0)</f>
        <v>0</v>
      </c>
      <c r="F36" s="9" t="n">
        <f aca="false">(F35*0)</f>
        <v>0</v>
      </c>
      <c r="G36" s="9" t="n">
        <f aca="false">(G35*0)</f>
        <v>0</v>
      </c>
      <c r="H36" s="9" t="n">
        <f aca="false">(H35*0)</f>
        <v>0</v>
      </c>
      <c r="I36" s="9" t="n">
        <f aca="false">(I35*0)</f>
        <v>0</v>
      </c>
      <c r="J36" s="9" t="n">
        <f aca="false">(J35*0)</f>
        <v>0</v>
      </c>
      <c r="K36" s="9" t="n">
        <f aca="false">(K35*0)</f>
        <v>0</v>
      </c>
      <c r="L36" s="9" t="n">
        <f aca="false">(L35*0)</f>
        <v>0</v>
      </c>
      <c r="M36" s="9" t="n">
        <f aca="false">(M35*0)</f>
        <v>0</v>
      </c>
      <c r="N36" s="9" t="n">
        <f aca="false">(N35*0)</f>
        <v>0</v>
      </c>
      <c r="O36" s="9" t="n">
        <f aca="false">(O35*C37)</f>
        <v>0</v>
      </c>
      <c r="P36" s="9" t="n">
        <f aca="false">(P35*D37)</f>
        <v>0</v>
      </c>
      <c r="Q36" s="9" t="n">
        <f aca="false">(Q35*E37)</f>
        <v>0</v>
      </c>
      <c r="R36" s="9" t="n">
        <f aca="false">(R35*F37)</f>
        <v>0</v>
      </c>
      <c r="S36" s="9" t="n">
        <f aca="false">(S35*G37)</f>
        <v>0</v>
      </c>
      <c r="T36" s="9" t="n">
        <f aca="false">(T35*H37)</f>
        <v>0</v>
      </c>
      <c r="U36" s="9" t="n">
        <f aca="false">(U35*I37)</f>
        <v>0</v>
      </c>
      <c r="V36" s="9" t="n">
        <f aca="false">(V35*J37)</f>
        <v>0</v>
      </c>
      <c r="W36" s="9" t="n">
        <f aca="false">(W35*K37)</f>
        <v>0</v>
      </c>
      <c r="X36" s="9" t="n">
        <f aca="false">(X35*L37)</f>
        <v>0</v>
      </c>
      <c r="Y36" s="9" t="n">
        <f aca="false">(Y35*M37)</f>
        <v>0</v>
      </c>
      <c r="Z36" s="9" t="n">
        <f aca="false">(Z35*N37)</f>
        <v>0</v>
      </c>
      <c r="AA36" s="9" t="n">
        <f aca="false">(AA35*O37)</f>
        <v>1.11759598998379</v>
      </c>
      <c r="AB36" s="9" t="n">
        <f aca="false">(AB35*P37)</f>
        <v>2.49531607567314</v>
      </c>
      <c r="AC36" s="9" t="n">
        <f aca="false">(AC35*Q37)</f>
        <v>3.56706037953005</v>
      </c>
      <c r="AD36" s="9" t="n">
        <f aca="false">(AD35*R37)</f>
        <v>4.35750512817104</v>
      </c>
      <c r="AE36" s="9" t="n">
        <f aca="false">(AE35*S37)</f>
        <v>4.9864327774712</v>
      </c>
      <c r="AF36" s="9" t="n">
        <f aca="false">(AF35*T37)</f>
        <v>5.36419294368185</v>
      </c>
      <c r="AG36" s="9" t="n">
        <f aca="false">(AG35*U37)</f>
        <v>5.61336439867157</v>
      </c>
      <c r="AH36" s="9" t="n">
        <f aca="false">(AH35*V37)</f>
        <v>6.07598835173444</v>
      </c>
      <c r="AI36" s="9" t="n">
        <f aca="false">(AI35*W37)</f>
        <v>7.55475043139244</v>
      </c>
      <c r="AJ36" s="9" t="n">
        <f aca="false">(AJ35*X37)</f>
        <v>9.16717366725906</v>
      </c>
      <c r="AK36" s="9" t="n">
        <f aca="false">(AK35*Y37)</f>
        <v>9.79245873040136</v>
      </c>
      <c r="AL36" s="9" t="n">
        <f aca="false">(AL35*Z37)</f>
        <v>10.1358461284627</v>
      </c>
      <c r="AN36" s="11" t="n">
        <f aca="false">SUM(C36:N36)</f>
        <v>0</v>
      </c>
      <c r="AO36" s="11" t="n">
        <f aca="false">SUM(O36:Z36)</f>
        <v>0</v>
      </c>
      <c r="AP36" s="11" t="n">
        <f aca="false">SUM(AA36:AL36)</f>
        <v>70.2276850024327</v>
      </c>
    </row>
    <row r="37" customFormat="false" ht="15" hidden="false" customHeight="false" outlineLevel="0" collapsed="false">
      <c r="A37" s="0" t="s">
        <v>842</v>
      </c>
      <c r="B37" s="0" t="s">
        <v>500</v>
      </c>
      <c r="C37" s="9" t="n">
        <f aca="false">(C33+C36)</f>
        <v>0</v>
      </c>
      <c r="D37" s="9" t="n">
        <f aca="false">(D33+D36)</f>
        <v>0</v>
      </c>
      <c r="E37" s="9" t="n">
        <f aca="false">(E33+E36)</f>
        <v>0</v>
      </c>
      <c r="F37" s="9" t="n">
        <f aca="false">(F33+F36)</f>
        <v>0</v>
      </c>
      <c r="G37" s="9" t="n">
        <f aca="false">(G33+G36)</f>
        <v>0</v>
      </c>
      <c r="H37" s="9" t="n">
        <f aca="false">(H33+H36)</f>
        <v>0</v>
      </c>
      <c r="I37" s="9" t="n">
        <f aca="false">(I33+I36)</f>
        <v>0</v>
      </c>
      <c r="J37" s="9" t="n">
        <f aca="false">(J33+J36)</f>
        <v>0</v>
      </c>
      <c r="K37" s="9" t="n">
        <f aca="false">(K33+K36)</f>
        <v>0</v>
      </c>
      <c r="L37" s="9" t="n">
        <f aca="false">(L33+L36)</f>
        <v>0</v>
      </c>
      <c r="M37" s="9" t="n">
        <f aca="false">(M33+M36)</f>
        <v>0</v>
      </c>
      <c r="N37" s="9" t="n">
        <f aca="false">(N33+N36)</f>
        <v>0</v>
      </c>
      <c r="O37" s="9" t="n">
        <f aca="false">(O33+O36)</f>
        <v>2.03199270906143</v>
      </c>
      <c r="P37" s="9" t="n">
        <f aca="false">(P33+P36)</f>
        <v>4.5369383194057</v>
      </c>
      <c r="Q37" s="9" t="n">
        <f aca="false">(Q33+Q36)</f>
        <v>6.48556432641828</v>
      </c>
      <c r="R37" s="9" t="n">
        <f aca="false">(R33+R36)</f>
        <v>7.92273659667462</v>
      </c>
      <c r="S37" s="9" t="n">
        <f aca="false">(S33+S36)</f>
        <v>9.066241413584</v>
      </c>
      <c r="T37" s="9" t="n">
        <f aca="false">(T33+T36)</f>
        <v>9.75307807942154</v>
      </c>
      <c r="U37" s="9" t="n">
        <f aca="false">(U33+U36)</f>
        <v>10.2061170884938</v>
      </c>
      <c r="V37" s="9" t="n">
        <f aca="false">(V33+V36)</f>
        <v>11.0472515486081</v>
      </c>
      <c r="W37" s="9" t="n">
        <f aca="false">(W33+W36)</f>
        <v>13.735909875259</v>
      </c>
      <c r="X37" s="9" t="n">
        <f aca="false">(X33+X36)</f>
        <v>16.6675884859256</v>
      </c>
      <c r="Y37" s="9" t="n">
        <f aca="false">(Y33+Y36)</f>
        <v>17.8044704189116</v>
      </c>
      <c r="Z37" s="9" t="n">
        <f aca="false">(Z33+Z36)</f>
        <v>18.4288111426595</v>
      </c>
      <c r="AA37" s="9" t="n">
        <f aca="false">(AA33+AA36)</f>
        <v>19.6871252330532</v>
      </c>
      <c r="AB37" s="9" t="n">
        <f aca="false">(AB33+AB36)</f>
        <v>23.1954026259327</v>
      </c>
      <c r="AC37" s="9" t="n">
        <f aca="false">(AC33+AC36)</f>
        <v>25.7014371204583</v>
      </c>
      <c r="AD37" s="9" t="n">
        <f aca="false">(AD33+AD36)</f>
        <v>27.2913837698012</v>
      </c>
      <c r="AE37" s="9" t="n">
        <f aca="false">(AE33+AE36)</f>
        <v>28.4097887323925</v>
      </c>
      <c r="AF37" s="9" t="n">
        <f aca="false">(AF33+AF36)</f>
        <v>28.7143560814227</v>
      </c>
      <c r="AG37" s="9" t="n">
        <f aca="false">(AG33+AG36)</f>
        <v>28.655588797439</v>
      </c>
      <c r="AH37" s="9" t="n">
        <f aca="false">(AH33+AH36)</f>
        <v>29.4689399738016</v>
      </c>
      <c r="AI37" s="9" t="n">
        <f aca="false">(AI33+AI36)</f>
        <v>34.0061733767906</v>
      </c>
      <c r="AJ37" s="9" t="n">
        <f aca="false">(AJ33+AJ36)</f>
        <v>39.0372685956135</v>
      </c>
      <c r="AK37" s="9" t="n">
        <f aca="false">(AK33+AK36)</f>
        <v>40.5948851598784</v>
      </c>
      <c r="AL37" s="9" t="n">
        <f aca="false">(AL33+AL36)</f>
        <v>41.1970396155862</v>
      </c>
      <c r="AN37" s="11" t="n">
        <f aca="false">SUM(C37:N37)</f>
        <v>0</v>
      </c>
      <c r="AO37" s="11" t="n">
        <f aca="false">SUM(O37:Z37)</f>
        <v>127.686700004423</v>
      </c>
      <c r="AP37" s="11" t="n">
        <f aca="false">SUM(AA37:AL37)</f>
        <v>365.95938908217</v>
      </c>
    </row>
    <row r="38" customFormat="false" ht="15" hidden="false" customHeight="false" outlineLevel="0" collapsed="false">
      <c r="A38" s="0" t="s">
        <v>843</v>
      </c>
      <c r="B38" s="0" t="s">
        <v>500</v>
      </c>
      <c r="C38" s="9" t="n">
        <f aca="false">C37</f>
        <v>0</v>
      </c>
      <c r="D38" s="9" t="n">
        <f aca="false">SUM(C37:D37)</f>
        <v>0</v>
      </c>
      <c r="E38" s="9" t="n">
        <f aca="false">SUM(C37:E37)</f>
        <v>0</v>
      </c>
      <c r="F38" s="9" t="n">
        <f aca="false">SUM(C37:F37)</f>
        <v>0</v>
      </c>
      <c r="G38" s="9" t="n">
        <f aca="false">SUM(C37:G37)</f>
        <v>0</v>
      </c>
      <c r="H38" s="9" t="n">
        <f aca="false">SUM(C37:H37)</f>
        <v>0</v>
      </c>
      <c r="I38" s="9" t="n">
        <f aca="false">SUM(C37:I37)</f>
        <v>0</v>
      </c>
      <c r="J38" s="9" t="n">
        <f aca="false">SUM(C37:J37)</f>
        <v>0</v>
      </c>
      <c r="K38" s="9" t="n">
        <f aca="false">SUM(C37:K37)</f>
        <v>0</v>
      </c>
      <c r="L38" s="9" t="n">
        <f aca="false">SUM(C37:L37)</f>
        <v>0</v>
      </c>
      <c r="M38" s="9" t="n">
        <f aca="false">SUM(C37:M37)</f>
        <v>0</v>
      </c>
      <c r="N38" s="9" t="n">
        <f aca="false">SUM(C37:N37)</f>
        <v>0</v>
      </c>
      <c r="O38" s="9" t="n">
        <f aca="false">SUM(D37:O37)</f>
        <v>2.03199270906143</v>
      </c>
      <c r="P38" s="9" t="n">
        <f aca="false">SUM(E37:P37)</f>
        <v>6.56893102846713</v>
      </c>
      <c r="Q38" s="9" t="n">
        <f aca="false">SUM(F37:Q37)</f>
        <v>13.0544953548854</v>
      </c>
      <c r="R38" s="9" t="n">
        <f aca="false">SUM(G37:R37)</f>
        <v>20.97723195156</v>
      </c>
      <c r="S38" s="9" t="n">
        <f aca="false">SUM(H37:S37)</f>
        <v>30.043473365144</v>
      </c>
      <c r="T38" s="9" t="n">
        <f aca="false">SUM(I37:T37)</f>
        <v>39.7965514445656</v>
      </c>
      <c r="U38" s="9" t="n">
        <f aca="false">SUM(J37:U37)</f>
        <v>50.0026685330593</v>
      </c>
      <c r="V38" s="9" t="n">
        <f aca="false">SUM(K37:V37)</f>
        <v>61.0499200816674</v>
      </c>
      <c r="W38" s="9" t="n">
        <f aca="false">SUM(L37:W37)</f>
        <v>74.7858299569264</v>
      </c>
      <c r="X38" s="9" t="n">
        <f aca="false">SUM(M37:X37)</f>
        <v>91.4534184428519</v>
      </c>
      <c r="Y38" s="9" t="n">
        <f aca="false">SUM(N37:Y37)</f>
        <v>109.257888861763</v>
      </c>
      <c r="Z38" s="9" t="n">
        <f aca="false">SUM(O37:Z37)</f>
        <v>127.686700004423</v>
      </c>
      <c r="AA38" s="9" t="n">
        <f aca="false">SUM(P37:AA37)</f>
        <v>145.341832528415</v>
      </c>
      <c r="AB38" s="9" t="n">
        <f aca="false">SUM(Q37:AB37)</f>
        <v>164.000296834942</v>
      </c>
      <c r="AC38" s="9" t="n">
        <f aca="false">SUM(R37:AC37)</f>
        <v>183.216169628982</v>
      </c>
      <c r="AD38" s="9" t="n">
        <f aca="false">SUM(S37:AD37)</f>
        <v>202.584816802108</v>
      </c>
      <c r="AE38" s="9" t="n">
        <f aca="false">SUM(T37:AE37)</f>
        <v>221.928364120917</v>
      </c>
      <c r="AF38" s="9" t="n">
        <f aca="false">SUM(U37:AF37)</f>
        <v>240.889642122918</v>
      </c>
      <c r="AG38" s="9" t="n">
        <f aca="false">SUM(V37:AG37)</f>
        <v>259.339113831863</v>
      </c>
      <c r="AH38" s="9" t="n">
        <f aca="false">SUM(W37:AH37)</f>
        <v>277.760802257057</v>
      </c>
      <c r="AI38" s="9" t="n">
        <f aca="false">SUM(X37:AI37)</f>
        <v>298.031065758588</v>
      </c>
      <c r="AJ38" s="9" t="n">
        <f aca="false">SUM(Y37:AJ37)</f>
        <v>320.400745868276</v>
      </c>
      <c r="AK38" s="9" t="n">
        <f aca="false">SUM(Z37:AK37)</f>
        <v>343.191160609243</v>
      </c>
      <c r="AL38" s="9" t="n">
        <f aca="false">SUM(AA37:AL37)</f>
        <v>365.95938908217</v>
      </c>
      <c r="AN38" s="11" t="n">
        <f aca="false">N38</f>
        <v>0</v>
      </c>
      <c r="AO38" s="11" t="n">
        <f aca="false">Z38</f>
        <v>127.686700004423</v>
      </c>
      <c r="AP38" s="11" t="n">
        <f aca="false">AL38</f>
        <v>365.95938908217</v>
      </c>
    </row>
    <row r="39" customFormat="false" ht="15" hidden="false" customHeight="false" outlineLevel="0" collapsed="false">
      <c r="A39" s="0" t="s">
        <v>844</v>
      </c>
      <c r="B39" s="0" t="s">
        <v>500</v>
      </c>
      <c r="C39" s="9" t="n">
        <f aca="false">(C34+C38)</f>
        <v>0</v>
      </c>
      <c r="D39" s="9" t="n">
        <f aca="false">(D34+D38)</f>
        <v>0</v>
      </c>
      <c r="E39" s="9" t="n">
        <f aca="false">(E34+E38)</f>
        <v>0</v>
      </c>
      <c r="F39" s="9" t="n">
        <f aca="false">(F34+F38)</f>
        <v>0</v>
      </c>
      <c r="G39" s="9" t="n">
        <f aca="false">(G34+G38)</f>
        <v>0</v>
      </c>
      <c r="H39" s="9" t="n">
        <f aca="false">(H34+H38)</f>
        <v>0</v>
      </c>
      <c r="I39" s="9" t="n">
        <f aca="false">(I34+I38)</f>
        <v>0</v>
      </c>
      <c r="J39" s="9" t="n">
        <f aca="false">(J34+J38)</f>
        <v>0</v>
      </c>
      <c r="K39" s="9" t="n">
        <f aca="false">(K34+K38)</f>
        <v>0</v>
      </c>
      <c r="L39" s="9" t="n">
        <f aca="false">(L34+L38)</f>
        <v>0</v>
      </c>
      <c r="M39" s="9" t="n">
        <f aca="false">(M34+M38)</f>
        <v>0</v>
      </c>
      <c r="N39" s="9" t="n">
        <f aca="false">(N34+N38)</f>
        <v>0</v>
      </c>
      <c r="O39" s="9" t="n">
        <f aca="false">(O34+O38)</f>
        <v>4.51553935346985</v>
      </c>
      <c r="P39" s="9" t="n">
        <f aca="false">(P34+P38)</f>
        <v>14.4734471754843</v>
      </c>
      <c r="Q39" s="9" t="n">
        <f aca="false">(Q34+Q38)</f>
        <v>28.4905865379519</v>
      </c>
      <c r="R39" s="9" t="n">
        <f aca="false">(R34+R38)</f>
        <v>45.3248633047421</v>
      </c>
      <c r="S39" s="9" t="n">
        <f aca="false">(S34+S38)</f>
        <v>64.2546848783808</v>
      </c>
      <c r="T39" s="9" t="n">
        <f aca="false">(T34+T38)</f>
        <v>84.2176311458779</v>
      </c>
      <c r="U39" s="9" t="n">
        <f aca="false">(U34+U38)</f>
        <v>104.676837357465</v>
      </c>
      <c r="V39" s="9" t="n">
        <f aca="false">(V34+V38)</f>
        <v>126.492576802041</v>
      </c>
      <c r="W39" s="9" t="n">
        <f aca="false">(W34+W38)</f>
        <v>153.744688133264</v>
      </c>
      <c r="X39" s="9" t="n">
        <f aca="false">(X34+X38)</f>
        <v>186.835830748726</v>
      </c>
      <c r="Y39" s="9" t="n">
        <f aca="false">(Y34+Y38)</f>
        <v>221.632199953236</v>
      </c>
      <c r="Z39" s="9" t="n">
        <f aca="false">(Z34+Z38)</f>
        <v>256.966398049017</v>
      </c>
      <c r="AA39" s="9" t="n">
        <f aca="false">(AA34+AA38)</f>
        <v>290.853636967864</v>
      </c>
      <c r="AB39" s="9" t="n">
        <f aca="false">(AB34+AB38)</f>
        <v>327.536616836069</v>
      </c>
      <c r="AC39" s="9" t="n">
        <f aca="false">(AC34+AC38)</f>
        <v>365.628800757854</v>
      </c>
      <c r="AD39" s="9" t="n">
        <f aca="false">(AD34+AD38)</f>
        <v>403.907112492085</v>
      </c>
      <c r="AE39" s="9" t="n">
        <f aca="false">(AE34+AE38)</f>
        <v>441.81309119352</v>
      </c>
      <c r="AF39" s="9" t="n">
        <f aca="false">(AF34+AF38)</f>
        <v>478.319221121352</v>
      </c>
      <c r="AG39" s="9" t="n">
        <f aca="false">(AG34+AG38)</f>
        <v>513.05993258998</v>
      </c>
      <c r="AH39" s="9" t="n">
        <f aca="false">(AH34+AH38)</f>
        <v>547.386965393128</v>
      </c>
      <c r="AI39" s="9" t="n">
        <f aca="false">(AI34+AI38)</f>
        <v>586.50543767112</v>
      </c>
      <c r="AJ39" s="9" t="n">
        <f aca="false">(AJ34+AJ38)</f>
        <v>630.959292986504</v>
      </c>
      <c r="AK39" s="9" t="n">
        <f aca="false">(AK34+AK38)</f>
        <v>675.869190452031</v>
      </c>
      <c r="AL39" s="9" t="n">
        <f aca="false">(AL34+AL38)</f>
        <v>719.967198361525</v>
      </c>
      <c r="AN39" s="11" t="n">
        <f aca="false">N39</f>
        <v>0</v>
      </c>
      <c r="AO39" s="11" t="n">
        <f aca="false">Z39</f>
        <v>256.966398049017</v>
      </c>
      <c r="AP39" s="11" t="n">
        <f aca="false">AL39</f>
        <v>719.967198361525</v>
      </c>
    </row>
    <row r="40" customFormat="false" ht="15" hidden="false" customHeight="false" outlineLevel="0" collapsed="false">
      <c r="A40" s="0" t="s">
        <v>845</v>
      </c>
      <c r="B40" s="0" t="s">
        <v>500</v>
      </c>
      <c r="C40" s="9" t="n">
        <f aca="false">((0+C28)-C39)</f>
        <v>0</v>
      </c>
      <c r="D40" s="9" t="n">
        <f aca="false">((C39+D28)-D39)</f>
        <v>0</v>
      </c>
      <c r="E40" s="9" t="n">
        <f aca="false">((D39+E28)-E39)</f>
        <v>0</v>
      </c>
      <c r="F40" s="9" t="n">
        <f aca="false">((E39+F28)-F39)</f>
        <v>0</v>
      </c>
      <c r="G40" s="9" t="n">
        <f aca="false">((F39+G28)-G39)</f>
        <v>0</v>
      </c>
      <c r="H40" s="9" t="n">
        <f aca="false">((G39+H28)-H39)</f>
        <v>0</v>
      </c>
      <c r="I40" s="9" t="n">
        <f aca="false">((H39+I28)-I39)</f>
        <v>0</v>
      </c>
      <c r="J40" s="9" t="n">
        <f aca="false">((I39+J28)-J39)</f>
        <v>0</v>
      </c>
      <c r="K40" s="9" t="n">
        <f aca="false">((J39+K28)-K39)</f>
        <v>0</v>
      </c>
      <c r="L40" s="9" t="n">
        <f aca="false">((K39+L28)-L39)</f>
        <v>0</v>
      </c>
      <c r="M40" s="9" t="n">
        <f aca="false">((L39+M28)-M39)</f>
        <v>0</v>
      </c>
      <c r="N40" s="9" t="n">
        <f aca="false">((M39+N28)-N39)</f>
        <v>0</v>
      </c>
      <c r="O40" s="9" t="n">
        <f aca="false">((N39+O28)-O39)</f>
        <v>0</v>
      </c>
      <c r="P40" s="9" t="n">
        <f aca="false">((O39+P28)-P39)</f>
        <v>0.12417733222042</v>
      </c>
      <c r="Q40" s="9" t="n">
        <f aca="false">((P39+Q28)-Q39)</f>
        <v>0.395225807350862</v>
      </c>
      <c r="R40" s="9" t="n">
        <f aca="false">((Q39+R28)-R39)</f>
        <v>0.771804559153324</v>
      </c>
      <c r="S40" s="9" t="n">
        <f aca="false">((R39+S28)-S39)</f>
        <v>1.2173815676591</v>
      </c>
      <c r="T40" s="9" t="n">
        <f aca="false">((S39+T28)-T39)</f>
        <v>1.71056057566183</v>
      </c>
      <c r="U40" s="9" t="n">
        <f aca="false">((T39+U28)-U39)</f>
        <v>2.22105398506564</v>
      </c>
      <c r="V40" s="9" t="n">
        <f aca="false">((U39+V28)-V39)</f>
        <v>2.73370844122029</v>
      </c>
      <c r="W40" s="9" t="n">
        <f aca="false">((V39+W28)-W39)</f>
        <v>3.27213283601867</v>
      </c>
      <c r="X40" s="9" t="n">
        <f aca="false">((W39+X28)-X39)</f>
        <v>3.94794290881686</v>
      </c>
      <c r="Y40" s="9" t="n">
        <f aca="false">((X39+Y28)-Y39)</f>
        <v>4.76912061529373</v>
      </c>
      <c r="Z40" s="9" t="n">
        <f aca="false">((Y39+Z28)-Z39)</f>
        <v>5.61871555457367</v>
      </c>
      <c r="AA40" s="9" t="n">
        <f aca="false">((Z39+AA28)-AA39)</f>
        <v>7.37838162130731</v>
      </c>
      <c r="AB40" s="9" t="n">
        <f aca="false">((AA39+AB28)-AB39)</f>
        <v>9.31721246570498</v>
      </c>
      <c r="AC40" s="9" t="n">
        <f aca="false">((AB39+AC28)-AC39)</f>
        <v>11.0953199469446</v>
      </c>
      <c r="AD40" s="9" t="n">
        <f aca="false">((AC39+AD28)-AD39)</f>
        <v>12.6858630249472</v>
      </c>
      <c r="AE40" s="9" t="n">
        <f aca="false">((AD39+AE28)-AE39)</f>
        <v>14.1459234206117</v>
      </c>
      <c r="AF40" s="9" t="n">
        <f aca="false">((AE39+AF28)-AF39)</f>
        <v>15.3831214893698</v>
      </c>
      <c r="AG40" s="9" t="n">
        <f aca="false">((AF39+AG28)-AG39)</f>
        <v>16.464231639744</v>
      </c>
      <c r="AH40" s="9" t="n">
        <f aca="false">((AG39+AH28)-AH39)</f>
        <v>17.6573041347795</v>
      </c>
      <c r="AI40" s="9" t="n">
        <f aca="false">((AH39+AI28)-AI39)</f>
        <v>19.6624676006701</v>
      </c>
      <c r="AJ40" s="9" t="n">
        <f aca="false">((AI39+AJ28)-AJ39)</f>
        <v>21.9241334142932</v>
      </c>
      <c r="AK40" s="9" t="n">
        <f aca="false">((AJ39+AK28)-AK39)</f>
        <v>23.5399390444215</v>
      </c>
      <c r="AL40" s="9" t="n">
        <f aca="false">((AK39+AL28)-AL39)</f>
        <v>24.9268665063362</v>
      </c>
      <c r="AN40" s="11" t="n">
        <f aca="false">SUM(C40:N40)</f>
        <v>0</v>
      </c>
      <c r="AO40" s="11" t="n">
        <f aca="false">SUM(O40:Z40)</f>
        <v>26.7818241830344</v>
      </c>
      <c r="AP40" s="11" t="n">
        <f aca="false">SUM(AA40:AL40)</f>
        <v>194.18076430913</v>
      </c>
    </row>
    <row r="41" customFormat="false" ht="15" hidden="false" customHeight="false" outlineLevel="0" collapsed="false">
      <c r="A41" s="0" t="s">
        <v>846</v>
      </c>
      <c r="B41" s="0" t="s">
        <v>230</v>
      </c>
      <c r="C41" s="9" t="n">
        <f aca="false">((((Assumptions!$C$12*(1-Assumptions!$C$14))*C34)+((Assumptions!$C$13*(1-Assumptions!$C$14))*C37))*(1-Assumptions!$C$15))</f>
        <v>0</v>
      </c>
      <c r="D41" s="9" t="n">
        <f aca="false">((((Assumptions!$C$12*(1-Assumptions!$C$14))*D34)+((Assumptions!$C$13*(1-Assumptions!$C$14))*D37))*(1-Assumptions!$C$15))</f>
        <v>0</v>
      </c>
      <c r="E41" s="9" t="n">
        <f aca="false">((((Assumptions!$C$12*(1-Assumptions!$C$14))*E34)+((Assumptions!$C$13*(1-Assumptions!$C$14))*E37))*(1-Assumptions!$C$15))</f>
        <v>0</v>
      </c>
      <c r="F41" s="9" t="n">
        <f aca="false">((((Assumptions!$C$12*(1-Assumptions!$C$14))*F34)+((Assumptions!$C$13*(1-Assumptions!$C$14))*F37))*(1-Assumptions!$C$15))</f>
        <v>0</v>
      </c>
      <c r="G41" s="9" t="n">
        <f aca="false">((((Assumptions!$C$12*(1-Assumptions!$C$14))*G34)+((Assumptions!$C$13*(1-Assumptions!$C$14))*G37))*(1-Assumptions!$C$15))</f>
        <v>0</v>
      </c>
      <c r="H41" s="9" t="n">
        <f aca="false">((((Assumptions!$C$12*(1-Assumptions!$C$14))*H34)+((Assumptions!$C$13*(1-Assumptions!$C$14))*H37))*(1-Assumptions!$C$15))</f>
        <v>0</v>
      </c>
      <c r="I41" s="9" t="n">
        <f aca="false">((((Assumptions!$C$12*(1-Assumptions!$C$14))*I34)+((Assumptions!$C$13*(1-Assumptions!$C$14))*I37))*(1-Assumptions!$C$15))</f>
        <v>0</v>
      </c>
      <c r="J41" s="9" t="n">
        <f aca="false">((((Assumptions!$C$12*(1-Assumptions!$C$14))*J34)+((Assumptions!$C$13*(1-Assumptions!$C$14))*J37))*(1-Assumptions!$C$15))</f>
        <v>0</v>
      </c>
      <c r="K41" s="9" t="n">
        <f aca="false">((((Assumptions!$C$12*(1-Assumptions!$C$14))*K34)+((Assumptions!$C$13*(1-Assumptions!$C$14))*K37))*(1-Assumptions!$C$15))</f>
        <v>0</v>
      </c>
      <c r="L41" s="9" t="n">
        <f aca="false">((((Assumptions!$C$12*(1-Assumptions!$C$14))*L34)+((Assumptions!$C$13*(1-Assumptions!$C$14))*L37))*(1-Assumptions!$C$15))</f>
        <v>0</v>
      </c>
      <c r="M41" s="9" t="n">
        <f aca="false">((((Assumptions!$C$12*(1-Assumptions!$C$14))*M34)+((Assumptions!$C$13*(1-Assumptions!$C$14))*M37))*(1-Assumptions!$C$15))</f>
        <v>0</v>
      </c>
      <c r="N41" s="9" t="n">
        <f aca="false">((((Assumptions!$C$12*(1-Assumptions!$C$14))*N34)+((Assumptions!$C$13*(1-Assumptions!$C$14))*N37))*(1-Assumptions!$C$15))</f>
        <v>0</v>
      </c>
      <c r="O41" s="9" t="n">
        <f aca="false">((((Assumptions!$C$12*(1-Assumptions!$C$14))*O34)+((Assumptions!$C$13*(1-Assumptions!$C$14))*O37))*(1-Assumptions!$C$15))</f>
        <v>121.607982877657</v>
      </c>
      <c r="P41" s="9" t="n">
        <f aca="false">((((Assumptions!$C$12*(1-Assumptions!$C$14))*P34)+((Assumptions!$C$13*(1-Assumptions!$C$14))*P37))*(1-Assumptions!$C$15))</f>
        <v>287.926957961313</v>
      </c>
      <c r="Q41" s="9" t="n">
        <f aca="false">((((Assumptions!$C$12*(1-Assumptions!$C$14))*Q34)+((Assumptions!$C$13*(1-Assumptions!$C$14))*Q37))*(1-Assumptions!$C$15))</f>
        <v>440.356712315043</v>
      </c>
      <c r="R41" s="9" t="n">
        <f aca="false">((((Assumptions!$C$12*(1-Assumptions!$C$14))*R34)+((Assumptions!$C$13*(1-Assumptions!$C$14))*R37))*(1-Assumptions!$C$15))</f>
        <v>576.120353042797</v>
      </c>
      <c r="S41" s="9" t="n">
        <f aca="false">((((Assumptions!$C$12*(1-Assumptions!$C$14))*S34)+((Assumptions!$C$13*(1-Assumptions!$C$14))*S37))*(1-Assumptions!$C$15))</f>
        <v>703.425043098247</v>
      </c>
      <c r="T41" s="9" t="n">
        <f aca="false">((((Assumptions!$C$12*(1-Assumptions!$C$14))*T34)+((Assumptions!$C$13*(1-Assumptions!$C$14))*T37))*(1-Assumptions!$C$15))</f>
        <v>809.68885595449</v>
      </c>
      <c r="U41" s="9" t="n">
        <f aca="false">((((Assumptions!$C$12*(1-Assumptions!$C$14))*U34)+((Assumptions!$C$13*(1-Assumptions!$C$14))*U37))*(1-Assumptions!$C$15))</f>
        <v>904.248242156615</v>
      </c>
      <c r="V41" s="9" t="n">
        <f aca="false">((((Assumptions!$C$12*(1-Assumptions!$C$14))*V34)+((Assumptions!$C$13*(1-Assumptions!$C$14))*V37))*(1-Assumptions!$C$15))</f>
        <v>1022.31936405095</v>
      </c>
      <c r="W41" s="9" t="n">
        <f aca="false">((((Assumptions!$C$12*(1-Assumptions!$C$14))*W34)+((Assumptions!$C$13*(1-Assumptions!$C$14))*W37))*(1-Assumptions!$C$15))</f>
        <v>1254.36335472606</v>
      </c>
      <c r="X41" s="9" t="n">
        <f aca="false">((((Assumptions!$C$12*(1-Assumptions!$C$14))*X34)+((Assumptions!$C$13*(1-Assumptions!$C$14))*X37))*(1-Assumptions!$C$15))</f>
        <v>1519.10272760288</v>
      </c>
      <c r="Y41" s="9" t="n">
        <f aca="false">((((Assumptions!$C$12*(1-Assumptions!$C$14))*Y34)+((Assumptions!$C$13*(1-Assumptions!$C$14))*Y37))*(1-Assumptions!$C$15))</f>
        <v>1695.63551564298</v>
      </c>
      <c r="Z41" s="9" t="n">
        <f aca="false">((((Assumptions!$C$12*(1-Assumptions!$C$14))*Z34)+((Assumptions!$C$13*(1-Assumptions!$C$14))*Z37))*(1-Assumptions!$C$15))</f>
        <v>1845.24891436354</v>
      </c>
      <c r="AA41" s="9" t="n">
        <f aca="false">((((Assumptions!$C$12*(1-Assumptions!$C$14))*AA34)+((Assumptions!$C$13*(1-Assumptions!$C$14))*AA37))*(1-Assumptions!$C$15))</f>
        <v>2022.73359832443</v>
      </c>
      <c r="AB41" s="9" t="n">
        <f aca="false">((((Assumptions!$C$12*(1-Assumptions!$C$14))*AB34)+((Assumptions!$C$13*(1-Assumptions!$C$14))*AB37))*(1-Assumptions!$C$15))</f>
        <v>2328.21259319848</v>
      </c>
      <c r="AC41" s="9" t="n">
        <f aca="false">((((Assumptions!$C$12*(1-Assumptions!$C$14))*AC34)+((Assumptions!$C$13*(1-Assumptions!$C$14))*AC37))*(1-Assumptions!$C$15))</f>
        <v>2588.1518486731</v>
      </c>
      <c r="AD41" s="9" t="n">
        <f aca="false">((((Assumptions!$C$12*(1-Assumptions!$C$14))*AD34)+((Assumptions!$C$13*(1-Assumptions!$C$14))*AD37))*(1-Assumptions!$C$15))</f>
        <v>2801.28402996912</v>
      </c>
      <c r="AE41" s="9" t="n">
        <f aca="false">((((Assumptions!$C$12*(1-Assumptions!$C$14))*AE34)+((Assumptions!$C$13*(1-Assumptions!$C$14))*AE37))*(1-Assumptions!$C$15))</f>
        <v>2987.78907588485</v>
      </c>
      <c r="AF41" s="9" t="n">
        <f aca="false">((((Assumptions!$C$12*(1-Assumptions!$C$14))*AF34)+((Assumptions!$C$13*(1-Assumptions!$C$14))*AF37))*(1-Assumptions!$C$15))</f>
        <v>3125.42949295474</v>
      </c>
      <c r="AG41" s="9" t="n">
        <f aca="false">((((Assumptions!$C$12*(1-Assumptions!$C$14))*AG34)+((Assumptions!$C$13*(1-Assumptions!$C$14))*AG37))*(1-Assumptions!$C$15))</f>
        <v>3235.69627313012</v>
      </c>
      <c r="AH41" s="9" t="n">
        <f aca="false">((((Assumptions!$C$12*(1-Assumptions!$C$14))*AH34)+((Assumptions!$C$13*(1-Assumptions!$C$14))*AH37))*(1-Assumptions!$C$15))</f>
        <v>3388.06093081358</v>
      </c>
      <c r="AI41" s="9" t="n">
        <f aca="false">((((Assumptions!$C$12*(1-Assumptions!$C$14))*AI34)+((Assumptions!$C$13*(1-Assumptions!$C$14))*AI37))*(1-Assumptions!$C$15))</f>
        <v>3752.10216324449</v>
      </c>
      <c r="AJ41" s="9" t="n">
        <f aca="false">((((Assumptions!$C$12*(1-Assumptions!$C$14))*AJ34)+((Assumptions!$C$13*(1-Assumptions!$C$14))*AJ37))*(1-Assumptions!$C$15))</f>
        <v>4164.00399408736</v>
      </c>
      <c r="AK41" s="9" t="n">
        <f aca="false">((((Assumptions!$C$12*(1-Assumptions!$C$14))*AK34)+((Assumptions!$C$13*(1-Assumptions!$C$14))*AK37))*(1-Assumptions!$C$15))</f>
        <v>4397.79620280759</v>
      </c>
      <c r="AL41" s="9" t="n">
        <f aca="false">((((Assumptions!$C$12*(1-Assumptions!$C$14))*AL34)+((Assumptions!$C$13*(1-Assumptions!$C$14))*AL37))*(1-Assumptions!$C$15))</f>
        <v>4577.03627243166</v>
      </c>
      <c r="AN41" s="11" t="n">
        <f aca="false">SUM(C41:N41)</f>
        <v>0</v>
      </c>
      <c r="AO41" s="11" t="n">
        <f aca="false">SUM(O41:Z41)</f>
        <v>11180.0440237926</v>
      </c>
      <c r="AP41" s="11" t="n">
        <f aca="false">SUM(AA41:AL41)</f>
        <v>39368.2964755195</v>
      </c>
    </row>
    <row r="42" customFormat="false" ht="15" hidden="false" customHeight="false" outlineLevel="0" collapsed="false">
      <c r="A42" s="0" t="s">
        <v>847</v>
      </c>
      <c r="B42" s="0" t="s">
        <v>230</v>
      </c>
      <c r="C42" s="9" t="n">
        <f aca="false">((((Assumptions!$C$12*(1-Assumptions!$C$14))*C34)+(((Assumptions!$C$13*(1-Assumptions!$C$14))/12)*C38))*(1-Assumptions!$C$15))</f>
        <v>0</v>
      </c>
      <c r="D42" s="9" t="n">
        <f aca="false">((((Assumptions!$C$12*(1-Assumptions!$C$14))*D34)+(((Assumptions!$C$13*(1-Assumptions!$C$14))/12)*D38))*(1-Assumptions!$C$15))</f>
        <v>0</v>
      </c>
      <c r="E42" s="9" t="n">
        <f aca="false">((((Assumptions!$C$12*(1-Assumptions!$C$14))*E34)+(((Assumptions!$C$13*(1-Assumptions!$C$14))/12)*E38))*(1-Assumptions!$C$15))</f>
        <v>0</v>
      </c>
      <c r="F42" s="9" t="n">
        <f aca="false">((((Assumptions!$C$12*(1-Assumptions!$C$14))*F34)+(((Assumptions!$C$13*(1-Assumptions!$C$14))/12)*F38))*(1-Assumptions!$C$15))</f>
        <v>0</v>
      </c>
      <c r="G42" s="9" t="n">
        <f aca="false">((((Assumptions!$C$12*(1-Assumptions!$C$14))*G34)+(((Assumptions!$C$13*(1-Assumptions!$C$14))/12)*G38))*(1-Assumptions!$C$15))</f>
        <v>0</v>
      </c>
      <c r="H42" s="9" t="n">
        <f aca="false">((((Assumptions!$C$12*(1-Assumptions!$C$14))*H34)+(((Assumptions!$C$13*(1-Assumptions!$C$14))/12)*H38))*(1-Assumptions!$C$15))</f>
        <v>0</v>
      </c>
      <c r="I42" s="9" t="n">
        <f aca="false">((((Assumptions!$C$12*(1-Assumptions!$C$14))*I34)+(((Assumptions!$C$13*(1-Assumptions!$C$14))/12)*I38))*(1-Assumptions!$C$15))</f>
        <v>0</v>
      </c>
      <c r="J42" s="9" t="n">
        <f aca="false">((((Assumptions!$C$12*(1-Assumptions!$C$14))*J34)+(((Assumptions!$C$13*(1-Assumptions!$C$14))/12)*J38))*(1-Assumptions!$C$15))</f>
        <v>0</v>
      </c>
      <c r="K42" s="9" t="n">
        <f aca="false">((((Assumptions!$C$12*(1-Assumptions!$C$14))*K34)+(((Assumptions!$C$13*(1-Assumptions!$C$14))/12)*K38))*(1-Assumptions!$C$15))</f>
        <v>0</v>
      </c>
      <c r="L42" s="9" t="n">
        <f aca="false">((((Assumptions!$C$12*(1-Assumptions!$C$14))*L34)+(((Assumptions!$C$13*(1-Assumptions!$C$14))/12)*L38))*(1-Assumptions!$C$15))</f>
        <v>0</v>
      </c>
      <c r="M42" s="9" t="n">
        <f aca="false">((((Assumptions!$C$12*(1-Assumptions!$C$14))*M34)+(((Assumptions!$C$13*(1-Assumptions!$C$14))/12)*M38))*(1-Assumptions!$C$15))</f>
        <v>0</v>
      </c>
      <c r="N42" s="9" t="n">
        <f aca="false">((((Assumptions!$C$12*(1-Assumptions!$C$14))*N34)+(((Assumptions!$C$13*(1-Assumptions!$C$14))/12)*N38))*(1-Assumptions!$C$15))</f>
        <v>0</v>
      </c>
      <c r="O42" s="9" t="n">
        <f aca="false">((((Assumptions!$C$12*(1-Assumptions!$C$14))*O34)+(((Assumptions!$C$13*(1-Assumptions!$C$14))/12)*O38))*(1-Assumptions!$C$15))</f>
        <v>25.964676852839</v>
      </c>
      <c r="P42" s="9" t="n">
        <f aca="false">((((Assumptions!$C$12*(1-Assumptions!$C$14))*P34)+(((Assumptions!$C$13*(1-Assumptions!$C$14))/12)*P38))*(1-Assumptions!$C$15))</f>
        <v>83.0739018655001</v>
      </c>
      <c r="Q42" s="9" t="n">
        <f aca="false">((((Assumptions!$C$12*(1-Assumptions!$C$14))*Q34)+(((Assumptions!$C$13*(1-Assumptions!$C$14))/12)*Q38))*(1-Assumptions!$C$15))</f>
        <v>163.197760212586</v>
      </c>
      <c r="R42" s="9" t="n">
        <f aca="false">((((Assumptions!$C$12*(1-Assumptions!$C$14))*R34)+(((Assumptions!$C$13*(1-Assumptions!$C$14))/12)*R38))*(1-Assumptions!$C$15))</f>
        <v>259.067102187655</v>
      </c>
      <c r="S42" s="9" t="n">
        <f aca="false">((((Assumptions!$C$12*(1-Assumptions!$C$14))*S34)+(((Assumptions!$C$13*(1-Assumptions!$C$14))/12)*S38))*(1-Assumptions!$C$15))</f>
        <v>366.449670308577</v>
      </c>
      <c r="T42" s="9" t="n">
        <f aca="false">((((Assumptions!$C$12*(1-Assumptions!$C$14))*T34)+(((Assumptions!$C$13*(1-Assumptions!$C$14))/12)*T38))*(1-Assumptions!$C$15))</f>
        <v>479.179177373287</v>
      </c>
      <c r="U42" s="9" t="n">
        <f aca="false">((((Assumptions!$C$12*(1-Assumptions!$C$14))*U34)+(((Assumptions!$C$13*(1-Assumptions!$C$14))/12)*U38))*(1-Assumptions!$C$15))</f>
        <v>594.147772318012</v>
      </c>
      <c r="V42" s="9" t="n">
        <f aca="false">((((Assumptions!$C$12*(1-Assumptions!$C$14))*V34)+(((Assumptions!$C$13*(1-Assumptions!$C$14))/12)*V38))*(1-Assumptions!$C$15))</f>
        <v>716.299487489941</v>
      </c>
      <c r="W42" s="9" t="n">
        <f aca="false">((((Assumptions!$C$12*(1-Assumptions!$C$14))*W34)+(((Assumptions!$C$13*(1-Assumptions!$C$14))/12)*W38))*(1-Assumptions!$C$15))</f>
        <v>869.062671964164</v>
      </c>
      <c r="X42" s="9" t="n">
        <f aca="false">((((Assumptions!$C$12*(1-Assumptions!$C$14))*X34)+(((Assumptions!$C$13*(1-Assumptions!$C$14))/12)*X38))*(1-Assumptions!$C$15))</f>
        <v>1054.58728548562</v>
      </c>
      <c r="Y42" s="9" t="n">
        <f aca="false">((((Assumptions!$C$12*(1-Assumptions!$C$14))*Y34)+(((Assumptions!$C$13*(1-Assumptions!$C$14))/12)*Y38))*(1-Assumptions!$C$15))</f>
        <v>1248.9286849061</v>
      </c>
      <c r="Z42" s="9" t="n">
        <f aca="false">((((Assumptions!$C$12*(1-Assumptions!$C$14))*Z34)+(((Assumptions!$C$13*(1-Assumptions!$C$14))/12)*Z38))*(1-Assumptions!$C$15))</f>
        <v>1445.34004560502</v>
      </c>
      <c r="AA42" s="9" t="n">
        <f aca="false">((((Assumptions!$C$12*(1-Assumptions!$C$14))*AA34)+(((Assumptions!$C$13*(1-Assumptions!$C$14))/12)*AA38))*(1-Assumptions!$C$15))</f>
        <v>1633.75906583846</v>
      </c>
      <c r="AB42" s="9" t="n">
        <f aca="false">((((Assumptions!$C$12*(1-Assumptions!$C$14))*AB34)+(((Assumptions!$C$13*(1-Assumptions!$C$14))/12)*AB38))*(1-Assumptions!$C$15))</f>
        <v>1838.93518793217</v>
      </c>
      <c r="AC42" s="9" t="n">
        <f aca="false">((((Assumptions!$C$12*(1-Assumptions!$C$14))*AC34)+(((Assumptions!$C$13*(1-Assumptions!$C$14))/12)*AC38))*(1-Assumptions!$C$15))</f>
        <v>2052.41957528112</v>
      </c>
      <c r="AD42" s="9" t="n">
        <f aca="false">((((Assumptions!$C$12*(1-Assumptions!$C$14))*AD34)+(((Assumptions!$C$13*(1-Assumptions!$C$14))/12)*AD38))*(1-Assumptions!$C$15))</f>
        <v>2266.7896100483</v>
      </c>
      <c r="AE42" s="9" t="n">
        <f aca="false">((((Assumptions!$C$12*(1-Assumptions!$C$14))*AE34)+(((Assumptions!$C$13*(1-Assumptions!$C$14))/12)*AE38))*(1-Assumptions!$C$15))</f>
        <v>2478.63768885488</v>
      </c>
      <c r="AF42" s="9" t="n">
        <f aca="false">((((Assumptions!$C$12*(1-Assumptions!$C$14))*AF34)+(((Assumptions!$C$13*(1-Assumptions!$C$14))/12)*AF38))*(1-Assumptions!$C$15))</f>
        <v>2681.77410759559</v>
      </c>
      <c r="AG42" s="9" t="n">
        <f aca="false">((((Assumptions!$C$12*(1-Assumptions!$C$14))*AG34)+(((Assumptions!$C$13*(1-Assumptions!$C$14))/12)*AG38))*(1-Assumptions!$C$15))</f>
        <v>2874.00328084456</v>
      </c>
      <c r="AH42" s="9" t="n">
        <f aca="false">((((Assumptions!$C$12*(1-Assumptions!$C$14))*AH34)+(((Assumptions!$C$13*(1-Assumptions!$C$14))/12)*AH38))*(1-Assumptions!$C$15))</f>
        <v>3063.4301705587</v>
      </c>
      <c r="AI42" s="9" t="n">
        <f aca="false">((((Assumptions!$C$12*(1-Assumptions!$C$14))*AI34)+(((Assumptions!$C$13*(1-Assumptions!$C$14))/12)*AI38))*(1-Assumptions!$C$15))</f>
        <v>3281.23085414941</v>
      </c>
      <c r="AJ42" s="9" t="n">
        <f aca="false">((((Assumptions!$C$12*(1-Assumptions!$C$14))*AJ34)+(((Assumptions!$C$13*(1-Assumptions!$C$14))/12)*AJ38))*(1-Assumptions!$C$15))</f>
        <v>3530.51681897208</v>
      </c>
      <c r="AK42" s="9" t="n">
        <f aca="false">((((Assumptions!$C$12*(1-Assumptions!$C$14))*AK34)+(((Assumptions!$C$13*(1-Assumptions!$C$14))/12)*AK38))*(1-Assumptions!$C$15))</f>
        <v>3781.84861455164</v>
      </c>
      <c r="AL42" s="9" t="n">
        <f aca="false">((((Assumptions!$C$12*(1-Assumptions!$C$14))*AL34)+(((Assumptions!$C$13*(1-Assumptions!$C$14))/12)*AL38))*(1-Assumptions!$C$15))</f>
        <v>4027.5941182603</v>
      </c>
      <c r="AN42" s="11" t="n">
        <f aca="false">SUM(C42:N42)</f>
        <v>0</v>
      </c>
      <c r="AO42" s="11" t="n">
        <f aca="false">SUM(O42:Z42)</f>
        <v>7305.29823656931</v>
      </c>
      <c r="AP42" s="11" t="n">
        <f aca="false">SUM(AA42:AL42)</f>
        <v>33510.9390928872</v>
      </c>
    </row>
    <row r="43" customFormat="false" ht="15" hidden="false" customHeight="false" outlineLevel="0" collapsed="false">
      <c r="A43" s="21" t="s">
        <v>848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</row>
    <row r="44" customFormat="false" ht="15" hidden="false" customHeight="false" outlineLevel="0" collapsed="false">
      <c r="A44" s="0" t="s">
        <v>849</v>
      </c>
      <c r="B44" s="0" t="s">
        <v>160</v>
      </c>
      <c r="C44" s="14" t="n">
        <f aca="false">IF(AND(($C$14=1),(C$18&gt;=(Assumptions!$C$106+1)),(C$18&lt;=(Assumptions!$C$106+6))),Assumptions!$C$117,1)</f>
        <v>1</v>
      </c>
      <c r="D44" s="14" t="n">
        <f aca="false">IF(AND(($C$14=1),(D$18&gt;=(Assumptions!$C$106+1)),(D$18&lt;=(Assumptions!$C$106+6))),Assumptions!$C$117,1)</f>
        <v>1</v>
      </c>
      <c r="E44" s="14" t="n">
        <f aca="false">IF(AND(($C$14=1),(E$18&gt;=(Assumptions!$C$106+1)),(E$18&lt;=(Assumptions!$C$106+6))),Assumptions!$C$117,1)</f>
        <v>1</v>
      </c>
      <c r="F44" s="14" t="n">
        <f aca="false">IF(AND(($C$14=1),(F$18&gt;=(Assumptions!$C$106+1)),(F$18&lt;=(Assumptions!$C$106+6))),Assumptions!$C$117,1)</f>
        <v>1</v>
      </c>
      <c r="G44" s="14" t="n">
        <f aca="false">IF(AND(($C$14=1),(G$18&gt;=(Assumptions!$C$106+1)),(G$18&lt;=(Assumptions!$C$106+6))),Assumptions!$C$117,1)</f>
        <v>1</v>
      </c>
      <c r="H44" s="14" t="n">
        <f aca="false">IF(AND(($C$14=1),(H$18&gt;=(Assumptions!$C$106+1)),(H$18&lt;=(Assumptions!$C$106+6))),Assumptions!$C$117,1)</f>
        <v>1</v>
      </c>
      <c r="I44" s="14" t="n">
        <f aca="false">IF(AND(($C$14=1),(I$18&gt;=(Assumptions!$C$106+1)),(I$18&lt;=(Assumptions!$C$106+6))),Assumptions!$C$117,1)</f>
        <v>1</v>
      </c>
      <c r="J44" s="14" t="n">
        <f aca="false">IF(AND(($C$14=1),(J$18&gt;=(Assumptions!$C$106+1)),(J$18&lt;=(Assumptions!$C$106+6))),Assumptions!$C$117,1)</f>
        <v>1</v>
      </c>
      <c r="K44" s="14" t="n">
        <f aca="false">IF(AND(($C$14=1),(K$18&gt;=(Assumptions!$C$106+1)),(K$18&lt;=(Assumptions!$C$106+6))),Assumptions!$C$117,1)</f>
        <v>1</v>
      </c>
      <c r="L44" s="14" t="n">
        <f aca="false">IF(AND(($C$14=1),(L$18&gt;=(Assumptions!$C$106+1)),(L$18&lt;=(Assumptions!$C$106+6))),Assumptions!$C$117,1)</f>
        <v>1</v>
      </c>
      <c r="M44" s="14" t="n">
        <f aca="false">IF(AND(($C$14=1),(M$18&gt;=(Assumptions!$C$106+1)),(M$18&lt;=(Assumptions!$C$106+6))),Assumptions!$C$117,1)</f>
        <v>1</v>
      </c>
      <c r="N44" s="14" t="n">
        <f aca="false">IF(AND(($C$14=1),(N$18&gt;=(Assumptions!$C$106+1)),(N$18&lt;=(Assumptions!$C$106+6))),Assumptions!$C$117,1)</f>
        <v>1</v>
      </c>
      <c r="O44" s="14" t="n">
        <f aca="false">IF(AND(($C$14=1),(O$18&gt;=(Assumptions!$C$106+1)),(O$18&lt;=(Assumptions!$C$106+6))),Assumptions!$C$117,1)</f>
        <v>1</v>
      </c>
      <c r="P44" s="14" t="n">
        <f aca="false">IF(AND(($C$14=1),(P$18&gt;=(Assumptions!$C$106+1)),(P$18&lt;=(Assumptions!$C$106+6))),Assumptions!$C$117,1)</f>
        <v>1</v>
      </c>
      <c r="Q44" s="14" t="n">
        <f aca="false">IF(AND(($C$14=1),(Q$18&gt;=(Assumptions!$C$106+1)),(Q$18&lt;=(Assumptions!$C$106+6))),Assumptions!$C$117,1)</f>
        <v>1</v>
      </c>
      <c r="R44" s="14" t="n">
        <f aca="false">IF(AND(($C$14=1),(R$18&gt;=(Assumptions!$C$106+1)),(R$18&lt;=(Assumptions!$C$106+6))),Assumptions!$C$117,1)</f>
        <v>1</v>
      </c>
      <c r="S44" s="14" t="n">
        <f aca="false">IF(AND(($C$14=1),(S$18&gt;=(Assumptions!$C$106+1)),(S$18&lt;=(Assumptions!$C$106+6))),Assumptions!$C$117,1)</f>
        <v>1</v>
      </c>
      <c r="T44" s="14" t="n">
        <f aca="false">IF(AND(($C$14=1),(T$18&gt;=(Assumptions!$C$106+1)),(T$18&lt;=(Assumptions!$C$106+6))),Assumptions!$C$117,1)</f>
        <v>1</v>
      </c>
      <c r="U44" s="14" t="n">
        <f aca="false">IF(AND(($C$14=1),(U$18&gt;=(Assumptions!$C$106+1)),(U$18&lt;=(Assumptions!$C$106+6))),Assumptions!$C$117,1)</f>
        <v>1</v>
      </c>
      <c r="V44" s="14" t="n">
        <f aca="false">IF(AND(($C$14=1),(V$18&gt;=(Assumptions!$C$106+1)),(V$18&lt;=(Assumptions!$C$106+6))),Assumptions!$C$117,1)</f>
        <v>1</v>
      </c>
      <c r="W44" s="14" t="n">
        <f aca="false">IF(AND(($C$14=1),(W$18&gt;=(Assumptions!$C$106+1)),(W$18&lt;=(Assumptions!$C$106+6))),Assumptions!$C$117,1)</f>
        <v>1</v>
      </c>
      <c r="X44" s="14" t="n">
        <f aca="false">IF(AND(($C$14=1),(X$18&gt;=(Assumptions!$C$106+1)),(X$18&lt;=(Assumptions!$C$106+6))),Assumptions!$C$117,1)</f>
        <v>1</v>
      </c>
      <c r="Y44" s="14" t="n">
        <f aca="false">IF(AND(($C$14=1),(Y$18&gt;=(Assumptions!$C$106+1)),(Y$18&lt;=(Assumptions!$C$106+6))),Assumptions!$C$117,1)</f>
        <v>1</v>
      </c>
      <c r="Z44" s="14" t="n">
        <f aca="false">IF(AND(($C$14=1),(Z$18&gt;=(Assumptions!$C$106+1)),(Z$18&lt;=(Assumptions!$C$106+6))),Assumptions!$C$117,1)</f>
        <v>1</v>
      </c>
      <c r="AA44" s="14" t="n">
        <f aca="false">IF(AND(($C$14=1),(AA$18&gt;=(Assumptions!$C$106+1)),(AA$18&lt;=(Assumptions!$C$106+6))),Assumptions!$C$117,1)</f>
        <v>1</v>
      </c>
      <c r="AB44" s="14" t="n">
        <f aca="false">IF(AND(($C$14=1),(AB$18&gt;=(Assumptions!$C$106+1)),(AB$18&lt;=(Assumptions!$C$106+6))),Assumptions!$C$117,1)</f>
        <v>1</v>
      </c>
      <c r="AC44" s="14" t="n">
        <f aca="false">IF(AND(($C$14=1),(AC$18&gt;=(Assumptions!$C$106+1)),(AC$18&lt;=(Assumptions!$C$106+6))),Assumptions!$C$117,1)</f>
        <v>1</v>
      </c>
      <c r="AD44" s="14" t="n">
        <f aca="false">IF(AND(($C$14=1),(AD$18&gt;=(Assumptions!$C$106+1)),(AD$18&lt;=(Assumptions!$C$106+6))),Assumptions!$C$117,1)</f>
        <v>1</v>
      </c>
      <c r="AE44" s="14" t="n">
        <f aca="false">IF(AND(($C$14=1),(AE$18&gt;=(Assumptions!$C$106+1)),(AE$18&lt;=(Assumptions!$C$106+6))),Assumptions!$C$117,1)</f>
        <v>1</v>
      </c>
      <c r="AF44" s="14" t="n">
        <f aca="false">IF(AND(($C$14=1),(AF$18&gt;=(Assumptions!$C$106+1)),(AF$18&lt;=(Assumptions!$C$106+6))),Assumptions!$C$117,1)</f>
        <v>1</v>
      </c>
      <c r="AG44" s="14" t="n">
        <f aca="false">IF(AND(($C$14=1),(AG$18&gt;=(Assumptions!$C$106+1)),(AG$18&lt;=(Assumptions!$C$106+6))),Assumptions!$C$117,1)</f>
        <v>1</v>
      </c>
      <c r="AH44" s="14" t="n">
        <f aca="false">IF(AND(($C$14=1),(AH$18&gt;=(Assumptions!$C$106+1)),(AH$18&lt;=(Assumptions!$C$106+6))),Assumptions!$C$117,1)</f>
        <v>1</v>
      </c>
      <c r="AI44" s="14" t="n">
        <f aca="false">IF(AND(($C$14=1),(AI$18&gt;=(Assumptions!$C$106+1)),(AI$18&lt;=(Assumptions!$C$106+6))),Assumptions!$C$117,1)</f>
        <v>1</v>
      </c>
      <c r="AJ44" s="14" t="n">
        <f aca="false">IF(AND(($C$14=1),(AJ$18&gt;=(Assumptions!$C$106+1)),(AJ$18&lt;=(Assumptions!$C$106+6))),Assumptions!$C$117,1)</f>
        <v>1</v>
      </c>
      <c r="AK44" s="14" t="n">
        <f aca="false">IF(AND(($C$14=1),(AK$18&gt;=(Assumptions!$C$106+1)),(AK$18&lt;=(Assumptions!$C$106+6))),Assumptions!$C$117,1)</f>
        <v>1</v>
      </c>
      <c r="AL44" s="14" t="n">
        <f aca="false">IF(AND(($C$14=1),(AL$18&gt;=(Assumptions!$C$106+1)),(AL$18&lt;=(Assumptions!$C$106+6))),Assumptions!$C$117,1)</f>
        <v>1</v>
      </c>
    </row>
    <row r="45" customFormat="false" ht="15" hidden="false" customHeight="false" outlineLevel="0" collapsed="false">
      <c r="A45" s="0" t="s">
        <v>850</v>
      </c>
      <c r="B45" s="0" t="s">
        <v>193</v>
      </c>
      <c r="C45" s="12" t="n">
        <f aca="false">MAX(0,((1-((1-Assumptions!$C$30)*$C$6))-IF(AND(($C$14=1),(C$18&gt;=Assumptions!$C$106),(C$18&lt;=(Assumptions!$C$106+11))),Assumptions!$C$116,0)))</f>
        <v>0.88</v>
      </c>
      <c r="D45" s="12" t="n">
        <f aca="false">MAX(0,((1-((1-Assumptions!$C$30)*$C$6))-IF(AND(($C$14=1),(D$18&gt;=Assumptions!$C$106),(D$18&lt;=(Assumptions!$C$106+11))),Assumptions!$C$116,0)))</f>
        <v>0.88</v>
      </c>
      <c r="E45" s="12" t="n">
        <f aca="false">MAX(0,((1-((1-Assumptions!$C$30)*$C$6))-IF(AND(($C$14=1),(E$18&gt;=Assumptions!$C$106),(E$18&lt;=(Assumptions!$C$106+11))),Assumptions!$C$116,0)))</f>
        <v>0.88</v>
      </c>
      <c r="F45" s="12" t="n">
        <f aca="false">MAX(0,((1-((1-Assumptions!$C$30)*$C$6))-IF(AND(($C$14=1),(F$18&gt;=Assumptions!$C$106),(F$18&lt;=(Assumptions!$C$106+11))),Assumptions!$C$116,0)))</f>
        <v>0.88</v>
      </c>
      <c r="G45" s="12" t="n">
        <f aca="false">MAX(0,((1-((1-Assumptions!$C$30)*$C$6))-IF(AND(($C$14=1),(G$18&gt;=Assumptions!$C$106),(G$18&lt;=(Assumptions!$C$106+11))),Assumptions!$C$116,0)))</f>
        <v>0.88</v>
      </c>
      <c r="H45" s="12" t="n">
        <f aca="false">MAX(0,((1-((1-Assumptions!$C$30)*$C$6))-IF(AND(($C$14=1),(H$18&gt;=Assumptions!$C$106),(H$18&lt;=(Assumptions!$C$106+11))),Assumptions!$C$116,0)))</f>
        <v>0.88</v>
      </c>
      <c r="I45" s="12" t="n">
        <f aca="false">MAX(0,((1-((1-Assumptions!$C$30)*$C$6))-IF(AND(($C$14=1),(I$18&gt;=Assumptions!$C$106),(I$18&lt;=(Assumptions!$C$106+11))),Assumptions!$C$116,0)))</f>
        <v>0.88</v>
      </c>
      <c r="J45" s="12" t="n">
        <f aca="false">MAX(0,((1-((1-Assumptions!$C$30)*$C$6))-IF(AND(($C$14=1),(J$18&gt;=Assumptions!$C$106),(J$18&lt;=(Assumptions!$C$106+11))),Assumptions!$C$116,0)))</f>
        <v>0.88</v>
      </c>
      <c r="K45" s="12" t="n">
        <f aca="false">MAX(0,((1-((1-Assumptions!$C$30)*$C$6))-IF(AND(($C$14=1),(K$18&gt;=Assumptions!$C$106),(K$18&lt;=(Assumptions!$C$106+11))),Assumptions!$C$116,0)))</f>
        <v>0.88</v>
      </c>
      <c r="L45" s="12" t="n">
        <f aca="false">MAX(0,((1-((1-Assumptions!$C$30)*$C$6))-IF(AND(($C$14=1),(L$18&gt;=Assumptions!$C$106),(L$18&lt;=(Assumptions!$C$106+11))),Assumptions!$C$116,0)))</f>
        <v>0.88</v>
      </c>
      <c r="M45" s="12" t="n">
        <f aca="false">MAX(0,((1-((1-Assumptions!$C$30)*$C$6))-IF(AND(($C$14=1),(M$18&gt;=Assumptions!$C$106),(M$18&lt;=(Assumptions!$C$106+11))),Assumptions!$C$116,0)))</f>
        <v>0.88</v>
      </c>
      <c r="N45" s="12" t="n">
        <f aca="false">MAX(0,((1-((1-Assumptions!$C$30)*$C$6))-IF(AND(($C$14=1),(N$18&gt;=Assumptions!$C$106),(N$18&lt;=(Assumptions!$C$106+11))),Assumptions!$C$116,0)))</f>
        <v>0.88</v>
      </c>
      <c r="O45" s="12" t="n">
        <f aca="false">MAX(0,((1-((1-Assumptions!$C$30)*$C$6))-IF(AND(($C$14=1),(O$18&gt;=Assumptions!$C$106),(O$18&lt;=(Assumptions!$C$106+11))),Assumptions!$C$116,0)))</f>
        <v>0.88</v>
      </c>
      <c r="P45" s="12" t="n">
        <f aca="false">MAX(0,((1-((1-Assumptions!$C$30)*$C$6))-IF(AND(($C$14=1),(P$18&gt;=Assumptions!$C$106),(P$18&lt;=(Assumptions!$C$106+11))),Assumptions!$C$116,0)))</f>
        <v>0.88</v>
      </c>
      <c r="Q45" s="12" t="n">
        <f aca="false">MAX(0,((1-((1-Assumptions!$C$30)*$C$6))-IF(AND(($C$14=1),(Q$18&gt;=Assumptions!$C$106),(Q$18&lt;=(Assumptions!$C$106+11))),Assumptions!$C$116,0)))</f>
        <v>0.88</v>
      </c>
      <c r="R45" s="12" t="n">
        <f aca="false">MAX(0,((1-((1-Assumptions!$C$30)*$C$6))-IF(AND(($C$14=1),(R$18&gt;=Assumptions!$C$106),(R$18&lt;=(Assumptions!$C$106+11))),Assumptions!$C$116,0)))</f>
        <v>0.88</v>
      </c>
      <c r="S45" s="12" t="n">
        <f aca="false">MAX(0,((1-((1-Assumptions!$C$30)*$C$6))-IF(AND(($C$14=1),(S$18&gt;=Assumptions!$C$106),(S$18&lt;=(Assumptions!$C$106+11))),Assumptions!$C$116,0)))</f>
        <v>0.88</v>
      </c>
      <c r="T45" s="12" t="n">
        <f aca="false">MAX(0,((1-((1-Assumptions!$C$30)*$C$6))-IF(AND(($C$14=1),(T$18&gt;=Assumptions!$C$106),(T$18&lt;=(Assumptions!$C$106+11))),Assumptions!$C$116,0)))</f>
        <v>0.88</v>
      </c>
      <c r="U45" s="12" t="n">
        <f aca="false">MAX(0,((1-((1-Assumptions!$C$30)*$C$6))-IF(AND(($C$14=1),(U$18&gt;=Assumptions!$C$106),(U$18&lt;=(Assumptions!$C$106+11))),Assumptions!$C$116,0)))</f>
        <v>0.88</v>
      </c>
      <c r="V45" s="12" t="n">
        <f aca="false">MAX(0,((1-((1-Assumptions!$C$30)*$C$6))-IF(AND(($C$14=1),(V$18&gt;=Assumptions!$C$106),(V$18&lt;=(Assumptions!$C$106+11))),Assumptions!$C$116,0)))</f>
        <v>0.88</v>
      </c>
      <c r="W45" s="12" t="n">
        <f aca="false">MAX(0,((1-((1-Assumptions!$C$30)*$C$6))-IF(AND(($C$14=1),(W$18&gt;=Assumptions!$C$106),(W$18&lt;=(Assumptions!$C$106+11))),Assumptions!$C$116,0)))</f>
        <v>0.88</v>
      </c>
      <c r="X45" s="12" t="n">
        <f aca="false">MAX(0,((1-((1-Assumptions!$C$30)*$C$6))-IF(AND(($C$14=1),(X$18&gt;=Assumptions!$C$106),(X$18&lt;=(Assumptions!$C$106+11))),Assumptions!$C$116,0)))</f>
        <v>0.88</v>
      </c>
      <c r="Y45" s="12" t="n">
        <f aca="false">MAX(0,((1-((1-Assumptions!$C$30)*$C$6))-IF(AND(($C$14=1),(Y$18&gt;=Assumptions!$C$106),(Y$18&lt;=(Assumptions!$C$106+11))),Assumptions!$C$116,0)))</f>
        <v>0.88</v>
      </c>
      <c r="Z45" s="12" t="n">
        <f aca="false">MAX(0,((1-((1-Assumptions!$C$30)*$C$6))-IF(AND(($C$14=1),(Z$18&gt;=Assumptions!$C$106),(Z$18&lt;=(Assumptions!$C$106+11))),Assumptions!$C$116,0)))</f>
        <v>0.88</v>
      </c>
      <c r="AA45" s="12" t="n">
        <f aca="false">MAX(0,((1-((1-Assumptions!$C$30)*$C$6))-IF(AND(($C$14=1),(AA$18&gt;=Assumptions!$C$106),(AA$18&lt;=(Assumptions!$C$106+11))),Assumptions!$C$116,0)))</f>
        <v>0.88</v>
      </c>
      <c r="AB45" s="12" t="n">
        <f aca="false">MAX(0,((1-((1-Assumptions!$C$30)*$C$6))-IF(AND(($C$14=1),(AB$18&gt;=Assumptions!$C$106),(AB$18&lt;=(Assumptions!$C$106+11))),Assumptions!$C$116,0)))</f>
        <v>0.88</v>
      </c>
      <c r="AC45" s="12" t="n">
        <f aca="false">MAX(0,((1-((1-Assumptions!$C$30)*$C$6))-IF(AND(($C$14=1),(AC$18&gt;=Assumptions!$C$106),(AC$18&lt;=(Assumptions!$C$106+11))),Assumptions!$C$116,0)))</f>
        <v>0.88</v>
      </c>
      <c r="AD45" s="12" t="n">
        <f aca="false">MAX(0,((1-((1-Assumptions!$C$30)*$C$6))-IF(AND(($C$14=1),(AD$18&gt;=Assumptions!$C$106),(AD$18&lt;=(Assumptions!$C$106+11))),Assumptions!$C$116,0)))</f>
        <v>0.88</v>
      </c>
      <c r="AE45" s="12" t="n">
        <f aca="false">MAX(0,((1-((1-Assumptions!$C$30)*$C$6))-IF(AND(($C$14=1),(AE$18&gt;=Assumptions!$C$106),(AE$18&lt;=(Assumptions!$C$106+11))),Assumptions!$C$116,0)))</f>
        <v>0.88</v>
      </c>
      <c r="AF45" s="12" t="n">
        <f aca="false">MAX(0,((1-((1-Assumptions!$C$30)*$C$6))-IF(AND(($C$14=1),(AF$18&gt;=Assumptions!$C$106),(AF$18&lt;=(Assumptions!$C$106+11))),Assumptions!$C$116,0)))</f>
        <v>0.88</v>
      </c>
      <c r="AG45" s="12" t="n">
        <f aca="false">MAX(0,((1-((1-Assumptions!$C$30)*$C$6))-IF(AND(($C$14=1),(AG$18&gt;=Assumptions!$C$106),(AG$18&lt;=(Assumptions!$C$106+11))),Assumptions!$C$116,0)))</f>
        <v>0.88</v>
      </c>
      <c r="AH45" s="12" t="n">
        <f aca="false">MAX(0,((1-((1-Assumptions!$C$30)*$C$6))-IF(AND(($C$14=1),(AH$18&gt;=Assumptions!$C$106),(AH$18&lt;=(Assumptions!$C$106+11))),Assumptions!$C$116,0)))</f>
        <v>0.88</v>
      </c>
      <c r="AI45" s="12" t="n">
        <f aca="false">MAX(0,((1-((1-Assumptions!$C$30)*$C$6))-IF(AND(($C$14=1),(AI$18&gt;=Assumptions!$C$106),(AI$18&lt;=(Assumptions!$C$106+11))),Assumptions!$C$116,0)))</f>
        <v>0.88</v>
      </c>
      <c r="AJ45" s="12" t="n">
        <f aca="false">MAX(0,((1-((1-Assumptions!$C$30)*$C$6))-IF(AND(($C$14=1),(AJ$18&gt;=Assumptions!$C$106),(AJ$18&lt;=(Assumptions!$C$106+11))),Assumptions!$C$116,0)))</f>
        <v>0.88</v>
      </c>
      <c r="AK45" s="12" t="n">
        <f aca="false">MAX(0,((1-((1-Assumptions!$C$30)*$C$6))-IF(AND(($C$14=1),(AK$18&gt;=Assumptions!$C$106),(AK$18&lt;=(Assumptions!$C$106+11))),Assumptions!$C$116,0)))</f>
        <v>0.88</v>
      </c>
      <c r="AL45" s="12" t="n">
        <f aca="false">MAX(0,((1-((1-Assumptions!$C$30)*$C$6))-IF(AND(($C$14=1),(AL$18&gt;=Assumptions!$C$106),(AL$18&lt;=(Assumptions!$C$106+11))),Assumptions!$C$116,0)))</f>
        <v>0.88</v>
      </c>
    </row>
    <row r="46" customFormat="false" ht="15" hidden="false" customHeight="false" outlineLevel="0" collapsed="false">
      <c r="A46" s="0" t="s">
        <v>851</v>
      </c>
      <c r="B46" s="0" t="s">
        <v>852</v>
      </c>
      <c r="C46" s="14" t="n">
        <f aca="false">((IF(OR((C$18-(Assumptions!$C$7-1)-$C$9)&lt;1,(C$18-(Assumptions!$C$7-1)-$C$9)&gt;36),0,INDEX(Schedules!$C$5:$AL$5,(C$18-(Assumptions!$C$7-1)-$C$9)))*$C$7)*C44)</f>
        <v>0</v>
      </c>
      <c r="D46" s="14" t="n">
        <f aca="false">((IF(OR((D$18-(Assumptions!$C$7-1)-$C$9)&lt;1,(D$18-(Assumptions!$C$7-1)-$C$9)&gt;36),0,INDEX(Schedules!$C$5:$AL$5,(D$18-(Assumptions!$C$7-1)-$C$9)))*$C$7)*D44)</f>
        <v>0</v>
      </c>
      <c r="E46" s="14" t="n">
        <f aca="false">((IF(OR((E$18-(Assumptions!$C$7-1)-$C$9)&lt;1,(E$18-(Assumptions!$C$7-1)-$C$9)&gt;36),0,INDEX(Schedules!$C$5:$AL$5,(E$18-(Assumptions!$C$7-1)-$C$9)))*$C$7)*E44)</f>
        <v>0</v>
      </c>
      <c r="F46" s="14" t="n">
        <f aca="false">((IF(OR((F$18-(Assumptions!$C$7-1)-$C$9)&lt;1,(F$18-(Assumptions!$C$7-1)-$C$9)&gt;36),0,INDEX(Schedules!$C$5:$AL$5,(F$18-(Assumptions!$C$7-1)-$C$9)))*$C$7)*F44)</f>
        <v>0</v>
      </c>
      <c r="G46" s="14" t="n">
        <f aca="false">((IF(OR((G$18-(Assumptions!$C$7-1)-$C$9)&lt;1,(G$18-(Assumptions!$C$7-1)-$C$9)&gt;36),0,INDEX(Schedules!$C$5:$AL$5,(G$18-(Assumptions!$C$7-1)-$C$9)))*$C$7)*G44)</f>
        <v>0</v>
      </c>
      <c r="H46" s="14" t="n">
        <f aca="false">((IF(OR((H$18-(Assumptions!$C$7-1)-$C$9)&lt;1,(H$18-(Assumptions!$C$7-1)-$C$9)&gt;36),0,INDEX(Schedules!$C$5:$AL$5,(H$18-(Assumptions!$C$7-1)-$C$9)))*$C$7)*H44)</f>
        <v>0</v>
      </c>
      <c r="I46" s="14" t="n">
        <f aca="false">((IF(OR((I$18-(Assumptions!$C$7-1)-$C$9)&lt;1,(I$18-(Assumptions!$C$7-1)-$C$9)&gt;36),0,INDEX(Schedules!$C$5:$AL$5,(I$18-(Assumptions!$C$7-1)-$C$9)))*$C$7)*I44)</f>
        <v>0</v>
      </c>
      <c r="J46" s="14" t="n">
        <f aca="false">((IF(OR((J$18-(Assumptions!$C$7-1)-$C$9)&lt;1,(J$18-(Assumptions!$C$7-1)-$C$9)&gt;36),0,INDEX(Schedules!$C$5:$AL$5,(J$18-(Assumptions!$C$7-1)-$C$9)))*$C$7)*J44)</f>
        <v>0</v>
      </c>
      <c r="K46" s="14" t="n">
        <f aca="false">((IF(OR((K$18-(Assumptions!$C$7-1)-$C$9)&lt;1,(K$18-(Assumptions!$C$7-1)-$C$9)&gt;36),0,INDEX(Schedules!$C$5:$AL$5,(K$18-(Assumptions!$C$7-1)-$C$9)))*$C$7)*K44)</f>
        <v>0</v>
      </c>
      <c r="L46" s="14" t="n">
        <f aca="false">((IF(OR((L$18-(Assumptions!$C$7-1)-$C$9)&lt;1,(L$18-(Assumptions!$C$7-1)-$C$9)&gt;36),0,INDEX(Schedules!$C$5:$AL$5,(L$18-(Assumptions!$C$7-1)-$C$9)))*$C$7)*L44)</f>
        <v>0</v>
      </c>
      <c r="M46" s="14" t="n">
        <f aca="false">((IF(OR((M$18-(Assumptions!$C$7-1)-$C$9)&lt;1,(M$18-(Assumptions!$C$7-1)-$C$9)&gt;36),0,INDEX(Schedules!$C$5:$AL$5,(M$18-(Assumptions!$C$7-1)-$C$9)))*$C$7)*M44)</f>
        <v>0</v>
      </c>
      <c r="N46" s="14" t="n">
        <f aca="false">((IF(OR((N$18-(Assumptions!$C$7-1)-$C$9)&lt;1,(N$18-(Assumptions!$C$7-1)-$C$9)&gt;36),0,INDEX(Schedules!$C$5:$AL$5,(N$18-(Assumptions!$C$7-1)-$C$9)))*$C$7)*N44)</f>
        <v>0</v>
      </c>
      <c r="O46" s="14" t="n">
        <f aca="false">((IF(OR((O$18-(Assumptions!$C$7-1)-$C$9)&lt;1,(O$18-(Assumptions!$C$7-1)-$C$9)&gt;36),0,INDEX(Schedules!$C$5:$AL$5,(O$18-(Assumptions!$C$7-1)-$C$9)))*$C$7)*O44)</f>
        <v>1</v>
      </c>
      <c r="P46" s="14" t="n">
        <f aca="false">((IF(OR((P$18-(Assumptions!$C$7-1)-$C$9)&lt;1,(P$18-(Assumptions!$C$7-1)-$C$9)&gt;36),0,INDEX(Schedules!$C$5:$AL$5,(P$18-(Assumptions!$C$7-1)-$C$9)))*$C$7)*P44)</f>
        <v>0</v>
      </c>
      <c r="Q46" s="14" t="n">
        <f aca="false">((IF(OR((Q$18-(Assumptions!$C$7-1)-$C$9)&lt;1,(Q$18-(Assumptions!$C$7-1)-$C$9)&gt;36),0,INDEX(Schedules!$C$5:$AL$5,(Q$18-(Assumptions!$C$7-1)-$C$9)))*$C$7)*Q44)</f>
        <v>0</v>
      </c>
      <c r="R46" s="14" t="n">
        <f aca="false">((IF(OR((R$18-(Assumptions!$C$7-1)-$C$9)&lt;1,(R$18-(Assumptions!$C$7-1)-$C$9)&gt;36),0,INDEX(Schedules!$C$5:$AL$5,(R$18-(Assumptions!$C$7-1)-$C$9)))*$C$7)*R44)</f>
        <v>1</v>
      </c>
      <c r="S46" s="14" t="n">
        <f aca="false">((IF(OR((S$18-(Assumptions!$C$7-1)-$C$9)&lt;1,(S$18-(Assumptions!$C$7-1)-$C$9)&gt;36),0,INDEX(Schedules!$C$5:$AL$5,(S$18-(Assumptions!$C$7-1)-$C$9)))*$C$7)*S44)</f>
        <v>0</v>
      </c>
      <c r="T46" s="14" t="n">
        <f aca="false">((IF(OR((T$18-(Assumptions!$C$7-1)-$C$9)&lt;1,(T$18-(Assumptions!$C$7-1)-$C$9)&gt;36),0,INDEX(Schedules!$C$5:$AL$5,(T$18-(Assumptions!$C$7-1)-$C$9)))*$C$7)*T44)</f>
        <v>0</v>
      </c>
      <c r="U46" s="14" t="n">
        <f aca="false">((IF(OR((U$18-(Assumptions!$C$7-1)-$C$9)&lt;1,(U$18-(Assumptions!$C$7-1)-$C$9)&gt;36),0,INDEX(Schedules!$C$5:$AL$5,(U$18-(Assumptions!$C$7-1)-$C$9)))*$C$7)*U44)</f>
        <v>2</v>
      </c>
      <c r="V46" s="14" t="n">
        <f aca="false">((IF(OR((V$18-(Assumptions!$C$7-1)-$C$9)&lt;1,(V$18-(Assumptions!$C$7-1)-$C$9)&gt;36),0,INDEX(Schedules!$C$5:$AL$5,(V$18-(Assumptions!$C$7-1)-$C$9)))*$C$7)*V44)</f>
        <v>0</v>
      </c>
      <c r="W46" s="14" t="n">
        <f aca="false">((IF(OR((W$18-(Assumptions!$C$7-1)-$C$9)&lt;1,(W$18-(Assumptions!$C$7-1)-$C$9)&gt;36),0,INDEX(Schedules!$C$5:$AL$5,(W$18-(Assumptions!$C$7-1)-$C$9)))*$C$7)*W44)</f>
        <v>0</v>
      </c>
      <c r="X46" s="14" t="n">
        <f aca="false">((IF(OR((X$18-(Assumptions!$C$7-1)-$C$9)&lt;1,(X$18-(Assumptions!$C$7-1)-$C$9)&gt;36),0,INDEX(Schedules!$C$5:$AL$5,(X$18-(Assumptions!$C$7-1)-$C$9)))*$C$7)*X44)</f>
        <v>2</v>
      </c>
      <c r="Y46" s="14" t="n">
        <f aca="false">((IF(OR((Y$18-(Assumptions!$C$7-1)-$C$9)&lt;1,(Y$18-(Assumptions!$C$7-1)-$C$9)&gt;36),0,INDEX(Schedules!$C$5:$AL$5,(Y$18-(Assumptions!$C$7-1)-$C$9)))*$C$7)*Y44)</f>
        <v>0</v>
      </c>
      <c r="Z46" s="14" t="n">
        <f aca="false">((IF(OR((Z$18-(Assumptions!$C$7-1)-$C$9)&lt;1,(Z$18-(Assumptions!$C$7-1)-$C$9)&gt;36),0,INDEX(Schedules!$C$5:$AL$5,(Z$18-(Assumptions!$C$7-1)-$C$9)))*$C$7)*Z44)</f>
        <v>0</v>
      </c>
      <c r="AA46" s="14" t="n">
        <f aca="false">((IF(OR((AA$18-(Assumptions!$C$7-1)-$C$9)&lt;1,(AA$18-(Assumptions!$C$7-1)-$C$9)&gt;36),0,INDEX(Schedules!$C$5:$AL$5,(AA$18-(Assumptions!$C$7-1)-$C$9)))*$C$7)*AA44)</f>
        <v>3</v>
      </c>
      <c r="AB46" s="14" t="n">
        <f aca="false">((IF(OR((AB$18-(Assumptions!$C$7-1)-$C$9)&lt;1,(AB$18-(Assumptions!$C$7-1)-$C$9)&gt;36),0,INDEX(Schedules!$C$5:$AL$5,(AB$18-(Assumptions!$C$7-1)-$C$9)))*$C$7)*AB44)</f>
        <v>0</v>
      </c>
      <c r="AC46" s="14" t="n">
        <f aca="false">((IF(OR((AC$18-(Assumptions!$C$7-1)-$C$9)&lt;1,(AC$18-(Assumptions!$C$7-1)-$C$9)&gt;36),0,INDEX(Schedules!$C$5:$AL$5,(AC$18-(Assumptions!$C$7-1)-$C$9)))*$C$7)*AC44)</f>
        <v>0</v>
      </c>
      <c r="AD46" s="14" t="n">
        <f aca="false">((IF(OR((AD$18-(Assumptions!$C$7-1)-$C$9)&lt;1,(AD$18-(Assumptions!$C$7-1)-$C$9)&gt;36),0,INDEX(Schedules!$C$5:$AL$5,(AD$18-(Assumptions!$C$7-1)-$C$9)))*$C$7)*AD44)</f>
        <v>3</v>
      </c>
      <c r="AE46" s="14" t="n">
        <f aca="false">((IF(OR((AE$18-(Assumptions!$C$7-1)-$C$9)&lt;1,(AE$18-(Assumptions!$C$7-1)-$C$9)&gt;36),0,INDEX(Schedules!$C$5:$AL$5,(AE$18-(Assumptions!$C$7-1)-$C$9)))*$C$7)*AE44)</f>
        <v>0</v>
      </c>
      <c r="AF46" s="14" t="n">
        <f aca="false">((IF(OR((AF$18-(Assumptions!$C$7-1)-$C$9)&lt;1,(AF$18-(Assumptions!$C$7-1)-$C$9)&gt;36),0,INDEX(Schedules!$C$5:$AL$5,(AF$18-(Assumptions!$C$7-1)-$C$9)))*$C$7)*AF44)</f>
        <v>0</v>
      </c>
      <c r="AG46" s="14" t="n">
        <f aca="false">((IF(OR((AG$18-(Assumptions!$C$7-1)-$C$9)&lt;1,(AG$18-(Assumptions!$C$7-1)-$C$9)&gt;36),0,INDEX(Schedules!$C$5:$AL$5,(AG$18-(Assumptions!$C$7-1)-$C$9)))*$C$7)*AG44)</f>
        <v>3</v>
      </c>
      <c r="AH46" s="14" t="n">
        <f aca="false">((IF(OR((AH$18-(Assumptions!$C$7-1)-$C$9)&lt;1,(AH$18-(Assumptions!$C$7-1)-$C$9)&gt;36),0,INDEX(Schedules!$C$5:$AL$5,(AH$18-(Assumptions!$C$7-1)-$C$9)))*$C$7)*AH44)</f>
        <v>0</v>
      </c>
      <c r="AI46" s="14" t="n">
        <f aca="false">((IF(OR((AI$18-(Assumptions!$C$7-1)-$C$9)&lt;1,(AI$18-(Assumptions!$C$7-1)-$C$9)&gt;36),0,INDEX(Schedules!$C$5:$AL$5,(AI$18-(Assumptions!$C$7-1)-$C$9)))*$C$7)*AI44)</f>
        <v>0</v>
      </c>
      <c r="AJ46" s="14" t="n">
        <f aca="false">((IF(OR((AJ$18-(Assumptions!$C$7-1)-$C$9)&lt;1,(AJ$18-(Assumptions!$C$7-1)-$C$9)&gt;36),0,INDEX(Schedules!$C$5:$AL$5,(AJ$18-(Assumptions!$C$7-1)-$C$9)))*$C$7)*AJ44)</f>
        <v>4</v>
      </c>
      <c r="AK46" s="14" t="n">
        <f aca="false">((IF(OR((AK$18-(Assumptions!$C$7-1)-$C$9)&lt;1,(AK$18-(Assumptions!$C$7-1)-$C$9)&gt;36),0,INDEX(Schedules!$C$5:$AL$5,(AK$18-(Assumptions!$C$7-1)-$C$9)))*$C$7)*AK44)</f>
        <v>0</v>
      </c>
      <c r="AL46" s="14" t="n">
        <f aca="false">((IF(OR((AL$18-(Assumptions!$C$7-1)-$C$9)&lt;1,(AL$18-(Assumptions!$C$7-1)-$C$9)&gt;36),0,INDEX(Schedules!$C$5:$AL$5,(AL$18-(Assumptions!$C$7-1)-$C$9)))*$C$7)*AL44)</f>
        <v>0</v>
      </c>
      <c r="AN46" s="36" t="n">
        <f aca="false">SUM(C46:N46)</f>
        <v>0</v>
      </c>
      <c r="AO46" s="36" t="n">
        <f aca="false">SUM(O46:Z46)</f>
        <v>6</v>
      </c>
      <c r="AP46" s="36" t="n">
        <f aca="false">SUM(AA46:AL46)</f>
        <v>13</v>
      </c>
    </row>
    <row r="47" customFormat="false" ht="15" hidden="false" customHeight="false" outlineLevel="0" collapsed="false">
      <c r="A47" s="0" t="s">
        <v>853</v>
      </c>
      <c r="B47" s="0" t="s">
        <v>852</v>
      </c>
      <c r="C47" s="14" t="n">
        <f aca="false">INDEX(Schedules!$C$11:$AL$11,C$18)</f>
        <v>0</v>
      </c>
      <c r="D47" s="14" t="n">
        <f aca="false">INDEX(Schedules!$C$11:$AL$11,D$18)</f>
        <v>0</v>
      </c>
      <c r="E47" s="14" t="n">
        <f aca="false">INDEX(Schedules!$C$11:$AL$11,E$18)</f>
        <v>0</v>
      </c>
      <c r="F47" s="14" t="n">
        <f aca="false">INDEX(Schedules!$C$11:$AL$11,F$18)</f>
        <v>0</v>
      </c>
      <c r="G47" s="14" t="n">
        <f aca="false">INDEX(Schedules!$C$11:$AL$11,G$18)</f>
        <v>1</v>
      </c>
      <c r="H47" s="14" t="n">
        <f aca="false">INDEX(Schedules!$C$11:$AL$11,H$18)</f>
        <v>0</v>
      </c>
      <c r="I47" s="14" t="n">
        <f aca="false">INDEX(Schedules!$C$11:$AL$11,I$18)</f>
        <v>0</v>
      </c>
      <c r="J47" s="14" t="n">
        <f aca="false">INDEX(Schedules!$C$11:$AL$11,J$18)</f>
        <v>0</v>
      </c>
      <c r="K47" s="14" t="n">
        <f aca="false">INDEX(Schedules!$C$11:$AL$11,K$18)</f>
        <v>0</v>
      </c>
      <c r="L47" s="14" t="n">
        <f aca="false">INDEX(Schedules!$C$11:$AL$11,L$18)</f>
        <v>0</v>
      </c>
      <c r="M47" s="14" t="n">
        <f aca="false">INDEX(Schedules!$C$11:$AL$11,M$18)</f>
        <v>0</v>
      </c>
      <c r="N47" s="14" t="n">
        <f aca="false">INDEX(Schedules!$C$11:$AL$11,N$18)</f>
        <v>0</v>
      </c>
      <c r="O47" s="14" t="n">
        <f aca="false">INDEX(Schedules!$C$11:$AL$11,O$18)</f>
        <v>0</v>
      </c>
      <c r="P47" s="14" t="n">
        <f aca="false">INDEX(Schedules!$C$11:$AL$11,P$18)</f>
        <v>0</v>
      </c>
      <c r="Q47" s="14" t="n">
        <f aca="false">INDEX(Schedules!$C$11:$AL$11,Q$18)</f>
        <v>0</v>
      </c>
      <c r="R47" s="14" t="n">
        <f aca="false">INDEX(Schedules!$C$11:$AL$11,R$18)</f>
        <v>0</v>
      </c>
      <c r="S47" s="14" t="n">
        <f aca="false">INDEX(Schedules!$C$11:$AL$11,S$18)</f>
        <v>0</v>
      </c>
      <c r="T47" s="14" t="n">
        <f aca="false">INDEX(Schedules!$C$11:$AL$11,T$18)</f>
        <v>0</v>
      </c>
      <c r="U47" s="14" t="n">
        <f aca="false">INDEX(Schedules!$C$11:$AL$11,U$18)</f>
        <v>0</v>
      </c>
      <c r="V47" s="14" t="n">
        <f aca="false">INDEX(Schedules!$C$11:$AL$11,V$18)</f>
        <v>0</v>
      </c>
      <c r="W47" s="14" t="n">
        <f aca="false">INDEX(Schedules!$C$11:$AL$11,W$18)</f>
        <v>0</v>
      </c>
      <c r="X47" s="14" t="n">
        <f aca="false">INDEX(Schedules!$C$11:$AL$11,X$18)</f>
        <v>0</v>
      </c>
      <c r="Y47" s="14" t="n">
        <f aca="false">INDEX(Schedules!$C$11:$AL$11,Y$18)</f>
        <v>0</v>
      </c>
      <c r="Z47" s="14" t="n">
        <f aca="false">INDEX(Schedules!$C$11:$AL$11,Z$18)</f>
        <v>0</v>
      </c>
      <c r="AA47" s="14" t="n">
        <f aca="false">INDEX(Schedules!$C$11:$AL$11,AA$18)</f>
        <v>0</v>
      </c>
      <c r="AB47" s="14" t="n">
        <f aca="false">INDEX(Schedules!$C$11:$AL$11,AB$18)</f>
        <v>0</v>
      </c>
      <c r="AC47" s="14" t="n">
        <f aca="false">INDEX(Schedules!$C$11:$AL$11,AC$18)</f>
        <v>0</v>
      </c>
      <c r="AD47" s="14" t="n">
        <f aca="false">INDEX(Schedules!$C$11:$AL$11,AD$18)</f>
        <v>0</v>
      </c>
      <c r="AE47" s="14" t="n">
        <f aca="false">INDEX(Schedules!$C$11:$AL$11,AE$18)</f>
        <v>0</v>
      </c>
      <c r="AF47" s="14" t="n">
        <f aca="false">INDEX(Schedules!$C$11:$AL$11,AF$18)</f>
        <v>0</v>
      </c>
      <c r="AG47" s="14" t="n">
        <f aca="false">INDEX(Schedules!$C$11:$AL$11,AG$18)</f>
        <v>0</v>
      </c>
      <c r="AH47" s="14" t="n">
        <f aca="false">INDEX(Schedules!$C$11:$AL$11,AH$18)</f>
        <v>0</v>
      </c>
      <c r="AI47" s="14" t="n">
        <f aca="false">INDEX(Schedules!$C$11:$AL$11,AI$18)</f>
        <v>0</v>
      </c>
      <c r="AJ47" s="14" t="n">
        <f aca="false">INDEX(Schedules!$C$11:$AL$11,AJ$18)</f>
        <v>0</v>
      </c>
      <c r="AK47" s="14" t="n">
        <f aca="false">INDEX(Schedules!$C$11:$AL$11,AK$18)</f>
        <v>0</v>
      </c>
      <c r="AL47" s="14" t="n">
        <f aca="false">INDEX(Schedules!$C$11:$AL$11,AL$18)</f>
        <v>0</v>
      </c>
      <c r="AN47" s="36" t="n">
        <f aca="false">SUM(C47:N47)</f>
        <v>1</v>
      </c>
      <c r="AO47" s="36" t="n">
        <f aca="false">SUM(O47:Z47)</f>
        <v>0</v>
      </c>
      <c r="AP47" s="36" t="n">
        <f aca="false">SUM(AA47:AL47)</f>
        <v>0</v>
      </c>
    </row>
    <row r="48" customFormat="false" ht="15" hidden="false" customHeight="false" outlineLevel="0" collapsed="false">
      <c r="A48" s="0" t="s">
        <v>854</v>
      </c>
      <c r="B48" s="0" t="s">
        <v>852</v>
      </c>
      <c r="C48" s="14" t="n">
        <f aca="false">(C46+C47)</f>
        <v>0</v>
      </c>
      <c r="D48" s="14" t="n">
        <f aca="false">(D46+D47)</f>
        <v>0</v>
      </c>
      <c r="E48" s="14" t="n">
        <f aca="false">(E46+E47)</f>
        <v>0</v>
      </c>
      <c r="F48" s="14" t="n">
        <f aca="false">(F46+F47)</f>
        <v>0</v>
      </c>
      <c r="G48" s="14" t="n">
        <f aca="false">(G46+G47)</f>
        <v>1</v>
      </c>
      <c r="H48" s="14" t="n">
        <f aca="false">(H46+H47)</f>
        <v>0</v>
      </c>
      <c r="I48" s="14" t="n">
        <f aca="false">(I46+I47)</f>
        <v>0</v>
      </c>
      <c r="J48" s="14" t="n">
        <f aca="false">(J46+J47)</f>
        <v>0</v>
      </c>
      <c r="K48" s="14" t="n">
        <f aca="false">(K46+K47)</f>
        <v>0</v>
      </c>
      <c r="L48" s="14" t="n">
        <f aca="false">(L46+L47)</f>
        <v>0</v>
      </c>
      <c r="M48" s="14" t="n">
        <f aca="false">(M46+M47)</f>
        <v>0</v>
      </c>
      <c r="N48" s="14" t="n">
        <f aca="false">(N46+N47)</f>
        <v>0</v>
      </c>
      <c r="O48" s="14" t="n">
        <f aca="false">(O46+O47)</f>
        <v>1</v>
      </c>
      <c r="P48" s="14" t="n">
        <f aca="false">(P46+P47)</f>
        <v>0</v>
      </c>
      <c r="Q48" s="14" t="n">
        <f aca="false">(Q46+Q47)</f>
        <v>0</v>
      </c>
      <c r="R48" s="14" t="n">
        <f aca="false">(R46+R47)</f>
        <v>1</v>
      </c>
      <c r="S48" s="14" t="n">
        <f aca="false">(S46+S47)</f>
        <v>0</v>
      </c>
      <c r="T48" s="14" t="n">
        <f aca="false">(T46+T47)</f>
        <v>0</v>
      </c>
      <c r="U48" s="14" t="n">
        <f aca="false">(U46+U47)</f>
        <v>2</v>
      </c>
      <c r="V48" s="14" t="n">
        <f aca="false">(V46+V47)</f>
        <v>0</v>
      </c>
      <c r="W48" s="14" t="n">
        <f aca="false">(W46+W47)</f>
        <v>0</v>
      </c>
      <c r="X48" s="14" t="n">
        <f aca="false">(X46+X47)</f>
        <v>2</v>
      </c>
      <c r="Y48" s="14" t="n">
        <f aca="false">(Y46+Y47)</f>
        <v>0</v>
      </c>
      <c r="Z48" s="14" t="n">
        <f aca="false">(Z46+Z47)</f>
        <v>0</v>
      </c>
      <c r="AA48" s="14" t="n">
        <f aca="false">(AA46+AA47)</f>
        <v>3</v>
      </c>
      <c r="AB48" s="14" t="n">
        <f aca="false">(AB46+AB47)</f>
        <v>0</v>
      </c>
      <c r="AC48" s="14" t="n">
        <f aca="false">(AC46+AC47)</f>
        <v>0</v>
      </c>
      <c r="AD48" s="14" t="n">
        <f aca="false">(AD46+AD47)</f>
        <v>3</v>
      </c>
      <c r="AE48" s="14" t="n">
        <f aca="false">(AE46+AE47)</f>
        <v>0</v>
      </c>
      <c r="AF48" s="14" t="n">
        <f aca="false">(AF46+AF47)</f>
        <v>0</v>
      </c>
      <c r="AG48" s="14" t="n">
        <f aca="false">(AG46+AG47)</f>
        <v>3</v>
      </c>
      <c r="AH48" s="14" t="n">
        <f aca="false">(AH46+AH47)</f>
        <v>0</v>
      </c>
      <c r="AI48" s="14" t="n">
        <f aca="false">(AI46+AI47)</f>
        <v>0</v>
      </c>
      <c r="AJ48" s="14" t="n">
        <f aca="false">(AJ46+AJ47)</f>
        <v>4</v>
      </c>
      <c r="AK48" s="14" t="n">
        <f aca="false">(AK46+AK47)</f>
        <v>0</v>
      </c>
      <c r="AL48" s="14" t="n">
        <f aca="false">(AL46+AL47)</f>
        <v>0</v>
      </c>
      <c r="AN48" s="36" t="n">
        <f aca="false">SUM(C48:N48)</f>
        <v>1</v>
      </c>
      <c r="AO48" s="36" t="n">
        <f aca="false">SUM(O48:Z48)</f>
        <v>6</v>
      </c>
      <c r="AP48" s="36" t="n">
        <f aca="false">SUM(AA48:AL48)</f>
        <v>13</v>
      </c>
    </row>
    <row r="49" customFormat="false" ht="15" hidden="false" customHeight="false" outlineLevel="0" collapsed="false">
      <c r="A49" s="0" t="s">
        <v>855</v>
      </c>
      <c r="B49" s="0" t="s">
        <v>852</v>
      </c>
      <c r="C49" s="14" t="n">
        <f aca="false">((IF(OR((C$18-(Assumptions!$C$8-1)-$C$9)&lt;1,(C$18-(Assumptions!$C$8-1)-$C$9)&gt;36),0,INDEX(Schedules!$C$8:$AL$8,(C$18-(Assumptions!$C$8-1)-$C$9)))*$C$7)*C44)</f>
        <v>0</v>
      </c>
      <c r="D49" s="14" t="n">
        <f aca="false">((IF(OR((D$18-(Assumptions!$C$8-1)-$C$9)&lt;1,(D$18-(Assumptions!$C$8-1)-$C$9)&gt;36),0,INDEX(Schedules!$C$8:$AL$8,(D$18-(Assumptions!$C$8-1)-$C$9)))*$C$7)*D44)</f>
        <v>0</v>
      </c>
      <c r="E49" s="14" t="n">
        <f aca="false">((IF(OR((E$18-(Assumptions!$C$8-1)-$C$9)&lt;1,(E$18-(Assumptions!$C$8-1)-$C$9)&gt;36),0,INDEX(Schedules!$C$8:$AL$8,(E$18-(Assumptions!$C$8-1)-$C$9)))*$C$7)*E44)</f>
        <v>0</v>
      </c>
      <c r="F49" s="14" t="n">
        <f aca="false">((IF(OR((F$18-(Assumptions!$C$8-1)-$C$9)&lt;1,(F$18-(Assumptions!$C$8-1)-$C$9)&gt;36),0,INDEX(Schedules!$C$8:$AL$8,(F$18-(Assumptions!$C$8-1)-$C$9)))*$C$7)*F44)</f>
        <v>0</v>
      </c>
      <c r="G49" s="14" t="n">
        <f aca="false">((IF(OR((G$18-(Assumptions!$C$8-1)-$C$9)&lt;1,(G$18-(Assumptions!$C$8-1)-$C$9)&gt;36),0,INDEX(Schedules!$C$8:$AL$8,(G$18-(Assumptions!$C$8-1)-$C$9)))*$C$7)*G44)</f>
        <v>0</v>
      </c>
      <c r="H49" s="14" t="n">
        <f aca="false">((IF(OR((H$18-(Assumptions!$C$8-1)-$C$9)&lt;1,(H$18-(Assumptions!$C$8-1)-$C$9)&gt;36),0,INDEX(Schedules!$C$8:$AL$8,(H$18-(Assumptions!$C$8-1)-$C$9)))*$C$7)*H44)</f>
        <v>0</v>
      </c>
      <c r="I49" s="14" t="n">
        <f aca="false">((IF(OR((I$18-(Assumptions!$C$8-1)-$C$9)&lt;1,(I$18-(Assumptions!$C$8-1)-$C$9)&gt;36),0,INDEX(Schedules!$C$8:$AL$8,(I$18-(Assumptions!$C$8-1)-$C$9)))*$C$7)*I44)</f>
        <v>0</v>
      </c>
      <c r="J49" s="14" t="n">
        <f aca="false">((IF(OR((J$18-(Assumptions!$C$8-1)-$C$9)&lt;1,(J$18-(Assumptions!$C$8-1)-$C$9)&gt;36),0,INDEX(Schedules!$C$8:$AL$8,(J$18-(Assumptions!$C$8-1)-$C$9)))*$C$7)*J44)</f>
        <v>0</v>
      </c>
      <c r="K49" s="14" t="n">
        <f aca="false">((IF(OR((K$18-(Assumptions!$C$8-1)-$C$9)&lt;1,(K$18-(Assumptions!$C$8-1)-$C$9)&gt;36),0,INDEX(Schedules!$C$8:$AL$8,(K$18-(Assumptions!$C$8-1)-$C$9)))*$C$7)*K44)</f>
        <v>0</v>
      </c>
      <c r="L49" s="14" t="n">
        <f aca="false">((IF(OR((L$18-(Assumptions!$C$8-1)-$C$9)&lt;1,(L$18-(Assumptions!$C$8-1)-$C$9)&gt;36),0,INDEX(Schedules!$C$8:$AL$8,(L$18-(Assumptions!$C$8-1)-$C$9)))*$C$7)*L44)</f>
        <v>0</v>
      </c>
      <c r="M49" s="14" t="n">
        <f aca="false">((IF(OR((M$18-(Assumptions!$C$8-1)-$C$9)&lt;1,(M$18-(Assumptions!$C$8-1)-$C$9)&gt;36),0,INDEX(Schedules!$C$8:$AL$8,(M$18-(Assumptions!$C$8-1)-$C$9)))*$C$7)*M44)</f>
        <v>0</v>
      </c>
      <c r="N49" s="14" t="n">
        <f aca="false">((IF(OR((N$18-(Assumptions!$C$8-1)-$C$9)&lt;1,(N$18-(Assumptions!$C$8-1)-$C$9)&gt;36),0,INDEX(Schedules!$C$8:$AL$8,(N$18-(Assumptions!$C$8-1)-$C$9)))*$C$7)*N44)</f>
        <v>0</v>
      </c>
      <c r="O49" s="14" t="n">
        <f aca="false">((IF(OR((O$18-(Assumptions!$C$8-1)-$C$9)&lt;1,(O$18-(Assumptions!$C$8-1)-$C$9)&gt;36),0,INDEX(Schedules!$C$8:$AL$8,(O$18-(Assumptions!$C$8-1)-$C$9)))*$C$7)*O44)</f>
        <v>0</v>
      </c>
      <c r="P49" s="14" t="n">
        <f aca="false">((IF(OR((P$18-(Assumptions!$C$8-1)-$C$9)&lt;1,(P$18-(Assumptions!$C$8-1)-$C$9)&gt;36),0,INDEX(Schedules!$C$8:$AL$8,(P$18-(Assumptions!$C$8-1)-$C$9)))*$C$7)*P44)</f>
        <v>0</v>
      </c>
      <c r="Q49" s="14" t="n">
        <f aca="false">((IF(OR((Q$18-(Assumptions!$C$8-1)-$C$9)&lt;1,(Q$18-(Assumptions!$C$8-1)-$C$9)&gt;36),0,INDEX(Schedules!$C$8:$AL$8,(Q$18-(Assumptions!$C$8-1)-$C$9)))*$C$7)*Q44)</f>
        <v>0</v>
      </c>
      <c r="R49" s="14" t="n">
        <f aca="false">((IF(OR((R$18-(Assumptions!$C$8-1)-$C$9)&lt;1,(R$18-(Assumptions!$C$8-1)-$C$9)&gt;36),0,INDEX(Schedules!$C$8:$AL$8,(R$18-(Assumptions!$C$8-1)-$C$9)))*$C$7)*R44)</f>
        <v>0</v>
      </c>
      <c r="S49" s="14" t="n">
        <f aca="false">((IF(OR((S$18-(Assumptions!$C$8-1)-$C$9)&lt;1,(S$18-(Assumptions!$C$8-1)-$C$9)&gt;36),0,INDEX(Schedules!$C$8:$AL$8,(S$18-(Assumptions!$C$8-1)-$C$9)))*$C$7)*S44)</f>
        <v>0</v>
      </c>
      <c r="T49" s="14" t="n">
        <f aca="false">((IF(OR((T$18-(Assumptions!$C$8-1)-$C$9)&lt;1,(T$18-(Assumptions!$C$8-1)-$C$9)&gt;36),0,INDEX(Schedules!$C$8:$AL$8,(T$18-(Assumptions!$C$8-1)-$C$9)))*$C$7)*T44)</f>
        <v>0</v>
      </c>
      <c r="U49" s="14" t="n">
        <f aca="false">((IF(OR((U$18-(Assumptions!$C$8-1)-$C$9)&lt;1,(U$18-(Assumptions!$C$8-1)-$C$9)&gt;36),0,INDEX(Schedules!$C$8:$AL$8,(U$18-(Assumptions!$C$8-1)-$C$9)))*$C$7)*U44)</f>
        <v>0</v>
      </c>
      <c r="V49" s="14" t="n">
        <f aca="false">((IF(OR((V$18-(Assumptions!$C$8-1)-$C$9)&lt;1,(V$18-(Assumptions!$C$8-1)-$C$9)&gt;36),0,INDEX(Schedules!$C$8:$AL$8,(V$18-(Assumptions!$C$8-1)-$C$9)))*$C$7)*V44)</f>
        <v>0</v>
      </c>
      <c r="W49" s="14" t="n">
        <f aca="false">((IF(OR((W$18-(Assumptions!$C$8-1)-$C$9)&lt;1,(W$18-(Assumptions!$C$8-1)-$C$9)&gt;36),0,INDEX(Schedules!$C$8:$AL$8,(W$18-(Assumptions!$C$8-1)-$C$9)))*$C$7)*W44)</f>
        <v>0</v>
      </c>
      <c r="X49" s="14" t="n">
        <f aca="false">((IF(OR((X$18-(Assumptions!$C$8-1)-$C$9)&lt;1,(X$18-(Assumptions!$C$8-1)-$C$9)&gt;36),0,INDEX(Schedules!$C$8:$AL$8,(X$18-(Assumptions!$C$8-1)-$C$9)))*$C$7)*X44)</f>
        <v>0</v>
      </c>
      <c r="Y49" s="14" t="n">
        <f aca="false">((IF(OR((Y$18-(Assumptions!$C$8-1)-$C$9)&lt;1,(Y$18-(Assumptions!$C$8-1)-$C$9)&gt;36),0,INDEX(Schedules!$C$8:$AL$8,(Y$18-(Assumptions!$C$8-1)-$C$9)))*$C$7)*Y44)</f>
        <v>1</v>
      </c>
      <c r="Z49" s="14" t="n">
        <f aca="false">((IF(OR((Z$18-(Assumptions!$C$8-1)-$C$9)&lt;1,(Z$18-(Assumptions!$C$8-1)-$C$9)&gt;36),0,INDEX(Schedules!$C$8:$AL$8,(Z$18-(Assumptions!$C$8-1)-$C$9)))*$C$7)*Z44)</f>
        <v>0</v>
      </c>
      <c r="AA49" s="14" t="n">
        <f aca="false">((IF(OR((AA$18-(Assumptions!$C$8-1)-$C$9)&lt;1,(AA$18-(Assumptions!$C$8-1)-$C$9)&gt;36),0,INDEX(Schedules!$C$8:$AL$8,(AA$18-(Assumptions!$C$8-1)-$C$9)))*$C$7)*AA44)</f>
        <v>0</v>
      </c>
      <c r="AB49" s="14" t="n">
        <f aca="false">((IF(OR((AB$18-(Assumptions!$C$8-1)-$C$9)&lt;1,(AB$18-(Assumptions!$C$8-1)-$C$9)&gt;36),0,INDEX(Schedules!$C$8:$AL$8,(AB$18-(Assumptions!$C$8-1)-$C$9)))*$C$7)*AB44)</f>
        <v>1</v>
      </c>
      <c r="AC49" s="14" t="n">
        <f aca="false">((IF(OR((AC$18-(Assumptions!$C$8-1)-$C$9)&lt;1,(AC$18-(Assumptions!$C$8-1)-$C$9)&gt;36),0,INDEX(Schedules!$C$8:$AL$8,(AC$18-(Assumptions!$C$8-1)-$C$9)))*$C$7)*AC44)</f>
        <v>0</v>
      </c>
      <c r="AD49" s="14" t="n">
        <f aca="false">((IF(OR((AD$18-(Assumptions!$C$8-1)-$C$9)&lt;1,(AD$18-(Assumptions!$C$8-1)-$C$9)&gt;36),0,INDEX(Schedules!$C$8:$AL$8,(AD$18-(Assumptions!$C$8-1)-$C$9)))*$C$7)*AD44)</f>
        <v>0</v>
      </c>
      <c r="AE49" s="14" t="n">
        <f aca="false">((IF(OR((AE$18-(Assumptions!$C$8-1)-$C$9)&lt;1,(AE$18-(Assumptions!$C$8-1)-$C$9)&gt;36),0,INDEX(Schedules!$C$8:$AL$8,(AE$18-(Assumptions!$C$8-1)-$C$9)))*$C$7)*AE44)</f>
        <v>2</v>
      </c>
      <c r="AF49" s="14" t="n">
        <f aca="false">((IF(OR((AF$18-(Assumptions!$C$8-1)-$C$9)&lt;1,(AF$18-(Assumptions!$C$8-1)-$C$9)&gt;36),0,INDEX(Schedules!$C$8:$AL$8,(AF$18-(Assumptions!$C$8-1)-$C$9)))*$C$7)*AF44)</f>
        <v>0</v>
      </c>
      <c r="AG49" s="14" t="n">
        <f aca="false">((IF(OR((AG$18-(Assumptions!$C$8-1)-$C$9)&lt;1,(AG$18-(Assumptions!$C$8-1)-$C$9)&gt;36),0,INDEX(Schedules!$C$8:$AL$8,(AG$18-(Assumptions!$C$8-1)-$C$9)))*$C$7)*AG44)</f>
        <v>0</v>
      </c>
      <c r="AH49" s="14" t="n">
        <f aca="false">((IF(OR((AH$18-(Assumptions!$C$8-1)-$C$9)&lt;1,(AH$18-(Assumptions!$C$8-1)-$C$9)&gt;36),0,INDEX(Schedules!$C$8:$AL$8,(AH$18-(Assumptions!$C$8-1)-$C$9)))*$C$7)*AH44)</f>
        <v>2</v>
      </c>
      <c r="AI49" s="14" t="n">
        <f aca="false">((IF(OR((AI$18-(Assumptions!$C$8-1)-$C$9)&lt;1,(AI$18-(Assumptions!$C$8-1)-$C$9)&gt;36),0,INDEX(Schedules!$C$8:$AL$8,(AI$18-(Assumptions!$C$8-1)-$C$9)))*$C$7)*AI44)</f>
        <v>0</v>
      </c>
      <c r="AJ49" s="14" t="n">
        <f aca="false">((IF(OR((AJ$18-(Assumptions!$C$8-1)-$C$9)&lt;1,(AJ$18-(Assumptions!$C$8-1)-$C$9)&gt;36),0,INDEX(Schedules!$C$8:$AL$8,(AJ$18-(Assumptions!$C$8-1)-$C$9)))*$C$7)*AJ44)</f>
        <v>0</v>
      </c>
      <c r="AK49" s="14" t="n">
        <f aca="false">((IF(OR((AK$18-(Assumptions!$C$8-1)-$C$9)&lt;1,(AK$18-(Assumptions!$C$8-1)-$C$9)&gt;36),0,INDEX(Schedules!$C$8:$AL$8,(AK$18-(Assumptions!$C$8-1)-$C$9)))*$C$7)*AK44)</f>
        <v>3</v>
      </c>
      <c r="AL49" s="14" t="n">
        <f aca="false">((IF(OR((AL$18-(Assumptions!$C$8-1)-$C$9)&lt;1,(AL$18-(Assumptions!$C$8-1)-$C$9)&gt;36),0,INDEX(Schedules!$C$8:$AL$8,(AL$18-(Assumptions!$C$8-1)-$C$9)))*$C$7)*AL44)</f>
        <v>0</v>
      </c>
      <c r="AN49" s="36" t="n">
        <f aca="false">SUM(C49:N49)</f>
        <v>0</v>
      </c>
      <c r="AO49" s="36" t="n">
        <f aca="false">SUM(O49:Z49)</f>
        <v>1</v>
      </c>
      <c r="AP49" s="36" t="n">
        <f aca="false">SUM(AA49:AL49)</f>
        <v>8</v>
      </c>
    </row>
    <row r="50" customFormat="false" ht="15" hidden="false" customHeight="false" outlineLevel="0" collapsed="false">
      <c r="A50" s="0" t="s">
        <v>856</v>
      </c>
      <c r="B50" s="0" t="s">
        <v>852</v>
      </c>
      <c r="C50" s="14" t="n">
        <f aca="false">(C46+C49)</f>
        <v>0</v>
      </c>
      <c r="D50" s="14" t="n">
        <f aca="false">(D46+D49)</f>
        <v>0</v>
      </c>
      <c r="E50" s="14" t="n">
        <f aca="false">(E46+E49)</f>
        <v>0</v>
      </c>
      <c r="F50" s="14" t="n">
        <f aca="false">(F46+F49)</f>
        <v>0</v>
      </c>
      <c r="G50" s="14" t="n">
        <f aca="false">(G46+G49)</f>
        <v>0</v>
      </c>
      <c r="H50" s="14" t="n">
        <f aca="false">(H46+H49)</f>
        <v>0</v>
      </c>
      <c r="I50" s="14" t="n">
        <f aca="false">(I46+I49)</f>
        <v>0</v>
      </c>
      <c r="J50" s="14" t="n">
        <f aca="false">(J46+J49)</f>
        <v>0</v>
      </c>
      <c r="K50" s="14" t="n">
        <f aca="false">(K46+K49)</f>
        <v>0</v>
      </c>
      <c r="L50" s="14" t="n">
        <f aca="false">(L46+L49)</f>
        <v>0</v>
      </c>
      <c r="M50" s="14" t="n">
        <f aca="false">(M46+M49)</f>
        <v>0</v>
      </c>
      <c r="N50" s="14" t="n">
        <f aca="false">(N46+N49)</f>
        <v>0</v>
      </c>
      <c r="O50" s="14" t="n">
        <f aca="false">(O46+O49)</f>
        <v>1</v>
      </c>
      <c r="P50" s="14" t="n">
        <f aca="false">(P46+P49)</f>
        <v>0</v>
      </c>
      <c r="Q50" s="14" t="n">
        <f aca="false">(Q46+Q49)</f>
        <v>0</v>
      </c>
      <c r="R50" s="14" t="n">
        <f aca="false">(R46+R49)</f>
        <v>1</v>
      </c>
      <c r="S50" s="14" t="n">
        <f aca="false">(S46+S49)</f>
        <v>0</v>
      </c>
      <c r="T50" s="14" t="n">
        <f aca="false">(T46+T49)</f>
        <v>0</v>
      </c>
      <c r="U50" s="14" t="n">
        <f aca="false">(U46+U49)</f>
        <v>2</v>
      </c>
      <c r="V50" s="14" t="n">
        <f aca="false">(V46+V49)</f>
        <v>0</v>
      </c>
      <c r="W50" s="14" t="n">
        <f aca="false">(W46+W49)</f>
        <v>0</v>
      </c>
      <c r="X50" s="14" t="n">
        <f aca="false">(X46+X49)</f>
        <v>2</v>
      </c>
      <c r="Y50" s="14" t="n">
        <f aca="false">(Y46+Y49)</f>
        <v>1</v>
      </c>
      <c r="Z50" s="14" t="n">
        <f aca="false">(Z46+Z49)</f>
        <v>0</v>
      </c>
      <c r="AA50" s="14" t="n">
        <f aca="false">(AA46+AA49)</f>
        <v>3</v>
      </c>
      <c r="AB50" s="14" t="n">
        <f aca="false">(AB46+AB49)</f>
        <v>1</v>
      </c>
      <c r="AC50" s="14" t="n">
        <f aca="false">(AC46+AC49)</f>
        <v>0</v>
      </c>
      <c r="AD50" s="14" t="n">
        <f aca="false">(AD46+AD49)</f>
        <v>3</v>
      </c>
      <c r="AE50" s="14" t="n">
        <f aca="false">(AE46+AE49)</f>
        <v>2</v>
      </c>
      <c r="AF50" s="14" t="n">
        <f aca="false">(AF46+AF49)</f>
        <v>0</v>
      </c>
      <c r="AG50" s="14" t="n">
        <f aca="false">(AG46+AG49)</f>
        <v>3</v>
      </c>
      <c r="AH50" s="14" t="n">
        <f aca="false">(AH46+AH49)</f>
        <v>2</v>
      </c>
      <c r="AI50" s="14" t="n">
        <f aca="false">(AI46+AI49)</f>
        <v>0</v>
      </c>
      <c r="AJ50" s="14" t="n">
        <f aca="false">(AJ46+AJ49)</f>
        <v>4</v>
      </c>
      <c r="AK50" s="14" t="n">
        <f aca="false">(AK46+AK49)</f>
        <v>3</v>
      </c>
      <c r="AL50" s="14" t="n">
        <f aca="false">(AL46+AL49)</f>
        <v>0</v>
      </c>
      <c r="AN50" s="36" t="n">
        <f aca="false">SUM(C50:N50)</f>
        <v>0</v>
      </c>
      <c r="AO50" s="36" t="n">
        <f aca="false">SUM(O50:Z50)</f>
        <v>7</v>
      </c>
      <c r="AP50" s="36" t="n">
        <f aca="false">SUM(AA50:AL50)</f>
        <v>21</v>
      </c>
    </row>
    <row r="51" customFormat="false" ht="15" hidden="false" customHeight="false" outlineLevel="0" collapsed="false">
      <c r="A51" s="0" t="s">
        <v>857</v>
      </c>
      <c r="B51" s="0" t="s">
        <v>852</v>
      </c>
      <c r="C51" s="14" t="n">
        <f aca="false">C48</f>
        <v>0</v>
      </c>
      <c r="D51" s="14" t="n">
        <f aca="false">SUM(C48:D48)</f>
        <v>0</v>
      </c>
      <c r="E51" s="14" t="n">
        <f aca="false">SUM(C48:E48)</f>
        <v>0</v>
      </c>
      <c r="F51" s="14" t="n">
        <f aca="false">SUM(C48:F48)</f>
        <v>0</v>
      </c>
      <c r="G51" s="14" t="n">
        <f aca="false">SUM(C48:G48)</f>
        <v>1</v>
      </c>
      <c r="H51" s="14" t="n">
        <f aca="false">SUM(C48:H48)</f>
        <v>1</v>
      </c>
      <c r="I51" s="14" t="n">
        <f aca="false">SUM(D48:I48)</f>
        <v>1</v>
      </c>
      <c r="J51" s="14" t="n">
        <f aca="false">SUM(E48:J48)</f>
        <v>1</v>
      </c>
      <c r="K51" s="14" t="n">
        <f aca="false">SUM(F48:K48)</f>
        <v>1</v>
      </c>
      <c r="L51" s="14" t="n">
        <f aca="false">SUM(G48:L48)</f>
        <v>1</v>
      </c>
      <c r="M51" s="14" t="n">
        <f aca="false">SUM(H48:M48)</f>
        <v>0</v>
      </c>
      <c r="N51" s="14" t="n">
        <f aca="false">SUM(I48:N48)</f>
        <v>0</v>
      </c>
      <c r="O51" s="14" t="n">
        <f aca="false">SUM(J48:O48)</f>
        <v>1</v>
      </c>
      <c r="P51" s="14" t="n">
        <f aca="false">SUM(K48:P48)</f>
        <v>1</v>
      </c>
      <c r="Q51" s="14" t="n">
        <f aca="false">SUM(L48:Q48)</f>
        <v>1</v>
      </c>
      <c r="R51" s="14" t="n">
        <f aca="false">SUM(M48:R48)</f>
        <v>2</v>
      </c>
      <c r="S51" s="14" t="n">
        <f aca="false">SUM(N48:S48)</f>
        <v>2</v>
      </c>
      <c r="T51" s="14" t="n">
        <f aca="false">SUM(O48:T48)</f>
        <v>2</v>
      </c>
      <c r="U51" s="14" t="n">
        <f aca="false">SUM(P48:U48)</f>
        <v>3</v>
      </c>
      <c r="V51" s="14" t="n">
        <f aca="false">SUM(Q48:V48)</f>
        <v>3</v>
      </c>
      <c r="W51" s="14" t="n">
        <f aca="false">SUM(R48:W48)</f>
        <v>3</v>
      </c>
      <c r="X51" s="14" t="n">
        <f aca="false">SUM(S48:X48)</f>
        <v>4</v>
      </c>
      <c r="Y51" s="14" t="n">
        <f aca="false">SUM(T48:Y48)</f>
        <v>4</v>
      </c>
      <c r="Z51" s="14" t="n">
        <f aca="false">SUM(U48:Z48)</f>
        <v>4</v>
      </c>
      <c r="AA51" s="14" t="n">
        <f aca="false">SUM(V48:AA48)</f>
        <v>5</v>
      </c>
      <c r="AB51" s="14" t="n">
        <f aca="false">SUM(W48:AB48)</f>
        <v>5</v>
      </c>
      <c r="AC51" s="14" t="n">
        <f aca="false">SUM(X48:AC48)</f>
        <v>5</v>
      </c>
      <c r="AD51" s="14" t="n">
        <f aca="false">SUM(Y48:AD48)</f>
        <v>6</v>
      </c>
      <c r="AE51" s="14" t="n">
        <f aca="false">SUM(Z48:AE48)</f>
        <v>6</v>
      </c>
      <c r="AF51" s="14" t="n">
        <f aca="false">SUM(AA48:AF48)</f>
        <v>6</v>
      </c>
      <c r="AG51" s="14" t="n">
        <f aca="false">SUM(AB48:AG48)</f>
        <v>6</v>
      </c>
      <c r="AH51" s="14" t="n">
        <f aca="false">SUM(AC48:AH48)</f>
        <v>6</v>
      </c>
      <c r="AI51" s="14" t="n">
        <f aca="false">SUM(AD48:AI48)</f>
        <v>6</v>
      </c>
      <c r="AJ51" s="14" t="n">
        <f aca="false">SUM(AE48:AJ48)</f>
        <v>7</v>
      </c>
      <c r="AK51" s="14" t="n">
        <f aca="false">SUM(AF48:AK48)</f>
        <v>7</v>
      </c>
      <c r="AL51" s="14" t="n">
        <f aca="false">SUM(AG48:AL48)</f>
        <v>7</v>
      </c>
      <c r="AN51" s="36" t="n">
        <f aca="false">N51</f>
        <v>0</v>
      </c>
      <c r="AO51" s="36" t="n">
        <f aca="false">Z51</f>
        <v>4</v>
      </c>
      <c r="AP51" s="36" t="n">
        <f aca="false">AL51</f>
        <v>7</v>
      </c>
    </row>
    <row r="52" customFormat="false" ht="15" hidden="false" customHeight="false" outlineLevel="0" collapsed="false">
      <c r="A52" s="0" t="s">
        <v>858</v>
      </c>
      <c r="B52" s="0" t="s">
        <v>852</v>
      </c>
      <c r="C52" s="14" t="n">
        <f aca="false">C46</f>
        <v>0</v>
      </c>
      <c r="D52" s="14" t="n">
        <f aca="false">SUM(C46:D46)</f>
        <v>0</v>
      </c>
      <c r="E52" s="14" t="n">
        <f aca="false">SUM(C46:E46)</f>
        <v>0</v>
      </c>
      <c r="F52" s="14" t="n">
        <f aca="false">SUM(C46:F46)</f>
        <v>0</v>
      </c>
      <c r="G52" s="14" t="n">
        <f aca="false">SUM(C46:G46)</f>
        <v>0</v>
      </c>
      <c r="H52" s="14" t="n">
        <f aca="false">SUM(C46:H46)</f>
        <v>0</v>
      </c>
      <c r="I52" s="14" t="n">
        <f aca="false">SUM(D46:I46)</f>
        <v>0</v>
      </c>
      <c r="J52" s="14" t="n">
        <f aca="false">SUM(E46:J46)</f>
        <v>0</v>
      </c>
      <c r="K52" s="14" t="n">
        <f aca="false">SUM(F46:K46)</f>
        <v>0</v>
      </c>
      <c r="L52" s="14" t="n">
        <f aca="false">SUM(G46:L46)</f>
        <v>0</v>
      </c>
      <c r="M52" s="14" t="n">
        <f aca="false">SUM(H46:M46)</f>
        <v>0</v>
      </c>
      <c r="N52" s="14" t="n">
        <f aca="false">SUM(I46:N46)</f>
        <v>0</v>
      </c>
      <c r="O52" s="14" t="n">
        <f aca="false">SUM(J46:O46)</f>
        <v>1</v>
      </c>
      <c r="P52" s="14" t="n">
        <f aca="false">SUM(K46:P46)</f>
        <v>1</v>
      </c>
      <c r="Q52" s="14" t="n">
        <f aca="false">SUM(L46:Q46)</f>
        <v>1</v>
      </c>
      <c r="R52" s="14" t="n">
        <f aca="false">SUM(M46:R46)</f>
        <v>2</v>
      </c>
      <c r="S52" s="14" t="n">
        <f aca="false">SUM(N46:S46)</f>
        <v>2</v>
      </c>
      <c r="T52" s="14" t="n">
        <f aca="false">SUM(O46:T46)</f>
        <v>2</v>
      </c>
      <c r="U52" s="14" t="n">
        <f aca="false">SUM(P46:U46)</f>
        <v>3</v>
      </c>
      <c r="V52" s="14" t="n">
        <f aca="false">SUM(Q46:V46)</f>
        <v>3</v>
      </c>
      <c r="W52" s="14" t="n">
        <f aca="false">SUM(R46:W46)</f>
        <v>3</v>
      </c>
      <c r="X52" s="14" t="n">
        <f aca="false">SUM(S46:X46)</f>
        <v>4</v>
      </c>
      <c r="Y52" s="14" t="n">
        <f aca="false">SUM(T46:Y46)</f>
        <v>4</v>
      </c>
      <c r="Z52" s="14" t="n">
        <f aca="false">SUM(U46:Z46)</f>
        <v>4</v>
      </c>
      <c r="AA52" s="14" t="n">
        <f aca="false">SUM(V46:AA46)</f>
        <v>5</v>
      </c>
      <c r="AB52" s="14" t="n">
        <f aca="false">SUM(W46:AB46)</f>
        <v>5</v>
      </c>
      <c r="AC52" s="14" t="n">
        <f aca="false">SUM(X46:AC46)</f>
        <v>5</v>
      </c>
      <c r="AD52" s="14" t="n">
        <f aca="false">SUM(Y46:AD46)</f>
        <v>6</v>
      </c>
      <c r="AE52" s="14" t="n">
        <f aca="false">SUM(Z46:AE46)</f>
        <v>6</v>
      </c>
      <c r="AF52" s="14" t="n">
        <f aca="false">SUM(AA46:AF46)</f>
        <v>6</v>
      </c>
      <c r="AG52" s="14" t="n">
        <f aca="false">SUM(AB46:AG46)</f>
        <v>6</v>
      </c>
      <c r="AH52" s="14" t="n">
        <f aca="false">SUM(AC46:AH46)</f>
        <v>6</v>
      </c>
      <c r="AI52" s="14" t="n">
        <f aca="false">SUM(AD46:AI46)</f>
        <v>6</v>
      </c>
      <c r="AJ52" s="14" t="n">
        <f aca="false">SUM(AE46:AJ46)</f>
        <v>7</v>
      </c>
      <c r="AK52" s="14" t="n">
        <f aca="false">SUM(AF46:AK46)</f>
        <v>7</v>
      </c>
      <c r="AL52" s="14" t="n">
        <f aca="false">SUM(AG46:AL46)</f>
        <v>7</v>
      </c>
      <c r="AN52" s="36" t="n">
        <f aca="false">N52</f>
        <v>0</v>
      </c>
      <c r="AO52" s="36" t="n">
        <f aca="false">Z52</f>
        <v>4</v>
      </c>
      <c r="AP52" s="36" t="n">
        <f aca="false">AL52</f>
        <v>7</v>
      </c>
    </row>
    <row r="53" customFormat="false" ht="15" hidden="false" customHeight="false" outlineLevel="0" collapsed="false">
      <c r="A53" s="0" t="s">
        <v>859</v>
      </c>
      <c r="B53" s="0" t="s">
        <v>852</v>
      </c>
      <c r="C53" s="14" t="n">
        <f aca="false">((Assumptions!$C$127*$C$8)*0)</f>
        <v>0</v>
      </c>
      <c r="D53" s="14" t="n">
        <f aca="false">((Assumptions!$C$127*$C$8)*0)</f>
        <v>0</v>
      </c>
      <c r="E53" s="14" t="n">
        <f aca="false">((Assumptions!$C$127*$C$8)*0)</f>
        <v>0</v>
      </c>
      <c r="F53" s="14" t="n">
        <f aca="false">((Assumptions!$C$127*$C$8)*0)</f>
        <v>0</v>
      </c>
      <c r="G53" s="14" t="n">
        <f aca="false">((Assumptions!$C$127*$C$8)*0)</f>
        <v>0</v>
      </c>
      <c r="H53" s="14" t="n">
        <f aca="false">((Assumptions!$C$127*$C$8)*0)</f>
        <v>0</v>
      </c>
      <c r="I53" s="14" t="n">
        <f aca="false">((Assumptions!$C$127*$C$8)*0)</f>
        <v>0</v>
      </c>
      <c r="J53" s="14" t="n">
        <f aca="false">((Assumptions!$C$127*$C$8)*C46)</f>
        <v>0</v>
      </c>
      <c r="K53" s="14" t="n">
        <f aca="false">((Assumptions!$C$127*$C$8)*D46)</f>
        <v>0</v>
      </c>
      <c r="L53" s="14" t="n">
        <f aca="false">((Assumptions!$C$127*$C$8)*E46)</f>
        <v>0</v>
      </c>
      <c r="M53" s="14" t="n">
        <f aca="false">((Assumptions!$C$127*$C$8)*F46)</f>
        <v>0</v>
      </c>
      <c r="N53" s="14" t="n">
        <f aca="false">((Assumptions!$C$127*$C$8)*G46)</f>
        <v>0</v>
      </c>
      <c r="O53" s="14" t="n">
        <f aca="false">((Assumptions!$C$127*$C$8)*H46)</f>
        <v>0</v>
      </c>
      <c r="P53" s="14" t="n">
        <f aca="false">((Assumptions!$C$127*$C$8)*I46)</f>
        <v>0</v>
      </c>
      <c r="Q53" s="14" t="n">
        <f aca="false">((Assumptions!$C$127*$C$8)*J46)</f>
        <v>0</v>
      </c>
      <c r="R53" s="14" t="n">
        <f aca="false">((Assumptions!$C$127*$C$8)*K46)</f>
        <v>0</v>
      </c>
      <c r="S53" s="14" t="n">
        <f aca="false">((Assumptions!$C$127*$C$8)*L46)</f>
        <v>0</v>
      </c>
      <c r="T53" s="14" t="n">
        <f aca="false">((Assumptions!$C$127*$C$8)*M46)</f>
        <v>0</v>
      </c>
      <c r="U53" s="14" t="n">
        <f aca="false">((Assumptions!$C$127*$C$8)*N46)</f>
        <v>0</v>
      </c>
      <c r="V53" s="14" t="n">
        <f aca="false">((Assumptions!$C$127*$C$8)*O46)</f>
        <v>0.5</v>
      </c>
      <c r="W53" s="14" t="n">
        <f aca="false">((Assumptions!$C$127*$C$8)*P46)</f>
        <v>0</v>
      </c>
      <c r="X53" s="14" t="n">
        <f aca="false">((Assumptions!$C$127*$C$8)*Q46)</f>
        <v>0</v>
      </c>
      <c r="Y53" s="14" t="n">
        <f aca="false">((Assumptions!$C$127*$C$8)*R46)</f>
        <v>0.5</v>
      </c>
      <c r="Z53" s="14" t="n">
        <f aca="false">((Assumptions!$C$127*$C$8)*S46)</f>
        <v>0</v>
      </c>
      <c r="AA53" s="14" t="n">
        <f aca="false">((Assumptions!$C$127*$C$8)*T46)</f>
        <v>0</v>
      </c>
      <c r="AB53" s="14" t="n">
        <f aca="false">((Assumptions!$C$127*$C$8)*U46)</f>
        <v>1</v>
      </c>
      <c r="AC53" s="14" t="n">
        <f aca="false">((Assumptions!$C$127*$C$8)*V46)</f>
        <v>0</v>
      </c>
      <c r="AD53" s="14" t="n">
        <f aca="false">((Assumptions!$C$127*$C$8)*W46)</f>
        <v>0</v>
      </c>
      <c r="AE53" s="14" t="n">
        <f aca="false">((Assumptions!$C$127*$C$8)*X46)</f>
        <v>1</v>
      </c>
      <c r="AF53" s="14" t="n">
        <f aca="false">((Assumptions!$C$127*$C$8)*Y46)</f>
        <v>0</v>
      </c>
      <c r="AG53" s="14" t="n">
        <f aca="false">((Assumptions!$C$127*$C$8)*Z46)</f>
        <v>0</v>
      </c>
      <c r="AH53" s="14" t="n">
        <f aca="false">((Assumptions!$C$127*$C$8)*AA46)</f>
        <v>1.5</v>
      </c>
      <c r="AI53" s="14" t="n">
        <f aca="false">((Assumptions!$C$127*$C$8)*AB46)</f>
        <v>0</v>
      </c>
      <c r="AJ53" s="14" t="n">
        <f aca="false">((Assumptions!$C$127*$C$8)*AC46)</f>
        <v>0</v>
      </c>
      <c r="AK53" s="14" t="n">
        <f aca="false">((Assumptions!$C$127*$C$8)*AD46)</f>
        <v>1.5</v>
      </c>
      <c r="AL53" s="14" t="n">
        <f aca="false">((Assumptions!$C$127*$C$8)*AE46)</f>
        <v>0</v>
      </c>
      <c r="AN53" s="36" t="n">
        <f aca="false">SUM(C53:N53)</f>
        <v>0</v>
      </c>
      <c r="AO53" s="36" t="n">
        <f aca="false">SUM(O53:Z53)</f>
        <v>1</v>
      </c>
      <c r="AP53" s="36" t="n">
        <f aca="false">SUM(AA53:AL53)</f>
        <v>5</v>
      </c>
    </row>
    <row r="54" customFormat="false" ht="15" hidden="false" customHeight="false" outlineLevel="0" collapsed="false">
      <c r="A54" s="0" t="s">
        <v>860</v>
      </c>
      <c r="B54" s="0" t="s">
        <v>852</v>
      </c>
      <c r="C54" s="14" t="n">
        <f aca="false">((Assumptions!$C$10*$C$8)*IF((C$18=(Assumptions!$C$7+$C$9)),0,IF((C$18&gt;(Assumptions!$C$7+$C$9)),0,0)))</f>
        <v>0</v>
      </c>
      <c r="D54" s="14" t="n">
        <f aca="false">((Assumptions!$C$10*$C$8)*IF((D$18=(Assumptions!$C$7+$C$9)),0,IF((D$18&gt;(Assumptions!$C$7+$C$9)),0,0)))</f>
        <v>0</v>
      </c>
      <c r="E54" s="14" t="n">
        <f aca="false">((Assumptions!$C$10*$C$8)*IF((E$18=(Assumptions!$C$7+$C$9)),0,IF((E$18&gt;(Assumptions!$C$7+$C$9)),0,0)))</f>
        <v>0</v>
      </c>
      <c r="F54" s="14" t="n">
        <f aca="false">((Assumptions!$C$10*$C$8)*IF((F$18=(Assumptions!$C$7+$C$9)),0,IF((F$18&gt;(Assumptions!$C$7+$C$9)),0,0)))</f>
        <v>0</v>
      </c>
      <c r="G54" s="14" t="n">
        <f aca="false">((Assumptions!$C$10*$C$8)*IF((G$18=(Assumptions!$C$7+$C$9)),0,IF((G$18&gt;(Assumptions!$C$7+$C$9)),0,0)))</f>
        <v>0</v>
      </c>
      <c r="H54" s="14" t="n">
        <f aca="false">((Assumptions!$C$10*$C$8)*IF((H$18=(Assumptions!$C$7+$C$9)),0,IF((H$18&gt;(Assumptions!$C$7+$C$9)),0,0)))</f>
        <v>0</v>
      </c>
      <c r="I54" s="14" t="n">
        <f aca="false">((Assumptions!$C$10*$C$8)*IF((I$18=(Assumptions!$C$7+$C$9)),0,IF((I$18&gt;(Assumptions!$C$7+$C$9)),0,0)))</f>
        <v>0</v>
      </c>
      <c r="J54" s="14" t="n">
        <f aca="false">((Assumptions!$C$10*$C$8)*IF((J$18=(Assumptions!$C$7+$C$9)),C47,IF((J$18&gt;(Assumptions!$C$7+$C$9)),C47,0)))</f>
        <v>0</v>
      </c>
      <c r="K54" s="14" t="n">
        <f aca="false">((Assumptions!$C$10*$C$8)*IF((K$18=(Assumptions!$C$7+$C$9)),SUM(C47:D47),IF((K$18&gt;(Assumptions!$C$7+$C$9)),D47,0)))</f>
        <v>0</v>
      </c>
      <c r="L54" s="14" t="n">
        <f aca="false">((Assumptions!$C$10*$C$8)*IF((L$18=(Assumptions!$C$7+$C$9)),SUM(C47:E47),IF((L$18&gt;(Assumptions!$C$7+$C$9)),E47,0)))</f>
        <v>0</v>
      </c>
      <c r="M54" s="14" t="n">
        <f aca="false">((Assumptions!$C$10*$C$8)*IF((M$18=(Assumptions!$C$7+$C$9)),SUM(C47:F47),IF((M$18&gt;(Assumptions!$C$7+$C$9)),F47,0)))</f>
        <v>0</v>
      </c>
      <c r="N54" s="14" t="n">
        <f aca="false">((Assumptions!$C$10*$C$8)*IF((N$18=(Assumptions!$C$7+$C$9)),SUM(C47:G47),IF((N$18&gt;(Assumptions!$C$7+$C$9)),G47,0)))</f>
        <v>0.6</v>
      </c>
      <c r="O54" s="14" t="n">
        <f aca="false">((Assumptions!$C$10*$C$8)*IF((O$18=(Assumptions!$C$7+$C$9)),SUM(C47:H47),IF((O$18&gt;(Assumptions!$C$7+$C$9)),H47,0)))</f>
        <v>0</v>
      </c>
      <c r="P54" s="14" t="n">
        <f aca="false">((Assumptions!$C$10*$C$8)*IF((P$18=(Assumptions!$C$7+$C$9)),SUM(C47:I47),IF((P$18&gt;(Assumptions!$C$7+$C$9)),I47,0)))</f>
        <v>0</v>
      </c>
      <c r="Q54" s="14" t="n">
        <f aca="false">((Assumptions!$C$10*$C$8)*IF((Q$18=(Assumptions!$C$7+$C$9)),SUM(C47:J47),IF((Q$18&gt;(Assumptions!$C$7+$C$9)),J47,0)))</f>
        <v>0</v>
      </c>
      <c r="R54" s="14" t="n">
        <f aca="false">((Assumptions!$C$10*$C$8)*IF((R$18=(Assumptions!$C$7+$C$9)),SUM(C47:K47),IF((R$18&gt;(Assumptions!$C$7+$C$9)),K47,0)))</f>
        <v>0</v>
      </c>
      <c r="S54" s="14" t="n">
        <f aca="false">((Assumptions!$C$10*$C$8)*IF((S$18=(Assumptions!$C$7+$C$9)),SUM(C47:L47),IF((S$18&gt;(Assumptions!$C$7+$C$9)),L47,0)))</f>
        <v>0</v>
      </c>
      <c r="T54" s="14" t="n">
        <f aca="false">((Assumptions!$C$10*$C$8)*IF((T$18=(Assumptions!$C$7+$C$9)),SUM(C47:M47),IF((T$18&gt;(Assumptions!$C$7+$C$9)),M47,0)))</f>
        <v>0</v>
      </c>
      <c r="U54" s="14" t="n">
        <f aca="false">((Assumptions!$C$10*$C$8)*IF((U$18=(Assumptions!$C$7+$C$9)),SUM(C47:N47),IF((U$18&gt;(Assumptions!$C$7+$C$9)),N47,0)))</f>
        <v>0</v>
      </c>
      <c r="V54" s="14" t="n">
        <f aca="false">((Assumptions!$C$10*$C$8)*IF((V$18=(Assumptions!$C$7+$C$9)),SUM(C47:O47),IF((V$18&gt;(Assumptions!$C$7+$C$9)),O47,0)))</f>
        <v>0</v>
      </c>
      <c r="W54" s="14" t="n">
        <f aca="false">((Assumptions!$C$10*$C$8)*IF((W$18=(Assumptions!$C$7+$C$9)),SUM(C47:P47),IF((W$18&gt;(Assumptions!$C$7+$C$9)),P47,0)))</f>
        <v>0</v>
      </c>
      <c r="X54" s="14" t="n">
        <f aca="false">((Assumptions!$C$10*$C$8)*IF((X$18=(Assumptions!$C$7+$C$9)),SUM(C47:Q47),IF((X$18&gt;(Assumptions!$C$7+$C$9)),Q47,0)))</f>
        <v>0</v>
      </c>
      <c r="Y54" s="14" t="n">
        <f aca="false">((Assumptions!$C$10*$C$8)*IF((Y$18=(Assumptions!$C$7+$C$9)),SUM(C47:R47),IF((Y$18&gt;(Assumptions!$C$7+$C$9)),R47,0)))</f>
        <v>0</v>
      </c>
      <c r="Z54" s="14" t="n">
        <f aca="false">((Assumptions!$C$10*$C$8)*IF((Z$18=(Assumptions!$C$7+$C$9)),SUM(C47:S47),IF((Z$18&gt;(Assumptions!$C$7+$C$9)),S47,0)))</f>
        <v>0</v>
      </c>
      <c r="AA54" s="14" t="n">
        <f aca="false">((Assumptions!$C$10*$C$8)*IF((AA$18=(Assumptions!$C$7+$C$9)),SUM(C47:T47),IF((AA$18&gt;(Assumptions!$C$7+$C$9)),T47,0)))</f>
        <v>0</v>
      </c>
      <c r="AB54" s="14" t="n">
        <f aca="false">((Assumptions!$C$10*$C$8)*IF((AB$18=(Assumptions!$C$7+$C$9)),SUM(C47:U47),IF((AB$18&gt;(Assumptions!$C$7+$C$9)),U47,0)))</f>
        <v>0</v>
      </c>
      <c r="AC54" s="14" t="n">
        <f aca="false">((Assumptions!$C$10*$C$8)*IF((AC$18=(Assumptions!$C$7+$C$9)),SUM(C47:V47),IF((AC$18&gt;(Assumptions!$C$7+$C$9)),V47,0)))</f>
        <v>0</v>
      </c>
      <c r="AD54" s="14" t="n">
        <f aca="false">((Assumptions!$C$10*$C$8)*IF((AD$18=(Assumptions!$C$7+$C$9)),SUM(C47:W47),IF((AD$18&gt;(Assumptions!$C$7+$C$9)),W47,0)))</f>
        <v>0</v>
      </c>
      <c r="AE54" s="14" t="n">
        <f aca="false">((Assumptions!$C$10*$C$8)*IF((AE$18=(Assumptions!$C$7+$C$9)),SUM(C47:X47),IF((AE$18&gt;(Assumptions!$C$7+$C$9)),X47,0)))</f>
        <v>0</v>
      </c>
      <c r="AF54" s="14" t="n">
        <f aca="false">((Assumptions!$C$10*$C$8)*IF((AF$18=(Assumptions!$C$7+$C$9)),SUM(C47:Y47),IF((AF$18&gt;(Assumptions!$C$7+$C$9)),Y47,0)))</f>
        <v>0</v>
      </c>
      <c r="AG54" s="14" t="n">
        <f aca="false">((Assumptions!$C$10*$C$8)*IF((AG$18=(Assumptions!$C$7+$C$9)),SUM(C47:Z47),IF((AG$18&gt;(Assumptions!$C$7+$C$9)),Z47,0)))</f>
        <v>0</v>
      </c>
      <c r="AH54" s="14" t="n">
        <f aca="false">((Assumptions!$C$10*$C$8)*IF((AH$18=(Assumptions!$C$7+$C$9)),SUM(C47:AA47),IF((AH$18&gt;(Assumptions!$C$7+$C$9)),AA47,0)))</f>
        <v>0</v>
      </c>
      <c r="AI54" s="14" t="n">
        <f aca="false">((Assumptions!$C$10*$C$8)*IF((AI$18=(Assumptions!$C$7+$C$9)),SUM(C47:AB47),IF((AI$18&gt;(Assumptions!$C$7+$C$9)),AB47,0)))</f>
        <v>0</v>
      </c>
      <c r="AJ54" s="14" t="n">
        <f aca="false">((Assumptions!$C$10*$C$8)*IF((AJ$18=(Assumptions!$C$7+$C$9)),SUM(C47:AC47),IF((AJ$18&gt;(Assumptions!$C$7+$C$9)),AC47,0)))</f>
        <v>0</v>
      </c>
      <c r="AK54" s="14" t="n">
        <f aca="false">((Assumptions!$C$10*$C$8)*IF((AK$18=(Assumptions!$C$7+$C$9)),SUM(C47:AD47),IF((AK$18&gt;(Assumptions!$C$7+$C$9)),AD47,0)))</f>
        <v>0</v>
      </c>
      <c r="AL54" s="14" t="n">
        <f aca="false">((Assumptions!$C$10*$C$8)*IF((AL$18=(Assumptions!$C$7+$C$9)),SUM(C47:AE47),IF((AL$18&gt;(Assumptions!$C$7+$C$9)),AE47,0)))</f>
        <v>0</v>
      </c>
      <c r="AN54" s="36" t="n">
        <f aca="false">SUM(C54:N54)</f>
        <v>0.6</v>
      </c>
      <c r="AO54" s="36" t="n">
        <f aca="false">SUM(O54:Z54)</f>
        <v>0</v>
      </c>
      <c r="AP54" s="36" t="n">
        <f aca="false">SUM(AA54:AL54)</f>
        <v>0</v>
      </c>
    </row>
    <row r="55" customFormat="false" ht="15" hidden="false" customHeight="false" outlineLevel="0" collapsed="false">
      <c r="A55" s="0" t="s">
        <v>861</v>
      </c>
      <c r="B55" s="0" t="s">
        <v>852</v>
      </c>
      <c r="C55" s="14" t="n">
        <f aca="false">((C53+C54)+C49)</f>
        <v>0</v>
      </c>
      <c r="D55" s="14" t="n">
        <f aca="false">((D53+D54)+D49)</f>
        <v>0</v>
      </c>
      <c r="E55" s="14" t="n">
        <f aca="false">((E53+E54)+E49)</f>
        <v>0</v>
      </c>
      <c r="F55" s="14" t="n">
        <f aca="false">((F53+F54)+F49)</f>
        <v>0</v>
      </c>
      <c r="G55" s="14" t="n">
        <f aca="false">((G53+G54)+G49)</f>
        <v>0</v>
      </c>
      <c r="H55" s="14" t="n">
        <f aca="false">((H53+H54)+H49)</f>
        <v>0</v>
      </c>
      <c r="I55" s="14" t="n">
        <f aca="false">((I53+I54)+I49)</f>
        <v>0</v>
      </c>
      <c r="J55" s="14" t="n">
        <f aca="false">((J53+J54)+J49)</f>
        <v>0</v>
      </c>
      <c r="K55" s="14" t="n">
        <f aca="false">((K53+K54)+K49)</f>
        <v>0</v>
      </c>
      <c r="L55" s="14" t="n">
        <f aca="false">((L53+L54)+L49)</f>
        <v>0</v>
      </c>
      <c r="M55" s="14" t="n">
        <f aca="false">((M53+M54)+M49)</f>
        <v>0</v>
      </c>
      <c r="N55" s="14" t="n">
        <f aca="false">((N53+N54)+N49)</f>
        <v>0.6</v>
      </c>
      <c r="O55" s="14" t="n">
        <f aca="false">((O53+O54)+O49)</f>
        <v>0</v>
      </c>
      <c r="P55" s="14" t="n">
        <f aca="false">((P53+P54)+P49)</f>
        <v>0</v>
      </c>
      <c r="Q55" s="14" t="n">
        <f aca="false">((Q53+Q54)+Q49)</f>
        <v>0</v>
      </c>
      <c r="R55" s="14" t="n">
        <f aca="false">((R53+R54)+R49)</f>
        <v>0</v>
      </c>
      <c r="S55" s="14" t="n">
        <f aca="false">((S53+S54)+S49)</f>
        <v>0</v>
      </c>
      <c r="T55" s="14" t="n">
        <f aca="false">((T53+T54)+T49)</f>
        <v>0</v>
      </c>
      <c r="U55" s="14" t="n">
        <f aca="false">((U53+U54)+U49)</f>
        <v>0</v>
      </c>
      <c r="V55" s="14" t="n">
        <f aca="false">((V53+V54)+V49)</f>
        <v>0.5</v>
      </c>
      <c r="W55" s="14" t="n">
        <f aca="false">((W53+W54)+W49)</f>
        <v>0</v>
      </c>
      <c r="X55" s="14" t="n">
        <f aca="false">((X53+X54)+X49)</f>
        <v>0</v>
      </c>
      <c r="Y55" s="14" t="n">
        <f aca="false">((Y53+Y54)+Y49)</f>
        <v>1.5</v>
      </c>
      <c r="Z55" s="14" t="n">
        <f aca="false">((Z53+Z54)+Z49)</f>
        <v>0</v>
      </c>
      <c r="AA55" s="14" t="n">
        <f aca="false">((AA53+AA54)+AA49)</f>
        <v>0</v>
      </c>
      <c r="AB55" s="14" t="n">
        <f aca="false">((AB53+AB54)+AB49)</f>
        <v>2</v>
      </c>
      <c r="AC55" s="14" t="n">
        <f aca="false">((AC53+AC54)+AC49)</f>
        <v>0</v>
      </c>
      <c r="AD55" s="14" t="n">
        <f aca="false">((AD53+AD54)+AD49)</f>
        <v>0</v>
      </c>
      <c r="AE55" s="14" t="n">
        <f aca="false">((AE53+AE54)+AE49)</f>
        <v>3</v>
      </c>
      <c r="AF55" s="14" t="n">
        <f aca="false">((AF53+AF54)+AF49)</f>
        <v>0</v>
      </c>
      <c r="AG55" s="14" t="n">
        <f aca="false">((AG53+AG54)+AG49)</f>
        <v>0</v>
      </c>
      <c r="AH55" s="14" t="n">
        <f aca="false">((AH53+AH54)+AH49)</f>
        <v>3.5</v>
      </c>
      <c r="AI55" s="14" t="n">
        <f aca="false">((AI53+AI54)+AI49)</f>
        <v>0</v>
      </c>
      <c r="AJ55" s="14" t="n">
        <f aca="false">((AJ53+AJ54)+AJ49)</f>
        <v>0</v>
      </c>
      <c r="AK55" s="14" t="n">
        <f aca="false">((AK53+AK54)+AK49)</f>
        <v>4.5</v>
      </c>
      <c r="AL55" s="14" t="n">
        <f aca="false">((AL53+AL54)+AL49)</f>
        <v>0</v>
      </c>
      <c r="AN55" s="36" t="n">
        <f aca="false">SUM(C55:N55)</f>
        <v>0.6</v>
      </c>
      <c r="AO55" s="36" t="n">
        <f aca="false">SUM(O55:Z55)</f>
        <v>2</v>
      </c>
      <c r="AP55" s="36" t="n">
        <f aca="false">SUM(AA55:AL55)</f>
        <v>13</v>
      </c>
    </row>
    <row r="56" customFormat="false" ht="15" hidden="false" customHeight="false" outlineLevel="0" collapsed="false">
      <c r="A56" s="0" t="s">
        <v>862</v>
      </c>
      <c r="B56" s="0" t="s">
        <v>852</v>
      </c>
      <c r="C56" s="14" t="n">
        <f aca="false">(C55+(C45*0))</f>
        <v>0</v>
      </c>
      <c r="D56" s="14" t="n">
        <f aca="false">(D55+(D45*0))</f>
        <v>0</v>
      </c>
      <c r="E56" s="14" t="n">
        <f aca="false">(E55+(E45*0))</f>
        <v>0</v>
      </c>
      <c r="F56" s="14" t="n">
        <f aca="false">(F55+(F45*0))</f>
        <v>0</v>
      </c>
      <c r="G56" s="14" t="n">
        <f aca="false">(G55+(G45*0))</f>
        <v>0</v>
      </c>
      <c r="H56" s="14" t="n">
        <f aca="false">(H55+(H45*0))</f>
        <v>0</v>
      </c>
      <c r="I56" s="14" t="n">
        <f aca="false">(I55+(I45*0))</f>
        <v>0</v>
      </c>
      <c r="J56" s="14" t="n">
        <f aca="false">(J55+(J45*0))</f>
        <v>0</v>
      </c>
      <c r="K56" s="14" t="n">
        <f aca="false">(K55+(K45*0))</f>
        <v>0</v>
      </c>
      <c r="L56" s="14" t="n">
        <f aca="false">(L55+(L45*0))</f>
        <v>0</v>
      </c>
      <c r="M56" s="14" t="n">
        <f aca="false">(M55+(M45*0))</f>
        <v>0</v>
      </c>
      <c r="N56" s="14" t="n">
        <f aca="false">(N55+(N45*0))</f>
        <v>0.6</v>
      </c>
      <c r="O56" s="14" t="n">
        <f aca="false">(O55+(O45*C56))</f>
        <v>0</v>
      </c>
      <c r="P56" s="14" t="n">
        <f aca="false">(P55+(P45*D56))</f>
        <v>0</v>
      </c>
      <c r="Q56" s="14" t="n">
        <f aca="false">(Q55+(Q45*E56))</f>
        <v>0</v>
      </c>
      <c r="R56" s="14" t="n">
        <f aca="false">(R55+(R45*F56))</f>
        <v>0</v>
      </c>
      <c r="S56" s="14" t="n">
        <f aca="false">(S55+(S45*G56))</f>
        <v>0</v>
      </c>
      <c r="T56" s="14" t="n">
        <f aca="false">(T55+(T45*H56))</f>
        <v>0</v>
      </c>
      <c r="U56" s="14" t="n">
        <f aca="false">(U55+(U45*I56))</f>
        <v>0</v>
      </c>
      <c r="V56" s="14" t="n">
        <f aca="false">(V55+(V45*J56))</f>
        <v>0.5</v>
      </c>
      <c r="W56" s="14" t="n">
        <f aca="false">(W55+(W45*K56))</f>
        <v>0</v>
      </c>
      <c r="X56" s="14" t="n">
        <f aca="false">(X55+(X45*L56))</f>
        <v>0</v>
      </c>
      <c r="Y56" s="14" t="n">
        <f aca="false">(Y55+(Y45*M56))</f>
        <v>1.5</v>
      </c>
      <c r="Z56" s="14" t="n">
        <f aca="false">(Z55+(Z45*N56))</f>
        <v>0.528</v>
      </c>
      <c r="AA56" s="14" t="n">
        <f aca="false">(AA55+(AA45*O56))</f>
        <v>0</v>
      </c>
      <c r="AB56" s="14" t="n">
        <f aca="false">(AB55+(AB45*P56))</f>
        <v>2</v>
      </c>
      <c r="AC56" s="14" t="n">
        <f aca="false">(AC55+(AC45*Q56))</f>
        <v>0</v>
      </c>
      <c r="AD56" s="14" t="n">
        <f aca="false">(AD55+(AD45*R56))</f>
        <v>0</v>
      </c>
      <c r="AE56" s="14" t="n">
        <f aca="false">(AE55+(AE45*S56))</f>
        <v>3</v>
      </c>
      <c r="AF56" s="14" t="n">
        <f aca="false">(AF55+(AF45*T56))</f>
        <v>0</v>
      </c>
      <c r="AG56" s="14" t="n">
        <f aca="false">(AG55+(AG45*U56))</f>
        <v>0</v>
      </c>
      <c r="AH56" s="14" t="n">
        <f aca="false">(AH55+(AH45*V56))</f>
        <v>3.94</v>
      </c>
      <c r="AI56" s="14" t="n">
        <f aca="false">(AI55+(AI45*W56))</f>
        <v>0</v>
      </c>
      <c r="AJ56" s="14" t="n">
        <f aca="false">(AJ55+(AJ45*X56))</f>
        <v>0</v>
      </c>
      <c r="AK56" s="14" t="n">
        <f aca="false">(AK55+(AK45*Y56))</f>
        <v>5.82</v>
      </c>
      <c r="AL56" s="14" t="n">
        <f aca="false">(AL55+(AL45*Z56))</f>
        <v>0.46464</v>
      </c>
      <c r="AN56" s="36" t="n">
        <f aca="false">SUM(C56:N56)</f>
        <v>0.6</v>
      </c>
      <c r="AO56" s="36" t="n">
        <f aca="false">SUM(O56:Z56)</f>
        <v>2.528</v>
      </c>
      <c r="AP56" s="36" t="n">
        <f aca="false">SUM(AA56:AL56)</f>
        <v>15.22464</v>
      </c>
    </row>
    <row r="57" customFormat="false" ht="15" hidden="false" customHeight="false" outlineLevel="0" collapsed="false">
      <c r="A57" s="0" t="s">
        <v>863</v>
      </c>
      <c r="B57" s="0" t="s">
        <v>852</v>
      </c>
      <c r="C57" s="14" t="n">
        <f aca="false">C56</f>
        <v>0</v>
      </c>
      <c r="D57" s="14" t="n">
        <f aca="false">SUM(C56:D56)</f>
        <v>0</v>
      </c>
      <c r="E57" s="14" t="n">
        <f aca="false">SUM(C56:E56)</f>
        <v>0</v>
      </c>
      <c r="F57" s="14" t="n">
        <f aca="false">SUM(C56:F56)</f>
        <v>0</v>
      </c>
      <c r="G57" s="14" t="n">
        <f aca="false">SUM(C56:G56)</f>
        <v>0</v>
      </c>
      <c r="H57" s="14" t="n">
        <f aca="false">SUM(C56:H56)</f>
        <v>0</v>
      </c>
      <c r="I57" s="14" t="n">
        <f aca="false">SUM(C56:I56)</f>
        <v>0</v>
      </c>
      <c r="J57" s="14" t="n">
        <f aca="false">SUM(C56:J56)</f>
        <v>0</v>
      </c>
      <c r="K57" s="14" t="n">
        <f aca="false">SUM(C56:K56)</f>
        <v>0</v>
      </c>
      <c r="L57" s="14" t="n">
        <f aca="false">SUM(C56:L56)</f>
        <v>0</v>
      </c>
      <c r="M57" s="14" t="n">
        <f aca="false">SUM(C56:M56)</f>
        <v>0</v>
      </c>
      <c r="N57" s="14" t="n">
        <f aca="false">SUM(C56:N56)</f>
        <v>0.6</v>
      </c>
      <c r="O57" s="14" t="n">
        <f aca="false">SUM(D56:O56)</f>
        <v>0.6</v>
      </c>
      <c r="P57" s="14" t="n">
        <f aca="false">SUM(E56:P56)</f>
        <v>0.6</v>
      </c>
      <c r="Q57" s="14" t="n">
        <f aca="false">SUM(F56:Q56)</f>
        <v>0.6</v>
      </c>
      <c r="R57" s="14" t="n">
        <f aca="false">SUM(G56:R56)</f>
        <v>0.6</v>
      </c>
      <c r="S57" s="14" t="n">
        <f aca="false">SUM(H56:S56)</f>
        <v>0.6</v>
      </c>
      <c r="T57" s="14" t="n">
        <f aca="false">SUM(I56:T56)</f>
        <v>0.6</v>
      </c>
      <c r="U57" s="14" t="n">
        <f aca="false">SUM(J56:U56)</f>
        <v>0.6</v>
      </c>
      <c r="V57" s="14" t="n">
        <f aca="false">SUM(K56:V56)</f>
        <v>1.1</v>
      </c>
      <c r="W57" s="14" t="n">
        <f aca="false">SUM(L56:W56)</f>
        <v>1.1</v>
      </c>
      <c r="X57" s="14" t="n">
        <f aca="false">SUM(M56:X56)</f>
        <v>1.1</v>
      </c>
      <c r="Y57" s="14" t="n">
        <f aca="false">SUM(N56:Y56)</f>
        <v>2.6</v>
      </c>
      <c r="Z57" s="14" t="n">
        <f aca="false">SUM(O56:Z56)</f>
        <v>2.528</v>
      </c>
      <c r="AA57" s="14" t="n">
        <f aca="false">SUM(P56:AA56)</f>
        <v>2.528</v>
      </c>
      <c r="AB57" s="14" t="n">
        <f aca="false">SUM(Q56:AB56)</f>
        <v>4.528</v>
      </c>
      <c r="AC57" s="14" t="n">
        <f aca="false">SUM(R56:AC56)</f>
        <v>4.528</v>
      </c>
      <c r="AD57" s="14" t="n">
        <f aca="false">SUM(S56:AD56)</f>
        <v>4.528</v>
      </c>
      <c r="AE57" s="14" t="n">
        <f aca="false">SUM(T56:AE56)</f>
        <v>7.528</v>
      </c>
      <c r="AF57" s="14" t="n">
        <f aca="false">SUM(U56:AF56)</f>
        <v>7.528</v>
      </c>
      <c r="AG57" s="14" t="n">
        <f aca="false">SUM(V56:AG56)</f>
        <v>7.528</v>
      </c>
      <c r="AH57" s="14" t="n">
        <f aca="false">SUM(W56:AH56)</f>
        <v>10.968</v>
      </c>
      <c r="AI57" s="14" t="n">
        <f aca="false">SUM(X56:AI56)</f>
        <v>10.968</v>
      </c>
      <c r="AJ57" s="14" t="n">
        <f aca="false">SUM(Y56:AJ56)</f>
        <v>10.968</v>
      </c>
      <c r="AK57" s="14" t="n">
        <f aca="false">SUM(Z56:AK56)</f>
        <v>15.288</v>
      </c>
      <c r="AL57" s="14" t="n">
        <f aca="false">SUM(AA56:AL56)</f>
        <v>15.22464</v>
      </c>
      <c r="AN57" s="36" t="n">
        <f aca="false">N57</f>
        <v>0.6</v>
      </c>
      <c r="AO57" s="36" t="n">
        <f aca="false">Z57</f>
        <v>2.528</v>
      </c>
      <c r="AP57" s="36" t="n">
        <f aca="false">AL57</f>
        <v>15.22464</v>
      </c>
    </row>
    <row r="58" customFormat="false" ht="15" hidden="false" customHeight="false" outlineLevel="0" collapsed="false">
      <c r="A58" s="0" t="s">
        <v>864</v>
      </c>
      <c r="B58" s="0" t="s">
        <v>230</v>
      </c>
      <c r="C58" s="9" t="n">
        <f aca="false">((Assumptions!$C$121*(1-Assumptions!$C$29))*$C$10)</f>
        <v>26400</v>
      </c>
      <c r="D58" s="9" t="n">
        <f aca="false">((Assumptions!$C$121*(1-Assumptions!$C$29))*$C$10)</f>
        <v>26400</v>
      </c>
      <c r="E58" s="9" t="n">
        <f aca="false">((Assumptions!$C$121*(1-Assumptions!$C$29))*$C$10)</f>
        <v>26400</v>
      </c>
      <c r="F58" s="9" t="n">
        <f aca="false">((Assumptions!$C$121*(1-Assumptions!$C$29))*$C$10)</f>
        <v>26400</v>
      </c>
      <c r="G58" s="9" t="n">
        <f aca="false">((Assumptions!$C$121*(1-Assumptions!$C$29))*$C$10)</f>
        <v>26400</v>
      </c>
      <c r="H58" s="9" t="n">
        <f aca="false">((Assumptions!$C$121*(1-Assumptions!$C$29))*$C$10)</f>
        <v>26400</v>
      </c>
      <c r="I58" s="9" t="n">
        <f aca="false">((Assumptions!$C$121*(1-Assumptions!$C$29))*$C$10)</f>
        <v>26400</v>
      </c>
      <c r="J58" s="9" t="n">
        <f aca="false">((Assumptions!$C$121*(1-Assumptions!$C$29))*$C$10)</f>
        <v>26400</v>
      </c>
      <c r="K58" s="9" t="n">
        <f aca="false">((Assumptions!$C$121*(1-Assumptions!$C$29))*$C$10)</f>
        <v>26400</v>
      </c>
      <c r="L58" s="9" t="n">
        <f aca="false">((Assumptions!$C$121*(1-Assumptions!$C$29))*$C$10)</f>
        <v>26400</v>
      </c>
      <c r="M58" s="9" t="n">
        <f aca="false">((Assumptions!$C$121*(1-Assumptions!$C$29))*$C$10)</f>
        <v>26400</v>
      </c>
      <c r="N58" s="9" t="n">
        <f aca="false">((Assumptions!$C$121*(1-Assumptions!$C$29))*$C$10)</f>
        <v>26400</v>
      </c>
      <c r="O58" s="9" t="n">
        <f aca="false">((Assumptions!$C$121*(1-Assumptions!$C$29))*$C$10)</f>
        <v>26400</v>
      </c>
      <c r="P58" s="9" t="n">
        <f aca="false">((Assumptions!$C$121*(1-Assumptions!$C$29))*$C$10)</f>
        <v>26400</v>
      </c>
      <c r="Q58" s="9" t="n">
        <f aca="false">((Assumptions!$C$121*(1-Assumptions!$C$29))*$C$10)</f>
        <v>26400</v>
      </c>
      <c r="R58" s="9" t="n">
        <f aca="false">((Assumptions!$C$121*(1-Assumptions!$C$29))*$C$10)</f>
        <v>26400</v>
      </c>
      <c r="S58" s="9" t="n">
        <f aca="false">((Assumptions!$C$121*(1-Assumptions!$C$29))*$C$10)</f>
        <v>26400</v>
      </c>
      <c r="T58" s="9" t="n">
        <f aca="false">((Assumptions!$C$121*(1-Assumptions!$C$29))*$C$10)</f>
        <v>26400</v>
      </c>
      <c r="U58" s="9" t="n">
        <f aca="false">((Assumptions!$C$121*(1-Assumptions!$C$29))*$C$10)</f>
        <v>26400</v>
      </c>
      <c r="V58" s="9" t="n">
        <f aca="false">((Assumptions!$C$121*(1-Assumptions!$C$29))*$C$10)</f>
        <v>26400</v>
      </c>
      <c r="W58" s="9" t="n">
        <f aca="false">((Assumptions!$C$121*(1-Assumptions!$C$29))*$C$10)</f>
        <v>26400</v>
      </c>
      <c r="X58" s="9" t="n">
        <f aca="false">((Assumptions!$C$121*(1-Assumptions!$C$29))*$C$10)</f>
        <v>26400</v>
      </c>
      <c r="Y58" s="9" t="n">
        <f aca="false">((Assumptions!$C$121*(1-Assumptions!$C$29))*$C$10)</f>
        <v>26400</v>
      </c>
      <c r="Z58" s="9" t="n">
        <f aca="false">((Assumptions!$C$121*(1-Assumptions!$C$29))*$C$10)</f>
        <v>26400</v>
      </c>
      <c r="AA58" s="9" t="n">
        <f aca="false">((Assumptions!$C$121*(1-Assumptions!$C$29))*$C$10)</f>
        <v>26400</v>
      </c>
      <c r="AB58" s="9" t="n">
        <f aca="false">((Assumptions!$C$121*(1-Assumptions!$C$29))*$C$10)</f>
        <v>26400</v>
      </c>
      <c r="AC58" s="9" t="n">
        <f aca="false">((Assumptions!$C$121*(1-Assumptions!$C$29))*$C$10)</f>
        <v>26400</v>
      </c>
      <c r="AD58" s="9" t="n">
        <f aca="false">((Assumptions!$C$121*(1-Assumptions!$C$29))*$C$10)</f>
        <v>26400</v>
      </c>
      <c r="AE58" s="9" t="n">
        <f aca="false">((Assumptions!$C$121*(1-Assumptions!$C$29))*$C$10)</f>
        <v>26400</v>
      </c>
      <c r="AF58" s="9" t="n">
        <f aca="false">((Assumptions!$C$121*(1-Assumptions!$C$29))*$C$10)</f>
        <v>26400</v>
      </c>
      <c r="AG58" s="9" t="n">
        <f aca="false">((Assumptions!$C$121*(1-Assumptions!$C$29))*$C$10)</f>
        <v>26400</v>
      </c>
      <c r="AH58" s="9" t="n">
        <f aca="false">((Assumptions!$C$121*(1-Assumptions!$C$29))*$C$10)</f>
        <v>26400</v>
      </c>
      <c r="AI58" s="9" t="n">
        <f aca="false">((Assumptions!$C$121*(1-Assumptions!$C$29))*$C$10)</f>
        <v>26400</v>
      </c>
      <c r="AJ58" s="9" t="n">
        <f aca="false">((Assumptions!$C$121*(1-Assumptions!$C$29))*$C$10)</f>
        <v>26400</v>
      </c>
      <c r="AK58" s="9" t="n">
        <f aca="false">((Assumptions!$C$121*(1-Assumptions!$C$29))*$C$10)</f>
        <v>26400</v>
      </c>
      <c r="AL58" s="9" t="n">
        <f aca="false">((Assumptions!$C$121*(1-Assumptions!$C$29))*$C$10)</f>
        <v>26400</v>
      </c>
    </row>
    <row r="59" customFormat="false" ht="15" hidden="false" customHeight="false" outlineLevel="0" collapsed="false">
      <c r="A59" s="0" t="s">
        <v>865</v>
      </c>
      <c r="B59" s="0" t="s">
        <v>230</v>
      </c>
      <c r="C59" s="9" t="n">
        <f aca="false">((C55*C58)+((C45*(1+Assumptions!$C$31))*0))</f>
        <v>0</v>
      </c>
      <c r="D59" s="9" t="n">
        <f aca="false">((D55*D58)+((D45*(1+Assumptions!$C$31))*0))</f>
        <v>0</v>
      </c>
      <c r="E59" s="9" t="n">
        <f aca="false">((E55*E58)+((E45*(1+Assumptions!$C$31))*0))</f>
        <v>0</v>
      </c>
      <c r="F59" s="9" t="n">
        <f aca="false">((F55*F58)+((F45*(1+Assumptions!$C$31))*0))</f>
        <v>0</v>
      </c>
      <c r="G59" s="9" t="n">
        <f aca="false">((G55*G58)+((G45*(1+Assumptions!$C$31))*0))</f>
        <v>0</v>
      </c>
      <c r="H59" s="9" t="n">
        <f aca="false">((H55*H58)+((H45*(1+Assumptions!$C$31))*0))</f>
        <v>0</v>
      </c>
      <c r="I59" s="9" t="n">
        <f aca="false">((I55*I58)+((I45*(1+Assumptions!$C$31))*0))</f>
        <v>0</v>
      </c>
      <c r="J59" s="9" t="n">
        <f aca="false">((J55*J58)+((J45*(1+Assumptions!$C$31))*0))</f>
        <v>0</v>
      </c>
      <c r="K59" s="9" t="n">
        <f aca="false">((K55*K58)+((K45*(1+Assumptions!$C$31))*0))</f>
        <v>0</v>
      </c>
      <c r="L59" s="9" t="n">
        <f aca="false">((L55*L58)+((L45*(1+Assumptions!$C$31))*0))</f>
        <v>0</v>
      </c>
      <c r="M59" s="9" t="n">
        <f aca="false">((M55*M58)+((M45*(1+Assumptions!$C$31))*0))</f>
        <v>0</v>
      </c>
      <c r="N59" s="9" t="n">
        <f aca="false">((N55*N58)+((N45*(1+Assumptions!$C$31))*0))</f>
        <v>15840</v>
      </c>
      <c r="O59" s="9" t="n">
        <f aca="false">((O55*O58)+((O45*(1+Assumptions!$C$31))*C59))</f>
        <v>0</v>
      </c>
      <c r="P59" s="9" t="n">
        <f aca="false">((P55*P58)+((P45*(1+Assumptions!$C$31))*D59))</f>
        <v>0</v>
      </c>
      <c r="Q59" s="9" t="n">
        <f aca="false">((Q55*Q58)+((Q45*(1+Assumptions!$C$31))*E59))</f>
        <v>0</v>
      </c>
      <c r="R59" s="9" t="n">
        <f aca="false">((R55*R58)+((R45*(1+Assumptions!$C$31))*F59))</f>
        <v>0</v>
      </c>
      <c r="S59" s="9" t="n">
        <f aca="false">((S55*S58)+((S45*(1+Assumptions!$C$31))*G59))</f>
        <v>0</v>
      </c>
      <c r="T59" s="9" t="n">
        <f aca="false">((T55*T58)+((T45*(1+Assumptions!$C$31))*H59))</f>
        <v>0</v>
      </c>
      <c r="U59" s="9" t="n">
        <f aca="false">((U55*U58)+((U45*(1+Assumptions!$C$31))*I59))</f>
        <v>0</v>
      </c>
      <c r="V59" s="9" t="n">
        <f aca="false">((V55*V58)+((V45*(1+Assumptions!$C$31))*J59))</f>
        <v>13200</v>
      </c>
      <c r="W59" s="9" t="n">
        <f aca="false">((W55*W58)+((W45*(1+Assumptions!$C$31))*K59))</f>
        <v>0</v>
      </c>
      <c r="X59" s="9" t="n">
        <f aca="false">((X55*X58)+((X45*(1+Assumptions!$C$31))*L59))</f>
        <v>0</v>
      </c>
      <c r="Y59" s="9" t="n">
        <f aca="false">((Y55*Y58)+((Y45*(1+Assumptions!$C$31))*M59))</f>
        <v>39600</v>
      </c>
      <c r="Z59" s="9" t="n">
        <f aca="false">((Z55*Z58)+((Z45*(1+Assumptions!$C$31))*N59))</f>
        <v>15333.12</v>
      </c>
      <c r="AA59" s="9" t="n">
        <f aca="false">((AA55*AA58)+((AA45*(1+Assumptions!$C$31))*O59))</f>
        <v>0</v>
      </c>
      <c r="AB59" s="9" t="n">
        <f aca="false">((AB55*AB58)+((AB45*(1+Assumptions!$C$31))*P59))</f>
        <v>52800</v>
      </c>
      <c r="AC59" s="9" t="n">
        <f aca="false">((AC55*AC58)+((AC45*(1+Assumptions!$C$31))*Q59))</f>
        <v>0</v>
      </c>
      <c r="AD59" s="9" t="n">
        <f aca="false">((AD55*AD58)+((AD45*(1+Assumptions!$C$31))*R59))</f>
        <v>0</v>
      </c>
      <c r="AE59" s="9" t="n">
        <f aca="false">((AE55*AE58)+((AE45*(1+Assumptions!$C$31))*S59))</f>
        <v>79200</v>
      </c>
      <c r="AF59" s="9" t="n">
        <f aca="false">((AF55*AF58)+((AF45*(1+Assumptions!$C$31))*T59))</f>
        <v>0</v>
      </c>
      <c r="AG59" s="9" t="n">
        <f aca="false">((AG55*AG58)+((AG45*(1+Assumptions!$C$31))*U59))</f>
        <v>0</v>
      </c>
      <c r="AH59" s="9" t="n">
        <f aca="false">((AH55*AH58)+((AH45*(1+Assumptions!$C$31))*V59))</f>
        <v>105177.6</v>
      </c>
      <c r="AI59" s="9" t="n">
        <f aca="false">((AI55*AI58)+((AI45*(1+Assumptions!$C$31))*W59))</f>
        <v>0</v>
      </c>
      <c r="AJ59" s="9" t="n">
        <f aca="false">((AJ55*AJ58)+((AJ45*(1+Assumptions!$C$31))*X59))</f>
        <v>0</v>
      </c>
      <c r="AK59" s="9" t="n">
        <f aca="false">((AK55*AK58)+((AK45*(1+Assumptions!$C$31))*Y59))</f>
        <v>157132.8</v>
      </c>
      <c r="AL59" s="9" t="n">
        <f aca="false">((AL55*AL58)+((AL45*(1+Assumptions!$C$31))*Z59))</f>
        <v>14842.46016</v>
      </c>
      <c r="AN59" s="11" t="n">
        <f aca="false">SUM(C59:N59)</f>
        <v>15840</v>
      </c>
      <c r="AO59" s="11" t="n">
        <f aca="false">SUM(O59:Z59)</f>
        <v>68133.12</v>
      </c>
      <c r="AP59" s="11" t="n">
        <f aca="false">SUM(AA59:AL59)</f>
        <v>409152.86016</v>
      </c>
    </row>
    <row r="60" customFormat="false" ht="15" hidden="false" customHeight="false" outlineLevel="0" collapsed="false">
      <c r="A60" s="0" t="s">
        <v>866</v>
      </c>
      <c r="B60" s="0" t="s">
        <v>230</v>
      </c>
      <c r="C60" s="9" t="n">
        <f aca="false">(Assumptions!$C$126*C53)</f>
        <v>0</v>
      </c>
      <c r="D60" s="9" t="n">
        <f aca="false">(Assumptions!$C$126*D53)</f>
        <v>0</v>
      </c>
      <c r="E60" s="9" t="n">
        <f aca="false">(Assumptions!$C$126*E53)</f>
        <v>0</v>
      </c>
      <c r="F60" s="9" t="n">
        <f aca="false">(Assumptions!$C$126*F53)</f>
        <v>0</v>
      </c>
      <c r="G60" s="9" t="n">
        <f aca="false">(Assumptions!$C$126*G53)</f>
        <v>0</v>
      </c>
      <c r="H60" s="9" t="n">
        <f aca="false">(Assumptions!$C$126*H53)</f>
        <v>0</v>
      </c>
      <c r="I60" s="9" t="n">
        <f aca="false">(Assumptions!$C$126*I53)</f>
        <v>0</v>
      </c>
      <c r="J60" s="9" t="n">
        <f aca="false">(Assumptions!$C$126*J53)</f>
        <v>0</v>
      </c>
      <c r="K60" s="9" t="n">
        <f aca="false">(Assumptions!$C$126*K53)</f>
        <v>0</v>
      </c>
      <c r="L60" s="9" t="n">
        <f aca="false">(Assumptions!$C$126*L53)</f>
        <v>0</v>
      </c>
      <c r="M60" s="9" t="n">
        <f aca="false">(Assumptions!$C$126*M53)</f>
        <v>0</v>
      </c>
      <c r="N60" s="9" t="n">
        <f aca="false">(Assumptions!$C$126*N53)</f>
        <v>0</v>
      </c>
      <c r="O60" s="9" t="n">
        <f aca="false">(Assumptions!$C$126*O53)</f>
        <v>0</v>
      </c>
      <c r="P60" s="9" t="n">
        <f aca="false">(Assumptions!$C$126*P53)</f>
        <v>0</v>
      </c>
      <c r="Q60" s="9" t="n">
        <f aca="false">(Assumptions!$C$126*Q53)</f>
        <v>0</v>
      </c>
      <c r="R60" s="9" t="n">
        <f aca="false">(Assumptions!$C$126*R53)</f>
        <v>0</v>
      </c>
      <c r="S60" s="9" t="n">
        <f aca="false">(Assumptions!$C$126*S53)</f>
        <v>0</v>
      </c>
      <c r="T60" s="9" t="n">
        <f aca="false">(Assumptions!$C$126*T53)</f>
        <v>0</v>
      </c>
      <c r="U60" s="9" t="n">
        <f aca="false">(Assumptions!$C$126*U53)</f>
        <v>0</v>
      </c>
      <c r="V60" s="9" t="n">
        <f aca="false">(Assumptions!$C$126*V53)</f>
        <v>3750</v>
      </c>
      <c r="W60" s="9" t="n">
        <f aca="false">(Assumptions!$C$126*W53)</f>
        <v>0</v>
      </c>
      <c r="X60" s="9" t="n">
        <f aca="false">(Assumptions!$C$126*X53)</f>
        <v>0</v>
      </c>
      <c r="Y60" s="9" t="n">
        <f aca="false">(Assumptions!$C$126*Y53)</f>
        <v>3750</v>
      </c>
      <c r="Z60" s="9" t="n">
        <f aca="false">(Assumptions!$C$126*Z53)</f>
        <v>0</v>
      </c>
      <c r="AA60" s="9" t="n">
        <f aca="false">(Assumptions!$C$126*AA53)</f>
        <v>0</v>
      </c>
      <c r="AB60" s="9" t="n">
        <f aca="false">(Assumptions!$C$126*AB53)</f>
        <v>7500</v>
      </c>
      <c r="AC60" s="9" t="n">
        <f aca="false">(Assumptions!$C$126*AC53)</f>
        <v>0</v>
      </c>
      <c r="AD60" s="9" t="n">
        <f aca="false">(Assumptions!$C$126*AD53)</f>
        <v>0</v>
      </c>
      <c r="AE60" s="9" t="n">
        <f aca="false">(Assumptions!$C$126*AE53)</f>
        <v>7500</v>
      </c>
      <c r="AF60" s="9" t="n">
        <f aca="false">(Assumptions!$C$126*AF53)</f>
        <v>0</v>
      </c>
      <c r="AG60" s="9" t="n">
        <f aca="false">(Assumptions!$C$126*AG53)</f>
        <v>0</v>
      </c>
      <c r="AH60" s="9" t="n">
        <f aca="false">(Assumptions!$C$126*AH53)</f>
        <v>11250</v>
      </c>
      <c r="AI60" s="9" t="n">
        <f aca="false">(Assumptions!$C$126*AI53)</f>
        <v>0</v>
      </c>
      <c r="AJ60" s="9" t="n">
        <f aca="false">(Assumptions!$C$126*AJ53)</f>
        <v>0</v>
      </c>
      <c r="AK60" s="9" t="n">
        <f aca="false">(Assumptions!$C$126*AK53)</f>
        <v>11250</v>
      </c>
      <c r="AL60" s="9" t="n">
        <f aca="false">(Assumptions!$C$126*AL53)</f>
        <v>0</v>
      </c>
      <c r="AN60" s="11" t="n">
        <f aca="false">SUM(C60:N60)</f>
        <v>0</v>
      </c>
      <c r="AO60" s="11" t="n">
        <f aca="false">SUM(O60:Z60)</f>
        <v>7500</v>
      </c>
      <c r="AP60" s="11" t="n">
        <f aca="false">SUM(AA60:AL60)</f>
        <v>37500</v>
      </c>
    </row>
    <row r="61" customFormat="false" ht="15" hidden="false" customHeight="false" outlineLevel="0" collapsed="false">
      <c r="A61" s="0" t="s">
        <v>867</v>
      </c>
      <c r="B61" s="0" t="s">
        <v>230</v>
      </c>
      <c r="C61" s="9" t="n">
        <f aca="false">((C59-C60)/12)</f>
        <v>0</v>
      </c>
      <c r="D61" s="9" t="n">
        <f aca="false">((SUM(C59:D59)-SUM(C60:D60))/12)</f>
        <v>0</v>
      </c>
      <c r="E61" s="9" t="n">
        <f aca="false">((SUM(C59:E59)-SUM(C60:E60))/12)</f>
        <v>0</v>
      </c>
      <c r="F61" s="9" t="n">
        <f aca="false">((SUM(C59:F59)-SUM(C60:F60))/12)</f>
        <v>0</v>
      </c>
      <c r="G61" s="9" t="n">
        <f aca="false">((SUM(C59:G59)-SUM(C60:G60))/12)</f>
        <v>0</v>
      </c>
      <c r="H61" s="9" t="n">
        <f aca="false">((SUM(C59:H59)-SUM(C60:H60))/12)</f>
        <v>0</v>
      </c>
      <c r="I61" s="9" t="n">
        <f aca="false">((SUM(C59:I59)-SUM(C60:I60))/12)</f>
        <v>0</v>
      </c>
      <c r="J61" s="9" t="n">
        <f aca="false">((SUM(C59:J59)-SUM(C60:J60))/12)</f>
        <v>0</v>
      </c>
      <c r="K61" s="9" t="n">
        <f aca="false">((SUM(C59:K59)-SUM(C60:K60))/12)</f>
        <v>0</v>
      </c>
      <c r="L61" s="9" t="n">
        <f aca="false">((SUM(C59:L59)-SUM(C60:L60))/12)</f>
        <v>0</v>
      </c>
      <c r="M61" s="9" t="n">
        <f aca="false">((SUM(C59:M59)-SUM(C60:M60))/12)</f>
        <v>0</v>
      </c>
      <c r="N61" s="9" t="n">
        <f aca="false">((SUM(C59:N59)-SUM(C60:N60))/12)</f>
        <v>1320</v>
      </c>
      <c r="O61" s="9" t="n">
        <f aca="false">((SUM(D59:O59)-SUM(D60:O60))/12)</f>
        <v>1320</v>
      </c>
      <c r="P61" s="9" t="n">
        <f aca="false">((SUM(E59:P59)-SUM(E60:P60))/12)</f>
        <v>1320</v>
      </c>
      <c r="Q61" s="9" t="n">
        <f aca="false">((SUM(F59:Q59)-SUM(F60:Q60))/12)</f>
        <v>1320</v>
      </c>
      <c r="R61" s="9" t="n">
        <f aca="false">((SUM(G59:R59)-SUM(G60:R60))/12)</f>
        <v>1320</v>
      </c>
      <c r="S61" s="9" t="n">
        <f aca="false">((SUM(H59:S59)-SUM(H60:S60))/12)</f>
        <v>1320</v>
      </c>
      <c r="T61" s="9" t="n">
        <f aca="false">((SUM(I59:T59)-SUM(I60:T60))/12)</f>
        <v>1320</v>
      </c>
      <c r="U61" s="9" t="n">
        <f aca="false">((SUM(J59:U59)-SUM(J60:U60))/12)</f>
        <v>1320</v>
      </c>
      <c r="V61" s="9" t="n">
        <f aca="false">((SUM(K59:V59)-SUM(K60:V60))/12)</f>
        <v>2107.5</v>
      </c>
      <c r="W61" s="9" t="n">
        <f aca="false">((SUM(L59:W59)-SUM(L60:W60))/12)</f>
        <v>2107.5</v>
      </c>
      <c r="X61" s="9" t="n">
        <f aca="false">((SUM(M59:X59)-SUM(M60:X60))/12)</f>
        <v>2107.5</v>
      </c>
      <c r="Y61" s="9" t="n">
        <f aca="false">((SUM(N59:Y59)-SUM(N60:Y60))/12)</f>
        <v>5095</v>
      </c>
      <c r="Z61" s="9" t="n">
        <f aca="false">((SUM(O59:Z59)-SUM(O60:Z60))/12)</f>
        <v>5052.76</v>
      </c>
      <c r="AA61" s="9" t="n">
        <f aca="false">((SUM(P59:AA59)-SUM(P60:AA60))/12)</f>
        <v>5052.76</v>
      </c>
      <c r="AB61" s="9" t="n">
        <f aca="false">((SUM(Q59:AB59)-SUM(Q60:AB60))/12)</f>
        <v>8827.76</v>
      </c>
      <c r="AC61" s="9" t="n">
        <f aca="false">((SUM(R59:AC59)-SUM(R60:AC60))/12)</f>
        <v>8827.76</v>
      </c>
      <c r="AD61" s="9" t="n">
        <f aca="false">((SUM(S59:AD59)-SUM(S60:AD60))/12)</f>
        <v>8827.76</v>
      </c>
      <c r="AE61" s="9" t="n">
        <f aca="false">((SUM(T59:AE59)-SUM(T60:AE60))/12)</f>
        <v>14802.76</v>
      </c>
      <c r="AF61" s="9" t="n">
        <f aca="false">((SUM(U59:AF59)-SUM(U60:AF60))/12)</f>
        <v>14802.76</v>
      </c>
      <c r="AG61" s="9" t="n">
        <f aca="false">((SUM(V59:AG59)-SUM(V60:AG60))/12)</f>
        <v>14802.76</v>
      </c>
      <c r="AH61" s="9" t="n">
        <f aca="false">((SUM(W59:AH59)-SUM(W60:AH60))/12)</f>
        <v>21842.56</v>
      </c>
      <c r="AI61" s="9" t="n">
        <f aca="false">((SUM(X59:AI59)-SUM(X60:AI60))/12)</f>
        <v>21842.56</v>
      </c>
      <c r="AJ61" s="9" t="n">
        <f aca="false">((SUM(Y59:AJ59)-SUM(Y60:AJ60))/12)</f>
        <v>21842.56</v>
      </c>
      <c r="AK61" s="9" t="n">
        <f aca="false">((SUM(Z59:AK59)-SUM(Z60:AK60))/12)</f>
        <v>31011.96</v>
      </c>
      <c r="AL61" s="9" t="n">
        <f aca="false">((SUM(AA59:AL59)-SUM(AA60:AL60))/12)</f>
        <v>30971.07168</v>
      </c>
      <c r="AN61" s="11" t="n">
        <f aca="false">SUM(C61:N61)</f>
        <v>1320</v>
      </c>
      <c r="AO61" s="11" t="n">
        <f aca="false">SUM(O61:Z61)</f>
        <v>25710.26</v>
      </c>
      <c r="AP61" s="11" t="n">
        <f aca="false">SUM(AA61:AL61)</f>
        <v>203455.03168</v>
      </c>
    </row>
    <row r="62" customFormat="false" ht="15" hidden="false" customHeight="false" outlineLevel="0" collapsed="false">
      <c r="A62" s="0" t="s">
        <v>868</v>
      </c>
      <c r="B62" s="0" t="s">
        <v>230</v>
      </c>
      <c r="C62" s="9" t="n">
        <f aca="false">(C59-C60)</f>
        <v>0</v>
      </c>
      <c r="D62" s="9" t="n">
        <f aca="false">(D59-D60)</f>
        <v>0</v>
      </c>
      <c r="E62" s="9" t="n">
        <f aca="false">(E59-E60)</f>
        <v>0</v>
      </c>
      <c r="F62" s="9" t="n">
        <f aca="false">(F59-F60)</f>
        <v>0</v>
      </c>
      <c r="G62" s="9" t="n">
        <f aca="false">(G59-G60)</f>
        <v>0</v>
      </c>
      <c r="H62" s="9" t="n">
        <f aca="false">(H59-H60)</f>
        <v>0</v>
      </c>
      <c r="I62" s="9" t="n">
        <f aca="false">(I59-I60)</f>
        <v>0</v>
      </c>
      <c r="J62" s="9" t="n">
        <f aca="false">(J59-J60)</f>
        <v>0</v>
      </c>
      <c r="K62" s="9" t="n">
        <f aca="false">(K59-K60)</f>
        <v>0</v>
      </c>
      <c r="L62" s="9" t="n">
        <f aca="false">(L59-L60)</f>
        <v>0</v>
      </c>
      <c r="M62" s="9" t="n">
        <f aca="false">(M59-M60)</f>
        <v>0</v>
      </c>
      <c r="N62" s="9" t="n">
        <f aca="false">(N59-N60)</f>
        <v>15840</v>
      </c>
      <c r="O62" s="9" t="n">
        <f aca="false">(O59-O60)</f>
        <v>0</v>
      </c>
      <c r="P62" s="9" t="n">
        <f aca="false">(P59-P60)</f>
        <v>0</v>
      </c>
      <c r="Q62" s="9" t="n">
        <f aca="false">(Q59-Q60)</f>
        <v>0</v>
      </c>
      <c r="R62" s="9" t="n">
        <f aca="false">(R59-R60)</f>
        <v>0</v>
      </c>
      <c r="S62" s="9" t="n">
        <f aca="false">(S59-S60)</f>
        <v>0</v>
      </c>
      <c r="T62" s="9" t="n">
        <f aca="false">(T59-T60)</f>
        <v>0</v>
      </c>
      <c r="U62" s="9" t="n">
        <f aca="false">(U59-U60)</f>
        <v>0</v>
      </c>
      <c r="V62" s="9" t="n">
        <f aca="false">(V59-V60)</f>
        <v>9450</v>
      </c>
      <c r="W62" s="9" t="n">
        <f aca="false">(W59-W60)</f>
        <v>0</v>
      </c>
      <c r="X62" s="9" t="n">
        <f aca="false">(X59-X60)</f>
        <v>0</v>
      </c>
      <c r="Y62" s="9" t="n">
        <f aca="false">(Y59-Y60)</f>
        <v>35850</v>
      </c>
      <c r="Z62" s="9" t="n">
        <f aca="false">(Z59-Z60)</f>
        <v>15333.12</v>
      </c>
      <c r="AA62" s="9" t="n">
        <f aca="false">(AA59-AA60)</f>
        <v>0</v>
      </c>
      <c r="AB62" s="9" t="n">
        <f aca="false">(AB59-AB60)</f>
        <v>45300</v>
      </c>
      <c r="AC62" s="9" t="n">
        <f aca="false">(AC59-AC60)</f>
        <v>0</v>
      </c>
      <c r="AD62" s="9" t="n">
        <f aca="false">(AD59-AD60)</f>
        <v>0</v>
      </c>
      <c r="AE62" s="9" t="n">
        <f aca="false">(AE59-AE60)</f>
        <v>71700</v>
      </c>
      <c r="AF62" s="9" t="n">
        <f aca="false">(AF59-AF60)</f>
        <v>0</v>
      </c>
      <c r="AG62" s="9" t="n">
        <f aca="false">(AG59-AG60)</f>
        <v>0</v>
      </c>
      <c r="AH62" s="9" t="n">
        <f aca="false">(AH59-AH60)</f>
        <v>93927.6</v>
      </c>
      <c r="AI62" s="9" t="n">
        <f aca="false">(AI59-AI60)</f>
        <v>0</v>
      </c>
      <c r="AJ62" s="9" t="n">
        <f aca="false">(AJ59-AJ60)</f>
        <v>0</v>
      </c>
      <c r="AK62" s="9" t="n">
        <f aca="false">(AK59-AK60)</f>
        <v>145882.8</v>
      </c>
      <c r="AL62" s="9" t="n">
        <f aca="false">(AL59-AL60)</f>
        <v>14842.46016</v>
      </c>
      <c r="AN62" s="11" t="n">
        <f aca="false">SUM(C62:N62)</f>
        <v>15840</v>
      </c>
      <c r="AO62" s="11" t="n">
        <f aca="false">SUM(O62:Z62)</f>
        <v>60633.12</v>
      </c>
      <c r="AP62" s="11" t="n">
        <f aca="false">SUM(AA62:AL62)</f>
        <v>371652.86016</v>
      </c>
    </row>
    <row r="63" customFormat="false" ht="15" hidden="false" customHeight="false" outlineLevel="0" collapsed="false">
      <c r="A63" s="0" t="s">
        <v>869</v>
      </c>
      <c r="B63" s="0" t="s">
        <v>230</v>
      </c>
      <c r="C63" s="9" t="n">
        <f aca="false">(((Assumptions!$C$122*$C$10)/6)*C52)</f>
        <v>0</v>
      </c>
      <c r="D63" s="9" t="n">
        <f aca="false">(((Assumptions!$C$122*$C$10)/6)*D52)</f>
        <v>0</v>
      </c>
      <c r="E63" s="9" t="n">
        <f aca="false">(((Assumptions!$C$122*$C$10)/6)*E52)</f>
        <v>0</v>
      </c>
      <c r="F63" s="9" t="n">
        <f aca="false">(((Assumptions!$C$122*$C$10)/6)*F52)</f>
        <v>0</v>
      </c>
      <c r="G63" s="9" t="n">
        <f aca="false">(((Assumptions!$C$122*$C$10)/6)*G52)</f>
        <v>0</v>
      </c>
      <c r="H63" s="9" t="n">
        <f aca="false">(((Assumptions!$C$122*$C$10)/6)*H52)</f>
        <v>0</v>
      </c>
      <c r="I63" s="9" t="n">
        <f aca="false">(((Assumptions!$C$122*$C$10)/6)*I52)</f>
        <v>0</v>
      </c>
      <c r="J63" s="9" t="n">
        <f aca="false">(((Assumptions!$C$122*$C$10)/6)*J52)</f>
        <v>0</v>
      </c>
      <c r="K63" s="9" t="n">
        <f aca="false">(((Assumptions!$C$122*$C$10)/6)*K52)</f>
        <v>0</v>
      </c>
      <c r="L63" s="9" t="n">
        <f aca="false">(((Assumptions!$C$122*$C$10)/6)*L52)</f>
        <v>0</v>
      </c>
      <c r="M63" s="9" t="n">
        <f aca="false">(((Assumptions!$C$122*$C$10)/6)*M52)</f>
        <v>0</v>
      </c>
      <c r="N63" s="9" t="n">
        <f aca="false">(((Assumptions!$C$122*$C$10)/6)*N52)</f>
        <v>0</v>
      </c>
      <c r="O63" s="9" t="n">
        <f aca="false">(((Assumptions!$C$122*$C$10)/6)*O52)</f>
        <v>2500</v>
      </c>
      <c r="P63" s="9" t="n">
        <f aca="false">(((Assumptions!$C$122*$C$10)/6)*P52)</f>
        <v>2500</v>
      </c>
      <c r="Q63" s="9" t="n">
        <f aca="false">(((Assumptions!$C$122*$C$10)/6)*Q52)</f>
        <v>2500</v>
      </c>
      <c r="R63" s="9" t="n">
        <f aca="false">(((Assumptions!$C$122*$C$10)/6)*R52)</f>
        <v>5000</v>
      </c>
      <c r="S63" s="9" t="n">
        <f aca="false">(((Assumptions!$C$122*$C$10)/6)*S52)</f>
        <v>5000</v>
      </c>
      <c r="T63" s="9" t="n">
        <f aca="false">(((Assumptions!$C$122*$C$10)/6)*T52)</f>
        <v>5000</v>
      </c>
      <c r="U63" s="9" t="n">
        <f aca="false">(((Assumptions!$C$122*$C$10)/6)*U52)</f>
        <v>7500</v>
      </c>
      <c r="V63" s="9" t="n">
        <f aca="false">(((Assumptions!$C$122*$C$10)/6)*V52)</f>
        <v>7500</v>
      </c>
      <c r="W63" s="9" t="n">
        <f aca="false">(((Assumptions!$C$122*$C$10)/6)*W52)</f>
        <v>7500</v>
      </c>
      <c r="X63" s="9" t="n">
        <f aca="false">(((Assumptions!$C$122*$C$10)/6)*X52)</f>
        <v>10000</v>
      </c>
      <c r="Y63" s="9" t="n">
        <f aca="false">(((Assumptions!$C$122*$C$10)/6)*Y52)</f>
        <v>10000</v>
      </c>
      <c r="Z63" s="9" t="n">
        <f aca="false">(((Assumptions!$C$122*$C$10)/6)*Z52)</f>
        <v>10000</v>
      </c>
      <c r="AA63" s="9" t="n">
        <f aca="false">(((Assumptions!$C$122*$C$10)/6)*AA52)</f>
        <v>12500</v>
      </c>
      <c r="AB63" s="9" t="n">
        <f aca="false">(((Assumptions!$C$122*$C$10)/6)*AB52)</f>
        <v>12500</v>
      </c>
      <c r="AC63" s="9" t="n">
        <f aca="false">(((Assumptions!$C$122*$C$10)/6)*AC52)</f>
        <v>12500</v>
      </c>
      <c r="AD63" s="9" t="n">
        <f aca="false">(((Assumptions!$C$122*$C$10)/6)*AD52)</f>
        <v>15000</v>
      </c>
      <c r="AE63" s="9" t="n">
        <f aca="false">(((Assumptions!$C$122*$C$10)/6)*AE52)</f>
        <v>15000</v>
      </c>
      <c r="AF63" s="9" t="n">
        <f aca="false">(((Assumptions!$C$122*$C$10)/6)*AF52)</f>
        <v>15000</v>
      </c>
      <c r="AG63" s="9" t="n">
        <f aca="false">(((Assumptions!$C$122*$C$10)/6)*AG52)</f>
        <v>15000</v>
      </c>
      <c r="AH63" s="9" t="n">
        <f aca="false">(((Assumptions!$C$122*$C$10)/6)*AH52)</f>
        <v>15000</v>
      </c>
      <c r="AI63" s="9" t="n">
        <f aca="false">(((Assumptions!$C$122*$C$10)/6)*AI52)</f>
        <v>15000</v>
      </c>
      <c r="AJ63" s="9" t="n">
        <f aca="false">(((Assumptions!$C$122*$C$10)/6)*AJ52)</f>
        <v>17500</v>
      </c>
      <c r="AK63" s="9" t="n">
        <f aca="false">(((Assumptions!$C$122*$C$10)/6)*AK52)</f>
        <v>17500</v>
      </c>
      <c r="AL63" s="9" t="n">
        <f aca="false">(((Assumptions!$C$122*$C$10)/6)*AL52)</f>
        <v>17500</v>
      </c>
      <c r="AN63" s="11" t="n">
        <f aca="false">SUM(C63:N63)</f>
        <v>0</v>
      </c>
      <c r="AO63" s="11" t="n">
        <f aca="false">SUM(O63:Z63)</f>
        <v>75000</v>
      </c>
      <c r="AP63" s="11" t="n">
        <f aca="false">SUM(AA63:AL63)</f>
        <v>180000</v>
      </c>
    </row>
    <row r="64" customFormat="false" ht="15" hidden="false" customHeight="false" outlineLevel="0" collapsed="false">
      <c r="A64" s="0" t="s">
        <v>870</v>
      </c>
      <c r="B64" s="0" t="s">
        <v>230</v>
      </c>
      <c r="C64" s="9" t="n">
        <f aca="false">((Assumptions!$C$122*$C$10)*C46)</f>
        <v>0</v>
      </c>
      <c r="D64" s="9" t="n">
        <f aca="false">((Assumptions!$C$122*$C$10)*D46)</f>
        <v>0</v>
      </c>
      <c r="E64" s="9" t="n">
        <f aca="false">((Assumptions!$C$122*$C$10)*E46)</f>
        <v>0</v>
      </c>
      <c r="F64" s="9" t="n">
        <f aca="false">((Assumptions!$C$122*$C$10)*F46)</f>
        <v>0</v>
      </c>
      <c r="G64" s="9" t="n">
        <f aca="false">((Assumptions!$C$122*$C$10)*G46)</f>
        <v>0</v>
      </c>
      <c r="H64" s="9" t="n">
        <f aca="false">((Assumptions!$C$122*$C$10)*H46)</f>
        <v>0</v>
      </c>
      <c r="I64" s="9" t="n">
        <f aca="false">((Assumptions!$C$122*$C$10)*I46)</f>
        <v>0</v>
      </c>
      <c r="J64" s="9" t="n">
        <f aca="false">((Assumptions!$C$122*$C$10)*J46)</f>
        <v>0</v>
      </c>
      <c r="K64" s="9" t="n">
        <f aca="false">((Assumptions!$C$122*$C$10)*K46)</f>
        <v>0</v>
      </c>
      <c r="L64" s="9" t="n">
        <f aca="false">((Assumptions!$C$122*$C$10)*L46)</f>
        <v>0</v>
      </c>
      <c r="M64" s="9" t="n">
        <f aca="false">((Assumptions!$C$122*$C$10)*M46)</f>
        <v>0</v>
      </c>
      <c r="N64" s="9" t="n">
        <f aca="false">((Assumptions!$C$122*$C$10)*N46)</f>
        <v>0</v>
      </c>
      <c r="O64" s="9" t="n">
        <f aca="false">((Assumptions!$C$122*$C$10)*O46)</f>
        <v>15000</v>
      </c>
      <c r="P64" s="9" t="n">
        <f aca="false">((Assumptions!$C$122*$C$10)*P46)</f>
        <v>0</v>
      </c>
      <c r="Q64" s="9" t="n">
        <f aca="false">((Assumptions!$C$122*$C$10)*Q46)</f>
        <v>0</v>
      </c>
      <c r="R64" s="9" t="n">
        <f aca="false">((Assumptions!$C$122*$C$10)*R46)</f>
        <v>15000</v>
      </c>
      <c r="S64" s="9" t="n">
        <f aca="false">((Assumptions!$C$122*$C$10)*S46)</f>
        <v>0</v>
      </c>
      <c r="T64" s="9" t="n">
        <f aca="false">((Assumptions!$C$122*$C$10)*T46)</f>
        <v>0</v>
      </c>
      <c r="U64" s="9" t="n">
        <f aca="false">((Assumptions!$C$122*$C$10)*U46)</f>
        <v>30000</v>
      </c>
      <c r="V64" s="9" t="n">
        <f aca="false">((Assumptions!$C$122*$C$10)*V46)</f>
        <v>0</v>
      </c>
      <c r="W64" s="9" t="n">
        <f aca="false">((Assumptions!$C$122*$C$10)*W46)</f>
        <v>0</v>
      </c>
      <c r="X64" s="9" t="n">
        <f aca="false">((Assumptions!$C$122*$C$10)*X46)</f>
        <v>30000</v>
      </c>
      <c r="Y64" s="9" t="n">
        <f aca="false">((Assumptions!$C$122*$C$10)*Y46)</f>
        <v>0</v>
      </c>
      <c r="Z64" s="9" t="n">
        <f aca="false">((Assumptions!$C$122*$C$10)*Z46)</f>
        <v>0</v>
      </c>
      <c r="AA64" s="9" t="n">
        <f aca="false">((Assumptions!$C$122*$C$10)*AA46)</f>
        <v>45000</v>
      </c>
      <c r="AB64" s="9" t="n">
        <f aca="false">((Assumptions!$C$122*$C$10)*AB46)</f>
        <v>0</v>
      </c>
      <c r="AC64" s="9" t="n">
        <f aca="false">((Assumptions!$C$122*$C$10)*AC46)</f>
        <v>0</v>
      </c>
      <c r="AD64" s="9" t="n">
        <f aca="false">((Assumptions!$C$122*$C$10)*AD46)</f>
        <v>45000</v>
      </c>
      <c r="AE64" s="9" t="n">
        <f aca="false">((Assumptions!$C$122*$C$10)*AE46)</f>
        <v>0</v>
      </c>
      <c r="AF64" s="9" t="n">
        <f aca="false">((Assumptions!$C$122*$C$10)*AF46)</f>
        <v>0</v>
      </c>
      <c r="AG64" s="9" t="n">
        <f aca="false">((Assumptions!$C$122*$C$10)*AG46)</f>
        <v>45000</v>
      </c>
      <c r="AH64" s="9" t="n">
        <f aca="false">((Assumptions!$C$122*$C$10)*AH46)</f>
        <v>0</v>
      </c>
      <c r="AI64" s="9" t="n">
        <f aca="false">((Assumptions!$C$122*$C$10)*AI46)</f>
        <v>0</v>
      </c>
      <c r="AJ64" s="9" t="n">
        <f aca="false">((Assumptions!$C$122*$C$10)*AJ46)</f>
        <v>60000</v>
      </c>
      <c r="AK64" s="9" t="n">
        <f aca="false">((Assumptions!$C$122*$C$10)*AK46)</f>
        <v>0</v>
      </c>
      <c r="AL64" s="9" t="n">
        <f aca="false">((Assumptions!$C$122*$C$10)*AL46)</f>
        <v>0</v>
      </c>
      <c r="AN64" s="11" t="n">
        <f aca="false">SUM(C64:N64)</f>
        <v>0</v>
      </c>
      <c r="AO64" s="11" t="n">
        <f aca="false">SUM(O64:Z64)</f>
        <v>90000</v>
      </c>
      <c r="AP64" s="11" t="n">
        <f aca="false">SUM(AA64:AL64)</f>
        <v>195000</v>
      </c>
    </row>
    <row r="65" customFormat="false" ht="15" hidden="false" customHeight="false" outlineLevel="0" collapsed="false">
      <c r="A65" s="0" t="s">
        <v>871</v>
      </c>
      <c r="B65" s="0" t="s">
        <v>230</v>
      </c>
      <c r="C65" s="9" t="n">
        <f aca="false">((Assumptions!$C$123*$C$10)+(Assumptions!$C$34*Assumptions!$C$35))</f>
        <v>21000</v>
      </c>
      <c r="D65" s="9" t="n">
        <f aca="false">((Assumptions!$C$123*$C$10)+(Assumptions!$C$34*Assumptions!$C$35))</f>
        <v>21000</v>
      </c>
      <c r="E65" s="9" t="n">
        <f aca="false">((Assumptions!$C$123*$C$10)+(Assumptions!$C$34*Assumptions!$C$35))</f>
        <v>21000</v>
      </c>
      <c r="F65" s="9" t="n">
        <f aca="false">((Assumptions!$C$123*$C$10)+(Assumptions!$C$34*Assumptions!$C$35))</f>
        <v>21000</v>
      </c>
      <c r="G65" s="9" t="n">
        <f aca="false">((Assumptions!$C$123*$C$10)+(Assumptions!$C$34*Assumptions!$C$35))</f>
        <v>21000</v>
      </c>
      <c r="H65" s="9" t="n">
        <f aca="false">((Assumptions!$C$123*$C$10)+(Assumptions!$C$34*Assumptions!$C$35))</f>
        <v>21000</v>
      </c>
      <c r="I65" s="9" t="n">
        <f aca="false">((Assumptions!$C$123*$C$10)+(Assumptions!$C$34*Assumptions!$C$35))</f>
        <v>21000</v>
      </c>
      <c r="J65" s="9" t="n">
        <f aca="false">((Assumptions!$C$123*$C$10)+(Assumptions!$C$34*Assumptions!$C$35))</f>
        <v>21000</v>
      </c>
      <c r="K65" s="9" t="n">
        <f aca="false">((Assumptions!$C$123*$C$10)+(Assumptions!$C$34*Assumptions!$C$35))</f>
        <v>21000</v>
      </c>
      <c r="L65" s="9" t="n">
        <f aca="false">((Assumptions!$C$123*$C$10)+(Assumptions!$C$34*Assumptions!$C$35))</f>
        <v>21000</v>
      </c>
      <c r="M65" s="9" t="n">
        <f aca="false">((Assumptions!$C$123*$C$10)+(Assumptions!$C$34*Assumptions!$C$35))</f>
        <v>21000</v>
      </c>
      <c r="N65" s="9" t="n">
        <f aca="false">((Assumptions!$C$123*$C$10)+(Assumptions!$C$34*Assumptions!$C$35))</f>
        <v>21000</v>
      </c>
      <c r="O65" s="9" t="n">
        <f aca="false">((Assumptions!$C$123*$C$10)+(Assumptions!$C$34*Assumptions!$C$35))</f>
        <v>21000</v>
      </c>
      <c r="P65" s="9" t="n">
        <f aca="false">((Assumptions!$C$123*$C$10)+(Assumptions!$C$34*Assumptions!$C$35))</f>
        <v>21000</v>
      </c>
      <c r="Q65" s="9" t="n">
        <f aca="false">((Assumptions!$C$123*$C$10)+(Assumptions!$C$34*Assumptions!$C$35))</f>
        <v>21000</v>
      </c>
      <c r="R65" s="9" t="n">
        <f aca="false">((Assumptions!$C$123*$C$10)+(Assumptions!$C$34*Assumptions!$C$35))</f>
        <v>21000</v>
      </c>
      <c r="S65" s="9" t="n">
        <f aca="false">((Assumptions!$C$123*$C$10)+(Assumptions!$C$34*Assumptions!$C$35))</f>
        <v>21000</v>
      </c>
      <c r="T65" s="9" t="n">
        <f aca="false">((Assumptions!$C$123*$C$10)+(Assumptions!$C$34*Assumptions!$C$35))</f>
        <v>21000</v>
      </c>
      <c r="U65" s="9" t="n">
        <f aca="false">((Assumptions!$C$123*$C$10)+(Assumptions!$C$34*Assumptions!$C$35))</f>
        <v>21000</v>
      </c>
      <c r="V65" s="9" t="n">
        <f aca="false">((Assumptions!$C$123*$C$10)+(Assumptions!$C$34*Assumptions!$C$35))</f>
        <v>21000</v>
      </c>
      <c r="W65" s="9" t="n">
        <f aca="false">((Assumptions!$C$123*$C$10)+(Assumptions!$C$34*Assumptions!$C$35))</f>
        <v>21000</v>
      </c>
      <c r="X65" s="9" t="n">
        <f aca="false">((Assumptions!$C$123*$C$10)+(Assumptions!$C$34*Assumptions!$C$35))</f>
        <v>21000</v>
      </c>
      <c r="Y65" s="9" t="n">
        <f aca="false">((Assumptions!$C$123*$C$10)+(Assumptions!$C$34*Assumptions!$C$35))</f>
        <v>21000</v>
      </c>
      <c r="Z65" s="9" t="n">
        <f aca="false">((Assumptions!$C$123*$C$10)+(Assumptions!$C$34*Assumptions!$C$35))</f>
        <v>21000</v>
      </c>
      <c r="AA65" s="9" t="n">
        <f aca="false">((Assumptions!$C$123*$C$10)+(Assumptions!$C$34*Assumptions!$C$35))</f>
        <v>21000</v>
      </c>
      <c r="AB65" s="9" t="n">
        <f aca="false">((Assumptions!$C$123*$C$10)+(Assumptions!$C$34*Assumptions!$C$35))</f>
        <v>21000</v>
      </c>
      <c r="AC65" s="9" t="n">
        <f aca="false">((Assumptions!$C$123*$C$10)+(Assumptions!$C$34*Assumptions!$C$35))</f>
        <v>21000</v>
      </c>
      <c r="AD65" s="9" t="n">
        <f aca="false">((Assumptions!$C$123*$C$10)+(Assumptions!$C$34*Assumptions!$C$35))</f>
        <v>21000</v>
      </c>
      <c r="AE65" s="9" t="n">
        <f aca="false">((Assumptions!$C$123*$C$10)+(Assumptions!$C$34*Assumptions!$C$35))</f>
        <v>21000</v>
      </c>
      <c r="AF65" s="9" t="n">
        <f aca="false">((Assumptions!$C$123*$C$10)+(Assumptions!$C$34*Assumptions!$C$35))</f>
        <v>21000</v>
      </c>
      <c r="AG65" s="9" t="n">
        <f aca="false">((Assumptions!$C$123*$C$10)+(Assumptions!$C$34*Assumptions!$C$35))</f>
        <v>21000</v>
      </c>
      <c r="AH65" s="9" t="n">
        <f aca="false">((Assumptions!$C$123*$C$10)+(Assumptions!$C$34*Assumptions!$C$35))</f>
        <v>21000</v>
      </c>
      <c r="AI65" s="9" t="n">
        <f aca="false">((Assumptions!$C$123*$C$10)+(Assumptions!$C$34*Assumptions!$C$35))</f>
        <v>21000</v>
      </c>
      <c r="AJ65" s="9" t="n">
        <f aca="false">((Assumptions!$C$123*$C$10)+(Assumptions!$C$34*Assumptions!$C$35))</f>
        <v>21000</v>
      </c>
      <c r="AK65" s="9" t="n">
        <f aca="false">((Assumptions!$C$123*$C$10)+(Assumptions!$C$34*Assumptions!$C$35))</f>
        <v>21000</v>
      </c>
      <c r="AL65" s="9" t="n">
        <f aca="false">((Assumptions!$C$123*$C$10)+(Assumptions!$C$34*Assumptions!$C$35))</f>
        <v>21000</v>
      </c>
    </row>
    <row r="66" customFormat="false" ht="15" hidden="false" customHeight="false" outlineLevel="0" collapsed="false">
      <c r="A66" s="0" t="s">
        <v>872</v>
      </c>
      <c r="B66" s="0" t="s">
        <v>230</v>
      </c>
      <c r="C66" s="9" t="n">
        <f aca="false">((C65/3)*C50)</f>
        <v>0</v>
      </c>
      <c r="D66" s="9" t="n">
        <f aca="false">((D65/3)*SUM(C50:D50))</f>
        <v>0</v>
      </c>
      <c r="E66" s="9" t="n">
        <f aca="false">((E65/3)*SUM(C50:E50))</f>
        <v>0</v>
      </c>
      <c r="F66" s="9" t="n">
        <f aca="false">((F65/3)*SUM(D50:F50))</f>
        <v>0</v>
      </c>
      <c r="G66" s="9" t="n">
        <f aca="false">((G65/3)*SUM(E50:G50))</f>
        <v>0</v>
      </c>
      <c r="H66" s="9" t="n">
        <f aca="false">((H65/3)*SUM(F50:H50))</f>
        <v>0</v>
      </c>
      <c r="I66" s="9" t="n">
        <f aca="false">((I65/3)*SUM(G50:I50))</f>
        <v>0</v>
      </c>
      <c r="J66" s="9" t="n">
        <f aca="false">((J65/3)*SUM(H50:J50))</f>
        <v>0</v>
      </c>
      <c r="K66" s="9" t="n">
        <f aca="false">((K65/3)*SUM(I50:K50))</f>
        <v>0</v>
      </c>
      <c r="L66" s="9" t="n">
        <f aca="false">((L65/3)*SUM(J50:L50))</f>
        <v>0</v>
      </c>
      <c r="M66" s="9" t="n">
        <f aca="false">((M65/3)*SUM(K50:M50))</f>
        <v>0</v>
      </c>
      <c r="N66" s="9" t="n">
        <f aca="false">((N65/3)*SUM(L50:N50))</f>
        <v>0</v>
      </c>
      <c r="O66" s="9" t="n">
        <f aca="false">((O65/3)*SUM(M50:O50))</f>
        <v>7000</v>
      </c>
      <c r="P66" s="9" t="n">
        <f aca="false">((P65/3)*SUM(N50:P50))</f>
        <v>7000</v>
      </c>
      <c r="Q66" s="9" t="n">
        <f aca="false">((Q65/3)*SUM(O50:Q50))</f>
        <v>7000</v>
      </c>
      <c r="R66" s="9" t="n">
        <f aca="false">((R65/3)*SUM(P50:R50))</f>
        <v>7000</v>
      </c>
      <c r="S66" s="9" t="n">
        <f aca="false">((S65/3)*SUM(Q50:S50))</f>
        <v>7000</v>
      </c>
      <c r="T66" s="9" t="n">
        <f aca="false">((T65/3)*SUM(R50:T50))</f>
        <v>7000</v>
      </c>
      <c r="U66" s="9" t="n">
        <f aca="false">((U65/3)*SUM(S50:U50))</f>
        <v>14000</v>
      </c>
      <c r="V66" s="9" t="n">
        <f aca="false">((V65/3)*SUM(T50:V50))</f>
        <v>14000</v>
      </c>
      <c r="W66" s="9" t="n">
        <f aca="false">((W65/3)*SUM(U50:W50))</f>
        <v>14000</v>
      </c>
      <c r="X66" s="9" t="n">
        <f aca="false">((X65/3)*SUM(V50:X50))</f>
        <v>14000</v>
      </c>
      <c r="Y66" s="9" t="n">
        <f aca="false">((Y65/3)*SUM(W50:Y50))</f>
        <v>21000</v>
      </c>
      <c r="Z66" s="9" t="n">
        <f aca="false">((Z65/3)*SUM(X50:Z50))</f>
        <v>21000</v>
      </c>
      <c r="AA66" s="9" t="n">
        <f aca="false">((AA65/3)*SUM(Y50:AA50))</f>
        <v>28000</v>
      </c>
      <c r="AB66" s="9" t="n">
        <f aca="false">((AB65/3)*SUM(Z50:AB50))</f>
        <v>28000</v>
      </c>
      <c r="AC66" s="9" t="n">
        <f aca="false">((AC65/3)*SUM(AA50:AC50))</f>
        <v>28000</v>
      </c>
      <c r="AD66" s="9" t="n">
        <f aca="false">((AD65/3)*SUM(AB50:AD50))</f>
        <v>28000</v>
      </c>
      <c r="AE66" s="9" t="n">
        <f aca="false">((AE65/3)*SUM(AC50:AE50))</f>
        <v>35000</v>
      </c>
      <c r="AF66" s="9" t="n">
        <f aca="false">((AF65/3)*SUM(AD50:AF50))</f>
        <v>35000</v>
      </c>
      <c r="AG66" s="9" t="n">
        <f aca="false">((AG65/3)*SUM(AE50:AG50))</f>
        <v>35000</v>
      </c>
      <c r="AH66" s="9" t="n">
        <f aca="false">((AH65/3)*SUM(AF50:AH50))</f>
        <v>35000</v>
      </c>
      <c r="AI66" s="9" t="n">
        <f aca="false">((AI65/3)*SUM(AG50:AI50))</f>
        <v>35000</v>
      </c>
      <c r="AJ66" s="9" t="n">
        <f aca="false">((AJ65/3)*SUM(AH50:AJ50))</f>
        <v>42000</v>
      </c>
      <c r="AK66" s="9" t="n">
        <f aca="false">((AK65/3)*SUM(AI50:AK50))</f>
        <v>49000</v>
      </c>
      <c r="AL66" s="9" t="n">
        <f aca="false">((AL65/3)*SUM(AJ50:AL50))</f>
        <v>49000</v>
      </c>
      <c r="AN66" s="11" t="n">
        <f aca="false">SUM(C66:N66)</f>
        <v>0</v>
      </c>
      <c r="AO66" s="11" t="n">
        <f aca="false">SUM(O66:Z66)</f>
        <v>140000</v>
      </c>
      <c r="AP66" s="11" t="n">
        <f aca="false">SUM(AA66:AL66)</f>
        <v>427000</v>
      </c>
    </row>
    <row r="67" customFormat="false" ht="15" hidden="false" customHeight="false" outlineLevel="0" collapsed="false">
      <c r="A67" s="0" t="s">
        <v>873</v>
      </c>
      <c r="B67" s="0" t="s">
        <v>230</v>
      </c>
      <c r="C67" s="9" t="n">
        <f aca="false">(C65*C50)</f>
        <v>0</v>
      </c>
      <c r="D67" s="9" t="n">
        <f aca="false">(D65*D50)</f>
        <v>0</v>
      </c>
      <c r="E67" s="9" t="n">
        <f aca="false">(E65*E50)</f>
        <v>0</v>
      </c>
      <c r="F67" s="9" t="n">
        <f aca="false">(F65*F50)</f>
        <v>0</v>
      </c>
      <c r="G67" s="9" t="n">
        <f aca="false">(G65*G50)</f>
        <v>0</v>
      </c>
      <c r="H67" s="9" t="n">
        <f aca="false">(H65*H50)</f>
        <v>0</v>
      </c>
      <c r="I67" s="9" t="n">
        <f aca="false">(I65*I50)</f>
        <v>0</v>
      </c>
      <c r="J67" s="9" t="n">
        <f aca="false">(J65*J50)</f>
        <v>0</v>
      </c>
      <c r="K67" s="9" t="n">
        <f aca="false">(K65*K50)</f>
        <v>0</v>
      </c>
      <c r="L67" s="9" t="n">
        <f aca="false">(L65*L50)</f>
        <v>0</v>
      </c>
      <c r="M67" s="9" t="n">
        <f aca="false">(M65*M50)</f>
        <v>0</v>
      </c>
      <c r="N67" s="9" t="n">
        <f aca="false">(N65*N50)</f>
        <v>0</v>
      </c>
      <c r="O67" s="9" t="n">
        <f aca="false">(O65*O50)</f>
        <v>21000</v>
      </c>
      <c r="P67" s="9" t="n">
        <f aca="false">(P65*P50)</f>
        <v>0</v>
      </c>
      <c r="Q67" s="9" t="n">
        <f aca="false">(Q65*Q50)</f>
        <v>0</v>
      </c>
      <c r="R67" s="9" t="n">
        <f aca="false">(R65*R50)</f>
        <v>21000</v>
      </c>
      <c r="S67" s="9" t="n">
        <f aca="false">(S65*S50)</f>
        <v>0</v>
      </c>
      <c r="T67" s="9" t="n">
        <f aca="false">(T65*T50)</f>
        <v>0</v>
      </c>
      <c r="U67" s="9" t="n">
        <f aca="false">(U65*U50)</f>
        <v>42000</v>
      </c>
      <c r="V67" s="9" t="n">
        <f aca="false">(V65*V50)</f>
        <v>0</v>
      </c>
      <c r="W67" s="9" t="n">
        <f aca="false">(W65*W50)</f>
        <v>0</v>
      </c>
      <c r="X67" s="9" t="n">
        <f aca="false">(X65*X50)</f>
        <v>42000</v>
      </c>
      <c r="Y67" s="9" t="n">
        <f aca="false">(Y65*Y50)</f>
        <v>21000</v>
      </c>
      <c r="Z67" s="9" t="n">
        <f aca="false">(Z65*Z50)</f>
        <v>0</v>
      </c>
      <c r="AA67" s="9" t="n">
        <f aca="false">(AA65*AA50)</f>
        <v>63000</v>
      </c>
      <c r="AB67" s="9" t="n">
        <f aca="false">(AB65*AB50)</f>
        <v>21000</v>
      </c>
      <c r="AC67" s="9" t="n">
        <f aca="false">(AC65*AC50)</f>
        <v>0</v>
      </c>
      <c r="AD67" s="9" t="n">
        <f aca="false">(AD65*AD50)</f>
        <v>63000</v>
      </c>
      <c r="AE67" s="9" t="n">
        <f aca="false">(AE65*AE50)</f>
        <v>42000</v>
      </c>
      <c r="AF67" s="9" t="n">
        <f aca="false">(AF65*AF50)</f>
        <v>0</v>
      </c>
      <c r="AG67" s="9" t="n">
        <f aca="false">(AG65*AG50)</f>
        <v>63000</v>
      </c>
      <c r="AH67" s="9" t="n">
        <f aca="false">(AH65*AH50)</f>
        <v>42000</v>
      </c>
      <c r="AI67" s="9" t="n">
        <f aca="false">(AI65*AI50)</f>
        <v>0</v>
      </c>
      <c r="AJ67" s="9" t="n">
        <f aca="false">(AJ65*AJ50)</f>
        <v>84000</v>
      </c>
      <c r="AK67" s="9" t="n">
        <f aca="false">(AK65*AK50)</f>
        <v>63000</v>
      </c>
      <c r="AL67" s="9" t="n">
        <f aca="false">(AL65*AL50)</f>
        <v>0</v>
      </c>
      <c r="AN67" s="11" t="n">
        <f aca="false">SUM(C67:N67)</f>
        <v>0</v>
      </c>
      <c r="AO67" s="11" t="n">
        <f aca="false">SUM(O67:Z67)</f>
        <v>147000</v>
      </c>
      <c r="AP67" s="11" t="n">
        <f aca="false">SUM(AA67:AL67)</f>
        <v>441000</v>
      </c>
    </row>
    <row r="68" customFormat="false" ht="15" hidden="false" customHeight="false" outlineLevel="0" collapsed="false">
      <c r="A68" s="0" t="s">
        <v>874</v>
      </c>
      <c r="B68" s="0" t="s">
        <v>285</v>
      </c>
      <c r="C68" s="9" t="n">
        <f aca="false">((C47*Assumptions!$C$124)+(C50*(Assumptions!$C$124+(Assumptions!$C$34*Assumptions!$C$36))))</f>
        <v>0</v>
      </c>
      <c r="D68" s="9" t="n">
        <f aca="false">((D47*Assumptions!$C$124)+(D50*(Assumptions!$C$124+(Assumptions!$C$34*Assumptions!$C$36))))</f>
        <v>0</v>
      </c>
      <c r="E68" s="9" t="n">
        <f aca="false">((E47*Assumptions!$C$124)+(E50*(Assumptions!$C$124+(Assumptions!$C$34*Assumptions!$C$36))))</f>
        <v>0</v>
      </c>
      <c r="F68" s="9" t="n">
        <f aca="false">((F47*Assumptions!$C$124)+(F50*(Assumptions!$C$124+(Assumptions!$C$34*Assumptions!$C$36))))</f>
        <v>0</v>
      </c>
      <c r="G68" s="9" t="n">
        <f aca="false">((G47*Assumptions!$C$124)+(G50*(Assumptions!$C$124+(Assumptions!$C$34*Assumptions!$C$36))))</f>
        <v>115</v>
      </c>
      <c r="H68" s="9" t="n">
        <f aca="false">((H47*Assumptions!$C$124)+(H50*(Assumptions!$C$124+(Assumptions!$C$34*Assumptions!$C$36))))</f>
        <v>0</v>
      </c>
      <c r="I68" s="9" t="n">
        <f aca="false">((I47*Assumptions!$C$124)+(I50*(Assumptions!$C$124+(Assumptions!$C$34*Assumptions!$C$36))))</f>
        <v>0</v>
      </c>
      <c r="J68" s="9" t="n">
        <f aca="false">((J47*Assumptions!$C$124)+(J50*(Assumptions!$C$124+(Assumptions!$C$34*Assumptions!$C$36))))</f>
        <v>0</v>
      </c>
      <c r="K68" s="9" t="n">
        <f aca="false">((K47*Assumptions!$C$124)+(K50*(Assumptions!$C$124+(Assumptions!$C$34*Assumptions!$C$36))))</f>
        <v>0</v>
      </c>
      <c r="L68" s="9" t="n">
        <f aca="false">((L47*Assumptions!$C$124)+(L50*(Assumptions!$C$124+(Assumptions!$C$34*Assumptions!$C$36))))</f>
        <v>0</v>
      </c>
      <c r="M68" s="9" t="n">
        <f aca="false">((M47*Assumptions!$C$124)+(M50*(Assumptions!$C$124+(Assumptions!$C$34*Assumptions!$C$36))))</f>
        <v>0</v>
      </c>
      <c r="N68" s="9" t="n">
        <f aca="false">((N47*Assumptions!$C$124)+(N50*(Assumptions!$C$124+(Assumptions!$C$34*Assumptions!$C$36))))</f>
        <v>0</v>
      </c>
      <c r="O68" s="9" t="n">
        <f aca="false">((O47*Assumptions!$C$124)+(O50*(Assumptions!$C$124+(Assumptions!$C$34*Assumptions!$C$36))))</f>
        <v>159</v>
      </c>
      <c r="P68" s="9" t="n">
        <f aca="false">((P47*Assumptions!$C$124)+(P50*(Assumptions!$C$124+(Assumptions!$C$34*Assumptions!$C$36))))</f>
        <v>0</v>
      </c>
      <c r="Q68" s="9" t="n">
        <f aca="false">((Q47*Assumptions!$C$124)+(Q50*(Assumptions!$C$124+(Assumptions!$C$34*Assumptions!$C$36))))</f>
        <v>0</v>
      </c>
      <c r="R68" s="9" t="n">
        <f aca="false">((R47*Assumptions!$C$124)+(R50*(Assumptions!$C$124+(Assumptions!$C$34*Assumptions!$C$36))))</f>
        <v>159</v>
      </c>
      <c r="S68" s="9" t="n">
        <f aca="false">((S47*Assumptions!$C$124)+(S50*(Assumptions!$C$124+(Assumptions!$C$34*Assumptions!$C$36))))</f>
        <v>0</v>
      </c>
      <c r="T68" s="9" t="n">
        <f aca="false">((T47*Assumptions!$C$124)+(T50*(Assumptions!$C$124+(Assumptions!$C$34*Assumptions!$C$36))))</f>
        <v>0</v>
      </c>
      <c r="U68" s="9" t="n">
        <f aca="false">((U47*Assumptions!$C$124)+(U50*(Assumptions!$C$124+(Assumptions!$C$34*Assumptions!$C$36))))</f>
        <v>318</v>
      </c>
      <c r="V68" s="9" t="n">
        <f aca="false">((V47*Assumptions!$C$124)+(V50*(Assumptions!$C$124+(Assumptions!$C$34*Assumptions!$C$36))))</f>
        <v>0</v>
      </c>
      <c r="W68" s="9" t="n">
        <f aca="false">((W47*Assumptions!$C$124)+(W50*(Assumptions!$C$124+(Assumptions!$C$34*Assumptions!$C$36))))</f>
        <v>0</v>
      </c>
      <c r="X68" s="9" t="n">
        <f aca="false">((X47*Assumptions!$C$124)+(X50*(Assumptions!$C$124+(Assumptions!$C$34*Assumptions!$C$36))))</f>
        <v>318</v>
      </c>
      <c r="Y68" s="9" t="n">
        <f aca="false">((Y47*Assumptions!$C$124)+(Y50*(Assumptions!$C$124+(Assumptions!$C$34*Assumptions!$C$36))))</f>
        <v>159</v>
      </c>
      <c r="Z68" s="9" t="n">
        <f aca="false">((Z47*Assumptions!$C$124)+(Z50*(Assumptions!$C$124+(Assumptions!$C$34*Assumptions!$C$36))))</f>
        <v>0</v>
      </c>
      <c r="AA68" s="9" t="n">
        <f aca="false">((AA47*Assumptions!$C$124)+(AA50*(Assumptions!$C$124+(Assumptions!$C$34*Assumptions!$C$36))))</f>
        <v>477</v>
      </c>
      <c r="AB68" s="9" t="n">
        <f aca="false">((AB47*Assumptions!$C$124)+(AB50*(Assumptions!$C$124+(Assumptions!$C$34*Assumptions!$C$36))))</f>
        <v>159</v>
      </c>
      <c r="AC68" s="9" t="n">
        <f aca="false">((AC47*Assumptions!$C$124)+(AC50*(Assumptions!$C$124+(Assumptions!$C$34*Assumptions!$C$36))))</f>
        <v>0</v>
      </c>
      <c r="AD68" s="9" t="n">
        <f aca="false">((AD47*Assumptions!$C$124)+(AD50*(Assumptions!$C$124+(Assumptions!$C$34*Assumptions!$C$36))))</f>
        <v>477</v>
      </c>
      <c r="AE68" s="9" t="n">
        <f aca="false">((AE47*Assumptions!$C$124)+(AE50*(Assumptions!$C$124+(Assumptions!$C$34*Assumptions!$C$36))))</f>
        <v>318</v>
      </c>
      <c r="AF68" s="9" t="n">
        <f aca="false">((AF47*Assumptions!$C$124)+(AF50*(Assumptions!$C$124+(Assumptions!$C$34*Assumptions!$C$36))))</f>
        <v>0</v>
      </c>
      <c r="AG68" s="9" t="n">
        <f aca="false">((AG47*Assumptions!$C$124)+(AG50*(Assumptions!$C$124+(Assumptions!$C$34*Assumptions!$C$36))))</f>
        <v>477</v>
      </c>
      <c r="AH68" s="9" t="n">
        <f aca="false">((AH47*Assumptions!$C$124)+(AH50*(Assumptions!$C$124+(Assumptions!$C$34*Assumptions!$C$36))))</f>
        <v>318</v>
      </c>
      <c r="AI68" s="9" t="n">
        <f aca="false">((AI47*Assumptions!$C$124)+(AI50*(Assumptions!$C$124+(Assumptions!$C$34*Assumptions!$C$36))))</f>
        <v>0</v>
      </c>
      <c r="AJ68" s="9" t="n">
        <f aca="false">((AJ47*Assumptions!$C$124)+(AJ50*(Assumptions!$C$124+(Assumptions!$C$34*Assumptions!$C$36))))</f>
        <v>636</v>
      </c>
      <c r="AK68" s="9" t="n">
        <f aca="false">((AK47*Assumptions!$C$124)+(AK50*(Assumptions!$C$124+(Assumptions!$C$34*Assumptions!$C$36))))</f>
        <v>477</v>
      </c>
      <c r="AL68" s="9" t="n">
        <f aca="false">((AL47*Assumptions!$C$124)+(AL50*(Assumptions!$C$124+(Assumptions!$C$34*Assumptions!$C$36))))</f>
        <v>0</v>
      </c>
      <c r="AN68" s="11" t="n">
        <f aca="false">SUM(C68:N68)</f>
        <v>115</v>
      </c>
      <c r="AO68" s="11" t="n">
        <f aca="false">SUM(O68:Z68)</f>
        <v>1113</v>
      </c>
      <c r="AP68" s="11" t="n">
        <f aca="false">SUM(AA68:AL68)</f>
        <v>3339</v>
      </c>
    </row>
    <row r="69" customFormat="false" ht="15" hidden="false" customHeight="false" outlineLevel="0" collapsed="false">
      <c r="A69" s="0" t="s">
        <v>875</v>
      </c>
      <c r="B69" s="0" t="s">
        <v>852</v>
      </c>
      <c r="C69" s="14" t="n">
        <f aca="false">((IF(OR((C$18-(Assumptions!$C$7-1)-$C$9)&lt;1,(C$18-(Assumptions!$C$7-1)-$C$9)&gt;36),0,INDEX(Schedules!$C$6:$AL$6,(C$18-(Assumptions!$C$7-1)-$C$9)))*$C$7)*C44)</f>
        <v>0</v>
      </c>
      <c r="D69" s="14" t="n">
        <f aca="false">((IF(OR((D$18-(Assumptions!$C$7-1)-$C$9)&lt;1,(D$18-(Assumptions!$C$7-1)-$C$9)&gt;36),0,INDEX(Schedules!$C$6:$AL$6,(D$18-(Assumptions!$C$7-1)-$C$9)))*$C$7)*D44)</f>
        <v>0</v>
      </c>
      <c r="E69" s="14" t="n">
        <f aca="false">((IF(OR((E$18-(Assumptions!$C$7-1)-$C$9)&lt;1,(E$18-(Assumptions!$C$7-1)-$C$9)&gt;36),0,INDEX(Schedules!$C$6:$AL$6,(E$18-(Assumptions!$C$7-1)-$C$9)))*$C$7)*E44)</f>
        <v>0</v>
      </c>
      <c r="F69" s="14" t="n">
        <f aca="false">((IF(OR((F$18-(Assumptions!$C$7-1)-$C$9)&lt;1,(F$18-(Assumptions!$C$7-1)-$C$9)&gt;36),0,INDEX(Schedules!$C$6:$AL$6,(F$18-(Assumptions!$C$7-1)-$C$9)))*$C$7)*F44)</f>
        <v>0</v>
      </c>
      <c r="G69" s="14" t="n">
        <f aca="false">((IF(OR((G$18-(Assumptions!$C$7-1)-$C$9)&lt;1,(G$18-(Assumptions!$C$7-1)-$C$9)&gt;36),0,INDEX(Schedules!$C$6:$AL$6,(G$18-(Assumptions!$C$7-1)-$C$9)))*$C$7)*G44)</f>
        <v>0</v>
      </c>
      <c r="H69" s="14" t="n">
        <f aca="false">((IF(OR((H$18-(Assumptions!$C$7-1)-$C$9)&lt;1,(H$18-(Assumptions!$C$7-1)-$C$9)&gt;36),0,INDEX(Schedules!$C$6:$AL$6,(H$18-(Assumptions!$C$7-1)-$C$9)))*$C$7)*H44)</f>
        <v>0</v>
      </c>
      <c r="I69" s="14" t="n">
        <f aca="false">((IF(OR((I$18-(Assumptions!$C$7-1)-$C$9)&lt;1,(I$18-(Assumptions!$C$7-1)-$C$9)&gt;36),0,INDEX(Schedules!$C$6:$AL$6,(I$18-(Assumptions!$C$7-1)-$C$9)))*$C$7)*I44)</f>
        <v>0</v>
      </c>
      <c r="J69" s="14" t="n">
        <f aca="false">((IF(OR((J$18-(Assumptions!$C$7-1)-$C$9)&lt;1,(J$18-(Assumptions!$C$7-1)-$C$9)&gt;36),0,INDEX(Schedules!$C$6:$AL$6,(J$18-(Assumptions!$C$7-1)-$C$9)))*$C$7)*J44)</f>
        <v>0</v>
      </c>
      <c r="K69" s="14" t="n">
        <f aca="false">((IF(OR((K$18-(Assumptions!$C$7-1)-$C$9)&lt;1,(K$18-(Assumptions!$C$7-1)-$C$9)&gt;36),0,INDEX(Schedules!$C$6:$AL$6,(K$18-(Assumptions!$C$7-1)-$C$9)))*$C$7)*K44)</f>
        <v>0</v>
      </c>
      <c r="L69" s="14" t="n">
        <f aca="false">((IF(OR((L$18-(Assumptions!$C$7-1)-$C$9)&lt;1,(L$18-(Assumptions!$C$7-1)-$C$9)&gt;36),0,INDEX(Schedules!$C$6:$AL$6,(L$18-(Assumptions!$C$7-1)-$C$9)))*$C$7)*L44)</f>
        <v>0</v>
      </c>
      <c r="M69" s="14" t="n">
        <f aca="false">((IF(OR((M$18-(Assumptions!$C$7-1)-$C$9)&lt;1,(M$18-(Assumptions!$C$7-1)-$C$9)&gt;36),0,INDEX(Schedules!$C$6:$AL$6,(M$18-(Assumptions!$C$7-1)-$C$9)))*$C$7)*M44)</f>
        <v>0</v>
      </c>
      <c r="N69" s="14" t="n">
        <f aca="false">((IF(OR((N$18-(Assumptions!$C$7-1)-$C$9)&lt;1,(N$18-(Assumptions!$C$7-1)-$C$9)&gt;36),0,INDEX(Schedules!$C$6:$AL$6,(N$18-(Assumptions!$C$7-1)-$C$9)))*$C$7)*N44)</f>
        <v>0</v>
      </c>
      <c r="O69" s="14" t="n">
        <f aca="false">((IF(OR((O$18-(Assumptions!$C$7-1)-$C$9)&lt;1,(O$18-(Assumptions!$C$7-1)-$C$9)&gt;36),0,INDEX(Schedules!$C$6:$AL$6,(O$18-(Assumptions!$C$7-1)-$C$9)))*$C$7)*O44)</f>
        <v>0</v>
      </c>
      <c r="P69" s="14" t="n">
        <f aca="false">((IF(OR((P$18-(Assumptions!$C$7-1)-$C$9)&lt;1,(P$18-(Assumptions!$C$7-1)-$C$9)&gt;36),0,INDEX(Schedules!$C$6:$AL$6,(P$18-(Assumptions!$C$7-1)-$C$9)))*$C$7)*P44)</f>
        <v>0</v>
      </c>
      <c r="Q69" s="14" t="n">
        <f aca="false">((IF(OR((Q$18-(Assumptions!$C$7-1)-$C$9)&lt;1,(Q$18-(Assumptions!$C$7-1)-$C$9)&gt;36),0,INDEX(Schedules!$C$6:$AL$6,(Q$18-(Assumptions!$C$7-1)-$C$9)))*$C$7)*Q44)</f>
        <v>0</v>
      </c>
      <c r="R69" s="14" t="n">
        <f aca="false">((IF(OR((R$18-(Assumptions!$C$7-1)-$C$9)&lt;1,(R$18-(Assumptions!$C$7-1)-$C$9)&gt;36),0,INDEX(Schedules!$C$6:$AL$6,(R$18-(Assumptions!$C$7-1)-$C$9)))*$C$7)*R44)</f>
        <v>1</v>
      </c>
      <c r="S69" s="14" t="n">
        <f aca="false">((IF(OR((S$18-(Assumptions!$C$7-1)-$C$9)&lt;1,(S$18-(Assumptions!$C$7-1)-$C$9)&gt;36),0,INDEX(Schedules!$C$6:$AL$6,(S$18-(Assumptions!$C$7-1)-$C$9)))*$C$7)*S44)</f>
        <v>0</v>
      </c>
      <c r="T69" s="14" t="n">
        <f aca="false">((IF(OR((T$18-(Assumptions!$C$7-1)-$C$9)&lt;1,(T$18-(Assumptions!$C$7-1)-$C$9)&gt;36),0,INDEX(Schedules!$C$6:$AL$6,(T$18-(Assumptions!$C$7-1)-$C$9)))*$C$7)*T44)</f>
        <v>0</v>
      </c>
      <c r="U69" s="14" t="n">
        <f aca="false">((IF(OR((U$18-(Assumptions!$C$7-1)-$C$9)&lt;1,(U$18-(Assumptions!$C$7-1)-$C$9)&gt;36),0,INDEX(Schedules!$C$6:$AL$6,(U$18-(Assumptions!$C$7-1)-$C$9)))*$C$7)*U44)</f>
        <v>1</v>
      </c>
      <c r="V69" s="14" t="n">
        <f aca="false">((IF(OR((V$18-(Assumptions!$C$7-1)-$C$9)&lt;1,(V$18-(Assumptions!$C$7-1)-$C$9)&gt;36),0,INDEX(Schedules!$C$6:$AL$6,(V$18-(Assumptions!$C$7-1)-$C$9)))*$C$7)*V44)</f>
        <v>0</v>
      </c>
      <c r="W69" s="14" t="n">
        <f aca="false">((IF(OR((W$18-(Assumptions!$C$7-1)-$C$9)&lt;1,(W$18-(Assumptions!$C$7-1)-$C$9)&gt;36),0,INDEX(Schedules!$C$6:$AL$6,(W$18-(Assumptions!$C$7-1)-$C$9)))*$C$7)*W44)</f>
        <v>0</v>
      </c>
      <c r="X69" s="14" t="n">
        <f aca="false">((IF(OR((X$18-(Assumptions!$C$7-1)-$C$9)&lt;1,(X$18-(Assumptions!$C$7-1)-$C$9)&gt;36),0,INDEX(Schedules!$C$6:$AL$6,(X$18-(Assumptions!$C$7-1)-$C$9)))*$C$7)*X44)</f>
        <v>1</v>
      </c>
      <c r="Y69" s="14" t="n">
        <f aca="false">((IF(OR((Y$18-(Assumptions!$C$7-1)-$C$9)&lt;1,(Y$18-(Assumptions!$C$7-1)-$C$9)&gt;36),0,INDEX(Schedules!$C$6:$AL$6,(Y$18-(Assumptions!$C$7-1)-$C$9)))*$C$7)*Y44)</f>
        <v>0</v>
      </c>
      <c r="Z69" s="14" t="n">
        <f aca="false">((IF(OR((Z$18-(Assumptions!$C$7-1)-$C$9)&lt;1,(Z$18-(Assumptions!$C$7-1)-$C$9)&gt;36),0,INDEX(Schedules!$C$6:$AL$6,(Z$18-(Assumptions!$C$7-1)-$C$9)))*$C$7)*Z44)</f>
        <v>0</v>
      </c>
      <c r="AA69" s="14" t="n">
        <f aca="false">((IF(OR((AA$18-(Assumptions!$C$7-1)-$C$9)&lt;1,(AA$18-(Assumptions!$C$7-1)-$C$9)&gt;36),0,INDEX(Schedules!$C$6:$AL$6,(AA$18-(Assumptions!$C$7-1)-$C$9)))*$C$7)*AA44)</f>
        <v>1</v>
      </c>
      <c r="AB69" s="14" t="n">
        <f aca="false">((IF(OR((AB$18-(Assumptions!$C$7-1)-$C$9)&lt;1,(AB$18-(Assumptions!$C$7-1)-$C$9)&gt;36),0,INDEX(Schedules!$C$6:$AL$6,(AB$18-(Assumptions!$C$7-1)-$C$9)))*$C$7)*AB44)</f>
        <v>0</v>
      </c>
      <c r="AC69" s="14" t="n">
        <f aca="false">((IF(OR((AC$18-(Assumptions!$C$7-1)-$C$9)&lt;1,(AC$18-(Assumptions!$C$7-1)-$C$9)&gt;36),0,INDEX(Schedules!$C$6:$AL$6,(AC$18-(Assumptions!$C$7-1)-$C$9)))*$C$7)*AC44)</f>
        <v>0</v>
      </c>
      <c r="AD69" s="14" t="n">
        <f aca="false">((IF(OR((AD$18-(Assumptions!$C$7-1)-$C$9)&lt;1,(AD$18-(Assumptions!$C$7-1)-$C$9)&gt;36),0,INDEX(Schedules!$C$6:$AL$6,(AD$18-(Assumptions!$C$7-1)-$C$9)))*$C$7)*AD44)</f>
        <v>2</v>
      </c>
      <c r="AE69" s="14" t="n">
        <f aca="false">((IF(OR((AE$18-(Assumptions!$C$7-1)-$C$9)&lt;1,(AE$18-(Assumptions!$C$7-1)-$C$9)&gt;36),0,INDEX(Schedules!$C$6:$AL$6,(AE$18-(Assumptions!$C$7-1)-$C$9)))*$C$7)*AE44)</f>
        <v>0</v>
      </c>
      <c r="AF69" s="14" t="n">
        <f aca="false">((IF(OR((AF$18-(Assumptions!$C$7-1)-$C$9)&lt;1,(AF$18-(Assumptions!$C$7-1)-$C$9)&gt;36),0,INDEX(Schedules!$C$6:$AL$6,(AF$18-(Assumptions!$C$7-1)-$C$9)))*$C$7)*AF44)</f>
        <v>0</v>
      </c>
      <c r="AG69" s="14" t="n">
        <f aca="false">((IF(OR((AG$18-(Assumptions!$C$7-1)-$C$9)&lt;1,(AG$18-(Assumptions!$C$7-1)-$C$9)&gt;36),0,INDEX(Schedules!$C$6:$AL$6,(AG$18-(Assumptions!$C$7-1)-$C$9)))*$C$7)*AG44)</f>
        <v>2</v>
      </c>
      <c r="AH69" s="14" t="n">
        <f aca="false">((IF(OR((AH$18-(Assumptions!$C$7-1)-$C$9)&lt;1,(AH$18-(Assumptions!$C$7-1)-$C$9)&gt;36),0,INDEX(Schedules!$C$6:$AL$6,(AH$18-(Assumptions!$C$7-1)-$C$9)))*$C$7)*AH44)</f>
        <v>0</v>
      </c>
      <c r="AI69" s="14" t="n">
        <f aca="false">((IF(OR((AI$18-(Assumptions!$C$7-1)-$C$9)&lt;1,(AI$18-(Assumptions!$C$7-1)-$C$9)&gt;36),0,INDEX(Schedules!$C$6:$AL$6,(AI$18-(Assumptions!$C$7-1)-$C$9)))*$C$7)*AI44)</f>
        <v>0</v>
      </c>
      <c r="AJ69" s="14" t="n">
        <f aca="false">((IF(OR((AJ$18-(Assumptions!$C$7-1)-$C$9)&lt;1,(AJ$18-(Assumptions!$C$7-1)-$C$9)&gt;36),0,INDEX(Schedules!$C$6:$AL$6,(AJ$18-(Assumptions!$C$7-1)-$C$9)))*$C$7)*AJ44)</f>
        <v>2</v>
      </c>
      <c r="AK69" s="14" t="n">
        <f aca="false">((IF(OR((AK$18-(Assumptions!$C$7-1)-$C$9)&lt;1,(AK$18-(Assumptions!$C$7-1)-$C$9)&gt;36),0,INDEX(Schedules!$C$6:$AL$6,(AK$18-(Assumptions!$C$7-1)-$C$9)))*$C$7)*AK44)</f>
        <v>0</v>
      </c>
      <c r="AL69" s="14" t="n">
        <f aca="false">((IF(OR((AL$18-(Assumptions!$C$7-1)-$C$9)&lt;1,(AL$18-(Assumptions!$C$7-1)-$C$9)&gt;36),0,INDEX(Schedules!$C$6:$AL$6,(AL$18-(Assumptions!$C$7-1)-$C$9)))*$C$7)*AL44)</f>
        <v>0</v>
      </c>
      <c r="AN69" s="36" t="n">
        <f aca="false">SUM(C69:N69)</f>
        <v>0</v>
      </c>
      <c r="AO69" s="36" t="n">
        <f aca="false">SUM(O69:Z69)</f>
        <v>3</v>
      </c>
      <c r="AP69" s="36" t="n">
        <f aca="false">SUM(AA69:AL69)</f>
        <v>7</v>
      </c>
    </row>
    <row r="70" customFormat="false" ht="15" hidden="false" customHeight="false" outlineLevel="0" collapsed="false">
      <c r="A70" s="0" t="s">
        <v>876</v>
      </c>
      <c r="B70" s="0" t="s">
        <v>852</v>
      </c>
      <c r="C70" s="14" t="n">
        <f aca="false">INDEX(Schedules!$C$12:$AL$12,C$18)</f>
        <v>0</v>
      </c>
      <c r="D70" s="14" t="n">
        <f aca="false">INDEX(Schedules!$C$12:$AL$12,D$18)</f>
        <v>0</v>
      </c>
      <c r="E70" s="14" t="n">
        <f aca="false">INDEX(Schedules!$C$12:$AL$12,E$18)</f>
        <v>0</v>
      </c>
      <c r="F70" s="14" t="n">
        <f aca="false">INDEX(Schedules!$C$12:$AL$12,F$18)</f>
        <v>0</v>
      </c>
      <c r="G70" s="14" t="n">
        <f aca="false">INDEX(Schedules!$C$12:$AL$12,G$18)</f>
        <v>0</v>
      </c>
      <c r="H70" s="14" t="n">
        <f aca="false">INDEX(Schedules!$C$12:$AL$12,H$18)</f>
        <v>0</v>
      </c>
      <c r="I70" s="14" t="n">
        <f aca="false">INDEX(Schedules!$C$12:$AL$12,I$18)</f>
        <v>0</v>
      </c>
      <c r="J70" s="14" t="n">
        <f aca="false">INDEX(Schedules!$C$12:$AL$12,J$18)</f>
        <v>1</v>
      </c>
      <c r="K70" s="14" t="n">
        <f aca="false">INDEX(Schedules!$C$12:$AL$12,K$18)</f>
        <v>0</v>
      </c>
      <c r="L70" s="14" t="n">
        <f aca="false">INDEX(Schedules!$C$12:$AL$12,L$18)</f>
        <v>0</v>
      </c>
      <c r="M70" s="14" t="n">
        <f aca="false">INDEX(Schedules!$C$12:$AL$12,M$18)</f>
        <v>0</v>
      </c>
      <c r="N70" s="14" t="n">
        <f aca="false">INDEX(Schedules!$C$12:$AL$12,N$18)</f>
        <v>0</v>
      </c>
      <c r="O70" s="14" t="n">
        <f aca="false">INDEX(Schedules!$C$12:$AL$12,O$18)</f>
        <v>0</v>
      </c>
      <c r="P70" s="14" t="n">
        <f aca="false">INDEX(Schedules!$C$12:$AL$12,P$18)</f>
        <v>0</v>
      </c>
      <c r="Q70" s="14" t="n">
        <f aca="false">INDEX(Schedules!$C$12:$AL$12,Q$18)</f>
        <v>0</v>
      </c>
      <c r="R70" s="14" t="n">
        <f aca="false">INDEX(Schedules!$C$12:$AL$12,R$18)</f>
        <v>0</v>
      </c>
      <c r="S70" s="14" t="n">
        <f aca="false">INDEX(Schedules!$C$12:$AL$12,S$18)</f>
        <v>0</v>
      </c>
      <c r="T70" s="14" t="n">
        <f aca="false">INDEX(Schedules!$C$12:$AL$12,T$18)</f>
        <v>0</v>
      </c>
      <c r="U70" s="14" t="n">
        <f aca="false">INDEX(Schedules!$C$12:$AL$12,U$18)</f>
        <v>0</v>
      </c>
      <c r="V70" s="14" t="n">
        <f aca="false">INDEX(Schedules!$C$12:$AL$12,V$18)</f>
        <v>0</v>
      </c>
      <c r="W70" s="14" t="n">
        <f aca="false">INDEX(Schedules!$C$12:$AL$12,W$18)</f>
        <v>0</v>
      </c>
      <c r="X70" s="14" t="n">
        <f aca="false">INDEX(Schedules!$C$12:$AL$12,X$18)</f>
        <v>0</v>
      </c>
      <c r="Y70" s="14" t="n">
        <f aca="false">INDEX(Schedules!$C$12:$AL$12,Y$18)</f>
        <v>0</v>
      </c>
      <c r="Z70" s="14" t="n">
        <f aca="false">INDEX(Schedules!$C$12:$AL$12,Z$18)</f>
        <v>0</v>
      </c>
      <c r="AA70" s="14" t="n">
        <f aca="false">INDEX(Schedules!$C$12:$AL$12,AA$18)</f>
        <v>0</v>
      </c>
      <c r="AB70" s="14" t="n">
        <f aca="false">INDEX(Schedules!$C$12:$AL$12,AB$18)</f>
        <v>0</v>
      </c>
      <c r="AC70" s="14" t="n">
        <f aca="false">INDEX(Schedules!$C$12:$AL$12,AC$18)</f>
        <v>0</v>
      </c>
      <c r="AD70" s="14" t="n">
        <f aca="false">INDEX(Schedules!$C$12:$AL$12,AD$18)</f>
        <v>0</v>
      </c>
      <c r="AE70" s="14" t="n">
        <f aca="false">INDEX(Schedules!$C$12:$AL$12,AE$18)</f>
        <v>0</v>
      </c>
      <c r="AF70" s="14" t="n">
        <f aca="false">INDEX(Schedules!$C$12:$AL$12,AF$18)</f>
        <v>0</v>
      </c>
      <c r="AG70" s="14" t="n">
        <f aca="false">INDEX(Schedules!$C$12:$AL$12,AG$18)</f>
        <v>0</v>
      </c>
      <c r="AH70" s="14" t="n">
        <f aca="false">INDEX(Schedules!$C$12:$AL$12,AH$18)</f>
        <v>0</v>
      </c>
      <c r="AI70" s="14" t="n">
        <f aca="false">INDEX(Schedules!$C$12:$AL$12,AI$18)</f>
        <v>0</v>
      </c>
      <c r="AJ70" s="14" t="n">
        <f aca="false">INDEX(Schedules!$C$12:$AL$12,AJ$18)</f>
        <v>0</v>
      </c>
      <c r="AK70" s="14" t="n">
        <f aca="false">INDEX(Schedules!$C$12:$AL$12,AK$18)</f>
        <v>0</v>
      </c>
      <c r="AL70" s="14" t="n">
        <f aca="false">INDEX(Schedules!$C$12:$AL$12,AL$18)</f>
        <v>0</v>
      </c>
      <c r="AN70" s="36" t="n">
        <f aca="false">SUM(C70:N70)</f>
        <v>1</v>
      </c>
      <c r="AO70" s="36" t="n">
        <f aca="false">SUM(O70:Z70)</f>
        <v>0</v>
      </c>
      <c r="AP70" s="36" t="n">
        <f aca="false">SUM(AA70:AL70)</f>
        <v>0</v>
      </c>
    </row>
    <row r="71" customFormat="false" ht="15" hidden="false" customHeight="false" outlineLevel="0" collapsed="false">
      <c r="A71" s="0" t="s">
        <v>877</v>
      </c>
      <c r="B71" s="0" t="s">
        <v>852</v>
      </c>
      <c r="C71" s="14" t="n">
        <f aca="false">(C69+C70)</f>
        <v>0</v>
      </c>
      <c r="D71" s="14" t="n">
        <f aca="false">(D69+D70)</f>
        <v>0</v>
      </c>
      <c r="E71" s="14" t="n">
        <f aca="false">(E69+E70)</f>
        <v>0</v>
      </c>
      <c r="F71" s="14" t="n">
        <f aca="false">(F69+F70)</f>
        <v>0</v>
      </c>
      <c r="G71" s="14" t="n">
        <f aca="false">(G69+G70)</f>
        <v>0</v>
      </c>
      <c r="H71" s="14" t="n">
        <f aca="false">(H69+H70)</f>
        <v>0</v>
      </c>
      <c r="I71" s="14" t="n">
        <f aca="false">(I69+I70)</f>
        <v>0</v>
      </c>
      <c r="J71" s="14" t="n">
        <f aca="false">(J69+J70)</f>
        <v>1</v>
      </c>
      <c r="K71" s="14" t="n">
        <f aca="false">(K69+K70)</f>
        <v>0</v>
      </c>
      <c r="L71" s="14" t="n">
        <f aca="false">(L69+L70)</f>
        <v>0</v>
      </c>
      <c r="M71" s="14" t="n">
        <f aca="false">(M69+M70)</f>
        <v>0</v>
      </c>
      <c r="N71" s="14" t="n">
        <f aca="false">(N69+N70)</f>
        <v>0</v>
      </c>
      <c r="O71" s="14" t="n">
        <f aca="false">(O69+O70)</f>
        <v>0</v>
      </c>
      <c r="P71" s="14" t="n">
        <f aca="false">(P69+P70)</f>
        <v>0</v>
      </c>
      <c r="Q71" s="14" t="n">
        <f aca="false">(Q69+Q70)</f>
        <v>0</v>
      </c>
      <c r="R71" s="14" t="n">
        <f aca="false">(R69+R70)</f>
        <v>1</v>
      </c>
      <c r="S71" s="14" t="n">
        <f aca="false">(S69+S70)</f>
        <v>0</v>
      </c>
      <c r="T71" s="14" t="n">
        <f aca="false">(T69+T70)</f>
        <v>0</v>
      </c>
      <c r="U71" s="14" t="n">
        <f aca="false">(U69+U70)</f>
        <v>1</v>
      </c>
      <c r="V71" s="14" t="n">
        <f aca="false">(V69+V70)</f>
        <v>0</v>
      </c>
      <c r="W71" s="14" t="n">
        <f aca="false">(W69+W70)</f>
        <v>0</v>
      </c>
      <c r="X71" s="14" t="n">
        <f aca="false">(X69+X70)</f>
        <v>1</v>
      </c>
      <c r="Y71" s="14" t="n">
        <f aca="false">(Y69+Y70)</f>
        <v>0</v>
      </c>
      <c r="Z71" s="14" t="n">
        <f aca="false">(Z69+Z70)</f>
        <v>0</v>
      </c>
      <c r="AA71" s="14" t="n">
        <f aca="false">(AA69+AA70)</f>
        <v>1</v>
      </c>
      <c r="AB71" s="14" t="n">
        <f aca="false">(AB69+AB70)</f>
        <v>0</v>
      </c>
      <c r="AC71" s="14" t="n">
        <f aca="false">(AC69+AC70)</f>
        <v>0</v>
      </c>
      <c r="AD71" s="14" t="n">
        <f aca="false">(AD69+AD70)</f>
        <v>2</v>
      </c>
      <c r="AE71" s="14" t="n">
        <f aca="false">(AE69+AE70)</f>
        <v>0</v>
      </c>
      <c r="AF71" s="14" t="n">
        <f aca="false">(AF69+AF70)</f>
        <v>0</v>
      </c>
      <c r="AG71" s="14" t="n">
        <f aca="false">(AG69+AG70)</f>
        <v>2</v>
      </c>
      <c r="AH71" s="14" t="n">
        <f aca="false">(AH69+AH70)</f>
        <v>0</v>
      </c>
      <c r="AI71" s="14" t="n">
        <f aca="false">(AI69+AI70)</f>
        <v>0</v>
      </c>
      <c r="AJ71" s="14" t="n">
        <f aca="false">(AJ69+AJ70)</f>
        <v>2</v>
      </c>
      <c r="AK71" s="14" t="n">
        <f aca="false">(AK69+AK70)</f>
        <v>0</v>
      </c>
      <c r="AL71" s="14" t="n">
        <f aca="false">(AL69+AL70)</f>
        <v>0</v>
      </c>
      <c r="AN71" s="36" t="n">
        <f aca="false">SUM(C71:N71)</f>
        <v>1</v>
      </c>
      <c r="AO71" s="36" t="n">
        <f aca="false">SUM(O71:Z71)</f>
        <v>3</v>
      </c>
      <c r="AP71" s="36" t="n">
        <f aca="false">SUM(AA71:AL71)</f>
        <v>7</v>
      </c>
    </row>
    <row r="72" customFormat="false" ht="15" hidden="false" customHeight="false" outlineLevel="0" collapsed="false">
      <c r="A72" s="0" t="s">
        <v>878</v>
      </c>
      <c r="B72" s="0" t="s">
        <v>852</v>
      </c>
      <c r="C72" s="14" t="n">
        <f aca="false">((IF(OR((C$18-(Assumptions!$C$8-1)-$C$9)&lt;1,(C$18-(Assumptions!$C$8-1)-$C$9)&gt;36),0,INDEX(Schedules!$C$9:$AL$9,(C$18-(Assumptions!$C$8-1)-$C$9)))*$C$7)*C44)</f>
        <v>0</v>
      </c>
      <c r="D72" s="14" t="n">
        <f aca="false">((IF(OR((D$18-(Assumptions!$C$8-1)-$C$9)&lt;1,(D$18-(Assumptions!$C$8-1)-$C$9)&gt;36),0,INDEX(Schedules!$C$9:$AL$9,(D$18-(Assumptions!$C$8-1)-$C$9)))*$C$7)*D44)</f>
        <v>0</v>
      </c>
      <c r="E72" s="14" t="n">
        <f aca="false">((IF(OR((E$18-(Assumptions!$C$8-1)-$C$9)&lt;1,(E$18-(Assumptions!$C$8-1)-$C$9)&gt;36),0,INDEX(Schedules!$C$9:$AL$9,(E$18-(Assumptions!$C$8-1)-$C$9)))*$C$7)*E44)</f>
        <v>0</v>
      </c>
      <c r="F72" s="14" t="n">
        <f aca="false">((IF(OR((F$18-(Assumptions!$C$8-1)-$C$9)&lt;1,(F$18-(Assumptions!$C$8-1)-$C$9)&gt;36),0,INDEX(Schedules!$C$9:$AL$9,(F$18-(Assumptions!$C$8-1)-$C$9)))*$C$7)*F44)</f>
        <v>0</v>
      </c>
      <c r="G72" s="14" t="n">
        <f aca="false">((IF(OR((G$18-(Assumptions!$C$8-1)-$C$9)&lt;1,(G$18-(Assumptions!$C$8-1)-$C$9)&gt;36),0,INDEX(Schedules!$C$9:$AL$9,(G$18-(Assumptions!$C$8-1)-$C$9)))*$C$7)*G44)</f>
        <v>0</v>
      </c>
      <c r="H72" s="14" t="n">
        <f aca="false">((IF(OR((H$18-(Assumptions!$C$8-1)-$C$9)&lt;1,(H$18-(Assumptions!$C$8-1)-$C$9)&gt;36),0,INDEX(Schedules!$C$9:$AL$9,(H$18-(Assumptions!$C$8-1)-$C$9)))*$C$7)*H44)</f>
        <v>0</v>
      </c>
      <c r="I72" s="14" t="n">
        <f aca="false">((IF(OR((I$18-(Assumptions!$C$8-1)-$C$9)&lt;1,(I$18-(Assumptions!$C$8-1)-$C$9)&gt;36),0,INDEX(Schedules!$C$9:$AL$9,(I$18-(Assumptions!$C$8-1)-$C$9)))*$C$7)*I44)</f>
        <v>0</v>
      </c>
      <c r="J72" s="14" t="n">
        <f aca="false">((IF(OR((J$18-(Assumptions!$C$8-1)-$C$9)&lt;1,(J$18-(Assumptions!$C$8-1)-$C$9)&gt;36),0,INDEX(Schedules!$C$9:$AL$9,(J$18-(Assumptions!$C$8-1)-$C$9)))*$C$7)*J44)</f>
        <v>0</v>
      </c>
      <c r="K72" s="14" t="n">
        <f aca="false">((IF(OR((K$18-(Assumptions!$C$8-1)-$C$9)&lt;1,(K$18-(Assumptions!$C$8-1)-$C$9)&gt;36),0,INDEX(Schedules!$C$9:$AL$9,(K$18-(Assumptions!$C$8-1)-$C$9)))*$C$7)*K44)</f>
        <v>0</v>
      </c>
      <c r="L72" s="14" t="n">
        <f aca="false">((IF(OR((L$18-(Assumptions!$C$8-1)-$C$9)&lt;1,(L$18-(Assumptions!$C$8-1)-$C$9)&gt;36),0,INDEX(Schedules!$C$9:$AL$9,(L$18-(Assumptions!$C$8-1)-$C$9)))*$C$7)*L44)</f>
        <v>0</v>
      </c>
      <c r="M72" s="14" t="n">
        <f aca="false">((IF(OR((M$18-(Assumptions!$C$8-1)-$C$9)&lt;1,(M$18-(Assumptions!$C$8-1)-$C$9)&gt;36),0,INDEX(Schedules!$C$9:$AL$9,(M$18-(Assumptions!$C$8-1)-$C$9)))*$C$7)*M44)</f>
        <v>0</v>
      </c>
      <c r="N72" s="14" t="n">
        <f aca="false">((IF(OR((N$18-(Assumptions!$C$8-1)-$C$9)&lt;1,(N$18-(Assumptions!$C$8-1)-$C$9)&gt;36),0,INDEX(Schedules!$C$9:$AL$9,(N$18-(Assumptions!$C$8-1)-$C$9)))*$C$7)*N44)</f>
        <v>0</v>
      </c>
      <c r="O72" s="14" t="n">
        <f aca="false">((IF(OR((O$18-(Assumptions!$C$8-1)-$C$9)&lt;1,(O$18-(Assumptions!$C$8-1)-$C$9)&gt;36),0,INDEX(Schedules!$C$9:$AL$9,(O$18-(Assumptions!$C$8-1)-$C$9)))*$C$7)*O44)</f>
        <v>0</v>
      </c>
      <c r="P72" s="14" t="n">
        <f aca="false">((IF(OR((P$18-(Assumptions!$C$8-1)-$C$9)&lt;1,(P$18-(Assumptions!$C$8-1)-$C$9)&gt;36),0,INDEX(Schedules!$C$9:$AL$9,(P$18-(Assumptions!$C$8-1)-$C$9)))*$C$7)*P44)</f>
        <v>0</v>
      </c>
      <c r="Q72" s="14" t="n">
        <f aca="false">((IF(OR((Q$18-(Assumptions!$C$8-1)-$C$9)&lt;1,(Q$18-(Assumptions!$C$8-1)-$C$9)&gt;36),0,INDEX(Schedules!$C$9:$AL$9,(Q$18-(Assumptions!$C$8-1)-$C$9)))*$C$7)*Q44)</f>
        <v>0</v>
      </c>
      <c r="R72" s="14" t="n">
        <f aca="false">((IF(OR((R$18-(Assumptions!$C$8-1)-$C$9)&lt;1,(R$18-(Assumptions!$C$8-1)-$C$9)&gt;36),0,INDEX(Schedules!$C$9:$AL$9,(R$18-(Assumptions!$C$8-1)-$C$9)))*$C$7)*R44)</f>
        <v>0</v>
      </c>
      <c r="S72" s="14" t="n">
        <f aca="false">((IF(OR((S$18-(Assumptions!$C$8-1)-$C$9)&lt;1,(S$18-(Assumptions!$C$8-1)-$C$9)&gt;36),0,INDEX(Schedules!$C$9:$AL$9,(S$18-(Assumptions!$C$8-1)-$C$9)))*$C$7)*S44)</f>
        <v>0</v>
      </c>
      <c r="T72" s="14" t="n">
        <f aca="false">((IF(OR((T$18-(Assumptions!$C$8-1)-$C$9)&lt;1,(T$18-(Assumptions!$C$8-1)-$C$9)&gt;36),0,INDEX(Schedules!$C$9:$AL$9,(T$18-(Assumptions!$C$8-1)-$C$9)))*$C$7)*T44)</f>
        <v>0</v>
      </c>
      <c r="U72" s="14" t="n">
        <f aca="false">((IF(OR((U$18-(Assumptions!$C$8-1)-$C$9)&lt;1,(U$18-(Assumptions!$C$8-1)-$C$9)&gt;36),0,INDEX(Schedules!$C$9:$AL$9,(U$18-(Assumptions!$C$8-1)-$C$9)))*$C$7)*U44)</f>
        <v>0</v>
      </c>
      <c r="V72" s="14" t="n">
        <f aca="false">((IF(OR((V$18-(Assumptions!$C$8-1)-$C$9)&lt;1,(V$18-(Assumptions!$C$8-1)-$C$9)&gt;36),0,INDEX(Schedules!$C$9:$AL$9,(V$18-(Assumptions!$C$8-1)-$C$9)))*$C$7)*V44)</f>
        <v>0</v>
      </c>
      <c r="W72" s="14" t="n">
        <f aca="false">((IF(OR((W$18-(Assumptions!$C$8-1)-$C$9)&lt;1,(W$18-(Assumptions!$C$8-1)-$C$9)&gt;36),0,INDEX(Schedules!$C$9:$AL$9,(W$18-(Assumptions!$C$8-1)-$C$9)))*$C$7)*W44)</f>
        <v>0</v>
      </c>
      <c r="X72" s="14" t="n">
        <f aca="false">((IF(OR((X$18-(Assumptions!$C$8-1)-$C$9)&lt;1,(X$18-(Assumptions!$C$8-1)-$C$9)&gt;36),0,INDEX(Schedules!$C$9:$AL$9,(X$18-(Assumptions!$C$8-1)-$C$9)))*$C$7)*X44)</f>
        <v>0</v>
      </c>
      <c r="Y72" s="14" t="n">
        <f aca="false">((IF(OR((Y$18-(Assumptions!$C$8-1)-$C$9)&lt;1,(Y$18-(Assumptions!$C$8-1)-$C$9)&gt;36),0,INDEX(Schedules!$C$9:$AL$9,(Y$18-(Assumptions!$C$8-1)-$C$9)))*$C$7)*Y44)</f>
        <v>0</v>
      </c>
      <c r="Z72" s="14" t="n">
        <f aca="false">((IF(OR((Z$18-(Assumptions!$C$8-1)-$C$9)&lt;1,(Z$18-(Assumptions!$C$8-1)-$C$9)&gt;36),0,INDEX(Schedules!$C$9:$AL$9,(Z$18-(Assumptions!$C$8-1)-$C$9)))*$C$7)*Z44)</f>
        <v>0</v>
      </c>
      <c r="AA72" s="14" t="n">
        <f aca="false">((IF(OR((AA$18-(Assumptions!$C$8-1)-$C$9)&lt;1,(AA$18-(Assumptions!$C$8-1)-$C$9)&gt;36),0,INDEX(Schedules!$C$9:$AL$9,(AA$18-(Assumptions!$C$8-1)-$C$9)))*$C$7)*AA44)</f>
        <v>0</v>
      </c>
      <c r="AB72" s="14" t="n">
        <f aca="false">((IF(OR((AB$18-(Assumptions!$C$8-1)-$C$9)&lt;1,(AB$18-(Assumptions!$C$8-1)-$C$9)&gt;36),0,INDEX(Schedules!$C$9:$AL$9,(AB$18-(Assumptions!$C$8-1)-$C$9)))*$C$7)*AB44)</f>
        <v>1</v>
      </c>
      <c r="AC72" s="14" t="n">
        <f aca="false">((IF(OR((AC$18-(Assumptions!$C$8-1)-$C$9)&lt;1,(AC$18-(Assumptions!$C$8-1)-$C$9)&gt;36),0,INDEX(Schedules!$C$9:$AL$9,(AC$18-(Assumptions!$C$8-1)-$C$9)))*$C$7)*AC44)</f>
        <v>0</v>
      </c>
      <c r="AD72" s="14" t="n">
        <f aca="false">((IF(OR((AD$18-(Assumptions!$C$8-1)-$C$9)&lt;1,(AD$18-(Assumptions!$C$8-1)-$C$9)&gt;36),0,INDEX(Schedules!$C$9:$AL$9,(AD$18-(Assumptions!$C$8-1)-$C$9)))*$C$7)*AD44)</f>
        <v>0</v>
      </c>
      <c r="AE72" s="14" t="n">
        <f aca="false">((IF(OR((AE$18-(Assumptions!$C$8-1)-$C$9)&lt;1,(AE$18-(Assumptions!$C$8-1)-$C$9)&gt;36),0,INDEX(Schedules!$C$9:$AL$9,(AE$18-(Assumptions!$C$8-1)-$C$9)))*$C$7)*AE44)</f>
        <v>1</v>
      </c>
      <c r="AF72" s="14" t="n">
        <f aca="false">((IF(OR((AF$18-(Assumptions!$C$8-1)-$C$9)&lt;1,(AF$18-(Assumptions!$C$8-1)-$C$9)&gt;36),0,INDEX(Schedules!$C$9:$AL$9,(AF$18-(Assumptions!$C$8-1)-$C$9)))*$C$7)*AF44)</f>
        <v>0</v>
      </c>
      <c r="AG72" s="14" t="n">
        <f aca="false">((IF(OR((AG$18-(Assumptions!$C$8-1)-$C$9)&lt;1,(AG$18-(Assumptions!$C$8-1)-$C$9)&gt;36),0,INDEX(Schedules!$C$9:$AL$9,(AG$18-(Assumptions!$C$8-1)-$C$9)))*$C$7)*AG44)</f>
        <v>0</v>
      </c>
      <c r="AH72" s="14" t="n">
        <f aca="false">((IF(OR((AH$18-(Assumptions!$C$8-1)-$C$9)&lt;1,(AH$18-(Assumptions!$C$8-1)-$C$9)&gt;36),0,INDEX(Schedules!$C$9:$AL$9,(AH$18-(Assumptions!$C$8-1)-$C$9)))*$C$7)*AH44)</f>
        <v>1</v>
      </c>
      <c r="AI72" s="14" t="n">
        <f aca="false">((IF(OR((AI$18-(Assumptions!$C$8-1)-$C$9)&lt;1,(AI$18-(Assumptions!$C$8-1)-$C$9)&gt;36),0,INDEX(Schedules!$C$9:$AL$9,(AI$18-(Assumptions!$C$8-1)-$C$9)))*$C$7)*AI44)</f>
        <v>0</v>
      </c>
      <c r="AJ72" s="14" t="n">
        <f aca="false">((IF(OR((AJ$18-(Assumptions!$C$8-1)-$C$9)&lt;1,(AJ$18-(Assumptions!$C$8-1)-$C$9)&gt;36),0,INDEX(Schedules!$C$9:$AL$9,(AJ$18-(Assumptions!$C$8-1)-$C$9)))*$C$7)*AJ44)</f>
        <v>0</v>
      </c>
      <c r="AK72" s="14" t="n">
        <f aca="false">((IF(OR((AK$18-(Assumptions!$C$8-1)-$C$9)&lt;1,(AK$18-(Assumptions!$C$8-1)-$C$9)&gt;36),0,INDEX(Schedules!$C$9:$AL$9,(AK$18-(Assumptions!$C$8-1)-$C$9)))*$C$7)*AK44)</f>
        <v>2</v>
      </c>
      <c r="AL72" s="14" t="n">
        <f aca="false">((IF(OR((AL$18-(Assumptions!$C$8-1)-$C$9)&lt;1,(AL$18-(Assumptions!$C$8-1)-$C$9)&gt;36),0,INDEX(Schedules!$C$9:$AL$9,(AL$18-(Assumptions!$C$8-1)-$C$9)))*$C$7)*AL44)</f>
        <v>0</v>
      </c>
      <c r="AN72" s="36" t="n">
        <f aca="false">SUM(C72:N72)</f>
        <v>0</v>
      </c>
      <c r="AO72" s="36" t="n">
        <f aca="false">SUM(O72:Z72)</f>
        <v>0</v>
      </c>
      <c r="AP72" s="36" t="n">
        <f aca="false">SUM(AA72:AL72)</f>
        <v>5</v>
      </c>
    </row>
    <row r="73" customFormat="false" ht="15" hidden="false" customHeight="false" outlineLevel="0" collapsed="false">
      <c r="A73" s="0" t="s">
        <v>879</v>
      </c>
      <c r="B73" s="0" t="s">
        <v>852</v>
      </c>
      <c r="C73" s="14" t="n">
        <f aca="false">(C69+C72)</f>
        <v>0</v>
      </c>
      <c r="D73" s="14" t="n">
        <f aca="false">(D69+D72)</f>
        <v>0</v>
      </c>
      <c r="E73" s="14" t="n">
        <f aca="false">(E69+E72)</f>
        <v>0</v>
      </c>
      <c r="F73" s="14" t="n">
        <f aca="false">(F69+F72)</f>
        <v>0</v>
      </c>
      <c r="G73" s="14" t="n">
        <f aca="false">(G69+G72)</f>
        <v>0</v>
      </c>
      <c r="H73" s="14" t="n">
        <f aca="false">(H69+H72)</f>
        <v>0</v>
      </c>
      <c r="I73" s="14" t="n">
        <f aca="false">(I69+I72)</f>
        <v>0</v>
      </c>
      <c r="J73" s="14" t="n">
        <f aca="false">(J69+J72)</f>
        <v>0</v>
      </c>
      <c r="K73" s="14" t="n">
        <f aca="false">(K69+K72)</f>
        <v>0</v>
      </c>
      <c r="L73" s="14" t="n">
        <f aca="false">(L69+L72)</f>
        <v>0</v>
      </c>
      <c r="M73" s="14" t="n">
        <f aca="false">(M69+M72)</f>
        <v>0</v>
      </c>
      <c r="N73" s="14" t="n">
        <f aca="false">(N69+N72)</f>
        <v>0</v>
      </c>
      <c r="O73" s="14" t="n">
        <f aca="false">(O69+O72)</f>
        <v>0</v>
      </c>
      <c r="P73" s="14" t="n">
        <f aca="false">(P69+P72)</f>
        <v>0</v>
      </c>
      <c r="Q73" s="14" t="n">
        <f aca="false">(Q69+Q72)</f>
        <v>0</v>
      </c>
      <c r="R73" s="14" t="n">
        <f aca="false">(R69+R72)</f>
        <v>1</v>
      </c>
      <c r="S73" s="14" t="n">
        <f aca="false">(S69+S72)</f>
        <v>0</v>
      </c>
      <c r="T73" s="14" t="n">
        <f aca="false">(T69+T72)</f>
        <v>0</v>
      </c>
      <c r="U73" s="14" t="n">
        <f aca="false">(U69+U72)</f>
        <v>1</v>
      </c>
      <c r="V73" s="14" t="n">
        <f aca="false">(V69+V72)</f>
        <v>0</v>
      </c>
      <c r="W73" s="14" t="n">
        <f aca="false">(W69+W72)</f>
        <v>0</v>
      </c>
      <c r="X73" s="14" t="n">
        <f aca="false">(X69+X72)</f>
        <v>1</v>
      </c>
      <c r="Y73" s="14" t="n">
        <f aca="false">(Y69+Y72)</f>
        <v>0</v>
      </c>
      <c r="Z73" s="14" t="n">
        <f aca="false">(Z69+Z72)</f>
        <v>0</v>
      </c>
      <c r="AA73" s="14" t="n">
        <f aca="false">(AA69+AA72)</f>
        <v>1</v>
      </c>
      <c r="AB73" s="14" t="n">
        <f aca="false">(AB69+AB72)</f>
        <v>1</v>
      </c>
      <c r="AC73" s="14" t="n">
        <f aca="false">(AC69+AC72)</f>
        <v>0</v>
      </c>
      <c r="AD73" s="14" t="n">
        <f aca="false">(AD69+AD72)</f>
        <v>2</v>
      </c>
      <c r="AE73" s="14" t="n">
        <f aca="false">(AE69+AE72)</f>
        <v>1</v>
      </c>
      <c r="AF73" s="14" t="n">
        <f aca="false">(AF69+AF72)</f>
        <v>0</v>
      </c>
      <c r="AG73" s="14" t="n">
        <f aca="false">(AG69+AG72)</f>
        <v>2</v>
      </c>
      <c r="AH73" s="14" t="n">
        <f aca="false">(AH69+AH72)</f>
        <v>1</v>
      </c>
      <c r="AI73" s="14" t="n">
        <f aca="false">(AI69+AI72)</f>
        <v>0</v>
      </c>
      <c r="AJ73" s="14" t="n">
        <f aca="false">(AJ69+AJ72)</f>
        <v>2</v>
      </c>
      <c r="AK73" s="14" t="n">
        <f aca="false">(AK69+AK72)</f>
        <v>2</v>
      </c>
      <c r="AL73" s="14" t="n">
        <f aca="false">(AL69+AL72)</f>
        <v>0</v>
      </c>
      <c r="AN73" s="36" t="n">
        <f aca="false">SUM(C73:N73)</f>
        <v>0</v>
      </c>
      <c r="AO73" s="36" t="n">
        <f aca="false">SUM(O73:Z73)</f>
        <v>3</v>
      </c>
      <c r="AP73" s="36" t="n">
        <f aca="false">SUM(AA73:AL73)</f>
        <v>12</v>
      </c>
    </row>
    <row r="74" customFormat="false" ht="15" hidden="false" customHeight="false" outlineLevel="0" collapsed="false">
      <c r="A74" s="0" t="s">
        <v>880</v>
      </c>
      <c r="B74" s="0" t="s">
        <v>852</v>
      </c>
      <c r="C74" s="14" t="n">
        <f aca="false">C71</f>
        <v>0</v>
      </c>
      <c r="D74" s="14" t="n">
        <f aca="false">SUM(C71:D71)</f>
        <v>0</v>
      </c>
      <c r="E74" s="14" t="n">
        <f aca="false">SUM(C71:E71)</f>
        <v>0</v>
      </c>
      <c r="F74" s="14" t="n">
        <f aca="false">SUM(C71:F71)</f>
        <v>0</v>
      </c>
      <c r="G74" s="14" t="n">
        <f aca="false">SUM(C71:G71)</f>
        <v>0</v>
      </c>
      <c r="H74" s="14" t="n">
        <f aca="false">SUM(C71:H71)</f>
        <v>0</v>
      </c>
      <c r="I74" s="14" t="n">
        <f aca="false">SUM(D71:I71)</f>
        <v>0</v>
      </c>
      <c r="J74" s="14" t="n">
        <f aca="false">SUM(E71:J71)</f>
        <v>1</v>
      </c>
      <c r="K74" s="14" t="n">
        <f aca="false">SUM(F71:K71)</f>
        <v>1</v>
      </c>
      <c r="L74" s="14" t="n">
        <f aca="false">SUM(G71:L71)</f>
        <v>1</v>
      </c>
      <c r="M74" s="14" t="n">
        <f aca="false">SUM(H71:M71)</f>
        <v>1</v>
      </c>
      <c r="N74" s="14" t="n">
        <f aca="false">SUM(I71:N71)</f>
        <v>1</v>
      </c>
      <c r="O74" s="14" t="n">
        <f aca="false">SUM(J71:O71)</f>
        <v>1</v>
      </c>
      <c r="P74" s="14" t="n">
        <f aca="false">SUM(K71:P71)</f>
        <v>0</v>
      </c>
      <c r="Q74" s="14" t="n">
        <f aca="false">SUM(L71:Q71)</f>
        <v>0</v>
      </c>
      <c r="R74" s="14" t="n">
        <f aca="false">SUM(M71:R71)</f>
        <v>1</v>
      </c>
      <c r="S74" s="14" t="n">
        <f aca="false">SUM(N71:S71)</f>
        <v>1</v>
      </c>
      <c r="T74" s="14" t="n">
        <f aca="false">SUM(O71:T71)</f>
        <v>1</v>
      </c>
      <c r="U74" s="14" t="n">
        <f aca="false">SUM(P71:U71)</f>
        <v>2</v>
      </c>
      <c r="V74" s="14" t="n">
        <f aca="false">SUM(Q71:V71)</f>
        <v>2</v>
      </c>
      <c r="W74" s="14" t="n">
        <f aca="false">SUM(R71:W71)</f>
        <v>2</v>
      </c>
      <c r="X74" s="14" t="n">
        <f aca="false">SUM(S71:X71)</f>
        <v>2</v>
      </c>
      <c r="Y74" s="14" t="n">
        <f aca="false">SUM(T71:Y71)</f>
        <v>2</v>
      </c>
      <c r="Z74" s="14" t="n">
        <f aca="false">SUM(U71:Z71)</f>
        <v>2</v>
      </c>
      <c r="AA74" s="14" t="n">
        <f aca="false">SUM(V71:AA71)</f>
        <v>2</v>
      </c>
      <c r="AB74" s="14" t="n">
        <f aca="false">SUM(W71:AB71)</f>
        <v>2</v>
      </c>
      <c r="AC74" s="14" t="n">
        <f aca="false">SUM(X71:AC71)</f>
        <v>2</v>
      </c>
      <c r="AD74" s="14" t="n">
        <f aca="false">SUM(Y71:AD71)</f>
        <v>3</v>
      </c>
      <c r="AE74" s="14" t="n">
        <f aca="false">SUM(Z71:AE71)</f>
        <v>3</v>
      </c>
      <c r="AF74" s="14" t="n">
        <f aca="false">SUM(AA71:AF71)</f>
        <v>3</v>
      </c>
      <c r="AG74" s="14" t="n">
        <f aca="false">SUM(AB71:AG71)</f>
        <v>4</v>
      </c>
      <c r="AH74" s="14" t="n">
        <f aca="false">SUM(AC71:AH71)</f>
        <v>4</v>
      </c>
      <c r="AI74" s="14" t="n">
        <f aca="false">SUM(AD71:AI71)</f>
        <v>4</v>
      </c>
      <c r="AJ74" s="14" t="n">
        <f aca="false">SUM(AE71:AJ71)</f>
        <v>4</v>
      </c>
      <c r="AK74" s="14" t="n">
        <f aca="false">SUM(AF71:AK71)</f>
        <v>4</v>
      </c>
      <c r="AL74" s="14" t="n">
        <f aca="false">SUM(AG71:AL71)</f>
        <v>4</v>
      </c>
      <c r="AN74" s="36" t="n">
        <f aca="false">N74</f>
        <v>1</v>
      </c>
      <c r="AO74" s="36" t="n">
        <f aca="false">Z74</f>
        <v>2</v>
      </c>
      <c r="AP74" s="36" t="n">
        <f aca="false">AL74</f>
        <v>4</v>
      </c>
    </row>
    <row r="75" customFormat="false" ht="15" hidden="false" customHeight="false" outlineLevel="0" collapsed="false">
      <c r="A75" s="0" t="s">
        <v>881</v>
      </c>
      <c r="B75" s="0" t="s">
        <v>852</v>
      </c>
      <c r="C75" s="14" t="n">
        <f aca="false">C69</f>
        <v>0</v>
      </c>
      <c r="D75" s="14" t="n">
        <f aca="false">SUM(C69:D69)</f>
        <v>0</v>
      </c>
      <c r="E75" s="14" t="n">
        <f aca="false">SUM(C69:E69)</f>
        <v>0</v>
      </c>
      <c r="F75" s="14" t="n">
        <f aca="false">SUM(C69:F69)</f>
        <v>0</v>
      </c>
      <c r="G75" s="14" t="n">
        <f aca="false">SUM(C69:G69)</f>
        <v>0</v>
      </c>
      <c r="H75" s="14" t="n">
        <f aca="false">SUM(C69:H69)</f>
        <v>0</v>
      </c>
      <c r="I75" s="14" t="n">
        <f aca="false">SUM(D69:I69)</f>
        <v>0</v>
      </c>
      <c r="J75" s="14" t="n">
        <f aca="false">SUM(E69:J69)</f>
        <v>0</v>
      </c>
      <c r="K75" s="14" t="n">
        <f aca="false">SUM(F69:K69)</f>
        <v>0</v>
      </c>
      <c r="L75" s="14" t="n">
        <f aca="false">SUM(G69:L69)</f>
        <v>0</v>
      </c>
      <c r="M75" s="14" t="n">
        <f aca="false">SUM(H69:M69)</f>
        <v>0</v>
      </c>
      <c r="N75" s="14" t="n">
        <f aca="false">SUM(I69:N69)</f>
        <v>0</v>
      </c>
      <c r="O75" s="14" t="n">
        <f aca="false">SUM(J69:O69)</f>
        <v>0</v>
      </c>
      <c r="P75" s="14" t="n">
        <f aca="false">SUM(K69:P69)</f>
        <v>0</v>
      </c>
      <c r="Q75" s="14" t="n">
        <f aca="false">SUM(L69:Q69)</f>
        <v>0</v>
      </c>
      <c r="R75" s="14" t="n">
        <f aca="false">SUM(M69:R69)</f>
        <v>1</v>
      </c>
      <c r="S75" s="14" t="n">
        <f aca="false">SUM(N69:S69)</f>
        <v>1</v>
      </c>
      <c r="T75" s="14" t="n">
        <f aca="false">SUM(O69:T69)</f>
        <v>1</v>
      </c>
      <c r="U75" s="14" t="n">
        <f aca="false">SUM(P69:U69)</f>
        <v>2</v>
      </c>
      <c r="V75" s="14" t="n">
        <f aca="false">SUM(Q69:V69)</f>
        <v>2</v>
      </c>
      <c r="W75" s="14" t="n">
        <f aca="false">SUM(R69:W69)</f>
        <v>2</v>
      </c>
      <c r="X75" s="14" t="n">
        <f aca="false">SUM(S69:X69)</f>
        <v>2</v>
      </c>
      <c r="Y75" s="14" t="n">
        <f aca="false">SUM(T69:Y69)</f>
        <v>2</v>
      </c>
      <c r="Z75" s="14" t="n">
        <f aca="false">SUM(U69:Z69)</f>
        <v>2</v>
      </c>
      <c r="AA75" s="14" t="n">
        <f aca="false">SUM(V69:AA69)</f>
        <v>2</v>
      </c>
      <c r="AB75" s="14" t="n">
        <f aca="false">SUM(W69:AB69)</f>
        <v>2</v>
      </c>
      <c r="AC75" s="14" t="n">
        <f aca="false">SUM(X69:AC69)</f>
        <v>2</v>
      </c>
      <c r="AD75" s="14" t="n">
        <f aca="false">SUM(Y69:AD69)</f>
        <v>3</v>
      </c>
      <c r="AE75" s="14" t="n">
        <f aca="false">SUM(Z69:AE69)</f>
        <v>3</v>
      </c>
      <c r="AF75" s="14" t="n">
        <f aca="false">SUM(AA69:AF69)</f>
        <v>3</v>
      </c>
      <c r="AG75" s="14" t="n">
        <f aca="false">SUM(AB69:AG69)</f>
        <v>4</v>
      </c>
      <c r="AH75" s="14" t="n">
        <f aca="false">SUM(AC69:AH69)</f>
        <v>4</v>
      </c>
      <c r="AI75" s="14" t="n">
        <f aca="false">SUM(AD69:AI69)</f>
        <v>4</v>
      </c>
      <c r="AJ75" s="14" t="n">
        <f aca="false">SUM(AE69:AJ69)</f>
        <v>4</v>
      </c>
      <c r="AK75" s="14" t="n">
        <f aca="false">SUM(AF69:AK69)</f>
        <v>4</v>
      </c>
      <c r="AL75" s="14" t="n">
        <f aca="false">SUM(AG69:AL69)</f>
        <v>4</v>
      </c>
      <c r="AN75" s="36" t="n">
        <f aca="false">N75</f>
        <v>0</v>
      </c>
      <c r="AO75" s="36" t="n">
        <f aca="false">Z75</f>
        <v>2</v>
      </c>
      <c r="AP75" s="36" t="n">
        <f aca="false">AL75</f>
        <v>4</v>
      </c>
    </row>
    <row r="76" customFormat="false" ht="15" hidden="false" customHeight="false" outlineLevel="0" collapsed="false">
      <c r="A76" s="0" t="s">
        <v>882</v>
      </c>
      <c r="B76" s="0" t="s">
        <v>852</v>
      </c>
      <c r="C76" s="14" t="n">
        <f aca="false">((Assumptions!$D$127*$C$8)*0)</f>
        <v>0</v>
      </c>
      <c r="D76" s="14" t="n">
        <f aca="false">((Assumptions!$D$127*$C$8)*0)</f>
        <v>0</v>
      </c>
      <c r="E76" s="14" t="n">
        <f aca="false">((Assumptions!$D$127*$C$8)*0)</f>
        <v>0</v>
      </c>
      <c r="F76" s="14" t="n">
        <f aca="false">((Assumptions!$D$127*$C$8)*0)</f>
        <v>0</v>
      </c>
      <c r="G76" s="14" t="n">
        <f aca="false">((Assumptions!$D$127*$C$8)*0)</f>
        <v>0</v>
      </c>
      <c r="H76" s="14" t="n">
        <f aca="false">((Assumptions!$D$127*$C$8)*0)</f>
        <v>0</v>
      </c>
      <c r="I76" s="14" t="n">
        <f aca="false">((Assumptions!$D$127*$C$8)*0)</f>
        <v>0</v>
      </c>
      <c r="J76" s="14" t="n">
        <f aca="false">((Assumptions!$D$127*$C$8)*C69)</f>
        <v>0</v>
      </c>
      <c r="K76" s="14" t="n">
        <f aca="false">((Assumptions!$D$127*$C$8)*D69)</f>
        <v>0</v>
      </c>
      <c r="L76" s="14" t="n">
        <f aca="false">((Assumptions!$D$127*$C$8)*E69)</f>
        <v>0</v>
      </c>
      <c r="M76" s="14" t="n">
        <f aca="false">((Assumptions!$D$127*$C$8)*F69)</f>
        <v>0</v>
      </c>
      <c r="N76" s="14" t="n">
        <f aca="false">((Assumptions!$D$127*$C$8)*G69)</f>
        <v>0</v>
      </c>
      <c r="O76" s="14" t="n">
        <f aca="false">((Assumptions!$D$127*$C$8)*H69)</f>
        <v>0</v>
      </c>
      <c r="P76" s="14" t="n">
        <f aca="false">((Assumptions!$D$127*$C$8)*I69)</f>
        <v>0</v>
      </c>
      <c r="Q76" s="14" t="n">
        <f aca="false">((Assumptions!$D$127*$C$8)*J69)</f>
        <v>0</v>
      </c>
      <c r="R76" s="14" t="n">
        <f aca="false">((Assumptions!$D$127*$C$8)*K69)</f>
        <v>0</v>
      </c>
      <c r="S76" s="14" t="n">
        <f aca="false">((Assumptions!$D$127*$C$8)*L69)</f>
        <v>0</v>
      </c>
      <c r="T76" s="14" t="n">
        <f aca="false">((Assumptions!$D$127*$C$8)*M69)</f>
        <v>0</v>
      </c>
      <c r="U76" s="14" t="n">
        <f aca="false">((Assumptions!$D$127*$C$8)*N69)</f>
        <v>0</v>
      </c>
      <c r="V76" s="14" t="n">
        <f aca="false">((Assumptions!$D$127*$C$8)*O69)</f>
        <v>0</v>
      </c>
      <c r="W76" s="14" t="n">
        <f aca="false">((Assumptions!$D$127*$C$8)*P69)</f>
        <v>0</v>
      </c>
      <c r="X76" s="14" t="n">
        <f aca="false">((Assumptions!$D$127*$C$8)*Q69)</f>
        <v>0</v>
      </c>
      <c r="Y76" s="14" t="n">
        <f aca="false">((Assumptions!$D$127*$C$8)*R69)</f>
        <v>0.45</v>
      </c>
      <c r="Z76" s="14" t="n">
        <f aca="false">((Assumptions!$D$127*$C$8)*S69)</f>
        <v>0</v>
      </c>
      <c r="AA76" s="14" t="n">
        <f aca="false">((Assumptions!$D$127*$C$8)*T69)</f>
        <v>0</v>
      </c>
      <c r="AB76" s="14" t="n">
        <f aca="false">((Assumptions!$D$127*$C$8)*U69)</f>
        <v>0.45</v>
      </c>
      <c r="AC76" s="14" t="n">
        <f aca="false">((Assumptions!$D$127*$C$8)*V69)</f>
        <v>0</v>
      </c>
      <c r="AD76" s="14" t="n">
        <f aca="false">((Assumptions!$D$127*$C$8)*W69)</f>
        <v>0</v>
      </c>
      <c r="AE76" s="14" t="n">
        <f aca="false">((Assumptions!$D$127*$C$8)*X69)</f>
        <v>0.45</v>
      </c>
      <c r="AF76" s="14" t="n">
        <f aca="false">((Assumptions!$D$127*$C$8)*Y69)</f>
        <v>0</v>
      </c>
      <c r="AG76" s="14" t="n">
        <f aca="false">((Assumptions!$D$127*$C$8)*Z69)</f>
        <v>0</v>
      </c>
      <c r="AH76" s="14" t="n">
        <f aca="false">((Assumptions!$D$127*$C$8)*AA69)</f>
        <v>0.45</v>
      </c>
      <c r="AI76" s="14" t="n">
        <f aca="false">((Assumptions!$D$127*$C$8)*AB69)</f>
        <v>0</v>
      </c>
      <c r="AJ76" s="14" t="n">
        <f aca="false">((Assumptions!$D$127*$C$8)*AC69)</f>
        <v>0</v>
      </c>
      <c r="AK76" s="14" t="n">
        <f aca="false">((Assumptions!$D$127*$C$8)*AD69)</f>
        <v>0.9</v>
      </c>
      <c r="AL76" s="14" t="n">
        <f aca="false">((Assumptions!$D$127*$C$8)*AE69)</f>
        <v>0</v>
      </c>
      <c r="AN76" s="36" t="n">
        <f aca="false">SUM(C76:N76)</f>
        <v>0</v>
      </c>
      <c r="AO76" s="36" t="n">
        <f aca="false">SUM(O76:Z76)</f>
        <v>0.45</v>
      </c>
      <c r="AP76" s="36" t="n">
        <f aca="false">SUM(AA76:AL76)</f>
        <v>2.25</v>
      </c>
    </row>
    <row r="77" customFormat="false" ht="15" hidden="false" customHeight="false" outlineLevel="0" collapsed="false">
      <c r="A77" s="0" t="s">
        <v>883</v>
      </c>
      <c r="B77" s="0" t="s">
        <v>852</v>
      </c>
      <c r="C77" s="14" t="n">
        <f aca="false">((Assumptions!$C$10*$C$8)*IF((C$18=(Assumptions!$C$7+$C$9)),0,IF((C$18&gt;(Assumptions!$C$7+$C$9)),0,0)))</f>
        <v>0</v>
      </c>
      <c r="D77" s="14" t="n">
        <f aca="false">((Assumptions!$C$10*$C$8)*IF((D$18=(Assumptions!$C$7+$C$9)),0,IF((D$18&gt;(Assumptions!$C$7+$C$9)),0,0)))</f>
        <v>0</v>
      </c>
      <c r="E77" s="14" t="n">
        <f aca="false">((Assumptions!$C$10*$C$8)*IF((E$18=(Assumptions!$C$7+$C$9)),0,IF((E$18&gt;(Assumptions!$C$7+$C$9)),0,0)))</f>
        <v>0</v>
      </c>
      <c r="F77" s="14" t="n">
        <f aca="false">((Assumptions!$C$10*$C$8)*IF((F$18=(Assumptions!$C$7+$C$9)),0,IF((F$18&gt;(Assumptions!$C$7+$C$9)),0,0)))</f>
        <v>0</v>
      </c>
      <c r="G77" s="14" t="n">
        <f aca="false">((Assumptions!$C$10*$C$8)*IF((G$18=(Assumptions!$C$7+$C$9)),0,IF((G$18&gt;(Assumptions!$C$7+$C$9)),0,0)))</f>
        <v>0</v>
      </c>
      <c r="H77" s="14" t="n">
        <f aca="false">((Assumptions!$C$10*$C$8)*IF((H$18=(Assumptions!$C$7+$C$9)),0,IF((H$18&gt;(Assumptions!$C$7+$C$9)),0,0)))</f>
        <v>0</v>
      </c>
      <c r="I77" s="14" t="n">
        <f aca="false">((Assumptions!$C$10*$C$8)*IF((I$18=(Assumptions!$C$7+$C$9)),0,IF((I$18&gt;(Assumptions!$C$7+$C$9)),0,0)))</f>
        <v>0</v>
      </c>
      <c r="J77" s="14" t="n">
        <f aca="false">((Assumptions!$C$10*$C$8)*IF((J$18=(Assumptions!$C$7+$C$9)),C70,IF((J$18&gt;(Assumptions!$C$7+$C$9)),C70,0)))</f>
        <v>0</v>
      </c>
      <c r="K77" s="14" t="n">
        <f aca="false">((Assumptions!$C$10*$C$8)*IF((K$18=(Assumptions!$C$7+$C$9)),SUM(C70:D70),IF((K$18&gt;(Assumptions!$C$7+$C$9)),D70,0)))</f>
        <v>0</v>
      </c>
      <c r="L77" s="14" t="n">
        <f aca="false">((Assumptions!$C$10*$C$8)*IF((L$18=(Assumptions!$C$7+$C$9)),SUM(C70:E70),IF((L$18&gt;(Assumptions!$C$7+$C$9)),E70,0)))</f>
        <v>0</v>
      </c>
      <c r="M77" s="14" t="n">
        <f aca="false">((Assumptions!$C$10*$C$8)*IF((M$18=(Assumptions!$C$7+$C$9)),SUM(C70:F70),IF((M$18&gt;(Assumptions!$C$7+$C$9)),F70,0)))</f>
        <v>0</v>
      </c>
      <c r="N77" s="14" t="n">
        <f aca="false">((Assumptions!$C$10*$C$8)*IF((N$18=(Assumptions!$C$7+$C$9)),SUM(C70:G70),IF((N$18&gt;(Assumptions!$C$7+$C$9)),G70,0)))</f>
        <v>0</v>
      </c>
      <c r="O77" s="14" t="n">
        <f aca="false">((Assumptions!$C$10*$C$8)*IF((O$18=(Assumptions!$C$7+$C$9)),SUM(C70:H70),IF((O$18&gt;(Assumptions!$C$7+$C$9)),H70,0)))</f>
        <v>0</v>
      </c>
      <c r="P77" s="14" t="n">
        <f aca="false">((Assumptions!$C$10*$C$8)*IF((P$18=(Assumptions!$C$7+$C$9)),SUM(C70:I70),IF((P$18&gt;(Assumptions!$C$7+$C$9)),I70,0)))</f>
        <v>0</v>
      </c>
      <c r="Q77" s="14" t="n">
        <f aca="false">((Assumptions!$C$10*$C$8)*IF((Q$18=(Assumptions!$C$7+$C$9)),SUM(C70:J70),IF((Q$18&gt;(Assumptions!$C$7+$C$9)),J70,0)))</f>
        <v>0.6</v>
      </c>
      <c r="R77" s="14" t="n">
        <f aca="false">((Assumptions!$C$10*$C$8)*IF((R$18=(Assumptions!$C$7+$C$9)),SUM(C70:K70),IF((R$18&gt;(Assumptions!$C$7+$C$9)),K70,0)))</f>
        <v>0</v>
      </c>
      <c r="S77" s="14" t="n">
        <f aca="false">((Assumptions!$C$10*$C$8)*IF((S$18=(Assumptions!$C$7+$C$9)),SUM(C70:L70),IF((S$18&gt;(Assumptions!$C$7+$C$9)),L70,0)))</f>
        <v>0</v>
      </c>
      <c r="T77" s="14" t="n">
        <f aca="false">((Assumptions!$C$10*$C$8)*IF((T$18=(Assumptions!$C$7+$C$9)),SUM(C70:M70),IF((T$18&gt;(Assumptions!$C$7+$C$9)),M70,0)))</f>
        <v>0</v>
      </c>
      <c r="U77" s="14" t="n">
        <f aca="false">((Assumptions!$C$10*$C$8)*IF((U$18=(Assumptions!$C$7+$C$9)),SUM(C70:N70),IF((U$18&gt;(Assumptions!$C$7+$C$9)),N70,0)))</f>
        <v>0</v>
      </c>
      <c r="V77" s="14" t="n">
        <f aca="false">((Assumptions!$C$10*$C$8)*IF((V$18=(Assumptions!$C$7+$C$9)),SUM(C70:O70),IF((V$18&gt;(Assumptions!$C$7+$C$9)),O70,0)))</f>
        <v>0</v>
      </c>
      <c r="W77" s="14" t="n">
        <f aca="false">((Assumptions!$C$10*$C$8)*IF((W$18=(Assumptions!$C$7+$C$9)),SUM(C70:P70),IF((W$18&gt;(Assumptions!$C$7+$C$9)),P70,0)))</f>
        <v>0</v>
      </c>
      <c r="X77" s="14" t="n">
        <f aca="false">((Assumptions!$C$10*$C$8)*IF((X$18=(Assumptions!$C$7+$C$9)),SUM(C70:Q70),IF((X$18&gt;(Assumptions!$C$7+$C$9)),Q70,0)))</f>
        <v>0</v>
      </c>
      <c r="Y77" s="14" t="n">
        <f aca="false">((Assumptions!$C$10*$C$8)*IF((Y$18=(Assumptions!$C$7+$C$9)),SUM(C70:R70),IF((Y$18&gt;(Assumptions!$C$7+$C$9)),R70,0)))</f>
        <v>0</v>
      </c>
      <c r="Z77" s="14" t="n">
        <f aca="false">((Assumptions!$C$10*$C$8)*IF((Z$18=(Assumptions!$C$7+$C$9)),SUM(C70:S70),IF((Z$18&gt;(Assumptions!$C$7+$C$9)),S70,0)))</f>
        <v>0</v>
      </c>
      <c r="AA77" s="14" t="n">
        <f aca="false">((Assumptions!$C$10*$C$8)*IF((AA$18=(Assumptions!$C$7+$C$9)),SUM(C70:T70),IF((AA$18&gt;(Assumptions!$C$7+$C$9)),T70,0)))</f>
        <v>0</v>
      </c>
      <c r="AB77" s="14" t="n">
        <f aca="false">((Assumptions!$C$10*$C$8)*IF((AB$18=(Assumptions!$C$7+$C$9)),SUM(C70:U70),IF((AB$18&gt;(Assumptions!$C$7+$C$9)),U70,0)))</f>
        <v>0</v>
      </c>
      <c r="AC77" s="14" t="n">
        <f aca="false">((Assumptions!$C$10*$C$8)*IF((AC$18=(Assumptions!$C$7+$C$9)),SUM(C70:V70),IF((AC$18&gt;(Assumptions!$C$7+$C$9)),V70,0)))</f>
        <v>0</v>
      </c>
      <c r="AD77" s="14" t="n">
        <f aca="false">((Assumptions!$C$10*$C$8)*IF((AD$18=(Assumptions!$C$7+$C$9)),SUM(C70:W70),IF((AD$18&gt;(Assumptions!$C$7+$C$9)),W70,0)))</f>
        <v>0</v>
      </c>
      <c r="AE77" s="14" t="n">
        <f aca="false">((Assumptions!$C$10*$C$8)*IF((AE$18=(Assumptions!$C$7+$C$9)),SUM(C70:X70),IF((AE$18&gt;(Assumptions!$C$7+$C$9)),X70,0)))</f>
        <v>0</v>
      </c>
      <c r="AF77" s="14" t="n">
        <f aca="false">((Assumptions!$C$10*$C$8)*IF((AF$18=(Assumptions!$C$7+$C$9)),SUM(C70:Y70),IF((AF$18&gt;(Assumptions!$C$7+$C$9)),Y70,0)))</f>
        <v>0</v>
      </c>
      <c r="AG77" s="14" t="n">
        <f aca="false">((Assumptions!$C$10*$C$8)*IF((AG$18=(Assumptions!$C$7+$C$9)),SUM(C70:Z70),IF((AG$18&gt;(Assumptions!$C$7+$C$9)),Z70,0)))</f>
        <v>0</v>
      </c>
      <c r="AH77" s="14" t="n">
        <f aca="false">((Assumptions!$C$10*$C$8)*IF((AH$18=(Assumptions!$C$7+$C$9)),SUM(C70:AA70),IF((AH$18&gt;(Assumptions!$C$7+$C$9)),AA70,0)))</f>
        <v>0</v>
      </c>
      <c r="AI77" s="14" t="n">
        <f aca="false">((Assumptions!$C$10*$C$8)*IF((AI$18=(Assumptions!$C$7+$C$9)),SUM(C70:AB70),IF((AI$18&gt;(Assumptions!$C$7+$C$9)),AB70,0)))</f>
        <v>0</v>
      </c>
      <c r="AJ77" s="14" t="n">
        <f aca="false">((Assumptions!$C$10*$C$8)*IF((AJ$18=(Assumptions!$C$7+$C$9)),SUM(C70:AC70),IF((AJ$18&gt;(Assumptions!$C$7+$C$9)),AC70,0)))</f>
        <v>0</v>
      </c>
      <c r="AK77" s="14" t="n">
        <f aca="false">((Assumptions!$C$10*$C$8)*IF((AK$18=(Assumptions!$C$7+$C$9)),SUM(C70:AD70),IF((AK$18&gt;(Assumptions!$C$7+$C$9)),AD70,0)))</f>
        <v>0</v>
      </c>
      <c r="AL77" s="14" t="n">
        <f aca="false">((Assumptions!$C$10*$C$8)*IF((AL$18=(Assumptions!$C$7+$C$9)),SUM(C70:AE70),IF((AL$18&gt;(Assumptions!$C$7+$C$9)),AE70,0)))</f>
        <v>0</v>
      </c>
      <c r="AN77" s="36" t="n">
        <f aca="false">SUM(C77:N77)</f>
        <v>0</v>
      </c>
      <c r="AO77" s="36" t="n">
        <f aca="false">SUM(O77:Z77)</f>
        <v>0.6</v>
      </c>
      <c r="AP77" s="36" t="n">
        <f aca="false">SUM(AA77:AL77)</f>
        <v>0</v>
      </c>
    </row>
    <row r="78" customFormat="false" ht="15" hidden="false" customHeight="false" outlineLevel="0" collapsed="false">
      <c r="A78" s="0" t="s">
        <v>884</v>
      </c>
      <c r="B78" s="0" t="s">
        <v>852</v>
      </c>
      <c r="C78" s="14" t="n">
        <f aca="false">((C76+C77)+C72)</f>
        <v>0</v>
      </c>
      <c r="D78" s="14" t="n">
        <f aca="false">((D76+D77)+D72)</f>
        <v>0</v>
      </c>
      <c r="E78" s="14" t="n">
        <f aca="false">((E76+E77)+E72)</f>
        <v>0</v>
      </c>
      <c r="F78" s="14" t="n">
        <f aca="false">((F76+F77)+F72)</f>
        <v>0</v>
      </c>
      <c r="G78" s="14" t="n">
        <f aca="false">((G76+G77)+G72)</f>
        <v>0</v>
      </c>
      <c r="H78" s="14" t="n">
        <f aca="false">((H76+H77)+H72)</f>
        <v>0</v>
      </c>
      <c r="I78" s="14" t="n">
        <f aca="false">((I76+I77)+I72)</f>
        <v>0</v>
      </c>
      <c r="J78" s="14" t="n">
        <f aca="false">((J76+J77)+J72)</f>
        <v>0</v>
      </c>
      <c r="K78" s="14" t="n">
        <f aca="false">((K76+K77)+K72)</f>
        <v>0</v>
      </c>
      <c r="L78" s="14" t="n">
        <f aca="false">((L76+L77)+L72)</f>
        <v>0</v>
      </c>
      <c r="M78" s="14" t="n">
        <f aca="false">((M76+M77)+M72)</f>
        <v>0</v>
      </c>
      <c r="N78" s="14" t="n">
        <f aca="false">((N76+N77)+N72)</f>
        <v>0</v>
      </c>
      <c r="O78" s="14" t="n">
        <f aca="false">((O76+O77)+O72)</f>
        <v>0</v>
      </c>
      <c r="P78" s="14" t="n">
        <f aca="false">((P76+P77)+P72)</f>
        <v>0</v>
      </c>
      <c r="Q78" s="14" t="n">
        <f aca="false">((Q76+Q77)+Q72)</f>
        <v>0.6</v>
      </c>
      <c r="R78" s="14" t="n">
        <f aca="false">((R76+R77)+R72)</f>
        <v>0</v>
      </c>
      <c r="S78" s="14" t="n">
        <f aca="false">((S76+S77)+S72)</f>
        <v>0</v>
      </c>
      <c r="T78" s="14" t="n">
        <f aca="false">((T76+T77)+T72)</f>
        <v>0</v>
      </c>
      <c r="U78" s="14" t="n">
        <f aca="false">((U76+U77)+U72)</f>
        <v>0</v>
      </c>
      <c r="V78" s="14" t="n">
        <f aca="false">((V76+V77)+V72)</f>
        <v>0</v>
      </c>
      <c r="W78" s="14" t="n">
        <f aca="false">((W76+W77)+W72)</f>
        <v>0</v>
      </c>
      <c r="X78" s="14" t="n">
        <f aca="false">((X76+X77)+X72)</f>
        <v>0</v>
      </c>
      <c r="Y78" s="14" t="n">
        <f aca="false">((Y76+Y77)+Y72)</f>
        <v>0.45</v>
      </c>
      <c r="Z78" s="14" t="n">
        <f aca="false">((Z76+Z77)+Z72)</f>
        <v>0</v>
      </c>
      <c r="AA78" s="14" t="n">
        <f aca="false">((AA76+AA77)+AA72)</f>
        <v>0</v>
      </c>
      <c r="AB78" s="14" t="n">
        <f aca="false">((AB76+AB77)+AB72)</f>
        <v>1.45</v>
      </c>
      <c r="AC78" s="14" t="n">
        <f aca="false">((AC76+AC77)+AC72)</f>
        <v>0</v>
      </c>
      <c r="AD78" s="14" t="n">
        <f aca="false">((AD76+AD77)+AD72)</f>
        <v>0</v>
      </c>
      <c r="AE78" s="14" t="n">
        <f aca="false">((AE76+AE77)+AE72)</f>
        <v>1.45</v>
      </c>
      <c r="AF78" s="14" t="n">
        <f aca="false">((AF76+AF77)+AF72)</f>
        <v>0</v>
      </c>
      <c r="AG78" s="14" t="n">
        <f aca="false">((AG76+AG77)+AG72)</f>
        <v>0</v>
      </c>
      <c r="AH78" s="14" t="n">
        <f aca="false">((AH76+AH77)+AH72)</f>
        <v>1.45</v>
      </c>
      <c r="AI78" s="14" t="n">
        <f aca="false">((AI76+AI77)+AI72)</f>
        <v>0</v>
      </c>
      <c r="AJ78" s="14" t="n">
        <f aca="false">((AJ76+AJ77)+AJ72)</f>
        <v>0</v>
      </c>
      <c r="AK78" s="14" t="n">
        <f aca="false">((AK76+AK77)+AK72)</f>
        <v>2.9</v>
      </c>
      <c r="AL78" s="14" t="n">
        <f aca="false">((AL76+AL77)+AL72)</f>
        <v>0</v>
      </c>
      <c r="AN78" s="36" t="n">
        <f aca="false">SUM(C78:N78)</f>
        <v>0</v>
      </c>
      <c r="AO78" s="36" t="n">
        <f aca="false">SUM(O78:Z78)</f>
        <v>1.05</v>
      </c>
      <c r="AP78" s="36" t="n">
        <f aca="false">SUM(AA78:AL78)</f>
        <v>7.25</v>
      </c>
    </row>
    <row r="79" customFormat="false" ht="15" hidden="false" customHeight="false" outlineLevel="0" collapsed="false">
      <c r="A79" s="0" t="s">
        <v>885</v>
      </c>
      <c r="B79" s="0" t="s">
        <v>852</v>
      </c>
      <c r="C79" s="14" t="n">
        <f aca="false">(C78+(C45*0))</f>
        <v>0</v>
      </c>
      <c r="D79" s="14" t="n">
        <f aca="false">(D78+(D45*0))</f>
        <v>0</v>
      </c>
      <c r="E79" s="14" t="n">
        <f aca="false">(E78+(E45*0))</f>
        <v>0</v>
      </c>
      <c r="F79" s="14" t="n">
        <f aca="false">(F78+(F45*0))</f>
        <v>0</v>
      </c>
      <c r="G79" s="14" t="n">
        <f aca="false">(G78+(G45*0))</f>
        <v>0</v>
      </c>
      <c r="H79" s="14" t="n">
        <f aca="false">(H78+(H45*0))</f>
        <v>0</v>
      </c>
      <c r="I79" s="14" t="n">
        <f aca="false">(I78+(I45*0))</f>
        <v>0</v>
      </c>
      <c r="J79" s="14" t="n">
        <f aca="false">(J78+(J45*0))</f>
        <v>0</v>
      </c>
      <c r="K79" s="14" t="n">
        <f aca="false">(K78+(K45*0))</f>
        <v>0</v>
      </c>
      <c r="L79" s="14" t="n">
        <f aca="false">(L78+(L45*0))</f>
        <v>0</v>
      </c>
      <c r="M79" s="14" t="n">
        <f aca="false">(M78+(M45*0))</f>
        <v>0</v>
      </c>
      <c r="N79" s="14" t="n">
        <f aca="false">(N78+(N45*0))</f>
        <v>0</v>
      </c>
      <c r="O79" s="14" t="n">
        <f aca="false">(O78+(O45*C79))</f>
        <v>0</v>
      </c>
      <c r="P79" s="14" t="n">
        <f aca="false">(P78+(P45*D79))</f>
        <v>0</v>
      </c>
      <c r="Q79" s="14" t="n">
        <f aca="false">(Q78+(Q45*E79))</f>
        <v>0.6</v>
      </c>
      <c r="R79" s="14" t="n">
        <f aca="false">(R78+(R45*F79))</f>
        <v>0</v>
      </c>
      <c r="S79" s="14" t="n">
        <f aca="false">(S78+(S45*G79))</f>
        <v>0</v>
      </c>
      <c r="T79" s="14" t="n">
        <f aca="false">(T78+(T45*H79))</f>
        <v>0</v>
      </c>
      <c r="U79" s="14" t="n">
        <f aca="false">(U78+(U45*I79))</f>
        <v>0</v>
      </c>
      <c r="V79" s="14" t="n">
        <f aca="false">(V78+(V45*J79))</f>
        <v>0</v>
      </c>
      <c r="W79" s="14" t="n">
        <f aca="false">(W78+(W45*K79))</f>
        <v>0</v>
      </c>
      <c r="X79" s="14" t="n">
        <f aca="false">(X78+(X45*L79))</f>
        <v>0</v>
      </c>
      <c r="Y79" s="14" t="n">
        <f aca="false">(Y78+(Y45*M79))</f>
        <v>0.45</v>
      </c>
      <c r="Z79" s="14" t="n">
        <f aca="false">(Z78+(Z45*N79))</f>
        <v>0</v>
      </c>
      <c r="AA79" s="14" t="n">
        <f aca="false">(AA78+(AA45*O79))</f>
        <v>0</v>
      </c>
      <c r="AB79" s="14" t="n">
        <f aca="false">(AB78+(AB45*P79))</f>
        <v>1.45</v>
      </c>
      <c r="AC79" s="14" t="n">
        <f aca="false">(AC78+(AC45*Q79))</f>
        <v>0.528</v>
      </c>
      <c r="AD79" s="14" t="n">
        <f aca="false">(AD78+(AD45*R79))</f>
        <v>0</v>
      </c>
      <c r="AE79" s="14" t="n">
        <f aca="false">(AE78+(AE45*S79))</f>
        <v>1.45</v>
      </c>
      <c r="AF79" s="14" t="n">
        <f aca="false">(AF78+(AF45*T79))</f>
        <v>0</v>
      </c>
      <c r="AG79" s="14" t="n">
        <f aca="false">(AG78+(AG45*U79))</f>
        <v>0</v>
      </c>
      <c r="AH79" s="14" t="n">
        <f aca="false">(AH78+(AH45*V79))</f>
        <v>1.45</v>
      </c>
      <c r="AI79" s="14" t="n">
        <f aca="false">(AI78+(AI45*W79))</f>
        <v>0</v>
      </c>
      <c r="AJ79" s="14" t="n">
        <f aca="false">(AJ78+(AJ45*X79))</f>
        <v>0</v>
      </c>
      <c r="AK79" s="14" t="n">
        <f aca="false">(AK78+(AK45*Y79))</f>
        <v>3.296</v>
      </c>
      <c r="AL79" s="14" t="n">
        <f aca="false">(AL78+(AL45*Z79))</f>
        <v>0</v>
      </c>
      <c r="AN79" s="36" t="n">
        <f aca="false">SUM(C79:N79)</f>
        <v>0</v>
      </c>
      <c r="AO79" s="36" t="n">
        <f aca="false">SUM(O79:Z79)</f>
        <v>1.05</v>
      </c>
      <c r="AP79" s="36" t="n">
        <f aca="false">SUM(AA79:AL79)</f>
        <v>8.174</v>
      </c>
    </row>
    <row r="80" customFormat="false" ht="15" hidden="false" customHeight="false" outlineLevel="0" collapsed="false">
      <c r="A80" s="0" t="s">
        <v>886</v>
      </c>
      <c r="B80" s="0" t="s">
        <v>852</v>
      </c>
      <c r="C80" s="14" t="n">
        <f aca="false">C79</f>
        <v>0</v>
      </c>
      <c r="D80" s="14" t="n">
        <f aca="false">SUM(C79:D79)</f>
        <v>0</v>
      </c>
      <c r="E80" s="14" t="n">
        <f aca="false">SUM(C79:E79)</f>
        <v>0</v>
      </c>
      <c r="F80" s="14" t="n">
        <f aca="false">SUM(C79:F79)</f>
        <v>0</v>
      </c>
      <c r="G80" s="14" t="n">
        <f aca="false">SUM(C79:G79)</f>
        <v>0</v>
      </c>
      <c r="H80" s="14" t="n">
        <f aca="false">SUM(C79:H79)</f>
        <v>0</v>
      </c>
      <c r="I80" s="14" t="n">
        <f aca="false">SUM(C79:I79)</f>
        <v>0</v>
      </c>
      <c r="J80" s="14" t="n">
        <f aca="false">SUM(C79:J79)</f>
        <v>0</v>
      </c>
      <c r="K80" s="14" t="n">
        <f aca="false">SUM(C79:K79)</f>
        <v>0</v>
      </c>
      <c r="L80" s="14" t="n">
        <f aca="false">SUM(C79:L79)</f>
        <v>0</v>
      </c>
      <c r="M80" s="14" t="n">
        <f aca="false">SUM(C79:M79)</f>
        <v>0</v>
      </c>
      <c r="N80" s="14" t="n">
        <f aca="false">SUM(C79:N79)</f>
        <v>0</v>
      </c>
      <c r="O80" s="14" t="n">
        <f aca="false">SUM(D79:O79)</f>
        <v>0</v>
      </c>
      <c r="P80" s="14" t="n">
        <f aca="false">SUM(E79:P79)</f>
        <v>0</v>
      </c>
      <c r="Q80" s="14" t="n">
        <f aca="false">SUM(F79:Q79)</f>
        <v>0.6</v>
      </c>
      <c r="R80" s="14" t="n">
        <f aca="false">SUM(G79:R79)</f>
        <v>0.6</v>
      </c>
      <c r="S80" s="14" t="n">
        <f aca="false">SUM(H79:S79)</f>
        <v>0.6</v>
      </c>
      <c r="T80" s="14" t="n">
        <f aca="false">SUM(I79:T79)</f>
        <v>0.6</v>
      </c>
      <c r="U80" s="14" t="n">
        <f aca="false">SUM(J79:U79)</f>
        <v>0.6</v>
      </c>
      <c r="V80" s="14" t="n">
        <f aca="false">SUM(K79:V79)</f>
        <v>0.6</v>
      </c>
      <c r="W80" s="14" t="n">
        <f aca="false">SUM(L79:W79)</f>
        <v>0.6</v>
      </c>
      <c r="X80" s="14" t="n">
        <f aca="false">SUM(M79:X79)</f>
        <v>0.6</v>
      </c>
      <c r="Y80" s="14" t="n">
        <f aca="false">SUM(N79:Y79)</f>
        <v>1.05</v>
      </c>
      <c r="Z80" s="14" t="n">
        <f aca="false">SUM(O79:Z79)</f>
        <v>1.05</v>
      </c>
      <c r="AA80" s="14" t="n">
        <f aca="false">SUM(P79:AA79)</f>
        <v>1.05</v>
      </c>
      <c r="AB80" s="14" t="n">
        <f aca="false">SUM(Q79:AB79)</f>
        <v>2.5</v>
      </c>
      <c r="AC80" s="14" t="n">
        <f aca="false">SUM(R79:AC79)</f>
        <v>2.428</v>
      </c>
      <c r="AD80" s="14" t="n">
        <f aca="false">SUM(S79:AD79)</f>
        <v>2.428</v>
      </c>
      <c r="AE80" s="14" t="n">
        <f aca="false">SUM(T79:AE79)</f>
        <v>3.878</v>
      </c>
      <c r="AF80" s="14" t="n">
        <f aca="false">SUM(U79:AF79)</f>
        <v>3.878</v>
      </c>
      <c r="AG80" s="14" t="n">
        <f aca="false">SUM(V79:AG79)</f>
        <v>3.878</v>
      </c>
      <c r="AH80" s="14" t="n">
        <f aca="false">SUM(W79:AH79)</f>
        <v>5.328</v>
      </c>
      <c r="AI80" s="14" t="n">
        <f aca="false">SUM(X79:AI79)</f>
        <v>5.328</v>
      </c>
      <c r="AJ80" s="14" t="n">
        <f aca="false">SUM(Y79:AJ79)</f>
        <v>5.328</v>
      </c>
      <c r="AK80" s="14" t="n">
        <f aca="false">SUM(Z79:AK79)</f>
        <v>8.174</v>
      </c>
      <c r="AL80" s="14" t="n">
        <f aca="false">SUM(AA79:AL79)</f>
        <v>8.174</v>
      </c>
      <c r="AN80" s="36" t="n">
        <f aca="false">N80</f>
        <v>0</v>
      </c>
      <c r="AO80" s="36" t="n">
        <f aca="false">Z80</f>
        <v>1.05</v>
      </c>
      <c r="AP80" s="36" t="n">
        <f aca="false">AL80</f>
        <v>8.174</v>
      </c>
    </row>
    <row r="81" customFormat="false" ht="15" hidden="false" customHeight="false" outlineLevel="0" collapsed="false">
      <c r="A81" s="0" t="s">
        <v>887</v>
      </c>
      <c r="B81" s="0" t="s">
        <v>230</v>
      </c>
      <c r="C81" s="9" t="n">
        <f aca="false">((Assumptions!$D$121*(1-Assumptions!$C$29))*$C$10)</f>
        <v>74800</v>
      </c>
      <c r="D81" s="9" t="n">
        <f aca="false">((Assumptions!$D$121*(1-Assumptions!$C$29))*$C$10)</f>
        <v>74800</v>
      </c>
      <c r="E81" s="9" t="n">
        <f aca="false">((Assumptions!$D$121*(1-Assumptions!$C$29))*$C$10)</f>
        <v>74800</v>
      </c>
      <c r="F81" s="9" t="n">
        <f aca="false">((Assumptions!$D$121*(1-Assumptions!$C$29))*$C$10)</f>
        <v>74800</v>
      </c>
      <c r="G81" s="9" t="n">
        <f aca="false">((Assumptions!$D$121*(1-Assumptions!$C$29))*$C$10)</f>
        <v>74800</v>
      </c>
      <c r="H81" s="9" t="n">
        <f aca="false">((Assumptions!$D$121*(1-Assumptions!$C$29))*$C$10)</f>
        <v>74800</v>
      </c>
      <c r="I81" s="9" t="n">
        <f aca="false">((Assumptions!$D$121*(1-Assumptions!$C$29))*$C$10)</f>
        <v>74800</v>
      </c>
      <c r="J81" s="9" t="n">
        <f aca="false">((Assumptions!$D$121*(1-Assumptions!$C$29))*$C$10)</f>
        <v>74800</v>
      </c>
      <c r="K81" s="9" t="n">
        <f aca="false">((Assumptions!$D$121*(1-Assumptions!$C$29))*$C$10)</f>
        <v>74800</v>
      </c>
      <c r="L81" s="9" t="n">
        <f aca="false">((Assumptions!$D$121*(1-Assumptions!$C$29))*$C$10)</f>
        <v>74800</v>
      </c>
      <c r="M81" s="9" t="n">
        <f aca="false">((Assumptions!$D$121*(1-Assumptions!$C$29))*$C$10)</f>
        <v>74800</v>
      </c>
      <c r="N81" s="9" t="n">
        <f aca="false">((Assumptions!$D$121*(1-Assumptions!$C$29))*$C$10)</f>
        <v>74800</v>
      </c>
      <c r="O81" s="9" t="n">
        <f aca="false">((Assumptions!$D$121*(1-Assumptions!$C$29))*$C$10)</f>
        <v>74800</v>
      </c>
      <c r="P81" s="9" t="n">
        <f aca="false">((Assumptions!$D$121*(1-Assumptions!$C$29))*$C$10)</f>
        <v>74800</v>
      </c>
      <c r="Q81" s="9" t="n">
        <f aca="false">((Assumptions!$D$121*(1-Assumptions!$C$29))*$C$10)</f>
        <v>74800</v>
      </c>
      <c r="R81" s="9" t="n">
        <f aca="false">((Assumptions!$D$121*(1-Assumptions!$C$29))*$C$10)</f>
        <v>74800</v>
      </c>
      <c r="S81" s="9" t="n">
        <f aca="false">((Assumptions!$D$121*(1-Assumptions!$C$29))*$C$10)</f>
        <v>74800</v>
      </c>
      <c r="T81" s="9" t="n">
        <f aca="false">((Assumptions!$D$121*(1-Assumptions!$C$29))*$C$10)</f>
        <v>74800</v>
      </c>
      <c r="U81" s="9" t="n">
        <f aca="false">((Assumptions!$D$121*(1-Assumptions!$C$29))*$C$10)</f>
        <v>74800</v>
      </c>
      <c r="V81" s="9" t="n">
        <f aca="false">((Assumptions!$D$121*(1-Assumptions!$C$29))*$C$10)</f>
        <v>74800</v>
      </c>
      <c r="W81" s="9" t="n">
        <f aca="false">((Assumptions!$D$121*(1-Assumptions!$C$29))*$C$10)</f>
        <v>74800</v>
      </c>
      <c r="X81" s="9" t="n">
        <f aca="false">((Assumptions!$D$121*(1-Assumptions!$C$29))*$C$10)</f>
        <v>74800</v>
      </c>
      <c r="Y81" s="9" t="n">
        <f aca="false">((Assumptions!$D$121*(1-Assumptions!$C$29))*$C$10)</f>
        <v>74800</v>
      </c>
      <c r="Z81" s="9" t="n">
        <f aca="false">((Assumptions!$D$121*(1-Assumptions!$C$29))*$C$10)</f>
        <v>74800</v>
      </c>
      <c r="AA81" s="9" t="n">
        <f aca="false">((Assumptions!$D$121*(1-Assumptions!$C$29))*$C$10)</f>
        <v>74800</v>
      </c>
      <c r="AB81" s="9" t="n">
        <f aca="false">((Assumptions!$D$121*(1-Assumptions!$C$29))*$C$10)</f>
        <v>74800</v>
      </c>
      <c r="AC81" s="9" t="n">
        <f aca="false">((Assumptions!$D$121*(1-Assumptions!$C$29))*$C$10)</f>
        <v>74800</v>
      </c>
      <c r="AD81" s="9" t="n">
        <f aca="false">((Assumptions!$D$121*(1-Assumptions!$C$29))*$C$10)</f>
        <v>74800</v>
      </c>
      <c r="AE81" s="9" t="n">
        <f aca="false">((Assumptions!$D$121*(1-Assumptions!$C$29))*$C$10)</f>
        <v>74800</v>
      </c>
      <c r="AF81" s="9" t="n">
        <f aca="false">((Assumptions!$D$121*(1-Assumptions!$C$29))*$C$10)</f>
        <v>74800</v>
      </c>
      <c r="AG81" s="9" t="n">
        <f aca="false">((Assumptions!$D$121*(1-Assumptions!$C$29))*$C$10)</f>
        <v>74800</v>
      </c>
      <c r="AH81" s="9" t="n">
        <f aca="false">((Assumptions!$D$121*(1-Assumptions!$C$29))*$C$10)</f>
        <v>74800</v>
      </c>
      <c r="AI81" s="9" t="n">
        <f aca="false">((Assumptions!$D$121*(1-Assumptions!$C$29))*$C$10)</f>
        <v>74800</v>
      </c>
      <c r="AJ81" s="9" t="n">
        <f aca="false">((Assumptions!$D$121*(1-Assumptions!$C$29))*$C$10)</f>
        <v>74800</v>
      </c>
      <c r="AK81" s="9" t="n">
        <f aca="false">((Assumptions!$D$121*(1-Assumptions!$C$29))*$C$10)</f>
        <v>74800</v>
      </c>
      <c r="AL81" s="9" t="n">
        <f aca="false">((Assumptions!$D$121*(1-Assumptions!$C$29))*$C$10)</f>
        <v>74800</v>
      </c>
    </row>
    <row r="82" customFormat="false" ht="15" hidden="false" customHeight="false" outlineLevel="0" collapsed="false">
      <c r="A82" s="0" t="s">
        <v>888</v>
      </c>
      <c r="B82" s="0" t="s">
        <v>230</v>
      </c>
      <c r="C82" s="9" t="n">
        <f aca="false">((C78*C81)+((C45*(1+Assumptions!$C$31))*0))</f>
        <v>0</v>
      </c>
      <c r="D82" s="9" t="n">
        <f aca="false">((D78*D81)+((D45*(1+Assumptions!$C$31))*0))</f>
        <v>0</v>
      </c>
      <c r="E82" s="9" t="n">
        <f aca="false">((E78*E81)+((E45*(1+Assumptions!$C$31))*0))</f>
        <v>0</v>
      </c>
      <c r="F82" s="9" t="n">
        <f aca="false">((F78*F81)+((F45*(1+Assumptions!$C$31))*0))</f>
        <v>0</v>
      </c>
      <c r="G82" s="9" t="n">
        <f aca="false">((G78*G81)+((G45*(1+Assumptions!$C$31))*0))</f>
        <v>0</v>
      </c>
      <c r="H82" s="9" t="n">
        <f aca="false">((H78*H81)+((H45*(1+Assumptions!$C$31))*0))</f>
        <v>0</v>
      </c>
      <c r="I82" s="9" t="n">
        <f aca="false">((I78*I81)+((I45*(1+Assumptions!$C$31))*0))</f>
        <v>0</v>
      </c>
      <c r="J82" s="9" t="n">
        <f aca="false">((J78*J81)+((J45*(1+Assumptions!$C$31))*0))</f>
        <v>0</v>
      </c>
      <c r="K82" s="9" t="n">
        <f aca="false">((K78*K81)+((K45*(1+Assumptions!$C$31))*0))</f>
        <v>0</v>
      </c>
      <c r="L82" s="9" t="n">
        <f aca="false">((L78*L81)+((L45*(1+Assumptions!$C$31))*0))</f>
        <v>0</v>
      </c>
      <c r="M82" s="9" t="n">
        <f aca="false">((M78*M81)+((M45*(1+Assumptions!$C$31))*0))</f>
        <v>0</v>
      </c>
      <c r="N82" s="9" t="n">
        <f aca="false">((N78*N81)+((N45*(1+Assumptions!$C$31))*0))</f>
        <v>0</v>
      </c>
      <c r="O82" s="9" t="n">
        <f aca="false">((O78*O81)+((O45*(1+Assumptions!$C$31))*C82))</f>
        <v>0</v>
      </c>
      <c r="P82" s="9" t="n">
        <f aca="false">((P78*P81)+((P45*(1+Assumptions!$C$31))*D82))</f>
        <v>0</v>
      </c>
      <c r="Q82" s="9" t="n">
        <f aca="false">((Q78*Q81)+((Q45*(1+Assumptions!$C$31))*E82))</f>
        <v>44880</v>
      </c>
      <c r="R82" s="9" t="n">
        <f aca="false">((R78*R81)+((R45*(1+Assumptions!$C$31))*F82))</f>
        <v>0</v>
      </c>
      <c r="S82" s="9" t="n">
        <f aca="false">((S78*S81)+((S45*(1+Assumptions!$C$31))*G82))</f>
        <v>0</v>
      </c>
      <c r="T82" s="9" t="n">
        <f aca="false">((T78*T81)+((T45*(1+Assumptions!$C$31))*H82))</f>
        <v>0</v>
      </c>
      <c r="U82" s="9" t="n">
        <f aca="false">((U78*U81)+((U45*(1+Assumptions!$C$31))*I82))</f>
        <v>0</v>
      </c>
      <c r="V82" s="9" t="n">
        <f aca="false">((V78*V81)+((V45*(1+Assumptions!$C$31))*J82))</f>
        <v>0</v>
      </c>
      <c r="W82" s="9" t="n">
        <f aca="false">((W78*W81)+((W45*(1+Assumptions!$C$31))*K82))</f>
        <v>0</v>
      </c>
      <c r="X82" s="9" t="n">
        <f aca="false">((X78*X81)+((X45*(1+Assumptions!$C$31))*L82))</f>
        <v>0</v>
      </c>
      <c r="Y82" s="9" t="n">
        <f aca="false">((Y78*Y81)+((Y45*(1+Assumptions!$C$31))*M82))</f>
        <v>33660</v>
      </c>
      <c r="Z82" s="9" t="n">
        <f aca="false">((Z78*Z81)+((Z45*(1+Assumptions!$C$31))*N82))</f>
        <v>0</v>
      </c>
      <c r="AA82" s="9" t="n">
        <f aca="false">((AA78*AA81)+((AA45*(1+Assumptions!$C$31))*O82))</f>
        <v>0</v>
      </c>
      <c r="AB82" s="9" t="n">
        <f aca="false">((AB78*AB81)+((AB45*(1+Assumptions!$C$31))*P82))</f>
        <v>108460</v>
      </c>
      <c r="AC82" s="9" t="n">
        <f aca="false">((AC78*AC81)+((AC45*(1+Assumptions!$C$31))*Q82))</f>
        <v>43443.84</v>
      </c>
      <c r="AD82" s="9" t="n">
        <f aca="false">((AD78*AD81)+((AD45*(1+Assumptions!$C$31))*R82))</f>
        <v>0</v>
      </c>
      <c r="AE82" s="9" t="n">
        <f aca="false">((AE78*AE81)+((AE45*(1+Assumptions!$C$31))*S82))</f>
        <v>108460</v>
      </c>
      <c r="AF82" s="9" t="n">
        <f aca="false">((AF78*AF81)+((AF45*(1+Assumptions!$C$31))*T82))</f>
        <v>0</v>
      </c>
      <c r="AG82" s="9" t="n">
        <f aca="false">((AG78*AG81)+((AG45*(1+Assumptions!$C$31))*U82))</f>
        <v>0</v>
      </c>
      <c r="AH82" s="9" t="n">
        <f aca="false">((AH78*AH81)+((AH45*(1+Assumptions!$C$31))*V82))</f>
        <v>108460</v>
      </c>
      <c r="AI82" s="9" t="n">
        <f aca="false">((AI78*AI81)+((AI45*(1+Assumptions!$C$31))*W82))</f>
        <v>0</v>
      </c>
      <c r="AJ82" s="9" t="n">
        <f aca="false">((AJ78*AJ81)+((AJ45*(1+Assumptions!$C$31))*X82))</f>
        <v>0</v>
      </c>
      <c r="AK82" s="9" t="n">
        <f aca="false">((AK78*AK81)+((AK45*(1+Assumptions!$C$31))*Y82))</f>
        <v>249502.88</v>
      </c>
      <c r="AL82" s="9" t="n">
        <f aca="false">((AL78*AL81)+((AL45*(1+Assumptions!$C$31))*Z82))</f>
        <v>0</v>
      </c>
      <c r="AN82" s="11" t="n">
        <f aca="false">SUM(C82:N82)</f>
        <v>0</v>
      </c>
      <c r="AO82" s="11" t="n">
        <f aca="false">SUM(O82:Z82)</f>
        <v>78540</v>
      </c>
      <c r="AP82" s="11" t="n">
        <f aca="false">SUM(AA82:AL82)</f>
        <v>618326.72</v>
      </c>
    </row>
    <row r="83" customFormat="false" ht="15" hidden="false" customHeight="false" outlineLevel="0" collapsed="false">
      <c r="A83" s="0" t="s">
        <v>889</v>
      </c>
      <c r="B83" s="0" t="s">
        <v>230</v>
      </c>
      <c r="C83" s="9" t="n">
        <f aca="false">(Assumptions!$D$126*C76)</f>
        <v>0</v>
      </c>
      <c r="D83" s="9" t="n">
        <f aca="false">(Assumptions!$D$126*D76)</f>
        <v>0</v>
      </c>
      <c r="E83" s="9" t="n">
        <f aca="false">(Assumptions!$D$126*E76)</f>
        <v>0</v>
      </c>
      <c r="F83" s="9" t="n">
        <f aca="false">(Assumptions!$D$126*F76)</f>
        <v>0</v>
      </c>
      <c r="G83" s="9" t="n">
        <f aca="false">(Assumptions!$D$126*G76)</f>
        <v>0</v>
      </c>
      <c r="H83" s="9" t="n">
        <f aca="false">(Assumptions!$D$126*H76)</f>
        <v>0</v>
      </c>
      <c r="I83" s="9" t="n">
        <f aca="false">(Assumptions!$D$126*I76)</f>
        <v>0</v>
      </c>
      <c r="J83" s="9" t="n">
        <f aca="false">(Assumptions!$D$126*J76)</f>
        <v>0</v>
      </c>
      <c r="K83" s="9" t="n">
        <f aca="false">(Assumptions!$D$126*K76)</f>
        <v>0</v>
      </c>
      <c r="L83" s="9" t="n">
        <f aca="false">(Assumptions!$D$126*L76)</f>
        <v>0</v>
      </c>
      <c r="M83" s="9" t="n">
        <f aca="false">(Assumptions!$D$126*M76)</f>
        <v>0</v>
      </c>
      <c r="N83" s="9" t="n">
        <f aca="false">(Assumptions!$D$126*N76)</f>
        <v>0</v>
      </c>
      <c r="O83" s="9" t="n">
        <f aca="false">(Assumptions!$D$126*O76)</f>
        <v>0</v>
      </c>
      <c r="P83" s="9" t="n">
        <f aca="false">(Assumptions!$D$126*P76)</f>
        <v>0</v>
      </c>
      <c r="Q83" s="9" t="n">
        <f aca="false">(Assumptions!$D$126*Q76)</f>
        <v>0</v>
      </c>
      <c r="R83" s="9" t="n">
        <f aca="false">(Assumptions!$D$126*R76)</f>
        <v>0</v>
      </c>
      <c r="S83" s="9" t="n">
        <f aca="false">(Assumptions!$D$126*S76)</f>
        <v>0</v>
      </c>
      <c r="T83" s="9" t="n">
        <f aca="false">(Assumptions!$D$126*T76)</f>
        <v>0</v>
      </c>
      <c r="U83" s="9" t="n">
        <f aca="false">(Assumptions!$D$126*U76)</f>
        <v>0</v>
      </c>
      <c r="V83" s="9" t="n">
        <f aca="false">(Assumptions!$D$126*V76)</f>
        <v>0</v>
      </c>
      <c r="W83" s="9" t="n">
        <f aca="false">(Assumptions!$D$126*W76)</f>
        <v>0</v>
      </c>
      <c r="X83" s="9" t="n">
        <f aca="false">(Assumptions!$D$126*X76)</f>
        <v>0</v>
      </c>
      <c r="Y83" s="9" t="n">
        <f aca="false">(Assumptions!$D$126*Y76)</f>
        <v>6750</v>
      </c>
      <c r="Z83" s="9" t="n">
        <f aca="false">(Assumptions!$D$126*Z76)</f>
        <v>0</v>
      </c>
      <c r="AA83" s="9" t="n">
        <f aca="false">(Assumptions!$D$126*AA76)</f>
        <v>0</v>
      </c>
      <c r="AB83" s="9" t="n">
        <f aca="false">(Assumptions!$D$126*AB76)</f>
        <v>6750</v>
      </c>
      <c r="AC83" s="9" t="n">
        <f aca="false">(Assumptions!$D$126*AC76)</f>
        <v>0</v>
      </c>
      <c r="AD83" s="9" t="n">
        <f aca="false">(Assumptions!$D$126*AD76)</f>
        <v>0</v>
      </c>
      <c r="AE83" s="9" t="n">
        <f aca="false">(Assumptions!$D$126*AE76)</f>
        <v>6750</v>
      </c>
      <c r="AF83" s="9" t="n">
        <f aca="false">(Assumptions!$D$126*AF76)</f>
        <v>0</v>
      </c>
      <c r="AG83" s="9" t="n">
        <f aca="false">(Assumptions!$D$126*AG76)</f>
        <v>0</v>
      </c>
      <c r="AH83" s="9" t="n">
        <f aca="false">(Assumptions!$D$126*AH76)</f>
        <v>6750</v>
      </c>
      <c r="AI83" s="9" t="n">
        <f aca="false">(Assumptions!$D$126*AI76)</f>
        <v>0</v>
      </c>
      <c r="AJ83" s="9" t="n">
        <f aca="false">(Assumptions!$D$126*AJ76)</f>
        <v>0</v>
      </c>
      <c r="AK83" s="9" t="n">
        <f aca="false">(Assumptions!$D$126*AK76)</f>
        <v>13500</v>
      </c>
      <c r="AL83" s="9" t="n">
        <f aca="false">(Assumptions!$D$126*AL76)</f>
        <v>0</v>
      </c>
      <c r="AN83" s="11" t="n">
        <f aca="false">SUM(C83:N83)</f>
        <v>0</v>
      </c>
      <c r="AO83" s="11" t="n">
        <f aca="false">SUM(O83:Z83)</f>
        <v>6750</v>
      </c>
      <c r="AP83" s="11" t="n">
        <f aca="false">SUM(AA83:AL83)</f>
        <v>33750</v>
      </c>
    </row>
    <row r="84" customFormat="false" ht="15" hidden="false" customHeight="false" outlineLevel="0" collapsed="false">
      <c r="A84" s="0" t="s">
        <v>890</v>
      </c>
      <c r="B84" s="0" t="s">
        <v>230</v>
      </c>
      <c r="C84" s="9" t="n">
        <f aca="false">((C82-C83)/12)</f>
        <v>0</v>
      </c>
      <c r="D84" s="9" t="n">
        <f aca="false">((SUM(C82:D82)-SUM(C83:D83))/12)</f>
        <v>0</v>
      </c>
      <c r="E84" s="9" t="n">
        <f aca="false">((SUM(C82:E82)-SUM(C83:E83))/12)</f>
        <v>0</v>
      </c>
      <c r="F84" s="9" t="n">
        <f aca="false">((SUM(C82:F82)-SUM(C83:F83))/12)</f>
        <v>0</v>
      </c>
      <c r="G84" s="9" t="n">
        <f aca="false">((SUM(C82:G82)-SUM(C83:G83))/12)</f>
        <v>0</v>
      </c>
      <c r="H84" s="9" t="n">
        <f aca="false">((SUM(C82:H82)-SUM(C83:H83))/12)</f>
        <v>0</v>
      </c>
      <c r="I84" s="9" t="n">
        <f aca="false">((SUM(C82:I82)-SUM(C83:I83))/12)</f>
        <v>0</v>
      </c>
      <c r="J84" s="9" t="n">
        <f aca="false">((SUM(C82:J82)-SUM(C83:J83))/12)</f>
        <v>0</v>
      </c>
      <c r="K84" s="9" t="n">
        <f aca="false">((SUM(C82:K82)-SUM(C83:K83))/12)</f>
        <v>0</v>
      </c>
      <c r="L84" s="9" t="n">
        <f aca="false">((SUM(C82:L82)-SUM(C83:L83))/12)</f>
        <v>0</v>
      </c>
      <c r="M84" s="9" t="n">
        <f aca="false">((SUM(C82:M82)-SUM(C83:M83))/12)</f>
        <v>0</v>
      </c>
      <c r="N84" s="9" t="n">
        <f aca="false">((SUM(C82:N82)-SUM(C83:N83))/12)</f>
        <v>0</v>
      </c>
      <c r="O84" s="9" t="n">
        <f aca="false">((SUM(D82:O82)-SUM(D83:O83))/12)</f>
        <v>0</v>
      </c>
      <c r="P84" s="9" t="n">
        <f aca="false">((SUM(E82:P82)-SUM(E83:P83))/12)</f>
        <v>0</v>
      </c>
      <c r="Q84" s="9" t="n">
        <f aca="false">((SUM(F82:Q82)-SUM(F83:Q83))/12)</f>
        <v>3740</v>
      </c>
      <c r="R84" s="9" t="n">
        <f aca="false">((SUM(G82:R82)-SUM(G83:R83))/12)</f>
        <v>3740</v>
      </c>
      <c r="S84" s="9" t="n">
        <f aca="false">((SUM(H82:S82)-SUM(H83:S83))/12)</f>
        <v>3740</v>
      </c>
      <c r="T84" s="9" t="n">
        <f aca="false">((SUM(I82:T82)-SUM(I83:T83))/12)</f>
        <v>3740</v>
      </c>
      <c r="U84" s="9" t="n">
        <f aca="false">((SUM(J82:U82)-SUM(J83:U83))/12)</f>
        <v>3740</v>
      </c>
      <c r="V84" s="9" t="n">
        <f aca="false">((SUM(K82:V82)-SUM(K83:V83))/12)</f>
        <v>3740</v>
      </c>
      <c r="W84" s="9" t="n">
        <f aca="false">((SUM(L82:W82)-SUM(L83:W83))/12)</f>
        <v>3740</v>
      </c>
      <c r="X84" s="9" t="n">
        <f aca="false">((SUM(M82:X82)-SUM(M83:X83))/12)</f>
        <v>3740</v>
      </c>
      <c r="Y84" s="9" t="n">
        <f aca="false">((SUM(N82:Y82)-SUM(N83:Y83))/12)</f>
        <v>5982.5</v>
      </c>
      <c r="Z84" s="9" t="n">
        <f aca="false">((SUM(O82:Z82)-SUM(O83:Z83))/12)</f>
        <v>5982.5</v>
      </c>
      <c r="AA84" s="9" t="n">
        <f aca="false">((SUM(P82:AA82)-SUM(P83:AA83))/12)</f>
        <v>5982.5</v>
      </c>
      <c r="AB84" s="9" t="n">
        <f aca="false">((SUM(Q82:AB82)-SUM(Q83:AB83))/12)</f>
        <v>14458.3333333333</v>
      </c>
      <c r="AC84" s="9" t="n">
        <f aca="false">((SUM(R82:AC82)-SUM(R83:AC83))/12)</f>
        <v>14338.6533333333</v>
      </c>
      <c r="AD84" s="9" t="n">
        <f aca="false">((SUM(S82:AD82)-SUM(S83:AD83))/12)</f>
        <v>14338.6533333333</v>
      </c>
      <c r="AE84" s="9" t="n">
        <f aca="false">((SUM(T82:AE82)-SUM(T83:AE83))/12)</f>
        <v>22814.4866666667</v>
      </c>
      <c r="AF84" s="9" t="n">
        <f aca="false">((SUM(U82:AF82)-SUM(U83:AF83))/12)</f>
        <v>22814.4866666667</v>
      </c>
      <c r="AG84" s="9" t="n">
        <f aca="false">((SUM(V82:AG82)-SUM(V83:AG83))/12)</f>
        <v>22814.4866666667</v>
      </c>
      <c r="AH84" s="9" t="n">
        <f aca="false">((SUM(W82:AH82)-SUM(W83:AH83))/12)</f>
        <v>31290.32</v>
      </c>
      <c r="AI84" s="9" t="n">
        <f aca="false">((SUM(X82:AI82)-SUM(X83:AI83))/12)</f>
        <v>31290.32</v>
      </c>
      <c r="AJ84" s="9" t="n">
        <f aca="false">((SUM(Y82:AJ82)-SUM(Y83:AJ83))/12)</f>
        <v>31290.32</v>
      </c>
      <c r="AK84" s="9" t="n">
        <f aca="false">((SUM(Z82:AK82)-SUM(Z83:AK83))/12)</f>
        <v>48714.7266666667</v>
      </c>
      <c r="AL84" s="9" t="n">
        <f aca="false">((SUM(AA82:AL82)-SUM(AA83:AL83))/12)</f>
        <v>48714.7266666667</v>
      </c>
      <c r="AN84" s="11" t="n">
        <f aca="false">SUM(C84:N84)</f>
        <v>0</v>
      </c>
      <c r="AO84" s="11" t="n">
        <f aca="false">SUM(O84:Z84)</f>
        <v>41885</v>
      </c>
      <c r="AP84" s="11" t="n">
        <f aca="false">SUM(AA84:AL84)</f>
        <v>308862.013333333</v>
      </c>
    </row>
    <row r="85" customFormat="false" ht="15" hidden="false" customHeight="false" outlineLevel="0" collapsed="false">
      <c r="A85" s="0" t="s">
        <v>891</v>
      </c>
      <c r="B85" s="0" t="s">
        <v>230</v>
      </c>
      <c r="C85" s="9" t="n">
        <f aca="false">(C82-C83)</f>
        <v>0</v>
      </c>
      <c r="D85" s="9" t="n">
        <f aca="false">(D82-D83)</f>
        <v>0</v>
      </c>
      <c r="E85" s="9" t="n">
        <f aca="false">(E82-E83)</f>
        <v>0</v>
      </c>
      <c r="F85" s="9" t="n">
        <f aca="false">(F82-F83)</f>
        <v>0</v>
      </c>
      <c r="G85" s="9" t="n">
        <f aca="false">(G82-G83)</f>
        <v>0</v>
      </c>
      <c r="H85" s="9" t="n">
        <f aca="false">(H82-H83)</f>
        <v>0</v>
      </c>
      <c r="I85" s="9" t="n">
        <f aca="false">(I82-I83)</f>
        <v>0</v>
      </c>
      <c r="J85" s="9" t="n">
        <f aca="false">(J82-J83)</f>
        <v>0</v>
      </c>
      <c r="K85" s="9" t="n">
        <f aca="false">(K82-K83)</f>
        <v>0</v>
      </c>
      <c r="L85" s="9" t="n">
        <f aca="false">(L82-L83)</f>
        <v>0</v>
      </c>
      <c r="M85" s="9" t="n">
        <f aca="false">(M82-M83)</f>
        <v>0</v>
      </c>
      <c r="N85" s="9" t="n">
        <f aca="false">(N82-N83)</f>
        <v>0</v>
      </c>
      <c r="O85" s="9" t="n">
        <f aca="false">(O82-O83)</f>
        <v>0</v>
      </c>
      <c r="P85" s="9" t="n">
        <f aca="false">(P82-P83)</f>
        <v>0</v>
      </c>
      <c r="Q85" s="9" t="n">
        <f aca="false">(Q82-Q83)</f>
        <v>44880</v>
      </c>
      <c r="R85" s="9" t="n">
        <f aca="false">(R82-R83)</f>
        <v>0</v>
      </c>
      <c r="S85" s="9" t="n">
        <f aca="false">(S82-S83)</f>
        <v>0</v>
      </c>
      <c r="T85" s="9" t="n">
        <f aca="false">(T82-T83)</f>
        <v>0</v>
      </c>
      <c r="U85" s="9" t="n">
        <f aca="false">(U82-U83)</f>
        <v>0</v>
      </c>
      <c r="V85" s="9" t="n">
        <f aca="false">(V82-V83)</f>
        <v>0</v>
      </c>
      <c r="W85" s="9" t="n">
        <f aca="false">(W82-W83)</f>
        <v>0</v>
      </c>
      <c r="X85" s="9" t="n">
        <f aca="false">(X82-X83)</f>
        <v>0</v>
      </c>
      <c r="Y85" s="9" t="n">
        <f aca="false">(Y82-Y83)</f>
        <v>26910</v>
      </c>
      <c r="Z85" s="9" t="n">
        <f aca="false">(Z82-Z83)</f>
        <v>0</v>
      </c>
      <c r="AA85" s="9" t="n">
        <f aca="false">(AA82-AA83)</f>
        <v>0</v>
      </c>
      <c r="AB85" s="9" t="n">
        <f aca="false">(AB82-AB83)</f>
        <v>101710</v>
      </c>
      <c r="AC85" s="9" t="n">
        <f aca="false">(AC82-AC83)</f>
        <v>43443.84</v>
      </c>
      <c r="AD85" s="9" t="n">
        <f aca="false">(AD82-AD83)</f>
        <v>0</v>
      </c>
      <c r="AE85" s="9" t="n">
        <f aca="false">(AE82-AE83)</f>
        <v>101710</v>
      </c>
      <c r="AF85" s="9" t="n">
        <f aca="false">(AF82-AF83)</f>
        <v>0</v>
      </c>
      <c r="AG85" s="9" t="n">
        <f aca="false">(AG82-AG83)</f>
        <v>0</v>
      </c>
      <c r="AH85" s="9" t="n">
        <f aca="false">(AH82-AH83)</f>
        <v>101710</v>
      </c>
      <c r="AI85" s="9" t="n">
        <f aca="false">(AI82-AI83)</f>
        <v>0</v>
      </c>
      <c r="AJ85" s="9" t="n">
        <f aca="false">(AJ82-AJ83)</f>
        <v>0</v>
      </c>
      <c r="AK85" s="9" t="n">
        <f aca="false">(AK82-AK83)</f>
        <v>236002.88</v>
      </c>
      <c r="AL85" s="9" t="n">
        <f aca="false">(AL82-AL83)</f>
        <v>0</v>
      </c>
      <c r="AN85" s="11" t="n">
        <f aca="false">SUM(C85:N85)</f>
        <v>0</v>
      </c>
      <c r="AO85" s="11" t="n">
        <f aca="false">SUM(O85:Z85)</f>
        <v>71790</v>
      </c>
      <c r="AP85" s="11" t="n">
        <f aca="false">SUM(AA85:AL85)</f>
        <v>584576.72</v>
      </c>
    </row>
    <row r="86" customFormat="false" ht="15" hidden="false" customHeight="false" outlineLevel="0" collapsed="false">
      <c r="A86" s="0" t="s">
        <v>892</v>
      </c>
      <c r="B86" s="0" t="s">
        <v>230</v>
      </c>
      <c r="C86" s="9" t="n">
        <f aca="false">(((Assumptions!$D$122*$C$10)/6)*C75)</f>
        <v>0</v>
      </c>
      <c r="D86" s="9" t="n">
        <f aca="false">(((Assumptions!$D$122*$C$10)/6)*D75)</f>
        <v>0</v>
      </c>
      <c r="E86" s="9" t="n">
        <f aca="false">(((Assumptions!$D$122*$C$10)/6)*E75)</f>
        <v>0</v>
      </c>
      <c r="F86" s="9" t="n">
        <f aca="false">(((Assumptions!$D$122*$C$10)/6)*F75)</f>
        <v>0</v>
      </c>
      <c r="G86" s="9" t="n">
        <f aca="false">(((Assumptions!$D$122*$C$10)/6)*G75)</f>
        <v>0</v>
      </c>
      <c r="H86" s="9" t="n">
        <f aca="false">(((Assumptions!$D$122*$C$10)/6)*H75)</f>
        <v>0</v>
      </c>
      <c r="I86" s="9" t="n">
        <f aca="false">(((Assumptions!$D$122*$C$10)/6)*I75)</f>
        <v>0</v>
      </c>
      <c r="J86" s="9" t="n">
        <f aca="false">(((Assumptions!$D$122*$C$10)/6)*J75)</f>
        <v>0</v>
      </c>
      <c r="K86" s="9" t="n">
        <f aca="false">(((Assumptions!$D$122*$C$10)/6)*K75)</f>
        <v>0</v>
      </c>
      <c r="L86" s="9" t="n">
        <f aca="false">(((Assumptions!$D$122*$C$10)/6)*L75)</f>
        <v>0</v>
      </c>
      <c r="M86" s="9" t="n">
        <f aca="false">(((Assumptions!$D$122*$C$10)/6)*M75)</f>
        <v>0</v>
      </c>
      <c r="N86" s="9" t="n">
        <f aca="false">(((Assumptions!$D$122*$C$10)/6)*N75)</f>
        <v>0</v>
      </c>
      <c r="O86" s="9" t="n">
        <f aca="false">(((Assumptions!$D$122*$C$10)/6)*O75)</f>
        <v>0</v>
      </c>
      <c r="P86" s="9" t="n">
        <f aca="false">(((Assumptions!$D$122*$C$10)/6)*P75)</f>
        <v>0</v>
      </c>
      <c r="Q86" s="9" t="n">
        <f aca="false">(((Assumptions!$D$122*$C$10)/6)*Q75)</f>
        <v>0</v>
      </c>
      <c r="R86" s="9" t="n">
        <f aca="false">(((Assumptions!$D$122*$C$10)/6)*R75)</f>
        <v>5000</v>
      </c>
      <c r="S86" s="9" t="n">
        <f aca="false">(((Assumptions!$D$122*$C$10)/6)*S75)</f>
        <v>5000</v>
      </c>
      <c r="T86" s="9" t="n">
        <f aca="false">(((Assumptions!$D$122*$C$10)/6)*T75)</f>
        <v>5000</v>
      </c>
      <c r="U86" s="9" t="n">
        <f aca="false">(((Assumptions!$D$122*$C$10)/6)*U75)</f>
        <v>10000</v>
      </c>
      <c r="V86" s="9" t="n">
        <f aca="false">(((Assumptions!$D$122*$C$10)/6)*V75)</f>
        <v>10000</v>
      </c>
      <c r="W86" s="9" t="n">
        <f aca="false">(((Assumptions!$D$122*$C$10)/6)*W75)</f>
        <v>10000</v>
      </c>
      <c r="X86" s="9" t="n">
        <f aca="false">(((Assumptions!$D$122*$C$10)/6)*X75)</f>
        <v>10000</v>
      </c>
      <c r="Y86" s="9" t="n">
        <f aca="false">(((Assumptions!$D$122*$C$10)/6)*Y75)</f>
        <v>10000</v>
      </c>
      <c r="Z86" s="9" t="n">
        <f aca="false">(((Assumptions!$D$122*$C$10)/6)*Z75)</f>
        <v>10000</v>
      </c>
      <c r="AA86" s="9" t="n">
        <f aca="false">(((Assumptions!$D$122*$C$10)/6)*AA75)</f>
        <v>10000</v>
      </c>
      <c r="AB86" s="9" t="n">
        <f aca="false">(((Assumptions!$D$122*$C$10)/6)*AB75)</f>
        <v>10000</v>
      </c>
      <c r="AC86" s="9" t="n">
        <f aca="false">(((Assumptions!$D$122*$C$10)/6)*AC75)</f>
        <v>10000</v>
      </c>
      <c r="AD86" s="9" t="n">
        <f aca="false">(((Assumptions!$D$122*$C$10)/6)*AD75)</f>
        <v>15000</v>
      </c>
      <c r="AE86" s="9" t="n">
        <f aca="false">(((Assumptions!$D$122*$C$10)/6)*AE75)</f>
        <v>15000</v>
      </c>
      <c r="AF86" s="9" t="n">
        <f aca="false">(((Assumptions!$D$122*$C$10)/6)*AF75)</f>
        <v>15000</v>
      </c>
      <c r="AG86" s="9" t="n">
        <f aca="false">(((Assumptions!$D$122*$C$10)/6)*AG75)</f>
        <v>20000</v>
      </c>
      <c r="AH86" s="9" t="n">
        <f aca="false">(((Assumptions!$D$122*$C$10)/6)*AH75)</f>
        <v>20000</v>
      </c>
      <c r="AI86" s="9" t="n">
        <f aca="false">(((Assumptions!$D$122*$C$10)/6)*AI75)</f>
        <v>20000</v>
      </c>
      <c r="AJ86" s="9" t="n">
        <f aca="false">(((Assumptions!$D$122*$C$10)/6)*AJ75)</f>
        <v>20000</v>
      </c>
      <c r="AK86" s="9" t="n">
        <f aca="false">(((Assumptions!$D$122*$C$10)/6)*AK75)</f>
        <v>20000</v>
      </c>
      <c r="AL86" s="9" t="n">
        <f aca="false">(((Assumptions!$D$122*$C$10)/6)*AL75)</f>
        <v>20000</v>
      </c>
      <c r="AN86" s="11" t="n">
        <f aca="false">SUM(C86:N86)</f>
        <v>0</v>
      </c>
      <c r="AO86" s="11" t="n">
        <f aca="false">SUM(O86:Z86)</f>
        <v>75000</v>
      </c>
      <c r="AP86" s="11" t="n">
        <f aca="false">SUM(AA86:AL86)</f>
        <v>195000</v>
      </c>
    </row>
    <row r="87" customFormat="false" ht="15" hidden="false" customHeight="false" outlineLevel="0" collapsed="false">
      <c r="A87" s="0" t="s">
        <v>893</v>
      </c>
      <c r="B87" s="0" t="s">
        <v>230</v>
      </c>
      <c r="C87" s="9" t="n">
        <f aca="false">((Assumptions!$D$122*$C$10)*C69)</f>
        <v>0</v>
      </c>
      <c r="D87" s="9" t="n">
        <f aca="false">((Assumptions!$D$122*$C$10)*D69)</f>
        <v>0</v>
      </c>
      <c r="E87" s="9" t="n">
        <f aca="false">((Assumptions!$D$122*$C$10)*E69)</f>
        <v>0</v>
      </c>
      <c r="F87" s="9" t="n">
        <f aca="false">((Assumptions!$D$122*$C$10)*F69)</f>
        <v>0</v>
      </c>
      <c r="G87" s="9" t="n">
        <f aca="false">((Assumptions!$D$122*$C$10)*G69)</f>
        <v>0</v>
      </c>
      <c r="H87" s="9" t="n">
        <f aca="false">((Assumptions!$D$122*$C$10)*H69)</f>
        <v>0</v>
      </c>
      <c r="I87" s="9" t="n">
        <f aca="false">((Assumptions!$D$122*$C$10)*I69)</f>
        <v>0</v>
      </c>
      <c r="J87" s="9" t="n">
        <f aca="false">((Assumptions!$D$122*$C$10)*J69)</f>
        <v>0</v>
      </c>
      <c r="K87" s="9" t="n">
        <f aca="false">((Assumptions!$D$122*$C$10)*K69)</f>
        <v>0</v>
      </c>
      <c r="L87" s="9" t="n">
        <f aca="false">((Assumptions!$D$122*$C$10)*L69)</f>
        <v>0</v>
      </c>
      <c r="M87" s="9" t="n">
        <f aca="false">((Assumptions!$D$122*$C$10)*M69)</f>
        <v>0</v>
      </c>
      <c r="N87" s="9" t="n">
        <f aca="false">((Assumptions!$D$122*$C$10)*N69)</f>
        <v>0</v>
      </c>
      <c r="O87" s="9" t="n">
        <f aca="false">((Assumptions!$D$122*$C$10)*O69)</f>
        <v>0</v>
      </c>
      <c r="P87" s="9" t="n">
        <f aca="false">((Assumptions!$D$122*$C$10)*P69)</f>
        <v>0</v>
      </c>
      <c r="Q87" s="9" t="n">
        <f aca="false">((Assumptions!$D$122*$C$10)*Q69)</f>
        <v>0</v>
      </c>
      <c r="R87" s="9" t="n">
        <f aca="false">((Assumptions!$D$122*$C$10)*R69)</f>
        <v>30000</v>
      </c>
      <c r="S87" s="9" t="n">
        <f aca="false">((Assumptions!$D$122*$C$10)*S69)</f>
        <v>0</v>
      </c>
      <c r="T87" s="9" t="n">
        <f aca="false">((Assumptions!$D$122*$C$10)*T69)</f>
        <v>0</v>
      </c>
      <c r="U87" s="9" t="n">
        <f aca="false">((Assumptions!$D$122*$C$10)*U69)</f>
        <v>30000</v>
      </c>
      <c r="V87" s="9" t="n">
        <f aca="false">((Assumptions!$D$122*$C$10)*V69)</f>
        <v>0</v>
      </c>
      <c r="W87" s="9" t="n">
        <f aca="false">((Assumptions!$D$122*$C$10)*W69)</f>
        <v>0</v>
      </c>
      <c r="X87" s="9" t="n">
        <f aca="false">((Assumptions!$D$122*$C$10)*X69)</f>
        <v>30000</v>
      </c>
      <c r="Y87" s="9" t="n">
        <f aca="false">((Assumptions!$D$122*$C$10)*Y69)</f>
        <v>0</v>
      </c>
      <c r="Z87" s="9" t="n">
        <f aca="false">((Assumptions!$D$122*$C$10)*Z69)</f>
        <v>0</v>
      </c>
      <c r="AA87" s="9" t="n">
        <f aca="false">((Assumptions!$D$122*$C$10)*AA69)</f>
        <v>30000</v>
      </c>
      <c r="AB87" s="9" t="n">
        <f aca="false">((Assumptions!$D$122*$C$10)*AB69)</f>
        <v>0</v>
      </c>
      <c r="AC87" s="9" t="n">
        <f aca="false">((Assumptions!$D$122*$C$10)*AC69)</f>
        <v>0</v>
      </c>
      <c r="AD87" s="9" t="n">
        <f aca="false">((Assumptions!$D$122*$C$10)*AD69)</f>
        <v>60000</v>
      </c>
      <c r="AE87" s="9" t="n">
        <f aca="false">((Assumptions!$D$122*$C$10)*AE69)</f>
        <v>0</v>
      </c>
      <c r="AF87" s="9" t="n">
        <f aca="false">((Assumptions!$D$122*$C$10)*AF69)</f>
        <v>0</v>
      </c>
      <c r="AG87" s="9" t="n">
        <f aca="false">((Assumptions!$D$122*$C$10)*AG69)</f>
        <v>60000</v>
      </c>
      <c r="AH87" s="9" t="n">
        <f aca="false">((Assumptions!$D$122*$C$10)*AH69)</f>
        <v>0</v>
      </c>
      <c r="AI87" s="9" t="n">
        <f aca="false">((Assumptions!$D$122*$C$10)*AI69)</f>
        <v>0</v>
      </c>
      <c r="AJ87" s="9" t="n">
        <f aca="false">((Assumptions!$D$122*$C$10)*AJ69)</f>
        <v>60000</v>
      </c>
      <c r="AK87" s="9" t="n">
        <f aca="false">((Assumptions!$D$122*$C$10)*AK69)</f>
        <v>0</v>
      </c>
      <c r="AL87" s="9" t="n">
        <f aca="false">((Assumptions!$D$122*$C$10)*AL69)</f>
        <v>0</v>
      </c>
      <c r="AN87" s="11" t="n">
        <f aca="false">SUM(C87:N87)</f>
        <v>0</v>
      </c>
      <c r="AO87" s="11" t="n">
        <f aca="false">SUM(O87:Z87)</f>
        <v>90000</v>
      </c>
      <c r="AP87" s="11" t="n">
        <f aca="false">SUM(AA87:AL87)</f>
        <v>210000</v>
      </c>
    </row>
    <row r="88" customFormat="false" ht="15" hidden="false" customHeight="false" outlineLevel="0" collapsed="false">
      <c r="A88" s="0" t="s">
        <v>894</v>
      </c>
      <c r="B88" s="0" t="s">
        <v>230</v>
      </c>
      <c r="C88" s="9" t="n">
        <f aca="false">((Assumptions!$D$123*$C$10)+(Assumptions!$C$34*Assumptions!$C$35))</f>
        <v>46000</v>
      </c>
      <c r="D88" s="9" t="n">
        <f aca="false">((Assumptions!$D$123*$C$10)+(Assumptions!$C$34*Assumptions!$C$35))</f>
        <v>46000</v>
      </c>
      <c r="E88" s="9" t="n">
        <f aca="false">((Assumptions!$D$123*$C$10)+(Assumptions!$C$34*Assumptions!$C$35))</f>
        <v>46000</v>
      </c>
      <c r="F88" s="9" t="n">
        <f aca="false">((Assumptions!$D$123*$C$10)+(Assumptions!$C$34*Assumptions!$C$35))</f>
        <v>46000</v>
      </c>
      <c r="G88" s="9" t="n">
        <f aca="false">((Assumptions!$D$123*$C$10)+(Assumptions!$C$34*Assumptions!$C$35))</f>
        <v>46000</v>
      </c>
      <c r="H88" s="9" t="n">
        <f aca="false">((Assumptions!$D$123*$C$10)+(Assumptions!$C$34*Assumptions!$C$35))</f>
        <v>46000</v>
      </c>
      <c r="I88" s="9" t="n">
        <f aca="false">((Assumptions!$D$123*$C$10)+(Assumptions!$C$34*Assumptions!$C$35))</f>
        <v>46000</v>
      </c>
      <c r="J88" s="9" t="n">
        <f aca="false">((Assumptions!$D$123*$C$10)+(Assumptions!$C$34*Assumptions!$C$35))</f>
        <v>46000</v>
      </c>
      <c r="K88" s="9" t="n">
        <f aca="false">((Assumptions!$D$123*$C$10)+(Assumptions!$C$34*Assumptions!$C$35))</f>
        <v>46000</v>
      </c>
      <c r="L88" s="9" t="n">
        <f aca="false">((Assumptions!$D$123*$C$10)+(Assumptions!$C$34*Assumptions!$C$35))</f>
        <v>46000</v>
      </c>
      <c r="M88" s="9" t="n">
        <f aca="false">((Assumptions!$D$123*$C$10)+(Assumptions!$C$34*Assumptions!$C$35))</f>
        <v>46000</v>
      </c>
      <c r="N88" s="9" t="n">
        <f aca="false">((Assumptions!$D$123*$C$10)+(Assumptions!$C$34*Assumptions!$C$35))</f>
        <v>46000</v>
      </c>
      <c r="O88" s="9" t="n">
        <f aca="false">((Assumptions!$D$123*$C$10)+(Assumptions!$C$34*Assumptions!$C$35))</f>
        <v>46000</v>
      </c>
      <c r="P88" s="9" t="n">
        <f aca="false">((Assumptions!$D$123*$C$10)+(Assumptions!$C$34*Assumptions!$C$35))</f>
        <v>46000</v>
      </c>
      <c r="Q88" s="9" t="n">
        <f aca="false">((Assumptions!$D$123*$C$10)+(Assumptions!$C$34*Assumptions!$C$35))</f>
        <v>46000</v>
      </c>
      <c r="R88" s="9" t="n">
        <f aca="false">((Assumptions!$D$123*$C$10)+(Assumptions!$C$34*Assumptions!$C$35))</f>
        <v>46000</v>
      </c>
      <c r="S88" s="9" t="n">
        <f aca="false">((Assumptions!$D$123*$C$10)+(Assumptions!$C$34*Assumptions!$C$35))</f>
        <v>46000</v>
      </c>
      <c r="T88" s="9" t="n">
        <f aca="false">((Assumptions!$D$123*$C$10)+(Assumptions!$C$34*Assumptions!$C$35))</f>
        <v>46000</v>
      </c>
      <c r="U88" s="9" t="n">
        <f aca="false">((Assumptions!$D$123*$C$10)+(Assumptions!$C$34*Assumptions!$C$35))</f>
        <v>46000</v>
      </c>
      <c r="V88" s="9" t="n">
        <f aca="false">((Assumptions!$D$123*$C$10)+(Assumptions!$C$34*Assumptions!$C$35))</f>
        <v>46000</v>
      </c>
      <c r="W88" s="9" t="n">
        <f aca="false">((Assumptions!$D$123*$C$10)+(Assumptions!$C$34*Assumptions!$C$35))</f>
        <v>46000</v>
      </c>
      <c r="X88" s="9" t="n">
        <f aca="false">((Assumptions!$D$123*$C$10)+(Assumptions!$C$34*Assumptions!$C$35))</f>
        <v>46000</v>
      </c>
      <c r="Y88" s="9" t="n">
        <f aca="false">((Assumptions!$D$123*$C$10)+(Assumptions!$C$34*Assumptions!$C$35))</f>
        <v>46000</v>
      </c>
      <c r="Z88" s="9" t="n">
        <f aca="false">((Assumptions!$D$123*$C$10)+(Assumptions!$C$34*Assumptions!$C$35))</f>
        <v>46000</v>
      </c>
      <c r="AA88" s="9" t="n">
        <f aca="false">((Assumptions!$D$123*$C$10)+(Assumptions!$C$34*Assumptions!$C$35))</f>
        <v>46000</v>
      </c>
      <c r="AB88" s="9" t="n">
        <f aca="false">((Assumptions!$D$123*$C$10)+(Assumptions!$C$34*Assumptions!$C$35))</f>
        <v>46000</v>
      </c>
      <c r="AC88" s="9" t="n">
        <f aca="false">((Assumptions!$D$123*$C$10)+(Assumptions!$C$34*Assumptions!$C$35))</f>
        <v>46000</v>
      </c>
      <c r="AD88" s="9" t="n">
        <f aca="false">((Assumptions!$D$123*$C$10)+(Assumptions!$C$34*Assumptions!$C$35))</f>
        <v>46000</v>
      </c>
      <c r="AE88" s="9" t="n">
        <f aca="false">((Assumptions!$D$123*$C$10)+(Assumptions!$C$34*Assumptions!$C$35))</f>
        <v>46000</v>
      </c>
      <c r="AF88" s="9" t="n">
        <f aca="false">((Assumptions!$D$123*$C$10)+(Assumptions!$C$34*Assumptions!$C$35))</f>
        <v>46000</v>
      </c>
      <c r="AG88" s="9" t="n">
        <f aca="false">((Assumptions!$D$123*$C$10)+(Assumptions!$C$34*Assumptions!$C$35))</f>
        <v>46000</v>
      </c>
      <c r="AH88" s="9" t="n">
        <f aca="false">((Assumptions!$D$123*$C$10)+(Assumptions!$C$34*Assumptions!$C$35))</f>
        <v>46000</v>
      </c>
      <c r="AI88" s="9" t="n">
        <f aca="false">((Assumptions!$D$123*$C$10)+(Assumptions!$C$34*Assumptions!$C$35))</f>
        <v>46000</v>
      </c>
      <c r="AJ88" s="9" t="n">
        <f aca="false">((Assumptions!$D$123*$C$10)+(Assumptions!$C$34*Assumptions!$C$35))</f>
        <v>46000</v>
      </c>
      <c r="AK88" s="9" t="n">
        <f aca="false">((Assumptions!$D$123*$C$10)+(Assumptions!$C$34*Assumptions!$C$35))</f>
        <v>46000</v>
      </c>
      <c r="AL88" s="9" t="n">
        <f aca="false">((Assumptions!$D$123*$C$10)+(Assumptions!$C$34*Assumptions!$C$35))</f>
        <v>46000</v>
      </c>
    </row>
    <row r="89" customFormat="false" ht="15" hidden="false" customHeight="false" outlineLevel="0" collapsed="false">
      <c r="A89" s="0" t="s">
        <v>895</v>
      </c>
      <c r="B89" s="0" t="s">
        <v>230</v>
      </c>
      <c r="C89" s="9" t="n">
        <f aca="false">((C88/3)*C73)</f>
        <v>0</v>
      </c>
      <c r="D89" s="9" t="n">
        <f aca="false">((D88/3)*SUM(C73:D73))</f>
        <v>0</v>
      </c>
      <c r="E89" s="9" t="n">
        <f aca="false">((E88/3)*SUM(C73:E73))</f>
        <v>0</v>
      </c>
      <c r="F89" s="9" t="n">
        <f aca="false">((F88/3)*SUM(D73:F73))</f>
        <v>0</v>
      </c>
      <c r="G89" s="9" t="n">
        <f aca="false">((G88/3)*SUM(E73:G73))</f>
        <v>0</v>
      </c>
      <c r="H89" s="9" t="n">
        <f aca="false">((H88/3)*SUM(F73:H73))</f>
        <v>0</v>
      </c>
      <c r="I89" s="9" t="n">
        <f aca="false">((I88/3)*SUM(G73:I73))</f>
        <v>0</v>
      </c>
      <c r="J89" s="9" t="n">
        <f aca="false">((J88/3)*SUM(H73:J73))</f>
        <v>0</v>
      </c>
      <c r="K89" s="9" t="n">
        <f aca="false">((K88/3)*SUM(I73:K73))</f>
        <v>0</v>
      </c>
      <c r="L89" s="9" t="n">
        <f aca="false">((L88/3)*SUM(J73:L73))</f>
        <v>0</v>
      </c>
      <c r="M89" s="9" t="n">
        <f aca="false">((M88/3)*SUM(K73:M73))</f>
        <v>0</v>
      </c>
      <c r="N89" s="9" t="n">
        <f aca="false">((N88/3)*SUM(L73:N73))</f>
        <v>0</v>
      </c>
      <c r="O89" s="9" t="n">
        <f aca="false">((O88/3)*SUM(M73:O73))</f>
        <v>0</v>
      </c>
      <c r="P89" s="9" t="n">
        <f aca="false">((P88/3)*SUM(N73:P73))</f>
        <v>0</v>
      </c>
      <c r="Q89" s="9" t="n">
        <f aca="false">((Q88/3)*SUM(O73:Q73))</f>
        <v>0</v>
      </c>
      <c r="R89" s="9" t="n">
        <f aca="false">((R88/3)*SUM(P73:R73))</f>
        <v>15333.3333333333</v>
      </c>
      <c r="S89" s="9" t="n">
        <f aca="false">((S88/3)*SUM(Q73:S73))</f>
        <v>15333.3333333333</v>
      </c>
      <c r="T89" s="9" t="n">
        <f aca="false">((T88/3)*SUM(R73:T73))</f>
        <v>15333.3333333333</v>
      </c>
      <c r="U89" s="9" t="n">
        <f aca="false">((U88/3)*SUM(S73:U73))</f>
        <v>15333.3333333333</v>
      </c>
      <c r="V89" s="9" t="n">
        <f aca="false">((V88/3)*SUM(T73:V73))</f>
        <v>15333.3333333333</v>
      </c>
      <c r="W89" s="9" t="n">
        <f aca="false">((W88/3)*SUM(U73:W73))</f>
        <v>15333.3333333333</v>
      </c>
      <c r="X89" s="9" t="n">
        <f aca="false">((X88/3)*SUM(V73:X73))</f>
        <v>15333.3333333333</v>
      </c>
      <c r="Y89" s="9" t="n">
        <f aca="false">((Y88/3)*SUM(W73:Y73))</f>
        <v>15333.3333333333</v>
      </c>
      <c r="Z89" s="9" t="n">
        <f aca="false">((Z88/3)*SUM(X73:Z73))</f>
        <v>15333.3333333333</v>
      </c>
      <c r="AA89" s="9" t="n">
        <f aca="false">((AA88/3)*SUM(Y73:AA73))</f>
        <v>15333.3333333333</v>
      </c>
      <c r="AB89" s="9" t="n">
        <f aca="false">((AB88/3)*SUM(Z73:AB73))</f>
        <v>30666.6666666667</v>
      </c>
      <c r="AC89" s="9" t="n">
        <f aca="false">((AC88/3)*SUM(AA73:AC73))</f>
        <v>30666.6666666667</v>
      </c>
      <c r="AD89" s="9" t="n">
        <f aca="false">((AD88/3)*SUM(AB73:AD73))</f>
        <v>46000</v>
      </c>
      <c r="AE89" s="9" t="n">
        <f aca="false">((AE88/3)*SUM(AC73:AE73))</f>
        <v>46000</v>
      </c>
      <c r="AF89" s="9" t="n">
        <f aca="false">((AF88/3)*SUM(AD73:AF73))</f>
        <v>46000</v>
      </c>
      <c r="AG89" s="9" t="n">
        <f aca="false">((AG88/3)*SUM(AE73:AG73))</f>
        <v>46000</v>
      </c>
      <c r="AH89" s="9" t="n">
        <f aca="false">((AH88/3)*SUM(AF73:AH73))</f>
        <v>46000</v>
      </c>
      <c r="AI89" s="9" t="n">
        <f aca="false">((AI88/3)*SUM(AG73:AI73))</f>
        <v>46000</v>
      </c>
      <c r="AJ89" s="9" t="n">
        <f aca="false">((AJ88/3)*SUM(AH73:AJ73))</f>
        <v>46000</v>
      </c>
      <c r="AK89" s="9" t="n">
        <f aca="false">((AK88/3)*SUM(AI73:AK73))</f>
        <v>61333.3333333333</v>
      </c>
      <c r="AL89" s="9" t="n">
        <f aca="false">((AL88/3)*SUM(AJ73:AL73))</f>
        <v>61333.3333333333</v>
      </c>
      <c r="AN89" s="11" t="n">
        <f aca="false">SUM(C89:N89)</f>
        <v>0</v>
      </c>
      <c r="AO89" s="11" t="n">
        <f aca="false">SUM(O89:Z89)</f>
        <v>138000</v>
      </c>
      <c r="AP89" s="11" t="n">
        <f aca="false">SUM(AA89:AL89)</f>
        <v>521333.333333333</v>
      </c>
    </row>
    <row r="90" customFormat="false" ht="15" hidden="false" customHeight="false" outlineLevel="0" collapsed="false">
      <c r="A90" s="0" t="s">
        <v>896</v>
      </c>
      <c r="B90" s="0" t="s">
        <v>230</v>
      </c>
      <c r="C90" s="9" t="n">
        <f aca="false">(C88*C73)</f>
        <v>0</v>
      </c>
      <c r="D90" s="9" t="n">
        <f aca="false">(D88*D73)</f>
        <v>0</v>
      </c>
      <c r="E90" s="9" t="n">
        <f aca="false">(E88*E73)</f>
        <v>0</v>
      </c>
      <c r="F90" s="9" t="n">
        <f aca="false">(F88*F73)</f>
        <v>0</v>
      </c>
      <c r="G90" s="9" t="n">
        <f aca="false">(G88*G73)</f>
        <v>0</v>
      </c>
      <c r="H90" s="9" t="n">
        <f aca="false">(H88*H73)</f>
        <v>0</v>
      </c>
      <c r="I90" s="9" t="n">
        <f aca="false">(I88*I73)</f>
        <v>0</v>
      </c>
      <c r="J90" s="9" t="n">
        <f aca="false">(J88*J73)</f>
        <v>0</v>
      </c>
      <c r="K90" s="9" t="n">
        <f aca="false">(K88*K73)</f>
        <v>0</v>
      </c>
      <c r="L90" s="9" t="n">
        <f aca="false">(L88*L73)</f>
        <v>0</v>
      </c>
      <c r="M90" s="9" t="n">
        <f aca="false">(M88*M73)</f>
        <v>0</v>
      </c>
      <c r="N90" s="9" t="n">
        <f aca="false">(N88*N73)</f>
        <v>0</v>
      </c>
      <c r="O90" s="9" t="n">
        <f aca="false">(O88*O73)</f>
        <v>0</v>
      </c>
      <c r="P90" s="9" t="n">
        <f aca="false">(P88*P73)</f>
        <v>0</v>
      </c>
      <c r="Q90" s="9" t="n">
        <f aca="false">(Q88*Q73)</f>
        <v>0</v>
      </c>
      <c r="R90" s="9" t="n">
        <f aca="false">(R88*R73)</f>
        <v>46000</v>
      </c>
      <c r="S90" s="9" t="n">
        <f aca="false">(S88*S73)</f>
        <v>0</v>
      </c>
      <c r="T90" s="9" t="n">
        <f aca="false">(T88*T73)</f>
        <v>0</v>
      </c>
      <c r="U90" s="9" t="n">
        <f aca="false">(U88*U73)</f>
        <v>46000</v>
      </c>
      <c r="V90" s="9" t="n">
        <f aca="false">(V88*V73)</f>
        <v>0</v>
      </c>
      <c r="W90" s="9" t="n">
        <f aca="false">(W88*W73)</f>
        <v>0</v>
      </c>
      <c r="X90" s="9" t="n">
        <f aca="false">(X88*X73)</f>
        <v>46000</v>
      </c>
      <c r="Y90" s="9" t="n">
        <f aca="false">(Y88*Y73)</f>
        <v>0</v>
      </c>
      <c r="Z90" s="9" t="n">
        <f aca="false">(Z88*Z73)</f>
        <v>0</v>
      </c>
      <c r="AA90" s="9" t="n">
        <f aca="false">(AA88*AA73)</f>
        <v>46000</v>
      </c>
      <c r="AB90" s="9" t="n">
        <f aca="false">(AB88*AB73)</f>
        <v>46000</v>
      </c>
      <c r="AC90" s="9" t="n">
        <f aca="false">(AC88*AC73)</f>
        <v>0</v>
      </c>
      <c r="AD90" s="9" t="n">
        <f aca="false">(AD88*AD73)</f>
        <v>92000</v>
      </c>
      <c r="AE90" s="9" t="n">
        <f aca="false">(AE88*AE73)</f>
        <v>46000</v>
      </c>
      <c r="AF90" s="9" t="n">
        <f aca="false">(AF88*AF73)</f>
        <v>0</v>
      </c>
      <c r="AG90" s="9" t="n">
        <f aca="false">(AG88*AG73)</f>
        <v>92000</v>
      </c>
      <c r="AH90" s="9" t="n">
        <f aca="false">(AH88*AH73)</f>
        <v>46000</v>
      </c>
      <c r="AI90" s="9" t="n">
        <f aca="false">(AI88*AI73)</f>
        <v>0</v>
      </c>
      <c r="AJ90" s="9" t="n">
        <f aca="false">(AJ88*AJ73)</f>
        <v>92000</v>
      </c>
      <c r="AK90" s="9" t="n">
        <f aca="false">(AK88*AK73)</f>
        <v>92000</v>
      </c>
      <c r="AL90" s="9" t="n">
        <f aca="false">(AL88*AL73)</f>
        <v>0</v>
      </c>
      <c r="AN90" s="11" t="n">
        <f aca="false">SUM(C90:N90)</f>
        <v>0</v>
      </c>
      <c r="AO90" s="11" t="n">
        <f aca="false">SUM(O90:Z90)</f>
        <v>138000</v>
      </c>
      <c r="AP90" s="11" t="n">
        <f aca="false">SUM(AA90:AL90)</f>
        <v>552000</v>
      </c>
    </row>
    <row r="91" customFormat="false" ht="15" hidden="false" customHeight="false" outlineLevel="0" collapsed="false">
      <c r="A91" s="0" t="s">
        <v>897</v>
      </c>
      <c r="B91" s="0" t="s">
        <v>285</v>
      </c>
      <c r="C91" s="9" t="n">
        <f aca="false">((C70*Assumptions!$D$124)+(C73*(Assumptions!$D$124+(Assumptions!$C$34*Assumptions!$C$36))))</f>
        <v>0</v>
      </c>
      <c r="D91" s="9" t="n">
        <f aca="false">((D70*Assumptions!$D$124)+(D73*(Assumptions!$D$124+(Assumptions!$C$34*Assumptions!$C$36))))</f>
        <v>0</v>
      </c>
      <c r="E91" s="9" t="n">
        <f aca="false">((E70*Assumptions!$D$124)+(E73*(Assumptions!$D$124+(Assumptions!$C$34*Assumptions!$C$36))))</f>
        <v>0</v>
      </c>
      <c r="F91" s="9" t="n">
        <f aca="false">((F70*Assumptions!$D$124)+(F73*(Assumptions!$D$124+(Assumptions!$C$34*Assumptions!$C$36))))</f>
        <v>0</v>
      </c>
      <c r="G91" s="9" t="n">
        <f aca="false">((G70*Assumptions!$D$124)+(G73*(Assumptions!$D$124+(Assumptions!$C$34*Assumptions!$C$36))))</f>
        <v>0</v>
      </c>
      <c r="H91" s="9" t="n">
        <f aca="false">((H70*Assumptions!$D$124)+(H73*(Assumptions!$D$124+(Assumptions!$C$34*Assumptions!$C$36))))</f>
        <v>0</v>
      </c>
      <c r="I91" s="9" t="n">
        <f aca="false">((I70*Assumptions!$D$124)+(I73*(Assumptions!$D$124+(Assumptions!$C$34*Assumptions!$C$36))))</f>
        <v>0</v>
      </c>
      <c r="J91" s="9" t="n">
        <f aca="false">((J70*Assumptions!$D$124)+(J73*(Assumptions!$D$124+(Assumptions!$C$34*Assumptions!$C$36))))</f>
        <v>330</v>
      </c>
      <c r="K91" s="9" t="n">
        <f aca="false">((K70*Assumptions!$D$124)+(K73*(Assumptions!$D$124+(Assumptions!$C$34*Assumptions!$C$36))))</f>
        <v>0</v>
      </c>
      <c r="L91" s="9" t="n">
        <f aca="false">((L70*Assumptions!$D$124)+(L73*(Assumptions!$D$124+(Assumptions!$C$34*Assumptions!$C$36))))</f>
        <v>0</v>
      </c>
      <c r="M91" s="9" t="n">
        <f aca="false">((M70*Assumptions!$D$124)+(M73*(Assumptions!$D$124+(Assumptions!$C$34*Assumptions!$C$36))))</f>
        <v>0</v>
      </c>
      <c r="N91" s="9" t="n">
        <f aca="false">((N70*Assumptions!$D$124)+(N73*(Assumptions!$D$124+(Assumptions!$C$34*Assumptions!$C$36))))</f>
        <v>0</v>
      </c>
      <c r="O91" s="9" t="n">
        <f aca="false">((O70*Assumptions!$D$124)+(O73*(Assumptions!$D$124+(Assumptions!$C$34*Assumptions!$C$36))))</f>
        <v>0</v>
      </c>
      <c r="P91" s="9" t="n">
        <f aca="false">((P70*Assumptions!$D$124)+(P73*(Assumptions!$D$124+(Assumptions!$C$34*Assumptions!$C$36))))</f>
        <v>0</v>
      </c>
      <c r="Q91" s="9" t="n">
        <f aca="false">((Q70*Assumptions!$D$124)+(Q73*(Assumptions!$D$124+(Assumptions!$C$34*Assumptions!$C$36))))</f>
        <v>0</v>
      </c>
      <c r="R91" s="9" t="n">
        <f aca="false">((R70*Assumptions!$D$124)+(R73*(Assumptions!$D$124+(Assumptions!$C$34*Assumptions!$C$36))))</f>
        <v>374</v>
      </c>
      <c r="S91" s="9" t="n">
        <f aca="false">((S70*Assumptions!$D$124)+(S73*(Assumptions!$D$124+(Assumptions!$C$34*Assumptions!$C$36))))</f>
        <v>0</v>
      </c>
      <c r="T91" s="9" t="n">
        <f aca="false">((T70*Assumptions!$D$124)+(T73*(Assumptions!$D$124+(Assumptions!$C$34*Assumptions!$C$36))))</f>
        <v>0</v>
      </c>
      <c r="U91" s="9" t="n">
        <f aca="false">((U70*Assumptions!$D$124)+(U73*(Assumptions!$D$124+(Assumptions!$C$34*Assumptions!$C$36))))</f>
        <v>374</v>
      </c>
      <c r="V91" s="9" t="n">
        <f aca="false">((V70*Assumptions!$D$124)+(V73*(Assumptions!$D$124+(Assumptions!$C$34*Assumptions!$C$36))))</f>
        <v>0</v>
      </c>
      <c r="W91" s="9" t="n">
        <f aca="false">((W70*Assumptions!$D$124)+(W73*(Assumptions!$D$124+(Assumptions!$C$34*Assumptions!$C$36))))</f>
        <v>0</v>
      </c>
      <c r="X91" s="9" t="n">
        <f aca="false">((X70*Assumptions!$D$124)+(X73*(Assumptions!$D$124+(Assumptions!$C$34*Assumptions!$C$36))))</f>
        <v>374</v>
      </c>
      <c r="Y91" s="9" t="n">
        <f aca="false">((Y70*Assumptions!$D$124)+(Y73*(Assumptions!$D$124+(Assumptions!$C$34*Assumptions!$C$36))))</f>
        <v>0</v>
      </c>
      <c r="Z91" s="9" t="n">
        <f aca="false">((Z70*Assumptions!$D$124)+(Z73*(Assumptions!$D$124+(Assumptions!$C$34*Assumptions!$C$36))))</f>
        <v>0</v>
      </c>
      <c r="AA91" s="9" t="n">
        <f aca="false">((AA70*Assumptions!$D$124)+(AA73*(Assumptions!$D$124+(Assumptions!$C$34*Assumptions!$C$36))))</f>
        <v>374</v>
      </c>
      <c r="AB91" s="9" t="n">
        <f aca="false">((AB70*Assumptions!$D$124)+(AB73*(Assumptions!$D$124+(Assumptions!$C$34*Assumptions!$C$36))))</f>
        <v>374</v>
      </c>
      <c r="AC91" s="9" t="n">
        <f aca="false">((AC70*Assumptions!$D$124)+(AC73*(Assumptions!$D$124+(Assumptions!$C$34*Assumptions!$C$36))))</f>
        <v>0</v>
      </c>
      <c r="AD91" s="9" t="n">
        <f aca="false">((AD70*Assumptions!$D$124)+(AD73*(Assumptions!$D$124+(Assumptions!$C$34*Assumptions!$C$36))))</f>
        <v>748</v>
      </c>
      <c r="AE91" s="9" t="n">
        <f aca="false">((AE70*Assumptions!$D$124)+(AE73*(Assumptions!$D$124+(Assumptions!$C$34*Assumptions!$C$36))))</f>
        <v>374</v>
      </c>
      <c r="AF91" s="9" t="n">
        <f aca="false">((AF70*Assumptions!$D$124)+(AF73*(Assumptions!$D$124+(Assumptions!$C$34*Assumptions!$C$36))))</f>
        <v>0</v>
      </c>
      <c r="AG91" s="9" t="n">
        <f aca="false">((AG70*Assumptions!$D$124)+(AG73*(Assumptions!$D$124+(Assumptions!$C$34*Assumptions!$C$36))))</f>
        <v>748</v>
      </c>
      <c r="AH91" s="9" t="n">
        <f aca="false">((AH70*Assumptions!$D$124)+(AH73*(Assumptions!$D$124+(Assumptions!$C$34*Assumptions!$C$36))))</f>
        <v>374</v>
      </c>
      <c r="AI91" s="9" t="n">
        <f aca="false">((AI70*Assumptions!$D$124)+(AI73*(Assumptions!$D$124+(Assumptions!$C$34*Assumptions!$C$36))))</f>
        <v>0</v>
      </c>
      <c r="AJ91" s="9" t="n">
        <f aca="false">((AJ70*Assumptions!$D$124)+(AJ73*(Assumptions!$D$124+(Assumptions!$C$34*Assumptions!$C$36))))</f>
        <v>748</v>
      </c>
      <c r="AK91" s="9" t="n">
        <f aca="false">((AK70*Assumptions!$D$124)+(AK73*(Assumptions!$D$124+(Assumptions!$C$34*Assumptions!$C$36))))</f>
        <v>748</v>
      </c>
      <c r="AL91" s="9" t="n">
        <f aca="false">((AL70*Assumptions!$D$124)+(AL73*(Assumptions!$D$124+(Assumptions!$C$34*Assumptions!$C$36))))</f>
        <v>0</v>
      </c>
      <c r="AN91" s="11" t="n">
        <f aca="false">SUM(C91:N91)</f>
        <v>330</v>
      </c>
      <c r="AO91" s="11" t="n">
        <f aca="false">SUM(O91:Z91)</f>
        <v>1122</v>
      </c>
      <c r="AP91" s="11" t="n">
        <f aca="false">SUM(AA91:AL91)</f>
        <v>4488</v>
      </c>
    </row>
    <row r="92" customFormat="false" ht="15" hidden="false" customHeight="false" outlineLevel="0" collapsed="false">
      <c r="A92" s="0" t="s">
        <v>898</v>
      </c>
      <c r="B92" s="0" t="s">
        <v>852</v>
      </c>
      <c r="C92" s="14" t="n">
        <f aca="false">((IF(OR((C$18-(Assumptions!$C$9-1)-$C$9)&lt;1,(C$18-(Assumptions!$C$9-1)-$C$9)&gt;36),0,INDEX(Schedules!$C$7:$AL$7,(C$18-(Assumptions!$C$9-1)-$C$9)))*$C$7)*C44)</f>
        <v>0</v>
      </c>
      <c r="D92" s="14" t="n">
        <f aca="false">((IF(OR((D$18-(Assumptions!$C$9-1)-$C$9)&lt;1,(D$18-(Assumptions!$C$9-1)-$C$9)&gt;36),0,INDEX(Schedules!$C$7:$AL$7,(D$18-(Assumptions!$C$9-1)-$C$9)))*$C$7)*D44)</f>
        <v>0</v>
      </c>
      <c r="E92" s="14" t="n">
        <f aca="false">((IF(OR((E$18-(Assumptions!$C$9-1)-$C$9)&lt;1,(E$18-(Assumptions!$C$9-1)-$C$9)&gt;36),0,INDEX(Schedules!$C$7:$AL$7,(E$18-(Assumptions!$C$9-1)-$C$9)))*$C$7)*E44)</f>
        <v>0</v>
      </c>
      <c r="F92" s="14" t="n">
        <f aca="false">((IF(OR((F$18-(Assumptions!$C$9-1)-$C$9)&lt;1,(F$18-(Assumptions!$C$9-1)-$C$9)&gt;36),0,INDEX(Schedules!$C$7:$AL$7,(F$18-(Assumptions!$C$9-1)-$C$9)))*$C$7)*F44)</f>
        <v>0</v>
      </c>
      <c r="G92" s="14" t="n">
        <f aca="false">((IF(OR((G$18-(Assumptions!$C$9-1)-$C$9)&lt;1,(G$18-(Assumptions!$C$9-1)-$C$9)&gt;36),0,INDEX(Schedules!$C$7:$AL$7,(G$18-(Assumptions!$C$9-1)-$C$9)))*$C$7)*G44)</f>
        <v>0</v>
      </c>
      <c r="H92" s="14" t="n">
        <f aca="false">((IF(OR((H$18-(Assumptions!$C$9-1)-$C$9)&lt;1,(H$18-(Assumptions!$C$9-1)-$C$9)&gt;36),0,INDEX(Schedules!$C$7:$AL$7,(H$18-(Assumptions!$C$9-1)-$C$9)))*$C$7)*H44)</f>
        <v>0</v>
      </c>
      <c r="I92" s="14" t="n">
        <f aca="false">((IF(OR((I$18-(Assumptions!$C$9-1)-$C$9)&lt;1,(I$18-(Assumptions!$C$9-1)-$C$9)&gt;36),0,INDEX(Schedules!$C$7:$AL$7,(I$18-(Assumptions!$C$9-1)-$C$9)))*$C$7)*I44)</f>
        <v>0</v>
      </c>
      <c r="J92" s="14" t="n">
        <f aca="false">((IF(OR((J$18-(Assumptions!$C$9-1)-$C$9)&lt;1,(J$18-(Assumptions!$C$9-1)-$C$9)&gt;36),0,INDEX(Schedules!$C$7:$AL$7,(J$18-(Assumptions!$C$9-1)-$C$9)))*$C$7)*J44)</f>
        <v>0</v>
      </c>
      <c r="K92" s="14" t="n">
        <f aca="false">((IF(OR((K$18-(Assumptions!$C$9-1)-$C$9)&lt;1,(K$18-(Assumptions!$C$9-1)-$C$9)&gt;36),0,INDEX(Schedules!$C$7:$AL$7,(K$18-(Assumptions!$C$9-1)-$C$9)))*$C$7)*K44)</f>
        <v>0</v>
      </c>
      <c r="L92" s="14" t="n">
        <f aca="false">((IF(OR((L$18-(Assumptions!$C$9-1)-$C$9)&lt;1,(L$18-(Assumptions!$C$9-1)-$C$9)&gt;36),0,INDEX(Schedules!$C$7:$AL$7,(L$18-(Assumptions!$C$9-1)-$C$9)))*$C$7)*L44)</f>
        <v>0</v>
      </c>
      <c r="M92" s="14" t="n">
        <f aca="false">((IF(OR((M$18-(Assumptions!$C$9-1)-$C$9)&lt;1,(M$18-(Assumptions!$C$9-1)-$C$9)&gt;36),0,INDEX(Schedules!$C$7:$AL$7,(M$18-(Assumptions!$C$9-1)-$C$9)))*$C$7)*M44)</f>
        <v>0</v>
      </c>
      <c r="N92" s="14" t="n">
        <f aca="false">((IF(OR((N$18-(Assumptions!$C$9-1)-$C$9)&lt;1,(N$18-(Assumptions!$C$9-1)-$C$9)&gt;36),0,INDEX(Schedules!$C$7:$AL$7,(N$18-(Assumptions!$C$9-1)-$C$9)))*$C$7)*N44)</f>
        <v>0</v>
      </c>
      <c r="O92" s="14" t="n">
        <f aca="false">((IF(OR((O$18-(Assumptions!$C$9-1)-$C$9)&lt;1,(O$18-(Assumptions!$C$9-1)-$C$9)&gt;36),0,INDEX(Schedules!$C$7:$AL$7,(O$18-(Assumptions!$C$9-1)-$C$9)))*$C$7)*O44)</f>
        <v>0</v>
      </c>
      <c r="P92" s="14" t="n">
        <f aca="false">((IF(OR((P$18-(Assumptions!$C$9-1)-$C$9)&lt;1,(P$18-(Assumptions!$C$9-1)-$C$9)&gt;36),0,INDEX(Schedules!$C$7:$AL$7,(P$18-(Assumptions!$C$9-1)-$C$9)))*$C$7)*P44)</f>
        <v>0</v>
      </c>
      <c r="Q92" s="14" t="n">
        <f aca="false">((IF(OR((Q$18-(Assumptions!$C$9-1)-$C$9)&lt;1,(Q$18-(Assumptions!$C$9-1)-$C$9)&gt;36),0,INDEX(Schedules!$C$7:$AL$7,(Q$18-(Assumptions!$C$9-1)-$C$9)))*$C$7)*Q44)</f>
        <v>0</v>
      </c>
      <c r="R92" s="14" t="n">
        <f aca="false">((IF(OR((R$18-(Assumptions!$C$9-1)-$C$9)&lt;1,(R$18-(Assumptions!$C$9-1)-$C$9)&gt;36),0,INDEX(Schedules!$C$7:$AL$7,(R$18-(Assumptions!$C$9-1)-$C$9)))*$C$7)*R44)</f>
        <v>0</v>
      </c>
      <c r="S92" s="14" t="n">
        <f aca="false">((IF(OR((S$18-(Assumptions!$C$9-1)-$C$9)&lt;1,(S$18-(Assumptions!$C$9-1)-$C$9)&gt;36),0,INDEX(Schedules!$C$7:$AL$7,(S$18-(Assumptions!$C$9-1)-$C$9)))*$C$7)*S44)</f>
        <v>0</v>
      </c>
      <c r="T92" s="14" t="n">
        <f aca="false">((IF(OR((T$18-(Assumptions!$C$9-1)-$C$9)&lt;1,(T$18-(Assumptions!$C$9-1)-$C$9)&gt;36),0,INDEX(Schedules!$C$7:$AL$7,(T$18-(Assumptions!$C$9-1)-$C$9)))*$C$7)*T44)</f>
        <v>0</v>
      </c>
      <c r="U92" s="14" t="n">
        <f aca="false">((IF(OR((U$18-(Assumptions!$C$9-1)-$C$9)&lt;1,(U$18-(Assumptions!$C$9-1)-$C$9)&gt;36),0,INDEX(Schedules!$C$7:$AL$7,(U$18-(Assumptions!$C$9-1)-$C$9)))*$C$7)*U44)</f>
        <v>0</v>
      </c>
      <c r="V92" s="14" t="n">
        <f aca="false">((IF(OR((V$18-(Assumptions!$C$9-1)-$C$9)&lt;1,(V$18-(Assumptions!$C$9-1)-$C$9)&gt;36),0,INDEX(Schedules!$C$7:$AL$7,(V$18-(Assumptions!$C$9-1)-$C$9)))*$C$7)*V44)</f>
        <v>0</v>
      </c>
      <c r="W92" s="14" t="n">
        <f aca="false">((IF(OR((W$18-(Assumptions!$C$9-1)-$C$9)&lt;1,(W$18-(Assumptions!$C$9-1)-$C$9)&gt;36),0,INDEX(Schedules!$C$7:$AL$7,(W$18-(Assumptions!$C$9-1)-$C$9)))*$C$7)*W44)</f>
        <v>0</v>
      </c>
      <c r="X92" s="14" t="n">
        <f aca="false">((IF(OR((X$18-(Assumptions!$C$9-1)-$C$9)&lt;1,(X$18-(Assumptions!$C$9-1)-$C$9)&gt;36),0,INDEX(Schedules!$C$7:$AL$7,(X$18-(Assumptions!$C$9-1)-$C$9)))*$C$7)*X44)</f>
        <v>0</v>
      </c>
      <c r="Y92" s="14" t="n">
        <f aca="false">((IF(OR((Y$18-(Assumptions!$C$9-1)-$C$9)&lt;1,(Y$18-(Assumptions!$C$9-1)-$C$9)&gt;36),0,INDEX(Schedules!$C$7:$AL$7,(Y$18-(Assumptions!$C$9-1)-$C$9)))*$C$7)*Y44)</f>
        <v>0</v>
      </c>
      <c r="Z92" s="14" t="n">
        <f aca="false">((IF(OR((Z$18-(Assumptions!$C$9-1)-$C$9)&lt;1,(Z$18-(Assumptions!$C$9-1)-$C$9)&gt;36),0,INDEX(Schedules!$C$7:$AL$7,(Z$18-(Assumptions!$C$9-1)-$C$9)))*$C$7)*Z44)</f>
        <v>0</v>
      </c>
      <c r="AA92" s="14" t="n">
        <f aca="false">((IF(OR((AA$18-(Assumptions!$C$9-1)-$C$9)&lt;1,(AA$18-(Assumptions!$C$9-1)-$C$9)&gt;36),0,INDEX(Schedules!$C$7:$AL$7,(AA$18-(Assumptions!$C$9-1)-$C$9)))*$C$7)*AA44)</f>
        <v>0</v>
      </c>
      <c r="AB92" s="14" t="n">
        <f aca="false">((IF(OR((AB$18-(Assumptions!$C$9-1)-$C$9)&lt;1,(AB$18-(Assumptions!$C$9-1)-$C$9)&gt;36),0,INDEX(Schedules!$C$7:$AL$7,(AB$18-(Assumptions!$C$9-1)-$C$9)))*$C$7)*AB44)</f>
        <v>0</v>
      </c>
      <c r="AC92" s="14" t="n">
        <f aca="false">((IF(OR((AC$18-(Assumptions!$C$9-1)-$C$9)&lt;1,(AC$18-(Assumptions!$C$9-1)-$C$9)&gt;36),0,INDEX(Schedules!$C$7:$AL$7,(AC$18-(Assumptions!$C$9-1)-$C$9)))*$C$7)*AC44)</f>
        <v>0</v>
      </c>
      <c r="AD92" s="14" t="n">
        <f aca="false">((IF(OR((AD$18-(Assumptions!$C$9-1)-$C$9)&lt;1,(AD$18-(Assumptions!$C$9-1)-$C$9)&gt;36),0,INDEX(Schedules!$C$7:$AL$7,(AD$18-(Assumptions!$C$9-1)-$C$9)))*$C$7)*AD44)</f>
        <v>0</v>
      </c>
      <c r="AE92" s="14" t="n">
        <f aca="false">((IF(OR((AE$18-(Assumptions!$C$9-1)-$C$9)&lt;1,(AE$18-(Assumptions!$C$9-1)-$C$9)&gt;36),0,INDEX(Schedules!$C$7:$AL$7,(AE$18-(Assumptions!$C$9-1)-$C$9)))*$C$7)*AE44)</f>
        <v>0</v>
      </c>
      <c r="AF92" s="14" t="n">
        <f aca="false">((IF(OR((AF$18-(Assumptions!$C$9-1)-$C$9)&lt;1,(AF$18-(Assumptions!$C$9-1)-$C$9)&gt;36),0,INDEX(Schedules!$C$7:$AL$7,(AF$18-(Assumptions!$C$9-1)-$C$9)))*$C$7)*AF44)</f>
        <v>1</v>
      </c>
      <c r="AG92" s="14" t="n">
        <f aca="false">((IF(OR((AG$18-(Assumptions!$C$9-1)-$C$9)&lt;1,(AG$18-(Assumptions!$C$9-1)-$C$9)&gt;36),0,INDEX(Schedules!$C$7:$AL$7,(AG$18-(Assumptions!$C$9-1)-$C$9)))*$C$7)*AG44)</f>
        <v>0</v>
      </c>
      <c r="AH92" s="14" t="n">
        <f aca="false">((IF(OR((AH$18-(Assumptions!$C$9-1)-$C$9)&lt;1,(AH$18-(Assumptions!$C$9-1)-$C$9)&gt;36),0,INDEX(Schedules!$C$7:$AL$7,(AH$18-(Assumptions!$C$9-1)-$C$9)))*$C$7)*AH44)</f>
        <v>0</v>
      </c>
      <c r="AI92" s="14" t="n">
        <f aca="false">((IF(OR((AI$18-(Assumptions!$C$9-1)-$C$9)&lt;1,(AI$18-(Assumptions!$C$9-1)-$C$9)&gt;36),0,INDEX(Schedules!$C$7:$AL$7,(AI$18-(Assumptions!$C$9-1)-$C$9)))*$C$7)*AI44)</f>
        <v>0</v>
      </c>
      <c r="AJ92" s="14" t="n">
        <f aca="false">((IF(OR((AJ$18-(Assumptions!$C$9-1)-$C$9)&lt;1,(AJ$18-(Assumptions!$C$9-1)-$C$9)&gt;36),0,INDEX(Schedules!$C$7:$AL$7,(AJ$18-(Assumptions!$C$9-1)-$C$9)))*$C$7)*AJ44)</f>
        <v>0</v>
      </c>
      <c r="AK92" s="14" t="n">
        <f aca="false">((IF(OR((AK$18-(Assumptions!$C$9-1)-$C$9)&lt;1,(AK$18-(Assumptions!$C$9-1)-$C$9)&gt;36),0,INDEX(Schedules!$C$7:$AL$7,(AK$18-(Assumptions!$C$9-1)-$C$9)))*$C$7)*AK44)</f>
        <v>0</v>
      </c>
      <c r="AL92" s="14" t="n">
        <f aca="false">((IF(OR((AL$18-(Assumptions!$C$9-1)-$C$9)&lt;1,(AL$18-(Assumptions!$C$9-1)-$C$9)&gt;36),0,INDEX(Schedules!$C$7:$AL$7,(AL$18-(Assumptions!$C$9-1)-$C$9)))*$C$7)*AL44)</f>
        <v>1</v>
      </c>
      <c r="AN92" s="36" t="n">
        <f aca="false">SUM(C92:N92)</f>
        <v>0</v>
      </c>
      <c r="AO92" s="36" t="n">
        <f aca="false">SUM(O92:Z92)</f>
        <v>0</v>
      </c>
      <c r="AP92" s="36" t="n">
        <f aca="false">SUM(AA92:AL92)</f>
        <v>2</v>
      </c>
    </row>
    <row r="93" customFormat="false" ht="15" hidden="false" customHeight="false" outlineLevel="0" collapsed="false">
      <c r="A93" s="0" t="s">
        <v>899</v>
      </c>
      <c r="B93" s="0" t="s">
        <v>852</v>
      </c>
      <c r="C93" s="14" t="n">
        <f aca="false">INDEX(Schedules!$C$13:$AL$13,C$18)</f>
        <v>0</v>
      </c>
      <c r="D93" s="14" t="n">
        <f aca="false">INDEX(Schedules!$C$13:$AL$13,D$18)</f>
        <v>0</v>
      </c>
      <c r="E93" s="14" t="n">
        <f aca="false">INDEX(Schedules!$C$13:$AL$13,E$18)</f>
        <v>0</v>
      </c>
      <c r="F93" s="14" t="n">
        <f aca="false">INDEX(Schedules!$C$13:$AL$13,F$18)</f>
        <v>0</v>
      </c>
      <c r="G93" s="14" t="n">
        <f aca="false">INDEX(Schedules!$C$13:$AL$13,G$18)</f>
        <v>0</v>
      </c>
      <c r="H93" s="14" t="n">
        <f aca="false">INDEX(Schedules!$C$13:$AL$13,H$18)</f>
        <v>0</v>
      </c>
      <c r="I93" s="14" t="n">
        <f aca="false">INDEX(Schedules!$C$13:$AL$13,I$18)</f>
        <v>0</v>
      </c>
      <c r="J93" s="14" t="n">
        <f aca="false">INDEX(Schedules!$C$13:$AL$13,J$18)</f>
        <v>0</v>
      </c>
      <c r="K93" s="14" t="n">
        <f aca="false">INDEX(Schedules!$C$13:$AL$13,K$18)</f>
        <v>0</v>
      </c>
      <c r="L93" s="14" t="n">
        <f aca="false">INDEX(Schedules!$C$13:$AL$13,L$18)</f>
        <v>0</v>
      </c>
      <c r="M93" s="14" t="n">
        <f aca="false">INDEX(Schedules!$C$13:$AL$13,M$18)</f>
        <v>0</v>
      </c>
      <c r="N93" s="14" t="n">
        <f aca="false">INDEX(Schedules!$C$13:$AL$13,N$18)</f>
        <v>0</v>
      </c>
      <c r="O93" s="14" t="n">
        <f aca="false">INDEX(Schedules!$C$13:$AL$13,O$18)</f>
        <v>0</v>
      </c>
      <c r="P93" s="14" t="n">
        <f aca="false">INDEX(Schedules!$C$13:$AL$13,P$18)</f>
        <v>0</v>
      </c>
      <c r="Q93" s="14" t="n">
        <f aca="false">INDEX(Schedules!$C$13:$AL$13,Q$18)</f>
        <v>0</v>
      </c>
      <c r="R93" s="14" t="n">
        <f aca="false">INDEX(Schedules!$C$13:$AL$13,R$18)</f>
        <v>0</v>
      </c>
      <c r="S93" s="14" t="n">
        <f aca="false">INDEX(Schedules!$C$13:$AL$13,S$18)</f>
        <v>0</v>
      </c>
      <c r="T93" s="14" t="n">
        <f aca="false">INDEX(Schedules!$C$13:$AL$13,T$18)</f>
        <v>0</v>
      </c>
      <c r="U93" s="14" t="n">
        <f aca="false">INDEX(Schedules!$C$13:$AL$13,U$18)</f>
        <v>0</v>
      </c>
      <c r="V93" s="14" t="n">
        <f aca="false">INDEX(Schedules!$C$13:$AL$13,V$18)</f>
        <v>0</v>
      </c>
      <c r="W93" s="14" t="n">
        <f aca="false">INDEX(Schedules!$C$13:$AL$13,W$18)</f>
        <v>0</v>
      </c>
      <c r="X93" s="14" t="n">
        <f aca="false">INDEX(Schedules!$C$13:$AL$13,X$18)</f>
        <v>0</v>
      </c>
      <c r="Y93" s="14" t="n">
        <f aca="false">INDEX(Schedules!$C$13:$AL$13,Y$18)</f>
        <v>0</v>
      </c>
      <c r="Z93" s="14" t="n">
        <f aca="false">INDEX(Schedules!$C$13:$AL$13,Z$18)</f>
        <v>0</v>
      </c>
      <c r="AA93" s="14" t="n">
        <f aca="false">INDEX(Schedules!$C$13:$AL$13,AA$18)</f>
        <v>0</v>
      </c>
      <c r="AB93" s="14" t="n">
        <f aca="false">INDEX(Schedules!$C$13:$AL$13,AB$18)</f>
        <v>0</v>
      </c>
      <c r="AC93" s="14" t="n">
        <f aca="false">INDEX(Schedules!$C$13:$AL$13,AC$18)</f>
        <v>0</v>
      </c>
      <c r="AD93" s="14" t="n">
        <f aca="false">INDEX(Schedules!$C$13:$AL$13,AD$18)</f>
        <v>0</v>
      </c>
      <c r="AE93" s="14" t="n">
        <f aca="false">INDEX(Schedules!$C$13:$AL$13,AE$18)</f>
        <v>0</v>
      </c>
      <c r="AF93" s="14" t="n">
        <f aca="false">INDEX(Schedules!$C$13:$AL$13,AF$18)</f>
        <v>0</v>
      </c>
      <c r="AG93" s="14" t="n">
        <f aca="false">INDEX(Schedules!$C$13:$AL$13,AG$18)</f>
        <v>0</v>
      </c>
      <c r="AH93" s="14" t="n">
        <f aca="false">INDEX(Schedules!$C$13:$AL$13,AH$18)</f>
        <v>0</v>
      </c>
      <c r="AI93" s="14" t="n">
        <f aca="false">INDEX(Schedules!$C$13:$AL$13,AI$18)</f>
        <v>0</v>
      </c>
      <c r="AJ93" s="14" t="n">
        <f aca="false">INDEX(Schedules!$C$13:$AL$13,AJ$18)</f>
        <v>0</v>
      </c>
      <c r="AK93" s="14" t="n">
        <f aca="false">INDEX(Schedules!$C$13:$AL$13,AK$18)</f>
        <v>0</v>
      </c>
      <c r="AL93" s="14" t="n">
        <f aca="false">INDEX(Schedules!$C$13:$AL$13,AL$18)</f>
        <v>0</v>
      </c>
      <c r="AN93" s="36" t="n">
        <f aca="false">SUM(C93:N93)</f>
        <v>0</v>
      </c>
      <c r="AO93" s="36" t="n">
        <f aca="false">SUM(O93:Z93)</f>
        <v>0</v>
      </c>
      <c r="AP93" s="36" t="n">
        <f aca="false">SUM(AA93:AL93)</f>
        <v>0</v>
      </c>
    </row>
    <row r="94" customFormat="false" ht="15" hidden="false" customHeight="false" outlineLevel="0" collapsed="false">
      <c r="A94" s="0" t="s">
        <v>900</v>
      </c>
      <c r="B94" s="0" t="s">
        <v>852</v>
      </c>
      <c r="C94" s="14" t="n">
        <f aca="false">(C92+C93)</f>
        <v>0</v>
      </c>
      <c r="D94" s="14" t="n">
        <f aca="false">(D92+D93)</f>
        <v>0</v>
      </c>
      <c r="E94" s="14" t="n">
        <f aca="false">(E92+E93)</f>
        <v>0</v>
      </c>
      <c r="F94" s="14" t="n">
        <f aca="false">(F92+F93)</f>
        <v>0</v>
      </c>
      <c r="G94" s="14" t="n">
        <f aca="false">(G92+G93)</f>
        <v>0</v>
      </c>
      <c r="H94" s="14" t="n">
        <f aca="false">(H92+H93)</f>
        <v>0</v>
      </c>
      <c r="I94" s="14" t="n">
        <f aca="false">(I92+I93)</f>
        <v>0</v>
      </c>
      <c r="J94" s="14" t="n">
        <f aca="false">(J92+J93)</f>
        <v>0</v>
      </c>
      <c r="K94" s="14" t="n">
        <f aca="false">(K92+K93)</f>
        <v>0</v>
      </c>
      <c r="L94" s="14" t="n">
        <f aca="false">(L92+L93)</f>
        <v>0</v>
      </c>
      <c r="M94" s="14" t="n">
        <f aca="false">(M92+M93)</f>
        <v>0</v>
      </c>
      <c r="N94" s="14" t="n">
        <f aca="false">(N92+N93)</f>
        <v>0</v>
      </c>
      <c r="O94" s="14" t="n">
        <f aca="false">(O92+O93)</f>
        <v>0</v>
      </c>
      <c r="P94" s="14" t="n">
        <f aca="false">(P92+P93)</f>
        <v>0</v>
      </c>
      <c r="Q94" s="14" t="n">
        <f aca="false">(Q92+Q93)</f>
        <v>0</v>
      </c>
      <c r="R94" s="14" t="n">
        <f aca="false">(R92+R93)</f>
        <v>0</v>
      </c>
      <c r="S94" s="14" t="n">
        <f aca="false">(S92+S93)</f>
        <v>0</v>
      </c>
      <c r="T94" s="14" t="n">
        <f aca="false">(T92+T93)</f>
        <v>0</v>
      </c>
      <c r="U94" s="14" t="n">
        <f aca="false">(U92+U93)</f>
        <v>0</v>
      </c>
      <c r="V94" s="14" t="n">
        <f aca="false">(V92+V93)</f>
        <v>0</v>
      </c>
      <c r="W94" s="14" t="n">
        <f aca="false">(W92+W93)</f>
        <v>0</v>
      </c>
      <c r="X94" s="14" t="n">
        <f aca="false">(X92+X93)</f>
        <v>0</v>
      </c>
      <c r="Y94" s="14" t="n">
        <f aca="false">(Y92+Y93)</f>
        <v>0</v>
      </c>
      <c r="Z94" s="14" t="n">
        <f aca="false">(Z92+Z93)</f>
        <v>0</v>
      </c>
      <c r="AA94" s="14" t="n">
        <f aca="false">(AA92+AA93)</f>
        <v>0</v>
      </c>
      <c r="AB94" s="14" t="n">
        <f aca="false">(AB92+AB93)</f>
        <v>0</v>
      </c>
      <c r="AC94" s="14" t="n">
        <f aca="false">(AC92+AC93)</f>
        <v>0</v>
      </c>
      <c r="AD94" s="14" t="n">
        <f aca="false">(AD92+AD93)</f>
        <v>0</v>
      </c>
      <c r="AE94" s="14" t="n">
        <f aca="false">(AE92+AE93)</f>
        <v>0</v>
      </c>
      <c r="AF94" s="14" t="n">
        <f aca="false">(AF92+AF93)</f>
        <v>1</v>
      </c>
      <c r="AG94" s="14" t="n">
        <f aca="false">(AG92+AG93)</f>
        <v>0</v>
      </c>
      <c r="AH94" s="14" t="n">
        <f aca="false">(AH92+AH93)</f>
        <v>0</v>
      </c>
      <c r="AI94" s="14" t="n">
        <f aca="false">(AI92+AI93)</f>
        <v>0</v>
      </c>
      <c r="AJ94" s="14" t="n">
        <f aca="false">(AJ92+AJ93)</f>
        <v>0</v>
      </c>
      <c r="AK94" s="14" t="n">
        <f aca="false">(AK92+AK93)</f>
        <v>0</v>
      </c>
      <c r="AL94" s="14" t="n">
        <f aca="false">(AL92+AL93)</f>
        <v>1</v>
      </c>
      <c r="AN94" s="36" t="n">
        <f aca="false">SUM(C94:N94)</f>
        <v>0</v>
      </c>
      <c r="AO94" s="36" t="n">
        <f aca="false">SUM(O94:Z94)</f>
        <v>0</v>
      </c>
      <c r="AP94" s="36" t="n">
        <f aca="false">SUM(AA94:AL94)</f>
        <v>2</v>
      </c>
    </row>
    <row r="95" customFormat="false" ht="15" hidden="false" customHeight="false" outlineLevel="0" collapsed="false">
      <c r="A95" s="0" t="s">
        <v>901</v>
      </c>
      <c r="B95" s="0" t="s">
        <v>852</v>
      </c>
      <c r="C95" s="14" t="n">
        <f aca="false">((IF(OR((C$18-(Assumptions!$C$9-1)-$C$9)&lt;1,(C$18-(Assumptions!$C$9-1)-$C$9)&gt;36),0,INDEX(Schedules!$C$10:$AL$10,(C$18-(Assumptions!$C$9-1)-$C$9)))*$C$7)*C44)</f>
        <v>0</v>
      </c>
      <c r="D95" s="14" t="n">
        <f aca="false">((IF(OR((D$18-(Assumptions!$C$9-1)-$C$9)&lt;1,(D$18-(Assumptions!$C$9-1)-$C$9)&gt;36),0,INDEX(Schedules!$C$10:$AL$10,(D$18-(Assumptions!$C$9-1)-$C$9)))*$C$7)*D44)</f>
        <v>0</v>
      </c>
      <c r="E95" s="14" t="n">
        <f aca="false">((IF(OR((E$18-(Assumptions!$C$9-1)-$C$9)&lt;1,(E$18-(Assumptions!$C$9-1)-$C$9)&gt;36),0,INDEX(Schedules!$C$10:$AL$10,(E$18-(Assumptions!$C$9-1)-$C$9)))*$C$7)*E44)</f>
        <v>0</v>
      </c>
      <c r="F95" s="14" t="n">
        <f aca="false">((IF(OR((F$18-(Assumptions!$C$9-1)-$C$9)&lt;1,(F$18-(Assumptions!$C$9-1)-$C$9)&gt;36),0,INDEX(Schedules!$C$10:$AL$10,(F$18-(Assumptions!$C$9-1)-$C$9)))*$C$7)*F44)</f>
        <v>0</v>
      </c>
      <c r="G95" s="14" t="n">
        <f aca="false">((IF(OR((G$18-(Assumptions!$C$9-1)-$C$9)&lt;1,(G$18-(Assumptions!$C$9-1)-$C$9)&gt;36),0,INDEX(Schedules!$C$10:$AL$10,(G$18-(Assumptions!$C$9-1)-$C$9)))*$C$7)*G44)</f>
        <v>0</v>
      </c>
      <c r="H95" s="14" t="n">
        <f aca="false">((IF(OR((H$18-(Assumptions!$C$9-1)-$C$9)&lt;1,(H$18-(Assumptions!$C$9-1)-$C$9)&gt;36),0,INDEX(Schedules!$C$10:$AL$10,(H$18-(Assumptions!$C$9-1)-$C$9)))*$C$7)*H44)</f>
        <v>0</v>
      </c>
      <c r="I95" s="14" t="n">
        <f aca="false">((IF(OR((I$18-(Assumptions!$C$9-1)-$C$9)&lt;1,(I$18-(Assumptions!$C$9-1)-$C$9)&gt;36),0,INDEX(Schedules!$C$10:$AL$10,(I$18-(Assumptions!$C$9-1)-$C$9)))*$C$7)*I44)</f>
        <v>0</v>
      </c>
      <c r="J95" s="14" t="n">
        <f aca="false">((IF(OR((J$18-(Assumptions!$C$9-1)-$C$9)&lt;1,(J$18-(Assumptions!$C$9-1)-$C$9)&gt;36),0,INDEX(Schedules!$C$10:$AL$10,(J$18-(Assumptions!$C$9-1)-$C$9)))*$C$7)*J44)</f>
        <v>0</v>
      </c>
      <c r="K95" s="14" t="n">
        <f aca="false">((IF(OR((K$18-(Assumptions!$C$9-1)-$C$9)&lt;1,(K$18-(Assumptions!$C$9-1)-$C$9)&gt;36),0,INDEX(Schedules!$C$10:$AL$10,(K$18-(Assumptions!$C$9-1)-$C$9)))*$C$7)*K44)</f>
        <v>0</v>
      </c>
      <c r="L95" s="14" t="n">
        <f aca="false">((IF(OR((L$18-(Assumptions!$C$9-1)-$C$9)&lt;1,(L$18-(Assumptions!$C$9-1)-$C$9)&gt;36),0,INDEX(Schedules!$C$10:$AL$10,(L$18-(Assumptions!$C$9-1)-$C$9)))*$C$7)*L44)</f>
        <v>0</v>
      </c>
      <c r="M95" s="14" t="n">
        <f aca="false">((IF(OR((M$18-(Assumptions!$C$9-1)-$C$9)&lt;1,(M$18-(Assumptions!$C$9-1)-$C$9)&gt;36),0,INDEX(Schedules!$C$10:$AL$10,(M$18-(Assumptions!$C$9-1)-$C$9)))*$C$7)*M44)</f>
        <v>0</v>
      </c>
      <c r="N95" s="14" t="n">
        <f aca="false">((IF(OR((N$18-(Assumptions!$C$9-1)-$C$9)&lt;1,(N$18-(Assumptions!$C$9-1)-$C$9)&gt;36),0,INDEX(Schedules!$C$10:$AL$10,(N$18-(Assumptions!$C$9-1)-$C$9)))*$C$7)*N44)</f>
        <v>0</v>
      </c>
      <c r="O95" s="14" t="n">
        <f aca="false">((IF(OR((O$18-(Assumptions!$C$9-1)-$C$9)&lt;1,(O$18-(Assumptions!$C$9-1)-$C$9)&gt;36),0,INDEX(Schedules!$C$10:$AL$10,(O$18-(Assumptions!$C$9-1)-$C$9)))*$C$7)*O44)</f>
        <v>0</v>
      </c>
      <c r="P95" s="14" t="n">
        <f aca="false">((IF(OR((P$18-(Assumptions!$C$9-1)-$C$9)&lt;1,(P$18-(Assumptions!$C$9-1)-$C$9)&gt;36),0,INDEX(Schedules!$C$10:$AL$10,(P$18-(Assumptions!$C$9-1)-$C$9)))*$C$7)*P44)</f>
        <v>0</v>
      </c>
      <c r="Q95" s="14" t="n">
        <f aca="false">((IF(OR((Q$18-(Assumptions!$C$9-1)-$C$9)&lt;1,(Q$18-(Assumptions!$C$9-1)-$C$9)&gt;36),0,INDEX(Schedules!$C$10:$AL$10,(Q$18-(Assumptions!$C$9-1)-$C$9)))*$C$7)*Q44)</f>
        <v>0</v>
      </c>
      <c r="R95" s="14" t="n">
        <f aca="false">((IF(OR((R$18-(Assumptions!$C$9-1)-$C$9)&lt;1,(R$18-(Assumptions!$C$9-1)-$C$9)&gt;36),0,INDEX(Schedules!$C$10:$AL$10,(R$18-(Assumptions!$C$9-1)-$C$9)))*$C$7)*R44)</f>
        <v>0</v>
      </c>
      <c r="S95" s="14" t="n">
        <f aca="false">((IF(OR((S$18-(Assumptions!$C$9-1)-$C$9)&lt;1,(S$18-(Assumptions!$C$9-1)-$C$9)&gt;36),0,INDEX(Schedules!$C$10:$AL$10,(S$18-(Assumptions!$C$9-1)-$C$9)))*$C$7)*S44)</f>
        <v>0</v>
      </c>
      <c r="T95" s="14" t="n">
        <f aca="false">((IF(OR((T$18-(Assumptions!$C$9-1)-$C$9)&lt;1,(T$18-(Assumptions!$C$9-1)-$C$9)&gt;36),0,INDEX(Schedules!$C$10:$AL$10,(T$18-(Assumptions!$C$9-1)-$C$9)))*$C$7)*T44)</f>
        <v>0</v>
      </c>
      <c r="U95" s="14" t="n">
        <f aca="false">((IF(OR((U$18-(Assumptions!$C$9-1)-$C$9)&lt;1,(U$18-(Assumptions!$C$9-1)-$C$9)&gt;36),0,INDEX(Schedules!$C$10:$AL$10,(U$18-(Assumptions!$C$9-1)-$C$9)))*$C$7)*U44)</f>
        <v>0</v>
      </c>
      <c r="V95" s="14" t="n">
        <f aca="false">((IF(OR((V$18-(Assumptions!$C$9-1)-$C$9)&lt;1,(V$18-(Assumptions!$C$9-1)-$C$9)&gt;36),0,INDEX(Schedules!$C$10:$AL$10,(V$18-(Assumptions!$C$9-1)-$C$9)))*$C$7)*V44)</f>
        <v>0</v>
      </c>
      <c r="W95" s="14" t="n">
        <f aca="false">((IF(OR((W$18-(Assumptions!$C$9-1)-$C$9)&lt;1,(W$18-(Assumptions!$C$9-1)-$C$9)&gt;36),0,INDEX(Schedules!$C$10:$AL$10,(W$18-(Assumptions!$C$9-1)-$C$9)))*$C$7)*W44)</f>
        <v>0</v>
      </c>
      <c r="X95" s="14" t="n">
        <f aca="false">((IF(OR((X$18-(Assumptions!$C$9-1)-$C$9)&lt;1,(X$18-(Assumptions!$C$9-1)-$C$9)&gt;36),0,INDEX(Schedules!$C$10:$AL$10,(X$18-(Assumptions!$C$9-1)-$C$9)))*$C$7)*X44)</f>
        <v>0</v>
      </c>
      <c r="Y95" s="14" t="n">
        <f aca="false">((IF(OR((Y$18-(Assumptions!$C$9-1)-$C$9)&lt;1,(Y$18-(Assumptions!$C$9-1)-$C$9)&gt;36),0,INDEX(Schedules!$C$10:$AL$10,(Y$18-(Assumptions!$C$9-1)-$C$9)))*$C$7)*Y44)</f>
        <v>0</v>
      </c>
      <c r="Z95" s="14" t="n">
        <f aca="false">((IF(OR((Z$18-(Assumptions!$C$9-1)-$C$9)&lt;1,(Z$18-(Assumptions!$C$9-1)-$C$9)&gt;36),0,INDEX(Schedules!$C$10:$AL$10,(Z$18-(Assumptions!$C$9-1)-$C$9)))*$C$7)*Z44)</f>
        <v>0</v>
      </c>
      <c r="AA95" s="14" t="n">
        <f aca="false">((IF(OR((AA$18-(Assumptions!$C$9-1)-$C$9)&lt;1,(AA$18-(Assumptions!$C$9-1)-$C$9)&gt;36),0,INDEX(Schedules!$C$10:$AL$10,(AA$18-(Assumptions!$C$9-1)-$C$9)))*$C$7)*AA44)</f>
        <v>0</v>
      </c>
      <c r="AB95" s="14" t="n">
        <f aca="false">((IF(OR((AB$18-(Assumptions!$C$9-1)-$C$9)&lt;1,(AB$18-(Assumptions!$C$9-1)-$C$9)&gt;36),0,INDEX(Schedules!$C$10:$AL$10,(AB$18-(Assumptions!$C$9-1)-$C$9)))*$C$7)*AB44)</f>
        <v>0</v>
      </c>
      <c r="AC95" s="14" t="n">
        <f aca="false">((IF(OR((AC$18-(Assumptions!$C$9-1)-$C$9)&lt;1,(AC$18-(Assumptions!$C$9-1)-$C$9)&gt;36),0,INDEX(Schedules!$C$10:$AL$10,(AC$18-(Assumptions!$C$9-1)-$C$9)))*$C$7)*AC44)</f>
        <v>0</v>
      </c>
      <c r="AD95" s="14" t="n">
        <f aca="false">((IF(OR((AD$18-(Assumptions!$C$9-1)-$C$9)&lt;1,(AD$18-(Assumptions!$C$9-1)-$C$9)&gt;36),0,INDEX(Schedules!$C$10:$AL$10,(AD$18-(Assumptions!$C$9-1)-$C$9)))*$C$7)*AD44)</f>
        <v>0</v>
      </c>
      <c r="AE95" s="14" t="n">
        <f aca="false">((IF(OR((AE$18-(Assumptions!$C$9-1)-$C$9)&lt;1,(AE$18-(Assumptions!$C$9-1)-$C$9)&gt;36),0,INDEX(Schedules!$C$10:$AL$10,(AE$18-(Assumptions!$C$9-1)-$C$9)))*$C$7)*AE44)</f>
        <v>0</v>
      </c>
      <c r="AF95" s="14" t="n">
        <f aca="false">((IF(OR((AF$18-(Assumptions!$C$9-1)-$C$9)&lt;1,(AF$18-(Assumptions!$C$9-1)-$C$9)&gt;36),0,INDEX(Schedules!$C$10:$AL$10,(AF$18-(Assumptions!$C$9-1)-$C$9)))*$C$7)*AF44)</f>
        <v>0</v>
      </c>
      <c r="AG95" s="14" t="n">
        <f aca="false">((IF(OR((AG$18-(Assumptions!$C$9-1)-$C$9)&lt;1,(AG$18-(Assumptions!$C$9-1)-$C$9)&gt;36),0,INDEX(Schedules!$C$10:$AL$10,(AG$18-(Assumptions!$C$9-1)-$C$9)))*$C$7)*AG44)</f>
        <v>0</v>
      </c>
      <c r="AH95" s="14" t="n">
        <f aca="false">((IF(OR((AH$18-(Assumptions!$C$9-1)-$C$9)&lt;1,(AH$18-(Assumptions!$C$9-1)-$C$9)&gt;36),0,INDEX(Schedules!$C$10:$AL$10,(AH$18-(Assumptions!$C$9-1)-$C$9)))*$C$7)*AH44)</f>
        <v>0</v>
      </c>
      <c r="AI95" s="14" t="n">
        <f aca="false">((IF(OR((AI$18-(Assumptions!$C$9-1)-$C$9)&lt;1,(AI$18-(Assumptions!$C$9-1)-$C$9)&gt;36),0,INDEX(Schedules!$C$10:$AL$10,(AI$18-(Assumptions!$C$9-1)-$C$9)))*$C$7)*AI44)</f>
        <v>0</v>
      </c>
      <c r="AJ95" s="14" t="n">
        <f aca="false">((IF(OR((AJ$18-(Assumptions!$C$9-1)-$C$9)&lt;1,(AJ$18-(Assumptions!$C$9-1)-$C$9)&gt;36),0,INDEX(Schedules!$C$10:$AL$10,(AJ$18-(Assumptions!$C$9-1)-$C$9)))*$C$7)*AJ44)</f>
        <v>0</v>
      </c>
      <c r="AK95" s="14" t="n">
        <f aca="false">((IF(OR((AK$18-(Assumptions!$C$9-1)-$C$9)&lt;1,(AK$18-(Assumptions!$C$9-1)-$C$9)&gt;36),0,INDEX(Schedules!$C$10:$AL$10,(AK$18-(Assumptions!$C$9-1)-$C$9)))*$C$7)*AK44)</f>
        <v>0</v>
      </c>
      <c r="AL95" s="14" t="n">
        <f aca="false">((IF(OR((AL$18-(Assumptions!$C$9-1)-$C$9)&lt;1,(AL$18-(Assumptions!$C$9-1)-$C$9)&gt;36),0,INDEX(Schedules!$C$10:$AL$10,(AL$18-(Assumptions!$C$9-1)-$C$9)))*$C$7)*AL44)</f>
        <v>1</v>
      </c>
      <c r="AN95" s="36" t="n">
        <f aca="false">SUM(C95:N95)</f>
        <v>0</v>
      </c>
      <c r="AO95" s="36" t="n">
        <f aca="false">SUM(O95:Z95)</f>
        <v>0</v>
      </c>
      <c r="AP95" s="36" t="n">
        <f aca="false">SUM(AA95:AL95)</f>
        <v>1</v>
      </c>
    </row>
    <row r="96" customFormat="false" ht="15" hidden="false" customHeight="false" outlineLevel="0" collapsed="false">
      <c r="A96" s="0" t="s">
        <v>902</v>
      </c>
      <c r="B96" s="0" t="s">
        <v>852</v>
      </c>
      <c r="C96" s="14" t="n">
        <f aca="false">(C92+C95)</f>
        <v>0</v>
      </c>
      <c r="D96" s="14" t="n">
        <f aca="false">(D92+D95)</f>
        <v>0</v>
      </c>
      <c r="E96" s="14" t="n">
        <f aca="false">(E92+E95)</f>
        <v>0</v>
      </c>
      <c r="F96" s="14" t="n">
        <f aca="false">(F92+F95)</f>
        <v>0</v>
      </c>
      <c r="G96" s="14" t="n">
        <f aca="false">(G92+G95)</f>
        <v>0</v>
      </c>
      <c r="H96" s="14" t="n">
        <f aca="false">(H92+H95)</f>
        <v>0</v>
      </c>
      <c r="I96" s="14" t="n">
        <f aca="false">(I92+I95)</f>
        <v>0</v>
      </c>
      <c r="J96" s="14" t="n">
        <f aca="false">(J92+J95)</f>
        <v>0</v>
      </c>
      <c r="K96" s="14" t="n">
        <f aca="false">(K92+K95)</f>
        <v>0</v>
      </c>
      <c r="L96" s="14" t="n">
        <f aca="false">(L92+L95)</f>
        <v>0</v>
      </c>
      <c r="M96" s="14" t="n">
        <f aca="false">(M92+M95)</f>
        <v>0</v>
      </c>
      <c r="N96" s="14" t="n">
        <f aca="false">(N92+N95)</f>
        <v>0</v>
      </c>
      <c r="O96" s="14" t="n">
        <f aca="false">(O92+O95)</f>
        <v>0</v>
      </c>
      <c r="P96" s="14" t="n">
        <f aca="false">(P92+P95)</f>
        <v>0</v>
      </c>
      <c r="Q96" s="14" t="n">
        <f aca="false">(Q92+Q95)</f>
        <v>0</v>
      </c>
      <c r="R96" s="14" t="n">
        <f aca="false">(R92+R95)</f>
        <v>0</v>
      </c>
      <c r="S96" s="14" t="n">
        <f aca="false">(S92+S95)</f>
        <v>0</v>
      </c>
      <c r="T96" s="14" t="n">
        <f aca="false">(T92+T95)</f>
        <v>0</v>
      </c>
      <c r="U96" s="14" t="n">
        <f aca="false">(U92+U95)</f>
        <v>0</v>
      </c>
      <c r="V96" s="14" t="n">
        <f aca="false">(V92+V95)</f>
        <v>0</v>
      </c>
      <c r="W96" s="14" t="n">
        <f aca="false">(W92+W95)</f>
        <v>0</v>
      </c>
      <c r="X96" s="14" t="n">
        <f aca="false">(X92+X95)</f>
        <v>0</v>
      </c>
      <c r="Y96" s="14" t="n">
        <f aca="false">(Y92+Y95)</f>
        <v>0</v>
      </c>
      <c r="Z96" s="14" t="n">
        <f aca="false">(Z92+Z95)</f>
        <v>0</v>
      </c>
      <c r="AA96" s="14" t="n">
        <f aca="false">(AA92+AA95)</f>
        <v>0</v>
      </c>
      <c r="AB96" s="14" t="n">
        <f aca="false">(AB92+AB95)</f>
        <v>0</v>
      </c>
      <c r="AC96" s="14" t="n">
        <f aca="false">(AC92+AC95)</f>
        <v>0</v>
      </c>
      <c r="AD96" s="14" t="n">
        <f aca="false">(AD92+AD95)</f>
        <v>0</v>
      </c>
      <c r="AE96" s="14" t="n">
        <f aca="false">(AE92+AE95)</f>
        <v>0</v>
      </c>
      <c r="AF96" s="14" t="n">
        <f aca="false">(AF92+AF95)</f>
        <v>1</v>
      </c>
      <c r="AG96" s="14" t="n">
        <f aca="false">(AG92+AG95)</f>
        <v>0</v>
      </c>
      <c r="AH96" s="14" t="n">
        <f aca="false">(AH92+AH95)</f>
        <v>0</v>
      </c>
      <c r="AI96" s="14" t="n">
        <f aca="false">(AI92+AI95)</f>
        <v>0</v>
      </c>
      <c r="AJ96" s="14" t="n">
        <f aca="false">(AJ92+AJ95)</f>
        <v>0</v>
      </c>
      <c r="AK96" s="14" t="n">
        <f aca="false">(AK92+AK95)</f>
        <v>0</v>
      </c>
      <c r="AL96" s="14" t="n">
        <f aca="false">(AL92+AL95)</f>
        <v>2</v>
      </c>
      <c r="AN96" s="36" t="n">
        <f aca="false">SUM(C96:N96)</f>
        <v>0</v>
      </c>
      <c r="AO96" s="36" t="n">
        <f aca="false">SUM(O96:Z96)</f>
        <v>0</v>
      </c>
      <c r="AP96" s="36" t="n">
        <f aca="false">SUM(AA96:AL96)</f>
        <v>3</v>
      </c>
    </row>
    <row r="97" customFormat="false" ht="15" hidden="false" customHeight="false" outlineLevel="0" collapsed="false">
      <c r="A97" s="0" t="s">
        <v>903</v>
      </c>
      <c r="B97" s="0" t="s">
        <v>852</v>
      </c>
      <c r="C97" s="14" t="n">
        <f aca="false">C94</f>
        <v>0</v>
      </c>
      <c r="D97" s="14" t="n">
        <f aca="false">SUM(C94:D94)</f>
        <v>0</v>
      </c>
      <c r="E97" s="14" t="n">
        <f aca="false">SUM(C94:E94)</f>
        <v>0</v>
      </c>
      <c r="F97" s="14" t="n">
        <f aca="false">SUM(C94:F94)</f>
        <v>0</v>
      </c>
      <c r="G97" s="14" t="n">
        <f aca="false">SUM(C94:G94)</f>
        <v>0</v>
      </c>
      <c r="H97" s="14" t="n">
        <f aca="false">SUM(C94:H94)</f>
        <v>0</v>
      </c>
      <c r="I97" s="14" t="n">
        <f aca="false">SUM(D94:I94)</f>
        <v>0</v>
      </c>
      <c r="J97" s="14" t="n">
        <f aca="false">SUM(E94:J94)</f>
        <v>0</v>
      </c>
      <c r="K97" s="14" t="n">
        <f aca="false">SUM(F94:K94)</f>
        <v>0</v>
      </c>
      <c r="L97" s="14" t="n">
        <f aca="false">SUM(G94:L94)</f>
        <v>0</v>
      </c>
      <c r="M97" s="14" t="n">
        <f aca="false">SUM(H94:M94)</f>
        <v>0</v>
      </c>
      <c r="N97" s="14" t="n">
        <f aca="false">SUM(I94:N94)</f>
        <v>0</v>
      </c>
      <c r="O97" s="14" t="n">
        <f aca="false">SUM(J94:O94)</f>
        <v>0</v>
      </c>
      <c r="P97" s="14" t="n">
        <f aca="false">SUM(K94:P94)</f>
        <v>0</v>
      </c>
      <c r="Q97" s="14" t="n">
        <f aca="false">SUM(L94:Q94)</f>
        <v>0</v>
      </c>
      <c r="R97" s="14" t="n">
        <f aca="false">SUM(M94:R94)</f>
        <v>0</v>
      </c>
      <c r="S97" s="14" t="n">
        <f aca="false">SUM(N94:S94)</f>
        <v>0</v>
      </c>
      <c r="T97" s="14" t="n">
        <f aca="false">SUM(O94:T94)</f>
        <v>0</v>
      </c>
      <c r="U97" s="14" t="n">
        <f aca="false">SUM(P94:U94)</f>
        <v>0</v>
      </c>
      <c r="V97" s="14" t="n">
        <f aca="false">SUM(Q94:V94)</f>
        <v>0</v>
      </c>
      <c r="W97" s="14" t="n">
        <f aca="false">SUM(R94:W94)</f>
        <v>0</v>
      </c>
      <c r="X97" s="14" t="n">
        <f aca="false">SUM(S94:X94)</f>
        <v>0</v>
      </c>
      <c r="Y97" s="14" t="n">
        <f aca="false">SUM(T94:Y94)</f>
        <v>0</v>
      </c>
      <c r="Z97" s="14" t="n">
        <f aca="false">SUM(U94:Z94)</f>
        <v>0</v>
      </c>
      <c r="AA97" s="14" t="n">
        <f aca="false">SUM(V94:AA94)</f>
        <v>0</v>
      </c>
      <c r="AB97" s="14" t="n">
        <f aca="false">SUM(W94:AB94)</f>
        <v>0</v>
      </c>
      <c r="AC97" s="14" t="n">
        <f aca="false">SUM(X94:AC94)</f>
        <v>0</v>
      </c>
      <c r="AD97" s="14" t="n">
        <f aca="false">SUM(Y94:AD94)</f>
        <v>0</v>
      </c>
      <c r="AE97" s="14" t="n">
        <f aca="false">SUM(Z94:AE94)</f>
        <v>0</v>
      </c>
      <c r="AF97" s="14" t="n">
        <f aca="false">SUM(AA94:AF94)</f>
        <v>1</v>
      </c>
      <c r="AG97" s="14" t="n">
        <f aca="false">SUM(AB94:AG94)</f>
        <v>1</v>
      </c>
      <c r="AH97" s="14" t="n">
        <f aca="false">SUM(AC94:AH94)</f>
        <v>1</v>
      </c>
      <c r="AI97" s="14" t="n">
        <f aca="false">SUM(AD94:AI94)</f>
        <v>1</v>
      </c>
      <c r="AJ97" s="14" t="n">
        <f aca="false">SUM(AE94:AJ94)</f>
        <v>1</v>
      </c>
      <c r="AK97" s="14" t="n">
        <f aca="false">SUM(AF94:AK94)</f>
        <v>1</v>
      </c>
      <c r="AL97" s="14" t="n">
        <f aca="false">SUM(AG94:AL94)</f>
        <v>1</v>
      </c>
      <c r="AN97" s="36" t="n">
        <f aca="false">N97</f>
        <v>0</v>
      </c>
      <c r="AO97" s="36" t="n">
        <f aca="false">Z97</f>
        <v>0</v>
      </c>
      <c r="AP97" s="36" t="n">
        <f aca="false">AL97</f>
        <v>1</v>
      </c>
    </row>
    <row r="98" customFormat="false" ht="15" hidden="false" customHeight="false" outlineLevel="0" collapsed="false">
      <c r="A98" s="0" t="s">
        <v>904</v>
      </c>
      <c r="B98" s="0" t="s">
        <v>852</v>
      </c>
      <c r="C98" s="14" t="n">
        <f aca="false">C92</f>
        <v>0</v>
      </c>
      <c r="D98" s="14" t="n">
        <f aca="false">SUM(C92:D92)</f>
        <v>0</v>
      </c>
      <c r="E98" s="14" t="n">
        <f aca="false">SUM(C92:E92)</f>
        <v>0</v>
      </c>
      <c r="F98" s="14" t="n">
        <f aca="false">SUM(C92:F92)</f>
        <v>0</v>
      </c>
      <c r="G98" s="14" t="n">
        <f aca="false">SUM(C92:G92)</f>
        <v>0</v>
      </c>
      <c r="H98" s="14" t="n">
        <f aca="false">SUM(C92:H92)</f>
        <v>0</v>
      </c>
      <c r="I98" s="14" t="n">
        <f aca="false">SUM(D92:I92)</f>
        <v>0</v>
      </c>
      <c r="J98" s="14" t="n">
        <f aca="false">SUM(E92:J92)</f>
        <v>0</v>
      </c>
      <c r="K98" s="14" t="n">
        <f aca="false">SUM(F92:K92)</f>
        <v>0</v>
      </c>
      <c r="L98" s="14" t="n">
        <f aca="false">SUM(G92:L92)</f>
        <v>0</v>
      </c>
      <c r="M98" s="14" t="n">
        <f aca="false">SUM(H92:M92)</f>
        <v>0</v>
      </c>
      <c r="N98" s="14" t="n">
        <f aca="false">SUM(I92:N92)</f>
        <v>0</v>
      </c>
      <c r="O98" s="14" t="n">
        <f aca="false">SUM(J92:O92)</f>
        <v>0</v>
      </c>
      <c r="P98" s="14" t="n">
        <f aca="false">SUM(K92:P92)</f>
        <v>0</v>
      </c>
      <c r="Q98" s="14" t="n">
        <f aca="false">SUM(L92:Q92)</f>
        <v>0</v>
      </c>
      <c r="R98" s="14" t="n">
        <f aca="false">SUM(M92:R92)</f>
        <v>0</v>
      </c>
      <c r="S98" s="14" t="n">
        <f aca="false">SUM(N92:S92)</f>
        <v>0</v>
      </c>
      <c r="T98" s="14" t="n">
        <f aca="false">SUM(O92:T92)</f>
        <v>0</v>
      </c>
      <c r="U98" s="14" t="n">
        <f aca="false">SUM(P92:U92)</f>
        <v>0</v>
      </c>
      <c r="V98" s="14" t="n">
        <f aca="false">SUM(Q92:V92)</f>
        <v>0</v>
      </c>
      <c r="W98" s="14" t="n">
        <f aca="false">SUM(R92:W92)</f>
        <v>0</v>
      </c>
      <c r="X98" s="14" t="n">
        <f aca="false">SUM(S92:X92)</f>
        <v>0</v>
      </c>
      <c r="Y98" s="14" t="n">
        <f aca="false">SUM(T92:Y92)</f>
        <v>0</v>
      </c>
      <c r="Z98" s="14" t="n">
        <f aca="false">SUM(U92:Z92)</f>
        <v>0</v>
      </c>
      <c r="AA98" s="14" t="n">
        <f aca="false">SUM(V92:AA92)</f>
        <v>0</v>
      </c>
      <c r="AB98" s="14" t="n">
        <f aca="false">SUM(W92:AB92)</f>
        <v>0</v>
      </c>
      <c r="AC98" s="14" t="n">
        <f aca="false">SUM(X92:AC92)</f>
        <v>0</v>
      </c>
      <c r="AD98" s="14" t="n">
        <f aca="false">SUM(Y92:AD92)</f>
        <v>0</v>
      </c>
      <c r="AE98" s="14" t="n">
        <f aca="false">SUM(Z92:AE92)</f>
        <v>0</v>
      </c>
      <c r="AF98" s="14" t="n">
        <f aca="false">SUM(AA92:AF92)</f>
        <v>1</v>
      </c>
      <c r="AG98" s="14" t="n">
        <f aca="false">SUM(AB92:AG92)</f>
        <v>1</v>
      </c>
      <c r="AH98" s="14" t="n">
        <f aca="false">SUM(AC92:AH92)</f>
        <v>1</v>
      </c>
      <c r="AI98" s="14" t="n">
        <f aca="false">SUM(AD92:AI92)</f>
        <v>1</v>
      </c>
      <c r="AJ98" s="14" t="n">
        <f aca="false">SUM(AE92:AJ92)</f>
        <v>1</v>
      </c>
      <c r="AK98" s="14" t="n">
        <f aca="false">SUM(AF92:AK92)</f>
        <v>1</v>
      </c>
      <c r="AL98" s="14" t="n">
        <f aca="false">SUM(AG92:AL92)</f>
        <v>1</v>
      </c>
      <c r="AN98" s="36" t="n">
        <f aca="false">N98</f>
        <v>0</v>
      </c>
      <c r="AO98" s="36" t="n">
        <f aca="false">Z98</f>
        <v>0</v>
      </c>
      <c r="AP98" s="36" t="n">
        <f aca="false">AL98</f>
        <v>1</v>
      </c>
    </row>
    <row r="99" customFormat="false" ht="15" hidden="false" customHeight="false" outlineLevel="0" collapsed="false">
      <c r="A99" s="0" t="s">
        <v>905</v>
      </c>
      <c r="B99" s="0" t="s">
        <v>852</v>
      </c>
      <c r="C99" s="14" t="n">
        <f aca="false">((Assumptions!$E$127*$C$8)*0)</f>
        <v>0</v>
      </c>
      <c r="D99" s="14" t="n">
        <f aca="false">((Assumptions!$E$127*$C$8)*0)</f>
        <v>0</v>
      </c>
      <c r="E99" s="14" t="n">
        <f aca="false">((Assumptions!$E$127*$C$8)*0)</f>
        <v>0</v>
      </c>
      <c r="F99" s="14" t="n">
        <f aca="false">((Assumptions!$E$127*$C$8)*0)</f>
        <v>0</v>
      </c>
      <c r="G99" s="14" t="n">
        <f aca="false">((Assumptions!$E$127*$C$8)*0)</f>
        <v>0</v>
      </c>
      <c r="H99" s="14" t="n">
        <f aca="false">((Assumptions!$E$127*$C$8)*0)</f>
        <v>0</v>
      </c>
      <c r="I99" s="14" t="n">
        <f aca="false">((Assumptions!$E$127*$C$8)*0)</f>
        <v>0</v>
      </c>
      <c r="J99" s="14" t="n">
        <f aca="false">((Assumptions!$E$127*$C$8)*C92)</f>
        <v>0</v>
      </c>
      <c r="K99" s="14" t="n">
        <f aca="false">((Assumptions!$E$127*$C$8)*D92)</f>
        <v>0</v>
      </c>
      <c r="L99" s="14" t="n">
        <f aca="false">((Assumptions!$E$127*$C$8)*E92)</f>
        <v>0</v>
      </c>
      <c r="M99" s="14" t="n">
        <f aca="false">((Assumptions!$E$127*$C$8)*F92)</f>
        <v>0</v>
      </c>
      <c r="N99" s="14" t="n">
        <f aca="false">((Assumptions!$E$127*$C$8)*G92)</f>
        <v>0</v>
      </c>
      <c r="O99" s="14" t="n">
        <f aca="false">((Assumptions!$E$127*$C$8)*H92)</f>
        <v>0</v>
      </c>
      <c r="P99" s="14" t="n">
        <f aca="false">((Assumptions!$E$127*$C$8)*I92)</f>
        <v>0</v>
      </c>
      <c r="Q99" s="14" t="n">
        <f aca="false">((Assumptions!$E$127*$C$8)*J92)</f>
        <v>0</v>
      </c>
      <c r="R99" s="14" t="n">
        <f aca="false">((Assumptions!$E$127*$C$8)*K92)</f>
        <v>0</v>
      </c>
      <c r="S99" s="14" t="n">
        <f aca="false">((Assumptions!$E$127*$C$8)*L92)</f>
        <v>0</v>
      </c>
      <c r="T99" s="14" t="n">
        <f aca="false">((Assumptions!$E$127*$C$8)*M92)</f>
        <v>0</v>
      </c>
      <c r="U99" s="14" t="n">
        <f aca="false">((Assumptions!$E$127*$C$8)*N92)</f>
        <v>0</v>
      </c>
      <c r="V99" s="14" t="n">
        <f aca="false">((Assumptions!$E$127*$C$8)*O92)</f>
        <v>0</v>
      </c>
      <c r="W99" s="14" t="n">
        <f aca="false">((Assumptions!$E$127*$C$8)*P92)</f>
        <v>0</v>
      </c>
      <c r="X99" s="14" t="n">
        <f aca="false">((Assumptions!$E$127*$C$8)*Q92)</f>
        <v>0</v>
      </c>
      <c r="Y99" s="14" t="n">
        <f aca="false">((Assumptions!$E$127*$C$8)*R92)</f>
        <v>0</v>
      </c>
      <c r="Z99" s="14" t="n">
        <f aca="false">((Assumptions!$E$127*$C$8)*S92)</f>
        <v>0</v>
      </c>
      <c r="AA99" s="14" t="n">
        <f aca="false">((Assumptions!$E$127*$C$8)*T92)</f>
        <v>0</v>
      </c>
      <c r="AB99" s="14" t="n">
        <f aca="false">((Assumptions!$E$127*$C$8)*U92)</f>
        <v>0</v>
      </c>
      <c r="AC99" s="14" t="n">
        <f aca="false">((Assumptions!$E$127*$C$8)*V92)</f>
        <v>0</v>
      </c>
      <c r="AD99" s="14" t="n">
        <f aca="false">((Assumptions!$E$127*$C$8)*W92)</f>
        <v>0</v>
      </c>
      <c r="AE99" s="14" t="n">
        <f aca="false">((Assumptions!$E$127*$C$8)*X92)</f>
        <v>0</v>
      </c>
      <c r="AF99" s="14" t="n">
        <f aca="false">((Assumptions!$E$127*$C$8)*Y92)</f>
        <v>0</v>
      </c>
      <c r="AG99" s="14" t="n">
        <f aca="false">((Assumptions!$E$127*$C$8)*Z92)</f>
        <v>0</v>
      </c>
      <c r="AH99" s="14" t="n">
        <f aca="false">((Assumptions!$E$127*$C$8)*AA92)</f>
        <v>0</v>
      </c>
      <c r="AI99" s="14" t="n">
        <f aca="false">((Assumptions!$E$127*$C$8)*AB92)</f>
        <v>0</v>
      </c>
      <c r="AJ99" s="14" t="n">
        <f aca="false">((Assumptions!$E$127*$C$8)*AC92)</f>
        <v>0</v>
      </c>
      <c r="AK99" s="14" t="n">
        <f aca="false">((Assumptions!$E$127*$C$8)*AD92)</f>
        <v>0</v>
      </c>
      <c r="AL99" s="14" t="n">
        <f aca="false">((Assumptions!$E$127*$C$8)*AE92)</f>
        <v>0</v>
      </c>
      <c r="AN99" s="36" t="n">
        <f aca="false">SUM(C99:N99)</f>
        <v>0</v>
      </c>
      <c r="AO99" s="36" t="n">
        <f aca="false">SUM(O99:Z99)</f>
        <v>0</v>
      </c>
      <c r="AP99" s="36" t="n">
        <f aca="false">SUM(AA99:AL99)</f>
        <v>0</v>
      </c>
    </row>
    <row r="100" customFormat="false" ht="15" hidden="false" customHeight="false" outlineLevel="0" collapsed="false">
      <c r="A100" s="0" t="s">
        <v>906</v>
      </c>
      <c r="B100" s="0" t="s">
        <v>852</v>
      </c>
      <c r="C100" s="14" t="n">
        <f aca="false">((Assumptions!$C$10*$C$8)*IF((C$18=(Assumptions!$C$9+$C$9)),0,IF((C$18&gt;(Assumptions!$C$9+$C$9)),0,0)))</f>
        <v>0</v>
      </c>
      <c r="D100" s="14" t="n">
        <f aca="false">((Assumptions!$C$10*$C$8)*IF((D$18=(Assumptions!$C$9+$C$9)),0,IF((D$18&gt;(Assumptions!$C$9+$C$9)),0,0)))</f>
        <v>0</v>
      </c>
      <c r="E100" s="14" t="n">
        <f aca="false">((Assumptions!$C$10*$C$8)*IF((E$18=(Assumptions!$C$9+$C$9)),0,IF((E$18&gt;(Assumptions!$C$9+$C$9)),0,0)))</f>
        <v>0</v>
      </c>
      <c r="F100" s="14" t="n">
        <f aca="false">((Assumptions!$C$10*$C$8)*IF((F$18=(Assumptions!$C$9+$C$9)),0,IF((F$18&gt;(Assumptions!$C$9+$C$9)),0,0)))</f>
        <v>0</v>
      </c>
      <c r="G100" s="14" t="n">
        <f aca="false">((Assumptions!$C$10*$C$8)*IF((G$18=(Assumptions!$C$9+$C$9)),0,IF((G$18&gt;(Assumptions!$C$9+$C$9)),0,0)))</f>
        <v>0</v>
      </c>
      <c r="H100" s="14" t="n">
        <f aca="false">((Assumptions!$C$10*$C$8)*IF((H$18=(Assumptions!$C$9+$C$9)),0,IF((H$18&gt;(Assumptions!$C$9+$C$9)),0,0)))</f>
        <v>0</v>
      </c>
      <c r="I100" s="14" t="n">
        <f aca="false">((Assumptions!$C$10*$C$8)*IF((I$18=(Assumptions!$C$9+$C$9)),0,IF((I$18&gt;(Assumptions!$C$9+$C$9)),0,0)))</f>
        <v>0</v>
      </c>
      <c r="J100" s="14" t="n">
        <f aca="false">((Assumptions!$C$10*$C$8)*IF((J$18=(Assumptions!$C$9+$C$9)),C93,IF((J$18&gt;(Assumptions!$C$9+$C$9)),C93,0)))</f>
        <v>0</v>
      </c>
      <c r="K100" s="14" t="n">
        <f aca="false">((Assumptions!$C$10*$C$8)*IF((K$18=(Assumptions!$C$9+$C$9)),SUM(C93:D93),IF((K$18&gt;(Assumptions!$C$9+$C$9)),D93,0)))</f>
        <v>0</v>
      </c>
      <c r="L100" s="14" t="n">
        <f aca="false">((Assumptions!$C$10*$C$8)*IF((L$18=(Assumptions!$C$9+$C$9)),SUM(C93:E93),IF((L$18&gt;(Assumptions!$C$9+$C$9)),E93,0)))</f>
        <v>0</v>
      </c>
      <c r="M100" s="14" t="n">
        <f aca="false">((Assumptions!$C$10*$C$8)*IF((M$18=(Assumptions!$C$9+$C$9)),SUM(C93:F93),IF((M$18&gt;(Assumptions!$C$9+$C$9)),F93,0)))</f>
        <v>0</v>
      </c>
      <c r="N100" s="14" t="n">
        <f aca="false">((Assumptions!$C$10*$C$8)*IF((N$18=(Assumptions!$C$9+$C$9)),SUM(C93:G93),IF((N$18&gt;(Assumptions!$C$9+$C$9)),G93,0)))</f>
        <v>0</v>
      </c>
      <c r="O100" s="14" t="n">
        <f aca="false">((Assumptions!$C$10*$C$8)*IF((O$18=(Assumptions!$C$9+$C$9)),SUM(C93:H93),IF((O$18&gt;(Assumptions!$C$9+$C$9)),H93,0)))</f>
        <v>0</v>
      </c>
      <c r="P100" s="14" t="n">
        <f aca="false">((Assumptions!$C$10*$C$8)*IF((P$18=(Assumptions!$C$9+$C$9)),SUM(C93:I93),IF((P$18&gt;(Assumptions!$C$9+$C$9)),I93,0)))</f>
        <v>0</v>
      </c>
      <c r="Q100" s="14" t="n">
        <f aca="false">((Assumptions!$C$10*$C$8)*IF((Q$18=(Assumptions!$C$9+$C$9)),SUM(C93:J93),IF((Q$18&gt;(Assumptions!$C$9+$C$9)),J93,0)))</f>
        <v>0</v>
      </c>
      <c r="R100" s="14" t="n">
        <f aca="false">((Assumptions!$C$10*$C$8)*IF((R$18=(Assumptions!$C$9+$C$9)),SUM(C93:K93),IF((R$18&gt;(Assumptions!$C$9+$C$9)),K93,0)))</f>
        <v>0</v>
      </c>
      <c r="S100" s="14" t="n">
        <f aca="false">((Assumptions!$C$10*$C$8)*IF((S$18=(Assumptions!$C$9+$C$9)),SUM(C93:L93),IF((S$18&gt;(Assumptions!$C$9+$C$9)),L93,0)))</f>
        <v>0</v>
      </c>
      <c r="T100" s="14" t="n">
        <f aca="false">((Assumptions!$C$10*$C$8)*IF((T$18=(Assumptions!$C$9+$C$9)),SUM(C93:M93),IF((T$18&gt;(Assumptions!$C$9+$C$9)),M93,0)))</f>
        <v>0</v>
      </c>
      <c r="U100" s="14" t="n">
        <f aca="false">((Assumptions!$C$10*$C$8)*IF((U$18=(Assumptions!$C$9+$C$9)),SUM(C93:N93),IF((U$18&gt;(Assumptions!$C$9+$C$9)),N93,0)))</f>
        <v>0</v>
      </c>
      <c r="V100" s="14" t="n">
        <f aca="false">((Assumptions!$C$10*$C$8)*IF((V$18=(Assumptions!$C$9+$C$9)),SUM(C93:O93),IF((V$18&gt;(Assumptions!$C$9+$C$9)),O93,0)))</f>
        <v>0</v>
      </c>
      <c r="W100" s="14" t="n">
        <f aca="false">((Assumptions!$C$10*$C$8)*IF((W$18=(Assumptions!$C$9+$C$9)),SUM(C93:P93),IF((W$18&gt;(Assumptions!$C$9+$C$9)),P93,0)))</f>
        <v>0</v>
      </c>
      <c r="X100" s="14" t="n">
        <f aca="false">((Assumptions!$C$10*$C$8)*IF((X$18=(Assumptions!$C$9+$C$9)),SUM(C93:Q93),IF((X$18&gt;(Assumptions!$C$9+$C$9)),Q93,0)))</f>
        <v>0</v>
      </c>
      <c r="Y100" s="14" t="n">
        <f aca="false">((Assumptions!$C$10*$C$8)*IF((Y$18=(Assumptions!$C$9+$C$9)),SUM(C93:R93),IF((Y$18&gt;(Assumptions!$C$9+$C$9)),R93,0)))</f>
        <v>0</v>
      </c>
      <c r="Z100" s="14" t="n">
        <f aca="false">((Assumptions!$C$10*$C$8)*IF((Z$18=(Assumptions!$C$9+$C$9)),SUM(C93:S93),IF((Z$18&gt;(Assumptions!$C$9+$C$9)),S93,0)))</f>
        <v>0</v>
      </c>
      <c r="AA100" s="14" t="n">
        <f aca="false">((Assumptions!$C$10*$C$8)*IF((AA$18=(Assumptions!$C$9+$C$9)),SUM(C93:T93),IF((AA$18&gt;(Assumptions!$C$9+$C$9)),T93,0)))</f>
        <v>0</v>
      </c>
      <c r="AB100" s="14" t="n">
        <f aca="false">((Assumptions!$C$10*$C$8)*IF((AB$18=(Assumptions!$C$9+$C$9)),SUM(C93:U93),IF((AB$18&gt;(Assumptions!$C$9+$C$9)),U93,0)))</f>
        <v>0</v>
      </c>
      <c r="AC100" s="14" t="n">
        <f aca="false">((Assumptions!$C$10*$C$8)*IF((AC$18=(Assumptions!$C$9+$C$9)),SUM(C93:V93),IF((AC$18&gt;(Assumptions!$C$9+$C$9)),V93,0)))</f>
        <v>0</v>
      </c>
      <c r="AD100" s="14" t="n">
        <f aca="false">((Assumptions!$C$10*$C$8)*IF((AD$18=(Assumptions!$C$9+$C$9)),SUM(C93:W93),IF((AD$18&gt;(Assumptions!$C$9+$C$9)),W93,0)))</f>
        <v>0</v>
      </c>
      <c r="AE100" s="14" t="n">
        <f aca="false">((Assumptions!$C$10*$C$8)*IF((AE$18=(Assumptions!$C$9+$C$9)),SUM(C93:X93),IF((AE$18&gt;(Assumptions!$C$9+$C$9)),X93,0)))</f>
        <v>0</v>
      </c>
      <c r="AF100" s="14" t="n">
        <f aca="false">((Assumptions!$C$10*$C$8)*IF((AF$18=(Assumptions!$C$9+$C$9)),SUM(C93:Y93),IF((AF$18&gt;(Assumptions!$C$9+$C$9)),Y93,0)))</f>
        <v>0</v>
      </c>
      <c r="AG100" s="14" t="n">
        <f aca="false">((Assumptions!$C$10*$C$8)*IF((AG$18=(Assumptions!$C$9+$C$9)),SUM(C93:Z93),IF((AG$18&gt;(Assumptions!$C$9+$C$9)),Z93,0)))</f>
        <v>0</v>
      </c>
      <c r="AH100" s="14" t="n">
        <f aca="false">((Assumptions!$C$10*$C$8)*IF((AH$18=(Assumptions!$C$9+$C$9)),SUM(C93:AA93),IF((AH$18&gt;(Assumptions!$C$9+$C$9)),AA93,0)))</f>
        <v>0</v>
      </c>
      <c r="AI100" s="14" t="n">
        <f aca="false">((Assumptions!$C$10*$C$8)*IF((AI$18=(Assumptions!$C$9+$C$9)),SUM(C93:AB93),IF((AI$18&gt;(Assumptions!$C$9+$C$9)),AB93,0)))</f>
        <v>0</v>
      </c>
      <c r="AJ100" s="14" t="n">
        <f aca="false">((Assumptions!$C$10*$C$8)*IF((AJ$18=(Assumptions!$C$9+$C$9)),SUM(C93:AC93),IF((AJ$18&gt;(Assumptions!$C$9+$C$9)),AC93,0)))</f>
        <v>0</v>
      </c>
      <c r="AK100" s="14" t="n">
        <f aca="false">((Assumptions!$C$10*$C$8)*IF((AK$18=(Assumptions!$C$9+$C$9)),SUM(C93:AD93),IF((AK$18&gt;(Assumptions!$C$9+$C$9)),AD93,0)))</f>
        <v>0</v>
      </c>
      <c r="AL100" s="14" t="n">
        <f aca="false">((Assumptions!$C$10*$C$8)*IF((AL$18=(Assumptions!$C$9+$C$9)),SUM(C93:AE93),IF((AL$18&gt;(Assumptions!$C$9+$C$9)),AE93,0)))</f>
        <v>0</v>
      </c>
      <c r="AN100" s="36" t="n">
        <f aca="false">SUM(C100:N100)</f>
        <v>0</v>
      </c>
      <c r="AO100" s="36" t="n">
        <f aca="false">SUM(O100:Z100)</f>
        <v>0</v>
      </c>
      <c r="AP100" s="36" t="n">
        <f aca="false">SUM(AA100:AL100)</f>
        <v>0</v>
      </c>
    </row>
    <row r="101" customFormat="false" ht="15" hidden="false" customHeight="false" outlineLevel="0" collapsed="false">
      <c r="A101" s="0" t="s">
        <v>907</v>
      </c>
      <c r="B101" s="0" t="s">
        <v>852</v>
      </c>
      <c r="C101" s="14" t="n">
        <f aca="false">((C99+C100)+C95)</f>
        <v>0</v>
      </c>
      <c r="D101" s="14" t="n">
        <f aca="false">((D99+D100)+D95)</f>
        <v>0</v>
      </c>
      <c r="E101" s="14" t="n">
        <f aca="false">((E99+E100)+E95)</f>
        <v>0</v>
      </c>
      <c r="F101" s="14" t="n">
        <f aca="false">((F99+F100)+F95)</f>
        <v>0</v>
      </c>
      <c r="G101" s="14" t="n">
        <f aca="false">((G99+G100)+G95)</f>
        <v>0</v>
      </c>
      <c r="H101" s="14" t="n">
        <f aca="false">((H99+H100)+H95)</f>
        <v>0</v>
      </c>
      <c r="I101" s="14" t="n">
        <f aca="false">((I99+I100)+I95)</f>
        <v>0</v>
      </c>
      <c r="J101" s="14" t="n">
        <f aca="false">((J99+J100)+J95)</f>
        <v>0</v>
      </c>
      <c r="K101" s="14" t="n">
        <f aca="false">((K99+K100)+K95)</f>
        <v>0</v>
      </c>
      <c r="L101" s="14" t="n">
        <f aca="false">((L99+L100)+L95)</f>
        <v>0</v>
      </c>
      <c r="M101" s="14" t="n">
        <f aca="false">((M99+M100)+M95)</f>
        <v>0</v>
      </c>
      <c r="N101" s="14" t="n">
        <f aca="false">((N99+N100)+N95)</f>
        <v>0</v>
      </c>
      <c r="O101" s="14" t="n">
        <f aca="false">((O99+O100)+O95)</f>
        <v>0</v>
      </c>
      <c r="P101" s="14" t="n">
        <f aca="false">((P99+P100)+P95)</f>
        <v>0</v>
      </c>
      <c r="Q101" s="14" t="n">
        <f aca="false">((Q99+Q100)+Q95)</f>
        <v>0</v>
      </c>
      <c r="R101" s="14" t="n">
        <f aca="false">((R99+R100)+R95)</f>
        <v>0</v>
      </c>
      <c r="S101" s="14" t="n">
        <f aca="false">((S99+S100)+S95)</f>
        <v>0</v>
      </c>
      <c r="T101" s="14" t="n">
        <f aca="false">((T99+T100)+T95)</f>
        <v>0</v>
      </c>
      <c r="U101" s="14" t="n">
        <f aca="false">((U99+U100)+U95)</f>
        <v>0</v>
      </c>
      <c r="V101" s="14" t="n">
        <f aca="false">((V99+V100)+V95)</f>
        <v>0</v>
      </c>
      <c r="W101" s="14" t="n">
        <f aca="false">((W99+W100)+W95)</f>
        <v>0</v>
      </c>
      <c r="X101" s="14" t="n">
        <f aca="false">((X99+X100)+X95)</f>
        <v>0</v>
      </c>
      <c r="Y101" s="14" t="n">
        <f aca="false">((Y99+Y100)+Y95)</f>
        <v>0</v>
      </c>
      <c r="Z101" s="14" t="n">
        <f aca="false">((Z99+Z100)+Z95)</f>
        <v>0</v>
      </c>
      <c r="AA101" s="14" t="n">
        <f aca="false">((AA99+AA100)+AA95)</f>
        <v>0</v>
      </c>
      <c r="AB101" s="14" t="n">
        <f aca="false">((AB99+AB100)+AB95)</f>
        <v>0</v>
      </c>
      <c r="AC101" s="14" t="n">
        <f aca="false">((AC99+AC100)+AC95)</f>
        <v>0</v>
      </c>
      <c r="AD101" s="14" t="n">
        <f aca="false">((AD99+AD100)+AD95)</f>
        <v>0</v>
      </c>
      <c r="AE101" s="14" t="n">
        <f aca="false">((AE99+AE100)+AE95)</f>
        <v>0</v>
      </c>
      <c r="AF101" s="14" t="n">
        <f aca="false">((AF99+AF100)+AF95)</f>
        <v>0</v>
      </c>
      <c r="AG101" s="14" t="n">
        <f aca="false">((AG99+AG100)+AG95)</f>
        <v>0</v>
      </c>
      <c r="AH101" s="14" t="n">
        <f aca="false">((AH99+AH100)+AH95)</f>
        <v>0</v>
      </c>
      <c r="AI101" s="14" t="n">
        <f aca="false">((AI99+AI100)+AI95)</f>
        <v>0</v>
      </c>
      <c r="AJ101" s="14" t="n">
        <f aca="false">((AJ99+AJ100)+AJ95)</f>
        <v>0</v>
      </c>
      <c r="AK101" s="14" t="n">
        <f aca="false">((AK99+AK100)+AK95)</f>
        <v>0</v>
      </c>
      <c r="AL101" s="14" t="n">
        <f aca="false">((AL99+AL100)+AL95)</f>
        <v>1</v>
      </c>
      <c r="AN101" s="36" t="n">
        <f aca="false">SUM(C101:N101)</f>
        <v>0</v>
      </c>
      <c r="AO101" s="36" t="n">
        <f aca="false">SUM(O101:Z101)</f>
        <v>0</v>
      </c>
      <c r="AP101" s="36" t="n">
        <f aca="false">SUM(AA101:AL101)</f>
        <v>1</v>
      </c>
    </row>
    <row r="102" customFormat="false" ht="15" hidden="false" customHeight="false" outlineLevel="0" collapsed="false">
      <c r="A102" s="0" t="s">
        <v>908</v>
      </c>
      <c r="B102" s="0" t="s">
        <v>852</v>
      </c>
      <c r="C102" s="14" t="n">
        <f aca="false">(C101+(C45*0))</f>
        <v>0</v>
      </c>
      <c r="D102" s="14" t="n">
        <f aca="false">(D101+(D45*0))</f>
        <v>0</v>
      </c>
      <c r="E102" s="14" t="n">
        <f aca="false">(E101+(E45*0))</f>
        <v>0</v>
      </c>
      <c r="F102" s="14" t="n">
        <f aca="false">(F101+(F45*0))</f>
        <v>0</v>
      </c>
      <c r="G102" s="14" t="n">
        <f aca="false">(G101+(G45*0))</f>
        <v>0</v>
      </c>
      <c r="H102" s="14" t="n">
        <f aca="false">(H101+(H45*0))</f>
        <v>0</v>
      </c>
      <c r="I102" s="14" t="n">
        <f aca="false">(I101+(I45*0))</f>
        <v>0</v>
      </c>
      <c r="J102" s="14" t="n">
        <f aca="false">(J101+(J45*0))</f>
        <v>0</v>
      </c>
      <c r="K102" s="14" t="n">
        <f aca="false">(K101+(K45*0))</f>
        <v>0</v>
      </c>
      <c r="L102" s="14" t="n">
        <f aca="false">(L101+(L45*0))</f>
        <v>0</v>
      </c>
      <c r="M102" s="14" t="n">
        <f aca="false">(M101+(M45*0))</f>
        <v>0</v>
      </c>
      <c r="N102" s="14" t="n">
        <f aca="false">(N101+(N45*0))</f>
        <v>0</v>
      </c>
      <c r="O102" s="14" t="n">
        <f aca="false">(O101+(O45*C102))</f>
        <v>0</v>
      </c>
      <c r="P102" s="14" t="n">
        <f aca="false">(P101+(P45*D102))</f>
        <v>0</v>
      </c>
      <c r="Q102" s="14" t="n">
        <f aca="false">(Q101+(Q45*E102))</f>
        <v>0</v>
      </c>
      <c r="R102" s="14" t="n">
        <f aca="false">(R101+(R45*F102))</f>
        <v>0</v>
      </c>
      <c r="S102" s="14" t="n">
        <f aca="false">(S101+(S45*G102))</f>
        <v>0</v>
      </c>
      <c r="T102" s="14" t="n">
        <f aca="false">(T101+(T45*H102))</f>
        <v>0</v>
      </c>
      <c r="U102" s="14" t="n">
        <f aca="false">(U101+(U45*I102))</f>
        <v>0</v>
      </c>
      <c r="V102" s="14" t="n">
        <f aca="false">(V101+(V45*J102))</f>
        <v>0</v>
      </c>
      <c r="W102" s="14" t="n">
        <f aca="false">(W101+(W45*K102))</f>
        <v>0</v>
      </c>
      <c r="X102" s="14" t="n">
        <f aca="false">(X101+(X45*L102))</f>
        <v>0</v>
      </c>
      <c r="Y102" s="14" t="n">
        <f aca="false">(Y101+(Y45*M102))</f>
        <v>0</v>
      </c>
      <c r="Z102" s="14" t="n">
        <f aca="false">(Z101+(Z45*N102))</f>
        <v>0</v>
      </c>
      <c r="AA102" s="14" t="n">
        <f aca="false">(AA101+(AA45*O102))</f>
        <v>0</v>
      </c>
      <c r="AB102" s="14" t="n">
        <f aca="false">(AB101+(AB45*P102))</f>
        <v>0</v>
      </c>
      <c r="AC102" s="14" t="n">
        <f aca="false">(AC101+(AC45*Q102))</f>
        <v>0</v>
      </c>
      <c r="AD102" s="14" t="n">
        <f aca="false">(AD101+(AD45*R102))</f>
        <v>0</v>
      </c>
      <c r="AE102" s="14" t="n">
        <f aca="false">(AE101+(AE45*S102))</f>
        <v>0</v>
      </c>
      <c r="AF102" s="14" t="n">
        <f aca="false">(AF101+(AF45*T102))</f>
        <v>0</v>
      </c>
      <c r="AG102" s="14" t="n">
        <f aca="false">(AG101+(AG45*U102))</f>
        <v>0</v>
      </c>
      <c r="AH102" s="14" t="n">
        <f aca="false">(AH101+(AH45*V102))</f>
        <v>0</v>
      </c>
      <c r="AI102" s="14" t="n">
        <f aca="false">(AI101+(AI45*W102))</f>
        <v>0</v>
      </c>
      <c r="AJ102" s="14" t="n">
        <f aca="false">(AJ101+(AJ45*X102))</f>
        <v>0</v>
      </c>
      <c r="AK102" s="14" t="n">
        <f aca="false">(AK101+(AK45*Y102))</f>
        <v>0</v>
      </c>
      <c r="AL102" s="14" t="n">
        <f aca="false">(AL101+(AL45*Z102))</f>
        <v>1</v>
      </c>
      <c r="AN102" s="36" t="n">
        <f aca="false">SUM(C102:N102)</f>
        <v>0</v>
      </c>
      <c r="AO102" s="36" t="n">
        <f aca="false">SUM(O102:Z102)</f>
        <v>0</v>
      </c>
      <c r="AP102" s="36" t="n">
        <f aca="false">SUM(AA102:AL102)</f>
        <v>1</v>
      </c>
    </row>
    <row r="103" customFormat="false" ht="15" hidden="false" customHeight="false" outlineLevel="0" collapsed="false">
      <c r="A103" s="0" t="s">
        <v>909</v>
      </c>
      <c r="B103" s="0" t="s">
        <v>852</v>
      </c>
      <c r="C103" s="14" t="n">
        <f aca="false">C102</f>
        <v>0</v>
      </c>
      <c r="D103" s="14" t="n">
        <f aca="false">SUM(C102:D102)</f>
        <v>0</v>
      </c>
      <c r="E103" s="14" t="n">
        <f aca="false">SUM(C102:E102)</f>
        <v>0</v>
      </c>
      <c r="F103" s="14" t="n">
        <f aca="false">SUM(C102:F102)</f>
        <v>0</v>
      </c>
      <c r="G103" s="14" t="n">
        <f aca="false">SUM(C102:G102)</f>
        <v>0</v>
      </c>
      <c r="H103" s="14" t="n">
        <f aca="false">SUM(C102:H102)</f>
        <v>0</v>
      </c>
      <c r="I103" s="14" t="n">
        <f aca="false">SUM(C102:I102)</f>
        <v>0</v>
      </c>
      <c r="J103" s="14" t="n">
        <f aca="false">SUM(C102:J102)</f>
        <v>0</v>
      </c>
      <c r="K103" s="14" t="n">
        <f aca="false">SUM(C102:K102)</f>
        <v>0</v>
      </c>
      <c r="L103" s="14" t="n">
        <f aca="false">SUM(C102:L102)</f>
        <v>0</v>
      </c>
      <c r="M103" s="14" t="n">
        <f aca="false">SUM(C102:M102)</f>
        <v>0</v>
      </c>
      <c r="N103" s="14" t="n">
        <f aca="false">SUM(C102:N102)</f>
        <v>0</v>
      </c>
      <c r="O103" s="14" t="n">
        <f aca="false">SUM(D102:O102)</f>
        <v>0</v>
      </c>
      <c r="P103" s="14" t="n">
        <f aca="false">SUM(E102:P102)</f>
        <v>0</v>
      </c>
      <c r="Q103" s="14" t="n">
        <f aca="false">SUM(F102:Q102)</f>
        <v>0</v>
      </c>
      <c r="R103" s="14" t="n">
        <f aca="false">SUM(G102:R102)</f>
        <v>0</v>
      </c>
      <c r="S103" s="14" t="n">
        <f aca="false">SUM(H102:S102)</f>
        <v>0</v>
      </c>
      <c r="T103" s="14" t="n">
        <f aca="false">SUM(I102:T102)</f>
        <v>0</v>
      </c>
      <c r="U103" s="14" t="n">
        <f aca="false">SUM(J102:U102)</f>
        <v>0</v>
      </c>
      <c r="V103" s="14" t="n">
        <f aca="false">SUM(K102:V102)</f>
        <v>0</v>
      </c>
      <c r="W103" s="14" t="n">
        <f aca="false">SUM(L102:W102)</f>
        <v>0</v>
      </c>
      <c r="X103" s="14" t="n">
        <f aca="false">SUM(M102:X102)</f>
        <v>0</v>
      </c>
      <c r="Y103" s="14" t="n">
        <f aca="false">SUM(N102:Y102)</f>
        <v>0</v>
      </c>
      <c r="Z103" s="14" t="n">
        <f aca="false">SUM(O102:Z102)</f>
        <v>0</v>
      </c>
      <c r="AA103" s="14" t="n">
        <f aca="false">SUM(P102:AA102)</f>
        <v>0</v>
      </c>
      <c r="AB103" s="14" t="n">
        <f aca="false">SUM(Q102:AB102)</f>
        <v>0</v>
      </c>
      <c r="AC103" s="14" t="n">
        <f aca="false">SUM(R102:AC102)</f>
        <v>0</v>
      </c>
      <c r="AD103" s="14" t="n">
        <f aca="false">SUM(S102:AD102)</f>
        <v>0</v>
      </c>
      <c r="AE103" s="14" t="n">
        <f aca="false">SUM(T102:AE102)</f>
        <v>0</v>
      </c>
      <c r="AF103" s="14" t="n">
        <f aca="false">SUM(U102:AF102)</f>
        <v>0</v>
      </c>
      <c r="AG103" s="14" t="n">
        <f aca="false">SUM(V102:AG102)</f>
        <v>0</v>
      </c>
      <c r="AH103" s="14" t="n">
        <f aca="false">SUM(W102:AH102)</f>
        <v>0</v>
      </c>
      <c r="AI103" s="14" t="n">
        <f aca="false">SUM(X102:AI102)</f>
        <v>0</v>
      </c>
      <c r="AJ103" s="14" t="n">
        <f aca="false">SUM(Y102:AJ102)</f>
        <v>0</v>
      </c>
      <c r="AK103" s="14" t="n">
        <f aca="false">SUM(Z102:AK102)</f>
        <v>0</v>
      </c>
      <c r="AL103" s="14" t="n">
        <f aca="false">SUM(AA102:AL102)</f>
        <v>1</v>
      </c>
      <c r="AN103" s="36" t="n">
        <f aca="false">N103</f>
        <v>0</v>
      </c>
      <c r="AO103" s="36" t="n">
        <f aca="false">Z103</f>
        <v>0</v>
      </c>
      <c r="AP103" s="36" t="n">
        <f aca="false">AL103</f>
        <v>1</v>
      </c>
    </row>
    <row r="104" customFormat="false" ht="15" hidden="false" customHeight="false" outlineLevel="0" collapsed="false">
      <c r="A104" s="0" t="s">
        <v>910</v>
      </c>
      <c r="B104" s="0" t="s">
        <v>230</v>
      </c>
      <c r="C104" s="9" t="n">
        <f aca="false">((Assumptions!$E$121*(1-Assumptions!$C$29))*$C$10)</f>
        <v>193600</v>
      </c>
      <c r="D104" s="9" t="n">
        <f aca="false">((Assumptions!$E$121*(1-Assumptions!$C$29))*$C$10)</f>
        <v>193600</v>
      </c>
      <c r="E104" s="9" t="n">
        <f aca="false">((Assumptions!$E$121*(1-Assumptions!$C$29))*$C$10)</f>
        <v>193600</v>
      </c>
      <c r="F104" s="9" t="n">
        <f aca="false">((Assumptions!$E$121*(1-Assumptions!$C$29))*$C$10)</f>
        <v>193600</v>
      </c>
      <c r="G104" s="9" t="n">
        <f aca="false">((Assumptions!$E$121*(1-Assumptions!$C$29))*$C$10)</f>
        <v>193600</v>
      </c>
      <c r="H104" s="9" t="n">
        <f aca="false">((Assumptions!$E$121*(1-Assumptions!$C$29))*$C$10)</f>
        <v>193600</v>
      </c>
      <c r="I104" s="9" t="n">
        <f aca="false">((Assumptions!$E$121*(1-Assumptions!$C$29))*$C$10)</f>
        <v>193600</v>
      </c>
      <c r="J104" s="9" t="n">
        <f aca="false">((Assumptions!$E$121*(1-Assumptions!$C$29))*$C$10)</f>
        <v>193600</v>
      </c>
      <c r="K104" s="9" t="n">
        <f aca="false">((Assumptions!$E$121*(1-Assumptions!$C$29))*$C$10)</f>
        <v>193600</v>
      </c>
      <c r="L104" s="9" t="n">
        <f aca="false">((Assumptions!$E$121*(1-Assumptions!$C$29))*$C$10)</f>
        <v>193600</v>
      </c>
      <c r="M104" s="9" t="n">
        <f aca="false">((Assumptions!$E$121*(1-Assumptions!$C$29))*$C$10)</f>
        <v>193600</v>
      </c>
      <c r="N104" s="9" t="n">
        <f aca="false">((Assumptions!$E$121*(1-Assumptions!$C$29))*$C$10)</f>
        <v>193600</v>
      </c>
      <c r="O104" s="9" t="n">
        <f aca="false">((Assumptions!$E$121*(1-Assumptions!$C$29))*$C$10)</f>
        <v>193600</v>
      </c>
      <c r="P104" s="9" t="n">
        <f aca="false">((Assumptions!$E$121*(1-Assumptions!$C$29))*$C$10)</f>
        <v>193600</v>
      </c>
      <c r="Q104" s="9" t="n">
        <f aca="false">((Assumptions!$E$121*(1-Assumptions!$C$29))*$C$10)</f>
        <v>193600</v>
      </c>
      <c r="R104" s="9" t="n">
        <f aca="false">((Assumptions!$E$121*(1-Assumptions!$C$29))*$C$10)</f>
        <v>193600</v>
      </c>
      <c r="S104" s="9" t="n">
        <f aca="false">((Assumptions!$E$121*(1-Assumptions!$C$29))*$C$10)</f>
        <v>193600</v>
      </c>
      <c r="T104" s="9" t="n">
        <f aca="false">((Assumptions!$E$121*(1-Assumptions!$C$29))*$C$10)</f>
        <v>193600</v>
      </c>
      <c r="U104" s="9" t="n">
        <f aca="false">((Assumptions!$E$121*(1-Assumptions!$C$29))*$C$10)</f>
        <v>193600</v>
      </c>
      <c r="V104" s="9" t="n">
        <f aca="false">((Assumptions!$E$121*(1-Assumptions!$C$29))*$C$10)</f>
        <v>193600</v>
      </c>
      <c r="W104" s="9" t="n">
        <f aca="false">((Assumptions!$E$121*(1-Assumptions!$C$29))*$C$10)</f>
        <v>193600</v>
      </c>
      <c r="X104" s="9" t="n">
        <f aca="false">((Assumptions!$E$121*(1-Assumptions!$C$29))*$C$10)</f>
        <v>193600</v>
      </c>
      <c r="Y104" s="9" t="n">
        <f aca="false">((Assumptions!$E$121*(1-Assumptions!$C$29))*$C$10)</f>
        <v>193600</v>
      </c>
      <c r="Z104" s="9" t="n">
        <f aca="false">((Assumptions!$E$121*(1-Assumptions!$C$29))*$C$10)</f>
        <v>193600</v>
      </c>
      <c r="AA104" s="9" t="n">
        <f aca="false">((Assumptions!$E$121*(1-Assumptions!$C$29))*$C$10)</f>
        <v>193600</v>
      </c>
      <c r="AB104" s="9" t="n">
        <f aca="false">((Assumptions!$E$121*(1-Assumptions!$C$29))*$C$10)</f>
        <v>193600</v>
      </c>
      <c r="AC104" s="9" t="n">
        <f aca="false">((Assumptions!$E$121*(1-Assumptions!$C$29))*$C$10)</f>
        <v>193600</v>
      </c>
      <c r="AD104" s="9" t="n">
        <f aca="false">((Assumptions!$E$121*(1-Assumptions!$C$29))*$C$10)</f>
        <v>193600</v>
      </c>
      <c r="AE104" s="9" t="n">
        <f aca="false">((Assumptions!$E$121*(1-Assumptions!$C$29))*$C$10)</f>
        <v>193600</v>
      </c>
      <c r="AF104" s="9" t="n">
        <f aca="false">((Assumptions!$E$121*(1-Assumptions!$C$29))*$C$10)</f>
        <v>193600</v>
      </c>
      <c r="AG104" s="9" t="n">
        <f aca="false">((Assumptions!$E$121*(1-Assumptions!$C$29))*$C$10)</f>
        <v>193600</v>
      </c>
      <c r="AH104" s="9" t="n">
        <f aca="false">((Assumptions!$E$121*(1-Assumptions!$C$29))*$C$10)</f>
        <v>193600</v>
      </c>
      <c r="AI104" s="9" t="n">
        <f aca="false">((Assumptions!$E$121*(1-Assumptions!$C$29))*$C$10)</f>
        <v>193600</v>
      </c>
      <c r="AJ104" s="9" t="n">
        <f aca="false">((Assumptions!$E$121*(1-Assumptions!$C$29))*$C$10)</f>
        <v>193600</v>
      </c>
      <c r="AK104" s="9" t="n">
        <f aca="false">((Assumptions!$E$121*(1-Assumptions!$C$29))*$C$10)</f>
        <v>193600</v>
      </c>
      <c r="AL104" s="9" t="n">
        <f aca="false">((Assumptions!$E$121*(1-Assumptions!$C$29))*$C$10)</f>
        <v>193600</v>
      </c>
    </row>
    <row r="105" customFormat="false" ht="15" hidden="false" customHeight="false" outlineLevel="0" collapsed="false">
      <c r="A105" s="0" t="s">
        <v>911</v>
      </c>
      <c r="B105" s="0" t="s">
        <v>230</v>
      </c>
      <c r="C105" s="9" t="n">
        <f aca="false">((C101*C104)+((C45*(1+Assumptions!$C$31))*0))</f>
        <v>0</v>
      </c>
      <c r="D105" s="9" t="n">
        <f aca="false">((D101*D104)+((D45*(1+Assumptions!$C$31))*0))</f>
        <v>0</v>
      </c>
      <c r="E105" s="9" t="n">
        <f aca="false">((E101*E104)+((E45*(1+Assumptions!$C$31))*0))</f>
        <v>0</v>
      </c>
      <c r="F105" s="9" t="n">
        <f aca="false">((F101*F104)+((F45*(1+Assumptions!$C$31))*0))</f>
        <v>0</v>
      </c>
      <c r="G105" s="9" t="n">
        <f aca="false">((G101*G104)+((G45*(1+Assumptions!$C$31))*0))</f>
        <v>0</v>
      </c>
      <c r="H105" s="9" t="n">
        <f aca="false">((H101*H104)+((H45*(1+Assumptions!$C$31))*0))</f>
        <v>0</v>
      </c>
      <c r="I105" s="9" t="n">
        <f aca="false">((I101*I104)+((I45*(1+Assumptions!$C$31))*0))</f>
        <v>0</v>
      </c>
      <c r="J105" s="9" t="n">
        <f aca="false">((J101*J104)+((J45*(1+Assumptions!$C$31))*0))</f>
        <v>0</v>
      </c>
      <c r="K105" s="9" t="n">
        <f aca="false">((K101*K104)+((K45*(1+Assumptions!$C$31))*0))</f>
        <v>0</v>
      </c>
      <c r="L105" s="9" t="n">
        <f aca="false">((L101*L104)+((L45*(1+Assumptions!$C$31))*0))</f>
        <v>0</v>
      </c>
      <c r="M105" s="9" t="n">
        <f aca="false">((M101*M104)+((M45*(1+Assumptions!$C$31))*0))</f>
        <v>0</v>
      </c>
      <c r="N105" s="9" t="n">
        <f aca="false">((N101*N104)+((N45*(1+Assumptions!$C$31))*0))</f>
        <v>0</v>
      </c>
      <c r="O105" s="9" t="n">
        <f aca="false">((O101*O104)+((O45*(1+Assumptions!$C$31))*C105))</f>
        <v>0</v>
      </c>
      <c r="P105" s="9" t="n">
        <f aca="false">((P101*P104)+((P45*(1+Assumptions!$C$31))*D105))</f>
        <v>0</v>
      </c>
      <c r="Q105" s="9" t="n">
        <f aca="false">((Q101*Q104)+((Q45*(1+Assumptions!$C$31))*E105))</f>
        <v>0</v>
      </c>
      <c r="R105" s="9" t="n">
        <f aca="false">((R101*R104)+((R45*(1+Assumptions!$C$31))*F105))</f>
        <v>0</v>
      </c>
      <c r="S105" s="9" t="n">
        <f aca="false">((S101*S104)+((S45*(1+Assumptions!$C$31))*G105))</f>
        <v>0</v>
      </c>
      <c r="T105" s="9" t="n">
        <f aca="false">((T101*T104)+((T45*(1+Assumptions!$C$31))*H105))</f>
        <v>0</v>
      </c>
      <c r="U105" s="9" t="n">
        <f aca="false">((U101*U104)+((U45*(1+Assumptions!$C$31))*I105))</f>
        <v>0</v>
      </c>
      <c r="V105" s="9" t="n">
        <f aca="false">((V101*V104)+((V45*(1+Assumptions!$C$31))*J105))</f>
        <v>0</v>
      </c>
      <c r="W105" s="9" t="n">
        <f aca="false">((W101*W104)+((W45*(1+Assumptions!$C$31))*K105))</f>
        <v>0</v>
      </c>
      <c r="X105" s="9" t="n">
        <f aca="false">((X101*X104)+((X45*(1+Assumptions!$C$31))*L105))</f>
        <v>0</v>
      </c>
      <c r="Y105" s="9" t="n">
        <f aca="false">((Y101*Y104)+((Y45*(1+Assumptions!$C$31))*M105))</f>
        <v>0</v>
      </c>
      <c r="Z105" s="9" t="n">
        <f aca="false">((Z101*Z104)+((Z45*(1+Assumptions!$C$31))*N105))</f>
        <v>0</v>
      </c>
      <c r="AA105" s="9" t="n">
        <f aca="false">((AA101*AA104)+((AA45*(1+Assumptions!$C$31))*O105))</f>
        <v>0</v>
      </c>
      <c r="AB105" s="9" t="n">
        <f aca="false">((AB101*AB104)+((AB45*(1+Assumptions!$C$31))*P105))</f>
        <v>0</v>
      </c>
      <c r="AC105" s="9" t="n">
        <f aca="false">((AC101*AC104)+((AC45*(1+Assumptions!$C$31))*Q105))</f>
        <v>0</v>
      </c>
      <c r="AD105" s="9" t="n">
        <f aca="false">((AD101*AD104)+((AD45*(1+Assumptions!$C$31))*R105))</f>
        <v>0</v>
      </c>
      <c r="AE105" s="9" t="n">
        <f aca="false">((AE101*AE104)+((AE45*(1+Assumptions!$C$31))*S105))</f>
        <v>0</v>
      </c>
      <c r="AF105" s="9" t="n">
        <f aca="false">((AF101*AF104)+((AF45*(1+Assumptions!$C$31))*T105))</f>
        <v>0</v>
      </c>
      <c r="AG105" s="9" t="n">
        <f aca="false">((AG101*AG104)+((AG45*(1+Assumptions!$C$31))*U105))</f>
        <v>0</v>
      </c>
      <c r="AH105" s="9" t="n">
        <f aca="false">((AH101*AH104)+((AH45*(1+Assumptions!$C$31))*V105))</f>
        <v>0</v>
      </c>
      <c r="AI105" s="9" t="n">
        <f aca="false">((AI101*AI104)+((AI45*(1+Assumptions!$C$31))*W105))</f>
        <v>0</v>
      </c>
      <c r="AJ105" s="9" t="n">
        <f aca="false">((AJ101*AJ104)+((AJ45*(1+Assumptions!$C$31))*X105))</f>
        <v>0</v>
      </c>
      <c r="AK105" s="9" t="n">
        <f aca="false">((AK101*AK104)+((AK45*(1+Assumptions!$C$31))*Y105))</f>
        <v>0</v>
      </c>
      <c r="AL105" s="9" t="n">
        <f aca="false">((AL101*AL104)+((AL45*(1+Assumptions!$C$31))*Z105))</f>
        <v>193600</v>
      </c>
      <c r="AN105" s="11" t="n">
        <f aca="false">SUM(C105:N105)</f>
        <v>0</v>
      </c>
      <c r="AO105" s="11" t="n">
        <f aca="false">SUM(O105:Z105)</f>
        <v>0</v>
      </c>
      <c r="AP105" s="11" t="n">
        <f aca="false">SUM(AA105:AL105)</f>
        <v>193600</v>
      </c>
    </row>
    <row r="106" customFormat="false" ht="15" hidden="false" customHeight="false" outlineLevel="0" collapsed="false">
      <c r="A106" s="0" t="s">
        <v>912</v>
      </c>
      <c r="B106" s="0" t="s">
        <v>230</v>
      </c>
      <c r="C106" s="9" t="n">
        <f aca="false">(Assumptions!$E$126*C99)</f>
        <v>0</v>
      </c>
      <c r="D106" s="9" t="n">
        <f aca="false">(Assumptions!$E$126*D99)</f>
        <v>0</v>
      </c>
      <c r="E106" s="9" t="n">
        <f aca="false">(Assumptions!$E$126*E99)</f>
        <v>0</v>
      </c>
      <c r="F106" s="9" t="n">
        <f aca="false">(Assumptions!$E$126*F99)</f>
        <v>0</v>
      </c>
      <c r="G106" s="9" t="n">
        <f aca="false">(Assumptions!$E$126*G99)</f>
        <v>0</v>
      </c>
      <c r="H106" s="9" t="n">
        <f aca="false">(Assumptions!$E$126*H99)</f>
        <v>0</v>
      </c>
      <c r="I106" s="9" t="n">
        <f aca="false">(Assumptions!$E$126*I99)</f>
        <v>0</v>
      </c>
      <c r="J106" s="9" t="n">
        <f aca="false">(Assumptions!$E$126*J99)</f>
        <v>0</v>
      </c>
      <c r="K106" s="9" t="n">
        <f aca="false">(Assumptions!$E$126*K99)</f>
        <v>0</v>
      </c>
      <c r="L106" s="9" t="n">
        <f aca="false">(Assumptions!$E$126*L99)</f>
        <v>0</v>
      </c>
      <c r="M106" s="9" t="n">
        <f aca="false">(Assumptions!$E$126*M99)</f>
        <v>0</v>
      </c>
      <c r="N106" s="9" t="n">
        <f aca="false">(Assumptions!$E$126*N99)</f>
        <v>0</v>
      </c>
      <c r="O106" s="9" t="n">
        <f aca="false">(Assumptions!$E$126*O99)</f>
        <v>0</v>
      </c>
      <c r="P106" s="9" t="n">
        <f aca="false">(Assumptions!$E$126*P99)</f>
        <v>0</v>
      </c>
      <c r="Q106" s="9" t="n">
        <f aca="false">(Assumptions!$E$126*Q99)</f>
        <v>0</v>
      </c>
      <c r="R106" s="9" t="n">
        <f aca="false">(Assumptions!$E$126*R99)</f>
        <v>0</v>
      </c>
      <c r="S106" s="9" t="n">
        <f aca="false">(Assumptions!$E$126*S99)</f>
        <v>0</v>
      </c>
      <c r="T106" s="9" t="n">
        <f aca="false">(Assumptions!$E$126*T99)</f>
        <v>0</v>
      </c>
      <c r="U106" s="9" t="n">
        <f aca="false">(Assumptions!$E$126*U99)</f>
        <v>0</v>
      </c>
      <c r="V106" s="9" t="n">
        <f aca="false">(Assumptions!$E$126*V99)</f>
        <v>0</v>
      </c>
      <c r="W106" s="9" t="n">
        <f aca="false">(Assumptions!$E$126*W99)</f>
        <v>0</v>
      </c>
      <c r="X106" s="9" t="n">
        <f aca="false">(Assumptions!$E$126*X99)</f>
        <v>0</v>
      </c>
      <c r="Y106" s="9" t="n">
        <f aca="false">(Assumptions!$E$126*Y99)</f>
        <v>0</v>
      </c>
      <c r="Z106" s="9" t="n">
        <f aca="false">(Assumptions!$E$126*Z99)</f>
        <v>0</v>
      </c>
      <c r="AA106" s="9" t="n">
        <f aca="false">(Assumptions!$E$126*AA99)</f>
        <v>0</v>
      </c>
      <c r="AB106" s="9" t="n">
        <f aca="false">(Assumptions!$E$126*AB99)</f>
        <v>0</v>
      </c>
      <c r="AC106" s="9" t="n">
        <f aca="false">(Assumptions!$E$126*AC99)</f>
        <v>0</v>
      </c>
      <c r="AD106" s="9" t="n">
        <f aca="false">(Assumptions!$E$126*AD99)</f>
        <v>0</v>
      </c>
      <c r="AE106" s="9" t="n">
        <f aca="false">(Assumptions!$E$126*AE99)</f>
        <v>0</v>
      </c>
      <c r="AF106" s="9" t="n">
        <f aca="false">(Assumptions!$E$126*AF99)</f>
        <v>0</v>
      </c>
      <c r="AG106" s="9" t="n">
        <f aca="false">(Assumptions!$E$126*AG99)</f>
        <v>0</v>
      </c>
      <c r="AH106" s="9" t="n">
        <f aca="false">(Assumptions!$E$126*AH99)</f>
        <v>0</v>
      </c>
      <c r="AI106" s="9" t="n">
        <f aca="false">(Assumptions!$E$126*AI99)</f>
        <v>0</v>
      </c>
      <c r="AJ106" s="9" t="n">
        <f aca="false">(Assumptions!$E$126*AJ99)</f>
        <v>0</v>
      </c>
      <c r="AK106" s="9" t="n">
        <f aca="false">(Assumptions!$E$126*AK99)</f>
        <v>0</v>
      </c>
      <c r="AL106" s="9" t="n">
        <f aca="false">(Assumptions!$E$126*AL99)</f>
        <v>0</v>
      </c>
      <c r="AN106" s="11" t="n">
        <f aca="false">SUM(C106:N106)</f>
        <v>0</v>
      </c>
      <c r="AO106" s="11" t="n">
        <f aca="false">SUM(O106:Z106)</f>
        <v>0</v>
      </c>
      <c r="AP106" s="11" t="n">
        <f aca="false">SUM(AA106:AL106)</f>
        <v>0</v>
      </c>
    </row>
    <row r="107" customFormat="false" ht="15" hidden="false" customHeight="false" outlineLevel="0" collapsed="false">
      <c r="A107" s="0" t="s">
        <v>913</v>
      </c>
      <c r="B107" s="0" t="s">
        <v>230</v>
      </c>
      <c r="C107" s="9" t="n">
        <f aca="false">((C105-C106)/12)</f>
        <v>0</v>
      </c>
      <c r="D107" s="9" t="n">
        <f aca="false">((SUM(C105:D105)-SUM(C106:D106))/12)</f>
        <v>0</v>
      </c>
      <c r="E107" s="9" t="n">
        <f aca="false">((SUM(C105:E105)-SUM(C106:E106))/12)</f>
        <v>0</v>
      </c>
      <c r="F107" s="9" t="n">
        <f aca="false">((SUM(C105:F105)-SUM(C106:F106))/12)</f>
        <v>0</v>
      </c>
      <c r="G107" s="9" t="n">
        <f aca="false">((SUM(C105:G105)-SUM(C106:G106))/12)</f>
        <v>0</v>
      </c>
      <c r="H107" s="9" t="n">
        <f aca="false">((SUM(C105:H105)-SUM(C106:H106))/12)</f>
        <v>0</v>
      </c>
      <c r="I107" s="9" t="n">
        <f aca="false">((SUM(C105:I105)-SUM(C106:I106))/12)</f>
        <v>0</v>
      </c>
      <c r="J107" s="9" t="n">
        <f aca="false">((SUM(C105:J105)-SUM(C106:J106))/12)</f>
        <v>0</v>
      </c>
      <c r="K107" s="9" t="n">
        <f aca="false">((SUM(C105:K105)-SUM(C106:K106))/12)</f>
        <v>0</v>
      </c>
      <c r="L107" s="9" t="n">
        <f aca="false">((SUM(C105:L105)-SUM(C106:L106))/12)</f>
        <v>0</v>
      </c>
      <c r="M107" s="9" t="n">
        <f aca="false">((SUM(C105:M105)-SUM(C106:M106))/12)</f>
        <v>0</v>
      </c>
      <c r="N107" s="9" t="n">
        <f aca="false">((SUM(C105:N105)-SUM(C106:N106))/12)</f>
        <v>0</v>
      </c>
      <c r="O107" s="9" t="n">
        <f aca="false">((SUM(D105:O105)-SUM(D106:O106))/12)</f>
        <v>0</v>
      </c>
      <c r="P107" s="9" t="n">
        <f aca="false">((SUM(E105:P105)-SUM(E106:P106))/12)</f>
        <v>0</v>
      </c>
      <c r="Q107" s="9" t="n">
        <f aca="false">((SUM(F105:Q105)-SUM(F106:Q106))/12)</f>
        <v>0</v>
      </c>
      <c r="R107" s="9" t="n">
        <f aca="false">((SUM(G105:R105)-SUM(G106:R106))/12)</f>
        <v>0</v>
      </c>
      <c r="S107" s="9" t="n">
        <f aca="false">((SUM(H105:S105)-SUM(H106:S106))/12)</f>
        <v>0</v>
      </c>
      <c r="T107" s="9" t="n">
        <f aca="false">((SUM(I105:T105)-SUM(I106:T106))/12)</f>
        <v>0</v>
      </c>
      <c r="U107" s="9" t="n">
        <f aca="false">((SUM(J105:U105)-SUM(J106:U106))/12)</f>
        <v>0</v>
      </c>
      <c r="V107" s="9" t="n">
        <f aca="false">((SUM(K105:V105)-SUM(K106:V106))/12)</f>
        <v>0</v>
      </c>
      <c r="W107" s="9" t="n">
        <f aca="false">((SUM(L105:W105)-SUM(L106:W106))/12)</f>
        <v>0</v>
      </c>
      <c r="X107" s="9" t="n">
        <f aca="false">((SUM(M105:X105)-SUM(M106:X106))/12)</f>
        <v>0</v>
      </c>
      <c r="Y107" s="9" t="n">
        <f aca="false">((SUM(N105:Y105)-SUM(N106:Y106))/12)</f>
        <v>0</v>
      </c>
      <c r="Z107" s="9" t="n">
        <f aca="false">((SUM(O105:Z105)-SUM(O106:Z106))/12)</f>
        <v>0</v>
      </c>
      <c r="AA107" s="9" t="n">
        <f aca="false">((SUM(P105:AA105)-SUM(P106:AA106))/12)</f>
        <v>0</v>
      </c>
      <c r="AB107" s="9" t="n">
        <f aca="false">((SUM(Q105:AB105)-SUM(Q106:AB106))/12)</f>
        <v>0</v>
      </c>
      <c r="AC107" s="9" t="n">
        <f aca="false">((SUM(R105:AC105)-SUM(R106:AC106))/12)</f>
        <v>0</v>
      </c>
      <c r="AD107" s="9" t="n">
        <f aca="false">((SUM(S105:AD105)-SUM(S106:AD106))/12)</f>
        <v>0</v>
      </c>
      <c r="AE107" s="9" t="n">
        <f aca="false">((SUM(T105:AE105)-SUM(T106:AE106))/12)</f>
        <v>0</v>
      </c>
      <c r="AF107" s="9" t="n">
        <f aca="false">((SUM(U105:AF105)-SUM(U106:AF106))/12)</f>
        <v>0</v>
      </c>
      <c r="AG107" s="9" t="n">
        <f aca="false">((SUM(V105:AG105)-SUM(V106:AG106))/12)</f>
        <v>0</v>
      </c>
      <c r="AH107" s="9" t="n">
        <f aca="false">((SUM(W105:AH105)-SUM(W106:AH106))/12)</f>
        <v>0</v>
      </c>
      <c r="AI107" s="9" t="n">
        <f aca="false">((SUM(X105:AI105)-SUM(X106:AI106))/12)</f>
        <v>0</v>
      </c>
      <c r="AJ107" s="9" t="n">
        <f aca="false">((SUM(Y105:AJ105)-SUM(Y106:AJ106))/12)</f>
        <v>0</v>
      </c>
      <c r="AK107" s="9" t="n">
        <f aca="false">((SUM(Z105:AK105)-SUM(Z106:AK106))/12)</f>
        <v>0</v>
      </c>
      <c r="AL107" s="9" t="n">
        <f aca="false">((SUM(AA105:AL105)-SUM(AA106:AL106))/12)</f>
        <v>16133.3333333333</v>
      </c>
      <c r="AN107" s="11" t="n">
        <f aca="false">SUM(C107:N107)</f>
        <v>0</v>
      </c>
      <c r="AO107" s="11" t="n">
        <f aca="false">SUM(O107:Z107)</f>
        <v>0</v>
      </c>
      <c r="AP107" s="11" t="n">
        <f aca="false">SUM(AA107:AL107)</f>
        <v>16133.3333333333</v>
      </c>
    </row>
    <row r="108" customFormat="false" ht="15" hidden="false" customHeight="false" outlineLevel="0" collapsed="false">
      <c r="A108" s="0" t="s">
        <v>914</v>
      </c>
      <c r="B108" s="0" t="s">
        <v>230</v>
      </c>
      <c r="C108" s="9" t="n">
        <f aca="false">(C105-C106)</f>
        <v>0</v>
      </c>
      <c r="D108" s="9" t="n">
        <f aca="false">(D105-D106)</f>
        <v>0</v>
      </c>
      <c r="E108" s="9" t="n">
        <f aca="false">(E105-E106)</f>
        <v>0</v>
      </c>
      <c r="F108" s="9" t="n">
        <f aca="false">(F105-F106)</f>
        <v>0</v>
      </c>
      <c r="G108" s="9" t="n">
        <f aca="false">(G105-G106)</f>
        <v>0</v>
      </c>
      <c r="H108" s="9" t="n">
        <f aca="false">(H105-H106)</f>
        <v>0</v>
      </c>
      <c r="I108" s="9" t="n">
        <f aca="false">(I105-I106)</f>
        <v>0</v>
      </c>
      <c r="J108" s="9" t="n">
        <f aca="false">(J105-J106)</f>
        <v>0</v>
      </c>
      <c r="K108" s="9" t="n">
        <f aca="false">(K105-K106)</f>
        <v>0</v>
      </c>
      <c r="L108" s="9" t="n">
        <f aca="false">(L105-L106)</f>
        <v>0</v>
      </c>
      <c r="M108" s="9" t="n">
        <f aca="false">(M105-M106)</f>
        <v>0</v>
      </c>
      <c r="N108" s="9" t="n">
        <f aca="false">(N105-N106)</f>
        <v>0</v>
      </c>
      <c r="O108" s="9" t="n">
        <f aca="false">(O105-O106)</f>
        <v>0</v>
      </c>
      <c r="P108" s="9" t="n">
        <f aca="false">(P105-P106)</f>
        <v>0</v>
      </c>
      <c r="Q108" s="9" t="n">
        <f aca="false">(Q105-Q106)</f>
        <v>0</v>
      </c>
      <c r="R108" s="9" t="n">
        <f aca="false">(R105-R106)</f>
        <v>0</v>
      </c>
      <c r="S108" s="9" t="n">
        <f aca="false">(S105-S106)</f>
        <v>0</v>
      </c>
      <c r="T108" s="9" t="n">
        <f aca="false">(T105-T106)</f>
        <v>0</v>
      </c>
      <c r="U108" s="9" t="n">
        <f aca="false">(U105-U106)</f>
        <v>0</v>
      </c>
      <c r="V108" s="9" t="n">
        <f aca="false">(V105-V106)</f>
        <v>0</v>
      </c>
      <c r="W108" s="9" t="n">
        <f aca="false">(W105-W106)</f>
        <v>0</v>
      </c>
      <c r="X108" s="9" t="n">
        <f aca="false">(X105-X106)</f>
        <v>0</v>
      </c>
      <c r="Y108" s="9" t="n">
        <f aca="false">(Y105-Y106)</f>
        <v>0</v>
      </c>
      <c r="Z108" s="9" t="n">
        <f aca="false">(Z105-Z106)</f>
        <v>0</v>
      </c>
      <c r="AA108" s="9" t="n">
        <f aca="false">(AA105-AA106)</f>
        <v>0</v>
      </c>
      <c r="AB108" s="9" t="n">
        <f aca="false">(AB105-AB106)</f>
        <v>0</v>
      </c>
      <c r="AC108" s="9" t="n">
        <f aca="false">(AC105-AC106)</f>
        <v>0</v>
      </c>
      <c r="AD108" s="9" t="n">
        <f aca="false">(AD105-AD106)</f>
        <v>0</v>
      </c>
      <c r="AE108" s="9" t="n">
        <f aca="false">(AE105-AE106)</f>
        <v>0</v>
      </c>
      <c r="AF108" s="9" t="n">
        <f aca="false">(AF105-AF106)</f>
        <v>0</v>
      </c>
      <c r="AG108" s="9" t="n">
        <f aca="false">(AG105-AG106)</f>
        <v>0</v>
      </c>
      <c r="AH108" s="9" t="n">
        <f aca="false">(AH105-AH106)</f>
        <v>0</v>
      </c>
      <c r="AI108" s="9" t="n">
        <f aca="false">(AI105-AI106)</f>
        <v>0</v>
      </c>
      <c r="AJ108" s="9" t="n">
        <f aca="false">(AJ105-AJ106)</f>
        <v>0</v>
      </c>
      <c r="AK108" s="9" t="n">
        <f aca="false">(AK105-AK106)</f>
        <v>0</v>
      </c>
      <c r="AL108" s="9" t="n">
        <f aca="false">(AL105-AL106)</f>
        <v>193600</v>
      </c>
      <c r="AN108" s="11" t="n">
        <f aca="false">SUM(C108:N108)</f>
        <v>0</v>
      </c>
      <c r="AO108" s="11" t="n">
        <f aca="false">SUM(O108:Z108)</f>
        <v>0</v>
      </c>
      <c r="AP108" s="11" t="n">
        <f aca="false">SUM(AA108:AL108)</f>
        <v>193600</v>
      </c>
    </row>
    <row r="109" customFormat="false" ht="15" hidden="false" customHeight="false" outlineLevel="0" collapsed="false">
      <c r="A109" s="0" t="s">
        <v>915</v>
      </c>
      <c r="B109" s="0" t="s">
        <v>230</v>
      </c>
      <c r="C109" s="9" t="n">
        <f aca="false">(((Assumptions!$E$122*$C$10)/6)*C98)</f>
        <v>0</v>
      </c>
      <c r="D109" s="9" t="n">
        <f aca="false">(((Assumptions!$E$122*$C$10)/6)*D98)</f>
        <v>0</v>
      </c>
      <c r="E109" s="9" t="n">
        <f aca="false">(((Assumptions!$E$122*$C$10)/6)*E98)</f>
        <v>0</v>
      </c>
      <c r="F109" s="9" t="n">
        <f aca="false">(((Assumptions!$E$122*$C$10)/6)*F98)</f>
        <v>0</v>
      </c>
      <c r="G109" s="9" t="n">
        <f aca="false">(((Assumptions!$E$122*$C$10)/6)*G98)</f>
        <v>0</v>
      </c>
      <c r="H109" s="9" t="n">
        <f aca="false">(((Assumptions!$E$122*$C$10)/6)*H98)</f>
        <v>0</v>
      </c>
      <c r="I109" s="9" t="n">
        <f aca="false">(((Assumptions!$E$122*$C$10)/6)*I98)</f>
        <v>0</v>
      </c>
      <c r="J109" s="9" t="n">
        <f aca="false">(((Assumptions!$E$122*$C$10)/6)*J98)</f>
        <v>0</v>
      </c>
      <c r="K109" s="9" t="n">
        <f aca="false">(((Assumptions!$E$122*$C$10)/6)*K98)</f>
        <v>0</v>
      </c>
      <c r="L109" s="9" t="n">
        <f aca="false">(((Assumptions!$E$122*$C$10)/6)*L98)</f>
        <v>0</v>
      </c>
      <c r="M109" s="9" t="n">
        <f aca="false">(((Assumptions!$E$122*$C$10)/6)*M98)</f>
        <v>0</v>
      </c>
      <c r="N109" s="9" t="n">
        <f aca="false">(((Assumptions!$E$122*$C$10)/6)*N98)</f>
        <v>0</v>
      </c>
      <c r="O109" s="9" t="n">
        <f aca="false">(((Assumptions!$E$122*$C$10)/6)*O98)</f>
        <v>0</v>
      </c>
      <c r="P109" s="9" t="n">
        <f aca="false">(((Assumptions!$E$122*$C$10)/6)*P98)</f>
        <v>0</v>
      </c>
      <c r="Q109" s="9" t="n">
        <f aca="false">(((Assumptions!$E$122*$C$10)/6)*Q98)</f>
        <v>0</v>
      </c>
      <c r="R109" s="9" t="n">
        <f aca="false">(((Assumptions!$E$122*$C$10)/6)*R98)</f>
        <v>0</v>
      </c>
      <c r="S109" s="9" t="n">
        <f aca="false">(((Assumptions!$E$122*$C$10)/6)*S98)</f>
        <v>0</v>
      </c>
      <c r="T109" s="9" t="n">
        <f aca="false">(((Assumptions!$E$122*$C$10)/6)*T98)</f>
        <v>0</v>
      </c>
      <c r="U109" s="9" t="n">
        <f aca="false">(((Assumptions!$E$122*$C$10)/6)*U98)</f>
        <v>0</v>
      </c>
      <c r="V109" s="9" t="n">
        <f aca="false">(((Assumptions!$E$122*$C$10)/6)*V98)</f>
        <v>0</v>
      </c>
      <c r="W109" s="9" t="n">
        <f aca="false">(((Assumptions!$E$122*$C$10)/6)*W98)</f>
        <v>0</v>
      </c>
      <c r="X109" s="9" t="n">
        <f aca="false">(((Assumptions!$E$122*$C$10)/6)*X98)</f>
        <v>0</v>
      </c>
      <c r="Y109" s="9" t="n">
        <f aca="false">(((Assumptions!$E$122*$C$10)/6)*Y98)</f>
        <v>0</v>
      </c>
      <c r="Z109" s="9" t="n">
        <f aca="false">(((Assumptions!$E$122*$C$10)/6)*Z98)</f>
        <v>0</v>
      </c>
      <c r="AA109" s="9" t="n">
        <f aca="false">(((Assumptions!$E$122*$C$10)/6)*AA98)</f>
        <v>0</v>
      </c>
      <c r="AB109" s="9" t="n">
        <f aca="false">(((Assumptions!$E$122*$C$10)/6)*AB98)</f>
        <v>0</v>
      </c>
      <c r="AC109" s="9" t="n">
        <f aca="false">(((Assumptions!$E$122*$C$10)/6)*AC98)</f>
        <v>0</v>
      </c>
      <c r="AD109" s="9" t="n">
        <f aca="false">(((Assumptions!$E$122*$C$10)/6)*AD98)</f>
        <v>0</v>
      </c>
      <c r="AE109" s="9" t="n">
        <f aca="false">(((Assumptions!$E$122*$C$10)/6)*AE98)</f>
        <v>0</v>
      </c>
      <c r="AF109" s="9" t="n">
        <f aca="false">(((Assumptions!$E$122*$C$10)/6)*AF98)</f>
        <v>10000</v>
      </c>
      <c r="AG109" s="9" t="n">
        <f aca="false">(((Assumptions!$E$122*$C$10)/6)*AG98)</f>
        <v>10000</v>
      </c>
      <c r="AH109" s="9" t="n">
        <f aca="false">(((Assumptions!$E$122*$C$10)/6)*AH98)</f>
        <v>10000</v>
      </c>
      <c r="AI109" s="9" t="n">
        <f aca="false">(((Assumptions!$E$122*$C$10)/6)*AI98)</f>
        <v>10000</v>
      </c>
      <c r="AJ109" s="9" t="n">
        <f aca="false">(((Assumptions!$E$122*$C$10)/6)*AJ98)</f>
        <v>10000</v>
      </c>
      <c r="AK109" s="9" t="n">
        <f aca="false">(((Assumptions!$E$122*$C$10)/6)*AK98)</f>
        <v>10000</v>
      </c>
      <c r="AL109" s="9" t="n">
        <f aca="false">(((Assumptions!$E$122*$C$10)/6)*AL98)</f>
        <v>10000</v>
      </c>
      <c r="AN109" s="11" t="n">
        <f aca="false">SUM(C109:N109)</f>
        <v>0</v>
      </c>
      <c r="AO109" s="11" t="n">
        <f aca="false">SUM(O109:Z109)</f>
        <v>0</v>
      </c>
      <c r="AP109" s="11" t="n">
        <f aca="false">SUM(AA109:AL109)</f>
        <v>70000</v>
      </c>
    </row>
    <row r="110" customFormat="false" ht="15" hidden="false" customHeight="false" outlineLevel="0" collapsed="false">
      <c r="A110" s="0" t="s">
        <v>916</v>
      </c>
      <c r="B110" s="0" t="s">
        <v>230</v>
      </c>
      <c r="C110" s="9" t="n">
        <f aca="false">((Assumptions!$E$122*$C$10)*C92)</f>
        <v>0</v>
      </c>
      <c r="D110" s="9" t="n">
        <f aca="false">((Assumptions!$E$122*$C$10)*D92)</f>
        <v>0</v>
      </c>
      <c r="E110" s="9" t="n">
        <f aca="false">((Assumptions!$E$122*$C$10)*E92)</f>
        <v>0</v>
      </c>
      <c r="F110" s="9" t="n">
        <f aca="false">((Assumptions!$E$122*$C$10)*F92)</f>
        <v>0</v>
      </c>
      <c r="G110" s="9" t="n">
        <f aca="false">((Assumptions!$E$122*$C$10)*G92)</f>
        <v>0</v>
      </c>
      <c r="H110" s="9" t="n">
        <f aca="false">((Assumptions!$E$122*$C$10)*H92)</f>
        <v>0</v>
      </c>
      <c r="I110" s="9" t="n">
        <f aca="false">((Assumptions!$E$122*$C$10)*I92)</f>
        <v>0</v>
      </c>
      <c r="J110" s="9" t="n">
        <f aca="false">((Assumptions!$E$122*$C$10)*J92)</f>
        <v>0</v>
      </c>
      <c r="K110" s="9" t="n">
        <f aca="false">((Assumptions!$E$122*$C$10)*K92)</f>
        <v>0</v>
      </c>
      <c r="L110" s="9" t="n">
        <f aca="false">((Assumptions!$E$122*$C$10)*L92)</f>
        <v>0</v>
      </c>
      <c r="M110" s="9" t="n">
        <f aca="false">((Assumptions!$E$122*$C$10)*M92)</f>
        <v>0</v>
      </c>
      <c r="N110" s="9" t="n">
        <f aca="false">((Assumptions!$E$122*$C$10)*N92)</f>
        <v>0</v>
      </c>
      <c r="O110" s="9" t="n">
        <f aca="false">((Assumptions!$E$122*$C$10)*O92)</f>
        <v>0</v>
      </c>
      <c r="P110" s="9" t="n">
        <f aca="false">((Assumptions!$E$122*$C$10)*P92)</f>
        <v>0</v>
      </c>
      <c r="Q110" s="9" t="n">
        <f aca="false">((Assumptions!$E$122*$C$10)*Q92)</f>
        <v>0</v>
      </c>
      <c r="R110" s="9" t="n">
        <f aca="false">((Assumptions!$E$122*$C$10)*R92)</f>
        <v>0</v>
      </c>
      <c r="S110" s="9" t="n">
        <f aca="false">((Assumptions!$E$122*$C$10)*S92)</f>
        <v>0</v>
      </c>
      <c r="T110" s="9" t="n">
        <f aca="false">((Assumptions!$E$122*$C$10)*T92)</f>
        <v>0</v>
      </c>
      <c r="U110" s="9" t="n">
        <f aca="false">((Assumptions!$E$122*$C$10)*U92)</f>
        <v>0</v>
      </c>
      <c r="V110" s="9" t="n">
        <f aca="false">((Assumptions!$E$122*$C$10)*V92)</f>
        <v>0</v>
      </c>
      <c r="W110" s="9" t="n">
        <f aca="false">((Assumptions!$E$122*$C$10)*W92)</f>
        <v>0</v>
      </c>
      <c r="X110" s="9" t="n">
        <f aca="false">((Assumptions!$E$122*$C$10)*X92)</f>
        <v>0</v>
      </c>
      <c r="Y110" s="9" t="n">
        <f aca="false">((Assumptions!$E$122*$C$10)*Y92)</f>
        <v>0</v>
      </c>
      <c r="Z110" s="9" t="n">
        <f aca="false">((Assumptions!$E$122*$C$10)*Z92)</f>
        <v>0</v>
      </c>
      <c r="AA110" s="9" t="n">
        <f aca="false">((Assumptions!$E$122*$C$10)*AA92)</f>
        <v>0</v>
      </c>
      <c r="AB110" s="9" t="n">
        <f aca="false">((Assumptions!$E$122*$C$10)*AB92)</f>
        <v>0</v>
      </c>
      <c r="AC110" s="9" t="n">
        <f aca="false">((Assumptions!$E$122*$C$10)*AC92)</f>
        <v>0</v>
      </c>
      <c r="AD110" s="9" t="n">
        <f aca="false">((Assumptions!$E$122*$C$10)*AD92)</f>
        <v>0</v>
      </c>
      <c r="AE110" s="9" t="n">
        <f aca="false">((Assumptions!$E$122*$C$10)*AE92)</f>
        <v>0</v>
      </c>
      <c r="AF110" s="9" t="n">
        <f aca="false">((Assumptions!$E$122*$C$10)*AF92)</f>
        <v>60000</v>
      </c>
      <c r="AG110" s="9" t="n">
        <f aca="false">((Assumptions!$E$122*$C$10)*AG92)</f>
        <v>0</v>
      </c>
      <c r="AH110" s="9" t="n">
        <f aca="false">((Assumptions!$E$122*$C$10)*AH92)</f>
        <v>0</v>
      </c>
      <c r="AI110" s="9" t="n">
        <f aca="false">((Assumptions!$E$122*$C$10)*AI92)</f>
        <v>0</v>
      </c>
      <c r="AJ110" s="9" t="n">
        <f aca="false">((Assumptions!$E$122*$C$10)*AJ92)</f>
        <v>0</v>
      </c>
      <c r="AK110" s="9" t="n">
        <f aca="false">((Assumptions!$E$122*$C$10)*AK92)</f>
        <v>0</v>
      </c>
      <c r="AL110" s="9" t="n">
        <f aca="false">((Assumptions!$E$122*$C$10)*AL92)</f>
        <v>60000</v>
      </c>
      <c r="AN110" s="11" t="n">
        <f aca="false">SUM(C110:N110)</f>
        <v>0</v>
      </c>
      <c r="AO110" s="11" t="n">
        <f aca="false">SUM(O110:Z110)</f>
        <v>0</v>
      </c>
      <c r="AP110" s="11" t="n">
        <f aca="false">SUM(AA110:AL110)</f>
        <v>120000</v>
      </c>
    </row>
    <row r="111" customFormat="false" ht="15" hidden="false" customHeight="false" outlineLevel="0" collapsed="false">
      <c r="A111" s="0" t="s">
        <v>917</v>
      </c>
      <c r="B111" s="0" t="s">
        <v>230</v>
      </c>
      <c r="C111" s="9" t="n">
        <f aca="false">((Assumptions!$E$123*$C$10)+(Assumptions!$C$34*Assumptions!$C$35))</f>
        <v>106000</v>
      </c>
      <c r="D111" s="9" t="n">
        <f aca="false">((Assumptions!$E$123*$C$10)+(Assumptions!$C$34*Assumptions!$C$35))</f>
        <v>106000</v>
      </c>
      <c r="E111" s="9" t="n">
        <f aca="false">((Assumptions!$E$123*$C$10)+(Assumptions!$C$34*Assumptions!$C$35))</f>
        <v>106000</v>
      </c>
      <c r="F111" s="9" t="n">
        <f aca="false">((Assumptions!$E$123*$C$10)+(Assumptions!$C$34*Assumptions!$C$35))</f>
        <v>106000</v>
      </c>
      <c r="G111" s="9" t="n">
        <f aca="false">((Assumptions!$E$123*$C$10)+(Assumptions!$C$34*Assumptions!$C$35))</f>
        <v>106000</v>
      </c>
      <c r="H111" s="9" t="n">
        <f aca="false">((Assumptions!$E$123*$C$10)+(Assumptions!$C$34*Assumptions!$C$35))</f>
        <v>106000</v>
      </c>
      <c r="I111" s="9" t="n">
        <f aca="false">((Assumptions!$E$123*$C$10)+(Assumptions!$C$34*Assumptions!$C$35))</f>
        <v>106000</v>
      </c>
      <c r="J111" s="9" t="n">
        <f aca="false">((Assumptions!$E$123*$C$10)+(Assumptions!$C$34*Assumptions!$C$35))</f>
        <v>106000</v>
      </c>
      <c r="K111" s="9" t="n">
        <f aca="false">((Assumptions!$E$123*$C$10)+(Assumptions!$C$34*Assumptions!$C$35))</f>
        <v>106000</v>
      </c>
      <c r="L111" s="9" t="n">
        <f aca="false">((Assumptions!$E$123*$C$10)+(Assumptions!$C$34*Assumptions!$C$35))</f>
        <v>106000</v>
      </c>
      <c r="M111" s="9" t="n">
        <f aca="false">((Assumptions!$E$123*$C$10)+(Assumptions!$C$34*Assumptions!$C$35))</f>
        <v>106000</v>
      </c>
      <c r="N111" s="9" t="n">
        <f aca="false">((Assumptions!$E$123*$C$10)+(Assumptions!$C$34*Assumptions!$C$35))</f>
        <v>106000</v>
      </c>
      <c r="O111" s="9" t="n">
        <f aca="false">((Assumptions!$E$123*$C$10)+(Assumptions!$C$34*Assumptions!$C$35))</f>
        <v>106000</v>
      </c>
      <c r="P111" s="9" t="n">
        <f aca="false">((Assumptions!$E$123*$C$10)+(Assumptions!$C$34*Assumptions!$C$35))</f>
        <v>106000</v>
      </c>
      <c r="Q111" s="9" t="n">
        <f aca="false">((Assumptions!$E$123*$C$10)+(Assumptions!$C$34*Assumptions!$C$35))</f>
        <v>106000</v>
      </c>
      <c r="R111" s="9" t="n">
        <f aca="false">((Assumptions!$E$123*$C$10)+(Assumptions!$C$34*Assumptions!$C$35))</f>
        <v>106000</v>
      </c>
      <c r="S111" s="9" t="n">
        <f aca="false">((Assumptions!$E$123*$C$10)+(Assumptions!$C$34*Assumptions!$C$35))</f>
        <v>106000</v>
      </c>
      <c r="T111" s="9" t="n">
        <f aca="false">((Assumptions!$E$123*$C$10)+(Assumptions!$C$34*Assumptions!$C$35))</f>
        <v>106000</v>
      </c>
      <c r="U111" s="9" t="n">
        <f aca="false">((Assumptions!$E$123*$C$10)+(Assumptions!$C$34*Assumptions!$C$35))</f>
        <v>106000</v>
      </c>
      <c r="V111" s="9" t="n">
        <f aca="false">((Assumptions!$E$123*$C$10)+(Assumptions!$C$34*Assumptions!$C$35))</f>
        <v>106000</v>
      </c>
      <c r="W111" s="9" t="n">
        <f aca="false">((Assumptions!$E$123*$C$10)+(Assumptions!$C$34*Assumptions!$C$35))</f>
        <v>106000</v>
      </c>
      <c r="X111" s="9" t="n">
        <f aca="false">((Assumptions!$E$123*$C$10)+(Assumptions!$C$34*Assumptions!$C$35))</f>
        <v>106000</v>
      </c>
      <c r="Y111" s="9" t="n">
        <f aca="false">((Assumptions!$E$123*$C$10)+(Assumptions!$C$34*Assumptions!$C$35))</f>
        <v>106000</v>
      </c>
      <c r="Z111" s="9" t="n">
        <f aca="false">((Assumptions!$E$123*$C$10)+(Assumptions!$C$34*Assumptions!$C$35))</f>
        <v>106000</v>
      </c>
      <c r="AA111" s="9" t="n">
        <f aca="false">((Assumptions!$E$123*$C$10)+(Assumptions!$C$34*Assumptions!$C$35))</f>
        <v>106000</v>
      </c>
      <c r="AB111" s="9" t="n">
        <f aca="false">((Assumptions!$E$123*$C$10)+(Assumptions!$C$34*Assumptions!$C$35))</f>
        <v>106000</v>
      </c>
      <c r="AC111" s="9" t="n">
        <f aca="false">((Assumptions!$E$123*$C$10)+(Assumptions!$C$34*Assumptions!$C$35))</f>
        <v>106000</v>
      </c>
      <c r="AD111" s="9" t="n">
        <f aca="false">((Assumptions!$E$123*$C$10)+(Assumptions!$C$34*Assumptions!$C$35))</f>
        <v>106000</v>
      </c>
      <c r="AE111" s="9" t="n">
        <f aca="false">((Assumptions!$E$123*$C$10)+(Assumptions!$C$34*Assumptions!$C$35))</f>
        <v>106000</v>
      </c>
      <c r="AF111" s="9" t="n">
        <f aca="false">((Assumptions!$E$123*$C$10)+(Assumptions!$C$34*Assumptions!$C$35))</f>
        <v>106000</v>
      </c>
      <c r="AG111" s="9" t="n">
        <f aca="false">((Assumptions!$E$123*$C$10)+(Assumptions!$C$34*Assumptions!$C$35))</f>
        <v>106000</v>
      </c>
      <c r="AH111" s="9" t="n">
        <f aca="false">((Assumptions!$E$123*$C$10)+(Assumptions!$C$34*Assumptions!$C$35))</f>
        <v>106000</v>
      </c>
      <c r="AI111" s="9" t="n">
        <f aca="false">((Assumptions!$E$123*$C$10)+(Assumptions!$C$34*Assumptions!$C$35))</f>
        <v>106000</v>
      </c>
      <c r="AJ111" s="9" t="n">
        <f aca="false">((Assumptions!$E$123*$C$10)+(Assumptions!$C$34*Assumptions!$C$35))</f>
        <v>106000</v>
      </c>
      <c r="AK111" s="9" t="n">
        <f aca="false">((Assumptions!$E$123*$C$10)+(Assumptions!$C$34*Assumptions!$C$35))</f>
        <v>106000</v>
      </c>
      <c r="AL111" s="9" t="n">
        <f aca="false">((Assumptions!$E$123*$C$10)+(Assumptions!$C$34*Assumptions!$C$35))</f>
        <v>106000</v>
      </c>
    </row>
    <row r="112" customFormat="false" ht="15" hidden="false" customHeight="false" outlineLevel="0" collapsed="false">
      <c r="A112" s="0" t="s">
        <v>918</v>
      </c>
      <c r="B112" s="0" t="s">
        <v>230</v>
      </c>
      <c r="C112" s="9" t="n">
        <f aca="false">((C111/3)*C96)</f>
        <v>0</v>
      </c>
      <c r="D112" s="9" t="n">
        <f aca="false">((D111/3)*SUM(C96:D96))</f>
        <v>0</v>
      </c>
      <c r="E112" s="9" t="n">
        <f aca="false">((E111/3)*SUM(C96:E96))</f>
        <v>0</v>
      </c>
      <c r="F112" s="9" t="n">
        <f aca="false">((F111/3)*SUM(D96:F96))</f>
        <v>0</v>
      </c>
      <c r="G112" s="9" t="n">
        <f aca="false">((G111/3)*SUM(E96:G96))</f>
        <v>0</v>
      </c>
      <c r="H112" s="9" t="n">
        <f aca="false">((H111/3)*SUM(F96:H96))</f>
        <v>0</v>
      </c>
      <c r="I112" s="9" t="n">
        <f aca="false">((I111/3)*SUM(G96:I96))</f>
        <v>0</v>
      </c>
      <c r="J112" s="9" t="n">
        <f aca="false">((J111/3)*SUM(H96:J96))</f>
        <v>0</v>
      </c>
      <c r="K112" s="9" t="n">
        <f aca="false">((K111/3)*SUM(I96:K96))</f>
        <v>0</v>
      </c>
      <c r="L112" s="9" t="n">
        <f aca="false">((L111/3)*SUM(J96:L96))</f>
        <v>0</v>
      </c>
      <c r="M112" s="9" t="n">
        <f aca="false">((M111/3)*SUM(K96:M96))</f>
        <v>0</v>
      </c>
      <c r="N112" s="9" t="n">
        <f aca="false">((N111/3)*SUM(L96:N96))</f>
        <v>0</v>
      </c>
      <c r="O112" s="9" t="n">
        <f aca="false">((O111/3)*SUM(M96:O96))</f>
        <v>0</v>
      </c>
      <c r="P112" s="9" t="n">
        <f aca="false">((P111/3)*SUM(N96:P96))</f>
        <v>0</v>
      </c>
      <c r="Q112" s="9" t="n">
        <f aca="false">((Q111/3)*SUM(O96:Q96))</f>
        <v>0</v>
      </c>
      <c r="R112" s="9" t="n">
        <f aca="false">((R111/3)*SUM(P96:R96))</f>
        <v>0</v>
      </c>
      <c r="S112" s="9" t="n">
        <f aca="false">((S111/3)*SUM(Q96:S96))</f>
        <v>0</v>
      </c>
      <c r="T112" s="9" t="n">
        <f aca="false">((T111/3)*SUM(R96:T96))</f>
        <v>0</v>
      </c>
      <c r="U112" s="9" t="n">
        <f aca="false">((U111/3)*SUM(S96:U96))</f>
        <v>0</v>
      </c>
      <c r="V112" s="9" t="n">
        <f aca="false">((V111/3)*SUM(T96:V96))</f>
        <v>0</v>
      </c>
      <c r="W112" s="9" t="n">
        <f aca="false">((W111/3)*SUM(U96:W96))</f>
        <v>0</v>
      </c>
      <c r="X112" s="9" t="n">
        <f aca="false">((X111/3)*SUM(V96:X96))</f>
        <v>0</v>
      </c>
      <c r="Y112" s="9" t="n">
        <f aca="false">((Y111/3)*SUM(W96:Y96))</f>
        <v>0</v>
      </c>
      <c r="Z112" s="9" t="n">
        <f aca="false">((Z111/3)*SUM(X96:Z96))</f>
        <v>0</v>
      </c>
      <c r="AA112" s="9" t="n">
        <f aca="false">((AA111/3)*SUM(Y96:AA96))</f>
        <v>0</v>
      </c>
      <c r="AB112" s="9" t="n">
        <f aca="false">((AB111/3)*SUM(Z96:AB96))</f>
        <v>0</v>
      </c>
      <c r="AC112" s="9" t="n">
        <f aca="false">((AC111/3)*SUM(AA96:AC96))</f>
        <v>0</v>
      </c>
      <c r="AD112" s="9" t="n">
        <f aca="false">((AD111/3)*SUM(AB96:AD96))</f>
        <v>0</v>
      </c>
      <c r="AE112" s="9" t="n">
        <f aca="false">((AE111/3)*SUM(AC96:AE96))</f>
        <v>0</v>
      </c>
      <c r="AF112" s="9" t="n">
        <f aca="false">((AF111/3)*SUM(AD96:AF96))</f>
        <v>35333.3333333333</v>
      </c>
      <c r="AG112" s="9" t="n">
        <f aca="false">((AG111/3)*SUM(AE96:AG96))</f>
        <v>35333.3333333333</v>
      </c>
      <c r="AH112" s="9" t="n">
        <f aca="false">((AH111/3)*SUM(AF96:AH96))</f>
        <v>35333.3333333333</v>
      </c>
      <c r="AI112" s="9" t="n">
        <f aca="false">((AI111/3)*SUM(AG96:AI96))</f>
        <v>0</v>
      </c>
      <c r="AJ112" s="9" t="n">
        <f aca="false">((AJ111/3)*SUM(AH96:AJ96))</f>
        <v>0</v>
      </c>
      <c r="AK112" s="9" t="n">
        <f aca="false">((AK111/3)*SUM(AI96:AK96))</f>
        <v>0</v>
      </c>
      <c r="AL112" s="9" t="n">
        <f aca="false">((AL111/3)*SUM(AJ96:AL96))</f>
        <v>70666.6666666667</v>
      </c>
      <c r="AN112" s="11" t="n">
        <f aca="false">SUM(C112:N112)</f>
        <v>0</v>
      </c>
      <c r="AO112" s="11" t="n">
        <f aca="false">SUM(O112:Z112)</f>
        <v>0</v>
      </c>
      <c r="AP112" s="11" t="n">
        <f aca="false">SUM(AA112:AL112)</f>
        <v>176666.666666667</v>
      </c>
    </row>
    <row r="113" customFormat="false" ht="15" hidden="false" customHeight="false" outlineLevel="0" collapsed="false">
      <c r="A113" s="0" t="s">
        <v>919</v>
      </c>
      <c r="B113" s="0" t="s">
        <v>230</v>
      </c>
      <c r="C113" s="9" t="n">
        <f aca="false">(C111*C96)</f>
        <v>0</v>
      </c>
      <c r="D113" s="9" t="n">
        <f aca="false">(D111*D96)</f>
        <v>0</v>
      </c>
      <c r="E113" s="9" t="n">
        <f aca="false">(E111*E96)</f>
        <v>0</v>
      </c>
      <c r="F113" s="9" t="n">
        <f aca="false">(F111*F96)</f>
        <v>0</v>
      </c>
      <c r="G113" s="9" t="n">
        <f aca="false">(G111*G96)</f>
        <v>0</v>
      </c>
      <c r="H113" s="9" t="n">
        <f aca="false">(H111*H96)</f>
        <v>0</v>
      </c>
      <c r="I113" s="9" t="n">
        <f aca="false">(I111*I96)</f>
        <v>0</v>
      </c>
      <c r="J113" s="9" t="n">
        <f aca="false">(J111*J96)</f>
        <v>0</v>
      </c>
      <c r="K113" s="9" t="n">
        <f aca="false">(K111*K96)</f>
        <v>0</v>
      </c>
      <c r="L113" s="9" t="n">
        <f aca="false">(L111*L96)</f>
        <v>0</v>
      </c>
      <c r="M113" s="9" t="n">
        <f aca="false">(M111*M96)</f>
        <v>0</v>
      </c>
      <c r="N113" s="9" t="n">
        <f aca="false">(N111*N96)</f>
        <v>0</v>
      </c>
      <c r="O113" s="9" t="n">
        <f aca="false">(O111*O96)</f>
        <v>0</v>
      </c>
      <c r="P113" s="9" t="n">
        <f aca="false">(P111*P96)</f>
        <v>0</v>
      </c>
      <c r="Q113" s="9" t="n">
        <f aca="false">(Q111*Q96)</f>
        <v>0</v>
      </c>
      <c r="R113" s="9" t="n">
        <f aca="false">(R111*R96)</f>
        <v>0</v>
      </c>
      <c r="S113" s="9" t="n">
        <f aca="false">(S111*S96)</f>
        <v>0</v>
      </c>
      <c r="T113" s="9" t="n">
        <f aca="false">(T111*T96)</f>
        <v>0</v>
      </c>
      <c r="U113" s="9" t="n">
        <f aca="false">(U111*U96)</f>
        <v>0</v>
      </c>
      <c r="V113" s="9" t="n">
        <f aca="false">(V111*V96)</f>
        <v>0</v>
      </c>
      <c r="W113" s="9" t="n">
        <f aca="false">(W111*W96)</f>
        <v>0</v>
      </c>
      <c r="X113" s="9" t="n">
        <f aca="false">(X111*X96)</f>
        <v>0</v>
      </c>
      <c r="Y113" s="9" t="n">
        <f aca="false">(Y111*Y96)</f>
        <v>0</v>
      </c>
      <c r="Z113" s="9" t="n">
        <f aca="false">(Z111*Z96)</f>
        <v>0</v>
      </c>
      <c r="AA113" s="9" t="n">
        <f aca="false">(AA111*AA96)</f>
        <v>0</v>
      </c>
      <c r="AB113" s="9" t="n">
        <f aca="false">(AB111*AB96)</f>
        <v>0</v>
      </c>
      <c r="AC113" s="9" t="n">
        <f aca="false">(AC111*AC96)</f>
        <v>0</v>
      </c>
      <c r="AD113" s="9" t="n">
        <f aca="false">(AD111*AD96)</f>
        <v>0</v>
      </c>
      <c r="AE113" s="9" t="n">
        <f aca="false">(AE111*AE96)</f>
        <v>0</v>
      </c>
      <c r="AF113" s="9" t="n">
        <f aca="false">(AF111*AF96)</f>
        <v>106000</v>
      </c>
      <c r="AG113" s="9" t="n">
        <f aca="false">(AG111*AG96)</f>
        <v>0</v>
      </c>
      <c r="AH113" s="9" t="n">
        <f aca="false">(AH111*AH96)</f>
        <v>0</v>
      </c>
      <c r="AI113" s="9" t="n">
        <f aca="false">(AI111*AI96)</f>
        <v>0</v>
      </c>
      <c r="AJ113" s="9" t="n">
        <f aca="false">(AJ111*AJ96)</f>
        <v>0</v>
      </c>
      <c r="AK113" s="9" t="n">
        <f aca="false">(AK111*AK96)</f>
        <v>0</v>
      </c>
      <c r="AL113" s="9" t="n">
        <f aca="false">(AL111*AL96)</f>
        <v>212000</v>
      </c>
      <c r="AN113" s="11" t="n">
        <f aca="false">SUM(C113:N113)</f>
        <v>0</v>
      </c>
      <c r="AO113" s="11" t="n">
        <f aca="false">SUM(O113:Z113)</f>
        <v>0</v>
      </c>
      <c r="AP113" s="11" t="n">
        <f aca="false">SUM(AA113:AL113)</f>
        <v>318000</v>
      </c>
    </row>
    <row r="114" customFormat="false" ht="15" hidden="false" customHeight="false" outlineLevel="0" collapsed="false">
      <c r="A114" s="0" t="s">
        <v>920</v>
      </c>
      <c r="B114" s="0" t="s">
        <v>285</v>
      </c>
      <c r="C114" s="9" t="n">
        <f aca="false">((C93*Assumptions!$E$124)+(C96*(Assumptions!$E$124+(Assumptions!$C$34*Assumptions!$C$36))))</f>
        <v>0</v>
      </c>
      <c r="D114" s="9" t="n">
        <f aca="false">((D93*Assumptions!$E$124)+(D96*(Assumptions!$E$124+(Assumptions!$C$34*Assumptions!$C$36))))</f>
        <v>0</v>
      </c>
      <c r="E114" s="9" t="n">
        <f aca="false">((E93*Assumptions!$E$124)+(E96*(Assumptions!$E$124+(Assumptions!$C$34*Assumptions!$C$36))))</f>
        <v>0</v>
      </c>
      <c r="F114" s="9" t="n">
        <f aca="false">((F93*Assumptions!$E$124)+(F96*(Assumptions!$E$124+(Assumptions!$C$34*Assumptions!$C$36))))</f>
        <v>0</v>
      </c>
      <c r="G114" s="9" t="n">
        <f aca="false">((G93*Assumptions!$E$124)+(G96*(Assumptions!$E$124+(Assumptions!$C$34*Assumptions!$C$36))))</f>
        <v>0</v>
      </c>
      <c r="H114" s="9" t="n">
        <f aca="false">((H93*Assumptions!$E$124)+(H96*(Assumptions!$E$124+(Assumptions!$C$34*Assumptions!$C$36))))</f>
        <v>0</v>
      </c>
      <c r="I114" s="9" t="n">
        <f aca="false">((I93*Assumptions!$E$124)+(I96*(Assumptions!$E$124+(Assumptions!$C$34*Assumptions!$C$36))))</f>
        <v>0</v>
      </c>
      <c r="J114" s="9" t="n">
        <f aca="false">((J93*Assumptions!$E$124)+(J96*(Assumptions!$E$124+(Assumptions!$C$34*Assumptions!$C$36))))</f>
        <v>0</v>
      </c>
      <c r="K114" s="9" t="n">
        <f aca="false">((K93*Assumptions!$E$124)+(K96*(Assumptions!$E$124+(Assumptions!$C$34*Assumptions!$C$36))))</f>
        <v>0</v>
      </c>
      <c r="L114" s="9" t="n">
        <f aca="false">((L93*Assumptions!$E$124)+(L96*(Assumptions!$E$124+(Assumptions!$C$34*Assumptions!$C$36))))</f>
        <v>0</v>
      </c>
      <c r="M114" s="9" t="n">
        <f aca="false">((M93*Assumptions!$E$124)+(M96*(Assumptions!$E$124+(Assumptions!$C$34*Assumptions!$C$36))))</f>
        <v>0</v>
      </c>
      <c r="N114" s="9" t="n">
        <f aca="false">((N93*Assumptions!$E$124)+(N96*(Assumptions!$E$124+(Assumptions!$C$34*Assumptions!$C$36))))</f>
        <v>0</v>
      </c>
      <c r="O114" s="9" t="n">
        <f aca="false">((O93*Assumptions!$E$124)+(O96*(Assumptions!$E$124+(Assumptions!$C$34*Assumptions!$C$36))))</f>
        <v>0</v>
      </c>
      <c r="P114" s="9" t="n">
        <f aca="false">((P93*Assumptions!$E$124)+(P96*(Assumptions!$E$124+(Assumptions!$C$34*Assumptions!$C$36))))</f>
        <v>0</v>
      </c>
      <c r="Q114" s="9" t="n">
        <f aca="false">((Q93*Assumptions!$E$124)+(Q96*(Assumptions!$E$124+(Assumptions!$C$34*Assumptions!$C$36))))</f>
        <v>0</v>
      </c>
      <c r="R114" s="9" t="n">
        <f aca="false">((R93*Assumptions!$E$124)+(R96*(Assumptions!$E$124+(Assumptions!$C$34*Assumptions!$C$36))))</f>
        <v>0</v>
      </c>
      <c r="S114" s="9" t="n">
        <f aca="false">((S93*Assumptions!$E$124)+(S96*(Assumptions!$E$124+(Assumptions!$C$34*Assumptions!$C$36))))</f>
        <v>0</v>
      </c>
      <c r="T114" s="9" t="n">
        <f aca="false">((T93*Assumptions!$E$124)+(T96*(Assumptions!$E$124+(Assumptions!$C$34*Assumptions!$C$36))))</f>
        <v>0</v>
      </c>
      <c r="U114" s="9" t="n">
        <f aca="false">((U93*Assumptions!$E$124)+(U96*(Assumptions!$E$124+(Assumptions!$C$34*Assumptions!$C$36))))</f>
        <v>0</v>
      </c>
      <c r="V114" s="9" t="n">
        <f aca="false">((V93*Assumptions!$E$124)+(V96*(Assumptions!$E$124+(Assumptions!$C$34*Assumptions!$C$36))))</f>
        <v>0</v>
      </c>
      <c r="W114" s="9" t="n">
        <f aca="false">((W93*Assumptions!$E$124)+(W96*(Assumptions!$E$124+(Assumptions!$C$34*Assumptions!$C$36))))</f>
        <v>0</v>
      </c>
      <c r="X114" s="9" t="n">
        <f aca="false">((X93*Assumptions!$E$124)+(X96*(Assumptions!$E$124+(Assumptions!$C$34*Assumptions!$C$36))))</f>
        <v>0</v>
      </c>
      <c r="Y114" s="9" t="n">
        <f aca="false">((Y93*Assumptions!$E$124)+(Y96*(Assumptions!$E$124+(Assumptions!$C$34*Assumptions!$C$36))))</f>
        <v>0</v>
      </c>
      <c r="Z114" s="9" t="n">
        <f aca="false">((Z93*Assumptions!$E$124)+(Z96*(Assumptions!$E$124+(Assumptions!$C$34*Assumptions!$C$36))))</f>
        <v>0</v>
      </c>
      <c r="AA114" s="9" t="n">
        <f aca="false">((AA93*Assumptions!$E$124)+(AA96*(Assumptions!$E$124+(Assumptions!$C$34*Assumptions!$C$36))))</f>
        <v>0</v>
      </c>
      <c r="AB114" s="9" t="n">
        <f aca="false">((AB93*Assumptions!$E$124)+(AB96*(Assumptions!$E$124+(Assumptions!$C$34*Assumptions!$C$36))))</f>
        <v>0</v>
      </c>
      <c r="AC114" s="9" t="n">
        <f aca="false">((AC93*Assumptions!$E$124)+(AC96*(Assumptions!$E$124+(Assumptions!$C$34*Assumptions!$C$36))))</f>
        <v>0</v>
      </c>
      <c r="AD114" s="9" t="n">
        <f aca="false">((AD93*Assumptions!$E$124)+(AD96*(Assumptions!$E$124+(Assumptions!$C$34*Assumptions!$C$36))))</f>
        <v>0</v>
      </c>
      <c r="AE114" s="9" t="n">
        <f aca="false">((AE93*Assumptions!$E$124)+(AE96*(Assumptions!$E$124+(Assumptions!$C$34*Assumptions!$C$36))))</f>
        <v>0</v>
      </c>
      <c r="AF114" s="9" t="n">
        <f aca="false">((AF93*Assumptions!$E$124)+(AF96*(Assumptions!$E$124+(Assumptions!$C$34*Assumptions!$C$36))))</f>
        <v>844</v>
      </c>
      <c r="AG114" s="9" t="n">
        <f aca="false">((AG93*Assumptions!$E$124)+(AG96*(Assumptions!$E$124+(Assumptions!$C$34*Assumptions!$C$36))))</f>
        <v>0</v>
      </c>
      <c r="AH114" s="9" t="n">
        <f aca="false">((AH93*Assumptions!$E$124)+(AH96*(Assumptions!$E$124+(Assumptions!$C$34*Assumptions!$C$36))))</f>
        <v>0</v>
      </c>
      <c r="AI114" s="9" t="n">
        <f aca="false">((AI93*Assumptions!$E$124)+(AI96*(Assumptions!$E$124+(Assumptions!$C$34*Assumptions!$C$36))))</f>
        <v>0</v>
      </c>
      <c r="AJ114" s="9" t="n">
        <f aca="false">((AJ93*Assumptions!$E$124)+(AJ96*(Assumptions!$E$124+(Assumptions!$C$34*Assumptions!$C$36))))</f>
        <v>0</v>
      </c>
      <c r="AK114" s="9" t="n">
        <f aca="false">((AK93*Assumptions!$E$124)+(AK96*(Assumptions!$E$124+(Assumptions!$C$34*Assumptions!$C$36))))</f>
        <v>0</v>
      </c>
      <c r="AL114" s="9" t="n">
        <f aca="false">((AL93*Assumptions!$E$124)+(AL96*(Assumptions!$E$124+(Assumptions!$C$34*Assumptions!$C$36))))</f>
        <v>1688</v>
      </c>
      <c r="AN114" s="11" t="n">
        <f aca="false">SUM(C114:N114)</f>
        <v>0</v>
      </c>
      <c r="AO114" s="11" t="n">
        <f aca="false">SUM(O114:Z114)</f>
        <v>0</v>
      </c>
      <c r="AP114" s="11" t="n">
        <f aca="false">SUM(AA114:AL114)</f>
        <v>2532</v>
      </c>
    </row>
    <row r="115" customFormat="false" ht="15" hidden="false" customHeight="false" outlineLevel="0" collapsed="false">
      <c r="A115" s="21" t="s">
        <v>921</v>
      </c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</row>
    <row r="116" customFormat="false" ht="15" hidden="false" customHeight="false" outlineLevel="0" collapsed="false">
      <c r="A116" s="0" t="s">
        <v>922</v>
      </c>
      <c r="B116" s="0" t="s">
        <v>852</v>
      </c>
      <c r="C116" s="14" t="n">
        <f aca="false">((C48+C71)+C94)</f>
        <v>0</v>
      </c>
      <c r="D116" s="14" t="n">
        <f aca="false">((D48+D71)+D94)</f>
        <v>0</v>
      </c>
      <c r="E116" s="14" t="n">
        <f aca="false">((E48+E71)+E94)</f>
        <v>0</v>
      </c>
      <c r="F116" s="14" t="n">
        <f aca="false">((F48+F71)+F94)</f>
        <v>0</v>
      </c>
      <c r="G116" s="14" t="n">
        <f aca="false">((G48+G71)+G94)</f>
        <v>1</v>
      </c>
      <c r="H116" s="14" t="n">
        <f aca="false">((H48+H71)+H94)</f>
        <v>0</v>
      </c>
      <c r="I116" s="14" t="n">
        <f aca="false">((I48+I71)+I94)</f>
        <v>0</v>
      </c>
      <c r="J116" s="14" t="n">
        <f aca="false">((J48+J71)+J94)</f>
        <v>1</v>
      </c>
      <c r="K116" s="14" t="n">
        <f aca="false">((K48+K71)+K94)</f>
        <v>0</v>
      </c>
      <c r="L116" s="14" t="n">
        <f aca="false">((L48+L71)+L94)</f>
        <v>0</v>
      </c>
      <c r="M116" s="14" t="n">
        <f aca="false">((M48+M71)+M94)</f>
        <v>0</v>
      </c>
      <c r="N116" s="14" t="n">
        <f aca="false">((N48+N71)+N94)</f>
        <v>0</v>
      </c>
      <c r="O116" s="14" t="n">
        <f aca="false">((O48+O71)+O94)</f>
        <v>1</v>
      </c>
      <c r="P116" s="14" t="n">
        <f aca="false">((P48+P71)+P94)</f>
        <v>0</v>
      </c>
      <c r="Q116" s="14" t="n">
        <f aca="false">((Q48+Q71)+Q94)</f>
        <v>0</v>
      </c>
      <c r="R116" s="14" t="n">
        <f aca="false">((R48+R71)+R94)</f>
        <v>2</v>
      </c>
      <c r="S116" s="14" t="n">
        <f aca="false">((S48+S71)+S94)</f>
        <v>0</v>
      </c>
      <c r="T116" s="14" t="n">
        <f aca="false">((T48+T71)+T94)</f>
        <v>0</v>
      </c>
      <c r="U116" s="14" t="n">
        <f aca="false">((U48+U71)+U94)</f>
        <v>3</v>
      </c>
      <c r="V116" s="14" t="n">
        <f aca="false">((V48+V71)+V94)</f>
        <v>0</v>
      </c>
      <c r="W116" s="14" t="n">
        <f aca="false">((W48+W71)+W94)</f>
        <v>0</v>
      </c>
      <c r="X116" s="14" t="n">
        <f aca="false">((X48+X71)+X94)</f>
        <v>3</v>
      </c>
      <c r="Y116" s="14" t="n">
        <f aca="false">((Y48+Y71)+Y94)</f>
        <v>0</v>
      </c>
      <c r="Z116" s="14" t="n">
        <f aca="false">((Z48+Z71)+Z94)</f>
        <v>0</v>
      </c>
      <c r="AA116" s="14" t="n">
        <f aca="false">((AA48+AA71)+AA94)</f>
        <v>4</v>
      </c>
      <c r="AB116" s="14" t="n">
        <f aca="false">((AB48+AB71)+AB94)</f>
        <v>0</v>
      </c>
      <c r="AC116" s="14" t="n">
        <f aca="false">((AC48+AC71)+AC94)</f>
        <v>0</v>
      </c>
      <c r="AD116" s="14" t="n">
        <f aca="false">((AD48+AD71)+AD94)</f>
        <v>5</v>
      </c>
      <c r="AE116" s="14" t="n">
        <f aca="false">((AE48+AE71)+AE94)</f>
        <v>0</v>
      </c>
      <c r="AF116" s="14" t="n">
        <f aca="false">((AF48+AF71)+AF94)</f>
        <v>1</v>
      </c>
      <c r="AG116" s="14" t="n">
        <f aca="false">((AG48+AG71)+AG94)</f>
        <v>5</v>
      </c>
      <c r="AH116" s="14" t="n">
        <f aca="false">((AH48+AH71)+AH94)</f>
        <v>0</v>
      </c>
      <c r="AI116" s="14" t="n">
        <f aca="false">((AI48+AI71)+AI94)</f>
        <v>0</v>
      </c>
      <c r="AJ116" s="14" t="n">
        <f aca="false">((AJ48+AJ71)+AJ94)</f>
        <v>6</v>
      </c>
      <c r="AK116" s="14" t="n">
        <f aca="false">((AK48+AK71)+AK94)</f>
        <v>0</v>
      </c>
      <c r="AL116" s="14" t="n">
        <f aca="false">((AL48+AL71)+AL94)</f>
        <v>1</v>
      </c>
      <c r="AN116" s="36" t="n">
        <f aca="false">SUM(C116:N116)</f>
        <v>2</v>
      </c>
      <c r="AO116" s="36" t="n">
        <f aca="false">SUM(O116:Z116)</f>
        <v>9</v>
      </c>
      <c r="AP116" s="36" t="n">
        <f aca="false">SUM(AA116:AL116)</f>
        <v>22</v>
      </c>
    </row>
    <row r="117" customFormat="false" ht="15" hidden="false" customHeight="false" outlineLevel="0" collapsed="false">
      <c r="A117" s="0" t="s">
        <v>923</v>
      </c>
      <c r="B117" s="0" t="s">
        <v>852</v>
      </c>
      <c r="C117" s="14" t="n">
        <f aca="false">((C46+C69)+C92)</f>
        <v>0</v>
      </c>
      <c r="D117" s="14" t="n">
        <f aca="false">((D46+D69)+D92)</f>
        <v>0</v>
      </c>
      <c r="E117" s="14" t="n">
        <f aca="false">((E46+E69)+E92)</f>
        <v>0</v>
      </c>
      <c r="F117" s="14" t="n">
        <f aca="false">((F46+F69)+F92)</f>
        <v>0</v>
      </c>
      <c r="G117" s="14" t="n">
        <f aca="false">((G46+G69)+G92)</f>
        <v>0</v>
      </c>
      <c r="H117" s="14" t="n">
        <f aca="false">((H46+H69)+H92)</f>
        <v>0</v>
      </c>
      <c r="I117" s="14" t="n">
        <f aca="false">((I46+I69)+I92)</f>
        <v>0</v>
      </c>
      <c r="J117" s="14" t="n">
        <f aca="false">((J46+J69)+J92)</f>
        <v>0</v>
      </c>
      <c r="K117" s="14" t="n">
        <f aca="false">((K46+K69)+K92)</f>
        <v>0</v>
      </c>
      <c r="L117" s="14" t="n">
        <f aca="false">((L46+L69)+L92)</f>
        <v>0</v>
      </c>
      <c r="M117" s="14" t="n">
        <f aca="false">((M46+M69)+M92)</f>
        <v>0</v>
      </c>
      <c r="N117" s="14" t="n">
        <f aca="false">((N46+N69)+N92)</f>
        <v>0</v>
      </c>
      <c r="O117" s="14" t="n">
        <f aca="false">((O46+O69)+O92)</f>
        <v>1</v>
      </c>
      <c r="P117" s="14" t="n">
        <f aca="false">((P46+P69)+P92)</f>
        <v>0</v>
      </c>
      <c r="Q117" s="14" t="n">
        <f aca="false">((Q46+Q69)+Q92)</f>
        <v>0</v>
      </c>
      <c r="R117" s="14" t="n">
        <f aca="false">((R46+R69)+R92)</f>
        <v>2</v>
      </c>
      <c r="S117" s="14" t="n">
        <f aca="false">((S46+S69)+S92)</f>
        <v>0</v>
      </c>
      <c r="T117" s="14" t="n">
        <f aca="false">((T46+T69)+T92)</f>
        <v>0</v>
      </c>
      <c r="U117" s="14" t="n">
        <f aca="false">((U46+U69)+U92)</f>
        <v>3</v>
      </c>
      <c r="V117" s="14" t="n">
        <f aca="false">((V46+V69)+V92)</f>
        <v>0</v>
      </c>
      <c r="W117" s="14" t="n">
        <f aca="false">((W46+W69)+W92)</f>
        <v>0</v>
      </c>
      <c r="X117" s="14" t="n">
        <f aca="false">((X46+X69)+X92)</f>
        <v>3</v>
      </c>
      <c r="Y117" s="14" t="n">
        <f aca="false">((Y46+Y69)+Y92)</f>
        <v>0</v>
      </c>
      <c r="Z117" s="14" t="n">
        <f aca="false">((Z46+Z69)+Z92)</f>
        <v>0</v>
      </c>
      <c r="AA117" s="14" t="n">
        <f aca="false">((AA46+AA69)+AA92)</f>
        <v>4</v>
      </c>
      <c r="AB117" s="14" t="n">
        <f aca="false">((AB46+AB69)+AB92)</f>
        <v>0</v>
      </c>
      <c r="AC117" s="14" t="n">
        <f aca="false">((AC46+AC69)+AC92)</f>
        <v>0</v>
      </c>
      <c r="AD117" s="14" t="n">
        <f aca="false">((AD46+AD69)+AD92)</f>
        <v>5</v>
      </c>
      <c r="AE117" s="14" t="n">
        <f aca="false">((AE46+AE69)+AE92)</f>
        <v>0</v>
      </c>
      <c r="AF117" s="14" t="n">
        <f aca="false">((AF46+AF69)+AF92)</f>
        <v>1</v>
      </c>
      <c r="AG117" s="14" t="n">
        <f aca="false">((AG46+AG69)+AG92)</f>
        <v>5</v>
      </c>
      <c r="AH117" s="14" t="n">
        <f aca="false">((AH46+AH69)+AH92)</f>
        <v>0</v>
      </c>
      <c r="AI117" s="14" t="n">
        <f aca="false">((AI46+AI69)+AI92)</f>
        <v>0</v>
      </c>
      <c r="AJ117" s="14" t="n">
        <f aca="false">((AJ46+AJ69)+AJ92)</f>
        <v>6</v>
      </c>
      <c r="AK117" s="14" t="n">
        <f aca="false">((AK46+AK69)+AK92)</f>
        <v>0</v>
      </c>
      <c r="AL117" s="14" t="n">
        <f aca="false">((AL46+AL69)+AL92)</f>
        <v>1</v>
      </c>
      <c r="AN117" s="36" t="n">
        <f aca="false">SUM(C117:N117)</f>
        <v>0</v>
      </c>
      <c r="AO117" s="36" t="n">
        <f aca="false">SUM(O117:Z117)</f>
        <v>9</v>
      </c>
      <c r="AP117" s="36" t="n">
        <f aca="false">SUM(AA117:AL117)</f>
        <v>22</v>
      </c>
    </row>
    <row r="118" customFormat="false" ht="15" hidden="false" customHeight="false" outlineLevel="0" collapsed="false">
      <c r="A118" s="0" t="s">
        <v>924</v>
      </c>
      <c r="B118" s="0" t="s">
        <v>852</v>
      </c>
      <c r="C118" s="14" t="n">
        <f aca="false">((C47+C70)+C93)</f>
        <v>0</v>
      </c>
      <c r="D118" s="14" t="n">
        <f aca="false">((D47+D70)+D93)</f>
        <v>0</v>
      </c>
      <c r="E118" s="14" t="n">
        <f aca="false">((E47+E70)+E93)</f>
        <v>0</v>
      </c>
      <c r="F118" s="14" t="n">
        <f aca="false">((F47+F70)+F93)</f>
        <v>0</v>
      </c>
      <c r="G118" s="14" t="n">
        <f aca="false">((G47+G70)+G93)</f>
        <v>1</v>
      </c>
      <c r="H118" s="14" t="n">
        <f aca="false">((H47+H70)+H93)</f>
        <v>0</v>
      </c>
      <c r="I118" s="14" t="n">
        <f aca="false">((I47+I70)+I93)</f>
        <v>0</v>
      </c>
      <c r="J118" s="14" t="n">
        <f aca="false">((J47+J70)+J93)</f>
        <v>1</v>
      </c>
      <c r="K118" s="14" t="n">
        <f aca="false">((K47+K70)+K93)</f>
        <v>0</v>
      </c>
      <c r="L118" s="14" t="n">
        <f aca="false">((L47+L70)+L93)</f>
        <v>0</v>
      </c>
      <c r="M118" s="14" t="n">
        <f aca="false">((M47+M70)+M93)</f>
        <v>0</v>
      </c>
      <c r="N118" s="14" t="n">
        <f aca="false">((N47+N70)+N93)</f>
        <v>0</v>
      </c>
      <c r="O118" s="14" t="n">
        <f aca="false">((O47+O70)+O93)</f>
        <v>0</v>
      </c>
      <c r="P118" s="14" t="n">
        <f aca="false">((P47+P70)+P93)</f>
        <v>0</v>
      </c>
      <c r="Q118" s="14" t="n">
        <f aca="false">((Q47+Q70)+Q93)</f>
        <v>0</v>
      </c>
      <c r="R118" s="14" t="n">
        <f aca="false">((R47+R70)+R93)</f>
        <v>0</v>
      </c>
      <c r="S118" s="14" t="n">
        <f aca="false">((S47+S70)+S93)</f>
        <v>0</v>
      </c>
      <c r="T118" s="14" t="n">
        <f aca="false">((T47+T70)+T93)</f>
        <v>0</v>
      </c>
      <c r="U118" s="14" t="n">
        <f aca="false">((U47+U70)+U93)</f>
        <v>0</v>
      </c>
      <c r="V118" s="14" t="n">
        <f aca="false">((V47+V70)+V93)</f>
        <v>0</v>
      </c>
      <c r="W118" s="14" t="n">
        <f aca="false">((W47+W70)+W93)</f>
        <v>0</v>
      </c>
      <c r="X118" s="14" t="n">
        <f aca="false">((X47+X70)+X93)</f>
        <v>0</v>
      </c>
      <c r="Y118" s="14" t="n">
        <f aca="false">((Y47+Y70)+Y93)</f>
        <v>0</v>
      </c>
      <c r="Z118" s="14" t="n">
        <f aca="false">((Z47+Z70)+Z93)</f>
        <v>0</v>
      </c>
      <c r="AA118" s="14" t="n">
        <f aca="false">((AA47+AA70)+AA93)</f>
        <v>0</v>
      </c>
      <c r="AB118" s="14" t="n">
        <f aca="false">((AB47+AB70)+AB93)</f>
        <v>0</v>
      </c>
      <c r="AC118" s="14" t="n">
        <f aca="false">((AC47+AC70)+AC93)</f>
        <v>0</v>
      </c>
      <c r="AD118" s="14" t="n">
        <f aca="false">((AD47+AD70)+AD93)</f>
        <v>0</v>
      </c>
      <c r="AE118" s="14" t="n">
        <f aca="false">((AE47+AE70)+AE93)</f>
        <v>0</v>
      </c>
      <c r="AF118" s="14" t="n">
        <f aca="false">((AF47+AF70)+AF93)</f>
        <v>0</v>
      </c>
      <c r="AG118" s="14" t="n">
        <f aca="false">((AG47+AG70)+AG93)</f>
        <v>0</v>
      </c>
      <c r="AH118" s="14" t="n">
        <f aca="false">((AH47+AH70)+AH93)</f>
        <v>0</v>
      </c>
      <c r="AI118" s="14" t="n">
        <f aca="false">((AI47+AI70)+AI93)</f>
        <v>0</v>
      </c>
      <c r="AJ118" s="14" t="n">
        <f aca="false">((AJ47+AJ70)+AJ93)</f>
        <v>0</v>
      </c>
      <c r="AK118" s="14" t="n">
        <f aca="false">((AK47+AK70)+AK93)</f>
        <v>0</v>
      </c>
      <c r="AL118" s="14" t="n">
        <f aca="false">((AL47+AL70)+AL93)</f>
        <v>0</v>
      </c>
      <c r="AN118" s="36" t="n">
        <f aca="false">SUM(C118:N118)</f>
        <v>2</v>
      </c>
      <c r="AO118" s="36" t="n">
        <f aca="false">SUM(O118:Z118)</f>
        <v>0</v>
      </c>
      <c r="AP118" s="36" t="n">
        <f aca="false">SUM(AA118:AL118)</f>
        <v>0</v>
      </c>
    </row>
    <row r="119" customFormat="false" ht="15" hidden="false" customHeight="false" outlineLevel="0" collapsed="false">
      <c r="A119" s="0" t="s">
        <v>925</v>
      </c>
      <c r="B119" s="0" t="s">
        <v>852</v>
      </c>
      <c r="C119" s="14" t="n">
        <f aca="false">((C49+C72)+C95)</f>
        <v>0</v>
      </c>
      <c r="D119" s="14" t="n">
        <f aca="false">((D49+D72)+D95)</f>
        <v>0</v>
      </c>
      <c r="E119" s="14" t="n">
        <f aca="false">((E49+E72)+E95)</f>
        <v>0</v>
      </c>
      <c r="F119" s="14" t="n">
        <f aca="false">((F49+F72)+F95)</f>
        <v>0</v>
      </c>
      <c r="G119" s="14" t="n">
        <f aca="false">((G49+G72)+G95)</f>
        <v>0</v>
      </c>
      <c r="H119" s="14" t="n">
        <f aca="false">((H49+H72)+H95)</f>
        <v>0</v>
      </c>
      <c r="I119" s="14" t="n">
        <f aca="false">((I49+I72)+I95)</f>
        <v>0</v>
      </c>
      <c r="J119" s="14" t="n">
        <f aca="false">((J49+J72)+J95)</f>
        <v>0</v>
      </c>
      <c r="K119" s="14" t="n">
        <f aca="false">((K49+K72)+K95)</f>
        <v>0</v>
      </c>
      <c r="L119" s="14" t="n">
        <f aca="false">((L49+L72)+L95)</f>
        <v>0</v>
      </c>
      <c r="M119" s="14" t="n">
        <f aca="false">((M49+M72)+M95)</f>
        <v>0</v>
      </c>
      <c r="N119" s="14" t="n">
        <f aca="false">((N49+N72)+N95)</f>
        <v>0</v>
      </c>
      <c r="O119" s="14" t="n">
        <f aca="false">((O49+O72)+O95)</f>
        <v>0</v>
      </c>
      <c r="P119" s="14" t="n">
        <f aca="false">((P49+P72)+P95)</f>
        <v>0</v>
      </c>
      <c r="Q119" s="14" t="n">
        <f aca="false">((Q49+Q72)+Q95)</f>
        <v>0</v>
      </c>
      <c r="R119" s="14" t="n">
        <f aca="false">((R49+R72)+R95)</f>
        <v>0</v>
      </c>
      <c r="S119" s="14" t="n">
        <f aca="false">((S49+S72)+S95)</f>
        <v>0</v>
      </c>
      <c r="T119" s="14" t="n">
        <f aca="false">((T49+T72)+T95)</f>
        <v>0</v>
      </c>
      <c r="U119" s="14" t="n">
        <f aca="false">((U49+U72)+U95)</f>
        <v>0</v>
      </c>
      <c r="V119" s="14" t="n">
        <f aca="false">((V49+V72)+V95)</f>
        <v>0</v>
      </c>
      <c r="W119" s="14" t="n">
        <f aca="false">((W49+W72)+W95)</f>
        <v>0</v>
      </c>
      <c r="X119" s="14" t="n">
        <f aca="false">((X49+X72)+X95)</f>
        <v>0</v>
      </c>
      <c r="Y119" s="14" t="n">
        <f aca="false">((Y49+Y72)+Y95)</f>
        <v>1</v>
      </c>
      <c r="Z119" s="14" t="n">
        <f aca="false">((Z49+Z72)+Z95)</f>
        <v>0</v>
      </c>
      <c r="AA119" s="14" t="n">
        <f aca="false">((AA49+AA72)+AA95)</f>
        <v>0</v>
      </c>
      <c r="AB119" s="14" t="n">
        <f aca="false">((AB49+AB72)+AB95)</f>
        <v>2</v>
      </c>
      <c r="AC119" s="14" t="n">
        <f aca="false">((AC49+AC72)+AC95)</f>
        <v>0</v>
      </c>
      <c r="AD119" s="14" t="n">
        <f aca="false">((AD49+AD72)+AD95)</f>
        <v>0</v>
      </c>
      <c r="AE119" s="14" t="n">
        <f aca="false">((AE49+AE72)+AE95)</f>
        <v>3</v>
      </c>
      <c r="AF119" s="14" t="n">
        <f aca="false">((AF49+AF72)+AF95)</f>
        <v>0</v>
      </c>
      <c r="AG119" s="14" t="n">
        <f aca="false">((AG49+AG72)+AG95)</f>
        <v>0</v>
      </c>
      <c r="AH119" s="14" t="n">
        <f aca="false">((AH49+AH72)+AH95)</f>
        <v>3</v>
      </c>
      <c r="AI119" s="14" t="n">
        <f aca="false">((AI49+AI72)+AI95)</f>
        <v>0</v>
      </c>
      <c r="AJ119" s="14" t="n">
        <f aca="false">((AJ49+AJ72)+AJ95)</f>
        <v>0</v>
      </c>
      <c r="AK119" s="14" t="n">
        <f aca="false">((AK49+AK72)+AK95)</f>
        <v>5</v>
      </c>
      <c r="AL119" s="14" t="n">
        <f aca="false">((AL49+AL72)+AL95)</f>
        <v>1</v>
      </c>
      <c r="AN119" s="36" t="n">
        <f aca="false">SUM(C119:N119)</f>
        <v>0</v>
      </c>
      <c r="AO119" s="36" t="n">
        <f aca="false">SUM(O119:Z119)</f>
        <v>1</v>
      </c>
      <c r="AP119" s="36" t="n">
        <f aca="false">SUM(AA119:AL119)</f>
        <v>14</v>
      </c>
    </row>
    <row r="120" customFormat="false" ht="15" hidden="false" customHeight="false" outlineLevel="0" collapsed="false">
      <c r="A120" s="0" t="s">
        <v>926</v>
      </c>
      <c r="B120" s="0" t="s">
        <v>852</v>
      </c>
      <c r="C120" s="14" t="n">
        <f aca="false">((C50+C73)+C96)</f>
        <v>0</v>
      </c>
      <c r="D120" s="14" t="n">
        <f aca="false">((D50+D73)+D96)</f>
        <v>0</v>
      </c>
      <c r="E120" s="14" t="n">
        <f aca="false">((E50+E73)+E96)</f>
        <v>0</v>
      </c>
      <c r="F120" s="14" t="n">
        <f aca="false">((F50+F73)+F96)</f>
        <v>0</v>
      </c>
      <c r="G120" s="14" t="n">
        <f aca="false">((G50+G73)+G96)</f>
        <v>0</v>
      </c>
      <c r="H120" s="14" t="n">
        <f aca="false">((H50+H73)+H96)</f>
        <v>0</v>
      </c>
      <c r="I120" s="14" t="n">
        <f aca="false">((I50+I73)+I96)</f>
        <v>0</v>
      </c>
      <c r="J120" s="14" t="n">
        <f aca="false">((J50+J73)+J96)</f>
        <v>0</v>
      </c>
      <c r="K120" s="14" t="n">
        <f aca="false">((K50+K73)+K96)</f>
        <v>0</v>
      </c>
      <c r="L120" s="14" t="n">
        <f aca="false">((L50+L73)+L96)</f>
        <v>0</v>
      </c>
      <c r="M120" s="14" t="n">
        <f aca="false">((M50+M73)+M96)</f>
        <v>0</v>
      </c>
      <c r="N120" s="14" t="n">
        <f aca="false">((N50+N73)+N96)</f>
        <v>0</v>
      </c>
      <c r="O120" s="14" t="n">
        <f aca="false">((O50+O73)+O96)</f>
        <v>1</v>
      </c>
      <c r="P120" s="14" t="n">
        <f aca="false">((P50+P73)+P96)</f>
        <v>0</v>
      </c>
      <c r="Q120" s="14" t="n">
        <f aca="false">((Q50+Q73)+Q96)</f>
        <v>0</v>
      </c>
      <c r="R120" s="14" t="n">
        <f aca="false">((R50+R73)+R96)</f>
        <v>2</v>
      </c>
      <c r="S120" s="14" t="n">
        <f aca="false">((S50+S73)+S96)</f>
        <v>0</v>
      </c>
      <c r="T120" s="14" t="n">
        <f aca="false">((T50+T73)+T96)</f>
        <v>0</v>
      </c>
      <c r="U120" s="14" t="n">
        <f aca="false">((U50+U73)+U96)</f>
        <v>3</v>
      </c>
      <c r="V120" s="14" t="n">
        <f aca="false">((V50+V73)+V96)</f>
        <v>0</v>
      </c>
      <c r="W120" s="14" t="n">
        <f aca="false">((W50+W73)+W96)</f>
        <v>0</v>
      </c>
      <c r="X120" s="14" t="n">
        <f aca="false">((X50+X73)+X96)</f>
        <v>3</v>
      </c>
      <c r="Y120" s="14" t="n">
        <f aca="false">((Y50+Y73)+Y96)</f>
        <v>1</v>
      </c>
      <c r="Z120" s="14" t="n">
        <f aca="false">((Z50+Z73)+Z96)</f>
        <v>0</v>
      </c>
      <c r="AA120" s="14" t="n">
        <f aca="false">((AA50+AA73)+AA96)</f>
        <v>4</v>
      </c>
      <c r="AB120" s="14" t="n">
        <f aca="false">((AB50+AB73)+AB96)</f>
        <v>2</v>
      </c>
      <c r="AC120" s="14" t="n">
        <f aca="false">((AC50+AC73)+AC96)</f>
        <v>0</v>
      </c>
      <c r="AD120" s="14" t="n">
        <f aca="false">((AD50+AD73)+AD96)</f>
        <v>5</v>
      </c>
      <c r="AE120" s="14" t="n">
        <f aca="false">((AE50+AE73)+AE96)</f>
        <v>3</v>
      </c>
      <c r="AF120" s="14" t="n">
        <f aca="false">((AF50+AF73)+AF96)</f>
        <v>1</v>
      </c>
      <c r="AG120" s="14" t="n">
        <f aca="false">((AG50+AG73)+AG96)</f>
        <v>5</v>
      </c>
      <c r="AH120" s="14" t="n">
        <f aca="false">((AH50+AH73)+AH96)</f>
        <v>3</v>
      </c>
      <c r="AI120" s="14" t="n">
        <f aca="false">((AI50+AI73)+AI96)</f>
        <v>0</v>
      </c>
      <c r="AJ120" s="14" t="n">
        <f aca="false">((AJ50+AJ73)+AJ96)</f>
        <v>6</v>
      </c>
      <c r="AK120" s="14" t="n">
        <f aca="false">((AK50+AK73)+AK96)</f>
        <v>5</v>
      </c>
      <c r="AL120" s="14" t="n">
        <f aca="false">((AL50+AL73)+AL96)</f>
        <v>2</v>
      </c>
      <c r="AN120" s="36" t="n">
        <f aca="false">SUM(C120:N120)</f>
        <v>0</v>
      </c>
      <c r="AO120" s="36" t="n">
        <f aca="false">SUM(O120:Z120)</f>
        <v>10</v>
      </c>
      <c r="AP120" s="36" t="n">
        <f aca="false">SUM(AA120:AL120)</f>
        <v>36</v>
      </c>
    </row>
    <row r="121" customFormat="false" ht="15" hidden="false" customHeight="false" outlineLevel="0" collapsed="false">
      <c r="A121" s="0" t="s">
        <v>927</v>
      </c>
      <c r="B121" s="0" t="s">
        <v>852</v>
      </c>
      <c r="C121" s="14" t="n">
        <f aca="false">((C55+C78)+C101)</f>
        <v>0</v>
      </c>
      <c r="D121" s="14" t="n">
        <f aca="false">((D55+D78)+D101)</f>
        <v>0</v>
      </c>
      <c r="E121" s="14" t="n">
        <f aca="false">((E55+E78)+E101)</f>
        <v>0</v>
      </c>
      <c r="F121" s="14" t="n">
        <f aca="false">((F55+F78)+F101)</f>
        <v>0</v>
      </c>
      <c r="G121" s="14" t="n">
        <f aca="false">((G55+G78)+G101)</f>
        <v>0</v>
      </c>
      <c r="H121" s="14" t="n">
        <f aca="false">((H55+H78)+H101)</f>
        <v>0</v>
      </c>
      <c r="I121" s="14" t="n">
        <f aca="false">((I55+I78)+I101)</f>
        <v>0</v>
      </c>
      <c r="J121" s="14" t="n">
        <f aca="false">((J55+J78)+J101)</f>
        <v>0</v>
      </c>
      <c r="K121" s="14" t="n">
        <f aca="false">((K55+K78)+K101)</f>
        <v>0</v>
      </c>
      <c r="L121" s="14" t="n">
        <f aca="false">((L55+L78)+L101)</f>
        <v>0</v>
      </c>
      <c r="M121" s="14" t="n">
        <f aca="false">((M55+M78)+M101)</f>
        <v>0</v>
      </c>
      <c r="N121" s="14" t="n">
        <f aca="false">((N55+N78)+N101)</f>
        <v>0.6</v>
      </c>
      <c r="O121" s="14" t="n">
        <f aca="false">((O55+O78)+O101)</f>
        <v>0</v>
      </c>
      <c r="P121" s="14" t="n">
        <f aca="false">((P55+P78)+P101)</f>
        <v>0</v>
      </c>
      <c r="Q121" s="14" t="n">
        <f aca="false">((Q55+Q78)+Q101)</f>
        <v>0.6</v>
      </c>
      <c r="R121" s="14" t="n">
        <f aca="false">((R55+R78)+R101)</f>
        <v>0</v>
      </c>
      <c r="S121" s="14" t="n">
        <f aca="false">((S55+S78)+S101)</f>
        <v>0</v>
      </c>
      <c r="T121" s="14" t="n">
        <f aca="false">((T55+T78)+T101)</f>
        <v>0</v>
      </c>
      <c r="U121" s="14" t="n">
        <f aca="false">((U55+U78)+U101)</f>
        <v>0</v>
      </c>
      <c r="V121" s="14" t="n">
        <f aca="false">((V55+V78)+V101)</f>
        <v>0.5</v>
      </c>
      <c r="W121" s="14" t="n">
        <f aca="false">((W55+W78)+W101)</f>
        <v>0</v>
      </c>
      <c r="X121" s="14" t="n">
        <f aca="false">((X55+X78)+X101)</f>
        <v>0</v>
      </c>
      <c r="Y121" s="14" t="n">
        <f aca="false">((Y55+Y78)+Y101)</f>
        <v>1.95</v>
      </c>
      <c r="Z121" s="14" t="n">
        <f aca="false">((Z55+Z78)+Z101)</f>
        <v>0</v>
      </c>
      <c r="AA121" s="14" t="n">
        <f aca="false">((AA55+AA78)+AA101)</f>
        <v>0</v>
      </c>
      <c r="AB121" s="14" t="n">
        <f aca="false">((AB55+AB78)+AB101)</f>
        <v>3.45</v>
      </c>
      <c r="AC121" s="14" t="n">
        <f aca="false">((AC55+AC78)+AC101)</f>
        <v>0</v>
      </c>
      <c r="AD121" s="14" t="n">
        <f aca="false">((AD55+AD78)+AD101)</f>
        <v>0</v>
      </c>
      <c r="AE121" s="14" t="n">
        <f aca="false">((AE55+AE78)+AE101)</f>
        <v>4.45</v>
      </c>
      <c r="AF121" s="14" t="n">
        <f aca="false">((AF55+AF78)+AF101)</f>
        <v>0</v>
      </c>
      <c r="AG121" s="14" t="n">
        <f aca="false">((AG55+AG78)+AG101)</f>
        <v>0</v>
      </c>
      <c r="AH121" s="14" t="n">
        <f aca="false">((AH55+AH78)+AH101)</f>
        <v>4.95</v>
      </c>
      <c r="AI121" s="14" t="n">
        <f aca="false">((AI55+AI78)+AI101)</f>
        <v>0</v>
      </c>
      <c r="AJ121" s="14" t="n">
        <f aca="false">((AJ55+AJ78)+AJ101)</f>
        <v>0</v>
      </c>
      <c r="AK121" s="14" t="n">
        <f aca="false">((AK55+AK78)+AK101)</f>
        <v>7.4</v>
      </c>
      <c r="AL121" s="14" t="n">
        <f aca="false">((AL55+AL78)+AL101)</f>
        <v>1</v>
      </c>
      <c r="AN121" s="36" t="n">
        <f aca="false">SUM(C121:N121)</f>
        <v>0.6</v>
      </c>
      <c r="AO121" s="36" t="n">
        <f aca="false">SUM(O121:Z121)</f>
        <v>3.05</v>
      </c>
      <c r="AP121" s="36" t="n">
        <f aca="false">SUM(AA121:AL121)</f>
        <v>21.25</v>
      </c>
    </row>
    <row r="122" customFormat="false" ht="15" hidden="false" customHeight="false" outlineLevel="0" collapsed="false">
      <c r="A122" s="0" t="s">
        <v>928</v>
      </c>
      <c r="B122" s="0" t="s">
        <v>852</v>
      </c>
      <c r="C122" s="13" t="n">
        <f aca="false">((C57+C80)+C103)</f>
        <v>0</v>
      </c>
      <c r="D122" s="13" t="n">
        <f aca="false">((D57+D80)+D103)</f>
        <v>0</v>
      </c>
      <c r="E122" s="13" t="n">
        <f aca="false">((E57+E80)+E103)</f>
        <v>0</v>
      </c>
      <c r="F122" s="13" t="n">
        <f aca="false">((F57+F80)+F103)</f>
        <v>0</v>
      </c>
      <c r="G122" s="13" t="n">
        <f aca="false">((G57+G80)+G103)</f>
        <v>0</v>
      </c>
      <c r="H122" s="13" t="n">
        <f aca="false">((H57+H80)+H103)</f>
        <v>0</v>
      </c>
      <c r="I122" s="13" t="n">
        <f aca="false">((I57+I80)+I103)</f>
        <v>0</v>
      </c>
      <c r="J122" s="13" t="n">
        <f aca="false">((J57+J80)+J103)</f>
        <v>0</v>
      </c>
      <c r="K122" s="13" t="n">
        <f aca="false">((K57+K80)+K103)</f>
        <v>0</v>
      </c>
      <c r="L122" s="13" t="n">
        <f aca="false">((L57+L80)+L103)</f>
        <v>0</v>
      </c>
      <c r="M122" s="13" t="n">
        <f aca="false">((M57+M80)+M103)</f>
        <v>0</v>
      </c>
      <c r="N122" s="13" t="n">
        <f aca="false">((N57+N80)+N103)</f>
        <v>0.6</v>
      </c>
      <c r="O122" s="13" t="n">
        <f aca="false">((O57+O80)+O103)</f>
        <v>0.6</v>
      </c>
      <c r="P122" s="13" t="n">
        <f aca="false">((P57+P80)+P103)</f>
        <v>0.6</v>
      </c>
      <c r="Q122" s="13" t="n">
        <f aca="false">((Q57+Q80)+Q103)</f>
        <v>1.2</v>
      </c>
      <c r="R122" s="13" t="n">
        <f aca="false">((R57+R80)+R103)</f>
        <v>1.2</v>
      </c>
      <c r="S122" s="13" t="n">
        <f aca="false">((S57+S80)+S103)</f>
        <v>1.2</v>
      </c>
      <c r="T122" s="13" t="n">
        <f aca="false">((T57+T80)+T103)</f>
        <v>1.2</v>
      </c>
      <c r="U122" s="13" t="n">
        <f aca="false">((U57+U80)+U103)</f>
        <v>1.2</v>
      </c>
      <c r="V122" s="13" t="n">
        <f aca="false">((V57+V80)+V103)</f>
        <v>1.7</v>
      </c>
      <c r="W122" s="13" t="n">
        <f aca="false">((W57+W80)+W103)</f>
        <v>1.7</v>
      </c>
      <c r="X122" s="13" t="n">
        <f aca="false">((X57+X80)+X103)</f>
        <v>1.7</v>
      </c>
      <c r="Y122" s="13" t="n">
        <f aca="false">((Y57+Y80)+Y103)</f>
        <v>3.65</v>
      </c>
      <c r="Z122" s="13" t="n">
        <f aca="false">((Z57+Z80)+Z103)</f>
        <v>3.578</v>
      </c>
      <c r="AA122" s="13" t="n">
        <f aca="false">((AA57+AA80)+AA103)</f>
        <v>3.578</v>
      </c>
      <c r="AB122" s="13" t="n">
        <f aca="false">((AB57+AB80)+AB103)</f>
        <v>7.028</v>
      </c>
      <c r="AC122" s="13" t="n">
        <f aca="false">((AC57+AC80)+AC103)</f>
        <v>6.956</v>
      </c>
      <c r="AD122" s="13" t="n">
        <f aca="false">((AD57+AD80)+AD103)</f>
        <v>6.956</v>
      </c>
      <c r="AE122" s="13" t="n">
        <f aca="false">((AE57+AE80)+AE103)</f>
        <v>11.406</v>
      </c>
      <c r="AF122" s="13" t="n">
        <f aca="false">((AF57+AF80)+AF103)</f>
        <v>11.406</v>
      </c>
      <c r="AG122" s="13" t="n">
        <f aca="false">((AG57+AG80)+AG103)</f>
        <v>11.406</v>
      </c>
      <c r="AH122" s="13" t="n">
        <f aca="false">((AH57+AH80)+AH103)</f>
        <v>16.296</v>
      </c>
      <c r="AI122" s="13" t="n">
        <f aca="false">((AI57+AI80)+AI103)</f>
        <v>16.296</v>
      </c>
      <c r="AJ122" s="13" t="n">
        <f aca="false">((AJ57+AJ80)+AJ103)</f>
        <v>16.296</v>
      </c>
      <c r="AK122" s="13" t="n">
        <f aca="false">((AK57+AK80)+AK103)</f>
        <v>23.462</v>
      </c>
      <c r="AL122" s="13" t="n">
        <f aca="false">((AL57+AL80)+AL103)</f>
        <v>24.39864</v>
      </c>
      <c r="AN122" s="37" t="n">
        <f aca="false">N122</f>
        <v>0.6</v>
      </c>
      <c r="AO122" s="37" t="n">
        <f aca="false">Z122</f>
        <v>3.578</v>
      </c>
      <c r="AP122" s="37" t="n">
        <f aca="false">AL122</f>
        <v>24.39864</v>
      </c>
    </row>
    <row r="123" customFormat="false" ht="15" hidden="false" customHeight="false" outlineLevel="0" collapsed="false">
      <c r="A123" s="0" t="s">
        <v>929</v>
      </c>
      <c r="B123" s="0" t="s">
        <v>852</v>
      </c>
      <c r="C123" s="13" t="n">
        <f aca="false">((C51+C74)+C97)</f>
        <v>0</v>
      </c>
      <c r="D123" s="13" t="n">
        <f aca="false">((D51+D74)+D97)</f>
        <v>0</v>
      </c>
      <c r="E123" s="13" t="n">
        <f aca="false">((E51+E74)+E97)</f>
        <v>0</v>
      </c>
      <c r="F123" s="13" t="n">
        <f aca="false">((F51+F74)+F97)</f>
        <v>0</v>
      </c>
      <c r="G123" s="13" t="n">
        <f aca="false">((G51+G74)+G97)</f>
        <v>1</v>
      </c>
      <c r="H123" s="13" t="n">
        <f aca="false">((H51+H74)+H97)</f>
        <v>1</v>
      </c>
      <c r="I123" s="13" t="n">
        <f aca="false">((I51+I74)+I97)</f>
        <v>1</v>
      </c>
      <c r="J123" s="13" t="n">
        <f aca="false">((J51+J74)+J97)</f>
        <v>2</v>
      </c>
      <c r="K123" s="13" t="n">
        <f aca="false">((K51+K74)+K97)</f>
        <v>2</v>
      </c>
      <c r="L123" s="13" t="n">
        <f aca="false">((L51+L74)+L97)</f>
        <v>2</v>
      </c>
      <c r="M123" s="13" t="n">
        <f aca="false">((M51+M74)+M97)</f>
        <v>1</v>
      </c>
      <c r="N123" s="13" t="n">
        <f aca="false">((N51+N74)+N97)</f>
        <v>1</v>
      </c>
      <c r="O123" s="13" t="n">
        <f aca="false">((O51+O74)+O97)</f>
        <v>2</v>
      </c>
      <c r="P123" s="13" t="n">
        <f aca="false">((P51+P74)+P97)</f>
        <v>1</v>
      </c>
      <c r="Q123" s="13" t="n">
        <f aca="false">((Q51+Q74)+Q97)</f>
        <v>1</v>
      </c>
      <c r="R123" s="13" t="n">
        <f aca="false">((R51+R74)+R97)</f>
        <v>3</v>
      </c>
      <c r="S123" s="13" t="n">
        <f aca="false">((S51+S74)+S97)</f>
        <v>3</v>
      </c>
      <c r="T123" s="13" t="n">
        <f aca="false">((T51+T74)+T97)</f>
        <v>3</v>
      </c>
      <c r="U123" s="13" t="n">
        <f aca="false">((U51+U74)+U97)</f>
        <v>5</v>
      </c>
      <c r="V123" s="13" t="n">
        <f aca="false">((V51+V74)+V97)</f>
        <v>5</v>
      </c>
      <c r="W123" s="13" t="n">
        <f aca="false">((W51+W74)+W97)</f>
        <v>5</v>
      </c>
      <c r="X123" s="13" t="n">
        <f aca="false">((X51+X74)+X97)</f>
        <v>6</v>
      </c>
      <c r="Y123" s="13" t="n">
        <f aca="false">((Y51+Y74)+Y97)</f>
        <v>6</v>
      </c>
      <c r="Z123" s="13" t="n">
        <f aca="false">((Z51+Z74)+Z97)</f>
        <v>6</v>
      </c>
      <c r="AA123" s="13" t="n">
        <f aca="false">((AA51+AA74)+AA97)</f>
        <v>7</v>
      </c>
      <c r="AB123" s="13" t="n">
        <f aca="false">((AB51+AB74)+AB97)</f>
        <v>7</v>
      </c>
      <c r="AC123" s="13" t="n">
        <f aca="false">((AC51+AC74)+AC97)</f>
        <v>7</v>
      </c>
      <c r="AD123" s="13" t="n">
        <f aca="false">((AD51+AD74)+AD97)</f>
        <v>9</v>
      </c>
      <c r="AE123" s="13" t="n">
        <f aca="false">((AE51+AE74)+AE97)</f>
        <v>9</v>
      </c>
      <c r="AF123" s="13" t="n">
        <f aca="false">((AF51+AF74)+AF97)</f>
        <v>10</v>
      </c>
      <c r="AG123" s="13" t="n">
        <f aca="false">((AG51+AG74)+AG97)</f>
        <v>11</v>
      </c>
      <c r="AH123" s="13" t="n">
        <f aca="false">((AH51+AH74)+AH97)</f>
        <v>11</v>
      </c>
      <c r="AI123" s="13" t="n">
        <f aca="false">((AI51+AI74)+AI97)</f>
        <v>11</v>
      </c>
      <c r="AJ123" s="13" t="n">
        <f aca="false">((AJ51+AJ74)+AJ97)</f>
        <v>12</v>
      </c>
      <c r="AK123" s="13" t="n">
        <f aca="false">((AK51+AK74)+AK97)</f>
        <v>12</v>
      </c>
      <c r="AL123" s="13" t="n">
        <f aca="false">((AL51+AL74)+AL97)</f>
        <v>12</v>
      </c>
      <c r="AN123" s="37" t="n">
        <f aca="false">N123</f>
        <v>1</v>
      </c>
      <c r="AO123" s="37" t="n">
        <f aca="false">Z123</f>
        <v>6</v>
      </c>
      <c r="AP123" s="37" t="n">
        <f aca="false">AL123</f>
        <v>12</v>
      </c>
    </row>
    <row r="124" customFormat="false" ht="15" hidden="false" customHeight="false" outlineLevel="0" collapsed="false">
      <c r="A124" s="0" t="s">
        <v>930</v>
      </c>
      <c r="B124" s="0" t="s">
        <v>230</v>
      </c>
      <c r="C124" s="9" t="n">
        <f aca="false">((C61+C84)+C107)</f>
        <v>0</v>
      </c>
      <c r="D124" s="9" t="n">
        <f aca="false">((D61+D84)+D107)</f>
        <v>0</v>
      </c>
      <c r="E124" s="9" t="n">
        <f aca="false">((E61+E84)+E107)</f>
        <v>0</v>
      </c>
      <c r="F124" s="9" t="n">
        <f aca="false">((F61+F84)+F107)</f>
        <v>0</v>
      </c>
      <c r="G124" s="9" t="n">
        <f aca="false">((G61+G84)+G107)</f>
        <v>0</v>
      </c>
      <c r="H124" s="9" t="n">
        <f aca="false">((H61+H84)+H107)</f>
        <v>0</v>
      </c>
      <c r="I124" s="9" t="n">
        <f aca="false">((I61+I84)+I107)</f>
        <v>0</v>
      </c>
      <c r="J124" s="9" t="n">
        <f aca="false">((J61+J84)+J107)</f>
        <v>0</v>
      </c>
      <c r="K124" s="9" t="n">
        <f aca="false">((K61+K84)+K107)</f>
        <v>0</v>
      </c>
      <c r="L124" s="9" t="n">
        <f aca="false">((L61+L84)+L107)</f>
        <v>0</v>
      </c>
      <c r="M124" s="9" t="n">
        <f aca="false">((M61+M84)+M107)</f>
        <v>0</v>
      </c>
      <c r="N124" s="9" t="n">
        <f aca="false">((N61+N84)+N107)</f>
        <v>1320</v>
      </c>
      <c r="O124" s="9" t="n">
        <f aca="false">((O61+O84)+O107)</f>
        <v>1320</v>
      </c>
      <c r="P124" s="9" t="n">
        <f aca="false">((P61+P84)+P107)</f>
        <v>1320</v>
      </c>
      <c r="Q124" s="9" t="n">
        <f aca="false">((Q61+Q84)+Q107)</f>
        <v>5060</v>
      </c>
      <c r="R124" s="9" t="n">
        <f aca="false">((R61+R84)+R107)</f>
        <v>5060</v>
      </c>
      <c r="S124" s="9" t="n">
        <f aca="false">((S61+S84)+S107)</f>
        <v>5060</v>
      </c>
      <c r="T124" s="9" t="n">
        <f aca="false">((T61+T84)+T107)</f>
        <v>5060</v>
      </c>
      <c r="U124" s="9" t="n">
        <f aca="false">((U61+U84)+U107)</f>
        <v>5060</v>
      </c>
      <c r="V124" s="9" t="n">
        <f aca="false">((V61+V84)+V107)</f>
        <v>5847.5</v>
      </c>
      <c r="W124" s="9" t="n">
        <f aca="false">((W61+W84)+W107)</f>
        <v>5847.5</v>
      </c>
      <c r="X124" s="9" t="n">
        <f aca="false">((X61+X84)+X107)</f>
        <v>5847.5</v>
      </c>
      <c r="Y124" s="9" t="n">
        <f aca="false">((Y61+Y84)+Y107)</f>
        <v>11077.5</v>
      </c>
      <c r="Z124" s="9" t="n">
        <f aca="false">((Z61+Z84)+Z107)</f>
        <v>11035.26</v>
      </c>
      <c r="AA124" s="9" t="n">
        <f aca="false">((AA61+AA84)+AA107)</f>
        <v>11035.26</v>
      </c>
      <c r="AB124" s="9" t="n">
        <f aca="false">((AB61+AB84)+AB107)</f>
        <v>23286.0933333333</v>
      </c>
      <c r="AC124" s="9" t="n">
        <f aca="false">((AC61+AC84)+AC107)</f>
        <v>23166.4133333333</v>
      </c>
      <c r="AD124" s="9" t="n">
        <f aca="false">((AD61+AD84)+AD107)</f>
        <v>23166.4133333333</v>
      </c>
      <c r="AE124" s="9" t="n">
        <f aca="false">((AE61+AE84)+AE107)</f>
        <v>37617.2466666667</v>
      </c>
      <c r="AF124" s="9" t="n">
        <f aca="false">((AF61+AF84)+AF107)</f>
        <v>37617.2466666667</v>
      </c>
      <c r="AG124" s="9" t="n">
        <f aca="false">((AG61+AG84)+AG107)</f>
        <v>37617.2466666667</v>
      </c>
      <c r="AH124" s="9" t="n">
        <f aca="false">((AH61+AH84)+AH107)</f>
        <v>53132.88</v>
      </c>
      <c r="AI124" s="9" t="n">
        <f aca="false">((AI61+AI84)+AI107)</f>
        <v>53132.88</v>
      </c>
      <c r="AJ124" s="9" t="n">
        <f aca="false">((AJ61+AJ84)+AJ107)</f>
        <v>53132.88</v>
      </c>
      <c r="AK124" s="9" t="n">
        <f aca="false">((AK61+AK84)+AK107)</f>
        <v>79726.6866666667</v>
      </c>
      <c r="AL124" s="9" t="n">
        <f aca="false">((AL61+AL84)+AL107)</f>
        <v>95819.13168</v>
      </c>
      <c r="AN124" s="11" t="n">
        <f aca="false">SUM(C124:N124)</f>
        <v>1320</v>
      </c>
      <c r="AO124" s="11" t="n">
        <f aca="false">SUM(O124:Z124)</f>
        <v>67595.26</v>
      </c>
      <c r="AP124" s="11" t="n">
        <f aca="false">SUM(AA124:AL124)</f>
        <v>528450.378346667</v>
      </c>
    </row>
    <row r="125" customFormat="false" ht="15" hidden="false" customHeight="false" outlineLevel="0" collapsed="false">
      <c r="A125" s="0" t="s">
        <v>931</v>
      </c>
      <c r="B125" s="0" t="s">
        <v>230</v>
      </c>
      <c r="C125" s="9" t="n">
        <f aca="false">IF(AND(($C$14=1),(C$18=(Assumptions!$C$106+1))),((Assumptions!$C$114*12)*C124),0)</f>
        <v>0</v>
      </c>
      <c r="D125" s="9" t="n">
        <f aca="false">IF(AND(($C$14=1),(D$18=(Assumptions!$C$106+1))),((Assumptions!$C$114*12)*D124),0)</f>
        <v>0</v>
      </c>
      <c r="E125" s="9" t="n">
        <f aca="false">IF(AND(($C$14=1),(E$18=(Assumptions!$C$106+1))),((Assumptions!$C$114*12)*E124),0)</f>
        <v>0</v>
      </c>
      <c r="F125" s="9" t="n">
        <f aca="false">IF(AND(($C$14=1),(F$18=(Assumptions!$C$106+1))),((Assumptions!$C$114*12)*F124),0)</f>
        <v>0</v>
      </c>
      <c r="G125" s="9" t="n">
        <f aca="false">IF(AND(($C$14=1),(G$18=(Assumptions!$C$106+1))),((Assumptions!$C$114*12)*G124),0)</f>
        <v>0</v>
      </c>
      <c r="H125" s="9" t="n">
        <f aca="false">IF(AND(($C$14=1),(H$18=(Assumptions!$C$106+1))),((Assumptions!$C$114*12)*H124),0)</f>
        <v>0</v>
      </c>
      <c r="I125" s="9" t="n">
        <f aca="false">IF(AND(($C$14=1),(I$18=(Assumptions!$C$106+1))),((Assumptions!$C$114*12)*I124),0)</f>
        <v>0</v>
      </c>
      <c r="J125" s="9" t="n">
        <f aca="false">IF(AND(($C$14=1),(J$18=(Assumptions!$C$106+1))),((Assumptions!$C$114*12)*J124),0)</f>
        <v>0</v>
      </c>
      <c r="K125" s="9" t="n">
        <f aca="false">IF(AND(($C$14=1),(K$18=(Assumptions!$C$106+1))),((Assumptions!$C$114*12)*K124),0)</f>
        <v>0</v>
      </c>
      <c r="L125" s="9" t="n">
        <f aca="false">IF(AND(($C$14=1),(L$18=(Assumptions!$C$106+1))),((Assumptions!$C$114*12)*L124),0)</f>
        <v>0</v>
      </c>
      <c r="M125" s="9" t="n">
        <f aca="false">IF(AND(($C$14=1),(M$18=(Assumptions!$C$106+1))),((Assumptions!$C$114*12)*M124),0)</f>
        <v>0</v>
      </c>
      <c r="N125" s="9" t="n">
        <f aca="false">IF(AND(($C$14=1),(N$18=(Assumptions!$C$106+1))),((Assumptions!$C$114*12)*N124),0)</f>
        <v>0</v>
      </c>
      <c r="O125" s="9" t="n">
        <f aca="false">IF(AND(($C$14=1),(O$18=(Assumptions!$C$106+1))),((Assumptions!$C$114*12)*O124),0)</f>
        <v>0</v>
      </c>
      <c r="P125" s="9" t="n">
        <f aca="false">IF(AND(($C$14=1),(P$18=(Assumptions!$C$106+1))),((Assumptions!$C$114*12)*P124),0)</f>
        <v>0</v>
      </c>
      <c r="Q125" s="9" t="n">
        <f aca="false">IF(AND(($C$14=1),(Q$18=(Assumptions!$C$106+1))),((Assumptions!$C$114*12)*Q124),0)</f>
        <v>0</v>
      </c>
      <c r="R125" s="9" t="n">
        <f aca="false">IF(AND(($C$14=1),(R$18=(Assumptions!$C$106+1))),((Assumptions!$C$114*12)*R124),0)</f>
        <v>0</v>
      </c>
      <c r="S125" s="9" t="n">
        <f aca="false">IF(AND(($C$14=1),(S$18=(Assumptions!$C$106+1))),((Assumptions!$C$114*12)*S124),0)</f>
        <v>0</v>
      </c>
      <c r="T125" s="9" t="n">
        <f aca="false">IF(AND(($C$14=1),(T$18=(Assumptions!$C$106+1))),((Assumptions!$C$114*12)*T124),0)</f>
        <v>0</v>
      </c>
      <c r="U125" s="9" t="n">
        <f aca="false">IF(AND(($C$14=1),(U$18=(Assumptions!$C$106+1))),((Assumptions!$C$114*12)*U124),0)</f>
        <v>0</v>
      </c>
      <c r="V125" s="9" t="n">
        <f aca="false">IF(AND(($C$14=1),(V$18=(Assumptions!$C$106+1))),((Assumptions!$C$114*12)*V124),0)</f>
        <v>0</v>
      </c>
      <c r="W125" s="9" t="n">
        <f aca="false">IF(AND(($C$14=1),(W$18=(Assumptions!$C$106+1))),((Assumptions!$C$114*12)*W124),0)</f>
        <v>0</v>
      </c>
      <c r="X125" s="9" t="n">
        <f aca="false">IF(AND(($C$14=1),(X$18=(Assumptions!$C$106+1))),((Assumptions!$C$114*12)*X124),0)</f>
        <v>0</v>
      </c>
      <c r="Y125" s="9" t="n">
        <f aca="false">IF(AND(($C$14=1),(Y$18=(Assumptions!$C$106+1))),((Assumptions!$C$114*12)*Y124),0)</f>
        <v>0</v>
      </c>
      <c r="Z125" s="9" t="n">
        <f aca="false">IF(AND(($C$14=1),(Z$18=(Assumptions!$C$106+1))),((Assumptions!$C$114*12)*Z124),0)</f>
        <v>0</v>
      </c>
      <c r="AA125" s="9" t="n">
        <f aca="false">IF(AND(($C$14=1),(AA$18=(Assumptions!$C$106+1))),((Assumptions!$C$114*12)*AA124),0)</f>
        <v>0</v>
      </c>
      <c r="AB125" s="9" t="n">
        <f aca="false">IF(AND(($C$14=1),(AB$18=(Assumptions!$C$106+1))),((Assumptions!$C$114*12)*AB124),0)</f>
        <v>0</v>
      </c>
      <c r="AC125" s="9" t="n">
        <f aca="false">IF(AND(($C$14=1),(AC$18=(Assumptions!$C$106+1))),((Assumptions!$C$114*12)*AC124),0)</f>
        <v>0</v>
      </c>
      <c r="AD125" s="9" t="n">
        <f aca="false">IF(AND(($C$14=1),(AD$18=(Assumptions!$C$106+1))),((Assumptions!$C$114*12)*AD124),0)</f>
        <v>0</v>
      </c>
      <c r="AE125" s="9" t="n">
        <f aca="false">IF(AND(($C$14=1),(AE$18=(Assumptions!$C$106+1))),((Assumptions!$C$114*12)*AE124),0)</f>
        <v>0</v>
      </c>
      <c r="AF125" s="9" t="n">
        <f aca="false">IF(AND(($C$14=1),(AF$18=(Assumptions!$C$106+1))),((Assumptions!$C$114*12)*AF124),0)</f>
        <v>0</v>
      </c>
      <c r="AG125" s="9" t="n">
        <f aca="false">IF(AND(($C$14=1),(AG$18=(Assumptions!$C$106+1))),((Assumptions!$C$114*12)*AG124),0)</f>
        <v>0</v>
      </c>
      <c r="AH125" s="9" t="n">
        <f aca="false">IF(AND(($C$14=1),(AH$18=(Assumptions!$C$106+1))),((Assumptions!$C$114*12)*AH124),0)</f>
        <v>0</v>
      </c>
      <c r="AI125" s="9" t="n">
        <f aca="false">IF(AND(($C$14=1),(AI$18=(Assumptions!$C$106+1))),((Assumptions!$C$114*12)*AI124),0)</f>
        <v>0</v>
      </c>
      <c r="AJ125" s="9" t="n">
        <f aca="false">IF(AND(($C$14=1),(AJ$18=(Assumptions!$C$106+1))),((Assumptions!$C$114*12)*AJ124),0)</f>
        <v>0</v>
      </c>
      <c r="AK125" s="9" t="n">
        <f aca="false">IF(AND(($C$14=1),(AK$18=(Assumptions!$C$106+1))),((Assumptions!$C$114*12)*AK124),0)</f>
        <v>0</v>
      </c>
      <c r="AL125" s="9" t="n">
        <f aca="false">IF(AND(($C$14=1),(AL$18=(Assumptions!$C$106+1))),((Assumptions!$C$114*12)*AL124),0)</f>
        <v>0</v>
      </c>
      <c r="AN125" s="11" t="n">
        <f aca="false">SUM(C125:N125)</f>
        <v>0</v>
      </c>
      <c r="AO125" s="11" t="n">
        <f aca="false">SUM(O125:Z125)</f>
        <v>0</v>
      </c>
      <c r="AP125" s="11" t="n">
        <f aca="false">SUM(AA125:AL125)</f>
        <v>0</v>
      </c>
    </row>
    <row r="126" customFormat="false" ht="15" hidden="false" customHeight="false" outlineLevel="0" collapsed="false">
      <c r="A126" s="0" t="s">
        <v>932</v>
      </c>
      <c r="B126" s="0" t="s">
        <v>500</v>
      </c>
      <c r="C126" s="9" t="n">
        <f aca="false">(((Assumptions!$C$125*(C57+(Assumptions!$C$32*C51)))+(Assumptions!$D$125*(C80+(Assumptions!$C$32*C74))))+(Assumptions!$E$125*(C103+(Assumptions!$C$32*C97))))</f>
        <v>0</v>
      </c>
      <c r="D126" s="9" t="n">
        <f aca="false">(((Assumptions!$C$125*(D57+(Assumptions!$C$32*D51)))+(Assumptions!$D$125*(D80+(Assumptions!$C$32*D74))))+(Assumptions!$E$125*(D103+(Assumptions!$C$32*D97))))</f>
        <v>0</v>
      </c>
      <c r="E126" s="9" t="n">
        <f aca="false">(((Assumptions!$C$125*(E57+(Assumptions!$C$32*E51)))+(Assumptions!$D$125*(E80+(Assumptions!$C$32*E74))))+(Assumptions!$E$125*(E103+(Assumptions!$C$32*E97))))</f>
        <v>0</v>
      </c>
      <c r="F126" s="9" t="n">
        <f aca="false">(((Assumptions!$C$125*(F57+(Assumptions!$C$32*F51)))+(Assumptions!$D$125*(F80+(Assumptions!$C$32*F74))))+(Assumptions!$E$125*(F103+(Assumptions!$C$32*F97))))</f>
        <v>0</v>
      </c>
      <c r="G126" s="9" t="n">
        <f aca="false">(((Assumptions!$C$125*(G57+(Assumptions!$C$32*G51)))+(Assumptions!$D$125*(G80+(Assumptions!$C$32*G74))))+(Assumptions!$E$125*(G103+(Assumptions!$C$32*G97))))</f>
        <v>210</v>
      </c>
      <c r="H126" s="9" t="n">
        <f aca="false">(((Assumptions!$C$125*(H57+(Assumptions!$C$32*H51)))+(Assumptions!$D$125*(H80+(Assumptions!$C$32*H74))))+(Assumptions!$E$125*(H103+(Assumptions!$C$32*H97))))</f>
        <v>210</v>
      </c>
      <c r="I126" s="9" t="n">
        <f aca="false">(((Assumptions!$C$125*(I57+(Assumptions!$C$32*I51)))+(Assumptions!$D$125*(I80+(Assumptions!$C$32*I74))))+(Assumptions!$E$125*(I103+(Assumptions!$C$32*I97))))</f>
        <v>210</v>
      </c>
      <c r="J126" s="9" t="n">
        <f aca="false">(((Assumptions!$C$125*(J57+(Assumptions!$C$32*J51)))+(Assumptions!$D$125*(J80+(Assumptions!$C$32*J74))))+(Assumptions!$E$125*(J103+(Assumptions!$C$32*J97))))</f>
        <v>1085</v>
      </c>
      <c r="K126" s="9" t="n">
        <f aca="false">(((Assumptions!$C$125*(K57+(Assumptions!$C$32*K51)))+(Assumptions!$D$125*(K80+(Assumptions!$C$32*K74))))+(Assumptions!$E$125*(K103+(Assumptions!$C$32*K97))))</f>
        <v>1085</v>
      </c>
      <c r="L126" s="9" t="n">
        <f aca="false">(((Assumptions!$C$125*(L57+(Assumptions!$C$32*L51)))+(Assumptions!$D$125*(L80+(Assumptions!$C$32*L74))))+(Assumptions!$E$125*(L103+(Assumptions!$C$32*L97))))</f>
        <v>1085</v>
      </c>
      <c r="M126" s="9" t="n">
        <f aca="false">(((Assumptions!$C$125*(M57+(Assumptions!$C$32*M51)))+(Assumptions!$D$125*(M80+(Assumptions!$C$32*M74))))+(Assumptions!$E$125*(M103+(Assumptions!$C$32*M97))))</f>
        <v>875</v>
      </c>
      <c r="N126" s="9" t="n">
        <f aca="false">(((Assumptions!$C$125*(N57+(Assumptions!$C$32*N51)))+(Assumptions!$D$125*(N80+(Assumptions!$C$32*N74))))+(Assumptions!$E$125*(N103+(Assumptions!$C$32*N97))))</f>
        <v>1235</v>
      </c>
      <c r="O126" s="9" t="n">
        <f aca="false">(((Assumptions!$C$125*(O57+(Assumptions!$C$32*O51)))+(Assumptions!$D$125*(O80+(Assumptions!$C$32*O74))))+(Assumptions!$E$125*(O103+(Assumptions!$C$32*O97))))</f>
        <v>1445</v>
      </c>
      <c r="P126" s="9" t="n">
        <f aca="false">(((Assumptions!$C$125*(P57+(Assumptions!$C$32*P51)))+(Assumptions!$D$125*(P80+(Assumptions!$C$32*P74))))+(Assumptions!$E$125*(P103+(Assumptions!$C$32*P97))))</f>
        <v>570</v>
      </c>
      <c r="Q126" s="9" t="n">
        <f aca="false">(((Assumptions!$C$125*(Q57+(Assumptions!$C$32*Q51)))+(Assumptions!$D$125*(Q80+(Assumptions!$C$32*Q74))))+(Assumptions!$E$125*(Q103+(Assumptions!$C$32*Q97))))</f>
        <v>2070</v>
      </c>
      <c r="R126" s="9" t="n">
        <f aca="false">(((Assumptions!$C$125*(R57+(Assumptions!$C$32*R51)))+(Assumptions!$D$125*(R80+(Assumptions!$C$32*R74))))+(Assumptions!$E$125*(R103+(Assumptions!$C$32*R97))))</f>
        <v>3155</v>
      </c>
      <c r="S126" s="9" t="n">
        <f aca="false">(((Assumptions!$C$125*(S57+(Assumptions!$C$32*S51)))+(Assumptions!$D$125*(S80+(Assumptions!$C$32*S74))))+(Assumptions!$E$125*(S103+(Assumptions!$C$32*S97))))</f>
        <v>3155</v>
      </c>
      <c r="T126" s="9" t="n">
        <f aca="false">(((Assumptions!$C$125*(T57+(Assumptions!$C$32*T51)))+(Assumptions!$D$125*(T80+(Assumptions!$C$32*T74))))+(Assumptions!$E$125*(T103+(Assumptions!$C$32*T97))))</f>
        <v>3155</v>
      </c>
      <c r="U126" s="9" t="n">
        <f aca="false">(((Assumptions!$C$125*(U57+(Assumptions!$C$32*U51)))+(Assumptions!$D$125*(U80+(Assumptions!$C$32*U74))))+(Assumptions!$E$125*(U103+(Assumptions!$C$32*U97))))</f>
        <v>4240</v>
      </c>
      <c r="V126" s="9" t="n">
        <f aca="false">(((Assumptions!$C$125*(V57+(Assumptions!$C$32*V51)))+(Assumptions!$D$125*(V80+(Assumptions!$C$32*V74))))+(Assumptions!$E$125*(V103+(Assumptions!$C$32*V97))))</f>
        <v>4540</v>
      </c>
      <c r="W126" s="9" t="n">
        <f aca="false">(((Assumptions!$C$125*(W57+(Assumptions!$C$32*W51)))+(Assumptions!$D$125*(W80+(Assumptions!$C$32*W74))))+(Assumptions!$E$125*(W103+(Assumptions!$C$32*W97))))</f>
        <v>4540</v>
      </c>
      <c r="X126" s="9" t="n">
        <f aca="false">(((Assumptions!$C$125*(X57+(Assumptions!$C$32*X51)))+(Assumptions!$D$125*(X80+(Assumptions!$C$32*X74))))+(Assumptions!$E$125*(X103+(Assumptions!$C$32*X97))))</f>
        <v>4750</v>
      </c>
      <c r="Y126" s="9" t="n">
        <f aca="false">(((Assumptions!$C$125*(Y57+(Assumptions!$C$32*Y51)))+(Assumptions!$D$125*(Y80+(Assumptions!$C$32*Y74))))+(Assumptions!$E$125*(Y103+(Assumptions!$C$32*Y97))))</f>
        <v>6775</v>
      </c>
      <c r="Z126" s="9" t="n">
        <f aca="false">(((Assumptions!$C$125*(Z57+(Assumptions!$C$32*Z51)))+(Assumptions!$D$125*(Z80+(Assumptions!$C$32*Z74))))+(Assumptions!$E$125*(Z103+(Assumptions!$C$32*Z97))))</f>
        <v>6731.8</v>
      </c>
      <c r="AA126" s="9" t="n">
        <f aca="false">(((Assumptions!$C$125*(AA57+(Assumptions!$C$32*AA51)))+(Assumptions!$D$125*(AA80+(Assumptions!$C$32*AA74))))+(Assumptions!$E$125*(AA103+(Assumptions!$C$32*AA97))))</f>
        <v>6941.8</v>
      </c>
      <c r="AB126" s="9" t="n">
        <f aca="false">(((Assumptions!$C$125*(AB57+(Assumptions!$C$32*AB51)))+(Assumptions!$D$125*(AB80+(Assumptions!$C$32*AB74))))+(Assumptions!$E$125*(AB103+(Assumptions!$C$32*AB97))))</f>
        <v>11766.8</v>
      </c>
      <c r="AC126" s="9" t="n">
        <f aca="false">(((Assumptions!$C$125*(AC57+(Assumptions!$C$32*AC51)))+(Assumptions!$D$125*(AC80+(Assumptions!$C$32*AC74))))+(Assumptions!$E$125*(AC103+(Assumptions!$C$32*AC97))))</f>
        <v>11586.8</v>
      </c>
      <c r="AD126" s="9" t="n">
        <f aca="false">(((Assumptions!$C$125*(AD57+(Assumptions!$C$32*AD51)))+(Assumptions!$D$125*(AD80+(Assumptions!$C$32*AD74))))+(Assumptions!$E$125*(AD103+(Assumptions!$C$32*AD97))))</f>
        <v>12671.8</v>
      </c>
      <c r="AE126" s="9" t="n">
        <f aca="false">(((Assumptions!$C$125*(AE57+(Assumptions!$C$32*AE51)))+(Assumptions!$D$125*(AE80+(Assumptions!$C$32*AE74))))+(Assumptions!$E$125*(AE103+(Assumptions!$C$32*AE97))))</f>
        <v>18096.8</v>
      </c>
      <c r="AF126" s="9" t="n">
        <f aca="false">(((Assumptions!$C$125*(AF57+(Assumptions!$C$32*AF51)))+(Assumptions!$D$125*(AF80+(Assumptions!$C$32*AF74))))+(Assumptions!$E$125*(AF103+(Assumptions!$C$32*AF97))))</f>
        <v>21246.8</v>
      </c>
      <c r="AG126" s="9" t="n">
        <f aca="false">(((Assumptions!$C$125*(AG57+(Assumptions!$C$32*AG51)))+(Assumptions!$D$125*(AG80+(Assumptions!$C$32*AG74))))+(Assumptions!$E$125*(AG103+(Assumptions!$C$32*AG97))))</f>
        <v>22121.8</v>
      </c>
      <c r="AH126" s="9" t="n">
        <f aca="false">(((Assumptions!$C$125*(AH57+(Assumptions!$C$32*AH51)))+(Assumptions!$D$125*(AH80+(Assumptions!$C$32*AH74))))+(Assumptions!$E$125*(AH103+(Assumptions!$C$32*AH97))))</f>
        <v>27810.8</v>
      </c>
      <c r="AI126" s="9" t="n">
        <f aca="false">(((Assumptions!$C$125*(AI57+(Assumptions!$C$32*AI51)))+(Assumptions!$D$125*(AI80+(Assumptions!$C$32*AI74))))+(Assumptions!$E$125*(AI103+(Assumptions!$C$32*AI97))))</f>
        <v>27810.8</v>
      </c>
      <c r="AJ126" s="9" t="n">
        <f aca="false">(((Assumptions!$C$125*(AJ57+(Assumptions!$C$32*AJ51)))+(Assumptions!$D$125*(AJ80+(Assumptions!$C$32*AJ74))))+(Assumptions!$E$125*(AJ103+(Assumptions!$C$32*AJ97))))</f>
        <v>28020.8</v>
      </c>
      <c r="AK126" s="9" t="n">
        <f aca="false">(((Assumptions!$C$125*(AK57+(Assumptions!$C$32*AK51)))+(Assumptions!$D$125*(AK80+(Assumptions!$C$32*AK74))))+(Assumptions!$E$125*(AK103+(Assumptions!$C$32*AK97))))</f>
        <v>37727.8</v>
      </c>
      <c r="AL126" s="9" t="n">
        <f aca="false">(((Assumptions!$C$125*(AL57+(Assumptions!$C$32*AL51)))+(Assumptions!$D$125*(AL80+(Assumptions!$C$32*AL74))))+(Assumptions!$E$125*(AL103+(Assumptions!$C$32*AL97))))</f>
        <v>46689.784</v>
      </c>
      <c r="AN126" s="11" t="n">
        <f aca="false">N126</f>
        <v>1235</v>
      </c>
      <c r="AO126" s="11" t="n">
        <f aca="false">Z126</f>
        <v>6731.8</v>
      </c>
      <c r="AP126" s="11" t="n">
        <f aca="false">AL126</f>
        <v>46689.784</v>
      </c>
    </row>
    <row r="127" customFormat="false" ht="15" hidden="false" customHeight="false" outlineLevel="0" collapsed="false">
      <c r="A127" s="0" t="s">
        <v>933</v>
      </c>
      <c r="B127" s="0" t="s">
        <v>230</v>
      </c>
      <c r="C127" s="9" t="n">
        <f aca="false">(C124-C125)</f>
        <v>0</v>
      </c>
      <c r="D127" s="9" t="n">
        <f aca="false">(D124-D125)</f>
        <v>0</v>
      </c>
      <c r="E127" s="9" t="n">
        <f aca="false">(E124-E125)</f>
        <v>0</v>
      </c>
      <c r="F127" s="9" t="n">
        <f aca="false">(F124-F125)</f>
        <v>0</v>
      </c>
      <c r="G127" s="9" t="n">
        <f aca="false">(G124-G125)</f>
        <v>0</v>
      </c>
      <c r="H127" s="9" t="n">
        <f aca="false">(H124-H125)</f>
        <v>0</v>
      </c>
      <c r="I127" s="9" t="n">
        <f aca="false">(I124-I125)</f>
        <v>0</v>
      </c>
      <c r="J127" s="9" t="n">
        <f aca="false">(J124-J125)</f>
        <v>0</v>
      </c>
      <c r="K127" s="9" t="n">
        <f aca="false">(K124-K125)</f>
        <v>0</v>
      </c>
      <c r="L127" s="9" t="n">
        <f aca="false">(L124-L125)</f>
        <v>0</v>
      </c>
      <c r="M127" s="9" t="n">
        <f aca="false">(M124-M125)</f>
        <v>0</v>
      </c>
      <c r="N127" s="9" t="n">
        <f aca="false">(N124-N125)</f>
        <v>1320</v>
      </c>
      <c r="O127" s="9" t="n">
        <f aca="false">(O124-O125)</f>
        <v>1320</v>
      </c>
      <c r="P127" s="9" t="n">
        <f aca="false">(P124-P125)</f>
        <v>1320</v>
      </c>
      <c r="Q127" s="9" t="n">
        <f aca="false">(Q124-Q125)</f>
        <v>5060</v>
      </c>
      <c r="R127" s="9" t="n">
        <f aca="false">(R124-R125)</f>
        <v>5060</v>
      </c>
      <c r="S127" s="9" t="n">
        <f aca="false">(S124-S125)</f>
        <v>5060</v>
      </c>
      <c r="T127" s="9" t="n">
        <f aca="false">(T124-T125)</f>
        <v>5060</v>
      </c>
      <c r="U127" s="9" t="n">
        <f aca="false">(U124-U125)</f>
        <v>5060</v>
      </c>
      <c r="V127" s="9" t="n">
        <f aca="false">(V124-V125)</f>
        <v>5847.5</v>
      </c>
      <c r="W127" s="9" t="n">
        <f aca="false">(W124-W125)</f>
        <v>5847.5</v>
      </c>
      <c r="X127" s="9" t="n">
        <f aca="false">(X124-X125)</f>
        <v>5847.5</v>
      </c>
      <c r="Y127" s="9" t="n">
        <f aca="false">(Y124-Y125)</f>
        <v>11077.5</v>
      </c>
      <c r="Z127" s="9" t="n">
        <f aca="false">(Z124-Z125)</f>
        <v>11035.26</v>
      </c>
      <c r="AA127" s="9" t="n">
        <f aca="false">(AA124-AA125)</f>
        <v>11035.26</v>
      </c>
      <c r="AB127" s="9" t="n">
        <f aca="false">(AB124-AB125)</f>
        <v>23286.0933333333</v>
      </c>
      <c r="AC127" s="9" t="n">
        <f aca="false">(AC124-AC125)</f>
        <v>23166.4133333333</v>
      </c>
      <c r="AD127" s="9" t="n">
        <f aca="false">(AD124-AD125)</f>
        <v>23166.4133333333</v>
      </c>
      <c r="AE127" s="9" t="n">
        <f aca="false">(AE124-AE125)</f>
        <v>37617.2466666667</v>
      </c>
      <c r="AF127" s="9" t="n">
        <f aca="false">(AF124-AF125)</f>
        <v>37617.2466666667</v>
      </c>
      <c r="AG127" s="9" t="n">
        <f aca="false">(AG124-AG125)</f>
        <v>37617.2466666667</v>
      </c>
      <c r="AH127" s="9" t="n">
        <f aca="false">(AH124-AH125)</f>
        <v>53132.88</v>
      </c>
      <c r="AI127" s="9" t="n">
        <f aca="false">(AI124-AI125)</f>
        <v>53132.88</v>
      </c>
      <c r="AJ127" s="9" t="n">
        <f aca="false">(AJ124-AJ125)</f>
        <v>53132.88</v>
      </c>
      <c r="AK127" s="9" t="n">
        <f aca="false">(AK124-AK125)</f>
        <v>79726.6866666667</v>
      </c>
      <c r="AL127" s="9" t="n">
        <f aca="false">(AL124-AL125)</f>
        <v>95819.13168</v>
      </c>
      <c r="AN127" s="11" t="n">
        <f aca="false">SUM(C127:N127)</f>
        <v>1320</v>
      </c>
      <c r="AO127" s="11" t="n">
        <f aca="false">SUM(O127:Z127)</f>
        <v>67595.26</v>
      </c>
      <c r="AP127" s="11" t="n">
        <f aca="false">SUM(AA127:AL127)</f>
        <v>528450.378346667</v>
      </c>
    </row>
    <row r="128" customFormat="false" ht="15" hidden="false" customHeight="false" outlineLevel="0" collapsed="false">
      <c r="A128" s="0" t="s">
        <v>934</v>
      </c>
      <c r="B128" s="0" t="s">
        <v>230</v>
      </c>
      <c r="C128" s="9" t="n">
        <f aca="false">(((C62+C85)+C108)-C125)</f>
        <v>0</v>
      </c>
      <c r="D128" s="9" t="n">
        <f aca="false">(((D62+D85)+D108)-D125)</f>
        <v>0</v>
      </c>
      <c r="E128" s="9" t="n">
        <f aca="false">(((E62+E85)+E108)-E125)</f>
        <v>0</v>
      </c>
      <c r="F128" s="9" t="n">
        <f aca="false">(((F62+F85)+F108)-F125)</f>
        <v>0</v>
      </c>
      <c r="G128" s="9" t="n">
        <f aca="false">(((G62+G85)+G108)-G125)</f>
        <v>0</v>
      </c>
      <c r="H128" s="9" t="n">
        <f aca="false">(((H62+H85)+H108)-H125)</f>
        <v>0</v>
      </c>
      <c r="I128" s="9" t="n">
        <f aca="false">(((I62+I85)+I108)-I125)</f>
        <v>0</v>
      </c>
      <c r="J128" s="9" t="n">
        <f aca="false">(((J62+J85)+J108)-J125)</f>
        <v>0</v>
      </c>
      <c r="K128" s="9" t="n">
        <f aca="false">(((K62+K85)+K108)-K125)</f>
        <v>0</v>
      </c>
      <c r="L128" s="9" t="n">
        <f aca="false">(((L62+L85)+L108)-L125)</f>
        <v>0</v>
      </c>
      <c r="M128" s="9" t="n">
        <f aca="false">(((M62+M85)+M108)-M125)</f>
        <v>0</v>
      </c>
      <c r="N128" s="9" t="n">
        <f aca="false">(((N62+N85)+N108)-N125)</f>
        <v>15840</v>
      </c>
      <c r="O128" s="9" t="n">
        <f aca="false">(((O62+O85)+O108)-O125)</f>
        <v>0</v>
      </c>
      <c r="P128" s="9" t="n">
        <f aca="false">(((P62+P85)+P108)-P125)</f>
        <v>0</v>
      </c>
      <c r="Q128" s="9" t="n">
        <f aca="false">(((Q62+Q85)+Q108)-Q125)</f>
        <v>44880</v>
      </c>
      <c r="R128" s="9" t="n">
        <f aca="false">(((R62+R85)+R108)-R125)</f>
        <v>0</v>
      </c>
      <c r="S128" s="9" t="n">
        <f aca="false">(((S62+S85)+S108)-S125)</f>
        <v>0</v>
      </c>
      <c r="T128" s="9" t="n">
        <f aca="false">(((T62+T85)+T108)-T125)</f>
        <v>0</v>
      </c>
      <c r="U128" s="9" t="n">
        <f aca="false">(((U62+U85)+U108)-U125)</f>
        <v>0</v>
      </c>
      <c r="V128" s="9" t="n">
        <f aca="false">(((V62+V85)+V108)-V125)</f>
        <v>9450</v>
      </c>
      <c r="W128" s="9" t="n">
        <f aca="false">(((W62+W85)+W108)-W125)</f>
        <v>0</v>
      </c>
      <c r="X128" s="9" t="n">
        <f aca="false">(((X62+X85)+X108)-X125)</f>
        <v>0</v>
      </c>
      <c r="Y128" s="9" t="n">
        <f aca="false">(((Y62+Y85)+Y108)-Y125)</f>
        <v>62760</v>
      </c>
      <c r="Z128" s="9" t="n">
        <f aca="false">(((Z62+Z85)+Z108)-Z125)</f>
        <v>15333.12</v>
      </c>
      <c r="AA128" s="9" t="n">
        <f aca="false">(((AA62+AA85)+AA108)-AA125)</f>
        <v>0</v>
      </c>
      <c r="AB128" s="9" t="n">
        <f aca="false">(((AB62+AB85)+AB108)-AB125)</f>
        <v>147010</v>
      </c>
      <c r="AC128" s="9" t="n">
        <f aca="false">(((AC62+AC85)+AC108)-AC125)</f>
        <v>43443.84</v>
      </c>
      <c r="AD128" s="9" t="n">
        <f aca="false">(((AD62+AD85)+AD108)-AD125)</f>
        <v>0</v>
      </c>
      <c r="AE128" s="9" t="n">
        <f aca="false">(((AE62+AE85)+AE108)-AE125)</f>
        <v>173410</v>
      </c>
      <c r="AF128" s="9" t="n">
        <f aca="false">(((AF62+AF85)+AF108)-AF125)</f>
        <v>0</v>
      </c>
      <c r="AG128" s="9" t="n">
        <f aca="false">(((AG62+AG85)+AG108)-AG125)</f>
        <v>0</v>
      </c>
      <c r="AH128" s="9" t="n">
        <f aca="false">(((AH62+AH85)+AH108)-AH125)</f>
        <v>195637.6</v>
      </c>
      <c r="AI128" s="9" t="n">
        <f aca="false">(((AI62+AI85)+AI108)-AI125)</f>
        <v>0</v>
      </c>
      <c r="AJ128" s="9" t="n">
        <f aca="false">(((AJ62+AJ85)+AJ108)-AJ125)</f>
        <v>0</v>
      </c>
      <c r="AK128" s="9" t="n">
        <f aca="false">(((AK62+AK85)+AK108)-AK125)</f>
        <v>381885.68</v>
      </c>
      <c r="AL128" s="9" t="n">
        <f aca="false">(((AL62+AL85)+AL108)-AL125)</f>
        <v>208442.46016</v>
      </c>
      <c r="AN128" s="11" t="n">
        <f aca="false">SUM(C128:N128)</f>
        <v>15840</v>
      </c>
      <c r="AO128" s="11" t="n">
        <f aca="false">SUM(O128:Z128)</f>
        <v>132423.12</v>
      </c>
      <c r="AP128" s="11" t="n">
        <f aca="false">SUM(AA128:AL128)</f>
        <v>1149829.58016</v>
      </c>
    </row>
    <row r="129" customFormat="false" ht="15" hidden="false" customHeight="false" outlineLevel="0" collapsed="false">
      <c r="A129" s="0" t="s">
        <v>935</v>
      </c>
      <c r="B129" s="0" t="s">
        <v>230</v>
      </c>
      <c r="C129" s="9" t="n">
        <f aca="false">((C63+C86)+C109)</f>
        <v>0</v>
      </c>
      <c r="D129" s="9" t="n">
        <f aca="false">((D63+D86)+D109)</f>
        <v>0</v>
      </c>
      <c r="E129" s="9" t="n">
        <f aca="false">((E63+E86)+E109)</f>
        <v>0</v>
      </c>
      <c r="F129" s="9" t="n">
        <f aca="false">((F63+F86)+F109)</f>
        <v>0</v>
      </c>
      <c r="G129" s="9" t="n">
        <f aca="false">((G63+G86)+G109)</f>
        <v>0</v>
      </c>
      <c r="H129" s="9" t="n">
        <f aca="false">((H63+H86)+H109)</f>
        <v>0</v>
      </c>
      <c r="I129" s="9" t="n">
        <f aca="false">((I63+I86)+I109)</f>
        <v>0</v>
      </c>
      <c r="J129" s="9" t="n">
        <f aca="false">((J63+J86)+J109)</f>
        <v>0</v>
      </c>
      <c r="K129" s="9" t="n">
        <f aca="false">((K63+K86)+K109)</f>
        <v>0</v>
      </c>
      <c r="L129" s="9" t="n">
        <f aca="false">((L63+L86)+L109)</f>
        <v>0</v>
      </c>
      <c r="M129" s="9" t="n">
        <f aca="false">((M63+M86)+M109)</f>
        <v>0</v>
      </c>
      <c r="N129" s="9" t="n">
        <f aca="false">((N63+N86)+N109)</f>
        <v>0</v>
      </c>
      <c r="O129" s="9" t="n">
        <f aca="false">((O63+O86)+O109)</f>
        <v>2500</v>
      </c>
      <c r="P129" s="9" t="n">
        <f aca="false">((P63+P86)+P109)</f>
        <v>2500</v>
      </c>
      <c r="Q129" s="9" t="n">
        <f aca="false">((Q63+Q86)+Q109)</f>
        <v>2500</v>
      </c>
      <c r="R129" s="9" t="n">
        <f aca="false">((R63+R86)+R109)</f>
        <v>10000</v>
      </c>
      <c r="S129" s="9" t="n">
        <f aca="false">((S63+S86)+S109)</f>
        <v>10000</v>
      </c>
      <c r="T129" s="9" t="n">
        <f aca="false">((T63+T86)+T109)</f>
        <v>10000</v>
      </c>
      <c r="U129" s="9" t="n">
        <f aca="false">((U63+U86)+U109)</f>
        <v>17500</v>
      </c>
      <c r="V129" s="9" t="n">
        <f aca="false">((V63+V86)+V109)</f>
        <v>17500</v>
      </c>
      <c r="W129" s="9" t="n">
        <f aca="false">((W63+W86)+W109)</f>
        <v>17500</v>
      </c>
      <c r="X129" s="9" t="n">
        <f aca="false">((X63+X86)+X109)</f>
        <v>20000</v>
      </c>
      <c r="Y129" s="9" t="n">
        <f aca="false">((Y63+Y86)+Y109)</f>
        <v>20000</v>
      </c>
      <c r="Z129" s="9" t="n">
        <f aca="false">((Z63+Z86)+Z109)</f>
        <v>20000</v>
      </c>
      <c r="AA129" s="9" t="n">
        <f aca="false">((AA63+AA86)+AA109)</f>
        <v>22500</v>
      </c>
      <c r="AB129" s="9" t="n">
        <f aca="false">((AB63+AB86)+AB109)</f>
        <v>22500</v>
      </c>
      <c r="AC129" s="9" t="n">
        <f aca="false">((AC63+AC86)+AC109)</f>
        <v>22500</v>
      </c>
      <c r="AD129" s="9" t="n">
        <f aca="false">((AD63+AD86)+AD109)</f>
        <v>30000</v>
      </c>
      <c r="AE129" s="9" t="n">
        <f aca="false">((AE63+AE86)+AE109)</f>
        <v>30000</v>
      </c>
      <c r="AF129" s="9" t="n">
        <f aca="false">((AF63+AF86)+AF109)</f>
        <v>40000</v>
      </c>
      <c r="AG129" s="9" t="n">
        <f aca="false">((AG63+AG86)+AG109)</f>
        <v>45000</v>
      </c>
      <c r="AH129" s="9" t="n">
        <f aca="false">((AH63+AH86)+AH109)</f>
        <v>45000</v>
      </c>
      <c r="AI129" s="9" t="n">
        <f aca="false">((AI63+AI86)+AI109)</f>
        <v>45000</v>
      </c>
      <c r="AJ129" s="9" t="n">
        <f aca="false">((AJ63+AJ86)+AJ109)</f>
        <v>47500</v>
      </c>
      <c r="AK129" s="9" t="n">
        <f aca="false">((AK63+AK86)+AK109)</f>
        <v>47500</v>
      </c>
      <c r="AL129" s="9" t="n">
        <f aca="false">((AL63+AL86)+AL109)</f>
        <v>47500</v>
      </c>
      <c r="AN129" s="11" t="n">
        <f aca="false">SUM(C129:N129)</f>
        <v>0</v>
      </c>
      <c r="AO129" s="11" t="n">
        <f aca="false">SUM(O129:Z129)</f>
        <v>150000</v>
      </c>
      <c r="AP129" s="11" t="n">
        <f aca="false">SUM(AA129:AL129)</f>
        <v>445000</v>
      </c>
    </row>
    <row r="130" customFormat="false" ht="15" hidden="false" customHeight="false" outlineLevel="0" collapsed="false">
      <c r="A130" s="0" t="s">
        <v>936</v>
      </c>
      <c r="B130" s="0" t="s">
        <v>230</v>
      </c>
      <c r="C130" s="9" t="n">
        <f aca="false">((C64+C87)+C110)</f>
        <v>0</v>
      </c>
      <c r="D130" s="9" t="n">
        <f aca="false">((D64+D87)+D110)</f>
        <v>0</v>
      </c>
      <c r="E130" s="9" t="n">
        <f aca="false">((E64+E87)+E110)</f>
        <v>0</v>
      </c>
      <c r="F130" s="9" t="n">
        <f aca="false">((F64+F87)+F110)</f>
        <v>0</v>
      </c>
      <c r="G130" s="9" t="n">
        <f aca="false">((G64+G87)+G110)</f>
        <v>0</v>
      </c>
      <c r="H130" s="9" t="n">
        <f aca="false">((H64+H87)+H110)</f>
        <v>0</v>
      </c>
      <c r="I130" s="9" t="n">
        <f aca="false">((I64+I87)+I110)</f>
        <v>0</v>
      </c>
      <c r="J130" s="9" t="n">
        <f aca="false">((J64+J87)+J110)</f>
        <v>0</v>
      </c>
      <c r="K130" s="9" t="n">
        <f aca="false">((K64+K87)+K110)</f>
        <v>0</v>
      </c>
      <c r="L130" s="9" t="n">
        <f aca="false">((L64+L87)+L110)</f>
        <v>0</v>
      </c>
      <c r="M130" s="9" t="n">
        <f aca="false">((M64+M87)+M110)</f>
        <v>0</v>
      </c>
      <c r="N130" s="9" t="n">
        <f aca="false">((N64+N87)+N110)</f>
        <v>0</v>
      </c>
      <c r="O130" s="9" t="n">
        <f aca="false">((O64+O87)+O110)</f>
        <v>15000</v>
      </c>
      <c r="P130" s="9" t="n">
        <f aca="false">((P64+P87)+P110)</f>
        <v>0</v>
      </c>
      <c r="Q130" s="9" t="n">
        <f aca="false">((Q64+Q87)+Q110)</f>
        <v>0</v>
      </c>
      <c r="R130" s="9" t="n">
        <f aca="false">((R64+R87)+R110)</f>
        <v>45000</v>
      </c>
      <c r="S130" s="9" t="n">
        <f aca="false">((S64+S87)+S110)</f>
        <v>0</v>
      </c>
      <c r="T130" s="9" t="n">
        <f aca="false">((T64+T87)+T110)</f>
        <v>0</v>
      </c>
      <c r="U130" s="9" t="n">
        <f aca="false">((U64+U87)+U110)</f>
        <v>60000</v>
      </c>
      <c r="V130" s="9" t="n">
        <f aca="false">((V64+V87)+V110)</f>
        <v>0</v>
      </c>
      <c r="W130" s="9" t="n">
        <f aca="false">((W64+W87)+W110)</f>
        <v>0</v>
      </c>
      <c r="X130" s="9" t="n">
        <f aca="false">((X64+X87)+X110)</f>
        <v>60000</v>
      </c>
      <c r="Y130" s="9" t="n">
        <f aca="false">((Y64+Y87)+Y110)</f>
        <v>0</v>
      </c>
      <c r="Z130" s="9" t="n">
        <f aca="false">((Z64+Z87)+Z110)</f>
        <v>0</v>
      </c>
      <c r="AA130" s="9" t="n">
        <f aca="false">((AA64+AA87)+AA110)</f>
        <v>75000</v>
      </c>
      <c r="AB130" s="9" t="n">
        <f aca="false">((AB64+AB87)+AB110)</f>
        <v>0</v>
      </c>
      <c r="AC130" s="9" t="n">
        <f aca="false">((AC64+AC87)+AC110)</f>
        <v>0</v>
      </c>
      <c r="AD130" s="9" t="n">
        <f aca="false">((AD64+AD87)+AD110)</f>
        <v>105000</v>
      </c>
      <c r="AE130" s="9" t="n">
        <f aca="false">((AE64+AE87)+AE110)</f>
        <v>0</v>
      </c>
      <c r="AF130" s="9" t="n">
        <f aca="false">((AF64+AF87)+AF110)</f>
        <v>60000</v>
      </c>
      <c r="AG130" s="9" t="n">
        <f aca="false">((AG64+AG87)+AG110)</f>
        <v>105000</v>
      </c>
      <c r="AH130" s="9" t="n">
        <f aca="false">((AH64+AH87)+AH110)</f>
        <v>0</v>
      </c>
      <c r="AI130" s="9" t="n">
        <f aca="false">((AI64+AI87)+AI110)</f>
        <v>0</v>
      </c>
      <c r="AJ130" s="9" t="n">
        <f aca="false">((AJ64+AJ87)+AJ110)</f>
        <v>120000</v>
      </c>
      <c r="AK130" s="9" t="n">
        <f aca="false">((AK64+AK87)+AK110)</f>
        <v>0</v>
      </c>
      <c r="AL130" s="9" t="n">
        <f aca="false">((AL64+AL87)+AL110)</f>
        <v>60000</v>
      </c>
      <c r="AN130" s="11" t="n">
        <f aca="false">SUM(C130:N130)</f>
        <v>0</v>
      </c>
      <c r="AO130" s="11" t="n">
        <f aca="false">SUM(O130:Z130)</f>
        <v>180000</v>
      </c>
      <c r="AP130" s="11" t="n">
        <f aca="false">SUM(AA130:AL130)</f>
        <v>525000</v>
      </c>
    </row>
    <row r="131" customFormat="false" ht="15" hidden="false" customHeight="false" outlineLevel="0" collapsed="false">
      <c r="A131" s="0" t="s">
        <v>937</v>
      </c>
      <c r="B131" s="0" t="s">
        <v>230</v>
      </c>
      <c r="C131" s="9" t="n">
        <f aca="false">((C66+C89)+C112)</f>
        <v>0</v>
      </c>
      <c r="D131" s="9" t="n">
        <f aca="false">((D66+D89)+D112)</f>
        <v>0</v>
      </c>
      <c r="E131" s="9" t="n">
        <f aca="false">((E66+E89)+E112)</f>
        <v>0</v>
      </c>
      <c r="F131" s="9" t="n">
        <f aca="false">((F66+F89)+F112)</f>
        <v>0</v>
      </c>
      <c r="G131" s="9" t="n">
        <f aca="false">((G66+G89)+G112)</f>
        <v>0</v>
      </c>
      <c r="H131" s="9" t="n">
        <f aca="false">((H66+H89)+H112)</f>
        <v>0</v>
      </c>
      <c r="I131" s="9" t="n">
        <f aca="false">((I66+I89)+I112)</f>
        <v>0</v>
      </c>
      <c r="J131" s="9" t="n">
        <f aca="false">((J66+J89)+J112)</f>
        <v>0</v>
      </c>
      <c r="K131" s="9" t="n">
        <f aca="false">((K66+K89)+K112)</f>
        <v>0</v>
      </c>
      <c r="L131" s="9" t="n">
        <f aca="false">((L66+L89)+L112)</f>
        <v>0</v>
      </c>
      <c r="M131" s="9" t="n">
        <f aca="false">((M66+M89)+M112)</f>
        <v>0</v>
      </c>
      <c r="N131" s="9" t="n">
        <f aca="false">((N66+N89)+N112)</f>
        <v>0</v>
      </c>
      <c r="O131" s="9" t="n">
        <f aca="false">((O66+O89)+O112)</f>
        <v>7000</v>
      </c>
      <c r="P131" s="9" t="n">
        <f aca="false">((P66+P89)+P112)</f>
        <v>7000</v>
      </c>
      <c r="Q131" s="9" t="n">
        <f aca="false">((Q66+Q89)+Q112)</f>
        <v>7000</v>
      </c>
      <c r="R131" s="9" t="n">
        <f aca="false">((R66+R89)+R112)</f>
        <v>22333.3333333333</v>
      </c>
      <c r="S131" s="9" t="n">
        <f aca="false">((S66+S89)+S112)</f>
        <v>22333.3333333333</v>
      </c>
      <c r="T131" s="9" t="n">
        <f aca="false">((T66+T89)+T112)</f>
        <v>22333.3333333333</v>
      </c>
      <c r="U131" s="9" t="n">
        <f aca="false">((U66+U89)+U112)</f>
        <v>29333.3333333333</v>
      </c>
      <c r="V131" s="9" t="n">
        <f aca="false">((V66+V89)+V112)</f>
        <v>29333.3333333333</v>
      </c>
      <c r="W131" s="9" t="n">
        <f aca="false">((W66+W89)+W112)</f>
        <v>29333.3333333333</v>
      </c>
      <c r="X131" s="9" t="n">
        <f aca="false">((X66+X89)+X112)</f>
        <v>29333.3333333333</v>
      </c>
      <c r="Y131" s="9" t="n">
        <f aca="false">((Y66+Y89)+Y112)</f>
        <v>36333.3333333333</v>
      </c>
      <c r="Z131" s="9" t="n">
        <f aca="false">((Z66+Z89)+Z112)</f>
        <v>36333.3333333333</v>
      </c>
      <c r="AA131" s="9" t="n">
        <f aca="false">((AA66+AA89)+AA112)</f>
        <v>43333.3333333333</v>
      </c>
      <c r="AB131" s="9" t="n">
        <f aca="false">((AB66+AB89)+AB112)</f>
        <v>58666.6666666667</v>
      </c>
      <c r="AC131" s="9" t="n">
        <f aca="false">((AC66+AC89)+AC112)</f>
        <v>58666.6666666667</v>
      </c>
      <c r="AD131" s="9" t="n">
        <f aca="false">((AD66+AD89)+AD112)</f>
        <v>74000</v>
      </c>
      <c r="AE131" s="9" t="n">
        <f aca="false">((AE66+AE89)+AE112)</f>
        <v>81000</v>
      </c>
      <c r="AF131" s="9" t="n">
        <f aca="false">((AF66+AF89)+AF112)</f>
        <v>116333.333333333</v>
      </c>
      <c r="AG131" s="9" t="n">
        <f aca="false">((AG66+AG89)+AG112)</f>
        <v>116333.333333333</v>
      </c>
      <c r="AH131" s="9" t="n">
        <f aca="false">((AH66+AH89)+AH112)</f>
        <v>116333.333333333</v>
      </c>
      <c r="AI131" s="9" t="n">
        <f aca="false">((AI66+AI89)+AI112)</f>
        <v>81000</v>
      </c>
      <c r="AJ131" s="9" t="n">
        <f aca="false">((AJ66+AJ89)+AJ112)</f>
        <v>88000</v>
      </c>
      <c r="AK131" s="9" t="n">
        <f aca="false">((AK66+AK89)+AK112)</f>
        <v>110333.333333333</v>
      </c>
      <c r="AL131" s="9" t="n">
        <f aca="false">((AL66+AL89)+AL112)</f>
        <v>181000</v>
      </c>
      <c r="AN131" s="11" t="n">
        <f aca="false">SUM(C131:N131)</f>
        <v>0</v>
      </c>
      <c r="AO131" s="11" t="n">
        <f aca="false">SUM(O131:Z131)</f>
        <v>278000</v>
      </c>
      <c r="AP131" s="11" t="n">
        <f aca="false">SUM(AA131:AL131)</f>
        <v>1125000</v>
      </c>
    </row>
    <row r="132" customFormat="false" ht="15" hidden="false" customHeight="false" outlineLevel="0" collapsed="false">
      <c r="A132" s="0" t="s">
        <v>938</v>
      </c>
      <c r="B132" s="0" t="s">
        <v>230</v>
      </c>
      <c r="C132" s="9" t="n">
        <f aca="false">((C67+C90)+C113)</f>
        <v>0</v>
      </c>
      <c r="D132" s="9" t="n">
        <f aca="false">((D67+D90)+D113)</f>
        <v>0</v>
      </c>
      <c r="E132" s="9" t="n">
        <f aca="false">((E67+E90)+E113)</f>
        <v>0</v>
      </c>
      <c r="F132" s="9" t="n">
        <f aca="false">((F67+F90)+F113)</f>
        <v>0</v>
      </c>
      <c r="G132" s="9" t="n">
        <f aca="false">((G67+G90)+G113)</f>
        <v>0</v>
      </c>
      <c r="H132" s="9" t="n">
        <f aca="false">((H67+H90)+H113)</f>
        <v>0</v>
      </c>
      <c r="I132" s="9" t="n">
        <f aca="false">((I67+I90)+I113)</f>
        <v>0</v>
      </c>
      <c r="J132" s="9" t="n">
        <f aca="false">((J67+J90)+J113)</f>
        <v>0</v>
      </c>
      <c r="K132" s="9" t="n">
        <f aca="false">((K67+K90)+K113)</f>
        <v>0</v>
      </c>
      <c r="L132" s="9" t="n">
        <f aca="false">((L67+L90)+L113)</f>
        <v>0</v>
      </c>
      <c r="M132" s="9" t="n">
        <f aca="false">((M67+M90)+M113)</f>
        <v>0</v>
      </c>
      <c r="N132" s="9" t="n">
        <f aca="false">((N67+N90)+N113)</f>
        <v>0</v>
      </c>
      <c r="O132" s="9" t="n">
        <f aca="false">((O67+O90)+O113)</f>
        <v>21000</v>
      </c>
      <c r="P132" s="9" t="n">
        <f aca="false">((P67+P90)+P113)</f>
        <v>0</v>
      </c>
      <c r="Q132" s="9" t="n">
        <f aca="false">((Q67+Q90)+Q113)</f>
        <v>0</v>
      </c>
      <c r="R132" s="9" t="n">
        <f aca="false">((R67+R90)+R113)</f>
        <v>67000</v>
      </c>
      <c r="S132" s="9" t="n">
        <f aca="false">((S67+S90)+S113)</f>
        <v>0</v>
      </c>
      <c r="T132" s="9" t="n">
        <f aca="false">((T67+T90)+T113)</f>
        <v>0</v>
      </c>
      <c r="U132" s="9" t="n">
        <f aca="false">((U67+U90)+U113)</f>
        <v>88000</v>
      </c>
      <c r="V132" s="9" t="n">
        <f aca="false">((V67+V90)+V113)</f>
        <v>0</v>
      </c>
      <c r="W132" s="9" t="n">
        <f aca="false">((W67+W90)+W113)</f>
        <v>0</v>
      </c>
      <c r="X132" s="9" t="n">
        <f aca="false">((X67+X90)+X113)</f>
        <v>88000</v>
      </c>
      <c r="Y132" s="9" t="n">
        <f aca="false">((Y67+Y90)+Y113)</f>
        <v>21000</v>
      </c>
      <c r="Z132" s="9" t="n">
        <f aca="false">((Z67+Z90)+Z113)</f>
        <v>0</v>
      </c>
      <c r="AA132" s="9" t="n">
        <f aca="false">((AA67+AA90)+AA113)</f>
        <v>109000</v>
      </c>
      <c r="AB132" s="9" t="n">
        <f aca="false">((AB67+AB90)+AB113)</f>
        <v>67000</v>
      </c>
      <c r="AC132" s="9" t="n">
        <f aca="false">((AC67+AC90)+AC113)</f>
        <v>0</v>
      </c>
      <c r="AD132" s="9" t="n">
        <f aca="false">((AD67+AD90)+AD113)</f>
        <v>155000</v>
      </c>
      <c r="AE132" s="9" t="n">
        <f aca="false">((AE67+AE90)+AE113)</f>
        <v>88000</v>
      </c>
      <c r="AF132" s="9" t="n">
        <f aca="false">((AF67+AF90)+AF113)</f>
        <v>106000</v>
      </c>
      <c r="AG132" s="9" t="n">
        <f aca="false">((AG67+AG90)+AG113)</f>
        <v>155000</v>
      </c>
      <c r="AH132" s="9" t="n">
        <f aca="false">((AH67+AH90)+AH113)</f>
        <v>88000</v>
      </c>
      <c r="AI132" s="9" t="n">
        <f aca="false">((AI67+AI90)+AI113)</f>
        <v>0</v>
      </c>
      <c r="AJ132" s="9" t="n">
        <f aca="false">((AJ67+AJ90)+AJ113)</f>
        <v>176000</v>
      </c>
      <c r="AK132" s="9" t="n">
        <f aca="false">((AK67+AK90)+AK113)</f>
        <v>155000</v>
      </c>
      <c r="AL132" s="9" t="n">
        <f aca="false">((AL67+AL90)+AL113)</f>
        <v>212000</v>
      </c>
      <c r="AN132" s="11" t="n">
        <f aca="false">SUM(C132:N132)</f>
        <v>0</v>
      </c>
      <c r="AO132" s="11" t="n">
        <f aca="false">SUM(O132:Z132)</f>
        <v>285000</v>
      </c>
      <c r="AP132" s="11" t="n">
        <f aca="false">SUM(AA132:AL132)</f>
        <v>1311000</v>
      </c>
    </row>
    <row r="133" customFormat="false" ht="15" hidden="false" customHeight="false" outlineLevel="0" collapsed="false">
      <c r="A133" s="0" t="s">
        <v>939</v>
      </c>
      <c r="B133" s="0" t="s">
        <v>285</v>
      </c>
      <c r="C133" s="9" t="n">
        <f aca="false">((C68+C91)+C114)</f>
        <v>0</v>
      </c>
      <c r="D133" s="9" t="n">
        <f aca="false">((D68+D91)+D114)</f>
        <v>0</v>
      </c>
      <c r="E133" s="9" t="n">
        <f aca="false">((E68+E91)+E114)</f>
        <v>0</v>
      </c>
      <c r="F133" s="9" t="n">
        <f aca="false">((F68+F91)+F114)</f>
        <v>0</v>
      </c>
      <c r="G133" s="9" t="n">
        <f aca="false">((G68+G91)+G114)</f>
        <v>115</v>
      </c>
      <c r="H133" s="9" t="n">
        <f aca="false">((H68+H91)+H114)</f>
        <v>0</v>
      </c>
      <c r="I133" s="9" t="n">
        <f aca="false">((I68+I91)+I114)</f>
        <v>0</v>
      </c>
      <c r="J133" s="9" t="n">
        <f aca="false">((J68+J91)+J114)</f>
        <v>330</v>
      </c>
      <c r="K133" s="9" t="n">
        <f aca="false">((K68+K91)+K114)</f>
        <v>0</v>
      </c>
      <c r="L133" s="9" t="n">
        <f aca="false">((L68+L91)+L114)</f>
        <v>0</v>
      </c>
      <c r="M133" s="9" t="n">
        <f aca="false">((M68+M91)+M114)</f>
        <v>0</v>
      </c>
      <c r="N133" s="9" t="n">
        <f aca="false">((N68+N91)+N114)</f>
        <v>0</v>
      </c>
      <c r="O133" s="9" t="n">
        <f aca="false">((O68+O91)+O114)</f>
        <v>159</v>
      </c>
      <c r="P133" s="9" t="n">
        <f aca="false">((P68+P91)+P114)</f>
        <v>0</v>
      </c>
      <c r="Q133" s="9" t="n">
        <f aca="false">((Q68+Q91)+Q114)</f>
        <v>0</v>
      </c>
      <c r="R133" s="9" t="n">
        <f aca="false">((R68+R91)+R114)</f>
        <v>533</v>
      </c>
      <c r="S133" s="9" t="n">
        <f aca="false">((S68+S91)+S114)</f>
        <v>0</v>
      </c>
      <c r="T133" s="9" t="n">
        <f aca="false">((T68+T91)+T114)</f>
        <v>0</v>
      </c>
      <c r="U133" s="9" t="n">
        <f aca="false">((U68+U91)+U114)</f>
        <v>692</v>
      </c>
      <c r="V133" s="9" t="n">
        <f aca="false">((V68+V91)+V114)</f>
        <v>0</v>
      </c>
      <c r="W133" s="9" t="n">
        <f aca="false">((W68+W91)+W114)</f>
        <v>0</v>
      </c>
      <c r="X133" s="9" t="n">
        <f aca="false">((X68+X91)+X114)</f>
        <v>692</v>
      </c>
      <c r="Y133" s="9" t="n">
        <f aca="false">((Y68+Y91)+Y114)</f>
        <v>159</v>
      </c>
      <c r="Z133" s="9" t="n">
        <f aca="false">((Z68+Z91)+Z114)</f>
        <v>0</v>
      </c>
      <c r="AA133" s="9" t="n">
        <f aca="false">((AA68+AA91)+AA114)</f>
        <v>851</v>
      </c>
      <c r="AB133" s="9" t="n">
        <f aca="false">((AB68+AB91)+AB114)</f>
        <v>533</v>
      </c>
      <c r="AC133" s="9" t="n">
        <f aca="false">((AC68+AC91)+AC114)</f>
        <v>0</v>
      </c>
      <c r="AD133" s="9" t="n">
        <f aca="false">((AD68+AD91)+AD114)</f>
        <v>1225</v>
      </c>
      <c r="AE133" s="9" t="n">
        <f aca="false">((AE68+AE91)+AE114)</f>
        <v>692</v>
      </c>
      <c r="AF133" s="9" t="n">
        <f aca="false">((AF68+AF91)+AF114)</f>
        <v>844</v>
      </c>
      <c r="AG133" s="9" t="n">
        <f aca="false">((AG68+AG91)+AG114)</f>
        <v>1225</v>
      </c>
      <c r="AH133" s="9" t="n">
        <f aca="false">((AH68+AH91)+AH114)</f>
        <v>692</v>
      </c>
      <c r="AI133" s="9" t="n">
        <f aca="false">((AI68+AI91)+AI114)</f>
        <v>0</v>
      </c>
      <c r="AJ133" s="9" t="n">
        <f aca="false">((AJ68+AJ91)+AJ114)</f>
        <v>1384</v>
      </c>
      <c r="AK133" s="9" t="n">
        <f aca="false">((AK68+AK91)+AK114)</f>
        <v>1225</v>
      </c>
      <c r="AL133" s="9" t="n">
        <f aca="false">((AL68+AL91)+AL114)</f>
        <v>1688</v>
      </c>
      <c r="AN133" s="11" t="n">
        <f aca="false">SUM(C133:N133)</f>
        <v>445</v>
      </c>
      <c r="AO133" s="11" t="n">
        <f aca="false">SUM(O133:Z133)</f>
        <v>2235</v>
      </c>
      <c r="AP133" s="11" t="n">
        <f aca="false">SUM(AA133:AL133)</f>
        <v>10359</v>
      </c>
    </row>
    <row r="134" customFormat="false" ht="15" hidden="false" customHeight="false" outlineLevel="0" collapsed="false">
      <c r="A134" s="0" t="s">
        <v>940</v>
      </c>
      <c r="B134" s="0" t="s">
        <v>230</v>
      </c>
      <c r="C134" s="9" t="n">
        <f aca="false">((((C130+C132)+(C55*C58))+(C78*C81))+(C101*C104))</f>
        <v>0</v>
      </c>
      <c r="D134" s="9" t="n">
        <f aca="false">((((D130+D132)+(D55*D58))+(D78*D81))+(D101*D104))</f>
        <v>0</v>
      </c>
      <c r="E134" s="9" t="n">
        <f aca="false">((((E130+E132)+(E55*E58))+(E78*E81))+(E101*E104))</f>
        <v>0</v>
      </c>
      <c r="F134" s="9" t="n">
        <f aca="false">((((F130+F132)+(F55*F58))+(F78*F81))+(F101*F104))</f>
        <v>0</v>
      </c>
      <c r="G134" s="9" t="n">
        <f aca="false">((((G130+G132)+(G55*G58))+(G78*G81))+(G101*G104))</f>
        <v>0</v>
      </c>
      <c r="H134" s="9" t="n">
        <f aca="false">((((H130+H132)+(H55*H58))+(H78*H81))+(H101*H104))</f>
        <v>0</v>
      </c>
      <c r="I134" s="9" t="n">
        <f aca="false">((((I130+I132)+(I55*I58))+(I78*I81))+(I101*I104))</f>
        <v>0</v>
      </c>
      <c r="J134" s="9" t="n">
        <f aca="false">((((J130+J132)+(J55*J58))+(J78*J81))+(J101*J104))</f>
        <v>0</v>
      </c>
      <c r="K134" s="9" t="n">
        <f aca="false">((((K130+K132)+(K55*K58))+(K78*K81))+(K101*K104))</f>
        <v>0</v>
      </c>
      <c r="L134" s="9" t="n">
        <f aca="false">((((L130+L132)+(L55*L58))+(L78*L81))+(L101*L104))</f>
        <v>0</v>
      </c>
      <c r="M134" s="9" t="n">
        <f aca="false">((((M130+M132)+(M55*M58))+(M78*M81))+(M101*M104))</f>
        <v>0</v>
      </c>
      <c r="N134" s="9" t="n">
        <f aca="false">((((N130+N132)+(N55*N58))+(N78*N81))+(N101*N104))</f>
        <v>15840</v>
      </c>
      <c r="O134" s="9" t="n">
        <f aca="false">((((O130+O132)+(O55*O58))+(O78*O81))+(O101*O104))</f>
        <v>36000</v>
      </c>
      <c r="P134" s="9" t="n">
        <f aca="false">((((P130+P132)+(P55*P58))+(P78*P81))+(P101*P104))</f>
        <v>0</v>
      </c>
      <c r="Q134" s="9" t="n">
        <f aca="false">((((Q130+Q132)+(Q55*Q58))+(Q78*Q81))+(Q101*Q104))</f>
        <v>44880</v>
      </c>
      <c r="R134" s="9" t="n">
        <f aca="false">((((R130+R132)+(R55*R58))+(R78*R81))+(R101*R104))</f>
        <v>112000</v>
      </c>
      <c r="S134" s="9" t="n">
        <f aca="false">((((S130+S132)+(S55*S58))+(S78*S81))+(S101*S104))</f>
        <v>0</v>
      </c>
      <c r="T134" s="9" t="n">
        <f aca="false">((((T130+T132)+(T55*T58))+(T78*T81))+(T101*T104))</f>
        <v>0</v>
      </c>
      <c r="U134" s="9" t="n">
        <f aca="false">((((U130+U132)+(U55*U58))+(U78*U81))+(U101*U104))</f>
        <v>148000</v>
      </c>
      <c r="V134" s="9" t="n">
        <f aca="false">((((V130+V132)+(V55*V58))+(V78*V81))+(V101*V104))</f>
        <v>13200</v>
      </c>
      <c r="W134" s="9" t="n">
        <f aca="false">((((W130+W132)+(W55*W58))+(W78*W81))+(W101*W104))</f>
        <v>0</v>
      </c>
      <c r="X134" s="9" t="n">
        <f aca="false">((((X130+X132)+(X55*X58))+(X78*X81))+(X101*X104))</f>
        <v>148000</v>
      </c>
      <c r="Y134" s="9" t="n">
        <f aca="false">((((Y130+Y132)+(Y55*Y58))+(Y78*Y81))+(Y101*Y104))</f>
        <v>94260</v>
      </c>
      <c r="Z134" s="9" t="n">
        <f aca="false">((((Z130+Z132)+(Z55*Z58))+(Z78*Z81))+(Z101*Z104))</f>
        <v>0</v>
      </c>
      <c r="AA134" s="9" t="n">
        <f aca="false">((((AA130+AA132)+(AA55*AA58))+(AA78*AA81))+(AA101*AA104))</f>
        <v>184000</v>
      </c>
      <c r="AB134" s="9" t="n">
        <f aca="false">((((AB130+AB132)+(AB55*AB58))+(AB78*AB81))+(AB101*AB104))</f>
        <v>228260</v>
      </c>
      <c r="AC134" s="9" t="n">
        <f aca="false">((((AC130+AC132)+(AC55*AC58))+(AC78*AC81))+(AC101*AC104))</f>
        <v>0</v>
      </c>
      <c r="AD134" s="9" t="n">
        <f aca="false">((((AD130+AD132)+(AD55*AD58))+(AD78*AD81))+(AD101*AD104))</f>
        <v>260000</v>
      </c>
      <c r="AE134" s="9" t="n">
        <f aca="false">((((AE130+AE132)+(AE55*AE58))+(AE78*AE81))+(AE101*AE104))</f>
        <v>275660</v>
      </c>
      <c r="AF134" s="9" t="n">
        <f aca="false">((((AF130+AF132)+(AF55*AF58))+(AF78*AF81))+(AF101*AF104))</f>
        <v>166000</v>
      </c>
      <c r="AG134" s="9" t="n">
        <f aca="false">((((AG130+AG132)+(AG55*AG58))+(AG78*AG81))+(AG101*AG104))</f>
        <v>260000</v>
      </c>
      <c r="AH134" s="9" t="n">
        <f aca="false">((((AH130+AH132)+(AH55*AH58))+(AH78*AH81))+(AH101*AH104))</f>
        <v>288860</v>
      </c>
      <c r="AI134" s="9" t="n">
        <f aca="false">((((AI130+AI132)+(AI55*AI58))+(AI78*AI81))+(AI101*AI104))</f>
        <v>0</v>
      </c>
      <c r="AJ134" s="9" t="n">
        <f aca="false">((((AJ130+AJ132)+(AJ55*AJ58))+(AJ78*AJ81))+(AJ101*AJ104))</f>
        <v>296000</v>
      </c>
      <c r="AK134" s="9" t="n">
        <f aca="false">((((AK130+AK132)+(AK55*AK58))+(AK78*AK81))+(AK101*AK104))</f>
        <v>490720</v>
      </c>
      <c r="AL134" s="9" t="n">
        <f aca="false">((((AL130+AL132)+(AL55*AL58))+(AL78*AL81))+(AL101*AL104))</f>
        <v>465600</v>
      </c>
      <c r="AN134" s="11" t="n">
        <f aca="false">SUM(C134:N134)</f>
        <v>15840</v>
      </c>
      <c r="AO134" s="11" t="n">
        <f aca="false">SUM(O134:Z134)</f>
        <v>596340</v>
      </c>
      <c r="AP134" s="11" t="n">
        <f aca="false">SUM(AA134:AL134)</f>
        <v>2915100</v>
      </c>
    </row>
    <row r="135" customFormat="false" ht="15" hidden="false" customHeight="false" outlineLevel="0" collapsed="false">
      <c r="A135" s="21" t="s">
        <v>941</v>
      </c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</row>
    <row r="136" customFormat="false" ht="15" hidden="false" customHeight="false" outlineLevel="0" collapsed="false">
      <c r="A136" s="0" t="s">
        <v>942</v>
      </c>
      <c r="B136" s="0" t="s">
        <v>230</v>
      </c>
      <c r="C136" s="9" t="n">
        <f aca="false">IF((C$18&gt;=Assumptions!$C$41),(((Assumptions!$C$42*$C$10)/12)*(((C57*Assumptions!$C$128)+(C80*Assumptions!$D$128))+(C103*Assumptions!$E$128))),0)</f>
        <v>0</v>
      </c>
      <c r="D136" s="9" t="n">
        <f aca="false">IF((D$18&gt;=Assumptions!$C$41),(((Assumptions!$C$42*$C$10)/12)*(((D57*Assumptions!$C$128)+(D80*Assumptions!$D$128))+(D103*Assumptions!$E$128))),0)</f>
        <v>0</v>
      </c>
      <c r="E136" s="9" t="n">
        <f aca="false">IF((E$18&gt;=Assumptions!$C$41),(((Assumptions!$C$42*$C$10)/12)*(((E57*Assumptions!$C$128)+(E80*Assumptions!$D$128))+(E103*Assumptions!$E$128))),0)</f>
        <v>0</v>
      </c>
      <c r="F136" s="9" t="n">
        <f aca="false">IF((F$18&gt;=Assumptions!$C$41),(((Assumptions!$C$42*$C$10)/12)*(((F57*Assumptions!$C$128)+(F80*Assumptions!$D$128))+(F103*Assumptions!$E$128))),0)</f>
        <v>0</v>
      </c>
      <c r="G136" s="9" t="n">
        <f aca="false">IF((G$18&gt;=Assumptions!$C$41),(((Assumptions!$C$42*$C$10)/12)*(((G57*Assumptions!$C$128)+(G80*Assumptions!$D$128))+(G103*Assumptions!$E$128))),0)</f>
        <v>0</v>
      </c>
      <c r="H136" s="9" t="n">
        <f aca="false">IF((H$18&gt;=Assumptions!$C$41),(((Assumptions!$C$42*$C$10)/12)*(((H57*Assumptions!$C$128)+(H80*Assumptions!$D$128))+(H103*Assumptions!$E$128))),0)</f>
        <v>0</v>
      </c>
      <c r="I136" s="9" t="n">
        <f aca="false">IF((I$18&gt;=Assumptions!$C$41),(((Assumptions!$C$42*$C$10)/12)*(((I57*Assumptions!$C$128)+(I80*Assumptions!$D$128))+(I103*Assumptions!$E$128))),0)</f>
        <v>0</v>
      </c>
      <c r="J136" s="9" t="n">
        <f aca="false">IF((J$18&gt;=Assumptions!$C$41),(((Assumptions!$C$42*$C$10)/12)*(((J57*Assumptions!$C$128)+(J80*Assumptions!$D$128))+(J103*Assumptions!$E$128))),0)</f>
        <v>0</v>
      </c>
      <c r="K136" s="9" t="n">
        <f aca="false">IF((K$18&gt;=Assumptions!$C$41),(((Assumptions!$C$42*$C$10)/12)*(((K57*Assumptions!$C$128)+(K80*Assumptions!$D$128))+(K103*Assumptions!$E$128))),0)</f>
        <v>0</v>
      </c>
      <c r="L136" s="9" t="n">
        <f aca="false">IF((L$18&gt;=Assumptions!$C$41),(((Assumptions!$C$42*$C$10)/12)*(((L57*Assumptions!$C$128)+(L80*Assumptions!$D$128))+(L103*Assumptions!$E$128))),0)</f>
        <v>0</v>
      </c>
      <c r="M136" s="9" t="n">
        <f aca="false">IF((M$18&gt;=Assumptions!$C$41),(((Assumptions!$C$42*$C$10)/12)*(((M57*Assumptions!$C$128)+(M80*Assumptions!$D$128))+(M103*Assumptions!$E$128))),0)</f>
        <v>0</v>
      </c>
      <c r="N136" s="9" t="n">
        <f aca="false">IF((N$18&gt;=Assumptions!$C$41),(((Assumptions!$C$42*$C$10)/12)*(((N57*Assumptions!$C$128)+(N80*Assumptions!$D$128))+(N103*Assumptions!$E$128))),0)</f>
        <v>0</v>
      </c>
      <c r="O136" s="9" t="n">
        <f aca="false">IF((O$18&gt;=Assumptions!$C$41),(((Assumptions!$C$42*$C$10)/12)*(((O57*Assumptions!$C$128)+(O80*Assumptions!$D$128))+(O103*Assumptions!$E$128))),0)</f>
        <v>0</v>
      </c>
      <c r="P136" s="9" t="n">
        <f aca="false">IF((P$18&gt;=Assumptions!$C$41),(((Assumptions!$C$42*$C$10)/12)*(((P57*Assumptions!$C$128)+(P80*Assumptions!$D$128))+(P103*Assumptions!$E$128))),0)</f>
        <v>0</v>
      </c>
      <c r="Q136" s="9" t="n">
        <f aca="false">IF((Q$18&gt;=Assumptions!$C$41),(((Assumptions!$C$42*$C$10)/12)*(((Q57*Assumptions!$C$128)+(Q80*Assumptions!$D$128))+(Q103*Assumptions!$E$128))),0)</f>
        <v>0</v>
      </c>
      <c r="R136" s="9" t="n">
        <f aca="false">IF((R$18&gt;=Assumptions!$C$41),(((Assumptions!$C$42*$C$10)/12)*(((R57*Assumptions!$C$128)+(R80*Assumptions!$D$128))+(R103*Assumptions!$E$128))),0)</f>
        <v>0</v>
      </c>
      <c r="S136" s="9" t="n">
        <f aca="false">IF((S$18&gt;=Assumptions!$C$41),(((Assumptions!$C$42*$C$10)/12)*(((S57*Assumptions!$C$128)+(S80*Assumptions!$D$128))+(S103*Assumptions!$E$128))),0)</f>
        <v>0</v>
      </c>
      <c r="T136" s="9" t="n">
        <f aca="false">IF((T$18&gt;=Assumptions!$C$41),(((Assumptions!$C$42*$C$10)/12)*(((T57*Assumptions!$C$128)+(T80*Assumptions!$D$128))+(T103*Assumptions!$E$128))),0)</f>
        <v>0</v>
      </c>
      <c r="U136" s="9" t="n">
        <f aca="false">IF((U$18&gt;=Assumptions!$C$41),(((Assumptions!$C$42*$C$10)/12)*(((U57*Assumptions!$C$128)+(U80*Assumptions!$D$128))+(U103*Assumptions!$E$128))),0)</f>
        <v>0</v>
      </c>
      <c r="V136" s="9" t="n">
        <f aca="false">IF((V$18&gt;=Assumptions!$C$41),(((Assumptions!$C$42*$C$10)/12)*(((V57*Assumptions!$C$128)+(V80*Assumptions!$D$128))+(V103*Assumptions!$E$128))),0)</f>
        <v>580</v>
      </c>
      <c r="W136" s="9" t="n">
        <f aca="false">IF((W$18&gt;=Assumptions!$C$41),(((Assumptions!$C$42*$C$10)/12)*(((W57*Assumptions!$C$128)+(W80*Assumptions!$D$128))+(W103*Assumptions!$E$128))),0)</f>
        <v>580</v>
      </c>
      <c r="X136" s="9" t="n">
        <f aca="false">IF((X$18&gt;=Assumptions!$C$41),(((Assumptions!$C$42*$C$10)/12)*(((X57*Assumptions!$C$128)+(X80*Assumptions!$D$128))+(X103*Assumptions!$E$128))),0)</f>
        <v>580</v>
      </c>
      <c r="Y136" s="9" t="n">
        <f aca="false">IF((Y$18&gt;=Assumptions!$C$41),(((Assumptions!$C$42*$C$10)/12)*(((Y57*Assumptions!$C$128)+(Y80*Assumptions!$D$128))+(Y103*Assumptions!$E$128))),0)</f>
        <v>1150</v>
      </c>
      <c r="Z136" s="9" t="n">
        <f aca="false">IF((Z$18&gt;=Assumptions!$C$41),(((Assumptions!$C$42*$C$10)/12)*(((Z57*Assumptions!$C$128)+(Z80*Assumptions!$D$128))+(Z103*Assumptions!$E$128))),0)</f>
        <v>1135.6</v>
      </c>
      <c r="AA136" s="9" t="n">
        <f aca="false">IF((AA$18&gt;=Assumptions!$C$41),(((Assumptions!$C$42*$C$10)/12)*(((AA57*Assumptions!$C$128)+(AA80*Assumptions!$D$128))+(AA103*Assumptions!$E$128))),0)</f>
        <v>1135.6</v>
      </c>
      <c r="AB136" s="9" t="n">
        <f aca="false">IF((AB$18&gt;=Assumptions!$C$41),(((Assumptions!$C$42*$C$10)/12)*(((AB57*Assumptions!$C$128)+(AB80*Assumptions!$D$128))+(AB103*Assumptions!$E$128))),0)</f>
        <v>2405.6</v>
      </c>
      <c r="AC136" s="9" t="n">
        <f aca="false">IF((AC$18&gt;=Assumptions!$C$41),(((Assumptions!$C$42*$C$10)/12)*(((AC57*Assumptions!$C$128)+(AC80*Assumptions!$D$128))+(AC103*Assumptions!$E$128))),0)</f>
        <v>2362.4</v>
      </c>
      <c r="AD136" s="9" t="n">
        <f aca="false">IF((AD$18&gt;=Assumptions!$C$41),(((Assumptions!$C$42*$C$10)/12)*(((AD57*Assumptions!$C$128)+(AD80*Assumptions!$D$128))+(AD103*Assumptions!$E$128))),0)</f>
        <v>2362.4</v>
      </c>
      <c r="AE136" s="9" t="n">
        <f aca="false">IF((AE$18&gt;=Assumptions!$C$41),(((Assumptions!$C$42*$C$10)/12)*(((AE57*Assumptions!$C$128)+(AE80*Assumptions!$D$128))+(AE103*Assumptions!$E$128))),0)</f>
        <v>3832.4</v>
      </c>
      <c r="AF136" s="9" t="n">
        <f aca="false">IF((AF$18&gt;=Assumptions!$C$41),(((Assumptions!$C$42*$C$10)/12)*(((AF57*Assumptions!$C$128)+(AF80*Assumptions!$D$128))+(AF103*Assumptions!$E$128))),0)</f>
        <v>3832.4</v>
      </c>
      <c r="AG136" s="9" t="n">
        <f aca="false">IF((AG$18&gt;=Assumptions!$C$41),(((Assumptions!$C$42*$C$10)/12)*(((AG57*Assumptions!$C$128)+(AG80*Assumptions!$D$128))+(AG103*Assumptions!$E$128))),0)</f>
        <v>3832.4</v>
      </c>
      <c r="AH136" s="9" t="n">
        <f aca="false">IF((AH$18&gt;=Assumptions!$C$41),(((Assumptions!$C$42*$C$10)/12)*(((AH57*Assumptions!$C$128)+(AH80*Assumptions!$D$128))+(AH103*Assumptions!$E$128))),0)</f>
        <v>5390.4</v>
      </c>
      <c r="AI136" s="9" t="n">
        <f aca="false">IF((AI$18&gt;=Assumptions!$C$41),(((Assumptions!$C$42*$C$10)/12)*(((AI57*Assumptions!$C$128)+(AI80*Assumptions!$D$128))+(AI103*Assumptions!$E$128))),0)</f>
        <v>5390.4</v>
      </c>
      <c r="AJ136" s="9" t="n">
        <f aca="false">IF((AJ$18&gt;=Assumptions!$C$41),(((Assumptions!$C$42*$C$10)/12)*(((AJ57*Assumptions!$C$128)+(AJ80*Assumptions!$D$128))+(AJ103*Assumptions!$E$128))),0)</f>
        <v>5390.4</v>
      </c>
      <c r="AK136" s="9" t="n">
        <f aca="false">IF((AK$18&gt;=Assumptions!$C$41),(((Assumptions!$C$42*$C$10)/12)*(((AK57*Assumptions!$C$128)+(AK80*Assumptions!$D$128))+(AK103*Assumptions!$E$128))),0)</f>
        <v>7962</v>
      </c>
      <c r="AL136" s="9" t="n">
        <f aca="false">IF((AL$18&gt;=Assumptions!$C$41),(((Assumptions!$C$42*$C$10)/12)*(((AL57*Assumptions!$C$128)+(AL80*Assumptions!$D$128))+(AL103*Assumptions!$E$128))),0)</f>
        <v>9449.328</v>
      </c>
      <c r="AN136" s="11" t="n">
        <f aca="false">SUM(C136:N136)</f>
        <v>0</v>
      </c>
      <c r="AO136" s="11" t="n">
        <f aca="false">SUM(O136:Z136)</f>
        <v>4025.6</v>
      </c>
      <c r="AP136" s="11" t="n">
        <f aca="false">SUM(AA136:AL136)</f>
        <v>53345.728</v>
      </c>
    </row>
    <row r="137" customFormat="false" ht="15" hidden="false" customHeight="false" outlineLevel="0" collapsed="false">
      <c r="A137" s="0" t="s">
        <v>943</v>
      </c>
      <c r="B137" s="0" t="s">
        <v>230</v>
      </c>
      <c r="C137" s="9" t="n">
        <f aca="false">IF((C$18&gt;=Assumptions!$C$43),(((Assumptions!$C$44*$C$10)/12)*((C80*12000)+(C103*25000))),0)</f>
        <v>0</v>
      </c>
      <c r="D137" s="9" t="n">
        <f aca="false">IF((D$18&gt;=Assumptions!$C$43),(((Assumptions!$C$44*$C$10)/12)*((D80*12000)+(D103*25000))),0)</f>
        <v>0</v>
      </c>
      <c r="E137" s="9" t="n">
        <f aca="false">IF((E$18&gt;=Assumptions!$C$43),(((Assumptions!$C$44*$C$10)/12)*((E80*12000)+(E103*25000))),0)</f>
        <v>0</v>
      </c>
      <c r="F137" s="9" t="n">
        <f aca="false">IF((F$18&gt;=Assumptions!$C$43),(((Assumptions!$C$44*$C$10)/12)*((F80*12000)+(F103*25000))),0)</f>
        <v>0</v>
      </c>
      <c r="G137" s="9" t="n">
        <f aca="false">IF((G$18&gt;=Assumptions!$C$43),(((Assumptions!$C$44*$C$10)/12)*((G80*12000)+(G103*25000))),0)</f>
        <v>0</v>
      </c>
      <c r="H137" s="9" t="n">
        <f aca="false">IF((H$18&gt;=Assumptions!$C$43),(((Assumptions!$C$44*$C$10)/12)*((H80*12000)+(H103*25000))),0)</f>
        <v>0</v>
      </c>
      <c r="I137" s="9" t="n">
        <f aca="false">IF((I$18&gt;=Assumptions!$C$43),(((Assumptions!$C$44*$C$10)/12)*((I80*12000)+(I103*25000))),0)</f>
        <v>0</v>
      </c>
      <c r="J137" s="9" t="n">
        <f aca="false">IF((J$18&gt;=Assumptions!$C$43),(((Assumptions!$C$44*$C$10)/12)*((J80*12000)+(J103*25000))),0)</f>
        <v>0</v>
      </c>
      <c r="K137" s="9" t="n">
        <f aca="false">IF((K$18&gt;=Assumptions!$C$43),(((Assumptions!$C$44*$C$10)/12)*((K80*12000)+(K103*25000))),0)</f>
        <v>0</v>
      </c>
      <c r="L137" s="9" t="n">
        <f aca="false">IF((L$18&gt;=Assumptions!$C$43),(((Assumptions!$C$44*$C$10)/12)*((L80*12000)+(L103*25000))),0)</f>
        <v>0</v>
      </c>
      <c r="M137" s="9" t="n">
        <f aca="false">IF((M$18&gt;=Assumptions!$C$43),(((Assumptions!$C$44*$C$10)/12)*((M80*12000)+(M103*25000))),0)</f>
        <v>0</v>
      </c>
      <c r="N137" s="9" t="n">
        <f aca="false">IF((N$18&gt;=Assumptions!$C$43),(((Assumptions!$C$44*$C$10)/12)*((N80*12000)+(N103*25000))),0)</f>
        <v>0</v>
      </c>
      <c r="O137" s="9" t="n">
        <f aca="false">IF((O$18&gt;=Assumptions!$C$43),(((Assumptions!$C$44*$C$10)/12)*((O80*12000)+(O103*25000))),0)</f>
        <v>0</v>
      </c>
      <c r="P137" s="9" t="n">
        <f aca="false">IF((P$18&gt;=Assumptions!$C$43),(((Assumptions!$C$44*$C$10)/12)*((P80*12000)+(P103*25000))),0)</f>
        <v>0</v>
      </c>
      <c r="Q137" s="9" t="n">
        <f aca="false">IF((Q$18&gt;=Assumptions!$C$43),(((Assumptions!$C$44*$C$10)/12)*((Q80*12000)+(Q103*25000))),0)</f>
        <v>0</v>
      </c>
      <c r="R137" s="9" t="n">
        <f aca="false">IF((R$18&gt;=Assumptions!$C$43),(((Assumptions!$C$44*$C$10)/12)*((R80*12000)+(R103*25000))),0)</f>
        <v>0</v>
      </c>
      <c r="S137" s="9" t="n">
        <f aca="false">IF((S$18&gt;=Assumptions!$C$43),(((Assumptions!$C$44*$C$10)/12)*((S80*12000)+(S103*25000))),0)</f>
        <v>0</v>
      </c>
      <c r="T137" s="9" t="n">
        <f aca="false">IF((T$18&gt;=Assumptions!$C$43),(((Assumptions!$C$44*$C$10)/12)*((T80*12000)+(T103*25000))),0)</f>
        <v>0</v>
      </c>
      <c r="U137" s="9" t="n">
        <f aca="false">IF((U$18&gt;=Assumptions!$C$43),(((Assumptions!$C$44*$C$10)/12)*((U80*12000)+(U103*25000))),0)</f>
        <v>0</v>
      </c>
      <c r="V137" s="9" t="n">
        <f aca="false">IF((V$18&gt;=Assumptions!$C$43),(((Assumptions!$C$44*$C$10)/12)*((V80*12000)+(V103*25000))),0)</f>
        <v>0</v>
      </c>
      <c r="W137" s="9" t="n">
        <f aca="false">IF((W$18&gt;=Assumptions!$C$43),(((Assumptions!$C$44*$C$10)/12)*((W80*12000)+(W103*25000))),0)</f>
        <v>0</v>
      </c>
      <c r="X137" s="9" t="n">
        <f aca="false">IF((X$18&gt;=Assumptions!$C$43),(((Assumptions!$C$44*$C$10)/12)*((X80*12000)+(X103*25000))),0)</f>
        <v>0</v>
      </c>
      <c r="Y137" s="9" t="n">
        <f aca="false">IF((Y$18&gt;=Assumptions!$C$43),(((Assumptions!$C$44*$C$10)/12)*((Y80*12000)+(Y103*25000))),0)</f>
        <v>0</v>
      </c>
      <c r="Z137" s="9" t="n">
        <f aca="false">IF((Z$18&gt;=Assumptions!$C$43),(((Assumptions!$C$44*$C$10)/12)*((Z80*12000)+(Z103*25000))),0)</f>
        <v>0</v>
      </c>
      <c r="AA137" s="9" t="n">
        <f aca="false">IF((AA$18&gt;=Assumptions!$C$43),(((Assumptions!$C$44*$C$10)/12)*((AA80*12000)+(AA103*25000))),0)</f>
        <v>0</v>
      </c>
      <c r="AB137" s="9" t="n">
        <f aca="false">IF((AB$18&gt;=Assumptions!$C$43),(((Assumptions!$C$44*$C$10)/12)*((AB80*12000)+(AB103*25000))),0)</f>
        <v>0</v>
      </c>
      <c r="AC137" s="9" t="n">
        <f aca="false">IF((AC$18&gt;=Assumptions!$C$43),(((Assumptions!$C$44*$C$10)/12)*((AC80*12000)+(AC103*25000))),0)</f>
        <v>0</v>
      </c>
      <c r="AD137" s="9" t="n">
        <f aca="false">IF((AD$18&gt;=Assumptions!$C$43),(((Assumptions!$C$44*$C$10)/12)*((AD80*12000)+(AD103*25000))),0)</f>
        <v>0</v>
      </c>
      <c r="AE137" s="9" t="n">
        <f aca="false">IF((AE$18&gt;=Assumptions!$C$43),(((Assumptions!$C$44*$C$10)/12)*((AE80*12000)+(AE103*25000))),0)</f>
        <v>0</v>
      </c>
      <c r="AF137" s="9" t="n">
        <f aca="false">IF((AF$18&gt;=Assumptions!$C$43),(((Assumptions!$C$44*$C$10)/12)*((AF80*12000)+(AF103*25000))),0)</f>
        <v>581.7</v>
      </c>
      <c r="AG137" s="9" t="n">
        <f aca="false">IF((AG$18&gt;=Assumptions!$C$43),(((Assumptions!$C$44*$C$10)/12)*((AG80*12000)+(AG103*25000))),0)</f>
        <v>581.7</v>
      </c>
      <c r="AH137" s="9" t="n">
        <f aca="false">IF((AH$18&gt;=Assumptions!$C$43),(((Assumptions!$C$44*$C$10)/12)*((AH80*12000)+(AH103*25000))),0)</f>
        <v>799.2</v>
      </c>
      <c r="AI137" s="9" t="n">
        <f aca="false">IF((AI$18&gt;=Assumptions!$C$43),(((Assumptions!$C$44*$C$10)/12)*((AI80*12000)+(AI103*25000))),0)</f>
        <v>799.2</v>
      </c>
      <c r="AJ137" s="9" t="n">
        <f aca="false">IF((AJ$18&gt;=Assumptions!$C$43),(((Assumptions!$C$44*$C$10)/12)*((AJ80*12000)+(AJ103*25000))),0)</f>
        <v>799.2</v>
      </c>
      <c r="AK137" s="9" t="n">
        <f aca="false">IF((AK$18&gt;=Assumptions!$C$43),(((Assumptions!$C$44*$C$10)/12)*((AK80*12000)+(AK103*25000))),0)</f>
        <v>1226.1</v>
      </c>
      <c r="AL137" s="9" t="n">
        <f aca="false">IF((AL$18&gt;=Assumptions!$C$43),(((Assumptions!$C$44*$C$10)/12)*((AL80*12000)+(AL103*25000))),0)</f>
        <v>1538.6</v>
      </c>
      <c r="AN137" s="11" t="n">
        <f aca="false">SUM(C137:N137)</f>
        <v>0</v>
      </c>
      <c r="AO137" s="11" t="n">
        <f aca="false">SUM(O137:Z137)</f>
        <v>0</v>
      </c>
      <c r="AP137" s="11" t="n">
        <f aca="false">SUM(AA137:AL137)</f>
        <v>6325.7</v>
      </c>
    </row>
    <row r="138" customFormat="false" ht="15" hidden="false" customHeight="false" outlineLevel="0" collapsed="false">
      <c r="A138" s="0" t="s">
        <v>944</v>
      </c>
      <c r="B138" s="0" t="s">
        <v>852</v>
      </c>
      <c r="C138" s="14" t="n">
        <f aca="false">IF((C$18&gt;=Assumptions!$C$45),(INDEX(Schedules!$C$14:$AL$14,C$18)*$C$7),0)</f>
        <v>0</v>
      </c>
      <c r="D138" s="14" t="n">
        <f aca="false">IF((D$18&gt;=Assumptions!$C$45),(INDEX(Schedules!$C$14:$AL$14,D$18)*$C$7),0)</f>
        <v>0</v>
      </c>
      <c r="E138" s="14" t="n">
        <f aca="false">IF((E$18&gt;=Assumptions!$C$45),(INDEX(Schedules!$C$14:$AL$14,E$18)*$C$7),0)</f>
        <v>0</v>
      </c>
      <c r="F138" s="14" t="n">
        <f aca="false">IF((F$18&gt;=Assumptions!$C$45),(INDEX(Schedules!$C$14:$AL$14,F$18)*$C$7),0)</f>
        <v>0</v>
      </c>
      <c r="G138" s="14" t="n">
        <f aca="false">IF((G$18&gt;=Assumptions!$C$45),(INDEX(Schedules!$C$14:$AL$14,G$18)*$C$7),0)</f>
        <v>0</v>
      </c>
      <c r="H138" s="14" t="n">
        <f aca="false">IF((H$18&gt;=Assumptions!$C$45),(INDEX(Schedules!$C$14:$AL$14,H$18)*$C$7),0)</f>
        <v>0</v>
      </c>
      <c r="I138" s="14" t="n">
        <f aca="false">IF((I$18&gt;=Assumptions!$C$45),(INDEX(Schedules!$C$14:$AL$14,I$18)*$C$7),0)</f>
        <v>0</v>
      </c>
      <c r="J138" s="14" t="n">
        <f aca="false">IF((J$18&gt;=Assumptions!$C$45),(INDEX(Schedules!$C$14:$AL$14,J$18)*$C$7),0)</f>
        <v>0</v>
      </c>
      <c r="K138" s="14" t="n">
        <f aca="false">IF((K$18&gt;=Assumptions!$C$45),(INDEX(Schedules!$C$14:$AL$14,K$18)*$C$7),0)</f>
        <v>0</v>
      </c>
      <c r="L138" s="14" t="n">
        <f aca="false">IF((L$18&gt;=Assumptions!$C$45),(INDEX(Schedules!$C$14:$AL$14,L$18)*$C$7),0)</f>
        <v>0</v>
      </c>
      <c r="M138" s="14" t="n">
        <f aca="false">IF((M$18&gt;=Assumptions!$C$45),(INDEX(Schedules!$C$14:$AL$14,M$18)*$C$7),0)</f>
        <v>0</v>
      </c>
      <c r="N138" s="14" t="n">
        <f aca="false">IF((N$18&gt;=Assumptions!$C$45),(INDEX(Schedules!$C$14:$AL$14,N$18)*$C$7),0)</f>
        <v>0</v>
      </c>
      <c r="O138" s="14" t="n">
        <f aca="false">IF((O$18&gt;=Assumptions!$C$45),(INDEX(Schedules!$C$14:$AL$14,O$18)*$C$7),0)</f>
        <v>0</v>
      </c>
      <c r="P138" s="14" t="n">
        <f aca="false">IF((P$18&gt;=Assumptions!$C$45),(INDEX(Schedules!$C$14:$AL$14,P$18)*$C$7),0)</f>
        <v>0</v>
      </c>
      <c r="Q138" s="14" t="n">
        <f aca="false">IF((Q$18&gt;=Assumptions!$C$45),(INDEX(Schedules!$C$14:$AL$14,Q$18)*$C$7),0)</f>
        <v>0</v>
      </c>
      <c r="R138" s="14" t="n">
        <f aca="false">IF((R$18&gt;=Assumptions!$C$45),(INDEX(Schedules!$C$14:$AL$14,R$18)*$C$7),0)</f>
        <v>0</v>
      </c>
      <c r="S138" s="14" t="n">
        <f aca="false">IF((S$18&gt;=Assumptions!$C$45),(INDEX(Schedules!$C$14:$AL$14,S$18)*$C$7),0)</f>
        <v>0</v>
      </c>
      <c r="T138" s="14" t="n">
        <f aca="false">IF((T$18&gt;=Assumptions!$C$45),(INDEX(Schedules!$C$14:$AL$14,T$18)*$C$7),0)</f>
        <v>0</v>
      </c>
      <c r="U138" s="14" t="n">
        <f aca="false">IF((U$18&gt;=Assumptions!$C$45),(INDEX(Schedules!$C$14:$AL$14,U$18)*$C$7),0)</f>
        <v>0</v>
      </c>
      <c r="V138" s="14" t="n">
        <f aca="false">IF((V$18&gt;=Assumptions!$C$45),(INDEX(Schedules!$C$14:$AL$14,V$18)*$C$7),0)</f>
        <v>0</v>
      </c>
      <c r="W138" s="14" t="n">
        <f aca="false">IF((W$18&gt;=Assumptions!$C$45),(INDEX(Schedules!$C$14:$AL$14,W$18)*$C$7),0)</f>
        <v>0</v>
      </c>
      <c r="X138" s="14" t="n">
        <f aca="false">IF((X$18&gt;=Assumptions!$C$45),(INDEX(Schedules!$C$14:$AL$14,X$18)*$C$7),0)</f>
        <v>0</v>
      </c>
      <c r="Y138" s="14" t="n">
        <f aca="false">IF((Y$18&gt;=Assumptions!$C$45),(INDEX(Schedules!$C$14:$AL$14,Y$18)*$C$7),0)</f>
        <v>0</v>
      </c>
      <c r="Z138" s="14" t="n">
        <f aca="false">IF((Z$18&gt;=Assumptions!$C$45),(INDEX(Schedules!$C$14:$AL$14,Z$18)*$C$7),0)</f>
        <v>0</v>
      </c>
      <c r="AA138" s="14" t="n">
        <f aca="false">IF((AA$18&gt;=Assumptions!$C$45),(INDEX(Schedules!$C$14:$AL$14,AA$18)*$C$7),0)</f>
        <v>3</v>
      </c>
      <c r="AB138" s="14" t="n">
        <f aca="false">IF((AB$18&gt;=Assumptions!$C$45),(INDEX(Schedules!$C$14:$AL$14,AB$18)*$C$7),0)</f>
        <v>3</v>
      </c>
      <c r="AC138" s="14" t="n">
        <f aca="false">IF((AC$18&gt;=Assumptions!$C$45),(INDEX(Schedules!$C$14:$AL$14,AC$18)*$C$7),0)</f>
        <v>3</v>
      </c>
      <c r="AD138" s="14" t="n">
        <f aca="false">IF((AD$18&gt;=Assumptions!$C$45),(INDEX(Schedules!$C$14:$AL$14,AD$18)*$C$7),0)</f>
        <v>3</v>
      </c>
      <c r="AE138" s="14" t="n">
        <f aca="false">IF((AE$18&gt;=Assumptions!$C$45),(INDEX(Schedules!$C$14:$AL$14,AE$18)*$C$7),0)</f>
        <v>3</v>
      </c>
      <c r="AF138" s="14" t="n">
        <f aca="false">IF((AF$18&gt;=Assumptions!$C$45),(INDEX(Schedules!$C$14:$AL$14,AF$18)*$C$7),0)</f>
        <v>3</v>
      </c>
      <c r="AG138" s="14" t="n">
        <f aca="false">IF((AG$18&gt;=Assumptions!$C$45),(INDEX(Schedules!$C$14:$AL$14,AG$18)*$C$7),0)</f>
        <v>6</v>
      </c>
      <c r="AH138" s="14" t="n">
        <f aca="false">IF((AH$18&gt;=Assumptions!$C$45),(INDEX(Schedules!$C$14:$AL$14,AH$18)*$C$7),0)</f>
        <v>6</v>
      </c>
      <c r="AI138" s="14" t="n">
        <f aca="false">IF((AI$18&gt;=Assumptions!$C$45),(INDEX(Schedules!$C$14:$AL$14,AI$18)*$C$7),0)</f>
        <v>6</v>
      </c>
      <c r="AJ138" s="14" t="n">
        <f aca="false">IF((AJ$18&gt;=Assumptions!$C$45),(INDEX(Schedules!$C$14:$AL$14,AJ$18)*$C$7),0)</f>
        <v>6</v>
      </c>
      <c r="AK138" s="14" t="n">
        <f aca="false">IF((AK$18&gt;=Assumptions!$C$45),(INDEX(Schedules!$C$14:$AL$14,AK$18)*$C$7),0)</f>
        <v>6</v>
      </c>
      <c r="AL138" s="14" t="n">
        <f aca="false">IF((AL$18&gt;=Assumptions!$C$45),(INDEX(Schedules!$C$14:$AL$14,AL$18)*$C$7),0)</f>
        <v>6</v>
      </c>
      <c r="AN138" s="36" t="n">
        <f aca="false">SUM(C138:N138)</f>
        <v>0</v>
      </c>
      <c r="AO138" s="36" t="n">
        <f aca="false">SUM(O138:Z138)</f>
        <v>0</v>
      </c>
      <c r="AP138" s="36" t="n">
        <f aca="false">SUM(AA138:AL138)</f>
        <v>54</v>
      </c>
    </row>
    <row r="139" customFormat="false" ht="15" hidden="false" customHeight="false" outlineLevel="0" collapsed="false">
      <c r="A139" s="0" t="s">
        <v>945</v>
      </c>
      <c r="B139" s="0" t="s">
        <v>852</v>
      </c>
      <c r="C139" s="13" t="n">
        <f aca="false">((0*(1-Assumptions!$C$47))+C138)</f>
        <v>0</v>
      </c>
      <c r="D139" s="13" t="n">
        <f aca="false">((C139*(1-Assumptions!$C$47))+D138)</f>
        <v>0</v>
      </c>
      <c r="E139" s="13" t="n">
        <f aca="false">((D139*(1-Assumptions!$C$47))+E138)</f>
        <v>0</v>
      </c>
      <c r="F139" s="13" t="n">
        <f aca="false">((E139*(1-Assumptions!$C$47))+F138)</f>
        <v>0</v>
      </c>
      <c r="G139" s="13" t="n">
        <f aca="false">((F139*(1-Assumptions!$C$47))+G138)</f>
        <v>0</v>
      </c>
      <c r="H139" s="13" t="n">
        <f aca="false">((G139*(1-Assumptions!$C$47))+H138)</f>
        <v>0</v>
      </c>
      <c r="I139" s="13" t="n">
        <f aca="false">((H139*(1-Assumptions!$C$47))+I138)</f>
        <v>0</v>
      </c>
      <c r="J139" s="13" t="n">
        <f aca="false">((I139*(1-Assumptions!$C$47))+J138)</f>
        <v>0</v>
      </c>
      <c r="K139" s="13" t="n">
        <f aca="false">((J139*(1-Assumptions!$C$47))+K138)</f>
        <v>0</v>
      </c>
      <c r="L139" s="13" t="n">
        <f aca="false">((K139*(1-Assumptions!$C$47))+L138)</f>
        <v>0</v>
      </c>
      <c r="M139" s="13" t="n">
        <f aca="false">((L139*(1-Assumptions!$C$47))+M138)</f>
        <v>0</v>
      </c>
      <c r="N139" s="13" t="n">
        <f aca="false">((M139*(1-Assumptions!$C$47))+N138)</f>
        <v>0</v>
      </c>
      <c r="O139" s="13" t="n">
        <f aca="false">((N139*(1-Assumptions!$C$47))+O138)</f>
        <v>0</v>
      </c>
      <c r="P139" s="13" t="n">
        <f aca="false">((O139*(1-Assumptions!$C$47))+P138)</f>
        <v>0</v>
      </c>
      <c r="Q139" s="13" t="n">
        <f aca="false">((P139*(1-Assumptions!$C$47))+Q138)</f>
        <v>0</v>
      </c>
      <c r="R139" s="13" t="n">
        <f aca="false">((Q139*(1-Assumptions!$C$47))+R138)</f>
        <v>0</v>
      </c>
      <c r="S139" s="13" t="n">
        <f aca="false">((R139*(1-Assumptions!$C$47))+S138)</f>
        <v>0</v>
      </c>
      <c r="T139" s="13" t="n">
        <f aca="false">((S139*(1-Assumptions!$C$47))+T138)</f>
        <v>0</v>
      </c>
      <c r="U139" s="13" t="n">
        <f aca="false">((T139*(1-Assumptions!$C$47))+U138)</f>
        <v>0</v>
      </c>
      <c r="V139" s="13" t="n">
        <f aca="false">((U139*(1-Assumptions!$C$47))+V138)</f>
        <v>0</v>
      </c>
      <c r="W139" s="13" t="n">
        <f aca="false">((V139*(1-Assumptions!$C$47))+W138)</f>
        <v>0</v>
      </c>
      <c r="X139" s="13" t="n">
        <f aca="false">((W139*(1-Assumptions!$C$47))+X138)</f>
        <v>0</v>
      </c>
      <c r="Y139" s="13" t="n">
        <f aca="false">((X139*(1-Assumptions!$C$47))+Y138)</f>
        <v>0</v>
      </c>
      <c r="Z139" s="13" t="n">
        <f aca="false">((Y139*(1-Assumptions!$C$47))+Z138)</f>
        <v>0</v>
      </c>
      <c r="AA139" s="13" t="n">
        <f aca="false">((Z139*(1-Assumptions!$C$47))+AA138)</f>
        <v>3</v>
      </c>
      <c r="AB139" s="13" t="n">
        <f aca="false">((AA139*(1-Assumptions!$C$47))+AB138)</f>
        <v>5.94</v>
      </c>
      <c r="AC139" s="13" t="n">
        <f aca="false">((AB139*(1-Assumptions!$C$47))+AC138)</f>
        <v>8.8212</v>
      </c>
      <c r="AD139" s="13" t="n">
        <f aca="false">((AC139*(1-Assumptions!$C$47))+AD138)</f>
        <v>11.644776</v>
      </c>
      <c r="AE139" s="13" t="n">
        <f aca="false">((AD139*(1-Assumptions!$C$47))+AE138)</f>
        <v>14.41188048</v>
      </c>
      <c r="AF139" s="13" t="n">
        <f aca="false">((AE139*(1-Assumptions!$C$47))+AF138)</f>
        <v>17.1236428704</v>
      </c>
      <c r="AG139" s="13" t="n">
        <f aca="false">((AF139*(1-Assumptions!$C$47))+AG138)</f>
        <v>22.781170012992</v>
      </c>
      <c r="AH139" s="13" t="n">
        <f aca="false">((AG139*(1-Assumptions!$C$47))+AH138)</f>
        <v>28.3255466127322</v>
      </c>
      <c r="AI139" s="13" t="n">
        <f aca="false">((AH139*(1-Assumptions!$C$47))+AI138)</f>
        <v>33.7590356804775</v>
      </c>
      <c r="AJ139" s="13" t="n">
        <f aca="false">((AI139*(1-Assumptions!$C$47))+AJ138)</f>
        <v>39.083854966868</v>
      </c>
      <c r="AK139" s="13" t="n">
        <f aca="false">((AJ139*(1-Assumptions!$C$47))+AK138)</f>
        <v>44.3021778675306</v>
      </c>
      <c r="AL139" s="13" t="n">
        <f aca="false">((AK139*(1-Assumptions!$C$47))+AL138)</f>
        <v>49.41613431018</v>
      </c>
      <c r="AN139" s="37" t="n">
        <f aca="false">N139</f>
        <v>0</v>
      </c>
      <c r="AO139" s="37" t="n">
        <f aca="false">Z139</f>
        <v>0</v>
      </c>
      <c r="AP139" s="37" t="n">
        <f aca="false">AL139</f>
        <v>49.41613431018</v>
      </c>
    </row>
    <row r="140" customFormat="false" ht="15" hidden="false" customHeight="false" outlineLevel="0" collapsed="false">
      <c r="A140" s="0" t="s">
        <v>946</v>
      </c>
      <c r="B140" s="0" t="s">
        <v>230</v>
      </c>
      <c r="C140" s="9" t="n">
        <f aca="false">((C139*Assumptions!$C$46)/12)</f>
        <v>0</v>
      </c>
      <c r="D140" s="9" t="n">
        <f aca="false">((D139*Assumptions!$C$46)/12)</f>
        <v>0</v>
      </c>
      <c r="E140" s="9" t="n">
        <f aca="false">((E139*Assumptions!$C$46)/12)</f>
        <v>0</v>
      </c>
      <c r="F140" s="9" t="n">
        <f aca="false">((F139*Assumptions!$C$46)/12)</f>
        <v>0</v>
      </c>
      <c r="G140" s="9" t="n">
        <f aca="false">((G139*Assumptions!$C$46)/12)</f>
        <v>0</v>
      </c>
      <c r="H140" s="9" t="n">
        <f aca="false">((H139*Assumptions!$C$46)/12)</f>
        <v>0</v>
      </c>
      <c r="I140" s="9" t="n">
        <f aca="false">((I139*Assumptions!$C$46)/12)</f>
        <v>0</v>
      </c>
      <c r="J140" s="9" t="n">
        <f aca="false">((J139*Assumptions!$C$46)/12)</f>
        <v>0</v>
      </c>
      <c r="K140" s="9" t="n">
        <f aca="false">((K139*Assumptions!$C$46)/12)</f>
        <v>0</v>
      </c>
      <c r="L140" s="9" t="n">
        <f aca="false">((L139*Assumptions!$C$46)/12)</f>
        <v>0</v>
      </c>
      <c r="M140" s="9" t="n">
        <f aca="false">((M139*Assumptions!$C$46)/12)</f>
        <v>0</v>
      </c>
      <c r="N140" s="9" t="n">
        <f aca="false">((N139*Assumptions!$C$46)/12)</f>
        <v>0</v>
      </c>
      <c r="O140" s="9" t="n">
        <f aca="false">((O139*Assumptions!$C$46)/12)</f>
        <v>0</v>
      </c>
      <c r="P140" s="9" t="n">
        <f aca="false">((P139*Assumptions!$C$46)/12)</f>
        <v>0</v>
      </c>
      <c r="Q140" s="9" t="n">
        <f aca="false">((Q139*Assumptions!$C$46)/12)</f>
        <v>0</v>
      </c>
      <c r="R140" s="9" t="n">
        <f aca="false">((R139*Assumptions!$C$46)/12)</f>
        <v>0</v>
      </c>
      <c r="S140" s="9" t="n">
        <f aca="false">((S139*Assumptions!$C$46)/12)</f>
        <v>0</v>
      </c>
      <c r="T140" s="9" t="n">
        <f aca="false">((T139*Assumptions!$C$46)/12)</f>
        <v>0</v>
      </c>
      <c r="U140" s="9" t="n">
        <f aca="false">((U139*Assumptions!$C$46)/12)</f>
        <v>0</v>
      </c>
      <c r="V140" s="9" t="n">
        <f aca="false">((V139*Assumptions!$C$46)/12)</f>
        <v>0</v>
      </c>
      <c r="W140" s="9" t="n">
        <f aca="false">((W139*Assumptions!$C$46)/12)</f>
        <v>0</v>
      </c>
      <c r="X140" s="9" t="n">
        <f aca="false">((X139*Assumptions!$C$46)/12)</f>
        <v>0</v>
      </c>
      <c r="Y140" s="9" t="n">
        <f aca="false">((Y139*Assumptions!$C$46)/12)</f>
        <v>0</v>
      </c>
      <c r="Z140" s="9" t="n">
        <f aca="false">((Z139*Assumptions!$C$46)/12)</f>
        <v>0</v>
      </c>
      <c r="AA140" s="9" t="n">
        <f aca="false">((AA139*Assumptions!$C$46)/12)</f>
        <v>1000</v>
      </c>
      <c r="AB140" s="9" t="n">
        <f aca="false">((AB139*Assumptions!$C$46)/12)</f>
        <v>1980</v>
      </c>
      <c r="AC140" s="9" t="n">
        <f aca="false">((AC139*Assumptions!$C$46)/12)</f>
        <v>2940.4</v>
      </c>
      <c r="AD140" s="9" t="n">
        <f aca="false">((AD139*Assumptions!$C$46)/12)</f>
        <v>3881.592</v>
      </c>
      <c r="AE140" s="9" t="n">
        <f aca="false">((AE139*Assumptions!$C$46)/12)</f>
        <v>4803.96016</v>
      </c>
      <c r="AF140" s="9" t="n">
        <f aca="false">((AF139*Assumptions!$C$46)/12)</f>
        <v>5707.8809568</v>
      </c>
      <c r="AG140" s="9" t="n">
        <f aca="false">((AG139*Assumptions!$C$46)/12)</f>
        <v>7593.723337664</v>
      </c>
      <c r="AH140" s="9" t="n">
        <f aca="false">((AH139*Assumptions!$C$46)/12)</f>
        <v>9441.84887091072</v>
      </c>
      <c r="AI140" s="9" t="n">
        <f aca="false">((AI139*Assumptions!$C$46)/12)</f>
        <v>11253.0118934925</v>
      </c>
      <c r="AJ140" s="9" t="n">
        <f aca="false">((AJ139*Assumptions!$C$46)/12)</f>
        <v>13027.9516556227</v>
      </c>
      <c r="AK140" s="9" t="n">
        <f aca="false">((AK139*Assumptions!$C$46)/12)</f>
        <v>14767.3926225102</v>
      </c>
      <c r="AL140" s="9" t="n">
        <f aca="false">((AL139*Assumptions!$C$46)/12)</f>
        <v>16472.04477006</v>
      </c>
      <c r="AN140" s="11" t="n">
        <f aca="false">SUM(C140:N140)</f>
        <v>0</v>
      </c>
      <c r="AO140" s="11" t="n">
        <f aca="false">SUM(O140:Z140)</f>
        <v>0</v>
      </c>
      <c r="AP140" s="11" t="n">
        <f aca="false">SUM(AA140:AL140)</f>
        <v>92869.8062670601</v>
      </c>
    </row>
    <row r="141" customFormat="false" ht="15" hidden="false" customHeight="false" outlineLevel="0" collapsed="false">
      <c r="A141" s="0" t="s">
        <v>947</v>
      </c>
      <c r="B141" s="0" t="s">
        <v>852</v>
      </c>
      <c r="C141" s="13" t="n">
        <f aca="false">IF((C$18&lt;Assumptions!$C$48),0,IF((C$18=Assumptions!$C$48),(Assumptions!$C$49*$C$4),((0*(1-Assumptions!$C$51))+(Assumptions!$C$50*$C$4))))</f>
        <v>0</v>
      </c>
      <c r="D141" s="13" t="n">
        <f aca="false">IF((D$18&lt;Assumptions!$C$48),0,IF((D$18=Assumptions!$C$48),(Assumptions!$C$49*$C$4),((C141*(1-Assumptions!$C$51))+(Assumptions!$C$50*$C$4))))</f>
        <v>0</v>
      </c>
      <c r="E141" s="13" t="n">
        <f aca="false">IF((E$18&lt;Assumptions!$C$48),0,IF((E$18=Assumptions!$C$48),(Assumptions!$C$49*$C$4),((D141*(1-Assumptions!$C$51))+(Assumptions!$C$50*$C$4))))</f>
        <v>0</v>
      </c>
      <c r="F141" s="13" t="n">
        <f aca="false">IF((F$18&lt;Assumptions!$C$48),0,IF((F$18=Assumptions!$C$48),(Assumptions!$C$49*$C$4),((E141*(1-Assumptions!$C$51))+(Assumptions!$C$50*$C$4))))</f>
        <v>0</v>
      </c>
      <c r="G141" s="13" t="n">
        <f aca="false">IF((G$18&lt;Assumptions!$C$48),0,IF((G$18=Assumptions!$C$48),(Assumptions!$C$49*$C$4),((F141*(1-Assumptions!$C$51))+(Assumptions!$C$50*$C$4))))</f>
        <v>0</v>
      </c>
      <c r="H141" s="13" t="n">
        <f aca="false">IF((H$18&lt;Assumptions!$C$48),0,IF((H$18=Assumptions!$C$48),(Assumptions!$C$49*$C$4),((G141*(1-Assumptions!$C$51))+(Assumptions!$C$50*$C$4))))</f>
        <v>0</v>
      </c>
      <c r="I141" s="13" t="n">
        <f aca="false">IF((I$18&lt;Assumptions!$C$48),0,IF((I$18=Assumptions!$C$48),(Assumptions!$C$49*$C$4),((H141*(1-Assumptions!$C$51))+(Assumptions!$C$50*$C$4))))</f>
        <v>0</v>
      </c>
      <c r="J141" s="13" t="n">
        <f aca="false">IF((J$18&lt;Assumptions!$C$48),0,IF((J$18=Assumptions!$C$48),(Assumptions!$C$49*$C$4),((I141*(1-Assumptions!$C$51))+(Assumptions!$C$50*$C$4))))</f>
        <v>0</v>
      </c>
      <c r="K141" s="13" t="n">
        <f aca="false">IF((K$18&lt;Assumptions!$C$48),0,IF((K$18=Assumptions!$C$48),(Assumptions!$C$49*$C$4),((J141*(1-Assumptions!$C$51))+(Assumptions!$C$50*$C$4))))</f>
        <v>0</v>
      </c>
      <c r="L141" s="13" t="n">
        <f aca="false">IF((L$18&lt;Assumptions!$C$48),0,IF((L$18=Assumptions!$C$48),(Assumptions!$C$49*$C$4),((K141*(1-Assumptions!$C$51))+(Assumptions!$C$50*$C$4))))</f>
        <v>0</v>
      </c>
      <c r="M141" s="13" t="n">
        <f aca="false">IF((M$18&lt;Assumptions!$C$48),0,IF((M$18=Assumptions!$C$48),(Assumptions!$C$49*$C$4),((L141*(1-Assumptions!$C$51))+(Assumptions!$C$50*$C$4))))</f>
        <v>0</v>
      </c>
      <c r="N141" s="13" t="n">
        <f aca="false">IF((N$18&lt;Assumptions!$C$48),0,IF((N$18=Assumptions!$C$48),(Assumptions!$C$49*$C$4),((M141*(1-Assumptions!$C$51))+(Assumptions!$C$50*$C$4))))</f>
        <v>0</v>
      </c>
      <c r="O141" s="13" t="n">
        <f aca="false">IF((O$18&lt;Assumptions!$C$48),0,IF((O$18=Assumptions!$C$48),(Assumptions!$C$49*$C$4),((N141*(1-Assumptions!$C$51))+(Assumptions!$C$50*$C$4))))</f>
        <v>0</v>
      </c>
      <c r="P141" s="13" t="n">
        <f aca="false">IF((P$18&lt;Assumptions!$C$48),0,IF((P$18=Assumptions!$C$48),(Assumptions!$C$49*$C$4),((O141*(1-Assumptions!$C$51))+(Assumptions!$C$50*$C$4))))</f>
        <v>0</v>
      </c>
      <c r="Q141" s="13" t="n">
        <f aca="false">IF((Q$18&lt;Assumptions!$C$48),0,IF((Q$18=Assumptions!$C$48),(Assumptions!$C$49*$C$4),((P141*(1-Assumptions!$C$51))+(Assumptions!$C$50*$C$4))))</f>
        <v>0</v>
      </c>
      <c r="R141" s="13" t="n">
        <f aca="false">IF((R$18&lt;Assumptions!$C$48),0,IF((R$18=Assumptions!$C$48),(Assumptions!$C$49*$C$4),((Q141*(1-Assumptions!$C$51))+(Assumptions!$C$50*$C$4))))</f>
        <v>0</v>
      </c>
      <c r="S141" s="13" t="n">
        <f aca="false">IF((S$18&lt;Assumptions!$C$48),0,IF((S$18=Assumptions!$C$48),(Assumptions!$C$49*$C$4),((R141*(1-Assumptions!$C$51))+(Assumptions!$C$50*$C$4))))</f>
        <v>0</v>
      </c>
      <c r="T141" s="13" t="n">
        <f aca="false">IF((T$18&lt;Assumptions!$C$48),0,IF((T$18=Assumptions!$C$48),(Assumptions!$C$49*$C$4),((S141*(1-Assumptions!$C$51))+(Assumptions!$C$50*$C$4))))</f>
        <v>0</v>
      </c>
      <c r="U141" s="13" t="n">
        <f aca="false">IF((U$18&lt;Assumptions!$C$48),0,IF((U$18=Assumptions!$C$48),(Assumptions!$C$49*$C$4),((T141*(1-Assumptions!$C$51))+(Assumptions!$C$50*$C$4))))</f>
        <v>0</v>
      </c>
      <c r="V141" s="13" t="n">
        <f aca="false">IF((V$18&lt;Assumptions!$C$48),0,IF((V$18=Assumptions!$C$48),(Assumptions!$C$49*$C$4),((U141*(1-Assumptions!$C$51))+(Assumptions!$C$50*$C$4))))</f>
        <v>0</v>
      </c>
      <c r="W141" s="13" t="n">
        <f aca="false">IF((W$18&lt;Assumptions!$C$48),0,IF((W$18=Assumptions!$C$48),(Assumptions!$C$49*$C$4),((V141*(1-Assumptions!$C$51))+(Assumptions!$C$50*$C$4))))</f>
        <v>0</v>
      </c>
      <c r="X141" s="13" t="n">
        <f aca="false">IF((X$18&lt;Assumptions!$C$48),0,IF((X$18=Assumptions!$C$48),(Assumptions!$C$49*$C$4),((W141*(1-Assumptions!$C$51))+(Assumptions!$C$50*$C$4))))</f>
        <v>0</v>
      </c>
      <c r="Y141" s="13" t="n">
        <f aca="false">IF((Y$18&lt;Assumptions!$C$48),0,IF((Y$18=Assumptions!$C$48),(Assumptions!$C$49*$C$4),((X141*(1-Assumptions!$C$51))+(Assumptions!$C$50*$C$4))))</f>
        <v>0</v>
      </c>
      <c r="Z141" s="13" t="n">
        <f aca="false">IF((Z$18&lt;Assumptions!$C$48),0,IF((Z$18=Assumptions!$C$48),(Assumptions!$C$49*$C$4),((Y141*(1-Assumptions!$C$51))+(Assumptions!$C$50*$C$4))))</f>
        <v>0</v>
      </c>
      <c r="AA141" s="13" t="n">
        <f aca="false">IF((AA$18&lt;Assumptions!$C$48),0,IF((AA$18=Assumptions!$C$48),(Assumptions!$C$49*$C$4),((Z141*(1-Assumptions!$C$51))+(Assumptions!$C$50*$C$4))))</f>
        <v>0</v>
      </c>
      <c r="AB141" s="13" t="n">
        <f aca="false">IF((AB$18&lt;Assumptions!$C$48),0,IF((AB$18=Assumptions!$C$48),(Assumptions!$C$49*$C$4),((AA141*(1-Assumptions!$C$51))+(Assumptions!$C$50*$C$4))))</f>
        <v>0</v>
      </c>
      <c r="AC141" s="13" t="n">
        <f aca="false">IF((AC$18&lt;Assumptions!$C$48),0,IF((AC$18=Assumptions!$C$48),(Assumptions!$C$49*$C$4),((AB141*(1-Assumptions!$C$51))+(Assumptions!$C$50*$C$4))))</f>
        <v>0</v>
      </c>
      <c r="AD141" s="13" t="n">
        <f aca="false">IF((AD$18&lt;Assumptions!$C$48),0,IF((AD$18=Assumptions!$C$48),(Assumptions!$C$49*$C$4),((AC141*(1-Assumptions!$C$51))+(Assumptions!$C$50*$C$4))))</f>
        <v>0</v>
      </c>
      <c r="AE141" s="13" t="n">
        <f aca="false">IF((AE$18&lt;Assumptions!$C$48),0,IF((AE$18=Assumptions!$C$48),(Assumptions!$C$49*$C$4),((AD141*(1-Assumptions!$C$51))+(Assumptions!$C$50*$C$4))))</f>
        <v>0</v>
      </c>
      <c r="AF141" s="13" t="n">
        <f aca="false">IF((AF$18&lt;Assumptions!$C$48),0,IF((AF$18=Assumptions!$C$48),(Assumptions!$C$49*$C$4),((AE141*(1-Assumptions!$C$51))+(Assumptions!$C$50*$C$4))))</f>
        <v>0</v>
      </c>
      <c r="AG141" s="13" t="n">
        <f aca="false">IF((AG$18&lt;Assumptions!$C$48),0,IF((AG$18=Assumptions!$C$48),(Assumptions!$C$49*$C$4),((AF141*(1-Assumptions!$C$51))+(Assumptions!$C$50*$C$4))))</f>
        <v>40</v>
      </c>
      <c r="AH141" s="13" t="n">
        <f aca="false">IF((AH$18&lt;Assumptions!$C$48),0,IF((AH$18=Assumptions!$C$48),(Assumptions!$C$49*$C$4),((AG141*(1-Assumptions!$C$51))+(Assumptions!$C$50*$C$4))))</f>
        <v>53.4</v>
      </c>
      <c r="AI141" s="13" t="n">
        <f aca="false">IF((AI$18&lt;Assumptions!$C$48),0,IF((AI$18=Assumptions!$C$48),(Assumptions!$C$49*$C$4),((AH141*(1-Assumptions!$C$51))+(Assumptions!$C$50*$C$4))))</f>
        <v>66.264</v>
      </c>
      <c r="AJ141" s="13" t="n">
        <f aca="false">IF((AJ$18&lt;Assumptions!$C$48),0,IF((AJ$18=Assumptions!$C$48),(Assumptions!$C$49*$C$4),((AI141*(1-Assumptions!$C$51))+(Assumptions!$C$50*$C$4))))</f>
        <v>78.61344</v>
      </c>
      <c r="AK141" s="13" t="n">
        <f aca="false">IF((AK$18&lt;Assumptions!$C$48),0,IF((AK$18=Assumptions!$C$48),(Assumptions!$C$49*$C$4),((AJ141*(1-Assumptions!$C$51))+(Assumptions!$C$50*$C$4))))</f>
        <v>90.4689024</v>
      </c>
      <c r="AL141" s="13" t="n">
        <f aca="false">IF((AL$18&lt;Assumptions!$C$48),0,IF((AL$18=Assumptions!$C$48),(Assumptions!$C$49*$C$4),((AK141*(1-Assumptions!$C$51))+(Assumptions!$C$50*$C$4))))</f>
        <v>101.850146304</v>
      </c>
      <c r="AN141" s="37" t="n">
        <f aca="false">N141</f>
        <v>0</v>
      </c>
      <c r="AO141" s="37" t="n">
        <f aca="false">Z141</f>
        <v>0</v>
      </c>
      <c r="AP141" s="37" t="n">
        <f aca="false">AL141</f>
        <v>101.850146304</v>
      </c>
    </row>
    <row r="142" customFormat="false" ht="15" hidden="false" customHeight="false" outlineLevel="0" collapsed="false">
      <c r="A142" s="0" t="s">
        <v>948</v>
      </c>
      <c r="B142" s="0" t="s">
        <v>325</v>
      </c>
      <c r="C142" s="9" t="n">
        <f aca="false">(C141*Assumptions!$C$52)</f>
        <v>0</v>
      </c>
      <c r="D142" s="9" t="n">
        <f aca="false">(D141*Assumptions!$C$52)</f>
        <v>0</v>
      </c>
      <c r="E142" s="9" t="n">
        <f aca="false">(E141*Assumptions!$C$52)</f>
        <v>0</v>
      </c>
      <c r="F142" s="9" t="n">
        <f aca="false">(F141*Assumptions!$C$52)</f>
        <v>0</v>
      </c>
      <c r="G142" s="9" t="n">
        <f aca="false">(G141*Assumptions!$C$52)</f>
        <v>0</v>
      </c>
      <c r="H142" s="9" t="n">
        <f aca="false">(H141*Assumptions!$C$52)</f>
        <v>0</v>
      </c>
      <c r="I142" s="9" t="n">
        <f aca="false">(I141*Assumptions!$C$52)</f>
        <v>0</v>
      </c>
      <c r="J142" s="9" t="n">
        <f aca="false">(J141*Assumptions!$C$52)</f>
        <v>0</v>
      </c>
      <c r="K142" s="9" t="n">
        <f aca="false">(K141*Assumptions!$C$52)</f>
        <v>0</v>
      </c>
      <c r="L142" s="9" t="n">
        <f aca="false">(L141*Assumptions!$C$52)</f>
        <v>0</v>
      </c>
      <c r="M142" s="9" t="n">
        <f aca="false">(M141*Assumptions!$C$52)</f>
        <v>0</v>
      </c>
      <c r="N142" s="9" t="n">
        <f aca="false">(N141*Assumptions!$C$52)</f>
        <v>0</v>
      </c>
      <c r="O142" s="9" t="n">
        <f aca="false">(O141*Assumptions!$C$52)</f>
        <v>0</v>
      </c>
      <c r="P142" s="9" t="n">
        <f aca="false">(P141*Assumptions!$C$52)</f>
        <v>0</v>
      </c>
      <c r="Q142" s="9" t="n">
        <f aca="false">(Q141*Assumptions!$C$52)</f>
        <v>0</v>
      </c>
      <c r="R142" s="9" t="n">
        <f aca="false">(R141*Assumptions!$C$52)</f>
        <v>0</v>
      </c>
      <c r="S142" s="9" t="n">
        <f aca="false">(S141*Assumptions!$C$52)</f>
        <v>0</v>
      </c>
      <c r="T142" s="9" t="n">
        <f aca="false">(T141*Assumptions!$C$52)</f>
        <v>0</v>
      </c>
      <c r="U142" s="9" t="n">
        <f aca="false">(U141*Assumptions!$C$52)</f>
        <v>0</v>
      </c>
      <c r="V142" s="9" t="n">
        <f aca="false">(V141*Assumptions!$C$52)</f>
        <v>0</v>
      </c>
      <c r="W142" s="9" t="n">
        <f aca="false">(W141*Assumptions!$C$52)</f>
        <v>0</v>
      </c>
      <c r="X142" s="9" t="n">
        <f aca="false">(X141*Assumptions!$C$52)</f>
        <v>0</v>
      </c>
      <c r="Y142" s="9" t="n">
        <f aca="false">(Y141*Assumptions!$C$52)</f>
        <v>0</v>
      </c>
      <c r="Z142" s="9" t="n">
        <f aca="false">(Z141*Assumptions!$C$52)</f>
        <v>0</v>
      </c>
      <c r="AA142" s="9" t="n">
        <f aca="false">(AA141*Assumptions!$C$52)</f>
        <v>0</v>
      </c>
      <c r="AB142" s="9" t="n">
        <f aca="false">(AB141*Assumptions!$C$52)</f>
        <v>0</v>
      </c>
      <c r="AC142" s="9" t="n">
        <f aca="false">(AC141*Assumptions!$C$52)</f>
        <v>0</v>
      </c>
      <c r="AD142" s="9" t="n">
        <f aca="false">(AD141*Assumptions!$C$52)</f>
        <v>0</v>
      </c>
      <c r="AE142" s="9" t="n">
        <f aca="false">(AE141*Assumptions!$C$52)</f>
        <v>0</v>
      </c>
      <c r="AF142" s="9" t="n">
        <f aca="false">(AF141*Assumptions!$C$52)</f>
        <v>0</v>
      </c>
      <c r="AG142" s="9" t="n">
        <f aca="false">(AG141*Assumptions!$C$52)</f>
        <v>240</v>
      </c>
      <c r="AH142" s="9" t="n">
        <f aca="false">(AH141*Assumptions!$C$52)</f>
        <v>320.4</v>
      </c>
      <c r="AI142" s="9" t="n">
        <f aca="false">(AI141*Assumptions!$C$52)</f>
        <v>397.584</v>
      </c>
      <c r="AJ142" s="9" t="n">
        <f aca="false">(AJ141*Assumptions!$C$52)</f>
        <v>471.68064</v>
      </c>
      <c r="AK142" s="9" t="n">
        <f aca="false">(AK141*Assumptions!$C$52)</f>
        <v>542.8134144</v>
      </c>
      <c r="AL142" s="9" t="n">
        <f aca="false">(AL141*Assumptions!$C$52)</f>
        <v>611.100877824</v>
      </c>
      <c r="AN142" s="11" t="n">
        <f aca="false">SUM(C142:N142)</f>
        <v>0</v>
      </c>
      <c r="AO142" s="11" t="n">
        <f aca="false">SUM(O142:Z142)</f>
        <v>0</v>
      </c>
      <c r="AP142" s="11" t="n">
        <f aca="false">SUM(AA142:AL142)</f>
        <v>2583.578932224</v>
      </c>
    </row>
    <row r="143" customFormat="false" ht="15" hidden="false" customHeight="false" outlineLevel="0" collapsed="false">
      <c r="A143" s="0" t="s">
        <v>949</v>
      </c>
      <c r="B143" s="0" t="s">
        <v>230</v>
      </c>
      <c r="C143" s="9" t="n">
        <f aca="false">(C142*Assumptions!$C$53)</f>
        <v>0</v>
      </c>
      <c r="D143" s="9" t="n">
        <f aca="false">(D142*Assumptions!$C$53)</f>
        <v>0</v>
      </c>
      <c r="E143" s="9" t="n">
        <f aca="false">(E142*Assumptions!$C$53)</f>
        <v>0</v>
      </c>
      <c r="F143" s="9" t="n">
        <f aca="false">(F142*Assumptions!$C$53)</f>
        <v>0</v>
      </c>
      <c r="G143" s="9" t="n">
        <f aca="false">(G142*Assumptions!$C$53)</f>
        <v>0</v>
      </c>
      <c r="H143" s="9" t="n">
        <f aca="false">(H142*Assumptions!$C$53)</f>
        <v>0</v>
      </c>
      <c r="I143" s="9" t="n">
        <f aca="false">(I142*Assumptions!$C$53)</f>
        <v>0</v>
      </c>
      <c r="J143" s="9" t="n">
        <f aca="false">(J142*Assumptions!$C$53)</f>
        <v>0</v>
      </c>
      <c r="K143" s="9" t="n">
        <f aca="false">(K142*Assumptions!$C$53)</f>
        <v>0</v>
      </c>
      <c r="L143" s="9" t="n">
        <f aca="false">(L142*Assumptions!$C$53)</f>
        <v>0</v>
      </c>
      <c r="M143" s="9" t="n">
        <f aca="false">(M142*Assumptions!$C$53)</f>
        <v>0</v>
      </c>
      <c r="N143" s="9" t="n">
        <f aca="false">(N142*Assumptions!$C$53)</f>
        <v>0</v>
      </c>
      <c r="O143" s="9" t="n">
        <f aca="false">(O142*Assumptions!$C$53)</f>
        <v>0</v>
      </c>
      <c r="P143" s="9" t="n">
        <f aca="false">(P142*Assumptions!$C$53)</f>
        <v>0</v>
      </c>
      <c r="Q143" s="9" t="n">
        <f aca="false">(Q142*Assumptions!$C$53)</f>
        <v>0</v>
      </c>
      <c r="R143" s="9" t="n">
        <f aca="false">(R142*Assumptions!$C$53)</f>
        <v>0</v>
      </c>
      <c r="S143" s="9" t="n">
        <f aca="false">(S142*Assumptions!$C$53)</f>
        <v>0</v>
      </c>
      <c r="T143" s="9" t="n">
        <f aca="false">(T142*Assumptions!$C$53)</f>
        <v>0</v>
      </c>
      <c r="U143" s="9" t="n">
        <f aca="false">(U142*Assumptions!$C$53)</f>
        <v>0</v>
      </c>
      <c r="V143" s="9" t="n">
        <f aca="false">(V142*Assumptions!$C$53)</f>
        <v>0</v>
      </c>
      <c r="W143" s="9" t="n">
        <f aca="false">(W142*Assumptions!$C$53)</f>
        <v>0</v>
      </c>
      <c r="X143" s="9" t="n">
        <f aca="false">(X142*Assumptions!$C$53)</f>
        <v>0</v>
      </c>
      <c r="Y143" s="9" t="n">
        <f aca="false">(Y142*Assumptions!$C$53)</f>
        <v>0</v>
      </c>
      <c r="Z143" s="9" t="n">
        <f aca="false">(Z142*Assumptions!$C$53)</f>
        <v>0</v>
      </c>
      <c r="AA143" s="9" t="n">
        <f aca="false">(AA142*Assumptions!$C$53)</f>
        <v>0</v>
      </c>
      <c r="AB143" s="9" t="n">
        <f aca="false">(AB142*Assumptions!$C$53)</f>
        <v>0</v>
      </c>
      <c r="AC143" s="9" t="n">
        <f aca="false">(AC142*Assumptions!$C$53)</f>
        <v>0</v>
      </c>
      <c r="AD143" s="9" t="n">
        <f aca="false">(AD142*Assumptions!$C$53)</f>
        <v>0</v>
      </c>
      <c r="AE143" s="9" t="n">
        <f aca="false">(AE142*Assumptions!$C$53)</f>
        <v>0</v>
      </c>
      <c r="AF143" s="9" t="n">
        <f aca="false">(AF142*Assumptions!$C$53)</f>
        <v>0</v>
      </c>
      <c r="AG143" s="9" t="n">
        <f aca="false">(AG142*Assumptions!$C$53)</f>
        <v>10800</v>
      </c>
      <c r="AH143" s="9" t="n">
        <f aca="false">(AH142*Assumptions!$C$53)</f>
        <v>14418</v>
      </c>
      <c r="AI143" s="9" t="n">
        <f aca="false">(AI142*Assumptions!$C$53)</f>
        <v>17891.28</v>
      </c>
      <c r="AJ143" s="9" t="n">
        <f aca="false">(AJ142*Assumptions!$C$53)</f>
        <v>21225.6288</v>
      </c>
      <c r="AK143" s="9" t="n">
        <f aca="false">(AK142*Assumptions!$C$53)</f>
        <v>24426.603648</v>
      </c>
      <c r="AL143" s="9" t="n">
        <f aca="false">(AL142*Assumptions!$C$53)</f>
        <v>27499.53950208</v>
      </c>
      <c r="AN143" s="11" t="n">
        <f aca="false">SUM(C143:N143)</f>
        <v>0</v>
      </c>
      <c r="AO143" s="11" t="n">
        <f aca="false">SUM(O143:Z143)</f>
        <v>0</v>
      </c>
      <c r="AP143" s="11" t="n">
        <f aca="false">SUM(AA143:AL143)</f>
        <v>116261.05195008</v>
      </c>
    </row>
    <row r="144" customFormat="false" ht="15" hidden="false" customHeight="false" outlineLevel="0" collapsed="false">
      <c r="A144" s="0" t="s">
        <v>950</v>
      </c>
      <c r="B144" s="0" t="s">
        <v>230</v>
      </c>
      <c r="C144" s="9" t="n">
        <f aca="false">(C143*Assumptions!$C$54)</f>
        <v>0</v>
      </c>
      <c r="D144" s="9" t="n">
        <f aca="false">(D143*Assumptions!$C$54)</f>
        <v>0</v>
      </c>
      <c r="E144" s="9" t="n">
        <f aca="false">(E143*Assumptions!$C$54)</f>
        <v>0</v>
      </c>
      <c r="F144" s="9" t="n">
        <f aca="false">(F143*Assumptions!$C$54)</f>
        <v>0</v>
      </c>
      <c r="G144" s="9" t="n">
        <f aca="false">(G143*Assumptions!$C$54)</f>
        <v>0</v>
      </c>
      <c r="H144" s="9" t="n">
        <f aca="false">(H143*Assumptions!$C$54)</f>
        <v>0</v>
      </c>
      <c r="I144" s="9" t="n">
        <f aca="false">(I143*Assumptions!$C$54)</f>
        <v>0</v>
      </c>
      <c r="J144" s="9" t="n">
        <f aca="false">(J143*Assumptions!$C$54)</f>
        <v>0</v>
      </c>
      <c r="K144" s="9" t="n">
        <f aca="false">(K143*Assumptions!$C$54)</f>
        <v>0</v>
      </c>
      <c r="L144" s="9" t="n">
        <f aca="false">(L143*Assumptions!$C$54)</f>
        <v>0</v>
      </c>
      <c r="M144" s="9" t="n">
        <f aca="false">(M143*Assumptions!$C$54)</f>
        <v>0</v>
      </c>
      <c r="N144" s="9" t="n">
        <f aca="false">(N143*Assumptions!$C$54)</f>
        <v>0</v>
      </c>
      <c r="O144" s="9" t="n">
        <f aca="false">(O143*Assumptions!$C$54)</f>
        <v>0</v>
      </c>
      <c r="P144" s="9" t="n">
        <f aca="false">(P143*Assumptions!$C$54)</f>
        <v>0</v>
      </c>
      <c r="Q144" s="9" t="n">
        <f aca="false">(Q143*Assumptions!$C$54)</f>
        <v>0</v>
      </c>
      <c r="R144" s="9" t="n">
        <f aca="false">(R143*Assumptions!$C$54)</f>
        <v>0</v>
      </c>
      <c r="S144" s="9" t="n">
        <f aca="false">(S143*Assumptions!$C$54)</f>
        <v>0</v>
      </c>
      <c r="T144" s="9" t="n">
        <f aca="false">(T143*Assumptions!$C$54)</f>
        <v>0</v>
      </c>
      <c r="U144" s="9" t="n">
        <f aca="false">(U143*Assumptions!$C$54)</f>
        <v>0</v>
      </c>
      <c r="V144" s="9" t="n">
        <f aca="false">(V143*Assumptions!$C$54)</f>
        <v>0</v>
      </c>
      <c r="W144" s="9" t="n">
        <f aca="false">(W143*Assumptions!$C$54)</f>
        <v>0</v>
      </c>
      <c r="X144" s="9" t="n">
        <f aca="false">(X143*Assumptions!$C$54)</f>
        <v>0</v>
      </c>
      <c r="Y144" s="9" t="n">
        <f aca="false">(Y143*Assumptions!$C$54)</f>
        <v>0</v>
      </c>
      <c r="Z144" s="9" t="n">
        <f aca="false">(Z143*Assumptions!$C$54)</f>
        <v>0</v>
      </c>
      <c r="AA144" s="9" t="n">
        <f aca="false">(AA143*Assumptions!$C$54)</f>
        <v>0</v>
      </c>
      <c r="AB144" s="9" t="n">
        <f aca="false">(AB143*Assumptions!$C$54)</f>
        <v>0</v>
      </c>
      <c r="AC144" s="9" t="n">
        <f aca="false">(AC143*Assumptions!$C$54)</f>
        <v>0</v>
      </c>
      <c r="AD144" s="9" t="n">
        <f aca="false">(AD143*Assumptions!$C$54)</f>
        <v>0</v>
      </c>
      <c r="AE144" s="9" t="n">
        <f aca="false">(AE143*Assumptions!$C$54)</f>
        <v>0</v>
      </c>
      <c r="AF144" s="9" t="n">
        <f aca="false">(AF143*Assumptions!$C$54)</f>
        <v>0</v>
      </c>
      <c r="AG144" s="9" t="n">
        <f aca="false">(AG143*Assumptions!$C$54)</f>
        <v>1620</v>
      </c>
      <c r="AH144" s="9" t="n">
        <f aca="false">(AH143*Assumptions!$C$54)</f>
        <v>2162.7</v>
      </c>
      <c r="AI144" s="9" t="n">
        <f aca="false">(AI143*Assumptions!$C$54)</f>
        <v>2683.692</v>
      </c>
      <c r="AJ144" s="9" t="n">
        <f aca="false">(AJ143*Assumptions!$C$54)</f>
        <v>3183.84432</v>
      </c>
      <c r="AK144" s="9" t="n">
        <f aca="false">(AK143*Assumptions!$C$54)</f>
        <v>3663.9905472</v>
      </c>
      <c r="AL144" s="9" t="n">
        <f aca="false">(AL143*Assumptions!$C$54)</f>
        <v>4124.930925312</v>
      </c>
      <c r="AN144" s="11" t="n">
        <f aca="false">SUM(C144:N144)</f>
        <v>0</v>
      </c>
      <c r="AO144" s="11" t="n">
        <f aca="false">SUM(O144:Z144)</f>
        <v>0</v>
      </c>
      <c r="AP144" s="11" t="n">
        <f aca="false">SUM(AA144:AL144)</f>
        <v>17439.157792512</v>
      </c>
    </row>
    <row r="145" customFormat="false" ht="15" hidden="false" customHeight="false" outlineLevel="0" collapsed="false">
      <c r="A145" s="21" t="s">
        <v>951</v>
      </c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</row>
    <row r="146" customFormat="false" ht="15" hidden="false" customHeight="false" outlineLevel="0" collapsed="false">
      <c r="A146" s="10" t="s">
        <v>28</v>
      </c>
      <c r="B146" s="20" t="s">
        <v>230</v>
      </c>
      <c r="C146" s="11" t="n">
        <f aca="false">(((((((C42+C129)+C127)+C131)+C136)+C137)+C140)+C144)</f>
        <v>0</v>
      </c>
      <c r="D146" s="11" t="n">
        <f aca="false">(((((((D42+D129)+D127)+D131)+D136)+D137)+D140)+D144)</f>
        <v>0</v>
      </c>
      <c r="E146" s="11" t="n">
        <f aca="false">(((((((E42+E129)+E127)+E131)+E136)+E137)+E140)+E144)</f>
        <v>0</v>
      </c>
      <c r="F146" s="11" t="n">
        <f aca="false">(((((((F42+F129)+F127)+F131)+F136)+F137)+F140)+F144)</f>
        <v>0</v>
      </c>
      <c r="G146" s="11" t="n">
        <f aca="false">(((((((G42+G129)+G127)+G131)+G136)+G137)+G140)+G144)</f>
        <v>0</v>
      </c>
      <c r="H146" s="11" t="n">
        <f aca="false">(((((((H42+H129)+H127)+H131)+H136)+H137)+H140)+H144)</f>
        <v>0</v>
      </c>
      <c r="I146" s="11" t="n">
        <f aca="false">(((((((I42+I129)+I127)+I131)+I136)+I137)+I140)+I144)</f>
        <v>0</v>
      </c>
      <c r="J146" s="11" t="n">
        <f aca="false">(((((((J42+J129)+J127)+J131)+J136)+J137)+J140)+J144)</f>
        <v>0</v>
      </c>
      <c r="K146" s="11" t="n">
        <f aca="false">(((((((K42+K129)+K127)+K131)+K136)+K137)+K140)+K144)</f>
        <v>0</v>
      </c>
      <c r="L146" s="11" t="n">
        <f aca="false">(((((((L42+L129)+L127)+L131)+L136)+L137)+L140)+L144)</f>
        <v>0</v>
      </c>
      <c r="M146" s="11" t="n">
        <f aca="false">(((((((M42+M129)+M127)+M131)+M136)+M137)+M140)+M144)</f>
        <v>0</v>
      </c>
      <c r="N146" s="11" t="n">
        <f aca="false">(((((((N42+N129)+N127)+N131)+N136)+N137)+N140)+N144)</f>
        <v>1320</v>
      </c>
      <c r="O146" s="11" t="n">
        <f aca="false">(((((((O42+O129)+O127)+O131)+O136)+O137)+O140)+O144)</f>
        <v>10845.9646768528</v>
      </c>
      <c r="P146" s="11" t="n">
        <f aca="false">(((((((P42+P129)+P127)+P131)+P136)+P137)+P140)+P144)</f>
        <v>10903.0739018655</v>
      </c>
      <c r="Q146" s="11" t="n">
        <f aca="false">(((((((Q42+Q129)+Q127)+Q131)+Q136)+Q137)+Q140)+Q144)</f>
        <v>14723.1977602126</v>
      </c>
      <c r="R146" s="11" t="n">
        <f aca="false">(((((((R42+R129)+R127)+R131)+R136)+R137)+R140)+R144)</f>
        <v>37652.400435521</v>
      </c>
      <c r="S146" s="11" t="n">
        <f aca="false">(((((((S42+S129)+S127)+S131)+S136)+S137)+S140)+S144)</f>
        <v>37759.7830036419</v>
      </c>
      <c r="T146" s="11" t="n">
        <f aca="false">(((((((T42+T129)+T127)+T131)+T136)+T137)+T140)+T144)</f>
        <v>37872.5125107066</v>
      </c>
      <c r="U146" s="11" t="n">
        <f aca="false">(((((((U42+U129)+U127)+U131)+U136)+U137)+U140)+U144)</f>
        <v>52487.4811056513</v>
      </c>
      <c r="V146" s="11" t="n">
        <f aca="false">(((((((V42+V129)+V127)+V131)+V136)+V137)+V140)+V144)</f>
        <v>53977.1328208233</v>
      </c>
      <c r="W146" s="11" t="n">
        <f aca="false">(((((((W42+W129)+W127)+W131)+W136)+W137)+W140)+W144)</f>
        <v>54129.8960052975</v>
      </c>
      <c r="X146" s="11" t="n">
        <f aca="false">(((((((X42+X129)+X127)+X131)+X136)+X137)+X140)+X144)</f>
        <v>56815.420618819</v>
      </c>
      <c r="Y146" s="11" t="n">
        <f aca="false">(((((((Y42+Y129)+Y127)+Y131)+Y136)+Y137)+Y140)+Y144)</f>
        <v>69809.7620182395</v>
      </c>
      <c r="Z146" s="11" t="n">
        <f aca="false">(((((((Z42+Z129)+Z127)+Z131)+Z136)+Z137)+Z140)+Z144)</f>
        <v>69949.5333789384</v>
      </c>
      <c r="AA146" s="11" t="n">
        <f aca="false">(((((((AA42+AA129)+AA127)+AA131)+AA136)+AA137)+AA140)+AA144)</f>
        <v>80637.9523991718</v>
      </c>
      <c r="AB146" s="11" t="n">
        <f aca="false">(((((((AB42+AB129)+AB127)+AB131)+AB136)+AB137)+AB140)+AB144)</f>
        <v>110677.295187932</v>
      </c>
      <c r="AC146" s="11" t="n">
        <f aca="false">(((((((AC42+AC129)+AC127)+AC131)+AC136)+AC137)+AC140)+AC144)</f>
        <v>111688.299575281</v>
      </c>
      <c r="AD146" s="11" t="n">
        <f aca="false">(((((((AD42+AD129)+AD127)+AD131)+AD136)+AD137)+AD140)+AD144)</f>
        <v>135677.194943382</v>
      </c>
      <c r="AE146" s="11" t="n">
        <f aca="false">(((((((AE42+AE129)+AE127)+AE131)+AE136)+AE137)+AE140)+AE144)</f>
        <v>159732.244515522</v>
      </c>
      <c r="AF146" s="11" t="n">
        <f aca="false">(((((((AF42+AF129)+AF127)+AF131)+AF136)+AF137)+AF140)+AF144)</f>
        <v>206754.335064396</v>
      </c>
      <c r="AG146" s="11" t="n">
        <f aca="false">(((((((AG42+AG129)+AG127)+AG131)+AG136)+AG137)+AG140)+AG144)</f>
        <v>215452.406618509</v>
      </c>
      <c r="AH146" s="11" t="n">
        <f aca="false">(((((((AH42+AH129)+AH127)+AH131)+AH136)+AH137)+AH140)+AH144)</f>
        <v>235323.792374803</v>
      </c>
      <c r="AI146" s="11" t="n">
        <f aca="false">(((((((AI42+AI129)+AI127)+AI131)+AI136)+AI137)+AI140)+AI144)</f>
        <v>202540.414747642</v>
      </c>
      <c r="AJ146" s="11" t="n">
        <f aca="false">(((((((AJ42+AJ129)+AJ127)+AJ131)+AJ136)+AJ137)+AJ140)+AJ144)</f>
        <v>214564.792794595</v>
      </c>
      <c r="AK146" s="11" t="n">
        <f aca="false">(((((((AK42+AK129)+AK127)+AK131)+AK136)+AK137)+AK140)+AK144)</f>
        <v>268961.351784262</v>
      </c>
      <c r="AL146" s="11" t="n">
        <f aca="false">(((((((AL42+AL129)+AL127)+AL131)+AL136)+AL137)+AL140)+AL144)</f>
        <v>359931.629493632</v>
      </c>
      <c r="AN146" s="11" t="n">
        <f aca="false">SUM(C146:N146)</f>
        <v>1320</v>
      </c>
      <c r="AO146" s="11" t="n">
        <f aca="false">SUM(O146:Z146)</f>
        <v>506926.158236569</v>
      </c>
      <c r="AP146" s="11" t="n">
        <f aca="false">SUM(AA146:AL146)</f>
        <v>2301941.70949913</v>
      </c>
    </row>
    <row r="147" customFormat="false" ht="15" hidden="false" customHeight="false" outlineLevel="0" collapsed="false">
      <c r="A147" s="0" t="s">
        <v>952</v>
      </c>
      <c r="B147" s="0" t="s">
        <v>230</v>
      </c>
      <c r="C147" s="9" t="n">
        <f aca="false">((((C42+C127)+C136)+C137)+C140)</f>
        <v>0</v>
      </c>
      <c r="D147" s="9" t="n">
        <f aca="false">((((D42+D127)+D136)+D137)+D140)</f>
        <v>0</v>
      </c>
      <c r="E147" s="9" t="n">
        <f aca="false">((((E42+E127)+E136)+E137)+E140)</f>
        <v>0</v>
      </c>
      <c r="F147" s="9" t="n">
        <f aca="false">((((F42+F127)+F136)+F137)+F140)</f>
        <v>0</v>
      </c>
      <c r="G147" s="9" t="n">
        <f aca="false">((((G42+G127)+G136)+G137)+G140)</f>
        <v>0</v>
      </c>
      <c r="H147" s="9" t="n">
        <f aca="false">((((H42+H127)+H136)+H137)+H140)</f>
        <v>0</v>
      </c>
      <c r="I147" s="9" t="n">
        <f aca="false">((((I42+I127)+I136)+I137)+I140)</f>
        <v>0</v>
      </c>
      <c r="J147" s="9" t="n">
        <f aca="false">((((J42+J127)+J136)+J137)+J140)</f>
        <v>0</v>
      </c>
      <c r="K147" s="9" t="n">
        <f aca="false">((((K42+K127)+K136)+K137)+K140)</f>
        <v>0</v>
      </c>
      <c r="L147" s="9" t="n">
        <f aca="false">((((L42+L127)+L136)+L137)+L140)</f>
        <v>0</v>
      </c>
      <c r="M147" s="9" t="n">
        <f aca="false">((((M42+M127)+M136)+M137)+M140)</f>
        <v>0</v>
      </c>
      <c r="N147" s="9" t="n">
        <f aca="false">((((N42+N127)+N136)+N137)+N140)</f>
        <v>1320</v>
      </c>
      <c r="O147" s="9" t="n">
        <f aca="false">((((O42+O127)+O136)+O137)+O140)</f>
        <v>1345.96467685284</v>
      </c>
      <c r="P147" s="9" t="n">
        <f aca="false">((((P42+P127)+P136)+P137)+P140)</f>
        <v>1403.0739018655</v>
      </c>
      <c r="Q147" s="9" t="n">
        <f aca="false">((((Q42+Q127)+Q136)+Q137)+Q140)</f>
        <v>5223.19776021259</v>
      </c>
      <c r="R147" s="9" t="n">
        <f aca="false">((((R42+R127)+R136)+R137)+R140)</f>
        <v>5319.06710218766</v>
      </c>
      <c r="S147" s="9" t="n">
        <f aca="false">((((S42+S127)+S136)+S137)+S140)</f>
        <v>5426.44967030858</v>
      </c>
      <c r="T147" s="9" t="n">
        <f aca="false">((((T42+T127)+T136)+T137)+T140)</f>
        <v>5539.17917737329</v>
      </c>
      <c r="U147" s="9" t="n">
        <f aca="false">((((U42+U127)+U136)+U137)+U140)</f>
        <v>5654.14777231801</v>
      </c>
      <c r="V147" s="9" t="n">
        <f aca="false">((((V42+V127)+V136)+V137)+V140)</f>
        <v>7143.79948748994</v>
      </c>
      <c r="W147" s="9" t="n">
        <f aca="false">((((W42+W127)+W136)+W137)+W140)</f>
        <v>7296.56267196416</v>
      </c>
      <c r="X147" s="9" t="n">
        <f aca="false">((((X42+X127)+X136)+X137)+X140)</f>
        <v>7482.08728548562</v>
      </c>
      <c r="Y147" s="9" t="n">
        <f aca="false">((((Y42+Y127)+Y136)+Y137)+Y140)</f>
        <v>13476.4286849061</v>
      </c>
      <c r="Z147" s="9" t="n">
        <f aca="false">((((Z42+Z127)+Z136)+Z137)+Z140)</f>
        <v>13616.200045605</v>
      </c>
      <c r="AA147" s="9" t="n">
        <f aca="false">((((AA42+AA127)+AA136)+AA137)+AA140)</f>
        <v>14804.6190658385</v>
      </c>
      <c r="AB147" s="9" t="n">
        <f aca="false">((((AB42+AB127)+AB136)+AB137)+AB140)</f>
        <v>29510.6285212655</v>
      </c>
      <c r="AC147" s="9" t="n">
        <f aca="false">((((AC42+AC127)+AC136)+AC137)+AC140)</f>
        <v>30521.6329086144</v>
      </c>
      <c r="AD147" s="9" t="n">
        <f aca="false">((((AD42+AD127)+AD136)+AD137)+AD140)</f>
        <v>31677.1949433816</v>
      </c>
      <c r="AE147" s="9" t="n">
        <f aca="false">((((AE42+AE127)+AE136)+AE137)+AE140)</f>
        <v>48732.2445155216</v>
      </c>
      <c r="AF147" s="9" t="n">
        <f aca="false">((((AF42+AF127)+AF136)+AF137)+AF140)</f>
        <v>50421.0017310623</v>
      </c>
      <c r="AG147" s="9" t="n">
        <f aca="false">((((AG42+AG127)+AG136)+AG137)+AG140)</f>
        <v>52499.0732851752</v>
      </c>
      <c r="AH147" s="9" t="n">
        <f aca="false">((((AH42+AH127)+AH136)+AH137)+AH140)</f>
        <v>71827.7590414694</v>
      </c>
      <c r="AI147" s="9" t="n">
        <f aca="false">((((AI42+AI127)+AI136)+AI137)+AI140)</f>
        <v>73856.7227476419</v>
      </c>
      <c r="AJ147" s="9" t="n">
        <f aca="false">((((AJ42+AJ127)+AJ136)+AJ137)+AJ140)</f>
        <v>75880.9484745947</v>
      </c>
      <c r="AK147" s="9" t="n">
        <f aca="false">((((AK42+AK127)+AK136)+AK137)+AK140)</f>
        <v>107464.027903729</v>
      </c>
      <c r="AL147" s="9" t="n">
        <f aca="false">((((AL42+AL127)+AL136)+AL137)+AL140)</f>
        <v>127306.69856832</v>
      </c>
      <c r="AN147" s="11" t="n">
        <f aca="false">SUM(C147:N147)</f>
        <v>1320</v>
      </c>
      <c r="AO147" s="11" t="n">
        <f aca="false">SUM(O147:Z147)</f>
        <v>78926.1582365693</v>
      </c>
      <c r="AP147" s="11" t="n">
        <f aca="false">SUM(AA147:AL147)</f>
        <v>714502.551706614</v>
      </c>
    </row>
    <row r="148" customFormat="false" ht="15" hidden="false" customHeight="false" outlineLevel="0" collapsed="false">
      <c r="A148" s="10" t="s">
        <v>953</v>
      </c>
      <c r="B148" s="20" t="s">
        <v>230</v>
      </c>
      <c r="C148" s="11" t="n">
        <f aca="false">(C147*12)</f>
        <v>0</v>
      </c>
      <c r="D148" s="11" t="n">
        <f aca="false">(D147*12)</f>
        <v>0</v>
      </c>
      <c r="E148" s="11" t="n">
        <f aca="false">(E147*12)</f>
        <v>0</v>
      </c>
      <c r="F148" s="11" t="n">
        <f aca="false">(F147*12)</f>
        <v>0</v>
      </c>
      <c r="G148" s="11" t="n">
        <f aca="false">(G147*12)</f>
        <v>0</v>
      </c>
      <c r="H148" s="11" t="n">
        <f aca="false">(H147*12)</f>
        <v>0</v>
      </c>
      <c r="I148" s="11" t="n">
        <f aca="false">(I147*12)</f>
        <v>0</v>
      </c>
      <c r="J148" s="11" t="n">
        <f aca="false">(J147*12)</f>
        <v>0</v>
      </c>
      <c r="K148" s="11" t="n">
        <f aca="false">(K147*12)</f>
        <v>0</v>
      </c>
      <c r="L148" s="11" t="n">
        <f aca="false">(L147*12)</f>
        <v>0</v>
      </c>
      <c r="M148" s="11" t="n">
        <f aca="false">(M147*12)</f>
        <v>0</v>
      </c>
      <c r="N148" s="11" t="n">
        <f aca="false">(N147*12)</f>
        <v>15840</v>
      </c>
      <c r="O148" s="11" t="n">
        <f aca="false">(O147*12)</f>
        <v>16151.5761222341</v>
      </c>
      <c r="P148" s="11" t="n">
        <f aca="false">(P147*12)</f>
        <v>16836.886822386</v>
      </c>
      <c r="Q148" s="11" t="n">
        <f aca="false">(Q147*12)</f>
        <v>62678.373122551</v>
      </c>
      <c r="R148" s="11" t="n">
        <f aca="false">(R147*12)</f>
        <v>63828.8052262519</v>
      </c>
      <c r="S148" s="11" t="n">
        <f aca="false">(S147*12)</f>
        <v>65117.3960437029</v>
      </c>
      <c r="T148" s="11" t="n">
        <f aca="false">(T147*12)</f>
        <v>66470.1501284794</v>
      </c>
      <c r="U148" s="11" t="n">
        <f aca="false">(U147*12)</f>
        <v>67849.7732678161</v>
      </c>
      <c r="V148" s="11" t="n">
        <f aca="false">(V147*12)</f>
        <v>85725.5938498793</v>
      </c>
      <c r="W148" s="11" t="n">
        <f aca="false">(W147*12)</f>
        <v>87558.75206357</v>
      </c>
      <c r="X148" s="11" t="n">
        <f aca="false">(X147*12)</f>
        <v>89785.0474258275</v>
      </c>
      <c r="Y148" s="11" t="n">
        <f aca="false">(Y147*12)</f>
        <v>161717.144218873</v>
      </c>
      <c r="Z148" s="11" t="n">
        <f aca="false">(Z147*12)</f>
        <v>163394.40054726</v>
      </c>
      <c r="AA148" s="11" t="n">
        <f aca="false">(AA147*12)</f>
        <v>177655.428790061</v>
      </c>
      <c r="AB148" s="11" t="n">
        <f aca="false">(AB147*12)</f>
        <v>354127.542255186</v>
      </c>
      <c r="AC148" s="11" t="n">
        <f aca="false">(AC147*12)</f>
        <v>366259.594903373</v>
      </c>
      <c r="AD148" s="11" t="n">
        <f aca="false">(AD147*12)</f>
        <v>380126.33932058</v>
      </c>
      <c r="AE148" s="11" t="n">
        <f aca="false">(AE147*12)</f>
        <v>584786.934186259</v>
      </c>
      <c r="AF148" s="11" t="n">
        <f aca="false">(AF147*12)</f>
        <v>605052.020772747</v>
      </c>
      <c r="AG148" s="11" t="n">
        <f aca="false">(AG147*12)</f>
        <v>629988.879422103</v>
      </c>
      <c r="AH148" s="11" t="n">
        <f aca="false">(AH147*12)</f>
        <v>861933.108497633</v>
      </c>
      <c r="AI148" s="11" t="n">
        <f aca="false">(AI147*12)</f>
        <v>886280.672971703</v>
      </c>
      <c r="AJ148" s="11" t="n">
        <f aca="false">(AJ147*12)</f>
        <v>910571.381695137</v>
      </c>
      <c r="AK148" s="11" t="n">
        <f aca="false">(AK147*12)</f>
        <v>1289568.33484474</v>
      </c>
      <c r="AL148" s="11" t="n">
        <f aca="false">(AL147*12)</f>
        <v>1527680.38281984</v>
      </c>
      <c r="AN148" s="11" t="n">
        <f aca="false">N148</f>
        <v>15840</v>
      </c>
      <c r="AO148" s="11" t="n">
        <f aca="false">Z148</f>
        <v>163394.40054726</v>
      </c>
      <c r="AP148" s="11" t="n">
        <f aca="false">AL148</f>
        <v>1527680.38281984</v>
      </c>
    </row>
    <row r="149" customFormat="false" ht="15" hidden="false" customHeight="false" outlineLevel="0" collapsed="false">
      <c r="A149" s="0" t="s">
        <v>954</v>
      </c>
      <c r="B149" s="0" t="s">
        <v>230</v>
      </c>
      <c r="C149" s="9" t="n">
        <f aca="false">((((C127+C136)+C137)+C140)*12)</f>
        <v>0</v>
      </c>
      <c r="D149" s="9" t="n">
        <f aca="false">((((D127+D136)+D137)+D140)*12)</f>
        <v>0</v>
      </c>
      <c r="E149" s="9" t="n">
        <f aca="false">((((E127+E136)+E137)+E140)*12)</f>
        <v>0</v>
      </c>
      <c r="F149" s="9" t="n">
        <f aca="false">((((F127+F136)+F137)+F140)*12)</f>
        <v>0</v>
      </c>
      <c r="G149" s="9" t="n">
        <f aca="false">((((G127+G136)+G137)+G140)*12)</f>
        <v>0</v>
      </c>
      <c r="H149" s="9" t="n">
        <f aca="false">((((H127+H136)+H137)+H140)*12)</f>
        <v>0</v>
      </c>
      <c r="I149" s="9" t="n">
        <f aca="false">((((I127+I136)+I137)+I140)*12)</f>
        <v>0</v>
      </c>
      <c r="J149" s="9" t="n">
        <f aca="false">((((J127+J136)+J137)+J140)*12)</f>
        <v>0</v>
      </c>
      <c r="K149" s="9" t="n">
        <f aca="false">((((K127+K136)+K137)+K140)*12)</f>
        <v>0</v>
      </c>
      <c r="L149" s="9" t="n">
        <f aca="false">((((L127+L136)+L137)+L140)*12)</f>
        <v>0</v>
      </c>
      <c r="M149" s="9" t="n">
        <f aca="false">((((M127+M136)+M137)+M140)*12)</f>
        <v>0</v>
      </c>
      <c r="N149" s="9" t="n">
        <f aca="false">((((N127+N136)+N137)+N140)*12)</f>
        <v>15840</v>
      </c>
      <c r="O149" s="9" t="n">
        <f aca="false">((((O127+O136)+O137)+O140)*12)</f>
        <v>15840</v>
      </c>
      <c r="P149" s="9" t="n">
        <f aca="false">((((P127+P136)+P137)+P140)*12)</f>
        <v>15840</v>
      </c>
      <c r="Q149" s="9" t="n">
        <f aca="false">((((Q127+Q136)+Q137)+Q140)*12)</f>
        <v>60720</v>
      </c>
      <c r="R149" s="9" t="n">
        <f aca="false">((((R127+R136)+R137)+R140)*12)</f>
        <v>60720</v>
      </c>
      <c r="S149" s="9" t="n">
        <f aca="false">((((S127+S136)+S137)+S140)*12)</f>
        <v>60720</v>
      </c>
      <c r="T149" s="9" t="n">
        <f aca="false">((((T127+T136)+T137)+T140)*12)</f>
        <v>60720</v>
      </c>
      <c r="U149" s="9" t="n">
        <f aca="false">((((U127+U136)+U137)+U140)*12)</f>
        <v>60720</v>
      </c>
      <c r="V149" s="9" t="n">
        <f aca="false">((((V127+V136)+V137)+V140)*12)</f>
        <v>77130</v>
      </c>
      <c r="W149" s="9" t="n">
        <f aca="false">((((W127+W136)+W137)+W140)*12)</f>
        <v>77130</v>
      </c>
      <c r="X149" s="9" t="n">
        <f aca="false">((((X127+X136)+X137)+X140)*12)</f>
        <v>77130</v>
      </c>
      <c r="Y149" s="9" t="n">
        <f aca="false">((((Y127+Y136)+Y137)+Y140)*12)</f>
        <v>146730</v>
      </c>
      <c r="Z149" s="9" t="n">
        <f aca="false">((((Z127+Z136)+Z137)+Z140)*12)</f>
        <v>146050.32</v>
      </c>
      <c r="AA149" s="9" t="n">
        <f aca="false">((((AA127+AA136)+AA137)+AA140)*12)</f>
        <v>158050.32</v>
      </c>
      <c r="AB149" s="9" t="n">
        <f aca="false">((((AB127+AB136)+AB137)+AB140)*12)</f>
        <v>332060.32</v>
      </c>
      <c r="AC149" s="9" t="n">
        <f aca="false">((((AC127+AC136)+AC137)+AC140)*12)</f>
        <v>341630.56</v>
      </c>
      <c r="AD149" s="9" t="n">
        <f aca="false">((((AD127+AD136)+AD137)+AD140)*12)</f>
        <v>352924.864</v>
      </c>
      <c r="AE149" s="9" t="n">
        <f aca="false">((((AE127+AE136)+AE137)+AE140)*12)</f>
        <v>555043.28192</v>
      </c>
      <c r="AF149" s="9" t="n">
        <f aca="false">((((AF127+AF136)+AF137)+AF140)*12)</f>
        <v>572870.7314816</v>
      </c>
      <c r="AG149" s="9" t="n">
        <f aca="false">((((AG127+AG136)+AG137)+AG140)*12)</f>
        <v>595500.840051968</v>
      </c>
      <c r="AH149" s="9" t="n">
        <f aca="false">((((AH127+AH136)+AH137)+AH140)*12)</f>
        <v>825171.946450929</v>
      </c>
      <c r="AI149" s="9" t="n">
        <f aca="false">((((AI127+AI136)+AI137)+AI140)*12)</f>
        <v>846905.90272191</v>
      </c>
      <c r="AJ149" s="9" t="n">
        <f aca="false">((((AJ127+AJ136)+AJ137)+AJ140)*12)</f>
        <v>868205.179867472</v>
      </c>
      <c r="AK149" s="9" t="n">
        <f aca="false">((((AK127+AK136)+AK137)+AK140)*12)</f>
        <v>1244186.15147012</v>
      </c>
      <c r="AL149" s="9" t="n">
        <f aca="false">((((AL127+AL136)+AL137)+AL140)*12)</f>
        <v>1479349.25340072</v>
      </c>
      <c r="AN149" s="11" t="n">
        <f aca="false">N149</f>
        <v>15840</v>
      </c>
      <c r="AO149" s="11" t="n">
        <f aca="false">Z149</f>
        <v>146050.32</v>
      </c>
      <c r="AP149" s="11" t="n">
        <f aca="false">AL149</f>
        <v>1479349.25340072</v>
      </c>
    </row>
    <row r="150" customFormat="false" ht="15" hidden="false" customHeight="false" outlineLevel="0" collapsed="false">
      <c r="A150" s="0" t="s">
        <v>955</v>
      </c>
      <c r="B150" s="0" t="s">
        <v>230</v>
      </c>
      <c r="C150" s="9" t="n">
        <f aca="false">(C42*12)</f>
        <v>0</v>
      </c>
      <c r="D150" s="9" t="n">
        <f aca="false">(D42*12)</f>
        <v>0</v>
      </c>
      <c r="E150" s="9" t="n">
        <f aca="false">(E42*12)</f>
        <v>0</v>
      </c>
      <c r="F150" s="9" t="n">
        <f aca="false">(F42*12)</f>
        <v>0</v>
      </c>
      <c r="G150" s="9" t="n">
        <f aca="false">(G42*12)</f>
        <v>0</v>
      </c>
      <c r="H150" s="9" t="n">
        <f aca="false">(H42*12)</f>
        <v>0</v>
      </c>
      <c r="I150" s="9" t="n">
        <f aca="false">(I42*12)</f>
        <v>0</v>
      </c>
      <c r="J150" s="9" t="n">
        <f aca="false">(J42*12)</f>
        <v>0</v>
      </c>
      <c r="K150" s="9" t="n">
        <f aca="false">(K42*12)</f>
        <v>0</v>
      </c>
      <c r="L150" s="9" t="n">
        <f aca="false">(L42*12)</f>
        <v>0</v>
      </c>
      <c r="M150" s="9" t="n">
        <f aca="false">(M42*12)</f>
        <v>0</v>
      </c>
      <c r="N150" s="9" t="n">
        <f aca="false">(N42*12)</f>
        <v>0</v>
      </c>
      <c r="O150" s="9" t="n">
        <f aca="false">(O42*12)</f>
        <v>311.576122234068</v>
      </c>
      <c r="P150" s="9" t="n">
        <f aca="false">(P42*12)</f>
        <v>996.886822386001</v>
      </c>
      <c r="Q150" s="9" t="n">
        <f aca="false">(Q42*12)</f>
        <v>1958.37312255104</v>
      </c>
      <c r="R150" s="9" t="n">
        <f aca="false">(R42*12)</f>
        <v>3108.80522625186</v>
      </c>
      <c r="S150" s="9" t="n">
        <f aca="false">(S42*12)</f>
        <v>4397.39604370293</v>
      </c>
      <c r="T150" s="9" t="n">
        <f aca="false">(T42*12)</f>
        <v>5750.15012847944</v>
      </c>
      <c r="U150" s="9" t="n">
        <f aca="false">(U42*12)</f>
        <v>7129.77326781614</v>
      </c>
      <c r="V150" s="9" t="n">
        <f aca="false">(V42*12)</f>
        <v>8595.5938498793</v>
      </c>
      <c r="W150" s="9" t="n">
        <f aca="false">(W42*12)</f>
        <v>10428.75206357</v>
      </c>
      <c r="X150" s="9" t="n">
        <f aca="false">(X42*12)</f>
        <v>12655.0474258275</v>
      </c>
      <c r="Y150" s="9" t="n">
        <f aca="false">(Y42*12)</f>
        <v>14987.1442188732</v>
      </c>
      <c r="Z150" s="9" t="n">
        <f aca="false">(Z42*12)</f>
        <v>17344.0805472603</v>
      </c>
      <c r="AA150" s="9" t="n">
        <f aca="false">(AA42*12)</f>
        <v>19605.1087900615</v>
      </c>
      <c r="AB150" s="9" t="n">
        <f aca="false">(AB42*12)</f>
        <v>22067.2222551861</v>
      </c>
      <c r="AC150" s="9" t="n">
        <f aca="false">(AC42*12)</f>
        <v>24629.0349033734</v>
      </c>
      <c r="AD150" s="9" t="n">
        <f aca="false">(AD42*12)</f>
        <v>27201.4753205796</v>
      </c>
      <c r="AE150" s="9" t="n">
        <f aca="false">(AE42*12)</f>
        <v>29743.6522662586</v>
      </c>
      <c r="AF150" s="9" t="n">
        <f aca="false">(AF42*12)</f>
        <v>32181.2892911471</v>
      </c>
      <c r="AG150" s="9" t="n">
        <f aca="false">(AG42*12)</f>
        <v>34488.0393701347</v>
      </c>
      <c r="AH150" s="9" t="n">
        <f aca="false">(AH42*12)</f>
        <v>36761.1620467044</v>
      </c>
      <c r="AI150" s="9" t="n">
        <f aca="false">(AI42*12)</f>
        <v>39374.770249793</v>
      </c>
      <c r="AJ150" s="9" t="n">
        <f aca="false">(AJ42*12)</f>
        <v>42366.201827665</v>
      </c>
      <c r="AK150" s="9" t="n">
        <f aca="false">(AK42*12)</f>
        <v>45382.1833746197</v>
      </c>
      <c r="AL150" s="9" t="n">
        <f aca="false">(AL42*12)</f>
        <v>48331.1294191236</v>
      </c>
      <c r="AN150" s="11" t="n">
        <f aca="false">N150</f>
        <v>0</v>
      </c>
      <c r="AO150" s="11" t="n">
        <f aca="false">Z150</f>
        <v>17344.0805472603</v>
      </c>
      <c r="AP150" s="11" t="n">
        <f aca="false">AL150</f>
        <v>48331.1294191236</v>
      </c>
    </row>
    <row r="151" customFormat="false" ht="15" hidden="false" customHeight="false" outlineLevel="0" collapsed="false">
      <c r="A151" s="10" t="s">
        <v>956</v>
      </c>
      <c r="B151" s="20" t="s">
        <v>230</v>
      </c>
      <c r="C151" s="11" t="n">
        <f aca="false">(((((((C41+C130)+C128)+C132)+C136)+C137)+C140)+C144)</f>
        <v>0</v>
      </c>
      <c r="D151" s="11" t="n">
        <f aca="false">(((((((D41+D130)+D128)+D132)+D136)+D137)+D140)+D144)</f>
        <v>0</v>
      </c>
      <c r="E151" s="11" t="n">
        <f aca="false">(((((((E41+E130)+E128)+E132)+E136)+E137)+E140)+E144)</f>
        <v>0</v>
      </c>
      <c r="F151" s="11" t="n">
        <f aca="false">(((((((F41+F130)+F128)+F132)+F136)+F137)+F140)+F144)</f>
        <v>0</v>
      </c>
      <c r="G151" s="11" t="n">
        <f aca="false">(((((((G41+G130)+G128)+G132)+G136)+G137)+G140)+G144)</f>
        <v>0</v>
      </c>
      <c r="H151" s="11" t="n">
        <f aca="false">(((((((H41+H130)+H128)+H132)+H136)+H137)+H140)+H144)</f>
        <v>0</v>
      </c>
      <c r="I151" s="11" t="n">
        <f aca="false">(((((((I41+I130)+I128)+I132)+I136)+I137)+I140)+I144)</f>
        <v>0</v>
      </c>
      <c r="J151" s="11" t="n">
        <f aca="false">(((((((J41+J130)+J128)+J132)+J136)+J137)+J140)+J144)</f>
        <v>0</v>
      </c>
      <c r="K151" s="11" t="n">
        <f aca="false">(((((((K41+K130)+K128)+K132)+K136)+K137)+K140)+K144)</f>
        <v>0</v>
      </c>
      <c r="L151" s="11" t="n">
        <f aca="false">(((((((L41+L130)+L128)+L132)+L136)+L137)+L140)+L144)</f>
        <v>0</v>
      </c>
      <c r="M151" s="11" t="n">
        <f aca="false">(((((((M41+M130)+M128)+M132)+M136)+M137)+M140)+M144)</f>
        <v>0</v>
      </c>
      <c r="N151" s="11" t="n">
        <f aca="false">(((((((N41+N130)+N128)+N132)+N136)+N137)+N140)+N144)</f>
        <v>15840</v>
      </c>
      <c r="O151" s="11" t="n">
        <f aca="false">(((((((O41+O130)+O128)+O132)+O136)+O137)+O140)+O144)</f>
        <v>36121.6079828777</v>
      </c>
      <c r="P151" s="11" t="n">
        <f aca="false">(((((((P41+P130)+P128)+P132)+P136)+P137)+P140)+P144)</f>
        <v>287.926957961313</v>
      </c>
      <c r="Q151" s="11" t="n">
        <f aca="false">(((((((Q41+Q130)+Q128)+Q132)+Q136)+Q137)+Q140)+Q144)</f>
        <v>45320.356712315</v>
      </c>
      <c r="R151" s="11" t="n">
        <f aca="false">(((((((R41+R130)+R128)+R132)+R136)+R137)+R140)+R144)</f>
        <v>112576.120353043</v>
      </c>
      <c r="S151" s="11" t="n">
        <f aca="false">(((((((S41+S130)+S128)+S132)+S136)+S137)+S140)+S144)</f>
        <v>703.425043098247</v>
      </c>
      <c r="T151" s="11" t="n">
        <f aca="false">(((((((T41+T130)+T128)+T132)+T136)+T137)+T140)+T144)</f>
        <v>809.68885595449</v>
      </c>
      <c r="U151" s="11" t="n">
        <f aca="false">(((((((U41+U130)+U128)+U132)+U136)+U137)+U140)+U144)</f>
        <v>148904.248242157</v>
      </c>
      <c r="V151" s="11" t="n">
        <f aca="false">(((((((V41+V130)+V128)+V132)+V136)+V137)+V140)+V144)</f>
        <v>11052.319364051</v>
      </c>
      <c r="W151" s="11" t="n">
        <f aca="false">(((((((W41+W130)+W128)+W132)+W136)+W137)+W140)+W144)</f>
        <v>1834.36335472606</v>
      </c>
      <c r="X151" s="11" t="n">
        <f aca="false">(((((((X41+X130)+X128)+X132)+X136)+X137)+X140)+X144)</f>
        <v>150099.102727603</v>
      </c>
      <c r="Y151" s="11" t="n">
        <f aca="false">(((((((Y41+Y130)+Y128)+Y132)+Y136)+Y137)+Y140)+Y144)</f>
        <v>86605.635515643</v>
      </c>
      <c r="Z151" s="11" t="n">
        <f aca="false">(((((((Z41+Z130)+Z128)+Z132)+Z136)+Z137)+Z140)+Z144)</f>
        <v>18313.9689143635</v>
      </c>
      <c r="AA151" s="11" t="n">
        <f aca="false">(((((((AA41+AA130)+AA128)+AA132)+AA136)+AA137)+AA140)+AA144)</f>
        <v>188158.333598324</v>
      </c>
      <c r="AB151" s="11" t="n">
        <f aca="false">(((((((AB41+AB130)+AB128)+AB132)+AB136)+AB137)+AB140)+AB144)</f>
        <v>220723.812593199</v>
      </c>
      <c r="AC151" s="11" t="n">
        <f aca="false">(((((((AC41+AC130)+AC128)+AC132)+AC136)+AC137)+AC140)+AC144)</f>
        <v>51334.7918486731</v>
      </c>
      <c r="AD151" s="11" t="n">
        <f aca="false">(((((((AD41+AD130)+AD128)+AD132)+AD136)+AD137)+AD140)+AD144)</f>
        <v>269045.276029969</v>
      </c>
      <c r="AE151" s="11" t="n">
        <f aca="false">(((((((AE41+AE130)+AE128)+AE132)+AE136)+AE137)+AE140)+AE144)</f>
        <v>273034.149235885</v>
      </c>
      <c r="AF151" s="11" t="n">
        <f aca="false">(((((((AF41+AF130)+AF128)+AF132)+AF136)+AF137)+AF140)+AF144)</f>
        <v>179247.410449755</v>
      </c>
      <c r="AG151" s="11" t="n">
        <f aca="false">(((((((AG41+AG130)+AG128)+AG132)+AG136)+AG137)+AG140)+AG144)</f>
        <v>276863.519610794</v>
      </c>
      <c r="AH151" s="11" t="n">
        <f aca="false">(((((((AH41+AH130)+AH128)+AH132)+AH136)+AH137)+AH140)+AH144)</f>
        <v>304819.809801724</v>
      </c>
      <c r="AI151" s="11" t="n">
        <f aca="false">(((((((AI41+AI130)+AI128)+AI132)+AI136)+AI137)+AI140)+AI144)</f>
        <v>23878.406056737</v>
      </c>
      <c r="AJ151" s="11" t="n">
        <f aca="false">(((((((AJ41+AJ130)+AJ128)+AJ132)+AJ136)+AJ137)+AJ140)+AJ144)</f>
        <v>322565.39996971</v>
      </c>
      <c r="AK151" s="11" t="n">
        <f aca="false">(((((((AK41+AK130)+AK128)+AK132)+AK136)+AK137)+AK140)+AK144)</f>
        <v>568902.959372518</v>
      </c>
      <c r="AL151" s="11" t="n">
        <f aca="false">(((((((AL41+AL130)+AL128)+AL132)+AL136)+AL137)+AL140)+AL144)</f>
        <v>516604.400127804</v>
      </c>
      <c r="AN151" s="11" t="n">
        <f aca="false">SUM(C151:N151)</f>
        <v>15840</v>
      </c>
      <c r="AO151" s="11" t="n">
        <f aca="false">SUM(O151:Z151)</f>
        <v>612628.764023793</v>
      </c>
      <c r="AP151" s="11" t="n">
        <f aca="false">SUM(AA151:AL151)</f>
        <v>3195178.26869509</v>
      </c>
    </row>
    <row r="152" customFormat="false" ht="15" hidden="false" customHeight="false" outlineLevel="0" collapsed="false">
      <c r="A152" s="0" t="s">
        <v>957</v>
      </c>
      <c r="B152" s="0" t="s">
        <v>230</v>
      </c>
      <c r="C152" s="9" t="n">
        <f aca="false">((C130+C128)+C132)</f>
        <v>0</v>
      </c>
      <c r="D152" s="9" t="n">
        <f aca="false">((D130+D128)+D132)</f>
        <v>0</v>
      </c>
      <c r="E152" s="9" t="n">
        <f aca="false">((E130+E128)+E132)</f>
        <v>0</v>
      </c>
      <c r="F152" s="9" t="n">
        <f aca="false">((F130+F128)+F132)</f>
        <v>0</v>
      </c>
      <c r="G152" s="9" t="n">
        <f aca="false">((G130+G128)+G132)</f>
        <v>0</v>
      </c>
      <c r="H152" s="9" t="n">
        <f aca="false">((H130+H128)+H132)</f>
        <v>0</v>
      </c>
      <c r="I152" s="9" t="n">
        <f aca="false">((I130+I128)+I132)</f>
        <v>0</v>
      </c>
      <c r="J152" s="9" t="n">
        <f aca="false">((J130+J128)+J132)</f>
        <v>0</v>
      </c>
      <c r="K152" s="9" t="n">
        <f aca="false">((K130+K128)+K132)</f>
        <v>0</v>
      </c>
      <c r="L152" s="9" t="n">
        <f aca="false">((L130+L128)+L132)</f>
        <v>0</v>
      </c>
      <c r="M152" s="9" t="n">
        <f aca="false">((M130+M128)+M132)</f>
        <v>0</v>
      </c>
      <c r="N152" s="9" t="n">
        <f aca="false">((N130+N128)+N132)</f>
        <v>15840</v>
      </c>
      <c r="O152" s="9" t="n">
        <f aca="false">((O130+O128)+O132)</f>
        <v>36000</v>
      </c>
      <c r="P152" s="9" t="n">
        <f aca="false">((P130+P128)+P132)</f>
        <v>0</v>
      </c>
      <c r="Q152" s="9" t="n">
        <f aca="false">((Q130+Q128)+Q132)</f>
        <v>44880</v>
      </c>
      <c r="R152" s="9" t="n">
        <f aca="false">((R130+R128)+R132)</f>
        <v>112000</v>
      </c>
      <c r="S152" s="9" t="n">
        <f aca="false">((S130+S128)+S132)</f>
        <v>0</v>
      </c>
      <c r="T152" s="9" t="n">
        <f aca="false">((T130+T128)+T132)</f>
        <v>0</v>
      </c>
      <c r="U152" s="9" t="n">
        <f aca="false">((U130+U128)+U132)</f>
        <v>148000</v>
      </c>
      <c r="V152" s="9" t="n">
        <f aca="false">((V130+V128)+V132)</f>
        <v>9450</v>
      </c>
      <c r="W152" s="9" t="n">
        <f aca="false">((W130+W128)+W132)</f>
        <v>0</v>
      </c>
      <c r="X152" s="9" t="n">
        <f aca="false">((X130+X128)+X132)</f>
        <v>148000</v>
      </c>
      <c r="Y152" s="9" t="n">
        <f aca="false">((Y130+Y128)+Y132)</f>
        <v>83760</v>
      </c>
      <c r="Z152" s="9" t="n">
        <f aca="false">((Z130+Z128)+Z132)</f>
        <v>15333.12</v>
      </c>
      <c r="AA152" s="9" t="n">
        <f aca="false">((AA130+AA128)+AA132)</f>
        <v>184000</v>
      </c>
      <c r="AB152" s="9" t="n">
        <f aca="false">((AB130+AB128)+AB132)</f>
        <v>214010</v>
      </c>
      <c r="AC152" s="9" t="n">
        <f aca="false">((AC130+AC128)+AC132)</f>
        <v>43443.84</v>
      </c>
      <c r="AD152" s="9" t="n">
        <f aca="false">((AD130+AD128)+AD132)</f>
        <v>260000</v>
      </c>
      <c r="AE152" s="9" t="n">
        <f aca="false">((AE130+AE128)+AE132)</f>
        <v>261410</v>
      </c>
      <c r="AF152" s="9" t="n">
        <f aca="false">((AF130+AF128)+AF132)</f>
        <v>166000</v>
      </c>
      <c r="AG152" s="9" t="n">
        <f aca="false">((AG130+AG128)+AG132)</f>
        <v>260000</v>
      </c>
      <c r="AH152" s="9" t="n">
        <f aca="false">((AH130+AH128)+AH132)</f>
        <v>283637.6</v>
      </c>
      <c r="AI152" s="9" t="n">
        <f aca="false">((AI130+AI128)+AI132)</f>
        <v>0</v>
      </c>
      <c r="AJ152" s="9" t="n">
        <f aca="false">((AJ130+AJ128)+AJ132)</f>
        <v>296000</v>
      </c>
      <c r="AK152" s="9" t="n">
        <f aca="false">((AK130+AK128)+AK132)</f>
        <v>536885.68</v>
      </c>
      <c r="AL152" s="9" t="n">
        <f aca="false">((AL130+AL128)+AL132)</f>
        <v>480442.46016</v>
      </c>
      <c r="AN152" s="11" t="n">
        <f aca="false">SUM(C152:N152)</f>
        <v>15840</v>
      </c>
      <c r="AO152" s="11" t="n">
        <f aca="false">SUM(O152:Z152)</f>
        <v>597423.12</v>
      </c>
      <c r="AP152" s="11" t="n">
        <f aca="false">SUM(AA152:AL152)</f>
        <v>2985829.58016</v>
      </c>
    </row>
    <row r="153" customFormat="false" ht="15" hidden="false" customHeight="false" outlineLevel="0" collapsed="false">
      <c r="A153" s="0" t="s">
        <v>43</v>
      </c>
      <c r="B153" s="0" t="s">
        <v>230</v>
      </c>
      <c r="C153" s="9" t="n">
        <f aca="false">(((((C41+C136)+C137)+C140)+C144)+((1-Assumptions!$C$33)*0))</f>
        <v>0</v>
      </c>
      <c r="D153" s="9" t="n">
        <f aca="false">(((((D41+D136)+D137)+D140)+D144)+((1-Assumptions!$C$33)*0))</f>
        <v>0</v>
      </c>
      <c r="E153" s="9" t="n">
        <f aca="false">(((((E41+E136)+E137)+E140)+E144)+((1-Assumptions!$C$33)*C152))</f>
        <v>0</v>
      </c>
      <c r="F153" s="9" t="n">
        <f aca="false">(((((F41+F136)+F137)+F140)+F144)+((1-Assumptions!$C$33)*D152))</f>
        <v>0</v>
      </c>
      <c r="G153" s="9" t="n">
        <f aca="false">(((((G41+G136)+G137)+G140)+G144)+((1-Assumptions!$C$33)*E152))</f>
        <v>0</v>
      </c>
      <c r="H153" s="9" t="n">
        <f aca="false">(((((H41+H136)+H137)+H140)+H144)+((1-Assumptions!$C$33)*F152))</f>
        <v>0</v>
      </c>
      <c r="I153" s="9" t="n">
        <f aca="false">(((((I41+I136)+I137)+I140)+I144)+((1-Assumptions!$C$33)*G152))</f>
        <v>0</v>
      </c>
      <c r="J153" s="9" t="n">
        <f aca="false">(((((J41+J136)+J137)+J140)+J144)+((1-Assumptions!$C$33)*H152))</f>
        <v>0</v>
      </c>
      <c r="K153" s="9" t="n">
        <f aca="false">(((((K41+K136)+K137)+K140)+K144)+((1-Assumptions!$C$33)*I152))</f>
        <v>0</v>
      </c>
      <c r="L153" s="9" t="n">
        <f aca="false">(((((L41+L136)+L137)+L140)+L144)+((1-Assumptions!$C$33)*J152))</f>
        <v>0</v>
      </c>
      <c r="M153" s="9" t="n">
        <f aca="false">(((((M41+M136)+M137)+M140)+M144)+((1-Assumptions!$C$33)*K152))</f>
        <v>0</v>
      </c>
      <c r="N153" s="9" t="n">
        <f aca="false">(((((N41+N136)+N137)+N140)+N144)+((1-Assumptions!$C$33)*L152))</f>
        <v>0</v>
      </c>
      <c r="O153" s="9" t="n">
        <f aca="false">(((((O41+O136)+O137)+O140)+O144)+((1-Assumptions!$C$33)*M152))</f>
        <v>121.607982877657</v>
      </c>
      <c r="P153" s="9" t="n">
        <f aca="false">(((((P41+P136)+P137)+P140)+P144)+((1-Assumptions!$C$33)*N152))</f>
        <v>15969.5269579613</v>
      </c>
      <c r="Q153" s="9" t="n">
        <f aca="false">(((((Q41+Q136)+Q137)+Q140)+Q144)+((1-Assumptions!$C$33)*O152))</f>
        <v>36080.356712315</v>
      </c>
      <c r="R153" s="9" t="n">
        <f aca="false">(((((R41+R136)+R137)+R140)+R144)+((1-Assumptions!$C$33)*P152))</f>
        <v>576.120353042797</v>
      </c>
      <c r="S153" s="9" t="n">
        <f aca="false">(((((S41+S136)+S137)+S140)+S144)+((1-Assumptions!$C$33)*Q152))</f>
        <v>45134.6250430983</v>
      </c>
      <c r="T153" s="9" t="n">
        <f aca="false">(((((T41+T136)+T137)+T140)+T144)+((1-Assumptions!$C$33)*R152))</f>
        <v>111689.688855954</v>
      </c>
      <c r="U153" s="9" t="n">
        <f aca="false">(((((U41+U136)+U137)+U140)+U144)+((1-Assumptions!$C$33)*S152))</f>
        <v>904.248242156615</v>
      </c>
      <c r="V153" s="9" t="n">
        <f aca="false">(((((V41+V136)+V137)+V140)+V144)+((1-Assumptions!$C$33)*T152))</f>
        <v>1602.31936405095</v>
      </c>
      <c r="W153" s="9" t="n">
        <f aca="false">(((((W41+W136)+W137)+W140)+W144)+((1-Assumptions!$C$33)*U152))</f>
        <v>148354.363354726</v>
      </c>
      <c r="X153" s="9" t="n">
        <f aca="false">(((((X41+X136)+X137)+X140)+X144)+((1-Assumptions!$C$33)*V152))</f>
        <v>11454.6027276029</v>
      </c>
      <c r="Y153" s="9" t="n">
        <f aca="false">(((((Y41+Y136)+Y137)+Y140)+Y144)+((1-Assumptions!$C$33)*W152))</f>
        <v>2845.63551564298</v>
      </c>
      <c r="Z153" s="9" t="n">
        <f aca="false">(((((Z41+Z136)+Z137)+Z140)+Z144)+((1-Assumptions!$C$33)*X152))</f>
        <v>149500.848914364</v>
      </c>
      <c r="AA153" s="9" t="n">
        <f aca="false">(((((AA41+AA136)+AA137)+AA140)+AA144)+((1-Assumptions!$C$33)*Y152))</f>
        <v>87080.7335983244</v>
      </c>
      <c r="AB153" s="9" t="n">
        <f aca="false">(((((AB41+AB136)+AB137)+AB140)+AB144)+((1-Assumptions!$C$33)*Z152))</f>
        <v>21893.6013931985</v>
      </c>
      <c r="AC153" s="9" t="n">
        <f aca="false">(((((AC41+AC136)+AC137)+AC140)+AC144)+((1-Assumptions!$C$33)*AA152))</f>
        <v>190050.951848673</v>
      </c>
      <c r="AD153" s="9" t="n">
        <f aca="false">(((((AD41+AD136)+AD137)+AD140)+AD144)+((1-Assumptions!$C$33)*AB152))</f>
        <v>220915.176029969</v>
      </c>
      <c r="AE153" s="9" t="n">
        <f aca="false">(((((AE41+AE136)+AE137)+AE140)+AE144)+((1-Assumptions!$C$33)*AC152))</f>
        <v>54633.5508358849</v>
      </c>
      <c r="AF153" s="9" t="n">
        <f aca="false">(((((AF41+AF136)+AF137)+AF140)+AF144)+((1-Assumptions!$C$33)*AD152))</f>
        <v>270647.410449755</v>
      </c>
      <c r="AG153" s="9" t="n">
        <f aca="false">(((((AG41+AG136)+AG137)+AG140)+AG144)+((1-Assumptions!$C$33)*AE152))</f>
        <v>275659.419610794</v>
      </c>
      <c r="AH153" s="9" t="n">
        <f aca="false">(((((AH41+AH136)+AH137)+AH140)+AH144)+((1-Assumptions!$C$33)*AF152))</f>
        <v>185522.209801724</v>
      </c>
      <c r="AI153" s="9" t="n">
        <f aca="false">(((((AI41+AI136)+AI137)+AI140)+AI144)+((1-Assumptions!$C$33)*AG152))</f>
        <v>281278.406056737</v>
      </c>
      <c r="AJ153" s="9" t="n">
        <f aca="false">(((((AJ41+AJ136)+AJ137)+AJ140)+AJ144)+((1-Assumptions!$C$33)*AH152))</f>
        <v>307366.62396971</v>
      </c>
      <c r="AK153" s="9" t="n">
        <f aca="false">(((((AK41+AK136)+AK137)+AK140)+AK144)+((1-Assumptions!$C$33)*AI152))</f>
        <v>32017.2793725178</v>
      </c>
      <c r="AL153" s="9" t="n">
        <f aca="false">(((((AL41+AL136)+AL137)+AL140)+AL144)+((1-Assumptions!$C$33)*AJ152))</f>
        <v>329201.939967804</v>
      </c>
      <c r="AN153" s="11" t="n">
        <f aca="false">SUM(C153:N153)</f>
        <v>0</v>
      </c>
      <c r="AO153" s="11" t="n">
        <f aca="false">SUM(O153:Z153)</f>
        <v>524233.944023793</v>
      </c>
      <c r="AP153" s="11" t="n">
        <f aca="false">SUM(AA153:AL153)</f>
        <v>2256267.30293509</v>
      </c>
    </row>
    <row r="154" customFormat="false" ht="15" hidden="false" customHeight="false" outlineLevel="0" collapsed="false">
      <c r="A154" s="0" t="s">
        <v>958</v>
      </c>
      <c r="B154" s="0" t="s">
        <v>230</v>
      </c>
      <c r="C154" s="9" t="n">
        <f aca="false">((0+C151)-C146)</f>
        <v>0</v>
      </c>
      <c r="D154" s="9" t="n">
        <f aca="false">((C154+D151)-D146)</f>
        <v>0</v>
      </c>
      <c r="E154" s="9" t="n">
        <f aca="false">((D154+E151)-E146)</f>
        <v>0</v>
      </c>
      <c r="F154" s="9" t="n">
        <f aca="false">((E154+F151)-F146)</f>
        <v>0</v>
      </c>
      <c r="G154" s="9" t="n">
        <f aca="false">((F154+G151)-G146)</f>
        <v>0</v>
      </c>
      <c r="H154" s="9" t="n">
        <f aca="false">((G154+H151)-H146)</f>
        <v>0</v>
      </c>
      <c r="I154" s="9" t="n">
        <f aca="false">((H154+I151)-I146)</f>
        <v>0</v>
      </c>
      <c r="J154" s="9" t="n">
        <f aca="false">((I154+J151)-J146)</f>
        <v>0</v>
      </c>
      <c r="K154" s="9" t="n">
        <f aca="false">((J154+K151)-K146)</f>
        <v>0</v>
      </c>
      <c r="L154" s="9" t="n">
        <f aca="false">((K154+L151)-L146)</f>
        <v>0</v>
      </c>
      <c r="M154" s="9" t="n">
        <f aca="false">((L154+M151)-M146)</f>
        <v>0</v>
      </c>
      <c r="N154" s="9" t="n">
        <f aca="false">((M154+N151)-N146)</f>
        <v>14520</v>
      </c>
      <c r="O154" s="9" t="n">
        <f aca="false">((N154+O151)-O146)</f>
        <v>39795.6433060248</v>
      </c>
      <c r="P154" s="9" t="n">
        <f aca="false">((O154+P151)-P146)</f>
        <v>29180.4963621206</v>
      </c>
      <c r="Q154" s="9" t="n">
        <f aca="false">((P154+Q151)-Q146)</f>
        <v>59777.6553142231</v>
      </c>
      <c r="R154" s="9" t="n">
        <f aca="false">((Q154+R151)-R146)</f>
        <v>134701.375231745</v>
      </c>
      <c r="S154" s="9" t="n">
        <f aca="false">((R154+S151)-S146)</f>
        <v>97645.0172712012</v>
      </c>
      <c r="T154" s="9" t="n">
        <f aca="false">((S154+T151)-T146)</f>
        <v>60582.1936164491</v>
      </c>
      <c r="U154" s="9" t="n">
        <f aca="false">((T154+U151)-U146)</f>
        <v>156998.960752954</v>
      </c>
      <c r="V154" s="9" t="n">
        <f aca="false">((U154+V151)-V146)</f>
        <v>114074.147296182</v>
      </c>
      <c r="W154" s="9" t="n">
        <f aca="false">((V154+W151)-W146)</f>
        <v>61778.6146456106</v>
      </c>
      <c r="X154" s="9" t="n">
        <f aca="false">((W154+X151)-X146)</f>
        <v>155062.296754395</v>
      </c>
      <c r="Y154" s="9" t="n">
        <f aca="false">((X154+Y151)-Y146)</f>
        <v>171858.170251798</v>
      </c>
      <c r="Z154" s="9" t="n">
        <f aca="false">((Y154+Z151)-Z146)</f>
        <v>120222.605787223</v>
      </c>
      <c r="AA154" s="9" t="n">
        <f aca="false">((Z154+AA151)-AA146)</f>
        <v>227742.986986376</v>
      </c>
      <c r="AB154" s="9" t="n">
        <f aca="false">((AA154+AB151)-AB146)</f>
        <v>337789.504391642</v>
      </c>
      <c r="AC154" s="9" t="n">
        <f aca="false">((AB154+AC151)-AC146)</f>
        <v>277435.996665034</v>
      </c>
      <c r="AD154" s="9" t="n">
        <f aca="false">((AC154+AD151)-AD146)</f>
        <v>410804.077751622</v>
      </c>
      <c r="AE154" s="9" t="n">
        <f aca="false">((AD154+AE151)-AE146)</f>
        <v>524105.982471985</v>
      </c>
      <c r="AF154" s="9" t="n">
        <f aca="false">((AE154+AF151)-AF146)</f>
        <v>496599.057857344</v>
      </c>
      <c r="AG154" s="9" t="n">
        <f aca="false">((AF154+AG151)-AG146)</f>
        <v>558010.17084963</v>
      </c>
      <c r="AH154" s="9" t="n">
        <f aca="false">((AG154+AH151)-AH146)</f>
        <v>627506.188276551</v>
      </c>
      <c r="AI154" s="9" t="n">
        <f aca="false">((AH154+AI151)-AI146)</f>
        <v>448844.179585646</v>
      </c>
      <c r="AJ154" s="9" t="n">
        <f aca="false">((AI154+AJ151)-AJ146)</f>
        <v>556844.786760761</v>
      </c>
      <c r="AK154" s="9" t="n">
        <f aca="false">((AJ154+AK151)-AK146)</f>
        <v>856786.394349017</v>
      </c>
      <c r="AL154" s="9" t="n">
        <f aca="false">((AK154+AL151)-AL146)</f>
        <v>1013459.16498319</v>
      </c>
      <c r="AN154" s="11" t="n">
        <f aca="false">N154</f>
        <v>14520</v>
      </c>
      <c r="AO154" s="11" t="n">
        <f aca="false">Z154</f>
        <v>120222.605787223</v>
      </c>
      <c r="AP154" s="11" t="n">
        <f aca="false">AL154</f>
        <v>1013459.16498319</v>
      </c>
    </row>
    <row r="155" customFormat="false" ht="15" hidden="false" customHeight="false" outlineLevel="0" collapsed="false">
      <c r="A155" s="0" t="s">
        <v>959</v>
      </c>
      <c r="B155" s="0" t="s">
        <v>230</v>
      </c>
      <c r="C155" s="9" t="n">
        <f aca="false">((0+((1-Assumptions!$C$33)*C152))-((1-Assumptions!$C$33)*0))</f>
        <v>0</v>
      </c>
      <c r="D155" s="9" t="n">
        <f aca="false">((C155+((1-Assumptions!$C$33)*D152))-((1-Assumptions!$C$33)*0))</f>
        <v>0</v>
      </c>
      <c r="E155" s="9" t="n">
        <f aca="false">((D155+((1-Assumptions!$C$33)*E152))-((1-Assumptions!$C$33)*C152))</f>
        <v>0</v>
      </c>
      <c r="F155" s="9" t="n">
        <f aca="false">((E155+((1-Assumptions!$C$33)*F152))-((1-Assumptions!$C$33)*D152))</f>
        <v>0</v>
      </c>
      <c r="G155" s="9" t="n">
        <f aca="false">((F155+((1-Assumptions!$C$33)*G152))-((1-Assumptions!$C$33)*E152))</f>
        <v>0</v>
      </c>
      <c r="H155" s="9" t="n">
        <f aca="false">((G155+((1-Assumptions!$C$33)*H152))-((1-Assumptions!$C$33)*F152))</f>
        <v>0</v>
      </c>
      <c r="I155" s="9" t="n">
        <f aca="false">((H155+((1-Assumptions!$C$33)*I152))-((1-Assumptions!$C$33)*G152))</f>
        <v>0</v>
      </c>
      <c r="J155" s="9" t="n">
        <f aca="false">((I155+((1-Assumptions!$C$33)*J152))-((1-Assumptions!$C$33)*H152))</f>
        <v>0</v>
      </c>
      <c r="K155" s="9" t="n">
        <f aca="false">((J155+((1-Assumptions!$C$33)*K152))-((1-Assumptions!$C$33)*I152))</f>
        <v>0</v>
      </c>
      <c r="L155" s="9" t="n">
        <f aca="false">((K155+((1-Assumptions!$C$33)*L152))-((1-Assumptions!$C$33)*J152))</f>
        <v>0</v>
      </c>
      <c r="M155" s="9" t="n">
        <f aca="false">((L155+((1-Assumptions!$C$33)*M152))-((1-Assumptions!$C$33)*K152))</f>
        <v>0</v>
      </c>
      <c r="N155" s="9" t="n">
        <f aca="false">((M155+((1-Assumptions!$C$33)*N152))-((1-Assumptions!$C$33)*L152))</f>
        <v>15681.6</v>
      </c>
      <c r="O155" s="9" t="n">
        <f aca="false">((N155+((1-Assumptions!$C$33)*O152))-((1-Assumptions!$C$33)*M152))</f>
        <v>51321.6</v>
      </c>
      <c r="P155" s="9" t="n">
        <f aca="false">((O155+((1-Assumptions!$C$33)*P152))-((1-Assumptions!$C$33)*N152))</f>
        <v>35640</v>
      </c>
      <c r="Q155" s="9" t="n">
        <f aca="false">((P155+((1-Assumptions!$C$33)*Q152))-((1-Assumptions!$C$33)*O152))</f>
        <v>44431.2</v>
      </c>
      <c r="R155" s="9" t="n">
        <f aca="false">((Q155+((1-Assumptions!$C$33)*R152))-((1-Assumptions!$C$33)*P152))</f>
        <v>155311.2</v>
      </c>
      <c r="S155" s="9" t="n">
        <f aca="false">((R155+((1-Assumptions!$C$33)*S152))-((1-Assumptions!$C$33)*Q152))</f>
        <v>110880</v>
      </c>
      <c r="T155" s="9" t="n">
        <f aca="false">((S155+((1-Assumptions!$C$33)*T152))-((1-Assumptions!$C$33)*R152))</f>
        <v>0</v>
      </c>
      <c r="U155" s="9" t="n">
        <f aca="false">((T155+((1-Assumptions!$C$33)*U152))-((1-Assumptions!$C$33)*S152))</f>
        <v>146520</v>
      </c>
      <c r="V155" s="9" t="n">
        <f aca="false">((U155+((1-Assumptions!$C$33)*V152))-((1-Assumptions!$C$33)*T152))</f>
        <v>155875.5</v>
      </c>
      <c r="W155" s="9" t="n">
        <f aca="false">((V155+((1-Assumptions!$C$33)*W152))-((1-Assumptions!$C$33)*U152))</f>
        <v>9355.5</v>
      </c>
      <c r="X155" s="9" t="n">
        <f aca="false">((W155+((1-Assumptions!$C$33)*X152))-((1-Assumptions!$C$33)*V152))</f>
        <v>146520</v>
      </c>
      <c r="Y155" s="9" t="n">
        <f aca="false">((X155+((1-Assumptions!$C$33)*Y152))-((1-Assumptions!$C$33)*W152))</f>
        <v>229442.4</v>
      </c>
      <c r="Z155" s="9" t="n">
        <f aca="false">((Y155+((1-Assumptions!$C$33)*Z152))-((1-Assumptions!$C$33)*X152))</f>
        <v>98102.1888</v>
      </c>
      <c r="AA155" s="9" t="n">
        <f aca="false">((Z155+((1-Assumptions!$C$33)*AA152))-((1-Assumptions!$C$33)*Y152))</f>
        <v>197339.7888</v>
      </c>
      <c r="AB155" s="9" t="n">
        <f aca="false">((AA155+((1-Assumptions!$C$33)*AB152))-((1-Assumptions!$C$33)*Z152))</f>
        <v>394029.9</v>
      </c>
      <c r="AC155" s="9" t="n">
        <f aca="false">((AB155+((1-Assumptions!$C$33)*AC152))-((1-Assumptions!$C$33)*AA152))</f>
        <v>254879.3016</v>
      </c>
      <c r="AD155" s="9" t="n">
        <f aca="false">((AC155+((1-Assumptions!$C$33)*AD152))-((1-Assumptions!$C$33)*AB152))</f>
        <v>300409.4016</v>
      </c>
      <c r="AE155" s="9" t="n">
        <f aca="false">((AD155+((1-Assumptions!$C$33)*AE152))-((1-Assumptions!$C$33)*AC152))</f>
        <v>516195.9</v>
      </c>
      <c r="AF155" s="9" t="n">
        <f aca="false">((AE155+((1-Assumptions!$C$33)*AF152))-((1-Assumptions!$C$33)*AD152))</f>
        <v>423135.9</v>
      </c>
      <c r="AG155" s="9" t="n">
        <f aca="false">((AF155+((1-Assumptions!$C$33)*AG152))-((1-Assumptions!$C$33)*AE152))</f>
        <v>421740</v>
      </c>
      <c r="AH155" s="9" t="n">
        <f aca="false">((AG155+((1-Assumptions!$C$33)*AH152))-((1-Assumptions!$C$33)*AF152))</f>
        <v>538201.224</v>
      </c>
      <c r="AI155" s="9" t="n">
        <f aca="false">((AH155+((1-Assumptions!$C$33)*AI152))-((1-Assumptions!$C$33)*AG152))</f>
        <v>280801.224</v>
      </c>
      <c r="AJ155" s="9" t="n">
        <f aca="false">((AI155+((1-Assumptions!$C$33)*AJ152))-((1-Assumptions!$C$33)*AH152))</f>
        <v>293040</v>
      </c>
      <c r="AK155" s="9" t="n">
        <f aca="false">((AJ155+((1-Assumptions!$C$33)*AK152))-((1-Assumptions!$C$33)*AI152))</f>
        <v>824556.8232</v>
      </c>
      <c r="AL155" s="9" t="n">
        <f aca="false">((AK155+((1-Assumptions!$C$33)*AL152))-((1-Assumptions!$C$33)*AJ152))</f>
        <v>1007154.8587584</v>
      </c>
      <c r="AN155" s="11" t="n">
        <f aca="false">N155</f>
        <v>15681.6</v>
      </c>
      <c r="AO155" s="11" t="n">
        <f aca="false">Z155</f>
        <v>98102.1888</v>
      </c>
      <c r="AP155" s="11" t="n">
        <f aca="false">AL155</f>
        <v>1007154.8587584</v>
      </c>
    </row>
    <row r="156" customFormat="false" ht="15" hidden="false" customHeight="false" outlineLevel="0" collapsed="false">
      <c r="A156" s="21" t="s">
        <v>29</v>
      </c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</row>
    <row r="157" customFormat="false" ht="15" hidden="false" customHeight="false" outlineLevel="0" collapsed="false">
      <c r="A157" s="0" t="s">
        <v>960</v>
      </c>
      <c r="B157" s="0" t="s">
        <v>500</v>
      </c>
      <c r="C157" s="9" t="n">
        <f aca="false">((C29+C39)+C126)</f>
        <v>234</v>
      </c>
      <c r="D157" s="9" t="n">
        <f aca="false">((D29+D39)+D126)</f>
        <v>415.8</v>
      </c>
      <c r="E157" s="9" t="n">
        <f aca="false">((E29+E39)+E126)</f>
        <v>547.9272</v>
      </c>
      <c r="F157" s="9" t="n">
        <f aca="false">((F29+F39)+F126)</f>
        <v>653.68224</v>
      </c>
      <c r="G157" s="9" t="n">
        <f aca="false">((G29+G39)+G126)</f>
        <v>921.58788288</v>
      </c>
      <c r="H157" s="9" t="n">
        <f aca="false">((H29+H39)+H126)</f>
        <v>956.6376389184</v>
      </c>
      <c r="I157" s="9" t="n">
        <f aca="false">((I29+I39)+I126)</f>
        <v>1045.77453039245</v>
      </c>
      <c r="J157" s="9" t="n">
        <f aca="false">((J29+J39)+J126)</f>
        <v>2253.52710133487</v>
      </c>
      <c r="K157" s="9" t="n">
        <f aca="false">((K29+K39)+K126)</f>
        <v>2629.71062532268</v>
      </c>
      <c r="L157" s="9" t="n">
        <f aca="false">((L29+L39)+L126)</f>
        <v>2778.86218416649</v>
      </c>
      <c r="M157" s="9" t="n">
        <f aca="false">((M29+M39)+M126)</f>
        <v>2655.71604890645</v>
      </c>
      <c r="N157" s="9" t="n">
        <f aca="false">((N29+N39)+N126)</f>
        <v>3041.21574138794</v>
      </c>
      <c r="O157" s="9" t="n">
        <f aca="false">((O29+O39)+O126)</f>
        <v>5482.34960104743</v>
      </c>
      <c r="P157" s="9" t="n">
        <f aca="false">((P29+P39)+P126)</f>
        <v>6349.41951510284</v>
      </c>
      <c r="Q157" s="9" t="n">
        <f aca="false">((Q29+Q39)+Q126)</f>
        <v>9140.92311691539</v>
      </c>
      <c r="R157" s="9" t="n">
        <f aca="false">((R29+R39)+R126)</f>
        <v>11259.2061198239</v>
      </c>
      <c r="S157" s="9" t="n">
        <f aca="false">((S29+S39)+S126)</f>
        <v>11888.657422142</v>
      </c>
      <c r="T157" s="9" t="n">
        <f aca="false">((T29+T39)+T126)</f>
        <v>12311.321709807</v>
      </c>
      <c r="U157" s="9" t="n">
        <f aca="false">((U29+U39)+U126)</f>
        <v>14164.4559916758</v>
      </c>
      <c r="V157" s="9" t="n">
        <f aca="false">((V29+V39)+V126)</f>
        <v>16876.1902436989</v>
      </c>
      <c r="W157" s="9" t="n">
        <f aca="false">((W29+W39)+W126)</f>
        <v>19509.3788978449</v>
      </c>
      <c r="X157" s="9" t="n">
        <f aca="false">((X29+X39)+X126)</f>
        <v>20763.0317586701</v>
      </c>
      <c r="Y157" s="9" t="n">
        <f aca="false">((Y29+Y39)+Y126)</f>
        <v>23377.797660095</v>
      </c>
      <c r="Z157" s="9" t="n">
        <f aca="false">((Z29+Z39)+Z126)</f>
        <v>23495.0146141107</v>
      </c>
      <c r="AA157" s="9" t="n">
        <f aca="false">((AA29+AA39)+AA126)</f>
        <v>25632.7305705319</v>
      </c>
      <c r="AB157" s="9" t="n">
        <f aca="false">((AB29+AB39)+AB126)</f>
        <v>31769.3381643279</v>
      </c>
      <c r="AC157" s="9" t="n">
        <f aca="false">((AC29+AC39)+AC126)</f>
        <v>32338.0987044291</v>
      </c>
      <c r="AD157" s="9" t="n">
        <f aca="false">((AD29+AD39)+AD126)</f>
        <v>33896.467961311</v>
      </c>
      <c r="AE157" s="9" t="n">
        <f aca="false">((AE29+AE39)+AE126)</f>
        <v>39294.3136580742</v>
      </c>
      <c r="AF157" s="9" t="n">
        <f aca="false">((AF29+AF39)+AF126)</f>
        <v>42207.0964644701</v>
      </c>
      <c r="AG157" s="9" t="n">
        <f aca="false">((AG29+AG39)+AG126)</f>
        <v>43428.5947077608</v>
      </c>
      <c r="AH157" s="9" t="n">
        <f aca="false">((AH29+AH39)+AH126)</f>
        <v>51870.5629168581</v>
      </c>
      <c r="AI157" s="9" t="n">
        <f aca="false">((AI29+AI39)+AI126)</f>
        <v>54948.5009295417</v>
      </c>
      <c r="AJ157" s="9" t="n">
        <f aca="false">((AJ29+AJ39)+AJ126)</f>
        <v>56031.6938969661</v>
      </c>
      <c r="AK157" s="9" t="n">
        <f aca="false">((AK29+AK39)+AK126)</f>
        <v>66013.618956784</v>
      </c>
      <c r="AL157" s="9" t="n">
        <f aca="false">((AL29+AL39)+AL126)</f>
        <v>74697.5499028581</v>
      </c>
      <c r="AN157" s="11" t="n">
        <f aca="false">N157</f>
        <v>3041.21574138794</v>
      </c>
      <c r="AO157" s="11" t="n">
        <f aca="false">Z157</f>
        <v>23495.0146141107</v>
      </c>
      <c r="AP157" s="11" t="n">
        <f aca="false">AL157</f>
        <v>74697.5499028581</v>
      </c>
    </row>
    <row r="158" customFormat="false" ht="15" hidden="false" customHeight="false" outlineLevel="0" collapsed="false">
      <c r="A158" s="0" t="s">
        <v>961</v>
      </c>
      <c r="B158" s="0" t="s">
        <v>230</v>
      </c>
      <c r="C158" s="9" t="n">
        <f aca="false">(C157*Assumptions!$C$58)</f>
        <v>7.02</v>
      </c>
      <c r="D158" s="9" t="n">
        <f aca="false">(D157*Assumptions!$C$58)</f>
        <v>12.474</v>
      </c>
      <c r="E158" s="9" t="n">
        <f aca="false">(E157*Assumptions!$C$58)</f>
        <v>16.437816</v>
      </c>
      <c r="F158" s="9" t="n">
        <f aca="false">(F157*Assumptions!$C$58)</f>
        <v>19.6104672</v>
      </c>
      <c r="G158" s="9" t="n">
        <f aca="false">(G157*Assumptions!$C$58)</f>
        <v>27.6476364864</v>
      </c>
      <c r="H158" s="9" t="n">
        <f aca="false">(H157*Assumptions!$C$58)</f>
        <v>28.699129167552</v>
      </c>
      <c r="I158" s="9" t="n">
        <f aca="false">(I157*Assumptions!$C$58)</f>
        <v>31.3732359117734</v>
      </c>
      <c r="J158" s="9" t="n">
        <f aca="false">(J157*Assumptions!$C$58)</f>
        <v>67.605813040046</v>
      </c>
      <c r="K158" s="9" t="n">
        <f aca="false">(K157*Assumptions!$C$58)</f>
        <v>78.8913187596803</v>
      </c>
      <c r="L158" s="9" t="n">
        <f aca="false">(L157*Assumptions!$C$58)</f>
        <v>83.3658655249946</v>
      </c>
      <c r="M158" s="9" t="n">
        <f aca="false">(M157*Assumptions!$C$58)</f>
        <v>79.6714814671935</v>
      </c>
      <c r="N158" s="9" t="n">
        <f aca="false">(N157*Assumptions!$C$58)</f>
        <v>91.2364722416382</v>
      </c>
      <c r="O158" s="9" t="n">
        <f aca="false">(O157*Assumptions!$C$58)</f>
        <v>164.470488031423</v>
      </c>
      <c r="P158" s="9" t="n">
        <f aca="false">(P157*Assumptions!$C$58)</f>
        <v>190.482585453085</v>
      </c>
      <c r="Q158" s="9" t="n">
        <f aca="false">(Q157*Assumptions!$C$58)</f>
        <v>274.227693507462</v>
      </c>
      <c r="R158" s="9" t="n">
        <f aca="false">(R157*Assumptions!$C$58)</f>
        <v>337.776183594716</v>
      </c>
      <c r="S158" s="9" t="n">
        <f aca="false">(S157*Assumptions!$C$58)</f>
        <v>356.659722664259</v>
      </c>
      <c r="T158" s="9" t="n">
        <f aca="false">(T157*Assumptions!$C$58)</f>
        <v>369.33965129421</v>
      </c>
      <c r="U158" s="9" t="n">
        <f aca="false">(U157*Assumptions!$C$58)</f>
        <v>424.933679750273</v>
      </c>
      <c r="V158" s="9" t="n">
        <f aca="false">(V157*Assumptions!$C$58)</f>
        <v>506.285707310967</v>
      </c>
      <c r="W158" s="9" t="n">
        <f aca="false">(W157*Assumptions!$C$58)</f>
        <v>585.281366935346</v>
      </c>
      <c r="X158" s="9" t="n">
        <f aca="false">(X157*Assumptions!$C$58)</f>
        <v>622.890952760103</v>
      </c>
      <c r="Y158" s="9" t="n">
        <f aca="false">(Y157*Assumptions!$C$58)</f>
        <v>701.333929802851</v>
      </c>
      <c r="Z158" s="9" t="n">
        <f aca="false">(Z157*Assumptions!$C$58)</f>
        <v>704.85043842332</v>
      </c>
      <c r="AA158" s="9" t="n">
        <f aca="false">(AA157*Assumptions!$C$58)</f>
        <v>768.981917115958</v>
      </c>
      <c r="AB158" s="9" t="n">
        <f aca="false">(AB157*Assumptions!$C$58)</f>
        <v>953.080144929836</v>
      </c>
      <c r="AC158" s="9" t="n">
        <f aca="false">(AC157*Assumptions!$C$58)</f>
        <v>970.142961132873</v>
      </c>
      <c r="AD158" s="9" t="n">
        <f aca="false">(AD157*Assumptions!$C$58)</f>
        <v>1016.89403883933</v>
      </c>
      <c r="AE158" s="9" t="n">
        <f aca="false">(AE157*Assumptions!$C$58)</f>
        <v>1178.82940974223</v>
      </c>
      <c r="AF158" s="9" t="n">
        <f aca="false">(AF157*Assumptions!$C$58)</f>
        <v>1266.2128939341</v>
      </c>
      <c r="AG158" s="9" t="n">
        <f aca="false">(AG157*Assumptions!$C$58)</f>
        <v>1302.85784123282</v>
      </c>
      <c r="AH158" s="9" t="n">
        <f aca="false">(AH157*Assumptions!$C$58)</f>
        <v>1556.11688750574</v>
      </c>
      <c r="AI158" s="9" t="n">
        <f aca="false">(AI157*Assumptions!$C$58)</f>
        <v>1648.45502788625</v>
      </c>
      <c r="AJ158" s="9" t="n">
        <f aca="false">(AJ157*Assumptions!$C$58)</f>
        <v>1680.95081690898</v>
      </c>
      <c r="AK158" s="9" t="n">
        <f aca="false">(AK157*Assumptions!$C$58)</f>
        <v>1980.40856870352</v>
      </c>
      <c r="AL158" s="9" t="n">
        <f aca="false">(AL157*Assumptions!$C$58)</f>
        <v>2240.92649708574</v>
      </c>
      <c r="AN158" s="11" t="n">
        <f aca="false">SUM(C158:N158)</f>
        <v>544.033235799278</v>
      </c>
      <c r="AO158" s="11" t="n">
        <f aca="false">SUM(O158:Z158)</f>
        <v>5238.53239952802</v>
      </c>
      <c r="AP158" s="11" t="n">
        <f aca="false">SUM(AA158:AL158)</f>
        <v>16563.8570050174</v>
      </c>
    </row>
    <row r="159" customFormat="false" ht="15" hidden="false" customHeight="false" outlineLevel="0" collapsed="false">
      <c r="A159" s="0" t="s">
        <v>962</v>
      </c>
      <c r="B159" s="0" t="s">
        <v>230</v>
      </c>
      <c r="C159" s="9" t="n">
        <f aca="false">(((C157*Assumptions!$C$59)*Assumptions!$C$60)*Assumptions!$C$61)</f>
        <v>3.9312</v>
      </c>
      <c r="D159" s="9" t="n">
        <f aca="false">(((D157*Assumptions!$C$59)*Assumptions!$C$60)*Assumptions!$C$61)</f>
        <v>6.98544</v>
      </c>
      <c r="E159" s="9" t="n">
        <f aca="false">(((E157*Assumptions!$C$59)*Assumptions!$C$60)*Assumptions!$C$61)</f>
        <v>9.20517696</v>
      </c>
      <c r="F159" s="9" t="n">
        <f aca="false">(((F157*Assumptions!$C$59)*Assumptions!$C$60)*Assumptions!$C$61)</f>
        <v>10.981861632</v>
      </c>
      <c r="G159" s="9" t="n">
        <f aca="false">(((G157*Assumptions!$C$59)*Assumptions!$C$60)*Assumptions!$C$61)</f>
        <v>15.482676432384</v>
      </c>
      <c r="H159" s="9" t="n">
        <f aca="false">(((H157*Assumptions!$C$59)*Assumptions!$C$60)*Assumptions!$C$61)</f>
        <v>16.0715123338291</v>
      </c>
      <c r="I159" s="9" t="n">
        <f aca="false">(((I157*Assumptions!$C$59)*Assumptions!$C$60)*Assumptions!$C$61)</f>
        <v>17.5690121105931</v>
      </c>
      <c r="J159" s="9" t="n">
        <f aca="false">(((J157*Assumptions!$C$59)*Assumptions!$C$60)*Assumptions!$C$61)</f>
        <v>37.8592553024258</v>
      </c>
      <c r="K159" s="9" t="n">
        <f aca="false">(((K157*Assumptions!$C$59)*Assumptions!$C$60)*Assumptions!$C$61)</f>
        <v>44.1791385054209</v>
      </c>
      <c r="L159" s="9" t="n">
        <f aca="false">(((L157*Assumptions!$C$59)*Assumptions!$C$60)*Assumptions!$C$61)</f>
        <v>46.684884693997</v>
      </c>
      <c r="M159" s="9" t="n">
        <f aca="false">(((M157*Assumptions!$C$59)*Assumptions!$C$60)*Assumptions!$C$61)</f>
        <v>44.6160296216284</v>
      </c>
      <c r="N159" s="9" t="n">
        <f aca="false">(((N157*Assumptions!$C$59)*Assumptions!$C$60)*Assumptions!$C$61)</f>
        <v>51.0924244553174</v>
      </c>
      <c r="O159" s="9" t="n">
        <f aca="false">(((O157*Assumptions!$C$59)*Assumptions!$C$60)*Assumptions!$C$61)</f>
        <v>92.1034732975968</v>
      </c>
      <c r="P159" s="9" t="n">
        <f aca="false">(((P157*Assumptions!$C$59)*Assumptions!$C$60)*Assumptions!$C$61)</f>
        <v>106.670247853728</v>
      </c>
      <c r="Q159" s="9" t="n">
        <f aca="false">(((Q157*Assumptions!$C$59)*Assumptions!$C$60)*Assumptions!$C$61)</f>
        <v>153.567508364179</v>
      </c>
      <c r="R159" s="9" t="n">
        <f aca="false">(((R157*Assumptions!$C$59)*Assumptions!$C$60)*Assumptions!$C$61)</f>
        <v>189.154662813041</v>
      </c>
      <c r="S159" s="9" t="n">
        <f aca="false">(((S157*Assumptions!$C$59)*Assumptions!$C$60)*Assumptions!$C$61)</f>
        <v>199.729444691985</v>
      </c>
      <c r="T159" s="9" t="n">
        <f aca="false">(((T157*Assumptions!$C$59)*Assumptions!$C$60)*Assumptions!$C$61)</f>
        <v>206.830204724758</v>
      </c>
      <c r="U159" s="9" t="n">
        <f aca="false">(((U157*Assumptions!$C$59)*Assumptions!$C$60)*Assumptions!$C$61)</f>
        <v>237.962860660153</v>
      </c>
      <c r="V159" s="9" t="n">
        <f aca="false">(((V157*Assumptions!$C$59)*Assumptions!$C$60)*Assumptions!$C$61)</f>
        <v>283.519996094142</v>
      </c>
      <c r="W159" s="9" t="n">
        <f aca="false">(((W157*Assumptions!$C$59)*Assumptions!$C$60)*Assumptions!$C$61)</f>
        <v>327.757565483794</v>
      </c>
      <c r="X159" s="9" t="n">
        <f aca="false">(((X157*Assumptions!$C$59)*Assumptions!$C$60)*Assumptions!$C$61)</f>
        <v>348.818933545658</v>
      </c>
      <c r="Y159" s="9" t="n">
        <f aca="false">(((Y157*Assumptions!$C$59)*Assumptions!$C$60)*Assumptions!$C$61)</f>
        <v>392.747000689597</v>
      </c>
      <c r="Z159" s="9" t="n">
        <f aca="false">(((Z157*Assumptions!$C$59)*Assumptions!$C$60)*Assumptions!$C$61)</f>
        <v>394.716245517059</v>
      </c>
      <c r="AA159" s="9" t="n">
        <f aca="false">(((AA157*Assumptions!$C$59)*Assumptions!$C$60)*Assumptions!$C$61)</f>
        <v>430.629873584936</v>
      </c>
      <c r="AB159" s="9" t="n">
        <f aca="false">(((AB157*Assumptions!$C$59)*Assumptions!$C$60)*Assumptions!$C$61)</f>
        <v>533.724881160708</v>
      </c>
      <c r="AC159" s="9" t="n">
        <f aca="false">(((AC157*Assumptions!$C$59)*Assumptions!$C$60)*Assumptions!$C$61)</f>
        <v>543.280058234409</v>
      </c>
      <c r="AD159" s="9" t="n">
        <f aca="false">(((AD157*Assumptions!$C$59)*Assumptions!$C$60)*Assumptions!$C$61)</f>
        <v>569.460661750026</v>
      </c>
      <c r="AE159" s="9" t="n">
        <f aca="false">(((AE157*Assumptions!$C$59)*Assumptions!$C$60)*Assumptions!$C$61)</f>
        <v>660.144469455647</v>
      </c>
      <c r="AF159" s="9" t="n">
        <f aca="false">(((AF157*Assumptions!$C$59)*Assumptions!$C$60)*Assumptions!$C$61)</f>
        <v>709.079220603099</v>
      </c>
      <c r="AG159" s="9" t="n">
        <f aca="false">(((AG157*Assumptions!$C$59)*Assumptions!$C$60)*Assumptions!$C$61)</f>
        <v>729.600391090381</v>
      </c>
      <c r="AH159" s="9" t="n">
        <f aca="false">(((AH157*Assumptions!$C$59)*Assumptions!$C$60)*Assumptions!$C$61)</f>
        <v>871.425457003217</v>
      </c>
      <c r="AI159" s="9" t="n">
        <f aca="false">(((AI157*Assumptions!$C$59)*Assumptions!$C$60)*Assumptions!$C$61)</f>
        <v>923.134815616301</v>
      </c>
      <c r="AJ159" s="9" t="n">
        <f aca="false">(((AJ157*Assumptions!$C$59)*Assumptions!$C$60)*Assumptions!$C$61)</f>
        <v>941.332457469031</v>
      </c>
      <c r="AK159" s="9" t="n">
        <f aca="false">(((AK157*Assumptions!$C$59)*Assumptions!$C$60)*Assumptions!$C$61)</f>
        <v>1109.02879847397</v>
      </c>
      <c r="AL159" s="9" t="n">
        <f aca="false">(((AL157*Assumptions!$C$59)*Assumptions!$C$60)*Assumptions!$C$61)</f>
        <v>1254.91883836802</v>
      </c>
      <c r="AN159" s="11" t="n">
        <f aca="false">SUM(C159:N159)</f>
        <v>304.658612047596</v>
      </c>
      <c r="AO159" s="11" t="n">
        <f aca="false">SUM(O159:Z159)</f>
        <v>2933.57814373569</v>
      </c>
      <c r="AP159" s="11" t="n">
        <f aca="false">SUM(AA159:AL159)</f>
        <v>9275.75992280974</v>
      </c>
    </row>
    <row r="160" customFormat="false" ht="15" hidden="false" customHeight="false" outlineLevel="0" collapsed="false">
      <c r="A160" s="0" t="s">
        <v>963</v>
      </c>
      <c r="B160" s="0" t="s">
        <v>230</v>
      </c>
      <c r="C160" s="9" t="n">
        <f aca="false">(((C157*Assumptions!$C$62)*Assumptions!$C$63)*(1-Assumptions!$C$64))</f>
        <v>5.265</v>
      </c>
      <c r="D160" s="9" t="n">
        <f aca="false">(((D157*Assumptions!$C$62)*Assumptions!$C$63)*(1-Assumptions!$C$64))</f>
        <v>9.3555</v>
      </c>
      <c r="E160" s="9" t="n">
        <f aca="false">(((E157*Assumptions!$C$62)*Assumptions!$C$63)*(1-Assumptions!$C$64))</f>
        <v>12.328362</v>
      </c>
      <c r="F160" s="9" t="n">
        <f aca="false">(((F157*Assumptions!$C$62)*Assumptions!$C$63)*(1-Assumptions!$C$64))</f>
        <v>14.7078504</v>
      </c>
      <c r="G160" s="9" t="n">
        <f aca="false">(((G157*Assumptions!$C$62)*Assumptions!$C$63)*(1-Assumptions!$C$64))</f>
        <v>20.7357273648</v>
      </c>
      <c r="H160" s="9" t="n">
        <f aca="false">(((H157*Assumptions!$C$62)*Assumptions!$C$63)*(1-Assumptions!$C$64))</f>
        <v>21.524346875664</v>
      </c>
      <c r="I160" s="9" t="n">
        <f aca="false">(((I157*Assumptions!$C$62)*Assumptions!$C$63)*(1-Assumptions!$C$64))</f>
        <v>23.5299269338301</v>
      </c>
      <c r="J160" s="9" t="n">
        <f aca="false">(((J157*Assumptions!$C$62)*Assumptions!$C$63)*(1-Assumptions!$C$64))</f>
        <v>50.7043597800345</v>
      </c>
      <c r="K160" s="9" t="n">
        <f aca="false">(((K157*Assumptions!$C$62)*Assumptions!$C$63)*(1-Assumptions!$C$64))</f>
        <v>59.1684890697602</v>
      </c>
      <c r="L160" s="9" t="n">
        <f aca="false">(((L157*Assumptions!$C$62)*Assumptions!$C$63)*(1-Assumptions!$C$64))</f>
        <v>62.524399143746</v>
      </c>
      <c r="M160" s="9" t="n">
        <f aca="false">(((M157*Assumptions!$C$62)*Assumptions!$C$63)*(1-Assumptions!$C$64))</f>
        <v>59.7536111003952</v>
      </c>
      <c r="N160" s="9" t="n">
        <f aca="false">(((N157*Assumptions!$C$62)*Assumptions!$C$63)*(1-Assumptions!$C$64))</f>
        <v>68.4273541812287</v>
      </c>
      <c r="O160" s="9" t="n">
        <f aca="false">(((O157*Assumptions!$C$62)*Assumptions!$C$63)*(1-Assumptions!$C$64))</f>
        <v>123.352866023567</v>
      </c>
      <c r="P160" s="9" t="n">
        <f aca="false">(((P157*Assumptions!$C$62)*Assumptions!$C$63)*(1-Assumptions!$C$64))</f>
        <v>142.861939089814</v>
      </c>
      <c r="Q160" s="9" t="n">
        <f aca="false">(((Q157*Assumptions!$C$62)*Assumptions!$C$63)*(1-Assumptions!$C$64))</f>
        <v>205.670770130596</v>
      </c>
      <c r="R160" s="9" t="n">
        <f aca="false">(((R157*Assumptions!$C$62)*Assumptions!$C$63)*(1-Assumptions!$C$64))</f>
        <v>253.332137696037</v>
      </c>
      <c r="S160" s="9" t="n">
        <f aca="false">(((S157*Assumptions!$C$62)*Assumptions!$C$63)*(1-Assumptions!$C$64))</f>
        <v>267.494791998194</v>
      </c>
      <c r="T160" s="9" t="n">
        <f aca="false">(((T157*Assumptions!$C$62)*Assumptions!$C$63)*(1-Assumptions!$C$64))</f>
        <v>277.004738470658</v>
      </c>
      <c r="U160" s="9" t="n">
        <f aca="false">(((U157*Assumptions!$C$62)*Assumptions!$C$63)*(1-Assumptions!$C$64))</f>
        <v>318.700259812704</v>
      </c>
      <c r="V160" s="9" t="n">
        <f aca="false">(((V157*Assumptions!$C$62)*Assumptions!$C$63)*(1-Assumptions!$C$64))</f>
        <v>379.714280483225</v>
      </c>
      <c r="W160" s="9" t="n">
        <f aca="false">(((W157*Assumptions!$C$62)*Assumptions!$C$63)*(1-Assumptions!$C$64))</f>
        <v>438.96102520151</v>
      </c>
      <c r="X160" s="9" t="n">
        <f aca="false">(((X157*Assumptions!$C$62)*Assumptions!$C$63)*(1-Assumptions!$C$64))</f>
        <v>467.168214570077</v>
      </c>
      <c r="Y160" s="9" t="n">
        <f aca="false">(((Y157*Assumptions!$C$62)*Assumptions!$C$63)*(1-Assumptions!$C$64))</f>
        <v>526.000447352138</v>
      </c>
      <c r="Z160" s="9" t="n">
        <f aca="false">(((Z157*Assumptions!$C$62)*Assumptions!$C$63)*(1-Assumptions!$C$64))</f>
        <v>528.63782881749</v>
      </c>
      <c r="AA160" s="9" t="n">
        <f aca="false">(((AA157*Assumptions!$C$62)*Assumptions!$C$63)*(1-Assumptions!$C$64))</f>
        <v>576.736437836968</v>
      </c>
      <c r="AB160" s="9" t="n">
        <f aca="false">(((AB157*Assumptions!$C$62)*Assumptions!$C$63)*(1-Assumptions!$C$64))</f>
        <v>714.810108697377</v>
      </c>
      <c r="AC160" s="9" t="n">
        <f aca="false">(((AC157*Assumptions!$C$62)*Assumptions!$C$63)*(1-Assumptions!$C$64))</f>
        <v>727.607220849655</v>
      </c>
      <c r="AD160" s="9" t="n">
        <f aca="false">(((AD157*Assumptions!$C$62)*Assumptions!$C$63)*(1-Assumptions!$C$64))</f>
        <v>762.670529129498</v>
      </c>
      <c r="AE160" s="9" t="n">
        <f aca="false">(((AE157*Assumptions!$C$62)*Assumptions!$C$63)*(1-Assumptions!$C$64))</f>
        <v>884.12205730667</v>
      </c>
      <c r="AF160" s="9" t="n">
        <f aca="false">(((AF157*Assumptions!$C$62)*Assumptions!$C$63)*(1-Assumptions!$C$64))</f>
        <v>949.659670450578</v>
      </c>
      <c r="AG160" s="9" t="n">
        <f aca="false">(((AG157*Assumptions!$C$62)*Assumptions!$C$63)*(1-Assumptions!$C$64))</f>
        <v>977.143380924617</v>
      </c>
      <c r="AH160" s="9" t="n">
        <f aca="false">(((AH157*Assumptions!$C$62)*Assumptions!$C$63)*(1-Assumptions!$C$64))</f>
        <v>1167.08766562931</v>
      </c>
      <c r="AI160" s="9" t="n">
        <f aca="false">(((AI157*Assumptions!$C$62)*Assumptions!$C$63)*(1-Assumptions!$C$64))</f>
        <v>1236.34127091469</v>
      </c>
      <c r="AJ160" s="9" t="n">
        <f aca="false">(((AJ157*Assumptions!$C$62)*Assumptions!$C$63)*(1-Assumptions!$C$64))</f>
        <v>1260.71311268174</v>
      </c>
      <c r="AK160" s="9" t="n">
        <f aca="false">(((AK157*Assumptions!$C$62)*Assumptions!$C$63)*(1-Assumptions!$C$64))</f>
        <v>1485.30642652764</v>
      </c>
      <c r="AL160" s="9" t="n">
        <f aca="false">(((AL157*Assumptions!$C$62)*Assumptions!$C$63)*(1-Assumptions!$C$64))</f>
        <v>1680.69487281431</v>
      </c>
      <c r="AN160" s="11" t="n">
        <f aca="false">SUM(C160:N160)</f>
        <v>408.024926849459</v>
      </c>
      <c r="AO160" s="11" t="n">
        <f aca="false">SUM(O160:Z160)</f>
        <v>3928.89929964601</v>
      </c>
      <c r="AP160" s="11" t="n">
        <f aca="false">SUM(AA160:AL160)</f>
        <v>12422.892753763</v>
      </c>
    </row>
    <row r="161" customFormat="false" ht="15" hidden="false" customHeight="false" outlineLevel="0" collapsed="false">
      <c r="A161" s="0" t="s">
        <v>964</v>
      </c>
      <c r="B161" s="0" t="s">
        <v>230</v>
      </c>
      <c r="C161" s="9" t="n">
        <f aca="false">(C157*Assumptions!$C$65)</f>
        <v>2.808</v>
      </c>
      <c r="D161" s="9" t="n">
        <f aca="false">(D157*Assumptions!$C$65)</f>
        <v>4.9896</v>
      </c>
      <c r="E161" s="9" t="n">
        <f aca="false">(E157*Assumptions!$C$65)</f>
        <v>6.5751264</v>
      </c>
      <c r="F161" s="9" t="n">
        <f aca="false">(F157*Assumptions!$C$65)</f>
        <v>7.84418688</v>
      </c>
      <c r="G161" s="9" t="n">
        <f aca="false">(G157*Assumptions!$C$65)</f>
        <v>11.05905459456</v>
      </c>
      <c r="H161" s="9" t="n">
        <f aca="false">(H157*Assumptions!$C$65)</f>
        <v>11.4796516670208</v>
      </c>
      <c r="I161" s="9" t="n">
        <f aca="false">(I157*Assumptions!$C$65)</f>
        <v>12.5492943647094</v>
      </c>
      <c r="J161" s="9" t="n">
        <f aca="false">(J157*Assumptions!$C$65)</f>
        <v>27.0423252160184</v>
      </c>
      <c r="K161" s="9" t="n">
        <f aca="false">(K157*Assumptions!$C$65)</f>
        <v>31.5565275038721</v>
      </c>
      <c r="L161" s="9" t="n">
        <f aca="false">(L157*Assumptions!$C$65)</f>
        <v>33.3463462099979</v>
      </c>
      <c r="M161" s="9" t="n">
        <f aca="false">(M157*Assumptions!$C$65)</f>
        <v>31.8685925868774</v>
      </c>
      <c r="N161" s="9" t="n">
        <f aca="false">(N157*Assumptions!$C$65)</f>
        <v>36.4945888966553</v>
      </c>
      <c r="O161" s="9" t="n">
        <f aca="false">(O157*Assumptions!$C$65)</f>
        <v>65.7881952125691</v>
      </c>
      <c r="P161" s="9" t="n">
        <f aca="false">(P157*Assumptions!$C$65)</f>
        <v>76.1930341812341</v>
      </c>
      <c r="Q161" s="9" t="n">
        <f aca="false">(Q157*Assumptions!$C$65)</f>
        <v>109.691077402985</v>
      </c>
      <c r="R161" s="9" t="n">
        <f aca="false">(R157*Assumptions!$C$65)</f>
        <v>135.110473437886</v>
      </c>
      <c r="S161" s="9" t="n">
        <f aca="false">(S157*Assumptions!$C$65)</f>
        <v>142.663889065704</v>
      </c>
      <c r="T161" s="9" t="n">
        <f aca="false">(T157*Assumptions!$C$65)</f>
        <v>147.735860517684</v>
      </c>
      <c r="U161" s="9" t="n">
        <f aca="false">(U157*Assumptions!$C$65)</f>
        <v>169.973471900109</v>
      </c>
      <c r="V161" s="9" t="n">
        <f aca="false">(V157*Assumptions!$C$65)</f>
        <v>202.514282924387</v>
      </c>
      <c r="W161" s="9" t="n">
        <f aca="false">(W157*Assumptions!$C$65)</f>
        <v>234.112546774138</v>
      </c>
      <c r="X161" s="9" t="n">
        <f aca="false">(X157*Assumptions!$C$65)</f>
        <v>249.156381104041</v>
      </c>
      <c r="Y161" s="9" t="n">
        <f aca="false">(Y157*Assumptions!$C$65)</f>
        <v>280.533571921141</v>
      </c>
      <c r="Z161" s="9" t="n">
        <f aca="false">(Z157*Assumptions!$C$65)</f>
        <v>281.940175369328</v>
      </c>
      <c r="AA161" s="9" t="n">
        <f aca="false">(AA157*Assumptions!$C$65)</f>
        <v>307.592766846383</v>
      </c>
      <c r="AB161" s="9" t="n">
        <f aca="false">(AB157*Assumptions!$C$65)</f>
        <v>381.232057971934</v>
      </c>
      <c r="AC161" s="9" t="n">
        <f aca="false">(AC157*Assumptions!$C$65)</f>
        <v>388.057184453149</v>
      </c>
      <c r="AD161" s="9" t="n">
        <f aca="false">(AD157*Assumptions!$C$65)</f>
        <v>406.757615535732</v>
      </c>
      <c r="AE161" s="9" t="n">
        <f aca="false">(AE157*Assumptions!$C$65)</f>
        <v>471.531763896891</v>
      </c>
      <c r="AF161" s="9" t="n">
        <f aca="false">(AF157*Assumptions!$C$65)</f>
        <v>506.485157573642</v>
      </c>
      <c r="AG161" s="9" t="n">
        <f aca="false">(AG157*Assumptions!$C$65)</f>
        <v>521.143136493129</v>
      </c>
      <c r="AH161" s="9" t="n">
        <f aca="false">(AH157*Assumptions!$C$65)</f>
        <v>622.446755002297</v>
      </c>
      <c r="AI161" s="9" t="n">
        <f aca="false">(AI157*Assumptions!$C$65)</f>
        <v>659.382011154501</v>
      </c>
      <c r="AJ161" s="9" t="n">
        <f aca="false">(AJ157*Assumptions!$C$65)</f>
        <v>672.380326763594</v>
      </c>
      <c r="AK161" s="9" t="n">
        <f aca="false">(AK157*Assumptions!$C$65)</f>
        <v>792.163427481408</v>
      </c>
      <c r="AL161" s="9" t="n">
        <f aca="false">(AL157*Assumptions!$C$65)</f>
        <v>896.370598834298</v>
      </c>
      <c r="AN161" s="11" t="n">
        <f aca="false">SUM(C161:N161)</f>
        <v>217.613294319711</v>
      </c>
      <c r="AO161" s="11" t="n">
        <f aca="false">SUM(O161:Z161)</f>
        <v>2095.41295981121</v>
      </c>
      <c r="AP161" s="11" t="n">
        <f aca="false">SUM(AA161:AL161)</f>
        <v>6625.54280200696</v>
      </c>
    </row>
    <row r="162" customFormat="false" ht="15" hidden="false" customHeight="false" outlineLevel="0" collapsed="false">
      <c r="A162" s="0" t="s">
        <v>965</v>
      </c>
      <c r="B162" s="0" t="s">
        <v>230</v>
      </c>
      <c r="C162" s="9" t="n">
        <f aca="false">(C157*Assumptions!$C$66)</f>
        <v>4.68</v>
      </c>
      <c r="D162" s="9" t="n">
        <f aca="false">(D157*Assumptions!$C$66)</f>
        <v>8.316</v>
      </c>
      <c r="E162" s="9" t="n">
        <f aca="false">(E157*Assumptions!$C$66)</f>
        <v>10.958544</v>
      </c>
      <c r="F162" s="9" t="n">
        <f aca="false">(F157*Assumptions!$C$66)</f>
        <v>13.0736448</v>
      </c>
      <c r="G162" s="9" t="n">
        <f aca="false">(G157*Assumptions!$C$66)</f>
        <v>18.4317576576</v>
      </c>
      <c r="H162" s="9" t="n">
        <f aca="false">(H157*Assumptions!$C$66)</f>
        <v>19.132752778368</v>
      </c>
      <c r="I162" s="9" t="n">
        <f aca="false">(I157*Assumptions!$C$66)</f>
        <v>20.915490607849</v>
      </c>
      <c r="J162" s="9" t="n">
        <f aca="false">(J157*Assumptions!$C$66)</f>
        <v>45.0705420266973</v>
      </c>
      <c r="K162" s="9" t="n">
        <f aca="false">(K157*Assumptions!$C$66)</f>
        <v>52.5942125064535</v>
      </c>
      <c r="L162" s="9" t="n">
        <f aca="false">(L157*Assumptions!$C$66)</f>
        <v>55.5772436833298</v>
      </c>
      <c r="M162" s="9" t="n">
        <f aca="false">(M157*Assumptions!$C$66)</f>
        <v>53.114320978129</v>
      </c>
      <c r="N162" s="9" t="n">
        <f aca="false">(N157*Assumptions!$C$66)</f>
        <v>60.8243148277588</v>
      </c>
      <c r="O162" s="9" t="n">
        <f aca="false">(O157*Assumptions!$C$66)</f>
        <v>109.646992020949</v>
      </c>
      <c r="P162" s="9" t="n">
        <f aca="false">(P157*Assumptions!$C$66)</f>
        <v>126.988390302057</v>
      </c>
      <c r="Q162" s="9" t="n">
        <f aca="false">(Q157*Assumptions!$C$66)</f>
        <v>182.818462338308</v>
      </c>
      <c r="R162" s="9" t="n">
        <f aca="false">(R157*Assumptions!$C$66)</f>
        <v>225.184122396477</v>
      </c>
      <c r="S162" s="9" t="n">
        <f aca="false">(S157*Assumptions!$C$66)</f>
        <v>237.773148442839</v>
      </c>
      <c r="T162" s="9" t="n">
        <f aca="false">(T157*Assumptions!$C$66)</f>
        <v>246.22643419614</v>
      </c>
      <c r="U162" s="9" t="n">
        <f aca="false">(U157*Assumptions!$C$66)</f>
        <v>283.289119833515</v>
      </c>
      <c r="V162" s="9" t="n">
        <f aca="false">(V157*Assumptions!$C$66)</f>
        <v>337.523804873978</v>
      </c>
      <c r="W162" s="9" t="n">
        <f aca="false">(W157*Assumptions!$C$66)</f>
        <v>390.187577956897</v>
      </c>
      <c r="X162" s="9" t="n">
        <f aca="false">(X157*Assumptions!$C$66)</f>
        <v>415.260635173402</v>
      </c>
      <c r="Y162" s="9" t="n">
        <f aca="false">(Y157*Assumptions!$C$66)</f>
        <v>467.555953201901</v>
      </c>
      <c r="Z162" s="9" t="n">
        <f aca="false">(Z157*Assumptions!$C$66)</f>
        <v>469.900292282213</v>
      </c>
      <c r="AA162" s="9" t="n">
        <f aca="false">(AA157*Assumptions!$C$66)</f>
        <v>512.654611410639</v>
      </c>
      <c r="AB162" s="9" t="n">
        <f aca="false">(AB157*Assumptions!$C$66)</f>
        <v>635.386763286557</v>
      </c>
      <c r="AC162" s="9" t="n">
        <f aca="false">(AC157*Assumptions!$C$66)</f>
        <v>646.761974088582</v>
      </c>
      <c r="AD162" s="9" t="n">
        <f aca="false">(AD157*Assumptions!$C$66)</f>
        <v>677.929359226221</v>
      </c>
      <c r="AE162" s="9" t="n">
        <f aca="false">(AE157*Assumptions!$C$66)</f>
        <v>785.886273161485</v>
      </c>
      <c r="AF162" s="9" t="n">
        <f aca="false">(AF157*Assumptions!$C$66)</f>
        <v>844.141929289403</v>
      </c>
      <c r="AG162" s="9" t="n">
        <f aca="false">(AG157*Assumptions!$C$66)</f>
        <v>868.571894155215</v>
      </c>
      <c r="AH162" s="9" t="n">
        <f aca="false">(AH157*Assumptions!$C$66)</f>
        <v>1037.41125833716</v>
      </c>
      <c r="AI162" s="9" t="n">
        <f aca="false">(AI157*Assumptions!$C$66)</f>
        <v>1098.97001859083</v>
      </c>
      <c r="AJ162" s="9" t="n">
        <f aca="false">(AJ157*Assumptions!$C$66)</f>
        <v>1120.63387793932</v>
      </c>
      <c r="AK162" s="9" t="n">
        <f aca="false">(AK157*Assumptions!$C$66)</f>
        <v>1320.27237913568</v>
      </c>
      <c r="AL162" s="9" t="n">
        <f aca="false">(AL157*Assumptions!$C$66)</f>
        <v>1493.95099805716</v>
      </c>
      <c r="AN162" s="11" t="n">
        <f aca="false">SUM(C162:N162)</f>
        <v>362.688823866185</v>
      </c>
      <c r="AO162" s="11" t="n">
        <f aca="false">SUM(O162:Z162)</f>
        <v>3492.35493301868</v>
      </c>
      <c r="AP162" s="11" t="n">
        <f aca="false">SUM(AA162:AL162)</f>
        <v>11042.5713366783</v>
      </c>
    </row>
    <row r="163" customFormat="false" ht="15" hidden="false" customHeight="false" outlineLevel="0" collapsed="false">
      <c r="A163" s="0" t="s">
        <v>363</v>
      </c>
      <c r="B163" s="0" t="s">
        <v>230</v>
      </c>
      <c r="C163" s="9" t="n">
        <f aca="false">(C157*Assumptions!$C$67)</f>
        <v>2.34</v>
      </c>
      <c r="D163" s="9" t="n">
        <f aca="false">(D157*Assumptions!$C$67)</f>
        <v>4.158</v>
      </c>
      <c r="E163" s="9" t="n">
        <f aca="false">(E157*Assumptions!$C$67)</f>
        <v>5.479272</v>
      </c>
      <c r="F163" s="9" t="n">
        <f aca="false">(F157*Assumptions!$C$67)</f>
        <v>6.5368224</v>
      </c>
      <c r="G163" s="9" t="n">
        <f aca="false">(G157*Assumptions!$C$67)</f>
        <v>9.2158788288</v>
      </c>
      <c r="H163" s="9" t="n">
        <f aca="false">(H157*Assumptions!$C$67)</f>
        <v>9.566376389184</v>
      </c>
      <c r="I163" s="9" t="n">
        <f aca="false">(I157*Assumptions!$C$67)</f>
        <v>10.4577453039245</v>
      </c>
      <c r="J163" s="9" t="n">
        <f aca="false">(J157*Assumptions!$C$67)</f>
        <v>22.5352710133487</v>
      </c>
      <c r="K163" s="9" t="n">
        <f aca="false">(K157*Assumptions!$C$67)</f>
        <v>26.2971062532267</v>
      </c>
      <c r="L163" s="9" t="n">
        <f aca="false">(L157*Assumptions!$C$67)</f>
        <v>27.7886218416649</v>
      </c>
      <c r="M163" s="9" t="n">
        <f aca="false">(M157*Assumptions!$C$67)</f>
        <v>26.5571604890645</v>
      </c>
      <c r="N163" s="9" t="n">
        <f aca="false">(N157*Assumptions!$C$67)</f>
        <v>30.4121574138794</v>
      </c>
      <c r="O163" s="9" t="n">
        <f aca="false">(O157*Assumptions!$C$67)</f>
        <v>54.8234960104743</v>
      </c>
      <c r="P163" s="9" t="n">
        <f aca="false">(P157*Assumptions!$C$67)</f>
        <v>63.4941951510284</v>
      </c>
      <c r="Q163" s="9" t="n">
        <f aca="false">(Q157*Assumptions!$C$67)</f>
        <v>91.4092311691539</v>
      </c>
      <c r="R163" s="9" t="n">
        <f aca="false">(R157*Assumptions!$C$67)</f>
        <v>112.592061198239</v>
      </c>
      <c r="S163" s="9" t="n">
        <f aca="false">(S157*Assumptions!$C$67)</f>
        <v>118.88657422142</v>
      </c>
      <c r="T163" s="9" t="n">
        <f aca="false">(T157*Assumptions!$C$67)</f>
        <v>123.11321709807</v>
      </c>
      <c r="U163" s="9" t="n">
        <f aca="false">(U157*Assumptions!$C$67)</f>
        <v>141.644559916758</v>
      </c>
      <c r="V163" s="9" t="n">
        <f aca="false">(V157*Assumptions!$C$67)</f>
        <v>168.761902436989</v>
      </c>
      <c r="W163" s="9" t="n">
        <f aca="false">(W157*Assumptions!$C$67)</f>
        <v>195.093788978449</v>
      </c>
      <c r="X163" s="9" t="n">
        <f aca="false">(X157*Assumptions!$C$67)</f>
        <v>207.630317586701</v>
      </c>
      <c r="Y163" s="9" t="n">
        <f aca="false">(Y157*Assumptions!$C$67)</f>
        <v>233.77797660095</v>
      </c>
      <c r="Z163" s="9" t="n">
        <f aca="false">(Z157*Assumptions!$C$67)</f>
        <v>234.950146141107</v>
      </c>
      <c r="AA163" s="9" t="n">
        <f aca="false">(AA157*Assumptions!$C$67)</f>
        <v>256.327305705319</v>
      </c>
      <c r="AB163" s="9" t="n">
        <f aca="false">(AB157*Assumptions!$C$67)</f>
        <v>317.693381643279</v>
      </c>
      <c r="AC163" s="9" t="n">
        <f aca="false">(AC157*Assumptions!$C$67)</f>
        <v>323.380987044291</v>
      </c>
      <c r="AD163" s="9" t="n">
        <f aca="false">(AD157*Assumptions!$C$67)</f>
        <v>338.96467961311</v>
      </c>
      <c r="AE163" s="9" t="n">
        <f aca="false">(AE157*Assumptions!$C$67)</f>
        <v>392.943136580742</v>
      </c>
      <c r="AF163" s="9" t="n">
        <f aca="false">(AF157*Assumptions!$C$67)</f>
        <v>422.070964644701</v>
      </c>
      <c r="AG163" s="9" t="n">
        <f aca="false">(AG157*Assumptions!$C$67)</f>
        <v>434.285947077608</v>
      </c>
      <c r="AH163" s="9" t="n">
        <f aca="false">(AH157*Assumptions!$C$67)</f>
        <v>518.705629168581</v>
      </c>
      <c r="AI163" s="9" t="n">
        <f aca="false">(AI157*Assumptions!$C$67)</f>
        <v>549.485009295417</v>
      </c>
      <c r="AJ163" s="9" t="n">
        <f aca="false">(AJ157*Assumptions!$C$67)</f>
        <v>560.316938969661</v>
      </c>
      <c r="AK163" s="9" t="n">
        <f aca="false">(AK157*Assumptions!$C$67)</f>
        <v>660.13618956784</v>
      </c>
      <c r="AL163" s="9" t="n">
        <f aca="false">(AL157*Assumptions!$C$67)</f>
        <v>746.975499028581</v>
      </c>
      <c r="AN163" s="11" t="n">
        <f aca="false">SUM(C163:N163)</f>
        <v>181.344411933093</v>
      </c>
      <c r="AO163" s="11" t="n">
        <f aca="false">SUM(O163:Z163)</f>
        <v>1746.17746650934</v>
      </c>
      <c r="AP163" s="11" t="n">
        <f aca="false">SUM(AA163:AL163)</f>
        <v>5521.28566833913</v>
      </c>
    </row>
    <row r="164" customFormat="false" ht="15" hidden="false" customHeight="false" outlineLevel="0" collapsed="false">
      <c r="A164" s="0" t="s">
        <v>966</v>
      </c>
      <c r="B164" s="0" t="s">
        <v>230</v>
      </c>
      <c r="C164" s="9" t="n">
        <f aca="false">Assumptions!$C$135</f>
        <v>4000</v>
      </c>
      <c r="D164" s="9" t="n">
        <f aca="false">Assumptions!$C$135</f>
        <v>4000</v>
      </c>
      <c r="E164" s="9" t="n">
        <f aca="false">Assumptions!$C$135</f>
        <v>4000</v>
      </c>
      <c r="F164" s="9" t="n">
        <f aca="false">Assumptions!$C$135</f>
        <v>4000</v>
      </c>
      <c r="G164" s="9" t="n">
        <f aca="false">Assumptions!$C$135</f>
        <v>4000</v>
      </c>
      <c r="H164" s="9" t="n">
        <f aca="false">Assumptions!$C$135</f>
        <v>4000</v>
      </c>
      <c r="I164" s="9" t="n">
        <f aca="false">Assumptions!$C$135</f>
        <v>4000</v>
      </c>
      <c r="J164" s="9" t="n">
        <f aca="false">Assumptions!$C$135</f>
        <v>4000</v>
      </c>
      <c r="K164" s="9" t="n">
        <f aca="false">Assumptions!$C$135</f>
        <v>4000</v>
      </c>
      <c r="L164" s="9" t="n">
        <f aca="false">Assumptions!$C$135</f>
        <v>4000</v>
      </c>
      <c r="M164" s="9" t="n">
        <f aca="false">Assumptions!$C$135</f>
        <v>4000</v>
      </c>
      <c r="N164" s="9" t="n">
        <f aca="false">Assumptions!$C$135</f>
        <v>4000</v>
      </c>
      <c r="O164" s="9" t="n">
        <f aca="false">Assumptions!$D$135</f>
        <v>9000</v>
      </c>
      <c r="P164" s="9" t="n">
        <f aca="false">Assumptions!$D$135</f>
        <v>9000</v>
      </c>
      <c r="Q164" s="9" t="n">
        <f aca="false">Assumptions!$D$135</f>
        <v>9000</v>
      </c>
      <c r="R164" s="9" t="n">
        <f aca="false">Assumptions!$D$135</f>
        <v>9000</v>
      </c>
      <c r="S164" s="9" t="n">
        <f aca="false">Assumptions!$D$135</f>
        <v>9000</v>
      </c>
      <c r="T164" s="9" t="n">
        <f aca="false">Assumptions!$D$135</f>
        <v>9000</v>
      </c>
      <c r="U164" s="9" t="n">
        <f aca="false">Assumptions!$D$135</f>
        <v>9000</v>
      </c>
      <c r="V164" s="9" t="n">
        <f aca="false">Assumptions!$D$135</f>
        <v>9000</v>
      </c>
      <c r="W164" s="9" t="n">
        <f aca="false">Assumptions!$D$135</f>
        <v>9000</v>
      </c>
      <c r="X164" s="9" t="n">
        <f aca="false">Assumptions!$D$135</f>
        <v>9000</v>
      </c>
      <c r="Y164" s="9" t="n">
        <f aca="false">Assumptions!$D$135</f>
        <v>9000</v>
      </c>
      <c r="Z164" s="9" t="n">
        <f aca="false">Assumptions!$D$135</f>
        <v>9000</v>
      </c>
      <c r="AA164" s="9" t="n">
        <f aca="false">Assumptions!$E$135</f>
        <v>16000</v>
      </c>
      <c r="AB164" s="9" t="n">
        <f aca="false">Assumptions!$E$135</f>
        <v>16000</v>
      </c>
      <c r="AC164" s="9" t="n">
        <f aca="false">Assumptions!$E$135</f>
        <v>16000</v>
      </c>
      <c r="AD164" s="9" t="n">
        <f aca="false">Assumptions!$E$135</f>
        <v>16000</v>
      </c>
      <c r="AE164" s="9" t="n">
        <f aca="false">Assumptions!$E$135</f>
        <v>16000</v>
      </c>
      <c r="AF164" s="9" t="n">
        <f aca="false">Assumptions!$E$135</f>
        <v>16000</v>
      </c>
      <c r="AG164" s="9" t="n">
        <f aca="false">Assumptions!$E$135</f>
        <v>16000</v>
      </c>
      <c r="AH164" s="9" t="n">
        <f aca="false">Assumptions!$E$135</f>
        <v>16000</v>
      </c>
      <c r="AI164" s="9" t="n">
        <f aca="false">Assumptions!$E$135</f>
        <v>16000</v>
      </c>
      <c r="AJ164" s="9" t="n">
        <f aca="false">Assumptions!$E$135</f>
        <v>16000</v>
      </c>
      <c r="AK164" s="9" t="n">
        <f aca="false">Assumptions!$E$135</f>
        <v>16000</v>
      </c>
      <c r="AL164" s="9" t="n">
        <f aca="false">Assumptions!$E$135</f>
        <v>16000</v>
      </c>
      <c r="AN164" s="11" t="n">
        <f aca="false">SUM(C164:N164)</f>
        <v>48000</v>
      </c>
      <c r="AO164" s="11" t="n">
        <f aca="false">SUM(O164:Z164)</f>
        <v>108000</v>
      </c>
      <c r="AP164" s="11" t="n">
        <f aca="false">SUM(AA164:AL164)</f>
        <v>192000</v>
      </c>
    </row>
    <row r="165" customFormat="false" ht="15" hidden="false" customHeight="false" outlineLevel="0" collapsed="false">
      <c r="A165" s="0" t="s">
        <v>967</v>
      </c>
      <c r="B165" s="0" t="s">
        <v>230</v>
      </c>
      <c r="C165" s="9" t="n">
        <f aca="false">(((Assumptions!$C$184*$C$12)*$C$13)*(((C29*Assumptions!$C$85)+(C39*Assumptions!$C$86))+(C126*Assumptions!$C$87)))</f>
        <v>126.568494</v>
      </c>
      <c r="D165" s="9" t="n">
        <f aca="false">(((Assumptions!$C$184*$C$12)*$C$13)*(((D29*Assumptions!$C$85)+(D39*Assumptions!$C$86))+(D126*Assumptions!$C$87)))</f>
        <v>224.9024778</v>
      </c>
      <c r="E165" s="9" t="n">
        <f aca="false">(((Assumptions!$C$184*$C$12)*$C$13)*(((E29*Assumptions!$C$85)+(E39*Assumptions!$C$86))+(E126*Assumptions!$C$87)))</f>
        <v>296.3688911352</v>
      </c>
      <c r="F165" s="9" t="n">
        <f aca="false">(((Assumptions!$C$184*$C$12)*$C$13)*(((F29*Assumptions!$C$85)+(F39*Assumptions!$C$86))+(F126*Assumptions!$C$87)))</f>
        <v>353.57084047584</v>
      </c>
      <c r="G165" s="9" t="n">
        <f aca="false">(((Assumptions!$C$184*$C$12)*$C$13)*(((G29*Assumptions!$C$85)+(G39*Assumptions!$C$86))+(G126*Assumptions!$C$87)))</f>
        <v>612.065701558846</v>
      </c>
      <c r="H165" s="9" t="n">
        <f aca="false">(((Assumptions!$C$184*$C$12)*$C$13)*(((H29*Assumptions!$C$85)+(H39*Assumptions!$C$86))+(H126*Assumptions!$C$87)))</f>
        <v>631.023799152212</v>
      </c>
      <c r="I165" s="9" t="n">
        <f aca="false">(((Assumptions!$C$184*$C$12)*$C$13)*(((I29*Assumptions!$C$85)+(I39*Assumptions!$C$86))+(I126*Assumptions!$C$87)))</f>
        <v>679.237141518502</v>
      </c>
      <c r="J165" s="9" t="n">
        <f aca="false">(((Assumptions!$C$184*$C$12)*$C$13)*(((J29*Assumptions!$C$85)+(J39*Assumptions!$C$86))+(J126*Assumptions!$C$87)))</f>
        <v>1805.77926236812</v>
      </c>
      <c r="K165" s="9" t="n">
        <f aca="false">(((Assumptions!$C$184*$C$12)*$C$13)*(((K29*Assumptions!$C$85)+(K39*Assumptions!$C$86))+(K126*Assumptions!$C$87)))</f>
        <v>2009.25354484141</v>
      </c>
      <c r="L165" s="9" t="n">
        <f aca="false">(((Assumptions!$C$184*$C$12)*$C$13)*(((L29*Assumptions!$C$85)+(L39*Assumptions!$C$86))+(L126*Assumptions!$C$87)))</f>
        <v>2089.928280656</v>
      </c>
      <c r="M165" s="9" t="n">
        <f aca="false">(((Assumptions!$C$184*$C$12)*$C$13)*(((M29*Assumptions!$C$85)+(M39*Assumptions!$C$86))+(M126*Assumptions!$C$87)))</f>
        <v>1909.73253440906</v>
      </c>
      <c r="N165" s="9" t="n">
        <f aca="false">(((Assumptions!$C$184*$C$12)*$C$13)*(((N29*Assumptions!$C$85)+(N39*Assumptions!$C$86))+(N126*Assumptions!$C$87)))</f>
        <v>2312.96660857507</v>
      </c>
      <c r="O165" s="9" t="n">
        <f aca="false">(((Assumptions!$C$184*$C$12)*$C$13)*(((O29*Assumptions!$C$85)+(O39*Assumptions!$C$86))+(O126*Assumptions!$C$87)))</f>
        <v>3755.48950414768</v>
      </c>
      <c r="P165" s="9" t="n">
        <f aca="false">(((Assumptions!$C$184*$C$12)*$C$13)*(((P29*Assumptions!$C$85)+(P39*Assumptions!$C$86))+(P126*Assumptions!$C$87)))</f>
        <v>3770.05169155018</v>
      </c>
      <c r="Q165" s="9" t="n">
        <f aca="false">(((Assumptions!$C$184*$C$12)*$C$13)*(((Q29*Assumptions!$C$85)+(Q39*Assumptions!$C$86))+(Q126*Assumptions!$C$87)))</f>
        <v>6117.82347208233</v>
      </c>
      <c r="R165" s="9" t="n">
        <f aca="false">(((Assumptions!$C$184*$C$12)*$C$13)*(((R29*Assumptions!$C$85)+(R39*Assumptions!$C$86))+(R126*Assumptions!$C$87)))</f>
        <v>7882.31969958982</v>
      </c>
      <c r="S165" s="9" t="n">
        <f aca="false">(((Assumptions!$C$184*$C$12)*$C$13)*(((S29*Assumptions!$C$85)+(S39*Assumptions!$C$86))+(S126*Assumptions!$C$87)))</f>
        <v>8258.62063937473</v>
      </c>
      <c r="T165" s="9" t="n">
        <f aca="false">(((Assumptions!$C$184*$C$12)*$C$13)*(((T29*Assumptions!$C$85)+(T39*Assumptions!$C$86))+(T126*Assumptions!$C$87)))</f>
        <v>8525.02817148766</v>
      </c>
      <c r="U165" s="9" t="n">
        <f aca="false">(((Assumptions!$C$184*$C$12)*$C$13)*(((U29*Assumptions!$C$85)+(U39*Assumptions!$C$86))+(U126*Assumptions!$C$87)))</f>
        <v>10152.9702631164</v>
      </c>
      <c r="V165" s="9" t="n">
        <f aca="false">(((Assumptions!$C$184*$C$12)*$C$13)*(((V29*Assumptions!$C$85)+(V39*Assumptions!$C$86))+(V126*Assumptions!$C$87)))</f>
        <v>11823.2899943612</v>
      </c>
      <c r="W165" s="9" t="n">
        <f aca="false">(((Assumptions!$C$184*$C$12)*$C$13)*(((W29*Assumptions!$C$85)+(W39*Assumptions!$C$86))+(W126*Assumptions!$C$87)))</f>
        <v>13299.149514816</v>
      </c>
      <c r="X165" s="9" t="n">
        <f aca="false">(((Assumptions!$C$184*$C$12)*$C$13)*(((X29*Assumptions!$C$85)+(X39*Assumptions!$C$86))+(X126*Assumptions!$C$87)))</f>
        <v>14153.4716286321</v>
      </c>
      <c r="Y165" s="9" t="n">
        <f aca="false">(((Assumptions!$C$184*$C$12)*$C$13)*(((Y29*Assumptions!$C$85)+(Y39*Assumptions!$C$86))+(Y126*Assumptions!$C$87)))</f>
        <v>16728.9528970936</v>
      </c>
      <c r="Z165" s="9" t="n">
        <f aca="false">(((Assumptions!$C$184*$C$12)*$C$13)*(((Z29*Assumptions!$C$85)+(Z39*Assumptions!$C$86))+(Z126*Assumptions!$C$87)))</f>
        <v>16835.8798254659</v>
      </c>
      <c r="AA165" s="9" t="n">
        <f aca="false">(((Assumptions!$C$184*$C$12)*$C$13)*(((AA29*Assumptions!$C$85)+(AA39*Assumptions!$C$86))+(AA126*Assumptions!$C$87)))</f>
        <v>18169.8908157617</v>
      </c>
      <c r="AB165" s="9" t="n">
        <f aca="false">(((Assumptions!$C$184*$C$12)*$C$13)*(((AB29*Assumptions!$C$85)+(AB39*Assumptions!$C$86))+(AB126*Assumptions!$C$87)))</f>
        <v>24168.3709366012</v>
      </c>
      <c r="AC165" s="9" t="n">
        <f aca="false">(((Assumptions!$C$184*$C$12)*$C$13)*(((AC29*Assumptions!$C$85)+(AC39*Assumptions!$C$86))+(AC126*Assumptions!$C$87)))</f>
        <v>24450.7610319849</v>
      </c>
      <c r="AD165" s="9" t="n">
        <f aca="false">(((Assumptions!$C$184*$C$12)*$C$13)*(((AD29*Assumptions!$C$85)+(AD39*Assumptions!$C$86))+(AD126*Assumptions!$C$87)))</f>
        <v>25953.0010528018</v>
      </c>
      <c r="AE165" s="9" t="n">
        <f aca="false">(((Assumptions!$C$184*$C$12)*$C$13)*(((AE29*Assumptions!$C$85)+(AE39*Assumptions!$C$86))+(AE126*Assumptions!$C$87)))</f>
        <v>31878.7413941101</v>
      </c>
      <c r="AF165" s="9" t="n">
        <f aca="false">(((Assumptions!$C$184*$C$12)*$C$13)*(((AF29*Assumptions!$C$85)+(AF39*Assumptions!$C$86))+(AF126*Assumptions!$C$87)))</f>
        <v>35227.1564789741</v>
      </c>
      <c r="AG165" s="9" t="n">
        <f aca="false">(((Assumptions!$C$184*$C$12)*$C$13)*(((AG29*Assumptions!$C$85)+(AG39*Assumptions!$C$86))+(AG126*Assumptions!$C$87)))</f>
        <v>36426.9017938703</v>
      </c>
      <c r="AH165" s="9" t="n">
        <f aca="false">(((Assumptions!$C$184*$C$12)*$C$13)*(((AH29*Assumptions!$C$85)+(AH39*Assumptions!$C$86))+(AH126*Assumptions!$C$87)))</f>
        <v>44135.2004603069</v>
      </c>
      <c r="AI165" s="9" t="n">
        <f aca="false">(((Assumptions!$C$184*$C$12)*$C$13)*(((AI29*Assumptions!$C$85)+(AI39*Assumptions!$C$86))+(AI126*Assumptions!$C$87)))</f>
        <v>45874.0853334865</v>
      </c>
      <c r="AJ165" s="9" t="n">
        <f aca="false">(((Assumptions!$C$184*$C$12)*$C$13)*(((AJ29*Assumptions!$C$85)+(AJ39*Assumptions!$C$86))+(AJ126*Assumptions!$C$87)))</f>
        <v>46657.7181867236</v>
      </c>
      <c r="AK165" s="9" t="n">
        <f aca="false">(((Assumptions!$C$184*$C$12)*$C$13)*(((AK29*Assumptions!$C$85)+(AK39*Assumptions!$C$86))+(AK126*Assumptions!$C$87)))</f>
        <v>57392.3003089786</v>
      </c>
      <c r="AL165" s="9" t="n">
        <f aca="false">(((Assumptions!$C$184*$C$12)*$C$13)*(((AL29*Assumptions!$C$85)+(AL39*Assumptions!$C$86))+(AL126*Assumptions!$C$87)))</f>
        <v>67020.2996446622</v>
      </c>
      <c r="AN165" s="11" t="n">
        <f aca="false">SUM(C165:N165)</f>
        <v>13051.3975764902</v>
      </c>
      <c r="AO165" s="11" t="n">
        <f aca="false">SUM(O165:Z165)</f>
        <v>121303.047301718</v>
      </c>
      <c r="AP165" s="11" t="n">
        <f aca="false">SUM(AA165:AL165)</f>
        <v>457354.427438262</v>
      </c>
    </row>
    <row r="166" customFormat="false" ht="15" hidden="false" customHeight="false" outlineLevel="0" collapsed="false">
      <c r="A166" s="0" t="s">
        <v>968</v>
      </c>
      <c r="B166" s="0" t="s">
        <v>230</v>
      </c>
      <c r="C166" s="9" t="n">
        <f aca="false">Assumptions!$C$136</f>
        <v>2000</v>
      </c>
      <c r="D166" s="9" t="n">
        <f aca="false">Assumptions!$C$136</f>
        <v>2000</v>
      </c>
      <c r="E166" s="9" t="n">
        <f aca="false">Assumptions!$C$136</f>
        <v>2000</v>
      </c>
      <c r="F166" s="9" t="n">
        <f aca="false">Assumptions!$C$136</f>
        <v>2000</v>
      </c>
      <c r="G166" s="9" t="n">
        <f aca="false">Assumptions!$C$136</f>
        <v>2000</v>
      </c>
      <c r="H166" s="9" t="n">
        <f aca="false">Assumptions!$C$136</f>
        <v>2000</v>
      </c>
      <c r="I166" s="9" t="n">
        <f aca="false">Assumptions!$C$136</f>
        <v>2000</v>
      </c>
      <c r="J166" s="9" t="n">
        <f aca="false">Assumptions!$C$136</f>
        <v>2000</v>
      </c>
      <c r="K166" s="9" t="n">
        <f aca="false">Assumptions!$C$136</f>
        <v>2000</v>
      </c>
      <c r="L166" s="9" t="n">
        <f aca="false">Assumptions!$C$136</f>
        <v>2000</v>
      </c>
      <c r="M166" s="9" t="n">
        <f aca="false">Assumptions!$C$136</f>
        <v>2000</v>
      </c>
      <c r="N166" s="9" t="n">
        <f aca="false">Assumptions!$C$136</f>
        <v>2000</v>
      </c>
      <c r="O166" s="9" t="n">
        <f aca="false">Assumptions!$D$136</f>
        <v>3000</v>
      </c>
      <c r="P166" s="9" t="n">
        <f aca="false">Assumptions!$D$136</f>
        <v>3000</v>
      </c>
      <c r="Q166" s="9" t="n">
        <f aca="false">Assumptions!$D$136</f>
        <v>3000</v>
      </c>
      <c r="R166" s="9" t="n">
        <f aca="false">Assumptions!$D$136</f>
        <v>3000</v>
      </c>
      <c r="S166" s="9" t="n">
        <f aca="false">Assumptions!$D$136</f>
        <v>3000</v>
      </c>
      <c r="T166" s="9" t="n">
        <f aca="false">Assumptions!$D$136</f>
        <v>3000</v>
      </c>
      <c r="U166" s="9" t="n">
        <f aca="false">Assumptions!$D$136</f>
        <v>3000</v>
      </c>
      <c r="V166" s="9" t="n">
        <f aca="false">Assumptions!$D$136</f>
        <v>3000</v>
      </c>
      <c r="W166" s="9" t="n">
        <f aca="false">Assumptions!$D$136</f>
        <v>3000</v>
      </c>
      <c r="X166" s="9" t="n">
        <f aca="false">Assumptions!$D$136</f>
        <v>3000</v>
      </c>
      <c r="Y166" s="9" t="n">
        <f aca="false">Assumptions!$D$136</f>
        <v>3000</v>
      </c>
      <c r="Z166" s="9" t="n">
        <f aca="false">Assumptions!$D$136</f>
        <v>3000</v>
      </c>
      <c r="AA166" s="9" t="n">
        <f aca="false">Assumptions!$E$136</f>
        <v>5000</v>
      </c>
      <c r="AB166" s="9" t="n">
        <f aca="false">Assumptions!$E$136</f>
        <v>5000</v>
      </c>
      <c r="AC166" s="9" t="n">
        <f aca="false">Assumptions!$E$136</f>
        <v>5000</v>
      </c>
      <c r="AD166" s="9" t="n">
        <f aca="false">Assumptions!$E$136</f>
        <v>5000</v>
      </c>
      <c r="AE166" s="9" t="n">
        <f aca="false">Assumptions!$E$136</f>
        <v>5000</v>
      </c>
      <c r="AF166" s="9" t="n">
        <f aca="false">Assumptions!$E$136</f>
        <v>5000</v>
      </c>
      <c r="AG166" s="9" t="n">
        <f aca="false">Assumptions!$E$136</f>
        <v>5000</v>
      </c>
      <c r="AH166" s="9" t="n">
        <f aca="false">Assumptions!$E$136</f>
        <v>5000</v>
      </c>
      <c r="AI166" s="9" t="n">
        <f aca="false">Assumptions!$E$136</f>
        <v>5000</v>
      </c>
      <c r="AJ166" s="9" t="n">
        <f aca="false">Assumptions!$E$136</f>
        <v>5000</v>
      </c>
      <c r="AK166" s="9" t="n">
        <f aca="false">Assumptions!$E$136</f>
        <v>5000</v>
      </c>
      <c r="AL166" s="9" t="n">
        <f aca="false">Assumptions!$E$136</f>
        <v>5000</v>
      </c>
      <c r="AN166" s="11" t="n">
        <f aca="false">SUM(C166:N166)</f>
        <v>24000</v>
      </c>
      <c r="AO166" s="11" t="n">
        <f aca="false">SUM(O166:Z166)</f>
        <v>36000</v>
      </c>
      <c r="AP166" s="11" t="n">
        <f aca="false">SUM(AA166:AL166)</f>
        <v>60000</v>
      </c>
    </row>
    <row r="167" customFormat="false" ht="15" hidden="false" customHeight="false" outlineLevel="0" collapsed="false">
      <c r="A167" s="0" t="s">
        <v>969</v>
      </c>
      <c r="B167" s="0" t="s">
        <v>230</v>
      </c>
      <c r="C167" s="9" t="n">
        <f aca="false">(C165+C166)</f>
        <v>2126.568494</v>
      </c>
      <c r="D167" s="9" t="n">
        <f aca="false">(D165+D166)</f>
        <v>2224.9024778</v>
      </c>
      <c r="E167" s="9" t="n">
        <f aca="false">(E165+E166)</f>
        <v>2296.3688911352</v>
      </c>
      <c r="F167" s="9" t="n">
        <f aca="false">(F165+F166)</f>
        <v>2353.57084047584</v>
      </c>
      <c r="G167" s="9" t="n">
        <f aca="false">(G165+G166)</f>
        <v>2612.06570155885</v>
      </c>
      <c r="H167" s="9" t="n">
        <f aca="false">(H165+H166)</f>
        <v>2631.02379915221</v>
      </c>
      <c r="I167" s="9" t="n">
        <f aca="false">(I165+I166)</f>
        <v>2679.2371415185</v>
      </c>
      <c r="J167" s="9" t="n">
        <f aca="false">(J165+J166)</f>
        <v>3805.77926236812</v>
      </c>
      <c r="K167" s="9" t="n">
        <f aca="false">(K165+K166)</f>
        <v>4009.25354484141</v>
      </c>
      <c r="L167" s="9" t="n">
        <f aca="false">(L165+L166)</f>
        <v>4089.928280656</v>
      </c>
      <c r="M167" s="9" t="n">
        <f aca="false">(M165+M166)</f>
        <v>3909.73253440906</v>
      </c>
      <c r="N167" s="9" t="n">
        <f aca="false">(N165+N166)</f>
        <v>4312.96660857507</v>
      </c>
      <c r="O167" s="9" t="n">
        <f aca="false">(O165+O166)</f>
        <v>6755.48950414768</v>
      </c>
      <c r="P167" s="9" t="n">
        <f aca="false">(P165+P166)</f>
        <v>6770.05169155018</v>
      </c>
      <c r="Q167" s="9" t="n">
        <f aca="false">(Q165+Q166)</f>
        <v>9117.82347208233</v>
      </c>
      <c r="R167" s="9" t="n">
        <f aca="false">(R165+R166)</f>
        <v>10882.3196995898</v>
      </c>
      <c r="S167" s="9" t="n">
        <f aca="false">(S165+S166)</f>
        <v>11258.6206393747</v>
      </c>
      <c r="T167" s="9" t="n">
        <f aca="false">(T165+T166)</f>
        <v>11525.0281714877</v>
      </c>
      <c r="U167" s="9" t="n">
        <f aca="false">(U165+U166)</f>
        <v>13152.9702631164</v>
      </c>
      <c r="V167" s="9" t="n">
        <f aca="false">(V165+V166)</f>
        <v>14823.2899943612</v>
      </c>
      <c r="W167" s="9" t="n">
        <f aca="false">(W165+W166)</f>
        <v>16299.149514816</v>
      </c>
      <c r="X167" s="9" t="n">
        <f aca="false">(X165+X166)</f>
        <v>17153.4716286321</v>
      </c>
      <c r="Y167" s="9" t="n">
        <f aca="false">(Y165+Y166)</f>
        <v>19728.9528970936</v>
      </c>
      <c r="Z167" s="9" t="n">
        <f aca="false">(Z165+Z166)</f>
        <v>19835.8798254659</v>
      </c>
      <c r="AA167" s="9" t="n">
        <f aca="false">(AA165+AA166)</f>
        <v>23169.8908157617</v>
      </c>
      <c r="AB167" s="9" t="n">
        <f aca="false">(AB165+AB166)</f>
        <v>29168.3709366012</v>
      </c>
      <c r="AC167" s="9" t="n">
        <f aca="false">(AC165+AC166)</f>
        <v>29450.7610319849</v>
      </c>
      <c r="AD167" s="9" t="n">
        <f aca="false">(AD165+AD166)</f>
        <v>30953.0010528018</v>
      </c>
      <c r="AE167" s="9" t="n">
        <f aca="false">(AE165+AE166)</f>
        <v>36878.7413941101</v>
      </c>
      <c r="AF167" s="9" t="n">
        <f aca="false">(AF165+AF166)</f>
        <v>40227.1564789741</v>
      </c>
      <c r="AG167" s="9" t="n">
        <f aca="false">(AG165+AG166)</f>
        <v>41426.9017938703</v>
      </c>
      <c r="AH167" s="9" t="n">
        <f aca="false">(AH165+AH166)</f>
        <v>49135.2004603069</v>
      </c>
      <c r="AI167" s="9" t="n">
        <f aca="false">(AI165+AI166)</f>
        <v>50874.0853334865</v>
      </c>
      <c r="AJ167" s="9" t="n">
        <f aca="false">(AJ165+AJ166)</f>
        <v>51657.7181867236</v>
      </c>
      <c r="AK167" s="9" t="n">
        <f aca="false">(AK165+AK166)</f>
        <v>62392.3003089786</v>
      </c>
      <c r="AL167" s="9" t="n">
        <f aca="false">(AL165+AL166)</f>
        <v>72020.2996446622</v>
      </c>
      <c r="AN167" s="11" t="n">
        <f aca="false">SUM(C167:N167)</f>
        <v>37051.3975764902</v>
      </c>
      <c r="AO167" s="11" t="n">
        <f aca="false">SUM(O167:Z167)</f>
        <v>157303.047301718</v>
      </c>
      <c r="AP167" s="11" t="n">
        <f aca="false">SUM(AA167:AL167)</f>
        <v>517354.427438262</v>
      </c>
    </row>
    <row r="168" customFormat="false" ht="15" hidden="false" customHeight="false" outlineLevel="0" collapsed="false">
      <c r="A168" s="0" t="s">
        <v>970</v>
      </c>
      <c r="B168" s="0" t="s">
        <v>230</v>
      </c>
      <c r="C168" s="9" t="n">
        <f aca="false">((C122+C123)*((Assumptions!$C$90*Assumptions!$C$89)+Assumptions!$C$91))</f>
        <v>0</v>
      </c>
      <c r="D168" s="9" t="n">
        <f aca="false">((D122+D123)*((Assumptions!$C$90*Assumptions!$C$89)+Assumptions!$C$91))</f>
        <v>0</v>
      </c>
      <c r="E168" s="9" t="n">
        <f aca="false">((E122+E123)*((Assumptions!$C$90*Assumptions!$C$89)+Assumptions!$C$91))</f>
        <v>0</v>
      </c>
      <c r="F168" s="9" t="n">
        <f aca="false">((F122+F123)*((Assumptions!$C$90*Assumptions!$C$89)+Assumptions!$C$91))</f>
        <v>0</v>
      </c>
      <c r="G168" s="9" t="n">
        <f aca="false">((G122+G123)*((Assumptions!$C$90*Assumptions!$C$89)+Assumptions!$C$91))</f>
        <v>305</v>
      </c>
      <c r="H168" s="9" t="n">
        <f aca="false">((H122+H123)*((Assumptions!$C$90*Assumptions!$C$89)+Assumptions!$C$91))</f>
        <v>305</v>
      </c>
      <c r="I168" s="9" t="n">
        <f aca="false">((I122+I123)*((Assumptions!$C$90*Assumptions!$C$89)+Assumptions!$C$91))</f>
        <v>305</v>
      </c>
      <c r="J168" s="9" t="n">
        <f aca="false">((J122+J123)*((Assumptions!$C$90*Assumptions!$C$89)+Assumptions!$C$91))</f>
        <v>610</v>
      </c>
      <c r="K168" s="9" t="n">
        <f aca="false">((K122+K123)*((Assumptions!$C$90*Assumptions!$C$89)+Assumptions!$C$91))</f>
        <v>610</v>
      </c>
      <c r="L168" s="9" t="n">
        <f aca="false">((L122+L123)*((Assumptions!$C$90*Assumptions!$C$89)+Assumptions!$C$91))</f>
        <v>610</v>
      </c>
      <c r="M168" s="9" t="n">
        <f aca="false">((M122+M123)*((Assumptions!$C$90*Assumptions!$C$89)+Assumptions!$C$91))</f>
        <v>305</v>
      </c>
      <c r="N168" s="9" t="n">
        <f aca="false">((N122+N123)*((Assumptions!$C$90*Assumptions!$C$89)+Assumptions!$C$91))</f>
        <v>488</v>
      </c>
      <c r="O168" s="9" t="n">
        <f aca="false">((O122+O123)*((Assumptions!$C$90*Assumptions!$C$89)+Assumptions!$C$91))</f>
        <v>793</v>
      </c>
      <c r="P168" s="9" t="n">
        <f aca="false">((P122+P123)*((Assumptions!$C$90*Assumptions!$C$89)+Assumptions!$C$91))</f>
        <v>488</v>
      </c>
      <c r="Q168" s="9" t="n">
        <f aca="false">((Q122+Q123)*((Assumptions!$C$90*Assumptions!$C$89)+Assumptions!$C$91))</f>
        <v>671</v>
      </c>
      <c r="R168" s="9" t="n">
        <f aca="false">((R122+R123)*((Assumptions!$C$90*Assumptions!$C$89)+Assumptions!$C$91))</f>
        <v>1281</v>
      </c>
      <c r="S168" s="9" t="n">
        <f aca="false">((S122+S123)*((Assumptions!$C$90*Assumptions!$C$89)+Assumptions!$C$91))</f>
        <v>1281</v>
      </c>
      <c r="T168" s="9" t="n">
        <f aca="false">((T122+T123)*((Assumptions!$C$90*Assumptions!$C$89)+Assumptions!$C$91))</f>
        <v>1281</v>
      </c>
      <c r="U168" s="9" t="n">
        <f aca="false">((U122+U123)*((Assumptions!$C$90*Assumptions!$C$89)+Assumptions!$C$91))</f>
        <v>1891</v>
      </c>
      <c r="V168" s="9" t="n">
        <f aca="false">((V122+V123)*((Assumptions!$C$90*Assumptions!$C$89)+Assumptions!$C$91))</f>
        <v>2043.5</v>
      </c>
      <c r="W168" s="9" t="n">
        <f aca="false">((W122+W123)*((Assumptions!$C$90*Assumptions!$C$89)+Assumptions!$C$91))</f>
        <v>2043.5</v>
      </c>
      <c r="X168" s="9" t="n">
        <f aca="false">((X122+X123)*((Assumptions!$C$90*Assumptions!$C$89)+Assumptions!$C$91))</f>
        <v>2348.5</v>
      </c>
      <c r="Y168" s="9" t="n">
        <f aca="false">((Y122+Y123)*((Assumptions!$C$90*Assumptions!$C$89)+Assumptions!$C$91))</f>
        <v>2943.25</v>
      </c>
      <c r="Z168" s="9" t="n">
        <f aca="false">((Z122+Z123)*((Assumptions!$C$90*Assumptions!$C$89)+Assumptions!$C$91))</f>
        <v>2921.29</v>
      </c>
      <c r="AA168" s="9" t="n">
        <f aca="false">((AA122+AA123)*((Assumptions!$C$90*Assumptions!$C$89)+Assumptions!$C$91))</f>
        <v>3226.29</v>
      </c>
      <c r="AB168" s="9" t="n">
        <f aca="false">((AB122+AB123)*((Assumptions!$C$90*Assumptions!$C$89)+Assumptions!$C$91))</f>
        <v>4278.54</v>
      </c>
      <c r="AC168" s="9" t="n">
        <f aca="false">((AC122+AC123)*((Assumptions!$C$90*Assumptions!$C$89)+Assumptions!$C$91))</f>
        <v>4256.58</v>
      </c>
      <c r="AD168" s="9" t="n">
        <f aca="false">((AD122+AD123)*((Assumptions!$C$90*Assumptions!$C$89)+Assumptions!$C$91))</f>
        <v>4866.58</v>
      </c>
      <c r="AE168" s="9" t="n">
        <f aca="false">((AE122+AE123)*((Assumptions!$C$90*Assumptions!$C$89)+Assumptions!$C$91))</f>
        <v>6223.83</v>
      </c>
      <c r="AF168" s="9" t="n">
        <f aca="false">((AF122+AF123)*((Assumptions!$C$90*Assumptions!$C$89)+Assumptions!$C$91))</f>
        <v>6528.83</v>
      </c>
      <c r="AG168" s="9" t="n">
        <f aca="false">((AG122+AG123)*((Assumptions!$C$90*Assumptions!$C$89)+Assumptions!$C$91))</f>
        <v>6833.83</v>
      </c>
      <c r="AH168" s="9" t="n">
        <f aca="false">((AH122+AH123)*((Assumptions!$C$90*Assumptions!$C$89)+Assumptions!$C$91))</f>
        <v>8325.28</v>
      </c>
      <c r="AI168" s="9" t="n">
        <f aca="false">((AI122+AI123)*((Assumptions!$C$90*Assumptions!$C$89)+Assumptions!$C$91))</f>
        <v>8325.28</v>
      </c>
      <c r="AJ168" s="9" t="n">
        <f aca="false">((AJ122+AJ123)*((Assumptions!$C$90*Assumptions!$C$89)+Assumptions!$C$91))</f>
        <v>8630.28</v>
      </c>
      <c r="AK168" s="9" t="n">
        <f aca="false">((AK122+AK123)*((Assumptions!$C$90*Assumptions!$C$89)+Assumptions!$C$91))</f>
        <v>10815.91</v>
      </c>
      <c r="AL168" s="9" t="n">
        <f aca="false">((AL122+AL123)*((Assumptions!$C$90*Assumptions!$C$89)+Assumptions!$C$91))</f>
        <v>11101.5852</v>
      </c>
      <c r="AN168" s="11" t="n">
        <f aca="false">SUM(C168:N168)</f>
        <v>3538</v>
      </c>
      <c r="AO168" s="11" t="n">
        <f aca="false">SUM(O168:Z168)</f>
        <v>19986.04</v>
      </c>
      <c r="AP168" s="11" t="n">
        <f aca="false">SUM(AA168:AL168)</f>
        <v>83412.8152</v>
      </c>
    </row>
    <row r="169" customFormat="false" ht="15" hidden="false" customHeight="false" outlineLevel="0" collapsed="false">
      <c r="A169" s="0" t="s">
        <v>971</v>
      </c>
      <c r="B169" s="0" t="s">
        <v>421</v>
      </c>
      <c r="C169" s="9" t="n">
        <f aca="false">((((C29+C39)*Assumptions!$C$92)/100)+((C126*Assumptions!$C$93)/100))</f>
        <v>5.85</v>
      </c>
      <c r="D169" s="9" t="n">
        <f aca="false">((((D29+D39)*Assumptions!$C$92)/100)+((D126*Assumptions!$C$93)/100))</f>
        <v>10.395</v>
      </c>
      <c r="E169" s="9" t="n">
        <f aca="false">((((E29+E39)*Assumptions!$C$92)/100)+((E126*Assumptions!$C$93)/100))</f>
        <v>13.69818</v>
      </c>
      <c r="F169" s="9" t="n">
        <f aca="false">((((F29+F39)*Assumptions!$C$92)/100)+((F126*Assumptions!$C$93)/100))</f>
        <v>16.342056</v>
      </c>
      <c r="G169" s="9" t="n">
        <f aca="false">((((G29+G39)*Assumptions!$C$92)/100)+((G126*Assumptions!$C$93)/100))</f>
        <v>25.139697072</v>
      </c>
      <c r="H169" s="9" t="n">
        <f aca="false">((((H29+H39)*Assumptions!$C$92)/100)+((H126*Assumptions!$C$93)/100))</f>
        <v>26.01594097296</v>
      </c>
      <c r="I169" s="9" t="n">
        <f aca="false">((((I29+I39)*Assumptions!$C$92)/100)+((I126*Assumptions!$C$93)/100))</f>
        <v>28.2443632598112</v>
      </c>
      <c r="J169" s="9" t="n">
        <f aca="false">((((J29+J39)*Assumptions!$C$92)/100)+((J126*Assumptions!$C$93)/100))</f>
        <v>67.1881775333717</v>
      </c>
      <c r="K169" s="9" t="n">
        <f aca="false">((((K29+K39)*Assumptions!$C$92)/100)+((K126*Assumptions!$C$93)/100))</f>
        <v>76.5927656330669</v>
      </c>
      <c r="L169" s="9" t="n">
        <f aca="false">((((L29+L39)*Assumptions!$C$92)/100)+((L126*Assumptions!$C$93)/100))</f>
        <v>80.3215546041622</v>
      </c>
      <c r="M169" s="9" t="n">
        <f aca="false">((((M29+M39)*Assumptions!$C$92)/100)+((M126*Assumptions!$C$93)/100))</f>
        <v>75.1429012226613</v>
      </c>
      <c r="N169" s="9" t="n">
        <f aca="false">((((N29+N39)*Assumptions!$C$92)/100)+((N126*Assumptions!$C$93)/100))</f>
        <v>88.3803935346985</v>
      </c>
      <c r="O169" s="9" t="n">
        <f aca="false">((((O29+O39)*Assumptions!$C$92)/100)+((O126*Assumptions!$C$93)/100))</f>
        <v>151.508740026186</v>
      </c>
      <c r="P169" s="9" t="n">
        <f aca="false">((((P29+P39)*Assumptions!$C$92)/100)+((P126*Assumptions!$C$93)/100))</f>
        <v>164.435487877571</v>
      </c>
      <c r="Q169" s="9" t="n">
        <f aca="false">((((Q29+Q39)*Assumptions!$C$92)/100)+((Q126*Assumptions!$C$93)/100))</f>
        <v>249.223077922885</v>
      </c>
      <c r="R169" s="9" t="n">
        <f aca="false">((((R29+R39)*Assumptions!$C$92)/100)+((R126*Assumptions!$C$93)/100))</f>
        <v>313.030152995596</v>
      </c>
      <c r="S169" s="9" t="n">
        <f aca="false">((((S29+S39)*Assumptions!$C$92)/100)+((S126*Assumptions!$C$93)/100))</f>
        <v>328.766435553549</v>
      </c>
      <c r="T169" s="9" t="n">
        <f aca="false">((((T29+T39)*Assumptions!$C$92)/100)+((T126*Assumptions!$C$93)/100))</f>
        <v>339.333042745175</v>
      </c>
      <c r="U169" s="9" t="n">
        <f aca="false">((((U29+U39)*Assumptions!$C$92)/100)+((U126*Assumptions!$C$93)/100))</f>
        <v>396.511399791894</v>
      </c>
      <c r="V169" s="9" t="n">
        <f aca="false">((((V29+V39)*Assumptions!$C$92)/100)+((V126*Assumptions!$C$93)/100))</f>
        <v>467.304756092473</v>
      </c>
      <c r="W169" s="9" t="n">
        <f aca="false">((((W29+W39)*Assumptions!$C$92)/100)+((W126*Assumptions!$C$93)/100))</f>
        <v>533.134472446122</v>
      </c>
      <c r="X169" s="9" t="n">
        <f aca="false">((((X29+X39)*Assumptions!$C$92)/100)+((X126*Assumptions!$C$93)/100))</f>
        <v>566.575793966753</v>
      </c>
      <c r="Y169" s="9" t="n">
        <f aca="false">((((Y29+Y39)*Assumptions!$C$92)/100)+((Y126*Assumptions!$C$93)/100))</f>
        <v>652.194941502376</v>
      </c>
      <c r="Z169" s="9" t="n">
        <f aca="false">((((Z29+Z39)*Assumptions!$C$92)/100)+((Z126*Assumptions!$C$93)/100))</f>
        <v>654.693365352767</v>
      </c>
      <c r="AA169" s="9" t="n">
        <f aca="false">((((AA29+AA39)*Assumptions!$C$92)/100)+((AA126*Assumptions!$C$93)/100))</f>
        <v>710.236264263298</v>
      </c>
      <c r="AB169" s="9" t="n">
        <f aca="false">((((AB29+AB39)*Assumptions!$C$92)/100)+((AB126*Assumptions!$C$93)/100))</f>
        <v>911.901454108197</v>
      </c>
      <c r="AC169" s="9" t="n">
        <f aca="false">((((AC29+AC39)*Assumptions!$C$92)/100)+((AC126*Assumptions!$C$93)/100))</f>
        <v>924.320467610727</v>
      </c>
      <c r="AD169" s="9" t="n">
        <f aca="false">((((AD29+AD39)*Assumptions!$C$92)/100)+((AD126*Assumptions!$C$93)/100))</f>
        <v>974.129699032776</v>
      </c>
      <c r="AE169" s="9" t="n">
        <f aca="false">((((AE29+AE39)*Assumptions!$C$92)/100)+((AE126*Assumptions!$C$93)/100))</f>
        <v>1163.32584145186</v>
      </c>
      <c r="AF169" s="9" t="n">
        <f aca="false">((((AF29+AF39)*Assumptions!$C$92)/100)+((AF126*Assumptions!$C$93)/100))</f>
        <v>1267.64541161175</v>
      </c>
      <c r="AG169" s="9" t="n">
        <f aca="false">((((AG29+AG39)*Assumptions!$C$92)/100)+((AG126*Assumptions!$C$93)/100))</f>
        <v>1306.93286769402</v>
      </c>
      <c r="AH169" s="9" t="n">
        <f aca="false">((((AH29+AH39)*Assumptions!$C$92)/100)+((AH126*Assumptions!$C$93)/100))</f>
        <v>1574.87207292145</v>
      </c>
      <c r="AI169" s="9" t="n">
        <f aca="false">((((AI29+AI39)*Assumptions!$C$92)/100)+((AI126*Assumptions!$C$93)/100))</f>
        <v>1651.82052323854</v>
      </c>
      <c r="AJ169" s="9" t="n">
        <f aca="false">((((AJ29+AJ39)*Assumptions!$C$92)/100)+((AJ126*Assumptions!$C$93)/100))</f>
        <v>1681.00034742415</v>
      </c>
      <c r="AK169" s="9" t="n">
        <f aca="false">((((AK29+AK39)*Assumptions!$C$92)/100)+((AK126*Assumptions!$C$93)/100))</f>
        <v>2027.6184739196</v>
      </c>
      <c r="AL169" s="9" t="n">
        <f aca="false">((((AL29+AL39)*Assumptions!$C$92)/100)+((AL126*Assumptions!$C$93)/100))</f>
        <v>2334.33658757145</v>
      </c>
      <c r="AN169" s="11" t="n">
        <f aca="false">SUM(C169:N169)</f>
        <v>513.311029832732</v>
      </c>
      <c r="AO169" s="11" t="n">
        <f aca="false">SUM(O169:Z169)</f>
        <v>4816.71166627335</v>
      </c>
      <c r="AP169" s="11" t="n">
        <f aca="false">SUM(AA169:AL169)</f>
        <v>16528.1400108478</v>
      </c>
    </row>
    <row r="170" customFormat="false" ht="15" hidden="false" customHeight="false" outlineLevel="0" collapsed="false">
      <c r="A170" s="0" t="s">
        <v>972</v>
      </c>
      <c r="B170" s="0" t="s">
        <v>230</v>
      </c>
      <c r="C170" s="9" t="n">
        <f aca="false">((C169*Assumptions!$C$94)*Assumptions!$C$95)</f>
        <v>7.3125</v>
      </c>
      <c r="D170" s="9" t="n">
        <f aca="false">((D169*Assumptions!$C$94)*Assumptions!$C$95)</f>
        <v>12.99375</v>
      </c>
      <c r="E170" s="9" t="n">
        <f aca="false">((E169*Assumptions!$C$94)*Assumptions!$C$95)</f>
        <v>17.122725</v>
      </c>
      <c r="F170" s="9" t="n">
        <f aca="false">((F169*Assumptions!$C$94)*Assumptions!$C$95)</f>
        <v>20.42757</v>
      </c>
      <c r="G170" s="9" t="n">
        <f aca="false">((G169*Assumptions!$C$94)*Assumptions!$C$95)</f>
        <v>31.42462134</v>
      </c>
      <c r="H170" s="9" t="n">
        <f aca="false">((H169*Assumptions!$C$94)*Assumptions!$C$95)</f>
        <v>32.5199262162</v>
      </c>
      <c r="I170" s="9" t="n">
        <f aca="false">((I169*Assumptions!$C$94)*Assumptions!$C$95)</f>
        <v>35.305454074764</v>
      </c>
      <c r="J170" s="9" t="n">
        <f aca="false">((J169*Assumptions!$C$94)*Assumptions!$C$95)</f>
        <v>83.9852219167146</v>
      </c>
      <c r="K170" s="9" t="n">
        <f aca="false">((K169*Assumptions!$C$94)*Assumptions!$C$95)</f>
        <v>95.7409570413336</v>
      </c>
      <c r="L170" s="9" t="n">
        <f aca="false">((L169*Assumptions!$C$94)*Assumptions!$C$95)</f>
        <v>100.401943255203</v>
      </c>
      <c r="M170" s="9" t="n">
        <f aca="false">((M169*Assumptions!$C$94)*Assumptions!$C$95)</f>
        <v>93.9286265283266</v>
      </c>
      <c r="N170" s="9" t="n">
        <f aca="false">((N169*Assumptions!$C$94)*Assumptions!$C$95)</f>
        <v>110.475491918373</v>
      </c>
      <c r="O170" s="9" t="n">
        <f aca="false">((O169*Assumptions!$C$94)*Assumptions!$C$95)</f>
        <v>189.385925032732</v>
      </c>
      <c r="P170" s="9" t="n">
        <f aca="false">((P169*Assumptions!$C$94)*Assumptions!$C$95)</f>
        <v>205.544359846964</v>
      </c>
      <c r="Q170" s="9" t="n">
        <f aca="false">((Q169*Assumptions!$C$94)*Assumptions!$C$95)</f>
        <v>311.528847403606</v>
      </c>
      <c r="R170" s="9" t="n">
        <f aca="false">((R169*Assumptions!$C$94)*Assumptions!$C$95)</f>
        <v>391.287691244495</v>
      </c>
      <c r="S170" s="9" t="n">
        <f aca="false">((S169*Assumptions!$C$94)*Assumptions!$C$95)</f>
        <v>410.958044441937</v>
      </c>
      <c r="T170" s="9" t="n">
        <f aca="false">((T169*Assumptions!$C$94)*Assumptions!$C$95)</f>
        <v>424.166303431469</v>
      </c>
      <c r="U170" s="9" t="n">
        <f aca="false">((U169*Assumptions!$C$94)*Assumptions!$C$95)</f>
        <v>495.639249739867</v>
      </c>
      <c r="V170" s="9" t="n">
        <f aca="false">((V169*Assumptions!$C$94)*Assumptions!$C$95)</f>
        <v>584.130945115591</v>
      </c>
      <c r="W170" s="9" t="n">
        <f aca="false">((W169*Assumptions!$C$94)*Assumptions!$C$95)</f>
        <v>666.418090557652</v>
      </c>
      <c r="X170" s="9" t="n">
        <f aca="false">((X169*Assumptions!$C$94)*Assumptions!$C$95)</f>
        <v>708.219742458441</v>
      </c>
      <c r="Y170" s="9" t="n">
        <f aca="false">((Y169*Assumptions!$C$94)*Assumptions!$C$95)</f>
        <v>815.24367687797</v>
      </c>
      <c r="Z170" s="9" t="n">
        <f aca="false">((Z169*Assumptions!$C$94)*Assumptions!$C$95)</f>
        <v>818.366706690959</v>
      </c>
      <c r="AA170" s="9" t="n">
        <f aca="false">((AA169*Assumptions!$C$94)*Assumptions!$C$95)</f>
        <v>887.795330329123</v>
      </c>
      <c r="AB170" s="9" t="n">
        <f aca="false">((AB169*Assumptions!$C$94)*Assumptions!$C$95)</f>
        <v>1139.87681763525</v>
      </c>
      <c r="AC170" s="9" t="n">
        <f aca="false">((AC169*Assumptions!$C$94)*Assumptions!$C$95)</f>
        <v>1155.40058451341</v>
      </c>
      <c r="AD170" s="9" t="n">
        <f aca="false">((AD169*Assumptions!$C$94)*Assumptions!$C$95)</f>
        <v>1217.66212379097</v>
      </c>
      <c r="AE170" s="9" t="n">
        <f aca="false">((AE169*Assumptions!$C$94)*Assumptions!$C$95)</f>
        <v>1454.15730181482</v>
      </c>
      <c r="AF170" s="9" t="n">
        <f aca="false">((AF169*Assumptions!$C$94)*Assumptions!$C$95)</f>
        <v>1584.55676451469</v>
      </c>
      <c r="AG170" s="9" t="n">
        <f aca="false">((AG169*Assumptions!$C$94)*Assumptions!$C$95)</f>
        <v>1633.66608461752</v>
      </c>
      <c r="AH170" s="9" t="n">
        <f aca="false">((AH169*Assumptions!$C$94)*Assumptions!$C$95)</f>
        <v>1968.59009115182</v>
      </c>
      <c r="AI170" s="9" t="n">
        <f aca="false">((AI169*Assumptions!$C$94)*Assumptions!$C$95)</f>
        <v>2064.77565404818</v>
      </c>
      <c r="AJ170" s="9" t="n">
        <f aca="false">((AJ169*Assumptions!$C$94)*Assumptions!$C$95)</f>
        <v>2101.25043428019</v>
      </c>
      <c r="AK170" s="9" t="n">
        <f aca="false">((AK169*Assumptions!$C$94)*Assumptions!$C$95)</f>
        <v>2534.5230923995</v>
      </c>
      <c r="AL170" s="9" t="n">
        <f aca="false">((AL169*Assumptions!$C$94)*Assumptions!$C$95)</f>
        <v>2917.92073446432</v>
      </c>
      <c r="AN170" s="11" t="n">
        <f aca="false">SUM(C170:N170)</f>
        <v>641.638787290915</v>
      </c>
      <c r="AO170" s="11" t="n">
        <f aca="false">SUM(O170:Z170)</f>
        <v>6020.88958284168</v>
      </c>
      <c r="AP170" s="11" t="n">
        <f aca="false">SUM(AA170:AL170)</f>
        <v>20660.1750135598</v>
      </c>
    </row>
    <row r="171" customFormat="false" ht="15" hidden="false" customHeight="false" outlineLevel="0" collapsed="false">
      <c r="A171" s="0" t="s">
        <v>973</v>
      </c>
      <c r="B171" s="0" t="s">
        <v>230</v>
      </c>
      <c r="C171" s="9" t="n">
        <f aca="false">SUMPRODUCT((Headcount!$C$5:$C$90="SUPPORT")*Headcount!$D$5:$D$90*Headcount!$F$5:$F$90*((Headcount!$I$5:$I$90=0)+(Headcount!$I$5:$I$90=1)*$C$16)*(C$18&gt;=(Headcount!$E$5:$E$90+Headcount!$G$5:$G$90*$C$15)))/12*(1+Assumptions!$C$97)</f>
        <v>0</v>
      </c>
      <c r="D171" s="9" t="n">
        <f aca="false">SUMPRODUCT((Headcount!$C$5:$C$90="SUPPORT")*Headcount!$D$5:$D$90*Headcount!$F$5:$F$90*((Headcount!$I$5:$I$90=0)+(Headcount!$I$5:$I$90=1)*$C$16)*(D$18&gt;=(Headcount!$E$5:$E$90+Headcount!$G$5:$G$90*$C$15)))/12*(1+Assumptions!$C$97)</f>
        <v>0</v>
      </c>
      <c r="E171" s="9" t="n">
        <f aca="false">SUMPRODUCT((Headcount!$C$5:$C$90="SUPPORT")*Headcount!$D$5:$D$90*Headcount!$F$5:$F$90*((Headcount!$I$5:$I$90=0)+(Headcount!$I$5:$I$90=1)*$C$16)*(E$18&gt;=(Headcount!$E$5:$E$90+Headcount!$G$5:$G$90*$C$15)))/12*(1+Assumptions!$C$97)</f>
        <v>0</v>
      </c>
      <c r="F171" s="9" t="n">
        <f aca="false">SUMPRODUCT((Headcount!$C$5:$C$90="SUPPORT")*Headcount!$D$5:$D$90*Headcount!$F$5:$F$90*((Headcount!$I$5:$I$90=0)+(Headcount!$I$5:$I$90=1)*$C$16)*(F$18&gt;=(Headcount!$E$5:$E$90+Headcount!$G$5:$G$90*$C$15)))/12*(1+Assumptions!$C$97)</f>
        <v>0</v>
      </c>
      <c r="G171" s="9" t="n">
        <f aca="false">SUMPRODUCT((Headcount!$C$5:$C$90="SUPPORT")*Headcount!$D$5:$D$90*Headcount!$F$5:$F$90*((Headcount!$I$5:$I$90=0)+(Headcount!$I$5:$I$90=1)*$C$16)*(G$18&gt;=(Headcount!$E$5:$E$90+Headcount!$G$5:$G$90*$C$15)))/12*(1+Assumptions!$C$97)</f>
        <v>0</v>
      </c>
      <c r="H171" s="9" t="n">
        <f aca="false">SUMPRODUCT((Headcount!$C$5:$C$90="SUPPORT")*Headcount!$D$5:$D$90*Headcount!$F$5:$F$90*((Headcount!$I$5:$I$90=0)+(Headcount!$I$5:$I$90=1)*$C$16)*(H$18&gt;=(Headcount!$E$5:$E$90+Headcount!$G$5:$G$90*$C$15)))/12*(1+Assumptions!$C$97)</f>
        <v>0</v>
      </c>
      <c r="I171" s="9" t="n">
        <f aca="false">SUMPRODUCT((Headcount!$C$5:$C$90="SUPPORT")*Headcount!$D$5:$D$90*Headcount!$F$5:$F$90*((Headcount!$I$5:$I$90=0)+(Headcount!$I$5:$I$90=1)*$C$16)*(I$18&gt;=(Headcount!$E$5:$E$90+Headcount!$G$5:$G$90*$C$15)))/12*(1+Assumptions!$C$97)</f>
        <v>0</v>
      </c>
      <c r="J171" s="9" t="n">
        <f aca="false">SUMPRODUCT((Headcount!$C$5:$C$90="SUPPORT")*Headcount!$D$5:$D$90*Headcount!$F$5:$F$90*((Headcount!$I$5:$I$90=0)+(Headcount!$I$5:$I$90=1)*$C$16)*(J$18&gt;=(Headcount!$E$5:$E$90+Headcount!$G$5:$G$90*$C$15)))/12*(1+Assumptions!$C$97)</f>
        <v>0</v>
      </c>
      <c r="K171" s="9" t="n">
        <f aca="false">SUMPRODUCT((Headcount!$C$5:$C$90="SUPPORT")*Headcount!$D$5:$D$90*Headcount!$F$5:$F$90*((Headcount!$I$5:$I$90=0)+(Headcount!$I$5:$I$90=1)*$C$16)*(K$18&gt;=(Headcount!$E$5:$E$90+Headcount!$G$5:$G$90*$C$15)))/12*(1+Assumptions!$C$97)</f>
        <v>6303.33333333333</v>
      </c>
      <c r="L171" s="9" t="n">
        <f aca="false">SUMPRODUCT((Headcount!$C$5:$C$90="SUPPORT")*Headcount!$D$5:$D$90*Headcount!$F$5:$F$90*((Headcount!$I$5:$I$90=0)+(Headcount!$I$5:$I$90=1)*$C$16)*(L$18&gt;=(Headcount!$E$5:$E$90+Headcount!$G$5:$G$90*$C$15)))/12*(1+Assumptions!$C$97)</f>
        <v>6303.33333333333</v>
      </c>
      <c r="M171" s="9" t="n">
        <f aca="false">SUMPRODUCT((Headcount!$C$5:$C$90="SUPPORT")*Headcount!$D$5:$D$90*Headcount!$F$5:$F$90*((Headcount!$I$5:$I$90=0)+(Headcount!$I$5:$I$90=1)*$C$16)*(M$18&gt;=(Headcount!$E$5:$E$90+Headcount!$G$5:$G$90*$C$15)))/12*(1+Assumptions!$C$97)</f>
        <v>6303.33333333333</v>
      </c>
      <c r="N171" s="9" t="n">
        <f aca="false">SUMPRODUCT((Headcount!$C$5:$C$90="SUPPORT")*Headcount!$D$5:$D$90*Headcount!$F$5:$F$90*((Headcount!$I$5:$I$90=0)+(Headcount!$I$5:$I$90=1)*$C$16)*(N$18&gt;=(Headcount!$E$5:$E$90+Headcount!$G$5:$G$90*$C$15)))/12*(1+Assumptions!$C$97)</f>
        <v>6303.33333333333</v>
      </c>
      <c r="O171" s="9" t="n">
        <f aca="false">SUMPRODUCT((Headcount!$C$5:$C$90="SUPPORT")*Headcount!$D$5:$D$90*Headcount!$F$5:$F$90*((Headcount!$I$5:$I$90=0)+(Headcount!$I$5:$I$90=1)*$C$16)*(O$18&gt;=(Headcount!$E$5:$E$90+Headcount!$G$5:$G$90*$C$15)))/12*(1+Assumptions!$C$97)</f>
        <v>6303.33333333333</v>
      </c>
      <c r="P171" s="9" t="n">
        <f aca="false">SUMPRODUCT((Headcount!$C$5:$C$90="SUPPORT")*Headcount!$D$5:$D$90*Headcount!$F$5:$F$90*((Headcount!$I$5:$I$90=0)+(Headcount!$I$5:$I$90=1)*$C$16)*(P$18&gt;=(Headcount!$E$5:$E$90+Headcount!$G$5:$G$90*$C$15)))/12*(1+Assumptions!$C$97)</f>
        <v>6303.33333333333</v>
      </c>
      <c r="Q171" s="9" t="n">
        <f aca="false">SUMPRODUCT((Headcount!$C$5:$C$90="SUPPORT")*Headcount!$D$5:$D$90*Headcount!$F$5:$F$90*((Headcount!$I$5:$I$90=0)+(Headcount!$I$5:$I$90=1)*$C$16)*(Q$18&gt;=(Headcount!$E$5:$E$90+Headcount!$G$5:$G$90*$C$15)))/12*(1+Assumptions!$C$97)</f>
        <v>6303.33333333333</v>
      </c>
      <c r="R171" s="9" t="n">
        <f aca="false">SUMPRODUCT((Headcount!$C$5:$C$90="SUPPORT")*Headcount!$D$5:$D$90*Headcount!$F$5:$F$90*((Headcount!$I$5:$I$90=0)+(Headcount!$I$5:$I$90=1)*$C$16)*(R$18&gt;=(Headcount!$E$5:$E$90+Headcount!$G$5:$G$90*$C$15)))/12*(1+Assumptions!$C$97)</f>
        <v>6303.33333333333</v>
      </c>
      <c r="S171" s="9" t="n">
        <f aca="false">SUMPRODUCT((Headcount!$C$5:$C$90="SUPPORT")*Headcount!$D$5:$D$90*Headcount!$F$5:$F$90*((Headcount!$I$5:$I$90=0)+(Headcount!$I$5:$I$90=1)*$C$16)*(S$18&gt;=(Headcount!$E$5:$E$90+Headcount!$G$5:$G$90*$C$15)))/12*(1+Assumptions!$C$97)</f>
        <v>6303.33333333333</v>
      </c>
      <c r="T171" s="9" t="n">
        <f aca="false">SUMPRODUCT((Headcount!$C$5:$C$90="SUPPORT")*Headcount!$D$5:$D$90*Headcount!$F$5:$F$90*((Headcount!$I$5:$I$90=0)+(Headcount!$I$5:$I$90=1)*$C$16)*(T$18&gt;=(Headcount!$E$5:$E$90+Headcount!$G$5:$G$90*$C$15)))/12*(1+Assumptions!$C$97)</f>
        <v>14945</v>
      </c>
      <c r="U171" s="9" t="n">
        <f aca="false">SUMPRODUCT((Headcount!$C$5:$C$90="SUPPORT")*Headcount!$D$5:$D$90*Headcount!$F$5:$F$90*((Headcount!$I$5:$I$90=0)+(Headcount!$I$5:$I$90=1)*$C$16)*(U$18&gt;=(Headcount!$E$5:$E$90+Headcount!$G$5:$G$90*$C$15)))/12*(1+Assumptions!$C$97)</f>
        <v>14945</v>
      </c>
      <c r="V171" s="9" t="n">
        <f aca="false">SUMPRODUCT((Headcount!$C$5:$C$90="SUPPORT")*Headcount!$D$5:$D$90*Headcount!$F$5:$F$90*((Headcount!$I$5:$I$90=0)+(Headcount!$I$5:$I$90=1)*$C$16)*(V$18&gt;=(Headcount!$E$5:$E$90+Headcount!$G$5:$G$90*$C$15)))/12*(1+Assumptions!$C$97)</f>
        <v>14945</v>
      </c>
      <c r="W171" s="9" t="n">
        <f aca="false">SUMPRODUCT((Headcount!$C$5:$C$90="SUPPORT")*Headcount!$D$5:$D$90*Headcount!$F$5:$F$90*((Headcount!$I$5:$I$90=0)+(Headcount!$I$5:$I$90=1)*$C$16)*(W$18&gt;=(Headcount!$E$5:$E$90+Headcount!$G$5:$G$90*$C$15)))/12*(1+Assumptions!$C$97)</f>
        <v>14945</v>
      </c>
      <c r="X171" s="9" t="n">
        <f aca="false">SUMPRODUCT((Headcount!$C$5:$C$90="SUPPORT")*Headcount!$D$5:$D$90*Headcount!$F$5:$F$90*((Headcount!$I$5:$I$90=0)+(Headcount!$I$5:$I$90=1)*$C$16)*(X$18&gt;=(Headcount!$E$5:$E$90+Headcount!$G$5:$G$90*$C$15)))/12*(1+Assumptions!$C$97)</f>
        <v>14945</v>
      </c>
      <c r="Y171" s="9" t="n">
        <f aca="false">SUMPRODUCT((Headcount!$C$5:$C$90="SUPPORT")*Headcount!$D$5:$D$90*Headcount!$F$5:$F$90*((Headcount!$I$5:$I$90=0)+(Headcount!$I$5:$I$90=1)*$C$16)*(Y$18&gt;=(Headcount!$E$5:$E$90+Headcount!$G$5:$G$90*$C$15)))/12*(1+Assumptions!$C$97)</f>
        <v>14945</v>
      </c>
      <c r="Z171" s="9" t="n">
        <f aca="false">SUMPRODUCT((Headcount!$C$5:$C$90="SUPPORT")*Headcount!$D$5:$D$90*Headcount!$F$5:$F$90*((Headcount!$I$5:$I$90=0)+(Headcount!$I$5:$I$90=1)*$C$16)*(Z$18&gt;=(Headcount!$E$5:$E$90+Headcount!$G$5:$G$90*$C$15)))/12*(1+Assumptions!$C$97)</f>
        <v>14945</v>
      </c>
      <c r="AA171" s="9" t="n">
        <f aca="false">SUMPRODUCT((Headcount!$C$5:$C$90="SUPPORT")*Headcount!$D$5:$D$90*Headcount!$F$5:$F$90*((Headcount!$I$5:$I$90=0)+(Headcount!$I$5:$I$90=1)*$C$16)*(AA$18&gt;=(Headcount!$E$5:$E$90+Headcount!$G$5:$G$90*$C$15)))/12*(1+Assumptions!$C$97)</f>
        <v>14945</v>
      </c>
      <c r="AB171" s="9" t="n">
        <f aca="false">SUMPRODUCT((Headcount!$C$5:$C$90="SUPPORT")*Headcount!$D$5:$D$90*Headcount!$F$5:$F$90*((Headcount!$I$5:$I$90=0)+(Headcount!$I$5:$I$90=1)*$C$16)*(AB$18&gt;=(Headcount!$E$5:$E$90+Headcount!$G$5:$G$90*$C$15)))/12*(1+Assumptions!$C$97)</f>
        <v>21248.3333333333</v>
      </c>
      <c r="AC171" s="9" t="n">
        <f aca="false">SUMPRODUCT((Headcount!$C$5:$C$90="SUPPORT")*Headcount!$D$5:$D$90*Headcount!$F$5:$F$90*((Headcount!$I$5:$I$90=0)+(Headcount!$I$5:$I$90=1)*$C$16)*(AC$18&gt;=(Headcount!$E$5:$E$90+Headcount!$G$5:$G$90*$C$15)))/12*(1+Assumptions!$C$97)</f>
        <v>21248.3333333333</v>
      </c>
      <c r="AD171" s="9" t="n">
        <f aca="false">SUMPRODUCT((Headcount!$C$5:$C$90="SUPPORT")*Headcount!$D$5:$D$90*Headcount!$F$5:$F$90*((Headcount!$I$5:$I$90=0)+(Headcount!$I$5:$I$90=1)*$C$16)*(AD$18&gt;=(Headcount!$E$5:$E$90+Headcount!$G$5:$G$90*$C$15)))/12*(1+Assumptions!$C$97)</f>
        <v>21248.3333333333</v>
      </c>
      <c r="AE171" s="9" t="n">
        <f aca="false">SUMPRODUCT((Headcount!$C$5:$C$90="SUPPORT")*Headcount!$D$5:$D$90*Headcount!$F$5:$F$90*((Headcount!$I$5:$I$90=0)+(Headcount!$I$5:$I$90=1)*$C$16)*(AE$18&gt;=(Headcount!$E$5:$E$90+Headcount!$G$5:$G$90*$C$15)))/12*(1+Assumptions!$C$97)</f>
        <v>21248.3333333333</v>
      </c>
      <c r="AF171" s="9" t="n">
        <f aca="false">SUMPRODUCT((Headcount!$C$5:$C$90="SUPPORT")*Headcount!$D$5:$D$90*Headcount!$F$5:$F$90*((Headcount!$I$5:$I$90=0)+(Headcount!$I$5:$I$90=1)*$C$16)*(AF$18&gt;=(Headcount!$E$5:$E$90+Headcount!$G$5:$G$90*$C$15)))/12*(1+Assumptions!$C$97)</f>
        <v>21248.3333333333</v>
      </c>
      <c r="AG171" s="9" t="n">
        <f aca="false">SUMPRODUCT((Headcount!$C$5:$C$90="SUPPORT")*Headcount!$D$5:$D$90*Headcount!$F$5:$F$90*((Headcount!$I$5:$I$90=0)+(Headcount!$I$5:$I$90=1)*$C$16)*(AG$18&gt;=(Headcount!$E$5:$E$90+Headcount!$G$5:$G$90*$C$15)))/12*(1+Assumptions!$C$97)</f>
        <v>21248.3333333333</v>
      </c>
      <c r="AH171" s="9" t="n">
        <f aca="false">SUMPRODUCT((Headcount!$C$5:$C$90="SUPPORT")*Headcount!$D$5:$D$90*Headcount!$F$5:$F$90*((Headcount!$I$5:$I$90=0)+(Headcount!$I$5:$I$90=1)*$C$16)*(AH$18&gt;=(Headcount!$E$5:$E$90+Headcount!$G$5:$G$90*$C$15)))/12*(1+Assumptions!$C$97)</f>
        <v>21248.3333333333</v>
      </c>
      <c r="AI171" s="9" t="n">
        <f aca="false">SUMPRODUCT((Headcount!$C$5:$C$90="SUPPORT")*Headcount!$D$5:$D$90*Headcount!$F$5:$F$90*((Headcount!$I$5:$I$90=0)+(Headcount!$I$5:$I$90=1)*$C$16)*(AI$18&gt;=(Headcount!$E$5:$E$90+Headcount!$G$5:$G$90*$C$15)))/12*(1+Assumptions!$C$97)</f>
        <v>27551.6666666667</v>
      </c>
      <c r="AJ171" s="9" t="n">
        <f aca="false">SUMPRODUCT((Headcount!$C$5:$C$90="SUPPORT")*Headcount!$D$5:$D$90*Headcount!$F$5:$F$90*((Headcount!$I$5:$I$90=0)+(Headcount!$I$5:$I$90=1)*$C$16)*(AJ$18&gt;=(Headcount!$E$5:$E$90+Headcount!$G$5:$G$90*$C$15)))/12*(1+Assumptions!$C$97)</f>
        <v>27551.6666666667</v>
      </c>
      <c r="AK171" s="9" t="n">
        <f aca="false">SUMPRODUCT((Headcount!$C$5:$C$90="SUPPORT")*Headcount!$D$5:$D$90*Headcount!$F$5:$F$90*((Headcount!$I$5:$I$90=0)+(Headcount!$I$5:$I$90=1)*$C$16)*(AK$18&gt;=(Headcount!$E$5:$E$90+Headcount!$G$5:$G$90*$C$15)))/12*(1+Assumptions!$C$97)</f>
        <v>27551.6666666667</v>
      </c>
      <c r="AL171" s="9" t="n">
        <f aca="false">SUMPRODUCT((Headcount!$C$5:$C$90="SUPPORT")*Headcount!$D$5:$D$90*Headcount!$F$5:$F$90*((Headcount!$I$5:$I$90=0)+(Headcount!$I$5:$I$90=1)*$C$16)*(AL$18&gt;=(Headcount!$E$5:$E$90+Headcount!$G$5:$G$90*$C$15)))/12*(1+Assumptions!$C$97)</f>
        <v>27551.6666666667</v>
      </c>
      <c r="AN171" s="11" t="n">
        <f aca="false">SUM(C171:N171)</f>
        <v>25213.3333333333</v>
      </c>
      <c r="AO171" s="11" t="n">
        <f aca="false">SUM(O171:Z171)</f>
        <v>136131.666666667</v>
      </c>
      <c r="AP171" s="11" t="n">
        <f aca="false">SUM(AA171:AL171)</f>
        <v>273890</v>
      </c>
    </row>
    <row r="172" customFormat="false" ht="15" hidden="false" customHeight="false" outlineLevel="0" collapsed="false">
      <c r="A172" s="0" t="s">
        <v>974</v>
      </c>
      <c r="B172" s="0" t="s">
        <v>230</v>
      </c>
      <c r="C172" s="9" t="n">
        <f aca="false">SUMPRODUCT((Headcount!$C$5:$C$90="IMPL")*Headcount!$D$5:$D$90*Headcount!$F$5:$F$90*((Headcount!$I$5:$I$90=0)+(Headcount!$I$5:$I$90=1)*$C$16)*(C$18&gt;=(Headcount!$E$5:$E$90+Headcount!$G$5:$G$90*$C$15)))/12*(1+Assumptions!$C$97)</f>
        <v>0</v>
      </c>
      <c r="D172" s="9" t="n">
        <f aca="false">SUMPRODUCT((Headcount!$C$5:$C$90="IMPL")*Headcount!$D$5:$D$90*Headcount!$F$5:$F$90*((Headcount!$I$5:$I$90=0)+(Headcount!$I$5:$I$90=1)*$C$16)*(D$18&gt;=(Headcount!$E$5:$E$90+Headcount!$G$5:$G$90*$C$15)))/12*(1+Assumptions!$C$97)</f>
        <v>0</v>
      </c>
      <c r="E172" s="9" t="n">
        <f aca="false">SUMPRODUCT((Headcount!$C$5:$C$90="IMPL")*Headcount!$D$5:$D$90*Headcount!$F$5:$F$90*((Headcount!$I$5:$I$90=0)+(Headcount!$I$5:$I$90=1)*$C$16)*(E$18&gt;=(Headcount!$E$5:$E$90+Headcount!$G$5:$G$90*$C$15)))/12*(1+Assumptions!$C$97)</f>
        <v>0</v>
      </c>
      <c r="F172" s="9" t="n">
        <f aca="false">SUMPRODUCT((Headcount!$C$5:$C$90="IMPL")*Headcount!$D$5:$D$90*Headcount!$F$5:$F$90*((Headcount!$I$5:$I$90=0)+(Headcount!$I$5:$I$90=1)*$C$16)*(F$18&gt;=(Headcount!$E$5:$E$90+Headcount!$G$5:$G$90*$C$15)))/12*(1+Assumptions!$C$97)</f>
        <v>0</v>
      </c>
      <c r="G172" s="9" t="n">
        <f aca="false">SUMPRODUCT((Headcount!$C$5:$C$90="IMPL")*Headcount!$D$5:$D$90*Headcount!$F$5:$F$90*((Headcount!$I$5:$I$90=0)+(Headcount!$I$5:$I$90=1)*$C$16)*(G$18&gt;=(Headcount!$E$5:$E$90+Headcount!$G$5:$G$90*$C$15)))/12*(1+Assumptions!$C$97)</f>
        <v>10166.6666666667</v>
      </c>
      <c r="H172" s="9" t="n">
        <f aca="false">SUMPRODUCT((Headcount!$C$5:$C$90="IMPL")*Headcount!$D$5:$D$90*Headcount!$F$5:$F$90*((Headcount!$I$5:$I$90=0)+(Headcount!$I$5:$I$90=1)*$C$16)*(H$18&gt;=(Headcount!$E$5:$E$90+Headcount!$G$5:$G$90*$C$15)))/12*(1+Assumptions!$C$97)</f>
        <v>10166.6666666667</v>
      </c>
      <c r="I172" s="9" t="n">
        <f aca="false">SUMPRODUCT((Headcount!$C$5:$C$90="IMPL")*Headcount!$D$5:$D$90*Headcount!$F$5:$F$90*((Headcount!$I$5:$I$90=0)+(Headcount!$I$5:$I$90=1)*$C$16)*(I$18&gt;=(Headcount!$E$5:$E$90+Headcount!$G$5:$G$90*$C$15)))/12*(1+Assumptions!$C$97)</f>
        <v>10166.6666666667</v>
      </c>
      <c r="J172" s="9" t="n">
        <f aca="false">SUMPRODUCT((Headcount!$C$5:$C$90="IMPL")*Headcount!$D$5:$D$90*Headcount!$F$5:$F$90*((Headcount!$I$5:$I$90=0)+(Headcount!$I$5:$I$90=1)*$C$16)*(J$18&gt;=(Headcount!$E$5:$E$90+Headcount!$G$5:$G$90*$C$15)))/12*(1+Assumptions!$C$97)</f>
        <v>10166.6666666667</v>
      </c>
      <c r="K172" s="9" t="n">
        <f aca="false">SUMPRODUCT((Headcount!$C$5:$C$90="IMPL")*Headcount!$D$5:$D$90*Headcount!$F$5:$F$90*((Headcount!$I$5:$I$90=0)+(Headcount!$I$5:$I$90=1)*$C$16)*(K$18&gt;=(Headcount!$E$5:$E$90+Headcount!$G$5:$G$90*$C$15)))/12*(1+Assumptions!$C$97)</f>
        <v>10166.6666666667</v>
      </c>
      <c r="L172" s="9" t="n">
        <f aca="false">SUMPRODUCT((Headcount!$C$5:$C$90="IMPL")*Headcount!$D$5:$D$90*Headcount!$F$5:$F$90*((Headcount!$I$5:$I$90=0)+(Headcount!$I$5:$I$90=1)*$C$16)*(L$18&gt;=(Headcount!$E$5:$E$90+Headcount!$G$5:$G$90*$C$15)))/12*(1+Assumptions!$C$97)</f>
        <v>10166.6666666667</v>
      </c>
      <c r="M172" s="9" t="n">
        <f aca="false">SUMPRODUCT((Headcount!$C$5:$C$90="IMPL")*Headcount!$D$5:$D$90*Headcount!$F$5:$F$90*((Headcount!$I$5:$I$90=0)+(Headcount!$I$5:$I$90=1)*$C$16)*(M$18&gt;=(Headcount!$E$5:$E$90+Headcount!$G$5:$G$90*$C$15)))/12*(1+Assumptions!$C$97)</f>
        <v>20333.3333333333</v>
      </c>
      <c r="N172" s="9" t="n">
        <f aca="false">SUMPRODUCT((Headcount!$C$5:$C$90="IMPL")*Headcount!$D$5:$D$90*Headcount!$F$5:$F$90*((Headcount!$I$5:$I$90=0)+(Headcount!$I$5:$I$90=1)*$C$16)*(N$18&gt;=(Headcount!$E$5:$E$90+Headcount!$G$5:$G$90*$C$15)))/12*(1+Assumptions!$C$97)</f>
        <v>20333.3333333333</v>
      </c>
      <c r="O172" s="9" t="n">
        <f aca="false">SUMPRODUCT((Headcount!$C$5:$C$90="IMPL")*Headcount!$D$5:$D$90*Headcount!$F$5:$F$90*((Headcount!$I$5:$I$90=0)+(Headcount!$I$5:$I$90=1)*$C$16)*(O$18&gt;=(Headcount!$E$5:$E$90+Headcount!$G$5:$G$90*$C$15)))/12*(1+Assumptions!$C$97)</f>
        <v>20333.3333333333</v>
      </c>
      <c r="P172" s="9" t="n">
        <f aca="false">SUMPRODUCT((Headcount!$C$5:$C$90="IMPL")*Headcount!$D$5:$D$90*Headcount!$F$5:$F$90*((Headcount!$I$5:$I$90=0)+(Headcount!$I$5:$I$90=1)*$C$16)*(P$18&gt;=(Headcount!$E$5:$E$90+Headcount!$G$5:$G$90*$C$15)))/12*(1+Assumptions!$C$97)</f>
        <v>20333.3333333333</v>
      </c>
      <c r="Q172" s="9" t="n">
        <f aca="false">SUMPRODUCT((Headcount!$C$5:$C$90="IMPL")*Headcount!$D$5:$D$90*Headcount!$F$5:$F$90*((Headcount!$I$5:$I$90=0)+(Headcount!$I$5:$I$90=1)*$C$16)*(Q$18&gt;=(Headcount!$E$5:$E$90+Headcount!$G$5:$G$90*$C$15)))/12*(1+Assumptions!$C$97)</f>
        <v>30500</v>
      </c>
      <c r="R172" s="9" t="n">
        <f aca="false">SUMPRODUCT((Headcount!$C$5:$C$90="IMPL")*Headcount!$D$5:$D$90*Headcount!$F$5:$F$90*((Headcount!$I$5:$I$90=0)+(Headcount!$I$5:$I$90=1)*$C$16)*(R$18&gt;=(Headcount!$E$5:$E$90+Headcount!$G$5:$G$90*$C$15)))/12*(1+Assumptions!$C$97)</f>
        <v>30500</v>
      </c>
      <c r="S172" s="9" t="n">
        <f aca="false">SUMPRODUCT((Headcount!$C$5:$C$90="IMPL")*Headcount!$D$5:$D$90*Headcount!$F$5:$F$90*((Headcount!$I$5:$I$90=0)+(Headcount!$I$5:$I$90=1)*$C$16)*(S$18&gt;=(Headcount!$E$5:$E$90+Headcount!$G$5:$G$90*$C$15)))/12*(1+Assumptions!$C$97)</f>
        <v>30500</v>
      </c>
      <c r="T172" s="9" t="n">
        <f aca="false">SUMPRODUCT((Headcount!$C$5:$C$90="IMPL")*Headcount!$D$5:$D$90*Headcount!$F$5:$F$90*((Headcount!$I$5:$I$90=0)+(Headcount!$I$5:$I$90=1)*$C$16)*(T$18&gt;=(Headcount!$E$5:$E$90+Headcount!$G$5:$G$90*$C$15)))/12*(1+Assumptions!$C$97)</f>
        <v>30500</v>
      </c>
      <c r="U172" s="9" t="n">
        <f aca="false">SUMPRODUCT((Headcount!$C$5:$C$90="IMPL")*Headcount!$D$5:$D$90*Headcount!$F$5:$F$90*((Headcount!$I$5:$I$90=0)+(Headcount!$I$5:$I$90=1)*$C$16)*(U$18&gt;=(Headcount!$E$5:$E$90+Headcount!$G$5:$G$90*$C$15)))/12*(1+Assumptions!$C$97)</f>
        <v>40666.6666666667</v>
      </c>
      <c r="V172" s="9" t="n">
        <f aca="false">SUMPRODUCT((Headcount!$C$5:$C$90="IMPL")*Headcount!$D$5:$D$90*Headcount!$F$5:$F$90*((Headcount!$I$5:$I$90=0)+(Headcount!$I$5:$I$90=1)*$C$16)*(V$18&gt;=(Headcount!$E$5:$E$90+Headcount!$G$5:$G$90*$C$15)))/12*(1+Assumptions!$C$97)</f>
        <v>40666.6666666667</v>
      </c>
      <c r="W172" s="9" t="n">
        <f aca="false">SUMPRODUCT((Headcount!$C$5:$C$90="IMPL")*Headcount!$D$5:$D$90*Headcount!$F$5:$F$90*((Headcount!$I$5:$I$90=0)+(Headcount!$I$5:$I$90=1)*$C$16)*(W$18&gt;=(Headcount!$E$5:$E$90+Headcount!$G$5:$G$90*$C$15)))/12*(1+Assumptions!$C$97)</f>
        <v>40666.6666666667</v>
      </c>
      <c r="X172" s="9" t="n">
        <f aca="false">SUMPRODUCT((Headcount!$C$5:$C$90="IMPL")*Headcount!$D$5:$D$90*Headcount!$F$5:$F$90*((Headcount!$I$5:$I$90=0)+(Headcount!$I$5:$I$90=1)*$C$16)*(X$18&gt;=(Headcount!$E$5:$E$90+Headcount!$G$5:$G$90*$C$15)))/12*(1+Assumptions!$C$97)</f>
        <v>50833.3333333333</v>
      </c>
      <c r="Y172" s="9" t="n">
        <f aca="false">SUMPRODUCT((Headcount!$C$5:$C$90="IMPL")*Headcount!$D$5:$D$90*Headcount!$F$5:$F$90*((Headcount!$I$5:$I$90=0)+(Headcount!$I$5:$I$90=1)*$C$16)*(Y$18&gt;=(Headcount!$E$5:$E$90+Headcount!$G$5:$G$90*$C$15)))/12*(1+Assumptions!$C$97)</f>
        <v>50833.3333333333</v>
      </c>
      <c r="Z172" s="9" t="n">
        <f aca="false">SUMPRODUCT((Headcount!$C$5:$C$90="IMPL")*Headcount!$D$5:$D$90*Headcount!$F$5:$F$90*((Headcount!$I$5:$I$90=0)+(Headcount!$I$5:$I$90=1)*$C$16)*(Z$18&gt;=(Headcount!$E$5:$E$90+Headcount!$G$5:$G$90*$C$15)))/12*(1+Assumptions!$C$97)</f>
        <v>50833.3333333333</v>
      </c>
      <c r="AA172" s="9" t="n">
        <f aca="false">SUMPRODUCT((Headcount!$C$5:$C$90="IMPL")*Headcount!$D$5:$D$90*Headcount!$F$5:$F$90*((Headcount!$I$5:$I$90=0)+(Headcount!$I$5:$I$90=1)*$C$16)*(AA$18&gt;=(Headcount!$E$5:$E$90+Headcount!$G$5:$G$90*$C$15)))/12*(1+Assumptions!$C$97)</f>
        <v>61000</v>
      </c>
      <c r="AB172" s="9" t="n">
        <f aca="false">SUMPRODUCT((Headcount!$C$5:$C$90="IMPL")*Headcount!$D$5:$D$90*Headcount!$F$5:$F$90*((Headcount!$I$5:$I$90=0)+(Headcount!$I$5:$I$90=1)*$C$16)*(AB$18&gt;=(Headcount!$E$5:$E$90+Headcount!$G$5:$G$90*$C$15)))/12*(1+Assumptions!$C$97)</f>
        <v>61000</v>
      </c>
      <c r="AC172" s="9" t="n">
        <f aca="false">SUMPRODUCT((Headcount!$C$5:$C$90="IMPL")*Headcount!$D$5:$D$90*Headcount!$F$5:$F$90*((Headcount!$I$5:$I$90=0)+(Headcount!$I$5:$I$90=1)*$C$16)*(AC$18&gt;=(Headcount!$E$5:$E$90+Headcount!$G$5:$G$90*$C$15)))/12*(1+Assumptions!$C$97)</f>
        <v>61000</v>
      </c>
      <c r="AD172" s="9" t="n">
        <f aca="false">SUMPRODUCT((Headcount!$C$5:$C$90="IMPL")*Headcount!$D$5:$D$90*Headcount!$F$5:$F$90*((Headcount!$I$5:$I$90=0)+(Headcount!$I$5:$I$90=1)*$C$16)*(AD$18&gt;=(Headcount!$E$5:$E$90+Headcount!$G$5:$G$90*$C$15)))/12*(1+Assumptions!$C$97)</f>
        <v>71166.6666666667</v>
      </c>
      <c r="AE172" s="9" t="n">
        <f aca="false">SUMPRODUCT((Headcount!$C$5:$C$90="IMPL")*Headcount!$D$5:$D$90*Headcount!$F$5:$F$90*((Headcount!$I$5:$I$90=0)+(Headcount!$I$5:$I$90=1)*$C$16)*(AE$18&gt;=(Headcount!$E$5:$E$90+Headcount!$G$5:$G$90*$C$15)))/12*(1+Assumptions!$C$97)</f>
        <v>71166.6666666667</v>
      </c>
      <c r="AF172" s="9" t="n">
        <f aca="false">SUMPRODUCT((Headcount!$C$5:$C$90="IMPL")*Headcount!$D$5:$D$90*Headcount!$F$5:$F$90*((Headcount!$I$5:$I$90=0)+(Headcount!$I$5:$I$90=1)*$C$16)*(AF$18&gt;=(Headcount!$E$5:$E$90+Headcount!$G$5:$G$90*$C$15)))/12*(1+Assumptions!$C$97)</f>
        <v>71166.6666666667</v>
      </c>
      <c r="AG172" s="9" t="n">
        <f aca="false">SUMPRODUCT((Headcount!$C$5:$C$90="IMPL")*Headcount!$D$5:$D$90*Headcount!$F$5:$F$90*((Headcount!$I$5:$I$90=0)+(Headcount!$I$5:$I$90=1)*$C$16)*(AG$18&gt;=(Headcount!$E$5:$E$90+Headcount!$G$5:$G$90*$C$15)))/12*(1+Assumptions!$C$97)</f>
        <v>81333.3333333333</v>
      </c>
      <c r="AH172" s="9" t="n">
        <f aca="false">SUMPRODUCT((Headcount!$C$5:$C$90="IMPL")*Headcount!$D$5:$D$90*Headcount!$F$5:$F$90*((Headcount!$I$5:$I$90=0)+(Headcount!$I$5:$I$90=1)*$C$16)*(AH$18&gt;=(Headcount!$E$5:$E$90+Headcount!$G$5:$G$90*$C$15)))/12*(1+Assumptions!$C$97)</f>
        <v>81333.3333333333</v>
      </c>
      <c r="AI172" s="9" t="n">
        <f aca="false">SUMPRODUCT((Headcount!$C$5:$C$90="IMPL")*Headcount!$D$5:$D$90*Headcount!$F$5:$F$90*((Headcount!$I$5:$I$90=0)+(Headcount!$I$5:$I$90=1)*$C$16)*(AI$18&gt;=(Headcount!$E$5:$E$90+Headcount!$G$5:$G$90*$C$15)))/12*(1+Assumptions!$C$97)</f>
        <v>81333.3333333333</v>
      </c>
      <c r="AJ172" s="9" t="n">
        <f aca="false">SUMPRODUCT((Headcount!$C$5:$C$90="IMPL")*Headcount!$D$5:$D$90*Headcount!$F$5:$F$90*((Headcount!$I$5:$I$90=0)+(Headcount!$I$5:$I$90=1)*$C$16)*(AJ$18&gt;=(Headcount!$E$5:$E$90+Headcount!$G$5:$G$90*$C$15)))/12*(1+Assumptions!$C$97)</f>
        <v>81333.3333333333</v>
      </c>
      <c r="AK172" s="9" t="n">
        <f aca="false">SUMPRODUCT((Headcount!$C$5:$C$90="IMPL")*Headcount!$D$5:$D$90*Headcount!$F$5:$F$90*((Headcount!$I$5:$I$90=0)+(Headcount!$I$5:$I$90=1)*$C$16)*(AK$18&gt;=(Headcount!$E$5:$E$90+Headcount!$G$5:$G$90*$C$15)))/12*(1+Assumptions!$C$97)</f>
        <v>81333.3333333333</v>
      </c>
      <c r="AL172" s="9" t="n">
        <f aca="false">SUMPRODUCT((Headcount!$C$5:$C$90="IMPL")*Headcount!$D$5:$D$90*Headcount!$F$5:$F$90*((Headcount!$I$5:$I$90=0)+(Headcount!$I$5:$I$90=1)*$C$16)*(AL$18&gt;=(Headcount!$E$5:$E$90+Headcount!$G$5:$G$90*$C$15)))/12*(1+Assumptions!$C$97)</f>
        <v>81333.3333333333</v>
      </c>
      <c r="AN172" s="11" t="n">
        <f aca="false">SUM(C172:N172)</f>
        <v>101666.666666667</v>
      </c>
      <c r="AO172" s="11" t="n">
        <f aca="false">SUM(O172:Z172)</f>
        <v>437166.666666667</v>
      </c>
      <c r="AP172" s="11" t="n">
        <f aca="false">SUM(AA172:AL172)</f>
        <v>884500</v>
      </c>
    </row>
    <row r="173" customFormat="false" ht="15" hidden="false" customHeight="false" outlineLevel="0" collapsed="false">
      <c r="A173" s="0" t="s">
        <v>975</v>
      </c>
      <c r="B173" s="0" t="s">
        <v>230</v>
      </c>
      <c r="C173" s="9" t="n">
        <f aca="false">SUMPRODUCT((Headcount!$C$5:$C$90="CS")*Headcount!$D$5:$D$90*Headcount!$F$5:$F$90*((Headcount!$I$5:$I$90=0)+(Headcount!$I$5:$I$90=1)*$C$16)*(C$18&gt;=(Headcount!$E$5:$E$90+Headcount!$G$5:$G$90*$C$15)))/12*(1+Assumptions!$C$97)</f>
        <v>0</v>
      </c>
      <c r="D173" s="9" t="n">
        <f aca="false">SUMPRODUCT((Headcount!$C$5:$C$90="CS")*Headcount!$D$5:$D$90*Headcount!$F$5:$F$90*((Headcount!$I$5:$I$90=0)+(Headcount!$I$5:$I$90=1)*$C$16)*(D$18&gt;=(Headcount!$E$5:$E$90+Headcount!$G$5:$G$90*$C$15)))/12*(1+Assumptions!$C$97)</f>
        <v>0</v>
      </c>
      <c r="E173" s="9" t="n">
        <f aca="false">SUMPRODUCT((Headcount!$C$5:$C$90="CS")*Headcount!$D$5:$D$90*Headcount!$F$5:$F$90*((Headcount!$I$5:$I$90=0)+(Headcount!$I$5:$I$90=1)*$C$16)*(E$18&gt;=(Headcount!$E$5:$E$90+Headcount!$G$5:$G$90*$C$15)))/12*(1+Assumptions!$C$97)</f>
        <v>0</v>
      </c>
      <c r="F173" s="9" t="n">
        <f aca="false">SUMPRODUCT((Headcount!$C$5:$C$90="CS")*Headcount!$D$5:$D$90*Headcount!$F$5:$F$90*((Headcount!$I$5:$I$90=0)+(Headcount!$I$5:$I$90=1)*$C$16)*(F$18&gt;=(Headcount!$E$5:$E$90+Headcount!$G$5:$G$90*$C$15)))/12*(1+Assumptions!$C$97)</f>
        <v>0</v>
      </c>
      <c r="G173" s="9" t="n">
        <f aca="false">SUMPRODUCT((Headcount!$C$5:$C$90="CS")*Headcount!$D$5:$D$90*Headcount!$F$5:$F$90*((Headcount!$I$5:$I$90=0)+(Headcount!$I$5:$I$90=1)*$C$16)*(G$18&gt;=(Headcount!$E$5:$E$90+Headcount!$G$5:$G$90*$C$15)))/12*(1+Assumptions!$C$97)</f>
        <v>0</v>
      </c>
      <c r="H173" s="9" t="n">
        <f aca="false">SUMPRODUCT((Headcount!$C$5:$C$90="CS")*Headcount!$D$5:$D$90*Headcount!$F$5:$F$90*((Headcount!$I$5:$I$90=0)+(Headcount!$I$5:$I$90=1)*$C$16)*(H$18&gt;=(Headcount!$E$5:$E$90+Headcount!$G$5:$G$90*$C$15)))/12*(1+Assumptions!$C$97)</f>
        <v>0</v>
      </c>
      <c r="I173" s="9" t="n">
        <f aca="false">SUMPRODUCT((Headcount!$C$5:$C$90="CS")*Headcount!$D$5:$D$90*Headcount!$F$5:$F$90*((Headcount!$I$5:$I$90=0)+(Headcount!$I$5:$I$90=1)*$C$16)*(I$18&gt;=(Headcount!$E$5:$E$90+Headcount!$G$5:$G$90*$C$15)))/12*(1+Assumptions!$C$97)</f>
        <v>0</v>
      </c>
      <c r="J173" s="9" t="n">
        <f aca="false">SUMPRODUCT((Headcount!$C$5:$C$90="CS")*Headcount!$D$5:$D$90*Headcount!$F$5:$F$90*((Headcount!$I$5:$I$90=0)+(Headcount!$I$5:$I$90=1)*$C$16)*(J$18&gt;=(Headcount!$E$5:$E$90+Headcount!$G$5:$G$90*$C$15)))/12*(1+Assumptions!$C$97)</f>
        <v>0</v>
      </c>
      <c r="K173" s="9" t="n">
        <f aca="false">SUMPRODUCT((Headcount!$C$5:$C$90="CS")*Headcount!$D$5:$D$90*Headcount!$F$5:$F$90*((Headcount!$I$5:$I$90=0)+(Headcount!$I$5:$I$90=1)*$C$16)*(K$18&gt;=(Headcount!$E$5:$E$90+Headcount!$G$5:$G$90*$C$15)))/12*(1+Assumptions!$C$97)</f>
        <v>0</v>
      </c>
      <c r="L173" s="9" t="n">
        <f aca="false">SUMPRODUCT((Headcount!$C$5:$C$90="CS")*Headcount!$D$5:$D$90*Headcount!$F$5:$F$90*((Headcount!$I$5:$I$90=0)+(Headcount!$I$5:$I$90=1)*$C$16)*(L$18&gt;=(Headcount!$E$5:$E$90+Headcount!$G$5:$G$90*$C$15)))/12*(1+Assumptions!$C$97)</f>
        <v>0</v>
      </c>
      <c r="M173" s="9" t="n">
        <f aca="false">SUMPRODUCT((Headcount!$C$5:$C$90="CS")*Headcount!$D$5:$D$90*Headcount!$F$5:$F$90*((Headcount!$I$5:$I$90=0)+(Headcount!$I$5:$I$90=1)*$C$16)*(M$18&gt;=(Headcount!$E$5:$E$90+Headcount!$G$5:$G$90*$C$15)))/12*(1+Assumptions!$C$97)</f>
        <v>0</v>
      </c>
      <c r="N173" s="9" t="n">
        <f aca="false">SUMPRODUCT((Headcount!$C$5:$C$90="CS")*Headcount!$D$5:$D$90*Headcount!$F$5:$F$90*((Headcount!$I$5:$I$90=0)+(Headcount!$I$5:$I$90=1)*$C$16)*(N$18&gt;=(Headcount!$E$5:$E$90+Headcount!$G$5:$G$90*$C$15)))/12*(1+Assumptions!$C$97)</f>
        <v>0</v>
      </c>
      <c r="O173" s="9" t="n">
        <f aca="false">SUMPRODUCT((Headcount!$C$5:$C$90="CS")*Headcount!$D$5:$D$90*Headcount!$F$5:$F$90*((Headcount!$I$5:$I$90=0)+(Headcount!$I$5:$I$90=1)*$C$16)*(O$18&gt;=(Headcount!$E$5:$E$90+Headcount!$G$5:$G$90*$C$15)))/12*(1+Assumptions!$C$97)</f>
        <v>0</v>
      </c>
      <c r="P173" s="9" t="n">
        <f aca="false">SUMPRODUCT((Headcount!$C$5:$C$90="CS")*Headcount!$D$5:$D$90*Headcount!$F$5:$F$90*((Headcount!$I$5:$I$90=0)+(Headcount!$I$5:$I$90=1)*$C$16)*(P$18&gt;=(Headcount!$E$5:$E$90+Headcount!$G$5:$G$90*$C$15)))/12*(1+Assumptions!$C$97)</f>
        <v>0</v>
      </c>
      <c r="Q173" s="9" t="n">
        <f aca="false">SUMPRODUCT((Headcount!$C$5:$C$90="CS")*Headcount!$D$5:$D$90*Headcount!$F$5:$F$90*((Headcount!$I$5:$I$90=0)+(Headcount!$I$5:$I$90=1)*$C$16)*(Q$18&gt;=(Headcount!$E$5:$E$90+Headcount!$G$5:$G$90*$C$15)))/12*(1+Assumptions!$C$97)</f>
        <v>0</v>
      </c>
      <c r="R173" s="9" t="n">
        <f aca="false">SUMPRODUCT((Headcount!$C$5:$C$90="CS")*Headcount!$D$5:$D$90*Headcount!$F$5:$F$90*((Headcount!$I$5:$I$90=0)+(Headcount!$I$5:$I$90=1)*$C$16)*(R$18&gt;=(Headcount!$E$5:$E$90+Headcount!$G$5:$G$90*$C$15)))/12*(1+Assumptions!$C$97)</f>
        <v>0</v>
      </c>
      <c r="S173" s="9" t="n">
        <f aca="false">SUMPRODUCT((Headcount!$C$5:$C$90="CS")*Headcount!$D$5:$D$90*Headcount!$F$5:$F$90*((Headcount!$I$5:$I$90=0)+(Headcount!$I$5:$I$90=1)*$C$16)*(S$18&gt;=(Headcount!$E$5:$E$90+Headcount!$G$5:$G$90*$C$15)))/12*(1+Assumptions!$C$97)</f>
        <v>0</v>
      </c>
      <c r="T173" s="9" t="n">
        <f aca="false">SUMPRODUCT((Headcount!$C$5:$C$90="CS")*Headcount!$D$5:$D$90*Headcount!$F$5:$F$90*((Headcount!$I$5:$I$90=0)+(Headcount!$I$5:$I$90=1)*$C$16)*(T$18&gt;=(Headcount!$E$5:$E$90+Headcount!$G$5:$G$90*$C$15)))/12*(1+Assumptions!$C$97)</f>
        <v>10166.6666666667</v>
      </c>
      <c r="U173" s="9" t="n">
        <f aca="false">SUMPRODUCT((Headcount!$C$5:$C$90="CS")*Headcount!$D$5:$D$90*Headcount!$F$5:$F$90*((Headcount!$I$5:$I$90=0)+(Headcount!$I$5:$I$90=1)*$C$16)*(U$18&gt;=(Headcount!$E$5:$E$90+Headcount!$G$5:$G$90*$C$15)))/12*(1+Assumptions!$C$97)</f>
        <v>10166.6666666667</v>
      </c>
      <c r="V173" s="9" t="n">
        <f aca="false">SUMPRODUCT((Headcount!$C$5:$C$90="CS")*Headcount!$D$5:$D$90*Headcount!$F$5:$F$90*((Headcount!$I$5:$I$90=0)+(Headcount!$I$5:$I$90=1)*$C$16)*(V$18&gt;=(Headcount!$E$5:$E$90+Headcount!$G$5:$G$90*$C$15)))/12*(1+Assumptions!$C$97)</f>
        <v>10166.6666666667</v>
      </c>
      <c r="W173" s="9" t="n">
        <f aca="false">SUMPRODUCT((Headcount!$C$5:$C$90="CS")*Headcount!$D$5:$D$90*Headcount!$F$5:$F$90*((Headcount!$I$5:$I$90=0)+(Headcount!$I$5:$I$90=1)*$C$16)*(W$18&gt;=(Headcount!$E$5:$E$90+Headcount!$G$5:$G$90*$C$15)))/12*(1+Assumptions!$C$97)</f>
        <v>10166.6666666667</v>
      </c>
      <c r="X173" s="9" t="n">
        <f aca="false">SUMPRODUCT((Headcount!$C$5:$C$90="CS")*Headcount!$D$5:$D$90*Headcount!$F$5:$F$90*((Headcount!$I$5:$I$90=0)+(Headcount!$I$5:$I$90=1)*$C$16)*(X$18&gt;=(Headcount!$E$5:$E$90+Headcount!$G$5:$G$90*$C$15)))/12*(1+Assumptions!$C$97)</f>
        <v>10166.6666666667</v>
      </c>
      <c r="Y173" s="9" t="n">
        <f aca="false">SUMPRODUCT((Headcount!$C$5:$C$90="CS")*Headcount!$D$5:$D$90*Headcount!$F$5:$F$90*((Headcount!$I$5:$I$90=0)+(Headcount!$I$5:$I$90=1)*$C$16)*(Y$18&gt;=(Headcount!$E$5:$E$90+Headcount!$G$5:$G$90*$C$15)))/12*(1+Assumptions!$C$97)</f>
        <v>10166.6666666667</v>
      </c>
      <c r="Z173" s="9" t="n">
        <f aca="false">SUMPRODUCT((Headcount!$C$5:$C$90="CS")*Headcount!$D$5:$D$90*Headcount!$F$5:$F$90*((Headcount!$I$5:$I$90=0)+(Headcount!$I$5:$I$90=1)*$C$16)*(Z$18&gt;=(Headcount!$E$5:$E$90+Headcount!$G$5:$G$90*$C$15)))/12*(1+Assumptions!$C$97)</f>
        <v>10166.6666666667</v>
      </c>
      <c r="AA173" s="9" t="n">
        <f aca="false">SUMPRODUCT((Headcount!$C$5:$C$90="CS")*Headcount!$D$5:$D$90*Headcount!$F$5:$F$90*((Headcount!$I$5:$I$90=0)+(Headcount!$I$5:$I$90=1)*$C$16)*(AA$18&gt;=(Headcount!$E$5:$E$90+Headcount!$G$5:$G$90*$C$15)))/12*(1+Assumptions!$C$97)</f>
        <v>10166.6666666667</v>
      </c>
      <c r="AB173" s="9" t="n">
        <f aca="false">SUMPRODUCT((Headcount!$C$5:$C$90="CS")*Headcount!$D$5:$D$90*Headcount!$F$5:$F$90*((Headcount!$I$5:$I$90=0)+(Headcount!$I$5:$I$90=1)*$C$16)*(AB$18&gt;=(Headcount!$E$5:$E$90+Headcount!$G$5:$G$90*$C$15)))/12*(1+Assumptions!$C$97)</f>
        <v>10166.6666666667</v>
      </c>
      <c r="AC173" s="9" t="n">
        <f aca="false">SUMPRODUCT((Headcount!$C$5:$C$90="CS")*Headcount!$D$5:$D$90*Headcount!$F$5:$F$90*((Headcount!$I$5:$I$90=0)+(Headcount!$I$5:$I$90=1)*$C$16)*(AC$18&gt;=(Headcount!$E$5:$E$90+Headcount!$G$5:$G$90*$C$15)))/12*(1+Assumptions!$C$97)</f>
        <v>10166.6666666667</v>
      </c>
      <c r="AD173" s="9" t="n">
        <f aca="false">SUMPRODUCT((Headcount!$C$5:$C$90="CS")*Headcount!$D$5:$D$90*Headcount!$F$5:$F$90*((Headcount!$I$5:$I$90=0)+(Headcount!$I$5:$I$90=1)*$C$16)*(AD$18&gt;=(Headcount!$E$5:$E$90+Headcount!$G$5:$G$90*$C$15)))/12*(1+Assumptions!$C$97)</f>
        <v>10166.6666666667</v>
      </c>
      <c r="AE173" s="9" t="n">
        <f aca="false">SUMPRODUCT((Headcount!$C$5:$C$90="CS")*Headcount!$D$5:$D$90*Headcount!$F$5:$F$90*((Headcount!$I$5:$I$90=0)+(Headcount!$I$5:$I$90=1)*$C$16)*(AE$18&gt;=(Headcount!$E$5:$E$90+Headcount!$G$5:$G$90*$C$15)))/12*(1+Assumptions!$C$97)</f>
        <v>10166.6666666667</v>
      </c>
      <c r="AF173" s="9" t="n">
        <f aca="false">SUMPRODUCT((Headcount!$C$5:$C$90="CS")*Headcount!$D$5:$D$90*Headcount!$F$5:$F$90*((Headcount!$I$5:$I$90=0)+(Headcount!$I$5:$I$90=1)*$C$16)*(AF$18&gt;=(Headcount!$E$5:$E$90+Headcount!$G$5:$G$90*$C$15)))/12*(1+Assumptions!$C$97)</f>
        <v>20333.3333333333</v>
      </c>
      <c r="AG173" s="9" t="n">
        <f aca="false">SUMPRODUCT((Headcount!$C$5:$C$90="CS")*Headcount!$D$5:$D$90*Headcount!$F$5:$F$90*((Headcount!$I$5:$I$90=0)+(Headcount!$I$5:$I$90=1)*$C$16)*(AG$18&gt;=(Headcount!$E$5:$E$90+Headcount!$G$5:$G$90*$C$15)))/12*(1+Assumptions!$C$97)</f>
        <v>20333.3333333333</v>
      </c>
      <c r="AH173" s="9" t="n">
        <f aca="false">SUMPRODUCT((Headcount!$C$5:$C$90="CS")*Headcount!$D$5:$D$90*Headcount!$F$5:$F$90*((Headcount!$I$5:$I$90=0)+(Headcount!$I$5:$I$90=1)*$C$16)*(AH$18&gt;=(Headcount!$E$5:$E$90+Headcount!$G$5:$G$90*$C$15)))/12*(1+Assumptions!$C$97)</f>
        <v>20333.3333333333</v>
      </c>
      <c r="AI173" s="9" t="n">
        <f aca="false">SUMPRODUCT((Headcount!$C$5:$C$90="CS")*Headcount!$D$5:$D$90*Headcount!$F$5:$F$90*((Headcount!$I$5:$I$90=0)+(Headcount!$I$5:$I$90=1)*$C$16)*(AI$18&gt;=(Headcount!$E$5:$E$90+Headcount!$G$5:$G$90*$C$15)))/12*(1+Assumptions!$C$97)</f>
        <v>20333.3333333333</v>
      </c>
      <c r="AJ173" s="9" t="n">
        <f aca="false">SUMPRODUCT((Headcount!$C$5:$C$90="CS")*Headcount!$D$5:$D$90*Headcount!$F$5:$F$90*((Headcount!$I$5:$I$90=0)+(Headcount!$I$5:$I$90=1)*$C$16)*(AJ$18&gt;=(Headcount!$E$5:$E$90+Headcount!$G$5:$G$90*$C$15)))/12*(1+Assumptions!$C$97)</f>
        <v>20333.3333333333</v>
      </c>
      <c r="AK173" s="9" t="n">
        <f aca="false">SUMPRODUCT((Headcount!$C$5:$C$90="CS")*Headcount!$D$5:$D$90*Headcount!$F$5:$F$90*((Headcount!$I$5:$I$90=0)+(Headcount!$I$5:$I$90=1)*$C$16)*(AK$18&gt;=(Headcount!$E$5:$E$90+Headcount!$G$5:$G$90*$C$15)))/12*(1+Assumptions!$C$97)</f>
        <v>20333.3333333333</v>
      </c>
      <c r="AL173" s="9" t="n">
        <f aca="false">SUMPRODUCT((Headcount!$C$5:$C$90="CS")*Headcount!$D$5:$D$90*Headcount!$F$5:$F$90*((Headcount!$I$5:$I$90=0)+(Headcount!$I$5:$I$90=1)*$C$16)*(AL$18&gt;=(Headcount!$E$5:$E$90+Headcount!$G$5:$G$90*$C$15)))/12*(1+Assumptions!$C$97)</f>
        <v>20333.3333333333</v>
      </c>
      <c r="AN173" s="11" t="n">
        <f aca="false">SUM(C173:N173)</f>
        <v>0</v>
      </c>
      <c r="AO173" s="11" t="n">
        <f aca="false">SUM(O173:Z173)</f>
        <v>71166.6666666667</v>
      </c>
      <c r="AP173" s="11" t="n">
        <f aca="false">SUM(AA173:AL173)</f>
        <v>193166.666666667</v>
      </c>
    </row>
    <row r="174" customFormat="false" ht="15" hidden="false" customHeight="false" outlineLevel="0" collapsed="false">
      <c r="A174" s="0" t="s">
        <v>976</v>
      </c>
      <c r="B174" s="0" t="s">
        <v>230</v>
      </c>
      <c r="C174" s="9" t="n">
        <f aca="false">SUMPRODUCT((Headcount!$C$5:$C$90="TS")*Headcount!$D$5:$D$90*Headcount!$F$5:$F$90*((Headcount!$I$5:$I$90=0)+(Headcount!$I$5:$I$90=1)*$C$16)*(C$18&gt;=(Headcount!$E$5:$E$90+Headcount!$G$5:$G$90*$C$15)))/12*(1+Assumptions!$C$97)</f>
        <v>0</v>
      </c>
      <c r="D174" s="9" t="n">
        <f aca="false">SUMPRODUCT((Headcount!$C$5:$C$90="TS")*Headcount!$D$5:$D$90*Headcount!$F$5:$F$90*((Headcount!$I$5:$I$90=0)+(Headcount!$I$5:$I$90=1)*$C$16)*(D$18&gt;=(Headcount!$E$5:$E$90+Headcount!$G$5:$G$90*$C$15)))/12*(1+Assumptions!$C$97)</f>
        <v>0</v>
      </c>
      <c r="E174" s="9" t="n">
        <f aca="false">SUMPRODUCT((Headcount!$C$5:$C$90="TS")*Headcount!$D$5:$D$90*Headcount!$F$5:$F$90*((Headcount!$I$5:$I$90=0)+(Headcount!$I$5:$I$90=1)*$C$16)*(E$18&gt;=(Headcount!$E$5:$E$90+Headcount!$G$5:$G$90*$C$15)))/12*(1+Assumptions!$C$97)</f>
        <v>0</v>
      </c>
      <c r="F174" s="9" t="n">
        <f aca="false">SUMPRODUCT((Headcount!$C$5:$C$90="TS")*Headcount!$D$5:$D$90*Headcount!$F$5:$F$90*((Headcount!$I$5:$I$90=0)+(Headcount!$I$5:$I$90=1)*$C$16)*(F$18&gt;=(Headcount!$E$5:$E$90+Headcount!$G$5:$G$90*$C$15)))/12*(1+Assumptions!$C$97)</f>
        <v>0</v>
      </c>
      <c r="G174" s="9" t="n">
        <f aca="false">SUMPRODUCT((Headcount!$C$5:$C$90="TS")*Headcount!$D$5:$D$90*Headcount!$F$5:$F$90*((Headcount!$I$5:$I$90=0)+(Headcount!$I$5:$I$90=1)*$C$16)*(G$18&gt;=(Headcount!$E$5:$E$90+Headcount!$G$5:$G$90*$C$15)))/12*(1+Assumptions!$C$97)</f>
        <v>0</v>
      </c>
      <c r="H174" s="9" t="n">
        <f aca="false">SUMPRODUCT((Headcount!$C$5:$C$90="TS")*Headcount!$D$5:$D$90*Headcount!$F$5:$F$90*((Headcount!$I$5:$I$90=0)+(Headcount!$I$5:$I$90=1)*$C$16)*(H$18&gt;=(Headcount!$E$5:$E$90+Headcount!$G$5:$G$90*$C$15)))/12*(1+Assumptions!$C$97)</f>
        <v>0</v>
      </c>
      <c r="I174" s="9" t="n">
        <f aca="false">SUMPRODUCT((Headcount!$C$5:$C$90="TS")*Headcount!$D$5:$D$90*Headcount!$F$5:$F$90*((Headcount!$I$5:$I$90=0)+(Headcount!$I$5:$I$90=1)*$C$16)*(I$18&gt;=(Headcount!$E$5:$E$90+Headcount!$G$5:$G$90*$C$15)))/12*(1+Assumptions!$C$97)</f>
        <v>0</v>
      </c>
      <c r="J174" s="9" t="n">
        <f aca="false">SUMPRODUCT((Headcount!$C$5:$C$90="TS")*Headcount!$D$5:$D$90*Headcount!$F$5:$F$90*((Headcount!$I$5:$I$90=0)+(Headcount!$I$5:$I$90=1)*$C$16)*(J$18&gt;=(Headcount!$E$5:$E$90+Headcount!$G$5:$G$90*$C$15)))/12*(1+Assumptions!$C$97)</f>
        <v>0</v>
      </c>
      <c r="K174" s="9" t="n">
        <f aca="false">SUMPRODUCT((Headcount!$C$5:$C$90="TS")*Headcount!$D$5:$D$90*Headcount!$F$5:$F$90*((Headcount!$I$5:$I$90=0)+(Headcount!$I$5:$I$90=1)*$C$16)*(K$18&gt;=(Headcount!$E$5:$E$90+Headcount!$G$5:$G$90*$C$15)))/12*(1+Assumptions!$C$97)</f>
        <v>0</v>
      </c>
      <c r="L174" s="9" t="n">
        <f aca="false">SUMPRODUCT((Headcount!$C$5:$C$90="TS")*Headcount!$D$5:$D$90*Headcount!$F$5:$F$90*((Headcount!$I$5:$I$90=0)+(Headcount!$I$5:$I$90=1)*$C$16)*(L$18&gt;=(Headcount!$E$5:$E$90+Headcount!$G$5:$G$90*$C$15)))/12*(1+Assumptions!$C$97)</f>
        <v>0</v>
      </c>
      <c r="M174" s="9" t="n">
        <f aca="false">SUMPRODUCT((Headcount!$C$5:$C$90="TS")*Headcount!$D$5:$D$90*Headcount!$F$5:$F$90*((Headcount!$I$5:$I$90=0)+(Headcount!$I$5:$I$90=1)*$C$16)*(M$18&gt;=(Headcount!$E$5:$E$90+Headcount!$G$5:$G$90*$C$15)))/12*(1+Assumptions!$C$97)</f>
        <v>0</v>
      </c>
      <c r="N174" s="9" t="n">
        <f aca="false">SUMPRODUCT((Headcount!$C$5:$C$90="TS")*Headcount!$D$5:$D$90*Headcount!$F$5:$F$90*((Headcount!$I$5:$I$90=0)+(Headcount!$I$5:$I$90=1)*$C$16)*(N$18&gt;=(Headcount!$E$5:$E$90+Headcount!$G$5:$G$90*$C$15)))/12*(1+Assumptions!$C$97)</f>
        <v>0</v>
      </c>
      <c r="O174" s="9" t="n">
        <f aca="false">SUMPRODUCT((Headcount!$C$5:$C$90="TS")*Headcount!$D$5:$D$90*Headcount!$F$5:$F$90*((Headcount!$I$5:$I$90=0)+(Headcount!$I$5:$I$90=1)*$C$16)*(O$18&gt;=(Headcount!$E$5:$E$90+Headcount!$G$5:$G$90*$C$15)))/12*(1+Assumptions!$C$97)</f>
        <v>0</v>
      </c>
      <c r="P174" s="9" t="n">
        <f aca="false">SUMPRODUCT((Headcount!$C$5:$C$90="TS")*Headcount!$D$5:$D$90*Headcount!$F$5:$F$90*((Headcount!$I$5:$I$90=0)+(Headcount!$I$5:$I$90=1)*$C$16)*(P$18&gt;=(Headcount!$E$5:$E$90+Headcount!$G$5:$G$90*$C$15)))/12*(1+Assumptions!$C$97)</f>
        <v>0</v>
      </c>
      <c r="Q174" s="9" t="n">
        <f aca="false">SUMPRODUCT((Headcount!$C$5:$C$90="TS")*Headcount!$D$5:$D$90*Headcount!$F$5:$F$90*((Headcount!$I$5:$I$90=0)+(Headcount!$I$5:$I$90=1)*$C$16)*(Q$18&gt;=(Headcount!$E$5:$E$90+Headcount!$G$5:$G$90*$C$15)))/12*(1+Assumptions!$C$97)</f>
        <v>0</v>
      </c>
      <c r="R174" s="9" t="n">
        <f aca="false">SUMPRODUCT((Headcount!$C$5:$C$90="TS")*Headcount!$D$5:$D$90*Headcount!$F$5:$F$90*((Headcount!$I$5:$I$90=0)+(Headcount!$I$5:$I$90=1)*$C$16)*(R$18&gt;=(Headcount!$E$5:$E$90+Headcount!$G$5:$G$90*$C$15)))/12*(1+Assumptions!$C$97)</f>
        <v>0</v>
      </c>
      <c r="S174" s="9" t="n">
        <f aca="false">SUMPRODUCT((Headcount!$C$5:$C$90="TS")*Headcount!$D$5:$D$90*Headcount!$F$5:$F$90*((Headcount!$I$5:$I$90=0)+(Headcount!$I$5:$I$90=1)*$C$16)*(S$18&gt;=(Headcount!$E$5:$E$90+Headcount!$G$5:$G$90*$C$15)))/12*(1+Assumptions!$C$97)</f>
        <v>0</v>
      </c>
      <c r="T174" s="9" t="n">
        <f aca="false">SUMPRODUCT((Headcount!$C$5:$C$90="TS")*Headcount!$D$5:$D$90*Headcount!$F$5:$F$90*((Headcount!$I$5:$I$90=0)+(Headcount!$I$5:$I$90=1)*$C$16)*(T$18&gt;=(Headcount!$E$5:$E$90+Headcount!$G$5:$G$90*$C$15)))/12*(1+Assumptions!$C$97)</f>
        <v>0</v>
      </c>
      <c r="U174" s="9" t="n">
        <f aca="false">SUMPRODUCT((Headcount!$C$5:$C$90="TS")*Headcount!$D$5:$D$90*Headcount!$F$5:$F$90*((Headcount!$I$5:$I$90=0)+(Headcount!$I$5:$I$90=1)*$C$16)*(U$18&gt;=(Headcount!$E$5:$E$90+Headcount!$G$5:$G$90*$C$15)))/12*(1+Assumptions!$C$97)</f>
        <v>0</v>
      </c>
      <c r="V174" s="9" t="n">
        <f aca="false">SUMPRODUCT((Headcount!$C$5:$C$90="TS")*Headcount!$D$5:$D$90*Headcount!$F$5:$F$90*((Headcount!$I$5:$I$90=0)+(Headcount!$I$5:$I$90=1)*$C$16)*(V$18&gt;=(Headcount!$E$5:$E$90+Headcount!$G$5:$G$90*$C$15)))/12*(1+Assumptions!$C$97)</f>
        <v>0</v>
      </c>
      <c r="W174" s="9" t="n">
        <f aca="false">SUMPRODUCT((Headcount!$C$5:$C$90="TS")*Headcount!$D$5:$D$90*Headcount!$F$5:$F$90*((Headcount!$I$5:$I$90=0)+(Headcount!$I$5:$I$90=1)*$C$16)*(W$18&gt;=(Headcount!$E$5:$E$90+Headcount!$G$5:$G$90*$C$15)))/12*(1+Assumptions!$C$97)</f>
        <v>0</v>
      </c>
      <c r="X174" s="9" t="n">
        <f aca="false">SUMPRODUCT((Headcount!$C$5:$C$90="TS")*Headcount!$D$5:$D$90*Headcount!$F$5:$F$90*((Headcount!$I$5:$I$90=0)+(Headcount!$I$5:$I$90=1)*$C$16)*(X$18&gt;=(Headcount!$E$5:$E$90+Headcount!$G$5:$G$90*$C$15)))/12*(1+Assumptions!$C$97)</f>
        <v>0</v>
      </c>
      <c r="Y174" s="9" t="n">
        <f aca="false">SUMPRODUCT((Headcount!$C$5:$C$90="TS")*Headcount!$D$5:$D$90*Headcount!$F$5:$F$90*((Headcount!$I$5:$I$90=0)+(Headcount!$I$5:$I$90=1)*$C$16)*(Y$18&gt;=(Headcount!$E$5:$E$90+Headcount!$G$5:$G$90*$C$15)))/12*(1+Assumptions!$C$97)</f>
        <v>0</v>
      </c>
      <c r="Z174" s="9" t="n">
        <f aca="false">SUMPRODUCT((Headcount!$C$5:$C$90="TS")*Headcount!$D$5:$D$90*Headcount!$F$5:$F$90*((Headcount!$I$5:$I$90=0)+(Headcount!$I$5:$I$90=1)*$C$16)*(Z$18&gt;=(Headcount!$E$5:$E$90+Headcount!$G$5:$G$90*$C$15)))/12*(1+Assumptions!$C$97)</f>
        <v>0</v>
      </c>
      <c r="AA174" s="9" t="n">
        <f aca="false">SUMPRODUCT((Headcount!$C$5:$C$90="TS")*Headcount!$D$5:$D$90*Headcount!$F$5:$F$90*((Headcount!$I$5:$I$90=0)+(Headcount!$I$5:$I$90=1)*$C$16)*(AA$18&gt;=(Headcount!$E$5:$E$90+Headcount!$G$5:$G$90*$C$15)))/12*(1+Assumptions!$C$97)</f>
        <v>0</v>
      </c>
      <c r="AB174" s="9" t="n">
        <f aca="false">SUMPRODUCT((Headcount!$C$5:$C$90="TS")*Headcount!$D$5:$D$90*Headcount!$F$5:$F$90*((Headcount!$I$5:$I$90=0)+(Headcount!$I$5:$I$90=1)*$C$16)*(AB$18&gt;=(Headcount!$E$5:$E$90+Headcount!$G$5:$G$90*$C$15)))/12*(1+Assumptions!$C$97)</f>
        <v>0</v>
      </c>
      <c r="AC174" s="9" t="n">
        <f aca="false">SUMPRODUCT((Headcount!$C$5:$C$90="TS")*Headcount!$D$5:$D$90*Headcount!$F$5:$F$90*((Headcount!$I$5:$I$90=0)+(Headcount!$I$5:$I$90=1)*$C$16)*(AC$18&gt;=(Headcount!$E$5:$E$90+Headcount!$G$5:$G$90*$C$15)))/12*(1+Assumptions!$C$97)</f>
        <v>0</v>
      </c>
      <c r="AD174" s="9" t="n">
        <f aca="false">SUMPRODUCT((Headcount!$C$5:$C$90="TS")*Headcount!$D$5:$D$90*Headcount!$F$5:$F$90*((Headcount!$I$5:$I$90=0)+(Headcount!$I$5:$I$90=1)*$C$16)*(AD$18&gt;=(Headcount!$E$5:$E$90+Headcount!$G$5:$G$90*$C$15)))/12*(1+Assumptions!$C$97)</f>
        <v>0</v>
      </c>
      <c r="AE174" s="9" t="n">
        <f aca="false">SUMPRODUCT((Headcount!$C$5:$C$90="TS")*Headcount!$D$5:$D$90*Headcount!$F$5:$F$90*((Headcount!$I$5:$I$90=0)+(Headcount!$I$5:$I$90=1)*$C$16)*(AE$18&gt;=(Headcount!$E$5:$E$90+Headcount!$G$5:$G$90*$C$15)))/12*(1+Assumptions!$C$97)</f>
        <v>0</v>
      </c>
      <c r="AF174" s="9" t="n">
        <f aca="false">SUMPRODUCT((Headcount!$C$5:$C$90="TS")*Headcount!$D$5:$D$90*Headcount!$F$5:$F$90*((Headcount!$I$5:$I$90=0)+(Headcount!$I$5:$I$90=1)*$C$16)*(AF$18&gt;=(Headcount!$E$5:$E$90+Headcount!$G$5:$G$90*$C$15)))/12*(1+Assumptions!$C$97)</f>
        <v>0</v>
      </c>
      <c r="AG174" s="9" t="n">
        <f aca="false">SUMPRODUCT((Headcount!$C$5:$C$90="TS")*Headcount!$D$5:$D$90*Headcount!$F$5:$F$90*((Headcount!$I$5:$I$90=0)+(Headcount!$I$5:$I$90=1)*$C$16)*(AG$18&gt;=(Headcount!$E$5:$E$90+Headcount!$G$5:$G$90*$C$15)))/12*(1+Assumptions!$C$97)</f>
        <v>0</v>
      </c>
      <c r="AH174" s="9" t="n">
        <f aca="false">SUMPRODUCT((Headcount!$C$5:$C$90="TS")*Headcount!$D$5:$D$90*Headcount!$F$5:$F$90*((Headcount!$I$5:$I$90=0)+(Headcount!$I$5:$I$90=1)*$C$16)*(AH$18&gt;=(Headcount!$E$5:$E$90+Headcount!$G$5:$G$90*$C$15)))/12*(1+Assumptions!$C$97)</f>
        <v>7116.66666666667</v>
      </c>
      <c r="AI174" s="9" t="n">
        <f aca="false">SUMPRODUCT((Headcount!$C$5:$C$90="TS")*Headcount!$D$5:$D$90*Headcount!$F$5:$F$90*((Headcount!$I$5:$I$90=0)+(Headcount!$I$5:$I$90=1)*$C$16)*(AI$18&gt;=(Headcount!$E$5:$E$90+Headcount!$G$5:$G$90*$C$15)))/12*(1+Assumptions!$C$97)</f>
        <v>7116.66666666667</v>
      </c>
      <c r="AJ174" s="9" t="n">
        <f aca="false">SUMPRODUCT((Headcount!$C$5:$C$90="TS")*Headcount!$D$5:$D$90*Headcount!$F$5:$F$90*((Headcount!$I$5:$I$90=0)+(Headcount!$I$5:$I$90=1)*$C$16)*(AJ$18&gt;=(Headcount!$E$5:$E$90+Headcount!$G$5:$G$90*$C$15)))/12*(1+Assumptions!$C$97)</f>
        <v>7116.66666666667</v>
      </c>
      <c r="AK174" s="9" t="n">
        <f aca="false">SUMPRODUCT((Headcount!$C$5:$C$90="TS")*Headcount!$D$5:$D$90*Headcount!$F$5:$F$90*((Headcount!$I$5:$I$90=0)+(Headcount!$I$5:$I$90=1)*$C$16)*(AK$18&gt;=(Headcount!$E$5:$E$90+Headcount!$G$5:$G$90*$C$15)))/12*(1+Assumptions!$C$97)</f>
        <v>7116.66666666667</v>
      </c>
      <c r="AL174" s="9" t="n">
        <f aca="false">SUMPRODUCT((Headcount!$C$5:$C$90="TS")*Headcount!$D$5:$D$90*Headcount!$F$5:$F$90*((Headcount!$I$5:$I$90=0)+(Headcount!$I$5:$I$90=1)*$C$16)*(AL$18&gt;=(Headcount!$E$5:$E$90+Headcount!$G$5:$G$90*$C$15)))/12*(1+Assumptions!$C$97)</f>
        <v>7116.66666666667</v>
      </c>
      <c r="AN174" s="11" t="n">
        <f aca="false">SUM(C174:N174)</f>
        <v>0</v>
      </c>
      <c r="AO174" s="11" t="n">
        <f aca="false">SUM(O174:Z174)</f>
        <v>0</v>
      </c>
      <c r="AP174" s="11" t="n">
        <f aca="false">SUM(AA174:AL174)</f>
        <v>35583.3333333333</v>
      </c>
    </row>
    <row r="175" customFormat="false" ht="15" hidden="false" customHeight="false" outlineLevel="0" collapsed="false">
      <c r="A175" s="0" t="s">
        <v>977</v>
      </c>
      <c r="B175" s="0" t="s">
        <v>230</v>
      </c>
      <c r="C175" s="9" t="n">
        <f aca="false">(((1-Assumptions!$C$24)*((Assumptions!$C$26*C41)+(Assumptions!$C$27*(C34+C37))))+((Assumptions!$C$24*Assumptions!$C$25)*C41))</f>
        <v>0</v>
      </c>
      <c r="D175" s="9" t="n">
        <f aca="false">(((1-Assumptions!$C$24)*((Assumptions!$C$26*D41)+(Assumptions!$C$27*(D34+D37))))+((Assumptions!$C$24*Assumptions!$C$25)*D41))</f>
        <v>0</v>
      </c>
      <c r="E175" s="9" t="n">
        <f aca="false">(((1-Assumptions!$C$24)*((Assumptions!$C$26*E41)+(Assumptions!$C$27*(E34+E37))))+((Assumptions!$C$24*Assumptions!$C$25)*E41))</f>
        <v>0</v>
      </c>
      <c r="F175" s="9" t="n">
        <f aca="false">(((1-Assumptions!$C$24)*((Assumptions!$C$26*F41)+(Assumptions!$C$27*(F34+F37))))+((Assumptions!$C$24*Assumptions!$C$25)*F41))</f>
        <v>0</v>
      </c>
      <c r="G175" s="9" t="n">
        <f aca="false">(((1-Assumptions!$C$24)*((Assumptions!$C$26*G41)+(Assumptions!$C$27*(G34+G37))))+((Assumptions!$C$24*Assumptions!$C$25)*G41))</f>
        <v>0</v>
      </c>
      <c r="H175" s="9" t="n">
        <f aca="false">(((1-Assumptions!$C$24)*((Assumptions!$C$26*H41)+(Assumptions!$C$27*(H34+H37))))+((Assumptions!$C$24*Assumptions!$C$25)*H41))</f>
        <v>0</v>
      </c>
      <c r="I175" s="9" t="n">
        <f aca="false">(((1-Assumptions!$C$24)*((Assumptions!$C$26*I41)+(Assumptions!$C$27*(I34+I37))))+((Assumptions!$C$24*Assumptions!$C$25)*I41))</f>
        <v>0</v>
      </c>
      <c r="J175" s="9" t="n">
        <f aca="false">(((1-Assumptions!$C$24)*((Assumptions!$C$26*J41)+(Assumptions!$C$27*(J34+J37))))+((Assumptions!$C$24*Assumptions!$C$25)*J41))</f>
        <v>0</v>
      </c>
      <c r="K175" s="9" t="n">
        <f aca="false">(((1-Assumptions!$C$24)*((Assumptions!$C$26*K41)+(Assumptions!$C$27*(K34+K37))))+((Assumptions!$C$24*Assumptions!$C$25)*K41))</f>
        <v>0</v>
      </c>
      <c r="L175" s="9" t="n">
        <f aca="false">(((1-Assumptions!$C$24)*((Assumptions!$C$26*L41)+(Assumptions!$C$27*(L34+L37))))+((Assumptions!$C$24*Assumptions!$C$25)*L41))</f>
        <v>0</v>
      </c>
      <c r="M175" s="9" t="n">
        <f aca="false">(((1-Assumptions!$C$24)*((Assumptions!$C$26*M41)+(Assumptions!$C$27*(M34+M37))))+((Assumptions!$C$24*Assumptions!$C$25)*M41))</f>
        <v>0</v>
      </c>
      <c r="N175" s="9" t="n">
        <f aca="false">(((1-Assumptions!$C$24)*((Assumptions!$C$26*N41)+(Assumptions!$C$27*(N34+N37))))+((Assumptions!$C$24*Assumptions!$C$25)*N41))</f>
        <v>0</v>
      </c>
      <c r="O175" s="9" t="n">
        <f aca="false">(((1-Assumptions!$C$24)*((Assumptions!$C$26*O41)+(Assumptions!$C$27*(O34+O37))))+((Assumptions!$C$24*Assumptions!$C$25)*O41))</f>
        <v>8.22126934003187</v>
      </c>
      <c r="P175" s="9" t="n">
        <f aca="false">(((1-Assumptions!$C$24)*((Assumptions!$C$26*P41)+(Assumptions!$C$27*(P34+P37))))+((Assumptions!$C$24*Assumptions!$C$25)*P41))</f>
        <v>19.8589995141529</v>
      </c>
      <c r="Q175" s="9" t="n">
        <f aca="false">(((1-Assumptions!$C$24)*((Assumptions!$C$26*Q41)+(Assumptions!$C$27*(Q34+Q37))))+((Assumptions!$C$24*Assumptions!$C$25)*Q41))</f>
        <v>31.0235076943004</v>
      </c>
      <c r="R175" s="9" t="n">
        <f aca="false">(((1-Assumptions!$C$24)*((Assumptions!$C$26*R41)+(Assumptions!$C$27*(R34+R37))))+((Assumptions!$C$24*Assumptions!$C$25)*R41))</f>
        <v>41.3959637065035</v>
      </c>
      <c r="S175" s="9" t="n">
        <f aca="false">(((1-Assumptions!$C$24)*((Assumptions!$C$26*S41)+(Assumptions!$C$27*(S34+S37))))+((Assumptions!$C$24*Assumptions!$C$25)*S41))</f>
        <v>51.4153607121058</v>
      </c>
      <c r="T175" s="9" t="n">
        <f aca="false">(((1-Assumptions!$C$24)*((Assumptions!$C$26*T41)+(Assumptions!$C$27*(T34+T37))))+((Assumptions!$C$24*Assumptions!$C$25)*T41))</f>
        <v>60.1632502159687</v>
      </c>
      <c r="U175" s="9" t="n">
        <f aca="false">(((1-Assumptions!$C$24)*((Assumptions!$C$26*U41)+(Assumptions!$C$27*(U34+U37))))+((Assumptions!$C$24*Assumptions!$C$25)*U41))</f>
        <v>68.1747726781819</v>
      </c>
      <c r="V175" s="9" t="n">
        <f aca="false">(((1-Assumptions!$C$24)*((Assumptions!$C$26*V41)+(Assumptions!$C$27*(V34+V37))))+((Assumptions!$C$24*Assumptions!$C$25)*V41))</f>
        <v>77.7826516805396</v>
      </c>
      <c r="W175" s="9" t="n">
        <f aca="false">(((1-Assumptions!$C$24)*((Assumptions!$C$26*W41)+(Assumptions!$C$27*(W34+W37))))+((Assumptions!$C$24*Assumptions!$C$25)*W41))</f>
        <v>95.1773515791283</v>
      </c>
      <c r="X175" s="9" t="n">
        <f aca="false">(((1-Assumptions!$C$24)*((Assumptions!$C$26*X41)+(Assumptions!$C$27*(X34+X37))))+((Assumptions!$C$24*Assumptions!$C$25)*X41))</f>
        <v>115.218086788626</v>
      </c>
      <c r="Y175" s="9" t="n">
        <f aca="false">(((1-Assumptions!$C$24)*((Assumptions!$C$26*Y41)+(Assumptions!$C$27*(Y34+Y37))))+((Assumptions!$C$24*Assumptions!$C$25)*Y41))</f>
        <v>129.756630141683</v>
      </c>
      <c r="Z175" s="9" t="n">
        <f aca="false">(((1-Assumptions!$C$24)*((Assumptions!$C$26*Z41)+(Assumptions!$C$27*(Z34+Z37))))+((Assumptions!$C$24*Assumptions!$C$25)*Z41))</f>
        <v>142.565412743172</v>
      </c>
      <c r="AA175" s="9" t="n">
        <f aca="false">(((1-Assumptions!$C$24)*((Assumptions!$C$26*AA41)+(Assumptions!$C$27*(AA34+AA37))))+((Assumptions!$C$24*Assumptions!$C$25)*AA41))</f>
        <v>157.016724877035</v>
      </c>
      <c r="AB175" s="9" t="n">
        <f aca="false">(((1-Assumptions!$C$24)*((Assumptions!$C$26*AB41)+(Assumptions!$C$27*(AB34+AB37))))+((Assumptions!$C$24*Assumptions!$C$25)*AB41))</f>
        <v>179.961233738098</v>
      </c>
      <c r="AC175" s="9" t="n">
        <f aca="false">(((1-Assumptions!$C$24)*((Assumptions!$C$26*AC41)+(Assumptions!$C$27*(AC34+AC37))))+((Assumptions!$C$24*Assumptions!$C$25)*AC41))</f>
        <v>200.173662389981</v>
      </c>
      <c r="AD175" s="9" t="n">
        <f aca="false">(((1-Assumptions!$C$24)*((Assumptions!$C$26*AD41)+(Assumptions!$C$27*(AD34+AD37))))+((Assumptions!$C$24*Assumptions!$C$25)*AD41))</f>
        <v>217.41415665412</v>
      </c>
      <c r="AE175" s="9" t="n">
        <f aca="false">(((1-Assumptions!$C$24)*((Assumptions!$C$26*AE41)+(Assumptions!$C$27*(AE34+AE37))))+((Assumptions!$C$24*Assumptions!$C$25)*AE41))</f>
        <v>232.892768802302</v>
      </c>
      <c r="AF175" s="9" t="n">
        <f aca="false">(((1-Assumptions!$C$24)*((Assumptions!$C$26*AF41)+(Assumptions!$C$27*(AF34+AF37))))+((Assumptions!$C$24*Assumptions!$C$25)*AF41))</f>
        <v>245.064082850536</v>
      </c>
      <c r="AG175" s="9" t="n">
        <f aca="false">(((1-Assumptions!$C$24)*((Assumptions!$C$26*AG41)+(Assumptions!$C$27*(AG34+AG37))))+((Assumptions!$C$24*Assumptions!$C$25)*AG41))</f>
        <v>255.24969588296</v>
      </c>
      <c r="AH175" s="9" t="n">
        <f aca="false">(((1-Assumptions!$C$24)*((Assumptions!$C$26*AH41)+(Assumptions!$C$27*(AH34+AH37))))+((Assumptions!$C$24*Assumptions!$C$25)*AH41))</f>
        <v>268.039008350426</v>
      </c>
      <c r="AI175" s="9" t="n">
        <f aca="false">(((1-Assumptions!$C$24)*((Assumptions!$C$26*AI41)+(Assumptions!$C$27*(AI34+AI37))))+((Assumptions!$C$24*Assumptions!$C$25)*AI41))</f>
        <v>294.870175862333</v>
      </c>
      <c r="AJ175" s="9" t="n">
        <f aca="false">(((1-Assumptions!$C$24)*((Assumptions!$C$26*AJ41)+(Assumptions!$C$27*(AJ34+AJ37))))+((Assumptions!$C$24*Assumptions!$C$25)*AJ41))</f>
        <v>325.37629518529</v>
      </c>
      <c r="AK175" s="9" t="n">
        <f aca="false">(((1-Assumptions!$C$24)*((Assumptions!$C$26*AK41)+(Assumptions!$C$27*(AK34+AK37))))+((Assumptions!$C$24*Assumptions!$C$25)*AK41))</f>
        <v>344.55583089195</v>
      </c>
      <c r="AL175" s="9" t="n">
        <f aca="false">(((1-Assumptions!$C$24)*((Assumptions!$C$26*AL41)+(Assumptions!$C$27*(AL34+AL37))))+((Assumptions!$C$24*Assumptions!$C$25)*AL41))</f>
        <v>360.110490142937</v>
      </c>
      <c r="AN175" s="11" t="n">
        <f aca="false">SUM(C175:N175)</f>
        <v>0</v>
      </c>
      <c r="AO175" s="11" t="n">
        <f aca="false">SUM(O175:Z175)</f>
        <v>840.753256794393</v>
      </c>
      <c r="AP175" s="11" t="n">
        <f aca="false">SUM(AA175:AL175)</f>
        <v>3080.72412562797</v>
      </c>
    </row>
    <row r="176" customFormat="false" ht="15" hidden="false" customHeight="false" outlineLevel="0" collapsed="false">
      <c r="A176" s="0" t="s">
        <v>978</v>
      </c>
      <c r="B176" s="0" t="s">
        <v>230</v>
      </c>
      <c r="C176" s="9" t="n">
        <f aca="false">((C143*(Assumptions!$C$26+Assumptions!$C$55))+(C142*(Assumptions!$C$27+Assumptions!$C$56)))</f>
        <v>0</v>
      </c>
      <c r="D176" s="9" t="n">
        <f aca="false">((D143*(Assumptions!$C$26+Assumptions!$C$55))+(D142*(Assumptions!$C$27+Assumptions!$C$56)))</f>
        <v>0</v>
      </c>
      <c r="E176" s="9" t="n">
        <f aca="false">((E143*(Assumptions!$C$26+Assumptions!$C$55))+(E142*(Assumptions!$C$27+Assumptions!$C$56)))</f>
        <v>0</v>
      </c>
      <c r="F176" s="9" t="n">
        <f aca="false">((F143*(Assumptions!$C$26+Assumptions!$C$55))+(F142*(Assumptions!$C$27+Assumptions!$C$56)))</f>
        <v>0</v>
      </c>
      <c r="G176" s="9" t="n">
        <f aca="false">((G143*(Assumptions!$C$26+Assumptions!$C$55))+(G142*(Assumptions!$C$27+Assumptions!$C$56)))</f>
        <v>0</v>
      </c>
      <c r="H176" s="9" t="n">
        <f aca="false">((H143*(Assumptions!$C$26+Assumptions!$C$55))+(H142*(Assumptions!$C$27+Assumptions!$C$56)))</f>
        <v>0</v>
      </c>
      <c r="I176" s="9" t="n">
        <f aca="false">((I143*(Assumptions!$C$26+Assumptions!$C$55))+(I142*(Assumptions!$C$27+Assumptions!$C$56)))</f>
        <v>0</v>
      </c>
      <c r="J176" s="9" t="n">
        <f aca="false">((J143*(Assumptions!$C$26+Assumptions!$C$55))+(J142*(Assumptions!$C$27+Assumptions!$C$56)))</f>
        <v>0</v>
      </c>
      <c r="K176" s="9" t="n">
        <f aca="false">((K143*(Assumptions!$C$26+Assumptions!$C$55))+(K142*(Assumptions!$C$27+Assumptions!$C$56)))</f>
        <v>0</v>
      </c>
      <c r="L176" s="9" t="n">
        <f aca="false">((L143*(Assumptions!$C$26+Assumptions!$C$55))+(L142*(Assumptions!$C$27+Assumptions!$C$56)))</f>
        <v>0</v>
      </c>
      <c r="M176" s="9" t="n">
        <f aca="false">((M143*(Assumptions!$C$26+Assumptions!$C$55))+(M142*(Assumptions!$C$27+Assumptions!$C$56)))</f>
        <v>0</v>
      </c>
      <c r="N176" s="9" t="n">
        <f aca="false">((N143*(Assumptions!$C$26+Assumptions!$C$55))+(N142*(Assumptions!$C$27+Assumptions!$C$56)))</f>
        <v>0</v>
      </c>
      <c r="O176" s="9" t="n">
        <f aca="false">((O143*(Assumptions!$C$26+Assumptions!$C$55))+(O142*(Assumptions!$C$27+Assumptions!$C$56)))</f>
        <v>0</v>
      </c>
      <c r="P176" s="9" t="n">
        <f aca="false">((P143*(Assumptions!$C$26+Assumptions!$C$55))+(P142*(Assumptions!$C$27+Assumptions!$C$56)))</f>
        <v>0</v>
      </c>
      <c r="Q176" s="9" t="n">
        <f aca="false">((Q143*(Assumptions!$C$26+Assumptions!$C$55))+(Q142*(Assumptions!$C$27+Assumptions!$C$56)))</f>
        <v>0</v>
      </c>
      <c r="R176" s="9" t="n">
        <f aca="false">((R143*(Assumptions!$C$26+Assumptions!$C$55))+(R142*(Assumptions!$C$27+Assumptions!$C$56)))</f>
        <v>0</v>
      </c>
      <c r="S176" s="9" t="n">
        <f aca="false">((S143*(Assumptions!$C$26+Assumptions!$C$55))+(S142*(Assumptions!$C$27+Assumptions!$C$56)))</f>
        <v>0</v>
      </c>
      <c r="T176" s="9" t="n">
        <f aca="false">((T143*(Assumptions!$C$26+Assumptions!$C$55))+(T142*(Assumptions!$C$27+Assumptions!$C$56)))</f>
        <v>0</v>
      </c>
      <c r="U176" s="9" t="n">
        <f aca="false">((U143*(Assumptions!$C$26+Assumptions!$C$55))+(U142*(Assumptions!$C$27+Assumptions!$C$56)))</f>
        <v>0</v>
      </c>
      <c r="V176" s="9" t="n">
        <f aca="false">((V143*(Assumptions!$C$26+Assumptions!$C$55))+(V142*(Assumptions!$C$27+Assumptions!$C$56)))</f>
        <v>0</v>
      </c>
      <c r="W176" s="9" t="n">
        <f aca="false">((W143*(Assumptions!$C$26+Assumptions!$C$55))+(W142*(Assumptions!$C$27+Assumptions!$C$56)))</f>
        <v>0</v>
      </c>
      <c r="X176" s="9" t="n">
        <f aca="false">((X143*(Assumptions!$C$26+Assumptions!$C$55))+(X142*(Assumptions!$C$27+Assumptions!$C$56)))</f>
        <v>0</v>
      </c>
      <c r="Y176" s="9" t="n">
        <f aca="false">((Y143*(Assumptions!$C$26+Assumptions!$C$55))+(Y142*(Assumptions!$C$27+Assumptions!$C$56)))</f>
        <v>0</v>
      </c>
      <c r="Z176" s="9" t="n">
        <f aca="false">((Z143*(Assumptions!$C$26+Assumptions!$C$55))+(Z142*(Assumptions!$C$27+Assumptions!$C$56)))</f>
        <v>0</v>
      </c>
      <c r="AA176" s="9" t="n">
        <f aca="false">((AA143*(Assumptions!$C$26+Assumptions!$C$55))+(AA142*(Assumptions!$C$27+Assumptions!$C$56)))</f>
        <v>0</v>
      </c>
      <c r="AB176" s="9" t="n">
        <f aca="false">((AB143*(Assumptions!$C$26+Assumptions!$C$55))+(AB142*(Assumptions!$C$27+Assumptions!$C$56)))</f>
        <v>0</v>
      </c>
      <c r="AC176" s="9" t="n">
        <f aca="false">((AC143*(Assumptions!$C$26+Assumptions!$C$55))+(AC142*(Assumptions!$C$27+Assumptions!$C$56)))</f>
        <v>0</v>
      </c>
      <c r="AD176" s="9" t="n">
        <f aca="false">((AD143*(Assumptions!$C$26+Assumptions!$C$55))+(AD142*(Assumptions!$C$27+Assumptions!$C$56)))</f>
        <v>0</v>
      </c>
      <c r="AE176" s="9" t="n">
        <f aca="false">((AE143*(Assumptions!$C$26+Assumptions!$C$55))+(AE142*(Assumptions!$C$27+Assumptions!$C$56)))</f>
        <v>0</v>
      </c>
      <c r="AF176" s="9" t="n">
        <f aca="false">((AF143*(Assumptions!$C$26+Assumptions!$C$55))+(AF142*(Assumptions!$C$27+Assumptions!$C$56)))</f>
        <v>0</v>
      </c>
      <c r="AG176" s="9" t="n">
        <f aca="false">((AG143*(Assumptions!$C$26+Assumptions!$C$55))+(AG142*(Assumptions!$C$27+Assumptions!$C$56)))</f>
        <v>643.2</v>
      </c>
      <c r="AH176" s="9" t="n">
        <f aca="false">((AH143*(Assumptions!$C$26+Assumptions!$C$55))+(AH142*(Assumptions!$C$27+Assumptions!$C$56)))</f>
        <v>858.672</v>
      </c>
      <c r="AI176" s="9" t="n">
        <f aca="false">((AI143*(Assumptions!$C$26+Assumptions!$C$55))+(AI142*(Assumptions!$C$27+Assumptions!$C$56)))</f>
        <v>1065.52512</v>
      </c>
      <c r="AJ176" s="9" t="n">
        <f aca="false">((AJ143*(Assumptions!$C$26+Assumptions!$C$55))+(AJ142*(Assumptions!$C$27+Assumptions!$C$56)))</f>
        <v>1264.1041152</v>
      </c>
      <c r="AK176" s="9" t="n">
        <f aca="false">((AK143*(Assumptions!$C$26+Assumptions!$C$55))+(AK142*(Assumptions!$C$27+Assumptions!$C$56)))</f>
        <v>1454.739950592</v>
      </c>
      <c r="AL176" s="9" t="n">
        <f aca="false">((AL143*(Assumptions!$C$26+Assumptions!$C$55))+(AL142*(Assumptions!$C$27+Assumptions!$C$56)))</f>
        <v>1637.75035256832</v>
      </c>
      <c r="AN176" s="11" t="n">
        <f aca="false">SUM(C176:N176)</f>
        <v>0</v>
      </c>
      <c r="AO176" s="11" t="n">
        <f aca="false">SUM(O176:Z176)</f>
        <v>0</v>
      </c>
      <c r="AP176" s="11" t="n">
        <f aca="false">SUM(AA176:AL176)</f>
        <v>6923.99153836032</v>
      </c>
    </row>
    <row r="177" customFormat="false" ht="15" hidden="false" customHeight="false" outlineLevel="0" collapsed="false">
      <c r="A177" s="0" t="s">
        <v>979</v>
      </c>
      <c r="B177" s="0" t="s">
        <v>230</v>
      </c>
      <c r="C177" s="9" t="n">
        <f aca="false">(((((((C158+C159)+C160)+C161)+C162)+C163)+C165)+C170)</f>
        <v>159.925194</v>
      </c>
      <c r="D177" s="9" t="n">
        <f aca="false">(((((((D158+D159)+D160)+D161)+D162)+D163)+D165)+D170)</f>
        <v>284.1747678</v>
      </c>
      <c r="E177" s="9" t="n">
        <f aca="false">(((((((E158+E159)+E160)+E161)+E162)+E163)+E165)+E170)</f>
        <v>374.4759134952</v>
      </c>
      <c r="F177" s="9" t="n">
        <f aca="false">(((((((F158+F159)+F160)+F161)+F162)+F163)+F165)+F170)</f>
        <v>446.75324378784</v>
      </c>
      <c r="G177" s="9" t="n">
        <f aca="false">(((((((G158+G159)+G160)+G161)+G162)+G163)+G165)+G170)</f>
        <v>746.06305426339</v>
      </c>
      <c r="H177" s="9" t="n">
        <f aca="false">(((((((H158+H159)+H160)+H161)+H162)+H163)+H165)+H170)</f>
        <v>770.01749458003</v>
      </c>
      <c r="I177" s="9" t="n">
        <f aca="false">(((((((I158+I159)+I160)+I161)+I162)+I163)+I165)+I170)</f>
        <v>830.937300825945</v>
      </c>
      <c r="J177" s="9" t="n">
        <f aca="false">(((((((J158+J159)+J160)+J161)+J162)+J163)+J165)+J170)</f>
        <v>2140.5820506634</v>
      </c>
      <c r="K177" s="9" t="n">
        <f aca="false">(((((((K158+K159)+K160)+K161)+K162)+K163)+K165)+K170)</f>
        <v>2397.68129448116</v>
      </c>
      <c r="L177" s="9" t="n">
        <f aca="false">(((((((L158+L159)+L160)+L161)+L162)+L163)+L165)+L170)</f>
        <v>2499.61758500893</v>
      </c>
      <c r="M177" s="9" t="n">
        <f aca="false">(((((((M158+M159)+M160)+M161)+M162)+M163)+M165)+M170)</f>
        <v>2299.24235718067</v>
      </c>
      <c r="N177" s="9" t="n">
        <f aca="false">(((((((N158+N159)+N160)+N161)+N162)+N163)+N165)+N170)</f>
        <v>2761.92941250992</v>
      </c>
      <c r="O177" s="9" t="n">
        <f aca="false">(((((((O158+O159)+O160)+O161)+O162)+O163)+O165)+O170)</f>
        <v>4555.06093977699</v>
      </c>
      <c r="P177" s="9" t="n">
        <f aca="false">(((((((P158+P159)+P160)+P161)+P162)+P163)+P165)+P170)</f>
        <v>4682.28644342809</v>
      </c>
      <c r="Q177" s="9" t="n">
        <f aca="false">(((((((Q158+Q159)+Q160)+Q161)+Q162)+Q163)+Q165)+Q170)</f>
        <v>7446.73706239862</v>
      </c>
      <c r="R177" s="9" t="n">
        <f aca="false">(((((((R158+R159)+R160)+R161)+R162)+R163)+R165)+R170)</f>
        <v>9526.75703197071</v>
      </c>
      <c r="S177" s="9" t="n">
        <f aca="false">(((((((S158+S159)+S160)+S161)+S162)+S163)+S165)+S170)</f>
        <v>9992.78625490106</v>
      </c>
      <c r="T177" s="9" t="n">
        <f aca="false">(((((((T158+T159)+T160)+T161)+T162)+T163)+T165)+T170)</f>
        <v>10319.4445812206</v>
      </c>
      <c r="U177" s="9" t="n">
        <f aca="false">(((((((U158+U159)+U160)+U161)+U162)+U163)+U165)+U170)</f>
        <v>12225.1134647298</v>
      </c>
      <c r="V177" s="9" t="n">
        <f aca="false">(((((((V158+V159)+V160)+V161)+V162)+V163)+V165)+V170)</f>
        <v>14285.7409136004</v>
      </c>
      <c r="W177" s="9" t="n">
        <f aca="false">(((((((W158+W159)+W160)+W161)+W162)+W163)+W165)+W170)</f>
        <v>16136.9614767038</v>
      </c>
      <c r="X177" s="9" t="n">
        <f aca="false">(((((((X158+X159)+X160)+X161)+X162)+X163)+X165)+X170)</f>
        <v>17172.6168058305</v>
      </c>
      <c r="Y177" s="9" t="n">
        <f aca="false">(((((((Y158+Y159)+Y160)+Y161)+Y162)+Y163)+Y165)+Y170)</f>
        <v>20146.1454535402</v>
      </c>
      <c r="Z177" s="9" t="n">
        <f aca="false">(((((((Z158+Z159)+Z160)+Z161)+Z162)+Z163)+Z165)+Z170)</f>
        <v>20269.2416587074</v>
      </c>
      <c r="AA177" s="9" t="n">
        <f aca="false">(((((((AA158+AA159)+AA160)+AA161)+AA162)+AA163)+AA165)+AA170)</f>
        <v>21910.6090585911</v>
      </c>
      <c r="AB177" s="9" t="n">
        <f aca="false">(((((((AB158+AB159)+AB160)+AB161)+AB162)+AB163)+AB165)+AB170)</f>
        <v>28844.1750919262</v>
      </c>
      <c r="AC177" s="9" t="n">
        <f aca="false">(((((((AC158+AC159)+AC160)+AC161)+AC162)+AC163)+AC165)+AC170)</f>
        <v>29205.3920023012</v>
      </c>
      <c r="AD177" s="9" t="n">
        <f aca="false">(((((((AD158+AD159)+AD160)+AD161)+AD162)+AD163)+AD165)+AD170)</f>
        <v>30943.3400606867</v>
      </c>
      <c r="AE177" s="9" t="n">
        <f aca="false">(((((((AE158+AE159)+AE160)+AE161)+AE162)+AE163)+AE165)+AE170)</f>
        <v>37706.3558060686</v>
      </c>
      <c r="AF177" s="9" t="n">
        <f aca="false">(((((((AF158+AF159)+AF160)+AF161)+AF162)+AF163)+AF165)+AF170)</f>
        <v>41509.3630799844</v>
      </c>
      <c r="AG177" s="9" t="n">
        <f aca="false">(((((((AG158+AG159)+AG160)+AG161)+AG162)+AG163)+AG165)+AG170)</f>
        <v>42894.1704694616</v>
      </c>
      <c r="AH177" s="9" t="n">
        <f aca="false">(((((((AH158+AH159)+AH160)+AH161)+AH162)+AH163)+AH165)+AH170)</f>
        <v>51876.984204105</v>
      </c>
      <c r="AI177" s="9" t="n">
        <f aca="false">(((((((AI158+AI159)+AI160)+AI161)+AI162)+AI163)+AI165)+AI170)</f>
        <v>54054.6291409927</v>
      </c>
      <c r="AJ177" s="9" t="n">
        <f aca="false">(((((((AJ158+AJ159)+AJ160)+AJ161)+AJ162)+AJ163)+AJ165)+AJ170)</f>
        <v>54995.2961517361</v>
      </c>
      <c r="AK177" s="9" t="n">
        <f aca="false">(((((((AK158+AK159)+AK160)+AK161)+AK162)+AK163)+AK165)+AK170)</f>
        <v>67274.1391912681</v>
      </c>
      <c r="AL177" s="9" t="n">
        <f aca="false">(((((((AL158+AL159)+AL160)+AL161)+AL162)+AL163)+AL165)+AL170)</f>
        <v>78252.0576833147</v>
      </c>
      <c r="AN177" s="11" t="n">
        <f aca="false">SUM(C177:N177)</f>
        <v>15711.3996685965</v>
      </c>
      <c r="AO177" s="11" t="n">
        <f aca="false">SUM(O177:Z177)</f>
        <v>146758.892086808</v>
      </c>
      <c r="AP177" s="11" t="n">
        <f aca="false">SUM(AA177:AL177)</f>
        <v>539466.511940436</v>
      </c>
    </row>
    <row r="178" customFormat="false" ht="15" hidden="false" customHeight="false" outlineLevel="0" collapsed="false">
      <c r="A178" s="0" t="s">
        <v>980</v>
      </c>
      <c r="B178" s="0" t="s">
        <v>193</v>
      </c>
      <c r="C178" s="12" t="n">
        <f aca="false">((C29+C39)/C157)</f>
        <v>1</v>
      </c>
      <c r="D178" s="12" t="n">
        <f aca="false">((D29+D39)/D157)</f>
        <v>1</v>
      </c>
      <c r="E178" s="12" t="n">
        <f aca="false">((E29+E39)/E157)</f>
        <v>1</v>
      </c>
      <c r="F178" s="12" t="n">
        <f aca="false">((F29+F39)/F157)</f>
        <v>1</v>
      </c>
      <c r="G178" s="12" t="n">
        <f aca="false">((G29+G39)/G157)</f>
        <v>0.772132420682723</v>
      </c>
      <c r="H178" s="12" t="n">
        <f aca="false">((H29+H39)/H157)</f>
        <v>0.780481144106528</v>
      </c>
      <c r="I178" s="12" t="n">
        <f aca="false">((I29+I39)/I157)</f>
        <v>0.799191896630727</v>
      </c>
      <c r="J178" s="12" t="n">
        <f aca="false">((J29+J39)/J157)</f>
        <v>0.518532526474918</v>
      </c>
      <c r="K178" s="12" t="n">
        <f aca="false">((K29+K39)/K157)</f>
        <v>0.587407074545753</v>
      </c>
      <c r="L178" s="12" t="n">
        <f aca="false">((L29+L39)/L157)</f>
        <v>0.609552425383973</v>
      </c>
      <c r="M178" s="12" t="n">
        <f aca="false">((M29+M39)/M157)</f>
        <v>0.670522004654715</v>
      </c>
      <c r="N178" s="12" t="n">
        <f aca="false">((N29+N39)/N157)</f>
        <v>0.593912400494029</v>
      </c>
      <c r="O178" s="12" t="n">
        <f aca="false">((O29+O39)/O157)</f>
        <v>0.73642687804442</v>
      </c>
      <c r="P178" s="12" t="n">
        <f aca="false">((P29+P39)/P157)</f>
        <v>0.910228013971326</v>
      </c>
      <c r="Q178" s="12" t="n">
        <f aca="false">((Q29+Q39)/Q157)</f>
        <v>0.77354584722746</v>
      </c>
      <c r="R178" s="12" t="n">
        <f aca="false">((R29+R39)/R157)</f>
        <v>0.719784861701301</v>
      </c>
      <c r="S178" s="12" t="n">
        <f aca="false">((S29+S39)/S157)</f>
        <v>0.734621001516623</v>
      </c>
      <c r="T178" s="12" t="n">
        <f aca="false">((T29+T39)/T157)</f>
        <v>0.743731820647106</v>
      </c>
      <c r="U178" s="12" t="n">
        <f aca="false">((U29+U39)/U157)</f>
        <v>0.700659170921087</v>
      </c>
      <c r="V178" s="12" t="n">
        <f aca="false">((V29+V39)/V157)</f>
        <v>0.73098193760318</v>
      </c>
      <c r="W178" s="12" t="n">
        <f aca="false">((W29+W39)/W157)</f>
        <v>0.767291412823936</v>
      </c>
      <c r="X178" s="12" t="n">
        <f aca="false">((X29+X39)/X157)</f>
        <v>0.771228014520735</v>
      </c>
      <c r="Y178" s="12" t="n">
        <f aca="false">((Y29+Y39)/Y157)</f>
        <v>0.710195113393224</v>
      </c>
      <c r="Z178" s="12" t="n">
        <f aca="false">((Z29+Z39)/Z157)</f>
        <v>0.713479641934038</v>
      </c>
      <c r="AA178" s="12" t="n">
        <f aca="false">((AA29+AA39)/AA157)</f>
        <v>0.729182188339292</v>
      </c>
      <c r="AB178" s="12" t="n">
        <f aca="false">((AB29+AB39)/AB157)</f>
        <v>0.629617716959168</v>
      </c>
      <c r="AC178" s="12" t="n">
        <f aca="false">((AC29+AC39)/AC157)</f>
        <v>0.641698168284302</v>
      </c>
      <c r="AD178" s="12" t="n">
        <f aca="false">((AD29+AD39)/AD157)</f>
        <v>0.626161639777235</v>
      </c>
      <c r="AE178" s="12" t="n">
        <f aca="false">((AE29+AE39)/AE157)</f>
        <v>0.539454991949415</v>
      </c>
      <c r="AF178" s="12" t="n">
        <f aca="false">((AF29+AF39)/AF157)</f>
        <v>0.496605979094404</v>
      </c>
      <c r="AG178" s="12" t="n">
        <f aca="false">((AG29+AG39)/AG157)</f>
        <v>0.49061672041516</v>
      </c>
      <c r="AH178" s="12" t="n">
        <f aca="false">((AH29+AH39)/AH157)</f>
        <v>0.463842332989963</v>
      </c>
      <c r="AI178" s="12" t="n">
        <f aca="false">((AI29+AI39)/AI157)</f>
        <v>0.493875182588499</v>
      </c>
      <c r="AJ178" s="12" t="n">
        <f aca="false">((AJ29+AJ39)/AJ157)</f>
        <v>0.499911602681046</v>
      </c>
      <c r="AK178" s="12" t="n">
        <f aca="false">((AK29+AK39)/AK157)</f>
        <v>0.428484597629791</v>
      </c>
      <c r="AL178" s="12" t="n">
        <f aca="false">((AL29+AL39)/AL157)</f>
        <v>0.374948923214769</v>
      </c>
    </row>
    <row r="179" customFormat="false" ht="15" hidden="false" customHeight="false" outlineLevel="0" collapsed="false">
      <c r="A179" s="0" t="s">
        <v>981</v>
      </c>
      <c r="B179" s="0" t="s">
        <v>230</v>
      </c>
      <c r="C179" s="9" t="n">
        <f aca="false">(C175+(C177*C178))</f>
        <v>159.925194</v>
      </c>
      <c r="D179" s="9" t="n">
        <f aca="false">(D175+(D177*D178))</f>
        <v>284.1747678</v>
      </c>
      <c r="E179" s="9" t="n">
        <f aca="false">(E175+(E177*E178))</f>
        <v>374.4759134952</v>
      </c>
      <c r="F179" s="9" t="n">
        <f aca="false">(F175+(F177*F178))</f>
        <v>446.75324378784</v>
      </c>
      <c r="G179" s="9" t="n">
        <f aca="false">(G175+(G177*G178))</f>
        <v>576.059472070337</v>
      </c>
      <c r="H179" s="9" t="n">
        <f aca="false">(H175+(H177*H178))</f>
        <v>600.984135151864</v>
      </c>
      <c r="I179" s="9" t="n">
        <f aca="false">(I175+(I177*I178))</f>
        <v>664.078357428304</v>
      </c>
      <c r="J179" s="9" t="n">
        <f aca="false">(J175+(J177*J178))</f>
        <v>1109.96141885735</v>
      </c>
      <c r="K179" s="9" t="n">
        <f aca="false">(K175+(K177*K178))</f>
        <v>1408.41495488425</v>
      </c>
      <c r="L179" s="9" t="n">
        <f aca="false">(L175+(L177*L178))</f>
        <v>1523.64796147462</v>
      </c>
      <c r="M179" s="9" t="n">
        <f aca="false">(M175+(M177*M178))</f>
        <v>1541.69259452382</v>
      </c>
      <c r="N179" s="9" t="n">
        <f aca="false">(N175+(N177*N178))</f>
        <v>1640.34412737883</v>
      </c>
      <c r="O179" s="9" t="n">
        <f aca="false">(O175+(O177*O178))</f>
        <v>3362.69057652208</v>
      </c>
      <c r="P179" s="9" t="n">
        <f aca="false">(P175+(P177*P178))</f>
        <v>4281.80728976056</v>
      </c>
      <c r="Q179" s="9" t="n">
        <f aca="false">(Q175+(Q177*Q178))</f>
        <v>5791.41603770757</v>
      </c>
      <c r="R179" s="9" t="n">
        <f aca="false">(R175+(R177*R178))</f>
        <v>6898.61145642544</v>
      </c>
      <c r="S179" s="9" t="n">
        <f aca="false">(S175+(S177*S178))</f>
        <v>7392.32600722907</v>
      </c>
      <c r="T179" s="9" t="n">
        <f aca="false">(T175+(T177*T178))</f>
        <v>7735.06255667411</v>
      </c>
      <c r="U179" s="9" t="n">
        <f aca="false">(U175+(U177*U178))</f>
        <v>8633.81263729196</v>
      </c>
      <c r="V179" s="9" t="n">
        <f aca="false">(V175+(V177*V178))</f>
        <v>10520.4012248012</v>
      </c>
      <c r="W179" s="9" t="n">
        <f aca="false">(W175+(W177*W178))</f>
        <v>12476.9293217246</v>
      </c>
      <c r="X179" s="9" t="n">
        <f aca="false">(X175+(X177*X178))</f>
        <v>13359.2212500747</v>
      </c>
      <c r="Y179" s="9" t="n">
        <f aca="false">(Y175+(Y177*Y178))</f>
        <v>14437.450684955</v>
      </c>
      <c r="Z179" s="9" t="n">
        <f aca="false">(Z175+(Z177*Z178))</f>
        <v>14604.2566936722</v>
      </c>
      <c r="AA179" s="9" t="n">
        <f aca="false">(AA175+(AA177*AA178))</f>
        <v>16133.8425860672</v>
      </c>
      <c r="AB179" s="9" t="n">
        <f aca="false">(AB175+(AB177*AB178))</f>
        <v>18340.7649026871</v>
      </c>
      <c r="AC179" s="9" t="n">
        <f aca="false">(AC175+(AC177*AC178))</f>
        <v>18941.2202142917</v>
      </c>
      <c r="AD179" s="9" t="n">
        <f aca="false">(AD175+(AD177*AD178))</f>
        <v>19592.9467092383</v>
      </c>
      <c r="AE179" s="9" t="n">
        <f aca="false">(AE175+(AE177*AE178))</f>
        <v>20573.7746366068</v>
      </c>
      <c r="AF179" s="9" t="n">
        <f aca="false">(AF175+(AF177*AF178))</f>
        <v>20858.8619767713</v>
      </c>
      <c r="AG179" s="9" t="n">
        <f aca="false">(AG175+(AG177*AG178))</f>
        <v>21299.846936539</v>
      </c>
      <c r="AH179" s="9" t="n">
        <f aca="false">(AH175+(AH177*AH178))</f>
        <v>24330.780390066</v>
      </c>
      <c r="AI179" s="9" t="n">
        <f aca="false">(AI175+(AI177*AI178))</f>
        <v>26991.1100126237</v>
      </c>
      <c r="AJ179" s="9" t="n">
        <f aca="false">(AJ175+(AJ177*AJ178))</f>
        <v>27818.1629343185</v>
      </c>
      <c r="AK179" s="9" t="n">
        <f aca="false">(AK175+(AK177*AK178))</f>
        <v>29170.4882931531</v>
      </c>
      <c r="AL179" s="9" t="n">
        <f aca="false">(AL175+(AL177*AL178))</f>
        <v>29700.6352578418</v>
      </c>
      <c r="AN179" s="11" t="n">
        <f aca="false">SUM(C179:N179)</f>
        <v>10330.5121408524</v>
      </c>
      <c r="AO179" s="11" t="n">
        <f aca="false">SUM(O179:Z179)</f>
        <v>109493.985736839</v>
      </c>
      <c r="AP179" s="11" t="n">
        <f aca="false">SUM(AA179:AL179)</f>
        <v>273752.434850204</v>
      </c>
    </row>
    <row r="180" customFormat="false" ht="15" hidden="false" customHeight="false" outlineLevel="0" collapsed="false">
      <c r="A180" s="0" t="s">
        <v>982</v>
      </c>
      <c r="B180" s="0" t="s">
        <v>230</v>
      </c>
      <c r="C180" s="9" t="n">
        <f aca="false">(((C177*(1-C178))+C168)+C173)</f>
        <v>0</v>
      </c>
      <c r="D180" s="9" t="n">
        <f aca="false">(((D177*(1-D178))+D168)+D173)</f>
        <v>0</v>
      </c>
      <c r="E180" s="9" t="n">
        <f aca="false">(((E177*(1-E178))+E168)+E173)</f>
        <v>0</v>
      </c>
      <c r="F180" s="9" t="n">
        <f aca="false">(((F177*(1-F178))+F168)+F173)</f>
        <v>0</v>
      </c>
      <c r="G180" s="9" t="n">
        <f aca="false">(((G177*(1-G178))+G168)+G173)</f>
        <v>475.003582193053</v>
      </c>
      <c r="H180" s="9" t="n">
        <f aca="false">(((H177*(1-H178))+H168)+H173)</f>
        <v>474.033359428166</v>
      </c>
      <c r="I180" s="9" t="n">
        <f aca="false">(((I177*(1-I178))+I168)+I173)</f>
        <v>471.858943397641</v>
      </c>
      <c r="J180" s="9" t="n">
        <f aca="false">(((J177*(1-J178))+J168)+J173)</f>
        <v>1640.62063180605</v>
      </c>
      <c r="K180" s="9" t="n">
        <f aca="false">(((K177*(1-K178))+K168)+K173)</f>
        <v>1599.26633959691</v>
      </c>
      <c r="L180" s="9" t="n">
        <f aca="false">(((L177*(1-L178))+L168)+L173)</f>
        <v>1585.96962353431</v>
      </c>
      <c r="M180" s="9" t="n">
        <f aca="false">(((M177*(1-M178))+M168)+M173)</f>
        <v>1062.54976265686</v>
      </c>
      <c r="N180" s="9" t="n">
        <f aca="false">(((N177*(1-N178))+N168)+N173)</f>
        <v>1609.58528513109</v>
      </c>
      <c r="O180" s="9" t="n">
        <f aca="false">(((O177*(1-O178))+O168)+O173)</f>
        <v>1993.59163259494</v>
      </c>
      <c r="P180" s="9" t="n">
        <f aca="false">(((P177*(1-P178))+P168)+P173)</f>
        <v>908.338153181674</v>
      </c>
      <c r="Q180" s="9" t="n">
        <f aca="false">(((Q177*(1-Q178))+Q168)+Q173)</f>
        <v>2357.34453238535</v>
      </c>
      <c r="R180" s="9" t="n">
        <f aca="false">(((R177*(1-R178))+R168)+R173)</f>
        <v>3950.54153925178</v>
      </c>
      <c r="S180" s="9" t="n">
        <f aca="false">(((S177*(1-S178))+S168)+S173)</f>
        <v>3932.8756083841</v>
      </c>
      <c r="T180" s="9" t="n">
        <f aca="false">(((T177*(1-T178))+T168)+T173)</f>
        <v>14092.2119414292</v>
      </c>
      <c r="U180" s="9" t="n">
        <f aca="false">(((U177*(1-U178))+U168)+U173)</f>
        <v>15717.1422667827</v>
      </c>
      <c r="V180" s="9" t="n">
        <f aca="false">(((V177*(1-V178))+V168)+V173)</f>
        <v>16053.2890071464</v>
      </c>
      <c r="W180" s="9" t="n">
        <f aca="false">(((W177*(1-W178))+W168)+W173)</f>
        <v>15965.376173225</v>
      </c>
      <c r="X180" s="9" t="n">
        <f aca="false">(((X177*(1-X178))+X168)+X173)</f>
        <v>16443.7803092111</v>
      </c>
      <c r="Y180" s="9" t="n">
        <f aca="false">(((Y177*(1-Y178))+Y168)+Y173)</f>
        <v>18948.3680653935</v>
      </c>
      <c r="Z180" s="9" t="n">
        <f aca="false">(((Z177*(1-Z178))+Z168)+Z173)</f>
        <v>18895.507044445</v>
      </c>
      <c r="AA180" s="9" t="n">
        <f aca="false">(((AA177*(1-AA178))+AA168)+AA173)</f>
        <v>19326.7398640676</v>
      </c>
      <c r="AB180" s="9" t="n">
        <f aca="false">(((AB177*(1-AB178))+AB168)+AB173)</f>
        <v>25128.5780896438</v>
      </c>
      <c r="AC180" s="9" t="n">
        <f aca="false">(((AC177*(1-AC178))+AC168)+AC173)</f>
        <v>24887.5921170662</v>
      </c>
      <c r="AD180" s="9" t="n">
        <f aca="false">(((AD177*(1-AD178))+AD168)+AD173)</f>
        <v>26601.0541747692</v>
      </c>
      <c r="AE180" s="9" t="n">
        <f aca="false">(((AE177*(1-AE178))+AE168)+AE173)</f>
        <v>33755.9706049307</v>
      </c>
      <c r="AF180" s="9" t="n">
        <f aca="false">(((AF177*(1-AF178))+AF168)+AF173)</f>
        <v>47757.728519397</v>
      </c>
      <c r="AG180" s="9" t="n">
        <f aca="false">(((AG177*(1-AG178))+AG168)+AG173)</f>
        <v>49016.7365621389</v>
      </c>
      <c r="AH180" s="9" t="n">
        <f aca="false">(((AH177*(1-AH178))+AH168)+AH173)</f>
        <v>56472.8561557228</v>
      </c>
      <c r="AI180" s="9" t="n">
        <f aca="false">(((AI177*(1-AI178))+AI168)+AI173)</f>
        <v>56017.0026375647</v>
      </c>
      <c r="AJ180" s="9" t="n">
        <f aca="false">(((AJ177*(1-AJ178))+AJ168)+AJ173)</f>
        <v>56466.1228459363</v>
      </c>
      <c r="AK180" s="9" t="n">
        <f aca="false">(((AK177*(1-AK178))+AK168)+AK173)</f>
        <v>69597.4500623404</v>
      </c>
      <c r="AL180" s="9" t="n">
        <f aca="false">(((AL177*(1-AL178))+AL168)+AL173)</f>
        <v>80346.4514489492</v>
      </c>
      <c r="AN180" s="11" t="n">
        <f aca="false">SUM(C180:N180)</f>
        <v>8918.88752774407</v>
      </c>
      <c r="AO180" s="11" t="n">
        <f aca="false">SUM(O180:Z180)</f>
        <v>129258.366273431</v>
      </c>
      <c r="AP180" s="11" t="n">
        <f aca="false">SUM(AA180:AL180)</f>
        <v>545374.283082527</v>
      </c>
    </row>
    <row r="181" customFormat="false" ht="15" hidden="false" customHeight="false" outlineLevel="0" collapsed="false">
      <c r="A181" s="0" t="s">
        <v>983</v>
      </c>
      <c r="B181" s="0" t="s">
        <v>230</v>
      </c>
      <c r="C181" s="9" t="n">
        <f aca="false">((C164+C166)+C171)</f>
        <v>6000</v>
      </c>
      <c r="D181" s="9" t="n">
        <f aca="false">((D164+D166)+D171)</f>
        <v>6000</v>
      </c>
      <c r="E181" s="9" t="n">
        <f aca="false">((E164+E166)+E171)</f>
        <v>6000</v>
      </c>
      <c r="F181" s="9" t="n">
        <f aca="false">((F164+F166)+F171)</f>
        <v>6000</v>
      </c>
      <c r="G181" s="9" t="n">
        <f aca="false">((G164+G166)+G171)</f>
        <v>6000</v>
      </c>
      <c r="H181" s="9" t="n">
        <f aca="false">((H164+H166)+H171)</f>
        <v>6000</v>
      </c>
      <c r="I181" s="9" t="n">
        <f aca="false">((I164+I166)+I171)</f>
        <v>6000</v>
      </c>
      <c r="J181" s="9" t="n">
        <f aca="false">((J164+J166)+J171)</f>
        <v>6000</v>
      </c>
      <c r="K181" s="9" t="n">
        <f aca="false">((K164+K166)+K171)</f>
        <v>12303.3333333333</v>
      </c>
      <c r="L181" s="9" t="n">
        <f aca="false">((L164+L166)+L171)</f>
        <v>12303.3333333333</v>
      </c>
      <c r="M181" s="9" t="n">
        <f aca="false">((M164+M166)+M171)</f>
        <v>12303.3333333333</v>
      </c>
      <c r="N181" s="9" t="n">
        <f aca="false">((N164+N166)+N171)</f>
        <v>12303.3333333333</v>
      </c>
      <c r="O181" s="9" t="n">
        <f aca="false">((O164+O166)+O171)</f>
        <v>18303.3333333333</v>
      </c>
      <c r="P181" s="9" t="n">
        <f aca="false">((P164+P166)+P171)</f>
        <v>18303.3333333333</v>
      </c>
      <c r="Q181" s="9" t="n">
        <f aca="false">((Q164+Q166)+Q171)</f>
        <v>18303.3333333333</v>
      </c>
      <c r="R181" s="9" t="n">
        <f aca="false">((R164+R166)+R171)</f>
        <v>18303.3333333333</v>
      </c>
      <c r="S181" s="9" t="n">
        <f aca="false">((S164+S166)+S171)</f>
        <v>18303.3333333333</v>
      </c>
      <c r="T181" s="9" t="n">
        <f aca="false">((T164+T166)+T171)</f>
        <v>26945</v>
      </c>
      <c r="U181" s="9" t="n">
        <f aca="false">((U164+U166)+U171)</f>
        <v>26945</v>
      </c>
      <c r="V181" s="9" t="n">
        <f aca="false">((V164+V166)+V171)</f>
        <v>26945</v>
      </c>
      <c r="W181" s="9" t="n">
        <f aca="false">((W164+W166)+W171)</f>
        <v>26945</v>
      </c>
      <c r="X181" s="9" t="n">
        <f aca="false">((X164+X166)+X171)</f>
        <v>26945</v>
      </c>
      <c r="Y181" s="9" t="n">
        <f aca="false">((Y164+Y166)+Y171)</f>
        <v>26945</v>
      </c>
      <c r="Z181" s="9" t="n">
        <f aca="false">((Z164+Z166)+Z171)</f>
        <v>26945</v>
      </c>
      <c r="AA181" s="9" t="n">
        <f aca="false">((AA164+AA166)+AA171)</f>
        <v>35945</v>
      </c>
      <c r="AB181" s="9" t="n">
        <f aca="false">((AB164+AB166)+AB171)</f>
        <v>42248.3333333333</v>
      </c>
      <c r="AC181" s="9" t="n">
        <f aca="false">((AC164+AC166)+AC171)</f>
        <v>42248.3333333333</v>
      </c>
      <c r="AD181" s="9" t="n">
        <f aca="false">((AD164+AD166)+AD171)</f>
        <v>42248.3333333333</v>
      </c>
      <c r="AE181" s="9" t="n">
        <f aca="false">((AE164+AE166)+AE171)</f>
        <v>42248.3333333333</v>
      </c>
      <c r="AF181" s="9" t="n">
        <f aca="false">((AF164+AF166)+AF171)</f>
        <v>42248.3333333333</v>
      </c>
      <c r="AG181" s="9" t="n">
        <f aca="false">((AG164+AG166)+AG171)</f>
        <v>42248.3333333333</v>
      </c>
      <c r="AH181" s="9" t="n">
        <f aca="false">((AH164+AH166)+AH171)</f>
        <v>42248.3333333333</v>
      </c>
      <c r="AI181" s="9" t="n">
        <f aca="false">((AI164+AI166)+AI171)</f>
        <v>48551.6666666667</v>
      </c>
      <c r="AJ181" s="9" t="n">
        <f aca="false">((AJ164+AJ166)+AJ171)</f>
        <v>48551.6666666667</v>
      </c>
      <c r="AK181" s="9" t="n">
        <f aca="false">((AK164+AK166)+AK171)</f>
        <v>48551.6666666667</v>
      </c>
      <c r="AL181" s="9" t="n">
        <f aca="false">((AL164+AL166)+AL171)</f>
        <v>48551.6666666667</v>
      </c>
      <c r="AN181" s="11" t="n">
        <f aca="false">SUM(C181:N181)</f>
        <v>97213.3333333333</v>
      </c>
      <c r="AO181" s="11" t="n">
        <f aca="false">SUM(O181:Z181)</f>
        <v>280131.666666667</v>
      </c>
      <c r="AP181" s="11" t="n">
        <f aca="false">SUM(AA181:AL181)</f>
        <v>525890</v>
      </c>
    </row>
    <row r="182" customFormat="false" ht="15" hidden="false" customHeight="false" outlineLevel="0" collapsed="false">
      <c r="A182" s="0" t="s">
        <v>984</v>
      </c>
      <c r="B182" s="0" t="s">
        <v>230</v>
      </c>
      <c r="C182" s="9" t="n">
        <f aca="false">C172</f>
        <v>0</v>
      </c>
      <c r="D182" s="9" t="n">
        <f aca="false">D172</f>
        <v>0</v>
      </c>
      <c r="E182" s="9" t="n">
        <f aca="false">E172</f>
        <v>0</v>
      </c>
      <c r="F182" s="9" t="n">
        <f aca="false">F172</f>
        <v>0</v>
      </c>
      <c r="G182" s="9" t="n">
        <f aca="false">G172</f>
        <v>10166.6666666667</v>
      </c>
      <c r="H182" s="9" t="n">
        <f aca="false">H172</f>
        <v>10166.6666666667</v>
      </c>
      <c r="I182" s="9" t="n">
        <f aca="false">I172</f>
        <v>10166.6666666667</v>
      </c>
      <c r="J182" s="9" t="n">
        <f aca="false">J172</f>
        <v>10166.6666666667</v>
      </c>
      <c r="K182" s="9" t="n">
        <f aca="false">K172</f>
        <v>10166.6666666667</v>
      </c>
      <c r="L182" s="9" t="n">
        <f aca="false">L172</f>
        <v>10166.6666666667</v>
      </c>
      <c r="M182" s="9" t="n">
        <f aca="false">M172</f>
        <v>20333.3333333333</v>
      </c>
      <c r="N182" s="9" t="n">
        <f aca="false">N172</f>
        <v>20333.3333333333</v>
      </c>
      <c r="O182" s="9" t="n">
        <f aca="false">O172</f>
        <v>20333.3333333333</v>
      </c>
      <c r="P182" s="9" t="n">
        <f aca="false">P172</f>
        <v>20333.3333333333</v>
      </c>
      <c r="Q182" s="9" t="n">
        <f aca="false">Q172</f>
        <v>30500</v>
      </c>
      <c r="R182" s="9" t="n">
        <f aca="false">R172</f>
        <v>30500</v>
      </c>
      <c r="S182" s="9" t="n">
        <f aca="false">S172</f>
        <v>30500</v>
      </c>
      <c r="T182" s="9" t="n">
        <f aca="false">T172</f>
        <v>30500</v>
      </c>
      <c r="U182" s="9" t="n">
        <f aca="false">U172</f>
        <v>40666.6666666667</v>
      </c>
      <c r="V182" s="9" t="n">
        <f aca="false">V172</f>
        <v>40666.6666666667</v>
      </c>
      <c r="W182" s="9" t="n">
        <f aca="false">W172</f>
        <v>40666.6666666667</v>
      </c>
      <c r="X182" s="9" t="n">
        <f aca="false">X172</f>
        <v>50833.3333333333</v>
      </c>
      <c r="Y182" s="9" t="n">
        <f aca="false">Y172</f>
        <v>50833.3333333333</v>
      </c>
      <c r="Z182" s="9" t="n">
        <f aca="false">Z172</f>
        <v>50833.3333333333</v>
      </c>
      <c r="AA182" s="9" t="n">
        <f aca="false">AA172</f>
        <v>61000</v>
      </c>
      <c r="AB182" s="9" t="n">
        <f aca="false">AB172</f>
        <v>61000</v>
      </c>
      <c r="AC182" s="9" t="n">
        <f aca="false">AC172</f>
        <v>61000</v>
      </c>
      <c r="AD182" s="9" t="n">
        <f aca="false">AD172</f>
        <v>71166.6666666667</v>
      </c>
      <c r="AE182" s="9" t="n">
        <f aca="false">AE172</f>
        <v>71166.6666666667</v>
      </c>
      <c r="AF182" s="9" t="n">
        <f aca="false">AF172</f>
        <v>71166.6666666667</v>
      </c>
      <c r="AG182" s="9" t="n">
        <f aca="false">AG172</f>
        <v>81333.3333333333</v>
      </c>
      <c r="AH182" s="9" t="n">
        <f aca="false">AH172</f>
        <v>81333.3333333333</v>
      </c>
      <c r="AI182" s="9" t="n">
        <f aca="false">AI172</f>
        <v>81333.3333333333</v>
      </c>
      <c r="AJ182" s="9" t="n">
        <f aca="false">AJ172</f>
        <v>81333.3333333333</v>
      </c>
      <c r="AK182" s="9" t="n">
        <f aca="false">AK172</f>
        <v>81333.3333333333</v>
      </c>
      <c r="AL182" s="9" t="n">
        <f aca="false">AL172</f>
        <v>81333.3333333333</v>
      </c>
      <c r="AN182" s="11" t="n">
        <f aca="false">SUM(C182:N182)</f>
        <v>101666.666666667</v>
      </c>
      <c r="AO182" s="11" t="n">
        <f aca="false">SUM(O182:Z182)</f>
        <v>437166.666666667</v>
      </c>
      <c r="AP182" s="11" t="n">
        <f aca="false">SUM(AA182:AL182)</f>
        <v>884500</v>
      </c>
    </row>
    <row r="183" customFormat="false" ht="15" hidden="false" customHeight="false" outlineLevel="0" collapsed="false">
      <c r="A183" s="0" t="s">
        <v>985</v>
      </c>
      <c r="B183" s="0" t="s">
        <v>230</v>
      </c>
      <c r="C183" s="9" t="n">
        <f aca="false">(C176+C174)</f>
        <v>0</v>
      </c>
      <c r="D183" s="9" t="n">
        <f aca="false">(D176+D174)</f>
        <v>0</v>
      </c>
      <c r="E183" s="9" t="n">
        <f aca="false">(E176+E174)</f>
        <v>0</v>
      </c>
      <c r="F183" s="9" t="n">
        <f aca="false">(F176+F174)</f>
        <v>0</v>
      </c>
      <c r="G183" s="9" t="n">
        <f aca="false">(G176+G174)</f>
        <v>0</v>
      </c>
      <c r="H183" s="9" t="n">
        <f aca="false">(H176+H174)</f>
        <v>0</v>
      </c>
      <c r="I183" s="9" t="n">
        <f aca="false">(I176+I174)</f>
        <v>0</v>
      </c>
      <c r="J183" s="9" t="n">
        <f aca="false">(J176+J174)</f>
        <v>0</v>
      </c>
      <c r="K183" s="9" t="n">
        <f aca="false">(K176+K174)</f>
        <v>0</v>
      </c>
      <c r="L183" s="9" t="n">
        <f aca="false">(L176+L174)</f>
        <v>0</v>
      </c>
      <c r="M183" s="9" t="n">
        <f aca="false">(M176+M174)</f>
        <v>0</v>
      </c>
      <c r="N183" s="9" t="n">
        <f aca="false">(N176+N174)</f>
        <v>0</v>
      </c>
      <c r="O183" s="9" t="n">
        <f aca="false">(O176+O174)</f>
        <v>0</v>
      </c>
      <c r="P183" s="9" t="n">
        <f aca="false">(P176+P174)</f>
        <v>0</v>
      </c>
      <c r="Q183" s="9" t="n">
        <f aca="false">(Q176+Q174)</f>
        <v>0</v>
      </c>
      <c r="R183" s="9" t="n">
        <f aca="false">(R176+R174)</f>
        <v>0</v>
      </c>
      <c r="S183" s="9" t="n">
        <f aca="false">(S176+S174)</f>
        <v>0</v>
      </c>
      <c r="T183" s="9" t="n">
        <f aca="false">(T176+T174)</f>
        <v>0</v>
      </c>
      <c r="U183" s="9" t="n">
        <f aca="false">(U176+U174)</f>
        <v>0</v>
      </c>
      <c r="V183" s="9" t="n">
        <f aca="false">(V176+V174)</f>
        <v>0</v>
      </c>
      <c r="W183" s="9" t="n">
        <f aca="false">(W176+W174)</f>
        <v>0</v>
      </c>
      <c r="X183" s="9" t="n">
        <f aca="false">(X176+X174)</f>
        <v>0</v>
      </c>
      <c r="Y183" s="9" t="n">
        <f aca="false">(Y176+Y174)</f>
        <v>0</v>
      </c>
      <c r="Z183" s="9" t="n">
        <f aca="false">(Z176+Z174)</f>
        <v>0</v>
      </c>
      <c r="AA183" s="9" t="n">
        <f aca="false">(AA176+AA174)</f>
        <v>0</v>
      </c>
      <c r="AB183" s="9" t="n">
        <f aca="false">(AB176+AB174)</f>
        <v>0</v>
      </c>
      <c r="AC183" s="9" t="n">
        <f aca="false">(AC176+AC174)</f>
        <v>0</v>
      </c>
      <c r="AD183" s="9" t="n">
        <f aca="false">(AD176+AD174)</f>
        <v>0</v>
      </c>
      <c r="AE183" s="9" t="n">
        <f aca="false">(AE176+AE174)</f>
        <v>0</v>
      </c>
      <c r="AF183" s="9" t="n">
        <f aca="false">(AF176+AF174)</f>
        <v>0</v>
      </c>
      <c r="AG183" s="9" t="n">
        <f aca="false">(AG176+AG174)</f>
        <v>643.2</v>
      </c>
      <c r="AH183" s="9" t="n">
        <f aca="false">(AH176+AH174)</f>
        <v>7975.33866666667</v>
      </c>
      <c r="AI183" s="9" t="n">
        <f aca="false">(AI176+AI174)</f>
        <v>8182.19178666667</v>
      </c>
      <c r="AJ183" s="9" t="n">
        <f aca="false">(AJ176+AJ174)</f>
        <v>8380.77078186667</v>
      </c>
      <c r="AK183" s="9" t="n">
        <f aca="false">(AK176+AK174)</f>
        <v>8571.40661725867</v>
      </c>
      <c r="AL183" s="9" t="n">
        <f aca="false">(AL176+AL174)</f>
        <v>8754.41701923499</v>
      </c>
      <c r="AN183" s="11" t="n">
        <f aca="false">SUM(C183:N183)</f>
        <v>0</v>
      </c>
      <c r="AO183" s="11" t="n">
        <f aca="false">SUM(O183:Z183)</f>
        <v>0</v>
      </c>
      <c r="AP183" s="11" t="n">
        <f aca="false">SUM(AA183:AL183)</f>
        <v>42507.3248716937</v>
      </c>
    </row>
    <row r="184" customFormat="false" ht="15" hidden="false" customHeight="false" outlineLevel="0" collapsed="false">
      <c r="A184" s="10" t="s">
        <v>986</v>
      </c>
      <c r="B184" s="20" t="s">
        <v>230</v>
      </c>
      <c r="C184" s="11" t="n">
        <f aca="false">((((C179+C180)+C181)+C182)+C183)</f>
        <v>6159.925194</v>
      </c>
      <c r="D184" s="11" t="n">
        <f aca="false">((((D179+D180)+D181)+D182)+D183)</f>
        <v>6284.1747678</v>
      </c>
      <c r="E184" s="11" t="n">
        <f aca="false">((((E179+E180)+E181)+E182)+E183)</f>
        <v>6374.4759134952</v>
      </c>
      <c r="F184" s="11" t="n">
        <f aca="false">((((F179+F180)+F181)+F182)+F183)</f>
        <v>6446.75324378784</v>
      </c>
      <c r="G184" s="11" t="n">
        <f aca="false">((((G179+G180)+G181)+G182)+G183)</f>
        <v>17217.7297209301</v>
      </c>
      <c r="H184" s="11" t="n">
        <f aca="false">((((H179+H180)+H181)+H182)+H183)</f>
        <v>17241.6841612467</v>
      </c>
      <c r="I184" s="11" t="n">
        <f aca="false">((((I179+I180)+I181)+I182)+I183)</f>
        <v>17302.6039674926</v>
      </c>
      <c r="J184" s="11" t="n">
        <f aca="false">((((J179+J180)+J181)+J182)+J183)</f>
        <v>18917.2487173301</v>
      </c>
      <c r="K184" s="11" t="n">
        <f aca="false">((((K179+K180)+K181)+K182)+K183)</f>
        <v>25477.6812944812</v>
      </c>
      <c r="L184" s="11" t="n">
        <f aca="false">((((L179+L180)+L181)+L182)+L183)</f>
        <v>25579.6175850089</v>
      </c>
      <c r="M184" s="11" t="n">
        <f aca="false">((((M179+M180)+M181)+M182)+M183)</f>
        <v>35240.9090238473</v>
      </c>
      <c r="N184" s="11" t="n">
        <f aca="false">((((N179+N180)+N181)+N182)+N183)</f>
        <v>35886.5960791766</v>
      </c>
      <c r="O184" s="11" t="n">
        <f aca="false">((((O179+O180)+O181)+O182)+O183)</f>
        <v>43992.9488757837</v>
      </c>
      <c r="P184" s="11" t="n">
        <f aca="false">((((P179+P180)+P181)+P182)+P183)</f>
        <v>43826.8121096089</v>
      </c>
      <c r="Q184" s="11" t="n">
        <f aca="false">((((Q179+Q180)+Q181)+Q182)+Q183)</f>
        <v>56952.0939034263</v>
      </c>
      <c r="R184" s="11" t="n">
        <f aca="false">((((R179+R180)+R181)+R182)+R183)</f>
        <v>59652.4863290106</v>
      </c>
      <c r="S184" s="11" t="n">
        <f aca="false">((((S179+S180)+S181)+S182)+S183)</f>
        <v>60128.5349489465</v>
      </c>
      <c r="T184" s="11" t="n">
        <f aca="false">((((T179+T180)+T181)+T182)+T183)</f>
        <v>79272.2744981033</v>
      </c>
      <c r="U184" s="11" t="n">
        <f aca="false">((((U179+U180)+U181)+U182)+U183)</f>
        <v>91962.6215707413</v>
      </c>
      <c r="V184" s="11" t="n">
        <f aca="false">((((V179+V180)+V181)+V182)+V183)</f>
        <v>94185.3568986143</v>
      </c>
      <c r="W184" s="11" t="n">
        <f aca="false">((((W179+W180)+W181)+W182)+W183)</f>
        <v>96053.9721616163</v>
      </c>
      <c r="X184" s="11" t="n">
        <f aca="false">((((X179+X180)+X181)+X182)+X183)</f>
        <v>107581.334892619</v>
      </c>
      <c r="Y184" s="11" t="n">
        <f aca="false">((((Y179+Y180)+Y181)+Y182)+Y183)</f>
        <v>111164.152083682</v>
      </c>
      <c r="Z184" s="11" t="n">
        <f aca="false">((((Z179+Z180)+Z181)+Z182)+Z183)</f>
        <v>111278.097071451</v>
      </c>
      <c r="AA184" s="11" t="n">
        <f aca="false">((((AA179+AA180)+AA181)+AA182)+AA183)</f>
        <v>132405.582450135</v>
      </c>
      <c r="AB184" s="11" t="n">
        <f aca="false">((((AB179+AB180)+AB181)+AB182)+AB183)</f>
        <v>146717.676325664</v>
      </c>
      <c r="AC184" s="11" t="n">
        <f aca="false">((((AC179+AC180)+AC181)+AC182)+AC183)</f>
        <v>147077.145664691</v>
      </c>
      <c r="AD184" s="11" t="n">
        <f aca="false">((((AD179+AD180)+AD181)+AD182)+AD183)</f>
        <v>159609.000884008</v>
      </c>
      <c r="AE184" s="11" t="n">
        <f aca="false">((((AE179+AE180)+AE181)+AE182)+AE183)</f>
        <v>167744.745241538</v>
      </c>
      <c r="AF184" s="11" t="n">
        <f aca="false">((((AF179+AF180)+AF181)+AF182)+AF183)</f>
        <v>182031.590496168</v>
      </c>
      <c r="AG184" s="11" t="n">
        <f aca="false">((((AG179+AG180)+AG181)+AG182)+AG183)</f>
        <v>194541.450165345</v>
      </c>
      <c r="AH184" s="11" t="n">
        <f aca="false">((((AH179+AH180)+AH181)+AH182)+AH183)</f>
        <v>212360.641879122</v>
      </c>
      <c r="AI184" s="11" t="n">
        <f aca="false">((((AI179+AI180)+AI181)+AI182)+AI183)</f>
        <v>221075.304436855</v>
      </c>
      <c r="AJ184" s="11" t="n">
        <f aca="false">((((AJ179+AJ180)+AJ181)+AJ182)+AJ183)</f>
        <v>222550.056562121</v>
      </c>
      <c r="AK184" s="11" t="n">
        <f aca="false">((((AK179+AK180)+AK181)+AK182)+AK183)</f>
        <v>237224.344972752</v>
      </c>
      <c r="AL184" s="11" t="n">
        <f aca="false">((((AL179+AL180)+AL181)+AL182)+AL183)</f>
        <v>248686.503726026</v>
      </c>
      <c r="AN184" s="11" t="n">
        <f aca="false">SUM(C184:N184)</f>
        <v>218129.399668596</v>
      </c>
      <c r="AO184" s="11" t="n">
        <f aca="false">SUM(O184:Z184)</f>
        <v>956050.685343603</v>
      </c>
      <c r="AP184" s="11" t="n">
        <f aca="false">SUM(AA184:AL184)</f>
        <v>2272024.04280442</v>
      </c>
    </row>
    <row r="185" customFormat="false" ht="15" hidden="false" customHeight="false" outlineLevel="0" collapsed="false">
      <c r="A185" s="0" t="s">
        <v>987</v>
      </c>
      <c r="B185" s="0" t="s">
        <v>230</v>
      </c>
      <c r="C185" s="9" t="n">
        <f aca="false">((((((((((((((((C158+C159)+C160)+C161)+C162)+C163)+C164)+C167)+C168)+C171)+C170)+C172)+C173)+C174)+C175)+C176)-C184)</f>
        <v>0</v>
      </c>
      <c r="D185" s="9" t="n">
        <f aca="false">((((((((((((((((D158+D159)+D160)+D161)+D162)+D163)+D164)+D167)+D168)+D171)+D170)+D172)+D173)+D174)+D175)+D176)-D184)</f>
        <v>0</v>
      </c>
      <c r="E185" s="9" t="n">
        <f aca="false">((((((((((((((((E158+E159)+E160)+E161)+E162)+E163)+E164)+E167)+E168)+E171)+E170)+E172)+E173)+E174)+E175)+E176)-E184)</f>
        <v>0</v>
      </c>
      <c r="F185" s="9" t="n">
        <f aca="false">((((((((((((((((F158+F159)+F160)+F161)+F162)+F163)+F164)+F167)+F168)+F171)+F170)+F172)+F173)+F174)+F175)+F176)-F184)</f>
        <v>0</v>
      </c>
      <c r="G185" s="9" t="n">
        <f aca="false">((((((((((((((((G158+G159)+G160)+G161)+G162)+G163)+G164)+G167)+G168)+G171)+G170)+G172)+G173)+G174)+G175)+G176)-G184)</f>
        <v>0</v>
      </c>
      <c r="H185" s="9" t="n">
        <f aca="false">((((((((((((((((H158+H159)+H160)+H161)+H162)+H163)+H164)+H167)+H168)+H171)+H170)+H172)+H173)+H174)+H175)+H176)-H184)</f>
        <v>0</v>
      </c>
      <c r="I185" s="9" t="n">
        <f aca="false">((((((((((((((((I158+I159)+I160)+I161)+I162)+I163)+I164)+I167)+I168)+I171)+I170)+I172)+I173)+I174)+I175)+I176)-I184)</f>
        <v>0</v>
      </c>
      <c r="J185" s="9" t="n">
        <f aca="false">((((((((((((((((J158+J159)+J160)+J161)+J162)+J163)+J164)+J167)+J168)+J171)+J170)+J172)+J173)+J174)+J175)+J176)-J184)</f>
        <v>0</v>
      </c>
      <c r="K185" s="9" t="n">
        <f aca="false">((((((((((((((((K158+K159)+K160)+K161)+K162)+K163)+K164)+K167)+K168)+K171)+K170)+K172)+K173)+K174)+K175)+K176)-K184)</f>
        <v>0</v>
      </c>
      <c r="L185" s="9" t="n">
        <f aca="false">((((((((((((((((L158+L159)+L160)+L161)+L162)+L163)+L164)+L167)+L168)+L171)+L170)+L172)+L173)+L174)+L175)+L176)-L184)</f>
        <v>0</v>
      </c>
      <c r="M185" s="9" t="n">
        <f aca="false">((((((((((((((((M158+M159)+M160)+M161)+M162)+M163)+M164)+M167)+M168)+M171)+M170)+M172)+M173)+M174)+M175)+M176)-M184)</f>
        <v>0</v>
      </c>
      <c r="N185" s="9" t="n">
        <f aca="false">((((((((((((((((N158+N159)+N160)+N161)+N162)+N163)+N164)+N167)+N168)+N171)+N170)+N172)+N173)+N174)+N175)+N176)-N184)</f>
        <v>0</v>
      </c>
      <c r="O185" s="9" t="n">
        <f aca="false">((((((((((((((((O158+O159)+O160)+O161)+O162)+O163)+O164)+O167)+O168)+O171)+O170)+O172)+O173)+O174)+O175)+O176)-O184)</f>
        <v>0</v>
      </c>
      <c r="P185" s="9" t="n">
        <f aca="false">((((((((((((((((P158+P159)+P160)+P161)+P162)+P163)+P164)+P167)+P168)+P171)+P170)+P172)+P173)+P174)+P175)+P176)-P184)</f>
        <v>0</v>
      </c>
      <c r="Q185" s="9" t="n">
        <f aca="false">((((((((((((((((Q158+Q159)+Q160)+Q161)+Q162)+Q163)+Q164)+Q167)+Q168)+Q171)+Q170)+Q172)+Q173)+Q174)+Q175)+Q176)-Q184)</f>
        <v>0</v>
      </c>
      <c r="R185" s="9" t="n">
        <f aca="false">((((((((((((((((R158+R159)+R160)+R161)+R162)+R163)+R164)+R167)+R168)+R171)+R170)+R172)+R173)+R174)+R175)+R176)-R184)</f>
        <v>0</v>
      </c>
      <c r="S185" s="9" t="n">
        <f aca="false">((((((((((((((((S158+S159)+S160)+S161)+S162)+S163)+S164)+S167)+S168)+S171)+S170)+S172)+S173)+S174)+S175)+S176)-S184)</f>
        <v>0</v>
      </c>
      <c r="T185" s="9" t="n">
        <f aca="false">((((((((((((((((T158+T159)+T160)+T161)+T162)+T163)+T164)+T167)+T168)+T171)+T170)+T172)+T173)+T174)+T175)+T176)-T184)</f>
        <v>0</v>
      </c>
      <c r="U185" s="9" t="n">
        <f aca="false">((((((((((((((((U158+U159)+U160)+U161)+U162)+U163)+U164)+U167)+U168)+U171)+U170)+U172)+U173)+U174)+U175)+U176)-U184)</f>
        <v>0</v>
      </c>
      <c r="V185" s="9" t="n">
        <f aca="false">((((((((((((((((V158+V159)+V160)+V161)+V162)+V163)+V164)+V167)+V168)+V171)+V170)+V172)+V173)+V174)+V175)+V176)-V184)</f>
        <v>0</v>
      </c>
      <c r="W185" s="9" t="n">
        <f aca="false">((((((((((((((((W158+W159)+W160)+W161)+W162)+W163)+W164)+W167)+W168)+W171)+W170)+W172)+W173)+W174)+W175)+W176)-W184)</f>
        <v>0</v>
      </c>
      <c r="X185" s="9" t="n">
        <f aca="false">((((((((((((((((X158+X159)+X160)+X161)+X162)+X163)+X164)+X167)+X168)+X171)+X170)+X172)+X173)+X174)+X175)+X176)-X184)</f>
        <v>0</v>
      </c>
      <c r="Y185" s="9" t="n">
        <f aca="false">((((((((((((((((Y158+Y159)+Y160)+Y161)+Y162)+Y163)+Y164)+Y167)+Y168)+Y171)+Y170)+Y172)+Y173)+Y174)+Y175)+Y176)-Y184)</f>
        <v>0</v>
      </c>
      <c r="Z185" s="9" t="n">
        <f aca="false">((((((((((((((((Z158+Z159)+Z160)+Z161)+Z162)+Z163)+Z164)+Z167)+Z168)+Z171)+Z170)+Z172)+Z173)+Z174)+Z175)+Z176)-Z184)</f>
        <v>0</v>
      </c>
      <c r="AA185" s="9" t="n">
        <f aca="false">((((((((((((((((AA158+AA159)+AA160)+AA161)+AA162)+AA163)+AA164)+AA167)+AA168)+AA171)+AA170)+AA172)+AA173)+AA174)+AA175)+AA176)-AA184)</f>
        <v>0</v>
      </c>
      <c r="AB185" s="9" t="n">
        <f aca="false">((((((((((((((((AB158+AB159)+AB160)+AB161)+AB162)+AB163)+AB164)+AB167)+AB168)+AB171)+AB170)+AB172)+AB173)+AB174)+AB175)+AB176)-AB184)</f>
        <v>0</v>
      </c>
      <c r="AC185" s="9" t="n">
        <f aca="false">((((((((((((((((AC158+AC159)+AC160)+AC161)+AC162)+AC163)+AC164)+AC167)+AC168)+AC171)+AC170)+AC172)+AC173)+AC174)+AC175)+AC176)-AC184)</f>
        <v>0</v>
      </c>
      <c r="AD185" s="9" t="n">
        <f aca="false">((((((((((((((((AD158+AD159)+AD160)+AD161)+AD162)+AD163)+AD164)+AD167)+AD168)+AD171)+AD170)+AD172)+AD173)+AD174)+AD175)+AD176)-AD184)</f>
        <v>0</v>
      </c>
      <c r="AE185" s="9" t="n">
        <f aca="false">((((((((((((((((AE158+AE159)+AE160)+AE161)+AE162)+AE163)+AE164)+AE167)+AE168)+AE171)+AE170)+AE172)+AE173)+AE174)+AE175)+AE176)-AE184)</f>
        <v>0</v>
      </c>
      <c r="AF185" s="9" t="n">
        <f aca="false">((((((((((((((((AF158+AF159)+AF160)+AF161)+AF162)+AF163)+AF164)+AF167)+AF168)+AF171)+AF170)+AF172)+AF173)+AF174)+AF175)+AF176)-AF184)</f>
        <v>0</v>
      </c>
      <c r="AG185" s="9" t="n">
        <f aca="false">((((((((((((((((AG158+AG159)+AG160)+AG161)+AG162)+AG163)+AG164)+AG167)+AG168)+AG171)+AG170)+AG172)+AG173)+AG174)+AG175)+AG176)-AG184)</f>
        <v>0</v>
      </c>
      <c r="AH185" s="9" t="n">
        <f aca="false">((((((((((((((((AH158+AH159)+AH160)+AH161)+AH162)+AH163)+AH164)+AH167)+AH168)+AH171)+AH170)+AH172)+AH173)+AH174)+AH175)+AH176)-AH184)</f>
        <v>0</v>
      </c>
      <c r="AI185" s="9" t="n">
        <f aca="false">((((((((((((((((AI158+AI159)+AI160)+AI161)+AI162)+AI163)+AI164)+AI167)+AI168)+AI171)+AI170)+AI172)+AI173)+AI174)+AI175)+AI176)-AI184)</f>
        <v>0</v>
      </c>
      <c r="AJ185" s="9" t="n">
        <f aca="false">((((((((((((((((AJ158+AJ159)+AJ160)+AJ161)+AJ162)+AJ163)+AJ164)+AJ167)+AJ168)+AJ171)+AJ170)+AJ172)+AJ173)+AJ174)+AJ175)+AJ176)-AJ184)</f>
        <v>0</v>
      </c>
      <c r="AK185" s="9" t="n">
        <f aca="false">((((((((((((((((AK158+AK159)+AK160)+AK161)+AK162)+AK163)+AK164)+AK167)+AK168)+AK171)+AK170)+AK172)+AK173)+AK174)+AK175)+AK176)-AK184)</f>
        <v>0</v>
      </c>
      <c r="AL185" s="9" t="n">
        <f aca="false">((((((((((((((((AL158+AL159)+AL160)+AL161)+AL162)+AL163)+AL164)+AL167)+AL168)+AL171)+AL170)+AL172)+AL173)+AL174)+AL175)+AL176)-AL184)</f>
        <v>0</v>
      </c>
      <c r="AN185" s="11" t="n">
        <f aca="false">SUM(C185:N185)</f>
        <v>0</v>
      </c>
      <c r="AO185" s="11" t="n">
        <f aca="false">SUM(O185:Z185)</f>
        <v>0</v>
      </c>
      <c r="AP185" s="11" t="n">
        <f aca="false">SUM(AA185:AL185)</f>
        <v>0</v>
      </c>
    </row>
    <row r="186" customFormat="false" ht="15" hidden="false" customHeight="false" outlineLevel="0" collapsed="false">
      <c r="A186" s="0" t="s">
        <v>988</v>
      </c>
      <c r="B186" s="0" t="s">
        <v>230</v>
      </c>
      <c r="C186" s="9" t="n">
        <f aca="false">(C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159.925194</v>
      </c>
      <c r="D186" s="9" t="n">
        <f aca="false">(D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284.1747678</v>
      </c>
      <c r="E186" s="9" t="n">
        <f aca="false">(E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374.4759134952</v>
      </c>
      <c r="F186" s="9" t="n">
        <f aca="false">(F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446.75324378784</v>
      </c>
      <c r="G186" s="9" t="n">
        <f aca="false">(G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486.32833426339</v>
      </c>
      <c r="H186" s="9" t="n">
        <f aca="false">(H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510.28277458003</v>
      </c>
      <c r="I186" s="9" t="n">
        <f aca="false">(I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571.202580825945</v>
      </c>
      <c r="J186" s="9" t="n">
        <f aca="false">(J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798.619330663402</v>
      </c>
      <c r="K186" s="9" t="n">
        <f aca="false">(K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1055.71857448115</v>
      </c>
      <c r="L186" s="9" t="n">
        <f aca="false">(L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1157.65486500893</v>
      </c>
      <c r="M186" s="9" t="n">
        <f aca="false">(M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1217.01435718067</v>
      </c>
      <c r="N186" s="9" t="n">
        <f aca="false">(N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1234.44189250992</v>
      </c>
      <c r="O186" s="9" t="n">
        <f aca="false">(O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2756.20414395818</v>
      </c>
      <c r="P186" s="9" t="n">
        <f aca="false">(P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3940.00050561034</v>
      </c>
      <c r="Q186" s="9" t="n">
        <f aca="false">(Q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4813.08713099369</v>
      </c>
      <c r="R186" s="9" t="n">
        <f aca="false">(R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5507.76986483668</v>
      </c>
      <c r="S186" s="9" t="n">
        <f aca="false">(S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5925.02527615817</v>
      </c>
      <c r="T186" s="9" t="n">
        <f aca="false">(T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6200.24788362424</v>
      </c>
      <c r="U186" s="9" t="n">
        <f aca="false">(U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6711.23968500645</v>
      </c>
      <c r="V186" s="9" t="n">
        <f aca="false">(V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8344.60798316166</v>
      </c>
      <c r="W186" s="9" t="n">
        <f aca="false">(W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10125.6118599195</v>
      </c>
      <c r="X186" s="9" t="n">
        <f aca="false">(X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10816.2711711745</v>
      </c>
      <c r="Y186" s="9" t="n">
        <f aca="false">(Y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11195.5601032448</v>
      </c>
      <c r="Z186" s="9" t="n">
        <f aca="false">(Z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11281.0467870334</v>
      </c>
      <c r="AA186" s="9" t="n">
        <f aca="false">(AA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12575.366979552</v>
      </c>
      <c r="AB186" s="9" t="n">
        <f aca="false">(AB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13446.7027326193</v>
      </c>
      <c r="AC186" s="9" t="n">
        <f aca="false">(AC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13932.402624635</v>
      </c>
      <c r="AD186" s="9" t="n">
        <f aca="false">(AD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14229.7616152777</v>
      </c>
      <c r="AE186" s="9" t="n">
        <f aca="false">(AE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14185.2967511295</v>
      </c>
      <c r="AF186" s="9" t="n">
        <f aca="false">(AF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13998.2230091715</v>
      </c>
      <c r="AG186" s="9" t="n">
        <f aca="false">(AG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14211.2908884775</v>
      </c>
      <c r="AH186" s="9" t="n">
        <f aca="false">(AH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16069.3217326452</v>
      </c>
      <c r="AI186" s="9" t="n">
        <f aca="false">(AI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18146.1755981595</v>
      </c>
      <c r="AJ186" s="9" t="n">
        <f aca="false">(AJ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18712.5698856784</v>
      </c>
      <c r="AK186" s="9" t="n">
        <f aca="false">(AK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18869.7716782517</v>
      </c>
      <c r="AL186" s="9" t="n">
        <f aca="false">(AL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18649.6004343999</v>
      </c>
      <c r="AN186" s="11" t="n">
        <f aca="false">SUM(C186:N186)</f>
        <v>8296.59182859648</v>
      </c>
      <c r="AO186" s="11" t="n">
        <f aca="false">SUM(O186:Z186)</f>
        <v>87616.6723947216</v>
      </c>
      <c r="AP186" s="11" t="n">
        <f aca="false">SUM(AA186:AL186)</f>
        <v>187026.483929997</v>
      </c>
    </row>
    <row r="187" customFormat="false" ht="15" hidden="false" customHeight="false" outlineLevel="0" collapsed="false">
      <c r="A187" s="0" t="s">
        <v>989</v>
      </c>
      <c r="B187" s="0" t="s">
        <v>230</v>
      </c>
      <c r="C187" s="9" t="n">
        <f aca="false">((C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C175)</f>
        <v>0</v>
      </c>
      <c r="D187" s="9" t="n">
        <f aca="false">((D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D175)</f>
        <v>0</v>
      </c>
      <c r="E187" s="9" t="n">
        <f aca="false">((E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E175)</f>
        <v>0</v>
      </c>
      <c r="F187" s="9" t="n">
        <f aca="false">((F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F175)</f>
        <v>0</v>
      </c>
      <c r="G187" s="9" t="n">
        <f aca="false">((G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G175)</f>
        <v>0</v>
      </c>
      <c r="H187" s="9" t="n">
        <f aca="false">((H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H175)</f>
        <v>0</v>
      </c>
      <c r="I187" s="9" t="n">
        <f aca="false">((I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I175)</f>
        <v>0</v>
      </c>
      <c r="J187" s="9" t="n">
        <f aca="false">((J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J175)</f>
        <v>0</v>
      </c>
      <c r="K187" s="9" t="n">
        <f aca="false">((K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K175)</f>
        <v>0</v>
      </c>
      <c r="L187" s="9" t="n">
        <f aca="false">((L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L175)</f>
        <v>0</v>
      </c>
      <c r="M187" s="9" t="n">
        <f aca="false">((M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M175)</f>
        <v>0</v>
      </c>
      <c r="N187" s="9" t="n">
        <f aca="false">((N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N175)</f>
        <v>0</v>
      </c>
      <c r="O187" s="9" t="n">
        <f aca="false">((O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O175)</f>
        <v>19.8558251588385</v>
      </c>
      <c r="P187" s="9" t="n">
        <f aca="false">((P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P175)</f>
        <v>57.1506973318952</v>
      </c>
      <c r="Q187" s="9" t="n">
        <f aca="false">((Q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Q175)</f>
        <v>104.431199099232</v>
      </c>
      <c r="R187" s="9" t="n">
        <f aca="false">((R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R175)</f>
        <v>158.178170840538</v>
      </c>
      <c r="S187" s="9" t="n">
        <f aca="false">((S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S175)</f>
        <v>216.971379455004</v>
      </c>
      <c r="T187" s="9" t="n">
        <f aca="false">((T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T175)</f>
        <v>277.154987812376</v>
      </c>
      <c r="U187" s="9" t="n">
        <f aca="false">((U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U175)</f>
        <v>337.880872401514</v>
      </c>
      <c r="V187" s="9" t="n">
        <f aca="false">((V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V175)</f>
        <v>403.698302119317</v>
      </c>
      <c r="W187" s="9" t="n">
        <f aca="false">((W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W175)</f>
        <v>491.309688363427</v>
      </c>
      <c r="X187" s="9" t="n">
        <f aca="false">((X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X175)</f>
        <v>596.611721444648</v>
      </c>
      <c r="Y187" s="9" t="n">
        <f aca="false">((Y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Y175)</f>
        <v>700.805180437093</v>
      </c>
      <c r="Z187" s="9" t="n">
        <f aca="false">((Z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Z175)</f>
        <v>804.654626817147</v>
      </c>
      <c r="AA187" s="9" t="n">
        <f aca="false">((AA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A175)</f>
        <v>906.418426316136</v>
      </c>
      <c r="AB187" s="9" t="n">
        <f aca="false">((AB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B175)</f>
        <v>1023.87881544493</v>
      </c>
      <c r="AC187" s="9" t="n">
        <f aca="false">((AC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C175)</f>
        <v>1142.23802245624</v>
      </c>
      <c r="AD187" s="9" t="n">
        <f aca="false">((AD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D175)</f>
        <v>1258.10486446317</v>
      </c>
      <c r="AE187" s="9" t="n">
        <f aca="false">((AE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E175)</f>
        <v>1371.25048614133</v>
      </c>
      <c r="AF187" s="9" t="n">
        <f aca="false">((AF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F175)</f>
        <v>1477.48201606336</v>
      </c>
      <c r="AG187" s="9" t="n">
        <f aca="false">((AG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G175)</f>
        <v>1577.17913926703</v>
      </c>
      <c r="AH187" s="9" t="n">
        <f aca="false">((AH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H175)</f>
        <v>1678.41409421026</v>
      </c>
      <c r="AI187" s="9" t="n">
        <f aca="false">((AI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I175)</f>
        <v>1806.03633309552</v>
      </c>
      <c r="AJ187" s="9" t="n">
        <f aca="false">((AJ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J175)</f>
        <v>1951.08045564295</v>
      </c>
      <c r="AK187" s="9" t="n">
        <f aca="false">((AK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K175)</f>
        <v>2085.97301430844</v>
      </c>
      <c r="AL187" s="9" t="n">
        <f aca="false">((AL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L175)</f>
        <v>2215.14881476971</v>
      </c>
      <c r="AN187" s="11" t="n">
        <f aca="false">SUM(C187:N187)</f>
        <v>0</v>
      </c>
      <c r="AO187" s="11" t="n">
        <f aca="false">SUM(O187:Z187)</f>
        <v>4168.70265128103</v>
      </c>
      <c r="AP187" s="11" t="n">
        <f aca="false">SUM(AA187:AL187)</f>
        <v>18493.2044821791</v>
      </c>
    </row>
    <row r="188" customFormat="false" ht="15" hidden="false" customHeight="false" outlineLevel="0" collapsed="false">
      <c r="A188" s="0" t="s">
        <v>990</v>
      </c>
      <c r="B188" s="0" t="s">
        <v>500</v>
      </c>
      <c r="C188" s="9" t="n">
        <f aca="false">0</f>
        <v>0</v>
      </c>
      <c r="D188" s="9" t="n">
        <f aca="false">C39</f>
        <v>0</v>
      </c>
      <c r="E188" s="9" t="n">
        <f aca="false">D39</f>
        <v>0</v>
      </c>
      <c r="F188" s="9" t="n">
        <f aca="false">E39</f>
        <v>0</v>
      </c>
      <c r="G188" s="9" t="n">
        <f aca="false">F39</f>
        <v>0</v>
      </c>
      <c r="H188" s="9" t="n">
        <f aca="false">G39</f>
        <v>0</v>
      </c>
      <c r="I188" s="9" t="n">
        <f aca="false">H39</f>
        <v>0</v>
      </c>
      <c r="J188" s="9" t="n">
        <f aca="false">I39</f>
        <v>0</v>
      </c>
      <c r="K188" s="9" t="n">
        <f aca="false">J39</f>
        <v>0</v>
      </c>
      <c r="L188" s="9" t="n">
        <f aca="false">K39</f>
        <v>0</v>
      </c>
      <c r="M188" s="9" t="n">
        <f aca="false">L39</f>
        <v>0</v>
      </c>
      <c r="N188" s="9" t="n">
        <f aca="false">M39</f>
        <v>0</v>
      </c>
      <c r="O188" s="9" t="n">
        <f aca="false">N39</f>
        <v>0</v>
      </c>
      <c r="P188" s="9" t="n">
        <f aca="false">O39</f>
        <v>4.51553935346985</v>
      </c>
      <c r="Q188" s="9" t="n">
        <f aca="false">P39</f>
        <v>14.4734471754843</v>
      </c>
      <c r="R188" s="9" t="n">
        <f aca="false">Q39</f>
        <v>28.4905865379519</v>
      </c>
      <c r="S188" s="9" t="n">
        <f aca="false">R39</f>
        <v>45.3248633047421</v>
      </c>
      <c r="T188" s="9" t="n">
        <f aca="false">S39</f>
        <v>64.2546848783808</v>
      </c>
      <c r="U188" s="9" t="n">
        <f aca="false">T39</f>
        <v>84.2176311458779</v>
      </c>
      <c r="V188" s="9" t="n">
        <f aca="false">U39</f>
        <v>104.676837357465</v>
      </c>
      <c r="W188" s="9" t="n">
        <f aca="false">V39</f>
        <v>126.492576802041</v>
      </c>
      <c r="X188" s="9" t="n">
        <f aca="false">W39</f>
        <v>153.744688133264</v>
      </c>
      <c r="Y188" s="9" t="n">
        <f aca="false">X39</f>
        <v>186.835830748726</v>
      </c>
      <c r="Z188" s="9" t="n">
        <f aca="false">Y39</f>
        <v>221.632199953236</v>
      </c>
      <c r="AA188" s="9" t="n">
        <f aca="false">Z39</f>
        <v>256.966398049017</v>
      </c>
      <c r="AB188" s="9" t="n">
        <f aca="false">AA39</f>
        <v>290.853636967864</v>
      </c>
      <c r="AC188" s="9" t="n">
        <f aca="false">AB39</f>
        <v>327.536616836069</v>
      </c>
      <c r="AD188" s="9" t="n">
        <f aca="false">AC39</f>
        <v>365.628800757854</v>
      </c>
      <c r="AE188" s="9" t="n">
        <f aca="false">AD39</f>
        <v>403.907112492085</v>
      </c>
      <c r="AF188" s="9" t="n">
        <f aca="false">AE39</f>
        <v>441.81309119352</v>
      </c>
      <c r="AG188" s="9" t="n">
        <f aca="false">AF39</f>
        <v>478.319221121352</v>
      </c>
      <c r="AH188" s="9" t="n">
        <f aca="false">AG39</f>
        <v>513.05993258998</v>
      </c>
      <c r="AI188" s="9" t="n">
        <f aca="false">AH39</f>
        <v>547.386965393128</v>
      </c>
      <c r="AJ188" s="9" t="n">
        <f aca="false">AI39</f>
        <v>586.50543767112</v>
      </c>
      <c r="AK188" s="9" t="n">
        <f aca="false">AJ39</f>
        <v>630.959292986504</v>
      </c>
      <c r="AL188" s="9" t="n">
        <f aca="false">AK39</f>
        <v>675.869190452031</v>
      </c>
      <c r="AN188" s="11" t="n">
        <f aca="false">SUM(C188:N188)</f>
        <v>0</v>
      </c>
      <c r="AO188" s="11" t="n">
        <f aca="false">SUM(O188:Z188)</f>
        <v>1034.65888539064</v>
      </c>
      <c r="AP188" s="11" t="n">
        <f aca="false">SUM(AA188:AL188)</f>
        <v>5518.80569651052</v>
      </c>
    </row>
    <row r="189" customFormat="false" ht="15" hidden="false" customHeight="false" outlineLevel="0" collapsed="false">
      <c r="A189" s="21" t="s">
        <v>31</v>
      </c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</row>
    <row r="190" customFormat="false" ht="15" hidden="false" customHeight="false" outlineLevel="0" collapsed="false">
      <c r="A190" s="0" t="s">
        <v>991</v>
      </c>
      <c r="B190" s="0" t="s">
        <v>230</v>
      </c>
      <c r="C190" s="9" t="n">
        <f aca="false">SUMPRODUCT((Headcount!$C$5:$C$90="ENG")*Headcount!$D$5:$D$90*Headcount!$F$5:$F$90*((Headcount!$I$5:$I$90=0)+(Headcount!$I$5:$I$90=1)*$C$16)*(C$18&gt;=(Headcount!$E$5:$E$90+Headcount!$G$5:$G$90*$C$15)))/12*(1+Assumptions!$C$97)</f>
        <v>41683.3333333333</v>
      </c>
      <c r="D190" s="9" t="n">
        <f aca="false">SUMPRODUCT((Headcount!$C$5:$C$90="ENG")*Headcount!$D$5:$D$90*Headcount!$F$5:$F$90*((Headcount!$I$5:$I$90=0)+(Headcount!$I$5:$I$90=1)*$C$16)*(D$18&gt;=(Headcount!$E$5:$E$90+Headcount!$G$5:$G$90*$C$15)))/12*(1+Assumptions!$C$97)</f>
        <v>41683.3333333333</v>
      </c>
      <c r="E190" s="9" t="n">
        <f aca="false">SUMPRODUCT((Headcount!$C$5:$C$90="ENG")*Headcount!$D$5:$D$90*Headcount!$F$5:$F$90*((Headcount!$I$5:$I$90=0)+(Headcount!$I$5:$I$90=1)*$C$16)*(E$18&gt;=(Headcount!$E$5:$E$90+Headcount!$G$5:$G$90*$C$15)))/12*(1+Assumptions!$C$97)</f>
        <v>41683.3333333333</v>
      </c>
      <c r="F190" s="9" t="n">
        <f aca="false">SUMPRODUCT((Headcount!$C$5:$C$90="ENG")*Headcount!$D$5:$D$90*Headcount!$F$5:$F$90*((Headcount!$I$5:$I$90=0)+(Headcount!$I$5:$I$90=1)*$C$16)*(F$18&gt;=(Headcount!$E$5:$E$90+Headcount!$G$5:$G$90*$C$15)))/12*(1+Assumptions!$C$97)</f>
        <v>41683.3333333333</v>
      </c>
      <c r="G190" s="9" t="n">
        <f aca="false">SUMPRODUCT((Headcount!$C$5:$C$90="ENG")*Headcount!$D$5:$D$90*Headcount!$F$5:$F$90*((Headcount!$I$5:$I$90=0)+(Headcount!$I$5:$I$90=1)*$C$16)*(G$18&gt;=(Headcount!$E$5:$E$90+Headcount!$G$5:$G$90*$C$15)))/12*(1+Assumptions!$C$97)</f>
        <v>57950</v>
      </c>
      <c r="H190" s="9" t="n">
        <f aca="false">SUMPRODUCT((Headcount!$C$5:$C$90="ENG")*Headcount!$D$5:$D$90*Headcount!$F$5:$F$90*((Headcount!$I$5:$I$90=0)+(Headcount!$I$5:$I$90=1)*$C$16)*(H$18&gt;=(Headcount!$E$5:$E$90+Headcount!$G$5:$G$90*$C$15)))/12*(1+Assumptions!$C$97)</f>
        <v>73200</v>
      </c>
      <c r="I190" s="9" t="n">
        <f aca="false">SUMPRODUCT((Headcount!$C$5:$C$90="ENG")*Headcount!$D$5:$D$90*Headcount!$F$5:$F$90*((Headcount!$I$5:$I$90=0)+(Headcount!$I$5:$I$90=1)*$C$16)*(I$18&gt;=(Headcount!$E$5:$E$90+Headcount!$G$5:$G$90*$C$15)))/12*(1+Assumptions!$C$97)</f>
        <v>73200</v>
      </c>
      <c r="J190" s="9" t="n">
        <f aca="false">SUMPRODUCT((Headcount!$C$5:$C$90="ENG")*Headcount!$D$5:$D$90*Headcount!$F$5:$F$90*((Headcount!$I$5:$I$90=0)+(Headcount!$I$5:$I$90=1)*$C$16)*(J$18&gt;=(Headcount!$E$5:$E$90+Headcount!$G$5:$G$90*$C$15)))/12*(1+Assumptions!$C$97)</f>
        <v>73200</v>
      </c>
      <c r="K190" s="9" t="n">
        <f aca="false">SUMPRODUCT((Headcount!$C$5:$C$90="ENG")*Headcount!$D$5:$D$90*Headcount!$F$5:$F$90*((Headcount!$I$5:$I$90=0)+(Headcount!$I$5:$I$90=1)*$C$16)*(K$18&gt;=(Headcount!$E$5:$E$90+Headcount!$G$5:$G$90*$C$15)))/12*(1+Assumptions!$C$97)</f>
        <v>87941.6666666667</v>
      </c>
      <c r="L190" s="9" t="n">
        <f aca="false">SUMPRODUCT((Headcount!$C$5:$C$90="ENG")*Headcount!$D$5:$D$90*Headcount!$F$5:$F$90*((Headcount!$I$5:$I$90=0)+(Headcount!$I$5:$I$90=1)*$C$16)*(L$18&gt;=(Headcount!$E$5:$E$90+Headcount!$G$5:$G$90*$C$15)))/12*(1+Assumptions!$C$97)</f>
        <v>87941.6666666667</v>
      </c>
      <c r="M190" s="9" t="n">
        <f aca="false">SUMPRODUCT((Headcount!$C$5:$C$90="ENG")*Headcount!$D$5:$D$90*Headcount!$F$5:$F$90*((Headcount!$I$5:$I$90=0)+(Headcount!$I$5:$I$90=1)*$C$16)*(M$18&gt;=(Headcount!$E$5:$E$90+Headcount!$G$5:$G$90*$C$15)))/12*(1+Assumptions!$C$97)</f>
        <v>87941.6666666667</v>
      </c>
      <c r="N190" s="9" t="n">
        <f aca="false">SUMPRODUCT((Headcount!$C$5:$C$90="ENG")*Headcount!$D$5:$D$90*Headcount!$F$5:$F$90*((Headcount!$I$5:$I$90=0)+(Headcount!$I$5:$I$90=1)*$C$16)*(N$18&gt;=(Headcount!$E$5:$E$90+Headcount!$G$5:$G$90*$C$15)))/12*(1+Assumptions!$C$97)</f>
        <v>87941.6666666667</v>
      </c>
      <c r="O190" s="9" t="n">
        <f aca="false">SUMPRODUCT((Headcount!$C$5:$C$90="ENG")*Headcount!$D$5:$D$90*Headcount!$F$5:$F$90*((Headcount!$I$5:$I$90=0)+(Headcount!$I$5:$I$90=1)*$C$16)*(O$18&gt;=(Headcount!$E$5:$E$90+Headcount!$G$5:$G$90*$C$15)))/12*(1+Assumptions!$C$97)</f>
        <v>103191.666666667</v>
      </c>
      <c r="P190" s="9" t="n">
        <f aca="false">SUMPRODUCT((Headcount!$C$5:$C$90="ENG")*Headcount!$D$5:$D$90*Headcount!$F$5:$F$90*((Headcount!$I$5:$I$90=0)+(Headcount!$I$5:$I$90=1)*$C$16)*(P$18&gt;=(Headcount!$E$5:$E$90+Headcount!$G$5:$G$90*$C$15)))/12*(1+Assumptions!$C$97)</f>
        <v>118441.666666667</v>
      </c>
      <c r="Q190" s="9" t="n">
        <f aca="false">SUMPRODUCT((Headcount!$C$5:$C$90="ENG")*Headcount!$D$5:$D$90*Headcount!$F$5:$F$90*((Headcount!$I$5:$I$90=0)+(Headcount!$I$5:$I$90=1)*$C$16)*(Q$18&gt;=(Headcount!$E$5:$E$90+Headcount!$G$5:$G$90*$C$15)))/12*(1+Assumptions!$C$97)</f>
        <v>118441.666666667</v>
      </c>
      <c r="R190" s="9" t="n">
        <f aca="false">SUMPRODUCT((Headcount!$C$5:$C$90="ENG")*Headcount!$D$5:$D$90*Headcount!$F$5:$F$90*((Headcount!$I$5:$I$90=0)+(Headcount!$I$5:$I$90=1)*$C$16)*(R$18&gt;=(Headcount!$E$5:$E$90+Headcount!$G$5:$G$90*$C$15)))/12*(1+Assumptions!$C$97)</f>
        <v>118441.666666667</v>
      </c>
      <c r="S190" s="9" t="n">
        <f aca="false">SUMPRODUCT((Headcount!$C$5:$C$90="ENG")*Headcount!$D$5:$D$90*Headcount!$F$5:$F$90*((Headcount!$I$5:$I$90=0)+(Headcount!$I$5:$I$90=1)*$C$16)*(S$18&gt;=(Headcount!$E$5:$E$90+Headcount!$G$5:$G$90*$C$15)))/12*(1+Assumptions!$C$97)</f>
        <v>118441.666666667</v>
      </c>
      <c r="T190" s="9" t="n">
        <f aca="false">SUMPRODUCT((Headcount!$C$5:$C$90="ENG")*Headcount!$D$5:$D$90*Headcount!$F$5:$F$90*((Headcount!$I$5:$I$90=0)+(Headcount!$I$5:$I$90=1)*$C$16)*(T$18&gt;=(Headcount!$E$5:$E$90+Headcount!$G$5:$G$90*$C$15)))/12*(1+Assumptions!$C$97)</f>
        <v>118441.666666667</v>
      </c>
      <c r="U190" s="9" t="n">
        <f aca="false">SUMPRODUCT((Headcount!$C$5:$C$90="ENG")*Headcount!$D$5:$D$90*Headcount!$F$5:$F$90*((Headcount!$I$5:$I$90=0)+(Headcount!$I$5:$I$90=1)*$C$16)*(U$18&gt;=(Headcount!$E$5:$E$90+Headcount!$G$5:$G$90*$C$15)))/12*(1+Assumptions!$C$97)</f>
        <v>118441.666666667</v>
      </c>
      <c r="V190" s="9" t="n">
        <f aca="false">SUMPRODUCT((Headcount!$C$5:$C$90="ENG")*Headcount!$D$5:$D$90*Headcount!$F$5:$F$90*((Headcount!$I$5:$I$90=0)+(Headcount!$I$5:$I$90=1)*$C$16)*(V$18&gt;=(Headcount!$E$5:$E$90+Headcount!$G$5:$G$90*$C$15)))/12*(1+Assumptions!$C$97)</f>
        <v>129625</v>
      </c>
      <c r="W190" s="9" t="n">
        <f aca="false">SUMPRODUCT((Headcount!$C$5:$C$90="ENG")*Headcount!$D$5:$D$90*Headcount!$F$5:$F$90*((Headcount!$I$5:$I$90=0)+(Headcount!$I$5:$I$90=1)*$C$16)*(W$18&gt;=(Headcount!$E$5:$E$90+Headcount!$G$5:$G$90*$C$15)))/12*(1+Assumptions!$C$97)</f>
        <v>129625</v>
      </c>
      <c r="X190" s="9" t="n">
        <f aca="false">SUMPRODUCT((Headcount!$C$5:$C$90="ENG")*Headcount!$D$5:$D$90*Headcount!$F$5:$F$90*((Headcount!$I$5:$I$90=0)+(Headcount!$I$5:$I$90=1)*$C$16)*(X$18&gt;=(Headcount!$E$5:$E$90+Headcount!$G$5:$G$90*$C$15)))/12*(1+Assumptions!$C$97)</f>
        <v>129625</v>
      </c>
      <c r="Y190" s="9" t="n">
        <f aca="false">SUMPRODUCT((Headcount!$C$5:$C$90="ENG")*Headcount!$D$5:$D$90*Headcount!$F$5:$F$90*((Headcount!$I$5:$I$90=0)+(Headcount!$I$5:$I$90=1)*$C$16)*(Y$18&gt;=(Headcount!$E$5:$E$90+Headcount!$G$5:$G$90*$C$15)))/12*(1+Assumptions!$C$97)</f>
        <v>129625</v>
      </c>
      <c r="Z190" s="9" t="n">
        <f aca="false">SUMPRODUCT((Headcount!$C$5:$C$90="ENG")*Headcount!$D$5:$D$90*Headcount!$F$5:$F$90*((Headcount!$I$5:$I$90=0)+(Headcount!$I$5:$I$90=1)*$C$16)*(Z$18&gt;=(Headcount!$E$5:$E$90+Headcount!$G$5:$G$90*$C$15)))/12*(1+Assumptions!$C$97)</f>
        <v>129625</v>
      </c>
      <c r="AA190" s="9" t="n">
        <f aca="false">SUMPRODUCT((Headcount!$C$5:$C$90="ENG")*Headcount!$D$5:$D$90*Headcount!$F$5:$F$90*((Headcount!$I$5:$I$90=0)+(Headcount!$I$5:$I$90=1)*$C$16)*(AA$18&gt;=(Headcount!$E$5:$E$90+Headcount!$G$5:$G$90*$C$15)))/12*(1+Assumptions!$C$97)</f>
        <v>129625</v>
      </c>
      <c r="AB190" s="9" t="n">
        <f aca="false">SUMPRODUCT((Headcount!$C$5:$C$90="ENG")*Headcount!$D$5:$D$90*Headcount!$F$5:$F$90*((Headcount!$I$5:$I$90=0)+(Headcount!$I$5:$I$90=1)*$C$16)*(AB$18&gt;=(Headcount!$E$5:$E$90+Headcount!$G$5:$G$90*$C$15)))/12*(1+Assumptions!$C$97)</f>
        <v>144875</v>
      </c>
      <c r="AC190" s="9" t="n">
        <f aca="false">SUMPRODUCT((Headcount!$C$5:$C$90="ENG")*Headcount!$D$5:$D$90*Headcount!$F$5:$F$90*((Headcount!$I$5:$I$90=0)+(Headcount!$I$5:$I$90=1)*$C$16)*(AC$18&gt;=(Headcount!$E$5:$E$90+Headcount!$G$5:$G$90*$C$15)))/12*(1+Assumptions!$C$97)</f>
        <v>144875</v>
      </c>
      <c r="AD190" s="9" t="n">
        <f aca="false">SUMPRODUCT((Headcount!$C$5:$C$90="ENG")*Headcount!$D$5:$D$90*Headcount!$F$5:$F$90*((Headcount!$I$5:$I$90=0)+(Headcount!$I$5:$I$90=1)*$C$16)*(AD$18&gt;=(Headcount!$E$5:$E$90+Headcount!$G$5:$G$90*$C$15)))/12*(1+Assumptions!$C$97)</f>
        <v>144875</v>
      </c>
      <c r="AE190" s="9" t="n">
        <f aca="false">SUMPRODUCT((Headcount!$C$5:$C$90="ENG")*Headcount!$D$5:$D$90*Headcount!$F$5:$F$90*((Headcount!$I$5:$I$90=0)+(Headcount!$I$5:$I$90=1)*$C$16)*(AE$18&gt;=(Headcount!$E$5:$E$90+Headcount!$G$5:$G$90*$C$15)))/12*(1+Assumptions!$C$97)</f>
        <v>144875</v>
      </c>
      <c r="AF190" s="9" t="n">
        <f aca="false">SUMPRODUCT((Headcount!$C$5:$C$90="ENG")*Headcount!$D$5:$D$90*Headcount!$F$5:$F$90*((Headcount!$I$5:$I$90=0)+(Headcount!$I$5:$I$90=1)*$C$16)*(AF$18&gt;=(Headcount!$E$5:$E$90+Headcount!$G$5:$G$90*$C$15)))/12*(1+Assumptions!$C$97)</f>
        <v>144875</v>
      </c>
      <c r="AG190" s="9" t="n">
        <f aca="false">SUMPRODUCT((Headcount!$C$5:$C$90="ENG")*Headcount!$D$5:$D$90*Headcount!$F$5:$F$90*((Headcount!$I$5:$I$90=0)+(Headcount!$I$5:$I$90=1)*$C$16)*(AG$18&gt;=(Headcount!$E$5:$E$90+Headcount!$G$5:$G$90*$C$15)))/12*(1+Assumptions!$C$97)</f>
        <v>144875</v>
      </c>
      <c r="AH190" s="9" t="n">
        <f aca="false">SUMPRODUCT((Headcount!$C$5:$C$90="ENG")*Headcount!$D$5:$D$90*Headcount!$F$5:$F$90*((Headcount!$I$5:$I$90=0)+(Headcount!$I$5:$I$90=1)*$C$16)*(AH$18&gt;=(Headcount!$E$5:$E$90+Headcount!$G$5:$G$90*$C$15)))/12*(1+Assumptions!$C$97)</f>
        <v>144875</v>
      </c>
      <c r="AI190" s="9" t="n">
        <f aca="false">SUMPRODUCT((Headcount!$C$5:$C$90="ENG")*Headcount!$D$5:$D$90*Headcount!$F$5:$F$90*((Headcount!$I$5:$I$90=0)+(Headcount!$I$5:$I$90=1)*$C$16)*(AI$18&gt;=(Headcount!$E$5:$E$90+Headcount!$G$5:$G$90*$C$15)))/12*(1+Assumptions!$C$97)</f>
        <v>144875</v>
      </c>
      <c r="AJ190" s="9" t="n">
        <f aca="false">SUMPRODUCT((Headcount!$C$5:$C$90="ENG")*Headcount!$D$5:$D$90*Headcount!$F$5:$F$90*((Headcount!$I$5:$I$90=0)+(Headcount!$I$5:$I$90=1)*$C$16)*(AJ$18&gt;=(Headcount!$E$5:$E$90+Headcount!$G$5:$G$90*$C$15)))/12*(1+Assumptions!$C$97)</f>
        <v>144875</v>
      </c>
      <c r="AK190" s="9" t="n">
        <f aca="false">SUMPRODUCT((Headcount!$C$5:$C$90="ENG")*Headcount!$D$5:$D$90*Headcount!$F$5:$F$90*((Headcount!$I$5:$I$90=0)+(Headcount!$I$5:$I$90=1)*$C$16)*(AK$18&gt;=(Headcount!$E$5:$E$90+Headcount!$G$5:$G$90*$C$15)))/12*(1+Assumptions!$C$97)</f>
        <v>144875</v>
      </c>
      <c r="AL190" s="9" t="n">
        <f aca="false">SUMPRODUCT((Headcount!$C$5:$C$90="ENG")*Headcount!$D$5:$D$90*Headcount!$F$5:$F$90*((Headcount!$I$5:$I$90=0)+(Headcount!$I$5:$I$90=1)*$C$16)*(AL$18&gt;=(Headcount!$E$5:$E$90+Headcount!$G$5:$G$90*$C$15)))/12*(1+Assumptions!$C$97)</f>
        <v>144875</v>
      </c>
      <c r="AN190" s="11" t="n">
        <f aca="false">SUM(C190:N190)</f>
        <v>796050</v>
      </c>
      <c r="AO190" s="11" t="n">
        <f aca="false">SUM(O190:Z190)</f>
        <v>1461966.66666667</v>
      </c>
      <c r="AP190" s="11" t="n">
        <f aca="false">SUM(AA190:AL190)</f>
        <v>1723250</v>
      </c>
    </row>
    <row r="191" customFormat="false" ht="15" hidden="false" customHeight="false" outlineLevel="0" collapsed="false">
      <c r="A191" s="0" t="s">
        <v>992</v>
      </c>
      <c r="B191" s="0" t="s">
        <v>230</v>
      </c>
      <c r="C191" s="9" t="n">
        <f aca="false">SUMPRODUCT((Headcount!$C$5:$C$90="PROD")*Headcount!$D$5:$D$90*Headcount!$F$5:$F$90*((Headcount!$I$5:$I$90=0)+(Headcount!$I$5:$I$90=1)*$C$16)*(C$18&gt;=(Headcount!$E$5:$E$90+Headcount!$G$5:$G$90*$C$15)))/12*(1+Assumptions!$C$97)</f>
        <v>0</v>
      </c>
      <c r="D191" s="9" t="n">
        <f aca="false">SUMPRODUCT((Headcount!$C$5:$C$90="PROD")*Headcount!$D$5:$D$90*Headcount!$F$5:$F$90*((Headcount!$I$5:$I$90=0)+(Headcount!$I$5:$I$90=1)*$C$16)*(D$18&gt;=(Headcount!$E$5:$E$90+Headcount!$G$5:$G$90*$C$15)))/12*(1+Assumptions!$C$97)</f>
        <v>0</v>
      </c>
      <c r="E191" s="9" t="n">
        <f aca="false">SUMPRODUCT((Headcount!$C$5:$C$90="PROD")*Headcount!$D$5:$D$90*Headcount!$F$5:$F$90*((Headcount!$I$5:$I$90=0)+(Headcount!$I$5:$I$90=1)*$C$16)*(E$18&gt;=(Headcount!$E$5:$E$90+Headcount!$G$5:$G$90*$C$15)))/12*(1+Assumptions!$C$97)</f>
        <v>13216.6666666667</v>
      </c>
      <c r="F191" s="9" t="n">
        <f aca="false">SUMPRODUCT((Headcount!$C$5:$C$90="PROD")*Headcount!$D$5:$D$90*Headcount!$F$5:$F$90*((Headcount!$I$5:$I$90=0)+(Headcount!$I$5:$I$90=1)*$C$16)*(F$18&gt;=(Headcount!$E$5:$E$90+Headcount!$G$5:$G$90*$C$15)))/12*(1+Assumptions!$C$97)</f>
        <v>27450</v>
      </c>
      <c r="G191" s="9" t="n">
        <f aca="false">SUMPRODUCT((Headcount!$C$5:$C$90="PROD")*Headcount!$D$5:$D$90*Headcount!$F$5:$F$90*((Headcount!$I$5:$I$90=0)+(Headcount!$I$5:$I$90=1)*$C$16)*(G$18&gt;=(Headcount!$E$5:$E$90+Headcount!$G$5:$G$90*$C$15)))/12*(1+Assumptions!$C$97)</f>
        <v>27450</v>
      </c>
      <c r="H191" s="9" t="n">
        <f aca="false">SUMPRODUCT((Headcount!$C$5:$C$90="PROD")*Headcount!$D$5:$D$90*Headcount!$F$5:$F$90*((Headcount!$I$5:$I$90=0)+(Headcount!$I$5:$I$90=1)*$C$16)*(H$18&gt;=(Headcount!$E$5:$E$90+Headcount!$G$5:$G$90*$C$15)))/12*(1+Assumptions!$C$97)</f>
        <v>27450</v>
      </c>
      <c r="I191" s="9" t="n">
        <f aca="false">SUMPRODUCT((Headcount!$C$5:$C$90="PROD")*Headcount!$D$5:$D$90*Headcount!$F$5:$F$90*((Headcount!$I$5:$I$90=0)+(Headcount!$I$5:$I$90=1)*$C$16)*(I$18&gt;=(Headcount!$E$5:$E$90+Headcount!$G$5:$G$90*$C$15)))/12*(1+Assumptions!$C$97)</f>
        <v>27450</v>
      </c>
      <c r="J191" s="9" t="n">
        <f aca="false">SUMPRODUCT((Headcount!$C$5:$C$90="PROD")*Headcount!$D$5:$D$90*Headcount!$F$5:$F$90*((Headcount!$I$5:$I$90=0)+(Headcount!$I$5:$I$90=1)*$C$16)*(J$18&gt;=(Headcount!$E$5:$E$90+Headcount!$G$5:$G$90*$C$15)))/12*(1+Assumptions!$C$97)</f>
        <v>27450</v>
      </c>
      <c r="K191" s="9" t="n">
        <f aca="false">SUMPRODUCT((Headcount!$C$5:$C$90="PROD")*Headcount!$D$5:$D$90*Headcount!$F$5:$F$90*((Headcount!$I$5:$I$90=0)+(Headcount!$I$5:$I$90=1)*$C$16)*(K$18&gt;=(Headcount!$E$5:$E$90+Headcount!$G$5:$G$90*$C$15)))/12*(1+Assumptions!$C$97)</f>
        <v>27450</v>
      </c>
      <c r="L191" s="9" t="n">
        <f aca="false">SUMPRODUCT((Headcount!$C$5:$C$90="PROD")*Headcount!$D$5:$D$90*Headcount!$F$5:$F$90*((Headcount!$I$5:$I$90=0)+(Headcount!$I$5:$I$90=1)*$C$16)*(L$18&gt;=(Headcount!$E$5:$E$90+Headcount!$G$5:$G$90*$C$15)))/12*(1+Assumptions!$C$97)</f>
        <v>39141.6666666667</v>
      </c>
      <c r="M191" s="9" t="n">
        <f aca="false">SUMPRODUCT((Headcount!$C$5:$C$90="PROD")*Headcount!$D$5:$D$90*Headcount!$F$5:$F$90*((Headcount!$I$5:$I$90=0)+(Headcount!$I$5:$I$90=1)*$C$16)*(M$18&gt;=(Headcount!$E$5:$E$90+Headcount!$G$5:$G$90*$C$15)))/12*(1+Assumptions!$C$97)</f>
        <v>39141.6666666667</v>
      </c>
      <c r="N191" s="9" t="n">
        <f aca="false">SUMPRODUCT((Headcount!$C$5:$C$90="PROD")*Headcount!$D$5:$D$90*Headcount!$F$5:$F$90*((Headcount!$I$5:$I$90=0)+(Headcount!$I$5:$I$90=1)*$C$16)*(N$18&gt;=(Headcount!$E$5:$E$90+Headcount!$G$5:$G$90*$C$15)))/12*(1+Assumptions!$C$97)</f>
        <v>39141.6666666667</v>
      </c>
      <c r="O191" s="9" t="n">
        <f aca="false">SUMPRODUCT((Headcount!$C$5:$C$90="PROD")*Headcount!$D$5:$D$90*Headcount!$F$5:$F$90*((Headcount!$I$5:$I$90=0)+(Headcount!$I$5:$I$90=1)*$C$16)*(O$18&gt;=(Headcount!$E$5:$E$90+Headcount!$G$5:$G$90*$C$15)))/12*(1+Assumptions!$C$97)</f>
        <v>39141.6666666667</v>
      </c>
      <c r="P191" s="9" t="n">
        <f aca="false">SUMPRODUCT((Headcount!$C$5:$C$90="PROD")*Headcount!$D$5:$D$90*Headcount!$F$5:$F$90*((Headcount!$I$5:$I$90=0)+(Headcount!$I$5:$I$90=1)*$C$16)*(P$18&gt;=(Headcount!$E$5:$E$90+Headcount!$G$5:$G$90*$C$15)))/12*(1+Assumptions!$C$97)</f>
        <v>39141.6666666667</v>
      </c>
      <c r="Q191" s="9" t="n">
        <f aca="false">SUMPRODUCT((Headcount!$C$5:$C$90="PROD")*Headcount!$D$5:$D$90*Headcount!$F$5:$F$90*((Headcount!$I$5:$I$90=0)+(Headcount!$I$5:$I$90=1)*$C$16)*(Q$18&gt;=(Headcount!$E$5:$E$90+Headcount!$G$5:$G$90*$C$15)))/12*(1+Assumptions!$C$97)</f>
        <v>39141.6666666667</v>
      </c>
      <c r="R191" s="9" t="n">
        <f aca="false">SUMPRODUCT((Headcount!$C$5:$C$90="PROD")*Headcount!$D$5:$D$90*Headcount!$F$5:$F$90*((Headcount!$I$5:$I$90=0)+(Headcount!$I$5:$I$90=1)*$C$16)*(R$18&gt;=(Headcount!$E$5:$E$90+Headcount!$G$5:$G$90*$C$15)))/12*(1+Assumptions!$C$97)</f>
        <v>39141.6666666667</v>
      </c>
      <c r="S191" s="9" t="n">
        <f aca="false">SUMPRODUCT((Headcount!$C$5:$C$90="PROD")*Headcount!$D$5:$D$90*Headcount!$F$5:$F$90*((Headcount!$I$5:$I$90=0)+(Headcount!$I$5:$I$90=1)*$C$16)*(S$18&gt;=(Headcount!$E$5:$E$90+Headcount!$G$5:$G$90*$C$15)))/12*(1+Assumptions!$C$97)</f>
        <v>39141.6666666667</v>
      </c>
      <c r="T191" s="9" t="n">
        <f aca="false">SUMPRODUCT((Headcount!$C$5:$C$90="PROD")*Headcount!$D$5:$D$90*Headcount!$F$5:$F$90*((Headcount!$I$5:$I$90=0)+(Headcount!$I$5:$I$90=1)*$C$16)*(T$18&gt;=(Headcount!$E$5:$E$90+Headcount!$G$5:$G$90*$C$15)))/12*(1+Assumptions!$C$97)</f>
        <v>39141.6666666667</v>
      </c>
      <c r="U191" s="9" t="n">
        <f aca="false">SUMPRODUCT((Headcount!$C$5:$C$90="PROD")*Headcount!$D$5:$D$90*Headcount!$F$5:$F$90*((Headcount!$I$5:$I$90=0)+(Headcount!$I$5:$I$90=1)*$C$16)*(U$18&gt;=(Headcount!$E$5:$E$90+Headcount!$G$5:$G$90*$C$15)))/12*(1+Assumptions!$C$97)</f>
        <v>39141.6666666667</v>
      </c>
      <c r="V191" s="9" t="n">
        <f aca="false">SUMPRODUCT((Headcount!$C$5:$C$90="PROD")*Headcount!$D$5:$D$90*Headcount!$F$5:$F$90*((Headcount!$I$5:$I$90=0)+(Headcount!$I$5:$I$90=1)*$C$16)*(V$18&gt;=(Headcount!$E$5:$E$90+Headcount!$G$5:$G$90*$C$15)))/12*(1+Assumptions!$C$97)</f>
        <v>39141.6666666667</v>
      </c>
      <c r="W191" s="9" t="n">
        <f aca="false">SUMPRODUCT((Headcount!$C$5:$C$90="PROD")*Headcount!$D$5:$D$90*Headcount!$F$5:$F$90*((Headcount!$I$5:$I$90=0)+(Headcount!$I$5:$I$90=1)*$C$16)*(W$18&gt;=(Headcount!$E$5:$E$90+Headcount!$G$5:$G$90*$C$15)))/12*(1+Assumptions!$C$97)</f>
        <v>39141.6666666667</v>
      </c>
      <c r="X191" s="9" t="n">
        <f aca="false">SUMPRODUCT((Headcount!$C$5:$C$90="PROD")*Headcount!$D$5:$D$90*Headcount!$F$5:$F$90*((Headcount!$I$5:$I$90=0)+(Headcount!$I$5:$I$90=1)*$C$16)*(X$18&gt;=(Headcount!$E$5:$E$90+Headcount!$G$5:$G$90*$C$15)))/12*(1+Assumptions!$C$97)</f>
        <v>39141.6666666667</v>
      </c>
      <c r="Y191" s="9" t="n">
        <f aca="false">SUMPRODUCT((Headcount!$C$5:$C$90="PROD")*Headcount!$D$5:$D$90*Headcount!$F$5:$F$90*((Headcount!$I$5:$I$90=0)+(Headcount!$I$5:$I$90=1)*$C$16)*(Y$18&gt;=(Headcount!$E$5:$E$90+Headcount!$G$5:$G$90*$C$15)))/12*(1+Assumptions!$C$97)</f>
        <v>39141.6666666667</v>
      </c>
      <c r="Z191" s="9" t="n">
        <f aca="false">SUMPRODUCT((Headcount!$C$5:$C$90="PROD")*Headcount!$D$5:$D$90*Headcount!$F$5:$F$90*((Headcount!$I$5:$I$90=0)+(Headcount!$I$5:$I$90=1)*$C$16)*(Z$18&gt;=(Headcount!$E$5:$E$90+Headcount!$G$5:$G$90*$C$15)))/12*(1+Assumptions!$C$97)</f>
        <v>39141.6666666667</v>
      </c>
      <c r="AA191" s="9" t="n">
        <f aca="false">SUMPRODUCT((Headcount!$C$5:$C$90="PROD")*Headcount!$D$5:$D$90*Headcount!$F$5:$F$90*((Headcount!$I$5:$I$90=0)+(Headcount!$I$5:$I$90=1)*$C$16)*(AA$18&gt;=(Headcount!$E$5:$E$90+Headcount!$G$5:$G$90*$C$15)))/12*(1+Assumptions!$C$97)</f>
        <v>39141.6666666667</v>
      </c>
      <c r="AB191" s="9" t="n">
        <f aca="false">SUMPRODUCT((Headcount!$C$5:$C$90="PROD")*Headcount!$D$5:$D$90*Headcount!$F$5:$F$90*((Headcount!$I$5:$I$90=0)+(Headcount!$I$5:$I$90=1)*$C$16)*(AB$18&gt;=(Headcount!$E$5:$E$90+Headcount!$G$5:$G$90*$C$15)))/12*(1+Assumptions!$C$97)</f>
        <v>39141.6666666667</v>
      </c>
      <c r="AC191" s="9" t="n">
        <f aca="false">SUMPRODUCT((Headcount!$C$5:$C$90="PROD")*Headcount!$D$5:$D$90*Headcount!$F$5:$F$90*((Headcount!$I$5:$I$90=0)+(Headcount!$I$5:$I$90=1)*$C$16)*(AC$18&gt;=(Headcount!$E$5:$E$90+Headcount!$G$5:$G$90*$C$15)))/12*(1+Assumptions!$C$97)</f>
        <v>39141.6666666667</v>
      </c>
      <c r="AD191" s="9" t="n">
        <f aca="false">SUMPRODUCT((Headcount!$C$5:$C$90="PROD")*Headcount!$D$5:$D$90*Headcount!$F$5:$F$90*((Headcount!$I$5:$I$90=0)+(Headcount!$I$5:$I$90=1)*$C$16)*(AD$18&gt;=(Headcount!$E$5:$E$90+Headcount!$G$5:$G$90*$C$15)))/12*(1+Assumptions!$C$97)</f>
        <v>39141.6666666667</v>
      </c>
      <c r="AE191" s="9" t="n">
        <f aca="false">SUMPRODUCT((Headcount!$C$5:$C$90="PROD")*Headcount!$D$5:$D$90*Headcount!$F$5:$F$90*((Headcount!$I$5:$I$90=0)+(Headcount!$I$5:$I$90=1)*$C$16)*(AE$18&gt;=(Headcount!$E$5:$E$90+Headcount!$G$5:$G$90*$C$15)))/12*(1+Assumptions!$C$97)</f>
        <v>39141.6666666667</v>
      </c>
      <c r="AF191" s="9" t="n">
        <f aca="false">SUMPRODUCT((Headcount!$C$5:$C$90="PROD")*Headcount!$D$5:$D$90*Headcount!$F$5:$F$90*((Headcount!$I$5:$I$90=0)+(Headcount!$I$5:$I$90=1)*$C$16)*(AF$18&gt;=(Headcount!$E$5:$E$90+Headcount!$G$5:$G$90*$C$15)))/12*(1+Assumptions!$C$97)</f>
        <v>39141.6666666667</v>
      </c>
      <c r="AG191" s="9" t="n">
        <f aca="false">SUMPRODUCT((Headcount!$C$5:$C$90="PROD")*Headcount!$D$5:$D$90*Headcount!$F$5:$F$90*((Headcount!$I$5:$I$90=0)+(Headcount!$I$5:$I$90=1)*$C$16)*(AG$18&gt;=(Headcount!$E$5:$E$90+Headcount!$G$5:$G$90*$C$15)))/12*(1+Assumptions!$C$97)</f>
        <v>39141.6666666667</v>
      </c>
      <c r="AH191" s="9" t="n">
        <f aca="false">SUMPRODUCT((Headcount!$C$5:$C$90="PROD")*Headcount!$D$5:$D$90*Headcount!$F$5:$F$90*((Headcount!$I$5:$I$90=0)+(Headcount!$I$5:$I$90=1)*$C$16)*(AH$18&gt;=(Headcount!$E$5:$E$90+Headcount!$G$5:$G$90*$C$15)))/12*(1+Assumptions!$C$97)</f>
        <v>39141.6666666667</v>
      </c>
      <c r="AI191" s="9" t="n">
        <f aca="false">SUMPRODUCT((Headcount!$C$5:$C$90="PROD")*Headcount!$D$5:$D$90*Headcount!$F$5:$F$90*((Headcount!$I$5:$I$90=0)+(Headcount!$I$5:$I$90=1)*$C$16)*(AI$18&gt;=(Headcount!$E$5:$E$90+Headcount!$G$5:$G$90*$C$15)))/12*(1+Assumptions!$C$97)</f>
        <v>39141.6666666667</v>
      </c>
      <c r="AJ191" s="9" t="n">
        <f aca="false">SUMPRODUCT((Headcount!$C$5:$C$90="PROD")*Headcount!$D$5:$D$90*Headcount!$F$5:$F$90*((Headcount!$I$5:$I$90=0)+(Headcount!$I$5:$I$90=1)*$C$16)*(AJ$18&gt;=(Headcount!$E$5:$E$90+Headcount!$G$5:$G$90*$C$15)))/12*(1+Assumptions!$C$97)</f>
        <v>39141.6666666667</v>
      </c>
      <c r="AK191" s="9" t="n">
        <f aca="false">SUMPRODUCT((Headcount!$C$5:$C$90="PROD")*Headcount!$D$5:$D$90*Headcount!$F$5:$F$90*((Headcount!$I$5:$I$90=0)+(Headcount!$I$5:$I$90=1)*$C$16)*(AK$18&gt;=(Headcount!$E$5:$E$90+Headcount!$G$5:$G$90*$C$15)))/12*(1+Assumptions!$C$97)</f>
        <v>39141.6666666667</v>
      </c>
      <c r="AL191" s="9" t="n">
        <f aca="false">SUMPRODUCT((Headcount!$C$5:$C$90="PROD")*Headcount!$D$5:$D$90*Headcount!$F$5:$F$90*((Headcount!$I$5:$I$90=0)+(Headcount!$I$5:$I$90=1)*$C$16)*(AL$18&gt;=(Headcount!$E$5:$E$90+Headcount!$G$5:$G$90*$C$15)))/12*(1+Assumptions!$C$97)</f>
        <v>39141.6666666667</v>
      </c>
      <c r="AN191" s="11" t="n">
        <f aca="false">SUM(C191:N191)</f>
        <v>295341.666666667</v>
      </c>
      <c r="AO191" s="11" t="n">
        <f aca="false">SUM(O191:Z191)</f>
        <v>469700</v>
      </c>
      <c r="AP191" s="11" t="n">
        <f aca="false">SUM(AA191:AL191)</f>
        <v>469700</v>
      </c>
    </row>
    <row r="192" customFormat="false" ht="15" hidden="false" customHeight="false" outlineLevel="0" collapsed="false">
      <c r="A192" s="0" t="s">
        <v>993</v>
      </c>
      <c r="B192" s="0" t="s">
        <v>230</v>
      </c>
      <c r="C192" s="9" t="n">
        <f aca="false">SUMPRODUCT((Headcount!$C$5:$C$90="SEC")*Headcount!$D$5:$D$90*Headcount!$F$5:$F$90*((Headcount!$I$5:$I$90=0)+(Headcount!$I$5:$I$90=1)*$C$16)*(C$18&gt;=(Headcount!$E$5:$E$90+Headcount!$G$5:$G$90*$C$15)))/12*(1+Assumptions!$C$97)</f>
        <v>0</v>
      </c>
      <c r="D192" s="9" t="n">
        <f aca="false">SUMPRODUCT((Headcount!$C$5:$C$90="SEC")*Headcount!$D$5:$D$90*Headcount!$F$5:$F$90*((Headcount!$I$5:$I$90=0)+(Headcount!$I$5:$I$90=1)*$C$16)*(D$18&gt;=(Headcount!$E$5:$E$90+Headcount!$G$5:$G$90*$C$15)))/12*(1+Assumptions!$C$97)</f>
        <v>0</v>
      </c>
      <c r="E192" s="9" t="n">
        <f aca="false">SUMPRODUCT((Headcount!$C$5:$C$90="SEC")*Headcount!$D$5:$D$90*Headcount!$F$5:$F$90*((Headcount!$I$5:$I$90=0)+(Headcount!$I$5:$I$90=1)*$C$16)*(E$18&gt;=(Headcount!$E$5:$E$90+Headcount!$G$5:$G$90*$C$15)))/12*(1+Assumptions!$C$97)</f>
        <v>0</v>
      </c>
      <c r="F192" s="9" t="n">
        <f aca="false">SUMPRODUCT((Headcount!$C$5:$C$90="SEC")*Headcount!$D$5:$D$90*Headcount!$F$5:$F$90*((Headcount!$I$5:$I$90=0)+(Headcount!$I$5:$I$90=1)*$C$16)*(F$18&gt;=(Headcount!$E$5:$E$90+Headcount!$G$5:$G$90*$C$15)))/12*(1+Assumptions!$C$97)</f>
        <v>0</v>
      </c>
      <c r="G192" s="9" t="n">
        <f aca="false">SUMPRODUCT((Headcount!$C$5:$C$90="SEC")*Headcount!$D$5:$D$90*Headcount!$F$5:$F$90*((Headcount!$I$5:$I$90=0)+(Headcount!$I$5:$I$90=1)*$C$16)*(G$18&gt;=(Headcount!$E$5:$E$90+Headcount!$G$5:$G$90*$C$15)))/12*(1+Assumptions!$C$97)</f>
        <v>0</v>
      </c>
      <c r="H192" s="9" t="n">
        <f aca="false">SUMPRODUCT((Headcount!$C$5:$C$90="SEC")*Headcount!$D$5:$D$90*Headcount!$F$5:$F$90*((Headcount!$I$5:$I$90=0)+(Headcount!$I$5:$I$90=1)*$C$16)*(H$18&gt;=(Headcount!$E$5:$E$90+Headcount!$G$5:$G$90*$C$15)))/12*(1+Assumptions!$C$97)</f>
        <v>0</v>
      </c>
      <c r="I192" s="9" t="n">
        <f aca="false">SUMPRODUCT((Headcount!$C$5:$C$90="SEC")*Headcount!$D$5:$D$90*Headcount!$F$5:$F$90*((Headcount!$I$5:$I$90=0)+(Headcount!$I$5:$I$90=1)*$C$16)*(I$18&gt;=(Headcount!$E$5:$E$90+Headcount!$G$5:$G$90*$C$15)))/12*(1+Assumptions!$C$97)</f>
        <v>15250</v>
      </c>
      <c r="J192" s="9" t="n">
        <f aca="false">SUMPRODUCT((Headcount!$C$5:$C$90="SEC")*Headcount!$D$5:$D$90*Headcount!$F$5:$F$90*((Headcount!$I$5:$I$90=0)+(Headcount!$I$5:$I$90=1)*$C$16)*(J$18&gt;=(Headcount!$E$5:$E$90+Headcount!$G$5:$G$90*$C$15)))/12*(1+Assumptions!$C$97)</f>
        <v>15250</v>
      </c>
      <c r="K192" s="9" t="n">
        <f aca="false">SUMPRODUCT((Headcount!$C$5:$C$90="SEC")*Headcount!$D$5:$D$90*Headcount!$F$5:$F$90*((Headcount!$I$5:$I$90=0)+(Headcount!$I$5:$I$90=1)*$C$16)*(K$18&gt;=(Headcount!$E$5:$E$90+Headcount!$G$5:$G$90*$C$15)))/12*(1+Assumptions!$C$97)</f>
        <v>15250</v>
      </c>
      <c r="L192" s="9" t="n">
        <f aca="false">SUMPRODUCT((Headcount!$C$5:$C$90="SEC")*Headcount!$D$5:$D$90*Headcount!$F$5:$F$90*((Headcount!$I$5:$I$90=0)+(Headcount!$I$5:$I$90=1)*$C$16)*(L$18&gt;=(Headcount!$E$5:$E$90+Headcount!$G$5:$G$90*$C$15)))/12*(1+Assumptions!$C$97)</f>
        <v>15250</v>
      </c>
      <c r="M192" s="9" t="n">
        <f aca="false">SUMPRODUCT((Headcount!$C$5:$C$90="SEC")*Headcount!$D$5:$D$90*Headcount!$F$5:$F$90*((Headcount!$I$5:$I$90=0)+(Headcount!$I$5:$I$90=1)*$C$16)*(M$18&gt;=(Headcount!$E$5:$E$90+Headcount!$G$5:$G$90*$C$15)))/12*(1+Assumptions!$C$97)</f>
        <v>15250</v>
      </c>
      <c r="N192" s="9" t="n">
        <f aca="false">SUMPRODUCT((Headcount!$C$5:$C$90="SEC")*Headcount!$D$5:$D$90*Headcount!$F$5:$F$90*((Headcount!$I$5:$I$90=0)+(Headcount!$I$5:$I$90=1)*$C$16)*(N$18&gt;=(Headcount!$E$5:$E$90+Headcount!$G$5:$G$90*$C$15)))/12*(1+Assumptions!$C$97)</f>
        <v>15250</v>
      </c>
      <c r="O192" s="9" t="n">
        <f aca="false">SUMPRODUCT((Headcount!$C$5:$C$90="SEC")*Headcount!$D$5:$D$90*Headcount!$F$5:$F$90*((Headcount!$I$5:$I$90=0)+(Headcount!$I$5:$I$90=1)*$C$16)*(O$18&gt;=(Headcount!$E$5:$E$90+Headcount!$G$5:$G$90*$C$15)))/12*(1+Assumptions!$C$97)</f>
        <v>15250</v>
      </c>
      <c r="P192" s="9" t="n">
        <f aca="false">SUMPRODUCT((Headcount!$C$5:$C$90="SEC")*Headcount!$D$5:$D$90*Headcount!$F$5:$F$90*((Headcount!$I$5:$I$90=0)+(Headcount!$I$5:$I$90=1)*$C$16)*(P$18&gt;=(Headcount!$E$5:$E$90+Headcount!$G$5:$G$90*$C$15)))/12*(1+Assumptions!$C$97)</f>
        <v>15250</v>
      </c>
      <c r="Q192" s="9" t="n">
        <f aca="false">SUMPRODUCT((Headcount!$C$5:$C$90="SEC")*Headcount!$D$5:$D$90*Headcount!$F$5:$F$90*((Headcount!$I$5:$I$90=0)+(Headcount!$I$5:$I$90=1)*$C$16)*(Q$18&gt;=(Headcount!$E$5:$E$90+Headcount!$G$5:$G$90*$C$15)))/12*(1+Assumptions!$C$97)</f>
        <v>15250</v>
      </c>
      <c r="R192" s="9" t="n">
        <f aca="false">SUMPRODUCT((Headcount!$C$5:$C$90="SEC")*Headcount!$D$5:$D$90*Headcount!$F$5:$F$90*((Headcount!$I$5:$I$90=0)+(Headcount!$I$5:$I$90=1)*$C$16)*(R$18&gt;=(Headcount!$E$5:$E$90+Headcount!$G$5:$G$90*$C$15)))/12*(1+Assumptions!$C$97)</f>
        <v>15250</v>
      </c>
      <c r="S192" s="9" t="n">
        <f aca="false">SUMPRODUCT((Headcount!$C$5:$C$90="SEC")*Headcount!$D$5:$D$90*Headcount!$F$5:$F$90*((Headcount!$I$5:$I$90=0)+(Headcount!$I$5:$I$90=1)*$C$16)*(S$18&gt;=(Headcount!$E$5:$E$90+Headcount!$G$5:$G$90*$C$15)))/12*(1+Assumptions!$C$97)</f>
        <v>15250</v>
      </c>
      <c r="T192" s="9" t="n">
        <f aca="false">SUMPRODUCT((Headcount!$C$5:$C$90="SEC")*Headcount!$D$5:$D$90*Headcount!$F$5:$F$90*((Headcount!$I$5:$I$90=0)+(Headcount!$I$5:$I$90=1)*$C$16)*(T$18&gt;=(Headcount!$E$5:$E$90+Headcount!$G$5:$G$90*$C$15)))/12*(1+Assumptions!$C$97)</f>
        <v>15250</v>
      </c>
      <c r="U192" s="9" t="n">
        <f aca="false">SUMPRODUCT((Headcount!$C$5:$C$90="SEC")*Headcount!$D$5:$D$90*Headcount!$F$5:$F$90*((Headcount!$I$5:$I$90=0)+(Headcount!$I$5:$I$90=1)*$C$16)*(U$18&gt;=(Headcount!$E$5:$E$90+Headcount!$G$5:$G$90*$C$15)))/12*(1+Assumptions!$C$97)</f>
        <v>15250</v>
      </c>
      <c r="V192" s="9" t="n">
        <f aca="false">SUMPRODUCT((Headcount!$C$5:$C$90="SEC")*Headcount!$D$5:$D$90*Headcount!$F$5:$F$90*((Headcount!$I$5:$I$90=0)+(Headcount!$I$5:$I$90=1)*$C$16)*(V$18&gt;=(Headcount!$E$5:$E$90+Headcount!$G$5:$G$90*$C$15)))/12*(1+Assumptions!$C$97)</f>
        <v>15250</v>
      </c>
      <c r="W192" s="9" t="n">
        <f aca="false">SUMPRODUCT((Headcount!$C$5:$C$90="SEC")*Headcount!$D$5:$D$90*Headcount!$F$5:$F$90*((Headcount!$I$5:$I$90=0)+(Headcount!$I$5:$I$90=1)*$C$16)*(W$18&gt;=(Headcount!$E$5:$E$90+Headcount!$G$5:$G$90*$C$15)))/12*(1+Assumptions!$C$97)</f>
        <v>15250</v>
      </c>
      <c r="X192" s="9" t="n">
        <f aca="false">SUMPRODUCT((Headcount!$C$5:$C$90="SEC")*Headcount!$D$5:$D$90*Headcount!$F$5:$F$90*((Headcount!$I$5:$I$90=0)+(Headcount!$I$5:$I$90=1)*$C$16)*(X$18&gt;=(Headcount!$E$5:$E$90+Headcount!$G$5:$G$90*$C$15)))/12*(1+Assumptions!$C$97)</f>
        <v>15250</v>
      </c>
      <c r="Y192" s="9" t="n">
        <f aca="false">SUMPRODUCT((Headcount!$C$5:$C$90="SEC")*Headcount!$D$5:$D$90*Headcount!$F$5:$F$90*((Headcount!$I$5:$I$90=0)+(Headcount!$I$5:$I$90=1)*$C$16)*(Y$18&gt;=(Headcount!$E$5:$E$90+Headcount!$G$5:$G$90*$C$15)))/12*(1+Assumptions!$C$97)</f>
        <v>15250</v>
      </c>
      <c r="Z192" s="9" t="n">
        <f aca="false">SUMPRODUCT((Headcount!$C$5:$C$90="SEC")*Headcount!$D$5:$D$90*Headcount!$F$5:$F$90*((Headcount!$I$5:$I$90=0)+(Headcount!$I$5:$I$90=1)*$C$16)*(Z$18&gt;=(Headcount!$E$5:$E$90+Headcount!$G$5:$G$90*$C$15)))/12*(1+Assumptions!$C$97)</f>
        <v>15250</v>
      </c>
      <c r="AA192" s="9" t="n">
        <f aca="false">SUMPRODUCT((Headcount!$C$5:$C$90="SEC")*Headcount!$D$5:$D$90*Headcount!$F$5:$F$90*((Headcount!$I$5:$I$90=0)+(Headcount!$I$5:$I$90=1)*$C$16)*(AA$18&gt;=(Headcount!$E$5:$E$90+Headcount!$G$5:$G$90*$C$15)))/12*(1+Assumptions!$C$97)</f>
        <v>15250</v>
      </c>
      <c r="AB192" s="9" t="n">
        <f aca="false">SUMPRODUCT((Headcount!$C$5:$C$90="SEC")*Headcount!$D$5:$D$90*Headcount!$F$5:$F$90*((Headcount!$I$5:$I$90=0)+(Headcount!$I$5:$I$90=1)*$C$16)*(AB$18&gt;=(Headcount!$E$5:$E$90+Headcount!$G$5:$G$90*$C$15)))/12*(1+Assumptions!$C$97)</f>
        <v>15250</v>
      </c>
      <c r="AC192" s="9" t="n">
        <f aca="false">SUMPRODUCT((Headcount!$C$5:$C$90="SEC")*Headcount!$D$5:$D$90*Headcount!$F$5:$F$90*((Headcount!$I$5:$I$90=0)+(Headcount!$I$5:$I$90=1)*$C$16)*(AC$18&gt;=(Headcount!$E$5:$E$90+Headcount!$G$5:$G$90*$C$15)))/12*(1+Assumptions!$C$97)</f>
        <v>15250</v>
      </c>
      <c r="AD192" s="9" t="n">
        <f aca="false">SUMPRODUCT((Headcount!$C$5:$C$90="SEC")*Headcount!$D$5:$D$90*Headcount!$F$5:$F$90*((Headcount!$I$5:$I$90=0)+(Headcount!$I$5:$I$90=1)*$C$16)*(AD$18&gt;=(Headcount!$E$5:$E$90+Headcount!$G$5:$G$90*$C$15)))/12*(1+Assumptions!$C$97)</f>
        <v>15250</v>
      </c>
      <c r="AE192" s="9" t="n">
        <f aca="false">SUMPRODUCT((Headcount!$C$5:$C$90="SEC")*Headcount!$D$5:$D$90*Headcount!$F$5:$F$90*((Headcount!$I$5:$I$90=0)+(Headcount!$I$5:$I$90=1)*$C$16)*(AE$18&gt;=(Headcount!$E$5:$E$90+Headcount!$G$5:$G$90*$C$15)))/12*(1+Assumptions!$C$97)</f>
        <v>15250</v>
      </c>
      <c r="AF192" s="9" t="n">
        <f aca="false">SUMPRODUCT((Headcount!$C$5:$C$90="SEC")*Headcount!$D$5:$D$90*Headcount!$F$5:$F$90*((Headcount!$I$5:$I$90=0)+(Headcount!$I$5:$I$90=1)*$C$16)*(AF$18&gt;=(Headcount!$E$5:$E$90+Headcount!$G$5:$G$90*$C$15)))/12*(1+Assumptions!$C$97)</f>
        <v>15250</v>
      </c>
      <c r="AG192" s="9" t="n">
        <f aca="false">SUMPRODUCT((Headcount!$C$5:$C$90="SEC")*Headcount!$D$5:$D$90*Headcount!$F$5:$F$90*((Headcount!$I$5:$I$90=0)+(Headcount!$I$5:$I$90=1)*$C$16)*(AG$18&gt;=(Headcount!$E$5:$E$90+Headcount!$G$5:$G$90*$C$15)))/12*(1+Assumptions!$C$97)</f>
        <v>15250</v>
      </c>
      <c r="AH192" s="9" t="n">
        <f aca="false">SUMPRODUCT((Headcount!$C$5:$C$90="SEC")*Headcount!$D$5:$D$90*Headcount!$F$5:$F$90*((Headcount!$I$5:$I$90=0)+(Headcount!$I$5:$I$90=1)*$C$16)*(AH$18&gt;=(Headcount!$E$5:$E$90+Headcount!$G$5:$G$90*$C$15)))/12*(1+Assumptions!$C$97)</f>
        <v>15250</v>
      </c>
      <c r="AI192" s="9" t="n">
        <f aca="false">SUMPRODUCT((Headcount!$C$5:$C$90="SEC")*Headcount!$D$5:$D$90*Headcount!$F$5:$F$90*((Headcount!$I$5:$I$90=0)+(Headcount!$I$5:$I$90=1)*$C$16)*(AI$18&gt;=(Headcount!$E$5:$E$90+Headcount!$G$5:$G$90*$C$15)))/12*(1+Assumptions!$C$97)</f>
        <v>15250</v>
      </c>
      <c r="AJ192" s="9" t="n">
        <f aca="false">SUMPRODUCT((Headcount!$C$5:$C$90="SEC")*Headcount!$D$5:$D$90*Headcount!$F$5:$F$90*((Headcount!$I$5:$I$90=0)+(Headcount!$I$5:$I$90=1)*$C$16)*(AJ$18&gt;=(Headcount!$E$5:$E$90+Headcount!$G$5:$G$90*$C$15)))/12*(1+Assumptions!$C$97)</f>
        <v>15250</v>
      </c>
      <c r="AK192" s="9" t="n">
        <f aca="false">SUMPRODUCT((Headcount!$C$5:$C$90="SEC")*Headcount!$D$5:$D$90*Headcount!$F$5:$F$90*((Headcount!$I$5:$I$90=0)+(Headcount!$I$5:$I$90=1)*$C$16)*(AK$18&gt;=(Headcount!$E$5:$E$90+Headcount!$G$5:$G$90*$C$15)))/12*(1+Assumptions!$C$97)</f>
        <v>15250</v>
      </c>
      <c r="AL192" s="9" t="n">
        <f aca="false">SUMPRODUCT((Headcount!$C$5:$C$90="SEC")*Headcount!$D$5:$D$90*Headcount!$F$5:$F$90*((Headcount!$I$5:$I$90=0)+(Headcount!$I$5:$I$90=1)*$C$16)*(AL$18&gt;=(Headcount!$E$5:$E$90+Headcount!$G$5:$G$90*$C$15)))/12*(1+Assumptions!$C$97)</f>
        <v>15250</v>
      </c>
      <c r="AN192" s="11" t="n">
        <f aca="false">SUM(C192:N192)</f>
        <v>91500</v>
      </c>
      <c r="AO192" s="11" t="n">
        <f aca="false">SUM(O192:Z192)</f>
        <v>183000</v>
      </c>
      <c r="AP192" s="11" t="n">
        <f aca="false">SUM(AA192:AL192)</f>
        <v>183000</v>
      </c>
    </row>
    <row r="193" customFormat="false" ht="15" hidden="false" customHeight="false" outlineLevel="0" collapsed="false">
      <c r="A193" s="0" t="s">
        <v>994</v>
      </c>
      <c r="B193" s="0" t="s">
        <v>230</v>
      </c>
      <c r="C193" s="9" t="n">
        <f aca="false">SUMPRODUCT((Headcount!$C$5:$C$90="SALES")*Headcount!$D$5:$D$90*Headcount!$F$5:$F$90*((Headcount!$I$5:$I$90=0)+(Headcount!$I$5:$I$90=1)*$C$16)*(C$18&gt;=(Headcount!$E$5:$E$90+Headcount!$G$5:$G$90*$C$15)))/12*(1+Assumptions!$C$97)</f>
        <v>0</v>
      </c>
      <c r="D193" s="9" t="n">
        <f aca="false">SUMPRODUCT((Headcount!$C$5:$C$90="SALES")*Headcount!$D$5:$D$90*Headcount!$F$5:$F$90*((Headcount!$I$5:$I$90=0)+(Headcount!$I$5:$I$90=1)*$C$16)*(D$18&gt;=(Headcount!$E$5:$E$90+Headcount!$G$5:$G$90*$C$15)))/12*(1+Assumptions!$C$97)</f>
        <v>0</v>
      </c>
      <c r="E193" s="9" t="n">
        <f aca="false">SUMPRODUCT((Headcount!$C$5:$C$90="SALES")*Headcount!$D$5:$D$90*Headcount!$F$5:$F$90*((Headcount!$I$5:$I$90=0)+(Headcount!$I$5:$I$90=1)*$C$16)*(E$18&gt;=(Headcount!$E$5:$E$90+Headcount!$G$5:$G$90*$C$15)))/12*(1+Assumptions!$C$97)</f>
        <v>0</v>
      </c>
      <c r="F193" s="9" t="n">
        <f aca="false">SUMPRODUCT((Headcount!$C$5:$C$90="SALES")*Headcount!$D$5:$D$90*Headcount!$F$5:$F$90*((Headcount!$I$5:$I$90=0)+(Headcount!$I$5:$I$90=1)*$C$16)*(F$18&gt;=(Headcount!$E$5:$E$90+Headcount!$G$5:$G$90*$C$15)))/12*(1+Assumptions!$C$97)</f>
        <v>0</v>
      </c>
      <c r="G193" s="9" t="n">
        <f aca="false">SUMPRODUCT((Headcount!$C$5:$C$90="SALES")*Headcount!$D$5:$D$90*Headcount!$F$5:$F$90*((Headcount!$I$5:$I$90=0)+(Headcount!$I$5:$I$90=1)*$C$16)*(G$18&gt;=(Headcount!$E$5:$E$90+Headcount!$G$5:$G$90*$C$15)))/12*(1+Assumptions!$C$97)</f>
        <v>0</v>
      </c>
      <c r="H193" s="9" t="n">
        <f aca="false">SUMPRODUCT((Headcount!$C$5:$C$90="SALES")*Headcount!$D$5:$D$90*Headcount!$F$5:$F$90*((Headcount!$I$5:$I$90=0)+(Headcount!$I$5:$I$90=1)*$C$16)*(H$18&gt;=(Headcount!$E$5:$E$90+Headcount!$G$5:$G$90*$C$15)))/12*(1+Assumptions!$C$97)</f>
        <v>0</v>
      </c>
      <c r="I193" s="9" t="n">
        <f aca="false">SUMPRODUCT((Headcount!$C$5:$C$90="SALES")*Headcount!$D$5:$D$90*Headcount!$F$5:$F$90*((Headcount!$I$5:$I$90=0)+(Headcount!$I$5:$I$90=1)*$C$16)*(I$18&gt;=(Headcount!$E$5:$E$90+Headcount!$G$5:$G$90*$C$15)))/12*(1+Assumptions!$C$97)</f>
        <v>0</v>
      </c>
      <c r="J193" s="9" t="n">
        <f aca="false">SUMPRODUCT((Headcount!$C$5:$C$90="SALES")*Headcount!$D$5:$D$90*Headcount!$F$5:$F$90*((Headcount!$I$5:$I$90=0)+(Headcount!$I$5:$I$90=1)*$C$16)*(J$18&gt;=(Headcount!$E$5:$E$90+Headcount!$G$5:$G$90*$C$15)))/12*(1+Assumptions!$C$97)</f>
        <v>0</v>
      </c>
      <c r="K193" s="9" t="n">
        <f aca="false">SUMPRODUCT((Headcount!$C$5:$C$90="SALES")*Headcount!$D$5:$D$90*Headcount!$F$5:$F$90*((Headcount!$I$5:$I$90=0)+(Headcount!$I$5:$I$90=1)*$C$16)*(K$18&gt;=(Headcount!$E$5:$E$90+Headcount!$G$5:$G$90*$C$15)))/12*(1+Assumptions!$C$97)</f>
        <v>0</v>
      </c>
      <c r="L193" s="9" t="n">
        <f aca="false">SUMPRODUCT((Headcount!$C$5:$C$90="SALES")*Headcount!$D$5:$D$90*Headcount!$F$5:$F$90*((Headcount!$I$5:$I$90=0)+(Headcount!$I$5:$I$90=1)*$C$16)*(L$18&gt;=(Headcount!$E$5:$E$90+Headcount!$G$5:$G$90*$C$15)))/12*(1+Assumptions!$C$97)</f>
        <v>0</v>
      </c>
      <c r="M193" s="9" t="n">
        <f aca="false">SUMPRODUCT((Headcount!$C$5:$C$90="SALES")*Headcount!$D$5:$D$90*Headcount!$F$5:$F$90*((Headcount!$I$5:$I$90=0)+(Headcount!$I$5:$I$90=1)*$C$16)*(M$18&gt;=(Headcount!$E$5:$E$90+Headcount!$G$5:$G$90*$C$15)))/12*(1+Assumptions!$C$97)</f>
        <v>11183.3333333333</v>
      </c>
      <c r="N193" s="9" t="n">
        <f aca="false">SUMPRODUCT((Headcount!$C$5:$C$90="SALES")*Headcount!$D$5:$D$90*Headcount!$F$5:$F$90*((Headcount!$I$5:$I$90=0)+(Headcount!$I$5:$I$90=1)*$C$16)*(N$18&gt;=(Headcount!$E$5:$E$90+Headcount!$G$5:$G$90*$C$15)))/12*(1+Assumptions!$C$97)</f>
        <v>11183.3333333333</v>
      </c>
      <c r="O193" s="9" t="n">
        <f aca="false">SUMPRODUCT((Headcount!$C$5:$C$90="SALES")*Headcount!$D$5:$D$90*Headcount!$F$5:$F$90*((Headcount!$I$5:$I$90=0)+(Headcount!$I$5:$I$90=1)*$C$16)*(O$18&gt;=(Headcount!$E$5:$E$90+Headcount!$G$5:$G$90*$C$15)))/12*(1+Assumptions!$C$97)</f>
        <v>24400</v>
      </c>
      <c r="P193" s="9" t="n">
        <f aca="false">SUMPRODUCT((Headcount!$C$5:$C$90="SALES")*Headcount!$D$5:$D$90*Headcount!$F$5:$F$90*((Headcount!$I$5:$I$90=0)+(Headcount!$I$5:$I$90=1)*$C$16)*(P$18&gt;=(Headcount!$E$5:$E$90+Headcount!$G$5:$G$90*$C$15)))/12*(1+Assumptions!$C$97)</f>
        <v>24400</v>
      </c>
      <c r="Q193" s="9" t="n">
        <f aca="false">SUMPRODUCT((Headcount!$C$5:$C$90="SALES")*Headcount!$D$5:$D$90*Headcount!$F$5:$F$90*((Headcount!$I$5:$I$90=0)+(Headcount!$I$5:$I$90=1)*$C$16)*(Q$18&gt;=(Headcount!$E$5:$E$90+Headcount!$G$5:$G$90*$C$15)))/12*(1+Assumptions!$C$97)</f>
        <v>24400</v>
      </c>
      <c r="R193" s="9" t="n">
        <f aca="false">SUMPRODUCT((Headcount!$C$5:$C$90="SALES")*Headcount!$D$5:$D$90*Headcount!$F$5:$F$90*((Headcount!$I$5:$I$90=0)+(Headcount!$I$5:$I$90=1)*$C$16)*(R$18&gt;=(Headcount!$E$5:$E$90+Headcount!$G$5:$G$90*$C$15)))/12*(1+Assumptions!$C$97)</f>
        <v>24400</v>
      </c>
      <c r="S193" s="9" t="n">
        <f aca="false">SUMPRODUCT((Headcount!$C$5:$C$90="SALES")*Headcount!$D$5:$D$90*Headcount!$F$5:$F$90*((Headcount!$I$5:$I$90=0)+(Headcount!$I$5:$I$90=1)*$C$16)*(S$18&gt;=(Headcount!$E$5:$E$90+Headcount!$G$5:$G$90*$C$15)))/12*(1+Assumptions!$C$97)</f>
        <v>24400</v>
      </c>
      <c r="T193" s="9" t="n">
        <f aca="false">SUMPRODUCT((Headcount!$C$5:$C$90="SALES")*Headcount!$D$5:$D$90*Headcount!$F$5:$F$90*((Headcount!$I$5:$I$90=0)+(Headcount!$I$5:$I$90=1)*$C$16)*(T$18&gt;=(Headcount!$E$5:$E$90+Headcount!$G$5:$G$90*$C$15)))/12*(1+Assumptions!$C$97)</f>
        <v>24400</v>
      </c>
      <c r="U193" s="9" t="n">
        <f aca="false">SUMPRODUCT((Headcount!$C$5:$C$90="SALES")*Headcount!$D$5:$D$90*Headcount!$F$5:$F$90*((Headcount!$I$5:$I$90=0)+(Headcount!$I$5:$I$90=1)*$C$16)*(U$18&gt;=(Headcount!$E$5:$E$90+Headcount!$G$5:$G$90*$C$15)))/12*(1+Assumptions!$C$97)</f>
        <v>24400</v>
      </c>
      <c r="V193" s="9" t="n">
        <f aca="false">SUMPRODUCT((Headcount!$C$5:$C$90="SALES")*Headcount!$D$5:$D$90*Headcount!$F$5:$F$90*((Headcount!$I$5:$I$90=0)+(Headcount!$I$5:$I$90=1)*$C$16)*(V$18&gt;=(Headcount!$E$5:$E$90+Headcount!$G$5:$G$90*$C$15)))/12*(1+Assumptions!$C$97)</f>
        <v>24400</v>
      </c>
      <c r="W193" s="9" t="n">
        <f aca="false">SUMPRODUCT((Headcount!$C$5:$C$90="SALES")*Headcount!$D$5:$D$90*Headcount!$F$5:$F$90*((Headcount!$I$5:$I$90=0)+(Headcount!$I$5:$I$90=1)*$C$16)*(W$18&gt;=(Headcount!$E$5:$E$90+Headcount!$G$5:$G$90*$C$15)))/12*(1+Assumptions!$C$97)</f>
        <v>24400</v>
      </c>
      <c r="X193" s="9" t="n">
        <f aca="false">SUMPRODUCT((Headcount!$C$5:$C$90="SALES")*Headcount!$D$5:$D$90*Headcount!$F$5:$F$90*((Headcount!$I$5:$I$90=0)+(Headcount!$I$5:$I$90=1)*$C$16)*(X$18&gt;=(Headcount!$E$5:$E$90+Headcount!$G$5:$G$90*$C$15)))/12*(1+Assumptions!$C$97)</f>
        <v>35583.3333333333</v>
      </c>
      <c r="Y193" s="9" t="n">
        <f aca="false">SUMPRODUCT((Headcount!$C$5:$C$90="SALES")*Headcount!$D$5:$D$90*Headcount!$F$5:$F$90*((Headcount!$I$5:$I$90=0)+(Headcount!$I$5:$I$90=1)*$C$16)*(Y$18&gt;=(Headcount!$E$5:$E$90+Headcount!$G$5:$G$90*$C$15)))/12*(1+Assumptions!$C$97)</f>
        <v>35583.3333333333</v>
      </c>
      <c r="Z193" s="9" t="n">
        <f aca="false">SUMPRODUCT((Headcount!$C$5:$C$90="SALES")*Headcount!$D$5:$D$90*Headcount!$F$5:$F$90*((Headcount!$I$5:$I$90=0)+(Headcount!$I$5:$I$90=1)*$C$16)*(Z$18&gt;=(Headcount!$E$5:$E$90+Headcount!$G$5:$G$90*$C$15)))/12*(1+Assumptions!$C$97)</f>
        <v>35583.3333333333</v>
      </c>
      <c r="AA193" s="9" t="n">
        <f aca="false">SUMPRODUCT((Headcount!$C$5:$C$90="SALES")*Headcount!$D$5:$D$90*Headcount!$F$5:$F$90*((Headcount!$I$5:$I$90=0)+(Headcount!$I$5:$I$90=1)*$C$16)*(AA$18&gt;=(Headcount!$E$5:$E$90+Headcount!$G$5:$G$90*$C$15)))/12*(1+Assumptions!$C$97)</f>
        <v>35583.3333333333</v>
      </c>
      <c r="AB193" s="9" t="n">
        <f aca="false">SUMPRODUCT((Headcount!$C$5:$C$90="SALES")*Headcount!$D$5:$D$90*Headcount!$F$5:$F$90*((Headcount!$I$5:$I$90=0)+(Headcount!$I$5:$I$90=1)*$C$16)*(AB$18&gt;=(Headcount!$E$5:$E$90+Headcount!$G$5:$G$90*$C$15)))/12*(1+Assumptions!$C$97)</f>
        <v>35583.3333333333</v>
      </c>
      <c r="AC193" s="9" t="n">
        <f aca="false">SUMPRODUCT((Headcount!$C$5:$C$90="SALES")*Headcount!$D$5:$D$90*Headcount!$F$5:$F$90*((Headcount!$I$5:$I$90=0)+(Headcount!$I$5:$I$90=1)*$C$16)*(AC$18&gt;=(Headcount!$E$5:$E$90+Headcount!$G$5:$G$90*$C$15)))/12*(1+Assumptions!$C$97)</f>
        <v>35583.3333333333</v>
      </c>
      <c r="AD193" s="9" t="n">
        <f aca="false">SUMPRODUCT((Headcount!$C$5:$C$90="SALES")*Headcount!$D$5:$D$90*Headcount!$F$5:$F$90*((Headcount!$I$5:$I$90=0)+(Headcount!$I$5:$I$90=1)*$C$16)*(AD$18&gt;=(Headcount!$E$5:$E$90+Headcount!$G$5:$G$90*$C$15)))/12*(1+Assumptions!$C$97)</f>
        <v>46766.6666666667</v>
      </c>
      <c r="AE193" s="9" t="n">
        <f aca="false">SUMPRODUCT((Headcount!$C$5:$C$90="SALES")*Headcount!$D$5:$D$90*Headcount!$F$5:$F$90*((Headcount!$I$5:$I$90=0)+(Headcount!$I$5:$I$90=1)*$C$16)*(AE$18&gt;=(Headcount!$E$5:$E$90+Headcount!$G$5:$G$90*$C$15)))/12*(1+Assumptions!$C$97)</f>
        <v>46766.6666666667</v>
      </c>
      <c r="AF193" s="9" t="n">
        <f aca="false">SUMPRODUCT((Headcount!$C$5:$C$90="SALES")*Headcount!$D$5:$D$90*Headcount!$F$5:$F$90*((Headcount!$I$5:$I$90=0)+(Headcount!$I$5:$I$90=1)*$C$16)*(AF$18&gt;=(Headcount!$E$5:$E$90+Headcount!$G$5:$G$90*$C$15)))/12*(1+Assumptions!$C$97)</f>
        <v>46766.6666666667</v>
      </c>
      <c r="AG193" s="9" t="n">
        <f aca="false">SUMPRODUCT((Headcount!$C$5:$C$90="SALES")*Headcount!$D$5:$D$90*Headcount!$F$5:$F$90*((Headcount!$I$5:$I$90=0)+(Headcount!$I$5:$I$90=1)*$C$16)*(AG$18&gt;=(Headcount!$E$5:$E$90+Headcount!$G$5:$G$90*$C$15)))/12*(1+Assumptions!$C$97)</f>
        <v>46766.6666666667</v>
      </c>
      <c r="AH193" s="9" t="n">
        <f aca="false">SUMPRODUCT((Headcount!$C$5:$C$90="SALES")*Headcount!$D$5:$D$90*Headcount!$F$5:$F$90*((Headcount!$I$5:$I$90=0)+(Headcount!$I$5:$I$90=1)*$C$16)*(AH$18&gt;=(Headcount!$E$5:$E$90+Headcount!$G$5:$G$90*$C$15)))/12*(1+Assumptions!$C$97)</f>
        <v>46766.6666666667</v>
      </c>
      <c r="AI193" s="9" t="n">
        <f aca="false">SUMPRODUCT((Headcount!$C$5:$C$90="SALES")*Headcount!$D$5:$D$90*Headcount!$F$5:$F$90*((Headcount!$I$5:$I$90=0)+(Headcount!$I$5:$I$90=1)*$C$16)*(AI$18&gt;=(Headcount!$E$5:$E$90+Headcount!$G$5:$G$90*$C$15)))/12*(1+Assumptions!$C$97)</f>
        <v>46766.6666666667</v>
      </c>
      <c r="AJ193" s="9" t="n">
        <f aca="false">SUMPRODUCT((Headcount!$C$5:$C$90="SALES")*Headcount!$D$5:$D$90*Headcount!$F$5:$F$90*((Headcount!$I$5:$I$90=0)+(Headcount!$I$5:$I$90=1)*$C$16)*(AJ$18&gt;=(Headcount!$E$5:$E$90+Headcount!$G$5:$G$90*$C$15)))/12*(1+Assumptions!$C$97)</f>
        <v>46766.6666666667</v>
      </c>
      <c r="AK193" s="9" t="n">
        <f aca="false">SUMPRODUCT((Headcount!$C$5:$C$90="SALES")*Headcount!$D$5:$D$90*Headcount!$F$5:$F$90*((Headcount!$I$5:$I$90=0)+(Headcount!$I$5:$I$90=1)*$C$16)*(AK$18&gt;=(Headcount!$E$5:$E$90+Headcount!$G$5:$G$90*$C$15)))/12*(1+Assumptions!$C$97)</f>
        <v>46766.6666666667</v>
      </c>
      <c r="AL193" s="9" t="n">
        <f aca="false">SUMPRODUCT((Headcount!$C$5:$C$90="SALES")*Headcount!$D$5:$D$90*Headcount!$F$5:$F$90*((Headcount!$I$5:$I$90=0)+(Headcount!$I$5:$I$90=1)*$C$16)*(AL$18&gt;=(Headcount!$E$5:$E$90+Headcount!$G$5:$G$90*$C$15)))/12*(1+Assumptions!$C$97)</f>
        <v>46766.6666666667</v>
      </c>
      <c r="AN193" s="11" t="n">
        <f aca="false">SUM(C193:N193)</f>
        <v>22366.6666666667</v>
      </c>
      <c r="AO193" s="11" t="n">
        <f aca="false">SUM(O193:Z193)</f>
        <v>326350</v>
      </c>
      <c r="AP193" s="11" t="n">
        <f aca="false">SUM(AA193:AL193)</f>
        <v>527650</v>
      </c>
    </row>
    <row r="194" customFormat="false" ht="15" hidden="false" customHeight="false" outlineLevel="0" collapsed="false">
      <c r="A194" s="0" t="s">
        <v>995</v>
      </c>
      <c r="B194" s="0" t="s">
        <v>230</v>
      </c>
      <c r="C194" s="9" t="n">
        <f aca="false">SUMPRODUCT((Headcount!$C$5:$C$90="MKT")*Headcount!$D$5:$D$90*Headcount!$F$5:$F$90*((Headcount!$I$5:$I$90=0)+(Headcount!$I$5:$I$90=1)*$C$16)*(C$18&gt;=(Headcount!$E$5:$E$90+Headcount!$G$5:$G$90*$C$15)))/12*(1+Assumptions!$C$97)</f>
        <v>0</v>
      </c>
      <c r="D194" s="9" t="n">
        <f aca="false">SUMPRODUCT((Headcount!$C$5:$C$90="MKT")*Headcount!$D$5:$D$90*Headcount!$F$5:$F$90*((Headcount!$I$5:$I$90=0)+(Headcount!$I$5:$I$90=1)*$C$16)*(D$18&gt;=(Headcount!$E$5:$E$90+Headcount!$G$5:$G$90*$C$15)))/12*(1+Assumptions!$C$97)</f>
        <v>0</v>
      </c>
      <c r="E194" s="9" t="n">
        <f aca="false">SUMPRODUCT((Headcount!$C$5:$C$90="MKT")*Headcount!$D$5:$D$90*Headcount!$F$5:$F$90*((Headcount!$I$5:$I$90=0)+(Headcount!$I$5:$I$90=1)*$C$16)*(E$18&gt;=(Headcount!$E$5:$E$90+Headcount!$G$5:$G$90*$C$15)))/12*(1+Assumptions!$C$97)</f>
        <v>0</v>
      </c>
      <c r="F194" s="9" t="n">
        <f aca="false">SUMPRODUCT((Headcount!$C$5:$C$90="MKT")*Headcount!$D$5:$D$90*Headcount!$F$5:$F$90*((Headcount!$I$5:$I$90=0)+(Headcount!$I$5:$I$90=1)*$C$16)*(F$18&gt;=(Headcount!$E$5:$E$90+Headcount!$G$5:$G$90*$C$15)))/12*(1+Assumptions!$C$97)</f>
        <v>0</v>
      </c>
      <c r="G194" s="9" t="n">
        <f aca="false">SUMPRODUCT((Headcount!$C$5:$C$90="MKT")*Headcount!$D$5:$D$90*Headcount!$F$5:$F$90*((Headcount!$I$5:$I$90=0)+(Headcount!$I$5:$I$90=1)*$C$16)*(G$18&gt;=(Headcount!$E$5:$E$90+Headcount!$G$5:$G$90*$C$15)))/12*(1+Assumptions!$C$97)</f>
        <v>0</v>
      </c>
      <c r="H194" s="9" t="n">
        <f aca="false">SUMPRODUCT((Headcount!$C$5:$C$90="MKT")*Headcount!$D$5:$D$90*Headcount!$F$5:$F$90*((Headcount!$I$5:$I$90=0)+(Headcount!$I$5:$I$90=1)*$C$16)*(H$18&gt;=(Headcount!$E$5:$E$90+Headcount!$G$5:$G$90*$C$15)))/12*(1+Assumptions!$C$97)</f>
        <v>10675</v>
      </c>
      <c r="I194" s="9" t="n">
        <f aca="false">SUMPRODUCT((Headcount!$C$5:$C$90="MKT")*Headcount!$D$5:$D$90*Headcount!$F$5:$F$90*((Headcount!$I$5:$I$90=0)+(Headcount!$I$5:$I$90=1)*$C$16)*(I$18&gt;=(Headcount!$E$5:$E$90+Headcount!$G$5:$G$90*$C$15)))/12*(1+Assumptions!$C$97)</f>
        <v>10675</v>
      </c>
      <c r="J194" s="9" t="n">
        <f aca="false">SUMPRODUCT((Headcount!$C$5:$C$90="MKT")*Headcount!$D$5:$D$90*Headcount!$F$5:$F$90*((Headcount!$I$5:$I$90=0)+(Headcount!$I$5:$I$90=1)*$C$16)*(J$18&gt;=(Headcount!$E$5:$E$90+Headcount!$G$5:$G$90*$C$15)))/12*(1+Assumptions!$C$97)</f>
        <v>10675</v>
      </c>
      <c r="K194" s="9" t="n">
        <f aca="false">SUMPRODUCT((Headcount!$C$5:$C$90="MKT")*Headcount!$D$5:$D$90*Headcount!$F$5:$F$90*((Headcount!$I$5:$I$90=0)+(Headcount!$I$5:$I$90=1)*$C$16)*(K$18&gt;=(Headcount!$E$5:$E$90+Headcount!$G$5:$G$90*$C$15)))/12*(1+Assumptions!$C$97)</f>
        <v>10675</v>
      </c>
      <c r="L194" s="9" t="n">
        <f aca="false">SUMPRODUCT((Headcount!$C$5:$C$90="MKT")*Headcount!$D$5:$D$90*Headcount!$F$5:$F$90*((Headcount!$I$5:$I$90=0)+(Headcount!$I$5:$I$90=1)*$C$16)*(L$18&gt;=(Headcount!$E$5:$E$90+Headcount!$G$5:$G$90*$C$15)))/12*(1+Assumptions!$C$97)</f>
        <v>10675</v>
      </c>
      <c r="M194" s="9" t="n">
        <f aca="false">SUMPRODUCT((Headcount!$C$5:$C$90="MKT")*Headcount!$D$5:$D$90*Headcount!$F$5:$F$90*((Headcount!$I$5:$I$90=0)+(Headcount!$I$5:$I$90=1)*$C$16)*(M$18&gt;=(Headcount!$E$5:$E$90+Headcount!$G$5:$G$90*$C$15)))/12*(1+Assumptions!$C$97)</f>
        <v>10675</v>
      </c>
      <c r="N194" s="9" t="n">
        <f aca="false">SUMPRODUCT((Headcount!$C$5:$C$90="MKT")*Headcount!$D$5:$D$90*Headcount!$F$5:$F$90*((Headcount!$I$5:$I$90=0)+(Headcount!$I$5:$I$90=1)*$C$16)*(N$18&gt;=(Headcount!$E$5:$E$90+Headcount!$G$5:$G$90*$C$15)))/12*(1+Assumptions!$C$97)</f>
        <v>17283.3333333333</v>
      </c>
      <c r="O194" s="9" t="n">
        <f aca="false">SUMPRODUCT((Headcount!$C$5:$C$90="MKT")*Headcount!$D$5:$D$90*Headcount!$F$5:$F$90*((Headcount!$I$5:$I$90=0)+(Headcount!$I$5:$I$90=1)*$C$16)*(O$18&gt;=(Headcount!$E$5:$E$90+Headcount!$G$5:$G$90*$C$15)))/12*(1+Assumptions!$C$97)</f>
        <v>17283.3333333333</v>
      </c>
      <c r="P194" s="9" t="n">
        <f aca="false">SUMPRODUCT((Headcount!$C$5:$C$90="MKT")*Headcount!$D$5:$D$90*Headcount!$F$5:$F$90*((Headcount!$I$5:$I$90=0)+(Headcount!$I$5:$I$90=1)*$C$16)*(P$18&gt;=(Headcount!$E$5:$E$90+Headcount!$G$5:$G$90*$C$15)))/12*(1+Assumptions!$C$97)</f>
        <v>17283.3333333333</v>
      </c>
      <c r="Q194" s="9" t="n">
        <f aca="false">SUMPRODUCT((Headcount!$C$5:$C$90="MKT")*Headcount!$D$5:$D$90*Headcount!$F$5:$F$90*((Headcount!$I$5:$I$90=0)+(Headcount!$I$5:$I$90=1)*$C$16)*(Q$18&gt;=(Headcount!$E$5:$E$90+Headcount!$G$5:$G$90*$C$15)))/12*(1+Assumptions!$C$97)</f>
        <v>17283.3333333333</v>
      </c>
      <c r="R194" s="9" t="n">
        <f aca="false">SUMPRODUCT((Headcount!$C$5:$C$90="MKT")*Headcount!$D$5:$D$90*Headcount!$F$5:$F$90*((Headcount!$I$5:$I$90=0)+(Headcount!$I$5:$I$90=1)*$C$16)*(R$18&gt;=(Headcount!$E$5:$E$90+Headcount!$G$5:$G$90*$C$15)))/12*(1+Assumptions!$C$97)</f>
        <v>17283.3333333333</v>
      </c>
      <c r="S194" s="9" t="n">
        <f aca="false">SUMPRODUCT((Headcount!$C$5:$C$90="MKT")*Headcount!$D$5:$D$90*Headcount!$F$5:$F$90*((Headcount!$I$5:$I$90=0)+(Headcount!$I$5:$I$90=1)*$C$16)*(S$18&gt;=(Headcount!$E$5:$E$90+Headcount!$G$5:$G$90*$C$15)))/12*(1+Assumptions!$C$97)</f>
        <v>17283.3333333333</v>
      </c>
      <c r="T194" s="9" t="n">
        <f aca="false">SUMPRODUCT((Headcount!$C$5:$C$90="MKT")*Headcount!$D$5:$D$90*Headcount!$F$5:$F$90*((Headcount!$I$5:$I$90=0)+(Headcount!$I$5:$I$90=1)*$C$16)*(T$18&gt;=(Headcount!$E$5:$E$90+Headcount!$G$5:$G$90*$C$15)))/12*(1+Assumptions!$C$97)</f>
        <v>17283.3333333333</v>
      </c>
      <c r="U194" s="9" t="n">
        <f aca="false">SUMPRODUCT((Headcount!$C$5:$C$90="MKT")*Headcount!$D$5:$D$90*Headcount!$F$5:$F$90*((Headcount!$I$5:$I$90=0)+(Headcount!$I$5:$I$90=1)*$C$16)*(U$18&gt;=(Headcount!$E$5:$E$90+Headcount!$G$5:$G$90*$C$15)))/12*(1+Assumptions!$C$97)</f>
        <v>17283.3333333333</v>
      </c>
      <c r="V194" s="9" t="n">
        <f aca="false">SUMPRODUCT((Headcount!$C$5:$C$90="MKT")*Headcount!$D$5:$D$90*Headcount!$F$5:$F$90*((Headcount!$I$5:$I$90=0)+(Headcount!$I$5:$I$90=1)*$C$16)*(V$18&gt;=(Headcount!$E$5:$E$90+Headcount!$G$5:$G$90*$C$15)))/12*(1+Assumptions!$C$97)</f>
        <v>25925</v>
      </c>
      <c r="W194" s="9" t="n">
        <f aca="false">SUMPRODUCT((Headcount!$C$5:$C$90="MKT")*Headcount!$D$5:$D$90*Headcount!$F$5:$F$90*((Headcount!$I$5:$I$90=0)+(Headcount!$I$5:$I$90=1)*$C$16)*(W$18&gt;=(Headcount!$E$5:$E$90+Headcount!$G$5:$G$90*$C$15)))/12*(1+Assumptions!$C$97)</f>
        <v>25925</v>
      </c>
      <c r="X194" s="9" t="n">
        <f aca="false">SUMPRODUCT((Headcount!$C$5:$C$90="MKT")*Headcount!$D$5:$D$90*Headcount!$F$5:$F$90*((Headcount!$I$5:$I$90=0)+(Headcount!$I$5:$I$90=1)*$C$16)*(X$18&gt;=(Headcount!$E$5:$E$90+Headcount!$G$5:$G$90*$C$15)))/12*(1+Assumptions!$C$97)</f>
        <v>25925</v>
      </c>
      <c r="Y194" s="9" t="n">
        <f aca="false">SUMPRODUCT((Headcount!$C$5:$C$90="MKT")*Headcount!$D$5:$D$90*Headcount!$F$5:$F$90*((Headcount!$I$5:$I$90=0)+(Headcount!$I$5:$I$90=1)*$C$16)*(Y$18&gt;=(Headcount!$E$5:$E$90+Headcount!$G$5:$G$90*$C$15)))/12*(1+Assumptions!$C$97)</f>
        <v>25925</v>
      </c>
      <c r="Z194" s="9" t="n">
        <f aca="false">SUMPRODUCT((Headcount!$C$5:$C$90="MKT")*Headcount!$D$5:$D$90*Headcount!$F$5:$F$90*((Headcount!$I$5:$I$90=0)+(Headcount!$I$5:$I$90=1)*$C$16)*(Z$18&gt;=(Headcount!$E$5:$E$90+Headcount!$G$5:$G$90*$C$15)))/12*(1+Assumptions!$C$97)</f>
        <v>25925</v>
      </c>
      <c r="AA194" s="9" t="n">
        <f aca="false">SUMPRODUCT((Headcount!$C$5:$C$90="MKT")*Headcount!$D$5:$D$90*Headcount!$F$5:$F$90*((Headcount!$I$5:$I$90=0)+(Headcount!$I$5:$I$90=1)*$C$16)*(AA$18&gt;=(Headcount!$E$5:$E$90+Headcount!$G$5:$G$90*$C$15)))/12*(1+Assumptions!$C$97)</f>
        <v>25925</v>
      </c>
      <c r="AB194" s="9" t="n">
        <f aca="false">SUMPRODUCT((Headcount!$C$5:$C$90="MKT")*Headcount!$D$5:$D$90*Headcount!$F$5:$F$90*((Headcount!$I$5:$I$90=0)+(Headcount!$I$5:$I$90=1)*$C$16)*(AB$18&gt;=(Headcount!$E$5:$E$90+Headcount!$G$5:$G$90*$C$15)))/12*(1+Assumptions!$C$97)</f>
        <v>25925</v>
      </c>
      <c r="AC194" s="9" t="n">
        <f aca="false">SUMPRODUCT((Headcount!$C$5:$C$90="MKT")*Headcount!$D$5:$D$90*Headcount!$F$5:$F$90*((Headcount!$I$5:$I$90=0)+(Headcount!$I$5:$I$90=1)*$C$16)*(AC$18&gt;=(Headcount!$E$5:$E$90+Headcount!$G$5:$G$90*$C$15)))/12*(1+Assumptions!$C$97)</f>
        <v>25925</v>
      </c>
      <c r="AD194" s="9" t="n">
        <f aca="false">SUMPRODUCT((Headcount!$C$5:$C$90="MKT")*Headcount!$D$5:$D$90*Headcount!$F$5:$F$90*((Headcount!$I$5:$I$90=0)+(Headcount!$I$5:$I$90=1)*$C$16)*(AD$18&gt;=(Headcount!$E$5:$E$90+Headcount!$G$5:$G$90*$C$15)))/12*(1+Assumptions!$C$97)</f>
        <v>25925</v>
      </c>
      <c r="AE194" s="9" t="n">
        <f aca="false">SUMPRODUCT((Headcount!$C$5:$C$90="MKT")*Headcount!$D$5:$D$90*Headcount!$F$5:$F$90*((Headcount!$I$5:$I$90=0)+(Headcount!$I$5:$I$90=1)*$C$16)*(AE$18&gt;=(Headcount!$E$5:$E$90+Headcount!$G$5:$G$90*$C$15)))/12*(1+Assumptions!$C$97)</f>
        <v>25925</v>
      </c>
      <c r="AF194" s="9" t="n">
        <f aca="false">SUMPRODUCT((Headcount!$C$5:$C$90="MKT")*Headcount!$D$5:$D$90*Headcount!$F$5:$F$90*((Headcount!$I$5:$I$90=0)+(Headcount!$I$5:$I$90=1)*$C$16)*(AF$18&gt;=(Headcount!$E$5:$E$90+Headcount!$G$5:$G$90*$C$15)))/12*(1+Assumptions!$C$97)</f>
        <v>25925</v>
      </c>
      <c r="AG194" s="9" t="n">
        <f aca="false">SUMPRODUCT((Headcount!$C$5:$C$90="MKT")*Headcount!$D$5:$D$90*Headcount!$F$5:$F$90*((Headcount!$I$5:$I$90=0)+(Headcount!$I$5:$I$90=1)*$C$16)*(AG$18&gt;=(Headcount!$E$5:$E$90+Headcount!$G$5:$G$90*$C$15)))/12*(1+Assumptions!$C$97)</f>
        <v>25925</v>
      </c>
      <c r="AH194" s="9" t="n">
        <f aca="false">SUMPRODUCT((Headcount!$C$5:$C$90="MKT")*Headcount!$D$5:$D$90*Headcount!$F$5:$F$90*((Headcount!$I$5:$I$90=0)+(Headcount!$I$5:$I$90=1)*$C$16)*(AH$18&gt;=(Headcount!$E$5:$E$90+Headcount!$G$5:$G$90*$C$15)))/12*(1+Assumptions!$C$97)</f>
        <v>25925</v>
      </c>
      <c r="AI194" s="9" t="n">
        <f aca="false">SUMPRODUCT((Headcount!$C$5:$C$90="MKT")*Headcount!$D$5:$D$90*Headcount!$F$5:$F$90*((Headcount!$I$5:$I$90=0)+(Headcount!$I$5:$I$90=1)*$C$16)*(AI$18&gt;=(Headcount!$E$5:$E$90+Headcount!$G$5:$G$90*$C$15)))/12*(1+Assumptions!$C$97)</f>
        <v>25925</v>
      </c>
      <c r="AJ194" s="9" t="n">
        <f aca="false">SUMPRODUCT((Headcount!$C$5:$C$90="MKT")*Headcount!$D$5:$D$90*Headcount!$F$5:$F$90*((Headcount!$I$5:$I$90=0)+(Headcount!$I$5:$I$90=1)*$C$16)*(AJ$18&gt;=(Headcount!$E$5:$E$90+Headcount!$G$5:$G$90*$C$15)))/12*(1+Assumptions!$C$97)</f>
        <v>25925</v>
      </c>
      <c r="AK194" s="9" t="n">
        <f aca="false">SUMPRODUCT((Headcount!$C$5:$C$90="MKT")*Headcount!$D$5:$D$90*Headcount!$F$5:$F$90*((Headcount!$I$5:$I$90=0)+(Headcount!$I$5:$I$90=1)*$C$16)*(AK$18&gt;=(Headcount!$E$5:$E$90+Headcount!$G$5:$G$90*$C$15)))/12*(1+Assumptions!$C$97)</f>
        <v>25925</v>
      </c>
      <c r="AL194" s="9" t="n">
        <f aca="false">SUMPRODUCT((Headcount!$C$5:$C$90="MKT")*Headcount!$D$5:$D$90*Headcount!$F$5:$F$90*((Headcount!$I$5:$I$90=0)+(Headcount!$I$5:$I$90=1)*$C$16)*(AL$18&gt;=(Headcount!$E$5:$E$90+Headcount!$G$5:$G$90*$C$15)))/12*(1+Assumptions!$C$97)</f>
        <v>25925</v>
      </c>
      <c r="AN194" s="11" t="n">
        <f aca="false">SUM(C194:N194)</f>
        <v>81333.3333333333</v>
      </c>
      <c r="AO194" s="11" t="n">
        <f aca="false">SUM(O194:Z194)</f>
        <v>250608.333333333</v>
      </c>
      <c r="AP194" s="11" t="n">
        <f aca="false">SUM(AA194:AL194)</f>
        <v>311100</v>
      </c>
    </row>
    <row r="195" customFormat="false" ht="15" hidden="false" customHeight="false" outlineLevel="0" collapsed="false">
      <c r="A195" s="0" t="s">
        <v>996</v>
      </c>
      <c r="B195" s="0" t="s">
        <v>230</v>
      </c>
      <c r="C195" s="9" t="n">
        <f aca="false">SUMPRODUCT((Headcount!$C$5:$C$90="GA")*Headcount!$D$5:$D$90*Headcount!$F$5:$F$90*((Headcount!$I$5:$I$90=0)+(Headcount!$I$5:$I$90=1)*$C$16)*(C$18&gt;=(Headcount!$E$5:$E$90+Headcount!$G$5:$G$90*$C$15)))/12*(1+Assumptions!$C$97)</f>
        <v>15250</v>
      </c>
      <c r="D195" s="9" t="n">
        <f aca="false">SUMPRODUCT((Headcount!$C$5:$C$90="GA")*Headcount!$D$5:$D$90*Headcount!$F$5:$F$90*((Headcount!$I$5:$I$90=0)+(Headcount!$I$5:$I$90=1)*$C$16)*(D$18&gt;=(Headcount!$E$5:$E$90+Headcount!$G$5:$G$90*$C$15)))/12*(1+Assumptions!$C$97)</f>
        <v>15250</v>
      </c>
      <c r="E195" s="9" t="n">
        <f aca="false">SUMPRODUCT((Headcount!$C$5:$C$90="GA")*Headcount!$D$5:$D$90*Headcount!$F$5:$F$90*((Headcount!$I$5:$I$90=0)+(Headcount!$I$5:$I$90=1)*$C$16)*(E$18&gt;=(Headcount!$E$5:$E$90+Headcount!$G$5:$G$90*$C$15)))/12*(1+Assumptions!$C$97)</f>
        <v>15250</v>
      </c>
      <c r="F195" s="9" t="n">
        <f aca="false">SUMPRODUCT((Headcount!$C$5:$C$90="GA")*Headcount!$D$5:$D$90*Headcount!$F$5:$F$90*((Headcount!$I$5:$I$90=0)+(Headcount!$I$5:$I$90=1)*$C$16)*(F$18&gt;=(Headcount!$E$5:$E$90+Headcount!$G$5:$G$90*$C$15)))/12*(1+Assumptions!$C$97)</f>
        <v>15250</v>
      </c>
      <c r="G195" s="9" t="n">
        <f aca="false">SUMPRODUCT((Headcount!$C$5:$C$90="GA")*Headcount!$D$5:$D$90*Headcount!$F$5:$F$90*((Headcount!$I$5:$I$90=0)+(Headcount!$I$5:$I$90=1)*$C$16)*(G$18&gt;=(Headcount!$E$5:$E$90+Headcount!$G$5:$G$90*$C$15)))/12*(1+Assumptions!$C$97)</f>
        <v>15250</v>
      </c>
      <c r="H195" s="9" t="n">
        <f aca="false">SUMPRODUCT((Headcount!$C$5:$C$90="GA")*Headcount!$D$5:$D$90*Headcount!$F$5:$F$90*((Headcount!$I$5:$I$90=0)+(Headcount!$I$5:$I$90=1)*$C$16)*(H$18&gt;=(Headcount!$E$5:$E$90+Headcount!$G$5:$G$90*$C$15)))/12*(1+Assumptions!$C$97)</f>
        <v>15250</v>
      </c>
      <c r="I195" s="9" t="n">
        <f aca="false">SUMPRODUCT((Headcount!$C$5:$C$90="GA")*Headcount!$D$5:$D$90*Headcount!$F$5:$F$90*((Headcount!$I$5:$I$90=0)+(Headcount!$I$5:$I$90=1)*$C$16)*(I$18&gt;=(Headcount!$E$5:$E$90+Headcount!$G$5:$G$90*$C$15)))/12*(1+Assumptions!$C$97)</f>
        <v>15250</v>
      </c>
      <c r="J195" s="9" t="n">
        <f aca="false">SUMPRODUCT((Headcount!$C$5:$C$90="GA")*Headcount!$D$5:$D$90*Headcount!$F$5:$F$90*((Headcount!$I$5:$I$90=0)+(Headcount!$I$5:$I$90=1)*$C$16)*(J$18&gt;=(Headcount!$E$5:$E$90+Headcount!$G$5:$G$90*$C$15)))/12*(1+Assumptions!$C$97)</f>
        <v>15250</v>
      </c>
      <c r="K195" s="9" t="n">
        <f aca="false">SUMPRODUCT((Headcount!$C$5:$C$90="GA")*Headcount!$D$5:$D$90*Headcount!$F$5:$F$90*((Headcount!$I$5:$I$90=0)+(Headcount!$I$5:$I$90=1)*$C$16)*(K$18&gt;=(Headcount!$E$5:$E$90+Headcount!$G$5:$G$90*$C$15)))/12*(1+Assumptions!$C$97)</f>
        <v>27958.3333333333</v>
      </c>
      <c r="L195" s="9" t="n">
        <f aca="false">SUMPRODUCT((Headcount!$C$5:$C$90="GA")*Headcount!$D$5:$D$90*Headcount!$F$5:$F$90*((Headcount!$I$5:$I$90=0)+(Headcount!$I$5:$I$90=1)*$C$16)*(L$18&gt;=(Headcount!$E$5:$E$90+Headcount!$G$5:$G$90*$C$15)))/12*(1+Assumptions!$C$97)</f>
        <v>27958.3333333333</v>
      </c>
      <c r="M195" s="9" t="n">
        <f aca="false">SUMPRODUCT((Headcount!$C$5:$C$90="GA")*Headcount!$D$5:$D$90*Headcount!$F$5:$F$90*((Headcount!$I$5:$I$90=0)+(Headcount!$I$5:$I$90=1)*$C$16)*(M$18&gt;=(Headcount!$E$5:$E$90+Headcount!$G$5:$G$90*$C$15)))/12*(1+Assumptions!$C$97)</f>
        <v>27958.3333333333</v>
      </c>
      <c r="N195" s="9" t="n">
        <f aca="false">SUMPRODUCT((Headcount!$C$5:$C$90="GA")*Headcount!$D$5:$D$90*Headcount!$F$5:$F$90*((Headcount!$I$5:$I$90=0)+(Headcount!$I$5:$I$90=1)*$C$16)*(N$18&gt;=(Headcount!$E$5:$E$90+Headcount!$G$5:$G$90*$C$15)))/12*(1+Assumptions!$C$97)</f>
        <v>27958.3333333333</v>
      </c>
      <c r="O195" s="9" t="n">
        <f aca="false">SUMPRODUCT((Headcount!$C$5:$C$90="GA")*Headcount!$D$5:$D$90*Headcount!$F$5:$F$90*((Headcount!$I$5:$I$90=0)+(Headcount!$I$5:$I$90=1)*$C$16)*(O$18&gt;=(Headcount!$E$5:$E$90+Headcount!$G$5:$G$90*$C$15)))/12*(1+Assumptions!$C$97)</f>
        <v>27958.3333333333</v>
      </c>
      <c r="P195" s="9" t="n">
        <f aca="false">SUMPRODUCT((Headcount!$C$5:$C$90="GA")*Headcount!$D$5:$D$90*Headcount!$F$5:$F$90*((Headcount!$I$5:$I$90=0)+(Headcount!$I$5:$I$90=1)*$C$16)*(P$18&gt;=(Headcount!$E$5:$E$90+Headcount!$G$5:$G$90*$C$15)))/12*(1+Assumptions!$C$97)</f>
        <v>27958.3333333333</v>
      </c>
      <c r="Q195" s="9" t="n">
        <f aca="false">SUMPRODUCT((Headcount!$C$5:$C$90="GA")*Headcount!$D$5:$D$90*Headcount!$F$5:$F$90*((Headcount!$I$5:$I$90=0)+(Headcount!$I$5:$I$90=1)*$C$16)*(Q$18&gt;=(Headcount!$E$5:$E$90+Headcount!$G$5:$G$90*$C$15)))/12*(1+Assumptions!$C$97)</f>
        <v>40158.3333333333</v>
      </c>
      <c r="R195" s="9" t="n">
        <f aca="false">SUMPRODUCT((Headcount!$C$5:$C$90="GA")*Headcount!$D$5:$D$90*Headcount!$F$5:$F$90*((Headcount!$I$5:$I$90=0)+(Headcount!$I$5:$I$90=1)*$C$16)*(R$18&gt;=(Headcount!$E$5:$E$90+Headcount!$G$5:$G$90*$C$15)))/12*(1+Assumptions!$C$97)</f>
        <v>40158.3333333333</v>
      </c>
      <c r="S195" s="9" t="n">
        <f aca="false">SUMPRODUCT((Headcount!$C$5:$C$90="GA")*Headcount!$D$5:$D$90*Headcount!$F$5:$F$90*((Headcount!$I$5:$I$90=0)+(Headcount!$I$5:$I$90=1)*$C$16)*(S$18&gt;=(Headcount!$E$5:$E$90+Headcount!$G$5:$G$90*$C$15)))/12*(1+Assumptions!$C$97)</f>
        <v>40158.3333333333</v>
      </c>
      <c r="T195" s="9" t="n">
        <f aca="false">SUMPRODUCT((Headcount!$C$5:$C$90="GA")*Headcount!$D$5:$D$90*Headcount!$F$5:$F$90*((Headcount!$I$5:$I$90=0)+(Headcount!$I$5:$I$90=1)*$C$16)*(T$18&gt;=(Headcount!$E$5:$E$90+Headcount!$G$5:$G$90*$C$15)))/12*(1+Assumptions!$C$97)</f>
        <v>40158.3333333333</v>
      </c>
      <c r="U195" s="9" t="n">
        <f aca="false">SUMPRODUCT((Headcount!$C$5:$C$90="GA")*Headcount!$D$5:$D$90*Headcount!$F$5:$F$90*((Headcount!$I$5:$I$90=0)+(Headcount!$I$5:$I$90=1)*$C$16)*(U$18&gt;=(Headcount!$E$5:$E$90+Headcount!$G$5:$G$90*$C$15)))/12*(1+Assumptions!$C$97)</f>
        <v>40158.3333333333</v>
      </c>
      <c r="V195" s="9" t="n">
        <f aca="false">SUMPRODUCT((Headcount!$C$5:$C$90="GA")*Headcount!$D$5:$D$90*Headcount!$F$5:$F$90*((Headcount!$I$5:$I$90=0)+(Headcount!$I$5:$I$90=1)*$C$16)*(V$18&gt;=(Headcount!$E$5:$E$90+Headcount!$G$5:$G$90*$C$15)))/12*(1+Assumptions!$C$97)</f>
        <v>40158.3333333333</v>
      </c>
      <c r="W195" s="9" t="n">
        <f aca="false">SUMPRODUCT((Headcount!$C$5:$C$90="GA")*Headcount!$D$5:$D$90*Headcount!$F$5:$F$90*((Headcount!$I$5:$I$90=0)+(Headcount!$I$5:$I$90=1)*$C$16)*(W$18&gt;=(Headcount!$E$5:$E$90+Headcount!$G$5:$G$90*$C$15)))/12*(1+Assumptions!$C$97)</f>
        <v>40158.3333333333</v>
      </c>
      <c r="X195" s="9" t="n">
        <f aca="false">SUMPRODUCT((Headcount!$C$5:$C$90="GA")*Headcount!$D$5:$D$90*Headcount!$F$5:$F$90*((Headcount!$I$5:$I$90=0)+(Headcount!$I$5:$I$90=1)*$C$16)*(X$18&gt;=(Headcount!$E$5:$E$90+Headcount!$G$5:$G$90*$C$15)))/12*(1+Assumptions!$C$97)</f>
        <v>40158.3333333333</v>
      </c>
      <c r="Y195" s="9" t="n">
        <f aca="false">SUMPRODUCT((Headcount!$C$5:$C$90="GA")*Headcount!$D$5:$D$90*Headcount!$F$5:$F$90*((Headcount!$I$5:$I$90=0)+(Headcount!$I$5:$I$90=1)*$C$16)*(Y$18&gt;=(Headcount!$E$5:$E$90+Headcount!$G$5:$G$90*$C$15)))/12*(1+Assumptions!$C$97)</f>
        <v>40158.3333333333</v>
      </c>
      <c r="Z195" s="9" t="n">
        <f aca="false">SUMPRODUCT((Headcount!$C$5:$C$90="GA")*Headcount!$D$5:$D$90*Headcount!$F$5:$F$90*((Headcount!$I$5:$I$90=0)+(Headcount!$I$5:$I$90=1)*$C$16)*(Z$18&gt;=(Headcount!$E$5:$E$90+Headcount!$G$5:$G$90*$C$15)))/12*(1+Assumptions!$C$97)</f>
        <v>48800</v>
      </c>
      <c r="AA195" s="9" t="n">
        <f aca="false">SUMPRODUCT((Headcount!$C$5:$C$90="GA")*Headcount!$D$5:$D$90*Headcount!$F$5:$F$90*((Headcount!$I$5:$I$90=0)+(Headcount!$I$5:$I$90=1)*$C$16)*(AA$18&gt;=(Headcount!$E$5:$E$90+Headcount!$G$5:$G$90*$C$15)))/12*(1+Assumptions!$C$97)</f>
        <v>48800</v>
      </c>
      <c r="AB195" s="9" t="n">
        <f aca="false">SUMPRODUCT((Headcount!$C$5:$C$90="GA")*Headcount!$D$5:$D$90*Headcount!$F$5:$F$90*((Headcount!$I$5:$I$90=0)+(Headcount!$I$5:$I$90=1)*$C$16)*(AB$18&gt;=(Headcount!$E$5:$E$90+Headcount!$G$5:$G$90*$C$15)))/12*(1+Assumptions!$C$97)</f>
        <v>48800</v>
      </c>
      <c r="AC195" s="9" t="n">
        <f aca="false">SUMPRODUCT((Headcount!$C$5:$C$90="GA")*Headcount!$D$5:$D$90*Headcount!$F$5:$F$90*((Headcount!$I$5:$I$90=0)+(Headcount!$I$5:$I$90=1)*$C$16)*(AC$18&gt;=(Headcount!$E$5:$E$90+Headcount!$G$5:$G$90*$C$15)))/12*(1+Assumptions!$C$97)</f>
        <v>48800</v>
      </c>
      <c r="AD195" s="9" t="n">
        <f aca="false">SUMPRODUCT((Headcount!$C$5:$C$90="GA")*Headcount!$D$5:$D$90*Headcount!$F$5:$F$90*((Headcount!$I$5:$I$90=0)+(Headcount!$I$5:$I$90=1)*$C$16)*(AD$18&gt;=(Headcount!$E$5:$E$90+Headcount!$G$5:$G$90*$C$15)))/12*(1+Assumptions!$C$97)</f>
        <v>48800</v>
      </c>
      <c r="AE195" s="9" t="n">
        <f aca="false">SUMPRODUCT((Headcount!$C$5:$C$90="GA")*Headcount!$D$5:$D$90*Headcount!$F$5:$F$90*((Headcount!$I$5:$I$90=0)+(Headcount!$I$5:$I$90=1)*$C$16)*(AE$18&gt;=(Headcount!$E$5:$E$90+Headcount!$G$5:$G$90*$C$15)))/12*(1+Assumptions!$C$97)</f>
        <v>48800</v>
      </c>
      <c r="AF195" s="9" t="n">
        <f aca="false">SUMPRODUCT((Headcount!$C$5:$C$90="GA")*Headcount!$D$5:$D$90*Headcount!$F$5:$F$90*((Headcount!$I$5:$I$90=0)+(Headcount!$I$5:$I$90=1)*$C$16)*(AF$18&gt;=(Headcount!$E$5:$E$90+Headcount!$G$5:$G$90*$C$15)))/12*(1+Assumptions!$C$97)</f>
        <v>48800</v>
      </c>
      <c r="AG195" s="9" t="n">
        <f aca="false">SUMPRODUCT((Headcount!$C$5:$C$90="GA")*Headcount!$D$5:$D$90*Headcount!$F$5:$F$90*((Headcount!$I$5:$I$90=0)+(Headcount!$I$5:$I$90=1)*$C$16)*(AG$18&gt;=(Headcount!$E$5:$E$90+Headcount!$G$5:$G$90*$C$15)))/12*(1+Assumptions!$C$97)</f>
        <v>48800</v>
      </c>
      <c r="AH195" s="9" t="n">
        <f aca="false">SUMPRODUCT((Headcount!$C$5:$C$90="GA")*Headcount!$D$5:$D$90*Headcount!$F$5:$F$90*((Headcount!$I$5:$I$90=0)+(Headcount!$I$5:$I$90=1)*$C$16)*(AH$18&gt;=(Headcount!$E$5:$E$90+Headcount!$G$5:$G$90*$C$15)))/12*(1+Assumptions!$C$97)</f>
        <v>48800</v>
      </c>
      <c r="AI195" s="9" t="n">
        <f aca="false">SUMPRODUCT((Headcount!$C$5:$C$90="GA")*Headcount!$D$5:$D$90*Headcount!$F$5:$F$90*((Headcount!$I$5:$I$90=0)+(Headcount!$I$5:$I$90=1)*$C$16)*(AI$18&gt;=(Headcount!$E$5:$E$90+Headcount!$G$5:$G$90*$C$15)))/12*(1+Assumptions!$C$97)</f>
        <v>48800</v>
      </c>
      <c r="AJ195" s="9" t="n">
        <f aca="false">SUMPRODUCT((Headcount!$C$5:$C$90="GA")*Headcount!$D$5:$D$90*Headcount!$F$5:$F$90*((Headcount!$I$5:$I$90=0)+(Headcount!$I$5:$I$90=1)*$C$16)*(AJ$18&gt;=(Headcount!$E$5:$E$90+Headcount!$G$5:$G$90*$C$15)))/12*(1+Assumptions!$C$97)</f>
        <v>48800</v>
      </c>
      <c r="AK195" s="9" t="n">
        <f aca="false">SUMPRODUCT((Headcount!$C$5:$C$90="GA")*Headcount!$D$5:$D$90*Headcount!$F$5:$F$90*((Headcount!$I$5:$I$90=0)+(Headcount!$I$5:$I$90=1)*$C$16)*(AK$18&gt;=(Headcount!$E$5:$E$90+Headcount!$G$5:$G$90*$C$15)))/12*(1+Assumptions!$C$97)</f>
        <v>48800</v>
      </c>
      <c r="AL195" s="9" t="n">
        <f aca="false">SUMPRODUCT((Headcount!$C$5:$C$90="GA")*Headcount!$D$5:$D$90*Headcount!$F$5:$F$90*((Headcount!$I$5:$I$90=0)+(Headcount!$I$5:$I$90=1)*$C$16)*(AL$18&gt;=(Headcount!$E$5:$E$90+Headcount!$G$5:$G$90*$C$15)))/12*(1+Assumptions!$C$97)</f>
        <v>48800</v>
      </c>
      <c r="AN195" s="11" t="n">
        <f aca="false">SUM(C195:N195)</f>
        <v>233833.333333333</v>
      </c>
      <c r="AO195" s="11" t="n">
        <f aca="false">SUM(O195:Z195)</f>
        <v>466141.666666667</v>
      </c>
      <c r="AP195" s="11" t="n">
        <f aca="false">SUM(AA195:AL195)</f>
        <v>585600</v>
      </c>
    </row>
    <row r="196" customFormat="false" ht="15" hidden="false" customHeight="false" outlineLevel="0" collapsed="false">
      <c r="A196" s="0" t="s">
        <v>997</v>
      </c>
      <c r="B196" s="0" t="s">
        <v>618</v>
      </c>
      <c r="C196" s="13" t="n">
        <f aca="false">SUMPRODUCT(Headcount!$D$5:$D$90*((Headcount!$I$5:$I$90=0)+(Headcount!$I$5:$I$90=1)*$C$16)*(C$18&gt;=(Headcount!$E$5:$E$90+Headcount!$G$5:$G$90*$C$15)))</f>
        <v>4.4</v>
      </c>
      <c r="D196" s="13" t="n">
        <f aca="false">SUMPRODUCT(Headcount!$D$5:$D$90*((Headcount!$I$5:$I$90=0)+(Headcount!$I$5:$I$90=1)*$C$16)*(D$18&gt;=(Headcount!$E$5:$E$90+Headcount!$G$5:$G$90*$C$15)))</f>
        <v>4.4</v>
      </c>
      <c r="E196" s="13" t="n">
        <f aca="false">SUMPRODUCT(Headcount!$D$5:$D$90*((Headcount!$I$5:$I$90=0)+(Headcount!$I$5:$I$90=1)*$C$16)*(E$18&gt;=(Headcount!$E$5:$E$90+Headcount!$G$5:$G$90*$C$15)))</f>
        <v>5.4</v>
      </c>
      <c r="F196" s="13" t="n">
        <f aca="false">SUMPRODUCT(Headcount!$D$5:$D$90*((Headcount!$I$5:$I$90=0)+(Headcount!$I$5:$I$90=1)*$C$16)*(F$18&gt;=(Headcount!$E$5:$E$90+Headcount!$G$5:$G$90*$C$15)))</f>
        <v>6.4</v>
      </c>
      <c r="G196" s="13" t="n">
        <f aca="false">SUMPRODUCT(Headcount!$D$5:$D$90*((Headcount!$I$5:$I$90=0)+(Headcount!$I$5:$I$90=1)*$C$16)*(G$18&gt;=(Headcount!$E$5:$E$90+Headcount!$G$5:$G$90*$C$15)))</f>
        <v>8.4</v>
      </c>
      <c r="H196" s="13" t="n">
        <f aca="false">SUMPRODUCT(Headcount!$D$5:$D$90*((Headcount!$I$5:$I$90=0)+(Headcount!$I$5:$I$90=1)*$C$16)*(H$18&gt;=(Headcount!$E$5:$E$90+Headcount!$G$5:$G$90*$C$15)))</f>
        <v>10.4</v>
      </c>
      <c r="I196" s="13" t="n">
        <f aca="false">SUMPRODUCT(Headcount!$D$5:$D$90*((Headcount!$I$5:$I$90=0)+(Headcount!$I$5:$I$90=1)*$C$16)*(I$18&gt;=(Headcount!$E$5:$E$90+Headcount!$G$5:$G$90*$C$15)))</f>
        <v>11.4</v>
      </c>
      <c r="J196" s="13" t="n">
        <f aca="false">SUMPRODUCT(Headcount!$D$5:$D$90*((Headcount!$I$5:$I$90=0)+(Headcount!$I$5:$I$90=1)*$C$16)*(J$18&gt;=(Headcount!$E$5:$E$90+Headcount!$G$5:$G$90*$C$15)))</f>
        <v>11.4</v>
      </c>
      <c r="K196" s="13" t="n">
        <f aca="false">SUMPRODUCT(Headcount!$D$5:$D$90*((Headcount!$I$5:$I$90=0)+(Headcount!$I$5:$I$90=1)*$C$16)*(K$18&gt;=(Headcount!$E$5:$E$90+Headcount!$G$5:$G$90*$C$15)))</f>
        <v>14.4</v>
      </c>
      <c r="L196" s="13" t="n">
        <f aca="false">SUMPRODUCT(Headcount!$D$5:$D$90*((Headcount!$I$5:$I$90=0)+(Headcount!$I$5:$I$90=1)*$C$16)*(L$18&gt;=(Headcount!$E$5:$E$90+Headcount!$G$5:$G$90*$C$15)))</f>
        <v>15.4</v>
      </c>
      <c r="M196" s="13" t="n">
        <f aca="false">SUMPRODUCT(Headcount!$D$5:$D$90*((Headcount!$I$5:$I$90=0)+(Headcount!$I$5:$I$90=1)*$C$16)*(M$18&gt;=(Headcount!$E$5:$E$90+Headcount!$G$5:$G$90*$C$15)))</f>
        <v>17.4</v>
      </c>
      <c r="N196" s="13" t="n">
        <f aca="false">SUMPRODUCT(Headcount!$D$5:$D$90*((Headcount!$I$5:$I$90=0)+(Headcount!$I$5:$I$90=1)*$C$16)*(N$18&gt;=(Headcount!$E$5:$E$90+Headcount!$G$5:$G$90*$C$15)))</f>
        <v>18.4</v>
      </c>
      <c r="O196" s="13" t="n">
        <f aca="false">SUMPRODUCT(Headcount!$D$5:$D$90*((Headcount!$I$5:$I$90=0)+(Headcount!$I$5:$I$90=1)*$C$16)*(O$18&gt;=(Headcount!$E$5:$E$90+Headcount!$G$5:$G$90*$C$15)))</f>
        <v>20.4</v>
      </c>
      <c r="P196" s="13" t="n">
        <f aca="false">SUMPRODUCT(Headcount!$D$5:$D$90*((Headcount!$I$5:$I$90=0)+(Headcount!$I$5:$I$90=1)*$C$16)*(P$18&gt;=(Headcount!$E$5:$E$90+Headcount!$G$5:$G$90*$C$15)))</f>
        <v>21.4</v>
      </c>
      <c r="Q196" s="13" t="n">
        <f aca="false">SUMPRODUCT(Headcount!$D$5:$D$90*((Headcount!$I$5:$I$90=0)+(Headcount!$I$5:$I$90=1)*$C$16)*(Q$18&gt;=(Headcount!$E$5:$E$90+Headcount!$G$5:$G$90*$C$15)))</f>
        <v>23.4</v>
      </c>
      <c r="R196" s="13" t="n">
        <f aca="false">SUMPRODUCT(Headcount!$D$5:$D$90*((Headcount!$I$5:$I$90=0)+(Headcount!$I$5:$I$90=1)*$C$16)*(R$18&gt;=(Headcount!$E$5:$E$90+Headcount!$G$5:$G$90*$C$15)))</f>
        <v>23.4</v>
      </c>
      <c r="S196" s="13" t="n">
        <f aca="false">SUMPRODUCT(Headcount!$D$5:$D$90*((Headcount!$I$5:$I$90=0)+(Headcount!$I$5:$I$90=1)*$C$16)*(S$18&gt;=(Headcount!$E$5:$E$90+Headcount!$G$5:$G$90*$C$15)))</f>
        <v>23.4</v>
      </c>
      <c r="T196" s="13" t="n">
        <f aca="false">SUMPRODUCT(Headcount!$D$5:$D$90*((Headcount!$I$5:$I$90=0)+(Headcount!$I$5:$I$90=1)*$C$16)*(T$18&gt;=(Headcount!$E$5:$E$90+Headcount!$G$5:$G$90*$C$15)))</f>
        <v>25.4</v>
      </c>
      <c r="U196" s="13" t="n">
        <f aca="false">SUMPRODUCT(Headcount!$D$5:$D$90*((Headcount!$I$5:$I$90=0)+(Headcount!$I$5:$I$90=1)*$C$16)*(U$18&gt;=(Headcount!$E$5:$E$90+Headcount!$G$5:$G$90*$C$15)))</f>
        <v>26.4</v>
      </c>
      <c r="V196" s="13" t="n">
        <f aca="false">SUMPRODUCT(Headcount!$D$5:$D$90*((Headcount!$I$5:$I$90=0)+(Headcount!$I$5:$I$90=1)*$C$16)*(V$18&gt;=(Headcount!$E$5:$E$90+Headcount!$G$5:$G$90*$C$15)))</f>
        <v>28.4</v>
      </c>
      <c r="W196" s="13" t="n">
        <f aca="false">SUMPRODUCT(Headcount!$D$5:$D$90*((Headcount!$I$5:$I$90=0)+(Headcount!$I$5:$I$90=1)*$C$16)*(W$18&gt;=(Headcount!$E$5:$E$90+Headcount!$G$5:$G$90*$C$15)))</f>
        <v>28.4</v>
      </c>
      <c r="X196" s="13" t="n">
        <f aca="false">SUMPRODUCT(Headcount!$D$5:$D$90*((Headcount!$I$5:$I$90=0)+(Headcount!$I$5:$I$90=1)*$C$16)*(X$18&gt;=(Headcount!$E$5:$E$90+Headcount!$G$5:$G$90*$C$15)))</f>
        <v>30.4</v>
      </c>
      <c r="Y196" s="13" t="n">
        <f aca="false">SUMPRODUCT(Headcount!$D$5:$D$90*((Headcount!$I$5:$I$90=0)+(Headcount!$I$5:$I$90=1)*$C$16)*(Y$18&gt;=(Headcount!$E$5:$E$90+Headcount!$G$5:$G$90*$C$15)))</f>
        <v>30.4</v>
      </c>
      <c r="Z196" s="13" t="n">
        <f aca="false">SUMPRODUCT(Headcount!$D$5:$D$90*((Headcount!$I$5:$I$90=0)+(Headcount!$I$5:$I$90=1)*$C$16)*(Z$18&gt;=(Headcount!$E$5:$E$90+Headcount!$G$5:$G$90*$C$15)))</f>
        <v>31.4</v>
      </c>
      <c r="AA196" s="13" t="n">
        <f aca="false">SUMPRODUCT(Headcount!$D$5:$D$90*((Headcount!$I$5:$I$90=0)+(Headcount!$I$5:$I$90=1)*$C$16)*(AA$18&gt;=(Headcount!$E$5:$E$90+Headcount!$G$5:$G$90*$C$15)))</f>
        <v>32.4</v>
      </c>
      <c r="AB196" s="13" t="n">
        <f aca="false">SUMPRODUCT(Headcount!$D$5:$D$90*((Headcount!$I$5:$I$90=0)+(Headcount!$I$5:$I$90=1)*$C$16)*(AB$18&gt;=(Headcount!$E$5:$E$90+Headcount!$G$5:$G$90*$C$15)))</f>
        <v>34.4</v>
      </c>
      <c r="AC196" s="13" t="n">
        <f aca="false">SUMPRODUCT(Headcount!$D$5:$D$90*((Headcount!$I$5:$I$90=0)+(Headcount!$I$5:$I$90=1)*$C$16)*(AC$18&gt;=(Headcount!$E$5:$E$90+Headcount!$G$5:$G$90*$C$15)))</f>
        <v>34.4</v>
      </c>
      <c r="AD196" s="13" t="n">
        <f aca="false">SUMPRODUCT(Headcount!$D$5:$D$90*((Headcount!$I$5:$I$90=0)+(Headcount!$I$5:$I$90=1)*$C$16)*(AD$18&gt;=(Headcount!$E$5:$E$90+Headcount!$G$5:$G$90*$C$15)))</f>
        <v>36.4</v>
      </c>
      <c r="AE196" s="13" t="n">
        <f aca="false">SUMPRODUCT(Headcount!$D$5:$D$90*((Headcount!$I$5:$I$90=0)+(Headcount!$I$5:$I$90=1)*$C$16)*(AE$18&gt;=(Headcount!$E$5:$E$90+Headcount!$G$5:$G$90*$C$15)))</f>
        <v>36.4</v>
      </c>
      <c r="AF196" s="13" t="n">
        <f aca="false">SUMPRODUCT(Headcount!$D$5:$D$90*((Headcount!$I$5:$I$90=0)+(Headcount!$I$5:$I$90=1)*$C$16)*(AF$18&gt;=(Headcount!$E$5:$E$90+Headcount!$G$5:$G$90*$C$15)))</f>
        <v>37.4</v>
      </c>
      <c r="AG196" s="13" t="n">
        <f aca="false">SUMPRODUCT(Headcount!$D$5:$D$90*((Headcount!$I$5:$I$90=0)+(Headcount!$I$5:$I$90=1)*$C$16)*(AG$18&gt;=(Headcount!$E$5:$E$90+Headcount!$G$5:$G$90*$C$15)))</f>
        <v>38.4</v>
      </c>
      <c r="AH196" s="13" t="n">
        <f aca="false">SUMPRODUCT(Headcount!$D$5:$D$90*((Headcount!$I$5:$I$90=0)+(Headcount!$I$5:$I$90=1)*$C$16)*(AH$18&gt;=(Headcount!$E$5:$E$90+Headcount!$G$5:$G$90*$C$15)))</f>
        <v>39.4</v>
      </c>
      <c r="AI196" s="13" t="n">
        <f aca="false">SUMPRODUCT(Headcount!$D$5:$D$90*((Headcount!$I$5:$I$90=0)+(Headcount!$I$5:$I$90=1)*$C$16)*(AI$18&gt;=(Headcount!$E$5:$E$90+Headcount!$G$5:$G$90*$C$15)))</f>
        <v>40.4</v>
      </c>
      <c r="AJ196" s="13" t="n">
        <f aca="false">SUMPRODUCT(Headcount!$D$5:$D$90*((Headcount!$I$5:$I$90=0)+(Headcount!$I$5:$I$90=1)*$C$16)*(AJ$18&gt;=(Headcount!$E$5:$E$90+Headcount!$G$5:$G$90*$C$15)))</f>
        <v>40.4</v>
      </c>
      <c r="AK196" s="13" t="n">
        <f aca="false">SUMPRODUCT(Headcount!$D$5:$D$90*((Headcount!$I$5:$I$90=0)+(Headcount!$I$5:$I$90=1)*$C$16)*(AK$18&gt;=(Headcount!$E$5:$E$90+Headcount!$G$5:$G$90*$C$15)))</f>
        <v>40.4</v>
      </c>
      <c r="AL196" s="13" t="n">
        <f aca="false">SUMPRODUCT(Headcount!$D$5:$D$90*((Headcount!$I$5:$I$90=0)+(Headcount!$I$5:$I$90=1)*$C$16)*(AL$18&gt;=(Headcount!$E$5:$E$90+Headcount!$G$5:$G$90*$C$15)))</f>
        <v>40.4</v>
      </c>
      <c r="AN196" s="37" t="n">
        <f aca="false">N196</f>
        <v>18.4</v>
      </c>
      <c r="AO196" s="37" t="n">
        <f aca="false">Z196</f>
        <v>31.4</v>
      </c>
      <c r="AP196" s="37" t="n">
        <f aca="false">AL196</f>
        <v>40.4</v>
      </c>
    </row>
    <row r="197" customFormat="false" ht="15" hidden="false" customHeight="false" outlineLevel="0" collapsed="false">
      <c r="A197" s="0" t="s">
        <v>998</v>
      </c>
      <c r="B197" s="0" t="s">
        <v>618</v>
      </c>
      <c r="C197" s="13" t="n">
        <f aca="false">SUMPRODUCT(Headcount!$D$5:$D$90*(Headcount!$C$5:$C$90="IMPL")*((Headcount!$I$5:$I$90=0)+(Headcount!$I$5:$I$90=1)*$C$16)*(C$18&gt;=(Headcount!$E$5:$E$90+Headcount!$G$5:$G$90*$C$15)))</f>
        <v>0</v>
      </c>
      <c r="D197" s="13" t="n">
        <f aca="false">SUMPRODUCT(Headcount!$D$5:$D$90*(Headcount!$C$5:$C$90="IMPL")*((Headcount!$I$5:$I$90=0)+(Headcount!$I$5:$I$90=1)*$C$16)*(D$18&gt;=(Headcount!$E$5:$E$90+Headcount!$G$5:$G$90*$C$15)))</f>
        <v>0</v>
      </c>
      <c r="E197" s="13" t="n">
        <f aca="false">SUMPRODUCT(Headcount!$D$5:$D$90*(Headcount!$C$5:$C$90="IMPL")*((Headcount!$I$5:$I$90=0)+(Headcount!$I$5:$I$90=1)*$C$16)*(E$18&gt;=(Headcount!$E$5:$E$90+Headcount!$G$5:$G$90*$C$15)))</f>
        <v>0</v>
      </c>
      <c r="F197" s="13" t="n">
        <f aca="false">SUMPRODUCT(Headcount!$D$5:$D$90*(Headcount!$C$5:$C$90="IMPL")*((Headcount!$I$5:$I$90=0)+(Headcount!$I$5:$I$90=1)*$C$16)*(F$18&gt;=(Headcount!$E$5:$E$90+Headcount!$G$5:$G$90*$C$15)))</f>
        <v>0</v>
      </c>
      <c r="G197" s="13" t="n">
        <f aca="false">SUMPRODUCT(Headcount!$D$5:$D$90*(Headcount!$C$5:$C$90="IMPL")*((Headcount!$I$5:$I$90=0)+(Headcount!$I$5:$I$90=1)*$C$16)*(G$18&gt;=(Headcount!$E$5:$E$90+Headcount!$G$5:$G$90*$C$15)))</f>
        <v>1</v>
      </c>
      <c r="H197" s="13" t="n">
        <f aca="false">SUMPRODUCT(Headcount!$D$5:$D$90*(Headcount!$C$5:$C$90="IMPL")*((Headcount!$I$5:$I$90=0)+(Headcount!$I$5:$I$90=1)*$C$16)*(H$18&gt;=(Headcount!$E$5:$E$90+Headcount!$G$5:$G$90*$C$15)))</f>
        <v>1</v>
      </c>
      <c r="I197" s="13" t="n">
        <f aca="false">SUMPRODUCT(Headcount!$D$5:$D$90*(Headcount!$C$5:$C$90="IMPL")*((Headcount!$I$5:$I$90=0)+(Headcount!$I$5:$I$90=1)*$C$16)*(I$18&gt;=(Headcount!$E$5:$E$90+Headcount!$G$5:$G$90*$C$15)))</f>
        <v>1</v>
      </c>
      <c r="J197" s="13" t="n">
        <f aca="false">SUMPRODUCT(Headcount!$D$5:$D$90*(Headcount!$C$5:$C$90="IMPL")*((Headcount!$I$5:$I$90=0)+(Headcount!$I$5:$I$90=1)*$C$16)*(J$18&gt;=(Headcount!$E$5:$E$90+Headcount!$G$5:$G$90*$C$15)))</f>
        <v>1</v>
      </c>
      <c r="K197" s="13" t="n">
        <f aca="false">SUMPRODUCT(Headcount!$D$5:$D$90*(Headcount!$C$5:$C$90="IMPL")*((Headcount!$I$5:$I$90=0)+(Headcount!$I$5:$I$90=1)*$C$16)*(K$18&gt;=(Headcount!$E$5:$E$90+Headcount!$G$5:$G$90*$C$15)))</f>
        <v>1</v>
      </c>
      <c r="L197" s="13" t="n">
        <f aca="false">SUMPRODUCT(Headcount!$D$5:$D$90*(Headcount!$C$5:$C$90="IMPL")*((Headcount!$I$5:$I$90=0)+(Headcount!$I$5:$I$90=1)*$C$16)*(L$18&gt;=(Headcount!$E$5:$E$90+Headcount!$G$5:$G$90*$C$15)))</f>
        <v>1</v>
      </c>
      <c r="M197" s="13" t="n">
        <f aca="false">SUMPRODUCT(Headcount!$D$5:$D$90*(Headcount!$C$5:$C$90="IMPL")*((Headcount!$I$5:$I$90=0)+(Headcount!$I$5:$I$90=1)*$C$16)*(M$18&gt;=(Headcount!$E$5:$E$90+Headcount!$G$5:$G$90*$C$15)))</f>
        <v>2</v>
      </c>
      <c r="N197" s="13" t="n">
        <f aca="false">SUMPRODUCT(Headcount!$D$5:$D$90*(Headcount!$C$5:$C$90="IMPL")*((Headcount!$I$5:$I$90=0)+(Headcount!$I$5:$I$90=1)*$C$16)*(N$18&gt;=(Headcount!$E$5:$E$90+Headcount!$G$5:$G$90*$C$15)))</f>
        <v>2</v>
      </c>
      <c r="O197" s="13" t="n">
        <f aca="false">SUMPRODUCT(Headcount!$D$5:$D$90*(Headcount!$C$5:$C$90="IMPL")*((Headcount!$I$5:$I$90=0)+(Headcount!$I$5:$I$90=1)*$C$16)*(O$18&gt;=(Headcount!$E$5:$E$90+Headcount!$G$5:$G$90*$C$15)))</f>
        <v>2</v>
      </c>
      <c r="P197" s="13" t="n">
        <f aca="false">SUMPRODUCT(Headcount!$D$5:$D$90*(Headcount!$C$5:$C$90="IMPL")*((Headcount!$I$5:$I$90=0)+(Headcount!$I$5:$I$90=1)*$C$16)*(P$18&gt;=(Headcount!$E$5:$E$90+Headcount!$G$5:$G$90*$C$15)))</f>
        <v>2</v>
      </c>
      <c r="Q197" s="13" t="n">
        <f aca="false">SUMPRODUCT(Headcount!$D$5:$D$90*(Headcount!$C$5:$C$90="IMPL")*((Headcount!$I$5:$I$90=0)+(Headcount!$I$5:$I$90=1)*$C$16)*(Q$18&gt;=(Headcount!$E$5:$E$90+Headcount!$G$5:$G$90*$C$15)))</f>
        <v>3</v>
      </c>
      <c r="R197" s="13" t="n">
        <f aca="false">SUMPRODUCT(Headcount!$D$5:$D$90*(Headcount!$C$5:$C$90="IMPL")*((Headcount!$I$5:$I$90=0)+(Headcount!$I$5:$I$90=1)*$C$16)*(R$18&gt;=(Headcount!$E$5:$E$90+Headcount!$G$5:$G$90*$C$15)))</f>
        <v>3</v>
      </c>
      <c r="S197" s="13" t="n">
        <f aca="false">SUMPRODUCT(Headcount!$D$5:$D$90*(Headcount!$C$5:$C$90="IMPL")*((Headcount!$I$5:$I$90=0)+(Headcount!$I$5:$I$90=1)*$C$16)*(S$18&gt;=(Headcount!$E$5:$E$90+Headcount!$G$5:$G$90*$C$15)))</f>
        <v>3</v>
      </c>
      <c r="T197" s="13" t="n">
        <f aca="false">SUMPRODUCT(Headcount!$D$5:$D$90*(Headcount!$C$5:$C$90="IMPL")*((Headcount!$I$5:$I$90=0)+(Headcount!$I$5:$I$90=1)*$C$16)*(T$18&gt;=(Headcount!$E$5:$E$90+Headcount!$G$5:$G$90*$C$15)))</f>
        <v>3</v>
      </c>
      <c r="U197" s="13" t="n">
        <f aca="false">SUMPRODUCT(Headcount!$D$5:$D$90*(Headcount!$C$5:$C$90="IMPL")*((Headcount!$I$5:$I$90=0)+(Headcount!$I$5:$I$90=1)*$C$16)*(U$18&gt;=(Headcount!$E$5:$E$90+Headcount!$G$5:$G$90*$C$15)))</f>
        <v>4</v>
      </c>
      <c r="V197" s="13" t="n">
        <f aca="false">SUMPRODUCT(Headcount!$D$5:$D$90*(Headcount!$C$5:$C$90="IMPL")*((Headcount!$I$5:$I$90=0)+(Headcount!$I$5:$I$90=1)*$C$16)*(V$18&gt;=(Headcount!$E$5:$E$90+Headcount!$G$5:$G$90*$C$15)))</f>
        <v>4</v>
      </c>
      <c r="W197" s="13" t="n">
        <f aca="false">SUMPRODUCT(Headcount!$D$5:$D$90*(Headcount!$C$5:$C$90="IMPL")*((Headcount!$I$5:$I$90=0)+(Headcount!$I$5:$I$90=1)*$C$16)*(W$18&gt;=(Headcount!$E$5:$E$90+Headcount!$G$5:$G$90*$C$15)))</f>
        <v>4</v>
      </c>
      <c r="X197" s="13" t="n">
        <f aca="false">SUMPRODUCT(Headcount!$D$5:$D$90*(Headcount!$C$5:$C$90="IMPL")*((Headcount!$I$5:$I$90=0)+(Headcount!$I$5:$I$90=1)*$C$16)*(X$18&gt;=(Headcount!$E$5:$E$90+Headcount!$G$5:$G$90*$C$15)))</f>
        <v>5</v>
      </c>
      <c r="Y197" s="13" t="n">
        <f aca="false">SUMPRODUCT(Headcount!$D$5:$D$90*(Headcount!$C$5:$C$90="IMPL")*((Headcount!$I$5:$I$90=0)+(Headcount!$I$5:$I$90=1)*$C$16)*(Y$18&gt;=(Headcount!$E$5:$E$90+Headcount!$G$5:$G$90*$C$15)))</f>
        <v>5</v>
      </c>
      <c r="Z197" s="13" t="n">
        <f aca="false">SUMPRODUCT(Headcount!$D$5:$D$90*(Headcount!$C$5:$C$90="IMPL")*((Headcount!$I$5:$I$90=0)+(Headcount!$I$5:$I$90=1)*$C$16)*(Z$18&gt;=(Headcount!$E$5:$E$90+Headcount!$G$5:$G$90*$C$15)))</f>
        <v>5</v>
      </c>
      <c r="AA197" s="13" t="n">
        <f aca="false">SUMPRODUCT(Headcount!$D$5:$D$90*(Headcount!$C$5:$C$90="IMPL")*((Headcount!$I$5:$I$90=0)+(Headcount!$I$5:$I$90=1)*$C$16)*(AA$18&gt;=(Headcount!$E$5:$E$90+Headcount!$G$5:$G$90*$C$15)))</f>
        <v>6</v>
      </c>
      <c r="AB197" s="13" t="n">
        <f aca="false">SUMPRODUCT(Headcount!$D$5:$D$90*(Headcount!$C$5:$C$90="IMPL")*((Headcount!$I$5:$I$90=0)+(Headcount!$I$5:$I$90=1)*$C$16)*(AB$18&gt;=(Headcount!$E$5:$E$90+Headcount!$G$5:$G$90*$C$15)))</f>
        <v>6</v>
      </c>
      <c r="AC197" s="13" t="n">
        <f aca="false">SUMPRODUCT(Headcount!$D$5:$D$90*(Headcount!$C$5:$C$90="IMPL")*((Headcount!$I$5:$I$90=0)+(Headcount!$I$5:$I$90=1)*$C$16)*(AC$18&gt;=(Headcount!$E$5:$E$90+Headcount!$G$5:$G$90*$C$15)))</f>
        <v>6</v>
      </c>
      <c r="AD197" s="13" t="n">
        <f aca="false">SUMPRODUCT(Headcount!$D$5:$D$90*(Headcount!$C$5:$C$90="IMPL")*((Headcount!$I$5:$I$90=0)+(Headcount!$I$5:$I$90=1)*$C$16)*(AD$18&gt;=(Headcount!$E$5:$E$90+Headcount!$G$5:$G$90*$C$15)))</f>
        <v>7</v>
      </c>
      <c r="AE197" s="13" t="n">
        <f aca="false">SUMPRODUCT(Headcount!$D$5:$D$90*(Headcount!$C$5:$C$90="IMPL")*((Headcount!$I$5:$I$90=0)+(Headcount!$I$5:$I$90=1)*$C$16)*(AE$18&gt;=(Headcount!$E$5:$E$90+Headcount!$G$5:$G$90*$C$15)))</f>
        <v>7</v>
      </c>
      <c r="AF197" s="13" t="n">
        <f aca="false">SUMPRODUCT(Headcount!$D$5:$D$90*(Headcount!$C$5:$C$90="IMPL")*((Headcount!$I$5:$I$90=0)+(Headcount!$I$5:$I$90=1)*$C$16)*(AF$18&gt;=(Headcount!$E$5:$E$90+Headcount!$G$5:$G$90*$C$15)))</f>
        <v>7</v>
      </c>
      <c r="AG197" s="13" t="n">
        <f aca="false">SUMPRODUCT(Headcount!$D$5:$D$90*(Headcount!$C$5:$C$90="IMPL")*((Headcount!$I$5:$I$90=0)+(Headcount!$I$5:$I$90=1)*$C$16)*(AG$18&gt;=(Headcount!$E$5:$E$90+Headcount!$G$5:$G$90*$C$15)))</f>
        <v>8</v>
      </c>
      <c r="AH197" s="13" t="n">
        <f aca="false">SUMPRODUCT(Headcount!$D$5:$D$90*(Headcount!$C$5:$C$90="IMPL")*((Headcount!$I$5:$I$90=0)+(Headcount!$I$5:$I$90=1)*$C$16)*(AH$18&gt;=(Headcount!$E$5:$E$90+Headcount!$G$5:$G$90*$C$15)))</f>
        <v>8</v>
      </c>
      <c r="AI197" s="13" t="n">
        <f aca="false">SUMPRODUCT(Headcount!$D$5:$D$90*(Headcount!$C$5:$C$90="IMPL")*((Headcount!$I$5:$I$90=0)+(Headcount!$I$5:$I$90=1)*$C$16)*(AI$18&gt;=(Headcount!$E$5:$E$90+Headcount!$G$5:$G$90*$C$15)))</f>
        <v>8</v>
      </c>
      <c r="AJ197" s="13" t="n">
        <f aca="false">SUMPRODUCT(Headcount!$D$5:$D$90*(Headcount!$C$5:$C$90="IMPL")*((Headcount!$I$5:$I$90=0)+(Headcount!$I$5:$I$90=1)*$C$16)*(AJ$18&gt;=(Headcount!$E$5:$E$90+Headcount!$G$5:$G$90*$C$15)))</f>
        <v>8</v>
      </c>
      <c r="AK197" s="13" t="n">
        <f aca="false">SUMPRODUCT(Headcount!$D$5:$D$90*(Headcount!$C$5:$C$90="IMPL")*((Headcount!$I$5:$I$90=0)+(Headcount!$I$5:$I$90=1)*$C$16)*(AK$18&gt;=(Headcount!$E$5:$E$90+Headcount!$G$5:$G$90*$C$15)))</f>
        <v>8</v>
      </c>
      <c r="AL197" s="13" t="n">
        <f aca="false">SUMPRODUCT(Headcount!$D$5:$D$90*(Headcount!$C$5:$C$90="IMPL")*((Headcount!$I$5:$I$90=0)+(Headcount!$I$5:$I$90=1)*$C$16)*(AL$18&gt;=(Headcount!$E$5:$E$90+Headcount!$G$5:$G$90*$C$15)))</f>
        <v>8</v>
      </c>
      <c r="AN197" s="37" t="n">
        <f aca="false">N197</f>
        <v>2</v>
      </c>
      <c r="AO197" s="37" t="n">
        <f aca="false">Z197</f>
        <v>5</v>
      </c>
      <c r="AP197" s="37" t="n">
        <f aca="false">AL197</f>
        <v>8</v>
      </c>
    </row>
    <row r="198" customFormat="false" ht="15" hidden="false" customHeight="false" outlineLevel="0" collapsed="false">
      <c r="A198" s="0" t="s">
        <v>999</v>
      </c>
      <c r="B198" s="0" t="s">
        <v>618</v>
      </c>
      <c r="C198" s="13" t="n">
        <f aca="false">IF(C$18&gt;=2,SUMPRODUCT(Headcount!$D$5:$D$90*((Headcount!$I$5:$I$90=0)+(Headcount!$I$5:$I$90=1)*$C$16)*((Headcount!$E$5:$E$90+Headcount!$G$5:$G$90*$C$15)=C$18)),0)</f>
        <v>0</v>
      </c>
      <c r="D198" s="13" t="n">
        <f aca="false">IF(D$18&gt;=2,SUMPRODUCT(Headcount!$D$5:$D$90*((Headcount!$I$5:$I$90=0)+(Headcount!$I$5:$I$90=1)*$C$16)*((Headcount!$E$5:$E$90+Headcount!$G$5:$G$90*$C$15)=D$18)),0)</f>
        <v>0</v>
      </c>
      <c r="E198" s="13" t="n">
        <f aca="false">IF(E$18&gt;=2,SUMPRODUCT(Headcount!$D$5:$D$90*((Headcount!$I$5:$I$90=0)+(Headcount!$I$5:$I$90=1)*$C$16)*((Headcount!$E$5:$E$90+Headcount!$G$5:$G$90*$C$15)=E$18)),0)</f>
        <v>1</v>
      </c>
      <c r="F198" s="13" t="n">
        <f aca="false">IF(F$18&gt;=2,SUMPRODUCT(Headcount!$D$5:$D$90*((Headcount!$I$5:$I$90=0)+(Headcount!$I$5:$I$90=1)*$C$16)*((Headcount!$E$5:$E$90+Headcount!$G$5:$G$90*$C$15)=F$18)),0)</f>
        <v>1</v>
      </c>
      <c r="G198" s="13" t="n">
        <f aca="false">IF(G$18&gt;=2,SUMPRODUCT(Headcount!$D$5:$D$90*((Headcount!$I$5:$I$90=0)+(Headcount!$I$5:$I$90=1)*$C$16)*((Headcount!$E$5:$E$90+Headcount!$G$5:$G$90*$C$15)=G$18)),0)</f>
        <v>2</v>
      </c>
      <c r="H198" s="13" t="n">
        <f aca="false">IF(H$18&gt;=2,SUMPRODUCT(Headcount!$D$5:$D$90*((Headcount!$I$5:$I$90=0)+(Headcount!$I$5:$I$90=1)*$C$16)*((Headcount!$E$5:$E$90+Headcount!$G$5:$G$90*$C$15)=H$18)),0)</f>
        <v>2</v>
      </c>
      <c r="I198" s="13" t="n">
        <f aca="false">IF(I$18&gt;=2,SUMPRODUCT(Headcount!$D$5:$D$90*((Headcount!$I$5:$I$90=0)+(Headcount!$I$5:$I$90=1)*$C$16)*((Headcount!$E$5:$E$90+Headcount!$G$5:$G$90*$C$15)=I$18)),0)</f>
        <v>1</v>
      </c>
      <c r="J198" s="13" t="n">
        <f aca="false">IF(J$18&gt;=2,SUMPRODUCT(Headcount!$D$5:$D$90*((Headcount!$I$5:$I$90=0)+(Headcount!$I$5:$I$90=1)*$C$16)*((Headcount!$E$5:$E$90+Headcount!$G$5:$G$90*$C$15)=J$18)),0)</f>
        <v>0</v>
      </c>
      <c r="K198" s="13" t="n">
        <f aca="false">IF(K$18&gt;=2,SUMPRODUCT(Headcount!$D$5:$D$90*((Headcount!$I$5:$I$90=0)+(Headcount!$I$5:$I$90=1)*$C$16)*((Headcount!$E$5:$E$90+Headcount!$G$5:$G$90*$C$15)=K$18)),0)</f>
        <v>3</v>
      </c>
      <c r="L198" s="13" t="n">
        <f aca="false">IF(L$18&gt;=2,SUMPRODUCT(Headcount!$D$5:$D$90*((Headcount!$I$5:$I$90=0)+(Headcount!$I$5:$I$90=1)*$C$16)*((Headcount!$E$5:$E$90+Headcount!$G$5:$G$90*$C$15)=L$18)),0)</f>
        <v>1</v>
      </c>
      <c r="M198" s="13" t="n">
        <f aca="false">IF(M$18&gt;=2,SUMPRODUCT(Headcount!$D$5:$D$90*((Headcount!$I$5:$I$90=0)+(Headcount!$I$5:$I$90=1)*$C$16)*((Headcount!$E$5:$E$90+Headcount!$G$5:$G$90*$C$15)=M$18)),0)</f>
        <v>2</v>
      </c>
      <c r="N198" s="13" t="n">
        <f aca="false">IF(N$18&gt;=2,SUMPRODUCT(Headcount!$D$5:$D$90*((Headcount!$I$5:$I$90=0)+(Headcount!$I$5:$I$90=1)*$C$16)*((Headcount!$E$5:$E$90+Headcount!$G$5:$G$90*$C$15)=N$18)),0)</f>
        <v>1</v>
      </c>
      <c r="O198" s="13" t="n">
        <f aca="false">IF(O$18&gt;=2,SUMPRODUCT(Headcount!$D$5:$D$90*((Headcount!$I$5:$I$90=0)+(Headcount!$I$5:$I$90=1)*$C$16)*((Headcount!$E$5:$E$90+Headcount!$G$5:$G$90*$C$15)=O$18)),0)</f>
        <v>2</v>
      </c>
      <c r="P198" s="13" t="n">
        <f aca="false">IF(P$18&gt;=2,SUMPRODUCT(Headcount!$D$5:$D$90*((Headcount!$I$5:$I$90=0)+(Headcount!$I$5:$I$90=1)*$C$16)*((Headcount!$E$5:$E$90+Headcount!$G$5:$G$90*$C$15)=P$18)),0)</f>
        <v>1</v>
      </c>
      <c r="Q198" s="13" t="n">
        <f aca="false">IF(Q$18&gt;=2,SUMPRODUCT(Headcount!$D$5:$D$90*((Headcount!$I$5:$I$90=0)+(Headcount!$I$5:$I$90=1)*$C$16)*((Headcount!$E$5:$E$90+Headcount!$G$5:$G$90*$C$15)=Q$18)),0)</f>
        <v>2</v>
      </c>
      <c r="R198" s="13" t="n">
        <f aca="false">IF(R$18&gt;=2,SUMPRODUCT(Headcount!$D$5:$D$90*((Headcount!$I$5:$I$90=0)+(Headcount!$I$5:$I$90=1)*$C$16)*((Headcount!$E$5:$E$90+Headcount!$G$5:$G$90*$C$15)=R$18)),0)</f>
        <v>0</v>
      </c>
      <c r="S198" s="13" t="n">
        <f aca="false">IF(S$18&gt;=2,SUMPRODUCT(Headcount!$D$5:$D$90*((Headcount!$I$5:$I$90=0)+(Headcount!$I$5:$I$90=1)*$C$16)*((Headcount!$E$5:$E$90+Headcount!$G$5:$G$90*$C$15)=S$18)),0)</f>
        <v>0</v>
      </c>
      <c r="T198" s="13" t="n">
        <f aca="false">IF(T$18&gt;=2,SUMPRODUCT(Headcount!$D$5:$D$90*((Headcount!$I$5:$I$90=0)+(Headcount!$I$5:$I$90=1)*$C$16)*((Headcount!$E$5:$E$90+Headcount!$G$5:$G$90*$C$15)=T$18)),0)</f>
        <v>2</v>
      </c>
      <c r="U198" s="13" t="n">
        <f aca="false">IF(U$18&gt;=2,SUMPRODUCT(Headcount!$D$5:$D$90*((Headcount!$I$5:$I$90=0)+(Headcount!$I$5:$I$90=1)*$C$16)*((Headcount!$E$5:$E$90+Headcount!$G$5:$G$90*$C$15)=U$18)),0)</f>
        <v>1</v>
      </c>
      <c r="V198" s="13" t="n">
        <f aca="false">IF(V$18&gt;=2,SUMPRODUCT(Headcount!$D$5:$D$90*((Headcount!$I$5:$I$90=0)+(Headcount!$I$5:$I$90=1)*$C$16)*((Headcount!$E$5:$E$90+Headcount!$G$5:$G$90*$C$15)=V$18)),0)</f>
        <v>2</v>
      </c>
      <c r="W198" s="13" t="n">
        <f aca="false">IF(W$18&gt;=2,SUMPRODUCT(Headcount!$D$5:$D$90*((Headcount!$I$5:$I$90=0)+(Headcount!$I$5:$I$90=1)*$C$16)*((Headcount!$E$5:$E$90+Headcount!$G$5:$G$90*$C$15)=W$18)),0)</f>
        <v>0</v>
      </c>
      <c r="X198" s="13" t="n">
        <f aca="false">IF(X$18&gt;=2,SUMPRODUCT(Headcount!$D$5:$D$90*((Headcount!$I$5:$I$90=0)+(Headcount!$I$5:$I$90=1)*$C$16)*((Headcount!$E$5:$E$90+Headcount!$G$5:$G$90*$C$15)=X$18)),0)</f>
        <v>2</v>
      </c>
      <c r="Y198" s="13" t="n">
        <f aca="false">IF(Y$18&gt;=2,SUMPRODUCT(Headcount!$D$5:$D$90*((Headcount!$I$5:$I$90=0)+(Headcount!$I$5:$I$90=1)*$C$16)*((Headcount!$E$5:$E$90+Headcount!$G$5:$G$90*$C$15)=Y$18)),0)</f>
        <v>0</v>
      </c>
      <c r="Z198" s="13" t="n">
        <f aca="false">IF(Z$18&gt;=2,SUMPRODUCT(Headcount!$D$5:$D$90*((Headcount!$I$5:$I$90=0)+(Headcount!$I$5:$I$90=1)*$C$16)*((Headcount!$E$5:$E$90+Headcount!$G$5:$G$90*$C$15)=Z$18)),0)</f>
        <v>1</v>
      </c>
      <c r="AA198" s="13" t="n">
        <f aca="false">IF(AA$18&gt;=2,SUMPRODUCT(Headcount!$D$5:$D$90*((Headcount!$I$5:$I$90=0)+(Headcount!$I$5:$I$90=1)*$C$16)*((Headcount!$E$5:$E$90+Headcount!$G$5:$G$90*$C$15)=AA$18)),0)</f>
        <v>1</v>
      </c>
      <c r="AB198" s="13" t="n">
        <f aca="false">IF(AB$18&gt;=2,SUMPRODUCT(Headcount!$D$5:$D$90*((Headcount!$I$5:$I$90=0)+(Headcount!$I$5:$I$90=1)*$C$16)*((Headcount!$E$5:$E$90+Headcount!$G$5:$G$90*$C$15)=AB$18)),0)</f>
        <v>2</v>
      </c>
      <c r="AC198" s="13" t="n">
        <f aca="false">IF(AC$18&gt;=2,SUMPRODUCT(Headcount!$D$5:$D$90*((Headcount!$I$5:$I$90=0)+(Headcount!$I$5:$I$90=1)*$C$16)*((Headcount!$E$5:$E$90+Headcount!$G$5:$G$90*$C$15)=AC$18)),0)</f>
        <v>0</v>
      </c>
      <c r="AD198" s="13" t="n">
        <f aca="false">IF(AD$18&gt;=2,SUMPRODUCT(Headcount!$D$5:$D$90*((Headcount!$I$5:$I$90=0)+(Headcount!$I$5:$I$90=1)*$C$16)*((Headcount!$E$5:$E$90+Headcount!$G$5:$G$90*$C$15)=AD$18)),0)</f>
        <v>2</v>
      </c>
      <c r="AE198" s="13" t="n">
        <f aca="false">IF(AE$18&gt;=2,SUMPRODUCT(Headcount!$D$5:$D$90*((Headcount!$I$5:$I$90=0)+(Headcount!$I$5:$I$90=1)*$C$16)*((Headcount!$E$5:$E$90+Headcount!$G$5:$G$90*$C$15)=AE$18)),0)</f>
        <v>0</v>
      </c>
      <c r="AF198" s="13" t="n">
        <f aca="false">IF(AF$18&gt;=2,SUMPRODUCT(Headcount!$D$5:$D$90*((Headcount!$I$5:$I$90=0)+(Headcount!$I$5:$I$90=1)*$C$16)*((Headcount!$E$5:$E$90+Headcount!$G$5:$G$90*$C$15)=AF$18)),0)</f>
        <v>1</v>
      </c>
      <c r="AG198" s="13" t="n">
        <f aca="false">IF(AG$18&gt;=2,SUMPRODUCT(Headcount!$D$5:$D$90*((Headcount!$I$5:$I$90=0)+(Headcount!$I$5:$I$90=1)*$C$16)*((Headcount!$E$5:$E$90+Headcount!$G$5:$G$90*$C$15)=AG$18)),0)</f>
        <v>1</v>
      </c>
      <c r="AH198" s="13" t="n">
        <f aca="false">IF(AH$18&gt;=2,SUMPRODUCT(Headcount!$D$5:$D$90*((Headcount!$I$5:$I$90=0)+(Headcount!$I$5:$I$90=1)*$C$16)*((Headcount!$E$5:$E$90+Headcount!$G$5:$G$90*$C$15)=AH$18)),0)</f>
        <v>1</v>
      </c>
      <c r="AI198" s="13" t="n">
        <f aca="false">IF(AI$18&gt;=2,SUMPRODUCT(Headcount!$D$5:$D$90*((Headcount!$I$5:$I$90=0)+(Headcount!$I$5:$I$90=1)*$C$16)*((Headcount!$E$5:$E$90+Headcount!$G$5:$G$90*$C$15)=AI$18)),0)</f>
        <v>1</v>
      </c>
      <c r="AJ198" s="13" t="n">
        <f aca="false">IF(AJ$18&gt;=2,SUMPRODUCT(Headcount!$D$5:$D$90*((Headcount!$I$5:$I$90=0)+(Headcount!$I$5:$I$90=1)*$C$16)*((Headcount!$E$5:$E$90+Headcount!$G$5:$G$90*$C$15)=AJ$18)),0)</f>
        <v>0</v>
      </c>
      <c r="AK198" s="13" t="n">
        <f aca="false">IF(AK$18&gt;=2,SUMPRODUCT(Headcount!$D$5:$D$90*((Headcount!$I$5:$I$90=0)+(Headcount!$I$5:$I$90=1)*$C$16)*((Headcount!$E$5:$E$90+Headcount!$G$5:$G$90*$C$15)=AK$18)),0)</f>
        <v>0</v>
      </c>
      <c r="AL198" s="13" t="n">
        <f aca="false">IF(AL$18&gt;=2,SUMPRODUCT(Headcount!$D$5:$D$90*((Headcount!$I$5:$I$90=0)+(Headcount!$I$5:$I$90=1)*$C$16)*((Headcount!$E$5:$E$90+Headcount!$G$5:$G$90*$C$15)=AL$18)),0)</f>
        <v>0</v>
      </c>
      <c r="AN198" s="37" t="n">
        <f aca="false">SUM(C198:N198)</f>
        <v>14</v>
      </c>
      <c r="AO198" s="37" t="n">
        <f aca="false">SUM(O198:Z198)</f>
        <v>13</v>
      </c>
      <c r="AP198" s="37" t="n">
        <f aca="false">SUM(AA198:AL198)</f>
        <v>9</v>
      </c>
    </row>
    <row r="199" customFormat="false" ht="15" hidden="false" customHeight="false" outlineLevel="0" collapsed="false">
      <c r="A199" s="0" t="s">
        <v>1000</v>
      </c>
      <c r="B199" s="0" t="s">
        <v>230</v>
      </c>
      <c r="C199" s="9" t="n">
        <f aca="false">((((((Assumptions!$C$138+Assumptions!$C$139)+Assumptions!$C$140)+Assumptions!$C$141)+Assumptions!$C$142)+Assumptions!$C$143)/12)</f>
        <v>9833.33333333333</v>
      </c>
      <c r="D199" s="9" t="n">
        <f aca="false">((((((Assumptions!$C$138+Assumptions!$C$139)+Assumptions!$C$140)+Assumptions!$C$141)+Assumptions!$C$142)+Assumptions!$C$143)/12)</f>
        <v>9833.33333333333</v>
      </c>
      <c r="E199" s="9" t="n">
        <f aca="false">((((((Assumptions!$C$138+Assumptions!$C$139)+Assumptions!$C$140)+Assumptions!$C$141)+Assumptions!$C$142)+Assumptions!$C$143)/12)</f>
        <v>9833.33333333333</v>
      </c>
      <c r="F199" s="9" t="n">
        <f aca="false">((((((Assumptions!$C$138+Assumptions!$C$139)+Assumptions!$C$140)+Assumptions!$C$141)+Assumptions!$C$142)+Assumptions!$C$143)/12)</f>
        <v>9833.33333333333</v>
      </c>
      <c r="G199" s="9" t="n">
        <f aca="false">((((((Assumptions!$C$138+Assumptions!$C$139)+Assumptions!$C$140)+Assumptions!$C$141)+Assumptions!$C$142)+Assumptions!$C$143)/12)</f>
        <v>9833.33333333333</v>
      </c>
      <c r="H199" s="9" t="n">
        <f aca="false">((((((Assumptions!$C$138+Assumptions!$C$139)+Assumptions!$C$140)+Assumptions!$C$141)+Assumptions!$C$142)+Assumptions!$C$143)/12)</f>
        <v>9833.33333333333</v>
      </c>
      <c r="I199" s="9" t="n">
        <f aca="false">((((((Assumptions!$C$138+Assumptions!$C$139)+Assumptions!$C$140)+Assumptions!$C$141)+Assumptions!$C$142)+Assumptions!$C$143)/12)</f>
        <v>9833.33333333333</v>
      </c>
      <c r="J199" s="9" t="n">
        <f aca="false">((((((Assumptions!$C$138+Assumptions!$C$139)+Assumptions!$C$140)+Assumptions!$C$141)+Assumptions!$C$142)+Assumptions!$C$143)/12)</f>
        <v>9833.33333333333</v>
      </c>
      <c r="K199" s="9" t="n">
        <f aca="false">((((((Assumptions!$C$138+Assumptions!$C$139)+Assumptions!$C$140)+Assumptions!$C$141)+Assumptions!$C$142)+Assumptions!$C$143)/12)</f>
        <v>9833.33333333333</v>
      </c>
      <c r="L199" s="9" t="n">
        <f aca="false">((((((Assumptions!$C$138+Assumptions!$C$139)+Assumptions!$C$140)+Assumptions!$C$141)+Assumptions!$C$142)+Assumptions!$C$143)/12)</f>
        <v>9833.33333333333</v>
      </c>
      <c r="M199" s="9" t="n">
        <f aca="false">((((((Assumptions!$C$138+Assumptions!$C$139)+Assumptions!$C$140)+Assumptions!$C$141)+Assumptions!$C$142)+Assumptions!$C$143)/12)</f>
        <v>9833.33333333333</v>
      </c>
      <c r="N199" s="9" t="n">
        <f aca="false">((((((Assumptions!$C$138+Assumptions!$C$139)+Assumptions!$C$140)+Assumptions!$C$141)+Assumptions!$C$142)+Assumptions!$C$143)/12)</f>
        <v>9833.33333333333</v>
      </c>
      <c r="O199" s="9" t="n">
        <f aca="false">((((((Assumptions!$D$138+Assumptions!$D$139)+Assumptions!$D$140)+Assumptions!$D$141)+Assumptions!$D$142)+Assumptions!$D$143)/12)</f>
        <v>14166.6666666667</v>
      </c>
      <c r="P199" s="9" t="n">
        <f aca="false">((((((Assumptions!$D$138+Assumptions!$D$139)+Assumptions!$D$140)+Assumptions!$D$141)+Assumptions!$D$142)+Assumptions!$D$143)/12)</f>
        <v>14166.6666666667</v>
      </c>
      <c r="Q199" s="9" t="n">
        <f aca="false">((((((Assumptions!$D$138+Assumptions!$D$139)+Assumptions!$D$140)+Assumptions!$D$141)+Assumptions!$D$142)+Assumptions!$D$143)/12)</f>
        <v>14166.6666666667</v>
      </c>
      <c r="R199" s="9" t="n">
        <f aca="false">((((((Assumptions!$D$138+Assumptions!$D$139)+Assumptions!$D$140)+Assumptions!$D$141)+Assumptions!$D$142)+Assumptions!$D$143)/12)</f>
        <v>14166.6666666667</v>
      </c>
      <c r="S199" s="9" t="n">
        <f aca="false">((((((Assumptions!$D$138+Assumptions!$D$139)+Assumptions!$D$140)+Assumptions!$D$141)+Assumptions!$D$142)+Assumptions!$D$143)/12)</f>
        <v>14166.6666666667</v>
      </c>
      <c r="T199" s="9" t="n">
        <f aca="false">((((((Assumptions!$D$138+Assumptions!$D$139)+Assumptions!$D$140)+Assumptions!$D$141)+Assumptions!$D$142)+Assumptions!$D$143)/12)</f>
        <v>14166.6666666667</v>
      </c>
      <c r="U199" s="9" t="n">
        <f aca="false">((((((Assumptions!$D$138+Assumptions!$D$139)+Assumptions!$D$140)+Assumptions!$D$141)+Assumptions!$D$142)+Assumptions!$D$143)/12)</f>
        <v>14166.6666666667</v>
      </c>
      <c r="V199" s="9" t="n">
        <f aca="false">((((((Assumptions!$D$138+Assumptions!$D$139)+Assumptions!$D$140)+Assumptions!$D$141)+Assumptions!$D$142)+Assumptions!$D$143)/12)</f>
        <v>14166.6666666667</v>
      </c>
      <c r="W199" s="9" t="n">
        <f aca="false">((((((Assumptions!$D$138+Assumptions!$D$139)+Assumptions!$D$140)+Assumptions!$D$141)+Assumptions!$D$142)+Assumptions!$D$143)/12)</f>
        <v>14166.6666666667</v>
      </c>
      <c r="X199" s="9" t="n">
        <f aca="false">((((((Assumptions!$D$138+Assumptions!$D$139)+Assumptions!$D$140)+Assumptions!$D$141)+Assumptions!$D$142)+Assumptions!$D$143)/12)</f>
        <v>14166.6666666667</v>
      </c>
      <c r="Y199" s="9" t="n">
        <f aca="false">((((((Assumptions!$D$138+Assumptions!$D$139)+Assumptions!$D$140)+Assumptions!$D$141)+Assumptions!$D$142)+Assumptions!$D$143)/12)</f>
        <v>14166.6666666667</v>
      </c>
      <c r="Z199" s="9" t="n">
        <f aca="false">((((((Assumptions!$D$138+Assumptions!$D$139)+Assumptions!$D$140)+Assumptions!$D$141)+Assumptions!$D$142)+Assumptions!$D$143)/12)</f>
        <v>14166.6666666667</v>
      </c>
      <c r="AA199" s="9" t="n">
        <f aca="false">((((((Assumptions!$E$138+Assumptions!$E$139)+Assumptions!$E$140)+Assumptions!$E$141)+Assumptions!$E$142)+Assumptions!$E$143)/12)</f>
        <v>19583.3333333333</v>
      </c>
      <c r="AB199" s="9" t="n">
        <f aca="false">((((((Assumptions!$E$138+Assumptions!$E$139)+Assumptions!$E$140)+Assumptions!$E$141)+Assumptions!$E$142)+Assumptions!$E$143)/12)</f>
        <v>19583.3333333333</v>
      </c>
      <c r="AC199" s="9" t="n">
        <f aca="false">((((((Assumptions!$E$138+Assumptions!$E$139)+Assumptions!$E$140)+Assumptions!$E$141)+Assumptions!$E$142)+Assumptions!$E$143)/12)</f>
        <v>19583.3333333333</v>
      </c>
      <c r="AD199" s="9" t="n">
        <f aca="false">((((((Assumptions!$E$138+Assumptions!$E$139)+Assumptions!$E$140)+Assumptions!$E$141)+Assumptions!$E$142)+Assumptions!$E$143)/12)</f>
        <v>19583.3333333333</v>
      </c>
      <c r="AE199" s="9" t="n">
        <f aca="false">((((((Assumptions!$E$138+Assumptions!$E$139)+Assumptions!$E$140)+Assumptions!$E$141)+Assumptions!$E$142)+Assumptions!$E$143)/12)</f>
        <v>19583.3333333333</v>
      </c>
      <c r="AF199" s="9" t="n">
        <f aca="false">((((((Assumptions!$E$138+Assumptions!$E$139)+Assumptions!$E$140)+Assumptions!$E$141)+Assumptions!$E$142)+Assumptions!$E$143)/12)</f>
        <v>19583.3333333333</v>
      </c>
      <c r="AG199" s="9" t="n">
        <f aca="false">((((((Assumptions!$E$138+Assumptions!$E$139)+Assumptions!$E$140)+Assumptions!$E$141)+Assumptions!$E$142)+Assumptions!$E$143)/12)</f>
        <v>19583.3333333333</v>
      </c>
      <c r="AH199" s="9" t="n">
        <f aca="false">((((((Assumptions!$E$138+Assumptions!$E$139)+Assumptions!$E$140)+Assumptions!$E$141)+Assumptions!$E$142)+Assumptions!$E$143)/12)</f>
        <v>19583.3333333333</v>
      </c>
      <c r="AI199" s="9" t="n">
        <f aca="false">((((((Assumptions!$E$138+Assumptions!$E$139)+Assumptions!$E$140)+Assumptions!$E$141)+Assumptions!$E$142)+Assumptions!$E$143)/12)</f>
        <v>19583.3333333333</v>
      </c>
      <c r="AJ199" s="9" t="n">
        <f aca="false">((((((Assumptions!$E$138+Assumptions!$E$139)+Assumptions!$E$140)+Assumptions!$E$141)+Assumptions!$E$142)+Assumptions!$E$143)/12)</f>
        <v>19583.3333333333</v>
      </c>
      <c r="AK199" s="9" t="n">
        <f aca="false">((((((Assumptions!$E$138+Assumptions!$E$139)+Assumptions!$E$140)+Assumptions!$E$141)+Assumptions!$E$142)+Assumptions!$E$143)/12)</f>
        <v>19583.3333333333</v>
      </c>
      <c r="AL199" s="9" t="n">
        <f aca="false">((((((Assumptions!$E$138+Assumptions!$E$139)+Assumptions!$E$140)+Assumptions!$E$141)+Assumptions!$E$142)+Assumptions!$E$143)/12)</f>
        <v>19583.3333333333</v>
      </c>
      <c r="AN199" s="11" t="n">
        <f aca="false">SUM(C199:N199)</f>
        <v>118000</v>
      </c>
      <c r="AO199" s="11" t="n">
        <f aca="false">SUM(O199:Z199)</f>
        <v>170000</v>
      </c>
      <c r="AP199" s="11" t="n">
        <f aca="false">SUM(AA199:AL199)</f>
        <v>235000</v>
      </c>
    </row>
    <row r="200" customFormat="false" ht="15" hidden="false" customHeight="false" outlineLevel="0" collapsed="false">
      <c r="A200" s="0" t="s">
        <v>36</v>
      </c>
      <c r="B200" s="0" t="s">
        <v>230</v>
      </c>
      <c r="C200" s="9" t="n">
        <f aca="false">(((Assumptions!$C$145+Assumptions!$C$146)+Assumptions!$C$147)/12)</f>
        <v>7916.66666666667</v>
      </c>
      <c r="D200" s="9" t="n">
        <f aca="false">(((Assumptions!$C$145+Assumptions!$C$146)+Assumptions!$C$147)/12)</f>
        <v>7916.66666666667</v>
      </c>
      <c r="E200" s="9" t="n">
        <f aca="false">(((Assumptions!$C$145+Assumptions!$C$146)+Assumptions!$C$147)/12)</f>
        <v>7916.66666666667</v>
      </c>
      <c r="F200" s="9" t="n">
        <f aca="false">(((Assumptions!$C$145+Assumptions!$C$146)+Assumptions!$C$147)/12)</f>
        <v>7916.66666666667</v>
      </c>
      <c r="G200" s="9" t="n">
        <f aca="false">(((Assumptions!$C$145+Assumptions!$C$146)+Assumptions!$C$147)/12)</f>
        <v>7916.66666666667</v>
      </c>
      <c r="H200" s="9" t="n">
        <f aca="false">(((Assumptions!$C$145+Assumptions!$C$146)+Assumptions!$C$147)/12)</f>
        <v>7916.66666666667</v>
      </c>
      <c r="I200" s="9" t="n">
        <f aca="false">(((Assumptions!$C$145+Assumptions!$C$146)+Assumptions!$C$147)/12)</f>
        <v>7916.66666666667</v>
      </c>
      <c r="J200" s="9" t="n">
        <f aca="false">(((Assumptions!$C$145+Assumptions!$C$146)+Assumptions!$C$147)/12)</f>
        <v>7916.66666666667</v>
      </c>
      <c r="K200" s="9" t="n">
        <f aca="false">(((Assumptions!$C$145+Assumptions!$C$146)+Assumptions!$C$147)/12)</f>
        <v>7916.66666666667</v>
      </c>
      <c r="L200" s="9" t="n">
        <f aca="false">(((Assumptions!$C$145+Assumptions!$C$146)+Assumptions!$C$147)/12)</f>
        <v>7916.66666666667</v>
      </c>
      <c r="M200" s="9" t="n">
        <f aca="false">(((Assumptions!$C$145+Assumptions!$C$146)+Assumptions!$C$147)/12)</f>
        <v>7916.66666666667</v>
      </c>
      <c r="N200" s="9" t="n">
        <f aca="false">(((Assumptions!$C$145+Assumptions!$C$146)+Assumptions!$C$147)/12)</f>
        <v>7916.66666666667</v>
      </c>
      <c r="O200" s="9" t="n">
        <f aca="false">(((Assumptions!$D$145+Assumptions!$D$146)+Assumptions!$D$147)/12)</f>
        <v>9333.33333333333</v>
      </c>
      <c r="P200" s="9" t="n">
        <f aca="false">(((Assumptions!$D$145+Assumptions!$D$146)+Assumptions!$D$147)/12)</f>
        <v>9333.33333333333</v>
      </c>
      <c r="Q200" s="9" t="n">
        <f aca="false">(((Assumptions!$D$145+Assumptions!$D$146)+Assumptions!$D$147)/12)</f>
        <v>9333.33333333333</v>
      </c>
      <c r="R200" s="9" t="n">
        <f aca="false">(((Assumptions!$D$145+Assumptions!$D$146)+Assumptions!$D$147)/12)</f>
        <v>9333.33333333333</v>
      </c>
      <c r="S200" s="9" t="n">
        <f aca="false">(((Assumptions!$D$145+Assumptions!$D$146)+Assumptions!$D$147)/12)</f>
        <v>9333.33333333333</v>
      </c>
      <c r="T200" s="9" t="n">
        <f aca="false">(((Assumptions!$D$145+Assumptions!$D$146)+Assumptions!$D$147)/12)</f>
        <v>9333.33333333333</v>
      </c>
      <c r="U200" s="9" t="n">
        <f aca="false">(((Assumptions!$D$145+Assumptions!$D$146)+Assumptions!$D$147)/12)</f>
        <v>9333.33333333333</v>
      </c>
      <c r="V200" s="9" t="n">
        <f aca="false">(((Assumptions!$D$145+Assumptions!$D$146)+Assumptions!$D$147)/12)</f>
        <v>9333.33333333333</v>
      </c>
      <c r="W200" s="9" t="n">
        <f aca="false">(((Assumptions!$D$145+Assumptions!$D$146)+Assumptions!$D$147)/12)</f>
        <v>9333.33333333333</v>
      </c>
      <c r="X200" s="9" t="n">
        <f aca="false">(((Assumptions!$D$145+Assumptions!$D$146)+Assumptions!$D$147)/12)</f>
        <v>9333.33333333333</v>
      </c>
      <c r="Y200" s="9" t="n">
        <f aca="false">(((Assumptions!$D$145+Assumptions!$D$146)+Assumptions!$D$147)/12)</f>
        <v>9333.33333333333</v>
      </c>
      <c r="Z200" s="9" t="n">
        <f aca="false">(((Assumptions!$D$145+Assumptions!$D$146)+Assumptions!$D$147)/12)</f>
        <v>9333.33333333333</v>
      </c>
      <c r="AA200" s="9" t="n">
        <f aca="false">(((Assumptions!$E$145+Assumptions!$E$146)+Assumptions!$E$147)/12)</f>
        <v>12916.6666666667</v>
      </c>
      <c r="AB200" s="9" t="n">
        <f aca="false">(((Assumptions!$E$145+Assumptions!$E$146)+Assumptions!$E$147)/12)</f>
        <v>12916.6666666667</v>
      </c>
      <c r="AC200" s="9" t="n">
        <f aca="false">(((Assumptions!$E$145+Assumptions!$E$146)+Assumptions!$E$147)/12)</f>
        <v>12916.6666666667</v>
      </c>
      <c r="AD200" s="9" t="n">
        <f aca="false">(((Assumptions!$E$145+Assumptions!$E$146)+Assumptions!$E$147)/12)</f>
        <v>12916.6666666667</v>
      </c>
      <c r="AE200" s="9" t="n">
        <f aca="false">(((Assumptions!$E$145+Assumptions!$E$146)+Assumptions!$E$147)/12)</f>
        <v>12916.6666666667</v>
      </c>
      <c r="AF200" s="9" t="n">
        <f aca="false">(((Assumptions!$E$145+Assumptions!$E$146)+Assumptions!$E$147)/12)</f>
        <v>12916.6666666667</v>
      </c>
      <c r="AG200" s="9" t="n">
        <f aca="false">(((Assumptions!$E$145+Assumptions!$E$146)+Assumptions!$E$147)/12)</f>
        <v>12916.6666666667</v>
      </c>
      <c r="AH200" s="9" t="n">
        <f aca="false">(((Assumptions!$E$145+Assumptions!$E$146)+Assumptions!$E$147)/12)</f>
        <v>12916.6666666667</v>
      </c>
      <c r="AI200" s="9" t="n">
        <f aca="false">(((Assumptions!$E$145+Assumptions!$E$146)+Assumptions!$E$147)/12)</f>
        <v>12916.6666666667</v>
      </c>
      <c r="AJ200" s="9" t="n">
        <f aca="false">(((Assumptions!$E$145+Assumptions!$E$146)+Assumptions!$E$147)/12)</f>
        <v>12916.6666666667</v>
      </c>
      <c r="AK200" s="9" t="n">
        <f aca="false">(((Assumptions!$E$145+Assumptions!$E$146)+Assumptions!$E$147)/12)</f>
        <v>12916.6666666667</v>
      </c>
      <c r="AL200" s="9" t="n">
        <f aca="false">(((Assumptions!$E$145+Assumptions!$E$146)+Assumptions!$E$147)/12)</f>
        <v>12916.6666666667</v>
      </c>
      <c r="AN200" s="11" t="n">
        <f aca="false">SUM(C200:N200)</f>
        <v>95000</v>
      </c>
      <c r="AO200" s="11" t="n">
        <f aca="false">SUM(O200:Z200)</f>
        <v>112000</v>
      </c>
      <c r="AP200" s="11" t="n">
        <f aca="false">SUM(AA200:AL200)</f>
        <v>155000</v>
      </c>
    </row>
    <row r="201" customFormat="false" ht="15" hidden="false" customHeight="false" outlineLevel="0" collapsed="false">
      <c r="A201" s="0" t="s">
        <v>37</v>
      </c>
      <c r="B201" s="0" t="s">
        <v>230</v>
      </c>
      <c r="C201" s="9" t="n">
        <f aca="false">(((Assumptions!$C$148+Assumptions!$C$149)+Assumptions!$C$150)/12)</f>
        <v>3416.66666666667</v>
      </c>
      <c r="D201" s="9" t="n">
        <f aca="false">(((Assumptions!$C$148+Assumptions!$C$149)+Assumptions!$C$150)/12)</f>
        <v>3416.66666666667</v>
      </c>
      <c r="E201" s="9" t="n">
        <f aca="false">(((Assumptions!$C$148+Assumptions!$C$149)+Assumptions!$C$150)/12)</f>
        <v>3416.66666666667</v>
      </c>
      <c r="F201" s="9" t="n">
        <f aca="false">(((Assumptions!$C$148+Assumptions!$C$149)+Assumptions!$C$150)/12)</f>
        <v>3416.66666666667</v>
      </c>
      <c r="G201" s="9" t="n">
        <f aca="false">(((Assumptions!$C$148+Assumptions!$C$149)+Assumptions!$C$150)/12)</f>
        <v>3416.66666666667</v>
      </c>
      <c r="H201" s="9" t="n">
        <f aca="false">(((Assumptions!$C$148+Assumptions!$C$149)+Assumptions!$C$150)/12)</f>
        <v>3416.66666666667</v>
      </c>
      <c r="I201" s="9" t="n">
        <f aca="false">(((Assumptions!$C$148+Assumptions!$C$149)+Assumptions!$C$150)/12)</f>
        <v>3416.66666666667</v>
      </c>
      <c r="J201" s="9" t="n">
        <f aca="false">(((Assumptions!$C$148+Assumptions!$C$149)+Assumptions!$C$150)/12)</f>
        <v>3416.66666666667</v>
      </c>
      <c r="K201" s="9" t="n">
        <f aca="false">(((Assumptions!$C$148+Assumptions!$C$149)+Assumptions!$C$150)/12)</f>
        <v>3416.66666666667</v>
      </c>
      <c r="L201" s="9" t="n">
        <f aca="false">(((Assumptions!$C$148+Assumptions!$C$149)+Assumptions!$C$150)/12)</f>
        <v>3416.66666666667</v>
      </c>
      <c r="M201" s="9" t="n">
        <f aca="false">(((Assumptions!$C$148+Assumptions!$C$149)+Assumptions!$C$150)/12)</f>
        <v>3416.66666666667</v>
      </c>
      <c r="N201" s="9" t="n">
        <f aca="false">(((Assumptions!$C$148+Assumptions!$C$149)+Assumptions!$C$150)/12)</f>
        <v>3416.66666666667</v>
      </c>
      <c r="O201" s="9" t="n">
        <f aca="false">(((Assumptions!$D$148+Assumptions!$D$149)+Assumptions!$D$150)/12)</f>
        <v>5833.33333333333</v>
      </c>
      <c r="P201" s="9" t="n">
        <f aca="false">(((Assumptions!$D$148+Assumptions!$D$149)+Assumptions!$D$150)/12)</f>
        <v>5833.33333333333</v>
      </c>
      <c r="Q201" s="9" t="n">
        <f aca="false">(((Assumptions!$D$148+Assumptions!$D$149)+Assumptions!$D$150)/12)</f>
        <v>5833.33333333333</v>
      </c>
      <c r="R201" s="9" t="n">
        <f aca="false">(((Assumptions!$D$148+Assumptions!$D$149)+Assumptions!$D$150)/12)</f>
        <v>5833.33333333333</v>
      </c>
      <c r="S201" s="9" t="n">
        <f aca="false">(((Assumptions!$D$148+Assumptions!$D$149)+Assumptions!$D$150)/12)</f>
        <v>5833.33333333333</v>
      </c>
      <c r="T201" s="9" t="n">
        <f aca="false">(((Assumptions!$D$148+Assumptions!$D$149)+Assumptions!$D$150)/12)</f>
        <v>5833.33333333333</v>
      </c>
      <c r="U201" s="9" t="n">
        <f aca="false">(((Assumptions!$D$148+Assumptions!$D$149)+Assumptions!$D$150)/12)</f>
        <v>5833.33333333333</v>
      </c>
      <c r="V201" s="9" t="n">
        <f aca="false">(((Assumptions!$D$148+Assumptions!$D$149)+Assumptions!$D$150)/12)</f>
        <v>5833.33333333333</v>
      </c>
      <c r="W201" s="9" t="n">
        <f aca="false">(((Assumptions!$D$148+Assumptions!$D$149)+Assumptions!$D$150)/12)</f>
        <v>5833.33333333333</v>
      </c>
      <c r="X201" s="9" t="n">
        <f aca="false">(((Assumptions!$D$148+Assumptions!$D$149)+Assumptions!$D$150)/12)</f>
        <v>5833.33333333333</v>
      </c>
      <c r="Y201" s="9" t="n">
        <f aca="false">(((Assumptions!$D$148+Assumptions!$D$149)+Assumptions!$D$150)/12)</f>
        <v>5833.33333333333</v>
      </c>
      <c r="Z201" s="9" t="n">
        <f aca="false">(((Assumptions!$D$148+Assumptions!$D$149)+Assumptions!$D$150)/12)</f>
        <v>5833.33333333333</v>
      </c>
      <c r="AA201" s="9" t="n">
        <f aca="false">(((Assumptions!$E$148+Assumptions!$E$149)+Assumptions!$E$150)/12)</f>
        <v>10000</v>
      </c>
      <c r="AB201" s="9" t="n">
        <f aca="false">(((Assumptions!$E$148+Assumptions!$E$149)+Assumptions!$E$150)/12)</f>
        <v>10000</v>
      </c>
      <c r="AC201" s="9" t="n">
        <f aca="false">(((Assumptions!$E$148+Assumptions!$E$149)+Assumptions!$E$150)/12)</f>
        <v>10000</v>
      </c>
      <c r="AD201" s="9" t="n">
        <f aca="false">(((Assumptions!$E$148+Assumptions!$E$149)+Assumptions!$E$150)/12)</f>
        <v>10000</v>
      </c>
      <c r="AE201" s="9" t="n">
        <f aca="false">(((Assumptions!$E$148+Assumptions!$E$149)+Assumptions!$E$150)/12)</f>
        <v>10000</v>
      </c>
      <c r="AF201" s="9" t="n">
        <f aca="false">(((Assumptions!$E$148+Assumptions!$E$149)+Assumptions!$E$150)/12)</f>
        <v>10000</v>
      </c>
      <c r="AG201" s="9" t="n">
        <f aca="false">(((Assumptions!$E$148+Assumptions!$E$149)+Assumptions!$E$150)/12)</f>
        <v>10000</v>
      </c>
      <c r="AH201" s="9" t="n">
        <f aca="false">(((Assumptions!$E$148+Assumptions!$E$149)+Assumptions!$E$150)/12)</f>
        <v>10000</v>
      </c>
      <c r="AI201" s="9" t="n">
        <f aca="false">(((Assumptions!$E$148+Assumptions!$E$149)+Assumptions!$E$150)/12)</f>
        <v>10000</v>
      </c>
      <c r="AJ201" s="9" t="n">
        <f aca="false">(((Assumptions!$E$148+Assumptions!$E$149)+Assumptions!$E$150)/12)</f>
        <v>10000</v>
      </c>
      <c r="AK201" s="9" t="n">
        <f aca="false">(((Assumptions!$E$148+Assumptions!$E$149)+Assumptions!$E$150)/12)</f>
        <v>10000</v>
      </c>
      <c r="AL201" s="9" t="n">
        <f aca="false">(((Assumptions!$E$148+Assumptions!$E$149)+Assumptions!$E$150)/12)</f>
        <v>10000</v>
      </c>
      <c r="AN201" s="11" t="n">
        <f aca="false">SUM(C201:N201)</f>
        <v>41000</v>
      </c>
      <c r="AO201" s="11" t="n">
        <f aca="false">SUM(O201:Z201)</f>
        <v>70000</v>
      </c>
      <c r="AP201" s="11" t="n">
        <f aca="false">SUM(AA201:AL201)</f>
        <v>120000</v>
      </c>
    </row>
    <row r="202" customFormat="false" ht="15" hidden="false" customHeight="false" outlineLevel="0" collapsed="false">
      <c r="A202" s="0" t="s">
        <v>1001</v>
      </c>
      <c r="B202" s="0" t="s">
        <v>230</v>
      </c>
      <c r="C202" s="9" t="n">
        <f aca="false">(((Assumptions!$C$152+Assumptions!$C$153)+Assumptions!$C$154)/12)</f>
        <v>4000</v>
      </c>
      <c r="D202" s="9" t="n">
        <f aca="false">(((Assumptions!$C$152+Assumptions!$C$153)+Assumptions!$C$154)/12)</f>
        <v>4000</v>
      </c>
      <c r="E202" s="9" t="n">
        <f aca="false">(((Assumptions!$C$152+Assumptions!$C$153)+Assumptions!$C$154)/12)</f>
        <v>4000</v>
      </c>
      <c r="F202" s="9" t="n">
        <f aca="false">(((Assumptions!$C$152+Assumptions!$C$153)+Assumptions!$C$154)/12)</f>
        <v>4000</v>
      </c>
      <c r="G202" s="9" t="n">
        <f aca="false">(((Assumptions!$C$152+Assumptions!$C$153)+Assumptions!$C$154)/12)</f>
        <v>4000</v>
      </c>
      <c r="H202" s="9" t="n">
        <f aca="false">(((Assumptions!$C$152+Assumptions!$C$153)+Assumptions!$C$154)/12)</f>
        <v>4000</v>
      </c>
      <c r="I202" s="9" t="n">
        <f aca="false">(((Assumptions!$C$152+Assumptions!$C$153)+Assumptions!$C$154)/12)</f>
        <v>4000</v>
      </c>
      <c r="J202" s="9" t="n">
        <f aca="false">(((Assumptions!$C$152+Assumptions!$C$153)+Assumptions!$C$154)/12)</f>
        <v>4000</v>
      </c>
      <c r="K202" s="9" t="n">
        <f aca="false">(((Assumptions!$C$152+Assumptions!$C$153)+Assumptions!$C$154)/12)</f>
        <v>4000</v>
      </c>
      <c r="L202" s="9" t="n">
        <f aca="false">(((Assumptions!$C$152+Assumptions!$C$153)+Assumptions!$C$154)/12)</f>
        <v>4000</v>
      </c>
      <c r="M202" s="9" t="n">
        <f aca="false">(((Assumptions!$C$152+Assumptions!$C$153)+Assumptions!$C$154)/12)</f>
        <v>4000</v>
      </c>
      <c r="N202" s="9" t="n">
        <f aca="false">(((Assumptions!$C$152+Assumptions!$C$153)+Assumptions!$C$154)/12)</f>
        <v>4000</v>
      </c>
      <c r="O202" s="9" t="n">
        <f aca="false">(((Assumptions!$D$152+Assumptions!$D$153)+Assumptions!$D$154)/12)</f>
        <v>8250</v>
      </c>
      <c r="P202" s="9" t="n">
        <f aca="false">(((Assumptions!$D$152+Assumptions!$D$153)+Assumptions!$D$154)/12)</f>
        <v>8250</v>
      </c>
      <c r="Q202" s="9" t="n">
        <f aca="false">(((Assumptions!$D$152+Assumptions!$D$153)+Assumptions!$D$154)/12)</f>
        <v>8250</v>
      </c>
      <c r="R202" s="9" t="n">
        <f aca="false">(((Assumptions!$D$152+Assumptions!$D$153)+Assumptions!$D$154)/12)</f>
        <v>8250</v>
      </c>
      <c r="S202" s="9" t="n">
        <f aca="false">(((Assumptions!$D$152+Assumptions!$D$153)+Assumptions!$D$154)/12)</f>
        <v>8250</v>
      </c>
      <c r="T202" s="9" t="n">
        <f aca="false">(((Assumptions!$D$152+Assumptions!$D$153)+Assumptions!$D$154)/12)</f>
        <v>8250</v>
      </c>
      <c r="U202" s="9" t="n">
        <f aca="false">(((Assumptions!$D$152+Assumptions!$D$153)+Assumptions!$D$154)/12)</f>
        <v>8250</v>
      </c>
      <c r="V202" s="9" t="n">
        <f aca="false">(((Assumptions!$D$152+Assumptions!$D$153)+Assumptions!$D$154)/12)</f>
        <v>8250</v>
      </c>
      <c r="W202" s="9" t="n">
        <f aca="false">(((Assumptions!$D$152+Assumptions!$D$153)+Assumptions!$D$154)/12)</f>
        <v>8250</v>
      </c>
      <c r="X202" s="9" t="n">
        <f aca="false">(((Assumptions!$D$152+Assumptions!$D$153)+Assumptions!$D$154)/12)</f>
        <v>8250</v>
      </c>
      <c r="Y202" s="9" t="n">
        <f aca="false">(((Assumptions!$D$152+Assumptions!$D$153)+Assumptions!$D$154)/12)</f>
        <v>8250</v>
      </c>
      <c r="Z202" s="9" t="n">
        <f aca="false">(((Assumptions!$D$152+Assumptions!$D$153)+Assumptions!$D$154)/12)</f>
        <v>8250</v>
      </c>
      <c r="AA202" s="9" t="n">
        <f aca="false">(((Assumptions!$E$152+Assumptions!$E$153)+Assumptions!$E$154)/12)</f>
        <v>12583.3333333333</v>
      </c>
      <c r="AB202" s="9" t="n">
        <f aca="false">(((Assumptions!$E$152+Assumptions!$E$153)+Assumptions!$E$154)/12)</f>
        <v>12583.3333333333</v>
      </c>
      <c r="AC202" s="9" t="n">
        <f aca="false">(((Assumptions!$E$152+Assumptions!$E$153)+Assumptions!$E$154)/12)</f>
        <v>12583.3333333333</v>
      </c>
      <c r="AD202" s="9" t="n">
        <f aca="false">(((Assumptions!$E$152+Assumptions!$E$153)+Assumptions!$E$154)/12)</f>
        <v>12583.3333333333</v>
      </c>
      <c r="AE202" s="9" t="n">
        <f aca="false">(((Assumptions!$E$152+Assumptions!$E$153)+Assumptions!$E$154)/12)</f>
        <v>12583.3333333333</v>
      </c>
      <c r="AF202" s="9" t="n">
        <f aca="false">(((Assumptions!$E$152+Assumptions!$E$153)+Assumptions!$E$154)/12)</f>
        <v>12583.3333333333</v>
      </c>
      <c r="AG202" s="9" t="n">
        <f aca="false">(((Assumptions!$E$152+Assumptions!$E$153)+Assumptions!$E$154)/12)</f>
        <v>12583.3333333333</v>
      </c>
      <c r="AH202" s="9" t="n">
        <f aca="false">(((Assumptions!$E$152+Assumptions!$E$153)+Assumptions!$E$154)/12)</f>
        <v>12583.3333333333</v>
      </c>
      <c r="AI202" s="9" t="n">
        <f aca="false">(((Assumptions!$E$152+Assumptions!$E$153)+Assumptions!$E$154)/12)</f>
        <v>12583.3333333333</v>
      </c>
      <c r="AJ202" s="9" t="n">
        <f aca="false">(((Assumptions!$E$152+Assumptions!$E$153)+Assumptions!$E$154)/12)</f>
        <v>12583.3333333333</v>
      </c>
      <c r="AK202" s="9" t="n">
        <f aca="false">(((Assumptions!$E$152+Assumptions!$E$153)+Assumptions!$E$154)/12)</f>
        <v>12583.3333333333</v>
      </c>
      <c r="AL202" s="9" t="n">
        <f aca="false">(((Assumptions!$E$152+Assumptions!$E$153)+Assumptions!$E$154)/12)</f>
        <v>12583.3333333333</v>
      </c>
      <c r="AN202" s="11" t="n">
        <f aca="false">SUM(C202:N202)</f>
        <v>48000</v>
      </c>
      <c r="AO202" s="11" t="n">
        <f aca="false">SUM(O202:Z202)</f>
        <v>99000</v>
      </c>
      <c r="AP202" s="11" t="n">
        <f aca="false">SUM(AA202:AL202)</f>
        <v>151000</v>
      </c>
    </row>
    <row r="203" customFormat="false" ht="15" hidden="false" customHeight="false" outlineLevel="0" collapsed="false">
      <c r="A203" s="0" t="s">
        <v>561</v>
      </c>
      <c r="B203" s="0" t="s">
        <v>230</v>
      </c>
      <c r="C203" s="9" t="n">
        <f aca="false">(Assumptions!$C$155/12)</f>
        <v>833.333333333333</v>
      </c>
      <c r="D203" s="9" t="n">
        <f aca="false">(Assumptions!$C$155/12)</f>
        <v>833.333333333333</v>
      </c>
      <c r="E203" s="9" t="n">
        <f aca="false">(Assumptions!$C$155/12)</f>
        <v>833.333333333333</v>
      </c>
      <c r="F203" s="9" t="n">
        <f aca="false">(Assumptions!$C$155/12)</f>
        <v>833.333333333333</v>
      </c>
      <c r="G203" s="9" t="n">
        <f aca="false">(Assumptions!$C$155/12)</f>
        <v>833.333333333333</v>
      </c>
      <c r="H203" s="9" t="n">
        <f aca="false">(Assumptions!$C$155/12)</f>
        <v>833.333333333333</v>
      </c>
      <c r="I203" s="9" t="n">
        <f aca="false">(Assumptions!$C$155/12)</f>
        <v>833.333333333333</v>
      </c>
      <c r="J203" s="9" t="n">
        <f aca="false">(Assumptions!$C$155/12)</f>
        <v>833.333333333333</v>
      </c>
      <c r="K203" s="9" t="n">
        <f aca="false">(Assumptions!$C$155/12)</f>
        <v>833.333333333333</v>
      </c>
      <c r="L203" s="9" t="n">
        <f aca="false">(Assumptions!$C$155/12)</f>
        <v>833.333333333333</v>
      </c>
      <c r="M203" s="9" t="n">
        <f aca="false">(Assumptions!$C$155/12)</f>
        <v>833.333333333333</v>
      </c>
      <c r="N203" s="9" t="n">
        <f aca="false">(Assumptions!$C$155/12)</f>
        <v>833.333333333333</v>
      </c>
      <c r="O203" s="9" t="n">
        <f aca="false">(Assumptions!$D$155/12)</f>
        <v>1666.66666666667</v>
      </c>
      <c r="P203" s="9" t="n">
        <f aca="false">(Assumptions!$D$155/12)</f>
        <v>1666.66666666667</v>
      </c>
      <c r="Q203" s="9" t="n">
        <f aca="false">(Assumptions!$D$155/12)</f>
        <v>1666.66666666667</v>
      </c>
      <c r="R203" s="9" t="n">
        <f aca="false">(Assumptions!$D$155/12)</f>
        <v>1666.66666666667</v>
      </c>
      <c r="S203" s="9" t="n">
        <f aca="false">(Assumptions!$D$155/12)</f>
        <v>1666.66666666667</v>
      </c>
      <c r="T203" s="9" t="n">
        <f aca="false">(Assumptions!$D$155/12)</f>
        <v>1666.66666666667</v>
      </c>
      <c r="U203" s="9" t="n">
        <f aca="false">(Assumptions!$D$155/12)</f>
        <v>1666.66666666667</v>
      </c>
      <c r="V203" s="9" t="n">
        <f aca="false">(Assumptions!$D$155/12)</f>
        <v>1666.66666666667</v>
      </c>
      <c r="W203" s="9" t="n">
        <f aca="false">(Assumptions!$D$155/12)</f>
        <v>1666.66666666667</v>
      </c>
      <c r="X203" s="9" t="n">
        <f aca="false">(Assumptions!$D$155/12)</f>
        <v>1666.66666666667</v>
      </c>
      <c r="Y203" s="9" t="n">
        <f aca="false">(Assumptions!$D$155/12)</f>
        <v>1666.66666666667</v>
      </c>
      <c r="Z203" s="9" t="n">
        <f aca="false">(Assumptions!$D$155/12)</f>
        <v>1666.66666666667</v>
      </c>
      <c r="AA203" s="9" t="n">
        <f aca="false">(Assumptions!$E$155/12)</f>
        <v>2500</v>
      </c>
      <c r="AB203" s="9" t="n">
        <f aca="false">(Assumptions!$E$155/12)</f>
        <v>2500</v>
      </c>
      <c r="AC203" s="9" t="n">
        <f aca="false">(Assumptions!$E$155/12)</f>
        <v>2500</v>
      </c>
      <c r="AD203" s="9" t="n">
        <f aca="false">(Assumptions!$E$155/12)</f>
        <v>2500</v>
      </c>
      <c r="AE203" s="9" t="n">
        <f aca="false">(Assumptions!$E$155/12)</f>
        <v>2500</v>
      </c>
      <c r="AF203" s="9" t="n">
        <f aca="false">(Assumptions!$E$155/12)</f>
        <v>2500</v>
      </c>
      <c r="AG203" s="9" t="n">
        <f aca="false">(Assumptions!$E$155/12)</f>
        <v>2500</v>
      </c>
      <c r="AH203" s="9" t="n">
        <f aca="false">(Assumptions!$E$155/12)</f>
        <v>2500</v>
      </c>
      <c r="AI203" s="9" t="n">
        <f aca="false">(Assumptions!$E$155/12)</f>
        <v>2500</v>
      </c>
      <c r="AJ203" s="9" t="n">
        <f aca="false">(Assumptions!$E$155/12)</f>
        <v>2500</v>
      </c>
      <c r="AK203" s="9" t="n">
        <f aca="false">(Assumptions!$E$155/12)</f>
        <v>2500</v>
      </c>
      <c r="AL203" s="9" t="n">
        <f aca="false">(Assumptions!$E$155/12)</f>
        <v>2500</v>
      </c>
      <c r="AN203" s="11" t="n">
        <f aca="false">SUM(C203:N203)</f>
        <v>10000</v>
      </c>
      <c r="AO203" s="11" t="n">
        <f aca="false">SUM(O203:Z203)</f>
        <v>20000</v>
      </c>
      <c r="AP203" s="11" t="n">
        <f aca="false">SUM(AA203:AL203)</f>
        <v>30000</v>
      </c>
    </row>
    <row r="204" customFormat="false" ht="15" hidden="false" customHeight="false" outlineLevel="0" collapsed="false">
      <c r="A204" s="0" t="s">
        <v>1002</v>
      </c>
      <c r="B204" s="0" t="s">
        <v>230</v>
      </c>
      <c r="C204" s="9" t="n">
        <f aca="false">(Assumptions!$C$39*C134)</f>
        <v>0</v>
      </c>
      <c r="D204" s="9" t="n">
        <f aca="false">(Assumptions!$C$39*D134)</f>
        <v>0</v>
      </c>
      <c r="E204" s="9" t="n">
        <f aca="false">(Assumptions!$C$39*E134)</f>
        <v>0</v>
      </c>
      <c r="F204" s="9" t="n">
        <f aca="false">(Assumptions!$C$39*F134)</f>
        <v>0</v>
      </c>
      <c r="G204" s="9" t="n">
        <f aca="false">(Assumptions!$C$39*G134)</f>
        <v>0</v>
      </c>
      <c r="H204" s="9" t="n">
        <f aca="false">(Assumptions!$C$39*H134)</f>
        <v>0</v>
      </c>
      <c r="I204" s="9" t="n">
        <f aca="false">(Assumptions!$C$39*I134)</f>
        <v>0</v>
      </c>
      <c r="J204" s="9" t="n">
        <f aca="false">(Assumptions!$C$39*J134)</f>
        <v>0</v>
      </c>
      <c r="K204" s="9" t="n">
        <f aca="false">(Assumptions!$C$39*K134)</f>
        <v>0</v>
      </c>
      <c r="L204" s="9" t="n">
        <f aca="false">(Assumptions!$C$39*L134)</f>
        <v>0</v>
      </c>
      <c r="M204" s="9" t="n">
        <f aca="false">(Assumptions!$C$39*M134)</f>
        <v>0</v>
      </c>
      <c r="N204" s="9" t="n">
        <f aca="false">(Assumptions!$C$39*N134)</f>
        <v>1267.2</v>
      </c>
      <c r="O204" s="9" t="n">
        <f aca="false">(Assumptions!$C$39*O134)</f>
        <v>2880</v>
      </c>
      <c r="P204" s="9" t="n">
        <f aca="false">(Assumptions!$C$39*P134)</f>
        <v>0</v>
      </c>
      <c r="Q204" s="9" t="n">
        <f aca="false">(Assumptions!$C$39*Q134)</f>
        <v>3590.4</v>
      </c>
      <c r="R204" s="9" t="n">
        <f aca="false">(Assumptions!$C$39*R134)</f>
        <v>8960</v>
      </c>
      <c r="S204" s="9" t="n">
        <f aca="false">(Assumptions!$C$39*S134)</f>
        <v>0</v>
      </c>
      <c r="T204" s="9" t="n">
        <f aca="false">(Assumptions!$C$39*T134)</f>
        <v>0</v>
      </c>
      <c r="U204" s="9" t="n">
        <f aca="false">(Assumptions!$C$39*U134)</f>
        <v>11840</v>
      </c>
      <c r="V204" s="9" t="n">
        <f aca="false">(Assumptions!$C$39*V134)</f>
        <v>1056</v>
      </c>
      <c r="W204" s="9" t="n">
        <f aca="false">(Assumptions!$C$39*W134)</f>
        <v>0</v>
      </c>
      <c r="X204" s="9" t="n">
        <f aca="false">(Assumptions!$C$39*X134)</f>
        <v>11840</v>
      </c>
      <c r="Y204" s="9" t="n">
        <f aca="false">(Assumptions!$C$39*Y134)</f>
        <v>7540.8</v>
      </c>
      <c r="Z204" s="9" t="n">
        <f aca="false">(Assumptions!$C$39*Z134)</f>
        <v>0</v>
      </c>
      <c r="AA204" s="9" t="n">
        <f aca="false">(Assumptions!$C$39*AA134)</f>
        <v>14720</v>
      </c>
      <c r="AB204" s="9" t="n">
        <f aca="false">(Assumptions!$C$39*AB134)</f>
        <v>18260.8</v>
      </c>
      <c r="AC204" s="9" t="n">
        <f aca="false">(Assumptions!$C$39*AC134)</f>
        <v>0</v>
      </c>
      <c r="AD204" s="9" t="n">
        <f aca="false">(Assumptions!$C$39*AD134)</f>
        <v>20800</v>
      </c>
      <c r="AE204" s="9" t="n">
        <f aca="false">(Assumptions!$C$39*AE134)</f>
        <v>22052.8</v>
      </c>
      <c r="AF204" s="9" t="n">
        <f aca="false">(Assumptions!$C$39*AF134)</f>
        <v>13280</v>
      </c>
      <c r="AG204" s="9" t="n">
        <f aca="false">(Assumptions!$C$39*AG134)</f>
        <v>20800</v>
      </c>
      <c r="AH204" s="9" t="n">
        <f aca="false">(Assumptions!$C$39*AH134)</f>
        <v>23108.8</v>
      </c>
      <c r="AI204" s="9" t="n">
        <f aca="false">(Assumptions!$C$39*AI134)</f>
        <v>0</v>
      </c>
      <c r="AJ204" s="9" t="n">
        <f aca="false">(Assumptions!$C$39*AJ134)</f>
        <v>23680</v>
      </c>
      <c r="AK204" s="9" t="n">
        <f aca="false">(Assumptions!$C$39*AK134)</f>
        <v>39257.6</v>
      </c>
      <c r="AL204" s="9" t="n">
        <f aca="false">(Assumptions!$C$39*AL134)</f>
        <v>37248</v>
      </c>
      <c r="AN204" s="11" t="n">
        <f aca="false">SUM(C204:N204)</f>
        <v>1267.2</v>
      </c>
      <c r="AO204" s="11" t="n">
        <f aca="false">SUM(O204:Z204)</f>
        <v>47707.2</v>
      </c>
      <c r="AP204" s="11" t="n">
        <f aca="false">SUM(AA204:AL204)</f>
        <v>233208</v>
      </c>
    </row>
    <row r="205" customFormat="false" ht="15" hidden="false" customHeight="false" outlineLevel="0" collapsed="false">
      <c r="A205" s="0" t="s">
        <v>1003</v>
      </c>
      <c r="B205" s="0" t="s">
        <v>230</v>
      </c>
      <c r="C205" s="9" t="n">
        <f aca="false">((((Assumptions!$C$157+Assumptions!$C$158)+Assumptions!$C$159)+Assumptions!$C$160)/12)</f>
        <v>5000</v>
      </c>
      <c r="D205" s="9" t="n">
        <f aca="false">((((Assumptions!$C$157+Assumptions!$C$158)+Assumptions!$C$159)+Assumptions!$C$160)/12)</f>
        <v>5000</v>
      </c>
      <c r="E205" s="9" t="n">
        <f aca="false">((((Assumptions!$C$157+Assumptions!$C$158)+Assumptions!$C$159)+Assumptions!$C$160)/12)</f>
        <v>5000</v>
      </c>
      <c r="F205" s="9" t="n">
        <f aca="false">((((Assumptions!$C$157+Assumptions!$C$158)+Assumptions!$C$159)+Assumptions!$C$160)/12)</f>
        <v>5000</v>
      </c>
      <c r="G205" s="9" t="n">
        <f aca="false">((((Assumptions!$C$157+Assumptions!$C$158)+Assumptions!$C$159)+Assumptions!$C$160)/12)</f>
        <v>5000</v>
      </c>
      <c r="H205" s="9" t="n">
        <f aca="false">((((Assumptions!$C$157+Assumptions!$C$158)+Assumptions!$C$159)+Assumptions!$C$160)/12)</f>
        <v>5000</v>
      </c>
      <c r="I205" s="9" t="n">
        <f aca="false">((((Assumptions!$C$157+Assumptions!$C$158)+Assumptions!$C$159)+Assumptions!$C$160)/12)</f>
        <v>5000</v>
      </c>
      <c r="J205" s="9" t="n">
        <f aca="false">((((Assumptions!$C$157+Assumptions!$C$158)+Assumptions!$C$159)+Assumptions!$C$160)/12)</f>
        <v>5000</v>
      </c>
      <c r="K205" s="9" t="n">
        <f aca="false">((((Assumptions!$C$157+Assumptions!$C$158)+Assumptions!$C$159)+Assumptions!$C$160)/12)</f>
        <v>5000</v>
      </c>
      <c r="L205" s="9" t="n">
        <f aca="false">((((Assumptions!$C$157+Assumptions!$C$158)+Assumptions!$C$159)+Assumptions!$C$160)/12)</f>
        <v>5000</v>
      </c>
      <c r="M205" s="9" t="n">
        <f aca="false">((((Assumptions!$C$157+Assumptions!$C$158)+Assumptions!$C$159)+Assumptions!$C$160)/12)</f>
        <v>5000</v>
      </c>
      <c r="N205" s="9" t="n">
        <f aca="false">((((Assumptions!$C$157+Assumptions!$C$158)+Assumptions!$C$159)+Assumptions!$C$160)/12)</f>
        <v>5000</v>
      </c>
      <c r="O205" s="9" t="n">
        <f aca="false">((((Assumptions!$D$157+Assumptions!$D$158)+Assumptions!$D$159)+Assumptions!$D$160)/12)</f>
        <v>10833.3333333333</v>
      </c>
      <c r="P205" s="9" t="n">
        <f aca="false">((((Assumptions!$D$157+Assumptions!$D$158)+Assumptions!$D$159)+Assumptions!$D$160)/12)</f>
        <v>10833.3333333333</v>
      </c>
      <c r="Q205" s="9" t="n">
        <f aca="false">((((Assumptions!$D$157+Assumptions!$D$158)+Assumptions!$D$159)+Assumptions!$D$160)/12)</f>
        <v>10833.3333333333</v>
      </c>
      <c r="R205" s="9" t="n">
        <f aca="false">((((Assumptions!$D$157+Assumptions!$D$158)+Assumptions!$D$159)+Assumptions!$D$160)/12)</f>
        <v>10833.3333333333</v>
      </c>
      <c r="S205" s="9" t="n">
        <f aca="false">((((Assumptions!$D$157+Assumptions!$D$158)+Assumptions!$D$159)+Assumptions!$D$160)/12)</f>
        <v>10833.3333333333</v>
      </c>
      <c r="T205" s="9" t="n">
        <f aca="false">((((Assumptions!$D$157+Assumptions!$D$158)+Assumptions!$D$159)+Assumptions!$D$160)/12)</f>
        <v>10833.3333333333</v>
      </c>
      <c r="U205" s="9" t="n">
        <f aca="false">((((Assumptions!$D$157+Assumptions!$D$158)+Assumptions!$D$159)+Assumptions!$D$160)/12)</f>
        <v>10833.3333333333</v>
      </c>
      <c r="V205" s="9" t="n">
        <f aca="false">((((Assumptions!$D$157+Assumptions!$D$158)+Assumptions!$D$159)+Assumptions!$D$160)/12)</f>
        <v>10833.3333333333</v>
      </c>
      <c r="W205" s="9" t="n">
        <f aca="false">((((Assumptions!$D$157+Assumptions!$D$158)+Assumptions!$D$159)+Assumptions!$D$160)/12)</f>
        <v>10833.3333333333</v>
      </c>
      <c r="X205" s="9" t="n">
        <f aca="false">((((Assumptions!$D$157+Assumptions!$D$158)+Assumptions!$D$159)+Assumptions!$D$160)/12)</f>
        <v>10833.3333333333</v>
      </c>
      <c r="Y205" s="9" t="n">
        <f aca="false">((((Assumptions!$D$157+Assumptions!$D$158)+Assumptions!$D$159)+Assumptions!$D$160)/12)</f>
        <v>10833.3333333333</v>
      </c>
      <c r="Z205" s="9" t="n">
        <f aca="false">((((Assumptions!$D$157+Assumptions!$D$158)+Assumptions!$D$159)+Assumptions!$D$160)/12)</f>
        <v>10833.3333333333</v>
      </c>
      <c r="AA205" s="9" t="n">
        <f aca="false">((((Assumptions!$E$157+Assumptions!$E$158)+Assumptions!$E$159)+Assumptions!$E$160)/12)</f>
        <v>18333.3333333333</v>
      </c>
      <c r="AB205" s="9" t="n">
        <f aca="false">((((Assumptions!$E$157+Assumptions!$E$158)+Assumptions!$E$159)+Assumptions!$E$160)/12)</f>
        <v>18333.3333333333</v>
      </c>
      <c r="AC205" s="9" t="n">
        <f aca="false">((((Assumptions!$E$157+Assumptions!$E$158)+Assumptions!$E$159)+Assumptions!$E$160)/12)</f>
        <v>18333.3333333333</v>
      </c>
      <c r="AD205" s="9" t="n">
        <f aca="false">((((Assumptions!$E$157+Assumptions!$E$158)+Assumptions!$E$159)+Assumptions!$E$160)/12)</f>
        <v>18333.3333333333</v>
      </c>
      <c r="AE205" s="9" t="n">
        <f aca="false">((((Assumptions!$E$157+Assumptions!$E$158)+Assumptions!$E$159)+Assumptions!$E$160)/12)</f>
        <v>18333.3333333333</v>
      </c>
      <c r="AF205" s="9" t="n">
        <f aca="false">((((Assumptions!$E$157+Assumptions!$E$158)+Assumptions!$E$159)+Assumptions!$E$160)/12)</f>
        <v>18333.3333333333</v>
      </c>
      <c r="AG205" s="9" t="n">
        <f aca="false">((((Assumptions!$E$157+Assumptions!$E$158)+Assumptions!$E$159)+Assumptions!$E$160)/12)</f>
        <v>18333.3333333333</v>
      </c>
      <c r="AH205" s="9" t="n">
        <f aca="false">((((Assumptions!$E$157+Assumptions!$E$158)+Assumptions!$E$159)+Assumptions!$E$160)/12)</f>
        <v>18333.3333333333</v>
      </c>
      <c r="AI205" s="9" t="n">
        <f aca="false">((((Assumptions!$E$157+Assumptions!$E$158)+Assumptions!$E$159)+Assumptions!$E$160)/12)</f>
        <v>18333.3333333333</v>
      </c>
      <c r="AJ205" s="9" t="n">
        <f aca="false">((((Assumptions!$E$157+Assumptions!$E$158)+Assumptions!$E$159)+Assumptions!$E$160)/12)</f>
        <v>18333.3333333333</v>
      </c>
      <c r="AK205" s="9" t="n">
        <f aca="false">((((Assumptions!$E$157+Assumptions!$E$158)+Assumptions!$E$159)+Assumptions!$E$160)/12)</f>
        <v>18333.3333333333</v>
      </c>
      <c r="AL205" s="9" t="n">
        <f aca="false">((((Assumptions!$E$157+Assumptions!$E$158)+Assumptions!$E$159)+Assumptions!$E$160)/12)</f>
        <v>18333.3333333333</v>
      </c>
      <c r="AN205" s="11" t="n">
        <f aca="false">SUM(C205:N205)</f>
        <v>60000</v>
      </c>
      <c r="AO205" s="11" t="n">
        <f aca="false">SUM(O205:Z205)</f>
        <v>130000</v>
      </c>
      <c r="AP205" s="11" t="n">
        <f aca="false">SUM(AA205:AL205)</f>
        <v>220000</v>
      </c>
    </row>
    <row r="206" customFormat="false" ht="15" hidden="false" customHeight="false" outlineLevel="0" collapsed="false">
      <c r="A206" s="0" t="s">
        <v>1004</v>
      </c>
      <c r="B206" s="0" t="s">
        <v>230</v>
      </c>
      <c r="C206" s="9" t="n">
        <f aca="false">IF((C$18&gt;=Assumptions!$C$5),Assumptions!$C$134,0)</f>
        <v>0</v>
      </c>
      <c r="D206" s="9" t="n">
        <f aca="false">IF((D$18&gt;=Assumptions!$C$5),Assumptions!$C$134,0)</f>
        <v>0</v>
      </c>
      <c r="E206" s="9" t="n">
        <f aca="false">IF((E$18&gt;=Assumptions!$C$5),Assumptions!$C$134,0)</f>
        <v>0</v>
      </c>
      <c r="F206" s="9" t="n">
        <f aca="false">IF((F$18&gt;=Assumptions!$C$5),Assumptions!$C$134,0)</f>
        <v>0</v>
      </c>
      <c r="G206" s="9" t="n">
        <f aca="false">IF((G$18&gt;=Assumptions!$C$5),Assumptions!$C$134,0)</f>
        <v>0</v>
      </c>
      <c r="H206" s="9" t="n">
        <f aca="false">IF((H$18&gt;=Assumptions!$C$5),Assumptions!$C$134,0)</f>
        <v>0</v>
      </c>
      <c r="I206" s="9" t="n">
        <f aca="false">IF((I$18&gt;=Assumptions!$C$5),Assumptions!$C$134,0)</f>
        <v>0</v>
      </c>
      <c r="J206" s="9" t="n">
        <f aca="false">IF((J$18&gt;=Assumptions!$C$5),Assumptions!$C$134,0)</f>
        <v>0</v>
      </c>
      <c r="K206" s="9" t="n">
        <f aca="false">IF((K$18&gt;=Assumptions!$C$5),Assumptions!$C$134,0)</f>
        <v>0</v>
      </c>
      <c r="L206" s="9" t="n">
        <f aca="false">IF((L$18&gt;=Assumptions!$C$5),Assumptions!$C$134,0)</f>
        <v>0</v>
      </c>
      <c r="M206" s="9" t="n">
        <f aca="false">IF((M$18&gt;=Assumptions!$C$5),Assumptions!$C$134,0)</f>
        <v>0</v>
      </c>
      <c r="N206" s="9" t="n">
        <f aca="false">IF((N$18&gt;=Assumptions!$C$5),Assumptions!$C$134,0)</f>
        <v>0</v>
      </c>
      <c r="O206" s="9" t="n">
        <f aca="false">IF((O$18&gt;=Assumptions!$C$5),Assumptions!$D$134,0)</f>
        <v>3000</v>
      </c>
      <c r="P206" s="9" t="n">
        <f aca="false">IF((P$18&gt;=Assumptions!$C$5),Assumptions!$D$134,0)</f>
        <v>3000</v>
      </c>
      <c r="Q206" s="9" t="n">
        <f aca="false">IF((Q$18&gt;=Assumptions!$C$5),Assumptions!$D$134,0)</f>
        <v>3000</v>
      </c>
      <c r="R206" s="9" t="n">
        <f aca="false">IF((R$18&gt;=Assumptions!$C$5),Assumptions!$D$134,0)</f>
        <v>3000</v>
      </c>
      <c r="S206" s="9" t="n">
        <f aca="false">IF((S$18&gt;=Assumptions!$C$5),Assumptions!$D$134,0)</f>
        <v>3000</v>
      </c>
      <c r="T206" s="9" t="n">
        <f aca="false">IF((T$18&gt;=Assumptions!$C$5),Assumptions!$D$134,0)</f>
        <v>3000</v>
      </c>
      <c r="U206" s="9" t="n">
        <f aca="false">IF((U$18&gt;=Assumptions!$C$5),Assumptions!$D$134,0)</f>
        <v>3000</v>
      </c>
      <c r="V206" s="9" t="n">
        <f aca="false">IF((V$18&gt;=Assumptions!$C$5),Assumptions!$D$134,0)</f>
        <v>3000</v>
      </c>
      <c r="W206" s="9" t="n">
        <f aca="false">IF((W$18&gt;=Assumptions!$C$5),Assumptions!$D$134,0)</f>
        <v>3000</v>
      </c>
      <c r="X206" s="9" t="n">
        <f aca="false">IF((X$18&gt;=Assumptions!$C$5),Assumptions!$D$134,0)</f>
        <v>3000</v>
      </c>
      <c r="Y206" s="9" t="n">
        <f aca="false">IF((Y$18&gt;=Assumptions!$C$5),Assumptions!$D$134,0)</f>
        <v>3000</v>
      </c>
      <c r="Z206" s="9" t="n">
        <f aca="false">IF((Z$18&gt;=Assumptions!$C$5),Assumptions!$D$134,0)</f>
        <v>3000</v>
      </c>
      <c r="AA206" s="9" t="n">
        <f aca="false">IF((AA$18&gt;=Assumptions!$C$5),Assumptions!$E$134,0)</f>
        <v>5000</v>
      </c>
      <c r="AB206" s="9" t="n">
        <f aca="false">IF((AB$18&gt;=Assumptions!$C$5),Assumptions!$E$134,0)</f>
        <v>5000</v>
      </c>
      <c r="AC206" s="9" t="n">
        <f aca="false">IF((AC$18&gt;=Assumptions!$C$5),Assumptions!$E$134,0)</f>
        <v>5000</v>
      </c>
      <c r="AD206" s="9" t="n">
        <f aca="false">IF((AD$18&gt;=Assumptions!$C$5),Assumptions!$E$134,0)</f>
        <v>5000</v>
      </c>
      <c r="AE206" s="9" t="n">
        <f aca="false">IF((AE$18&gt;=Assumptions!$C$5),Assumptions!$E$134,0)</f>
        <v>5000</v>
      </c>
      <c r="AF206" s="9" t="n">
        <f aca="false">IF((AF$18&gt;=Assumptions!$C$5),Assumptions!$E$134,0)</f>
        <v>5000</v>
      </c>
      <c r="AG206" s="9" t="n">
        <f aca="false">IF((AG$18&gt;=Assumptions!$C$5),Assumptions!$E$134,0)</f>
        <v>5000</v>
      </c>
      <c r="AH206" s="9" t="n">
        <f aca="false">IF((AH$18&gt;=Assumptions!$C$5),Assumptions!$E$134,0)</f>
        <v>5000</v>
      </c>
      <c r="AI206" s="9" t="n">
        <f aca="false">IF((AI$18&gt;=Assumptions!$C$5),Assumptions!$E$134,0)</f>
        <v>5000</v>
      </c>
      <c r="AJ206" s="9" t="n">
        <f aca="false">IF((AJ$18&gt;=Assumptions!$C$5),Assumptions!$E$134,0)</f>
        <v>5000</v>
      </c>
      <c r="AK206" s="9" t="n">
        <f aca="false">IF((AK$18&gt;=Assumptions!$C$5),Assumptions!$E$134,0)</f>
        <v>5000</v>
      </c>
      <c r="AL206" s="9" t="n">
        <f aca="false">IF((AL$18&gt;=Assumptions!$C$5),Assumptions!$E$134,0)</f>
        <v>5000</v>
      </c>
      <c r="AN206" s="11" t="n">
        <f aca="false">SUM(C206:N206)</f>
        <v>0</v>
      </c>
      <c r="AO206" s="11" t="n">
        <f aca="false">SUM(O206:Z206)</f>
        <v>36000</v>
      </c>
      <c r="AP206" s="11" t="n">
        <f aca="false">SUM(AA206:AL206)</f>
        <v>60000</v>
      </c>
    </row>
    <row r="207" customFormat="false" ht="15" hidden="false" customHeight="false" outlineLevel="0" collapsed="false">
      <c r="A207" s="0" t="s">
        <v>1005</v>
      </c>
      <c r="B207" s="0" t="s">
        <v>230</v>
      </c>
      <c r="C207" s="9" t="n">
        <f aca="false">((((Assumptions!$C$161+Assumptions!$C$162)+Assumptions!$C$163)+Assumptions!$C$164)/12)</f>
        <v>4833.33333333333</v>
      </c>
      <c r="D207" s="9" t="n">
        <f aca="false">((((Assumptions!$C$161+Assumptions!$C$162)+Assumptions!$C$163)+Assumptions!$C$164)/12)</f>
        <v>4833.33333333333</v>
      </c>
      <c r="E207" s="9" t="n">
        <f aca="false">((((Assumptions!$C$161+Assumptions!$C$162)+Assumptions!$C$163)+Assumptions!$C$164)/12)</f>
        <v>4833.33333333333</v>
      </c>
      <c r="F207" s="9" t="n">
        <f aca="false">((((Assumptions!$C$161+Assumptions!$C$162)+Assumptions!$C$163)+Assumptions!$C$164)/12)</f>
        <v>4833.33333333333</v>
      </c>
      <c r="G207" s="9" t="n">
        <f aca="false">((((Assumptions!$C$161+Assumptions!$C$162)+Assumptions!$C$163)+Assumptions!$C$164)/12)</f>
        <v>4833.33333333333</v>
      </c>
      <c r="H207" s="9" t="n">
        <f aca="false">((((Assumptions!$C$161+Assumptions!$C$162)+Assumptions!$C$163)+Assumptions!$C$164)/12)</f>
        <v>4833.33333333333</v>
      </c>
      <c r="I207" s="9" t="n">
        <f aca="false">((((Assumptions!$C$161+Assumptions!$C$162)+Assumptions!$C$163)+Assumptions!$C$164)/12)</f>
        <v>4833.33333333333</v>
      </c>
      <c r="J207" s="9" t="n">
        <f aca="false">((((Assumptions!$C$161+Assumptions!$C$162)+Assumptions!$C$163)+Assumptions!$C$164)/12)</f>
        <v>4833.33333333333</v>
      </c>
      <c r="K207" s="9" t="n">
        <f aca="false">((((Assumptions!$C$161+Assumptions!$C$162)+Assumptions!$C$163)+Assumptions!$C$164)/12)</f>
        <v>4833.33333333333</v>
      </c>
      <c r="L207" s="9" t="n">
        <f aca="false">((((Assumptions!$C$161+Assumptions!$C$162)+Assumptions!$C$163)+Assumptions!$C$164)/12)</f>
        <v>4833.33333333333</v>
      </c>
      <c r="M207" s="9" t="n">
        <f aca="false">((((Assumptions!$C$161+Assumptions!$C$162)+Assumptions!$C$163)+Assumptions!$C$164)/12)</f>
        <v>4833.33333333333</v>
      </c>
      <c r="N207" s="9" t="n">
        <f aca="false">((((Assumptions!$C$161+Assumptions!$C$162)+Assumptions!$C$163)+Assumptions!$C$164)/12)</f>
        <v>4833.33333333333</v>
      </c>
      <c r="O207" s="9" t="n">
        <f aca="false">((((Assumptions!$D$161+Assumptions!$D$162)+Assumptions!$D$163)+Assumptions!$D$164)/12)</f>
        <v>11083.3333333333</v>
      </c>
      <c r="P207" s="9" t="n">
        <f aca="false">((((Assumptions!$D$161+Assumptions!$D$162)+Assumptions!$D$163)+Assumptions!$D$164)/12)</f>
        <v>11083.3333333333</v>
      </c>
      <c r="Q207" s="9" t="n">
        <f aca="false">((((Assumptions!$D$161+Assumptions!$D$162)+Assumptions!$D$163)+Assumptions!$D$164)/12)</f>
        <v>11083.3333333333</v>
      </c>
      <c r="R207" s="9" t="n">
        <f aca="false">((((Assumptions!$D$161+Assumptions!$D$162)+Assumptions!$D$163)+Assumptions!$D$164)/12)</f>
        <v>11083.3333333333</v>
      </c>
      <c r="S207" s="9" t="n">
        <f aca="false">((((Assumptions!$D$161+Assumptions!$D$162)+Assumptions!$D$163)+Assumptions!$D$164)/12)</f>
        <v>11083.3333333333</v>
      </c>
      <c r="T207" s="9" t="n">
        <f aca="false">((((Assumptions!$D$161+Assumptions!$D$162)+Assumptions!$D$163)+Assumptions!$D$164)/12)</f>
        <v>11083.3333333333</v>
      </c>
      <c r="U207" s="9" t="n">
        <f aca="false">((((Assumptions!$D$161+Assumptions!$D$162)+Assumptions!$D$163)+Assumptions!$D$164)/12)</f>
        <v>11083.3333333333</v>
      </c>
      <c r="V207" s="9" t="n">
        <f aca="false">((((Assumptions!$D$161+Assumptions!$D$162)+Assumptions!$D$163)+Assumptions!$D$164)/12)</f>
        <v>11083.3333333333</v>
      </c>
      <c r="W207" s="9" t="n">
        <f aca="false">((((Assumptions!$D$161+Assumptions!$D$162)+Assumptions!$D$163)+Assumptions!$D$164)/12)</f>
        <v>11083.3333333333</v>
      </c>
      <c r="X207" s="9" t="n">
        <f aca="false">((((Assumptions!$D$161+Assumptions!$D$162)+Assumptions!$D$163)+Assumptions!$D$164)/12)</f>
        <v>11083.3333333333</v>
      </c>
      <c r="Y207" s="9" t="n">
        <f aca="false">((((Assumptions!$D$161+Assumptions!$D$162)+Assumptions!$D$163)+Assumptions!$D$164)/12)</f>
        <v>11083.3333333333</v>
      </c>
      <c r="Z207" s="9" t="n">
        <f aca="false">((((Assumptions!$D$161+Assumptions!$D$162)+Assumptions!$D$163)+Assumptions!$D$164)/12)</f>
        <v>11083.3333333333</v>
      </c>
      <c r="AA207" s="9" t="n">
        <f aca="false">((((Assumptions!$E$161+Assumptions!$E$162)+Assumptions!$E$163)+Assumptions!$E$164)/12)</f>
        <v>19166.6666666667</v>
      </c>
      <c r="AB207" s="9" t="n">
        <f aca="false">((((Assumptions!$E$161+Assumptions!$E$162)+Assumptions!$E$163)+Assumptions!$E$164)/12)</f>
        <v>19166.6666666667</v>
      </c>
      <c r="AC207" s="9" t="n">
        <f aca="false">((((Assumptions!$E$161+Assumptions!$E$162)+Assumptions!$E$163)+Assumptions!$E$164)/12)</f>
        <v>19166.6666666667</v>
      </c>
      <c r="AD207" s="9" t="n">
        <f aca="false">((((Assumptions!$E$161+Assumptions!$E$162)+Assumptions!$E$163)+Assumptions!$E$164)/12)</f>
        <v>19166.6666666667</v>
      </c>
      <c r="AE207" s="9" t="n">
        <f aca="false">((((Assumptions!$E$161+Assumptions!$E$162)+Assumptions!$E$163)+Assumptions!$E$164)/12)</f>
        <v>19166.6666666667</v>
      </c>
      <c r="AF207" s="9" t="n">
        <f aca="false">((((Assumptions!$E$161+Assumptions!$E$162)+Assumptions!$E$163)+Assumptions!$E$164)/12)</f>
        <v>19166.6666666667</v>
      </c>
      <c r="AG207" s="9" t="n">
        <f aca="false">((((Assumptions!$E$161+Assumptions!$E$162)+Assumptions!$E$163)+Assumptions!$E$164)/12)</f>
        <v>19166.6666666667</v>
      </c>
      <c r="AH207" s="9" t="n">
        <f aca="false">((((Assumptions!$E$161+Assumptions!$E$162)+Assumptions!$E$163)+Assumptions!$E$164)/12)</f>
        <v>19166.6666666667</v>
      </c>
      <c r="AI207" s="9" t="n">
        <f aca="false">((((Assumptions!$E$161+Assumptions!$E$162)+Assumptions!$E$163)+Assumptions!$E$164)/12)</f>
        <v>19166.6666666667</v>
      </c>
      <c r="AJ207" s="9" t="n">
        <f aca="false">((((Assumptions!$E$161+Assumptions!$E$162)+Assumptions!$E$163)+Assumptions!$E$164)/12)</f>
        <v>19166.6666666667</v>
      </c>
      <c r="AK207" s="9" t="n">
        <f aca="false">((((Assumptions!$E$161+Assumptions!$E$162)+Assumptions!$E$163)+Assumptions!$E$164)/12)</f>
        <v>19166.6666666667</v>
      </c>
      <c r="AL207" s="9" t="n">
        <f aca="false">((((Assumptions!$E$161+Assumptions!$E$162)+Assumptions!$E$163)+Assumptions!$E$164)/12)</f>
        <v>19166.6666666667</v>
      </c>
      <c r="AN207" s="11" t="n">
        <f aca="false">SUM(C207:N207)</f>
        <v>58000</v>
      </c>
      <c r="AO207" s="11" t="n">
        <f aca="false">SUM(O207:Z207)</f>
        <v>133000</v>
      </c>
      <c r="AP207" s="11" t="n">
        <f aca="false">SUM(AA207:AL207)</f>
        <v>230000</v>
      </c>
    </row>
    <row r="208" customFormat="false" ht="15" hidden="false" customHeight="false" outlineLevel="0" collapsed="false">
      <c r="A208" s="0" t="s">
        <v>1006</v>
      </c>
      <c r="B208" s="0" t="s">
        <v>230</v>
      </c>
      <c r="C208" s="9" t="n">
        <f aca="false">(C196*((Assumptions!$C$98+Assumptions!$C$99)+Assumptions!$C$100))</f>
        <v>3740</v>
      </c>
      <c r="D208" s="9" t="n">
        <f aca="false">(D196*((Assumptions!$C$98+Assumptions!$C$99)+Assumptions!$C$100))</f>
        <v>3740</v>
      </c>
      <c r="E208" s="9" t="n">
        <f aca="false">(E196*((Assumptions!$C$98+Assumptions!$C$99)+Assumptions!$C$100))</f>
        <v>4590</v>
      </c>
      <c r="F208" s="9" t="n">
        <f aca="false">(F196*((Assumptions!$C$98+Assumptions!$C$99)+Assumptions!$C$100))</f>
        <v>5440</v>
      </c>
      <c r="G208" s="9" t="n">
        <f aca="false">(G196*((Assumptions!$C$98+Assumptions!$C$99)+Assumptions!$C$100))</f>
        <v>7140</v>
      </c>
      <c r="H208" s="9" t="n">
        <f aca="false">(H196*((Assumptions!$C$98+Assumptions!$C$99)+Assumptions!$C$100))</f>
        <v>8840</v>
      </c>
      <c r="I208" s="9" t="n">
        <f aca="false">(I196*((Assumptions!$C$98+Assumptions!$C$99)+Assumptions!$C$100))</f>
        <v>9690</v>
      </c>
      <c r="J208" s="9" t="n">
        <f aca="false">(J196*((Assumptions!$C$98+Assumptions!$C$99)+Assumptions!$C$100))</f>
        <v>9690</v>
      </c>
      <c r="K208" s="9" t="n">
        <f aca="false">(K196*((Assumptions!$C$98+Assumptions!$C$99)+Assumptions!$C$100))</f>
        <v>12240</v>
      </c>
      <c r="L208" s="9" t="n">
        <f aca="false">(L196*((Assumptions!$C$98+Assumptions!$C$99)+Assumptions!$C$100))</f>
        <v>13090</v>
      </c>
      <c r="M208" s="9" t="n">
        <f aca="false">(M196*((Assumptions!$C$98+Assumptions!$C$99)+Assumptions!$C$100))</f>
        <v>14790</v>
      </c>
      <c r="N208" s="9" t="n">
        <f aca="false">(N196*((Assumptions!$C$98+Assumptions!$C$99)+Assumptions!$C$100))</f>
        <v>15640</v>
      </c>
      <c r="O208" s="9" t="n">
        <f aca="false">(O196*((Assumptions!$C$98+Assumptions!$C$99)+Assumptions!$C$100))</f>
        <v>17340</v>
      </c>
      <c r="P208" s="9" t="n">
        <f aca="false">(P196*((Assumptions!$C$98+Assumptions!$C$99)+Assumptions!$C$100))</f>
        <v>18190</v>
      </c>
      <c r="Q208" s="9" t="n">
        <f aca="false">(Q196*((Assumptions!$C$98+Assumptions!$C$99)+Assumptions!$C$100))</f>
        <v>19890</v>
      </c>
      <c r="R208" s="9" t="n">
        <f aca="false">(R196*((Assumptions!$C$98+Assumptions!$C$99)+Assumptions!$C$100))</f>
        <v>19890</v>
      </c>
      <c r="S208" s="9" t="n">
        <f aca="false">(S196*((Assumptions!$C$98+Assumptions!$C$99)+Assumptions!$C$100))</f>
        <v>19890</v>
      </c>
      <c r="T208" s="9" t="n">
        <f aca="false">(T196*((Assumptions!$C$98+Assumptions!$C$99)+Assumptions!$C$100))</f>
        <v>21590</v>
      </c>
      <c r="U208" s="9" t="n">
        <f aca="false">(U196*((Assumptions!$C$98+Assumptions!$C$99)+Assumptions!$C$100))</f>
        <v>22440</v>
      </c>
      <c r="V208" s="9" t="n">
        <f aca="false">(V196*((Assumptions!$C$98+Assumptions!$C$99)+Assumptions!$C$100))</f>
        <v>24140</v>
      </c>
      <c r="W208" s="9" t="n">
        <f aca="false">(W196*((Assumptions!$C$98+Assumptions!$C$99)+Assumptions!$C$100))</f>
        <v>24140</v>
      </c>
      <c r="X208" s="9" t="n">
        <f aca="false">(X196*((Assumptions!$C$98+Assumptions!$C$99)+Assumptions!$C$100))</f>
        <v>25840</v>
      </c>
      <c r="Y208" s="9" t="n">
        <f aca="false">(Y196*((Assumptions!$C$98+Assumptions!$C$99)+Assumptions!$C$100))</f>
        <v>25840</v>
      </c>
      <c r="Z208" s="9" t="n">
        <f aca="false">(Z196*((Assumptions!$C$98+Assumptions!$C$99)+Assumptions!$C$100))</f>
        <v>26690</v>
      </c>
      <c r="AA208" s="9" t="n">
        <f aca="false">(AA196*((Assumptions!$C$98+Assumptions!$C$99)+Assumptions!$C$100))</f>
        <v>27540</v>
      </c>
      <c r="AB208" s="9" t="n">
        <f aca="false">(AB196*((Assumptions!$C$98+Assumptions!$C$99)+Assumptions!$C$100))</f>
        <v>29240</v>
      </c>
      <c r="AC208" s="9" t="n">
        <f aca="false">(AC196*((Assumptions!$C$98+Assumptions!$C$99)+Assumptions!$C$100))</f>
        <v>29240</v>
      </c>
      <c r="AD208" s="9" t="n">
        <f aca="false">(AD196*((Assumptions!$C$98+Assumptions!$C$99)+Assumptions!$C$100))</f>
        <v>30940</v>
      </c>
      <c r="AE208" s="9" t="n">
        <f aca="false">(AE196*((Assumptions!$C$98+Assumptions!$C$99)+Assumptions!$C$100))</f>
        <v>30940</v>
      </c>
      <c r="AF208" s="9" t="n">
        <f aca="false">(AF196*((Assumptions!$C$98+Assumptions!$C$99)+Assumptions!$C$100))</f>
        <v>31790</v>
      </c>
      <c r="AG208" s="9" t="n">
        <f aca="false">(AG196*((Assumptions!$C$98+Assumptions!$C$99)+Assumptions!$C$100))</f>
        <v>32640</v>
      </c>
      <c r="AH208" s="9" t="n">
        <f aca="false">(AH196*((Assumptions!$C$98+Assumptions!$C$99)+Assumptions!$C$100))</f>
        <v>33490</v>
      </c>
      <c r="AI208" s="9" t="n">
        <f aca="false">(AI196*((Assumptions!$C$98+Assumptions!$C$99)+Assumptions!$C$100))</f>
        <v>34340</v>
      </c>
      <c r="AJ208" s="9" t="n">
        <f aca="false">(AJ196*((Assumptions!$C$98+Assumptions!$C$99)+Assumptions!$C$100))</f>
        <v>34340</v>
      </c>
      <c r="AK208" s="9" t="n">
        <f aca="false">(AK196*((Assumptions!$C$98+Assumptions!$C$99)+Assumptions!$C$100))</f>
        <v>34340</v>
      </c>
      <c r="AL208" s="9" t="n">
        <f aca="false">(AL196*((Assumptions!$C$98+Assumptions!$C$99)+Assumptions!$C$100))</f>
        <v>34340</v>
      </c>
      <c r="AN208" s="11" t="n">
        <f aca="false">SUM(C208:N208)</f>
        <v>108630</v>
      </c>
      <c r="AO208" s="11" t="n">
        <f aca="false">SUM(O208:Z208)</f>
        <v>265880</v>
      </c>
      <c r="AP208" s="11" t="n">
        <f aca="false">SUM(AA208:AL208)</f>
        <v>383180</v>
      </c>
    </row>
    <row r="209" customFormat="false" ht="15" hidden="false" customHeight="false" outlineLevel="0" collapsed="false">
      <c r="A209" s="0" t="s">
        <v>1007</v>
      </c>
      <c r="B209" s="0" t="s">
        <v>230</v>
      </c>
      <c r="C209" s="9" t="n">
        <f aca="false">(C198*(Assumptions!$C$101+Assumptions!$C$102))</f>
        <v>0</v>
      </c>
      <c r="D209" s="9" t="n">
        <f aca="false">(D198*(Assumptions!$C$101+Assumptions!$C$102))</f>
        <v>0</v>
      </c>
      <c r="E209" s="9" t="n">
        <f aca="false">(E198*(Assumptions!$C$101+Assumptions!$C$102))</f>
        <v>11800</v>
      </c>
      <c r="F209" s="9" t="n">
        <f aca="false">(F198*(Assumptions!$C$101+Assumptions!$C$102))</f>
        <v>11800</v>
      </c>
      <c r="G209" s="9" t="n">
        <f aca="false">(G198*(Assumptions!$C$101+Assumptions!$C$102))</f>
        <v>23600</v>
      </c>
      <c r="H209" s="9" t="n">
        <f aca="false">(H198*(Assumptions!$C$101+Assumptions!$C$102))</f>
        <v>23600</v>
      </c>
      <c r="I209" s="9" t="n">
        <f aca="false">(I198*(Assumptions!$C$101+Assumptions!$C$102))</f>
        <v>11800</v>
      </c>
      <c r="J209" s="9" t="n">
        <f aca="false">(J198*(Assumptions!$C$101+Assumptions!$C$102))</f>
        <v>0</v>
      </c>
      <c r="K209" s="9" t="n">
        <f aca="false">(K198*(Assumptions!$C$101+Assumptions!$C$102))</f>
        <v>35400</v>
      </c>
      <c r="L209" s="9" t="n">
        <f aca="false">(L198*(Assumptions!$C$101+Assumptions!$C$102))</f>
        <v>11800</v>
      </c>
      <c r="M209" s="9" t="n">
        <f aca="false">(M198*(Assumptions!$C$101+Assumptions!$C$102))</f>
        <v>23600</v>
      </c>
      <c r="N209" s="9" t="n">
        <f aca="false">(N198*(Assumptions!$C$101+Assumptions!$C$102))</f>
        <v>11800</v>
      </c>
      <c r="O209" s="9" t="n">
        <f aca="false">(O198*(Assumptions!$C$101+Assumptions!$C$102))</f>
        <v>23600</v>
      </c>
      <c r="P209" s="9" t="n">
        <f aca="false">(P198*(Assumptions!$C$101+Assumptions!$C$102))</f>
        <v>11800</v>
      </c>
      <c r="Q209" s="9" t="n">
        <f aca="false">(Q198*(Assumptions!$C$101+Assumptions!$C$102))</f>
        <v>23600</v>
      </c>
      <c r="R209" s="9" t="n">
        <f aca="false">(R198*(Assumptions!$C$101+Assumptions!$C$102))</f>
        <v>0</v>
      </c>
      <c r="S209" s="9" t="n">
        <f aca="false">(S198*(Assumptions!$C$101+Assumptions!$C$102))</f>
        <v>0</v>
      </c>
      <c r="T209" s="9" t="n">
        <f aca="false">(T198*(Assumptions!$C$101+Assumptions!$C$102))</f>
        <v>23600</v>
      </c>
      <c r="U209" s="9" t="n">
        <f aca="false">(U198*(Assumptions!$C$101+Assumptions!$C$102))</f>
        <v>11800</v>
      </c>
      <c r="V209" s="9" t="n">
        <f aca="false">(V198*(Assumptions!$C$101+Assumptions!$C$102))</f>
        <v>23600</v>
      </c>
      <c r="W209" s="9" t="n">
        <f aca="false">(W198*(Assumptions!$C$101+Assumptions!$C$102))</f>
        <v>0</v>
      </c>
      <c r="X209" s="9" t="n">
        <f aca="false">(X198*(Assumptions!$C$101+Assumptions!$C$102))</f>
        <v>23600</v>
      </c>
      <c r="Y209" s="9" t="n">
        <f aca="false">(Y198*(Assumptions!$C$101+Assumptions!$C$102))</f>
        <v>0</v>
      </c>
      <c r="Z209" s="9" t="n">
        <f aca="false">(Z198*(Assumptions!$C$101+Assumptions!$C$102))</f>
        <v>11800</v>
      </c>
      <c r="AA209" s="9" t="n">
        <f aca="false">(AA198*(Assumptions!$C$101+Assumptions!$C$102))</f>
        <v>11800</v>
      </c>
      <c r="AB209" s="9" t="n">
        <f aca="false">(AB198*(Assumptions!$C$101+Assumptions!$C$102))</f>
        <v>23600</v>
      </c>
      <c r="AC209" s="9" t="n">
        <f aca="false">(AC198*(Assumptions!$C$101+Assumptions!$C$102))</f>
        <v>0</v>
      </c>
      <c r="AD209" s="9" t="n">
        <f aca="false">(AD198*(Assumptions!$C$101+Assumptions!$C$102))</f>
        <v>23600</v>
      </c>
      <c r="AE209" s="9" t="n">
        <f aca="false">(AE198*(Assumptions!$C$101+Assumptions!$C$102))</f>
        <v>0</v>
      </c>
      <c r="AF209" s="9" t="n">
        <f aca="false">(AF198*(Assumptions!$C$101+Assumptions!$C$102))</f>
        <v>11800</v>
      </c>
      <c r="AG209" s="9" t="n">
        <f aca="false">(AG198*(Assumptions!$C$101+Assumptions!$C$102))</f>
        <v>11800</v>
      </c>
      <c r="AH209" s="9" t="n">
        <f aca="false">(AH198*(Assumptions!$C$101+Assumptions!$C$102))</f>
        <v>11800</v>
      </c>
      <c r="AI209" s="9" t="n">
        <f aca="false">(AI198*(Assumptions!$C$101+Assumptions!$C$102))</f>
        <v>11800</v>
      </c>
      <c r="AJ209" s="9" t="n">
        <f aca="false">(AJ198*(Assumptions!$C$101+Assumptions!$C$102))</f>
        <v>0</v>
      </c>
      <c r="AK209" s="9" t="n">
        <f aca="false">(AK198*(Assumptions!$C$101+Assumptions!$C$102))</f>
        <v>0</v>
      </c>
      <c r="AL209" s="9" t="n">
        <f aca="false">(AL198*(Assumptions!$C$101+Assumptions!$C$102))</f>
        <v>0</v>
      </c>
      <c r="AN209" s="11" t="n">
        <f aca="false">SUM(C209:N209)</f>
        <v>165200</v>
      </c>
      <c r="AO209" s="11" t="n">
        <f aca="false">SUM(O209:Z209)</f>
        <v>153400</v>
      </c>
      <c r="AP209" s="11" t="n">
        <f aca="false">SUM(AA209:AL209)</f>
        <v>106200</v>
      </c>
    </row>
    <row r="210" customFormat="false" ht="15" hidden="false" customHeight="false" outlineLevel="0" collapsed="false">
      <c r="A210" s="0" t="s">
        <v>1008</v>
      </c>
      <c r="B210" s="0" t="s">
        <v>230</v>
      </c>
      <c r="C210" s="9" t="n">
        <f aca="false">(Assumptions!$C$103*((((((C199+C200)+C201)+C202)+C203)+C205)+C207))</f>
        <v>1791.66666666667</v>
      </c>
      <c r="D210" s="9" t="n">
        <f aca="false">(Assumptions!$C$103*((((((D199+D200)+D201)+D202)+D203)+D205)+D207))</f>
        <v>1791.66666666667</v>
      </c>
      <c r="E210" s="9" t="n">
        <f aca="false">(Assumptions!$C$103*((((((E199+E200)+E201)+E202)+E203)+E205)+E207))</f>
        <v>1791.66666666667</v>
      </c>
      <c r="F210" s="9" t="n">
        <f aca="false">(Assumptions!$C$103*((((((F199+F200)+F201)+F202)+F203)+F205)+F207))</f>
        <v>1791.66666666667</v>
      </c>
      <c r="G210" s="9" t="n">
        <f aca="false">(Assumptions!$C$103*((((((G199+G200)+G201)+G202)+G203)+G205)+G207))</f>
        <v>1791.66666666667</v>
      </c>
      <c r="H210" s="9" t="n">
        <f aca="false">(Assumptions!$C$103*((((((H199+H200)+H201)+H202)+H203)+H205)+H207))</f>
        <v>1791.66666666667</v>
      </c>
      <c r="I210" s="9" t="n">
        <f aca="false">(Assumptions!$C$103*((((((I199+I200)+I201)+I202)+I203)+I205)+I207))</f>
        <v>1791.66666666667</v>
      </c>
      <c r="J210" s="9" t="n">
        <f aca="false">(Assumptions!$C$103*((((((J199+J200)+J201)+J202)+J203)+J205)+J207))</f>
        <v>1791.66666666667</v>
      </c>
      <c r="K210" s="9" t="n">
        <f aca="false">(Assumptions!$C$103*((((((K199+K200)+K201)+K202)+K203)+K205)+K207))</f>
        <v>1791.66666666667</v>
      </c>
      <c r="L210" s="9" t="n">
        <f aca="false">(Assumptions!$C$103*((((((L199+L200)+L201)+L202)+L203)+L205)+L207))</f>
        <v>1791.66666666667</v>
      </c>
      <c r="M210" s="9" t="n">
        <f aca="false">(Assumptions!$C$103*((((((M199+M200)+M201)+M202)+M203)+M205)+M207))</f>
        <v>1791.66666666667</v>
      </c>
      <c r="N210" s="9" t="n">
        <f aca="false">(Assumptions!$C$103*((((((N199+N200)+N201)+N202)+N203)+N205)+N207))</f>
        <v>1791.66666666667</v>
      </c>
      <c r="O210" s="9" t="n">
        <f aca="false">(Assumptions!$C$103*((((((O199+O200)+O201)+O202)+O203)+O205)+O207))</f>
        <v>3058.33333333333</v>
      </c>
      <c r="P210" s="9" t="n">
        <f aca="false">(Assumptions!$C$103*((((((P199+P200)+P201)+P202)+P203)+P205)+P207))</f>
        <v>3058.33333333333</v>
      </c>
      <c r="Q210" s="9" t="n">
        <f aca="false">(Assumptions!$C$103*((((((Q199+Q200)+Q201)+Q202)+Q203)+Q205)+Q207))</f>
        <v>3058.33333333333</v>
      </c>
      <c r="R210" s="9" t="n">
        <f aca="false">(Assumptions!$C$103*((((((R199+R200)+R201)+R202)+R203)+R205)+R207))</f>
        <v>3058.33333333333</v>
      </c>
      <c r="S210" s="9" t="n">
        <f aca="false">(Assumptions!$C$103*((((((S199+S200)+S201)+S202)+S203)+S205)+S207))</f>
        <v>3058.33333333333</v>
      </c>
      <c r="T210" s="9" t="n">
        <f aca="false">(Assumptions!$C$103*((((((T199+T200)+T201)+T202)+T203)+T205)+T207))</f>
        <v>3058.33333333333</v>
      </c>
      <c r="U210" s="9" t="n">
        <f aca="false">(Assumptions!$C$103*((((((U199+U200)+U201)+U202)+U203)+U205)+U207))</f>
        <v>3058.33333333333</v>
      </c>
      <c r="V210" s="9" t="n">
        <f aca="false">(Assumptions!$C$103*((((((V199+V200)+V201)+V202)+V203)+V205)+V207))</f>
        <v>3058.33333333333</v>
      </c>
      <c r="W210" s="9" t="n">
        <f aca="false">(Assumptions!$C$103*((((((W199+W200)+W201)+W202)+W203)+W205)+W207))</f>
        <v>3058.33333333333</v>
      </c>
      <c r="X210" s="9" t="n">
        <f aca="false">(Assumptions!$C$103*((((((X199+X200)+X201)+X202)+X203)+X205)+X207))</f>
        <v>3058.33333333333</v>
      </c>
      <c r="Y210" s="9" t="n">
        <f aca="false">(Assumptions!$C$103*((((((Y199+Y200)+Y201)+Y202)+Y203)+Y205)+Y207))</f>
        <v>3058.33333333333</v>
      </c>
      <c r="Z210" s="9" t="n">
        <f aca="false">(Assumptions!$C$103*((((((Z199+Z200)+Z201)+Z202)+Z203)+Z205)+Z207))</f>
        <v>3058.33333333333</v>
      </c>
      <c r="AA210" s="9" t="n">
        <f aca="false">(Assumptions!$C$103*((((((AA199+AA200)+AA201)+AA202)+AA203)+AA205)+AA207))</f>
        <v>4754.16666666667</v>
      </c>
      <c r="AB210" s="9" t="n">
        <f aca="false">(Assumptions!$C$103*((((((AB199+AB200)+AB201)+AB202)+AB203)+AB205)+AB207))</f>
        <v>4754.16666666667</v>
      </c>
      <c r="AC210" s="9" t="n">
        <f aca="false">(Assumptions!$C$103*((((((AC199+AC200)+AC201)+AC202)+AC203)+AC205)+AC207))</f>
        <v>4754.16666666667</v>
      </c>
      <c r="AD210" s="9" t="n">
        <f aca="false">(Assumptions!$C$103*((((((AD199+AD200)+AD201)+AD202)+AD203)+AD205)+AD207))</f>
        <v>4754.16666666667</v>
      </c>
      <c r="AE210" s="9" t="n">
        <f aca="false">(Assumptions!$C$103*((((((AE199+AE200)+AE201)+AE202)+AE203)+AE205)+AE207))</f>
        <v>4754.16666666667</v>
      </c>
      <c r="AF210" s="9" t="n">
        <f aca="false">(Assumptions!$C$103*((((((AF199+AF200)+AF201)+AF202)+AF203)+AF205)+AF207))</f>
        <v>4754.16666666667</v>
      </c>
      <c r="AG210" s="9" t="n">
        <f aca="false">(Assumptions!$C$103*((((((AG199+AG200)+AG201)+AG202)+AG203)+AG205)+AG207))</f>
        <v>4754.16666666667</v>
      </c>
      <c r="AH210" s="9" t="n">
        <f aca="false">(Assumptions!$C$103*((((((AH199+AH200)+AH201)+AH202)+AH203)+AH205)+AH207))</f>
        <v>4754.16666666667</v>
      </c>
      <c r="AI210" s="9" t="n">
        <f aca="false">(Assumptions!$C$103*((((((AI199+AI200)+AI201)+AI202)+AI203)+AI205)+AI207))</f>
        <v>4754.16666666667</v>
      </c>
      <c r="AJ210" s="9" t="n">
        <f aca="false">(Assumptions!$C$103*((((((AJ199+AJ200)+AJ201)+AJ202)+AJ203)+AJ205)+AJ207))</f>
        <v>4754.16666666667</v>
      </c>
      <c r="AK210" s="9" t="n">
        <f aca="false">(Assumptions!$C$103*((((((AK199+AK200)+AK201)+AK202)+AK203)+AK205)+AK207))</f>
        <v>4754.16666666667</v>
      </c>
      <c r="AL210" s="9" t="n">
        <f aca="false">(Assumptions!$C$103*((((((AL199+AL200)+AL201)+AL202)+AL203)+AL205)+AL207))</f>
        <v>4754.16666666667</v>
      </c>
      <c r="AN210" s="11" t="n">
        <f aca="false">SUM(C210:N210)</f>
        <v>21500</v>
      </c>
      <c r="AO210" s="11" t="n">
        <f aca="false">SUM(O210:Z210)</f>
        <v>36700</v>
      </c>
      <c r="AP210" s="11" t="n">
        <f aca="false">SUM(AA210:AL210)</f>
        <v>57050</v>
      </c>
    </row>
    <row r="211" customFormat="false" ht="15" hidden="false" customHeight="false" outlineLevel="0" collapsed="false">
      <c r="A211" s="0" t="s">
        <v>1009</v>
      </c>
      <c r="B211" s="0" t="s">
        <v>230</v>
      </c>
      <c r="C211" s="9" t="n">
        <f aca="false">(Assumptions!$C$33*C152)</f>
        <v>0</v>
      </c>
      <c r="D211" s="9" t="n">
        <f aca="false">(Assumptions!$C$33*D152)</f>
        <v>0</v>
      </c>
      <c r="E211" s="9" t="n">
        <f aca="false">(Assumptions!$C$33*E152)</f>
        <v>0</v>
      </c>
      <c r="F211" s="9" t="n">
        <f aca="false">(Assumptions!$C$33*F152)</f>
        <v>0</v>
      </c>
      <c r="G211" s="9" t="n">
        <f aca="false">(Assumptions!$C$33*G152)</f>
        <v>0</v>
      </c>
      <c r="H211" s="9" t="n">
        <f aca="false">(Assumptions!$C$33*H152)</f>
        <v>0</v>
      </c>
      <c r="I211" s="9" t="n">
        <f aca="false">(Assumptions!$C$33*I152)</f>
        <v>0</v>
      </c>
      <c r="J211" s="9" t="n">
        <f aca="false">(Assumptions!$C$33*J152)</f>
        <v>0</v>
      </c>
      <c r="K211" s="9" t="n">
        <f aca="false">(Assumptions!$C$33*K152)</f>
        <v>0</v>
      </c>
      <c r="L211" s="9" t="n">
        <f aca="false">(Assumptions!$C$33*L152)</f>
        <v>0</v>
      </c>
      <c r="M211" s="9" t="n">
        <f aca="false">(Assumptions!$C$33*M152)</f>
        <v>0</v>
      </c>
      <c r="N211" s="9" t="n">
        <f aca="false">(Assumptions!$C$33*N152)</f>
        <v>158.4</v>
      </c>
      <c r="O211" s="9" t="n">
        <f aca="false">(Assumptions!$C$33*O152)</f>
        <v>360</v>
      </c>
      <c r="P211" s="9" t="n">
        <f aca="false">(Assumptions!$C$33*P152)</f>
        <v>0</v>
      </c>
      <c r="Q211" s="9" t="n">
        <f aca="false">(Assumptions!$C$33*Q152)</f>
        <v>448.8</v>
      </c>
      <c r="R211" s="9" t="n">
        <f aca="false">(Assumptions!$C$33*R152)</f>
        <v>1120</v>
      </c>
      <c r="S211" s="9" t="n">
        <f aca="false">(Assumptions!$C$33*S152)</f>
        <v>0</v>
      </c>
      <c r="T211" s="9" t="n">
        <f aca="false">(Assumptions!$C$33*T152)</f>
        <v>0</v>
      </c>
      <c r="U211" s="9" t="n">
        <f aca="false">(Assumptions!$C$33*U152)</f>
        <v>1480</v>
      </c>
      <c r="V211" s="9" t="n">
        <f aca="false">(Assumptions!$C$33*V152)</f>
        <v>94.5</v>
      </c>
      <c r="W211" s="9" t="n">
        <f aca="false">(Assumptions!$C$33*W152)</f>
        <v>0</v>
      </c>
      <c r="X211" s="9" t="n">
        <f aca="false">(Assumptions!$C$33*X152)</f>
        <v>1480</v>
      </c>
      <c r="Y211" s="9" t="n">
        <f aca="false">(Assumptions!$C$33*Y152)</f>
        <v>837.6</v>
      </c>
      <c r="Z211" s="9" t="n">
        <f aca="false">(Assumptions!$C$33*Z152)</f>
        <v>153.3312</v>
      </c>
      <c r="AA211" s="9" t="n">
        <f aca="false">(Assumptions!$C$33*AA152)</f>
        <v>1840</v>
      </c>
      <c r="AB211" s="9" t="n">
        <f aca="false">(Assumptions!$C$33*AB152)</f>
        <v>2140.1</v>
      </c>
      <c r="AC211" s="9" t="n">
        <f aca="false">(Assumptions!$C$33*AC152)</f>
        <v>434.4384</v>
      </c>
      <c r="AD211" s="9" t="n">
        <f aca="false">(Assumptions!$C$33*AD152)</f>
        <v>2600</v>
      </c>
      <c r="AE211" s="9" t="n">
        <f aca="false">(Assumptions!$C$33*AE152)</f>
        <v>2614.1</v>
      </c>
      <c r="AF211" s="9" t="n">
        <f aca="false">(Assumptions!$C$33*AF152)</f>
        <v>1660</v>
      </c>
      <c r="AG211" s="9" t="n">
        <f aca="false">(Assumptions!$C$33*AG152)</f>
        <v>2600</v>
      </c>
      <c r="AH211" s="9" t="n">
        <f aca="false">(Assumptions!$C$33*AH152)</f>
        <v>2836.376</v>
      </c>
      <c r="AI211" s="9" t="n">
        <f aca="false">(Assumptions!$C$33*AI152)</f>
        <v>0</v>
      </c>
      <c r="AJ211" s="9" t="n">
        <f aca="false">(Assumptions!$C$33*AJ152)</f>
        <v>2960</v>
      </c>
      <c r="AK211" s="9" t="n">
        <f aca="false">(Assumptions!$C$33*AK152)</f>
        <v>5368.8568</v>
      </c>
      <c r="AL211" s="9" t="n">
        <f aca="false">(Assumptions!$C$33*AL152)</f>
        <v>4804.4246016</v>
      </c>
      <c r="AN211" s="11" t="n">
        <f aca="false">SUM(C211:N211)</f>
        <v>158.4</v>
      </c>
      <c r="AO211" s="11" t="n">
        <f aca="false">SUM(O211:Z211)</f>
        <v>5974.2312</v>
      </c>
      <c r="AP211" s="11" t="n">
        <f aca="false">SUM(AA211:AL211)</f>
        <v>29858.2958016</v>
      </c>
    </row>
    <row r="212" customFormat="false" ht="15" hidden="false" customHeight="false" outlineLevel="0" collapsed="false">
      <c r="A212" s="0" t="s">
        <v>1010</v>
      </c>
      <c r="B212" s="0" t="s">
        <v>230</v>
      </c>
      <c r="C212" s="9" t="n">
        <f aca="false">IF(AND(($C$14=1),(C$18=Assumptions!$C$106)),(((((Assumptions!$C$107+Assumptions!$C$108)+Assumptions!$C$111)+Assumptions!$C$112)+(Assumptions!$C$109*Assumptions!$C$110))-Assumptions!$C$113),0)</f>
        <v>0</v>
      </c>
      <c r="D212" s="9" t="n">
        <f aca="false">IF(AND(($C$14=1),(D$18=Assumptions!$C$106)),(((((Assumptions!$C$107+Assumptions!$C$108)+Assumptions!$C$111)+Assumptions!$C$112)+(Assumptions!$C$109*Assumptions!$C$110))-Assumptions!$C$113),0)</f>
        <v>0</v>
      </c>
      <c r="E212" s="9" t="n">
        <f aca="false">IF(AND(($C$14=1),(E$18=Assumptions!$C$106)),(((((Assumptions!$C$107+Assumptions!$C$108)+Assumptions!$C$111)+Assumptions!$C$112)+(Assumptions!$C$109*Assumptions!$C$110))-Assumptions!$C$113),0)</f>
        <v>0</v>
      </c>
      <c r="F212" s="9" t="n">
        <f aca="false">IF(AND(($C$14=1),(F$18=Assumptions!$C$106)),(((((Assumptions!$C$107+Assumptions!$C$108)+Assumptions!$C$111)+Assumptions!$C$112)+(Assumptions!$C$109*Assumptions!$C$110))-Assumptions!$C$113),0)</f>
        <v>0</v>
      </c>
      <c r="G212" s="9" t="n">
        <f aca="false">IF(AND(($C$14=1),(G$18=Assumptions!$C$106)),(((((Assumptions!$C$107+Assumptions!$C$108)+Assumptions!$C$111)+Assumptions!$C$112)+(Assumptions!$C$109*Assumptions!$C$110))-Assumptions!$C$113),0)</f>
        <v>0</v>
      </c>
      <c r="H212" s="9" t="n">
        <f aca="false">IF(AND(($C$14=1),(H$18=Assumptions!$C$106)),(((((Assumptions!$C$107+Assumptions!$C$108)+Assumptions!$C$111)+Assumptions!$C$112)+(Assumptions!$C$109*Assumptions!$C$110))-Assumptions!$C$113),0)</f>
        <v>0</v>
      </c>
      <c r="I212" s="9" t="n">
        <f aca="false">IF(AND(($C$14=1),(I$18=Assumptions!$C$106)),(((((Assumptions!$C$107+Assumptions!$C$108)+Assumptions!$C$111)+Assumptions!$C$112)+(Assumptions!$C$109*Assumptions!$C$110))-Assumptions!$C$113),0)</f>
        <v>0</v>
      </c>
      <c r="J212" s="9" t="n">
        <f aca="false">IF(AND(($C$14=1),(J$18=Assumptions!$C$106)),(((((Assumptions!$C$107+Assumptions!$C$108)+Assumptions!$C$111)+Assumptions!$C$112)+(Assumptions!$C$109*Assumptions!$C$110))-Assumptions!$C$113),0)</f>
        <v>0</v>
      </c>
      <c r="K212" s="9" t="n">
        <f aca="false">IF(AND(($C$14=1),(K$18=Assumptions!$C$106)),(((((Assumptions!$C$107+Assumptions!$C$108)+Assumptions!$C$111)+Assumptions!$C$112)+(Assumptions!$C$109*Assumptions!$C$110))-Assumptions!$C$113),0)</f>
        <v>0</v>
      </c>
      <c r="L212" s="9" t="n">
        <f aca="false">IF(AND(($C$14=1),(L$18=Assumptions!$C$106)),(((((Assumptions!$C$107+Assumptions!$C$108)+Assumptions!$C$111)+Assumptions!$C$112)+(Assumptions!$C$109*Assumptions!$C$110))-Assumptions!$C$113),0)</f>
        <v>0</v>
      </c>
      <c r="M212" s="9" t="n">
        <f aca="false">IF(AND(($C$14=1),(M$18=Assumptions!$C$106)),(((((Assumptions!$C$107+Assumptions!$C$108)+Assumptions!$C$111)+Assumptions!$C$112)+(Assumptions!$C$109*Assumptions!$C$110))-Assumptions!$C$113),0)</f>
        <v>0</v>
      </c>
      <c r="N212" s="9" t="n">
        <f aca="false">IF(AND(($C$14=1),(N$18=Assumptions!$C$106)),(((((Assumptions!$C$107+Assumptions!$C$108)+Assumptions!$C$111)+Assumptions!$C$112)+(Assumptions!$C$109*Assumptions!$C$110))-Assumptions!$C$113),0)</f>
        <v>0</v>
      </c>
      <c r="O212" s="9" t="n">
        <f aca="false">IF(AND(($C$14=1),(O$18=Assumptions!$C$106)),(((((Assumptions!$C$107+Assumptions!$C$108)+Assumptions!$C$111)+Assumptions!$C$112)+(Assumptions!$C$109*Assumptions!$C$110))-Assumptions!$C$113),0)</f>
        <v>0</v>
      </c>
      <c r="P212" s="9" t="n">
        <f aca="false">IF(AND(($C$14=1),(P$18=Assumptions!$C$106)),(((((Assumptions!$C$107+Assumptions!$C$108)+Assumptions!$C$111)+Assumptions!$C$112)+(Assumptions!$C$109*Assumptions!$C$110))-Assumptions!$C$113),0)</f>
        <v>0</v>
      </c>
      <c r="Q212" s="9" t="n">
        <f aca="false">IF(AND(($C$14=1),(Q$18=Assumptions!$C$106)),(((((Assumptions!$C$107+Assumptions!$C$108)+Assumptions!$C$111)+Assumptions!$C$112)+(Assumptions!$C$109*Assumptions!$C$110))-Assumptions!$C$113),0)</f>
        <v>0</v>
      </c>
      <c r="R212" s="9" t="n">
        <f aca="false">IF(AND(($C$14=1),(R$18=Assumptions!$C$106)),(((((Assumptions!$C$107+Assumptions!$C$108)+Assumptions!$C$111)+Assumptions!$C$112)+(Assumptions!$C$109*Assumptions!$C$110))-Assumptions!$C$113),0)</f>
        <v>0</v>
      </c>
      <c r="S212" s="9" t="n">
        <f aca="false">IF(AND(($C$14=1),(S$18=Assumptions!$C$106)),(((((Assumptions!$C$107+Assumptions!$C$108)+Assumptions!$C$111)+Assumptions!$C$112)+(Assumptions!$C$109*Assumptions!$C$110))-Assumptions!$C$113),0)</f>
        <v>0</v>
      </c>
      <c r="T212" s="9" t="n">
        <f aca="false">IF(AND(($C$14=1),(T$18=Assumptions!$C$106)),(((((Assumptions!$C$107+Assumptions!$C$108)+Assumptions!$C$111)+Assumptions!$C$112)+(Assumptions!$C$109*Assumptions!$C$110))-Assumptions!$C$113),0)</f>
        <v>0</v>
      </c>
      <c r="U212" s="9" t="n">
        <f aca="false">IF(AND(($C$14=1),(U$18=Assumptions!$C$106)),(((((Assumptions!$C$107+Assumptions!$C$108)+Assumptions!$C$111)+Assumptions!$C$112)+(Assumptions!$C$109*Assumptions!$C$110))-Assumptions!$C$113),0)</f>
        <v>0</v>
      </c>
      <c r="V212" s="9" t="n">
        <f aca="false">IF(AND(($C$14=1),(V$18=Assumptions!$C$106)),(((((Assumptions!$C$107+Assumptions!$C$108)+Assumptions!$C$111)+Assumptions!$C$112)+(Assumptions!$C$109*Assumptions!$C$110))-Assumptions!$C$113),0)</f>
        <v>0</v>
      </c>
      <c r="W212" s="9" t="n">
        <f aca="false">IF(AND(($C$14=1),(W$18=Assumptions!$C$106)),(((((Assumptions!$C$107+Assumptions!$C$108)+Assumptions!$C$111)+Assumptions!$C$112)+(Assumptions!$C$109*Assumptions!$C$110))-Assumptions!$C$113),0)</f>
        <v>0</v>
      </c>
      <c r="X212" s="9" t="n">
        <f aca="false">IF(AND(($C$14=1),(X$18=Assumptions!$C$106)),(((((Assumptions!$C$107+Assumptions!$C$108)+Assumptions!$C$111)+Assumptions!$C$112)+(Assumptions!$C$109*Assumptions!$C$110))-Assumptions!$C$113),0)</f>
        <v>0</v>
      </c>
      <c r="Y212" s="9" t="n">
        <f aca="false">IF(AND(($C$14=1),(Y$18=Assumptions!$C$106)),(((((Assumptions!$C$107+Assumptions!$C$108)+Assumptions!$C$111)+Assumptions!$C$112)+(Assumptions!$C$109*Assumptions!$C$110))-Assumptions!$C$113),0)</f>
        <v>0</v>
      </c>
      <c r="Z212" s="9" t="n">
        <f aca="false">IF(AND(($C$14=1),(Z$18=Assumptions!$C$106)),(((((Assumptions!$C$107+Assumptions!$C$108)+Assumptions!$C$111)+Assumptions!$C$112)+(Assumptions!$C$109*Assumptions!$C$110))-Assumptions!$C$113),0)</f>
        <v>0</v>
      </c>
      <c r="AA212" s="9" t="n">
        <f aca="false">IF(AND(($C$14=1),(AA$18=Assumptions!$C$106)),(((((Assumptions!$C$107+Assumptions!$C$108)+Assumptions!$C$111)+Assumptions!$C$112)+(Assumptions!$C$109*Assumptions!$C$110))-Assumptions!$C$113),0)</f>
        <v>0</v>
      </c>
      <c r="AB212" s="9" t="n">
        <f aca="false">IF(AND(($C$14=1),(AB$18=Assumptions!$C$106)),(((((Assumptions!$C$107+Assumptions!$C$108)+Assumptions!$C$111)+Assumptions!$C$112)+(Assumptions!$C$109*Assumptions!$C$110))-Assumptions!$C$113),0)</f>
        <v>0</v>
      </c>
      <c r="AC212" s="9" t="n">
        <f aca="false">IF(AND(($C$14=1),(AC$18=Assumptions!$C$106)),(((((Assumptions!$C$107+Assumptions!$C$108)+Assumptions!$C$111)+Assumptions!$C$112)+(Assumptions!$C$109*Assumptions!$C$110))-Assumptions!$C$113),0)</f>
        <v>0</v>
      </c>
      <c r="AD212" s="9" t="n">
        <f aca="false">IF(AND(($C$14=1),(AD$18=Assumptions!$C$106)),(((((Assumptions!$C$107+Assumptions!$C$108)+Assumptions!$C$111)+Assumptions!$C$112)+(Assumptions!$C$109*Assumptions!$C$110))-Assumptions!$C$113),0)</f>
        <v>0</v>
      </c>
      <c r="AE212" s="9" t="n">
        <f aca="false">IF(AND(($C$14=1),(AE$18=Assumptions!$C$106)),(((((Assumptions!$C$107+Assumptions!$C$108)+Assumptions!$C$111)+Assumptions!$C$112)+(Assumptions!$C$109*Assumptions!$C$110))-Assumptions!$C$113),0)</f>
        <v>0</v>
      </c>
      <c r="AF212" s="9" t="n">
        <f aca="false">IF(AND(($C$14=1),(AF$18=Assumptions!$C$106)),(((((Assumptions!$C$107+Assumptions!$C$108)+Assumptions!$C$111)+Assumptions!$C$112)+(Assumptions!$C$109*Assumptions!$C$110))-Assumptions!$C$113),0)</f>
        <v>0</v>
      </c>
      <c r="AG212" s="9" t="n">
        <f aca="false">IF(AND(($C$14=1),(AG$18=Assumptions!$C$106)),(((((Assumptions!$C$107+Assumptions!$C$108)+Assumptions!$C$111)+Assumptions!$C$112)+(Assumptions!$C$109*Assumptions!$C$110))-Assumptions!$C$113),0)</f>
        <v>0</v>
      </c>
      <c r="AH212" s="9" t="n">
        <f aca="false">IF(AND(($C$14=1),(AH$18=Assumptions!$C$106)),(((((Assumptions!$C$107+Assumptions!$C$108)+Assumptions!$C$111)+Assumptions!$C$112)+(Assumptions!$C$109*Assumptions!$C$110))-Assumptions!$C$113),0)</f>
        <v>0</v>
      </c>
      <c r="AI212" s="9" t="n">
        <f aca="false">IF(AND(($C$14=1),(AI$18=Assumptions!$C$106)),(((((Assumptions!$C$107+Assumptions!$C$108)+Assumptions!$C$111)+Assumptions!$C$112)+(Assumptions!$C$109*Assumptions!$C$110))-Assumptions!$C$113),0)</f>
        <v>0</v>
      </c>
      <c r="AJ212" s="9" t="n">
        <f aca="false">IF(AND(($C$14=1),(AJ$18=Assumptions!$C$106)),(((((Assumptions!$C$107+Assumptions!$C$108)+Assumptions!$C$111)+Assumptions!$C$112)+(Assumptions!$C$109*Assumptions!$C$110))-Assumptions!$C$113),0)</f>
        <v>0</v>
      </c>
      <c r="AK212" s="9" t="n">
        <f aca="false">IF(AND(($C$14=1),(AK$18=Assumptions!$C$106)),(((((Assumptions!$C$107+Assumptions!$C$108)+Assumptions!$C$111)+Assumptions!$C$112)+(Assumptions!$C$109*Assumptions!$C$110))-Assumptions!$C$113),0)</f>
        <v>0</v>
      </c>
      <c r="AL212" s="9" t="n">
        <f aca="false">IF(AND(($C$14=1),(AL$18=Assumptions!$C$106)),(((((Assumptions!$C$107+Assumptions!$C$108)+Assumptions!$C$111)+Assumptions!$C$112)+(Assumptions!$C$109*Assumptions!$C$110))-Assumptions!$C$113),0)</f>
        <v>0</v>
      </c>
      <c r="AN212" s="11" t="n">
        <f aca="false">SUM(C212:N212)</f>
        <v>0</v>
      </c>
      <c r="AO212" s="11" t="n">
        <f aca="false">SUM(O212:Z212)</f>
        <v>0</v>
      </c>
      <c r="AP212" s="11" t="n">
        <f aca="false">SUM(AA212:AL212)</f>
        <v>0</v>
      </c>
    </row>
    <row r="213" customFormat="false" ht="15" hidden="false" customHeight="false" outlineLevel="0" collapsed="false">
      <c r="A213" s="0" t="s">
        <v>32</v>
      </c>
      <c r="B213" s="0" t="s">
        <v>230</v>
      </c>
      <c r="C213" s="9" t="n">
        <f aca="false">(C190+C191)</f>
        <v>41683.3333333333</v>
      </c>
      <c r="D213" s="9" t="n">
        <f aca="false">(D190+D191)</f>
        <v>41683.3333333333</v>
      </c>
      <c r="E213" s="9" t="n">
        <f aca="false">(E190+E191)</f>
        <v>54900</v>
      </c>
      <c r="F213" s="9" t="n">
        <f aca="false">(F190+F191)</f>
        <v>69133.3333333333</v>
      </c>
      <c r="G213" s="9" t="n">
        <f aca="false">(G190+G191)</f>
        <v>85400</v>
      </c>
      <c r="H213" s="9" t="n">
        <f aca="false">(H190+H191)</f>
        <v>100650</v>
      </c>
      <c r="I213" s="9" t="n">
        <f aca="false">(I190+I191)</f>
        <v>100650</v>
      </c>
      <c r="J213" s="9" t="n">
        <f aca="false">(J190+J191)</f>
        <v>100650</v>
      </c>
      <c r="K213" s="9" t="n">
        <f aca="false">(K190+K191)</f>
        <v>115391.666666667</v>
      </c>
      <c r="L213" s="9" t="n">
        <f aca="false">(L190+L191)</f>
        <v>127083.333333333</v>
      </c>
      <c r="M213" s="9" t="n">
        <f aca="false">(M190+M191)</f>
        <v>127083.333333333</v>
      </c>
      <c r="N213" s="9" t="n">
        <f aca="false">(N190+N191)</f>
        <v>127083.333333333</v>
      </c>
      <c r="O213" s="9" t="n">
        <f aca="false">(O190+O191)</f>
        <v>142333.333333333</v>
      </c>
      <c r="P213" s="9" t="n">
        <f aca="false">(P190+P191)</f>
        <v>157583.333333333</v>
      </c>
      <c r="Q213" s="9" t="n">
        <f aca="false">(Q190+Q191)</f>
        <v>157583.333333333</v>
      </c>
      <c r="R213" s="9" t="n">
        <f aca="false">(R190+R191)</f>
        <v>157583.333333333</v>
      </c>
      <c r="S213" s="9" t="n">
        <f aca="false">(S190+S191)</f>
        <v>157583.333333333</v>
      </c>
      <c r="T213" s="9" t="n">
        <f aca="false">(T190+T191)</f>
        <v>157583.333333333</v>
      </c>
      <c r="U213" s="9" t="n">
        <f aca="false">(U190+U191)</f>
        <v>157583.333333333</v>
      </c>
      <c r="V213" s="9" t="n">
        <f aca="false">(V190+V191)</f>
        <v>168766.666666667</v>
      </c>
      <c r="W213" s="9" t="n">
        <f aca="false">(W190+W191)</f>
        <v>168766.666666667</v>
      </c>
      <c r="X213" s="9" t="n">
        <f aca="false">(X190+X191)</f>
        <v>168766.666666667</v>
      </c>
      <c r="Y213" s="9" t="n">
        <f aca="false">(Y190+Y191)</f>
        <v>168766.666666667</v>
      </c>
      <c r="Z213" s="9" t="n">
        <f aca="false">(Z190+Z191)</f>
        <v>168766.666666667</v>
      </c>
      <c r="AA213" s="9" t="n">
        <f aca="false">(AA190+AA191)</f>
        <v>168766.666666667</v>
      </c>
      <c r="AB213" s="9" t="n">
        <f aca="false">(AB190+AB191)</f>
        <v>184016.666666667</v>
      </c>
      <c r="AC213" s="9" t="n">
        <f aca="false">(AC190+AC191)</f>
        <v>184016.666666667</v>
      </c>
      <c r="AD213" s="9" t="n">
        <f aca="false">(AD190+AD191)</f>
        <v>184016.666666667</v>
      </c>
      <c r="AE213" s="9" t="n">
        <f aca="false">(AE190+AE191)</f>
        <v>184016.666666667</v>
      </c>
      <c r="AF213" s="9" t="n">
        <f aca="false">(AF190+AF191)</f>
        <v>184016.666666667</v>
      </c>
      <c r="AG213" s="9" t="n">
        <f aca="false">(AG190+AG191)</f>
        <v>184016.666666667</v>
      </c>
      <c r="AH213" s="9" t="n">
        <f aca="false">(AH190+AH191)</f>
        <v>184016.666666667</v>
      </c>
      <c r="AI213" s="9" t="n">
        <f aca="false">(AI190+AI191)</f>
        <v>184016.666666667</v>
      </c>
      <c r="AJ213" s="9" t="n">
        <f aca="false">(AJ190+AJ191)</f>
        <v>184016.666666667</v>
      </c>
      <c r="AK213" s="9" t="n">
        <f aca="false">(AK190+AK191)</f>
        <v>184016.666666667</v>
      </c>
      <c r="AL213" s="9" t="n">
        <f aca="false">(AL190+AL191)</f>
        <v>184016.666666667</v>
      </c>
      <c r="AN213" s="11" t="n">
        <f aca="false">SUM(C213:N213)</f>
        <v>1091391.66666667</v>
      </c>
      <c r="AO213" s="11" t="n">
        <f aca="false">SUM(O213:Z213)</f>
        <v>1931666.66666667</v>
      </c>
      <c r="AP213" s="11" t="n">
        <f aca="false">SUM(AA213:AL213)</f>
        <v>2192950</v>
      </c>
    </row>
    <row r="214" customFormat="false" ht="15" hidden="false" customHeight="false" outlineLevel="0" collapsed="false">
      <c r="A214" s="0" t="s">
        <v>33</v>
      </c>
      <c r="B214" s="0" t="s">
        <v>230</v>
      </c>
      <c r="C214" s="9" t="n">
        <f aca="false">(C192+C199)</f>
        <v>9833.33333333333</v>
      </c>
      <c r="D214" s="9" t="n">
        <f aca="false">(D192+D199)</f>
        <v>9833.33333333333</v>
      </c>
      <c r="E214" s="9" t="n">
        <f aca="false">(E192+E199)</f>
        <v>9833.33333333333</v>
      </c>
      <c r="F214" s="9" t="n">
        <f aca="false">(F192+F199)</f>
        <v>9833.33333333333</v>
      </c>
      <c r="G214" s="9" t="n">
        <f aca="false">(G192+G199)</f>
        <v>9833.33333333333</v>
      </c>
      <c r="H214" s="9" t="n">
        <f aca="false">(H192+H199)</f>
        <v>9833.33333333333</v>
      </c>
      <c r="I214" s="9" t="n">
        <f aca="false">(I192+I199)</f>
        <v>25083.3333333333</v>
      </c>
      <c r="J214" s="9" t="n">
        <f aca="false">(J192+J199)</f>
        <v>25083.3333333333</v>
      </c>
      <c r="K214" s="9" t="n">
        <f aca="false">(K192+K199)</f>
        <v>25083.3333333333</v>
      </c>
      <c r="L214" s="9" t="n">
        <f aca="false">(L192+L199)</f>
        <v>25083.3333333333</v>
      </c>
      <c r="M214" s="9" t="n">
        <f aca="false">(M192+M199)</f>
        <v>25083.3333333333</v>
      </c>
      <c r="N214" s="9" t="n">
        <f aca="false">(N192+N199)</f>
        <v>25083.3333333333</v>
      </c>
      <c r="O214" s="9" t="n">
        <f aca="false">(O192+O199)</f>
        <v>29416.6666666667</v>
      </c>
      <c r="P214" s="9" t="n">
        <f aca="false">(P192+P199)</f>
        <v>29416.6666666667</v>
      </c>
      <c r="Q214" s="9" t="n">
        <f aca="false">(Q192+Q199)</f>
        <v>29416.6666666667</v>
      </c>
      <c r="R214" s="9" t="n">
        <f aca="false">(R192+R199)</f>
        <v>29416.6666666667</v>
      </c>
      <c r="S214" s="9" t="n">
        <f aca="false">(S192+S199)</f>
        <v>29416.6666666667</v>
      </c>
      <c r="T214" s="9" t="n">
        <f aca="false">(T192+T199)</f>
        <v>29416.6666666667</v>
      </c>
      <c r="U214" s="9" t="n">
        <f aca="false">(U192+U199)</f>
        <v>29416.6666666667</v>
      </c>
      <c r="V214" s="9" t="n">
        <f aca="false">(V192+V199)</f>
        <v>29416.6666666667</v>
      </c>
      <c r="W214" s="9" t="n">
        <f aca="false">(W192+W199)</f>
        <v>29416.6666666667</v>
      </c>
      <c r="X214" s="9" t="n">
        <f aca="false">(X192+X199)</f>
        <v>29416.6666666667</v>
      </c>
      <c r="Y214" s="9" t="n">
        <f aca="false">(Y192+Y199)</f>
        <v>29416.6666666667</v>
      </c>
      <c r="Z214" s="9" t="n">
        <f aca="false">(Z192+Z199)</f>
        <v>29416.6666666667</v>
      </c>
      <c r="AA214" s="9" t="n">
        <f aca="false">(AA192+AA199)</f>
        <v>34833.3333333333</v>
      </c>
      <c r="AB214" s="9" t="n">
        <f aca="false">(AB192+AB199)</f>
        <v>34833.3333333333</v>
      </c>
      <c r="AC214" s="9" t="n">
        <f aca="false">(AC192+AC199)</f>
        <v>34833.3333333333</v>
      </c>
      <c r="AD214" s="9" t="n">
        <f aca="false">(AD192+AD199)</f>
        <v>34833.3333333333</v>
      </c>
      <c r="AE214" s="9" t="n">
        <f aca="false">(AE192+AE199)</f>
        <v>34833.3333333333</v>
      </c>
      <c r="AF214" s="9" t="n">
        <f aca="false">(AF192+AF199)</f>
        <v>34833.3333333333</v>
      </c>
      <c r="AG214" s="9" t="n">
        <f aca="false">(AG192+AG199)</f>
        <v>34833.3333333333</v>
      </c>
      <c r="AH214" s="9" t="n">
        <f aca="false">(AH192+AH199)</f>
        <v>34833.3333333333</v>
      </c>
      <c r="AI214" s="9" t="n">
        <f aca="false">(AI192+AI199)</f>
        <v>34833.3333333333</v>
      </c>
      <c r="AJ214" s="9" t="n">
        <f aca="false">(AJ192+AJ199)</f>
        <v>34833.3333333333</v>
      </c>
      <c r="AK214" s="9" t="n">
        <f aca="false">(AK192+AK199)</f>
        <v>34833.3333333333</v>
      </c>
      <c r="AL214" s="9" t="n">
        <f aca="false">(AL192+AL199)</f>
        <v>34833.3333333333</v>
      </c>
      <c r="AN214" s="11" t="n">
        <f aca="false">SUM(C214:N214)</f>
        <v>209500</v>
      </c>
      <c r="AO214" s="11" t="n">
        <f aca="false">SUM(O214:Z214)</f>
        <v>353000</v>
      </c>
      <c r="AP214" s="11" t="n">
        <f aca="false">SUM(AA214:AL214)</f>
        <v>418000</v>
      </c>
    </row>
    <row r="215" customFormat="false" ht="15" hidden="false" customHeight="false" outlineLevel="0" collapsed="false">
      <c r="A215" s="0" t="s">
        <v>34</v>
      </c>
      <c r="B215" s="0" t="s">
        <v>230</v>
      </c>
      <c r="C215" s="9" t="n">
        <f aca="false">((C193+C204)+C205)</f>
        <v>5000</v>
      </c>
      <c r="D215" s="9" t="n">
        <f aca="false">((D193+D204)+D205)</f>
        <v>5000</v>
      </c>
      <c r="E215" s="9" t="n">
        <f aca="false">((E193+E204)+E205)</f>
        <v>5000</v>
      </c>
      <c r="F215" s="9" t="n">
        <f aca="false">((F193+F204)+F205)</f>
        <v>5000</v>
      </c>
      <c r="G215" s="9" t="n">
        <f aca="false">((G193+G204)+G205)</f>
        <v>5000</v>
      </c>
      <c r="H215" s="9" t="n">
        <f aca="false">((H193+H204)+H205)</f>
        <v>5000</v>
      </c>
      <c r="I215" s="9" t="n">
        <f aca="false">((I193+I204)+I205)</f>
        <v>5000</v>
      </c>
      <c r="J215" s="9" t="n">
        <f aca="false">((J193+J204)+J205)</f>
        <v>5000</v>
      </c>
      <c r="K215" s="9" t="n">
        <f aca="false">((K193+K204)+K205)</f>
        <v>5000</v>
      </c>
      <c r="L215" s="9" t="n">
        <f aca="false">((L193+L204)+L205)</f>
        <v>5000</v>
      </c>
      <c r="M215" s="9" t="n">
        <f aca="false">((M193+M204)+M205)</f>
        <v>16183.3333333333</v>
      </c>
      <c r="N215" s="9" t="n">
        <f aca="false">((N193+N204)+N205)</f>
        <v>17450.5333333333</v>
      </c>
      <c r="O215" s="9" t="n">
        <f aca="false">((O193+O204)+O205)</f>
        <v>38113.3333333333</v>
      </c>
      <c r="P215" s="9" t="n">
        <f aca="false">((P193+P204)+P205)</f>
        <v>35233.3333333333</v>
      </c>
      <c r="Q215" s="9" t="n">
        <f aca="false">((Q193+Q204)+Q205)</f>
        <v>38823.7333333333</v>
      </c>
      <c r="R215" s="9" t="n">
        <f aca="false">((R193+R204)+R205)</f>
        <v>44193.3333333333</v>
      </c>
      <c r="S215" s="9" t="n">
        <f aca="false">((S193+S204)+S205)</f>
        <v>35233.3333333333</v>
      </c>
      <c r="T215" s="9" t="n">
        <f aca="false">((T193+T204)+T205)</f>
        <v>35233.3333333333</v>
      </c>
      <c r="U215" s="9" t="n">
        <f aca="false">((U193+U204)+U205)</f>
        <v>47073.3333333333</v>
      </c>
      <c r="V215" s="9" t="n">
        <f aca="false">((V193+V204)+V205)</f>
        <v>36289.3333333333</v>
      </c>
      <c r="W215" s="9" t="n">
        <f aca="false">((W193+W204)+W205)</f>
        <v>35233.3333333333</v>
      </c>
      <c r="X215" s="9" t="n">
        <f aca="false">((X193+X204)+X205)</f>
        <v>58256.6666666667</v>
      </c>
      <c r="Y215" s="9" t="n">
        <f aca="false">((Y193+Y204)+Y205)</f>
        <v>53957.4666666667</v>
      </c>
      <c r="Z215" s="9" t="n">
        <f aca="false">((Z193+Z204)+Z205)</f>
        <v>46416.6666666667</v>
      </c>
      <c r="AA215" s="9" t="n">
        <f aca="false">((AA193+AA204)+AA205)</f>
        <v>68636.6666666667</v>
      </c>
      <c r="AB215" s="9" t="n">
        <f aca="false">((AB193+AB204)+AB205)</f>
        <v>72177.4666666667</v>
      </c>
      <c r="AC215" s="9" t="n">
        <f aca="false">((AC193+AC204)+AC205)</f>
        <v>53916.6666666667</v>
      </c>
      <c r="AD215" s="9" t="n">
        <f aca="false">((AD193+AD204)+AD205)</f>
        <v>85900</v>
      </c>
      <c r="AE215" s="9" t="n">
        <f aca="false">((AE193+AE204)+AE205)</f>
        <v>87152.8</v>
      </c>
      <c r="AF215" s="9" t="n">
        <f aca="false">((AF193+AF204)+AF205)</f>
        <v>78380</v>
      </c>
      <c r="AG215" s="9" t="n">
        <f aca="false">((AG193+AG204)+AG205)</f>
        <v>85900</v>
      </c>
      <c r="AH215" s="9" t="n">
        <f aca="false">((AH193+AH204)+AH205)</f>
        <v>88208.8</v>
      </c>
      <c r="AI215" s="9" t="n">
        <f aca="false">((AI193+AI204)+AI205)</f>
        <v>65100</v>
      </c>
      <c r="AJ215" s="9" t="n">
        <f aca="false">((AJ193+AJ204)+AJ205)</f>
        <v>88780</v>
      </c>
      <c r="AK215" s="9" t="n">
        <f aca="false">((AK193+AK204)+AK205)</f>
        <v>104357.6</v>
      </c>
      <c r="AL215" s="9" t="n">
        <f aca="false">((AL193+AL204)+AL205)</f>
        <v>102348</v>
      </c>
      <c r="AN215" s="11" t="n">
        <f aca="false">SUM(C215:N215)</f>
        <v>83633.8666666667</v>
      </c>
      <c r="AO215" s="11" t="n">
        <f aca="false">SUM(O215:Z215)</f>
        <v>504057.2</v>
      </c>
      <c r="AP215" s="11" t="n">
        <f aca="false">SUM(AA215:AL215)</f>
        <v>980858</v>
      </c>
    </row>
    <row r="216" customFormat="false" ht="15" hidden="false" customHeight="false" outlineLevel="0" collapsed="false">
      <c r="A216" s="0" t="s">
        <v>35</v>
      </c>
      <c r="B216" s="0" t="s">
        <v>230</v>
      </c>
      <c r="C216" s="9" t="n">
        <f aca="false">((C194+C206)+C207)</f>
        <v>4833.33333333333</v>
      </c>
      <c r="D216" s="9" t="n">
        <f aca="false">((D194+D206)+D207)</f>
        <v>4833.33333333333</v>
      </c>
      <c r="E216" s="9" t="n">
        <f aca="false">((E194+E206)+E207)</f>
        <v>4833.33333333333</v>
      </c>
      <c r="F216" s="9" t="n">
        <f aca="false">((F194+F206)+F207)</f>
        <v>4833.33333333333</v>
      </c>
      <c r="G216" s="9" t="n">
        <f aca="false">((G194+G206)+G207)</f>
        <v>4833.33333333333</v>
      </c>
      <c r="H216" s="9" t="n">
        <f aca="false">((H194+H206)+H207)</f>
        <v>15508.3333333333</v>
      </c>
      <c r="I216" s="9" t="n">
        <f aca="false">((I194+I206)+I207)</f>
        <v>15508.3333333333</v>
      </c>
      <c r="J216" s="9" t="n">
        <f aca="false">((J194+J206)+J207)</f>
        <v>15508.3333333333</v>
      </c>
      <c r="K216" s="9" t="n">
        <f aca="false">((K194+K206)+K207)</f>
        <v>15508.3333333333</v>
      </c>
      <c r="L216" s="9" t="n">
        <f aca="false">((L194+L206)+L207)</f>
        <v>15508.3333333333</v>
      </c>
      <c r="M216" s="9" t="n">
        <f aca="false">((M194+M206)+M207)</f>
        <v>15508.3333333333</v>
      </c>
      <c r="N216" s="9" t="n">
        <f aca="false">((N194+N206)+N207)</f>
        <v>22116.6666666667</v>
      </c>
      <c r="O216" s="9" t="n">
        <f aca="false">((O194+O206)+O207)</f>
        <v>31366.6666666667</v>
      </c>
      <c r="P216" s="9" t="n">
        <f aca="false">((P194+P206)+P207)</f>
        <v>31366.6666666667</v>
      </c>
      <c r="Q216" s="9" t="n">
        <f aca="false">((Q194+Q206)+Q207)</f>
        <v>31366.6666666667</v>
      </c>
      <c r="R216" s="9" t="n">
        <f aca="false">((R194+R206)+R207)</f>
        <v>31366.6666666667</v>
      </c>
      <c r="S216" s="9" t="n">
        <f aca="false">((S194+S206)+S207)</f>
        <v>31366.6666666667</v>
      </c>
      <c r="T216" s="9" t="n">
        <f aca="false">((T194+T206)+T207)</f>
        <v>31366.6666666667</v>
      </c>
      <c r="U216" s="9" t="n">
        <f aca="false">((U194+U206)+U207)</f>
        <v>31366.6666666667</v>
      </c>
      <c r="V216" s="9" t="n">
        <f aca="false">((V194+V206)+V207)</f>
        <v>40008.3333333333</v>
      </c>
      <c r="W216" s="9" t="n">
        <f aca="false">((W194+W206)+W207)</f>
        <v>40008.3333333333</v>
      </c>
      <c r="X216" s="9" t="n">
        <f aca="false">((X194+X206)+X207)</f>
        <v>40008.3333333333</v>
      </c>
      <c r="Y216" s="9" t="n">
        <f aca="false">((Y194+Y206)+Y207)</f>
        <v>40008.3333333333</v>
      </c>
      <c r="Z216" s="9" t="n">
        <f aca="false">((Z194+Z206)+Z207)</f>
        <v>40008.3333333333</v>
      </c>
      <c r="AA216" s="9" t="n">
        <f aca="false">((AA194+AA206)+AA207)</f>
        <v>50091.6666666667</v>
      </c>
      <c r="AB216" s="9" t="n">
        <f aca="false">((AB194+AB206)+AB207)</f>
        <v>50091.6666666667</v>
      </c>
      <c r="AC216" s="9" t="n">
        <f aca="false">((AC194+AC206)+AC207)</f>
        <v>50091.6666666667</v>
      </c>
      <c r="AD216" s="9" t="n">
        <f aca="false">((AD194+AD206)+AD207)</f>
        <v>50091.6666666667</v>
      </c>
      <c r="AE216" s="9" t="n">
        <f aca="false">((AE194+AE206)+AE207)</f>
        <v>50091.6666666667</v>
      </c>
      <c r="AF216" s="9" t="n">
        <f aca="false">((AF194+AF206)+AF207)</f>
        <v>50091.6666666667</v>
      </c>
      <c r="AG216" s="9" t="n">
        <f aca="false">((AG194+AG206)+AG207)</f>
        <v>50091.6666666667</v>
      </c>
      <c r="AH216" s="9" t="n">
        <f aca="false">((AH194+AH206)+AH207)</f>
        <v>50091.6666666667</v>
      </c>
      <c r="AI216" s="9" t="n">
        <f aca="false">((AI194+AI206)+AI207)</f>
        <v>50091.6666666667</v>
      </c>
      <c r="AJ216" s="9" t="n">
        <f aca="false">((AJ194+AJ206)+AJ207)</f>
        <v>50091.6666666667</v>
      </c>
      <c r="AK216" s="9" t="n">
        <f aca="false">((AK194+AK206)+AK207)</f>
        <v>50091.6666666667</v>
      </c>
      <c r="AL216" s="9" t="n">
        <f aca="false">((AL194+AL206)+AL207)</f>
        <v>50091.6666666667</v>
      </c>
      <c r="AN216" s="11" t="n">
        <f aca="false">SUM(C216:N216)</f>
        <v>139333.333333333</v>
      </c>
      <c r="AO216" s="11" t="n">
        <f aca="false">SUM(O216:Z216)</f>
        <v>419608.333333333</v>
      </c>
      <c r="AP216" s="11" t="n">
        <f aca="false">SUM(AA216:AL216)</f>
        <v>601100</v>
      </c>
    </row>
    <row r="217" customFormat="false" ht="15" hidden="false" customHeight="false" outlineLevel="0" collapsed="false">
      <c r="A217" s="0" t="s">
        <v>36</v>
      </c>
      <c r="B217" s="0" t="s">
        <v>230</v>
      </c>
      <c r="C217" s="9" t="n">
        <f aca="false">C200</f>
        <v>7916.66666666667</v>
      </c>
      <c r="D217" s="9" t="n">
        <f aca="false">D200</f>
        <v>7916.66666666667</v>
      </c>
      <c r="E217" s="9" t="n">
        <f aca="false">E200</f>
        <v>7916.66666666667</v>
      </c>
      <c r="F217" s="9" t="n">
        <f aca="false">F200</f>
        <v>7916.66666666667</v>
      </c>
      <c r="G217" s="9" t="n">
        <f aca="false">G200</f>
        <v>7916.66666666667</v>
      </c>
      <c r="H217" s="9" t="n">
        <f aca="false">H200</f>
        <v>7916.66666666667</v>
      </c>
      <c r="I217" s="9" t="n">
        <f aca="false">I200</f>
        <v>7916.66666666667</v>
      </c>
      <c r="J217" s="9" t="n">
        <f aca="false">J200</f>
        <v>7916.66666666667</v>
      </c>
      <c r="K217" s="9" t="n">
        <f aca="false">K200</f>
        <v>7916.66666666667</v>
      </c>
      <c r="L217" s="9" t="n">
        <f aca="false">L200</f>
        <v>7916.66666666667</v>
      </c>
      <c r="M217" s="9" t="n">
        <f aca="false">M200</f>
        <v>7916.66666666667</v>
      </c>
      <c r="N217" s="9" t="n">
        <f aca="false">N200</f>
        <v>7916.66666666667</v>
      </c>
      <c r="O217" s="9" t="n">
        <f aca="false">O200</f>
        <v>9333.33333333333</v>
      </c>
      <c r="P217" s="9" t="n">
        <f aca="false">P200</f>
        <v>9333.33333333333</v>
      </c>
      <c r="Q217" s="9" t="n">
        <f aca="false">Q200</f>
        <v>9333.33333333333</v>
      </c>
      <c r="R217" s="9" t="n">
        <f aca="false">R200</f>
        <v>9333.33333333333</v>
      </c>
      <c r="S217" s="9" t="n">
        <f aca="false">S200</f>
        <v>9333.33333333333</v>
      </c>
      <c r="T217" s="9" t="n">
        <f aca="false">T200</f>
        <v>9333.33333333333</v>
      </c>
      <c r="U217" s="9" t="n">
        <f aca="false">U200</f>
        <v>9333.33333333333</v>
      </c>
      <c r="V217" s="9" t="n">
        <f aca="false">V200</f>
        <v>9333.33333333333</v>
      </c>
      <c r="W217" s="9" t="n">
        <f aca="false">W200</f>
        <v>9333.33333333333</v>
      </c>
      <c r="X217" s="9" t="n">
        <f aca="false">X200</f>
        <v>9333.33333333333</v>
      </c>
      <c r="Y217" s="9" t="n">
        <f aca="false">Y200</f>
        <v>9333.33333333333</v>
      </c>
      <c r="Z217" s="9" t="n">
        <f aca="false">Z200</f>
        <v>9333.33333333333</v>
      </c>
      <c r="AA217" s="9" t="n">
        <f aca="false">AA200</f>
        <v>12916.6666666667</v>
      </c>
      <c r="AB217" s="9" t="n">
        <f aca="false">AB200</f>
        <v>12916.6666666667</v>
      </c>
      <c r="AC217" s="9" t="n">
        <f aca="false">AC200</f>
        <v>12916.6666666667</v>
      </c>
      <c r="AD217" s="9" t="n">
        <f aca="false">AD200</f>
        <v>12916.6666666667</v>
      </c>
      <c r="AE217" s="9" t="n">
        <f aca="false">AE200</f>
        <v>12916.6666666667</v>
      </c>
      <c r="AF217" s="9" t="n">
        <f aca="false">AF200</f>
        <v>12916.6666666667</v>
      </c>
      <c r="AG217" s="9" t="n">
        <f aca="false">AG200</f>
        <v>12916.6666666667</v>
      </c>
      <c r="AH217" s="9" t="n">
        <f aca="false">AH200</f>
        <v>12916.6666666667</v>
      </c>
      <c r="AI217" s="9" t="n">
        <f aca="false">AI200</f>
        <v>12916.6666666667</v>
      </c>
      <c r="AJ217" s="9" t="n">
        <f aca="false">AJ200</f>
        <v>12916.6666666667</v>
      </c>
      <c r="AK217" s="9" t="n">
        <f aca="false">AK200</f>
        <v>12916.6666666667</v>
      </c>
      <c r="AL217" s="9" t="n">
        <f aca="false">AL200</f>
        <v>12916.6666666667</v>
      </c>
      <c r="AN217" s="11" t="n">
        <f aca="false">SUM(C217:N217)</f>
        <v>95000</v>
      </c>
      <c r="AO217" s="11" t="n">
        <f aca="false">SUM(O217:Z217)</f>
        <v>112000</v>
      </c>
      <c r="AP217" s="11" t="n">
        <f aca="false">SUM(AA217:AL217)</f>
        <v>155000</v>
      </c>
    </row>
    <row r="218" customFormat="false" ht="15" hidden="false" customHeight="false" outlineLevel="0" collapsed="false">
      <c r="A218" s="0" t="s">
        <v>37</v>
      </c>
      <c r="B218" s="0" t="s">
        <v>230</v>
      </c>
      <c r="C218" s="9" t="n">
        <f aca="false">C201</f>
        <v>3416.66666666667</v>
      </c>
      <c r="D218" s="9" t="n">
        <f aca="false">D201</f>
        <v>3416.66666666667</v>
      </c>
      <c r="E218" s="9" t="n">
        <f aca="false">E201</f>
        <v>3416.66666666667</v>
      </c>
      <c r="F218" s="9" t="n">
        <f aca="false">F201</f>
        <v>3416.66666666667</v>
      </c>
      <c r="G218" s="9" t="n">
        <f aca="false">G201</f>
        <v>3416.66666666667</v>
      </c>
      <c r="H218" s="9" t="n">
        <f aca="false">H201</f>
        <v>3416.66666666667</v>
      </c>
      <c r="I218" s="9" t="n">
        <f aca="false">I201</f>
        <v>3416.66666666667</v>
      </c>
      <c r="J218" s="9" t="n">
        <f aca="false">J201</f>
        <v>3416.66666666667</v>
      </c>
      <c r="K218" s="9" t="n">
        <f aca="false">K201</f>
        <v>3416.66666666667</v>
      </c>
      <c r="L218" s="9" t="n">
        <f aca="false">L201</f>
        <v>3416.66666666667</v>
      </c>
      <c r="M218" s="9" t="n">
        <f aca="false">M201</f>
        <v>3416.66666666667</v>
      </c>
      <c r="N218" s="9" t="n">
        <f aca="false">N201</f>
        <v>3416.66666666667</v>
      </c>
      <c r="O218" s="9" t="n">
        <f aca="false">O201</f>
        <v>5833.33333333333</v>
      </c>
      <c r="P218" s="9" t="n">
        <f aca="false">P201</f>
        <v>5833.33333333333</v>
      </c>
      <c r="Q218" s="9" t="n">
        <f aca="false">Q201</f>
        <v>5833.33333333333</v>
      </c>
      <c r="R218" s="9" t="n">
        <f aca="false">R201</f>
        <v>5833.33333333333</v>
      </c>
      <c r="S218" s="9" t="n">
        <f aca="false">S201</f>
        <v>5833.33333333333</v>
      </c>
      <c r="T218" s="9" t="n">
        <f aca="false">T201</f>
        <v>5833.33333333333</v>
      </c>
      <c r="U218" s="9" t="n">
        <f aca="false">U201</f>
        <v>5833.33333333333</v>
      </c>
      <c r="V218" s="9" t="n">
        <f aca="false">V201</f>
        <v>5833.33333333333</v>
      </c>
      <c r="W218" s="9" t="n">
        <f aca="false">W201</f>
        <v>5833.33333333333</v>
      </c>
      <c r="X218" s="9" t="n">
        <f aca="false">X201</f>
        <v>5833.33333333333</v>
      </c>
      <c r="Y218" s="9" t="n">
        <f aca="false">Y201</f>
        <v>5833.33333333333</v>
      </c>
      <c r="Z218" s="9" t="n">
        <f aca="false">Z201</f>
        <v>5833.33333333333</v>
      </c>
      <c r="AA218" s="9" t="n">
        <f aca="false">AA201</f>
        <v>10000</v>
      </c>
      <c r="AB218" s="9" t="n">
        <f aca="false">AB201</f>
        <v>10000</v>
      </c>
      <c r="AC218" s="9" t="n">
        <f aca="false">AC201</f>
        <v>10000</v>
      </c>
      <c r="AD218" s="9" t="n">
        <f aca="false">AD201</f>
        <v>10000</v>
      </c>
      <c r="AE218" s="9" t="n">
        <f aca="false">AE201</f>
        <v>10000</v>
      </c>
      <c r="AF218" s="9" t="n">
        <f aca="false">AF201</f>
        <v>10000</v>
      </c>
      <c r="AG218" s="9" t="n">
        <f aca="false">AG201</f>
        <v>10000</v>
      </c>
      <c r="AH218" s="9" t="n">
        <f aca="false">AH201</f>
        <v>10000</v>
      </c>
      <c r="AI218" s="9" t="n">
        <f aca="false">AI201</f>
        <v>10000</v>
      </c>
      <c r="AJ218" s="9" t="n">
        <f aca="false">AJ201</f>
        <v>10000</v>
      </c>
      <c r="AK218" s="9" t="n">
        <f aca="false">AK201</f>
        <v>10000</v>
      </c>
      <c r="AL218" s="9" t="n">
        <f aca="false">AL201</f>
        <v>10000</v>
      </c>
      <c r="AN218" s="11" t="n">
        <f aca="false">SUM(C218:N218)</f>
        <v>41000</v>
      </c>
      <c r="AO218" s="11" t="n">
        <f aca="false">SUM(O218:Z218)</f>
        <v>70000</v>
      </c>
      <c r="AP218" s="11" t="n">
        <f aca="false">SUM(AA218:AL218)</f>
        <v>120000</v>
      </c>
    </row>
    <row r="219" customFormat="false" ht="15" hidden="false" customHeight="false" outlineLevel="0" collapsed="false">
      <c r="A219" s="0" t="s">
        <v>1011</v>
      </c>
      <c r="B219" s="0" t="s">
        <v>230</v>
      </c>
      <c r="C219" s="9" t="n">
        <f aca="false">((((((C195+C202)+C208)+C209)+C203)+C210)+C211)</f>
        <v>25615</v>
      </c>
      <c r="D219" s="9" t="n">
        <f aca="false">((((((D195+D202)+D208)+D209)+D203)+D210)+D211)</f>
        <v>25615</v>
      </c>
      <c r="E219" s="9" t="n">
        <f aca="false">((((((E195+E202)+E208)+E209)+E203)+E210)+E211)</f>
        <v>38265</v>
      </c>
      <c r="F219" s="9" t="n">
        <f aca="false">((((((F195+F202)+F208)+F209)+F203)+F210)+F211)</f>
        <v>39115</v>
      </c>
      <c r="G219" s="9" t="n">
        <f aca="false">((((((G195+G202)+G208)+G209)+G203)+G210)+G211)</f>
        <v>52615</v>
      </c>
      <c r="H219" s="9" t="n">
        <f aca="false">((((((H195+H202)+H208)+H209)+H203)+H210)+H211)</f>
        <v>54315</v>
      </c>
      <c r="I219" s="9" t="n">
        <f aca="false">((((((I195+I202)+I208)+I209)+I203)+I210)+I211)</f>
        <v>43365</v>
      </c>
      <c r="J219" s="9" t="n">
        <f aca="false">((((((J195+J202)+J208)+J209)+J203)+J210)+J211)</f>
        <v>31565</v>
      </c>
      <c r="K219" s="9" t="n">
        <f aca="false">((((((K195+K202)+K208)+K209)+K203)+K210)+K211)</f>
        <v>82223.3333333333</v>
      </c>
      <c r="L219" s="9" t="n">
        <f aca="false">((((((L195+L202)+L208)+L209)+L203)+L210)+L211)</f>
        <v>59473.3333333333</v>
      </c>
      <c r="M219" s="9" t="n">
        <f aca="false">((((((M195+M202)+M208)+M209)+M203)+M210)+M211)</f>
        <v>72973.3333333333</v>
      </c>
      <c r="N219" s="9" t="n">
        <f aca="false">((((((N195+N202)+N208)+N209)+N203)+N210)+N211)</f>
        <v>62181.7333333333</v>
      </c>
      <c r="O219" s="9" t="n">
        <f aca="false">((((((O195+O202)+O208)+O209)+O203)+O210)+O211)</f>
        <v>82233.3333333333</v>
      </c>
      <c r="P219" s="9" t="n">
        <f aca="false">((((((P195+P202)+P208)+P209)+P203)+P210)+P211)</f>
        <v>70923.3333333333</v>
      </c>
      <c r="Q219" s="9" t="n">
        <f aca="false">((((((Q195+Q202)+Q208)+Q209)+Q203)+Q210)+Q211)</f>
        <v>97072.1333333333</v>
      </c>
      <c r="R219" s="9" t="n">
        <f aca="false">((((((R195+R202)+R208)+R209)+R203)+R210)+R211)</f>
        <v>74143.3333333333</v>
      </c>
      <c r="S219" s="9" t="n">
        <f aca="false">((((((S195+S202)+S208)+S209)+S203)+S210)+S211)</f>
        <v>73023.3333333333</v>
      </c>
      <c r="T219" s="9" t="n">
        <f aca="false">((((((T195+T202)+T208)+T209)+T203)+T210)+T211)</f>
        <v>98323.3333333333</v>
      </c>
      <c r="U219" s="9" t="n">
        <f aca="false">((((((U195+U202)+U208)+U209)+U203)+U210)+U211)</f>
        <v>88853.3333333333</v>
      </c>
      <c r="V219" s="9" t="n">
        <f aca="false">((((((V195+V202)+V208)+V209)+V203)+V210)+V211)</f>
        <v>100967.833333333</v>
      </c>
      <c r="W219" s="9" t="n">
        <f aca="false">((((((W195+W202)+W208)+W209)+W203)+W210)+W211)</f>
        <v>77273.3333333333</v>
      </c>
      <c r="X219" s="9" t="n">
        <f aca="false">((((((X195+X202)+X208)+X209)+X203)+X210)+X211)</f>
        <v>104053.333333333</v>
      </c>
      <c r="Y219" s="9" t="n">
        <f aca="false">((((((Y195+Y202)+Y208)+Y209)+Y203)+Y210)+Y211)</f>
        <v>79810.9333333333</v>
      </c>
      <c r="Z219" s="9" t="n">
        <f aca="false">((((((Z195+Z202)+Z208)+Z209)+Z203)+Z210)+Z211)</f>
        <v>100418.3312</v>
      </c>
      <c r="AA219" s="9" t="n">
        <f aca="false">((((((AA195+AA202)+AA208)+AA209)+AA203)+AA210)+AA211)</f>
        <v>109817.5</v>
      </c>
      <c r="AB219" s="9" t="n">
        <f aca="false">((((((AB195+AB202)+AB208)+AB209)+AB203)+AB210)+AB211)</f>
        <v>123617.6</v>
      </c>
      <c r="AC219" s="9" t="n">
        <f aca="false">((((((AC195+AC202)+AC208)+AC209)+AC203)+AC210)+AC211)</f>
        <v>98311.9384</v>
      </c>
      <c r="AD219" s="9" t="n">
        <f aca="false">((((((AD195+AD202)+AD208)+AD209)+AD203)+AD210)+AD211)</f>
        <v>125777.5</v>
      </c>
      <c r="AE219" s="9" t="n">
        <f aca="false">((((((AE195+AE202)+AE208)+AE209)+AE203)+AE210)+AE211)</f>
        <v>102191.6</v>
      </c>
      <c r="AF219" s="9" t="n">
        <f aca="false">((((((AF195+AF202)+AF208)+AF209)+AF203)+AF210)+AF211)</f>
        <v>113887.5</v>
      </c>
      <c r="AG219" s="9" t="n">
        <f aca="false">((((((AG195+AG202)+AG208)+AG209)+AG203)+AG210)+AG211)</f>
        <v>115677.5</v>
      </c>
      <c r="AH219" s="9" t="n">
        <f aca="false">((((((AH195+AH202)+AH208)+AH209)+AH203)+AH210)+AH211)</f>
        <v>116763.876</v>
      </c>
      <c r="AI219" s="9" t="n">
        <f aca="false">((((((AI195+AI202)+AI208)+AI209)+AI203)+AI210)+AI211)</f>
        <v>114777.5</v>
      </c>
      <c r="AJ219" s="9" t="n">
        <f aca="false">((((((AJ195+AJ202)+AJ208)+AJ209)+AJ203)+AJ210)+AJ211)</f>
        <v>105937.5</v>
      </c>
      <c r="AK219" s="9" t="n">
        <f aca="false">((((((AK195+AK202)+AK208)+AK209)+AK203)+AK210)+AK211)</f>
        <v>108346.3568</v>
      </c>
      <c r="AL219" s="9" t="n">
        <f aca="false">((((((AL195+AL202)+AL208)+AL209)+AL203)+AL210)+AL211)</f>
        <v>107781.9246016</v>
      </c>
      <c r="AN219" s="11" t="n">
        <f aca="false">SUM(C219:N219)</f>
        <v>587321.733333333</v>
      </c>
      <c r="AO219" s="11" t="n">
        <f aca="false">SUM(O219:Z219)</f>
        <v>1047095.89786667</v>
      </c>
      <c r="AP219" s="11" t="n">
        <f aca="false">SUM(AA219:AL219)</f>
        <v>1342888.2958016</v>
      </c>
    </row>
    <row r="220" customFormat="false" ht="15" hidden="false" customHeight="false" outlineLevel="0" collapsed="false">
      <c r="A220" s="0" t="s">
        <v>39</v>
      </c>
      <c r="B220" s="0" t="s">
        <v>230</v>
      </c>
      <c r="C220" s="9" t="n">
        <f aca="false">C212</f>
        <v>0</v>
      </c>
      <c r="D220" s="9" t="n">
        <f aca="false">D212</f>
        <v>0</v>
      </c>
      <c r="E220" s="9" t="n">
        <f aca="false">E212</f>
        <v>0</v>
      </c>
      <c r="F220" s="9" t="n">
        <f aca="false">F212</f>
        <v>0</v>
      </c>
      <c r="G220" s="9" t="n">
        <f aca="false">G212</f>
        <v>0</v>
      </c>
      <c r="H220" s="9" t="n">
        <f aca="false">H212</f>
        <v>0</v>
      </c>
      <c r="I220" s="9" t="n">
        <f aca="false">I212</f>
        <v>0</v>
      </c>
      <c r="J220" s="9" t="n">
        <f aca="false">J212</f>
        <v>0</v>
      </c>
      <c r="K220" s="9" t="n">
        <f aca="false">K212</f>
        <v>0</v>
      </c>
      <c r="L220" s="9" t="n">
        <f aca="false">L212</f>
        <v>0</v>
      </c>
      <c r="M220" s="9" t="n">
        <f aca="false">M212</f>
        <v>0</v>
      </c>
      <c r="N220" s="9" t="n">
        <f aca="false">N212</f>
        <v>0</v>
      </c>
      <c r="O220" s="9" t="n">
        <f aca="false">O212</f>
        <v>0</v>
      </c>
      <c r="P220" s="9" t="n">
        <f aca="false">P212</f>
        <v>0</v>
      </c>
      <c r="Q220" s="9" t="n">
        <f aca="false">Q212</f>
        <v>0</v>
      </c>
      <c r="R220" s="9" t="n">
        <f aca="false">R212</f>
        <v>0</v>
      </c>
      <c r="S220" s="9" t="n">
        <f aca="false">S212</f>
        <v>0</v>
      </c>
      <c r="T220" s="9" t="n">
        <f aca="false">T212</f>
        <v>0</v>
      </c>
      <c r="U220" s="9" t="n">
        <f aca="false">U212</f>
        <v>0</v>
      </c>
      <c r="V220" s="9" t="n">
        <f aca="false">V212</f>
        <v>0</v>
      </c>
      <c r="W220" s="9" t="n">
        <f aca="false">W212</f>
        <v>0</v>
      </c>
      <c r="X220" s="9" t="n">
        <f aca="false">X212</f>
        <v>0</v>
      </c>
      <c r="Y220" s="9" t="n">
        <f aca="false">Y212</f>
        <v>0</v>
      </c>
      <c r="Z220" s="9" t="n">
        <f aca="false">Z212</f>
        <v>0</v>
      </c>
      <c r="AA220" s="9" t="n">
        <f aca="false">AA212</f>
        <v>0</v>
      </c>
      <c r="AB220" s="9" t="n">
        <f aca="false">AB212</f>
        <v>0</v>
      </c>
      <c r="AC220" s="9" t="n">
        <f aca="false">AC212</f>
        <v>0</v>
      </c>
      <c r="AD220" s="9" t="n">
        <f aca="false">AD212</f>
        <v>0</v>
      </c>
      <c r="AE220" s="9" t="n">
        <f aca="false">AE212</f>
        <v>0</v>
      </c>
      <c r="AF220" s="9" t="n">
        <f aca="false">AF212</f>
        <v>0</v>
      </c>
      <c r="AG220" s="9" t="n">
        <f aca="false">AG212</f>
        <v>0</v>
      </c>
      <c r="AH220" s="9" t="n">
        <f aca="false">AH212</f>
        <v>0</v>
      </c>
      <c r="AI220" s="9" t="n">
        <f aca="false">AI212</f>
        <v>0</v>
      </c>
      <c r="AJ220" s="9" t="n">
        <f aca="false">AJ212</f>
        <v>0</v>
      </c>
      <c r="AK220" s="9" t="n">
        <f aca="false">AK212</f>
        <v>0</v>
      </c>
      <c r="AL220" s="9" t="n">
        <f aca="false">AL212</f>
        <v>0</v>
      </c>
      <c r="AN220" s="11" t="n">
        <f aca="false">SUM(C220:N220)</f>
        <v>0</v>
      </c>
      <c r="AO220" s="11" t="n">
        <f aca="false">SUM(O220:Z220)</f>
        <v>0</v>
      </c>
      <c r="AP220" s="11" t="n">
        <f aca="false">SUM(AA220:AL220)</f>
        <v>0</v>
      </c>
    </row>
    <row r="221" customFormat="false" ht="15" hidden="false" customHeight="false" outlineLevel="0" collapsed="false">
      <c r="A221" s="10" t="s">
        <v>40</v>
      </c>
      <c r="B221" s="20" t="s">
        <v>230</v>
      </c>
      <c r="C221" s="11" t="n">
        <f aca="false">(((((((C213+C214)+C215)+C216)+C217)+C218)+C219)+C220)</f>
        <v>98298.3333333333</v>
      </c>
      <c r="D221" s="11" t="n">
        <f aca="false">(((((((D213+D214)+D215)+D216)+D217)+D218)+D219)+D220)</f>
        <v>98298.3333333333</v>
      </c>
      <c r="E221" s="11" t="n">
        <f aca="false">(((((((E213+E214)+E215)+E216)+E217)+E218)+E219)+E220)</f>
        <v>124165</v>
      </c>
      <c r="F221" s="11" t="n">
        <f aca="false">(((((((F213+F214)+F215)+F216)+F217)+F218)+F219)+F220)</f>
        <v>139248.333333333</v>
      </c>
      <c r="G221" s="11" t="n">
        <f aca="false">(((((((G213+G214)+G215)+G216)+G217)+G218)+G219)+G220)</f>
        <v>169015</v>
      </c>
      <c r="H221" s="11" t="n">
        <f aca="false">(((((((H213+H214)+H215)+H216)+H217)+H218)+H219)+H220)</f>
        <v>196640</v>
      </c>
      <c r="I221" s="11" t="n">
        <f aca="false">(((((((I213+I214)+I215)+I216)+I217)+I218)+I219)+I220)</f>
        <v>200940</v>
      </c>
      <c r="J221" s="11" t="n">
        <f aca="false">(((((((J213+J214)+J215)+J216)+J217)+J218)+J219)+J220)</f>
        <v>189140</v>
      </c>
      <c r="K221" s="11" t="n">
        <f aca="false">(((((((K213+K214)+K215)+K216)+K217)+K218)+K219)+K220)</f>
        <v>254540</v>
      </c>
      <c r="L221" s="11" t="n">
        <f aca="false">(((((((L213+L214)+L215)+L216)+L217)+L218)+L219)+L220)</f>
        <v>243481.666666667</v>
      </c>
      <c r="M221" s="11" t="n">
        <f aca="false">(((((((M213+M214)+M215)+M216)+M217)+M218)+M219)+M220)</f>
        <v>268165</v>
      </c>
      <c r="N221" s="11" t="n">
        <f aca="false">(((((((N213+N214)+N215)+N216)+N217)+N218)+N219)+N220)</f>
        <v>265248.933333333</v>
      </c>
      <c r="O221" s="11" t="n">
        <f aca="false">(((((((O213+O214)+O215)+O216)+O217)+O218)+O219)+O220)</f>
        <v>338630</v>
      </c>
      <c r="P221" s="11" t="n">
        <f aca="false">(((((((P213+P214)+P215)+P216)+P217)+P218)+P219)+P220)</f>
        <v>339690</v>
      </c>
      <c r="Q221" s="11" t="n">
        <f aca="false">(((((((Q213+Q214)+Q215)+Q216)+Q217)+Q218)+Q219)+Q220)</f>
        <v>369429.2</v>
      </c>
      <c r="R221" s="11" t="n">
        <f aca="false">(((((((R213+R214)+R215)+R216)+R217)+R218)+R219)+R220)</f>
        <v>351870</v>
      </c>
      <c r="S221" s="11" t="n">
        <f aca="false">(((((((S213+S214)+S215)+S216)+S217)+S218)+S219)+S220)</f>
        <v>341790</v>
      </c>
      <c r="T221" s="11" t="n">
        <f aca="false">(((((((T213+T214)+T215)+T216)+T217)+T218)+T219)+T220)</f>
        <v>367090</v>
      </c>
      <c r="U221" s="11" t="n">
        <f aca="false">(((((((U213+U214)+U215)+U216)+U217)+U218)+U219)+U220)</f>
        <v>369460</v>
      </c>
      <c r="V221" s="11" t="n">
        <f aca="false">(((((((V213+V214)+V215)+V216)+V217)+V218)+V219)+V220)</f>
        <v>390615.5</v>
      </c>
      <c r="W221" s="11" t="n">
        <f aca="false">(((((((W213+W214)+W215)+W216)+W217)+W218)+W219)+W220)</f>
        <v>365865</v>
      </c>
      <c r="X221" s="11" t="n">
        <f aca="false">(((((((X213+X214)+X215)+X216)+X217)+X218)+X219)+X220)</f>
        <v>415668.333333333</v>
      </c>
      <c r="Y221" s="11" t="n">
        <f aca="false">(((((((Y213+Y214)+Y215)+Y216)+Y217)+Y218)+Y219)+Y220)</f>
        <v>387126.733333333</v>
      </c>
      <c r="Z221" s="11" t="n">
        <f aca="false">(((((((Z213+Z214)+Z215)+Z216)+Z217)+Z218)+Z219)+Z220)</f>
        <v>400193.3312</v>
      </c>
      <c r="AA221" s="11" t="n">
        <f aca="false">(((((((AA213+AA214)+AA215)+AA216)+AA217)+AA218)+AA219)+AA220)</f>
        <v>455062.5</v>
      </c>
      <c r="AB221" s="11" t="n">
        <f aca="false">(((((((AB213+AB214)+AB215)+AB216)+AB217)+AB218)+AB219)+AB220)</f>
        <v>487653.4</v>
      </c>
      <c r="AC221" s="11" t="n">
        <f aca="false">(((((((AC213+AC214)+AC215)+AC216)+AC217)+AC218)+AC219)+AC220)</f>
        <v>444086.9384</v>
      </c>
      <c r="AD221" s="11" t="n">
        <f aca="false">(((((((AD213+AD214)+AD215)+AD216)+AD217)+AD218)+AD219)+AD220)</f>
        <v>503535.833333333</v>
      </c>
      <c r="AE221" s="11" t="n">
        <f aca="false">(((((((AE213+AE214)+AE215)+AE216)+AE217)+AE218)+AE219)+AE220)</f>
        <v>481202.733333333</v>
      </c>
      <c r="AF221" s="11" t="n">
        <f aca="false">(((((((AF213+AF214)+AF215)+AF216)+AF217)+AF218)+AF219)+AF220)</f>
        <v>484125.833333333</v>
      </c>
      <c r="AG221" s="11" t="n">
        <f aca="false">(((((((AG213+AG214)+AG215)+AG216)+AG217)+AG218)+AG219)+AG220)</f>
        <v>493435.833333333</v>
      </c>
      <c r="AH221" s="11" t="n">
        <f aca="false">(((((((AH213+AH214)+AH215)+AH216)+AH217)+AH218)+AH219)+AH220)</f>
        <v>496831.009333333</v>
      </c>
      <c r="AI221" s="11" t="n">
        <f aca="false">(((((((AI213+AI214)+AI215)+AI216)+AI217)+AI218)+AI219)+AI220)</f>
        <v>471735.833333333</v>
      </c>
      <c r="AJ221" s="11" t="n">
        <f aca="false">(((((((AJ213+AJ214)+AJ215)+AJ216)+AJ217)+AJ218)+AJ219)+AJ220)</f>
        <v>486575.833333333</v>
      </c>
      <c r="AK221" s="11" t="n">
        <f aca="false">(((((((AK213+AK214)+AK215)+AK216)+AK217)+AK218)+AK219)+AK220)</f>
        <v>504562.290133333</v>
      </c>
      <c r="AL221" s="11" t="n">
        <f aca="false">(((((((AL213+AL214)+AL215)+AL216)+AL217)+AL218)+AL219)+AL220)</f>
        <v>501988.257934933</v>
      </c>
      <c r="AN221" s="11" t="n">
        <f aca="false">SUM(C221:N221)</f>
        <v>2247180.6</v>
      </c>
      <c r="AO221" s="11" t="n">
        <f aca="false">SUM(O221:Z221)</f>
        <v>4437428.09786667</v>
      </c>
      <c r="AP221" s="11" t="n">
        <f aca="false">SUM(AA221:AL221)</f>
        <v>5810796.2958016</v>
      </c>
    </row>
    <row r="222" customFormat="false" ht="15" hidden="false" customHeight="false" outlineLevel="0" collapsed="false">
      <c r="A222" s="21" t="s">
        <v>1012</v>
      </c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</row>
    <row r="223" customFormat="false" ht="15" hidden="false" customHeight="false" outlineLevel="0" collapsed="false">
      <c r="A223" s="0" t="s">
        <v>30</v>
      </c>
      <c r="B223" s="0" t="s">
        <v>230</v>
      </c>
      <c r="C223" s="9" t="n">
        <f aca="false">(C146-C184)</f>
        <v>-6159.925194</v>
      </c>
      <c r="D223" s="9" t="n">
        <f aca="false">(D146-D184)</f>
        <v>-6284.1747678</v>
      </c>
      <c r="E223" s="9" t="n">
        <f aca="false">(E146-E184)</f>
        <v>-6374.4759134952</v>
      </c>
      <c r="F223" s="9" t="n">
        <f aca="false">(F146-F184)</f>
        <v>-6446.75324378784</v>
      </c>
      <c r="G223" s="9" t="n">
        <f aca="false">(G146-G184)</f>
        <v>-17217.7297209301</v>
      </c>
      <c r="H223" s="9" t="n">
        <f aca="false">(H146-H184)</f>
        <v>-17241.6841612467</v>
      </c>
      <c r="I223" s="9" t="n">
        <f aca="false">(I146-I184)</f>
        <v>-17302.6039674926</v>
      </c>
      <c r="J223" s="9" t="n">
        <f aca="false">(J146-J184)</f>
        <v>-18917.2487173301</v>
      </c>
      <c r="K223" s="9" t="n">
        <f aca="false">(K146-K184)</f>
        <v>-25477.6812944812</v>
      </c>
      <c r="L223" s="9" t="n">
        <f aca="false">(L146-L184)</f>
        <v>-25579.6175850089</v>
      </c>
      <c r="M223" s="9" t="n">
        <f aca="false">(M146-M184)</f>
        <v>-35240.9090238473</v>
      </c>
      <c r="N223" s="9" t="n">
        <f aca="false">(N146-N184)</f>
        <v>-34566.5960791766</v>
      </c>
      <c r="O223" s="9" t="n">
        <f aca="false">(O146-O184)</f>
        <v>-33146.9841989309</v>
      </c>
      <c r="P223" s="9" t="n">
        <f aca="false">(P146-P184)</f>
        <v>-32923.7382077434</v>
      </c>
      <c r="Q223" s="9" t="n">
        <f aca="false">(Q146-Q184)</f>
        <v>-42228.8961432137</v>
      </c>
      <c r="R223" s="9" t="n">
        <f aca="false">(R146-R184)</f>
        <v>-22000.0858934896</v>
      </c>
      <c r="S223" s="9" t="n">
        <f aca="false">(S146-S184)</f>
        <v>-22368.7519453046</v>
      </c>
      <c r="T223" s="9" t="n">
        <f aca="false">(T146-T184)</f>
        <v>-41399.7619873967</v>
      </c>
      <c r="U223" s="9" t="n">
        <f aca="false">(U146-U184)</f>
        <v>-39475.14046509</v>
      </c>
      <c r="V223" s="9" t="n">
        <f aca="false">(V146-V184)</f>
        <v>-40208.2240777911</v>
      </c>
      <c r="W223" s="9" t="n">
        <f aca="false">(W146-W184)</f>
        <v>-41924.0761563188</v>
      </c>
      <c r="X223" s="9" t="n">
        <f aca="false">(X146-X184)</f>
        <v>-50765.9142738002</v>
      </c>
      <c r="Y223" s="9" t="n">
        <f aca="false">(Y146-Y184)</f>
        <v>-41354.3900654424</v>
      </c>
      <c r="Z223" s="9" t="n">
        <f aca="false">(Z146-Z184)</f>
        <v>-41328.5636925122</v>
      </c>
      <c r="AA223" s="9" t="n">
        <f aca="false">(AA146-AA184)</f>
        <v>-51767.630050963</v>
      </c>
      <c r="AB223" s="9" t="n">
        <f aca="false">(AB146-AB184)</f>
        <v>-36040.3811377321</v>
      </c>
      <c r="AC223" s="9" t="n">
        <f aca="false">(AC146-AC184)</f>
        <v>-35388.8460894101</v>
      </c>
      <c r="AD223" s="9" t="n">
        <f aca="false">(AD146-AD184)</f>
        <v>-23931.8059406259</v>
      </c>
      <c r="AE223" s="9" t="n">
        <f aca="false">(AE146-AE184)</f>
        <v>-8012.50072601601</v>
      </c>
      <c r="AF223" s="9" t="n">
        <f aca="false">(AF146-AF184)</f>
        <v>24722.7445682274</v>
      </c>
      <c r="AG223" s="9" t="n">
        <f aca="false">(AG146-AG184)</f>
        <v>20910.956453164</v>
      </c>
      <c r="AH223" s="9" t="n">
        <f aca="false">(AH146-AH184)</f>
        <v>22963.1504956807</v>
      </c>
      <c r="AI223" s="9" t="n">
        <f aca="false">(AI146-AI184)</f>
        <v>-18534.8896892131</v>
      </c>
      <c r="AJ223" s="9" t="n">
        <f aca="false">(AJ146-AJ184)</f>
        <v>-7985.26376752666</v>
      </c>
      <c r="AK223" s="9" t="n">
        <f aca="false">(AK146-AK184)</f>
        <v>31737.0068115098</v>
      </c>
      <c r="AL223" s="9" t="n">
        <f aca="false">(AL146-AL184)</f>
        <v>111245.125767606</v>
      </c>
      <c r="AN223" s="11" t="n">
        <f aca="false">SUM(C223:N223)</f>
        <v>-216809.399668596</v>
      </c>
      <c r="AO223" s="11" t="n">
        <f aca="false">SUM(O223:Z223)</f>
        <v>-449124.527107033</v>
      </c>
      <c r="AP223" s="11" t="n">
        <f aca="false">SUM(AA223:AL223)</f>
        <v>29917.6666947013</v>
      </c>
    </row>
    <row r="224" customFormat="false" ht="15" hidden="false" customHeight="false" outlineLevel="0" collapsed="false">
      <c r="A224" s="0" t="s">
        <v>1013</v>
      </c>
      <c r="B224" s="0" t="s">
        <v>230</v>
      </c>
      <c r="C224" s="9" t="n">
        <f aca="false">((C223-C206)-C204)</f>
        <v>-6159.925194</v>
      </c>
      <c r="D224" s="9" t="n">
        <f aca="false">((D223-D206)-D204)</f>
        <v>-6284.1747678</v>
      </c>
      <c r="E224" s="9" t="n">
        <f aca="false">((E223-E206)-E204)</f>
        <v>-6374.4759134952</v>
      </c>
      <c r="F224" s="9" t="n">
        <f aca="false">((F223-F206)-F204)</f>
        <v>-6446.75324378784</v>
      </c>
      <c r="G224" s="9" t="n">
        <f aca="false">((G223-G206)-G204)</f>
        <v>-17217.7297209301</v>
      </c>
      <c r="H224" s="9" t="n">
        <f aca="false">((H223-H206)-H204)</f>
        <v>-17241.6841612467</v>
      </c>
      <c r="I224" s="9" t="n">
        <f aca="false">((I223-I206)-I204)</f>
        <v>-17302.6039674926</v>
      </c>
      <c r="J224" s="9" t="n">
        <f aca="false">((J223-J206)-J204)</f>
        <v>-18917.2487173301</v>
      </c>
      <c r="K224" s="9" t="n">
        <f aca="false">((K223-K206)-K204)</f>
        <v>-25477.6812944812</v>
      </c>
      <c r="L224" s="9" t="n">
        <f aca="false">((L223-L206)-L204)</f>
        <v>-25579.6175850089</v>
      </c>
      <c r="M224" s="9" t="n">
        <f aca="false">((M223-M206)-M204)</f>
        <v>-35240.9090238473</v>
      </c>
      <c r="N224" s="9" t="n">
        <f aca="false">((N223-N206)-N204)</f>
        <v>-35833.7960791766</v>
      </c>
      <c r="O224" s="9" t="n">
        <f aca="false">((O223-O206)-O204)</f>
        <v>-39026.9841989309</v>
      </c>
      <c r="P224" s="9" t="n">
        <f aca="false">((P223-P206)-P204)</f>
        <v>-35923.7382077434</v>
      </c>
      <c r="Q224" s="9" t="n">
        <f aca="false">((Q223-Q206)-Q204)</f>
        <v>-48819.2961432137</v>
      </c>
      <c r="R224" s="9" t="n">
        <f aca="false">((R223-R206)-R204)</f>
        <v>-33960.0858934896</v>
      </c>
      <c r="S224" s="9" t="n">
        <f aca="false">((S223-S206)-S204)</f>
        <v>-25368.7519453046</v>
      </c>
      <c r="T224" s="9" t="n">
        <f aca="false">((T223-T206)-T204)</f>
        <v>-44399.7619873967</v>
      </c>
      <c r="U224" s="9" t="n">
        <f aca="false">((U223-U206)-U204)</f>
        <v>-54315.14046509</v>
      </c>
      <c r="V224" s="9" t="n">
        <f aca="false">((V223-V206)-V204)</f>
        <v>-44264.2240777911</v>
      </c>
      <c r="W224" s="9" t="n">
        <f aca="false">((W223-W206)-W204)</f>
        <v>-44924.0761563188</v>
      </c>
      <c r="X224" s="9" t="n">
        <f aca="false">((X223-X206)-X204)</f>
        <v>-65605.9142738002</v>
      </c>
      <c r="Y224" s="9" t="n">
        <f aca="false">((Y223-Y206)-Y204)</f>
        <v>-51895.1900654424</v>
      </c>
      <c r="Z224" s="9" t="n">
        <f aca="false">((Z223-Z206)-Z204)</f>
        <v>-44328.5636925122</v>
      </c>
      <c r="AA224" s="9" t="n">
        <f aca="false">((AA223-AA206)-AA204)</f>
        <v>-71487.630050963</v>
      </c>
      <c r="AB224" s="9" t="n">
        <f aca="false">((AB223-AB206)-AB204)</f>
        <v>-59301.1811377321</v>
      </c>
      <c r="AC224" s="9" t="n">
        <f aca="false">((AC223-AC206)-AC204)</f>
        <v>-40388.8460894101</v>
      </c>
      <c r="AD224" s="9" t="n">
        <f aca="false">((AD223-AD206)-AD204)</f>
        <v>-49731.8059406259</v>
      </c>
      <c r="AE224" s="9" t="n">
        <f aca="false">((AE223-AE206)-AE204)</f>
        <v>-35065.300726016</v>
      </c>
      <c r="AF224" s="9" t="n">
        <f aca="false">((AF223-AF206)-AF204)</f>
        <v>6442.74456822738</v>
      </c>
      <c r="AG224" s="9" t="n">
        <f aca="false">((AG223-AG206)-AG204)</f>
        <v>-4889.04354683601</v>
      </c>
      <c r="AH224" s="9" t="n">
        <f aca="false">((AH223-AH206)-AH204)</f>
        <v>-5145.64950431934</v>
      </c>
      <c r="AI224" s="9" t="n">
        <f aca="false">((AI223-AI206)-AI204)</f>
        <v>-23534.8896892131</v>
      </c>
      <c r="AJ224" s="9" t="n">
        <f aca="false">((AJ223-AJ206)-AJ204)</f>
        <v>-36665.2637675267</v>
      </c>
      <c r="AK224" s="9" t="n">
        <f aca="false">((AK223-AK206)-AK204)</f>
        <v>-12520.5931884902</v>
      </c>
      <c r="AL224" s="9" t="n">
        <f aca="false">((AL223-AL206)-AL204)</f>
        <v>68997.1257676063</v>
      </c>
      <c r="AN224" s="11" t="n">
        <f aca="false">SUM(C224:N224)</f>
        <v>-218076.599668596</v>
      </c>
      <c r="AO224" s="11" t="n">
        <f aca="false">SUM(O224:Z224)</f>
        <v>-532831.727107033</v>
      </c>
      <c r="AP224" s="11" t="n">
        <f aca="false">SUM(AA224:AL224)</f>
        <v>-263290.333305299</v>
      </c>
    </row>
    <row r="225" customFormat="false" ht="15" hidden="false" customHeight="false" outlineLevel="0" collapsed="false">
      <c r="A225" s="10" t="s">
        <v>1014</v>
      </c>
      <c r="B225" s="20" t="s">
        <v>230</v>
      </c>
      <c r="C225" s="11" t="n">
        <f aca="false">(C223-C221)</f>
        <v>-104458.258527333</v>
      </c>
      <c r="D225" s="11" t="n">
        <f aca="false">(D223-D221)</f>
        <v>-104582.508101133</v>
      </c>
      <c r="E225" s="11" t="n">
        <f aca="false">(E223-E221)</f>
        <v>-130539.475913495</v>
      </c>
      <c r="F225" s="11" t="n">
        <f aca="false">(F223-F221)</f>
        <v>-145695.086577121</v>
      </c>
      <c r="G225" s="11" t="n">
        <f aca="false">(G223-G221)</f>
        <v>-186232.72972093</v>
      </c>
      <c r="H225" s="11" t="n">
        <f aca="false">(H223-H221)</f>
        <v>-213881.684161247</v>
      </c>
      <c r="I225" s="11" t="n">
        <f aca="false">(I223-I221)</f>
        <v>-218242.603967493</v>
      </c>
      <c r="J225" s="11" t="n">
        <f aca="false">(J223-J221)</f>
        <v>-208057.24871733</v>
      </c>
      <c r="K225" s="11" t="n">
        <f aca="false">(K223-K221)</f>
        <v>-280017.681294481</v>
      </c>
      <c r="L225" s="11" t="n">
        <f aca="false">(L223-L221)</f>
        <v>-269061.284251676</v>
      </c>
      <c r="M225" s="11" t="n">
        <f aca="false">(M223-M221)</f>
        <v>-303405.909023847</v>
      </c>
      <c r="N225" s="11" t="n">
        <f aca="false">(N223-N221)</f>
        <v>-299815.52941251</v>
      </c>
      <c r="O225" s="11" t="n">
        <f aca="false">(O223-O221)</f>
        <v>-371776.984198931</v>
      </c>
      <c r="P225" s="11" t="n">
        <f aca="false">(P223-P221)</f>
        <v>-372613.738207743</v>
      </c>
      <c r="Q225" s="11" t="n">
        <f aca="false">(Q223-Q221)</f>
        <v>-411658.096143214</v>
      </c>
      <c r="R225" s="11" t="n">
        <f aca="false">(R223-R221)</f>
        <v>-373870.08589349</v>
      </c>
      <c r="S225" s="11" t="n">
        <f aca="false">(S223-S221)</f>
        <v>-364158.751945305</v>
      </c>
      <c r="T225" s="11" t="n">
        <f aca="false">(T223-T221)</f>
        <v>-408489.761987397</v>
      </c>
      <c r="U225" s="11" t="n">
        <f aca="false">(U223-U221)</f>
        <v>-408935.14046509</v>
      </c>
      <c r="V225" s="11" t="n">
        <f aca="false">(V223-V221)</f>
        <v>-430823.724077791</v>
      </c>
      <c r="W225" s="11" t="n">
        <f aca="false">(W223-W221)</f>
        <v>-407789.076156319</v>
      </c>
      <c r="X225" s="11" t="n">
        <f aca="false">(X223-X221)</f>
        <v>-466434.247607133</v>
      </c>
      <c r="Y225" s="11" t="n">
        <f aca="false">(Y223-Y221)</f>
        <v>-428481.123398776</v>
      </c>
      <c r="Z225" s="11" t="n">
        <f aca="false">(Z223-Z221)</f>
        <v>-441521.894892512</v>
      </c>
      <c r="AA225" s="11" t="n">
        <f aca="false">(AA223-AA221)</f>
        <v>-506830.130050963</v>
      </c>
      <c r="AB225" s="11" t="n">
        <f aca="false">(AB223-AB221)</f>
        <v>-523693.781137732</v>
      </c>
      <c r="AC225" s="11" t="n">
        <f aca="false">(AC223-AC221)</f>
        <v>-479475.78448941</v>
      </c>
      <c r="AD225" s="11" t="n">
        <f aca="false">(AD223-AD221)</f>
        <v>-527467.639273959</v>
      </c>
      <c r="AE225" s="11" t="n">
        <f aca="false">(AE223-AE221)</f>
        <v>-489215.234059349</v>
      </c>
      <c r="AF225" s="11" t="n">
        <f aca="false">(AF223-AF221)</f>
        <v>-459403.088765106</v>
      </c>
      <c r="AG225" s="11" t="n">
        <f aca="false">(AG223-AG221)</f>
        <v>-472524.876880169</v>
      </c>
      <c r="AH225" s="11" t="n">
        <f aca="false">(AH223-AH221)</f>
        <v>-473867.858837653</v>
      </c>
      <c r="AI225" s="11" t="n">
        <f aca="false">(AI223-AI221)</f>
        <v>-490270.723022547</v>
      </c>
      <c r="AJ225" s="11" t="n">
        <f aca="false">(AJ223-AJ221)</f>
        <v>-494561.09710086</v>
      </c>
      <c r="AK225" s="11" t="n">
        <f aca="false">(AK223-AK221)</f>
        <v>-472825.283321824</v>
      </c>
      <c r="AL225" s="11" t="n">
        <f aca="false">(AL223-AL221)</f>
        <v>-390743.132167327</v>
      </c>
      <c r="AN225" s="11" t="n">
        <f aca="false">SUM(C225:N225)</f>
        <v>-2463989.9996686</v>
      </c>
      <c r="AO225" s="11" t="n">
        <f aca="false">SUM(O225:Z225)</f>
        <v>-4886552.6249737</v>
      </c>
      <c r="AP225" s="11" t="n">
        <f aca="false">SUM(AA225:AL225)</f>
        <v>-5780878.6291069</v>
      </c>
    </row>
    <row r="226" customFormat="false" ht="15" hidden="false" customHeight="false" outlineLevel="0" collapsed="false">
      <c r="A226" s="10" t="s">
        <v>44</v>
      </c>
      <c r="B226" s="20" t="s">
        <v>230</v>
      </c>
      <c r="C226" s="11" t="n">
        <f aca="false">((C153-C184)-C221)</f>
        <v>-104458.258527333</v>
      </c>
      <c r="D226" s="11" t="n">
        <f aca="false">((D153-D184)-D221)</f>
        <v>-104582.508101133</v>
      </c>
      <c r="E226" s="11" t="n">
        <f aca="false">((E153-E184)-E221)</f>
        <v>-130539.475913495</v>
      </c>
      <c r="F226" s="11" t="n">
        <f aca="false">((F153-F184)-F221)</f>
        <v>-145695.086577121</v>
      </c>
      <c r="G226" s="11" t="n">
        <f aca="false">((G153-G184)-G221)</f>
        <v>-186232.72972093</v>
      </c>
      <c r="H226" s="11" t="n">
        <f aca="false">((H153-H184)-H221)</f>
        <v>-213881.684161247</v>
      </c>
      <c r="I226" s="11" t="n">
        <f aca="false">((I153-I184)-I221)</f>
        <v>-218242.603967493</v>
      </c>
      <c r="J226" s="11" t="n">
        <f aca="false">((J153-J184)-J221)</f>
        <v>-208057.24871733</v>
      </c>
      <c r="K226" s="11" t="n">
        <f aca="false">((K153-K184)-K221)</f>
        <v>-280017.681294481</v>
      </c>
      <c r="L226" s="11" t="n">
        <f aca="false">((L153-L184)-L221)</f>
        <v>-269061.284251676</v>
      </c>
      <c r="M226" s="11" t="n">
        <f aca="false">((M153-M184)-M221)</f>
        <v>-303405.909023847</v>
      </c>
      <c r="N226" s="11" t="n">
        <f aca="false">((N153-N184)-N221)</f>
        <v>-301135.52941251</v>
      </c>
      <c r="O226" s="11" t="n">
        <f aca="false">((O153-O184)-O221)</f>
        <v>-382501.340892906</v>
      </c>
      <c r="P226" s="11" t="n">
        <f aca="false">((P153-P184)-P221)</f>
        <v>-367547.285151648</v>
      </c>
      <c r="Q226" s="11" t="n">
        <f aca="false">((Q153-Q184)-Q221)</f>
        <v>-390300.937191111</v>
      </c>
      <c r="R226" s="11" t="n">
        <f aca="false">((R153-R184)-R221)</f>
        <v>-410946.365975968</v>
      </c>
      <c r="S226" s="11" t="n">
        <f aca="false">((S153-S184)-S221)</f>
        <v>-356783.909905848</v>
      </c>
      <c r="T226" s="11" t="n">
        <f aca="false">((T153-T184)-T221)</f>
        <v>-334672.585642149</v>
      </c>
      <c r="U226" s="11" t="n">
        <f aca="false">((U153-U184)-U221)</f>
        <v>-460518.373328585</v>
      </c>
      <c r="V226" s="11" t="n">
        <f aca="false">((V153-V184)-V221)</f>
        <v>-483198.537534563</v>
      </c>
      <c r="W226" s="11" t="n">
        <f aca="false">((W153-W184)-W221)</f>
        <v>-313564.60880689</v>
      </c>
      <c r="X226" s="11" t="n">
        <f aca="false">((X153-X184)-X221)</f>
        <v>-511795.06549835</v>
      </c>
      <c r="Y226" s="11" t="n">
        <f aca="false">((Y153-Y184)-Y221)</f>
        <v>-495445.249901372</v>
      </c>
      <c r="Z226" s="11" t="n">
        <f aca="false">((Z153-Z184)-Z221)</f>
        <v>-361970.579357087</v>
      </c>
      <c r="AA226" s="11" t="n">
        <f aca="false">((AA153-AA184)-AA221)</f>
        <v>-500387.34885181</v>
      </c>
      <c r="AB226" s="11" t="n">
        <f aca="false">((AB153-AB184)-AB221)</f>
        <v>-612477.474932466</v>
      </c>
      <c r="AC226" s="11" t="n">
        <f aca="false">((AC153-AC184)-AC221)</f>
        <v>-401113.132216018</v>
      </c>
      <c r="AD226" s="11" t="n">
        <f aca="false">((AD153-AD184)-AD221)</f>
        <v>-442229.658187372</v>
      </c>
      <c r="AE226" s="11" t="n">
        <f aca="false">((AE153-AE184)-AE221)</f>
        <v>-594313.927738986</v>
      </c>
      <c r="AF226" s="11" t="n">
        <f aca="false">((AF153-AF184)-AF221)</f>
        <v>-395510.013379747</v>
      </c>
      <c r="AG226" s="11" t="n">
        <f aca="false">((AG153-AG184)-AG221)</f>
        <v>-412317.863887884</v>
      </c>
      <c r="AH226" s="11" t="n">
        <f aca="false">((AH153-AH184)-AH221)</f>
        <v>-523669.441410731</v>
      </c>
      <c r="AI226" s="11" t="n">
        <f aca="false">((AI153-AI184)-AI221)</f>
        <v>-411532.731713451</v>
      </c>
      <c r="AJ226" s="11" t="n">
        <f aca="false">((AJ153-AJ184)-AJ221)</f>
        <v>-401759.265925745</v>
      </c>
      <c r="AK226" s="11" t="n">
        <f aca="false">((AK153-AK184)-AK221)</f>
        <v>-709769.355733568</v>
      </c>
      <c r="AL226" s="11" t="n">
        <f aca="false">((AL153-AL184)-AL221)</f>
        <v>-421472.821693156</v>
      </c>
      <c r="AN226" s="11" t="n">
        <f aca="false">SUM(C226:N226)</f>
        <v>-2465309.9996686</v>
      </c>
      <c r="AO226" s="11" t="n">
        <f aca="false">SUM(O226:Z226)</f>
        <v>-4869244.83918648</v>
      </c>
      <c r="AP226" s="11" t="n">
        <f aca="false">SUM(AA226:AL226)</f>
        <v>-5826553.03567093</v>
      </c>
    </row>
    <row r="227" customFormat="false" ht="15" hidden="false" customHeight="false" outlineLevel="0" collapsed="false">
      <c r="A227" s="0" t="s">
        <v>45</v>
      </c>
      <c r="B227" s="0" t="s">
        <v>230</v>
      </c>
      <c r="C227" s="9" t="n">
        <f aca="false">(0+C226)</f>
        <v>-104458.258527333</v>
      </c>
      <c r="D227" s="9" t="n">
        <f aca="false">(C227+D226)</f>
        <v>-209040.766628467</v>
      </c>
      <c r="E227" s="9" t="n">
        <f aca="false">(D227+E226)</f>
        <v>-339580.242541962</v>
      </c>
      <c r="F227" s="9" t="n">
        <f aca="false">(E227+F226)</f>
        <v>-485275.329119083</v>
      </c>
      <c r="G227" s="9" t="n">
        <f aca="false">(F227+G226)</f>
        <v>-671508.058840013</v>
      </c>
      <c r="H227" s="9" t="n">
        <f aca="false">(G227+H226)</f>
        <v>-885389.74300126</v>
      </c>
      <c r="I227" s="9" t="n">
        <f aca="false">(H227+I226)</f>
        <v>-1103632.34696875</v>
      </c>
      <c r="J227" s="9" t="n">
        <f aca="false">(I227+J226)</f>
        <v>-1311689.59568608</v>
      </c>
      <c r="K227" s="9" t="n">
        <f aca="false">(J227+K226)</f>
        <v>-1591707.27698056</v>
      </c>
      <c r="L227" s="9" t="n">
        <f aca="false">(K227+L226)</f>
        <v>-1860768.56123224</v>
      </c>
      <c r="M227" s="9" t="n">
        <f aca="false">(L227+M226)</f>
        <v>-2164174.47025609</v>
      </c>
      <c r="N227" s="9" t="n">
        <f aca="false">(M227+N226)</f>
        <v>-2465309.9996686</v>
      </c>
      <c r="O227" s="9" t="n">
        <f aca="false">(N227+O226)</f>
        <v>-2847811.3405615</v>
      </c>
      <c r="P227" s="9" t="n">
        <f aca="false">(O227+P226)</f>
        <v>-3215358.62571315</v>
      </c>
      <c r="Q227" s="9" t="n">
        <f aca="false">(P227+Q226)</f>
        <v>-3605659.56290426</v>
      </c>
      <c r="R227" s="9" t="n">
        <f aca="false">(Q227+R226)</f>
        <v>-4016605.92888023</v>
      </c>
      <c r="S227" s="9" t="n">
        <f aca="false">(R227+S226)</f>
        <v>-4373389.83878608</v>
      </c>
      <c r="T227" s="9" t="n">
        <f aca="false">(S227+T226)</f>
        <v>-4708062.42442823</v>
      </c>
      <c r="U227" s="9" t="n">
        <f aca="false">(T227+U226)</f>
        <v>-5168580.79775681</v>
      </c>
      <c r="V227" s="9" t="n">
        <f aca="false">(U227+V226)</f>
        <v>-5651779.33529137</v>
      </c>
      <c r="W227" s="9" t="n">
        <f aca="false">(V227+W226)</f>
        <v>-5965343.94409826</v>
      </c>
      <c r="X227" s="9" t="n">
        <f aca="false">(W227+X226)</f>
        <v>-6477139.00959661</v>
      </c>
      <c r="Y227" s="9" t="n">
        <f aca="false">(X227+Y226)</f>
        <v>-6972584.25949798</v>
      </c>
      <c r="Z227" s="9" t="n">
        <f aca="false">(Y227+Z226)</f>
        <v>-7334554.83885507</v>
      </c>
      <c r="AA227" s="9" t="n">
        <f aca="false">(Z227+AA226)</f>
        <v>-7834942.18770688</v>
      </c>
      <c r="AB227" s="9" t="n">
        <f aca="false">(AA227+AB226)</f>
        <v>-8447419.66263935</v>
      </c>
      <c r="AC227" s="9" t="n">
        <f aca="false">(AB227+AC226)</f>
        <v>-8848532.79485537</v>
      </c>
      <c r="AD227" s="9" t="n">
        <f aca="false">(AC227+AD226)</f>
        <v>-9290762.45304274</v>
      </c>
      <c r="AE227" s="9" t="n">
        <f aca="false">(AD227+AE226)</f>
        <v>-9885076.38078173</v>
      </c>
      <c r="AF227" s="9" t="n">
        <f aca="false">(AE227+AF226)</f>
        <v>-10280586.3941615</v>
      </c>
      <c r="AG227" s="9" t="n">
        <f aca="false">(AF227+AG226)</f>
        <v>-10692904.2580494</v>
      </c>
      <c r="AH227" s="9" t="n">
        <f aca="false">(AG227+AH226)</f>
        <v>-11216573.6994601</v>
      </c>
      <c r="AI227" s="9" t="n">
        <f aca="false">(AH227+AI226)</f>
        <v>-11628106.4311735</v>
      </c>
      <c r="AJ227" s="9" t="n">
        <f aca="false">(AI227+AJ226)</f>
        <v>-12029865.6970993</v>
      </c>
      <c r="AK227" s="9" t="n">
        <f aca="false">(AJ227+AK226)</f>
        <v>-12739635.0528329</v>
      </c>
      <c r="AL227" s="9" t="n">
        <f aca="false">(AK227+AL226)</f>
        <v>-13161107.874526</v>
      </c>
      <c r="AN227" s="11" t="n">
        <f aca="false">N227</f>
        <v>-2465309.9996686</v>
      </c>
      <c r="AO227" s="11" t="n">
        <f aca="false">Z227</f>
        <v>-7334554.83885507</v>
      </c>
      <c r="AP227" s="11" t="n">
        <f aca="false">AL227</f>
        <v>-13161107.874526</v>
      </c>
    </row>
    <row r="228" customFormat="false" ht="15" hidden="false" customHeight="false" outlineLevel="0" collapsed="false">
      <c r="A228" s="10" t="s">
        <v>1015</v>
      </c>
      <c r="B228" s="20" t="s">
        <v>230</v>
      </c>
      <c r="C228" s="11" t="n">
        <f aca="false">(Assumptions!$C$104+C227)</f>
        <v>2895541.74147267</v>
      </c>
      <c r="D228" s="11" t="n">
        <f aca="false">(Assumptions!$C$104+D227)</f>
        <v>2790959.23337153</v>
      </c>
      <c r="E228" s="11" t="n">
        <f aca="false">(Assumptions!$C$104+E227)</f>
        <v>2660419.75745804</v>
      </c>
      <c r="F228" s="11" t="n">
        <f aca="false">(Assumptions!$C$104+F227)</f>
        <v>2514724.67088092</v>
      </c>
      <c r="G228" s="11" t="n">
        <f aca="false">(Assumptions!$C$104+G227)</f>
        <v>2328491.94115999</v>
      </c>
      <c r="H228" s="11" t="n">
        <f aca="false">(Assumptions!$C$104+H227)</f>
        <v>2114610.25699874</v>
      </c>
      <c r="I228" s="11" t="n">
        <f aca="false">(Assumptions!$C$104+I227)</f>
        <v>1896367.65303125</v>
      </c>
      <c r="J228" s="11" t="n">
        <f aca="false">(Assumptions!$C$104+J227)</f>
        <v>1688310.40431392</v>
      </c>
      <c r="K228" s="11" t="n">
        <f aca="false">(Assumptions!$C$104+K227)</f>
        <v>1408292.72301944</v>
      </c>
      <c r="L228" s="11" t="n">
        <f aca="false">(Assumptions!$C$104+L227)</f>
        <v>1139231.43876776</v>
      </c>
      <c r="M228" s="11" t="n">
        <f aca="false">(Assumptions!$C$104+M227)</f>
        <v>835825.529743914</v>
      </c>
      <c r="N228" s="11" t="n">
        <f aca="false">(Assumptions!$C$104+N227)</f>
        <v>534690.000331404</v>
      </c>
      <c r="O228" s="11" t="n">
        <f aca="false">(Assumptions!$C$104+O227)</f>
        <v>152188.659438498</v>
      </c>
      <c r="P228" s="11" t="n">
        <f aca="false">(Assumptions!$C$104+P227)</f>
        <v>-215358.62571315</v>
      </c>
      <c r="Q228" s="11" t="n">
        <f aca="false">(Assumptions!$C$104+Q227)</f>
        <v>-605659.562904261</v>
      </c>
      <c r="R228" s="11" t="n">
        <f aca="false">(Assumptions!$C$104+R227)</f>
        <v>-1016605.92888023</v>
      </c>
      <c r="S228" s="11" t="n">
        <f aca="false">(Assumptions!$C$104+S227)</f>
        <v>-1373389.83878608</v>
      </c>
      <c r="T228" s="11" t="n">
        <f aca="false">(Assumptions!$C$104+T227)</f>
        <v>-1708062.42442823</v>
      </c>
      <c r="U228" s="11" t="n">
        <f aca="false">(Assumptions!$C$104+U227)</f>
        <v>-2168580.79775681</v>
      </c>
      <c r="V228" s="11" t="n">
        <f aca="false">(Assumptions!$C$104+V227)</f>
        <v>-2651779.33529137</v>
      </c>
      <c r="W228" s="11" t="n">
        <f aca="false">(Assumptions!$C$104+W227)</f>
        <v>-2965343.94409826</v>
      </c>
      <c r="X228" s="11" t="n">
        <f aca="false">(Assumptions!$C$104+X227)</f>
        <v>-3477139.00959661</v>
      </c>
      <c r="Y228" s="11" t="n">
        <f aca="false">(Assumptions!$C$104+Y227)</f>
        <v>-3972584.25949798</v>
      </c>
      <c r="Z228" s="11" t="n">
        <f aca="false">(Assumptions!$C$104+Z227)</f>
        <v>-4334554.83885507</v>
      </c>
      <c r="AA228" s="11" t="n">
        <f aca="false">(Assumptions!$C$104+AA227)</f>
        <v>-4834942.18770688</v>
      </c>
      <c r="AB228" s="11" t="n">
        <f aca="false">(Assumptions!$C$104+AB227)</f>
        <v>-5447419.66263935</v>
      </c>
      <c r="AC228" s="11" t="n">
        <f aca="false">(Assumptions!$C$104+AC227)</f>
        <v>-5848532.79485537</v>
      </c>
      <c r="AD228" s="11" t="n">
        <f aca="false">(Assumptions!$C$104+AD227)</f>
        <v>-6290762.45304274</v>
      </c>
      <c r="AE228" s="11" t="n">
        <f aca="false">(Assumptions!$C$104+AE227)</f>
        <v>-6885076.38078173</v>
      </c>
      <c r="AF228" s="11" t="n">
        <f aca="false">(Assumptions!$C$104+AF227)</f>
        <v>-7280586.39416147</v>
      </c>
      <c r="AG228" s="11" t="n">
        <f aca="false">(Assumptions!$C$104+AG227)</f>
        <v>-7692904.25804936</v>
      </c>
      <c r="AH228" s="11" t="n">
        <f aca="false">(Assumptions!$C$104+AH227)</f>
        <v>-8216573.69946009</v>
      </c>
      <c r="AI228" s="11" t="n">
        <f aca="false">(Assumptions!$C$104+AI227)</f>
        <v>-8628106.43117354</v>
      </c>
      <c r="AJ228" s="11" t="n">
        <f aca="false">(Assumptions!$C$104+AJ227)</f>
        <v>-9029865.69709928</v>
      </c>
      <c r="AK228" s="11" t="n">
        <f aca="false">(Assumptions!$C$104+AK227)</f>
        <v>-9739635.05283285</v>
      </c>
      <c r="AL228" s="11" t="n">
        <f aca="false">(Assumptions!$C$104+AL227)</f>
        <v>-10161107.874526</v>
      </c>
      <c r="AN228" s="11" t="n">
        <f aca="false">N228</f>
        <v>534690.000331404</v>
      </c>
      <c r="AO228" s="11" t="n">
        <f aca="false">Z228</f>
        <v>-4334554.83885507</v>
      </c>
      <c r="AP228" s="11" t="n">
        <f aca="false">AL228</f>
        <v>-10161107.874526</v>
      </c>
    </row>
    <row r="229" customFormat="false" ht="15" hidden="false" customHeight="false" outlineLevel="0" collapsed="false">
      <c r="A229" s="0" t="s">
        <v>1016</v>
      </c>
      <c r="B229" s="0" t="s">
        <v>1017</v>
      </c>
      <c r="C229" s="9" t="n">
        <f aca="false">IF((C228&lt;0),1,0)</f>
        <v>0</v>
      </c>
      <c r="D229" s="9" t="n">
        <f aca="false">IF((D228&lt;0),1,0)</f>
        <v>0</v>
      </c>
      <c r="E229" s="9" t="n">
        <f aca="false">IF((E228&lt;0),1,0)</f>
        <v>0</v>
      </c>
      <c r="F229" s="9" t="n">
        <f aca="false">IF((F228&lt;0),1,0)</f>
        <v>0</v>
      </c>
      <c r="G229" s="9" t="n">
        <f aca="false">IF((G228&lt;0),1,0)</f>
        <v>0</v>
      </c>
      <c r="H229" s="9" t="n">
        <f aca="false">IF((H228&lt;0),1,0)</f>
        <v>0</v>
      </c>
      <c r="I229" s="9" t="n">
        <f aca="false">IF((I228&lt;0),1,0)</f>
        <v>0</v>
      </c>
      <c r="J229" s="9" t="n">
        <f aca="false">IF((J228&lt;0),1,0)</f>
        <v>0</v>
      </c>
      <c r="K229" s="9" t="n">
        <f aca="false">IF((K228&lt;0),1,0)</f>
        <v>0</v>
      </c>
      <c r="L229" s="9" t="n">
        <f aca="false">IF((L228&lt;0),1,0)</f>
        <v>0</v>
      </c>
      <c r="M229" s="9" t="n">
        <f aca="false">IF((M228&lt;0),1,0)</f>
        <v>0</v>
      </c>
      <c r="N229" s="9" t="n">
        <f aca="false">IF((N228&lt;0),1,0)</f>
        <v>0</v>
      </c>
      <c r="O229" s="9" t="n">
        <f aca="false">IF((O228&lt;0),1,0)</f>
        <v>0</v>
      </c>
      <c r="P229" s="9" t="n">
        <f aca="false">IF((P228&lt;0),1,0)</f>
        <v>1</v>
      </c>
      <c r="Q229" s="9" t="n">
        <f aca="false">IF((Q228&lt;0),1,0)</f>
        <v>1</v>
      </c>
      <c r="R229" s="9" t="n">
        <f aca="false">IF((R228&lt;0),1,0)</f>
        <v>1</v>
      </c>
      <c r="S229" s="9" t="n">
        <f aca="false">IF((S228&lt;0),1,0)</f>
        <v>1</v>
      </c>
      <c r="T229" s="9" t="n">
        <f aca="false">IF((T228&lt;0),1,0)</f>
        <v>1</v>
      </c>
      <c r="U229" s="9" t="n">
        <f aca="false">IF((U228&lt;0),1,0)</f>
        <v>1</v>
      </c>
      <c r="V229" s="9" t="n">
        <f aca="false">IF((V228&lt;0),1,0)</f>
        <v>1</v>
      </c>
      <c r="W229" s="9" t="n">
        <f aca="false">IF((W228&lt;0),1,0)</f>
        <v>1</v>
      </c>
      <c r="X229" s="9" t="n">
        <f aca="false">IF((X228&lt;0),1,0)</f>
        <v>1</v>
      </c>
      <c r="Y229" s="9" t="n">
        <f aca="false">IF((Y228&lt;0),1,0)</f>
        <v>1</v>
      </c>
      <c r="Z229" s="9" t="n">
        <f aca="false">IF((Z228&lt;0),1,0)</f>
        <v>1</v>
      </c>
      <c r="AA229" s="9" t="n">
        <f aca="false">IF((AA228&lt;0),1,0)</f>
        <v>1</v>
      </c>
      <c r="AB229" s="9" t="n">
        <f aca="false">IF((AB228&lt;0),1,0)</f>
        <v>1</v>
      </c>
      <c r="AC229" s="9" t="n">
        <f aca="false">IF((AC228&lt;0),1,0)</f>
        <v>1</v>
      </c>
      <c r="AD229" s="9" t="n">
        <f aca="false">IF((AD228&lt;0),1,0)</f>
        <v>1</v>
      </c>
      <c r="AE229" s="9" t="n">
        <f aca="false">IF((AE228&lt;0),1,0)</f>
        <v>1</v>
      </c>
      <c r="AF229" s="9" t="n">
        <f aca="false">IF((AF228&lt;0),1,0)</f>
        <v>1</v>
      </c>
      <c r="AG229" s="9" t="n">
        <f aca="false">IF((AG228&lt;0),1,0)</f>
        <v>1</v>
      </c>
      <c r="AH229" s="9" t="n">
        <f aca="false">IF((AH228&lt;0),1,0)</f>
        <v>1</v>
      </c>
      <c r="AI229" s="9" t="n">
        <f aca="false">IF((AI228&lt;0),1,0)</f>
        <v>1</v>
      </c>
      <c r="AJ229" s="9" t="n">
        <f aca="false">IF((AJ228&lt;0),1,0)</f>
        <v>1</v>
      </c>
      <c r="AK229" s="9" t="n">
        <f aca="false">IF((AK228&lt;0),1,0)</f>
        <v>1</v>
      </c>
      <c r="AL229" s="9" t="n">
        <f aca="false">IF((AL228&lt;0),1,0)</f>
        <v>1</v>
      </c>
    </row>
    <row r="230" customFormat="false" ht="15" hidden="false" customHeight="false" outlineLevel="0" collapsed="false">
      <c r="A230" s="0" t="s">
        <v>1018</v>
      </c>
      <c r="B230" s="0" t="s">
        <v>230</v>
      </c>
      <c r="C230" s="9" t="n">
        <f aca="false">(C133*Assumptions!$C$37)</f>
        <v>0</v>
      </c>
      <c r="D230" s="9" t="n">
        <f aca="false">(D133*Assumptions!$C$37)</f>
        <v>0</v>
      </c>
      <c r="E230" s="9" t="n">
        <f aca="false">(E133*Assumptions!$C$37)</f>
        <v>0</v>
      </c>
      <c r="F230" s="9" t="n">
        <f aca="false">(F133*Assumptions!$C$37)</f>
        <v>0</v>
      </c>
      <c r="G230" s="9" t="n">
        <f aca="false">(G133*Assumptions!$C$37)</f>
        <v>9775</v>
      </c>
      <c r="H230" s="9" t="n">
        <f aca="false">(H133*Assumptions!$C$37)</f>
        <v>0</v>
      </c>
      <c r="I230" s="9" t="n">
        <f aca="false">(I133*Assumptions!$C$37)</f>
        <v>0</v>
      </c>
      <c r="J230" s="9" t="n">
        <f aca="false">(J133*Assumptions!$C$37)</f>
        <v>28050</v>
      </c>
      <c r="K230" s="9" t="n">
        <f aca="false">(K133*Assumptions!$C$37)</f>
        <v>0</v>
      </c>
      <c r="L230" s="9" t="n">
        <f aca="false">(L133*Assumptions!$C$37)</f>
        <v>0</v>
      </c>
      <c r="M230" s="9" t="n">
        <f aca="false">(M133*Assumptions!$C$37)</f>
        <v>0</v>
      </c>
      <c r="N230" s="9" t="n">
        <f aca="false">(N133*Assumptions!$C$37)</f>
        <v>0</v>
      </c>
      <c r="O230" s="9" t="n">
        <f aca="false">(O133*Assumptions!$C$37)</f>
        <v>13515</v>
      </c>
      <c r="P230" s="9" t="n">
        <f aca="false">(P133*Assumptions!$C$37)</f>
        <v>0</v>
      </c>
      <c r="Q230" s="9" t="n">
        <f aca="false">(Q133*Assumptions!$C$37)</f>
        <v>0</v>
      </c>
      <c r="R230" s="9" t="n">
        <f aca="false">(R133*Assumptions!$C$37)</f>
        <v>45305</v>
      </c>
      <c r="S230" s="9" t="n">
        <f aca="false">(S133*Assumptions!$C$37)</f>
        <v>0</v>
      </c>
      <c r="T230" s="9" t="n">
        <f aca="false">(T133*Assumptions!$C$37)</f>
        <v>0</v>
      </c>
      <c r="U230" s="9" t="n">
        <f aca="false">(U133*Assumptions!$C$37)</f>
        <v>58820</v>
      </c>
      <c r="V230" s="9" t="n">
        <f aca="false">(V133*Assumptions!$C$37)</f>
        <v>0</v>
      </c>
      <c r="W230" s="9" t="n">
        <f aca="false">(W133*Assumptions!$C$37)</f>
        <v>0</v>
      </c>
      <c r="X230" s="9" t="n">
        <f aca="false">(X133*Assumptions!$C$37)</f>
        <v>58820</v>
      </c>
      <c r="Y230" s="9" t="n">
        <f aca="false">(Y133*Assumptions!$C$37)</f>
        <v>13515</v>
      </c>
      <c r="Z230" s="9" t="n">
        <f aca="false">(Z133*Assumptions!$C$37)</f>
        <v>0</v>
      </c>
      <c r="AA230" s="9" t="n">
        <f aca="false">(AA133*Assumptions!$C$37)</f>
        <v>72335</v>
      </c>
      <c r="AB230" s="9" t="n">
        <f aca="false">(AB133*Assumptions!$C$37)</f>
        <v>45305</v>
      </c>
      <c r="AC230" s="9" t="n">
        <f aca="false">(AC133*Assumptions!$C$37)</f>
        <v>0</v>
      </c>
      <c r="AD230" s="9" t="n">
        <f aca="false">(AD133*Assumptions!$C$37)</f>
        <v>104125</v>
      </c>
      <c r="AE230" s="9" t="n">
        <f aca="false">(AE133*Assumptions!$C$37)</f>
        <v>58820</v>
      </c>
      <c r="AF230" s="9" t="n">
        <f aca="false">(AF133*Assumptions!$C$37)</f>
        <v>71740</v>
      </c>
      <c r="AG230" s="9" t="n">
        <f aca="false">(AG133*Assumptions!$C$37)</f>
        <v>104125</v>
      </c>
      <c r="AH230" s="9" t="n">
        <f aca="false">(AH133*Assumptions!$C$37)</f>
        <v>58820</v>
      </c>
      <c r="AI230" s="9" t="n">
        <f aca="false">(AI133*Assumptions!$C$37)</f>
        <v>0</v>
      </c>
      <c r="AJ230" s="9" t="n">
        <f aca="false">(AJ133*Assumptions!$C$37)</f>
        <v>117640</v>
      </c>
      <c r="AK230" s="9" t="n">
        <f aca="false">(AK133*Assumptions!$C$37)</f>
        <v>104125</v>
      </c>
      <c r="AL230" s="9" t="n">
        <f aca="false">(AL133*Assumptions!$C$37)</f>
        <v>143480</v>
      </c>
      <c r="AN230" s="11" t="n">
        <f aca="false">SUM(C230:N230)</f>
        <v>37825</v>
      </c>
      <c r="AO230" s="11" t="n">
        <f aca="false">SUM(O230:Z230)</f>
        <v>189975</v>
      </c>
      <c r="AP230" s="11" t="n">
        <f aca="false">SUM(AA230:AL230)</f>
        <v>880515</v>
      </c>
    </row>
    <row r="231" customFormat="false" ht="15" hidden="false" customHeight="false" outlineLevel="0" collapsed="false">
      <c r="A231" s="0" t="s">
        <v>1019</v>
      </c>
      <c r="B231" s="0" t="s">
        <v>285</v>
      </c>
      <c r="C231" s="9" t="n">
        <f aca="false">(C197*Assumptions!$C$38)</f>
        <v>0</v>
      </c>
      <c r="D231" s="9" t="n">
        <f aca="false">(D197*Assumptions!$C$38)</f>
        <v>0</v>
      </c>
      <c r="E231" s="9" t="n">
        <f aca="false">(E197*Assumptions!$C$38)</f>
        <v>0</v>
      </c>
      <c r="F231" s="9" t="n">
        <f aca="false">(F197*Assumptions!$C$38)</f>
        <v>0</v>
      </c>
      <c r="G231" s="9" t="n">
        <f aca="false">(G197*Assumptions!$C$38)</f>
        <v>110</v>
      </c>
      <c r="H231" s="9" t="n">
        <f aca="false">(H197*Assumptions!$C$38)</f>
        <v>110</v>
      </c>
      <c r="I231" s="9" t="n">
        <f aca="false">(I197*Assumptions!$C$38)</f>
        <v>110</v>
      </c>
      <c r="J231" s="9" t="n">
        <f aca="false">(J197*Assumptions!$C$38)</f>
        <v>110</v>
      </c>
      <c r="K231" s="9" t="n">
        <f aca="false">(K197*Assumptions!$C$38)</f>
        <v>110</v>
      </c>
      <c r="L231" s="9" t="n">
        <f aca="false">(L197*Assumptions!$C$38)</f>
        <v>110</v>
      </c>
      <c r="M231" s="9" t="n">
        <f aca="false">(M197*Assumptions!$C$38)</f>
        <v>220</v>
      </c>
      <c r="N231" s="9" t="n">
        <f aca="false">(N197*Assumptions!$C$38)</f>
        <v>220</v>
      </c>
      <c r="O231" s="9" t="n">
        <f aca="false">(O197*Assumptions!$C$38)</f>
        <v>220</v>
      </c>
      <c r="P231" s="9" t="n">
        <f aca="false">(P197*Assumptions!$C$38)</f>
        <v>220</v>
      </c>
      <c r="Q231" s="9" t="n">
        <f aca="false">(Q197*Assumptions!$C$38)</f>
        <v>330</v>
      </c>
      <c r="R231" s="9" t="n">
        <f aca="false">(R197*Assumptions!$C$38)</f>
        <v>330</v>
      </c>
      <c r="S231" s="9" t="n">
        <f aca="false">(S197*Assumptions!$C$38)</f>
        <v>330</v>
      </c>
      <c r="T231" s="9" t="n">
        <f aca="false">(T197*Assumptions!$C$38)</f>
        <v>330</v>
      </c>
      <c r="U231" s="9" t="n">
        <f aca="false">(U197*Assumptions!$C$38)</f>
        <v>440</v>
      </c>
      <c r="V231" s="9" t="n">
        <f aca="false">(V197*Assumptions!$C$38)</f>
        <v>440</v>
      </c>
      <c r="W231" s="9" t="n">
        <f aca="false">(W197*Assumptions!$C$38)</f>
        <v>440</v>
      </c>
      <c r="X231" s="9" t="n">
        <f aca="false">(X197*Assumptions!$C$38)</f>
        <v>550</v>
      </c>
      <c r="Y231" s="9" t="n">
        <f aca="false">(Y197*Assumptions!$C$38)</f>
        <v>550</v>
      </c>
      <c r="Z231" s="9" t="n">
        <f aca="false">(Z197*Assumptions!$C$38)</f>
        <v>550</v>
      </c>
      <c r="AA231" s="9" t="n">
        <f aca="false">(AA197*Assumptions!$C$38)</f>
        <v>660</v>
      </c>
      <c r="AB231" s="9" t="n">
        <f aca="false">(AB197*Assumptions!$C$38)</f>
        <v>660</v>
      </c>
      <c r="AC231" s="9" t="n">
        <f aca="false">(AC197*Assumptions!$C$38)</f>
        <v>660</v>
      </c>
      <c r="AD231" s="9" t="n">
        <f aca="false">(AD197*Assumptions!$C$38)</f>
        <v>770</v>
      </c>
      <c r="AE231" s="9" t="n">
        <f aca="false">(AE197*Assumptions!$C$38)</f>
        <v>770</v>
      </c>
      <c r="AF231" s="9" t="n">
        <f aca="false">(AF197*Assumptions!$C$38)</f>
        <v>770</v>
      </c>
      <c r="AG231" s="9" t="n">
        <f aca="false">(AG197*Assumptions!$C$38)</f>
        <v>880</v>
      </c>
      <c r="AH231" s="9" t="n">
        <f aca="false">(AH197*Assumptions!$C$38)</f>
        <v>880</v>
      </c>
      <c r="AI231" s="9" t="n">
        <f aca="false">(AI197*Assumptions!$C$38)</f>
        <v>880</v>
      </c>
      <c r="AJ231" s="9" t="n">
        <f aca="false">(AJ197*Assumptions!$C$38)</f>
        <v>880</v>
      </c>
      <c r="AK231" s="9" t="n">
        <f aca="false">(AK197*Assumptions!$C$38)</f>
        <v>880</v>
      </c>
      <c r="AL231" s="9" t="n">
        <f aca="false">(AL197*Assumptions!$C$38)</f>
        <v>880</v>
      </c>
      <c r="AN231" s="11" t="n">
        <f aca="false">SUM(C231:N231)</f>
        <v>1100</v>
      </c>
      <c r="AO231" s="11" t="n">
        <f aca="false">SUM(O231:Z231)</f>
        <v>4730</v>
      </c>
      <c r="AP231" s="11" t="n">
        <f aca="false">SUM(AA231:AL231)</f>
        <v>9570</v>
      </c>
    </row>
    <row r="234" customFormat="false" ht="15" hidden="false" customHeight="false" outlineLevel="0" collapsed="false">
      <c r="A234" s="21" t="s">
        <v>1020</v>
      </c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</row>
    <row r="235" customFormat="false" ht="15" hidden="false" customHeight="false" outlineLevel="0" collapsed="false">
      <c r="A235" s="0" t="s">
        <v>61</v>
      </c>
      <c r="B235" s="0" t="s">
        <v>230</v>
      </c>
      <c r="AN235" s="9" t="n">
        <f aca="false">AN146</f>
        <v>1320</v>
      </c>
      <c r="AO235" s="9" t="n">
        <f aca="false">AO146</f>
        <v>506926.158236569</v>
      </c>
      <c r="AP235" s="9" t="n">
        <f aca="false">AP146</f>
        <v>2301941.70949913</v>
      </c>
    </row>
    <row r="236" customFormat="false" ht="15" hidden="false" customHeight="false" outlineLevel="0" collapsed="false">
      <c r="A236" s="0" t="s">
        <v>62</v>
      </c>
      <c r="B236" s="0" t="s">
        <v>230</v>
      </c>
      <c r="AN236" s="9" t="n">
        <f aca="false">AN148</f>
        <v>15840</v>
      </c>
      <c r="AO236" s="9" t="n">
        <f aca="false">AO148</f>
        <v>163394.40054726</v>
      </c>
      <c r="AP236" s="9" t="n">
        <f aca="false">AP148</f>
        <v>1527680.38281984</v>
      </c>
    </row>
    <row r="237" customFormat="false" ht="15" hidden="false" customHeight="false" outlineLevel="0" collapsed="false">
      <c r="A237" s="0" t="s">
        <v>63</v>
      </c>
      <c r="B237" s="0" t="s">
        <v>193</v>
      </c>
      <c r="AN237" s="12" t="n">
        <f aca="false">IFERROR((AN223/AN146),0)</f>
        <v>-164.249545203482</v>
      </c>
      <c r="AO237" s="12" t="n">
        <f aca="false">IFERROR((AO223/AO146),0)</f>
        <v>-0.885976231073557</v>
      </c>
      <c r="AP237" s="12" t="n">
        <f aca="false">IFERROR((AP223/AP146),0)</f>
        <v>0.0129967090701054</v>
      </c>
    </row>
    <row r="238" customFormat="false" ht="15" hidden="false" customHeight="false" outlineLevel="0" collapsed="false">
      <c r="A238" s="0" t="s">
        <v>64</v>
      </c>
      <c r="B238" s="0" t="s">
        <v>193</v>
      </c>
      <c r="AN238" s="12" t="n">
        <f aca="false">IFERROR((AN224/AN146),0)</f>
        <v>-165.209545203482</v>
      </c>
      <c r="AO238" s="12" t="n">
        <f aca="false">IFERROR((AO224/AO146),0)</f>
        <v>-1.05110323949465</v>
      </c>
      <c r="AP238" s="12" t="n">
        <f aca="false">IFERROR((AP224/AP146),0)</f>
        <v>-0.114377498013443</v>
      </c>
    </row>
    <row r="239" customFormat="false" ht="15" hidden="false" customHeight="false" outlineLevel="0" collapsed="false">
      <c r="A239" s="0" t="s">
        <v>65</v>
      </c>
      <c r="B239" s="0" t="s">
        <v>193</v>
      </c>
      <c r="AN239" s="12" t="n">
        <f aca="false">IFERROR(((AN42-AN179)/AN42),0)</f>
        <v>0</v>
      </c>
      <c r="AO239" s="12" t="n">
        <f aca="false">IFERROR(((AO42-AO179)/AO42),0)</f>
        <v>-13.9882978341291</v>
      </c>
      <c r="AP239" s="12" t="n">
        <f aca="false">IFERROR(((AP42-AP179)/AP42),0)</f>
        <v>-7.16904695184472</v>
      </c>
    </row>
    <row r="240" customFormat="false" ht="15" hidden="false" customHeight="false" outlineLevel="0" collapsed="false">
      <c r="A240" s="0" t="s">
        <v>66</v>
      </c>
      <c r="B240" s="0" t="s">
        <v>193</v>
      </c>
      <c r="AN240" s="12" t="n">
        <f aca="false">IFERROR(((((((AN129+AN127)+AN136)+AN137)+AN140)-AN180)/((((AN129+AN127)+AN136)+AN137)+AN140)),0)</f>
        <v>-5.75673297556369</v>
      </c>
      <c r="AO240" s="12" t="n">
        <f aca="false">IFERROR(((((((AO129+AO127)+AO136)+AO137)+AO140)-AO180)/((((AO129+AO127)+AO136)+AO137)+AO140)),0)</f>
        <v>0.416759025872245</v>
      </c>
      <c r="AP240" s="12" t="n">
        <f aca="false">IFERROR(((((((AP129+AP127)+AP136)+AP137)+AP140)-AP180)/((((AP129+AP127)+AP136)+AP137)+AP140)),0)</f>
        <v>0.515649781958351</v>
      </c>
    </row>
    <row r="241" customFormat="false" ht="15" hidden="false" customHeight="false" outlineLevel="0" collapsed="false">
      <c r="A241" s="0" t="s">
        <v>67</v>
      </c>
      <c r="B241" s="0" t="s">
        <v>193</v>
      </c>
      <c r="AN241" s="12" t="n">
        <f aca="false">IFERROR(((AN131-AN182)/AN131),0)</f>
        <v>0</v>
      </c>
      <c r="AO241" s="12" t="n">
        <f aca="false">IFERROR(((AO131-AO182)/AO131),0)</f>
        <v>-0.572541966426859</v>
      </c>
      <c r="AP241" s="12" t="n">
        <f aca="false">IFERROR(((AP131-AP182)/AP131),0)</f>
        <v>0.213777777777778</v>
      </c>
    </row>
    <row r="242" customFormat="false" ht="15" hidden="false" customHeight="false" outlineLevel="0" collapsed="false">
      <c r="A242" s="0" t="s">
        <v>68</v>
      </c>
      <c r="B242" s="0" t="s">
        <v>193</v>
      </c>
      <c r="AN242" s="12" t="n">
        <f aca="false">IFERROR(((AN131-AN230)/AN131),0)</f>
        <v>0</v>
      </c>
      <c r="AO242" s="12" t="n">
        <f aca="false">IFERROR(((AO131-AO230)/AO131),0)</f>
        <v>0.316636690647482</v>
      </c>
      <c r="AP242" s="12" t="n">
        <f aca="false">IFERROR(((AP131-AP230)/AP131),0)</f>
        <v>0.21732</v>
      </c>
    </row>
    <row r="243" customFormat="false" ht="15" hidden="false" customHeight="false" outlineLevel="0" collapsed="false">
      <c r="A243" s="0" t="s">
        <v>69</v>
      </c>
      <c r="B243" s="0" t="s">
        <v>193</v>
      </c>
      <c r="AN243" s="12" t="n">
        <f aca="false">IFERROR((AN133/AN231),0)</f>
        <v>0.404545454545455</v>
      </c>
      <c r="AO243" s="12" t="n">
        <f aca="false">IFERROR((AO133/AO231),0)</f>
        <v>0.472515856236787</v>
      </c>
      <c r="AP243" s="12" t="n">
        <f aca="false">IFERROR((AP133/AP231),0)</f>
        <v>1.08244514106583</v>
      </c>
    </row>
    <row r="244" customFormat="false" ht="15" hidden="false" customHeight="false" outlineLevel="0" collapsed="false">
      <c r="A244" s="0" t="s">
        <v>41</v>
      </c>
      <c r="B244" s="0" t="s">
        <v>230</v>
      </c>
      <c r="AN244" s="9" t="n">
        <f aca="false">AN225</f>
        <v>-2463989.9996686</v>
      </c>
      <c r="AO244" s="9" t="n">
        <f aca="false">AO225</f>
        <v>-4886552.6249737</v>
      </c>
      <c r="AP244" s="9" t="n">
        <f aca="false">AP225</f>
        <v>-5780878.6291069</v>
      </c>
    </row>
    <row r="245" customFormat="false" ht="15" hidden="false" customHeight="false" outlineLevel="0" collapsed="false">
      <c r="A245" s="0" t="s">
        <v>70</v>
      </c>
      <c r="B245" s="0" t="s">
        <v>230</v>
      </c>
      <c r="AN245" s="9" t="n">
        <f aca="false">(0-AN226)</f>
        <v>2465309.9996686</v>
      </c>
      <c r="AO245" s="9" t="n">
        <f aca="false">(0-AO226)</f>
        <v>4869244.83918648</v>
      </c>
      <c r="AP245" s="9" t="n">
        <f aca="false">(0-AP226)</f>
        <v>5826553.03567093</v>
      </c>
    </row>
    <row r="246" customFormat="false" ht="15" hidden="false" customHeight="false" outlineLevel="0" collapsed="false">
      <c r="A246" s="0" t="s">
        <v>71</v>
      </c>
      <c r="B246" s="0" t="s">
        <v>230</v>
      </c>
      <c r="AN246" s="9" t="n">
        <f aca="false">AN227</f>
        <v>-2465309.9996686</v>
      </c>
      <c r="AO246" s="9" t="n">
        <f aca="false">AO227</f>
        <v>-7334554.83885507</v>
      </c>
      <c r="AP246" s="9" t="n">
        <f aca="false">AP227</f>
        <v>-13161107.874526</v>
      </c>
    </row>
    <row r="247" customFormat="false" ht="15" hidden="false" customHeight="false" outlineLevel="0" collapsed="false">
      <c r="A247" s="0" t="s">
        <v>72</v>
      </c>
      <c r="B247" s="0" t="s">
        <v>230</v>
      </c>
      <c r="AN247" s="9" t="n">
        <f aca="false">AN228</f>
        <v>534690.000331404</v>
      </c>
      <c r="AO247" s="9" t="n">
        <f aca="false">AO228</f>
        <v>-4334554.83885507</v>
      </c>
      <c r="AP247" s="9" t="n">
        <f aca="false">AP228</f>
        <v>-10161107.874526</v>
      </c>
    </row>
    <row r="248" customFormat="false" ht="15" hidden="false" customHeight="false" outlineLevel="0" collapsed="false">
      <c r="A248" s="0" t="s">
        <v>73</v>
      </c>
      <c r="B248" s="0" t="s">
        <v>230</v>
      </c>
      <c r="AN248" s="9" t="n">
        <f aca="false">(AN148-0)</f>
        <v>15840</v>
      </c>
      <c r="AO248" s="9" t="n">
        <f aca="false">(AO148-AN148)</f>
        <v>147554.40054726</v>
      </c>
      <c r="AP248" s="9" t="n">
        <f aca="false">(AP148-AO148)</f>
        <v>1364285.98227258</v>
      </c>
    </row>
    <row r="249" customFormat="false" ht="15" hidden="false" customHeight="false" outlineLevel="0" collapsed="false">
      <c r="A249" s="0" t="s">
        <v>74</v>
      </c>
      <c r="B249" s="0" t="s">
        <v>160</v>
      </c>
      <c r="AN249" s="13" t="n">
        <f aca="false">IFERROR(((0-AN226)/(AN148-0)),0)</f>
        <v>155.638257554836</v>
      </c>
      <c r="AO249" s="13" t="n">
        <f aca="false">IFERROR(((0-AO226)/(AO148-AN148)),0)</f>
        <v>32.9996585742416</v>
      </c>
      <c r="AP249" s="13" t="n">
        <f aca="false">IFERROR(((0-AP226)/(AP148-AO148)),0)</f>
        <v>4.27077101969871</v>
      </c>
    </row>
    <row r="250" customFormat="false" ht="15" hidden="false" customHeight="false" outlineLevel="0" collapsed="false">
      <c r="A250" s="0" t="s">
        <v>75</v>
      </c>
      <c r="B250" s="0" t="s">
        <v>230</v>
      </c>
      <c r="AN250" s="13" t="n">
        <f aca="false">IFERROR(((AN206+(0.5*(AN194+AN207)))/AN28),0)</f>
        <v>0</v>
      </c>
      <c r="AO250" s="13" t="n">
        <f aca="false">IFERROR(((AO206+(0.5*(AO194+AO207)))/AO28),0)</f>
        <v>802.839097544607</v>
      </c>
      <c r="AP250" s="13" t="n">
        <f aca="false">IFERROR(((AP206+(0.5*(AP194+AP207)))/AP28),0)</f>
        <v>502.981242619472</v>
      </c>
    </row>
    <row r="251" customFormat="false" ht="15" hidden="false" customHeight="false" outlineLevel="0" collapsed="false">
      <c r="A251" s="0" t="s">
        <v>76</v>
      </c>
      <c r="B251" s="0" t="s">
        <v>230</v>
      </c>
      <c r="AN251" s="13" t="n">
        <f aca="false">IFERROR((((AN206+(0.5*(AN194+AN207)))+AN186)/AN28),0)</f>
        <v>0</v>
      </c>
      <c r="AO251" s="13" t="n">
        <f aca="false">IFERROR((((AO206+(0.5*(AO194+AO207)))+AO186)/AO28),0)</f>
        <v>1111.62225645042</v>
      </c>
      <c r="AP251" s="13" t="n">
        <f aca="false">IFERROR((((AP206+(0.5*(AP194+AP207)))+AP186)/AP28),0)</f>
        <v>787.569998601504</v>
      </c>
    </row>
    <row r="252" customFormat="false" ht="15" hidden="false" customHeight="false" outlineLevel="0" collapsed="false">
      <c r="A252" s="0" t="s">
        <v>77</v>
      </c>
      <c r="B252" s="0" t="s">
        <v>230</v>
      </c>
      <c r="AN252" s="14" t="n">
        <f aca="false">IFERROR(((AN42/12)/((AN39*0.5)+(0*0.5))),0)</f>
        <v>0</v>
      </c>
      <c r="AO252" s="14" t="n">
        <f aca="false">IFERROR(((AO42/12)/((AO39*0.5)+(AN39*0.5))),0)</f>
        <v>4.73816699513621</v>
      </c>
      <c r="AP252" s="14" t="n">
        <f aca="false">IFERROR(((AP42/12)/((AP39*0.5)+(AO39*0.5))),0)</f>
        <v>5.71702778571874</v>
      </c>
    </row>
    <row r="253" customFormat="false" ht="15" hidden="false" customHeight="false" outlineLevel="0" collapsed="false">
      <c r="A253" s="0" t="s">
        <v>78</v>
      </c>
      <c r="B253" s="0" t="s">
        <v>193</v>
      </c>
      <c r="AN253" s="12" t="n">
        <f aca="false">IFERROR(((AN42-AN187)/AN42),0)</f>
        <v>0</v>
      </c>
      <c r="AO253" s="12" t="n">
        <f aca="false">IFERROR(((AO42-AO187)/AO42),0)</f>
        <v>0.429359005438945</v>
      </c>
      <c r="AP253" s="12" t="n">
        <f aca="false">IFERROR(((AP42-AP187)/AP42),0)</f>
        <v>0.448144248332799</v>
      </c>
    </row>
    <row r="254" customFormat="false" ht="15" hidden="false" customHeight="false" outlineLevel="0" collapsed="false">
      <c r="A254" s="0" t="s">
        <v>79</v>
      </c>
      <c r="B254" s="0" t="s">
        <v>166</v>
      </c>
      <c r="AN254" s="13" t="n">
        <f aca="false">IFERROR(((((AN206+(0.5*(AN194+AN207)))+AN186)/AN28)/(((AN42/12)/((AN39*0.5)+(0*0.5)))*((AN42-AN187)/AN42))),0)</f>
        <v>0</v>
      </c>
      <c r="AO254" s="13" t="n">
        <f aca="false">IFERROR(((((AO206+(0.5*(AO194+AO207)))+AO186)/AO28)/(((AO42/12)/((AO39*0.5)+(AN39*0.5)))*((AO42-AO187)/AO42))),0)</f>
        <v>546.419631343576</v>
      </c>
      <c r="AP254" s="13" t="n">
        <f aca="false">IFERROR(((((AP206+(0.5*(AP194+AP207)))+AP186)/AP28)/(((AP42/12)/((AP39*0.5)+(AO39*0.5)))*((AP42-AP187)/AP42))),0)</f>
        <v>307.397997542267</v>
      </c>
    </row>
    <row r="255" customFormat="false" ht="15" hidden="false" customHeight="false" outlineLevel="0" collapsed="false">
      <c r="A255" s="0" t="s">
        <v>80</v>
      </c>
      <c r="B255" s="0" t="s">
        <v>230</v>
      </c>
      <c r="AN255" s="9" t="n">
        <f aca="false">IFERROR(((AN215+(0.5*(AN194+AN207)))/AN121),0)</f>
        <v>255500.888888889</v>
      </c>
      <c r="AO255" s="9" t="n">
        <f aca="false">IFERROR(((AO215+(0.5*(AO194+AO207)))/AO121),0)</f>
        <v>228151.267759563</v>
      </c>
      <c r="AP255" s="9" t="n">
        <f aca="false">IFERROR(((AP215+(0.5*(AP194+AP207)))/AP121),0)</f>
        <v>58889.7882352941</v>
      </c>
    </row>
    <row r="256" customFormat="false" ht="15" hidden="false" customHeight="false" outlineLevel="0" collapsed="false">
      <c r="A256" s="0" t="s">
        <v>81</v>
      </c>
      <c r="B256" s="0" t="s">
        <v>230</v>
      </c>
      <c r="AN256" s="9" t="n">
        <f aca="false">IFERROR(((AN215+(0.5*(AN194+AN207)))/AN120),0)</f>
        <v>0</v>
      </c>
      <c r="AO256" s="9" t="n">
        <f aca="false">IFERROR(((AO215+(0.5*(AO194+AO207)))/AO120),0)</f>
        <v>69586.1366666667</v>
      </c>
      <c r="AP256" s="9" t="n">
        <f aca="false">IFERROR(((AP215+(0.5*(AP194+AP207)))/AP120),0)</f>
        <v>34761.3333333333</v>
      </c>
    </row>
    <row r="257" customFormat="false" ht="15" hidden="false" customHeight="false" outlineLevel="0" collapsed="false">
      <c r="A257" s="0" t="s">
        <v>82</v>
      </c>
      <c r="B257" s="0" t="s">
        <v>193</v>
      </c>
      <c r="AN257" s="12" t="n">
        <f aca="false">((1-((1-Assumptions!$C$30)*$C$6))*(1+Assumptions!$C$31))</f>
        <v>0.968</v>
      </c>
      <c r="AO257" s="12" t="n">
        <f aca="false">((1-((1-Assumptions!$C$30)*$C$6))*(1+Assumptions!$C$31))</f>
        <v>0.968</v>
      </c>
      <c r="AP257" s="12" t="n">
        <f aca="false">((1-((1-Assumptions!$C$30)*$C$6))*(1+Assumptions!$C$31))</f>
        <v>0.968</v>
      </c>
    </row>
    <row r="258" customFormat="false" ht="15" hidden="false" customHeight="false" outlineLevel="0" collapsed="false">
      <c r="A258" s="0" t="s">
        <v>83</v>
      </c>
      <c r="B258" s="0" t="s">
        <v>193</v>
      </c>
      <c r="AN258" s="12" t="n">
        <f aca="false">(1-((1-Assumptions!$C$30)*$C$6))</f>
        <v>0.88</v>
      </c>
      <c r="AO258" s="12" t="n">
        <f aca="false">(1-((1-Assumptions!$C$30)*$C$6))</f>
        <v>0.88</v>
      </c>
      <c r="AP258" s="12" t="n">
        <f aca="false">(1-((1-Assumptions!$C$30)*$C$6))</f>
        <v>0.88</v>
      </c>
    </row>
    <row r="259" customFormat="false" ht="15" hidden="false" customHeight="false" outlineLevel="0" collapsed="false">
      <c r="A259" s="0" t="s">
        <v>84</v>
      </c>
      <c r="B259" s="0" t="s">
        <v>852</v>
      </c>
      <c r="AN259" s="13" t="n">
        <f aca="false">AN122</f>
        <v>0.6</v>
      </c>
      <c r="AO259" s="13" t="n">
        <f aca="false">AO122</f>
        <v>3.578</v>
      </c>
      <c r="AP259" s="13" t="n">
        <f aca="false">AP122</f>
        <v>24.39864</v>
      </c>
    </row>
    <row r="260" customFormat="false" ht="15" hidden="false" customHeight="false" outlineLevel="0" collapsed="false">
      <c r="A260" s="0" t="s">
        <v>85</v>
      </c>
      <c r="B260" s="0" t="s">
        <v>500</v>
      </c>
      <c r="AN260" s="9" t="n">
        <f aca="false">AN39</f>
        <v>0</v>
      </c>
      <c r="AO260" s="9" t="n">
        <f aca="false">AO39</f>
        <v>256.966398049017</v>
      </c>
      <c r="AP260" s="9" t="n">
        <f aca="false">AP39</f>
        <v>719.967198361525</v>
      </c>
    </row>
    <row r="261" customFormat="false" ht="15" hidden="false" customHeight="false" outlineLevel="0" collapsed="false">
      <c r="A261" s="0" t="s">
        <v>86</v>
      </c>
      <c r="B261" s="0" t="s">
        <v>500</v>
      </c>
      <c r="AN261" s="9" t="n">
        <f aca="false">AN157</f>
        <v>3041.21574138794</v>
      </c>
      <c r="AO261" s="9" t="n">
        <f aca="false">AO157</f>
        <v>23495.0146141107</v>
      </c>
      <c r="AP261" s="9" t="n">
        <f aca="false">AP157</f>
        <v>74697.5499028581</v>
      </c>
    </row>
    <row r="262" customFormat="false" ht="15" hidden="false" customHeight="false" outlineLevel="0" collapsed="false">
      <c r="A262" s="0" t="s">
        <v>87</v>
      </c>
      <c r="B262" s="0" t="s">
        <v>230</v>
      </c>
      <c r="AN262" s="14" t="n">
        <f aca="false">IFERROR(((AN167/12)/((AN157*0.5)+(0*0.5))),0)</f>
        <v>2.03051458841812</v>
      </c>
      <c r="AO262" s="14" t="n">
        <f aca="false">IFERROR(((AO167/12)/((AO157*0.5)+(AN157*0.5))),0)</f>
        <v>0.987976596489477</v>
      </c>
      <c r="AP262" s="14" t="n">
        <f aca="false">IFERROR(((AP167/12)/((AP157*0.5)+(AO157*0.5))),0)</f>
        <v>0.878128994089733</v>
      </c>
    </row>
    <row r="263" customFormat="false" ht="15" hidden="false" customHeight="false" outlineLevel="0" collapsed="false">
      <c r="A263" s="0" t="s">
        <v>88</v>
      </c>
      <c r="B263" s="0" t="s">
        <v>193</v>
      </c>
      <c r="AN263" s="12" t="n">
        <f aca="false">IFERROR((AN167/AN146),0)</f>
        <v>28.0692405882502</v>
      </c>
      <c r="AO263" s="12" t="n">
        <f aca="false">IFERROR((AO167/AO146),0)</f>
        <v>0.310307615312107</v>
      </c>
      <c r="AP263" s="12" t="n">
        <f aca="false">IFERROR((AP167/AP146),0)</f>
        <v>0.224746971351778</v>
      </c>
    </row>
    <row r="264" customFormat="false" ht="15" hidden="false" customHeight="false" outlineLevel="0" collapsed="false">
      <c r="A264" s="0" t="s">
        <v>89</v>
      </c>
      <c r="B264" s="0" t="s">
        <v>618</v>
      </c>
      <c r="AN264" s="13" t="n">
        <f aca="false">AN196</f>
        <v>18.4</v>
      </c>
      <c r="AO264" s="13" t="n">
        <f aca="false">AO196</f>
        <v>31.4</v>
      </c>
      <c r="AP264" s="13" t="n">
        <f aca="false">AP196</f>
        <v>40.4</v>
      </c>
    </row>
    <row r="265" customFormat="false" ht="15" hidden="false" customHeight="false" outlineLevel="0" collapsed="false">
      <c r="A265" s="0" t="s">
        <v>90</v>
      </c>
      <c r="B265" s="0" t="s">
        <v>230</v>
      </c>
      <c r="AN265" s="9" t="n">
        <f aca="false">IFERROR((AN148/AN196),0)</f>
        <v>860.869565217391</v>
      </c>
      <c r="AO265" s="9" t="n">
        <f aca="false">IFERROR((AO148/AO196),0)</f>
        <v>5203.64332953058</v>
      </c>
      <c r="AP265" s="9" t="n">
        <f aca="false">IFERROR((AP148/AP196),0)</f>
        <v>37813.8708618773</v>
      </c>
    </row>
    <row r="266" customFormat="false" ht="15" hidden="false" customHeight="false" outlineLevel="0" collapsed="false">
      <c r="A266" s="0" t="s">
        <v>91</v>
      </c>
      <c r="B266" s="0" t="s">
        <v>193</v>
      </c>
      <c r="AN266" s="12" t="n">
        <f aca="false">IFERROR((AN40/AN188),0)</f>
        <v>0</v>
      </c>
      <c r="AO266" s="12" t="n">
        <f aca="false">IFERROR((AO40/AO188),0)</f>
        <v>0.0258846896897066</v>
      </c>
      <c r="AP266" s="12" t="n">
        <f aca="false">IFERROR((AP40/AP188),0)</f>
        <v>0.0351852873588045</v>
      </c>
    </row>
    <row r="267" customFormat="false" ht="15" hidden="false" customHeight="false" outlineLevel="0" collapsed="false">
      <c r="A267" s="0" t="s">
        <v>92</v>
      </c>
      <c r="B267" s="0" t="s">
        <v>230</v>
      </c>
      <c r="AN267" s="13" t="n">
        <f aca="false">IFERROR(((((AN42/12)/((AN39*0.5)+(0*0.5)))*((AN42-AN187)/AN42))/(AN40/AN188)),0)</f>
        <v>0</v>
      </c>
      <c r="AO267" s="13" t="n">
        <f aca="false">IFERROR(((((AO42/12)/((AO39*0.5)+(AN39*0.5)))*((AO42-AO187)/AO42))/(AO40/AO188)),0)</f>
        <v>78.5937437544139</v>
      </c>
      <c r="AP267" s="13" t="n">
        <f aca="false">IFERROR(((((AP42/12)/((AP39*0.5)+(AO39*0.5)))*((AP42-AP187)/AP42))/(AP40/AP188)),0)</f>
        <v>72.816035111549</v>
      </c>
    </row>
    <row r="268" customFormat="false" ht="15" hidden="false" customHeight="false" outlineLevel="0" collapsed="false">
      <c r="A268" s="0" t="s">
        <v>93</v>
      </c>
      <c r="B268" s="0" t="s">
        <v>160</v>
      </c>
      <c r="AN268" s="14" t="n">
        <f aca="false">IFERROR((((((AN42/12)/((AN39*0.5)+(0*0.5)))*((AN42-AN187)/AN42))/(AN40/AN188))/(((AN206+(0.5*(AN194+AN207)))+AN186)/AN28)),0)</f>
        <v>0</v>
      </c>
      <c r="AO268" s="14" t="n">
        <f aca="false">IFERROR((((((AO42/12)/((AO39*0.5)+(AN39*0.5)))*((AO42-AO187)/AO42))/(AO40/AO188))/(((AO206+(0.5*(AO194+AO207)))+AO186)/AO28)),0)</f>
        <v>0.0707018443525732</v>
      </c>
      <c r="AP268" s="14" t="n">
        <f aca="false">IFERROR((((((AP42/12)/((AP39*0.5)+(AO39*0.5)))*((AP42-AP187)/AP42))/(AP40/AP188))/(((AP206+(0.5*(AP194+AP207)))+AP186)/AP28)),0)</f>
        <v>0.0924565882916429</v>
      </c>
    </row>
    <row r="269" customFormat="false" ht="15" hidden="false" customHeight="false" outlineLevel="0" collapsed="false">
      <c r="A269" s="0" t="s">
        <v>94</v>
      </c>
      <c r="B269" s="0" t="s">
        <v>230</v>
      </c>
      <c r="AN269" s="9" t="n">
        <f aca="false">AN186</f>
        <v>8296.59182859648</v>
      </c>
      <c r="AO269" s="9" t="n">
        <f aca="false">AO186</f>
        <v>87616.6723947216</v>
      </c>
      <c r="AP269" s="9" t="n">
        <f aca="false">AP186</f>
        <v>187026.483929997</v>
      </c>
    </row>
    <row r="270" customFormat="false" ht="15" hidden="false" customHeight="false" outlineLevel="0" collapsed="false">
      <c r="A270" s="0" t="s">
        <v>95</v>
      </c>
      <c r="B270" s="0" t="s">
        <v>193</v>
      </c>
      <c r="AN270" s="12" t="n">
        <f aca="false">IFERROR((AN186/AN42),0)</f>
        <v>0</v>
      </c>
      <c r="AO270" s="12" t="n">
        <f aca="false">IFERROR((AO186/AO42),0)</f>
        <v>11.9935791198947</v>
      </c>
      <c r="AP270" s="12" t="n">
        <f aca="false">IFERROR((AP186/AP42),0)</f>
        <v>5.58105767825809</v>
      </c>
    </row>
    <row r="271" customFormat="false" ht="15" hidden="false" customHeight="false" outlineLevel="0" collapsed="false">
      <c r="A271" s="0" t="s">
        <v>96</v>
      </c>
      <c r="B271" s="0" t="s">
        <v>193</v>
      </c>
      <c r="AN271" s="12" t="n">
        <f aca="false">IFERROR((AN39/(AN39+AN29)),0)</f>
        <v>0</v>
      </c>
      <c r="AO271" s="12" t="n">
        <f aca="false">IFERROR((AO39/(AO39+AO29)),0)</f>
        <v>0.0153291838089761</v>
      </c>
      <c r="AP271" s="12" t="n">
        <f aca="false">IFERROR((AP39/(AP39+AP29)),0)</f>
        <v>0.0257059845779436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3" topLeftCell="C24" activePane="bottomRight" state="frozen"/>
      <selection pane="topLeft" activeCell="A1" activeCellId="0" sqref="A1"/>
      <selection pane="topRight" activeCell="C1" activeCellId="0" sqref="C1"/>
      <selection pane="bottomLeft" activeCell="A24" activeCellId="0" sqref="A2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9"/>
    <col collapsed="false" customWidth="true" hidden="false" outlineLevel="0" max="38" min="3" style="0" width="11"/>
    <col collapsed="false" customWidth="true" hidden="false" outlineLevel="0" max="39" min="39" style="0" width="3"/>
    <col collapsed="false" customWidth="true" hidden="false" outlineLevel="0" max="42" min="40" style="0" width="14"/>
  </cols>
  <sheetData>
    <row r="1" customFormat="false" ht="16.15" hidden="false" customHeight="false" outlineLevel="0" collapsed="false">
      <c r="A1" s="18" t="s">
        <v>1025</v>
      </c>
    </row>
    <row r="2" customFormat="false" ht="15" hidden="false" customHeight="false" outlineLevel="0" collapsed="false">
      <c r="A2" s="0" t="s">
        <v>781</v>
      </c>
    </row>
    <row r="3" customFormat="false" ht="15" hidden="false" customHeight="false" outlineLevel="0" collapsed="false">
      <c r="A3" s="15" t="s">
        <v>782</v>
      </c>
    </row>
    <row r="4" customFormat="false" ht="15" hidden="false" customHeight="false" outlineLevel="0" collapsed="false">
      <c r="A4" s="0" t="s">
        <v>159</v>
      </c>
      <c r="B4" s="0" t="s">
        <v>160</v>
      </c>
      <c r="C4" s="0" t="n">
        <f aca="false">Scenarios!H4</f>
        <v>1</v>
      </c>
    </row>
    <row r="5" customFormat="false" ht="15" hidden="false" customHeight="false" outlineLevel="0" collapsed="false">
      <c r="A5" s="0" t="s">
        <v>161</v>
      </c>
      <c r="B5" s="0" t="s">
        <v>160</v>
      </c>
      <c r="C5" s="0" t="n">
        <f aca="false">Scenarios!H5</f>
        <v>1</v>
      </c>
    </row>
    <row r="6" customFormat="false" ht="15" hidden="false" customHeight="false" outlineLevel="0" collapsed="false">
      <c r="A6" s="0" t="s">
        <v>162</v>
      </c>
      <c r="B6" s="0" t="s">
        <v>160</v>
      </c>
      <c r="C6" s="0" t="n">
        <f aca="false">Scenarios!H6</f>
        <v>1</v>
      </c>
    </row>
    <row r="7" customFormat="false" ht="15" hidden="false" customHeight="false" outlineLevel="0" collapsed="false">
      <c r="A7" s="0" t="s">
        <v>163</v>
      </c>
      <c r="B7" s="0" t="s">
        <v>160</v>
      </c>
      <c r="C7" s="0" t="n">
        <f aca="false">Scenarios!H7</f>
        <v>1</v>
      </c>
    </row>
    <row r="8" customFormat="false" ht="15" hidden="false" customHeight="false" outlineLevel="0" collapsed="false">
      <c r="A8" s="0" t="s">
        <v>164</v>
      </c>
      <c r="B8" s="0" t="s">
        <v>160</v>
      </c>
      <c r="C8" s="0" t="n">
        <f aca="false">Scenarios!H8</f>
        <v>1</v>
      </c>
    </row>
    <row r="9" customFormat="false" ht="15" hidden="false" customHeight="false" outlineLevel="0" collapsed="false">
      <c r="A9" s="0" t="s">
        <v>165</v>
      </c>
      <c r="B9" s="0" t="s">
        <v>166</v>
      </c>
      <c r="C9" s="0" t="n">
        <f aca="false">Scenarios!H9</f>
        <v>0</v>
      </c>
    </row>
    <row r="10" customFormat="false" ht="15" hidden="false" customHeight="false" outlineLevel="0" collapsed="false">
      <c r="A10" s="0" t="s">
        <v>168</v>
      </c>
      <c r="B10" s="0" t="s">
        <v>160</v>
      </c>
      <c r="C10" s="0" t="n">
        <f aca="false">Scenarios!H10</f>
        <v>1</v>
      </c>
    </row>
    <row r="11" customFormat="false" ht="15" hidden="false" customHeight="false" outlineLevel="0" collapsed="false">
      <c r="A11" s="0" t="s">
        <v>169</v>
      </c>
      <c r="B11" s="0" t="s">
        <v>160</v>
      </c>
      <c r="C11" s="0" t="n">
        <f aca="false">Scenarios!H11</f>
        <v>1</v>
      </c>
    </row>
    <row r="12" customFormat="false" ht="15" hidden="false" customHeight="false" outlineLevel="0" collapsed="false">
      <c r="A12" s="0" t="s">
        <v>170</v>
      </c>
      <c r="B12" s="0" t="s">
        <v>160</v>
      </c>
      <c r="C12" s="0" t="n">
        <f aca="false">Scenarios!H12</f>
        <v>1</v>
      </c>
    </row>
    <row r="13" customFormat="false" ht="15" hidden="false" customHeight="false" outlineLevel="0" collapsed="false">
      <c r="A13" s="0" t="s">
        <v>171</v>
      </c>
      <c r="B13" s="0" t="s">
        <v>160</v>
      </c>
      <c r="C13" s="0" t="n">
        <f aca="false">Scenarios!H13</f>
        <v>1</v>
      </c>
    </row>
    <row r="14" customFormat="false" ht="15" hidden="false" customHeight="false" outlineLevel="0" collapsed="false">
      <c r="A14" s="0" t="s">
        <v>172</v>
      </c>
      <c r="B14" s="0" t="s">
        <v>173</v>
      </c>
      <c r="C14" s="0" t="n">
        <f aca="false">Scenarios!H14</f>
        <v>1</v>
      </c>
    </row>
    <row r="15" customFormat="false" ht="15" hidden="false" customHeight="false" outlineLevel="0" collapsed="false">
      <c r="A15" s="0" t="s">
        <v>174</v>
      </c>
      <c r="B15" s="0" t="s">
        <v>166</v>
      </c>
      <c r="C15" s="0" t="n">
        <f aca="false">Scenarios!H15</f>
        <v>0</v>
      </c>
    </row>
    <row r="16" customFormat="false" ht="15" hidden="false" customHeight="false" outlineLevel="0" collapsed="false">
      <c r="A16" s="0" t="s">
        <v>176</v>
      </c>
      <c r="B16" s="0" t="s">
        <v>173</v>
      </c>
      <c r="C16" s="0" t="n">
        <f aca="false">Scenarios!H16</f>
        <v>0</v>
      </c>
    </row>
    <row r="18" customFormat="false" ht="15" hidden="false" customHeight="false" outlineLevel="0" collapsed="false">
      <c r="A18" s="8" t="s">
        <v>98</v>
      </c>
      <c r="B18" s="8"/>
      <c r="C18" s="8" t="n">
        <v>1</v>
      </c>
      <c r="D18" s="8" t="n">
        <v>2</v>
      </c>
      <c r="E18" s="8" t="n">
        <v>3</v>
      </c>
      <c r="F18" s="8" t="n">
        <v>4</v>
      </c>
      <c r="G18" s="8" t="n">
        <v>5</v>
      </c>
      <c r="H18" s="8" t="n">
        <v>6</v>
      </c>
      <c r="I18" s="8" t="n">
        <v>7</v>
      </c>
      <c r="J18" s="8" t="n">
        <v>8</v>
      </c>
      <c r="K18" s="8" t="n">
        <v>9</v>
      </c>
      <c r="L18" s="8" t="n">
        <v>10</v>
      </c>
      <c r="M18" s="8" t="n">
        <v>11</v>
      </c>
      <c r="N18" s="8" t="n">
        <v>12</v>
      </c>
      <c r="O18" s="8" t="n">
        <v>13</v>
      </c>
      <c r="P18" s="8" t="n">
        <v>14</v>
      </c>
      <c r="Q18" s="8" t="n">
        <v>15</v>
      </c>
      <c r="R18" s="8" t="n">
        <v>16</v>
      </c>
      <c r="S18" s="8" t="n">
        <v>17</v>
      </c>
      <c r="T18" s="8" t="n">
        <v>18</v>
      </c>
      <c r="U18" s="8" t="n">
        <v>19</v>
      </c>
      <c r="V18" s="8" t="n">
        <v>20</v>
      </c>
      <c r="W18" s="8" t="n">
        <v>21</v>
      </c>
      <c r="X18" s="8" t="n">
        <v>22</v>
      </c>
      <c r="Y18" s="8" t="n">
        <v>23</v>
      </c>
      <c r="Z18" s="8" t="n">
        <v>24</v>
      </c>
      <c r="AA18" s="8" t="n">
        <v>25</v>
      </c>
      <c r="AB18" s="8" t="n">
        <v>26</v>
      </c>
      <c r="AC18" s="8" t="n">
        <v>27</v>
      </c>
      <c r="AD18" s="8" t="n">
        <v>28</v>
      </c>
      <c r="AE18" s="8" t="n">
        <v>29</v>
      </c>
      <c r="AF18" s="8" t="n">
        <v>30</v>
      </c>
      <c r="AG18" s="8" t="n">
        <v>31</v>
      </c>
      <c r="AH18" s="8" t="n">
        <v>32</v>
      </c>
      <c r="AI18" s="8" t="n">
        <v>33</v>
      </c>
      <c r="AJ18" s="8" t="n">
        <v>34</v>
      </c>
      <c r="AK18" s="8" t="n">
        <v>35</v>
      </c>
      <c r="AL18" s="8" t="n">
        <v>36</v>
      </c>
      <c r="AM18" s="8"/>
      <c r="AN18" s="8" t="s">
        <v>783</v>
      </c>
      <c r="AO18" s="8" t="s">
        <v>784</v>
      </c>
      <c r="AP18" s="8" t="s">
        <v>785</v>
      </c>
    </row>
    <row r="19" customFormat="false" ht="15" hidden="false" customHeight="false" outlineLevel="0" collapsed="false">
      <c r="A19" s="0" t="s">
        <v>786</v>
      </c>
      <c r="C19" s="0" t="s">
        <v>787</v>
      </c>
      <c r="D19" s="0" t="s">
        <v>788</v>
      </c>
      <c r="E19" s="0" t="s">
        <v>789</v>
      </c>
      <c r="F19" s="0" t="s">
        <v>790</v>
      </c>
      <c r="G19" s="0" t="s">
        <v>791</v>
      </c>
      <c r="H19" s="0" t="s">
        <v>792</v>
      </c>
      <c r="I19" s="0" t="s">
        <v>793</v>
      </c>
      <c r="J19" s="0" t="s">
        <v>794</v>
      </c>
      <c r="K19" s="0" t="s">
        <v>795</v>
      </c>
      <c r="L19" s="0" t="s">
        <v>796</v>
      </c>
      <c r="M19" s="0" t="s">
        <v>797</v>
      </c>
      <c r="N19" s="0" t="s">
        <v>798</v>
      </c>
      <c r="O19" s="0" t="s">
        <v>799</v>
      </c>
      <c r="P19" s="0" t="s">
        <v>800</v>
      </c>
      <c r="Q19" s="0" t="s">
        <v>801</v>
      </c>
      <c r="R19" s="0" t="s">
        <v>802</v>
      </c>
      <c r="S19" s="0" t="s">
        <v>803</v>
      </c>
      <c r="T19" s="0" t="s">
        <v>804</v>
      </c>
      <c r="U19" s="0" t="s">
        <v>805</v>
      </c>
      <c r="V19" s="0" t="s">
        <v>806</v>
      </c>
      <c r="W19" s="0" t="s">
        <v>807</v>
      </c>
      <c r="X19" s="0" t="s">
        <v>808</v>
      </c>
      <c r="Y19" s="0" t="s">
        <v>809</v>
      </c>
      <c r="Z19" s="0" t="s">
        <v>810</v>
      </c>
      <c r="AA19" s="0" t="s">
        <v>811</v>
      </c>
      <c r="AB19" s="0" t="s">
        <v>812</v>
      </c>
      <c r="AC19" s="0" t="s">
        <v>813</v>
      </c>
      <c r="AD19" s="0" t="s">
        <v>814</v>
      </c>
      <c r="AE19" s="0" t="s">
        <v>815</v>
      </c>
      <c r="AF19" s="0" t="s">
        <v>816</v>
      </c>
      <c r="AG19" s="0" t="s">
        <v>817</v>
      </c>
      <c r="AH19" s="0" t="s">
        <v>818</v>
      </c>
      <c r="AI19" s="0" t="s">
        <v>819</v>
      </c>
      <c r="AJ19" s="0" t="s">
        <v>820</v>
      </c>
      <c r="AK19" s="0" t="s">
        <v>821</v>
      </c>
      <c r="AL19" s="0" t="s">
        <v>822</v>
      </c>
      <c r="AN19" s="0" t="s">
        <v>823</v>
      </c>
      <c r="AO19" s="0" t="s">
        <v>824</v>
      </c>
      <c r="AP19" s="0" t="s">
        <v>825</v>
      </c>
    </row>
    <row r="20" customFormat="false" ht="15" hidden="false" customHeight="false" outlineLevel="0" collapsed="false">
      <c r="A20" s="0" t="s">
        <v>826</v>
      </c>
      <c r="C20" s="0" t="n">
        <f aca="false">INT((C18-1)/12)+1</f>
        <v>1</v>
      </c>
      <c r="D20" s="0" t="n">
        <f aca="false">INT((D18-1)/12)+1</f>
        <v>1</v>
      </c>
      <c r="E20" s="0" t="n">
        <f aca="false">INT((E18-1)/12)+1</f>
        <v>1</v>
      </c>
      <c r="F20" s="0" t="n">
        <f aca="false">INT((F18-1)/12)+1</f>
        <v>1</v>
      </c>
      <c r="G20" s="0" t="n">
        <f aca="false">INT((G18-1)/12)+1</f>
        <v>1</v>
      </c>
      <c r="H20" s="0" t="n">
        <f aca="false">INT((H18-1)/12)+1</f>
        <v>1</v>
      </c>
      <c r="I20" s="0" t="n">
        <f aca="false">INT((I18-1)/12)+1</f>
        <v>1</v>
      </c>
      <c r="J20" s="0" t="n">
        <f aca="false">INT((J18-1)/12)+1</f>
        <v>1</v>
      </c>
      <c r="K20" s="0" t="n">
        <f aca="false">INT((K18-1)/12)+1</f>
        <v>1</v>
      </c>
      <c r="L20" s="0" t="n">
        <f aca="false">INT((L18-1)/12)+1</f>
        <v>1</v>
      </c>
      <c r="M20" s="0" t="n">
        <f aca="false">INT((M18-1)/12)+1</f>
        <v>1</v>
      </c>
      <c r="N20" s="0" t="n">
        <f aca="false">INT((N18-1)/12)+1</f>
        <v>1</v>
      </c>
      <c r="O20" s="0" t="n">
        <f aca="false">INT((O18-1)/12)+1</f>
        <v>2</v>
      </c>
      <c r="P20" s="0" t="n">
        <f aca="false">INT((P18-1)/12)+1</f>
        <v>2</v>
      </c>
      <c r="Q20" s="0" t="n">
        <f aca="false">INT((Q18-1)/12)+1</f>
        <v>2</v>
      </c>
      <c r="R20" s="0" t="n">
        <f aca="false">INT((R18-1)/12)+1</f>
        <v>2</v>
      </c>
      <c r="S20" s="0" t="n">
        <f aca="false">INT((S18-1)/12)+1</f>
        <v>2</v>
      </c>
      <c r="T20" s="0" t="n">
        <f aca="false">INT((T18-1)/12)+1</f>
        <v>2</v>
      </c>
      <c r="U20" s="0" t="n">
        <f aca="false">INT((U18-1)/12)+1</f>
        <v>2</v>
      </c>
      <c r="V20" s="0" t="n">
        <f aca="false">INT((V18-1)/12)+1</f>
        <v>2</v>
      </c>
      <c r="W20" s="0" t="n">
        <f aca="false">INT((W18-1)/12)+1</f>
        <v>2</v>
      </c>
      <c r="X20" s="0" t="n">
        <f aca="false">INT((X18-1)/12)+1</f>
        <v>2</v>
      </c>
      <c r="Y20" s="0" t="n">
        <f aca="false">INT((Y18-1)/12)+1</f>
        <v>2</v>
      </c>
      <c r="Z20" s="0" t="n">
        <f aca="false">INT((Z18-1)/12)+1</f>
        <v>2</v>
      </c>
      <c r="AA20" s="0" t="n">
        <f aca="false">INT((AA18-1)/12)+1</f>
        <v>3</v>
      </c>
      <c r="AB20" s="0" t="n">
        <f aca="false">INT((AB18-1)/12)+1</f>
        <v>3</v>
      </c>
      <c r="AC20" s="0" t="n">
        <f aca="false">INT((AC18-1)/12)+1</f>
        <v>3</v>
      </c>
      <c r="AD20" s="0" t="n">
        <f aca="false">INT((AD18-1)/12)+1</f>
        <v>3</v>
      </c>
      <c r="AE20" s="0" t="n">
        <f aca="false">INT((AE18-1)/12)+1</f>
        <v>3</v>
      </c>
      <c r="AF20" s="0" t="n">
        <f aca="false">INT((AF18-1)/12)+1</f>
        <v>3</v>
      </c>
      <c r="AG20" s="0" t="n">
        <f aca="false">INT((AG18-1)/12)+1</f>
        <v>3</v>
      </c>
      <c r="AH20" s="0" t="n">
        <f aca="false">INT((AH18-1)/12)+1</f>
        <v>3</v>
      </c>
      <c r="AI20" s="0" t="n">
        <f aca="false">INT((AI18-1)/12)+1</f>
        <v>3</v>
      </c>
      <c r="AJ20" s="0" t="n">
        <f aca="false">INT((AJ18-1)/12)+1</f>
        <v>3</v>
      </c>
      <c r="AK20" s="0" t="n">
        <f aca="false">INT((AK18-1)/12)+1</f>
        <v>3</v>
      </c>
      <c r="AL20" s="0" t="n">
        <f aca="false">INT((AL18-1)/12)+1</f>
        <v>3</v>
      </c>
    </row>
    <row r="21" customFormat="false" ht="15" hidden="false" customHeight="false" outlineLevel="0" collapsed="false">
      <c r="A21" s="0" t="s">
        <v>827</v>
      </c>
      <c r="C21" s="0" t="n">
        <f aca="false">MOD(C18-1,12)+1</f>
        <v>1</v>
      </c>
      <c r="D21" s="0" t="n">
        <f aca="false">MOD(D18-1,12)+1</f>
        <v>2</v>
      </c>
      <c r="E21" s="0" t="n">
        <f aca="false">MOD(E18-1,12)+1</f>
        <v>3</v>
      </c>
      <c r="F21" s="0" t="n">
        <f aca="false">MOD(F18-1,12)+1</f>
        <v>4</v>
      </c>
      <c r="G21" s="0" t="n">
        <f aca="false">MOD(G18-1,12)+1</f>
        <v>5</v>
      </c>
      <c r="H21" s="0" t="n">
        <f aca="false">MOD(H18-1,12)+1</f>
        <v>6</v>
      </c>
      <c r="I21" s="0" t="n">
        <f aca="false">MOD(I18-1,12)+1</f>
        <v>7</v>
      </c>
      <c r="J21" s="0" t="n">
        <f aca="false">MOD(J18-1,12)+1</f>
        <v>8</v>
      </c>
      <c r="K21" s="0" t="n">
        <f aca="false">MOD(K18-1,12)+1</f>
        <v>9</v>
      </c>
      <c r="L21" s="0" t="n">
        <f aca="false">MOD(L18-1,12)+1</f>
        <v>10</v>
      </c>
      <c r="M21" s="0" t="n">
        <f aca="false">MOD(M18-1,12)+1</f>
        <v>11</v>
      </c>
      <c r="N21" s="0" t="n">
        <f aca="false">MOD(N18-1,12)+1</f>
        <v>12</v>
      </c>
      <c r="O21" s="0" t="n">
        <f aca="false">MOD(O18-1,12)+1</f>
        <v>1</v>
      </c>
      <c r="P21" s="0" t="n">
        <f aca="false">MOD(P18-1,12)+1</f>
        <v>2</v>
      </c>
      <c r="Q21" s="0" t="n">
        <f aca="false">MOD(Q18-1,12)+1</f>
        <v>3</v>
      </c>
      <c r="R21" s="0" t="n">
        <f aca="false">MOD(R18-1,12)+1</f>
        <v>4</v>
      </c>
      <c r="S21" s="0" t="n">
        <f aca="false">MOD(S18-1,12)+1</f>
        <v>5</v>
      </c>
      <c r="T21" s="0" t="n">
        <f aca="false">MOD(T18-1,12)+1</f>
        <v>6</v>
      </c>
      <c r="U21" s="0" t="n">
        <f aca="false">MOD(U18-1,12)+1</f>
        <v>7</v>
      </c>
      <c r="V21" s="0" t="n">
        <f aca="false">MOD(V18-1,12)+1</f>
        <v>8</v>
      </c>
      <c r="W21" s="0" t="n">
        <f aca="false">MOD(W18-1,12)+1</f>
        <v>9</v>
      </c>
      <c r="X21" s="0" t="n">
        <f aca="false">MOD(X18-1,12)+1</f>
        <v>10</v>
      </c>
      <c r="Y21" s="0" t="n">
        <f aca="false">MOD(Y18-1,12)+1</f>
        <v>11</v>
      </c>
      <c r="Z21" s="0" t="n">
        <f aca="false">MOD(Z18-1,12)+1</f>
        <v>12</v>
      </c>
      <c r="AA21" s="0" t="n">
        <f aca="false">MOD(AA18-1,12)+1</f>
        <v>1</v>
      </c>
      <c r="AB21" s="0" t="n">
        <f aca="false">MOD(AB18-1,12)+1</f>
        <v>2</v>
      </c>
      <c r="AC21" s="0" t="n">
        <f aca="false">MOD(AC18-1,12)+1</f>
        <v>3</v>
      </c>
      <c r="AD21" s="0" t="n">
        <f aca="false">MOD(AD18-1,12)+1</f>
        <v>4</v>
      </c>
      <c r="AE21" s="0" t="n">
        <f aca="false">MOD(AE18-1,12)+1</f>
        <v>5</v>
      </c>
      <c r="AF21" s="0" t="n">
        <f aca="false">MOD(AF18-1,12)+1</f>
        <v>6</v>
      </c>
      <c r="AG21" s="0" t="n">
        <f aca="false">MOD(AG18-1,12)+1</f>
        <v>7</v>
      </c>
      <c r="AH21" s="0" t="n">
        <f aca="false">MOD(AH18-1,12)+1</f>
        <v>8</v>
      </c>
      <c r="AI21" s="0" t="n">
        <f aca="false">MOD(AI18-1,12)+1</f>
        <v>9</v>
      </c>
      <c r="AJ21" s="0" t="n">
        <f aca="false">MOD(AJ18-1,12)+1</f>
        <v>10</v>
      </c>
      <c r="AK21" s="0" t="n">
        <f aca="false">MOD(AK18-1,12)+1</f>
        <v>11</v>
      </c>
      <c r="AL21" s="0" t="n">
        <f aca="false">MOD(AL18-1,12)+1</f>
        <v>12</v>
      </c>
    </row>
    <row r="23" customFormat="false" ht="15" hidden="false" customHeight="false" outlineLevel="0" collapsed="false">
      <c r="A23" s="21" t="s">
        <v>828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</row>
    <row r="24" customFormat="false" ht="15" hidden="false" customHeight="false" outlineLevel="0" collapsed="false">
      <c r="A24" s="0" t="s">
        <v>829</v>
      </c>
      <c r="B24" s="0" t="s">
        <v>500</v>
      </c>
      <c r="C24" s="9" t="n">
        <f aca="false">IF((C$18=1),Assumptions!$C$16,(0*(1+Assumptions!$C$133)))</f>
        <v>1200</v>
      </c>
      <c r="D24" s="9" t="n">
        <f aca="false">IF((D$18=1),Assumptions!$C$16,(C24*(1+Assumptions!$C$133)))</f>
        <v>1272</v>
      </c>
      <c r="E24" s="9" t="n">
        <f aca="false">IF((E$18=1),Assumptions!$C$16,(D24*(1+Assumptions!$C$133)))</f>
        <v>1348.32</v>
      </c>
      <c r="F24" s="9" t="n">
        <f aca="false">IF((F$18=1),Assumptions!$C$16,(E24*(1+Assumptions!$C$133)))</f>
        <v>1429.2192</v>
      </c>
      <c r="G24" s="9" t="n">
        <f aca="false">IF((G$18=1),Assumptions!$C$16,(F24*(1+Assumptions!$C$133)))</f>
        <v>1514.972352</v>
      </c>
      <c r="H24" s="9" t="n">
        <f aca="false">IF((H$18=1),Assumptions!$C$16,(G24*(1+Assumptions!$C$133)))</f>
        <v>1605.87069312</v>
      </c>
      <c r="I24" s="9" t="n">
        <f aca="false">IF((I$18=1),Assumptions!$C$16,(H24*(1+Assumptions!$C$133)))</f>
        <v>1702.2229347072</v>
      </c>
      <c r="J24" s="9" t="n">
        <f aca="false">IF((J$18=1),Assumptions!$C$16,(I24*(1+Assumptions!$C$133)))</f>
        <v>1804.35631078963</v>
      </c>
      <c r="K24" s="9" t="n">
        <f aca="false">IF((K$18=1),Assumptions!$C$16,(J24*(1+Assumptions!$C$133)))</f>
        <v>1912.61768943701</v>
      </c>
      <c r="L24" s="9" t="n">
        <f aca="false">IF((L$18=1),Assumptions!$C$16,(K24*(1+Assumptions!$C$133)))</f>
        <v>2027.37475080323</v>
      </c>
      <c r="M24" s="9" t="n">
        <f aca="false">IF((M$18=1),Assumptions!$C$16,(L24*(1+Assumptions!$C$133)))</f>
        <v>2149.01723585143</v>
      </c>
      <c r="N24" s="9" t="n">
        <f aca="false">IF((N$18=1),Assumptions!$C$16,(M24*(1+Assumptions!$C$133)))</f>
        <v>2277.95827000251</v>
      </c>
      <c r="O24" s="9" t="n">
        <f aca="false">IF((O$18=1),Assumptions!$C$16,(N24*(1+Assumptions!$D$133)))</f>
        <v>2369.07660080261</v>
      </c>
      <c r="P24" s="9" t="n">
        <f aca="false">IF((P$18=1),Assumptions!$C$16,(O24*(1+Assumptions!$D$133)))</f>
        <v>2463.83966483472</v>
      </c>
      <c r="Q24" s="9" t="n">
        <f aca="false">IF((Q$18=1),Assumptions!$C$16,(P24*(1+Assumptions!$D$133)))</f>
        <v>2562.39325142811</v>
      </c>
      <c r="R24" s="9" t="n">
        <f aca="false">IF((R$18=1),Assumptions!$C$16,(Q24*(1+Assumptions!$D$133)))</f>
        <v>2664.88898148523</v>
      </c>
      <c r="S24" s="9" t="n">
        <f aca="false">IF((S$18=1),Assumptions!$C$16,(R24*(1+Assumptions!$D$133)))</f>
        <v>2771.48454074464</v>
      </c>
      <c r="T24" s="9" t="n">
        <f aca="false">IF((T$18=1),Assumptions!$C$16,(S24*(1+Assumptions!$D$133)))</f>
        <v>2882.34392237442</v>
      </c>
      <c r="U24" s="9" t="n">
        <f aca="false">IF((U$18=1),Assumptions!$C$16,(T24*(1+Assumptions!$D$133)))</f>
        <v>2997.6376792694</v>
      </c>
      <c r="V24" s="9" t="n">
        <f aca="false">IF((V$18=1),Assumptions!$C$16,(U24*(1+Assumptions!$D$133)))</f>
        <v>3117.54318644018</v>
      </c>
      <c r="W24" s="9" t="n">
        <f aca="false">IF((W$18=1),Assumptions!$C$16,(V24*(1+Assumptions!$D$133)))</f>
        <v>3242.24491389778</v>
      </c>
      <c r="X24" s="9" t="n">
        <f aca="false">IF((X$18=1),Assumptions!$C$16,(W24*(1+Assumptions!$D$133)))</f>
        <v>3371.9347104537</v>
      </c>
      <c r="Y24" s="9" t="n">
        <f aca="false">IF((Y$18=1),Assumptions!$C$16,(X24*(1+Assumptions!$D$133)))</f>
        <v>3506.81209887184</v>
      </c>
      <c r="Z24" s="9" t="n">
        <f aca="false">IF((Z$18=1),Assumptions!$C$16,(Y24*(1+Assumptions!$D$133)))</f>
        <v>3647.08458282672</v>
      </c>
      <c r="AA24" s="9" t="n">
        <f aca="false">IF((AA$18=1),Assumptions!$C$16,(Z24*(1+Assumptions!$E$133)))</f>
        <v>3738.26169739739</v>
      </c>
      <c r="AB24" s="9" t="n">
        <f aca="false">IF((AB$18=1),Assumptions!$C$16,(AA24*(1+Assumptions!$E$133)))</f>
        <v>3831.71823983232</v>
      </c>
      <c r="AC24" s="9" t="n">
        <f aca="false">IF((AC$18=1),Assumptions!$C$16,(AB24*(1+Assumptions!$E$133)))</f>
        <v>3927.51119582813</v>
      </c>
      <c r="AD24" s="9" t="n">
        <f aca="false">IF((AD$18=1),Assumptions!$C$16,(AC24*(1+Assumptions!$E$133)))</f>
        <v>4025.69897572383</v>
      </c>
      <c r="AE24" s="9" t="n">
        <f aca="false">IF((AE$18=1),Assumptions!$C$16,(AD24*(1+Assumptions!$E$133)))</f>
        <v>4126.34145011693</v>
      </c>
      <c r="AF24" s="9" t="n">
        <f aca="false">IF((AF$18=1),Assumptions!$C$16,(AE24*(1+Assumptions!$E$133)))</f>
        <v>4229.49998636985</v>
      </c>
      <c r="AG24" s="9" t="n">
        <f aca="false">IF((AG$18=1),Assumptions!$C$16,(AF24*(1+Assumptions!$E$133)))</f>
        <v>4335.2374860291</v>
      </c>
      <c r="AH24" s="9" t="n">
        <f aca="false">IF((AH$18=1),Assumptions!$C$16,(AG24*(1+Assumptions!$E$133)))</f>
        <v>4443.61842317982</v>
      </c>
      <c r="AI24" s="9" t="n">
        <f aca="false">IF((AI$18=1),Assumptions!$C$16,(AH24*(1+Assumptions!$E$133)))</f>
        <v>4554.70888375932</v>
      </c>
      <c r="AJ24" s="9" t="n">
        <f aca="false">IF((AJ$18=1),Assumptions!$C$16,(AI24*(1+Assumptions!$E$133)))</f>
        <v>4668.5766058533</v>
      </c>
      <c r="AK24" s="9" t="n">
        <f aca="false">IF((AK$18=1),Assumptions!$C$16,(AJ24*(1+Assumptions!$E$133)))</f>
        <v>4785.29102099963</v>
      </c>
      <c r="AL24" s="9" t="n">
        <f aca="false">IF((AL$18=1),Assumptions!$C$16,(AK24*(1+Assumptions!$E$133)))</f>
        <v>4904.92329652462</v>
      </c>
    </row>
    <row r="25" customFormat="false" ht="15" hidden="false" customHeight="false" outlineLevel="0" collapsed="false">
      <c r="A25" s="0" t="s">
        <v>830</v>
      </c>
      <c r="B25" s="0" t="s">
        <v>500</v>
      </c>
      <c r="C25" s="9" t="n">
        <f aca="false">(((C24*INDEX(Assumptions!$C$167:$C$178,C$21))*$C$4)*IF((C$18&lt;Assumptions!$C$5),Assumptions!$C$6,1))</f>
        <v>390</v>
      </c>
      <c r="D25" s="9" t="n">
        <f aca="false">(((D24*INDEX(Assumptions!$C$167:$C$178,D$21))*$C$4)*IF((D$18&lt;Assumptions!$C$5),Assumptions!$C$6,1))</f>
        <v>349.8</v>
      </c>
      <c r="E25" s="9" t="n">
        <f aca="false">(((E24*INDEX(Assumptions!$C$167:$C$178,E$21))*$C$4)*IF((E$18&lt;Assumptions!$C$5),Assumptions!$C$6,1))</f>
        <v>303.372</v>
      </c>
      <c r="F25" s="9" t="n">
        <f aca="false">(((F24*INDEX(Assumptions!$C$167:$C$178,F$21))*$C$4)*IF((F$18&lt;Assumptions!$C$5),Assumptions!$C$6,1))</f>
        <v>285.84384</v>
      </c>
      <c r="G25" s="9" t="n">
        <f aca="false">(((G24*INDEX(Assumptions!$C$167:$C$178,G$21))*$C$4)*IF((G$18&lt;Assumptions!$C$5),Assumptions!$C$6,1))</f>
        <v>227.2458528</v>
      </c>
      <c r="H25" s="9" t="n">
        <f aca="false">(((H24*INDEX(Assumptions!$C$167:$C$178,H$21))*$C$4)*IF((H$18&lt;Assumptions!$C$5),Assumptions!$C$6,1))</f>
        <v>200.73383664</v>
      </c>
      <c r="I25" s="9" t="n">
        <f aca="false">(((I24*INDEX(Assumptions!$C$167:$C$178,I$21))*$C$4)*IF((I$18&lt;Assumptions!$C$5),Assumptions!$C$6,1))</f>
        <v>297.88901357376</v>
      </c>
      <c r="J25" s="9" t="n">
        <f aca="false">(((J24*INDEX(Assumptions!$C$167:$C$178,J$21))*$C$4)*IF((J$18&lt;Assumptions!$C$5),Assumptions!$C$6,1))</f>
        <v>721.742524315853</v>
      </c>
      <c r="K25" s="9" t="n">
        <f aca="false">(((K24*INDEX(Assumptions!$C$167:$C$178,K$21))*$C$4)*IF((K$18&lt;Assumptions!$C$5),Assumptions!$C$6,1))</f>
        <v>860.677960246655</v>
      </c>
      <c r="L25" s="9" t="n">
        <f aca="false">(((L24*INDEX(Assumptions!$C$167:$C$178,L$21))*$C$4)*IF((L$18&lt;Assumptions!$C$5),Assumptions!$C$6,1))</f>
        <v>557.528056470889</v>
      </c>
      <c r="M25" s="9" t="n">
        <f aca="false">(((M24*INDEX(Assumptions!$C$167:$C$178,M$21))*$C$4)*IF((M$18&lt;Assumptions!$C$5),Assumptions!$C$6,1))</f>
        <v>483.528878066571</v>
      </c>
      <c r="N25" s="9" t="n">
        <f aca="false">(((N24*INDEX(Assumptions!$C$167:$C$178,N$21))*$C$4)*IF((N$18&lt;Assumptions!$C$5),Assumptions!$C$6,1))</f>
        <v>398.642697250439</v>
      </c>
      <c r="O25" s="9" t="n">
        <f aca="false">(((O24*INDEX(Assumptions!$C$167:$C$178,O$21))*$C$4)*IF((O$18&lt;Assumptions!$C$5),Assumptions!$C$6,1))</f>
        <v>3079.7995810434</v>
      </c>
      <c r="P25" s="9" t="n">
        <f aca="false">(((P24*INDEX(Assumptions!$C$167:$C$178,P$21))*$C$4)*IF((P$18&lt;Assumptions!$C$5),Assumptions!$C$6,1))</f>
        <v>2710.22363131819</v>
      </c>
      <c r="Q25" s="9" t="n">
        <f aca="false">(((Q24*INDEX(Assumptions!$C$167:$C$178,Q$21))*$C$4)*IF((Q$18&lt;Assumptions!$C$5),Assumptions!$C$6,1))</f>
        <v>2306.1539262853</v>
      </c>
      <c r="R25" s="9" t="n">
        <f aca="false">(((R24*INDEX(Assumptions!$C$167:$C$178,R$21))*$C$4)*IF((R$18&lt;Assumptions!$C$5),Assumptions!$C$6,1))</f>
        <v>2131.91118518818</v>
      </c>
      <c r="S25" s="9" t="n">
        <f aca="false">(((S24*INDEX(Assumptions!$C$167:$C$178,S$21))*$C$4)*IF((S$18&lt;Assumptions!$C$5),Assumptions!$C$6,1))</f>
        <v>1662.89072444678</v>
      </c>
      <c r="T25" s="9" t="n">
        <f aca="false">(((T24*INDEX(Assumptions!$C$167:$C$178,T$21))*$C$4)*IF((T$18&lt;Assumptions!$C$5),Assumptions!$C$6,1))</f>
        <v>1441.17196118721</v>
      </c>
      <c r="U25" s="9" t="n">
        <f aca="false">(((U24*INDEX(Assumptions!$C$167:$C$178,U$21))*$C$4)*IF((U$18&lt;Assumptions!$C$5),Assumptions!$C$6,1))</f>
        <v>2098.34637548858</v>
      </c>
      <c r="V25" s="9" t="n">
        <f aca="false">(((V24*INDEX(Assumptions!$C$167:$C$178,V$21))*$C$4)*IF((V$18&lt;Assumptions!$C$5),Assumptions!$C$6,1))</f>
        <v>4988.06909830428</v>
      </c>
      <c r="W25" s="9" t="n">
        <f aca="false">(((W24*INDEX(Assumptions!$C$167:$C$178,W$21))*$C$4)*IF((W$18&lt;Assumptions!$C$5),Assumptions!$C$6,1))</f>
        <v>5836.04084501601</v>
      </c>
      <c r="X25" s="9" t="n">
        <f aca="false">(((X24*INDEX(Assumptions!$C$167:$C$178,X$21))*$C$4)*IF((X$18&lt;Assumptions!$C$5),Assumptions!$C$6,1))</f>
        <v>3709.12818149907</v>
      </c>
      <c r="Y25" s="9" t="n">
        <f aca="false">(((Y24*INDEX(Assumptions!$C$167:$C$178,Y$21))*$C$4)*IF((Y$18&lt;Assumptions!$C$5),Assumptions!$C$6,1))</f>
        <v>3156.13088898466</v>
      </c>
      <c r="Z25" s="9" t="n">
        <f aca="false">(((Z24*INDEX(Assumptions!$C$167:$C$178,Z$21))*$C$4)*IF((Z$18&lt;Assumptions!$C$5),Assumptions!$C$6,1))</f>
        <v>2552.9592079787</v>
      </c>
      <c r="AA25" s="9" t="n">
        <f aca="false">(((AA24*INDEX(Assumptions!$C$167:$C$178,AA$21))*$C$4)*IF((AA$18&lt;Assumptions!$C$5),Assumptions!$C$6,1))</f>
        <v>4859.7402066166</v>
      </c>
      <c r="AB25" s="9" t="n">
        <f aca="false">(((AB24*INDEX(Assumptions!$C$167:$C$178,AB$21))*$C$4)*IF((AB$18&lt;Assumptions!$C$5),Assumptions!$C$6,1))</f>
        <v>4214.89006381555</v>
      </c>
      <c r="AC25" s="9" t="n">
        <f aca="false">(((AC24*INDEX(Assumptions!$C$167:$C$178,AC$21))*$C$4)*IF((AC$18&lt;Assumptions!$C$5),Assumptions!$C$6,1))</f>
        <v>3534.76007624531</v>
      </c>
      <c r="AD25" s="9" t="n">
        <f aca="false">(((AD24*INDEX(Assumptions!$C$167:$C$178,AD$21))*$C$4)*IF((AD$18&lt;Assumptions!$C$5),Assumptions!$C$6,1))</f>
        <v>3220.55918057906</v>
      </c>
      <c r="AE25" s="9" t="n">
        <f aca="false">(((AE24*INDEX(Assumptions!$C$167:$C$178,AE$21))*$C$4)*IF((AE$18&lt;Assumptions!$C$5),Assumptions!$C$6,1))</f>
        <v>2475.80487007016</v>
      </c>
      <c r="AF25" s="9" t="n">
        <f aca="false">(((AF24*INDEX(Assumptions!$C$167:$C$178,AF$21))*$C$4)*IF((AF$18&lt;Assumptions!$C$5),Assumptions!$C$6,1))</f>
        <v>2114.74999318492</v>
      </c>
      <c r="AG25" s="9" t="n">
        <f aca="false">(((AG24*INDEX(Assumptions!$C$167:$C$178,AG$21))*$C$4)*IF((AG$18&lt;Assumptions!$C$5),Assumptions!$C$6,1))</f>
        <v>3034.66624022037</v>
      </c>
      <c r="AH25" s="9" t="n">
        <f aca="false">(((AH24*INDEX(Assumptions!$C$167:$C$178,AH$21))*$C$4)*IF((AH$18&lt;Assumptions!$C$5),Assumptions!$C$6,1))</f>
        <v>7109.78947708772</v>
      </c>
      <c r="AI25" s="9" t="n">
        <f aca="false">(((AI24*INDEX(Assumptions!$C$167:$C$178,AI$21))*$C$4)*IF((AI$18&lt;Assumptions!$C$5),Assumptions!$C$6,1))</f>
        <v>8198.47599076677</v>
      </c>
      <c r="AJ25" s="9" t="n">
        <f aca="false">(((AJ24*INDEX(Assumptions!$C$167:$C$178,AJ$21))*$C$4)*IF((AJ$18&lt;Assumptions!$C$5),Assumptions!$C$6,1))</f>
        <v>5135.43426643863</v>
      </c>
      <c r="AK25" s="9" t="n">
        <f aca="false">(((AK24*INDEX(Assumptions!$C$167:$C$178,AK$21))*$C$4)*IF((AK$18&lt;Assumptions!$C$5),Assumptions!$C$6,1))</f>
        <v>4306.76191889967</v>
      </c>
      <c r="AL25" s="9" t="n">
        <f aca="false">(((AL24*INDEX(Assumptions!$C$167:$C$178,AL$21))*$C$4)*IF((AL$18&lt;Assumptions!$C$5),Assumptions!$C$6,1))</f>
        <v>3433.44630756723</v>
      </c>
      <c r="AN25" s="11" t="n">
        <f aca="false">SUM(C25:N25)</f>
        <v>5077.00465936417</v>
      </c>
      <c r="AO25" s="11" t="n">
        <f aca="false">SUM(O25:Z25)</f>
        <v>35672.8256067404</v>
      </c>
      <c r="AP25" s="11" t="n">
        <f aca="false">SUM(AA25:AL25)</f>
        <v>51639.078591492</v>
      </c>
    </row>
    <row r="26" customFormat="false" ht="15" hidden="false" customHeight="false" outlineLevel="0" collapsed="false">
      <c r="A26" s="0" t="s">
        <v>831</v>
      </c>
      <c r="B26" s="0" t="s">
        <v>500</v>
      </c>
      <c r="C26" s="9" t="n">
        <f aca="false">IF((C$18&gt;=Assumptions!$C$5),(Assumptions!$C$134/(Assumptions!$C$17*$C$11)),0)</f>
        <v>0</v>
      </c>
      <c r="D26" s="9" t="n">
        <f aca="false">IF((D$18&gt;=Assumptions!$C$5),(Assumptions!$C$134/(Assumptions!$C$17*$C$11)),0)</f>
        <v>0</v>
      </c>
      <c r="E26" s="9" t="n">
        <f aca="false">IF((E$18&gt;=Assumptions!$C$5),(Assumptions!$C$134/(Assumptions!$C$17*$C$11)),0)</f>
        <v>0</v>
      </c>
      <c r="F26" s="9" t="n">
        <f aca="false">IF((F$18&gt;=Assumptions!$C$5),(Assumptions!$C$134/(Assumptions!$C$17*$C$11)),0)</f>
        <v>0</v>
      </c>
      <c r="G26" s="9" t="n">
        <f aca="false">IF((G$18&gt;=Assumptions!$C$5),(Assumptions!$C$134/(Assumptions!$C$17*$C$11)),0)</f>
        <v>0</v>
      </c>
      <c r="H26" s="9" t="n">
        <f aca="false">IF((H$18&gt;=Assumptions!$C$5),(Assumptions!$C$134/(Assumptions!$C$17*$C$11)),0)</f>
        <v>0</v>
      </c>
      <c r="I26" s="9" t="n">
        <f aca="false">IF((I$18&gt;=Assumptions!$C$5),(Assumptions!$C$134/(Assumptions!$C$17*$C$11)),0)</f>
        <v>0</v>
      </c>
      <c r="J26" s="9" t="n">
        <f aca="false">IF((J$18&gt;=Assumptions!$C$5),(Assumptions!$C$134/(Assumptions!$C$17*$C$11)),0)</f>
        <v>0</v>
      </c>
      <c r="K26" s="9" t="n">
        <f aca="false">IF((K$18&gt;=Assumptions!$C$5),(Assumptions!$C$134/(Assumptions!$C$17*$C$11)),0)</f>
        <v>0</v>
      </c>
      <c r="L26" s="9" t="n">
        <f aca="false">IF((L$18&gt;=Assumptions!$C$5),(Assumptions!$C$134/(Assumptions!$C$17*$C$11)),0)</f>
        <v>0</v>
      </c>
      <c r="M26" s="9" t="n">
        <f aca="false">IF((M$18&gt;=Assumptions!$C$5),(Assumptions!$C$134/(Assumptions!$C$17*$C$11)),0)</f>
        <v>0</v>
      </c>
      <c r="N26" s="9" t="n">
        <f aca="false">IF((N$18&gt;=Assumptions!$C$5),(Assumptions!$C$134/(Assumptions!$C$17*$C$11)),0)</f>
        <v>0</v>
      </c>
      <c r="O26" s="9" t="n">
        <f aca="false">IF((O$18&gt;=Assumptions!$C$5),(Assumptions!$D$134/(Assumptions!$C$17*$C$11)),0)</f>
        <v>1000</v>
      </c>
      <c r="P26" s="9" t="n">
        <f aca="false">IF((P$18&gt;=Assumptions!$C$5),(Assumptions!$D$134/(Assumptions!$C$17*$C$11)),0)</f>
        <v>1000</v>
      </c>
      <c r="Q26" s="9" t="n">
        <f aca="false">IF((Q$18&gt;=Assumptions!$C$5),(Assumptions!$D$134/(Assumptions!$C$17*$C$11)),0)</f>
        <v>1000</v>
      </c>
      <c r="R26" s="9" t="n">
        <f aca="false">IF((R$18&gt;=Assumptions!$C$5),(Assumptions!$D$134/(Assumptions!$C$17*$C$11)),0)</f>
        <v>1000</v>
      </c>
      <c r="S26" s="9" t="n">
        <f aca="false">IF((S$18&gt;=Assumptions!$C$5),(Assumptions!$D$134/(Assumptions!$C$17*$C$11)),0)</f>
        <v>1000</v>
      </c>
      <c r="T26" s="9" t="n">
        <f aca="false">IF((T$18&gt;=Assumptions!$C$5),(Assumptions!$D$134/(Assumptions!$C$17*$C$11)),0)</f>
        <v>1000</v>
      </c>
      <c r="U26" s="9" t="n">
        <f aca="false">IF((U$18&gt;=Assumptions!$C$5),(Assumptions!$D$134/(Assumptions!$C$17*$C$11)),0)</f>
        <v>1000</v>
      </c>
      <c r="V26" s="9" t="n">
        <f aca="false">IF((V$18&gt;=Assumptions!$C$5),(Assumptions!$D$134/(Assumptions!$C$17*$C$11)),0)</f>
        <v>1000</v>
      </c>
      <c r="W26" s="9" t="n">
        <f aca="false">IF((W$18&gt;=Assumptions!$C$5),(Assumptions!$D$134/(Assumptions!$C$17*$C$11)),0)</f>
        <v>1000</v>
      </c>
      <c r="X26" s="9" t="n">
        <f aca="false">IF((X$18&gt;=Assumptions!$C$5),(Assumptions!$D$134/(Assumptions!$C$17*$C$11)),0)</f>
        <v>1000</v>
      </c>
      <c r="Y26" s="9" t="n">
        <f aca="false">IF((Y$18&gt;=Assumptions!$C$5),(Assumptions!$D$134/(Assumptions!$C$17*$C$11)),0)</f>
        <v>1000</v>
      </c>
      <c r="Z26" s="9" t="n">
        <f aca="false">IF((Z$18&gt;=Assumptions!$C$5),(Assumptions!$D$134/(Assumptions!$C$17*$C$11)),0)</f>
        <v>1000</v>
      </c>
      <c r="AA26" s="9" t="n">
        <f aca="false">IF((AA$18&gt;=Assumptions!$C$5),(Assumptions!$E$134/(Assumptions!$C$17*$C$11)),0)</f>
        <v>1666.66666666667</v>
      </c>
      <c r="AB26" s="9" t="n">
        <f aca="false">IF((AB$18&gt;=Assumptions!$C$5),(Assumptions!$E$134/(Assumptions!$C$17*$C$11)),0)</f>
        <v>1666.66666666667</v>
      </c>
      <c r="AC26" s="9" t="n">
        <f aca="false">IF((AC$18&gt;=Assumptions!$C$5),(Assumptions!$E$134/(Assumptions!$C$17*$C$11)),0)</f>
        <v>1666.66666666667</v>
      </c>
      <c r="AD26" s="9" t="n">
        <f aca="false">IF((AD$18&gt;=Assumptions!$C$5),(Assumptions!$E$134/(Assumptions!$C$17*$C$11)),0)</f>
        <v>1666.66666666667</v>
      </c>
      <c r="AE26" s="9" t="n">
        <f aca="false">IF((AE$18&gt;=Assumptions!$C$5),(Assumptions!$E$134/(Assumptions!$C$17*$C$11)),0)</f>
        <v>1666.66666666667</v>
      </c>
      <c r="AF26" s="9" t="n">
        <f aca="false">IF((AF$18&gt;=Assumptions!$C$5),(Assumptions!$E$134/(Assumptions!$C$17*$C$11)),0)</f>
        <v>1666.66666666667</v>
      </c>
      <c r="AG26" s="9" t="n">
        <f aca="false">IF((AG$18&gt;=Assumptions!$C$5),(Assumptions!$E$134/(Assumptions!$C$17*$C$11)),0)</f>
        <v>1666.66666666667</v>
      </c>
      <c r="AH26" s="9" t="n">
        <f aca="false">IF((AH$18&gt;=Assumptions!$C$5),(Assumptions!$E$134/(Assumptions!$C$17*$C$11)),0)</f>
        <v>1666.66666666667</v>
      </c>
      <c r="AI26" s="9" t="n">
        <f aca="false">IF((AI$18&gt;=Assumptions!$C$5),(Assumptions!$E$134/(Assumptions!$C$17*$C$11)),0)</f>
        <v>1666.66666666667</v>
      </c>
      <c r="AJ26" s="9" t="n">
        <f aca="false">IF((AJ$18&gt;=Assumptions!$C$5),(Assumptions!$E$134/(Assumptions!$C$17*$C$11)),0)</f>
        <v>1666.66666666667</v>
      </c>
      <c r="AK26" s="9" t="n">
        <f aca="false">IF((AK$18&gt;=Assumptions!$C$5),(Assumptions!$E$134/(Assumptions!$C$17*$C$11)),0)</f>
        <v>1666.66666666667</v>
      </c>
      <c r="AL26" s="9" t="n">
        <f aca="false">IF((AL$18&gt;=Assumptions!$C$5),(Assumptions!$E$134/(Assumptions!$C$17*$C$11)),0)</f>
        <v>1666.66666666667</v>
      </c>
      <c r="AN26" s="11" t="n">
        <f aca="false">SUM(C26:N26)</f>
        <v>0</v>
      </c>
      <c r="AO26" s="11" t="n">
        <f aca="false">SUM(O26:Z26)</f>
        <v>12000</v>
      </c>
      <c r="AP26" s="11" t="n">
        <f aca="false">SUM(AA26:AL26)</f>
        <v>20000</v>
      </c>
    </row>
    <row r="27" customFormat="false" ht="15" hidden="false" customHeight="false" outlineLevel="0" collapsed="false">
      <c r="A27" s="0" t="s">
        <v>832</v>
      </c>
      <c r="B27" s="0" t="s">
        <v>500</v>
      </c>
      <c r="C27" s="9" t="n">
        <f aca="false">((C25+C26)*Assumptions!$C$18)</f>
        <v>234</v>
      </c>
      <c r="D27" s="9" t="n">
        <f aca="false">((D25+D26)*Assumptions!$C$18)</f>
        <v>209.88</v>
      </c>
      <c r="E27" s="9" t="n">
        <f aca="false">((E25+E26)*Assumptions!$C$18)</f>
        <v>182.0232</v>
      </c>
      <c r="F27" s="9" t="n">
        <f aca="false">((F25+F26)*Assumptions!$C$18)</f>
        <v>171.506304</v>
      </c>
      <c r="G27" s="9" t="n">
        <f aca="false">((G25+G26)*Assumptions!$C$18)</f>
        <v>136.34751168</v>
      </c>
      <c r="H27" s="9" t="n">
        <f aca="false">((H25+H26)*Assumptions!$C$18)</f>
        <v>120.440301984</v>
      </c>
      <c r="I27" s="9" t="n">
        <f aca="false">((I25+I26)*Assumptions!$C$18)</f>
        <v>178.733408144256</v>
      </c>
      <c r="J27" s="9" t="n">
        <f aca="false">((J25+J26)*Assumptions!$C$18)</f>
        <v>433.045514589512</v>
      </c>
      <c r="K27" s="9" t="n">
        <f aca="false">((K25+K26)*Assumptions!$C$18)</f>
        <v>516.406776147993</v>
      </c>
      <c r="L27" s="9" t="n">
        <f aca="false">((L25+L26)*Assumptions!$C$18)</f>
        <v>334.516833882533</v>
      </c>
      <c r="M27" s="9" t="n">
        <f aca="false">((M25+M26)*Assumptions!$C$18)</f>
        <v>290.117326839942</v>
      </c>
      <c r="N27" s="9" t="n">
        <f aca="false">((N25+N26)*Assumptions!$C$18)</f>
        <v>239.185618350264</v>
      </c>
      <c r="O27" s="9" t="n">
        <f aca="false">((O25+O26)*Assumptions!$C$18)</f>
        <v>2447.87974862604</v>
      </c>
      <c r="P27" s="9" t="n">
        <f aca="false">((P25+P26)*Assumptions!$C$18)</f>
        <v>2226.13417879091</v>
      </c>
      <c r="Q27" s="9" t="n">
        <f aca="false">((Q25+Q26)*Assumptions!$C$18)</f>
        <v>1983.69235577118</v>
      </c>
      <c r="R27" s="9" t="n">
        <f aca="false">((R25+R26)*Assumptions!$C$18)</f>
        <v>1879.14671111291</v>
      </c>
      <c r="S27" s="9" t="n">
        <f aca="false">((S25+S26)*Assumptions!$C$18)</f>
        <v>1597.73443466807</v>
      </c>
      <c r="T27" s="9" t="n">
        <f aca="false">((T25+T26)*Assumptions!$C$18)</f>
        <v>1464.70317671233</v>
      </c>
      <c r="U27" s="9" t="n">
        <f aca="false">((U25+U26)*Assumptions!$C$18)</f>
        <v>1859.00782529315</v>
      </c>
      <c r="V27" s="9" t="n">
        <f aca="false">((V25+V26)*Assumptions!$C$18)</f>
        <v>3592.84145898257</v>
      </c>
      <c r="W27" s="9" t="n">
        <f aca="false">((W25+W26)*Assumptions!$C$18)</f>
        <v>4101.62450700961</v>
      </c>
      <c r="X27" s="9" t="n">
        <f aca="false">((X25+X26)*Assumptions!$C$18)</f>
        <v>2825.47690889944</v>
      </c>
      <c r="Y27" s="9" t="n">
        <f aca="false">((Y25+Y26)*Assumptions!$C$18)</f>
        <v>2493.6785333908</v>
      </c>
      <c r="Z27" s="9" t="n">
        <f aca="false">((Z25+Z26)*Assumptions!$C$18)</f>
        <v>2131.77552478722</v>
      </c>
      <c r="AA27" s="9" t="n">
        <f aca="false">((AA25+AA26)*Assumptions!$C$18)</f>
        <v>3915.84412396996</v>
      </c>
      <c r="AB27" s="9" t="n">
        <f aca="false">((AB25+AB26)*Assumptions!$C$18)</f>
        <v>3528.93403828933</v>
      </c>
      <c r="AC27" s="9" t="n">
        <f aca="false">((AC25+AC26)*Assumptions!$C$18)</f>
        <v>3120.85604574719</v>
      </c>
      <c r="AD27" s="9" t="n">
        <f aca="false">((AD25+AD26)*Assumptions!$C$18)</f>
        <v>2932.33550834744</v>
      </c>
      <c r="AE27" s="9" t="n">
        <f aca="false">((AE25+AE26)*Assumptions!$C$18)</f>
        <v>2485.48292204209</v>
      </c>
      <c r="AF27" s="9" t="n">
        <f aca="false">((AF25+AF26)*Assumptions!$C$18)</f>
        <v>2268.84999591095</v>
      </c>
      <c r="AG27" s="9" t="n">
        <f aca="false">((AG25+AG26)*Assumptions!$C$18)</f>
        <v>2820.79974413222</v>
      </c>
      <c r="AH27" s="9" t="n">
        <f aca="false">((AH25+AH26)*Assumptions!$C$18)</f>
        <v>5265.87368625263</v>
      </c>
      <c r="AI27" s="9" t="n">
        <f aca="false">((AI25+AI26)*Assumptions!$C$18)</f>
        <v>5919.08559446006</v>
      </c>
      <c r="AJ27" s="9" t="n">
        <f aca="false">((AJ25+AJ26)*Assumptions!$C$18)</f>
        <v>4081.26055986318</v>
      </c>
      <c r="AK27" s="9" t="n">
        <f aca="false">((AK25+AK26)*Assumptions!$C$18)</f>
        <v>3584.0571513398</v>
      </c>
      <c r="AL27" s="9" t="n">
        <f aca="false">((AL25+AL26)*Assumptions!$C$18)</f>
        <v>3060.06778454034</v>
      </c>
      <c r="AN27" s="11" t="n">
        <f aca="false">SUM(C27:N27)</f>
        <v>3046.2027956185</v>
      </c>
      <c r="AO27" s="11" t="n">
        <f aca="false">SUM(O27:Z27)</f>
        <v>28603.6953640442</v>
      </c>
      <c r="AP27" s="11" t="n">
        <f aca="false">SUM(AA27:AL27)</f>
        <v>42983.4471548952</v>
      </c>
    </row>
    <row r="28" customFormat="false" ht="15" hidden="false" customHeight="false" outlineLevel="0" collapsed="false">
      <c r="A28" s="0" t="s">
        <v>833</v>
      </c>
      <c r="B28" s="0" t="s">
        <v>500</v>
      </c>
      <c r="C28" s="9" t="n">
        <f aca="false">IF((C$18&gt;=Assumptions!$C$5),((Assumptions!$C$20*$C$5)*0),0)</f>
        <v>0</v>
      </c>
      <c r="D28" s="9" t="n">
        <f aca="false">IF((D$18&gt;=Assumptions!$C$5),((Assumptions!$C$20*$C$5)*C29),0)</f>
        <v>0</v>
      </c>
      <c r="E28" s="9" t="n">
        <f aca="false">IF((E$18&gt;=Assumptions!$C$5),((Assumptions!$C$20*$C$5)*D29),0)</f>
        <v>0</v>
      </c>
      <c r="F28" s="9" t="n">
        <f aca="false">IF((F$18&gt;=Assumptions!$C$5),((Assumptions!$C$20*$C$5)*E29),0)</f>
        <v>0</v>
      </c>
      <c r="G28" s="9" t="n">
        <f aca="false">IF((G$18&gt;=Assumptions!$C$5),((Assumptions!$C$20*$C$5)*F29),0)</f>
        <v>0</v>
      </c>
      <c r="H28" s="9" t="n">
        <f aca="false">IF((H$18&gt;=Assumptions!$C$5),((Assumptions!$C$20*$C$5)*G29),0)</f>
        <v>0</v>
      </c>
      <c r="I28" s="9" t="n">
        <f aca="false">IF((I$18&gt;=Assumptions!$C$5),((Assumptions!$C$20*$C$5)*H29),0)</f>
        <v>0</v>
      </c>
      <c r="J28" s="9" t="n">
        <f aca="false">IF((J$18&gt;=Assumptions!$C$5),((Assumptions!$C$20*$C$5)*I29),0)</f>
        <v>0</v>
      </c>
      <c r="K28" s="9" t="n">
        <f aca="false">IF((K$18&gt;=Assumptions!$C$5),((Assumptions!$C$20*$C$5)*J29),0)</f>
        <v>0</v>
      </c>
      <c r="L28" s="9" t="n">
        <f aca="false">IF((L$18&gt;=Assumptions!$C$5),((Assumptions!$C$20*$C$5)*K29),0)</f>
        <v>0</v>
      </c>
      <c r="M28" s="9" t="n">
        <f aca="false">IF((M$18&gt;=Assumptions!$C$5),((Assumptions!$C$20*$C$5)*L29),0)</f>
        <v>0</v>
      </c>
      <c r="N28" s="9" t="n">
        <f aca="false">IF((N$18&gt;=Assumptions!$C$5),((Assumptions!$C$20*$C$5)*M29),0)</f>
        <v>0</v>
      </c>
      <c r="O28" s="9" t="n">
        <f aca="false">IF((O$18&gt;=Assumptions!$C$5),((Assumptions!$C$20*$C$5)*N29),0)</f>
        <v>4.51553935346985</v>
      </c>
      <c r="P28" s="9" t="n">
        <f aca="false">IF((P$18&gt;=Assumptions!$C$5),((Assumptions!$C$20*$C$5)*O29),0)</f>
        <v>10.0820851542349</v>
      </c>
      <c r="Q28" s="9" t="n">
        <f aca="false">IF((Q$18&gt;=Assumptions!$C$5),((Assumptions!$C$20*$C$5)*P29),0)</f>
        <v>14.4123651698184</v>
      </c>
      <c r="R28" s="9" t="n">
        <f aca="false">IF((R$18&gt;=Assumptions!$C$5),((Assumptions!$C$20*$C$5)*Q29),0)</f>
        <v>17.6060813259436</v>
      </c>
      <c r="S28" s="9" t="n">
        <f aca="false">IF((S$18&gt;=Assumptions!$C$5),((Assumptions!$C$20*$C$5)*R29),0)</f>
        <v>20.1472031412978</v>
      </c>
      <c r="T28" s="9" t="n">
        <f aca="false">IF((T$18&gt;=Assumptions!$C$5),((Assumptions!$C$20*$C$5)*S29),0)</f>
        <v>21.673506843159</v>
      </c>
      <c r="U28" s="9" t="n">
        <f aca="false">IF((U$18&gt;=Assumptions!$C$5),((Assumptions!$C$20*$C$5)*T29),0)</f>
        <v>22.6802601966528</v>
      </c>
      <c r="V28" s="9" t="n">
        <f aca="false">IF((V$18&gt;=Assumptions!$C$5),((Assumptions!$C$20*$C$5)*U29),0)</f>
        <v>24.5494478857957</v>
      </c>
      <c r="W28" s="9" t="n">
        <f aca="false">IF((W$18&gt;=Assumptions!$C$5),((Assumptions!$C$20*$C$5)*V29),0)</f>
        <v>30.5242441672422</v>
      </c>
      <c r="X28" s="9" t="n">
        <f aca="false">IF((X$18&gt;=Assumptions!$C$5),((Assumptions!$C$20*$C$5)*W29),0)</f>
        <v>37.039085524279</v>
      </c>
      <c r="Y28" s="9" t="n">
        <f aca="false">IF((Y$18&gt;=Assumptions!$C$5),((Assumptions!$C$20*$C$5)*X29),0)</f>
        <v>39.5654898198034</v>
      </c>
      <c r="Z28" s="9" t="n">
        <f aca="false">IF((Z$18&gt;=Assumptions!$C$5),((Assumptions!$C$20*$C$5)*Y29),0)</f>
        <v>40.9529136503545</v>
      </c>
      <c r="AA28" s="9" t="n">
        <f aca="false">IF((AA$18&gt;=Assumptions!$C$5),((Assumptions!$C$20*$C$5)*Z29),0)</f>
        <v>41.2656205401541</v>
      </c>
      <c r="AB28" s="9" t="n">
        <f aca="false">IF((AB$18&gt;=Assumptions!$C$5),((Assumptions!$C$20*$C$5)*AA29),0)</f>
        <v>46.0001923339102</v>
      </c>
      <c r="AC28" s="9" t="n">
        <f aca="false">IF((AC$18&gt;=Assumptions!$C$5),((Assumptions!$C$20*$C$5)*AB29),0)</f>
        <v>49.1875038687295</v>
      </c>
      <c r="AD28" s="9" t="n">
        <f aca="false">IF((AD$18&gt;=Assumptions!$C$5),((Assumptions!$C$20*$C$5)*AC29),0)</f>
        <v>50.9641747591781</v>
      </c>
      <c r="AE28" s="9" t="n">
        <f aca="false">IF((AE$18&gt;=Assumptions!$C$5),((Assumptions!$C$20*$C$5)*AD29),0)</f>
        <v>52.0519021220474</v>
      </c>
      <c r="AF28" s="9" t="n">
        <f aca="false">IF((AF$18&gt;=Assumptions!$C$5),((Assumptions!$C$20*$C$5)*AE29),0)</f>
        <v>51.8892514172018</v>
      </c>
      <c r="AG28" s="9" t="n">
        <f aca="false">IF((AG$18&gt;=Assumptions!$C$5),((Assumptions!$C$20*$C$5)*AF29),0)</f>
        <v>51.204943108372</v>
      </c>
      <c r="AH28" s="9" t="n">
        <f aca="false">IF((AH$18&gt;=Assumptions!$C$5),((Assumptions!$C$20*$C$5)*AG29),0)</f>
        <v>51.984336937927</v>
      </c>
      <c r="AI28" s="9" t="n">
        <f aca="false">IF((AI$18&gt;=Assumptions!$C$5),((Assumptions!$C$20*$C$5)*AH29),0)</f>
        <v>58.7809398786625</v>
      </c>
      <c r="AJ28" s="9" t="n">
        <f aca="false">IF((AJ$18&gt;=Assumptions!$C$5),((Assumptions!$C$20*$C$5)*AI29),0)</f>
        <v>66.3779887296765</v>
      </c>
      <c r="AK28" s="9" t="n">
        <f aca="false">IF((AK$18&gt;=Assumptions!$C$5),((Assumptions!$C$20*$C$5)*AJ29),0)</f>
        <v>68.4498365099491</v>
      </c>
      <c r="AL28" s="9" t="n">
        <f aca="false">IF((AL$18&gt;=Assumptions!$C$5),((Assumptions!$C$20*$C$5)*AK29),0)</f>
        <v>69.0248744158298</v>
      </c>
      <c r="AN28" s="11" t="n">
        <f aca="false">SUM(C28:N28)</f>
        <v>0</v>
      </c>
      <c r="AO28" s="11" t="n">
        <f aca="false">SUM(O28:Z28)</f>
        <v>283.748222232051</v>
      </c>
      <c r="AP28" s="11" t="n">
        <f aca="false">SUM(AA28:AL28)</f>
        <v>657.181564621638</v>
      </c>
    </row>
    <row r="29" customFormat="false" ht="15" hidden="false" customHeight="false" outlineLevel="0" collapsed="false">
      <c r="A29" s="0" t="s">
        <v>834</v>
      </c>
      <c r="B29" s="0" t="s">
        <v>500</v>
      </c>
      <c r="C29" s="9" t="n">
        <f aca="false">MAX(0,(((0*(1-Assumptions!$C$19))+C27)-C28))</f>
        <v>234</v>
      </c>
      <c r="D29" s="9" t="n">
        <f aca="false">MAX(0,(((C29*(1-Assumptions!$C$19))+D27)-D28))</f>
        <v>415.8</v>
      </c>
      <c r="E29" s="9" t="n">
        <f aca="false">MAX(0,(((D29*(1-Assumptions!$C$19))+E27)-E28))</f>
        <v>547.9272</v>
      </c>
      <c r="F29" s="9" t="n">
        <f aca="false">MAX(0,(((E29*(1-Assumptions!$C$19))+F27)-F28))</f>
        <v>653.68224</v>
      </c>
      <c r="G29" s="9" t="n">
        <f aca="false">MAX(0,(((F29*(1-Assumptions!$C$19))+G27)-G28))</f>
        <v>711.58788288</v>
      </c>
      <c r="H29" s="9" t="n">
        <f aca="false">MAX(0,(((G29*(1-Assumptions!$C$19))+H27)-H28))</f>
        <v>746.6376389184</v>
      </c>
      <c r="I29" s="9" t="n">
        <f aca="false">MAX(0,(((H29*(1-Assumptions!$C$19))+I27)-I28))</f>
        <v>835.774530392448</v>
      </c>
      <c r="J29" s="9" t="n">
        <f aca="false">MAX(0,(((I29*(1-Assumptions!$C$19))+J27)-J28))</f>
        <v>1168.52710133487</v>
      </c>
      <c r="K29" s="9" t="n">
        <f aca="false">MAX(0,(((J29*(1-Assumptions!$C$19))+K27)-K28))</f>
        <v>1544.71062532268</v>
      </c>
      <c r="L29" s="9" t="n">
        <f aca="false">MAX(0,(((K29*(1-Assumptions!$C$19))+L27)-L28))</f>
        <v>1693.86218416649</v>
      </c>
      <c r="M29" s="9" t="n">
        <f aca="false">MAX(0,(((L29*(1-Assumptions!$C$19))+M27)-M28))</f>
        <v>1780.71604890645</v>
      </c>
      <c r="N29" s="9" t="n">
        <f aca="false">MAX(0,(((M29*(1-Assumptions!$C$19))+N27)-N28))</f>
        <v>1806.21574138794</v>
      </c>
      <c r="O29" s="9" t="n">
        <f aca="false">MAX(0,(((N29*(1-Assumptions!$C$19))+O27)-O28))</f>
        <v>4032.83406169396</v>
      </c>
      <c r="P29" s="9" t="n">
        <f aca="false">MAX(0,(((O29*(1-Assumptions!$C$19))+P27)-P28))</f>
        <v>5764.94606792736</v>
      </c>
      <c r="Q29" s="9" t="n">
        <f aca="false">MAX(0,(((P29*(1-Assumptions!$C$19))+Q27)-Q28))</f>
        <v>7042.43253037744</v>
      </c>
      <c r="R29" s="9" t="n">
        <f aca="false">MAX(0,(((Q29*(1-Assumptions!$C$19))+R27)-R28))</f>
        <v>8058.88125651911</v>
      </c>
      <c r="S29" s="9" t="n">
        <f aca="false">MAX(0,(((R29*(1-Assumptions!$C$19))+S27)-S28))</f>
        <v>8669.40273726359</v>
      </c>
      <c r="T29" s="9" t="n">
        <f aca="false">MAX(0,(((S29*(1-Assumptions!$C$19))+T27)-T28))</f>
        <v>9072.10407866113</v>
      </c>
      <c r="U29" s="9" t="n">
        <f aca="false">MAX(0,(((T29*(1-Assumptions!$C$19))+U27)-U28))</f>
        <v>9819.77915431829</v>
      </c>
      <c r="V29" s="9" t="n">
        <f aca="false">MAX(0,(((U29*(1-Assumptions!$C$19))+V27)-V28))</f>
        <v>12209.6976668969</v>
      </c>
      <c r="W29" s="9" t="n">
        <f aca="false">MAX(0,(((V29*(1-Assumptions!$C$19))+W27)-W28))</f>
        <v>14815.6342097116</v>
      </c>
      <c r="X29" s="9" t="n">
        <f aca="false">MAX(0,(((W29*(1-Assumptions!$C$19))+X27)-X28))</f>
        <v>15826.1959279214</v>
      </c>
      <c r="Y29" s="9" t="n">
        <f aca="false">MAX(0,(((X29*(1-Assumptions!$C$19))+Y27)-Y28))</f>
        <v>16381.1654601418</v>
      </c>
      <c r="Z29" s="9" t="n">
        <f aca="false">MAX(0,(((Y29*(1-Assumptions!$C$19))+Z27)-Z28))</f>
        <v>16506.2482160617</v>
      </c>
      <c r="AA29" s="9" t="n">
        <f aca="false">MAX(0,(((Z29*(1-Assumptions!$C$19))+AA27)-AA28))</f>
        <v>18400.0769335641</v>
      </c>
      <c r="AB29" s="9" t="n">
        <f aca="false">MAX(0,(((AA29*(1-Assumptions!$C$19))+AB27)-AB28))</f>
        <v>19675.0015474918</v>
      </c>
      <c r="AC29" s="9" t="n">
        <f aca="false">MAX(0,(((AB29*(1-Assumptions!$C$19))+AC27)-AC28))</f>
        <v>20385.6699036712</v>
      </c>
      <c r="AD29" s="9" t="n">
        <f aca="false">MAX(0,(((AC29*(1-Assumptions!$C$19))+AD27)-AD28))</f>
        <v>20820.760848819</v>
      </c>
      <c r="AE29" s="9" t="n">
        <f aca="false">MAX(0,(((AD29*(1-Assumptions!$C$19))+AE27)-AE28))</f>
        <v>20755.7005668807</v>
      </c>
      <c r="AF29" s="9" t="n">
        <f aca="false">MAX(0,(((AE29*(1-Assumptions!$C$19))+AF27)-AF28))</f>
        <v>20481.9772433488</v>
      </c>
      <c r="AG29" s="9" t="n">
        <f aca="false">MAX(0,(((AF29*(1-Assumptions!$C$19))+AG27)-AG28))</f>
        <v>20793.7347751708</v>
      </c>
      <c r="AH29" s="9" t="n">
        <f aca="false">MAX(0,(((AG29*(1-Assumptions!$C$19))+AH27)-AH28))</f>
        <v>23512.375951465</v>
      </c>
      <c r="AI29" s="9" t="n">
        <f aca="false">MAX(0,(((AH29*(1-Assumptions!$C$19))+AI27)-AI28))</f>
        <v>26551.1954918706</v>
      </c>
      <c r="AJ29" s="9" t="n">
        <f aca="false">MAX(0,(((AI29*(1-Assumptions!$C$19))+AJ27)-AJ28))</f>
        <v>27379.9346039796</v>
      </c>
      <c r="AK29" s="9" t="n">
        <f aca="false">MAX(0,(((AJ29*(1-Assumptions!$C$19))+AK27)-AK28))</f>
        <v>27609.9497663319</v>
      </c>
      <c r="AL29" s="9" t="n">
        <f aca="false">MAX(0,(((AK29*(1-Assumptions!$C$19))+AL27)-AL28))</f>
        <v>27287.7987044966</v>
      </c>
      <c r="AN29" s="11" t="n">
        <f aca="false">N29</f>
        <v>1806.21574138794</v>
      </c>
      <c r="AO29" s="11" t="n">
        <f aca="false">Z29</f>
        <v>16506.2482160617</v>
      </c>
      <c r="AP29" s="11" t="n">
        <f aca="false">AL29</f>
        <v>27287.7987044966</v>
      </c>
    </row>
    <row r="30" customFormat="false" ht="15" hidden="false" customHeight="false" outlineLevel="0" collapsed="false">
      <c r="A30" s="0" t="s">
        <v>835</v>
      </c>
      <c r="B30" s="0" t="s">
        <v>193</v>
      </c>
      <c r="C30" s="12" t="n">
        <f aca="false">IF(AND(($C$14=1),(C$18&gt;=(Assumptions!$C$106+1)),(C$18&lt;=(Assumptions!$C$106+3))),Assumptions!$C$115,0)</f>
        <v>0</v>
      </c>
      <c r="D30" s="12" t="n">
        <f aca="false">IF(AND(($C$14=1),(D$18&gt;=(Assumptions!$C$106+1)),(D$18&lt;=(Assumptions!$C$106+3))),Assumptions!$C$115,0)</f>
        <v>0</v>
      </c>
      <c r="E30" s="12" t="n">
        <f aca="false">IF(AND(($C$14=1),(E$18&gt;=(Assumptions!$C$106+1)),(E$18&lt;=(Assumptions!$C$106+3))),Assumptions!$C$115,0)</f>
        <v>0</v>
      </c>
      <c r="F30" s="12" t="n">
        <f aca="false">IF(AND(($C$14=1),(F$18&gt;=(Assumptions!$C$106+1)),(F$18&lt;=(Assumptions!$C$106+3))),Assumptions!$C$115,0)</f>
        <v>0</v>
      </c>
      <c r="G30" s="12" t="n">
        <f aca="false">IF(AND(($C$14=1),(G$18&gt;=(Assumptions!$C$106+1)),(G$18&lt;=(Assumptions!$C$106+3))),Assumptions!$C$115,0)</f>
        <v>0</v>
      </c>
      <c r="H30" s="12" t="n">
        <f aca="false">IF(AND(($C$14=1),(H$18&gt;=(Assumptions!$C$106+1)),(H$18&lt;=(Assumptions!$C$106+3))),Assumptions!$C$115,0)</f>
        <v>0</v>
      </c>
      <c r="I30" s="12" t="n">
        <f aca="false">IF(AND(($C$14=1),(I$18&gt;=(Assumptions!$C$106+1)),(I$18&lt;=(Assumptions!$C$106+3))),Assumptions!$C$115,0)</f>
        <v>0</v>
      </c>
      <c r="J30" s="12" t="n">
        <f aca="false">IF(AND(($C$14=1),(J$18&gt;=(Assumptions!$C$106+1)),(J$18&lt;=(Assumptions!$C$106+3))),Assumptions!$C$115,0)</f>
        <v>0</v>
      </c>
      <c r="K30" s="12" t="n">
        <f aca="false">IF(AND(($C$14=1),(K$18&gt;=(Assumptions!$C$106+1)),(K$18&lt;=(Assumptions!$C$106+3))),Assumptions!$C$115,0)</f>
        <v>0</v>
      </c>
      <c r="L30" s="12" t="n">
        <f aca="false">IF(AND(($C$14=1),(L$18&gt;=(Assumptions!$C$106+1)),(L$18&lt;=(Assumptions!$C$106+3))),Assumptions!$C$115,0)</f>
        <v>0</v>
      </c>
      <c r="M30" s="12" t="n">
        <f aca="false">IF(AND(($C$14=1),(M$18&gt;=(Assumptions!$C$106+1)),(M$18&lt;=(Assumptions!$C$106+3))),Assumptions!$C$115,0)</f>
        <v>0</v>
      </c>
      <c r="N30" s="12" t="n">
        <f aca="false">IF(AND(($C$14=1),(N$18&gt;=(Assumptions!$C$106+1)),(N$18&lt;=(Assumptions!$C$106+3))),Assumptions!$C$115,0)</f>
        <v>0</v>
      </c>
      <c r="O30" s="12" t="n">
        <f aca="false">IF(AND(($C$14=1),(O$18&gt;=(Assumptions!$C$106+1)),(O$18&lt;=(Assumptions!$C$106+3))),Assumptions!$C$115,0)</f>
        <v>0</v>
      </c>
      <c r="P30" s="12" t="n">
        <f aca="false">IF(AND(($C$14=1),(P$18&gt;=(Assumptions!$C$106+1)),(P$18&lt;=(Assumptions!$C$106+3))),Assumptions!$C$115,0)</f>
        <v>0</v>
      </c>
      <c r="Q30" s="12" t="n">
        <f aca="false">IF(AND(($C$14=1),(Q$18&gt;=(Assumptions!$C$106+1)),(Q$18&lt;=(Assumptions!$C$106+3))),Assumptions!$C$115,0)</f>
        <v>0.06</v>
      </c>
      <c r="R30" s="12" t="n">
        <f aca="false">IF(AND(($C$14=1),(R$18&gt;=(Assumptions!$C$106+1)),(R$18&lt;=(Assumptions!$C$106+3))),Assumptions!$C$115,0)</f>
        <v>0.06</v>
      </c>
      <c r="S30" s="12" t="n">
        <f aca="false">IF(AND(($C$14=1),(S$18&gt;=(Assumptions!$C$106+1)),(S$18&lt;=(Assumptions!$C$106+3))),Assumptions!$C$115,0)</f>
        <v>0.06</v>
      </c>
      <c r="T30" s="12" t="n">
        <f aca="false">IF(AND(($C$14=1),(T$18&gt;=(Assumptions!$C$106+1)),(T$18&lt;=(Assumptions!$C$106+3))),Assumptions!$C$115,0)</f>
        <v>0</v>
      </c>
      <c r="U30" s="12" t="n">
        <f aca="false">IF(AND(($C$14=1),(U$18&gt;=(Assumptions!$C$106+1)),(U$18&lt;=(Assumptions!$C$106+3))),Assumptions!$C$115,0)</f>
        <v>0</v>
      </c>
      <c r="V30" s="12" t="n">
        <f aca="false">IF(AND(($C$14=1),(V$18&gt;=(Assumptions!$C$106+1)),(V$18&lt;=(Assumptions!$C$106+3))),Assumptions!$C$115,0)</f>
        <v>0</v>
      </c>
      <c r="W30" s="12" t="n">
        <f aca="false">IF(AND(($C$14=1),(W$18&gt;=(Assumptions!$C$106+1)),(W$18&lt;=(Assumptions!$C$106+3))),Assumptions!$C$115,0)</f>
        <v>0</v>
      </c>
      <c r="X30" s="12" t="n">
        <f aca="false">IF(AND(($C$14=1),(X$18&gt;=(Assumptions!$C$106+1)),(X$18&lt;=(Assumptions!$C$106+3))),Assumptions!$C$115,0)</f>
        <v>0</v>
      </c>
      <c r="Y30" s="12" t="n">
        <f aca="false">IF(AND(($C$14=1),(Y$18&gt;=(Assumptions!$C$106+1)),(Y$18&lt;=(Assumptions!$C$106+3))),Assumptions!$C$115,0)</f>
        <v>0</v>
      </c>
      <c r="Z30" s="12" t="n">
        <f aca="false">IF(AND(($C$14=1),(Z$18&gt;=(Assumptions!$C$106+1)),(Z$18&lt;=(Assumptions!$C$106+3))),Assumptions!$C$115,0)</f>
        <v>0</v>
      </c>
      <c r="AA30" s="12" t="n">
        <f aca="false">IF(AND(($C$14=1),(AA$18&gt;=(Assumptions!$C$106+1)),(AA$18&lt;=(Assumptions!$C$106+3))),Assumptions!$C$115,0)</f>
        <v>0</v>
      </c>
      <c r="AB30" s="12" t="n">
        <f aca="false">IF(AND(($C$14=1),(AB$18&gt;=(Assumptions!$C$106+1)),(AB$18&lt;=(Assumptions!$C$106+3))),Assumptions!$C$115,0)</f>
        <v>0</v>
      </c>
      <c r="AC30" s="12" t="n">
        <f aca="false">IF(AND(($C$14=1),(AC$18&gt;=(Assumptions!$C$106+1)),(AC$18&lt;=(Assumptions!$C$106+3))),Assumptions!$C$115,0)</f>
        <v>0</v>
      </c>
      <c r="AD30" s="12" t="n">
        <f aca="false">IF(AND(($C$14=1),(AD$18&gt;=(Assumptions!$C$106+1)),(AD$18&lt;=(Assumptions!$C$106+3))),Assumptions!$C$115,0)</f>
        <v>0</v>
      </c>
      <c r="AE30" s="12" t="n">
        <f aca="false">IF(AND(($C$14=1),(AE$18&gt;=(Assumptions!$C$106+1)),(AE$18&lt;=(Assumptions!$C$106+3))),Assumptions!$C$115,0)</f>
        <v>0</v>
      </c>
      <c r="AF30" s="12" t="n">
        <f aca="false">IF(AND(($C$14=1),(AF$18&gt;=(Assumptions!$C$106+1)),(AF$18&lt;=(Assumptions!$C$106+3))),Assumptions!$C$115,0)</f>
        <v>0</v>
      </c>
      <c r="AG30" s="12" t="n">
        <f aca="false">IF(AND(($C$14=1),(AG$18&gt;=(Assumptions!$C$106+1)),(AG$18&lt;=(Assumptions!$C$106+3))),Assumptions!$C$115,0)</f>
        <v>0</v>
      </c>
      <c r="AH30" s="12" t="n">
        <f aca="false">IF(AND(($C$14=1),(AH$18&gt;=(Assumptions!$C$106+1)),(AH$18&lt;=(Assumptions!$C$106+3))),Assumptions!$C$115,0)</f>
        <v>0</v>
      </c>
      <c r="AI30" s="12" t="n">
        <f aca="false">IF(AND(($C$14=1),(AI$18&gt;=(Assumptions!$C$106+1)),(AI$18&lt;=(Assumptions!$C$106+3))),Assumptions!$C$115,0)</f>
        <v>0</v>
      </c>
      <c r="AJ30" s="12" t="n">
        <f aca="false">IF(AND(($C$14=1),(AJ$18&gt;=(Assumptions!$C$106+1)),(AJ$18&lt;=(Assumptions!$C$106+3))),Assumptions!$C$115,0)</f>
        <v>0</v>
      </c>
      <c r="AK30" s="12" t="n">
        <f aca="false">IF(AND(($C$14=1),(AK$18&gt;=(Assumptions!$C$106+1)),(AK$18&lt;=(Assumptions!$C$106+3))),Assumptions!$C$115,0)</f>
        <v>0</v>
      </c>
      <c r="AL30" s="12" t="n">
        <f aca="false">IF(AND(($C$14=1),(AL$18&gt;=(Assumptions!$C$106+1)),(AL$18&lt;=(Assumptions!$C$106+3))),Assumptions!$C$115,0)</f>
        <v>0</v>
      </c>
    </row>
    <row r="31" customFormat="false" ht="15" hidden="false" customHeight="false" outlineLevel="0" collapsed="false">
      <c r="A31" s="0" t="s">
        <v>836</v>
      </c>
      <c r="B31" s="0" t="s">
        <v>193</v>
      </c>
      <c r="C31" s="12" t="n">
        <f aca="false">MIN(1,((Assumptions!$C$22*$C$6)+C30))</f>
        <v>0.05</v>
      </c>
      <c r="D31" s="12" t="n">
        <f aca="false">MIN(1,((Assumptions!$C$22*$C$6)+D30))</f>
        <v>0.05</v>
      </c>
      <c r="E31" s="12" t="n">
        <f aca="false">MIN(1,((Assumptions!$C$22*$C$6)+E30))</f>
        <v>0.05</v>
      </c>
      <c r="F31" s="12" t="n">
        <f aca="false">MIN(1,((Assumptions!$C$22*$C$6)+F30))</f>
        <v>0.05</v>
      </c>
      <c r="G31" s="12" t="n">
        <f aca="false">MIN(1,((Assumptions!$C$22*$C$6)+G30))</f>
        <v>0.05</v>
      </c>
      <c r="H31" s="12" t="n">
        <f aca="false">MIN(1,((Assumptions!$C$22*$C$6)+H30))</f>
        <v>0.05</v>
      </c>
      <c r="I31" s="12" t="n">
        <f aca="false">MIN(1,((Assumptions!$C$22*$C$6)+I30))</f>
        <v>0.05</v>
      </c>
      <c r="J31" s="12" t="n">
        <f aca="false">MIN(1,((Assumptions!$C$22*$C$6)+J30))</f>
        <v>0.05</v>
      </c>
      <c r="K31" s="12" t="n">
        <f aca="false">MIN(1,((Assumptions!$C$22*$C$6)+K30))</f>
        <v>0.05</v>
      </c>
      <c r="L31" s="12" t="n">
        <f aca="false">MIN(1,((Assumptions!$C$22*$C$6)+L30))</f>
        <v>0.05</v>
      </c>
      <c r="M31" s="12" t="n">
        <f aca="false">MIN(1,((Assumptions!$C$22*$C$6)+M30))</f>
        <v>0.05</v>
      </c>
      <c r="N31" s="12" t="n">
        <f aca="false">MIN(1,((Assumptions!$C$22*$C$6)+N30))</f>
        <v>0.05</v>
      </c>
      <c r="O31" s="12" t="n">
        <f aca="false">MIN(1,((Assumptions!$C$22*$C$6)+O30))</f>
        <v>0.05</v>
      </c>
      <c r="P31" s="12" t="n">
        <f aca="false">MIN(1,((Assumptions!$C$22*$C$6)+P30))</f>
        <v>0.05</v>
      </c>
      <c r="Q31" s="12" t="n">
        <f aca="false">MIN(1,((Assumptions!$C$22*$C$6)+Q30))</f>
        <v>0.11</v>
      </c>
      <c r="R31" s="12" t="n">
        <f aca="false">MIN(1,((Assumptions!$C$22*$C$6)+R30))</f>
        <v>0.11</v>
      </c>
      <c r="S31" s="12" t="n">
        <f aca="false">MIN(1,((Assumptions!$C$22*$C$6)+S30))</f>
        <v>0.11</v>
      </c>
      <c r="T31" s="12" t="n">
        <f aca="false">MIN(1,((Assumptions!$C$22*$C$6)+T30))</f>
        <v>0.05</v>
      </c>
      <c r="U31" s="12" t="n">
        <f aca="false">MIN(1,((Assumptions!$C$22*$C$6)+U30))</f>
        <v>0.05</v>
      </c>
      <c r="V31" s="12" t="n">
        <f aca="false">MIN(1,((Assumptions!$C$22*$C$6)+V30))</f>
        <v>0.05</v>
      </c>
      <c r="W31" s="12" t="n">
        <f aca="false">MIN(1,((Assumptions!$C$22*$C$6)+W30))</f>
        <v>0.05</v>
      </c>
      <c r="X31" s="12" t="n">
        <f aca="false">MIN(1,((Assumptions!$C$22*$C$6)+X30))</f>
        <v>0.05</v>
      </c>
      <c r="Y31" s="12" t="n">
        <f aca="false">MIN(1,((Assumptions!$C$22*$C$6)+Y30))</f>
        <v>0.05</v>
      </c>
      <c r="Z31" s="12" t="n">
        <f aca="false">MIN(1,((Assumptions!$C$22*$C$6)+Z30))</f>
        <v>0.05</v>
      </c>
      <c r="AA31" s="12" t="n">
        <f aca="false">MIN(1,((Assumptions!$C$22*$C$6)+AA30))</f>
        <v>0.05</v>
      </c>
      <c r="AB31" s="12" t="n">
        <f aca="false">MIN(1,((Assumptions!$C$22*$C$6)+AB30))</f>
        <v>0.05</v>
      </c>
      <c r="AC31" s="12" t="n">
        <f aca="false">MIN(1,((Assumptions!$C$22*$C$6)+AC30))</f>
        <v>0.05</v>
      </c>
      <c r="AD31" s="12" t="n">
        <f aca="false">MIN(1,((Assumptions!$C$22*$C$6)+AD30))</f>
        <v>0.05</v>
      </c>
      <c r="AE31" s="12" t="n">
        <f aca="false">MIN(1,((Assumptions!$C$22*$C$6)+AE30))</f>
        <v>0.05</v>
      </c>
      <c r="AF31" s="12" t="n">
        <f aca="false">MIN(1,((Assumptions!$C$22*$C$6)+AF30))</f>
        <v>0.05</v>
      </c>
      <c r="AG31" s="12" t="n">
        <f aca="false">MIN(1,((Assumptions!$C$22*$C$6)+AG30))</f>
        <v>0.05</v>
      </c>
      <c r="AH31" s="12" t="n">
        <f aca="false">MIN(1,((Assumptions!$C$22*$C$6)+AH30))</f>
        <v>0.05</v>
      </c>
      <c r="AI31" s="12" t="n">
        <f aca="false">MIN(1,((Assumptions!$C$22*$C$6)+AI30))</f>
        <v>0.05</v>
      </c>
      <c r="AJ31" s="12" t="n">
        <f aca="false">MIN(1,((Assumptions!$C$22*$C$6)+AJ30))</f>
        <v>0.05</v>
      </c>
      <c r="AK31" s="12" t="n">
        <f aca="false">MIN(1,((Assumptions!$C$22*$C$6)+AK30))</f>
        <v>0.05</v>
      </c>
      <c r="AL31" s="12" t="n">
        <f aca="false">MIN(1,((Assumptions!$C$22*$C$6)+AL30))</f>
        <v>0.05</v>
      </c>
    </row>
    <row r="32" customFormat="false" ht="15" hidden="false" customHeight="false" outlineLevel="0" collapsed="false">
      <c r="A32" s="0" t="s">
        <v>837</v>
      </c>
      <c r="B32" s="0" t="s">
        <v>500</v>
      </c>
      <c r="C32" s="9" t="n">
        <f aca="false">(C28*(1-Assumptions!$C$21))</f>
        <v>0</v>
      </c>
      <c r="D32" s="9" t="n">
        <f aca="false">(D28*(1-Assumptions!$C$21))</f>
        <v>0</v>
      </c>
      <c r="E32" s="9" t="n">
        <f aca="false">(E28*(1-Assumptions!$C$21))</f>
        <v>0</v>
      </c>
      <c r="F32" s="9" t="n">
        <f aca="false">(F28*(1-Assumptions!$C$21))</f>
        <v>0</v>
      </c>
      <c r="G32" s="9" t="n">
        <f aca="false">(G28*(1-Assumptions!$C$21))</f>
        <v>0</v>
      </c>
      <c r="H32" s="9" t="n">
        <f aca="false">(H28*(1-Assumptions!$C$21))</f>
        <v>0</v>
      </c>
      <c r="I32" s="9" t="n">
        <f aca="false">(I28*(1-Assumptions!$C$21))</f>
        <v>0</v>
      </c>
      <c r="J32" s="9" t="n">
        <f aca="false">(J28*(1-Assumptions!$C$21))</f>
        <v>0</v>
      </c>
      <c r="K32" s="9" t="n">
        <f aca="false">(K28*(1-Assumptions!$C$21))</f>
        <v>0</v>
      </c>
      <c r="L32" s="9" t="n">
        <f aca="false">(L28*(1-Assumptions!$C$21))</f>
        <v>0</v>
      </c>
      <c r="M32" s="9" t="n">
        <f aca="false">(M28*(1-Assumptions!$C$21))</f>
        <v>0</v>
      </c>
      <c r="N32" s="9" t="n">
        <f aca="false">(N28*(1-Assumptions!$C$21))</f>
        <v>0</v>
      </c>
      <c r="O32" s="9" t="n">
        <f aca="false">(O28*(1-Assumptions!$C$21))</f>
        <v>2.48354664440842</v>
      </c>
      <c r="P32" s="9" t="n">
        <f aca="false">(P28*(1-Assumptions!$C$21))</f>
        <v>5.54514683482919</v>
      </c>
      <c r="Q32" s="9" t="n">
        <f aca="false">(Q28*(1-Assumptions!$C$21))</f>
        <v>7.92680084340012</v>
      </c>
      <c r="R32" s="9" t="n">
        <f aca="false">(R28*(1-Assumptions!$C$21))</f>
        <v>9.68334472926897</v>
      </c>
      <c r="S32" s="9" t="n">
        <f aca="false">(S28*(1-Assumptions!$C$21))</f>
        <v>11.0809617277138</v>
      </c>
      <c r="T32" s="9" t="n">
        <f aca="false">(T28*(1-Assumptions!$C$21))</f>
        <v>11.9204287637374</v>
      </c>
      <c r="U32" s="9" t="n">
        <f aca="false">(U28*(1-Assumptions!$C$21))</f>
        <v>12.4741431081591</v>
      </c>
      <c r="V32" s="9" t="n">
        <f aca="false">(V28*(1-Assumptions!$C$21))</f>
        <v>13.5021963371876</v>
      </c>
      <c r="W32" s="9" t="n">
        <f aca="false">(W28*(1-Assumptions!$C$21))</f>
        <v>16.7883342919832</v>
      </c>
      <c r="X32" s="9" t="n">
        <f aca="false">(X28*(1-Assumptions!$C$21))</f>
        <v>20.3714970383535</v>
      </c>
      <c r="Y32" s="9" t="n">
        <f aca="false">(Y28*(1-Assumptions!$C$21))</f>
        <v>21.7610194008919</v>
      </c>
      <c r="Z32" s="9" t="n">
        <f aca="false">(Z28*(1-Assumptions!$C$21))</f>
        <v>22.524102507695</v>
      </c>
      <c r="AA32" s="9" t="n">
        <f aca="false">(AA28*(1-Assumptions!$C$21))</f>
        <v>22.6960912970848</v>
      </c>
      <c r="AB32" s="9" t="n">
        <f aca="false">(AB28*(1-Assumptions!$C$21))</f>
        <v>25.3001057836506</v>
      </c>
      <c r="AC32" s="9" t="n">
        <f aca="false">(AC28*(1-Assumptions!$C$21))</f>
        <v>27.0531271278012</v>
      </c>
      <c r="AD32" s="9" t="n">
        <f aca="false">(AD28*(1-Assumptions!$C$21))</f>
        <v>28.030296117548</v>
      </c>
      <c r="AE32" s="9" t="n">
        <f aca="false">(AE28*(1-Assumptions!$C$21))</f>
        <v>28.6285461671261</v>
      </c>
      <c r="AF32" s="9" t="n">
        <f aca="false">(AF28*(1-Assumptions!$C$21))</f>
        <v>28.539088279461</v>
      </c>
      <c r="AG32" s="9" t="n">
        <f aca="false">(AG28*(1-Assumptions!$C$21))</f>
        <v>28.1627187096046</v>
      </c>
      <c r="AH32" s="9" t="n">
        <f aca="false">(AH28*(1-Assumptions!$C$21))</f>
        <v>28.5913853158598</v>
      </c>
      <c r="AI32" s="9" t="n">
        <f aca="false">(AI28*(1-Assumptions!$C$21))</f>
        <v>32.3295169332644</v>
      </c>
      <c r="AJ32" s="9" t="n">
        <f aca="false">(AJ28*(1-Assumptions!$C$21))</f>
        <v>36.5078938013221</v>
      </c>
      <c r="AK32" s="9" t="n">
        <f aca="false">(AK28*(1-Assumptions!$C$21))</f>
        <v>37.647410080472</v>
      </c>
      <c r="AL32" s="9" t="n">
        <f aca="false">(AL28*(1-Assumptions!$C$21))</f>
        <v>37.9636809287064</v>
      </c>
      <c r="AN32" s="11" t="n">
        <f aca="false">SUM(C32:N32)</f>
        <v>0</v>
      </c>
      <c r="AO32" s="11" t="n">
        <f aca="false">SUM(O32:Z32)</f>
        <v>156.061522227628</v>
      </c>
      <c r="AP32" s="11" t="n">
        <f aca="false">SUM(AA32:AL32)</f>
        <v>361.449860541901</v>
      </c>
    </row>
    <row r="33" customFormat="false" ht="15" hidden="false" customHeight="false" outlineLevel="0" collapsed="false">
      <c r="A33" s="0" t="s">
        <v>838</v>
      </c>
      <c r="B33" s="0" t="s">
        <v>500</v>
      </c>
      <c r="C33" s="9" t="n">
        <f aca="false">(C28*Assumptions!$C$21)</f>
        <v>0</v>
      </c>
      <c r="D33" s="9" t="n">
        <f aca="false">(D28*Assumptions!$C$21)</f>
        <v>0</v>
      </c>
      <c r="E33" s="9" t="n">
        <f aca="false">(E28*Assumptions!$C$21)</f>
        <v>0</v>
      </c>
      <c r="F33" s="9" t="n">
        <f aca="false">(F28*Assumptions!$C$21)</f>
        <v>0</v>
      </c>
      <c r="G33" s="9" t="n">
        <f aca="false">(G28*Assumptions!$C$21)</f>
        <v>0</v>
      </c>
      <c r="H33" s="9" t="n">
        <f aca="false">(H28*Assumptions!$C$21)</f>
        <v>0</v>
      </c>
      <c r="I33" s="9" t="n">
        <f aca="false">(I28*Assumptions!$C$21)</f>
        <v>0</v>
      </c>
      <c r="J33" s="9" t="n">
        <f aca="false">(J28*Assumptions!$C$21)</f>
        <v>0</v>
      </c>
      <c r="K33" s="9" t="n">
        <f aca="false">(K28*Assumptions!$C$21)</f>
        <v>0</v>
      </c>
      <c r="L33" s="9" t="n">
        <f aca="false">(L28*Assumptions!$C$21)</f>
        <v>0</v>
      </c>
      <c r="M33" s="9" t="n">
        <f aca="false">(M28*Assumptions!$C$21)</f>
        <v>0</v>
      </c>
      <c r="N33" s="9" t="n">
        <f aca="false">(N28*Assumptions!$C$21)</f>
        <v>0</v>
      </c>
      <c r="O33" s="9" t="n">
        <f aca="false">(O28*Assumptions!$C$21)</f>
        <v>2.03199270906143</v>
      </c>
      <c r="P33" s="9" t="n">
        <f aca="false">(P28*Assumptions!$C$21)</f>
        <v>4.5369383194057</v>
      </c>
      <c r="Q33" s="9" t="n">
        <f aca="false">(Q28*Assumptions!$C$21)</f>
        <v>6.48556432641828</v>
      </c>
      <c r="R33" s="9" t="n">
        <f aca="false">(R28*Assumptions!$C$21)</f>
        <v>7.92273659667462</v>
      </c>
      <c r="S33" s="9" t="n">
        <f aca="false">(S28*Assumptions!$C$21)</f>
        <v>9.066241413584</v>
      </c>
      <c r="T33" s="9" t="n">
        <f aca="false">(T28*Assumptions!$C$21)</f>
        <v>9.75307807942154</v>
      </c>
      <c r="U33" s="9" t="n">
        <f aca="false">(U28*Assumptions!$C$21)</f>
        <v>10.2061170884938</v>
      </c>
      <c r="V33" s="9" t="n">
        <f aca="false">(V28*Assumptions!$C$21)</f>
        <v>11.0472515486081</v>
      </c>
      <c r="W33" s="9" t="n">
        <f aca="false">(W28*Assumptions!$C$21)</f>
        <v>13.735909875259</v>
      </c>
      <c r="X33" s="9" t="n">
        <f aca="false">(X28*Assumptions!$C$21)</f>
        <v>16.6675884859256</v>
      </c>
      <c r="Y33" s="9" t="n">
        <f aca="false">(Y28*Assumptions!$C$21)</f>
        <v>17.8044704189116</v>
      </c>
      <c r="Z33" s="9" t="n">
        <f aca="false">(Z28*Assumptions!$C$21)</f>
        <v>18.4288111426595</v>
      </c>
      <c r="AA33" s="9" t="n">
        <f aca="false">(AA28*Assumptions!$C$21)</f>
        <v>18.5695292430694</v>
      </c>
      <c r="AB33" s="9" t="n">
        <f aca="false">(AB28*Assumptions!$C$21)</f>
        <v>20.7000865502596</v>
      </c>
      <c r="AC33" s="9" t="n">
        <f aca="false">(AC28*Assumptions!$C$21)</f>
        <v>22.1343767409283</v>
      </c>
      <c r="AD33" s="9" t="n">
        <f aca="false">(AD28*Assumptions!$C$21)</f>
        <v>22.9338786416301</v>
      </c>
      <c r="AE33" s="9" t="n">
        <f aca="false">(AE28*Assumptions!$C$21)</f>
        <v>23.4233559549213</v>
      </c>
      <c r="AF33" s="9" t="n">
        <f aca="false">(AF28*Assumptions!$C$21)</f>
        <v>23.3501631377408</v>
      </c>
      <c r="AG33" s="9" t="n">
        <f aca="false">(AG28*Assumptions!$C$21)</f>
        <v>23.0422243987674</v>
      </c>
      <c r="AH33" s="9" t="n">
        <f aca="false">(AH28*Assumptions!$C$21)</f>
        <v>23.3929516220671</v>
      </c>
      <c r="AI33" s="9" t="n">
        <f aca="false">(AI28*Assumptions!$C$21)</f>
        <v>26.4514229453981</v>
      </c>
      <c r="AJ33" s="9" t="n">
        <f aca="false">(AJ28*Assumptions!$C$21)</f>
        <v>29.8700949283544</v>
      </c>
      <c r="AK33" s="9" t="n">
        <f aca="false">(AK28*Assumptions!$C$21)</f>
        <v>30.8024264294771</v>
      </c>
      <c r="AL33" s="9" t="n">
        <f aca="false">(AL28*Assumptions!$C$21)</f>
        <v>31.0611934871234</v>
      </c>
      <c r="AN33" s="11" t="n">
        <f aca="false">SUM(C33:N33)</f>
        <v>0</v>
      </c>
      <c r="AO33" s="11" t="n">
        <f aca="false">SUM(O33:Z33)</f>
        <v>127.686700004423</v>
      </c>
      <c r="AP33" s="11" t="n">
        <f aca="false">SUM(AA33:AL33)</f>
        <v>295.731704079737</v>
      </c>
    </row>
    <row r="34" customFormat="false" ht="15" hidden="false" customHeight="false" outlineLevel="0" collapsed="false">
      <c r="A34" s="0" t="s">
        <v>839</v>
      </c>
      <c r="B34" s="0" t="s">
        <v>500</v>
      </c>
      <c r="C34" s="9" t="n">
        <f aca="false">((0*(1-C31))+C32)</f>
        <v>0</v>
      </c>
      <c r="D34" s="9" t="n">
        <f aca="false">((C34*(1-D31))+D32)</f>
        <v>0</v>
      </c>
      <c r="E34" s="9" t="n">
        <f aca="false">((D34*(1-E31))+E32)</f>
        <v>0</v>
      </c>
      <c r="F34" s="9" t="n">
        <f aca="false">((E34*(1-F31))+F32)</f>
        <v>0</v>
      </c>
      <c r="G34" s="9" t="n">
        <f aca="false">((F34*(1-G31))+G32)</f>
        <v>0</v>
      </c>
      <c r="H34" s="9" t="n">
        <f aca="false">((G34*(1-H31))+H32)</f>
        <v>0</v>
      </c>
      <c r="I34" s="9" t="n">
        <f aca="false">((H34*(1-I31))+I32)</f>
        <v>0</v>
      </c>
      <c r="J34" s="9" t="n">
        <f aca="false">((I34*(1-J31))+J32)</f>
        <v>0</v>
      </c>
      <c r="K34" s="9" t="n">
        <f aca="false">((J34*(1-K31))+K32)</f>
        <v>0</v>
      </c>
      <c r="L34" s="9" t="n">
        <f aca="false">((K34*(1-L31))+L32)</f>
        <v>0</v>
      </c>
      <c r="M34" s="9" t="n">
        <f aca="false">((L34*(1-M31))+M32)</f>
        <v>0</v>
      </c>
      <c r="N34" s="9" t="n">
        <f aca="false">((M34*(1-N31))+N32)</f>
        <v>0</v>
      </c>
      <c r="O34" s="9" t="n">
        <f aca="false">((N34*(1-O31))+O32)</f>
        <v>2.48354664440842</v>
      </c>
      <c r="P34" s="9" t="n">
        <f aca="false">((O34*(1-P31))+P32)</f>
        <v>7.90451614701719</v>
      </c>
      <c r="Q34" s="9" t="n">
        <f aca="false">((P34*(1-Q31))+Q32)</f>
        <v>14.9618202142454</v>
      </c>
      <c r="R34" s="9" t="n">
        <f aca="false">((Q34*(1-R31))+R32)</f>
        <v>22.9993647199474</v>
      </c>
      <c r="S34" s="9" t="n">
        <f aca="false">((R34*(1-S31))+S32)</f>
        <v>31.550396328467</v>
      </c>
      <c r="T34" s="9" t="n">
        <f aca="false">((S34*(1-T31))+T32)</f>
        <v>41.893305275781</v>
      </c>
      <c r="U34" s="9" t="n">
        <f aca="false">((T34*(1-U31))+U32)</f>
        <v>52.2727831201511</v>
      </c>
      <c r="V34" s="9" t="n">
        <f aca="false">((U34*(1-V31))+V32)</f>
        <v>63.1613403013311</v>
      </c>
      <c r="W34" s="9" t="n">
        <f aca="false">((V34*(1-W31))+W32)</f>
        <v>76.7916075782478</v>
      </c>
      <c r="X34" s="9" t="n">
        <f aca="false">((W34*(1-X31))+X32)</f>
        <v>93.3235242376889</v>
      </c>
      <c r="Y34" s="9" t="n">
        <f aca="false">((X34*(1-Y31))+Y32)</f>
        <v>110.418367426696</v>
      </c>
      <c r="Z34" s="9" t="n">
        <f aca="false">((Y34*(1-Z31))+Z32)</f>
        <v>127.421551563056</v>
      </c>
      <c r="AA34" s="9" t="n">
        <f aca="false">((Z34*(1-AA31))+AA32)</f>
        <v>143.746565281988</v>
      </c>
      <c r="AB34" s="9" t="n">
        <f aca="false">((AA34*(1-AB31))+AB32)</f>
        <v>161.85934280154</v>
      </c>
      <c r="AC34" s="9" t="n">
        <f aca="false">((AB34*(1-AC31))+AC32)</f>
        <v>180.819502789264</v>
      </c>
      <c r="AD34" s="9" t="n">
        <f aca="false">((AC34*(1-AD31))+AD32)</f>
        <v>199.808823767349</v>
      </c>
      <c r="AE34" s="9" t="n">
        <f aca="false">((AD34*(1-AE31))+AE32)</f>
        <v>218.446928746107</v>
      </c>
      <c r="AF34" s="9" t="n">
        <f aca="false">((AE34*(1-AF31))+AF32)</f>
        <v>236.063670588263</v>
      </c>
      <c r="AG34" s="9" t="n">
        <f aca="false">((AF34*(1-AG31))+AG32)</f>
        <v>252.423205768454</v>
      </c>
      <c r="AH34" s="9" t="n">
        <f aca="false">((AG34*(1-AH31))+AH32)</f>
        <v>268.393430795891</v>
      </c>
      <c r="AI34" s="9" t="n">
        <f aca="false">((AH34*(1-AI31))+AI32)</f>
        <v>287.303276189361</v>
      </c>
      <c r="AJ34" s="9" t="n">
        <f aca="false">((AI34*(1-AJ31))+AJ32)</f>
        <v>309.446006181215</v>
      </c>
      <c r="AK34" s="9" t="n">
        <f aca="false">((AJ34*(1-AK31))+AK32)</f>
        <v>331.621115952626</v>
      </c>
      <c r="AL34" s="9" t="n">
        <f aca="false">((AK34*(1-AL31))+AL32)</f>
        <v>353.003741083701</v>
      </c>
      <c r="AN34" s="11" t="n">
        <f aca="false">N34</f>
        <v>0</v>
      </c>
      <c r="AO34" s="11" t="n">
        <f aca="false">Z34</f>
        <v>127.421551563056</v>
      </c>
      <c r="AP34" s="11" t="n">
        <f aca="false">AL34</f>
        <v>353.003741083701</v>
      </c>
    </row>
    <row r="35" customFormat="false" ht="15" hidden="false" customHeight="false" outlineLevel="0" collapsed="false">
      <c r="A35" s="0" t="s">
        <v>840</v>
      </c>
      <c r="B35" s="0" t="s">
        <v>193</v>
      </c>
      <c r="C35" s="12" t="n">
        <f aca="false">MAX(0,(1-((1-Assumptions!$C$23)*$C$6)))</f>
        <v>0.55</v>
      </c>
      <c r="D35" s="12" t="n">
        <f aca="false">MAX(0,(1-((1-Assumptions!$C$23)*$C$6)))</f>
        <v>0.55</v>
      </c>
      <c r="E35" s="12" t="n">
        <f aca="false">MAX(0,(1-((1-Assumptions!$C$23)*$C$6)))</f>
        <v>0.55</v>
      </c>
      <c r="F35" s="12" t="n">
        <f aca="false">MAX(0,(1-((1-Assumptions!$C$23)*$C$6)))</f>
        <v>0.55</v>
      </c>
      <c r="G35" s="12" t="n">
        <f aca="false">MAX(0,(1-((1-Assumptions!$C$23)*$C$6)))</f>
        <v>0.55</v>
      </c>
      <c r="H35" s="12" t="n">
        <f aca="false">MAX(0,(1-((1-Assumptions!$C$23)*$C$6)))</f>
        <v>0.55</v>
      </c>
      <c r="I35" s="12" t="n">
        <f aca="false">MAX(0,(1-((1-Assumptions!$C$23)*$C$6)))</f>
        <v>0.55</v>
      </c>
      <c r="J35" s="12" t="n">
        <f aca="false">MAX(0,(1-((1-Assumptions!$C$23)*$C$6)))</f>
        <v>0.55</v>
      </c>
      <c r="K35" s="12" t="n">
        <f aca="false">MAX(0,(1-((1-Assumptions!$C$23)*$C$6)))</f>
        <v>0.55</v>
      </c>
      <c r="L35" s="12" t="n">
        <f aca="false">MAX(0,(1-((1-Assumptions!$C$23)*$C$6)))</f>
        <v>0.55</v>
      </c>
      <c r="M35" s="12" t="n">
        <f aca="false">MAX(0,(1-((1-Assumptions!$C$23)*$C$6)))</f>
        <v>0.55</v>
      </c>
      <c r="N35" s="12" t="n">
        <f aca="false">MAX(0,(1-((1-Assumptions!$C$23)*$C$6)))</f>
        <v>0.55</v>
      </c>
      <c r="O35" s="12" t="n">
        <f aca="false">MAX(0,(1-((1-Assumptions!$C$23)*$C$6)))</f>
        <v>0.55</v>
      </c>
      <c r="P35" s="12" t="n">
        <f aca="false">MAX(0,(1-((1-Assumptions!$C$23)*$C$6)))</f>
        <v>0.55</v>
      </c>
      <c r="Q35" s="12" t="n">
        <f aca="false">MAX(0,(1-((1-Assumptions!$C$23)*$C$6)))</f>
        <v>0.55</v>
      </c>
      <c r="R35" s="12" t="n">
        <f aca="false">MAX(0,(1-((1-Assumptions!$C$23)*$C$6)))</f>
        <v>0.55</v>
      </c>
      <c r="S35" s="12" t="n">
        <f aca="false">MAX(0,(1-((1-Assumptions!$C$23)*$C$6)))</f>
        <v>0.55</v>
      </c>
      <c r="T35" s="12" t="n">
        <f aca="false">MAX(0,(1-((1-Assumptions!$C$23)*$C$6)))</f>
        <v>0.55</v>
      </c>
      <c r="U35" s="12" t="n">
        <f aca="false">MAX(0,(1-((1-Assumptions!$C$23)*$C$6)))</f>
        <v>0.55</v>
      </c>
      <c r="V35" s="12" t="n">
        <f aca="false">MAX(0,(1-((1-Assumptions!$C$23)*$C$6)))</f>
        <v>0.55</v>
      </c>
      <c r="W35" s="12" t="n">
        <f aca="false">MAX(0,(1-((1-Assumptions!$C$23)*$C$6)))</f>
        <v>0.55</v>
      </c>
      <c r="X35" s="12" t="n">
        <f aca="false">MAX(0,(1-((1-Assumptions!$C$23)*$C$6)))</f>
        <v>0.55</v>
      </c>
      <c r="Y35" s="12" t="n">
        <f aca="false">MAX(0,(1-((1-Assumptions!$C$23)*$C$6)))</f>
        <v>0.55</v>
      </c>
      <c r="Z35" s="12" t="n">
        <f aca="false">MAX(0,(1-((1-Assumptions!$C$23)*$C$6)))</f>
        <v>0.55</v>
      </c>
      <c r="AA35" s="12" t="n">
        <f aca="false">MAX(0,(1-((1-Assumptions!$C$23)*$C$6)))</f>
        <v>0.55</v>
      </c>
      <c r="AB35" s="12" t="n">
        <f aca="false">MAX(0,(1-((1-Assumptions!$C$23)*$C$6)))</f>
        <v>0.55</v>
      </c>
      <c r="AC35" s="12" t="n">
        <f aca="false">MAX(0,(1-((1-Assumptions!$C$23)*$C$6)))</f>
        <v>0.55</v>
      </c>
      <c r="AD35" s="12" t="n">
        <f aca="false">MAX(0,(1-((1-Assumptions!$C$23)*$C$6)))</f>
        <v>0.55</v>
      </c>
      <c r="AE35" s="12" t="n">
        <f aca="false">MAX(0,(1-((1-Assumptions!$C$23)*$C$6)))</f>
        <v>0.55</v>
      </c>
      <c r="AF35" s="12" t="n">
        <f aca="false">MAX(0,(1-((1-Assumptions!$C$23)*$C$6)))</f>
        <v>0.55</v>
      </c>
      <c r="AG35" s="12" t="n">
        <f aca="false">MAX(0,(1-((1-Assumptions!$C$23)*$C$6)))</f>
        <v>0.55</v>
      </c>
      <c r="AH35" s="12" t="n">
        <f aca="false">MAX(0,(1-((1-Assumptions!$C$23)*$C$6)))</f>
        <v>0.55</v>
      </c>
      <c r="AI35" s="12" t="n">
        <f aca="false">MAX(0,(1-((1-Assumptions!$C$23)*$C$6)))</f>
        <v>0.55</v>
      </c>
      <c r="AJ35" s="12" t="n">
        <f aca="false">MAX(0,(1-((1-Assumptions!$C$23)*$C$6)))</f>
        <v>0.55</v>
      </c>
      <c r="AK35" s="12" t="n">
        <f aca="false">MAX(0,(1-((1-Assumptions!$C$23)*$C$6)))</f>
        <v>0.55</v>
      </c>
      <c r="AL35" s="12" t="n">
        <f aca="false">MAX(0,(1-((1-Assumptions!$C$23)*$C$6)))</f>
        <v>0.55</v>
      </c>
    </row>
    <row r="36" customFormat="false" ht="15" hidden="false" customHeight="false" outlineLevel="0" collapsed="false">
      <c r="A36" s="0" t="s">
        <v>841</v>
      </c>
      <c r="B36" s="0" t="s">
        <v>500</v>
      </c>
      <c r="C36" s="9" t="n">
        <f aca="false">(C35*0)</f>
        <v>0</v>
      </c>
      <c r="D36" s="9" t="n">
        <f aca="false">(D35*0)</f>
        <v>0</v>
      </c>
      <c r="E36" s="9" t="n">
        <f aca="false">(E35*0)</f>
        <v>0</v>
      </c>
      <c r="F36" s="9" t="n">
        <f aca="false">(F35*0)</f>
        <v>0</v>
      </c>
      <c r="G36" s="9" t="n">
        <f aca="false">(G35*0)</f>
        <v>0</v>
      </c>
      <c r="H36" s="9" t="n">
        <f aca="false">(H35*0)</f>
        <v>0</v>
      </c>
      <c r="I36" s="9" t="n">
        <f aca="false">(I35*0)</f>
        <v>0</v>
      </c>
      <c r="J36" s="9" t="n">
        <f aca="false">(J35*0)</f>
        <v>0</v>
      </c>
      <c r="K36" s="9" t="n">
        <f aca="false">(K35*0)</f>
        <v>0</v>
      </c>
      <c r="L36" s="9" t="n">
        <f aca="false">(L35*0)</f>
        <v>0</v>
      </c>
      <c r="M36" s="9" t="n">
        <f aca="false">(M35*0)</f>
        <v>0</v>
      </c>
      <c r="N36" s="9" t="n">
        <f aca="false">(N35*0)</f>
        <v>0</v>
      </c>
      <c r="O36" s="9" t="n">
        <f aca="false">(O35*C37)</f>
        <v>0</v>
      </c>
      <c r="P36" s="9" t="n">
        <f aca="false">(P35*D37)</f>
        <v>0</v>
      </c>
      <c r="Q36" s="9" t="n">
        <f aca="false">(Q35*E37)</f>
        <v>0</v>
      </c>
      <c r="R36" s="9" t="n">
        <f aca="false">(R35*F37)</f>
        <v>0</v>
      </c>
      <c r="S36" s="9" t="n">
        <f aca="false">(S35*G37)</f>
        <v>0</v>
      </c>
      <c r="T36" s="9" t="n">
        <f aca="false">(T35*H37)</f>
        <v>0</v>
      </c>
      <c r="U36" s="9" t="n">
        <f aca="false">(U35*I37)</f>
        <v>0</v>
      </c>
      <c r="V36" s="9" t="n">
        <f aca="false">(V35*J37)</f>
        <v>0</v>
      </c>
      <c r="W36" s="9" t="n">
        <f aca="false">(W35*K37)</f>
        <v>0</v>
      </c>
      <c r="X36" s="9" t="n">
        <f aca="false">(X35*L37)</f>
        <v>0</v>
      </c>
      <c r="Y36" s="9" t="n">
        <f aca="false">(Y35*M37)</f>
        <v>0</v>
      </c>
      <c r="Z36" s="9" t="n">
        <f aca="false">(Z35*N37)</f>
        <v>0</v>
      </c>
      <c r="AA36" s="9" t="n">
        <f aca="false">(AA35*O37)</f>
        <v>1.11759598998379</v>
      </c>
      <c r="AB36" s="9" t="n">
        <f aca="false">(AB35*P37)</f>
        <v>2.49531607567314</v>
      </c>
      <c r="AC36" s="9" t="n">
        <f aca="false">(AC35*Q37)</f>
        <v>3.56706037953005</v>
      </c>
      <c r="AD36" s="9" t="n">
        <f aca="false">(AD35*R37)</f>
        <v>4.35750512817104</v>
      </c>
      <c r="AE36" s="9" t="n">
        <f aca="false">(AE35*S37)</f>
        <v>4.9864327774712</v>
      </c>
      <c r="AF36" s="9" t="n">
        <f aca="false">(AF35*T37)</f>
        <v>5.36419294368185</v>
      </c>
      <c r="AG36" s="9" t="n">
        <f aca="false">(AG35*U37)</f>
        <v>5.61336439867157</v>
      </c>
      <c r="AH36" s="9" t="n">
        <f aca="false">(AH35*V37)</f>
        <v>6.07598835173444</v>
      </c>
      <c r="AI36" s="9" t="n">
        <f aca="false">(AI35*W37)</f>
        <v>7.55475043139244</v>
      </c>
      <c r="AJ36" s="9" t="n">
        <f aca="false">(AJ35*X37)</f>
        <v>9.16717366725906</v>
      </c>
      <c r="AK36" s="9" t="n">
        <f aca="false">(AK35*Y37)</f>
        <v>9.79245873040136</v>
      </c>
      <c r="AL36" s="9" t="n">
        <f aca="false">(AL35*Z37)</f>
        <v>10.1358461284627</v>
      </c>
      <c r="AN36" s="11" t="n">
        <f aca="false">SUM(C36:N36)</f>
        <v>0</v>
      </c>
      <c r="AO36" s="11" t="n">
        <f aca="false">SUM(O36:Z36)</f>
        <v>0</v>
      </c>
      <c r="AP36" s="11" t="n">
        <f aca="false">SUM(AA36:AL36)</f>
        <v>70.2276850024327</v>
      </c>
    </row>
    <row r="37" customFormat="false" ht="15" hidden="false" customHeight="false" outlineLevel="0" collapsed="false">
      <c r="A37" s="0" t="s">
        <v>842</v>
      </c>
      <c r="B37" s="0" t="s">
        <v>500</v>
      </c>
      <c r="C37" s="9" t="n">
        <f aca="false">(C33+C36)</f>
        <v>0</v>
      </c>
      <c r="D37" s="9" t="n">
        <f aca="false">(D33+D36)</f>
        <v>0</v>
      </c>
      <c r="E37" s="9" t="n">
        <f aca="false">(E33+E36)</f>
        <v>0</v>
      </c>
      <c r="F37" s="9" t="n">
        <f aca="false">(F33+F36)</f>
        <v>0</v>
      </c>
      <c r="G37" s="9" t="n">
        <f aca="false">(G33+G36)</f>
        <v>0</v>
      </c>
      <c r="H37" s="9" t="n">
        <f aca="false">(H33+H36)</f>
        <v>0</v>
      </c>
      <c r="I37" s="9" t="n">
        <f aca="false">(I33+I36)</f>
        <v>0</v>
      </c>
      <c r="J37" s="9" t="n">
        <f aca="false">(J33+J36)</f>
        <v>0</v>
      </c>
      <c r="K37" s="9" t="n">
        <f aca="false">(K33+K36)</f>
        <v>0</v>
      </c>
      <c r="L37" s="9" t="n">
        <f aca="false">(L33+L36)</f>
        <v>0</v>
      </c>
      <c r="M37" s="9" t="n">
        <f aca="false">(M33+M36)</f>
        <v>0</v>
      </c>
      <c r="N37" s="9" t="n">
        <f aca="false">(N33+N36)</f>
        <v>0</v>
      </c>
      <c r="O37" s="9" t="n">
        <f aca="false">(O33+O36)</f>
        <v>2.03199270906143</v>
      </c>
      <c r="P37" s="9" t="n">
        <f aca="false">(P33+P36)</f>
        <v>4.5369383194057</v>
      </c>
      <c r="Q37" s="9" t="n">
        <f aca="false">(Q33+Q36)</f>
        <v>6.48556432641828</v>
      </c>
      <c r="R37" s="9" t="n">
        <f aca="false">(R33+R36)</f>
        <v>7.92273659667462</v>
      </c>
      <c r="S37" s="9" t="n">
        <f aca="false">(S33+S36)</f>
        <v>9.066241413584</v>
      </c>
      <c r="T37" s="9" t="n">
        <f aca="false">(T33+T36)</f>
        <v>9.75307807942154</v>
      </c>
      <c r="U37" s="9" t="n">
        <f aca="false">(U33+U36)</f>
        <v>10.2061170884938</v>
      </c>
      <c r="V37" s="9" t="n">
        <f aca="false">(V33+V36)</f>
        <v>11.0472515486081</v>
      </c>
      <c r="W37" s="9" t="n">
        <f aca="false">(W33+W36)</f>
        <v>13.735909875259</v>
      </c>
      <c r="X37" s="9" t="n">
        <f aca="false">(X33+X36)</f>
        <v>16.6675884859256</v>
      </c>
      <c r="Y37" s="9" t="n">
        <f aca="false">(Y33+Y36)</f>
        <v>17.8044704189116</v>
      </c>
      <c r="Z37" s="9" t="n">
        <f aca="false">(Z33+Z36)</f>
        <v>18.4288111426595</v>
      </c>
      <c r="AA37" s="9" t="n">
        <f aca="false">(AA33+AA36)</f>
        <v>19.6871252330532</v>
      </c>
      <c r="AB37" s="9" t="n">
        <f aca="false">(AB33+AB36)</f>
        <v>23.1954026259327</v>
      </c>
      <c r="AC37" s="9" t="n">
        <f aca="false">(AC33+AC36)</f>
        <v>25.7014371204583</v>
      </c>
      <c r="AD37" s="9" t="n">
        <f aca="false">(AD33+AD36)</f>
        <v>27.2913837698012</v>
      </c>
      <c r="AE37" s="9" t="n">
        <f aca="false">(AE33+AE36)</f>
        <v>28.4097887323925</v>
      </c>
      <c r="AF37" s="9" t="n">
        <f aca="false">(AF33+AF36)</f>
        <v>28.7143560814227</v>
      </c>
      <c r="AG37" s="9" t="n">
        <f aca="false">(AG33+AG36)</f>
        <v>28.655588797439</v>
      </c>
      <c r="AH37" s="9" t="n">
        <f aca="false">(AH33+AH36)</f>
        <v>29.4689399738016</v>
      </c>
      <c r="AI37" s="9" t="n">
        <f aca="false">(AI33+AI36)</f>
        <v>34.0061733767906</v>
      </c>
      <c r="AJ37" s="9" t="n">
        <f aca="false">(AJ33+AJ36)</f>
        <v>39.0372685956135</v>
      </c>
      <c r="AK37" s="9" t="n">
        <f aca="false">(AK33+AK36)</f>
        <v>40.5948851598784</v>
      </c>
      <c r="AL37" s="9" t="n">
        <f aca="false">(AL33+AL36)</f>
        <v>41.1970396155862</v>
      </c>
      <c r="AN37" s="11" t="n">
        <f aca="false">SUM(C37:N37)</f>
        <v>0</v>
      </c>
      <c r="AO37" s="11" t="n">
        <f aca="false">SUM(O37:Z37)</f>
        <v>127.686700004423</v>
      </c>
      <c r="AP37" s="11" t="n">
        <f aca="false">SUM(AA37:AL37)</f>
        <v>365.95938908217</v>
      </c>
    </row>
    <row r="38" customFormat="false" ht="15" hidden="false" customHeight="false" outlineLevel="0" collapsed="false">
      <c r="A38" s="0" t="s">
        <v>843</v>
      </c>
      <c r="B38" s="0" t="s">
        <v>500</v>
      </c>
      <c r="C38" s="9" t="n">
        <f aca="false">C37</f>
        <v>0</v>
      </c>
      <c r="D38" s="9" t="n">
        <f aca="false">SUM(C37:D37)</f>
        <v>0</v>
      </c>
      <c r="E38" s="9" t="n">
        <f aca="false">SUM(C37:E37)</f>
        <v>0</v>
      </c>
      <c r="F38" s="9" t="n">
        <f aca="false">SUM(C37:F37)</f>
        <v>0</v>
      </c>
      <c r="G38" s="9" t="n">
        <f aca="false">SUM(C37:G37)</f>
        <v>0</v>
      </c>
      <c r="H38" s="9" t="n">
        <f aca="false">SUM(C37:H37)</f>
        <v>0</v>
      </c>
      <c r="I38" s="9" t="n">
        <f aca="false">SUM(C37:I37)</f>
        <v>0</v>
      </c>
      <c r="J38" s="9" t="n">
        <f aca="false">SUM(C37:J37)</f>
        <v>0</v>
      </c>
      <c r="K38" s="9" t="n">
        <f aca="false">SUM(C37:K37)</f>
        <v>0</v>
      </c>
      <c r="L38" s="9" t="n">
        <f aca="false">SUM(C37:L37)</f>
        <v>0</v>
      </c>
      <c r="M38" s="9" t="n">
        <f aca="false">SUM(C37:M37)</f>
        <v>0</v>
      </c>
      <c r="N38" s="9" t="n">
        <f aca="false">SUM(C37:N37)</f>
        <v>0</v>
      </c>
      <c r="O38" s="9" t="n">
        <f aca="false">SUM(D37:O37)</f>
        <v>2.03199270906143</v>
      </c>
      <c r="P38" s="9" t="n">
        <f aca="false">SUM(E37:P37)</f>
        <v>6.56893102846713</v>
      </c>
      <c r="Q38" s="9" t="n">
        <f aca="false">SUM(F37:Q37)</f>
        <v>13.0544953548854</v>
      </c>
      <c r="R38" s="9" t="n">
        <f aca="false">SUM(G37:R37)</f>
        <v>20.97723195156</v>
      </c>
      <c r="S38" s="9" t="n">
        <f aca="false">SUM(H37:S37)</f>
        <v>30.043473365144</v>
      </c>
      <c r="T38" s="9" t="n">
        <f aca="false">SUM(I37:T37)</f>
        <v>39.7965514445656</v>
      </c>
      <c r="U38" s="9" t="n">
        <f aca="false">SUM(J37:U37)</f>
        <v>50.0026685330593</v>
      </c>
      <c r="V38" s="9" t="n">
        <f aca="false">SUM(K37:V37)</f>
        <v>61.0499200816674</v>
      </c>
      <c r="W38" s="9" t="n">
        <f aca="false">SUM(L37:W37)</f>
        <v>74.7858299569264</v>
      </c>
      <c r="X38" s="9" t="n">
        <f aca="false">SUM(M37:X37)</f>
        <v>91.4534184428519</v>
      </c>
      <c r="Y38" s="9" t="n">
        <f aca="false">SUM(N37:Y37)</f>
        <v>109.257888861763</v>
      </c>
      <c r="Z38" s="9" t="n">
        <f aca="false">SUM(O37:Z37)</f>
        <v>127.686700004423</v>
      </c>
      <c r="AA38" s="9" t="n">
        <f aca="false">SUM(P37:AA37)</f>
        <v>145.341832528415</v>
      </c>
      <c r="AB38" s="9" t="n">
        <f aca="false">SUM(Q37:AB37)</f>
        <v>164.000296834942</v>
      </c>
      <c r="AC38" s="9" t="n">
        <f aca="false">SUM(R37:AC37)</f>
        <v>183.216169628982</v>
      </c>
      <c r="AD38" s="9" t="n">
        <f aca="false">SUM(S37:AD37)</f>
        <v>202.584816802108</v>
      </c>
      <c r="AE38" s="9" t="n">
        <f aca="false">SUM(T37:AE37)</f>
        <v>221.928364120917</v>
      </c>
      <c r="AF38" s="9" t="n">
        <f aca="false">SUM(U37:AF37)</f>
        <v>240.889642122918</v>
      </c>
      <c r="AG38" s="9" t="n">
        <f aca="false">SUM(V37:AG37)</f>
        <v>259.339113831863</v>
      </c>
      <c r="AH38" s="9" t="n">
        <f aca="false">SUM(W37:AH37)</f>
        <v>277.760802257057</v>
      </c>
      <c r="AI38" s="9" t="n">
        <f aca="false">SUM(X37:AI37)</f>
        <v>298.031065758588</v>
      </c>
      <c r="AJ38" s="9" t="n">
        <f aca="false">SUM(Y37:AJ37)</f>
        <v>320.400745868276</v>
      </c>
      <c r="AK38" s="9" t="n">
        <f aca="false">SUM(Z37:AK37)</f>
        <v>343.191160609243</v>
      </c>
      <c r="AL38" s="9" t="n">
        <f aca="false">SUM(AA37:AL37)</f>
        <v>365.95938908217</v>
      </c>
      <c r="AN38" s="11" t="n">
        <f aca="false">N38</f>
        <v>0</v>
      </c>
      <c r="AO38" s="11" t="n">
        <f aca="false">Z38</f>
        <v>127.686700004423</v>
      </c>
      <c r="AP38" s="11" t="n">
        <f aca="false">AL38</f>
        <v>365.95938908217</v>
      </c>
    </row>
    <row r="39" customFormat="false" ht="15" hidden="false" customHeight="false" outlineLevel="0" collapsed="false">
      <c r="A39" s="0" t="s">
        <v>844</v>
      </c>
      <c r="B39" s="0" t="s">
        <v>500</v>
      </c>
      <c r="C39" s="9" t="n">
        <f aca="false">(C34+C38)</f>
        <v>0</v>
      </c>
      <c r="D39" s="9" t="n">
        <f aca="false">(D34+D38)</f>
        <v>0</v>
      </c>
      <c r="E39" s="9" t="n">
        <f aca="false">(E34+E38)</f>
        <v>0</v>
      </c>
      <c r="F39" s="9" t="n">
        <f aca="false">(F34+F38)</f>
        <v>0</v>
      </c>
      <c r="G39" s="9" t="n">
        <f aca="false">(G34+G38)</f>
        <v>0</v>
      </c>
      <c r="H39" s="9" t="n">
        <f aca="false">(H34+H38)</f>
        <v>0</v>
      </c>
      <c r="I39" s="9" t="n">
        <f aca="false">(I34+I38)</f>
        <v>0</v>
      </c>
      <c r="J39" s="9" t="n">
        <f aca="false">(J34+J38)</f>
        <v>0</v>
      </c>
      <c r="K39" s="9" t="n">
        <f aca="false">(K34+K38)</f>
        <v>0</v>
      </c>
      <c r="L39" s="9" t="n">
        <f aca="false">(L34+L38)</f>
        <v>0</v>
      </c>
      <c r="M39" s="9" t="n">
        <f aca="false">(M34+M38)</f>
        <v>0</v>
      </c>
      <c r="N39" s="9" t="n">
        <f aca="false">(N34+N38)</f>
        <v>0</v>
      </c>
      <c r="O39" s="9" t="n">
        <f aca="false">(O34+O38)</f>
        <v>4.51553935346985</v>
      </c>
      <c r="P39" s="9" t="n">
        <f aca="false">(P34+P38)</f>
        <v>14.4734471754843</v>
      </c>
      <c r="Q39" s="9" t="n">
        <f aca="false">(Q34+Q38)</f>
        <v>28.0163155691308</v>
      </c>
      <c r="R39" s="9" t="n">
        <f aca="false">(R34+R38)</f>
        <v>43.9765966715074</v>
      </c>
      <c r="S39" s="9" t="n">
        <f aca="false">(S34+S38)</f>
        <v>61.593869693611</v>
      </c>
      <c r="T39" s="9" t="n">
        <f aca="false">(T34+T38)</f>
        <v>81.6898567203466</v>
      </c>
      <c r="U39" s="9" t="n">
        <f aca="false">(U34+U38)</f>
        <v>102.27545165321</v>
      </c>
      <c r="V39" s="9" t="n">
        <f aca="false">(V34+V38)</f>
        <v>124.211260382999</v>
      </c>
      <c r="W39" s="9" t="n">
        <f aca="false">(W34+W38)</f>
        <v>151.577437535174</v>
      </c>
      <c r="X39" s="9" t="n">
        <f aca="false">(X34+X38)</f>
        <v>184.776942680541</v>
      </c>
      <c r="Y39" s="9" t="n">
        <f aca="false">(Y34+Y38)</f>
        <v>219.67625628846</v>
      </c>
      <c r="Z39" s="9" t="n">
        <f aca="false">(Z34+Z38)</f>
        <v>255.10825156748</v>
      </c>
      <c r="AA39" s="9" t="n">
        <f aca="false">(AA34+AA38)</f>
        <v>289.088397810403</v>
      </c>
      <c r="AB39" s="9" t="n">
        <f aca="false">(AB34+AB38)</f>
        <v>325.859639636481</v>
      </c>
      <c r="AC39" s="9" t="n">
        <f aca="false">(AC34+AC38)</f>
        <v>364.035672418246</v>
      </c>
      <c r="AD39" s="9" t="n">
        <f aca="false">(AD34+AD38)</f>
        <v>402.393640569457</v>
      </c>
      <c r="AE39" s="9" t="n">
        <f aca="false">(AE34+AE38)</f>
        <v>440.375292867024</v>
      </c>
      <c r="AF39" s="9" t="n">
        <f aca="false">(AF34+AF38)</f>
        <v>476.953312711181</v>
      </c>
      <c r="AG39" s="9" t="n">
        <f aca="false">(AG34+AG38)</f>
        <v>511.762319600317</v>
      </c>
      <c r="AH39" s="9" t="n">
        <f aca="false">(AH34+AH38)</f>
        <v>546.154233052948</v>
      </c>
      <c r="AI39" s="9" t="n">
        <f aca="false">(AI34+AI38)</f>
        <v>585.334341947949</v>
      </c>
      <c r="AJ39" s="9" t="n">
        <f aca="false">(AJ34+AJ38)</f>
        <v>629.846752049491</v>
      </c>
      <c r="AK39" s="9" t="n">
        <f aca="false">(AK34+AK38)</f>
        <v>674.812276561869</v>
      </c>
      <c r="AL39" s="9" t="n">
        <f aca="false">(AL34+AL38)</f>
        <v>718.963130165871</v>
      </c>
      <c r="AN39" s="11" t="n">
        <f aca="false">N39</f>
        <v>0</v>
      </c>
      <c r="AO39" s="11" t="n">
        <f aca="false">Z39</f>
        <v>255.10825156748</v>
      </c>
      <c r="AP39" s="11" t="n">
        <f aca="false">AL39</f>
        <v>718.963130165871</v>
      </c>
    </row>
    <row r="40" customFormat="false" ht="15" hidden="false" customHeight="false" outlineLevel="0" collapsed="false">
      <c r="A40" s="0" t="s">
        <v>845</v>
      </c>
      <c r="B40" s="0" t="s">
        <v>500</v>
      </c>
      <c r="C40" s="9" t="n">
        <f aca="false">((0+C28)-C39)</f>
        <v>0</v>
      </c>
      <c r="D40" s="9" t="n">
        <f aca="false">((C39+D28)-D39)</f>
        <v>0</v>
      </c>
      <c r="E40" s="9" t="n">
        <f aca="false">((D39+E28)-E39)</f>
        <v>0</v>
      </c>
      <c r="F40" s="9" t="n">
        <f aca="false">((E39+F28)-F39)</f>
        <v>0</v>
      </c>
      <c r="G40" s="9" t="n">
        <f aca="false">((F39+G28)-G39)</f>
        <v>0</v>
      </c>
      <c r="H40" s="9" t="n">
        <f aca="false">((G39+H28)-H39)</f>
        <v>0</v>
      </c>
      <c r="I40" s="9" t="n">
        <f aca="false">((H39+I28)-I39)</f>
        <v>0</v>
      </c>
      <c r="J40" s="9" t="n">
        <f aca="false">((I39+J28)-J39)</f>
        <v>0</v>
      </c>
      <c r="K40" s="9" t="n">
        <f aca="false">((J39+K28)-K39)</f>
        <v>0</v>
      </c>
      <c r="L40" s="9" t="n">
        <f aca="false">((K39+L28)-L39)</f>
        <v>0</v>
      </c>
      <c r="M40" s="9" t="n">
        <f aca="false">((L39+M28)-M39)</f>
        <v>0</v>
      </c>
      <c r="N40" s="9" t="n">
        <f aca="false">((M39+N28)-N39)</f>
        <v>0</v>
      </c>
      <c r="O40" s="9" t="n">
        <f aca="false">((N39+O28)-O39)</f>
        <v>0</v>
      </c>
      <c r="P40" s="9" t="n">
        <f aca="false">((O39+P28)-P39)</f>
        <v>0.12417733222042</v>
      </c>
      <c r="Q40" s="9" t="n">
        <f aca="false">((P39+Q28)-Q39)</f>
        <v>0.869496776171889</v>
      </c>
      <c r="R40" s="9" t="n">
        <f aca="false">((Q39+R28)-R39)</f>
        <v>1.64580022356699</v>
      </c>
      <c r="S40" s="9" t="n">
        <f aca="false">((R39+S28)-S39)</f>
        <v>2.52993011919422</v>
      </c>
      <c r="T40" s="9" t="n">
        <f aca="false">((S39+T28)-T39)</f>
        <v>1.57751981642335</v>
      </c>
      <c r="U40" s="9" t="n">
        <f aca="false">((T39+U28)-U39)</f>
        <v>2.09466526378904</v>
      </c>
      <c r="V40" s="9" t="n">
        <f aca="false">((U39+V28)-V39)</f>
        <v>2.61363915600757</v>
      </c>
      <c r="W40" s="9" t="n">
        <f aca="false">((V39+W28)-W39)</f>
        <v>3.15806701506654</v>
      </c>
      <c r="X40" s="9" t="n">
        <f aca="false">((W39+X28)-X39)</f>
        <v>3.83958037891239</v>
      </c>
      <c r="Y40" s="9" t="n">
        <f aca="false">((X39+Y28)-Y39)</f>
        <v>4.66617621188445</v>
      </c>
      <c r="Z40" s="9" t="n">
        <f aca="false">((Y39+Z28)-Z39)</f>
        <v>5.5209183713348</v>
      </c>
      <c r="AA40" s="9" t="n">
        <f aca="false">((Z39+AA28)-AA39)</f>
        <v>7.28547429723051</v>
      </c>
      <c r="AB40" s="9" t="n">
        <f aca="false">((AA39+AB28)-AB39)</f>
        <v>9.22895050783194</v>
      </c>
      <c r="AC40" s="9" t="n">
        <f aca="false">((AB39+AC28)-AC39)</f>
        <v>11.0114710869652</v>
      </c>
      <c r="AD40" s="9" t="n">
        <f aca="false">((AC39+AD28)-AD39)</f>
        <v>12.6062066079668</v>
      </c>
      <c r="AE40" s="9" t="n">
        <f aca="false">((AD39+AE28)-AE39)</f>
        <v>14.0702498244802</v>
      </c>
      <c r="AF40" s="9" t="n">
        <f aca="false">((AE39+AF28)-AF39)</f>
        <v>15.3112315730451</v>
      </c>
      <c r="AG40" s="9" t="n">
        <f aca="false">((AF39+AG28)-AG39)</f>
        <v>16.3959362192354</v>
      </c>
      <c r="AH40" s="9" t="n">
        <f aca="false">((AG39+AH28)-AH39)</f>
        <v>17.5924234852963</v>
      </c>
      <c r="AI40" s="9" t="n">
        <f aca="false">((AH39+AI28)-AI39)</f>
        <v>19.6008309836611</v>
      </c>
      <c r="AJ40" s="9" t="n">
        <f aca="false">((AI39+AJ28)-AJ39)</f>
        <v>21.8655786281346</v>
      </c>
      <c r="AK40" s="9" t="n">
        <f aca="false">((AJ39+AK28)-AK39)</f>
        <v>23.484311997571</v>
      </c>
      <c r="AL40" s="9" t="n">
        <f aca="false">((AK39+AL28)-AL39)</f>
        <v>24.8740208118281</v>
      </c>
      <c r="AN40" s="11" t="n">
        <f aca="false">SUM(C40:N40)</f>
        <v>0</v>
      </c>
      <c r="AO40" s="11" t="n">
        <f aca="false">SUM(O40:Z40)</f>
        <v>28.6399706645716</v>
      </c>
      <c r="AP40" s="11" t="n">
        <f aca="false">SUM(AA40:AL40)</f>
        <v>193.326686023246</v>
      </c>
    </row>
    <row r="41" customFormat="false" ht="15" hidden="false" customHeight="false" outlineLevel="0" collapsed="false">
      <c r="A41" s="0" t="s">
        <v>846</v>
      </c>
      <c r="B41" s="0" t="s">
        <v>230</v>
      </c>
      <c r="C41" s="9" t="n">
        <f aca="false">((((Assumptions!$C$12*(1-Assumptions!$C$14))*C34)+((Assumptions!$C$13*(1-Assumptions!$C$14))*C37))*(1-Assumptions!$C$15))</f>
        <v>0</v>
      </c>
      <c r="D41" s="9" t="n">
        <f aca="false">((((Assumptions!$C$12*(1-Assumptions!$C$14))*D34)+((Assumptions!$C$13*(1-Assumptions!$C$14))*D37))*(1-Assumptions!$C$15))</f>
        <v>0</v>
      </c>
      <c r="E41" s="9" t="n">
        <f aca="false">((((Assumptions!$C$12*(1-Assumptions!$C$14))*E34)+((Assumptions!$C$13*(1-Assumptions!$C$14))*E37))*(1-Assumptions!$C$15))</f>
        <v>0</v>
      </c>
      <c r="F41" s="9" t="n">
        <f aca="false">((((Assumptions!$C$12*(1-Assumptions!$C$14))*F34)+((Assumptions!$C$13*(1-Assumptions!$C$14))*F37))*(1-Assumptions!$C$15))</f>
        <v>0</v>
      </c>
      <c r="G41" s="9" t="n">
        <f aca="false">((((Assumptions!$C$12*(1-Assumptions!$C$14))*G34)+((Assumptions!$C$13*(1-Assumptions!$C$14))*G37))*(1-Assumptions!$C$15))</f>
        <v>0</v>
      </c>
      <c r="H41" s="9" t="n">
        <f aca="false">((((Assumptions!$C$12*(1-Assumptions!$C$14))*H34)+((Assumptions!$C$13*(1-Assumptions!$C$14))*H37))*(1-Assumptions!$C$15))</f>
        <v>0</v>
      </c>
      <c r="I41" s="9" t="n">
        <f aca="false">((((Assumptions!$C$12*(1-Assumptions!$C$14))*I34)+((Assumptions!$C$13*(1-Assumptions!$C$14))*I37))*(1-Assumptions!$C$15))</f>
        <v>0</v>
      </c>
      <c r="J41" s="9" t="n">
        <f aca="false">((((Assumptions!$C$12*(1-Assumptions!$C$14))*J34)+((Assumptions!$C$13*(1-Assumptions!$C$14))*J37))*(1-Assumptions!$C$15))</f>
        <v>0</v>
      </c>
      <c r="K41" s="9" t="n">
        <f aca="false">((((Assumptions!$C$12*(1-Assumptions!$C$14))*K34)+((Assumptions!$C$13*(1-Assumptions!$C$14))*K37))*(1-Assumptions!$C$15))</f>
        <v>0</v>
      </c>
      <c r="L41" s="9" t="n">
        <f aca="false">((((Assumptions!$C$12*(1-Assumptions!$C$14))*L34)+((Assumptions!$C$13*(1-Assumptions!$C$14))*L37))*(1-Assumptions!$C$15))</f>
        <v>0</v>
      </c>
      <c r="M41" s="9" t="n">
        <f aca="false">((((Assumptions!$C$12*(1-Assumptions!$C$14))*M34)+((Assumptions!$C$13*(1-Assumptions!$C$14))*M37))*(1-Assumptions!$C$15))</f>
        <v>0</v>
      </c>
      <c r="N41" s="9" t="n">
        <f aca="false">((((Assumptions!$C$12*(1-Assumptions!$C$14))*N34)+((Assumptions!$C$13*(1-Assumptions!$C$14))*N37))*(1-Assumptions!$C$15))</f>
        <v>0</v>
      </c>
      <c r="O41" s="9" t="n">
        <f aca="false">((((Assumptions!$C$12*(1-Assumptions!$C$14))*O34)+((Assumptions!$C$13*(1-Assumptions!$C$14))*O37))*(1-Assumptions!$C$15))</f>
        <v>121.607982877657</v>
      </c>
      <c r="P41" s="9" t="n">
        <f aca="false">((((Assumptions!$C$12*(1-Assumptions!$C$14))*P34)+((Assumptions!$C$13*(1-Assumptions!$C$14))*P37))*(1-Assumptions!$C$15))</f>
        <v>287.926957961313</v>
      </c>
      <c r="Q41" s="9" t="n">
        <f aca="false">((((Assumptions!$C$12*(1-Assumptions!$C$14))*Q34)+((Assumptions!$C$13*(1-Assumptions!$C$14))*Q37))*(1-Assumptions!$C$15))</f>
        <v>437.058775701966</v>
      </c>
      <c r="R41" s="9" t="n">
        <f aca="false">((((Assumptions!$C$12*(1-Assumptions!$C$14))*R34)+((Assumptions!$C$13*(1-Assumptions!$C$14))*R37))*(1-Assumptions!$C$15))</f>
        <v>566.744915400073</v>
      </c>
      <c r="S41" s="9" t="n">
        <f aca="false">((((Assumptions!$C$12*(1-Assumptions!$C$14))*S34)+((Assumptions!$C$13*(1-Assumptions!$C$14))*S37))*(1-Assumptions!$C$15))</f>
        <v>684.922540530359</v>
      </c>
      <c r="T41" s="9" t="n">
        <f aca="false">((((Assumptions!$C$12*(1-Assumptions!$C$14))*T34)+((Assumptions!$C$13*(1-Assumptions!$C$14))*T37))*(1-Assumptions!$C$15))</f>
        <v>792.111478514996</v>
      </c>
      <c r="U41" s="9" t="n">
        <f aca="false">((((Assumptions!$C$12*(1-Assumptions!$C$14))*U34)+((Assumptions!$C$13*(1-Assumptions!$C$14))*U37))*(1-Assumptions!$C$15))</f>
        <v>887.549733589096</v>
      </c>
      <c r="V41" s="9" t="n">
        <f aca="false">((((Assumptions!$C$12*(1-Assumptions!$C$14))*V34)+((Assumptions!$C$13*(1-Assumptions!$C$14))*V37))*(1-Assumptions!$C$15))</f>
        <v>1006.45578091181</v>
      </c>
      <c r="W41" s="9" t="n">
        <f aca="false">((((Assumptions!$C$12*(1-Assumptions!$C$14))*W34)+((Assumptions!$C$13*(1-Assumptions!$C$14))*W37))*(1-Assumptions!$C$15))</f>
        <v>1239.29295074387</v>
      </c>
      <c r="X41" s="9" t="n">
        <f aca="false">((((Assumptions!$C$12*(1-Assumptions!$C$14))*X34)+((Assumptions!$C$13*(1-Assumptions!$C$14))*X37))*(1-Assumptions!$C$15))</f>
        <v>1504.7858438198</v>
      </c>
      <c r="Y41" s="9" t="n">
        <f aca="false">((((Assumptions!$C$12*(1-Assumptions!$C$14))*Y34)+((Assumptions!$C$13*(1-Assumptions!$C$14))*Y37))*(1-Assumptions!$C$15))</f>
        <v>1682.03447604906</v>
      </c>
      <c r="Z41" s="9" t="n">
        <f aca="false">((((Assumptions!$C$12*(1-Assumptions!$C$14))*Z34)+((Assumptions!$C$13*(1-Assumptions!$C$14))*Z37))*(1-Assumptions!$C$15))</f>
        <v>1832.32792674931</v>
      </c>
      <c r="AA41" s="9" t="n">
        <f aca="false">((((Assumptions!$C$12*(1-Assumptions!$C$14))*AA34)+((Assumptions!$C$13*(1-Assumptions!$C$14))*AA37))*(1-Assumptions!$C$15))</f>
        <v>2010.45866009091</v>
      </c>
      <c r="AB41" s="9" t="n">
        <f aca="false">((((Assumptions!$C$12*(1-Assumptions!$C$14))*AB34)+((Assumptions!$C$13*(1-Assumptions!$C$14))*AB37))*(1-Assumptions!$C$15))</f>
        <v>2316.55140187664</v>
      </c>
      <c r="AC41" s="9" t="n">
        <f aca="false">((((Assumptions!$C$12*(1-Assumptions!$C$14))*AC34)+((Assumptions!$C$13*(1-Assumptions!$C$14))*AC37))*(1-Assumptions!$C$15))</f>
        <v>2577.07371691735</v>
      </c>
      <c r="AD41" s="9" t="n">
        <f aca="false">((((Assumptions!$C$12*(1-Assumptions!$C$14))*AD34)+((Assumptions!$C$13*(1-Assumptions!$C$14))*AD37))*(1-Assumptions!$C$15))</f>
        <v>2790.75980480116</v>
      </c>
      <c r="AE41" s="9" t="n">
        <f aca="false">((((Assumptions!$C$12*(1-Assumptions!$C$14))*AE34)+((Assumptions!$C$13*(1-Assumptions!$C$14))*AE37))*(1-Assumptions!$C$15))</f>
        <v>2977.79106197529</v>
      </c>
      <c r="AF41" s="9" t="n">
        <f aca="false">((((Assumptions!$C$12*(1-Assumptions!$C$14))*AF34)+((Assumptions!$C$13*(1-Assumptions!$C$14))*AF37))*(1-Assumptions!$C$15))</f>
        <v>3115.93137974066</v>
      </c>
      <c r="AG41" s="9" t="n">
        <f aca="false">((((Assumptions!$C$12*(1-Assumptions!$C$14))*AG34)+((Assumptions!$C$13*(1-Assumptions!$C$14))*AG37))*(1-Assumptions!$C$15))</f>
        <v>3226.67306557674</v>
      </c>
      <c r="AH41" s="9" t="n">
        <f aca="false">((((Assumptions!$C$12*(1-Assumptions!$C$14))*AH34)+((Assumptions!$C$13*(1-Assumptions!$C$14))*AH37))*(1-Assumptions!$C$15))</f>
        <v>3379.48888363787</v>
      </c>
      <c r="AI41" s="9" t="n">
        <f aca="false">((((Assumptions!$C$12*(1-Assumptions!$C$14))*AI34)+((Assumptions!$C$13*(1-Assumptions!$C$14))*AI37))*(1-Assumptions!$C$15))</f>
        <v>3743.95871842756</v>
      </c>
      <c r="AJ41" s="9" t="n">
        <f aca="false">((((Assumptions!$C$12*(1-Assumptions!$C$14))*AJ34)+((Assumptions!$C$13*(1-Assumptions!$C$14))*AJ37))*(1-Assumptions!$C$15))</f>
        <v>4156.26772151128</v>
      </c>
      <c r="AK41" s="9" t="n">
        <f aca="false">((((Assumptions!$C$12*(1-Assumptions!$C$14))*AK34)+((Assumptions!$C$13*(1-Assumptions!$C$14))*AK37))*(1-Assumptions!$C$15))</f>
        <v>4390.44674386032</v>
      </c>
      <c r="AL41" s="9" t="n">
        <f aca="false">((((Assumptions!$C$12*(1-Assumptions!$C$14))*AL34)+((Assumptions!$C$13*(1-Assumptions!$C$14))*AL37))*(1-Assumptions!$C$15))</f>
        <v>4570.05428643174</v>
      </c>
      <c r="AN41" s="11" t="n">
        <f aca="false">SUM(C41:N41)</f>
        <v>0</v>
      </c>
      <c r="AO41" s="11" t="n">
        <f aca="false">SUM(O41:Z41)</f>
        <v>11042.8193628493</v>
      </c>
      <c r="AP41" s="11" t="n">
        <f aca="false">SUM(AA41:AL41)</f>
        <v>39255.4554448475</v>
      </c>
    </row>
    <row r="42" customFormat="false" ht="15" hidden="false" customHeight="false" outlineLevel="0" collapsed="false">
      <c r="A42" s="0" t="s">
        <v>847</v>
      </c>
      <c r="B42" s="0" t="s">
        <v>230</v>
      </c>
      <c r="C42" s="9" t="n">
        <f aca="false">((((Assumptions!$C$12*(1-Assumptions!$C$14))*C34)+(((Assumptions!$C$13*(1-Assumptions!$C$14))/12)*C38))*(1-Assumptions!$C$15))</f>
        <v>0</v>
      </c>
      <c r="D42" s="9" t="n">
        <f aca="false">((((Assumptions!$C$12*(1-Assumptions!$C$14))*D34)+(((Assumptions!$C$13*(1-Assumptions!$C$14))/12)*D38))*(1-Assumptions!$C$15))</f>
        <v>0</v>
      </c>
      <c r="E42" s="9" t="n">
        <f aca="false">((((Assumptions!$C$12*(1-Assumptions!$C$14))*E34)+(((Assumptions!$C$13*(1-Assumptions!$C$14))/12)*E38))*(1-Assumptions!$C$15))</f>
        <v>0</v>
      </c>
      <c r="F42" s="9" t="n">
        <f aca="false">((((Assumptions!$C$12*(1-Assumptions!$C$14))*F34)+(((Assumptions!$C$13*(1-Assumptions!$C$14))/12)*F38))*(1-Assumptions!$C$15))</f>
        <v>0</v>
      </c>
      <c r="G42" s="9" t="n">
        <f aca="false">((((Assumptions!$C$12*(1-Assumptions!$C$14))*G34)+(((Assumptions!$C$13*(1-Assumptions!$C$14))/12)*G38))*(1-Assumptions!$C$15))</f>
        <v>0</v>
      </c>
      <c r="H42" s="9" t="n">
        <f aca="false">((((Assumptions!$C$12*(1-Assumptions!$C$14))*H34)+(((Assumptions!$C$13*(1-Assumptions!$C$14))/12)*H38))*(1-Assumptions!$C$15))</f>
        <v>0</v>
      </c>
      <c r="I42" s="9" t="n">
        <f aca="false">((((Assumptions!$C$12*(1-Assumptions!$C$14))*I34)+(((Assumptions!$C$13*(1-Assumptions!$C$14))/12)*I38))*(1-Assumptions!$C$15))</f>
        <v>0</v>
      </c>
      <c r="J42" s="9" t="n">
        <f aca="false">((((Assumptions!$C$12*(1-Assumptions!$C$14))*J34)+(((Assumptions!$C$13*(1-Assumptions!$C$14))/12)*J38))*(1-Assumptions!$C$15))</f>
        <v>0</v>
      </c>
      <c r="K42" s="9" t="n">
        <f aca="false">((((Assumptions!$C$12*(1-Assumptions!$C$14))*K34)+(((Assumptions!$C$13*(1-Assumptions!$C$14))/12)*K38))*(1-Assumptions!$C$15))</f>
        <v>0</v>
      </c>
      <c r="L42" s="9" t="n">
        <f aca="false">((((Assumptions!$C$12*(1-Assumptions!$C$14))*L34)+(((Assumptions!$C$13*(1-Assumptions!$C$14))/12)*L38))*(1-Assumptions!$C$15))</f>
        <v>0</v>
      </c>
      <c r="M42" s="9" t="n">
        <f aca="false">((((Assumptions!$C$12*(1-Assumptions!$C$14))*M34)+(((Assumptions!$C$13*(1-Assumptions!$C$14))/12)*M38))*(1-Assumptions!$C$15))</f>
        <v>0</v>
      </c>
      <c r="N42" s="9" t="n">
        <f aca="false">((((Assumptions!$C$12*(1-Assumptions!$C$14))*N34)+(((Assumptions!$C$13*(1-Assumptions!$C$14))/12)*N38))*(1-Assumptions!$C$15))</f>
        <v>0</v>
      </c>
      <c r="O42" s="9" t="n">
        <f aca="false">((((Assumptions!$C$12*(1-Assumptions!$C$14))*O34)+(((Assumptions!$C$13*(1-Assumptions!$C$14))/12)*O38))*(1-Assumptions!$C$15))</f>
        <v>25.964676852839</v>
      </c>
      <c r="P42" s="9" t="n">
        <f aca="false">((((Assumptions!$C$12*(1-Assumptions!$C$14))*P34)+(((Assumptions!$C$13*(1-Assumptions!$C$14))/12)*P38))*(1-Assumptions!$C$15))</f>
        <v>83.0739018655001</v>
      </c>
      <c r="Q42" s="9" t="n">
        <f aca="false">((((Assumptions!$C$12*(1-Assumptions!$C$14))*Q34)+(((Assumptions!$C$13*(1-Assumptions!$C$14))/12)*Q38))*(1-Assumptions!$C$15))</f>
        <v>159.899823599509</v>
      </c>
      <c r="R42" s="9" t="n">
        <f aca="false">((((Assumptions!$C$12*(1-Assumptions!$C$14))*R34)+(((Assumptions!$C$13*(1-Assumptions!$C$14))/12)*R38))*(1-Assumptions!$C$15))</f>
        <v>249.691664544931</v>
      </c>
      <c r="S42" s="9" t="n">
        <f aca="false">((((Assumptions!$C$12*(1-Assumptions!$C$14))*S34)+(((Assumptions!$C$13*(1-Assumptions!$C$14))/12)*S38))*(1-Assumptions!$C$15))</f>
        <v>347.947167740689</v>
      </c>
      <c r="T42" s="9" t="n">
        <f aca="false">((((Assumptions!$C$12*(1-Assumptions!$C$14))*T34)+(((Assumptions!$C$13*(1-Assumptions!$C$14))/12)*T38))*(1-Assumptions!$C$15))</f>
        <v>461.601799933793</v>
      </c>
      <c r="U42" s="9" t="n">
        <f aca="false">((((Assumptions!$C$12*(1-Assumptions!$C$14))*U34)+(((Assumptions!$C$13*(1-Assumptions!$C$14))/12)*U38))*(1-Assumptions!$C$15))</f>
        <v>577.449263750493</v>
      </c>
      <c r="V42" s="9" t="n">
        <f aca="false">((((Assumptions!$C$12*(1-Assumptions!$C$14))*V34)+(((Assumptions!$C$13*(1-Assumptions!$C$14))/12)*V38))*(1-Assumptions!$C$15))</f>
        <v>700.435904350798</v>
      </c>
      <c r="W42" s="9" t="n">
        <f aca="false">((((Assumptions!$C$12*(1-Assumptions!$C$14))*W34)+(((Assumptions!$C$13*(1-Assumptions!$C$14))/12)*W38))*(1-Assumptions!$C$15))</f>
        <v>853.992267981978</v>
      </c>
      <c r="X42" s="9" t="n">
        <f aca="false">((((Assumptions!$C$12*(1-Assumptions!$C$14))*X34)+(((Assumptions!$C$13*(1-Assumptions!$C$14))/12)*X38))*(1-Assumptions!$C$15))</f>
        <v>1040.27040170255</v>
      </c>
      <c r="Y42" s="9" t="n">
        <f aca="false">((((Assumptions!$C$12*(1-Assumptions!$C$14))*Y34)+(((Assumptions!$C$13*(1-Assumptions!$C$14))/12)*Y38))*(1-Assumptions!$C$15))</f>
        <v>1235.32764531218</v>
      </c>
      <c r="Z42" s="9" t="n">
        <f aca="false">((((Assumptions!$C$12*(1-Assumptions!$C$14))*Z34)+(((Assumptions!$C$13*(1-Assumptions!$C$14))/12)*Z38))*(1-Assumptions!$C$15))</f>
        <v>1432.4190579908</v>
      </c>
      <c r="AA42" s="9" t="n">
        <f aca="false">((((Assumptions!$C$12*(1-Assumptions!$C$14))*AA34)+(((Assumptions!$C$13*(1-Assumptions!$C$14))/12)*AA38))*(1-Assumptions!$C$15))</f>
        <v>1621.48412760494</v>
      </c>
      <c r="AB42" s="9" t="n">
        <f aca="false">((((Assumptions!$C$12*(1-Assumptions!$C$14))*AB34)+(((Assumptions!$C$13*(1-Assumptions!$C$14))/12)*AB38))*(1-Assumptions!$C$15))</f>
        <v>1827.27399661033</v>
      </c>
      <c r="AC42" s="9" t="n">
        <f aca="false">((((Assumptions!$C$12*(1-Assumptions!$C$14))*AC34)+(((Assumptions!$C$13*(1-Assumptions!$C$14))/12)*AC38))*(1-Assumptions!$C$15))</f>
        <v>2041.34144352537</v>
      </c>
      <c r="AD42" s="9" t="n">
        <f aca="false">((((Assumptions!$C$12*(1-Assumptions!$C$14))*AD34)+(((Assumptions!$C$13*(1-Assumptions!$C$14))/12)*AD38))*(1-Assumptions!$C$15))</f>
        <v>2256.26538488034</v>
      </c>
      <c r="AE42" s="9" t="n">
        <f aca="false">((((Assumptions!$C$12*(1-Assumptions!$C$14))*AE34)+(((Assumptions!$C$13*(1-Assumptions!$C$14))/12)*AE38))*(1-Assumptions!$C$15))</f>
        <v>2468.63967494532</v>
      </c>
      <c r="AF42" s="9" t="n">
        <f aca="false">((((Assumptions!$C$12*(1-Assumptions!$C$14))*AF34)+(((Assumptions!$C$13*(1-Assumptions!$C$14))/12)*AF38))*(1-Assumptions!$C$15))</f>
        <v>2672.2759943815</v>
      </c>
      <c r="AG42" s="9" t="n">
        <f aca="false">((((Assumptions!$C$12*(1-Assumptions!$C$14))*AG34)+(((Assumptions!$C$13*(1-Assumptions!$C$14))/12)*AG38))*(1-Assumptions!$C$15))</f>
        <v>2864.98007329118</v>
      </c>
      <c r="AH42" s="9" t="n">
        <f aca="false">((((Assumptions!$C$12*(1-Assumptions!$C$14))*AH34)+(((Assumptions!$C$13*(1-Assumptions!$C$14))/12)*AH38))*(1-Assumptions!$C$15))</f>
        <v>3054.85812338299</v>
      </c>
      <c r="AI42" s="9" t="n">
        <f aca="false">((((Assumptions!$C$12*(1-Assumptions!$C$14))*AI34)+(((Assumptions!$C$13*(1-Assumptions!$C$14))/12)*AI38))*(1-Assumptions!$C$15))</f>
        <v>3273.08740933249</v>
      </c>
      <c r="AJ42" s="9" t="n">
        <f aca="false">((((Assumptions!$C$12*(1-Assumptions!$C$14))*AJ34)+(((Assumptions!$C$13*(1-Assumptions!$C$14))/12)*AJ38))*(1-Assumptions!$C$15))</f>
        <v>3522.780546396</v>
      </c>
      <c r="AK42" s="9" t="n">
        <f aca="false">((((Assumptions!$C$12*(1-Assumptions!$C$14))*AK34)+(((Assumptions!$C$13*(1-Assumptions!$C$14))/12)*AK38))*(1-Assumptions!$C$15))</f>
        <v>3774.49915560437</v>
      </c>
      <c r="AL42" s="9" t="n">
        <f aca="false">((((Assumptions!$C$12*(1-Assumptions!$C$14))*AL34)+(((Assumptions!$C$13*(1-Assumptions!$C$14))/12)*AL38))*(1-Assumptions!$C$15))</f>
        <v>4020.61213226039</v>
      </c>
      <c r="AN42" s="11" t="n">
        <f aca="false">SUM(C42:N42)</f>
        <v>0</v>
      </c>
      <c r="AO42" s="11" t="n">
        <f aca="false">SUM(O42:Z42)</f>
        <v>7168.07357562605</v>
      </c>
      <c r="AP42" s="11" t="n">
        <f aca="false">SUM(AA42:AL42)</f>
        <v>33398.0980622152</v>
      </c>
    </row>
    <row r="43" customFormat="false" ht="15" hidden="false" customHeight="false" outlineLevel="0" collapsed="false">
      <c r="A43" s="21" t="s">
        <v>848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</row>
    <row r="44" customFormat="false" ht="15" hidden="false" customHeight="false" outlineLevel="0" collapsed="false">
      <c r="A44" s="0" t="s">
        <v>849</v>
      </c>
      <c r="B44" s="0" t="s">
        <v>160</v>
      </c>
      <c r="C44" s="14" t="n">
        <f aca="false">IF(AND(($C$14=1),(C$18&gt;=(Assumptions!$C$106+1)),(C$18&lt;=(Assumptions!$C$106+6))),Assumptions!$C$117,1)</f>
        <v>1</v>
      </c>
      <c r="D44" s="14" t="n">
        <f aca="false">IF(AND(($C$14=1),(D$18&gt;=(Assumptions!$C$106+1)),(D$18&lt;=(Assumptions!$C$106+6))),Assumptions!$C$117,1)</f>
        <v>1</v>
      </c>
      <c r="E44" s="14" t="n">
        <f aca="false">IF(AND(($C$14=1),(E$18&gt;=(Assumptions!$C$106+1)),(E$18&lt;=(Assumptions!$C$106+6))),Assumptions!$C$117,1)</f>
        <v>1</v>
      </c>
      <c r="F44" s="14" t="n">
        <f aca="false">IF(AND(($C$14=1),(F$18&gt;=(Assumptions!$C$106+1)),(F$18&lt;=(Assumptions!$C$106+6))),Assumptions!$C$117,1)</f>
        <v>1</v>
      </c>
      <c r="G44" s="14" t="n">
        <f aca="false">IF(AND(($C$14=1),(G$18&gt;=(Assumptions!$C$106+1)),(G$18&lt;=(Assumptions!$C$106+6))),Assumptions!$C$117,1)</f>
        <v>1</v>
      </c>
      <c r="H44" s="14" t="n">
        <f aca="false">IF(AND(($C$14=1),(H$18&gt;=(Assumptions!$C$106+1)),(H$18&lt;=(Assumptions!$C$106+6))),Assumptions!$C$117,1)</f>
        <v>1</v>
      </c>
      <c r="I44" s="14" t="n">
        <f aca="false">IF(AND(($C$14=1),(I$18&gt;=(Assumptions!$C$106+1)),(I$18&lt;=(Assumptions!$C$106+6))),Assumptions!$C$117,1)</f>
        <v>1</v>
      </c>
      <c r="J44" s="14" t="n">
        <f aca="false">IF(AND(($C$14=1),(J$18&gt;=(Assumptions!$C$106+1)),(J$18&lt;=(Assumptions!$C$106+6))),Assumptions!$C$117,1)</f>
        <v>1</v>
      </c>
      <c r="K44" s="14" t="n">
        <f aca="false">IF(AND(($C$14=1),(K$18&gt;=(Assumptions!$C$106+1)),(K$18&lt;=(Assumptions!$C$106+6))),Assumptions!$C$117,1)</f>
        <v>1</v>
      </c>
      <c r="L44" s="14" t="n">
        <f aca="false">IF(AND(($C$14=1),(L$18&gt;=(Assumptions!$C$106+1)),(L$18&lt;=(Assumptions!$C$106+6))),Assumptions!$C$117,1)</f>
        <v>1</v>
      </c>
      <c r="M44" s="14" t="n">
        <f aca="false">IF(AND(($C$14=1),(M$18&gt;=(Assumptions!$C$106+1)),(M$18&lt;=(Assumptions!$C$106+6))),Assumptions!$C$117,1)</f>
        <v>1</v>
      </c>
      <c r="N44" s="14" t="n">
        <f aca="false">IF(AND(($C$14=1),(N$18&gt;=(Assumptions!$C$106+1)),(N$18&lt;=(Assumptions!$C$106+6))),Assumptions!$C$117,1)</f>
        <v>1</v>
      </c>
      <c r="O44" s="14" t="n">
        <f aca="false">IF(AND(($C$14=1),(O$18&gt;=(Assumptions!$C$106+1)),(O$18&lt;=(Assumptions!$C$106+6))),Assumptions!$C$117,1)</f>
        <v>1</v>
      </c>
      <c r="P44" s="14" t="n">
        <f aca="false">IF(AND(($C$14=1),(P$18&gt;=(Assumptions!$C$106+1)),(P$18&lt;=(Assumptions!$C$106+6))),Assumptions!$C$117,1)</f>
        <v>1</v>
      </c>
      <c r="Q44" s="14" t="n">
        <f aca="false">IF(AND(($C$14=1),(Q$18&gt;=(Assumptions!$C$106+1)),(Q$18&lt;=(Assumptions!$C$106+6))),Assumptions!$C$117,1)</f>
        <v>0.4</v>
      </c>
      <c r="R44" s="14" t="n">
        <f aca="false">IF(AND(($C$14=1),(R$18&gt;=(Assumptions!$C$106+1)),(R$18&lt;=(Assumptions!$C$106+6))),Assumptions!$C$117,1)</f>
        <v>0.4</v>
      </c>
      <c r="S44" s="14" t="n">
        <f aca="false">IF(AND(($C$14=1),(S$18&gt;=(Assumptions!$C$106+1)),(S$18&lt;=(Assumptions!$C$106+6))),Assumptions!$C$117,1)</f>
        <v>0.4</v>
      </c>
      <c r="T44" s="14" t="n">
        <f aca="false">IF(AND(($C$14=1),(T$18&gt;=(Assumptions!$C$106+1)),(T$18&lt;=(Assumptions!$C$106+6))),Assumptions!$C$117,1)</f>
        <v>0.4</v>
      </c>
      <c r="U44" s="14" t="n">
        <f aca="false">IF(AND(($C$14=1),(U$18&gt;=(Assumptions!$C$106+1)),(U$18&lt;=(Assumptions!$C$106+6))),Assumptions!$C$117,1)</f>
        <v>0.4</v>
      </c>
      <c r="V44" s="14" t="n">
        <f aca="false">IF(AND(($C$14=1),(V$18&gt;=(Assumptions!$C$106+1)),(V$18&lt;=(Assumptions!$C$106+6))),Assumptions!$C$117,1)</f>
        <v>0.4</v>
      </c>
      <c r="W44" s="14" t="n">
        <f aca="false">IF(AND(($C$14=1),(W$18&gt;=(Assumptions!$C$106+1)),(W$18&lt;=(Assumptions!$C$106+6))),Assumptions!$C$117,1)</f>
        <v>1</v>
      </c>
      <c r="X44" s="14" t="n">
        <f aca="false">IF(AND(($C$14=1),(X$18&gt;=(Assumptions!$C$106+1)),(X$18&lt;=(Assumptions!$C$106+6))),Assumptions!$C$117,1)</f>
        <v>1</v>
      </c>
      <c r="Y44" s="14" t="n">
        <f aca="false">IF(AND(($C$14=1),(Y$18&gt;=(Assumptions!$C$106+1)),(Y$18&lt;=(Assumptions!$C$106+6))),Assumptions!$C$117,1)</f>
        <v>1</v>
      </c>
      <c r="Z44" s="14" t="n">
        <f aca="false">IF(AND(($C$14=1),(Z$18&gt;=(Assumptions!$C$106+1)),(Z$18&lt;=(Assumptions!$C$106+6))),Assumptions!$C$117,1)</f>
        <v>1</v>
      </c>
      <c r="AA44" s="14" t="n">
        <f aca="false">IF(AND(($C$14=1),(AA$18&gt;=(Assumptions!$C$106+1)),(AA$18&lt;=(Assumptions!$C$106+6))),Assumptions!$C$117,1)</f>
        <v>1</v>
      </c>
      <c r="AB44" s="14" t="n">
        <f aca="false">IF(AND(($C$14=1),(AB$18&gt;=(Assumptions!$C$106+1)),(AB$18&lt;=(Assumptions!$C$106+6))),Assumptions!$C$117,1)</f>
        <v>1</v>
      </c>
      <c r="AC44" s="14" t="n">
        <f aca="false">IF(AND(($C$14=1),(AC$18&gt;=(Assumptions!$C$106+1)),(AC$18&lt;=(Assumptions!$C$106+6))),Assumptions!$C$117,1)</f>
        <v>1</v>
      </c>
      <c r="AD44" s="14" t="n">
        <f aca="false">IF(AND(($C$14=1),(AD$18&gt;=(Assumptions!$C$106+1)),(AD$18&lt;=(Assumptions!$C$106+6))),Assumptions!$C$117,1)</f>
        <v>1</v>
      </c>
      <c r="AE44" s="14" t="n">
        <f aca="false">IF(AND(($C$14=1),(AE$18&gt;=(Assumptions!$C$106+1)),(AE$18&lt;=(Assumptions!$C$106+6))),Assumptions!$C$117,1)</f>
        <v>1</v>
      </c>
      <c r="AF44" s="14" t="n">
        <f aca="false">IF(AND(($C$14=1),(AF$18&gt;=(Assumptions!$C$106+1)),(AF$18&lt;=(Assumptions!$C$106+6))),Assumptions!$C$117,1)</f>
        <v>1</v>
      </c>
      <c r="AG44" s="14" t="n">
        <f aca="false">IF(AND(($C$14=1),(AG$18&gt;=(Assumptions!$C$106+1)),(AG$18&lt;=(Assumptions!$C$106+6))),Assumptions!$C$117,1)</f>
        <v>1</v>
      </c>
      <c r="AH44" s="14" t="n">
        <f aca="false">IF(AND(($C$14=1),(AH$18&gt;=(Assumptions!$C$106+1)),(AH$18&lt;=(Assumptions!$C$106+6))),Assumptions!$C$117,1)</f>
        <v>1</v>
      </c>
      <c r="AI44" s="14" t="n">
        <f aca="false">IF(AND(($C$14=1),(AI$18&gt;=(Assumptions!$C$106+1)),(AI$18&lt;=(Assumptions!$C$106+6))),Assumptions!$C$117,1)</f>
        <v>1</v>
      </c>
      <c r="AJ44" s="14" t="n">
        <f aca="false">IF(AND(($C$14=1),(AJ$18&gt;=(Assumptions!$C$106+1)),(AJ$18&lt;=(Assumptions!$C$106+6))),Assumptions!$C$117,1)</f>
        <v>1</v>
      </c>
      <c r="AK44" s="14" t="n">
        <f aca="false">IF(AND(($C$14=1),(AK$18&gt;=(Assumptions!$C$106+1)),(AK$18&lt;=(Assumptions!$C$106+6))),Assumptions!$C$117,1)</f>
        <v>1</v>
      </c>
      <c r="AL44" s="14" t="n">
        <f aca="false">IF(AND(($C$14=1),(AL$18&gt;=(Assumptions!$C$106+1)),(AL$18&lt;=(Assumptions!$C$106+6))),Assumptions!$C$117,1)</f>
        <v>1</v>
      </c>
    </row>
    <row r="45" customFormat="false" ht="15" hidden="false" customHeight="false" outlineLevel="0" collapsed="false">
      <c r="A45" s="0" t="s">
        <v>850</v>
      </c>
      <c r="B45" s="0" t="s">
        <v>193</v>
      </c>
      <c r="C45" s="12" t="n">
        <f aca="false">MAX(0,((1-((1-Assumptions!$C$30)*$C$6))-IF(AND(($C$14=1),(C$18&gt;=Assumptions!$C$106),(C$18&lt;=(Assumptions!$C$106+11))),Assumptions!$C$116,0)))</f>
        <v>0.88</v>
      </c>
      <c r="D45" s="12" t="n">
        <f aca="false">MAX(0,((1-((1-Assumptions!$C$30)*$C$6))-IF(AND(($C$14=1),(D$18&gt;=Assumptions!$C$106),(D$18&lt;=(Assumptions!$C$106+11))),Assumptions!$C$116,0)))</f>
        <v>0.88</v>
      </c>
      <c r="E45" s="12" t="n">
        <f aca="false">MAX(0,((1-((1-Assumptions!$C$30)*$C$6))-IF(AND(($C$14=1),(E$18&gt;=Assumptions!$C$106),(E$18&lt;=(Assumptions!$C$106+11))),Assumptions!$C$116,0)))</f>
        <v>0.88</v>
      </c>
      <c r="F45" s="12" t="n">
        <f aca="false">MAX(0,((1-((1-Assumptions!$C$30)*$C$6))-IF(AND(($C$14=1),(F$18&gt;=Assumptions!$C$106),(F$18&lt;=(Assumptions!$C$106+11))),Assumptions!$C$116,0)))</f>
        <v>0.88</v>
      </c>
      <c r="G45" s="12" t="n">
        <f aca="false">MAX(0,((1-((1-Assumptions!$C$30)*$C$6))-IF(AND(($C$14=1),(G$18&gt;=Assumptions!$C$106),(G$18&lt;=(Assumptions!$C$106+11))),Assumptions!$C$116,0)))</f>
        <v>0.88</v>
      </c>
      <c r="H45" s="12" t="n">
        <f aca="false">MAX(0,((1-((1-Assumptions!$C$30)*$C$6))-IF(AND(($C$14=1),(H$18&gt;=Assumptions!$C$106),(H$18&lt;=(Assumptions!$C$106+11))),Assumptions!$C$116,0)))</f>
        <v>0.88</v>
      </c>
      <c r="I45" s="12" t="n">
        <f aca="false">MAX(0,((1-((1-Assumptions!$C$30)*$C$6))-IF(AND(($C$14=1),(I$18&gt;=Assumptions!$C$106),(I$18&lt;=(Assumptions!$C$106+11))),Assumptions!$C$116,0)))</f>
        <v>0.88</v>
      </c>
      <c r="J45" s="12" t="n">
        <f aca="false">MAX(0,((1-((1-Assumptions!$C$30)*$C$6))-IF(AND(($C$14=1),(J$18&gt;=Assumptions!$C$106),(J$18&lt;=(Assumptions!$C$106+11))),Assumptions!$C$116,0)))</f>
        <v>0.88</v>
      </c>
      <c r="K45" s="12" t="n">
        <f aca="false">MAX(0,((1-((1-Assumptions!$C$30)*$C$6))-IF(AND(($C$14=1),(K$18&gt;=Assumptions!$C$106),(K$18&lt;=(Assumptions!$C$106+11))),Assumptions!$C$116,0)))</f>
        <v>0.88</v>
      </c>
      <c r="L45" s="12" t="n">
        <f aca="false">MAX(0,((1-((1-Assumptions!$C$30)*$C$6))-IF(AND(($C$14=1),(L$18&gt;=Assumptions!$C$106),(L$18&lt;=(Assumptions!$C$106+11))),Assumptions!$C$116,0)))</f>
        <v>0.88</v>
      </c>
      <c r="M45" s="12" t="n">
        <f aca="false">MAX(0,((1-((1-Assumptions!$C$30)*$C$6))-IF(AND(($C$14=1),(M$18&gt;=Assumptions!$C$106),(M$18&lt;=(Assumptions!$C$106+11))),Assumptions!$C$116,0)))</f>
        <v>0.88</v>
      </c>
      <c r="N45" s="12" t="n">
        <f aca="false">MAX(0,((1-((1-Assumptions!$C$30)*$C$6))-IF(AND(($C$14=1),(N$18&gt;=Assumptions!$C$106),(N$18&lt;=(Assumptions!$C$106+11))),Assumptions!$C$116,0)))</f>
        <v>0.88</v>
      </c>
      <c r="O45" s="12" t="n">
        <f aca="false">MAX(0,((1-((1-Assumptions!$C$30)*$C$6))-IF(AND(($C$14=1),(O$18&gt;=Assumptions!$C$106),(O$18&lt;=(Assumptions!$C$106+11))),Assumptions!$C$116,0)))</f>
        <v>0.88</v>
      </c>
      <c r="P45" s="12" t="n">
        <f aca="false">MAX(0,((1-((1-Assumptions!$C$30)*$C$6))-IF(AND(($C$14=1),(P$18&gt;=Assumptions!$C$106),(P$18&lt;=(Assumptions!$C$106+11))),Assumptions!$C$116,0)))</f>
        <v>0.73</v>
      </c>
      <c r="Q45" s="12" t="n">
        <f aca="false">MAX(0,((1-((1-Assumptions!$C$30)*$C$6))-IF(AND(($C$14=1),(Q$18&gt;=Assumptions!$C$106),(Q$18&lt;=(Assumptions!$C$106+11))),Assumptions!$C$116,0)))</f>
        <v>0.73</v>
      </c>
      <c r="R45" s="12" t="n">
        <f aca="false">MAX(0,((1-((1-Assumptions!$C$30)*$C$6))-IF(AND(($C$14=1),(R$18&gt;=Assumptions!$C$106),(R$18&lt;=(Assumptions!$C$106+11))),Assumptions!$C$116,0)))</f>
        <v>0.73</v>
      </c>
      <c r="S45" s="12" t="n">
        <f aca="false">MAX(0,((1-((1-Assumptions!$C$30)*$C$6))-IF(AND(($C$14=1),(S$18&gt;=Assumptions!$C$106),(S$18&lt;=(Assumptions!$C$106+11))),Assumptions!$C$116,0)))</f>
        <v>0.73</v>
      </c>
      <c r="T45" s="12" t="n">
        <f aca="false">MAX(0,((1-((1-Assumptions!$C$30)*$C$6))-IF(AND(($C$14=1),(T$18&gt;=Assumptions!$C$106),(T$18&lt;=(Assumptions!$C$106+11))),Assumptions!$C$116,0)))</f>
        <v>0.73</v>
      </c>
      <c r="U45" s="12" t="n">
        <f aca="false">MAX(0,((1-((1-Assumptions!$C$30)*$C$6))-IF(AND(($C$14=1),(U$18&gt;=Assumptions!$C$106),(U$18&lt;=(Assumptions!$C$106+11))),Assumptions!$C$116,0)))</f>
        <v>0.73</v>
      </c>
      <c r="V45" s="12" t="n">
        <f aca="false">MAX(0,((1-((1-Assumptions!$C$30)*$C$6))-IF(AND(($C$14=1),(V$18&gt;=Assumptions!$C$106),(V$18&lt;=(Assumptions!$C$106+11))),Assumptions!$C$116,0)))</f>
        <v>0.73</v>
      </c>
      <c r="W45" s="12" t="n">
        <f aca="false">MAX(0,((1-((1-Assumptions!$C$30)*$C$6))-IF(AND(($C$14=1),(W$18&gt;=Assumptions!$C$106),(W$18&lt;=(Assumptions!$C$106+11))),Assumptions!$C$116,0)))</f>
        <v>0.73</v>
      </c>
      <c r="X45" s="12" t="n">
        <f aca="false">MAX(0,((1-((1-Assumptions!$C$30)*$C$6))-IF(AND(($C$14=1),(X$18&gt;=Assumptions!$C$106),(X$18&lt;=(Assumptions!$C$106+11))),Assumptions!$C$116,0)))</f>
        <v>0.73</v>
      </c>
      <c r="Y45" s="12" t="n">
        <f aca="false">MAX(0,((1-((1-Assumptions!$C$30)*$C$6))-IF(AND(($C$14=1),(Y$18&gt;=Assumptions!$C$106),(Y$18&lt;=(Assumptions!$C$106+11))),Assumptions!$C$116,0)))</f>
        <v>0.73</v>
      </c>
      <c r="Z45" s="12" t="n">
        <f aca="false">MAX(0,((1-((1-Assumptions!$C$30)*$C$6))-IF(AND(($C$14=1),(Z$18&gt;=Assumptions!$C$106),(Z$18&lt;=(Assumptions!$C$106+11))),Assumptions!$C$116,0)))</f>
        <v>0.73</v>
      </c>
      <c r="AA45" s="12" t="n">
        <f aca="false">MAX(0,((1-((1-Assumptions!$C$30)*$C$6))-IF(AND(($C$14=1),(AA$18&gt;=Assumptions!$C$106),(AA$18&lt;=(Assumptions!$C$106+11))),Assumptions!$C$116,0)))</f>
        <v>0.73</v>
      </c>
      <c r="AB45" s="12" t="n">
        <f aca="false">MAX(0,((1-((1-Assumptions!$C$30)*$C$6))-IF(AND(($C$14=1),(AB$18&gt;=Assumptions!$C$106),(AB$18&lt;=(Assumptions!$C$106+11))),Assumptions!$C$116,0)))</f>
        <v>0.88</v>
      </c>
      <c r="AC45" s="12" t="n">
        <f aca="false">MAX(0,((1-((1-Assumptions!$C$30)*$C$6))-IF(AND(($C$14=1),(AC$18&gt;=Assumptions!$C$106),(AC$18&lt;=(Assumptions!$C$106+11))),Assumptions!$C$116,0)))</f>
        <v>0.88</v>
      </c>
      <c r="AD45" s="12" t="n">
        <f aca="false">MAX(0,((1-((1-Assumptions!$C$30)*$C$6))-IF(AND(($C$14=1),(AD$18&gt;=Assumptions!$C$106),(AD$18&lt;=(Assumptions!$C$106+11))),Assumptions!$C$116,0)))</f>
        <v>0.88</v>
      </c>
      <c r="AE45" s="12" t="n">
        <f aca="false">MAX(0,((1-((1-Assumptions!$C$30)*$C$6))-IF(AND(($C$14=1),(AE$18&gt;=Assumptions!$C$106),(AE$18&lt;=(Assumptions!$C$106+11))),Assumptions!$C$116,0)))</f>
        <v>0.88</v>
      </c>
      <c r="AF45" s="12" t="n">
        <f aca="false">MAX(0,((1-((1-Assumptions!$C$30)*$C$6))-IF(AND(($C$14=1),(AF$18&gt;=Assumptions!$C$106),(AF$18&lt;=(Assumptions!$C$106+11))),Assumptions!$C$116,0)))</f>
        <v>0.88</v>
      </c>
      <c r="AG45" s="12" t="n">
        <f aca="false">MAX(0,((1-((1-Assumptions!$C$30)*$C$6))-IF(AND(($C$14=1),(AG$18&gt;=Assumptions!$C$106),(AG$18&lt;=(Assumptions!$C$106+11))),Assumptions!$C$116,0)))</f>
        <v>0.88</v>
      </c>
      <c r="AH45" s="12" t="n">
        <f aca="false">MAX(0,((1-((1-Assumptions!$C$30)*$C$6))-IF(AND(($C$14=1),(AH$18&gt;=Assumptions!$C$106),(AH$18&lt;=(Assumptions!$C$106+11))),Assumptions!$C$116,0)))</f>
        <v>0.88</v>
      </c>
      <c r="AI45" s="12" t="n">
        <f aca="false">MAX(0,((1-((1-Assumptions!$C$30)*$C$6))-IF(AND(($C$14=1),(AI$18&gt;=Assumptions!$C$106),(AI$18&lt;=(Assumptions!$C$106+11))),Assumptions!$C$116,0)))</f>
        <v>0.88</v>
      </c>
      <c r="AJ45" s="12" t="n">
        <f aca="false">MAX(0,((1-((1-Assumptions!$C$30)*$C$6))-IF(AND(($C$14=1),(AJ$18&gt;=Assumptions!$C$106),(AJ$18&lt;=(Assumptions!$C$106+11))),Assumptions!$C$116,0)))</f>
        <v>0.88</v>
      </c>
      <c r="AK45" s="12" t="n">
        <f aca="false">MAX(0,((1-((1-Assumptions!$C$30)*$C$6))-IF(AND(($C$14=1),(AK$18&gt;=Assumptions!$C$106),(AK$18&lt;=(Assumptions!$C$106+11))),Assumptions!$C$116,0)))</f>
        <v>0.88</v>
      </c>
      <c r="AL45" s="12" t="n">
        <f aca="false">MAX(0,((1-((1-Assumptions!$C$30)*$C$6))-IF(AND(($C$14=1),(AL$18&gt;=Assumptions!$C$106),(AL$18&lt;=(Assumptions!$C$106+11))),Assumptions!$C$116,0)))</f>
        <v>0.88</v>
      </c>
    </row>
    <row r="46" customFormat="false" ht="15" hidden="false" customHeight="false" outlineLevel="0" collapsed="false">
      <c r="A46" s="0" t="s">
        <v>851</v>
      </c>
      <c r="B46" s="0" t="s">
        <v>852</v>
      </c>
      <c r="C46" s="14" t="n">
        <f aca="false">((IF(OR((C$18-(Assumptions!$C$7-1)-$C$9)&lt;1,(C$18-(Assumptions!$C$7-1)-$C$9)&gt;36),0,INDEX(Schedules!$C$5:$AL$5,(C$18-(Assumptions!$C$7-1)-$C$9)))*$C$7)*C44)</f>
        <v>0</v>
      </c>
      <c r="D46" s="14" t="n">
        <f aca="false">((IF(OR((D$18-(Assumptions!$C$7-1)-$C$9)&lt;1,(D$18-(Assumptions!$C$7-1)-$C$9)&gt;36),0,INDEX(Schedules!$C$5:$AL$5,(D$18-(Assumptions!$C$7-1)-$C$9)))*$C$7)*D44)</f>
        <v>0</v>
      </c>
      <c r="E46" s="14" t="n">
        <f aca="false">((IF(OR((E$18-(Assumptions!$C$7-1)-$C$9)&lt;1,(E$18-(Assumptions!$C$7-1)-$C$9)&gt;36),0,INDEX(Schedules!$C$5:$AL$5,(E$18-(Assumptions!$C$7-1)-$C$9)))*$C$7)*E44)</f>
        <v>0</v>
      </c>
      <c r="F46" s="14" t="n">
        <f aca="false">((IF(OR((F$18-(Assumptions!$C$7-1)-$C$9)&lt;1,(F$18-(Assumptions!$C$7-1)-$C$9)&gt;36),0,INDEX(Schedules!$C$5:$AL$5,(F$18-(Assumptions!$C$7-1)-$C$9)))*$C$7)*F44)</f>
        <v>0</v>
      </c>
      <c r="G46" s="14" t="n">
        <f aca="false">((IF(OR((G$18-(Assumptions!$C$7-1)-$C$9)&lt;1,(G$18-(Assumptions!$C$7-1)-$C$9)&gt;36),0,INDEX(Schedules!$C$5:$AL$5,(G$18-(Assumptions!$C$7-1)-$C$9)))*$C$7)*G44)</f>
        <v>0</v>
      </c>
      <c r="H46" s="14" t="n">
        <f aca="false">((IF(OR((H$18-(Assumptions!$C$7-1)-$C$9)&lt;1,(H$18-(Assumptions!$C$7-1)-$C$9)&gt;36),0,INDEX(Schedules!$C$5:$AL$5,(H$18-(Assumptions!$C$7-1)-$C$9)))*$C$7)*H44)</f>
        <v>0</v>
      </c>
      <c r="I46" s="14" t="n">
        <f aca="false">((IF(OR((I$18-(Assumptions!$C$7-1)-$C$9)&lt;1,(I$18-(Assumptions!$C$7-1)-$C$9)&gt;36),0,INDEX(Schedules!$C$5:$AL$5,(I$18-(Assumptions!$C$7-1)-$C$9)))*$C$7)*I44)</f>
        <v>0</v>
      </c>
      <c r="J46" s="14" t="n">
        <f aca="false">((IF(OR((J$18-(Assumptions!$C$7-1)-$C$9)&lt;1,(J$18-(Assumptions!$C$7-1)-$C$9)&gt;36),0,INDEX(Schedules!$C$5:$AL$5,(J$18-(Assumptions!$C$7-1)-$C$9)))*$C$7)*J44)</f>
        <v>0</v>
      </c>
      <c r="K46" s="14" t="n">
        <f aca="false">((IF(OR((K$18-(Assumptions!$C$7-1)-$C$9)&lt;1,(K$18-(Assumptions!$C$7-1)-$C$9)&gt;36),0,INDEX(Schedules!$C$5:$AL$5,(K$18-(Assumptions!$C$7-1)-$C$9)))*$C$7)*K44)</f>
        <v>0</v>
      </c>
      <c r="L46" s="14" t="n">
        <f aca="false">((IF(OR((L$18-(Assumptions!$C$7-1)-$C$9)&lt;1,(L$18-(Assumptions!$C$7-1)-$C$9)&gt;36),0,INDEX(Schedules!$C$5:$AL$5,(L$18-(Assumptions!$C$7-1)-$C$9)))*$C$7)*L44)</f>
        <v>0</v>
      </c>
      <c r="M46" s="14" t="n">
        <f aca="false">((IF(OR((M$18-(Assumptions!$C$7-1)-$C$9)&lt;1,(M$18-(Assumptions!$C$7-1)-$C$9)&gt;36),0,INDEX(Schedules!$C$5:$AL$5,(M$18-(Assumptions!$C$7-1)-$C$9)))*$C$7)*M44)</f>
        <v>0</v>
      </c>
      <c r="N46" s="14" t="n">
        <f aca="false">((IF(OR((N$18-(Assumptions!$C$7-1)-$C$9)&lt;1,(N$18-(Assumptions!$C$7-1)-$C$9)&gt;36),0,INDEX(Schedules!$C$5:$AL$5,(N$18-(Assumptions!$C$7-1)-$C$9)))*$C$7)*N44)</f>
        <v>0</v>
      </c>
      <c r="O46" s="14" t="n">
        <f aca="false">((IF(OR((O$18-(Assumptions!$C$7-1)-$C$9)&lt;1,(O$18-(Assumptions!$C$7-1)-$C$9)&gt;36),0,INDEX(Schedules!$C$5:$AL$5,(O$18-(Assumptions!$C$7-1)-$C$9)))*$C$7)*O44)</f>
        <v>1</v>
      </c>
      <c r="P46" s="14" t="n">
        <f aca="false">((IF(OR((P$18-(Assumptions!$C$7-1)-$C$9)&lt;1,(P$18-(Assumptions!$C$7-1)-$C$9)&gt;36),0,INDEX(Schedules!$C$5:$AL$5,(P$18-(Assumptions!$C$7-1)-$C$9)))*$C$7)*P44)</f>
        <v>0</v>
      </c>
      <c r="Q46" s="14" t="n">
        <f aca="false">((IF(OR((Q$18-(Assumptions!$C$7-1)-$C$9)&lt;1,(Q$18-(Assumptions!$C$7-1)-$C$9)&gt;36),0,INDEX(Schedules!$C$5:$AL$5,(Q$18-(Assumptions!$C$7-1)-$C$9)))*$C$7)*Q44)</f>
        <v>0</v>
      </c>
      <c r="R46" s="14" t="n">
        <f aca="false">((IF(OR((R$18-(Assumptions!$C$7-1)-$C$9)&lt;1,(R$18-(Assumptions!$C$7-1)-$C$9)&gt;36),0,INDEX(Schedules!$C$5:$AL$5,(R$18-(Assumptions!$C$7-1)-$C$9)))*$C$7)*R44)</f>
        <v>0.4</v>
      </c>
      <c r="S46" s="14" t="n">
        <f aca="false">((IF(OR((S$18-(Assumptions!$C$7-1)-$C$9)&lt;1,(S$18-(Assumptions!$C$7-1)-$C$9)&gt;36),0,INDEX(Schedules!$C$5:$AL$5,(S$18-(Assumptions!$C$7-1)-$C$9)))*$C$7)*S44)</f>
        <v>0</v>
      </c>
      <c r="T46" s="14" t="n">
        <f aca="false">((IF(OR((T$18-(Assumptions!$C$7-1)-$C$9)&lt;1,(T$18-(Assumptions!$C$7-1)-$C$9)&gt;36),0,INDEX(Schedules!$C$5:$AL$5,(T$18-(Assumptions!$C$7-1)-$C$9)))*$C$7)*T44)</f>
        <v>0</v>
      </c>
      <c r="U46" s="14" t="n">
        <f aca="false">((IF(OR((U$18-(Assumptions!$C$7-1)-$C$9)&lt;1,(U$18-(Assumptions!$C$7-1)-$C$9)&gt;36),0,INDEX(Schedules!$C$5:$AL$5,(U$18-(Assumptions!$C$7-1)-$C$9)))*$C$7)*U44)</f>
        <v>0.8</v>
      </c>
      <c r="V46" s="14" t="n">
        <f aca="false">((IF(OR((V$18-(Assumptions!$C$7-1)-$C$9)&lt;1,(V$18-(Assumptions!$C$7-1)-$C$9)&gt;36),0,INDEX(Schedules!$C$5:$AL$5,(V$18-(Assumptions!$C$7-1)-$C$9)))*$C$7)*V44)</f>
        <v>0</v>
      </c>
      <c r="W46" s="14" t="n">
        <f aca="false">((IF(OR((W$18-(Assumptions!$C$7-1)-$C$9)&lt;1,(W$18-(Assumptions!$C$7-1)-$C$9)&gt;36),0,INDEX(Schedules!$C$5:$AL$5,(W$18-(Assumptions!$C$7-1)-$C$9)))*$C$7)*W44)</f>
        <v>0</v>
      </c>
      <c r="X46" s="14" t="n">
        <f aca="false">((IF(OR((X$18-(Assumptions!$C$7-1)-$C$9)&lt;1,(X$18-(Assumptions!$C$7-1)-$C$9)&gt;36),0,INDEX(Schedules!$C$5:$AL$5,(X$18-(Assumptions!$C$7-1)-$C$9)))*$C$7)*X44)</f>
        <v>2</v>
      </c>
      <c r="Y46" s="14" t="n">
        <f aca="false">((IF(OR((Y$18-(Assumptions!$C$7-1)-$C$9)&lt;1,(Y$18-(Assumptions!$C$7-1)-$C$9)&gt;36),0,INDEX(Schedules!$C$5:$AL$5,(Y$18-(Assumptions!$C$7-1)-$C$9)))*$C$7)*Y44)</f>
        <v>0</v>
      </c>
      <c r="Z46" s="14" t="n">
        <f aca="false">((IF(OR((Z$18-(Assumptions!$C$7-1)-$C$9)&lt;1,(Z$18-(Assumptions!$C$7-1)-$C$9)&gt;36),0,INDEX(Schedules!$C$5:$AL$5,(Z$18-(Assumptions!$C$7-1)-$C$9)))*$C$7)*Z44)</f>
        <v>0</v>
      </c>
      <c r="AA46" s="14" t="n">
        <f aca="false">((IF(OR((AA$18-(Assumptions!$C$7-1)-$C$9)&lt;1,(AA$18-(Assumptions!$C$7-1)-$C$9)&gt;36),0,INDEX(Schedules!$C$5:$AL$5,(AA$18-(Assumptions!$C$7-1)-$C$9)))*$C$7)*AA44)</f>
        <v>3</v>
      </c>
      <c r="AB46" s="14" t="n">
        <f aca="false">((IF(OR((AB$18-(Assumptions!$C$7-1)-$C$9)&lt;1,(AB$18-(Assumptions!$C$7-1)-$C$9)&gt;36),0,INDEX(Schedules!$C$5:$AL$5,(AB$18-(Assumptions!$C$7-1)-$C$9)))*$C$7)*AB44)</f>
        <v>0</v>
      </c>
      <c r="AC46" s="14" t="n">
        <f aca="false">((IF(OR((AC$18-(Assumptions!$C$7-1)-$C$9)&lt;1,(AC$18-(Assumptions!$C$7-1)-$C$9)&gt;36),0,INDEX(Schedules!$C$5:$AL$5,(AC$18-(Assumptions!$C$7-1)-$C$9)))*$C$7)*AC44)</f>
        <v>0</v>
      </c>
      <c r="AD46" s="14" t="n">
        <f aca="false">((IF(OR((AD$18-(Assumptions!$C$7-1)-$C$9)&lt;1,(AD$18-(Assumptions!$C$7-1)-$C$9)&gt;36),0,INDEX(Schedules!$C$5:$AL$5,(AD$18-(Assumptions!$C$7-1)-$C$9)))*$C$7)*AD44)</f>
        <v>3</v>
      </c>
      <c r="AE46" s="14" t="n">
        <f aca="false">((IF(OR((AE$18-(Assumptions!$C$7-1)-$C$9)&lt;1,(AE$18-(Assumptions!$C$7-1)-$C$9)&gt;36),0,INDEX(Schedules!$C$5:$AL$5,(AE$18-(Assumptions!$C$7-1)-$C$9)))*$C$7)*AE44)</f>
        <v>0</v>
      </c>
      <c r="AF46" s="14" t="n">
        <f aca="false">((IF(OR((AF$18-(Assumptions!$C$7-1)-$C$9)&lt;1,(AF$18-(Assumptions!$C$7-1)-$C$9)&gt;36),0,INDEX(Schedules!$C$5:$AL$5,(AF$18-(Assumptions!$C$7-1)-$C$9)))*$C$7)*AF44)</f>
        <v>0</v>
      </c>
      <c r="AG46" s="14" t="n">
        <f aca="false">((IF(OR((AG$18-(Assumptions!$C$7-1)-$C$9)&lt;1,(AG$18-(Assumptions!$C$7-1)-$C$9)&gt;36),0,INDEX(Schedules!$C$5:$AL$5,(AG$18-(Assumptions!$C$7-1)-$C$9)))*$C$7)*AG44)</f>
        <v>3</v>
      </c>
      <c r="AH46" s="14" t="n">
        <f aca="false">((IF(OR((AH$18-(Assumptions!$C$7-1)-$C$9)&lt;1,(AH$18-(Assumptions!$C$7-1)-$C$9)&gt;36),0,INDEX(Schedules!$C$5:$AL$5,(AH$18-(Assumptions!$C$7-1)-$C$9)))*$C$7)*AH44)</f>
        <v>0</v>
      </c>
      <c r="AI46" s="14" t="n">
        <f aca="false">((IF(OR((AI$18-(Assumptions!$C$7-1)-$C$9)&lt;1,(AI$18-(Assumptions!$C$7-1)-$C$9)&gt;36),0,INDEX(Schedules!$C$5:$AL$5,(AI$18-(Assumptions!$C$7-1)-$C$9)))*$C$7)*AI44)</f>
        <v>0</v>
      </c>
      <c r="AJ46" s="14" t="n">
        <f aca="false">((IF(OR((AJ$18-(Assumptions!$C$7-1)-$C$9)&lt;1,(AJ$18-(Assumptions!$C$7-1)-$C$9)&gt;36),0,INDEX(Schedules!$C$5:$AL$5,(AJ$18-(Assumptions!$C$7-1)-$C$9)))*$C$7)*AJ44)</f>
        <v>4</v>
      </c>
      <c r="AK46" s="14" t="n">
        <f aca="false">((IF(OR((AK$18-(Assumptions!$C$7-1)-$C$9)&lt;1,(AK$18-(Assumptions!$C$7-1)-$C$9)&gt;36),0,INDEX(Schedules!$C$5:$AL$5,(AK$18-(Assumptions!$C$7-1)-$C$9)))*$C$7)*AK44)</f>
        <v>0</v>
      </c>
      <c r="AL46" s="14" t="n">
        <f aca="false">((IF(OR((AL$18-(Assumptions!$C$7-1)-$C$9)&lt;1,(AL$18-(Assumptions!$C$7-1)-$C$9)&gt;36),0,INDEX(Schedules!$C$5:$AL$5,(AL$18-(Assumptions!$C$7-1)-$C$9)))*$C$7)*AL44)</f>
        <v>0</v>
      </c>
      <c r="AN46" s="36" t="n">
        <f aca="false">SUM(C46:N46)</f>
        <v>0</v>
      </c>
      <c r="AO46" s="36" t="n">
        <f aca="false">SUM(O46:Z46)</f>
        <v>4.2</v>
      </c>
      <c r="AP46" s="36" t="n">
        <f aca="false">SUM(AA46:AL46)</f>
        <v>13</v>
      </c>
    </row>
    <row r="47" customFormat="false" ht="15" hidden="false" customHeight="false" outlineLevel="0" collapsed="false">
      <c r="A47" s="0" t="s">
        <v>853</v>
      </c>
      <c r="B47" s="0" t="s">
        <v>852</v>
      </c>
      <c r="C47" s="14" t="n">
        <f aca="false">INDEX(Schedules!$C$11:$AL$11,C$18)</f>
        <v>0</v>
      </c>
      <c r="D47" s="14" t="n">
        <f aca="false">INDEX(Schedules!$C$11:$AL$11,D$18)</f>
        <v>0</v>
      </c>
      <c r="E47" s="14" t="n">
        <f aca="false">INDEX(Schedules!$C$11:$AL$11,E$18)</f>
        <v>0</v>
      </c>
      <c r="F47" s="14" t="n">
        <f aca="false">INDEX(Schedules!$C$11:$AL$11,F$18)</f>
        <v>0</v>
      </c>
      <c r="G47" s="14" t="n">
        <f aca="false">INDEX(Schedules!$C$11:$AL$11,G$18)</f>
        <v>1</v>
      </c>
      <c r="H47" s="14" t="n">
        <f aca="false">INDEX(Schedules!$C$11:$AL$11,H$18)</f>
        <v>0</v>
      </c>
      <c r="I47" s="14" t="n">
        <f aca="false">INDEX(Schedules!$C$11:$AL$11,I$18)</f>
        <v>0</v>
      </c>
      <c r="J47" s="14" t="n">
        <f aca="false">INDEX(Schedules!$C$11:$AL$11,J$18)</f>
        <v>0</v>
      </c>
      <c r="K47" s="14" t="n">
        <f aca="false">INDEX(Schedules!$C$11:$AL$11,K$18)</f>
        <v>0</v>
      </c>
      <c r="L47" s="14" t="n">
        <f aca="false">INDEX(Schedules!$C$11:$AL$11,L$18)</f>
        <v>0</v>
      </c>
      <c r="M47" s="14" t="n">
        <f aca="false">INDEX(Schedules!$C$11:$AL$11,M$18)</f>
        <v>0</v>
      </c>
      <c r="N47" s="14" t="n">
        <f aca="false">INDEX(Schedules!$C$11:$AL$11,N$18)</f>
        <v>0</v>
      </c>
      <c r="O47" s="14" t="n">
        <f aca="false">INDEX(Schedules!$C$11:$AL$11,O$18)</f>
        <v>0</v>
      </c>
      <c r="P47" s="14" t="n">
        <f aca="false">INDEX(Schedules!$C$11:$AL$11,P$18)</f>
        <v>0</v>
      </c>
      <c r="Q47" s="14" t="n">
        <f aca="false">INDEX(Schedules!$C$11:$AL$11,Q$18)</f>
        <v>0</v>
      </c>
      <c r="R47" s="14" t="n">
        <f aca="false">INDEX(Schedules!$C$11:$AL$11,R$18)</f>
        <v>0</v>
      </c>
      <c r="S47" s="14" t="n">
        <f aca="false">INDEX(Schedules!$C$11:$AL$11,S$18)</f>
        <v>0</v>
      </c>
      <c r="T47" s="14" t="n">
        <f aca="false">INDEX(Schedules!$C$11:$AL$11,T$18)</f>
        <v>0</v>
      </c>
      <c r="U47" s="14" t="n">
        <f aca="false">INDEX(Schedules!$C$11:$AL$11,U$18)</f>
        <v>0</v>
      </c>
      <c r="V47" s="14" t="n">
        <f aca="false">INDEX(Schedules!$C$11:$AL$11,V$18)</f>
        <v>0</v>
      </c>
      <c r="W47" s="14" t="n">
        <f aca="false">INDEX(Schedules!$C$11:$AL$11,W$18)</f>
        <v>0</v>
      </c>
      <c r="X47" s="14" t="n">
        <f aca="false">INDEX(Schedules!$C$11:$AL$11,X$18)</f>
        <v>0</v>
      </c>
      <c r="Y47" s="14" t="n">
        <f aca="false">INDEX(Schedules!$C$11:$AL$11,Y$18)</f>
        <v>0</v>
      </c>
      <c r="Z47" s="14" t="n">
        <f aca="false">INDEX(Schedules!$C$11:$AL$11,Z$18)</f>
        <v>0</v>
      </c>
      <c r="AA47" s="14" t="n">
        <f aca="false">INDEX(Schedules!$C$11:$AL$11,AA$18)</f>
        <v>0</v>
      </c>
      <c r="AB47" s="14" t="n">
        <f aca="false">INDEX(Schedules!$C$11:$AL$11,AB$18)</f>
        <v>0</v>
      </c>
      <c r="AC47" s="14" t="n">
        <f aca="false">INDEX(Schedules!$C$11:$AL$11,AC$18)</f>
        <v>0</v>
      </c>
      <c r="AD47" s="14" t="n">
        <f aca="false">INDEX(Schedules!$C$11:$AL$11,AD$18)</f>
        <v>0</v>
      </c>
      <c r="AE47" s="14" t="n">
        <f aca="false">INDEX(Schedules!$C$11:$AL$11,AE$18)</f>
        <v>0</v>
      </c>
      <c r="AF47" s="14" t="n">
        <f aca="false">INDEX(Schedules!$C$11:$AL$11,AF$18)</f>
        <v>0</v>
      </c>
      <c r="AG47" s="14" t="n">
        <f aca="false">INDEX(Schedules!$C$11:$AL$11,AG$18)</f>
        <v>0</v>
      </c>
      <c r="AH47" s="14" t="n">
        <f aca="false">INDEX(Schedules!$C$11:$AL$11,AH$18)</f>
        <v>0</v>
      </c>
      <c r="AI47" s="14" t="n">
        <f aca="false">INDEX(Schedules!$C$11:$AL$11,AI$18)</f>
        <v>0</v>
      </c>
      <c r="AJ47" s="14" t="n">
        <f aca="false">INDEX(Schedules!$C$11:$AL$11,AJ$18)</f>
        <v>0</v>
      </c>
      <c r="AK47" s="14" t="n">
        <f aca="false">INDEX(Schedules!$C$11:$AL$11,AK$18)</f>
        <v>0</v>
      </c>
      <c r="AL47" s="14" t="n">
        <f aca="false">INDEX(Schedules!$C$11:$AL$11,AL$18)</f>
        <v>0</v>
      </c>
      <c r="AN47" s="36" t="n">
        <f aca="false">SUM(C47:N47)</f>
        <v>1</v>
      </c>
      <c r="AO47" s="36" t="n">
        <f aca="false">SUM(O47:Z47)</f>
        <v>0</v>
      </c>
      <c r="AP47" s="36" t="n">
        <f aca="false">SUM(AA47:AL47)</f>
        <v>0</v>
      </c>
    </row>
    <row r="48" customFormat="false" ht="15" hidden="false" customHeight="false" outlineLevel="0" collapsed="false">
      <c r="A48" s="0" t="s">
        <v>854</v>
      </c>
      <c r="B48" s="0" t="s">
        <v>852</v>
      </c>
      <c r="C48" s="14" t="n">
        <f aca="false">(C46+C47)</f>
        <v>0</v>
      </c>
      <c r="D48" s="14" t="n">
        <f aca="false">(D46+D47)</f>
        <v>0</v>
      </c>
      <c r="E48" s="14" t="n">
        <f aca="false">(E46+E47)</f>
        <v>0</v>
      </c>
      <c r="F48" s="14" t="n">
        <f aca="false">(F46+F47)</f>
        <v>0</v>
      </c>
      <c r="G48" s="14" t="n">
        <f aca="false">(G46+G47)</f>
        <v>1</v>
      </c>
      <c r="H48" s="14" t="n">
        <f aca="false">(H46+H47)</f>
        <v>0</v>
      </c>
      <c r="I48" s="14" t="n">
        <f aca="false">(I46+I47)</f>
        <v>0</v>
      </c>
      <c r="J48" s="14" t="n">
        <f aca="false">(J46+J47)</f>
        <v>0</v>
      </c>
      <c r="K48" s="14" t="n">
        <f aca="false">(K46+K47)</f>
        <v>0</v>
      </c>
      <c r="L48" s="14" t="n">
        <f aca="false">(L46+L47)</f>
        <v>0</v>
      </c>
      <c r="M48" s="14" t="n">
        <f aca="false">(M46+M47)</f>
        <v>0</v>
      </c>
      <c r="N48" s="14" t="n">
        <f aca="false">(N46+N47)</f>
        <v>0</v>
      </c>
      <c r="O48" s="14" t="n">
        <f aca="false">(O46+O47)</f>
        <v>1</v>
      </c>
      <c r="P48" s="14" t="n">
        <f aca="false">(P46+P47)</f>
        <v>0</v>
      </c>
      <c r="Q48" s="14" t="n">
        <f aca="false">(Q46+Q47)</f>
        <v>0</v>
      </c>
      <c r="R48" s="14" t="n">
        <f aca="false">(R46+R47)</f>
        <v>0.4</v>
      </c>
      <c r="S48" s="14" t="n">
        <f aca="false">(S46+S47)</f>
        <v>0</v>
      </c>
      <c r="T48" s="14" t="n">
        <f aca="false">(T46+T47)</f>
        <v>0</v>
      </c>
      <c r="U48" s="14" t="n">
        <f aca="false">(U46+U47)</f>
        <v>0.8</v>
      </c>
      <c r="V48" s="14" t="n">
        <f aca="false">(V46+V47)</f>
        <v>0</v>
      </c>
      <c r="W48" s="14" t="n">
        <f aca="false">(W46+W47)</f>
        <v>0</v>
      </c>
      <c r="X48" s="14" t="n">
        <f aca="false">(X46+X47)</f>
        <v>2</v>
      </c>
      <c r="Y48" s="14" t="n">
        <f aca="false">(Y46+Y47)</f>
        <v>0</v>
      </c>
      <c r="Z48" s="14" t="n">
        <f aca="false">(Z46+Z47)</f>
        <v>0</v>
      </c>
      <c r="AA48" s="14" t="n">
        <f aca="false">(AA46+AA47)</f>
        <v>3</v>
      </c>
      <c r="AB48" s="14" t="n">
        <f aca="false">(AB46+AB47)</f>
        <v>0</v>
      </c>
      <c r="AC48" s="14" t="n">
        <f aca="false">(AC46+AC47)</f>
        <v>0</v>
      </c>
      <c r="AD48" s="14" t="n">
        <f aca="false">(AD46+AD47)</f>
        <v>3</v>
      </c>
      <c r="AE48" s="14" t="n">
        <f aca="false">(AE46+AE47)</f>
        <v>0</v>
      </c>
      <c r="AF48" s="14" t="n">
        <f aca="false">(AF46+AF47)</f>
        <v>0</v>
      </c>
      <c r="AG48" s="14" t="n">
        <f aca="false">(AG46+AG47)</f>
        <v>3</v>
      </c>
      <c r="AH48" s="14" t="n">
        <f aca="false">(AH46+AH47)</f>
        <v>0</v>
      </c>
      <c r="AI48" s="14" t="n">
        <f aca="false">(AI46+AI47)</f>
        <v>0</v>
      </c>
      <c r="AJ48" s="14" t="n">
        <f aca="false">(AJ46+AJ47)</f>
        <v>4</v>
      </c>
      <c r="AK48" s="14" t="n">
        <f aca="false">(AK46+AK47)</f>
        <v>0</v>
      </c>
      <c r="AL48" s="14" t="n">
        <f aca="false">(AL46+AL47)</f>
        <v>0</v>
      </c>
      <c r="AN48" s="36" t="n">
        <f aca="false">SUM(C48:N48)</f>
        <v>1</v>
      </c>
      <c r="AO48" s="36" t="n">
        <f aca="false">SUM(O48:Z48)</f>
        <v>4.2</v>
      </c>
      <c r="AP48" s="36" t="n">
        <f aca="false">SUM(AA48:AL48)</f>
        <v>13</v>
      </c>
    </row>
    <row r="49" customFormat="false" ht="15" hidden="false" customHeight="false" outlineLevel="0" collapsed="false">
      <c r="A49" s="0" t="s">
        <v>855</v>
      </c>
      <c r="B49" s="0" t="s">
        <v>852</v>
      </c>
      <c r="C49" s="14" t="n">
        <f aca="false">((IF(OR((C$18-(Assumptions!$C$8-1)-$C$9)&lt;1,(C$18-(Assumptions!$C$8-1)-$C$9)&gt;36),0,INDEX(Schedules!$C$8:$AL$8,(C$18-(Assumptions!$C$8-1)-$C$9)))*$C$7)*C44)</f>
        <v>0</v>
      </c>
      <c r="D49" s="14" t="n">
        <f aca="false">((IF(OR((D$18-(Assumptions!$C$8-1)-$C$9)&lt;1,(D$18-(Assumptions!$C$8-1)-$C$9)&gt;36),0,INDEX(Schedules!$C$8:$AL$8,(D$18-(Assumptions!$C$8-1)-$C$9)))*$C$7)*D44)</f>
        <v>0</v>
      </c>
      <c r="E49" s="14" t="n">
        <f aca="false">((IF(OR((E$18-(Assumptions!$C$8-1)-$C$9)&lt;1,(E$18-(Assumptions!$C$8-1)-$C$9)&gt;36),0,INDEX(Schedules!$C$8:$AL$8,(E$18-(Assumptions!$C$8-1)-$C$9)))*$C$7)*E44)</f>
        <v>0</v>
      </c>
      <c r="F49" s="14" t="n">
        <f aca="false">((IF(OR((F$18-(Assumptions!$C$8-1)-$C$9)&lt;1,(F$18-(Assumptions!$C$8-1)-$C$9)&gt;36),0,INDEX(Schedules!$C$8:$AL$8,(F$18-(Assumptions!$C$8-1)-$C$9)))*$C$7)*F44)</f>
        <v>0</v>
      </c>
      <c r="G49" s="14" t="n">
        <f aca="false">((IF(OR((G$18-(Assumptions!$C$8-1)-$C$9)&lt;1,(G$18-(Assumptions!$C$8-1)-$C$9)&gt;36),0,INDEX(Schedules!$C$8:$AL$8,(G$18-(Assumptions!$C$8-1)-$C$9)))*$C$7)*G44)</f>
        <v>0</v>
      </c>
      <c r="H49" s="14" t="n">
        <f aca="false">((IF(OR((H$18-(Assumptions!$C$8-1)-$C$9)&lt;1,(H$18-(Assumptions!$C$8-1)-$C$9)&gt;36),0,INDEX(Schedules!$C$8:$AL$8,(H$18-(Assumptions!$C$8-1)-$C$9)))*$C$7)*H44)</f>
        <v>0</v>
      </c>
      <c r="I49" s="14" t="n">
        <f aca="false">((IF(OR((I$18-(Assumptions!$C$8-1)-$C$9)&lt;1,(I$18-(Assumptions!$C$8-1)-$C$9)&gt;36),0,INDEX(Schedules!$C$8:$AL$8,(I$18-(Assumptions!$C$8-1)-$C$9)))*$C$7)*I44)</f>
        <v>0</v>
      </c>
      <c r="J49" s="14" t="n">
        <f aca="false">((IF(OR((J$18-(Assumptions!$C$8-1)-$C$9)&lt;1,(J$18-(Assumptions!$C$8-1)-$C$9)&gt;36),0,INDEX(Schedules!$C$8:$AL$8,(J$18-(Assumptions!$C$8-1)-$C$9)))*$C$7)*J44)</f>
        <v>0</v>
      </c>
      <c r="K49" s="14" t="n">
        <f aca="false">((IF(OR((K$18-(Assumptions!$C$8-1)-$C$9)&lt;1,(K$18-(Assumptions!$C$8-1)-$C$9)&gt;36),0,INDEX(Schedules!$C$8:$AL$8,(K$18-(Assumptions!$C$8-1)-$C$9)))*$C$7)*K44)</f>
        <v>0</v>
      </c>
      <c r="L49" s="14" t="n">
        <f aca="false">((IF(OR((L$18-(Assumptions!$C$8-1)-$C$9)&lt;1,(L$18-(Assumptions!$C$8-1)-$C$9)&gt;36),0,INDEX(Schedules!$C$8:$AL$8,(L$18-(Assumptions!$C$8-1)-$C$9)))*$C$7)*L44)</f>
        <v>0</v>
      </c>
      <c r="M49" s="14" t="n">
        <f aca="false">((IF(OR((M$18-(Assumptions!$C$8-1)-$C$9)&lt;1,(M$18-(Assumptions!$C$8-1)-$C$9)&gt;36),0,INDEX(Schedules!$C$8:$AL$8,(M$18-(Assumptions!$C$8-1)-$C$9)))*$C$7)*M44)</f>
        <v>0</v>
      </c>
      <c r="N49" s="14" t="n">
        <f aca="false">((IF(OR((N$18-(Assumptions!$C$8-1)-$C$9)&lt;1,(N$18-(Assumptions!$C$8-1)-$C$9)&gt;36),0,INDEX(Schedules!$C$8:$AL$8,(N$18-(Assumptions!$C$8-1)-$C$9)))*$C$7)*N44)</f>
        <v>0</v>
      </c>
      <c r="O49" s="14" t="n">
        <f aca="false">((IF(OR((O$18-(Assumptions!$C$8-1)-$C$9)&lt;1,(O$18-(Assumptions!$C$8-1)-$C$9)&gt;36),0,INDEX(Schedules!$C$8:$AL$8,(O$18-(Assumptions!$C$8-1)-$C$9)))*$C$7)*O44)</f>
        <v>0</v>
      </c>
      <c r="P49" s="14" t="n">
        <f aca="false">((IF(OR((P$18-(Assumptions!$C$8-1)-$C$9)&lt;1,(P$18-(Assumptions!$C$8-1)-$C$9)&gt;36),0,INDEX(Schedules!$C$8:$AL$8,(P$18-(Assumptions!$C$8-1)-$C$9)))*$C$7)*P44)</f>
        <v>0</v>
      </c>
      <c r="Q49" s="14" t="n">
        <f aca="false">((IF(OR((Q$18-(Assumptions!$C$8-1)-$C$9)&lt;1,(Q$18-(Assumptions!$C$8-1)-$C$9)&gt;36),0,INDEX(Schedules!$C$8:$AL$8,(Q$18-(Assumptions!$C$8-1)-$C$9)))*$C$7)*Q44)</f>
        <v>0</v>
      </c>
      <c r="R49" s="14" t="n">
        <f aca="false">((IF(OR((R$18-(Assumptions!$C$8-1)-$C$9)&lt;1,(R$18-(Assumptions!$C$8-1)-$C$9)&gt;36),0,INDEX(Schedules!$C$8:$AL$8,(R$18-(Assumptions!$C$8-1)-$C$9)))*$C$7)*R44)</f>
        <v>0</v>
      </c>
      <c r="S49" s="14" t="n">
        <f aca="false">((IF(OR((S$18-(Assumptions!$C$8-1)-$C$9)&lt;1,(S$18-(Assumptions!$C$8-1)-$C$9)&gt;36),0,INDEX(Schedules!$C$8:$AL$8,(S$18-(Assumptions!$C$8-1)-$C$9)))*$C$7)*S44)</f>
        <v>0</v>
      </c>
      <c r="T49" s="14" t="n">
        <f aca="false">((IF(OR((T$18-(Assumptions!$C$8-1)-$C$9)&lt;1,(T$18-(Assumptions!$C$8-1)-$C$9)&gt;36),0,INDEX(Schedules!$C$8:$AL$8,(T$18-(Assumptions!$C$8-1)-$C$9)))*$C$7)*T44)</f>
        <v>0</v>
      </c>
      <c r="U49" s="14" t="n">
        <f aca="false">((IF(OR((U$18-(Assumptions!$C$8-1)-$C$9)&lt;1,(U$18-(Assumptions!$C$8-1)-$C$9)&gt;36),0,INDEX(Schedules!$C$8:$AL$8,(U$18-(Assumptions!$C$8-1)-$C$9)))*$C$7)*U44)</f>
        <v>0</v>
      </c>
      <c r="V49" s="14" t="n">
        <f aca="false">((IF(OR((V$18-(Assumptions!$C$8-1)-$C$9)&lt;1,(V$18-(Assumptions!$C$8-1)-$C$9)&gt;36),0,INDEX(Schedules!$C$8:$AL$8,(V$18-(Assumptions!$C$8-1)-$C$9)))*$C$7)*V44)</f>
        <v>0</v>
      </c>
      <c r="W49" s="14" t="n">
        <f aca="false">((IF(OR((W$18-(Assumptions!$C$8-1)-$C$9)&lt;1,(W$18-(Assumptions!$C$8-1)-$C$9)&gt;36),0,INDEX(Schedules!$C$8:$AL$8,(W$18-(Assumptions!$C$8-1)-$C$9)))*$C$7)*W44)</f>
        <v>0</v>
      </c>
      <c r="X49" s="14" t="n">
        <f aca="false">((IF(OR((X$18-(Assumptions!$C$8-1)-$C$9)&lt;1,(X$18-(Assumptions!$C$8-1)-$C$9)&gt;36),0,INDEX(Schedules!$C$8:$AL$8,(X$18-(Assumptions!$C$8-1)-$C$9)))*$C$7)*X44)</f>
        <v>0</v>
      </c>
      <c r="Y49" s="14" t="n">
        <f aca="false">((IF(OR((Y$18-(Assumptions!$C$8-1)-$C$9)&lt;1,(Y$18-(Assumptions!$C$8-1)-$C$9)&gt;36),0,INDEX(Schedules!$C$8:$AL$8,(Y$18-(Assumptions!$C$8-1)-$C$9)))*$C$7)*Y44)</f>
        <v>1</v>
      </c>
      <c r="Z49" s="14" t="n">
        <f aca="false">((IF(OR((Z$18-(Assumptions!$C$8-1)-$C$9)&lt;1,(Z$18-(Assumptions!$C$8-1)-$C$9)&gt;36),0,INDEX(Schedules!$C$8:$AL$8,(Z$18-(Assumptions!$C$8-1)-$C$9)))*$C$7)*Z44)</f>
        <v>0</v>
      </c>
      <c r="AA49" s="14" t="n">
        <f aca="false">((IF(OR((AA$18-(Assumptions!$C$8-1)-$C$9)&lt;1,(AA$18-(Assumptions!$C$8-1)-$C$9)&gt;36),0,INDEX(Schedules!$C$8:$AL$8,(AA$18-(Assumptions!$C$8-1)-$C$9)))*$C$7)*AA44)</f>
        <v>0</v>
      </c>
      <c r="AB49" s="14" t="n">
        <f aca="false">((IF(OR((AB$18-(Assumptions!$C$8-1)-$C$9)&lt;1,(AB$18-(Assumptions!$C$8-1)-$C$9)&gt;36),0,INDEX(Schedules!$C$8:$AL$8,(AB$18-(Assumptions!$C$8-1)-$C$9)))*$C$7)*AB44)</f>
        <v>1</v>
      </c>
      <c r="AC49" s="14" t="n">
        <f aca="false">((IF(OR((AC$18-(Assumptions!$C$8-1)-$C$9)&lt;1,(AC$18-(Assumptions!$C$8-1)-$C$9)&gt;36),0,INDEX(Schedules!$C$8:$AL$8,(AC$18-(Assumptions!$C$8-1)-$C$9)))*$C$7)*AC44)</f>
        <v>0</v>
      </c>
      <c r="AD49" s="14" t="n">
        <f aca="false">((IF(OR((AD$18-(Assumptions!$C$8-1)-$C$9)&lt;1,(AD$18-(Assumptions!$C$8-1)-$C$9)&gt;36),0,INDEX(Schedules!$C$8:$AL$8,(AD$18-(Assumptions!$C$8-1)-$C$9)))*$C$7)*AD44)</f>
        <v>0</v>
      </c>
      <c r="AE49" s="14" t="n">
        <f aca="false">((IF(OR((AE$18-(Assumptions!$C$8-1)-$C$9)&lt;1,(AE$18-(Assumptions!$C$8-1)-$C$9)&gt;36),0,INDEX(Schedules!$C$8:$AL$8,(AE$18-(Assumptions!$C$8-1)-$C$9)))*$C$7)*AE44)</f>
        <v>2</v>
      </c>
      <c r="AF49" s="14" t="n">
        <f aca="false">((IF(OR((AF$18-(Assumptions!$C$8-1)-$C$9)&lt;1,(AF$18-(Assumptions!$C$8-1)-$C$9)&gt;36),0,INDEX(Schedules!$C$8:$AL$8,(AF$18-(Assumptions!$C$8-1)-$C$9)))*$C$7)*AF44)</f>
        <v>0</v>
      </c>
      <c r="AG49" s="14" t="n">
        <f aca="false">((IF(OR((AG$18-(Assumptions!$C$8-1)-$C$9)&lt;1,(AG$18-(Assumptions!$C$8-1)-$C$9)&gt;36),0,INDEX(Schedules!$C$8:$AL$8,(AG$18-(Assumptions!$C$8-1)-$C$9)))*$C$7)*AG44)</f>
        <v>0</v>
      </c>
      <c r="AH49" s="14" t="n">
        <f aca="false">((IF(OR((AH$18-(Assumptions!$C$8-1)-$C$9)&lt;1,(AH$18-(Assumptions!$C$8-1)-$C$9)&gt;36),0,INDEX(Schedules!$C$8:$AL$8,(AH$18-(Assumptions!$C$8-1)-$C$9)))*$C$7)*AH44)</f>
        <v>2</v>
      </c>
      <c r="AI49" s="14" t="n">
        <f aca="false">((IF(OR((AI$18-(Assumptions!$C$8-1)-$C$9)&lt;1,(AI$18-(Assumptions!$C$8-1)-$C$9)&gt;36),0,INDEX(Schedules!$C$8:$AL$8,(AI$18-(Assumptions!$C$8-1)-$C$9)))*$C$7)*AI44)</f>
        <v>0</v>
      </c>
      <c r="AJ49" s="14" t="n">
        <f aca="false">((IF(OR((AJ$18-(Assumptions!$C$8-1)-$C$9)&lt;1,(AJ$18-(Assumptions!$C$8-1)-$C$9)&gt;36),0,INDEX(Schedules!$C$8:$AL$8,(AJ$18-(Assumptions!$C$8-1)-$C$9)))*$C$7)*AJ44)</f>
        <v>0</v>
      </c>
      <c r="AK49" s="14" t="n">
        <f aca="false">((IF(OR((AK$18-(Assumptions!$C$8-1)-$C$9)&lt;1,(AK$18-(Assumptions!$C$8-1)-$C$9)&gt;36),0,INDEX(Schedules!$C$8:$AL$8,(AK$18-(Assumptions!$C$8-1)-$C$9)))*$C$7)*AK44)</f>
        <v>3</v>
      </c>
      <c r="AL49" s="14" t="n">
        <f aca="false">((IF(OR((AL$18-(Assumptions!$C$8-1)-$C$9)&lt;1,(AL$18-(Assumptions!$C$8-1)-$C$9)&gt;36),0,INDEX(Schedules!$C$8:$AL$8,(AL$18-(Assumptions!$C$8-1)-$C$9)))*$C$7)*AL44)</f>
        <v>0</v>
      </c>
      <c r="AN49" s="36" t="n">
        <f aca="false">SUM(C49:N49)</f>
        <v>0</v>
      </c>
      <c r="AO49" s="36" t="n">
        <f aca="false">SUM(O49:Z49)</f>
        <v>1</v>
      </c>
      <c r="AP49" s="36" t="n">
        <f aca="false">SUM(AA49:AL49)</f>
        <v>8</v>
      </c>
    </row>
    <row r="50" customFormat="false" ht="15" hidden="false" customHeight="false" outlineLevel="0" collapsed="false">
      <c r="A50" s="0" t="s">
        <v>856</v>
      </c>
      <c r="B50" s="0" t="s">
        <v>852</v>
      </c>
      <c r="C50" s="14" t="n">
        <f aca="false">(C46+C49)</f>
        <v>0</v>
      </c>
      <c r="D50" s="14" t="n">
        <f aca="false">(D46+D49)</f>
        <v>0</v>
      </c>
      <c r="E50" s="14" t="n">
        <f aca="false">(E46+E49)</f>
        <v>0</v>
      </c>
      <c r="F50" s="14" t="n">
        <f aca="false">(F46+F49)</f>
        <v>0</v>
      </c>
      <c r="G50" s="14" t="n">
        <f aca="false">(G46+G49)</f>
        <v>0</v>
      </c>
      <c r="H50" s="14" t="n">
        <f aca="false">(H46+H49)</f>
        <v>0</v>
      </c>
      <c r="I50" s="14" t="n">
        <f aca="false">(I46+I49)</f>
        <v>0</v>
      </c>
      <c r="J50" s="14" t="n">
        <f aca="false">(J46+J49)</f>
        <v>0</v>
      </c>
      <c r="K50" s="14" t="n">
        <f aca="false">(K46+K49)</f>
        <v>0</v>
      </c>
      <c r="L50" s="14" t="n">
        <f aca="false">(L46+L49)</f>
        <v>0</v>
      </c>
      <c r="M50" s="14" t="n">
        <f aca="false">(M46+M49)</f>
        <v>0</v>
      </c>
      <c r="N50" s="14" t="n">
        <f aca="false">(N46+N49)</f>
        <v>0</v>
      </c>
      <c r="O50" s="14" t="n">
        <f aca="false">(O46+O49)</f>
        <v>1</v>
      </c>
      <c r="P50" s="14" t="n">
        <f aca="false">(P46+P49)</f>
        <v>0</v>
      </c>
      <c r="Q50" s="14" t="n">
        <f aca="false">(Q46+Q49)</f>
        <v>0</v>
      </c>
      <c r="R50" s="14" t="n">
        <f aca="false">(R46+R49)</f>
        <v>0.4</v>
      </c>
      <c r="S50" s="14" t="n">
        <f aca="false">(S46+S49)</f>
        <v>0</v>
      </c>
      <c r="T50" s="14" t="n">
        <f aca="false">(T46+T49)</f>
        <v>0</v>
      </c>
      <c r="U50" s="14" t="n">
        <f aca="false">(U46+U49)</f>
        <v>0.8</v>
      </c>
      <c r="V50" s="14" t="n">
        <f aca="false">(V46+V49)</f>
        <v>0</v>
      </c>
      <c r="W50" s="14" t="n">
        <f aca="false">(W46+W49)</f>
        <v>0</v>
      </c>
      <c r="X50" s="14" t="n">
        <f aca="false">(X46+X49)</f>
        <v>2</v>
      </c>
      <c r="Y50" s="14" t="n">
        <f aca="false">(Y46+Y49)</f>
        <v>1</v>
      </c>
      <c r="Z50" s="14" t="n">
        <f aca="false">(Z46+Z49)</f>
        <v>0</v>
      </c>
      <c r="AA50" s="14" t="n">
        <f aca="false">(AA46+AA49)</f>
        <v>3</v>
      </c>
      <c r="AB50" s="14" t="n">
        <f aca="false">(AB46+AB49)</f>
        <v>1</v>
      </c>
      <c r="AC50" s="14" t="n">
        <f aca="false">(AC46+AC49)</f>
        <v>0</v>
      </c>
      <c r="AD50" s="14" t="n">
        <f aca="false">(AD46+AD49)</f>
        <v>3</v>
      </c>
      <c r="AE50" s="14" t="n">
        <f aca="false">(AE46+AE49)</f>
        <v>2</v>
      </c>
      <c r="AF50" s="14" t="n">
        <f aca="false">(AF46+AF49)</f>
        <v>0</v>
      </c>
      <c r="AG50" s="14" t="n">
        <f aca="false">(AG46+AG49)</f>
        <v>3</v>
      </c>
      <c r="AH50" s="14" t="n">
        <f aca="false">(AH46+AH49)</f>
        <v>2</v>
      </c>
      <c r="AI50" s="14" t="n">
        <f aca="false">(AI46+AI49)</f>
        <v>0</v>
      </c>
      <c r="AJ50" s="14" t="n">
        <f aca="false">(AJ46+AJ49)</f>
        <v>4</v>
      </c>
      <c r="AK50" s="14" t="n">
        <f aca="false">(AK46+AK49)</f>
        <v>3</v>
      </c>
      <c r="AL50" s="14" t="n">
        <f aca="false">(AL46+AL49)</f>
        <v>0</v>
      </c>
      <c r="AN50" s="36" t="n">
        <f aca="false">SUM(C50:N50)</f>
        <v>0</v>
      </c>
      <c r="AO50" s="36" t="n">
        <f aca="false">SUM(O50:Z50)</f>
        <v>5.2</v>
      </c>
      <c r="AP50" s="36" t="n">
        <f aca="false">SUM(AA50:AL50)</f>
        <v>21</v>
      </c>
    </row>
    <row r="51" customFormat="false" ht="15" hidden="false" customHeight="false" outlineLevel="0" collapsed="false">
      <c r="A51" s="0" t="s">
        <v>857</v>
      </c>
      <c r="B51" s="0" t="s">
        <v>852</v>
      </c>
      <c r="C51" s="14" t="n">
        <f aca="false">C48</f>
        <v>0</v>
      </c>
      <c r="D51" s="14" t="n">
        <f aca="false">SUM(C48:D48)</f>
        <v>0</v>
      </c>
      <c r="E51" s="14" t="n">
        <f aca="false">SUM(C48:E48)</f>
        <v>0</v>
      </c>
      <c r="F51" s="14" t="n">
        <f aca="false">SUM(C48:F48)</f>
        <v>0</v>
      </c>
      <c r="G51" s="14" t="n">
        <f aca="false">SUM(C48:G48)</f>
        <v>1</v>
      </c>
      <c r="H51" s="14" t="n">
        <f aca="false">SUM(C48:H48)</f>
        <v>1</v>
      </c>
      <c r="I51" s="14" t="n">
        <f aca="false">SUM(D48:I48)</f>
        <v>1</v>
      </c>
      <c r="J51" s="14" t="n">
        <f aca="false">SUM(E48:J48)</f>
        <v>1</v>
      </c>
      <c r="K51" s="14" t="n">
        <f aca="false">SUM(F48:K48)</f>
        <v>1</v>
      </c>
      <c r="L51" s="14" t="n">
        <f aca="false">SUM(G48:L48)</f>
        <v>1</v>
      </c>
      <c r="M51" s="14" t="n">
        <f aca="false">SUM(H48:M48)</f>
        <v>0</v>
      </c>
      <c r="N51" s="14" t="n">
        <f aca="false">SUM(I48:N48)</f>
        <v>0</v>
      </c>
      <c r="O51" s="14" t="n">
        <f aca="false">SUM(J48:O48)</f>
        <v>1</v>
      </c>
      <c r="P51" s="14" t="n">
        <f aca="false">SUM(K48:P48)</f>
        <v>1</v>
      </c>
      <c r="Q51" s="14" t="n">
        <f aca="false">SUM(L48:Q48)</f>
        <v>1</v>
      </c>
      <c r="R51" s="14" t="n">
        <f aca="false">SUM(M48:R48)</f>
        <v>1.4</v>
      </c>
      <c r="S51" s="14" t="n">
        <f aca="false">SUM(N48:S48)</f>
        <v>1.4</v>
      </c>
      <c r="T51" s="14" t="n">
        <f aca="false">SUM(O48:T48)</f>
        <v>1.4</v>
      </c>
      <c r="U51" s="14" t="n">
        <f aca="false">SUM(P48:U48)</f>
        <v>1.2</v>
      </c>
      <c r="V51" s="14" t="n">
        <f aca="false">SUM(Q48:V48)</f>
        <v>1.2</v>
      </c>
      <c r="W51" s="14" t="n">
        <f aca="false">SUM(R48:W48)</f>
        <v>1.2</v>
      </c>
      <c r="X51" s="14" t="n">
        <f aca="false">SUM(S48:X48)</f>
        <v>2.8</v>
      </c>
      <c r="Y51" s="14" t="n">
        <f aca="false">SUM(T48:Y48)</f>
        <v>2.8</v>
      </c>
      <c r="Z51" s="14" t="n">
        <f aca="false">SUM(U48:Z48)</f>
        <v>2.8</v>
      </c>
      <c r="AA51" s="14" t="n">
        <f aca="false">SUM(V48:AA48)</f>
        <v>5</v>
      </c>
      <c r="AB51" s="14" t="n">
        <f aca="false">SUM(W48:AB48)</f>
        <v>5</v>
      </c>
      <c r="AC51" s="14" t="n">
        <f aca="false">SUM(X48:AC48)</f>
        <v>5</v>
      </c>
      <c r="AD51" s="14" t="n">
        <f aca="false">SUM(Y48:AD48)</f>
        <v>6</v>
      </c>
      <c r="AE51" s="14" t="n">
        <f aca="false">SUM(Z48:AE48)</f>
        <v>6</v>
      </c>
      <c r="AF51" s="14" t="n">
        <f aca="false">SUM(AA48:AF48)</f>
        <v>6</v>
      </c>
      <c r="AG51" s="14" t="n">
        <f aca="false">SUM(AB48:AG48)</f>
        <v>6</v>
      </c>
      <c r="AH51" s="14" t="n">
        <f aca="false">SUM(AC48:AH48)</f>
        <v>6</v>
      </c>
      <c r="AI51" s="14" t="n">
        <f aca="false">SUM(AD48:AI48)</f>
        <v>6</v>
      </c>
      <c r="AJ51" s="14" t="n">
        <f aca="false">SUM(AE48:AJ48)</f>
        <v>7</v>
      </c>
      <c r="AK51" s="14" t="n">
        <f aca="false">SUM(AF48:AK48)</f>
        <v>7</v>
      </c>
      <c r="AL51" s="14" t="n">
        <f aca="false">SUM(AG48:AL48)</f>
        <v>7</v>
      </c>
      <c r="AN51" s="36" t="n">
        <f aca="false">N51</f>
        <v>0</v>
      </c>
      <c r="AO51" s="36" t="n">
        <f aca="false">Z51</f>
        <v>2.8</v>
      </c>
      <c r="AP51" s="36" t="n">
        <f aca="false">AL51</f>
        <v>7</v>
      </c>
    </row>
    <row r="52" customFormat="false" ht="15" hidden="false" customHeight="false" outlineLevel="0" collapsed="false">
      <c r="A52" s="0" t="s">
        <v>858</v>
      </c>
      <c r="B52" s="0" t="s">
        <v>852</v>
      </c>
      <c r="C52" s="14" t="n">
        <f aca="false">C46</f>
        <v>0</v>
      </c>
      <c r="D52" s="14" t="n">
        <f aca="false">SUM(C46:D46)</f>
        <v>0</v>
      </c>
      <c r="E52" s="14" t="n">
        <f aca="false">SUM(C46:E46)</f>
        <v>0</v>
      </c>
      <c r="F52" s="14" t="n">
        <f aca="false">SUM(C46:F46)</f>
        <v>0</v>
      </c>
      <c r="G52" s="14" t="n">
        <f aca="false">SUM(C46:G46)</f>
        <v>0</v>
      </c>
      <c r="H52" s="14" t="n">
        <f aca="false">SUM(C46:H46)</f>
        <v>0</v>
      </c>
      <c r="I52" s="14" t="n">
        <f aca="false">SUM(D46:I46)</f>
        <v>0</v>
      </c>
      <c r="J52" s="14" t="n">
        <f aca="false">SUM(E46:J46)</f>
        <v>0</v>
      </c>
      <c r="K52" s="14" t="n">
        <f aca="false">SUM(F46:K46)</f>
        <v>0</v>
      </c>
      <c r="L52" s="14" t="n">
        <f aca="false">SUM(G46:L46)</f>
        <v>0</v>
      </c>
      <c r="M52" s="14" t="n">
        <f aca="false">SUM(H46:M46)</f>
        <v>0</v>
      </c>
      <c r="N52" s="14" t="n">
        <f aca="false">SUM(I46:N46)</f>
        <v>0</v>
      </c>
      <c r="O52" s="14" t="n">
        <f aca="false">SUM(J46:O46)</f>
        <v>1</v>
      </c>
      <c r="P52" s="14" t="n">
        <f aca="false">SUM(K46:P46)</f>
        <v>1</v>
      </c>
      <c r="Q52" s="14" t="n">
        <f aca="false">SUM(L46:Q46)</f>
        <v>1</v>
      </c>
      <c r="R52" s="14" t="n">
        <f aca="false">SUM(M46:R46)</f>
        <v>1.4</v>
      </c>
      <c r="S52" s="14" t="n">
        <f aca="false">SUM(N46:S46)</f>
        <v>1.4</v>
      </c>
      <c r="T52" s="14" t="n">
        <f aca="false">SUM(O46:T46)</f>
        <v>1.4</v>
      </c>
      <c r="U52" s="14" t="n">
        <f aca="false">SUM(P46:U46)</f>
        <v>1.2</v>
      </c>
      <c r="V52" s="14" t="n">
        <f aca="false">SUM(Q46:V46)</f>
        <v>1.2</v>
      </c>
      <c r="W52" s="14" t="n">
        <f aca="false">SUM(R46:W46)</f>
        <v>1.2</v>
      </c>
      <c r="X52" s="14" t="n">
        <f aca="false">SUM(S46:X46)</f>
        <v>2.8</v>
      </c>
      <c r="Y52" s="14" t="n">
        <f aca="false">SUM(T46:Y46)</f>
        <v>2.8</v>
      </c>
      <c r="Z52" s="14" t="n">
        <f aca="false">SUM(U46:Z46)</f>
        <v>2.8</v>
      </c>
      <c r="AA52" s="14" t="n">
        <f aca="false">SUM(V46:AA46)</f>
        <v>5</v>
      </c>
      <c r="AB52" s="14" t="n">
        <f aca="false">SUM(W46:AB46)</f>
        <v>5</v>
      </c>
      <c r="AC52" s="14" t="n">
        <f aca="false">SUM(X46:AC46)</f>
        <v>5</v>
      </c>
      <c r="AD52" s="14" t="n">
        <f aca="false">SUM(Y46:AD46)</f>
        <v>6</v>
      </c>
      <c r="AE52" s="14" t="n">
        <f aca="false">SUM(Z46:AE46)</f>
        <v>6</v>
      </c>
      <c r="AF52" s="14" t="n">
        <f aca="false">SUM(AA46:AF46)</f>
        <v>6</v>
      </c>
      <c r="AG52" s="14" t="n">
        <f aca="false">SUM(AB46:AG46)</f>
        <v>6</v>
      </c>
      <c r="AH52" s="14" t="n">
        <f aca="false">SUM(AC46:AH46)</f>
        <v>6</v>
      </c>
      <c r="AI52" s="14" t="n">
        <f aca="false">SUM(AD46:AI46)</f>
        <v>6</v>
      </c>
      <c r="AJ52" s="14" t="n">
        <f aca="false">SUM(AE46:AJ46)</f>
        <v>7</v>
      </c>
      <c r="AK52" s="14" t="n">
        <f aca="false">SUM(AF46:AK46)</f>
        <v>7</v>
      </c>
      <c r="AL52" s="14" t="n">
        <f aca="false">SUM(AG46:AL46)</f>
        <v>7</v>
      </c>
      <c r="AN52" s="36" t="n">
        <f aca="false">N52</f>
        <v>0</v>
      </c>
      <c r="AO52" s="36" t="n">
        <f aca="false">Z52</f>
        <v>2.8</v>
      </c>
      <c r="AP52" s="36" t="n">
        <f aca="false">AL52</f>
        <v>7</v>
      </c>
    </row>
    <row r="53" customFormat="false" ht="15" hidden="false" customHeight="false" outlineLevel="0" collapsed="false">
      <c r="A53" s="0" t="s">
        <v>859</v>
      </c>
      <c r="B53" s="0" t="s">
        <v>852</v>
      </c>
      <c r="C53" s="14" t="n">
        <f aca="false">((Assumptions!$C$127*$C$8)*0)</f>
        <v>0</v>
      </c>
      <c r="D53" s="14" t="n">
        <f aca="false">((Assumptions!$C$127*$C$8)*0)</f>
        <v>0</v>
      </c>
      <c r="E53" s="14" t="n">
        <f aca="false">((Assumptions!$C$127*$C$8)*0)</f>
        <v>0</v>
      </c>
      <c r="F53" s="14" t="n">
        <f aca="false">((Assumptions!$C$127*$C$8)*0)</f>
        <v>0</v>
      </c>
      <c r="G53" s="14" t="n">
        <f aca="false">((Assumptions!$C$127*$C$8)*0)</f>
        <v>0</v>
      </c>
      <c r="H53" s="14" t="n">
        <f aca="false">((Assumptions!$C$127*$C$8)*0)</f>
        <v>0</v>
      </c>
      <c r="I53" s="14" t="n">
        <f aca="false">((Assumptions!$C$127*$C$8)*0)</f>
        <v>0</v>
      </c>
      <c r="J53" s="14" t="n">
        <f aca="false">((Assumptions!$C$127*$C$8)*C46)</f>
        <v>0</v>
      </c>
      <c r="K53" s="14" t="n">
        <f aca="false">((Assumptions!$C$127*$C$8)*D46)</f>
        <v>0</v>
      </c>
      <c r="L53" s="14" t="n">
        <f aca="false">((Assumptions!$C$127*$C$8)*E46)</f>
        <v>0</v>
      </c>
      <c r="M53" s="14" t="n">
        <f aca="false">((Assumptions!$C$127*$C$8)*F46)</f>
        <v>0</v>
      </c>
      <c r="N53" s="14" t="n">
        <f aca="false">((Assumptions!$C$127*$C$8)*G46)</f>
        <v>0</v>
      </c>
      <c r="O53" s="14" t="n">
        <f aca="false">((Assumptions!$C$127*$C$8)*H46)</f>
        <v>0</v>
      </c>
      <c r="P53" s="14" t="n">
        <f aca="false">((Assumptions!$C$127*$C$8)*I46)</f>
        <v>0</v>
      </c>
      <c r="Q53" s="14" t="n">
        <f aca="false">((Assumptions!$C$127*$C$8)*J46)</f>
        <v>0</v>
      </c>
      <c r="R53" s="14" t="n">
        <f aca="false">((Assumptions!$C$127*$C$8)*K46)</f>
        <v>0</v>
      </c>
      <c r="S53" s="14" t="n">
        <f aca="false">((Assumptions!$C$127*$C$8)*L46)</f>
        <v>0</v>
      </c>
      <c r="T53" s="14" t="n">
        <f aca="false">((Assumptions!$C$127*$C$8)*M46)</f>
        <v>0</v>
      </c>
      <c r="U53" s="14" t="n">
        <f aca="false">((Assumptions!$C$127*$C$8)*N46)</f>
        <v>0</v>
      </c>
      <c r="V53" s="14" t="n">
        <f aca="false">((Assumptions!$C$127*$C$8)*O46)</f>
        <v>0.5</v>
      </c>
      <c r="W53" s="14" t="n">
        <f aca="false">((Assumptions!$C$127*$C$8)*P46)</f>
        <v>0</v>
      </c>
      <c r="X53" s="14" t="n">
        <f aca="false">((Assumptions!$C$127*$C$8)*Q46)</f>
        <v>0</v>
      </c>
      <c r="Y53" s="14" t="n">
        <f aca="false">((Assumptions!$C$127*$C$8)*R46)</f>
        <v>0.2</v>
      </c>
      <c r="Z53" s="14" t="n">
        <f aca="false">((Assumptions!$C$127*$C$8)*S46)</f>
        <v>0</v>
      </c>
      <c r="AA53" s="14" t="n">
        <f aca="false">((Assumptions!$C$127*$C$8)*T46)</f>
        <v>0</v>
      </c>
      <c r="AB53" s="14" t="n">
        <f aca="false">((Assumptions!$C$127*$C$8)*U46)</f>
        <v>0.4</v>
      </c>
      <c r="AC53" s="14" t="n">
        <f aca="false">((Assumptions!$C$127*$C$8)*V46)</f>
        <v>0</v>
      </c>
      <c r="AD53" s="14" t="n">
        <f aca="false">((Assumptions!$C$127*$C$8)*W46)</f>
        <v>0</v>
      </c>
      <c r="AE53" s="14" t="n">
        <f aca="false">((Assumptions!$C$127*$C$8)*X46)</f>
        <v>1</v>
      </c>
      <c r="AF53" s="14" t="n">
        <f aca="false">((Assumptions!$C$127*$C$8)*Y46)</f>
        <v>0</v>
      </c>
      <c r="AG53" s="14" t="n">
        <f aca="false">((Assumptions!$C$127*$C$8)*Z46)</f>
        <v>0</v>
      </c>
      <c r="AH53" s="14" t="n">
        <f aca="false">((Assumptions!$C$127*$C$8)*AA46)</f>
        <v>1.5</v>
      </c>
      <c r="AI53" s="14" t="n">
        <f aca="false">((Assumptions!$C$127*$C$8)*AB46)</f>
        <v>0</v>
      </c>
      <c r="AJ53" s="14" t="n">
        <f aca="false">((Assumptions!$C$127*$C$8)*AC46)</f>
        <v>0</v>
      </c>
      <c r="AK53" s="14" t="n">
        <f aca="false">((Assumptions!$C$127*$C$8)*AD46)</f>
        <v>1.5</v>
      </c>
      <c r="AL53" s="14" t="n">
        <f aca="false">((Assumptions!$C$127*$C$8)*AE46)</f>
        <v>0</v>
      </c>
      <c r="AN53" s="36" t="n">
        <f aca="false">SUM(C53:N53)</f>
        <v>0</v>
      </c>
      <c r="AO53" s="36" t="n">
        <f aca="false">SUM(O53:Z53)</f>
        <v>0.7</v>
      </c>
      <c r="AP53" s="36" t="n">
        <f aca="false">SUM(AA53:AL53)</f>
        <v>4.4</v>
      </c>
    </row>
    <row r="54" customFormat="false" ht="15" hidden="false" customHeight="false" outlineLevel="0" collapsed="false">
      <c r="A54" s="0" t="s">
        <v>860</v>
      </c>
      <c r="B54" s="0" t="s">
        <v>852</v>
      </c>
      <c r="C54" s="14" t="n">
        <f aca="false">((Assumptions!$C$10*$C$8)*IF((C$18=(Assumptions!$C$7+$C$9)),0,IF((C$18&gt;(Assumptions!$C$7+$C$9)),0,0)))</f>
        <v>0</v>
      </c>
      <c r="D54" s="14" t="n">
        <f aca="false">((Assumptions!$C$10*$C$8)*IF((D$18=(Assumptions!$C$7+$C$9)),0,IF((D$18&gt;(Assumptions!$C$7+$C$9)),0,0)))</f>
        <v>0</v>
      </c>
      <c r="E54" s="14" t="n">
        <f aca="false">((Assumptions!$C$10*$C$8)*IF((E$18=(Assumptions!$C$7+$C$9)),0,IF((E$18&gt;(Assumptions!$C$7+$C$9)),0,0)))</f>
        <v>0</v>
      </c>
      <c r="F54" s="14" t="n">
        <f aca="false">((Assumptions!$C$10*$C$8)*IF((F$18=(Assumptions!$C$7+$C$9)),0,IF((F$18&gt;(Assumptions!$C$7+$C$9)),0,0)))</f>
        <v>0</v>
      </c>
      <c r="G54" s="14" t="n">
        <f aca="false">((Assumptions!$C$10*$C$8)*IF((G$18=(Assumptions!$C$7+$C$9)),0,IF((G$18&gt;(Assumptions!$C$7+$C$9)),0,0)))</f>
        <v>0</v>
      </c>
      <c r="H54" s="14" t="n">
        <f aca="false">((Assumptions!$C$10*$C$8)*IF((H$18=(Assumptions!$C$7+$C$9)),0,IF((H$18&gt;(Assumptions!$C$7+$C$9)),0,0)))</f>
        <v>0</v>
      </c>
      <c r="I54" s="14" t="n">
        <f aca="false">((Assumptions!$C$10*$C$8)*IF((I$18=(Assumptions!$C$7+$C$9)),0,IF((I$18&gt;(Assumptions!$C$7+$C$9)),0,0)))</f>
        <v>0</v>
      </c>
      <c r="J54" s="14" t="n">
        <f aca="false">((Assumptions!$C$10*$C$8)*IF((J$18=(Assumptions!$C$7+$C$9)),C47,IF((J$18&gt;(Assumptions!$C$7+$C$9)),C47,0)))</f>
        <v>0</v>
      </c>
      <c r="K54" s="14" t="n">
        <f aca="false">((Assumptions!$C$10*$C$8)*IF((K$18=(Assumptions!$C$7+$C$9)),SUM(C47:D47),IF((K$18&gt;(Assumptions!$C$7+$C$9)),D47,0)))</f>
        <v>0</v>
      </c>
      <c r="L54" s="14" t="n">
        <f aca="false">((Assumptions!$C$10*$C$8)*IF((L$18=(Assumptions!$C$7+$C$9)),SUM(C47:E47),IF((L$18&gt;(Assumptions!$C$7+$C$9)),E47,0)))</f>
        <v>0</v>
      </c>
      <c r="M54" s="14" t="n">
        <f aca="false">((Assumptions!$C$10*$C$8)*IF((M$18=(Assumptions!$C$7+$C$9)),SUM(C47:F47),IF((M$18&gt;(Assumptions!$C$7+$C$9)),F47,0)))</f>
        <v>0</v>
      </c>
      <c r="N54" s="14" t="n">
        <f aca="false">((Assumptions!$C$10*$C$8)*IF((N$18=(Assumptions!$C$7+$C$9)),SUM(C47:G47),IF((N$18&gt;(Assumptions!$C$7+$C$9)),G47,0)))</f>
        <v>0.6</v>
      </c>
      <c r="O54" s="14" t="n">
        <f aca="false">((Assumptions!$C$10*$C$8)*IF((O$18=(Assumptions!$C$7+$C$9)),SUM(C47:H47),IF((O$18&gt;(Assumptions!$C$7+$C$9)),H47,0)))</f>
        <v>0</v>
      </c>
      <c r="P54" s="14" t="n">
        <f aca="false">((Assumptions!$C$10*$C$8)*IF((P$18=(Assumptions!$C$7+$C$9)),SUM(C47:I47),IF((P$18&gt;(Assumptions!$C$7+$C$9)),I47,0)))</f>
        <v>0</v>
      </c>
      <c r="Q54" s="14" t="n">
        <f aca="false">((Assumptions!$C$10*$C$8)*IF((Q$18=(Assumptions!$C$7+$C$9)),SUM(C47:J47),IF((Q$18&gt;(Assumptions!$C$7+$C$9)),J47,0)))</f>
        <v>0</v>
      </c>
      <c r="R54" s="14" t="n">
        <f aca="false">((Assumptions!$C$10*$C$8)*IF((R$18=(Assumptions!$C$7+$C$9)),SUM(C47:K47),IF((R$18&gt;(Assumptions!$C$7+$C$9)),K47,0)))</f>
        <v>0</v>
      </c>
      <c r="S54" s="14" t="n">
        <f aca="false">((Assumptions!$C$10*$C$8)*IF((S$18=(Assumptions!$C$7+$C$9)),SUM(C47:L47),IF((S$18&gt;(Assumptions!$C$7+$C$9)),L47,0)))</f>
        <v>0</v>
      </c>
      <c r="T54" s="14" t="n">
        <f aca="false">((Assumptions!$C$10*$C$8)*IF((T$18=(Assumptions!$C$7+$C$9)),SUM(C47:M47),IF((T$18&gt;(Assumptions!$C$7+$C$9)),M47,0)))</f>
        <v>0</v>
      </c>
      <c r="U54" s="14" t="n">
        <f aca="false">((Assumptions!$C$10*$C$8)*IF((U$18=(Assumptions!$C$7+$C$9)),SUM(C47:N47),IF((U$18&gt;(Assumptions!$C$7+$C$9)),N47,0)))</f>
        <v>0</v>
      </c>
      <c r="V54" s="14" t="n">
        <f aca="false">((Assumptions!$C$10*$C$8)*IF((V$18=(Assumptions!$C$7+$C$9)),SUM(C47:O47),IF((V$18&gt;(Assumptions!$C$7+$C$9)),O47,0)))</f>
        <v>0</v>
      </c>
      <c r="W54" s="14" t="n">
        <f aca="false">((Assumptions!$C$10*$C$8)*IF((W$18=(Assumptions!$C$7+$C$9)),SUM(C47:P47),IF((W$18&gt;(Assumptions!$C$7+$C$9)),P47,0)))</f>
        <v>0</v>
      </c>
      <c r="X54" s="14" t="n">
        <f aca="false">((Assumptions!$C$10*$C$8)*IF((X$18=(Assumptions!$C$7+$C$9)),SUM(C47:Q47),IF((X$18&gt;(Assumptions!$C$7+$C$9)),Q47,0)))</f>
        <v>0</v>
      </c>
      <c r="Y54" s="14" t="n">
        <f aca="false">((Assumptions!$C$10*$C$8)*IF((Y$18=(Assumptions!$C$7+$C$9)),SUM(C47:R47),IF((Y$18&gt;(Assumptions!$C$7+$C$9)),R47,0)))</f>
        <v>0</v>
      </c>
      <c r="Z54" s="14" t="n">
        <f aca="false">((Assumptions!$C$10*$C$8)*IF((Z$18=(Assumptions!$C$7+$C$9)),SUM(C47:S47),IF((Z$18&gt;(Assumptions!$C$7+$C$9)),S47,0)))</f>
        <v>0</v>
      </c>
      <c r="AA54" s="14" t="n">
        <f aca="false">((Assumptions!$C$10*$C$8)*IF((AA$18=(Assumptions!$C$7+$C$9)),SUM(C47:T47),IF((AA$18&gt;(Assumptions!$C$7+$C$9)),T47,0)))</f>
        <v>0</v>
      </c>
      <c r="AB54" s="14" t="n">
        <f aca="false">((Assumptions!$C$10*$C$8)*IF((AB$18=(Assumptions!$C$7+$C$9)),SUM(C47:U47),IF((AB$18&gt;(Assumptions!$C$7+$C$9)),U47,0)))</f>
        <v>0</v>
      </c>
      <c r="AC54" s="14" t="n">
        <f aca="false">((Assumptions!$C$10*$C$8)*IF((AC$18=(Assumptions!$C$7+$C$9)),SUM(C47:V47),IF((AC$18&gt;(Assumptions!$C$7+$C$9)),V47,0)))</f>
        <v>0</v>
      </c>
      <c r="AD54" s="14" t="n">
        <f aca="false">((Assumptions!$C$10*$C$8)*IF((AD$18=(Assumptions!$C$7+$C$9)),SUM(C47:W47),IF((AD$18&gt;(Assumptions!$C$7+$C$9)),W47,0)))</f>
        <v>0</v>
      </c>
      <c r="AE54" s="14" t="n">
        <f aca="false">((Assumptions!$C$10*$C$8)*IF((AE$18=(Assumptions!$C$7+$C$9)),SUM(C47:X47),IF((AE$18&gt;(Assumptions!$C$7+$C$9)),X47,0)))</f>
        <v>0</v>
      </c>
      <c r="AF54" s="14" t="n">
        <f aca="false">((Assumptions!$C$10*$C$8)*IF((AF$18=(Assumptions!$C$7+$C$9)),SUM(C47:Y47),IF((AF$18&gt;(Assumptions!$C$7+$C$9)),Y47,0)))</f>
        <v>0</v>
      </c>
      <c r="AG54" s="14" t="n">
        <f aca="false">((Assumptions!$C$10*$C$8)*IF((AG$18=(Assumptions!$C$7+$C$9)),SUM(C47:Z47),IF((AG$18&gt;(Assumptions!$C$7+$C$9)),Z47,0)))</f>
        <v>0</v>
      </c>
      <c r="AH54" s="14" t="n">
        <f aca="false">((Assumptions!$C$10*$C$8)*IF((AH$18=(Assumptions!$C$7+$C$9)),SUM(C47:AA47),IF((AH$18&gt;(Assumptions!$C$7+$C$9)),AA47,0)))</f>
        <v>0</v>
      </c>
      <c r="AI54" s="14" t="n">
        <f aca="false">((Assumptions!$C$10*$C$8)*IF((AI$18=(Assumptions!$C$7+$C$9)),SUM(C47:AB47),IF((AI$18&gt;(Assumptions!$C$7+$C$9)),AB47,0)))</f>
        <v>0</v>
      </c>
      <c r="AJ54" s="14" t="n">
        <f aca="false">((Assumptions!$C$10*$C$8)*IF((AJ$18=(Assumptions!$C$7+$C$9)),SUM(C47:AC47),IF((AJ$18&gt;(Assumptions!$C$7+$C$9)),AC47,0)))</f>
        <v>0</v>
      </c>
      <c r="AK54" s="14" t="n">
        <f aca="false">((Assumptions!$C$10*$C$8)*IF((AK$18=(Assumptions!$C$7+$C$9)),SUM(C47:AD47),IF((AK$18&gt;(Assumptions!$C$7+$C$9)),AD47,0)))</f>
        <v>0</v>
      </c>
      <c r="AL54" s="14" t="n">
        <f aca="false">((Assumptions!$C$10*$C$8)*IF((AL$18=(Assumptions!$C$7+$C$9)),SUM(C47:AE47),IF((AL$18&gt;(Assumptions!$C$7+$C$9)),AE47,0)))</f>
        <v>0</v>
      </c>
      <c r="AN54" s="36" t="n">
        <f aca="false">SUM(C54:N54)</f>
        <v>0.6</v>
      </c>
      <c r="AO54" s="36" t="n">
        <f aca="false">SUM(O54:Z54)</f>
        <v>0</v>
      </c>
      <c r="AP54" s="36" t="n">
        <f aca="false">SUM(AA54:AL54)</f>
        <v>0</v>
      </c>
    </row>
    <row r="55" customFormat="false" ht="15" hidden="false" customHeight="false" outlineLevel="0" collapsed="false">
      <c r="A55" s="0" t="s">
        <v>861</v>
      </c>
      <c r="B55" s="0" t="s">
        <v>852</v>
      </c>
      <c r="C55" s="14" t="n">
        <f aca="false">((C53+C54)+C49)</f>
        <v>0</v>
      </c>
      <c r="D55" s="14" t="n">
        <f aca="false">((D53+D54)+D49)</f>
        <v>0</v>
      </c>
      <c r="E55" s="14" t="n">
        <f aca="false">((E53+E54)+E49)</f>
        <v>0</v>
      </c>
      <c r="F55" s="14" t="n">
        <f aca="false">((F53+F54)+F49)</f>
        <v>0</v>
      </c>
      <c r="G55" s="14" t="n">
        <f aca="false">((G53+G54)+G49)</f>
        <v>0</v>
      </c>
      <c r="H55" s="14" t="n">
        <f aca="false">((H53+H54)+H49)</f>
        <v>0</v>
      </c>
      <c r="I55" s="14" t="n">
        <f aca="false">((I53+I54)+I49)</f>
        <v>0</v>
      </c>
      <c r="J55" s="14" t="n">
        <f aca="false">((J53+J54)+J49)</f>
        <v>0</v>
      </c>
      <c r="K55" s="14" t="n">
        <f aca="false">((K53+K54)+K49)</f>
        <v>0</v>
      </c>
      <c r="L55" s="14" t="n">
        <f aca="false">((L53+L54)+L49)</f>
        <v>0</v>
      </c>
      <c r="M55" s="14" t="n">
        <f aca="false">((M53+M54)+M49)</f>
        <v>0</v>
      </c>
      <c r="N55" s="14" t="n">
        <f aca="false">((N53+N54)+N49)</f>
        <v>0.6</v>
      </c>
      <c r="O55" s="14" t="n">
        <f aca="false">((O53+O54)+O49)</f>
        <v>0</v>
      </c>
      <c r="P55" s="14" t="n">
        <f aca="false">((P53+P54)+P49)</f>
        <v>0</v>
      </c>
      <c r="Q55" s="14" t="n">
        <f aca="false">((Q53+Q54)+Q49)</f>
        <v>0</v>
      </c>
      <c r="R55" s="14" t="n">
        <f aca="false">((R53+R54)+R49)</f>
        <v>0</v>
      </c>
      <c r="S55" s="14" t="n">
        <f aca="false">((S53+S54)+S49)</f>
        <v>0</v>
      </c>
      <c r="T55" s="14" t="n">
        <f aca="false">((T53+T54)+T49)</f>
        <v>0</v>
      </c>
      <c r="U55" s="14" t="n">
        <f aca="false">((U53+U54)+U49)</f>
        <v>0</v>
      </c>
      <c r="V55" s="14" t="n">
        <f aca="false">((V53+V54)+V49)</f>
        <v>0.5</v>
      </c>
      <c r="W55" s="14" t="n">
        <f aca="false">((W53+W54)+W49)</f>
        <v>0</v>
      </c>
      <c r="X55" s="14" t="n">
        <f aca="false">((X53+X54)+X49)</f>
        <v>0</v>
      </c>
      <c r="Y55" s="14" t="n">
        <f aca="false">((Y53+Y54)+Y49)</f>
        <v>1.2</v>
      </c>
      <c r="Z55" s="14" t="n">
        <f aca="false">((Z53+Z54)+Z49)</f>
        <v>0</v>
      </c>
      <c r="AA55" s="14" t="n">
        <f aca="false">((AA53+AA54)+AA49)</f>
        <v>0</v>
      </c>
      <c r="AB55" s="14" t="n">
        <f aca="false">((AB53+AB54)+AB49)</f>
        <v>1.4</v>
      </c>
      <c r="AC55" s="14" t="n">
        <f aca="false">((AC53+AC54)+AC49)</f>
        <v>0</v>
      </c>
      <c r="AD55" s="14" t="n">
        <f aca="false">((AD53+AD54)+AD49)</f>
        <v>0</v>
      </c>
      <c r="AE55" s="14" t="n">
        <f aca="false">((AE53+AE54)+AE49)</f>
        <v>3</v>
      </c>
      <c r="AF55" s="14" t="n">
        <f aca="false">((AF53+AF54)+AF49)</f>
        <v>0</v>
      </c>
      <c r="AG55" s="14" t="n">
        <f aca="false">((AG53+AG54)+AG49)</f>
        <v>0</v>
      </c>
      <c r="AH55" s="14" t="n">
        <f aca="false">((AH53+AH54)+AH49)</f>
        <v>3.5</v>
      </c>
      <c r="AI55" s="14" t="n">
        <f aca="false">((AI53+AI54)+AI49)</f>
        <v>0</v>
      </c>
      <c r="AJ55" s="14" t="n">
        <f aca="false">((AJ53+AJ54)+AJ49)</f>
        <v>0</v>
      </c>
      <c r="AK55" s="14" t="n">
        <f aca="false">((AK53+AK54)+AK49)</f>
        <v>4.5</v>
      </c>
      <c r="AL55" s="14" t="n">
        <f aca="false">((AL53+AL54)+AL49)</f>
        <v>0</v>
      </c>
      <c r="AN55" s="36" t="n">
        <f aca="false">SUM(C55:N55)</f>
        <v>0.6</v>
      </c>
      <c r="AO55" s="36" t="n">
        <f aca="false">SUM(O55:Z55)</f>
        <v>1.7</v>
      </c>
      <c r="AP55" s="36" t="n">
        <f aca="false">SUM(AA55:AL55)</f>
        <v>12.4</v>
      </c>
    </row>
    <row r="56" customFormat="false" ht="15" hidden="false" customHeight="false" outlineLevel="0" collapsed="false">
      <c r="A56" s="0" t="s">
        <v>862</v>
      </c>
      <c r="B56" s="0" t="s">
        <v>852</v>
      </c>
      <c r="C56" s="14" t="n">
        <f aca="false">(C55+(C45*0))</f>
        <v>0</v>
      </c>
      <c r="D56" s="14" t="n">
        <f aca="false">(D55+(D45*0))</f>
        <v>0</v>
      </c>
      <c r="E56" s="14" t="n">
        <f aca="false">(E55+(E45*0))</f>
        <v>0</v>
      </c>
      <c r="F56" s="14" t="n">
        <f aca="false">(F55+(F45*0))</f>
        <v>0</v>
      </c>
      <c r="G56" s="14" t="n">
        <f aca="false">(G55+(G45*0))</f>
        <v>0</v>
      </c>
      <c r="H56" s="14" t="n">
        <f aca="false">(H55+(H45*0))</f>
        <v>0</v>
      </c>
      <c r="I56" s="14" t="n">
        <f aca="false">(I55+(I45*0))</f>
        <v>0</v>
      </c>
      <c r="J56" s="14" t="n">
        <f aca="false">(J55+(J45*0))</f>
        <v>0</v>
      </c>
      <c r="K56" s="14" t="n">
        <f aca="false">(K55+(K45*0))</f>
        <v>0</v>
      </c>
      <c r="L56" s="14" t="n">
        <f aca="false">(L55+(L45*0))</f>
        <v>0</v>
      </c>
      <c r="M56" s="14" t="n">
        <f aca="false">(M55+(M45*0))</f>
        <v>0</v>
      </c>
      <c r="N56" s="14" t="n">
        <f aca="false">(N55+(N45*0))</f>
        <v>0.6</v>
      </c>
      <c r="O56" s="14" t="n">
        <f aca="false">(O55+(O45*C56))</f>
        <v>0</v>
      </c>
      <c r="P56" s="14" t="n">
        <f aca="false">(P55+(P45*D56))</f>
        <v>0</v>
      </c>
      <c r="Q56" s="14" t="n">
        <f aca="false">(Q55+(Q45*E56))</f>
        <v>0</v>
      </c>
      <c r="R56" s="14" t="n">
        <f aca="false">(R55+(R45*F56))</f>
        <v>0</v>
      </c>
      <c r="S56" s="14" t="n">
        <f aca="false">(S55+(S45*G56))</f>
        <v>0</v>
      </c>
      <c r="T56" s="14" t="n">
        <f aca="false">(T55+(T45*H56))</f>
        <v>0</v>
      </c>
      <c r="U56" s="14" t="n">
        <f aca="false">(U55+(U45*I56))</f>
        <v>0</v>
      </c>
      <c r="V56" s="14" t="n">
        <f aca="false">(V55+(V45*J56))</f>
        <v>0.5</v>
      </c>
      <c r="W56" s="14" t="n">
        <f aca="false">(W55+(W45*K56))</f>
        <v>0</v>
      </c>
      <c r="X56" s="14" t="n">
        <f aca="false">(X55+(X45*L56))</f>
        <v>0</v>
      </c>
      <c r="Y56" s="14" t="n">
        <f aca="false">(Y55+(Y45*M56))</f>
        <v>1.2</v>
      </c>
      <c r="Z56" s="14" t="n">
        <f aca="false">(Z55+(Z45*N56))</f>
        <v>0.438</v>
      </c>
      <c r="AA56" s="14" t="n">
        <f aca="false">(AA55+(AA45*O56))</f>
        <v>0</v>
      </c>
      <c r="AB56" s="14" t="n">
        <f aca="false">(AB55+(AB45*P56))</f>
        <v>1.4</v>
      </c>
      <c r="AC56" s="14" t="n">
        <f aca="false">(AC55+(AC45*Q56))</f>
        <v>0</v>
      </c>
      <c r="AD56" s="14" t="n">
        <f aca="false">(AD55+(AD45*R56))</f>
        <v>0</v>
      </c>
      <c r="AE56" s="14" t="n">
        <f aca="false">(AE55+(AE45*S56))</f>
        <v>3</v>
      </c>
      <c r="AF56" s="14" t="n">
        <f aca="false">(AF55+(AF45*T56))</f>
        <v>0</v>
      </c>
      <c r="AG56" s="14" t="n">
        <f aca="false">(AG55+(AG45*U56))</f>
        <v>0</v>
      </c>
      <c r="AH56" s="14" t="n">
        <f aca="false">(AH55+(AH45*V56))</f>
        <v>3.94</v>
      </c>
      <c r="AI56" s="14" t="n">
        <f aca="false">(AI55+(AI45*W56))</f>
        <v>0</v>
      </c>
      <c r="AJ56" s="14" t="n">
        <f aca="false">(AJ55+(AJ45*X56))</f>
        <v>0</v>
      </c>
      <c r="AK56" s="14" t="n">
        <f aca="false">(AK55+(AK45*Y56))</f>
        <v>5.556</v>
      </c>
      <c r="AL56" s="14" t="n">
        <f aca="false">(AL55+(AL45*Z56))</f>
        <v>0.38544</v>
      </c>
      <c r="AN56" s="36" t="n">
        <f aca="false">SUM(C56:N56)</f>
        <v>0.6</v>
      </c>
      <c r="AO56" s="36" t="n">
        <f aca="false">SUM(O56:Z56)</f>
        <v>2.138</v>
      </c>
      <c r="AP56" s="36" t="n">
        <f aca="false">SUM(AA56:AL56)</f>
        <v>14.28144</v>
      </c>
    </row>
    <row r="57" customFormat="false" ht="15" hidden="false" customHeight="false" outlineLevel="0" collapsed="false">
      <c r="A57" s="0" t="s">
        <v>863</v>
      </c>
      <c r="B57" s="0" t="s">
        <v>852</v>
      </c>
      <c r="C57" s="14" t="n">
        <f aca="false">C56</f>
        <v>0</v>
      </c>
      <c r="D57" s="14" t="n">
        <f aca="false">SUM(C56:D56)</f>
        <v>0</v>
      </c>
      <c r="E57" s="14" t="n">
        <f aca="false">SUM(C56:E56)</f>
        <v>0</v>
      </c>
      <c r="F57" s="14" t="n">
        <f aca="false">SUM(C56:F56)</f>
        <v>0</v>
      </c>
      <c r="G57" s="14" t="n">
        <f aca="false">SUM(C56:G56)</f>
        <v>0</v>
      </c>
      <c r="H57" s="14" t="n">
        <f aca="false">SUM(C56:H56)</f>
        <v>0</v>
      </c>
      <c r="I57" s="14" t="n">
        <f aca="false">SUM(C56:I56)</f>
        <v>0</v>
      </c>
      <c r="J57" s="14" t="n">
        <f aca="false">SUM(C56:J56)</f>
        <v>0</v>
      </c>
      <c r="K57" s="14" t="n">
        <f aca="false">SUM(C56:K56)</f>
        <v>0</v>
      </c>
      <c r="L57" s="14" t="n">
        <f aca="false">SUM(C56:L56)</f>
        <v>0</v>
      </c>
      <c r="M57" s="14" t="n">
        <f aca="false">SUM(C56:M56)</f>
        <v>0</v>
      </c>
      <c r="N57" s="14" t="n">
        <f aca="false">SUM(C56:N56)</f>
        <v>0.6</v>
      </c>
      <c r="O57" s="14" t="n">
        <f aca="false">SUM(D56:O56)</f>
        <v>0.6</v>
      </c>
      <c r="P57" s="14" t="n">
        <f aca="false">SUM(E56:P56)</f>
        <v>0.6</v>
      </c>
      <c r="Q57" s="14" t="n">
        <f aca="false">SUM(F56:Q56)</f>
        <v>0.6</v>
      </c>
      <c r="R57" s="14" t="n">
        <f aca="false">SUM(G56:R56)</f>
        <v>0.6</v>
      </c>
      <c r="S57" s="14" t="n">
        <f aca="false">SUM(H56:S56)</f>
        <v>0.6</v>
      </c>
      <c r="T57" s="14" t="n">
        <f aca="false">SUM(I56:T56)</f>
        <v>0.6</v>
      </c>
      <c r="U57" s="14" t="n">
        <f aca="false">SUM(J56:U56)</f>
        <v>0.6</v>
      </c>
      <c r="V57" s="14" t="n">
        <f aca="false">SUM(K56:V56)</f>
        <v>1.1</v>
      </c>
      <c r="W57" s="14" t="n">
        <f aca="false">SUM(L56:W56)</f>
        <v>1.1</v>
      </c>
      <c r="X57" s="14" t="n">
        <f aca="false">SUM(M56:X56)</f>
        <v>1.1</v>
      </c>
      <c r="Y57" s="14" t="n">
        <f aca="false">SUM(N56:Y56)</f>
        <v>2.3</v>
      </c>
      <c r="Z57" s="14" t="n">
        <f aca="false">SUM(O56:Z56)</f>
        <v>2.138</v>
      </c>
      <c r="AA57" s="14" t="n">
        <f aca="false">SUM(P56:AA56)</f>
        <v>2.138</v>
      </c>
      <c r="AB57" s="14" t="n">
        <f aca="false">SUM(Q56:AB56)</f>
        <v>3.538</v>
      </c>
      <c r="AC57" s="14" t="n">
        <f aca="false">SUM(R56:AC56)</f>
        <v>3.538</v>
      </c>
      <c r="AD57" s="14" t="n">
        <f aca="false">SUM(S56:AD56)</f>
        <v>3.538</v>
      </c>
      <c r="AE57" s="14" t="n">
        <f aca="false">SUM(T56:AE56)</f>
        <v>6.538</v>
      </c>
      <c r="AF57" s="14" t="n">
        <f aca="false">SUM(U56:AF56)</f>
        <v>6.538</v>
      </c>
      <c r="AG57" s="14" t="n">
        <f aca="false">SUM(V56:AG56)</f>
        <v>6.538</v>
      </c>
      <c r="AH57" s="14" t="n">
        <f aca="false">SUM(W56:AH56)</f>
        <v>9.978</v>
      </c>
      <c r="AI57" s="14" t="n">
        <f aca="false">SUM(X56:AI56)</f>
        <v>9.978</v>
      </c>
      <c r="AJ57" s="14" t="n">
        <f aca="false">SUM(Y56:AJ56)</f>
        <v>9.978</v>
      </c>
      <c r="AK57" s="14" t="n">
        <f aca="false">SUM(Z56:AK56)</f>
        <v>14.334</v>
      </c>
      <c r="AL57" s="14" t="n">
        <f aca="false">SUM(AA56:AL56)</f>
        <v>14.28144</v>
      </c>
      <c r="AN57" s="36" t="n">
        <f aca="false">N57</f>
        <v>0.6</v>
      </c>
      <c r="AO57" s="36" t="n">
        <f aca="false">Z57</f>
        <v>2.138</v>
      </c>
      <c r="AP57" s="36" t="n">
        <f aca="false">AL57</f>
        <v>14.28144</v>
      </c>
    </row>
    <row r="58" customFormat="false" ht="15" hidden="false" customHeight="false" outlineLevel="0" collapsed="false">
      <c r="A58" s="0" t="s">
        <v>864</v>
      </c>
      <c r="B58" s="0" t="s">
        <v>230</v>
      </c>
      <c r="C58" s="9" t="n">
        <f aca="false">((Assumptions!$C$121*(1-Assumptions!$C$29))*$C$10)</f>
        <v>26400</v>
      </c>
      <c r="D58" s="9" t="n">
        <f aca="false">((Assumptions!$C$121*(1-Assumptions!$C$29))*$C$10)</f>
        <v>26400</v>
      </c>
      <c r="E58" s="9" t="n">
        <f aca="false">((Assumptions!$C$121*(1-Assumptions!$C$29))*$C$10)</f>
        <v>26400</v>
      </c>
      <c r="F58" s="9" t="n">
        <f aca="false">((Assumptions!$C$121*(1-Assumptions!$C$29))*$C$10)</f>
        <v>26400</v>
      </c>
      <c r="G58" s="9" t="n">
        <f aca="false">((Assumptions!$C$121*(1-Assumptions!$C$29))*$C$10)</f>
        <v>26400</v>
      </c>
      <c r="H58" s="9" t="n">
        <f aca="false">((Assumptions!$C$121*(1-Assumptions!$C$29))*$C$10)</f>
        <v>26400</v>
      </c>
      <c r="I58" s="9" t="n">
        <f aca="false">((Assumptions!$C$121*(1-Assumptions!$C$29))*$C$10)</f>
        <v>26400</v>
      </c>
      <c r="J58" s="9" t="n">
        <f aca="false">((Assumptions!$C$121*(1-Assumptions!$C$29))*$C$10)</f>
        <v>26400</v>
      </c>
      <c r="K58" s="9" t="n">
        <f aca="false">((Assumptions!$C$121*(1-Assumptions!$C$29))*$C$10)</f>
        <v>26400</v>
      </c>
      <c r="L58" s="9" t="n">
        <f aca="false">((Assumptions!$C$121*(1-Assumptions!$C$29))*$C$10)</f>
        <v>26400</v>
      </c>
      <c r="M58" s="9" t="n">
        <f aca="false">((Assumptions!$C$121*(1-Assumptions!$C$29))*$C$10)</f>
        <v>26400</v>
      </c>
      <c r="N58" s="9" t="n">
        <f aca="false">((Assumptions!$C$121*(1-Assumptions!$C$29))*$C$10)</f>
        <v>26400</v>
      </c>
      <c r="O58" s="9" t="n">
        <f aca="false">((Assumptions!$C$121*(1-Assumptions!$C$29))*$C$10)</f>
        <v>26400</v>
      </c>
      <c r="P58" s="9" t="n">
        <f aca="false">((Assumptions!$C$121*(1-Assumptions!$C$29))*$C$10)</f>
        <v>26400</v>
      </c>
      <c r="Q58" s="9" t="n">
        <f aca="false">((Assumptions!$C$121*(1-Assumptions!$C$29))*$C$10)</f>
        <v>26400</v>
      </c>
      <c r="R58" s="9" t="n">
        <f aca="false">((Assumptions!$C$121*(1-Assumptions!$C$29))*$C$10)</f>
        <v>26400</v>
      </c>
      <c r="S58" s="9" t="n">
        <f aca="false">((Assumptions!$C$121*(1-Assumptions!$C$29))*$C$10)</f>
        <v>26400</v>
      </c>
      <c r="T58" s="9" t="n">
        <f aca="false">((Assumptions!$C$121*(1-Assumptions!$C$29))*$C$10)</f>
        <v>26400</v>
      </c>
      <c r="U58" s="9" t="n">
        <f aca="false">((Assumptions!$C$121*(1-Assumptions!$C$29))*$C$10)</f>
        <v>26400</v>
      </c>
      <c r="V58" s="9" t="n">
        <f aca="false">((Assumptions!$C$121*(1-Assumptions!$C$29))*$C$10)</f>
        <v>26400</v>
      </c>
      <c r="W58" s="9" t="n">
        <f aca="false">((Assumptions!$C$121*(1-Assumptions!$C$29))*$C$10)</f>
        <v>26400</v>
      </c>
      <c r="X58" s="9" t="n">
        <f aca="false">((Assumptions!$C$121*(1-Assumptions!$C$29))*$C$10)</f>
        <v>26400</v>
      </c>
      <c r="Y58" s="9" t="n">
        <f aca="false">((Assumptions!$C$121*(1-Assumptions!$C$29))*$C$10)</f>
        <v>26400</v>
      </c>
      <c r="Z58" s="9" t="n">
        <f aca="false">((Assumptions!$C$121*(1-Assumptions!$C$29))*$C$10)</f>
        <v>26400</v>
      </c>
      <c r="AA58" s="9" t="n">
        <f aca="false">((Assumptions!$C$121*(1-Assumptions!$C$29))*$C$10)</f>
        <v>26400</v>
      </c>
      <c r="AB58" s="9" t="n">
        <f aca="false">((Assumptions!$C$121*(1-Assumptions!$C$29))*$C$10)</f>
        <v>26400</v>
      </c>
      <c r="AC58" s="9" t="n">
        <f aca="false">((Assumptions!$C$121*(1-Assumptions!$C$29))*$C$10)</f>
        <v>26400</v>
      </c>
      <c r="AD58" s="9" t="n">
        <f aca="false">((Assumptions!$C$121*(1-Assumptions!$C$29))*$C$10)</f>
        <v>26400</v>
      </c>
      <c r="AE58" s="9" t="n">
        <f aca="false">((Assumptions!$C$121*(1-Assumptions!$C$29))*$C$10)</f>
        <v>26400</v>
      </c>
      <c r="AF58" s="9" t="n">
        <f aca="false">((Assumptions!$C$121*(1-Assumptions!$C$29))*$C$10)</f>
        <v>26400</v>
      </c>
      <c r="AG58" s="9" t="n">
        <f aca="false">((Assumptions!$C$121*(1-Assumptions!$C$29))*$C$10)</f>
        <v>26400</v>
      </c>
      <c r="AH58" s="9" t="n">
        <f aca="false">((Assumptions!$C$121*(1-Assumptions!$C$29))*$C$10)</f>
        <v>26400</v>
      </c>
      <c r="AI58" s="9" t="n">
        <f aca="false">((Assumptions!$C$121*(1-Assumptions!$C$29))*$C$10)</f>
        <v>26400</v>
      </c>
      <c r="AJ58" s="9" t="n">
        <f aca="false">((Assumptions!$C$121*(1-Assumptions!$C$29))*$C$10)</f>
        <v>26400</v>
      </c>
      <c r="AK58" s="9" t="n">
        <f aca="false">((Assumptions!$C$121*(1-Assumptions!$C$29))*$C$10)</f>
        <v>26400</v>
      </c>
      <c r="AL58" s="9" t="n">
        <f aca="false">((Assumptions!$C$121*(1-Assumptions!$C$29))*$C$10)</f>
        <v>26400</v>
      </c>
    </row>
    <row r="59" customFormat="false" ht="15" hidden="false" customHeight="false" outlineLevel="0" collapsed="false">
      <c r="A59" s="0" t="s">
        <v>865</v>
      </c>
      <c r="B59" s="0" t="s">
        <v>230</v>
      </c>
      <c r="C59" s="9" t="n">
        <f aca="false">((C55*C58)+((C45*(1+Assumptions!$C$31))*0))</f>
        <v>0</v>
      </c>
      <c r="D59" s="9" t="n">
        <f aca="false">((D55*D58)+((D45*(1+Assumptions!$C$31))*0))</f>
        <v>0</v>
      </c>
      <c r="E59" s="9" t="n">
        <f aca="false">((E55*E58)+((E45*(1+Assumptions!$C$31))*0))</f>
        <v>0</v>
      </c>
      <c r="F59" s="9" t="n">
        <f aca="false">((F55*F58)+((F45*(1+Assumptions!$C$31))*0))</f>
        <v>0</v>
      </c>
      <c r="G59" s="9" t="n">
        <f aca="false">((G55*G58)+((G45*(1+Assumptions!$C$31))*0))</f>
        <v>0</v>
      </c>
      <c r="H59" s="9" t="n">
        <f aca="false">((H55*H58)+((H45*(1+Assumptions!$C$31))*0))</f>
        <v>0</v>
      </c>
      <c r="I59" s="9" t="n">
        <f aca="false">((I55*I58)+((I45*(1+Assumptions!$C$31))*0))</f>
        <v>0</v>
      </c>
      <c r="J59" s="9" t="n">
        <f aca="false">((J55*J58)+((J45*(1+Assumptions!$C$31))*0))</f>
        <v>0</v>
      </c>
      <c r="K59" s="9" t="n">
        <f aca="false">((K55*K58)+((K45*(1+Assumptions!$C$31))*0))</f>
        <v>0</v>
      </c>
      <c r="L59" s="9" t="n">
        <f aca="false">((L55*L58)+((L45*(1+Assumptions!$C$31))*0))</f>
        <v>0</v>
      </c>
      <c r="M59" s="9" t="n">
        <f aca="false">((M55*M58)+((M45*(1+Assumptions!$C$31))*0))</f>
        <v>0</v>
      </c>
      <c r="N59" s="9" t="n">
        <f aca="false">((N55*N58)+((N45*(1+Assumptions!$C$31))*0))</f>
        <v>15840</v>
      </c>
      <c r="O59" s="9" t="n">
        <f aca="false">((O55*O58)+((O45*(1+Assumptions!$C$31))*C59))</f>
        <v>0</v>
      </c>
      <c r="P59" s="9" t="n">
        <f aca="false">((P55*P58)+((P45*(1+Assumptions!$C$31))*D59))</f>
        <v>0</v>
      </c>
      <c r="Q59" s="9" t="n">
        <f aca="false">((Q55*Q58)+((Q45*(1+Assumptions!$C$31))*E59))</f>
        <v>0</v>
      </c>
      <c r="R59" s="9" t="n">
        <f aca="false">((R55*R58)+((R45*(1+Assumptions!$C$31))*F59))</f>
        <v>0</v>
      </c>
      <c r="S59" s="9" t="n">
        <f aca="false">((S55*S58)+((S45*(1+Assumptions!$C$31))*G59))</f>
        <v>0</v>
      </c>
      <c r="T59" s="9" t="n">
        <f aca="false">((T55*T58)+((T45*(1+Assumptions!$C$31))*H59))</f>
        <v>0</v>
      </c>
      <c r="U59" s="9" t="n">
        <f aca="false">((U55*U58)+((U45*(1+Assumptions!$C$31))*I59))</f>
        <v>0</v>
      </c>
      <c r="V59" s="9" t="n">
        <f aca="false">((V55*V58)+((V45*(1+Assumptions!$C$31))*J59))</f>
        <v>13200</v>
      </c>
      <c r="W59" s="9" t="n">
        <f aca="false">((W55*W58)+((W45*(1+Assumptions!$C$31))*K59))</f>
        <v>0</v>
      </c>
      <c r="X59" s="9" t="n">
        <f aca="false">((X55*X58)+((X45*(1+Assumptions!$C$31))*L59))</f>
        <v>0</v>
      </c>
      <c r="Y59" s="9" t="n">
        <f aca="false">((Y55*Y58)+((Y45*(1+Assumptions!$C$31))*M59))</f>
        <v>31680</v>
      </c>
      <c r="Z59" s="9" t="n">
        <f aca="false">((Z55*Z58)+((Z45*(1+Assumptions!$C$31))*N59))</f>
        <v>12719.52</v>
      </c>
      <c r="AA59" s="9" t="n">
        <f aca="false">((AA55*AA58)+((AA45*(1+Assumptions!$C$31))*O59))</f>
        <v>0</v>
      </c>
      <c r="AB59" s="9" t="n">
        <f aca="false">((AB55*AB58)+((AB45*(1+Assumptions!$C$31))*P59))</f>
        <v>36960</v>
      </c>
      <c r="AC59" s="9" t="n">
        <f aca="false">((AC55*AC58)+((AC45*(1+Assumptions!$C$31))*Q59))</f>
        <v>0</v>
      </c>
      <c r="AD59" s="9" t="n">
        <f aca="false">((AD55*AD58)+((AD45*(1+Assumptions!$C$31))*R59))</f>
        <v>0</v>
      </c>
      <c r="AE59" s="9" t="n">
        <f aca="false">((AE55*AE58)+((AE45*(1+Assumptions!$C$31))*S59))</f>
        <v>79200</v>
      </c>
      <c r="AF59" s="9" t="n">
        <f aca="false">((AF55*AF58)+((AF45*(1+Assumptions!$C$31))*T59))</f>
        <v>0</v>
      </c>
      <c r="AG59" s="9" t="n">
        <f aca="false">((AG55*AG58)+((AG45*(1+Assumptions!$C$31))*U59))</f>
        <v>0</v>
      </c>
      <c r="AH59" s="9" t="n">
        <f aca="false">((AH55*AH58)+((AH45*(1+Assumptions!$C$31))*V59))</f>
        <v>105177.6</v>
      </c>
      <c r="AI59" s="9" t="n">
        <f aca="false">((AI55*AI58)+((AI45*(1+Assumptions!$C$31))*W59))</f>
        <v>0</v>
      </c>
      <c r="AJ59" s="9" t="n">
        <f aca="false">((AJ55*AJ58)+((AJ45*(1+Assumptions!$C$31))*X59))</f>
        <v>0</v>
      </c>
      <c r="AK59" s="9" t="n">
        <f aca="false">((AK55*AK58)+((AK45*(1+Assumptions!$C$31))*Y59))</f>
        <v>149466.24</v>
      </c>
      <c r="AL59" s="9" t="n">
        <f aca="false">((AL55*AL58)+((AL45*(1+Assumptions!$C$31))*Z59))</f>
        <v>12312.49536</v>
      </c>
      <c r="AN59" s="11" t="n">
        <f aca="false">SUM(C59:N59)</f>
        <v>15840</v>
      </c>
      <c r="AO59" s="11" t="n">
        <f aca="false">SUM(O59:Z59)</f>
        <v>57599.52</v>
      </c>
      <c r="AP59" s="11" t="n">
        <f aca="false">SUM(AA59:AL59)</f>
        <v>383116.33536</v>
      </c>
    </row>
    <row r="60" customFormat="false" ht="15" hidden="false" customHeight="false" outlineLevel="0" collapsed="false">
      <c r="A60" s="0" t="s">
        <v>866</v>
      </c>
      <c r="B60" s="0" t="s">
        <v>230</v>
      </c>
      <c r="C60" s="9" t="n">
        <f aca="false">(Assumptions!$C$126*C53)</f>
        <v>0</v>
      </c>
      <c r="D60" s="9" t="n">
        <f aca="false">(Assumptions!$C$126*D53)</f>
        <v>0</v>
      </c>
      <c r="E60" s="9" t="n">
        <f aca="false">(Assumptions!$C$126*E53)</f>
        <v>0</v>
      </c>
      <c r="F60" s="9" t="n">
        <f aca="false">(Assumptions!$C$126*F53)</f>
        <v>0</v>
      </c>
      <c r="G60" s="9" t="n">
        <f aca="false">(Assumptions!$C$126*G53)</f>
        <v>0</v>
      </c>
      <c r="H60" s="9" t="n">
        <f aca="false">(Assumptions!$C$126*H53)</f>
        <v>0</v>
      </c>
      <c r="I60" s="9" t="n">
        <f aca="false">(Assumptions!$C$126*I53)</f>
        <v>0</v>
      </c>
      <c r="J60" s="9" t="n">
        <f aca="false">(Assumptions!$C$126*J53)</f>
        <v>0</v>
      </c>
      <c r="K60" s="9" t="n">
        <f aca="false">(Assumptions!$C$126*K53)</f>
        <v>0</v>
      </c>
      <c r="L60" s="9" t="n">
        <f aca="false">(Assumptions!$C$126*L53)</f>
        <v>0</v>
      </c>
      <c r="M60" s="9" t="n">
        <f aca="false">(Assumptions!$C$126*M53)</f>
        <v>0</v>
      </c>
      <c r="N60" s="9" t="n">
        <f aca="false">(Assumptions!$C$126*N53)</f>
        <v>0</v>
      </c>
      <c r="O60" s="9" t="n">
        <f aca="false">(Assumptions!$C$126*O53)</f>
        <v>0</v>
      </c>
      <c r="P60" s="9" t="n">
        <f aca="false">(Assumptions!$C$126*P53)</f>
        <v>0</v>
      </c>
      <c r="Q60" s="9" t="n">
        <f aca="false">(Assumptions!$C$126*Q53)</f>
        <v>0</v>
      </c>
      <c r="R60" s="9" t="n">
        <f aca="false">(Assumptions!$C$126*R53)</f>
        <v>0</v>
      </c>
      <c r="S60" s="9" t="n">
        <f aca="false">(Assumptions!$C$126*S53)</f>
        <v>0</v>
      </c>
      <c r="T60" s="9" t="n">
        <f aca="false">(Assumptions!$C$126*T53)</f>
        <v>0</v>
      </c>
      <c r="U60" s="9" t="n">
        <f aca="false">(Assumptions!$C$126*U53)</f>
        <v>0</v>
      </c>
      <c r="V60" s="9" t="n">
        <f aca="false">(Assumptions!$C$126*V53)</f>
        <v>3750</v>
      </c>
      <c r="W60" s="9" t="n">
        <f aca="false">(Assumptions!$C$126*W53)</f>
        <v>0</v>
      </c>
      <c r="X60" s="9" t="n">
        <f aca="false">(Assumptions!$C$126*X53)</f>
        <v>0</v>
      </c>
      <c r="Y60" s="9" t="n">
        <f aca="false">(Assumptions!$C$126*Y53)</f>
        <v>1500</v>
      </c>
      <c r="Z60" s="9" t="n">
        <f aca="false">(Assumptions!$C$126*Z53)</f>
        <v>0</v>
      </c>
      <c r="AA60" s="9" t="n">
        <f aca="false">(Assumptions!$C$126*AA53)</f>
        <v>0</v>
      </c>
      <c r="AB60" s="9" t="n">
        <f aca="false">(Assumptions!$C$126*AB53)</f>
        <v>3000</v>
      </c>
      <c r="AC60" s="9" t="n">
        <f aca="false">(Assumptions!$C$126*AC53)</f>
        <v>0</v>
      </c>
      <c r="AD60" s="9" t="n">
        <f aca="false">(Assumptions!$C$126*AD53)</f>
        <v>0</v>
      </c>
      <c r="AE60" s="9" t="n">
        <f aca="false">(Assumptions!$C$126*AE53)</f>
        <v>7500</v>
      </c>
      <c r="AF60" s="9" t="n">
        <f aca="false">(Assumptions!$C$126*AF53)</f>
        <v>0</v>
      </c>
      <c r="AG60" s="9" t="n">
        <f aca="false">(Assumptions!$C$126*AG53)</f>
        <v>0</v>
      </c>
      <c r="AH60" s="9" t="n">
        <f aca="false">(Assumptions!$C$126*AH53)</f>
        <v>11250</v>
      </c>
      <c r="AI60" s="9" t="n">
        <f aca="false">(Assumptions!$C$126*AI53)</f>
        <v>0</v>
      </c>
      <c r="AJ60" s="9" t="n">
        <f aca="false">(Assumptions!$C$126*AJ53)</f>
        <v>0</v>
      </c>
      <c r="AK60" s="9" t="n">
        <f aca="false">(Assumptions!$C$126*AK53)</f>
        <v>11250</v>
      </c>
      <c r="AL60" s="9" t="n">
        <f aca="false">(Assumptions!$C$126*AL53)</f>
        <v>0</v>
      </c>
      <c r="AN60" s="11" t="n">
        <f aca="false">SUM(C60:N60)</f>
        <v>0</v>
      </c>
      <c r="AO60" s="11" t="n">
        <f aca="false">SUM(O60:Z60)</f>
        <v>5250</v>
      </c>
      <c r="AP60" s="11" t="n">
        <f aca="false">SUM(AA60:AL60)</f>
        <v>33000</v>
      </c>
    </row>
    <row r="61" customFormat="false" ht="15" hidden="false" customHeight="false" outlineLevel="0" collapsed="false">
      <c r="A61" s="0" t="s">
        <v>867</v>
      </c>
      <c r="B61" s="0" t="s">
        <v>230</v>
      </c>
      <c r="C61" s="9" t="n">
        <f aca="false">((C59-C60)/12)</f>
        <v>0</v>
      </c>
      <c r="D61" s="9" t="n">
        <f aca="false">((SUM(C59:D59)-SUM(C60:D60))/12)</f>
        <v>0</v>
      </c>
      <c r="E61" s="9" t="n">
        <f aca="false">((SUM(C59:E59)-SUM(C60:E60))/12)</f>
        <v>0</v>
      </c>
      <c r="F61" s="9" t="n">
        <f aca="false">((SUM(C59:F59)-SUM(C60:F60))/12)</f>
        <v>0</v>
      </c>
      <c r="G61" s="9" t="n">
        <f aca="false">((SUM(C59:G59)-SUM(C60:G60))/12)</f>
        <v>0</v>
      </c>
      <c r="H61" s="9" t="n">
        <f aca="false">((SUM(C59:H59)-SUM(C60:H60))/12)</f>
        <v>0</v>
      </c>
      <c r="I61" s="9" t="n">
        <f aca="false">((SUM(C59:I59)-SUM(C60:I60))/12)</f>
        <v>0</v>
      </c>
      <c r="J61" s="9" t="n">
        <f aca="false">((SUM(C59:J59)-SUM(C60:J60))/12)</f>
        <v>0</v>
      </c>
      <c r="K61" s="9" t="n">
        <f aca="false">((SUM(C59:K59)-SUM(C60:K60))/12)</f>
        <v>0</v>
      </c>
      <c r="L61" s="9" t="n">
        <f aca="false">((SUM(C59:L59)-SUM(C60:L60))/12)</f>
        <v>0</v>
      </c>
      <c r="M61" s="9" t="n">
        <f aca="false">((SUM(C59:M59)-SUM(C60:M60))/12)</f>
        <v>0</v>
      </c>
      <c r="N61" s="9" t="n">
        <f aca="false">((SUM(C59:N59)-SUM(C60:N60))/12)</f>
        <v>1320</v>
      </c>
      <c r="O61" s="9" t="n">
        <f aca="false">((SUM(D59:O59)-SUM(D60:O60))/12)</f>
        <v>1320</v>
      </c>
      <c r="P61" s="9" t="n">
        <f aca="false">((SUM(E59:P59)-SUM(E60:P60))/12)</f>
        <v>1320</v>
      </c>
      <c r="Q61" s="9" t="n">
        <f aca="false">((SUM(F59:Q59)-SUM(F60:Q60))/12)</f>
        <v>1320</v>
      </c>
      <c r="R61" s="9" t="n">
        <f aca="false">((SUM(G59:R59)-SUM(G60:R60))/12)</f>
        <v>1320</v>
      </c>
      <c r="S61" s="9" t="n">
        <f aca="false">((SUM(H59:S59)-SUM(H60:S60))/12)</f>
        <v>1320</v>
      </c>
      <c r="T61" s="9" t="n">
        <f aca="false">((SUM(I59:T59)-SUM(I60:T60))/12)</f>
        <v>1320</v>
      </c>
      <c r="U61" s="9" t="n">
        <f aca="false">((SUM(J59:U59)-SUM(J60:U60))/12)</f>
        <v>1320</v>
      </c>
      <c r="V61" s="9" t="n">
        <f aca="false">((SUM(K59:V59)-SUM(K60:V60))/12)</f>
        <v>2107.5</v>
      </c>
      <c r="W61" s="9" t="n">
        <f aca="false">((SUM(L59:W59)-SUM(L60:W60))/12)</f>
        <v>2107.5</v>
      </c>
      <c r="X61" s="9" t="n">
        <f aca="false">((SUM(M59:X59)-SUM(M60:X60))/12)</f>
        <v>2107.5</v>
      </c>
      <c r="Y61" s="9" t="n">
        <f aca="false">((SUM(N59:Y59)-SUM(N60:Y60))/12)</f>
        <v>4622.5</v>
      </c>
      <c r="Z61" s="9" t="n">
        <f aca="false">((SUM(O59:Z59)-SUM(O60:Z60))/12)</f>
        <v>4362.46</v>
      </c>
      <c r="AA61" s="9" t="n">
        <f aca="false">((SUM(P59:AA59)-SUM(P60:AA60))/12)</f>
        <v>4362.46</v>
      </c>
      <c r="AB61" s="9" t="n">
        <f aca="false">((SUM(Q59:AB59)-SUM(Q60:AB60))/12)</f>
        <v>7192.46</v>
      </c>
      <c r="AC61" s="9" t="n">
        <f aca="false">((SUM(R59:AC59)-SUM(R60:AC60))/12)</f>
        <v>7192.46</v>
      </c>
      <c r="AD61" s="9" t="n">
        <f aca="false">((SUM(S59:AD59)-SUM(S60:AD60))/12)</f>
        <v>7192.46</v>
      </c>
      <c r="AE61" s="9" t="n">
        <f aca="false">((SUM(T59:AE59)-SUM(T60:AE60))/12)</f>
        <v>13167.46</v>
      </c>
      <c r="AF61" s="9" t="n">
        <f aca="false">((SUM(U59:AF59)-SUM(U60:AF60))/12)</f>
        <v>13167.46</v>
      </c>
      <c r="AG61" s="9" t="n">
        <f aca="false">((SUM(V59:AG59)-SUM(V60:AG60))/12)</f>
        <v>13167.46</v>
      </c>
      <c r="AH61" s="9" t="n">
        <f aca="false">((SUM(W59:AH59)-SUM(W60:AH60))/12)</f>
        <v>20207.26</v>
      </c>
      <c r="AI61" s="9" t="n">
        <f aca="false">((SUM(X59:AI59)-SUM(X60:AI60))/12)</f>
        <v>20207.26</v>
      </c>
      <c r="AJ61" s="9" t="n">
        <f aca="false">((SUM(Y59:AJ59)-SUM(Y60:AJ60))/12)</f>
        <v>20207.26</v>
      </c>
      <c r="AK61" s="9" t="n">
        <f aca="false">((SUM(Z59:AK59)-SUM(Z60:AK60))/12)</f>
        <v>29210.28</v>
      </c>
      <c r="AL61" s="9" t="n">
        <f aca="false">((SUM(AA59:AL59)-SUM(AA60:AL60))/12)</f>
        <v>29176.36128</v>
      </c>
      <c r="AN61" s="11" t="n">
        <f aca="false">SUM(C61:N61)</f>
        <v>1320</v>
      </c>
      <c r="AO61" s="11" t="n">
        <f aca="false">SUM(O61:Z61)</f>
        <v>24547.46</v>
      </c>
      <c r="AP61" s="11" t="n">
        <f aca="false">SUM(AA61:AL61)</f>
        <v>184450.64128</v>
      </c>
    </row>
    <row r="62" customFormat="false" ht="15" hidden="false" customHeight="false" outlineLevel="0" collapsed="false">
      <c r="A62" s="0" t="s">
        <v>868</v>
      </c>
      <c r="B62" s="0" t="s">
        <v>230</v>
      </c>
      <c r="C62" s="9" t="n">
        <f aca="false">(C59-C60)</f>
        <v>0</v>
      </c>
      <c r="D62" s="9" t="n">
        <f aca="false">(D59-D60)</f>
        <v>0</v>
      </c>
      <c r="E62" s="9" t="n">
        <f aca="false">(E59-E60)</f>
        <v>0</v>
      </c>
      <c r="F62" s="9" t="n">
        <f aca="false">(F59-F60)</f>
        <v>0</v>
      </c>
      <c r="G62" s="9" t="n">
        <f aca="false">(G59-G60)</f>
        <v>0</v>
      </c>
      <c r="H62" s="9" t="n">
        <f aca="false">(H59-H60)</f>
        <v>0</v>
      </c>
      <c r="I62" s="9" t="n">
        <f aca="false">(I59-I60)</f>
        <v>0</v>
      </c>
      <c r="J62" s="9" t="n">
        <f aca="false">(J59-J60)</f>
        <v>0</v>
      </c>
      <c r="K62" s="9" t="n">
        <f aca="false">(K59-K60)</f>
        <v>0</v>
      </c>
      <c r="L62" s="9" t="n">
        <f aca="false">(L59-L60)</f>
        <v>0</v>
      </c>
      <c r="M62" s="9" t="n">
        <f aca="false">(M59-M60)</f>
        <v>0</v>
      </c>
      <c r="N62" s="9" t="n">
        <f aca="false">(N59-N60)</f>
        <v>15840</v>
      </c>
      <c r="O62" s="9" t="n">
        <f aca="false">(O59-O60)</f>
        <v>0</v>
      </c>
      <c r="P62" s="9" t="n">
        <f aca="false">(P59-P60)</f>
        <v>0</v>
      </c>
      <c r="Q62" s="9" t="n">
        <f aca="false">(Q59-Q60)</f>
        <v>0</v>
      </c>
      <c r="R62" s="9" t="n">
        <f aca="false">(R59-R60)</f>
        <v>0</v>
      </c>
      <c r="S62" s="9" t="n">
        <f aca="false">(S59-S60)</f>
        <v>0</v>
      </c>
      <c r="T62" s="9" t="n">
        <f aca="false">(T59-T60)</f>
        <v>0</v>
      </c>
      <c r="U62" s="9" t="n">
        <f aca="false">(U59-U60)</f>
        <v>0</v>
      </c>
      <c r="V62" s="9" t="n">
        <f aca="false">(V59-V60)</f>
        <v>9450</v>
      </c>
      <c r="W62" s="9" t="n">
        <f aca="false">(W59-W60)</f>
        <v>0</v>
      </c>
      <c r="X62" s="9" t="n">
        <f aca="false">(X59-X60)</f>
        <v>0</v>
      </c>
      <c r="Y62" s="9" t="n">
        <f aca="false">(Y59-Y60)</f>
        <v>30180</v>
      </c>
      <c r="Z62" s="9" t="n">
        <f aca="false">(Z59-Z60)</f>
        <v>12719.52</v>
      </c>
      <c r="AA62" s="9" t="n">
        <f aca="false">(AA59-AA60)</f>
        <v>0</v>
      </c>
      <c r="AB62" s="9" t="n">
        <f aca="false">(AB59-AB60)</f>
        <v>33960</v>
      </c>
      <c r="AC62" s="9" t="n">
        <f aca="false">(AC59-AC60)</f>
        <v>0</v>
      </c>
      <c r="AD62" s="9" t="n">
        <f aca="false">(AD59-AD60)</f>
        <v>0</v>
      </c>
      <c r="AE62" s="9" t="n">
        <f aca="false">(AE59-AE60)</f>
        <v>71700</v>
      </c>
      <c r="AF62" s="9" t="n">
        <f aca="false">(AF59-AF60)</f>
        <v>0</v>
      </c>
      <c r="AG62" s="9" t="n">
        <f aca="false">(AG59-AG60)</f>
        <v>0</v>
      </c>
      <c r="AH62" s="9" t="n">
        <f aca="false">(AH59-AH60)</f>
        <v>93927.6</v>
      </c>
      <c r="AI62" s="9" t="n">
        <f aca="false">(AI59-AI60)</f>
        <v>0</v>
      </c>
      <c r="AJ62" s="9" t="n">
        <f aca="false">(AJ59-AJ60)</f>
        <v>0</v>
      </c>
      <c r="AK62" s="9" t="n">
        <f aca="false">(AK59-AK60)</f>
        <v>138216.24</v>
      </c>
      <c r="AL62" s="9" t="n">
        <f aca="false">(AL59-AL60)</f>
        <v>12312.49536</v>
      </c>
      <c r="AN62" s="11" t="n">
        <f aca="false">SUM(C62:N62)</f>
        <v>15840</v>
      </c>
      <c r="AO62" s="11" t="n">
        <f aca="false">SUM(O62:Z62)</f>
        <v>52349.52</v>
      </c>
      <c r="AP62" s="11" t="n">
        <f aca="false">SUM(AA62:AL62)</f>
        <v>350116.33536</v>
      </c>
    </row>
    <row r="63" customFormat="false" ht="15" hidden="false" customHeight="false" outlineLevel="0" collapsed="false">
      <c r="A63" s="0" t="s">
        <v>869</v>
      </c>
      <c r="B63" s="0" t="s">
        <v>230</v>
      </c>
      <c r="C63" s="9" t="n">
        <f aca="false">(((Assumptions!$C$122*$C$10)/6)*C52)</f>
        <v>0</v>
      </c>
      <c r="D63" s="9" t="n">
        <f aca="false">(((Assumptions!$C$122*$C$10)/6)*D52)</f>
        <v>0</v>
      </c>
      <c r="E63" s="9" t="n">
        <f aca="false">(((Assumptions!$C$122*$C$10)/6)*E52)</f>
        <v>0</v>
      </c>
      <c r="F63" s="9" t="n">
        <f aca="false">(((Assumptions!$C$122*$C$10)/6)*F52)</f>
        <v>0</v>
      </c>
      <c r="G63" s="9" t="n">
        <f aca="false">(((Assumptions!$C$122*$C$10)/6)*G52)</f>
        <v>0</v>
      </c>
      <c r="H63" s="9" t="n">
        <f aca="false">(((Assumptions!$C$122*$C$10)/6)*H52)</f>
        <v>0</v>
      </c>
      <c r="I63" s="9" t="n">
        <f aca="false">(((Assumptions!$C$122*$C$10)/6)*I52)</f>
        <v>0</v>
      </c>
      <c r="J63" s="9" t="n">
        <f aca="false">(((Assumptions!$C$122*$C$10)/6)*J52)</f>
        <v>0</v>
      </c>
      <c r="K63" s="9" t="n">
        <f aca="false">(((Assumptions!$C$122*$C$10)/6)*K52)</f>
        <v>0</v>
      </c>
      <c r="L63" s="9" t="n">
        <f aca="false">(((Assumptions!$C$122*$C$10)/6)*L52)</f>
        <v>0</v>
      </c>
      <c r="M63" s="9" t="n">
        <f aca="false">(((Assumptions!$C$122*$C$10)/6)*M52)</f>
        <v>0</v>
      </c>
      <c r="N63" s="9" t="n">
        <f aca="false">(((Assumptions!$C$122*$C$10)/6)*N52)</f>
        <v>0</v>
      </c>
      <c r="O63" s="9" t="n">
        <f aca="false">(((Assumptions!$C$122*$C$10)/6)*O52)</f>
        <v>2500</v>
      </c>
      <c r="P63" s="9" t="n">
        <f aca="false">(((Assumptions!$C$122*$C$10)/6)*P52)</f>
        <v>2500</v>
      </c>
      <c r="Q63" s="9" t="n">
        <f aca="false">(((Assumptions!$C$122*$C$10)/6)*Q52)</f>
        <v>2500</v>
      </c>
      <c r="R63" s="9" t="n">
        <f aca="false">(((Assumptions!$C$122*$C$10)/6)*R52)</f>
        <v>3500</v>
      </c>
      <c r="S63" s="9" t="n">
        <f aca="false">(((Assumptions!$C$122*$C$10)/6)*S52)</f>
        <v>3500</v>
      </c>
      <c r="T63" s="9" t="n">
        <f aca="false">(((Assumptions!$C$122*$C$10)/6)*T52)</f>
        <v>3500</v>
      </c>
      <c r="U63" s="9" t="n">
        <f aca="false">(((Assumptions!$C$122*$C$10)/6)*U52)</f>
        <v>3000</v>
      </c>
      <c r="V63" s="9" t="n">
        <f aca="false">(((Assumptions!$C$122*$C$10)/6)*V52)</f>
        <v>3000</v>
      </c>
      <c r="W63" s="9" t="n">
        <f aca="false">(((Assumptions!$C$122*$C$10)/6)*W52)</f>
        <v>3000</v>
      </c>
      <c r="X63" s="9" t="n">
        <f aca="false">(((Assumptions!$C$122*$C$10)/6)*X52)</f>
        <v>7000</v>
      </c>
      <c r="Y63" s="9" t="n">
        <f aca="false">(((Assumptions!$C$122*$C$10)/6)*Y52)</f>
        <v>7000</v>
      </c>
      <c r="Z63" s="9" t="n">
        <f aca="false">(((Assumptions!$C$122*$C$10)/6)*Z52)</f>
        <v>7000</v>
      </c>
      <c r="AA63" s="9" t="n">
        <f aca="false">(((Assumptions!$C$122*$C$10)/6)*AA52)</f>
        <v>12500</v>
      </c>
      <c r="AB63" s="9" t="n">
        <f aca="false">(((Assumptions!$C$122*$C$10)/6)*AB52)</f>
        <v>12500</v>
      </c>
      <c r="AC63" s="9" t="n">
        <f aca="false">(((Assumptions!$C$122*$C$10)/6)*AC52)</f>
        <v>12500</v>
      </c>
      <c r="AD63" s="9" t="n">
        <f aca="false">(((Assumptions!$C$122*$C$10)/6)*AD52)</f>
        <v>15000</v>
      </c>
      <c r="AE63" s="9" t="n">
        <f aca="false">(((Assumptions!$C$122*$C$10)/6)*AE52)</f>
        <v>15000</v>
      </c>
      <c r="AF63" s="9" t="n">
        <f aca="false">(((Assumptions!$C$122*$C$10)/6)*AF52)</f>
        <v>15000</v>
      </c>
      <c r="AG63" s="9" t="n">
        <f aca="false">(((Assumptions!$C$122*$C$10)/6)*AG52)</f>
        <v>15000</v>
      </c>
      <c r="AH63" s="9" t="n">
        <f aca="false">(((Assumptions!$C$122*$C$10)/6)*AH52)</f>
        <v>15000</v>
      </c>
      <c r="AI63" s="9" t="n">
        <f aca="false">(((Assumptions!$C$122*$C$10)/6)*AI52)</f>
        <v>15000</v>
      </c>
      <c r="AJ63" s="9" t="n">
        <f aca="false">(((Assumptions!$C$122*$C$10)/6)*AJ52)</f>
        <v>17500</v>
      </c>
      <c r="AK63" s="9" t="n">
        <f aca="false">(((Assumptions!$C$122*$C$10)/6)*AK52)</f>
        <v>17500</v>
      </c>
      <c r="AL63" s="9" t="n">
        <f aca="false">(((Assumptions!$C$122*$C$10)/6)*AL52)</f>
        <v>17500</v>
      </c>
      <c r="AN63" s="11" t="n">
        <f aca="false">SUM(C63:N63)</f>
        <v>0</v>
      </c>
      <c r="AO63" s="11" t="n">
        <f aca="false">SUM(O63:Z63)</f>
        <v>48000</v>
      </c>
      <c r="AP63" s="11" t="n">
        <f aca="false">SUM(AA63:AL63)</f>
        <v>180000</v>
      </c>
    </row>
    <row r="64" customFormat="false" ht="15" hidden="false" customHeight="false" outlineLevel="0" collapsed="false">
      <c r="A64" s="0" t="s">
        <v>870</v>
      </c>
      <c r="B64" s="0" t="s">
        <v>230</v>
      </c>
      <c r="C64" s="9" t="n">
        <f aca="false">((Assumptions!$C$122*$C$10)*C46)</f>
        <v>0</v>
      </c>
      <c r="D64" s="9" t="n">
        <f aca="false">((Assumptions!$C$122*$C$10)*D46)</f>
        <v>0</v>
      </c>
      <c r="E64" s="9" t="n">
        <f aca="false">((Assumptions!$C$122*$C$10)*E46)</f>
        <v>0</v>
      </c>
      <c r="F64" s="9" t="n">
        <f aca="false">((Assumptions!$C$122*$C$10)*F46)</f>
        <v>0</v>
      </c>
      <c r="G64" s="9" t="n">
        <f aca="false">((Assumptions!$C$122*$C$10)*G46)</f>
        <v>0</v>
      </c>
      <c r="H64" s="9" t="n">
        <f aca="false">((Assumptions!$C$122*$C$10)*H46)</f>
        <v>0</v>
      </c>
      <c r="I64" s="9" t="n">
        <f aca="false">((Assumptions!$C$122*$C$10)*I46)</f>
        <v>0</v>
      </c>
      <c r="J64" s="9" t="n">
        <f aca="false">((Assumptions!$C$122*$C$10)*J46)</f>
        <v>0</v>
      </c>
      <c r="K64" s="9" t="n">
        <f aca="false">((Assumptions!$C$122*$C$10)*K46)</f>
        <v>0</v>
      </c>
      <c r="L64" s="9" t="n">
        <f aca="false">((Assumptions!$C$122*$C$10)*L46)</f>
        <v>0</v>
      </c>
      <c r="M64" s="9" t="n">
        <f aca="false">((Assumptions!$C$122*$C$10)*M46)</f>
        <v>0</v>
      </c>
      <c r="N64" s="9" t="n">
        <f aca="false">((Assumptions!$C$122*$C$10)*N46)</f>
        <v>0</v>
      </c>
      <c r="O64" s="9" t="n">
        <f aca="false">((Assumptions!$C$122*$C$10)*O46)</f>
        <v>15000</v>
      </c>
      <c r="P64" s="9" t="n">
        <f aca="false">((Assumptions!$C$122*$C$10)*P46)</f>
        <v>0</v>
      </c>
      <c r="Q64" s="9" t="n">
        <f aca="false">((Assumptions!$C$122*$C$10)*Q46)</f>
        <v>0</v>
      </c>
      <c r="R64" s="9" t="n">
        <f aca="false">((Assumptions!$C$122*$C$10)*R46)</f>
        <v>6000</v>
      </c>
      <c r="S64" s="9" t="n">
        <f aca="false">((Assumptions!$C$122*$C$10)*S46)</f>
        <v>0</v>
      </c>
      <c r="T64" s="9" t="n">
        <f aca="false">((Assumptions!$C$122*$C$10)*T46)</f>
        <v>0</v>
      </c>
      <c r="U64" s="9" t="n">
        <f aca="false">((Assumptions!$C$122*$C$10)*U46)</f>
        <v>12000</v>
      </c>
      <c r="V64" s="9" t="n">
        <f aca="false">((Assumptions!$C$122*$C$10)*V46)</f>
        <v>0</v>
      </c>
      <c r="W64" s="9" t="n">
        <f aca="false">((Assumptions!$C$122*$C$10)*W46)</f>
        <v>0</v>
      </c>
      <c r="X64" s="9" t="n">
        <f aca="false">((Assumptions!$C$122*$C$10)*X46)</f>
        <v>30000</v>
      </c>
      <c r="Y64" s="9" t="n">
        <f aca="false">((Assumptions!$C$122*$C$10)*Y46)</f>
        <v>0</v>
      </c>
      <c r="Z64" s="9" t="n">
        <f aca="false">((Assumptions!$C$122*$C$10)*Z46)</f>
        <v>0</v>
      </c>
      <c r="AA64" s="9" t="n">
        <f aca="false">((Assumptions!$C$122*$C$10)*AA46)</f>
        <v>45000</v>
      </c>
      <c r="AB64" s="9" t="n">
        <f aca="false">((Assumptions!$C$122*$C$10)*AB46)</f>
        <v>0</v>
      </c>
      <c r="AC64" s="9" t="n">
        <f aca="false">((Assumptions!$C$122*$C$10)*AC46)</f>
        <v>0</v>
      </c>
      <c r="AD64" s="9" t="n">
        <f aca="false">((Assumptions!$C$122*$C$10)*AD46)</f>
        <v>45000</v>
      </c>
      <c r="AE64" s="9" t="n">
        <f aca="false">((Assumptions!$C$122*$C$10)*AE46)</f>
        <v>0</v>
      </c>
      <c r="AF64" s="9" t="n">
        <f aca="false">((Assumptions!$C$122*$C$10)*AF46)</f>
        <v>0</v>
      </c>
      <c r="AG64" s="9" t="n">
        <f aca="false">((Assumptions!$C$122*$C$10)*AG46)</f>
        <v>45000</v>
      </c>
      <c r="AH64" s="9" t="n">
        <f aca="false">((Assumptions!$C$122*$C$10)*AH46)</f>
        <v>0</v>
      </c>
      <c r="AI64" s="9" t="n">
        <f aca="false">((Assumptions!$C$122*$C$10)*AI46)</f>
        <v>0</v>
      </c>
      <c r="AJ64" s="9" t="n">
        <f aca="false">((Assumptions!$C$122*$C$10)*AJ46)</f>
        <v>60000</v>
      </c>
      <c r="AK64" s="9" t="n">
        <f aca="false">((Assumptions!$C$122*$C$10)*AK46)</f>
        <v>0</v>
      </c>
      <c r="AL64" s="9" t="n">
        <f aca="false">((Assumptions!$C$122*$C$10)*AL46)</f>
        <v>0</v>
      </c>
      <c r="AN64" s="11" t="n">
        <f aca="false">SUM(C64:N64)</f>
        <v>0</v>
      </c>
      <c r="AO64" s="11" t="n">
        <f aca="false">SUM(O64:Z64)</f>
        <v>63000</v>
      </c>
      <c r="AP64" s="11" t="n">
        <f aca="false">SUM(AA64:AL64)</f>
        <v>195000</v>
      </c>
    </row>
    <row r="65" customFormat="false" ht="15" hidden="false" customHeight="false" outlineLevel="0" collapsed="false">
      <c r="A65" s="0" t="s">
        <v>871</v>
      </c>
      <c r="B65" s="0" t="s">
        <v>230</v>
      </c>
      <c r="C65" s="9" t="n">
        <f aca="false">((Assumptions!$C$123*$C$10)+(Assumptions!$C$34*Assumptions!$C$35))</f>
        <v>21000</v>
      </c>
      <c r="D65" s="9" t="n">
        <f aca="false">((Assumptions!$C$123*$C$10)+(Assumptions!$C$34*Assumptions!$C$35))</f>
        <v>21000</v>
      </c>
      <c r="E65" s="9" t="n">
        <f aca="false">((Assumptions!$C$123*$C$10)+(Assumptions!$C$34*Assumptions!$C$35))</f>
        <v>21000</v>
      </c>
      <c r="F65" s="9" t="n">
        <f aca="false">((Assumptions!$C$123*$C$10)+(Assumptions!$C$34*Assumptions!$C$35))</f>
        <v>21000</v>
      </c>
      <c r="G65" s="9" t="n">
        <f aca="false">((Assumptions!$C$123*$C$10)+(Assumptions!$C$34*Assumptions!$C$35))</f>
        <v>21000</v>
      </c>
      <c r="H65" s="9" t="n">
        <f aca="false">((Assumptions!$C$123*$C$10)+(Assumptions!$C$34*Assumptions!$C$35))</f>
        <v>21000</v>
      </c>
      <c r="I65" s="9" t="n">
        <f aca="false">((Assumptions!$C$123*$C$10)+(Assumptions!$C$34*Assumptions!$C$35))</f>
        <v>21000</v>
      </c>
      <c r="J65" s="9" t="n">
        <f aca="false">((Assumptions!$C$123*$C$10)+(Assumptions!$C$34*Assumptions!$C$35))</f>
        <v>21000</v>
      </c>
      <c r="K65" s="9" t="n">
        <f aca="false">((Assumptions!$C$123*$C$10)+(Assumptions!$C$34*Assumptions!$C$35))</f>
        <v>21000</v>
      </c>
      <c r="L65" s="9" t="n">
        <f aca="false">((Assumptions!$C$123*$C$10)+(Assumptions!$C$34*Assumptions!$C$35))</f>
        <v>21000</v>
      </c>
      <c r="M65" s="9" t="n">
        <f aca="false">((Assumptions!$C$123*$C$10)+(Assumptions!$C$34*Assumptions!$C$35))</f>
        <v>21000</v>
      </c>
      <c r="N65" s="9" t="n">
        <f aca="false">((Assumptions!$C$123*$C$10)+(Assumptions!$C$34*Assumptions!$C$35))</f>
        <v>21000</v>
      </c>
      <c r="O65" s="9" t="n">
        <f aca="false">((Assumptions!$C$123*$C$10)+(Assumptions!$C$34*Assumptions!$C$35))</f>
        <v>21000</v>
      </c>
      <c r="P65" s="9" t="n">
        <f aca="false">((Assumptions!$C$123*$C$10)+(Assumptions!$C$34*Assumptions!$C$35))</f>
        <v>21000</v>
      </c>
      <c r="Q65" s="9" t="n">
        <f aca="false">((Assumptions!$C$123*$C$10)+(Assumptions!$C$34*Assumptions!$C$35))</f>
        <v>21000</v>
      </c>
      <c r="R65" s="9" t="n">
        <f aca="false">((Assumptions!$C$123*$C$10)+(Assumptions!$C$34*Assumptions!$C$35))</f>
        <v>21000</v>
      </c>
      <c r="S65" s="9" t="n">
        <f aca="false">((Assumptions!$C$123*$C$10)+(Assumptions!$C$34*Assumptions!$C$35))</f>
        <v>21000</v>
      </c>
      <c r="T65" s="9" t="n">
        <f aca="false">((Assumptions!$C$123*$C$10)+(Assumptions!$C$34*Assumptions!$C$35))</f>
        <v>21000</v>
      </c>
      <c r="U65" s="9" t="n">
        <f aca="false">((Assumptions!$C$123*$C$10)+(Assumptions!$C$34*Assumptions!$C$35))</f>
        <v>21000</v>
      </c>
      <c r="V65" s="9" t="n">
        <f aca="false">((Assumptions!$C$123*$C$10)+(Assumptions!$C$34*Assumptions!$C$35))</f>
        <v>21000</v>
      </c>
      <c r="W65" s="9" t="n">
        <f aca="false">((Assumptions!$C$123*$C$10)+(Assumptions!$C$34*Assumptions!$C$35))</f>
        <v>21000</v>
      </c>
      <c r="X65" s="9" t="n">
        <f aca="false">((Assumptions!$C$123*$C$10)+(Assumptions!$C$34*Assumptions!$C$35))</f>
        <v>21000</v>
      </c>
      <c r="Y65" s="9" t="n">
        <f aca="false">((Assumptions!$C$123*$C$10)+(Assumptions!$C$34*Assumptions!$C$35))</f>
        <v>21000</v>
      </c>
      <c r="Z65" s="9" t="n">
        <f aca="false">((Assumptions!$C$123*$C$10)+(Assumptions!$C$34*Assumptions!$C$35))</f>
        <v>21000</v>
      </c>
      <c r="AA65" s="9" t="n">
        <f aca="false">((Assumptions!$C$123*$C$10)+(Assumptions!$C$34*Assumptions!$C$35))</f>
        <v>21000</v>
      </c>
      <c r="AB65" s="9" t="n">
        <f aca="false">((Assumptions!$C$123*$C$10)+(Assumptions!$C$34*Assumptions!$C$35))</f>
        <v>21000</v>
      </c>
      <c r="AC65" s="9" t="n">
        <f aca="false">((Assumptions!$C$123*$C$10)+(Assumptions!$C$34*Assumptions!$C$35))</f>
        <v>21000</v>
      </c>
      <c r="AD65" s="9" t="n">
        <f aca="false">((Assumptions!$C$123*$C$10)+(Assumptions!$C$34*Assumptions!$C$35))</f>
        <v>21000</v>
      </c>
      <c r="AE65" s="9" t="n">
        <f aca="false">((Assumptions!$C$123*$C$10)+(Assumptions!$C$34*Assumptions!$C$35))</f>
        <v>21000</v>
      </c>
      <c r="AF65" s="9" t="n">
        <f aca="false">((Assumptions!$C$123*$C$10)+(Assumptions!$C$34*Assumptions!$C$35))</f>
        <v>21000</v>
      </c>
      <c r="AG65" s="9" t="n">
        <f aca="false">((Assumptions!$C$123*$C$10)+(Assumptions!$C$34*Assumptions!$C$35))</f>
        <v>21000</v>
      </c>
      <c r="AH65" s="9" t="n">
        <f aca="false">((Assumptions!$C$123*$C$10)+(Assumptions!$C$34*Assumptions!$C$35))</f>
        <v>21000</v>
      </c>
      <c r="AI65" s="9" t="n">
        <f aca="false">((Assumptions!$C$123*$C$10)+(Assumptions!$C$34*Assumptions!$C$35))</f>
        <v>21000</v>
      </c>
      <c r="AJ65" s="9" t="n">
        <f aca="false">((Assumptions!$C$123*$C$10)+(Assumptions!$C$34*Assumptions!$C$35))</f>
        <v>21000</v>
      </c>
      <c r="AK65" s="9" t="n">
        <f aca="false">((Assumptions!$C$123*$C$10)+(Assumptions!$C$34*Assumptions!$C$35))</f>
        <v>21000</v>
      </c>
      <c r="AL65" s="9" t="n">
        <f aca="false">((Assumptions!$C$123*$C$10)+(Assumptions!$C$34*Assumptions!$C$35))</f>
        <v>21000</v>
      </c>
    </row>
    <row r="66" customFormat="false" ht="15" hidden="false" customHeight="false" outlineLevel="0" collapsed="false">
      <c r="A66" s="0" t="s">
        <v>872</v>
      </c>
      <c r="B66" s="0" t="s">
        <v>230</v>
      </c>
      <c r="C66" s="9" t="n">
        <f aca="false">((C65/3)*C50)</f>
        <v>0</v>
      </c>
      <c r="D66" s="9" t="n">
        <f aca="false">((D65/3)*SUM(C50:D50))</f>
        <v>0</v>
      </c>
      <c r="E66" s="9" t="n">
        <f aca="false">((E65/3)*SUM(C50:E50))</f>
        <v>0</v>
      </c>
      <c r="F66" s="9" t="n">
        <f aca="false">((F65/3)*SUM(D50:F50))</f>
        <v>0</v>
      </c>
      <c r="G66" s="9" t="n">
        <f aca="false">((G65/3)*SUM(E50:G50))</f>
        <v>0</v>
      </c>
      <c r="H66" s="9" t="n">
        <f aca="false">((H65/3)*SUM(F50:H50))</f>
        <v>0</v>
      </c>
      <c r="I66" s="9" t="n">
        <f aca="false">((I65/3)*SUM(G50:I50))</f>
        <v>0</v>
      </c>
      <c r="J66" s="9" t="n">
        <f aca="false">((J65/3)*SUM(H50:J50))</f>
        <v>0</v>
      </c>
      <c r="K66" s="9" t="n">
        <f aca="false">((K65/3)*SUM(I50:K50))</f>
        <v>0</v>
      </c>
      <c r="L66" s="9" t="n">
        <f aca="false">((L65/3)*SUM(J50:L50))</f>
        <v>0</v>
      </c>
      <c r="M66" s="9" t="n">
        <f aca="false">((M65/3)*SUM(K50:M50))</f>
        <v>0</v>
      </c>
      <c r="N66" s="9" t="n">
        <f aca="false">((N65/3)*SUM(L50:N50))</f>
        <v>0</v>
      </c>
      <c r="O66" s="9" t="n">
        <f aca="false">((O65/3)*SUM(M50:O50))</f>
        <v>7000</v>
      </c>
      <c r="P66" s="9" t="n">
        <f aca="false">((P65/3)*SUM(N50:P50))</f>
        <v>7000</v>
      </c>
      <c r="Q66" s="9" t="n">
        <f aca="false">((Q65/3)*SUM(O50:Q50))</f>
        <v>7000</v>
      </c>
      <c r="R66" s="9" t="n">
        <f aca="false">((R65/3)*SUM(P50:R50))</f>
        <v>2800</v>
      </c>
      <c r="S66" s="9" t="n">
        <f aca="false">((S65/3)*SUM(Q50:S50))</f>
        <v>2800</v>
      </c>
      <c r="T66" s="9" t="n">
        <f aca="false">((T65/3)*SUM(R50:T50))</f>
        <v>2800</v>
      </c>
      <c r="U66" s="9" t="n">
        <f aca="false">((U65/3)*SUM(S50:U50))</f>
        <v>5600</v>
      </c>
      <c r="V66" s="9" t="n">
        <f aca="false">((V65/3)*SUM(T50:V50))</f>
        <v>5600</v>
      </c>
      <c r="W66" s="9" t="n">
        <f aca="false">((W65/3)*SUM(U50:W50))</f>
        <v>5600</v>
      </c>
      <c r="X66" s="9" t="n">
        <f aca="false">((X65/3)*SUM(V50:X50))</f>
        <v>14000</v>
      </c>
      <c r="Y66" s="9" t="n">
        <f aca="false">((Y65/3)*SUM(W50:Y50))</f>
        <v>21000</v>
      </c>
      <c r="Z66" s="9" t="n">
        <f aca="false">((Z65/3)*SUM(X50:Z50))</f>
        <v>21000</v>
      </c>
      <c r="AA66" s="9" t="n">
        <f aca="false">((AA65/3)*SUM(Y50:AA50))</f>
        <v>28000</v>
      </c>
      <c r="AB66" s="9" t="n">
        <f aca="false">((AB65/3)*SUM(Z50:AB50))</f>
        <v>28000</v>
      </c>
      <c r="AC66" s="9" t="n">
        <f aca="false">((AC65/3)*SUM(AA50:AC50))</f>
        <v>28000</v>
      </c>
      <c r="AD66" s="9" t="n">
        <f aca="false">((AD65/3)*SUM(AB50:AD50))</f>
        <v>28000</v>
      </c>
      <c r="AE66" s="9" t="n">
        <f aca="false">((AE65/3)*SUM(AC50:AE50))</f>
        <v>35000</v>
      </c>
      <c r="AF66" s="9" t="n">
        <f aca="false">((AF65/3)*SUM(AD50:AF50))</f>
        <v>35000</v>
      </c>
      <c r="AG66" s="9" t="n">
        <f aca="false">((AG65/3)*SUM(AE50:AG50))</f>
        <v>35000</v>
      </c>
      <c r="AH66" s="9" t="n">
        <f aca="false">((AH65/3)*SUM(AF50:AH50))</f>
        <v>35000</v>
      </c>
      <c r="AI66" s="9" t="n">
        <f aca="false">((AI65/3)*SUM(AG50:AI50))</f>
        <v>35000</v>
      </c>
      <c r="AJ66" s="9" t="n">
        <f aca="false">((AJ65/3)*SUM(AH50:AJ50))</f>
        <v>42000</v>
      </c>
      <c r="AK66" s="9" t="n">
        <f aca="false">((AK65/3)*SUM(AI50:AK50))</f>
        <v>49000</v>
      </c>
      <c r="AL66" s="9" t="n">
        <f aca="false">((AL65/3)*SUM(AJ50:AL50))</f>
        <v>49000</v>
      </c>
      <c r="AN66" s="11" t="n">
        <f aca="false">SUM(C66:N66)</f>
        <v>0</v>
      </c>
      <c r="AO66" s="11" t="n">
        <f aca="false">SUM(O66:Z66)</f>
        <v>102200</v>
      </c>
      <c r="AP66" s="11" t="n">
        <f aca="false">SUM(AA66:AL66)</f>
        <v>427000</v>
      </c>
    </row>
    <row r="67" customFormat="false" ht="15" hidden="false" customHeight="false" outlineLevel="0" collapsed="false">
      <c r="A67" s="0" t="s">
        <v>873</v>
      </c>
      <c r="B67" s="0" t="s">
        <v>230</v>
      </c>
      <c r="C67" s="9" t="n">
        <f aca="false">(C65*C50)</f>
        <v>0</v>
      </c>
      <c r="D67" s="9" t="n">
        <f aca="false">(D65*D50)</f>
        <v>0</v>
      </c>
      <c r="E67" s="9" t="n">
        <f aca="false">(E65*E50)</f>
        <v>0</v>
      </c>
      <c r="F67" s="9" t="n">
        <f aca="false">(F65*F50)</f>
        <v>0</v>
      </c>
      <c r="G67" s="9" t="n">
        <f aca="false">(G65*G50)</f>
        <v>0</v>
      </c>
      <c r="H67" s="9" t="n">
        <f aca="false">(H65*H50)</f>
        <v>0</v>
      </c>
      <c r="I67" s="9" t="n">
        <f aca="false">(I65*I50)</f>
        <v>0</v>
      </c>
      <c r="J67" s="9" t="n">
        <f aca="false">(J65*J50)</f>
        <v>0</v>
      </c>
      <c r="K67" s="9" t="n">
        <f aca="false">(K65*K50)</f>
        <v>0</v>
      </c>
      <c r="L67" s="9" t="n">
        <f aca="false">(L65*L50)</f>
        <v>0</v>
      </c>
      <c r="M67" s="9" t="n">
        <f aca="false">(M65*M50)</f>
        <v>0</v>
      </c>
      <c r="N67" s="9" t="n">
        <f aca="false">(N65*N50)</f>
        <v>0</v>
      </c>
      <c r="O67" s="9" t="n">
        <f aca="false">(O65*O50)</f>
        <v>21000</v>
      </c>
      <c r="P67" s="9" t="n">
        <f aca="false">(P65*P50)</f>
        <v>0</v>
      </c>
      <c r="Q67" s="9" t="n">
        <f aca="false">(Q65*Q50)</f>
        <v>0</v>
      </c>
      <c r="R67" s="9" t="n">
        <f aca="false">(R65*R50)</f>
        <v>8400</v>
      </c>
      <c r="S67" s="9" t="n">
        <f aca="false">(S65*S50)</f>
        <v>0</v>
      </c>
      <c r="T67" s="9" t="n">
        <f aca="false">(T65*T50)</f>
        <v>0</v>
      </c>
      <c r="U67" s="9" t="n">
        <f aca="false">(U65*U50)</f>
        <v>16800</v>
      </c>
      <c r="V67" s="9" t="n">
        <f aca="false">(V65*V50)</f>
        <v>0</v>
      </c>
      <c r="W67" s="9" t="n">
        <f aca="false">(W65*W50)</f>
        <v>0</v>
      </c>
      <c r="X67" s="9" t="n">
        <f aca="false">(X65*X50)</f>
        <v>42000</v>
      </c>
      <c r="Y67" s="9" t="n">
        <f aca="false">(Y65*Y50)</f>
        <v>21000</v>
      </c>
      <c r="Z67" s="9" t="n">
        <f aca="false">(Z65*Z50)</f>
        <v>0</v>
      </c>
      <c r="AA67" s="9" t="n">
        <f aca="false">(AA65*AA50)</f>
        <v>63000</v>
      </c>
      <c r="AB67" s="9" t="n">
        <f aca="false">(AB65*AB50)</f>
        <v>21000</v>
      </c>
      <c r="AC67" s="9" t="n">
        <f aca="false">(AC65*AC50)</f>
        <v>0</v>
      </c>
      <c r="AD67" s="9" t="n">
        <f aca="false">(AD65*AD50)</f>
        <v>63000</v>
      </c>
      <c r="AE67" s="9" t="n">
        <f aca="false">(AE65*AE50)</f>
        <v>42000</v>
      </c>
      <c r="AF67" s="9" t="n">
        <f aca="false">(AF65*AF50)</f>
        <v>0</v>
      </c>
      <c r="AG67" s="9" t="n">
        <f aca="false">(AG65*AG50)</f>
        <v>63000</v>
      </c>
      <c r="AH67" s="9" t="n">
        <f aca="false">(AH65*AH50)</f>
        <v>42000</v>
      </c>
      <c r="AI67" s="9" t="n">
        <f aca="false">(AI65*AI50)</f>
        <v>0</v>
      </c>
      <c r="AJ67" s="9" t="n">
        <f aca="false">(AJ65*AJ50)</f>
        <v>84000</v>
      </c>
      <c r="AK67" s="9" t="n">
        <f aca="false">(AK65*AK50)</f>
        <v>63000</v>
      </c>
      <c r="AL67" s="9" t="n">
        <f aca="false">(AL65*AL50)</f>
        <v>0</v>
      </c>
      <c r="AN67" s="11" t="n">
        <f aca="false">SUM(C67:N67)</f>
        <v>0</v>
      </c>
      <c r="AO67" s="11" t="n">
        <f aca="false">SUM(O67:Z67)</f>
        <v>109200</v>
      </c>
      <c r="AP67" s="11" t="n">
        <f aca="false">SUM(AA67:AL67)</f>
        <v>441000</v>
      </c>
    </row>
    <row r="68" customFormat="false" ht="15" hidden="false" customHeight="false" outlineLevel="0" collapsed="false">
      <c r="A68" s="0" t="s">
        <v>874</v>
      </c>
      <c r="B68" s="0" t="s">
        <v>285</v>
      </c>
      <c r="C68" s="9" t="n">
        <f aca="false">((C47*Assumptions!$C$124)+(C50*(Assumptions!$C$124+(Assumptions!$C$34*Assumptions!$C$36))))</f>
        <v>0</v>
      </c>
      <c r="D68" s="9" t="n">
        <f aca="false">((D47*Assumptions!$C$124)+(D50*(Assumptions!$C$124+(Assumptions!$C$34*Assumptions!$C$36))))</f>
        <v>0</v>
      </c>
      <c r="E68" s="9" t="n">
        <f aca="false">((E47*Assumptions!$C$124)+(E50*(Assumptions!$C$124+(Assumptions!$C$34*Assumptions!$C$36))))</f>
        <v>0</v>
      </c>
      <c r="F68" s="9" t="n">
        <f aca="false">((F47*Assumptions!$C$124)+(F50*(Assumptions!$C$124+(Assumptions!$C$34*Assumptions!$C$36))))</f>
        <v>0</v>
      </c>
      <c r="G68" s="9" t="n">
        <f aca="false">((G47*Assumptions!$C$124)+(G50*(Assumptions!$C$124+(Assumptions!$C$34*Assumptions!$C$36))))</f>
        <v>115</v>
      </c>
      <c r="H68" s="9" t="n">
        <f aca="false">((H47*Assumptions!$C$124)+(H50*(Assumptions!$C$124+(Assumptions!$C$34*Assumptions!$C$36))))</f>
        <v>0</v>
      </c>
      <c r="I68" s="9" t="n">
        <f aca="false">((I47*Assumptions!$C$124)+(I50*(Assumptions!$C$124+(Assumptions!$C$34*Assumptions!$C$36))))</f>
        <v>0</v>
      </c>
      <c r="J68" s="9" t="n">
        <f aca="false">((J47*Assumptions!$C$124)+(J50*(Assumptions!$C$124+(Assumptions!$C$34*Assumptions!$C$36))))</f>
        <v>0</v>
      </c>
      <c r="K68" s="9" t="n">
        <f aca="false">((K47*Assumptions!$C$124)+(K50*(Assumptions!$C$124+(Assumptions!$C$34*Assumptions!$C$36))))</f>
        <v>0</v>
      </c>
      <c r="L68" s="9" t="n">
        <f aca="false">((L47*Assumptions!$C$124)+(L50*(Assumptions!$C$124+(Assumptions!$C$34*Assumptions!$C$36))))</f>
        <v>0</v>
      </c>
      <c r="M68" s="9" t="n">
        <f aca="false">((M47*Assumptions!$C$124)+(M50*(Assumptions!$C$124+(Assumptions!$C$34*Assumptions!$C$36))))</f>
        <v>0</v>
      </c>
      <c r="N68" s="9" t="n">
        <f aca="false">((N47*Assumptions!$C$124)+(N50*(Assumptions!$C$124+(Assumptions!$C$34*Assumptions!$C$36))))</f>
        <v>0</v>
      </c>
      <c r="O68" s="9" t="n">
        <f aca="false">((O47*Assumptions!$C$124)+(O50*(Assumptions!$C$124+(Assumptions!$C$34*Assumptions!$C$36))))</f>
        <v>159</v>
      </c>
      <c r="P68" s="9" t="n">
        <f aca="false">((P47*Assumptions!$C$124)+(P50*(Assumptions!$C$124+(Assumptions!$C$34*Assumptions!$C$36))))</f>
        <v>0</v>
      </c>
      <c r="Q68" s="9" t="n">
        <f aca="false">((Q47*Assumptions!$C$124)+(Q50*(Assumptions!$C$124+(Assumptions!$C$34*Assumptions!$C$36))))</f>
        <v>0</v>
      </c>
      <c r="R68" s="9" t="n">
        <f aca="false">((R47*Assumptions!$C$124)+(R50*(Assumptions!$C$124+(Assumptions!$C$34*Assumptions!$C$36))))</f>
        <v>63.6</v>
      </c>
      <c r="S68" s="9" t="n">
        <f aca="false">((S47*Assumptions!$C$124)+(S50*(Assumptions!$C$124+(Assumptions!$C$34*Assumptions!$C$36))))</f>
        <v>0</v>
      </c>
      <c r="T68" s="9" t="n">
        <f aca="false">((T47*Assumptions!$C$124)+(T50*(Assumptions!$C$124+(Assumptions!$C$34*Assumptions!$C$36))))</f>
        <v>0</v>
      </c>
      <c r="U68" s="9" t="n">
        <f aca="false">((U47*Assumptions!$C$124)+(U50*(Assumptions!$C$124+(Assumptions!$C$34*Assumptions!$C$36))))</f>
        <v>127.2</v>
      </c>
      <c r="V68" s="9" t="n">
        <f aca="false">((V47*Assumptions!$C$124)+(V50*(Assumptions!$C$124+(Assumptions!$C$34*Assumptions!$C$36))))</f>
        <v>0</v>
      </c>
      <c r="W68" s="9" t="n">
        <f aca="false">((W47*Assumptions!$C$124)+(W50*(Assumptions!$C$124+(Assumptions!$C$34*Assumptions!$C$36))))</f>
        <v>0</v>
      </c>
      <c r="X68" s="9" t="n">
        <f aca="false">((X47*Assumptions!$C$124)+(X50*(Assumptions!$C$124+(Assumptions!$C$34*Assumptions!$C$36))))</f>
        <v>318</v>
      </c>
      <c r="Y68" s="9" t="n">
        <f aca="false">((Y47*Assumptions!$C$124)+(Y50*(Assumptions!$C$124+(Assumptions!$C$34*Assumptions!$C$36))))</f>
        <v>159</v>
      </c>
      <c r="Z68" s="9" t="n">
        <f aca="false">((Z47*Assumptions!$C$124)+(Z50*(Assumptions!$C$124+(Assumptions!$C$34*Assumptions!$C$36))))</f>
        <v>0</v>
      </c>
      <c r="AA68" s="9" t="n">
        <f aca="false">((AA47*Assumptions!$C$124)+(AA50*(Assumptions!$C$124+(Assumptions!$C$34*Assumptions!$C$36))))</f>
        <v>477</v>
      </c>
      <c r="AB68" s="9" t="n">
        <f aca="false">((AB47*Assumptions!$C$124)+(AB50*(Assumptions!$C$124+(Assumptions!$C$34*Assumptions!$C$36))))</f>
        <v>159</v>
      </c>
      <c r="AC68" s="9" t="n">
        <f aca="false">((AC47*Assumptions!$C$124)+(AC50*(Assumptions!$C$124+(Assumptions!$C$34*Assumptions!$C$36))))</f>
        <v>0</v>
      </c>
      <c r="AD68" s="9" t="n">
        <f aca="false">((AD47*Assumptions!$C$124)+(AD50*(Assumptions!$C$124+(Assumptions!$C$34*Assumptions!$C$36))))</f>
        <v>477</v>
      </c>
      <c r="AE68" s="9" t="n">
        <f aca="false">((AE47*Assumptions!$C$124)+(AE50*(Assumptions!$C$124+(Assumptions!$C$34*Assumptions!$C$36))))</f>
        <v>318</v>
      </c>
      <c r="AF68" s="9" t="n">
        <f aca="false">((AF47*Assumptions!$C$124)+(AF50*(Assumptions!$C$124+(Assumptions!$C$34*Assumptions!$C$36))))</f>
        <v>0</v>
      </c>
      <c r="AG68" s="9" t="n">
        <f aca="false">((AG47*Assumptions!$C$124)+(AG50*(Assumptions!$C$124+(Assumptions!$C$34*Assumptions!$C$36))))</f>
        <v>477</v>
      </c>
      <c r="AH68" s="9" t="n">
        <f aca="false">((AH47*Assumptions!$C$124)+(AH50*(Assumptions!$C$124+(Assumptions!$C$34*Assumptions!$C$36))))</f>
        <v>318</v>
      </c>
      <c r="AI68" s="9" t="n">
        <f aca="false">((AI47*Assumptions!$C$124)+(AI50*(Assumptions!$C$124+(Assumptions!$C$34*Assumptions!$C$36))))</f>
        <v>0</v>
      </c>
      <c r="AJ68" s="9" t="n">
        <f aca="false">((AJ47*Assumptions!$C$124)+(AJ50*(Assumptions!$C$124+(Assumptions!$C$34*Assumptions!$C$36))))</f>
        <v>636</v>
      </c>
      <c r="AK68" s="9" t="n">
        <f aca="false">((AK47*Assumptions!$C$124)+(AK50*(Assumptions!$C$124+(Assumptions!$C$34*Assumptions!$C$36))))</f>
        <v>477</v>
      </c>
      <c r="AL68" s="9" t="n">
        <f aca="false">((AL47*Assumptions!$C$124)+(AL50*(Assumptions!$C$124+(Assumptions!$C$34*Assumptions!$C$36))))</f>
        <v>0</v>
      </c>
      <c r="AN68" s="11" t="n">
        <f aca="false">SUM(C68:N68)</f>
        <v>115</v>
      </c>
      <c r="AO68" s="11" t="n">
        <f aca="false">SUM(O68:Z68)</f>
        <v>826.8</v>
      </c>
      <c r="AP68" s="11" t="n">
        <f aca="false">SUM(AA68:AL68)</f>
        <v>3339</v>
      </c>
    </row>
    <row r="69" customFormat="false" ht="15" hidden="false" customHeight="false" outlineLevel="0" collapsed="false">
      <c r="A69" s="0" t="s">
        <v>875</v>
      </c>
      <c r="B69" s="0" t="s">
        <v>852</v>
      </c>
      <c r="C69" s="14" t="n">
        <f aca="false">((IF(OR((C$18-(Assumptions!$C$7-1)-$C$9)&lt;1,(C$18-(Assumptions!$C$7-1)-$C$9)&gt;36),0,INDEX(Schedules!$C$6:$AL$6,(C$18-(Assumptions!$C$7-1)-$C$9)))*$C$7)*C44)</f>
        <v>0</v>
      </c>
      <c r="D69" s="14" t="n">
        <f aca="false">((IF(OR((D$18-(Assumptions!$C$7-1)-$C$9)&lt;1,(D$18-(Assumptions!$C$7-1)-$C$9)&gt;36),0,INDEX(Schedules!$C$6:$AL$6,(D$18-(Assumptions!$C$7-1)-$C$9)))*$C$7)*D44)</f>
        <v>0</v>
      </c>
      <c r="E69" s="14" t="n">
        <f aca="false">((IF(OR((E$18-(Assumptions!$C$7-1)-$C$9)&lt;1,(E$18-(Assumptions!$C$7-1)-$C$9)&gt;36),0,INDEX(Schedules!$C$6:$AL$6,(E$18-(Assumptions!$C$7-1)-$C$9)))*$C$7)*E44)</f>
        <v>0</v>
      </c>
      <c r="F69" s="14" t="n">
        <f aca="false">((IF(OR((F$18-(Assumptions!$C$7-1)-$C$9)&lt;1,(F$18-(Assumptions!$C$7-1)-$C$9)&gt;36),0,INDEX(Schedules!$C$6:$AL$6,(F$18-(Assumptions!$C$7-1)-$C$9)))*$C$7)*F44)</f>
        <v>0</v>
      </c>
      <c r="G69" s="14" t="n">
        <f aca="false">((IF(OR((G$18-(Assumptions!$C$7-1)-$C$9)&lt;1,(G$18-(Assumptions!$C$7-1)-$C$9)&gt;36),0,INDEX(Schedules!$C$6:$AL$6,(G$18-(Assumptions!$C$7-1)-$C$9)))*$C$7)*G44)</f>
        <v>0</v>
      </c>
      <c r="H69" s="14" t="n">
        <f aca="false">((IF(OR((H$18-(Assumptions!$C$7-1)-$C$9)&lt;1,(H$18-(Assumptions!$C$7-1)-$C$9)&gt;36),0,INDEX(Schedules!$C$6:$AL$6,(H$18-(Assumptions!$C$7-1)-$C$9)))*$C$7)*H44)</f>
        <v>0</v>
      </c>
      <c r="I69" s="14" t="n">
        <f aca="false">((IF(OR((I$18-(Assumptions!$C$7-1)-$C$9)&lt;1,(I$18-(Assumptions!$C$7-1)-$C$9)&gt;36),0,INDEX(Schedules!$C$6:$AL$6,(I$18-(Assumptions!$C$7-1)-$C$9)))*$C$7)*I44)</f>
        <v>0</v>
      </c>
      <c r="J69" s="14" t="n">
        <f aca="false">((IF(OR((J$18-(Assumptions!$C$7-1)-$C$9)&lt;1,(J$18-(Assumptions!$C$7-1)-$C$9)&gt;36),0,INDEX(Schedules!$C$6:$AL$6,(J$18-(Assumptions!$C$7-1)-$C$9)))*$C$7)*J44)</f>
        <v>0</v>
      </c>
      <c r="K69" s="14" t="n">
        <f aca="false">((IF(OR((K$18-(Assumptions!$C$7-1)-$C$9)&lt;1,(K$18-(Assumptions!$C$7-1)-$C$9)&gt;36),0,INDEX(Schedules!$C$6:$AL$6,(K$18-(Assumptions!$C$7-1)-$C$9)))*$C$7)*K44)</f>
        <v>0</v>
      </c>
      <c r="L69" s="14" t="n">
        <f aca="false">((IF(OR((L$18-(Assumptions!$C$7-1)-$C$9)&lt;1,(L$18-(Assumptions!$C$7-1)-$C$9)&gt;36),0,INDEX(Schedules!$C$6:$AL$6,(L$18-(Assumptions!$C$7-1)-$C$9)))*$C$7)*L44)</f>
        <v>0</v>
      </c>
      <c r="M69" s="14" t="n">
        <f aca="false">((IF(OR((M$18-(Assumptions!$C$7-1)-$C$9)&lt;1,(M$18-(Assumptions!$C$7-1)-$C$9)&gt;36),0,INDEX(Schedules!$C$6:$AL$6,(M$18-(Assumptions!$C$7-1)-$C$9)))*$C$7)*M44)</f>
        <v>0</v>
      </c>
      <c r="N69" s="14" t="n">
        <f aca="false">((IF(OR((N$18-(Assumptions!$C$7-1)-$C$9)&lt;1,(N$18-(Assumptions!$C$7-1)-$C$9)&gt;36),0,INDEX(Schedules!$C$6:$AL$6,(N$18-(Assumptions!$C$7-1)-$C$9)))*$C$7)*N44)</f>
        <v>0</v>
      </c>
      <c r="O69" s="14" t="n">
        <f aca="false">((IF(OR((O$18-(Assumptions!$C$7-1)-$C$9)&lt;1,(O$18-(Assumptions!$C$7-1)-$C$9)&gt;36),0,INDEX(Schedules!$C$6:$AL$6,(O$18-(Assumptions!$C$7-1)-$C$9)))*$C$7)*O44)</f>
        <v>0</v>
      </c>
      <c r="P69" s="14" t="n">
        <f aca="false">((IF(OR((P$18-(Assumptions!$C$7-1)-$C$9)&lt;1,(P$18-(Assumptions!$C$7-1)-$C$9)&gt;36),0,INDEX(Schedules!$C$6:$AL$6,(P$18-(Assumptions!$C$7-1)-$C$9)))*$C$7)*P44)</f>
        <v>0</v>
      </c>
      <c r="Q69" s="14" t="n">
        <f aca="false">((IF(OR((Q$18-(Assumptions!$C$7-1)-$C$9)&lt;1,(Q$18-(Assumptions!$C$7-1)-$C$9)&gt;36),0,INDEX(Schedules!$C$6:$AL$6,(Q$18-(Assumptions!$C$7-1)-$C$9)))*$C$7)*Q44)</f>
        <v>0</v>
      </c>
      <c r="R69" s="14" t="n">
        <f aca="false">((IF(OR((R$18-(Assumptions!$C$7-1)-$C$9)&lt;1,(R$18-(Assumptions!$C$7-1)-$C$9)&gt;36),0,INDEX(Schedules!$C$6:$AL$6,(R$18-(Assumptions!$C$7-1)-$C$9)))*$C$7)*R44)</f>
        <v>0.4</v>
      </c>
      <c r="S69" s="14" t="n">
        <f aca="false">((IF(OR((S$18-(Assumptions!$C$7-1)-$C$9)&lt;1,(S$18-(Assumptions!$C$7-1)-$C$9)&gt;36),0,INDEX(Schedules!$C$6:$AL$6,(S$18-(Assumptions!$C$7-1)-$C$9)))*$C$7)*S44)</f>
        <v>0</v>
      </c>
      <c r="T69" s="14" t="n">
        <f aca="false">((IF(OR((T$18-(Assumptions!$C$7-1)-$C$9)&lt;1,(T$18-(Assumptions!$C$7-1)-$C$9)&gt;36),0,INDEX(Schedules!$C$6:$AL$6,(T$18-(Assumptions!$C$7-1)-$C$9)))*$C$7)*T44)</f>
        <v>0</v>
      </c>
      <c r="U69" s="14" t="n">
        <f aca="false">((IF(OR((U$18-(Assumptions!$C$7-1)-$C$9)&lt;1,(U$18-(Assumptions!$C$7-1)-$C$9)&gt;36),0,INDEX(Schedules!$C$6:$AL$6,(U$18-(Assumptions!$C$7-1)-$C$9)))*$C$7)*U44)</f>
        <v>0.4</v>
      </c>
      <c r="V69" s="14" t="n">
        <f aca="false">((IF(OR((V$18-(Assumptions!$C$7-1)-$C$9)&lt;1,(V$18-(Assumptions!$C$7-1)-$C$9)&gt;36),0,INDEX(Schedules!$C$6:$AL$6,(V$18-(Assumptions!$C$7-1)-$C$9)))*$C$7)*V44)</f>
        <v>0</v>
      </c>
      <c r="W69" s="14" t="n">
        <f aca="false">((IF(OR((W$18-(Assumptions!$C$7-1)-$C$9)&lt;1,(W$18-(Assumptions!$C$7-1)-$C$9)&gt;36),0,INDEX(Schedules!$C$6:$AL$6,(W$18-(Assumptions!$C$7-1)-$C$9)))*$C$7)*W44)</f>
        <v>0</v>
      </c>
      <c r="X69" s="14" t="n">
        <f aca="false">((IF(OR((X$18-(Assumptions!$C$7-1)-$C$9)&lt;1,(X$18-(Assumptions!$C$7-1)-$C$9)&gt;36),0,INDEX(Schedules!$C$6:$AL$6,(X$18-(Assumptions!$C$7-1)-$C$9)))*$C$7)*X44)</f>
        <v>1</v>
      </c>
      <c r="Y69" s="14" t="n">
        <f aca="false">((IF(OR((Y$18-(Assumptions!$C$7-1)-$C$9)&lt;1,(Y$18-(Assumptions!$C$7-1)-$C$9)&gt;36),0,INDEX(Schedules!$C$6:$AL$6,(Y$18-(Assumptions!$C$7-1)-$C$9)))*$C$7)*Y44)</f>
        <v>0</v>
      </c>
      <c r="Z69" s="14" t="n">
        <f aca="false">((IF(OR((Z$18-(Assumptions!$C$7-1)-$C$9)&lt;1,(Z$18-(Assumptions!$C$7-1)-$C$9)&gt;36),0,INDEX(Schedules!$C$6:$AL$6,(Z$18-(Assumptions!$C$7-1)-$C$9)))*$C$7)*Z44)</f>
        <v>0</v>
      </c>
      <c r="AA69" s="14" t="n">
        <f aca="false">((IF(OR((AA$18-(Assumptions!$C$7-1)-$C$9)&lt;1,(AA$18-(Assumptions!$C$7-1)-$C$9)&gt;36),0,INDEX(Schedules!$C$6:$AL$6,(AA$18-(Assumptions!$C$7-1)-$C$9)))*$C$7)*AA44)</f>
        <v>1</v>
      </c>
      <c r="AB69" s="14" t="n">
        <f aca="false">((IF(OR((AB$18-(Assumptions!$C$7-1)-$C$9)&lt;1,(AB$18-(Assumptions!$C$7-1)-$C$9)&gt;36),0,INDEX(Schedules!$C$6:$AL$6,(AB$18-(Assumptions!$C$7-1)-$C$9)))*$C$7)*AB44)</f>
        <v>0</v>
      </c>
      <c r="AC69" s="14" t="n">
        <f aca="false">((IF(OR((AC$18-(Assumptions!$C$7-1)-$C$9)&lt;1,(AC$18-(Assumptions!$C$7-1)-$C$9)&gt;36),0,INDEX(Schedules!$C$6:$AL$6,(AC$18-(Assumptions!$C$7-1)-$C$9)))*$C$7)*AC44)</f>
        <v>0</v>
      </c>
      <c r="AD69" s="14" t="n">
        <f aca="false">((IF(OR((AD$18-(Assumptions!$C$7-1)-$C$9)&lt;1,(AD$18-(Assumptions!$C$7-1)-$C$9)&gt;36),0,INDEX(Schedules!$C$6:$AL$6,(AD$18-(Assumptions!$C$7-1)-$C$9)))*$C$7)*AD44)</f>
        <v>2</v>
      </c>
      <c r="AE69" s="14" t="n">
        <f aca="false">((IF(OR((AE$18-(Assumptions!$C$7-1)-$C$9)&lt;1,(AE$18-(Assumptions!$C$7-1)-$C$9)&gt;36),0,INDEX(Schedules!$C$6:$AL$6,(AE$18-(Assumptions!$C$7-1)-$C$9)))*$C$7)*AE44)</f>
        <v>0</v>
      </c>
      <c r="AF69" s="14" t="n">
        <f aca="false">((IF(OR((AF$18-(Assumptions!$C$7-1)-$C$9)&lt;1,(AF$18-(Assumptions!$C$7-1)-$C$9)&gt;36),0,INDEX(Schedules!$C$6:$AL$6,(AF$18-(Assumptions!$C$7-1)-$C$9)))*$C$7)*AF44)</f>
        <v>0</v>
      </c>
      <c r="AG69" s="14" t="n">
        <f aca="false">((IF(OR((AG$18-(Assumptions!$C$7-1)-$C$9)&lt;1,(AG$18-(Assumptions!$C$7-1)-$C$9)&gt;36),0,INDEX(Schedules!$C$6:$AL$6,(AG$18-(Assumptions!$C$7-1)-$C$9)))*$C$7)*AG44)</f>
        <v>2</v>
      </c>
      <c r="AH69" s="14" t="n">
        <f aca="false">((IF(OR((AH$18-(Assumptions!$C$7-1)-$C$9)&lt;1,(AH$18-(Assumptions!$C$7-1)-$C$9)&gt;36),0,INDEX(Schedules!$C$6:$AL$6,(AH$18-(Assumptions!$C$7-1)-$C$9)))*$C$7)*AH44)</f>
        <v>0</v>
      </c>
      <c r="AI69" s="14" t="n">
        <f aca="false">((IF(OR((AI$18-(Assumptions!$C$7-1)-$C$9)&lt;1,(AI$18-(Assumptions!$C$7-1)-$C$9)&gt;36),0,INDEX(Schedules!$C$6:$AL$6,(AI$18-(Assumptions!$C$7-1)-$C$9)))*$C$7)*AI44)</f>
        <v>0</v>
      </c>
      <c r="AJ69" s="14" t="n">
        <f aca="false">((IF(OR((AJ$18-(Assumptions!$C$7-1)-$C$9)&lt;1,(AJ$18-(Assumptions!$C$7-1)-$C$9)&gt;36),0,INDEX(Schedules!$C$6:$AL$6,(AJ$18-(Assumptions!$C$7-1)-$C$9)))*$C$7)*AJ44)</f>
        <v>2</v>
      </c>
      <c r="AK69" s="14" t="n">
        <f aca="false">((IF(OR((AK$18-(Assumptions!$C$7-1)-$C$9)&lt;1,(AK$18-(Assumptions!$C$7-1)-$C$9)&gt;36),0,INDEX(Schedules!$C$6:$AL$6,(AK$18-(Assumptions!$C$7-1)-$C$9)))*$C$7)*AK44)</f>
        <v>0</v>
      </c>
      <c r="AL69" s="14" t="n">
        <f aca="false">((IF(OR((AL$18-(Assumptions!$C$7-1)-$C$9)&lt;1,(AL$18-(Assumptions!$C$7-1)-$C$9)&gt;36),0,INDEX(Schedules!$C$6:$AL$6,(AL$18-(Assumptions!$C$7-1)-$C$9)))*$C$7)*AL44)</f>
        <v>0</v>
      </c>
      <c r="AN69" s="36" t="n">
        <f aca="false">SUM(C69:N69)</f>
        <v>0</v>
      </c>
      <c r="AO69" s="36" t="n">
        <f aca="false">SUM(O69:Z69)</f>
        <v>1.8</v>
      </c>
      <c r="AP69" s="36" t="n">
        <f aca="false">SUM(AA69:AL69)</f>
        <v>7</v>
      </c>
    </row>
    <row r="70" customFormat="false" ht="15" hidden="false" customHeight="false" outlineLevel="0" collapsed="false">
      <c r="A70" s="0" t="s">
        <v>876</v>
      </c>
      <c r="B70" s="0" t="s">
        <v>852</v>
      </c>
      <c r="C70" s="14" t="n">
        <f aca="false">INDEX(Schedules!$C$12:$AL$12,C$18)</f>
        <v>0</v>
      </c>
      <c r="D70" s="14" t="n">
        <f aca="false">INDEX(Schedules!$C$12:$AL$12,D$18)</f>
        <v>0</v>
      </c>
      <c r="E70" s="14" t="n">
        <f aca="false">INDEX(Schedules!$C$12:$AL$12,E$18)</f>
        <v>0</v>
      </c>
      <c r="F70" s="14" t="n">
        <f aca="false">INDEX(Schedules!$C$12:$AL$12,F$18)</f>
        <v>0</v>
      </c>
      <c r="G70" s="14" t="n">
        <f aca="false">INDEX(Schedules!$C$12:$AL$12,G$18)</f>
        <v>0</v>
      </c>
      <c r="H70" s="14" t="n">
        <f aca="false">INDEX(Schedules!$C$12:$AL$12,H$18)</f>
        <v>0</v>
      </c>
      <c r="I70" s="14" t="n">
        <f aca="false">INDEX(Schedules!$C$12:$AL$12,I$18)</f>
        <v>0</v>
      </c>
      <c r="J70" s="14" t="n">
        <f aca="false">INDEX(Schedules!$C$12:$AL$12,J$18)</f>
        <v>1</v>
      </c>
      <c r="K70" s="14" t="n">
        <f aca="false">INDEX(Schedules!$C$12:$AL$12,K$18)</f>
        <v>0</v>
      </c>
      <c r="L70" s="14" t="n">
        <f aca="false">INDEX(Schedules!$C$12:$AL$12,L$18)</f>
        <v>0</v>
      </c>
      <c r="M70" s="14" t="n">
        <f aca="false">INDEX(Schedules!$C$12:$AL$12,M$18)</f>
        <v>0</v>
      </c>
      <c r="N70" s="14" t="n">
        <f aca="false">INDEX(Schedules!$C$12:$AL$12,N$18)</f>
        <v>0</v>
      </c>
      <c r="O70" s="14" t="n">
        <f aca="false">INDEX(Schedules!$C$12:$AL$12,O$18)</f>
        <v>0</v>
      </c>
      <c r="P70" s="14" t="n">
        <f aca="false">INDEX(Schedules!$C$12:$AL$12,P$18)</f>
        <v>0</v>
      </c>
      <c r="Q70" s="14" t="n">
        <f aca="false">INDEX(Schedules!$C$12:$AL$12,Q$18)</f>
        <v>0</v>
      </c>
      <c r="R70" s="14" t="n">
        <f aca="false">INDEX(Schedules!$C$12:$AL$12,R$18)</f>
        <v>0</v>
      </c>
      <c r="S70" s="14" t="n">
        <f aca="false">INDEX(Schedules!$C$12:$AL$12,S$18)</f>
        <v>0</v>
      </c>
      <c r="T70" s="14" t="n">
        <f aca="false">INDEX(Schedules!$C$12:$AL$12,T$18)</f>
        <v>0</v>
      </c>
      <c r="U70" s="14" t="n">
        <f aca="false">INDEX(Schedules!$C$12:$AL$12,U$18)</f>
        <v>0</v>
      </c>
      <c r="V70" s="14" t="n">
        <f aca="false">INDEX(Schedules!$C$12:$AL$12,V$18)</f>
        <v>0</v>
      </c>
      <c r="W70" s="14" t="n">
        <f aca="false">INDEX(Schedules!$C$12:$AL$12,W$18)</f>
        <v>0</v>
      </c>
      <c r="X70" s="14" t="n">
        <f aca="false">INDEX(Schedules!$C$12:$AL$12,X$18)</f>
        <v>0</v>
      </c>
      <c r="Y70" s="14" t="n">
        <f aca="false">INDEX(Schedules!$C$12:$AL$12,Y$18)</f>
        <v>0</v>
      </c>
      <c r="Z70" s="14" t="n">
        <f aca="false">INDEX(Schedules!$C$12:$AL$12,Z$18)</f>
        <v>0</v>
      </c>
      <c r="AA70" s="14" t="n">
        <f aca="false">INDEX(Schedules!$C$12:$AL$12,AA$18)</f>
        <v>0</v>
      </c>
      <c r="AB70" s="14" t="n">
        <f aca="false">INDEX(Schedules!$C$12:$AL$12,AB$18)</f>
        <v>0</v>
      </c>
      <c r="AC70" s="14" t="n">
        <f aca="false">INDEX(Schedules!$C$12:$AL$12,AC$18)</f>
        <v>0</v>
      </c>
      <c r="AD70" s="14" t="n">
        <f aca="false">INDEX(Schedules!$C$12:$AL$12,AD$18)</f>
        <v>0</v>
      </c>
      <c r="AE70" s="14" t="n">
        <f aca="false">INDEX(Schedules!$C$12:$AL$12,AE$18)</f>
        <v>0</v>
      </c>
      <c r="AF70" s="14" t="n">
        <f aca="false">INDEX(Schedules!$C$12:$AL$12,AF$18)</f>
        <v>0</v>
      </c>
      <c r="AG70" s="14" t="n">
        <f aca="false">INDEX(Schedules!$C$12:$AL$12,AG$18)</f>
        <v>0</v>
      </c>
      <c r="AH70" s="14" t="n">
        <f aca="false">INDEX(Schedules!$C$12:$AL$12,AH$18)</f>
        <v>0</v>
      </c>
      <c r="AI70" s="14" t="n">
        <f aca="false">INDEX(Schedules!$C$12:$AL$12,AI$18)</f>
        <v>0</v>
      </c>
      <c r="AJ70" s="14" t="n">
        <f aca="false">INDEX(Schedules!$C$12:$AL$12,AJ$18)</f>
        <v>0</v>
      </c>
      <c r="AK70" s="14" t="n">
        <f aca="false">INDEX(Schedules!$C$12:$AL$12,AK$18)</f>
        <v>0</v>
      </c>
      <c r="AL70" s="14" t="n">
        <f aca="false">INDEX(Schedules!$C$12:$AL$12,AL$18)</f>
        <v>0</v>
      </c>
      <c r="AN70" s="36" t="n">
        <f aca="false">SUM(C70:N70)</f>
        <v>1</v>
      </c>
      <c r="AO70" s="36" t="n">
        <f aca="false">SUM(O70:Z70)</f>
        <v>0</v>
      </c>
      <c r="AP70" s="36" t="n">
        <f aca="false">SUM(AA70:AL70)</f>
        <v>0</v>
      </c>
    </row>
    <row r="71" customFormat="false" ht="15" hidden="false" customHeight="false" outlineLevel="0" collapsed="false">
      <c r="A71" s="0" t="s">
        <v>877</v>
      </c>
      <c r="B71" s="0" t="s">
        <v>852</v>
      </c>
      <c r="C71" s="14" t="n">
        <f aca="false">(C69+C70)</f>
        <v>0</v>
      </c>
      <c r="D71" s="14" t="n">
        <f aca="false">(D69+D70)</f>
        <v>0</v>
      </c>
      <c r="E71" s="14" t="n">
        <f aca="false">(E69+E70)</f>
        <v>0</v>
      </c>
      <c r="F71" s="14" t="n">
        <f aca="false">(F69+F70)</f>
        <v>0</v>
      </c>
      <c r="G71" s="14" t="n">
        <f aca="false">(G69+G70)</f>
        <v>0</v>
      </c>
      <c r="H71" s="14" t="n">
        <f aca="false">(H69+H70)</f>
        <v>0</v>
      </c>
      <c r="I71" s="14" t="n">
        <f aca="false">(I69+I70)</f>
        <v>0</v>
      </c>
      <c r="J71" s="14" t="n">
        <f aca="false">(J69+J70)</f>
        <v>1</v>
      </c>
      <c r="K71" s="14" t="n">
        <f aca="false">(K69+K70)</f>
        <v>0</v>
      </c>
      <c r="L71" s="14" t="n">
        <f aca="false">(L69+L70)</f>
        <v>0</v>
      </c>
      <c r="M71" s="14" t="n">
        <f aca="false">(M69+M70)</f>
        <v>0</v>
      </c>
      <c r="N71" s="14" t="n">
        <f aca="false">(N69+N70)</f>
        <v>0</v>
      </c>
      <c r="O71" s="14" t="n">
        <f aca="false">(O69+O70)</f>
        <v>0</v>
      </c>
      <c r="P71" s="14" t="n">
        <f aca="false">(P69+P70)</f>
        <v>0</v>
      </c>
      <c r="Q71" s="14" t="n">
        <f aca="false">(Q69+Q70)</f>
        <v>0</v>
      </c>
      <c r="R71" s="14" t="n">
        <f aca="false">(R69+R70)</f>
        <v>0.4</v>
      </c>
      <c r="S71" s="14" t="n">
        <f aca="false">(S69+S70)</f>
        <v>0</v>
      </c>
      <c r="T71" s="14" t="n">
        <f aca="false">(T69+T70)</f>
        <v>0</v>
      </c>
      <c r="U71" s="14" t="n">
        <f aca="false">(U69+U70)</f>
        <v>0.4</v>
      </c>
      <c r="V71" s="14" t="n">
        <f aca="false">(V69+V70)</f>
        <v>0</v>
      </c>
      <c r="W71" s="14" t="n">
        <f aca="false">(W69+W70)</f>
        <v>0</v>
      </c>
      <c r="X71" s="14" t="n">
        <f aca="false">(X69+X70)</f>
        <v>1</v>
      </c>
      <c r="Y71" s="14" t="n">
        <f aca="false">(Y69+Y70)</f>
        <v>0</v>
      </c>
      <c r="Z71" s="14" t="n">
        <f aca="false">(Z69+Z70)</f>
        <v>0</v>
      </c>
      <c r="AA71" s="14" t="n">
        <f aca="false">(AA69+AA70)</f>
        <v>1</v>
      </c>
      <c r="AB71" s="14" t="n">
        <f aca="false">(AB69+AB70)</f>
        <v>0</v>
      </c>
      <c r="AC71" s="14" t="n">
        <f aca="false">(AC69+AC70)</f>
        <v>0</v>
      </c>
      <c r="AD71" s="14" t="n">
        <f aca="false">(AD69+AD70)</f>
        <v>2</v>
      </c>
      <c r="AE71" s="14" t="n">
        <f aca="false">(AE69+AE70)</f>
        <v>0</v>
      </c>
      <c r="AF71" s="14" t="n">
        <f aca="false">(AF69+AF70)</f>
        <v>0</v>
      </c>
      <c r="AG71" s="14" t="n">
        <f aca="false">(AG69+AG70)</f>
        <v>2</v>
      </c>
      <c r="AH71" s="14" t="n">
        <f aca="false">(AH69+AH70)</f>
        <v>0</v>
      </c>
      <c r="AI71" s="14" t="n">
        <f aca="false">(AI69+AI70)</f>
        <v>0</v>
      </c>
      <c r="AJ71" s="14" t="n">
        <f aca="false">(AJ69+AJ70)</f>
        <v>2</v>
      </c>
      <c r="AK71" s="14" t="n">
        <f aca="false">(AK69+AK70)</f>
        <v>0</v>
      </c>
      <c r="AL71" s="14" t="n">
        <f aca="false">(AL69+AL70)</f>
        <v>0</v>
      </c>
      <c r="AN71" s="36" t="n">
        <f aca="false">SUM(C71:N71)</f>
        <v>1</v>
      </c>
      <c r="AO71" s="36" t="n">
        <f aca="false">SUM(O71:Z71)</f>
        <v>1.8</v>
      </c>
      <c r="AP71" s="36" t="n">
        <f aca="false">SUM(AA71:AL71)</f>
        <v>7</v>
      </c>
    </row>
    <row r="72" customFormat="false" ht="15" hidden="false" customHeight="false" outlineLevel="0" collapsed="false">
      <c r="A72" s="0" t="s">
        <v>878</v>
      </c>
      <c r="B72" s="0" t="s">
        <v>852</v>
      </c>
      <c r="C72" s="14" t="n">
        <f aca="false">((IF(OR((C$18-(Assumptions!$C$8-1)-$C$9)&lt;1,(C$18-(Assumptions!$C$8-1)-$C$9)&gt;36),0,INDEX(Schedules!$C$9:$AL$9,(C$18-(Assumptions!$C$8-1)-$C$9)))*$C$7)*C44)</f>
        <v>0</v>
      </c>
      <c r="D72" s="14" t="n">
        <f aca="false">((IF(OR((D$18-(Assumptions!$C$8-1)-$C$9)&lt;1,(D$18-(Assumptions!$C$8-1)-$C$9)&gt;36),0,INDEX(Schedules!$C$9:$AL$9,(D$18-(Assumptions!$C$8-1)-$C$9)))*$C$7)*D44)</f>
        <v>0</v>
      </c>
      <c r="E72" s="14" t="n">
        <f aca="false">((IF(OR((E$18-(Assumptions!$C$8-1)-$C$9)&lt;1,(E$18-(Assumptions!$C$8-1)-$C$9)&gt;36),0,INDEX(Schedules!$C$9:$AL$9,(E$18-(Assumptions!$C$8-1)-$C$9)))*$C$7)*E44)</f>
        <v>0</v>
      </c>
      <c r="F72" s="14" t="n">
        <f aca="false">((IF(OR((F$18-(Assumptions!$C$8-1)-$C$9)&lt;1,(F$18-(Assumptions!$C$8-1)-$C$9)&gt;36),0,INDEX(Schedules!$C$9:$AL$9,(F$18-(Assumptions!$C$8-1)-$C$9)))*$C$7)*F44)</f>
        <v>0</v>
      </c>
      <c r="G72" s="14" t="n">
        <f aca="false">((IF(OR((G$18-(Assumptions!$C$8-1)-$C$9)&lt;1,(G$18-(Assumptions!$C$8-1)-$C$9)&gt;36),0,INDEX(Schedules!$C$9:$AL$9,(G$18-(Assumptions!$C$8-1)-$C$9)))*$C$7)*G44)</f>
        <v>0</v>
      </c>
      <c r="H72" s="14" t="n">
        <f aca="false">((IF(OR((H$18-(Assumptions!$C$8-1)-$C$9)&lt;1,(H$18-(Assumptions!$C$8-1)-$C$9)&gt;36),0,INDEX(Schedules!$C$9:$AL$9,(H$18-(Assumptions!$C$8-1)-$C$9)))*$C$7)*H44)</f>
        <v>0</v>
      </c>
      <c r="I72" s="14" t="n">
        <f aca="false">((IF(OR((I$18-(Assumptions!$C$8-1)-$C$9)&lt;1,(I$18-(Assumptions!$C$8-1)-$C$9)&gt;36),0,INDEX(Schedules!$C$9:$AL$9,(I$18-(Assumptions!$C$8-1)-$C$9)))*$C$7)*I44)</f>
        <v>0</v>
      </c>
      <c r="J72" s="14" t="n">
        <f aca="false">((IF(OR((J$18-(Assumptions!$C$8-1)-$C$9)&lt;1,(J$18-(Assumptions!$C$8-1)-$C$9)&gt;36),0,INDEX(Schedules!$C$9:$AL$9,(J$18-(Assumptions!$C$8-1)-$C$9)))*$C$7)*J44)</f>
        <v>0</v>
      </c>
      <c r="K72" s="14" t="n">
        <f aca="false">((IF(OR((K$18-(Assumptions!$C$8-1)-$C$9)&lt;1,(K$18-(Assumptions!$C$8-1)-$C$9)&gt;36),0,INDEX(Schedules!$C$9:$AL$9,(K$18-(Assumptions!$C$8-1)-$C$9)))*$C$7)*K44)</f>
        <v>0</v>
      </c>
      <c r="L72" s="14" t="n">
        <f aca="false">((IF(OR((L$18-(Assumptions!$C$8-1)-$C$9)&lt;1,(L$18-(Assumptions!$C$8-1)-$C$9)&gt;36),0,INDEX(Schedules!$C$9:$AL$9,(L$18-(Assumptions!$C$8-1)-$C$9)))*$C$7)*L44)</f>
        <v>0</v>
      </c>
      <c r="M72" s="14" t="n">
        <f aca="false">((IF(OR((M$18-(Assumptions!$C$8-1)-$C$9)&lt;1,(M$18-(Assumptions!$C$8-1)-$C$9)&gt;36),0,INDEX(Schedules!$C$9:$AL$9,(M$18-(Assumptions!$C$8-1)-$C$9)))*$C$7)*M44)</f>
        <v>0</v>
      </c>
      <c r="N72" s="14" t="n">
        <f aca="false">((IF(OR((N$18-(Assumptions!$C$8-1)-$C$9)&lt;1,(N$18-(Assumptions!$C$8-1)-$C$9)&gt;36),0,INDEX(Schedules!$C$9:$AL$9,(N$18-(Assumptions!$C$8-1)-$C$9)))*$C$7)*N44)</f>
        <v>0</v>
      </c>
      <c r="O72" s="14" t="n">
        <f aca="false">((IF(OR((O$18-(Assumptions!$C$8-1)-$C$9)&lt;1,(O$18-(Assumptions!$C$8-1)-$C$9)&gt;36),0,INDEX(Schedules!$C$9:$AL$9,(O$18-(Assumptions!$C$8-1)-$C$9)))*$C$7)*O44)</f>
        <v>0</v>
      </c>
      <c r="P72" s="14" t="n">
        <f aca="false">((IF(OR((P$18-(Assumptions!$C$8-1)-$C$9)&lt;1,(P$18-(Assumptions!$C$8-1)-$C$9)&gt;36),0,INDEX(Schedules!$C$9:$AL$9,(P$18-(Assumptions!$C$8-1)-$C$9)))*$C$7)*P44)</f>
        <v>0</v>
      </c>
      <c r="Q72" s="14" t="n">
        <f aca="false">((IF(OR((Q$18-(Assumptions!$C$8-1)-$C$9)&lt;1,(Q$18-(Assumptions!$C$8-1)-$C$9)&gt;36),0,INDEX(Schedules!$C$9:$AL$9,(Q$18-(Assumptions!$C$8-1)-$C$9)))*$C$7)*Q44)</f>
        <v>0</v>
      </c>
      <c r="R72" s="14" t="n">
        <f aca="false">((IF(OR((R$18-(Assumptions!$C$8-1)-$C$9)&lt;1,(R$18-(Assumptions!$C$8-1)-$C$9)&gt;36),0,INDEX(Schedules!$C$9:$AL$9,(R$18-(Assumptions!$C$8-1)-$C$9)))*$C$7)*R44)</f>
        <v>0</v>
      </c>
      <c r="S72" s="14" t="n">
        <f aca="false">((IF(OR((S$18-(Assumptions!$C$8-1)-$C$9)&lt;1,(S$18-(Assumptions!$C$8-1)-$C$9)&gt;36),0,INDEX(Schedules!$C$9:$AL$9,(S$18-(Assumptions!$C$8-1)-$C$9)))*$C$7)*S44)</f>
        <v>0</v>
      </c>
      <c r="T72" s="14" t="n">
        <f aca="false">((IF(OR((T$18-(Assumptions!$C$8-1)-$C$9)&lt;1,(T$18-(Assumptions!$C$8-1)-$C$9)&gt;36),0,INDEX(Schedules!$C$9:$AL$9,(T$18-(Assumptions!$C$8-1)-$C$9)))*$C$7)*T44)</f>
        <v>0</v>
      </c>
      <c r="U72" s="14" t="n">
        <f aca="false">((IF(OR((U$18-(Assumptions!$C$8-1)-$C$9)&lt;1,(U$18-(Assumptions!$C$8-1)-$C$9)&gt;36),0,INDEX(Schedules!$C$9:$AL$9,(U$18-(Assumptions!$C$8-1)-$C$9)))*$C$7)*U44)</f>
        <v>0</v>
      </c>
      <c r="V72" s="14" t="n">
        <f aca="false">((IF(OR((V$18-(Assumptions!$C$8-1)-$C$9)&lt;1,(V$18-(Assumptions!$C$8-1)-$C$9)&gt;36),0,INDEX(Schedules!$C$9:$AL$9,(V$18-(Assumptions!$C$8-1)-$C$9)))*$C$7)*V44)</f>
        <v>0</v>
      </c>
      <c r="W72" s="14" t="n">
        <f aca="false">((IF(OR((W$18-(Assumptions!$C$8-1)-$C$9)&lt;1,(W$18-(Assumptions!$C$8-1)-$C$9)&gt;36),0,INDEX(Schedules!$C$9:$AL$9,(W$18-(Assumptions!$C$8-1)-$C$9)))*$C$7)*W44)</f>
        <v>0</v>
      </c>
      <c r="X72" s="14" t="n">
        <f aca="false">((IF(OR((X$18-(Assumptions!$C$8-1)-$C$9)&lt;1,(X$18-(Assumptions!$C$8-1)-$C$9)&gt;36),0,INDEX(Schedules!$C$9:$AL$9,(X$18-(Assumptions!$C$8-1)-$C$9)))*$C$7)*X44)</f>
        <v>0</v>
      </c>
      <c r="Y72" s="14" t="n">
        <f aca="false">((IF(OR((Y$18-(Assumptions!$C$8-1)-$C$9)&lt;1,(Y$18-(Assumptions!$C$8-1)-$C$9)&gt;36),0,INDEX(Schedules!$C$9:$AL$9,(Y$18-(Assumptions!$C$8-1)-$C$9)))*$C$7)*Y44)</f>
        <v>0</v>
      </c>
      <c r="Z72" s="14" t="n">
        <f aca="false">((IF(OR((Z$18-(Assumptions!$C$8-1)-$C$9)&lt;1,(Z$18-(Assumptions!$C$8-1)-$C$9)&gt;36),0,INDEX(Schedules!$C$9:$AL$9,(Z$18-(Assumptions!$C$8-1)-$C$9)))*$C$7)*Z44)</f>
        <v>0</v>
      </c>
      <c r="AA72" s="14" t="n">
        <f aca="false">((IF(OR((AA$18-(Assumptions!$C$8-1)-$C$9)&lt;1,(AA$18-(Assumptions!$C$8-1)-$C$9)&gt;36),0,INDEX(Schedules!$C$9:$AL$9,(AA$18-(Assumptions!$C$8-1)-$C$9)))*$C$7)*AA44)</f>
        <v>0</v>
      </c>
      <c r="AB72" s="14" t="n">
        <f aca="false">((IF(OR((AB$18-(Assumptions!$C$8-1)-$C$9)&lt;1,(AB$18-(Assumptions!$C$8-1)-$C$9)&gt;36),0,INDEX(Schedules!$C$9:$AL$9,(AB$18-(Assumptions!$C$8-1)-$C$9)))*$C$7)*AB44)</f>
        <v>1</v>
      </c>
      <c r="AC72" s="14" t="n">
        <f aca="false">((IF(OR((AC$18-(Assumptions!$C$8-1)-$C$9)&lt;1,(AC$18-(Assumptions!$C$8-1)-$C$9)&gt;36),0,INDEX(Schedules!$C$9:$AL$9,(AC$18-(Assumptions!$C$8-1)-$C$9)))*$C$7)*AC44)</f>
        <v>0</v>
      </c>
      <c r="AD72" s="14" t="n">
        <f aca="false">((IF(OR((AD$18-(Assumptions!$C$8-1)-$C$9)&lt;1,(AD$18-(Assumptions!$C$8-1)-$C$9)&gt;36),0,INDEX(Schedules!$C$9:$AL$9,(AD$18-(Assumptions!$C$8-1)-$C$9)))*$C$7)*AD44)</f>
        <v>0</v>
      </c>
      <c r="AE72" s="14" t="n">
        <f aca="false">((IF(OR((AE$18-(Assumptions!$C$8-1)-$C$9)&lt;1,(AE$18-(Assumptions!$C$8-1)-$C$9)&gt;36),0,INDEX(Schedules!$C$9:$AL$9,(AE$18-(Assumptions!$C$8-1)-$C$9)))*$C$7)*AE44)</f>
        <v>1</v>
      </c>
      <c r="AF72" s="14" t="n">
        <f aca="false">((IF(OR((AF$18-(Assumptions!$C$8-1)-$C$9)&lt;1,(AF$18-(Assumptions!$C$8-1)-$C$9)&gt;36),0,INDEX(Schedules!$C$9:$AL$9,(AF$18-(Assumptions!$C$8-1)-$C$9)))*$C$7)*AF44)</f>
        <v>0</v>
      </c>
      <c r="AG72" s="14" t="n">
        <f aca="false">((IF(OR((AG$18-(Assumptions!$C$8-1)-$C$9)&lt;1,(AG$18-(Assumptions!$C$8-1)-$C$9)&gt;36),0,INDEX(Schedules!$C$9:$AL$9,(AG$18-(Assumptions!$C$8-1)-$C$9)))*$C$7)*AG44)</f>
        <v>0</v>
      </c>
      <c r="AH72" s="14" t="n">
        <f aca="false">((IF(OR((AH$18-(Assumptions!$C$8-1)-$C$9)&lt;1,(AH$18-(Assumptions!$C$8-1)-$C$9)&gt;36),0,INDEX(Schedules!$C$9:$AL$9,(AH$18-(Assumptions!$C$8-1)-$C$9)))*$C$7)*AH44)</f>
        <v>1</v>
      </c>
      <c r="AI72" s="14" t="n">
        <f aca="false">((IF(OR((AI$18-(Assumptions!$C$8-1)-$C$9)&lt;1,(AI$18-(Assumptions!$C$8-1)-$C$9)&gt;36),0,INDEX(Schedules!$C$9:$AL$9,(AI$18-(Assumptions!$C$8-1)-$C$9)))*$C$7)*AI44)</f>
        <v>0</v>
      </c>
      <c r="AJ72" s="14" t="n">
        <f aca="false">((IF(OR((AJ$18-(Assumptions!$C$8-1)-$C$9)&lt;1,(AJ$18-(Assumptions!$C$8-1)-$C$9)&gt;36),0,INDEX(Schedules!$C$9:$AL$9,(AJ$18-(Assumptions!$C$8-1)-$C$9)))*$C$7)*AJ44)</f>
        <v>0</v>
      </c>
      <c r="AK72" s="14" t="n">
        <f aca="false">((IF(OR((AK$18-(Assumptions!$C$8-1)-$C$9)&lt;1,(AK$18-(Assumptions!$C$8-1)-$C$9)&gt;36),0,INDEX(Schedules!$C$9:$AL$9,(AK$18-(Assumptions!$C$8-1)-$C$9)))*$C$7)*AK44)</f>
        <v>2</v>
      </c>
      <c r="AL72" s="14" t="n">
        <f aca="false">((IF(OR((AL$18-(Assumptions!$C$8-1)-$C$9)&lt;1,(AL$18-(Assumptions!$C$8-1)-$C$9)&gt;36),0,INDEX(Schedules!$C$9:$AL$9,(AL$18-(Assumptions!$C$8-1)-$C$9)))*$C$7)*AL44)</f>
        <v>0</v>
      </c>
      <c r="AN72" s="36" t="n">
        <f aca="false">SUM(C72:N72)</f>
        <v>0</v>
      </c>
      <c r="AO72" s="36" t="n">
        <f aca="false">SUM(O72:Z72)</f>
        <v>0</v>
      </c>
      <c r="AP72" s="36" t="n">
        <f aca="false">SUM(AA72:AL72)</f>
        <v>5</v>
      </c>
    </row>
    <row r="73" customFormat="false" ht="15" hidden="false" customHeight="false" outlineLevel="0" collapsed="false">
      <c r="A73" s="0" t="s">
        <v>879</v>
      </c>
      <c r="B73" s="0" t="s">
        <v>852</v>
      </c>
      <c r="C73" s="14" t="n">
        <f aca="false">(C69+C72)</f>
        <v>0</v>
      </c>
      <c r="D73" s="14" t="n">
        <f aca="false">(D69+D72)</f>
        <v>0</v>
      </c>
      <c r="E73" s="14" t="n">
        <f aca="false">(E69+E72)</f>
        <v>0</v>
      </c>
      <c r="F73" s="14" t="n">
        <f aca="false">(F69+F72)</f>
        <v>0</v>
      </c>
      <c r="G73" s="14" t="n">
        <f aca="false">(G69+G72)</f>
        <v>0</v>
      </c>
      <c r="H73" s="14" t="n">
        <f aca="false">(H69+H72)</f>
        <v>0</v>
      </c>
      <c r="I73" s="14" t="n">
        <f aca="false">(I69+I72)</f>
        <v>0</v>
      </c>
      <c r="J73" s="14" t="n">
        <f aca="false">(J69+J72)</f>
        <v>0</v>
      </c>
      <c r="K73" s="14" t="n">
        <f aca="false">(K69+K72)</f>
        <v>0</v>
      </c>
      <c r="L73" s="14" t="n">
        <f aca="false">(L69+L72)</f>
        <v>0</v>
      </c>
      <c r="M73" s="14" t="n">
        <f aca="false">(M69+M72)</f>
        <v>0</v>
      </c>
      <c r="N73" s="14" t="n">
        <f aca="false">(N69+N72)</f>
        <v>0</v>
      </c>
      <c r="O73" s="14" t="n">
        <f aca="false">(O69+O72)</f>
        <v>0</v>
      </c>
      <c r="P73" s="14" t="n">
        <f aca="false">(P69+P72)</f>
        <v>0</v>
      </c>
      <c r="Q73" s="14" t="n">
        <f aca="false">(Q69+Q72)</f>
        <v>0</v>
      </c>
      <c r="R73" s="14" t="n">
        <f aca="false">(R69+R72)</f>
        <v>0.4</v>
      </c>
      <c r="S73" s="14" t="n">
        <f aca="false">(S69+S72)</f>
        <v>0</v>
      </c>
      <c r="T73" s="14" t="n">
        <f aca="false">(T69+T72)</f>
        <v>0</v>
      </c>
      <c r="U73" s="14" t="n">
        <f aca="false">(U69+U72)</f>
        <v>0.4</v>
      </c>
      <c r="V73" s="14" t="n">
        <f aca="false">(V69+V72)</f>
        <v>0</v>
      </c>
      <c r="W73" s="14" t="n">
        <f aca="false">(W69+W72)</f>
        <v>0</v>
      </c>
      <c r="X73" s="14" t="n">
        <f aca="false">(X69+X72)</f>
        <v>1</v>
      </c>
      <c r="Y73" s="14" t="n">
        <f aca="false">(Y69+Y72)</f>
        <v>0</v>
      </c>
      <c r="Z73" s="14" t="n">
        <f aca="false">(Z69+Z72)</f>
        <v>0</v>
      </c>
      <c r="AA73" s="14" t="n">
        <f aca="false">(AA69+AA72)</f>
        <v>1</v>
      </c>
      <c r="AB73" s="14" t="n">
        <f aca="false">(AB69+AB72)</f>
        <v>1</v>
      </c>
      <c r="AC73" s="14" t="n">
        <f aca="false">(AC69+AC72)</f>
        <v>0</v>
      </c>
      <c r="AD73" s="14" t="n">
        <f aca="false">(AD69+AD72)</f>
        <v>2</v>
      </c>
      <c r="AE73" s="14" t="n">
        <f aca="false">(AE69+AE72)</f>
        <v>1</v>
      </c>
      <c r="AF73" s="14" t="n">
        <f aca="false">(AF69+AF72)</f>
        <v>0</v>
      </c>
      <c r="AG73" s="14" t="n">
        <f aca="false">(AG69+AG72)</f>
        <v>2</v>
      </c>
      <c r="AH73" s="14" t="n">
        <f aca="false">(AH69+AH72)</f>
        <v>1</v>
      </c>
      <c r="AI73" s="14" t="n">
        <f aca="false">(AI69+AI72)</f>
        <v>0</v>
      </c>
      <c r="AJ73" s="14" t="n">
        <f aca="false">(AJ69+AJ72)</f>
        <v>2</v>
      </c>
      <c r="AK73" s="14" t="n">
        <f aca="false">(AK69+AK72)</f>
        <v>2</v>
      </c>
      <c r="AL73" s="14" t="n">
        <f aca="false">(AL69+AL72)</f>
        <v>0</v>
      </c>
      <c r="AN73" s="36" t="n">
        <f aca="false">SUM(C73:N73)</f>
        <v>0</v>
      </c>
      <c r="AO73" s="36" t="n">
        <f aca="false">SUM(O73:Z73)</f>
        <v>1.8</v>
      </c>
      <c r="AP73" s="36" t="n">
        <f aca="false">SUM(AA73:AL73)</f>
        <v>12</v>
      </c>
    </row>
    <row r="74" customFormat="false" ht="15" hidden="false" customHeight="false" outlineLevel="0" collapsed="false">
      <c r="A74" s="0" t="s">
        <v>880</v>
      </c>
      <c r="B74" s="0" t="s">
        <v>852</v>
      </c>
      <c r="C74" s="14" t="n">
        <f aca="false">C71</f>
        <v>0</v>
      </c>
      <c r="D74" s="14" t="n">
        <f aca="false">SUM(C71:D71)</f>
        <v>0</v>
      </c>
      <c r="E74" s="14" t="n">
        <f aca="false">SUM(C71:E71)</f>
        <v>0</v>
      </c>
      <c r="F74" s="14" t="n">
        <f aca="false">SUM(C71:F71)</f>
        <v>0</v>
      </c>
      <c r="G74" s="14" t="n">
        <f aca="false">SUM(C71:G71)</f>
        <v>0</v>
      </c>
      <c r="H74" s="14" t="n">
        <f aca="false">SUM(C71:H71)</f>
        <v>0</v>
      </c>
      <c r="I74" s="14" t="n">
        <f aca="false">SUM(D71:I71)</f>
        <v>0</v>
      </c>
      <c r="J74" s="14" t="n">
        <f aca="false">SUM(E71:J71)</f>
        <v>1</v>
      </c>
      <c r="K74" s="14" t="n">
        <f aca="false">SUM(F71:K71)</f>
        <v>1</v>
      </c>
      <c r="L74" s="14" t="n">
        <f aca="false">SUM(G71:L71)</f>
        <v>1</v>
      </c>
      <c r="M74" s="14" t="n">
        <f aca="false">SUM(H71:M71)</f>
        <v>1</v>
      </c>
      <c r="N74" s="14" t="n">
        <f aca="false">SUM(I71:N71)</f>
        <v>1</v>
      </c>
      <c r="O74" s="14" t="n">
        <f aca="false">SUM(J71:O71)</f>
        <v>1</v>
      </c>
      <c r="P74" s="14" t="n">
        <f aca="false">SUM(K71:P71)</f>
        <v>0</v>
      </c>
      <c r="Q74" s="14" t="n">
        <f aca="false">SUM(L71:Q71)</f>
        <v>0</v>
      </c>
      <c r="R74" s="14" t="n">
        <f aca="false">SUM(M71:R71)</f>
        <v>0.4</v>
      </c>
      <c r="S74" s="14" t="n">
        <f aca="false">SUM(N71:S71)</f>
        <v>0.4</v>
      </c>
      <c r="T74" s="14" t="n">
        <f aca="false">SUM(O71:T71)</f>
        <v>0.4</v>
      </c>
      <c r="U74" s="14" t="n">
        <f aca="false">SUM(P71:U71)</f>
        <v>0.8</v>
      </c>
      <c r="V74" s="14" t="n">
        <f aca="false">SUM(Q71:V71)</f>
        <v>0.8</v>
      </c>
      <c r="W74" s="14" t="n">
        <f aca="false">SUM(R71:W71)</f>
        <v>0.8</v>
      </c>
      <c r="X74" s="14" t="n">
        <f aca="false">SUM(S71:X71)</f>
        <v>1.4</v>
      </c>
      <c r="Y74" s="14" t="n">
        <f aca="false">SUM(T71:Y71)</f>
        <v>1.4</v>
      </c>
      <c r="Z74" s="14" t="n">
        <f aca="false">SUM(U71:Z71)</f>
        <v>1.4</v>
      </c>
      <c r="AA74" s="14" t="n">
        <f aca="false">SUM(V71:AA71)</f>
        <v>2</v>
      </c>
      <c r="AB74" s="14" t="n">
        <f aca="false">SUM(W71:AB71)</f>
        <v>2</v>
      </c>
      <c r="AC74" s="14" t="n">
        <f aca="false">SUM(X71:AC71)</f>
        <v>2</v>
      </c>
      <c r="AD74" s="14" t="n">
        <f aca="false">SUM(Y71:AD71)</f>
        <v>3</v>
      </c>
      <c r="AE74" s="14" t="n">
        <f aca="false">SUM(Z71:AE71)</f>
        <v>3</v>
      </c>
      <c r="AF74" s="14" t="n">
        <f aca="false">SUM(AA71:AF71)</f>
        <v>3</v>
      </c>
      <c r="AG74" s="14" t="n">
        <f aca="false">SUM(AB71:AG71)</f>
        <v>4</v>
      </c>
      <c r="AH74" s="14" t="n">
        <f aca="false">SUM(AC71:AH71)</f>
        <v>4</v>
      </c>
      <c r="AI74" s="14" t="n">
        <f aca="false">SUM(AD71:AI71)</f>
        <v>4</v>
      </c>
      <c r="AJ74" s="14" t="n">
        <f aca="false">SUM(AE71:AJ71)</f>
        <v>4</v>
      </c>
      <c r="AK74" s="14" t="n">
        <f aca="false">SUM(AF71:AK71)</f>
        <v>4</v>
      </c>
      <c r="AL74" s="14" t="n">
        <f aca="false">SUM(AG71:AL71)</f>
        <v>4</v>
      </c>
      <c r="AN74" s="36" t="n">
        <f aca="false">N74</f>
        <v>1</v>
      </c>
      <c r="AO74" s="36" t="n">
        <f aca="false">Z74</f>
        <v>1.4</v>
      </c>
      <c r="AP74" s="36" t="n">
        <f aca="false">AL74</f>
        <v>4</v>
      </c>
    </row>
    <row r="75" customFormat="false" ht="15" hidden="false" customHeight="false" outlineLevel="0" collapsed="false">
      <c r="A75" s="0" t="s">
        <v>881</v>
      </c>
      <c r="B75" s="0" t="s">
        <v>852</v>
      </c>
      <c r="C75" s="14" t="n">
        <f aca="false">C69</f>
        <v>0</v>
      </c>
      <c r="D75" s="14" t="n">
        <f aca="false">SUM(C69:D69)</f>
        <v>0</v>
      </c>
      <c r="E75" s="14" t="n">
        <f aca="false">SUM(C69:E69)</f>
        <v>0</v>
      </c>
      <c r="F75" s="14" t="n">
        <f aca="false">SUM(C69:F69)</f>
        <v>0</v>
      </c>
      <c r="G75" s="14" t="n">
        <f aca="false">SUM(C69:G69)</f>
        <v>0</v>
      </c>
      <c r="H75" s="14" t="n">
        <f aca="false">SUM(C69:H69)</f>
        <v>0</v>
      </c>
      <c r="I75" s="14" t="n">
        <f aca="false">SUM(D69:I69)</f>
        <v>0</v>
      </c>
      <c r="J75" s="14" t="n">
        <f aca="false">SUM(E69:J69)</f>
        <v>0</v>
      </c>
      <c r="K75" s="14" t="n">
        <f aca="false">SUM(F69:K69)</f>
        <v>0</v>
      </c>
      <c r="L75" s="14" t="n">
        <f aca="false">SUM(G69:L69)</f>
        <v>0</v>
      </c>
      <c r="M75" s="14" t="n">
        <f aca="false">SUM(H69:M69)</f>
        <v>0</v>
      </c>
      <c r="N75" s="14" t="n">
        <f aca="false">SUM(I69:N69)</f>
        <v>0</v>
      </c>
      <c r="O75" s="14" t="n">
        <f aca="false">SUM(J69:O69)</f>
        <v>0</v>
      </c>
      <c r="P75" s="14" t="n">
        <f aca="false">SUM(K69:P69)</f>
        <v>0</v>
      </c>
      <c r="Q75" s="14" t="n">
        <f aca="false">SUM(L69:Q69)</f>
        <v>0</v>
      </c>
      <c r="R75" s="14" t="n">
        <f aca="false">SUM(M69:R69)</f>
        <v>0.4</v>
      </c>
      <c r="S75" s="14" t="n">
        <f aca="false">SUM(N69:S69)</f>
        <v>0.4</v>
      </c>
      <c r="T75" s="14" t="n">
        <f aca="false">SUM(O69:T69)</f>
        <v>0.4</v>
      </c>
      <c r="U75" s="14" t="n">
        <f aca="false">SUM(P69:U69)</f>
        <v>0.8</v>
      </c>
      <c r="V75" s="14" t="n">
        <f aca="false">SUM(Q69:V69)</f>
        <v>0.8</v>
      </c>
      <c r="W75" s="14" t="n">
        <f aca="false">SUM(R69:W69)</f>
        <v>0.8</v>
      </c>
      <c r="X75" s="14" t="n">
        <f aca="false">SUM(S69:X69)</f>
        <v>1.4</v>
      </c>
      <c r="Y75" s="14" t="n">
        <f aca="false">SUM(T69:Y69)</f>
        <v>1.4</v>
      </c>
      <c r="Z75" s="14" t="n">
        <f aca="false">SUM(U69:Z69)</f>
        <v>1.4</v>
      </c>
      <c r="AA75" s="14" t="n">
        <f aca="false">SUM(V69:AA69)</f>
        <v>2</v>
      </c>
      <c r="AB75" s="14" t="n">
        <f aca="false">SUM(W69:AB69)</f>
        <v>2</v>
      </c>
      <c r="AC75" s="14" t="n">
        <f aca="false">SUM(X69:AC69)</f>
        <v>2</v>
      </c>
      <c r="AD75" s="14" t="n">
        <f aca="false">SUM(Y69:AD69)</f>
        <v>3</v>
      </c>
      <c r="AE75" s="14" t="n">
        <f aca="false">SUM(Z69:AE69)</f>
        <v>3</v>
      </c>
      <c r="AF75" s="14" t="n">
        <f aca="false">SUM(AA69:AF69)</f>
        <v>3</v>
      </c>
      <c r="AG75" s="14" t="n">
        <f aca="false">SUM(AB69:AG69)</f>
        <v>4</v>
      </c>
      <c r="AH75" s="14" t="n">
        <f aca="false">SUM(AC69:AH69)</f>
        <v>4</v>
      </c>
      <c r="AI75" s="14" t="n">
        <f aca="false">SUM(AD69:AI69)</f>
        <v>4</v>
      </c>
      <c r="AJ75" s="14" t="n">
        <f aca="false">SUM(AE69:AJ69)</f>
        <v>4</v>
      </c>
      <c r="AK75" s="14" t="n">
        <f aca="false">SUM(AF69:AK69)</f>
        <v>4</v>
      </c>
      <c r="AL75" s="14" t="n">
        <f aca="false">SUM(AG69:AL69)</f>
        <v>4</v>
      </c>
      <c r="AN75" s="36" t="n">
        <f aca="false">N75</f>
        <v>0</v>
      </c>
      <c r="AO75" s="36" t="n">
        <f aca="false">Z75</f>
        <v>1.4</v>
      </c>
      <c r="AP75" s="36" t="n">
        <f aca="false">AL75</f>
        <v>4</v>
      </c>
    </row>
    <row r="76" customFormat="false" ht="15" hidden="false" customHeight="false" outlineLevel="0" collapsed="false">
      <c r="A76" s="0" t="s">
        <v>882</v>
      </c>
      <c r="B76" s="0" t="s">
        <v>852</v>
      </c>
      <c r="C76" s="14" t="n">
        <f aca="false">((Assumptions!$D$127*$C$8)*0)</f>
        <v>0</v>
      </c>
      <c r="D76" s="14" t="n">
        <f aca="false">((Assumptions!$D$127*$C$8)*0)</f>
        <v>0</v>
      </c>
      <c r="E76" s="14" t="n">
        <f aca="false">((Assumptions!$D$127*$C$8)*0)</f>
        <v>0</v>
      </c>
      <c r="F76" s="14" t="n">
        <f aca="false">((Assumptions!$D$127*$C$8)*0)</f>
        <v>0</v>
      </c>
      <c r="G76" s="14" t="n">
        <f aca="false">((Assumptions!$D$127*$C$8)*0)</f>
        <v>0</v>
      </c>
      <c r="H76" s="14" t="n">
        <f aca="false">((Assumptions!$D$127*$C$8)*0)</f>
        <v>0</v>
      </c>
      <c r="I76" s="14" t="n">
        <f aca="false">((Assumptions!$D$127*$C$8)*0)</f>
        <v>0</v>
      </c>
      <c r="J76" s="14" t="n">
        <f aca="false">((Assumptions!$D$127*$C$8)*C69)</f>
        <v>0</v>
      </c>
      <c r="K76" s="14" t="n">
        <f aca="false">((Assumptions!$D$127*$C$8)*D69)</f>
        <v>0</v>
      </c>
      <c r="L76" s="14" t="n">
        <f aca="false">((Assumptions!$D$127*$C$8)*E69)</f>
        <v>0</v>
      </c>
      <c r="M76" s="14" t="n">
        <f aca="false">((Assumptions!$D$127*$C$8)*F69)</f>
        <v>0</v>
      </c>
      <c r="N76" s="14" t="n">
        <f aca="false">((Assumptions!$D$127*$C$8)*G69)</f>
        <v>0</v>
      </c>
      <c r="O76" s="14" t="n">
        <f aca="false">((Assumptions!$D$127*$C$8)*H69)</f>
        <v>0</v>
      </c>
      <c r="P76" s="14" t="n">
        <f aca="false">((Assumptions!$D$127*$C$8)*I69)</f>
        <v>0</v>
      </c>
      <c r="Q76" s="14" t="n">
        <f aca="false">((Assumptions!$D$127*$C$8)*J69)</f>
        <v>0</v>
      </c>
      <c r="R76" s="14" t="n">
        <f aca="false">((Assumptions!$D$127*$C$8)*K69)</f>
        <v>0</v>
      </c>
      <c r="S76" s="14" t="n">
        <f aca="false">((Assumptions!$D$127*$C$8)*L69)</f>
        <v>0</v>
      </c>
      <c r="T76" s="14" t="n">
        <f aca="false">((Assumptions!$D$127*$C$8)*M69)</f>
        <v>0</v>
      </c>
      <c r="U76" s="14" t="n">
        <f aca="false">((Assumptions!$D$127*$C$8)*N69)</f>
        <v>0</v>
      </c>
      <c r="V76" s="14" t="n">
        <f aca="false">((Assumptions!$D$127*$C$8)*O69)</f>
        <v>0</v>
      </c>
      <c r="W76" s="14" t="n">
        <f aca="false">((Assumptions!$D$127*$C$8)*P69)</f>
        <v>0</v>
      </c>
      <c r="X76" s="14" t="n">
        <f aca="false">((Assumptions!$D$127*$C$8)*Q69)</f>
        <v>0</v>
      </c>
      <c r="Y76" s="14" t="n">
        <f aca="false">((Assumptions!$D$127*$C$8)*R69)</f>
        <v>0.18</v>
      </c>
      <c r="Z76" s="14" t="n">
        <f aca="false">((Assumptions!$D$127*$C$8)*S69)</f>
        <v>0</v>
      </c>
      <c r="AA76" s="14" t="n">
        <f aca="false">((Assumptions!$D$127*$C$8)*T69)</f>
        <v>0</v>
      </c>
      <c r="AB76" s="14" t="n">
        <f aca="false">((Assumptions!$D$127*$C$8)*U69)</f>
        <v>0.18</v>
      </c>
      <c r="AC76" s="14" t="n">
        <f aca="false">((Assumptions!$D$127*$C$8)*V69)</f>
        <v>0</v>
      </c>
      <c r="AD76" s="14" t="n">
        <f aca="false">((Assumptions!$D$127*$C$8)*W69)</f>
        <v>0</v>
      </c>
      <c r="AE76" s="14" t="n">
        <f aca="false">((Assumptions!$D$127*$C$8)*X69)</f>
        <v>0.45</v>
      </c>
      <c r="AF76" s="14" t="n">
        <f aca="false">((Assumptions!$D$127*$C$8)*Y69)</f>
        <v>0</v>
      </c>
      <c r="AG76" s="14" t="n">
        <f aca="false">((Assumptions!$D$127*$C$8)*Z69)</f>
        <v>0</v>
      </c>
      <c r="AH76" s="14" t="n">
        <f aca="false">((Assumptions!$D$127*$C$8)*AA69)</f>
        <v>0.45</v>
      </c>
      <c r="AI76" s="14" t="n">
        <f aca="false">((Assumptions!$D$127*$C$8)*AB69)</f>
        <v>0</v>
      </c>
      <c r="AJ76" s="14" t="n">
        <f aca="false">((Assumptions!$D$127*$C$8)*AC69)</f>
        <v>0</v>
      </c>
      <c r="AK76" s="14" t="n">
        <f aca="false">((Assumptions!$D$127*$C$8)*AD69)</f>
        <v>0.9</v>
      </c>
      <c r="AL76" s="14" t="n">
        <f aca="false">((Assumptions!$D$127*$C$8)*AE69)</f>
        <v>0</v>
      </c>
      <c r="AN76" s="36" t="n">
        <f aca="false">SUM(C76:N76)</f>
        <v>0</v>
      </c>
      <c r="AO76" s="36" t="n">
        <f aca="false">SUM(O76:Z76)</f>
        <v>0.18</v>
      </c>
      <c r="AP76" s="36" t="n">
        <f aca="false">SUM(AA76:AL76)</f>
        <v>1.98</v>
      </c>
    </row>
    <row r="77" customFormat="false" ht="15" hidden="false" customHeight="false" outlineLevel="0" collapsed="false">
      <c r="A77" s="0" t="s">
        <v>883</v>
      </c>
      <c r="B77" s="0" t="s">
        <v>852</v>
      </c>
      <c r="C77" s="14" t="n">
        <f aca="false">((Assumptions!$C$10*$C$8)*IF((C$18=(Assumptions!$C$7+$C$9)),0,IF((C$18&gt;(Assumptions!$C$7+$C$9)),0,0)))</f>
        <v>0</v>
      </c>
      <c r="D77" s="14" t="n">
        <f aca="false">((Assumptions!$C$10*$C$8)*IF((D$18=(Assumptions!$C$7+$C$9)),0,IF((D$18&gt;(Assumptions!$C$7+$C$9)),0,0)))</f>
        <v>0</v>
      </c>
      <c r="E77" s="14" t="n">
        <f aca="false">((Assumptions!$C$10*$C$8)*IF((E$18=(Assumptions!$C$7+$C$9)),0,IF((E$18&gt;(Assumptions!$C$7+$C$9)),0,0)))</f>
        <v>0</v>
      </c>
      <c r="F77" s="14" t="n">
        <f aca="false">((Assumptions!$C$10*$C$8)*IF((F$18=(Assumptions!$C$7+$C$9)),0,IF((F$18&gt;(Assumptions!$C$7+$C$9)),0,0)))</f>
        <v>0</v>
      </c>
      <c r="G77" s="14" t="n">
        <f aca="false">((Assumptions!$C$10*$C$8)*IF((G$18=(Assumptions!$C$7+$C$9)),0,IF((G$18&gt;(Assumptions!$C$7+$C$9)),0,0)))</f>
        <v>0</v>
      </c>
      <c r="H77" s="14" t="n">
        <f aca="false">((Assumptions!$C$10*$C$8)*IF((H$18=(Assumptions!$C$7+$C$9)),0,IF((H$18&gt;(Assumptions!$C$7+$C$9)),0,0)))</f>
        <v>0</v>
      </c>
      <c r="I77" s="14" t="n">
        <f aca="false">((Assumptions!$C$10*$C$8)*IF((I$18=(Assumptions!$C$7+$C$9)),0,IF((I$18&gt;(Assumptions!$C$7+$C$9)),0,0)))</f>
        <v>0</v>
      </c>
      <c r="J77" s="14" t="n">
        <f aca="false">((Assumptions!$C$10*$C$8)*IF((J$18=(Assumptions!$C$7+$C$9)),C70,IF((J$18&gt;(Assumptions!$C$7+$C$9)),C70,0)))</f>
        <v>0</v>
      </c>
      <c r="K77" s="14" t="n">
        <f aca="false">((Assumptions!$C$10*$C$8)*IF((K$18=(Assumptions!$C$7+$C$9)),SUM(C70:D70),IF((K$18&gt;(Assumptions!$C$7+$C$9)),D70,0)))</f>
        <v>0</v>
      </c>
      <c r="L77" s="14" t="n">
        <f aca="false">((Assumptions!$C$10*$C$8)*IF((L$18=(Assumptions!$C$7+$C$9)),SUM(C70:E70),IF((L$18&gt;(Assumptions!$C$7+$C$9)),E70,0)))</f>
        <v>0</v>
      </c>
      <c r="M77" s="14" t="n">
        <f aca="false">((Assumptions!$C$10*$C$8)*IF((M$18=(Assumptions!$C$7+$C$9)),SUM(C70:F70),IF((M$18&gt;(Assumptions!$C$7+$C$9)),F70,0)))</f>
        <v>0</v>
      </c>
      <c r="N77" s="14" t="n">
        <f aca="false">((Assumptions!$C$10*$C$8)*IF((N$18=(Assumptions!$C$7+$C$9)),SUM(C70:G70),IF((N$18&gt;(Assumptions!$C$7+$C$9)),G70,0)))</f>
        <v>0</v>
      </c>
      <c r="O77" s="14" t="n">
        <f aca="false">((Assumptions!$C$10*$C$8)*IF((O$18=(Assumptions!$C$7+$C$9)),SUM(C70:H70),IF((O$18&gt;(Assumptions!$C$7+$C$9)),H70,0)))</f>
        <v>0</v>
      </c>
      <c r="P77" s="14" t="n">
        <f aca="false">((Assumptions!$C$10*$C$8)*IF((P$18=(Assumptions!$C$7+$C$9)),SUM(C70:I70),IF((P$18&gt;(Assumptions!$C$7+$C$9)),I70,0)))</f>
        <v>0</v>
      </c>
      <c r="Q77" s="14" t="n">
        <f aca="false">((Assumptions!$C$10*$C$8)*IF((Q$18=(Assumptions!$C$7+$C$9)),SUM(C70:J70),IF((Q$18&gt;(Assumptions!$C$7+$C$9)),J70,0)))</f>
        <v>0.6</v>
      </c>
      <c r="R77" s="14" t="n">
        <f aca="false">((Assumptions!$C$10*$C$8)*IF((R$18=(Assumptions!$C$7+$C$9)),SUM(C70:K70),IF((R$18&gt;(Assumptions!$C$7+$C$9)),K70,0)))</f>
        <v>0</v>
      </c>
      <c r="S77" s="14" t="n">
        <f aca="false">((Assumptions!$C$10*$C$8)*IF((S$18=(Assumptions!$C$7+$C$9)),SUM(C70:L70),IF((S$18&gt;(Assumptions!$C$7+$C$9)),L70,0)))</f>
        <v>0</v>
      </c>
      <c r="T77" s="14" t="n">
        <f aca="false">((Assumptions!$C$10*$C$8)*IF((T$18=(Assumptions!$C$7+$C$9)),SUM(C70:M70),IF((T$18&gt;(Assumptions!$C$7+$C$9)),M70,0)))</f>
        <v>0</v>
      </c>
      <c r="U77" s="14" t="n">
        <f aca="false">((Assumptions!$C$10*$C$8)*IF((U$18=(Assumptions!$C$7+$C$9)),SUM(C70:N70),IF((U$18&gt;(Assumptions!$C$7+$C$9)),N70,0)))</f>
        <v>0</v>
      </c>
      <c r="V77" s="14" t="n">
        <f aca="false">((Assumptions!$C$10*$C$8)*IF((V$18=(Assumptions!$C$7+$C$9)),SUM(C70:O70),IF((V$18&gt;(Assumptions!$C$7+$C$9)),O70,0)))</f>
        <v>0</v>
      </c>
      <c r="W77" s="14" t="n">
        <f aca="false">((Assumptions!$C$10*$C$8)*IF((W$18=(Assumptions!$C$7+$C$9)),SUM(C70:P70),IF((W$18&gt;(Assumptions!$C$7+$C$9)),P70,0)))</f>
        <v>0</v>
      </c>
      <c r="X77" s="14" t="n">
        <f aca="false">((Assumptions!$C$10*$C$8)*IF((X$18=(Assumptions!$C$7+$C$9)),SUM(C70:Q70),IF((X$18&gt;(Assumptions!$C$7+$C$9)),Q70,0)))</f>
        <v>0</v>
      </c>
      <c r="Y77" s="14" t="n">
        <f aca="false">((Assumptions!$C$10*$C$8)*IF((Y$18=(Assumptions!$C$7+$C$9)),SUM(C70:R70),IF((Y$18&gt;(Assumptions!$C$7+$C$9)),R70,0)))</f>
        <v>0</v>
      </c>
      <c r="Z77" s="14" t="n">
        <f aca="false">((Assumptions!$C$10*$C$8)*IF((Z$18=(Assumptions!$C$7+$C$9)),SUM(C70:S70),IF((Z$18&gt;(Assumptions!$C$7+$C$9)),S70,0)))</f>
        <v>0</v>
      </c>
      <c r="AA77" s="14" t="n">
        <f aca="false">((Assumptions!$C$10*$C$8)*IF((AA$18=(Assumptions!$C$7+$C$9)),SUM(C70:T70),IF((AA$18&gt;(Assumptions!$C$7+$C$9)),T70,0)))</f>
        <v>0</v>
      </c>
      <c r="AB77" s="14" t="n">
        <f aca="false">((Assumptions!$C$10*$C$8)*IF((AB$18=(Assumptions!$C$7+$C$9)),SUM(C70:U70),IF((AB$18&gt;(Assumptions!$C$7+$C$9)),U70,0)))</f>
        <v>0</v>
      </c>
      <c r="AC77" s="14" t="n">
        <f aca="false">((Assumptions!$C$10*$C$8)*IF((AC$18=(Assumptions!$C$7+$C$9)),SUM(C70:V70),IF((AC$18&gt;(Assumptions!$C$7+$C$9)),V70,0)))</f>
        <v>0</v>
      </c>
      <c r="AD77" s="14" t="n">
        <f aca="false">((Assumptions!$C$10*$C$8)*IF((AD$18=(Assumptions!$C$7+$C$9)),SUM(C70:W70),IF((AD$18&gt;(Assumptions!$C$7+$C$9)),W70,0)))</f>
        <v>0</v>
      </c>
      <c r="AE77" s="14" t="n">
        <f aca="false">((Assumptions!$C$10*$C$8)*IF((AE$18=(Assumptions!$C$7+$C$9)),SUM(C70:X70),IF((AE$18&gt;(Assumptions!$C$7+$C$9)),X70,0)))</f>
        <v>0</v>
      </c>
      <c r="AF77" s="14" t="n">
        <f aca="false">((Assumptions!$C$10*$C$8)*IF((AF$18=(Assumptions!$C$7+$C$9)),SUM(C70:Y70),IF((AF$18&gt;(Assumptions!$C$7+$C$9)),Y70,0)))</f>
        <v>0</v>
      </c>
      <c r="AG77" s="14" t="n">
        <f aca="false">((Assumptions!$C$10*$C$8)*IF((AG$18=(Assumptions!$C$7+$C$9)),SUM(C70:Z70),IF((AG$18&gt;(Assumptions!$C$7+$C$9)),Z70,0)))</f>
        <v>0</v>
      </c>
      <c r="AH77" s="14" t="n">
        <f aca="false">((Assumptions!$C$10*$C$8)*IF((AH$18=(Assumptions!$C$7+$C$9)),SUM(C70:AA70),IF((AH$18&gt;(Assumptions!$C$7+$C$9)),AA70,0)))</f>
        <v>0</v>
      </c>
      <c r="AI77" s="14" t="n">
        <f aca="false">((Assumptions!$C$10*$C$8)*IF((AI$18=(Assumptions!$C$7+$C$9)),SUM(C70:AB70),IF((AI$18&gt;(Assumptions!$C$7+$C$9)),AB70,0)))</f>
        <v>0</v>
      </c>
      <c r="AJ77" s="14" t="n">
        <f aca="false">((Assumptions!$C$10*$C$8)*IF((AJ$18=(Assumptions!$C$7+$C$9)),SUM(C70:AC70),IF((AJ$18&gt;(Assumptions!$C$7+$C$9)),AC70,0)))</f>
        <v>0</v>
      </c>
      <c r="AK77" s="14" t="n">
        <f aca="false">((Assumptions!$C$10*$C$8)*IF((AK$18=(Assumptions!$C$7+$C$9)),SUM(C70:AD70),IF((AK$18&gt;(Assumptions!$C$7+$C$9)),AD70,0)))</f>
        <v>0</v>
      </c>
      <c r="AL77" s="14" t="n">
        <f aca="false">((Assumptions!$C$10*$C$8)*IF((AL$18=(Assumptions!$C$7+$C$9)),SUM(C70:AE70),IF((AL$18&gt;(Assumptions!$C$7+$C$9)),AE70,0)))</f>
        <v>0</v>
      </c>
      <c r="AN77" s="36" t="n">
        <f aca="false">SUM(C77:N77)</f>
        <v>0</v>
      </c>
      <c r="AO77" s="36" t="n">
        <f aca="false">SUM(O77:Z77)</f>
        <v>0.6</v>
      </c>
      <c r="AP77" s="36" t="n">
        <f aca="false">SUM(AA77:AL77)</f>
        <v>0</v>
      </c>
    </row>
    <row r="78" customFormat="false" ht="15" hidden="false" customHeight="false" outlineLevel="0" collapsed="false">
      <c r="A78" s="0" t="s">
        <v>884</v>
      </c>
      <c r="B78" s="0" t="s">
        <v>852</v>
      </c>
      <c r="C78" s="14" t="n">
        <f aca="false">((C76+C77)+C72)</f>
        <v>0</v>
      </c>
      <c r="D78" s="14" t="n">
        <f aca="false">((D76+D77)+D72)</f>
        <v>0</v>
      </c>
      <c r="E78" s="14" t="n">
        <f aca="false">((E76+E77)+E72)</f>
        <v>0</v>
      </c>
      <c r="F78" s="14" t="n">
        <f aca="false">((F76+F77)+F72)</f>
        <v>0</v>
      </c>
      <c r="G78" s="14" t="n">
        <f aca="false">((G76+G77)+G72)</f>
        <v>0</v>
      </c>
      <c r="H78" s="14" t="n">
        <f aca="false">((H76+H77)+H72)</f>
        <v>0</v>
      </c>
      <c r="I78" s="14" t="n">
        <f aca="false">((I76+I77)+I72)</f>
        <v>0</v>
      </c>
      <c r="J78" s="14" t="n">
        <f aca="false">((J76+J77)+J72)</f>
        <v>0</v>
      </c>
      <c r="K78" s="14" t="n">
        <f aca="false">((K76+K77)+K72)</f>
        <v>0</v>
      </c>
      <c r="L78" s="14" t="n">
        <f aca="false">((L76+L77)+L72)</f>
        <v>0</v>
      </c>
      <c r="M78" s="14" t="n">
        <f aca="false">((M76+M77)+M72)</f>
        <v>0</v>
      </c>
      <c r="N78" s="14" t="n">
        <f aca="false">((N76+N77)+N72)</f>
        <v>0</v>
      </c>
      <c r="O78" s="14" t="n">
        <f aca="false">((O76+O77)+O72)</f>
        <v>0</v>
      </c>
      <c r="P78" s="14" t="n">
        <f aca="false">((P76+P77)+P72)</f>
        <v>0</v>
      </c>
      <c r="Q78" s="14" t="n">
        <f aca="false">((Q76+Q77)+Q72)</f>
        <v>0.6</v>
      </c>
      <c r="R78" s="14" t="n">
        <f aca="false">((R76+R77)+R72)</f>
        <v>0</v>
      </c>
      <c r="S78" s="14" t="n">
        <f aca="false">((S76+S77)+S72)</f>
        <v>0</v>
      </c>
      <c r="T78" s="14" t="n">
        <f aca="false">((T76+T77)+T72)</f>
        <v>0</v>
      </c>
      <c r="U78" s="14" t="n">
        <f aca="false">((U76+U77)+U72)</f>
        <v>0</v>
      </c>
      <c r="V78" s="14" t="n">
        <f aca="false">((V76+V77)+V72)</f>
        <v>0</v>
      </c>
      <c r="W78" s="14" t="n">
        <f aca="false">((W76+W77)+W72)</f>
        <v>0</v>
      </c>
      <c r="X78" s="14" t="n">
        <f aca="false">((X76+X77)+X72)</f>
        <v>0</v>
      </c>
      <c r="Y78" s="14" t="n">
        <f aca="false">((Y76+Y77)+Y72)</f>
        <v>0.18</v>
      </c>
      <c r="Z78" s="14" t="n">
        <f aca="false">((Z76+Z77)+Z72)</f>
        <v>0</v>
      </c>
      <c r="AA78" s="14" t="n">
        <f aca="false">((AA76+AA77)+AA72)</f>
        <v>0</v>
      </c>
      <c r="AB78" s="14" t="n">
        <f aca="false">((AB76+AB77)+AB72)</f>
        <v>1.18</v>
      </c>
      <c r="AC78" s="14" t="n">
        <f aca="false">((AC76+AC77)+AC72)</f>
        <v>0</v>
      </c>
      <c r="AD78" s="14" t="n">
        <f aca="false">((AD76+AD77)+AD72)</f>
        <v>0</v>
      </c>
      <c r="AE78" s="14" t="n">
        <f aca="false">((AE76+AE77)+AE72)</f>
        <v>1.45</v>
      </c>
      <c r="AF78" s="14" t="n">
        <f aca="false">((AF76+AF77)+AF72)</f>
        <v>0</v>
      </c>
      <c r="AG78" s="14" t="n">
        <f aca="false">((AG76+AG77)+AG72)</f>
        <v>0</v>
      </c>
      <c r="AH78" s="14" t="n">
        <f aca="false">((AH76+AH77)+AH72)</f>
        <v>1.45</v>
      </c>
      <c r="AI78" s="14" t="n">
        <f aca="false">((AI76+AI77)+AI72)</f>
        <v>0</v>
      </c>
      <c r="AJ78" s="14" t="n">
        <f aca="false">((AJ76+AJ77)+AJ72)</f>
        <v>0</v>
      </c>
      <c r="AK78" s="14" t="n">
        <f aca="false">((AK76+AK77)+AK72)</f>
        <v>2.9</v>
      </c>
      <c r="AL78" s="14" t="n">
        <f aca="false">((AL76+AL77)+AL72)</f>
        <v>0</v>
      </c>
      <c r="AN78" s="36" t="n">
        <f aca="false">SUM(C78:N78)</f>
        <v>0</v>
      </c>
      <c r="AO78" s="36" t="n">
        <f aca="false">SUM(O78:Z78)</f>
        <v>0.78</v>
      </c>
      <c r="AP78" s="36" t="n">
        <f aca="false">SUM(AA78:AL78)</f>
        <v>6.98</v>
      </c>
    </row>
    <row r="79" customFormat="false" ht="15" hidden="false" customHeight="false" outlineLevel="0" collapsed="false">
      <c r="A79" s="0" t="s">
        <v>885</v>
      </c>
      <c r="B79" s="0" t="s">
        <v>852</v>
      </c>
      <c r="C79" s="14" t="n">
        <f aca="false">(C78+(C45*0))</f>
        <v>0</v>
      </c>
      <c r="D79" s="14" t="n">
        <f aca="false">(D78+(D45*0))</f>
        <v>0</v>
      </c>
      <c r="E79" s="14" t="n">
        <f aca="false">(E78+(E45*0))</f>
        <v>0</v>
      </c>
      <c r="F79" s="14" t="n">
        <f aca="false">(F78+(F45*0))</f>
        <v>0</v>
      </c>
      <c r="G79" s="14" t="n">
        <f aca="false">(G78+(G45*0))</f>
        <v>0</v>
      </c>
      <c r="H79" s="14" t="n">
        <f aca="false">(H78+(H45*0))</f>
        <v>0</v>
      </c>
      <c r="I79" s="14" t="n">
        <f aca="false">(I78+(I45*0))</f>
        <v>0</v>
      </c>
      <c r="J79" s="14" t="n">
        <f aca="false">(J78+(J45*0))</f>
        <v>0</v>
      </c>
      <c r="K79" s="14" t="n">
        <f aca="false">(K78+(K45*0))</f>
        <v>0</v>
      </c>
      <c r="L79" s="14" t="n">
        <f aca="false">(L78+(L45*0))</f>
        <v>0</v>
      </c>
      <c r="M79" s="14" t="n">
        <f aca="false">(M78+(M45*0))</f>
        <v>0</v>
      </c>
      <c r="N79" s="14" t="n">
        <f aca="false">(N78+(N45*0))</f>
        <v>0</v>
      </c>
      <c r="O79" s="14" t="n">
        <f aca="false">(O78+(O45*C79))</f>
        <v>0</v>
      </c>
      <c r="P79" s="14" t="n">
        <f aca="false">(P78+(P45*D79))</f>
        <v>0</v>
      </c>
      <c r="Q79" s="14" t="n">
        <f aca="false">(Q78+(Q45*E79))</f>
        <v>0.6</v>
      </c>
      <c r="R79" s="14" t="n">
        <f aca="false">(R78+(R45*F79))</f>
        <v>0</v>
      </c>
      <c r="S79" s="14" t="n">
        <f aca="false">(S78+(S45*G79))</f>
        <v>0</v>
      </c>
      <c r="T79" s="14" t="n">
        <f aca="false">(T78+(T45*H79))</f>
        <v>0</v>
      </c>
      <c r="U79" s="14" t="n">
        <f aca="false">(U78+(U45*I79))</f>
        <v>0</v>
      </c>
      <c r="V79" s="14" t="n">
        <f aca="false">(V78+(V45*J79))</f>
        <v>0</v>
      </c>
      <c r="W79" s="14" t="n">
        <f aca="false">(W78+(W45*K79))</f>
        <v>0</v>
      </c>
      <c r="X79" s="14" t="n">
        <f aca="false">(X78+(X45*L79))</f>
        <v>0</v>
      </c>
      <c r="Y79" s="14" t="n">
        <f aca="false">(Y78+(Y45*M79))</f>
        <v>0.18</v>
      </c>
      <c r="Z79" s="14" t="n">
        <f aca="false">(Z78+(Z45*N79))</f>
        <v>0</v>
      </c>
      <c r="AA79" s="14" t="n">
        <f aca="false">(AA78+(AA45*O79))</f>
        <v>0</v>
      </c>
      <c r="AB79" s="14" t="n">
        <f aca="false">(AB78+(AB45*P79))</f>
        <v>1.18</v>
      </c>
      <c r="AC79" s="14" t="n">
        <f aca="false">(AC78+(AC45*Q79))</f>
        <v>0.528</v>
      </c>
      <c r="AD79" s="14" t="n">
        <f aca="false">(AD78+(AD45*R79))</f>
        <v>0</v>
      </c>
      <c r="AE79" s="14" t="n">
        <f aca="false">(AE78+(AE45*S79))</f>
        <v>1.45</v>
      </c>
      <c r="AF79" s="14" t="n">
        <f aca="false">(AF78+(AF45*T79))</f>
        <v>0</v>
      </c>
      <c r="AG79" s="14" t="n">
        <f aca="false">(AG78+(AG45*U79))</f>
        <v>0</v>
      </c>
      <c r="AH79" s="14" t="n">
        <f aca="false">(AH78+(AH45*V79))</f>
        <v>1.45</v>
      </c>
      <c r="AI79" s="14" t="n">
        <f aca="false">(AI78+(AI45*W79))</f>
        <v>0</v>
      </c>
      <c r="AJ79" s="14" t="n">
        <f aca="false">(AJ78+(AJ45*X79))</f>
        <v>0</v>
      </c>
      <c r="AK79" s="14" t="n">
        <f aca="false">(AK78+(AK45*Y79))</f>
        <v>3.0584</v>
      </c>
      <c r="AL79" s="14" t="n">
        <f aca="false">(AL78+(AL45*Z79))</f>
        <v>0</v>
      </c>
      <c r="AN79" s="36" t="n">
        <f aca="false">SUM(C79:N79)</f>
        <v>0</v>
      </c>
      <c r="AO79" s="36" t="n">
        <f aca="false">SUM(O79:Z79)</f>
        <v>0.78</v>
      </c>
      <c r="AP79" s="36" t="n">
        <f aca="false">SUM(AA79:AL79)</f>
        <v>7.6664</v>
      </c>
    </row>
    <row r="80" customFormat="false" ht="15" hidden="false" customHeight="false" outlineLevel="0" collapsed="false">
      <c r="A80" s="0" t="s">
        <v>886</v>
      </c>
      <c r="B80" s="0" t="s">
        <v>852</v>
      </c>
      <c r="C80" s="14" t="n">
        <f aca="false">C79</f>
        <v>0</v>
      </c>
      <c r="D80" s="14" t="n">
        <f aca="false">SUM(C79:D79)</f>
        <v>0</v>
      </c>
      <c r="E80" s="14" t="n">
        <f aca="false">SUM(C79:E79)</f>
        <v>0</v>
      </c>
      <c r="F80" s="14" t="n">
        <f aca="false">SUM(C79:F79)</f>
        <v>0</v>
      </c>
      <c r="G80" s="14" t="n">
        <f aca="false">SUM(C79:G79)</f>
        <v>0</v>
      </c>
      <c r="H80" s="14" t="n">
        <f aca="false">SUM(C79:H79)</f>
        <v>0</v>
      </c>
      <c r="I80" s="14" t="n">
        <f aca="false">SUM(C79:I79)</f>
        <v>0</v>
      </c>
      <c r="J80" s="14" t="n">
        <f aca="false">SUM(C79:J79)</f>
        <v>0</v>
      </c>
      <c r="K80" s="14" t="n">
        <f aca="false">SUM(C79:K79)</f>
        <v>0</v>
      </c>
      <c r="L80" s="14" t="n">
        <f aca="false">SUM(C79:L79)</f>
        <v>0</v>
      </c>
      <c r="M80" s="14" t="n">
        <f aca="false">SUM(C79:M79)</f>
        <v>0</v>
      </c>
      <c r="N80" s="14" t="n">
        <f aca="false">SUM(C79:N79)</f>
        <v>0</v>
      </c>
      <c r="O80" s="14" t="n">
        <f aca="false">SUM(D79:O79)</f>
        <v>0</v>
      </c>
      <c r="P80" s="14" t="n">
        <f aca="false">SUM(E79:P79)</f>
        <v>0</v>
      </c>
      <c r="Q80" s="14" t="n">
        <f aca="false">SUM(F79:Q79)</f>
        <v>0.6</v>
      </c>
      <c r="R80" s="14" t="n">
        <f aca="false">SUM(G79:R79)</f>
        <v>0.6</v>
      </c>
      <c r="S80" s="14" t="n">
        <f aca="false">SUM(H79:S79)</f>
        <v>0.6</v>
      </c>
      <c r="T80" s="14" t="n">
        <f aca="false">SUM(I79:T79)</f>
        <v>0.6</v>
      </c>
      <c r="U80" s="14" t="n">
        <f aca="false">SUM(J79:U79)</f>
        <v>0.6</v>
      </c>
      <c r="V80" s="14" t="n">
        <f aca="false">SUM(K79:V79)</f>
        <v>0.6</v>
      </c>
      <c r="W80" s="14" t="n">
        <f aca="false">SUM(L79:W79)</f>
        <v>0.6</v>
      </c>
      <c r="X80" s="14" t="n">
        <f aca="false">SUM(M79:X79)</f>
        <v>0.6</v>
      </c>
      <c r="Y80" s="14" t="n">
        <f aca="false">SUM(N79:Y79)</f>
        <v>0.78</v>
      </c>
      <c r="Z80" s="14" t="n">
        <f aca="false">SUM(O79:Z79)</f>
        <v>0.78</v>
      </c>
      <c r="AA80" s="14" t="n">
        <f aca="false">SUM(P79:AA79)</f>
        <v>0.78</v>
      </c>
      <c r="AB80" s="14" t="n">
        <f aca="false">SUM(Q79:AB79)</f>
        <v>1.96</v>
      </c>
      <c r="AC80" s="14" t="n">
        <f aca="false">SUM(R79:AC79)</f>
        <v>1.888</v>
      </c>
      <c r="AD80" s="14" t="n">
        <f aca="false">SUM(S79:AD79)</f>
        <v>1.888</v>
      </c>
      <c r="AE80" s="14" t="n">
        <f aca="false">SUM(T79:AE79)</f>
        <v>3.338</v>
      </c>
      <c r="AF80" s="14" t="n">
        <f aca="false">SUM(U79:AF79)</f>
        <v>3.338</v>
      </c>
      <c r="AG80" s="14" t="n">
        <f aca="false">SUM(V79:AG79)</f>
        <v>3.338</v>
      </c>
      <c r="AH80" s="14" t="n">
        <f aca="false">SUM(W79:AH79)</f>
        <v>4.788</v>
      </c>
      <c r="AI80" s="14" t="n">
        <f aca="false">SUM(X79:AI79)</f>
        <v>4.788</v>
      </c>
      <c r="AJ80" s="14" t="n">
        <f aca="false">SUM(Y79:AJ79)</f>
        <v>4.788</v>
      </c>
      <c r="AK80" s="14" t="n">
        <f aca="false">SUM(Z79:AK79)</f>
        <v>7.6664</v>
      </c>
      <c r="AL80" s="14" t="n">
        <f aca="false">SUM(AA79:AL79)</f>
        <v>7.6664</v>
      </c>
      <c r="AN80" s="36" t="n">
        <f aca="false">N80</f>
        <v>0</v>
      </c>
      <c r="AO80" s="36" t="n">
        <f aca="false">Z80</f>
        <v>0.78</v>
      </c>
      <c r="AP80" s="36" t="n">
        <f aca="false">AL80</f>
        <v>7.6664</v>
      </c>
    </row>
    <row r="81" customFormat="false" ht="15" hidden="false" customHeight="false" outlineLevel="0" collapsed="false">
      <c r="A81" s="0" t="s">
        <v>887</v>
      </c>
      <c r="B81" s="0" t="s">
        <v>230</v>
      </c>
      <c r="C81" s="9" t="n">
        <f aca="false">((Assumptions!$D$121*(1-Assumptions!$C$29))*$C$10)</f>
        <v>74800</v>
      </c>
      <c r="D81" s="9" t="n">
        <f aca="false">((Assumptions!$D$121*(1-Assumptions!$C$29))*$C$10)</f>
        <v>74800</v>
      </c>
      <c r="E81" s="9" t="n">
        <f aca="false">((Assumptions!$D$121*(1-Assumptions!$C$29))*$C$10)</f>
        <v>74800</v>
      </c>
      <c r="F81" s="9" t="n">
        <f aca="false">((Assumptions!$D$121*(1-Assumptions!$C$29))*$C$10)</f>
        <v>74800</v>
      </c>
      <c r="G81" s="9" t="n">
        <f aca="false">((Assumptions!$D$121*(1-Assumptions!$C$29))*$C$10)</f>
        <v>74800</v>
      </c>
      <c r="H81" s="9" t="n">
        <f aca="false">((Assumptions!$D$121*(1-Assumptions!$C$29))*$C$10)</f>
        <v>74800</v>
      </c>
      <c r="I81" s="9" t="n">
        <f aca="false">((Assumptions!$D$121*(1-Assumptions!$C$29))*$C$10)</f>
        <v>74800</v>
      </c>
      <c r="J81" s="9" t="n">
        <f aca="false">((Assumptions!$D$121*(1-Assumptions!$C$29))*$C$10)</f>
        <v>74800</v>
      </c>
      <c r="K81" s="9" t="n">
        <f aca="false">((Assumptions!$D$121*(1-Assumptions!$C$29))*$C$10)</f>
        <v>74800</v>
      </c>
      <c r="L81" s="9" t="n">
        <f aca="false">((Assumptions!$D$121*(1-Assumptions!$C$29))*$C$10)</f>
        <v>74800</v>
      </c>
      <c r="M81" s="9" t="n">
        <f aca="false">((Assumptions!$D$121*(1-Assumptions!$C$29))*$C$10)</f>
        <v>74800</v>
      </c>
      <c r="N81" s="9" t="n">
        <f aca="false">((Assumptions!$D$121*(1-Assumptions!$C$29))*$C$10)</f>
        <v>74800</v>
      </c>
      <c r="O81" s="9" t="n">
        <f aca="false">((Assumptions!$D$121*(1-Assumptions!$C$29))*$C$10)</f>
        <v>74800</v>
      </c>
      <c r="P81" s="9" t="n">
        <f aca="false">((Assumptions!$D$121*(1-Assumptions!$C$29))*$C$10)</f>
        <v>74800</v>
      </c>
      <c r="Q81" s="9" t="n">
        <f aca="false">((Assumptions!$D$121*(1-Assumptions!$C$29))*$C$10)</f>
        <v>74800</v>
      </c>
      <c r="R81" s="9" t="n">
        <f aca="false">((Assumptions!$D$121*(1-Assumptions!$C$29))*$C$10)</f>
        <v>74800</v>
      </c>
      <c r="S81" s="9" t="n">
        <f aca="false">((Assumptions!$D$121*(1-Assumptions!$C$29))*$C$10)</f>
        <v>74800</v>
      </c>
      <c r="T81" s="9" t="n">
        <f aca="false">((Assumptions!$D$121*(1-Assumptions!$C$29))*$C$10)</f>
        <v>74800</v>
      </c>
      <c r="U81" s="9" t="n">
        <f aca="false">((Assumptions!$D$121*(1-Assumptions!$C$29))*$C$10)</f>
        <v>74800</v>
      </c>
      <c r="V81" s="9" t="n">
        <f aca="false">((Assumptions!$D$121*(1-Assumptions!$C$29))*$C$10)</f>
        <v>74800</v>
      </c>
      <c r="W81" s="9" t="n">
        <f aca="false">((Assumptions!$D$121*(1-Assumptions!$C$29))*$C$10)</f>
        <v>74800</v>
      </c>
      <c r="X81" s="9" t="n">
        <f aca="false">((Assumptions!$D$121*(1-Assumptions!$C$29))*$C$10)</f>
        <v>74800</v>
      </c>
      <c r="Y81" s="9" t="n">
        <f aca="false">((Assumptions!$D$121*(1-Assumptions!$C$29))*$C$10)</f>
        <v>74800</v>
      </c>
      <c r="Z81" s="9" t="n">
        <f aca="false">((Assumptions!$D$121*(1-Assumptions!$C$29))*$C$10)</f>
        <v>74800</v>
      </c>
      <c r="AA81" s="9" t="n">
        <f aca="false">((Assumptions!$D$121*(1-Assumptions!$C$29))*$C$10)</f>
        <v>74800</v>
      </c>
      <c r="AB81" s="9" t="n">
        <f aca="false">((Assumptions!$D$121*(1-Assumptions!$C$29))*$C$10)</f>
        <v>74800</v>
      </c>
      <c r="AC81" s="9" t="n">
        <f aca="false">((Assumptions!$D$121*(1-Assumptions!$C$29))*$C$10)</f>
        <v>74800</v>
      </c>
      <c r="AD81" s="9" t="n">
        <f aca="false">((Assumptions!$D$121*(1-Assumptions!$C$29))*$C$10)</f>
        <v>74800</v>
      </c>
      <c r="AE81" s="9" t="n">
        <f aca="false">((Assumptions!$D$121*(1-Assumptions!$C$29))*$C$10)</f>
        <v>74800</v>
      </c>
      <c r="AF81" s="9" t="n">
        <f aca="false">((Assumptions!$D$121*(1-Assumptions!$C$29))*$C$10)</f>
        <v>74800</v>
      </c>
      <c r="AG81" s="9" t="n">
        <f aca="false">((Assumptions!$D$121*(1-Assumptions!$C$29))*$C$10)</f>
        <v>74800</v>
      </c>
      <c r="AH81" s="9" t="n">
        <f aca="false">((Assumptions!$D$121*(1-Assumptions!$C$29))*$C$10)</f>
        <v>74800</v>
      </c>
      <c r="AI81" s="9" t="n">
        <f aca="false">((Assumptions!$D$121*(1-Assumptions!$C$29))*$C$10)</f>
        <v>74800</v>
      </c>
      <c r="AJ81" s="9" t="n">
        <f aca="false">((Assumptions!$D$121*(1-Assumptions!$C$29))*$C$10)</f>
        <v>74800</v>
      </c>
      <c r="AK81" s="9" t="n">
        <f aca="false">((Assumptions!$D$121*(1-Assumptions!$C$29))*$C$10)</f>
        <v>74800</v>
      </c>
      <c r="AL81" s="9" t="n">
        <f aca="false">((Assumptions!$D$121*(1-Assumptions!$C$29))*$C$10)</f>
        <v>74800</v>
      </c>
    </row>
    <row r="82" customFormat="false" ht="15" hidden="false" customHeight="false" outlineLevel="0" collapsed="false">
      <c r="A82" s="0" t="s">
        <v>888</v>
      </c>
      <c r="B82" s="0" t="s">
        <v>230</v>
      </c>
      <c r="C82" s="9" t="n">
        <f aca="false">((C78*C81)+((C45*(1+Assumptions!$C$31))*0))</f>
        <v>0</v>
      </c>
      <c r="D82" s="9" t="n">
        <f aca="false">((D78*D81)+((D45*(1+Assumptions!$C$31))*0))</f>
        <v>0</v>
      </c>
      <c r="E82" s="9" t="n">
        <f aca="false">((E78*E81)+((E45*(1+Assumptions!$C$31))*0))</f>
        <v>0</v>
      </c>
      <c r="F82" s="9" t="n">
        <f aca="false">((F78*F81)+((F45*(1+Assumptions!$C$31))*0))</f>
        <v>0</v>
      </c>
      <c r="G82" s="9" t="n">
        <f aca="false">((G78*G81)+((G45*(1+Assumptions!$C$31))*0))</f>
        <v>0</v>
      </c>
      <c r="H82" s="9" t="n">
        <f aca="false">((H78*H81)+((H45*(1+Assumptions!$C$31))*0))</f>
        <v>0</v>
      </c>
      <c r="I82" s="9" t="n">
        <f aca="false">((I78*I81)+((I45*(1+Assumptions!$C$31))*0))</f>
        <v>0</v>
      </c>
      <c r="J82" s="9" t="n">
        <f aca="false">((J78*J81)+((J45*(1+Assumptions!$C$31))*0))</f>
        <v>0</v>
      </c>
      <c r="K82" s="9" t="n">
        <f aca="false">((K78*K81)+((K45*(1+Assumptions!$C$31))*0))</f>
        <v>0</v>
      </c>
      <c r="L82" s="9" t="n">
        <f aca="false">((L78*L81)+((L45*(1+Assumptions!$C$31))*0))</f>
        <v>0</v>
      </c>
      <c r="M82" s="9" t="n">
        <f aca="false">((M78*M81)+((M45*(1+Assumptions!$C$31))*0))</f>
        <v>0</v>
      </c>
      <c r="N82" s="9" t="n">
        <f aca="false">((N78*N81)+((N45*(1+Assumptions!$C$31))*0))</f>
        <v>0</v>
      </c>
      <c r="O82" s="9" t="n">
        <f aca="false">((O78*O81)+((O45*(1+Assumptions!$C$31))*C82))</f>
        <v>0</v>
      </c>
      <c r="P82" s="9" t="n">
        <f aca="false">((P78*P81)+((P45*(1+Assumptions!$C$31))*D82))</f>
        <v>0</v>
      </c>
      <c r="Q82" s="9" t="n">
        <f aca="false">((Q78*Q81)+((Q45*(1+Assumptions!$C$31))*E82))</f>
        <v>44880</v>
      </c>
      <c r="R82" s="9" t="n">
        <f aca="false">((R78*R81)+((R45*(1+Assumptions!$C$31))*F82))</f>
        <v>0</v>
      </c>
      <c r="S82" s="9" t="n">
        <f aca="false">((S78*S81)+((S45*(1+Assumptions!$C$31))*G82))</f>
        <v>0</v>
      </c>
      <c r="T82" s="9" t="n">
        <f aca="false">((T78*T81)+((T45*(1+Assumptions!$C$31))*H82))</f>
        <v>0</v>
      </c>
      <c r="U82" s="9" t="n">
        <f aca="false">((U78*U81)+((U45*(1+Assumptions!$C$31))*I82))</f>
        <v>0</v>
      </c>
      <c r="V82" s="9" t="n">
        <f aca="false">((V78*V81)+((V45*(1+Assumptions!$C$31))*J82))</f>
        <v>0</v>
      </c>
      <c r="W82" s="9" t="n">
        <f aca="false">((W78*W81)+((W45*(1+Assumptions!$C$31))*K82))</f>
        <v>0</v>
      </c>
      <c r="X82" s="9" t="n">
        <f aca="false">((X78*X81)+((X45*(1+Assumptions!$C$31))*L82))</f>
        <v>0</v>
      </c>
      <c r="Y82" s="9" t="n">
        <f aca="false">((Y78*Y81)+((Y45*(1+Assumptions!$C$31))*M82))</f>
        <v>13464</v>
      </c>
      <c r="Z82" s="9" t="n">
        <f aca="false">((Z78*Z81)+((Z45*(1+Assumptions!$C$31))*N82))</f>
        <v>0</v>
      </c>
      <c r="AA82" s="9" t="n">
        <f aca="false">((AA78*AA81)+((AA45*(1+Assumptions!$C$31))*O82))</f>
        <v>0</v>
      </c>
      <c r="AB82" s="9" t="n">
        <f aca="false">((AB78*AB81)+((AB45*(1+Assumptions!$C$31))*P82))</f>
        <v>88264</v>
      </c>
      <c r="AC82" s="9" t="n">
        <f aca="false">((AC78*AC81)+((AC45*(1+Assumptions!$C$31))*Q82))</f>
        <v>43443.84</v>
      </c>
      <c r="AD82" s="9" t="n">
        <f aca="false">((AD78*AD81)+((AD45*(1+Assumptions!$C$31))*R82))</f>
        <v>0</v>
      </c>
      <c r="AE82" s="9" t="n">
        <f aca="false">((AE78*AE81)+((AE45*(1+Assumptions!$C$31))*S82))</f>
        <v>108460</v>
      </c>
      <c r="AF82" s="9" t="n">
        <f aca="false">((AF78*AF81)+((AF45*(1+Assumptions!$C$31))*T82))</f>
        <v>0</v>
      </c>
      <c r="AG82" s="9" t="n">
        <f aca="false">((AG78*AG81)+((AG45*(1+Assumptions!$C$31))*U82))</f>
        <v>0</v>
      </c>
      <c r="AH82" s="9" t="n">
        <f aca="false">((AH78*AH81)+((AH45*(1+Assumptions!$C$31))*V82))</f>
        <v>108460</v>
      </c>
      <c r="AI82" s="9" t="n">
        <f aca="false">((AI78*AI81)+((AI45*(1+Assumptions!$C$31))*W82))</f>
        <v>0</v>
      </c>
      <c r="AJ82" s="9" t="n">
        <f aca="false">((AJ78*AJ81)+((AJ45*(1+Assumptions!$C$31))*X82))</f>
        <v>0</v>
      </c>
      <c r="AK82" s="9" t="n">
        <f aca="false">((AK78*AK81)+((AK45*(1+Assumptions!$C$31))*Y82))</f>
        <v>229953.152</v>
      </c>
      <c r="AL82" s="9" t="n">
        <f aca="false">((AL78*AL81)+((AL45*(1+Assumptions!$C$31))*Z82))</f>
        <v>0</v>
      </c>
      <c r="AN82" s="11" t="n">
        <f aca="false">SUM(C82:N82)</f>
        <v>0</v>
      </c>
      <c r="AO82" s="11" t="n">
        <f aca="false">SUM(O82:Z82)</f>
        <v>58344</v>
      </c>
      <c r="AP82" s="11" t="n">
        <f aca="false">SUM(AA82:AL82)</f>
        <v>578580.992</v>
      </c>
    </row>
    <row r="83" customFormat="false" ht="15" hidden="false" customHeight="false" outlineLevel="0" collapsed="false">
      <c r="A83" s="0" t="s">
        <v>889</v>
      </c>
      <c r="B83" s="0" t="s">
        <v>230</v>
      </c>
      <c r="C83" s="9" t="n">
        <f aca="false">(Assumptions!$D$126*C76)</f>
        <v>0</v>
      </c>
      <c r="D83" s="9" t="n">
        <f aca="false">(Assumptions!$D$126*D76)</f>
        <v>0</v>
      </c>
      <c r="E83" s="9" t="n">
        <f aca="false">(Assumptions!$D$126*E76)</f>
        <v>0</v>
      </c>
      <c r="F83" s="9" t="n">
        <f aca="false">(Assumptions!$D$126*F76)</f>
        <v>0</v>
      </c>
      <c r="G83" s="9" t="n">
        <f aca="false">(Assumptions!$D$126*G76)</f>
        <v>0</v>
      </c>
      <c r="H83" s="9" t="n">
        <f aca="false">(Assumptions!$D$126*H76)</f>
        <v>0</v>
      </c>
      <c r="I83" s="9" t="n">
        <f aca="false">(Assumptions!$D$126*I76)</f>
        <v>0</v>
      </c>
      <c r="J83" s="9" t="n">
        <f aca="false">(Assumptions!$D$126*J76)</f>
        <v>0</v>
      </c>
      <c r="K83" s="9" t="n">
        <f aca="false">(Assumptions!$D$126*K76)</f>
        <v>0</v>
      </c>
      <c r="L83" s="9" t="n">
        <f aca="false">(Assumptions!$D$126*L76)</f>
        <v>0</v>
      </c>
      <c r="M83" s="9" t="n">
        <f aca="false">(Assumptions!$D$126*M76)</f>
        <v>0</v>
      </c>
      <c r="N83" s="9" t="n">
        <f aca="false">(Assumptions!$D$126*N76)</f>
        <v>0</v>
      </c>
      <c r="O83" s="9" t="n">
        <f aca="false">(Assumptions!$D$126*O76)</f>
        <v>0</v>
      </c>
      <c r="P83" s="9" t="n">
        <f aca="false">(Assumptions!$D$126*P76)</f>
        <v>0</v>
      </c>
      <c r="Q83" s="9" t="n">
        <f aca="false">(Assumptions!$D$126*Q76)</f>
        <v>0</v>
      </c>
      <c r="R83" s="9" t="n">
        <f aca="false">(Assumptions!$D$126*R76)</f>
        <v>0</v>
      </c>
      <c r="S83" s="9" t="n">
        <f aca="false">(Assumptions!$D$126*S76)</f>
        <v>0</v>
      </c>
      <c r="T83" s="9" t="n">
        <f aca="false">(Assumptions!$D$126*T76)</f>
        <v>0</v>
      </c>
      <c r="U83" s="9" t="n">
        <f aca="false">(Assumptions!$D$126*U76)</f>
        <v>0</v>
      </c>
      <c r="V83" s="9" t="n">
        <f aca="false">(Assumptions!$D$126*V76)</f>
        <v>0</v>
      </c>
      <c r="W83" s="9" t="n">
        <f aca="false">(Assumptions!$D$126*W76)</f>
        <v>0</v>
      </c>
      <c r="X83" s="9" t="n">
        <f aca="false">(Assumptions!$D$126*X76)</f>
        <v>0</v>
      </c>
      <c r="Y83" s="9" t="n">
        <f aca="false">(Assumptions!$D$126*Y76)</f>
        <v>2700</v>
      </c>
      <c r="Z83" s="9" t="n">
        <f aca="false">(Assumptions!$D$126*Z76)</f>
        <v>0</v>
      </c>
      <c r="AA83" s="9" t="n">
        <f aca="false">(Assumptions!$D$126*AA76)</f>
        <v>0</v>
      </c>
      <c r="AB83" s="9" t="n">
        <f aca="false">(Assumptions!$D$126*AB76)</f>
        <v>2700</v>
      </c>
      <c r="AC83" s="9" t="n">
        <f aca="false">(Assumptions!$D$126*AC76)</f>
        <v>0</v>
      </c>
      <c r="AD83" s="9" t="n">
        <f aca="false">(Assumptions!$D$126*AD76)</f>
        <v>0</v>
      </c>
      <c r="AE83" s="9" t="n">
        <f aca="false">(Assumptions!$D$126*AE76)</f>
        <v>6750</v>
      </c>
      <c r="AF83" s="9" t="n">
        <f aca="false">(Assumptions!$D$126*AF76)</f>
        <v>0</v>
      </c>
      <c r="AG83" s="9" t="n">
        <f aca="false">(Assumptions!$D$126*AG76)</f>
        <v>0</v>
      </c>
      <c r="AH83" s="9" t="n">
        <f aca="false">(Assumptions!$D$126*AH76)</f>
        <v>6750</v>
      </c>
      <c r="AI83" s="9" t="n">
        <f aca="false">(Assumptions!$D$126*AI76)</f>
        <v>0</v>
      </c>
      <c r="AJ83" s="9" t="n">
        <f aca="false">(Assumptions!$D$126*AJ76)</f>
        <v>0</v>
      </c>
      <c r="AK83" s="9" t="n">
        <f aca="false">(Assumptions!$D$126*AK76)</f>
        <v>13500</v>
      </c>
      <c r="AL83" s="9" t="n">
        <f aca="false">(Assumptions!$D$126*AL76)</f>
        <v>0</v>
      </c>
      <c r="AN83" s="11" t="n">
        <f aca="false">SUM(C83:N83)</f>
        <v>0</v>
      </c>
      <c r="AO83" s="11" t="n">
        <f aca="false">SUM(O83:Z83)</f>
        <v>2700</v>
      </c>
      <c r="AP83" s="11" t="n">
        <f aca="false">SUM(AA83:AL83)</f>
        <v>29700</v>
      </c>
    </row>
    <row r="84" customFormat="false" ht="15" hidden="false" customHeight="false" outlineLevel="0" collapsed="false">
      <c r="A84" s="0" t="s">
        <v>890</v>
      </c>
      <c r="B84" s="0" t="s">
        <v>230</v>
      </c>
      <c r="C84" s="9" t="n">
        <f aca="false">((C82-C83)/12)</f>
        <v>0</v>
      </c>
      <c r="D84" s="9" t="n">
        <f aca="false">((SUM(C82:D82)-SUM(C83:D83))/12)</f>
        <v>0</v>
      </c>
      <c r="E84" s="9" t="n">
        <f aca="false">((SUM(C82:E82)-SUM(C83:E83))/12)</f>
        <v>0</v>
      </c>
      <c r="F84" s="9" t="n">
        <f aca="false">((SUM(C82:F82)-SUM(C83:F83))/12)</f>
        <v>0</v>
      </c>
      <c r="G84" s="9" t="n">
        <f aca="false">((SUM(C82:G82)-SUM(C83:G83))/12)</f>
        <v>0</v>
      </c>
      <c r="H84" s="9" t="n">
        <f aca="false">((SUM(C82:H82)-SUM(C83:H83))/12)</f>
        <v>0</v>
      </c>
      <c r="I84" s="9" t="n">
        <f aca="false">((SUM(C82:I82)-SUM(C83:I83))/12)</f>
        <v>0</v>
      </c>
      <c r="J84" s="9" t="n">
        <f aca="false">((SUM(C82:J82)-SUM(C83:J83))/12)</f>
        <v>0</v>
      </c>
      <c r="K84" s="9" t="n">
        <f aca="false">((SUM(C82:K82)-SUM(C83:K83))/12)</f>
        <v>0</v>
      </c>
      <c r="L84" s="9" t="n">
        <f aca="false">((SUM(C82:L82)-SUM(C83:L83))/12)</f>
        <v>0</v>
      </c>
      <c r="M84" s="9" t="n">
        <f aca="false">((SUM(C82:M82)-SUM(C83:M83))/12)</f>
        <v>0</v>
      </c>
      <c r="N84" s="9" t="n">
        <f aca="false">((SUM(C82:N82)-SUM(C83:N83))/12)</f>
        <v>0</v>
      </c>
      <c r="O84" s="9" t="n">
        <f aca="false">((SUM(D82:O82)-SUM(D83:O83))/12)</f>
        <v>0</v>
      </c>
      <c r="P84" s="9" t="n">
        <f aca="false">((SUM(E82:P82)-SUM(E83:P83))/12)</f>
        <v>0</v>
      </c>
      <c r="Q84" s="9" t="n">
        <f aca="false">((SUM(F82:Q82)-SUM(F83:Q83))/12)</f>
        <v>3740</v>
      </c>
      <c r="R84" s="9" t="n">
        <f aca="false">((SUM(G82:R82)-SUM(G83:R83))/12)</f>
        <v>3740</v>
      </c>
      <c r="S84" s="9" t="n">
        <f aca="false">((SUM(H82:S82)-SUM(H83:S83))/12)</f>
        <v>3740</v>
      </c>
      <c r="T84" s="9" t="n">
        <f aca="false">((SUM(I82:T82)-SUM(I83:T83))/12)</f>
        <v>3740</v>
      </c>
      <c r="U84" s="9" t="n">
        <f aca="false">((SUM(J82:U82)-SUM(J83:U83))/12)</f>
        <v>3740</v>
      </c>
      <c r="V84" s="9" t="n">
        <f aca="false">((SUM(K82:V82)-SUM(K83:V83))/12)</f>
        <v>3740</v>
      </c>
      <c r="W84" s="9" t="n">
        <f aca="false">((SUM(L82:W82)-SUM(L83:W83))/12)</f>
        <v>3740</v>
      </c>
      <c r="X84" s="9" t="n">
        <f aca="false">((SUM(M82:X82)-SUM(M83:X83))/12)</f>
        <v>3740</v>
      </c>
      <c r="Y84" s="9" t="n">
        <f aca="false">((SUM(N82:Y82)-SUM(N83:Y83))/12)</f>
        <v>4637</v>
      </c>
      <c r="Z84" s="9" t="n">
        <f aca="false">((SUM(O82:Z82)-SUM(O83:Z83))/12)</f>
        <v>4637</v>
      </c>
      <c r="AA84" s="9" t="n">
        <f aca="false">((SUM(P82:AA82)-SUM(P83:AA83))/12)</f>
        <v>4637</v>
      </c>
      <c r="AB84" s="9" t="n">
        <f aca="false">((SUM(Q82:AB82)-SUM(Q83:AB83))/12)</f>
        <v>11767.3333333333</v>
      </c>
      <c r="AC84" s="9" t="n">
        <f aca="false">((SUM(R82:AC82)-SUM(R83:AC83))/12)</f>
        <v>11647.6533333333</v>
      </c>
      <c r="AD84" s="9" t="n">
        <f aca="false">((SUM(S82:AD82)-SUM(S83:AD83))/12)</f>
        <v>11647.6533333333</v>
      </c>
      <c r="AE84" s="9" t="n">
        <f aca="false">((SUM(T82:AE82)-SUM(T83:AE83))/12)</f>
        <v>20123.4866666667</v>
      </c>
      <c r="AF84" s="9" t="n">
        <f aca="false">((SUM(U82:AF82)-SUM(U83:AF83))/12)</f>
        <v>20123.4866666667</v>
      </c>
      <c r="AG84" s="9" t="n">
        <f aca="false">((SUM(V82:AG82)-SUM(V83:AG83))/12)</f>
        <v>20123.4866666667</v>
      </c>
      <c r="AH84" s="9" t="n">
        <f aca="false">((SUM(W82:AH82)-SUM(W83:AH83))/12)</f>
        <v>28599.32</v>
      </c>
      <c r="AI84" s="9" t="n">
        <f aca="false">((SUM(X82:AI82)-SUM(X83:AI83))/12)</f>
        <v>28599.32</v>
      </c>
      <c r="AJ84" s="9" t="n">
        <f aca="false">((SUM(Y82:AJ82)-SUM(Y83:AJ83))/12)</f>
        <v>28599.32</v>
      </c>
      <c r="AK84" s="9" t="n">
        <f aca="false">((SUM(Z82:AK82)-SUM(Z83:AK83))/12)</f>
        <v>45740.0826666667</v>
      </c>
      <c r="AL84" s="9" t="n">
        <f aca="false">((SUM(AA82:AL82)-SUM(AA83:AL83))/12)</f>
        <v>45740.0826666667</v>
      </c>
      <c r="AN84" s="11" t="n">
        <f aca="false">SUM(C84:N84)</f>
        <v>0</v>
      </c>
      <c r="AO84" s="11" t="n">
        <f aca="false">SUM(O84:Z84)</f>
        <v>39194</v>
      </c>
      <c r="AP84" s="11" t="n">
        <f aca="false">SUM(AA84:AL84)</f>
        <v>277348.225333333</v>
      </c>
    </row>
    <row r="85" customFormat="false" ht="15" hidden="false" customHeight="false" outlineLevel="0" collapsed="false">
      <c r="A85" s="0" t="s">
        <v>891</v>
      </c>
      <c r="B85" s="0" t="s">
        <v>230</v>
      </c>
      <c r="C85" s="9" t="n">
        <f aca="false">(C82-C83)</f>
        <v>0</v>
      </c>
      <c r="D85" s="9" t="n">
        <f aca="false">(D82-D83)</f>
        <v>0</v>
      </c>
      <c r="E85" s="9" t="n">
        <f aca="false">(E82-E83)</f>
        <v>0</v>
      </c>
      <c r="F85" s="9" t="n">
        <f aca="false">(F82-F83)</f>
        <v>0</v>
      </c>
      <c r="G85" s="9" t="n">
        <f aca="false">(G82-G83)</f>
        <v>0</v>
      </c>
      <c r="H85" s="9" t="n">
        <f aca="false">(H82-H83)</f>
        <v>0</v>
      </c>
      <c r="I85" s="9" t="n">
        <f aca="false">(I82-I83)</f>
        <v>0</v>
      </c>
      <c r="J85" s="9" t="n">
        <f aca="false">(J82-J83)</f>
        <v>0</v>
      </c>
      <c r="K85" s="9" t="n">
        <f aca="false">(K82-K83)</f>
        <v>0</v>
      </c>
      <c r="L85" s="9" t="n">
        <f aca="false">(L82-L83)</f>
        <v>0</v>
      </c>
      <c r="M85" s="9" t="n">
        <f aca="false">(M82-M83)</f>
        <v>0</v>
      </c>
      <c r="N85" s="9" t="n">
        <f aca="false">(N82-N83)</f>
        <v>0</v>
      </c>
      <c r="O85" s="9" t="n">
        <f aca="false">(O82-O83)</f>
        <v>0</v>
      </c>
      <c r="P85" s="9" t="n">
        <f aca="false">(P82-P83)</f>
        <v>0</v>
      </c>
      <c r="Q85" s="9" t="n">
        <f aca="false">(Q82-Q83)</f>
        <v>44880</v>
      </c>
      <c r="R85" s="9" t="n">
        <f aca="false">(R82-R83)</f>
        <v>0</v>
      </c>
      <c r="S85" s="9" t="n">
        <f aca="false">(S82-S83)</f>
        <v>0</v>
      </c>
      <c r="T85" s="9" t="n">
        <f aca="false">(T82-T83)</f>
        <v>0</v>
      </c>
      <c r="U85" s="9" t="n">
        <f aca="false">(U82-U83)</f>
        <v>0</v>
      </c>
      <c r="V85" s="9" t="n">
        <f aca="false">(V82-V83)</f>
        <v>0</v>
      </c>
      <c r="W85" s="9" t="n">
        <f aca="false">(W82-W83)</f>
        <v>0</v>
      </c>
      <c r="X85" s="9" t="n">
        <f aca="false">(X82-X83)</f>
        <v>0</v>
      </c>
      <c r="Y85" s="9" t="n">
        <f aca="false">(Y82-Y83)</f>
        <v>10764</v>
      </c>
      <c r="Z85" s="9" t="n">
        <f aca="false">(Z82-Z83)</f>
        <v>0</v>
      </c>
      <c r="AA85" s="9" t="n">
        <f aca="false">(AA82-AA83)</f>
        <v>0</v>
      </c>
      <c r="AB85" s="9" t="n">
        <f aca="false">(AB82-AB83)</f>
        <v>85564</v>
      </c>
      <c r="AC85" s="9" t="n">
        <f aca="false">(AC82-AC83)</f>
        <v>43443.84</v>
      </c>
      <c r="AD85" s="9" t="n">
        <f aca="false">(AD82-AD83)</f>
        <v>0</v>
      </c>
      <c r="AE85" s="9" t="n">
        <f aca="false">(AE82-AE83)</f>
        <v>101710</v>
      </c>
      <c r="AF85" s="9" t="n">
        <f aca="false">(AF82-AF83)</f>
        <v>0</v>
      </c>
      <c r="AG85" s="9" t="n">
        <f aca="false">(AG82-AG83)</f>
        <v>0</v>
      </c>
      <c r="AH85" s="9" t="n">
        <f aca="false">(AH82-AH83)</f>
        <v>101710</v>
      </c>
      <c r="AI85" s="9" t="n">
        <f aca="false">(AI82-AI83)</f>
        <v>0</v>
      </c>
      <c r="AJ85" s="9" t="n">
        <f aca="false">(AJ82-AJ83)</f>
        <v>0</v>
      </c>
      <c r="AK85" s="9" t="n">
        <f aca="false">(AK82-AK83)</f>
        <v>216453.152</v>
      </c>
      <c r="AL85" s="9" t="n">
        <f aca="false">(AL82-AL83)</f>
        <v>0</v>
      </c>
      <c r="AN85" s="11" t="n">
        <f aca="false">SUM(C85:N85)</f>
        <v>0</v>
      </c>
      <c r="AO85" s="11" t="n">
        <f aca="false">SUM(O85:Z85)</f>
        <v>55644</v>
      </c>
      <c r="AP85" s="11" t="n">
        <f aca="false">SUM(AA85:AL85)</f>
        <v>548880.992</v>
      </c>
    </row>
    <row r="86" customFormat="false" ht="15" hidden="false" customHeight="false" outlineLevel="0" collapsed="false">
      <c r="A86" s="0" t="s">
        <v>892</v>
      </c>
      <c r="B86" s="0" t="s">
        <v>230</v>
      </c>
      <c r="C86" s="9" t="n">
        <f aca="false">(((Assumptions!$D$122*$C$10)/6)*C75)</f>
        <v>0</v>
      </c>
      <c r="D86" s="9" t="n">
        <f aca="false">(((Assumptions!$D$122*$C$10)/6)*D75)</f>
        <v>0</v>
      </c>
      <c r="E86" s="9" t="n">
        <f aca="false">(((Assumptions!$D$122*$C$10)/6)*E75)</f>
        <v>0</v>
      </c>
      <c r="F86" s="9" t="n">
        <f aca="false">(((Assumptions!$D$122*$C$10)/6)*F75)</f>
        <v>0</v>
      </c>
      <c r="G86" s="9" t="n">
        <f aca="false">(((Assumptions!$D$122*$C$10)/6)*G75)</f>
        <v>0</v>
      </c>
      <c r="H86" s="9" t="n">
        <f aca="false">(((Assumptions!$D$122*$C$10)/6)*H75)</f>
        <v>0</v>
      </c>
      <c r="I86" s="9" t="n">
        <f aca="false">(((Assumptions!$D$122*$C$10)/6)*I75)</f>
        <v>0</v>
      </c>
      <c r="J86" s="9" t="n">
        <f aca="false">(((Assumptions!$D$122*$C$10)/6)*J75)</f>
        <v>0</v>
      </c>
      <c r="K86" s="9" t="n">
        <f aca="false">(((Assumptions!$D$122*$C$10)/6)*K75)</f>
        <v>0</v>
      </c>
      <c r="L86" s="9" t="n">
        <f aca="false">(((Assumptions!$D$122*$C$10)/6)*L75)</f>
        <v>0</v>
      </c>
      <c r="M86" s="9" t="n">
        <f aca="false">(((Assumptions!$D$122*$C$10)/6)*M75)</f>
        <v>0</v>
      </c>
      <c r="N86" s="9" t="n">
        <f aca="false">(((Assumptions!$D$122*$C$10)/6)*N75)</f>
        <v>0</v>
      </c>
      <c r="O86" s="9" t="n">
        <f aca="false">(((Assumptions!$D$122*$C$10)/6)*O75)</f>
        <v>0</v>
      </c>
      <c r="P86" s="9" t="n">
        <f aca="false">(((Assumptions!$D$122*$C$10)/6)*P75)</f>
        <v>0</v>
      </c>
      <c r="Q86" s="9" t="n">
        <f aca="false">(((Assumptions!$D$122*$C$10)/6)*Q75)</f>
        <v>0</v>
      </c>
      <c r="R86" s="9" t="n">
        <f aca="false">(((Assumptions!$D$122*$C$10)/6)*R75)</f>
        <v>2000</v>
      </c>
      <c r="S86" s="9" t="n">
        <f aca="false">(((Assumptions!$D$122*$C$10)/6)*S75)</f>
        <v>2000</v>
      </c>
      <c r="T86" s="9" t="n">
        <f aca="false">(((Assumptions!$D$122*$C$10)/6)*T75)</f>
        <v>2000</v>
      </c>
      <c r="U86" s="9" t="n">
        <f aca="false">(((Assumptions!$D$122*$C$10)/6)*U75)</f>
        <v>4000</v>
      </c>
      <c r="V86" s="9" t="n">
        <f aca="false">(((Assumptions!$D$122*$C$10)/6)*V75)</f>
        <v>4000</v>
      </c>
      <c r="W86" s="9" t="n">
        <f aca="false">(((Assumptions!$D$122*$C$10)/6)*W75)</f>
        <v>4000</v>
      </c>
      <c r="X86" s="9" t="n">
        <f aca="false">(((Assumptions!$D$122*$C$10)/6)*X75)</f>
        <v>7000</v>
      </c>
      <c r="Y86" s="9" t="n">
        <f aca="false">(((Assumptions!$D$122*$C$10)/6)*Y75)</f>
        <v>7000</v>
      </c>
      <c r="Z86" s="9" t="n">
        <f aca="false">(((Assumptions!$D$122*$C$10)/6)*Z75)</f>
        <v>7000</v>
      </c>
      <c r="AA86" s="9" t="n">
        <f aca="false">(((Assumptions!$D$122*$C$10)/6)*AA75)</f>
        <v>10000</v>
      </c>
      <c r="AB86" s="9" t="n">
        <f aca="false">(((Assumptions!$D$122*$C$10)/6)*AB75)</f>
        <v>10000</v>
      </c>
      <c r="AC86" s="9" t="n">
        <f aca="false">(((Assumptions!$D$122*$C$10)/6)*AC75)</f>
        <v>10000</v>
      </c>
      <c r="AD86" s="9" t="n">
        <f aca="false">(((Assumptions!$D$122*$C$10)/6)*AD75)</f>
        <v>15000</v>
      </c>
      <c r="AE86" s="9" t="n">
        <f aca="false">(((Assumptions!$D$122*$C$10)/6)*AE75)</f>
        <v>15000</v>
      </c>
      <c r="AF86" s="9" t="n">
        <f aca="false">(((Assumptions!$D$122*$C$10)/6)*AF75)</f>
        <v>15000</v>
      </c>
      <c r="AG86" s="9" t="n">
        <f aca="false">(((Assumptions!$D$122*$C$10)/6)*AG75)</f>
        <v>20000</v>
      </c>
      <c r="AH86" s="9" t="n">
        <f aca="false">(((Assumptions!$D$122*$C$10)/6)*AH75)</f>
        <v>20000</v>
      </c>
      <c r="AI86" s="9" t="n">
        <f aca="false">(((Assumptions!$D$122*$C$10)/6)*AI75)</f>
        <v>20000</v>
      </c>
      <c r="AJ86" s="9" t="n">
        <f aca="false">(((Assumptions!$D$122*$C$10)/6)*AJ75)</f>
        <v>20000</v>
      </c>
      <c r="AK86" s="9" t="n">
        <f aca="false">(((Assumptions!$D$122*$C$10)/6)*AK75)</f>
        <v>20000</v>
      </c>
      <c r="AL86" s="9" t="n">
        <f aca="false">(((Assumptions!$D$122*$C$10)/6)*AL75)</f>
        <v>20000</v>
      </c>
      <c r="AN86" s="11" t="n">
        <f aca="false">SUM(C86:N86)</f>
        <v>0</v>
      </c>
      <c r="AO86" s="11" t="n">
        <f aca="false">SUM(O86:Z86)</f>
        <v>39000</v>
      </c>
      <c r="AP86" s="11" t="n">
        <f aca="false">SUM(AA86:AL86)</f>
        <v>195000</v>
      </c>
    </row>
    <row r="87" customFormat="false" ht="15" hidden="false" customHeight="false" outlineLevel="0" collapsed="false">
      <c r="A87" s="0" t="s">
        <v>893</v>
      </c>
      <c r="B87" s="0" t="s">
        <v>230</v>
      </c>
      <c r="C87" s="9" t="n">
        <f aca="false">((Assumptions!$D$122*$C$10)*C69)</f>
        <v>0</v>
      </c>
      <c r="D87" s="9" t="n">
        <f aca="false">((Assumptions!$D$122*$C$10)*D69)</f>
        <v>0</v>
      </c>
      <c r="E87" s="9" t="n">
        <f aca="false">((Assumptions!$D$122*$C$10)*E69)</f>
        <v>0</v>
      </c>
      <c r="F87" s="9" t="n">
        <f aca="false">((Assumptions!$D$122*$C$10)*F69)</f>
        <v>0</v>
      </c>
      <c r="G87" s="9" t="n">
        <f aca="false">((Assumptions!$D$122*$C$10)*G69)</f>
        <v>0</v>
      </c>
      <c r="H87" s="9" t="n">
        <f aca="false">((Assumptions!$D$122*$C$10)*H69)</f>
        <v>0</v>
      </c>
      <c r="I87" s="9" t="n">
        <f aca="false">((Assumptions!$D$122*$C$10)*I69)</f>
        <v>0</v>
      </c>
      <c r="J87" s="9" t="n">
        <f aca="false">((Assumptions!$D$122*$C$10)*J69)</f>
        <v>0</v>
      </c>
      <c r="K87" s="9" t="n">
        <f aca="false">((Assumptions!$D$122*$C$10)*K69)</f>
        <v>0</v>
      </c>
      <c r="L87" s="9" t="n">
        <f aca="false">((Assumptions!$D$122*$C$10)*L69)</f>
        <v>0</v>
      </c>
      <c r="M87" s="9" t="n">
        <f aca="false">((Assumptions!$D$122*$C$10)*M69)</f>
        <v>0</v>
      </c>
      <c r="N87" s="9" t="n">
        <f aca="false">((Assumptions!$D$122*$C$10)*N69)</f>
        <v>0</v>
      </c>
      <c r="O87" s="9" t="n">
        <f aca="false">((Assumptions!$D$122*$C$10)*O69)</f>
        <v>0</v>
      </c>
      <c r="P87" s="9" t="n">
        <f aca="false">((Assumptions!$D$122*$C$10)*P69)</f>
        <v>0</v>
      </c>
      <c r="Q87" s="9" t="n">
        <f aca="false">((Assumptions!$D$122*$C$10)*Q69)</f>
        <v>0</v>
      </c>
      <c r="R87" s="9" t="n">
        <f aca="false">((Assumptions!$D$122*$C$10)*R69)</f>
        <v>12000</v>
      </c>
      <c r="S87" s="9" t="n">
        <f aca="false">((Assumptions!$D$122*$C$10)*S69)</f>
        <v>0</v>
      </c>
      <c r="T87" s="9" t="n">
        <f aca="false">((Assumptions!$D$122*$C$10)*T69)</f>
        <v>0</v>
      </c>
      <c r="U87" s="9" t="n">
        <f aca="false">((Assumptions!$D$122*$C$10)*U69)</f>
        <v>12000</v>
      </c>
      <c r="V87" s="9" t="n">
        <f aca="false">((Assumptions!$D$122*$C$10)*V69)</f>
        <v>0</v>
      </c>
      <c r="W87" s="9" t="n">
        <f aca="false">((Assumptions!$D$122*$C$10)*W69)</f>
        <v>0</v>
      </c>
      <c r="X87" s="9" t="n">
        <f aca="false">((Assumptions!$D$122*$C$10)*X69)</f>
        <v>30000</v>
      </c>
      <c r="Y87" s="9" t="n">
        <f aca="false">((Assumptions!$D$122*$C$10)*Y69)</f>
        <v>0</v>
      </c>
      <c r="Z87" s="9" t="n">
        <f aca="false">((Assumptions!$D$122*$C$10)*Z69)</f>
        <v>0</v>
      </c>
      <c r="AA87" s="9" t="n">
        <f aca="false">((Assumptions!$D$122*$C$10)*AA69)</f>
        <v>30000</v>
      </c>
      <c r="AB87" s="9" t="n">
        <f aca="false">((Assumptions!$D$122*$C$10)*AB69)</f>
        <v>0</v>
      </c>
      <c r="AC87" s="9" t="n">
        <f aca="false">((Assumptions!$D$122*$C$10)*AC69)</f>
        <v>0</v>
      </c>
      <c r="AD87" s="9" t="n">
        <f aca="false">((Assumptions!$D$122*$C$10)*AD69)</f>
        <v>60000</v>
      </c>
      <c r="AE87" s="9" t="n">
        <f aca="false">((Assumptions!$D$122*$C$10)*AE69)</f>
        <v>0</v>
      </c>
      <c r="AF87" s="9" t="n">
        <f aca="false">((Assumptions!$D$122*$C$10)*AF69)</f>
        <v>0</v>
      </c>
      <c r="AG87" s="9" t="n">
        <f aca="false">((Assumptions!$D$122*$C$10)*AG69)</f>
        <v>60000</v>
      </c>
      <c r="AH87" s="9" t="n">
        <f aca="false">((Assumptions!$D$122*$C$10)*AH69)</f>
        <v>0</v>
      </c>
      <c r="AI87" s="9" t="n">
        <f aca="false">((Assumptions!$D$122*$C$10)*AI69)</f>
        <v>0</v>
      </c>
      <c r="AJ87" s="9" t="n">
        <f aca="false">((Assumptions!$D$122*$C$10)*AJ69)</f>
        <v>60000</v>
      </c>
      <c r="AK87" s="9" t="n">
        <f aca="false">((Assumptions!$D$122*$C$10)*AK69)</f>
        <v>0</v>
      </c>
      <c r="AL87" s="9" t="n">
        <f aca="false">((Assumptions!$D$122*$C$10)*AL69)</f>
        <v>0</v>
      </c>
      <c r="AN87" s="11" t="n">
        <f aca="false">SUM(C87:N87)</f>
        <v>0</v>
      </c>
      <c r="AO87" s="11" t="n">
        <f aca="false">SUM(O87:Z87)</f>
        <v>54000</v>
      </c>
      <c r="AP87" s="11" t="n">
        <f aca="false">SUM(AA87:AL87)</f>
        <v>210000</v>
      </c>
    </row>
    <row r="88" customFormat="false" ht="15" hidden="false" customHeight="false" outlineLevel="0" collapsed="false">
      <c r="A88" s="0" t="s">
        <v>894</v>
      </c>
      <c r="B88" s="0" t="s">
        <v>230</v>
      </c>
      <c r="C88" s="9" t="n">
        <f aca="false">((Assumptions!$D$123*$C$10)+(Assumptions!$C$34*Assumptions!$C$35))</f>
        <v>46000</v>
      </c>
      <c r="D88" s="9" t="n">
        <f aca="false">((Assumptions!$D$123*$C$10)+(Assumptions!$C$34*Assumptions!$C$35))</f>
        <v>46000</v>
      </c>
      <c r="E88" s="9" t="n">
        <f aca="false">((Assumptions!$D$123*$C$10)+(Assumptions!$C$34*Assumptions!$C$35))</f>
        <v>46000</v>
      </c>
      <c r="F88" s="9" t="n">
        <f aca="false">((Assumptions!$D$123*$C$10)+(Assumptions!$C$34*Assumptions!$C$35))</f>
        <v>46000</v>
      </c>
      <c r="G88" s="9" t="n">
        <f aca="false">((Assumptions!$D$123*$C$10)+(Assumptions!$C$34*Assumptions!$C$35))</f>
        <v>46000</v>
      </c>
      <c r="H88" s="9" t="n">
        <f aca="false">((Assumptions!$D$123*$C$10)+(Assumptions!$C$34*Assumptions!$C$35))</f>
        <v>46000</v>
      </c>
      <c r="I88" s="9" t="n">
        <f aca="false">((Assumptions!$D$123*$C$10)+(Assumptions!$C$34*Assumptions!$C$35))</f>
        <v>46000</v>
      </c>
      <c r="J88" s="9" t="n">
        <f aca="false">((Assumptions!$D$123*$C$10)+(Assumptions!$C$34*Assumptions!$C$35))</f>
        <v>46000</v>
      </c>
      <c r="K88" s="9" t="n">
        <f aca="false">((Assumptions!$D$123*$C$10)+(Assumptions!$C$34*Assumptions!$C$35))</f>
        <v>46000</v>
      </c>
      <c r="L88" s="9" t="n">
        <f aca="false">((Assumptions!$D$123*$C$10)+(Assumptions!$C$34*Assumptions!$C$35))</f>
        <v>46000</v>
      </c>
      <c r="M88" s="9" t="n">
        <f aca="false">((Assumptions!$D$123*$C$10)+(Assumptions!$C$34*Assumptions!$C$35))</f>
        <v>46000</v>
      </c>
      <c r="N88" s="9" t="n">
        <f aca="false">((Assumptions!$D$123*$C$10)+(Assumptions!$C$34*Assumptions!$C$35))</f>
        <v>46000</v>
      </c>
      <c r="O88" s="9" t="n">
        <f aca="false">((Assumptions!$D$123*$C$10)+(Assumptions!$C$34*Assumptions!$C$35))</f>
        <v>46000</v>
      </c>
      <c r="P88" s="9" t="n">
        <f aca="false">((Assumptions!$D$123*$C$10)+(Assumptions!$C$34*Assumptions!$C$35))</f>
        <v>46000</v>
      </c>
      <c r="Q88" s="9" t="n">
        <f aca="false">((Assumptions!$D$123*$C$10)+(Assumptions!$C$34*Assumptions!$C$35))</f>
        <v>46000</v>
      </c>
      <c r="R88" s="9" t="n">
        <f aca="false">((Assumptions!$D$123*$C$10)+(Assumptions!$C$34*Assumptions!$C$35))</f>
        <v>46000</v>
      </c>
      <c r="S88" s="9" t="n">
        <f aca="false">((Assumptions!$D$123*$C$10)+(Assumptions!$C$34*Assumptions!$C$35))</f>
        <v>46000</v>
      </c>
      <c r="T88" s="9" t="n">
        <f aca="false">((Assumptions!$D$123*$C$10)+(Assumptions!$C$34*Assumptions!$C$35))</f>
        <v>46000</v>
      </c>
      <c r="U88" s="9" t="n">
        <f aca="false">((Assumptions!$D$123*$C$10)+(Assumptions!$C$34*Assumptions!$C$35))</f>
        <v>46000</v>
      </c>
      <c r="V88" s="9" t="n">
        <f aca="false">((Assumptions!$D$123*$C$10)+(Assumptions!$C$34*Assumptions!$C$35))</f>
        <v>46000</v>
      </c>
      <c r="W88" s="9" t="n">
        <f aca="false">((Assumptions!$D$123*$C$10)+(Assumptions!$C$34*Assumptions!$C$35))</f>
        <v>46000</v>
      </c>
      <c r="X88" s="9" t="n">
        <f aca="false">((Assumptions!$D$123*$C$10)+(Assumptions!$C$34*Assumptions!$C$35))</f>
        <v>46000</v>
      </c>
      <c r="Y88" s="9" t="n">
        <f aca="false">((Assumptions!$D$123*$C$10)+(Assumptions!$C$34*Assumptions!$C$35))</f>
        <v>46000</v>
      </c>
      <c r="Z88" s="9" t="n">
        <f aca="false">((Assumptions!$D$123*$C$10)+(Assumptions!$C$34*Assumptions!$C$35))</f>
        <v>46000</v>
      </c>
      <c r="AA88" s="9" t="n">
        <f aca="false">((Assumptions!$D$123*$C$10)+(Assumptions!$C$34*Assumptions!$C$35))</f>
        <v>46000</v>
      </c>
      <c r="AB88" s="9" t="n">
        <f aca="false">((Assumptions!$D$123*$C$10)+(Assumptions!$C$34*Assumptions!$C$35))</f>
        <v>46000</v>
      </c>
      <c r="AC88" s="9" t="n">
        <f aca="false">((Assumptions!$D$123*$C$10)+(Assumptions!$C$34*Assumptions!$C$35))</f>
        <v>46000</v>
      </c>
      <c r="AD88" s="9" t="n">
        <f aca="false">((Assumptions!$D$123*$C$10)+(Assumptions!$C$34*Assumptions!$C$35))</f>
        <v>46000</v>
      </c>
      <c r="AE88" s="9" t="n">
        <f aca="false">((Assumptions!$D$123*$C$10)+(Assumptions!$C$34*Assumptions!$C$35))</f>
        <v>46000</v>
      </c>
      <c r="AF88" s="9" t="n">
        <f aca="false">((Assumptions!$D$123*$C$10)+(Assumptions!$C$34*Assumptions!$C$35))</f>
        <v>46000</v>
      </c>
      <c r="AG88" s="9" t="n">
        <f aca="false">((Assumptions!$D$123*$C$10)+(Assumptions!$C$34*Assumptions!$C$35))</f>
        <v>46000</v>
      </c>
      <c r="AH88" s="9" t="n">
        <f aca="false">((Assumptions!$D$123*$C$10)+(Assumptions!$C$34*Assumptions!$C$35))</f>
        <v>46000</v>
      </c>
      <c r="AI88" s="9" t="n">
        <f aca="false">((Assumptions!$D$123*$C$10)+(Assumptions!$C$34*Assumptions!$C$35))</f>
        <v>46000</v>
      </c>
      <c r="AJ88" s="9" t="n">
        <f aca="false">((Assumptions!$D$123*$C$10)+(Assumptions!$C$34*Assumptions!$C$35))</f>
        <v>46000</v>
      </c>
      <c r="AK88" s="9" t="n">
        <f aca="false">((Assumptions!$D$123*$C$10)+(Assumptions!$C$34*Assumptions!$C$35))</f>
        <v>46000</v>
      </c>
      <c r="AL88" s="9" t="n">
        <f aca="false">((Assumptions!$D$123*$C$10)+(Assumptions!$C$34*Assumptions!$C$35))</f>
        <v>46000</v>
      </c>
    </row>
    <row r="89" customFormat="false" ht="15" hidden="false" customHeight="false" outlineLevel="0" collapsed="false">
      <c r="A89" s="0" t="s">
        <v>895</v>
      </c>
      <c r="B89" s="0" t="s">
        <v>230</v>
      </c>
      <c r="C89" s="9" t="n">
        <f aca="false">((C88/3)*C73)</f>
        <v>0</v>
      </c>
      <c r="D89" s="9" t="n">
        <f aca="false">((D88/3)*SUM(C73:D73))</f>
        <v>0</v>
      </c>
      <c r="E89" s="9" t="n">
        <f aca="false">((E88/3)*SUM(C73:E73))</f>
        <v>0</v>
      </c>
      <c r="F89" s="9" t="n">
        <f aca="false">((F88/3)*SUM(D73:F73))</f>
        <v>0</v>
      </c>
      <c r="G89" s="9" t="n">
        <f aca="false">((G88/3)*SUM(E73:G73))</f>
        <v>0</v>
      </c>
      <c r="H89" s="9" t="n">
        <f aca="false">((H88/3)*SUM(F73:H73))</f>
        <v>0</v>
      </c>
      <c r="I89" s="9" t="n">
        <f aca="false">((I88/3)*SUM(G73:I73))</f>
        <v>0</v>
      </c>
      <c r="J89" s="9" t="n">
        <f aca="false">((J88/3)*SUM(H73:J73))</f>
        <v>0</v>
      </c>
      <c r="K89" s="9" t="n">
        <f aca="false">((K88/3)*SUM(I73:K73))</f>
        <v>0</v>
      </c>
      <c r="L89" s="9" t="n">
        <f aca="false">((L88/3)*SUM(J73:L73))</f>
        <v>0</v>
      </c>
      <c r="M89" s="9" t="n">
        <f aca="false">((M88/3)*SUM(K73:M73))</f>
        <v>0</v>
      </c>
      <c r="N89" s="9" t="n">
        <f aca="false">((N88/3)*SUM(L73:N73))</f>
        <v>0</v>
      </c>
      <c r="O89" s="9" t="n">
        <f aca="false">((O88/3)*SUM(M73:O73))</f>
        <v>0</v>
      </c>
      <c r="P89" s="9" t="n">
        <f aca="false">((P88/3)*SUM(N73:P73))</f>
        <v>0</v>
      </c>
      <c r="Q89" s="9" t="n">
        <f aca="false">((Q88/3)*SUM(O73:Q73))</f>
        <v>0</v>
      </c>
      <c r="R89" s="9" t="n">
        <f aca="false">((R88/3)*SUM(P73:R73))</f>
        <v>6133.33333333333</v>
      </c>
      <c r="S89" s="9" t="n">
        <f aca="false">((S88/3)*SUM(Q73:S73))</f>
        <v>6133.33333333333</v>
      </c>
      <c r="T89" s="9" t="n">
        <f aca="false">((T88/3)*SUM(R73:T73))</f>
        <v>6133.33333333333</v>
      </c>
      <c r="U89" s="9" t="n">
        <f aca="false">((U88/3)*SUM(S73:U73))</f>
        <v>6133.33333333333</v>
      </c>
      <c r="V89" s="9" t="n">
        <f aca="false">((V88/3)*SUM(T73:V73))</f>
        <v>6133.33333333333</v>
      </c>
      <c r="W89" s="9" t="n">
        <f aca="false">((W88/3)*SUM(U73:W73))</f>
        <v>6133.33333333333</v>
      </c>
      <c r="X89" s="9" t="n">
        <f aca="false">((X88/3)*SUM(V73:X73))</f>
        <v>15333.3333333333</v>
      </c>
      <c r="Y89" s="9" t="n">
        <f aca="false">((Y88/3)*SUM(W73:Y73))</f>
        <v>15333.3333333333</v>
      </c>
      <c r="Z89" s="9" t="n">
        <f aca="false">((Z88/3)*SUM(X73:Z73))</f>
        <v>15333.3333333333</v>
      </c>
      <c r="AA89" s="9" t="n">
        <f aca="false">((AA88/3)*SUM(Y73:AA73))</f>
        <v>15333.3333333333</v>
      </c>
      <c r="AB89" s="9" t="n">
        <f aca="false">((AB88/3)*SUM(Z73:AB73))</f>
        <v>30666.6666666667</v>
      </c>
      <c r="AC89" s="9" t="n">
        <f aca="false">((AC88/3)*SUM(AA73:AC73))</f>
        <v>30666.6666666667</v>
      </c>
      <c r="AD89" s="9" t="n">
        <f aca="false">((AD88/3)*SUM(AB73:AD73))</f>
        <v>46000</v>
      </c>
      <c r="AE89" s="9" t="n">
        <f aca="false">((AE88/3)*SUM(AC73:AE73))</f>
        <v>46000</v>
      </c>
      <c r="AF89" s="9" t="n">
        <f aca="false">((AF88/3)*SUM(AD73:AF73))</f>
        <v>46000</v>
      </c>
      <c r="AG89" s="9" t="n">
        <f aca="false">((AG88/3)*SUM(AE73:AG73))</f>
        <v>46000</v>
      </c>
      <c r="AH89" s="9" t="n">
        <f aca="false">((AH88/3)*SUM(AF73:AH73))</f>
        <v>46000</v>
      </c>
      <c r="AI89" s="9" t="n">
        <f aca="false">((AI88/3)*SUM(AG73:AI73))</f>
        <v>46000</v>
      </c>
      <c r="AJ89" s="9" t="n">
        <f aca="false">((AJ88/3)*SUM(AH73:AJ73))</f>
        <v>46000</v>
      </c>
      <c r="AK89" s="9" t="n">
        <f aca="false">((AK88/3)*SUM(AI73:AK73))</f>
        <v>61333.3333333333</v>
      </c>
      <c r="AL89" s="9" t="n">
        <f aca="false">((AL88/3)*SUM(AJ73:AL73))</f>
        <v>61333.3333333333</v>
      </c>
      <c r="AN89" s="11" t="n">
        <f aca="false">SUM(C89:N89)</f>
        <v>0</v>
      </c>
      <c r="AO89" s="11" t="n">
        <f aca="false">SUM(O89:Z89)</f>
        <v>82800</v>
      </c>
      <c r="AP89" s="11" t="n">
        <f aca="false">SUM(AA89:AL89)</f>
        <v>521333.333333333</v>
      </c>
    </row>
    <row r="90" customFormat="false" ht="15" hidden="false" customHeight="false" outlineLevel="0" collapsed="false">
      <c r="A90" s="0" t="s">
        <v>896</v>
      </c>
      <c r="B90" s="0" t="s">
        <v>230</v>
      </c>
      <c r="C90" s="9" t="n">
        <f aca="false">(C88*C73)</f>
        <v>0</v>
      </c>
      <c r="D90" s="9" t="n">
        <f aca="false">(D88*D73)</f>
        <v>0</v>
      </c>
      <c r="E90" s="9" t="n">
        <f aca="false">(E88*E73)</f>
        <v>0</v>
      </c>
      <c r="F90" s="9" t="n">
        <f aca="false">(F88*F73)</f>
        <v>0</v>
      </c>
      <c r="G90" s="9" t="n">
        <f aca="false">(G88*G73)</f>
        <v>0</v>
      </c>
      <c r="H90" s="9" t="n">
        <f aca="false">(H88*H73)</f>
        <v>0</v>
      </c>
      <c r="I90" s="9" t="n">
        <f aca="false">(I88*I73)</f>
        <v>0</v>
      </c>
      <c r="J90" s="9" t="n">
        <f aca="false">(J88*J73)</f>
        <v>0</v>
      </c>
      <c r="K90" s="9" t="n">
        <f aca="false">(K88*K73)</f>
        <v>0</v>
      </c>
      <c r="L90" s="9" t="n">
        <f aca="false">(L88*L73)</f>
        <v>0</v>
      </c>
      <c r="M90" s="9" t="n">
        <f aca="false">(M88*M73)</f>
        <v>0</v>
      </c>
      <c r="N90" s="9" t="n">
        <f aca="false">(N88*N73)</f>
        <v>0</v>
      </c>
      <c r="O90" s="9" t="n">
        <f aca="false">(O88*O73)</f>
        <v>0</v>
      </c>
      <c r="P90" s="9" t="n">
        <f aca="false">(P88*P73)</f>
        <v>0</v>
      </c>
      <c r="Q90" s="9" t="n">
        <f aca="false">(Q88*Q73)</f>
        <v>0</v>
      </c>
      <c r="R90" s="9" t="n">
        <f aca="false">(R88*R73)</f>
        <v>18400</v>
      </c>
      <c r="S90" s="9" t="n">
        <f aca="false">(S88*S73)</f>
        <v>0</v>
      </c>
      <c r="T90" s="9" t="n">
        <f aca="false">(T88*T73)</f>
        <v>0</v>
      </c>
      <c r="U90" s="9" t="n">
        <f aca="false">(U88*U73)</f>
        <v>18400</v>
      </c>
      <c r="V90" s="9" t="n">
        <f aca="false">(V88*V73)</f>
        <v>0</v>
      </c>
      <c r="W90" s="9" t="n">
        <f aca="false">(W88*W73)</f>
        <v>0</v>
      </c>
      <c r="X90" s="9" t="n">
        <f aca="false">(X88*X73)</f>
        <v>46000</v>
      </c>
      <c r="Y90" s="9" t="n">
        <f aca="false">(Y88*Y73)</f>
        <v>0</v>
      </c>
      <c r="Z90" s="9" t="n">
        <f aca="false">(Z88*Z73)</f>
        <v>0</v>
      </c>
      <c r="AA90" s="9" t="n">
        <f aca="false">(AA88*AA73)</f>
        <v>46000</v>
      </c>
      <c r="AB90" s="9" t="n">
        <f aca="false">(AB88*AB73)</f>
        <v>46000</v>
      </c>
      <c r="AC90" s="9" t="n">
        <f aca="false">(AC88*AC73)</f>
        <v>0</v>
      </c>
      <c r="AD90" s="9" t="n">
        <f aca="false">(AD88*AD73)</f>
        <v>92000</v>
      </c>
      <c r="AE90" s="9" t="n">
        <f aca="false">(AE88*AE73)</f>
        <v>46000</v>
      </c>
      <c r="AF90" s="9" t="n">
        <f aca="false">(AF88*AF73)</f>
        <v>0</v>
      </c>
      <c r="AG90" s="9" t="n">
        <f aca="false">(AG88*AG73)</f>
        <v>92000</v>
      </c>
      <c r="AH90" s="9" t="n">
        <f aca="false">(AH88*AH73)</f>
        <v>46000</v>
      </c>
      <c r="AI90" s="9" t="n">
        <f aca="false">(AI88*AI73)</f>
        <v>0</v>
      </c>
      <c r="AJ90" s="9" t="n">
        <f aca="false">(AJ88*AJ73)</f>
        <v>92000</v>
      </c>
      <c r="AK90" s="9" t="n">
        <f aca="false">(AK88*AK73)</f>
        <v>92000</v>
      </c>
      <c r="AL90" s="9" t="n">
        <f aca="false">(AL88*AL73)</f>
        <v>0</v>
      </c>
      <c r="AN90" s="11" t="n">
        <f aca="false">SUM(C90:N90)</f>
        <v>0</v>
      </c>
      <c r="AO90" s="11" t="n">
        <f aca="false">SUM(O90:Z90)</f>
        <v>82800</v>
      </c>
      <c r="AP90" s="11" t="n">
        <f aca="false">SUM(AA90:AL90)</f>
        <v>552000</v>
      </c>
    </row>
    <row r="91" customFormat="false" ht="15" hidden="false" customHeight="false" outlineLevel="0" collapsed="false">
      <c r="A91" s="0" t="s">
        <v>897</v>
      </c>
      <c r="B91" s="0" t="s">
        <v>285</v>
      </c>
      <c r="C91" s="9" t="n">
        <f aca="false">((C70*Assumptions!$D$124)+(C73*(Assumptions!$D$124+(Assumptions!$C$34*Assumptions!$C$36))))</f>
        <v>0</v>
      </c>
      <c r="D91" s="9" t="n">
        <f aca="false">((D70*Assumptions!$D$124)+(D73*(Assumptions!$D$124+(Assumptions!$C$34*Assumptions!$C$36))))</f>
        <v>0</v>
      </c>
      <c r="E91" s="9" t="n">
        <f aca="false">((E70*Assumptions!$D$124)+(E73*(Assumptions!$D$124+(Assumptions!$C$34*Assumptions!$C$36))))</f>
        <v>0</v>
      </c>
      <c r="F91" s="9" t="n">
        <f aca="false">((F70*Assumptions!$D$124)+(F73*(Assumptions!$D$124+(Assumptions!$C$34*Assumptions!$C$36))))</f>
        <v>0</v>
      </c>
      <c r="G91" s="9" t="n">
        <f aca="false">((G70*Assumptions!$D$124)+(G73*(Assumptions!$D$124+(Assumptions!$C$34*Assumptions!$C$36))))</f>
        <v>0</v>
      </c>
      <c r="H91" s="9" t="n">
        <f aca="false">((H70*Assumptions!$D$124)+(H73*(Assumptions!$D$124+(Assumptions!$C$34*Assumptions!$C$36))))</f>
        <v>0</v>
      </c>
      <c r="I91" s="9" t="n">
        <f aca="false">((I70*Assumptions!$D$124)+(I73*(Assumptions!$D$124+(Assumptions!$C$34*Assumptions!$C$36))))</f>
        <v>0</v>
      </c>
      <c r="J91" s="9" t="n">
        <f aca="false">((J70*Assumptions!$D$124)+(J73*(Assumptions!$D$124+(Assumptions!$C$34*Assumptions!$C$36))))</f>
        <v>330</v>
      </c>
      <c r="K91" s="9" t="n">
        <f aca="false">((K70*Assumptions!$D$124)+(K73*(Assumptions!$D$124+(Assumptions!$C$34*Assumptions!$C$36))))</f>
        <v>0</v>
      </c>
      <c r="L91" s="9" t="n">
        <f aca="false">((L70*Assumptions!$D$124)+(L73*(Assumptions!$D$124+(Assumptions!$C$34*Assumptions!$C$36))))</f>
        <v>0</v>
      </c>
      <c r="M91" s="9" t="n">
        <f aca="false">((M70*Assumptions!$D$124)+(M73*(Assumptions!$D$124+(Assumptions!$C$34*Assumptions!$C$36))))</f>
        <v>0</v>
      </c>
      <c r="N91" s="9" t="n">
        <f aca="false">((N70*Assumptions!$D$124)+(N73*(Assumptions!$D$124+(Assumptions!$C$34*Assumptions!$C$36))))</f>
        <v>0</v>
      </c>
      <c r="O91" s="9" t="n">
        <f aca="false">((O70*Assumptions!$D$124)+(O73*(Assumptions!$D$124+(Assumptions!$C$34*Assumptions!$C$36))))</f>
        <v>0</v>
      </c>
      <c r="P91" s="9" t="n">
        <f aca="false">((P70*Assumptions!$D$124)+(P73*(Assumptions!$D$124+(Assumptions!$C$34*Assumptions!$C$36))))</f>
        <v>0</v>
      </c>
      <c r="Q91" s="9" t="n">
        <f aca="false">((Q70*Assumptions!$D$124)+(Q73*(Assumptions!$D$124+(Assumptions!$C$34*Assumptions!$C$36))))</f>
        <v>0</v>
      </c>
      <c r="R91" s="9" t="n">
        <f aca="false">((R70*Assumptions!$D$124)+(R73*(Assumptions!$D$124+(Assumptions!$C$34*Assumptions!$C$36))))</f>
        <v>149.6</v>
      </c>
      <c r="S91" s="9" t="n">
        <f aca="false">((S70*Assumptions!$D$124)+(S73*(Assumptions!$D$124+(Assumptions!$C$34*Assumptions!$C$36))))</f>
        <v>0</v>
      </c>
      <c r="T91" s="9" t="n">
        <f aca="false">((T70*Assumptions!$D$124)+(T73*(Assumptions!$D$124+(Assumptions!$C$34*Assumptions!$C$36))))</f>
        <v>0</v>
      </c>
      <c r="U91" s="9" t="n">
        <f aca="false">((U70*Assumptions!$D$124)+(U73*(Assumptions!$D$124+(Assumptions!$C$34*Assumptions!$C$36))))</f>
        <v>149.6</v>
      </c>
      <c r="V91" s="9" t="n">
        <f aca="false">((V70*Assumptions!$D$124)+(V73*(Assumptions!$D$124+(Assumptions!$C$34*Assumptions!$C$36))))</f>
        <v>0</v>
      </c>
      <c r="W91" s="9" t="n">
        <f aca="false">((W70*Assumptions!$D$124)+(W73*(Assumptions!$D$124+(Assumptions!$C$34*Assumptions!$C$36))))</f>
        <v>0</v>
      </c>
      <c r="X91" s="9" t="n">
        <f aca="false">((X70*Assumptions!$D$124)+(X73*(Assumptions!$D$124+(Assumptions!$C$34*Assumptions!$C$36))))</f>
        <v>374</v>
      </c>
      <c r="Y91" s="9" t="n">
        <f aca="false">((Y70*Assumptions!$D$124)+(Y73*(Assumptions!$D$124+(Assumptions!$C$34*Assumptions!$C$36))))</f>
        <v>0</v>
      </c>
      <c r="Z91" s="9" t="n">
        <f aca="false">((Z70*Assumptions!$D$124)+(Z73*(Assumptions!$D$124+(Assumptions!$C$34*Assumptions!$C$36))))</f>
        <v>0</v>
      </c>
      <c r="AA91" s="9" t="n">
        <f aca="false">((AA70*Assumptions!$D$124)+(AA73*(Assumptions!$D$124+(Assumptions!$C$34*Assumptions!$C$36))))</f>
        <v>374</v>
      </c>
      <c r="AB91" s="9" t="n">
        <f aca="false">((AB70*Assumptions!$D$124)+(AB73*(Assumptions!$D$124+(Assumptions!$C$34*Assumptions!$C$36))))</f>
        <v>374</v>
      </c>
      <c r="AC91" s="9" t="n">
        <f aca="false">((AC70*Assumptions!$D$124)+(AC73*(Assumptions!$D$124+(Assumptions!$C$34*Assumptions!$C$36))))</f>
        <v>0</v>
      </c>
      <c r="AD91" s="9" t="n">
        <f aca="false">((AD70*Assumptions!$D$124)+(AD73*(Assumptions!$D$124+(Assumptions!$C$34*Assumptions!$C$36))))</f>
        <v>748</v>
      </c>
      <c r="AE91" s="9" t="n">
        <f aca="false">((AE70*Assumptions!$D$124)+(AE73*(Assumptions!$D$124+(Assumptions!$C$34*Assumptions!$C$36))))</f>
        <v>374</v>
      </c>
      <c r="AF91" s="9" t="n">
        <f aca="false">((AF70*Assumptions!$D$124)+(AF73*(Assumptions!$D$124+(Assumptions!$C$34*Assumptions!$C$36))))</f>
        <v>0</v>
      </c>
      <c r="AG91" s="9" t="n">
        <f aca="false">((AG70*Assumptions!$D$124)+(AG73*(Assumptions!$D$124+(Assumptions!$C$34*Assumptions!$C$36))))</f>
        <v>748</v>
      </c>
      <c r="AH91" s="9" t="n">
        <f aca="false">((AH70*Assumptions!$D$124)+(AH73*(Assumptions!$D$124+(Assumptions!$C$34*Assumptions!$C$36))))</f>
        <v>374</v>
      </c>
      <c r="AI91" s="9" t="n">
        <f aca="false">((AI70*Assumptions!$D$124)+(AI73*(Assumptions!$D$124+(Assumptions!$C$34*Assumptions!$C$36))))</f>
        <v>0</v>
      </c>
      <c r="AJ91" s="9" t="n">
        <f aca="false">((AJ70*Assumptions!$D$124)+(AJ73*(Assumptions!$D$124+(Assumptions!$C$34*Assumptions!$C$36))))</f>
        <v>748</v>
      </c>
      <c r="AK91" s="9" t="n">
        <f aca="false">((AK70*Assumptions!$D$124)+(AK73*(Assumptions!$D$124+(Assumptions!$C$34*Assumptions!$C$36))))</f>
        <v>748</v>
      </c>
      <c r="AL91" s="9" t="n">
        <f aca="false">((AL70*Assumptions!$D$124)+(AL73*(Assumptions!$D$124+(Assumptions!$C$34*Assumptions!$C$36))))</f>
        <v>0</v>
      </c>
      <c r="AN91" s="11" t="n">
        <f aca="false">SUM(C91:N91)</f>
        <v>330</v>
      </c>
      <c r="AO91" s="11" t="n">
        <f aca="false">SUM(O91:Z91)</f>
        <v>673.2</v>
      </c>
      <c r="AP91" s="11" t="n">
        <f aca="false">SUM(AA91:AL91)</f>
        <v>4488</v>
      </c>
    </row>
    <row r="92" customFormat="false" ht="15" hidden="false" customHeight="false" outlineLevel="0" collapsed="false">
      <c r="A92" s="0" t="s">
        <v>898</v>
      </c>
      <c r="B92" s="0" t="s">
        <v>852</v>
      </c>
      <c r="C92" s="14" t="n">
        <f aca="false">((IF(OR((C$18-(Assumptions!$C$9-1)-$C$9)&lt;1,(C$18-(Assumptions!$C$9-1)-$C$9)&gt;36),0,INDEX(Schedules!$C$7:$AL$7,(C$18-(Assumptions!$C$9-1)-$C$9)))*$C$7)*C44)</f>
        <v>0</v>
      </c>
      <c r="D92" s="14" t="n">
        <f aca="false">((IF(OR((D$18-(Assumptions!$C$9-1)-$C$9)&lt;1,(D$18-(Assumptions!$C$9-1)-$C$9)&gt;36),0,INDEX(Schedules!$C$7:$AL$7,(D$18-(Assumptions!$C$9-1)-$C$9)))*$C$7)*D44)</f>
        <v>0</v>
      </c>
      <c r="E92" s="14" t="n">
        <f aca="false">((IF(OR((E$18-(Assumptions!$C$9-1)-$C$9)&lt;1,(E$18-(Assumptions!$C$9-1)-$C$9)&gt;36),0,INDEX(Schedules!$C$7:$AL$7,(E$18-(Assumptions!$C$9-1)-$C$9)))*$C$7)*E44)</f>
        <v>0</v>
      </c>
      <c r="F92" s="14" t="n">
        <f aca="false">((IF(OR((F$18-(Assumptions!$C$9-1)-$C$9)&lt;1,(F$18-(Assumptions!$C$9-1)-$C$9)&gt;36),0,INDEX(Schedules!$C$7:$AL$7,(F$18-(Assumptions!$C$9-1)-$C$9)))*$C$7)*F44)</f>
        <v>0</v>
      </c>
      <c r="G92" s="14" t="n">
        <f aca="false">((IF(OR((G$18-(Assumptions!$C$9-1)-$C$9)&lt;1,(G$18-(Assumptions!$C$9-1)-$C$9)&gt;36),0,INDEX(Schedules!$C$7:$AL$7,(G$18-(Assumptions!$C$9-1)-$C$9)))*$C$7)*G44)</f>
        <v>0</v>
      </c>
      <c r="H92" s="14" t="n">
        <f aca="false">((IF(OR((H$18-(Assumptions!$C$9-1)-$C$9)&lt;1,(H$18-(Assumptions!$C$9-1)-$C$9)&gt;36),0,INDEX(Schedules!$C$7:$AL$7,(H$18-(Assumptions!$C$9-1)-$C$9)))*$C$7)*H44)</f>
        <v>0</v>
      </c>
      <c r="I92" s="14" t="n">
        <f aca="false">((IF(OR((I$18-(Assumptions!$C$9-1)-$C$9)&lt;1,(I$18-(Assumptions!$C$9-1)-$C$9)&gt;36),0,INDEX(Schedules!$C$7:$AL$7,(I$18-(Assumptions!$C$9-1)-$C$9)))*$C$7)*I44)</f>
        <v>0</v>
      </c>
      <c r="J92" s="14" t="n">
        <f aca="false">((IF(OR((J$18-(Assumptions!$C$9-1)-$C$9)&lt;1,(J$18-(Assumptions!$C$9-1)-$C$9)&gt;36),0,INDEX(Schedules!$C$7:$AL$7,(J$18-(Assumptions!$C$9-1)-$C$9)))*$C$7)*J44)</f>
        <v>0</v>
      </c>
      <c r="K92" s="14" t="n">
        <f aca="false">((IF(OR((K$18-(Assumptions!$C$9-1)-$C$9)&lt;1,(K$18-(Assumptions!$C$9-1)-$C$9)&gt;36),0,INDEX(Schedules!$C$7:$AL$7,(K$18-(Assumptions!$C$9-1)-$C$9)))*$C$7)*K44)</f>
        <v>0</v>
      </c>
      <c r="L92" s="14" t="n">
        <f aca="false">((IF(OR((L$18-(Assumptions!$C$9-1)-$C$9)&lt;1,(L$18-(Assumptions!$C$9-1)-$C$9)&gt;36),0,INDEX(Schedules!$C$7:$AL$7,(L$18-(Assumptions!$C$9-1)-$C$9)))*$C$7)*L44)</f>
        <v>0</v>
      </c>
      <c r="M92" s="14" t="n">
        <f aca="false">((IF(OR((M$18-(Assumptions!$C$9-1)-$C$9)&lt;1,(M$18-(Assumptions!$C$9-1)-$C$9)&gt;36),0,INDEX(Schedules!$C$7:$AL$7,(M$18-(Assumptions!$C$9-1)-$C$9)))*$C$7)*M44)</f>
        <v>0</v>
      </c>
      <c r="N92" s="14" t="n">
        <f aca="false">((IF(OR((N$18-(Assumptions!$C$9-1)-$C$9)&lt;1,(N$18-(Assumptions!$C$9-1)-$C$9)&gt;36),0,INDEX(Schedules!$C$7:$AL$7,(N$18-(Assumptions!$C$9-1)-$C$9)))*$C$7)*N44)</f>
        <v>0</v>
      </c>
      <c r="O92" s="14" t="n">
        <f aca="false">((IF(OR((O$18-(Assumptions!$C$9-1)-$C$9)&lt;1,(O$18-(Assumptions!$C$9-1)-$C$9)&gt;36),0,INDEX(Schedules!$C$7:$AL$7,(O$18-(Assumptions!$C$9-1)-$C$9)))*$C$7)*O44)</f>
        <v>0</v>
      </c>
      <c r="P92" s="14" t="n">
        <f aca="false">((IF(OR((P$18-(Assumptions!$C$9-1)-$C$9)&lt;1,(P$18-(Assumptions!$C$9-1)-$C$9)&gt;36),0,INDEX(Schedules!$C$7:$AL$7,(P$18-(Assumptions!$C$9-1)-$C$9)))*$C$7)*P44)</f>
        <v>0</v>
      </c>
      <c r="Q92" s="14" t="n">
        <f aca="false">((IF(OR((Q$18-(Assumptions!$C$9-1)-$C$9)&lt;1,(Q$18-(Assumptions!$C$9-1)-$C$9)&gt;36),0,INDEX(Schedules!$C$7:$AL$7,(Q$18-(Assumptions!$C$9-1)-$C$9)))*$C$7)*Q44)</f>
        <v>0</v>
      </c>
      <c r="R92" s="14" t="n">
        <f aca="false">((IF(OR((R$18-(Assumptions!$C$9-1)-$C$9)&lt;1,(R$18-(Assumptions!$C$9-1)-$C$9)&gt;36),0,INDEX(Schedules!$C$7:$AL$7,(R$18-(Assumptions!$C$9-1)-$C$9)))*$C$7)*R44)</f>
        <v>0</v>
      </c>
      <c r="S92" s="14" t="n">
        <f aca="false">((IF(OR((S$18-(Assumptions!$C$9-1)-$C$9)&lt;1,(S$18-(Assumptions!$C$9-1)-$C$9)&gt;36),0,INDEX(Schedules!$C$7:$AL$7,(S$18-(Assumptions!$C$9-1)-$C$9)))*$C$7)*S44)</f>
        <v>0</v>
      </c>
      <c r="T92" s="14" t="n">
        <f aca="false">((IF(OR((T$18-(Assumptions!$C$9-1)-$C$9)&lt;1,(T$18-(Assumptions!$C$9-1)-$C$9)&gt;36),0,INDEX(Schedules!$C$7:$AL$7,(T$18-(Assumptions!$C$9-1)-$C$9)))*$C$7)*T44)</f>
        <v>0</v>
      </c>
      <c r="U92" s="14" t="n">
        <f aca="false">((IF(OR((U$18-(Assumptions!$C$9-1)-$C$9)&lt;1,(U$18-(Assumptions!$C$9-1)-$C$9)&gt;36),0,INDEX(Schedules!$C$7:$AL$7,(U$18-(Assumptions!$C$9-1)-$C$9)))*$C$7)*U44)</f>
        <v>0</v>
      </c>
      <c r="V92" s="14" t="n">
        <f aca="false">((IF(OR((V$18-(Assumptions!$C$9-1)-$C$9)&lt;1,(V$18-(Assumptions!$C$9-1)-$C$9)&gt;36),0,INDEX(Schedules!$C$7:$AL$7,(V$18-(Assumptions!$C$9-1)-$C$9)))*$C$7)*V44)</f>
        <v>0</v>
      </c>
      <c r="W92" s="14" t="n">
        <f aca="false">((IF(OR((W$18-(Assumptions!$C$9-1)-$C$9)&lt;1,(W$18-(Assumptions!$C$9-1)-$C$9)&gt;36),0,INDEX(Schedules!$C$7:$AL$7,(W$18-(Assumptions!$C$9-1)-$C$9)))*$C$7)*W44)</f>
        <v>0</v>
      </c>
      <c r="X92" s="14" t="n">
        <f aca="false">((IF(OR((X$18-(Assumptions!$C$9-1)-$C$9)&lt;1,(X$18-(Assumptions!$C$9-1)-$C$9)&gt;36),0,INDEX(Schedules!$C$7:$AL$7,(X$18-(Assumptions!$C$9-1)-$C$9)))*$C$7)*X44)</f>
        <v>0</v>
      </c>
      <c r="Y92" s="14" t="n">
        <f aca="false">((IF(OR((Y$18-(Assumptions!$C$9-1)-$C$9)&lt;1,(Y$18-(Assumptions!$C$9-1)-$C$9)&gt;36),0,INDEX(Schedules!$C$7:$AL$7,(Y$18-(Assumptions!$C$9-1)-$C$9)))*$C$7)*Y44)</f>
        <v>0</v>
      </c>
      <c r="Z92" s="14" t="n">
        <f aca="false">((IF(OR((Z$18-(Assumptions!$C$9-1)-$C$9)&lt;1,(Z$18-(Assumptions!$C$9-1)-$C$9)&gt;36),0,INDEX(Schedules!$C$7:$AL$7,(Z$18-(Assumptions!$C$9-1)-$C$9)))*$C$7)*Z44)</f>
        <v>0</v>
      </c>
      <c r="AA92" s="14" t="n">
        <f aca="false">((IF(OR((AA$18-(Assumptions!$C$9-1)-$C$9)&lt;1,(AA$18-(Assumptions!$C$9-1)-$C$9)&gt;36),0,INDEX(Schedules!$C$7:$AL$7,(AA$18-(Assumptions!$C$9-1)-$C$9)))*$C$7)*AA44)</f>
        <v>0</v>
      </c>
      <c r="AB92" s="14" t="n">
        <f aca="false">((IF(OR((AB$18-(Assumptions!$C$9-1)-$C$9)&lt;1,(AB$18-(Assumptions!$C$9-1)-$C$9)&gt;36),0,INDEX(Schedules!$C$7:$AL$7,(AB$18-(Assumptions!$C$9-1)-$C$9)))*$C$7)*AB44)</f>
        <v>0</v>
      </c>
      <c r="AC92" s="14" t="n">
        <f aca="false">((IF(OR((AC$18-(Assumptions!$C$9-1)-$C$9)&lt;1,(AC$18-(Assumptions!$C$9-1)-$C$9)&gt;36),0,INDEX(Schedules!$C$7:$AL$7,(AC$18-(Assumptions!$C$9-1)-$C$9)))*$C$7)*AC44)</f>
        <v>0</v>
      </c>
      <c r="AD92" s="14" t="n">
        <f aca="false">((IF(OR((AD$18-(Assumptions!$C$9-1)-$C$9)&lt;1,(AD$18-(Assumptions!$C$9-1)-$C$9)&gt;36),0,INDEX(Schedules!$C$7:$AL$7,(AD$18-(Assumptions!$C$9-1)-$C$9)))*$C$7)*AD44)</f>
        <v>0</v>
      </c>
      <c r="AE92" s="14" t="n">
        <f aca="false">((IF(OR((AE$18-(Assumptions!$C$9-1)-$C$9)&lt;1,(AE$18-(Assumptions!$C$9-1)-$C$9)&gt;36),0,INDEX(Schedules!$C$7:$AL$7,(AE$18-(Assumptions!$C$9-1)-$C$9)))*$C$7)*AE44)</f>
        <v>0</v>
      </c>
      <c r="AF92" s="14" t="n">
        <f aca="false">((IF(OR((AF$18-(Assumptions!$C$9-1)-$C$9)&lt;1,(AF$18-(Assumptions!$C$9-1)-$C$9)&gt;36),0,INDEX(Schedules!$C$7:$AL$7,(AF$18-(Assumptions!$C$9-1)-$C$9)))*$C$7)*AF44)</f>
        <v>1</v>
      </c>
      <c r="AG92" s="14" t="n">
        <f aca="false">((IF(OR((AG$18-(Assumptions!$C$9-1)-$C$9)&lt;1,(AG$18-(Assumptions!$C$9-1)-$C$9)&gt;36),0,INDEX(Schedules!$C$7:$AL$7,(AG$18-(Assumptions!$C$9-1)-$C$9)))*$C$7)*AG44)</f>
        <v>0</v>
      </c>
      <c r="AH92" s="14" t="n">
        <f aca="false">((IF(OR((AH$18-(Assumptions!$C$9-1)-$C$9)&lt;1,(AH$18-(Assumptions!$C$9-1)-$C$9)&gt;36),0,INDEX(Schedules!$C$7:$AL$7,(AH$18-(Assumptions!$C$9-1)-$C$9)))*$C$7)*AH44)</f>
        <v>0</v>
      </c>
      <c r="AI92" s="14" t="n">
        <f aca="false">((IF(OR((AI$18-(Assumptions!$C$9-1)-$C$9)&lt;1,(AI$18-(Assumptions!$C$9-1)-$C$9)&gt;36),0,INDEX(Schedules!$C$7:$AL$7,(AI$18-(Assumptions!$C$9-1)-$C$9)))*$C$7)*AI44)</f>
        <v>0</v>
      </c>
      <c r="AJ92" s="14" t="n">
        <f aca="false">((IF(OR((AJ$18-(Assumptions!$C$9-1)-$C$9)&lt;1,(AJ$18-(Assumptions!$C$9-1)-$C$9)&gt;36),0,INDEX(Schedules!$C$7:$AL$7,(AJ$18-(Assumptions!$C$9-1)-$C$9)))*$C$7)*AJ44)</f>
        <v>0</v>
      </c>
      <c r="AK92" s="14" t="n">
        <f aca="false">((IF(OR((AK$18-(Assumptions!$C$9-1)-$C$9)&lt;1,(AK$18-(Assumptions!$C$9-1)-$C$9)&gt;36),0,INDEX(Schedules!$C$7:$AL$7,(AK$18-(Assumptions!$C$9-1)-$C$9)))*$C$7)*AK44)</f>
        <v>0</v>
      </c>
      <c r="AL92" s="14" t="n">
        <f aca="false">((IF(OR((AL$18-(Assumptions!$C$9-1)-$C$9)&lt;1,(AL$18-(Assumptions!$C$9-1)-$C$9)&gt;36),0,INDEX(Schedules!$C$7:$AL$7,(AL$18-(Assumptions!$C$9-1)-$C$9)))*$C$7)*AL44)</f>
        <v>1</v>
      </c>
      <c r="AN92" s="36" t="n">
        <f aca="false">SUM(C92:N92)</f>
        <v>0</v>
      </c>
      <c r="AO92" s="36" t="n">
        <f aca="false">SUM(O92:Z92)</f>
        <v>0</v>
      </c>
      <c r="AP92" s="36" t="n">
        <f aca="false">SUM(AA92:AL92)</f>
        <v>2</v>
      </c>
    </row>
    <row r="93" customFormat="false" ht="15" hidden="false" customHeight="false" outlineLevel="0" collapsed="false">
      <c r="A93" s="0" t="s">
        <v>899</v>
      </c>
      <c r="B93" s="0" t="s">
        <v>852</v>
      </c>
      <c r="C93" s="14" t="n">
        <f aca="false">INDEX(Schedules!$C$13:$AL$13,C$18)</f>
        <v>0</v>
      </c>
      <c r="D93" s="14" t="n">
        <f aca="false">INDEX(Schedules!$C$13:$AL$13,D$18)</f>
        <v>0</v>
      </c>
      <c r="E93" s="14" t="n">
        <f aca="false">INDEX(Schedules!$C$13:$AL$13,E$18)</f>
        <v>0</v>
      </c>
      <c r="F93" s="14" t="n">
        <f aca="false">INDEX(Schedules!$C$13:$AL$13,F$18)</f>
        <v>0</v>
      </c>
      <c r="G93" s="14" t="n">
        <f aca="false">INDEX(Schedules!$C$13:$AL$13,G$18)</f>
        <v>0</v>
      </c>
      <c r="H93" s="14" t="n">
        <f aca="false">INDEX(Schedules!$C$13:$AL$13,H$18)</f>
        <v>0</v>
      </c>
      <c r="I93" s="14" t="n">
        <f aca="false">INDEX(Schedules!$C$13:$AL$13,I$18)</f>
        <v>0</v>
      </c>
      <c r="J93" s="14" t="n">
        <f aca="false">INDEX(Schedules!$C$13:$AL$13,J$18)</f>
        <v>0</v>
      </c>
      <c r="K93" s="14" t="n">
        <f aca="false">INDEX(Schedules!$C$13:$AL$13,K$18)</f>
        <v>0</v>
      </c>
      <c r="L93" s="14" t="n">
        <f aca="false">INDEX(Schedules!$C$13:$AL$13,L$18)</f>
        <v>0</v>
      </c>
      <c r="M93" s="14" t="n">
        <f aca="false">INDEX(Schedules!$C$13:$AL$13,M$18)</f>
        <v>0</v>
      </c>
      <c r="N93" s="14" t="n">
        <f aca="false">INDEX(Schedules!$C$13:$AL$13,N$18)</f>
        <v>0</v>
      </c>
      <c r="O93" s="14" t="n">
        <f aca="false">INDEX(Schedules!$C$13:$AL$13,O$18)</f>
        <v>0</v>
      </c>
      <c r="P93" s="14" t="n">
        <f aca="false">INDEX(Schedules!$C$13:$AL$13,P$18)</f>
        <v>0</v>
      </c>
      <c r="Q93" s="14" t="n">
        <f aca="false">INDEX(Schedules!$C$13:$AL$13,Q$18)</f>
        <v>0</v>
      </c>
      <c r="R93" s="14" t="n">
        <f aca="false">INDEX(Schedules!$C$13:$AL$13,R$18)</f>
        <v>0</v>
      </c>
      <c r="S93" s="14" t="n">
        <f aca="false">INDEX(Schedules!$C$13:$AL$13,S$18)</f>
        <v>0</v>
      </c>
      <c r="T93" s="14" t="n">
        <f aca="false">INDEX(Schedules!$C$13:$AL$13,T$18)</f>
        <v>0</v>
      </c>
      <c r="U93" s="14" t="n">
        <f aca="false">INDEX(Schedules!$C$13:$AL$13,U$18)</f>
        <v>0</v>
      </c>
      <c r="V93" s="14" t="n">
        <f aca="false">INDEX(Schedules!$C$13:$AL$13,V$18)</f>
        <v>0</v>
      </c>
      <c r="W93" s="14" t="n">
        <f aca="false">INDEX(Schedules!$C$13:$AL$13,W$18)</f>
        <v>0</v>
      </c>
      <c r="X93" s="14" t="n">
        <f aca="false">INDEX(Schedules!$C$13:$AL$13,X$18)</f>
        <v>0</v>
      </c>
      <c r="Y93" s="14" t="n">
        <f aca="false">INDEX(Schedules!$C$13:$AL$13,Y$18)</f>
        <v>0</v>
      </c>
      <c r="Z93" s="14" t="n">
        <f aca="false">INDEX(Schedules!$C$13:$AL$13,Z$18)</f>
        <v>0</v>
      </c>
      <c r="AA93" s="14" t="n">
        <f aca="false">INDEX(Schedules!$C$13:$AL$13,AA$18)</f>
        <v>0</v>
      </c>
      <c r="AB93" s="14" t="n">
        <f aca="false">INDEX(Schedules!$C$13:$AL$13,AB$18)</f>
        <v>0</v>
      </c>
      <c r="AC93" s="14" t="n">
        <f aca="false">INDEX(Schedules!$C$13:$AL$13,AC$18)</f>
        <v>0</v>
      </c>
      <c r="AD93" s="14" t="n">
        <f aca="false">INDEX(Schedules!$C$13:$AL$13,AD$18)</f>
        <v>0</v>
      </c>
      <c r="AE93" s="14" t="n">
        <f aca="false">INDEX(Schedules!$C$13:$AL$13,AE$18)</f>
        <v>0</v>
      </c>
      <c r="AF93" s="14" t="n">
        <f aca="false">INDEX(Schedules!$C$13:$AL$13,AF$18)</f>
        <v>0</v>
      </c>
      <c r="AG93" s="14" t="n">
        <f aca="false">INDEX(Schedules!$C$13:$AL$13,AG$18)</f>
        <v>0</v>
      </c>
      <c r="AH93" s="14" t="n">
        <f aca="false">INDEX(Schedules!$C$13:$AL$13,AH$18)</f>
        <v>0</v>
      </c>
      <c r="AI93" s="14" t="n">
        <f aca="false">INDEX(Schedules!$C$13:$AL$13,AI$18)</f>
        <v>0</v>
      </c>
      <c r="AJ93" s="14" t="n">
        <f aca="false">INDEX(Schedules!$C$13:$AL$13,AJ$18)</f>
        <v>0</v>
      </c>
      <c r="AK93" s="14" t="n">
        <f aca="false">INDEX(Schedules!$C$13:$AL$13,AK$18)</f>
        <v>0</v>
      </c>
      <c r="AL93" s="14" t="n">
        <f aca="false">INDEX(Schedules!$C$13:$AL$13,AL$18)</f>
        <v>0</v>
      </c>
      <c r="AN93" s="36" t="n">
        <f aca="false">SUM(C93:N93)</f>
        <v>0</v>
      </c>
      <c r="AO93" s="36" t="n">
        <f aca="false">SUM(O93:Z93)</f>
        <v>0</v>
      </c>
      <c r="AP93" s="36" t="n">
        <f aca="false">SUM(AA93:AL93)</f>
        <v>0</v>
      </c>
    </row>
    <row r="94" customFormat="false" ht="15" hidden="false" customHeight="false" outlineLevel="0" collapsed="false">
      <c r="A94" s="0" t="s">
        <v>900</v>
      </c>
      <c r="B94" s="0" t="s">
        <v>852</v>
      </c>
      <c r="C94" s="14" t="n">
        <f aca="false">(C92+C93)</f>
        <v>0</v>
      </c>
      <c r="D94" s="14" t="n">
        <f aca="false">(D92+D93)</f>
        <v>0</v>
      </c>
      <c r="E94" s="14" t="n">
        <f aca="false">(E92+E93)</f>
        <v>0</v>
      </c>
      <c r="F94" s="14" t="n">
        <f aca="false">(F92+F93)</f>
        <v>0</v>
      </c>
      <c r="G94" s="14" t="n">
        <f aca="false">(G92+G93)</f>
        <v>0</v>
      </c>
      <c r="H94" s="14" t="n">
        <f aca="false">(H92+H93)</f>
        <v>0</v>
      </c>
      <c r="I94" s="14" t="n">
        <f aca="false">(I92+I93)</f>
        <v>0</v>
      </c>
      <c r="J94" s="14" t="n">
        <f aca="false">(J92+J93)</f>
        <v>0</v>
      </c>
      <c r="K94" s="14" t="n">
        <f aca="false">(K92+K93)</f>
        <v>0</v>
      </c>
      <c r="L94" s="14" t="n">
        <f aca="false">(L92+L93)</f>
        <v>0</v>
      </c>
      <c r="M94" s="14" t="n">
        <f aca="false">(M92+M93)</f>
        <v>0</v>
      </c>
      <c r="N94" s="14" t="n">
        <f aca="false">(N92+N93)</f>
        <v>0</v>
      </c>
      <c r="O94" s="14" t="n">
        <f aca="false">(O92+O93)</f>
        <v>0</v>
      </c>
      <c r="P94" s="14" t="n">
        <f aca="false">(P92+P93)</f>
        <v>0</v>
      </c>
      <c r="Q94" s="14" t="n">
        <f aca="false">(Q92+Q93)</f>
        <v>0</v>
      </c>
      <c r="R94" s="14" t="n">
        <f aca="false">(R92+R93)</f>
        <v>0</v>
      </c>
      <c r="S94" s="14" t="n">
        <f aca="false">(S92+S93)</f>
        <v>0</v>
      </c>
      <c r="T94" s="14" t="n">
        <f aca="false">(T92+T93)</f>
        <v>0</v>
      </c>
      <c r="U94" s="14" t="n">
        <f aca="false">(U92+U93)</f>
        <v>0</v>
      </c>
      <c r="V94" s="14" t="n">
        <f aca="false">(V92+V93)</f>
        <v>0</v>
      </c>
      <c r="W94" s="14" t="n">
        <f aca="false">(W92+W93)</f>
        <v>0</v>
      </c>
      <c r="X94" s="14" t="n">
        <f aca="false">(X92+X93)</f>
        <v>0</v>
      </c>
      <c r="Y94" s="14" t="n">
        <f aca="false">(Y92+Y93)</f>
        <v>0</v>
      </c>
      <c r="Z94" s="14" t="n">
        <f aca="false">(Z92+Z93)</f>
        <v>0</v>
      </c>
      <c r="AA94" s="14" t="n">
        <f aca="false">(AA92+AA93)</f>
        <v>0</v>
      </c>
      <c r="AB94" s="14" t="n">
        <f aca="false">(AB92+AB93)</f>
        <v>0</v>
      </c>
      <c r="AC94" s="14" t="n">
        <f aca="false">(AC92+AC93)</f>
        <v>0</v>
      </c>
      <c r="AD94" s="14" t="n">
        <f aca="false">(AD92+AD93)</f>
        <v>0</v>
      </c>
      <c r="AE94" s="14" t="n">
        <f aca="false">(AE92+AE93)</f>
        <v>0</v>
      </c>
      <c r="AF94" s="14" t="n">
        <f aca="false">(AF92+AF93)</f>
        <v>1</v>
      </c>
      <c r="AG94" s="14" t="n">
        <f aca="false">(AG92+AG93)</f>
        <v>0</v>
      </c>
      <c r="AH94" s="14" t="n">
        <f aca="false">(AH92+AH93)</f>
        <v>0</v>
      </c>
      <c r="AI94" s="14" t="n">
        <f aca="false">(AI92+AI93)</f>
        <v>0</v>
      </c>
      <c r="AJ94" s="14" t="n">
        <f aca="false">(AJ92+AJ93)</f>
        <v>0</v>
      </c>
      <c r="AK94" s="14" t="n">
        <f aca="false">(AK92+AK93)</f>
        <v>0</v>
      </c>
      <c r="AL94" s="14" t="n">
        <f aca="false">(AL92+AL93)</f>
        <v>1</v>
      </c>
      <c r="AN94" s="36" t="n">
        <f aca="false">SUM(C94:N94)</f>
        <v>0</v>
      </c>
      <c r="AO94" s="36" t="n">
        <f aca="false">SUM(O94:Z94)</f>
        <v>0</v>
      </c>
      <c r="AP94" s="36" t="n">
        <f aca="false">SUM(AA94:AL94)</f>
        <v>2</v>
      </c>
    </row>
    <row r="95" customFormat="false" ht="15" hidden="false" customHeight="false" outlineLevel="0" collapsed="false">
      <c r="A95" s="0" t="s">
        <v>901</v>
      </c>
      <c r="B95" s="0" t="s">
        <v>852</v>
      </c>
      <c r="C95" s="14" t="n">
        <f aca="false">((IF(OR((C$18-(Assumptions!$C$9-1)-$C$9)&lt;1,(C$18-(Assumptions!$C$9-1)-$C$9)&gt;36),0,INDEX(Schedules!$C$10:$AL$10,(C$18-(Assumptions!$C$9-1)-$C$9)))*$C$7)*C44)</f>
        <v>0</v>
      </c>
      <c r="D95" s="14" t="n">
        <f aca="false">((IF(OR((D$18-(Assumptions!$C$9-1)-$C$9)&lt;1,(D$18-(Assumptions!$C$9-1)-$C$9)&gt;36),0,INDEX(Schedules!$C$10:$AL$10,(D$18-(Assumptions!$C$9-1)-$C$9)))*$C$7)*D44)</f>
        <v>0</v>
      </c>
      <c r="E95" s="14" t="n">
        <f aca="false">((IF(OR((E$18-(Assumptions!$C$9-1)-$C$9)&lt;1,(E$18-(Assumptions!$C$9-1)-$C$9)&gt;36),0,INDEX(Schedules!$C$10:$AL$10,(E$18-(Assumptions!$C$9-1)-$C$9)))*$C$7)*E44)</f>
        <v>0</v>
      </c>
      <c r="F95" s="14" t="n">
        <f aca="false">((IF(OR((F$18-(Assumptions!$C$9-1)-$C$9)&lt;1,(F$18-(Assumptions!$C$9-1)-$C$9)&gt;36),0,INDEX(Schedules!$C$10:$AL$10,(F$18-(Assumptions!$C$9-1)-$C$9)))*$C$7)*F44)</f>
        <v>0</v>
      </c>
      <c r="G95" s="14" t="n">
        <f aca="false">((IF(OR((G$18-(Assumptions!$C$9-1)-$C$9)&lt;1,(G$18-(Assumptions!$C$9-1)-$C$9)&gt;36),0,INDEX(Schedules!$C$10:$AL$10,(G$18-(Assumptions!$C$9-1)-$C$9)))*$C$7)*G44)</f>
        <v>0</v>
      </c>
      <c r="H95" s="14" t="n">
        <f aca="false">((IF(OR((H$18-(Assumptions!$C$9-1)-$C$9)&lt;1,(H$18-(Assumptions!$C$9-1)-$C$9)&gt;36),0,INDEX(Schedules!$C$10:$AL$10,(H$18-(Assumptions!$C$9-1)-$C$9)))*$C$7)*H44)</f>
        <v>0</v>
      </c>
      <c r="I95" s="14" t="n">
        <f aca="false">((IF(OR((I$18-(Assumptions!$C$9-1)-$C$9)&lt;1,(I$18-(Assumptions!$C$9-1)-$C$9)&gt;36),0,INDEX(Schedules!$C$10:$AL$10,(I$18-(Assumptions!$C$9-1)-$C$9)))*$C$7)*I44)</f>
        <v>0</v>
      </c>
      <c r="J95" s="14" t="n">
        <f aca="false">((IF(OR((J$18-(Assumptions!$C$9-1)-$C$9)&lt;1,(J$18-(Assumptions!$C$9-1)-$C$9)&gt;36),0,INDEX(Schedules!$C$10:$AL$10,(J$18-(Assumptions!$C$9-1)-$C$9)))*$C$7)*J44)</f>
        <v>0</v>
      </c>
      <c r="K95" s="14" t="n">
        <f aca="false">((IF(OR((K$18-(Assumptions!$C$9-1)-$C$9)&lt;1,(K$18-(Assumptions!$C$9-1)-$C$9)&gt;36),0,INDEX(Schedules!$C$10:$AL$10,(K$18-(Assumptions!$C$9-1)-$C$9)))*$C$7)*K44)</f>
        <v>0</v>
      </c>
      <c r="L95" s="14" t="n">
        <f aca="false">((IF(OR((L$18-(Assumptions!$C$9-1)-$C$9)&lt;1,(L$18-(Assumptions!$C$9-1)-$C$9)&gt;36),0,INDEX(Schedules!$C$10:$AL$10,(L$18-(Assumptions!$C$9-1)-$C$9)))*$C$7)*L44)</f>
        <v>0</v>
      </c>
      <c r="M95" s="14" t="n">
        <f aca="false">((IF(OR((M$18-(Assumptions!$C$9-1)-$C$9)&lt;1,(M$18-(Assumptions!$C$9-1)-$C$9)&gt;36),0,INDEX(Schedules!$C$10:$AL$10,(M$18-(Assumptions!$C$9-1)-$C$9)))*$C$7)*M44)</f>
        <v>0</v>
      </c>
      <c r="N95" s="14" t="n">
        <f aca="false">((IF(OR((N$18-(Assumptions!$C$9-1)-$C$9)&lt;1,(N$18-(Assumptions!$C$9-1)-$C$9)&gt;36),0,INDEX(Schedules!$C$10:$AL$10,(N$18-(Assumptions!$C$9-1)-$C$9)))*$C$7)*N44)</f>
        <v>0</v>
      </c>
      <c r="O95" s="14" t="n">
        <f aca="false">((IF(OR((O$18-(Assumptions!$C$9-1)-$C$9)&lt;1,(O$18-(Assumptions!$C$9-1)-$C$9)&gt;36),0,INDEX(Schedules!$C$10:$AL$10,(O$18-(Assumptions!$C$9-1)-$C$9)))*$C$7)*O44)</f>
        <v>0</v>
      </c>
      <c r="P95" s="14" t="n">
        <f aca="false">((IF(OR((P$18-(Assumptions!$C$9-1)-$C$9)&lt;1,(P$18-(Assumptions!$C$9-1)-$C$9)&gt;36),0,INDEX(Schedules!$C$10:$AL$10,(P$18-(Assumptions!$C$9-1)-$C$9)))*$C$7)*P44)</f>
        <v>0</v>
      </c>
      <c r="Q95" s="14" t="n">
        <f aca="false">((IF(OR((Q$18-(Assumptions!$C$9-1)-$C$9)&lt;1,(Q$18-(Assumptions!$C$9-1)-$C$9)&gt;36),0,INDEX(Schedules!$C$10:$AL$10,(Q$18-(Assumptions!$C$9-1)-$C$9)))*$C$7)*Q44)</f>
        <v>0</v>
      </c>
      <c r="R95" s="14" t="n">
        <f aca="false">((IF(OR((R$18-(Assumptions!$C$9-1)-$C$9)&lt;1,(R$18-(Assumptions!$C$9-1)-$C$9)&gt;36),0,INDEX(Schedules!$C$10:$AL$10,(R$18-(Assumptions!$C$9-1)-$C$9)))*$C$7)*R44)</f>
        <v>0</v>
      </c>
      <c r="S95" s="14" t="n">
        <f aca="false">((IF(OR((S$18-(Assumptions!$C$9-1)-$C$9)&lt;1,(S$18-(Assumptions!$C$9-1)-$C$9)&gt;36),0,INDEX(Schedules!$C$10:$AL$10,(S$18-(Assumptions!$C$9-1)-$C$9)))*$C$7)*S44)</f>
        <v>0</v>
      </c>
      <c r="T95" s="14" t="n">
        <f aca="false">((IF(OR((T$18-(Assumptions!$C$9-1)-$C$9)&lt;1,(T$18-(Assumptions!$C$9-1)-$C$9)&gt;36),0,INDEX(Schedules!$C$10:$AL$10,(T$18-(Assumptions!$C$9-1)-$C$9)))*$C$7)*T44)</f>
        <v>0</v>
      </c>
      <c r="U95" s="14" t="n">
        <f aca="false">((IF(OR((U$18-(Assumptions!$C$9-1)-$C$9)&lt;1,(U$18-(Assumptions!$C$9-1)-$C$9)&gt;36),0,INDEX(Schedules!$C$10:$AL$10,(U$18-(Assumptions!$C$9-1)-$C$9)))*$C$7)*U44)</f>
        <v>0</v>
      </c>
      <c r="V95" s="14" t="n">
        <f aca="false">((IF(OR((V$18-(Assumptions!$C$9-1)-$C$9)&lt;1,(V$18-(Assumptions!$C$9-1)-$C$9)&gt;36),0,INDEX(Schedules!$C$10:$AL$10,(V$18-(Assumptions!$C$9-1)-$C$9)))*$C$7)*V44)</f>
        <v>0</v>
      </c>
      <c r="W95" s="14" t="n">
        <f aca="false">((IF(OR((W$18-(Assumptions!$C$9-1)-$C$9)&lt;1,(W$18-(Assumptions!$C$9-1)-$C$9)&gt;36),0,INDEX(Schedules!$C$10:$AL$10,(W$18-(Assumptions!$C$9-1)-$C$9)))*$C$7)*W44)</f>
        <v>0</v>
      </c>
      <c r="X95" s="14" t="n">
        <f aca="false">((IF(OR((X$18-(Assumptions!$C$9-1)-$C$9)&lt;1,(X$18-(Assumptions!$C$9-1)-$C$9)&gt;36),0,INDEX(Schedules!$C$10:$AL$10,(X$18-(Assumptions!$C$9-1)-$C$9)))*$C$7)*X44)</f>
        <v>0</v>
      </c>
      <c r="Y95" s="14" t="n">
        <f aca="false">((IF(OR((Y$18-(Assumptions!$C$9-1)-$C$9)&lt;1,(Y$18-(Assumptions!$C$9-1)-$C$9)&gt;36),0,INDEX(Schedules!$C$10:$AL$10,(Y$18-(Assumptions!$C$9-1)-$C$9)))*$C$7)*Y44)</f>
        <v>0</v>
      </c>
      <c r="Z95" s="14" t="n">
        <f aca="false">((IF(OR((Z$18-(Assumptions!$C$9-1)-$C$9)&lt;1,(Z$18-(Assumptions!$C$9-1)-$C$9)&gt;36),0,INDEX(Schedules!$C$10:$AL$10,(Z$18-(Assumptions!$C$9-1)-$C$9)))*$C$7)*Z44)</f>
        <v>0</v>
      </c>
      <c r="AA95" s="14" t="n">
        <f aca="false">((IF(OR((AA$18-(Assumptions!$C$9-1)-$C$9)&lt;1,(AA$18-(Assumptions!$C$9-1)-$C$9)&gt;36),0,INDEX(Schedules!$C$10:$AL$10,(AA$18-(Assumptions!$C$9-1)-$C$9)))*$C$7)*AA44)</f>
        <v>0</v>
      </c>
      <c r="AB95" s="14" t="n">
        <f aca="false">((IF(OR((AB$18-(Assumptions!$C$9-1)-$C$9)&lt;1,(AB$18-(Assumptions!$C$9-1)-$C$9)&gt;36),0,INDEX(Schedules!$C$10:$AL$10,(AB$18-(Assumptions!$C$9-1)-$C$9)))*$C$7)*AB44)</f>
        <v>0</v>
      </c>
      <c r="AC95" s="14" t="n">
        <f aca="false">((IF(OR((AC$18-(Assumptions!$C$9-1)-$C$9)&lt;1,(AC$18-(Assumptions!$C$9-1)-$C$9)&gt;36),0,INDEX(Schedules!$C$10:$AL$10,(AC$18-(Assumptions!$C$9-1)-$C$9)))*$C$7)*AC44)</f>
        <v>0</v>
      </c>
      <c r="AD95" s="14" t="n">
        <f aca="false">((IF(OR((AD$18-(Assumptions!$C$9-1)-$C$9)&lt;1,(AD$18-(Assumptions!$C$9-1)-$C$9)&gt;36),0,INDEX(Schedules!$C$10:$AL$10,(AD$18-(Assumptions!$C$9-1)-$C$9)))*$C$7)*AD44)</f>
        <v>0</v>
      </c>
      <c r="AE95" s="14" t="n">
        <f aca="false">((IF(OR((AE$18-(Assumptions!$C$9-1)-$C$9)&lt;1,(AE$18-(Assumptions!$C$9-1)-$C$9)&gt;36),0,INDEX(Schedules!$C$10:$AL$10,(AE$18-(Assumptions!$C$9-1)-$C$9)))*$C$7)*AE44)</f>
        <v>0</v>
      </c>
      <c r="AF95" s="14" t="n">
        <f aca="false">((IF(OR((AF$18-(Assumptions!$C$9-1)-$C$9)&lt;1,(AF$18-(Assumptions!$C$9-1)-$C$9)&gt;36),0,INDEX(Schedules!$C$10:$AL$10,(AF$18-(Assumptions!$C$9-1)-$C$9)))*$C$7)*AF44)</f>
        <v>0</v>
      </c>
      <c r="AG95" s="14" t="n">
        <f aca="false">((IF(OR((AG$18-(Assumptions!$C$9-1)-$C$9)&lt;1,(AG$18-(Assumptions!$C$9-1)-$C$9)&gt;36),0,INDEX(Schedules!$C$10:$AL$10,(AG$18-(Assumptions!$C$9-1)-$C$9)))*$C$7)*AG44)</f>
        <v>0</v>
      </c>
      <c r="AH95" s="14" t="n">
        <f aca="false">((IF(OR((AH$18-(Assumptions!$C$9-1)-$C$9)&lt;1,(AH$18-(Assumptions!$C$9-1)-$C$9)&gt;36),0,INDEX(Schedules!$C$10:$AL$10,(AH$18-(Assumptions!$C$9-1)-$C$9)))*$C$7)*AH44)</f>
        <v>0</v>
      </c>
      <c r="AI95" s="14" t="n">
        <f aca="false">((IF(OR((AI$18-(Assumptions!$C$9-1)-$C$9)&lt;1,(AI$18-(Assumptions!$C$9-1)-$C$9)&gt;36),0,INDEX(Schedules!$C$10:$AL$10,(AI$18-(Assumptions!$C$9-1)-$C$9)))*$C$7)*AI44)</f>
        <v>0</v>
      </c>
      <c r="AJ95" s="14" t="n">
        <f aca="false">((IF(OR((AJ$18-(Assumptions!$C$9-1)-$C$9)&lt;1,(AJ$18-(Assumptions!$C$9-1)-$C$9)&gt;36),0,INDEX(Schedules!$C$10:$AL$10,(AJ$18-(Assumptions!$C$9-1)-$C$9)))*$C$7)*AJ44)</f>
        <v>0</v>
      </c>
      <c r="AK95" s="14" t="n">
        <f aca="false">((IF(OR((AK$18-(Assumptions!$C$9-1)-$C$9)&lt;1,(AK$18-(Assumptions!$C$9-1)-$C$9)&gt;36),0,INDEX(Schedules!$C$10:$AL$10,(AK$18-(Assumptions!$C$9-1)-$C$9)))*$C$7)*AK44)</f>
        <v>0</v>
      </c>
      <c r="AL95" s="14" t="n">
        <f aca="false">((IF(OR((AL$18-(Assumptions!$C$9-1)-$C$9)&lt;1,(AL$18-(Assumptions!$C$9-1)-$C$9)&gt;36),0,INDEX(Schedules!$C$10:$AL$10,(AL$18-(Assumptions!$C$9-1)-$C$9)))*$C$7)*AL44)</f>
        <v>1</v>
      </c>
      <c r="AN95" s="36" t="n">
        <f aca="false">SUM(C95:N95)</f>
        <v>0</v>
      </c>
      <c r="AO95" s="36" t="n">
        <f aca="false">SUM(O95:Z95)</f>
        <v>0</v>
      </c>
      <c r="AP95" s="36" t="n">
        <f aca="false">SUM(AA95:AL95)</f>
        <v>1</v>
      </c>
    </row>
    <row r="96" customFormat="false" ht="15" hidden="false" customHeight="false" outlineLevel="0" collapsed="false">
      <c r="A96" s="0" t="s">
        <v>902</v>
      </c>
      <c r="B96" s="0" t="s">
        <v>852</v>
      </c>
      <c r="C96" s="14" t="n">
        <f aca="false">(C92+C95)</f>
        <v>0</v>
      </c>
      <c r="D96" s="14" t="n">
        <f aca="false">(D92+D95)</f>
        <v>0</v>
      </c>
      <c r="E96" s="14" t="n">
        <f aca="false">(E92+E95)</f>
        <v>0</v>
      </c>
      <c r="F96" s="14" t="n">
        <f aca="false">(F92+F95)</f>
        <v>0</v>
      </c>
      <c r="G96" s="14" t="n">
        <f aca="false">(G92+G95)</f>
        <v>0</v>
      </c>
      <c r="H96" s="14" t="n">
        <f aca="false">(H92+H95)</f>
        <v>0</v>
      </c>
      <c r="I96" s="14" t="n">
        <f aca="false">(I92+I95)</f>
        <v>0</v>
      </c>
      <c r="J96" s="14" t="n">
        <f aca="false">(J92+J95)</f>
        <v>0</v>
      </c>
      <c r="K96" s="14" t="n">
        <f aca="false">(K92+K95)</f>
        <v>0</v>
      </c>
      <c r="L96" s="14" t="n">
        <f aca="false">(L92+L95)</f>
        <v>0</v>
      </c>
      <c r="M96" s="14" t="n">
        <f aca="false">(M92+M95)</f>
        <v>0</v>
      </c>
      <c r="N96" s="14" t="n">
        <f aca="false">(N92+N95)</f>
        <v>0</v>
      </c>
      <c r="O96" s="14" t="n">
        <f aca="false">(O92+O95)</f>
        <v>0</v>
      </c>
      <c r="P96" s="14" t="n">
        <f aca="false">(P92+P95)</f>
        <v>0</v>
      </c>
      <c r="Q96" s="14" t="n">
        <f aca="false">(Q92+Q95)</f>
        <v>0</v>
      </c>
      <c r="R96" s="14" t="n">
        <f aca="false">(R92+R95)</f>
        <v>0</v>
      </c>
      <c r="S96" s="14" t="n">
        <f aca="false">(S92+S95)</f>
        <v>0</v>
      </c>
      <c r="T96" s="14" t="n">
        <f aca="false">(T92+T95)</f>
        <v>0</v>
      </c>
      <c r="U96" s="14" t="n">
        <f aca="false">(U92+U95)</f>
        <v>0</v>
      </c>
      <c r="V96" s="14" t="n">
        <f aca="false">(V92+V95)</f>
        <v>0</v>
      </c>
      <c r="W96" s="14" t="n">
        <f aca="false">(W92+W95)</f>
        <v>0</v>
      </c>
      <c r="X96" s="14" t="n">
        <f aca="false">(X92+X95)</f>
        <v>0</v>
      </c>
      <c r="Y96" s="14" t="n">
        <f aca="false">(Y92+Y95)</f>
        <v>0</v>
      </c>
      <c r="Z96" s="14" t="n">
        <f aca="false">(Z92+Z95)</f>
        <v>0</v>
      </c>
      <c r="AA96" s="14" t="n">
        <f aca="false">(AA92+AA95)</f>
        <v>0</v>
      </c>
      <c r="AB96" s="14" t="n">
        <f aca="false">(AB92+AB95)</f>
        <v>0</v>
      </c>
      <c r="AC96" s="14" t="n">
        <f aca="false">(AC92+AC95)</f>
        <v>0</v>
      </c>
      <c r="AD96" s="14" t="n">
        <f aca="false">(AD92+AD95)</f>
        <v>0</v>
      </c>
      <c r="AE96" s="14" t="n">
        <f aca="false">(AE92+AE95)</f>
        <v>0</v>
      </c>
      <c r="AF96" s="14" t="n">
        <f aca="false">(AF92+AF95)</f>
        <v>1</v>
      </c>
      <c r="AG96" s="14" t="n">
        <f aca="false">(AG92+AG95)</f>
        <v>0</v>
      </c>
      <c r="AH96" s="14" t="n">
        <f aca="false">(AH92+AH95)</f>
        <v>0</v>
      </c>
      <c r="AI96" s="14" t="n">
        <f aca="false">(AI92+AI95)</f>
        <v>0</v>
      </c>
      <c r="AJ96" s="14" t="n">
        <f aca="false">(AJ92+AJ95)</f>
        <v>0</v>
      </c>
      <c r="AK96" s="14" t="n">
        <f aca="false">(AK92+AK95)</f>
        <v>0</v>
      </c>
      <c r="AL96" s="14" t="n">
        <f aca="false">(AL92+AL95)</f>
        <v>2</v>
      </c>
      <c r="AN96" s="36" t="n">
        <f aca="false">SUM(C96:N96)</f>
        <v>0</v>
      </c>
      <c r="AO96" s="36" t="n">
        <f aca="false">SUM(O96:Z96)</f>
        <v>0</v>
      </c>
      <c r="AP96" s="36" t="n">
        <f aca="false">SUM(AA96:AL96)</f>
        <v>3</v>
      </c>
    </row>
    <row r="97" customFormat="false" ht="15" hidden="false" customHeight="false" outlineLevel="0" collapsed="false">
      <c r="A97" s="0" t="s">
        <v>903</v>
      </c>
      <c r="B97" s="0" t="s">
        <v>852</v>
      </c>
      <c r="C97" s="14" t="n">
        <f aca="false">C94</f>
        <v>0</v>
      </c>
      <c r="D97" s="14" t="n">
        <f aca="false">SUM(C94:D94)</f>
        <v>0</v>
      </c>
      <c r="E97" s="14" t="n">
        <f aca="false">SUM(C94:E94)</f>
        <v>0</v>
      </c>
      <c r="F97" s="14" t="n">
        <f aca="false">SUM(C94:F94)</f>
        <v>0</v>
      </c>
      <c r="G97" s="14" t="n">
        <f aca="false">SUM(C94:G94)</f>
        <v>0</v>
      </c>
      <c r="H97" s="14" t="n">
        <f aca="false">SUM(C94:H94)</f>
        <v>0</v>
      </c>
      <c r="I97" s="14" t="n">
        <f aca="false">SUM(D94:I94)</f>
        <v>0</v>
      </c>
      <c r="J97" s="14" t="n">
        <f aca="false">SUM(E94:J94)</f>
        <v>0</v>
      </c>
      <c r="K97" s="14" t="n">
        <f aca="false">SUM(F94:K94)</f>
        <v>0</v>
      </c>
      <c r="L97" s="14" t="n">
        <f aca="false">SUM(G94:L94)</f>
        <v>0</v>
      </c>
      <c r="M97" s="14" t="n">
        <f aca="false">SUM(H94:M94)</f>
        <v>0</v>
      </c>
      <c r="N97" s="14" t="n">
        <f aca="false">SUM(I94:N94)</f>
        <v>0</v>
      </c>
      <c r="O97" s="14" t="n">
        <f aca="false">SUM(J94:O94)</f>
        <v>0</v>
      </c>
      <c r="P97" s="14" t="n">
        <f aca="false">SUM(K94:P94)</f>
        <v>0</v>
      </c>
      <c r="Q97" s="14" t="n">
        <f aca="false">SUM(L94:Q94)</f>
        <v>0</v>
      </c>
      <c r="R97" s="14" t="n">
        <f aca="false">SUM(M94:R94)</f>
        <v>0</v>
      </c>
      <c r="S97" s="14" t="n">
        <f aca="false">SUM(N94:S94)</f>
        <v>0</v>
      </c>
      <c r="T97" s="14" t="n">
        <f aca="false">SUM(O94:T94)</f>
        <v>0</v>
      </c>
      <c r="U97" s="14" t="n">
        <f aca="false">SUM(P94:U94)</f>
        <v>0</v>
      </c>
      <c r="V97" s="14" t="n">
        <f aca="false">SUM(Q94:V94)</f>
        <v>0</v>
      </c>
      <c r="W97" s="14" t="n">
        <f aca="false">SUM(R94:W94)</f>
        <v>0</v>
      </c>
      <c r="X97" s="14" t="n">
        <f aca="false">SUM(S94:X94)</f>
        <v>0</v>
      </c>
      <c r="Y97" s="14" t="n">
        <f aca="false">SUM(T94:Y94)</f>
        <v>0</v>
      </c>
      <c r="Z97" s="14" t="n">
        <f aca="false">SUM(U94:Z94)</f>
        <v>0</v>
      </c>
      <c r="AA97" s="14" t="n">
        <f aca="false">SUM(V94:AA94)</f>
        <v>0</v>
      </c>
      <c r="AB97" s="14" t="n">
        <f aca="false">SUM(W94:AB94)</f>
        <v>0</v>
      </c>
      <c r="AC97" s="14" t="n">
        <f aca="false">SUM(X94:AC94)</f>
        <v>0</v>
      </c>
      <c r="AD97" s="14" t="n">
        <f aca="false">SUM(Y94:AD94)</f>
        <v>0</v>
      </c>
      <c r="AE97" s="14" t="n">
        <f aca="false">SUM(Z94:AE94)</f>
        <v>0</v>
      </c>
      <c r="AF97" s="14" t="n">
        <f aca="false">SUM(AA94:AF94)</f>
        <v>1</v>
      </c>
      <c r="AG97" s="14" t="n">
        <f aca="false">SUM(AB94:AG94)</f>
        <v>1</v>
      </c>
      <c r="AH97" s="14" t="n">
        <f aca="false">SUM(AC94:AH94)</f>
        <v>1</v>
      </c>
      <c r="AI97" s="14" t="n">
        <f aca="false">SUM(AD94:AI94)</f>
        <v>1</v>
      </c>
      <c r="AJ97" s="14" t="n">
        <f aca="false">SUM(AE94:AJ94)</f>
        <v>1</v>
      </c>
      <c r="AK97" s="14" t="n">
        <f aca="false">SUM(AF94:AK94)</f>
        <v>1</v>
      </c>
      <c r="AL97" s="14" t="n">
        <f aca="false">SUM(AG94:AL94)</f>
        <v>1</v>
      </c>
      <c r="AN97" s="36" t="n">
        <f aca="false">N97</f>
        <v>0</v>
      </c>
      <c r="AO97" s="36" t="n">
        <f aca="false">Z97</f>
        <v>0</v>
      </c>
      <c r="AP97" s="36" t="n">
        <f aca="false">AL97</f>
        <v>1</v>
      </c>
    </row>
    <row r="98" customFormat="false" ht="15" hidden="false" customHeight="false" outlineLevel="0" collapsed="false">
      <c r="A98" s="0" t="s">
        <v>904</v>
      </c>
      <c r="B98" s="0" t="s">
        <v>852</v>
      </c>
      <c r="C98" s="14" t="n">
        <f aca="false">C92</f>
        <v>0</v>
      </c>
      <c r="D98" s="14" t="n">
        <f aca="false">SUM(C92:D92)</f>
        <v>0</v>
      </c>
      <c r="E98" s="14" t="n">
        <f aca="false">SUM(C92:E92)</f>
        <v>0</v>
      </c>
      <c r="F98" s="14" t="n">
        <f aca="false">SUM(C92:F92)</f>
        <v>0</v>
      </c>
      <c r="G98" s="14" t="n">
        <f aca="false">SUM(C92:G92)</f>
        <v>0</v>
      </c>
      <c r="H98" s="14" t="n">
        <f aca="false">SUM(C92:H92)</f>
        <v>0</v>
      </c>
      <c r="I98" s="14" t="n">
        <f aca="false">SUM(D92:I92)</f>
        <v>0</v>
      </c>
      <c r="J98" s="14" t="n">
        <f aca="false">SUM(E92:J92)</f>
        <v>0</v>
      </c>
      <c r="K98" s="14" t="n">
        <f aca="false">SUM(F92:K92)</f>
        <v>0</v>
      </c>
      <c r="L98" s="14" t="n">
        <f aca="false">SUM(G92:L92)</f>
        <v>0</v>
      </c>
      <c r="M98" s="14" t="n">
        <f aca="false">SUM(H92:M92)</f>
        <v>0</v>
      </c>
      <c r="N98" s="14" t="n">
        <f aca="false">SUM(I92:N92)</f>
        <v>0</v>
      </c>
      <c r="O98" s="14" t="n">
        <f aca="false">SUM(J92:O92)</f>
        <v>0</v>
      </c>
      <c r="P98" s="14" t="n">
        <f aca="false">SUM(K92:P92)</f>
        <v>0</v>
      </c>
      <c r="Q98" s="14" t="n">
        <f aca="false">SUM(L92:Q92)</f>
        <v>0</v>
      </c>
      <c r="R98" s="14" t="n">
        <f aca="false">SUM(M92:R92)</f>
        <v>0</v>
      </c>
      <c r="S98" s="14" t="n">
        <f aca="false">SUM(N92:S92)</f>
        <v>0</v>
      </c>
      <c r="T98" s="14" t="n">
        <f aca="false">SUM(O92:T92)</f>
        <v>0</v>
      </c>
      <c r="U98" s="14" t="n">
        <f aca="false">SUM(P92:U92)</f>
        <v>0</v>
      </c>
      <c r="V98" s="14" t="n">
        <f aca="false">SUM(Q92:V92)</f>
        <v>0</v>
      </c>
      <c r="W98" s="14" t="n">
        <f aca="false">SUM(R92:W92)</f>
        <v>0</v>
      </c>
      <c r="X98" s="14" t="n">
        <f aca="false">SUM(S92:X92)</f>
        <v>0</v>
      </c>
      <c r="Y98" s="14" t="n">
        <f aca="false">SUM(T92:Y92)</f>
        <v>0</v>
      </c>
      <c r="Z98" s="14" t="n">
        <f aca="false">SUM(U92:Z92)</f>
        <v>0</v>
      </c>
      <c r="AA98" s="14" t="n">
        <f aca="false">SUM(V92:AA92)</f>
        <v>0</v>
      </c>
      <c r="AB98" s="14" t="n">
        <f aca="false">SUM(W92:AB92)</f>
        <v>0</v>
      </c>
      <c r="AC98" s="14" t="n">
        <f aca="false">SUM(X92:AC92)</f>
        <v>0</v>
      </c>
      <c r="AD98" s="14" t="n">
        <f aca="false">SUM(Y92:AD92)</f>
        <v>0</v>
      </c>
      <c r="AE98" s="14" t="n">
        <f aca="false">SUM(Z92:AE92)</f>
        <v>0</v>
      </c>
      <c r="AF98" s="14" t="n">
        <f aca="false">SUM(AA92:AF92)</f>
        <v>1</v>
      </c>
      <c r="AG98" s="14" t="n">
        <f aca="false">SUM(AB92:AG92)</f>
        <v>1</v>
      </c>
      <c r="AH98" s="14" t="n">
        <f aca="false">SUM(AC92:AH92)</f>
        <v>1</v>
      </c>
      <c r="AI98" s="14" t="n">
        <f aca="false">SUM(AD92:AI92)</f>
        <v>1</v>
      </c>
      <c r="AJ98" s="14" t="n">
        <f aca="false">SUM(AE92:AJ92)</f>
        <v>1</v>
      </c>
      <c r="AK98" s="14" t="n">
        <f aca="false">SUM(AF92:AK92)</f>
        <v>1</v>
      </c>
      <c r="AL98" s="14" t="n">
        <f aca="false">SUM(AG92:AL92)</f>
        <v>1</v>
      </c>
      <c r="AN98" s="36" t="n">
        <f aca="false">N98</f>
        <v>0</v>
      </c>
      <c r="AO98" s="36" t="n">
        <f aca="false">Z98</f>
        <v>0</v>
      </c>
      <c r="AP98" s="36" t="n">
        <f aca="false">AL98</f>
        <v>1</v>
      </c>
    </row>
    <row r="99" customFormat="false" ht="15" hidden="false" customHeight="false" outlineLevel="0" collapsed="false">
      <c r="A99" s="0" t="s">
        <v>905</v>
      </c>
      <c r="B99" s="0" t="s">
        <v>852</v>
      </c>
      <c r="C99" s="14" t="n">
        <f aca="false">((Assumptions!$E$127*$C$8)*0)</f>
        <v>0</v>
      </c>
      <c r="D99" s="14" t="n">
        <f aca="false">((Assumptions!$E$127*$C$8)*0)</f>
        <v>0</v>
      </c>
      <c r="E99" s="14" t="n">
        <f aca="false">((Assumptions!$E$127*$C$8)*0)</f>
        <v>0</v>
      </c>
      <c r="F99" s="14" t="n">
        <f aca="false">((Assumptions!$E$127*$C$8)*0)</f>
        <v>0</v>
      </c>
      <c r="G99" s="14" t="n">
        <f aca="false">((Assumptions!$E$127*$C$8)*0)</f>
        <v>0</v>
      </c>
      <c r="H99" s="14" t="n">
        <f aca="false">((Assumptions!$E$127*$C$8)*0)</f>
        <v>0</v>
      </c>
      <c r="I99" s="14" t="n">
        <f aca="false">((Assumptions!$E$127*$C$8)*0)</f>
        <v>0</v>
      </c>
      <c r="J99" s="14" t="n">
        <f aca="false">((Assumptions!$E$127*$C$8)*C92)</f>
        <v>0</v>
      </c>
      <c r="K99" s="14" t="n">
        <f aca="false">((Assumptions!$E$127*$C$8)*D92)</f>
        <v>0</v>
      </c>
      <c r="L99" s="14" t="n">
        <f aca="false">((Assumptions!$E$127*$C$8)*E92)</f>
        <v>0</v>
      </c>
      <c r="M99" s="14" t="n">
        <f aca="false">((Assumptions!$E$127*$C$8)*F92)</f>
        <v>0</v>
      </c>
      <c r="N99" s="14" t="n">
        <f aca="false">((Assumptions!$E$127*$C$8)*G92)</f>
        <v>0</v>
      </c>
      <c r="O99" s="14" t="n">
        <f aca="false">((Assumptions!$E$127*$C$8)*H92)</f>
        <v>0</v>
      </c>
      <c r="P99" s="14" t="n">
        <f aca="false">((Assumptions!$E$127*$C$8)*I92)</f>
        <v>0</v>
      </c>
      <c r="Q99" s="14" t="n">
        <f aca="false">((Assumptions!$E$127*$C$8)*J92)</f>
        <v>0</v>
      </c>
      <c r="R99" s="14" t="n">
        <f aca="false">((Assumptions!$E$127*$C$8)*K92)</f>
        <v>0</v>
      </c>
      <c r="S99" s="14" t="n">
        <f aca="false">((Assumptions!$E$127*$C$8)*L92)</f>
        <v>0</v>
      </c>
      <c r="T99" s="14" t="n">
        <f aca="false">((Assumptions!$E$127*$C$8)*M92)</f>
        <v>0</v>
      </c>
      <c r="U99" s="14" t="n">
        <f aca="false">((Assumptions!$E$127*$C$8)*N92)</f>
        <v>0</v>
      </c>
      <c r="V99" s="14" t="n">
        <f aca="false">((Assumptions!$E$127*$C$8)*O92)</f>
        <v>0</v>
      </c>
      <c r="W99" s="14" t="n">
        <f aca="false">((Assumptions!$E$127*$C$8)*P92)</f>
        <v>0</v>
      </c>
      <c r="X99" s="14" t="n">
        <f aca="false">((Assumptions!$E$127*$C$8)*Q92)</f>
        <v>0</v>
      </c>
      <c r="Y99" s="14" t="n">
        <f aca="false">((Assumptions!$E$127*$C$8)*R92)</f>
        <v>0</v>
      </c>
      <c r="Z99" s="14" t="n">
        <f aca="false">((Assumptions!$E$127*$C$8)*S92)</f>
        <v>0</v>
      </c>
      <c r="AA99" s="14" t="n">
        <f aca="false">((Assumptions!$E$127*$C$8)*T92)</f>
        <v>0</v>
      </c>
      <c r="AB99" s="14" t="n">
        <f aca="false">((Assumptions!$E$127*$C$8)*U92)</f>
        <v>0</v>
      </c>
      <c r="AC99" s="14" t="n">
        <f aca="false">((Assumptions!$E$127*$C$8)*V92)</f>
        <v>0</v>
      </c>
      <c r="AD99" s="14" t="n">
        <f aca="false">((Assumptions!$E$127*$C$8)*W92)</f>
        <v>0</v>
      </c>
      <c r="AE99" s="14" t="n">
        <f aca="false">((Assumptions!$E$127*$C$8)*X92)</f>
        <v>0</v>
      </c>
      <c r="AF99" s="14" t="n">
        <f aca="false">((Assumptions!$E$127*$C$8)*Y92)</f>
        <v>0</v>
      </c>
      <c r="AG99" s="14" t="n">
        <f aca="false">((Assumptions!$E$127*$C$8)*Z92)</f>
        <v>0</v>
      </c>
      <c r="AH99" s="14" t="n">
        <f aca="false">((Assumptions!$E$127*$C$8)*AA92)</f>
        <v>0</v>
      </c>
      <c r="AI99" s="14" t="n">
        <f aca="false">((Assumptions!$E$127*$C$8)*AB92)</f>
        <v>0</v>
      </c>
      <c r="AJ99" s="14" t="n">
        <f aca="false">((Assumptions!$E$127*$C$8)*AC92)</f>
        <v>0</v>
      </c>
      <c r="AK99" s="14" t="n">
        <f aca="false">((Assumptions!$E$127*$C$8)*AD92)</f>
        <v>0</v>
      </c>
      <c r="AL99" s="14" t="n">
        <f aca="false">((Assumptions!$E$127*$C$8)*AE92)</f>
        <v>0</v>
      </c>
      <c r="AN99" s="36" t="n">
        <f aca="false">SUM(C99:N99)</f>
        <v>0</v>
      </c>
      <c r="AO99" s="36" t="n">
        <f aca="false">SUM(O99:Z99)</f>
        <v>0</v>
      </c>
      <c r="AP99" s="36" t="n">
        <f aca="false">SUM(AA99:AL99)</f>
        <v>0</v>
      </c>
    </row>
    <row r="100" customFormat="false" ht="15" hidden="false" customHeight="false" outlineLevel="0" collapsed="false">
      <c r="A100" s="0" t="s">
        <v>906</v>
      </c>
      <c r="B100" s="0" t="s">
        <v>852</v>
      </c>
      <c r="C100" s="14" t="n">
        <f aca="false">((Assumptions!$C$10*$C$8)*IF((C$18=(Assumptions!$C$9+$C$9)),0,IF((C$18&gt;(Assumptions!$C$9+$C$9)),0,0)))</f>
        <v>0</v>
      </c>
      <c r="D100" s="14" t="n">
        <f aca="false">((Assumptions!$C$10*$C$8)*IF((D$18=(Assumptions!$C$9+$C$9)),0,IF((D$18&gt;(Assumptions!$C$9+$C$9)),0,0)))</f>
        <v>0</v>
      </c>
      <c r="E100" s="14" t="n">
        <f aca="false">((Assumptions!$C$10*$C$8)*IF((E$18=(Assumptions!$C$9+$C$9)),0,IF((E$18&gt;(Assumptions!$C$9+$C$9)),0,0)))</f>
        <v>0</v>
      </c>
      <c r="F100" s="14" t="n">
        <f aca="false">((Assumptions!$C$10*$C$8)*IF((F$18=(Assumptions!$C$9+$C$9)),0,IF((F$18&gt;(Assumptions!$C$9+$C$9)),0,0)))</f>
        <v>0</v>
      </c>
      <c r="G100" s="14" t="n">
        <f aca="false">((Assumptions!$C$10*$C$8)*IF((G$18=(Assumptions!$C$9+$C$9)),0,IF((G$18&gt;(Assumptions!$C$9+$C$9)),0,0)))</f>
        <v>0</v>
      </c>
      <c r="H100" s="14" t="n">
        <f aca="false">((Assumptions!$C$10*$C$8)*IF((H$18=(Assumptions!$C$9+$C$9)),0,IF((H$18&gt;(Assumptions!$C$9+$C$9)),0,0)))</f>
        <v>0</v>
      </c>
      <c r="I100" s="14" t="n">
        <f aca="false">((Assumptions!$C$10*$C$8)*IF((I$18=(Assumptions!$C$9+$C$9)),0,IF((I$18&gt;(Assumptions!$C$9+$C$9)),0,0)))</f>
        <v>0</v>
      </c>
      <c r="J100" s="14" t="n">
        <f aca="false">((Assumptions!$C$10*$C$8)*IF((J$18=(Assumptions!$C$9+$C$9)),C93,IF((J$18&gt;(Assumptions!$C$9+$C$9)),C93,0)))</f>
        <v>0</v>
      </c>
      <c r="K100" s="14" t="n">
        <f aca="false">((Assumptions!$C$10*$C$8)*IF((K$18=(Assumptions!$C$9+$C$9)),SUM(C93:D93),IF((K$18&gt;(Assumptions!$C$9+$C$9)),D93,0)))</f>
        <v>0</v>
      </c>
      <c r="L100" s="14" t="n">
        <f aca="false">((Assumptions!$C$10*$C$8)*IF((L$18=(Assumptions!$C$9+$C$9)),SUM(C93:E93),IF((L$18&gt;(Assumptions!$C$9+$C$9)),E93,0)))</f>
        <v>0</v>
      </c>
      <c r="M100" s="14" t="n">
        <f aca="false">((Assumptions!$C$10*$C$8)*IF((M$18=(Assumptions!$C$9+$C$9)),SUM(C93:F93),IF((M$18&gt;(Assumptions!$C$9+$C$9)),F93,0)))</f>
        <v>0</v>
      </c>
      <c r="N100" s="14" t="n">
        <f aca="false">((Assumptions!$C$10*$C$8)*IF((N$18=(Assumptions!$C$9+$C$9)),SUM(C93:G93),IF((N$18&gt;(Assumptions!$C$9+$C$9)),G93,0)))</f>
        <v>0</v>
      </c>
      <c r="O100" s="14" t="n">
        <f aca="false">((Assumptions!$C$10*$C$8)*IF((O$18=(Assumptions!$C$9+$C$9)),SUM(C93:H93),IF((O$18&gt;(Assumptions!$C$9+$C$9)),H93,0)))</f>
        <v>0</v>
      </c>
      <c r="P100" s="14" t="n">
        <f aca="false">((Assumptions!$C$10*$C$8)*IF((P$18=(Assumptions!$C$9+$C$9)),SUM(C93:I93),IF((P$18&gt;(Assumptions!$C$9+$C$9)),I93,0)))</f>
        <v>0</v>
      </c>
      <c r="Q100" s="14" t="n">
        <f aca="false">((Assumptions!$C$10*$C$8)*IF((Q$18=(Assumptions!$C$9+$C$9)),SUM(C93:J93),IF((Q$18&gt;(Assumptions!$C$9+$C$9)),J93,0)))</f>
        <v>0</v>
      </c>
      <c r="R100" s="14" t="n">
        <f aca="false">((Assumptions!$C$10*$C$8)*IF((R$18=(Assumptions!$C$9+$C$9)),SUM(C93:K93),IF((R$18&gt;(Assumptions!$C$9+$C$9)),K93,0)))</f>
        <v>0</v>
      </c>
      <c r="S100" s="14" t="n">
        <f aca="false">((Assumptions!$C$10*$C$8)*IF((S$18=(Assumptions!$C$9+$C$9)),SUM(C93:L93),IF((S$18&gt;(Assumptions!$C$9+$C$9)),L93,0)))</f>
        <v>0</v>
      </c>
      <c r="T100" s="14" t="n">
        <f aca="false">((Assumptions!$C$10*$C$8)*IF((T$18=(Assumptions!$C$9+$C$9)),SUM(C93:M93),IF((T$18&gt;(Assumptions!$C$9+$C$9)),M93,0)))</f>
        <v>0</v>
      </c>
      <c r="U100" s="14" t="n">
        <f aca="false">((Assumptions!$C$10*$C$8)*IF((U$18=(Assumptions!$C$9+$C$9)),SUM(C93:N93),IF((U$18&gt;(Assumptions!$C$9+$C$9)),N93,0)))</f>
        <v>0</v>
      </c>
      <c r="V100" s="14" t="n">
        <f aca="false">((Assumptions!$C$10*$C$8)*IF((V$18=(Assumptions!$C$9+$C$9)),SUM(C93:O93),IF((V$18&gt;(Assumptions!$C$9+$C$9)),O93,0)))</f>
        <v>0</v>
      </c>
      <c r="W100" s="14" t="n">
        <f aca="false">((Assumptions!$C$10*$C$8)*IF((W$18=(Assumptions!$C$9+$C$9)),SUM(C93:P93),IF((W$18&gt;(Assumptions!$C$9+$C$9)),P93,0)))</f>
        <v>0</v>
      </c>
      <c r="X100" s="14" t="n">
        <f aca="false">((Assumptions!$C$10*$C$8)*IF((X$18=(Assumptions!$C$9+$C$9)),SUM(C93:Q93),IF((X$18&gt;(Assumptions!$C$9+$C$9)),Q93,0)))</f>
        <v>0</v>
      </c>
      <c r="Y100" s="14" t="n">
        <f aca="false">((Assumptions!$C$10*$C$8)*IF((Y$18=(Assumptions!$C$9+$C$9)),SUM(C93:R93),IF((Y$18&gt;(Assumptions!$C$9+$C$9)),R93,0)))</f>
        <v>0</v>
      </c>
      <c r="Z100" s="14" t="n">
        <f aca="false">((Assumptions!$C$10*$C$8)*IF((Z$18=(Assumptions!$C$9+$C$9)),SUM(C93:S93),IF((Z$18&gt;(Assumptions!$C$9+$C$9)),S93,0)))</f>
        <v>0</v>
      </c>
      <c r="AA100" s="14" t="n">
        <f aca="false">((Assumptions!$C$10*$C$8)*IF((AA$18=(Assumptions!$C$9+$C$9)),SUM(C93:T93),IF((AA$18&gt;(Assumptions!$C$9+$C$9)),T93,0)))</f>
        <v>0</v>
      </c>
      <c r="AB100" s="14" t="n">
        <f aca="false">((Assumptions!$C$10*$C$8)*IF((AB$18=(Assumptions!$C$9+$C$9)),SUM(C93:U93),IF((AB$18&gt;(Assumptions!$C$9+$C$9)),U93,0)))</f>
        <v>0</v>
      </c>
      <c r="AC100" s="14" t="n">
        <f aca="false">((Assumptions!$C$10*$C$8)*IF((AC$18=(Assumptions!$C$9+$C$9)),SUM(C93:V93),IF((AC$18&gt;(Assumptions!$C$9+$C$9)),V93,0)))</f>
        <v>0</v>
      </c>
      <c r="AD100" s="14" t="n">
        <f aca="false">((Assumptions!$C$10*$C$8)*IF((AD$18=(Assumptions!$C$9+$C$9)),SUM(C93:W93),IF((AD$18&gt;(Assumptions!$C$9+$C$9)),W93,0)))</f>
        <v>0</v>
      </c>
      <c r="AE100" s="14" t="n">
        <f aca="false">((Assumptions!$C$10*$C$8)*IF((AE$18=(Assumptions!$C$9+$C$9)),SUM(C93:X93),IF((AE$18&gt;(Assumptions!$C$9+$C$9)),X93,0)))</f>
        <v>0</v>
      </c>
      <c r="AF100" s="14" t="n">
        <f aca="false">((Assumptions!$C$10*$C$8)*IF((AF$18=(Assumptions!$C$9+$C$9)),SUM(C93:Y93),IF((AF$18&gt;(Assumptions!$C$9+$C$9)),Y93,0)))</f>
        <v>0</v>
      </c>
      <c r="AG100" s="14" t="n">
        <f aca="false">((Assumptions!$C$10*$C$8)*IF((AG$18=(Assumptions!$C$9+$C$9)),SUM(C93:Z93),IF((AG$18&gt;(Assumptions!$C$9+$C$9)),Z93,0)))</f>
        <v>0</v>
      </c>
      <c r="AH100" s="14" t="n">
        <f aca="false">((Assumptions!$C$10*$C$8)*IF((AH$18=(Assumptions!$C$9+$C$9)),SUM(C93:AA93),IF((AH$18&gt;(Assumptions!$C$9+$C$9)),AA93,0)))</f>
        <v>0</v>
      </c>
      <c r="AI100" s="14" t="n">
        <f aca="false">((Assumptions!$C$10*$C$8)*IF((AI$18=(Assumptions!$C$9+$C$9)),SUM(C93:AB93),IF((AI$18&gt;(Assumptions!$C$9+$C$9)),AB93,0)))</f>
        <v>0</v>
      </c>
      <c r="AJ100" s="14" t="n">
        <f aca="false">((Assumptions!$C$10*$C$8)*IF((AJ$18=(Assumptions!$C$9+$C$9)),SUM(C93:AC93),IF((AJ$18&gt;(Assumptions!$C$9+$C$9)),AC93,0)))</f>
        <v>0</v>
      </c>
      <c r="AK100" s="14" t="n">
        <f aca="false">((Assumptions!$C$10*$C$8)*IF((AK$18=(Assumptions!$C$9+$C$9)),SUM(C93:AD93),IF((AK$18&gt;(Assumptions!$C$9+$C$9)),AD93,0)))</f>
        <v>0</v>
      </c>
      <c r="AL100" s="14" t="n">
        <f aca="false">((Assumptions!$C$10*$C$8)*IF((AL$18=(Assumptions!$C$9+$C$9)),SUM(C93:AE93),IF((AL$18&gt;(Assumptions!$C$9+$C$9)),AE93,0)))</f>
        <v>0</v>
      </c>
      <c r="AN100" s="36" t="n">
        <f aca="false">SUM(C100:N100)</f>
        <v>0</v>
      </c>
      <c r="AO100" s="36" t="n">
        <f aca="false">SUM(O100:Z100)</f>
        <v>0</v>
      </c>
      <c r="AP100" s="36" t="n">
        <f aca="false">SUM(AA100:AL100)</f>
        <v>0</v>
      </c>
    </row>
    <row r="101" customFormat="false" ht="15" hidden="false" customHeight="false" outlineLevel="0" collapsed="false">
      <c r="A101" s="0" t="s">
        <v>907</v>
      </c>
      <c r="B101" s="0" t="s">
        <v>852</v>
      </c>
      <c r="C101" s="14" t="n">
        <f aca="false">((C99+C100)+C95)</f>
        <v>0</v>
      </c>
      <c r="D101" s="14" t="n">
        <f aca="false">((D99+D100)+D95)</f>
        <v>0</v>
      </c>
      <c r="E101" s="14" t="n">
        <f aca="false">((E99+E100)+E95)</f>
        <v>0</v>
      </c>
      <c r="F101" s="14" t="n">
        <f aca="false">((F99+F100)+F95)</f>
        <v>0</v>
      </c>
      <c r="G101" s="14" t="n">
        <f aca="false">((G99+G100)+G95)</f>
        <v>0</v>
      </c>
      <c r="H101" s="14" t="n">
        <f aca="false">((H99+H100)+H95)</f>
        <v>0</v>
      </c>
      <c r="I101" s="14" t="n">
        <f aca="false">((I99+I100)+I95)</f>
        <v>0</v>
      </c>
      <c r="J101" s="14" t="n">
        <f aca="false">((J99+J100)+J95)</f>
        <v>0</v>
      </c>
      <c r="K101" s="14" t="n">
        <f aca="false">((K99+K100)+K95)</f>
        <v>0</v>
      </c>
      <c r="L101" s="14" t="n">
        <f aca="false">((L99+L100)+L95)</f>
        <v>0</v>
      </c>
      <c r="M101" s="14" t="n">
        <f aca="false">((M99+M100)+M95)</f>
        <v>0</v>
      </c>
      <c r="N101" s="14" t="n">
        <f aca="false">((N99+N100)+N95)</f>
        <v>0</v>
      </c>
      <c r="O101" s="14" t="n">
        <f aca="false">((O99+O100)+O95)</f>
        <v>0</v>
      </c>
      <c r="P101" s="14" t="n">
        <f aca="false">((P99+P100)+P95)</f>
        <v>0</v>
      </c>
      <c r="Q101" s="14" t="n">
        <f aca="false">((Q99+Q100)+Q95)</f>
        <v>0</v>
      </c>
      <c r="R101" s="14" t="n">
        <f aca="false">((R99+R100)+R95)</f>
        <v>0</v>
      </c>
      <c r="S101" s="14" t="n">
        <f aca="false">((S99+S100)+S95)</f>
        <v>0</v>
      </c>
      <c r="T101" s="14" t="n">
        <f aca="false">((T99+T100)+T95)</f>
        <v>0</v>
      </c>
      <c r="U101" s="14" t="n">
        <f aca="false">((U99+U100)+U95)</f>
        <v>0</v>
      </c>
      <c r="V101" s="14" t="n">
        <f aca="false">((V99+V100)+V95)</f>
        <v>0</v>
      </c>
      <c r="W101" s="14" t="n">
        <f aca="false">((W99+W100)+W95)</f>
        <v>0</v>
      </c>
      <c r="X101" s="14" t="n">
        <f aca="false">((X99+X100)+X95)</f>
        <v>0</v>
      </c>
      <c r="Y101" s="14" t="n">
        <f aca="false">((Y99+Y100)+Y95)</f>
        <v>0</v>
      </c>
      <c r="Z101" s="14" t="n">
        <f aca="false">((Z99+Z100)+Z95)</f>
        <v>0</v>
      </c>
      <c r="AA101" s="14" t="n">
        <f aca="false">((AA99+AA100)+AA95)</f>
        <v>0</v>
      </c>
      <c r="AB101" s="14" t="n">
        <f aca="false">((AB99+AB100)+AB95)</f>
        <v>0</v>
      </c>
      <c r="AC101" s="14" t="n">
        <f aca="false">((AC99+AC100)+AC95)</f>
        <v>0</v>
      </c>
      <c r="AD101" s="14" t="n">
        <f aca="false">((AD99+AD100)+AD95)</f>
        <v>0</v>
      </c>
      <c r="AE101" s="14" t="n">
        <f aca="false">((AE99+AE100)+AE95)</f>
        <v>0</v>
      </c>
      <c r="AF101" s="14" t="n">
        <f aca="false">((AF99+AF100)+AF95)</f>
        <v>0</v>
      </c>
      <c r="AG101" s="14" t="n">
        <f aca="false">((AG99+AG100)+AG95)</f>
        <v>0</v>
      </c>
      <c r="AH101" s="14" t="n">
        <f aca="false">((AH99+AH100)+AH95)</f>
        <v>0</v>
      </c>
      <c r="AI101" s="14" t="n">
        <f aca="false">((AI99+AI100)+AI95)</f>
        <v>0</v>
      </c>
      <c r="AJ101" s="14" t="n">
        <f aca="false">((AJ99+AJ100)+AJ95)</f>
        <v>0</v>
      </c>
      <c r="AK101" s="14" t="n">
        <f aca="false">((AK99+AK100)+AK95)</f>
        <v>0</v>
      </c>
      <c r="AL101" s="14" t="n">
        <f aca="false">((AL99+AL100)+AL95)</f>
        <v>1</v>
      </c>
      <c r="AN101" s="36" t="n">
        <f aca="false">SUM(C101:N101)</f>
        <v>0</v>
      </c>
      <c r="AO101" s="36" t="n">
        <f aca="false">SUM(O101:Z101)</f>
        <v>0</v>
      </c>
      <c r="AP101" s="36" t="n">
        <f aca="false">SUM(AA101:AL101)</f>
        <v>1</v>
      </c>
    </row>
    <row r="102" customFormat="false" ht="15" hidden="false" customHeight="false" outlineLevel="0" collapsed="false">
      <c r="A102" s="0" t="s">
        <v>908</v>
      </c>
      <c r="B102" s="0" t="s">
        <v>852</v>
      </c>
      <c r="C102" s="14" t="n">
        <f aca="false">(C101+(C45*0))</f>
        <v>0</v>
      </c>
      <c r="D102" s="14" t="n">
        <f aca="false">(D101+(D45*0))</f>
        <v>0</v>
      </c>
      <c r="E102" s="14" t="n">
        <f aca="false">(E101+(E45*0))</f>
        <v>0</v>
      </c>
      <c r="F102" s="14" t="n">
        <f aca="false">(F101+(F45*0))</f>
        <v>0</v>
      </c>
      <c r="G102" s="14" t="n">
        <f aca="false">(G101+(G45*0))</f>
        <v>0</v>
      </c>
      <c r="H102" s="14" t="n">
        <f aca="false">(H101+(H45*0))</f>
        <v>0</v>
      </c>
      <c r="I102" s="14" t="n">
        <f aca="false">(I101+(I45*0))</f>
        <v>0</v>
      </c>
      <c r="J102" s="14" t="n">
        <f aca="false">(J101+(J45*0))</f>
        <v>0</v>
      </c>
      <c r="K102" s="14" t="n">
        <f aca="false">(K101+(K45*0))</f>
        <v>0</v>
      </c>
      <c r="L102" s="14" t="n">
        <f aca="false">(L101+(L45*0))</f>
        <v>0</v>
      </c>
      <c r="M102" s="14" t="n">
        <f aca="false">(M101+(M45*0))</f>
        <v>0</v>
      </c>
      <c r="N102" s="14" t="n">
        <f aca="false">(N101+(N45*0))</f>
        <v>0</v>
      </c>
      <c r="O102" s="14" t="n">
        <f aca="false">(O101+(O45*C102))</f>
        <v>0</v>
      </c>
      <c r="P102" s="14" t="n">
        <f aca="false">(P101+(P45*D102))</f>
        <v>0</v>
      </c>
      <c r="Q102" s="14" t="n">
        <f aca="false">(Q101+(Q45*E102))</f>
        <v>0</v>
      </c>
      <c r="R102" s="14" t="n">
        <f aca="false">(R101+(R45*F102))</f>
        <v>0</v>
      </c>
      <c r="S102" s="14" t="n">
        <f aca="false">(S101+(S45*G102))</f>
        <v>0</v>
      </c>
      <c r="T102" s="14" t="n">
        <f aca="false">(T101+(T45*H102))</f>
        <v>0</v>
      </c>
      <c r="U102" s="14" t="n">
        <f aca="false">(U101+(U45*I102))</f>
        <v>0</v>
      </c>
      <c r="V102" s="14" t="n">
        <f aca="false">(V101+(V45*J102))</f>
        <v>0</v>
      </c>
      <c r="W102" s="14" t="n">
        <f aca="false">(W101+(W45*K102))</f>
        <v>0</v>
      </c>
      <c r="X102" s="14" t="n">
        <f aca="false">(X101+(X45*L102))</f>
        <v>0</v>
      </c>
      <c r="Y102" s="14" t="n">
        <f aca="false">(Y101+(Y45*M102))</f>
        <v>0</v>
      </c>
      <c r="Z102" s="14" t="n">
        <f aca="false">(Z101+(Z45*N102))</f>
        <v>0</v>
      </c>
      <c r="AA102" s="14" t="n">
        <f aca="false">(AA101+(AA45*O102))</f>
        <v>0</v>
      </c>
      <c r="AB102" s="14" t="n">
        <f aca="false">(AB101+(AB45*P102))</f>
        <v>0</v>
      </c>
      <c r="AC102" s="14" t="n">
        <f aca="false">(AC101+(AC45*Q102))</f>
        <v>0</v>
      </c>
      <c r="AD102" s="14" t="n">
        <f aca="false">(AD101+(AD45*R102))</f>
        <v>0</v>
      </c>
      <c r="AE102" s="14" t="n">
        <f aca="false">(AE101+(AE45*S102))</f>
        <v>0</v>
      </c>
      <c r="AF102" s="14" t="n">
        <f aca="false">(AF101+(AF45*T102))</f>
        <v>0</v>
      </c>
      <c r="AG102" s="14" t="n">
        <f aca="false">(AG101+(AG45*U102))</f>
        <v>0</v>
      </c>
      <c r="AH102" s="14" t="n">
        <f aca="false">(AH101+(AH45*V102))</f>
        <v>0</v>
      </c>
      <c r="AI102" s="14" t="n">
        <f aca="false">(AI101+(AI45*W102))</f>
        <v>0</v>
      </c>
      <c r="AJ102" s="14" t="n">
        <f aca="false">(AJ101+(AJ45*X102))</f>
        <v>0</v>
      </c>
      <c r="AK102" s="14" t="n">
        <f aca="false">(AK101+(AK45*Y102))</f>
        <v>0</v>
      </c>
      <c r="AL102" s="14" t="n">
        <f aca="false">(AL101+(AL45*Z102))</f>
        <v>1</v>
      </c>
      <c r="AN102" s="36" t="n">
        <f aca="false">SUM(C102:N102)</f>
        <v>0</v>
      </c>
      <c r="AO102" s="36" t="n">
        <f aca="false">SUM(O102:Z102)</f>
        <v>0</v>
      </c>
      <c r="AP102" s="36" t="n">
        <f aca="false">SUM(AA102:AL102)</f>
        <v>1</v>
      </c>
    </row>
    <row r="103" customFormat="false" ht="15" hidden="false" customHeight="false" outlineLevel="0" collapsed="false">
      <c r="A103" s="0" t="s">
        <v>909</v>
      </c>
      <c r="B103" s="0" t="s">
        <v>852</v>
      </c>
      <c r="C103" s="14" t="n">
        <f aca="false">C102</f>
        <v>0</v>
      </c>
      <c r="D103" s="14" t="n">
        <f aca="false">SUM(C102:D102)</f>
        <v>0</v>
      </c>
      <c r="E103" s="14" t="n">
        <f aca="false">SUM(C102:E102)</f>
        <v>0</v>
      </c>
      <c r="F103" s="14" t="n">
        <f aca="false">SUM(C102:F102)</f>
        <v>0</v>
      </c>
      <c r="G103" s="14" t="n">
        <f aca="false">SUM(C102:G102)</f>
        <v>0</v>
      </c>
      <c r="H103" s="14" t="n">
        <f aca="false">SUM(C102:H102)</f>
        <v>0</v>
      </c>
      <c r="I103" s="14" t="n">
        <f aca="false">SUM(C102:I102)</f>
        <v>0</v>
      </c>
      <c r="J103" s="14" t="n">
        <f aca="false">SUM(C102:J102)</f>
        <v>0</v>
      </c>
      <c r="K103" s="14" t="n">
        <f aca="false">SUM(C102:K102)</f>
        <v>0</v>
      </c>
      <c r="L103" s="14" t="n">
        <f aca="false">SUM(C102:L102)</f>
        <v>0</v>
      </c>
      <c r="M103" s="14" t="n">
        <f aca="false">SUM(C102:M102)</f>
        <v>0</v>
      </c>
      <c r="N103" s="14" t="n">
        <f aca="false">SUM(C102:N102)</f>
        <v>0</v>
      </c>
      <c r="O103" s="14" t="n">
        <f aca="false">SUM(D102:O102)</f>
        <v>0</v>
      </c>
      <c r="P103" s="14" t="n">
        <f aca="false">SUM(E102:P102)</f>
        <v>0</v>
      </c>
      <c r="Q103" s="14" t="n">
        <f aca="false">SUM(F102:Q102)</f>
        <v>0</v>
      </c>
      <c r="R103" s="14" t="n">
        <f aca="false">SUM(G102:R102)</f>
        <v>0</v>
      </c>
      <c r="S103" s="14" t="n">
        <f aca="false">SUM(H102:S102)</f>
        <v>0</v>
      </c>
      <c r="T103" s="14" t="n">
        <f aca="false">SUM(I102:T102)</f>
        <v>0</v>
      </c>
      <c r="U103" s="14" t="n">
        <f aca="false">SUM(J102:U102)</f>
        <v>0</v>
      </c>
      <c r="V103" s="14" t="n">
        <f aca="false">SUM(K102:V102)</f>
        <v>0</v>
      </c>
      <c r="W103" s="14" t="n">
        <f aca="false">SUM(L102:W102)</f>
        <v>0</v>
      </c>
      <c r="X103" s="14" t="n">
        <f aca="false">SUM(M102:X102)</f>
        <v>0</v>
      </c>
      <c r="Y103" s="14" t="n">
        <f aca="false">SUM(N102:Y102)</f>
        <v>0</v>
      </c>
      <c r="Z103" s="14" t="n">
        <f aca="false">SUM(O102:Z102)</f>
        <v>0</v>
      </c>
      <c r="AA103" s="14" t="n">
        <f aca="false">SUM(P102:AA102)</f>
        <v>0</v>
      </c>
      <c r="AB103" s="14" t="n">
        <f aca="false">SUM(Q102:AB102)</f>
        <v>0</v>
      </c>
      <c r="AC103" s="14" t="n">
        <f aca="false">SUM(R102:AC102)</f>
        <v>0</v>
      </c>
      <c r="AD103" s="14" t="n">
        <f aca="false">SUM(S102:AD102)</f>
        <v>0</v>
      </c>
      <c r="AE103" s="14" t="n">
        <f aca="false">SUM(T102:AE102)</f>
        <v>0</v>
      </c>
      <c r="AF103" s="14" t="n">
        <f aca="false">SUM(U102:AF102)</f>
        <v>0</v>
      </c>
      <c r="AG103" s="14" t="n">
        <f aca="false">SUM(V102:AG102)</f>
        <v>0</v>
      </c>
      <c r="AH103" s="14" t="n">
        <f aca="false">SUM(W102:AH102)</f>
        <v>0</v>
      </c>
      <c r="AI103" s="14" t="n">
        <f aca="false">SUM(X102:AI102)</f>
        <v>0</v>
      </c>
      <c r="AJ103" s="14" t="n">
        <f aca="false">SUM(Y102:AJ102)</f>
        <v>0</v>
      </c>
      <c r="AK103" s="14" t="n">
        <f aca="false">SUM(Z102:AK102)</f>
        <v>0</v>
      </c>
      <c r="AL103" s="14" t="n">
        <f aca="false">SUM(AA102:AL102)</f>
        <v>1</v>
      </c>
      <c r="AN103" s="36" t="n">
        <f aca="false">N103</f>
        <v>0</v>
      </c>
      <c r="AO103" s="36" t="n">
        <f aca="false">Z103</f>
        <v>0</v>
      </c>
      <c r="AP103" s="36" t="n">
        <f aca="false">AL103</f>
        <v>1</v>
      </c>
    </row>
    <row r="104" customFormat="false" ht="15" hidden="false" customHeight="false" outlineLevel="0" collapsed="false">
      <c r="A104" s="0" t="s">
        <v>910</v>
      </c>
      <c r="B104" s="0" t="s">
        <v>230</v>
      </c>
      <c r="C104" s="9" t="n">
        <f aca="false">((Assumptions!$E$121*(1-Assumptions!$C$29))*$C$10)</f>
        <v>193600</v>
      </c>
      <c r="D104" s="9" t="n">
        <f aca="false">((Assumptions!$E$121*(1-Assumptions!$C$29))*$C$10)</f>
        <v>193600</v>
      </c>
      <c r="E104" s="9" t="n">
        <f aca="false">((Assumptions!$E$121*(1-Assumptions!$C$29))*$C$10)</f>
        <v>193600</v>
      </c>
      <c r="F104" s="9" t="n">
        <f aca="false">((Assumptions!$E$121*(1-Assumptions!$C$29))*$C$10)</f>
        <v>193600</v>
      </c>
      <c r="G104" s="9" t="n">
        <f aca="false">((Assumptions!$E$121*(1-Assumptions!$C$29))*$C$10)</f>
        <v>193600</v>
      </c>
      <c r="H104" s="9" t="n">
        <f aca="false">((Assumptions!$E$121*(1-Assumptions!$C$29))*$C$10)</f>
        <v>193600</v>
      </c>
      <c r="I104" s="9" t="n">
        <f aca="false">((Assumptions!$E$121*(1-Assumptions!$C$29))*$C$10)</f>
        <v>193600</v>
      </c>
      <c r="J104" s="9" t="n">
        <f aca="false">((Assumptions!$E$121*(1-Assumptions!$C$29))*$C$10)</f>
        <v>193600</v>
      </c>
      <c r="K104" s="9" t="n">
        <f aca="false">((Assumptions!$E$121*(1-Assumptions!$C$29))*$C$10)</f>
        <v>193600</v>
      </c>
      <c r="L104" s="9" t="n">
        <f aca="false">((Assumptions!$E$121*(1-Assumptions!$C$29))*$C$10)</f>
        <v>193600</v>
      </c>
      <c r="M104" s="9" t="n">
        <f aca="false">((Assumptions!$E$121*(1-Assumptions!$C$29))*$C$10)</f>
        <v>193600</v>
      </c>
      <c r="N104" s="9" t="n">
        <f aca="false">((Assumptions!$E$121*(1-Assumptions!$C$29))*$C$10)</f>
        <v>193600</v>
      </c>
      <c r="O104" s="9" t="n">
        <f aca="false">((Assumptions!$E$121*(1-Assumptions!$C$29))*$C$10)</f>
        <v>193600</v>
      </c>
      <c r="P104" s="9" t="n">
        <f aca="false">((Assumptions!$E$121*(1-Assumptions!$C$29))*$C$10)</f>
        <v>193600</v>
      </c>
      <c r="Q104" s="9" t="n">
        <f aca="false">((Assumptions!$E$121*(1-Assumptions!$C$29))*$C$10)</f>
        <v>193600</v>
      </c>
      <c r="R104" s="9" t="n">
        <f aca="false">((Assumptions!$E$121*(1-Assumptions!$C$29))*$C$10)</f>
        <v>193600</v>
      </c>
      <c r="S104" s="9" t="n">
        <f aca="false">((Assumptions!$E$121*(1-Assumptions!$C$29))*$C$10)</f>
        <v>193600</v>
      </c>
      <c r="T104" s="9" t="n">
        <f aca="false">((Assumptions!$E$121*(1-Assumptions!$C$29))*$C$10)</f>
        <v>193600</v>
      </c>
      <c r="U104" s="9" t="n">
        <f aca="false">((Assumptions!$E$121*(1-Assumptions!$C$29))*$C$10)</f>
        <v>193600</v>
      </c>
      <c r="V104" s="9" t="n">
        <f aca="false">((Assumptions!$E$121*(1-Assumptions!$C$29))*$C$10)</f>
        <v>193600</v>
      </c>
      <c r="W104" s="9" t="n">
        <f aca="false">((Assumptions!$E$121*(1-Assumptions!$C$29))*$C$10)</f>
        <v>193600</v>
      </c>
      <c r="X104" s="9" t="n">
        <f aca="false">((Assumptions!$E$121*(1-Assumptions!$C$29))*$C$10)</f>
        <v>193600</v>
      </c>
      <c r="Y104" s="9" t="n">
        <f aca="false">((Assumptions!$E$121*(1-Assumptions!$C$29))*$C$10)</f>
        <v>193600</v>
      </c>
      <c r="Z104" s="9" t="n">
        <f aca="false">((Assumptions!$E$121*(1-Assumptions!$C$29))*$C$10)</f>
        <v>193600</v>
      </c>
      <c r="AA104" s="9" t="n">
        <f aca="false">((Assumptions!$E$121*(1-Assumptions!$C$29))*$C$10)</f>
        <v>193600</v>
      </c>
      <c r="AB104" s="9" t="n">
        <f aca="false">((Assumptions!$E$121*(1-Assumptions!$C$29))*$C$10)</f>
        <v>193600</v>
      </c>
      <c r="AC104" s="9" t="n">
        <f aca="false">((Assumptions!$E$121*(1-Assumptions!$C$29))*$C$10)</f>
        <v>193600</v>
      </c>
      <c r="AD104" s="9" t="n">
        <f aca="false">((Assumptions!$E$121*(1-Assumptions!$C$29))*$C$10)</f>
        <v>193600</v>
      </c>
      <c r="AE104" s="9" t="n">
        <f aca="false">((Assumptions!$E$121*(1-Assumptions!$C$29))*$C$10)</f>
        <v>193600</v>
      </c>
      <c r="AF104" s="9" t="n">
        <f aca="false">((Assumptions!$E$121*(1-Assumptions!$C$29))*$C$10)</f>
        <v>193600</v>
      </c>
      <c r="AG104" s="9" t="n">
        <f aca="false">((Assumptions!$E$121*(1-Assumptions!$C$29))*$C$10)</f>
        <v>193600</v>
      </c>
      <c r="AH104" s="9" t="n">
        <f aca="false">((Assumptions!$E$121*(1-Assumptions!$C$29))*$C$10)</f>
        <v>193600</v>
      </c>
      <c r="AI104" s="9" t="n">
        <f aca="false">((Assumptions!$E$121*(1-Assumptions!$C$29))*$C$10)</f>
        <v>193600</v>
      </c>
      <c r="AJ104" s="9" t="n">
        <f aca="false">((Assumptions!$E$121*(1-Assumptions!$C$29))*$C$10)</f>
        <v>193600</v>
      </c>
      <c r="AK104" s="9" t="n">
        <f aca="false">((Assumptions!$E$121*(1-Assumptions!$C$29))*$C$10)</f>
        <v>193600</v>
      </c>
      <c r="AL104" s="9" t="n">
        <f aca="false">((Assumptions!$E$121*(1-Assumptions!$C$29))*$C$10)</f>
        <v>193600</v>
      </c>
    </row>
    <row r="105" customFormat="false" ht="15" hidden="false" customHeight="false" outlineLevel="0" collapsed="false">
      <c r="A105" s="0" t="s">
        <v>911</v>
      </c>
      <c r="B105" s="0" t="s">
        <v>230</v>
      </c>
      <c r="C105" s="9" t="n">
        <f aca="false">((C101*C104)+((C45*(1+Assumptions!$C$31))*0))</f>
        <v>0</v>
      </c>
      <c r="D105" s="9" t="n">
        <f aca="false">((D101*D104)+((D45*(1+Assumptions!$C$31))*0))</f>
        <v>0</v>
      </c>
      <c r="E105" s="9" t="n">
        <f aca="false">((E101*E104)+((E45*(1+Assumptions!$C$31))*0))</f>
        <v>0</v>
      </c>
      <c r="F105" s="9" t="n">
        <f aca="false">((F101*F104)+((F45*(1+Assumptions!$C$31))*0))</f>
        <v>0</v>
      </c>
      <c r="G105" s="9" t="n">
        <f aca="false">((G101*G104)+((G45*(1+Assumptions!$C$31))*0))</f>
        <v>0</v>
      </c>
      <c r="H105" s="9" t="n">
        <f aca="false">((H101*H104)+((H45*(1+Assumptions!$C$31))*0))</f>
        <v>0</v>
      </c>
      <c r="I105" s="9" t="n">
        <f aca="false">((I101*I104)+((I45*(1+Assumptions!$C$31))*0))</f>
        <v>0</v>
      </c>
      <c r="J105" s="9" t="n">
        <f aca="false">((J101*J104)+((J45*(1+Assumptions!$C$31))*0))</f>
        <v>0</v>
      </c>
      <c r="K105" s="9" t="n">
        <f aca="false">((K101*K104)+((K45*(1+Assumptions!$C$31))*0))</f>
        <v>0</v>
      </c>
      <c r="L105" s="9" t="n">
        <f aca="false">((L101*L104)+((L45*(1+Assumptions!$C$31))*0))</f>
        <v>0</v>
      </c>
      <c r="M105" s="9" t="n">
        <f aca="false">((M101*M104)+((M45*(1+Assumptions!$C$31))*0))</f>
        <v>0</v>
      </c>
      <c r="N105" s="9" t="n">
        <f aca="false">((N101*N104)+((N45*(1+Assumptions!$C$31))*0))</f>
        <v>0</v>
      </c>
      <c r="O105" s="9" t="n">
        <f aca="false">((O101*O104)+((O45*(1+Assumptions!$C$31))*C105))</f>
        <v>0</v>
      </c>
      <c r="P105" s="9" t="n">
        <f aca="false">((P101*P104)+((P45*(1+Assumptions!$C$31))*D105))</f>
        <v>0</v>
      </c>
      <c r="Q105" s="9" t="n">
        <f aca="false">((Q101*Q104)+((Q45*(1+Assumptions!$C$31))*E105))</f>
        <v>0</v>
      </c>
      <c r="R105" s="9" t="n">
        <f aca="false">((R101*R104)+((R45*(1+Assumptions!$C$31))*F105))</f>
        <v>0</v>
      </c>
      <c r="S105" s="9" t="n">
        <f aca="false">((S101*S104)+((S45*(1+Assumptions!$C$31))*G105))</f>
        <v>0</v>
      </c>
      <c r="T105" s="9" t="n">
        <f aca="false">((T101*T104)+((T45*(1+Assumptions!$C$31))*H105))</f>
        <v>0</v>
      </c>
      <c r="U105" s="9" t="n">
        <f aca="false">((U101*U104)+((U45*(1+Assumptions!$C$31))*I105))</f>
        <v>0</v>
      </c>
      <c r="V105" s="9" t="n">
        <f aca="false">((V101*V104)+((V45*(1+Assumptions!$C$31))*J105))</f>
        <v>0</v>
      </c>
      <c r="W105" s="9" t="n">
        <f aca="false">((W101*W104)+((W45*(1+Assumptions!$C$31))*K105))</f>
        <v>0</v>
      </c>
      <c r="X105" s="9" t="n">
        <f aca="false">((X101*X104)+((X45*(1+Assumptions!$C$31))*L105))</f>
        <v>0</v>
      </c>
      <c r="Y105" s="9" t="n">
        <f aca="false">((Y101*Y104)+((Y45*(1+Assumptions!$C$31))*M105))</f>
        <v>0</v>
      </c>
      <c r="Z105" s="9" t="n">
        <f aca="false">((Z101*Z104)+((Z45*(1+Assumptions!$C$31))*N105))</f>
        <v>0</v>
      </c>
      <c r="AA105" s="9" t="n">
        <f aca="false">((AA101*AA104)+((AA45*(1+Assumptions!$C$31))*O105))</f>
        <v>0</v>
      </c>
      <c r="AB105" s="9" t="n">
        <f aca="false">((AB101*AB104)+((AB45*(1+Assumptions!$C$31))*P105))</f>
        <v>0</v>
      </c>
      <c r="AC105" s="9" t="n">
        <f aca="false">((AC101*AC104)+((AC45*(1+Assumptions!$C$31))*Q105))</f>
        <v>0</v>
      </c>
      <c r="AD105" s="9" t="n">
        <f aca="false">((AD101*AD104)+((AD45*(1+Assumptions!$C$31))*R105))</f>
        <v>0</v>
      </c>
      <c r="AE105" s="9" t="n">
        <f aca="false">((AE101*AE104)+((AE45*(1+Assumptions!$C$31))*S105))</f>
        <v>0</v>
      </c>
      <c r="AF105" s="9" t="n">
        <f aca="false">((AF101*AF104)+((AF45*(1+Assumptions!$C$31))*T105))</f>
        <v>0</v>
      </c>
      <c r="AG105" s="9" t="n">
        <f aca="false">((AG101*AG104)+((AG45*(1+Assumptions!$C$31))*U105))</f>
        <v>0</v>
      </c>
      <c r="AH105" s="9" t="n">
        <f aca="false">((AH101*AH104)+((AH45*(1+Assumptions!$C$31))*V105))</f>
        <v>0</v>
      </c>
      <c r="AI105" s="9" t="n">
        <f aca="false">((AI101*AI104)+((AI45*(1+Assumptions!$C$31))*W105))</f>
        <v>0</v>
      </c>
      <c r="AJ105" s="9" t="n">
        <f aca="false">((AJ101*AJ104)+((AJ45*(1+Assumptions!$C$31))*X105))</f>
        <v>0</v>
      </c>
      <c r="AK105" s="9" t="n">
        <f aca="false">((AK101*AK104)+((AK45*(1+Assumptions!$C$31))*Y105))</f>
        <v>0</v>
      </c>
      <c r="AL105" s="9" t="n">
        <f aca="false">((AL101*AL104)+((AL45*(1+Assumptions!$C$31))*Z105))</f>
        <v>193600</v>
      </c>
      <c r="AN105" s="11" t="n">
        <f aca="false">SUM(C105:N105)</f>
        <v>0</v>
      </c>
      <c r="AO105" s="11" t="n">
        <f aca="false">SUM(O105:Z105)</f>
        <v>0</v>
      </c>
      <c r="AP105" s="11" t="n">
        <f aca="false">SUM(AA105:AL105)</f>
        <v>193600</v>
      </c>
    </row>
    <row r="106" customFormat="false" ht="15" hidden="false" customHeight="false" outlineLevel="0" collapsed="false">
      <c r="A106" s="0" t="s">
        <v>912</v>
      </c>
      <c r="B106" s="0" t="s">
        <v>230</v>
      </c>
      <c r="C106" s="9" t="n">
        <f aca="false">(Assumptions!$E$126*C99)</f>
        <v>0</v>
      </c>
      <c r="D106" s="9" t="n">
        <f aca="false">(Assumptions!$E$126*D99)</f>
        <v>0</v>
      </c>
      <c r="E106" s="9" t="n">
        <f aca="false">(Assumptions!$E$126*E99)</f>
        <v>0</v>
      </c>
      <c r="F106" s="9" t="n">
        <f aca="false">(Assumptions!$E$126*F99)</f>
        <v>0</v>
      </c>
      <c r="G106" s="9" t="n">
        <f aca="false">(Assumptions!$E$126*G99)</f>
        <v>0</v>
      </c>
      <c r="H106" s="9" t="n">
        <f aca="false">(Assumptions!$E$126*H99)</f>
        <v>0</v>
      </c>
      <c r="I106" s="9" t="n">
        <f aca="false">(Assumptions!$E$126*I99)</f>
        <v>0</v>
      </c>
      <c r="J106" s="9" t="n">
        <f aca="false">(Assumptions!$E$126*J99)</f>
        <v>0</v>
      </c>
      <c r="K106" s="9" t="n">
        <f aca="false">(Assumptions!$E$126*K99)</f>
        <v>0</v>
      </c>
      <c r="L106" s="9" t="n">
        <f aca="false">(Assumptions!$E$126*L99)</f>
        <v>0</v>
      </c>
      <c r="M106" s="9" t="n">
        <f aca="false">(Assumptions!$E$126*M99)</f>
        <v>0</v>
      </c>
      <c r="N106" s="9" t="n">
        <f aca="false">(Assumptions!$E$126*N99)</f>
        <v>0</v>
      </c>
      <c r="O106" s="9" t="n">
        <f aca="false">(Assumptions!$E$126*O99)</f>
        <v>0</v>
      </c>
      <c r="P106" s="9" t="n">
        <f aca="false">(Assumptions!$E$126*P99)</f>
        <v>0</v>
      </c>
      <c r="Q106" s="9" t="n">
        <f aca="false">(Assumptions!$E$126*Q99)</f>
        <v>0</v>
      </c>
      <c r="R106" s="9" t="n">
        <f aca="false">(Assumptions!$E$126*R99)</f>
        <v>0</v>
      </c>
      <c r="S106" s="9" t="n">
        <f aca="false">(Assumptions!$E$126*S99)</f>
        <v>0</v>
      </c>
      <c r="T106" s="9" t="n">
        <f aca="false">(Assumptions!$E$126*T99)</f>
        <v>0</v>
      </c>
      <c r="U106" s="9" t="n">
        <f aca="false">(Assumptions!$E$126*U99)</f>
        <v>0</v>
      </c>
      <c r="V106" s="9" t="n">
        <f aca="false">(Assumptions!$E$126*V99)</f>
        <v>0</v>
      </c>
      <c r="W106" s="9" t="n">
        <f aca="false">(Assumptions!$E$126*W99)</f>
        <v>0</v>
      </c>
      <c r="X106" s="9" t="n">
        <f aca="false">(Assumptions!$E$126*X99)</f>
        <v>0</v>
      </c>
      <c r="Y106" s="9" t="n">
        <f aca="false">(Assumptions!$E$126*Y99)</f>
        <v>0</v>
      </c>
      <c r="Z106" s="9" t="n">
        <f aca="false">(Assumptions!$E$126*Z99)</f>
        <v>0</v>
      </c>
      <c r="AA106" s="9" t="n">
        <f aca="false">(Assumptions!$E$126*AA99)</f>
        <v>0</v>
      </c>
      <c r="AB106" s="9" t="n">
        <f aca="false">(Assumptions!$E$126*AB99)</f>
        <v>0</v>
      </c>
      <c r="AC106" s="9" t="n">
        <f aca="false">(Assumptions!$E$126*AC99)</f>
        <v>0</v>
      </c>
      <c r="AD106" s="9" t="n">
        <f aca="false">(Assumptions!$E$126*AD99)</f>
        <v>0</v>
      </c>
      <c r="AE106" s="9" t="n">
        <f aca="false">(Assumptions!$E$126*AE99)</f>
        <v>0</v>
      </c>
      <c r="AF106" s="9" t="n">
        <f aca="false">(Assumptions!$E$126*AF99)</f>
        <v>0</v>
      </c>
      <c r="AG106" s="9" t="n">
        <f aca="false">(Assumptions!$E$126*AG99)</f>
        <v>0</v>
      </c>
      <c r="AH106" s="9" t="n">
        <f aca="false">(Assumptions!$E$126*AH99)</f>
        <v>0</v>
      </c>
      <c r="AI106" s="9" t="n">
        <f aca="false">(Assumptions!$E$126*AI99)</f>
        <v>0</v>
      </c>
      <c r="AJ106" s="9" t="n">
        <f aca="false">(Assumptions!$E$126*AJ99)</f>
        <v>0</v>
      </c>
      <c r="AK106" s="9" t="n">
        <f aca="false">(Assumptions!$E$126*AK99)</f>
        <v>0</v>
      </c>
      <c r="AL106" s="9" t="n">
        <f aca="false">(Assumptions!$E$126*AL99)</f>
        <v>0</v>
      </c>
      <c r="AN106" s="11" t="n">
        <f aca="false">SUM(C106:N106)</f>
        <v>0</v>
      </c>
      <c r="AO106" s="11" t="n">
        <f aca="false">SUM(O106:Z106)</f>
        <v>0</v>
      </c>
      <c r="AP106" s="11" t="n">
        <f aca="false">SUM(AA106:AL106)</f>
        <v>0</v>
      </c>
    </row>
    <row r="107" customFormat="false" ht="15" hidden="false" customHeight="false" outlineLevel="0" collapsed="false">
      <c r="A107" s="0" t="s">
        <v>913</v>
      </c>
      <c r="B107" s="0" t="s">
        <v>230</v>
      </c>
      <c r="C107" s="9" t="n">
        <f aca="false">((C105-C106)/12)</f>
        <v>0</v>
      </c>
      <c r="D107" s="9" t="n">
        <f aca="false">((SUM(C105:D105)-SUM(C106:D106))/12)</f>
        <v>0</v>
      </c>
      <c r="E107" s="9" t="n">
        <f aca="false">((SUM(C105:E105)-SUM(C106:E106))/12)</f>
        <v>0</v>
      </c>
      <c r="F107" s="9" t="n">
        <f aca="false">((SUM(C105:F105)-SUM(C106:F106))/12)</f>
        <v>0</v>
      </c>
      <c r="G107" s="9" t="n">
        <f aca="false">((SUM(C105:G105)-SUM(C106:G106))/12)</f>
        <v>0</v>
      </c>
      <c r="H107" s="9" t="n">
        <f aca="false">((SUM(C105:H105)-SUM(C106:H106))/12)</f>
        <v>0</v>
      </c>
      <c r="I107" s="9" t="n">
        <f aca="false">((SUM(C105:I105)-SUM(C106:I106))/12)</f>
        <v>0</v>
      </c>
      <c r="J107" s="9" t="n">
        <f aca="false">((SUM(C105:J105)-SUM(C106:J106))/12)</f>
        <v>0</v>
      </c>
      <c r="K107" s="9" t="n">
        <f aca="false">((SUM(C105:K105)-SUM(C106:K106))/12)</f>
        <v>0</v>
      </c>
      <c r="L107" s="9" t="n">
        <f aca="false">((SUM(C105:L105)-SUM(C106:L106))/12)</f>
        <v>0</v>
      </c>
      <c r="M107" s="9" t="n">
        <f aca="false">((SUM(C105:M105)-SUM(C106:M106))/12)</f>
        <v>0</v>
      </c>
      <c r="N107" s="9" t="n">
        <f aca="false">((SUM(C105:N105)-SUM(C106:N106))/12)</f>
        <v>0</v>
      </c>
      <c r="O107" s="9" t="n">
        <f aca="false">((SUM(D105:O105)-SUM(D106:O106))/12)</f>
        <v>0</v>
      </c>
      <c r="P107" s="9" t="n">
        <f aca="false">((SUM(E105:P105)-SUM(E106:P106))/12)</f>
        <v>0</v>
      </c>
      <c r="Q107" s="9" t="n">
        <f aca="false">((SUM(F105:Q105)-SUM(F106:Q106))/12)</f>
        <v>0</v>
      </c>
      <c r="R107" s="9" t="n">
        <f aca="false">((SUM(G105:R105)-SUM(G106:R106))/12)</f>
        <v>0</v>
      </c>
      <c r="S107" s="9" t="n">
        <f aca="false">((SUM(H105:S105)-SUM(H106:S106))/12)</f>
        <v>0</v>
      </c>
      <c r="T107" s="9" t="n">
        <f aca="false">((SUM(I105:T105)-SUM(I106:T106))/12)</f>
        <v>0</v>
      </c>
      <c r="U107" s="9" t="n">
        <f aca="false">((SUM(J105:U105)-SUM(J106:U106))/12)</f>
        <v>0</v>
      </c>
      <c r="V107" s="9" t="n">
        <f aca="false">((SUM(K105:V105)-SUM(K106:V106))/12)</f>
        <v>0</v>
      </c>
      <c r="W107" s="9" t="n">
        <f aca="false">((SUM(L105:W105)-SUM(L106:W106))/12)</f>
        <v>0</v>
      </c>
      <c r="X107" s="9" t="n">
        <f aca="false">((SUM(M105:X105)-SUM(M106:X106))/12)</f>
        <v>0</v>
      </c>
      <c r="Y107" s="9" t="n">
        <f aca="false">((SUM(N105:Y105)-SUM(N106:Y106))/12)</f>
        <v>0</v>
      </c>
      <c r="Z107" s="9" t="n">
        <f aca="false">((SUM(O105:Z105)-SUM(O106:Z106))/12)</f>
        <v>0</v>
      </c>
      <c r="AA107" s="9" t="n">
        <f aca="false">((SUM(P105:AA105)-SUM(P106:AA106))/12)</f>
        <v>0</v>
      </c>
      <c r="AB107" s="9" t="n">
        <f aca="false">((SUM(Q105:AB105)-SUM(Q106:AB106))/12)</f>
        <v>0</v>
      </c>
      <c r="AC107" s="9" t="n">
        <f aca="false">((SUM(R105:AC105)-SUM(R106:AC106))/12)</f>
        <v>0</v>
      </c>
      <c r="AD107" s="9" t="n">
        <f aca="false">((SUM(S105:AD105)-SUM(S106:AD106))/12)</f>
        <v>0</v>
      </c>
      <c r="AE107" s="9" t="n">
        <f aca="false">((SUM(T105:AE105)-SUM(T106:AE106))/12)</f>
        <v>0</v>
      </c>
      <c r="AF107" s="9" t="n">
        <f aca="false">((SUM(U105:AF105)-SUM(U106:AF106))/12)</f>
        <v>0</v>
      </c>
      <c r="AG107" s="9" t="n">
        <f aca="false">((SUM(V105:AG105)-SUM(V106:AG106))/12)</f>
        <v>0</v>
      </c>
      <c r="AH107" s="9" t="n">
        <f aca="false">((SUM(W105:AH105)-SUM(W106:AH106))/12)</f>
        <v>0</v>
      </c>
      <c r="AI107" s="9" t="n">
        <f aca="false">((SUM(X105:AI105)-SUM(X106:AI106))/12)</f>
        <v>0</v>
      </c>
      <c r="AJ107" s="9" t="n">
        <f aca="false">((SUM(Y105:AJ105)-SUM(Y106:AJ106))/12)</f>
        <v>0</v>
      </c>
      <c r="AK107" s="9" t="n">
        <f aca="false">((SUM(Z105:AK105)-SUM(Z106:AK106))/12)</f>
        <v>0</v>
      </c>
      <c r="AL107" s="9" t="n">
        <f aca="false">((SUM(AA105:AL105)-SUM(AA106:AL106))/12)</f>
        <v>16133.3333333333</v>
      </c>
      <c r="AN107" s="11" t="n">
        <f aca="false">SUM(C107:N107)</f>
        <v>0</v>
      </c>
      <c r="AO107" s="11" t="n">
        <f aca="false">SUM(O107:Z107)</f>
        <v>0</v>
      </c>
      <c r="AP107" s="11" t="n">
        <f aca="false">SUM(AA107:AL107)</f>
        <v>16133.3333333333</v>
      </c>
    </row>
    <row r="108" customFormat="false" ht="15" hidden="false" customHeight="false" outlineLevel="0" collapsed="false">
      <c r="A108" s="0" t="s">
        <v>914</v>
      </c>
      <c r="B108" s="0" t="s">
        <v>230</v>
      </c>
      <c r="C108" s="9" t="n">
        <f aca="false">(C105-C106)</f>
        <v>0</v>
      </c>
      <c r="D108" s="9" t="n">
        <f aca="false">(D105-D106)</f>
        <v>0</v>
      </c>
      <c r="E108" s="9" t="n">
        <f aca="false">(E105-E106)</f>
        <v>0</v>
      </c>
      <c r="F108" s="9" t="n">
        <f aca="false">(F105-F106)</f>
        <v>0</v>
      </c>
      <c r="G108" s="9" t="n">
        <f aca="false">(G105-G106)</f>
        <v>0</v>
      </c>
      <c r="H108" s="9" t="n">
        <f aca="false">(H105-H106)</f>
        <v>0</v>
      </c>
      <c r="I108" s="9" t="n">
        <f aca="false">(I105-I106)</f>
        <v>0</v>
      </c>
      <c r="J108" s="9" t="n">
        <f aca="false">(J105-J106)</f>
        <v>0</v>
      </c>
      <c r="K108" s="9" t="n">
        <f aca="false">(K105-K106)</f>
        <v>0</v>
      </c>
      <c r="L108" s="9" t="n">
        <f aca="false">(L105-L106)</f>
        <v>0</v>
      </c>
      <c r="M108" s="9" t="n">
        <f aca="false">(M105-M106)</f>
        <v>0</v>
      </c>
      <c r="N108" s="9" t="n">
        <f aca="false">(N105-N106)</f>
        <v>0</v>
      </c>
      <c r="O108" s="9" t="n">
        <f aca="false">(O105-O106)</f>
        <v>0</v>
      </c>
      <c r="P108" s="9" t="n">
        <f aca="false">(P105-P106)</f>
        <v>0</v>
      </c>
      <c r="Q108" s="9" t="n">
        <f aca="false">(Q105-Q106)</f>
        <v>0</v>
      </c>
      <c r="R108" s="9" t="n">
        <f aca="false">(R105-R106)</f>
        <v>0</v>
      </c>
      <c r="S108" s="9" t="n">
        <f aca="false">(S105-S106)</f>
        <v>0</v>
      </c>
      <c r="T108" s="9" t="n">
        <f aca="false">(T105-T106)</f>
        <v>0</v>
      </c>
      <c r="U108" s="9" t="n">
        <f aca="false">(U105-U106)</f>
        <v>0</v>
      </c>
      <c r="V108" s="9" t="n">
        <f aca="false">(V105-V106)</f>
        <v>0</v>
      </c>
      <c r="W108" s="9" t="n">
        <f aca="false">(W105-W106)</f>
        <v>0</v>
      </c>
      <c r="X108" s="9" t="n">
        <f aca="false">(X105-X106)</f>
        <v>0</v>
      </c>
      <c r="Y108" s="9" t="n">
        <f aca="false">(Y105-Y106)</f>
        <v>0</v>
      </c>
      <c r="Z108" s="9" t="n">
        <f aca="false">(Z105-Z106)</f>
        <v>0</v>
      </c>
      <c r="AA108" s="9" t="n">
        <f aca="false">(AA105-AA106)</f>
        <v>0</v>
      </c>
      <c r="AB108" s="9" t="n">
        <f aca="false">(AB105-AB106)</f>
        <v>0</v>
      </c>
      <c r="AC108" s="9" t="n">
        <f aca="false">(AC105-AC106)</f>
        <v>0</v>
      </c>
      <c r="AD108" s="9" t="n">
        <f aca="false">(AD105-AD106)</f>
        <v>0</v>
      </c>
      <c r="AE108" s="9" t="n">
        <f aca="false">(AE105-AE106)</f>
        <v>0</v>
      </c>
      <c r="AF108" s="9" t="n">
        <f aca="false">(AF105-AF106)</f>
        <v>0</v>
      </c>
      <c r="AG108" s="9" t="n">
        <f aca="false">(AG105-AG106)</f>
        <v>0</v>
      </c>
      <c r="AH108" s="9" t="n">
        <f aca="false">(AH105-AH106)</f>
        <v>0</v>
      </c>
      <c r="AI108" s="9" t="n">
        <f aca="false">(AI105-AI106)</f>
        <v>0</v>
      </c>
      <c r="AJ108" s="9" t="n">
        <f aca="false">(AJ105-AJ106)</f>
        <v>0</v>
      </c>
      <c r="AK108" s="9" t="n">
        <f aca="false">(AK105-AK106)</f>
        <v>0</v>
      </c>
      <c r="AL108" s="9" t="n">
        <f aca="false">(AL105-AL106)</f>
        <v>193600</v>
      </c>
      <c r="AN108" s="11" t="n">
        <f aca="false">SUM(C108:N108)</f>
        <v>0</v>
      </c>
      <c r="AO108" s="11" t="n">
        <f aca="false">SUM(O108:Z108)</f>
        <v>0</v>
      </c>
      <c r="AP108" s="11" t="n">
        <f aca="false">SUM(AA108:AL108)</f>
        <v>193600</v>
      </c>
    </row>
    <row r="109" customFormat="false" ht="15" hidden="false" customHeight="false" outlineLevel="0" collapsed="false">
      <c r="A109" s="0" t="s">
        <v>915</v>
      </c>
      <c r="B109" s="0" t="s">
        <v>230</v>
      </c>
      <c r="C109" s="9" t="n">
        <f aca="false">(((Assumptions!$E$122*$C$10)/6)*C98)</f>
        <v>0</v>
      </c>
      <c r="D109" s="9" t="n">
        <f aca="false">(((Assumptions!$E$122*$C$10)/6)*D98)</f>
        <v>0</v>
      </c>
      <c r="E109" s="9" t="n">
        <f aca="false">(((Assumptions!$E$122*$C$10)/6)*E98)</f>
        <v>0</v>
      </c>
      <c r="F109" s="9" t="n">
        <f aca="false">(((Assumptions!$E$122*$C$10)/6)*F98)</f>
        <v>0</v>
      </c>
      <c r="G109" s="9" t="n">
        <f aca="false">(((Assumptions!$E$122*$C$10)/6)*G98)</f>
        <v>0</v>
      </c>
      <c r="H109" s="9" t="n">
        <f aca="false">(((Assumptions!$E$122*$C$10)/6)*H98)</f>
        <v>0</v>
      </c>
      <c r="I109" s="9" t="n">
        <f aca="false">(((Assumptions!$E$122*$C$10)/6)*I98)</f>
        <v>0</v>
      </c>
      <c r="J109" s="9" t="n">
        <f aca="false">(((Assumptions!$E$122*$C$10)/6)*J98)</f>
        <v>0</v>
      </c>
      <c r="K109" s="9" t="n">
        <f aca="false">(((Assumptions!$E$122*$C$10)/6)*K98)</f>
        <v>0</v>
      </c>
      <c r="L109" s="9" t="n">
        <f aca="false">(((Assumptions!$E$122*$C$10)/6)*L98)</f>
        <v>0</v>
      </c>
      <c r="M109" s="9" t="n">
        <f aca="false">(((Assumptions!$E$122*$C$10)/6)*M98)</f>
        <v>0</v>
      </c>
      <c r="N109" s="9" t="n">
        <f aca="false">(((Assumptions!$E$122*$C$10)/6)*N98)</f>
        <v>0</v>
      </c>
      <c r="O109" s="9" t="n">
        <f aca="false">(((Assumptions!$E$122*$C$10)/6)*O98)</f>
        <v>0</v>
      </c>
      <c r="P109" s="9" t="n">
        <f aca="false">(((Assumptions!$E$122*$C$10)/6)*P98)</f>
        <v>0</v>
      </c>
      <c r="Q109" s="9" t="n">
        <f aca="false">(((Assumptions!$E$122*$C$10)/6)*Q98)</f>
        <v>0</v>
      </c>
      <c r="R109" s="9" t="n">
        <f aca="false">(((Assumptions!$E$122*$C$10)/6)*R98)</f>
        <v>0</v>
      </c>
      <c r="S109" s="9" t="n">
        <f aca="false">(((Assumptions!$E$122*$C$10)/6)*S98)</f>
        <v>0</v>
      </c>
      <c r="T109" s="9" t="n">
        <f aca="false">(((Assumptions!$E$122*$C$10)/6)*T98)</f>
        <v>0</v>
      </c>
      <c r="U109" s="9" t="n">
        <f aca="false">(((Assumptions!$E$122*$C$10)/6)*U98)</f>
        <v>0</v>
      </c>
      <c r="V109" s="9" t="n">
        <f aca="false">(((Assumptions!$E$122*$C$10)/6)*V98)</f>
        <v>0</v>
      </c>
      <c r="W109" s="9" t="n">
        <f aca="false">(((Assumptions!$E$122*$C$10)/6)*W98)</f>
        <v>0</v>
      </c>
      <c r="X109" s="9" t="n">
        <f aca="false">(((Assumptions!$E$122*$C$10)/6)*X98)</f>
        <v>0</v>
      </c>
      <c r="Y109" s="9" t="n">
        <f aca="false">(((Assumptions!$E$122*$C$10)/6)*Y98)</f>
        <v>0</v>
      </c>
      <c r="Z109" s="9" t="n">
        <f aca="false">(((Assumptions!$E$122*$C$10)/6)*Z98)</f>
        <v>0</v>
      </c>
      <c r="AA109" s="9" t="n">
        <f aca="false">(((Assumptions!$E$122*$C$10)/6)*AA98)</f>
        <v>0</v>
      </c>
      <c r="AB109" s="9" t="n">
        <f aca="false">(((Assumptions!$E$122*$C$10)/6)*AB98)</f>
        <v>0</v>
      </c>
      <c r="AC109" s="9" t="n">
        <f aca="false">(((Assumptions!$E$122*$C$10)/6)*AC98)</f>
        <v>0</v>
      </c>
      <c r="AD109" s="9" t="n">
        <f aca="false">(((Assumptions!$E$122*$C$10)/6)*AD98)</f>
        <v>0</v>
      </c>
      <c r="AE109" s="9" t="n">
        <f aca="false">(((Assumptions!$E$122*$C$10)/6)*AE98)</f>
        <v>0</v>
      </c>
      <c r="AF109" s="9" t="n">
        <f aca="false">(((Assumptions!$E$122*$C$10)/6)*AF98)</f>
        <v>10000</v>
      </c>
      <c r="AG109" s="9" t="n">
        <f aca="false">(((Assumptions!$E$122*$C$10)/6)*AG98)</f>
        <v>10000</v>
      </c>
      <c r="AH109" s="9" t="n">
        <f aca="false">(((Assumptions!$E$122*$C$10)/6)*AH98)</f>
        <v>10000</v>
      </c>
      <c r="AI109" s="9" t="n">
        <f aca="false">(((Assumptions!$E$122*$C$10)/6)*AI98)</f>
        <v>10000</v>
      </c>
      <c r="AJ109" s="9" t="n">
        <f aca="false">(((Assumptions!$E$122*$C$10)/6)*AJ98)</f>
        <v>10000</v>
      </c>
      <c r="AK109" s="9" t="n">
        <f aca="false">(((Assumptions!$E$122*$C$10)/6)*AK98)</f>
        <v>10000</v>
      </c>
      <c r="AL109" s="9" t="n">
        <f aca="false">(((Assumptions!$E$122*$C$10)/6)*AL98)</f>
        <v>10000</v>
      </c>
      <c r="AN109" s="11" t="n">
        <f aca="false">SUM(C109:N109)</f>
        <v>0</v>
      </c>
      <c r="AO109" s="11" t="n">
        <f aca="false">SUM(O109:Z109)</f>
        <v>0</v>
      </c>
      <c r="AP109" s="11" t="n">
        <f aca="false">SUM(AA109:AL109)</f>
        <v>70000</v>
      </c>
    </row>
    <row r="110" customFormat="false" ht="15" hidden="false" customHeight="false" outlineLevel="0" collapsed="false">
      <c r="A110" s="0" t="s">
        <v>916</v>
      </c>
      <c r="B110" s="0" t="s">
        <v>230</v>
      </c>
      <c r="C110" s="9" t="n">
        <f aca="false">((Assumptions!$E$122*$C$10)*C92)</f>
        <v>0</v>
      </c>
      <c r="D110" s="9" t="n">
        <f aca="false">((Assumptions!$E$122*$C$10)*D92)</f>
        <v>0</v>
      </c>
      <c r="E110" s="9" t="n">
        <f aca="false">((Assumptions!$E$122*$C$10)*E92)</f>
        <v>0</v>
      </c>
      <c r="F110" s="9" t="n">
        <f aca="false">((Assumptions!$E$122*$C$10)*F92)</f>
        <v>0</v>
      </c>
      <c r="G110" s="9" t="n">
        <f aca="false">((Assumptions!$E$122*$C$10)*G92)</f>
        <v>0</v>
      </c>
      <c r="H110" s="9" t="n">
        <f aca="false">((Assumptions!$E$122*$C$10)*H92)</f>
        <v>0</v>
      </c>
      <c r="I110" s="9" t="n">
        <f aca="false">((Assumptions!$E$122*$C$10)*I92)</f>
        <v>0</v>
      </c>
      <c r="J110" s="9" t="n">
        <f aca="false">((Assumptions!$E$122*$C$10)*J92)</f>
        <v>0</v>
      </c>
      <c r="K110" s="9" t="n">
        <f aca="false">((Assumptions!$E$122*$C$10)*K92)</f>
        <v>0</v>
      </c>
      <c r="L110" s="9" t="n">
        <f aca="false">((Assumptions!$E$122*$C$10)*L92)</f>
        <v>0</v>
      </c>
      <c r="M110" s="9" t="n">
        <f aca="false">((Assumptions!$E$122*$C$10)*M92)</f>
        <v>0</v>
      </c>
      <c r="N110" s="9" t="n">
        <f aca="false">((Assumptions!$E$122*$C$10)*N92)</f>
        <v>0</v>
      </c>
      <c r="O110" s="9" t="n">
        <f aca="false">((Assumptions!$E$122*$C$10)*O92)</f>
        <v>0</v>
      </c>
      <c r="P110" s="9" t="n">
        <f aca="false">((Assumptions!$E$122*$C$10)*P92)</f>
        <v>0</v>
      </c>
      <c r="Q110" s="9" t="n">
        <f aca="false">((Assumptions!$E$122*$C$10)*Q92)</f>
        <v>0</v>
      </c>
      <c r="R110" s="9" t="n">
        <f aca="false">((Assumptions!$E$122*$C$10)*R92)</f>
        <v>0</v>
      </c>
      <c r="S110" s="9" t="n">
        <f aca="false">((Assumptions!$E$122*$C$10)*S92)</f>
        <v>0</v>
      </c>
      <c r="T110" s="9" t="n">
        <f aca="false">((Assumptions!$E$122*$C$10)*T92)</f>
        <v>0</v>
      </c>
      <c r="U110" s="9" t="n">
        <f aca="false">((Assumptions!$E$122*$C$10)*U92)</f>
        <v>0</v>
      </c>
      <c r="V110" s="9" t="n">
        <f aca="false">((Assumptions!$E$122*$C$10)*V92)</f>
        <v>0</v>
      </c>
      <c r="W110" s="9" t="n">
        <f aca="false">((Assumptions!$E$122*$C$10)*W92)</f>
        <v>0</v>
      </c>
      <c r="X110" s="9" t="n">
        <f aca="false">((Assumptions!$E$122*$C$10)*X92)</f>
        <v>0</v>
      </c>
      <c r="Y110" s="9" t="n">
        <f aca="false">((Assumptions!$E$122*$C$10)*Y92)</f>
        <v>0</v>
      </c>
      <c r="Z110" s="9" t="n">
        <f aca="false">((Assumptions!$E$122*$C$10)*Z92)</f>
        <v>0</v>
      </c>
      <c r="AA110" s="9" t="n">
        <f aca="false">((Assumptions!$E$122*$C$10)*AA92)</f>
        <v>0</v>
      </c>
      <c r="AB110" s="9" t="n">
        <f aca="false">((Assumptions!$E$122*$C$10)*AB92)</f>
        <v>0</v>
      </c>
      <c r="AC110" s="9" t="n">
        <f aca="false">((Assumptions!$E$122*$C$10)*AC92)</f>
        <v>0</v>
      </c>
      <c r="AD110" s="9" t="n">
        <f aca="false">((Assumptions!$E$122*$C$10)*AD92)</f>
        <v>0</v>
      </c>
      <c r="AE110" s="9" t="n">
        <f aca="false">((Assumptions!$E$122*$C$10)*AE92)</f>
        <v>0</v>
      </c>
      <c r="AF110" s="9" t="n">
        <f aca="false">((Assumptions!$E$122*$C$10)*AF92)</f>
        <v>60000</v>
      </c>
      <c r="AG110" s="9" t="n">
        <f aca="false">((Assumptions!$E$122*$C$10)*AG92)</f>
        <v>0</v>
      </c>
      <c r="AH110" s="9" t="n">
        <f aca="false">((Assumptions!$E$122*$C$10)*AH92)</f>
        <v>0</v>
      </c>
      <c r="AI110" s="9" t="n">
        <f aca="false">((Assumptions!$E$122*$C$10)*AI92)</f>
        <v>0</v>
      </c>
      <c r="AJ110" s="9" t="n">
        <f aca="false">((Assumptions!$E$122*$C$10)*AJ92)</f>
        <v>0</v>
      </c>
      <c r="AK110" s="9" t="n">
        <f aca="false">((Assumptions!$E$122*$C$10)*AK92)</f>
        <v>0</v>
      </c>
      <c r="AL110" s="9" t="n">
        <f aca="false">((Assumptions!$E$122*$C$10)*AL92)</f>
        <v>60000</v>
      </c>
      <c r="AN110" s="11" t="n">
        <f aca="false">SUM(C110:N110)</f>
        <v>0</v>
      </c>
      <c r="AO110" s="11" t="n">
        <f aca="false">SUM(O110:Z110)</f>
        <v>0</v>
      </c>
      <c r="AP110" s="11" t="n">
        <f aca="false">SUM(AA110:AL110)</f>
        <v>120000</v>
      </c>
    </row>
    <row r="111" customFormat="false" ht="15" hidden="false" customHeight="false" outlineLevel="0" collapsed="false">
      <c r="A111" s="0" t="s">
        <v>917</v>
      </c>
      <c r="B111" s="0" t="s">
        <v>230</v>
      </c>
      <c r="C111" s="9" t="n">
        <f aca="false">((Assumptions!$E$123*$C$10)+(Assumptions!$C$34*Assumptions!$C$35))</f>
        <v>106000</v>
      </c>
      <c r="D111" s="9" t="n">
        <f aca="false">((Assumptions!$E$123*$C$10)+(Assumptions!$C$34*Assumptions!$C$35))</f>
        <v>106000</v>
      </c>
      <c r="E111" s="9" t="n">
        <f aca="false">((Assumptions!$E$123*$C$10)+(Assumptions!$C$34*Assumptions!$C$35))</f>
        <v>106000</v>
      </c>
      <c r="F111" s="9" t="n">
        <f aca="false">((Assumptions!$E$123*$C$10)+(Assumptions!$C$34*Assumptions!$C$35))</f>
        <v>106000</v>
      </c>
      <c r="G111" s="9" t="n">
        <f aca="false">((Assumptions!$E$123*$C$10)+(Assumptions!$C$34*Assumptions!$C$35))</f>
        <v>106000</v>
      </c>
      <c r="H111" s="9" t="n">
        <f aca="false">((Assumptions!$E$123*$C$10)+(Assumptions!$C$34*Assumptions!$C$35))</f>
        <v>106000</v>
      </c>
      <c r="I111" s="9" t="n">
        <f aca="false">((Assumptions!$E$123*$C$10)+(Assumptions!$C$34*Assumptions!$C$35))</f>
        <v>106000</v>
      </c>
      <c r="J111" s="9" t="n">
        <f aca="false">((Assumptions!$E$123*$C$10)+(Assumptions!$C$34*Assumptions!$C$35))</f>
        <v>106000</v>
      </c>
      <c r="K111" s="9" t="n">
        <f aca="false">((Assumptions!$E$123*$C$10)+(Assumptions!$C$34*Assumptions!$C$35))</f>
        <v>106000</v>
      </c>
      <c r="L111" s="9" t="n">
        <f aca="false">((Assumptions!$E$123*$C$10)+(Assumptions!$C$34*Assumptions!$C$35))</f>
        <v>106000</v>
      </c>
      <c r="M111" s="9" t="n">
        <f aca="false">((Assumptions!$E$123*$C$10)+(Assumptions!$C$34*Assumptions!$C$35))</f>
        <v>106000</v>
      </c>
      <c r="N111" s="9" t="n">
        <f aca="false">((Assumptions!$E$123*$C$10)+(Assumptions!$C$34*Assumptions!$C$35))</f>
        <v>106000</v>
      </c>
      <c r="O111" s="9" t="n">
        <f aca="false">((Assumptions!$E$123*$C$10)+(Assumptions!$C$34*Assumptions!$C$35))</f>
        <v>106000</v>
      </c>
      <c r="P111" s="9" t="n">
        <f aca="false">((Assumptions!$E$123*$C$10)+(Assumptions!$C$34*Assumptions!$C$35))</f>
        <v>106000</v>
      </c>
      <c r="Q111" s="9" t="n">
        <f aca="false">((Assumptions!$E$123*$C$10)+(Assumptions!$C$34*Assumptions!$C$35))</f>
        <v>106000</v>
      </c>
      <c r="R111" s="9" t="n">
        <f aca="false">((Assumptions!$E$123*$C$10)+(Assumptions!$C$34*Assumptions!$C$35))</f>
        <v>106000</v>
      </c>
      <c r="S111" s="9" t="n">
        <f aca="false">((Assumptions!$E$123*$C$10)+(Assumptions!$C$34*Assumptions!$C$35))</f>
        <v>106000</v>
      </c>
      <c r="T111" s="9" t="n">
        <f aca="false">((Assumptions!$E$123*$C$10)+(Assumptions!$C$34*Assumptions!$C$35))</f>
        <v>106000</v>
      </c>
      <c r="U111" s="9" t="n">
        <f aca="false">((Assumptions!$E$123*$C$10)+(Assumptions!$C$34*Assumptions!$C$35))</f>
        <v>106000</v>
      </c>
      <c r="V111" s="9" t="n">
        <f aca="false">((Assumptions!$E$123*$C$10)+(Assumptions!$C$34*Assumptions!$C$35))</f>
        <v>106000</v>
      </c>
      <c r="W111" s="9" t="n">
        <f aca="false">((Assumptions!$E$123*$C$10)+(Assumptions!$C$34*Assumptions!$C$35))</f>
        <v>106000</v>
      </c>
      <c r="X111" s="9" t="n">
        <f aca="false">((Assumptions!$E$123*$C$10)+(Assumptions!$C$34*Assumptions!$C$35))</f>
        <v>106000</v>
      </c>
      <c r="Y111" s="9" t="n">
        <f aca="false">((Assumptions!$E$123*$C$10)+(Assumptions!$C$34*Assumptions!$C$35))</f>
        <v>106000</v>
      </c>
      <c r="Z111" s="9" t="n">
        <f aca="false">((Assumptions!$E$123*$C$10)+(Assumptions!$C$34*Assumptions!$C$35))</f>
        <v>106000</v>
      </c>
      <c r="AA111" s="9" t="n">
        <f aca="false">((Assumptions!$E$123*$C$10)+(Assumptions!$C$34*Assumptions!$C$35))</f>
        <v>106000</v>
      </c>
      <c r="AB111" s="9" t="n">
        <f aca="false">((Assumptions!$E$123*$C$10)+(Assumptions!$C$34*Assumptions!$C$35))</f>
        <v>106000</v>
      </c>
      <c r="AC111" s="9" t="n">
        <f aca="false">((Assumptions!$E$123*$C$10)+(Assumptions!$C$34*Assumptions!$C$35))</f>
        <v>106000</v>
      </c>
      <c r="AD111" s="9" t="n">
        <f aca="false">((Assumptions!$E$123*$C$10)+(Assumptions!$C$34*Assumptions!$C$35))</f>
        <v>106000</v>
      </c>
      <c r="AE111" s="9" t="n">
        <f aca="false">((Assumptions!$E$123*$C$10)+(Assumptions!$C$34*Assumptions!$C$35))</f>
        <v>106000</v>
      </c>
      <c r="AF111" s="9" t="n">
        <f aca="false">((Assumptions!$E$123*$C$10)+(Assumptions!$C$34*Assumptions!$C$35))</f>
        <v>106000</v>
      </c>
      <c r="AG111" s="9" t="n">
        <f aca="false">((Assumptions!$E$123*$C$10)+(Assumptions!$C$34*Assumptions!$C$35))</f>
        <v>106000</v>
      </c>
      <c r="AH111" s="9" t="n">
        <f aca="false">((Assumptions!$E$123*$C$10)+(Assumptions!$C$34*Assumptions!$C$35))</f>
        <v>106000</v>
      </c>
      <c r="AI111" s="9" t="n">
        <f aca="false">((Assumptions!$E$123*$C$10)+(Assumptions!$C$34*Assumptions!$C$35))</f>
        <v>106000</v>
      </c>
      <c r="AJ111" s="9" t="n">
        <f aca="false">((Assumptions!$E$123*$C$10)+(Assumptions!$C$34*Assumptions!$C$35))</f>
        <v>106000</v>
      </c>
      <c r="AK111" s="9" t="n">
        <f aca="false">((Assumptions!$E$123*$C$10)+(Assumptions!$C$34*Assumptions!$C$35))</f>
        <v>106000</v>
      </c>
      <c r="AL111" s="9" t="n">
        <f aca="false">((Assumptions!$E$123*$C$10)+(Assumptions!$C$34*Assumptions!$C$35))</f>
        <v>106000</v>
      </c>
    </row>
    <row r="112" customFormat="false" ht="15" hidden="false" customHeight="false" outlineLevel="0" collapsed="false">
      <c r="A112" s="0" t="s">
        <v>918</v>
      </c>
      <c r="B112" s="0" t="s">
        <v>230</v>
      </c>
      <c r="C112" s="9" t="n">
        <f aca="false">((C111/3)*C96)</f>
        <v>0</v>
      </c>
      <c r="D112" s="9" t="n">
        <f aca="false">((D111/3)*SUM(C96:D96))</f>
        <v>0</v>
      </c>
      <c r="E112" s="9" t="n">
        <f aca="false">((E111/3)*SUM(C96:E96))</f>
        <v>0</v>
      </c>
      <c r="F112" s="9" t="n">
        <f aca="false">((F111/3)*SUM(D96:F96))</f>
        <v>0</v>
      </c>
      <c r="G112" s="9" t="n">
        <f aca="false">((G111/3)*SUM(E96:G96))</f>
        <v>0</v>
      </c>
      <c r="H112" s="9" t="n">
        <f aca="false">((H111/3)*SUM(F96:H96))</f>
        <v>0</v>
      </c>
      <c r="I112" s="9" t="n">
        <f aca="false">((I111/3)*SUM(G96:I96))</f>
        <v>0</v>
      </c>
      <c r="J112" s="9" t="n">
        <f aca="false">((J111/3)*SUM(H96:J96))</f>
        <v>0</v>
      </c>
      <c r="K112" s="9" t="n">
        <f aca="false">((K111/3)*SUM(I96:K96))</f>
        <v>0</v>
      </c>
      <c r="L112" s="9" t="n">
        <f aca="false">((L111/3)*SUM(J96:L96))</f>
        <v>0</v>
      </c>
      <c r="M112" s="9" t="n">
        <f aca="false">((M111/3)*SUM(K96:M96))</f>
        <v>0</v>
      </c>
      <c r="N112" s="9" t="n">
        <f aca="false">((N111/3)*SUM(L96:N96))</f>
        <v>0</v>
      </c>
      <c r="O112" s="9" t="n">
        <f aca="false">((O111/3)*SUM(M96:O96))</f>
        <v>0</v>
      </c>
      <c r="P112" s="9" t="n">
        <f aca="false">((P111/3)*SUM(N96:P96))</f>
        <v>0</v>
      </c>
      <c r="Q112" s="9" t="n">
        <f aca="false">((Q111/3)*SUM(O96:Q96))</f>
        <v>0</v>
      </c>
      <c r="R112" s="9" t="n">
        <f aca="false">((R111/3)*SUM(P96:R96))</f>
        <v>0</v>
      </c>
      <c r="S112" s="9" t="n">
        <f aca="false">((S111/3)*SUM(Q96:S96))</f>
        <v>0</v>
      </c>
      <c r="T112" s="9" t="n">
        <f aca="false">((T111/3)*SUM(R96:T96))</f>
        <v>0</v>
      </c>
      <c r="U112" s="9" t="n">
        <f aca="false">((U111/3)*SUM(S96:U96))</f>
        <v>0</v>
      </c>
      <c r="V112" s="9" t="n">
        <f aca="false">((V111/3)*SUM(T96:V96))</f>
        <v>0</v>
      </c>
      <c r="W112" s="9" t="n">
        <f aca="false">((W111/3)*SUM(U96:W96))</f>
        <v>0</v>
      </c>
      <c r="X112" s="9" t="n">
        <f aca="false">((X111/3)*SUM(V96:X96))</f>
        <v>0</v>
      </c>
      <c r="Y112" s="9" t="n">
        <f aca="false">((Y111/3)*SUM(W96:Y96))</f>
        <v>0</v>
      </c>
      <c r="Z112" s="9" t="n">
        <f aca="false">((Z111/3)*SUM(X96:Z96))</f>
        <v>0</v>
      </c>
      <c r="AA112" s="9" t="n">
        <f aca="false">((AA111/3)*SUM(Y96:AA96))</f>
        <v>0</v>
      </c>
      <c r="AB112" s="9" t="n">
        <f aca="false">((AB111/3)*SUM(Z96:AB96))</f>
        <v>0</v>
      </c>
      <c r="AC112" s="9" t="n">
        <f aca="false">((AC111/3)*SUM(AA96:AC96))</f>
        <v>0</v>
      </c>
      <c r="AD112" s="9" t="n">
        <f aca="false">((AD111/3)*SUM(AB96:AD96))</f>
        <v>0</v>
      </c>
      <c r="AE112" s="9" t="n">
        <f aca="false">((AE111/3)*SUM(AC96:AE96))</f>
        <v>0</v>
      </c>
      <c r="AF112" s="9" t="n">
        <f aca="false">((AF111/3)*SUM(AD96:AF96))</f>
        <v>35333.3333333333</v>
      </c>
      <c r="AG112" s="9" t="n">
        <f aca="false">((AG111/3)*SUM(AE96:AG96))</f>
        <v>35333.3333333333</v>
      </c>
      <c r="AH112" s="9" t="n">
        <f aca="false">((AH111/3)*SUM(AF96:AH96))</f>
        <v>35333.3333333333</v>
      </c>
      <c r="AI112" s="9" t="n">
        <f aca="false">((AI111/3)*SUM(AG96:AI96))</f>
        <v>0</v>
      </c>
      <c r="AJ112" s="9" t="n">
        <f aca="false">((AJ111/3)*SUM(AH96:AJ96))</f>
        <v>0</v>
      </c>
      <c r="AK112" s="9" t="n">
        <f aca="false">((AK111/3)*SUM(AI96:AK96))</f>
        <v>0</v>
      </c>
      <c r="AL112" s="9" t="n">
        <f aca="false">((AL111/3)*SUM(AJ96:AL96))</f>
        <v>70666.6666666667</v>
      </c>
      <c r="AN112" s="11" t="n">
        <f aca="false">SUM(C112:N112)</f>
        <v>0</v>
      </c>
      <c r="AO112" s="11" t="n">
        <f aca="false">SUM(O112:Z112)</f>
        <v>0</v>
      </c>
      <c r="AP112" s="11" t="n">
        <f aca="false">SUM(AA112:AL112)</f>
        <v>176666.666666667</v>
      </c>
    </row>
    <row r="113" customFormat="false" ht="15" hidden="false" customHeight="false" outlineLevel="0" collapsed="false">
      <c r="A113" s="0" t="s">
        <v>919</v>
      </c>
      <c r="B113" s="0" t="s">
        <v>230</v>
      </c>
      <c r="C113" s="9" t="n">
        <f aca="false">(C111*C96)</f>
        <v>0</v>
      </c>
      <c r="D113" s="9" t="n">
        <f aca="false">(D111*D96)</f>
        <v>0</v>
      </c>
      <c r="E113" s="9" t="n">
        <f aca="false">(E111*E96)</f>
        <v>0</v>
      </c>
      <c r="F113" s="9" t="n">
        <f aca="false">(F111*F96)</f>
        <v>0</v>
      </c>
      <c r="G113" s="9" t="n">
        <f aca="false">(G111*G96)</f>
        <v>0</v>
      </c>
      <c r="H113" s="9" t="n">
        <f aca="false">(H111*H96)</f>
        <v>0</v>
      </c>
      <c r="I113" s="9" t="n">
        <f aca="false">(I111*I96)</f>
        <v>0</v>
      </c>
      <c r="J113" s="9" t="n">
        <f aca="false">(J111*J96)</f>
        <v>0</v>
      </c>
      <c r="K113" s="9" t="n">
        <f aca="false">(K111*K96)</f>
        <v>0</v>
      </c>
      <c r="L113" s="9" t="n">
        <f aca="false">(L111*L96)</f>
        <v>0</v>
      </c>
      <c r="M113" s="9" t="n">
        <f aca="false">(M111*M96)</f>
        <v>0</v>
      </c>
      <c r="N113" s="9" t="n">
        <f aca="false">(N111*N96)</f>
        <v>0</v>
      </c>
      <c r="O113" s="9" t="n">
        <f aca="false">(O111*O96)</f>
        <v>0</v>
      </c>
      <c r="P113" s="9" t="n">
        <f aca="false">(P111*P96)</f>
        <v>0</v>
      </c>
      <c r="Q113" s="9" t="n">
        <f aca="false">(Q111*Q96)</f>
        <v>0</v>
      </c>
      <c r="R113" s="9" t="n">
        <f aca="false">(R111*R96)</f>
        <v>0</v>
      </c>
      <c r="S113" s="9" t="n">
        <f aca="false">(S111*S96)</f>
        <v>0</v>
      </c>
      <c r="T113" s="9" t="n">
        <f aca="false">(T111*T96)</f>
        <v>0</v>
      </c>
      <c r="U113" s="9" t="n">
        <f aca="false">(U111*U96)</f>
        <v>0</v>
      </c>
      <c r="V113" s="9" t="n">
        <f aca="false">(V111*V96)</f>
        <v>0</v>
      </c>
      <c r="W113" s="9" t="n">
        <f aca="false">(W111*W96)</f>
        <v>0</v>
      </c>
      <c r="X113" s="9" t="n">
        <f aca="false">(X111*X96)</f>
        <v>0</v>
      </c>
      <c r="Y113" s="9" t="n">
        <f aca="false">(Y111*Y96)</f>
        <v>0</v>
      </c>
      <c r="Z113" s="9" t="n">
        <f aca="false">(Z111*Z96)</f>
        <v>0</v>
      </c>
      <c r="AA113" s="9" t="n">
        <f aca="false">(AA111*AA96)</f>
        <v>0</v>
      </c>
      <c r="AB113" s="9" t="n">
        <f aca="false">(AB111*AB96)</f>
        <v>0</v>
      </c>
      <c r="AC113" s="9" t="n">
        <f aca="false">(AC111*AC96)</f>
        <v>0</v>
      </c>
      <c r="AD113" s="9" t="n">
        <f aca="false">(AD111*AD96)</f>
        <v>0</v>
      </c>
      <c r="AE113" s="9" t="n">
        <f aca="false">(AE111*AE96)</f>
        <v>0</v>
      </c>
      <c r="AF113" s="9" t="n">
        <f aca="false">(AF111*AF96)</f>
        <v>106000</v>
      </c>
      <c r="AG113" s="9" t="n">
        <f aca="false">(AG111*AG96)</f>
        <v>0</v>
      </c>
      <c r="AH113" s="9" t="n">
        <f aca="false">(AH111*AH96)</f>
        <v>0</v>
      </c>
      <c r="AI113" s="9" t="n">
        <f aca="false">(AI111*AI96)</f>
        <v>0</v>
      </c>
      <c r="AJ113" s="9" t="n">
        <f aca="false">(AJ111*AJ96)</f>
        <v>0</v>
      </c>
      <c r="AK113" s="9" t="n">
        <f aca="false">(AK111*AK96)</f>
        <v>0</v>
      </c>
      <c r="AL113" s="9" t="n">
        <f aca="false">(AL111*AL96)</f>
        <v>212000</v>
      </c>
      <c r="AN113" s="11" t="n">
        <f aca="false">SUM(C113:N113)</f>
        <v>0</v>
      </c>
      <c r="AO113" s="11" t="n">
        <f aca="false">SUM(O113:Z113)</f>
        <v>0</v>
      </c>
      <c r="AP113" s="11" t="n">
        <f aca="false">SUM(AA113:AL113)</f>
        <v>318000</v>
      </c>
    </row>
    <row r="114" customFormat="false" ht="15" hidden="false" customHeight="false" outlineLevel="0" collapsed="false">
      <c r="A114" s="0" t="s">
        <v>920</v>
      </c>
      <c r="B114" s="0" t="s">
        <v>285</v>
      </c>
      <c r="C114" s="9" t="n">
        <f aca="false">((C93*Assumptions!$E$124)+(C96*(Assumptions!$E$124+(Assumptions!$C$34*Assumptions!$C$36))))</f>
        <v>0</v>
      </c>
      <c r="D114" s="9" t="n">
        <f aca="false">((D93*Assumptions!$E$124)+(D96*(Assumptions!$E$124+(Assumptions!$C$34*Assumptions!$C$36))))</f>
        <v>0</v>
      </c>
      <c r="E114" s="9" t="n">
        <f aca="false">((E93*Assumptions!$E$124)+(E96*(Assumptions!$E$124+(Assumptions!$C$34*Assumptions!$C$36))))</f>
        <v>0</v>
      </c>
      <c r="F114" s="9" t="n">
        <f aca="false">((F93*Assumptions!$E$124)+(F96*(Assumptions!$E$124+(Assumptions!$C$34*Assumptions!$C$36))))</f>
        <v>0</v>
      </c>
      <c r="G114" s="9" t="n">
        <f aca="false">((G93*Assumptions!$E$124)+(G96*(Assumptions!$E$124+(Assumptions!$C$34*Assumptions!$C$36))))</f>
        <v>0</v>
      </c>
      <c r="H114" s="9" t="n">
        <f aca="false">((H93*Assumptions!$E$124)+(H96*(Assumptions!$E$124+(Assumptions!$C$34*Assumptions!$C$36))))</f>
        <v>0</v>
      </c>
      <c r="I114" s="9" t="n">
        <f aca="false">((I93*Assumptions!$E$124)+(I96*(Assumptions!$E$124+(Assumptions!$C$34*Assumptions!$C$36))))</f>
        <v>0</v>
      </c>
      <c r="J114" s="9" t="n">
        <f aca="false">((J93*Assumptions!$E$124)+(J96*(Assumptions!$E$124+(Assumptions!$C$34*Assumptions!$C$36))))</f>
        <v>0</v>
      </c>
      <c r="K114" s="9" t="n">
        <f aca="false">((K93*Assumptions!$E$124)+(K96*(Assumptions!$E$124+(Assumptions!$C$34*Assumptions!$C$36))))</f>
        <v>0</v>
      </c>
      <c r="L114" s="9" t="n">
        <f aca="false">((L93*Assumptions!$E$124)+(L96*(Assumptions!$E$124+(Assumptions!$C$34*Assumptions!$C$36))))</f>
        <v>0</v>
      </c>
      <c r="M114" s="9" t="n">
        <f aca="false">((M93*Assumptions!$E$124)+(M96*(Assumptions!$E$124+(Assumptions!$C$34*Assumptions!$C$36))))</f>
        <v>0</v>
      </c>
      <c r="N114" s="9" t="n">
        <f aca="false">((N93*Assumptions!$E$124)+(N96*(Assumptions!$E$124+(Assumptions!$C$34*Assumptions!$C$36))))</f>
        <v>0</v>
      </c>
      <c r="O114" s="9" t="n">
        <f aca="false">((O93*Assumptions!$E$124)+(O96*(Assumptions!$E$124+(Assumptions!$C$34*Assumptions!$C$36))))</f>
        <v>0</v>
      </c>
      <c r="P114" s="9" t="n">
        <f aca="false">((P93*Assumptions!$E$124)+(P96*(Assumptions!$E$124+(Assumptions!$C$34*Assumptions!$C$36))))</f>
        <v>0</v>
      </c>
      <c r="Q114" s="9" t="n">
        <f aca="false">((Q93*Assumptions!$E$124)+(Q96*(Assumptions!$E$124+(Assumptions!$C$34*Assumptions!$C$36))))</f>
        <v>0</v>
      </c>
      <c r="R114" s="9" t="n">
        <f aca="false">((R93*Assumptions!$E$124)+(R96*(Assumptions!$E$124+(Assumptions!$C$34*Assumptions!$C$36))))</f>
        <v>0</v>
      </c>
      <c r="S114" s="9" t="n">
        <f aca="false">((S93*Assumptions!$E$124)+(S96*(Assumptions!$E$124+(Assumptions!$C$34*Assumptions!$C$36))))</f>
        <v>0</v>
      </c>
      <c r="T114" s="9" t="n">
        <f aca="false">((T93*Assumptions!$E$124)+(T96*(Assumptions!$E$124+(Assumptions!$C$34*Assumptions!$C$36))))</f>
        <v>0</v>
      </c>
      <c r="U114" s="9" t="n">
        <f aca="false">((U93*Assumptions!$E$124)+(U96*(Assumptions!$E$124+(Assumptions!$C$34*Assumptions!$C$36))))</f>
        <v>0</v>
      </c>
      <c r="V114" s="9" t="n">
        <f aca="false">((V93*Assumptions!$E$124)+(V96*(Assumptions!$E$124+(Assumptions!$C$34*Assumptions!$C$36))))</f>
        <v>0</v>
      </c>
      <c r="W114" s="9" t="n">
        <f aca="false">((W93*Assumptions!$E$124)+(W96*(Assumptions!$E$124+(Assumptions!$C$34*Assumptions!$C$36))))</f>
        <v>0</v>
      </c>
      <c r="X114" s="9" t="n">
        <f aca="false">((X93*Assumptions!$E$124)+(X96*(Assumptions!$E$124+(Assumptions!$C$34*Assumptions!$C$36))))</f>
        <v>0</v>
      </c>
      <c r="Y114" s="9" t="n">
        <f aca="false">((Y93*Assumptions!$E$124)+(Y96*(Assumptions!$E$124+(Assumptions!$C$34*Assumptions!$C$36))))</f>
        <v>0</v>
      </c>
      <c r="Z114" s="9" t="n">
        <f aca="false">((Z93*Assumptions!$E$124)+(Z96*(Assumptions!$E$124+(Assumptions!$C$34*Assumptions!$C$36))))</f>
        <v>0</v>
      </c>
      <c r="AA114" s="9" t="n">
        <f aca="false">((AA93*Assumptions!$E$124)+(AA96*(Assumptions!$E$124+(Assumptions!$C$34*Assumptions!$C$36))))</f>
        <v>0</v>
      </c>
      <c r="AB114" s="9" t="n">
        <f aca="false">((AB93*Assumptions!$E$124)+(AB96*(Assumptions!$E$124+(Assumptions!$C$34*Assumptions!$C$36))))</f>
        <v>0</v>
      </c>
      <c r="AC114" s="9" t="n">
        <f aca="false">((AC93*Assumptions!$E$124)+(AC96*(Assumptions!$E$124+(Assumptions!$C$34*Assumptions!$C$36))))</f>
        <v>0</v>
      </c>
      <c r="AD114" s="9" t="n">
        <f aca="false">((AD93*Assumptions!$E$124)+(AD96*(Assumptions!$E$124+(Assumptions!$C$34*Assumptions!$C$36))))</f>
        <v>0</v>
      </c>
      <c r="AE114" s="9" t="n">
        <f aca="false">((AE93*Assumptions!$E$124)+(AE96*(Assumptions!$E$124+(Assumptions!$C$34*Assumptions!$C$36))))</f>
        <v>0</v>
      </c>
      <c r="AF114" s="9" t="n">
        <f aca="false">((AF93*Assumptions!$E$124)+(AF96*(Assumptions!$E$124+(Assumptions!$C$34*Assumptions!$C$36))))</f>
        <v>844</v>
      </c>
      <c r="AG114" s="9" t="n">
        <f aca="false">((AG93*Assumptions!$E$124)+(AG96*(Assumptions!$E$124+(Assumptions!$C$34*Assumptions!$C$36))))</f>
        <v>0</v>
      </c>
      <c r="AH114" s="9" t="n">
        <f aca="false">((AH93*Assumptions!$E$124)+(AH96*(Assumptions!$E$124+(Assumptions!$C$34*Assumptions!$C$36))))</f>
        <v>0</v>
      </c>
      <c r="AI114" s="9" t="n">
        <f aca="false">((AI93*Assumptions!$E$124)+(AI96*(Assumptions!$E$124+(Assumptions!$C$34*Assumptions!$C$36))))</f>
        <v>0</v>
      </c>
      <c r="AJ114" s="9" t="n">
        <f aca="false">((AJ93*Assumptions!$E$124)+(AJ96*(Assumptions!$E$124+(Assumptions!$C$34*Assumptions!$C$36))))</f>
        <v>0</v>
      </c>
      <c r="AK114" s="9" t="n">
        <f aca="false">((AK93*Assumptions!$E$124)+(AK96*(Assumptions!$E$124+(Assumptions!$C$34*Assumptions!$C$36))))</f>
        <v>0</v>
      </c>
      <c r="AL114" s="9" t="n">
        <f aca="false">((AL93*Assumptions!$E$124)+(AL96*(Assumptions!$E$124+(Assumptions!$C$34*Assumptions!$C$36))))</f>
        <v>1688</v>
      </c>
      <c r="AN114" s="11" t="n">
        <f aca="false">SUM(C114:N114)</f>
        <v>0</v>
      </c>
      <c r="AO114" s="11" t="n">
        <f aca="false">SUM(O114:Z114)</f>
        <v>0</v>
      </c>
      <c r="AP114" s="11" t="n">
        <f aca="false">SUM(AA114:AL114)</f>
        <v>2532</v>
      </c>
    </row>
    <row r="115" customFormat="false" ht="15" hidden="false" customHeight="false" outlineLevel="0" collapsed="false">
      <c r="A115" s="21" t="s">
        <v>921</v>
      </c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</row>
    <row r="116" customFormat="false" ht="15" hidden="false" customHeight="false" outlineLevel="0" collapsed="false">
      <c r="A116" s="0" t="s">
        <v>922</v>
      </c>
      <c r="B116" s="0" t="s">
        <v>852</v>
      </c>
      <c r="C116" s="14" t="n">
        <f aca="false">((C48+C71)+C94)</f>
        <v>0</v>
      </c>
      <c r="D116" s="14" t="n">
        <f aca="false">((D48+D71)+D94)</f>
        <v>0</v>
      </c>
      <c r="E116" s="14" t="n">
        <f aca="false">((E48+E71)+E94)</f>
        <v>0</v>
      </c>
      <c r="F116" s="14" t="n">
        <f aca="false">((F48+F71)+F94)</f>
        <v>0</v>
      </c>
      <c r="G116" s="14" t="n">
        <f aca="false">((G48+G71)+G94)</f>
        <v>1</v>
      </c>
      <c r="H116" s="14" t="n">
        <f aca="false">((H48+H71)+H94)</f>
        <v>0</v>
      </c>
      <c r="I116" s="14" t="n">
        <f aca="false">((I48+I71)+I94)</f>
        <v>0</v>
      </c>
      <c r="J116" s="14" t="n">
        <f aca="false">((J48+J71)+J94)</f>
        <v>1</v>
      </c>
      <c r="K116" s="14" t="n">
        <f aca="false">((K48+K71)+K94)</f>
        <v>0</v>
      </c>
      <c r="L116" s="14" t="n">
        <f aca="false">((L48+L71)+L94)</f>
        <v>0</v>
      </c>
      <c r="M116" s="14" t="n">
        <f aca="false">((M48+M71)+M94)</f>
        <v>0</v>
      </c>
      <c r="N116" s="14" t="n">
        <f aca="false">((N48+N71)+N94)</f>
        <v>0</v>
      </c>
      <c r="O116" s="14" t="n">
        <f aca="false">((O48+O71)+O94)</f>
        <v>1</v>
      </c>
      <c r="P116" s="14" t="n">
        <f aca="false">((P48+P71)+P94)</f>
        <v>0</v>
      </c>
      <c r="Q116" s="14" t="n">
        <f aca="false">((Q48+Q71)+Q94)</f>
        <v>0</v>
      </c>
      <c r="R116" s="14" t="n">
        <f aca="false">((R48+R71)+R94)</f>
        <v>0.8</v>
      </c>
      <c r="S116" s="14" t="n">
        <f aca="false">((S48+S71)+S94)</f>
        <v>0</v>
      </c>
      <c r="T116" s="14" t="n">
        <f aca="false">((T48+T71)+T94)</f>
        <v>0</v>
      </c>
      <c r="U116" s="14" t="n">
        <f aca="false">((U48+U71)+U94)</f>
        <v>1.2</v>
      </c>
      <c r="V116" s="14" t="n">
        <f aca="false">((V48+V71)+V94)</f>
        <v>0</v>
      </c>
      <c r="W116" s="14" t="n">
        <f aca="false">((W48+W71)+W94)</f>
        <v>0</v>
      </c>
      <c r="X116" s="14" t="n">
        <f aca="false">((X48+X71)+X94)</f>
        <v>3</v>
      </c>
      <c r="Y116" s="14" t="n">
        <f aca="false">((Y48+Y71)+Y94)</f>
        <v>0</v>
      </c>
      <c r="Z116" s="14" t="n">
        <f aca="false">((Z48+Z71)+Z94)</f>
        <v>0</v>
      </c>
      <c r="AA116" s="14" t="n">
        <f aca="false">((AA48+AA71)+AA94)</f>
        <v>4</v>
      </c>
      <c r="AB116" s="14" t="n">
        <f aca="false">((AB48+AB71)+AB94)</f>
        <v>0</v>
      </c>
      <c r="AC116" s="14" t="n">
        <f aca="false">((AC48+AC71)+AC94)</f>
        <v>0</v>
      </c>
      <c r="AD116" s="14" t="n">
        <f aca="false">((AD48+AD71)+AD94)</f>
        <v>5</v>
      </c>
      <c r="AE116" s="14" t="n">
        <f aca="false">((AE48+AE71)+AE94)</f>
        <v>0</v>
      </c>
      <c r="AF116" s="14" t="n">
        <f aca="false">((AF48+AF71)+AF94)</f>
        <v>1</v>
      </c>
      <c r="AG116" s="14" t="n">
        <f aca="false">((AG48+AG71)+AG94)</f>
        <v>5</v>
      </c>
      <c r="AH116" s="14" t="n">
        <f aca="false">((AH48+AH71)+AH94)</f>
        <v>0</v>
      </c>
      <c r="AI116" s="14" t="n">
        <f aca="false">((AI48+AI71)+AI94)</f>
        <v>0</v>
      </c>
      <c r="AJ116" s="14" t="n">
        <f aca="false">((AJ48+AJ71)+AJ94)</f>
        <v>6</v>
      </c>
      <c r="AK116" s="14" t="n">
        <f aca="false">((AK48+AK71)+AK94)</f>
        <v>0</v>
      </c>
      <c r="AL116" s="14" t="n">
        <f aca="false">((AL48+AL71)+AL94)</f>
        <v>1</v>
      </c>
      <c r="AN116" s="36" t="n">
        <f aca="false">SUM(C116:N116)</f>
        <v>2</v>
      </c>
      <c r="AO116" s="36" t="n">
        <f aca="false">SUM(O116:Z116)</f>
        <v>6</v>
      </c>
      <c r="AP116" s="36" t="n">
        <f aca="false">SUM(AA116:AL116)</f>
        <v>22</v>
      </c>
    </row>
    <row r="117" customFormat="false" ht="15" hidden="false" customHeight="false" outlineLevel="0" collapsed="false">
      <c r="A117" s="0" t="s">
        <v>923</v>
      </c>
      <c r="B117" s="0" t="s">
        <v>852</v>
      </c>
      <c r="C117" s="14" t="n">
        <f aca="false">((C46+C69)+C92)</f>
        <v>0</v>
      </c>
      <c r="D117" s="14" t="n">
        <f aca="false">((D46+D69)+D92)</f>
        <v>0</v>
      </c>
      <c r="E117" s="14" t="n">
        <f aca="false">((E46+E69)+E92)</f>
        <v>0</v>
      </c>
      <c r="F117" s="14" t="n">
        <f aca="false">((F46+F69)+F92)</f>
        <v>0</v>
      </c>
      <c r="G117" s="14" t="n">
        <f aca="false">((G46+G69)+G92)</f>
        <v>0</v>
      </c>
      <c r="H117" s="14" t="n">
        <f aca="false">((H46+H69)+H92)</f>
        <v>0</v>
      </c>
      <c r="I117" s="14" t="n">
        <f aca="false">((I46+I69)+I92)</f>
        <v>0</v>
      </c>
      <c r="J117" s="14" t="n">
        <f aca="false">((J46+J69)+J92)</f>
        <v>0</v>
      </c>
      <c r="K117" s="14" t="n">
        <f aca="false">((K46+K69)+K92)</f>
        <v>0</v>
      </c>
      <c r="L117" s="14" t="n">
        <f aca="false">((L46+L69)+L92)</f>
        <v>0</v>
      </c>
      <c r="M117" s="14" t="n">
        <f aca="false">((M46+M69)+M92)</f>
        <v>0</v>
      </c>
      <c r="N117" s="14" t="n">
        <f aca="false">((N46+N69)+N92)</f>
        <v>0</v>
      </c>
      <c r="O117" s="14" t="n">
        <f aca="false">((O46+O69)+O92)</f>
        <v>1</v>
      </c>
      <c r="P117" s="14" t="n">
        <f aca="false">((P46+P69)+P92)</f>
        <v>0</v>
      </c>
      <c r="Q117" s="14" t="n">
        <f aca="false">((Q46+Q69)+Q92)</f>
        <v>0</v>
      </c>
      <c r="R117" s="14" t="n">
        <f aca="false">((R46+R69)+R92)</f>
        <v>0.8</v>
      </c>
      <c r="S117" s="14" t="n">
        <f aca="false">((S46+S69)+S92)</f>
        <v>0</v>
      </c>
      <c r="T117" s="14" t="n">
        <f aca="false">((T46+T69)+T92)</f>
        <v>0</v>
      </c>
      <c r="U117" s="14" t="n">
        <f aca="false">((U46+U69)+U92)</f>
        <v>1.2</v>
      </c>
      <c r="V117" s="14" t="n">
        <f aca="false">((V46+V69)+V92)</f>
        <v>0</v>
      </c>
      <c r="W117" s="14" t="n">
        <f aca="false">((W46+W69)+W92)</f>
        <v>0</v>
      </c>
      <c r="X117" s="14" t="n">
        <f aca="false">((X46+X69)+X92)</f>
        <v>3</v>
      </c>
      <c r="Y117" s="14" t="n">
        <f aca="false">((Y46+Y69)+Y92)</f>
        <v>0</v>
      </c>
      <c r="Z117" s="14" t="n">
        <f aca="false">((Z46+Z69)+Z92)</f>
        <v>0</v>
      </c>
      <c r="AA117" s="14" t="n">
        <f aca="false">((AA46+AA69)+AA92)</f>
        <v>4</v>
      </c>
      <c r="AB117" s="14" t="n">
        <f aca="false">((AB46+AB69)+AB92)</f>
        <v>0</v>
      </c>
      <c r="AC117" s="14" t="n">
        <f aca="false">((AC46+AC69)+AC92)</f>
        <v>0</v>
      </c>
      <c r="AD117" s="14" t="n">
        <f aca="false">((AD46+AD69)+AD92)</f>
        <v>5</v>
      </c>
      <c r="AE117" s="14" t="n">
        <f aca="false">((AE46+AE69)+AE92)</f>
        <v>0</v>
      </c>
      <c r="AF117" s="14" t="n">
        <f aca="false">((AF46+AF69)+AF92)</f>
        <v>1</v>
      </c>
      <c r="AG117" s="14" t="n">
        <f aca="false">((AG46+AG69)+AG92)</f>
        <v>5</v>
      </c>
      <c r="AH117" s="14" t="n">
        <f aca="false">((AH46+AH69)+AH92)</f>
        <v>0</v>
      </c>
      <c r="AI117" s="14" t="n">
        <f aca="false">((AI46+AI69)+AI92)</f>
        <v>0</v>
      </c>
      <c r="AJ117" s="14" t="n">
        <f aca="false">((AJ46+AJ69)+AJ92)</f>
        <v>6</v>
      </c>
      <c r="AK117" s="14" t="n">
        <f aca="false">((AK46+AK69)+AK92)</f>
        <v>0</v>
      </c>
      <c r="AL117" s="14" t="n">
        <f aca="false">((AL46+AL69)+AL92)</f>
        <v>1</v>
      </c>
      <c r="AN117" s="36" t="n">
        <f aca="false">SUM(C117:N117)</f>
        <v>0</v>
      </c>
      <c r="AO117" s="36" t="n">
        <f aca="false">SUM(O117:Z117)</f>
        <v>6</v>
      </c>
      <c r="AP117" s="36" t="n">
        <f aca="false">SUM(AA117:AL117)</f>
        <v>22</v>
      </c>
    </row>
    <row r="118" customFormat="false" ht="15" hidden="false" customHeight="false" outlineLevel="0" collapsed="false">
      <c r="A118" s="0" t="s">
        <v>924</v>
      </c>
      <c r="B118" s="0" t="s">
        <v>852</v>
      </c>
      <c r="C118" s="14" t="n">
        <f aca="false">((C47+C70)+C93)</f>
        <v>0</v>
      </c>
      <c r="D118" s="14" t="n">
        <f aca="false">((D47+D70)+D93)</f>
        <v>0</v>
      </c>
      <c r="E118" s="14" t="n">
        <f aca="false">((E47+E70)+E93)</f>
        <v>0</v>
      </c>
      <c r="F118" s="14" t="n">
        <f aca="false">((F47+F70)+F93)</f>
        <v>0</v>
      </c>
      <c r="G118" s="14" t="n">
        <f aca="false">((G47+G70)+G93)</f>
        <v>1</v>
      </c>
      <c r="H118" s="14" t="n">
        <f aca="false">((H47+H70)+H93)</f>
        <v>0</v>
      </c>
      <c r="I118" s="14" t="n">
        <f aca="false">((I47+I70)+I93)</f>
        <v>0</v>
      </c>
      <c r="J118" s="14" t="n">
        <f aca="false">((J47+J70)+J93)</f>
        <v>1</v>
      </c>
      <c r="K118" s="14" t="n">
        <f aca="false">((K47+K70)+K93)</f>
        <v>0</v>
      </c>
      <c r="L118" s="14" t="n">
        <f aca="false">((L47+L70)+L93)</f>
        <v>0</v>
      </c>
      <c r="M118" s="14" t="n">
        <f aca="false">((M47+M70)+M93)</f>
        <v>0</v>
      </c>
      <c r="N118" s="14" t="n">
        <f aca="false">((N47+N70)+N93)</f>
        <v>0</v>
      </c>
      <c r="O118" s="14" t="n">
        <f aca="false">((O47+O70)+O93)</f>
        <v>0</v>
      </c>
      <c r="P118" s="14" t="n">
        <f aca="false">((P47+P70)+P93)</f>
        <v>0</v>
      </c>
      <c r="Q118" s="14" t="n">
        <f aca="false">((Q47+Q70)+Q93)</f>
        <v>0</v>
      </c>
      <c r="R118" s="14" t="n">
        <f aca="false">((R47+R70)+R93)</f>
        <v>0</v>
      </c>
      <c r="S118" s="14" t="n">
        <f aca="false">((S47+S70)+S93)</f>
        <v>0</v>
      </c>
      <c r="T118" s="14" t="n">
        <f aca="false">((T47+T70)+T93)</f>
        <v>0</v>
      </c>
      <c r="U118" s="14" t="n">
        <f aca="false">((U47+U70)+U93)</f>
        <v>0</v>
      </c>
      <c r="V118" s="14" t="n">
        <f aca="false">((V47+V70)+V93)</f>
        <v>0</v>
      </c>
      <c r="W118" s="14" t="n">
        <f aca="false">((W47+W70)+W93)</f>
        <v>0</v>
      </c>
      <c r="X118" s="14" t="n">
        <f aca="false">((X47+X70)+X93)</f>
        <v>0</v>
      </c>
      <c r="Y118" s="14" t="n">
        <f aca="false">((Y47+Y70)+Y93)</f>
        <v>0</v>
      </c>
      <c r="Z118" s="14" t="n">
        <f aca="false">((Z47+Z70)+Z93)</f>
        <v>0</v>
      </c>
      <c r="AA118" s="14" t="n">
        <f aca="false">((AA47+AA70)+AA93)</f>
        <v>0</v>
      </c>
      <c r="AB118" s="14" t="n">
        <f aca="false">((AB47+AB70)+AB93)</f>
        <v>0</v>
      </c>
      <c r="AC118" s="14" t="n">
        <f aca="false">((AC47+AC70)+AC93)</f>
        <v>0</v>
      </c>
      <c r="AD118" s="14" t="n">
        <f aca="false">((AD47+AD70)+AD93)</f>
        <v>0</v>
      </c>
      <c r="AE118" s="14" t="n">
        <f aca="false">((AE47+AE70)+AE93)</f>
        <v>0</v>
      </c>
      <c r="AF118" s="14" t="n">
        <f aca="false">((AF47+AF70)+AF93)</f>
        <v>0</v>
      </c>
      <c r="AG118" s="14" t="n">
        <f aca="false">((AG47+AG70)+AG93)</f>
        <v>0</v>
      </c>
      <c r="AH118" s="14" t="n">
        <f aca="false">((AH47+AH70)+AH93)</f>
        <v>0</v>
      </c>
      <c r="AI118" s="14" t="n">
        <f aca="false">((AI47+AI70)+AI93)</f>
        <v>0</v>
      </c>
      <c r="AJ118" s="14" t="n">
        <f aca="false">((AJ47+AJ70)+AJ93)</f>
        <v>0</v>
      </c>
      <c r="AK118" s="14" t="n">
        <f aca="false">((AK47+AK70)+AK93)</f>
        <v>0</v>
      </c>
      <c r="AL118" s="14" t="n">
        <f aca="false">((AL47+AL70)+AL93)</f>
        <v>0</v>
      </c>
      <c r="AN118" s="36" t="n">
        <f aca="false">SUM(C118:N118)</f>
        <v>2</v>
      </c>
      <c r="AO118" s="36" t="n">
        <f aca="false">SUM(O118:Z118)</f>
        <v>0</v>
      </c>
      <c r="AP118" s="36" t="n">
        <f aca="false">SUM(AA118:AL118)</f>
        <v>0</v>
      </c>
    </row>
    <row r="119" customFormat="false" ht="15" hidden="false" customHeight="false" outlineLevel="0" collapsed="false">
      <c r="A119" s="0" t="s">
        <v>925</v>
      </c>
      <c r="B119" s="0" t="s">
        <v>852</v>
      </c>
      <c r="C119" s="14" t="n">
        <f aca="false">((C49+C72)+C95)</f>
        <v>0</v>
      </c>
      <c r="D119" s="14" t="n">
        <f aca="false">((D49+D72)+D95)</f>
        <v>0</v>
      </c>
      <c r="E119" s="14" t="n">
        <f aca="false">((E49+E72)+E95)</f>
        <v>0</v>
      </c>
      <c r="F119" s="14" t="n">
        <f aca="false">((F49+F72)+F95)</f>
        <v>0</v>
      </c>
      <c r="G119" s="14" t="n">
        <f aca="false">((G49+G72)+G95)</f>
        <v>0</v>
      </c>
      <c r="H119" s="14" t="n">
        <f aca="false">((H49+H72)+H95)</f>
        <v>0</v>
      </c>
      <c r="I119" s="14" t="n">
        <f aca="false">((I49+I72)+I95)</f>
        <v>0</v>
      </c>
      <c r="J119" s="14" t="n">
        <f aca="false">((J49+J72)+J95)</f>
        <v>0</v>
      </c>
      <c r="K119" s="14" t="n">
        <f aca="false">((K49+K72)+K95)</f>
        <v>0</v>
      </c>
      <c r="L119" s="14" t="n">
        <f aca="false">((L49+L72)+L95)</f>
        <v>0</v>
      </c>
      <c r="M119" s="14" t="n">
        <f aca="false">((M49+M72)+M95)</f>
        <v>0</v>
      </c>
      <c r="N119" s="14" t="n">
        <f aca="false">((N49+N72)+N95)</f>
        <v>0</v>
      </c>
      <c r="O119" s="14" t="n">
        <f aca="false">((O49+O72)+O95)</f>
        <v>0</v>
      </c>
      <c r="P119" s="14" t="n">
        <f aca="false">((P49+P72)+P95)</f>
        <v>0</v>
      </c>
      <c r="Q119" s="14" t="n">
        <f aca="false">((Q49+Q72)+Q95)</f>
        <v>0</v>
      </c>
      <c r="R119" s="14" t="n">
        <f aca="false">((R49+R72)+R95)</f>
        <v>0</v>
      </c>
      <c r="S119" s="14" t="n">
        <f aca="false">((S49+S72)+S95)</f>
        <v>0</v>
      </c>
      <c r="T119" s="14" t="n">
        <f aca="false">((T49+T72)+T95)</f>
        <v>0</v>
      </c>
      <c r="U119" s="14" t="n">
        <f aca="false">((U49+U72)+U95)</f>
        <v>0</v>
      </c>
      <c r="V119" s="14" t="n">
        <f aca="false">((V49+V72)+V95)</f>
        <v>0</v>
      </c>
      <c r="W119" s="14" t="n">
        <f aca="false">((W49+W72)+W95)</f>
        <v>0</v>
      </c>
      <c r="X119" s="14" t="n">
        <f aca="false">((X49+X72)+X95)</f>
        <v>0</v>
      </c>
      <c r="Y119" s="14" t="n">
        <f aca="false">((Y49+Y72)+Y95)</f>
        <v>1</v>
      </c>
      <c r="Z119" s="14" t="n">
        <f aca="false">((Z49+Z72)+Z95)</f>
        <v>0</v>
      </c>
      <c r="AA119" s="14" t="n">
        <f aca="false">((AA49+AA72)+AA95)</f>
        <v>0</v>
      </c>
      <c r="AB119" s="14" t="n">
        <f aca="false">((AB49+AB72)+AB95)</f>
        <v>2</v>
      </c>
      <c r="AC119" s="14" t="n">
        <f aca="false">((AC49+AC72)+AC95)</f>
        <v>0</v>
      </c>
      <c r="AD119" s="14" t="n">
        <f aca="false">((AD49+AD72)+AD95)</f>
        <v>0</v>
      </c>
      <c r="AE119" s="14" t="n">
        <f aca="false">((AE49+AE72)+AE95)</f>
        <v>3</v>
      </c>
      <c r="AF119" s="14" t="n">
        <f aca="false">((AF49+AF72)+AF95)</f>
        <v>0</v>
      </c>
      <c r="AG119" s="14" t="n">
        <f aca="false">((AG49+AG72)+AG95)</f>
        <v>0</v>
      </c>
      <c r="AH119" s="14" t="n">
        <f aca="false">((AH49+AH72)+AH95)</f>
        <v>3</v>
      </c>
      <c r="AI119" s="14" t="n">
        <f aca="false">((AI49+AI72)+AI95)</f>
        <v>0</v>
      </c>
      <c r="AJ119" s="14" t="n">
        <f aca="false">((AJ49+AJ72)+AJ95)</f>
        <v>0</v>
      </c>
      <c r="AK119" s="14" t="n">
        <f aca="false">((AK49+AK72)+AK95)</f>
        <v>5</v>
      </c>
      <c r="AL119" s="14" t="n">
        <f aca="false">((AL49+AL72)+AL95)</f>
        <v>1</v>
      </c>
      <c r="AN119" s="36" t="n">
        <f aca="false">SUM(C119:N119)</f>
        <v>0</v>
      </c>
      <c r="AO119" s="36" t="n">
        <f aca="false">SUM(O119:Z119)</f>
        <v>1</v>
      </c>
      <c r="AP119" s="36" t="n">
        <f aca="false">SUM(AA119:AL119)</f>
        <v>14</v>
      </c>
    </row>
    <row r="120" customFormat="false" ht="15" hidden="false" customHeight="false" outlineLevel="0" collapsed="false">
      <c r="A120" s="0" t="s">
        <v>926</v>
      </c>
      <c r="B120" s="0" t="s">
        <v>852</v>
      </c>
      <c r="C120" s="14" t="n">
        <f aca="false">((C50+C73)+C96)</f>
        <v>0</v>
      </c>
      <c r="D120" s="14" t="n">
        <f aca="false">((D50+D73)+D96)</f>
        <v>0</v>
      </c>
      <c r="E120" s="14" t="n">
        <f aca="false">((E50+E73)+E96)</f>
        <v>0</v>
      </c>
      <c r="F120" s="14" t="n">
        <f aca="false">((F50+F73)+F96)</f>
        <v>0</v>
      </c>
      <c r="G120" s="14" t="n">
        <f aca="false">((G50+G73)+G96)</f>
        <v>0</v>
      </c>
      <c r="H120" s="14" t="n">
        <f aca="false">((H50+H73)+H96)</f>
        <v>0</v>
      </c>
      <c r="I120" s="14" t="n">
        <f aca="false">((I50+I73)+I96)</f>
        <v>0</v>
      </c>
      <c r="J120" s="14" t="n">
        <f aca="false">((J50+J73)+J96)</f>
        <v>0</v>
      </c>
      <c r="K120" s="14" t="n">
        <f aca="false">((K50+K73)+K96)</f>
        <v>0</v>
      </c>
      <c r="L120" s="14" t="n">
        <f aca="false">((L50+L73)+L96)</f>
        <v>0</v>
      </c>
      <c r="M120" s="14" t="n">
        <f aca="false">((M50+M73)+M96)</f>
        <v>0</v>
      </c>
      <c r="N120" s="14" t="n">
        <f aca="false">((N50+N73)+N96)</f>
        <v>0</v>
      </c>
      <c r="O120" s="14" t="n">
        <f aca="false">((O50+O73)+O96)</f>
        <v>1</v>
      </c>
      <c r="P120" s="14" t="n">
        <f aca="false">((P50+P73)+P96)</f>
        <v>0</v>
      </c>
      <c r="Q120" s="14" t="n">
        <f aca="false">((Q50+Q73)+Q96)</f>
        <v>0</v>
      </c>
      <c r="R120" s="14" t="n">
        <f aca="false">((R50+R73)+R96)</f>
        <v>0.8</v>
      </c>
      <c r="S120" s="14" t="n">
        <f aca="false">((S50+S73)+S96)</f>
        <v>0</v>
      </c>
      <c r="T120" s="14" t="n">
        <f aca="false">((T50+T73)+T96)</f>
        <v>0</v>
      </c>
      <c r="U120" s="14" t="n">
        <f aca="false">((U50+U73)+U96)</f>
        <v>1.2</v>
      </c>
      <c r="V120" s="14" t="n">
        <f aca="false">((V50+V73)+V96)</f>
        <v>0</v>
      </c>
      <c r="W120" s="14" t="n">
        <f aca="false">((W50+W73)+W96)</f>
        <v>0</v>
      </c>
      <c r="X120" s="14" t="n">
        <f aca="false">((X50+X73)+X96)</f>
        <v>3</v>
      </c>
      <c r="Y120" s="14" t="n">
        <f aca="false">((Y50+Y73)+Y96)</f>
        <v>1</v>
      </c>
      <c r="Z120" s="14" t="n">
        <f aca="false">((Z50+Z73)+Z96)</f>
        <v>0</v>
      </c>
      <c r="AA120" s="14" t="n">
        <f aca="false">((AA50+AA73)+AA96)</f>
        <v>4</v>
      </c>
      <c r="AB120" s="14" t="n">
        <f aca="false">((AB50+AB73)+AB96)</f>
        <v>2</v>
      </c>
      <c r="AC120" s="14" t="n">
        <f aca="false">((AC50+AC73)+AC96)</f>
        <v>0</v>
      </c>
      <c r="AD120" s="14" t="n">
        <f aca="false">((AD50+AD73)+AD96)</f>
        <v>5</v>
      </c>
      <c r="AE120" s="14" t="n">
        <f aca="false">((AE50+AE73)+AE96)</f>
        <v>3</v>
      </c>
      <c r="AF120" s="14" t="n">
        <f aca="false">((AF50+AF73)+AF96)</f>
        <v>1</v>
      </c>
      <c r="AG120" s="14" t="n">
        <f aca="false">((AG50+AG73)+AG96)</f>
        <v>5</v>
      </c>
      <c r="AH120" s="14" t="n">
        <f aca="false">((AH50+AH73)+AH96)</f>
        <v>3</v>
      </c>
      <c r="AI120" s="14" t="n">
        <f aca="false">((AI50+AI73)+AI96)</f>
        <v>0</v>
      </c>
      <c r="AJ120" s="14" t="n">
        <f aca="false">((AJ50+AJ73)+AJ96)</f>
        <v>6</v>
      </c>
      <c r="AK120" s="14" t="n">
        <f aca="false">((AK50+AK73)+AK96)</f>
        <v>5</v>
      </c>
      <c r="AL120" s="14" t="n">
        <f aca="false">((AL50+AL73)+AL96)</f>
        <v>2</v>
      </c>
      <c r="AN120" s="36" t="n">
        <f aca="false">SUM(C120:N120)</f>
        <v>0</v>
      </c>
      <c r="AO120" s="36" t="n">
        <f aca="false">SUM(O120:Z120)</f>
        <v>7</v>
      </c>
      <c r="AP120" s="36" t="n">
        <f aca="false">SUM(AA120:AL120)</f>
        <v>36</v>
      </c>
    </row>
    <row r="121" customFormat="false" ht="15" hidden="false" customHeight="false" outlineLevel="0" collapsed="false">
      <c r="A121" s="0" t="s">
        <v>927</v>
      </c>
      <c r="B121" s="0" t="s">
        <v>852</v>
      </c>
      <c r="C121" s="14" t="n">
        <f aca="false">((C55+C78)+C101)</f>
        <v>0</v>
      </c>
      <c r="D121" s="14" t="n">
        <f aca="false">((D55+D78)+D101)</f>
        <v>0</v>
      </c>
      <c r="E121" s="14" t="n">
        <f aca="false">((E55+E78)+E101)</f>
        <v>0</v>
      </c>
      <c r="F121" s="14" t="n">
        <f aca="false">((F55+F78)+F101)</f>
        <v>0</v>
      </c>
      <c r="G121" s="14" t="n">
        <f aca="false">((G55+G78)+G101)</f>
        <v>0</v>
      </c>
      <c r="H121" s="14" t="n">
        <f aca="false">((H55+H78)+H101)</f>
        <v>0</v>
      </c>
      <c r="I121" s="14" t="n">
        <f aca="false">((I55+I78)+I101)</f>
        <v>0</v>
      </c>
      <c r="J121" s="14" t="n">
        <f aca="false">((J55+J78)+J101)</f>
        <v>0</v>
      </c>
      <c r="K121" s="14" t="n">
        <f aca="false">((K55+K78)+K101)</f>
        <v>0</v>
      </c>
      <c r="L121" s="14" t="n">
        <f aca="false">((L55+L78)+L101)</f>
        <v>0</v>
      </c>
      <c r="M121" s="14" t="n">
        <f aca="false">((M55+M78)+M101)</f>
        <v>0</v>
      </c>
      <c r="N121" s="14" t="n">
        <f aca="false">((N55+N78)+N101)</f>
        <v>0.6</v>
      </c>
      <c r="O121" s="14" t="n">
        <f aca="false">((O55+O78)+O101)</f>
        <v>0</v>
      </c>
      <c r="P121" s="14" t="n">
        <f aca="false">((P55+P78)+P101)</f>
        <v>0</v>
      </c>
      <c r="Q121" s="14" t="n">
        <f aca="false">((Q55+Q78)+Q101)</f>
        <v>0.6</v>
      </c>
      <c r="R121" s="14" t="n">
        <f aca="false">((R55+R78)+R101)</f>
        <v>0</v>
      </c>
      <c r="S121" s="14" t="n">
        <f aca="false">((S55+S78)+S101)</f>
        <v>0</v>
      </c>
      <c r="T121" s="14" t="n">
        <f aca="false">((T55+T78)+T101)</f>
        <v>0</v>
      </c>
      <c r="U121" s="14" t="n">
        <f aca="false">((U55+U78)+U101)</f>
        <v>0</v>
      </c>
      <c r="V121" s="14" t="n">
        <f aca="false">((V55+V78)+V101)</f>
        <v>0.5</v>
      </c>
      <c r="W121" s="14" t="n">
        <f aca="false">((W55+W78)+W101)</f>
        <v>0</v>
      </c>
      <c r="X121" s="14" t="n">
        <f aca="false">((X55+X78)+X101)</f>
        <v>0</v>
      </c>
      <c r="Y121" s="14" t="n">
        <f aca="false">((Y55+Y78)+Y101)</f>
        <v>1.38</v>
      </c>
      <c r="Z121" s="14" t="n">
        <f aca="false">((Z55+Z78)+Z101)</f>
        <v>0</v>
      </c>
      <c r="AA121" s="14" t="n">
        <f aca="false">((AA55+AA78)+AA101)</f>
        <v>0</v>
      </c>
      <c r="AB121" s="14" t="n">
        <f aca="false">((AB55+AB78)+AB101)</f>
        <v>2.58</v>
      </c>
      <c r="AC121" s="14" t="n">
        <f aca="false">((AC55+AC78)+AC101)</f>
        <v>0</v>
      </c>
      <c r="AD121" s="14" t="n">
        <f aca="false">((AD55+AD78)+AD101)</f>
        <v>0</v>
      </c>
      <c r="AE121" s="14" t="n">
        <f aca="false">((AE55+AE78)+AE101)</f>
        <v>4.45</v>
      </c>
      <c r="AF121" s="14" t="n">
        <f aca="false">((AF55+AF78)+AF101)</f>
        <v>0</v>
      </c>
      <c r="AG121" s="14" t="n">
        <f aca="false">((AG55+AG78)+AG101)</f>
        <v>0</v>
      </c>
      <c r="AH121" s="14" t="n">
        <f aca="false">((AH55+AH78)+AH101)</f>
        <v>4.95</v>
      </c>
      <c r="AI121" s="14" t="n">
        <f aca="false">((AI55+AI78)+AI101)</f>
        <v>0</v>
      </c>
      <c r="AJ121" s="14" t="n">
        <f aca="false">((AJ55+AJ78)+AJ101)</f>
        <v>0</v>
      </c>
      <c r="AK121" s="14" t="n">
        <f aca="false">((AK55+AK78)+AK101)</f>
        <v>7.4</v>
      </c>
      <c r="AL121" s="14" t="n">
        <f aca="false">((AL55+AL78)+AL101)</f>
        <v>1</v>
      </c>
      <c r="AN121" s="36" t="n">
        <f aca="false">SUM(C121:N121)</f>
        <v>0.6</v>
      </c>
      <c r="AO121" s="36" t="n">
        <f aca="false">SUM(O121:Z121)</f>
        <v>2.48</v>
      </c>
      <c r="AP121" s="36" t="n">
        <f aca="false">SUM(AA121:AL121)</f>
        <v>20.38</v>
      </c>
    </row>
    <row r="122" customFormat="false" ht="15" hidden="false" customHeight="false" outlineLevel="0" collapsed="false">
      <c r="A122" s="0" t="s">
        <v>928</v>
      </c>
      <c r="B122" s="0" t="s">
        <v>852</v>
      </c>
      <c r="C122" s="13" t="n">
        <f aca="false">((C57+C80)+C103)</f>
        <v>0</v>
      </c>
      <c r="D122" s="13" t="n">
        <f aca="false">((D57+D80)+D103)</f>
        <v>0</v>
      </c>
      <c r="E122" s="13" t="n">
        <f aca="false">((E57+E80)+E103)</f>
        <v>0</v>
      </c>
      <c r="F122" s="13" t="n">
        <f aca="false">((F57+F80)+F103)</f>
        <v>0</v>
      </c>
      <c r="G122" s="13" t="n">
        <f aca="false">((G57+G80)+G103)</f>
        <v>0</v>
      </c>
      <c r="H122" s="13" t="n">
        <f aca="false">((H57+H80)+H103)</f>
        <v>0</v>
      </c>
      <c r="I122" s="13" t="n">
        <f aca="false">((I57+I80)+I103)</f>
        <v>0</v>
      </c>
      <c r="J122" s="13" t="n">
        <f aca="false">((J57+J80)+J103)</f>
        <v>0</v>
      </c>
      <c r="K122" s="13" t="n">
        <f aca="false">((K57+K80)+K103)</f>
        <v>0</v>
      </c>
      <c r="L122" s="13" t="n">
        <f aca="false">((L57+L80)+L103)</f>
        <v>0</v>
      </c>
      <c r="M122" s="13" t="n">
        <f aca="false">((M57+M80)+M103)</f>
        <v>0</v>
      </c>
      <c r="N122" s="13" t="n">
        <f aca="false">((N57+N80)+N103)</f>
        <v>0.6</v>
      </c>
      <c r="O122" s="13" t="n">
        <f aca="false">((O57+O80)+O103)</f>
        <v>0.6</v>
      </c>
      <c r="P122" s="13" t="n">
        <f aca="false">((P57+P80)+P103)</f>
        <v>0.6</v>
      </c>
      <c r="Q122" s="13" t="n">
        <f aca="false">((Q57+Q80)+Q103)</f>
        <v>1.2</v>
      </c>
      <c r="R122" s="13" t="n">
        <f aca="false">((R57+R80)+R103)</f>
        <v>1.2</v>
      </c>
      <c r="S122" s="13" t="n">
        <f aca="false">((S57+S80)+S103)</f>
        <v>1.2</v>
      </c>
      <c r="T122" s="13" t="n">
        <f aca="false">((T57+T80)+T103)</f>
        <v>1.2</v>
      </c>
      <c r="U122" s="13" t="n">
        <f aca="false">((U57+U80)+U103)</f>
        <v>1.2</v>
      </c>
      <c r="V122" s="13" t="n">
        <f aca="false">((V57+V80)+V103)</f>
        <v>1.7</v>
      </c>
      <c r="W122" s="13" t="n">
        <f aca="false">((W57+W80)+W103)</f>
        <v>1.7</v>
      </c>
      <c r="X122" s="13" t="n">
        <f aca="false">((X57+X80)+X103)</f>
        <v>1.7</v>
      </c>
      <c r="Y122" s="13" t="n">
        <f aca="false">((Y57+Y80)+Y103)</f>
        <v>3.08</v>
      </c>
      <c r="Z122" s="13" t="n">
        <f aca="false">((Z57+Z80)+Z103)</f>
        <v>2.918</v>
      </c>
      <c r="AA122" s="13" t="n">
        <f aca="false">((AA57+AA80)+AA103)</f>
        <v>2.918</v>
      </c>
      <c r="AB122" s="13" t="n">
        <f aca="false">((AB57+AB80)+AB103)</f>
        <v>5.498</v>
      </c>
      <c r="AC122" s="13" t="n">
        <f aca="false">((AC57+AC80)+AC103)</f>
        <v>5.426</v>
      </c>
      <c r="AD122" s="13" t="n">
        <f aca="false">((AD57+AD80)+AD103)</f>
        <v>5.426</v>
      </c>
      <c r="AE122" s="13" t="n">
        <f aca="false">((AE57+AE80)+AE103)</f>
        <v>9.876</v>
      </c>
      <c r="AF122" s="13" t="n">
        <f aca="false">((AF57+AF80)+AF103)</f>
        <v>9.876</v>
      </c>
      <c r="AG122" s="13" t="n">
        <f aca="false">((AG57+AG80)+AG103)</f>
        <v>9.876</v>
      </c>
      <c r="AH122" s="13" t="n">
        <f aca="false">((AH57+AH80)+AH103)</f>
        <v>14.766</v>
      </c>
      <c r="AI122" s="13" t="n">
        <f aca="false">((AI57+AI80)+AI103)</f>
        <v>14.766</v>
      </c>
      <c r="AJ122" s="13" t="n">
        <f aca="false">((AJ57+AJ80)+AJ103)</f>
        <v>14.766</v>
      </c>
      <c r="AK122" s="13" t="n">
        <f aca="false">((AK57+AK80)+AK103)</f>
        <v>22.0004</v>
      </c>
      <c r="AL122" s="13" t="n">
        <f aca="false">((AL57+AL80)+AL103)</f>
        <v>22.94784</v>
      </c>
      <c r="AN122" s="37" t="n">
        <f aca="false">N122</f>
        <v>0.6</v>
      </c>
      <c r="AO122" s="37" t="n">
        <f aca="false">Z122</f>
        <v>2.918</v>
      </c>
      <c r="AP122" s="37" t="n">
        <f aca="false">AL122</f>
        <v>22.94784</v>
      </c>
    </row>
    <row r="123" customFormat="false" ht="15" hidden="false" customHeight="false" outlineLevel="0" collapsed="false">
      <c r="A123" s="0" t="s">
        <v>929</v>
      </c>
      <c r="B123" s="0" t="s">
        <v>852</v>
      </c>
      <c r="C123" s="13" t="n">
        <f aca="false">((C51+C74)+C97)</f>
        <v>0</v>
      </c>
      <c r="D123" s="13" t="n">
        <f aca="false">((D51+D74)+D97)</f>
        <v>0</v>
      </c>
      <c r="E123" s="13" t="n">
        <f aca="false">((E51+E74)+E97)</f>
        <v>0</v>
      </c>
      <c r="F123" s="13" t="n">
        <f aca="false">((F51+F74)+F97)</f>
        <v>0</v>
      </c>
      <c r="G123" s="13" t="n">
        <f aca="false">((G51+G74)+G97)</f>
        <v>1</v>
      </c>
      <c r="H123" s="13" t="n">
        <f aca="false">((H51+H74)+H97)</f>
        <v>1</v>
      </c>
      <c r="I123" s="13" t="n">
        <f aca="false">((I51+I74)+I97)</f>
        <v>1</v>
      </c>
      <c r="J123" s="13" t="n">
        <f aca="false">((J51+J74)+J97)</f>
        <v>2</v>
      </c>
      <c r="K123" s="13" t="n">
        <f aca="false">((K51+K74)+K97)</f>
        <v>2</v>
      </c>
      <c r="L123" s="13" t="n">
        <f aca="false">((L51+L74)+L97)</f>
        <v>2</v>
      </c>
      <c r="M123" s="13" t="n">
        <f aca="false">((M51+M74)+M97)</f>
        <v>1</v>
      </c>
      <c r="N123" s="13" t="n">
        <f aca="false">((N51+N74)+N97)</f>
        <v>1</v>
      </c>
      <c r="O123" s="13" t="n">
        <f aca="false">((O51+O74)+O97)</f>
        <v>2</v>
      </c>
      <c r="P123" s="13" t="n">
        <f aca="false">((P51+P74)+P97)</f>
        <v>1</v>
      </c>
      <c r="Q123" s="13" t="n">
        <f aca="false">((Q51+Q74)+Q97)</f>
        <v>1</v>
      </c>
      <c r="R123" s="13" t="n">
        <f aca="false">((R51+R74)+R97)</f>
        <v>1.8</v>
      </c>
      <c r="S123" s="13" t="n">
        <f aca="false">((S51+S74)+S97)</f>
        <v>1.8</v>
      </c>
      <c r="T123" s="13" t="n">
        <f aca="false">((T51+T74)+T97)</f>
        <v>1.8</v>
      </c>
      <c r="U123" s="13" t="n">
        <f aca="false">((U51+U74)+U97)</f>
        <v>2</v>
      </c>
      <c r="V123" s="13" t="n">
        <f aca="false">((V51+V74)+V97)</f>
        <v>2</v>
      </c>
      <c r="W123" s="13" t="n">
        <f aca="false">((W51+W74)+W97)</f>
        <v>2</v>
      </c>
      <c r="X123" s="13" t="n">
        <f aca="false">((X51+X74)+X97)</f>
        <v>4.2</v>
      </c>
      <c r="Y123" s="13" t="n">
        <f aca="false">((Y51+Y74)+Y97)</f>
        <v>4.2</v>
      </c>
      <c r="Z123" s="13" t="n">
        <f aca="false">((Z51+Z74)+Z97)</f>
        <v>4.2</v>
      </c>
      <c r="AA123" s="13" t="n">
        <f aca="false">((AA51+AA74)+AA97)</f>
        <v>7</v>
      </c>
      <c r="AB123" s="13" t="n">
        <f aca="false">((AB51+AB74)+AB97)</f>
        <v>7</v>
      </c>
      <c r="AC123" s="13" t="n">
        <f aca="false">((AC51+AC74)+AC97)</f>
        <v>7</v>
      </c>
      <c r="AD123" s="13" t="n">
        <f aca="false">((AD51+AD74)+AD97)</f>
        <v>9</v>
      </c>
      <c r="AE123" s="13" t="n">
        <f aca="false">((AE51+AE74)+AE97)</f>
        <v>9</v>
      </c>
      <c r="AF123" s="13" t="n">
        <f aca="false">((AF51+AF74)+AF97)</f>
        <v>10</v>
      </c>
      <c r="AG123" s="13" t="n">
        <f aca="false">((AG51+AG74)+AG97)</f>
        <v>11</v>
      </c>
      <c r="AH123" s="13" t="n">
        <f aca="false">((AH51+AH74)+AH97)</f>
        <v>11</v>
      </c>
      <c r="AI123" s="13" t="n">
        <f aca="false">((AI51+AI74)+AI97)</f>
        <v>11</v>
      </c>
      <c r="AJ123" s="13" t="n">
        <f aca="false">((AJ51+AJ74)+AJ97)</f>
        <v>12</v>
      </c>
      <c r="AK123" s="13" t="n">
        <f aca="false">((AK51+AK74)+AK97)</f>
        <v>12</v>
      </c>
      <c r="AL123" s="13" t="n">
        <f aca="false">((AL51+AL74)+AL97)</f>
        <v>12</v>
      </c>
      <c r="AN123" s="37" t="n">
        <f aca="false">N123</f>
        <v>1</v>
      </c>
      <c r="AO123" s="37" t="n">
        <f aca="false">Z123</f>
        <v>4.2</v>
      </c>
      <c r="AP123" s="37" t="n">
        <f aca="false">AL123</f>
        <v>12</v>
      </c>
    </row>
    <row r="124" customFormat="false" ht="15" hidden="false" customHeight="false" outlineLevel="0" collapsed="false">
      <c r="A124" s="0" t="s">
        <v>930</v>
      </c>
      <c r="B124" s="0" t="s">
        <v>230</v>
      </c>
      <c r="C124" s="9" t="n">
        <f aca="false">((C61+C84)+C107)</f>
        <v>0</v>
      </c>
      <c r="D124" s="9" t="n">
        <f aca="false">((D61+D84)+D107)</f>
        <v>0</v>
      </c>
      <c r="E124" s="9" t="n">
        <f aca="false">((E61+E84)+E107)</f>
        <v>0</v>
      </c>
      <c r="F124" s="9" t="n">
        <f aca="false">((F61+F84)+F107)</f>
        <v>0</v>
      </c>
      <c r="G124" s="9" t="n">
        <f aca="false">((G61+G84)+G107)</f>
        <v>0</v>
      </c>
      <c r="H124" s="9" t="n">
        <f aca="false">((H61+H84)+H107)</f>
        <v>0</v>
      </c>
      <c r="I124" s="9" t="n">
        <f aca="false">((I61+I84)+I107)</f>
        <v>0</v>
      </c>
      <c r="J124" s="9" t="n">
        <f aca="false">((J61+J84)+J107)</f>
        <v>0</v>
      </c>
      <c r="K124" s="9" t="n">
        <f aca="false">((K61+K84)+K107)</f>
        <v>0</v>
      </c>
      <c r="L124" s="9" t="n">
        <f aca="false">((L61+L84)+L107)</f>
        <v>0</v>
      </c>
      <c r="M124" s="9" t="n">
        <f aca="false">((M61+M84)+M107)</f>
        <v>0</v>
      </c>
      <c r="N124" s="9" t="n">
        <f aca="false">((N61+N84)+N107)</f>
        <v>1320</v>
      </c>
      <c r="O124" s="9" t="n">
        <f aca="false">((O61+O84)+O107)</f>
        <v>1320</v>
      </c>
      <c r="P124" s="9" t="n">
        <f aca="false">((P61+P84)+P107)</f>
        <v>1320</v>
      </c>
      <c r="Q124" s="9" t="n">
        <f aca="false">((Q61+Q84)+Q107)</f>
        <v>5060</v>
      </c>
      <c r="R124" s="9" t="n">
        <f aca="false">((R61+R84)+R107)</f>
        <v>5060</v>
      </c>
      <c r="S124" s="9" t="n">
        <f aca="false">((S61+S84)+S107)</f>
        <v>5060</v>
      </c>
      <c r="T124" s="9" t="n">
        <f aca="false">((T61+T84)+T107)</f>
        <v>5060</v>
      </c>
      <c r="U124" s="9" t="n">
        <f aca="false">((U61+U84)+U107)</f>
        <v>5060</v>
      </c>
      <c r="V124" s="9" t="n">
        <f aca="false">((V61+V84)+V107)</f>
        <v>5847.5</v>
      </c>
      <c r="W124" s="9" t="n">
        <f aca="false">((W61+W84)+W107)</f>
        <v>5847.5</v>
      </c>
      <c r="X124" s="9" t="n">
        <f aca="false">((X61+X84)+X107)</f>
        <v>5847.5</v>
      </c>
      <c r="Y124" s="9" t="n">
        <f aca="false">((Y61+Y84)+Y107)</f>
        <v>9259.5</v>
      </c>
      <c r="Z124" s="9" t="n">
        <f aca="false">((Z61+Z84)+Z107)</f>
        <v>8999.46</v>
      </c>
      <c r="AA124" s="9" t="n">
        <f aca="false">((AA61+AA84)+AA107)</f>
        <v>8999.46</v>
      </c>
      <c r="AB124" s="9" t="n">
        <f aca="false">((AB61+AB84)+AB107)</f>
        <v>18959.7933333333</v>
      </c>
      <c r="AC124" s="9" t="n">
        <f aca="false">((AC61+AC84)+AC107)</f>
        <v>18840.1133333333</v>
      </c>
      <c r="AD124" s="9" t="n">
        <f aca="false">((AD61+AD84)+AD107)</f>
        <v>18840.1133333333</v>
      </c>
      <c r="AE124" s="9" t="n">
        <f aca="false">((AE61+AE84)+AE107)</f>
        <v>33290.9466666667</v>
      </c>
      <c r="AF124" s="9" t="n">
        <f aca="false">((AF61+AF84)+AF107)</f>
        <v>33290.9466666667</v>
      </c>
      <c r="AG124" s="9" t="n">
        <f aca="false">((AG61+AG84)+AG107)</f>
        <v>33290.9466666667</v>
      </c>
      <c r="AH124" s="9" t="n">
        <f aca="false">((AH61+AH84)+AH107)</f>
        <v>48806.58</v>
      </c>
      <c r="AI124" s="9" t="n">
        <f aca="false">((AI61+AI84)+AI107)</f>
        <v>48806.58</v>
      </c>
      <c r="AJ124" s="9" t="n">
        <f aca="false">((AJ61+AJ84)+AJ107)</f>
        <v>48806.58</v>
      </c>
      <c r="AK124" s="9" t="n">
        <f aca="false">((AK61+AK84)+AK107)</f>
        <v>74950.3626666667</v>
      </c>
      <c r="AL124" s="9" t="n">
        <f aca="false">((AL61+AL84)+AL107)</f>
        <v>91049.77728</v>
      </c>
      <c r="AN124" s="11" t="n">
        <f aca="false">SUM(C124:N124)</f>
        <v>1320</v>
      </c>
      <c r="AO124" s="11" t="n">
        <f aca="false">SUM(O124:Z124)</f>
        <v>63741.46</v>
      </c>
      <c r="AP124" s="11" t="n">
        <f aca="false">SUM(AA124:AL124)</f>
        <v>477932.199946667</v>
      </c>
    </row>
    <row r="125" customFormat="false" ht="15" hidden="false" customHeight="false" outlineLevel="0" collapsed="false">
      <c r="A125" s="0" t="s">
        <v>931</v>
      </c>
      <c r="B125" s="0" t="s">
        <v>230</v>
      </c>
      <c r="C125" s="9" t="n">
        <f aca="false">IF(AND(($C$14=1),(C$18=(Assumptions!$C$106+1))),((Assumptions!$C$114*12)*C124),0)</f>
        <v>0</v>
      </c>
      <c r="D125" s="9" t="n">
        <f aca="false">IF(AND(($C$14=1),(D$18=(Assumptions!$C$106+1))),((Assumptions!$C$114*12)*D124),0)</f>
        <v>0</v>
      </c>
      <c r="E125" s="9" t="n">
        <f aca="false">IF(AND(($C$14=1),(E$18=(Assumptions!$C$106+1))),((Assumptions!$C$114*12)*E124),0)</f>
        <v>0</v>
      </c>
      <c r="F125" s="9" t="n">
        <f aca="false">IF(AND(($C$14=1),(F$18=(Assumptions!$C$106+1))),((Assumptions!$C$114*12)*F124),0)</f>
        <v>0</v>
      </c>
      <c r="G125" s="9" t="n">
        <f aca="false">IF(AND(($C$14=1),(G$18=(Assumptions!$C$106+1))),((Assumptions!$C$114*12)*G124),0)</f>
        <v>0</v>
      </c>
      <c r="H125" s="9" t="n">
        <f aca="false">IF(AND(($C$14=1),(H$18=(Assumptions!$C$106+1))),((Assumptions!$C$114*12)*H124),0)</f>
        <v>0</v>
      </c>
      <c r="I125" s="9" t="n">
        <f aca="false">IF(AND(($C$14=1),(I$18=(Assumptions!$C$106+1))),((Assumptions!$C$114*12)*I124),0)</f>
        <v>0</v>
      </c>
      <c r="J125" s="9" t="n">
        <f aca="false">IF(AND(($C$14=1),(J$18=(Assumptions!$C$106+1))),((Assumptions!$C$114*12)*J124),0)</f>
        <v>0</v>
      </c>
      <c r="K125" s="9" t="n">
        <f aca="false">IF(AND(($C$14=1),(K$18=(Assumptions!$C$106+1))),((Assumptions!$C$114*12)*K124),0)</f>
        <v>0</v>
      </c>
      <c r="L125" s="9" t="n">
        <f aca="false">IF(AND(($C$14=1),(L$18=(Assumptions!$C$106+1))),((Assumptions!$C$114*12)*L124),0)</f>
        <v>0</v>
      </c>
      <c r="M125" s="9" t="n">
        <f aca="false">IF(AND(($C$14=1),(M$18=(Assumptions!$C$106+1))),((Assumptions!$C$114*12)*M124),0)</f>
        <v>0</v>
      </c>
      <c r="N125" s="9" t="n">
        <f aca="false">IF(AND(($C$14=1),(N$18=(Assumptions!$C$106+1))),((Assumptions!$C$114*12)*N124),0)</f>
        <v>0</v>
      </c>
      <c r="O125" s="9" t="n">
        <f aca="false">IF(AND(($C$14=1),(O$18=(Assumptions!$C$106+1))),((Assumptions!$C$114*12)*O124),0)</f>
        <v>0</v>
      </c>
      <c r="P125" s="9" t="n">
        <f aca="false">IF(AND(($C$14=1),(P$18=(Assumptions!$C$106+1))),((Assumptions!$C$114*12)*P124),0)</f>
        <v>0</v>
      </c>
      <c r="Q125" s="9" t="n">
        <f aca="false">IF(AND(($C$14=1),(Q$18=(Assumptions!$C$106+1))),((Assumptions!$C$114*12)*Q124),0)</f>
        <v>3036</v>
      </c>
      <c r="R125" s="9" t="n">
        <f aca="false">IF(AND(($C$14=1),(R$18=(Assumptions!$C$106+1))),((Assumptions!$C$114*12)*R124),0)</f>
        <v>0</v>
      </c>
      <c r="S125" s="9" t="n">
        <f aca="false">IF(AND(($C$14=1),(S$18=(Assumptions!$C$106+1))),((Assumptions!$C$114*12)*S124),0)</f>
        <v>0</v>
      </c>
      <c r="T125" s="9" t="n">
        <f aca="false">IF(AND(($C$14=1),(T$18=(Assumptions!$C$106+1))),((Assumptions!$C$114*12)*T124),0)</f>
        <v>0</v>
      </c>
      <c r="U125" s="9" t="n">
        <f aca="false">IF(AND(($C$14=1),(U$18=(Assumptions!$C$106+1))),((Assumptions!$C$114*12)*U124),0)</f>
        <v>0</v>
      </c>
      <c r="V125" s="9" t="n">
        <f aca="false">IF(AND(($C$14=1),(V$18=(Assumptions!$C$106+1))),((Assumptions!$C$114*12)*V124),0)</f>
        <v>0</v>
      </c>
      <c r="W125" s="9" t="n">
        <f aca="false">IF(AND(($C$14=1),(W$18=(Assumptions!$C$106+1))),((Assumptions!$C$114*12)*W124),0)</f>
        <v>0</v>
      </c>
      <c r="X125" s="9" t="n">
        <f aca="false">IF(AND(($C$14=1),(X$18=(Assumptions!$C$106+1))),((Assumptions!$C$114*12)*X124),0)</f>
        <v>0</v>
      </c>
      <c r="Y125" s="9" t="n">
        <f aca="false">IF(AND(($C$14=1),(Y$18=(Assumptions!$C$106+1))),((Assumptions!$C$114*12)*Y124),0)</f>
        <v>0</v>
      </c>
      <c r="Z125" s="9" t="n">
        <f aca="false">IF(AND(($C$14=1),(Z$18=(Assumptions!$C$106+1))),((Assumptions!$C$114*12)*Z124),0)</f>
        <v>0</v>
      </c>
      <c r="AA125" s="9" t="n">
        <f aca="false">IF(AND(($C$14=1),(AA$18=(Assumptions!$C$106+1))),((Assumptions!$C$114*12)*AA124),0)</f>
        <v>0</v>
      </c>
      <c r="AB125" s="9" t="n">
        <f aca="false">IF(AND(($C$14=1),(AB$18=(Assumptions!$C$106+1))),((Assumptions!$C$114*12)*AB124),0)</f>
        <v>0</v>
      </c>
      <c r="AC125" s="9" t="n">
        <f aca="false">IF(AND(($C$14=1),(AC$18=(Assumptions!$C$106+1))),((Assumptions!$C$114*12)*AC124),0)</f>
        <v>0</v>
      </c>
      <c r="AD125" s="9" t="n">
        <f aca="false">IF(AND(($C$14=1),(AD$18=(Assumptions!$C$106+1))),((Assumptions!$C$114*12)*AD124),0)</f>
        <v>0</v>
      </c>
      <c r="AE125" s="9" t="n">
        <f aca="false">IF(AND(($C$14=1),(AE$18=(Assumptions!$C$106+1))),((Assumptions!$C$114*12)*AE124),0)</f>
        <v>0</v>
      </c>
      <c r="AF125" s="9" t="n">
        <f aca="false">IF(AND(($C$14=1),(AF$18=(Assumptions!$C$106+1))),((Assumptions!$C$114*12)*AF124),0)</f>
        <v>0</v>
      </c>
      <c r="AG125" s="9" t="n">
        <f aca="false">IF(AND(($C$14=1),(AG$18=(Assumptions!$C$106+1))),((Assumptions!$C$114*12)*AG124),0)</f>
        <v>0</v>
      </c>
      <c r="AH125" s="9" t="n">
        <f aca="false">IF(AND(($C$14=1),(AH$18=(Assumptions!$C$106+1))),((Assumptions!$C$114*12)*AH124),0)</f>
        <v>0</v>
      </c>
      <c r="AI125" s="9" t="n">
        <f aca="false">IF(AND(($C$14=1),(AI$18=(Assumptions!$C$106+1))),((Assumptions!$C$114*12)*AI124),0)</f>
        <v>0</v>
      </c>
      <c r="AJ125" s="9" t="n">
        <f aca="false">IF(AND(($C$14=1),(AJ$18=(Assumptions!$C$106+1))),((Assumptions!$C$114*12)*AJ124),0)</f>
        <v>0</v>
      </c>
      <c r="AK125" s="9" t="n">
        <f aca="false">IF(AND(($C$14=1),(AK$18=(Assumptions!$C$106+1))),((Assumptions!$C$114*12)*AK124),0)</f>
        <v>0</v>
      </c>
      <c r="AL125" s="9" t="n">
        <f aca="false">IF(AND(($C$14=1),(AL$18=(Assumptions!$C$106+1))),((Assumptions!$C$114*12)*AL124),0)</f>
        <v>0</v>
      </c>
      <c r="AN125" s="11" t="n">
        <f aca="false">SUM(C125:N125)</f>
        <v>0</v>
      </c>
      <c r="AO125" s="11" t="n">
        <f aca="false">SUM(O125:Z125)</f>
        <v>3036</v>
      </c>
      <c r="AP125" s="11" t="n">
        <f aca="false">SUM(AA125:AL125)</f>
        <v>0</v>
      </c>
    </row>
    <row r="126" customFormat="false" ht="15" hidden="false" customHeight="false" outlineLevel="0" collapsed="false">
      <c r="A126" s="0" t="s">
        <v>932</v>
      </c>
      <c r="B126" s="0" t="s">
        <v>500</v>
      </c>
      <c r="C126" s="9" t="n">
        <f aca="false">(((Assumptions!$C$125*(C57+(Assumptions!$C$32*C51)))+(Assumptions!$D$125*(C80+(Assumptions!$C$32*C74))))+(Assumptions!$E$125*(C103+(Assumptions!$C$32*C97))))</f>
        <v>0</v>
      </c>
      <c r="D126" s="9" t="n">
        <f aca="false">(((Assumptions!$C$125*(D57+(Assumptions!$C$32*D51)))+(Assumptions!$D$125*(D80+(Assumptions!$C$32*D74))))+(Assumptions!$E$125*(D103+(Assumptions!$C$32*D97))))</f>
        <v>0</v>
      </c>
      <c r="E126" s="9" t="n">
        <f aca="false">(((Assumptions!$C$125*(E57+(Assumptions!$C$32*E51)))+(Assumptions!$D$125*(E80+(Assumptions!$C$32*E74))))+(Assumptions!$E$125*(E103+(Assumptions!$C$32*E97))))</f>
        <v>0</v>
      </c>
      <c r="F126" s="9" t="n">
        <f aca="false">(((Assumptions!$C$125*(F57+(Assumptions!$C$32*F51)))+(Assumptions!$D$125*(F80+(Assumptions!$C$32*F74))))+(Assumptions!$E$125*(F103+(Assumptions!$C$32*F97))))</f>
        <v>0</v>
      </c>
      <c r="G126" s="9" t="n">
        <f aca="false">(((Assumptions!$C$125*(G57+(Assumptions!$C$32*G51)))+(Assumptions!$D$125*(G80+(Assumptions!$C$32*G74))))+(Assumptions!$E$125*(G103+(Assumptions!$C$32*G97))))</f>
        <v>210</v>
      </c>
      <c r="H126" s="9" t="n">
        <f aca="false">(((Assumptions!$C$125*(H57+(Assumptions!$C$32*H51)))+(Assumptions!$D$125*(H80+(Assumptions!$C$32*H74))))+(Assumptions!$E$125*(H103+(Assumptions!$C$32*H97))))</f>
        <v>210</v>
      </c>
      <c r="I126" s="9" t="n">
        <f aca="false">(((Assumptions!$C$125*(I57+(Assumptions!$C$32*I51)))+(Assumptions!$D$125*(I80+(Assumptions!$C$32*I74))))+(Assumptions!$E$125*(I103+(Assumptions!$C$32*I97))))</f>
        <v>210</v>
      </c>
      <c r="J126" s="9" t="n">
        <f aca="false">(((Assumptions!$C$125*(J57+(Assumptions!$C$32*J51)))+(Assumptions!$D$125*(J80+(Assumptions!$C$32*J74))))+(Assumptions!$E$125*(J103+(Assumptions!$C$32*J97))))</f>
        <v>1085</v>
      </c>
      <c r="K126" s="9" t="n">
        <f aca="false">(((Assumptions!$C$125*(K57+(Assumptions!$C$32*K51)))+(Assumptions!$D$125*(K80+(Assumptions!$C$32*K74))))+(Assumptions!$E$125*(K103+(Assumptions!$C$32*K97))))</f>
        <v>1085</v>
      </c>
      <c r="L126" s="9" t="n">
        <f aca="false">(((Assumptions!$C$125*(L57+(Assumptions!$C$32*L51)))+(Assumptions!$D$125*(L80+(Assumptions!$C$32*L74))))+(Assumptions!$E$125*(L103+(Assumptions!$C$32*L97))))</f>
        <v>1085</v>
      </c>
      <c r="M126" s="9" t="n">
        <f aca="false">(((Assumptions!$C$125*(M57+(Assumptions!$C$32*M51)))+(Assumptions!$D$125*(M80+(Assumptions!$C$32*M74))))+(Assumptions!$E$125*(M103+(Assumptions!$C$32*M97))))</f>
        <v>875</v>
      </c>
      <c r="N126" s="9" t="n">
        <f aca="false">(((Assumptions!$C$125*(N57+(Assumptions!$C$32*N51)))+(Assumptions!$D$125*(N80+(Assumptions!$C$32*N74))))+(Assumptions!$E$125*(N103+(Assumptions!$C$32*N97))))</f>
        <v>1235</v>
      </c>
      <c r="O126" s="9" t="n">
        <f aca="false">(((Assumptions!$C$125*(O57+(Assumptions!$C$32*O51)))+(Assumptions!$D$125*(O80+(Assumptions!$C$32*O74))))+(Assumptions!$E$125*(O103+(Assumptions!$C$32*O97))))</f>
        <v>1445</v>
      </c>
      <c r="P126" s="9" t="n">
        <f aca="false">(((Assumptions!$C$125*(P57+(Assumptions!$C$32*P51)))+(Assumptions!$D$125*(P80+(Assumptions!$C$32*P74))))+(Assumptions!$E$125*(P103+(Assumptions!$C$32*P97))))</f>
        <v>570</v>
      </c>
      <c r="Q126" s="9" t="n">
        <f aca="false">(((Assumptions!$C$125*(Q57+(Assumptions!$C$32*Q51)))+(Assumptions!$D$125*(Q80+(Assumptions!$C$32*Q74))))+(Assumptions!$E$125*(Q103+(Assumptions!$C$32*Q97))))</f>
        <v>2070</v>
      </c>
      <c r="R126" s="9" t="n">
        <f aca="false">(((Assumptions!$C$125*(R57+(Assumptions!$C$32*R51)))+(Assumptions!$D$125*(R80+(Assumptions!$C$32*R74))))+(Assumptions!$E$125*(R103+(Assumptions!$C$32*R97))))</f>
        <v>2504</v>
      </c>
      <c r="S126" s="9" t="n">
        <f aca="false">(((Assumptions!$C$125*(S57+(Assumptions!$C$32*S51)))+(Assumptions!$D$125*(S80+(Assumptions!$C$32*S74))))+(Assumptions!$E$125*(S103+(Assumptions!$C$32*S97))))</f>
        <v>2504</v>
      </c>
      <c r="T126" s="9" t="n">
        <f aca="false">(((Assumptions!$C$125*(T57+(Assumptions!$C$32*T51)))+(Assumptions!$D$125*(T80+(Assumptions!$C$32*T74))))+(Assumptions!$E$125*(T103+(Assumptions!$C$32*T97))))</f>
        <v>2504</v>
      </c>
      <c r="U126" s="9" t="n">
        <f aca="false">(((Assumptions!$C$125*(U57+(Assumptions!$C$32*U51)))+(Assumptions!$D$125*(U80+(Assumptions!$C$32*U74))))+(Assumptions!$E$125*(U103+(Assumptions!$C$32*U97))))</f>
        <v>2812</v>
      </c>
      <c r="V126" s="9" t="n">
        <f aca="false">(((Assumptions!$C$125*(V57+(Assumptions!$C$32*V51)))+(Assumptions!$D$125*(V80+(Assumptions!$C$32*V74))))+(Assumptions!$E$125*(V103+(Assumptions!$C$32*V97))))</f>
        <v>3112</v>
      </c>
      <c r="W126" s="9" t="n">
        <f aca="false">(((Assumptions!$C$125*(W57+(Assumptions!$C$32*W51)))+(Assumptions!$D$125*(W80+(Assumptions!$C$32*W74))))+(Assumptions!$E$125*(W103+(Assumptions!$C$32*W97))))</f>
        <v>3112</v>
      </c>
      <c r="X126" s="9" t="n">
        <f aca="false">(((Assumptions!$C$125*(X57+(Assumptions!$C$32*X51)))+(Assumptions!$D$125*(X80+(Assumptions!$C$32*X74))))+(Assumptions!$E$125*(X103+(Assumptions!$C$32*X97))))</f>
        <v>3973</v>
      </c>
      <c r="Y126" s="9" t="n">
        <f aca="false">(((Assumptions!$C$125*(Y57+(Assumptions!$C$32*Y51)))+(Assumptions!$D$125*(Y80+(Assumptions!$C$32*Y74))))+(Assumptions!$E$125*(Y103+(Assumptions!$C$32*Y97))))</f>
        <v>5143</v>
      </c>
      <c r="Z126" s="9" t="n">
        <f aca="false">(((Assumptions!$C$125*(Z57+(Assumptions!$C$32*Z51)))+(Assumptions!$D$125*(Z80+(Assumptions!$C$32*Z74))))+(Assumptions!$E$125*(Z103+(Assumptions!$C$32*Z97))))</f>
        <v>5045.8</v>
      </c>
      <c r="AA126" s="9" t="n">
        <f aca="false">(((Assumptions!$C$125*(AA57+(Assumptions!$C$32*AA51)))+(Assumptions!$D$125*(AA80+(Assumptions!$C$32*AA74))))+(Assumptions!$E$125*(AA103+(Assumptions!$C$32*AA97))))</f>
        <v>6032.8</v>
      </c>
      <c r="AB126" s="9" t="n">
        <f aca="false">(((Assumptions!$C$125*(AB57+(Assumptions!$C$32*AB51)))+(Assumptions!$D$125*(AB80+(Assumptions!$C$32*AB74))))+(Assumptions!$E$125*(AB103+(Assumptions!$C$32*AB97))))</f>
        <v>9822.8</v>
      </c>
      <c r="AC126" s="9" t="n">
        <f aca="false">(((Assumptions!$C$125*(AC57+(Assumptions!$C$32*AC51)))+(Assumptions!$D$125*(AC80+(Assumptions!$C$32*AC74))))+(Assumptions!$E$125*(AC103+(Assumptions!$C$32*AC97))))</f>
        <v>9642.8</v>
      </c>
      <c r="AD126" s="9" t="n">
        <f aca="false">(((Assumptions!$C$125*(AD57+(Assumptions!$C$32*AD51)))+(Assumptions!$D$125*(AD80+(Assumptions!$C$32*AD74))))+(Assumptions!$E$125*(AD103+(Assumptions!$C$32*AD97))))</f>
        <v>10727.8</v>
      </c>
      <c r="AE126" s="9" t="n">
        <f aca="false">(((Assumptions!$C$125*(AE57+(Assumptions!$C$32*AE51)))+(Assumptions!$D$125*(AE80+(Assumptions!$C$32*AE74))))+(Assumptions!$E$125*(AE103+(Assumptions!$C$32*AE97))))</f>
        <v>16152.8</v>
      </c>
      <c r="AF126" s="9" t="n">
        <f aca="false">(((Assumptions!$C$125*(AF57+(Assumptions!$C$32*AF51)))+(Assumptions!$D$125*(AF80+(Assumptions!$C$32*AF74))))+(Assumptions!$E$125*(AF103+(Assumptions!$C$32*AF97))))</f>
        <v>19302.8</v>
      </c>
      <c r="AG126" s="9" t="n">
        <f aca="false">(((Assumptions!$C$125*(AG57+(Assumptions!$C$32*AG51)))+(Assumptions!$D$125*(AG80+(Assumptions!$C$32*AG74))))+(Assumptions!$E$125*(AG103+(Assumptions!$C$32*AG97))))</f>
        <v>20177.8</v>
      </c>
      <c r="AH126" s="9" t="n">
        <f aca="false">(((Assumptions!$C$125*(AH57+(Assumptions!$C$32*AH51)))+(Assumptions!$D$125*(AH80+(Assumptions!$C$32*AH74))))+(Assumptions!$E$125*(AH103+(Assumptions!$C$32*AH97))))</f>
        <v>25866.8</v>
      </c>
      <c r="AI126" s="9" t="n">
        <f aca="false">(((Assumptions!$C$125*(AI57+(Assumptions!$C$32*AI51)))+(Assumptions!$D$125*(AI80+(Assumptions!$C$32*AI74))))+(Assumptions!$E$125*(AI103+(Assumptions!$C$32*AI97))))</f>
        <v>25866.8</v>
      </c>
      <c r="AJ126" s="9" t="n">
        <f aca="false">(((Assumptions!$C$125*(AJ57+(Assumptions!$C$32*AJ51)))+(Assumptions!$D$125*(AJ80+(Assumptions!$C$32*AJ74))))+(Assumptions!$E$125*(AJ103+(Assumptions!$C$32*AJ97))))</f>
        <v>26076.8</v>
      </c>
      <c r="AK126" s="9" t="n">
        <f aca="false">(((Assumptions!$C$125*(AK57+(Assumptions!$C$32*AK51)))+(Assumptions!$D$125*(AK80+(Assumptions!$C$32*AK74))))+(Assumptions!$E$125*(AK103+(Assumptions!$C$32*AK97))))</f>
        <v>35886.4</v>
      </c>
      <c r="AL126" s="9" t="n">
        <f aca="false">(((Assumptions!$C$125*(AL57+(Assumptions!$C$32*AL51)))+(Assumptions!$D$125*(AL80+(Assumptions!$C$32*AL74))))+(Assumptions!$E$125*(AL103+(Assumptions!$C$32*AL97))))</f>
        <v>44854.864</v>
      </c>
      <c r="AN126" s="11" t="n">
        <f aca="false">N126</f>
        <v>1235</v>
      </c>
      <c r="AO126" s="11" t="n">
        <f aca="false">Z126</f>
        <v>5045.8</v>
      </c>
      <c r="AP126" s="11" t="n">
        <f aca="false">AL126</f>
        <v>44854.864</v>
      </c>
    </row>
    <row r="127" customFormat="false" ht="15" hidden="false" customHeight="false" outlineLevel="0" collapsed="false">
      <c r="A127" s="0" t="s">
        <v>933</v>
      </c>
      <c r="B127" s="0" t="s">
        <v>230</v>
      </c>
      <c r="C127" s="9" t="n">
        <f aca="false">(C124-C125)</f>
        <v>0</v>
      </c>
      <c r="D127" s="9" t="n">
        <f aca="false">(D124-D125)</f>
        <v>0</v>
      </c>
      <c r="E127" s="9" t="n">
        <f aca="false">(E124-E125)</f>
        <v>0</v>
      </c>
      <c r="F127" s="9" t="n">
        <f aca="false">(F124-F125)</f>
        <v>0</v>
      </c>
      <c r="G127" s="9" t="n">
        <f aca="false">(G124-G125)</f>
        <v>0</v>
      </c>
      <c r="H127" s="9" t="n">
        <f aca="false">(H124-H125)</f>
        <v>0</v>
      </c>
      <c r="I127" s="9" t="n">
        <f aca="false">(I124-I125)</f>
        <v>0</v>
      </c>
      <c r="J127" s="9" t="n">
        <f aca="false">(J124-J125)</f>
        <v>0</v>
      </c>
      <c r="K127" s="9" t="n">
        <f aca="false">(K124-K125)</f>
        <v>0</v>
      </c>
      <c r="L127" s="9" t="n">
        <f aca="false">(L124-L125)</f>
        <v>0</v>
      </c>
      <c r="M127" s="9" t="n">
        <f aca="false">(M124-M125)</f>
        <v>0</v>
      </c>
      <c r="N127" s="9" t="n">
        <f aca="false">(N124-N125)</f>
        <v>1320</v>
      </c>
      <c r="O127" s="9" t="n">
        <f aca="false">(O124-O125)</f>
        <v>1320</v>
      </c>
      <c r="P127" s="9" t="n">
        <f aca="false">(P124-P125)</f>
        <v>1320</v>
      </c>
      <c r="Q127" s="9" t="n">
        <f aca="false">(Q124-Q125)</f>
        <v>2024</v>
      </c>
      <c r="R127" s="9" t="n">
        <f aca="false">(R124-R125)</f>
        <v>5060</v>
      </c>
      <c r="S127" s="9" t="n">
        <f aca="false">(S124-S125)</f>
        <v>5060</v>
      </c>
      <c r="T127" s="9" t="n">
        <f aca="false">(T124-T125)</f>
        <v>5060</v>
      </c>
      <c r="U127" s="9" t="n">
        <f aca="false">(U124-U125)</f>
        <v>5060</v>
      </c>
      <c r="V127" s="9" t="n">
        <f aca="false">(V124-V125)</f>
        <v>5847.5</v>
      </c>
      <c r="W127" s="9" t="n">
        <f aca="false">(W124-W125)</f>
        <v>5847.5</v>
      </c>
      <c r="X127" s="9" t="n">
        <f aca="false">(X124-X125)</f>
        <v>5847.5</v>
      </c>
      <c r="Y127" s="9" t="n">
        <f aca="false">(Y124-Y125)</f>
        <v>9259.5</v>
      </c>
      <c r="Z127" s="9" t="n">
        <f aca="false">(Z124-Z125)</f>
        <v>8999.46</v>
      </c>
      <c r="AA127" s="9" t="n">
        <f aca="false">(AA124-AA125)</f>
        <v>8999.46</v>
      </c>
      <c r="AB127" s="9" t="n">
        <f aca="false">(AB124-AB125)</f>
        <v>18959.7933333333</v>
      </c>
      <c r="AC127" s="9" t="n">
        <f aca="false">(AC124-AC125)</f>
        <v>18840.1133333333</v>
      </c>
      <c r="AD127" s="9" t="n">
        <f aca="false">(AD124-AD125)</f>
        <v>18840.1133333333</v>
      </c>
      <c r="AE127" s="9" t="n">
        <f aca="false">(AE124-AE125)</f>
        <v>33290.9466666667</v>
      </c>
      <c r="AF127" s="9" t="n">
        <f aca="false">(AF124-AF125)</f>
        <v>33290.9466666667</v>
      </c>
      <c r="AG127" s="9" t="n">
        <f aca="false">(AG124-AG125)</f>
        <v>33290.9466666667</v>
      </c>
      <c r="AH127" s="9" t="n">
        <f aca="false">(AH124-AH125)</f>
        <v>48806.58</v>
      </c>
      <c r="AI127" s="9" t="n">
        <f aca="false">(AI124-AI125)</f>
        <v>48806.58</v>
      </c>
      <c r="AJ127" s="9" t="n">
        <f aca="false">(AJ124-AJ125)</f>
        <v>48806.58</v>
      </c>
      <c r="AK127" s="9" t="n">
        <f aca="false">(AK124-AK125)</f>
        <v>74950.3626666667</v>
      </c>
      <c r="AL127" s="9" t="n">
        <f aca="false">(AL124-AL125)</f>
        <v>91049.77728</v>
      </c>
      <c r="AN127" s="11" t="n">
        <f aca="false">SUM(C127:N127)</f>
        <v>1320</v>
      </c>
      <c r="AO127" s="11" t="n">
        <f aca="false">SUM(O127:Z127)</f>
        <v>60705.46</v>
      </c>
      <c r="AP127" s="11" t="n">
        <f aca="false">SUM(AA127:AL127)</f>
        <v>477932.199946667</v>
      </c>
    </row>
    <row r="128" customFormat="false" ht="15" hidden="false" customHeight="false" outlineLevel="0" collapsed="false">
      <c r="A128" s="0" t="s">
        <v>934</v>
      </c>
      <c r="B128" s="0" t="s">
        <v>230</v>
      </c>
      <c r="C128" s="9" t="n">
        <f aca="false">(((C62+C85)+C108)-C125)</f>
        <v>0</v>
      </c>
      <c r="D128" s="9" t="n">
        <f aca="false">(((D62+D85)+D108)-D125)</f>
        <v>0</v>
      </c>
      <c r="E128" s="9" t="n">
        <f aca="false">(((E62+E85)+E108)-E125)</f>
        <v>0</v>
      </c>
      <c r="F128" s="9" t="n">
        <f aca="false">(((F62+F85)+F108)-F125)</f>
        <v>0</v>
      </c>
      <c r="G128" s="9" t="n">
        <f aca="false">(((G62+G85)+G108)-G125)</f>
        <v>0</v>
      </c>
      <c r="H128" s="9" t="n">
        <f aca="false">(((H62+H85)+H108)-H125)</f>
        <v>0</v>
      </c>
      <c r="I128" s="9" t="n">
        <f aca="false">(((I62+I85)+I108)-I125)</f>
        <v>0</v>
      </c>
      <c r="J128" s="9" t="n">
        <f aca="false">(((J62+J85)+J108)-J125)</f>
        <v>0</v>
      </c>
      <c r="K128" s="9" t="n">
        <f aca="false">(((K62+K85)+K108)-K125)</f>
        <v>0</v>
      </c>
      <c r="L128" s="9" t="n">
        <f aca="false">(((L62+L85)+L108)-L125)</f>
        <v>0</v>
      </c>
      <c r="M128" s="9" t="n">
        <f aca="false">(((M62+M85)+M108)-M125)</f>
        <v>0</v>
      </c>
      <c r="N128" s="9" t="n">
        <f aca="false">(((N62+N85)+N108)-N125)</f>
        <v>15840</v>
      </c>
      <c r="O128" s="9" t="n">
        <f aca="false">(((O62+O85)+O108)-O125)</f>
        <v>0</v>
      </c>
      <c r="P128" s="9" t="n">
        <f aca="false">(((P62+P85)+P108)-P125)</f>
        <v>0</v>
      </c>
      <c r="Q128" s="9" t="n">
        <f aca="false">(((Q62+Q85)+Q108)-Q125)</f>
        <v>41844</v>
      </c>
      <c r="R128" s="9" t="n">
        <f aca="false">(((R62+R85)+R108)-R125)</f>
        <v>0</v>
      </c>
      <c r="S128" s="9" t="n">
        <f aca="false">(((S62+S85)+S108)-S125)</f>
        <v>0</v>
      </c>
      <c r="T128" s="9" t="n">
        <f aca="false">(((T62+T85)+T108)-T125)</f>
        <v>0</v>
      </c>
      <c r="U128" s="9" t="n">
        <f aca="false">(((U62+U85)+U108)-U125)</f>
        <v>0</v>
      </c>
      <c r="V128" s="9" t="n">
        <f aca="false">(((V62+V85)+V108)-V125)</f>
        <v>9450</v>
      </c>
      <c r="W128" s="9" t="n">
        <f aca="false">(((W62+W85)+W108)-W125)</f>
        <v>0</v>
      </c>
      <c r="X128" s="9" t="n">
        <f aca="false">(((X62+X85)+X108)-X125)</f>
        <v>0</v>
      </c>
      <c r="Y128" s="9" t="n">
        <f aca="false">(((Y62+Y85)+Y108)-Y125)</f>
        <v>40944</v>
      </c>
      <c r="Z128" s="9" t="n">
        <f aca="false">(((Z62+Z85)+Z108)-Z125)</f>
        <v>12719.52</v>
      </c>
      <c r="AA128" s="9" t="n">
        <f aca="false">(((AA62+AA85)+AA108)-AA125)</f>
        <v>0</v>
      </c>
      <c r="AB128" s="9" t="n">
        <f aca="false">(((AB62+AB85)+AB108)-AB125)</f>
        <v>119524</v>
      </c>
      <c r="AC128" s="9" t="n">
        <f aca="false">(((AC62+AC85)+AC108)-AC125)</f>
        <v>43443.84</v>
      </c>
      <c r="AD128" s="9" t="n">
        <f aca="false">(((AD62+AD85)+AD108)-AD125)</f>
        <v>0</v>
      </c>
      <c r="AE128" s="9" t="n">
        <f aca="false">(((AE62+AE85)+AE108)-AE125)</f>
        <v>173410</v>
      </c>
      <c r="AF128" s="9" t="n">
        <f aca="false">(((AF62+AF85)+AF108)-AF125)</f>
        <v>0</v>
      </c>
      <c r="AG128" s="9" t="n">
        <f aca="false">(((AG62+AG85)+AG108)-AG125)</f>
        <v>0</v>
      </c>
      <c r="AH128" s="9" t="n">
        <f aca="false">(((AH62+AH85)+AH108)-AH125)</f>
        <v>195637.6</v>
      </c>
      <c r="AI128" s="9" t="n">
        <f aca="false">(((AI62+AI85)+AI108)-AI125)</f>
        <v>0</v>
      </c>
      <c r="AJ128" s="9" t="n">
        <f aca="false">(((AJ62+AJ85)+AJ108)-AJ125)</f>
        <v>0</v>
      </c>
      <c r="AK128" s="9" t="n">
        <f aca="false">(((AK62+AK85)+AK108)-AK125)</f>
        <v>354669.392</v>
      </c>
      <c r="AL128" s="9" t="n">
        <f aca="false">(((AL62+AL85)+AL108)-AL125)</f>
        <v>205912.49536</v>
      </c>
      <c r="AN128" s="11" t="n">
        <f aca="false">SUM(C128:N128)</f>
        <v>15840</v>
      </c>
      <c r="AO128" s="11" t="n">
        <f aca="false">SUM(O128:Z128)</f>
        <v>104957.52</v>
      </c>
      <c r="AP128" s="11" t="n">
        <f aca="false">SUM(AA128:AL128)</f>
        <v>1092597.32736</v>
      </c>
    </row>
    <row r="129" customFormat="false" ht="15" hidden="false" customHeight="false" outlineLevel="0" collapsed="false">
      <c r="A129" s="0" t="s">
        <v>935</v>
      </c>
      <c r="B129" s="0" t="s">
        <v>230</v>
      </c>
      <c r="C129" s="9" t="n">
        <f aca="false">((C63+C86)+C109)</f>
        <v>0</v>
      </c>
      <c r="D129" s="9" t="n">
        <f aca="false">((D63+D86)+D109)</f>
        <v>0</v>
      </c>
      <c r="E129" s="9" t="n">
        <f aca="false">((E63+E86)+E109)</f>
        <v>0</v>
      </c>
      <c r="F129" s="9" t="n">
        <f aca="false">((F63+F86)+F109)</f>
        <v>0</v>
      </c>
      <c r="G129" s="9" t="n">
        <f aca="false">((G63+G86)+G109)</f>
        <v>0</v>
      </c>
      <c r="H129" s="9" t="n">
        <f aca="false">((H63+H86)+H109)</f>
        <v>0</v>
      </c>
      <c r="I129" s="9" t="n">
        <f aca="false">((I63+I86)+I109)</f>
        <v>0</v>
      </c>
      <c r="J129" s="9" t="n">
        <f aca="false">((J63+J86)+J109)</f>
        <v>0</v>
      </c>
      <c r="K129" s="9" t="n">
        <f aca="false">((K63+K86)+K109)</f>
        <v>0</v>
      </c>
      <c r="L129" s="9" t="n">
        <f aca="false">((L63+L86)+L109)</f>
        <v>0</v>
      </c>
      <c r="M129" s="9" t="n">
        <f aca="false">((M63+M86)+M109)</f>
        <v>0</v>
      </c>
      <c r="N129" s="9" t="n">
        <f aca="false">((N63+N86)+N109)</f>
        <v>0</v>
      </c>
      <c r="O129" s="9" t="n">
        <f aca="false">((O63+O86)+O109)</f>
        <v>2500</v>
      </c>
      <c r="P129" s="9" t="n">
        <f aca="false">((P63+P86)+P109)</f>
        <v>2500</v>
      </c>
      <c r="Q129" s="9" t="n">
        <f aca="false">((Q63+Q86)+Q109)</f>
        <v>2500</v>
      </c>
      <c r="R129" s="9" t="n">
        <f aca="false">((R63+R86)+R109)</f>
        <v>5500</v>
      </c>
      <c r="S129" s="9" t="n">
        <f aca="false">((S63+S86)+S109)</f>
        <v>5500</v>
      </c>
      <c r="T129" s="9" t="n">
        <f aca="false">((T63+T86)+T109)</f>
        <v>5500</v>
      </c>
      <c r="U129" s="9" t="n">
        <f aca="false">((U63+U86)+U109)</f>
        <v>7000</v>
      </c>
      <c r="V129" s="9" t="n">
        <f aca="false">((V63+V86)+V109)</f>
        <v>7000</v>
      </c>
      <c r="W129" s="9" t="n">
        <f aca="false">((W63+W86)+W109)</f>
        <v>7000</v>
      </c>
      <c r="X129" s="9" t="n">
        <f aca="false">((X63+X86)+X109)</f>
        <v>14000</v>
      </c>
      <c r="Y129" s="9" t="n">
        <f aca="false">((Y63+Y86)+Y109)</f>
        <v>14000</v>
      </c>
      <c r="Z129" s="9" t="n">
        <f aca="false">((Z63+Z86)+Z109)</f>
        <v>14000</v>
      </c>
      <c r="AA129" s="9" t="n">
        <f aca="false">((AA63+AA86)+AA109)</f>
        <v>22500</v>
      </c>
      <c r="AB129" s="9" t="n">
        <f aca="false">((AB63+AB86)+AB109)</f>
        <v>22500</v>
      </c>
      <c r="AC129" s="9" t="n">
        <f aca="false">((AC63+AC86)+AC109)</f>
        <v>22500</v>
      </c>
      <c r="AD129" s="9" t="n">
        <f aca="false">((AD63+AD86)+AD109)</f>
        <v>30000</v>
      </c>
      <c r="AE129" s="9" t="n">
        <f aca="false">((AE63+AE86)+AE109)</f>
        <v>30000</v>
      </c>
      <c r="AF129" s="9" t="n">
        <f aca="false">((AF63+AF86)+AF109)</f>
        <v>40000</v>
      </c>
      <c r="AG129" s="9" t="n">
        <f aca="false">((AG63+AG86)+AG109)</f>
        <v>45000</v>
      </c>
      <c r="AH129" s="9" t="n">
        <f aca="false">((AH63+AH86)+AH109)</f>
        <v>45000</v>
      </c>
      <c r="AI129" s="9" t="n">
        <f aca="false">((AI63+AI86)+AI109)</f>
        <v>45000</v>
      </c>
      <c r="AJ129" s="9" t="n">
        <f aca="false">((AJ63+AJ86)+AJ109)</f>
        <v>47500</v>
      </c>
      <c r="AK129" s="9" t="n">
        <f aca="false">((AK63+AK86)+AK109)</f>
        <v>47500</v>
      </c>
      <c r="AL129" s="9" t="n">
        <f aca="false">((AL63+AL86)+AL109)</f>
        <v>47500</v>
      </c>
      <c r="AN129" s="11" t="n">
        <f aca="false">SUM(C129:N129)</f>
        <v>0</v>
      </c>
      <c r="AO129" s="11" t="n">
        <f aca="false">SUM(O129:Z129)</f>
        <v>87000</v>
      </c>
      <c r="AP129" s="11" t="n">
        <f aca="false">SUM(AA129:AL129)</f>
        <v>445000</v>
      </c>
    </row>
    <row r="130" customFormat="false" ht="15" hidden="false" customHeight="false" outlineLevel="0" collapsed="false">
      <c r="A130" s="0" t="s">
        <v>936</v>
      </c>
      <c r="B130" s="0" t="s">
        <v>230</v>
      </c>
      <c r="C130" s="9" t="n">
        <f aca="false">((C64+C87)+C110)</f>
        <v>0</v>
      </c>
      <c r="D130" s="9" t="n">
        <f aca="false">((D64+D87)+D110)</f>
        <v>0</v>
      </c>
      <c r="E130" s="9" t="n">
        <f aca="false">((E64+E87)+E110)</f>
        <v>0</v>
      </c>
      <c r="F130" s="9" t="n">
        <f aca="false">((F64+F87)+F110)</f>
        <v>0</v>
      </c>
      <c r="G130" s="9" t="n">
        <f aca="false">((G64+G87)+G110)</f>
        <v>0</v>
      </c>
      <c r="H130" s="9" t="n">
        <f aca="false">((H64+H87)+H110)</f>
        <v>0</v>
      </c>
      <c r="I130" s="9" t="n">
        <f aca="false">((I64+I87)+I110)</f>
        <v>0</v>
      </c>
      <c r="J130" s="9" t="n">
        <f aca="false">((J64+J87)+J110)</f>
        <v>0</v>
      </c>
      <c r="K130" s="9" t="n">
        <f aca="false">((K64+K87)+K110)</f>
        <v>0</v>
      </c>
      <c r="L130" s="9" t="n">
        <f aca="false">((L64+L87)+L110)</f>
        <v>0</v>
      </c>
      <c r="M130" s="9" t="n">
        <f aca="false">((M64+M87)+M110)</f>
        <v>0</v>
      </c>
      <c r="N130" s="9" t="n">
        <f aca="false">((N64+N87)+N110)</f>
        <v>0</v>
      </c>
      <c r="O130" s="9" t="n">
        <f aca="false">((O64+O87)+O110)</f>
        <v>15000</v>
      </c>
      <c r="P130" s="9" t="n">
        <f aca="false">((P64+P87)+P110)</f>
        <v>0</v>
      </c>
      <c r="Q130" s="9" t="n">
        <f aca="false">((Q64+Q87)+Q110)</f>
        <v>0</v>
      </c>
      <c r="R130" s="9" t="n">
        <f aca="false">((R64+R87)+R110)</f>
        <v>18000</v>
      </c>
      <c r="S130" s="9" t="n">
        <f aca="false">((S64+S87)+S110)</f>
        <v>0</v>
      </c>
      <c r="T130" s="9" t="n">
        <f aca="false">((T64+T87)+T110)</f>
        <v>0</v>
      </c>
      <c r="U130" s="9" t="n">
        <f aca="false">((U64+U87)+U110)</f>
        <v>24000</v>
      </c>
      <c r="V130" s="9" t="n">
        <f aca="false">((V64+V87)+V110)</f>
        <v>0</v>
      </c>
      <c r="W130" s="9" t="n">
        <f aca="false">((W64+W87)+W110)</f>
        <v>0</v>
      </c>
      <c r="X130" s="9" t="n">
        <f aca="false">((X64+X87)+X110)</f>
        <v>60000</v>
      </c>
      <c r="Y130" s="9" t="n">
        <f aca="false">((Y64+Y87)+Y110)</f>
        <v>0</v>
      </c>
      <c r="Z130" s="9" t="n">
        <f aca="false">((Z64+Z87)+Z110)</f>
        <v>0</v>
      </c>
      <c r="AA130" s="9" t="n">
        <f aca="false">((AA64+AA87)+AA110)</f>
        <v>75000</v>
      </c>
      <c r="AB130" s="9" t="n">
        <f aca="false">((AB64+AB87)+AB110)</f>
        <v>0</v>
      </c>
      <c r="AC130" s="9" t="n">
        <f aca="false">((AC64+AC87)+AC110)</f>
        <v>0</v>
      </c>
      <c r="AD130" s="9" t="n">
        <f aca="false">((AD64+AD87)+AD110)</f>
        <v>105000</v>
      </c>
      <c r="AE130" s="9" t="n">
        <f aca="false">((AE64+AE87)+AE110)</f>
        <v>0</v>
      </c>
      <c r="AF130" s="9" t="n">
        <f aca="false">((AF64+AF87)+AF110)</f>
        <v>60000</v>
      </c>
      <c r="AG130" s="9" t="n">
        <f aca="false">((AG64+AG87)+AG110)</f>
        <v>105000</v>
      </c>
      <c r="AH130" s="9" t="n">
        <f aca="false">((AH64+AH87)+AH110)</f>
        <v>0</v>
      </c>
      <c r="AI130" s="9" t="n">
        <f aca="false">((AI64+AI87)+AI110)</f>
        <v>0</v>
      </c>
      <c r="AJ130" s="9" t="n">
        <f aca="false">((AJ64+AJ87)+AJ110)</f>
        <v>120000</v>
      </c>
      <c r="AK130" s="9" t="n">
        <f aca="false">((AK64+AK87)+AK110)</f>
        <v>0</v>
      </c>
      <c r="AL130" s="9" t="n">
        <f aca="false">((AL64+AL87)+AL110)</f>
        <v>60000</v>
      </c>
      <c r="AN130" s="11" t="n">
        <f aca="false">SUM(C130:N130)</f>
        <v>0</v>
      </c>
      <c r="AO130" s="11" t="n">
        <f aca="false">SUM(O130:Z130)</f>
        <v>117000</v>
      </c>
      <c r="AP130" s="11" t="n">
        <f aca="false">SUM(AA130:AL130)</f>
        <v>525000</v>
      </c>
    </row>
    <row r="131" customFormat="false" ht="15" hidden="false" customHeight="false" outlineLevel="0" collapsed="false">
      <c r="A131" s="0" t="s">
        <v>937</v>
      </c>
      <c r="B131" s="0" t="s">
        <v>230</v>
      </c>
      <c r="C131" s="9" t="n">
        <f aca="false">((C66+C89)+C112)</f>
        <v>0</v>
      </c>
      <c r="D131" s="9" t="n">
        <f aca="false">((D66+D89)+D112)</f>
        <v>0</v>
      </c>
      <c r="E131" s="9" t="n">
        <f aca="false">((E66+E89)+E112)</f>
        <v>0</v>
      </c>
      <c r="F131" s="9" t="n">
        <f aca="false">((F66+F89)+F112)</f>
        <v>0</v>
      </c>
      <c r="G131" s="9" t="n">
        <f aca="false">((G66+G89)+G112)</f>
        <v>0</v>
      </c>
      <c r="H131" s="9" t="n">
        <f aca="false">((H66+H89)+H112)</f>
        <v>0</v>
      </c>
      <c r="I131" s="9" t="n">
        <f aca="false">((I66+I89)+I112)</f>
        <v>0</v>
      </c>
      <c r="J131" s="9" t="n">
        <f aca="false">((J66+J89)+J112)</f>
        <v>0</v>
      </c>
      <c r="K131" s="9" t="n">
        <f aca="false">((K66+K89)+K112)</f>
        <v>0</v>
      </c>
      <c r="L131" s="9" t="n">
        <f aca="false">((L66+L89)+L112)</f>
        <v>0</v>
      </c>
      <c r="M131" s="9" t="n">
        <f aca="false">((M66+M89)+M112)</f>
        <v>0</v>
      </c>
      <c r="N131" s="9" t="n">
        <f aca="false">((N66+N89)+N112)</f>
        <v>0</v>
      </c>
      <c r="O131" s="9" t="n">
        <f aca="false">((O66+O89)+O112)</f>
        <v>7000</v>
      </c>
      <c r="P131" s="9" t="n">
        <f aca="false">((P66+P89)+P112)</f>
        <v>7000</v>
      </c>
      <c r="Q131" s="9" t="n">
        <f aca="false">((Q66+Q89)+Q112)</f>
        <v>7000</v>
      </c>
      <c r="R131" s="9" t="n">
        <f aca="false">((R66+R89)+R112)</f>
        <v>8933.33333333333</v>
      </c>
      <c r="S131" s="9" t="n">
        <f aca="false">((S66+S89)+S112)</f>
        <v>8933.33333333333</v>
      </c>
      <c r="T131" s="9" t="n">
        <f aca="false">((T66+T89)+T112)</f>
        <v>8933.33333333333</v>
      </c>
      <c r="U131" s="9" t="n">
        <f aca="false">((U66+U89)+U112)</f>
        <v>11733.3333333333</v>
      </c>
      <c r="V131" s="9" t="n">
        <f aca="false">((V66+V89)+V112)</f>
        <v>11733.3333333333</v>
      </c>
      <c r="W131" s="9" t="n">
        <f aca="false">((W66+W89)+W112)</f>
        <v>11733.3333333333</v>
      </c>
      <c r="X131" s="9" t="n">
        <f aca="false">((X66+X89)+X112)</f>
        <v>29333.3333333333</v>
      </c>
      <c r="Y131" s="9" t="n">
        <f aca="false">((Y66+Y89)+Y112)</f>
        <v>36333.3333333333</v>
      </c>
      <c r="Z131" s="9" t="n">
        <f aca="false">((Z66+Z89)+Z112)</f>
        <v>36333.3333333333</v>
      </c>
      <c r="AA131" s="9" t="n">
        <f aca="false">((AA66+AA89)+AA112)</f>
        <v>43333.3333333333</v>
      </c>
      <c r="AB131" s="9" t="n">
        <f aca="false">((AB66+AB89)+AB112)</f>
        <v>58666.6666666667</v>
      </c>
      <c r="AC131" s="9" t="n">
        <f aca="false">((AC66+AC89)+AC112)</f>
        <v>58666.6666666667</v>
      </c>
      <c r="AD131" s="9" t="n">
        <f aca="false">((AD66+AD89)+AD112)</f>
        <v>74000</v>
      </c>
      <c r="AE131" s="9" t="n">
        <f aca="false">((AE66+AE89)+AE112)</f>
        <v>81000</v>
      </c>
      <c r="AF131" s="9" t="n">
        <f aca="false">((AF66+AF89)+AF112)</f>
        <v>116333.333333333</v>
      </c>
      <c r="AG131" s="9" t="n">
        <f aca="false">((AG66+AG89)+AG112)</f>
        <v>116333.333333333</v>
      </c>
      <c r="AH131" s="9" t="n">
        <f aca="false">((AH66+AH89)+AH112)</f>
        <v>116333.333333333</v>
      </c>
      <c r="AI131" s="9" t="n">
        <f aca="false">((AI66+AI89)+AI112)</f>
        <v>81000</v>
      </c>
      <c r="AJ131" s="9" t="n">
        <f aca="false">((AJ66+AJ89)+AJ112)</f>
        <v>88000</v>
      </c>
      <c r="AK131" s="9" t="n">
        <f aca="false">((AK66+AK89)+AK112)</f>
        <v>110333.333333333</v>
      </c>
      <c r="AL131" s="9" t="n">
        <f aca="false">((AL66+AL89)+AL112)</f>
        <v>181000</v>
      </c>
      <c r="AN131" s="11" t="n">
        <f aca="false">SUM(C131:N131)</f>
        <v>0</v>
      </c>
      <c r="AO131" s="11" t="n">
        <f aca="false">SUM(O131:Z131)</f>
        <v>185000</v>
      </c>
      <c r="AP131" s="11" t="n">
        <f aca="false">SUM(AA131:AL131)</f>
        <v>1125000</v>
      </c>
    </row>
    <row r="132" customFormat="false" ht="15" hidden="false" customHeight="false" outlineLevel="0" collapsed="false">
      <c r="A132" s="0" t="s">
        <v>938</v>
      </c>
      <c r="B132" s="0" t="s">
        <v>230</v>
      </c>
      <c r="C132" s="9" t="n">
        <f aca="false">((C67+C90)+C113)</f>
        <v>0</v>
      </c>
      <c r="D132" s="9" t="n">
        <f aca="false">((D67+D90)+D113)</f>
        <v>0</v>
      </c>
      <c r="E132" s="9" t="n">
        <f aca="false">((E67+E90)+E113)</f>
        <v>0</v>
      </c>
      <c r="F132" s="9" t="n">
        <f aca="false">((F67+F90)+F113)</f>
        <v>0</v>
      </c>
      <c r="G132" s="9" t="n">
        <f aca="false">((G67+G90)+G113)</f>
        <v>0</v>
      </c>
      <c r="H132" s="9" t="n">
        <f aca="false">((H67+H90)+H113)</f>
        <v>0</v>
      </c>
      <c r="I132" s="9" t="n">
        <f aca="false">((I67+I90)+I113)</f>
        <v>0</v>
      </c>
      <c r="J132" s="9" t="n">
        <f aca="false">((J67+J90)+J113)</f>
        <v>0</v>
      </c>
      <c r="K132" s="9" t="n">
        <f aca="false">((K67+K90)+K113)</f>
        <v>0</v>
      </c>
      <c r="L132" s="9" t="n">
        <f aca="false">((L67+L90)+L113)</f>
        <v>0</v>
      </c>
      <c r="M132" s="9" t="n">
        <f aca="false">((M67+M90)+M113)</f>
        <v>0</v>
      </c>
      <c r="N132" s="9" t="n">
        <f aca="false">((N67+N90)+N113)</f>
        <v>0</v>
      </c>
      <c r="O132" s="9" t="n">
        <f aca="false">((O67+O90)+O113)</f>
        <v>21000</v>
      </c>
      <c r="P132" s="9" t="n">
        <f aca="false">((P67+P90)+P113)</f>
        <v>0</v>
      </c>
      <c r="Q132" s="9" t="n">
        <f aca="false">((Q67+Q90)+Q113)</f>
        <v>0</v>
      </c>
      <c r="R132" s="9" t="n">
        <f aca="false">((R67+R90)+R113)</f>
        <v>26800</v>
      </c>
      <c r="S132" s="9" t="n">
        <f aca="false">((S67+S90)+S113)</f>
        <v>0</v>
      </c>
      <c r="T132" s="9" t="n">
        <f aca="false">((T67+T90)+T113)</f>
        <v>0</v>
      </c>
      <c r="U132" s="9" t="n">
        <f aca="false">((U67+U90)+U113)</f>
        <v>35200</v>
      </c>
      <c r="V132" s="9" t="n">
        <f aca="false">((V67+V90)+V113)</f>
        <v>0</v>
      </c>
      <c r="W132" s="9" t="n">
        <f aca="false">((W67+W90)+W113)</f>
        <v>0</v>
      </c>
      <c r="X132" s="9" t="n">
        <f aca="false">((X67+X90)+X113)</f>
        <v>88000</v>
      </c>
      <c r="Y132" s="9" t="n">
        <f aca="false">((Y67+Y90)+Y113)</f>
        <v>21000</v>
      </c>
      <c r="Z132" s="9" t="n">
        <f aca="false">((Z67+Z90)+Z113)</f>
        <v>0</v>
      </c>
      <c r="AA132" s="9" t="n">
        <f aca="false">((AA67+AA90)+AA113)</f>
        <v>109000</v>
      </c>
      <c r="AB132" s="9" t="n">
        <f aca="false">((AB67+AB90)+AB113)</f>
        <v>67000</v>
      </c>
      <c r="AC132" s="9" t="n">
        <f aca="false">((AC67+AC90)+AC113)</f>
        <v>0</v>
      </c>
      <c r="AD132" s="9" t="n">
        <f aca="false">((AD67+AD90)+AD113)</f>
        <v>155000</v>
      </c>
      <c r="AE132" s="9" t="n">
        <f aca="false">((AE67+AE90)+AE113)</f>
        <v>88000</v>
      </c>
      <c r="AF132" s="9" t="n">
        <f aca="false">((AF67+AF90)+AF113)</f>
        <v>106000</v>
      </c>
      <c r="AG132" s="9" t="n">
        <f aca="false">((AG67+AG90)+AG113)</f>
        <v>155000</v>
      </c>
      <c r="AH132" s="9" t="n">
        <f aca="false">((AH67+AH90)+AH113)</f>
        <v>88000</v>
      </c>
      <c r="AI132" s="9" t="n">
        <f aca="false">((AI67+AI90)+AI113)</f>
        <v>0</v>
      </c>
      <c r="AJ132" s="9" t="n">
        <f aca="false">((AJ67+AJ90)+AJ113)</f>
        <v>176000</v>
      </c>
      <c r="AK132" s="9" t="n">
        <f aca="false">((AK67+AK90)+AK113)</f>
        <v>155000</v>
      </c>
      <c r="AL132" s="9" t="n">
        <f aca="false">((AL67+AL90)+AL113)</f>
        <v>212000</v>
      </c>
      <c r="AN132" s="11" t="n">
        <f aca="false">SUM(C132:N132)</f>
        <v>0</v>
      </c>
      <c r="AO132" s="11" t="n">
        <f aca="false">SUM(O132:Z132)</f>
        <v>192000</v>
      </c>
      <c r="AP132" s="11" t="n">
        <f aca="false">SUM(AA132:AL132)</f>
        <v>1311000</v>
      </c>
    </row>
    <row r="133" customFormat="false" ht="15" hidden="false" customHeight="false" outlineLevel="0" collapsed="false">
      <c r="A133" s="0" t="s">
        <v>939</v>
      </c>
      <c r="B133" s="0" t="s">
        <v>285</v>
      </c>
      <c r="C133" s="9" t="n">
        <f aca="false">((C68+C91)+C114)</f>
        <v>0</v>
      </c>
      <c r="D133" s="9" t="n">
        <f aca="false">((D68+D91)+D114)</f>
        <v>0</v>
      </c>
      <c r="E133" s="9" t="n">
        <f aca="false">((E68+E91)+E114)</f>
        <v>0</v>
      </c>
      <c r="F133" s="9" t="n">
        <f aca="false">((F68+F91)+F114)</f>
        <v>0</v>
      </c>
      <c r="G133" s="9" t="n">
        <f aca="false">((G68+G91)+G114)</f>
        <v>115</v>
      </c>
      <c r="H133" s="9" t="n">
        <f aca="false">((H68+H91)+H114)</f>
        <v>0</v>
      </c>
      <c r="I133" s="9" t="n">
        <f aca="false">((I68+I91)+I114)</f>
        <v>0</v>
      </c>
      <c r="J133" s="9" t="n">
        <f aca="false">((J68+J91)+J114)</f>
        <v>330</v>
      </c>
      <c r="K133" s="9" t="n">
        <f aca="false">((K68+K91)+K114)</f>
        <v>0</v>
      </c>
      <c r="L133" s="9" t="n">
        <f aca="false">((L68+L91)+L114)</f>
        <v>0</v>
      </c>
      <c r="M133" s="9" t="n">
        <f aca="false">((M68+M91)+M114)</f>
        <v>0</v>
      </c>
      <c r="N133" s="9" t="n">
        <f aca="false">((N68+N91)+N114)</f>
        <v>0</v>
      </c>
      <c r="O133" s="9" t="n">
        <f aca="false">((O68+O91)+O114)</f>
        <v>159</v>
      </c>
      <c r="P133" s="9" t="n">
        <f aca="false">((P68+P91)+P114)</f>
        <v>0</v>
      </c>
      <c r="Q133" s="9" t="n">
        <f aca="false">((Q68+Q91)+Q114)</f>
        <v>0</v>
      </c>
      <c r="R133" s="9" t="n">
        <f aca="false">((R68+R91)+R114)</f>
        <v>213.2</v>
      </c>
      <c r="S133" s="9" t="n">
        <f aca="false">((S68+S91)+S114)</f>
        <v>0</v>
      </c>
      <c r="T133" s="9" t="n">
        <f aca="false">((T68+T91)+T114)</f>
        <v>0</v>
      </c>
      <c r="U133" s="9" t="n">
        <f aca="false">((U68+U91)+U114)</f>
        <v>276.8</v>
      </c>
      <c r="V133" s="9" t="n">
        <f aca="false">((V68+V91)+V114)</f>
        <v>0</v>
      </c>
      <c r="W133" s="9" t="n">
        <f aca="false">((W68+W91)+W114)</f>
        <v>0</v>
      </c>
      <c r="X133" s="9" t="n">
        <f aca="false">((X68+X91)+X114)</f>
        <v>692</v>
      </c>
      <c r="Y133" s="9" t="n">
        <f aca="false">((Y68+Y91)+Y114)</f>
        <v>159</v>
      </c>
      <c r="Z133" s="9" t="n">
        <f aca="false">((Z68+Z91)+Z114)</f>
        <v>0</v>
      </c>
      <c r="AA133" s="9" t="n">
        <f aca="false">((AA68+AA91)+AA114)</f>
        <v>851</v>
      </c>
      <c r="AB133" s="9" t="n">
        <f aca="false">((AB68+AB91)+AB114)</f>
        <v>533</v>
      </c>
      <c r="AC133" s="9" t="n">
        <f aca="false">((AC68+AC91)+AC114)</f>
        <v>0</v>
      </c>
      <c r="AD133" s="9" t="n">
        <f aca="false">((AD68+AD91)+AD114)</f>
        <v>1225</v>
      </c>
      <c r="AE133" s="9" t="n">
        <f aca="false">((AE68+AE91)+AE114)</f>
        <v>692</v>
      </c>
      <c r="AF133" s="9" t="n">
        <f aca="false">((AF68+AF91)+AF114)</f>
        <v>844</v>
      </c>
      <c r="AG133" s="9" t="n">
        <f aca="false">((AG68+AG91)+AG114)</f>
        <v>1225</v>
      </c>
      <c r="AH133" s="9" t="n">
        <f aca="false">((AH68+AH91)+AH114)</f>
        <v>692</v>
      </c>
      <c r="AI133" s="9" t="n">
        <f aca="false">((AI68+AI91)+AI114)</f>
        <v>0</v>
      </c>
      <c r="AJ133" s="9" t="n">
        <f aca="false">((AJ68+AJ91)+AJ114)</f>
        <v>1384</v>
      </c>
      <c r="AK133" s="9" t="n">
        <f aca="false">((AK68+AK91)+AK114)</f>
        <v>1225</v>
      </c>
      <c r="AL133" s="9" t="n">
        <f aca="false">((AL68+AL91)+AL114)</f>
        <v>1688</v>
      </c>
      <c r="AN133" s="11" t="n">
        <f aca="false">SUM(C133:N133)</f>
        <v>445</v>
      </c>
      <c r="AO133" s="11" t="n">
        <f aca="false">SUM(O133:Z133)</f>
        <v>1500</v>
      </c>
      <c r="AP133" s="11" t="n">
        <f aca="false">SUM(AA133:AL133)</f>
        <v>10359</v>
      </c>
    </row>
    <row r="134" customFormat="false" ht="15" hidden="false" customHeight="false" outlineLevel="0" collapsed="false">
      <c r="A134" s="0" t="s">
        <v>940</v>
      </c>
      <c r="B134" s="0" t="s">
        <v>230</v>
      </c>
      <c r="C134" s="9" t="n">
        <f aca="false">((((C130+C132)+(C55*C58))+(C78*C81))+(C101*C104))</f>
        <v>0</v>
      </c>
      <c r="D134" s="9" t="n">
        <f aca="false">((((D130+D132)+(D55*D58))+(D78*D81))+(D101*D104))</f>
        <v>0</v>
      </c>
      <c r="E134" s="9" t="n">
        <f aca="false">((((E130+E132)+(E55*E58))+(E78*E81))+(E101*E104))</f>
        <v>0</v>
      </c>
      <c r="F134" s="9" t="n">
        <f aca="false">((((F130+F132)+(F55*F58))+(F78*F81))+(F101*F104))</f>
        <v>0</v>
      </c>
      <c r="G134" s="9" t="n">
        <f aca="false">((((G130+G132)+(G55*G58))+(G78*G81))+(G101*G104))</f>
        <v>0</v>
      </c>
      <c r="H134" s="9" t="n">
        <f aca="false">((((H130+H132)+(H55*H58))+(H78*H81))+(H101*H104))</f>
        <v>0</v>
      </c>
      <c r="I134" s="9" t="n">
        <f aca="false">((((I130+I132)+(I55*I58))+(I78*I81))+(I101*I104))</f>
        <v>0</v>
      </c>
      <c r="J134" s="9" t="n">
        <f aca="false">((((J130+J132)+(J55*J58))+(J78*J81))+(J101*J104))</f>
        <v>0</v>
      </c>
      <c r="K134" s="9" t="n">
        <f aca="false">((((K130+K132)+(K55*K58))+(K78*K81))+(K101*K104))</f>
        <v>0</v>
      </c>
      <c r="L134" s="9" t="n">
        <f aca="false">((((L130+L132)+(L55*L58))+(L78*L81))+(L101*L104))</f>
        <v>0</v>
      </c>
      <c r="M134" s="9" t="n">
        <f aca="false">((((M130+M132)+(M55*M58))+(M78*M81))+(M101*M104))</f>
        <v>0</v>
      </c>
      <c r="N134" s="9" t="n">
        <f aca="false">((((N130+N132)+(N55*N58))+(N78*N81))+(N101*N104))</f>
        <v>15840</v>
      </c>
      <c r="O134" s="9" t="n">
        <f aca="false">((((O130+O132)+(O55*O58))+(O78*O81))+(O101*O104))</f>
        <v>36000</v>
      </c>
      <c r="P134" s="9" t="n">
        <f aca="false">((((P130+P132)+(P55*P58))+(P78*P81))+(P101*P104))</f>
        <v>0</v>
      </c>
      <c r="Q134" s="9" t="n">
        <f aca="false">((((Q130+Q132)+(Q55*Q58))+(Q78*Q81))+(Q101*Q104))</f>
        <v>44880</v>
      </c>
      <c r="R134" s="9" t="n">
        <f aca="false">((((R130+R132)+(R55*R58))+(R78*R81))+(R101*R104))</f>
        <v>44800</v>
      </c>
      <c r="S134" s="9" t="n">
        <f aca="false">((((S130+S132)+(S55*S58))+(S78*S81))+(S101*S104))</f>
        <v>0</v>
      </c>
      <c r="T134" s="9" t="n">
        <f aca="false">((((T130+T132)+(T55*T58))+(T78*T81))+(T101*T104))</f>
        <v>0</v>
      </c>
      <c r="U134" s="9" t="n">
        <f aca="false">((((U130+U132)+(U55*U58))+(U78*U81))+(U101*U104))</f>
        <v>59200</v>
      </c>
      <c r="V134" s="9" t="n">
        <f aca="false">((((V130+V132)+(V55*V58))+(V78*V81))+(V101*V104))</f>
        <v>13200</v>
      </c>
      <c r="W134" s="9" t="n">
        <f aca="false">((((W130+W132)+(W55*W58))+(W78*W81))+(W101*W104))</f>
        <v>0</v>
      </c>
      <c r="X134" s="9" t="n">
        <f aca="false">((((X130+X132)+(X55*X58))+(X78*X81))+(X101*X104))</f>
        <v>148000</v>
      </c>
      <c r="Y134" s="9" t="n">
        <f aca="false">((((Y130+Y132)+(Y55*Y58))+(Y78*Y81))+(Y101*Y104))</f>
        <v>66144</v>
      </c>
      <c r="Z134" s="9" t="n">
        <f aca="false">((((Z130+Z132)+(Z55*Z58))+(Z78*Z81))+(Z101*Z104))</f>
        <v>0</v>
      </c>
      <c r="AA134" s="9" t="n">
        <f aca="false">((((AA130+AA132)+(AA55*AA58))+(AA78*AA81))+(AA101*AA104))</f>
        <v>184000</v>
      </c>
      <c r="AB134" s="9" t="n">
        <f aca="false">((((AB130+AB132)+(AB55*AB58))+(AB78*AB81))+(AB101*AB104))</f>
        <v>192224</v>
      </c>
      <c r="AC134" s="9" t="n">
        <f aca="false">((((AC130+AC132)+(AC55*AC58))+(AC78*AC81))+(AC101*AC104))</f>
        <v>0</v>
      </c>
      <c r="AD134" s="9" t="n">
        <f aca="false">((((AD130+AD132)+(AD55*AD58))+(AD78*AD81))+(AD101*AD104))</f>
        <v>260000</v>
      </c>
      <c r="AE134" s="9" t="n">
        <f aca="false">((((AE130+AE132)+(AE55*AE58))+(AE78*AE81))+(AE101*AE104))</f>
        <v>275660</v>
      </c>
      <c r="AF134" s="9" t="n">
        <f aca="false">((((AF130+AF132)+(AF55*AF58))+(AF78*AF81))+(AF101*AF104))</f>
        <v>166000</v>
      </c>
      <c r="AG134" s="9" t="n">
        <f aca="false">((((AG130+AG132)+(AG55*AG58))+(AG78*AG81))+(AG101*AG104))</f>
        <v>260000</v>
      </c>
      <c r="AH134" s="9" t="n">
        <f aca="false">((((AH130+AH132)+(AH55*AH58))+(AH78*AH81))+(AH101*AH104))</f>
        <v>288860</v>
      </c>
      <c r="AI134" s="9" t="n">
        <f aca="false">((((AI130+AI132)+(AI55*AI58))+(AI78*AI81))+(AI101*AI104))</f>
        <v>0</v>
      </c>
      <c r="AJ134" s="9" t="n">
        <f aca="false">((((AJ130+AJ132)+(AJ55*AJ58))+(AJ78*AJ81))+(AJ101*AJ104))</f>
        <v>296000</v>
      </c>
      <c r="AK134" s="9" t="n">
        <f aca="false">((((AK130+AK132)+(AK55*AK58))+(AK78*AK81))+(AK101*AK104))</f>
        <v>490720</v>
      </c>
      <c r="AL134" s="9" t="n">
        <f aca="false">((((AL130+AL132)+(AL55*AL58))+(AL78*AL81))+(AL101*AL104))</f>
        <v>465600</v>
      </c>
      <c r="AN134" s="11" t="n">
        <f aca="false">SUM(C134:N134)</f>
        <v>15840</v>
      </c>
      <c r="AO134" s="11" t="n">
        <f aca="false">SUM(O134:Z134)</f>
        <v>412224</v>
      </c>
      <c r="AP134" s="11" t="n">
        <f aca="false">SUM(AA134:AL134)</f>
        <v>2879064</v>
      </c>
    </row>
    <row r="135" customFormat="false" ht="15" hidden="false" customHeight="false" outlineLevel="0" collapsed="false">
      <c r="A135" s="21" t="s">
        <v>941</v>
      </c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</row>
    <row r="136" customFormat="false" ht="15" hidden="false" customHeight="false" outlineLevel="0" collapsed="false">
      <c r="A136" s="0" t="s">
        <v>942</v>
      </c>
      <c r="B136" s="0" t="s">
        <v>230</v>
      </c>
      <c r="C136" s="9" t="n">
        <f aca="false">IF((C$18&gt;=Assumptions!$C$41),(((Assumptions!$C$42*$C$10)/12)*(((C57*Assumptions!$C$128)+(C80*Assumptions!$D$128))+(C103*Assumptions!$E$128))),0)</f>
        <v>0</v>
      </c>
      <c r="D136" s="9" t="n">
        <f aca="false">IF((D$18&gt;=Assumptions!$C$41),(((Assumptions!$C$42*$C$10)/12)*(((D57*Assumptions!$C$128)+(D80*Assumptions!$D$128))+(D103*Assumptions!$E$128))),0)</f>
        <v>0</v>
      </c>
      <c r="E136" s="9" t="n">
        <f aca="false">IF((E$18&gt;=Assumptions!$C$41),(((Assumptions!$C$42*$C$10)/12)*(((E57*Assumptions!$C$128)+(E80*Assumptions!$D$128))+(E103*Assumptions!$E$128))),0)</f>
        <v>0</v>
      </c>
      <c r="F136" s="9" t="n">
        <f aca="false">IF((F$18&gt;=Assumptions!$C$41),(((Assumptions!$C$42*$C$10)/12)*(((F57*Assumptions!$C$128)+(F80*Assumptions!$D$128))+(F103*Assumptions!$E$128))),0)</f>
        <v>0</v>
      </c>
      <c r="G136" s="9" t="n">
        <f aca="false">IF((G$18&gt;=Assumptions!$C$41),(((Assumptions!$C$42*$C$10)/12)*(((G57*Assumptions!$C$128)+(G80*Assumptions!$D$128))+(G103*Assumptions!$E$128))),0)</f>
        <v>0</v>
      </c>
      <c r="H136" s="9" t="n">
        <f aca="false">IF((H$18&gt;=Assumptions!$C$41),(((Assumptions!$C$42*$C$10)/12)*(((H57*Assumptions!$C$128)+(H80*Assumptions!$D$128))+(H103*Assumptions!$E$128))),0)</f>
        <v>0</v>
      </c>
      <c r="I136" s="9" t="n">
        <f aca="false">IF((I$18&gt;=Assumptions!$C$41),(((Assumptions!$C$42*$C$10)/12)*(((I57*Assumptions!$C$128)+(I80*Assumptions!$D$128))+(I103*Assumptions!$E$128))),0)</f>
        <v>0</v>
      </c>
      <c r="J136" s="9" t="n">
        <f aca="false">IF((J$18&gt;=Assumptions!$C$41),(((Assumptions!$C$42*$C$10)/12)*(((J57*Assumptions!$C$128)+(J80*Assumptions!$D$128))+(J103*Assumptions!$E$128))),0)</f>
        <v>0</v>
      </c>
      <c r="K136" s="9" t="n">
        <f aca="false">IF((K$18&gt;=Assumptions!$C$41),(((Assumptions!$C$42*$C$10)/12)*(((K57*Assumptions!$C$128)+(K80*Assumptions!$D$128))+(K103*Assumptions!$E$128))),0)</f>
        <v>0</v>
      </c>
      <c r="L136" s="9" t="n">
        <f aca="false">IF((L$18&gt;=Assumptions!$C$41),(((Assumptions!$C$42*$C$10)/12)*(((L57*Assumptions!$C$128)+(L80*Assumptions!$D$128))+(L103*Assumptions!$E$128))),0)</f>
        <v>0</v>
      </c>
      <c r="M136" s="9" t="n">
        <f aca="false">IF((M$18&gt;=Assumptions!$C$41),(((Assumptions!$C$42*$C$10)/12)*(((M57*Assumptions!$C$128)+(M80*Assumptions!$D$128))+(M103*Assumptions!$E$128))),0)</f>
        <v>0</v>
      </c>
      <c r="N136" s="9" t="n">
        <f aca="false">IF((N$18&gt;=Assumptions!$C$41),(((Assumptions!$C$42*$C$10)/12)*(((N57*Assumptions!$C$128)+(N80*Assumptions!$D$128))+(N103*Assumptions!$E$128))),0)</f>
        <v>0</v>
      </c>
      <c r="O136" s="9" t="n">
        <f aca="false">IF((O$18&gt;=Assumptions!$C$41),(((Assumptions!$C$42*$C$10)/12)*(((O57*Assumptions!$C$128)+(O80*Assumptions!$D$128))+(O103*Assumptions!$E$128))),0)</f>
        <v>0</v>
      </c>
      <c r="P136" s="9" t="n">
        <f aca="false">IF((P$18&gt;=Assumptions!$C$41),(((Assumptions!$C$42*$C$10)/12)*(((P57*Assumptions!$C$128)+(P80*Assumptions!$D$128))+(P103*Assumptions!$E$128))),0)</f>
        <v>0</v>
      </c>
      <c r="Q136" s="9" t="n">
        <f aca="false">IF((Q$18&gt;=Assumptions!$C$41),(((Assumptions!$C$42*$C$10)/12)*(((Q57*Assumptions!$C$128)+(Q80*Assumptions!$D$128))+(Q103*Assumptions!$E$128))),0)</f>
        <v>0</v>
      </c>
      <c r="R136" s="9" t="n">
        <f aca="false">IF((R$18&gt;=Assumptions!$C$41),(((Assumptions!$C$42*$C$10)/12)*(((R57*Assumptions!$C$128)+(R80*Assumptions!$D$128))+(R103*Assumptions!$E$128))),0)</f>
        <v>0</v>
      </c>
      <c r="S136" s="9" t="n">
        <f aca="false">IF((S$18&gt;=Assumptions!$C$41),(((Assumptions!$C$42*$C$10)/12)*(((S57*Assumptions!$C$128)+(S80*Assumptions!$D$128))+(S103*Assumptions!$E$128))),0)</f>
        <v>0</v>
      </c>
      <c r="T136" s="9" t="n">
        <f aca="false">IF((T$18&gt;=Assumptions!$C$41),(((Assumptions!$C$42*$C$10)/12)*(((T57*Assumptions!$C$128)+(T80*Assumptions!$D$128))+(T103*Assumptions!$E$128))),0)</f>
        <v>0</v>
      </c>
      <c r="U136" s="9" t="n">
        <f aca="false">IF((U$18&gt;=Assumptions!$C$41),(((Assumptions!$C$42*$C$10)/12)*(((U57*Assumptions!$C$128)+(U80*Assumptions!$D$128))+(U103*Assumptions!$E$128))),0)</f>
        <v>0</v>
      </c>
      <c r="V136" s="9" t="n">
        <f aca="false">IF((V$18&gt;=Assumptions!$C$41),(((Assumptions!$C$42*$C$10)/12)*(((V57*Assumptions!$C$128)+(V80*Assumptions!$D$128))+(V103*Assumptions!$E$128))),0)</f>
        <v>580</v>
      </c>
      <c r="W136" s="9" t="n">
        <f aca="false">IF((W$18&gt;=Assumptions!$C$41),(((Assumptions!$C$42*$C$10)/12)*(((W57*Assumptions!$C$128)+(W80*Assumptions!$D$128))+(W103*Assumptions!$E$128))),0)</f>
        <v>580</v>
      </c>
      <c r="X136" s="9" t="n">
        <f aca="false">IF((X$18&gt;=Assumptions!$C$41),(((Assumptions!$C$42*$C$10)/12)*(((X57*Assumptions!$C$128)+(X80*Assumptions!$D$128))+(X103*Assumptions!$E$128))),0)</f>
        <v>580</v>
      </c>
      <c r="Y136" s="9" t="n">
        <f aca="false">IF((Y$18&gt;=Assumptions!$C$41),(((Assumptions!$C$42*$C$10)/12)*(((Y57*Assumptions!$C$128)+(Y80*Assumptions!$D$128))+(Y103*Assumptions!$E$128))),0)</f>
        <v>928</v>
      </c>
      <c r="Z136" s="9" t="n">
        <f aca="false">IF((Z$18&gt;=Assumptions!$C$41),(((Assumptions!$C$42*$C$10)/12)*(((Z57*Assumptions!$C$128)+(Z80*Assumptions!$D$128))+(Z103*Assumptions!$E$128))),0)</f>
        <v>895.6</v>
      </c>
      <c r="AA136" s="9" t="n">
        <f aca="false">IF((AA$18&gt;=Assumptions!$C$41),(((Assumptions!$C$42*$C$10)/12)*(((AA57*Assumptions!$C$128)+(AA80*Assumptions!$D$128))+(AA103*Assumptions!$E$128))),0)</f>
        <v>895.6</v>
      </c>
      <c r="AB136" s="9" t="n">
        <f aca="false">IF((AB$18&gt;=Assumptions!$C$41),(((Assumptions!$C$42*$C$10)/12)*(((AB57*Assumptions!$C$128)+(AB80*Assumptions!$D$128))+(AB103*Assumptions!$E$128))),0)</f>
        <v>1883.6</v>
      </c>
      <c r="AC136" s="9" t="n">
        <f aca="false">IF((AC$18&gt;=Assumptions!$C$41),(((Assumptions!$C$42*$C$10)/12)*(((AC57*Assumptions!$C$128)+(AC80*Assumptions!$D$128))+(AC103*Assumptions!$E$128))),0)</f>
        <v>1840.4</v>
      </c>
      <c r="AD136" s="9" t="n">
        <f aca="false">IF((AD$18&gt;=Assumptions!$C$41),(((Assumptions!$C$42*$C$10)/12)*(((AD57*Assumptions!$C$128)+(AD80*Assumptions!$D$128))+(AD103*Assumptions!$E$128))),0)</f>
        <v>1840.4</v>
      </c>
      <c r="AE136" s="9" t="n">
        <f aca="false">IF((AE$18&gt;=Assumptions!$C$41),(((Assumptions!$C$42*$C$10)/12)*(((AE57*Assumptions!$C$128)+(AE80*Assumptions!$D$128))+(AE103*Assumptions!$E$128))),0)</f>
        <v>3310.4</v>
      </c>
      <c r="AF136" s="9" t="n">
        <f aca="false">IF((AF$18&gt;=Assumptions!$C$41),(((Assumptions!$C$42*$C$10)/12)*(((AF57*Assumptions!$C$128)+(AF80*Assumptions!$D$128))+(AF103*Assumptions!$E$128))),0)</f>
        <v>3310.4</v>
      </c>
      <c r="AG136" s="9" t="n">
        <f aca="false">IF((AG$18&gt;=Assumptions!$C$41),(((Assumptions!$C$42*$C$10)/12)*(((AG57*Assumptions!$C$128)+(AG80*Assumptions!$D$128))+(AG103*Assumptions!$E$128))),0)</f>
        <v>3310.4</v>
      </c>
      <c r="AH136" s="9" t="n">
        <f aca="false">IF((AH$18&gt;=Assumptions!$C$41),(((Assumptions!$C$42*$C$10)/12)*(((AH57*Assumptions!$C$128)+(AH80*Assumptions!$D$128))+(AH103*Assumptions!$E$128))),0)</f>
        <v>4868.4</v>
      </c>
      <c r="AI136" s="9" t="n">
        <f aca="false">IF((AI$18&gt;=Assumptions!$C$41),(((Assumptions!$C$42*$C$10)/12)*(((AI57*Assumptions!$C$128)+(AI80*Assumptions!$D$128))+(AI103*Assumptions!$E$128))),0)</f>
        <v>4868.4</v>
      </c>
      <c r="AJ136" s="9" t="n">
        <f aca="false">IF((AJ$18&gt;=Assumptions!$C$41),(((Assumptions!$C$42*$C$10)/12)*(((AJ57*Assumptions!$C$128)+(AJ80*Assumptions!$D$128))+(AJ103*Assumptions!$E$128))),0)</f>
        <v>4868.4</v>
      </c>
      <c r="AK136" s="9" t="n">
        <f aca="false">IF((AK$18&gt;=Assumptions!$C$41),(((Assumptions!$C$42*$C$10)/12)*(((AK57*Assumptions!$C$128)+(AK80*Assumptions!$D$128))+(AK103*Assumptions!$E$128))),0)</f>
        <v>7466.64</v>
      </c>
      <c r="AL136" s="9" t="n">
        <f aca="false">IF((AL$18&gt;=Assumptions!$C$41),(((Assumptions!$C$42*$C$10)/12)*(((AL57*Assumptions!$C$128)+(AL80*Assumptions!$D$128))+(AL103*Assumptions!$E$128))),0)</f>
        <v>8956.128</v>
      </c>
      <c r="AN136" s="11" t="n">
        <f aca="false">SUM(C136:N136)</f>
        <v>0</v>
      </c>
      <c r="AO136" s="11" t="n">
        <f aca="false">SUM(O136:Z136)</f>
        <v>3563.6</v>
      </c>
      <c r="AP136" s="11" t="n">
        <f aca="false">SUM(AA136:AL136)</f>
        <v>47419.168</v>
      </c>
    </row>
    <row r="137" customFormat="false" ht="15" hidden="false" customHeight="false" outlineLevel="0" collapsed="false">
      <c r="A137" s="0" t="s">
        <v>943</v>
      </c>
      <c r="B137" s="0" t="s">
        <v>230</v>
      </c>
      <c r="C137" s="9" t="n">
        <f aca="false">IF((C$18&gt;=Assumptions!$C$43),(((Assumptions!$C$44*$C$10)/12)*((C80*12000)+(C103*25000))),0)</f>
        <v>0</v>
      </c>
      <c r="D137" s="9" t="n">
        <f aca="false">IF((D$18&gt;=Assumptions!$C$43),(((Assumptions!$C$44*$C$10)/12)*((D80*12000)+(D103*25000))),0)</f>
        <v>0</v>
      </c>
      <c r="E137" s="9" t="n">
        <f aca="false">IF((E$18&gt;=Assumptions!$C$43),(((Assumptions!$C$44*$C$10)/12)*((E80*12000)+(E103*25000))),0)</f>
        <v>0</v>
      </c>
      <c r="F137" s="9" t="n">
        <f aca="false">IF((F$18&gt;=Assumptions!$C$43),(((Assumptions!$C$44*$C$10)/12)*((F80*12000)+(F103*25000))),0)</f>
        <v>0</v>
      </c>
      <c r="G137" s="9" t="n">
        <f aca="false">IF((G$18&gt;=Assumptions!$C$43),(((Assumptions!$C$44*$C$10)/12)*((G80*12000)+(G103*25000))),0)</f>
        <v>0</v>
      </c>
      <c r="H137" s="9" t="n">
        <f aca="false">IF((H$18&gt;=Assumptions!$C$43),(((Assumptions!$C$44*$C$10)/12)*((H80*12000)+(H103*25000))),0)</f>
        <v>0</v>
      </c>
      <c r="I137" s="9" t="n">
        <f aca="false">IF((I$18&gt;=Assumptions!$C$43),(((Assumptions!$C$44*$C$10)/12)*((I80*12000)+(I103*25000))),0)</f>
        <v>0</v>
      </c>
      <c r="J137" s="9" t="n">
        <f aca="false">IF((J$18&gt;=Assumptions!$C$43),(((Assumptions!$C$44*$C$10)/12)*((J80*12000)+(J103*25000))),0)</f>
        <v>0</v>
      </c>
      <c r="K137" s="9" t="n">
        <f aca="false">IF((K$18&gt;=Assumptions!$C$43),(((Assumptions!$C$44*$C$10)/12)*((K80*12000)+(K103*25000))),0)</f>
        <v>0</v>
      </c>
      <c r="L137" s="9" t="n">
        <f aca="false">IF((L$18&gt;=Assumptions!$C$43),(((Assumptions!$C$44*$C$10)/12)*((L80*12000)+(L103*25000))),0)</f>
        <v>0</v>
      </c>
      <c r="M137" s="9" t="n">
        <f aca="false">IF((M$18&gt;=Assumptions!$C$43),(((Assumptions!$C$44*$C$10)/12)*((M80*12000)+(M103*25000))),0)</f>
        <v>0</v>
      </c>
      <c r="N137" s="9" t="n">
        <f aca="false">IF((N$18&gt;=Assumptions!$C$43),(((Assumptions!$C$44*$C$10)/12)*((N80*12000)+(N103*25000))),0)</f>
        <v>0</v>
      </c>
      <c r="O137" s="9" t="n">
        <f aca="false">IF((O$18&gt;=Assumptions!$C$43),(((Assumptions!$C$44*$C$10)/12)*((O80*12000)+(O103*25000))),0)</f>
        <v>0</v>
      </c>
      <c r="P137" s="9" t="n">
        <f aca="false">IF((P$18&gt;=Assumptions!$C$43),(((Assumptions!$C$44*$C$10)/12)*((P80*12000)+(P103*25000))),0)</f>
        <v>0</v>
      </c>
      <c r="Q137" s="9" t="n">
        <f aca="false">IF((Q$18&gt;=Assumptions!$C$43),(((Assumptions!$C$44*$C$10)/12)*((Q80*12000)+(Q103*25000))),0)</f>
        <v>0</v>
      </c>
      <c r="R137" s="9" t="n">
        <f aca="false">IF((R$18&gt;=Assumptions!$C$43),(((Assumptions!$C$44*$C$10)/12)*((R80*12000)+(R103*25000))),0)</f>
        <v>0</v>
      </c>
      <c r="S137" s="9" t="n">
        <f aca="false">IF((S$18&gt;=Assumptions!$C$43),(((Assumptions!$C$44*$C$10)/12)*((S80*12000)+(S103*25000))),0)</f>
        <v>0</v>
      </c>
      <c r="T137" s="9" t="n">
        <f aca="false">IF((T$18&gt;=Assumptions!$C$43),(((Assumptions!$C$44*$C$10)/12)*((T80*12000)+(T103*25000))),0)</f>
        <v>0</v>
      </c>
      <c r="U137" s="9" t="n">
        <f aca="false">IF((U$18&gt;=Assumptions!$C$43),(((Assumptions!$C$44*$C$10)/12)*((U80*12000)+(U103*25000))),0)</f>
        <v>0</v>
      </c>
      <c r="V137" s="9" t="n">
        <f aca="false">IF((V$18&gt;=Assumptions!$C$43),(((Assumptions!$C$44*$C$10)/12)*((V80*12000)+(V103*25000))),0)</f>
        <v>0</v>
      </c>
      <c r="W137" s="9" t="n">
        <f aca="false">IF((W$18&gt;=Assumptions!$C$43),(((Assumptions!$C$44*$C$10)/12)*((W80*12000)+(W103*25000))),0)</f>
        <v>0</v>
      </c>
      <c r="X137" s="9" t="n">
        <f aca="false">IF((X$18&gt;=Assumptions!$C$43),(((Assumptions!$C$44*$C$10)/12)*((X80*12000)+(X103*25000))),0)</f>
        <v>0</v>
      </c>
      <c r="Y137" s="9" t="n">
        <f aca="false">IF((Y$18&gt;=Assumptions!$C$43),(((Assumptions!$C$44*$C$10)/12)*((Y80*12000)+(Y103*25000))),0)</f>
        <v>0</v>
      </c>
      <c r="Z137" s="9" t="n">
        <f aca="false">IF((Z$18&gt;=Assumptions!$C$43),(((Assumptions!$C$44*$C$10)/12)*((Z80*12000)+(Z103*25000))),0)</f>
        <v>0</v>
      </c>
      <c r="AA137" s="9" t="n">
        <f aca="false">IF((AA$18&gt;=Assumptions!$C$43),(((Assumptions!$C$44*$C$10)/12)*((AA80*12000)+(AA103*25000))),0)</f>
        <v>0</v>
      </c>
      <c r="AB137" s="9" t="n">
        <f aca="false">IF((AB$18&gt;=Assumptions!$C$43),(((Assumptions!$C$44*$C$10)/12)*((AB80*12000)+(AB103*25000))),0)</f>
        <v>0</v>
      </c>
      <c r="AC137" s="9" t="n">
        <f aca="false">IF((AC$18&gt;=Assumptions!$C$43),(((Assumptions!$C$44*$C$10)/12)*((AC80*12000)+(AC103*25000))),0)</f>
        <v>0</v>
      </c>
      <c r="AD137" s="9" t="n">
        <f aca="false">IF((AD$18&gt;=Assumptions!$C$43),(((Assumptions!$C$44*$C$10)/12)*((AD80*12000)+(AD103*25000))),0)</f>
        <v>0</v>
      </c>
      <c r="AE137" s="9" t="n">
        <f aca="false">IF((AE$18&gt;=Assumptions!$C$43),(((Assumptions!$C$44*$C$10)/12)*((AE80*12000)+(AE103*25000))),0)</f>
        <v>0</v>
      </c>
      <c r="AF137" s="9" t="n">
        <f aca="false">IF((AF$18&gt;=Assumptions!$C$43),(((Assumptions!$C$44*$C$10)/12)*((AF80*12000)+(AF103*25000))),0)</f>
        <v>500.7</v>
      </c>
      <c r="AG137" s="9" t="n">
        <f aca="false">IF((AG$18&gt;=Assumptions!$C$43),(((Assumptions!$C$44*$C$10)/12)*((AG80*12000)+(AG103*25000))),0)</f>
        <v>500.7</v>
      </c>
      <c r="AH137" s="9" t="n">
        <f aca="false">IF((AH$18&gt;=Assumptions!$C$43),(((Assumptions!$C$44*$C$10)/12)*((AH80*12000)+(AH103*25000))),0)</f>
        <v>718.2</v>
      </c>
      <c r="AI137" s="9" t="n">
        <f aca="false">IF((AI$18&gt;=Assumptions!$C$43),(((Assumptions!$C$44*$C$10)/12)*((AI80*12000)+(AI103*25000))),0)</f>
        <v>718.2</v>
      </c>
      <c r="AJ137" s="9" t="n">
        <f aca="false">IF((AJ$18&gt;=Assumptions!$C$43),(((Assumptions!$C$44*$C$10)/12)*((AJ80*12000)+(AJ103*25000))),0)</f>
        <v>718.2</v>
      </c>
      <c r="AK137" s="9" t="n">
        <f aca="false">IF((AK$18&gt;=Assumptions!$C$43),(((Assumptions!$C$44*$C$10)/12)*((AK80*12000)+(AK103*25000))),0)</f>
        <v>1149.96</v>
      </c>
      <c r="AL137" s="9" t="n">
        <f aca="false">IF((AL$18&gt;=Assumptions!$C$43),(((Assumptions!$C$44*$C$10)/12)*((AL80*12000)+(AL103*25000))),0)</f>
        <v>1462.46</v>
      </c>
      <c r="AN137" s="11" t="n">
        <f aca="false">SUM(C137:N137)</f>
        <v>0</v>
      </c>
      <c r="AO137" s="11" t="n">
        <f aca="false">SUM(O137:Z137)</f>
        <v>0</v>
      </c>
      <c r="AP137" s="11" t="n">
        <f aca="false">SUM(AA137:AL137)</f>
        <v>5768.42</v>
      </c>
    </row>
    <row r="138" customFormat="false" ht="15" hidden="false" customHeight="false" outlineLevel="0" collapsed="false">
      <c r="A138" s="0" t="s">
        <v>944</v>
      </c>
      <c r="B138" s="0" t="s">
        <v>852</v>
      </c>
      <c r="C138" s="14" t="n">
        <f aca="false">IF((C$18&gt;=Assumptions!$C$45),(INDEX(Schedules!$C$14:$AL$14,C$18)*$C$7),0)</f>
        <v>0</v>
      </c>
      <c r="D138" s="14" t="n">
        <f aca="false">IF((D$18&gt;=Assumptions!$C$45),(INDEX(Schedules!$C$14:$AL$14,D$18)*$C$7),0)</f>
        <v>0</v>
      </c>
      <c r="E138" s="14" t="n">
        <f aca="false">IF((E$18&gt;=Assumptions!$C$45),(INDEX(Schedules!$C$14:$AL$14,E$18)*$C$7),0)</f>
        <v>0</v>
      </c>
      <c r="F138" s="14" t="n">
        <f aca="false">IF((F$18&gt;=Assumptions!$C$45),(INDEX(Schedules!$C$14:$AL$14,F$18)*$C$7),0)</f>
        <v>0</v>
      </c>
      <c r="G138" s="14" t="n">
        <f aca="false">IF((G$18&gt;=Assumptions!$C$45),(INDEX(Schedules!$C$14:$AL$14,G$18)*$C$7),0)</f>
        <v>0</v>
      </c>
      <c r="H138" s="14" t="n">
        <f aca="false">IF((H$18&gt;=Assumptions!$C$45),(INDEX(Schedules!$C$14:$AL$14,H$18)*$C$7),0)</f>
        <v>0</v>
      </c>
      <c r="I138" s="14" t="n">
        <f aca="false">IF((I$18&gt;=Assumptions!$C$45),(INDEX(Schedules!$C$14:$AL$14,I$18)*$C$7),0)</f>
        <v>0</v>
      </c>
      <c r="J138" s="14" t="n">
        <f aca="false">IF((J$18&gt;=Assumptions!$C$45),(INDEX(Schedules!$C$14:$AL$14,J$18)*$C$7),0)</f>
        <v>0</v>
      </c>
      <c r="K138" s="14" t="n">
        <f aca="false">IF((K$18&gt;=Assumptions!$C$45),(INDEX(Schedules!$C$14:$AL$14,K$18)*$C$7),0)</f>
        <v>0</v>
      </c>
      <c r="L138" s="14" t="n">
        <f aca="false">IF((L$18&gt;=Assumptions!$C$45),(INDEX(Schedules!$C$14:$AL$14,L$18)*$C$7),0)</f>
        <v>0</v>
      </c>
      <c r="M138" s="14" t="n">
        <f aca="false">IF((M$18&gt;=Assumptions!$C$45),(INDEX(Schedules!$C$14:$AL$14,M$18)*$C$7),0)</f>
        <v>0</v>
      </c>
      <c r="N138" s="14" t="n">
        <f aca="false">IF((N$18&gt;=Assumptions!$C$45),(INDEX(Schedules!$C$14:$AL$14,N$18)*$C$7),0)</f>
        <v>0</v>
      </c>
      <c r="O138" s="14" t="n">
        <f aca="false">IF((O$18&gt;=Assumptions!$C$45),(INDEX(Schedules!$C$14:$AL$14,O$18)*$C$7),0)</f>
        <v>0</v>
      </c>
      <c r="P138" s="14" t="n">
        <f aca="false">IF((P$18&gt;=Assumptions!$C$45),(INDEX(Schedules!$C$14:$AL$14,P$18)*$C$7),0)</f>
        <v>0</v>
      </c>
      <c r="Q138" s="14" t="n">
        <f aca="false">IF((Q$18&gt;=Assumptions!$C$45),(INDEX(Schedules!$C$14:$AL$14,Q$18)*$C$7),0)</f>
        <v>0</v>
      </c>
      <c r="R138" s="14" t="n">
        <f aca="false">IF((R$18&gt;=Assumptions!$C$45),(INDEX(Schedules!$C$14:$AL$14,R$18)*$C$7),0)</f>
        <v>0</v>
      </c>
      <c r="S138" s="14" t="n">
        <f aca="false">IF((S$18&gt;=Assumptions!$C$45),(INDEX(Schedules!$C$14:$AL$14,S$18)*$C$7),0)</f>
        <v>0</v>
      </c>
      <c r="T138" s="14" t="n">
        <f aca="false">IF((T$18&gt;=Assumptions!$C$45),(INDEX(Schedules!$C$14:$AL$14,T$18)*$C$7),0)</f>
        <v>0</v>
      </c>
      <c r="U138" s="14" t="n">
        <f aca="false">IF((U$18&gt;=Assumptions!$C$45),(INDEX(Schedules!$C$14:$AL$14,U$18)*$C$7),0)</f>
        <v>0</v>
      </c>
      <c r="V138" s="14" t="n">
        <f aca="false">IF((V$18&gt;=Assumptions!$C$45),(INDEX(Schedules!$C$14:$AL$14,V$18)*$C$7),0)</f>
        <v>0</v>
      </c>
      <c r="W138" s="14" t="n">
        <f aca="false">IF((W$18&gt;=Assumptions!$C$45),(INDEX(Schedules!$C$14:$AL$14,W$18)*$C$7),0)</f>
        <v>0</v>
      </c>
      <c r="X138" s="14" t="n">
        <f aca="false">IF((X$18&gt;=Assumptions!$C$45),(INDEX(Schedules!$C$14:$AL$14,X$18)*$C$7),0)</f>
        <v>0</v>
      </c>
      <c r="Y138" s="14" t="n">
        <f aca="false">IF((Y$18&gt;=Assumptions!$C$45),(INDEX(Schedules!$C$14:$AL$14,Y$18)*$C$7),0)</f>
        <v>0</v>
      </c>
      <c r="Z138" s="14" t="n">
        <f aca="false">IF((Z$18&gt;=Assumptions!$C$45),(INDEX(Schedules!$C$14:$AL$14,Z$18)*$C$7),0)</f>
        <v>0</v>
      </c>
      <c r="AA138" s="14" t="n">
        <f aca="false">IF((AA$18&gt;=Assumptions!$C$45),(INDEX(Schedules!$C$14:$AL$14,AA$18)*$C$7),0)</f>
        <v>3</v>
      </c>
      <c r="AB138" s="14" t="n">
        <f aca="false">IF((AB$18&gt;=Assumptions!$C$45),(INDEX(Schedules!$C$14:$AL$14,AB$18)*$C$7),0)</f>
        <v>3</v>
      </c>
      <c r="AC138" s="14" t="n">
        <f aca="false">IF((AC$18&gt;=Assumptions!$C$45),(INDEX(Schedules!$C$14:$AL$14,AC$18)*$C$7),0)</f>
        <v>3</v>
      </c>
      <c r="AD138" s="14" t="n">
        <f aca="false">IF((AD$18&gt;=Assumptions!$C$45),(INDEX(Schedules!$C$14:$AL$14,AD$18)*$C$7),0)</f>
        <v>3</v>
      </c>
      <c r="AE138" s="14" t="n">
        <f aca="false">IF((AE$18&gt;=Assumptions!$C$45),(INDEX(Schedules!$C$14:$AL$14,AE$18)*$C$7),0)</f>
        <v>3</v>
      </c>
      <c r="AF138" s="14" t="n">
        <f aca="false">IF((AF$18&gt;=Assumptions!$C$45),(INDEX(Schedules!$C$14:$AL$14,AF$18)*$C$7),0)</f>
        <v>3</v>
      </c>
      <c r="AG138" s="14" t="n">
        <f aca="false">IF((AG$18&gt;=Assumptions!$C$45),(INDEX(Schedules!$C$14:$AL$14,AG$18)*$C$7),0)</f>
        <v>6</v>
      </c>
      <c r="AH138" s="14" t="n">
        <f aca="false">IF((AH$18&gt;=Assumptions!$C$45),(INDEX(Schedules!$C$14:$AL$14,AH$18)*$C$7),0)</f>
        <v>6</v>
      </c>
      <c r="AI138" s="14" t="n">
        <f aca="false">IF((AI$18&gt;=Assumptions!$C$45),(INDEX(Schedules!$C$14:$AL$14,AI$18)*$C$7),0)</f>
        <v>6</v>
      </c>
      <c r="AJ138" s="14" t="n">
        <f aca="false">IF((AJ$18&gt;=Assumptions!$C$45),(INDEX(Schedules!$C$14:$AL$14,AJ$18)*$C$7),0)</f>
        <v>6</v>
      </c>
      <c r="AK138" s="14" t="n">
        <f aca="false">IF((AK$18&gt;=Assumptions!$C$45),(INDEX(Schedules!$C$14:$AL$14,AK$18)*$C$7),0)</f>
        <v>6</v>
      </c>
      <c r="AL138" s="14" t="n">
        <f aca="false">IF((AL$18&gt;=Assumptions!$C$45),(INDEX(Schedules!$C$14:$AL$14,AL$18)*$C$7),0)</f>
        <v>6</v>
      </c>
      <c r="AN138" s="36" t="n">
        <f aca="false">SUM(C138:N138)</f>
        <v>0</v>
      </c>
      <c r="AO138" s="36" t="n">
        <f aca="false">SUM(O138:Z138)</f>
        <v>0</v>
      </c>
      <c r="AP138" s="36" t="n">
        <f aca="false">SUM(AA138:AL138)</f>
        <v>54</v>
      </c>
    </row>
    <row r="139" customFormat="false" ht="15" hidden="false" customHeight="false" outlineLevel="0" collapsed="false">
      <c r="A139" s="0" t="s">
        <v>945</v>
      </c>
      <c r="B139" s="0" t="s">
        <v>852</v>
      </c>
      <c r="C139" s="13" t="n">
        <f aca="false">((0*(1-Assumptions!$C$47))+C138)</f>
        <v>0</v>
      </c>
      <c r="D139" s="13" t="n">
        <f aca="false">((C139*(1-Assumptions!$C$47))+D138)</f>
        <v>0</v>
      </c>
      <c r="E139" s="13" t="n">
        <f aca="false">((D139*(1-Assumptions!$C$47))+E138)</f>
        <v>0</v>
      </c>
      <c r="F139" s="13" t="n">
        <f aca="false">((E139*(1-Assumptions!$C$47))+F138)</f>
        <v>0</v>
      </c>
      <c r="G139" s="13" t="n">
        <f aca="false">((F139*(1-Assumptions!$C$47))+G138)</f>
        <v>0</v>
      </c>
      <c r="H139" s="13" t="n">
        <f aca="false">((G139*(1-Assumptions!$C$47))+H138)</f>
        <v>0</v>
      </c>
      <c r="I139" s="13" t="n">
        <f aca="false">((H139*(1-Assumptions!$C$47))+I138)</f>
        <v>0</v>
      </c>
      <c r="J139" s="13" t="n">
        <f aca="false">((I139*(1-Assumptions!$C$47))+J138)</f>
        <v>0</v>
      </c>
      <c r="K139" s="13" t="n">
        <f aca="false">((J139*(1-Assumptions!$C$47))+K138)</f>
        <v>0</v>
      </c>
      <c r="L139" s="13" t="n">
        <f aca="false">((K139*(1-Assumptions!$C$47))+L138)</f>
        <v>0</v>
      </c>
      <c r="M139" s="13" t="n">
        <f aca="false">((L139*(1-Assumptions!$C$47))+M138)</f>
        <v>0</v>
      </c>
      <c r="N139" s="13" t="n">
        <f aca="false">((M139*(1-Assumptions!$C$47))+N138)</f>
        <v>0</v>
      </c>
      <c r="O139" s="13" t="n">
        <f aca="false">((N139*(1-Assumptions!$C$47))+O138)</f>
        <v>0</v>
      </c>
      <c r="P139" s="13" t="n">
        <f aca="false">((O139*(1-Assumptions!$C$47))+P138)</f>
        <v>0</v>
      </c>
      <c r="Q139" s="13" t="n">
        <f aca="false">((P139*(1-Assumptions!$C$47))+Q138)</f>
        <v>0</v>
      </c>
      <c r="R139" s="13" t="n">
        <f aca="false">((Q139*(1-Assumptions!$C$47))+R138)</f>
        <v>0</v>
      </c>
      <c r="S139" s="13" t="n">
        <f aca="false">((R139*(1-Assumptions!$C$47))+S138)</f>
        <v>0</v>
      </c>
      <c r="T139" s="13" t="n">
        <f aca="false">((S139*(1-Assumptions!$C$47))+T138)</f>
        <v>0</v>
      </c>
      <c r="U139" s="13" t="n">
        <f aca="false">((T139*(1-Assumptions!$C$47))+U138)</f>
        <v>0</v>
      </c>
      <c r="V139" s="13" t="n">
        <f aca="false">((U139*(1-Assumptions!$C$47))+V138)</f>
        <v>0</v>
      </c>
      <c r="W139" s="13" t="n">
        <f aca="false">((V139*(1-Assumptions!$C$47))+W138)</f>
        <v>0</v>
      </c>
      <c r="X139" s="13" t="n">
        <f aca="false">((W139*(1-Assumptions!$C$47))+X138)</f>
        <v>0</v>
      </c>
      <c r="Y139" s="13" t="n">
        <f aca="false">((X139*(1-Assumptions!$C$47))+Y138)</f>
        <v>0</v>
      </c>
      <c r="Z139" s="13" t="n">
        <f aca="false">((Y139*(1-Assumptions!$C$47))+Z138)</f>
        <v>0</v>
      </c>
      <c r="AA139" s="13" t="n">
        <f aca="false">((Z139*(1-Assumptions!$C$47))+AA138)</f>
        <v>3</v>
      </c>
      <c r="AB139" s="13" t="n">
        <f aca="false">((AA139*(1-Assumptions!$C$47))+AB138)</f>
        <v>5.94</v>
      </c>
      <c r="AC139" s="13" t="n">
        <f aca="false">((AB139*(1-Assumptions!$C$47))+AC138)</f>
        <v>8.8212</v>
      </c>
      <c r="AD139" s="13" t="n">
        <f aca="false">((AC139*(1-Assumptions!$C$47))+AD138)</f>
        <v>11.644776</v>
      </c>
      <c r="AE139" s="13" t="n">
        <f aca="false">((AD139*(1-Assumptions!$C$47))+AE138)</f>
        <v>14.41188048</v>
      </c>
      <c r="AF139" s="13" t="n">
        <f aca="false">((AE139*(1-Assumptions!$C$47))+AF138)</f>
        <v>17.1236428704</v>
      </c>
      <c r="AG139" s="13" t="n">
        <f aca="false">((AF139*(1-Assumptions!$C$47))+AG138)</f>
        <v>22.781170012992</v>
      </c>
      <c r="AH139" s="13" t="n">
        <f aca="false">((AG139*(1-Assumptions!$C$47))+AH138)</f>
        <v>28.3255466127322</v>
      </c>
      <c r="AI139" s="13" t="n">
        <f aca="false">((AH139*(1-Assumptions!$C$47))+AI138)</f>
        <v>33.7590356804775</v>
      </c>
      <c r="AJ139" s="13" t="n">
        <f aca="false">((AI139*(1-Assumptions!$C$47))+AJ138)</f>
        <v>39.083854966868</v>
      </c>
      <c r="AK139" s="13" t="n">
        <f aca="false">((AJ139*(1-Assumptions!$C$47))+AK138)</f>
        <v>44.3021778675306</v>
      </c>
      <c r="AL139" s="13" t="n">
        <f aca="false">((AK139*(1-Assumptions!$C$47))+AL138)</f>
        <v>49.41613431018</v>
      </c>
      <c r="AN139" s="37" t="n">
        <f aca="false">N139</f>
        <v>0</v>
      </c>
      <c r="AO139" s="37" t="n">
        <f aca="false">Z139</f>
        <v>0</v>
      </c>
      <c r="AP139" s="37" t="n">
        <f aca="false">AL139</f>
        <v>49.41613431018</v>
      </c>
    </row>
    <row r="140" customFormat="false" ht="15" hidden="false" customHeight="false" outlineLevel="0" collapsed="false">
      <c r="A140" s="0" t="s">
        <v>946</v>
      </c>
      <c r="B140" s="0" t="s">
        <v>230</v>
      </c>
      <c r="C140" s="9" t="n">
        <f aca="false">((C139*Assumptions!$C$46)/12)</f>
        <v>0</v>
      </c>
      <c r="D140" s="9" t="n">
        <f aca="false">((D139*Assumptions!$C$46)/12)</f>
        <v>0</v>
      </c>
      <c r="E140" s="9" t="n">
        <f aca="false">((E139*Assumptions!$C$46)/12)</f>
        <v>0</v>
      </c>
      <c r="F140" s="9" t="n">
        <f aca="false">((F139*Assumptions!$C$46)/12)</f>
        <v>0</v>
      </c>
      <c r="G140" s="9" t="n">
        <f aca="false">((G139*Assumptions!$C$46)/12)</f>
        <v>0</v>
      </c>
      <c r="H140" s="9" t="n">
        <f aca="false">((H139*Assumptions!$C$46)/12)</f>
        <v>0</v>
      </c>
      <c r="I140" s="9" t="n">
        <f aca="false">((I139*Assumptions!$C$46)/12)</f>
        <v>0</v>
      </c>
      <c r="J140" s="9" t="n">
        <f aca="false">((J139*Assumptions!$C$46)/12)</f>
        <v>0</v>
      </c>
      <c r="K140" s="9" t="n">
        <f aca="false">((K139*Assumptions!$C$46)/12)</f>
        <v>0</v>
      </c>
      <c r="L140" s="9" t="n">
        <f aca="false">((L139*Assumptions!$C$46)/12)</f>
        <v>0</v>
      </c>
      <c r="M140" s="9" t="n">
        <f aca="false">((M139*Assumptions!$C$46)/12)</f>
        <v>0</v>
      </c>
      <c r="N140" s="9" t="n">
        <f aca="false">((N139*Assumptions!$C$46)/12)</f>
        <v>0</v>
      </c>
      <c r="O140" s="9" t="n">
        <f aca="false">((O139*Assumptions!$C$46)/12)</f>
        <v>0</v>
      </c>
      <c r="P140" s="9" t="n">
        <f aca="false">((P139*Assumptions!$C$46)/12)</f>
        <v>0</v>
      </c>
      <c r="Q140" s="9" t="n">
        <f aca="false">((Q139*Assumptions!$C$46)/12)</f>
        <v>0</v>
      </c>
      <c r="R140" s="9" t="n">
        <f aca="false">((R139*Assumptions!$C$46)/12)</f>
        <v>0</v>
      </c>
      <c r="S140" s="9" t="n">
        <f aca="false">((S139*Assumptions!$C$46)/12)</f>
        <v>0</v>
      </c>
      <c r="T140" s="9" t="n">
        <f aca="false">((T139*Assumptions!$C$46)/12)</f>
        <v>0</v>
      </c>
      <c r="U140" s="9" t="n">
        <f aca="false">((U139*Assumptions!$C$46)/12)</f>
        <v>0</v>
      </c>
      <c r="V140" s="9" t="n">
        <f aca="false">((V139*Assumptions!$C$46)/12)</f>
        <v>0</v>
      </c>
      <c r="W140" s="9" t="n">
        <f aca="false">((W139*Assumptions!$C$46)/12)</f>
        <v>0</v>
      </c>
      <c r="X140" s="9" t="n">
        <f aca="false">((X139*Assumptions!$C$46)/12)</f>
        <v>0</v>
      </c>
      <c r="Y140" s="9" t="n">
        <f aca="false">((Y139*Assumptions!$C$46)/12)</f>
        <v>0</v>
      </c>
      <c r="Z140" s="9" t="n">
        <f aca="false">((Z139*Assumptions!$C$46)/12)</f>
        <v>0</v>
      </c>
      <c r="AA140" s="9" t="n">
        <f aca="false">((AA139*Assumptions!$C$46)/12)</f>
        <v>1000</v>
      </c>
      <c r="AB140" s="9" t="n">
        <f aca="false">((AB139*Assumptions!$C$46)/12)</f>
        <v>1980</v>
      </c>
      <c r="AC140" s="9" t="n">
        <f aca="false">((AC139*Assumptions!$C$46)/12)</f>
        <v>2940.4</v>
      </c>
      <c r="AD140" s="9" t="n">
        <f aca="false">((AD139*Assumptions!$C$46)/12)</f>
        <v>3881.592</v>
      </c>
      <c r="AE140" s="9" t="n">
        <f aca="false">((AE139*Assumptions!$C$46)/12)</f>
        <v>4803.96016</v>
      </c>
      <c r="AF140" s="9" t="n">
        <f aca="false">((AF139*Assumptions!$C$46)/12)</f>
        <v>5707.8809568</v>
      </c>
      <c r="AG140" s="9" t="n">
        <f aca="false">((AG139*Assumptions!$C$46)/12)</f>
        <v>7593.723337664</v>
      </c>
      <c r="AH140" s="9" t="n">
        <f aca="false">((AH139*Assumptions!$C$46)/12)</f>
        <v>9441.84887091072</v>
      </c>
      <c r="AI140" s="9" t="n">
        <f aca="false">((AI139*Assumptions!$C$46)/12)</f>
        <v>11253.0118934925</v>
      </c>
      <c r="AJ140" s="9" t="n">
        <f aca="false">((AJ139*Assumptions!$C$46)/12)</f>
        <v>13027.9516556227</v>
      </c>
      <c r="AK140" s="9" t="n">
        <f aca="false">((AK139*Assumptions!$C$46)/12)</f>
        <v>14767.3926225102</v>
      </c>
      <c r="AL140" s="9" t="n">
        <f aca="false">((AL139*Assumptions!$C$46)/12)</f>
        <v>16472.04477006</v>
      </c>
      <c r="AN140" s="11" t="n">
        <f aca="false">SUM(C140:N140)</f>
        <v>0</v>
      </c>
      <c r="AO140" s="11" t="n">
        <f aca="false">SUM(O140:Z140)</f>
        <v>0</v>
      </c>
      <c r="AP140" s="11" t="n">
        <f aca="false">SUM(AA140:AL140)</f>
        <v>92869.8062670601</v>
      </c>
    </row>
    <row r="141" customFormat="false" ht="15" hidden="false" customHeight="false" outlineLevel="0" collapsed="false">
      <c r="A141" s="0" t="s">
        <v>947</v>
      </c>
      <c r="B141" s="0" t="s">
        <v>852</v>
      </c>
      <c r="C141" s="13" t="n">
        <f aca="false">IF((C$18&lt;Assumptions!$C$48),0,IF((C$18=Assumptions!$C$48),(Assumptions!$C$49*$C$4),((0*(1-Assumptions!$C$51))+(Assumptions!$C$50*$C$4))))</f>
        <v>0</v>
      </c>
      <c r="D141" s="13" t="n">
        <f aca="false">IF((D$18&lt;Assumptions!$C$48),0,IF((D$18=Assumptions!$C$48),(Assumptions!$C$49*$C$4),((C141*(1-Assumptions!$C$51))+(Assumptions!$C$50*$C$4))))</f>
        <v>0</v>
      </c>
      <c r="E141" s="13" t="n">
        <f aca="false">IF((E$18&lt;Assumptions!$C$48),0,IF((E$18=Assumptions!$C$48),(Assumptions!$C$49*$C$4),((D141*(1-Assumptions!$C$51))+(Assumptions!$C$50*$C$4))))</f>
        <v>0</v>
      </c>
      <c r="F141" s="13" t="n">
        <f aca="false">IF((F$18&lt;Assumptions!$C$48),0,IF((F$18=Assumptions!$C$48),(Assumptions!$C$49*$C$4),((E141*(1-Assumptions!$C$51))+(Assumptions!$C$50*$C$4))))</f>
        <v>0</v>
      </c>
      <c r="G141" s="13" t="n">
        <f aca="false">IF((G$18&lt;Assumptions!$C$48),0,IF((G$18=Assumptions!$C$48),(Assumptions!$C$49*$C$4),((F141*(1-Assumptions!$C$51))+(Assumptions!$C$50*$C$4))))</f>
        <v>0</v>
      </c>
      <c r="H141" s="13" t="n">
        <f aca="false">IF((H$18&lt;Assumptions!$C$48),0,IF((H$18=Assumptions!$C$48),(Assumptions!$C$49*$C$4),((G141*(1-Assumptions!$C$51))+(Assumptions!$C$50*$C$4))))</f>
        <v>0</v>
      </c>
      <c r="I141" s="13" t="n">
        <f aca="false">IF((I$18&lt;Assumptions!$C$48),0,IF((I$18=Assumptions!$C$48),(Assumptions!$C$49*$C$4),((H141*(1-Assumptions!$C$51))+(Assumptions!$C$50*$C$4))))</f>
        <v>0</v>
      </c>
      <c r="J141" s="13" t="n">
        <f aca="false">IF((J$18&lt;Assumptions!$C$48),0,IF((J$18=Assumptions!$C$48),(Assumptions!$C$49*$C$4),((I141*(1-Assumptions!$C$51))+(Assumptions!$C$50*$C$4))))</f>
        <v>0</v>
      </c>
      <c r="K141" s="13" t="n">
        <f aca="false">IF((K$18&lt;Assumptions!$C$48),0,IF((K$18=Assumptions!$C$48),(Assumptions!$C$49*$C$4),((J141*(1-Assumptions!$C$51))+(Assumptions!$C$50*$C$4))))</f>
        <v>0</v>
      </c>
      <c r="L141" s="13" t="n">
        <f aca="false">IF((L$18&lt;Assumptions!$C$48),0,IF((L$18=Assumptions!$C$48),(Assumptions!$C$49*$C$4),((K141*(1-Assumptions!$C$51))+(Assumptions!$C$50*$C$4))))</f>
        <v>0</v>
      </c>
      <c r="M141" s="13" t="n">
        <f aca="false">IF((M$18&lt;Assumptions!$C$48),0,IF((M$18=Assumptions!$C$48),(Assumptions!$C$49*$C$4),((L141*(1-Assumptions!$C$51))+(Assumptions!$C$50*$C$4))))</f>
        <v>0</v>
      </c>
      <c r="N141" s="13" t="n">
        <f aca="false">IF((N$18&lt;Assumptions!$C$48),0,IF((N$18=Assumptions!$C$48),(Assumptions!$C$49*$C$4),((M141*(1-Assumptions!$C$51))+(Assumptions!$C$50*$C$4))))</f>
        <v>0</v>
      </c>
      <c r="O141" s="13" t="n">
        <f aca="false">IF((O$18&lt;Assumptions!$C$48),0,IF((O$18=Assumptions!$C$48),(Assumptions!$C$49*$C$4),((N141*(1-Assumptions!$C$51))+(Assumptions!$C$50*$C$4))))</f>
        <v>0</v>
      </c>
      <c r="P141" s="13" t="n">
        <f aca="false">IF((P$18&lt;Assumptions!$C$48),0,IF((P$18=Assumptions!$C$48),(Assumptions!$C$49*$C$4),((O141*(1-Assumptions!$C$51))+(Assumptions!$C$50*$C$4))))</f>
        <v>0</v>
      </c>
      <c r="Q141" s="13" t="n">
        <f aca="false">IF((Q$18&lt;Assumptions!$C$48),0,IF((Q$18=Assumptions!$C$48),(Assumptions!$C$49*$C$4),((P141*(1-Assumptions!$C$51))+(Assumptions!$C$50*$C$4))))</f>
        <v>0</v>
      </c>
      <c r="R141" s="13" t="n">
        <f aca="false">IF((R$18&lt;Assumptions!$C$48),0,IF((R$18=Assumptions!$C$48),(Assumptions!$C$49*$C$4),((Q141*(1-Assumptions!$C$51))+(Assumptions!$C$50*$C$4))))</f>
        <v>0</v>
      </c>
      <c r="S141" s="13" t="n">
        <f aca="false">IF((S$18&lt;Assumptions!$C$48),0,IF((S$18=Assumptions!$C$48),(Assumptions!$C$49*$C$4),((R141*(1-Assumptions!$C$51))+(Assumptions!$C$50*$C$4))))</f>
        <v>0</v>
      </c>
      <c r="T141" s="13" t="n">
        <f aca="false">IF((T$18&lt;Assumptions!$C$48),0,IF((T$18=Assumptions!$C$48),(Assumptions!$C$49*$C$4),((S141*(1-Assumptions!$C$51))+(Assumptions!$C$50*$C$4))))</f>
        <v>0</v>
      </c>
      <c r="U141" s="13" t="n">
        <f aca="false">IF((U$18&lt;Assumptions!$C$48),0,IF((U$18=Assumptions!$C$48),(Assumptions!$C$49*$C$4),((T141*(1-Assumptions!$C$51))+(Assumptions!$C$50*$C$4))))</f>
        <v>0</v>
      </c>
      <c r="V141" s="13" t="n">
        <f aca="false">IF((V$18&lt;Assumptions!$C$48),0,IF((V$18=Assumptions!$C$48),(Assumptions!$C$49*$C$4),((U141*(1-Assumptions!$C$51))+(Assumptions!$C$50*$C$4))))</f>
        <v>0</v>
      </c>
      <c r="W141" s="13" t="n">
        <f aca="false">IF((W$18&lt;Assumptions!$C$48),0,IF((W$18=Assumptions!$C$48),(Assumptions!$C$49*$C$4),((V141*(1-Assumptions!$C$51))+(Assumptions!$C$50*$C$4))))</f>
        <v>0</v>
      </c>
      <c r="X141" s="13" t="n">
        <f aca="false">IF((X$18&lt;Assumptions!$C$48),0,IF((X$18=Assumptions!$C$48),(Assumptions!$C$49*$C$4),((W141*(1-Assumptions!$C$51))+(Assumptions!$C$50*$C$4))))</f>
        <v>0</v>
      </c>
      <c r="Y141" s="13" t="n">
        <f aca="false">IF((Y$18&lt;Assumptions!$C$48),0,IF((Y$18=Assumptions!$C$48),(Assumptions!$C$49*$C$4),((X141*(1-Assumptions!$C$51))+(Assumptions!$C$50*$C$4))))</f>
        <v>0</v>
      </c>
      <c r="Z141" s="13" t="n">
        <f aca="false">IF((Z$18&lt;Assumptions!$C$48),0,IF((Z$18=Assumptions!$C$48),(Assumptions!$C$49*$C$4),((Y141*(1-Assumptions!$C$51))+(Assumptions!$C$50*$C$4))))</f>
        <v>0</v>
      </c>
      <c r="AA141" s="13" t="n">
        <f aca="false">IF((AA$18&lt;Assumptions!$C$48),0,IF((AA$18=Assumptions!$C$48),(Assumptions!$C$49*$C$4),((Z141*(1-Assumptions!$C$51))+(Assumptions!$C$50*$C$4))))</f>
        <v>0</v>
      </c>
      <c r="AB141" s="13" t="n">
        <f aca="false">IF((AB$18&lt;Assumptions!$C$48),0,IF((AB$18=Assumptions!$C$48),(Assumptions!$C$49*$C$4),((AA141*(1-Assumptions!$C$51))+(Assumptions!$C$50*$C$4))))</f>
        <v>0</v>
      </c>
      <c r="AC141" s="13" t="n">
        <f aca="false">IF((AC$18&lt;Assumptions!$C$48),0,IF((AC$18=Assumptions!$C$48),(Assumptions!$C$49*$C$4),((AB141*(1-Assumptions!$C$51))+(Assumptions!$C$50*$C$4))))</f>
        <v>0</v>
      </c>
      <c r="AD141" s="13" t="n">
        <f aca="false">IF((AD$18&lt;Assumptions!$C$48),0,IF((AD$18=Assumptions!$C$48),(Assumptions!$C$49*$C$4),((AC141*(1-Assumptions!$C$51))+(Assumptions!$C$50*$C$4))))</f>
        <v>0</v>
      </c>
      <c r="AE141" s="13" t="n">
        <f aca="false">IF((AE$18&lt;Assumptions!$C$48),0,IF((AE$18=Assumptions!$C$48),(Assumptions!$C$49*$C$4),((AD141*(1-Assumptions!$C$51))+(Assumptions!$C$50*$C$4))))</f>
        <v>0</v>
      </c>
      <c r="AF141" s="13" t="n">
        <f aca="false">IF((AF$18&lt;Assumptions!$C$48),0,IF((AF$18=Assumptions!$C$48),(Assumptions!$C$49*$C$4),((AE141*(1-Assumptions!$C$51))+(Assumptions!$C$50*$C$4))))</f>
        <v>0</v>
      </c>
      <c r="AG141" s="13" t="n">
        <f aca="false">IF((AG$18&lt;Assumptions!$C$48),0,IF((AG$18=Assumptions!$C$48),(Assumptions!$C$49*$C$4),((AF141*(1-Assumptions!$C$51))+(Assumptions!$C$50*$C$4))))</f>
        <v>40</v>
      </c>
      <c r="AH141" s="13" t="n">
        <f aca="false">IF((AH$18&lt;Assumptions!$C$48),0,IF((AH$18=Assumptions!$C$48),(Assumptions!$C$49*$C$4),((AG141*(1-Assumptions!$C$51))+(Assumptions!$C$50*$C$4))))</f>
        <v>53.4</v>
      </c>
      <c r="AI141" s="13" t="n">
        <f aca="false">IF((AI$18&lt;Assumptions!$C$48),0,IF((AI$18=Assumptions!$C$48),(Assumptions!$C$49*$C$4),((AH141*(1-Assumptions!$C$51))+(Assumptions!$C$50*$C$4))))</f>
        <v>66.264</v>
      </c>
      <c r="AJ141" s="13" t="n">
        <f aca="false">IF((AJ$18&lt;Assumptions!$C$48),0,IF((AJ$18=Assumptions!$C$48),(Assumptions!$C$49*$C$4),((AI141*(1-Assumptions!$C$51))+(Assumptions!$C$50*$C$4))))</f>
        <v>78.61344</v>
      </c>
      <c r="AK141" s="13" t="n">
        <f aca="false">IF((AK$18&lt;Assumptions!$C$48),0,IF((AK$18=Assumptions!$C$48),(Assumptions!$C$49*$C$4),((AJ141*(1-Assumptions!$C$51))+(Assumptions!$C$50*$C$4))))</f>
        <v>90.4689024</v>
      </c>
      <c r="AL141" s="13" t="n">
        <f aca="false">IF((AL$18&lt;Assumptions!$C$48),0,IF((AL$18=Assumptions!$C$48),(Assumptions!$C$49*$C$4),((AK141*(1-Assumptions!$C$51))+(Assumptions!$C$50*$C$4))))</f>
        <v>101.850146304</v>
      </c>
      <c r="AN141" s="37" t="n">
        <f aca="false">N141</f>
        <v>0</v>
      </c>
      <c r="AO141" s="37" t="n">
        <f aca="false">Z141</f>
        <v>0</v>
      </c>
      <c r="AP141" s="37" t="n">
        <f aca="false">AL141</f>
        <v>101.850146304</v>
      </c>
    </row>
    <row r="142" customFormat="false" ht="15" hidden="false" customHeight="false" outlineLevel="0" collapsed="false">
      <c r="A142" s="0" t="s">
        <v>948</v>
      </c>
      <c r="B142" s="0" t="s">
        <v>325</v>
      </c>
      <c r="C142" s="9" t="n">
        <f aca="false">(C141*Assumptions!$C$52)</f>
        <v>0</v>
      </c>
      <c r="D142" s="9" t="n">
        <f aca="false">(D141*Assumptions!$C$52)</f>
        <v>0</v>
      </c>
      <c r="E142" s="9" t="n">
        <f aca="false">(E141*Assumptions!$C$52)</f>
        <v>0</v>
      </c>
      <c r="F142" s="9" t="n">
        <f aca="false">(F141*Assumptions!$C$52)</f>
        <v>0</v>
      </c>
      <c r="G142" s="9" t="n">
        <f aca="false">(G141*Assumptions!$C$52)</f>
        <v>0</v>
      </c>
      <c r="H142" s="9" t="n">
        <f aca="false">(H141*Assumptions!$C$52)</f>
        <v>0</v>
      </c>
      <c r="I142" s="9" t="n">
        <f aca="false">(I141*Assumptions!$C$52)</f>
        <v>0</v>
      </c>
      <c r="J142" s="9" t="n">
        <f aca="false">(J141*Assumptions!$C$52)</f>
        <v>0</v>
      </c>
      <c r="K142" s="9" t="n">
        <f aca="false">(K141*Assumptions!$C$52)</f>
        <v>0</v>
      </c>
      <c r="L142" s="9" t="n">
        <f aca="false">(L141*Assumptions!$C$52)</f>
        <v>0</v>
      </c>
      <c r="M142" s="9" t="n">
        <f aca="false">(M141*Assumptions!$C$52)</f>
        <v>0</v>
      </c>
      <c r="N142" s="9" t="n">
        <f aca="false">(N141*Assumptions!$C$52)</f>
        <v>0</v>
      </c>
      <c r="O142" s="9" t="n">
        <f aca="false">(O141*Assumptions!$C$52)</f>
        <v>0</v>
      </c>
      <c r="P142" s="9" t="n">
        <f aca="false">(P141*Assumptions!$C$52)</f>
        <v>0</v>
      </c>
      <c r="Q142" s="9" t="n">
        <f aca="false">(Q141*Assumptions!$C$52)</f>
        <v>0</v>
      </c>
      <c r="R142" s="9" t="n">
        <f aca="false">(R141*Assumptions!$C$52)</f>
        <v>0</v>
      </c>
      <c r="S142" s="9" t="n">
        <f aca="false">(S141*Assumptions!$C$52)</f>
        <v>0</v>
      </c>
      <c r="T142" s="9" t="n">
        <f aca="false">(T141*Assumptions!$C$52)</f>
        <v>0</v>
      </c>
      <c r="U142" s="9" t="n">
        <f aca="false">(U141*Assumptions!$C$52)</f>
        <v>0</v>
      </c>
      <c r="V142" s="9" t="n">
        <f aca="false">(V141*Assumptions!$C$52)</f>
        <v>0</v>
      </c>
      <c r="W142" s="9" t="n">
        <f aca="false">(W141*Assumptions!$C$52)</f>
        <v>0</v>
      </c>
      <c r="X142" s="9" t="n">
        <f aca="false">(X141*Assumptions!$C$52)</f>
        <v>0</v>
      </c>
      <c r="Y142" s="9" t="n">
        <f aca="false">(Y141*Assumptions!$C$52)</f>
        <v>0</v>
      </c>
      <c r="Z142" s="9" t="n">
        <f aca="false">(Z141*Assumptions!$C$52)</f>
        <v>0</v>
      </c>
      <c r="AA142" s="9" t="n">
        <f aca="false">(AA141*Assumptions!$C$52)</f>
        <v>0</v>
      </c>
      <c r="AB142" s="9" t="n">
        <f aca="false">(AB141*Assumptions!$C$52)</f>
        <v>0</v>
      </c>
      <c r="AC142" s="9" t="n">
        <f aca="false">(AC141*Assumptions!$C$52)</f>
        <v>0</v>
      </c>
      <c r="AD142" s="9" t="n">
        <f aca="false">(AD141*Assumptions!$C$52)</f>
        <v>0</v>
      </c>
      <c r="AE142" s="9" t="n">
        <f aca="false">(AE141*Assumptions!$C$52)</f>
        <v>0</v>
      </c>
      <c r="AF142" s="9" t="n">
        <f aca="false">(AF141*Assumptions!$C$52)</f>
        <v>0</v>
      </c>
      <c r="AG142" s="9" t="n">
        <f aca="false">(AG141*Assumptions!$C$52)</f>
        <v>240</v>
      </c>
      <c r="AH142" s="9" t="n">
        <f aca="false">(AH141*Assumptions!$C$52)</f>
        <v>320.4</v>
      </c>
      <c r="AI142" s="9" t="n">
        <f aca="false">(AI141*Assumptions!$C$52)</f>
        <v>397.584</v>
      </c>
      <c r="AJ142" s="9" t="n">
        <f aca="false">(AJ141*Assumptions!$C$52)</f>
        <v>471.68064</v>
      </c>
      <c r="AK142" s="9" t="n">
        <f aca="false">(AK141*Assumptions!$C$52)</f>
        <v>542.8134144</v>
      </c>
      <c r="AL142" s="9" t="n">
        <f aca="false">(AL141*Assumptions!$C$52)</f>
        <v>611.100877824</v>
      </c>
      <c r="AN142" s="11" t="n">
        <f aca="false">SUM(C142:N142)</f>
        <v>0</v>
      </c>
      <c r="AO142" s="11" t="n">
        <f aca="false">SUM(O142:Z142)</f>
        <v>0</v>
      </c>
      <c r="AP142" s="11" t="n">
        <f aca="false">SUM(AA142:AL142)</f>
        <v>2583.578932224</v>
      </c>
    </row>
    <row r="143" customFormat="false" ht="15" hidden="false" customHeight="false" outlineLevel="0" collapsed="false">
      <c r="A143" s="0" t="s">
        <v>949</v>
      </c>
      <c r="B143" s="0" t="s">
        <v>230</v>
      </c>
      <c r="C143" s="9" t="n">
        <f aca="false">(C142*Assumptions!$C$53)</f>
        <v>0</v>
      </c>
      <c r="D143" s="9" t="n">
        <f aca="false">(D142*Assumptions!$C$53)</f>
        <v>0</v>
      </c>
      <c r="E143" s="9" t="n">
        <f aca="false">(E142*Assumptions!$C$53)</f>
        <v>0</v>
      </c>
      <c r="F143" s="9" t="n">
        <f aca="false">(F142*Assumptions!$C$53)</f>
        <v>0</v>
      </c>
      <c r="G143" s="9" t="n">
        <f aca="false">(G142*Assumptions!$C$53)</f>
        <v>0</v>
      </c>
      <c r="H143" s="9" t="n">
        <f aca="false">(H142*Assumptions!$C$53)</f>
        <v>0</v>
      </c>
      <c r="I143" s="9" t="n">
        <f aca="false">(I142*Assumptions!$C$53)</f>
        <v>0</v>
      </c>
      <c r="J143" s="9" t="n">
        <f aca="false">(J142*Assumptions!$C$53)</f>
        <v>0</v>
      </c>
      <c r="K143" s="9" t="n">
        <f aca="false">(K142*Assumptions!$C$53)</f>
        <v>0</v>
      </c>
      <c r="L143" s="9" t="n">
        <f aca="false">(L142*Assumptions!$C$53)</f>
        <v>0</v>
      </c>
      <c r="M143" s="9" t="n">
        <f aca="false">(M142*Assumptions!$C$53)</f>
        <v>0</v>
      </c>
      <c r="N143" s="9" t="n">
        <f aca="false">(N142*Assumptions!$C$53)</f>
        <v>0</v>
      </c>
      <c r="O143" s="9" t="n">
        <f aca="false">(O142*Assumptions!$C$53)</f>
        <v>0</v>
      </c>
      <c r="P143" s="9" t="n">
        <f aca="false">(P142*Assumptions!$C$53)</f>
        <v>0</v>
      </c>
      <c r="Q143" s="9" t="n">
        <f aca="false">(Q142*Assumptions!$C$53)</f>
        <v>0</v>
      </c>
      <c r="R143" s="9" t="n">
        <f aca="false">(R142*Assumptions!$C$53)</f>
        <v>0</v>
      </c>
      <c r="S143" s="9" t="n">
        <f aca="false">(S142*Assumptions!$C$53)</f>
        <v>0</v>
      </c>
      <c r="T143" s="9" t="n">
        <f aca="false">(T142*Assumptions!$C$53)</f>
        <v>0</v>
      </c>
      <c r="U143" s="9" t="n">
        <f aca="false">(U142*Assumptions!$C$53)</f>
        <v>0</v>
      </c>
      <c r="V143" s="9" t="n">
        <f aca="false">(V142*Assumptions!$C$53)</f>
        <v>0</v>
      </c>
      <c r="W143" s="9" t="n">
        <f aca="false">(W142*Assumptions!$C$53)</f>
        <v>0</v>
      </c>
      <c r="X143" s="9" t="n">
        <f aca="false">(X142*Assumptions!$C$53)</f>
        <v>0</v>
      </c>
      <c r="Y143" s="9" t="n">
        <f aca="false">(Y142*Assumptions!$C$53)</f>
        <v>0</v>
      </c>
      <c r="Z143" s="9" t="n">
        <f aca="false">(Z142*Assumptions!$C$53)</f>
        <v>0</v>
      </c>
      <c r="AA143" s="9" t="n">
        <f aca="false">(AA142*Assumptions!$C$53)</f>
        <v>0</v>
      </c>
      <c r="AB143" s="9" t="n">
        <f aca="false">(AB142*Assumptions!$C$53)</f>
        <v>0</v>
      </c>
      <c r="AC143" s="9" t="n">
        <f aca="false">(AC142*Assumptions!$C$53)</f>
        <v>0</v>
      </c>
      <c r="AD143" s="9" t="n">
        <f aca="false">(AD142*Assumptions!$C$53)</f>
        <v>0</v>
      </c>
      <c r="AE143" s="9" t="n">
        <f aca="false">(AE142*Assumptions!$C$53)</f>
        <v>0</v>
      </c>
      <c r="AF143" s="9" t="n">
        <f aca="false">(AF142*Assumptions!$C$53)</f>
        <v>0</v>
      </c>
      <c r="AG143" s="9" t="n">
        <f aca="false">(AG142*Assumptions!$C$53)</f>
        <v>10800</v>
      </c>
      <c r="AH143" s="9" t="n">
        <f aca="false">(AH142*Assumptions!$C$53)</f>
        <v>14418</v>
      </c>
      <c r="AI143" s="9" t="n">
        <f aca="false">(AI142*Assumptions!$C$53)</f>
        <v>17891.28</v>
      </c>
      <c r="AJ143" s="9" t="n">
        <f aca="false">(AJ142*Assumptions!$C$53)</f>
        <v>21225.6288</v>
      </c>
      <c r="AK143" s="9" t="n">
        <f aca="false">(AK142*Assumptions!$C$53)</f>
        <v>24426.603648</v>
      </c>
      <c r="AL143" s="9" t="n">
        <f aca="false">(AL142*Assumptions!$C$53)</f>
        <v>27499.53950208</v>
      </c>
      <c r="AN143" s="11" t="n">
        <f aca="false">SUM(C143:N143)</f>
        <v>0</v>
      </c>
      <c r="AO143" s="11" t="n">
        <f aca="false">SUM(O143:Z143)</f>
        <v>0</v>
      </c>
      <c r="AP143" s="11" t="n">
        <f aca="false">SUM(AA143:AL143)</f>
        <v>116261.05195008</v>
      </c>
    </row>
    <row r="144" customFormat="false" ht="15" hidden="false" customHeight="false" outlineLevel="0" collapsed="false">
      <c r="A144" s="0" t="s">
        <v>950</v>
      </c>
      <c r="B144" s="0" t="s">
        <v>230</v>
      </c>
      <c r="C144" s="9" t="n">
        <f aca="false">(C143*Assumptions!$C$54)</f>
        <v>0</v>
      </c>
      <c r="D144" s="9" t="n">
        <f aca="false">(D143*Assumptions!$C$54)</f>
        <v>0</v>
      </c>
      <c r="E144" s="9" t="n">
        <f aca="false">(E143*Assumptions!$C$54)</f>
        <v>0</v>
      </c>
      <c r="F144" s="9" t="n">
        <f aca="false">(F143*Assumptions!$C$54)</f>
        <v>0</v>
      </c>
      <c r="G144" s="9" t="n">
        <f aca="false">(G143*Assumptions!$C$54)</f>
        <v>0</v>
      </c>
      <c r="H144" s="9" t="n">
        <f aca="false">(H143*Assumptions!$C$54)</f>
        <v>0</v>
      </c>
      <c r="I144" s="9" t="n">
        <f aca="false">(I143*Assumptions!$C$54)</f>
        <v>0</v>
      </c>
      <c r="J144" s="9" t="n">
        <f aca="false">(J143*Assumptions!$C$54)</f>
        <v>0</v>
      </c>
      <c r="K144" s="9" t="n">
        <f aca="false">(K143*Assumptions!$C$54)</f>
        <v>0</v>
      </c>
      <c r="L144" s="9" t="n">
        <f aca="false">(L143*Assumptions!$C$54)</f>
        <v>0</v>
      </c>
      <c r="M144" s="9" t="n">
        <f aca="false">(M143*Assumptions!$C$54)</f>
        <v>0</v>
      </c>
      <c r="N144" s="9" t="n">
        <f aca="false">(N143*Assumptions!$C$54)</f>
        <v>0</v>
      </c>
      <c r="O144" s="9" t="n">
        <f aca="false">(O143*Assumptions!$C$54)</f>
        <v>0</v>
      </c>
      <c r="P144" s="9" t="n">
        <f aca="false">(P143*Assumptions!$C$54)</f>
        <v>0</v>
      </c>
      <c r="Q144" s="9" t="n">
        <f aca="false">(Q143*Assumptions!$C$54)</f>
        <v>0</v>
      </c>
      <c r="R144" s="9" t="n">
        <f aca="false">(R143*Assumptions!$C$54)</f>
        <v>0</v>
      </c>
      <c r="S144" s="9" t="n">
        <f aca="false">(S143*Assumptions!$C$54)</f>
        <v>0</v>
      </c>
      <c r="T144" s="9" t="n">
        <f aca="false">(T143*Assumptions!$C$54)</f>
        <v>0</v>
      </c>
      <c r="U144" s="9" t="n">
        <f aca="false">(U143*Assumptions!$C$54)</f>
        <v>0</v>
      </c>
      <c r="V144" s="9" t="n">
        <f aca="false">(V143*Assumptions!$C$54)</f>
        <v>0</v>
      </c>
      <c r="W144" s="9" t="n">
        <f aca="false">(W143*Assumptions!$C$54)</f>
        <v>0</v>
      </c>
      <c r="X144" s="9" t="n">
        <f aca="false">(X143*Assumptions!$C$54)</f>
        <v>0</v>
      </c>
      <c r="Y144" s="9" t="n">
        <f aca="false">(Y143*Assumptions!$C$54)</f>
        <v>0</v>
      </c>
      <c r="Z144" s="9" t="n">
        <f aca="false">(Z143*Assumptions!$C$54)</f>
        <v>0</v>
      </c>
      <c r="AA144" s="9" t="n">
        <f aca="false">(AA143*Assumptions!$C$54)</f>
        <v>0</v>
      </c>
      <c r="AB144" s="9" t="n">
        <f aca="false">(AB143*Assumptions!$C$54)</f>
        <v>0</v>
      </c>
      <c r="AC144" s="9" t="n">
        <f aca="false">(AC143*Assumptions!$C$54)</f>
        <v>0</v>
      </c>
      <c r="AD144" s="9" t="n">
        <f aca="false">(AD143*Assumptions!$C$54)</f>
        <v>0</v>
      </c>
      <c r="AE144" s="9" t="n">
        <f aca="false">(AE143*Assumptions!$C$54)</f>
        <v>0</v>
      </c>
      <c r="AF144" s="9" t="n">
        <f aca="false">(AF143*Assumptions!$C$54)</f>
        <v>0</v>
      </c>
      <c r="AG144" s="9" t="n">
        <f aca="false">(AG143*Assumptions!$C$54)</f>
        <v>1620</v>
      </c>
      <c r="AH144" s="9" t="n">
        <f aca="false">(AH143*Assumptions!$C$54)</f>
        <v>2162.7</v>
      </c>
      <c r="AI144" s="9" t="n">
        <f aca="false">(AI143*Assumptions!$C$54)</f>
        <v>2683.692</v>
      </c>
      <c r="AJ144" s="9" t="n">
        <f aca="false">(AJ143*Assumptions!$C$54)</f>
        <v>3183.84432</v>
      </c>
      <c r="AK144" s="9" t="n">
        <f aca="false">(AK143*Assumptions!$C$54)</f>
        <v>3663.9905472</v>
      </c>
      <c r="AL144" s="9" t="n">
        <f aca="false">(AL143*Assumptions!$C$54)</f>
        <v>4124.930925312</v>
      </c>
      <c r="AN144" s="11" t="n">
        <f aca="false">SUM(C144:N144)</f>
        <v>0</v>
      </c>
      <c r="AO144" s="11" t="n">
        <f aca="false">SUM(O144:Z144)</f>
        <v>0</v>
      </c>
      <c r="AP144" s="11" t="n">
        <f aca="false">SUM(AA144:AL144)</f>
        <v>17439.157792512</v>
      </c>
    </row>
    <row r="145" customFormat="false" ht="15" hidden="false" customHeight="false" outlineLevel="0" collapsed="false">
      <c r="A145" s="21" t="s">
        <v>951</v>
      </c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</row>
    <row r="146" customFormat="false" ht="15" hidden="false" customHeight="false" outlineLevel="0" collapsed="false">
      <c r="A146" s="10" t="s">
        <v>28</v>
      </c>
      <c r="B146" s="20" t="s">
        <v>230</v>
      </c>
      <c r="C146" s="11" t="n">
        <f aca="false">(((((((C42+C129)+C127)+C131)+C136)+C137)+C140)+C144)</f>
        <v>0</v>
      </c>
      <c r="D146" s="11" t="n">
        <f aca="false">(((((((D42+D129)+D127)+D131)+D136)+D137)+D140)+D144)</f>
        <v>0</v>
      </c>
      <c r="E146" s="11" t="n">
        <f aca="false">(((((((E42+E129)+E127)+E131)+E136)+E137)+E140)+E144)</f>
        <v>0</v>
      </c>
      <c r="F146" s="11" t="n">
        <f aca="false">(((((((F42+F129)+F127)+F131)+F136)+F137)+F140)+F144)</f>
        <v>0</v>
      </c>
      <c r="G146" s="11" t="n">
        <f aca="false">(((((((G42+G129)+G127)+G131)+G136)+G137)+G140)+G144)</f>
        <v>0</v>
      </c>
      <c r="H146" s="11" t="n">
        <f aca="false">(((((((H42+H129)+H127)+H131)+H136)+H137)+H140)+H144)</f>
        <v>0</v>
      </c>
      <c r="I146" s="11" t="n">
        <f aca="false">(((((((I42+I129)+I127)+I131)+I136)+I137)+I140)+I144)</f>
        <v>0</v>
      </c>
      <c r="J146" s="11" t="n">
        <f aca="false">(((((((J42+J129)+J127)+J131)+J136)+J137)+J140)+J144)</f>
        <v>0</v>
      </c>
      <c r="K146" s="11" t="n">
        <f aca="false">(((((((K42+K129)+K127)+K131)+K136)+K137)+K140)+K144)</f>
        <v>0</v>
      </c>
      <c r="L146" s="11" t="n">
        <f aca="false">(((((((L42+L129)+L127)+L131)+L136)+L137)+L140)+L144)</f>
        <v>0</v>
      </c>
      <c r="M146" s="11" t="n">
        <f aca="false">(((((((M42+M129)+M127)+M131)+M136)+M137)+M140)+M144)</f>
        <v>0</v>
      </c>
      <c r="N146" s="11" t="n">
        <f aca="false">(((((((N42+N129)+N127)+N131)+N136)+N137)+N140)+N144)</f>
        <v>1320</v>
      </c>
      <c r="O146" s="11" t="n">
        <f aca="false">(((((((O42+O129)+O127)+O131)+O136)+O137)+O140)+O144)</f>
        <v>10845.9646768528</v>
      </c>
      <c r="P146" s="11" t="n">
        <f aca="false">(((((((P42+P129)+P127)+P131)+P136)+P137)+P140)+P144)</f>
        <v>10903.0739018655</v>
      </c>
      <c r="Q146" s="11" t="n">
        <f aca="false">(((((((Q42+Q129)+Q127)+Q131)+Q136)+Q137)+Q140)+Q144)</f>
        <v>11683.8998235995</v>
      </c>
      <c r="R146" s="11" t="n">
        <f aca="false">(((((((R42+R129)+R127)+R131)+R136)+R137)+R140)+R144)</f>
        <v>19743.0249978783</v>
      </c>
      <c r="S146" s="11" t="n">
        <f aca="false">(((((((S42+S129)+S127)+S131)+S136)+S137)+S140)+S144)</f>
        <v>19841.280501074</v>
      </c>
      <c r="T146" s="11" t="n">
        <f aca="false">(((((((T42+T129)+T127)+T131)+T136)+T137)+T140)+T144)</f>
        <v>19954.9351332671</v>
      </c>
      <c r="U146" s="11" t="n">
        <f aca="false">(((((((U42+U129)+U127)+U131)+U136)+U137)+U140)+U144)</f>
        <v>24370.7825970838</v>
      </c>
      <c r="V146" s="11" t="n">
        <f aca="false">(((((((V42+V129)+V127)+V131)+V136)+V137)+V140)+V144)</f>
        <v>25861.2692376841</v>
      </c>
      <c r="W146" s="11" t="n">
        <f aca="false">(((((((W42+W129)+W127)+W131)+W136)+W137)+W140)+W144)</f>
        <v>26014.8256013153</v>
      </c>
      <c r="X146" s="11" t="n">
        <f aca="false">(((((((X42+X129)+X127)+X131)+X136)+X137)+X140)+X144)</f>
        <v>50801.1037350359</v>
      </c>
      <c r="Y146" s="11" t="n">
        <f aca="false">(((((((Y42+Y129)+Y127)+Y131)+Y136)+Y137)+Y140)+Y144)</f>
        <v>61756.1609786455</v>
      </c>
      <c r="Z146" s="11" t="n">
        <f aca="false">(((((((Z42+Z129)+Z127)+Z131)+Z136)+Z137)+Z140)+Z144)</f>
        <v>61660.8123913241</v>
      </c>
      <c r="AA146" s="11" t="n">
        <f aca="false">(((((((AA42+AA129)+AA127)+AA131)+AA136)+AA137)+AA140)+AA144)</f>
        <v>78349.8774609383</v>
      </c>
      <c r="AB146" s="11" t="n">
        <f aca="false">(((((((AB42+AB129)+AB127)+AB131)+AB136)+AB137)+AB140)+AB144)</f>
        <v>105817.33399661</v>
      </c>
      <c r="AC146" s="11" t="n">
        <f aca="false">(((((((AC42+AC129)+AC127)+AC131)+AC136)+AC137)+AC140)+AC144)</f>
        <v>106828.921443525</v>
      </c>
      <c r="AD146" s="11" t="n">
        <f aca="false">(((((((AD42+AD129)+AD127)+AD131)+AD136)+AD137)+AD140)+AD144)</f>
        <v>130818.370718214</v>
      </c>
      <c r="AE146" s="11" t="n">
        <f aca="false">(((((((AE42+AE129)+AE127)+AE131)+AE136)+AE137)+AE140)+AE144)</f>
        <v>154873.946501612</v>
      </c>
      <c r="AF146" s="11" t="n">
        <f aca="false">(((((((AF42+AF129)+AF127)+AF131)+AF136)+AF137)+AF140)+AF144)</f>
        <v>201815.536951182</v>
      </c>
      <c r="AG146" s="11" t="n">
        <f aca="false">(((((((AG42+AG129)+AG127)+AG131)+AG136)+AG137)+AG140)+AG144)</f>
        <v>210514.083410955</v>
      </c>
      <c r="AH146" s="11" t="n">
        <f aca="false">(((((((AH42+AH129)+AH127)+AH131)+AH136)+AH137)+AH140)+AH144)</f>
        <v>230385.920327627</v>
      </c>
      <c r="AI146" s="11" t="n">
        <f aca="false">(((((((AI42+AI129)+AI127)+AI131)+AI136)+AI137)+AI140)+AI144)</f>
        <v>197602.971302825</v>
      </c>
      <c r="AJ146" s="11" t="n">
        <f aca="false">(((((((AJ42+AJ129)+AJ127)+AJ131)+AJ136)+AJ137)+AJ140)+AJ144)</f>
        <v>209627.756522019</v>
      </c>
      <c r="AK146" s="11" t="n">
        <f aca="false">(((((((AK42+AK129)+AK127)+AK131)+AK136)+AK137)+AK140)+AK144)</f>
        <v>263606.178325315</v>
      </c>
      <c r="AL146" s="11" t="n">
        <f aca="false">(((((((AL42+AL129)+AL127)+AL131)+AL136)+AL137)+AL140)+AL144)</f>
        <v>354585.953107632</v>
      </c>
      <c r="AN146" s="11" t="n">
        <f aca="false">SUM(C146:N146)</f>
        <v>1320</v>
      </c>
      <c r="AO146" s="11" t="n">
        <f aca="false">SUM(O146:Z146)</f>
        <v>343437.133575626</v>
      </c>
      <c r="AP146" s="11" t="n">
        <f aca="false">SUM(AA146:AL146)</f>
        <v>2244826.85006845</v>
      </c>
    </row>
    <row r="147" customFormat="false" ht="15" hidden="false" customHeight="false" outlineLevel="0" collapsed="false">
      <c r="A147" s="0" t="s">
        <v>952</v>
      </c>
      <c r="B147" s="0" t="s">
        <v>230</v>
      </c>
      <c r="C147" s="9" t="n">
        <f aca="false">((((C42+C127)+C136)+C137)+C140)</f>
        <v>0</v>
      </c>
      <c r="D147" s="9" t="n">
        <f aca="false">((((D42+D127)+D136)+D137)+D140)</f>
        <v>0</v>
      </c>
      <c r="E147" s="9" t="n">
        <f aca="false">((((E42+E127)+E136)+E137)+E140)</f>
        <v>0</v>
      </c>
      <c r="F147" s="9" t="n">
        <f aca="false">((((F42+F127)+F136)+F137)+F140)</f>
        <v>0</v>
      </c>
      <c r="G147" s="9" t="n">
        <f aca="false">((((G42+G127)+G136)+G137)+G140)</f>
        <v>0</v>
      </c>
      <c r="H147" s="9" t="n">
        <f aca="false">((((H42+H127)+H136)+H137)+H140)</f>
        <v>0</v>
      </c>
      <c r="I147" s="9" t="n">
        <f aca="false">((((I42+I127)+I136)+I137)+I140)</f>
        <v>0</v>
      </c>
      <c r="J147" s="9" t="n">
        <f aca="false">((((J42+J127)+J136)+J137)+J140)</f>
        <v>0</v>
      </c>
      <c r="K147" s="9" t="n">
        <f aca="false">((((K42+K127)+K136)+K137)+K140)</f>
        <v>0</v>
      </c>
      <c r="L147" s="9" t="n">
        <f aca="false">((((L42+L127)+L136)+L137)+L140)</f>
        <v>0</v>
      </c>
      <c r="M147" s="9" t="n">
        <f aca="false">((((M42+M127)+M136)+M137)+M140)</f>
        <v>0</v>
      </c>
      <c r="N147" s="9" t="n">
        <f aca="false">((((N42+N127)+N136)+N137)+N140)</f>
        <v>1320</v>
      </c>
      <c r="O147" s="9" t="n">
        <f aca="false">((((O42+O127)+O136)+O137)+O140)</f>
        <v>1345.96467685284</v>
      </c>
      <c r="P147" s="9" t="n">
        <f aca="false">((((P42+P127)+P136)+P137)+P140)</f>
        <v>1403.0739018655</v>
      </c>
      <c r="Q147" s="9" t="n">
        <f aca="false">((((Q42+Q127)+Q136)+Q137)+Q140)</f>
        <v>2183.89982359951</v>
      </c>
      <c r="R147" s="9" t="n">
        <f aca="false">((((R42+R127)+R136)+R137)+R140)</f>
        <v>5309.69166454493</v>
      </c>
      <c r="S147" s="9" t="n">
        <f aca="false">((((S42+S127)+S136)+S137)+S140)</f>
        <v>5407.94716774069</v>
      </c>
      <c r="T147" s="9" t="n">
        <f aca="false">((((T42+T127)+T136)+T137)+T140)</f>
        <v>5521.60179993379</v>
      </c>
      <c r="U147" s="9" t="n">
        <f aca="false">((((U42+U127)+U136)+U137)+U140)</f>
        <v>5637.44926375049</v>
      </c>
      <c r="V147" s="9" t="n">
        <f aca="false">((((V42+V127)+V136)+V137)+V140)</f>
        <v>7127.9359043508</v>
      </c>
      <c r="W147" s="9" t="n">
        <f aca="false">((((W42+W127)+W136)+W137)+W140)</f>
        <v>7281.49226798198</v>
      </c>
      <c r="X147" s="9" t="n">
        <f aca="false">((((X42+X127)+X136)+X137)+X140)</f>
        <v>7467.77040170255</v>
      </c>
      <c r="Y147" s="9" t="n">
        <f aca="false">((((Y42+Y127)+Y136)+Y137)+Y140)</f>
        <v>11422.8276453122</v>
      </c>
      <c r="Z147" s="9" t="n">
        <f aca="false">((((Z42+Z127)+Z136)+Z137)+Z140)</f>
        <v>11327.4790579908</v>
      </c>
      <c r="AA147" s="9" t="n">
        <f aca="false">((((AA42+AA127)+AA136)+AA137)+AA140)</f>
        <v>12516.5441276049</v>
      </c>
      <c r="AB147" s="9" t="n">
        <f aca="false">((((AB42+AB127)+AB136)+AB137)+AB140)</f>
        <v>24650.6673299437</v>
      </c>
      <c r="AC147" s="9" t="n">
        <f aca="false">((((AC42+AC127)+AC136)+AC137)+AC140)</f>
        <v>25662.2547768587</v>
      </c>
      <c r="AD147" s="9" t="n">
        <f aca="false">((((AD42+AD127)+AD136)+AD137)+AD140)</f>
        <v>26818.3707182137</v>
      </c>
      <c r="AE147" s="9" t="n">
        <f aca="false">((((AE42+AE127)+AE136)+AE137)+AE140)</f>
        <v>43873.946501612</v>
      </c>
      <c r="AF147" s="9" t="n">
        <f aca="false">((((AF42+AF127)+AF136)+AF137)+AF140)</f>
        <v>45482.2036178482</v>
      </c>
      <c r="AG147" s="9" t="n">
        <f aca="false">((((AG42+AG127)+AG136)+AG137)+AG140)</f>
        <v>47560.7500776219</v>
      </c>
      <c r="AH147" s="9" t="n">
        <f aca="false">((((AH42+AH127)+AH136)+AH137)+AH140)</f>
        <v>66889.8869942937</v>
      </c>
      <c r="AI147" s="9" t="n">
        <f aca="false">((((AI42+AI127)+AI136)+AI137)+AI140)</f>
        <v>68919.279302825</v>
      </c>
      <c r="AJ147" s="9" t="n">
        <f aca="false">((((AJ42+AJ127)+AJ136)+AJ137)+AJ140)</f>
        <v>70943.9122020187</v>
      </c>
      <c r="AK147" s="9" t="n">
        <f aca="false">((((AK42+AK127)+AK136)+AK137)+AK140)</f>
        <v>102108.854444781</v>
      </c>
      <c r="AL147" s="9" t="n">
        <f aca="false">((((AL42+AL127)+AL136)+AL137)+AL140)</f>
        <v>121961.02218232</v>
      </c>
      <c r="AN147" s="11" t="n">
        <f aca="false">SUM(C147:N147)</f>
        <v>1320</v>
      </c>
      <c r="AO147" s="11" t="n">
        <f aca="false">SUM(O147:Z147)</f>
        <v>71437.1335756261</v>
      </c>
      <c r="AP147" s="11" t="n">
        <f aca="false">SUM(AA147:AL147)</f>
        <v>657387.692275942</v>
      </c>
    </row>
    <row r="148" customFormat="false" ht="15" hidden="false" customHeight="false" outlineLevel="0" collapsed="false">
      <c r="A148" s="10" t="s">
        <v>953</v>
      </c>
      <c r="B148" s="20" t="s">
        <v>230</v>
      </c>
      <c r="C148" s="11" t="n">
        <f aca="false">(C147*12)</f>
        <v>0</v>
      </c>
      <c r="D148" s="11" t="n">
        <f aca="false">(D147*12)</f>
        <v>0</v>
      </c>
      <c r="E148" s="11" t="n">
        <f aca="false">(E147*12)</f>
        <v>0</v>
      </c>
      <c r="F148" s="11" t="n">
        <f aca="false">(F147*12)</f>
        <v>0</v>
      </c>
      <c r="G148" s="11" t="n">
        <f aca="false">(G147*12)</f>
        <v>0</v>
      </c>
      <c r="H148" s="11" t="n">
        <f aca="false">(H147*12)</f>
        <v>0</v>
      </c>
      <c r="I148" s="11" t="n">
        <f aca="false">(I147*12)</f>
        <v>0</v>
      </c>
      <c r="J148" s="11" t="n">
        <f aca="false">(J147*12)</f>
        <v>0</v>
      </c>
      <c r="K148" s="11" t="n">
        <f aca="false">(K147*12)</f>
        <v>0</v>
      </c>
      <c r="L148" s="11" t="n">
        <f aca="false">(L147*12)</f>
        <v>0</v>
      </c>
      <c r="M148" s="11" t="n">
        <f aca="false">(M147*12)</f>
        <v>0</v>
      </c>
      <c r="N148" s="11" t="n">
        <f aca="false">(N147*12)</f>
        <v>15840</v>
      </c>
      <c r="O148" s="11" t="n">
        <f aca="false">(O147*12)</f>
        <v>16151.5761222341</v>
      </c>
      <c r="P148" s="11" t="n">
        <f aca="false">(P147*12)</f>
        <v>16836.886822386</v>
      </c>
      <c r="Q148" s="11" t="n">
        <f aca="false">(Q147*12)</f>
        <v>26206.7978831941</v>
      </c>
      <c r="R148" s="11" t="n">
        <f aca="false">(R147*12)</f>
        <v>63716.2999745392</v>
      </c>
      <c r="S148" s="11" t="n">
        <f aca="false">(S147*12)</f>
        <v>64895.3660128883</v>
      </c>
      <c r="T148" s="11" t="n">
        <f aca="false">(T147*12)</f>
        <v>66259.2215992055</v>
      </c>
      <c r="U148" s="11" t="n">
        <f aca="false">(U147*12)</f>
        <v>67649.3911650059</v>
      </c>
      <c r="V148" s="11" t="n">
        <f aca="false">(V147*12)</f>
        <v>85535.2308522096</v>
      </c>
      <c r="W148" s="11" t="n">
        <f aca="false">(W147*12)</f>
        <v>87377.9072157837</v>
      </c>
      <c r="X148" s="11" t="n">
        <f aca="false">(X147*12)</f>
        <v>89613.2448204306</v>
      </c>
      <c r="Y148" s="11" t="n">
        <f aca="false">(Y147*12)</f>
        <v>137073.931743746</v>
      </c>
      <c r="Z148" s="11" t="n">
        <f aca="false">(Z147*12)</f>
        <v>135929.74869589</v>
      </c>
      <c r="AA148" s="11" t="n">
        <f aca="false">(AA147*12)</f>
        <v>150198.529531259</v>
      </c>
      <c r="AB148" s="11" t="n">
        <f aca="false">(AB147*12)</f>
        <v>295808.007959324</v>
      </c>
      <c r="AC148" s="11" t="n">
        <f aca="false">(AC147*12)</f>
        <v>307947.057322304</v>
      </c>
      <c r="AD148" s="11" t="n">
        <f aca="false">(AD147*12)</f>
        <v>321820.448618564</v>
      </c>
      <c r="AE148" s="11" t="n">
        <f aca="false">(AE147*12)</f>
        <v>526487.358019344</v>
      </c>
      <c r="AF148" s="11" t="n">
        <f aca="false">(AF147*12)</f>
        <v>545786.443414178</v>
      </c>
      <c r="AG148" s="11" t="n">
        <f aca="false">(AG147*12)</f>
        <v>570729.000931462</v>
      </c>
      <c r="AH148" s="11" t="n">
        <f aca="false">(AH147*12)</f>
        <v>802678.643931524</v>
      </c>
      <c r="AI148" s="11" t="n">
        <f aca="false">(AI147*12)</f>
        <v>827031.3516339</v>
      </c>
      <c r="AJ148" s="11" t="n">
        <f aca="false">(AJ147*12)</f>
        <v>851326.946424224</v>
      </c>
      <c r="AK148" s="11" t="n">
        <f aca="false">(AK147*12)</f>
        <v>1225306.25333738</v>
      </c>
      <c r="AL148" s="11" t="n">
        <f aca="false">(AL147*12)</f>
        <v>1463532.26618784</v>
      </c>
      <c r="AN148" s="11" t="n">
        <f aca="false">N148</f>
        <v>15840</v>
      </c>
      <c r="AO148" s="11" t="n">
        <f aca="false">Z148</f>
        <v>135929.74869589</v>
      </c>
      <c r="AP148" s="11" t="n">
        <f aca="false">AL148</f>
        <v>1463532.26618784</v>
      </c>
    </row>
    <row r="149" customFormat="false" ht="15" hidden="false" customHeight="false" outlineLevel="0" collapsed="false">
      <c r="A149" s="0" t="s">
        <v>954</v>
      </c>
      <c r="B149" s="0" t="s">
        <v>230</v>
      </c>
      <c r="C149" s="9" t="n">
        <f aca="false">((((C127+C136)+C137)+C140)*12)</f>
        <v>0</v>
      </c>
      <c r="D149" s="9" t="n">
        <f aca="false">((((D127+D136)+D137)+D140)*12)</f>
        <v>0</v>
      </c>
      <c r="E149" s="9" t="n">
        <f aca="false">((((E127+E136)+E137)+E140)*12)</f>
        <v>0</v>
      </c>
      <c r="F149" s="9" t="n">
        <f aca="false">((((F127+F136)+F137)+F140)*12)</f>
        <v>0</v>
      </c>
      <c r="G149" s="9" t="n">
        <f aca="false">((((G127+G136)+G137)+G140)*12)</f>
        <v>0</v>
      </c>
      <c r="H149" s="9" t="n">
        <f aca="false">((((H127+H136)+H137)+H140)*12)</f>
        <v>0</v>
      </c>
      <c r="I149" s="9" t="n">
        <f aca="false">((((I127+I136)+I137)+I140)*12)</f>
        <v>0</v>
      </c>
      <c r="J149" s="9" t="n">
        <f aca="false">((((J127+J136)+J137)+J140)*12)</f>
        <v>0</v>
      </c>
      <c r="K149" s="9" t="n">
        <f aca="false">((((K127+K136)+K137)+K140)*12)</f>
        <v>0</v>
      </c>
      <c r="L149" s="9" t="n">
        <f aca="false">((((L127+L136)+L137)+L140)*12)</f>
        <v>0</v>
      </c>
      <c r="M149" s="9" t="n">
        <f aca="false">((((M127+M136)+M137)+M140)*12)</f>
        <v>0</v>
      </c>
      <c r="N149" s="9" t="n">
        <f aca="false">((((N127+N136)+N137)+N140)*12)</f>
        <v>15840</v>
      </c>
      <c r="O149" s="9" t="n">
        <f aca="false">((((O127+O136)+O137)+O140)*12)</f>
        <v>15840</v>
      </c>
      <c r="P149" s="9" t="n">
        <f aca="false">((((P127+P136)+P137)+P140)*12)</f>
        <v>15840</v>
      </c>
      <c r="Q149" s="9" t="n">
        <f aca="false">((((Q127+Q136)+Q137)+Q140)*12)</f>
        <v>24288</v>
      </c>
      <c r="R149" s="9" t="n">
        <f aca="false">((((R127+R136)+R137)+R140)*12)</f>
        <v>60720</v>
      </c>
      <c r="S149" s="9" t="n">
        <f aca="false">((((S127+S136)+S137)+S140)*12)</f>
        <v>60720</v>
      </c>
      <c r="T149" s="9" t="n">
        <f aca="false">((((T127+T136)+T137)+T140)*12)</f>
        <v>60720</v>
      </c>
      <c r="U149" s="9" t="n">
        <f aca="false">((((U127+U136)+U137)+U140)*12)</f>
        <v>60720</v>
      </c>
      <c r="V149" s="9" t="n">
        <f aca="false">((((V127+V136)+V137)+V140)*12)</f>
        <v>77130</v>
      </c>
      <c r="W149" s="9" t="n">
        <f aca="false">((((W127+W136)+W137)+W140)*12)</f>
        <v>77130</v>
      </c>
      <c r="X149" s="9" t="n">
        <f aca="false">((((X127+X136)+X137)+X140)*12)</f>
        <v>77130</v>
      </c>
      <c r="Y149" s="9" t="n">
        <f aca="false">((((Y127+Y136)+Y137)+Y140)*12)</f>
        <v>122250</v>
      </c>
      <c r="Z149" s="9" t="n">
        <f aca="false">((((Z127+Z136)+Z137)+Z140)*12)</f>
        <v>118740.72</v>
      </c>
      <c r="AA149" s="9" t="n">
        <f aca="false">((((AA127+AA136)+AA137)+AA140)*12)</f>
        <v>130740.72</v>
      </c>
      <c r="AB149" s="9" t="n">
        <f aca="false">((((AB127+AB136)+AB137)+AB140)*12)</f>
        <v>273880.72</v>
      </c>
      <c r="AC149" s="9" t="n">
        <f aca="false">((((AC127+AC136)+AC137)+AC140)*12)</f>
        <v>283450.96</v>
      </c>
      <c r="AD149" s="9" t="n">
        <f aca="false">((((AD127+AD136)+AD137)+AD140)*12)</f>
        <v>294745.264</v>
      </c>
      <c r="AE149" s="9" t="n">
        <f aca="false">((((AE127+AE136)+AE137)+AE140)*12)</f>
        <v>496863.68192</v>
      </c>
      <c r="AF149" s="9" t="n">
        <f aca="false">((((AF127+AF136)+AF137)+AF140)*12)</f>
        <v>513719.1314816</v>
      </c>
      <c r="AG149" s="9" t="n">
        <f aca="false">((((AG127+AG136)+AG137)+AG140)*12)</f>
        <v>536349.240051968</v>
      </c>
      <c r="AH149" s="9" t="n">
        <f aca="false">((((AH127+AH136)+AH137)+AH140)*12)</f>
        <v>766020.346450929</v>
      </c>
      <c r="AI149" s="9" t="n">
        <f aca="false">((((AI127+AI136)+AI137)+AI140)*12)</f>
        <v>787754.30272191</v>
      </c>
      <c r="AJ149" s="9" t="n">
        <f aca="false">((((AJ127+AJ136)+AJ137)+AJ140)*12)</f>
        <v>809053.579867472</v>
      </c>
      <c r="AK149" s="9" t="n">
        <f aca="false">((((AK127+AK136)+AK137)+AK140)*12)</f>
        <v>1180012.26347012</v>
      </c>
      <c r="AL149" s="9" t="n">
        <f aca="false">((((AL127+AL136)+AL137)+AL140)*12)</f>
        <v>1415284.92060072</v>
      </c>
      <c r="AN149" s="11" t="n">
        <f aca="false">N149</f>
        <v>15840</v>
      </c>
      <c r="AO149" s="11" t="n">
        <f aca="false">Z149</f>
        <v>118740.72</v>
      </c>
      <c r="AP149" s="11" t="n">
        <f aca="false">AL149</f>
        <v>1415284.92060072</v>
      </c>
    </row>
    <row r="150" customFormat="false" ht="15" hidden="false" customHeight="false" outlineLevel="0" collapsed="false">
      <c r="A150" s="0" t="s">
        <v>955</v>
      </c>
      <c r="B150" s="0" t="s">
        <v>230</v>
      </c>
      <c r="C150" s="9" t="n">
        <f aca="false">(C42*12)</f>
        <v>0</v>
      </c>
      <c r="D150" s="9" t="n">
        <f aca="false">(D42*12)</f>
        <v>0</v>
      </c>
      <c r="E150" s="9" t="n">
        <f aca="false">(E42*12)</f>
        <v>0</v>
      </c>
      <c r="F150" s="9" t="n">
        <f aca="false">(F42*12)</f>
        <v>0</v>
      </c>
      <c r="G150" s="9" t="n">
        <f aca="false">(G42*12)</f>
        <v>0</v>
      </c>
      <c r="H150" s="9" t="n">
        <f aca="false">(H42*12)</f>
        <v>0</v>
      </c>
      <c r="I150" s="9" t="n">
        <f aca="false">(I42*12)</f>
        <v>0</v>
      </c>
      <c r="J150" s="9" t="n">
        <f aca="false">(J42*12)</f>
        <v>0</v>
      </c>
      <c r="K150" s="9" t="n">
        <f aca="false">(K42*12)</f>
        <v>0</v>
      </c>
      <c r="L150" s="9" t="n">
        <f aca="false">(L42*12)</f>
        <v>0</v>
      </c>
      <c r="M150" s="9" t="n">
        <f aca="false">(M42*12)</f>
        <v>0</v>
      </c>
      <c r="N150" s="9" t="n">
        <f aca="false">(N42*12)</f>
        <v>0</v>
      </c>
      <c r="O150" s="9" t="n">
        <f aca="false">(O42*12)</f>
        <v>311.576122234068</v>
      </c>
      <c r="P150" s="9" t="n">
        <f aca="false">(P42*12)</f>
        <v>996.886822386001</v>
      </c>
      <c r="Q150" s="9" t="n">
        <f aca="false">(Q42*12)</f>
        <v>1918.7978831941</v>
      </c>
      <c r="R150" s="9" t="n">
        <f aca="false">(R42*12)</f>
        <v>2996.29997453917</v>
      </c>
      <c r="S150" s="9" t="n">
        <f aca="false">(S42*12)</f>
        <v>4175.36601288827</v>
      </c>
      <c r="T150" s="9" t="n">
        <f aca="false">(T42*12)</f>
        <v>5539.22159920551</v>
      </c>
      <c r="U150" s="9" t="n">
        <f aca="false">(U42*12)</f>
        <v>6929.39116500591</v>
      </c>
      <c r="V150" s="9" t="n">
        <f aca="false">(V42*12)</f>
        <v>8405.23085220958</v>
      </c>
      <c r="W150" s="9" t="n">
        <f aca="false">(W42*12)</f>
        <v>10247.9072157837</v>
      </c>
      <c r="X150" s="9" t="n">
        <f aca="false">(X42*12)</f>
        <v>12483.2448204306</v>
      </c>
      <c r="Y150" s="9" t="n">
        <f aca="false">(Y42*12)</f>
        <v>14823.9317437462</v>
      </c>
      <c r="Z150" s="9" t="n">
        <f aca="false">(Z42*12)</f>
        <v>17189.0286958896</v>
      </c>
      <c r="AA150" s="9" t="n">
        <f aca="false">(AA42*12)</f>
        <v>19457.8095312593</v>
      </c>
      <c r="AB150" s="9" t="n">
        <f aca="false">(AB42*12)</f>
        <v>21927.287959324</v>
      </c>
      <c r="AC150" s="9" t="n">
        <f aca="false">(AC42*12)</f>
        <v>24496.0973223044</v>
      </c>
      <c r="AD150" s="9" t="n">
        <f aca="false">(AD42*12)</f>
        <v>27075.1846185641</v>
      </c>
      <c r="AE150" s="9" t="n">
        <f aca="false">(AE42*12)</f>
        <v>29623.6760993438</v>
      </c>
      <c r="AF150" s="9" t="n">
        <f aca="false">(AF42*12)</f>
        <v>32067.3119325781</v>
      </c>
      <c r="AG150" s="9" t="n">
        <f aca="false">(AG42*12)</f>
        <v>34379.7608794942</v>
      </c>
      <c r="AH150" s="9" t="n">
        <f aca="false">(AH42*12)</f>
        <v>36658.2974805958</v>
      </c>
      <c r="AI150" s="9" t="n">
        <f aca="false">(AI42*12)</f>
        <v>39277.0489119898</v>
      </c>
      <c r="AJ150" s="9" t="n">
        <f aca="false">(AJ42*12)</f>
        <v>42273.3665567521</v>
      </c>
      <c r="AK150" s="9" t="n">
        <f aca="false">(AK42*12)</f>
        <v>45293.9898672524</v>
      </c>
      <c r="AL150" s="9" t="n">
        <f aca="false">(AL42*12)</f>
        <v>48247.3455871247</v>
      </c>
      <c r="AN150" s="11" t="n">
        <f aca="false">N150</f>
        <v>0</v>
      </c>
      <c r="AO150" s="11" t="n">
        <f aca="false">Z150</f>
        <v>17189.0286958896</v>
      </c>
      <c r="AP150" s="11" t="n">
        <f aca="false">AL150</f>
        <v>48247.3455871247</v>
      </c>
    </row>
    <row r="151" customFormat="false" ht="15" hidden="false" customHeight="false" outlineLevel="0" collapsed="false">
      <c r="A151" s="10" t="s">
        <v>956</v>
      </c>
      <c r="B151" s="20" t="s">
        <v>230</v>
      </c>
      <c r="C151" s="11" t="n">
        <f aca="false">(((((((C41+C130)+C128)+C132)+C136)+C137)+C140)+C144)</f>
        <v>0</v>
      </c>
      <c r="D151" s="11" t="n">
        <f aca="false">(((((((D41+D130)+D128)+D132)+D136)+D137)+D140)+D144)</f>
        <v>0</v>
      </c>
      <c r="E151" s="11" t="n">
        <f aca="false">(((((((E41+E130)+E128)+E132)+E136)+E137)+E140)+E144)</f>
        <v>0</v>
      </c>
      <c r="F151" s="11" t="n">
        <f aca="false">(((((((F41+F130)+F128)+F132)+F136)+F137)+F140)+F144)</f>
        <v>0</v>
      </c>
      <c r="G151" s="11" t="n">
        <f aca="false">(((((((G41+G130)+G128)+G132)+G136)+G137)+G140)+G144)</f>
        <v>0</v>
      </c>
      <c r="H151" s="11" t="n">
        <f aca="false">(((((((H41+H130)+H128)+H132)+H136)+H137)+H140)+H144)</f>
        <v>0</v>
      </c>
      <c r="I151" s="11" t="n">
        <f aca="false">(((((((I41+I130)+I128)+I132)+I136)+I137)+I140)+I144)</f>
        <v>0</v>
      </c>
      <c r="J151" s="11" t="n">
        <f aca="false">(((((((J41+J130)+J128)+J132)+J136)+J137)+J140)+J144)</f>
        <v>0</v>
      </c>
      <c r="K151" s="11" t="n">
        <f aca="false">(((((((K41+K130)+K128)+K132)+K136)+K137)+K140)+K144)</f>
        <v>0</v>
      </c>
      <c r="L151" s="11" t="n">
        <f aca="false">(((((((L41+L130)+L128)+L132)+L136)+L137)+L140)+L144)</f>
        <v>0</v>
      </c>
      <c r="M151" s="11" t="n">
        <f aca="false">(((((((M41+M130)+M128)+M132)+M136)+M137)+M140)+M144)</f>
        <v>0</v>
      </c>
      <c r="N151" s="11" t="n">
        <f aca="false">(((((((N41+N130)+N128)+N132)+N136)+N137)+N140)+N144)</f>
        <v>15840</v>
      </c>
      <c r="O151" s="11" t="n">
        <f aca="false">(((((((O41+O130)+O128)+O132)+O136)+O137)+O140)+O144)</f>
        <v>36121.6079828777</v>
      </c>
      <c r="P151" s="11" t="n">
        <f aca="false">(((((((P41+P130)+P128)+P132)+P136)+P137)+P140)+P144)</f>
        <v>287.926957961313</v>
      </c>
      <c r="Q151" s="11" t="n">
        <f aca="false">(((((((Q41+Q130)+Q128)+Q132)+Q136)+Q137)+Q140)+Q144)</f>
        <v>42281.058775702</v>
      </c>
      <c r="R151" s="11" t="n">
        <f aca="false">(((((((R41+R130)+R128)+R132)+R136)+R137)+R140)+R144)</f>
        <v>45366.7449154001</v>
      </c>
      <c r="S151" s="11" t="n">
        <f aca="false">(((((((S41+S130)+S128)+S132)+S136)+S137)+S140)+S144)</f>
        <v>684.922540530359</v>
      </c>
      <c r="T151" s="11" t="n">
        <f aca="false">(((((((T41+T130)+T128)+T132)+T136)+T137)+T140)+T144)</f>
        <v>792.111478514996</v>
      </c>
      <c r="U151" s="11" t="n">
        <f aca="false">(((((((U41+U130)+U128)+U132)+U136)+U137)+U140)+U144)</f>
        <v>60087.5497335891</v>
      </c>
      <c r="V151" s="11" t="n">
        <f aca="false">(((((((V41+V130)+V128)+V132)+V136)+V137)+V140)+V144)</f>
        <v>11036.4557809118</v>
      </c>
      <c r="W151" s="11" t="n">
        <f aca="false">(((((((W41+W130)+W128)+W132)+W136)+W137)+W140)+W144)</f>
        <v>1819.29295074387</v>
      </c>
      <c r="X151" s="11" t="n">
        <f aca="false">(((((((X41+X130)+X128)+X132)+X136)+X137)+X140)+X144)</f>
        <v>150084.78584382</v>
      </c>
      <c r="Y151" s="11" t="n">
        <f aca="false">(((((((Y41+Y130)+Y128)+Y132)+Y136)+Y137)+Y140)+Y144)</f>
        <v>64554.0344760491</v>
      </c>
      <c r="Z151" s="11" t="n">
        <f aca="false">(((((((Z41+Z130)+Z128)+Z132)+Z136)+Z137)+Z140)+Z144)</f>
        <v>15447.4479267493</v>
      </c>
      <c r="AA151" s="11" t="n">
        <f aca="false">(((((((AA41+AA130)+AA128)+AA132)+AA136)+AA137)+AA140)+AA144)</f>
        <v>187906.058660091</v>
      </c>
      <c r="AB151" s="11" t="n">
        <f aca="false">(((((((AB41+AB130)+AB128)+AB132)+AB136)+AB137)+AB140)+AB144)</f>
        <v>192704.151401877</v>
      </c>
      <c r="AC151" s="11" t="n">
        <f aca="false">(((((((AC41+AC130)+AC128)+AC132)+AC136)+AC137)+AC140)+AC144)</f>
        <v>50801.7137169174</v>
      </c>
      <c r="AD151" s="11" t="n">
        <f aca="false">(((((((AD41+AD130)+AD128)+AD132)+AD136)+AD137)+AD140)+AD144)</f>
        <v>268512.751804801</v>
      </c>
      <c r="AE151" s="11" t="n">
        <f aca="false">(((((((AE41+AE130)+AE128)+AE132)+AE136)+AE137)+AE140)+AE144)</f>
        <v>272502.151221975</v>
      </c>
      <c r="AF151" s="11" t="n">
        <f aca="false">(((((((AF41+AF130)+AF128)+AF132)+AF136)+AF137)+AF140)+AF144)</f>
        <v>178634.912336541</v>
      </c>
      <c r="AG151" s="11" t="n">
        <f aca="false">(((((((AG41+AG130)+AG128)+AG132)+AG136)+AG137)+AG140)+AG144)</f>
        <v>276251.496403241</v>
      </c>
      <c r="AH151" s="11" t="n">
        <f aca="false">(((((((AH41+AH130)+AH128)+AH132)+AH136)+AH137)+AH140)+AH144)</f>
        <v>304208.237754549</v>
      </c>
      <c r="AI151" s="11" t="n">
        <f aca="false">(((((((AI41+AI130)+AI128)+AI132)+AI136)+AI137)+AI140)+AI144)</f>
        <v>23267.2626119201</v>
      </c>
      <c r="AJ151" s="11" t="n">
        <f aca="false">(((((((AJ41+AJ130)+AJ128)+AJ132)+AJ136)+AJ137)+AJ140)+AJ144)</f>
        <v>321954.663697134</v>
      </c>
      <c r="AK151" s="11" t="n">
        <f aca="false">(((((((AK41+AK130)+AK128)+AK132)+AK136)+AK137)+AK140)+AK144)</f>
        <v>541107.821913571</v>
      </c>
      <c r="AL151" s="11" t="n">
        <f aca="false">(((((((AL41+AL130)+AL128)+AL132)+AL136)+AL137)+AL140)+AL144)</f>
        <v>513498.113341804</v>
      </c>
      <c r="AN151" s="11" t="n">
        <f aca="false">SUM(C151:N151)</f>
        <v>15840</v>
      </c>
      <c r="AO151" s="11" t="n">
        <f aca="false">SUM(O151:Z151)</f>
        <v>428563.939362849</v>
      </c>
      <c r="AP151" s="11" t="n">
        <f aca="false">SUM(AA151:AL151)</f>
        <v>3131349.33486442</v>
      </c>
    </row>
    <row r="152" customFormat="false" ht="15" hidden="false" customHeight="false" outlineLevel="0" collapsed="false">
      <c r="A152" s="0" t="s">
        <v>957</v>
      </c>
      <c r="B152" s="0" t="s">
        <v>230</v>
      </c>
      <c r="C152" s="9" t="n">
        <f aca="false">((C130+C128)+C132)</f>
        <v>0</v>
      </c>
      <c r="D152" s="9" t="n">
        <f aca="false">((D130+D128)+D132)</f>
        <v>0</v>
      </c>
      <c r="E152" s="9" t="n">
        <f aca="false">((E130+E128)+E132)</f>
        <v>0</v>
      </c>
      <c r="F152" s="9" t="n">
        <f aca="false">((F130+F128)+F132)</f>
        <v>0</v>
      </c>
      <c r="G152" s="9" t="n">
        <f aca="false">((G130+G128)+G132)</f>
        <v>0</v>
      </c>
      <c r="H152" s="9" t="n">
        <f aca="false">((H130+H128)+H132)</f>
        <v>0</v>
      </c>
      <c r="I152" s="9" t="n">
        <f aca="false">((I130+I128)+I132)</f>
        <v>0</v>
      </c>
      <c r="J152" s="9" t="n">
        <f aca="false">((J130+J128)+J132)</f>
        <v>0</v>
      </c>
      <c r="K152" s="9" t="n">
        <f aca="false">((K130+K128)+K132)</f>
        <v>0</v>
      </c>
      <c r="L152" s="9" t="n">
        <f aca="false">((L130+L128)+L132)</f>
        <v>0</v>
      </c>
      <c r="M152" s="9" t="n">
        <f aca="false">((M130+M128)+M132)</f>
        <v>0</v>
      </c>
      <c r="N152" s="9" t="n">
        <f aca="false">((N130+N128)+N132)</f>
        <v>15840</v>
      </c>
      <c r="O152" s="9" t="n">
        <f aca="false">((O130+O128)+O132)</f>
        <v>36000</v>
      </c>
      <c r="P152" s="9" t="n">
        <f aca="false">((P130+P128)+P132)</f>
        <v>0</v>
      </c>
      <c r="Q152" s="9" t="n">
        <f aca="false">((Q130+Q128)+Q132)</f>
        <v>41844</v>
      </c>
      <c r="R152" s="9" t="n">
        <f aca="false">((R130+R128)+R132)</f>
        <v>44800</v>
      </c>
      <c r="S152" s="9" t="n">
        <f aca="false">((S130+S128)+S132)</f>
        <v>0</v>
      </c>
      <c r="T152" s="9" t="n">
        <f aca="false">((T130+T128)+T132)</f>
        <v>0</v>
      </c>
      <c r="U152" s="9" t="n">
        <f aca="false">((U130+U128)+U132)</f>
        <v>59200</v>
      </c>
      <c r="V152" s="9" t="n">
        <f aca="false">((V130+V128)+V132)</f>
        <v>9450</v>
      </c>
      <c r="W152" s="9" t="n">
        <f aca="false">((W130+W128)+W132)</f>
        <v>0</v>
      </c>
      <c r="X152" s="9" t="n">
        <f aca="false">((X130+X128)+X132)</f>
        <v>148000</v>
      </c>
      <c r="Y152" s="9" t="n">
        <f aca="false">((Y130+Y128)+Y132)</f>
        <v>61944</v>
      </c>
      <c r="Z152" s="9" t="n">
        <f aca="false">((Z130+Z128)+Z132)</f>
        <v>12719.52</v>
      </c>
      <c r="AA152" s="9" t="n">
        <f aca="false">((AA130+AA128)+AA132)</f>
        <v>184000</v>
      </c>
      <c r="AB152" s="9" t="n">
        <f aca="false">((AB130+AB128)+AB132)</f>
        <v>186524</v>
      </c>
      <c r="AC152" s="9" t="n">
        <f aca="false">((AC130+AC128)+AC132)</f>
        <v>43443.84</v>
      </c>
      <c r="AD152" s="9" t="n">
        <f aca="false">((AD130+AD128)+AD132)</f>
        <v>260000</v>
      </c>
      <c r="AE152" s="9" t="n">
        <f aca="false">((AE130+AE128)+AE132)</f>
        <v>261410</v>
      </c>
      <c r="AF152" s="9" t="n">
        <f aca="false">((AF130+AF128)+AF132)</f>
        <v>166000</v>
      </c>
      <c r="AG152" s="9" t="n">
        <f aca="false">((AG130+AG128)+AG132)</f>
        <v>260000</v>
      </c>
      <c r="AH152" s="9" t="n">
        <f aca="false">((AH130+AH128)+AH132)</f>
        <v>283637.6</v>
      </c>
      <c r="AI152" s="9" t="n">
        <f aca="false">((AI130+AI128)+AI132)</f>
        <v>0</v>
      </c>
      <c r="AJ152" s="9" t="n">
        <f aca="false">((AJ130+AJ128)+AJ132)</f>
        <v>296000</v>
      </c>
      <c r="AK152" s="9" t="n">
        <f aca="false">((AK130+AK128)+AK132)</f>
        <v>509669.392</v>
      </c>
      <c r="AL152" s="9" t="n">
        <f aca="false">((AL130+AL128)+AL132)</f>
        <v>477912.49536</v>
      </c>
      <c r="AN152" s="11" t="n">
        <f aca="false">SUM(C152:N152)</f>
        <v>15840</v>
      </c>
      <c r="AO152" s="11" t="n">
        <f aca="false">SUM(O152:Z152)</f>
        <v>413957.52</v>
      </c>
      <c r="AP152" s="11" t="n">
        <f aca="false">SUM(AA152:AL152)</f>
        <v>2928597.32736</v>
      </c>
    </row>
    <row r="153" customFormat="false" ht="15" hidden="false" customHeight="false" outlineLevel="0" collapsed="false">
      <c r="A153" s="0" t="s">
        <v>43</v>
      </c>
      <c r="B153" s="0" t="s">
        <v>230</v>
      </c>
      <c r="C153" s="9" t="n">
        <f aca="false">(((((C41+C136)+C137)+C140)+C144)+((1-Assumptions!$C$33)*0))</f>
        <v>0</v>
      </c>
      <c r="D153" s="9" t="n">
        <f aca="false">(((((D41+D136)+D137)+D140)+D144)+((1-Assumptions!$C$33)*0))</f>
        <v>0</v>
      </c>
      <c r="E153" s="9" t="n">
        <f aca="false">(((((E41+E136)+E137)+E140)+E144)+((1-Assumptions!$C$33)*C152))</f>
        <v>0</v>
      </c>
      <c r="F153" s="9" t="n">
        <f aca="false">(((((F41+F136)+F137)+F140)+F144)+((1-Assumptions!$C$33)*D152))</f>
        <v>0</v>
      </c>
      <c r="G153" s="9" t="n">
        <f aca="false">(((((G41+G136)+G137)+G140)+G144)+((1-Assumptions!$C$33)*E152))</f>
        <v>0</v>
      </c>
      <c r="H153" s="9" t="n">
        <f aca="false">(((((H41+H136)+H137)+H140)+H144)+((1-Assumptions!$C$33)*F152))</f>
        <v>0</v>
      </c>
      <c r="I153" s="9" t="n">
        <f aca="false">(((((I41+I136)+I137)+I140)+I144)+((1-Assumptions!$C$33)*G152))</f>
        <v>0</v>
      </c>
      <c r="J153" s="9" t="n">
        <f aca="false">(((((J41+J136)+J137)+J140)+J144)+((1-Assumptions!$C$33)*H152))</f>
        <v>0</v>
      </c>
      <c r="K153" s="9" t="n">
        <f aca="false">(((((K41+K136)+K137)+K140)+K144)+((1-Assumptions!$C$33)*I152))</f>
        <v>0</v>
      </c>
      <c r="L153" s="9" t="n">
        <f aca="false">(((((L41+L136)+L137)+L140)+L144)+((1-Assumptions!$C$33)*J152))</f>
        <v>0</v>
      </c>
      <c r="M153" s="9" t="n">
        <f aca="false">(((((M41+M136)+M137)+M140)+M144)+((1-Assumptions!$C$33)*K152))</f>
        <v>0</v>
      </c>
      <c r="N153" s="9" t="n">
        <f aca="false">(((((N41+N136)+N137)+N140)+N144)+((1-Assumptions!$C$33)*L152))</f>
        <v>0</v>
      </c>
      <c r="O153" s="9" t="n">
        <f aca="false">(((((O41+O136)+O137)+O140)+O144)+((1-Assumptions!$C$33)*M152))</f>
        <v>121.607982877657</v>
      </c>
      <c r="P153" s="9" t="n">
        <f aca="false">(((((P41+P136)+P137)+P140)+P144)+((1-Assumptions!$C$33)*N152))</f>
        <v>15969.5269579613</v>
      </c>
      <c r="Q153" s="9" t="n">
        <f aca="false">(((((Q41+Q136)+Q137)+Q140)+Q144)+((1-Assumptions!$C$33)*O152))</f>
        <v>36077.058775702</v>
      </c>
      <c r="R153" s="9" t="n">
        <f aca="false">(((((R41+R136)+R137)+R140)+R144)+((1-Assumptions!$C$33)*P152))</f>
        <v>566.744915400073</v>
      </c>
      <c r="S153" s="9" t="n">
        <f aca="false">(((((S41+S136)+S137)+S140)+S144)+((1-Assumptions!$C$33)*Q152))</f>
        <v>42110.4825405304</v>
      </c>
      <c r="T153" s="9" t="n">
        <f aca="false">(((((T41+T136)+T137)+T140)+T144)+((1-Assumptions!$C$33)*R152))</f>
        <v>45144.111478515</v>
      </c>
      <c r="U153" s="9" t="n">
        <f aca="false">(((((U41+U136)+U137)+U140)+U144)+((1-Assumptions!$C$33)*S152))</f>
        <v>887.549733589096</v>
      </c>
      <c r="V153" s="9" t="n">
        <f aca="false">(((((V41+V136)+V137)+V140)+V144)+((1-Assumptions!$C$33)*T152))</f>
        <v>1586.45578091181</v>
      </c>
      <c r="W153" s="9" t="n">
        <f aca="false">(((((W41+W136)+W137)+W140)+W144)+((1-Assumptions!$C$33)*U152))</f>
        <v>60427.2929507439</v>
      </c>
      <c r="X153" s="9" t="n">
        <f aca="false">(((((X41+X136)+X137)+X140)+X144)+((1-Assumptions!$C$33)*V152))</f>
        <v>11440.2858438198</v>
      </c>
      <c r="Y153" s="9" t="n">
        <f aca="false">(((((Y41+Y136)+Y137)+Y140)+Y144)+((1-Assumptions!$C$33)*W152))</f>
        <v>2610.03447604906</v>
      </c>
      <c r="Z153" s="9" t="n">
        <f aca="false">(((((Z41+Z136)+Z137)+Z140)+Z144)+((1-Assumptions!$C$33)*X152))</f>
        <v>149247.927926749</v>
      </c>
      <c r="AA153" s="9" t="n">
        <f aca="false">(((((AA41+AA136)+AA137)+AA140)+AA144)+((1-Assumptions!$C$33)*Y152))</f>
        <v>65230.6186600909</v>
      </c>
      <c r="AB153" s="9" t="n">
        <f aca="false">(((((AB41+AB136)+AB137)+AB140)+AB144)+((1-Assumptions!$C$33)*Z152))</f>
        <v>18772.4762018766</v>
      </c>
      <c r="AC153" s="9" t="n">
        <f aca="false">(((((AC41+AC136)+AC137)+AC140)+AC144)+((1-Assumptions!$C$33)*AA152))</f>
        <v>189517.873716917</v>
      </c>
      <c r="AD153" s="9" t="n">
        <f aca="false">(((((AD41+AD136)+AD137)+AD140)+AD144)+((1-Assumptions!$C$33)*AB152))</f>
        <v>193171.511804801</v>
      </c>
      <c r="AE153" s="9" t="n">
        <f aca="false">(((((AE41+AE136)+AE137)+AE140)+AE144)+((1-Assumptions!$C$33)*AC152))</f>
        <v>54101.5528219753</v>
      </c>
      <c r="AF153" s="9" t="n">
        <f aca="false">(((((AF41+AF136)+AF137)+AF140)+AF144)+((1-Assumptions!$C$33)*AD152))</f>
        <v>270034.912336541</v>
      </c>
      <c r="AG153" s="9" t="n">
        <f aca="false">(((((AG41+AG136)+AG137)+AG140)+AG144)+((1-Assumptions!$C$33)*AE152))</f>
        <v>275047.396403241</v>
      </c>
      <c r="AH153" s="9" t="n">
        <f aca="false">(((((AH41+AH136)+AH137)+AH140)+AH144)+((1-Assumptions!$C$33)*AF152))</f>
        <v>184910.637754549</v>
      </c>
      <c r="AI153" s="9" t="n">
        <f aca="false">(((((AI41+AI136)+AI137)+AI140)+AI144)+((1-Assumptions!$C$33)*AG152))</f>
        <v>280667.26261192</v>
      </c>
      <c r="AJ153" s="9" t="n">
        <f aca="false">(((((AJ41+AJ136)+AJ137)+AJ140)+AJ144)+((1-Assumptions!$C$33)*AH152))</f>
        <v>306755.887697134</v>
      </c>
      <c r="AK153" s="9" t="n">
        <f aca="false">(((((AK41+AK136)+AK137)+AK140)+AK144)+((1-Assumptions!$C$33)*AI152))</f>
        <v>31438.4299135705</v>
      </c>
      <c r="AL153" s="9" t="n">
        <f aca="false">(((((AL41+AL136)+AL137)+AL140)+AL144)+((1-Assumptions!$C$33)*AJ152))</f>
        <v>328625.617981804</v>
      </c>
      <c r="AN153" s="11" t="n">
        <f aca="false">SUM(C153:N153)</f>
        <v>0</v>
      </c>
      <c r="AO153" s="11" t="n">
        <f aca="false">SUM(O153:Z153)</f>
        <v>366189.079362849</v>
      </c>
      <c r="AP153" s="11" t="n">
        <f aca="false">SUM(AA153:AL153)</f>
        <v>2198274.17790442</v>
      </c>
    </row>
    <row r="154" customFormat="false" ht="15" hidden="false" customHeight="false" outlineLevel="0" collapsed="false">
      <c r="A154" s="0" t="s">
        <v>958</v>
      </c>
      <c r="B154" s="0" t="s">
        <v>230</v>
      </c>
      <c r="C154" s="9" t="n">
        <f aca="false">((0+C151)-C146)</f>
        <v>0</v>
      </c>
      <c r="D154" s="9" t="n">
        <f aca="false">((C154+D151)-D146)</f>
        <v>0</v>
      </c>
      <c r="E154" s="9" t="n">
        <f aca="false">((D154+E151)-E146)</f>
        <v>0</v>
      </c>
      <c r="F154" s="9" t="n">
        <f aca="false">((E154+F151)-F146)</f>
        <v>0</v>
      </c>
      <c r="G154" s="9" t="n">
        <f aca="false">((F154+G151)-G146)</f>
        <v>0</v>
      </c>
      <c r="H154" s="9" t="n">
        <f aca="false">((G154+H151)-H146)</f>
        <v>0</v>
      </c>
      <c r="I154" s="9" t="n">
        <f aca="false">((H154+I151)-I146)</f>
        <v>0</v>
      </c>
      <c r="J154" s="9" t="n">
        <f aca="false">((I154+J151)-J146)</f>
        <v>0</v>
      </c>
      <c r="K154" s="9" t="n">
        <f aca="false">((J154+K151)-K146)</f>
        <v>0</v>
      </c>
      <c r="L154" s="9" t="n">
        <f aca="false">((K154+L151)-L146)</f>
        <v>0</v>
      </c>
      <c r="M154" s="9" t="n">
        <f aca="false">((L154+M151)-M146)</f>
        <v>0</v>
      </c>
      <c r="N154" s="9" t="n">
        <f aca="false">((M154+N151)-N146)</f>
        <v>14520</v>
      </c>
      <c r="O154" s="9" t="n">
        <f aca="false">((N154+O151)-O146)</f>
        <v>39795.6433060248</v>
      </c>
      <c r="P154" s="9" t="n">
        <f aca="false">((O154+P151)-P146)</f>
        <v>29180.4963621206</v>
      </c>
      <c r="Q154" s="9" t="n">
        <f aca="false">((P154+Q151)-Q146)</f>
        <v>59777.6553142231</v>
      </c>
      <c r="R154" s="9" t="n">
        <f aca="false">((Q154+R151)-R146)</f>
        <v>85401.3752317449</v>
      </c>
      <c r="S154" s="9" t="n">
        <f aca="false">((R154+S151)-S146)</f>
        <v>66245.0172712012</v>
      </c>
      <c r="T154" s="9" t="n">
        <f aca="false">((S154+T151)-T146)</f>
        <v>47082.1936164491</v>
      </c>
      <c r="U154" s="9" t="n">
        <f aca="false">((T154+U151)-U146)</f>
        <v>82798.9607529544</v>
      </c>
      <c r="V154" s="9" t="n">
        <f aca="false">((U154+V151)-V146)</f>
        <v>67974.147296182</v>
      </c>
      <c r="W154" s="9" t="n">
        <f aca="false">((V154+W151)-W146)</f>
        <v>43778.6146456106</v>
      </c>
      <c r="X154" s="9" t="n">
        <f aca="false">((W154+X151)-X146)</f>
        <v>143062.296754394</v>
      </c>
      <c r="Y154" s="9" t="n">
        <f aca="false">((X154+Y151)-Y146)</f>
        <v>145860.170251798</v>
      </c>
      <c r="Z154" s="9" t="n">
        <f aca="false">((Y154+Z151)-Z146)</f>
        <v>99646.8057872232</v>
      </c>
      <c r="AA154" s="9" t="n">
        <f aca="false">((Z154+AA151)-AA146)</f>
        <v>209202.986986376</v>
      </c>
      <c r="AB154" s="9" t="n">
        <f aca="false">((AA154+AB151)-AB146)</f>
        <v>296089.804391642</v>
      </c>
      <c r="AC154" s="9" t="n">
        <f aca="false">((AB154+AC151)-AC146)</f>
        <v>240062.596665034</v>
      </c>
      <c r="AD154" s="9" t="n">
        <f aca="false">((AC154+AD151)-AD146)</f>
        <v>377756.977751622</v>
      </c>
      <c r="AE154" s="9" t="n">
        <f aca="false">((AD154+AE151)-AE146)</f>
        <v>495385.182471985</v>
      </c>
      <c r="AF154" s="9" t="n">
        <f aca="false">((AE154+AF151)-AF146)</f>
        <v>472204.557857344</v>
      </c>
      <c r="AG154" s="9" t="n">
        <f aca="false">((AF154+AG151)-AG146)</f>
        <v>537941.97084963</v>
      </c>
      <c r="AH154" s="9" t="n">
        <f aca="false">((AG154+AH151)-AH146)</f>
        <v>611764.288276551</v>
      </c>
      <c r="AI154" s="9" t="n">
        <f aca="false">((AH154+AI151)-AI146)</f>
        <v>437428.579585646</v>
      </c>
      <c r="AJ154" s="9" t="n">
        <f aca="false">((AI154+AJ151)-AJ146)</f>
        <v>549755.486760762</v>
      </c>
      <c r="AK154" s="9" t="n">
        <f aca="false">((AJ154+AK151)-AK146)</f>
        <v>827257.130349018</v>
      </c>
      <c r="AL154" s="9" t="n">
        <f aca="false">((AK154+AL151)-AL146)</f>
        <v>986169.290583189</v>
      </c>
      <c r="AN154" s="11" t="n">
        <f aca="false">N154</f>
        <v>14520</v>
      </c>
      <c r="AO154" s="11" t="n">
        <f aca="false">Z154</f>
        <v>99646.8057872232</v>
      </c>
      <c r="AP154" s="11" t="n">
        <f aca="false">AL154</f>
        <v>986169.290583189</v>
      </c>
    </row>
    <row r="155" customFormat="false" ht="15" hidden="false" customHeight="false" outlineLevel="0" collapsed="false">
      <c r="A155" s="0" t="s">
        <v>959</v>
      </c>
      <c r="B155" s="0" t="s">
        <v>230</v>
      </c>
      <c r="C155" s="9" t="n">
        <f aca="false">((0+((1-Assumptions!$C$33)*C152))-((1-Assumptions!$C$33)*0))</f>
        <v>0</v>
      </c>
      <c r="D155" s="9" t="n">
        <f aca="false">((C155+((1-Assumptions!$C$33)*D152))-((1-Assumptions!$C$33)*0))</f>
        <v>0</v>
      </c>
      <c r="E155" s="9" t="n">
        <f aca="false">((D155+((1-Assumptions!$C$33)*E152))-((1-Assumptions!$C$33)*C152))</f>
        <v>0</v>
      </c>
      <c r="F155" s="9" t="n">
        <f aca="false">((E155+((1-Assumptions!$C$33)*F152))-((1-Assumptions!$C$33)*D152))</f>
        <v>0</v>
      </c>
      <c r="G155" s="9" t="n">
        <f aca="false">((F155+((1-Assumptions!$C$33)*G152))-((1-Assumptions!$C$33)*E152))</f>
        <v>0</v>
      </c>
      <c r="H155" s="9" t="n">
        <f aca="false">((G155+((1-Assumptions!$C$33)*H152))-((1-Assumptions!$C$33)*F152))</f>
        <v>0</v>
      </c>
      <c r="I155" s="9" t="n">
        <f aca="false">((H155+((1-Assumptions!$C$33)*I152))-((1-Assumptions!$C$33)*G152))</f>
        <v>0</v>
      </c>
      <c r="J155" s="9" t="n">
        <f aca="false">((I155+((1-Assumptions!$C$33)*J152))-((1-Assumptions!$C$33)*H152))</f>
        <v>0</v>
      </c>
      <c r="K155" s="9" t="n">
        <f aca="false">((J155+((1-Assumptions!$C$33)*K152))-((1-Assumptions!$C$33)*I152))</f>
        <v>0</v>
      </c>
      <c r="L155" s="9" t="n">
        <f aca="false">((K155+((1-Assumptions!$C$33)*L152))-((1-Assumptions!$C$33)*J152))</f>
        <v>0</v>
      </c>
      <c r="M155" s="9" t="n">
        <f aca="false">((L155+((1-Assumptions!$C$33)*M152))-((1-Assumptions!$C$33)*K152))</f>
        <v>0</v>
      </c>
      <c r="N155" s="9" t="n">
        <f aca="false">((M155+((1-Assumptions!$C$33)*N152))-((1-Assumptions!$C$33)*L152))</f>
        <v>15681.6</v>
      </c>
      <c r="O155" s="9" t="n">
        <f aca="false">((N155+((1-Assumptions!$C$33)*O152))-((1-Assumptions!$C$33)*M152))</f>
        <v>51321.6</v>
      </c>
      <c r="P155" s="9" t="n">
        <f aca="false">((O155+((1-Assumptions!$C$33)*P152))-((1-Assumptions!$C$33)*N152))</f>
        <v>35640</v>
      </c>
      <c r="Q155" s="9" t="n">
        <f aca="false">((P155+((1-Assumptions!$C$33)*Q152))-((1-Assumptions!$C$33)*O152))</f>
        <v>41425.56</v>
      </c>
      <c r="R155" s="9" t="n">
        <f aca="false">((Q155+((1-Assumptions!$C$33)*R152))-((1-Assumptions!$C$33)*P152))</f>
        <v>85777.56</v>
      </c>
      <c r="S155" s="9" t="n">
        <f aca="false">((R155+((1-Assumptions!$C$33)*S152))-((1-Assumptions!$C$33)*Q152))</f>
        <v>44352</v>
      </c>
      <c r="T155" s="9" t="n">
        <f aca="false">((S155+((1-Assumptions!$C$33)*T152))-((1-Assumptions!$C$33)*R152))</f>
        <v>0</v>
      </c>
      <c r="U155" s="9" t="n">
        <f aca="false">((T155+((1-Assumptions!$C$33)*U152))-((1-Assumptions!$C$33)*S152))</f>
        <v>58608</v>
      </c>
      <c r="V155" s="9" t="n">
        <f aca="false">((U155+((1-Assumptions!$C$33)*V152))-((1-Assumptions!$C$33)*T152))</f>
        <v>67963.5</v>
      </c>
      <c r="W155" s="9" t="n">
        <f aca="false">((V155+((1-Assumptions!$C$33)*W152))-((1-Assumptions!$C$33)*U152))</f>
        <v>9355.5</v>
      </c>
      <c r="X155" s="9" t="n">
        <f aca="false">((W155+((1-Assumptions!$C$33)*X152))-((1-Assumptions!$C$33)*V152))</f>
        <v>146520</v>
      </c>
      <c r="Y155" s="9" t="n">
        <f aca="false">((X155+((1-Assumptions!$C$33)*Y152))-((1-Assumptions!$C$33)*W152))</f>
        <v>207844.56</v>
      </c>
      <c r="Z155" s="9" t="n">
        <f aca="false">((Y155+((1-Assumptions!$C$33)*Z152))-((1-Assumptions!$C$33)*X152))</f>
        <v>73916.8848</v>
      </c>
      <c r="AA155" s="9" t="n">
        <f aca="false">((Z155+((1-Assumptions!$C$33)*AA152))-((1-Assumptions!$C$33)*Y152))</f>
        <v>194752.3248</v>
      </c>
      <c r="AB155" s="9" t="n">
        <f aca="false">((AA155+((1-Assumptions!$C$33)*AB152))-((1-Assumptions!$C$33)*Z152))</f>
        <v>366818.76</v>
      </c>
      <c r="AC155" s="9" t="n">
        <f aca="false">((AB155+((1-Assumptions!$C$33)*AC152))-((1-Assumptions!$C$33)*AA152))</f>
        <v>227668.1616</v>
      </c>
      <c r="AD155" s="9" t="n">
        <f aca="false">((AC155+((1-Assumptions!$C$33)*AD152))-((1-Assumptions!$C$33)*AB152))</f>
        <v>300409.4016</v>
      </c>
      <c r="AE155" s="9" t="n">
        <f aca="false">((AD155+((1-Assumptions!$C$33)*AE152))-((1-Assumptions!$C$33)*AC152))</f>
        <v>516195.9</v>
      </c>
      <c r="AF155" s="9" t="n">
        <f aca="false">((AE155+((1-Assumptions!$C$33)*AF152))-((1-Assumptions!$C$33)*AD152))</f>
        <v>423135.9</v>
      </c>
      <c r="AG155" s="9" t="n">
        <f aca="false">((AF155+((1-Assumptions!$C$33)*AG152))-((1-Assumptions!$C$33)*AE152))</f>
        <v>421740</v>
      </c>
      <c r="AH155" s="9" t="n">
        <f aca="false">((AG155+((1-Assumptions!$C$33)*AH152))-((1-Assumptions!$C$33)*AF152))</f>
        <v>538201.224</v>
      </c>
      <c r="AI155" s="9" t="n">
        <f aca="false">((AH155+((1-Assumptions!$C$33)*AI152))-((1-Assumptions!$C$33)*AG152))</f>
        <v>280801.224</v>
      </c>
      <c r="AJ155" s="9" t="n">
        <f aca="false">((AI155+((1-Assumptions!$C$33)*AJ152))-((1-Assumptions!$C$33)*AH152))</f>
        <v>293040</v>
      </c>
      <c r="AK155" s="9" t="n">
        <f aca="false">((AJ155+((1-Assumptions!$C$33)*AK152))-((1-Assumptions!$C$33)*AI152))</f>
        <v>797612.69808</v>
      </c>
      <c r="AL155" s="9" t="n">
        <f aca="false">((AK155+((1-Assumptions!$C$33)*AL152))-((1-Assumptions!$C$33)*AJ152))</f>
        <v>977706.0684864</v>
      </c>
      <c r="AN155" s="11" t="n">
        <f aca="false">N155</f>
        <v>15681.6</v>
      </c>
      <c r="AO155" s="11" t="n">
        <f aca="false">Z155</f>
        <v>73916.8848</v>
      </c>
      <c r="AP155" s="11" t="n">
        <f aca="false">AL155</f>
        <v>977706.0684864</v>
      </c>
    </row>
    <row r="156" customFormat="false" ht="15" hidden="false" customHeight="false" outlineLevel="0" collapsed="false">
      <c r="A156" s="21" t="s">
        <v>29</v>
      </c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</row>
    <row r="157" customFormat="false" ht="15" hidden="false" customHeight="false" outlineLevel="0" collapsed="false">
      <c r="A157" s="0" t="s">
        <v>960</v>
      </c>
      <c r="B157" s="0" t="s">
        <v>500</v>
      </c>
      <c r="C157" s="9" t="n">
        <f aca="false">((C29+C39)+C126)</f>
        <v>234</v>
      </c>
      <c r="D157" s="9" t="n">
        <f aca="false">((D29+D39)+D126)</f>
        <v>415.8</v>
      </c>
      <c r="E157" s="9" t="n">
        <f aca="false">((E29+E39)+E126)</f>
        <v>547.9272</v>
      </c>
      <c r="F157" s="9" t="n">
        <f aca="false">((F29+F39)+F126)</f>
        <v>653.68224</v>
      </c>
      <c r="G157" s="9" t="n">
        <f aca="false">((G29+G39)+G126)</f>
        <v>921.58788288</v>
      </c>
      <c r="H157" s="9" t="n">
        <f aca="false">((H29+H39)+H126)</f>
        <v>956.6376389184</v>
      </c>
      <c r="I157" s="9" t="n">
        <f aca="false">((I29+I39)+I126)</f>
        <v>1045.77453039245</v>
      </c>
      <c r="J157" s="9" t="n">
        <f aca="false">((J29+J39)+J126)</f>
        <v>2253.52710133487</v>
      </c>
      <c r="K157" s="9" t="n">
        <f aca="false">((K29+K39)+K126)</f>
        <v>2629.71062532268</v>
      </c>
      <c r="L157" s="9" t="n">
        <f aca="false">((L29+L39)+L126)</f>
        <v>2778.86218416649</v>
      </c>
      <c r="M157" s="9" t="n">
        <f aca="false">((M29+M39)+M126)</f>
        <v>2655.71604890645</v>
      </c>
      <c r="N157" s="9" t="n">
        <f aca="false">((N29+N39)+N126)</f>
        <v>3041.21574138794</v>
      </c>
      <c r="O157" s="9" t="n">
        <f aca="false">((O29+O39)+O126)</f>
        <v>5482.34960104743</v>
      </c>
      <c r="P157" s="9" t="n">
        <f aca="false">((P29+P39)+P126)</f>
        <v>6349.41951510284</v>
      </c>
      <c r="Q157" s="9" t="n">
        <f aca="false">((Q29+Q39)+Q126)</f>
        <v>9140.44884594657</v>
      </c>
      <c r="R157" s="9" t="n">
        <f aca="false">((R29+R39)+R126)</f>
        <v>10606.8578531906</v>
      </c>
      <c r="S157" s="9" t="n">
        <f aca="false">((S29+S39)+S126)</f>
        <v>11234.9966069572</v>
      </c>
      <c r="T157" s="9" t="n">
        <f aca="false">((T29+T39)+T126)</f>
        <v>11657.7939353815</v>
      </c>
      <c r="U157" s="9" t="n">
        <f aca="false">((U29+U39)+U126)</f>
        <v>12734.0546059715</v>
      </c>
      <c r="V157" s="9" t="n">
        <f aca="false">((V29+V39)+V126)</f>
        <v>15445.9089272799</v>
      </c>
      <c r="W157" s="9" t="n">
        <f aca="false">((W29+W39)+W126)</f>
        <v>18079.2116472468</v>
      </c>
      <c r="X157" s="9" t="n">
        <f aca="false">((X29+X39)+X126)</f>
        <v>19983.9728706019</v>
      </c>
      <c r="Y157" s="9" t="n">
        <f aca="false">((Y29+Y39)+Y126)</f>
        <v>21743.8417164303</v>
      </c>
      <c r="Z157" s="9" t="n">
        <f aca="false">((Z29+Z39)+Z126)</f>
        <v>21807.1564676291</v>
      </c>
      <c r="AA157" s="9" t="n">
        <f aca="false">((AA29+AA39)+AA126)</f>
        <v>24721.9653313745</v>
      </c>
      <c r="AB157" s="9" t="n">
        <f aca="false">((AB29+AB39)+AB126)</f>
        <v>29823.6611871283</v>
      </c>
      <c r="AC157" s="9" t="n">
        <f aca="false">((AC29+AC39)+AC126)</f>
        <v>30392.5055760895</v>
      </c>
      <c r="AD157" s="9" t="n">
        <f aca="false">((AD29+AD39)+AD126)</f>
        <v>31950.9544893884</v>
      </c>
      <c r="AE157" s="9" t="n">
        <f aca="false">((AE29+AE39)+AE126)</f>
        <v>37348.8758597478</v>
      </c>
      <c r="AF157" s="9" t="n">
        <f aca="false">((AF29+AF39)+AF126)</f>
        <v>40261.73055606</v>
      </c>
      <c r="AG157" s="9" t="n">
        <f aca="false">((AG29+AG39)+AG126)</f>
        <v>41483.2970947711</v>
      </c>
      <c r="AH157" s="9" t="n">
        <f aca="false">((AH29+AH39)+AH126)</f>
        <v>49925.3301845179</v>
      </c>
      <c r="AI157" s="9" t="n">
        <f aca="false">((AI29+AI39)+AI126)</f>
        <v>53003.3298338185</v>
      </c>
      <c r="AJ157" s="9" t="n">
        <f aca="false">((AJ29+AJ39)+AJ126)</f>
        <v>54086.5813560291</v>
      </c>
      <c r="AK157" s="9" t="n">
        <f aca="false">((AK29+AK39)+AK126)</f>
        <v>64171.1620428938</v>
      </c>
      <c r="AL157" s="9" t="n">
        <f aca="false">((AL29+AL39)+AL126)</f>
        <v>72861.6258346625</v>
      </c>
      <c r="AN157" s="11" t="n">
        <f aca="false">N157</f>
        <v>3041.21574138794</v>
      </c>
      <c r="AO157" s="11" t="n">
        <f aca="false">Z157</f>
        <v>21807.1564676291</v>
      </c>
      <c r="AP157" s="11" t="n">
        <f aca="false">AL157</f>
        <v>72861.6258346625</v>
      </c>
    </row>
    <row r="158" customFormat="false" ht="15" hidden="false" customHeight="false" outlineLevel="0" collapsed="false">
      <c r="A158" s="0" t="s">
        <v>961</v>
      </c>
      <c r="B158" s="0" t="s">
        <v>230</v>
      </c>
      <c r="C158" s="9" t="n">
        <f aca="false">(C157*Assumptions!$C$58)</f>
        <v>7.02</v>
      </c>
      <c r="D158" s="9" t="n">
        <f aca="false">(D157*Assumptions!$C$58)</f>
        <v>12.474</v>
      </c>
      <c r="E158" s="9" t="n">
        <f aca="false">(E157*Assumptions!$C$58)</f>
        <v>16.437816</v>
      </c>
      <c r="F158" s="9" t="n">
        <f aca="false">(F157*Assumptions!$C$58)</f>
        <v>19.6104672</v>
      </c>
      <c r="G158" s="9" t="n">
        <f aca="false">(G157*Assumptions!$C$58)</f>
        <v>27.6476364864</v>
      </c>
      <c r="H158" s="9" t="n">
        <f aca="false">(H157*Assumptions!$C$58)</f>
        <v>28.699129167552</v>
      </c>
      <c r="I158" s="9" t="n">
        <f aca="false">(I157*Assumptions!$C$58)</f>
        <v>31.3732359117734</v>
      </c>
      <c r="J158" s="9" t="n">
        <f aca="false">(J157*Assumptions!$C$58)</f>
        <v>67.605813040046</v>
      </c>
      <c r="K158" s="9" t="n">
        <f aca="false">(K157*Assumptions!$C$58)</f>
        <v>78.8913187596803</v>
      </c>
      <c r="L158" s="9" t="n">
        <f aca="false">(L157*Assumptions!$C$58)</f>
        <v>83.3658655249946</v>
      </c>
      <c r="M158" s="9" t="n">
        <f aca="false">(M157*Assumptions!$C$58)</f>
        <v>79.6714814671935</v>
      </c>
      <c r="N158" s="9" t="n">
        <f aca="false">(N157*Assumptions!$C$58)</f>
        <v>91.2364722416382</v>
      </c>
      <c r="O158" s="9" t="n">
        <f aca="false">(O157*Assumptions!$C$58)</f>
        <v>164.470488031423</v>
      </c>
      <c r="P158" s="9" t="n">
        <f aca="false">(P157*Assumptions!$C$58)</f>
        <v>190.482585453085</v>
      </c>
      <c r="Q158" s="9" t="n">
        <f aca="false">(Q157*Assumptions!$C$58)</f>
        <v>274.213465378397</v>
      </c>
      <c r="R158" s="9" t="n">
        <f aca="false">(R157*Assumptions!$C$58)</f>
        <v>318.205735595719</v>
      </c>
      <c r="S158" s="9" t="n">
        <f aca="false">(S157*Assumptions!$C$58)</f>
        <v>337.049898208716</v>
      </c>
      <c r="T158" s="9" t="n">
        <f aca="false">(T157*Assumptions!$C$58)</f>
        <v>349.733818061444</v>
      </c>
      <c r="U158" s="9" t="n">
        <f aca="false">(U157*Assumptions!$C$58)</f>
        <v>382.021638179145</v>
      </c>
      <c r="V158" s="9" t="n">
        <f aca="false">(V157*Assumptions!$C$58)</f>
        <v>463.377267818396</v>
      </c>
      <c r="W158" s="9" t="n">
        <f aca="false">(W157*Assumptions!$C$58)</f>
        <v>542.376349417404</v>
      </c>
      <c r="X158" s="9" t="n">
        <f aca="false">(X157*Assumptions!$C$58)</f>
        <v>599.519186118058</v>
      </c>
      <c r="Y158" s="9" t="n">
        <f aca="false">(Y157*Assumptions!$C$58)</f>
        <v>652.315251492908</v>
      </c>
      <c r="Z158" s="9" t="n">
        <f aca="false">(Z157*Assumptions!$C$58)</f>
        <v>654.214694028874</v>
      </c>
      <c r="AA158" s="9" t="n">
        <f aca="false">(AA157*Assumptions!$C$58)</f>
        <v>741.658959941234</v>
      </c>
      <c r="AB158" s="9" t="n">
        <f aca="false">(AB157*Assumptions!$C$58)</f>
        <v>894.709835613848</v>
      </c>
      <c r="AC158" s="9" t="n">
        <f aca="false">(AC157*Assumptions!$C$58)</f>
        <v>911.775167282685</v>
      </c>
      <c r="AD158" s="9" t="n">
        <f aca="false">(AD157*Assumptions!$C$58)</f>
        <v>958.528634681652</v>
      </c>
      <c r="AE158" s="9" t="n">
        <f aca="false">(AE157*Assumptions!$C$58)</f>
        <v>1120.46627579243</v>
      </c>
      <c r="AF158" s="9" t="n">
        <f aca="false">(AF157*Assumptions!$C$58)</f>
        <v>1207.8519166818</v>
      </c>
      <c r="AG158" s="9" t="n">
        <f aca="false">(AG157*Assumptions!$C$58)</f>
        <v>1244.49891284313</v>
      </c>
      <c r="AH158" s="9" t="n">
        <f aca="false">(AH157*Assumptions!$C$58)</f>
        <v>1497.75990553554</v>
      </c>
      <c r="AI158" s="9" t="n">
        <f aca="false">(AI157*Assumptions!$C$58)</f>
        <v>1590.09989501456</v>
      </c>
      <c r="AJ158" s="9" t="n">
        <f aca="false">(AJ157*Assumptions!$C$58)</f>
        <v>1622.59744068087</v>
      </c>
      <c r="AK158" s="9" t="n">
        <f aca="false">(AK157*Assumptions!$C$58)</f>
        <v>1925.13486128681</v>
      </c>
      <c r="AL158" s="9" t="n">
        <f aca="false">(AL157*Assumptions!$C$58)</f>
        <v>2185.84877503987</v>
      </c>
      <c r="AN158" s="11" t="n">
        <f aca="false">SUM(C158:N158)</f>
        <v>544.033235799278</v>
      </c>
      <c r="AO158" s="11" t="n">
        <f aca="false">SUM(O158:Z158)</f>
        <v>4927.98037778357</v>
      </c>
      <c r="AP158" s="11" t="n">
        <f aca="false">SUM(AA158:AL158)</f>
        <v>15900.9305803944</v>
      </c>
    </row>
    <row r="159" customFormat="false" ht="15" hidden="false" customHeight="false" outlineLevel="0" collapsed="false">
      <c r="A159" s="0" t="s">
        <v>962</v>
      </c>
      <c r="B159" s="0" t="s">
        <v>230</v>
      </c>
      <c r="C159" s="9" t="n">
        <f aca="false">(((C157*Assumptions!$C$59)*Assumptions!$C$60)*Assumptions!$C$61)</f>
        <v>3.9312</v>
      </c>
      <c r="D159" s="9" t="n">
        <f aca="false">(((D157*Assumptions!$C$59)*Assumptions!$C$60)*Assumptions!$C$61)</f>
        <v>6.98544</v>
      </c>
      <c r="E159" s="9" t="n">
        <f aca="false">(((E157*Assumptions!$C$59)*Assumptions!$C$60)*Assumptions!$C$61)</f>
        <v>9.20517696</v>
      </c>
      <c r="F159" s="9" t="n">
        <f aca="false">(((F157*Assumptions!$C$59)*Assumptions!$C$60)*Assumptions!$C$61)</f>
        <v>10.981861632</v>
      </c>
      <c r="G159" s="9" t="n">
        <f aca="false">(((G157*Assumptions!$C$59)*Assumptions!$C$60)*Assumptions!$C$61)</f>
        <v>15.482676432384</v>
      </c>
      <c r="H159" s="9" t="n">
        <f aca="false">(((H157*Assumptions!$C$59)*Assumptions!$C$60)*Assumptions!$C$61)</f>
        <v>16.0715123338291</v>
      </c>
      <c r="I159" s="9" t="n">
        <f aca="false">(((I157*Assumptions!$C$59)*Assumptions!$C$60)*Assumptions!$C$61)</f>
        <v>17.5690121105931</v>
      </c>
      <c r="J159" s="9" t="n">
        <f aca="false">(((J157*Assumptions!$C$59)*Assumptions!$C$60)*Assumptions!$C$61)</f>
        <v>37.8592553024258</v>
      </c>
      <c r="K159" s="9" t="n">
        <f aca="false">(((K157*Assumptions!$C$59)*Assumptions!$C$60)*Assumptions!$C$61)</f>
        <v>44.1791385054209</v>
      </c>
      <c r="L159" s="9" t="n">
        <f aca="false">(((L157*Assumptions!$C$59)*Assumptions!$C$60)*Assumptions!$C$61)</f>
        <v>46.684884693997</v>
      </c>
      <c r="M159" s="9" t="n">
        <f aca="false">(((M157*Assumptions!$C$59)*Assumptions!$C$60)*Assumptions!$C$61)</f>
        <v>44.6160296216284</v>
      </c>
      <c r="N159" s="9" t="n">
        <f aca="false">(((N157*Assumptions!$C$59)*Assumptions!$C$60)*Assumptions!$C$61)</f>
        <v>51.0924244553174</v>
      </c>
      <c r="O159" s="9" t="n">
        <f aca="false">(((O157*Assumptions!$C$59)*Assumptions!$C$60)*Assumptions!$C$61)</f>
        <v>92.1034732975968</v>
      </c>
      <c r="P159" s="9" t="n">
        <f aca="false">(((P157*Assumptions!$C$59)*Assumptions!$C$60)*Assumptions!$C$61)</f>
        <v>106.670247853728</v>
      </c>
      <c r="Q159" s="9" t="n">
        <f aca="false">(((Q157*Assumptions!$C$59)*Assumptions!$C$60)*Assumptions!$C$61)</f>
        <v>153.559540611902</v>
      </c>
      <c r="R159" s="9" t="n">
        <f aca="false">(((R157*Assumptions!$C$59)*Assumptions!$C$60)*Assumptions!$C$61)</f>
        <v>178.195211933602</v>
      </c>
      <c r="S159" s="9" t="n">
        <f aca="false">(((S157*Assumptions!$C$59)*Assumptions!$C$60)*Assumptions!$C$61)</f>
        <v>188.747942996881</v>
      </c>
      <c r="T159" s="9" t="n">
        <f aca="false">(((T157*Assumptions!$C$59)*Assumptions!$C$60)*Assumptions!$C$61)</f>
        <v>195.850938114409</v>
      </c>
      <c r="U159" s="9" t="n">
        <f aca="false">(((U157*Assumptions!$C$59)*Assumptions!$C$60)*Assumptions!$C$61)</f>
        <v>213.932117380321</v>
      </c>
      <c r="V159" s="9" t="n">
        <f aca="false">(((V157*Assumptions!$C$59)*Assumptions!$C$60)*Assumptions!$C$61)</f>
        <v>259.491269978302</v>
      </c>
      <c r="W159" s="9" t="n">
        <f aca="false">(((W157*Assumptions!$C$59)*Assumptions!$C$60)*Assumptions!$C$61)</f>
        <v>303.730755673746</v>
      </c>
      <c r="X159" s="9" t="n">
        <f aca="false">(((X157*Assumptions!$C$59)*Assumptions!$C$60)*Assumptions!$C$61)</f>
        <v>335.730744226112</v>
      </c>
      <c r="Y159" s="9" t="n">
        <f aca="false">(((Y157*Assumptions!$C$59)*Assumptions!$C$60)*Assumptions!$C$61)</f>
        <v>365.296540836029</v>
      </c>
      <c r="Z159" s="9" t="n">
        <f aca="false">(((Z157*Assumptions!$C$59)*Assumptions!$C$60)*Assumptions!$C$61)</f>
        <v>366.360228656169</v>
      </c>
      <c r="AA159" s="9" t="n">
        <f aca="false">(((AA157*Assumptions!$C$59)*Assumptions!$C$60)*Assumptions!$C$61)</f>
        <v>415.329017567091</v>
      </c>
      <c r="AB159" s="9" t="n">
        <f aca="false">(((AB157*Assumptions!$C$59)*Assumptions!$C$60)*Assumptions!$C$61)</f>
        <v>501.037507943755</v>
      </c>
      <c r="AC159" s="9" t="n">
        <f aca="false">(((AC157*Assumptions!$C$59)*Assumptions!$C$60)*Assumptions!$C$61)</f>
        <v>510.594093678303</v>
      </c>
      <c r="AD159" s="9" t="n">
        <f aca="false">(((AD157*Assumptions!$C$59)*Assumptions!$C$60)*Assumptions!$C$61)</f>
        <v>536.776035421725</v>
      </c>
      <c r="AE159" s="9" t="n">
        <f aca="false">(((AE157*Assumptions!$C$59)*Assumptions!$C$60)*Assumptions!$C$61)</f>
        <v>627.461114443762</v>
      </c>
      <c r="AF159" s="9" t="n">
        <f aca="false">(((AF157*Assumptions!$C$59)*Assumptions!$C$60)*Assumptions!$C$61)</f>
        <v>676.397073341808</v>
      </c>
      <c r="AG159" s="9" t="n">
        <f aca="false">(((AG157*Assumptions!$C$59)*Assumptions!$C$60)*Assumptions!$C$61)</f>
        <v>696.919391192155</v>
      </c>
      <c r="AH159" s="9" t="n">
        <f aca="false">(((AH157*Assumptions!$C$59)*Assumptions!$C$60)*Assumptions!$C$61)</f>
        <v>838.745547099902</v>
      </c>
      <c r="AI159" s="9" t="n">
        <f aca="false">(((AI157*Assumptions!$C$59)*Assumptions!$C$60)*Assumptions!$C$61)</f>
        <v>890.455941208152</v>
      </c>
      <c r="AJ159" s="9" t="n">
        <f aca="false">(((AJ157*Assumptions!$C$59)*Assumptions!$C$60)*Assumptions!$C$61)</f>
        <v>908.654566781289</v>
      </c>
      <c r="AK159" s="9" t="n">
        <f aca="false">(((AK157*Assumptions!$C$59)*Assumptions!$C$60)*Assumptions!$C$61)</f>
        <v>1078.07552232062</v>
      </c>
      <c r="AL159" s="9" t="n">
        <f aca="false">(((AL157*Assumptions!$C$59)*Assumptions!$C$60)*Assumptions!$C$61)</f>
        <v>1224.07531402233</v>
      </c>
      <c r="AN159" s="11" t="n">
        <f aca="false">SUM(C159:N159)</f>
        <v>304.658612047596</v>
      </c>
      <c r="AO159" s="11" t="n">
        <f aca="false">SUM(O159:Z159)</f>
        <v>2759.6690115588</v>
      </c>
      <c r="AP159" s="11" t="n">
        <f aca="false">SUM(AA159:AL159)</f>
        <v>8904.52112502089</v>
      </c>
    </row>
    <row r="160" customFormat="false" ht="15" hidden="false" customHeight="false" outlineLevel="0" collapsed="false">
      <c r="A160" s="0" t="s">
        <v>963</v>
      </c>
      <c r="B160" s="0" t="s">
        <v>230</v>
      </c>
      <c r="C160" s="9" t="n">
        <f aca="false">(((C157*Assumptions!$C$62)*Assumptions!$C$63)*(1-Assumptions!$C$64))</f>
        <v>5.265</v>
      </c>
      <c r="D160" s="9" t="n">
        <f aca="false">(((D157*Assumptions!$C$62)*Assumptions!$C$63)*(1-Assumptions!$C$64))</f>
        <v>9.3555</v>
      </c>
      <c r="E160" s="9" t="n">
        <f aca="false">(((E157*Assumptions!$C$62)*Assumptions!$C$63)*(1-Assumptions!$C$64))</f>
        <v>12.328362</v>
      </c>
      <c r="F160" s="9" t="n">
        <f aca="false">(((F157*Assumptions!$C$62)*Assumptions!$C$63)*(1-Assumptions!$C$64))</f>
        <v>14.7078504</v>
      </c>
      <c r="G160" s="9" t="n">
        <f aca="false">(((G157*Assumptions!$C$62)*Assumptions!$C$63)*(1-Assumptions!$C$64))</f>
        <v>20.7357273648</v>
      </c>
      <c r="H160" s="9" t="n">
        <f aca="false">(((H157*Assumptions!$C$62)*Assumptions!$C$63)*(1-Assumptions!$C$64))</f>
        <v>21.524346875664</v>
      </c>
      <c r="I160" s="9" t="n">
        <f aca="false">(((I157*Assumptions!$C$62)*Assumptions!$C$63)*(1-Assumptions!$C$64))</f>
        <v>23.5299269338301</v>
      </c>
      <c r="J160" s="9" t="n">
        <f aca="false">(((J157*Assumptions!$C$62)*Assumptions!$C$63)*(1-Assumptions!$C$64))</f>
        <v>50.7043597800345</v>
      </c>
      <c r="K160" s="9" t="n">
        <f aca="false">(((K157*Assumptions!$C$62)*Assumptions!$C$63)*(1-Assumptions!$C$64))</f>
        <v>59.1684890697602</v>
      </c>
      <c r="L160" s="9" t="n">
        <f aca="false">(((L157*Assumptions!$C$62)*Assumptions!$C$63)*(1-Assumptions!$C$64))</f>
        <v>62.524399143746</v>
      </c>
      <c r="M160" s="9" t="n">
        <f aca="false">(((M157*Assumptions!$C$62)*Assumptions!$C$63)*(1-Assumptions!$C$64))</f>
        <v>59.7536111003952</v>
      </c>
      <c r="N160" s="9" t="n">
        <f aca="false">(((N157*Assumptions!$C$62)*Assumptions!$C$63)*(1-Assumptions!$C$64))</f>
        <v>68.4273541812287</v>
      </c>
      <c r="O160" s="9" t="n">
        <f aca="false">(((O157*Assumptions!$C$62)*Assumptions!$C$63)*(1-Assumptions!$C$64))</f>
        <v>123.352866023567</v>
      </c>
      <c r="P160" s="9" t="n">
        <f aca="false">(((P157*Assumptions!$C$62)*Assumptions!$C$63)*(1-Assumptions!$C$64))</f>
        <v>142.861939089814</v>
      </c>
      <c r="Q160" s="9" t="n">
        <f aca="false">(((Q157*Assumptions!$C$62)*Assumptions!$C$63)*(1-Assumptions!$C$64))</f>
        <v>205.660099033798</v>
      </c>
      <c r="R160" s="9" t="n">
        <f aca="false">(((R157*Assumptions!$C$62)*Assumptions!$C$63)*(1-Assumptions!$C$64))</f>
        <v>238.654301696789</v>
      </c>
      <c r="S160" s="9" t="n">
        <f aca="false">(((S157*Assumptions!$C$62)*Assumptions!$C$63)*(1-Assumptions!$C$64))</f>
        <v>252.787423656537</v>
      </c>
      <c r="T160" s="9" t="n">
        <f aca="false">(((T157*Assumptions!$C$62)*Assumptions!$C$63)*(1-Assumptions!$C$64))</f>
        <v>262.300363546083</v>
      </c>
      <c r="U160" s="9" t="n">
        <f aca="false">(((U157*Assumptions!$C$62)*Assumptions!$C$63)*(1-Assumptions!$C$64))</f>
        <v>286.516228634359</v>
      </c>
      <c r="V160" s="9" t="n">
        <f aca="false">(((V157*Assumptions!$C$62)*Assumptions!$C$63)*(1-Assumptions!$C$64))</f>
        <v>347.532950863797</v>
      </c>
      <c r="W160" s="9" t="n">
        <f aca="false">(((W157*Assumptions!$C$62)*Assumptions!$C$63)*(1-Assumptions!$C$64))</f>
        <v>406.782262063053</v>
      </c>
      <c r="X160" s="9" t="n">
        <f aca="false">(((X157*Assumptions!$C$62)*Assumptions!$C$63)*(1-Assumptions!$C$64))</f>
        <v>449.639389588543</v>
      </c>
      <c r="Y160" s="9" t="n">
        <f aca="false">(((Y157*Assumptions!$C$62)*Assumptions!$C$63)*(1-Assumptions!$C$64))</f>
        <v>489.236438619681</v>
      </c>
      <c r="Z160" s="9" t="n">
        <f aca="false">(((Z157*Assumptions!$C$62)*Assumptions!$C$63)*(1-Assumptions!$C$64))</f>
        <v>490.661020521656</v>
      </c>
      <c r="AA160" s="9" t="n">
        <f aca="false">(((AA157*Assumptions!$C$62)*Assumptions!$C$63)*(1-Assumptions!$C$64))</f>
        <v>556.244219955925</v>
      </c>
      <c r="AB160" s="9" t="n">
        <f aca="false">(((AB157*Assumptions!$C$62)*Assumptions!$C$63)*(1-Assumptions!$C$64))</f>
        <v>671.032376710386</v>
      </c>
      <c r="AC160" s="9" t="n">
        <f aca="false">(((AC157*Assumptions!$C$62)*Assumptions!$C$63)*(1-Assumptions!$C$64))</f>
        <v>683.831375462013</v>
      </c>
      <c r="AD160" s="9" t="n">
        <f aca="false">(((AD157*Assumptions!$C$62)*Assumptions!$C$63)*(1-Assumptions!$C$64))</f>
        <v>718.896476011239</v>
      </c>
      <c r="AE160" s="9" t="n">
        <f aca="false">(((AE157*Assumptions!$C$62)*Assumptions!$C$63)*(1-Assumptions!$C$64))</f>
        <v>840.349706844324</v>
      </c>
      <c r="AF160" s="9" t="n">
        <f aca="false">(((AF157*Assumptions!$C$62)*Assumptions!$C$63)*(1-Assumptions!$C$64))</f>
        <v>905.88893751135</v>
      </c>
      <c r="AG160" s="9" t="n">
        <f aca="false">(((AG157*Assumptions!$C$62)*Assumptions!$C$63)*(1-Assumptions!$C$64))</f>
        <v>933.37418463235</v>
      </c>
      <c r="AH160" s="9" t="n">
        <f aca="false">(((AH157*Assumptions!$C$62)*Assumptions!$C$63)*(1-Assumptions!$C$64))</f>
        <v>1123.31992915165</v>
      </c>
      <c r="AI160" s="9" t="n">
        <f aca="false">(((AI157*Assumptions!$C$62)*Assumptions!$C$63)*(1-Assumptions!$C$64))</f>
        <v>1192.57492126092</v>
      </c>
      <c r="AJ160" s="9" t="n">
        <f aca="false">(((AJ157*Assumptions!$C$62)*Assumptions!$C$63)*(1-Assumptions!$C$64))</f>
        <v>1216.94808051066</v>
      </c>
      <c r="AK160" s="9" t="n">
        <f aca="false">(((AK157*Assumptions!$C$62)*Assumptions!$C$63)*(1-Assumptions!$C$64))</f>
        <v>1443.85114596511</v>
      </c>
      <c r="AL160" s="9" t="n">
        <f aca="false">(((AL157*Assumptions!$C$62)*Assumptions!$C$63)*(1-Assumptions!$C$64))</f>
        <v>1639.38658127991</v>
      </c>
      <c r="AN160" s="11" t="n">
        <f aca="false">SUM(C160:N160)</f>
        <v>408.024926849459</v>
      </c>
      <c r="AO160" s="11" t="n">
        <f aca="false">SUM(O160:Z160)</f>
        <v>3695.98528333768</v>
      </c>
      <c r="AP160" s="11" t="n">
        <f aca="false">SUM(AA160:AL160)</f>
        <v>11925.6979352958</v>
      </c>
    </row>
    <row r="161" customFormat="false" ht="15" hidden="false" customHeight="false" outlineLevel="0" collapsed="false">
      <c r="A161" s="0" t="s">
        <v>964</v>
      </c>
      <c r="B161" s="0" t="s">
        <v>230</v>
      </c>
      <c r="C161" s="9" t="n">
        <f aca="false">(C157*Assumptions!$C$65)</f>
        <v>2.808</v>
      </c>
      <c r="D161" s="9" t="n">
        <f aca="false">(D157*Assumptions!$C$65)</f>
        <v>4.9896</v>
      </c>
      <c r="E161" s="9" t="n">
        <f aca="false">(E157*Assumptions!$C$65)</f>
        <v>6.5751264</v>
      </c>
      <c r="F161" s="9" t="n">
        <f aca="false">(F157*Assumptions!$C$65)</f>
        <v>7.84418688</v>
      </c>
      <c r="G161" s="9" t="n">
        <f aca="false">(G157*Assumptions!$C$65)</f>
        <v>11.05905459456</v>
      </c>
      <c r="H161" s="9" t="n">
        <f aca="false">(H157*Assumptions!$C$65)</f>
        <v>11.4796516670208</v>
      </c>
      <c r="I161" s="9" t="n">
        <f aca="false">(I157*Assumptions!$C$65)</f>
        <v>12.5492943647094</v>
      </c>
      <c r="J161" s="9" t="n">
        <f aca="false">(J157*Assumptions!$C$65)</f>
        <v>27.0423252160184</v>
      </c>
      <c r="K161" s="9" t="n">
        <f aca="false">(K157*Assumptions!$C$65)</f>
        <v>31.5565275038721</v>
      </c>
      <c r="L161" s="9" t="n">
        <f aca="false">(L157*Assumptions!$C$65)</f>
        <v>33.3463462099979</v>
      </c>
      <c r="M161" s="9" t="n">
        <f aca="false">(M157*Assumptions!$C$65)</f>
        <v>31.8685925868774</v>
      </c>
      <c r="N161" s="9" t="n">
        <f aca="false">(N157*Assumptions!$C$65)</f>
        <v>36.4945888966553</v>
      </c>
      <c r="O161" s="9" t="n">
        <f aca="false">(O157*Assumptions!$C$65)</f>
        <v>65.7881952125691</v>
      </c>
      <c r="P161" s="9" t="n">
        <f aca="false">(P157*Assumptions!$C$65)</f>
        <v>76.1930341812341</v>
      </c>
      <c r="Q161" s="9" t="n">
        <f aca="false">(Q157*Assumptions!$C$65)</f>
        <v>109.685386151359</v>
      </c>
      <c r="R161" s="9" t="n">
        <f aca="false">(R157*Assumptions!$C$65)</f>
        <v>127.282294238287</v>
      </c>
      <c r="S161" s="9" t="n">
        <f aca="false">(S157*Assumptions!$C$65)</f>
        <v>134.819959283486</v>
      </c>
      <c r="T161" s="9" t="n">
        <f aca="false">(T157*Assumptions!$C$65)</f>
        <v>139.893527224578</v>
      </c>
      <c r="U161" s="9" t="n">
        <f aca="false">(U157*Assumptions!$C$65)</f>
        <v>152.808655271658</v>
      </c>
      <c r="V161" s="9" t="n">
        <f aca="false">(V157*Assumptions!$C$65)</f>
        <v>185.350907127358</v>
      </c>
      <c r="W161" s="9" t="n">
        <f aca="false">(W157*Assumptions!$C$65)</f>
        <v>216.950539766961</v>
      </c>
      <c r="X161" s="9" t="n">
        <f aca="false">(X157*Assumptions!$C$65)</f>
        <v>239.807674447223</v>
      </c>
      <c r="Y161" s="9" t="n">
        <f aca="false">(Y157*Assumptions!$C$65)</f>
        <v>260.926100597163</v>
      </c>
      <c r="Z161" s="9" t="n">
        <f aca="false">(Z157*Assumptions!$C$65)</f>
        <v>261.68587761155</v>
      </c>
      <c r="AA161" s="9" t="n">
        <f aca="false">(AA157*Assumptions!$C$65)</f>
        <v>296.663583976494</v>
      </c>
      <c r="AB161" s="9" t="n">
        <f aca="false">(AB157*Assumptions!$C$65)</f>
        <v>357.883934245539</v>
      </c>
      <c r="AC161" s="9" t="n">
        <f aca="false">(AC157*Assumptions!$C$65)</f>
        <v>364.710066913074</v>
      </c>
      <c r="AD161" s="9" t="n">
        <f aca="false">(AD157*Assumptions!$C$65)</f>
        <v>383.411453872661</v>
      </c>
      <c r="AE161" s="9" t="n">
        <f aca="false">(AE157*Assumptions!$C$65)</f>
        <v>448.186510316973</v>
      </c>
      <c r="AF161" s="9" t="n">
        <f aca="false">(AF157*Assumptions!$C$65)</f>
        <v>483.14076667272</v>
      </c>
      <c r="AG161" s="9" t="n">
        <f aca="false">(AG157*Assumptions!$C$65)</f>
        <v>497.799565137253</v>
      </c>
      <c r="AH161" s="9" t="n">
        <f aca="false">(AH157*Assumptions!$C$65)</f>
        <v>599.103962214215</v>
      </c>
      <c r="AI161" s="9" t="n">
        <f aca="false">(AI157*Assumptions!$C$65)</f>
        <v>636.039958005823</v>
      </c>
      <c r="AJ161" s="9" t="n">
        <f aca="false">(AJ157*Assumptions!$C$65)</f>
        <v>649.038976272349</v>
      </c>
      <c r="AK161" s="9" t="n">
        <f aca="false">(AK157*Assumptions!$C$65)</f>
        <v>770.053944514726</v>
      </c>
      <c r="AL161" s="9" t="n">
        <f aca="false">(AL157*Assumptions!$C$65)</f>
        <v>874.33951001595</v>
      </c>
      <c r="AN161" s="11" t="n">
        <f aca="false">SUM(C161:N161)</f>
        <v>217.613294319711</v>
      </c>
      <c r="AO161" s="11" t="n">
        <f aca="false">SUM(O161:Z161)</f>
        <v>1971.19215111343</v>
      </c>
      <c r="AP161" s="11" t="n">
        <f aca="false">SUM(AA161:AL161)</f>
        <v>6360.37223215778</v>
      </c>
    </row>
    <row r="162" customFormat="false" ht="15" hidden="false" customHeight="false" outlineLevel="0" collapsed="false">
      <c r="A162" s="0" t="s">
        <v>965</v>
      </c>
      <c r="B162" s="0" t="s">
        <v>230</v>
      </c>
      <c r="C162" s="9" t="n">
        <f aca="false">(C157*Assumptions!$C$66)</f>
        <v>4.68</v>
      </c>
      <c r="D162" s="9" t="n">
        <f aca="false">(D157*Assumptions!$C$66)</f>
        <v>8.316</v>
      </c>
      <c r="E162" s="9" t="n">
        <f aca="false">(E157*Assumptions!$C$66)</f>
        <v>10.958544</v>
      </c>
      <c r="F162" s="9" t="n">
        <f aca="false">(F157*Assumptions!$C$66)</f>
        <v>13.0736448</v>
      </c>
      <c r="G162" s="9" t="n">
        <f aca="false">(G157*Assumptions!$C$66)</f>
        <v>18.4317576576</v>
      </c>
      <c r="H162" s="9" t="n">
        <f aca="false">(H157*Assumptions!$C$66)</f>
        <v>19.132752778368</v>
      </c>
      <c r="I162" s="9" t="n">
        <f aca="false">(I157*Assumptions!$C$66)</f>
        <v>20.915490607849</v>
      </c>
      <c r="J162" s="9" t="n">
        <f aca="false">(J157*Assumptions!$C$66)</f>
        <v>45.0705420266973</v>
      </c>
      <c r="K162" s="9" t="n">
        <f aca="false">(K157*Assumptions!$C$66)</f>
        <v>52.5942125064535</v>
      </c>
      <c r="L162" s="9" t="n">
        <f aca="false">(L157*Assumptions!$C$66)</f>
        <v>55.5772436833298</v>
      </c>
      <c r="M162" s="9" t="n">
        <f aca="false">(M157*Assumptions!$C$66)</f>
        <v>53.114320978129</v>
      </c>
      <c r="N162" s="9" t="n">
        <f aca="false">(N157*Assumptions!$C$66)</f>
        <v>60.8243148277588</v>
      </c>
      <c r="O162" s="9" t="n">
        <f aca="false">(O157*Assumptions!$C$66)</f>
        <v>109.646992020949</v>
      </c>
      <c r="P162" s="9" t="n">
        <f aca="false">(P157*Assumptions!$C$66)</f>
        <v>126.988390302057</v>
      </c>
      <c r="Q162" s="9" t="n">
        <f aca="false">(Q157*Assumptions!$C$66)</f>
        <v>182.808976918931</v>
      </c>
      <c r="R162" s="9" t="n">
        <f aca="false">(R157*Assumptions!$C$66)</f>
        <v>212.137157063812</v>
      </c>
      <c r="S162" s="9" t="n">
        <f aca="false">(S157*Assumptions!$C$66)</f>
        <v>224.699932139144</v>
      </c>
      <c r="T162" s="9" t="n">
        <f aca="false">(T157*Assumptions!$C$66)</f>
        <v>233.155878707629</v>
      </c>
      <c r="U162" s="9" t="n">
        <f aca="false">(U157*Assumptions!$C$66)</f>
        <v>254.68109211943</v>
      </c>
      <c r="V162" s="9" t="n">
        <f aca="false">(V157*Assumptions!$C$66)</f>
        <v>308.918178545597</v>
      </c>
      <c r="W162" s="9" t="n">
        <f aca="false">(W157*Assumptions!$C$66)</f>
        <v>361.584232944936</v>
      </c>
      <c r="X162" s="9" t="n">
        <f aca="false">(X157*Assumptions!$C$66)</f>
        <v>399.679457412038</v>
      </c>
      <c r="Y162" s="9" t="n">
        <f aca="false">(Y157*Assumptions!$C$66)</f>
        <v>434.876834328605</v>
      </c>
      <c r="Z162" s="9" t="n">
        <f aca="false">(Z157*Assumptions!$C$66)</f>
        <v>436.143129352583</v>
      </c>
      <c r="AA162" s="9" t="n">
        <f aca="false">(AA157*Assumptions!$C$66)</f>
        <v>494.439306627489</v>
      </c>
      <c r="AB162" s="9" t="n">
        <f aca="false">(AB157*Assumptions!$C$66)</f>
        <v>596.473223742565</v>
      </c>
      <c r="AC162" s="9" t="n">
        <f aca="false">(AC157*Assumptions!$C$66)</f>
        <v>607.85011152179</v>
      </c>
      <c r="AD162" s="9" t="n">
        <f aca="false">(AD157*Assumptions!$C$66)</f>
        <v>639.019089787768</v>
      </c>
      <c r="AE162" s="9" t="n">
        <f aca="false">(AE157*Assumptions!$C$66)</f>
        <v>746.977517194955</v>
      </c>
      <c r="AF162" s="9" t="n">
        <f aca="false">(AF157*Assumptions!$C$66)</f>
        <v>805.2346111212</v>
      </c>
      <c r="AG162" s="9" t="n">
        <f aca="false">(AG157*Assumptions!$C$66)</f>
        <v>829.665941895422</v>
      </c>
      <c r="AH162" s="9" t="n">
        <f aca="false">(AH157*Assumptions!$C$66)</f>
        <v>998.506603690359</v>
      </c>
      <c r="AI162" s="9" t="n">
        <f aca="false">(AI157*Assumptions!$C$66)</f>
        <v>1060.06659667637</v>
      </c>
      <c r="AJ162" s="9" t="n">
        <f aca="false">(AJ157*Assumptions!$C$66)</f>
        <v>1081.73162712058</v>
      </c>
      <c r="AK162" s="9" t="n">
        <f aca="false">(AK157*Assumptions!$C$66)</f>
        <v>1283.42324085788</v>
      </c>
      <c r="AL162" s="9" t="n">
        <f aca="false">(AL157*Assumptions!$C$66)</f>
        <v>1457.23251669325</v>
      </c>
      <c r="AN162" s="11" t="n">
        <f aca="false">SUM(C162:N162)</f>
        <v>362.688823866185</v>
      </c>
      <c r="AO162" s="11" t="n">
        <f aca="false">SUM(O162:Z162)</f>
        <v>3285.32025185571</v>
      </c>
      <c r="AP162" s="11" t="n">
        <f aca="false">SUM(AA162:AL162)</f>
        <v>10600.6203869296</v>
      </c>
    </row>
    <row r="163" customFormat="false" ht="15" hidden="false" customHeight="false" outlineLevel="0" collapsed="false">
      <c r="A163" s="0" t="s">
        <v>363</v>
      </c>
      <c r="B163" s="0" t="s">
        <v>230</v>
      </c>
      <c r="C163" s="9" t="n">
        <f aca="false">(C157*Assumptions!$C$67)</f>
        <v>2.34</v>
      </c>
      <c r="D163" s="9" t="n">
        <f aca="false">(D157*Assumptions!$C$67)</f>
        <v>4.158</v>
      </c>
      <c r="E163" s="9" t="n">
        <f aca="false">(E157*Assumptions!$C$67)</f>
        <v>5.479272</v>
      </c>
      <c r="F163" s="9" t="n">
        <f aca="false">(F157*Assumptions!$C$67)</f>
        <v>6.5368224</v>
      </c>
      <c r="G163" s="9" t="n">
        <f aca="false">(G157*Assumptions!$C$67)</f>
        <v>9.2158788288</v>
      </c>
      <c r="H163" s="9" t="n">
        <f aca="false">(H157*Assumptions!$C$67)</f>
        <v>9.566376389184</v>
      </c>
      <c r="I163" s="9" t="n">
        <f aca="false">(I157*Assumptions!$C$67)</f>
        <v>10.4577453039245</v>
      </c>
      <c r="J163" s="9" t="n">
        <f aca="false">(J157*Assumptions!$C$67)</f>
        <v>22.5352710133487</v>
      </c>
      <c r="K163" s="9" t="n">
        <f aca="false">(K157*Assumptions!$C$67)</f>
        <v>26.2971062532267</v>
      </c>
      <c r="L163" s="9" t="n">
        <f aca="false">(L157*Assumptions!$C$67)</f>
        <v>27.7886218416649</v>
      </c>
      <c r="M163" s="9" t="n">
        <f aca="false">(M157*Assumptions!$C$67)</f>
        <v>26.5571604890645</v>
      </c>
      <c r="N163" s="9" t="n">
        <f aca="false">(N157*Assumptions!$C$67)</f>
        <v>30.4121574138794</v>
      </c>
      <c r="O163" s="9" t="n">
        <f aca="false">(O157*Assumptions!$C$67)</f>
        <v>54.8234960104743</v>
      </c>
      <c r="P163" s="9" t="n">
        <f aca="false">(P157*Assumptions!$C$67)</f>
        <v>63.4941951510284</v>
      </c>
      <c r="Q163" s="9" t="n">
        <f aca="false">(Q157*Assumptions!$C$67)</f>
        <v>91.4044884594657</v>
      </c>
      <c r="R163" s="9" t="n">
        <f aca="false">(R157*Assumptions!$C$67)</f>
        <v>106.068578531906</v>
      </c>
      <c r="S163" s="9" t="n">
        <f aca="false">(S157*Assumptions!$C$67)</f>
        <v>112.349966069572</v>
      </c>
      <c r="T163" s="9" t="n">
        <f aca="false">(T157*Assumptions!$C$67)</f>
        <v>116.577939353815</v>
      </c>
      <c r="U163" s="9" t="n">
        <f aca="false">(U157*Assumptions!$C$67)</f>
        <v>127.340546059715</v>
      </c>
      <c r="V163" s="9" t="n">
        <f aca="false">(V157*Assumptions!$C$67)</f>
        <v>154.459089272799</v>
      </c>
      <c r="W163" s="9" t="n">
        <f aca="false">(W157*Assumptions!$C$67)</f>
        <v>180.792116472468</v>
      </c>
      <c r="X163" s="9" t="n">
        <f aca="false">(X157*Assumptions!$C$67)</f>
        <v>199.839728706019</v>
      </c>
      <c r="Y163" s="9" t="n">
        <f aca="false">(Y157*Assumptions!$C$67)</f>
        <v>217.438417164303</v>
      </c>
      <c r="Z163" s="9" t="n">
        <f aca="false">(Z157*Assumptions!$C$67)</f>
        <v>218.071564676291</v>
      </c>
      <c r="AA163" s="9" t="n">
        <f aca="false">(AA157*Assumptions!$C$67)</f>
        <v>247.219653313745</v>
      </c>
      <c r="AB163" s="9" t="n">
        <f aca="false">(AB157*Assumptions!$C$67)</f>
        <v>298.236611871283</v>
      </c>
      <c r="AC163" s="9" t="n">
        <f aca="false">(AC157*Assumptions!$C$67)</f>
        <v>303.925055760895</v>
      </c>
      <c r="AD163" s="9" t="n">
        <f aca="false">(AD157*Assumptions!$C$67)</f>
        <v>319.509544893884</v>
      </c>
      <c r="AE163" s="9" t="n">
        <f aca="false">(AE157*Assumptions!$C$67)</f>
        <v>373.488758597478</v>
      </c>
      <c r="AF163" s="9" t="n">
        <f aca="false">(AF157*Assumptions!$C$67)</f>
        <v>402.6173055606</v>
      </c>
      <c r="AG163" s="9" t="n">
        <f aca="false">(AG157*Assumptions!$C$67)</f>
        <v>414.832970947711</v>
      </c>
      <c r="AH163" s="9" t="n">
        <f aca="false">(AH157*Assumptions!$C$67)</f>
        <v>499.253301845179</v>
      </c>
      <c r="AI163" s="9" t="n">
        <f aca="false">(AI157*Assumptions!$C$67)</f>
        <v>530.033298338185</v>
      </c>
      <c r="AJ163" s="9" t="n">
        <f aca="false">(AJ157*Assumptions!$C$67)</f>
        <v>540.865813560291</v>
      </c>
      <c r="AK163" s="9" t="n">
        <f aca="false">(AK157*Assumptions!$C$67)</f>
        <v>641.711620428938</v>
      </c>
      <c r="AL163" s="9" t="n">
        <f aca="false">(AL157*Assumptions!$C$67)</f>
        <v>728.616258346625</v>
      </c>
      <c r="AN163" s="11" t="n">
        <f aca="false">SUM(C163:N163)</f>
        <v>181.344411933093</v>
      </c>
      <c r="AO163" s="11" t="n">
        <f aca="false">SUM(O163:Z163)</f>
        <v>1642.66012592786</v>
      </c>
      <c r="AP163" s="11" t="n">
        <f aca="false">SUM(AA163:AL163)</f>
        <v>5300.31019346481</v>
      </c>
    </row>
    <row r="164" customFormat="false" ht="15" hidden="false" customHeight="false" outlineLevel="0" collapsed="false">
      <c r="A164" s="0" t="s">
        <v>966</v>
      </c>
      <c r="B164" s="0" t="s">
        <v>230</v>
      </c>
      <c r="C164" s="9" t="n">
        <f aca="false">Assumptions!$C$135</f>
        <v>4000</v>
      </c>
      <c r="D164" s="9" t="n">
        <f aca="false">Assumptions!$C$135</f>
        <v>4000</v>
      </c>
      <c r="E164" s="9" t="n">
        <f aca="false">Assumptions!$C$135</f>
        <v>4000</v>
      </c>
      <c r="F164" s="9" t="n">
        <f aca="false">Assumptions!$C$135</f>
        <v>4000</v>
      </c>
      <c r="G164" s="9" t="n">
        <f aca="false">Assumptions!$C$135</f>
        <v>4000</v>
      </c>
      <c r="H164" s="9" t="n">
        <f aca="false">Assumptions!$C$135</f>
        <v>4000</v>
      </c>
      <c r="I164" s="9" t="n">
        <f aca="false">Assumptions!$C$135</f>
        <v>4000</v>
      </c>
      <c r="J164" s="9" t="n">
        <f aca="false">Assumptions!$C$135</f>
        <v>4000</v>
      </c>
      <c r="K164" s="9" t="n">
        <f aca="false">Assumptions!$C$135</f>
        <v>4000</v>
      </c>
      <c r="L164" s="9" t="n">
        <f aca="false">Assumptions!$C$135</f>
        <v>4000</v>
      </c>
      <c r="M164" s="9" t="n">
        <f aca="false">Assumptions!$C$135</f>
        <v>4000</v>
      </c>
      <c r="N164" s="9" t="n">
        <f aca="false">Assumptions!$C$135</f>
        <v>4000</v>
      </c>
      <c r="O164" s="9" t="n">
        <f aca="false">Assumptions!$D$135</f>
        <v>9000</v>
      </c>
      <c r="P164" s="9" t="n">
        <f aca="false">Assumptions!$D$135</f>
        <v>9000</v>
      </c>
      <c r="Q164" s="9" t="n">
        <f aca="false">Assumptions!$D$135</f>
        <v>9000</v>
      </c>
      <c r="R164" s="9" t="n">
        <f aca="false">Assumptions!$D$135</f>
        <v>9000</v>
      </c>
      <c r="S164" s="9" t="n">
        <f aca="false">Assumptions!$D$135</f>
        <v>9000</v>
      </c>
      <c r="T164" s="9" t="n">
        <f aca="false">Assumptions!$D$135</f>
        <v>9000</v>
      </c>
      <c r="U164" s="9" t="n">
        <f aca="false">Assumptions!$D$135</f>
        <v>9000</v>
      </c>
      <c r="V164" s="9" t="n">
        <f aca="false">Assumptions!$D$135</f>
        <v>9000</v>
      </c>
      <c r="W164" s="9" t="n">
        <f aca="false">Assumptions!$D$135</f>
        <v>9000</v>
      </c>
      <c r="X164" s="9" t="n">
        <f aca="false">Assumptions!$D$135</f>
        <v>9000</v>
      </c>
      <c r="Y164" s="9" t="n">
        <f aca="false">Assumptions!$D$135</f>
        <v>9000</v>
      </c>
      <c r="Z164" s="9" t="n">
        <f aca="false">Assumptions!$D$135</f>
        <v>9000</v>
      </c>
      <c r="AA164" s="9" t="n">
        <f aca="false">Assumptions!$E$135</f>
        <v>16000</v>
      </c>
      <c r="AB164" s="9" t="n">
        <f aca="false">Assumptions!$E$135</f>
        <v>16000</v>
      </c>
      <c r="AC164" s="9" t="n">
        <f aca="false">Assumptions!$E$135</f>
        <v>16000</v>
      </c>
      <c r="AD164" s="9" t="n">
        <f aca="false">Assumptions!$E$135</f>
        <v>16000</v>
      </c>
      <c r="AE164" s="9" t="n">
        <f aca="false">Assumptions!$E$135</f>
        <v>16000</v>
      </c>
      <c r="AF164" s="9" t="n">
        <f aca="false">Assumptions!$E$135</f>
        <v>16000</v>
      </c>
      <c r="AG164" s="9" t="n">
        <f aca="false">Assumptions!$E$135</f>
        <v>16000</v>
      </c>
      <c r="AH164" s="9" t="n">
        <f aca="false">Assumptions!$E$135</f>
        <v>16000</v>
      </c>
      <c r="AI164" s="9" t="n">
        <f aca="false">Assumptions!$E$135</f>
        <v>16000</v>
      </c>
      <c r="AJ164" s="9" t="n">
        <f aca="false">Assumptions!$E$135</f>
        <v>16000</v>
      </c>
      <c r="AK164" s="9" t="n">
        <f aca="false">Assumptions!$E$135</f>
        <v>16000</v>
      </c>
      <c r="AL164" s="9" t="n">
        <f aca="false">Assumptions!$E$135</f>
        <v>16000</v>
      </c>
      <c r="AN164" s="11" t="n">
        <f aca="false">SUM(C164:N164)</f>
        <v>48000</v>
      </c>
      <c r="AO164" s="11" t="n">
        <f aca="false">SUM(O164:Z164)</f>
        <v>108000</v>
      </c>
      <c r="AP164" s="11" t="n">
        <f aca="false">SUM(AA164:AL164)</f>
        <v>192000</v>
      </c>
    </row>
    <row r="165" customFormat="false" ht="15" hidden="false" customHeight="false" outlineLevel="0" collapsed="false">
      <c r="A165" s="0" t="s">
        <v>967</v>
      </c>
      <c r="B165" s="0" t="s">
        <v>230</v>
      </c>
      <c r="C165" s="9" t="n">
        <f aca="false">(((Assumptions!$C$184*$C$12)*$C$13)*(((C29*Assumptions!$C$85)+(C39*Assumptions!$C$86))+(C126*Assumptions!$C$87)))</f>
        <v>33.7515984</v>
      </c>
      <c r="D165" s="9" t="n">
        <f aca="false">(((Assumptions!$C$184*$C$12)*$C$13)*(((D29*Assumptions!$C$85)+(D39*Assumptions!$C$86))+(D126*Assumptions!$C$87)))</f>
        <v>59.97399408</v>
      </c>
      <c r="E165" s="9" t="n">
        <f aca="false">(((Assumptions!$C$184*$C$12)*$C$13)*(((E29*Assumptions!$C$85)+(E39*Assumptions!$C$86))+(E126*Assumptions!$C$87)))</f>
        <v>79.03170430272</v>
      </c>
      <c r="F165" s="9" t="n">
        <f aca="false">(((Assumptions!$C$184*$C$12)*$C$13)*(((F29*Assumptions!$C$85)+(F39*Assumptions!$C$86))+(F126*Assumptions!$C$87)))</f>
        <v>94.285557460224</v>
      </c>
      <c r="G165" s="9" t="n">
        <f aca="false">(((Assumptions!$C$184*$C$12)*$C$13)*(((G29*Assumptions!$C$85)+(G39*Assumptions!$C$86))+(G126*Assumptions!$C$87)))</f>
        <v>163.217520415692</v>
      </c>
      <c r="H165" s="9" t="n">
        <f aca="false">(((Assumptions!$C$184*$C$12)*$C$13)*(((H29*Assumptions!$C$85)+(H39*Assumptions!$C$86))+(H126*Assumptions!$C$87)))</f>
        <v>168.273013107257</v>
      </c>
      <c r="I165" s="9" t="n">
        <f aca="false">(((Assumptions!$C$184*$C$12)*$C$13)*(((I29*Assumptions!$C$85)+(I39*Assumptions!$C$86))+(I126*Assumptions!$C$87)))</f>
        <v>181.129904404934</v>
      </c>
      <c r="J165" s="9" t="n">
        <f aca="false">(((Assumptions!$C$184*$C$12)*$C$13)*(((J29*Assumptions!$C$85)+(J39*Assumptions!$C$86))+(J126*Assumptions!$C$87)))</f>
        <v>481.541136631498</v>
      </c>
      <c r="K165" s="9" t="n">
        <f aca="false">(((Assumptions!$C$184*$C$12)*$C$13)*(((K29*Assumptions!$C$85)+(K39*Assumptions!$C$86))+(K126*Assumptions!$C$87)))</f>
        <v>535.800945291042</v>
      </c>
      <c r="L165" s="9" t="n">
        <f aca="false">(((Assumptions!$C$184*$C$12)*$C$13)*(((L29*Assumptions!$C$85)+(L39*Assumptions!$C$86))+(L126*Assumptions!$C$87)))</f>
        <v>557.314208174932</v>
      </c>
      <c r="M165" s="9" t="n">
        <f aca="false">(((Assumptions!$C$184*$C$12)*$C$13)*(((M29*Assumptions!$C$85)+(M39*Assumptions!$C$86))+(M126*Assumptions!$C$87)))</f>
        <v>509.262009175749</v>
      </c>
      <c r="N165" s="9" t="n">
        <f aca="false">(((Assumptions!$C$184*$C$12)*$C$13)*(((N29*Assumptions!$C$85)+(N39*Assumptions!$C$86))+(N126*Assumptions!$C$87)))</f>
        <v>616.791095620017</v>
      </c>
      <c r="O165" s="9" t="n">
        <f aca="false">(((Assumptions!$C$184*$C$12)*$C$13)*(((O29*Assumptions!$C$85)+(O39*Assumptions!$C$86))+(O126*Assumptions!$C$87)))</f>
        <v>1001.46386777271</v>
      </c>
      <c r="P165" s="9" t="n">
        <f aca="false">(((Assumptions!$C$184*$C$12)*$C$13)*(((P29*Assumptions!$C$85)+(P39*Assumptions!$C$86))+(P126*Assumptions!$C$87)))</f>
        <v>1005.34711774671</v>
      </c>
      <c r="Q165" s="9" t="n">
        <f aca="false">(((Assumptions!$C$184*$C$12)*$C$13)*(((Q29*Assumptions!$C$85)+(Q39*Assumptions!$C$86))+(Q126*Assumptions!$C$87)))</f>
        <v>1631.11175787697</v>
      </c>
      <c r="R165" s="9" t="n">
        <f aca="false">(((Assumptions!$C$184*$C$12)*$C$13)*(((R29*Assumptions!$C$85)+(R39*Assumptions!$C$86))+(R126*Assumptions!$C$87)))</f>
        <v>1913.2794463456</v>
      </c>
      <c r="S165" s="9" t="n">
        <f aca="false">(((Assumptions!$C$184*$C$12)*$C$13)*(((S29*Assumptions!$C$85)+(S39*Assumptions!$C$86))+(S126*Assumptions!$C$87)))</f>
        <v>2012.77442878327</v>
      </c>
      <c r="T165" s="9" t="n">
        <f aca="false">(((Assumptions!$C$184*$C$12)*$C$13)*(((T29*Assumptions!$C$85)+(T39*Assumptions!$C$86))+(T126*Assumptions!$C$87)))</f>
        <v>2083.90279000588</v>
      </c>
      <c r="U165" s="9" t="n">
        <f aca="false">(((Assumptions!$C$184*$C$12)*$C$13)*(((U29*Assumptions!$C$85)+(U39*Assumptions!$C$86))+(U126*Assumptions!$C$87)))</f>
        <v>2293.95748573309</v>
      </c>
      <c r="V165" s="9" t="n">
        <f aca="false">(((Assumptions!$C$184*$C$12)*$C$13)*(((V29*Assumptions!$C$85)+(V39*Assumptions!$C$86))+(V126*Assumptions!$C$87)))</f>
        <v>2739.45401400659</v>
      </c>
      <c r="W165" s="9" t="n">
        <f aca="false">(((Assumptions!$C$184*$C$12)*$C$13)*(((W29*Assumptions!$C$85)+(W39*Assumptions!$C$86))+(W126*Assumptions!$C$87)))</f>
        <v>3133.09058940571</v>
      </c>
      <c r="X165" s="9" t="n">
        <f aca="false">(((Assumptions!$C$184*$C$12)*$C$13)*(((X29*Assumptions!$C$85)+(X39*Assumptions!$C$86))+(X126*Assumptions!$C$87)))</f>
        <v>3548.77750973726</v>
      </c>
      <c r="Y165" s="9" t="n">
        <f aca="false">(((Assumptions!$C$184*$C$12)*$C$13)*(((Y29*Assumptions!$C$85)+(Y39*Assumptions!$C$86))+(Y126*Assumptions!$C$87)))</f>
        <v>3988.9930367019</v>
      </c>
      <c r="Z165" s="9" t="n">
        <f aca="false">(((Assumptions!$C$184*$C$12)*$C$13)*(((Z29*Assumptions!$C$85)+(Z39*Assumptions!$C$86))+(Z126*Assumptions!$C$87)))</f>
        <v>4001.99270060732</v>
      </c>
      <c r="AA165" s="9" t="n">
        <f aca="false">(((Assumptions!$C$184*$C$12)*$C$13)*(((AA29*Assumptions!$C$85)+(AA39*Assumptions!$C$86))+(AA126*Assumptions!$C$87)))</f>
        <v>4581.93449836872</v>
      </c>
      <c r="AB165" s="9" t="n">
        <f aca="false">(((Assumptions!$C$184*$C$12)*$C$13)*(((AB29*Assumptions!$C$85)+(AB39*Assumptions!$C$86))+(AB126*Assumptions!$C$87)))</f>
        <v>5883.01465337764</v>
      </c>
      <c r="AC165" s="9" t="n">
        <f aca="false">(((Assumptions!$C$184*$C$12)*$C$13)*(((AC29*Assumptions!$C$85)+(AC39*Assumptions!$C$86))+(AC126*Assumptions!$C$87)))</f>
        <v>5958.37310252574</v>
      </c>
      <c r="AD165" s="9" t="n">
        <f aca="false">(((Assumptions!$C$184*$C$12)*$C$13)*(((AD29*Assumptions!$C$85)+(AD39*Assumptions!$C$86))+(AD126*Assumptions!$C$87)))</f>
        <v>6359.02214393711</v>
      </c>
      <c r="AE165" s="9" t="n">
        <f aca="false">(((Assumptions!$C$184*$C$12)*$C$13)*(((AE29*Assumptions!$C$85)+(AE39*Assumptions!$C$86))+(AE126*Assumptions!$C$87)))</f>
        <v>7939.26868568648</v>
      </c>
      <c r="AF165" s="9" t="n">
        <f aca="false">(((Assumptions!$C$184*$C$12)*$C$13)*(((AF29*Assumptions!$C$85)+(AF39*Assumptions!$C$86))+(AF126*Assumptions!$C$87)))</f>
        <v>8832.22603651404</v>
      </c>
      <c r="AG165" s="9" t="n">
        <f aca="false">(((Assumptions!$C$184*$C$12)*$C$13)*(((AG29*Assumptions!$C$85)+(AG39*Assumptions!$C$86))+(AG126*Assumptions!$C$87)))</f>
        <v>9152.2024489403</v>
      </c>
      <c r="AH165" s="9" t="n">
        <f aca="false">(((Assumptions!$C$184*$C$12)*$C$13)*(((AH29*Assumptions!$C$85)+(AH39*Assumptions!$C$86))+(AH126*Assumptions!$C$87)))</f>
        <v>11207.7908720213</v>
      </c>
      <c r="AI165" s="9" t="n">
        <f aca="false">(((Assumptions!$C$184*$C$12)*$C$13)*(((AI29*Assumptions!$C$85)+(AI39*Assumptions!$C$86))+(AI126*Assumptions!$C$87)))</f>
        <v>11671.5335112989</v>
      </c>
      <c r="AJ165" s="9" t="n">
        <f aca="false">(((Assumptions!$C$184*$C$12)*$C$13)*(((AJ29*Assumptions!$C$85)+(AJ39*Assumptions!$C$86))+(AJ126*Assumptions!$C$87)))</f>
        <v>11880.5402782703</v>
      </c>
      <c r="AK165" s="9" t="n">
        <f aca="false">(((Assumptions!$C$184*$C$12)*$C$13)*(((AK29*Assumptions!$C$85)+(AK39*Assumptions!$C$86))+(AK126*Assumptions!$C$87)))</f>
        <v>14772.7291721945</v>
      </c>
      <c r="AL165" s="9" t="n">
        <f aca="false">(((Assumptions!$C$184*$C$12)*$C$13)*(((AL29*Assumptions!$C$85)+(AL39*Assumptions!$C$86))+(AL126*Assumptions!$C$87)))</f>
        <v>17342.0992815188</v>
      </c>
      <c r="AN165" s="11" t="n">
        <f aca="false">SUM(C165:N165)</f>
        <v>3480.37268706407</v>
      </c>
      <c r="AO165" s="11" t="n">
        <f aca="false">SUM(O165:Z165)</f>
        <v>29354.144744723</v>
      </c>
      <c r="AP165" s="11" t="n">
        <f aca="false">SUM(AA165:AL165)</f>
        <v>115580.734684654</v>
      </c>
    </row>
    <row r="166" customFormat="false" ht="15" hidden="false" customHeight="false" outlineLevel="0" collapsed="false">
      <c r="A166" s="0" t="s">
        <v>968</v>
      </c>
      <c r="B166" s="0" t="s">
        <v>230</v>
      </c>
      <c r="C166" s="9" t="n">
        <f aca="false">Assumptions!$C$136</f>
        <v>2000</v>
      </c>
      <c r="D166" s="9" t="n">
        <f aca="false">Assumptions!$C$136</f>
        <v>2000</v>
      </c>
      <c r="E166" s="9" t="n">
        <f aca="false">Assumptions!$C$136</f>
        <v>2000</v>
      </c>
      <c r="F166" s="9" t="n">
        <f aca="false">Assumptions!$C$136</f>
        <v>2000</v>
      </c>
      <c r="G166" s="9" t="n">
        <f aca="false">Assumptions!$C$136</f>
        <v>2000</v>
      </c>
      <c r="H166" s="9" t="n">
        <f aca="false">Assumptions!$C$136</f>
        <v>2000</v>
      </c>
      <c r="I166" s="9" t="n">
        <f aca="false">Assumptions!$C$136</f>
        <v>2000</v>
      </c>
      <c r="J166" s="9" t="n">
        <f aca="false">Assumptions!$C$136</f>
        <v>2000</v>
      </c>
      <c r="K166" s="9" t="n">
        <f aca="false">Assumptions!$C$136</f>
        <v>2000</v>
      </c>
      <c r="L166" s="9" t="n">
        <f aca="false">Assumptions!$C$136</f>
        <v>2000</v>
      </c>
      <c r="M166" s="9" t="n">
        <f aca="false">Assumptions!$C$136</f>
        <v>2000</v>
      </c>
      <c r="N166" s="9" t="n">
        <f aca="false">Assumptions!$C$136</f>
        <v>2000</v>
      </c>
      <c r="O166" s="9" t="n">
        <f aca="false">Assumptions!$D$136</f>
        <v>3000</v>
      </c>
      <c r="P166" s="9" t="n">
        <f aca="false">Assumptions!$D$136</f>
        <v>3000</v>
      </c>
      <c r="Q166" s="9" t="n">
        <f aca="false">Assumptions!$D$136</f>
        <v>3000</v>
      </c>
      <c r="R166" s="9" t="n">
        <f aca="false">Assumptions!$D$136</f>
        <v>3000</v>
      </c>
      <c r="S166" s="9" t="n">
        <f aca="false">Assumptions!$D$136</f>
        <v>3000</v>
      </c>
      <c r="T166" s="9" t="n">
        <f aca="false">Assumptions!$D$136</f>
        <v>3000</v>
      </c>
      <c r="U166" s="9" t="n">
        <f aca="false">Assumptions!$D$136</f>
        <v>3000</v>
      </c>
      <c r="V166" s="9" t="n">
        <f aca="false">Assumptions!$D$136</f>
        <v>3000</v>
      </c>
      <c r="W166" s="9" t="n">
        <f aca="false">Assumptions!$D$136</f>
        <v>3000</v>
      </c>
      <c r="X166" s="9" t="n">
        <f aca="false">Assumptions!$D$136</f>
        <v>3000</v>
      </c>
      <c r="Y166" s="9" t="n">
        <f aca="false">Assumptions!$D$136</f>
        <v>3000</v>
      </c>
      <c r="Z166" s="9" t="n">
        <f aca="false">Assumptions!$D$136</f>
        <v>3000</v>
      </c>
      <c r="AA166" s="9" t="n">
        <f aca="false">Assumptions!$E$136</f>
        <v>5000</v>
      </c>
      <c r="AB166" s="9" t="n">
        <f aca="false">Assumptions!$E$136</f>
        <v>5000</v>
      </c>
      <c r="AC166" s="9" t="n">
        <f aca="false">Assumptions!$E$136</f>
        <v>5000</v>
      </c>
      <c r="AD166" s="9" t="n">
        <f aca="false">Assumptions!$E$136</f>
        <v>5000</v>
      </c>
      <c r="AE166" s="9" t="n">
        <f aca="false">Assumptions!$E$136</f>
        <v>5000</v>
      </c>
      <c r="AF166" s="9" t="n">
        <f aca="false">Assumptions!$E$136</f>
        <v>5000</v>
      </c>
      <c r="AG166" s="9" t="n">
        <f aca="false">Assumptions!$E$136</f>
        <v>5000</v>
      </c>
      <c r="AH166" s="9" t="n">
        <f aca="false">Assumptions!$E$136</f>
        <v>5000</v>
      </c>
      <c r="AI166" s="9" t="n">
        <f aca="false">Assumptions!$E$136</f>
        <v>5000</v>
      </c>
      <c r="AJ166" s="9" t="n">
        <f aca="false">Assumptions!$E$136</f>
        <v>5000</v>
      </c>
      <c r="AK166" s="9" t="n">
        <f aca="false">Assumptions!$E$136</f>
        <v>5000</v>
      </c>
      <c r="AL166" s="9" t="n">
        <f aca="false">Assumptions!$E$136</f>
        <v>5000</v>
      </c>
      <c r="AN166" s="11" t="n">
        <f aca="false">SUM(C166:N166)</f>
        <v>24000</v>
      </c>
      <c r="AO166" s="11" t="n">
        <f aca="false">SUM(O166:Z166)</f>
        <v>36000</v>
      </c>
      <c r="AP166" s="11" t="n">
        <f aca="false">SUM(AA166:AL166)</f>
        <v>60000</v>
      </c>
    </row>
    <row r="167" customFormat="false" ht="15" hidden="false" customHeight="false" outlineLevel="0" collapsed="false">
      <c r="A167" s="0" t="s">
        <v>969</v>
      </c>
      <c r="B167" s="0" t="s">
        <v>230</v>
      </c>
      <c r="C167" s="9" t="n">
        <f aca="false">(C165+C166)</f>
        <v>2033.7515984</v>
      </c>
      <c r="D167" s="9" t="n">
        <f aca="false">(D165+D166)</f>
        <v>2059.97399408</v>
      </c>
      <c r="E167" s="9" t="n">
        <f aca="false">(E165+E166)</f>
        <v>2079.03170430272</v>
      </c>
      <c r="F167" s="9" t="n">
        <f aca="false">(F165+F166)</f>
        <v>2094.28555746022</v>
      </c>
      <c r="G167" s="9" t="n">
        <f aca="false">(G165+G166)</f>
        <v>2163.21752041569</v>
      </c>
      <c r="H167" s="9" t="n">
        <f aca="false">(H165+H166)</f>
        <v>2168.27301310726</v>
      </c>
      <c r="I167" s="9" t="n">
        <f aca="false">(I165+I166)</f>
        <v>2181.12990440493</v>
      </c>
      <c r="J167" s="9" t="n">
        <f aca="false">(J165+J166)</f>
        <v>2481.5411366315</v>
      </c>
      <c r="K167" s="9" t="n">
        <f aca="false">(K165+K166)</f>
        <v>2535.80094529104</v>
      </c>
      <c r="L167" s="9" t="n">
        <f aca="false">(L165+L166)</f>
        <v>2557.31420817493</v>
      </c>
      <c r="M167" s="9" t="n">
        <f aca="false">(M165+M166)</f>
        <v>2509.26200917575</v>
      </c>
      <c r="N167" s="9" t="n">
        <f aca="false">(N165+N166)</f>
        <v>2616.79109562002</v>
      </c>
      <c r="O167" s="9" t="n">
        <f aca="false">(O165+O166)</f>
        <v>4001.46386777271</v>
      </c>
      <c r="P167" s="9" t="n">
        <f aca="false">(P165+P166)</f>
        <v>4005.34711774671</v>
      </c>
      <c r="Q167" s="9" t="n">
        <f aca="false">(Q165+Q166)</f>
        <v>4631.11175787697</v>
      </c>
      <c r="R167" s="9" t="n">
        <f aca="false">(R165+R166)</f>
        <v>4913.2794463456</v>
      </c>
      <c r="S167" s="9" t="n">
        <f aca="false">(S165+S166)</f>
        <v>5012.77442878327</v>
      </c>
      <c r="T167" s="9" t="n">
        <f aca="false">(T165+T166)</f>
        <v>5083.90279000588</v>
      </c>
      <c r="U167" s="9" t="n">
        <f aca="false">(U165+U166)</f>
        <v>5293.95748573309</v>
      </c>
      <c r="V167" s="9" t="n">
        <f aca="false">(V165+V166)</f>
        <v>5739.45401400659</v>
      </c>
      <c r="W167" s="9" t="n">
        <f aca="false">(W165+W166)</f>
        <v>6133.09058940571</v>
      </c>
      <c r="X167" s="9" t="n">
        <f aca="false">(X165+X166)</f>
        <v>6548.77750973726</v>
      </c>
      <c r="Y167" s="9" t="n">
        <f aca="false">(Y165+Y166)</f>
        <v>6988.9930367019</v>
      </c>
      <c r="Z167" s="9" t="n">
        <f aca="false">(Z165+Z166)</f>
        <v>7001.99270060732</v>
      </c>
      <c r="AA167" s="9" t="n">
        <f aca="false">(AA165+AA166)</f>
        <v>9581.93449836872</v>
      </c>
      <c r="AB167" s="9" t="n">
        <f aca="false">(AB165+AB166)</f>
        <v>10883.0146533776</v>
      </c>
      <c r="AC167" s="9" t="n">
        <f aca="false">(AC165+AC166)</f>
        <v>10958.3731025257</v>
      </c>
      <c r="AD167" s="9" t="n">
        <f aca="false">(AD165+AD166)</f>
        <v>11359.0221439371</v>
      </c>
      <c r="AE167" s="9" t="n">
        <f aca="false">(AE165+AE166)</f>
        <v>12939.2686856865</v>
      </c>
      <c r="AF167" s="9" t="n">
        <f aca="false">(AF165+AF166)</f>
        <v>13832.226036514</v>
      </c>
      <c r="AG167" s="9" t="n">
        <f aca="false">(AG165+AG166)</f>
        <v>14152.2024489403</v>
      </c>
      <c r="AH167" s="9" t="n">
        <f aca="false">(AH165+AH166)</f>
        <v>16207.7908720213</v>
      </c>
      <c r="AI167" s="9" t="n">
        <f aca="false">(AI165+AI166)</f>
        <v>16671.5335112989</v>
      </c>
      <c r="AJ167" s="9" t="n">
        <f aca="false">(AJ165+AJ166)</f>
        <v>16880.5402782703</v>
      </c>
      <c r="AK167" s="9" t="n">
        <f aca="false">(AK165+AK166)</f>
        <v>19772.7291721945</v>
      </c>
      <c r="AL167" s="9" t="n">
        <f aca="false">(AL165+AL166)</f>
        <v>22342.0992815188</v>
      </c>
      <c r="AN167" s="11" t="n">
        <f aca="false">SUM(C167:N167)</f>
        <v>27480.3726870641</v>
      </c>
      <c r="AO167" s="11" t="n">
        <f aca="false">SUM(O167:Z167)</f>
        <v>65354.144744723</v>
      </c>
      <c r="AP167" s="11" t="n">
        <f aca="false">SUM(AA167:AL167)</f>
        <v>175580.734684654</v>
      </c>
    </row>
    <row r="168" customFormat="false" ht="15" hidden="false" customHeight="false" outlineLevel="0" collapsed="false">
      <c r="A168" s="0" t="s">
        <v>970</v>
      </c>
      <c r="B168" s="0" t="s">
        <v>230</v>
      </c>
      <c r="C168" s="9" t="n">
        <f aca="false">((C122+C123)*((Assumptions!$C$90*Assumptions!$C$89)+Assumptions!$C$91))</f>
        <v>0</v>
      </c>
      <c r="D168" s="9" t="n">
        <f aca="false">((D122+D123)*((Assumptions!$C$90*Assumptions!$C$89)+Assumptions!$C$91))</f>
        <v>0</v>
      </c>
      <c r="E168" s="9" t="n">
        <f aca="false">((E122+E123)*((Assumptions!$C$90*Assumptions!$C$89)+Assumptions!$C$91))</f>
        <v>0</v>
      </c>
      <c r="F168" s="9" t="n">
        <f aca="false">((F122+F123)*((Assumptions!$C$90*Assumptions!$C$89)+Assumptions!$C$91))</f>
        <v>0</v>
      </c>
      <c r="G168" s="9" t="n">
        <f aca="false">((G122+G123)*((Assumptions!$C$90*Assumptions!$C$89)+Assumptions!$C$91))</f>
        <v>305</v>
      </c>
      <c r="H168" s="9" t="n">
        <f aca="false">((H122+H123)*((Assumptions!$C$90*Assumptions!$C$89)+Assumptions!$C$91))</f>
        <v>305</v>
      </c>
      <c r="I168" s="9" t="n">
        <f aca="false">((I122+I123)*((Assumptions!$C$90*Assumptions!$C$89)+Assumptions!$C$91))</f>
        <v>305</v>
      </c>
      <c r="J168" s="9" t="n">
        <f aca="false">((J122+J123)*((Assumptions!$C$90*Assumptions!$C$89)+Assumptions!$C$91))</f>
        <v>610</v>
      </c>
      <c r="K168" s="9" t="n">
        <f aca="false">((K122+K123)*((Assumptions!$C$90*Assumptions!$C$89)+Assumptions!$C$91))</f>
        <v>610</v>
      </c>
      <c r="L168" s="9" t="n">
        <f aca="false">((L122+L123)*((Assumptions!$C$90*Assumptions!$C$89)+Assumptions!$C$91))</f>
        <v>610</v>
      </c>
      <c r="M168" s="9" t="n">
        <f aca="false">((M122+M123)*((Assumptions!$C$90*Assumptions!$C$89)+Assumptions!$C$91))</f>
        <v>305</v>
      </c>
      <c r="N168" s="9" t="n">
        <f aca="false">((N122+N123)*((Assumptions!$C$90*Assumptions!$C$89)+Assumptions!$C$91))</f>
        <v>488</v>
      </c>
      <c r="O168" s="9" t="n">
        <f aca="false">((O122+O123)*((Assumptions!$C$90*Assumptions!$C$89)+Assumptions!$C$91))</f>
        <v>793</v>
      </c>
      <c r="P168" s="9" t="n">
        <f aca="false">((P122+P123)*((Assumptions!$C$90*Assumptions!$C$89)+Assumptions!$C$91))</f>
        <v>488</v>
      </c>
      <c r="Q168" s="9" t="n">
        <f aca="false">((Q122+Q123)*((Assumptions!$C$90*Assumptions!$C$89)+Assumptions!$C$91))</f>
        <v>671</v>
      </c>
      <c r="R168" s="9" t="n">
        <f aca="false">((R122+R123)*((Assumptions!$C$90*Assumptions!$C$89)+Assumptions!$C$91))</f>
        <v>915</v>
      </c>
      <c r="S168" s="9" t="n">
        <f aca="false">((S122+S123)*((Assumptions!$C$90*Assumptions!$C$89)+Assumptions!$C$91))</f>
        <v>915</v>
      </c>
      <c r="T168" s="9" t="n">
        <f aca="false">((T122+T123)*((Assumptions!$C$90*Assumptions!$C$89)+Assumptions!$C$91))</f>
        <v>915</v>
      </c>
      <c r="U168" s="9" t="n">
        <f aca="false">((U122+U123)*((Assumptions!$C$90*Assumptions!$C$89)+Assumptions!$C$91))</f>
        <v>976</v>
      </c>
      <c r="V168" s="9" t="n">
        <f aca="false">((V122+V123)*((Assumptions!$C$90*Assumptions!$C$89)+Assumptions!$C$91))</f>
        <v>1128.5</v>
      </c>
      <c r="W168" s="9" t="n">
        <f aca="false">((W122+W123)*((Assumptions!$C$90*Assumptions!$C$89)+Assumptions!$C$91))</f>
        <v>1128.5</v>
      </c>
      <c r="X168" s="9" t="n">
        <f aca="false">((X122+X123)*((Assumptions!$C$90*Assumptions!$C$89)+Assumptions!$C$91))</f>
        <v>1799.5</v>
      </c>
      <c r="Y168" s="9" t="n">
        <f aca="false">((Y122+Y123)*((Assumptions!$C$90*Assumptions!$C$89)+Assumptions!$C$91))</f>
        <v>2220.4</v>
      </c>
      <c r="Z168" s="9" t="n">
        <f aca="false">((Z122+Z123)*((Assumptions!$C$90*Assumptions!$C$89)+Assumptions!$C$91))</f>
        <v>2170.99</v>
      </c>
      <c r="AA168" s="9" t="n">
        <f aca="false">((AA122+AA123)*((Assumptions!$C$90*Assumptions!$C$89)+Assumptions!$C$91))</f>
        <v>3024.99</v>
      </c>
      <c r="AB168" s="9" t="n">
        <f aca="false">((AB122+AB123)*((Assumptions!$C$90*Assumptions!$C$89)+Assumptions!$C$91))</f>
        <v>3811.89</v>
      </c>
      <c r="AC168" s="9" t="n">
        <f aca="false">((AC122+AC123)*((Assumptions!$C$90*Assumptions!$C$89)+Assumptions!$C$91))</f>
        <v>3789.93</v>
      </c>
      <c r="AD168" s="9" t="n">
        <f aca="false">((AD122+AD123)*((Assumptions!$C$90*Assumptions!$C$89)+Assumptions!$C$91))</f>
        <v>4399.93</v>
      </c>
      <c r="AE168" s="9" t="n">
        <f aca="false">((AE122+AE123)*((Assumptions!$C$90*Assumptions!$C$89)+Assumptions!$C$91))</f>
        <v>5757.18</v>
      </c>
      <c r="AF168" s="9" t="n">
        <f aca="false">((AF122+AF123)*((Assumptions!$C$90*Assumptions!$C$89)+Assumptions!$C$91))</f>
        <v>6062.18</v>
      </c>
      <c r="AG168" s="9" t="n">
        <f aca="false">((AG122+AG123)*((Assumptions!$C$90*Assumptions!$C$89)+Assumptions!$C$91))</f>
        <v>6367.18</v>
      </c>
      <c r="AH168" s="9" t="n">
        <f aca="false">((AH122+AH123)*((Assumptions!$C$90*Assumptions!$C$89)+Assumptions!$C$91))</f>
        <v>7858.63</v>
      </c>
      <c r="AI168" s="9" t="n">
        <f aca="false">((AI122+AI123)*((Assumptions!$C$90*Assumptions!$C$89)+Assumptions!$C$91))</f>
        <v>7858.63</v>
      </c>
      <c r="AJ168" s="9" t="n">
        <f aca="false">((AJ122+AJ123)*((Assumptions!$C$90*Assumptions!$C$89)+Assumptions!$C$91))</f>
        <v>8163.63</v>
      </c>
      <c r="AK168" s="9" t="n">
        <f aca="false">((AK122+AK123)*((Assumptions!$C$90*Assumptions!$C$89)+Assumptions!$C$91))</f>
        <v>10370.122</v>
      </c>
      <c r="AL168" s="9" t="n">
        <f aca="false">((AL122+AL123)*((Assumptions!$C$90*Assumptions!$C$89)+Assumptions!$C$91))</f>
        <v>10659.0912</v>
      </c>
      <c r="AN168" s="11" t="n">
        <f aca="false">SUM(C168:N168)</f>
        <v>3538</v>
      </c>
      <c r="AO168" s="11" t="n">
        <f aca="false">SUM(O168:Z168)</f>
        <v>14120.89</v>
      </c>
      <c r="AP168" s="11" t="n">
        <f aca="false">SUM(AA168:AL168)</f>
        <v>78123.3832</v>
      </c>
    </row>
    <row r="169" customFormat="false" ht="15" hidden="false" customHeight="false" outlineLevel="0" collapsed="false">
      <c r="A169" s="0" t="s">
        <v>971</v>
      </c>
      <c r="B169" s="0" t="s">
        <v>421</v>
      </c>
      <c r="C169" s="9" t="n">
        <f aca="false">((((C29+C39)*Assumptions!$C$92)/100)+((C126*Assumptions!$C$93)/100))</f>
        <v>5.85</v>
      </c>
      <c r="D169" s="9" t="n">
        <f aca="false">((((D29+D39)*Assumptions!$C$92)/100)+((D126*Assumptions!$C$93)/100))</f>
        <v>10.395</v>
      </c>
      <c r="E169" s="9" t="n">
        <f aca="false">((((E29+E39)*Assumptions!$C$92)/100)+((E126*Assumptions!$C$93)/100))</f>
        <v>13.69818</v>
      </c>
      <c r="F169" s="9" t="n">
        <f aca="false">((((F29+F39)*Assumptions!$C$92)/100)+((F126*Assumptions!$C$93)/100))</f>
        <v>16.342056</v>
      </c>
      <c r="G169" s="9" t="n">
        <f aca="false">((((G29+G39)*Assumptions!$C$92)/100)+((G126*Assumptions!$C$93)/100))</f>
        <v>25.139697072</v>
      </c>
      <c r="H169" s="9" t="n">
        <f aca="false">((((H29+H39)*Assumptions!$C$92)/100)+((H126*Assumptions!$C$93)/100))</f>
        <v>26.01594097296</v>
      </c>
      <c r="I169" s="9" t="n">
        <f aca="false">((((I29+I39)*Assumptions!$C$92)/100)+((I126*Assumptions!$C$93)/100))</f>
        <v>28.2443632598112</v>
      </c>
      <c r="J169" s="9" t="n">
        <f aca="false">((((J29+J39)*Assumptions!$C$92)/100)+((J126*Assumptions!$C$93)/100))</f>
        <v>67.1881775333717</v>
      </c>
      <c r="K169" s="9" t="n">
        <f aca="false">((((K29+K39)*Assumptions!$C$92)/100)+((K126*Assumptions!$C$93)/100))</f>
        <v>76.5927656330669</v>
      </c>
      <c r="L169" s="9" t="n">
        <f aca="false">((((L29+L39)*Assumptions!$C$92)/100)+((L126*Assumptions!$C$93)/100))</f>
        <v>80.3215546041622</v>
      </c>
      <c r="M169" s="9" t="n">
        <f aca="false">((((M29+M39)*Assumptions!$C$92)/100)+((M126*Assumptions!$C$93)/100))</f>
        <v>75.1429012226613</v>
      </c>
      <c r="N169" s="9" t="n">
        <f aca="false">((((N29+N39)*Assumptions!$C$92)/100)+((N126*Assumptions!$C$93)/100))</f>
        <v>88.3803935346985</v>
      </c>
      <c r="O169" s="9" t="n">
        <f aca="false">((((O29+O39)*Assumptions!$C$92)/100)+((O126*Assumptions!$C$93)/100))</f>
        <v>151.508740026186</v>
      </c>
      <c r="P169" s="9" t="n">
        <f aca="false">((((P29+P39)*Assumptions!$C$92)/100)+((P126*Assumptions!$C$93)/100))</f>
        <v>164.435487877571</v>
      </c>
      <c r="Q169" s="9" t="n">
        <f aca="false">((((Q29+Q39)*Assumptions!$C$92)/100)+((Q126*Assumptions!$C$93)/100))</f>
        <v>249.211221148664</v>
      </c>
      <c r="R169" s="9" t="n">
        <f aca="false">((((R29+R39)*Assumptions!$C$92)/100)+((R126*Assumptions!$C$93)/100))</f>
        <v>290.211446329765</v>
      </c>
      <c r="S169" s="9" t="n">
        <f aca="false">((((S29+S39)*Assumptions!$C$92)/100)+((S126*Assumptions!$C$93)/100))</f>
        <v>305.91491517393</v>
      </c>
      <c r="T169" s="9" t="n">
        <f aca="false">((((T29+T39)*Assumptions!$C$92)/100)+((T126*Assumptions!$C$93)/100))</f>
        <v>316.484848384537</v>
      </c>
      <c r="U169" s="9" t="n">
        <f aca="false">((((U29+U39)*Assumptions!$C$92)/100)+((U126*Assumptions!$C$93)/100))</f>
        <v>346.471365149287</v>
      </c>
      <c r="V169" s="9" t="n">
        <f aca="false">((((V29+V39)*Assumptions!$C$92)/100)+((V126*Assumptions!$C$93)/100))</f>
        <v>417.267723181997</v>
      </c>
      <c r="W169" s="9" t="n">
        <f aca="false">((((W29+W39)*Assumptions!$C$92)/100)+((W126*Assumptions!$C$93)/100))</f>
        <v>483.10029118117</v>
      </c>
      <c r="X169" s="9" t="n">
        <f aca="false">((((X29+X39)*Assumptions!$C$92)/100)+((X126*Assumptions!$C$93)/100))</f>
        <v>539.329321765048</v>
      </c>
      <c r="Y169" s="9" t="n">
        <f aca="false">((((Y29+Y39)*Assumptions!$C$92)/100)+((Y126*Assumptions!$C$93)/100))</f>
        <v>595.026042910757</v>
      </c>
      <c r="Z169" s="9" t="n">
        <f aca="false">((((Z29+Z39)*Assumptions!$C$92)/100)+((Z126*Assumptions!$C$93)/100))</f>
        <v>595.636911690728</v>
      </c>
      <c r="AA169" s="9" t="n">
        <f aca="false">((((AA29+AA39)*Assumptions!$C$92)/100)+((AA126*Assumptions!$C$93)/100))</f>
        <v>678.377133284362</v>
      </c>
      <c r="AB169" s="9" t="n">
        <f aca="false">((((AB29+AB39)*Assumptions!$C$92)/100)+((AB126*Assumptions!$C$93)/100))</f>
        <v>843.819529678207</v>
      </c>
      <c r="AC169" s="9" t="n">
        <f aca="false">((((AC29+AC39)*Assumptions!$C$92)/100)+((AC126*Assumptions!$C$93)/100))</f>
        <v>856.240639402237</v>
      </c>
      <c r="AD169" s="9" t="n">
        <f aca="false">((((AD29+AD39)*Assumptions!$C$92)/100)+((AD126*Assumptions!$C$93)/100))</f>
        <v>906.05186223471</v>
      </c>
      <c r="AE169" s="9" t="n">
        <f aca="false">((((AE29+AE39)*Assumptions!$C$92)/100)+((AE126*Assumptions!$C$93)/100))</f>
        <v>1095.24989649369</v>
      </c>
      <c r="AF169" s="9" t="n">
        <f aca="false">((((AF29+AF39)*Assumptions!$C$92)/100)+((AF126*Assumptions!$C$93)/100))</f>
        <v>1199.5712639015</v>
      </c>
      <c r="AG169" s="9" t="n">
        <f aca="false">((((AG29+AG39)*Assumptions!$C$92)/100)+((AG126*Assumptions!$C$93)/100))</f>
        <v>1238.86042736928</v>
      </c>
      <c r="AH169" s="9" t="n">
        <f aca="false">((((AH29+AH39)*Assumptions!$C$92)/100)+((AH126*Assumptions!$C$93)/100))</f>
        <v>1506.80125461295</v>
      </c>
      <c r="AI169" s="9" t="n">
        <f aca="false">((((AI29+AI39)*Assumptions!$C$92)/100)+((AI126*Assumptions!$C$93)/100))</f>
        <v>1583.75124584546</v>
      </c>
      <c r="AJ169" s="9" t="n">
        <f aca="false">((((AJ29+AJ39)*Assumptions!$C$92)/100)+((AJ126*Assumptions!$C$93)/100))</f>
        <v>1612.93253390073</v>
      </c>
      <c r="AK169" s="9" t="n">
        <f aca="false">((((AK29+AK39)*Assumptions!$C$92)/100)+((AK126*Assumptions!$C$93)/100))</f>
        <v>1963.14305107234</v>
      </c>
      <c r="AL169" s="9" t="n">
        <f aca="false">((((AL29+AL39)*Assumptions!$C$92)/100)+((AL126*Assumptions!$C$93)/100))</f>
        <v>2270.08928586656</v>
      </c>
      <c r="AN169" s="11" t="n">
        <f aca="false">SUM(C169:N169)</f>
        <v>513.311029832732</v>
      </c>
      <c r="AO169" s="11" t="n">
        <f aca="false">SUM(O169:Z169)</f>
        <v>4454.59831481964</v>
      </c>
      <c r="AP169" s="11" t="n">
        <f aca="false">SUM(AA169:AL169)</f>
        <v>15754.888123662</v>
      </c>
    </row>
    <row r="170" customFormat="false" ht="15" hidden="false" customHeight="false" outlineLevel="0" collapsed="false">
      <c r="A170" s="0" t="s">
        <v>972</v>
      </c>
      <c r="B170" s="0" t="s">
        <v>230</v>
      </c>
      <c r="C170" s="9" t="n">
        <f aca="false">((C169*Assumptions!$C$94)*Assumptions!$C$95)</f>
        <v>7.3125</v>
      </c>
      <c r="D170" s="9" t="n">
        <f aca="false">((D169*Assumptions!$C$94)*Assumptions!$C$95)</f>
        <v>12.99375</v>
      </c>
      <c r="E170" s="9" t="n">
        <f aca="false">((E169*Assumptions!$C$94)*Assumptions!$C$95)</f>
        <v>17.122725</v>
      </c>
      <c r="F170" s="9" t="n">
        <f aca="false">((F169*Assumptions!$C$94)*Assumptions!$C$95)</f>
        <v>20.42757</v>
      </c>
      <c r="G170" s="9" t="n">
        <f aca="false">((G169*Assumptions!$C$94)*Assumptions!$C$95)</f>
        <v>31.42462134</v>
      </c>
      <c r="H170" s="9" t="n">
        <f aca="false">((H169*Assumptions!$C$94)*Assumptions!$C$95)</f>
        <v>32.5199262162</v>
      </c>
      <c r="I170" s="9" t="n">
        <f aca="false">((I169*Assumptions!$C$94)*Assumptions!$C$95)</f>
        <v>35.305454074764</v>
      </c>
      <c r="J170" s="9" t="n">
        <f aca="false">((J169*Assumptions!$C$94)*Assumptions!$C$95)</f>
        <v>83.9852219167146</v>
      </c>
      <c r="K170" s="9" t="n">
        <f aca="false">((K169*Assumptions!$C$94)*Assumptions!$C$95)</f>
        <v>95.7409570413336</v>
      </c>
      <c r="L170" s="9" t="n">
        <f aca="false">((L169*Assumptions!$C$94)*Assumptions!$C$95)</f>
        <v>100.401943255203</v>
      </c>
      <c r="M170" s="9" t="n">
        <f aca="false">((M169*Assumptions!$C$94)*Assumptions!$C$95)</f>
        <v>93.9286265283266</v>
      </c>
      <c r="N170" s="9" t="n">
        <f aca="false">((N169*Assumptions!$C$94)*Assumptions!$C$95)</f>
        <v>110.475491918373</v>
      </c>
      <c r="O170" s="9" t="n">
        <f aca="false">((O169*Assumptions!$C$94)*Assumptions!$C$95)</f>
        <v>189.385925032732</v>
      </c>
      <c r="P170" s="9" t="n">
        <f aca="false">((P169*Assumptions!$C$94)*Assumptions!$C$95)</f>
        <v>205.544359846964</v>
      </c>
      <c r="Q170" s="9" t="n">
        <f aca="false">((Q169*Assumptions!$C$94)*Assumptions!$C$95)</f>
        <v>311.51402643583</v>
      </c>
      <c r="R170" s="9" t="n">
        <f aca="false">((R169*Assumptions!$C$94)*Assumptions!$C$95)</f>
        <v>362.764307912207</v>
      </c>
      <c r="S170" s="9" t="n">
        <f aca="false">((S169*Assumptions!$C$94)*Assumptions!$C$95)</f>
        <v>382.393643967413</v>
      </c>
      <c r="T170" s="9" t="n">
        <f aca="false">((T169*Assumptions!$C$94)*Assumptions!$C$95)</f>
        <v>395.606060480671</v>
      </c>
      <c r="U170" s="9" t="n">
        <f aca="false">((U169*Assumptions!$C$94)*Assumptions!$C$95)</f>
        <v>433.089206436609</v>
      </c>
      <c r="V170" s="9" t="n">
        <f aca="false">((V169*Assumptions!$C$94)*Assumptions!$C$95)</f>
        <v>521.584653977496</v>
      </c>
      <c r="W170" s="9" t="n">
        <f aca="false">((W169*Assumptions!$C$94)*Assumptions!$C$95)</f>
        <v>603.875363976462</v>
      </c>
      <c r="X170" s="9" t="n">
        <f aca="false">((X169*Assumptions!$C$94)*Assumptions!$C$95)</f>
        <v>674.16165220631</v>
      </c>
      <c r="Y170" s="9" t="n">
        <f aca="false">((Y169*Assumptions!$C$94)*Assumptions!$C$95)</f>
        <v>743.782553638446</v>
      </c>
      <c r="Z170" s="9" t="n">
        <f aca="false">((Z169*Assumptions!$C$94)*Assumptions!$C$95)</f>
        <v>744.546139613411</v>
      </c>
      <c r="AA170" s="9" t="n">
        <f aca="false">((AA169*Assumptions!$C$94)*Assumptions!$C$95)</f>
        <v>847.971416605452</v>
      </c>
      <c r="AB170" s="9" t="n">
        <f aca="false">((AB169*Assumptions!$C$94)*Assumptions!$C$95)</f>
        <v>1054.77441209776</v>
      </c>
      <c r="AC170" s="9" t="n">
        <f aca="false">((AC169*Assumptions!$C$94)*Assumptions!$C$95)</f>
        <v>1070.3007992528</v>
      </c>
      <c r="AD170" s="9" t="n">
        <f aca="false">((AD169*Assumptions!$C$94)*Assumptions!$C$95)</f>
        <v>1132.56482779339</v>
      </c>
      <c r="AE170" s="9" t="n">
        <f aca="false">((AE169*Assumptions!$C$94)*Assumptions!$C$95)</f>
        <v>1369.06237061712</v>
      </c>
      <c r="AF170" s="9" t="n">
        <f aca="false">((AF169*Assumptions!$C$94)*Assumptions!$C$95)</f>
        <v>1499.46407987687</v>
      </c>
      <c r="AG170" s="9" t="n">
        <f aca="false">((AG169*Assumptions!$C$94)*Assumptions!$C$95)</f>
        <v>1548.5755342116</v>
      </c>
      <c r="AH170" s="9" t="n">
        <f aca="false">((AH169*Assumptions!$C$94)*Assumptions!$C$95)</f>
        <v>1883.50156826619</v>
      </c>
      <c r="AI170" s="9" t="n">
        <f aca="false">((AI169*Assumptions!$C$94)*Assumptions!$C$95)</f>
        <v>1979.68905730683</v>
      </c>
      <c r="AJ170" s="9" t="n">
        <f aca="false">((AJ169*Assumptions!$C$94)*Assumptions!$C$95)</f>
        <v>2016.16566737591</v>
      </c>
      <c r="AK170" s="9" t="n">
        <f aca="false">((AK169*Assumptions!$C$94)*Assumptions!$C$95)</f>
        <v>2453.92881384043</v>
      </c>
      <c r="AL170" s="9" t="n">
        <f aca="false">((AL169*Assumptions!$C$94)*Assumptions!$C$95)</f>
        <v>2837.6116073332</v>
      </c>
      <c r="AN170" s="11" t="n">
        <f aca="false">SUM(C170:N170)</f>
        <v>641.638787290915</v>
      </c>
      <c r="AO170" s="11" t="n">
        <f aca="false">SUM(O170:Z170)</f>
        <v>5568.24789352455</v>
      </c>
      <c r="AP170" s="11" t="n">
        <f aca="false">SUM(AA170:AL170)</f>
        <v>19693.6101545775</v>
      </c>
    </row>
    <row r="171" customFormat="false" ht="15" hidden="false" customHeight="false" outlineLevel="0" collapsed="false">
      <c r="A171" s="0" t="s">
        <v>973</v>
      </c>
      <c r="B171" s="0" t="s">
        <v>230</v>
      </c>
      <c r="C171" s="9" t="n">
        <f aca="false">SUMPRODUCT((Headcount!$C$5:$C$90="SUPPORT")*Headcount!$D$5:$D$90*Headcount!$F$5:$F$90*((Headcount!$I$5:$I$90=0)+(Headcount!$I$5:$I$90=1)*$C$16)*(C$18&gt;=(Headcount!$E$5:$E$90+Headcount!$G$5:$G$90*$C$15)))/12*(1+Assumptions!$C$97)</f>
        <v>0</v>
      </c>
      <c r="D171" s="9" t="n">
        <f aca="false">SUMPRODUCT((Headcount!$C$5:$C$90="SUPPORT")*Headcount!$D$5:$D$90*Headcount!$F$5:$F$90*((Headcount!$I$5:$I$90=0)+(Headcount!$I$5:$I$90=1)*$C$16)*(D$18&gt;=(Headcount!$E$5:$E$90+Headcount!$G$5:$G$90*$C$15)))/12*(1+Assumptions!$C$97)</f>
        <v>0</v>
      </c>
      <c r="E171" s="9" t="n">
        <f aca="false">SUMPRODUCT((Headcount!$C$5:$C$90="SUPPORT")*Headcount!$D$5:$D$90*Headcount!$F$5:$F$90*((Headcount!$I$5:$I$90=0)+(Headcount!$I$5:$I$90=1)*$C$16)*(E$18&gt;=(Headcount!$E$5:$E$90+Headcount!$G$5:$G$90*$C$15)))/12*(1+Assumptions!$C$97)</f>
        <v>0</v>
      </c>
      <c r="F171" s="9" t="n">
        <f aca="false">SUMPRODUCT((Headcount!$C$5:$C$90="SUPPORT")*Headcount!$D$5:$D$90*Headcount!$F$5:$F$90*((Headcount!$I$5:$I$90=0)+(Headcount!$I$5:$I$90=1)*$C$16)*(F$18&gt;=(Headcount!$E$5:$E$90+Headcount!$G$5:$G$90*$C$15)))/12*(1+Assumptions!$C$97)</f>
        <v>0</v>
      </c>
      <c r="G171" s="9" t="n">
        <f aca="false">SUMPRODUCT((Headcount!$C$5:$C$90="SUPPORT")*Headcount!$D$5:$D$90*Headcount!$F$5:$F$90*((Headcount!$I$5:$I$90=0)+(Headcount!$I$5:$I$90=1)*$C$16)*(G$18&gt;=(Headcount!$E$5:$E$90+Headcount!$G$5:$G$90*$C$15)))/12*(1+Assumptions!$C$97)</f>
        <v>0</v>
      </c>
      <c r="H171" s="9" t="n">
        <f aca="false">SUMPRODUCT((Headcount!$C$5:$C$90="SUPPORT")*Headcount!$D$5:$D$90*Headcount!$F$5:$F$90*((Headcount!$I$5:$I$90=0)+(Headcount!$I$5:$I$90=1)*$C$16)*(H$18&gt;=(Headcount!$E$5:$E$90+Headcount!$G$5:$G$90*$C$15)))/12*(1+Assumptions!$C$97)</f>
        <v>0</v>
      </c>
      <c r="I171" s="9" t="n">
        <f aca="false">SUMPRODUCT((Headcount!$C$5:$C$90="SUPPORT")*Headcount!$D$5:$D$90*Headcount!$F$5:$F$90*((Headcount!$I$5:$I$90=0)+(Headcount!$I$5:$I$90=1)*$C$16)*(I$18&gt;=(Headcount!$E$5:$E$90+Headcount!$G$5:$G$90*$C$15)))/12*(1+Assumptions!$C$97)</f>
        <v>0</v>
      </c>
      <c r="J171" s="9" t="n">
        <f aca="false">SUMPRODUCT((Headcount!$C$5:$C$90="SUPPORT")*Headcount!$D$5:$D$90*Headcount!$F$5:$F$90*((Headcount!$I$5:$I$90=0)+(Headcount!$I$5:$I$90=1)*$C$16)*(J$18&gt;=(Headcount!$E$5:$E$90+Headcount!$G$5:$G$90*$C$15)))/12*(1+Assumptions!$C$97)</f>
        <v>0</v>
      </c>
      <c r="K171" s="9" t="n">
        <f aca="false">SUMPRODUCT((Headcount!$C$5:$C$90="SUPPORT")*Headcount!$D$5:$D$90*Headcount!$F$5:$F$90*((Headcount!$I$5:$I$90=0)+(Headcount!$I$5:$I$90=1)*$C$16)*(K$18&gt;=(Headcount!$E$5:$E$90+Headcount!$G$5:$G$90*$C$15)))/12*(1+Assumptions!$C$97)</f>
        <v>6303.33333333333</v>
      </c>
      <c r="L171" s="9" t="n">
        <f aca="false">SUMPRODUCT((Headcount!$C$5:$C$90="SUPPORT")*Headcount!$D$5:$D$90*Headcount!$F$5:$F$90*((Headcount!$I$5:$I$90=0)+(Headcount!$I$5:$I$90=1)*$C$16)*(L$18&gt;=(Headcount!$E$5:$E$90+Headcount!$G$5:$G$90*$C$15)))/12*(1+Assumptions!$C$97)</f>
        <v>6303.33333333333</v>
      </c>
      <c r="M171" s="9" t="n">
        <f aca="false">SUMPRODUCT((Headcount!$C$5:$C$90="SUPPORT")*Headcount!$D$5:$D$90*Headcount!$F$5:$F$90*((Headcount!$I$5:$I$90=0)+(Headcount!$I$5:$I$90=1)*$C$16)*(M$18&gt;=(Headcount!$E$5:$E$90+Headcount!$G$5:$G$90*$C$15)))/12*(1+Assumptions!$C$97)</f>
        <v>6303.33333333333</v>
      </c>
      <c r="N171" s="9" t="n">
        <f aca="false">SUMPRODUCT((Headcount!$C$5:$C$90="SUPPORT")*Headcount!$D$5:$D$90*Headcount!$F$5:$F$90*((Headcount!$I$5:$I$90=0)+(Headcount!$I$5:$I$90=1)*$C$16)*(N$18&gt;=(Headcount!$E$5:$E$90+Headcount!$G$5:$G$90*$C$15)))/12*(1+Assumptions!$C$97)</f>
        <v>6303.33333333333</v>
      </c>
      <c r="O171" s="9" t="n">
        <f aca="false">SUMPRODUCT((Headcount!$C$5:$C$90="SUPPORT")*Headcount!$D$5:$D$90*Headcount!$F$5:$F$90*((Headcount!$I$5:$I$90=0)+(Headcount!$I$5:$I$90=1)*$C$16)*(O$18&gt;=(Headcount!$E$5:$E$90+Headcount!$G$5:$G$90*$C$15)))/12*(1+Assumptions!$C$97)</f>
        <v>6303.33333333333</v>
      </c>
      <c r="P171" s="9" t="n">
        <f aca="false">SUMPRODUCT((Headcount!$C$5:$C$90="SUPPORT")*Headcount!$D$5:$D$90*Headcount!$F$5:$F$90*((Headcount!$I$5:$I$90=0)+(Headcount!$I$5:$I$90=1)*$C$16)*(P$18&gt;=(Headcount!$E$5:$E$90+Headcount!$G$5:$G$90*$C$15)))/12*(1+Assumptions!$C$97)</f>
        <v>6303.33333333333</v>
      </c>
      <c r="Q171" s="9" t="n">
        <f aca="false">SUMPRODUCT((Headcount!$C$5:$C$90="SUPPORT")*Headcount!$D$5:$D$90*Headcount!$F$5:$F$90*((Headcount!$I$5:$I$90=0)+(Headcount!$I$5:$I$90=1)*$C$16)*(Q$18&gt;=(Headcount!$E$5:$E$90+Headcount!$G$5:$G$90*$C$15)))/12*(1+Assumptions!$C$97)</f>
        <v>6303.33333333333</v>
      </c>
      <c r="R171" s="9" t="n">
        <f aca="false">SUMPRODUCT((Headcount!$C$5:$C$90="SUPPORT")*Headcount!$D$5:$D$90*Headcount!$F$5:$F$90*((Headcount!$I$5:$I$90=0)+(Headcount!$I$5:$I$90=1)*$C$16)*(R$18&gt;=(Headcount!$E$5:$E$90+Headcount!$G$5:$G$90*$C$15)))/12*(1+Assumptions!$C$97)</f>
        <v>6303.33333333333</v>
      </c>
      <c r="S171" s="9" t="n">
        <f aca="false">SUMPRODUCT((Headcount!$C$5:$C$90="SUPPORT")*Headcount!$D$5:$D$90*Headcount!$F$5:$F$90*((Headcount!$I$5:$I$90=0)+(Headcount!$I$5:$I$90=1)*$C$16)*(S$18&gt;=(Headcount!$E$5:$E$90+Headcount!$G$5:$G$90*$C$15)))/12*(1+Assumptions!$C$97)</f>
        <v>6303.33333333333</v>
      </c>
      <c r="T171" s="9" t="n">
        <f aca="false">SUMPRODUCT((Headcount!$C$5:$C$90="SUPPORT")*Headcount!$D$5:$D$90*Headcount!$F$5:$F$90*((Headcount!$I$5:$I$90=0)+(Headcount!$I$5:$I$90=1)*$C$16)*(T$18&gt;=(Headcount!$E$5:$E$90+Headcount!$G$5:$G$90*$C$15)))/12*(1+Assumptions!$C$97)</f>
        <v>14945</v>
      </c>
      <c r="U171" s="9" t="n">
        <f aca="false">SUMPRODUCT((Headcount!$C$5:$C$90="SUPPORT")*Headcount!$D$5:$D$90*Headcount!$F$5:$F$90*((Headcount!$I$5:$I$90=0)+(Headcount!$I$5:$I$90=1)*$C$16)*(U$18&gt;=(Headcount!$E$5:$E$90+Headcount!$G$5:$G$90*$C$15)))/12*(1+Assumptions!$C$97)</f>
        <v>14945</v>
      </c>
      <c r="V171" s="9" t="n">
        <f aca="false">SUMPRODUCT((Headcount!$C$5:$C$90="SUPPORT")*Headcount!$D$5:$D$90*Headcount!$F$5:$F$90*((Headcount!$I$5:$I$90=0)+(Headcount!$I$5:$I$90=1)*$C$16)*(V$18&gt;=(Headcount!$E$5:$E$90+Headcount!$G$5:$G$90*$C$15)))/12*(1+Assumptions!$C$97)</f>
        <v>14945</v>
      </c>
      <c r="W171" s="9" t="n">
        <f aca="false">SUMPRODUCT((Headcount!$C$5:$C$90="SUPPORT")*Headcount!$D$5:$D$90*Headcount!$F$5:$F$90*((Headcount!$I$5:$I$90=0)+(Headcount!$I$5:$I$90=1)*$C$16)*(W$18&gt;=(Headcount!$E$5:$E$90+Headcount!$G$5:$G$90*$C$15)))/12*(1+Assumptions!$C$97)</f>
        <v>14945</v>
      </c>
      <c r="X171" s="9" t="n">
        <f aca="false">SUMPRODUCT((Headcount!$C$5:$C$90="SUPPORT")*Headcount!$D$5:$D$90*Headcount!$F$5:$F$90*((Headcount!$I$5:$I$90=0)+(Headcount!$I$5:$I$90=1)*$C$16)*(X$18&gt;=(Headcount!$E$5:$E$90+Headcount!$G$5:$G$90*$C$15)))/12*(1+Assumptions!$C$97)</f>
        <v>14945</v>
      </c>
      <c r="Y171" s="9" t="n">
        <f aca="false">SUMPRODUCT((Headcount!$C$5:$C$90="SUPPORT")*Headcount!$D$5:$D$90*Headcount!$F$5:$F$90*((Headcount!$I$5:$I$90=0)+(Headcount!$I$5:$I$90=1)*$C$16)*(Y$18&gt;=(Headcount!$E$5:$E$90+Headcount!$G$5:$G$90*$C$15)))/12*(1+Assumptions!$C$97)</f>
        <v>14945</v>
      </c>
      <c r="Z171" s="9" t="n">
        <f aca="false">SUMPRODUCT((Headcount!$C$5:$C$90="SUPPORT")*Headcount!$D$5:$D$90*Headcount!$F$5:$F$90*((Headcount!$I$5:$I$90=0)+(Headcount!$I$5:$I$90=1)*$C$16)*(Z$18&gt;=(Headcount!$E$5:$E$90+Headcount!$G$5:$G$90*$C$15)))/12*(1+Assumptions!$C$97)</f>
        <v>14945</v>
      </c>
      <c r="AA171" s="9" t="n">
        <f aca="false">SUMPRODUCT((Headcount!$C$5:$C$90="SUPPORT")*Headcount!$D$5:$D$90*Headcount!$F$5:$F$90*((Headcount!$I$5:$I$90=0)+(Headcount!$I$5:$I$90=1)*$C$16)*(AA$18&gt;=(Headcount!$E$5:$E$90+Headcount!$G$5:$G$90*$C$15)))/12*(1+Assumptions!$C$97)</f>
        <v>14945</v>
      </c>
      <c r="AB171" s="9" t="n">
        <f aca="false">SUMPRODUCT((Headcount!$C$5:$C$90="SUPPORT")*Headcount!$D$5:$D$90*Headcount!$F$5:$F$90*((Headcount!$I$5:$I$90=0)+(Headcount!$I$5:$I$90=1)*$C$16)*(AB$18&gt;=(Headcount!$E$5:$E$90+Headcount!$G$5:$G$90*$C$15)))/12*(1+Assumptions!$C$97)</f>
        <v>21248.3333333333</v>
      </c>
      <c r="AC171" s="9" t="n">
        <f aca="false">SUMPRODUCT((Headcount!$C$5:$C$90="SUPPORT")*Headcount!$D$5:$D$90*Headcount!$F$5:$F$90*((Headcount!$I$5:$I$90=0)+(Headcount!$I$5:$I$90=1)*$C$16)*(AC$18&gt;=(Headcount!$E$5:$E$90+Headcount!$G$5:$G$90*$C$15)))/12*(1+Assumptions!$C$97)</f>
        <v>21248.3333333333</v>
      </c>
      <c r="AD171" s="9" t="n">
        <f aca="false">SUMPRODUCT((Headcount!$C$5:$C$90="SUPPORT")*Headcount!$D$5:$D$90*Headcount!$F$5:$F$90*((Headcount!$I$5:$I$90=0)+(Headcount!$I$5:$I$90=1)*$C$16)*(AD$18&gt;=(Headcount!$E$5:$E$90+Headcount!$G$5:$G$90*$C$15)))/12*(1+Assumptions!$C$97)</f>
        <v>21248.3333333333</v>
      </c>
      <c r="AE171" s="9" t="n">
        <f aca="false">SUMPRODUCT((Headcount!$C$5:$C$90="SUPPORT")*Headcount!$D$5:$D$90*Headcount!$F$5:$F$90*((Headcount!$I$5:$I$90=0)+(Headcount!$I$5:$I$90=1)*$C$16)*(AE$18&gt;=(Headcount!$E$5:$E$90+Headcount!$G$5:$G$90*$C$15)))/12*(1+Assumptions!$C$97)</f>
        <v>21248.3333333333</v>
      </c>
      <c r="AF171" s="9" t="n">
        <f aca="false">SUMPRODUCT((Headcount!$C$5:$C$90="SUPPORT")*Headcount!$D$5:$D$90*Headcount!$F$5:$F$90*((Headcount!$I$5:$I$90=0)+(Headcount!$I$5:$I$90=1)*$C$16)*(AF$18&gt;=(Headcount!$E$5:$E$90+Headcount!$G$5:$G$90*$C$15)))/12*(1+Assumptions!$C$97)</f>
        <v>21248.3333333333</v>
      </c>
      <c r="AG171" s="9" t="n">
        <f aca="false">SUMPRODUCT((Headcount!$C$5:$C$90="SUPPORT")*Headcount!$D$5:$D$90*Headcount!$F$5:$F$90*((Headcount!$I$5:$I$90=0)+(Headcount!$I$5:$I$90=1)*$C$16)*(AG$18&gt;=(Headcount!$E$5:$E$90+Headcount!$G$5:$G$90*$C$15)))/12*(1+Assumptions!$C$97)</f>
        <v>21248.3333333333</v>
      </c>
      <c r="AH171" s="9" t="n">
        <f aca="false">SUMPRODUCT((Headcount!$C$5:$C$90="SUPPORT")*Headcount!$D$5:$D$90*Headcount!$F$5:$F$90*((Headcount!$I$5:$I$90=0)+(Headcount!$I$5:$I$90=1)*$C$16)*(AH$18&gt;=(Headcount!$E$5:$E$90+Headcount!$G$5:$G$90*$C$15)))/12*(1+Assumptions!$C$97)</f>
        <v>21248.3333333333</v>
      </c>
      <c r="AI171" s="9" t="n">
        <f aca="false">SUMPRODUCT((Headcount!$C$5:$C$90="SUPPORT")*Headcount!$D$5:$D$90*Headcount!$F$5:$F$90*((Headcount!$I$5:$I$90=0)+(Headcount!$I$5:$I$90=1)*$C$16)*(AI$18&gt;=(Headcount!$E$5:$E$90+Headcount!$G$5:$G$90*$C$15)))/12*(1+Assumptions!$C$97)</f>
        <v>27551.6666666667</v>
      </c>
      <c r="AJ171" s="9" t="n">
        <f aca="false">SUMPRODUCT((Headcount!$C$5:$C$90="SUPPORT")*Headcount!$D$5:$D$90*Headcount!$F$5:$F$90*((Headcount!$I$5:$I$90=0)+(Headcount!$I$5:$I$90=1)*$C$16)*(AJ$18&gt;=(Headcount!$E$5:$E$90+Headcount!$G$5:$G$90*$C$15)))/12*(1+Assumptions!$C$97)</f>
        <v>27551.6666666667</v>
      </c>
      <c r="AK171" s="9" t="n">
        <f aca="false">SUMPRODUCT((Headcount!$C$5:$C$90="SUPPORT")*Headcount!$D$5:$D$90*Headcount!$F$5:$F$90*((Headcount!$I$5:$I$90=0)+(Headcount!$I$5:$I$90=1)*$C$16)*(AK$18&gt;=(Headcount!$E$5:$E$90+Headcount!$G$5:$G$90*$C$15)))/12*(1+Assumptions!$C$97)</f>
        <v>27551.6666666667</v>
      </c>
      <c r="AL171" s="9" t="n">
        <f aca="false">SUMPRODUCT((Headcount!$C$5:$C$90="SUPPORT")*Headcount!$D$5:$D$90*Headcount!$F$5:$F$90*((Headcount!$I$5:$I$90=0)+(Headcount!$I$5:$I$90=1)*$C$16)*(AL$18&gt;=(Headcount!$E$5:$E$90+Headcount!$G$5:$G$90*$C$15)))/12*(1+Assumptions!$C$97)</f>
        <v>27551.6666666667</v>
      </c>
      <c r="AN171" s="11" t="n">
        <f aca="false">SUM(C171:N171)</f>
        <v>25213.3333333333</v>
      </c>
      <c r="AO171" s="11" t="n">
        <f aca="false">SUM(O171:Z171)</f>
        <v>136131.666666667</v>
      </c>
      <c r="AP171" s="11" t="n">
        <f aca="false">SUM(AA171:AL171)</f>
        <v>273890</v>
      </c>
    </row>
    <row r="172" customFormat="false" ht="15" hidden="false" customHeight="false" outlineLevel="0" collapsed="false">
      <c r="A172" s="0" t="s">
        <v>974</v>
      </c>
      <c r="B172" s="0" t="s">
        <v>230</v>
      </c>
      <c r="C172" s="9" t="n">
        <f aca="false">SUMPRODUCT((Headcount!$C$5:$C$90="IMPL")*Headcount!$D$5:$D$90*Headcount!$F$5:$F$90*((Headcount!$I$5:$I$90=0)+(Headcount!$I$5:$I$90=1)*$C$16)*(C$18&gt;=(Headcount!$E$5:$E$90+Headcount!$G$5:$G$90*$C$15)))/12*(1+Assumptions!$C$97)</f>
        <v>0</v>
      </c>
      <c r="D172" s="9" t="n">
        <f aca="false">SUMPRODUCT((Headcount!$C$5:$C$90="IMPL")*Headcount!$D$5:$D$90*Headcount!$F$5:$F$90*((Headcount!$I$5:$I$90=0)+(Headcount!$I$5:$I$90=1)*$C$16)*(D$18&gt;=(Headcount!$E$5:$E$90+Headcount!$G$5:$G$90*$C$15)))/12*(1+Assumptions!$C$97)</f>
        <v>0</v>
      </c>
      <c r="E172" s="9" t="n">
        <f aca="false">SUMPRODUCT((Headcount!$C$5:$C$90="IMPL")*Headcount!$D$5:$D$90*Headcount!$F$5:$F$90*((Headcount!$I$5:$I$90=0)+(Headcount!$I$5:$I$90=1)*$C$16)*(E$18&gt;=(Headcount!$E$5:$E$90+Headcount!$G$5:$G$90*$C$15)))/12*(1+Assumptions!$C$97)</f>
        <v>0</v>
      </c>
      <c r="F172" s="9" t="n">
        <f aca="false">SUMPRODUCT((Headcount!$C$5:$C$90="IMPL")*Headcount!$D$5:$D$90*Headcount!$F$5:$F$90*((Headcount!$I$5:$I$90=0)+(Headcount!$I$5:$I$90=1)*$C$16)*(F$18&gt;=(Headcount!$E$5:$E$90+Headcount!$G$5:$G$90*$C$15)))/12*(1+Assumptions!$C$97)</f>
        <v>0</v>
      </c>
      <c r="G172" s="9" t="n">
        <f aca="false">SUMPRODUCT((Headcount!$C$5:$C$90="IMPL")*Headcount!$D$5:$D$90*Headcount!$F$5:$F$90*((Headcount!$I$5:$I$90=0)+(Headcount!$I$5:$I$90=1)*$C$16)*(G$18&gt;=(Headcount!$E$5:$E$90+Headcount!$G$5:$G$90*$C$15)))/12*(1+Assumptions!$C$97)</f>
        <v>10166.6666666667</v>
      </c>
      <c r="H172" s="9" t="n">
        <f aca="false">SUMPRODUCT((Headcount!$C$5:$C$90="IMPL")*Headcount!$D$5:$D$90*Headcount!$F$5:$F$90*((Headcount!$I$5:$I$90=0)+(Headcount!$I$5:$I$90=1)*$C$16)*(H$18&gt;=(Headcount!$E$5:$E$90+Headcount!$G$5:$G$90*$C$15)))/12*(1+Assumptions!$C$97)</f>
        <v>10166.6666666667</v>
      </c>
      <c r="I172" s="9" t="n">
        <f aca="false">SUMPRODUCT((Headcount!$C$5:$C$90="IMPL")*Headcount!$D$5:$D$90*Headcount!$F$5:$F$90*((Headcount!$I$5:$I$90=0)+(Headcount!$I$5:$I$90=1)*$C$16)*(I$18&gt;=(Headcount!$E$5:$E$90+Headcount!$G$5:$G$90*$C$15)))/12*(1+Assumptions!$C$97)</f>
        <v>10166.6666666667</v>
      </c>
      <c r="J172" s="9" t="n">
        <f aca="false">SUMPRODUCT((Headcount!$C$5:$C$90="IMPL")*Headcount!$D$5:$D$90*Headcount!$F$5:$F$90*((Headcount!$I$5:$I$90=0)+(Headcount!$I$5:$I$90=1)*$C$16)*(J$18&gt;=(Headcount!$E$5:$E$90+Headcount!$G$5:$G$90*$C$15)))/12*(1+Assumptions!$C$97)</f>
        <v>10166.6666666667</v>
      </c>
      <c r="K172" s="9" t="n">
        <f aca="false">SUMPRODUCT((Headcount!$C$5:$C$90="IMPL")*Headcount!$D$5:$D$90*Headcount!$F$5:$F$90*((Headcount!$I$5:$I$90=0)+(Headcount!$I$5:$I$90=1)*$C$16)*(K$18&gt;=(Headcount!$E$5:$E$90+Headcount!$G$5:$G$90*$C$15)))/12*(1+Assumptions!$C$97)</f>
        <v>10166.6666666667</v>
      </c>
      <c r="L172" s="9" t="n">
        <f aca="false">SUMPRODUCT((Headcount!$C$5:$C$90="IMPL")*Headcount!$D$5:$D$90*Headcount!$F$5:$F$90*((Headcount!$I$5:$I$90=0)+(Headcount!$I$5:$I$90=1)*$C$16)*(L$18&gt;=(Headcount!$E$5:$E$90+Headcount!$G$5:$G$90*$C$15)))/12*(1+Assumptions!$C$97)</f>
        <v>10166.6666666667</v>
      </c>
      <c r="M172" s="9" t="n">
        <f aca="false">SUMPRODUCT((Headcount!$C$5:$C$90="IMPL")*Headcount!$D$5:$D$90*Headcount!$F$5:$F$90*((Headcount!$I$5:$I$90=0)+(Headcount!$I$5:$I$90=1)*$C$16)*(M$18&gt;=(Headcount!$E$5:$E$90+Headcount!$G$5:$G$90*$C$15)))/12*(1+Assumptions!$C$97)</f>
        <v>20333.3333333333</v>
      </c>
      <c r="N172" s="9" t="n">
        <f aca="false">SUMPRODUCT((Headcount!$C$5:$C$90="IMPL")*Headcount!$D$5:$D$90*Headcount!$F$5:$F$90*((Headcount!$I$5:$I$90=0)+(Headcount!$I$5:$I$90=1)*$C$16)*(N$18&gt;=(Headcount!$E$5:$E$90+Headcount!$G$5:$G$90*$C$15)))/12*(1+Assumptions!$C$97)</f>
        <v>20333.3333333333</v>
      </c>
      <c r="O172" s="9" t="n">
        <f aca="false">SUMPRODUCT((Headcount!$C$5:$C$90="IMPL")*Headcount!$D$5:$D$90*Headcount!$F$5:$F$90*((Headcount!$I$5:$I$90=0)+(Headcount!$I$5:$I$90=1)*$C$16)*(O$18&gt;=(Headcount!$E$5:$E$90+Headcount!$G$5:$G$90*$C$15)))/12*(1+Assumptions!$C$97)</f>
        <v>20333.3333333333</v>
      </c>
      <c r="P172" s="9" t="n">
        <f aca="false">SUMPRODUCT((Headcount!$C$5:$C$90="IMPL")*Headcount!$D$5:$D$90*Headcount!$F$5:$F$90*((Headcount!$I$5:$I$90=0)+(Headcount!$I$5:$I$90=1)*$C$16)*(P$18&gt;=(Headcount!$E$5:$E$90+Headcount!$G$5:$G$90*$C$15)))/12*(1+Assumptions!$C$97)</f>
        <v>20333.3333333333</v>
      </c>
      <c r="Q172" s="9" t="n">
        <f aca="false">SUMPRODUCT((Headcount!$C$5:$C$90="IMPL")*Headcount!$D$5:$D$90*Headcount!$F$5:$F$90*((Headcount!$I$5:$I$90=0)+(Headcount!$I$5:$I$90=1)*$C$16)*(Q$18&gt;=(Headcount!$E$5:$E$90+Headcount!$G$5:$G$90*$C$15)))/12*(1+Assumptions!$C$97)</f>
        <v>30500</v>
      </c>
      <c r="R172" s="9" t="n">
        <f aca="false">SUMPRODUCT((Headcount!$C$5:$C$90="IMPL")*Headcount!$D$5:$D$90*Headcount!$F$5:$F$90*((Headcount!$I$5:$I$90=0)+(Headcount!$I$5:$I$90=1)*$C$16)*(R$18&gt;=(Headcount!$E$5:$E$90+Headcount!$G$5:$G$90*$C$15)))/12*(1+Assumptions!$C$97)</f>
        <v>30500</v>
      </c>
      <c r="S172" s="9" t="n">
        <f aca="false">SUMPRODUCT((Headcount!$C$5:$C$90="IMPL")*Headcount!$D$5:$D$90*Headcount!$F$5:$F$90*((Headcount!$I$5:$I$90=0)+(Headcount!$I$5:$I$90=1)*$C$16)*(S$18&gt;=(Headcount!$E$5:$E$90+Headcount!$G$5:$G$90*$C$15)))/12*(1+Assumptions!$C$97)</f>
        <v>30500</v>
      </c>
      <c r="T172" s="9" t="n">
        <f aca="false">SUMPRODUCT((Headcount!$C$5:$C$90="IMPL")*Headcount!$D$5:$D$90*Headcount!$F$5:$F$90*((Headcount!$I$5:$I$90=0)+(Headcount!$I$5:$I$90=1)*$C$16)*(T$18&gt;=(Headcount!$E$5:$E$90+Headcount!$G$5:$G$90*$C$15)))/12*(1+Assumptions!$C$97)</f>
        <v>30500</v>
      </c>
      <c r="U172" s="9" t="n">
        <f aca="false">SUMPRODUCT((Headcount!$C$5:$C$90="IMPL")*Headcount!$D$5:$D$90*Headcount!$F$5:$F$90*((Headcount!$I$5:$I$90=0)+(Headcount!$I$5:$I$90=1)*$C$16)*(U$18&gt;=(Headcount!$E$5:$E$90+Headcount!$G$5:$G$90*$C$15)))/12*(1+Assumptions!$C$97)</f>
        <v>40666.6666666667</v>
      </c>
      <c r="V172" s="9" t="n">
        <f aca="false">SUMPRODUCT((Headcount!$C$5:$C$90="IMPL")*Headcount!$D$5:$D$90*Headcount!$F$5:$F$90*((Headcount!$I$5:$I$90=0)+(Headcount!$I$5:$I$90=1)*$C$16)*(V$18&gt;=(Headcount!$E$5:$E$90+Headcount!$G$5:$G$90*$C$15)))/12*(1+Assumptions!$C$97)</f>
        <v>40666.6666666667</v>
      </c>
      <c r="W172" s="9" t="n">
        <f aca="false">SUMPRODUCT((Headcount!$C$5:$C$90="IMPL")*Headcount!$D$5:$D$90*Headcount!$F$5:$F$90*((Headcount!$I$5:$I$90=0)+(Headcount!$I$5:$I$90=1)*$C$16)*(W$18&gt;=(Headcount!$E$5:$E$90+Headcount!$G$5:$G$90*$C$15)))/12*(1+Assumptions!$C$97)</f>
        <v>40666.6666666667</v>
      </c>
      <c r="X172" s="9" t="n">
        <f aca="false">SUMPRODUCT((Headcount!$C$5:$C$90="IMPL")*Headcount!$D$5:$D$90*Headcount!$F$5:$F$90*((Headcount!$I$5:$I$90=0)+(Headcount!$I$5:$I$90=1)*$C$16)*(X$18&gt;=(Headcount!$E$5:$E$90+Headcount!$G$5:$G$90*$C$15)))/12*(1+Assumptions!$C$97)</f>
        <v>50833.3333333333</v>
      </c>
      <c r="Y172" s="9" t="n">
        <f aca="false">SUMPRODUCT((Headcount!$C$5:$C$90="IMPL")*Headcount!$D$5:$D$90*Headcount!$F$5:$F$90*((Headcount!$I$5:$I$90=0)+(Headcount!$I$5:$I$90=1)*$C$16)*(Y$18&gt;=(Headcount!$E$5:$E$90+Headcount!$G$5:$G$90*$C$15)))/12*(1+Assumptions!$C$97)</f>
        <v>50833.3333333333</v>
      </c>
      <c r="Z172" s="9" t="n">
        <f aca="false">SUMPRODUCT((Headcount!$C$5:$C$90="IMPL")*Headcount!$D$5:$D$90*Headcount!$F$5:$F$90*((Headcount!$I$5:$I$90=0)+(Headcount!$I$5:$I$90=1)*$C$16)*(Z$18&gt;=(Headcount!$E$5:$E$90+Headcount!$G$5:$G$90*$C$15)))/12*(1+Assumptions!$C$97)</f>
        <v>50833.3333333333</v>
      </c>
      <c r="AA172" s="9" t="n">
        <f aca="false">SUMPRODUCT((Headcount!$C$5:$C$90="IMPL")*Headcount!$D$5:$D$90*Headcount!$F$5:$F$90*((Headcount!$I$5:$I$90=0)+(Headcount!$I$5:$I$90=1)*$C$16)*(AA$18&gt;=(Headcount!$E$5:$E$90+Headcount!$G$5:$G$90*$C$15)))/12*(1+Assumptions!$C$97)</f>
        <v>61000</v>
      </c>
      <c r="AB172" s="9" t="n">
        <f aca="false">SUMPRODUCT((Headcount!$C$5:$C$90="IMPL")*Headcount!$D$5:$D$90*Headcount!$F$5:$F$90*((Headcount!$I$5:$I$90=0)+(Headcount!$I$5:$I$90=1)*$C$16)*(AB$18&gt;=(Headcount!$E$5:$E$90+Headcount!$G$5:$G$90*$C$15)))/12*(1+Assumptions!$C$97)</f>
        <v>61000</v>
      </c>
      <c r="AC172" s="9" t="n">
        <f aca="false">SUMPRODUCT((Headcount!$C$5:$C$90="IMPL")*Headcount!$D$5:$D$90*Headcount!$F$5:$F$90*((Headcount!$I$5:$I$90=0)+(Headcount!$I$5:$I$90=1)*$C$16)*(AC$18&gt;=(Headcount!$E$5:$E$90+Headcount!$G$5:$G$90*$C$15)))/12*(1+Assumptions!$C$97)</f>
        <v>61000</v>
      </c>
      <c r="AD172" s="9" t="n">
        <f aca="false">SUMPRODUCT((Headcount!$C$5:$C$90="IMPL")*Headcount!$D$5:$D$90*Headcount!$F$5:$F$90*((Headcount!$I$5:$I$90=0)+(Headcount!$I$5:$I$90=1)*$C$16)*(AD$18&gt;=(Headcount!$E$5:$E$90+Headcount!$G$5:$G$90*$C$15)))/12*(1+Assumptions!$C$97)</f>
        <v>71166.6666666667</v>
      </c>
      <c r="AE172" s="9" t="n">
        <f aca="false">SUMPRODUCT((Headcount!$C$5:$C$90="IMPL")*Headcount!$D$5:$D$90*Headcount!$F$5:$F$90*((Headcount!$I$5:$I$90=0)+(Headcount!$I$5:$I$90=1)*$C$16)*(AE$18&gt;=(Headcount!$E$5:$E$90+Headcount!$G$5:$G$90*$C$15)))/12*(1+Assumptions!$C$97)</f>
        <v>71166.6666666667</v>
      </c>
      <c r="AF172" s="9" t="n">
        <f aca="false">SUMPRODUCT((Headcount!$C$5:$C$90="IMPL")*Headcount!$D$5:$D$90*Headcount!$F$5:$F$90*((Headcount!$I$5:$I$90=0)+(Headcount!$I$5:$I$90=1)*$C$16)*(AF$18&gt;=(Headcount!$E$5:$E$90+Headcount!$G$5:$G$90*$C$15)))/12*(1+Assumptions!$C$97)</f>
        <v>71166.6666666667</v>
      </c>
      <c r="AG172" s="9" t="n">
        <f aca="false">SUMPRODUCT((Headcount!$C$5:$C$90="IMPL")*Headcount!$D$5:$D$90*Headcount!$F$5:$F$90*((Headcount!$I$5:$I$90=0)+(Headcount!$I$5:$I$90=1)*$C$16)*(AG$18&gt;=(Headcount!$E$5:$E$90+Headcount!$G$5:$G$90*$C$15)))/12*(1+Assumptions!$C$97)</f>
        <v>81333.3333333333</v>
      </c>
      <c r="AH172" s="9" t="n">
        <f aca="false">SUMPRODUCT((Headcount!$C$5:$C$90="IMPL")*Headcount!$D$5:$D$90*Headcount!$F$5:$F$90*((Headcount!$I$5:$I$90=0)+(Headcount!$I$5:$I$90=1)*$C$16)*(AH$18&gt;=(Headcount!$E$5:$E$90+Headcount!$G$5:$G$90*$C$15)))/12*(1+Assumptions!$C$97)</f>
        <v>81333.3333333333</v>
      </c>
      <c r="AI172" s="9" t="n">
        <f aca="false">SUMPRODUCT((Headcount!$C$5:$C$90="IMPL")*Headcount!$D$5:$D$90*Headcount!$F$5:$F$90*((Headcount!$I$5:$I$90=0)+(Headcount!$I$5:$I$90=1)*$C$16)*(AI$18&gt;=(Headcount!$E$5:$E$90+Headcount!$G$5:$G$90*$C$15)))/12*(1+Assumptions!$C$97)</f>
        <v>81333.3333333333</v>
      </c>
      <c r="AJ172" s="9" t="n">
        <f aca="false">SUMPRODUCT((Headcount!$C$5:$C$90="IMPL")*Headcount!$D$5:$D$90*Headcount!$F$5:$F$90*((Headcount!$I$5:$I$90=0)+(Headcount!$I$5:$I$90=1)*$C$16)*(AJ$18&gt;=(Headcount!$E$5:$E$90+Headcount!$G$5:$G$90*$C$15)))/12*(1+Assumptions!$C$97)</f>
        <v>81333.3333333333</v>
      </c>
      <c r="AK172" s="9" t="n">
        <f aca="false">SUMPRODUCT((Headcount!$C$5:$C$90="IMPL")*Headcount!$D$5:$D$90*Headcount!$F$5:$F$90*((Headcount!$I$5:$I$90=0)+(Headcount!$I$5:$I$90=1)*$C$16)*(AK$18&gt;=(Headcount!$E$5:$E$90+Headcount!$G$5:$G$90*$C$15)))/12*(1+Assumptions!$C$97)</f>
        <v>81333.3333333333</v>
      </c>
      <c r="AL172" s="9" t="n">
        <f aca="false">SUMPRODUCT((Headcount!$C$5:$C$90="IMPL")*Headcount!$D$5:$D$90*Headcount!$F$5:$F$90*((Headcount!$I$5:$I$90=0)+(Headcount!$I$5:$I$90=1)*$C$16)*(AL$18&gt;=(Headcount!$E$5:$E$90+Headcount!$G$5:$G$90*$C$15)))/12*(1+Assumptions!$C$97)</f>
        <v>81333.3333333333</v>
      </c>
      <c r="AN172" s="11" t="n">
        <f aca="false">SUM(C172:N172)</f>
        <v>101666.666666667</v>
      </c>
      <c r="AO172" s="11" t="n">
        <f aca="false">SUM(O172:Z172)</f>
        <v>437166.666666667</v>
      </c>
      <c r="AP172" s="11" t="n">
        <f aca="false">SUM(AA172:AL172)</f>
        <v>884500</v>
      </c>
    </row>
    <row r="173" customFormat="false" ht="15" hidden="false" customHeight="false" outlineLevel="0" collapsed="false">
      <c r="A173" s="0" t="s">
        <v>975</v>
      </c>
      <c r="B173" s="0" t="s">
        <v>230</v>
      </c>
      <c r="C173" s="9" t="n">
        <f aca="false">SUMPRODUCT((Headcount!$C$5:$C$90="CS")*Headcount!$D$5:$D$90*Headcount!$F$5:$F$90*((Headcount!$I$5:$I$90=0)+(Headcount!$I$5:$I$90=1)*$C$16)*(C$18&gt;=(Headcount!$E$5:$E$90+Headcount!$G$5:$G$90*$C$15)))/12*(1+Assumptions!$C$97)</f>
        <v>0</v>
      </c>
      <c r="D173" s="9" t="n">
        <f aca="false">SUMPRODUCT((Headcount!$C$5:$C$90="CS")*Headcount!$D$5:$D$90*Headcount!$F$5:$F$90*((Headcount!$I$5:$I$90=0)+(Headcount!$I$5:$I$90=1)*$C$16)*(D$18&gt;=(Headcount!$E$5:$E$90+Headcount!$G$5:$G$90*$C$15)))/12*(1+Assumptions!$C$97)</f>
        <v>0</v>
      </c>
      <c r="E173" s="9" t="n">
        <f aca="false">SUMPRODUCT((Headcount!$C$5:$C$90="CS")*Headcount!$D$5:$D$90*Headcount!$F$5:$F$90*((Headcount!$I$5:$I$90=0)+(Headcount!$I$5:$I$90=1)*$C$16)*(E$18&gt;=(Headcount!$E$5:$E$90+Headcount!$G$5:$G$90*$C$15)))/12*(1+Assumptions!$C$97)</f>
        <v>0</v>
      </c>
      <c r="F173" s="9" t="n">
        <f aca="false">SUMPRODUCT((Headcount!$C$5:$C$90="CS")*Headcount!$D$5:$D$90*Headcount!$F$5:$F$90*((Headcount!$I$5:$I$90=0)+(Headcount!$I$5:$I$90=1)*$C$16)*(F$18&gt;=(Headcount!$E$5:$E$90+Headcount!$G$5:$G$90*$C$15)))/12*(1+Assumptions!$C$97)</f>
        <v>0</v>
      </c>
      <c r="G173" s="9" t="n">
        <f aca="false">SUMPRODUCT((Headcount!$C$5:$C$90="CS")*Headcount!$D$5:$D$90*Headcount!$F$5:$F$90*((Headcount!$I$5:$I$90=0)+(Headcount!$I$5:$I$90=1)*$C$16)*(G$18&gt;=(Headcount!$E$5:$E$90+Headcount!$G$5:$G$90*$C$15)))/12*(1+Assumptions!$C$97)</f>
        <v>0</v>
      </c>
      <c r="H173" s="9" t="n">
        <f aca="false">SUMPRODUCT((Headcount!$C$5:$C$90="CS")*Headcount!$D$5:$D$90*Headcount!$F$5:$F$90*((Headcount!$I$5:$I$90=0)+(Headcount!$I$5:$I$90=1)*$C$16)*(H$18&gt;=(Headcount!$E$5:$E$90+Headcount!$G$5:$G$90*$C$15)))/12*(1+Assumptions!$C$97)</f>
        <v>0</v>
      </c>
      <c r="I173" s="9" t="n">
        <f aca="false">SUMPRODUCT((Headcount!$C$5:$C$90="CS")*Headcount!$D$5:$D$90*Headcount!$F$5:$F$90*((Headcount!$I$5:$I$90=0)+(Headcount!$I$5:$I$90=1)*$C$16)*(I$18&gt;=(Headcount!$E$5:$E$90+Headcount!$G$5:$G$90*$C$15)))/12*(1+Assumptions!$C$97)</f>
        <v>0</v>
      </c>
      <c r="J173" s="9" t="n">
        <f aca="false">SUMPRODUCT((Headcount!$C$5:$C$90="CS")*Headcount!$D$5:$D$90*Headcount!$F$5:$F$90*((Headcount!$I$5:$I$90=0)+(Headcount!$I$5:$I$90=1)*$C$16)*(J$18&gt;=(Headcount!$E$5:$E$90+Headcount!$G$5:$G$90*$C$15)))/12*(1+Assumptions!$C$97)</f>
        <v>0</v>
      </c>
      <c r="K173" s="9" t="n">
        <f aca="false">SUMPRODUCT((Headcount!$C$5:$C$90="CS")*Headcount!$D$5:$D$90*Headcount!$F$5:$F$90*((Headcount!$I$5:$I$90=0)+(Headcount!$I$5:$I$90=1)*$C$16)*(K$18&gt;=(Headcount!$E$5:$E$90+Headcount!$G$5:$G$90*$C$15)))/12*(1+Assumptions!$C$97)</f>
        <v>0</v>
      </c>
      <c r="L173" s="9" t="n">
        <f aca="false">SUMPRODUCT((Headcount!$C$5:$C$90="CS")*Headcount!$D$5:$D$90*Headcount!$F$5:$F$90*((Headcount!$I$5:$I$90=0)+(Headcount!$I$5:$I$90=1)*$C$16)*(L$18&gt;=(Headcount!$E$5:$E$90+Headcount!$G$5:$G$90*$C$15)))/12*(1+Assumptions!$C$97)</f>
        <v>0</v>
      </c>
      <c r="M173" s="9" t="n">
        <f aca="false">SUMPRODUCT((Headcount!$C$5:$C$90="CS")*Headcount!$D$5:$D$90*Headcount!$F$5:$F$90*((Headcount!$I$5:$I$90=0)+(Headcount!$I$5:$I$90=1)*$C$16)*(M$18&gt;=(Headcount!$E$5:$E$90+Headcount!$G$5:$G$90*$C$15)))/12*(1+Assumptions!$C$97)</f>
        <v>0</v>
      </c>
      <c r="N173" s="9" t="n">
        <f aca="false">SUMPRODUCT((Headcount!$C$5:$C$90="CS")*Headcount!$D$5:$D$90*Headcount!$F$5:$F$90*((Headcount!$I$5:$I$90=0)+(Headcount!$I$5:$I$90=1)*$C$16)*(N$18&gt;=(Headcount!$E$5:$E$90+Headcount!$G$5:$G$90*$C$15)))/12*(1+Assumptions!$C$97)</f>
        <v>0</v>
      </c>
      <c r="O173" s="9" t="n">
        <f aca="false">SUMPRODUCT((Headcount!$C$5:$C$90="CS")*Headcount!$D$5:$D$90*Headcount!$F$5:$F$90*((Headcount!$I$5:$I$90=0)+(Headcount!$I$5:$I$90=1)*$C$16)*(O$18&gt;=(Headcount!$E$5:$E$90+Headcount!$G$5:$G$90*$C$15)))/12*(1+Assumptions!$C$97)</f>
        <v>0</v>
      </c>
      <c r="P173" s="9" t="n">
        <f aca="false">SUMPRODUCT((Headcount!$C$5:$C$90="CS")*Headcount!$D$5:$D$90*Headcount!$F$5:$F$90*((Headcount!$I$5:$I$90=0)+(Headcount!$I$5:$I$90=1)*$C$16)*(P$18&gt;=(Headcount!$E$5:$E$90+Headcount!$G$5:$G$90*$C$15)))/12*(1+Assumptions!$C$97)</f>
        <v>0</v>
      </c>
      <c r="Q173" s="9" t="n">
        <f aca="false">SUMPRODUCT((Headcount!$C$5:$C$90="CS")*Headcount!$D$5:$D$90*Headcount!$F$5:$F$90*((Headcount!$I$5:$I$90=0)+(Headcount!$I$5:$I$90=1)*$C$16)*(Q$18&gt;=(Headcount!$E$5:$E$90+Headcount!$G$5:$G$90*$C$15)))/12*(1+Assumptions!$C$97)</f>
        <v>0</v>
      </c>
      <c r="R173" s="9" t="n">
        <f aca="false">SUMPRODUCT((Headcount!$C$5:$C$90="CS")*Headcount!$D$5:$D$90*Headcount!$F$5:$F$90*((Headcount!$I$5:$I$90=0)+(Headcount!$I$5:$I$90=1)*$C$16)*(R$18&gt;=(Headcount!$E$5:$E$90+Headcount!$G$5:$G$90*$C$15)))/12*(1+Assumptions!$C$97)</f>
        <v>0</v>
      </c>
      <c r="S173" s="9" t="n">
        <f aca="false">SUMPRODUCT((Headcount!$C$5:$C$90="CS")*Headcount!$D$5:$D$90*Headcount!$F$5:$F$90*((Headcount!$I$5:$I$90=0)+(Headcount!$I$5:$I$90=1)*$C$16)*(S$18&gt;=(Headcount!$E$5:$E$90+Headcount!$G$5:$G$90*$C$15)))/12*(1+Assumptions!$C$97)</f>
        <v>0</v>
      </c>
      <c r="T173" s="9" t="n">
        <f aca="false">SUMPRODUCT((Headcount!$C$5:$C$90="CS")*Headcount!$D$5:$D$90*Headcount!$F$5:$F$90*((Headcount!$I$5:$I$90=0)+(Headcount!$I$5:$I$90=1)*$C$16)*(T$18&gt;=(Headcount!$E$5:$E$90+Headcount!$G$5:$G$90*$C$15)))/12*(1+Assumptions!$C$97)</f>
        <v>10166.6666666667</v>
      </c>
      <c r="U173" s="9" t="n">
        <f aca="false">SUMPRODUCT((Headcount!$C$5:$C$90="CS")*Headcount!$D$5:$D$90*Headcount!$F$5:$F$90*((Headcount!$I$5:$I$90=0)+(Headcount!$I$5:$I$90=1)*$C$16)*(U$18&gt;=(Headcount!$E$5:$E$90+Headcount!$G$5:$G$90*$C$15)))/12*(1+Assumptions!$C$97)</f>
        <v>10166.6666666667</v>
      </c>
      <c r="V173" s="9" t="n">
        <f aca="false">SUMPRODUCT((Headcount!$C$5:$C$90="CS")*Headcount!$D$5:$D$90*Headcount!$F$5:$F$90*((Headcount!$I$5:$I$90=0)+(Headcount!$I$5:$I$90=1)*$C$16)*(V$18&gt;=(Headcount!$E$5:$E$90+Headcount!$G$5:$G$90*$C$15)))/12*(1+Assumptions!$C$97)</f>
        <v>10166.6666666667</v>
      </c>
      <c r="W173" s="9" t="n">
        <f aca="false">SUMPRODUCT((Headcount!$C$5:$C$90="CS")*Headcount!$D$5:$D$90*Headcount!$F$5:$F$90*((Headcount!$I$5:$I$90=0)+(Headcount!$I$5:$I$90=1)*$C$16)*(W$18&gt;=(Headcount!$E$5:$E$90+Headcount!$G$5:$G$90*$C$15)))/12*(1+Assumptions!$C$97)</f>
        <v>10166.6666666667</v>
      </c>
      <c r="X173" s="9" t="n">
        <f aca="false">SUMPRODUCT((Headcount!$C$5:$C$90="CS")*Headcount!$D$5:$D$90*Headcount!$F$5:$F$90*((Headcount!$I$5:$I$90=0)+(Headcount!$I$5:$I$90=1)*$C$16)*(X$18&gt;=(Headcount!$E$5:$E$90+Headcount!$G$5:$G$90*$C$15)))/12*(1+Assumptions!$C$97)</f>
        <v>10166.6666666667</v>
      </c>
      <c r="Y173" s="9" t="n">
        <f aca="false">SUMPRODUCT((Headcount!$C$5:$C$90="CS")*Headcount!$D$5:$D$90*Headcount!$F$5:$F$90*((Headcount!$I$5:$I$90=0)+(Headcount!$I$5:$I$90=1)*$C$16)*(Y$18&gt;=(Headcount!$E$5:$E$90+Headcount!$G$5:$G$90*$C$15)))/12*(1+Assumptions!$C$97)</f>
        <v>10166.6666666667</v>
      </c>
      <c r="Z173" s="9" t="n">
        <f aca="false">SUMPRODUCT((Headcount!$C$5:$C$90="CS")*Headcount!$D$5:$D$90*Headcount!$F$5:$F$90*((Headcount!$I$5:$I$90=0)+(Headcount!$I$5:$I$90=1)*$C$16)*(Z$18&gt;=(Headcount!$E$5:$E$90+Headcount!$G$5:$G$90*$C$15)))/12*(1+Assumptions!$C$97)</f>
        <v>10166.6666666667</v>
      </c>
      <c r="AA173" s="9" t="n">
        <f aca="false">SUMPRODUCT((Headcount!$C$5:$C$90="CS")*Headcount!$D$5:$D$90*Headcount!$F$5:$F$90*((Headcount!$I$5:$I$90=0)+(Headcount!$I$5:$I$90=1)*$C$16)*(AA$18&gt;=(Headcount!$E$5:$E$90+Headcount!$G$5:$G$90*$C$15)))/12*(1+Assumptions!$C$97)</f>
        <v>10166.6666666667</v>
      </c>
      <c r="AB173" s="9" t="n">
        <f aca="false">SUMPRODUCT((Headcount!$C$5:$C$90="CS")*Headcount!$D$5:$D$90*Headcount!$F$5:$F$90*((Headcount!$I$5:$I$90=0)+(Headcount!$I$5:$I$90=1)*$C$16)*(AB$18&gt;=(Headcount!$E$5:$E$90+Headcount!$G$5:$G$90*$C$15)))/12*(1+Assumptions!$C$97)</f>
        <v>10166.6666666667</v>
      </c>
      <c r="AC173" s="9" t="n">
        <f aca="false">SUMPRODUCT((Headcount!$C$5:$C$90="CS")*Headcount!$D$5:$D$90*Headcount!$F$5:$F$90*((Headcount!$I$5:$I$90=0)+(Headcount!$I$5:$I$90=1)*$C$16)*(AC$18&gt;=(Headcount!$E$5:$E$90+Headcount!$G$5:$G$90*$C$15)))/12*(1+Assumptions!$C$97)</f>
        <v>10166.6666666667</v>
      </c>
      <c r="AD173" s="9" t="n">
        <f aca="false">SUMPRODUCT((Headcount!$C$5:$C$90="CS")*Headcount!$D$5:$D$90*Headcount!$F$5:$F$90*((Headcount!$I$5:$I$90=0)+(Headcount!$I$5:$I$90=1)*$C$16)*(AD$18&gt;=(Headcount!$E$5:$E$90+Headcount!$G$5:$G$90*$C$15)))/12*(1+Assumptions!$C$97)</f>
        <v>10166.6666666667</v>
      </c>
      <c r="AE173" s="9" t="n">
        <f aca="false">SUMPRODUCT((Headcount!$C$5:$C$90="CS")*Headcount!$D$5:$D$90*Headcount!$F$5:$F$90*((Headcount!$I$5:$I$90=0)+(Headcount!$I$5:$I$90=1)*$C$16)*(AE$18&gt;=(Headcount!$E$5:$E$90+Headcount!$G$5:$G$90*$C$15)))/12*(1+Assumptions!$C$97)</f>
        <v>10166.6666666667</v>
      </c>
      <c r="AF173" s="9" t="n">
        <f aca="false">SUMPRODUCT((Headcount!$C$5:$C$90="CS")*Headcount!$D$5:$D$90*Headcount!$F$5:$F$90*((Headcount!$I$5:$I$90=0)+(Headcount!$I$5:$I$90=1)*$C$16)*(AF$18&gt;=(Headcount!$E$5:$E$90+Headcount!$G$5:$G$90*$C$15)))/12*(1+Assumptions!$C$97)</f>
        <v>20333.3333333333</v>
      </c>
      <c r="AG173" s="9" t="n">
        <f aca="false">SUMPRODUCT((Headcount!$C$5:$C$90="CS")*Headcount!$D$5:$D$90*Headcount!$F$5:$F$90*((Headcount!$I$5:$I$90=0)+(Headcount!$I$5:$I$90=1)*$C$16)*(AG$18&gt;=(Headcount!$E$5:$E$90+Headcount!$G$5:$G$90*$C$15)))/12*(1+Assumptions!$C$97)</f>
        <v>20333.3333333333</v>
      </c>
      <c r="AH173" s="9" t="n">
        <f aca="false">SUMPRODUCT((Headcount!$C$5:$C$90="CS")*Headcount!$D$5:$D$90*Headcount!$F$5:$F$90*((Headcount!$I$5:$I$90=0)+(Headcount!$I$5:$I$90=1)*$C$16)*(AH$18&gt;=(Headcount!$E$5:$E$90+Headcount!$G$5:$G$90*$C$15)))/12*(1+Assumptions!$C$97)</f>
        <v>20333.3333333333</v>
      </c>
      <c r="AI173" s="9" t="n">
        <f aca="false">SUMPRODUCT((Headcount!$C$5:$C$90="CS")*Headcount!$D$5:$D$90*Headcount!$F$5:$F$90*((Headcount!$I$5:$I$90=0)+(Headcount!$I$5:$I$90=1)*$C$16)*(AI$18&gt;=(Headcount!$E$5:$E$90+Headcount!$G$5:$G$90*$C$15)))/12*(1+Assumptions!$C$97)</f>
        <v>20333.3333333333</v>
      </c>
      <c r="AJ173" s="9" t="n">
        <f aca="false">SUMPRODUCT((Headcount!$C$5:$C$90="CS")*Headcount!$D$5:$D$90*Headcount!$F$5:$F$90*((Headcount!$I$5:$I$90=0)+(Headcount!$I$5:$I$90=1)*$C$16)*(AJ$18&gt;=(Headcount!$E$5:$E$90+Headcount!$G$5:$G$90*$C$15)))/12*(1+Assumptions!$C$97)</f>
        <v>20333.3333333333</v>
      </c>
      <c r="AK173" s="9" t="n">
        <f aca="false">SUMPRODUCT((Headcount!$C$5:$C$90="CS")*Headcount!$D$5:$D$90*Headcount!$F$5:$F$90*((Headcount!$I$5:$I$90=0)+(Headcount!$I$5:$I$90=1)*$C$16)*(AK$18&gt;=(Headcount!$E$5:$E$90+Headcount!$G$5:$G$90*$C$15)))/12*(1+Assumptions!$C$97)</f>
        <v>20333.3333333333</v>
      </c>
      <c r="AL173" s="9" t="n">
        <f aca="false">SUMPRODUCT((Headcount!$C$5:$C$90="CS")*Headcount!$D$5:$D$90*Headcount!$F$5:$F$90*((Headcount!$I$5:$I$90=0)+(Headcount!$I$5:$I$90=1)*$C$16)*(AL$18&gt;=(Headcount!$E$5:$E$90+Headcount!$G$5:$G$90*$C$15)))/12*(1+Assumptions!$C$97)</f>
        <v>20333.3333333333</v>
      </c>
      <c r="AN173" s="11" t="n">
        <f aca="false">SUM(C173:N173)</f>
        <v>0</v>
      </c>
      <c r="AO173" s="11" t="n">
        <f aca="false">SUM(O173:Z173)</f>
        <v>71166.6666666667</v>
      </c>
      <c r="AP173" s="11" t="n">
        <f aca="false">SUM(AA173:AL173)</f>
        <v>193166.666666667</v>
      </c>
    </row>
    <row r="174" customFormat="false" ht="15" hidden="false" customHeight="false" outlineLevel="0" collapsed="false">
      <c r="A174" s="0" t="s">
        <v>976</v>
      </c>
      <c r="B174" s="0" t="s">
        <v>230</v>
      </c>
      <c r="C174" s="9" t="n">
        <f aca="false">SUMPRODUCT((Headcount!$C$5:$C$90="TS")*Headcount!$D$5:$D$90*Headcount!$F$5:$F$90*((Headcount!$I$5:$I$90=0)+(Headcount!$I$5:$I$90=1)*$C$16)*(C$18&gt;=(Headcount!$E$5:$E$90+Headcount!$G$5:$G$90*$C$15)))/12*(1+Assumptions!$C$97)</f>
        <v>0</v>
      </c>
      <c r="D174" s="9" t="n">
        <f aca="false">SUMPRODUCT((Headcount!$C$5:$C$90="TS")*Headcount!$D$5:$D$90*Headcount!$F$5:$F$90*((Headcount!$I$5:$I$90=0)+(Headcount!$I$5:$I$90=1)*$C$16)*(D$18&gt;=(Headcount!$E$5:$E$90+Headcount!$G$5:$G$90*$C$15)))/12*(1+Assumptions!$C$97)</f>
        <v>0</v>
      </c>
      <c r="E174" s="9" t="n">
        <f aca="false">SUMPRODUCT((Headcount!$C$5:$C$90="TS")*Headcount!$D$5:$D$90*Headcount!$F$5:$F$90*((Headcount!$I$5:$I$90=0)+(Headcount!$I$5:$I$90=1)*$C$16)*(E$18&gt;=(Headcount!$E$5:$E$90+Headcount!$G$5:$G$90*$C$15)))/12*(1+Assumptions!$C$97)</f>
        <v>0</v>
      </c>
      <c r="F174" s="9" t="n">
        <f aca="false">SUMPRODUCT((Headcount!$C$5:$C$90="TS")*Headcount!$D$5:$D$90*Headcount!$F$5:$F$90*((Headcount!$I$5:$I$90=0)+(Headcount!$I$5:$I$90=1)*$C$16)*(F$18&gt;=(Headcount!$E$5:$E$90+Headcount!$G$5:$G$90*$C$15)))/12*(1+Assumptions!$C$97)</f>
        <v>0</v>
      </c>
      <c r="G174" s="9" t="n">
        <f aca="false">SUMPRODUCT((Headcount!$C$5:$C$90="TS")*Headcount!$D$5:$D$90*Headcount!$F$5:$F$90*((Headcount!$I$5:$I$90=0)+(Headcount!$I$5:$I$90=1)*$C$16)*(G$18&gt;=(Headcount!$E$5:$E$90+Headcount!$G$5:$G$90*$C$15)))/12*(1+Assumptions!$C$97)</f>
        <v>0</v>
      </c>
      <c r="H174" s="9" t="n">
        <f aca="false">SUMPRODUCT((Headcount!$C$5:$C$90="TS")*Headcount!$D$5:$D$90*Headcount!$F$5:$F$90*((Headcount!$I$5:$I$90=0)+(Headcount!$I$5:$I$90=1)*$C$16)*(H$18&gt;=(Headcount!$E$5:$E$90+Headcount!$G$5:$G$90*$C$15)))/12*(1+Assumptions!$C$97)</f>
        <v>0</v>
      </c>
      <c r="I174" s="9" t="n">
        <f aca="false">SUMPRODUCT((Headcount!$C$5:$C$90="TS")*Headcount!$D$5:$D$90*Headcount!$F$5:$F$90*((Headcount!$I$5:$I$90=0)+(Headcount!$I$5:$I$90=1)*$C$16)*(I$18&gt;=(Headcount!$E$5:$E$90+Headcount!$G$5:$G$90*$C$15)))/12*(1+Assumptions!$C$97)</f>
        <v>0</v>
      </c>
      <c r="J174" s="9" t="n">
        <f aca="false">SUMPRODUCT((Headcount!$C$5:$C$90="TS")*Headcount!$D$5:$D$90*Headcount!$F$5:$F$90*((Headcount!$I$5:$I$90=0)+(Headcount!$I$5:$I$90=1)*$C$16)*(J$18&gt;=(Headcount!$E$5:$E$90+Headcount!$G$5:$G$90*$C$15)))/12*(1+Assumptions!$C$97)</f>
        <v>0</v>
      </c>
      <c r="K174" s="9" t="n">
        <f aca="false">SUMPRODUCT((Headcount!$C$5:$C$90="TS")*Headcount!$D$5:$D$90*Headcount!$F$5:$F$90*((Headcount!$I$5:$I$90=0)+(Headcount!$I$5:$I$90=1)*$C$16)*(K$18&gt;=(Headcount!$E$5:$E$90+Headcount!$G$5:$G$90*$C$15)))/12*(1+Assumptions!$C$97)</f>
        <v>0</v>
      </c>
      <c r="L174" s="9" t="n">
        <f aca="false">SUMPRODUCT((Headcount!$C$5:$C$90="TS")*Headcount!$D$5:$D$90*Headcount!$F$5:$F$90*((Headcount!$I$5:$I$90=0)+(Headcount!$I$5:$I$90=1)*$C$16)*(L$18&gt;=(Headcount!$E$5:$E$90+Headcount!$G$5:$G$90*$C$15)))/12*(1+Assumptions!$C$97)</f>
        <v>0</v>
      </c>
      <c r="M174" s="9" t="n">
        <f aca="false">SUMPRODUCT((Headcount!$C$5:$C$90="TS")*Headcount!$D$5:$D$90*Headcount!$F$5:$F$90*((Headcount!$I$5:$I$90=0)+(Headcount!$I$5:$I$90=1)*$C$16)*(M$18&gt;=(Headcount!$E$5:$E$90+Headcount!$G$5:$G$90*$C$15)))/12*(1+Assumptions!$C$97)</f>
        <v>0</v>
      </c>
      <c r="N174" s="9" t="n">
        <f aca="false">SUMPRODUCT((Headcount!$C$5:$C$90="TS")*Headcount!$D$5:$D$90*Headcount!$F$5:$F$90*((Headcount!$I$5:$I$90=0)+(Headcount!$I$5:$I$90=1)*$C$16)*(N$18&gt;=(Headcount!$E$5:$E$90+Headcount!$G$5:$G$90*$C$15)))/12*(1+Assumptions!$C$97)</f>
        <v>0</v>
      </c>
      <c r="O174" s="9" t="n">
        <f aca="false">SUMPRODUCT((Headcount!$C$5:$C$90="TS")*Headcount!$D$5:$D$90*Headcount!$F$5:$F$90*((Headcount!$I$5:$I$90=0)+(Headcount!$I$5:$I$90=1)*$C$16)*(O$18&gt;=(Headcount!$E$5:$E$90+Headcount!$G$5:$G$90*$C$15)))/12*(1+Assumptions!$C$97)</f>
        <v>0</v>
      </c>
      <c r="P174" s="9" t="n">
        <f aca="false">SUMPRODUCT((Headcount!$C$5:$C$90="TS")*Headcount!$D$5:$D$90*Headcount!$F$5:$F$90*((Headcount!$I$5:$I$90=0)+(Headcount!$I$5:$I$90=1)*$C$16)*(P$18&gt;=(Headcount!$E$5:$E$90+Headcount!$G$5:$G$90*$C$15)))/12*(1+Assumptions!$C$97)</f>
        <v>0</v>
      </c>
      <c r="Q174" s="9" t="n">
        <f aca="false">SUMPRODUCT((Headcount!$C$5:$C$90="TS")*Headcount!$D$5:$D$90*Headcount!$F$5:$F$90*((Headcount!$I$5:$I$90=0)+(Headcount!$I$5:$I$90=1)*$C$16)*(Q$18&gt;=(Headcount!$E$5:$E$90+Headcount!$G$5:$G$90*$C$15)))/12*(1+Assumptions!$C$97)</f>
        <v>0</v>
      </c>
      <c r="R174" s="9" t="n">
        <f aca="false">SUMPRODUCT((Headcount!$C$5:$C$90="TS")*Headcount!$D$5:$D$90*Headcount!$F$5:$F$90*((Headcount!$I$5:$I$90=0)+(Headcount!$I$5:$I$90=1)*$C$16)*(R$18&gt;=(Headcount!$E$5:$E$90+Headcount!$G$5:$G$90*$C$15)))/12*(1+Assumptions!$C$97)</f>
        <v>0</v>
      </c>
      <c r="S174" s="9" t="n">
        <f aca="false">SUMPRODUCT((Headcount!$C$5:$C$90="TS")*Headcount!$D$5:$D$90*Headcount!$F$5:$F$90*((Headcount!$I$5:$I$90=0)+(Headcount!$I$5:$I$90=1)*$C$16)*(S$18&gt;=(Headcount!$E$5:$E$90+Headcount!$G$5:$G$90*$C$15)))/12*(1+Assumptions!$C$97)</f>
        <v>0</v>
      </c>
      <c r="T174" s="9" t="n">
        <f aca="false">SUMPRODUCT((Headcount!$C$5:$C$90="TS")*Headcount!$D$5:$D$90*Headcount!$F$5:$F$90*((Headcount!$I$5:$I$90=0)+(Headcount!$I$5:$I$90=1)*$C$16)*(T$18&gt;=(Headcount!$E$5:$E$90+Headcount!$G$5:$G$90*$C$15)))/12*(1+Assumptions!$C$97)</f>
        <v>0</v>
      </c>
      <c r="U174" s="9" t="n">
        <f aca="false">SUMPRODUCT((Headcount!$C$5:$C$90="TS")*Headcount!$D$5:$D$90*Headcount!$F$5:$F$90*((Headcount!$I$5:$I$90=0)+(Headcount!$I$5:$I$90=1)*$C$16)*(U$18&gt;=(Headcount!$E$5:$E$90+Headcount!$G$5:$G$90*$C$15)))/12*(1+Assumptions!$C$97)</f>
        <v>0</v>
      </c>
      <c r="V174" s="9" t="n">
        <f aca="false">SUMPRODUCT((Headcount!$C$5:$C$90="TS")*Headcount!$D$5:$D$90*Headcount!$F$5:$F$90*((Headcount!$I$5:$I$90=0)+(Headcount!$I$5:$I$90=1)*$C$16)*(V$18&gt;=(Headcount!$E$5:$E$90+Headcount!$G$5:$G$90*$C$15)))/12*(1+Assumptions!$C$97)</f>
        <v>0</v>
      </c>
      <c r="W174" s="9" t="n">
        <f aca="false">SUMPRODUCT((Headcount!$C$5:$C$90="TS")*Headcount!$D$5:$D$90*Headcount!$F$5:$F$90*((Headcount!$I$5:$I$90=0)+(Headcount!$I$5:$I$90=1)*$C$16)*(W$18&gt;=(Headcount!$E$5:$E$90+Headcount!$G$5:$G$90*$C$15)))/12*(1+Assumptions!$C$97)</f>
        <v>0</v>
      </c>
      <c r="X174" s="9" t="n">
        <f aca="false">SUMPRODUCT((Headcount!$C$5:$C$90="TS")*Headcount!$D$5:$D$90*Headcount!$F$5:$F$90*((Headcount!$I$5:$I$90=0)+(Headcount!$I$5:$I$90=1)*$C$16)*(X$18&gt;=(Headcount!$E$5:$E$90+Headcount!$G$5:$G$90*$C$15)))/12*(1+Assumptions!$C$97)</f>
        <v>0</v>
      </c>
      <c r="Y174" s="9" t="n">
        <f aca="false">SUMPRODUCT((Headcount!$C$5:$C$90="TS")*Headcount!$D$5:$D$90*Headcount!$F$5:$F$90*((Headcount!$I$5:$I$90=0)+(Headcount!$I$5:$I$90=1)*$C$16)*(Y$18&gt;=(Headcount!$E$5:$E$90+Headcount!$G$5:$G$90*$C$15)))/12*(1+Assumptions!$C$97)</f>
        <v>0</v>
      </c>
      <c r="Z174" s="9" t="n">
        <f aca="false">SUMPRODUCT((Headcount!$C$5:$C$90="TS")*Headcount!$D$5:$D$90*Headcount!$F$5:$F$90*((Headcount!$I$5:$I$90=0)+(Headcount!$I$5:$I$90=1)*$C$16)*(Z$18&gt;=(Headcount!$E$5:$E$90+Headcount!$G$5:$G$90*$C$15)))/12*(1+Assumptions!$C$97)</f>
        <v>0</v>
      </c>
      <c r="AA174" s="9" t="n">
        <f aca="false">SUMPRODUCT((Headcount!$C$5:$C$90="TS")*Headcount!$D$5:$D$90*Headcount!$F$5:$F$90*((Headcount!$I$5:$I$90=0)+(Headcount!$I$5:$I$90=1)*$C$16)*(AA$18&gt;=(Headcount!$E$5:$E$90+Headcount!$G$5:$G$90*$C$15)))/12*(1+Assumptions!$C$97)</f>
        <v>0</v>
      </c>
      <c r="AB174" s="9" t="n">
        <f aca="false">SUMPRODUCT((Headcount!$C$5:$C$90="TS")*Headcount!$D$5:$D$90*Headcount!$F$5:$F$90*((Headcount!$I$5:$I$90=0)+(Headcount!$I$5:$I$90=1)*$C$16)*(AB$18&gt;=(Headcount!$E$5:$E$90+Headcount!$G$5:$G$90*$C$15)))/12*(1+Assumptions!$C$97)</f>
        <v>0</v>
      </c>
      <c r="AC174" s="9" t="n">
        <f aca="false">SUMPRODUCT((Headcount!$C$5:$C$90="TS")*Headcount!$D$5:$D$90*Headcount!$F$5:$F$90*((Headcount!$I$5:$I$90=0)+(Headcount!$I$5:$I$90=1)*$C$16)*(AC$18&gt;=(Headcount!$E$5:$E$90+Headcount!$G$5:$G$90*$C$15)))/12*(1+Assumptions!$C$97)</f>
        <v>0</v>
      </c>
      <c r="AD174" s="9" t="n">
        <f aca="false">SUMPRODUCT((Headcount!$C$5:$C$90="TS")*Headcount!$D$5:$D$90*Headcount!$F$5:$F$90*((Headcount!$I$5:$I$90=0)+(Headcount!$I$5:$I$90=1)*$C$16)*(AD$18&gt;=(Headcount!$E$5:$E$90+Headcount!$G$5:$G$90*$C$15)))/12*(1+Assumptions!$C$97)</f>
        <v>0</v>
      </c>
      <c r="AE174" s="9" t="n">
        <f aca="false">SUMPRODUCT((Headcount!$C$5:$C$90="TS")*Headcount!$D$5:$D$90*Headcount!$F$5:$F$90*((Headcount!$I$5:$I$90=0)+(Headcount!$I$5:$I$90=1)*$C$16)*(AE$18&gt;=(Headcount!$E$5:$E$90+Headcount!$G$5:$G$90*$C$15)))/12*(1+Assumptions!$C$97)</f>
        <v>0</v>
      </c>
      <c r="AF174" s="9" t="n">
        <f aca="false">SUMPRODUCT((Headcount!$C$5:$C$90="TS")*Headcount!$D$5:$D$90*Headcount!$F$5:$F$90*((Headcount!$I$5:$I$90=0)+(Headcount!$I$5:$I$90=1)*$C$16)*(AF$18&gt;=(Headcount!$E$5:$E$90+Headcount!$G$5:$G$90*$C$15)))/12*(1+Assumptions!$C$97)</f>
        <v>0</v>
      </c>
      <c r="AG174" s="9" t="n">
        <f aca="false">SUMPRODUCT((Headcount!$C$5:$C$90="TS")*Headcount!$D$5:$D$90*Headcount!$F$5:$F$90*((Headcount!$I$5:$I$90=0)+(Headcount!$I$5:$I$90=1)*$C$16)*(AG$18&gt;=(Headcount!$E$5:$E$90+Headcount!$G$5:$G$90*$C$15)))/12*(1+Assumptions!$C$97)</f>
        <v>0</v>
      </c>
      <c r="AH174" s="9" t="n">
        <f aca="false">SUMPRODUCT((Headcount!$C$5:$C$90="TS")*Headcount!$D$5:$D$90*Headcount!$F$5:$F$90*((Headcount!$I$5:$I$90=0)+(Headcount!$I$5:$I$90=1)*$C$16)*(AH$18&gt;=(Headcount!$E$5:$E$90+Headcount!$G$5:$G$90*$C$15)))/12*(1+Assumptions!$C$97)</f>
        <v>7116.66666666667</v>
      </c>
      <c r="AI174" s="9" t="n">
        <f aca="false">SUMPRODUCT((Headcount!$C$5:$C$90="TS")*Headcount!$D$5:$D$90*Headcount!$F$5:$F$90*((Headcount!$I$5:$I$90=0)+(Headcount!$I$5:$I$90=1)*$C$16)*(AI$18&gt;=(Headcount!$E$5:$E$90+Headcount!$G$5:$G$90*$C$15)))/12*(1+Assumptions!$C$97)</f>
        <v>7116.66666666667</v>
      </c>
      <c r="AJ174" s="9" t="n">
        <f aca="false">SUMPRODUCT((Headcount!$C$5:$C$90="TS")*Headcount!$D$5:$D$90*Headcount!$F$5:$F$90*((Headcount!$I$5:$I$90=0)+(Headcount!$I$5:$I$90=1)*$C$16)*(AJ$18&gt;=(Headcount!$E$5:$E$90+Headcount!$G$5:$G$90*$C$15)))/12*(1+Assumptions!$C$97)</f>
        <v>7116.66666666667</v>
      </c>
      <c r="AK174" s="9" t="n">
        <f aca="false">SUMPRODUCT((Headcount!$C$5:$C$90="TS")*Headcount!$D$5:$D$90*Headcount!$F$5:$F$90*((Headcount!$I$5:$I$90=0)+(Headcount!$I$5:$I$90=1)*$C$16)*(AK$18&gt;=(Headcount!$E$5:$E$90+Headcount!$G$5:$G$90*$C$15)))/12*(1+Assumptions!$C$97)</f>
        <v>7116.66666666667</v>
      </c>
      <c r="AL174" s="9" t="n">
        <f aca="false">SUMPRODUCT((Headcount!$C$5:$C$90="TS")*Headcount!$D$5:$D$90*Headcount!$F$5:$F$90*((Headcount!$I$5:$I$90=0)+(Headcount!$I$5:$I$90=1)*$C$16)*(AL$18&gt;=(Headcount!$E$5:$E$90+Headcount!$G$5:$G$90*$C$15)))/12*(1+Assumptions!$C$97)</f>
        <v>7116.66666666667</v>
      </c>
      <c r="AN174" s="11" t="n">
        <f aca="false">SUM(C174:N174)</f>
        <v>0</v>
      </c>
      <c r="AO174" s="11" t="n">
        <f aca="false">SUM(O174:Z174)</f>
        <v>0</v>
      </c>
      <c r="AP174" s="11" t="n">
        <f aca="false">SUM(AA174:AL174)</f>
        <v>35583.3333333333</v>
      </c>
    </row>
    <row r="175" customFormat="false" ht="15" hidden="false" customHeight="false" outlineLevel="0" collapsed="false">
      <c r="A175" s="0" t="s">
        <v>977</v>
      </c>
      <c r="B175" s="0" t="s">
        <v>230</v>
      </c>
      <c r="C175" s="9" t="n">
        <f aca="false">(((1-Assumptions!$C$24)*((Assumptions!$C$26*C41)+(Assumptions!$C$27*(C34+C37))))+((Assumptions!$C$24*Assumptions!$C$25)*C41))</f>
        <v>0</v>
      </c>
      <c r="D175" s="9" t="n">
        <f aca="false">(((1-Assumptions!$C$24)*((Assumptions!$C$26*D41)+(Assumptions!$C$27*(D34+D37))))+((Assumptions!$C$24*Assumptions!$C$25)*D41))</f>
        <v>0</v>
      </c>
      <c r="E175" s="9" t="n">
        <f aca="false">(((1-Assumptions!$C$24)*((Assumptions!$C$26*E41)+(Assumptions!$C$27*(E34+E37))))+((Assumptions!$C$24*Assumptions!$C$25)*E41))</f>
        <v>0</v>
      </c>
      <c r="F175" s="9" t="n">
        <f aca="false">(((1-Assumptions!$C$24)*((Assumptions!$C$26*F41)+(Assumptions!$C$27*(F34+F37))))+((Assumptions!$C$24*Assumptions!$C$25)*F41))</f>
        <v>0</v>
      </c>
      <c r="G175" s="9" t="n">
        <f aca="false">(((1-Assumptions!$C$24)*((Assumptions!$C$26*G41)+(Assumptions!$C$27*(G34+G37))))+((Assumptions!$C$24*Assumptions!$C$25)*G41))</f>
        <v>0</v>
      </c>
      <c r="H175" s="9" t="n">
        <f aca="false">(((1-Assumptions!$C$24)*((Assumptions!$C$26*H41)+(Assumptions!$C$27*(H34+H37))))+((Assumptions!$C$24*Assumptions!$C$25)*H41))</f>
        <v>0</v>
      </c>
      <c r="I175" s="9" t="n">
        <f aca="false">(((1-Assumptions!$C$24)*((Assumptions!$C$26*I41)+(Assumptions!$C$27*(I34+I37))))+((Assumptions!$C$24*Assumptions!$C$25)*I41))</f>
        <v>0</v>
      </c>
      <c r="J175" s="9" t="n">
        <f aca="false">(((1-Assumptions!$C$24)*((Assumptions!$C$26*J41)+(Assumptions!$C$27*(J34+J37))))+((Assumptions!$C$24*Assumptions!$C$25)*J41))</f>
        <v>0</v>
      </c>
      <c r="K175" s="9" t="n">
        <f aca="false">(((1-Assumptions!$C$24)*((Assumptions!$C$26*K41)+(Assumptions!$C$27*(K34+K37))))+((Assumptions!$C$24*Assumptions!$C$25)*K41))</f>
        <v>0</v>
      </c>
      <c r="L175" s="9" t="n">
        <f aca="false">(((1-Assumptions!$C$24)*((Assumptions!$C$26*L41)+(Assumptions!$C$27*(L34+L37))))+((Assumptions!$C$24*Assumptions!$C$25)*L41))</f>
        <v>0</v>
      </c>
      <c r="M175" s="9" t="n">
        <f aca="false">(((1-Assumptions!$C$24)*((Assumptions!$C$26*M41)+(Assumptions!$C$27*(M34+M37))))+((Assumptions!$C$24*Assumptions!$C$25)*M41))</f>
        <v>0</v>
      </c>
      <c r="N175" s="9" t="n">
        <f aca="false">(((1-Assumptions!$C$24)*((Assumptions!$C$26*N41)+(Assumptions!$C$27*(N34+N37))))+((Assumptions!$C$24*Assumptions!$C$25)*N41))</f>
        <v>0</v>
      </c>
      <c r="O175" s="9" t="n">
        <f aca="false">(((1-Assumptions!$C$24)*((Assumptions!$C$26*O41)+(Assumptions!$C$27*(O34+O37))))+((Assumptions!$C$24*Assumptions!$C$25)*O41))</f>
        <v>8.22126934003187</v>
      </c>
      <c r="P175" s="9" t="n">
        <f aca="false">(((1-Assumptions!$C$24)*((Assumptions!$C$26*P41)+(Assumptions!$C$27*(P34+P37))))+((Assumptions!$C$24*Assumptions!$C$25)*P41))</f>
        <v>19.8589995141529</v>
      </c>
      <c r="Q175" s="9" t="n">
        <f aca="false">(((1-Assumptions!$C$24)*((Assumptions!$C$26*Q41)+(Assumptions!$C$27*(Q34+Q37))))+((Assumptions!$C$24*Assumptions!$C$25)*Q41))</f>
        <v>30.7213939819908</v>
      </c>
      <c r="R175" s="9" t="n">
        <f aca="false">(((1-Assumptions!$C$24)*((Assumptions!$C$26*R41)+(Assumptions!$C$27*(R34+R37))))+((Assumptions!$C$24*Assumptions!$C$25)*R41))</f>
        <v>40.5371090336943</v>
      </c>
      <c r="S175" s="9" t="n">
        <f aca="false">(((1-Assumptions!$C$24)*((Assumptions!$C$26*S41)+(Assumptions!$C$27*(S34+S37))))+((Assumptions!$C$24*Assumptions!$C$25)*S41))</f>
        <v>49.7204040183852</v>
      </c>
      <c r="T175" s="9" t="n">
        <f aca="false">(((1-Assumptions!$C$24)*((Assumptions!$C$26*T41)+(Assumptions!$C$27*(T34+T37))))+((Assumptions!$C$24*Assumptions!$C$25)*T41))</f>
        <v>58.5530413569341</v>
      </c>
      <c r="U175" s="9" t="n">
        <f aca="false">(((1-Assumptions!$C$24)*((Assumptions!$C$26*U41)+(Assumptions!$C$27*(U34+U37))))+((Assumptions!$C$24*Assumptions!$C$25)*U41))</f>
        <v>66.645074262099</v>
      </c>
      <c r="V175" s="9" t="n">
        <f aca="false">(((1-Assumptions!$C$24)*((Assumptions!$C$26*V41)+(Assumptions!$C$27*(V34+V37))))+((Assumptions!$C$24*Assumptions!$C$25)*V41))</f>
        <v>76.329438185261</v>
      </c>
      <c r="W175" s="9" t="n">
        <f aca="false">(((1-Assumptions!$C$24)*((Assumptions!$C$26*W41)+(Assumptions!$C$27*(W34+W37))))+((Assumptions!$C$24*Assumptions!$C$25)*W41))</f>
        <v>93.7967987586136</v>
      </c>
      <c r="X175" s="9" t="n">
        <f aca="false">(((1-Assumptions!$C$24)*((Assumptions!$C$26*X41)+(Assumptions!$C$27*(X34+X37))))+((Assumptions!$C$24*Assumptions!$C$25)*X41))</f>
        <v>113.906561609137</v>
      </c>
      <c r="Y175" s="9" t="n">
        <f aca="false">(((1-Assumptions!$C$24)*((Assumptions!$C$26*Y41)+(Assumptions!$C$27*(Y34+Y37))))+((Assumptions!$C$24*Assumptions!$C$25)*Y41))</f>
        <v>128.510681221169</v>
      </c>
      <c r="Z175" s="9" t="n">
        <f aca="false">(((1-Assumptions!$C$24)*((Assumptions!$C$26*Z41)+(Assumptions!$C$27*(Z34+Z37))))+((Assumptions!$C$24*Assumptions!$C$25)*Z41))</f>
        <v>141.381761268683</v>
      </c>
      <c r="AA175" s="9" t="n">
        <f aca="false">(((1-Assumptions!$C$24)*((Assumptions!$C$26*AA41)+(Assumptions!$C$27*(AA34+AA37))))+((Assumptions!$C$24*Assumptions!$C$25)*AA41))</f>
        <v>155.892255976271</v>
      </c>
      <c r="AB175" s="9" t="n">
        <f aca="false">(((1-Assumptions!$C$24)*((Assumptions!$C$26*AB41)+(Assumptions!$C$27*(AB34+AB37))))+((Assumptions!$C$24*Assumptions!$C$25)*AB41))</f>
        <v>178.892988282372</v>
      </c>
      <c r="AC175" s="9" t="n">
        <f aca="false">(((1-Assumptions!$C$24)*((Assumptions!$C$26*AC41)+(Assumptions!$C$27*(AC34+AC37))))+((Assumptions!$C$24*Assumptions!$C$25)*AC41))</f>
        <v>199.158829207041</v>
      </c>
      <c r="AD175" s="9" t="n">
        <f aca="false">(((1-Assumptions!$C$24)*((Assumptions!$C$26*AD41)+(Assumptions!$C$27*(AD34+AD37))))+((Assumptions!$C$24*Assumptions!$C$25)*AD41))</f>
        <v>216.450065130327</v>
      </c>
      <c r="AE175" s="9" t="n">
        <f aca="false">(((1-Assumptions!$C$24)*((Assumptions!$C$26*AE41)+(Assumptions!$C$27*(AE34+AE37))))+((Assumptions!$C$24*Assumptions!$C$25)*AE41))</f>
        <v>231.976881854698</v>
      </c>
      <c r="AF175" s="9" t="n">
        <f aca="false">(((1-Assumptions!$C$24)*((Assumptions!$C$26*AF41)+(Assumptions!$C$27*(AF34+AF37))))+((Assumptions!$C$24*Assumptions!$C$25)*AF41))</f>
        <v>244.193990250313</v>
      </c>
      <c r="AG175" s="9" t="n">
        <f aca="false">(((1-Assumptions!$C$24)*((Assumptions!$C$26*AG41)+(Assumptions!$C$27*(AG34+AG37))))+((Assumptions!$C$24*Assumptions!$C$25)*AG41))</f>
        <v>254.423107912748</v>
      </c>
      <c r="AH175" s="9" t="n">
        <f aca="false">(((1-Assumptions!$C$24)*((Assumptions!$C$26*AH41)+(Assumptions!$C$27*(AH34+AH37))))+((Assumptions!$C$24*Assumptions!$C$25)*AH41))</f>
        <v>267.253749778725</v>
      </c>
      <c r="AI175" s="9" t="n">
        <f aca="false">(((1-Assumptions!$C$24)*((Assumptions!$C$26*AI41)+(Assumptions!$C$27*(AI34+AI37))))+((Assumptions!$C$24*Assumptions!$C$25)*AI41))</f>
        <v>294.124180219217</v>
      </c>
      <c r="AJ175" s="9" t="n">
        <f aca="false">(((1-Assumptions!$C$24)*((Assumptions!$C$26*AJ41)+(Assumptions!$C$27*(AJ34+AJ37))))+((Assumptions!$C$24*Assumptions!$C$25)*AJ41))</f>
        <v>324.66759932433</v>
      </c>
      <c r="AK175" s="9" t="n">
        <f aca="false">(((1-Assumptions!$C$24)*((Assumptions!$C$26*AK41)+(Assumptions!$C$27*(AK34+AK37))))+((Assumptions!$C$24*Assumptions!$C$25)*AK41))</f>
        <v>343.882569824038</v>
      </c>
      <c r="AL175" s="9" t="n">
        <f aca="false">(((1-Assumptions!$C$24)*((Assumptions!$C$26*AL41)+(Assumptions!$C$27*(AL34+AL37))))+((Assumptions!$C$24*Assumptions!$C$25)*AL41))</f>
        <v>359.470892128421</v>
      </c>
      <c r="AN175" s="11" t="n">
        <f aca="false">SUM(C175:N175)</f>
        <v>0</v>
      </c>
      <c r="AO175" s="11" t="n">
        <f aca="false">SUM(O175:Z175)</f>
        <v>828.182532550151</v>
      </c>
      <c r="AP175" s="11" t="n">
        <f aca="false">SUM(AA175:AL175)</f>
        <v>3070.3871098885</v>
      </c>
    </row>
    <row r="176" customFormat="false" ht="15" hidden="false" customHeight="false" outlineLevel="0" collapsed="false">
      <c r="A176" s="0" t="s">
        <v>978</v>
      </c>
      <c r="B176" s="0" t="s">
        <v>230</v>
      </c>
      <c r="C176" s="9" t="n">
        <f aca="false">((C143*(Assumptions!$C$26+Assumptions!$C$55))+(C142*(Assumptions!$C$27+Assumptions!$C$56)))</f>
        <v>0</v>
      </c>
      <c r="D176" s="9" t="n">
        <f aca="false">((D143*(Assumptions!$C$26+Assumptions!$C$55))+(D142*(Assumptions!$C$27+Assumptions!$C$56)))</f>
        <v>0</v>
      </c>
      <c r="E176" s="9" t="n">
        <f aca="false">((E143*(Assumptions!$C$26+Assumptions!$C$55))+(E142*(Assumptions!$C$27+Assumptions!$C$56)))</f>
        <v>0</v>
      </c>
      <c r="F176" s="9" t="n">
        <f aca="false">((F143*(Assumptions!$C$26+Assumptions!$C$55))+(F142*(Assumptions!$C$27+Assumptions!$C$56)))</f>
        <v>0</v>
      </c>
      <c r="G176" s="9" t="n">
        <f aca="false">((G143*(Assumptions!$C$26+Assumptions!$C$55))+(G142*(Assumptions!$C$27+Assumptions!$C$56)))</f>
        <v>0</v>
      </c>
      <c r="H176" s="9" t="n">
        <f aca="false">((H143*(Assumptions!$C$26+Assumptions!$C$55))+(H142*(Assumptions!$C$27+Assumptions!$C$56)))</f>
        <v>0</v>
      </c>
      <c r="I176" s="9" t="n">
        <f aca="false">((I143*(Assumptions!$C$26+Assumptions!$C$55))+(I142*(Assumptions!$C$27+Assumptions!$C$56)))</f>
        <v>0</v>
      </c>
      <c r="J176" s="9" t="n">
        <f aca="false">((J143*(Assumptions!$C$26+Assumptions!$C$55))+(J142*(Assumptions!$C$27+Assumptions!$C$56)))</f>
        <v>0</v>
      </c>
      <c r="K176" s="9" t="n">
        <f aca="false">((K143*(Assumptions!$C$26+Assumptions!$C$55))+(K142*(Assumptions!$C$27+Assumptions!$C$56)))</f>
        <v>0</v>
      </c>
      <c r="L176" s="9" t="n">
        <f aca="false">((L143*(Assumptions!$C$26+Assumptions!$C$55))+(L142*(Assumptions!$C$27+Assumptions!$C$56)))</f>
        <v>0</v>
      </c>
      <c r="M176" s="9" t="n">
        <f aca="false">((M143*(Assumptions!$C$26+Assumptions!$C$55))+(M142*(Assumptions!$C$27+Assumptions!$C$56)))</f>
        <v>0</v>
      </c>
      <c r="N176" s="9" t="n">
        <f aca="false">((N143*(Assumptions!$C$26+Assumptions!$C$55))+(N142*(Assumptions!$C$27+Assumptions!$C$56)))</f>
        <v>0</v>
      </c>
      <c r="O176" s="9" t="n">
        <f aca="false">((O143*(Assumptions!$C$26+Assumptions!$C$55))+(O142*(Assumptions!$C$27+Assumptions!$C$56)))</f>
        <v>0</v>
      </c>
      <c r="P176" s="9" t="n">
        <f aca="false">((P143*(Assumptions!$C$26+Assumptions!$C$55))+(P142*(Assumptions!$C$27+Assumptions!$C$56)))</f>
        <v>0</v>
      </c>
      <c r="Q176" s="9" t="n">
        <f aca="false">((Q143*(Assumptions!$C$26+Assumptions!$C$55))+(Q142*(Assumptions!$C$27+Assumptions!$C$56)))</f>
        <v>0</v>
      </c>
      <c r="R176" s="9" t="n">
        <f aca="false">((R143*(Assumptions!$C$26+Assumptions!$C$55))+(R142*(Assumptions!$C$27+Assumptions!$C$56)))</f>
        <v>0</v>
      </c>
      <c r="S176" s="9" t="n">
        <f aca="false">((S143*(Assumptions!$C$26+Assumptions!$C$55))+(S142*(Assumptions!$C$27+Assumptions!$C$56)))</f>
        <v>0</v>
      </c>
      <c r="T176" s="9" t="n">
        <f aca="false">((T143*(Assumptions!$C$26+Assumptions!$C$55))+(T142*(Assumptions!$C$27+Assumptions!$C$56)))</f>
        <v>0</v>
      </c>
      <c r="U176" s="9" t="n">
        <f aca="false">((U143*(Assumptions!$C$26+Assumptions!$C$55))+(U142*(Assumptions!$C$27+Assumptions!$C$56)))</f>
        <v>0</v>
      </c>
      <c r="V176" s="9" t="n">
        <f aca="false">((V143*(Assumptions!$C$26+Assumptions!$C$55))+(V142*(Assumptions!$C$27+Assumptions!$C$56)))</f>
        <v>0</v>
      </c>
      <c r="W176" s="9" t="n">
        <f aca="false">((W143*(Assumptions!$C$26+Assumptions!$C$55))+(W142*(Assumptions!$C$27+Assumptions!$C$56)))</f>
        <v>0</v>
      </c>
      <c r="X176" s="9" t="n">
        <f aca="false">((X143*(Assumptions!$C$26+Assumptions!$C$55))+(X142*(Assumptions!$C$27+Assumptions!$C$56)))</f>
        <v>0</v>
      </c>
      <c r="Y176" s="9" t="n">
        <f aca="false">((Y143*(Assumptions!$C$26+Assumptions!$C$55))+(Y142*(Assumptions!$C$27+Assumptions!$C$56)))</f>
        <v>0</v>
      </c>
      <c r="Z176" s="9" t="n">
        <f aca="false">((Z143*(Assumptions!$C$26+Assumptions!$C$55))+(Z142*(Assumptions!$C$27+Assumptions!$C$56)))</f>
        <v>0</v>
      </c>
      <c r="AA176" s="9" t="n">
        <f aca="false">((AA143*(Assumptions!$C$26+Assumptions!$C$55))+(AA142*(Assumptions!$C$27+Assumptions!$C$56)))</f>
        <v>0</v>
      </c>
      <c r="AB176" s="9" t="n">
        <f aca="false">((AB143*(Assumptions!$C$26+Assumptions!$C$55))+(AB142*(Assumptions!$C$27+Assumptions!$C$56)))</f>
        <v>0</v>
      </c>
      <c r="AC176" s="9" t="n">
        <f aca="false">((AC143*(Assumptions!$C$26+Assumptions!$C$55))+(AC142*(Assumptions!$C$27+Assumptions!$C$56)))</f>
        <v>0</v>
      </c>
      <c r="AD176" s="9" t="n">
        <f aca="false">((AD143*(Assumptions!$C$26+Assumptions!$C$55))+(AD142*(Assumptions!$C$27+Assumptions!$C$56)))</f>
        <v>0</v>
      </c>
      <c r="AE176" s="9" t="n">
        <f aca="false">((AE143*(Assumptions!$C$26+Assumptions!$C$55))+(AE142*(Assumptions!$C$27+Assumptions!$C$56)))</f>
        <v>0</v>
      </c>
      <c r="AF176" s="9" t="n">
        <f aca="false">((AF143*(Assumptions!$C$26+Assumptions!$C$55))+(AF142*(Assumptions!$C$27+Assumptions!$C$56)))</f>
        <v>0</v>
      </c>
      <c r="AG176" s="9" t="n">
        <f aca="false">((AG143*(Assumptions!$C$26+Assumptions!$C$55))+(AG142*(Assumptions!$C$27+Assumptions!$C$56)))</f>
        <v>643.2</v>
      </c>
      <c r="AH176" s="9" t="n">
        <f aca="false">((AH143*(Assumptions!$C$26+Assumptions!$C$55))+(AH142*(Assumptions!$C$27+Assumptions!$C$56)))</f>
        <v>858.672</v>
      </c>
      <c r="AI176" s="9" t="n">
        <f aca="false">((AI143*(Assumptions!$C$26+Assumptions!$C$55))+(AI142*(Assumptions!$C$27+Assumptions!$C$56)))</f>
        <v>1065.52512</v>
      </c>
      <c r="AJ176" s="9" t="n">
        <f aca="false">((AJ143*(Assumptions!$C$26+Assumptions!$C$55))+(AJ142*(Assumptions!$C$27+Assumptions!$C$56)))</f>
        <v>1264.1041152</v>
      </c>
      <c r="AK176" s="9" t="n">
        <f aca="false">((AK143*(Assumptions!$C$26+Assumptions!$C$55))+(AK142*(Assumptions!$C$27+Assumptions!$C$56)))</f>
        <v>1454.739950592</v>
      </c>
      <c r="AL176" s="9" t="n">
        <f aca="false">((AL143*(Assumptions!$C$26+Assumptions!$C$55))+(AL142*(Assumptions!$C$27+Assumptions!$C$56)))</f>
        <v>1637.75035256832</v>
      </c>
      <c r="AN176" s="11" t="n">
        <f aca="false">SUM(C176:N176)</f>
        <v>0</v>
      </c>
      <c r="AO176" s="11" t="n">
        <f aca="false">SUM(O176:Z176)</f>
        <v>0</v>
      </c>
      <c r="AP176" s="11" t="n">
        <f aca="false">SUM(AA176:AL176)</f>
        <v>6923.99153836032</v>
      </c>
    </row>
    <row r="177" customFormat="false" ht="15" hidden="false" customHeight="false" outlineLevel="0" collapsed="false">
      <c r="A177" s="0" t="s">
        <v>979</v>
      </c>
      <c r="B177" s="0" t="s">
        <v>230</v>
      </c>
      <c r="C177" s="9" t="n">
        <f aca="false">(((((((C158+C159)+C160)+C161)+C162)+C163)+C165)+C170)</f>
        <v>67.1082984</v>
      </c>
      <c r="D177" s="9" t="n">
        <f aca="false">(((((((D158+D159)+D160)+D161)+D162)+D163)+D165)+D170)</f>
        <v>119.24628408</v>
      </c>
      <c r="E177" s="9" t="n">
        <f aca="false">(((((((E158+E159)+E160)+E161)+E162)+E163)+E165)+E170)</f>
        <v>157.13872666272</v>
      </c>
      <c r="F177" s="9" t="n">
        <f aca="false">(((((((F158+F159)+F160)+F161)+F162)+F163)+F165)+F170)</f>
        <v>187.467960772224</v>
      </c>
      <c r="G177" s="9" t="n">
        <f aca="false">(((((((G158+G159)+G160)+G161)+G162)+G163)+G165)+G170)</f>
        <v>297.214873120236</v>
      </c>
      <c r="H177" s="9" t="n">
        <f aca="false">(((((((H158+H159)+H160)+H161)+H162)+H163)+H165)+H170)</f>
        <v>307.266708535075</v>
      </c>
      <c r="I177" s="9" t="n">
        <f aca="false">(((((((I158+I159)+I160)+I161)+I162)+I163)+I165)+I170)</f>
        <v>332.830063712377</v>
      </c>
      <c r="J177" s="9" t="n">
        <f aca="false">(((((((J158+J159)+J160)+J161)+J162)+J163)+J165)+J170)</f>
        <v>816.343924926783</v>
      </c>
      <c r="K177" s="9" t="n">
        <f aca="false">(((((((K158+K159)+K160)+K161)+K162)+K163)+K165)+K170)</f>
        <v>924.228694930789</v>
      </c>
      <c r="L177" s="9" t="n">
        <f aca="false">(((((((L158+L159)+L160)+L161)+L162)+L163)+L165)+L170)</f>
        <v>967.003512527865</v>
      </c>
      <c r="M177" s="9" t="n">
        <f aca="false">(((((((M158+M159)+M160)+M161)+M162)+M163)+M165)+M170)</f>
        <v>898.771831947364</v>
      </c>
      <c r="N177" s="9" t="n">
        <f aca="false">(((((((N158+N159)+N160)+N161)+N162)+N163)+N165)+N170)</f>
        <v>1065.75389955487</v>
      </c>
      <c r="O177" s="9" t="n">
        <f aca="false">(((((((O158+O159)+O160)+O161)+O162)+O163)+O165)+O170)</f>
        <v>1801.03530340202</v>
      </c>
      <c r="P177" s="9" t="n">
        <f aca="false">(((((((P158+P159)+P160)+P161)+P162)+P163)+P165)+P170)</f>
        <v>1917.58186962462</v>
      </c>
      <c r="Q177" s="9" t="n">
        <f aca="false">(((((((Q158+Q159)+Q160)+Q161)+Q162)+Q163)+Q165)+Q170)</f>
        <v>2959.95774086665</v>
      </c>
      <c r="R177" s="9" t="n">
        <f aca="false">(((((((R158+R159)+R160)+R161)+R162)+R163)+R165)+R170)</f>
        <v>3456.58703331792</v>
      </c>
      <c r="S177" s="9" t="n">
        <f aca="false">(((((((S158+S159)+S160)+S161)+S162)+S163)+S165)+S170)</f>
        <v>3645.62319510502</v>
      </c>
      <c r="T177" s="9" t="n">
        <f aca="false">(((((((T158+T159)+T160)+T161)+T162)+T163)+T165)+T170)</f>
        <v>3777.02131549451</v>
      </c>
      <c r="U177" s="9" t="n">
        <f aca="false">(((((((U158+U159)+U160)+U161)+U162)+U163)+U165)+U170)</f>
        <v>4144.34696981432</v>
      </c>
      <c r="V177" s="9" t="n">
        <f aca="false">(((((((V158+V159)+V160)+V161)+V162)+V163)+V165)+V170)</f>
        <v>4980.16833159033</v>
      </c>
      <c r="W177" s="9" t="n">
        <f aca="false">(((((((W158+W159)+W160)+W161)+W162)+W163)+W165)+W170)</f>
        <v>5749.18220972073</v>
      </c>
      <c r="X177" s="9" t="n">
        <f aca="false">(((((((X158+X159)+X160)+X161)+X162)+X163)+X165)+X170)</f>
        <v>6447.15534244156</v>
      </c>
      <c r="Y177" s="9" t="n">
        <f aca="false">(((((((Y158+Y159)+Y160)+Y161)+Y162)+Y163)+Y165)+Y170)</f>
        <v>7152.86517337903</v>
      </c>
      <c r="Z177" s="9" t="n">
        <f aca="false">(((((((Z158+Z159)+Z160)+Z161)+Z162)+Z163)+Z165)+Z170)</f>
        <v>7173.67535506785</v>
      </c>
      <c r="AA177" s="9" t="n">
        <f aca="false">(((((((AA158+AA159)+AA160)+AA161)+AA162)+AA163)+AA165)+AA170)</f>
        <v>8181.46065635615</v>
      </c>
      <c r="AB177" s="9" t="n">
        <f aca="false">(((((((AB158+AB159)+AB160)+AB161)+AB162)+AB163)+AB165)+AB170)</f>
        <v>10257.1625556028</v>
      </c>
      <c r="AC177" s="9" t="n">
        <f aca="false">(((((((AC158+AC159)+AC160)+AC161)+AC162)+AC163)+AC165)+AC170)</f>
        <v>10411.3597723973</v>
      </c>
      <c r="AD177" s="9" t="n">
        <f aca="false">(((((((AD158+AD159)+AD160)+AD161)+AD162)+AD163)+AD165)+AD170)</f>
        <v>11047.7282063994</v>
      </c>
      <c r="AE177" s="9" t="n">
        <f aca="false">(((((((AE158+AE159)+AE160)+AE161)+AE162)+AE163)+AE165)+AE170)</f>
        <v>13465.2609394935</v>
      </c>
      <c r="AF177" s="9" t="n">
        <f aca="false">(((((((AF158+AF159)+AF160)+AF161)+AF162)+AF163)+AF165)+AF170)</f>
        <v>14812.8207272804</v>
      </c>
      <c r="AG177" s="9" t="n">
        <f aca="false">(((((((AG158+AG159)+AG160)+AG161)+AG162)+AG163)+AG165)+AG170)</f>
        <v>15317.8689497999</v>
      </c>
      <c r="AH177" s="9" t="n">
        <f aca="false">(((((((AH158+AH159)+AH160)+AH161)+AH162)+AH163)+AH165)+AH170)</f>
        <v>18647.9816898244</v>
      </c>
      <c r="AI177" s="9" t="n">
        <f aca="false">(((((((AI158+AI159)+AI160)+AI161)+AI162)+AI163)+AI165)+AI170)</f>
        <v>19550.4931791097</v>
      </c>
      <c r="AJ177" s="9" t="n">
        <f aca="false">(((((((AJ158+AJ159)+AJ160)+AJ161)+AJ162)+AJ163)+AJ165)+AJ170)</f>
        <v>19916.5424505723</v>
      </c>
      <c r="AK177" s="9" t="n">
        <f aca="false">(((((((AK158+AK159)+AK160)+AK161)+AK162)+AK163)+AK165)+AK170)</f>
        <v>24368.908321409</v>
      </c>
      <c r="AL177" s="9" t="n">
        <f aca="false">(((((((AL158+AL159)+AL160)+AL161)+AL162)+AL163)+AL165)+AL170)</f>
        <v>28289.2098442499</v>
      </c>
      <c r="AN177" s="11" t="n">
        <f aca="false">SUM(C177:N177)</f>
        <v>6140.3747791703</v>
      </c>
      <c r="AO177" s="11" t="n">
        <f aca="false">SUM(O177:Z177)</f>
        <v>53205.1998398246</v>
      </c>
      <c r="AP177" s="11" t="n">
        <f aca="false">SUM(AA177:AL177)</f>
        <v>194266.797292495</v>
      </c>
    </row>
    <row r="178" customFormat="false" ht="15" hidden="false" customHeight="false" outlineLevel="0" collapsed="false">
      <c r="A178" s="0" t="s">
        <v>980</v>
      </c>
      <c r="B178" s="0" t="s">
        <v>193</v>
      </c>
      <c r="C178" s="12" t="n">
        <f aca="false">((C29+C39)/C157)</f>
        <v>1</v>
      </c>
      <c r="D178" s="12" t="n">
        <f aca="false">((D29+D39)/D157)</f>
        <v>1</v>
      </c>
      <c r="E178" s="12" t="n">
        <f aca="false">((E29+E39)/E157)</f>
        <v>1</v>
      </c>
      <c r="F178" s="12" t="n">
        <f aca="false">((F29+F39)/F157)</f>
        <v>1</v>
      </c>
      <c r="G178" s="12" t="n">
        <f aca="false">((G29+G39)/G157)</f>
        <v>0.772132420682723</v>
      </c>
      <c r="H178" s="12" t="n">
        <f aca="false">((H29+H39)/H157)</f>
        <v>0.780481144106528</v>
      </c>
      <c r="I178" s="12" t="n">
        <f aca="false">((I29+I39)/I157)</f>
        <v>0.799191896630727</v>
      </c>
      <c r="J178" s="12" t="n">
        <f aca="false">((J29+J39)/J157)</f>
        <v>0.518532526474918</v>
      </c>
      <c r="K178" s="12" t="n">
        <f aca="false">((K29+K39)/K157)</f>
        <v>0.587407074545753</v>
      </c>
      <c r="L178" s="12" t="n">
        <f aca="false">((L29+L39)/L157)</f>
        <v>0.609552425383973</v>
      </c>
      <c r="M178" s="12" t="n">
        <f aca="false">((M29+M39)/M157)</f>
        <v>0.670522004654715</v>
      </c>
      <c r="N178" s="12" t="n">
        <f aca="false">((N29+N39)/N157)</f>
        <v>0.593912400494029</v>
      </c>
      <c r="O178" s="12" t="n">
        <f aca="false">((O29+O39)/O157)</f>
        <v>0.73642687804442</v>
      </c>
      <c r="P178" s="12" t="n">
        <f aca="false">((P29+P39)/P157)</f>
        <v>0.910228013971326</v>
      </c>
      <c r="Q178" s="12" t="n">
        <f aca="false">((Q29+Q39)/Q157)</f>
        <v>0.773534097188459</v>
      </c>
      <c r="R178" s="12" t="n">
        <f aca="false">((R29+R39)/R157)</f>
        <v>0.763926316854828</v>
      </c>
      <c r="S178" s="12" t="n">
        <f aca="false">((S29+S39)/S157)</f>
        <v>0.777124988320031</v>
      </c>
      <c r="T178" s="12" t="n">
        <f aca="false">((T29+T39)/T157)</f>
        <v>0.785208075054377</v>
      </c>
      <c r="U178" s="12" t="n">
        <f aca="false">((U29+U39)/U157)</f>
        <v>0.779174812185795</v>
      </c>
      <c r="V178" s="12" t="n">
        <f aca="false">((V29+V39)/V157)</f>
        <v>0.798522701729535</v>
      </c>
      <c r="W178" s="12" t="n">
        <f aca="false">((W29+W39)/W157)</f>
        <v>0.827868600649193</v>
      </c>
      <c r="X178" s="12" t="n">
        <f aca="false">((X29+X39)/X157)</f>
        <v>0.801190682867439</v>
      </c>
      <c r="Y178" s="12" t="n">
        <f aca="false">((Y29+Y39)/Y157)</f>
        <v>0.763473259828147</v>
      </c>
      <c r="Z178" s="12" t="n">
        <f aca="false">((Z29+Z39)/Z157)</f>
        <v>0.768617242349315</v>
      </c>
      <c r="AA178" s="12" t="n">
        <f aca="false">((AA29+AA39)/AA157)</f>
        <v>0.755974093518212</v>
      </c>
      <c r="AB178" s="12" t="n">
        <f aca="false">((AB29+AB39)/AB157)</f>
        <v>0.670637352725846</v>
      </c>
      <c r="AC178" s="12" t="n">
        <f aca="false">((AC29+AC39)/AC157)</f>
        <v>0.682724414548229</v>
      </c>
      <c r="AD178" s="12" t="n">
        <f aca="false">((AD29+AD39)/AD157)</f>
        <v>0.664241642497318</v>
      </c>
      <c r="AE178" s="12" t="n">
        <f aca="false">((AE29+AE39)/AE157)</f>
        <v>0.567515765115478</v>
      </c>
      <c r="AF178" s="12" t="n">
        <f aca="false">((AF29+AF39)/AF157)</f>
        <v>0.520567056273873</v>
      </c>
      <c r="AG178" s="12" t="n">
        <f aca="false">((AG29+AG39)/AG157)</f>
        <v>0.513592182561994</v>
      </c>
      <c r="AH178" s="12" t="n">
        <f aca="false">((AH29+AH39)/AH157)</f>
        <v>0.481890256821548</v>
      </c>
      <c r="AI178" s="12" t="n">
        <f aca="false">((AI29+AI39)/AI157)</f>
        <v>0.511977830806098</v>
      </c>
      <c r="AJ178" s="12" t="n">
        <f aca="false">((AJ29+AJ39)/AJ157)</f>
        <v>0.517869324586307</v>
      </c>
      <c r="AK178" s="12" t="n">
        <f aca="false">((AK29+AK39)/AK157)</f>
        <v>0.440770606958737</v>
      </c>
      <c r="AL178" s="12" t="n">
        <f aca="false">((AL29+AL39)/AL157)</f>
        <v>0.38438288349776</v>
      </c>
    </row>
    <row r="179" customFormat="false" ht="15" hidden="false" customHeight="false" outlineLevel="0" collapsed="false">
      <c r="A179" s="0" t="s">
        <v>981</v>
      </c>
      <c r="B179" s="0" t="s">
        <v>230</v>
      </c>
      <c r="C179" s="9" t="n">
        <f aca="false">(C175+(C177*C178))</f>
        <v>67.1082984</v>
      </c>
      <c r="D179" s="9" t="n">
        <f aca="false">(D175+(D177*D178))</f>
        <v>119.24628408</v>
      </c>
      <c r="E179" s="9" t="n">
        <f aca="false">(E175+(E177*E178))</f>
        <v>157.13872666272</v>
      </c>
      <c r="F179" s="9" t="n">
        <f aca="false">(F175+(F177*F178))</f>
        <v>187.467960772224</v>
      </c>
      <c r="G179" s="9" t="n">
        <f aca="false">(G175+(G177*G178))</f>
        <v>229.489239445236</v>
      </c>
      <c r="H179" s="9" t="n">
        <f aca="false">(H175+(H177*H178))</f>
        <v>239.815872223302</v>
      </c>
      <c r="I179" s="9" t="n">
        <f aca="false">(I175+(I177*I178))</f>
        <v>265.99508987402</v>
      </c>
      <c r="J179" s="9" t="n">
        <f aca="false">(J175+(J177*J178))</f>
        <v>423.300877864735</v>
      </c>
      <c r="K179" s="9" t="n">
        <f aca="false">(K175+(K177*K178))</f>
        <v>542.898473900534</v>
      </c>
      <c r="L179" s="9" t="n">
        <f aca="false">(L175+(L177*L178))</f>
        <v>589.439336416181</v>
      </c>
      <c r="M179" s="9" t="n">
        <f aca="false">(M175+(M177*M178))</f>
        <v>602.646290484537</v>
      </c>
      <c r="N179" s="9" t="n">
        <f aca="false">(N175+(N177*N178))</f>
        <v>632.964456820504</v>
      </c>
      <c r="O179" s="9" t="n">
        <f aca="false">(O175+(O177*O178))</f>
        <v>1334.55207507217</v>
      </c>
      <c r="P179" s="9" t="n">
        <f aca="false">(P175+(P177*P178))</f>
        <v>1765.29573633</v>
      </c>
      <c r="Q179" s="9" t="n">
        <f aca="false">(Q175+(Q177*Q178))</f>
        <v>2320.34963277927</v>
      </c>
      <c r="R179" s="9" t="n">
        <f aca="false">(R175+(R177*R178))</f>
        <v>2681.11491028441</v>
      </c>
      <c r="S179" s="9" t="n">
        <f aca="false">(S175+(S177*S178))</f>
        <v>2882.8252869336</v>
      </c>
      <c r="T179" s="9" t="n">
        <f aca="false">(T175+(T177*T178))</f>
        <v>3024.30067793573</v>
      </c>
      <c r="U179" s="9" t="n">
        <f aca="false">(U175+(U177*U178))</f>
        <v>3295.81584609994</v>
      </c>
      <c r="V179" s="9" t="n">
        <f aca="false">(V175+(V177*V178))</f>
        <v>4053.10690939465</v>
      </c>
      <c r="W179" s="9" t="n">
        <f aca="false">(W175+(W177*W178))</f>
        <v>4853.36422959735</v>
      </c>
      <c r="X179" s="9" t="n">
        <f aca="false">(X175+(X177*X178))</f>
        <v>5279.30735297235</v>
      </c>
      <c r="Y179" s="9" t="n">
        <f aca="false">(Y175+(Y177*Y178))</f>
        <v>5589.53197225208</v>
      </c>
      <c r="Z179" s="9" t="n">
        <f aca="false">(Z175+(Z177*Z178))</f>
        <v>5655.19233019018</v>
      </c>
      <c r="AA179" s="9" t="n">
        <f aca="false">(AA175+(AA177*AA178))</f>
        <v>6340.86455932002</v>
      </c>
      <c r="AB179" s="9" t="n">
        <f aca="false">(AB175+(AB177*AB178))</f>
        <v>7057.7293310505</v>
      </c>
      <c r="AC179" s="9" t="n">
        <f aca="false">(AC175+(AC177*AC178))</f>
        <v>7307.24833446797</v>
      </c>
      <c r="AD179" s="9" t="n">
        <f aca="false">(AD175+(AD177*AD178))</f>
        <v>7554.81119481303</v>
      </c>
      <c r="AE179" s="9" t="n">
        <f aca="false">(AE175+(AE177*AE178))</f>
        <v>7873.72474641093</v>
      </c>
      <c r="AF179" s="9" t="n">
        <f aca="false">(AF175+(AF177*AF178))</f>
        <v>7955.26047136327</v>
      </c>
      <c r="AG179" s="9" t="n">
        <f aca="false">(AG175+(AG177*AG178))</f>
        <v>8121.56085403908</v>
      </c>
      <c r="AH179" s="9" t="n">
        <f aca="false">(AH175+(AH177*AH178))</f>
        <v>9253.53443549171</v>
      </c>
      <c r="AI179" s="9" t="n">
        <f aca="false">(AI175+(AI177*AI178))</f>
        <v>10303.5432692492</v>
      </c>
      <c r="AJ179" s="9" t="n">
        <f aca="false">(AJ175+(AJ177*AJ178))</f>
        <v>10638.8339862967</v>
      </c>
      <c r="AK179" s="9" t="n">
        <f aca="false">(AK175+(AK177*AK178))</f>
        <v>11084.9810815733</v>
      </c>
      <c r="AL179" s="9" t="n">
        <f aca="false">(AL175+(AL177*AL178))</f>
        <v>11233.3589439344</v>
      </c>
      <c r="AN179" s="11" t="n">
        <f aca="false">SUM(C179:N179)</f>
        <v>4057.51090694399</v>
      </c>
      <c r="AO179" s="11" t="n">
        <f aca="false">SUM(O179:Z179)</f>
        <v>42734.7569598417</v>
      </c>
      <c r="AP179" s="11" t="n">
        <f aca="false">SUM(AA179:AL179)</f>
        <v>104725.45120801</v>
      </c>
    </row>
    <row r="180" customFormat="false" ht="15" hidden="false" customHeight="false" outlineLevel="0" collapsed="false">
      <c r="A180" s="0" t="s">
        <v>982</v>
      </c>
      <c r="B180" s="0" t="s">
        <v>230</v>
      </c>
      <c r="C180" s="9" t="n">
        <f aca="false">(((C177*(1-C178))+C168)+C173)</f>
        <v>0</v>
      </c>
      <c r="D180" s="9" t="n">
        <f aca="false">(((D177*(1-D178))+D168)+D173)</f>
        <v>0</v>
      </c>
      <c r="E180" s="9" t="n">
        <f aca="false">(((E177*(1-E178))+E168)+E173)</f>
        <v>0</v>
      </c>
      <c r="F180" s="9" t="n">
        <f aca="false">(((F177*(1-F178))+F168)+F173)</f>
        <v>0</v>
      </c>
      <c r="G180" s="9" t="n">
        <f aca="false">(((G177*(1-G178))+G168)+G173)</f>
        <v>372.725633675</v>
      </c>
      <c r="H180" s="9" t="n">
        <f aca="false">(((H177*(1-H178))+H168)+H173)</f>
        <v>372.450836311773</v>
      </c>
      <c r="I180" s="9" t="n">
        <f aca="false">(((I177*(1-I178))+I168)+I173)</f>
        <v>371.834973838357</v>
      </c>
      <c r="J180" s="9" t="n">
        <f aca="false">(((J177*(1-J178))+J168)+J173)</f>
        <v>1003.04304706205</v>
      </c>
      <c r="K180" s="9" t="n">
        <f aca="false">(((K177*(1-K178))+K168)+K173)</f>
        <v>991.330221030255</v>
      </c>
      <c r="L180" s="9" t="n">
        <f aca="false">(((L177*(1-L178))+L168)+L173)</f>
        <v>987.564176111684</v>
      </c>
      <c r="M180" s="9" t="n">
        <f aca="false">(((M177*(1-M178))+M168)+M173)</f>
        <v>601.125541462827</v>
      </c>
      <c r="N180" s="9" t="n">
        <f aca="false">(((N177*(1-N178))+N168)+N173)</f>
        <v>920.789442734364</v>
      </c>
      <c r="O180" s="9" t="n">
        <f aca="false">(((O177*(1-O178))+O168)+O173)</f>
        <v>1267.70449766989</v>
      </c>
      <c r="P180" s="9" t="n">
        <f aca="false">(((P177*(1-P178))+P168)+P173)</f>
        <v>660.14513280878</v>
      </c>
      <c r="Q180" s="9" t="n">
        <f aca="false">(((Q177*(1-Q178))+Q168)+Q173)</f>
        <v>1341.32950206938</v>
      </c>
      <c r="R180" s="9" t="n">
        <f aca="false">(((R177*(1-R178))+R168)+R173)</f>
        <v>1731.00923206721</v>
      </c>
      <c r="S180" s="9" t="n">
        <f aca="false">(((S177*(1-S178))+S168)+S173)</f>
        <v>1727.5183121898</v>
      </c>
      <c r="T180" s="9" t="n">
        <f aca="false">(((T177*(1-T178))+T168)+T173)</f>
        <v>11892.9403455824</v>
      </c>
      <c r="U180" s="9" t="n">
        <f aca="false">(((U177*(1-U178))+U168)+U173)</f>
        <v>12057.8428646431</v>
      </c>
      <c r="V180" s="9" t="n">
        <f aca="false">(((V177*(1-V178))+V168)+V173)</f>
        <v>12298.5575270476</v>
      </c>
      <c r="W180" s="9" t="n">
        <f aca="false">(((W177*(1-W178))+W168)+W173)</f>
        <v>12284.7814455487</v>
      </c>
      <c r="X180" s="9" t="n">
        <f aca="false">(((X177*(1-X178))+X168)+X173)</f>
        <v>13247.921217745</v>
      </c>
      <c r="Y180" s="9" t="n">
        <f aca="false">(((Y177*(1-Y178))+Y168)+Y173)</f>
        <v>14078.9105490148</v>
      </c>
      <c r="Z180" s="9" t="n">
        <f aca="false">(((Z177*(1-Z178))+Z168)+Z173)</f>
        <v>13997.521452813</v>
      </c>
      <c r="AA180" s="9" t="n">
        <f aca="false">(((AA177*(1-AA178))+AA168)+AA173)</f>
        <v>15188.1450196791</v>
      </c>
      <c r="AB180" s="9" t="n">
        <f aca="false">(((AB177*(1-AB178))+AB168)+AB173)</f>
        <v>17356.8828795013</v>
      </c>
      <c r="AC180" s="9" t="n">
        <f aca="false">(((AC177*(1-AC178))+AC168)+AC173)</f>
        <v>17259.866933803</v>
      </c>
      <c r="AD180" s="9" t="n">
        <f aca="false">(((AD177*(1-AD178))+AD168)+AD173)</f>
        <v>18275.9637433834</v>
      </c>
      <c r="AE180" s="9" t="n">
        <f aca="false">(((AE177*(1-AE178))+AE168)+AE173)</f>
        <v>21747.359741604</v>
      </c>
      <c r="AF180" s="9" t="n">
        <f aca="false">(((AF177*(1-AF178))+AF168)+AF173)</f>
        <v>33497.2675795008</v>
      </c>
      <c r="AG180" s="9" t="n">
        <f aca="false">(((AG177*(1-AG178))+AG168)+AG173)</f>
        <v>34151.2445370069</v>
      </c>
      <c r="AH180" s="9" t="n">
        <f aca="false">(((AH177*(1-AH178))+AH168)+AH173)</f>
        <v>37853.6643374447</v>
      </c>
      <c r="AI180" s="9" t="n">
        <f aca="false">(((AI177*(1-AI178))+AI168)+AI173)</f>
        <v>37733.0374234131</v>
      </c>
      <c r="AJ180" s="9" t="n">
        <f aca="false">(((AJ177*(1-AJ178))+AJ168)+AJ173)</f>
        <v>38099.3393969333</v>
      </c>
      <c r="AK180" s="9" t="n">
        <f aca="false">(((AK177*(1-AK178))+AK168)+AK173)</f>
        <v>44331.2651429931</v>
      </c>
      <c r="AL180" s="9" t="n">
        <f aca="false">(((AL177*(1-AL178))+AL168)+AL173)</f>
        <v>48407.7463257772</v>
      </c>
      <c r="AN180" s="11" t="n">
        <f aca="false">SUM(C180:N180)</f>
        <v>5620.86387222631</v>
      </c>
      <c r="AO180" s="11" t="n">
        <f aca="false">SUM(O180:Z180)</f>
        <v>96586.1820791997</v>
      </c>
      <c r="AP180" s="11" t="n">
        <f aca="false">SUM(AA180:AL180)</f>
        <v>363901.78306104</v>
      </c>
    </row>
    <row r="181" customFormat="false" ht="15" hidden="false" customHeight="false" outlineLevel="0" collapsed="false">
      <c r="A181" s="0" t="s">
        <v>983</v>
      </c>
      <c r="B181" s="0" t="s">
        <v>230</v>
      </c>
      <c r="C181" s="9" t="n">
        <f aca="false">((C164+C166)+C171)</f>
        <v>6000</v>
      </c>
      <c r="D181" s="9" t="n">
        <f aca="false">((D164+D166)+D171)</f>
        <v>6000</v>
      </c>
      <c r="E181" s="9" t="n">
        <f aca="false">((E164+E166)+E171)</f>
        <v>6000</v>
      </c>
      <c r="F181" s="9" t="n">
        <f aca="false">((F164+F166)+F171)</f>
        <v>6000</v>
      </c>
      <c r="G181" s="9" t="n">
        <f aca="false">((G164+G166)+G171)</f>
        <v>6000</v>
      </c>
      <c r="H181" s="9" t="n">
        <f aca="false">((H164+H166)+H171)</f>
        <v>6000</v>
      </c>
      <c r="I181" s="9" t="n">
        <f aca="false">((I164+I166)+I171)</f>
        <v>6000</v>
      </c>
      <c r="J181" s="9" t="n">
        <f aca="false">((J164+J166)+J171)</f>
        <v>6000</v>
      </c>
      <c r="K181" s="9" t="n">
        <f aca="false">((K164+K166)+K171)</f>
        <v>12303.3333333333</v>
      </c>
      <c r="L181" s="9" t="n">
        <f aca="false">((L164+L166)+L171)</f>
        <v>12303.3333333333</v>
      </c>
      <c r="M181" s="9" t="n">
        <f aca="false">((M164+M166)+M171)</f>
        <v>12303.3333333333</v>
      </c>
      <c r="N181" s="9" t="n">
        <f aca="false">((N164+N166)+N171)</f>
        <v>12303.3333333333</v>
      </c>
      <c r="O181" s="9" t="n">
        <f aca="false">((O164+O166)+O171)</f>
        <v>18303.3333333333</v>
      </c>
      <c r="P181" s="9" t="n">
        <f aca="false">((P164+P166)+P171)</f>
        <v>18303.3333333333</v>
      </c>
      <c r="Q181" s="9" t="n">
        <f aca="false">((Q164+Q166)+Q171)</f>
        <v>18303.3333333333</v>
      </c>
      <c r="R181" s="9" t="n">
        <f aca="false">((R164+R166)+R171)</f>
        <v>18303.3333333333</v>
      </c>
      <c r="S181" s="9" t="n">
        <f aca="false">((S164+S166)+S171)</f>
        <v>18303.3333333333</v>
      </c>
      <c r="T181" s="9" t="n">
        <f aca="false">((T164+T166)+T171)</f>
        <v>26945</v>
      </c>
      <c r="U181" s="9" t="n">
        <f aca="false">((U164+U166)+U171)</f>
        <v>26945</v>
      </c>
      <c r="V181" s="9" t="n">
        <f aca="false">((V164+V166)+V171)</f>
        <v>26945</v>
      </c>
      <c r="W181" s="9" t="n">
        <f aca="false">((W164+W166)+W171)</f>
        <v>26945</v>
      </c>
      <c r="X181" s="9" t="n">
        <f aca="false">((X164+X166)+X171)</f>
        <v>26945</v>
      </c>
      <c r="Y181" s="9" t="n">
        <f aca="false">((Y164+Y166)+Y171)</f>
        <v>26945</v>
      </c>
      <c r="Z181" s="9" t="n">
        <f aca="false">((Z164+Z166)+Z171)</f>
        <v>26945</v>
      </c>
      <c r="AA181" s="9" t="n">
        <f aca="false">((AA164+AA166)+AA171)</f>
        <v>35945</v>
      </c>
      <c r="AB181" s="9" t="n">
        <f aca="false">((AB164+AB166)+AB171)</f>
        <v>42248.3333333333</v>
      </c>
      <c r="AC181" s="9" t="n">
        <f aca="false">((AC164+AC166)+AC171)</f>
        <v>42248.3333333333</v>
      </c>
      <c r="AD181" s="9" t="n">
        <f aca="false">((AD164+AD166)+AD171)</f>
        <v>42248.3333333333</v>
      </c>
      <c r="AE181" s="9" t="n">
        <f aca="false">((AE164+AE166)+AE171)</f>
        <v>42248.3333333333</v>
      </c>
      <c r="AF181" s="9" t="n">
        <f aca="false">((AF164+AF166)+AF171)</f>
        <v>42248.3333333333</v>
      </c>
      <c r="AG181" s="9" t="n">
        <f aca="false">((AG164+AG166)+AG171)</f>
        <v>42248.3333333333</v>
      </c>
      <c r="AH181" s="9" t="n">
        <f aca="false">((AH164+AH166)+AH171)</f>
        <v>42248.3333333333</v>
      </c>
      <c r="AI181" s="9" t="n">
        <f aca="false">((AI164+AI166)+AI171)</f>
        <v>48551.6666666667</v>
      </c>
      <c r="AJ181" s="9" t="n">
        <f aca="false">((AJ164+AJ166)+AJ171)</f>
        <v>48551.6666666667</v>
      </c>
      <c r="AK181" s="9" t="n">
        <f aca="false">((AK164+AK166)+AK171)</f>
        <v>48551.6666666667</v>
      </c>
      <c r="AL181" s="9" t="n">
        <f aca="false">((AL164+AL166)+AL171)</f>
        <v>48551.6666666667</v>
      </c>
      <c r="AN181" s="11" t="n">
        <f aca="false">SUM(C181:N181)</f>
        <v>97213.3333333333</v>
      </c>
      <c r="AO181" s="11" t="n">
        <f aca="false">SUM(O181:Z181)</f>
        <v>280131.666666667</v>
      </c>
      <c r="AP181" s="11" t="n">
        <f aca="false">SUM(AA181:AL181)</f>
        <v>525890</v>
      </c>
    </row>
    <row r="182" customFormat="false" ht="15" hidden="false" customHeight="false" outlineLevel="0" collapsed="false">
      <c r="A182" s="0" t="s">
        <v>984</v>
      </c>
      <c r="B182" s="0" t="s">
        <v>230</v>
      </c>
      <c r="C182" s="9" t="n">
        <f aca="false">C172</f>
        <v>0</v>
      </c>
      <c r="D182" s="9" t="n">
        <f aca="false">D172</f>
        <v>0</v>
      </c>
      <c r="E182" s="9" t="n">
        <f aca="false">E172</f>
        <v>0</v>
      </c>
      <c r="F182" s="9" t="n">
        <f aca="false">F172</f>
        <v>0</v>
      </c>
      <c r="G182" s="9" t="n">
        <f aca="false">G172</f>
        <v>10166.6666666667</v>
      </c>
      <c r="H182" s="9" t="n">
        <f aca="false">H172</f>
        <v>10166.6666666667</v>
      </c>
      <c r="I182" s="9" t="n">
        <f aca="false">I172</f>
        <v>10166.6666666667</v>
      </c>
      <c r="J182" s="9" t="n">
        <f aca="false">J172</f>
        <v>10166.6666666667</v>
      </c>
      <c r="K182" s="9" t="n">
        <f aca="false">K172</f>
        <v>10166.6666666667</v>
      </c>
      <c r="L182" s="9" t="n">
        <f aca="false">L172</f>
        <v>10166.6666666667</v>
      </c>
      <c r="M182" s="9" t="n">
        <f aca="false">M172</f>
        <v>20333.3333333333</v>
      </c>
      <c r="N182" s="9" t="n">
        <f aca="false">N172</f>
        <v>20333.3333333333</v>
      </c>
      <c r="O182" s="9" t="n">
        <f aca="false">O172</f>
        <v>20333.3333333333</v>
      </c>
      <c r="P182" s="9" t="n">
        <f aca="false">P172</f>
        <v>20333.3333333333</v>
      </c>
      <c r="Q182" s="9" t="n">
        <f aca="false">Q172</f>
        <v>30500</v>
      </c>
      <c r="R182" s="9" t="n">
        <f aca="false">R172</f>
        <v>30500</v>
      </c>
      <c r="S182" s="9" t="n">
        <f aca="false">S172</f>
        <v>30500</v>
      </c>
      <c r="T182" s="9" t="n">
        <f aca="false">T172</f>
        <v>30500</v>
      </c>
      <c r="U182" s="9" t="n">
        <f aca="false">U172</f>
        <v>40666.6666666667</v>
      </c>
      <c r="V182" s="9" t="n">
        <f aca="false">V172</f>
        <v>40666.6666666667</v>
      </c>
      <c r="W182" s="9" t="n">
        <f aca="false">W172</f>
        <v>40666.6666666667</v>
      </c>
      <c r="X182" s="9" t="n">
        <f aca="false">X172</f>
        <v>50833.3333333333</v>
      </c>
      <c r="Y182" s="9" t="n">
        <f aca="false">Y172</f>
        <v>50833.3333333333</v>
      </c>
      <c r="Z182" s="9" t="n">
        <f aca="false">Z172</f>
        <v>50833.3333333333</v>
      </c>
      <c r="AA182" s="9" t="n">
        <f aca="false">AA172</f>
        <v>61000</v>
      </c>
      <c r="AB182" s="9" t="n">
        <f aca="false">AB172</f>
        <v>61000</v>
      </c>
      <c r="AC182" s="9" t="n">
        <f aca="false">AC172</f>
        <v>61000</v>
      </c>
      <c r="AD182" s="9" t="n">
        <f aca="false">AD172</f>
        <v>71166.6666666667</v>
      </c>
      <c r="AE182" s="9" t="n">
        <f aca="false">AE172</f>
        <v>71166.6666666667</v>
      </c>
      <c r="AF182" s="9" t="n">
        <f aca="false">AF172</f>
        <v>71166.6666666667</v>
      </c>
      <c r="AG182" s="9" t="n">
        <f aca="false">AG172</f>
        <v>81333.3333333333</v>
      </c>
      <c r="AH182" s="9" t="n">
        <f aca="false">AH172</f>
        <v>81333.3333333333</v>
      </c>
      <c r="AI182" s="9" t="n">
        <f aca="false">AI172</f>
        <v>81333.3333333333</v>
      </c>
      <c r="AJ182" s="9" t="n">
        <f aca="false">AJ172</f>
        <v>81333.3333333333</v>
      </c>
      <c r="AK182" s="9" t="n">
        <f aca="false">AK172</f>
        <v>81333.3333333333</v>
      </c>
      <c r="AL182" s="9" t="n">
        <f aca="false">AL172</f>
        <v>81333.3333333333</v>
      </c>
      <c r="AN182" s="11" t="n">
        <f aca="false">SUM(C182:N182)</f>
        <v>101666.666666667</v>
      </c>
      <c r="AO182" s="11" t="n">
        <f aca="false">SUM(O182:Z182)</f>
        <v>437166.666666667</v>
      </c>
      <c r="AP182" s="11" t="n">
        <f aca="false">SUM(AA182:AL182)</f>
        <v>884500</v>
      </c>
    </row>
    <row r="183" customFormat="false" ht="15" hidden="false" customHeight="false" outlineLevel="0" collapsed="false">
      <c r="A183" s="0" t="s">
        <v>985</v>
      </c>
      <c r="B183" s="0" t="s">
        <v>230</v>
      </c>
      <c r="C183" s="9" t="n">
        <f aca="false">(C176+C174)</f>
        <v>0</v>
      </c>
      <c r="D183" s="9" t="n">
        <f aca="false">(D176+D174)</f>
        <v>0</v>
      </c>
      <c r="E183" s="9" t="n">
        <f aca="false">(E176+E174)</f>
        <v>0</v>
      </c>
      <c r="F183" s="9" t="n">
        <f aca="false">(F176+F174)</f>
        <v>0</v>
      </c>
      <c r="G183" s="9" t="n">
        <f aca="false">(G176+G174)</f>
        <v>0</v>
      </c>
      <c r="H183" s="9" t="n">
        <f aca="false">(H176+H174)</f>
        <v>0</v>
      </c>
      <c r="I183" s="9" t="n">
        <f aca="false">(I176+I174)</f>
        <v>0</v>
      </c>
      <c r="J183" s="9" t="n">
        <f aca="false">(J176+J174)</f>
        <v>0</v>
      </c>
      <c r="K183" s="9" t="n">
        <f aca="false">(K176+K174)</f>
        <v>0</v>
      </c>
      <c r="L183" s="9" t="n">
        <f aca="false">(L176+L174)</f>
        <v>0</v>
      </c>
      <c r="M183" s="9" t="n">
        <f aca="false">(M176+M174)</f>
        <v>0</v>
      </c>
      <c r="N183" s="9" t="n">
        <f aca="false">(N176+N174)</f>
        <v>0</v>
      </c>
      <c r="O183" s="9" t="n">
        <f aca="false">(O176+O174)</f>
        <v>0</v>
      </c>
      <c r="P183" s="9" t="n">
        <f aca="false">(P176+P174)</f>
        <v>0</v>
      </c>
      <c r="Q183" s="9" t="n">
        <f aca="false">(Q176+Q174)</f>
        <v>0</v>
      </c>
      <c r="R183" s="9" t="n">
        <f aca="false">(R176+R174)</f>
        <v>0</v>
      </c>
      <c r="S183" s="9" t="n">
        <f aca="false">(S176+S174)</f>
        <v>0</v>
      </c>
      <c r="T183" s="9" t="n">
        <f aca="false">(T176+T174)</f>
        <v>0</v>
      </c>
      <c r="U183" s="9" t="n">
        <f aca="false">(U176+U174)</f>
        <v>0</v>
      </c>
      <c r="V183" s="9" t="n">
        <f aca="false">(V176+V174)</f>
        <v>0</v>
      </c>
      <c r="W183" s="9" t="n">
        <f aca="false">(W176+W174)</f>
        <v>0</v>
      </c>
      <c r="X183" s="9" t="n">
        <f aca="false">(X176+X174)</f>
        <v>0</v>
      </c>
      <c r="Y183" s="9" t="n">
        <f aca="false">(Y176+Y174)</f>
        <v>0</v>
      </c>
      <c r="Z183" s="9" t="n">
        <f aca="false">(Z176+Z174)</f>
        <v>0</v>
      </c>
      <c r="AA183" s="9" t="n">
        <f aca="false">(AA176+AA174)</f>
        <v>0</v>
      </c>
      <c r="AB183" s="9" t="n">
        <f aca="false">(AB176+AB174)</f>
        <v>0</v>
      </c>
      <c r="AC183" s="9" t="n">
        <f aca="false">(AC176+AC174)</f>
        <v>0</v>
      </c>
      <c r="AD183" s="9" t="n">
        <f aca="false">(AD176+AD174)</f>
        <v>0</v>
      </c>
      <c r="AE183" s="9" t="n">
        <f aca="false">(AE176+AE174)</f>
        <v>0</v>
      </c>
      <c r="AF183" s="9" t="n">
        <f aca="false">(AF176+AF174)</f>
        <v>0</v>
      </c>
      <c r="AG183" s="9" t="n">
        <f aca="false">(AG176+AG174)</f>
        <v>643.2</v>
      </c>
      <c r="AH183" s="9" t="n">
        <f aca="false">(AH176+AH174)</f>
        <v>7975.33866666667</v>
      </c>
      <c r="AI183" s="9" t="n">
        <f aca="false">(AI176+AI174)</f>
        <v>8182.19178666667</v>
      </c>
      <c r="AJ183" s="9" t="n">
        <f aca="false">(AJ176+AJ174)</f>
        <v>8380.77078186667</v>
      </c>
      <c r="AK183" s="9" t="n">
        <f aca="false">(AK176+AK174)</f>
        <v>8571.40661725867</v>
      </c>
      <c r="AL183" s="9" t="n">
        <f aca="false">(AL176+AL174)</f>
        <v>8754.41701923499</v>
      </c>
      <c r="AN183" s="11" t="n">
        <f aca="false">SUM(C183:N183)</f>
        <v>0</v>
      </c>
      <c r="AO183" s="11" t="n">
        <f aca="false">SUM(O183:Z183)</f>
        <v>0</v>
      </c>
      <c r="AP183" s="11" t="n">
        <f aca="false">SUM(AA183:AL183)</f>
        <v>42507.3248716937</v>
      </c>
    </row>
    <row r="184" customFormat="false" ht="15" hidden="false" customHeight="false" outlineLevel="0" collapsed="false">
      <c r="A184" s="10" t="s">
        <v>986</v>
      </c>
      <c r="B184" s="20" t="s">
        <v>230</v>
      </c>
      <c r="C184" s="11" t="n">
        <f aca="false">((((C179+C180)+C181)+C182)+C183)</f>
        <v>6067.1082984</v>
      </c>
      <c r="D184" s="11" t="n">
        <f aca="false">((((D179+D180)+D181)+D182)+D183)</f>
        <v>6119.24628408</v>
      </c>
      <c r="E184" s="11" t="n">
        <f aca="false">((((E179+E180)+E181)+E182)+E183)</f>
        <v>6157.13872666272</v>
      </c>
      <c r="F184" s="11" t="n">
        <f aca="false">((((F179+F180)+F181)+F182)+F183)</f>
        <v>6187.46796077222</v>
      </c>
      <c r="G184" s="11" t="n">
        <f aca="false">((((G179+G180)+G181)+G182)+G183)</f>
        <v>16768.8815397869</v>
      </c>
      <c r="H184" s="11" t="n">
        <f aca="false">((((H179+H180)+H181)+H182)+H183)</f>
        <v>16778.9333752017</v>
      </c>
      <c r="I184" s="11" t="n">
        <f aca="false">((((I179+I180)+I181)+I182)+I183)</f>
        <v>16804.496730379</v>
      </c>
      <c r="J184" s="11" t="n">
        <f aca="false">((((J179+J180)+J181)+J182)+J183)</f>
        <v>17593.0105915935</v>
      </c>
      <c r="K184" s="11" t="n">
        <f aca="false">((((K179+K180)+K181)+K182)+K183)</f>
        <v>24004.2286949308</v>
      </c>
      <c r="L184" s="11" t="n">
        <f aca="false">((((L179+L180)+L181)+L182)+L183)</f>
        <v>24047.0035125279</v>
      </c>
      <c r="M184" s="11" t="n">
        <f aca="false">((((M179+M180)+M181)+M182)+M183)</f>
        <v>33840.438498614</v>
      </c>
      <c r="N184" s="11" t="n">
        <f aca="false">((((N179+N180)+N181)+N182)+N183)</f>
        <v>34190.4205662215</v>
      </c>
      <c r="O184" s="11" t="n">
        <f aca="false">((((O179+O180)+O181)+O182)+O183)</f>
        <v>41238.9232394087</v>
      </c>
      <c r="P184" s="11" t="n">
        <f aca="false">((((P179+P180)+P181)+P182)+P183)</f>
        <v>41062.1075358055</v>
      </c>
      <c r="Q184" s="11" t="n">
        <f aca="false">((((Q179+Q180)+Q181)+Q182)+Q183)</f>
        <v>52465.012468182</v>
      </c>
      <c r="R184" s="11" t="n">
        <f aca="false">((((R179+R180)+R181)+R182)+R183)</f>
        <v>53215.457475685</v>
      </c>
      <c r="S184" s="11" t="n">
        <f aca="false">((((S179+S180)+S181)+S182)+S183)</f>
        <v>53413.6769324567</v>
      </c>
      <c r="T184" s="11" t="n">
        <f aca="false">((((T179+T180)+T181)+T182)+T183)</f>
        <v>72362.2410235181</v>
      </c>
      <c r="U184" s="11" t="n">
        <f aca="false">((((U179+U180)+U181)+U182)+U183)</f>
        <v>82965.3253774098</v>
      </c>
      <c r="V184" s="11" t="n">
        <f aca="false">((((V179+V180)+V181)+V182)+V183)</f>
        <v>83963.3311031089</v>
      </c>
      <c r="W184" s="11" t="n">
        <f aca="false">((((W179+W180)+W181)+W182)+W183)</f>
        <v>84749.8123418127</v>
      </c>
      <c r="X184" s="11" t="n">
        <f aca="false">((((X179+X180)+X181)+X182)+X183)</f>
        <v>96305.5619040507</v>
      </c>
      <c r="Y184" s="11" t="n">
        <f aca="false">((((Y179+Y180)+Y181)+Y182)+Y183)</f>
        <v>97446.7758546002</v>
      </c>
      <c r="Z184" s="11" t="n">
        <f aca="false">((((Z179+Z180)+Z181)+Z182)+Z183)</f>
        <v>97431.0471163365</v>
      </c>
      <c r="AA184" s="11" t="n">
        <f aca="false">((((AA179+AA180)+AA181)+AA182)+AA183)</f>
        <v>118474.009578999</v>
      </c>
      <c r="AB184" s="11" t="n">
        <f aca="false">((((AB179+AB180)+AB181)+AB182)+AB183)</f>
        <v>127662.945543885</v>
      </c>
      <c r="AC184" s="11" t="n">
        <f aca="false">((((AC179+AC180)+AC181)+AC182)+AC183)</f>
        <v>127815.448601604</v>
      </c>
      <c r="AD184" s="11" t="n">
        <f aca="false">((((AD179+AD180)+AD181)+AD182)+AD183)</f>
        <v>139245.774938196</v>
      </c>
      <c r="AE184" s="11" t="n">
        <f aca="false">((((AE179+AE180)+AE181)+AE182)+AE183)</f>
        <v>143036.084488015</v>
      </c>
      <c r="AF184" s="11" t="n">
        <f aca="false">((((AF179+AF180)+AF181)+AF182)+AF183)</f>
        <v>154867.528050864</v>
      </c>
      <c r="AG184" s="11" t="n">
        <f aca="false">((((AG179+AG180)+AG181)+AG182)+AG183)</f>
        <v>166497.672057713</v>
      </c>
      <c r="AH184" s="11" t="n">
        <f aca="false">((((AH179+AH180)+AH181)+AH182)+AH183)</f>
        <v>178664.20410627</v>
      </c>
      <c r="AI184" s="11" t="n">
        <f aca="false">((((AI179+AI180)+AI181)+AI182)+AI183)</f>
        <v>186103.772479329</v>
      </c>
      <c r="AJ184" s="11" t="n">
        <f aca="false">((((AJ179+AJ180)+AJ181)+AJ182)+AJ183)</f>
        <v>187003.944165097</v>
      </c>
      <c r="AK184" s="11" t="n">
        <f aca="false">((((AK179+AK180)+AK181)+AK182)+AK183)</f>
        <v>193872.652841825</v>
      </c>
      <c r="AL184" s="11" t="n">
        <f aca="false">((((AL179+AL180)+AL181)+AL182)+AL183)</f>
        <v>198280.522288947</v>
      </c>
      <c r="AN184" s="11" t="n">
        <f aca="false">SUM(C184:N184)</f>
        <v>208558.37477917</v>
      </c>
      <c r="AO184" s="11" t="n">
        <f aca="false">SUM(O184:Z184)</f>
        <v>856619.272372375</v>
      </c>
      <c r="AP184" s="11" t="n">
        <f aca="false">SUM(AA184:AL184)</f>
        <v>1921524.55914074</v>
      </c>
    </row>
    <row r="185" customFormat="false" ht="15" hidden="false" customHeight="false" outlineLevel="0" collapsed="false">
      <c r="A185" s="0" t="s">
        <v>987</v>
      </c>
      <c r="B185" s="0" t="s">
        <v>230</v>
      </c>
      <c r="C185" s="9" t="n">
        <f aca="false">((((((((((((((((C158+C159)+C160)+C161)+C162)+C163)+C164)+C167)+C168)+C171)+C170)+C172)+C173)+C174)+C175)+C176)-C184)</f>
        <v>0</v>
      </c>
      <c r="D185" s="9" t="n">
        <f aca="false">((((((((((((((((D158+D159)+D160)+D161)+D162)+D163)+D164)+D167)+D168)+D171)+D170)+D172)+D173)+D174)+D175)+D176)-D184)</f>
        <v>0</v>
      </c>
      <c r="E185" s="9" t="n">
        <f aca="false">((((((((((((((((E158+E159)+E160)+E161)+E162)+E163)+E164)+E167)+E168)+E171)+E170)+E172)+E173)+E174)+E175)+E176)-E184)</f>
        <v>0</v>
      </c>
      <c r="F185" s="9" t="n">
        <f aca="false">((((((((((((((((F158+F159)+F160)+F161)+F162)+F163)+F164)+F167)+F168)+F171)+F170)+F172)+F173)+F174)+F175)+F176)-F184)</f>
        <v>0</v>
      </c>
      <c r="G185" s="9" t="n">
        <f aca="false">((((((((((((((((G158+G159)+G160)+G161)+G162)+G163)+G164)+G167)+G168)+G171)+G170)+G172)+G173)+G174)+G175)+G176)-G184)</f>
        <v>0</v>
      </c>
      <c r="H185" s="9" t="n">
        <f aca="false">((((((((((((((((H158+H159)+H160)+H161)+H162)+H163)+H164)+H167)+H168)+H171)+H170)+H172)+H173)+H174)+H175)+H176)-H184)</f>
        <v>0</v>
      </c>
      <c r="I185" s="9" t="n">
        <f aca="false">((((((((((((((((I158+I159)+I160)+I161)+I162)+I163)+I164)+I167)+I168)+I171)+I170)+I172)+I173)+I174)+I175)+I176)-I184)</f>
        <v>0</v>
      </c>
      <c r="J185" s="9" t="n">
        <f aca="false">((((((((((((((((J158+J159)+J160)+J161)+J162)+J163)+J164)+J167)+J168)+J171)+J170)+J172)+J173)+J174)+J175)+J176)-J184)</f>
        <v>0</v>
      </c>
      <c r="K185" s="9" t="n">
        <f aca="false">((((((((((((((((K158+K159)+K160)+K161)+K162)+K163)+K164)+K167)+K168)+K171)+K170)+K172)+K173)+K174)+K175)+K176)-K184)</f>
        <v>0</v>
      </c>
      <c r="L185" s="9" t="n">
        <f aca="false">((((((((((((((((L158+L159)+L160)+L161)+L162)+L163)+L164)+L167)+L168)+L171)+L170)+L172)+L173)+L174)+L175)+L176)-L184)</f>
        <v>0</v>
      </c>
      <c r="M185" s="9" t="n">
        <f aca="false">((((((((((((((((M158+M159)+M160)+M161)+M162)+M163)+M164)+M167)+M168)+M171)+M170)+M172)+M173)+M174)+M175)+M176)-M184)</f>
        <v>0</v>
      </c>
      <c r="N185" s="9" t="n">
        <f aca="false">((((((((((((((((N158+N159)+N160)+N161)+N162)+N163)+N164)+N167)+N168)+N171)+N170)+N172)+N173)+N174)+N175)+N176)-N184)</f>
        <v>0</v>
      </c>
      <c r="O185" s="9" t="n">
        <f aca="false">((((((((((((((((O158+O159)+O160)+O161)+O162)+O163)+O164)+O167)+O168)+O171)+O170)+O172)+O173)+O174)+O175)+O176)-O184)</f>
        <v>0</v>
      </c>
      <c r="P185" s="9" t="n">
        <f aca="false">((((((((((((((((P158+P159)+P160)+P161)+P162)+P163)+P164)+P167)+P168)+P171)+P170)+P172)+P173)+P174)+P175)+P176)-P184)</f>
        <v>0</v>
      </c>
      <c r="Q185" s="9" t="n">
        <f aca="false">((((((((((((((((Q158+Q159)+Q160)+Q161)+Q162)+Q163)+Q164)+Q167)+Q168)+Q171)+Q170)+Q172)+Q173)+Q174)+Q175)+Q176)-Q184)</f>
        <v>0</v>
      </c>
      <c r="R185" s="9" t="n">
        <f aca="false">((((((((((((((((R158+R159)+R160)+R161)+R162)+R163)+R164)+R167)+R168)+R171)+R170)+R172)+R173)+R174)+R175)+R176)-R184)</f>
        <v>0</v>
      </c>
      <c r="S185" s="9" t="n">
        <f aca="false">((((((((((((((((S158+S159)+S160)+S161)+S162)+S163)+S164)+S167)+S168)+S171)+S170)+S172)+S173)+S174)+S175)+S176)-S184)</f>
        <v>0</v>
      </c>
      <c r="T185" s="9" t="n">
        <f aca="false">((((((((((((((((T158+T159)+T160)+T161)+T162)+T163)+T164)+T167)+T168)+T171)+T170)+T172)+T173)+T174)+T175)+T176)-T184)</f>
        <v>0</v>
      </c>
      <c r="U185" s="9" t="n">
        <f aca="false">((((((((((((((((U158+U159)+U160)+U161)+U162)+U163)+U164)+U167)+U168)+U171)+U170)+U172)+U173)+U174)+U175)+U176)-U184)</f>
        <v>0</v>
      </c>
      <c r="V185" s="9" t="n">
        <f aca="false">((((((((((((((((V158+V159)+V160)+V161)+V162)+V163)+V164)+V167)+V168)+V171)+V170)+V172)+V173)+V174)+V175)+V176)-V184)</f>
        <v>0</v>
      </c>
      <c r="W185" s="9" t="n">
        <f aca="false">((((((((((((((((W158+W159)+W160)+W161)+W162)+W163)+W164)+W167)+W168)+W171)+W170)+W172)+W173)+W174)+W175)+W176)-W184)</f>
        <v>0</v>
      </c>
      <c r="X185" s="9" t="n">
        <f aca="false">((((((((((((((((X158+X159)+X160)+X161)+X162)+X163)+X164)+X167)+X168)+X171)+X170)+X172)+X173)+X174)+X175)+X176)-X184)</f>
        <v>0</v>
      </c>
      <c r="Y185" s="9" t="n">
        <f aca="false">((((((((((((((((Y158+Y159)+Y160)+Y161)+Y162)+Y163)+Y164)+Y167)+Y168)+Y171)+Y170)+Y172)+Y173)+Y174)+Y175)+Y176)-Y184)</f>
        <v>0</v>
      </c>
      <c r="Z185" s="9" t="n">
        <f aca="false">((((((((((((((((Z158+Z159)+Z160)+Z161)+Z162)+Z163)+Z164)+Z167)+Z168)+Z171)+Z170)+Z172)+Z173)+Z174)+Z175)+Z176)-Z184)</f>
        <v>0</v>
      </c>
      <c r="AA185" s="9" t="n">
        <f aca="false">((((((((((((((((AA158+AA159)+AA160)+AA161)+AA162)+AA163)+AA164)+AA167)+AA168)+AA171)+AA170)+AA172)+AA173)+AA174)+AA175)+AA176)-AA184)</f>
        <v>0</v>
      </c>
      <c r="AB185" s="9" t="n">
        <f aca="false">((((((((((((((((AB158+AB159)+AB160)+AB161)+AB162)+AB163)+AB164)+AB167)+AB168)+AB171)+AB170)+AB172)+AB173)+AB174)+AB175)+AB176)-AB184)</f>
        <v>0</v>
      </c>
      <c r="AC185" s="9" t="n">
        <f aca="false">((((((((((((((((AC158+AC159)+AC160)+AC161)+AC162)+AC163)+AC164)+AC167)+AC168)+AC171)+AC170)+AC172)+AC173)+AC174)+AC175)+AC176)-AC184)</f>
        <v>0</v>
      </c>
      <c r="AD185" s="9" t="n">
        <f aca="false">((((((((((((((((AD158+AD159)+AD160)+AD161)+AD162)+AD163)+AD164)+AD167)+AD168)+AD171)+AD170)+AD172)+AD173)+AD174)+AD175)+AD176)-AD184)</f>
        <v>0</v>
      </c>
      <c r="AE185" s="9" t="n">
        <f aca="false">((((((((((((((((AE158+AE159)+AE160)+AE161)+AE162)+AE163)+AE164)+AE167)+AE168)+AE171)+AE170)+AE172)+AE173)+AE174)+AE175)+AE176)-AE184)</f>
        <v>0</v>
      </c>
      <c r="AF185" s="9" t="n">
        <f aca="false">((((((((((((((((AF158+AF159)+AF160)+AF161)+AF162)+AF163)+AF164)+AF167)+AF168)+AF171)+AF170)+AF172)+AF173)+AF174)+AF175)+AF176)-AF184)</f>
        <v>0</v>
      </c>
      <c r="AG185" s="9" t="n">
        <f aca="false">((((((((((((((((AG158+AG159)+AG160)+AG161)+AG162)+AG163)+AG164)+AG167)+AG168)+AG171)+AG170)+AG172)+AG173)+AG174)+AG175)+AG176)-AG184)</f>
        <v>0</v>
      </c>
      <c r="AH185" s="9" t="n">
        <f aca="false">((((((((((((((((AH158+AH159)+AH160)+AH161)+AH162)+AH163)+AH164)+AH167)+AH168)+AH171)+AH170)+AH172)+AH173)+AH174)+AH175)+AH176)-AH184)</f>
        <v>0</v>
      </c>
      <c r="AI185" s="9" t="n">
        <f aca="false">((((((((((((((((AI158+AI159)+AI160)+AI161)+AI162)+AI163)+AI164)+AI167)+AI168)+AI171)+AI170)+AI172)+AI173)+AI174)+AI175)+AI176)-AI184)</f>
        <v>0</v>
      </c>
      <c r="AJ185" s="9" t="n">
        <f aca="false">((((((((((((((((AJ158+AJ159)+AJ160)+AJ161)+AJ162)+AJ163)+AJ164)+AJ167)+AJ168)+AJ171)+AJ170)+AJ172)+AJ173)+AJ174)+AJ175)+AJ176)-AJ184)</f>
        <v>0</v>
      </c>
      <c r="AK185" s="9" t="n">
        <f aca="false">((((((((((((((((AK158+AK159)+AK160)+AK161)+AK162)+AK163)+AK164)+AK167)+AK168)+AK171)+AK170)+AK172)+AK173)+AK174)+AK175)+AK176)-AK184)</f>
        <v>0</v>
      </c>
      <c r="AL185" s="9" t="n">
        <f aca="false">((((((((((((((((AL158+AL159)+AL160)+AL161)+AL162)+AL163)+AL164)+AL167)+AL168)+AL171)+AL170)+AL172)+AL173)+AL174)+AL175)+AL176)-AL184)</f>
        <v>0</v>
      </c>
      <c r="AN185" s="11" t="n">
        <f aca="false">SUM(C185:N185)</f>
        <v>0</v>
      </c>
      <c r="AO185" s="11" t="n">
        <f aca="false">SUM(O185:Z185)</f>
        <v>0</v>
      </c>
      <c r="AP185" s="11" t="n">
        <f aca="false">SUM(AA185:AL185)</f>
        <v>0</v>
      </c>
    </row>
    <row r="186" customFormat="false" ht="15" hidden="false" customHeight="false" outlineLevel="0" collapsed="false">
      <c r="A186" s="0" t="s">
        <v>988</v>
      </c>
      <c r="B186" s="0" t="s">
        <v>230</v>
      </c>
      <c r="C186" s="9" t="n">
        <f aca="false">(C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67.1082984</v>
      </c>
      <c r="D186" s="9" t="n">
        <f aca="false">(D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119.24628408</v>
      </c>
      <c r="E186" s="9" t="n">
        <f aca="false">(E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157.13872666272</v>
      </c>
      <c r="F186" s="9" t="n">
        <f aca="false">(F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187.467960772224</v>
      </c>
      <c r="G186" s="9" t="n">
        <f aca="false">(G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204.074581120236</v>
      </c>
      <c r="H186" s="9" t="n">
        <f aca="false">(H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214.126416535075</v>
      </c>
      <c r="I186" s="9" t="n">
        <f aca="false">(I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239.689771712377</v>
      </c>
      <c r="J186" s="9" t="n">
        <f aca="false">(J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335.119082926783</v>
      </c>
      <c r="K186" s="9" t="n">
        <f aca="false">(K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443.003852930789</v>
      </c>
      <c r="L186" s="9" t="n">
        <f aca="false">(L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485.778670527865</v>
      </c>
      <c r="M186" s="9" t="n">
        <f aca="false">(M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510.687281947364</v>
      </c>
      <c r="N186" s="9" t="n">
        <f aca="false">(N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518.000277554868</v>
      </c>
      <c r="O186" s="9" t="n">
        <f aca="false">(O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1156.56680175146</v>
      </c>
      <c r="P186" s="9" t="n">
        <f aca="false">(P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1653.31504695032</v>
      </c>
      <c r="Q186" s="9" t="n">
        <f aca="false">(Q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2019.68232354887</v>
      </c>
      <c r="R186" s="9" t="n">
        <f aca="false">(R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2311.1872142421</v>
      </c>
      <c r="S186" s="9" t="n">
        <f aca="false">(S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2486.27720445326</v>
      </c>
      <c r="T186" s="9" t="n">
        <f aca="false">(T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2601.76695566944</v>
      </c>
      <c r="U186" s="9" t="n">
        <f aca="false">(U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2816.19089619697</v>
      </c>
      <c r="V186" s="9" t="n">
        <f aca="false">(V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3501.58989061495</v>
      </c>
      <c r="W186" s="9" t="n">
        <f aca="false">(W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4248.94017748109</v>
      </c>
      <c r="X186" s="9" t="n">
        <f aca="false">(X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4538.75674729835</v>
      </c>
      <c r="Y186" s="9" t="n">
        <f aca="false">(Y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4697.91512751697</v>
      </c>
      <c r="Z186" s="9" t="n">
        <f aca="false">(Z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4733.7873108886</v>
      </c>
      <c r="AA186" s="9" t="n">
        <f aca="false">(AA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5276.9139035922</v>
      </c>
      <c r="AB186" s="9" t="n">
        <f aca="false">(AB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5642.54647380146</v>
      </c>
      <c r="AC186" s="9" t="n">
        <f aca="false">(AC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5846.35734606611</v>
      </c>
      <c r="AD186" s="9" t="n">
        <f aca="false">(AD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5971.13603400675</v>
      </c>
      <c r="AE186" s="9" t="n">
        <f aca="false">(AE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5952.47755189436</v>
      </c>
      <c r="AF186" s="9" t="n">
        <f aca="false">(AF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5873.97709687462</v>
      </c>
      <c r="AG186" s="9" t="n">
        <f aca="false">(AG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5963.38529120777</v>
      </c>
      <c r="AH186" s="9" t="n">
        <f aca="false">(AH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6743.05786941836</v>
      </c>
      <c r="AI186" s="9" t="n">
        <f aca="false">(AI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7614.55363224439</v>
      </c>
      <c r="AJ186" s="9" t="n">
        <f aca="false">(AJ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7852.22573323227</v>
      </c>
      <c r="AK186" s="9" t="n">
        <f aca="false">(AK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7918.19122960689</v>
      </c>
      <c r="AL186" s="9" t="n">
        <f aca="false">(AL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7825.80229974569</v>
      </c>
      <c r="AN186" s="11" t="n">
        <f aca="false">SUM(C186:N186)</f>
        <v>3481.4412051703</v>
      </c>
      <c r="AO186" s="11" t="n">
        <f aca="false">SUM(O186:Z186)</f>
        <v>36765.9756966124</v>
      </c>
      <c r="AP186" s="11" t="n">
        <f aca="false">SUM(AA186:AL186)</f>
        <v>78480.6244616909</v>
      </c>
    </row>
    <row r="187" customFormat="false" ht="15" hidden="false" customHeight="false" outlineLevel="0" collapsed="false">
      <c r="A187" s="0" t="s">
        <v>989</v>
      </c>
      <c r="B187" s="0" t="s">
        <v>230</v>
      </c>
      <c r="C187" s="9" t="n">
        <f aca="false">((C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C175)</f>
        <v>0</v>
      </c>
      <c r="D187" s="9" t="n">
        <f aca="false">((D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D175)</f>
        <v>0</v>
      </c>
      <c r="E187" s="9" t="n">
        <f aca="false">((E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E175)</f>
        <v>0</v>
      </c>
      <c r="F187" s="9" t="n">
        <f aca="false">((F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F175)</f>
        <v>0</v>
      </c>
      <c r="G187" s="9" t="n">
        <f aca="false">((G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G175)</f>
        <v>0</v>
      </c>
      <c r="H187" s="9" t="n">
        <f aca="false">((H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H175)</f>
        <v>0</v>
      </c>
      <c r="I187" s="9" t="n">
        <f aca="false">((I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I175)</f>
        <v>0</v>
      </c>
      <c r="J187" s="9" t="n">
        <f aca="false">((J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J175)</f>
        <v>0</v>
      </c>
      <c r="K187" s="9" t="n">
        <f aca="false">((K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K175)</f>
        <v>0</v>
      </c>
      <c r="L187" s="9" t="n">
        <f aca="false">((L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L175)</f>
        <v>0</v>
      </c>
      <c r="M187" s="9" t="n">
        <f aca="false">((M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M175)</f>
        <v>0</v>
      </c>
      <c r="N187" s="9" t="n">
        <f aca="false">((N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N175)</f>
        <v>0</v>
      </c>
      <c r="O187" s="9" t="n">
        <f aca="false">((O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O175)</f>
        <v>11.7958569905942</v>
      </c>
      <c r="P187" s="9" t="n">
        <f aca="false">((P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P175)</f>
        <v>31.3164581884521</v>
      </c>
      <c r="Q187" s="9" t="n">
        <f aca="false">((Q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Q175)</f>
        <v>52.8996472997737</v>
      </c>
      <c r="R187" s="9" t="n">
        <f aca="false">((R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R175)</f>
        <v>75.3498273095157</v>
      </c>
      <c r="S187" s="9" t="n">
        <f aca="false">((S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S175)</f>
        <v>98.4792938701458</v>
      </c>
      <c r="T187" s="9" t="n">
        <f aca="false">((T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T175)</f>
        <v>123.22030038201</v>
      </c>
      <c r="U187" s="9" t="n">
        <f aca="false">((U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U175)</f>
        <v>147.608285479452</v>
      </c>
      <c r="V187" s="9" t="n">
        <f aca="false">((V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V175)</f>
        <v>174.657456760642</v>
      </c>
      <c r="W187" s="9" t="n">
        <f aca="false">((W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W175)</f>
        <v>213.788408598258</v>
      </c>
      <c r="X187" s="9" t="n">
        <f aca="false">((X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X175)</f>
        <v>260.179537152352</v>
      </c>
      <c r="Y187" s="9" t="n">
        <f aca="false">((Y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Y175)</f>
        <v>302.410623483234</v>
      </c>
      <c r="Z187" s="9" t="n">
        <f aca="false">((Z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Z175)</f>
        <v>343.33035128793</v>
      </c>
      <c r="AA187" s="9" t="n">
        <f aca="false">((AA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A175)</f>
        <v>384.740182180224</v>
      </c>
      <c r="AB187" s="9" t="n">
        <f aca="false">((AB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B175)</f>
        <v>436.849735523692</v>
      </c>
      <c r="AC187" s="9" t="n">
        <f aca="false">((AC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C175)</f>
        <v>487.336456978234</v>
      </c>
      <c r="AD187" s="9" t="n">
        <f aca="false">((AD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D175)</f>
        <v>534.992596963008</v>
      </c>
      <c r="AE187" s="9" t="n">
        <f aca="false">((AE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E175)</f>
        <v>580.586418893858</v>
      </c>
      <c r="AF187" s="9" t="n">
        <f aca="false">((AF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F175)</f>
        <v>621.759390096088</v>
      </c>
      <c r="AG187" s="9" t="n">
        <f aca="false">((AG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G175)</f>
        <v>659.543985944895</v>
      </c>
      <c r="AH187" s="9" t="n">
        <f aca="false">((AH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H175)</f>
        <v>699.599926824713</v>
      </c>
      <c r="AI187" s="9" t="n">
        <f aca="false">((AI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I175)</f>
        <v>757.486083724579</v>
      </c>
      <c r="AJ187" s="9" t="n">
        <f aca="false">((AJ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J175)</f>
        <v>823.266381304346</v>
      </c>
      <c r="AK187" s="9" t="n">
        <f aca="false">((AK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K175)</f>
        <v>878.076924346123</v>
      </c>
      <c r="AL187" s="9" t="n">
        <f aca="false">((AL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L175)</f>
        <v>928.615910059823</v>
      </c>
      <c r="AN187" s="11" t="n">
        <f aca="false">SUM(C187:N187)</f>
        <v>0</v>
      </c>
      <c r="AO187" s="11" t="n">
        <f aca="false">SUM(O187:Z187)</f>
        <v>1835.03604680236</v>
      </c>
      <c r="AP187" s="11" t="n">
        <f aca="false">SUM(AA187:AL187)</f>
        <v>7792.85399283959</v>
      </c>
    </row>
    <row r="188" customFormat="false" ht="15" hidden="false" customHeight="false" outlineLevel="0" collapsed="false">
      <c r="A188" s="0" t="s">
        <v>990</v>
      </c>
      <c r="B188" s="0" t="s">
        <v>500</v>
      </c>
      <c r="C188" s="9" t="n">
        <f aca="false">0</f>
        <v>0</v>
      </c>
      <c r="D188" s="9" t="n">
        <f aca="false">C39</f>
        <v>0</v>
      </c>
      <c r="E188" s="9" t="n">
        <f aca="false">D39</f>
        <v>0</v>
      </c>
      <c r="F188" s="9" t="n">
        <f aca="false">E39</f>
        <v>0</v>
      </c>
      <c r="G188" s="9" t="n">
        <f aca="false">F39</f>
        <v>0</v>
      </c>
      <c r="H188" s="9" t="n">
        <f aca="false">G39</f>
        <v>0</v>
      </c>
      <c r="I188" s="9" t="n">
        <f aca="false">H39</f>
        <v>0</v>
      </c>
      <c r="J188" s="9" t="n">
        <f aca="false">I39</f>
        <v>0</v>
      </c>
      <c r="K188" s="9" t="n">
        <f aca="false">J39</f>
        <v>0</v>
      </c>
      <c r="L188" s="9" t="n">
        <f aca="false">K39</f>
        <v>0</v>
      </c>
      <c r="M188" s="9" t="n">
        <f aca="false">L39</f>
        <v>0</v>
      </c>
      <c r="N188" s="9" t="n">
        <f aca="false">M39</f>
        <v>0</v>
      </c>
      <c r="O188" s="9" t="n">
        <f aca="false">N39</f>
        <v>0</v>
      </c>
      <c r="P188" s="9" t="n">
        <f aca="false">O39</f>
        <v>4.51553935346985</v>
      </c>
      <c r="Q188" s="9" t="n">
        <f aca="false">P39</f>
        <v>14.4734471754843</v>
      </c>
      <c r="R188" s="9" t="n">
        <f aca="false">Q39</f>
        <v>28.0163155691308</v>
      </c>
      <c r="S188" s="9" t="n">
        <f aca="false">R39</f>
        <v>43.9765966715074</v>
      </c>
      <c r="T188" s="9" t="n">
        <f aca="false">S39</f>
        <v>61.593869693611</v>
      </c>
      <c r="U188" s="9" t="n">
        <f aca="false">T39</f>
        <v>81.6898567203466</v>
      </c>
      <c r="V188" s="9" t="n">
        <f aca="false">U39</f>
        <v>102.27545165321</v>
      </c>
      <c r="W188" s="9" t="n">
        <f aca="false">V39</f>
        <v>124.211260382999</v>
      </c>
      <c r="X188" s="9" t="n">
        <f aca="false">W39</f>
        <v>151.577437535174</v>
      </c>
      <c r="Y188" s="9" t="n">
        <f aca="false">X39</f>
        <v>184.776942680541</v>
      </c>
      <c r="Z188" s="9" t="n">
        <f aca="false">Y39</f>
        <v>219.67625628846</v>
      </c>
      <c r="AA188" s="9" t="n">
        <f aca="false">Z39</f>
        <v>255.10825156748</v>
      </c>
      <c r="AB188" s="9" t="n">
        <f aca="false">AA39</f>
        <v>289.088397810403</v>
      </c>
      <c r="AC188" s="9" t="n">
        <f aca="false">AB39</f>
        <v>325.859639636481</v>
      </c>
      <c r="AD188" s="9" t="n">
        <f aca="false">AC39</f>
        <v>364.035672418246</v>
      </c>
      <c r="AE188" s="9" t="n">
        <f aca="false">AD39</f>
        <v>402.393640569457</v>
      </c>
      <c r="AF188" s="9" t="n">
        <f aca="false">AE39</f>
        <v>440.375292867024</v>
      </c>
      <c r="AG188" s="9" t="n">
        <f aca="false">AF39</f>
        <v>476.953312711181</v>
      </c>
      <c r="AH188" s="9" t="n">
        <f aca="false">AG39</f>
        <v>511.762319600317</v>
      </c>
      <c r="AI188" s="9" t="n">
        <f aca="false">AH39</f>
        <v>546.154233052948</v>
      </c>
      <c r="AJ188" s="9" t="n">
        <f aca="false">AI39</f>
        <v>585.334341947949</v>
      </c>
      <c r="AK188" s="9" t="n">
        <f aca="false">AJ39</f>
        <v>629.846752049491</v>
      </c>
      <c r="AL188" s="9" t="n">
        <f aca="false">AK39</f>
        <v>674.812276561869</v>
      </c>
      <c r="AN188" s="11" t="n">
        <f aca="false">SUM(C188:N188)</f>
        <v>0</v>
      </c>
      <c r="AO188" s="11" t="n">
        <f aca="false">SUM(O188:Z188)</f>
        <v>1016.78297372393</v>
      </c>
      <c r="AP188" s="11" t="n">
        <f aca="false">SUM(AA188:AL188)</f>
        <v>5501.72413079285</v>
      </c>
    </row>
    <row r="189" customFormat="false" ht="15" hidden="false" customHeight="false" outlineLevel="0" collapsed="false">
      <c r="A189" s="21" t="s">
        <v>31</v>
      </c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</row>
    <row r="190" customFormat="false" ht="15" hidden="false" customHeight="false" outlineLevel="0" collapsed="false">
      <c r="A190" s="0" t="s">
        <v>991</v>
      </c>
      <c r="B190" s="0" t="s">
        <v>230</v>
      </c>
      <c r="C190" s="9" t="n">
        <f aca="false">SUMPRODUCT((Headcount!$C$5:$C$90="ENG")*Headcount!$D$5:$D$90*Headcount!$F$5:$F$90*((Headcount!$I$5:$I$90=0)+(Headcount!$I$5:$I$90=1)*$C$16)*(C$18&gt;=(Headcount!$E$5:$E$90+Headcount!$G$5:$G$90*$C$15)))/12*(1+Assumptions!$C$97)</f>
        <v>41683.3333333333</v>
      </c>
      <c r="D190" s="9" t="n">
        <f aca="false">SUMPRODUCT((Headcount!$C$5:$C$90="ENG")*Headcount!$D$5:$D$90*Headcount!$F$5:$F$90*((Headcount!$I$5:$I$90=0)+(Headcount!$I$5:$I$90=1)*$C$16)*(D$18&gt;=(Headcount!$E$5:$E$90+Headcount!$G$5:$G$90*$C$15)))/12*(1+Assumptions!$C$97)</f>
        <v>41683.3333333333</v>
      </c>
      <c r="E190" s="9" t="n">
        <f aca="false">SUMPRODUCT((Headcount!$C$5:$C$90="ENG")*Headcount!$D$5:$D$90*Headcount!$F$5:$F$90*((Headcount!$I$5:$I$90=0)+(Headcount!$I$5:$I$90=1)*$C$16)*(E$18&gt;=(Headcount!$E$5:$E$90+Headcount!$G$5:$G$90*$C$15)))/12*(1+Assumptions!$C$97)</f>
        <v>41683.3333333333</v>
      </c>
      <c r="F190" s="9" t="n">
        <f aca="false">SUMPRODUCT((Headcount!$C$5:$C$90="ENG")*Headcount!$D$5:$D$90*Headcount!$F$5:$F$90*((Headcount!$I$5:$I$90=0)+(Headcount!$I$5:$I$90=1)*$C$16)*(F$18&gt;=(Headcount!$E$5:$E$90+Headcount!$G$5:$G$90*$C$15)))/12*(1+Assumptions!$C$97)</f>
        <v>41683.3333333333</v>
      </c>
      <c r="G190" s="9" t="n">
        <f aca="false">SUMPRODUCT((Headcount!$C$5:$C$90="ENG")*Headcount!$D$5:$D$90*Headcount!$F$5:$F$90*((Headcount!$I$5:$I$90=0)+(Headcount!$I$5:$I$90=1)*$C$16)*(G$18&gt;=(Headcount!$E$5:$E$90+Headcount!$G$5:$G$90*$C$15)))/12*(1+Assumptions!$C$97)</f>
        <v>57950</v>
      </c>
      <c r="H190" s="9" t="n">
        <f aca="false">SUMPRODUCT((Headcount!$C$5:$C$90="ENG")*Headcount!$D$5:$D$90*Headcount!$F$5:$F$90*((Headcount!$I$5:$I$90=0)+(Headcount!$I$5:$I$90=1)*$C$16)*(H$18&gt;=(Headcount!$E$5:$E$90+Headcount!$G$5:$G$90*$C$15)))/12*(1+Assumptions!$C$97)</f>
        <v>73200</v>
      </c>
      <c r="I190" s="9" t="n">
        <f aca="false">SUMPRODUCT((Headcount!$C$5:$C$90="ENG")*Headcount!$D$5:$D$90*Headcount!$F$5:$F$90*((Headcount!$I$5:$I$90=0)+(Headcount!$I$5:$I$90=1)*$C$16)*(I$18&gt;=(Headcount!$E$5:$E$90+Headcount!$G$5:$G$90*$C$15)))/12*(1+Assumptions!$C$97)</f>
        <v>73200</v>
      </c>
      <c r="J190" s="9" t="n">
        <f aca="false">SUMPRODUCT((Headcount!$C$5:$C$90="ENG")*Headcount!$D$5:$D$90*Headcount!$F$5:$F$90*((Headcount!$I$5:$I$90=0)+(Headcount!$I$5:$I$90=1)*$C$16)*(J$18&gt;=(Headcount!$E$5:$E$90+Headcount!$G$5:$G$90*$C$15)))/12*(1+Assumptions!$C$97)</f>
        <v>73200</v>
      </c>
      <c r="K190" s="9" t="n">
        <f aca="false">SUMPRODUCT((Headcount!$C$5:$C$90="ENG")*Headcount!$D$5:$D$90*Headcount!$F$5:$F$90*((Headcount!$I$5:$I$90=0)+(Headcount!$I$5:$I$90=1)*$C$16)*(K$18&gt;=(Headcount!$E$5:$E$90+Headcount!$G$5:$G$90*$C$15)))/12*(1+Assumptions!$C$97)</f>
        <v>87941.6666666667</v>
      </c>
      <c r="L190" s="9" t="n">
        <f aca="false">SUMPRODUCT((Headcount!$C$5:$C$90="ENG")*Headcount!$D$5:$D$90*Headcount!$F$5:$F$90*((Headcount!$I$5:$I$90=0)+(Headcount!$I$5:$I$90=1)*$C$16)*(L$18&gt;=(Headcount!$E$5:$E$90+Headcount!$G$5:$G$90*$C$15)))/12*(1+Assumptions!$C$97)</f>
        <v>87941.6666666667</v>
      </c>
      <c r="M190" s="9" t="n">
        <f aca="false">SUMPRODUCT((Headcount!$C$5:$C$90="ENG")*Headcount!$D$5:$D$90*Headcount!$F$5:$F$90*((Headcount!$I$5:$I$90=0)+(Headcount!$I$5:$I$90=1)*$C$16)*(M$18&gt;=(Headcount!$E$5:$E$90+Headcount!$G$5:$G$90*$C$15)))/12*(1+Assumptions!$C$97)</f>
        <v>87941.6666666667</v>
      </c>
      <c r="N190" s="9" t="n">
        <f aca="false">SUMPRODUCT((Headcount!$C$5:$C$90="ENG")*Headcount!$D$5:$D$90*Headcount!$F$5:$F$90*((Headcount!$I$5:$I$90=0)+(Headcount!$I$5:$I$90=1)*$C$16)*(N$18&gt;=(Headcount!$E$5:$E$90+Headcount!$G$5:$G$90*$C$15)))/12*(1+Assumptions!$C$97)</f>
        <v>87941.6666666667</v>
      </c>
      <c r="O190" s="9" t="n">
        <f aca="false">SUMPRODUCT((Headcount!$C$5:$C$90="ENG")*Headcount!$D$5:$D$90*Headcount!$F$5:$F$90*((Headcount!$I$5:$I$90=0)+(Headcount!$I$5:$I$90=1)*$C$16)*(O$18&gt;=(Headcount!$E$5:$E$90+Headcount!$G$5:$G$90*$C$15)))/12*(1+Assumptions!$C$97)</f>
        <v>103191.666666667</v>
      </c>
      <c r="P190" s="9" t="n">
        <f aca="false">SUMPRODUCT((Headcount!$C$5:$C$90="ENG")*Headcount!$D$5:$D$90*Headcount!$F$5:$F$90*((Headcount!$I$5:$I$90=0)+(Headcount!$I$5:$I$90=1)*$C$16)*(P$18&gt;=(Headcount!$E$5:$E$90+Headcount!$G$5:$G$90*$C$15)))/12*(1+Assumptions!$C$97)</f>
        <v>118441.666666667</v>
      </c>
      <c r="Q190" s="9" t="n">
        <f aca="false">SUMPRODUCT((Headcount!$C$5:$C$90="ENG")*Headcount!$D$5:$D$90*Headcount!$F$5:$F$90*((Headcount!$I$5:$I$90=0)+(Headcount!$I$5:$I$90=1)*$C$16)*(Q$18&gt;=(Headcount!$E$5:$E$90+Headcount!$G$5:$G$90*$C$15)))/12*(1+Assumptions!$C$97)</f>
        <v>118441.666666667</v>
      </c>
      <c r="R190" s="9" t="n">
        <f aca="false">SUMPRODUCT((Headcount!$C$5:$C$90="ENG")*Headcount!$D$5:$D$90*Headcount!$F$5:$F$90*((Headcount!$I$5:$I$90=0)+(Headcount!$I$5:$I$90=1)*$C$16)*(R$18&gt;=(Headcount!$E$5:$E$90+Headcount!$G$5:$G$90*$C$15)))/12*(1+Assumptions!$C$97)</f>
        <v>118441.666666667</v>
      </c>
      <c r="S190" s="9" t="n">
        <f aca="false">SUMPRODUCT((Headcount!$C$5:$C$90="ENG")*Headcount!$D$5:$D$90*Headcount!$F$5:$F$90*((Headcount!$I$5:$I$90=0)+(Headcount!$I$5:$I$90=1)*$C$16)*(S$18&gt;=(Headcount!$E$5:$E$90+Headcount!$G$5:$G$90*$C$15)))/12*(1+Assumptions!$C$97)</f>
        <v>118441.666666667</v>
      </c>
      <c r="T190" s="9" t="n">
        <f aca="false">SUMPRODUCT((Headcount!$C$5:$C$90="ENG")*Headcount!$D$5:$D$90*Headcount!$F$5:$F$90*((Headcount!$I$5:$I$90=0)+(Headcount!$I$5:$I$90=1)*$C$16)*(T$18&gt;=(Headcount!$E$5:$E$90+Headcount!$G$5:$G$90*$C$15)))/12*(1+Assumptions!$C$97)</f>
        <v>118441.666666667</v>
      </c>
      <c r="U190" s="9" t="n">
        <f aca="false">SUMPRODUCT((Headcount!$C$5:$C$90="ENG")*Headcount!$D$5:$D$90*Headcount!$F$5:$F$90*((Headcount!$I$5:$I$90=0)+(Headcount!$I$5:$I$90=1)*$C$16)*(U$18&gt;=(Headcount!$E$5:$E$90+Headcount!$G$5:$G$90*$C$15)))/12*(1+Assumptions!$C$97)</f>
        <v>118441.666666667</v>
      </c>
      <c r="V190" s="9" t="n">
        <f aca="false">SUMPRODUCT((Headcount!$C$5:$C$90="ENG")*Headcount!$D$5:$D$90*Headcount!$F$5:$F$90*((Headcount!$I$5:$I$90=0)+(Headcount!$I$5:$I$90=1)*$C$16)*(V$18&gt;=(Headcount!$E$5:$E$90+Headcount!$G$5:$G$90*$C$15)))/12*(1+Assumptions!$C$97)</f>
        <v>129625</v>
      </c>
      <c r="W190" s="9" t="n">
        <f aca="false">SUMPRODUCT((Headcount!$C$5:$C$90="ENG")*Headcount!$D$5:$D$90*Headcount!$F$5:$F$90*((Headcount!$I$5:$I$90=0)+(Headcount!$I$5:$I$90=1)*$C$16)*(W$18&gt;=(Headcount!$E$5:$E$90+Headcount!$G$5:$G$90*$C$15)))/12*(1+Assumptions!$C$97)</f>
        <v>129625</v>
      </c>
      <c r="X190" s="9" t="n">
        <f aca="false">SUMPRODUCT((Headcount!$C$5:$C$90="ENG")*Headcount!$D$5:$D$90*Headcount!$F$5:$F$90*((Headcount!$I$5:$I$90=0)+(Headcount!$I$5:$I$90=1)*$C$16)*(X$18&gt;=(Headcount!$E$5:$E$90+Headcount!$G$5:$G$90*$C$15)))/12*(1+Assumptions!$C$97)</f>
        <v>129625</v>
      </c>
      <c r="Y190" s="9" t="n">
        <f aca="false">SUMPRODUCT((Headcount!$C$5:$C$90="ENG")*Headcount!$D$5:$D$90*Headcount!$F$5:$F$90*((Headcount!$I$5:$I$90=0)+(Headcount!$I$5:$I$90=1)*$C$16)*(Y$18&gt;=(Headcount!$E$5:$E$90+Headcount!$G$5:$G$90*$C$15)))/12*(1+Assumptions!$C$97)</f>
        <v>129625</v>
      </c>
      <c r="Z190" s="9" t="n">
        <f aca="false">SUMPRODUCT((Headcount!$C$5:$C$90="ENG")*Headcount!$D$5:$D$90*Headcount!$F$5:$F$90*((Headcount!$I$5:$I$90=0)+(Headcount!$I$5:$I$90=1)*$C$16)*(Z$18&gt;=(Headcount!$E$5:$E$90+Headcount!$G$5:$G$90*$C$15)))/12*(1+Assumptions!$C$97)</f>
        <v>129625</v>
      </c>
      <c r="AA190" s="9" t="n">
        <f aca="false">SUMPRODUCT((Headcount!$C$5:$C$90="ENG")*Headcount!$D$5:$D$90*Headcount!$F$5:$F$90*((Headcount!$I$5:$I$90=0)+(Headcount!$I$5:$I$90=1)*$C$16)*(AA$18&gt;=(Headcount!$E$5:$E$90+Headcount!$G$5:$G$90*$C$15)))/12*(1+Assumptions!$C$97)</f>
        <v>129625</v>
      </c>
      <c r="AB190" s="9" t="n">
        <f aca="false">SUMPRODUCT((Headcount!$C$5:$C$90="ENG")*Headcount!$D$5:$D$90*Headcount!$F$5:$F$90*((Headcount!$I$5:$I$90=0)+(Headcount!$I$5:$I$90=1)*$C$16)*(AB$18&gt;=(Headcount!$E$5:$E$90+Headcount!$G$5:$G$90*$C$15)))/12*(1+Assumptions!$C$97)</f>
        <v>144875</v>
      </c>
      <c r="AC190" s="9" t="n">
        <f aca="false">SUMPRODUCT((Headcount!$C$5:$C$90="ENG")*Headcount!$D$5:$D$90*Headcount!$F$5:$F$90*((Headcount!$I$5:$I$90=0)+(Headcount!$I$5:$I$90=1)*$C$16)*(AC$18&gt;=(Headcount!$E$5:$E$90+Headcount!$G$5:$G$90*$C$15)))/12*(1+Assumptions!$C$97)</f>
        <v>144875</v>
      </c>
      <c r="AD190" s="9" t="n">
        <f aca="false">SUMPRODUCT((Headcount!$C$5:$C$90="ENG")*Headcount!$D$5:$D$90*Headcount!$F$5:$F$90*((Headcount!$I$5:$I$90=0)+(Headcount!$I$5:$I$90=1)*$C$16)*(AD$18&gt;=(Headcount!$E$5:$E$90+Headcount!$G$5:$G$90*$C$15)))/12*(1+Assumptions!$C$97)</f>
        <v>144875</v>
      </c>
      <c r="AE190" s="9" t="n">
        <f aca="false">SUMPRODUCT((Headcount!$C$5:$C$90="ENG")*Headcount!$D$5:$D$90*Headcount!$F$5:$F$90*((Headcount!$I$5:$I$90=0)+(Headcount!$I$5:$I$90=1)*$C$16)*(AE$18&gt;=(Headcount!$E$5:$E$90+Headcount!$G$5:$G$90*$C$15)))/12*(1+Assumptions!$C$97)</f>
        <v>144875</v>
      </c>
      <c r="AF190" s="9" t="n">
        <f aca="false">SUMPRODUCT((Headcount!$C$5:$C$90="ENG")*Headcount!$D$5:$D$90*Headcount!$F$5:$F$90*((Headcount!$I$5:$I$90=0)+(Headcount!$I$5:$I$90=1)*$C$16)*(AF$18&gt;=(Headcount!$E$5:$E$90+Headcount!$G$5:$G$90*$C$15)))/12*(1+Assumptions!$C$97)</f>
        <v>144875</v>
      </c>
      <c r="AG190" s="9" t="n">
        <f aca="false">SUMPRODUCT((Headcount!$C$5:$C$90="ENG")*Headcount!$D$5:$D$90*Headcount!$F$5:$F$90*((Headcount!$I$5:$I$90=0)+(Headcount!$I$5:$I$90=1)*$C$16)*(AG$18&gt;=(Headcount!$E$5:$E$90+Headcount!$G$5:$G$90*$C$15)))/12*(1+Assumptions!$C$97)</f>
        <v>144875</v>
      </c>
      <c r="AH190" s="9" t="n">
        <f aca="false">SUMPRODUCT((Headcount!$C$5:$C$90="ENG")*Headcount!$D$5:$D$90*Headcount!$F$5:$F$90*((Headcount!$I$5:$I$90=0)+(Headcount!$I$5:$I$90=1)*$C$16)*(AH$18&gt;=(Headcount!$E$5:$E$90+Headcount!$G$5:$G$90*$C$15)))/12*(1+Assumptions!$C$97)</f>
        <v>144875</v>
      </c>
      <c r="AI190" s="9" t="n">
        <f aca="false">SUMPRODUCT((Headcount!$C$5:$C$90="ENG")*Headcount!$D$5:$D$90*Headcount!$F$5:$F$90*((Headcount!$I$5:$I$90=0)+(Headcount!$I$5:$I$90=1)*$C$16)*(AI$18&gt;=(Headcount!$E$5:$E$90+Headcount!$G$5:$G$90*$C$15)))/12*(1+Assumptions!$C$97)</f>
        <v>144875</v>
      </c>
      <c r="AJ190" s="9" t="n">
        <f aca="false">SUMPRODUCT((Headcount!$C$5:$C$90="ENG")*Headcount!$D$5:$D$90*Headcount!$F$5:$F$90*((Headcount!$I$5:$I$90=0)+(Headcount!$I$5:$I$90=1)*$C$16)*(AJ$18&gt;=(Headcount!$E$5:$E$90+Headcount!$G$5:$G$90*$C$15)))/12*(1+Assumptions!$C$97)</f>
        <v>144875</v>
      </c>
      <c r="AK190" s="9" t="n">
        <f aca="false">SUMPRODUCT((Headcount!$C$5:$C$90="ENG")*Headcount!$D$5:$D$90*Headcount!$F$5:$F$90*((Headcount!$I$5:$I$90=0)+(Headcount!$I$5:$I$90=1)*$C$16)*(AK$18&gt;=(Headcount!$E$5:$E$90+Headcount!$G$5:$G$90*$C$15)))/12*(1+Assumptions!$C$97)</f>
        <v>144875</v>
      </c>
      <c r="AL190" s="9" t="n">
        <f aca="false">SUMPRODUCT((Headcount!$C$5:$C$90="ENG")*Headcount!$D$5:$D$90*Headcount!$F$5:$F$90*((Headcount!$I$5:$I$90=0)+(Headcount!$I$5:$I$90=1)*$C$16)*(AL$18&gt;=(Headcount!$E$5:$E$90+Headcount!$G$5:$G$90*$C$15)))/12*(1+Assumptions!$C$97)</f>
        <v>144875</v>
      </c>
      <c r="AN190" s="11" t="n">
        <f aca="false">SUM(C190:N190)</f>
        <v>796050</v>
      </c>
      <c r="AO190" s="11" t="n">
        <f aca="false">SUM(O190:Z190)</f>
        <v>1461966.66666667</v>
      </c>
      <c r="AP190" s="11" t="n">
        <f aca="false">SUM(AA190:AL190)</f>
        <v>1723250</v>
      </c>
    </row>
    <row r="191" customFormat="false" ht="15" hidden="false" customHeight="false" outlineLevel="0" collapsed="false">
      <c r="A191" s="0" t="s">
        <v>992</v>
      </c>
      <c r="B191" s="0" t="s">
        <v>230</v>
      </c>
      <c r="C191" s="9" t="n">
        <f aca="false">SUMPRODUCT((Headcount!$C$5:$C$90="PROD")*Headcount!$D$5:$D$90*Headcount!$F$5:$F$90*((Headcount!$I$5:$I$90=0)+(Headcount!$I$5:$I$90=1)*$C$16)*(C$18&gt;=(Headcount!$E$5:$E$90+Headcount!$G$5:$G$90*$C$15)))/12*(1+Assumptions!$C$97)</f>
        <v>0</v>
      </c>
      <c r="D191" s="9" t="n">
        <f aca="false">SUMPRODUCT((Headcount!$C$5:$C$90="PROD")*Headcount!$D$5:$D$90*Headcount!$F$5:$F$90*((Headcount!$I$5:$I$90=0)+(Headcount!$I$5:$I$90=1)*$C$16)*(D$18&gt;=(Headcount!$E$5:$E$90+Headcount!$G$5:$G$90*$C$15)))/12*(1+Assumptions!$C$97)</f>
        <v>0</v>
      </c>
      <c r="E191" s="9" t="n">
        <f aca="false">SUMPRODUCT((Headcount!$C$5:$C$90="PROD")*Headcount!$D$5:$D$90*Headcount!$F$5:$F$90*((Headcount!$I$5:$I$90=0)+(Headcount!$I$5:$I$90=1)*$C$16)*(E$18&gt;=(Headcount!$E$5:$E$90+Headcount!$G$5:$G$90*$C$15)))/12*(1+Assumptions!$C$97)</f>
        <v>13216.6666666667</v>
      </c>
      <c r="F191" s="9" t="n">
        <f aca="false">SUMPRODUCT((Headcount!$C$5:$C$90="PROD")*Headcount!$D$5:$D$90*Headcount!$F$5:$F$90*((Headcount!$I$5:$I$90=0)+(Headcount!$I$5:$I$90=1)*$C$16)*(F$18&gt;=(Headcount!$E$5:$E$90+Headcount!$G$5:$G$90*$C$15)))/12*(1+Assumptions!$C$97)</f>
        <v>27450</v>
      </c>
      <c r="G191" s="9" t="n">
        <f aca="false">SUMPRODUCT((Headcount!$C$5:$C$90="PROD")*Headcount!$D$5:$D$90*Headcount!$F$5:$F$90*((Headcount!$I$5:$I$90=0)+(Headcount!$I$5:$I$90=1)*$C$16)*(G$18&gt;=(Headcount!$E$5:$E$90+Headcount!$G$5:$G$90*$C$15)))/12*(1+Assumptions!$C$97)</f>
        <v>27450</v>
      </c>
      <c r="H191" s="9" t="n">
        <f aca="false">SUMPRODUCT((Headcount!$C$5:$C$90="PROD")*Headcount!$D$5:$D$90*Headcount!$F$5:$F$90*((Headcount!$I$5:$I$90=0)+(Headcount!$I$5:$I$90=1)*$C$16)*(H$18&gt;=(Headcount!$E$5:$E$90+Headcount!$G$5:$G$90*$C$15)))/12*(1+Assumptions!$C$97)</f>
        <v>27450</v>
      </c>
      <c r="I191" s="9" t="n">
        <f aca="false">SUMPRODUCT((Headcount!$C$5:$C$90="PROD")*Headcount!$D$5:$D$90*Headcount!$F$5:$F$90*((Headcount!$I$5:$I$90=0)+(Headcount!$I$5:$I$90=1)*$C$16)*(I$18&gt;=(Headcount!$E$5:$E$90+Headcount!$G$5:$G$90*$C$15)))/12*(1+Assumptions!$C$97)</f>
        <v>27450</v>
      </c>
      <c r="J191" s="9" t="n">
        <f aca="false">SUMPRODUCT((Headcount!$C$5:$C$90="PROD")*Headcount!$D$5:$D$90*Headcount!$F$5:$F$90*((Headcount!$I$5:$I$90=0)+(Headcount!$I$5:$I$90=1)*$C$16)*(J$18&gt;=(Headcount!$E$5:$E$90+Headcount!$G$5:$G$90*$C$15)))/12*(1+Assumptions!$C$97)</f>
        <v>27450</v>
      </c>
      <c r="K191" s="9" t="n">
        <f aca="false">SUMPRODUCT((Headcount!$C$5:$C$90="PROD")*Headcount!$D$5:$D$90*Headcount!$F$5:$F$90*((Headcount!$I$5:$I$90=0)+(Headcount!$I$5:$I$90=1)*$C$16)*(K$18&gt;=(Headcount!$E$5:$E$90+Headcount!$G$5:$G$90*$C$15)))/12*(1+Assumptions!$C$97)</f>
        <v>27450</v>
      </c>
      <c r="L191" s="9" t="n">
        <f aca="false">SUMPRODUCT((Headcount!$C$5:$C$90="PROD")*Headcount!$D$5:$D$90*Headcount!$F$5:$F$90*((Headcount!$I$5:$I$90=0)+(Headcount!$I$5:$I$90=1)*$C$16)*(L$18&gt;=(Headcount!$E$5:$E$90+Headcount!$G$5:$G$90*$C$15)))/12*(1+Assumptions!$C$97)</f>
        <v>39141.6666666667</v>
      </c>
      <c r="M191" s="9" t="n">
        <f aca="false">SUMPRODUCT((Headcount!$C$5:$C$90="PROD")*Headcount!$D$5:$D$90*Headcount!$F$5:$F$90*((Headcount!$I$5:$I$90=0)+(Headcount!$I$5:$I$90=1)*$C$16)*(M$18&gt;=(Headcount!$E$5:$E$90+Headcount!$G$5:$G$90*$C$15)))/12*(1+Assumptions!$C$97)</f>
        <v>39141.6666666667</v>
      </c>
      <c r="N191" s="9" t="n">
        <f aca="false">SUMPRODUCT((Headcount!$C$5:$C$90="PROD")*Headcount!$D$5:$D$90*Headcount!$F$5:$F$90*((Headcount!$I$5:$I$90=0)+(Headcount!$I$5:$I$90=1)*$C$16)*(N$18&gt;=(Headcount!$E$5:$E$90+Headcount!$G$5:$G$90*$C$15)))/12*(1+Assumptions!$C$97)</f>
        <v>39141.6666666667</v>
      </c>
      <c r="O191" s="9" t="n">
        <f aca="false">SUMPRODUCT((Headcount!$C$5:$C$90="PROD")*Headcount!$D$5:$D$90*Headcount!$F$5:$F$90*((Headcount!$I$5:$I$90=0)+(Headcount!$I$5:$I$90=1)*$C$16)*(O$18&gt;=(Headcount!$E$5:$E$90+Headcount!$G$5:$G$90*$C$15)))/12*(1+Assumptions!$C$97)</f>
        <v>39141.6666666667</v>
      </c>
      <c r="P191" s="9" t="n">
        <f aca="false">SUMPRODUCT((Headcount!$C$5:$C$90="PROD")*Headcount!$D$5:$D$90*Headcount!$F$5:$F$90*((Headcount!$I$5:$I$90=0)+(Headcount!$I$5:$I$90=1)*$C$16)*(P$18&gt;=(Headcount!$E$5:$E$90+Headcount!$G$5:$G$90*$C$15)))/12*(1+Assumptions!$C$97)</f>
        <v>39141.6666666667</v>
      </c>
      <c r="Q191" s="9" t="n">
        <f aca="false">SUMPRODUCT((Headcount!$C$5:$C$90="PROD")*Headcount!$D$5:$D$90*Headcount!$F$5:$F$90*((Headcount!$I$5:$I$90=0)+(Headcount!$I$5:$I$90=1)*$C$16)*(Q$18&gt;=(Headcount!$E$5:$E$90+Headcount!$G$5:$G$90*$C$15)))/12*(1+Assumptions!$C$97)</f>
        <v>39141.6666666667</v>
      </c>
      <c r="R191" s="9" t="n">
        <f aca="false">SUMPRODUCT((Headcount!$C$5:$C$90="PROD")*Headcount!$D$5:$D$90*Headcount!$F$5:$F$90*((Headcount!$I$5:$I$90=0)+(Headcount!$I$5:$I$90=1)*$C$16)*(R$18&gt;=(Headcount!$E$5:$E$90+Headcount!$G$5:$G$90*$C$15)))/12*(1+Assumptions!$C$97)</f>
        <v>39141.6666666667</v>
      </c>
      <c r="S191" s="9" t="n">
        <f aca="false">SUMPRODUCT((Headcount!$C$5:$C$90="PROD")*Headcount!$D$5:$D$90*Headcount!$F$5:$F$90*((Headcount!$I$5:$I$90=0)+(Headcount!$I$5:$I$90=1)*$C$16)*(S$18&gt;=(Headcount!$E$5:$E$90+Headcount!$G$5:$G$90*$C$15)))/12*(1+Assumptions!$C$97)</f>
        <v>39141.6666666667</v>
      </c>
      <c r="T191" s="9" t="n">
        <f aca="false">SUMPRODUCT((Headcount!$C$5:$C$90="PROD")*Headcount!$D$5:$D$90*Headcount!$F$5:$F$90*((Headcount!$I$5:$I$90=0)+(Headcount!$I$5:$I$90=1)*$C$16)*(T$18&gt;=(Headcount!$E$5:$E$90+Headcount!$G$5:$G$90*$C$15)))/12*(1+Assumptions!$C$97)</f>
        <v>39141.6666666667</v>
      </c>
      <c r="U191" s="9" t="n">
        <f aca="false">SUMPRODUCT((Headcount!$C$5:$C$90="PROD")*Headcount!$D$5:$D$90*Headcount!$F$5:$F$90*((Headcount!$I$5:$I$90=0)+(Headcount!$I$5:$I$90=1)*$C$16)*(U$18&gt;=(Headcount!$E$5:$E$90+Headcount!$G$5:$G$90*$C$15)))/12*(1+Assumptions!$C$97)</f>
        <v>39141.6666666667</v>
      </c>
      <c r="V191" s="9" t="n">
        <f aca="false">SUMPRODUCT((Headcount!$C$5:$C$90="PROD")*Headcount!$D$5:$D$90*Headcount!$F$5:$F$90*((Headcount!$I$5:$I$90=0)+(Headcount!$I$5:$I$90=1)*$C$16)*(V$18&gt;=(Headcount!$E$5:$E$90+Headcount!$G$5:$G$90*$C$15)))/12*(1+Assumptions!$C$97)</f>
        <v>39141.6666666667</v>
      </c>
      <c r="W191" s="9" t="n">
        <f aca="false">SUMPRODUCT((Headcount!$C$5:$C$90="PROD")*Headcount!$D$5:$D$90*Headcount!$F$5:$F$90*((Headcount!$I$5:$I$90=0)+(Headcount!$I$5:$I$90=1)*$C$16)*(W$18&gt;=(Headcount!$E$5:$E$90+Headcount!$G$5:$G$90*$C$15)))/12*(1+Assumptions!$C$97)</f>
        <v>39141.6666666667</v>
      </c>
      <c r="X191" s="9" t="n">
        <f aca="false">SUMPRODUCT((Headcount!$C$5:$C$90="PROD")*Headcount!$D$5:$D$90*Headcount!$F$5:$F$90*((Headcount!$I$5:$I$90=0)+(Headcount!$I$5:$I$90=1)*$C$16)*(X$18&gt;=(Headcount!$E$5:$E$90+Headcount!$G$5:$G$90*$C$15)))/12*(1+Assumptions!$C$97)</f>
        <v>39141.6666666667</v>
      </c>
      <c r="Y191" s="9" t="n">
        <f aca="false">SUMPRODUCT((Headcount!$C$5:$C$90="PROD")*Headcount!$D$5:$D$90*Headcount!$F$5:$F$90*((Headcount!$I$5:$I$90=0)+(Headcount!$I$5:$I$90=1)*$C$16)*(Y$18&gt;=(Headcount!$E$5:$E$90+Headcount!$G$5:$G$90*$C$15)))/12*(1+Assumptions!$C$97)</f>
        <v>39141.6666666667</v>
      </c>
      <c r="Z191" s="9" t="n">
        <f aca="false">SUMPRODUCT((Headcount!$C$5:$C$90="PROD")*Headcount!$D$5:$D$90*Headcount!$F$5:$F$90*((Headcount!$I$5:$I$90=0)+(Headcount!$I$5:$I$90=1)*$C$16)*(Z$18&gt;=(Headcount!$E$5:$E$90+Headcount!$G$5:$G$90*$C$15)))/12*(1+Assumptions!$C$97)</f>
        <v>39141.6666666667</v>
      </c>
      <c r="AA191" s="9" t="n">
        <f aca="false">SUMPRODUCT((Headcount!$C$5:$C$90="PROD")*Headcount!$D$5:$D$90*Headcount!$F$5:$F$90*((Headcount!$I$5:$I$90=0)+(Headcount!$I$5:$I$90=1)*$C$16)*(AA$18&gt;=(Headcount!$E$5:$E$90+Headcount!$G$5:$G$90*$C$15)))/12*(1+Assumptions!$C$97)</f>
        <v>39141.6666666667</v>
      </c>
      <c r="AB191" s="9" t="n">
        <f aca="false">SUMPRODUCT((Headcount!$C$5:$C$90="PROD")*Headcount!$D$5:$D$90*Headcount!$F$5:$F$90*((Headcount!$I$5:$I$90=0)+(Headcount!$I$5:$I$90=1)*$C$16)*(AB$18&gt;=(Headcount!$E$5:$E$90+Headcount!$G$5:$G$90*$C$15)))/12*(1+Assumptions!$C$97)</f>
        <v>39141.6666666667</v>
      </c>
      <c r="AC191" s="9" t="n">
        <f aca="false">SUMPRODUCT((Headcount!$C$5:$C$90="PROD")*Headcount!$D$5:$D$90*Headcount!$F$5:$F$90*((Headcount!$I$5:$I$90=0)+(Headcount!$I$5:$I$90=1)*$C$16)*(AC$18&gt;=(Headcount!$E$5:$E$90+Headcount!$G$5:$G$90*$C$15)))/12*(1+Assumptions!$C$97)</f>
        <v>39141.6666666667</v>
      </c>
      <c r="AD191" s="9" t="n">
        <f aca="false">SUMPRODUCT((Headcount!$C$5:$C$90="PROD")*Headcount!$D$5:$D$90*Headcount!$F$5:$F$90*((Headcount!$I$5:$I$90=0)+(Headcount!$I$5:$I$90=1)*$C$16)*(AD$18&gt;=(Headcount!$E$5:$E$90+Headcount!$G$5:$G$90*$C$15)))/12*(1+Assumptions!$C$97)</f>
        <v>39141.6666666667</v>
      </c>
      <c r="AE191" s="9" t="n">
        <f aca="false">SUMPRODUCT((Headcount!$C$5:$C$90="PROD")*Headcount!$D$5:$D$90*Headcount!$F$5:$F$90*((Headcount!$I$5:$I$90=0)+(Headcount!$I$5:$I$90=1)*$C$16)*(AE$18&gt;=(Headcount!$E$5:$E$90+Headcount!$G$5:$G$90*$C$15)))/12*(1+Assumptions!$C$97)</f>
        <v>39141.6666666667</v>
      </c>
      <c r="AF191" s="9" t="n">
        <f aca="false">SUMPRODUCT((Headcount!$C$5:$C$90="PROD")*Headcount!$D$5:$D$90*Headcount!$F$5:$F$90*((Headcount!$I$5:$I$90=0)+(Headcount!$I$5:$I$90=1)*$C$16)*(AF$18&gt;=(Headcount!$E$5:$E$90+Headcount!$G$5:$G$90*$C$15)))/12*(1+Assumptions!$C$97)</f>
        <v>39141.6666666667</v>
      </c>
      <c r="AG191" s="9" t="n">
        <f aca="false">SUMPRODUCT((Headcount!$C$5:$C$90="PROD")*Headcount!$D$5:$D$90*Headcount!$F$5:$F$90*((Headcount!$I$5:$I$90=0)+(Headcount!$I$5:$I$90=1)*$C$16)*(AG$18&gt;=(Headcount!$E$5:$E$90+Headcount!$G$5:$G$90*$C$15)))/12*(1+Assumptions!$C$97)</f>
        <v>39141.6666666667</v>
      </c>
      <c r="AH191" s="9" t="n">
        <f aca="false">SUMPRODUCT((Headcount!$C$5:$C$90="PROD")*Headcount!$D$5:$D$90*Headcount!$F$5:$F$90*((Headcount!$I$5:$I$90=0)+(Headcount!$I$5:$I$90=1)*$C$16)*(AH$18&gt;=(Headcount!$E$5:$E$90+Headcount!$G$5:$G$90*$C$15)))/12*(1+Assumptions!$C$97)</f>
        <v>39141.6666666667</v>
      </c>
      <c r="AI191" s="9" t="n">
        <f aca="false">SUMPRODUCT((Headcount!$C$5:$C$90="PROD")*Headcount!$D$5:$D$90*Headcount!$F$5:$F$90*((Headcount!$I$5:$I$90=0)+(Headcount!$I$5:$I$90=1)*$C$16)*(AI$18&gt;=(Headcount!$E$5:$E$90+Headcount!$G$5:$G$90*$C$15)))/12*(1+Assumptions!$C$97)</f>
        <v>39141.6666666667</v>
      </c>
      <c r="AJ191" s="9" t="n">
        <f aca="false">SUMPRODUCT((Headcount!$C$5:$C$90="PROD")*Headcount!$D$5:$D$90*Headcount!$F$5:$F$90*((Headcount!$I$5:$I$90=0)+(Headcount!$I$5:$I$90=1)*$C$16)*(AJ$18&gt;=(Headcount!$E$5:$E$90+Headcount!$G$5:$G$90*$C$15)))/12*(1+Assumptions!$C$97)</f>
        <v>39141.6666666667</v>
      </c>
      <c r="AK191" s="9" t="n">
        <f aca="false">SUMPRODUCT((Headcount!$C$5:$C$90="PROD")*Headcount!$D$5:$D$90*Headcount!$F$5:$F$90*((Headcount!$I$5:$I$90=0)+(Headcount!$I$5:$I$90=1)*$C$16)*(AK$18&gt;=(Headcount!$E$5:$E$90+Headcount!$G$5:$G$90*$C$15)))/12*(1+Assumptions!$C$97)</f>
        <v>39141.6666666667</v>
      </c>
      <c r="AL191" s="9" t="n">
        <f aca="false">SUMPRODUCT((Headcount!$C$5:$C$90="PROD")*Headcount!$D$5:$D$90*Headcount!$F$5:$F$90*((Headcount!$I$5:$I$90=0)+(Headcount!$I$5:$I$90=1)*$C$16)*(AL$18&gt;=(Headcount!$E$5:$E$90+Headcount!$G$5:$G$90*$C$15)))/12*(1+Assumptions!$C$97)</f>
        <v>39141.6666666667</v>
      </c>
      <c r="AN191" s="11" t="n">
        <f aca="false">SUM(C191:N191)</f>
        <v>295341.666666667</v>
      </c>
      <c r="AO191" s="11" t="n">
        <f aca="false">SUM(O191:Z191)</f>
        <v>469700</v>
      </c>
      <c r="AP191" s="11" t="n">
        <f aca="false">SUM(AA191:AL191)</f>
        <v>469700</v>
      </c>
    </row>
    <row r="192" customFormat="false" ht="15" hidden="false" customHeight="false" outlineLevel="0" collapsed="false">
      <c r="A192" s="0" t="s">
        <v>993</v>
      </c>
      <c r="B192" s="0" t="s">
        <v>230</v>
      </c>
      <c r="C192" s="9" t="n">
        <f aca="false">SUMPRODUCT((Headcount!$C$5:$C$90="SEC")*Headcount!$D$5:$D$90*Headcount!$F$5:$F$90*((Headcount!$I$5:$I$90=0)+(Headcount!$I$5:$I$90=1)*$C$16)*(C$18&gt;=(Headcount!$E$5:$E$90+Headcount!$G$5:$G$90*$C$15)))/12*(1+Assumptions!$C$97)</f>
        <v>0</v>
      </c>
      <c r="D192" s="9" t="n">
        <f aca="false">SUMPRODUCT((Headcount!$C$5:$C$90="SEC")*Headcount!$D$5:$D$90*Headcount!$F$5:$F$90*((Headcount!$I$5:$I$90=0)+(Headcount!$I$5:$I$90=1)*$C$16)*(D$18&gt;=(Headcount!$E$5:$E$90+Headcount!$G$5:$G$90*$C$15)))/12*(1+Assumptions!$C$97)</f>
        <v>0</v>
      </c>
      <c r="E192" s="9" t="n">
        <f aca="false">SUMPRODUCT((Headcount!$C$5:$C$90="SEC")*Headcount!$D$5:$D$90*Headcount!$F$5:$F$90*((Headcount!$I$5:$I$90=0)+(Headcount!$I$5:$I$90=1)*$C$16)*(E$18&gt;=(Headcount!$E$5:$E$90+Headcount!$G$5:$G$90*$C$15)))/12*(1+Assumptions!$C$97)</f>
        <v>0</v>
      </c>
      <c r="F192" s="9" t="n">
        <f aca="false">SUMPRODUCT((Headcount!$C$5:$C$90="SEC")*Headcount!$D$5:$D$90*Headcount!$F$5:$F$90*((Headcount!$I$5:$I$90=0)+(Headcount!$I$5:$I$90=1)*$C$16)*(F$18&gt;=(Headcount!$E$5:$E$90+Headcount!$G$5:$G$90*$C$15)))/12*(1+Assumptions!$C$97)</f>
        <v>0</v>
      </c>
      <c r="G192" s="9" t="n">
        <f aca="false">SUMPRODUCT((Headcount!$C$5:$C$90="SEC")*Headcount!$D$5:$D$90*Headcount!$F$5:$F$90*((Headcount!$I$5:$I$90=0)+(Headcount!$I$5:$I$90=1)*$C$16)*(G$18&gt;=(Headcount!$E$5:$E$90+Headcount!$G$5:$G$90*$C$15)))/12*(1+Assumptions!$C$97)</f>
        <v>0</v>
      </c>
      <c r="H192" s="9" t="n">
        <f aca="false">SUMPRODUCT((Headcount!$C$5:$C$90="SEC")*Headcount!$D$5:$D$90*Headcount!$F$5:$F$90*((Headcount!$I$5:$I$90=0)+(Headcount!$I$5:$I$90=1)*$C$16)*(H$18&gt;=(Headcount!$E$5:$E$90+Headcount!$G$5:$G$90*$C$15)))/12*(1+Assumptions!$C$97)</f>
        <v>0</v>
      </c>
      <c r="I192" s="9" t="n">
        <f aca="false">SUMPRODUCT((Headcount!$C$5:$C$90="SEC")*Headcount!$D$5:$D$90*Headcount!$F$5:$F$90*((Headcount!$I$5:$I$90=0)+(Headcount!$I$5:$I$90=1)*$C$16)*(I$18&gt;=(Headcount!$E$5:$E$90+Headcount!$G$5:$G$90*$C$15)))/12*(1+Assumptions!$C$97)</f>
        <v>15250</v>
      </c>
      <c r="J192" s="9" t="n">
        <f aca="false">SUMPRODUCT((Headcount!$C$5:$C$90="SEC")*Headcount!$D$5:$D$90*Headcount!$F$5:$F$90*((Headcount!$I$5:$I$90=0)+(Headcount!$I$5:$I$90=1)*$C$16)*(J$18&gt;=(Headcount!$E$5:$E$90+Headcount!$G$5:$G$90*$C$15)))/12*(1+Assumptions!$C$97)</f>
        <v>15250</v>
      </c>
      <c r="K192" s="9" t="n">
        <f aca="false">SUMPRODUCT((Headcount!$C$5:$C$90="SEC")*Headcount!$D$5:$D$90*Headcount!$F$5:$F$90*((Headcount!$I$5:$I$90=0)+(Headcount!$I$5:$I$90=1)*$C$16)*(K$18&gt;=(Headcount!$E$5:$E$90+Headcount!$G$5:$G$90*$C$15)))/12*(1+Assumptions!$C$97)</f>
        <v>15250</v>
      </c>
      <c r="L192" s="9" t="n">
        <f aca="false">SUMPRODUCT((Headcount!$C$5:$C$90="SEC")*Headcount!$D$5:$D$90*Headcount!$F$5:$F$90*((Headcount!$I$5:$I$90=0)+(Headcount!$I$5:$I$90=1)*$C$16)*(L$18&gt;=(Headcount!$E$5:$E$90+Headcount!$G$5:$G$90*$C$15)))/12*(1+Assumptions!$C$97)</f>
        <v>15250</v>
      </c>
      <c r="M192" s="9" t="n">
        <f aca="false">SUMPRODUCT((Headcount!$C$5:$C$90="SEC")*Headcount!$D$5:$D$90*Headcount!$F$5:$F$90*((Headcount!$I$5:$I$90=0)+(Headcount!$I$5:$I$90=1)*$C$16)*(M$18&gt;=(Headcount!$E$5:$E$90+Headcount!$G$5:$G$90*$C$15)))/12*(1+Assumptions!$C$97)</f>
        <v>15250</v>
      </c>
      <c r="N192" s="9" t="n">
        <f aca="false">SUMPRODUCT((Headcount!$C$5:$C$90="SEC")*Headcount!$D$5:$D$90*Headcount!$F$5:$F$90*((Headcount!$I$5:$I$90=0)+(Headcount!$I$5:$I$90=1)*$C$16)*(N$18&gt;=(Headcount!$E$5:$E$90+Headcount!$G$5:$G$90*$C$15)))/12*(1+Assumptions!$C$97)</f>
        <v>15250</v>
      </c>
      <c r="O192" s="9" t="n">
        <f aca="false">SUMPRODUCT((Headcount!$C$5:$C$90="SEC")*Headcount!$D$5:$D$90*Headcount!$F$5:$F$90*((Headcount!$I$5:$I$90=0)+(Headcount!$I$5:$I$90=1)*$C$16)*(O$18&gt;=(Headcount!$E$5:$E$90+Headcount!$G$5:$G$90*$C$15)))/12*(1+Assumptions!$C$97)</f>
        <v>15250</v>
      </c>
      <c r="P192" s="9" t="n">
        <f aca="false">SUMPRODUCT((Headcount!$C$5:$C$90="SEC")*Headcount!$D$5:$D$90*Headcount!$F$5:$F$90*((Headcount!$I$5:$I$90=0)+(Headcount!$I$5:$I$90=1)*$C$16)*(P$18&gt;=(Headcount!$E$5:$E$90+Headcount!$G$5:$G$90*$C$15)))/12*(1+Assumptions!$C$97)</f>
        <v>15250</v>
      </c>
      <c r="Q192" s="9" t="n">
        <f aca="false">SUMPRODUCT((Headcount!$C$5:$C$90="SEC")*Headcount!$D$5:$D$90*Headcount!$F$5:$F$90*((Headcount!$I$5:$I$90=0)+(Headcount!$I$5:$I$90=1)*$C$16)*(Q$18&gt;=(Headcount!$E$5:$E$90+Headcount!$G$5:$G$90*$C$15)))/12*(1+Assumptions!$C$97)</f>
        <v>15250</v>
      </c>
      <c r="R192" s="9" t="n">
        <f aca="false">SUMPRODUCT((Headcount!$C$5:$C$90="SEC")*Headcount!$D$5:$D$90*Headcount!$F$5:$F$90*((Headcount!$I$5:$I$90=0)+(Headcount!$I$5:$I$90=1)*$C$16)*(R$18&gt;=(Headcount!$E$5:$E$90+Headcount!$G$5:$G$90*$C$15)))/12*(1+Assumptions!$C$97)</f>
        <v>15250</v>
      </c>
      <c r="S192" s="9" t="n">
        <f aca="false">SUMPRODUCT((Headcount!$C$5:$C$90="SEC")*Headcount!$D$5:$D$90*Headcount!$F$5:$F$90*((Headcount!$I$5:$I$90=0)+(Headcount!$I$5:$I$90=1)*$C$16)*(S$18&gt;=(Headcount!$E$5:$E$90+Headcount!$G$5:$G$90*$C$15)))/12*(1+Assumptions!$C$97)</f>
        <v>15250</v>
      </c>
      <c r="T192" s="9" t="n">
        <f aca="false">SUMPRODUCT((Headcount!$C$5:$C$90="SEC")*Headcount!$D$5:$D$90*Headcount!$F$5:$F$90*((Headcount!$I$5:$I$90=0)+(Headcount!$I$5:$I$90=1)*$C$16)*(T$18&gt;=(Headcount!$E$5:$E$90+Headcount!$G$5:$G$90*$C$15)))/12*(1+Assumptions!$C$97)</f>
        <v>15250</v>
      </c>
      <c r="U192" s="9" t="n">
        <f aca="false">SUMPRODUCT((Headcount!$C$5:$C$90="SEC")*Headcount!$D$5:$D$90*Headcount!$F$5:$F$90*((Headcount!$I$5:$I$90=0)+(Headcount!$I$5:$I$90=1)*$C$16)*(U$18&gt;=(Headcount!$E$5:$E$90+Headcount!$G$5:$G$90*$C$15)))/12*(1+Assumptions!$C$97)</f>
        <v>15250</v>
      </c>
      <c r="V192" s="9" t="n">
        <f aca="false">SUMPRODUCT((Headcount!$C$5:$C$90="SEC")*Headcount!$D$5:$D$90*Headcount!$F$5:$F$90*((Headcount!$I$5:$I$90=0)+(Headcount!$I$5:$I$90=1)*$C$16)*(V$18&gt;=(Headcount!$E$5:$E$90+Headcount!$G$5:$G$90*$C$15)))/12*(1+Assumptions!$C$97)</f>
        <v>15250</v>
      </c>
      <c r="W192" s="9" t="n">
        <f aca="false">SUMPRODUCT((Headcount!$C$5:$C$90="SEC")*Headcount!$D$5:$D$90*Headcount!$F$5:$F$90*((Headcount!$I$5:$I$90=0)+(Headcount!$I$5:$I$90=1)*$C$16)*(W$18&gt;=(Headcount!$E$5:$E$90+Headcount!$G$5:$G$90*$C$15)))/12*(1+Assumptions!$C$97)</f>
        <v>15250</v>
      </c>
      <c r="X192" s="9" t="n">
        <f aca="false">SUMPRODUCT((Headcount!$C$5:$C$90="SEC")*Headcount!$D$5:$D$90*Headcount!$F$5:$F$90*((Headcount!$I$5:$I$90=0)+(Headcount!$I$5:$I$90=1)*$C$16)*(X$18&gt;=(Headcount!$E$5:$E$90+Headcount!$G$5:$G$90*$C$15)))/12*(1+Assumptions!$C$97)</f>
        <v>15250</v>
      </c>
      <c r="Y192" s="9" t="n">
        <f aca="false">SUMPRODUCT((Headcount!$C$5:$C$90="SEC")*Headcount!$D$5:$D$90*Headcount!$F$5:$F$90*((Headcount!$I$5:$I$90=0)+(Headcount!$I$5:$I$90=1)*$C$16)*(Y$18&gt;=(Headcount!$E$5:$E$90+Headcount!$G$5:$G$90*$C$15)))/12*(1+Assumptions!$C$97)</f>
        <v>15250</v>
      </c>
      <c r="Z192" s="9" t="n">
        <f aca="false">SUMPRODUCT((Headcount!$C$5:$C$90="SEC")*Headcount!$D$5:$D$90*Headcount!$F$5:$F$90*((Headcount!$I$5:$I$90=0)+(Headcount!$I$5:$I$90=1)*$C$16)*(Z$18&gt;=(Headcount!$E$5:$E$90+Headcount!$G$5:$G$90*$C$15)))/12*(1+Assumptions!$C$97)</f>
        <v>15250</v>
      </c>
      <c r="AA192" s="9" t="n">
        <f aca="false">SUMPRODUCT((Headcount!$C$5:$C$90="SEC")*Headcount!$D$5:$D$90*Headcount!$F$5:$F$90*((Headcount!$I$5:$I$90=0)+(Headcount!$I$5:$I$90=1)*$C$16)*(AA$18&gt;=(Headcount!$E$5:$E$90+Headcount!$G$5:$G$90*$C$15)))/12*(1+Assumptions!$C$97)</f>
        <v>15250</v>
      </c>
      <c r="AB192" s="9" t="n">
        <f aca="false">SUMPRODUCT((Headcount!$C$5:$C$90="SEC")*Headcount!$D$5:$D$90*Headcount!$F$5:$F$90*((Headcount!$I$5:$I$90=0)+(Headcount!$I$5:$I$90=1)*$C$16)*(AB$18&gt;=(Headcount!$E$5:$E$90+Headcount!$G$5:$G$90*$C$15)))/12*(1+Assumptions!$C$97)</f>
        <v>15250</v>
      </c>
      <c r="AC192" s="9" t="n">
        <f aca="false">SUMPRODUCT((Headcount!$C$5:$C$90="SEC")*Headcount!$D$5:$D$90*Headcount!$F$5:$F$90*((Headcount!$I$5:$I$90=0)+(Headcount!$I$5:$I$90=1)*$C$16)*(AC$18&gt;=(Headcount!$E$5:$E$90+Headcount!$G$5:$G$90*$C$15)))/12*(1+Assumptions!$C$97)</f>
        <v>15250</v>
      </c>
      <c r="AD192" s="9" t="n">
        <f aca="false">SUMPRODUCT((Headcount!$C$5:$C$90="SEC")*Headcount!$D$5:$D$90*Headcount!$F$5:$F$90*((Headcount!$I$5:$I$90=0)+(Headcount!$I$5:$I$90=1)*$C$16)*(AD$18&gt;=(Headcount!$E$5:$E$90+Headcount!$G$5:$G$90*$C$15)))/12*(1+Assumptions!$C$97)</f>
        <v>15250</v>
      </c>
      <c r="AE192" s="9" t="n">
        <f aca="false">SUMPRODUCT((Headcount!$C$5:$C$90="SEC")*Headcount!$D$5:$D$90*Headcount!$F$5:$F$90*((Headcount!$I$5:$I$90=0)+(Headcount!$I$5:$I$90=1)*$C$16)*(AE$18&gt;=(Headcount!$E$5:$E$90+Headcount!$G$5:$G$90*$C$15)))/12*(1+Assumptions!$C$97)</f>
        <v>15250</v>
      </c>
      <c r="AF192" s="9" t="n">
        <f aca="false">SUMPRODUCT((Headcount!$C$5:$C$90="SEC")*Headcount!$D$5:$D$90*Headcount!$F$5:$F$90*((Headcount!$I$5:$I$90=0)+(Headcount!$I$5:$I$90=1)*$C$16)*(AF$18&gt;=(Headcount!$E$5:$E$90+Headcount!$G$5:$G$90*$C$15)))/12*(1+Assumptions!$C$97)</f>
        <v>15250</v>
      </c>
      <c r="AG192" s="9" t="n">
        <f aca="false">SUMPRODUCT((Headcount!$C$5:$C$90="SEC")*Headcount!$D$5:$D$90*Headcount!$F$5:$F$90*((Headcount!$I$5:$I$90=0)+(Headcount!$I$5:$I$90=1)*$C$16)*(AG$18&gt;=(Headcount!$E$5:$E$90+Headcount!$G$5:$G$90*$C$15)))/12*(1+Assumptions!$C$97)</f>
        <v>15250</v>
      </c>
      <c r="AH192" s="9" t="n">
        <f aca="false">SUMPRODUCT((Headcount!$C$5:$C$90="SEC")*Headcount!$D$5:$D$90*Headcount!$F$5:$F$90*((Headcount!$I$5:$I$90=0)+(Headcount!$I$5:$I$90=1)*$C$16)*(AH$18&gt;=(Headcount!$E$5:$E$90+Headcount!$G$5:$G$90*$C$15)))/12*(1+Assumptions!$C$97)</f>
        <v>15250</v>
      </c>
      <c r="AI192" s="9" t="n">
        <f aca="false">SUMPRODUCT((Headcount!$C$5:$C$90="SEC")*Headcount!$D$5:$D$90*Headcount!$F$5:$F$90*((Headcount!$I$5:$I$90=0)+(Headcount!$I$5:$I$90=1)*$C$16)*(AI$18&gt;=(Headcount!$E$5:$E$90+Headcount!$G$5:$G$90*$C$15)))/12*(1+Assumptions!$C$97)</f>
        <v>15250</v>
      </c>
      <c r="AJ192" s="9" t="n">
        <f aca="false">SUMPRODUCT((Headcount!$C$5:$C$90="SEC")*Headcount!$D$5:$D$90*Headcount!$F$5:$F$90*((Headcount!$I$5:$I$90=0)+(Headcount!$I$5:$I$90=1)*$C$16)*(AJ$18&gt;=(Headcount!$E$5:$E$90+Headcount!$G$5:$G$90*$C$15)))/12*(1+Assumptions!$C$97)</f>
        <v>15250</v>
      </c>
      <c r="AK192" s="9" t="n">
        <f aca="false">SUMPRODUCT((Headcount!$C$5:$C$90="SEC")*Headcount!$D$5:$D$90*Headcount!$F$5:$F$90*((Headcount!$I$5:$I$90=0)+(Headcount!$I$5:$I$90=1)*$C$16)*(AK$18&gt;=(Headcount!$E$5:$E$90+Headcount!$G$5:$G$90*$C$15)))/12*(1+Assumptions!$C$97)</f>
        <v>15250</v>
      </c>
      <c r="AL192" s="9" t="n">
        <f aca="false">SUMPRODUCT((Headcount!$C$5:$C$90="SEC")*Headcount!$D$5:$D$90*Headcount!$F$5:$F$90*((Headcount!$I$5:$I$90=0)+(Headcount!$I$5:$I$90=1)*$C$16)*(AL$18&gt;=(Headcount!$E$5:$E$90+Headcount!$G$5:$G$90*$C$15)))/12*(1+Assumptions!$C$97)</f>
        <v>15250</v>
      </c>
      <c r="AN192" s="11" t="n">
        <f aca="false">SUM(C192:N192)</f>
        <v>91500</v>
      </c>
      <c r="AO192" s="11" t="n">
        <f aca="false">SUM(O192:Z192)</f>
        <v>183000</v>
      </c>
      <c r="AP192" s="11" t="n">
        <f aca="false">SUM(AA192:AL192)</f>
        <v>183000</v>
      </c>
    </row>
    <row r="193" customFormat="false" ht="15" hidden="false" customHeight="false" outlineLevel="0" collapsed="false">
      <c r="A193" s="0" t="s">
        <v>994</v>
      </c>
      <c r="B193" s="0" t="s">
        <v>230</v>
      </c>
      <c r="C193" s="9" t="n">
        <f aca="false">SUMPRODUCT((Headcount!$C$5:$C$90="SALES")*Headcount!$D$5:$D$90*Headcount!$F$5:$F$90*((Headcount!$I$5:$I$90=0)+(Headcount!$I$5:$I$90=1)*$C$16)*(C$18&gt;=(Headcount!$E$5:$E$90+Headcount!$G$5:$G$90*$C$15)))/12*(1+Assumptions!$C$97)</f>
        <v>0</v>
      </c>
      <c r="D193" s="9" t="n">
        <f aca="false">SUMPRODUCT((Headcount!$C$5:$C$90="SALES")*Headcount!$D$5:$D$90*Headcount!$F$5:$F$90*((Headcount!$I$5:$I$90=0)+(Headcount!$I$5:$I$90=1)*$C$16)*(D$18&gt;=(Headcount!$E$5:$E$90+Headcount!$G$5:$G$90*$C$15)))/12*(1+Assumptions!$C$97)</f>
        <v>0</v>
      </c>
      <c r="E193" s="9" t="n">
        <f aca="false">SUMPRODUCT((Headcount!$C$5:$C$90="SALES")*Headcount!$D$5:$D$90*Headcount!$F$5:$F$90*((Headcount!$I$5:$I$90=0)+(Headcount!$I$5:$I$90=1)*$C$16)*(E$18&gt;=(Headcount!$E$5:$E$90+Headcount!$G$5:$G$90*$C$15)))/12*(1+Assumptions!$C$97)</f>
        <v>0</v>
      </c>
      <c r="F193" s="9" t="n">
        <f aca="false">SUMPRODUCT((Headcount!$C$5:$C$90="SALES")*Headcount!$D$5:$D$90*Headcount!$F$5:$F$90*((Headcount!$I$5:$I$90=0)+(Headcount!$I$5:$I$90=1)*$C$16)*(F$18&gt;=(Headcount!$E$5:$E$90+Headcount!$G$5:$G$90*$C$15)))/12*(1+Assumptions!$C$97)</f>
        <v>0</v>
      </c>
      <c r="G193" s="9" t="n">
        <f aca="false">SUMPRODUCT((Headcount!$C$5:$C$90="SALES")*Headcount!$D$5:$D$90*Headcount!$F$5:$F$90*((Headcount!$I$5:$I$90=0)+(Headcount!$I$5:$I$90=1)*$C$16)*(G$18&gt;=(Headcount!$E$5:$E$90+Headcount!$G$5:$G$90*$C$15)))/12*(1+Assumptions!$C$97)</f>
        <v>0</v>
      </c>
      <c r="H193" s="9" t="n">
        <f aca="false">SUMPRODUCT((Headcount!$C$5:$C$90="SALES")*Headcount!$D$5:$D$90*Headcount!$F$5:$F$90*((Headcount!$I$5:$I$90=0)+(Headcount!$I$5:$I$90=1)*$C$16)*(H$18&gt;=(Headcount!$E$5:$E$90+Headcount!$G$5:$G$90*$C$15)))/12*(1+Assumptions!$C$97)</f>
        <v>0</v>
      </c>
      <c r="I193" s="9" t="n">
        <f aca="false">SUMPRODUCT((Headcount!$C$5:$C$90="SALES")*Headcount!$D$5:$D$90*Headcount!$F$5:$F$90*((Headcount!$I$5:$I$90=0)+(Headcount!$I$5:$I$90=1)*$C$16)*(I$18&gt;=(Headcount!$E$5:$E$90+Headcount!$G$5:$G$90*$C$15)))/12*(1+Assumptions!$C$97)</f>
        <v>0</v>
      </c>
      <c r="J193" s="9" t="n">
        <f aca="false">SUMPRODUCT((Headcount!$C$5:$C$90="SALES")*Headcount!$D$5:$D$90*Headcount!$F$5:$F$90*((Headcount!$I$5:$I$90=0)+(Headcount!$I$5:$I$90=1)*$C$16)*(J$18&gt;=(Headcount!$E$5:$E$90+Headcount!$G$5:$G$90*$C$15)))/12*(1+Assumptions!$C$97)</f>
        <v>0</v>
      </c>
      <c r="K193" s="9" t="n">
        <f aca="false">SUMPRODUCT((Headcount!$C$5:$C$90="SALES")*Headcount!$D$5:$D$90*Headcount!$F$5:$F$90*((Headcount!$I$5:$I$90=0)+(Headcount!$I$5:$I$90=1)*$C$16)*(K$18&gt;=(Headcount!$E$5:$E$90+Headcount!$G$5:$G$90*$C$15)))/12*(1+Assumptions!$C$97)</f>
        <v>0</v>
      </c>
      <c r="L193" s="9" t="n">
        <f aca="false">SUMPRODUCT((Headcount!$C$5:$C$90="SALES")*Headcount!$D$5:$D$90*Headcount!$F$5:$F$90*((Headcount!$I$5:$I$90=0)+(Headcount!$I$5:$I$90=1)*$C$16)*(L$18&gt;=(Headcount!$E$5:$E$90+Headcount!$G$5:$G$90*$C$15)))/12*(1+Assumptions!$C$97)</f>
        <v>0</v>
      </c>
      <c r="M193" s="9" t="n">
        <f aca="false">SUMPRODUCT((Headcount!$C$5:$C$90="SALES")*Headcount!$D$5:$D$90*Headcount!$F$5:$F$90*((Headcount!$I$5:$I$90=0)+(Headcount!$I$5:$I$90=1)*$C$16)*(M$18&gt;=(Headcount!$E$5:$E$90+Headcount!$G$5:$G$90*$C$15)))/12*(1+Assumptions!$C$97)</f>
        <v>11183.3333333333</v>
      </c>
      <c r="N193" s="9" t="n">
        <f aca="false">SUMPRODUCT((Headcount!$C$5:$C$90="SALES")*Headcount!$D$5:$D$90*Headcount!$F$5:$F$90*((Headcount!$I$5:$I$90=0)+(Headcount!$I$5:$I$90=1)*$C$16)*(N$18&gt;=(Headcount!$E$5:$E$90+Headcount!$G$5:$G$90*$C$15)))/12*(1+Assumptions!$C$97)</f>
        <v>11183.3333333333</v>
      </c>
      <c r="O193" s="9" t="n">
        <f aca="false">SUMPRODUCT((Headcount!$C$5:$C$90="SALES")*Headcount!$D$5:$D$90*Headcount!$F$5:$F$90*((Headcount!$I$5:$I$90=0)+(Headcount!$I$5:$I$90=1)*$C$16)*(O$18&gt;=(Headcount!$E$5:$E$90+Headcount!$G$5:$G$90*$C$15)))/12*(1+Assumptions!$C$97)</f>
        <v>24400</v>
      </c>
      <c r="P193" s="9" t="n">
        <f aca="false">SUMPRODUCT((Headcount!$C$5:$C$90="SALES")*Headcount!$D$5:$D$90*Headcount!$F$5:$F$90*((Headcount!$I$5:$I$90=0)+(Headcount!$I$5:$I$90=1)*$C$16)*(P$18&gt;=(Headcount!$E$5:$E$90+Headcount!$G$5:$G$90*$C$15)))/12*(1+Assumptions!$C$97)</f>
        <v>24400</v>
      </c>
      <c r="Q193" s="9" t="n">
        <f aca="false">SUMPRODUCT((Headcount!$C$5:$C$90="SALES")*Headcount!$D$5:$D$90*Headcount!$F$5:$F$90*((Headcount!$I$5:$I$90=0)+(Headcount!$I$5:$I$90=1)*$C$16)*(Q$18&gt;=(Headcount!$E$5:$E$90+Headcount!$G$5:$G$90*$C$15)))/12*(1+Assumptions!$C$97)</f>
        <v>24400</v>
      </c>
      <c r="R193" s="9" t="n">
        <f aca="false">SUMPRODUCT((Headcount!$C$5:$C$90="SALES")*Headcount!$D$5:$D$90*Headcount!$F$5:$F$90*((Headcount!$I$5:$I$90=0)+(Headcount!$I$5:$I$90=1)*$C$16)*(R$18&gt;=(Headcount!$E$5:$E$90+Headcount!$G$5:$G$90*$C$15)))/12*(1+Assumptions!$C$97)</f>
        <v>24400</v>
      </c>
      <c r="S193" s="9" t="n">
        <f aca="false">SUMPRODUCT((Headcount!$C$5:$C$90="SALES")*Headcount!$D$5:$D$90*Headcount!$F$5:$F$90*((Headcount!$I$5:$I$90=0)+(Headcount!$I$5:$I$90=1)*$C$16)*(S$18&gt;=(Headcount!$E$5:$E$90+Headcount!$G$5:$G$90*$C$15)))/12*(1+Assumptions!$C$97)</f>
        <v>24400</v>
      </c>
      <c r="T193" s="9" t="n">
        <f aca="false">SUMPRODUCT((Headcount!$C$5:$C$90="SALES")*Headcount!$D$5:$D$90*Headcount!$F$5:$F$90*((Headcount!$I$5:$I$90=0)+(Headcount!$I$5:$I$90=1)*$C$16)*(T$18&gt;=(Headcount!$E$5:$E$90+Headcount!$G$5:$G$90*$C$15)))/12*(1+Assumptions!$C$97)</f>
        <v>24400</v>
      </c>
      <c r="U193" s="9" t="n">
        <f aca="false">SUMPRODUCT((Headcount!$C$5:$C$90="SALES")*Headcount!$D$5:$D$90*Headcount!$F$5:$F$90*((Headcount!$I$5:$I$90=0)+(Headcount!$I$5:$I$90=1)*$C$16)*(U$18&gt;=(Headcount!$E$5:$E$90+Headcount!$G$5:$G$90*$C$15)))/12*(1+Assumptions!$C$97)</f>
        <v>24400</v>
      </c>
      <c r="V193" s="9" t="n">
        <f aca="false">SUMPRODUCT((Headcount!$C$5:$C$90="SALES")*Headcount!$D$5:$D$90*Headcount!$F$5:$F$90*((Headcount!$I$5:$I$90=0)+(Headcount!$I$5:$I$90=1)*$C$16)*(V$18&gt;=(Headcount!$E$5:$E$90+Headcount!$G$5:$G$90*$C$15)))/12*(1+Assumptions!$C$97)</f>
        <v>24400</v>
      </c>
      <c r="W193" s="9" t="n">
        <f aca="false">SUMPRODUCT((Headcount!$C$5:$C$90="SALES")*Headcount!$D$5:$D$90*Headcount!$F$5:$F$90*((Headcount!$I$5:$I$90=0)+(Headcount!$I$5:$I$90=1)*$C$16)*(W$18&gt;=(Headcount!$E$5:$E$90+Headcount!$G$5:$G$90*$C$15)))/12*(1+Assumptions!$C$97)</f>
        <v>24400</v>
      </c>
      <c r="X193" s="9" t="n">
        <f aca="false">SUMPRODUCT((Headcount!$C$5:$C$90="SALES")*Headcount!$D$5:$D$90*Headcount!$F$5:$F$90*((Headcount!$I$5:$I$90=0)+(Headcount!$I$5:$I$90=1)*$C$16)*(X$18&gt;=(Headcount!$E$5:$E$90+Headcount!$G$5:$G$90*$C$15)))/12*(1+Assumptions!$C$97)</f>
        <v>35583.3333333333</v>
      </c>
      <c r="Y193" s="9" t="n">
        <f aca="false">SUMPRODUCT((Headcount!$C$5:$C$90="SALES")*Headcount!$D$5:$D$90*Headcount!$F$5:$F$90*((Headcount!$I$5:$I$90=0)+(Headcount!$I$5:$I$90=1)*$C$16)*(Y$18&gt;=(Headcount!$E$5:$E$90+Headcount!$G$5:$G$90*$C$15)))/12*(1+Assumptions!$C$97)</f>
        <v>35583.3333333333</v>
      </c>
      <c r="Z193" s="9" t="n">
        <f aca="false">SUMPRODUCT((Headcount!$C$5:$C$90="SALES")*Headcount!$D$5:$D$90*Headcount!$F$5:$F$90*((Headcount!$I$5:$I$90=0)+(Headcount!$I$5:$I$90=1)*$C$16)*(Z$18&gt;=(Headcount!$E$5:$E$90+Headcount!$G$5:$G$90*$C$15)))/12*(1+Assumptions!$C$97)</f>
        <v>35583.3333333333</v>
      </c>
      <c r="AA193" s="9" t="n">
        <f aca="false">SUMPRODUCT((Headcount!$C$5:$C$90="SALES")*Headcount!$D$5:$D$90*Headcount!$F$5:$F$90*((Headcount!$I$5:$I$90=0)+(Headcount!$I$5:$I$90=1)*$C$16)*(AA$18&gt;=(Headcount!$E$5:$E$90+Headcount!$G$5:$G$90*$C$15)))/12*(1+Assumptions!$C$97)</f>
        <v>35583.3333333333</v>
      </c>
      <c r="AB193" s="9" t="n">
        <f aca="false">SUMPRODUCT((Headcount!$C$5:$C$90="SALES")*Headcount!$D$5:$D$90*Headcount!$F$5:$F$90*((Headcount!$I$5:$I$90=0)+(Headcount!$I$5:$I$90=1)*$C$16)*(AB$18&gt;=(Headcount!$E$5:$E$90+Headcount!$G$5:$G$90*$C$15)))/12*(1+Assumptions!$C$97)</f>
        <v>35583.3333333333</v>
      </c>
      <c r="AC193" s="9" t="n">
        <f aca="false">SUMPRODUCT((Headcount!$C$5:$C$90="SALES")*Headcount!$D$5:$D$90*Headcount!$F$5:$F$90*((Headcount!$I$5:$I$90=0)+(Headcount!$I$5:$I$90=1)*$C$16)*(AC$18&gt;=(Headcount!$E$5:$E$90+Headcount!$G$5:$G$90*$C$15)))/12*(1+Assumptions!$C$97)</f>
        <v>35583.3333333333</v>
      </c>
      <c r="AD193" s="9" t="n">
        <f aca="false">SUMPRODUCT((Headcount!$C$5:$C$90="SALES")*Headcount!$D$5:$D$90*Headcount!$F$5:$F$90*((Headcount!$I$5:$I$90=0)+(Headcount!$I$5:$I$90=1)*$C$16)*(AD$18&gt;=(Headcount!$E$5:$E$90+Headcount!$G$5:$G$90*$C$15)))/12*(1+Assumptions!$C$97)</f>
        <v>46766.6666666667</v>
      </c>
      <c r="AE193" s="9" t="n">
        <f aca="false">SUMPRODUCT((Headcount!$C$5:$C$90="SALES")*Headcount!$D$5:$D$90*Headcount!$F$5:$F$90*((Headcount!$I$5:$I$90=0)+(Headcount!$I$5:$I$90=1)*$C$16)*(AE$18&gt;=(Headcount!$E$5:$E$90+Headcount!$G$5:$G$90*$C$15)))/12*(1+Assumptions!$C$97)</f>
        <v>46766.6666666667</v>
      </c>
      <c r="AF193" s="9" t="n">
        <f aca="false">SUMPRODUCT((Headcount!$C$5:$C$90="SALES")*Headcount!$D$5:$D$90*Headcount!$F$5:$F$90*((Headcount!$I$5:$I$90=0)+(Headcount!$I$5:$I$90=1)*$C$16)*(AF$18&gt;=(Headcount!$E$5:$E$90+Headcount!$G$5:$G$90*$C$15)))/12*(1+Assumptions!$C$97)</f>
        <v>46766.6666666667</v>
      </c>
      <c r="AG193" s="9" t="n">
        <f aca="false">SUMPRODUCT((Headcount!$C$5:$C$90="SALES")*Headcount!$D$5:$D$90*Headcount!$F$5:$F$90*((Headcount!$I$5:$I$90=0)+(Headcount!$I$5:$I$90=1)*$C$16)*(AG$18&gt;=(Headcount!$E$5:$E$90+Headcount!$G$5:$G$90*$C$15)))/12*(1+Assumptions!$C$97)</f>
        <v>46766.6666666667</v>
      </c>
      <c r="AH193" s="9" t="n">
        <f aca="false">SUMPRODUCT((Headcount!$C$5:$C$90="SALES")*Headcount!$D$5:$D$90*Headcount!$F$5:$F$90*((Headcount!$I$5:$I$90=0)+(Headcount!$I$5:$I$90=1)*$C$16)*(AH$18&gt;=(Headcount!$E$5:$E$90+Headcount!$G$5:$G$90*$C$15)))/12*(1+Assumptions!$C$97)</f>
        <v>46766.6666666667</v>
      </c>
      <c r="AI193" s="9" t="n">
        <f aca="false">SUMPRODUCT((Headcount!$C$5:$C$90="SALES")*Headcount!$D$5:$D$90*Headcount!$F$5:$F$90*((Headcount!$I$5:$I$90=0)+(Headcount!$I$5:$I$90=1)*$C$16)*(AI$18&gt;=(Headcount!$E$5:$E$90+Headcount!$G$5:$G$90*$C$15)))/12*(1+Assumptions!$C$97)</f>
        <v>46766.6666666667</v>
      </c>
      <c r="AJ193" s="9" t="n">
        <f aca="false">SUMPRODUCT((Headcount!$C$5:$C$90="SALES")*Headcount!$D$5:$D$90*Headcount!$F$5:$F$90*((Headcount!$I$5:$I$90=0)+(Headcount!$I$5:$I$90=1)*$C$16)*(AJ$18&gt;=(Headcount!$E$5:$E$90+Headcount!$G$5:$G$90*$C$15)))/12*(1+Assumptions!$C$97)</f>
        <v>46766.6666666667</v>
      </c>
      <c r="AK193" s="9" t="n">
        <f aca="false">SUMPRODUCT((Headcount!$C$5:$C$90="SALES")*Headcount!$D$5:$D$90*Headcount!$F$5:$F$90*((Headcount!$I$5:$I$90=0)+(Headcount!$I$5:$I$90=1)*$C$16)*(AK$18&gt;=(Headcount!$E$5:$E$90+Headcount!$G$5:$G$90*$C$15)))/12*(1+Assumptions!$C$97)</f>
        <v>46766.6666666667</v>
      </c>
      <c r="AL193" s="9" t="n">
        <f aca="false">SUMPRODUCT((Headcount!$C$5:$C$90="SALES")*Headcount!$D$5:$D$90*Headcount!$F$5:$F$90*((Headcount!$I$5:$I$90=0)+(Headcount!$I$5:$I$90=1)*$C$16)*(AL$18&gt;=(Headcount!$E$5:$E$90+Headcount!$G$5:$G$90*$C$15)))/12*(1+Assumptions!$C$97)</f>
        <v>46766.6666666667</v>
      </c>
      <c r="AN193" s="11" t="n">
        <f aca="false">SUM(C193:N193)</f>
        <v>22366.6666666667</v>
      </c>
      <c r="AO193" s="11" t="n">
        <f aca="false">SUM(O193:Z193)</f>
        <v>326350</v>
      </c>
      <c r="AP193" s="11" t="n">
        <f aca="false">SUM(AA193:AL193)</f>
        <v>527650</v>
      </c>
    </row>
    <row r="194" customFormat="false" ht="15" hidden="false" customHeight="false" outlineLevel="0" collapsed="false">
      <c r="A194" s="0" t="s">
        <v>995</v>
      </c>
      <c r="B194" s="0" t="s">
        <v>230</v>
      </c>
      <c r="C194" s="9" t="n">
        <f aca="false">SUMPRODUCT((Headcount!$C$5:$C$90="MKT")*Headcount!$D$5:$D$90*Headcount!$F$5:$F$90*((Headcount!$I$5:$I$90=0)+(Headcount!$I$5:$I$90=1)*$C$16)*(C$18&gt;=(Headcount!$E$5:$E$90+Headcount!$G$5:$G$90*$C$15)))/12*(1+Assumptions!$C$97)</f>
        <v>0</v>
      </c>
      <c r="D194" s="9" t="n">
        <f aca="false">SUMPRODUCT((Headcount!$C$5:$C$90="MKT")*Headcount!$D$5:$D$90*Headcount!$F$5:$F$90*((Headcount!$I$5:$I$90=0)+(Headcount!$I$5:$I$90=1)*$C$16)*(D$18&gt;=(Headcount!$E$5:$E$90+Headcount!$G$5:$G$90*$C$15)))/12*(1+Assumptions!$C$97)</f>
        <v>0</v>
      </c>
      <c r="E194" s="9" t="n">
        <f aca="false">SUMPRODUCT((Headcount!$C$5:$C$90="MKT")*Headcount!$D$5:$D$90*Headcount!$F$5:$F$90*((Headcount!$I$5:$I$90=0)+(Headcount!$I$5:$I$90=1)*$C$16)*(E$18&gt;=(Headcount!$E$5:$E$90+Headcount!$G$5:$G$90*$C$15)))/12*(1+Assumptions!$C$97)</f>
        <v>0</v>
      </c>
      <c r="F194" s="9" t="n">
        <f aca="false">SUMPRODUCT((Headcount!$C$5:$C$90="MKT")*Headcount!$D$5:$D$90*Headcount!$F$5:$F$90*((Headcount!$I$5:$I$90=0)+(Headcount!$I$5:$I$90=1)*$C$16)*(F$18&gt;=(Headcount!$E$5:$E$90+Headcount!$G$5:$G$90*$C$15)))/12*(1+Assumptions!$C$97)</f>
        <v>0</v>
      </c>
      <c r="G194" s="9" t="n">
        <f aca="false">SUMPRODUCT((Headcount!$C$5:$C$90="MKT")*Headcount!$D$5:$D$90*Headcount!$F$5:$F$90*((Headcount!$I$5:$I$90=0)+(Headcount!$I$5:$I$90=1)*$C$16)*(G$18&gt;=(Headcount!$E$5:$E$90+Headcount!$G$5:$G$90*$C$15)))/12*(1+Assumptions!$C$97)</f>
        <v>0</v>
      </c>
      <c r="H194" s="9" t="n">
        <f aca="false">SUMPRODUCT((Headcount!$C$5:$C$90="MKT")*Headcount!$D$5:$D$90*Headcount!$F$5:$F$90*((Headcount!$I$5:$I$90=0)+(Headcount!$I$5:$I$90=1)*$C$16)*(H$18&gt;=(Headcount!$E$5:$E$90+Headcount!$G$5:$G$90*$C$15)))/12*(1+Assumptions!$C$97)</f>
        <v>10675</v>
      </c>
      <c r="I194" s="9" t="n">
        <f aca="false">SUMPRODUCT((Headcount!$C$5:$C$90="MKT")*Headcount!$D$5:$D$90*Headcount!$F$5:$F$90*((Headcount!$I$5:$I$90=0)+(Headcount!$I$5:$I$90=1)*$C$16)*(I$18&gt;=(Headcount!$E$5:$E$90+Headcount!$G$5:$G$90*$C$15)))/12*(1+Assumptions!$C$97)</f>
        <v>10675</v>
      </c>
      <c r="J194" s="9" t="n">
        <f aca="false">SUMPRODUCT((Headcount!$C$5:$C$90="MKT")*Headcount!$D$5:$D$90*Headcount!$F$5:$F$90*((Headcount!$I$5:$I$90=0)+(Headcount!$I$5:$I$90=1)*$C$16)*(J$18&gt;=(Headcount!$E$5:$E$90+Headcount!$G$5:$G$90*$C$15)))/12*(1+Assumptions!$C$97)</f>
        <v>10675</v>
      </c>
      <c r="K194" s="9" t="n">
        <f aca="false">SUMPRODUCT((Headcount!$C$5:$C$90="MKT")*Headcount!$D$5:$D$90*Headcount!$F$5:$F$90*((Headcount!$I$5:$I$90=0)+(Headcount!$I$5:$I$90=1)*$C$16)*(K$18&gt;=(Headcount!$E$5:$E$90+Headcount!$G$5:$G$90*$C$15)))/12*(1+Assumptions!$C$97)</f>
        <v>10675</v>
      </c>
      <c r="L194" s="9" t="n">
        <f aca="false">SUMPRODUCT((Headcount!$C$5:$C$90="MKT")*Headcount!$D$5:$D$90*Headcount!$F$5:$F$90*((Headcount!$I$5:$I$90=0)+(Headcount!$I$5:$I$90=1)*$C$16)*(L$18&gt;=(Headcount!$E$5:$E$90+Headcount!$G$5:$G$90*$C$15)))/12*(1+Assumptions!$C$97)</f>
        <v>10675</v>
      </c>
      <c r="M194" s="9" t="n">
        <f aca="false">SUMPRODUCT((Headcount!$C$5:$C$90="MKT")*Headcount!$D$5:$D$90*Headcount!$F$5:$F$90*((Headcount!$I$5:$I$90=0)+(Headcount!$I$5:$I$90=1)*$C$16)*(M$18&gt;=(Headcount!$E$5:$E$90+Headcount!$G$5:$G$90*$C$15)))/12*(1+Assumptions!$C$97)</f>
        <v>10675</v>
      </c>
      <c r="N194" s="9" t="n">
        <f aca="false">SUMPRODUCT((Headcount!$C$5:$C$90="MKT")*Headcount!$D$5:$D$90*Headcount!$F$5:$F$90*((Headcount!$I$5:$I$90=0)+(Headcount!$I$5:$I$90=1)*$C$16)*(N$18&gt;=(Headcount!$E$5:$E$90+Headcount!$G$5:$G$90*$C$15)))/12*(1+Assumptions!$C$97)</f>
        <v>17283.3333333333</v>
      </c>
      <c r="O194" s="9" t="n">
        <f aca="false">SUMPRODUCT((Headcount!$C$5:$C$90="MKT")*Headcount!$D$5:$D$90*Headcount!$F$5:$F$90*((Headcount!$I$5:$I$90=0)+(Headcount!$I$5:$I$90=1)*$C$16)*(O$18&gt;=(Headcount!$E$5:$E$90+Headcount!$G$5:$G$90*$C$15)))/12*(1+Assumptions!$C$97)</f>
        <v>17283.3333333333</v>
      </c>
      <c r="P194" s="9" t="n">
        <f aca="false">SUMPRODUCT((Headcount!$C$5:$C$90="MKT")*Headcount!$D$5:$D$90*Headcount!$F$5:$F$90*((Headcount!$I$5:$I$90=0)+(Headcount!$I$5:$I$90=1)*$C$16)*(P$18&gt;=(Headcount!$E$5:$E$90+Headcount!$G$5:$G$90*$C$15)))/12*(1+Assumptions!$C$97)</f>
        <v>17283.3333333333</v>
      </c>
      <c r="Q194" s="9" t="n">
        <f aca="false">SUMPRODUCT((Headcount!$C$5:$C$90="MKT")*Headcount!$D$5:$D$90*Headcount!$F$5:$F$90*((Headcount!$I$5:$I$90=0)+(Headcount!$I$5:$I$90=1)*$C$16)*(Q$18&gt;=(Headcount!$E$5:$E$90+Headcount!$G$5:$G$90*$C$15)))/12*(1+Assumptions!$C$97)</f>
        <v>17283.3333333333</v>
      </c>
      <c r="R194" s="9" t="n">
        <f aca="false">SUMPRODUCT((Headcount!$C$5:$C$90="MKT")*Headcount!$D$5:$D$90*Headcount!$F$5:$F$90*((Headcount!$I$5:$I$90=0)+(Headcount!$I$5:$I$90=1)*$C$16)*(R$18&gt;=(Headcount!$E$5:$E$90+Headcount!$G$5:$G$90*$C$15)))/12*(1+Assumptions!$C$97)</f>
        <v>17283.3333333333</v>
      </c>
      <c r="S194" s="9" t="n">
        <f aca="false">SUMPRODUCT((Headcount!$C$5:$C$90="MKT")*Headcount!$D$5:$D$90*Headcount!$F$5:$F$90*((Headcount!$I$5:$I$90=0)+(Headcount!$I$5:$I$90=1)*$C$16)*(S$18&gt;=(Headcount!$E$5:$E$90+Headcount!$G$5:$G$90*$C$15)))/12*(1+Assumptions!$C$97)</f>
        <v>17283.3333333333</v>
      </c>
      <c r="T194" s="9" t="n">
        <f aca="false">SUMPRODUCT((Headcount!$C$5:$C$90="MKT")*Headcount!$D$5:$D$90*Headcount!$F$5:$F$90*((Headcount!$I$5:$I$90=0)+(Headcount!$I$5:$I$90=1)*$C$16)*(T$18&gt;=(Headcount!$E$5:$E$90+Headcount!$G$5:$G$90*$C$15)))/12*(1+Assumptions!$C$97)</f>
        <v>17283.3333333333</v>
      </c>
      <c r="U194" s="9" t="n">
        <f aca="false">SUMPRODUCT((Headcount!$C$5:$C$90="MKT")*Headcount!$D$5:$D$90*Headcount!$F$5:$F$90*((Headcount!$I$5:$I$90=0)+(Headcount!$I$5:$I$90=1)*$C$16)*(U$18&gt;=(Headcount!$E$5:$E$90+Headcount!$G$5:$G$90*$C$15)))/12*(1+Assumptions!$C$97)</f>
        <v>17283.3333333333</v>
      </c>
      <c r="V194" s="9" t="n">
        <f aca="false">SUMPRODUCT((Headcount!$C$5:$C$90="MKT")*Headcount!$D$5:$D$90*Headcount!$F$5:$F$90*((Headcount!$I$5:$I$90=0)+(Headcount!$I$5:$I$90=1)*$C$16)*(V$18&gt;=(Headcount!$E$5:$E$90+Headcount!$G$5:$G$90*$C$15)))/12*(1+Assumptions!$C$97)</f>
        <v>25925</v>
      </c>
      <c r="W194" s="9" t="n">
        <f aca="false">SUMPRODUCT((Headcount!$C$5:$C$90="MKT")*Headcount!$D$5:$D$90*Headcount!$F$5:$F$90*((Headcount!$I$5:$I$90=0)+(Headcount!$I$5:$I$90=1)*$C$16)*(W$18&gt;=(Headcount!$E$5:$E$90+Headcount!$G$5:$G$90*$C$15)))/12*(1+Assumptions!$C$97)</f>
        <v>25925</v>
      </c>
      <c r="X194" s="9" t="n">
        <f aca="false">SUMPRODUCT((Headcount!$C$5:$C$90="MKT")*Headcount!$D$5:$D$90*Headcount!$F$5:$F$90*((Headcount!$I$5:$I$90=0)+(Headcount!$I$5:$I$90=1)*$C$16)*(X$18&gt;=(Headcount!$E$5:$E$90+Headcount!$G$5:$G$90*$C$15)))/12*(1+Assumptions!$C$97)</f>
        <v>25925</v>
      </c>
      <c r="Y194" s="9" t="n">
        <f aca="false">SUMPRODUCT((Headcount!$C$5:$C$90="MKT")*Headcount!$D$5:$D$90*Headcount!$F$5:$F$90*((Headcount!$I$5:$I$90=0)+(Headcount!$I$5:$I$90=1)*$C$16)*(Y$18&gt;=(Headcount!$E$5:$E$90+Headcount!$G$5:$G$90*$C$15)))/12*(1+Assumptions!$C$97)</f>
        <v>25925</v>
      </c>
      <c r="Z194" s="9" t="n">
        <f aca="false">SUMPRODUCT((Headcount!$C$5:$C$90="MKT")*Headcount!$D$5:$D$90*Headcount!$F$5:$F$90*((Headcount!$I$5:$I$90=0)+(Headcount!$I$5:$I$90=1)*$C$16)*(Z$18&gt;=(Headcount!$E$5:$E$90+Headcount!$G$5:$G$90*$C$15)))/12*(1+Assumptions!$C$97)</f>
        <v>25925</v>
      </c>
      <c r="AA194" s="9" t="n">
        <f aca="false">SUMPRODUCT((Headcount!$C$5:$C$90="MKT")*Headcount!$D$5:$D$90*Headcount!$F$5:$F$90*((Headcount!$I$5:$I$90=0)+(Headcount!$I$5:$I$90=1)*$C$16)*(AA$18&gt;=(Headcount!$E$5:$E$90+Headcount!$G$5:$G$90*$C$15)))/12*(1+Assumptions!$C$97)</f>
        <v>25925</v>
      </c>
      <c r="AB194" s="9" t="n">
        <f aca="false">SUMPRODUCT((Headcount!$C$5:$C$90="MKT")*Headcount!$D$5:$D$90*Headcount!$F$5:$F$90*((Headcount!$I$5:$I$90=0)+(Headcount!$I$5:$I$90=1)*$C$16)*(AB$18&gt;=(Headcount!$E$5:$E$90+Headcount!$G$5:$G$90*$C$15)))/12*(1+Assumptions!$C$97)</f>
        <v>25925</v>
      </c>
      <c r="AC194" s="9" t="n">
        <f aca="false">SUMPRODUCT((Headcount!$C$5:$C$90="MKT")*Headcount!$D$5:$D$90*Headcount!$F$5:$F$90*((Headcount!$I$5:$I$90=0)+(Headcount!$I$5:$I$90=1)*$C$16)*(AC$18&gt;=(Headcount!$E$5:$E$90+Headcount!$G$5:$G$90*$C$15)))/12*(1+Assumptions!$C$97)</f>
        <v>25925</v>
      </c>
      <c r="AD194" s="9" t="n">
        <f aca="false">SUMPRODUCT((Headcount!$C$5:$C$90="MKT")*Headcount!$D$5:$D$90*Headcount!$F$5:$F$90*((Headcount!$I$5:$I$90=0)+(Headcount!$I$5:$I$90=1)*$C$16)*(AD$18&gt;=(Headcount!$E$5:$E$90+Headcount!$G$5:$G$90*$C$15)))/12*(1+Assumptions!$C$97)</f>
        <v>25925</v>
      </c>
      <c r="AE194" s="9" t="n">
        <f aca="false">SUMPRODUCT((Headcount!$C$5:$C$90="MKT")*Headcount!$D$5:$D$90*Headcount!$F$5:$F$90*((Headcount!$I$5:$I$90=0)+(Headcount!$I$5:$I$90=1)*$C$16)*(AE$18&gt;=(Headcount!$E$5:$E$90+Headcount!$G$5:$G$90*$C$15)))/12*(1+Assumptions!$C$97)</f>
        <v>25925</v>
      </c>
      <c r="AF194" s="9" t="n">
        <f aca="false">SUMPRODUCT((Headcount!$C$5:$C$90="MKT")*Headcount!$D$5:$D$90*Headcount!$F$5:$F$90*((Headcount!$I$5:$I$90=0)+(Headcount!$I$5:$I$90=1)*$C$16)*(AF$18&gt;=(Headcount!$E$5:$E$90+Headcount!$G$5:$G$90*$C$15)))/12*(1+Assumptions!$C$97)</f>
        <v>25925</v>
      </c>
      <c r="AG194" s="9" t="n">
        <f aca="false">SUMPRODUCT((Headcount!$C$5:$C$90="MKT")*Headcount!$D$5:$D$90*Headcount!$F$5:$F$90*((Headcount!$I$5:$I$90=0)+(Headcount!$I$5:$I$90=1)*$C$16)*(AG$18&gt;=(Headcount!$E$5:$E$90+Headcount!$G$5:$G$90*$C$15)))/12*(1+Assumptions!$C$97)</f>
        <v>25925</v>
      </c>
      <c r="AH194" s="9" t="n">
        <f aca="false">SUMPRODUCT((Headcount!$C$5:$C$90="MKT")*Headcount!$D$5:$D$90*Headcount!$F$5:$F$90*((Headcount!$I$5:$I$90=0)+(Headcount!$I$5:$I$90=1)*$C$16)*(AH$18&gt;=(Headcount!$E$5:$E$90+Headcount!$G$5:$G$90*$C$15)))/12*(1+Assumptions!$C$97)</f>
        <v>25925</v>
      </c>
      <c r="AI194" s="9" t="n">
        <f aca="false">SUMPRODUCT((Headcount!$C$5:$C$90="MKT")*Headcount!$D$5:$D$90*Headcount!$F$5:$F$90*((Headcount!$I$5:$I$90=0)+(Headcount!$I$5:$I$90=1)*$C$16)*(AI$18&gt;=(Headcount!$E$5:$E$90+Headcount!$G$5:$G$90*$C$15)))/12*(1+Assumptions!$C$97)</f>
        <v>25925</v>
      </c>
      <c r="AJ194" s="9" t="n">
        <f aca="false">SUMPRODUCT((Headcount!$C$5:$C$90="MKT")*Headcount!$D$5:$D$90*Headcount!$F$5:$F$90*((Headcount!$I$5:$I$90=0)+(Headcount!$I$5:$I$90=1)*$C$16)*(AJ$18&gt;=(Headcount!$E$5:$E$90+Headcount!$G$5:$G$90*$C$15)))/12*(1+Assumptions!$C$97)</f>
        <v>25925</v>
      </c>
      <c r="AK194" s="9" t="n">
        <f aca="false">SUMPRODUCT((Headcount!$C$5:$C$90="MKT")*Headcount!$D$5:$D$90*Headcount!$F$5:$F$90*((Headcount!$I$5:$I$90=0)+(Headcount!$I$5:$I$90=1)*$C$16)*(AK$18&gt;=(Headcount!$E$5:$E$90+Headcount!$G$5:$G$90*$C$15)))/12*(1+Assumptions!$C$97)</f>
        <v>25925</v>
      </c>
      <c r="AL194" s="9" t="n">
        <f aca="false">SUMPRODUCT((Headcount!$C$5:$C$90="MKT")*Headcount!$D$5:$D$90*Headcount!$F$5:$F$90*((Headcount!$I$5:$I$90=0)+(Headcount!$I$5:$I$90=1)*$C$16)*(AL$18&gt;=(Headcount!$E$5:$E$90+Headcount!$G$5:$G$90*$C$15)))/12*(1+Assumptions!$C$97)</f>
        <v>25925</v>
      </c>
      <c r="AN194" s="11" t="n">
        <f aca="false">SUM(C194:N194)</f>
        <v>81333.3333333333</v>
      </c>
      <c r="AO194" s="11" t="n">
        <f aca="false">SUM(O194:Z194)</f>
        <v>250608.333333333</v>
      </c>
      <c r="AP194" s="11" t="n">
        <f aca="false">SUM(AA194:AL194)</f>
        <v>311100</v>
      </c>
    </row>
    <row r="195" customFormat="false" ht="15" hidden="false" customHeight="false" outlineLevel="0" collapsed="false">
      <c r="A195" s="0" t="s">
        <v>996</v>
      </c>
      <c r="B195" s="0" t="s">
        <v>230</v>
      </c>
      <c r="C195" s="9" t="n">
        <f aca="false">SUMPRODUCT((Headcount!$C$5:$C$90="GA")*Headcount!$D$5:$D$90*Headcount!$F$5:$F$90*((Headcount!$I$5:$I$90=0)+(Headcount!$I$5:$I$90=1)*$C$16)*(C$18&gt;=(Headcount!$E$5:$E$90+Headcount!$G$5:$G$90*$C$15)))/12*(1+Assumptions!$C$97)</f>
        <v>15250</v>
      </c>
      <c r="D195" s="9" t="n">
        <f aca="false">SUMPRODUCT((Headcount!$C$5:$C$90="GA")*Headcount!$D$5:$D$90*Headcount!$F$5:$F$90*((Headcount!$I$5:$I$90=0)+(Headcount!$I$5:$I$90=1)*$C$16)*(D$18&gt;=(Headcount!$E$5:$E$90+Headcount!$G$5:$G$90*$C$15)))/12*(1+Assumptions!$C$97)</f>
        <v>15250</v>
      </c>
      <c r="E195" s="9" t="n">
        <f aca="false">SUMPRODUCT((Headcount!$C$5:$C$90="GA")*Headcount!$D$5:$D$90*Headcount!$F$5:$F$90*((Headcount!$I$5:$I$90=0)+(Headcount!$I$5:$I$90=1)*$C$16)*(E$18&gt;=(Headcount!$E$5:$E$90+Headcount!$G$5:$G$90*$C$15)))/12*(1+Assumptions!$C$97)</f>
        <v>15250</v>
      </c>
      <c r="F195" s="9" t="n">
        <f aca="false">SUMPRODUCT((Headcount!$C$5:$C$90="GA")*Headcount!$D$5:$D$90*Headcount!$F$5:$F$90*((Headcount!$I$5:$I$90=0)+(Headcount!$I$5:$I$90=1)*$C$16)*(F$18&gt;=(Headcount!$E$5:$E$90+Headcount!$G$5:$G$90*$C$15)))/12*(1+Assumptions!$C$97)</f>
        <v>15250</v>
      </c>
      <c r="G195" s="9" t="n">
        <f aca="false">SUMPRODUCT((Headcount!$C$5:$C$90="GA")*Headcount!$D$5:$D$90*Headcount!$F$5:$F$90*((Headcount!$I$5:$I$90=0)+(Headcount!$I$5:$I$90=1)*$C$16)*(G$18&gt;=(Headcount!$E$5:$E$90+Headcount!$G$5:$G$90*$C$15)))/12*(1+Assumptions!$C$97)</f>
        <v>15250</v>
      </c>
      <c r="H195" s="9" t="n">
        <f aca="false">SUMPRODUCT((Headcount!$C$5:$C$90="GA")*Headcount!$D$5:$D$90*Headcount!$F$5:$F$90*((Headcount!$I$5:$I$90=0)+(Headcount!$I$5:$I$90=1)*$C$16)*(H$18&gt;=(Headcount!$E$5:$E$90+Headcount!$G$5:$G$90*$C$15)))/12*(1+Assumptions!$C$97)</f>
        <v>15250</v>
      </c>
      <c r="I195" s="9" t="n">
        <f aca="false">SUMPRODUCT((Headcount!$C$5:$C$90="GA")*Headcount!$D$5:$D$90*Headcount!$F$5:$F$90*((Headcount!$I$5:$I$90=0)+(Headcount!$I$5:$I$90=1)*$C$16)*(I$18&gt;=(Headcount!$E$5:$E$90+Headcount!$G$5:$G$90*$C$15)))/12*(1+Assumptions!$C$97)</f>
        <v>15250</v>
      </c>
      <c r="J195" s="9" t="n">
        <f aca="false">SUMPRODUCT((Headcount!$C$5:$C$90="GA")*Headcount!$D$5:$D$90*Headcount!$F$5:$F$90*((Headcount!$I$5:$I$90=0)+(Headcount!$I$5:$I$90=1)*$C$16)*(J$18&gt;=(Headcount!$E$5:$E$90+Headcount!$G$5:$G$90*$C$15)))/12*(1+Assumptions!$C$97)</f>
        <v>15250</v>
      </c>
      <c r="K195" s="9" t="n">
        <f aca="false">SUMPRODUCT((Headcount!$C$5:$C$90="GA")*Headcount!$D$5:$D$90*Headcount!$F$5:$F$90*((Headcount!$I$5:$I$90=0)+(Headcount!$I$5:$I$90=1)*$C$16)*(K$18&gt;=(Headcount!$E$5:$E$90+Headcount!$G$5:$G$90*$C$15)))/12*(1+Assumptions!$C$97)</f>
        <v>27958.3333333333</v>
      </c>
      <c r="L195" s="9" t="n">
        <f aca="false">SUMPRODUCT((Headcount!$C$5:$C$90="GA")*Headcount!$D$5:$D$90*Headcount!$F$5:$F$90*((Headcount!$I$5:$I$90=0)+(Headcount!$I$5:$I$90=1)*$C$16)*(L$18&gt;=(Headcount!$E$5:$E$90+Headcount!$G$5:$G$90*$C$15)))/12*(1+Assumptions!$C$97)</f>
        <v>27958.3333333333</v>
      </c>
      <c r="M195" s="9" t="n">
        <f aca="false">SUMPRODUCT((Headcount!$C$5:$C$90="GA")*Headcount!$D$5:$D$90*Headcount!$F$5:$F$90*((Headcount!$I$5:$I$90=0)+(Headcount!$I$5:$I$90=1)*$C$16)*(M$18&gt;=(Headcount!$E$5:$E$90+Headcount!$G$5:$G$90*$C$15)))/12*(1+Assumptions!$C$97)</f>
        <v>27958.3333333333</v>
      </c>
      <c r="N195" s="9" t="n">
        <f aca="false">SUMPRODUCT((Headcount!$C$5:$C$90="GA")*Headcount!$D$5:$D$90*Headcount!$F$5:$F$90*((Headcount!$I$5:$I$90=0)+(Headcount!$I$5:$I$90=1)*$C$16)*(N$18&gt;=(Headcount!$E$5:$E$90+Headcount!$G$5:$G$90*$C$15)))/12*(1+Assumptions!$C$97)</f>
        <v>27958.3333333333</v>
      </c>
      <c r="O195" s="9" t="n">
        <f aca="false">SUMPRODUCT((Headcount!$C$5:$C$90="GA")*Headcount!$D$5:$D$90*Headcount!$F$5:$F$90*((Headcount!$I$5:$I$90=0)+(Headcount!$I$5:$I$90=1)*$C$16)*(O$18&gt;=(Headcount!$E$5:$E$90+Headcount!$G$5:$G$90*$C$15)))/12*(1+Assumptions!$C$97)</f>
        <v>27958.3333333333</v>
      </c>
      <c r="P195" s="9" t="n">
        <f aca="false">SUMPRODUCT((Headcount!$C$5:$C$90="GA")*Headcount!$D$5:$D$90*Headcount!$F$5:$F$90*((Headcount!$I$5:$I$90=0)+(Headcount!$I$5:$I$90=1)*$C$16)*(P$18&gt;=(Headcount!$E$5:$E$90+Headcount!$G$5:$G$90*$C$15)))/12*(1+Assumptions!$C$97)</f>
        <v>27958.3333333333</v>
      </c>
      <c r="Q195" s="9" t="n">
        <f aca="false">SUMPRODUCT((Headcount!$C$5:$C$90="GA")*Headcount!$D$5:$D$90*Headcount!$F$5:$F$90*((Headcount!$I$5:$I$90=0)+(Headcount!$I$5:$I$90=1)*$C$16)*(Q$18&gt;=(Headcount!$E$5:$E$90+Headcount!$G$5:$G$90*$C$15)))/12*(1+Assumptions!$C$97)</f>
        <v>40158.3333333333</v>
      </c>
      <c r="R195" s="9" t="n">
        <f aca="false">SUMPRODUCT((Headcount!$C$5:$C$90="GA")*Headcount!$D$5:$D$90*Headcount!$F$5:$F$90*((Headcount!$I$5:$I$90=0)+(Headcount!$I$5:$I$90=1)*$C$16)*(R$18&gt;=(Headcount!$E$5:$E$90+Headcount!$G$5:$G$90*$C$15)))/12*(1+Assumptions!$C$97)</f>
        <v>40158.3333333333</v>
      </c>
      <c r="S195" s="9" t="n">
        <f aca="false">SUMPRODUCT((Headcount!$C$5:$C$90="GA")*Headcount!$D$5:$D$90*Headcount!$F$5:$F$90*((Headcount!$I$5:$I$90=0)+(Headcount!$I$5:$I$90=1)*$C$16)*(S$18&gt;=(Headcount!$E$5:$E$90+Headcount!$G$5:$G$90*$C$15)))/12*(1+Assumptions!$C$97)</f>
        <v>40158.3333333333</v>
      </c>
      <c r="T195" s="9" t="n">
        <f aca="false">SUMPRODUCT((Headcount!$C$5:$C$90="GA")*Headcount!$D$5:$D$90*Headcount!$F$5:$F$90*((Headcount!$I$5:$I$90=0)+(Headcount!$I$5:$I$90=1)*$C$16)*(T$18&gt;=(Headcount!$E$5:$E$90+Headcount!$G$5:$G$90*$C$15)))/12*(1+Assumptions!$C$97)</f>
        <v>40158.3333333333</v>
      </c>
      <c r="U195" s="9" t="n">
        <f aca="false">SUMPRODUCT((Headcount!$C$5:$C$90="GA")*Headcount!$D$5:$D$90*Headcount!$F$5:$F$90*((Headcount!$I$5:$I$90=0)+(Headcount!$I$5:$I$90=1)*$C$16)*(U$18&gt;=(Headcount!$E$5:$E$90+Headcount!$G$5:$G$90*$C$15)))/12*(1+Assumptions!$C$97)</f>
        <v>40158.3333333333</v>
      </c>
      <c r="V195" s="9" t="n">
        <f aca="false">SUMPRODUCT((Headcount!$C$5:$C$90="GA")*Headcount!$D$5:$D$90*Headcount!$F$5:$F$90*((Headcount!$I$5:$I$90=0)+(Headcount!$I$5:$I$90=1)*$C$16)*(V$18&gt;=(Headcount!$E$5:$E$90+Headcount!$G$5:$G$90*$C$15)))/12*(1+Assumptions!$C$97)</f>
        <v>40158.3333333333</v>
      </c>
      <c r="W195" s="9" t="n">
        <f aca="false">SUMPRODUCT((Headcount!$C$5:$C$90="GA")*Headcount!$D$5:$D$90*Headcount!$F$5:$F$90*((Headcount!$I$5:$I$90=0)+(Headcount!$I$5:$I$90=1)*$C$16)*(W$18&gt;=(Headcount!$E$5:$E$90+Headcount!$G$5:$G$90*$C$15)))/12*(1+Assumptions!$C$97)</f>
        <v>40158.3333333333</v>
      </c>
      <c r="X195" s="9" t="n">
        <f aca="false">SUMPRODUCT((Headcount!$C$5:$C$90="GA")*Headcount!$D$5:$D$90*Headcount!$F$5:$F$90*((Headcount!$I$5:$I$90=0)+(Headcount!$I$5:$I$90=1)*$C$16)*(X$18&gt;=(Headcount!$E$5:$E$90+Headcount!$G$5:$G$90*$C$15)))/12*(1+Assumptions!$C$97)</f>
        <v>40158.3333333333</v>
      </c>
      <c r="Y195" s="9" t="n">
        <f aca="false">SUMPRODUCT((Headcount!$C$5:$C$90="GA")*Headcount!$D$5:$D$90*Headcount!$F$5:$F$90*((Headcount!$I$5:$I$90=0)+(Headcount!$I$5:$I$90=1)*$C$16)*(Y$18&gt;=(Headcount!$E$5:$E$90+Headcount!$G$5:$G$90*$C$15)))/12*(1+Assumptions!$C$97)</f>
        <v>40158.3333333333</v>
      </c>
      <c r="Z195" s="9" t="n">
        <f aca="false">SUMPRODUCT((Headcount!$C$5:$C$90="GA")*Headcount!$D$5:$D$90*Headcount!$F$5:$F$90*((Headcount!$I$5:$I$90=0)+(Headcount!$I$5:$I$90=1)*$C$16)*(Z$18&gt;=(Headcount!$E$5:$E$90+Headcount!$G$5:$G$90*$C$15)))/12*(1+Assumptions!$C$97)</f>
        <v>48800</v>
      </c>
      <c r="AA195" s="9" t="n">
        <f aca="false">SUMPRODUCT((Headcount!$C$5:$C$90="GA")*Headcount!$D$5:$D$90*Headcount!$F$5:$F$90*((Headcount!$I$5:$I$90=0)+(Headcount!$I$5:$I$90=1)*$C$16)*(AA$18&gt;=(Headcount!$E$5:$E$90+Headcount!$G$5:$G$90*$C$15)))/12*(1+Assumptions!$C$97)</f>
        <v>48800</v>
      </c>
      <c r="AB195" s="9" t="n">
        <f aca="false">SUMPRODUCT((Headcount!$C$5:$C$90="GA")*Headcount!$D$5:$D$90*Headcount!$F$5:$F$90*((Headcount!$I$5:$I$90=0)+(Headcount!$I$5:$I$90=1)*$C$16)*(AB$18&gt;=(Headcount!$E$5:$E$90+Headcount!$G$5:$G$90*$C$15)))/12*(1+Assumptions!$C$97)</f>
        <v>48800</v>
      </c>
      <c r="AC195" s="9" t="n">
        <f aca="false">SUMPRODUCT((Headcount!$C$5:$C$90="GA")*Headcount!$D$5:$D$90*Headcount!$F$5:$F$90*((Headcount!$I$5:$I$90=0)+(Headcount!$I$5:$I$90=1)*$C$16)*(AC$18&gt;=(Headcount!$E$5:$E$90+Headcount!$G$5:$G$90*$C$15)))/12*(1+Assumptions!$C$97)</f>
        <v>48800</v>
      </c>
      <c r="AD195" s="9" t="n">
        <f aca="false">SUMPRODUCT((Headcount!$C$5:$C$90="GA")*Headcount!$D$5:$D$90*Headcount!$F$5:$F$90*((Headcount!$I$5:$I$90=0)+(Headcount!$I$5:$I$90=1)*$C$16)*(AD$18&gt;=(Headcount!$E$5:$E$90+Headcount!$G$5:$G$90*$C$15)))/12*(1+Assumptions!$C$97)</f>
        <v>48800</v>
      </c>
      <c r="AE195" s="9" t="n">
        <f aca="false">SUMPRODUCT((Headcount!$C$5:$C$90="GA")*Headcount!$D$5:$D$90*Headcount!$F$5:$F$90*((Headcount!$I$5:$I$90=0)+(Headcount!$I$5:$I$90=1)*$C$16)*(AE$18&gt;=(Headcount!$E$5:$E$90+Headcount!$G$5:$G$90*$C$15)))/12*(1+Assumptions!$C$97)</f>
        <v>48800</v>
      </c>
      <c r="AF195" s="9" t="n">
        <f aca="false">SUMPRODUCT((Headcount!$C$5:$C$90="GA")*Headcount!$D$5:$D$90*Headcount!$F$5:$F$90*((Headcount!$I$5:$I$90=0)+(Headcount!$I$5:$I$90=1)*$C$16)*(AF$18&gt;=(Headcount!$E$5:$E$90+Headcount!$G$5:$G$90*$C$15)))/12*(1+Assumptions!$C$97)</f>
        <v>48800</v>
      </c>
      <c r="AG195" s="9" t="n">
        <f aca="false">SUMPRODUCT((Headcount!$C$5:$C$90="GA")*Headcount!$D$5:$D$90*Headcount!$F$5:$F$90*((Headcount!$I$5:$I$90=0)+(Headcount!$I$5:$I$90=1)*$C$16)*(AG$18&gt;=(Headcount!$E$5:$E$90+Headcount!$G$5:$G$90*$C$15)))/12*(1+Assumptions!$C$97)</f>
        <v>48800</v>
      </c>
      <c r="AH195" s="9" t="n">
        <f aca="false">SUMPRODUCT((Headcount!$C$5:$C$90="GA")*Headcount!$D$5:$D$90*Headcount!$F$5:$F$90*((Headcount!$I$5:$I$90=0)+(Headcount!$I$5:$I$90=1)*$C$16)*(AH$18&gt;=(Headcount!$E$5:$E$90+Headcount!$G$5:$G$90*$C$15)))/12*(1+Assumptions!$C$97)</f>
        <v>48800</v>
      </c>
      <c r="AI195" s="9" t="n">
        <f aca="false">SUMPRODUCT((Headcount!$C$5:$C$90="GA")*Headcount!$D$5:$D$90*Headcount!$F$5:$F$90*((Headcount!$I$5:$I$90=0)+(Headcount!$I$5:$I$90=1)*$C$16)*(AI$18&gt;=(Headcount!$E$5:$E$90+Headcount!$G$5:$G$90*$C$15)))/12*(1+Assumptions!$C$97)</f>
        <v>48800</v>
      </c>
      <c r="AJ195" s="9" t="n">
        <f aca="false">SUMPRODUCT((Headcount!$C$5:$C$90="GA")*Headcount!$D$5:$D$90*Headcount!$F$5:$F$90*((Headcount!$I$5:$I$90=0)+(Headcount!$I$5:$I$90=1)*$C$16)*(AJ$18&gt;=(Headcount!$E$5:$E$90+Headcount!$G$5:$G$90*$C$15)))/12*(1+Assumptions!$C$97)</f>
        <v>48800</v>
      </c>
      <c r="AK195" s="9" t="n">
        <f aca="false">SUMPRODUCT((Headcount!$C$5:$C$90="GA")*Headcount!$D$5:$D$90*Headcount!$F$5:$F$90*((Headcount!$I$5:$I$90=0)+(Headcount!$I$5:$I$90=1)*$C$16)*(AK$18&gt;=(Headcount!$E$5:$E$90+Headcount!$G$5:$G$90*$C$15)))/12*(1+Assumptions!$C$97)</f>
        <v>48800</v>
      </c>
      <c r="AL195" s="9" t="n">
        <f aca="false">SUMPRODUCT((Headcount!$C$5:$C$90="GA")*Headcount!$D$5:$D$90*Headcount!$F$5:$F$90*((Headcount!$I$5:$I$90=0)+(Headcount!$I$5:$I$90=1)*$C$16)*(AL$18&gt;=(Headcount!$E$5:$E$90+Headcount!$G$5:$G$90*$C$15)))/12*(1+Assumptions!$C$97)</f>
        <v>48800</v>
      </c>
      <c r="AN195" s="11" t="n">
        <f aca="false">SUM(C195:N195)</f>
        <v>233833.333333333</v>
      </c>
      <c r="AO195" s="11" t="n">
        <f aca="false">SUM(O195:Z195)</f>
        <v>466141.666666667</v>
      </c>
      <c r="AP195" s="11" t="n">
        <f aca="false">SUM(AA195:AL195)</f>
        <v>585600</v>
      </c>
    </row>
    <row r="196" customFormat="false" ht="15" hidden="false" customHeight="false" outlineLevel="0" collapsed="false">
      <c r="A196" s="0" t="s">
        <v>997</v>
      </c>
      <c r="B196" s="0" t="s">
        <v>618</v>
      </c>
      <c r="C196" s="13" t="n">
        <f aca="false">SUMPRODUCT(Headcount!$D$5:$D$90*((Headcount!$I$5:$I$90=0)+(Headcount!$I$5:$I$90=1)*$C$16)*(C$18&gt;=(Headcount!$E$5:$E$90+Headcount!$G$5:$G$90*$C$15)))</f>
        <v>4.4</v>
      </c>
      <c r="D196" s="13" t="n">
        <f aca="false">SUMPRODUCT(Headcount!$D$5:$D$90*((Headcount!$I$5:$I$90=0)+(Headcount!$I$5:$I$90=1)*$C$16)*(D$18&gt;=(Headcount!$E$5:$E$90+Headcount!$G$5:$G$90*$C$15)))</f>
        <v>4.4</v>
      </c>
      <c r="E196" s="13" t="n">
        <f aca="false">SUMPRODUCT(Headcount!$D$5:$D$90*((Headcount!$I$5:$I$90=0)+(Headcount!$I$5:$I$90=1)*$C$16)*(E$18&gt;=(Headcount!$E$5:$E$90+Headcount!$G$5:$G$90*$C$15)))</f>
        <v>5.4</v>
      </c>
      <c r="F196" s="13" t="n">
        <f aca="false">SUMPRODUCT(Headcount!$D$5:$D$90*((Headcount!$I$5:$I$90=0)+(Headcount!$I$5:$I$90=1)*$C$16)*(F$18&gt;=(Headcount!$E$5:$E$90+Headcount!$G$5:$G$90*$C$15)))</f>
        <v>6.4</v>
      </c>
      <c r="G196" s="13" t="n">
        <f aca="false">SUMPRODUCT(Headcount!$D$5:$D$90*((Headcount!$I$5:$I$90=0)+(Headcount!$I$5:$I$90=1)*$C$16)*(G$18&gt;=(Headcount!$E$5:$E$90+Headcount!$G$5:$G$90*$C$15)))</f>
        <v>8.4</v>
      </c>
      <c r="H196" s="13" t="n">
        <f aca="false">SUMPRODUCT(Headcount!$D$5:$D$90*((Headcount!$I$5:$I$90=0)+(Headcount!$I$5:$I$90=1)*$C$16)*(H$18&gt;=(Headcount!$E$5:$E$90+Headcount!$G$5:$G$90*$C$15)))</f>
        <v>10.4</v>
      </c>
      <c r="I196" s="13" t="n">
        <f aca="false">SUMPRODUCT(Headcount!$D$5:$D$90*((Headcount!$I$5:$I$90=0)+(Headcount!$I$5:$I$90=1)*$C$16)*(I$18&gt;=(Headcount!$E$5:$E$90+Headcount!$G$5:$G$90*$C$15)))</f>
        <v>11.4</v>
      </c>
      <c r="J196" s="13" t="n">
        <f aca="false">SUMPRODUCT(Headcount!$D$5:$D$90*((Headcount!$I$5:$I$90=0)+(Headcount!$I$5:$I$90=1)*$C$16)*(J$18&gt;=(Headcount!$E$5:$E$90+Headcount!$G$5:$G$90*$C$15)))</f>
        <v>11.4</v>
      </c>
      <c r="K196" s="13" t="n">
        <f aca="false">SUMPRODUCT(Headcount!$D$5:$D$90*((Headcount!$I$5:$I$90=0)+(Headcount!$I$5:$I$90=1)*$C$16)*(K$18&gt;=(Headcount!$E$5:$E$90+Headcount!$G$5:$G$90*$C$15)))</f>
        <v>14.4</v>
      </c>
      <c r="L196" s="13" t="n">
        <f aca="false">SUMPRODUCT(Headcount!$D$5:$D$90*((Headcount!$I$5:$I$90=0)+(Headcount!$I$5:$I$90=1)*$C$16)*(L$18&gt;=(Headcount!$E$5:$E$90+Headcount!$G$5:$G$90*$C$15)))</f>
        <v>15.4</v>
      </c>
      <c r="M196" s="13" t="n">
        <f aca="false">SUMPRODUCT(Headcount!$D$5:$D$90*((Headcount!$I$5:$I$90=0)+(Headcount!$I$5:$I$90=1)*$C$16)*(M$18&gt;=(Headcount!$E$5:$E$90+Headcount!$G$5:$G$90*$C$15)))</f>
        <v>17.4</v>
      </c>
      <c r="N196" s="13" t="n">
        <f aca="false">SUMPRODUCT(Headcount!$D$5:$D$90*((Headcount!$I$5:$I$90=0)+(Headcount!$I$5:$I$90=1)*$C$16)*(N$18&gt;=(Headcount!$E$5:$E$90+Headcount!$G$5:$G$90*$C$15)))</f>
        <v>18.4</v>
      </c>
      <c r="O196" s="13" t="n">
        <f aca="false">SUMPRODUCT(Headcount!$D$5:$D$90*((Headcount!$I$5:$I$90=0)+(Headcount!$I$5:$I$90=1)*$C$16)*(O$18&gt;=(Headcount!$E$5:$E$90+Headcount!$G$5:$G$90*$C$15)))</f>
        <v>20.4</v>
      </c>
      <c r="P196" s="13" t="n">
        <f aca="false">SUMPRODUCT(Headcount!$D$5:$D$90*((Headcount!$I$5:$I$90=0)+(Headcount!$I$5:$I$90=1)*$C$16)*(P$18&gt;=(Headcount!$E$5:$E$90+Headcount!$G$5:$G$90*$C$15)))</f>
        <v>21.4</v>
      </c>
      <c r="Q196" s="13" t="n">
        <f aca="false">SUMPRODUCT(Headcount!$D$5:$D$90*((Headcount!$I$5:$I$90=0)+(Headcount!$I$5:$I$90=1)*$C$16)*(Q$18&gt;=(Headcount!$E$5:$E$90+Headcount!$G$5:$G$90*$C$15)))</f>
        <v>23.4</v>
      </c>
      <c r="R196" s="13" t="n">
        <f aca="false">SUMPRODUCT(Headcount!$D$5:$D$90*((Headcount!$I$5:$I$90=0)+(Headcount!$I$5:$I$90=1)*$C$16)*(R$18&gt;=(Headcount!$E$5:$E$90+Headcount!$G$5:$G$90*$C$15)))</f>
        <v>23.4</v>
      </c>
      <c r="S196" s="13" t="n">
        <f aca="false">SUMPRODUCT(Headcount!$D$5:$D$90*((Headcount!$I$5:$I$90=0)+(Headcount!$I$5:$I$90=1)*$C$16)*(S$18&gt;=(Headcount!$E$5:$E$90+Headcount!$G$5:$G$90*$C$15)))</f>
        <v>23.4</v>
      </c>
      <c r="T196" s="13" t="n">
        <f aca="false">SUMPRODUCT(Headcount!$D$5:$D$90*((Headcount!$I$5:$I$90=0)+(Headcount!$I$5:$I$90=1)*$C$16)*(T$18&gt;=(Headcount!$E$5:$E$90+Headcount!$G$5:$G$90*$C$15)))</f>
        <v>25.4</v>
      </c>
      <c r="U196" s="13" t="n">
        <f aca="false">SUMPRODUCT(Headcount!$D$5:$D$90*((Headcount!$I$5:$I$90=0)+(Headcount!$I$5:$I$90=1)*$C$16)*(U$18&gt;=(Headcount!$E$5:$E$90+Headcount!$G$5:$G$90*$C$15)))</f>
        <v>26.4</v>
      </c>
      <c r="V196" s="13" t="n">
        <f aca="false">SUMPRODUCT(Headcount!$D$5:$D$90*((Headcount!$I$5:$I$90=0)+(Headcount!$I$5:$I$90=1)*$C$16)*(V$18&gt;=(Headcount!$E$5:$E$90+Headcount!$G$5:$G$90*$C$15)))</f>
        <v>28.4</v>
      </c>
      <c r="W196" s="13" t="n">
        <f aca="false">SUMPRODUCT(Headcount!$D$5:$D$90*((Headcount!$I$5:$I$90=0)+(Headcount!$I$5:$I$90=1)*$C$16)*(W$18&gt;=(Headcount!$E$5:$E$90+Headcount!$G$5:$G$90*$C$15)))</f>
        <v>28.4</v>
      </c>
      <c r="X196" s="13" t="n">
        <f aca="false">SUMPRODUCT(Headcount!$D$5:$D$90*((Headcount!$I$5:$I$90=0)+(Headcount!$I$5:$I$90=1)*$C$16)*(X$18&gt;=(Headcount!$E$5:$E$90+Headcount!$G$5:$G$90*$C$15)))</f>
        <v>30.4</v>
      </c>
      <c r="Y196" s="13" t="n">
        <f aca="false">SUMPRODUCT(Headcount!$D$5:$D$90*((Headcount!$I$5:$I$90=0)+(Headcount!$I$5:$I$90=1)*$C$16)*(Y$18&gt;=(Headcount!$E$5:$E$90+Headcount!$G$5:$G$90*$C$15)))</f>
        <v>30.4</v>
      </c>
      <c r="Z196" s="13" t="n">
        <f aca="false">SUMPRODUCT(Headcount!$D$5:$D$90*((Headcount!$I$5:$I$90=0)+(Headcount!$I$5:$I$90=1)*$C$16)*(Z$18&gt;=(Headcount!$E$5:$E$90+Headcount!$G$5:$G$90*$C$15)))</f>
        <v>31.4</v>
      </c>
      <c r="AA196" s="13" t="n">
        <f aca="false">SUMPRODUCT(Headcount!$D$5:$D$90*((Headcount!$I$5:$I$90=0)+(Headcount!$I$5:$I$90=1)*$C$16)*(AA$18&gt;=(Headcount!$E$5:$E$90+Headcount!$G$5:$G$90*$C$15)))</f>
        <v>32.4</v>
      </c>
      <c r="AB196" s="13" t="n">
        <f aca="false">SUMPRODUCT(Headcount!$D$5:$D$90*((Headcount!$I$5:$I$90=0)+(Headcount!$I$5:$I$90=1)*$C$16)*(AB$18&gt;=(Headcount!$E$5:$E$90+Headcount!$G$5:$G$90*$C$15)))</f>
        <v>34.4</v>
      </c>
      <c r="AC196" s="13" t="n">
        <f aca="false">SUMPRODUCT(Headcount!$D$5:$D$90*((Headcount!$I$5:$I$90=0)+(Headcount!$I$5:$I$90=1)*$C$16)*(AC$18&gt;=(Headcount!$E$5:$E$90+Headcount!$G$5:$G$90*$C$15)))</f>
        <v>34.4</v>
      </c>
      <c r="AD196" s="13" t="n">
        <f aca="false">SUMPRODUCT(Headcount!$D$5:$D$90*((Headcount!$I$5:$I$90=0)+(Headcount!$I$5:$I$90=1)*$C$16)*(AD$18&gt;=(Headcount!$E$5:$E$90+Headcount!$G$5:$G$90*$C$15)))</f>
        <v>36.4</v>
      </c>
      <c r="AE196" s="13" t="n">
        <f aca="false">SUMPRODUCT(Headcount!$D$5:$D$90*((Headcount!$I$5:$I$90=0)+(Headcount!$I$5:$I$90=1)*$C$16)*(AE$18&gt;=(Headcount!$E$5:$E$90+Headcount!$G$5:$G$90*$C$15)))</f>
        <v>36.4</v>
      </c>
      <c r="AF196" s="13" t="n">
        <f aca="false">SUMPRODUCT(Headcount!$D$5:$D$90*((Headcount!$I$5:$I$90=0)+(Headcount!$I$5:$I$90=1)*$C$16)*(AF$18&gt;=(Headcount!$E$5:$E$90+Headcount!$G$5:$G$90*$C$15)))</f>
        <v>37.4</v>
      </c>
      <c r="AG196" s="13" t="n">
        <f aca="false">SUMPRODUCT(Headcount!$D$5:$D$90*((Headcount!$I$5:$I$90=0)+(Headcount!$I$5:$I$90=1)*$C$16)*(AG$18&gt;=(Headcount!$E$5:$E$90+Headcount!$G$5:$G$90*$C$15)))</f>
        <v>38.4</v>
      </c>
      <c r="AH196" s="13" t="n">
        <f aca="false">SUMPRODUCT(Headcount!$D$5:$D$90*((Headcount!$I$5:$I$90=0)+(Headcount!$I$5:$I$90=1)*$C$16)*(AH$18&gt;=(Headcount!$E$5:$E$90+Headcount!$G$5:$G$90*$C$15)))</f>
        <v>39.4</v>
      </c>
      <c r="AI196" s="13" t="n">
        <f aca="false">SUMPRODUCT(Headcount!$D$5:$D$90*((Headcount!$I$5:$I$90=0)+(Headcount!$I$5:$I$90=1)*$C$16)*(AI$18&gt;=(Headcount!$E$5:$E$90+Headcount!$G$5:$G$90*$C$15)))</f>
        <v>40.4</v>
      </c>
      <c r="AJ196" s="13" t="n">
        <f aca="false">SUMPRODUCT(Headcount!$D$5:$D$90*((Headcount!$I$5:$I$90=0)+(Headcount!$I$5:$I$90=1)*$C$16)*(AJ$18&gt;=(Headcount!$E$5:$E$90+Headcount!$G$5:$G$90*$C$15)))</f>
        <v>40.4</v>
      </c>
      <c r="AK196" s="13" t="n">
        <f aca="false">SUMPRODUCT(Headcount!$D$5:$D$90*((Headcount!$I$5:$I$90=0)+(Headcount!$I$5:$I$90=1)*$C$16)*(AK$18&gt;=(Headcount!$E$5:$E$90+Headcount!$G$5:$G$90*$C$15)))</f>
        <v>40.4</v>
      </c>
      <c r="AL196" s="13" t="n">
        <f aca="false">SUMPRODUCT(Headcount!$D$5:$D$90*((Headcount!$I$5:$I$90=0)+(Headcount!$I$5:$I$90=1)*$C$16)*(AL$18&gt;=(Headcount!$E$5:$E$90+Headcount!$G$5:$G$90*$C$15)))</f>
        <v>40.4</v>
      </c>
      <c r="AN196" s="37" t="n">
        <f aca="false">N196</f>
        <v>18.4</v>
      </c>
      <c r="AO196" s="37" t="n">
        <f aca="false">Z196</f>
        <v>31.4</v>
      </c>
      <c r="AP196" s="37" t="n">
        <f aca="false">AL196</f>
        <v>40.4</v>
      </c>
    </row>
    <row r="197" customFormat="false" ht="15" hidden="false" customHeight="false" outlineLevel="0" collapsed="false">
      <c r="A197" s="0" t="s">
        <v>998</v>
      </c>
      <c r="B197" s="0" t="s">
        <v>618</v>
      </c>
      <c r="C197" s="13" t="n">
        <f aca="false">SUMPRODUCT(Headcount!$D$5:$D$90*(Headcount!$C$5:$C$90="IMPL")*((Headcount!$I$5:$I$90=0)+(Headcount!$I$5:$I$90=1)*$C$16)*(C$18&gt;=(Headcount!$E$5:$E$90+Headcount!$G$5:$G$90*$C$15)))</f>
        <v>0</v>
      </c>
      <c r="D197" s="13" t="n">
        <f aca="false">SUMPRODUCT(Headcount!$D$5:$D$90*(Headcount!$C$5:$C$90="IMPL")*((Headcount!$I$5:$I$90=0)+(Headcount!$I$5:$I$90=1)*$C$16)*(D$18&gt;=(Headcount!$E$5:$E$90+Headcount!$G$5:$G$90*$C$15)))</f>
        <v>0</v>
      </c>
      <c r="E197" s="13" t="n">
        <f aca="false">SUMPRODUCT(Headcount!$D$5:$D$90*(Headcount!$C$5:$C$90="IMPL")*((Headcount!$I$5:$I$90=0)+(Headcount!$I$5:$I$90=1)*$C$16)*(E$18&gt;=(Headcount!$E$5:$E$90+Headcount!$G$5:$G$90*$C$15)))</f>
        <v>0</v>
      </c>
      <c r="F197" s="13" t="n">
        <f aca="false">SUMPRODUCT(Headcount!$D$5:$D$90*(Headcount!$C$5:$C$90="IMPL")*((Headcount!$I$5:$I$90=0)+(Headcount!$I$5:$I$90=1)*$C$16)*(F$18&gt;=(Headcount!$E$5:$E$90+Headcount!$G$5:$G$90*$C$15)))</f>
        <v>0</v>
      </c>
      <c r="G197" s="13" t="n">
        <f aca="false">SUMPRODUCT(Headcount!$D$5:$D$90*(Headcount!$C$5:$C$90="IMPL")*((Headcount!$I$5:$I$90=0)+(Headcount!$I$5:$I$90=1)*$C$16)*(G$18&gt;=(Headcount!$E$5:$E$90+Headcount!$G$5:$G$90*$C$15)))</f>
        <v>1</v>
      </c>
      <c r="H197" s="13" t="n">
        <f aca="false">SUMPRODUCT(Headcount!$D$5:$D$90*(Headcount!$C$5:$C$90="IMPL")*((Headcount!$I$5:$I$90=0)+(Headcount!$I$5:$I$90=1)*$C$16)*(H$18&gt;=(Headcount!$E$5:$E$90+Headcount!$G$5:$G$90*$C$15)))</f>
        <v>1</v>
      </c>
      <c r="I197" s="13" t="n">
        <f aca="false">SUMPRODUCT(Headcount!$D$5:$D$90*(Headcount!$C$5:$C$90="IMPL")*((Headcount!$I$5:$I$90=0)+(Headcount!$I$5:$I$90=1)*$C$16)*(I$18&gt;=(Headcount!$E$5:$E$90+Headcount!$G$5:$G$90*$C$15)))</f>
        <v>1</v>
      </c>
      <c r="J197" s="13" t="n">
        <f aca="false">SUMPRODUCT(Headcount!$D$5:$D$90*(Headcount!$C$5:$C$90="IMPL")*((Headcount!$I$5:$I$90=0)+(Headcount!$I$5:$I$90=1)*$C$16)*(J$18&gt;=(Headcount!$E$5:$E$90+Headcount!$G$5:$G$90*$C$15)))</f>
        <v>1</v>
      </c>
      <c r="K197" s="13" t="n">
        <f aca="false">SUMPRODUCT(Headcount!$D$5:$D$90*(Headcount!$C$5:$C$90="IMPL")*((Headcount!$I$5:$I$90=0)+(Headcount!$I$5:$I$90=1)*$C$16)*(K$18&gt;=(Headcount!$E$5:$E$90+Headcount!$G$5:$G$90*$C$15)))</f>
        <v>1</v>
      </c>
      <c r="L197" s="13" t="n">
        <f aca="false">SUMPRODUCT(Headcount!$D$5:$D$90*(Headcount!$C$5:$C$90="IMPL")*((Headcount!$I$5:$I$90=0)+(Headcount!$I$5:$I$90=1)*$C$16)*(L$18&gt;=(Headcount!$E$5:$E$90+Headcount!$G$5:$G$90*$C$15)))</f>
        <v>1</v>
      </c>
      <c r="M197" s="13" t="n">
        <f aca="false">SUMPRODUCT(Headcount!$D$5:$D$90*(Headcount!$C$5:$C$90="IMPL")*((Headcount!$I$5:$I$90=0)+(Headcount!$I$5:$I$90=1)*$C$16)*(M$18&gt;=(Headcount!$E$5:$E$90+Headcount!$G$5:$G$90*$C$15)))</f>
        <v>2</v>
      </c>
      <c r="N197" s="13" t="n">
        <f aca="false">SUMPRODUCT(Headcount!$D$5:$D$90*(Headcount!$C$5:$C$90="IMPL")*((Headcount!$I$5:$I$90=0)+(Headcount!$I$5:$I$90=1)*$C$16)*(N$18&gt;=(Headcount!$E$5:$E$90+Headcount!$G$5:$G$90*$C$15)))</f>
        <v>2</v>
      </c>
      <c r="O197" s="13" t="n">
        <f aca="false">SUMPRODUCT(Headcount!$D$5:$D$90*(Headcount!$C$5:$C$90="IMPL")*((Headcount!$I$5:$I$90=0)+(Headcount!$I$5:$I$90=1)*$C$16)*(O$18&gt;=(Headcount!$E$5:$E$90+Headcount!$G$5:$G$90*$C$15)))</f>
        <v>2</v>
      </c>
      <c r="P197" s="13" t="n">
        <f aca="false">SUMPRODUCT(Headcount!$D$5:$D$90*(Headcount!$C$5:$C$90="IMPL")*((Headcount!$I$5:$I$90=0)+(Headcount!$I$5:$I$90=1)*$C$16)*(P$18&gt;=(Headcount!$E$5:$E$90+Headcount!$G$5:$G$90*$C$15)))</f>
        <v>2</v>
      </c>
      <c r="Q197" s="13" t="n">
        <f aca="false">SUMPRODUCT(Headcount!$D$5:$D$90*(Headcount!$C$5:$C$90="IMPL")*((Headcount!$I$5:$I$90=0)+(Headcount!$I$5:$I$90=1)*$C$16)*(Q$18&gt;=(Headcount!$E$5:$E$90+Headcount!$G$5:$G$90*$C$15)))</f>
        <v>3</v>
      </c>
      <c r="R197" s="13" t="n">
        <f aca="false">SUMPRODUCT(Headcount!$D$5:$D$90*(Headcount!$C$5:$C$90="IMPL")*((Headcount!$I$5:$I$90=0)+(Headcount!$I$5:$I$90=1)*$C$16)*(R$18&gt;=(Headcount!$E$5:$E$90+Headcount!$G$5:$G$90*$C$15)))</f>
        <v>3</v>
      </c>
      <c r="S197" s="13" t="n">
        <f aca="false">SUMPRODUCT(Headcount!$D$5:$D$90*(Headcount!$C$5:$C$90="IMPL")*((Headcount!$I$5:$I$90=0)+(Headcount!$I$5:$I$90=1)*$C$16)*(S$18&gt;=(Headcount!$E$5:$E$90+Headcount!$G$5:$G$90*$C$15)))</f>
        <v>3</v>
      </c>
      <c r="T197" s="13" t="n">
        <f aca="false">SUMPRODUCT(Headcount!$D$5:$D$90*(Headcount!$C$5:$C$90="IMPL")*((Headcount!$I$5:$I$90=0)+(Headcount!$I$5:$I$90=1)*$C$16)*(T$18&gt;=(Headcount!$E$5:$E$90+Headcount!$G$5:$G$90*$C$15)))</f>
        <v>3</v>
      </c>
      <c r="U197" s="13" t="n">
        <f aca="false">SUMPRODUCT(Headcount!$D$5:$D$90*(Headcount!$C$5:$C$90="IMPL")*((Headcount!$I$5:$I$90=0)+(Headcount!$I$5:$I$90=1)*$C$16)*(U$18&gt;=(Headcount!$E$5:$E$90+Headcount!$G$5:$G$90*$C$15)))</f>
        <v>4</v>
      </c>
      <c r="V197" s="13" t="n">
        <f aca="false">SUMPRODUCT(Headcount!$D$5:$D$90*(Headcount!$C$5:$C$90="IMPL")*((Headcount!$I$5:$I$90=0)+(Headcount!$I$5:$I$90=1)*$C$16)*(V$18&gt;=(Headcount!$E$5:$E$90+Headcount!$G$5:$G$90*$C$15)))</f>
        <v>4</v>
      </c>
      <c r="W197" s="13" t="n">
        <f aca="false">SUMPRODUCT(Headcount!$D$5:$D$90*(Headcount!$C$5:$C$90="IMPL")*((Headcount!$I$5:$I$90=0)+(Headcount!$I$5:$I$90=1)*$C$16)*(W$18&gt;=(Headcount!$E$5:$E$90+Headcount!$G$5:$G$90*$C$15)))</f>
        <v>4</v>
      </c>
      <c r="X197" s="13" t="n">
        <f aca="false">SUMPRODUCT(Headcount!$D$5:$D$90*(Headcount!$C$5:$C$90="IMPL")*((Headcount!$I$5:$I$90=0)+(Headcount!$I$5:$I$90=1)*$C$16)*(X$18&gt;=(Headcount!$E$5:$E$90+Headcount!$G$5:$G$90*$C$15)))</f>
        <v>5</v>
      </c>
      <c r="Y197" s="13" t="n">
        <f aca="false">SUMPRODUCT(Headcount!$D$5:$D$90*(Headcount!$C$5:$C$90="IMPL")*((Headcount!$I$5:$I$90=0)+(Headcount!$I$5:$I$90=1)*$C$16)*(Y$18&gt;=(Headcount!$E$5:$E$90+Headcount!$G$5:$G$90*$C$15)))</f>
        <v>5</v>
      </c>
      <c r="Z197" s="13" t="n">
        <f aca="false">SUMPRODUCT(Headcount!$D$5:$D$90*(Headcount!$C$5:$C$90="IMPL")*((Headcount!$I$5:$I$90=0)+(Headcount!$I$5:$I$90=1)*$C$16)*(Z$18&gt;=(Headcount!$E$5:$E$90+Headcount!$G$5:$G$90*$C$15)))</f>
        <v>5</v>
      </c>
      <c r="AA197" s="13" t="n">
        <f aca="false">SUMPRODUCT(Headcount!$D$5:$D$90*(Headcount!$C$5:$C$90="IMPL")*((Headcount!$I$5:$I$90=0)+(Headcount!$I$5:$I$90=1)*$C$16)*(AA$18&gt;=(Headcount!$E$5:$E$90+Headcount!$G$5:$G$90*$C$15)))</f>
        <v>6</v>
      </c>
      <c r="AB197" s="13" t="n">
        <f aca="false">SUMPRODUCT(Headcount!$D$5:$D$90*(Headcount!$C$5:$C$90="IMPL")*((Headcount!$I$5:$I$90=0)+(Headcount!$I$5:$I$90=1)*$C$16)*(AB$18&gt;=(Headcount!$E$5:$E$90+Headcount!$G$5:$G$90*$C$15)))</f>
        <v>6</v>
      </c>
      <c r="AC197" s="13" t="n">
        <f aca="false">SUMPRODUCT(Headcount!$D$5:$D$90*(Headcount!$C$5:$C$90="IMPL")*((Headcount!$I$5:$I$90=0)+(Headcount!$I$5:$I$90=1)*$C$16)*(AC$18&gt;=(Headcount!$E$5:$E$90+Headcount!$G$5:$G$90*$C$15)))</f>
        <v>6</v>
      </c>
      <c r="AD197" s="13" t="n">
        <f aca="false">SUMPRODUCT(Headcount!$D$5:$D$90*(Headcount!$C$5:$C$90="IMPL")*((Headcount!$I$5:$I$90=0)+(Headcount!$I$5:$I$90=1)*$C$16)*(AD$18&gt;=(Headcount!$E$5:$E$90+Headcount!$G$5:$G$90*$C$15)))</f>
        <v>7</v>
      </c>
      <c r="AE197" s="13" t="n">
        <f aca="false">SUMPRODUCT(Headcount!$D$5:$D$90*(Headcount!$C$5:$C$90="IMPL")*((Headcount!$I$5:$I$90=0)+(Headcount!$I$5:$I$90=1)*$C$16)*(AE$18&gt;=(Headcount!$E$5:$E$90+Headcount!$G$5:$G$90*$C$15)))</f>
        <v>7</v>
      </c>
      <c r="AF197" s="13" t="n">
        <f aca="false">SUMPRODUCT(Headcount!$D$5:$D$90*(Headcount!$C$5:$C$90="IMPL")*((Headcount!$I$5:$I$90=0)+(Headcount!$I$5:$I$90=1)*$C$16)*(AF$18&gt;=(Headcount!$E$5:$E$90+Headcount!$G$5:$G$90*$C$15)))</f>
        <v>7</v>
      </c>
      <c r="AG197" s="13" t="n">
        <f aca="false">SUMPRODUCT(Headcount!$D$5:$D$90*(Headcount!$C$5:$C$90="IMPL")*((Headcount!$I$5:$I$90=0)+(Headcount!$I$5:$I$90=1)*$C$16)*(AG$18&gt;=(Headcount!$E$5:$E$90+Headcount!$G$5:$G$90*$C$15)))</f>
        <v>8</v>
      </c>
      <c r="AH197" s="13" t="n">
        <f aca="false">SUMPRODUCT(Headcount!$D$5:$D$90*(Headcount!$C$5:$C$90="IMPL")*((Headcount!$I$5:$I$90=0)+(Headcount!$I$5:$I$90=1)*$C$16)*(AH$18&gt;=(Headcount!$E$5:$E$90+Headcount!$G$5:$G$90*$C$15)))</f>
        <v>8</v>
      </c>
      <c r="AI197" s="13" t="n">
        <f aca="false">SUMPRODUCT(Headcount!$D$5:$D$90*(Headcount!$C$5:$C$90="IMPL")*((Headcount!$I$5:$I$90=0)+(Headcount!$I$5:$I$90=1)*$C$16)*(AI$18&gt;=(Headcount!$E$5:$E$90+Headcount!$G$5:$G$90*$C$15)))</f>
        <v>8</v>
      </c>
      <c r="AJ197" s="13" t="n">
        <f aca="false">SUMPRODUCT(Headcount!$D$5:$D$90*(Headcount!$C$5:$C$90="IMPL")*((Headcount!$I$5:$I$90=0)+(Headcount!$I$5:$I$90=1)*$C$16)*(AJ$18&gt;=(Headcount!$E$5:$E$90+Headcount!$G$5:$G$90*$C$15)))</f>
        <v>8</v>
      </c>
      <c r="AK197" s="13" t="n">
        <f aca="false">SUMPRODUCT(Headcount!$D$5:$D$90*(Headcount!$C$5:$C$90="IMPL")*((Headcount!$I$5:$I$90=0)+(Headcount!$I$5:$I$90=1)*$C$16)*(AK$18&gt;=(Headcount!$E$5:$E$90+Headcount!$G$5:$G$90*$C$15)))</f>
        <v>8</v>
      </c>
      <c r="AL197" s="13" t="n">
        <f aca="false">SUMPRODUCT(Headcount!$D$5:$D$90*(Headcount!$C$5:$C$90="IMPL")*((Headcount!$I$5:$I$90=0)+(Headcount!$I$5:$I$90=1)*$C$16)*(AL$18&gt;=(Headcount!$E$5:$E$90+Headcount!$G$5:$G$90*$C$15)))</f>
        <v>8</v>
      </c>
      <c r="AN197" s="37" t="n">
        <f aca="false">N197</f>
        <v>2</v>
      </c>
      <c r="AO197" s="37" t="n">
        <f aca="false">Z197</f>
        <v>5</v>
      </c>
      <c r="AP197" s="37" t="n">
        <f aca="false">AL197</f>
        <v>8</v>
      </c>
    </row>
    <row r="198" customFormat="false" ht="15" hidden="false" customHeight="false" outlineLevel="0" collapsed="false">
      <c r="A198" s="0" t="s">
        <v>999</v>
      </c>
      <c r="B198" s="0" t="s">
        <v>618</v>
      </c>
      <c r="C198" s="13" t="n">
        <f aca="false">IF(C$18&gt;=2,SUMPRODUCT(Headcount!$D$5:$D$90*((Headcount!$I$5:$I$90=0)+(Headcount!$I$5:$I$90=1)*$C$16)*((Headcount!$E$5:$E$90+Headcount!$G$5:$G$90*$C$15)=C$18)),0)</f>
        <v>0</v>
      </c>
      <c r="D198" s="13" t="n">
        <f aca="false">IF(D$18&gt;=2,SUMPRODUCT(Headcount!$D$5:$D$90*((Headcount!$I$5:$I$90=0)+(Headcount!$I$5:$I$90=1)*$C$16)*((Headcount!$E$5:$E$90+Headcount!$G$5:$G$90*$C$15)=D$18)),0)</f>
        <v>0</v>
      </c>
      <c r="E198" s="13" t="n">
        <f aca="false">IF(E$18&gt;=2,SUMPRODUCT(Headcount!$D$5:$D$90*((Headcount!$I$5:$I$90=0)+(Headcount!$I$5:$I$90=1)*$C$16)*((Headcount!$E$5:$E$90+Headcount!$G$5:$G$90*$C$15)=E$18)),0)</f>
        <v>1</v>
      </c>
      <c r="F198" s="13" t="n">
        <f aca="false">IF(F$18&gt;=2,SUMPRODUCT(Headcount!$D$5:$D$90*((Headcount!$I$5:$I$90=0)+(Headcount!$I$5:$I$90=1)*$C$16)*((Headcount!$E$5:$E$90+Headcount!$G$5:$G$90*$C$15)=F$18)),0)</f>
        <v>1</v>
      </c>
      <c r="G198" s="13" t="n">
        <f aca="false">IF(G$18&gt;=2,SUMPRODUCT(Headcount!$D$5:$D$90*((Headcount!$I$5:$I$90=0)+(Headcount!$I$5:$I$90=1)*$C$16)*((Headcount!$E$5:$E$90+Headcount!$G$5:$G$90*$C$15)=G$18)),0)</f>
        <v>2</v>
      </c>
      <c r="H198" s="13" t="n">
        <f aca="false">IF(H$18&gt;=2,SUMPRODUCT(Headcount!$D$5:$D$90*((Headcount!$I$5:$I$90=0)+(Headcount!$I$5:$I$90=1)*$C$16)*((Headcount!$E$5:$E$90+Headcount!$G$5:$G$90*$C$15)=H$18)),0)</f>
        <v>2</v>
      </c>
      <c r="I198" s="13" t="n">
        <f aca="false">IF(I$18&gt;=2,SUMPRODUCT(Headcount!$D$5:$D$90*((Headcount!$I$5:$I$90=0)+(Headcount!$I$5:$I$90=1)*$C$16)*((Headcount!$E$5:$E$90+Headcount!$G$5:$G$90*$C$15)=I$18)),0)</f>
        <v>1</v>
      </c>
      <c r="J198" s="13" t="n">
        <f aca="false">IF(J$18&gt;=2,SUMPRODUCT(Headcount!$D$5:$D$90*((Headcount!$I$5:$I$90=0)+(Headcount!$I$5:$I$90=1)*$C$16)*((Headcount!$E$5:$E$90+Headcount!$G$5:$G$90*$C$15)=J$18)),0)</f>
        <v>0</v>
      </c>
      <c r="K198" s="13" t="n">
        <f aca="false">IF(K$18&gt;=2,SUMPRODUCT(Headcount!$D$5:$D$90*((Headcount!$I$5:$I$90=0)+(Headcount!$I$5:$I$90=1)*$C$16)*((Headcount!$E$5:$E$90+Headcount!$G$5:$G$90*$C$15)=K$18)),0)</f>
        <v>3</v>
      </c>
      <c r="L198" s="13" t="n">
        <f aca="false">IF(L$18&gt;=2,SUMPRODUCT(Headcount!$D$5:$D$90*((Headcount!$I$5:$I$90=0)+(Headcount!$I$5:$I$90=1)*$C$16)*((Headcount!$E$5:$E$90+Headcount!$G$5:$G$90*$C$15)=L$18)),0)</f>
        <v>1</v>
      </c>
      <c r="M198" s="13" t="n">
        <f aca="false">IF(M$18&gt;=2,SUMPRODUCT(Headcount!$D$5:$D$90*((Headcount!$I$5:$I$90=0)+(Headcount!$I$5:$I$90=1)*$C$16)*((Headcount!$E$5:$E$90+Headcount!$G$5:$G$90*$C$15)=M$18)),0)</f>
        <v>2</v>
      </c>
      <c r="N198" s="13" t="n">
        <f aca="false">IF(N$18&gt;=2,SUMPRODUCT(Headcount!$D$5:$D$90*((Headcount!$I$5:$I$90=0)+(Headcount!$I$5:$I$90=1)*$C$16)*((Headcount!$E$5:$E$90+Headcount!$G$5:$G$90*$C$15)=N$18)),0)</f>
        <v>1</v>
      </c>
      <c r="O198" s="13" t="n">
        <f aca="false">IF(O$18&gt;=2,SUMPRODUCT(Headcount!$D$5:$D$90*((Headcount!$I$5:$I$90=0)+(Headcount!$I$5:$I$90=1)*$C$16)*((Headcount!$E$5:$E$90+Headcount!$G$5:$G$90*$C$15)=O$18)),0)</f>
        <v>2</v>
      </c>
      <c r="P198" s="13" t="n">
        <f aca="false">IF(P$18&gt;=2,SUMPRODUCT(Headcount!$D$5:$D$90*((Headcount!$I$5:$I$90=0)+(Headcount!$I$5:$I$90=1)*$C$16)*((Headcount!$E$5:$E$90+Headcount!$G$5:$G$90*$C$15)=P$18)),0)</f>
        <v>1</v>
      </c>
      <c r="Q198" s="13" t="n">
        <f aca="false">IF(Q$18&gt;=2,SUMPRODUCT(Headcount!$D$5:$D$90*((Headcount!$I$5:$I$90=0)+(Headcount!$I$5:$I$90=1)*$C$16)*((Headcount!$E$5:$E$90+Headcount!$G$5:$G$90*$C$15)=Q$18)),0)</f>
        <v>2</v>
      </c>
      <c r="R198" s="13" t="n">
        <f aca="false">IF(R$18&gt;=2,SUMPRODUCT(Headcount!$D$5:$D$90*((Headcount!$I$5:$I$90=0)+(Headcount!$I$5:$I$90=1)*$C$16)*((Headcount!$E$5:$E$90+Headcount!$G$5:$G$90*$C$15)=R$18)),0)</f>
        <v>0</v>
      </c>
      <c r="S198" s="13" t="n">
        <f aca="false">IF(S$18&gt;=2,SUMPRODUCT(Headcount!$D$5:$D$90*((Headcount!$I$5:$I$90=0)+(Headcount!$I$5:$I$90=1)*$C$16)*((Headcount!$E$5:$E$90+Headcount!$G$5:$G$90*$C$15)=S$18)),0)</f>
        <v>0</v>
      </c>
      <c r="T198" s="13" t="n">
        <f aca="false">IF(T$18&gt;=2,SUMPRODUCT(Headcount!$D$5:$D$90*((Headcount!$I$5:$I$90=0)+(Headcount!$I$5:$I$90=1)*$C$16)*((Headcount!$E$5:$E$90+Headcount!$G$5:$G$90*$C$15)=T$18)),0)</f>
        <v>2</v>
      </c>
      <c r="U198" s="13" t="n">
        <f aca="false">IF(U$18&gt;=2,SUMPRODUCT(Headcount!$D$5:$D$90*((Headcount!$I$5:$I$90=0)+(Headcount!$I$5:$I$90=1)*$C$16)*((Headcount!$E$5:$E$90+Headcount!$G$5:$G$90*$C$15)=U$18)),0)</f>
        <v>1</v>
      </c>
      <c r="V198" s="13" t="n">
        <f aca="false">IF(V$18&gt;=2,SUMPRODUCT(Headcount!$D$5:$D$90*((Headcount!$I$5:$I$90=0)+(Headcount!$I$5:$I$90=1)*$C$16)*((Headcount!$E$5:$E$90+Headcount!$G$5:$G$90*$C$15)=V$18)),0)</f>
        <v>2</v>
      </c>
      <c r="W198" s="13" t="n">
        <f aca="false">IF(W$18&gt;=2,SUMPRODUCT(Headcount!$D$5:$D$90*((Headcount!$I$5:$I$90=0)+(Headcount!$I$5:$I$90=1)*$C$16)*((Headcount!$E$5:$E$90+Headcount!$G$5:$G$90*$C$15)=W$18)),0)</f>
        <v>0</v>
      </c>
      <c r="X198" s="13" t="n">
        <f aca="false">IF(X$18&gt;=2,SUMPRODUCT(Headcount!$D$5:$D$90*((Headcount!$I$5:$I$90=0)+(Headcount!$I$5:$I$90=1)*$C$16)*((Headcount!$E$5:$E$90+Headcount!$G$5:$G$90*$C$15)=X$18)),0)</f>
        <v>2</v>
      </c>
      <c r="Y198" s="13" t="n">
        <f aca="false">IF(Y$18&gt;=2,SUMPRODUCT(Headcount!$D$5:$D$90*((Headcount!$I$5:$I$90=0)+(Headcount!$I$5:$I$90=1)*$C$16)*((Headcount!$E$5:$E$90+Headcount!$G$5:$G$90*$C$15)=Y$18)),0)</f>
        <v>0</v>
      </c>
      <c r="Z198" s="13" t="n">
        <f aca="false">IF(Z$18&gt;=2,SUMPRODUCT(Headcount!$D$5:$D$90*((Headcount!$I$5:$I$90=0)+(Headcount!$I$5:$I$90=1)*$C$16)*((Headcount!$E$5:$E$90+Headcount!$G$5:$G$90*$C$15)=Z$18)),0)</f>
        <v>1</v>
      </c>
      <c r="AA198" s="13" t="n">
        <f aca="false">IF(AA$18&gt;=2,SUMPRODUCT(Headcount!$D$5:$D$90*((Headcount!$I$5:$I$90=0)+(Headcount!$I$5:$I$90=1)*$C$16)*((Headcount!$E$5:$E$90+Headcount!$G$5:$G$90*$C$15)=AA$18)),0)</f>
        <v>1</v>
      </c>
      <c r="AB198" s="13" t="n">
        <f aca="false">IF(AB$18&gt;=2,SUMPRODUCT(Headcount!$D$5:$D$90*((Headcount!$I$5:$I$90=0)+(Headcount!$I$5:$I$90=1)*$C$16)*((Headcount!$E$5:$E$90+Headcount!$G$5:$G$90*$C$15)=AB$18)),0)</f>
        <v>2</v>
      </c>
      <c r="AC198" s="13" t="n">
        <f aca="false">IF(AC$18&gt;=2,SUMPRODUCT(Headcount!$D$5:$D$90*((Headcount!$I$5:$I$90=0)+(Headcount!$I$5:$I$90=1)*$C$16)*((Headcount!$E$5:$E$90+Headcount!$G$5:$G$90*$C$15)=AC$18)),0)</f>
        <v>0</v>
      </c>
      <c r="AD198" s="13" t="n">
        <f aca="false">IF(AD$18&gt;=2,SUMPRODUCT(Headcount!$D$5:$D$90*((Headcount!$I$5:$I$90=0)+(Headcount!$I$5:$I$90=1)*$C$16)*((Headcount!$E$5:$E$90+Headcount!$G$5:$G$90*$C$15)=AD$18)),0)</f>
        <v>2</v>
      </c>
      <c r="AE198" s="13" t="n">
        <f aca="false">IF(AE$18&gt;=2,SUMPRODUCT(Headcount!$D$5:$D$90*((Headcount!$I$5:$I$90=0)+(Headcount!$I$5:$I$90=1)*$C$16)*((Headcount!$E$5:$E$90+Headcount!$G$5:$G$90*$C$15)=AE$18)),0)</f>
        <v>0</v>
      </c>
      <c r="AF198" s="13" t="n">
        <f aca="false">IF(AF$18&gt;=2,SUMPRODUCT(Headcount!$D$5:$D$90*((Headcount!$I$5:$I$90=0)+(Headcount!$I$5:$I$90=1)*$C$16)*((Headcount!$E$5:$E$90+Headcount!$G$5:$G$90*$C$15)=AF$18)),0)</f>
        <v>1</v>
      </c>
      <c r="AG198" s="13" t="n">
        <f aca="false">IF(AG$18&gt;=2,SUMPRODUCT(Headcount!$D$5:$D$90*((Headcount!$I$5:$I$90=0)+(Headcount!$I$5:$I$90=1)*$C$16)*((Headcount!$E$5:$E$90+Headcount!$G$5:$G$90*$C$15)=AG$18)),0)</f>
        <v>1</v>
      </c>
      <c r="AH198" s="13" t="n">
        <f aca="false">IF(AH$18&gt;=2,SUMPRODUCT(Headcount!$D$5:$D$90*((Headcount!$I$5:$I$90=0)+(Headcount!$I$5:$I$90=1)*$C$16)*((Headcount!$E$5:$E$90+Headcount!$G$5:$G$90*$C$15)=AH$18)),0)</f>
        <v>1</v>
      </c>
      <c r="AI198" s="13" t="n">
        <f aca="false">IF(AI$18&gt;=2,SUMPRODUCT(Headcount!$D$5:$D$90*((Headcount!$I$5:$I$90=0)+(Headcount!$I$5:$I$90=1)*$C$16)*((Headcount!$E$5:$E$90+Headcount!$G$5:$G$90*$C$15)=AI$18)),0)</f>
        <v>1</v>
      </c>
      <c r="AJ198" s="13" t="n">
        <f aca="false">IF(AJ$18&gt;=2,SUMPRODUCT(Headcount!$D$5:$D$90*((Headcount!$I$5:$I$90=0)+(Headcount!$I$5:$I$90=1)*$C$16)*((Headcount!$E$5:$E$90+Headcount!$G$5:$G$90*$C$15)=AJ$18)),0)</f>
        <v>0</v>
      </c>
      <c r="AK198" s="13" t="n">
        <f aca="false">IF(AK$18&gt;=2,SUMPRODUCT(Headcount!$D$5:$D$90*((Headcount!$I$5:$I$90=0)+(Headcount!$I$5:$I$90=1)*$C$16)*((Headcount!$E$5:$E$90+Headcount!$G$5:$G$90*$C$15)=AK$18)),0)</f>
        <v>0</v>
      </c>
      <c r="AL198" s="13" t="n">
        <f aca="false">IF(AL$18&gt;=2,SUMPRODUCT(Headcount!$D$5:$D$90*((Headcount!$I$5:$I$90=0)+(Headcount!$I$5:$I$90=1)*$C$16)*((Headcount!$E$5:$E$90+Headcount!$G$5:$G$90*$C$15)=AL$18)),0)</f>
        <v>0</v>
      </c>
      <c r="AN198" s="37" t="n">
        <f aca="false">SUM(C198:N198)</f>
        <v>14</v>
      </c>
      <c r="AO198" s="37" t="n">
        <f aca="false">SUM(O198:Z198)</f>
        <v>13</v>
      </c>
      <c r="AP198" s="37" t="n">
        <f aca="false">SUM(AA198:AL198)</f>
        <v>9</v>
      </c>
    </row>
    <row r="199" customFormat="false" ht="15" hidden="false" customHeight="false" outlineLevel="0" collapsed="false">
      <c r="A199" s="0" t="s">
        <v>1000</v>
      </c>
      <c r="B199" s="0" t="s">
        <v>230</v>
      </c>
      <c r="C199" s="9" t="n">
        <f aca="false">((((((Assumptions!$C$138+Assumptions!$C$139)+Assumptions!$C$140)+Assumptions!$C$141)+Assumptions!$C$142)+Assumptions!$C$143)/12)</f>
        <v>9833.33333333333</v>
      </c>
      <c r="D199" s="9" t="n">
        <f aca="false">((((((Assumptions!$C$138+Assumptions!$C$139)+Assumptions!$C$140)+Assumptions!$C$141)+Assumptions!$C$142)+Assumptions!$C$143)/12)</f>
        <v>9833.33333333333</v>
      </c>
      <c r="E199" s="9" t="n">
        <f aca="false">((((((Assumptions!$C$138+Assumptions!$C$139)+Assumptions!$C$140)+Assumptions!$C$141)+Assumptions!$C$142)+Assumptions!$C$143)/12)</f>
        <v>9833.33333333333</v>
      </c>
      <c r="F199" s="9" t="n">
        <f aca="false">((((((Assumptions!$C$138+Assumptions!$C$139)+Assumptions!$C$140)+Assumptions!$C$141)+Assumptions!$C$142)+Assumptions!$C$143)/12)</f>
        <v>9833.33333333333</v>
      </c>
      <c r="G199" s="9" t="n">
        <f aca="false">((((((Assumptions!$C$138+Assumptions!$C$139)+Assumptions!$C$140)+Assumptions!$C$141)+Assumptions!$C$142)+Assumptions!$C$143)/12)</f>
        <v>9833.33333333333</v>
      </c>
      <c r="H199" s="9" t="n">
        <f aca="false">((((((Assumptions!$C$138+Assumptions!$C$139)+Assumptions!$C$140)+Assumptions!$C$141)+Assumptions!$C$142)+Assumptions!$C$143)/12)</f>
        <v>9833.33333333333</v>
      </c>
      <c r="I199" s="9" t="n">
        <f aca="false">((((((Assumptions!$C$138+Assumptions!$C$139)+Assumptions!$C$140)+Assumptions!$C$141)+Assumptions!$C$142)+Assumptions!$C$143)/12)</f>
        <v>9833.33333333333</v>
      </c>
      <c r="J199" s="9" t="n">
        <f aca="false">((((((Assumptions!$C$138+Assumptions!$C$139)+Assumptions!$C$140)+Assumptions!$C$141)+Assumptions!$C$142)+Assumptions!$C$143)/12)</f>
        <v>9833.33333333333</v>
      </c>
      <c r="K199" s="9" t="n">
        <f aca="false">((((((Assumptions!$C$138+Assumptions!$C$139)+Assumptions!$C$140)+Assumptions!$C$141)+Assumptions!$C$142)+Assumptions!$C$143)/12)</f>
        <v>9833.33333333333</v>
      </c>
      <c r="L199" s="9" t="n">
        <f aca="false">((((((Assumptions!$C$138+Assumptions!$C$139)+Assumptions!$C$140)+Assumptions!$C$141)+Assumptions!$C$142)+Assumptions!$C$143)/12)</f>
        <v>9833.33333333333</v>
      </c>
      <c r="M199" s="9" t="n">
        <f aca="false">((((((Assumptions!$C$138+Assumptions!$C$139)+Assumptions!$C$140)+Assumptions!$C$141)+Assumptions!$C$142)+Assumptions!$C$143)/12)</f>
        <v>9833.33333333333</v>
      </c>
      <c r="N199" s="9" t="n">
        <f aca="false">((((((Assumptions!$C$138+Assumptions!$C$139)+Assumptions!$C$140)+Assumptions!$C$141)+Assumptions!$C$142)+Assumptions!$C$143)/12)</f>
        <v>9833.33333333333</v>
      </c>
      <c r="O199" s="9" t="n">
        <f aca="false">((((((Assumptions!$D$138+Assumptions!$D$139)+Assumptions!$D$140)+Assumptions!$D$141)+Assumptions!$D$142)+Assumptions!$D$143)/12)</f>
        <v>14166.6666666667</v>
      </c>
      <c r="P199" s="9" t="n">
        <f aca="false">((((((Assumptions!$D$138+Assumptions!$D$139)+Assumptions!$D$140)+Assumptions!$D$141)+Assumptions!$D$142)+Assumptions!$D$143)/12)</f>
        <v>14166.6666666667</v>
      </c>
      <c r="Q199" s="9" t="n">
        <f aca="false">((((((Assumptions!$D$138+Assumptions!$D$139)+Assumptions!$D$140)+Assumptions!$D$141)+Assumptions!$D$142)+Assumptions!$D$143)/12)</f>
        <v>14166.6666666667</v>
      </c>
      <c r="R199" s="9" t="n">
        <f aca="false">((((((Assumptions!$D$138+Assumptions!$D$139)+Assumptions!$D$140)+Assumptions!$D$141)+Assumptions!$D$142)+Assumptions!$D$143)/12)</f>
        <v>14166.6666666667</v>
      </c>
      <c r="S199" s="9" t="n">
        <f aca="false">((((((Assumptions!$D$138+Assumptions!$D$139)+Assumptions!$D$140)+Assumptions!$D$141)+Assumptions!$D$142)+Assumptions!$D$143)/12)</f>
        <v>14166.6666666667</v>
      </c>
      <c r="T199" s="9" t="n">
        <f aca="false">((((((Assumptions!$D$138+Assumptions!$D$139)+Assumptions!$D$140)+Assumptions!$D$141)+Assumptions!$D$142)+Assumptions!$D$143)/12)</f>
        <v>14166.6666666667</v>
      </c>
      <c r="U199" s="9" t="n">
        <f aca="false">((((((Assumptions!$D$138+Assumptions!$D$139)+Assumptions!$D$140)+Assumptions!$D$141)+Assumptions!$D$142)+Assumptions!$D$143)/12)</f>
        <v>14166.6666666667</v>
      </c>
      <c r="V199" s="9" t="n">
        <f aca="false">((((((Assumptions!$D$138+Assumptions!$D$139)+Assumptions!$D$140)+Assumptions!$D$141)+Assumptions!$D$142)+Assumptions!$D$143)/12)</f>
        <v>14166.6666666667</v>
      </c>
      <c r="W199" s="9" t="n">
        <f aca="false">((((((Assumptions!$D$138+Assumptions!$D$139)+Assumptions!$D$140)+Assumptions!$D$141)+Assumptions!$D$142)+Assumptions!$D$143)/12)</f>
        <v>14166.6666666667</v>
      </c>
      <c r="X199" s="9" t="n">
        <f aca="false">((((((Assumptions!$D$138+Assumptions!$D$139)+Assumptions!$D$140)+Assumptions!$D$141)+Assumptions!$D$142)+Assumptions!$D$143)/12)</f>
        <v>14166.6666666667</v>
      </c>
      <c r="Y199" s="9" t="n">
        <f aca="false">((((((Assumptions!$D$138+Assumptions!$D$139)+Assumptions!$D$140)+Assumptions!$D$141)+Assumptions!$D$142)+Assumptions!$D$143)/12)</f>
        <v>14166.6666666667</v>
      </c>
      <c r="Z199" s="9" t="n">
        <f aca="false">((((((Assumptions!$D$138+Assumptions!$D$139)+Assumptions!$D$140)+Assumptions!$D$141)+Assumptions!$D$142)+Assumptions!$D$143)/12)</f>
        <v>14166.6666666667</v>
      </c>
      <c r="AA199" s="9" t="n">
        <f aca="false">((((((Assumptions!$E$138+Assumptions!$E$139)+Assumptions!$E$140)+Assumptions!$E$141)+Assumptions!$E$142)+Assumptions!$E$143)/12)</f>
        <v>19583.3333333333</v>
      </c>
      <c r="AB199" s="9" t="n">
        <f aca="false">((((((Assumptions!$E$138+Assumptions!$E$139)+Assumptions!$E$140)+Assumptions!$E$141)+Assumptions!$E$142)+Assumptions!$E$143)/12)</f>
        <v>19583.3333333333</v>
      </c>
      <c r="AC199" s="9" t="n">
        <f aca="false">((((((Assumptions!$E$138+Assumptions!$E$139)+Assumptions!$E$140)+Assumptions!$E$141)+Assumptions!$E$142)+Assumptions!$E$143)/12)</f>
        <v>19583.3333333333</v>
      </c>
      <c r="AD199" s="9" t="n">
        <f aca="false">((((((Assumptions!$E$138+Assumptions!$E$139)+Assumptions!$E$140)+Assumptions!$E$141)+Assumptions!$E$142)+Assumptions!$E$143)/12)</f>
        <v>19583.3333333333</v>
      </c>
      <c r="AE199" s="9" t="n">
        <f aca="false">((((((Assumptions!$E$138+Assumptions!$E$139)+Assumptions!$E$140)+Assumptions!$E$141)+Assumptions!$E$142)+Assumptions!$E$143)/12)</f>
        <v>19583.3333333333</v>
      </c>
      <c r="AF199" s="9" t="n">
        <f aca="false">((((((Assumptions!$E$138+Assumptions!$E$139)+Assumptions!$E$140)+Assumptions!$E$141)+Assumptions!$E$142)+Assumptions!$E$143)/12)</f>
        <v>19583.3333333333</v>
      </c>
      <c r="AG199" s="9" t="n">
        <f aca="false">((((((Assumptions!$E$138+Assumptions!$E$139)+Assumptions!$E$140)+Assumptions!$E$141)+Assumptions!$E$142)+Assumptions!$E$143)/12)</f>
        <v>19583.3333333333</v>
      </c>
      <c r="AH199" s="9" t="n">
        <f aca="false">((((((Assumptions!$E$138+Assumptions!$E$139)+Assumptions!$E$140)+Assumptions!$E$141)+Assumptions!$E$142)+Assumptions!$E$143)/12)</f>
        <v>19583.3333333333</v>
      </c>
      <c r="AI199" s="9" t="n">
        <f aca="false">((((((Assumptions!$E$138+Assumptions!$E$139)+Assumptions!$E$140)+Assumptions!$E$141)+Assumptions!$E$142)+Assumptions!$E$143)/12)</f>
        <v>19583.3333333333</v>
      </c>
      <c r="AJ199" s="9" t="n">
        <f aca="false">((((((Assumptions!$E$138+Assumptions!$E$139)+Assumptions!$E$140)+Assumptions!$E$141)+Assumptions!$E$142)+Assumptions!$E$143)/12)</f>
        <v>19583.3333333333</v>
      </c>
      <c r="AK199" s="9" t="n">
        <f aca="false">((((((Assumptions!$E$138+Assumptions!$E$139)+Assumptions!$E$140)+Assumptions!$E$141)+Assumptions!$E$142)+Assumptions!$E$143)/12)</f>
        <v>19583.3333333333</v>
      </c>
      <c r="AL199" s="9" t="n">
        <f aca="false">((((((Assumptions!$E$138+Assumptions!$E$139)+Assumptions!$E$140)+Assumptions!$E$141)+Assumptions!$E$142)+Assumptions!$E$143)/12)</f>
        <v>19583.3333333333</v>
      </c>
      <c r="AN199" s="11" t="n">
        <f aca="false">SUM(C199:N199)</f>
        <v>118000</v>
      </c>
      <c r="AO199" s="11" t="n">
        <f aca="false">SUM(O199:Z199)</f>
        <v>170000</v>
      </c>
      <c r="AP199" s="11" t="n">
        <f aca="false">SUM(AA199:AL199)</f>
        <v>235000</v>
      </c>
    </row>
    <row r="200" customFormat="false" ht="15" hidden="false" customHeight="false" outlineLevel="0" collapsed="false">
      <c r="A200" s="0" t="s">
        <v>36</v>
      </c>
      <c r="B200" s="0" t="s">
        <v>230</v>
      </c>
      <c r="C200" s="9" t="n">
        <f aca="false">(((Assumptions!$C$145+Assumptions!$C$146)+Assumptions!$C$147)/12)</f>
        <v>7916.66666666667</v>
      </c>
      <c r="D200" s="9" t="n">
        <f aca="false">(((Assumptions!$C$145+Assumptions!$C$146)+Assumptions!$C$147)/12)</f>
        <v>7916.66666666667</v>
      </c>
      <c r="E200" s="9" t="n">
        <f aca="false">(((Assumptions!$C$145+Assumptions!$C$146)+Assumptions!$C$147)/12)</f>
        <v>7916.66666666667</v>
      </c>
      <c r="F200" s="9" t="n">
        <f aca="false">(((Assumptions!$C$145+Assumptions!$C$146)+Assumptions!$C$147)/12)</f>
        <v>7916.66666666667</v>
      </c>
      <c r="G200" s="9" t="n">
        <f aca="false">(((Assumptions!$C$145+Assumptions!$C$146)+Assumptions!$C$147)/12)</f>
        <v>7916.66666666667</v>
      </c>
      <c r="H200" s="9" t="n">
        <f aca="false">(((Assumptions!$C$145+Assumptions!$C$146)+Assumptions!$C$147)/12)</f>
        <v>7916.66666666667</v>
      </c>
      <c r="I200" s="9" t="n">
        <f aca="false">(((Assumptions!$C$145+Assumptions!$C$146)+Assumptions!$C$147)/12)</f>
        <v>7916.66666666667</v>
      </c>
      <c r="J200" s="9" t="n">
        <f aca="false">(((Assumptions!$C$145+Assumptions!$C$146)+Assumptions!$C$147)/12)</f>
        <v>7916.66666666667</v>
      </c>
      <c r="K200" s="9" t="n">
        <f aca="false">(((Assumptions!$C$145+Assumptions!$C$146)+Assumptions!$C$147)/12)</f>
        <v>7916.66666666667</v>
      </c>
      <c r="L200" s="9" t="n">
        <f aca="false">(((Assumptions!$C$145+Assumptions!$C$146)+Assumptions!$C$147)/12)</f>
        <v>7916.66666666667</v>
      </c>
      <c r="M200" s="9" t="n">
        <f aca="false">(((Assumptions!$C$145+Assumptions!$C$146)+Assumptions!$C$147)/12)</f>
        <v>7916.66666666667</v>
      </c>
      <c r="N200" s="9" t="n">
        <f aca="false">(((Assumptions!$C$145+Assumptions!$C$146)+Assumptions!$C$147)/12)</f>
        <v>7916.66666666667</v>
      </c>
      <c r="O200" s="9" t="n">
        <f aca="false">(((Assumptions!$D$145+Assumptions!$D$146)+Assumptions!$D$147)/12)</f>
        <v>9333.33333333333</v>
      </c>
      <c r="P200" s="9" t="n">
        <f aca="false">(((Assumptions!$D$145+Assumptions!$D$146)+Assumptions!$D$147)/12)</f>
        <v>9333.33333333333</v>
      </c>
      <c r="Q200" s="9" t="n">
        <f aca="false">(((Assumptions!$D$145+Assumptions!$D$146)+Assumptions!$D$147)/12)</f>
        <v>9333.33333333333</v>
      </c>
      <c r="R200" s="9" t="n">
        <f aca="false">(((Assumptions!$D$145+Assumptions!$D$146)+Assumptions!$D$147)/12)</f>
        <v>9333.33333333333</v>
      </c>
      <c r="S200" s="9" t="n">
        <f aca="false">(((Assumptions!$D$145+Assumptions!$D$146)+Assumptions!$D$147)/12)</f>
        <v>9333.33333333333</v>
      </c>
      <c r="T200" s="9" t="n">
        <f aca="false">(((Assumptions!$D$145+Assumptions!$D$146)+Assumptions!$D$147)/12)</f>
        <v>9333.33333333333</v>
      </c>
      <c r="U200" s="9" t="n">
        <f aca="false">(((Assumptions!$D$145+Assumptions!$D$146)+Assumptions!$D$147)/12)</f>
        <v>9333.33333333333</v>
      </c>
      <c r="V200" s="9" t="n">
        <f aca="false">(((Assumptions!$D$145+Assumptions!$D$146)+Assumptions!$D$147)/12)</f>
        <v>9333.33333333333</v>
      </c>
      <c r="W200" s="9" t="n">
        <f aca="false">(((Assumptions!$D$145+Assumptions!$D$146)+Assumptions!$D$147)/12)</f>
        <v>9333.33333333333</v>
      </c>
      <c r="X200" s="9" t="n">
        <f aca="false">(((Assumptions!$D$145+Assumptions!$D$146)+Assumptions!$D$147)/12)</f>
        <v>9333.33333333333</v>
      </c>
      <c r="Y200" s="9" t="n">
        <f aca="false">(((Assumptions!$D$145+Assumptions!$D$146)+Assumptions!$D$147)/12)</f>
        <v>9333.33333333333</v>
      </c>
      <c r="Z200" s="9" t="n">
        <f aca="false">(((Assumptions!$D$145+Assumptions!$D$146)+Assumptions!$D$147)/12)</f>
        <v>9333.33333333333</v>
      </c>
      <c r="AA200" s="9" t="n">
        <f aca="false">(((Assumptions!$E$145+Assumptions!$E$146)+Assumptions!$E$147)/12)</f>
        <v>12916.6666666667</v>
      </c>
      <c r="AB200" s="9" t="n">
        <f aca="false">(((Assumptions!$E$145+Assumptions!$E$146)+Assumptions!$E$147)/12)</f>
        <v>12916.6666666667</v>
      </c>
      <c r="AC200" s="9" t="n">
        <f aca="false">(((Assumptions!$E$145+Assumptions!$E$146)+Assumptions!$E$147)/12)</f>
        <v>12916.6666666667</v>
      </c>
      <c r="AD200" s="9" t="n">
        <f aca="false">(((Assumptions!$E$145+Assumptions!$E$146)+Assumptions!$E$147)/12)</f>
        <v>12916.6666666667</v>
      </c>
      <c r="AE200" s="9" t="n">
        <f aca="false">(((Assumptions!$E$145+Assumptions!$E$146)+Assumptions!$E$147)/12)</f>
        <v>12916.6666666667</v>
      </c>
      <c r="AF200" s="9" t="n">
        <f aca="false">(((Assumptions!$E$145+Assumptions!$E$146)+Assumptions!$E$147)/12)</f>
        <v>12916.6666666667</v>
      </c>
      <c r="AG200" s="9" t="n">
        <f aca="false">(((Assumptions!$E$145+Assumptions!$E$146)+Assumptions!$E$147)/12)</f>
        <v>12916.6666666667</v>
      </c>
      <c r="AH200" s="9" t="n">
        <f aca="false">(((Assumptions!$E$145+Assumptions!$E$146)+Assumptions!$E$147)/12)</f>
        <v>12916.6666666667</v>
      </c>
      <c r="AI200" s="9" t="n">
        <f aca="false">(((Assumptions!$E$145+Assumptions!$E$146)+Assumptions!$E$147)/12)</f>
        <v>12916.6666666667</v>
      </c>
      <c r="AJ200" s="9" t="n">
        <f aca="false">(((Assumptions!$E$145+Assumptions!$E$146)+Assumptions!$E$147)/12)</f>
        <v>12916.6666666667</v>
      </c>
      <c r="AK200" s="9" t="n">
        <f aca="false">(((Assumptions!$E$145+Assumptions!$E$146)+Assumptions!$E$147)/12)</f>
        <v>12916.6666666667</v>
      </c>
      <c r="AL200" s="9" t="n">
        <f aca="false">(((Assumptions!$E$145+Assumptions!$E$146)+Assumptions!$E$147)/12)</f>
        <v>12916.6666666667</v>
      </c>
      <c r="AN200" s="11" t="n">
        <f aca="false">SUM(C200:N200)</f>
        <v>95000</v>
      </c>
      <c r="AO200" s="11" t="n">
        <f aca="false">SUM(O200:Z200)</f>
        <v>112000</v>
      </c>
      <c r="AP200" s="11" t="n">
        <f aca="false">SUM(AA200:AL200)</f>
        <v>155000</v>
      </c>
    </row>
    <row r="201" customFormat="false" ht="15" hidden="false" customHeight="false" outlineLevel="0" collapsed="false">
      <c r="A201" s="0" t="s">
        <v>37</v>
      </c>
      <c r="B201" s="0" t="s">
        <v>230</v>
      </c>
      <c r="C201" s="9" t="n">
        <f aca="false">(((Assumptions!$C$148+Assumptions!$C$149)+Assumptions!$C$150)/12)</f>
        <v>3416.66666666667</v>
      </c>
      <c r="D201" s="9" t="n">
        <f aca="false">(((Assumptions!$C$148+Assumptions!$C$149)+Assumptions!$C$150)/12)</f>
        <v>3416.66666666667</v>
      </c>
      <c r="E201" s="9" t="n">
        <f aca="false">(((Assumptions!$C$148+Assumptions!$C$149)+Assumptions!$C$150)/12)</f>
        <v>3416.66666666667</v>
      </c>
      <c r="F201" s="9" t="n">
        <f aca="false">(((Assumptions!$C$148+Assumptions!$C$149)+Assumptions!$C$150)/12)</f>
        <v>3416.66666666667</v>
      </c>
      <c r="G201" s="9" t="n">
        <f aca="false">(((Assumptions!$C$148+Assumptions!$C$149)+Assumptions!$C$150)/12)</f>
        <v>3416.66666666667</v>
      </c>
      <c r="H201" s="9" t="n">
        <f aca="false">(((Assumptions!$C$148+Assumptions!$C$149)+Assumptions!$C$150)/12)</f>
        <v>3416.66666666667</v>
      </c>
      <c r="I201" s="9" t="n">
        <f aca="false">(((Assumptions!$C$148+Assumptions!$C$149)+Assumptions!$C$150)/12)</f>
        <v>3416.66666666667</v>
      </c>
      <c r="J201" s="9" t="n">
        <f aca="false">(((Assumptions!$C$148+Assumptions!$C$149)+Assumptions!$C$150)/12)</f>
        <v>3416.66666666667</v>
      </c>
      <c r="K201" s="9" t="n">
        <f aca="false">(((Assumptions!$C$148+Assumptions!$C$149)+Assumptions!$C$150)/12)</f>
        <v>3416.66666666667</v>
      </c>
      <c r="L201" s="9" t="n">
        <f aca="false">(((Assumptions!$C$148+Assumptions!$C$149)+Assumptions!$C$150)/12)</f>
        <v>3416.66666666667</v>
      </c>
      <c r="M201" s="9" t="n">
        <f aca="false">(((Assumptions!$C$148+Assumptions!$C$149)+Assumptions!$C$150)/12)</f>
        <v>3416.66666666667</v>
      </c>
      <c r="N201" s="9" t="n">
        <f aca="false">(((Assumptions!$C$148+Assumptions!$C$149)+Assumptions!$C$150)/12)</f>
        <v>3416.66666666667</v>
      </c>
      <c r="O201" s="9" t="n">
        <f aca="false">(((Assumptions!$D$148+Assumptions!$D$149)+Assumptions!$D$150)/12)</f>
        <v>5833.33333333333</v>
      </c>
      <c r="P201" s="9" t="n">
        <f aca="false">(((Assumptions!$D$148+Assumptions!$D$149)+Assumptions!$D$150)/12)</f>
        <v>5833.33333333333</v>
      </c>
      <c r="Q201" s="9" t="n">
        <f aca="false">(((Assumptions!$D$148+Assumptions!$D$149)+Assumptions!$D$150)/12)</f>
        <v>5833.33333333333</v>
      </c>
      <c r="R201" s="9" t="n">
        <f aca="false">(((Assumptions!$D$148+Assumptions!$D$149)+Assumptions!$D$150)/12)</f>
        <v>5833.33333333333</v>
      </c>
      <c r="S201" s="9" t="n">
        <f aca="false">(((Assumptions!$D$148+Assumptions!$D$149)+Assumptions!$D$150)/12)</f>
        <v>5833.33333333333</v>
      </c>
      <c r="T201" s="9" t="n">
        <f aca="false">(((Assumptions!$D$148+Assumptions!$D$149)+Assumptions!$D$150)/12)</f>
        <v>5833.33333333333</v>
      </c>
      <c r="U201" s="9" t="n">
        <f aca="false">(((Assumptions!$D$148+Assumptions!$D$149)+Assumptions!$D$150)/12)</f>
        <v>5833.33333333333</v>
      </c>
      <c r="V201" s="9" t="n">
        <f aca="false">(((Assumptions!$D$148+Assumptions!$D$149)+Assumptions!$D$150)/12)</f>
        <v>5833.33333333333</v>
      </c>
      <c r="W201" s="9" t="n">
        <f aca="false">(((Assumptions!$D$148+Assumptions!$D$149)+Assumptions!$D$150)/12)</f>
        <v>5833.33333333333</v>
      </c>
      <c r="X201" s="9" t="n">
        <f aca="false">(((Assumptions!$D$148+Assumptions!$D$149)+Assumptions!$D$150)/12)</f>
        <v>5833.33333333333</v>
      </c>
      <c r="Y201" s="9" t="n">
        <f aca="false">(((Assumptions!$D$148+Assumptions!$D$149)+Assumptions!$D$150)/12)</f>
        <v>5833.33333333333</v>
      </c>
      <c r="Z201" s="9" t="n">
        <f aca="false">(((Assumptions!$D$148+Assumptions!$D$149)+Assumptions!$D$150)/12)</f>
        <v>5833.33333333333</v>
      </c>
      <c r="AA201" s="9" t="n">
        <f aca="false">(((Assumptions!$E$148+Assumptions!$E$149)+Assumptions!$E$150)/12)</f>
        <v>10000</v>
      </c>
      <c r="AB201" s="9" t="n">
        <f aca="false">(((Assumptions!$E$148+Assumptions!$E$149)+Assumptions!$E$150)/12)</f>
        <v>10000</v>
      </c>
      <c r="AC201" s="9" t="n">
        <f aca="false">(((Assumptions!$E$148+Assumptions!$E$149)+Assumptions!$E$150)/12)</f>
        <v>10000</v>
      </c>
      <c r="AD201" s="9" t="n">
        <f aca="false">(((Assumptions!$E$148+Assumptions!$E$149)+Assumptions!$E$150)/12)</f>
        <v>10000</v>
      </c>
      <c r="AE201" s="9" t="n">
        <f aca="false">(((Assumptions!$E$148+Assumptions!$E$149)+Assumptions!$E$150)/12)</f>
        <v>10000</v>
      </c>
      <c r="AF201" s="9" t="n">
        <f aca="false">(((Assumptions!$E$148+Assumptions!$E$149)+Assumptions!$E$150)/12)</f>
        <v>10000</v>
      </c>
      <c r="AG201" s="9" t="n">
        <f aca="false">(((Assumptions!$E$148+Assumptions!$E$149)+Assumptions!$E$150)/12)</f>
        <v>10000</v>
      </c>
      <c r="AH201" s="9" t="n">
        <f aca="false">(((Assumptions!$E$148+Assumptions!$E$149)+Assumptions!$E$150)/12)</f>
        <v>10000</v>
      </c>
      <c r="AI201" s="9" t="n">
        <f aca="false">(((Assumptions!$E$148+Assumptions!$E$149)+Assumptions!$E$150)/12)</f>
        <v>10000</v>
      </c>
      <c r="AJ201" s="9" t="n">
        <f aca="false">(((Assumptions!$E$148+Assumptions!$E$149)+Assumptions!$E$150)/12)</f>
        <v>10000</v>
      </c>
      <c r="AK201" s="9" t="n">
        <f aca="false">(((Assumptions!$E$148+Assumptions!$E$149)+Assumptions!$E$150)/12)</f>
        <v>10000</v>
      </c>
      <c r="AL201" s="9" t="n">
        <f aca="false">(((Assumptions!$E$148+Assumptions!$E$149)+Assumptions!$E$150)/12)</f>
        <v>10000</v>
      </c>
      <c r="AN201" s="11" t="n">
        <f aca="false">SUM(C201:N201)</f>
        <v>41000</v>
      </c>
      <c r="AO201" s="11" t="n">
        <f aca="false">SUM(O201:Z201)</f>
        <v>70000</v>
      </c>
      <c r="AP201" s="11" t="n">
        <f aca="false">SUM(AA201:AL201)</f>
        <v>120000</v>
      </c>
    </row>
    <row r="202" customFormat="false" ht="15" hidden="false" customHeight="false" outlineLevel="0" collapsed="false">
      <c r="A202" s="0" t="s">
        <v>1001</v>
      </c>
      <c r="B202" s="0" t="s">
        <v>230</v>
      </c>
      <c r="C202" s="9" t="n">
        <f aca="false">(((Assumptions!$C$152+Assumptions!$C$153)+Assumptions!$C$154)/12)</f>
        <v>4000</v>
      </c>
      <c r="D202" s="9" t="n">
        <f aca="false">(((Assumptions!$C$152+Assumptions!$C$153)+Assumptions!$C$154)/12)</f>
        <v>4000</v>
      </c>
      <c r="E202" s="9" t="n">
        <f aca="false">(((Assumptions!$C$152+Assumptions!$C$153)+Assumptions!$C$154)/12)</f>
        <v>4000</v>
      </c>
      <c r="F202" s="9" t="n">
        <f aca="false">(((Assumptions!$C$152+Assumptions!$C$153)+Assumptions!$C$154)/12)</f>
        <v>4000</v>
      </c>
      <c r="G202" s="9" t="n">
        <f aca="false">(((Assumptions!$C$152+Assumptions!$C$153)+Assumptions!$C$154)/12)</f>
        <v>4000</v>
      </c>
      <c r="H202" s="9" t="n">
        <f aca="false">(((Assumptions!$C$152+Assumptions!$C$153)+Assumptions!$C$154)/12)</f>
        <v>4000</v>
      </c>
      <c r="I202" s="9" t="n">
        <f aca="false">(((Assumptions!$C$152+Assumptions!$C$153)+Assumptions!$C$154)/12)</f>
        <v>4000</v>
      </c>
      <c r="J202" s="9" t="n">
        <f aca="false">(((Assumptions!$C$152+Assumptions!$C$153)+Assumptions!$C$154)/12)</f>
        <v>4000</v>
      </c>
      <c r="K202" s="9" t="n">
        <f aca="false">(((Assumptions!$C$152+Assumptions!$C$153)+Assumptions!$C$154)/12)</f>
        <v>4000</v>
      </c>
      <c r="L202" s="9" t="n">
        <f aca="false">(((Assumptions!$C$152+Assumptions!$C$153)+Assumptions!$C$154)/12)</f>
        <v>4000</v>
      </c>
      <c r="M202" s="9" t="n">
        <f aca="false">(((Assumptions!$C$152+Assumptions!$C$153)+Assumptions!$C$154)/12)</f>
        <v>4000</v>
      </c>
      <c r="N202" s="9" t="n">
        <f aca="false">(((Assumptions!$C$152+Assumptions!$C$153)+Assumptions!$C$154)/12)</f>
        <v>4000</v>
      </c>
      <c r="O202" s="9" t="n">
        <f aca="false">(((Assumptions!$D$152+Assumptions!$D$153)+Assumptions!$D$154)/12)</f>
        <v>8250</v>
      </c>
      <c r="P202" s="9" t="n">
        <f aca="false">(((Assumptions!$D$152+Assumptions!$D$153)+Assumptions!$D$154)/12)</f>
        <v>8250</v>
      </c>
      <c r="Q202" s="9" t="n">
        <f aca="false">(((Assumptions!$D$152+Assumptions!$D$153)+Assumptions!$D$154)/12)</f>
        <v>8250</v>
      </c>
      <c r="R202" s="9" t="n">
        <f aca="false">(((Assumptions!$D$152+Assumptions!$D$153)+Assumptions!$D$154)/12)</f>
        <v>8250</v>
      </c>
      <c r="S202" s="9" t="n">
        <f aca="false">(((Assumptions!$D$152+Assumptions!$D$153)+Assumptions!$D$154)/12)</f>
        <v>8250</v>
      </c>
      <c r="T202" s="9" t="n">
        <f aca="false">(((Assumptions!$D$152+Assumptions!$D$153)+Assumptions!$D$154)/12)</f>
        <v>8250</v>
      </c>
      <c r="U202" s="9" t="n">
        <f aca="false">(((Assumptions!$D$152+Assumptions!$D$153)+Assumptions!$D$154)/12)</f>
        <v>8250</v>
      </c>
      <c r="V202" s="9" t="n">
        <f aca="false">(((Assumptions!$D$152+Assumptions!$D$153)+Assumptions!$D$154)/12)</f>
        <v>8250</v>
      </c>
      <c r="W202" s="9" t="n">
        <f aca="false">(((Assumptions!$D$152+Assumptions!$D$153)+Assumptions!$D$154)/12)</f>
        <v>8250</v>
      </c>
      <c r="X202" s="9" t="n">
        <f aca="false">(((Assumptions!$D$152+Assumptions!$D$153)+Assumptions!$D$154)/12)</f>
        <v>8250</v>
      </c>
      <c r="Y202" s="9" t="n">
        <f aca="false">(((Assumptions!$D$152+Assumptions!$D$153)+Assumptions!$D$154)/12)</f>
        <v>8250</v>
      </c>
      <c r="Z202" s="9" t="n">
        <f aca="false">(((Assumptions!$D$152+Assumptions!$D$153)+Assumptions!$D$154)/12)</f>
        <v>8250</v>
      </c>
      <c r="AA202" s="9" t="n">
        <f aca="false">(((Assumptions!$E$152+Assumptions!$E$153)+Assumptions!$E$154)/12)</f>
        <v>12583.3333333333</v>
      </c>
      <c r="AB202" s="9" t="n">
        <f aca="false">(((Assumptions!$E$152+Assumptions!$E$153)+Assumptions!$E$154)/12)</f>
        <v>12583.3333333333</v>
      </c>
      <c r="AC202" s="9" t="n">
        <f aca="false">(((Assumptions!$E$152+Assumptions!$E$153)+Assumptions!$E$154)/12)</f>
        <v>12583.3333333333</v>
      </c>
      <c r="AD202" s="9" t="n">
        <f aca="false">(((Assumptions!$E$152+Assumptions!$E$153)+Assumptions!$E$154)/12)</f>
        <v>12583.3333333333</v>
      </c>
      <c r="AE202" s="9" t="n">
        <f aca="false">(((Assumptions!$E$152+Assumptions!$E$153)+Assumptions!$E$154)/12)</f>
        <v>12583.3333333333</v>
      </c>
      <c r="AF202" s="9" t="n">
        <f aca="false">(((Assumptions!$E$152+Assumptions!$E$153)+Assumptions!$E$154)/12)</f>
        <v>12583.3333333333</v>
      </c>
      <c r="AG202" s="9" t="n">
        <f aca="false">(((Assumptions!$E$152+Assumptions!$E$153)+Assumptions!$E$154)/12)</f>
        <v>12583.3333333333</v>
      </c>
      <c r="AH202" s="9" t="n">
        <f aca="false">(((Assumptions!$E$152+Assumptions!$E$153)+Assumptions!$E$154)/12)</f>
        <v>12583.3333333333</v>
      </c>
      <c r="AI202" s="9" t="n">
        <f aca="false">(((Assumptions!$E$152+Assumptions!$E$153)+Assumptions!$E$154)/12)</f>
        <v>12583.3333333333</v>
      </c>
      <c r="AJ202" s="9" t="n">
        <f aca="false">(((Assumptions!$E$152+Assumptions!$E$153)+Assumptions!$E$154)/12)</f>
        <v>12583.3333333333</v>
      </c>
      <c r="AK202" s="9" t="n">
        <f aca="false">(((Assumptions!$E$152+Assumptions!$E$153)+Assumptions!$E$154)/12)</f>
        <v>12583.3333333333</v>
      </c>
      <c r="AL202" s="9" t="n">
        <f aca="false">(((Assumptions!$E$152+Assumptions!$E$153)+Assumptions!$E$154)/12)</f>
        <v>12583.3333333333</v>
      </c>
      <c r="AN202" s="11" t="n">
        <f aca="false">SUM(C202:N202)</f>
        <v>48000</v>
      </c>
      <c r="AO202" s="11" t="n">
        <f aca="false">SUM(O202:Z202)</f>
        <v>99000</v>
      </c>
      <c r="AP202" s="11" t="n">
        <f aca="false">SUM(AA202:AL202)</f>
        <v>151000</v>
      </c>
    </row>
    <row r="203" customFormat="false" ht="15" hidden="false" customHeight="false" outlineLevel="0" collapsed="false">
      <c r="A203" s="0" t="s">
        <v>561</v>
      </c>
      <c r="B203" s="0" t="s">
        <v>230</v>
      </c>
      <c r="C203" s="9" t="n">
        <f aca="false">(Assumptions!$C$155/12)</f>
        <v>833.333333333333</v>
      </c>
      <c r="D203" s="9" t="n">
        <f aca="false">(Assumptions!$C$155/12)</f>
        <v>833.333333333333</v>
      </c>
      <c r="E203" s="9" t="n">
        <f aca="false">(Assumptions!$C$155/12)</f>
        <v>833.333333333333</v>
      </c>
      <c r="F203" s="9" t="n">
        <f aca="false">(Assumptions!$C$155/12)</f>
        <v>833.333333333333</v>
      </c>
      <c r="G203" s="9" t="n">
        <f aca="false">(Assumptions!$C$155/12)</f>
        <v>833.333333333333</v>
      </c>
      <c r="H203" s="9" t="n">
        <f aca="false">(Assumptions!$C$155/12)</f>
        <v>833.333333333333</v>
      </c>
      <c r="I203" s="9" t="n">
        <f aca="false">(Assumptions!$C$155/12)</f>
        <v>833.333333333333</v>
      </c>
      <c r="J203" s="9" t="n">
        <f aca="false">(Assumptions!$C$155/12)</f>
        <v>833.333333333333</v>
      </c>
      <c r="K203" s="9" t="n">
        <f aca="false">(Assumptions!$C$155/12)</f>
        <v>833.333333333333</v>
      </c>
      <c r="L203" s="9" t="n">
        <f aca="false">(Assumptions!$C$155/12)</f>
        <v>833.333333333333</v>
      </c>
      <c r="M203" s="9" t="n">
        <f aca="false">(Assumptions!$C$155/12)</f>
        <v>833.333333333333</v>
      </c>
      <c r="N203" s="9" t="n">
        <f aca="false">(Assumptions!$C$155/12)</f>
        <v>833.333333333333</v>
      </c>
      <c r="O203" s="9" t="n">
        <f aca="false">(Assumptions!$D$155/12)</f>
        <v>1666.66666666667</v>
      </c>
      <c r="P203" s="9" t="n">
        <f aca="false">(Assumptions!$D$155/12)</f>
        <v>1666.66666666667</v>
      </c>
      <c r="Q203" s="9" t="n">
        <f aca="false">(Assumptions!$D$155/12)</f>
        <v>1666.66666666667</v>
      </c>
      <c r="R203" s="9" t="n">
        <f aca="false">(Assumptions!$D$155/12)</f>
        <v>1666.66666666667</v>
      </c>
      <c r="S203" s="9" t="n">
        <f aca="false">(Assumptions!$D$155/12)</f>
        <v>1666.66666666667</v>
      </c>
      <c r="T203" s="9" t="n">
        <f aca="false">(Assumptions!$D$155/12)</f>
        <v>1666.66666666667</v>
      </c>
      <c r="U203" s="9" t="n">
        <f aca="false">(Assumptions!$D$155/12)</f>
        <v>1666.66666666667</v>
      </c>
      <c r="V203" s="9" t="n">
        <f aca="false">(Assumptions!$D$155/12)</f>
        <v>1666.66666666667</v>
      </c>
      <c r="W203" s="9" t="n">
        <f aca="false">(Assumptions!$D$155/12)</f>
        <v>1666.66666666667</v>
      </c>
      <c r="X203" s="9" t="n">
        <f aca="false">(Assumptions!$D$155/12)</f>
        <v>1666.66666666667</v>
      </c>
      <c r="Y203" s="9" t="n">
        <f aca="false">(Assumptions!$D$155/12)</f>
        <v>1666.66666666667</v>
      </c>
      <c r="Z203" s="9" t="n">
        <f aca="false">(Assumptions!$D$155/12)</f>
        <v>1666.66666666667</v>
      </c>
      <c r="AA203" s="9" t="n">
        <f aca="false">(Assumptions!$E$155/12)</f>
        <v>2500</v>
      </c>
      <c r="AB203" s="9" t="n">
        <f aca="false">(Assumptions!$E$155/12)</f>
        <v>2500</v>
      </c>
      <c r="AC203" s="9" t="n">
        <f aca="false">(Assumptions!$E$155/12)</f>
        <v>2500</v>
      </c>
      <c r="AD203" s="9" t="n">
        <f aca="false">(Assumptions!$E$155/12)</f>
        <v>2500</v>
      </c>
      <c r="AE203" s="9" t="n">
        <f aca="false">(Assumptions!$E$155/12)</f>
        <v>2500</v>
      </c>
      <c r="AF203" s="9" t="n">
        <f aca="false">(Assumptions!$E$155/12)</f>
        <v>2500</v>
      </c>
      <c r="AG203" s="9" t="n">
        <f aca="false">(Assumptions!$E$155/12)</f>
        <v>2500</v>
      </c>
      <c r="AH203" s="9" t="n">
        <f aca="false">(Assumptions!$E$155/12)</f>
        <v>2500</v>
      </c>
      <c r="AI203" s="9" t="n">
        <f aca="false">(Assumptions!$E$155/12)</f>
        <v>2500</v>
      </c>
      <c r="AJ203" s="9" t="n">
        <f aca="false">(Assumptions!$E$155/12)</f>
        <v>2500</v>
      </c>
      <c r="AK203" s="9" t="n">
        <f aca="false">(Assumptions!$E$155/12)</f>
        <v>2500</v>
      </c>
      <c r="AL203" s="9" t="n">
        <f aca="false">(Assumptions!$E$155/12)</f>
        <v>2500</v>
      </c>
      <c r="AN203" s="11" t="n">
        <f aca="false">SUM(C203:N203)</f>
        <v>10000</v>
      </c>
      <c r="AO203" s="11" t="n">
        <f aca="false">SUM(O203:Z203)</f>
        <v>20000</v>
      </c>
      <c r="AP203" s="11" t="n">
        <f aca="false">SUM(AA203:AL203)</f>
        <v>30000</v>
      </c>
    </row>
    <row r="204" customFormat="false" ht="15" hidden="false" customHeight="false" outlineLevel="0" collapsed="false">
      <c r="A204" s="0" t="s">
        <v>1002</v>
      </c>
      <c r="B204" s="0" t="s">
        <v>230</v>
      </c>
      <c r="C204" s="9" t="n">
        <f aca="false">(Assumptions!$C$39*C134)</f>
        <v>0</v>
      </c>
      <c r="D204" s="9" t="n">
        <f aca="false">(Assumptions!$C$39*D134)</f>
        <v>0</v>
      </c>
      <c r="E204" s="9" t="n">
        <f aca="false">(Assumptions!$C$39*E134)</f>
        <v>0</v>
      </c>
      <c r="F204" s="9" t="n">
        <f aca="false">(Assumptions!$C$39*F134)</f>
        <v>0</v>
      </c>
      <c r="G204" s="9" t="n">
        <f aca="false">(Assumptions!$C$39*G134)</f>
        <v>0</v>
      </c>
      <c r="H204" s="9" t="n">
        <f aca="false">(Assumptions!$C$39*H134)</f>
        <v>0</v>
      </c>
      <c r="I204" s="9" t="n">
        <f aca="false">(Assumptions!$C$39*I134)</f>
        <v>0</v>
      </c>
      <c r="J204" s="9" t="n">
        <f aca="false">(Assumptions!$C$39*J134)</f>
        <v>0</v>
      </c>
      <c r="K204" s="9" t="n">
        <f aca="false">(Assumptions!$C$39*K134)</f>
        <v>0</v>
      </c>
      <c r="L204" s="9" t="n">
        <f aca="false">(Assumptions!$C$39*L134)</f>
        <v>0</v>
      </c>
      <c r="M204" s="9" t="n">
        <f aca="false">(Assumptions!$C$39*M134)</f>
        <v>0</v>
      </c>
      <c r="N204" s="9" t="n">
        <f aca="false">(Assumptions!$C$39*N134)</f>
        <v>1267.2</v>
      </c>
      <c r="O204" s="9" t="n">
        <f aca="false">(Assumptions!$C$39*O134)</f>
        <v>2880</v>
      </c>
      <c r="P204" s="9" t="n">
        <f aca="false">(Assumptions!$C$39*P134)</f>
        <v>0</v>
      </c>
      <c r="Q204" s="9" t="n">
        <f aca="false">(Assumptions!$C$39*Q134)</f>
        <v>3590.4</v>
      </c>
      <c r="R204" s="9" t="n">
        <f aca="false">(Assumptions!$C$39*R134)</f>
        <v>3584</v>
      </c>
      <c r="S204" s="9" t="n">
        <f aca="false">(Assumptions!$C$39*S134)</f>
        <v>0</v>
      </c>
      <c r="T204" s="9" t="n">
        <f aca="false">(Assumptions!$C$39*T134)</f>
        <v>0</v>
      </c>
      <c r="U204" s="9" t="n">
        <f aca="false">(Assumptions!$C$39*U134)</f>
        <v>4736</v>
      </c>
      <c r="V204" s="9" t="n">
        <f aca="false">(Assumptions!$C$39*V134)</f>
        <v>1056</v>
      </c>
      <c r="W204" s="9" t="n">
        <f aca="false">(Assumptions!$C$39*W134)</f>
        <v>0</v>
      </c>
      <c r="X204" s="9" t="n">
        <f aca="false">(Assumptions!$C$39*X134)</f>
        <v>11840</v>
      </c>
      <c r="Y204" s="9" t="n">
        <f aca="false">(Assumptions!$C$39*Y134)</f>
        <v>5291.52</v>
      </c>
      <c r="Z204" s="9" t="n">
        <f aca="false">(Assumptions!$C$39*Z134)</f>
        <v>0</v>
      </c>
      <c r="AA204" s="9" t="n">
        <f aca="false">(Assumptions!$C$39*AA134)</f>
        <v>14720</v>
      </c>
      <c r="AB204" s="9" t="n">
        <f aca="false">(Assumptions!$C$39*AB134)</f>
        <v>15377.92</v>
      </c>
      <c r="AC204" s="9" t="n">
        <f aca="false">(Assumptions!$C$39*AC134)</f>
        <v>0</v>
      </c>
      <c r="AD204" s="9" t="n">
        <f aca="false">(Assumptions!$C$39*AD134)</f>
        <v>20800</v>
      </c>
      <c r="AE204" s="9" t="n">
        <f aca="false">(Assumptions!$C$39*AE134)</f>
        <v>22052.8</v>
      </c>
      <c r="AF204" s="9" t="n">
        <f aca="false">(Assumptions!$C$39*AF134)</f>
        <v>13280</v>
      </c>
      <c r="AG204" s="9" t="n">
        <f aca="false">(Assumptions!$C$39*AG134)</f>
        <v>20800</v>
      </c>
      <c r="AH204" s="9" t="n">
        <f aca="false">(Assumptions!$C$39*AH134)</f>
        <v>23108.8</v>
      </c>
      <c r="AI204" s="9" t="n">
        <f aca="false">(Assumptions!$C$39*AI134)</f>
        <v>0</v>
      </c>
      <c r="AJ204" s="9" t="n">
        <f aca="false">(Assumptions!$C$39*AJ134)</f>
        <v>23680</v>
      </c>
      <c r="AK204" s="9" t="n">
        <f aca="false">(Assumptions!$C$39*AK134)</f>
        <v>39257.6</v>
      </c>
      <c r="AL204" s="9" t="n">
        <f aca="false">(Assumptions!$C$39*AL134)</f>
        <v>37248</v>
      </c>
      <c r="AN204" s="11" t="n">
        <f aca="false">SUM(C204:N204)</f>
        <v>1267.2</v>
      </c>
      <c r="AO204" s="11" t="n">
        <f aca="false">SUM(O204:Z204)</f>
        <v>32977.92</v>
      </c>
      <c r="AP204" s="11" t="n">
        <f aca="false">SUM(AA204:AL204)</f>
        <v>230325.12</v>
      </c>
    </row>
    <row r="205" customFormat="false" ht="15" hidden="false" customHeight="false" outlineLevel="0" collapsed="false">
      <c r="A205" s="0" t="s">
        <v>1003</v>
      </c>
      <c r="B205" s="0" t="s">
        <v>230</v>
      </c>
      <c r="C205" s="9" t="n">
        <f aca="false">((((Assumptions!$C$157+Assumptions!$C$158)+Assumptions!$C$159)+Assumptions!$C$160)/12)</f>
        <v>5000</v>
      </c>
      <c r="D205" s="9" t="n">
        <f aca="false">((((Assumptions!$C$157+Assumptions!$C$158)+Assumptions!$C$159)+Assumptions!$C$160)/12)</f>
        <v>5000</v>
      </c>
      <c r="E205" s="9" t="n">
        <f aca="false">((((Assumptions!$C$157+Assumptions!$C$158)+Assumptions!$C$159)+Assumptions!$C$160)/12)</f>
        <v>5000</v>
      </c>
      <c r="F205" s="9" t="n">
        <f aca="false">((((Assumptions!$C$157+Assumptions!$C$158)+Assumptions!$C$159)+Assumptions!$C$160)/12)</f>
        <v>5000</v>
      </c>
      <c r="G205" s="9" t="n">
        <f aca="false">((((Assumptions!$C$157+Assumptions!$C$158)+Assumptions!$C$159)+Assumptions!$C$160)/12)</f>
        <v>5000</v>
      </c>
      <c r="H205" s="9" t="n">
        <f aca="false">((((Assumptions!$C$157+Assumptions!$C$158)+Assumptions!$C$159)+Assumptions!$C$160)/12)</f>
        <v>5000</v>
      </c>
      <c r="I205" s="9" t="n">
        <f aca="false">((((Assumptions!$C$157+Assumptions!$C$158)+Assumptions!$C$159)+Assumptions!$C$160)/12)</f>
        <v>5000</v>
      </c>
      <c r="J205" s="9" t="n">
        <f aca="false">((((Assumptions!$C$157+Assumptions!$C$158)+Assumptions!$C$159)+Assumptions!$C$160)/12)</f>
        <v>5000</v>
      </c>
      <c r="K205" s="9" t="n">
        <f aca="false">((((Assumptions!$C$157+Assumptions!$C$158)+Assumptions!$C$159)+Assumptions!$C$160)/12)</f>
        <v>5000</v>
      </c>
      <c r="L205" s="9" t="n">
        <f aca="false">((((Assumptions!$C$157+Assumptions!$C$158)+Assumptions!$C$159)+Assumptions!$C$160)/12)</f>
        <v>5000</v>
      </c>
      <c r="M205" s="9" t="n">
        <f aca="false">((((Assumptions!$C$157+Assumptions!$C$158)+Assumptions!$C$159)+Assumptions!$C$160)/12)</f>
        <v>5000</v>
      </c>
      <c r="N205" s="9" t="n">
        <f aca="false">((((Assumptions!$C$157+Assumptions!$C$158)+Assumptions!$C$159)+Assumptions!$C$160)/12)</f>
        <v>5000</v>
      </c>
      <c r="O205" s="9" t="n">
        <f aca="false">((((Assumptions!$D$157+Assumptions!$D$158)+Assumptions!$D$159)+Assumptions!$D$160)/12)</f>
        <v>10833.3333333333</v>
      </c>
      <c r="P205" s="9" t="n">
        <f aca="false">((((Assumptions!$D$157+Assumptions!$D$158)+Assumptions!$D$159)+Assumptions!$D$160)/12)</f>
        <v>10833.3333333333</v>
      </c>
      <c r="Q205" s="9" t="n">
        <f aca="false">((((Assumptions!$D$157+Assumptions!$D$158)+Assumptions!$D$159)+Assumptions!$D$160)/12)</f>
        <v>10833.3333333333</v>
      </c>
      <c r="R205" s="9" t="n">
        <f aca="false">((((Assumptions!$D$157+Assumptions!$D$158)+Assumptions!$D$159)+Assumptions!$D$160)/12)</f>
        <v>10833.3333333333</v>
      </c>
      <c r="S205" s="9" t="n">
        <f aca="false">((((Assumptions!$D$157+Assumptions!$D$158)+Assumptions!$D$159)+Assumptions!$D$160)/12)</f>
        <v>10833.3333333333</v>
      </c>
      <c r="T205" s="9" t="n">
        <f aca="false">((((Assumptions!$D$157+Assumptions!$D$158)+Assumptions!$D$159)+Assumptions!$D$160)/12)</f>
        <v>10833.3333333333</v>
      </c>
      <c r="U205" s="9" t="n">
        <f aca="false">((((Assumptions!$D$157+Assumptions!$D$158)+Assumptions!$D$159)+Assumptions!$D$160)/12)</f>
        <v>10833.3333333333</v>
      </c>
      <c r="V205" s="9" t="n">
        <f aca="false">((((Assumptions!$D$157+Assumptions!$D$158)+Assumptions!$D$159)+Assumptions!$D$160)/12)</f>
        <v>10833.3333333333</v>
      </c>
      <c r="W205" s="9" t="n">
        <f aca="false">((((Assumptions!$D$157+Assumptions!$D$158)+Assumptions!$D$159)+Assumptions!$D$160)/12)</f>
        <v>10833.3333333333</v>
      </c>
      <c r="X205" s="9" t="n">
        <f aca="false">((((Assumptions!$D$157+Assumptions!$D$158)+Assumptions!$D$159)+Assumptions!$D$160)/12)</f>
        <v>10833.3333333333</v>
      </c>
      <c r="Y205" s="9" t="n">
        <f aca="false">((((Assumptions!$D$157+Assumptions!$D$158)+Assumptions!$D$159)+Assumptions!$D$160)/12)</f>
        <v>10833.3333333333</v>
      </c>
      <c r="Z205" s="9" t="n">
        <f aca="false">((((Assumptions!$D$157+Assumptions!$D$158)+Assumptions!$D$159)+Assumptions!$D$160)/12)</f>
        <v>10833.3333333333</v>
      </c>
      <c r="AA205" s="9" t="n">
        <f aca="false">((((Assumptions!$E$157+Assumptions!$E$158)+Assumptions!$E$159)+Assumptions!$E$160)/12)</f>
        <v>18333.3333333333</v>
      </c>
      <c r="AB205" s="9" t="n">
        <f aca="false">((((Assumptions!$E$157+Assumptions!$E$158)+Assumptions!$E$159)+Assumptions!$E$160)/12)</f>
        <v>18333.3333333333</v>
      </c>
      <c r="AC205" s="9" t="n">
        <f aca="false">((((Assumptions!$E$157+Assumptions!$E$158)+Assumptions!$E$159)+Assumptions!$E$160)/12)</f>
        <v>18333.3333333333</v>
      </c>
      <c r="AD205" s="9" t="n">
        <f aca="false">((((Assumptions!$E$157+Assumptions!$E$158)+Assumptions!$E$159)+Assumptions!$E$160)/12)</f>
        <v>18333.3333333333</v>
      </c>
      <c r="AE205" s="9" t="n">
        <f aca="false">((((Assumptions!$E$157+Assumptions!$E$158)+Assumptions!$E$159)+Assumptions!$E$160)/12)</f>
        <v>18333.3333333333</v>
      </c>
      <c r="AF205" s="9" t="n">
        <f aca="false">((((Assumptions!$E$157+Assumptions!$E$158)+Assumptions!$E$159)+Assumptions!$E$160)/12)</f>
        <v>18333.3333333333</v>
      </c>
      <c r="AG205" s="9" t="n">
        <f aca="false">((((Assumptions!$E$157+Assumptions!$E$158)+Assumptions!$E$159)+Assumptions!$E$160)/12)</f>
        <v>18333.3333333333</v>
      </c>
      <c r="AH205" s="9" t="n">
        <f aca="false">((((Assumptions!$E$157+Assumptions!$E$158)+Assumptions!$E$159)+Assumptions!$E$160)/12)</f>
        <v>18333.3333333333</v>
      </c>
      <c r="AI205" s="9" t="n">
        <f aca="false">((((Assumptions!$E$157+Assumptions!$E$158)+Assumptions!$E$159)+Assumptions!$E$160)/12)</f>
        <v>18333.3333333333</v>
      </c>
      <c r="AJ205" s="9" t="n">
        <f aca="false">((((Assumptions!$E$157+Assumptions!$E$158)+Assumptions!$E$159)+Assumptions!$E$160)/12)</f>
        <v>18333.3333333333</v>
      </c>
      <c r="AK205" s="9" t="n">
        <f aca="false">((((Assumptions!$E$157+Assumptions!$E$158)+Assumptions!$E$159)+Assumptions!$E$160)/12)</f>
        <v>18333.3333333333</v>
      </c>
      <c r="AL205" s="9" t="n">
        <f aca="false">((((Assumptions!$E$157+Assumptions!$E$158)+Assumptions!$E$159)+Assumptions!$E$160)/12)</f>
        <v>18333.3333333333</v>
      </c>
      <c r="AN205" s="11" t="n">
        <f aca="false">SUM(C205:N205)</f>
        <v>60000</v>
      </c>
      <c r="AO205" s="11" t="n">
        <f aca="false">SUM(O205:Z205)</f>
        <v>130000</v>
      </c>
      <c r="AP205" s="11" t="n">
        <f aca="false">SUM(AA205:AL205)</f>
        <v>220000</v>
      </c>
    </row>
    <row r="206" customFormat="false" ht="15" hidden="false" customHeight="false" outlineLevel="0" collapsed="false">
      <c r="A206" s="0" t="s">
        <v>1004</v>
      </c>
      <c r="B206" s="0" t="s">
        <v>230</v>
      </c>
      <c r="C206" s="9" t="n">
        <f aca="false">IF((C$18&gt;=Assumptions!$C$5),Assumptions!$C$134,0)</f>
        <v>0</v>
      </c>
      <c r="D206" s="9" t="n">
        <f aca="false">IF((D$18&gt;=Assumptions!$C$5),Assumptions!$C$134,0)</f>
        <v>0</v>
      </c>
      <c r="E206" s="9" t="n">
        <f aca="false">IF((E$18&gt;=Assumptions!$C$5),Assumptions!$C$134,0)</f>
        <v>0</v>
      </c>
      <c r="F206" s="9" t="n">
        <f aca="false">IF((F$18&gt;=Assumptions!$C$5),Assumptions!$C$134,0)</f>
        <v>0</v>
      </c>
      <c r="G206" s="9" t="n">
        <f aca="false">IF((G$18&gt;=Assumptions!$C$5),Assumptions!$C$134,0)</f>
        <v>0</v>
      </c>
      <c r="H206" s="9" t="n">
        <f aca="false">IF((H$18&gt;=Assumptions!$C$5),Assumptions!$C$134,0)</f>
        <v>0</v>
      </c>
      <c r="I206" s="9" t="n">
        <f aca="false">IF((I$18&gt;=Assumptions!$C$5),Assumptions!$C$134,0)</f>
        <v>0</v>
      </c>
      <c r="J206" s="9" t="n">
        <f aca="false">IF((J$18&gt;=Assumptions!$C$5),Assumptions!$C$134,0)</f>
        <v>0</v>
      </c>
      <c r="K206" s="9" t="n">
        <f aca="false">IF((K$18&gt;=Assumptions!$C$5),Assumptions!$C$134,0)</f>
        <v>0</v>
      </c>
      <c r="L206" s="9" t="n">
        <f aca="false">IF((L$18&gt;=Assumptions!$C$5),Assumptions!$C$134,0)</f>
        <v>0</v>
      </c>
      <c r="M206" s="9" t="n">
        <f aca="false">IF((M$18&gt;=Assumptions!$C$5),Assumptions!$C$134,0)</f>
        <v>0</v>
      </c>
      <c r="N206" s="9" t="n">
        <f aca="false">IF((N$18&gt;=Assumptions!$C$5),Assumptions!$C$134,0)</f>
        <v>0</v>
      </c>
      <c r="O206" s="9" t="n">
        <f aca="false">IF((O$18&gt;=Assumptions!$C$5),Assumptions!$D$134,0)</f>
        <v>3000</v>
      </c>
      <c r="P206" s="9" t="n">
        <f aca="false">IF((P$18&gt;=Assumptions!$C$5),Assumptions!$D$134,0)</f>
        <v>3000</v>
      </c>
      <c r="Q206" s="9" t="n">
        <f aca="false">IF((Q$18&gt;=Assumptions!$C$5),Assumptions!$D$134,0)</f>
        <v>3000</v>
      </c>
      <c r="R206" s="9" t="n">
        <f aca="false">IF((R$18&gt;=Assumptions!$C$5),Assumptions!$D$134,0)</f>
        <v>3000</v>
      </c>
      <c r="S206" s="9" t="n">
        <f aca="false">IF((S$18&gt;=Assumptions!$C$5),Assumptions!$D$134,0)</f>
        <v>3000</v>
      </c>
      <c r="T206" s="9" t="n">
        <f aca="false">IF((T$18&gt;=Assumptions!$C$5),Assumptions!$D$134,0)</f>
        <v>3000</v>
      </c>
      <c r="U206" s="9" t="n">
        <f aca="false">IF((U$18&gt;=Assumptions!$C$5),Assumptions!$D$134,0)</f>
        <v>3000</v>
      </c>
      <c r="V206" s="9" t="n">
        <f aca="false">IF((V$18&gt;=Assumptions!$C$5),Assumptions!$D$134,0)</f>
        <v>3000</v>
      </c>
      <c r="W206" s="9" t="n">
        <f aca="false">IF((W$18&gt;=Assumptions!$C$5),Assumptions!$D$134,0)</f>
        <v>3000</v>
      </c>
      <c r="X206" s="9" t="n">
        <f aca="false">IF((X$18&gt;=Assumptions!$C$5),Assumptions!$D$134,0)</f>
        <v>3000</v>
      </c>
      <c r="Y206" s="9" t="n">
        <f aca="false">IF((Y$18&gt;=Assumptions!$C$5),Assumptions!$D$134,0)</f>
        <v>3000</v>
      </c>
      <c r="Z206" s="9" t="n">
        <f aca="false">IF((Z$18&gt;=Assumptions!$C$5),Assumptions!$D$134,0)</f>
        <v>3000</v>
      </c>
      <c r="AA206" s="9" t="n">
        <f aca="false">IF((AA$18&gt;=Assumptions!$C$5),Assumptions!$E$134,0)</f>
        <v>5000</v>
      </c>
      <c r="AB206" s="9" t="n">
        <f aca="false">IF((AB$18&gt;=Assumptions!$C$5),Assumptions!$E$134,0)</f>
        <v>5000</v>
      </c>
      <c r="AC206" s="9" t="n">
        <f aca="false">IF((AC$18&gt;=Assumptions!$C$5),Assumptions!$E$134,0)</f>
        <v>5000</v>
      </c>
      <c r="AD206" s="9" t="n">
        <f aca="false">IF((AD$18&gt;=Assumptions!$C$5),Assumptions!$E$134,0)</f>
        <v>5000</v>
      </c>
      <c r="AE206" s="9" t="n">
        <f aca="false">IF((AE$18&gt;=Assumptions!$C$5),Assumptions!$E$134,0)</f>
        <v>5000</v>
      </c>
      <c r="AF206" s="9" t="n">
        <f aca="false">IF((AF$18&gt;=Assumptions!$C$5),Assumptions!$E$134,0)</f>
        <v>5000</v>
      </c>
      <c r="AG206" s="9" t="n">
        <f aca="false">IF((AG$18&gt;=Assumptions!$C$5),Assumptions!$E$134,0)</f>
        <v>5000</v>
      </c>
      <c r="AH206" s="9" t="n">
        <f aca="false">IF((AH$18&gt;=Assumptions!$C$5),Assumptions!$E$134,0)</f>
        <v>5000</v>
      </c>
      <c r="AI206" s="9" t="n">
        <f aca="false">IF((AI$18&gt;=Assumptions!$C$5),Assumptions!$E$134,0)</f>
        <v>5000</v>
      </c>
      <c r="AJ206" s="9" t="n">
        <f aca="false">IF((AJ$18&gt;=Assumptions!$C$5),Assumptions!$E$134,0)</f>
        <v>5000</v>
      </c>
      <c r="AK206" s="9" t="n">
        <f aca="false">IF((AK$18&gt;=Assumptions!$C$5),Assumptions!$E$134,0)</f>
        <v>5000</v>
      </c>
      <c r="AL206" s="9" t="n">
        <f aca="false">IF((AL$18&gt;=Assumptions!$C$5),Assumptions!$E$134,0)</f>
        <v>5000</v>
      </c>
      <c r="AN206" s="11" t="n">
        <f aca="false">SUM(C206:N206)</f>
        <v>0</v>
      </c>
      <c r="AO206" s="11" t="n">
        <f aca="false">SUM(O206:Z206)</f>
        <v>36000</v>
      </c>
      <c r="AP206" s="11" t="n">
        <f aca="false">SUM(AA206:AL206)</f>
        <v>60000</v>
      </c>
    </row>
    <row r="207" customFormat="false" ht="15" hidden="false" customHeight="false" outlineLevel="0" collapsed="false">
      <c r="A207" s="0" t="s">
        <v>1005</v>
      </c>
      <c r="B207" s="0" t="s">
        <v>230</v>
      </c>
      <c r="C207" s="9" t="n">
        <f aca="false">((((Assumptions!$C$161+Assumptions!$C$162)+Assumptions!$C$163)+Assumptions!$C$164)/12)</f>
        <v>4833.33333333333</v>
      </c>
      <c r="D207" s="9" t="n">
        <f aca="false">((((Assumptions!$C$161+Assumptions!$C$162)+Assumptions!$C$163)+Assumptions!$C$164)/12)</f>
        <v>4833.33333333333</v>
      </c>
      <c r="E207" s="9" t="n">
        <f aca="false">((((Assumptions!$C$161+Assumptions!$C$162)+Assumptions!$C$163)+Assumptions!$C$164)/12)</f>
        <v>4833.33333333333</v>
      </c>
      <c r="F207" s="9" t="n">
        <f aca="false">((((Assumptions!$C$161+Assumptions!$C$162)+Assumptions!$C$163)+Assumptions!$C$164)/12)</f>
        <v>4833.33333333333</v>
      </c>
      <c r="G207" s="9" t="n">
        <f aca="false">((((Assumptions!$C$161+Assumptions!$C$162)+Assumptions!$C$163)+Assumptions!$C$164)/12)</f>
        <v>4833.33333333333</v>
      </c>
      <c r="H207" s="9" t="n">
        <f aca="false">((((Assumptions!$C$161+Assumptions!$C$162)+Assumptions!$C$163)+Assumptions!$C$164)/12)</f>
        <v>4833.33333333333</v>
      </c>
      <c r="I207" s="9" t="n">
        <f aca="false">((((Assumptions!$C$161+Assumptions!$C$162)+Assumptions!$C$163)+Assumptions!$C$164)/12)</f>
        <v>4833.33333333333</v>
      </c>
      <c r="J207" s="9" t="n">
        <f aca="false">((((Assumptions!$C$161+Assumptions!$C$162)+Assumptions!$C$163)+Assumptions!$C$164)/12)</f>
        <v>4833.33333333333</v>
      </c>
      <c r="K207" s="9" t="n">
        <f aca="false">((((Assumptions!$C$161+Assumptions!$C$162)+Assumptions!$C$163)+Assumptions!$C$164)/12)</f>
        <v>4833.33333333333</v>
      </c>
      <c r="L207" s="9" t="n">
        <f aca="false">((((Assumptions!$C$161+Assumptions!$C$162)+Assumptions!$C$163)+Assumptions!$C$164)/12)</f>
        <v>4833.33333333333</v>
      </c>
      <c r="M207" s="9" t="n">
        <f aca="false">((((Assumptions!$C$161+Assumptions!$C$162)+Assumptions!$C$163)+Assumptions!$C$164)/12)</f>
        <v>4833.33333333333</v>
      </c>
      <c r="N207" s="9" t="n">
        <f aca="false">((((Assumptions!$C$161+Assumptions!$C$162)+Assumptions!$C$163)+Assumptions!$C$164)/12)</f>
        <v>4833.33333333333</v>
      </c>
      <c r="O207" s="9" t="n">
        <f aca="false">((((Assumptions!$D$161+Assumptions!$D$162)+Assumptions!$D$163)+Assumptions!$D$164)/12)</f>
        <v>11083.3333333333</v>
      </c>
      <c r="P207" s="9" t="n">
        <f aca="false">((((Assumptions!$D$161+Assumptions!$D$162)+Assumptions!$D$163)+Assumptions!$D$164)/12)</f>
        <v>11083.3333333333</v>
      </c>
      <c r="Q207" s="9" t="n">
        <f aca="false">((((Assumptions!$D$161+Assumptions!$D$162)+Assumptions!$D$163)+Assumptions!$D$164)/12)</f>
        <v>11083.3333333333</v>
      </c>
      <c r="R207" s="9" t="n">
        <f aca="false">((((Assumptions!$D$161+Assumptions!$D$162)+Assumptions!$D$163)+Assumptions!$D$164)/12)</f>
        <v>11083.3333333333</v>
      </c>
      <c r="S207" s="9" t="n">
        <f aca="false">((((Assumptions!$D$161+Assumptions!$D$162)+Assumptions!$D$163)+Assumptions!$D$164)/12)</f>
        <v>11083.3333333333</v>
      </c>
      <c r="T207" s="9" t="n">
        <f aca="false">((((Assumptions!$D$161+Assumptions!$D$162)+Assumptions!$D$163)+Assumptions!$D$164)/12)</f>
        <v>11083.3333333333</v>
      </c>
      <c r="U207" s="9" t="n">
        <f aca="false">((((Assumptions!$D$161+Assumptions!$D$162)+Assumptions!$D$163)+Assumptions!$D$164)/12)</f>
        <v>11083.3333333333</v>
      </c>
      <c r="V207" s="9" t="n">
        <f aca="false">((((Assumptions!$D$161+Assumptions!$D$162)+Assumptions!$D$163)+Assumptions!$D$164)/12)</f>
        <v>11083.3333333333</v>
      </c>
      <c r="W207" s="9" t="n">
        <f aca="false">((((Assumptions!$D$161+Assumptions!$D$162)+Assumptions!$D$163)+Assumptions!$D$164)/12)</f>
        <v>11083.3333333333</v>
      </c>
      <c r="X207" s="9" t="n">
        <f aca="false">((((Assumptions!$D$161+Assumptions!$D$162)+Assumptions!$D$163)+Assumptions!$D$164)/12)</f>
        <v>11083.3333333333</v>
      </c>
      <c r="Y207" s="9" t="n">
        <f aca="false">((((Assumptions!$D$161+Assumptions!$D$162)+Assumptions!$D$163)+Assumptions!$D$164)/12)</f>
        <v>11083.3333333333</v>
      </c>
      <c r="Z207" s="9" t="n">
        <f aca="false">((((Assumptions!$D$161+Assumptions!$D$162)+Assumptions!$D$163)+Assumptions!$D$164)/12)</f>
        <v>11083.3333333333</v>
      </c>
      <c r="AA207" s="9" t="n">
        <f aca="false">((((Assumptions!$E$161+Assumptions!$E$162)+Assumptions!$E$163)+Assumptions!$E$164)/12)</f>
        <v>19166.6666666667</v>
      </c>
      <c r="AB207" s="9" t="n">
        <f aca="false">((((Assumptions!$E$161+Assumptions!$E$162)+Assumptions!$E$163)+Assumptions!$E$164)/12)</f>
        <v>19166.6666666667</v>
      </c>
      <c r="AC207" s="9" t="n">
        <f aca="false">((((Assumptions!$E$161+Assumptions!$E$162)+Assumptions!$E$163)+Assumptions!$E$164)/12)</f>
        <v>19166.6666666667</v>
      </c>
      <c r="AD207" s="9" t="n">
        <f aca="false">((((Assumptions!$E$161+Assumptions!$E$162)+Assumptions!$E$163)+Assumptions!$E$164)/12)</f>
        <v>19166.6666666667</v>
      </c>
      <c r="AE207" s="9" t="n">
        <f aca="false">((((Assumptions!$E$161+Assumptions!$E$162)+Assumptions!$E$163)+Assumptions!$E$164)/12)</f>
        <v>19166.6666666667</v>
      </c>
      <c r="AF207" s="9" t="n">
        <f aca="false">((((Assumptions!$E$161+Assumptions!$E$162)+Assumptions!$E$163)+Assumptions!$E$164)/12)</f>
        <v>19166.6666666667</v>
      </c>
      <c r="AG207" s="9" t="n">
        <f aca="false">((((Assumptions!$E$161+Assumptions!$E$162)+Assumptions!$E$163)+Assumptions!$E$164)/12)</f>
        <v>19166.6666666667</v>
      </c>
      <c r="AH207" s="9" t="n">
        <f aca="false">((((Assumptions!$E$161+Assumptions!$E$162)+Assumptions!$E$163)+Assumptions!$E$164)/12)</f>
        <v>19166.6666666667</v>
      </c>
      <c r="AI207" s="9" t="n">
        <f aca="false">((((Assumptions!$E$161+Assumptions!$E$162)+Assumptions!$E$163)+Assumptions!$E$164)/12)</f>
        <v>19166.6666666667</v>
      </c>
      <c r="AJ207" s="9" t="n">
        <f aca="false">((((Assumptions!$E$161+Assumptions!$E$162)+Assumptions!$E$163)+Assumptions!$E$164)/12)</f>
        <v>19166.6666666667</v>
      </c>
      <c r="AK207" s="9" t="n">
        <f aca="false">((((Assumptions!$E$161+Assumptions!$E$162)+Assumptions!$E$163)+Assumptions!$E$164)/12)</f>
        <v>19166.6666666667</v>
      </c>
      <c r="AL207" s="9" t="n">
        <f aca="false">((((Assumptions!$E$161+Assumptions!$E$162)+Assumptions!$E$163)+Assumptions!$E$164)/12)</f>
        <v>19166.6666666667</v>
      </c>
      <c r="AN207" s="11" t="n">
        <f aca="false">SUM(C207:N207)</f>
        <v>58000</v>
      </c>
      <c r="AO207" s="11" t="n">
        <f aca="false">SUM(O207:Z207)</f>
        <v>133000</v>
      </c>
      <c r="AP207" s="11" t="n">
        <f aca="false">SUM(AA207:AL207)</f>
        <v>230000</v>
      </c>
    </row>
    <row r="208" customFormat="false" ht="15" hidden="false" customHeight="false" outlineLevel="0" collapsed="false">
      <c r="A208" s="0" t="s">
        <v>1006</v>
      </c>
      <c r="B208" s="0" t="s">
        <v>230</v>
      </c>
      <c r="C208" s="9" t="n">
        <f aca="false">(C196*((Assumptions!$C$98+Assumptions!$C$99)+Assumptions!$C$100))</f>
        <v>3740</v>
      </c>
      <c r="D208" s="9" t="n">
        <f aca="false">(D196*((Assumptions!$C$98+Assumptions!$C$99)+Assumptions!$C$100))</f>
        <v>3740</v>
      </c>
      <c r="E208" s="9" t="n">
        <f aca="false">(E196*((Assumptions!$C$98+Assumptions!$C$99)+Assumptions!$C$100))</f>
        <v>4590</v>
      </c>
      <c r="F208" s="9" t="n">
        <f aca="false">(F196*((Assumptions!$C$98+Assumptions!$C$99)+Assumptions!$C$100))</f>
        <v>5440</v>
      </c>
      <c r="G208" s="9" t="n">
        <f aca="false">(G196*((Assumptions!$C$98+Assumptions!$C$99)+Assumptions!$C$100))</f>
        <v>7140</v>
      </c>
      <c r="H208" s="9" t="n">
        <f aca="false">(H196*((Assumptions!$C$98+Assumptions!$C$99)+Assumptions!$C$100))</f>
        <v>8840</v>
      </c>
      <c r="I208" s="9" t="n">
        <f aca="false">(I196*((Assumptions!$C$98+Assumptions!$C$99)+Assumptions!$C$100))</f>
        <v>9690</v>
      </c>
      <c r="J208" s="9" t="n">
        <f aca="false">(J196*((Assumptions!$C$98+Assumptions!$C$99)+Assumptions!$C$100))</f>
        <v>9690</v>
      </c>
      <c r="K208" s="9" t="n">
        <f aca="false">(K196*((Assumptions!$C$98+Assumptions!$C$99)+Assumptions!$C$100))</f>
        <v>12240</v>
      </c>
      <c r="L208" s="9" t="n">
        <f aca="false">(L196*((Assumptions!$C$98+Assumptions!$C$99)+Assumptions!$C$100))</f>
        <v>13090</v>
      </c>
      <c r="M208" s="9" t="n">
        <f aca="false">(M196*((Assumptions!$C$98+Assumptions!$C$99)+Assumptions!$C$100))</f>
        <v>14790</v>
      </c>
      <c r="N208" s="9" t="n">
        <f aca="false">(N196*((Assumptions!$C$98+Assumptions!$C$99)+Assumptions!$C$100))</f>
        <v>15640</v>
      </c>
      <c r="O208" s="9" t="n">
        <f aca="false">(O196*((Assumptions!$C$98+Assumptions!$C$99)+Assumptions!$C$100))</f>
        <v>17340</v>
      </c>
      <c r="P208" s="9" t="n">
        <f aca="false">(P196*((Assumptions!$C$98+Assumptions!$C$99)+Assumptions!$C$100))</f>
        <v>18190</v>
      </c>
      <c r="Q208" s="9" t="n">
        <f aca="false">(Q196*((Assumptions!$C$98+Assumptions!$C$99)+Assumptions!$C$100))</f>
        <v>19890</v>
      </c>
      <c r="R208" s="9" t="n">
        <f aca="false">(R196*((Assumptions!$C$98+Assumptions!$C$99)+Assumptions!$C$100))</f>
        <v>19890</v>
      </c>
      <c r="S208" s="9" t="n">
        <f aca="false">(S196*((Assumptions!$C$98+Assumptions!$C$99)+Assumptions!$C$100))</f>
        <v>19890</v>
      </c>
      <c r="T208" s="9" t="n">
        <f aca="false">(T196*((Assumptions!$C$98+Assumptions!$C$99)+Assumptions!$C$100))</f>
        <v>21590</v>
      </c>
      <c r="U208" s="9" t="n">
        <f aca="false">(U196*((Assumptions!$C$98+Assumptions!$C$99)+Assumptions!$C$100))</f>
        <v>22440</v>
      </c>
      <c r="V208" s="9" t="n">
        <f aca="false">(V196*((Assumptions!$C$98+Assumptions!$C$99)+Assumptions!$C$100))</f>
        <v>24140</v>
      </c>
      <c r="W208" s="9" t="n">
        <f aca="false">(W196*((Assumptions!$C$98+Assumptions!$C$99)+Assumptions!$C$100))</f>
        <v>24140</v>
      </c>
      <c r="X208" s="9" t="n">
        <f aca="false">(X196*((Assumptions!$C$98+Assumptions!$C$99)+Assumptions!$C$100))</f>
        <v>25840</v>
      </c>
      <c r="Y208" s="9" t="n">
        <f aca="false">(Y196*((Assumptions!$C$98+Assumptions!$C$99)+Assumptions!$C$100))</f>
        <v>25840</v>
      </c>
      <c r="Z208" s="9" t="n">
        <f aca="false">(Z196*((Assumptions!$C$98+Assumptions!$C$99)+Assumptions!$C$100))</f>
        <v>26690</v>
      </c>
      <c r="AA208" s="9" t="n">
        <f aca="false">(AA196*((Assumptions!$C$98+Assumptions!$C$99)+Assumptions!$C$100))</f>
        <v>27540</v>
      </c>
      <c r="AB208" s="9" t="n">
        <f aca="false">(AB196*((Assumptions!$C$98+Assumptions!$C$99)+Assumptions!$C$100))</f>
        <v>29240</v>
      </c>
      <c r="AC208" s="9" t="n">
        <f aca="false">(AC196*((Assumptions!$C$98+Assumptions!$C$99)+Assumptions!$C$100))</f>
        <v>29240</v>
      </c>
      <c r="AD208" s="9" t="n">
        <f aca="false">(AD196*((Assumptions!$C$98+Assumptions!$C$99)+Assumptions!$C$100))</f>
        <v>30940</v>
      </c>
      <c r="AE208" s="9" t="n">
        <f aca="false">(AE196*((Assumptions!$C$98+Assumptions!$C$99)+Assumptions!$C$100))</f>
        <v>30940</v>
      </c>
      <c r="AF208" s="9" t="n">
        <f aca="false">(AF196*((Assumptions!$C$98+Assumptions!$C$99)+Assumptions!$C$100))</f>
        <v>31790</v>
      </c>
      <c r="AG208" s="9" t="n">
        <f aca="false">(AG196*((Assumptions!$C$98+Assumptions!$C$99)+Assumptions!$C$100))</f>
        <v>32640</v>
      </c>
      <c r="AH208" s="9" t="n">
        <f aca="false">(AH196*((Assumptions!$C$98+Assumptions!$C$99)+Assumptions!$C$100))</f>
        <v>33490</v>
      </c>
      <c r="AI208" s="9" t="n">
        <f aca="false">(AI196*((Assumptions!$C$98+Assumptions!$C$99)+Assumptions!$C$100))</f>
        <v>34340</v>
      </c>
      <c r="AJ208" s="9" t="n">
        <f aca="false">(AJ196*((Assumptions!$C$98+Assumptions!$C$99)+Assumptions!$C$100))</f>
        <v>34340</v>
      </c>
      <c r="AK208" s="9" t="n">
        <f aca="false">(AK196*((Assumptions!$C$98+Assumptions!$C$99)+Assumptions!$C$100))</f>
        <v>34340</v>
      </c>
      <c r="AL208" s="9" t="n">
        <f aca="false">(AL196*((Assumptions!$C$98+Assumptions!$C$99)+Assumptions!$C$100))</f>
        <v>34340</v>
      </c>
      <c r="AN208" s="11" t="n">
        <f aca="false">SUM(C208:N208)</f>
        <v>108630</v>
      </c>
      <c r="AO208" s="11" t="n">
        <f aca="false">SUM(O208:Z208)</f>
        <v>265880</v>
      </c>
      <c r="AP208" s="11" t="n">
        <f aca="false">SUM(AA208:AL208)</f>
        <v>383180</v>
      </c>
    </row>
    <row r="209" customFormat="false" ht="15" hidden="false" customHeight="false" outlineLevel="0" collapsed="false">
      <c r="A209" s="0" t="s">
        <v>1007</v>
      </c>
      <c r="B209" s="0" t="s">
        <v>230</v>
      </c>
      <c r="C209" s="9" t="n">
        <f aca="false">(C198*(Assumptions!$C$101+Assumptions!$C$102))</f>
        <v>0</v>
      </c>
      <c r="D209" s="9" t="n">
        <f aca="false">(D198*(Assumptions!$C$101+Assumptions!$C$102))</f>
        <v>0</v>
      </c>
      <c r="E209" s="9" t="n">
        <f aca="false">(E198*(Assumptions!$C$101+Assumptions!$C$102))</f>
        <v>11800</v>
      </c>
      <c r="F209" s="9" t="n">
        <f aca="false">(F198*(Assumptions!$C$101+Assumptions!$C$102))</f>
        <v>11800</v>
      </c>
      <c r="G209" s="9" t="n">
        <f aca="false">(G198*(Assumptions!$C$101+Assumptions!$C$102))</f>
        <v>23600</v>
      </c>
      <c r="H209" s="9" t="n">
        <f aca="false">(H198*(Assumptions!$C$101+Assumptions!$C$102))</f>
        <v>23600</v>
      </c>
      <c r="I209" s="9" t="n">
        <f aca="false">(I198*(Assumptions!$C$101+Assumptions!$C$102))</f>
        <v>11800</v>
      </c>
      <c r="J209" s="9" t="n">
        <f aca="false">(J198*(Assumptions!$C$101+Assumptions!$C$102))</f>
        <v>0</v>
      </c>
      <c r="K209" s="9" t="n">
        <f aca="false">(K198*(Assumptions!$C$101+Assumptions!$C$102))</f>
        <v>35400</v>
      </c>
      <c r="L209" s="9" t="n">
        <f aca="false">(L198*(Assumptions!$C$101+Assumptions!$C$102))</f>
        <v>11800</v>
      </c>
      <c r="M209" s="9" t="n">
        <f aca="false">(M198*(Assumptions!$C$101+Assumptions!$C$102))</f>
        <v>23600</v>
      </c>
      <c r="N209" s="9" t="n">
        <f aca="false">(N198*(Assumptions!$C$101+Assumptions!$C$102))</f>
        <v>11800</v>
      </c>
      <c r="O209" s="9" t="n">
        <f aca="false">(O198*(Assumptions!$C$101+Assumptions!$C$102))</f>
        <v>23600</v>
      </c>
      <c r="P209" s="9" t="n">
        <f aca="false">(P198*(Assumptions!$C$101+Assumptions!$C$102))</f>
        <v>11800</v>
      </c>
      <c r="Q209" s="9" t="n">
        <f aca="false">(Q198*(Assumptions!$C$101+Assumptions!$C$102))</f>
        <v>23600</v>
      </c>
      <c r="R209" s="9" t="n">
        <f aca="false">(R198*(Assumptions!$C$101+Assumptions!$C$102))</f>
        <v>0</v>
      </c>
      <c r="S209" s="9" t="n">
        <f aca="false">(S198*(Assumptions!$C$101+Assumptions!$C$102))</f>
        <v>0</v>
      </c>
      <c r="T209" s="9" t="n">
        <f aca="false">(T198*(Assumptions!$C$101+Assumptions!$C$102))</f>
        <v>23600</v>
      </c>
      <c r="U209" s="9" t="n">
        <f aca="false">(U198*(Assumptions!$C$101+Assumptions!$C$102))</f>
        <v>11800</v>
      </c>
      <c r="V209" s="9" t="n">
        <f aca="false">(V198*(Assumptions!$C$101+Assumptions!$C$102))</f>
        <v>23600</v>
      </c>
      <c r="W209" s="9" t="n">
        <f aca="false">(W198*(Assumptions!$C$101+Assumptions!$C$102))</f>
        <v>0</v>
      </c>
      <c r="X209" s="9" t="n">
        <f aca="false">(X198*(Assumptions!$C$101+Assumptions!$C$102))</f>
        <v>23600</v>
      </c>
      <c r="Y209" s="9" t="n">
        <f aca="false">(Y198*(Assumptions!$C$101+Assumptions!$C$102))</f>
        <v>0</v>
      </c>
      <c r="Z209" s="9" t="n">
        <f aca="false">(Z198*(Assumptions!$C$101+Assumptions!$C$102))</f>
        <v>11800</v>
      </c>
      <c r="AA209" s="9" t="n">
        <f aca="false">(AA198*(Assumptions!$C$101+Assumptions!$C$102))</f>
        <v>11800</v>
      </c>
      <c r="AB209" s="9" t="n">
        <f aca="false">(AB198*(Assumptions!$C$101+Assumptions!$C$102))</f>
        <v>23600</v>
      </c>
      <c r="AC209" s="9" t="n">
        <f aca="false">(AC198*(Assumptions!$C$101+Assumptions!$C$102))</f>
        <v>0</v>
      </c>
      <c r="AD209" s="9" t="n">
        <f aca="false">(AD198*(Assumptions!$C$101+Assumptions!$C$102))</f>
        <v>23600</v>
      </c>
      <c r="AE209" s="9" t="n">
        <f aca="false">(AE198*(Assumptions!$C$101+Assumptions!$C$102))</f>
        <v>0</v>
      </c>
      <c r="AF209" s="9" t="n">
        <f aca="false">(AF198*(Assumptions!$C$101+Assumptions!$C$102))</f>
        <v>11800</v>
      </c>
      <c r="AG209" s="9" t="n">
        <f aca="false">(AG198*(Assumptions!$C$101+Assumptions!$C$102))</f>
        <v>11800</v>
      </c>
      <c r="AH209" s="9" t="n">
        <f aca="false">(AH198*(Assumptions!$C$101+Assumptions!$C$102))</f>
        <v>11800</v>
      </c>
      <c r="AI209" s="9" t="n">
        <f aca="false">(AI198*(Assumptions!$C$101+Assumptions!$C$102))</f>
        <v>11800</v>
      </c>
      <c r="AJ209" s="9" t="n">
        <f aca="false">(AJ198*(Assumptions!$C$101+Assumptions!$C$102))</f>
        <v>0</v>
      </c>
      <c r="AK209" s="9" t="n">
        <f aca="false">(AK198*(Assumptions!$C$101+Assumptions!$C$102))</f>
        <v>0</v>
      </c>
      <c r="AL209" s="9" t="n">
        <f aca="false">(AL198*(Assumptions!$C$101+Assumptions!$C$102))</f>
        <v>0</v>
      </c>
      <c r="AN209" s="11" t="n">
        <f aca="false">SUM(C209:N209)</f>
        <v>165200</v>
      </c>
      <c r="AO209" s="11" t="n">
        <f aca="false">SUM(O209:Z209)</f>
        <v>153400</v>
      </c>
      <c r="AP209" s="11" t="n">
        <f aca="false">SUM(AA209:AL209)</f>
        <v>106200</v>
      </c>
    </row>
    <row r="210" customFormat="false" ht="15" hidden="false" customHeight="false" outlineLevel="0" collapsed="false">
      <c r="A210" s="0" t="s">
        <v>1008</v>
      </c>
      <c r="B210" s="0" t="s">
        <v>230</v>
      </c>
      <c r="C210" s="9" t="n">
        <f aca="false">(Assumptions!$C$103*((((((C199+C200)+C201)+C202)+C203)+C205)+C207))</f>
        <v>1791.66666666667</v>
      </c>
      <c r="D210" s="9" t="n">
        <f aca="false">(Assumptions!$C$103*((((((D199+D200)+D201)+D202)+D203)+D205)+D207))</f>
        <v>1791.66666666667</v>
      </c>
      <c r="E210" s="9" t="n">
        <f aca="false">(Assumptions!$C$103*((((((E199+E200)+E201)+E202)+E203)+E205)+E207))</f>
        <v>1791.66666666667</v>
      </c>
      <c r="F210" s="9" t="n">
        <f aca="false">(Assumptions!$C$103*((((((F199+F200)+F201)+F202)+F203)+F205)+F207))</f>
        <v>1791.66666666667</v>
      </c>
      <c r="G210" s="9" t="n">
        <f aca="false">(Assumptions!$C$103*((((((G199+G200)+G201)+G202)+G203)+G205)+G207))</f>
        <v>1791.66666666667</v>
      </c>
      <c r="H210" s="9" t="n">
        <f aca="false">(Assumptions!$C$103*((((((H199+H200)+H201)+H202)+H203)+H205)+H207))</f>
        <v>1791.66666666667</v>
      </c>
      <c r="I210" s="9" t="n">
        <f aca="false">(Assumptions!$C$103*((((((I199+I200)+I201)+I202)+I203)+I205)+I207))</f>
        <v>1791.66666666667</v>
      </c>
      <c r="J210" s="9" t="n">
        <f aca="false">(Assumptions!$C$103*((((((J199+J200)+J201)+J202)+J203)+J205)+J207))</f>
        <v>1791.66666666667</v>
      </c>
      <c r="K210" s="9" t="n">
        <f aca="false">(Assumptions!$C$103*((((((K199+K200)+K201)+K202)+K203)+K205)+K207))</f>
        <v>1791.66666666667</v>
      </c>
      <c r="L210" s="9" t="n">
        <f aca="false">(Assumptions!$C$103*((((((L199+L200)+L201)+L202)+L203)+L205)+L207))</f>
        <v>1791.66666666667</v>
      </c>
      <c r="M210" s="9" t="n">
        <f aca="false">(Assumptions!$C$103*((((((M199+M200)+M201)+M202)+M203)+M205)+M207))</f>
        <v>1791.66666666667</v>
      </c>
      <c r="N210" s="9" t="n">
        <f aca="false">(Assumptions!$C$103*((((((N199+N200)+N201)+N202)+N203)+N205)+N207))</f>
        <v>1791.66666666667</v>
      </c>
      <c r="O210" s="9" t="n">
        <f aca="false">(Assumptions!$C$103*((((((O199+O200)+O201)+O202)+O203)+O205)+O207))</f>
        <v>3058.33333333333</v>
      </c>
      <c r="P210" s="9" t="n">
        <f aca="false">(Assumptions!$C$103*((((((P199+P200)+P201)+P202)+P203)+P205)+P207))</f>
        <v>3058.33333333333</v>
      </c>
      <c r="Q210" s="9" t="n">
        <f aca="false">(Assumptions!$C$103*((((((Q199+Q200)+Q201)+Q202)+Q203)+Q205)+Q207))</f>
        <v>3058.33333333333</v>
      </c>
      <c r="R210" s="9" t="n">
        <f aca="false">(Assumptions!$C$103*((((((R199+R200)+R201)+R202)+R203)+R205)+R207))</f>
        <v>3058.33333333333</v>
      </c>
      <c r="S210" s="9" t="n">
        <f aca="false">(Assumptions!$C$103*((((((S199+S200)+S201)+S202)+S203)+S205)+S207))</f>
        <v>3058.33333333333</v>
      </c>
      <c r="T210" s="9" t="n">
        <f aca="false">(Assumptions!$C$103*((((((T199+T200)+T201)+T202)+T203)+T205)+T207))</f>
        <v>3058.33333333333</v>
      </c>
      <c r="U210" s="9" t="n">
        <f aca="false">(Assumptions!$C$103*((((((U199+U200)+U201)+U202)+U203)+U205)+U207))</f>
        <v>3058.33333333333</v>
      </c>
      <c r="V210" s="9" t="n">
        <f aca="false">(Assumptions!$C$103*((((((V199+V200)+V201)+V202)+V203)+V205)+V207))</f>
        <v>3058.33333333333</v>
      </c>
      <c r="W210" s="9" t="n">
        <f aca="false">(Assumptions!$C$103*((((((W199+W200)+W201)+W202)+W203)+W205)+W207))</f>
        <v>3058.33333333333</v>
      </c>
      <c r="X210" s="9" t="n">
        <f aca="false">(Assumptions!$C$103*((((((X199+X200)+X201)+X202)+X203)+X205)+X207))</f>
        <v>3058.33333333333</v>
      </c>
      <c r="Y210" s="9" t="n">
        <f aca="false">(Assumptions!$C$103*((((((Y199+Y200)+Y201)+Y202)+Y203)+Y205)+Y207))</f>
        <v>3058.33333333333</v>
      </c>
      <c r="Z210" s="9" t="n">
        <f aca="false">(Assumptions!$C$103*((((((Z199+Z200)+Z201)+Z202)+Z203)+Z205)+Z207))</f>
        <v>3058.33333333333</v>
      </c>
      <c r="AA210" s="9" t="n">
        <f aca="false">(Assumptions!$C$103*((((((AA199+AA200)+AA201)+AA202)+AA203)+AA205)+AA207))</f>
        <v>4754.16666666667</v>
      </c>
      <c r="AB210" s="9" t="n">
        <f aca="false">(Assumptions!$C$103*((((((AB199+AB200)+AB201)+AB202)+AB203)+AB205)+AB207))</f>
        <v>4754.16666666667</v>
      </c>
      <c r="AC210" s="9" t="n">
        <f aca="false">(Assumptions!$C$103*((((((AC199+AC200)+AC201)+AC202)+AC203)+AC205)+AC207))</f>
        <v>4754.16666666667</v>
      </c>
      <c r="AD210" s="9" t="n">
        <f aca="false">(Assumptions!$C$103*((((((AD199+AD200)+AD201)+AD202)+AD203)+AD205)+AD207))</f>
        <v>4754.16666666667</v>
      </c>
      <c r="AE210" s="9" t="n">
        <f aca="false">(Assumptions!$C$103*((((((AE199+AE200)+AE201)+AE202)+AE203)+AE205)+AE207))</f>
        <v>4754.16666666667</v>
      </c>
      <c r="AF210" s="9" t="n">
        <f aca="false">(Assumptions!$C$103*((((((AF199+AF200)+AF201)+AF202)+AF203)+AF205)+AF207))</f>
        <v>4754.16666666667</v>
      </c>
      <c r="AG210" s="9" t="n">
        <f aca="false">(Assumptions!$C$103*((((((AG199+AG200)+AG201)+AG202)+AG203)+AG205)+AG207))</f>
        <v>4754.16666666667</v>
      </c>
      <c r="AH210" s="9" t="n">
        <f aca="false">(Assumptions!$C$103*((((((AH199+AH200)+AH201)+AH202)+AH203)+AH205)+AH207))</f>
        <v>4754.16666666667</v>
      </c>
      <c r="AI210" s="9" t="n">
        <f aca="false">(Assumptions!$C$103*((((((AI199+AI200)+AI201)+AI202)+AI203)+AI205)+AI207))</f>
        <v>4754.16666666667</v>
      </c>
      <c r="AJ210" s="9" t="n">
        <f aca="false">(Assumptions!$C$103*((((((AJ199+AJ200)+AJ201)+AJ202)+AJ203)+AJ205)+AJ207))</f>
        <v>4754.16666666667</v>
      </c>
      <c r="AK210" s="9" t="n">
        <f aca="false">(Assumptions!$C$103*((((((AK199+AK200)+AK201)+AK202)+AK203)+AK205)+AK207))</f>
        <v>4754.16666666667</v>
      </c>
      <c r="AL210" s="9" t="n">
        <f aca="false">(Assumptions!$C$103*((((((AL199+AL200)+AL201)+AL202)+AL203)+AL205)+AL207))</f>
        <v>4754.16666666667</v>
      </c>
      <c r="AN210" s="11" t="n">
        <f aca="false">SUM(C210:N210)</f>
        <v>21500</v>
      </c>
      <c r="AO210" s="11" t="n">
        <f aca="false">SUM(O210:Z210)</f>
        <v>36700</v>
      </c>
      <c r="AP210" s="11" t="n">
        <f aca="false">SUM(AA210:AL210)</f>
        <v>57050</v>
      </c>
    </row>
    <row r="211" customFormat="false" ht="15" hidden="false" customHeight="false" outlineLevel="0" collapsed="false">
      <c r="A211" s="0" t="s">
        <v>1009</v>
      </c>
      <c r="B211" s="0" t="s">
        <v>230</v>
      </c>
      <c r="C211" s="9" t="n">
        <f aca="false">(Assumptions!$C$33*C152)</f>
        <v>0</v>
      </c>
      <c r="D211" s="9" t="n">
        <f aca="false">(Assumptions!$C$33*D152)</f>
        <v>0</v>
      </c>
      <c r="E211" s="9" t="n">
        <f aca="false">(Assumptions!$C$33*E152)</f>
        <v>0</v>
      </c>
      <c r="F211" s="9" t="n">
        <f aca="false">(Assumptions!$C$33*F152)</f>
        <v>0</v>
      </c>
      <c r="G211" s="9" t="n">
        <f aca="false">(Assumptions!$C$33*G152)</f>
        <v>0</v>
      </c>
      <c r="H211" s="9" t="n">
        <f aca="false">(Assumptions!$C$33*H152)</f>
        <v>0</v>
      </c>
      <c r="I211" s="9" t="n">
        <f aca="false">(Assumptions!$C$33*I152)</f>
        <v>0</v>
      </c>
      <c r="J211" s="9" t="n">
        <f aca="false">(Assumptions!$C$33*J152)</f>
        <v>0</v>
      </c>
      <c r="K211" s="9" t="n">
        <f aca="false">(Assumptions!$C$33*K152)</f>
        <v>0</v>
      </c>
      <c r="L211" s="9" t="n">
        <f aca="false">(Assumptions!$C$33*L152)</f>
        <v>0</v>
      </c>
      <c r="M211" s="9" t="n">
        <f aca="false">(Assumptions!$C$33*M152)</f>
        <v>0</v>
      </c>
      <c r="N211" s="9" t="n">
        <f aca="false">(Assumptions!$C$33*N152)</f>
        <v>158.4</v>
      </c>
      <c r="O211" s="9" t="n">
        <f aca="false">(Assumptions!$C$33*O152)</f>
        <v>360</v>
      </c>
      <c r="P211" s="9" t="n">
        <f aca="false">(Assumptions!$C$33*P152)</f>
        <v>0</v>
      </c>
      <c r="Q211" s="9" t="n">
        <f aca="false">(Assumptions!$C$33*Q152)</f>
        <v>418.44</v>
      </c>
      <c r="R211" s="9" t="n">
        <f aca="false">(Assumptions!$C$33*R152)</f>
        <v>448</v>
      </c>
      <c r="S211" s="9" t="n">
        <f aca="false">(Assumptions!$C$33*S152)</f>
        <v>0</v>
      </c>
      <c r="T211" s="9" t="n">
        <f aca="false">(Assumptions!$C$33*T152)</f>
        <v>0</v>
      </c>
      <c r="U211" s="9" t="n">
        <f aca="false">(Assumptions!$C$33*U152)</f>
        <v>592</v>
      </c>
      <c r="V211" s="9" t="n">
        <f aca="false">(Assumptions!$C$33*V152)</f>
        <v>94.5</v>
      </c>
      <c r="W211" s="9" t="n">
        <f aca="false">(Assumptions!$C$33*W152)</f>
        <v>0</v>
      </c>
      <c r="X211" s="9" t="n">
        <f aca="false">(Assumptions!$C$33*X152)</f>
        <v>1480</v>
      </c>
      <c r="Y211" s="9" t="n">
        <f aca="false">(Assumptions!$C$33*Y152)</f>
        <v>619.44</v>
      </c>
      <c r="Z211" s="9" t="n">
        <f aca="false">(Assumptions!$C$33*Z152)</f>
        <v>127.1952</v>
      </c>
      <c r="AA211" s="9" t="n">
        <f aca="false">(Assumptions!$C$33*AA152)</f>
        <v>1840</v>
      </c>
      <c r="AB211" s="9" t="n">
        <f aca="false">(Assumptions!$C$33*AB152)</f>
        <v>1865.24</v>
      </c>
      <c r="AC211" s="9" t="n">
        <f aca="false">(Assumptions!$C$33*AC152)</f>
        <v>434.4384</v>
      </c>
      <c r="AD211" s="9" t="n">
        <f aca="false">(Assumptions!$C$33*AD152)</f>
        <v>2600</v>
      </c>
      <c r="AE211" s="9" t="n">
        <f aca="false">(Assumptions!$C$33*AE152)</f>
        <v>2614.1</v>
      </c>
      <c r="AF211" s="9" t="n">
        <f aca="false">(Assumptions!$C$33*AF152)</f>
        <v>1660</v>
      </c>
      <c r="AG211" s="9" t="n">
        <f aca="false">(Assumptions!$C$33*AG152)</f>
        <v>2600</v>
      </c>
      <c r="AH211" s="9" t="n">
        <f aca="false">(Assumptions!$C$33*AH152)</f>
        <v>2836.376</v>
      </c>
      <c r="AI211" s="9" t="n">
        <f aca="false">(Assumptions!$C$33*AI152)</f>
        <v>0</v>
      </c>
      <c r="AJ211" s="9" t="n">
        <f aca="false">(Assumptions!$C$33*AJ152)</f>
        <v>2960</v>
      </c>
      <c r="AK211" s="9" t="n">
        <f aca="false">(Assumptions!$C$33*AK152)</f>
        <v>5096.69392</v>
      </c>
      <c r="AL211" s="9" t="n">
        <f aca="false">(Assumptions!$C$33*AL152)</f>
        <v>4779.1249536</v>
      </c>
      <c r="AN211" s="11" t="n">
        <f aca="false">SUM(C211:N211)</f>
        <v>158.4</v>
      </c>
      <c r="AO211" s="11" t="n">
        <f aca="false">SUM(O211:Z211)</f>
        <v>4139.5752</v>
      </c>
      <c r="AP211" s="11" t="n">
        <f aca="false">SUM(AA211:AL211)</f>
        <v>29285.9732736</v>
      </c>
    </row>
    <row r="212" customFormat="false" ht="15" hidden="false" customHeight="false" outlineLevel="0" collapsed="false">
      <c r="A212" s="0" t="s">
        <v>1010</v>
      </c>
      <c r="B212" s="0" t="s">
        <v>230</v>
      </c>
      <c r="C212" s="9" t="n">
        <f aca="false">IF(AND(($C$14=1),(C$18=Assumptions!$C$106)),(((((Assumptions!$C$107+Assumptions!$C$108)+Assumptions!$C$111)+Assumptions!$C$112)+(Assumptions!$C$109*Assumptions!$C$110))-Assumptions!$C$113),0)</f>
        <v>0</v>
      </c>
      <c r="D212" s="9" t="n">
        <f aca="false">IF(AND(($C$14=1),(D$18=Assumptions!$C$106)),(((((Assumptions!$C$107+Assumptions!$C$108)+Assumptions!$C$111)+Assumptions!$C$112)+(Assumptions!$C$109*Assumptions!$C$110))-Assumptions!$C$113),0)</f>
        <v>0</v>
      </c>
      <c r="E212" s="9" t="n">
        <f aca="false">IF(AND(($C$14=1),(E$18=Assumptions!$C$106)),(((((Assumptions!$C$107+Assumptions!$C$108)+Assumptions!$C$111)+Assumptions!$C$112)+(Assumptions!$C$109*Assumptions!$C$110))-Assumptions!$C$113),0)</f>
        <v>0</v>
      </c>
      <c r="F212" s="9" t="n">
        <f aca="false">IF(AND(($C$14=1),(F$18=Assumptions!$C$106)),(((((Assumptions!$C$107+Assumptions!$C$108)+Assumptions!$C$111)+Assumptions!$C$112)+(Assumptions!$C$109*Assumptions!$C$110))-Assumptions!$C$113),0)</f>
        <v>0</v>
      </c>
      <c r="G212" s="9" t="n">
        <f aca="false">IF(AND(($C$14=1),(G$18=Assumptions!$C$106)),(((((Assumptions!$C$107+Assumptions!$C$108)+Assumptions!$C$111)+Assumptions!$C$112)+(Assumptions!$C$109*Assumptions!$C$110))-Assumptions!$C$113),0)</f>
        <v>0</v>
      </c>
      <c r="H212" s="9" t="n">
        <f aca="false">IF(AND(($C$14=1),(H$18=Assumptions!$C$106)),(((((Assumptions!$C$107+Assumptions!$C$108)+Assumptions!$C$111)+Assumptions!$C$112)+(Assumptions!$C$109*Assumptions!$C$110))-Assumptions!$C$113),0)</f>
        <v>0</v>
      </c>
      <c r="I212" s="9" t="n">
        <f aca="false">IF(AND(($C$14=1),(I$18=Assumptions!$C$106)),(((((Assumptions!$C$107+Assumptions!$C$108)+Assumptions!$C$111)+Assumptions!$C$112)+(Assumptions!$C$109*Assumptions!$C$110))-Assumptions!$C$113),0)</f>
        <v>0</v>
      </c>
      <c r="J212" s="9" t="n">
        <f aca="false">IF(AND(($C$14=1),(J$18=Assumptions!$C$106)),(((((Assumptions!$C$107+Assumptions!$C$108)+Assumptions!$C$111)+Assumptions!$C$112)+(Assumptions!$C$109*Assumptions!$C$110))-Assumptions!$C$113),0)</f>
        <v>0</v>
      </c>
      <c r="K212" s="9" t="n">
        <f aca="false">IF(AND(($C$14=1),(K$18=Assumptions!$C$106)),(((((Assumptions!$C$107+Assumptions!$C$108)+Assumptions!$C$111)+Assumptions!$C$112)+(Assumptions!$C$109*Assumptions!$C$110))-Assumptions!$C$113),0)</f>
        <v>0</v>
      </c>
      <c r="L212" s="9" t="n">
        <f aca="false">IF(AND(($C$14=1),(L$18=Assumptions!$C$106)),(((((Assumptions!$C$107+Assumptions!$C$108)+Assumptions!$C$111)+Assumptions!$C$112)+(Assumptions!$C$109*Assumptions!$C$110))-Assumptions!$C$113),0)</f>
        <v>0</v>
      </c>
      <c r="M212" s="9" t="n">
        <f aca="false">IF(AND(($C$14=1),(M$18=Assumptions!$C$106)),(((((Assumptions!$C$107+Assumptions!$C$108)+Assumptions!$C$111)+Assumptions!$C$112)+(Assumptions!$C$109*Assumptions!$C$110))-Assumptions!$C$113),0)</f>
        <v>0</v>
      </c>
      <c r="N212" s="9" t="n">
        <f aca="false">IF(AND(($C$14=1),(N$18=Assumptions!$C$106)),(((((Assumptions!$C$107+Assumptions!$C$108)+Assumptions!$C$111)+Assumptions!$C$112)+(Assumptions!$C$109*Assumptions!$C$110))-Assumptions!$C$113),0)</f>
        <v>0</v>
      </c>
      <c r="O212" s="9" t="n">
        <f aca="false">IF(AND(($C$14=1),(O$18=Assumptions!$C$106)),(((((Assumptions!$C$107+Assumptions!$C$108)+Assumptions!$C$111)+Assumptions!$C$112)+(Assumptions!$C$109*Assumptions!$C$110))-Assumptions!$C$113),0)</f>
        <v>0</v>
      </c>
      <c r="P212" s="9" t="n">
        <f aca="false">IF(AND(($C$14=1),(P$18=Assumptions!$C$106)),(((((Assumptions!$C$107+Assumptions!$C$108)+Assumptions!$C$111)+Assumptions!$C$112)+(Assumptions!$C$109*Assumptions!$C$110))-Assumptions!$C$113),0)</f>
        <v>700000</v>
      </c>
      <c r="Q212" s="9" t="n">
        <f aca="false">IF(AND(($C$14=1),(Q$18=Assumptions!$C$106)),(((((Assumptions!$C$107+Assumptions!$C$108)+Assumptions!$C$111)+Assumptions!$C$112)+(Assumptions!$C$109*Assumptions!$C$110))-Assumptions!$C$113),0)</f>
        <v>0</v>
      </c>
      <c r="R212" s="9" t="n">
        <f aca="false">IF(AND(($C$14=1),(R$18=Assumptions!$C$106)),(((((Assumptions!$C$107+Assumptions!$C$108)+Assumptions!$C$111)+Assumptions!$C$112)+(Assumptions!$C$109*Assumptions!$C$110))-Assumptions!$C$113),0)</f>
        <v>0</v>
      </c>
      <c r="S212" s="9" t="n">
        <f aca="false">IF(AND(($C$14=1),(S$18=Assumptions!$C$106)),(((((Assumptions!$C$107+Assumptions!$C$108)+Assumptions!$C$111)+Assumptions!$C$112)+(Assumptions!$C$109*Assumptions!$C$110))-Assumptions!$C$113),0)</f>
        <v>0</v>
      </c>
      <c r="T212" s="9" t="n">
        <f aca="false">IF(AND(($C$14=1),(T$18=Assumptions!$C$106)),(((((Assumptions!$C$107+Assumptions!$C$108)+Assumptions!$C$111)+Assumptions!$C$112)+(Assumptions!$C$109*Assumptions!$C$110))-Assumptions!$C$113),0)</f>
        <v>0</v>
      </c>
      <c r="U212" s="9" t="n">
        <f aca="false">IF(AND(($C$14=1),(U$18=Assumptions!$C$106)),(((((Assumptions!$C$107+Assumptions!$C$108)+Assumptions!$C$111)+Assumptions!$C$112)+(Assumptions!$C$109*Assumptions!$C$110))-Assumptions!$C$113),0)</f>
        <v>0</v>
      </c>
      <c r="V212" s="9" t="n">
        <f aca="false">IF(AND(($C$14=1),(V$18=Assumptions!$C$106)),(((((Assumptions!$C$107+Assumptions!$C$108)+Assumptions!$C$111)+Assumptions!$C$112)+(Assumptions!$C$109*Assumptions!$C$110))-Assumptions!$C$113),0)</f>
        <v>0</v>
      </c>
      <c r="W212" s="9" t="n">
        <f aca="false">IF(AND(($C$14=1),(W$18=Assumptions!$C$106)),(((((Assumptions!$C$107+Assumptions!$C$108)+Assumptions!$C$111)+Assumptions!$C$112)+(Assumptions!$C$109*Assumptions!$C$110))-Assumptions!$C$113),0)</f>
        <v>0</v>
      </c>
      <c r="X212" s="9" t="n">
        <f aca="false">IF(AND(($C$14=1),(X$18=Assumptions!$C$106)),(((((Assumptions!$C$107+Assumptions!$C$108)+Assumptions!$C$111)+Assumptions!$C$112)+(Assumptions!$C$109*Assumptions!$C$110))-Assumptions!$C$113),0)</f>
        <v>0</v>
      </c>
      <c r="Y212" s="9" t="n">
        <f aca="false">IF(AND(($C$14=1),(Y$18=Assumptions!$C$106)),(((((Assumptions!$C$107+Assumptions!$C$108)+Assumptions!$C$111)+Assumptions!$C$112)+(Assumptions!$C$109*Assumptions!$C$110))-Assumptions!$C$113),0)</f>
        <v>0</v>
      </c>
      <c r="Z212" s="9" t="n">
        <f aca="false">IF(AND(($C$14=1),(Z$18=Assumptions!$C$106)),(((((Assumptions!$C$107+Assumptions!$C$108)+Assumptions!$C$111)+Assumptions!$C$112)+(Assumptions!$C$109*Assumptions!$C$110))-Assumptions!$C$113),0)</f>
        <v>0</v>
      </c>
      <c r="AA212" s="9" t="n">
        <f aca="false">IF(AND(($C$14=1),(AA$18=Assumptions!$C$106)),(((((Assumptions!$C$107+Assumptions!$C$108)+Assumptions!$C$111)+Assumptions!$C$112)+(Assumptions!$C$109*Assumptions!$C$110))-Assumptions!$C$113),0)</f>
        <v>0</v>
      </c>
      <c r="AB212" s="9" t="n">
        <f aca="false">IF(AND(($C$14=1),(AB$18=Assumptions!$C$106)),(((((Assumptions!$C$107+Assumptions!$C$108)+Assumptions!$C$111)+Assumptions!$C$112)+(Assumptions!$C$109*Assumptions!$C$110))-Assumptions!$C$113),0)</f>
        <v>0</v>
      </c>
      <c r="AC212" s="9" t="n">
        <f aca="false">IF(AND(($C$14=1),(AC$18=Assumptions!$C$106)),(((((Assumptions!$C$107+Assumptions!$C$108)+Assumptions!$C$111)+Assumptions!$C$112)+(Assumptions!$C$109*Assumptions!$C$110))-Assumptions!$C$113),0)</f>
        <v>0</v>
      </c>
      <c r="AD212" s="9" t="n">
        <f aca="false">IF(AND(($C$14=1),(AD$18=Assumptions!$C$106)),(((((Assumptions!$C$107+Assumptions!$C$108)+Assumptions!$C$111)+Assumptions!$C$112)+(Assumptions!$C$109*Assumptions!$C$110))-Assumptions!$C$113),0)</f>
        <v>0</v>
      </c>
      <c r="AE212" s="9" t="n">
        <f aca="false">IF(AND(($C$14=1),(AE$18=Assumptions!$C$106)),(((((Assumptions!$C$107+Assumptions!$C$108)+Assumptions!$C$111)+Assumptions!$C$112)+(Assumptions!$C$109*Assumptions!$C$110))-Assumptions!$C$113),0)</f>
        <v>0</v>
      </c>
      <c r="AF212" s="9" t="n">
        <f aca="false">IF(AND(($C$14=1),(AF$18=Assumptions!$C$106)),(((((Assumptions!$C$107+Assumptions!$C$108)+Assumptions!$C$111)+Assumptions!$C$112)+(Assumptions!$C$109*Assumptions!$C$110))-Assumptions!$C$113),0)</f>
        <v>0</v>
      </c>
      <c r="AG212" s="9" t="n">
        <f aca="false">IF(AND(($C$14=1),(AG$18=Assumptions!$C$106)),(((((Assumptions!$C$107+Assumptions!$C$108)+Assumptions!$C$111)+Assumptions!$C$112)+(Assumptions!$C$109*Assumptions!$C$110))-Assumptions!$C$113),0)</f>
        <v>0</v>
      </c>
      <c r="AH212" s="9" t="n">
        <f aca="false">IF(AND(($C$14=1),(AH$18=Assumptions!$C$106)),(((((Assumptions!$C$107+Assumptions!$C$108)+Assumptions!$C$111)+Assumptions!$C$112)+(Assumptions!$C$109*Assumptions!$C$110))-Assumptions!$C$113),0)</f>
        <v>0</v>
      </c>
      <c r="AI212" s="9" t="n">
        <f aca="false">IF(AND(($C$14=1),(AI$18=Assumptions!$C$106)),(((((Assumptions!$C$107+Assumptions!$C$108)+Assumptions!$C$111)+Assumptions!$C$112)+(Assumptions!$C$109*Assumptions!$C$110))-Assumptions!$C$113),0)</f>
        <v>0</v>
      </c>
      <c r="AJ212" s="9" t="n">
        <f aca="false">IF(AND(($C$14=1),(AJ$18=Assumptions!$C$106)),(((((Assumptions!$C$107+Assumptions!$C$108)+Assumptions!$C$111)+Assumptions!$C$112)+(Assumptions!$C$109*Assumptions!$C$110))-Assumptions!$C$113),0)</f>
        <v>0</v>
      </c>
      <c r="AK212" s="9" t="n">
        <f aca="false">IF(AND(($C$14=1),(AK$18=Assumptions!$C$106)),(((((Assumptions!$C$107+Assumptions!$C$108)+Assumptions!$C$111)+Assumptions!$C$112)+(Assumptions!$C$109*Assumptions!$C$110))-Assumptions!$C$113),0)</f>
        <v>0</v>
      </c>
      <c r="AL212" s="9" t="n">
        <f aca="false">IF(AND(($C$14=1),(AL$18=Assumptions!$C$106)),(((((Assumptions!$C$107+Assumptions!$C$108)+Assumptions!$C$111)+Assumptions!$C$112)+(Assumptions!$C$109*Assumptions!$C$110))-Assumptions!$C$113),0)</f>
        <v>0</v>
      </c>
      <c r="AN212" s="11" t="n">
        <f aca="false">SUM(C212:N212)</f>
        <v>0</v>
      </c>
      <c r="AO212" s="11" t="n">
        <f aca="false">SUM(O212:Z212)</f>
        <v>700000</v>
      </c>
      <c r="AP212" s="11" t="n">
        <f aca="false">SUM(AA212:AL212)</f>
        <v>0</v>
      </c>
    </row>
    <row r="213" customFormat="false" ht="15" hidden="false" customHeight="false" outlineLevel="0" collapsed="false">
      <c r="A213" s="0" t="s">
        <v>32</v>
      </c>
      <c r="B213" s="0" t="s">
        <v>230</v>
      </c>
      <c r="C213" s="9" t="n">
        <f aca="false">(C190+C191)</f>
        <v>41683.3333333333</v>
      </c>
      <c r="D213" s="9" t="n">
        <f aca="false">(D190+D191)</f>
        <v>41683.3333333333</v>
      </c>
      <c r="E213" s="9" t="n">
        <f aca="false">(E190+E191)</f>
        <v>54900</v>
      </c>
      <c r="F213" s="9" t="n">
        <f aca="false">(F190+F191)</f>
        <v>69133.3333333333</v>
      </c>
      <c r="G213" s="9" t="n">
        <f aca="false">(G190+G191)</f>
        <v>85400</v>
      </c>
      <c r="H213" s="9" t="n">
        <f aca="false">(H190+H191)</f>
        <v>100650</v>
      </c>
      <c r="I213" s="9" t="n">
        <f aca="false">(I190+I191)</f>
        <v>100650</v>
      </c>
      <c r="J213" s="9" t="n">
        <f aca="false">(J190+J191)</f>
        <v>100650</v>
      </c>
      <c r="K213" s="9" t="n">
        <f aca="false">(K190+K191)</f>
        <v>115391.666666667</v>
      </c>
      <c r="L213" s="9" t="n">
        <f aca="false">(L190+L191)</f>
        <v>127083.333333333</v>
      </c>
      <c r="M213" s="9" t="n">
        <f aca="false">(M190+M191)</f>
        <v>127083.333333333</v>
      </c>
      <c r="N213" s="9" t="n">
        <f aca="false">(N190+N191)</f>
        <v>127083.333333333</v>
      </c>
      <c r="O213" s="9" t="n">
        <f aca="false">(O190+O191)</f>
        <v>142333.333333333</v>
      </c>
      <c r="P213" s="9" t="n">
        <f aca="false">(P190+P191)</f>
        <v>157583.333333333</v>
      </c>
      <c r="Q213" s="9" t="n">
        <f aca="false">(Q190+Q191)</f>
        <v>157583.333333333</v>
      </c>
      <c r="R213" s="9" t="n">
        <f aca="false">(R190+R191)</f>
        <v>157583.333333333</v>
      </c>
      <c r="S213" s="9" t="n">
        <f aca="false">(S190+S191)</f>
        <v>157583.333333333</v>
      </c>
      <c r="T213" s="9" t="n">
        <f aca="false">(T190+T191)</f>
        <v>157583.333333333</v>
      </c>
      <c r="U213" s="9" t="n">
        <f aca="false">(U190+U191)</f>
        <v>157583.333333333</v>
      </c>
      <c r="V213" s="9" t="n">
        <f aca="false">(V190+V191)</f>
        <v>168766.666666667</v>
      </c>
      <c r="W213" s="9" t="n">
        <f aca="false">(W190+W191)</f>
        <v>168766.666666667</v>
      </c>
      <c r="X213" s="9" t="n">
        <f aca="false">(X190+X191)</f>
        <v>168766.666666667</v>
      </c>
      <c r="Y213" s="9" t="n">
        <f aca="false">(Y190+Y191)</f>
        <v>168766.666666667</v>
      </c>
      <c r="Z213" s="9" t="n">
        <f aca="false">(Z190+Z191)</f>
        <v>168766.666666667</v>
      </c>
      <c r="AA213" s="9" t="n">
        <f aca="false">(AA190+AA191)</f>
        <v>168766.666666667</v>
      </c>
      <c r="AB213" s="9" t="n">
        <f aca="false">(AB190+AB191)</f>
        <v>184016.666666667</v>
      </c>
      <c r="AC213" s="9" t="n">
        <f aca="false">(AC190+AC191)</f>
        <v>184016.666666667</v>
      </c>
      <c r="AD213" s="9" t="n">
        <f aca="false">(AD190+AD191)</f>
        <v>184016.666666667</v>
      </c>
      <c r="AE213" s="9" t="n">
        <f aca="false">(AE190+AE191)</f>
        <v>184016.666666667</v>
      </c>
      <c r="AF213" s="9" t="n">
        <f aca="false">(AF190+AF191)</f>
        <v>184016.666666667</v>
      </c>
      <c r="AG213" s="9" t="n">
        <f aca="false">(AG190+AG191)</f>
        <v>184016.666666667</v>
      </c>
      <c r="AH213" s="9" t="n">
        <f aca="false">(AH190+AH191)</f>
        <v>184016.666666667</v>
      </c>
      <c r="AI213" s="9" t="n">
        <f aca="false">(AI190+AI191)</f>
        <v>184016.666666667</v>
      </c>
      <c r="AJ213" s="9" t="n">
        <f aca="false">(AJ190+AJ191)</f>
        <v>184016.666666667</v>
      </c>
      <c r="AK213" s="9" t="n">
        <f aca="false">(AK190+AK191)</f>
        <v>184016.666666667</v>
      </c>
      <c r="AL213" s="9" t="n">
        <f aca="false">(AL190+AL191)</f>
        <v>184016.666666667</v>
      </c>
      <c r="AN213" s="11" t="n">
        <f aca="false">SUM(C213:N213)</f>
        <v>1091391.66666667</v>
      </c>
      <c r="AO213" s="11" t="n">
        <f aca="false">SUM(O213:Z213)</f>
        <v>1931666.66666667</v>
      </c>
      <c r="AP213" s="11" t="n">
        <f aca="false">SUM(AA213:AL213)</f>
        <v>2192950</v>
      </c>
    </row>
    <row r="214" customFormat="false" ht="15" hidden="false" customHeight="false" outlineLevel="0" collapsed="false">
      <c r="A214" s="0" t="s">
        <v>33</v>
      </c>
      <c r="B214" s="0" t="s">
        <v>230</v>
      </c>
      <c r="C214" s="9" t="n">
        <f aca="false">(C192+C199)</f>
        <v>9833.33333333333</v>
      </c>
      <c r="D214" s="9" t="n">
        <f aca="false">(D192+D199)</f>
        <v>9833.33333333333</v>
      </c>
      <c r="E214" s="9" t="n">
        <f aca="false">(E192+E199)</f>
        <v>9833.33333333333</v>
      </c>
      <c r="F214" s="9" t="n">
        <f aca="false">(F192+F199)</f>
        <v>9833.33333333333</v>
      </c>
      <c r="G214" s="9" t="n">
        <f aca="false">(G192+G199)</f>
        <v>9833.33333333333</v>
      </c>
      <c r="H214" s="9" t="n">
        <f aca="false">(H192+H199)</f>
        <v>9833.33333333333</v>
      </c>
      <c r="I214" s="9" t="n">
        <f aca="false">(I192+I199)</f>
        <v>25083.3333333333</v>
      </c>
      <c r="J214" s="9" t="n">
        <f aca="false">(J192+J199)</f>
        <v>25083.3333333333</v>
      </c>
      <c r="K214" s="9" t="n">
        <f aca="false">(K192+K199)</f>
        <v>25083.3333333333</v>
      </c>
      <c r="L214" s="9" t="n">
        <f aca="false">(L192+L199)</f>
        <v>25083.3333333333</v>
      </c>
      <c r="M214" s="9" t="n">
        <f aca="false">(M192+M199)</f>
        <v>25083.3333333333</v>
      </c>
      <c r="N214" s="9" t="n">
        <f aca="false">(N192+N199)</f>
        <v>25083.3333333333</v>
      </c>
      <c r="O214" s="9" t="n">
        <f aca="false">(O192+O199)</f>
        <v>29416.6666666667</v>
      </c>
      <c r="P214" s="9" t="n">
        <f aca="false">(P192+P199)</f>
        <v>29416.6666666667</v>
      </c>
      <c r="Q214" s="9" t="n">
        <f aca="false">(Q192+Q199)</f>
        <v>29416.6666666667</v>
      </c>
      <c r="R214" s="9" t="n">
        <f aca="false">(R192+R199)</f>
        <v>29416.6666666667</v>
      </c>
      <c r="S214" s="9" t="n">
        <f aca="false">(S192+S199)</f>
        <v>29416.6666666667</v>
      </c>
      <c r="T214" s="9" t="n">
        <f aca="false">(T192+T199)</f>
        <v>29416.6666666667</v>
      </c>
      <c r="U214" s="9" t="n">
        <f aca="false">(U192+U199)</f>
        <v>29416.6666666667</v>
      </c>
      <c r="V214" s="9" t="n">
        <f aca="false">(V192+V199)</f>
        <v>29416.6666666667</v>
      </c>
      <c r="W214" s="9" t="n">
        <f aca="false">(W192+W199)</f>
        <v>29416.6666666667</v>
      </c>
      <c r="X214" s="9" t="n">
        <f aca="false">(X192+X199)</f>
        <v>29416.6666666667</v>
      </c>
      <c r="Y214" s="9" t="n">
        <f aca="false">(Y192+Y199)</f>
        <v>29416.6666666667</v>
      </c>
      <c r="Z214" s="9" t="n">
        <f aca="false">(Z192+Z199)</f>
        <v>29416.6666666667</v>
      </c>
      <c r="AA214" s="9" t="n">
        <f aca="false">(AA192+AA199)</f>
        <v>34833.3333333333</v>
      </c>
      <c r="AB214" s="9" t="n">
        <f aca="false">(AB192+AB199)</f>
        <v>34833.3333333333</v>
      </c>
      <c r="AC214" s="9" t="n">
        <f aca="false">(AC192+AC199)</f>
        <v>34833.3333333333</v>
      </c>
      <c r="AD214" s="9" t="n">
        <f aca="false">(AD192+AD199)</f>
        <v>34833.3333333333</v>
      </c>
      <c r="AE214" s="9" t="n">
        <f aca="false">(AE192+AE199)</f>
        <v>34833.3333333333</v>
      </c>
      <c r="AF214" s="9" t="n">
        <f aca="false">(AF192+AF199)</f>
        <v>34833.3333333333</v>
      </c>
      <c r="AG214" s="9" t="n">
        <f aca="false">(AG192+AG199)</f>
        <v>34833.3333333333</v>
      </c>
      <c r="AH214" s="9" t="n">
        <f aca="false">(AH192+AH199)</f>
        <v>34833.3333333333</v>
      </c>
      <c r="AI214" s="9" t="n">
        <f aca="false">(AI192+AI199)</f>
        <v>34833.3333333333</v>
      </c>
      <c r="AJ214" s="9" t="n">
        <f aca="false">(AJ192+AJ199)</f>
        <v>34833.3333333333</v>
      </c>
      <c r="AK214" s="9" t="n">
        <f aca="false">(AK192+AK199)</f>
        <v>34833.3333333333</v>
      </c>
      <c r="AL214" s="9" t="n">
        <f aca="false">(AL192+AL199)</f>
        <v>34833.3333333333</v>
      </c>
      <c r="AN214" s="11" t="n">
        <f aca="false">SUM(C214:N214)</f>
        <v>209500</v>
      </c>
      <c r="AO214" s="11" t="n">
        <f aca="false">SUM(O214:Z214)</f>
        <v>353000</v>
      </c>
      <c r="AP214" s="11" t="n">
        <f aca="false">SUM(AA214:AL214)</f>
        <v>418000</v>
      </c>
    </row>
    <row r="215" customFormat="false" ht="15" hidden="false" customHeight="false" outlineLevel="0" collapsed="false">
      <c r="A215" s="0" t="s">
        <v>34</v>
      </c>
      <c r="B215" s="0" t="s">
        <v>230</v>
      </c>
      <c r="C215" s="9" t="n">
        <f aca="false">((C193+C204)+C205)</f>
        <v>5000</v>
      </c>
      <c r="D215" s="9" t="n">
        <f aca="false">((D193+D204)+D205)</f>
        <v>5000</v>
      </c>
      <c r="E215" s="9" t="n">
        <f aca="false">((E193+E204)+E205)</f>
        <v>5000</v>
      </c>
      <c r="F215" s="9" t="n">
        <f aca="false">((F193+F204)+F205)</f>
        <v>5000</v>
      </c>
      <c r="G215" s="9" t="n">
        <f aca="false">((G193+G204)+G205)</f>
        <v>5000</v>
      </c>
      <c r="H215" s="9" t="n">
        <f aca="false">((H193+H204)+H205)</f>
        <v>5000</v>
      </c>
      <c r="I215" s="9" t="n">
        <f aca="false">((I193+I204)+I205)</f>
        <v>5000</v>
      </c>
      <c r="J215" s="9" t="n">
        <f aca="false">((J193+J204)+J205)</f>
        <v>5000</v>
      </c>
      <c r="K215" s="9" t="n">
        <f aca="false">((K193+K204)+K205)</f>
        <v>5000</v>
      </c>
      <c r="L215" s="9" t="n">
        <f aca="false">((L193+L204)+L205)</f>
        <v>5000</v>
      </c>
      <c r="M215" s="9" t="n">
        <f aca="false">((M193+M204)+M205)</f>
        <v>16183.3333333333</v>
      </c>
      <c r="N215" s="9" t="n">
        <f aca="false">((N193+N204)+N205)</f>
        <v>17450.5333333333</v>
      </c>
      <c r="O215" s="9" t="n">
        <f aca="false">((O193+O204)+O205)</f>
        <v>38113.3333333333</v>
      </c>
      <c r="P215" s="9" t="n">
        <f aca="false">((P193+P204)+P205)</f>
        <v>35233.3333333333</v>
      </c>
      <c r="Q215" s="9" t="n">
        <f aca="false">((Q193+Q204)+Q205)</f>
        <v>38823.7333333333</v>
      </c>
      <c r="R215" s="9" t="n">
        <f aca="false">((R193+R204)+R205)</f>
        <v>38817.3333333333</v>
      </c>
      <c r="S215" s="9" t="n">
        <f aca="false">((S193+S204)+S205)</f>
        <v>35233.3333333333</v>
      </c>
      <c r="T215" s="9" t="n">
        <f aca="false">((T193+T204)+T205)</f>
        <v>35233.3333333333</v>
      </c>
      <c r="U215" s="9" t="n">
        <f aca="false">((U193+U204)+U205)</f>
        <v>39969.3333333333</v>
      </c>
      <c r="V215" s="9" t="n">
        <f aca="false">((V193+V204)+V205)</f>
        <v>36289.3333333333</v>
      </c>
      <c r="W215" s="9" t="n">
        <f aca="false">((W193+W204)+W205)</f>
        <v>35233.3333333333</v>
      </c>
      <c r="X215" s="9" t="n">
        <f aca="false">((X193+X204)+X205)</f>
        <v>58256.6666666667</v>
      </c>
      <c r="Y215" s="9" t="n">
        <f aca="false">((Y193+Y204)+Y205)</f>
        <v>51708.1866666667</v>
      </c>
      <c r="Z215" s="9" t="n">
        <f aca="false">((Z193+Z204)+Z205)</f>
        <v>46416.6666666667</v>
      </c>
      <c r="AA215" s="9" t="n">
        <f aca="false">((AA193+AA204)+AA205)</f>
        <v>68636.6666666667</v>
      </c>
      <c r="AB215" s="9" t="n">
        <f aca="false">((AB193+AB204)+AB205)</f>
        <v>69294.5866666667</v>
      </c>
      <c r="AC215" s="9" t="n">
        <f aca="false">((AC193+AC204)+AC205)</f>
        <v>53916.6666666667</v>
      </c>
      <c r="AD215" s="9" t="n">
        <f aca="false">((AD193+AD204)+AD205)</f>
        <v>85900</v>
      </c>
      <c r="AE215" s="9" t="n">
        <f aca="false">((AE193+AE204)+AE205)</f>
        <v>87152.8</v>
      </c>
      <c r="AF215" s="9" t="n">
        <f aca="false">((AF193+AF204)+AF205)</f>
        <v>78380</v>
      </c>
      <c r="AG215" s="9" t="n">
        <f aca="false">((AG193+AG204)+AG205)</f>
        <v>85900</v>
      </c>
      <c r="AH215" s="9" t="n">
        <f aca="false">((AH193+AH204)+AH205)</f>
        <v>88208.8</v>
      </c>
      <c r="AI215" s="9" t="n">
        <f aca="false">((AI193+AI204)+AI205)</f>
        <v>65100</v>
      </c>
      <c r="AJ215" s="9" t="n">
        <f aca="false">((AJ193+AJ204)+AJ205)</f>
        <v>88780</v>
      </c>
      <c r="AK215" s="9" t="n">
        <f aca="false">((AK193+AK204)+AK205)</f>
        <v>104357.6</v>
      </c>
      <c r="AL215" s="9" t="n">
        <f aca="false">((AL193+AL204)+AL205)</f>
        <v>102348</v>
      </c>
      <c r="AN215" s="11" t="n">
        <f aca="false">SUM(C215:N215)</f>
        <v>83633.8666666667</v>
      </c>
      <c r="AO215" s="11" t="n">
        <f aca="false">SUM(O215:Z215)</f>
        <v>489327.92</v>
      </c>
      <c r="AP215" s="11" t="n">
        <f aca="false">SUM(AA215:AL215)</f>
        <v>977975.12</v>
      </c>
    </row>
    <row r="216" customFormat="false" ht="15" hidden="false" customHeight="false" outlineLevel="0" collapsed="false">
      <c r="A216" s="0" t="s">
        <v>35</v>
      </c>
      <c r="B216" s="0" t="s">
        <v>230</v>
      </c>
      <c r="C216" s="9" t="n">
        <f aca="false">((C194+C206)+C207)</f>
        <v>4833.33333333333</v>
      </c>
      <c r="D216" s="9" t="n">
        <f aca="false">((D194+D206)+D207)</f>
        <v>4833.33333333333</v>
      </c>
      <c r="E216" s="9" t="n">
        <f aca="false">((E194+E206)+E207)</f>
        <v>4833.33333333333</v>
      </c>
      <c r="F216" s="9" t="n">
        <f aca="false">((F194+F206)+F207)</f>
        <v>4833.33333333333</v>
      </c>
      <c r="G216" s="9" t="n">
        <f aca="false">((G194+G206)+G207)</f>
        <v>4833.33333333333</v>
      </c>
      <c r="H216" s="9" t="n">
        <f aca="false">((H194+H206)+H207)</f>
        <v>15508.3333333333</v>
      </c>
      <c r="I216" s="9" t="n">
        <f aca="false">((I194+I206)+I207)</f>
        <v>15508.3333333333</v>
      </c>
      <c r="J216" s="9" t="n">
        <f aca="false">((J194+J206)+J207)</f>
        <v>15508.3333333333</v>
      </c>
      <c r="K216" s="9" t="n">
        <f aca="false">((K194+K206)+K207)</f>
        <v>15508.3333333333</v>
      </c>
      <c r="L216" s="9" t="n">
        <f aca="false">((L194+L206)+L207)</f>
        <v>15508.3333333333</v>
      </c>
      <c r="M216" s="9" t="n">
        <f aca="false">((M194+M206)+M207)</f>
        <v>15508.3333333333</v>
      </c>
      <c r="N216" s="9" t="n">
        <f aca="false">((N194+N206)+N207)</f>
        <v>22116.6666666667</v>
      </c>
      <c r="O216" s="9" t="n">
        <f aca="false">((O194+O206)+O207)</f>
        <v>31366.6666666667</v>
      </c>
      <c r="P216" s="9" t="n">
        <f aca="false">((P194+P206)+P207)</f>
        <v>31366.6666666667</v>
      </c>
      <c r="Q216" s="9" t="n">
        <f aca="false">((Q194+Q206)+Q207)</f>
        <v>31366.6666666667</v>
      </c>
      <c r="R216" s="9" t="n">
        <f aca="false">((R194+R206)+R207)</f>
        <v>31366.6666666667</v>
      </c>
      <c r="S216" s="9" t="n">
        <f aca="false">((S194+S206)+S207)</f>
        <v>31366.6666666667</v>
      </c>
      <c r="T216" s="9" t="n">
        <f aca="false">((T194+T206)+T207)</f>
        <v>31366.6666666667</v>
      </c>
      <c r="U216" s="9" t="n">
        <f aca="false">((U194+U206)+U207)</f>
        <v>31366.6666666667</v>
      </c>
      <c r="V216" s="9" t="n">
        <f aca="false">((V194+V206)+V207)</f>
        <v>40008.3333333333</v>
      </c>
      <c r="W216" s="9" t="n">
        <f aca="false">((W194+W206)+W207)</f>
        <v>40008.3333333333</v>
      </c>
      <c r="X216" s="9" t="n">
        <f aca="false">((X194+X206)+X207)</f>
        <v>40008.3333333333</v>
      </c>
      <c r="Y216" s="9" t="n">
        <f aca="false">((Y194+Y206)+Y207)</f>
        <v>40008.3333333333</v>
      </c>
      <c r="Z216" s="9" t="n">
        <f aca="false">((Z194+Z206)+Z207)</f>
        <v>40008.3333333333</v>
      </c>
      <c r="AA216" s="9" t="n">
        <f aca="false">((AA194+AA206)+AA207)</f>
        <v>50091.6666666667</v>
      </c>
      <c r="AB216" s="9" t="n">
        <f aca="false">((AB194+AB206)+AB207)</f>
        <v>50091.6666666667</v>
      </c>
      <c r="AC216" s="9" t="n">
        <f aca="false">((AC194+AC206)+AC207)</f>
        <v>50091.6666666667</v>
      </c>
      <c r="AD216" s="9" t="n">
        <f aca="false">((AD194+AD206)+AD207)</f>
        <v>50091.6666666667</v>
      </c>
      <c r="AE216" s="9" t="n">
        <f aca="false">((AE194+AE206)+AE207)</f>
        <v>50091.6666666667</v>
      </c>
      <c r="AF216" s="9" t="n">
        <f aca="false">((AF194+AF206)+AF207)</f>
        <v>50091.6666666667</v>
      </c>
      <c r="AG216" s="9" t="n">
        <f aca="false">((AG194+AG206)+AG207)</f>
        <v>50091.6666666667</v>
      </c>
      <c r="AH216" s="9" t="n">
        <f aca="false">((AH194+AH206)+AH207)</f>
        <v>50091.6666666667</v>
      </c>
      <c r="AI216" s="9" t="n">
        <f aca="false">((AI194+AI206)+AI207)</f>
        <v>50091.6666666667</v>
      </c>
      <c r="AJ216" s="9" t="n">
        <f aca="false">((AJ194+AJ206)+AJ207)</f>
        <v>50091.6666666667</v>
      </c>
      <c r="AK216" s="9" t="n">
        <f aca="false">((AK194+AK206)+AK207)</f>
        <v>50091.6666666667</v>
      </c>
      <c r="AL216" s="9" t="n">
        <f aca="false">((AL194+AL206)+AL207)</f>
        <v>50091.6666666667</v>
      </c>
      <c r="AN216" s="11" t="n">
        <f aca="false">SUM(C216:N216)</f>
        <v>139333.333333333</v>
      </c>
      <c r="AO216" s="11" t="n">
        <f aca="false">SUM(O216:Z216)</f>
        <v>419608.333333333</v>
      </c>
      <c r="AP216" s="11" t="n">
        <f aca="false">SUM(AA216:AL216)</f>
        <v>601100</v>
      </c>
    </row>
    <row r="217" customFormat="false" ht="15" hidden="false" customHeight="false" outlineLevel="0" collapsed="false">
      <c r="A217" s="0" t="s">
        <v>36</v>
      </c>
      <c r="B217" s="0" t="s">
        <v>230</v>
      </c>
      <c r="C217" s="9" t="n">
        <f aca="false">C200</f>
        <v>7916.66666666667</v>
      </c>
      <c r="D217" s="9" t="n">
        <f aca="false">D200</f>
        <v>7916.66666666667</v>
      </c>
      <c r="E217" s="9" t="n">
        <f aca="false">E200</f>
        <v>7916.66666666667</v>
      </c>
      <c r="F217" s="9" t="n">
        <f aca="false">F200</f>
        <v>7916.66666666667</v>
      </c>
      <c r="G217" s="9" t="n">
        <f aca="false">G200</f>
        <v>7916.66666666667</v>
      </c>
      <c r="H217" s="9" t="n">
        <f aca="false">H200</f>
        <v>7916.66666666667</v>
      </c>
      <c r="I217" s="9" t="n">
        <f aca="false">I200</f>
        <v>7916.66666666667</v>
      </c>
      <c r="J217" s="9" t="n">
        <f aca="false">J200</f>
        <v>7916.66666666667</v>
      </c>
      <c r="K217" s="9" t="n">
        <f aca="false">K200</f>
        <v>7916.66666666667</v>
      </c>
      <c r="L217" s="9" t="n">
        <f aca="false">L200</f>
        <v>7916.66666666667</v>
      </c>
      <c r="M217" s="9" t="n">
        <f aca="false">M200</f>
        <v>7916.66666666667</v>
      </c>
      <c r="N217" s="9" t="n">
        <f aca="false">N200</f>
        <v>7916.66666666667</v>
      </c>
      <c r="O217" s="9" t="n">
        <f aca="false">O200</f>
        <v>9333.33333333333</v>
      </c>
      <c r="P217" s="9" t="n">
        <f aca="false">P200</f>
        <v>9333.33333333333</v>
      </c>
      <c r="Q217" s="9" t="n">
        <f aca="false">Q200</f>
        <v>9333.33333333333</v>
      </c>
      <c r="R217" s="9" t="n">
        <f aca="false">R200</f>
        <v>9333.33333333333</v>
      </c>
      <c r="S217" s="9" t="n">
        <f aca="false">S200</f>
        <v>9333.33333333333</v>
      </c>
      <c r="T217" s="9" t="n">
        <f aca="false">T200</f>
        <v>9333.33333333333</v>
      </c>
      <c r="U217" s="9" t="n">
        <f aca="false">U200</f>
        <v>9333.33333333333</v>
      </c>
      <c r="V217" s="9" t="n">
        <f aca="false">V200</f>
        <v>9333.33333333333</v>
      </c>
      <c r="W217" s="9" t="n">
        <f aca="false">W200</f>
        <v>9333.33333333333</v>
      </c>
      <c r="X217" s="9" t="n">
        <f aca="false">X200</f>
        <v>9333.33333333333</v>
      </c>
      <c r="Y217" s="9" t="n">
        <f aca="false">Y200</f>
        <v>9333.33333333333</v>
      </c>
      <c r="Z217" s="9" t="n">
        <f aca="false">Z200</f>
        <v>9333.33333333333</v>
      </c>
      <c r="AA217" s="9" t="n">
        <f aca="false">AA200</f>
        <v>12916.6666666667</v>
      </c>
      <c r="AB217" s="9" t="n">
        <f aca="false">AB200</f>
        <v>12916.6666666667</v>
      </c>
      <c r="AC217" s="9" t="n">
        <f aca="false">AC200</f>
        <v>12916.6666666667</v>
      </c>
      <c r="AD217" s="9" t="n">
        <f aca="false">AD200</f>
        <v>12916.6666666667</v>
      </c>
      <c r="AE217" s="9" t="n">
        <f aca="false">AE200</f>
        <v>12916.6666666667</v>
      </c>
      <c r="AF217" s="9" t="n">
        <f aca="false">AF200</f>
        <v>12916.6666666667</v>
      </c>
      <c r="AG217" s="9" t="n">
        <f aca="false">AG200</f>
        <v>12916.6666666667</v>
      </c>
      <c r="AH217" s="9" t="n">
        <f aca="false">AH200</f>
        <v>12916.6666666667</v>
      </c>
      <c r="AI217" s="9" t="n">
        <f aca="false">AI200</f>
        <v>12916.6666666667</v>
      </c>
      <c r="AJ217" s="9" t="n">
        <f aca="false">AJ200</f>
        <v>12916.6666666667</v>
      </c>
      <c r="AK217" s="9" t="n">
        <f aca="false">AK200</f>
        <v>12916.6666666667</v>
      </c>
      <c r="AL217" s="9" t="n">
        <f aca="false">AL200</f>
        <v>12916.6666666667</v>
      </c>
      <c r="AN217" s="11" t="n">
        <f aca="false">SUM(C217:N217)</f>
        <v>95000</v>
      </c>
      <c r="AO217" s="11" t="n">
        <f aca="false">SUM(O217:Z217)</f>
        <v>112000</v>
      </c>
      <c r="AP217" s="11" t="n">
        <f aca="false">SUM(AA217:AL217)</f>
        <v>155000</v>
      </c>
    </row>
    <row r="218" customFormat="false" ht="15" hidden="false" customHeight="false" outlineLevel="0" collapsed="false">
      <c r="A218" s="0" t="s">
        <v>37</v>
      </c>
      <c r="B218" s="0" t="s">
        <v>230</v>
      </c>
      <c r="C218" s="9" t="n">
        <f aca="false">C201</f>
        <v>3416.66666666667</v>
      </c>
      <c r="D218" s="9" t="n">
        <f aca="false">D201</f>
        <v>3416.66666666667</v>
      </c>
      <c r="E218" s="9" t="n">
        <f aca="false">E201</f>
        <v>3416.66666666667</v>
      </c>
      <c r="F218" s="9" t="n">
        <f aca="false">F201</f>
        <v>3416.66666666667</v>
      </c>
      <c r="G218" s="9" t="n">
        <f aca="false">G201</f>
        <v>3416.66666666667</v>
      </c>
      <c r="H218" s="9" t="n">
        <f aca="false">H201</f>
        <v>3416.66666666667</v>
      </c>
      <c r="I218" s="9" t="n">
        <f aca="false">I201</f>
        <v>3416.66666666667</v>
      </c>
      <c r="J218" s="9" t="n">
        <f aca="false">J201</f>
        <v>3416.66666666667</v>
      </c>
      <c r="K218" s="9" t="n">
        <f aca="false">K201</f>
        <v>3416.66666666667</v>
      </c>
      <c r="L218" s="9" t="n">
        <f aca="false">L201</f>
        <v>3416.66666666667</v>
      </c>
      <c r="M218" s="9" t="n">
        <f aca="false">M201</f>
        <v>3416.66666666667</v>
      </c>
      <c r="N218" s="9" t="n">
        <f aca="false">N201</f>
        <v>3416.66666666667</v>
      </c>
      <c r="O218" s="9" t="n">
        <f aca="false">O201</f>
        <v>5833.33333333333</v>
      </c>
      <c r="P218" s="9" t="n">
        <f aca="false">P201</f>
        <v>5833.33333333333</v>
      </c>
      <c r="Q218" s="9" t="n">
        <f aca="false">Q201</f>
        <v>5833.33333333333</v>
      </c>
      <c r="R218" s="9" t="n">
        <f aca="false">R201</f>
        <v>5833.33333333333</v>
      </c>
      <c r="S218" s="9" t="n">
        <f aca="false">S201</f>
        <v>5833.33333333333</v>
      </c>
      <c r="T218" s="9" t="n">
        <f aca="false">T201</f>
        <v>5833.33333333333</v>
      </c>
      <c r="U218" s="9" t="n">
        <f aca="false">U201</f>
        <v>5833.33333333333</v>
      </c>
      <c r="V218" s="9" t="n">
        <f aca="false">V201</f>
        <v>5833.33333333333</v>
      </c>
      <c r="W218" s="9" t="n">
        <f aca="false">W201</f>
        <v>5833.33333333333</v>
      </c>
      <c r="X218" s="9" t="n">
        <f aca="false">X201</f>
        <v>5833.33333333333</v>
      </c>
      <c r="Y218" s="9" t="n">
        <f aca="false">Y201</f>
        <v>5833.33333333333</v>
      </c>
      <c r="Z218" s="9" t="n">
        <f aca="false">Z201</f>
        <v>5833.33333333333</v>
      </c>
      <c r="AA218" s="9" t="n">
        <f aca="false">AA201</f>
        <v>10000</v>
      </c>
      <c r="AB218" s="9" t="n">
        <f aca="false">AB201</f>
        <v>10000</v>
      </c>
      <c r="AC218" s="9" t="n">
        <f aca="false">AC201</f>
        <v>10000</v>
      </c>
      <c r="AD218" s="9" t="n">
        <f aca="false">AD201</f>
        <v>10000</v>
      </c>
      <c r="AE218" s="9" t="n">
        <f aca="false">AE201</f>
        <v>10000</v>
      </c>
      <c r="AF218" s="9" t="n">
        <f aca="false">AF201</f>
        <v>10000</v>
      </c>
      <c r="AG218" s="9" t="n">
        <f aca="false">AG201</f>
        <v>10000</v>
      </c>
      <c r="AH218" s="9" t="n">
        <f aca="false">AH201</f>
        <v>10000</v>
      </c>
      <c r="AI218" s="9" t="n">
        <f aca="false">AI201</f>
        <v>10000</v>
      </c>
      <c r="AJ218" s="9" t="n">
        <f aca="false">AJ201</f>
        <v>10000</v>
      </c>
      <c r="AK218" s="9" t="n">
        <f aca="false">AK201</f>
        <v>10000</v>
      </c>
      <c r="AL218" s="9" t="n">
        <f aca="false">AL201</f>
        <v>10000</v>
      </c>
      <c r="AN218" s="11" t="n">
        <f aca="false">SUM(C218:N218)</f>
        <v>41000</v>
      </c>
      <c r="AO218" s="11" t="n">
        <f aca="false">SUM(O218:Z218)</f>
        <v>70000</v>
      </c>
      <c r="AP218" s="11" t="n">
        <f aca="false">SUM(AA218:AL218)</f>
        <v>120000</v>
      </c>
    </row>
    <row r="219" customFormat="false" ht="15" hidden="false" customHeight="false" outlineLevel="0" collapsed="false">
      <c r="A219" s="0" t="s">
        <v>1011</v>
      </c>
      <c r="B219" s="0" t="s">
        <v>230</v>
      </c>
      <c r="C219" s="9" t="n">
        <f aca="false">((((((C195+C202)+C208)+C209)+C203)+C210)+C211)</f>
        <v>25615</v>
      </c>
      <c r="D219" s="9" t="n">
        <f aca="false">((((((D195+D202)+D208)+D209)+D203)+D210)+D211)</f>
        <v>25615</v>
      </c>
      <c r="E219" s="9" t="n">
        <f aca="false">((((((E195+E202)+E208)+E209)+E203)+E210)+E211)</f>
        <v>38265</v>
      </c>
      <c r="F219" s="9" t="n">
        <f aca="false">((((((F195+F202)+F208)+F209)+F203)+F210)+F211)</f>
        <v>39115</v>
      </c>
      <c r="G219" s="9" t="n">
        <f aca="false">((((((G195+G202)+G208)+G209)+G203)+G210)+G211)</f>
        <v>52615</v>
      </c>
      <c r="H219" s="9" t="n">
        <f aca="false">((((((H195+H202)+H208)+H209)+H203)+H210)+H211)</f>
        <v>54315</v>
      </c>
      <c r="I219" s="9" t="n">
        <f aca="false">((((((I195+I202)+I208)+I209)+I203)+I210)+I211)</f>
        <v>43365</v>
      </c>
      <c r="J219" s="9" t="n">
        <f aca="false">((((((J195+J202)+J208)+J209)+J203)+J210)+J211)</f>
        <v>31565</v>
      </c>
      <c r="K219" s="9" t="n">
        <f aca="false">((((((K195+K202)+K208)+K209)+K203)+K210)+K211)</f>
        <v>82223.3333333333</v>
      </c>
      <c r="L219" s="9" t="n">
        <f aca="false">((((((L195+L202)+L208)+L209)+L203)+L210)+L211)</f>
        <v>59473.3333333333</v>
      </c>
      <c r="M219" s="9" t="n">
        <f aca="false">((((((M195+M202)+M208)+M209)+M203)+M210)+M211)</f>
        <v>72973.3333333333</v>
      </c>
      <c r="N219" s="9" t="n">
        <f aca="false">((((((N195+N202)+N208)+N209)+N203)+N210)+N211)</f>
        <v>62181.7333333333</v>
      </c>
      <c r="O219" s="9" t="n">
        <f aca="false">((((((O195+O202)+O208)+O209)+O203)+O210)+O211)</f>
        <v>82233.3333333333</v>
      </c>
      <c r="P219" s="9" t="n">
        <f aca="false">((((((P195+P202)+P208)+P209)+P203)+P210)+P211)</f>
        <v>70923.3333333333</v>
      </c>
      <c r="Q219" s="9" t="n">
        <f aca="false">((((((Q195+Q202)+Q208)+Q209)+Q203)+Q210)+Q211)</f>
        <v>97041.7733333333</v>
      </c>
      <c r="R219" s="9" t="n">
        <f aca="false">((((((R195+R202)+R208)+R209)+R203)+R210)+R211)</f>
        <v>73471.3333333333</v>
      </c>
      <c r="S219" s="9" t="n">
        <f aca="false">((((((S195+S202)+S208)+S209)+S203)+S210)+S211)</f>
        <v>73023.3333333333</v>
      </c>
      <c r="T219" s="9" t="n">
        <f aca="false">((((((T195+T202)+T208)+T209)+T203)+T210)+T211)</f>
        <v>98323.3333333333</v>
      </c>
      <c r="U219" s="9" t="n">
        <f aca="false">((((((U195+U202)+U208)+U209)+U203)+U210)+U211)</f>
        <v>87965.3333333333</v>
      </c>
      <c r="V219" s="9" t="n">
        <f aca="false">((((((V195+V202)+V208)+V209)+V203)+V210)+V211)</f>
        <v>100967.833333333</v>
      </c>
      <c r="W219" s="9" t="n">
        <f aca="false">((((((W195+W202)+W208)+W209)+W203)+W210)+W211)</f>
        <v>77273.3333333333</v>
      </c>
      <c r="X219" s="9" t="n">
        <f aca="false">((((((X195+X202)+X208)+X209)+X203)+X210)+X211)</f>
        <v>104053.333333333</v>
      </c>
      <c r="Y219" s="9" t="n">
        <f aca="false">((((((Y195+Y202)+Y208)+Y209)+Y203)+Y210)+Y211)</f>
        <v>79592.7733333333</v>
      </c>
      <c r="Z219" s="9" t="n">
        <f aca="false">((((((Z195+Z202)+Z208)+Z209)+Z203)+Z210)+Z211)</f>
        <v>100392.1952</v>
      </c>
      <c r="AA219" s="9" t="n">
        <f aca="false">((((((AA195+AA202)+AA208)+AA209)+AA203)+AA210)+AA211)</f>
        <v>109817.5</v>
      </c>
      <c r="AB219" s="9" t="n">
        <f aca="false">((((((AB195+AB202)+AB208)+AB209)+AB203)+AB210)+AB211)</f>
        <v>123342.74</v>
      </c>
      <c r="AC219" s="9" t="n">
        <f aca="false">((((((AC195+AC202)+AC208)+AC209)+AC203)+AC210)+AC211)</f>
        <v>98311.9384</v>
      </c>
      <c r="AD219" s="9" t="n">
        <f aca="false">((((((AD195+AD202)+AD208)+AD209)+AD203)+AD210)+AD211)</f>
        <v>125777.5</v>
      </c>
      <c r="AE219" s="9" t="n">
        <f aca="false">((((((AE195+AE202)+AE208)+AE209)+AE203)+AE210)+AE211)</f>
        <v>102191.6</v>
      </c>
      <c r="AF219" s="9" t="n">
        <f aca="false">((((((AF195+AF202)+AF208)+AF209)+AF203)+AF210)+AF211)</f>
        <v>113887.5</v>
      </c>
      <c r="AG219" s="9" t="n">
        <f aca="false">((((((AG195+AG202)+AG208)+AG209)+AG203)+AG210)+AG211)</f>
        <v>115677.5</v>
      </c>
      <c r="AH219" s="9" t="n">
        <f aca="false">((((((AH195+AH202)+AH208)+AH209)+AH203)+AH210)+AH211)</f>
        <v>116763.876</v>
      </c>
      <c r="AI219" s="9" t="n">
        <f aca="false">((((((AI195+AI202)+AI208)+AI209)+AI203)+AI210)+AI211)</f>
        <v>114777.5</v>
      </c>
      <c r="AJ219" s="9" t="n">
        <f aca="false">((((((AJ195+AJ202)+AJ208)+AJ209)+AJ203)+AJ210)+AJ211)</f>
        <v>105937.5</v>
      </c>
      <c r="AK219" s="9" t="n">
        <f aca="false">((((((AK195+AK202)+AK208)+AK209)+AK203)+AK210)+AK211)</f>
        <v>108074.19392</v>
      </c>
      <c r="AL219" s="9" t="n">
        <f aca="false">((((((AL195+AL202)+AL208)+AL209)+AL203)+AL210)+AL211)</f>
        <v>107756.6249536</v>
      </c>
      <c r="AN219" s="11" t="n">
        <f aca="false">SUM(C219:N219)</f>
        <v>587321.733333333</v>
      </c>
      <c r="AO219" s="11" t="n">
        <f aca="false">SUM(O219:Z219)</f>
        <v>1045261.24186667</v>
      </c>
      <c r="AP219" s="11" t="n">
        <f aca="false">SUM(AA219:AL219)</f>
        <v>1342315.9732736</v>
      </c>
    </row>
    <row r="220" customFormat="false" ht="15" hidden="false" customHeight="false" outlineLevel="0" collapsed="false">
      <c r="A220" s="0" t="s">
        <v>39</v>
      </c>
      <c r="B220" s="0" t="s">
        <v>230</v>
      </c>
      <c r="C220" s="9" t="n">
        <f aca="false">C212</f>
        <v>0</v>
      </c>
      <c r="D220" s="9" t="n">
        <f aca="false">D212</f>
        <v>0</v>
      </c>
      <c r="E220" s="9" t="n">
        <f aca="false">E212</f>
        <v>0</v>
      </c>
      <c r="F220" s="9" t="n">
        <f aca="false">F212</f>
        <v>0</v>
      </c>
      <c r="G220" s="9" t="n">
        <f aca="false">G212</f>
        <v>0</v>
      </c>
      <c r="H220" s="9" t="n">
        <f aca="false">H212</f>
        <v>0</v>
      </c>
      <c r="I220" s="9" t="n">
        <f aca="false">I212</f>
        <v>0</v>
      </c>
      <c r="J220" s="9" t="n">
        <f aca="false">J212</f>
        <v>0</v>
      </c>
      <c r="K220" s="9" t="n">
        <f aca="false">K212</f>
        <v>0</v>
      </c>
      <c r="L220" s="9" t="n">
        <f aca="false">L212</f>
        <v>0</v>
      </c>
      <c r="M220" s="9" t="n">
        <f aca="false">M212</f>
        <v>0</v>
      </c>
      <c r="N220" s="9" t="n">
        <f aca="false">N212</f>
        <v>0</v>
      </c>
      <c r="O220" s="9" t="n">
        <f aca="false">O212</f>
        <v>0</v>
      </c>
      <c r="P220" s="9" t="n">
        <f aca="false">P212</f>
        <v>700000</v>
      </c>
      <c r="Q220" s="9" t="n">
        <f aca="false">Q212</f>
        <v>0</v>
      </c>
      <c r="R220" s="9" t="n">
        <f aca="false">R212</f>
        <v>0</v>
      </c>
      <c r="S220" s="9" t="n">
        <f aca="false">S212</f>
        <v>0</v>
      </c>
      <c r="T220" s="9" t="n">
        <f aca="false">T212</f>
        <v>0</v>
      </c>
      <c r="U220" s="9" t="n">
        <f aca="false">U212</f>
        <v>0</v>
      </c>
      <c r="V220" s="9" t="n">
        <f aca="false">V212</f>
        <v>0</v>
      </c>
      <c r="W220" s="9" t="n">
        <f aca="false">W212</f>
        <v>0</v>
      </c>
      <c r="X220" s="9" t="n">
        <f aca="false">X212</f>
        <v>0</v>
      </c>
      <c r="Y220" s="9" t="n">
        <f aca="false">Y212</f>
        <v>0</v>
      </c>
      <c r="Z220" s="9" t="n">
        <f aca="false">Z212</f>
        <v>0</v>
      </c>
      <c r="AA220" s="9" t="n">
        <f aca="false">AA212</f>
        <v>0</v>
      </c>
      <c r="AB220" s="9" t="n">
        <f aca="false">AB212</f>
        <v>0</v>
      </c>
      <c r="AC220" s="9" t="n">
        <f aca="false">AC212</f>
        <v>0</v>
      </c>
      <c r="AD220" s="9" t="n">
        <f aca="false">AD212</f>
        <v>0</v>
      </c>
      <c r="AE220" s="9" t="n">
        <f aca="false">AE212</f>
        <v>0</v>
      </c>
      <c r="AF220" s="9" t="n">
        <f aca="false">AF212</f>
        <v>0</v>
      </c>
      <c r="AG220" s="9" t="n">
        <f aca="false">AG212</f>
        <v>0</v>
      </c>
      <c r="AH220" s="9" t="n">
        <f aca="false">AH212</f>
        <v>0</v>
      </c>
      <c r="AI220" s="9" t="n">
        <f aca="false">AI212</f>
        <v>0</v>
      </c>
      <c r="AJ220" s="9" t="n">
        <f aca="false">AJ212</f>
        <v>0</v>
      </c>
      <c r="AK220" s="9" t="n">
        <f aca="false">AK212</f>
        <v>0</v>
      </c>
      <c r="AL220" s="9" t="n">
        <f aca="false">AL212</f>
        <v>0</v>
      </c>
      <c r="AN220" s="11" t="n">
        <f aca="false">SUM(C220:N220)</f>
        <v>0</v>
      </c>
      <c r="AO220" s="11" t="n">
        <f aca="false">SUM(O220:Z220)</f>
        <v>700000</v>
      </c>
      <c r="AP220" s="11" t="n">
        <f aca="false">SUM(AA220:AL220)</f>
        <v>0</v>
      </c>
    </row>
    <row r="221" customFormat="false" ht="15" hidden="false" customHeight="false" outlineLevel="0" collapsed="false">
      <c r="A221" s="10" t="s">
        <v>40</v>
      </c>
      <c r="B221" s="20" t="s">
        <v>230</v>
      </c>
      <c r="C221" s="11" t="n">
        <f aca="false">(((((((C213+C214)+C215)+C216)+C217)+C218)+C219)+C220)</f>
        <v>98298.3333333333</v>
      </c>
      <c r="D221" s="11" t="n">
        <f aca="false">(((((((D213+D214)+D215)+D216)+D217)+D218)+D219)+D220)</f>
        <v>98298.3333333333</v>
      </c>
      <c r="E221" s="11" t="n">
        <f aca="false">(((((((E213+E214)+E215)+E216)+E217)+E218)+E219)+E220)</f>
        <v>124165</v>
      </c>
      <c r="F221" s="11" t="n">
        <f aca="false">(((((((F213+F214)+F215)+F216)+F217)+F218)+F219)+F220)</f>
        <v>139248.333333333</v>
      </c>
      <c r="G221" s="11" t="n">
        <f aca="false">(((((((G213+G214)+G215)+G216)+G217)+G218)+G219)+G220)</f>
        <v>169015</v>
      </c>
      <c r="H221" s="11" t="n">
        <f aca="false">(((((((H213+H214)+H215)+H216)+H217)+H218)+H219)+H220)</f>
        <v>196640</v>
      </c>
      <c r="I221" s="11" t="n">
        <f aca="false">(((((((I213+I214)+I215)+I216)+I217)+I218)+I219)+I220)</f>
        <v>200940</v>
      </c>
      <c r="J221" s="11" t="n">
        <f aca="false">(((((((J213+J214)+J215)+J216)+J217)+J218)+J219)+J220)</f>
        <v>189140</v>
      </c>
      <c r="K221" s="11" t="n">
        <f aca="false">(((((((K213+K214)+K215)+K216)+K217)+K218)+K219)+K220)</f>
        <v>254540</v>
      </c>
      <c r="L221" s="11" t="n">
        <f aca="false">(((((((L213+L214)+L215)+L216)+L217)+L218)+L219)+L220)</f>
        <v>243481.666666667</v>
      </c>
      <c r="M221" s="11" t="n">
        <f aca="false">(((((((M213+M214)+M215)+M216)+M217)+M218)+M219)+M220)</f>
        <v>268165</v>
      </c>
      <c r="N221" s="11" t="n">
        <f aca="false">(((((((N213+N214)+N215)+N216)+N217)+N218)+N219)+N220)</f>
        <v>265248.933333333</v>
      </c>
      <c r="O221" s="11" t="n">
        <f aca="false">(((((((O213+O214)+O215)+O216)+O217)+O218)+O219)+O220)</f>
        <v>338630</v>
      </c>
      <c r="P221" s="11" t="n">
        <f aca="false">(((((((P213+P214)+P215)+P216)+P217)+P218)+P219)+P220)</f>
        <v>1039690</v>
      </c>
      <c r="Q221" s="11" t="n">
        <f aca="false">(((((((Q213+Q214)+Q215)+Q216)+Q217)+Q218)+Q219)+Q220)</f>
        <v>369398.84</v>
      </c>
      <c r="R221" s="11" t="n">
        <f aca="false">(((((((R213+R214)+R215)+R216)+R217)+R218)+R219)+R220)</f>
        <v>345822</v>
      </c>
      <c r="S221" s="11" t="n">
        <f aca="false">(((((((S213+S214)+S215)+S216)+S217)+S218)+S219)+S220)</f>
        <v>341790</v>
      </c>
      <c r="T221" s="11" t="n">
        <f aca="false">(((((((T213+T214)+T215)+T216)+T217)+T218)+T219)+T220)</f>
        <v>367090</v>
      </c>
      <c r="U221" s="11" t="n">
        <f aca="false">(((((((U213+U214)+U215)+U216)+U217)+U218)+U219)+U220)</f>
        <v>361468</v>
      </c>
      <c r="V221" s="11" t="n">
        <f aca="false">(((((((V213+V214)+V215)+V216)+V217)+V218)+V219)+V220)</f>
        <v>390615.5</v>
      </c>
      <c r="W221" s="11" t="n">
        <f aca="false">(((((((W213+W214)+W215)+W216)+W217)+W218)+W219)+W220)</f>
        <v>365865</v>
      </c>
      <c r="X221" s="11" t="n">
        <f aca="false">(((((((X213+X214)+X215)+X216)+X217)+X218)+X219)+X220)</f>
        <v>415668.333333333</v>
      </c>
      <c r="Y221" s="11" t="n">
        <f aca="false">(((((((Y213+Y214)+Y215)+Y216)+Y217)+Y218)+Y219)+Y220)</f>
        <v>384659.293333333</v>
      </c>
      <c r="Z221" s="11" t="n">
        <f aca="false">(((((((Z213+Z214)+Z215)+Z216)+Z217)+Z218)+Z219)+Z220)</f>
        <v>400167.1952</v>
      </c>
      <c r="AA221" s="11" t="n">
        <f aca="false">(((((((AA213+AA214)+AA215)+AA216)+AA217)+AA218)+AA219)+AA220)</f>
        <v>455062.5</v>
      </c>
      <c r="AB221" s="11" t="n">
        <f aca="false">(((((((AB213+AB214)+AB215)+AB216)+AB217)+AB218)+AB219)+AB220)</f>
        <v>484495.66</v>
      </c>
      <c r="AC221" s="11" t="n">
        <f aca="false">(((((((AC213+AC214)+AC215)+AC216)+AC217)+AC218)+AC219)+AC220)</f>
        <v>444086.9384</v>
      </c>
      <c r="AD221" s="11" t="n">
        <f aca="false">(((((((AD213+AD214)+AD215)+AD216)+AD217)+AD218)+AD219)+AD220)</f>
        <v>503535.833333333</v>
      </c>
      <c r="AE221" s="11" t="n">
        <f aca="false">(((((((AE213+AE214)+AE215)+AE216)+AE217)+AE218)+AE219)+AE220)</f>
        <v>481202.733333333</v>
      </c>
      <c r="AF221" s="11" t="n">
        <f aca="false">(((((((AF213+AF214)+AF215)+AF216)+AF217)+AF218)+AF219)+AF220)</f>
        <v>484125.833333333</v>
      </c>
      <c r="AG221" s="11" t="n">
        <f aca="false">(((((((AG213+AG214)+AG215)+AG216)+AG217)+AG218)+AG219)+AG220)</f>
        <v>493435.833333333</v>
      </c>
      <c r="AH221" s="11" t="n">
        <f aca="false">(((((((AH213+AH214)+AH215)+AH216)+AH217)+AH218)+AH219)+AH220)</f>
        <v>496831.009333333</v>
      </c>
      <c r="AI221" s="11" t="n">
        <f aca="false">(((((((AI213+AI214)+AI215)+AI216)+AI217)+AI218)+AI219)+AI220)</f>
        <v>471735.833333333</v>
      </c>
      <c r="AJ221" s="11" t="n">
        <f aca="false">(((((((AJ213+AJ214)+AJ215)+AJ216)+AJ217)+AJ218)+AJ219)+AJ220)</f>
        <v>486575.833333333</v>
      </c>
      <c r="AK221" s="11" t="n">
        <f aca="false">(((((((AK213+AK214)+AK215)+AK216)+AK217)+AK218)+AK219)+AK220)</f>
        <v>504290.127253333</v>
      </c>
      <c r="AL221" s="11" t="n">
        <f aca="false">(((((((AL213+AL214)+AL215)+AL216)+AL217)+AL218)+AL219)+AL220)</f>
        <v>501962.958286933</v>
      </c>
      <c r="AN221" s="11" t="n">
        <f aca="false">SUM(C221:N221)</f>
        <v>2247180.6</v>
      </c>
      <c r="AO221" s="11" t="n">
        <f aca="false">SUM(O221:Z221)</f>
        <v>5120864.16186667</v>
      </c>
      <c r="AP221" s="11" t="n">
        <f aca="false">SUM(AA221:AL221)</f>
        <v>5807341.0932736</v>
      </c>
    </row>
    <row r="222" customFormat="false" ht="15" hidden="false" customHeight="false" outlineLevel="0" collapsed="false">
      <c r="A222" s="21" t="s">
        <v>1012</v>
      </c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</row>
    <row r="223" customFormat="false" ht="15" hidden="false" customHeight="false" outlineLevel="0" collapsed="false">
      <c r="A223" s="0" t="s">
        <v>30</v>
      </c>
      <c r="B223" s="0" t="s">
        <v>230</v>
      </c>
      <c r="C223" s="9" t="n">
        <f aca="false">(C146-C184)</f>
        <v>-6067.1082984</v>
      </c>
      <c r="D223" s="9" t="n">
        <f aca="false">(D146-D184)</f>
        <v>-6119.24628408</v>
      </c>
      <c r="E223" s="9" t="n">
        <f aca="false">(E146-E184)</f>
        <v>-6157.13872666272</v>
      </c>
      <c r="F223" s="9" t="n">
        <f aca="false">(F146-F184)</f>
        <v>-6187.46796077222</v>
      </c>
      <c r="G223" s="9" t="n">
        <f aca="false">(G146-G184)</f>
        <v>-16768.8815397869</v>
      </c>
      <c r="H223" s="9" t="n">
        <f aca="false">(H146-H184)</f>
        <v>-16778.9333752017</v>
      </c>
      <c r="I223" s="9" t="n">
        <f aca="false">(I146-I184)</f>
        <v>-16804.496730379</v>
      </c>
      <c r="J223" s="9" t="n">
        <f aca="false">(J146-J184)</f>
        <v>-17593.0105915935</v>
      </c>
      <c r="K223" s="9" t="n">
        <f aca="false">(K146-K184)</f>
        <v>-24004.2286949308</v>
      </c>
      <c r="L223" s="9" t="n">
        <f aca="false">(L146-L184)</f>
        <v>-24047.0035125279</v>
      </c>
      <c r="M223" s="9" t="n">
        <f aca="false">(M146-M184)</f>
        <v>-33840.438498614</v>
      </c>
      <c r="N223" s="9" t="n">
        <f aca="false">(N146-N184)</f>
        <v>-32870.4205662215</v>
      </c>
      <c r="O223" s="9" t="n">
        <f aca="false">(O146-O184)</f>
        <v>-30392.9585625559</v>
      </c>
      <c r="P223" s="9" t="n">
        <f aca="false">(P146-P184)</f>
        <v>-30159.03363394</v>
      </c>
      <c r="Q223" s="9" t="n">
        <f aca="false">(Q146-Q184)</f>
        <v>-40781.1126445825</v>
      </c>
      <c r="R223" s="9" t="n">
        <f aca="false">(R146-R184)</f>
        <v>-33472.4324778067</v>
      </c>
      <c r="S223" s="9" t="n">
        <f aca="false">(S146-S184)</f>
        <v>-33572.3964313827</v>
      </c>
      <c r="T223" s="9" t="n">
        <f aca="false">(T146-T184)</f>
        <v>-52407.305890251</v>
      </c>
      <c r="U223" s="9" t="n">
        <f aca="false">(U146-U184)</f>
        <v>-58594.5427803259</v>
      </c>
      <c r="V223" s="9" t="n">
        <f aca="false">(V146-V184)</f>
        <v>-58102.0618654248</v>
      </c>
      <c r="W223" s="9" t="n">
        <f aca="false">(W146-W184)</f>
        <v>-58734.9867404974</v>
      </c>
      <c r="X223" s="9" t="n">
        <f aca="false">(X146-X184)</f>
        <v>-45504.4581690148</v>
      </c>
      <c r="Y223" s="9" t="n">
        <f aca="false">(Y146-Y184)</f>
        <v>-35690.6148759547</v>
      </c>
      <c r="Z223" s="9" t="n">
        <f aca="false">(Z146-Z184)</f>
        <v>-35770.2347250124</v>
      </c>
      <c r="AA223" s="9" t="n">
        <f aca="false">(AA146-AA184)</f>
        <v>-40124.1321180608</v>
      </c>
      <c r="AB223" s="9" t="n">
        <f aca="false">(AB146-AB184)</f>
        <v>-21845.6115472748</v>
      </c>
      <c r="AC223" s="9" t="n">
        <f aca="false">(AC146-AC184)</f>
        <v>-20986.527158079</v>
      </c>
      <c r="AD223" s="9" t="n">
        <f aca="false">(AD146-AD184)</f>
        <v>-8427.40421998274</v>
      </c>
      <c r="AE223" s="9" t="n">
        <f aca="false">(AE146-AE184)</f>
        <v>11837.8620135971</v>
      </c>
      <c r="AF223" s="9" t="n">
        <f aca="false">(AF146-AF184)</f>
        <v>46948.0089003175</v>
      </c>
      <c r="AG223" s="9" t="n">
        <f aca="false">(AG146-AG184)</f>
        <v>44016.4113532425</v>
      </c>
      <c r="AH223" s="9" t="n">
        <f aca="false">(AH146-AH184)</f>
        <v>51721.7162213573</v>
      </c>
      <c r="AI223" s="9" t="n">
        <f aca="false">(AI146-AI184)</f>
        <v>11499.198823496</v>
      </c>
      <c r="AJ223" s="9" t="n">
        <f aca="false">(AJ146-AJ184)</f>
        <v>22623.812356922</v>
      </c>
      <c r="AK223" s="9" t="n">
        <f aca="false">(AK146-AK184)</f>
        <v>69733.5254834896</v>
      </c>
      <c r="AL223" s="9" t="n">
        <f aca="false">(AL146-AL184)</f>
        <v>156305.430818686</v>
      </c>
      <c r="AN223" s="11" t="n">
        <f aca="false">SUM(C223:N223)</f>
        <v>-207238.37477917</v>
      </c>
      <c r="AO223" s="11" t="n">
        <f aca="false">SUM(O223:Z223)</f>
        <v>-513182.138796749</v>
      </c>
      <c r="AP223" s="11" t="n">
        <f aca="false">SUM(AA223:AL223)</f>
        <v>323302.29092771</v>
      </c>
    </row>
    <row r="224" customFormat="false" ht="15" hidden="false" customHeight="false" outlineLevel="0" collapsed="false">
      <c r="A224" s="0" t="s">
        <v>1013</v>
      </c>
      <c r="B224" s="0" t="s">
        <v>230</v>
      </c>
      <c r="C224" s="9" t="n">
        <f aca="false">((C223-C206)-C204)</f>
        <v>-6067.1082984</v>
      </c>
      <c r="D224" s="9" t="n">
        <f aca="false">((D223-D206)-D204)</f>
        <v>-6119.24628408</v>
      </c>
      <c r="E224" s="9" t="n">
        <f aca="false">((E223-E206)-E204)</f>
        <v>-6157.13872666272</v>
      </c>
      <c r="F224" s="9" t="n">
        <f aca="false">((F223-F206)-F204)</f>
        <v>-6187.46796077222</v>
      </c>
      <c r="G224" s="9" t="n">
        <f aca="false">((G223-G206)-G204)</f>
        <v>-16768.8815397869</v>
      </c>
      <c r="H224" s="9" t="n">
        <f aca="false">((H223-H206)-H204)</f>
        <v>-16778.9333752017</v>
      </c>
      <c r="I224" s="9" t="n">
        <f aca="false">((I223-I206)-I204)</f>
        <v>-16804.496730379</v>
      </c>
      <c r="J224" s="9" t="n">
        <f aca="false">((J223-J206)-J204)</f>
        <v>-17593.0105915935</v>
      </c>
      <c r="K224" s="9" t="n">
        <f aca="false">((K223-K206)-K204)</f>
        <v>-24004.2286949308</v>
      </c>
      <c r="L224" s="9" t="n">
        <f aca="false">((L223-L206)-L204)</f>
        <v>-24047.0035125279</v>
      </c>
      <c r="M224" s="9" t="n">
        <f aca="false">((M223-M206)-M204)</f>
        <v>-33840.438498614</v>
      </c>
      <c r="N224" s="9" t="n">
        <f aca="false">((N223-N206)-N204)</f>
        <v>-34137.6205662215</v>
      </c>
      <c r="O224" s="9" t="n">
        <f aca="false">((O223-O206)-O204)</f>
        <v>-36272.9585625559</v>
      </c>
      <c r="P224" s="9" t="n">
        <f aca="false">((P223-P206)-P204)</f>
        <v>-33159.03363394</v>
      </c>
      <c r="Q224" s="9" t="n">
        <f aca="false">((Q223-Q206)-Q204)</f>
        <v>-47371.5126445825</v>
      </c>
      <c r="R224" s="9" t="n">
        <f aca="false">((R223-R206)-R204)</f>
        <v>-40056.4324778067</v>
      </c>
      <c r="S224" s="9" t="n">
        <f aca="false">((S223-S206)-S204)</f>
        <v>-36572.3964313827</v>
      </c>
      <c r="T224" s="9" t="n">
        <f aca="false">((T223-T206)-T204)</f>
        <v>-55407.305890251</v>
      </c>
      <c r="U224" s="9" t="n">
        <f aca="false">((U223-U206)-U204)</f>
        <v>-66330.5427803259</v>
      </c>
      <c r="V224" s="9" t="n">
        <f aca="false">((V223-V206)-V204)</f>
        <v>-62158.0618654248</v>
      </c>
      <c r="W224" s="9" t="n">
        <f aca="false">((W223-W206)-W204)</f>
        <v>-61734.9867404974</v>
      </c>
      <c r="X224" s="9" t="n">
        <f aca="false">((X223-X206)-X204)</f>
        <v>-60344.4581690148</v>
      </c>
      <c r="Y224" s="9" t="n">
        <f aca="false">((Y223-Y206)-Y204)</f>
        <v>-43982.1348759547</v>
      </c>
      <c r="Z224" s="9" t="n">
        <f aca="false">((Z223-Z206)-Z204)</f>
        <v>-38770.2347250124</v>
      </c>
      <c r="AA224" s="9" t="n">
        <f aca="false">((AA223-AA206)-AA204)</f>
        <v>-59844.1321180608</v>
      </c>
      <c r="AB224" s="9" t="n">
        <f aca="false">((AB223-AB206)-AB204)</f>
        <v>-42223.5315472748</v>
      </c>
      <c r="AC224" s="9" t="n">
        <f aca="false">((AC223-AC206)-AC204)</f>
        <v>-25986.527158079</v>
      </c>
      <c r="AD224" s="9" t="n">
        <f aca="false">((AD223-AD206)-AD204)</f>
        <v>-34227.4042199827</v>
      </c>
      <c r="AE224" s="9" t="n">
        <f aca="false">((AE223-AE206)-AE204)</f>
        <v>-15214.9379864029</v>
      </c>
      <c r="AF224" s="9" t="n">
        <f aca="false">((AF223-AF206)-AF204)</f>
        <v>28668.0089003175</v>
      </c>
      <c r="AG224" s="9" t="n">
        <f aca="false">((AG223-AG206)-AG204)</f>
        <v>18216.4113532425</v>
      </c>
      <c r="AH224" s="9" t="n">
        <f aca="false">((AH223-AH206)-AH204)</f>
        <v>23612.9162213573</v>
      </c>
      <c r="AI224" s="9" t="n">
        <f aca="false">((AI223-AI206)-AI204)</f>
        <v>6499.19882349603</v>
      </c>
      <c r="AJ224" s="9" t="n">
        <f aca="false">((AJ223-AJ206)-AJ204)</f>
        <v>-6056.18764307795</v>
      </c>
      <c r="AK224" s="9" t="n">
        <f aca="false">((AK223-AK206)-AK204)</f>
        <v>25475.9254834896</v>
      </c>
      <c r="AL224" s="9" t="n">
        <f aca="false">((AL223-AL206)-AL204)</f>
        <v>114057.430818686</v>
      </c>
      <c r="AN224" s="11" t="n">
        <f aca="false">SUM(C224:N224)</f>
        <v>-208505.57477917</v>
      </c>
      <c r="AO224" s="11" t="n">
        <f aca="false">SUM(O224:Z224)</f>
        <v>-582160.058796749</v>
      </c>
      <c r="AP224" s="11" t="n">
        <f aca="false">SUM(AA224:AL224)</f>
        <v>32977.1709277104</v>
      </c>
    </row>
    <row r="225" customFormat="false" ht="15" hidden="false" customHeight="false" outlineLevel="0" collapsed="false">
      <c r="A225" s="10" t="s">
        <v>1014</v>
      </c>
      <c r="B225" s="20" t="s">
        <v>230</v>
      </c>
      <c r="C225" s="11" t="n">
        <f aca="false">(C223-C221)</f>
        <v>-104365.441631733</v>
      </c>
      <c r="D225" s="11" t="n">
        <f aca="false">(D223-D221)</f>
        <v>-104417.579617413</v>
      </c>
      <c r="E225" s="11" t="n">
        <f aca="false">(E223-E221)</f>
        <v>-130322.138726663</v>
      </c>
      <c r="F225" s="11" t="n">
        <f aca="false">(F223-F221)</f>
        <v>-145435.801294106</v>
      </c>
      <c r="G225" s="11" t="n">
        <f aca="false">(G223-G221)</f>
        <v>-185783.881539787</v>
      </c>
      <c r="H225" s="11" t="n">
        <f aca="false">(H223-H221)</f>
        <v>-213418.933375202</v>
      </c>
      <c r="I225" s="11" t="n">
        <f aca="false">(I223-I221)</f>
        <v>-217744.496730379</v>
      </c>
      <c r="J225" s="11" t="n">
        <f aca="false">(J223-J221)</f>
        <v>-206733.010591593</v>
      </c>
      <c r="K225" s="11" t="n">
        <f aca="false">(K223-K221)</f>
        <v>-278544.228694931</v>
      </c>
      <c r="L225" s="11" t="n">
        <f aca="false">(L223-L221)</f>
        <v>-267528.670179195</v>
      </c>
      <c r="M225" s="11" t="n">
        <f aca="false">(M223-M221)</f>
        <v>-302005.438498614</v>
      </c>
      <c r="N225" s="11" t="n">
        <f aca="false">(N223-N221)</f>
        <v>-298119.353899555</v>
      </c>
      <c r="O225" s="11" t="n">
        <f aca="false">(O223-O221)</f>
        <v>-369022.958562556</v>
      </c>
      <c r="P225" s="11" t="n">
        <f aca="false">(P223-P221)</f>
        <v>-1069849.03363394</v>
      </c>
      <c r="Q225" s="11" t="n">
        <f aca="false">(Q223-Q221)</f>
        <v>-410179.952644582</v>
      </c>
      <c r="R225" s="11" t="n">
        <f aca="false">(R223-R221)</f>
        <v>-379294.432477807</v>
      </c>
      <c r="S225" s="11" t="n">
        <f aca="false">(S223-S221)</f>
        <v>-375362.396431383</v>
      </c>
      <c r="T225" s="11" t="n">
        <f aca="false">(T223-T221)</f>
        <v>-419497.305890251</v>
      </c>
      <c r="U225" s="11" t="n">
        <f aca="false">(U223-U221)</f>
        <v>-420062.542780326</v>
      </c>
      <c r="V225" s="11" t="n">
        <f aca="false">(V223-V221)</f>
        <v>-448717.561865425</v>
      </c>
      <c r="W225" s="11" t="n">
        <f aca="false">(W223-W221)</f>
        <v>-424599.986740497</v>
      </c>
      <c r="X225" s="11" t="n">
        <f aca="false">(X223-X221)</f>
        <v>-461172.791502348</v>
      </c>
      <c r="Y225" s="11" t="n">
        <f aca="false">(Y223-Y221)</f>
        <v>-420349.908209288</v>
      </c>
      <c r="Z225" s="11" t="n">
        <f aca="false">(Z223-Z221)</f>
        <v>-435937.429925012</v>
      </c>
      <c r="AA225" s="11" t="n">
        <f aca="false">(AA223-AA221)</f>
        <v>-495186.632118061</v>
      </c>
      <c r="AB225" s="11" t="n">
        <f aca="false">(AB223-AB221)</f>
        <v>-506341.271547275</v>
      </c>
      <c r="AC225" s="11" t="n">
        <f aca="false">(AC223-AC221)</f>
        <v>-465073.465558079</v>
      </c>
      <c r="AD225" s="11" t="n">
        <f aca="false">(AD223-AD221)</f>
        <v>-511963.237553316</v>
      </c>
      <c r="AE225" s="11" t="n">
        <f aca="false">(AE223-AE221)</f>
        <v>-469364.871319736</v>
      </c>
      <c r="AF225" s="11" t="n">
        <f aca="false">(AF223-AF221)</f>
        <v>-437177.824433016</v>
      </c>
      <c r="AG225" s="11" t="n">
        <f aca="false">(AG223-AG221)</f>
        <v>-449419.421980091</v>
      </c>
      <c r="AH225" s="11" t="n">
        <f aca="false">(AH223-AH221)</f>
        <v>-445109.293111976</v>
      </c>
      <c r="AI225" s="11" t="n">
        <f aca="false">(AI223-AI221)</f>
        <v>-460236.634509837</v>
      </c>
      <c r="AJ225" s="11" t="n">
        <f aca="false">(AJ223-AJ221)</f>
        <v>-463952.020976411</v>
      </c>
      <c r="AK225" s="11" t="n">
        <f aca="false">(AK223-AK221)</f>
        <v>-434556.601769844</v>
      </c>
      <c r="AL225" s="11" t="n">
        <f aca="false">(AL223-AL221)</f>
        <v>-345657.527468248</v>
      </c>
      <c r="AN225" s="11" t="n">
        <f aca="false">SUM(C225:N225)</f>
        <v>-2454418.97477917</v>
      </c>
      <c r="AO225" s="11" t="n">
        <f aca="false">SUM(O225:Z225)</f>
        <v>-5634046.30066341</v>
      </c>
      <c r="AP225" s="11" t="n">
        <f aca="false">SUM(AA225:AL225)</f>
        <v>-5484038.80234589</v>
      </c>
    </row>
    <row r="226" customFormat="false" ht="15" hidden="false" customHeight="false" outlineLevel="0" collapsed="false">
      <c r="A226" s="10" t="s">
        <v>44</v>
      </c>
      <c r="B226" s="20" t="s">
        <v>230</v>
      </c>
      <c r="C226" s="11" t="n">
        <f aca="false">((C153-C184)-C221)</f>
        <v>-104365.441631733</v>
      </c>
      <c r="D226" s="11" t="n">
        <f aca="false">((D153-D184)-D221)</f>
        <v>-104417.579617413</v>
      </c>
      <c r="E226" s="11" t="n">
        <f aca="false">((E153-E184)-E221)</f>
        <v>-130322.138726663</v>
      </c>
      <c r="F226" s="11" t="n">
        <f aca="false">((F153-F184)-F221)</f>
        <v>-145435.801294106</v>
      </c>
      <c r="G226" s="11" t="n">
        <f aca="false">((G153-G184)-G221)</f>
        <v>-185783.881539787</v>
      </c>
      <c r="H226" s="11" t="n">
        <f aca="false">((H153-H184)-H221)</f>
        <v>-213418.933375202</v>
      </c>
      <c r="I226" s="11" t="n">
        <f aca="false">((I153-I184)-I221)</f>
        <v>-217744.496730379</v>
      </c>
      <c r="J226" s="11" t="n">
        <f aca="false">((J153-J184)-J221)</f>
        <v>-206733.010591593</v>
      </c>
      <c r="K226" s="11" t="n">
        <f aca="false">((K153-K184)-K221)</f>
        <v>-278544.228694931</v>
      </c>
      <c r="L226" s="11" t="n">
        <f aca="false">((L153-L184)-L221)</f>
        <v>-267528.670179195</v>
      </c>
      <c r="M226" s="11" t="n">
        <f aca="false">((M153-M184)-M221)</f>
        <v>-302005.438498614</v>
      </c>
      <c r="N226" s="11" t="n">
        <f aca="false">((N153-N184)-N221)</f>
        <v>-299439.353899555</v>
      </c>
      <c r="O226" s="11" t="n">
        <f aca="false">((O153-O184)-O221)</f>
        <v>-379747.315256531</v>
      </c>
      <c r="P226" s="11" t="n">
        <f aca="false">((P153-P184)-P221)</f>
        <v>-1064782.58057784</v>
      </c>
      <c r="Q226" s="11" t="n">
        <f aca="false">((Q153-Q184)-Q221)</f>
        <v>-385786.79369248</v>
      </c>
      <c r="R226" s="11" t="n">
        <f aca="false">((R153-R184)-R221)</f>
        <v>-398470.712560285</v>
      </c>
      <c r="S226" s="11" t="n">
        <f aca="false">((S153-S184)-S221)</f>
        <v>-353093.194391926</v>
      </c>
      <c r="T226" s="11" t="n">
        <f aca="false">((T153-T184)-T221)</f>
        <v>-394308.129545003</v>
      </c>
      <c r="U226" s="11" t="n">
        <f aca="false">((U153-U184)-U221)</f>
        <v>-443545.775643821</v>
      </c>
      <c r="V226" s="11" t="n">
        <f aca="false">((V153-V184)-V221)</f>
        <v>-472992.375322197</v>
      </c>
      <c r="W226" s="11" t="n">
        <f aca="false">((W153-W184)-W221)</f>
        <v>-390187.519391069</v>
      </c>
      <c r="X226" s="11" t="n">
        <f aca="false">((X153-X184)-X221)</f>
        <v>-500533.609393564</v>
      </c>
      <c r="Y226" s="11" t="n">
        <f aca="false">((Y153-Y184)-Y221)</f>
        <v>-479496.034711884</v>
      </c>
      <c r="Z226" s="11" t="n">
        <f aca="false">((Z153-Z184)-Z221)</f>
        <v>-348350.314389587</v>
      </c>
      <c r="AA226" s="11" t="n">
        <f aca="false">((AA153-AA184)-AA221)</f>
        <v>-508305.890918908</v>
      </c>
      <c r="AB226" s="11" t="n">
        <f aca="false">((AB153-AB184)-AB221)</f>
        <v>-593386.129342009</v>
      </c>
      <c r="AC226" s="11" t="n">
        <f aca="false">((AC153-AC184)-AC221)</f>
        <v>-382384.513284687</v>
      </c>
      <c r="AD226" s="11" t="n">
        <f aca="false">((AD153-AD184)-AD221)</f>
        <v>-449610.096466729</v>
      </c>
      <c r="AE226" s="11" t="n">
        <f aca="false">((AE153-AE184)-AE221)</f>
        <v>-570137.264999373</v>
      </c>
      <c r="AF226" s="11" t="n">
        <f aca="false">((AF153-AF184)-AF221)</f>
        <v>-368958.449047657</v>
      </c>
      <c r="AG226" s="11" t="n">
        <f aca="false">((AG153-AG184)-AG221)</f>
        <v>-384886.108987805</v>
      </c>
      <c r="AH226" s="11" t="n">
        <f aca="false">((AH153-AH184)-AH221)</f>
        <v>-490584.575685055</v>
      </c>
      <c r="AI226" s="11" t="n">
        <f aca="false">((AI153-AI184)-AI221)</f>
        <v>-377172.343200742</v>
      </c>
      <c r="AJ226" s="11" t="n">
        <f aca="false">((AJ153-AJ184)-AJ221)</f>
        <v>-366823.889801296</v>
      </c>
      <c r="AK226" s="11" t="n">
        <f aca="false">((AK153-AK184)-AK221)</f>
        <v>-666724.350181588</v>
      </c>
      <c r="AL226" s="11" t="n">
        <f aca="false">((AL153-AL184)-AL221)</f>
        <v>-371617.862594076</v>
      </c>
      <c r="AN226" s="11" t="n">
        <f aca="false">SUM(C226:N226)</f>
        <v>-2455738.97477917</v>
      </c>
      <c r="AO226" s="11" t="n">
        <f aca="false">SUM(O226:Z226)</f>
        <v>-5611294.35487619</v>
      </c>
      <c r="AP226" s="11" t="n">
        <f aca="false">SUM(AA226:AL226)</f>
        <v>-5530591.47450993</v>
      </c>
    </row>
    <row r="227" customFormat="false" ht="15" hidden="false" customHeight="false" outlineLevel="0" collapsed="false">
      <c r="A227" s="0" t="s">
        <v>45</v>
      </c>
      <c r="B227" s="0" t="s">
        <v>230</v>
      </c>
      <c r="C227" s="9" t="n">
        <f aca="false">(0+C226)</f>
        <v>-104365.441631733</v>
      </c>
      <c r="D227" s="9" t="n">
        <f aca="false">(C227+D226)</f>
        <v>-208783.021249147</v>
      </c>
      <c r="E227" s="9" t="n">
        <f aca="false">(D227+E226)</f>
        <v>-339105.159975809</v>
      </c>
      <c r="F227" s="9" t="n">
        <f aca="false">(E227+F226)</f>
        <v>-484540.961269915</v>
      </c>
      <c r="G227" s="9" t="n">
        <f aca="false">(F227+G226)</f>
        <v>-670324.842809702</v>
      </c>
      <c r="H227" s="9" t="n">
        <f aca="false">(G227+H226)</f>
        <v>-883743.776184904</v>
      </c>
      <c r="I227" s="9" t="n">
        <f aca="false">(H227+I226)</f>
        <v>-1101488.27291528</v>
      </c>
      <c r="J227" s="9" t="n">
        <f aca="false">(I227+J226)</f>
        <v>-1308221.28350688</v>
      </c>
      <c r="K227" s="9" t="n">
        <f aca="false">(J227+K226)</f>
        <v>-1586765.51220181</v>
      </c>
      <c r="L227" s="9" t="n">
        <f aca="false">(K227+L226)</f>
        <v>-1854294.182381</v>
      </c>
      <c r="M227" s="9" t="n">
        <f aca="false">(L227+M226)</f>
        <v>-2156299.62087962</v>
      </c>
      <c r="N227" s="9" t="n">
        <f aca="false">(M227+N226)</f>
        <v>-2455738.97477917</v>
      </c>
      <c r="O227" s="9" t="n">
        <f aca="false">(N227+O226)</f>
        <v>-2835486.2900357</v>
      </c>
      <c r="P227" s="9" t="n">
        <f aca="false">(O227+P226)</f>
        <v>-3900268.87061355</v>
      </c>
      <c r="Q227" s="9" t="n">
        <f aca="false">(P227+Q226)</f>
        <v>-4286055.66430603</v>
      </c>
      <c r="R227" s="9" t="n">
        <f aca="false">(Q227+R226)</f>
        <v>-4684526.37686631</v>
      </c>
      <c r="S227" s="9" t="n">
        <f aca="false">(R227+S226)</f>
        <v>-5037619.57125824</v>
      </c>
      <c r="T227" s="9" t="n">
        <f aca="false">(S227+T226)</f>
        <v>-5431927.70080324</v>
      </c>
      <c r="U227" s="9" t="n">
        <f aca="false">(T227+U226)</f>
        <v>-5875473.47644706</v>
      </c>
      <c r="V227" s="9" t="n">
        <f aca="false">(U227+V226)</f>
        <v>-6348465.85176926</v>
      </c>
      <c r="W227" s="9" t="n">
        <f aca="false">(V227+W226)</f>
        <v>-6738653.37116033</v>
      </c>
      <c r="X227" s="9" t="n">
        <f aca="false">(W227+X226)</f>
        <v>-7239186.98055389</v>
      </c>
      <c r="Y227" s="9" t="n">
        <f aca="false">(X227+Y226)</f>
        <v>-7718683.01526578</v>
      </c>
      <c r="Z227" s="9" t="n">
        <f aca="false">(Y227+Z226)</f>
        <v>-8067033.32965536</v>
      </c>
      <c r="AA227" s="9" t="n">
        <f aca="false">(Z227+AA226)</f>
        <v>-8575339.22057427</v>
      </c>
      <c r="AB227" s="9" t="n">
        <f aca="false">(AA227+AB226)</f>
        <v>-9168725.34991628</v>
      </c>
      <c r="AC227" s="9" t="n">
        <f aca="false">(AB227+AC226)</f>
        <v>-9551109.86320097</v>
      </c>
      <c r="AD227" s="9" t="n">
        <f aca="false">(AC227+AD226)</f>
        <v>-10000719.9596677</v>
      </c>
      <c r="AE227" s="9" t="n">
        <f aca="false">(AD227+AE226)</f>
        <v>-10570857.2246671</v>
      </c>
      <c r="AF227" s="9" t="n">
        <f aca="false">(AE227+AF226)</f>
        <v>-10939815.6737147</v>
      </c>
      <c r="AG227" s="9" t="n">
        <f aca="false">(AF227+AG226)</f>
        <v>-11324701.7827025</v>
      </c>
      <c r="AH227" s="9" t="n">
        <f aca="false">(AG227+AH226)</f>
        <v>-11815286.3583876</v>
      </c>
      <c r="AI227" s="9" t="n">
        <f aca="false">(AH227+AI226)</f>
        <v>-12192458.7015883</v>
      </c>
      <c r="AJ227" s="9" t="n">
        <f aca="false">(AI227+AJ226)</f>
        <v>-12559282.5913896</v>
      </c>
      <c r="AK227" s="9" t="n">
        <f aca="false">(AJ227+AK226)</f>
        <v>-13226006.9415712</v>
      </c>
      <c r="AL227" s="9" t="n">
        <f aca="false">(AK227+AL226)</f>
        <v>-13597624.8041653</v>
      </c>
      <c r="AN227" s="11" t="n">
        <f aca="false">N227</f>
        <v>-2455738.97477917</v>
      </c>
      <c r="AO227" s="11" t="n">
        <f aca="false">Z227</f>
        <v>-8067033.32965536</v>
      </c>
      <c r="AP227" s="11" t="n">
        <f aca="false">AL227</f>
        <v>-13597624.8041653</v>
      </c>
    </row>
    <row r="228" customFormat="false" ht="15" hidden="false" customHeight="false" outlineLevel="0" collapsed="false">
      <c r="A228" s="10" t="s">
        <v>1015</v>
      </c>
      <c r="B228" s="20" t="s">
        <v>230</v>
      </c>
      <c r="C228" s="11" t="n">
        <f aca="false">(Assumptions!$C$104+C227)</f>
        <v>2895634.55836827</v>
      </c>
      <c r="D228" s="11" t="n">
        <f aca="false">(Assumptions!$C$104+D227)</f>
        <v>2791216.97875085</v>
      </c>
      <c r="E228" s="11" t="n">
        <f aca="false">(Assumptions!$C$104+E227)</f>
        <v>2660894.84002419</v>
      </c>
      <c r="F228" s="11" t="n">
        <f aca="false">(Assumptions!$C$104+F227)</f>
        <v>2515459.03873009</v>
      </c>
      <c r="G228" s="11" t="n">
        <f aca="false">(Assumptions!$C$104+G227)</f>
        <v>2329675.1571903</v>
      </c>
      <c r="H228" s="11" t="n">
        <f aca="false">(Assumptions!$C$104+H227)</f>
        <v>2116256.2238151</v>
      </c>
      <c r="I228" s="11" t="n">
        <f aca="false">(Assumptions!$C$104+I227)</f>
        <v>1898511.72708472</v>
      </c>
      <c r="J228" s="11" t="n">
        <f aca="false">(Assumptions!$C$104+J227)</f>
        <v>1691778.71649312</v>
      </c>
      <c r="K228" s="11" t="n">
        <f aca="false">(Assumptions!$C$104+K227)</f>
        <v>1413234.48779819</v>
      </c>
      <c r="L228" s="11" t="n">
        <f aca="false">(Assumptions!$C$104+L227)</f>
        <v>1145705.817619</v>
      </c>
      <c r="M228" s="11" t="n">
        <f aca="false">(Assumptions!$C$104+M227)</f>
        <v>843700.379120385</v>
      </c>
      <c r="N228" s="11" t="n">
        <f aca="false">(Assumptions!$C$104+N227)</f>
        <v>544261.02522083</v>
      </c>
      <c r="O228" s="11" t="n">
        <f aca="false">(Assumptions!$C$104+O227)</f>
        <v>164513.709964299</v>
      </c>
      <c r="P228" s="11" t="n">
        <f aca="false">(Assumptions!$C$104+P227)</f>
        <v>-900268.870613545</v>
      </c>
      <c r="Q228" s="11" t="n">
        <f aca="false">(Assumptions!$C$104+Q227)</f>
        <v>-1286055.66430603</v>
      </c>
      <c r="R228" s="11" t="n">
        <f aca="false">(Assumptions!$C$104+R227)</f>
        <v>-1684526.37686631</v>
      </c>
      <c r="S228" s="11" t="n">
        <f aca="false">(Assumptions!$C$104+S227)</f>
        <v>-2037619.57125824</v>
      </c>
      <c r="T228" s="11" t="n">
        <f aca="false">(Assumptions!$C$104+T227)</f>
        <v>-2431927.70080324</v>
      </c>
      <c r="U228" s="11" t="n">
        <f aca="false">(Assumptions!$C$104+U227)</f>
        <v>-2875473.47644706</v>
      </c>
      <c r="V228" s="11" t="n">
        <f aca="false">(Assumptions!$C$104+V227)</f>
        <v>-3348465.85176926</v>
      </c>
      <c r="W228" s="11" t="n">
        <f aca="false">(Assumptions!$C$104+W227)</f>
        <v>-3738653.37116033</v>
      </c>
      <c r="X228" s="11" t="n">
        <f aca="false">(Assumptions!$C$104+X227)</f>
        <v>-4239186.98055389</v>
      </c>
      <c r="Y228" s="11" t="n">
        <f aca="false">(Assumptions!$C$104+Y227)</f>
        <v>-4718683.01526578</v>
      </c>
      <c r="Z228" s="11" t="n">
        <f aca="false">(Assumptions!$C$104+Z227)</f>
        <v>-5067033.32965536</v>
      </c>
      <c r="AA228" s="11" t="n">
        <f aca="false">(Assumptions!$C$104+AA227)</f>
        <v>-5575339.22057427</v>
      </c>
      <c r="AB228" s="11" t="n">
        <f aca="false">(Assumptions!$C$104+AB227)</f>
        <v>-6168725.34991628</v>
      </c>
      <c r="AC228" s="11" t="n">
        <f aca="false">(Assumptions!$C$104+AC227)</f>
        <v>-6551109.86320097</v>
      </c>
      <c r="AD228" s="11" t="n">
        <f aca="false">(Assumptions!$C$104+AD227)</f>
        <v>-7000719.9596677</v>
      </c>
      <c r="AE228" s="11" t="n">
        <f aca="false">(Assumptions!$C$104+AE227)</f>
        <v>-7570857.22466707</v>
      </c>
      <c r="AF228" s="11" t="n">
        <f aca="false">(Assumptions!$C$104+AF227)</f>
        <v>-7939815.67371473</v>
      </c>
      <c r="AG228" s="11" t="n">
        <f aca="false">(Assumptions!$C$104+AG227)</f>
        <v>-8324701.78270253</v>
      </c>
      <c r="AH228" s="11" t="n">
        <f aca="false">(Assumptions!$C$104+AH227)</f>
        <v>-8815286.35838758</v>
      </c>
      <c r="AI228" s="11" t="n">
        <f aca="false">(Assumptions!$C$104+AI227)</f>
        <v>-9192458.70158833</v>
      </c>
      <c r="AJ228" s="11" t="n">
        <f aca="false">(Assumptions!$C$104+AJ227)</f>
        <v>-9559282.59138962</v>
      </c>
      <c r="AK228" s="11" t="n">
        <f aca="false">(Assumptions!$C$104+AK227)</f>
        <v>-10226006.9415712</v>
      </c>
      <c r="AL228" s="11" t="n">
        <f aca="false">(Assumptions!$C$104+AL227)</f>
        <v>-10597624.8041653</v>
      </c>
      <c r="AN228" s="11" t="n">
        <f aca="false">N228</f>
        <v>544261.02522083</v>
      </c>
      <c r="AO228" s="11" t="n">
        <f aca="false">Z228</f>
        <v>-5067033.32965536</v>
      </c>
      <c r="AP228" s="11" t="n">
        <f aca="false">AL228</f>
        <v>-10597624.8041653</v>
      </c>
    </row>
    <row r="229" customFormat="false" ht="15" hidden="false" customHeight="false" outlineLevel="0" collapsed="false">
      <c r="A229" s="0" t="s">
        <v>1016</v>
      </c>
      <c r="B229" s="0" t="s">
        <v>1017</v>
      </c>
      <c r="C229" s="9" t="n">
        <f aca="false">IF((C228&lt;0),1,0)</f>
        <v>0</v>
      </c>
      <c r="D229" s="9" t="n">
        <f aca="false">IF((D228&lt;0),1,0)</f>
        <v>0</v>
      </c>
      <c r="E229" s="9" t="n">
        <f aca="false">IF((E228&lt;0),1,0)</f>
        <v>0</v>
      </c>
      <c r="F229" s="9" t="n">
        <f aca="false">IF((F228&lt;0),1,0)</f>
        <v>0</v>
      </c>
      <c r="G229" s="9" t="n">
        <f aca="false">IF((G228&lt;0),1,0)</f>
        <v>0</v>
      </c>
      <c r="H229" s="9" t="n">
        <f aca="false">IF((H228&lt;0),1,0)</f>
        <v>0</v>
      </c>
      <c r="I229" s="9" t="n">
        <f aca="false">IF((I228&lt;0),1,0)</f>
        <v>0</v>
      </c>
      <c r="J229" s="9" t="n">
        <f aca="false">IF((J228&lt;0),1,0)</f>
        <v>0</v>
      </c>
      <c r="K229" s="9" t="n">
        <f aca="false">IF((K228&lt;0),1,0)</f>
        <v>0</v>
      </c>
      <c r="L229" s="9" t="n">
        <f aca="false">IF((L228&lt;0),1,0)</f>
        <v>0</v>
      </c>
      <c r="M229" s="9" t="n">
        <f aca="false">IF((M228&lt;0),1,0)</f>
        <v>0</v>
      </c>
      <c r="N229" s="9" t="n">
        <f aca="false">IF((N228&lt;0),1,0)</f>
        <v>0</v>
      </c>
      <c r="O229" s="9" t="n">
        <f aca="false">IF((O228&lt;0),1,0)</f>
        <v>0</v>
      </c>
      <c r="P229" s="9" t="n">
        <f aca="false">IF((P228&lt;0),1,0)</f>
        <v>1</v>
      </c>
      <c r="Q229" s="9" t="n">
        <f aca="false">IF((Q228&lt;0),1,0)</f>
        <v>1</v>
      </c>
      <c r="R229" s="9" t="n">
        <f aca="false">IF((R228&lt;0),1,0)</f>
        <v>1</v>
      </c>
      <c r="S229" s="9" t="n">
        <f aca="false">IF((S228&lt;0),1,0)</f>
        <v>1</v>
      </c>
      <c r="T229" s="9" t="n">
        <f aca="false">IF((T228&lt;0),1,0)</f>
        <v>1</v>
      </c>
      <c r="U229" s="9" t="n">
        <f aca="false">IF((U228&lt;0),1,0)</f>
        <v>1</v>
      </c>
      <c r="V229" s="9" t="n">
        <f aca="false">IF((V228&lt;0),1,0)</f>
        <v>1</v>
      </c>
      <c r="W229" s="9" t="n">
        <f aca="false">IF((W228&lt;0),1,0)</f>
        <v>1</v>
      </c>
      <c r="X229" s="9" t="n">
        <f aca="false">IF((X228&lt;0),1,0)</f>
        <v>1</v>
      </c>
      <c r="Y229" s="9" t="n">
        <f aca="false">IF((Y228&lt;0),1,0)</f>
        <v>1</v>
      </c>
      <c r="Z229" s="9" t="n">
        <f aca="false">IF((Z228&lt;0),1,0)</f>
        <v>1</v>
      </c>
      <c r="AA229" s="9" t="n">
        <f aca="false">IF((AA228&lt;0),1,0)</f>
        <v>1</v>
      </c>
      <c r="AB229" s="9" t="n">
        <f aca="false">IF((AB228&lt;0),1,0)</f>
        <v>1</v>
      </c>
      <c r="AC229" s="9" t="n">
        <f aca="false">IF((AC228&lt;0),1,0)</f>
        <v>1</v>
      </c>
      <c r="AD229" s="9" t="n">
        <f aca="false">IF((AD228&lt;0),1,0)</f>
        <v>1</v>
      </c>
      <c r="AE229" s="9" t="n">
        <f aca="false">IF((AE228&lt;0),1,0)</f>
        <v>1</v>
      </c>
      <c r="AF229" s="9" t="n">
        <f aca="false">IF((AF228&lt;0),1,0)</f>
        <v>1</v>
      </c>
      <c r="AG229" s="9" t="n">
        <f aca="false">IF((AG228&lt;0),1,0)</f>
        <v>1</v>
      </c>
      <c r="AH229" s="9" t="n">
        <f aca="false">IF((AH228&lt;0),1,0)</f>
        <v>1</v>
      </c>
      <c r="AI229" s="9" t="n">
        <f aca="false">IF((AI228&lt;0),1,0)</f>
        <v>1</v>
      </c>
      <c r="AJ229" s="9" t="n">
        <f aca="false">IF((AJ228&lt;0),1,0)</f>
        <v>1</v>
      </c>
      <c r="AK229" s="9" t="n">
        <f aca="false">IF((AK228&lt;0),1,0)</f>
        <v>1</v>
      </c>
      <c r="AL229" s="9" t="n">
        <f aca="false">IF((AL228&lt;0),1,0)</f>
        <v>1</v>
      </c>
    </row>
    <row r="230" customFormat="false" ht="15" hidden="false" customHeight="false" outlineLevel="0" collapsed="false">
      <c r="A230" s="0" t="s">
        <v>1018</v>
      </c>
      <c r="B230" s="0" t="s">
        <v>230</v>
      </c>
      <c r="C230" s="9" t="n">
        <f aca="false">(C133*Assumptions!$C$37)</f>
        <v>0</v>
      </c>
      <c r="D230" s="9" t="n">
        <f aca="false">(D133*Assumptions!$C$37)</f>
        <v>0</v>
      </c>
      <c r="E230" s="9" t="n">
        <f aca="false">(E133*Assumptions!$C$37)</f>
        <v>0</v>
      </c>
      <c r="F230" s="9" t="n">
        <f aca="false">(F133*Assumptions!$C$37)</f>
        <v>0</v>
      </c>
      <c r="G230" s="9" t="n">
        <f aca="false">(G133*Assumptions!$C$37)</f>
        <v>9775</v>
      </c>
      <c r="H230" s="9" t="n">
        <f aca="false">(H133*Assumptions!$C$37)</f>
        <v>0</v>
      </c>
      <c r="I230" s="9" t="n">
        <f aca="false">(I133*Assumptions!$C$37)</f>
        <v>0</v>
      </c>
      <c r="J230" s="9" t="n">
        <f aca="false">(J133*Assumptions!$C$37)</f>
        <v>28050</v>
      </c>
      <c r="K230" s="9" t="n">
        <f aca="false">(K133*Assumptions!$C$37)</f>
        <v>0</v>
      </c>
      <c r="L230" s="9" t="n">
        <f aca="false">(L133*Assumptions!$C$37)</f>
        <v>0</v>
      </c>
      <c r="M230" s="9" t="n">
        <f aca="false">(M133*Assumptions!$C$37)</f>
        <v>0</v>
      </c>
      <c r="N230" s="9" t="n">
        <f aca="false">(N133*Assumptions!$C$37)</f>
        <v>0</v>
      </c>
      <c r="O230" s="9" t="n">
        <f aca="false">(O133*Assumptions!$C$37)</f>
        <v>13515</v>
      </c>
      <c r="P230" s="9" t="n">
        <f aca="false">(P133*Assumptions!$C$37)</f>
        <v>0</v>
      </c>
      <c r="Q230" s="9" t="n">
        <f aca="false">(Q133*Assumptions!$C$37)</f>
        <v>0</v>
      </c>
      <c r="R230" s="9" t="n">
        <f aca="false">(R133*Assumptions!$C$37)</f>
        <v>18122</v>
      </c>
      <c r="S230" s="9" t="n">
        <f aca="false">(S133*Assumptions!$C$37)</f>
        <v>0</v>
      </c>
      <c r="T230" s="9" t="n">
        <f aca="false">(T133*Assumptions!$C$37)</f>
        <v>0</v>
      </c>
      <c r="U230" s="9" t="n">
        <f aca="false">(U133*Assumptions!$C$37)</f>
        <v>23528</v>
      </c>
      <c r="V230" s="9" t="n">
        <f aca="false">(V133*Assumptions!$C$37)</f>
        <v>0</v>
      </c>
      <c r="W230" s="9" t="n">
        <f aca="false">(W133*Assumptions!$C$37)</f>
        <v>0</v>
      </c>
      <c r="X230" s="9" t="n">
        <f aca="false">(X133*Assumptions!$C$37)</f>
        <v>58820</v>
      </c>
      <c r="Y230" s="9" t="n">
        <f aca="false">(Y133*Assumptions!$C$37)</f>
        <v>13515</v>
      </c>
      <c r="Z230" s="9" t="n">
        <f aca="false">(Z133*Assumptions!$C$37)</f>
        <v>0</v>
      </c>
      <c r="AA230" s="9" t="n">
        <f aca="false">(AA133*Assumptions!$C$37)</f>
        <v>72335</v>
      </c>
      <c r="AB230" s="9" t="n">
        <f aca="false">(AB133*Assumptions!$C$37)</f>
        <v>45305</v>
      </c>
      <c r="AC230" s="9" t="n">
        <f aca="false">(AC133*Assumptions!$C$37)</f>
        <v>0</v>
      </c>
      <c r="AD230" s="9" t="n">
        <f aca="false">(AD133*Assumptions!$C$37)</f>
        <v>104125</v>
      </c>
      <c r="AE230" s="9" t="n">
        <f aca="false">(AE133*Assumptions!$C$37)</f>
        <v>58820</v>
      </c>
      <c r="AF230" s="9" t="n">
        <f aca="false">(AF133*Assumptions!$C$37)</f>
        <v>71740</v>
      </c>
      <c r="AG230" s="9" t="n">
        <f aca="false">(AG133*Assumptions!$C$37)</f>
        <v>104125</v>
      </c>
      <c r="AH230" s="9" t="n">
        <f aca="false">(AH133*Assumptions!$C$37)</f>
        <v>58820</v>
      </c>
      <c r="AI230" s="9" t="n">
        <f aca="false">(AI133*Assumptions!$C$37)</f>
        <v>0</v>
      </c>
      <c r="AJ230" s="9" t="n">
        <f aca="false">(AJ133*Assumptions!$C$37)</f>
        <v>117640</v>
      </c>
      <c r="AK230" s="9" t="n">
        <f aca="false">(AK133*Assumptions!$C$37)</f>
        <v>104125</v>
      </c>
      <c r="AL230" s="9" t="n">
        <f aca="false">(AL133*Assumptions!$C$37)</f>
        <v>143480</v>
      </c>
      <c r="AN230" s="11" t="n">
        <f aca="false">SUM(C230:N230)</f>
        <v>37825</v>
      </c>
      <c r="AO230" s="11" t="n">
        <f aca="false">SUM(O230:Z230)</f>
        <v>127500</v>
      </c>
      <c r="AP230" s="11" t="n">
        <f aca="false">SUM(AA230:AL230)</f>
        <v>880515</v>
      </c>
    </row>
    <row r="231" customFormat="false" ht="15" hidden="false" customHeight="false" outlineLevel="0" collapsed="false">
      <c r="A231" s="0" t="s">
        <v>1019</v>
      </c>
      <c r="B231" s="0" t="s">
        <v>285</v>
      </c>
      <c r="C231" s="9" t="n">
        <f aca="false">(C197*Assumptions!$C$38)</f>
        <v>0</v>
      </c>
      <c r="D231" s="9" t="n">
        <f aca="false">(D197*Assumptions!$C$38)</f>
        <v>0</v>
      </c>
      <c r="E231" s="9" t="n">
        <f aca="false">(E197*Assumptions!$C$38)</f>
        <v>0</v>
      </c>
      <c r="F231" s="9" t="n">
        <f aca="false">(F197*Assumptions!$C$38)</f>
        <v>0</v>
      </c>
      <c r="G231" s="9" t="n">
        <f aca="false">(G197*Assumptions!$C$38)</f>
        <v>110</v>
      </c>
      <c r="H231" s="9" t="n">
        <f aca="false">(H197*Assumptions!$C$38)</f>
        <v>110</v>
      </c>
      <c r="I231" s="9" t="n">
        <f aca="false">(I197*Assumptions!$C$38)</f>
        <v>110</v>
      </c>
      <c r="J231" s="9" t="n">
        <f aca="false">(J197*Assumptions!$C$38)</f>
        <v>110</v>
      </c>
      <c r="K231" s="9" t="n">
        <f aca="false">(K197*Assumptions!$C$38)</f>
        <v>110</v>
      </c>
      <c r="L231" s="9" t="n">
        <f aca="false">(L197*Assumptions!$C$38)</f>
        <v>110</v>
      </c>
      <c r="M231" s="9" t="n">
        <f aca="false">(M197*Assumptions!$C$38)</f>
        <v>220</v>
      </c>
      <c r="N231" s="9" t="n">
        <f aca="false">(N197*Assumptions!$C$38)</f>
        <v>220</v>
      </c>
      <c r="O231" s="9" t="n">
        <f aca="false">(O197*Assumptions!$C$38)</f>
        <v>220</v>
      </c>
      <c r="P231" s="9" t="n">
        <f aca="false">(P197*Assumptions!$C$38)</f>
        <v>220</v>
      </c>
      <c r="Q231" s="9" t="n">
        <f aca="false">(Q197*Assumptions!$C$38)</f>
        <v>330</v>
      </c>
      <c r="R231" s="9" t="n">
        <f aca="false">(R197*Assumptions!$C$38)</f>
        <v>330</v>
      </c>
      <c r="S231" s="9" t="n">
        <f aca="false">(S197*Assumptions!$C$38)</f>
        <v>330</v>
      </c>
      <c r="T231" s="9" t="n">
        <f aca="false">(T197*Assumptions!$C$38)</f>
        <v>330</v>
      </c>
      <c r="U231" s="9" t="n">
        <f aca="false">(U197*Assumptions!$C$38)</f>
        <v>440</v>
      </c>
      <c r="V231" s="9" t="n">
        <f aca="false">(V197*Assumptions!$C$38)</f>
        <v>440</v>
      </c>
      <c r="W231" s="9" t="n">
        <f aca="false">(W197*Assumptions!$C$38)</f>
        <v>440</v>
      </c>
      <c r="X231" s="9" t="n">
        <f aca="false">(X197*Assumptions!$C$38)</f>
        <v>550</v>
      </c>
      <c r="Y231" s="9" t="n">
        <f aca="false">(Y197*Assumptions!$C$38)</f>
        <v>550</v>
      </c>
      <c r="Z231" s="9" t="n">
        <f aca="false">(Z197*Assumptions!$C$38)</f>
        <v>550</v>
      </c>
      <c r="AA231" s="9" t="n">
        <f aca="false">(AA197*Assumptions!$C$38)</f>
        <v>660</v>
      </c>
      <c r="AB231" s="9" t="n">
        <f aca="false">(AB197*Assumptions!$C$38)</f>
        <v>660</v>
      </c>
      <c r="AC231" s="9" t="n">
        <f aca="false">(AC197*Assumptions!$C$38)</f>
        <v>660</v>
      </c>
      <c r="AD231" s="9" t="n">
        <f aca="false">(AD197*Assumptions!$C$38)</f>
        <v>770</v>
      </c>
      <c r="AE231" s="9" t="n">
        <f aca="false">(AE197*Assumptions!$C$38)</f>
        <v>770</v>
      </c>
      <c r="AF231" s="9" t="n">
        <f aca="false">(AF197*Assumptions!$C$38)</f>
        <v>770</v>
      </c>
      <c r="AG231" s="9" t="n">
        <f aca="false">(AG197*Assumptions!$C$38)</f>
        <v>880</v>
      </c>
      <c r="AH231" s="9" t="n">
        <f aca="false">(AH197*Assumptions!$C$38)</f>
        <v>880</v>
      </c>
      <c r="AI231" s="9" t="n">
        <f aca="false">(AI197*Assumptions!$C$38)</f>
        <v>880</v>
      </c>
      <c r="AJ231" s="9" t="n">
        <f aca="false">(AJ197*Assumptions!$C$38)</f>
        <v>880</v>
      </c>
      <c r="AK231" s="9" t="n">
        <f aca="false">(AK197*Assumptions!$C$38)</f>
        <v>880</v>
      </c>
      <c r="AL231" s="9" t="n">
        <f aca="false">(AL197*Assumptions!$C$38)</f>
        <v>880</v>
      </c>
      <c r="AN231" s="11" t="n">
        <f aca="false">SUM(C231:N231)</f>
        <v>1100</v>
      </c>
      <c r="AO231" s="11" t="n">
        <f aca="false">SUM(O231:Z231)</f>
        <v>4730</v>
      </c>
      <c r="AP231" s="11" t="n">
        <f aca="false">SUM(AA231:AL231)</f>
        <v>9570</v>
      </c>
    </row>
    <row r="234" customFormat="false" ht="15" hidden="false" customHeight="false" outlineLevel="0" collapsed="false">
      <c r="A234" s="21" t="s">
        <v>1020</v>
      </c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</row>
    <row r="235" customFormat="false" ht="15" hidden="false" customHeight="false" outlineLevel="0" collapsed="false">
      <c r="A235" s="0" t="s">
        <v>61</v>
      </c>
      <c r="B235" s="0" t="s">
        <v>230</v>
      </c>
      <c r="AN235" s="9" t="n">
        <f aca="false">AN146</f>
        <v>1320</v>
      </c>
      <c r="AO235" s="9" t="n">
        <f aca="false">AO146</f>
        <v>343437.133575626</v>
      </c>
      <c r="AP235" s="9" t="n">
        <f aca="false">AP146</f>
        <v>2244826.85006845</v>
      </c>
    </row>
    <row r="236" customFormat="false" ht="15" hidden="false" customHeight="false" outlineLevel="0" collapsed="false">
      <c r="A236" s="0" t="s">
        <v>62</v>
      </c>
      <c r="B236" s="0" t="s">
        <v>230</v>
      </c>
      <c r="AN236" s="9" t="n">
        <f aca="false">AN148</f>
        <v>15840</v>
      </c>
      <c r="AO236" s="9" t="n">
        <f aca="false">AO148</f>
        <v>135929.74869589</v>
      </c>
      <c r="AP236" s="9" t="n">
        <f aca="false">AP148</f>
        <v>1463532.26618784</v>
      </c>
    </row>
    <row r="237" customFormat="false" ht="15" hidden="false" customHeight="false" outlineLevel="0" collapsed="false">
      <c r="A237" s="0" t="s">
        <v>63</v>
      </c>
      <c r="B237" s="0" t="s">
        <v>193</v>
      </c>
      <c r="AN237" s="12" t="n">
        <f aca="false">IFERROR((AN223/AN146),0)</f>
        <v>-156.998768772099</v>
      </c>
      <c r="AO237" s="12" t="n">
        <f aca="false">IFERROR((AO223/AO146),0)</f>
        <v>-1.49425349977114</v>
      </c>
      <c r="AP237" s="12" t="n">
        <f aca="false">IFERROR((AP223/AP146),0)</f>
        <v>0.144021037042501</v>
      </c>
    </row>
    <row r="238" customFormat="false" ht="15" hidden="false" customHeight="false" outlineLevel="0" collapsed="false">
      <c r="A238" s="0" t="s">
        <v>64</v>
      </c>
      <c r="B238" s="0" t="s">
        <v>193</v>
      </c>
      <c r="AN238" s="12" t="n">
        <f aca="false">IFERROR((AN224/AN146),0)</f>
        <v>-157.958768772099</v>
      </c>
      <c r="AO238" s="12" t="n">
        <f aca="false">IFERROR((AO224/AO146),0)</f>
        <v>-1.69509934099352</v>
      </c>
      <c r="AP238" s="12" t="n">
        <f aca="false">IFERROR((AP224/AP146),0)</f>
        <v>0.0146902960140132</v>
      </c>
    </row>
    <row r="239" customFormat="false" ht="15" hidden="false" customHeight="false" outlineLevel="0" collapsed="false">
      <c r="A239" s="0" t="s">
        <v>65</v>
      </c>
      <c r="B239" s="0" t="s">
        <v>193</v>
      </c>
      <c r="AN239" s="12" t="n">
        <f aca="false">IFERROR(((AN42-AN179)/AN42),0)</f>
        <v>0</v>
      </c>
      <c r="AO239" s="12" t="n">
        <f aca="false">IFERROR(((AO42-AO179)/AO42),0)</f>
        <v>-4.96181896139498</v>
      </c>
      <c r="AP239" s="12" t="n">
        <f aca="false">IFERROR(((AP42-AP179)/AP42),0)</f>
        <v>-2.1356711095621</v>
      </c>
    </row>
    <row r="240" customFormat="false" ht="15" hidden="false" customHeight="false" outlineLevel="0" collapsed="false">
      <c r="A240" s="0" t="s">
        <v>66</v>
      </c>
      <c r="B240" s="0" t="s">
        <v>193</v>
      </c>
      <c r="AN240" s="12" t="n">
        <f aca="false">IFERROR(((((((AN129+AN127)+AN136)+AN137)+AN140)-AN180)/((((AN129+AN127)+AN136)+AN137)+AN140)),0)</f>
        <v>-3.25823020623205</v>
      </c>
      <c r="AO240" s="12" t="n">
        <f aca="false">IFERROR(((((((AO129+AO127)+AO136)+AO137)+AO140)-AO180)/((((AO129+AO127)+AO136)+AO137)+AO140)),0)</f>
        <v>0.361494134496508</v>
      </c>
      <c r="AP240" s="12" t="n">
        <f aca="false">IFERROR(((((((AP129+AP127)+AP136)+AP137)+AP140)-AP180)/((((AP129+AP127)+AP136)+AP137)+AP140)),0)</f>
        <v>0.659583418743472</v>
      </c>
    </row>
    <row r="241" customFormat="false" ht="15" hidden="false" customHeight="false" outlineLevel="0" collapsed="false">
      <c r="A241" s="0" t="s">
        <v>67</v>
      </c>
      <c r="B241" s="0" t="s">
        <v>193</v>
      </c>
      <c r="AN241" s="12" t="n">
        <f aca="false">IFERROR(((AN131-AN182)/AN131),0)</f>
        <v>0</v>
      </c>
      <c r="AO241" s="12" t="n">
        <f aca="false">IFERROR(((AO131-AO182)/AO131),0)</f>
        <v>-1.36306306306306</v>
      </c>
      <c r="AP241" s="12" t="n">
        <f aca="false">IFERROR(((AP131-AP182)/AP131),0)</f>
        <v>0.213777777777778</v>
      </c>
    </row>
    <row r="242" customFormat="false" ht="15" hidden="false" customHeight="false" outlineLevel="0" collapsed="false">
      <c r="A242" s="0" t="s">
        <v>68</v>
      </c>
      <c r="B242" s="0" t="s">
        <v>193</v>
      </c>
      <c r="AN242" s="12" t="n">
        <f aca="false">IFERROR(((AN131-AN230)/AN131),0)</f>
        <v>0</v>
      </c>
      <c r="AO242" s="12" t="n">
        <f aca="false">IFERROR(((AO131-AO230)/AO131),0)</f>
        <v>0.310810810810811</v>
      </c>
      <c r="AP242" s="12" t="n">
        <f aca="false">IFERROR(((AP131-AP230)/AP131),0)</f>
        <v>0.21732</v>
      </c>
    </row>
    <row r="243" customFormat="false" ht="15" hidden="false" customHeight="false" outlineLevel="0" collapsed="false">
      <c r="A243" s="0" t="s">
        <v>69</v>
      </c>
      <c r="B243" s="0" t="s">
        <v>193</v>
      </c>
      <c r="AN243" s="12" t="n">
        <f aca="false">IFERROR((AN133/AN231),0)</f>
        <v>0.404545454545455</v>
      </c>
      <c r="AO243" s="12" t="n">
        <f aca="false">IFERROR((AO133/AO231),0)</f>
        <v>0.317124735729387</v>
      </c>
      <c r="AP243" s="12" t="n">
        <f aca="false">IFERROR((AP133/AP231),0)</f>
        <v>1.08244514106583</v>
      </c>
    </row>
    <row r="244" customFormat="false" ht="15" hidden="false" customHeight="false" outlineLevel="0" collapsed="false">
      <c r="A244" s="0" t="s">
        <v>41</v>
      </c>
      <c r="B244" s="0" t="s">
        <v>230</v>
      </c>
      <c r="AN244" s="9" t="n">
        <f aca="false">AN225</f>
        <v>-2454418.97477917</v>
      </c>
      <c r="AO244" s="9" t="n">
        <f aca="false">AO225</f>
        <v>-5634046.30066341</v>
      </c>
      <c r="AP244" s="9" t="n">
        <f aca="false">AP225</f>
        <v>-5484038.80234589</v>
      </c>
    </row>
    <row r="245" customFormat="false" ht="15" hidden="false" customHeight="false" outlineLevel="0" collapsed="false">
      <c r="A245" s="0" t="s">
        <v>70</v>
      </c>
      <c r="B245" s="0" t="s">
        <v>230</v>
      </c>
      <c r="AN245" s="9" t="n">
        <f aca="false">(0-AN226)</f>
        <v>2455738.97477917</v>
      </c>
      <c r="AO245" s="9" t="n">
        <f aca="false">(0-AO226)</f>
        <v>5611294.35487619</v>
      </c>
      <c r="AP245" s="9" t="n">
        <f aca="false">(0-AP226)</f>
        <v>5530591.47450993</v>
      </c>
    </row>
    <row r="246" customFormat="false" ht="15" hidden="false" customHeight="false" outlineLevel="0" collapsed="false">
      <c r="A246" s="0" t="s">
        <v>71</v>
      </c>
      <c r="B246" s="0" t="s">
        <v>230</v>
      </c>
      <c r="AN246" s="9" t="n">
        <f aca="false">AN227</f>
        <v>-2455738.97477917</v>
      </c>
      <c r="AO246" s="9" t="n">
        <f aca="false">AO227</f>
        <v>-8067033.32965536</v>
      </c>
      <c r="AP246" s="9" t="n">
        <f aca="false">AP227</f>
        <v>-13597624.8041653</v>
      </c>
    </row>
    <row r="247" customFormat="false" ht="15" hidden="false" customHeight="false" outlineLevel="0" collapsed="false">
      <c r="A247" s="0" t="s">
        <v>72</v>
      </c>
      <c r="B247" s="0" t="s">
        <v>230</v>
      </c>
      <c r="AN247" s="9" t="n">
        <f aca="false">AN228</f>
        <v>544261.02522083</v>
      </c>
      <c r="AO247" s="9" t="n">
        <f aca="false">AO228</f>
        <v>-5067033.32965536</v>
      </c>
      <c r="AP247" s="9" t="n">
        <f aca="false">AP228</f>
        <v>-10597624.8041653</v>
      </c>
    </row>
    <row r="248" customFormat="false" ht="15" hidden="false" customHeight="false" outlineLevel="0" collapsed="false">
      <c r="A248" s="0" t="s">
        <v>73</v>
      </c>
      <c r="B248" s="0" t="s">
        <v>230</v>
      </c>
      <c r="AN248" s="9" t="n">
        <f aca="false">(AN148-0)</f>
        <v>15840</v>
      </c>
      <c r="AO248" s="9" t="n">
        <f aca="false">(AO148-AN148)</f>
        <v>120089.74869589</v>
      </c>
      <c r="AP248" s="9" t="n">
        <f aca="false">(AP148-AO148)</f>
        <v>1327602.51749196</v>
      </c>
    </row>
    <row r="249" customFormat="false" ht="15" hidden="false" customHeight="false" outlineLevel="0" collapsed="false">
      <c r="A249" s="0" t="s">
        <v>74</v>
      </c>
      <c r="B249" s="0" t="s">
        <v>160</v>
      </c>
      <c r="AN249" s="13" t="n">
        <f aca="false">IFERROR(((0-AN226)/(AN148-0)),0)</f>
        <v>155.034026185554</v>
      </c>
      <c r="AO249" s="13" t="n">
        <f aca="false">IFERROR(((0-AO226)/(AO148-AN148)),0)</f>
        <v>46.7258397641085</v>
      </c>
      <c r="AP249" s="13" t="n">
        <f aca="false">IFERROR(((0-AP226)/(AP148-AO148)),0)</f>
        <v>4.16584889049326</v>
      </c>
    </row>
    <row r="250" customFormat="false" ht="15" hidden="false" customHeight="false" outlineLevel="0" collapsed="false">
      <c r="A250" s="0" t="s">
        <v>75</v>
      </c>
      <c r="B250" s="0" t="s">
        <v>230</v>
      </c>
      <c r="AN250" s="13" t="n">
        <f aca="false">IFERROR(((AN206+(0.5*(AN194+AN207)))/AN28),0)</f>
        <v>0</v>
      </c>
      <c r="AO250" s="13" t="n">
        <f aca="false">IFERROR(((AO206+(0.5*(AO194+AO207)))/AO28),0)</f>
        <v>802.839097544607</v>
      </c>
      <c r="AP250" s="13" t="n">
        <f aca="false">IFERROR(((AP206+(0.5*(AP194+AP207)))/AP28),0)</f>
        <v>502.981242619472</v>
      </c>
    </row>
    <row r="251" customFormat="false" ht="15" hidden="false" customHeight="false" outlineLevel="0" collapsed="false">
      <c r="A251" s="0" t="s">
        <v>76</v>
      </c>
      <c r="B251" s="0" t="s">
        <v>230</v>
      </c>
      <c r="AN251" s="13" t="n">
        <f aca="false">IFERROR((((AN206+(0.5*(AN194+AN207)))+AN186)/AN28),0)</f>
        <v>0</v>
      </c>
      <c r="AO251" s="13" t="n">
        <f aca="false">IFERROR((((AO206+(0.5*(AO194+AO207)))+AO186)/AO28),0)</f>
        <v>932.4116298671</v>
      </c>
      <c r="AP251" s="13" t="n">
        <f aca="false">IFERROR((((AP206+(0.5*(AP194+AP207)))+AP186)/AP28),0)</f>
        <v>622.401245684949</v>
      </c>
    </row>
    <row r="252" customFormat="false" ht="15" hidden="false" customHeight="false" outlineLevel="0" collapsed="false">
      <c r="A252" s="0" t="s">
        <v>77</v>
      </c>
      <c r="B252" s="0" t="s">
        <v>230</v>
      </c>
      <c r="AN252" s="14" t="n">
        <f aca="false">IFERROR(((AN42/12)/((AN39*0.5)+(0*0.5))),0)</f>
        <v>0</v>
      </c>
      <c r="AO252" s="14" t="n">
        <f aca="false">IFERROR(((AO42/12)/((AO39*0.5)+(AN39*0.5))),0)</f>
        <v>4.68302738908075</v>
      </c>
      <c r="AP252" s="14" t="n">
        <f aca="false">IFERROR(((AP42/12)/((AP39*0.5)+(AO39*0.5))),0)</f>
        <v>5.71451926565239</v>
      </c>
    </row>
    <row r="253" customFormat="false" ht="15" hidden="false" customHeight="false" outlineLevel="0" collapsed="false">
      <c r="A253" s="0" t="s">
        <v>78</v>
      </c>
      <c r="B253" s="0" t="s">
        <v>193</v>
      </c>
      <c r="AN253" s="12" t="n">
        <f aca="false">IFERROR(((AN42-AN187)/AN42),0)</f>
        <v>0</v>
      </c>
      <c r="AO253" s="12" t="n">
        <f aca="false">IFERROR(((AO42-AO187)/AO42),0)</f>
        <v>0.743998714934774</v>
      </c>
      <c r="AP253" s="12" t="n">
        <f aca="false">IFERROR(((AP42-AP187)/AP42),0)</f>
        <v>0.766667731248565</v>
      </c>
    </row>
    <row r="254" customFormat="false" ht="15" hidden="false" customHeight="false" outlineLevel="0" collapsed="false">
      <c r="A254" s="0" t="s">
        <v>79</v>
      </c>
      <c r="B254" s="0" t="s">
        <v>166</v>
      </c>
      <c r="AN254" s="13" t="n">
        <f aca="false">IFERROR(((((AN206+(0.5*(AN194+AN207)))+AN186)/AN28)/(((AN42/12)/((AN39*0.5)+(0*0.5)))*((AN42-AN187)/AN42))),0)</f>
        <v>0</v>
      </c>
      <c r="AO254" s="13" t="n">
        <f aca="false">IFERROR(((((AO206+(0.5*(AO194+AO207)))+AO186)/AO28)/(((AO42/12)/((AO39*0.5)+(AN39*0.5)))*((AO42-AO187)/AO42))),0)</f>
        <v>267.613980982856</v>
      </c>
      <c r="AP254" s="13" t="n">
        <f aca="false">IFERROR(((((AP206+(0.5*(AP194+AP207)))+AP186)/AP28)/(((AP42/12)/((AP39*0.5)+(AO39*0.5)))*((AP42-AP187)/AP42))),0)</f>
        <v>142.063845921781</v>
      </c>
    </row>
    <row r="255" customFormat="false" ht="15" hidden="false" customHeight="false" outlineLevel="0" collapsed="false">
      <c r="A255" s="0" t="s">
        <v>80</v>
      </c>
      <c r="B255" s="0" t="s">
        <v>230</v>
      </c>
      <c r="AN255" s="9" t="n">
        <f aca="false">IFERROR(((AN215+(0.5*(AN194+AN207)))/AN121),0)</f>
        <v>255500.888888889</v>
      </c>
      <c r="AO255" s="9" t="n">
        <f aca="false">IFERROR(((AO215+(0.5*(AO194+AO207)))/AO121),0)</f>
        <v>274650.034946237</v>
      </c>
      <c r="AP255" s="9" t="n">
        <f aca="false">IFERROR(((AP215+(0.5*(AP194+AP207)))/AP121),0)</f>
        <v>61262.2728164868</v>
      </c>
    </row>
    <row r="256" customFormat="false" ht="15" hidden="false" customHeight="false" outlineLevel="0" collapsed="false">
      <c r="A256" s="0" t="s">
        <v>81</v>
      </c>
      <c r="B256" s="0" t="s">
        <v>230</v>
      </c>
      <c r="AN256" s="9" t="n">
        <f aca="false">IFERROR(((AN215+(0.5*(AN194+AN207)))/AN120),0)</f>
        <v>0</v>
      </c>
      <c r="AO256" s="9" t="n">
        <f aca="false">IFERROR(((AO215+(0.5*(AO194+AO207)))/AO120),0)</f>
        <v>97304.5838095238</v>
      </c>
      <c r="AP256" s="9" t="n">
        <f aca="false">IFERROR(((AP215+(0.5*(AP194+AP207)))/AP120),0)</f>
        <v>34681.2533333333</v>
      </c>
    </row>
    <row r="257" customFormat="false" ht="15" hidden="false" customHeight="false" outlineLevel="0" collapsed="false">
      <c r="A257" s="0" t="s">
        <v>82</v>
      </c>
      <c r="B257" s="0" t="s">
        <v>193</v>
      </c>
      <c r="AN257" s="12" t="n">
        <f aca="false">((1-((1-Assumptions!$C$30)*$C$6))*(1+Assumptions!$C$31))</f>
        <v>0.968</v>
      </c>
      <c r="AO257" s="12" t="n">
        <f aca="false">((1-((1-Assumptions!$C$30)*$C$6))*(1+Assumptions!$C$31))</f>
        <v>0.968</v>
      </c>
      <c r="AP257" s="12" t="n">
        <f aca="false">((1-((1-Assumptions!$C$30)*$C$6))*(1+Assumptions!$C$31))</f>
        <v>0.968</v>
      </c>
    </row>
    <row r="258" customFormat="false" ht="15" hidden="false" customHeight="false" outlineLevel="0" collapsed="false">
      <c r="A258" s="0" t="s">
        <v>83</v>
      </c>
      <c r="B258" s="0" t="s">
        <v>193</v>
      </c>
      <c r="AN258" s="12" t="n">
        <f aca="false">(1-((1-Assumptions!$C$30)*$C$6))</f>
        <v>0.88</v>
      </c>
      <c r="AO258" s="12" t="n">
        <f aca="false">(1-((1-Assumptions!$C$30)*$C$6))</f>
        <v>0.88</v>
      </c>
      <c r="AP258" s="12" t="n">
        <f aca="false">(1-((1-Assumptions!$C$30)*$C$6))</f>
        <v>0.88</v>
      </c>
    </row>
    <row r="259" customFormat="false" ht="15" hidden="false" customHeight="false" outlineLevel="0" collapsed="false">
      <c r="A259" s="0" t="s">
        <v>84</v>
      </c>
      <c r="B259" s="0" t="s">
        <v>852</v>
      </c>
      <c r="AN259" s="13" t="n">
        <f aca="false">AN122</f>
        <v>0.6</v>
      </c>
      <c r="AO259" s="13" t="n">
        <f aca="false">AO122</f>
        <v>2.918</v>
      </c>
      <c r="AP259" s="13" t="n">
        <f aca="false">AP122</f>
        <v>22.94784</v>
      </c>
    </row>
    <row r="260" customFormat="false" ht="15" hidden="false" customHeight="false" outlineLevel="0" collapsed="false">
      <c r="A260" s="0" t="s">
        <v>85</v>
      </c>
      <c r="B260" s="0" t="s">
        <v>500</v>
      </c>
      <c r="AN260" s="9" t="n">
        <f aca="false">AN39</f>
        <v>0</v>
      </c>
      <c r="AO260" s="9" t="n">
        <f aca="false">AO39</f>
        <v>255.10825156748</v>
      </c>
      <c r="AP260" s="9" t="n">
        <f aca="false">AP39</f>
        <v>718.963130165871</v>
      </c>
    </row>
    <row r="261" customFormat="false" ht="15" hidden="false" customHeight="false" outlineLevel="0" collapsed="false">
      <c r="A261" s="0" t="s">
        <v>86</v>
      </c>
      <c r="B261" s="0" t="s">
        <v>500</v>
      </c>
      <c r="AN261" s="9" t="n">
        <f aca="false">AN157</f>
        <v>3041.21574138794</v>
      </c>
      <c r="AO261" s="9" t="n">
        <f aca="false">AO157</f>
        <v>21807.1564676291</v>
      </c>
      <c r="AP261" s="9" t="n">
        <f aca="false">AP157</f>
        <v>72861.6258346625</v>
      </c>
    </row>
    <row r="262" customFormat="false" ht="15" hidden="false" customHeight="false" outlineLevel="0" collapsed="false">
      <c r="A262" s="0" t="s">
        <v>87</v>
      </c>
      <c r="B262" s="0" t="s">
        <v>230</v>
      </c>
      <c r="AN262" s="14" t="n">
        <f aca="false">IFERROR(((AN167/12)/((AN157*0.5)+(0*0.5))),0)</f>
        <v>1.50599710904444</v>
      </c>
      <c r="AO262" s="14" t="n">
        <f aca="false">IFERROR(((AO167/12)/((AO157*0.5)+(AN157*0.5))),0)</f>
        <v>0.438352957925396</v>
      </c>
      <c r="AP262" s="14" t="n">
        <f aca="false">IFERROR(((AP167/12)/((AP157*0.5)+(AO157*0.5))),0)</f>
        <v>0.309114103605273</v>
      </c>
    </row>
    <row r="263" customFormat="false" ht="15" hidden="false" customHeight="false" outlineLevel="0" collapsed="false">
      <c r="A263" s="0" t="s">
        <v>88</v>
      </c>
      <c r="B263" s="0" t="s">
        <v>193</v>
      </c>
      <c r="AN263" s="12" t="n">
        <f aca="false">IFERROR((AN167/AN146),0)</f>
        <v>20.8184641568667</v>
      </c>
      <c r="AO263" s="12" t="n">
        <f aca="false">IFERROR((AO167/AO146),0)</f>
        <v>0.190294346054841</v>
      </c>
      <c r="AP263" s="12" t="n">
        <f aca="false">IFERROR((AP167/AP146),0)</f>
        <v>0.0782157139109859</v>
      </c>
    </row>
    <row r="264" customFormat="false" ht="15" hidden="false" customHeight="false" outlineLevel="0" collapsed="false">
      <c r="A264" s="0" t="s">
        <v>89</v>
      </c>
      <c r="B264" s="0" t="s">
        <v>618</v>
      </c>
      <c r="AN264" s="13" t="n">
        <f aca="false">AN196</f>
        <v>18.4</v>
      </c>
      <c r="AO264" s="13" t="n">
        <f aca="false">AO196</f>
        <v>31.4</v>
      </c>
      <c r="AP264" s="13" t="n">
        <f aca="false">AP196</f>
        <v>40.4</v>
      </c>
    </row>
    <row r="265" customFormat="false" ht="15" hidden="false" customHeight="false" outlineLevel="0" collapsed="false">
      <c r="A265" s="0" t="s">
        <v>90</v>
      </c>
      <c r="B265" s="0" t="s">
        <v>230</v>
      </c>
      <c r="AN265" s="9" t="n">
        <f aca="false">IFERROR((AN148/AN196),0)</f>
        <v>860.869565217391</v>
      </c>
      <c r="AO265" s="9" t="n">
        <f aca="false">IFERROR((AO148/AO196),0)</f>
        <v>4328.97288840413</v>
      </c>
      <c r="AP265" s="9" t="n">
        <f aca="false">IFERROR((AP148/AP196),0)</f>
        <v>36226.0461927684</v>
      </c>
    </row>
    <row r="266" customFormat="false" ht="15" hidden="false" customHeight="false" outlineLevel="0" collapsed="false">
      <c r="A266" s="0" t="s">
        <v>91</v>
      </c>
      <c r="B266" s="0" t="s">
        <v>193</v>
      </c>
      <c r="AN266" s="12" t="n">
        <f aca="false">IFERROR((AN40/AN188),0)</f>
        <v>0</v>
      </c>
      <c r="AO266" s="12" t="n">
        <f aca="false">IFERROR((AO40/AO188),0)</f>
        <v>0.0281672406056119</v>
      </c>
      <c r="AP266" s="12" t="n">
        <f aca="false">IFERROR((AP40/AP188),0)</f>
        <v>0.0351392911435176</v>
      </c>
    </row>
    <row r="267" customFormat="false" ht="15" hidden="false" customHeight="false" outlineLevel="0" collapsed="false">
      <c r="A267" s="0" t="s">
        <v>92</v>
      </c>
      <c r="B267" s="0" t="s">
        <v>230</v>
      </c>
      <c r="AN267" s="13" t="n">
        <f aca="false">IFERROR(((((AN42/12)/((AN39*0.5)+(0*0.5)))*((AN42-AN187)/AN42))/(AN40/AN188)),0)</f>
        <v>0</v>
      </c>
      <c r="AO267" s="13" t="n">
        <f aca="false">IFERROR(((((AO42/12)/((AO39*0.5)+(AN39*0.5)))*((AO42-AO187)/AO42))/(AO40/AO188)),0)</f>
        <v>123.695693456968</v>
      </c>
      <c r="AP267" s="13" t="n">
        <f aca="false">IFERROR(((((AP42/12)/((AP39*0.5)+(AO39*0.5)))*((AP42-AP187)/AP42))/(AP40/AP188)),0)</f>
        <v>124.679166198324</v>
      </c>
    </row>
    <row r="268" customFormat="false" ht="15" hidden="false" customHeight="false" outlineLevel="0" collapsed="false">
      <c r="A268" s="0" t="s">
        <v>93</v>
      </c>
      <c r="B268" s="0" t="s">
        <v>160</v>
      </c>
      <c r="AN268" s="14" t="n">
        <f aca="false">IFERROR((((((AN42/12)/((AN39*0.5)+(0*0.5)))*((AN42-AN187)/AN42))/(AN40/AN188))/(((AN206+(0.5*(AN194+AN207)))+AN186)/AN28)),0)</f>
        <v>0</v>
      </c>
      <c r="AO268" s="14" t="n">
        <f aca="false">IFERROR((((((AO42/12)/((AO39*0.5)+(AN39*0.5)))*((AO42-AO187)/AO42))/(AO40/AO188))/(((AO206+(0.5*(AO194+AO207)))+AO186)/AO28)),0)</f>
        <v>0.132662109195912</v>
      </c>
      <c r="AP268" s="14" t="n">
        <f aca="false">IFERROR((((((AP42/12)/((AP39*0.5)+(AO39*0.5)))*((AP42-AP187)/AP42))/(AP40/AP188))/(((AP206+(0.5*(AP194+AP207)))+AP186)/AP28)),0)</f>
        <v>0.200319596181263</v>
      </c>
    </row>
    <row r="269" customFormat="false" ht="15" hidden="false" customHeight="false" outlineLevel="0" collapsed="false">
      <c r="A269" s="0" t="s">
        <v>94</v>
      </c>
      <c r="B269" s="0" t="s">
        <v>230</v>
      </c>
      <c r="AN269" s="9" t="n">
        <f aca="false">AN186</f>
        <v>3481.4412051703</v>
      </c>
      <c r="AO269" s="9" t="n">
        <f aca="false">AO186</f>
        <v>36765.9756966124</v>
      </c>
      <c r="AP269" s="9" t="n">
        <f aca="false">AP186</f>
        <v>78480.6244616909</v>
      </c>
    </row>
    <row r="270" customFormat="false" ht="15" hidden="false" customHeight="false" outlineLevel="0" collapsed="false">
      <c r="A270" s="0" t="s">
        <v>95</v>
      </c>
      <c r="B270" s="0" t="s">
        <v>193</v>
      </c>
      <c r="AN270" s="12" t="n">
        <f aca="false">IFERROR((AN186/AN42),0)</f>
        <v>0</v>
      </c>
      <c r="AO270" s="12" t="n">
        <f aca="false">IFERROR((AO186/AO42),0)</f>
        <v>5.12912922959238</v>
      </c>
      <c r="AP270" s="12" t="n">
        <f aca="false">IFERROR((AP186/AP42),0)</f>
        <v>2.34985310587131</v>
      </c>
    </row>
    <row r="271" customFormat="false" ht="15" hidden="false" customHeight="false" outlineLevel="0" collapsed="false">
      <c r="A271" s="0" t="s">
        <v>96</v>
      </c>
      <c r="B271" s="0" t="s">
        <v>193</v>
      </c>
      <c r="AN271" s="12" t="n">
        <f aca="false">IFERROR((AN39/(AN39+AN29)),0)</f>
        <v>0</v>
      </c>
      <c r="AO271" s="12" t="n">
        <f aca="false">IFERROR((AO39/(AO39+AO29)),0)</f>
        <v>0.015220024230149</v>
      </c>
      <c r="AP271" s="12" t="n">
        <f aca="false">IFERROR((AP39/(AP39+AP29)),0)</f>
        <v>0.0256710552405258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3" topLeftCell="C24" activePane="bottomRight" state="frozen"/>
      <selection pane="topLeft" activeCell="A1" activeCellId="0" sqref="A1"/>
      <selection pane="topRight" activeCell="C1" activeCellId="0" sqref="C1"/>
      <selection pane="bottomLeft" activeCell="A24" activeCellId="0" sqref="A2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9"/>
    <col collapsed="false" customWidth="true" hidden="false" outlineLevel="0" max="38" min="3" style="0" width="11"/>
    <col collapsed="false" customWidth="true" hidden="false" outlineLevel="0" max="39" min="39" style="0" width="3"/>
    <col collapsed="false" customWidth="true" hidden="false" outlineLevel="0" max="42" min="40" style="0" width="14"/>
  </cols>
  <sheetData>
    <row r="1" customFormat="false" ht="16.15" hidden="false" customHeight="false" outlineLevel="0" collapsed="false">
      <c r="A1" s="18" t="s">
        <v>1026</v>
      </c>
    </row>
    <row r="2" customFormat="false" ht="15" hidden="false" customHeight="false" outlineLevel="0" collapsed="false">
      <c r="A2" s="0" t="s">
        <v>781</v>
      </c>
    </row>
    <row r="3" customFormat="false" ht="15" hidden="false" customHeight="false" outlineLevel="0" collapsed="false">
      <c r="A3" s="15" t="s">
        <v>782</v>
      </c>
    </row>
    <row r="4" customFormat="false" ht="15" hidden="false" customHeight="false" outlineLevel="0" collapsed="false">
      <c r="A4" s="0" t="s">
        <v>159</v>
      </c>
      <c r="B4" s="0" t="s">
        <v>160</v>
      </c>
      <c r="C4" s="0" t="n">
        <f aca="false">Scenarios!I4</f>
        <v>1</v>
      </c>
    </row>
    <row r="5" customFormat="false" ht="15" hidden="false" customHeight="false" outlineLevel="0" collapsed="false">
      <c r="A5" s="0" t="s">
        <v>161</v>
      </c>
      <c r="B5" s="0" t="s">
        <v>160</v>
      </c>
      <c r="C5" s="0" t="n">
        <f aca="false">Scenarios!I5</f>
        <v>1</v>
      </c>
    </row>
    <row r="6" customFormat="false" ht="15" hidden="false" customHeight="false" outlineLevel="0" collapsed="false">
      <c r="A6" s="0" t="s">
        <v>162</v>
      </c>
      <c r="B6" s="0" t="s">
        <v>160</v>
      </c>
      <c r="C6" s="0" t="n">
        <f aca="false">Scenarios!I6</f>
        <v>1</v>
      </c>
    </row>
    <row r="7" customFormat="false" ht="15" hidden="false" customHeight="false" outlineLevel="0" collapsed="false">
      <c r="A7" s="0" t="s">
        <v>163</v>
      </c>
      <c r="B7" s="0" t="s">
        <v>160</v>
      </c>
      <c r="C7" s="0" t="n">
        <f aca="false">Scenarios!I7</f>
        <v>1</v>
      </c>
    </row>
    <row r="8" customFormat="false" ht="15" hidden="false" customHeight="false" outlineLevel="0" collapsed="false">
      <c r="A8" s="0" t="s">
        <v>164</v>
      </c>
      <c r="B8" s="0" t="s">
        <v>160</v>
      </c>
      <c r="C8" s="0" t="n">
        <f aca="false">Scenarios!I8</f>
        <v>0.9</v>
      </c>
    </row>
    <row r="9" customFormat="false" ht="15" hidden="false" customHeight="false" outlineLevel="0" collapsed="false">
      <c r="A9" s="0" t="s">
        <v>165</v>
      </c>
      <c r="B9" s="0" t="s">
        <v>166</v>
      </c>
      <c r="C9" s="0" t="n">
        <f aca="false">Scenarios!I9</f>
        <v>6</v>
      </c>
    </row>
    <row r="10" customFormat="false" ht="15" hidden="false" customHeight="false" outlineLevel="0" collapsed="false">
      <c r="A10" s="0" t="s">
        <v>168</v>
      </c>
      <c r="B10" s="0" t="s">
        <v>160</v>
      </c>
      <c r="C10" s="0" t="n">
        <f aca="false">Scenarios!I10</f>
        <v>1</v>
      </c>
    </row>
    <row r="11" customFormat="false" ht="15" hidden="false" customHeight="false" outlineLevel="0" collapsed="false">
      <c r="A11" s="0" t="s">
        <v>169</v>
      </c>
      <c r="B11" s="0" t="s">
        <v>160</v>
      </c>
      <c r="C11" s="0" t="n">
        <f aca="false">Scenarios!I11</f>
        <v>1</v>
      </c>
    </row>
    <row r="12" customFormat="false" ht="15" hidden="false" customHeight="false" outlineLevel="0" collapsed="false">
      <c r="A12" s="0" t="s">
        <v>170</v>
      </c>
      <c r="B12" s="0" t="s">
        <v>160</v>
      </c>
      <c r="C12" s="0" t="n">
        <f aca="false">Scenarios!I12</f>
        <v>1</v>
      </c>
    </row>
    <row r="13" customFormat="false" ht="15" hidden="false" customHeight="false" outlineLevel="0" collapsed="false">
      <c r="A13" s="0" t="s">
        <v>171</v>
      </c>
      <c r="B13" s="0" t="s">
        <v>160</v>
      </c>
      <c r="C13" s="0" t="n">
        <f aca="false">Scenarios!I13</f>
        <v>1</v>
      </c>
    </row>
    <row r="14" customFormat="false" ht="15" hidden="false" customHeight="false" outlineLevel="0" collapsed="false">
      <c r="A14" s="0" t="s">
        <v>172</v>
      </c>
      <c r="B14" s="0" t="s">
        <v>173</v>
      </c>
      <c r="C14" s="0" t="n">
        <f aca="false">Scenarios!I14</f>
        <v>0</v>
      </c>
    </row>
    <row r="15" customFormat="false" ht="15" hidden="false" customHeight="false" outlineLevel="0" collapsed="false">
      <c r="A15" s="0" t="s">
        <v>174</v>
      </c>
      <c r="B15" s="0" t="s">
        <v>166</v>
      </c>
      <c r="C15" s="0" t="n">
        <f aca="false">Scenarios!I15</f>
        <v>6</v>
      </c>
    </row>
    <row r="16" customFormat="false" ht="15" hidden="false" customHeight="false" outlineLevel="0" collapsed="false">
      <c r="A16" s="0" t="s">
        <v>176</v>
      </c>
      <c r="B16" s="0" t="s">
        <v>173</v>
      </c>
      <c r="C16" s="0" t="n">
        <f aca="false">Scenarios!I16</f>
        <v>0</v>
      </c>
    </row>
    <row r="18" customFormat="false" ht="15" hidden="false" customHeight="false" outlineLevel="0" collapsed="false">
      <c r="A18" s="8" t="s">
        <v>98</v>
      </c>
      <c r="B18" s="8"/>
      <c r="C18" s="8" t="n">
        <v>1</v>
      </c>
      <c r="D18" s="8" t="n">
        <v>2</v>
      </c>
      <c r="E18" s="8" t="n">
        <v>3</v>
      </c>
      <c r="F18" s="8" t="n">
        <v>4</v>
      </c>
      <c r="G18" s="8" t="n">
        <v>5</v>
      </c>
      <c r="H18" s="8" t="n">
        <v>6</v>
      </c>
      <c r="I18" s="8" t="n">
        <v>7</v>
      </c>
      <c r="J18" s="8" t="n">
        <v>8</v>
      </c>
      <c r="K18" s="8" t="n">
        <v>9</v>
      </c>
      <c r="L18" s="8" t="n">
        <v>10</v>
      </c>
      <c r="M18" s="8" t="n">
        <v>11</v>
      </c>
      <c r="N18" s="8" t="n">
        <v>12</v>
      </c>
      <c r="O18" s="8" t="n">
        <v>13</v>
      </c>
      <c r="P18" s="8" t="n">
        <v>14</v>
      </c>
      <c r="Q18" s="8" t="n">
        <v>15</v>
      </c>
      <c r="R18" s="8" t="n">
        <v>16</v>
      </c>
      <c r="S18" s="8" t="n">
        <v>17</v>
      </c>
      <c r="T18" s="8" t="n">
        <v>18</v>
      </c>
      <c r="U18" s="8" t="n">
        <v>19</v>
      </c>
      <c r="V18" s="8" t="n">
        <v>20</v>
      </c>
      <c r="W18" s="8" t="n">
        <v>21</v>
      </c>
      <c r="X18" s="8" t="n">
        <v>22</v>
      </c>
      <c r="Y18" s="8" t="n">
        <v>23</v>
      </c>
      <c r="Z18" s="8" t="n">
        <v>24</v>
      </c>
      <c r="AA18" s="8" t="n">
        <v>25</v>
      </c>
      <c r="AB18" s="8" t="n">
        <v>26</v>
      </c>
      <c r="AC18" s="8" t="n">
        <v>27</v>
      </c>
      <c r="AD18" s="8" t="n">
        <v>28</v>
      </c>
      <c r="AE18" s="8" t="n">
        <v>29</v>
      </c>
      <c r="AF18" s="8" t="n">
        <v>30</v>
      </c>
      <c r="AG18" s="8" t="n">
        <v>31</v>
      </c>
      <c r="AH18" s="8" t="n">
        <v>32</v>
      </c>
      <c r="AI18" s="8" t="n">
        <v>33</v>
      </c>
      <c r="AJ18" s="8" t="n">
        <v>34</v>
      </c>
      <c r="AK18" s="8" t="n">
        <v>35</v>
      </c>
      <c r="AL18" s="8" t="n">
        <v>36</v>
      </c>
      <c r="AM18" s="8"/>
      <c r="AN18" s="8" t="s">
        <v>783</v>
      </c>
      <c r="AO18" s="8" t="s">
        <v>784</v>
      </c>
      <c r="AP18" s="8" t="s">
        <v>785</v>
      </c>
    </row>
    <row r="19" customFormat="false" ht="15" hidden="false" customHeight="false" outlineLevel="0" collapsed="false">
      <c r="A19" s="0" t="s">
        <v>786</v>
      </c>
      <c r="C19" s="0" t="s">
        <v>787</v>
      </c>
      <c r="D19" s="0" t="s">
        <v>788</v>
      </c>
      <c r="E19" s="0" t="s">
        <v>789</v>
      </c>
      <c r="F19" s="0" t="s">
        <v>790</v>
      </c>
      <c r="G19" s="0" t="s">
        <v>791</v>
      </c>
      <c r="H19" s="0" t="s">
        <v>792</v>
      </c>
      <c r="I19" s="0" t="s">
        <v>793</v>
      </c>
      <c r="J19" s="0" t="s">
        <v>794</v>
      </c>
      <c r="K19" s="0" t="s">
        <v>795</v>
      </c>
      <c r="L19" s="0" t="s">
        <v>796</v>
      </c>
      <c r="M19" s="0" t="s">
        <v>797</v>
      </c>
      <c r="N19" s="0" t="s">
        <v>798</v>
      </c>
      <c r="O19" s="0" t="s">
        <v>799</v>
      </c>
      <c r="P19" s="0" t="s">
        <v>800</v>
      </c>
      <c r="Q19" s="0" t="s">
        <v>801</v>
      </c>
      <c r="R19" s="0" t="s">
        <v>802</v>
      </c>
      <c r="S19" s="0" t="s">
        <v>803</v>
      </c>
      <c r="T19" s="0" t="s">
        <v>804</v>
      </c>
      <c r="U19" s="0" t="s">
        <v>805</v>
      </c>
      <c r="V19" s="0" t="s">
        <v>806</v>
      </c>
      <c r="W19" s="0" t="s">
        <v>807</v>
      </c>
      <c r="X19" s="0" t="s">
        <v>808</v>
      </c>
      <c r="Y19" s="0" t="s">
        <v>809</v>
      </c>
      <c r="Z19" s="0" t="s">
        <v>810</v>
      </c>
      <c r="AA19" s="0" t="s">
        <v>811</v>
      </c>
      <c r="AB19" s="0" t="s">
        <v>812</v>
      </c>
      <c r="AC19" s="0" t="s">
        <v>813</v>
      </c>
      <c r="AD19" s="0" t="s">
        <v>814</v>
      </c>
      <c r="AE19" s="0" t="s">
        <v>815</v>
      </c>
      <c r="AF19" s="0" t="s">
        <v>816</v>
      </c>
      <c r="AG19" s="0" t="s">
        <v>817</v>
      </c>
      <c r="AH19" s="0" t="s">
        <v>818</v>
      </c>
      <c r="AI19" s="0" t="s">
        <v>819</v>
      </c>
      <c r="AJ19" s="0" t="s">
        <v>820</v>
      </c>
      <c r="AK19" s="0" t="s">
        <v>821</v>
      </c>
      <c r="AL19" s="0" t="s">
        <v>822</v>
      </c>
      <c r="AN19" s="0" t="s">
        <v>823</v>
      </c>
      <c r="AO19" s="0" t="s">
        <v>824</v>
      </c>
      <c r="AP19" s="0" t="s">
        <v>825</v>
      </c>
    </row>
    <row r="20" customFormat="false" ht="15" hidden="false" customHeight="false" outlineLevel="0" collapsed="false">
      <c r="A20" s="0" t="s">
        <v>826</v>
      </c>
      <c r="C20" s="0" t="n">
        <f aca="false">INT((C18-1)/12)+1</f>
        <v>1</v>
      </c>
      <c r="D20" s="0" t="n">
        <f aca="false">INT((D18-1)/12)+1</f>
        <v>1</v>
      </c>
      <c r="E20" s="0" t="n">
        <f aca="false">INT((E18-1)/12)+1</f>
        <v>1</v>
      </c>
      <c r="F20" s="0" t="n">
        <f aca="false">INT((F18-1)/12)+1</f>
        <v>1</v>
      </c>
      <c r="G20" s="0" t="n">
        <f aca="false">INT((G18-1)/12)+1</f>
        <v>1</v>
      </c>
      <c r="H20" s="0" t="n">
        <f aca="false">INT((H18-1)/12)+1</f>
        <v>1</v>
      </c>
      <c r="I20" s="0" t="n">
        <f aca="false">INT((I18-1)/12)+1</f>
        <v>1</v>
      </c>
      <c r="J20" s="0" t="n">
        <f aca="false">INT((J18-1)/12)+1</f>
        <v>1</v>
      </c>
      <c r="K20" s="0" t="n">
        <f aca="false">INT((K18-1)/12)+1</f>
        <v>1</v>
      </c>
      <c r="L20" s="0" t="n">
        <f aca="false">INT((L18-1)/12)+1</f>
        <v>1</v>
      </c>
      <c r="M20" s="0" t="n">
        <f aca="false">INT((M18-1)/12)+1</f>
        <v>1</v>
      </c>
      <c r="N20" s="0" t="n">
        <f aca="false">INT((N18-1)/12)+1</f>
        <v>1</v>
      </c>
      <c r="O20" s="0" t="n">
        <f aca="false">INT((O18-1)/12)+1</f>
        <v>2</v>
      </c>
      <c r="P20" s="0" t="n">
        <f aca="false">INT((P18-1)/12)+1</f>
        <v>2</v>
      </c>
      <c r="Q20" s="0" t="n">
        <f aca="false">INT((Q18-1)/12)+1</f>
        <v>2</v>
      </c>
      <c r="R20" s="0" t="n">
        <f aca="false">INT((R18-1)/12)+1</f>
        <v>2</v>
      </c>
      <c r="S20" s="0" t="n">
        <f aca="false">INT((S18-1)/12)+1</f>
        <v>2</v>
      </c>
      <c r="T20" s="0" t="n">
        <f aca="false">INT((T18-1)/12)+1</f>
        <v>2</v>
      </c>
      <c r="U20" s="0" t="n">
        <f aca="false">INT((U18-1)/12)+1</f>
        <v>2</v>
      </c>
      <c r="V20" s="0" t="n">
        <f aca="false">INT((V18-1)/12)+1</f>
        <v>2</v>
      </c>
      <c r="W20" s="0" t="n">
        <f aca="false">INT((W18-1)/12)+1</f>
        <v>2</v>
      </c>
      <c r="X20" s="0" t="n">
        <f aca="false">INT((X18-1)/12)+1</f>
        <v>2</v>
      </c>
      <c r="Y20" s="0" t="n">
        <f aca="false">INT((Y18-1)/12)+1</f>
        <v>2</v>
      </c>
      <c r="Z20" s="0" t="n">
        <f aca="false">INT((Z18-1)/12)+1</f>
        <v>2</v>
      </c>
      <c r="AA20" s="0" t="n">
        <f aca="false">INT((AA18-1)/12)+1</f>
        <v>3</v>
      </c>
      <c r="AB20" s="0" t="n">
        <f aca="false">INT((AB18-1)/12)+1</f>
        <v>3</v>
      </c>
      <c r="AC20" s="0" t="n">
        <f aca="false">INT((AC18-1)/12)+1</f>
        <v>3</v>
      </c>
      <c r="AD20" s="0" t="n">
        <f aca="false">INT((AD18-1)/12)+1</f>
        <v>3</v>
      </c>
      <c r="AE20" s="0" t="n">
        <f aca="false">INT((AE18-1)/12)+1</f>
        <v>3</v>
      </c>
      <c r="AF20" s="0" t="n">
        <f aca="false">INT((AF18-1)/12)+1</f>
        <v>3</v>
      </c>
      <c r="AG20" s="0" t="n">
        <f aca="false">INT((AG18-1)/12)+1</f>
        <v>3</v>
      </c>
      <c r="AH20" s="0" t="n">
        <f aca="false">INT((AH18-1)/12)+1</f>
        <v>3</v>
      </c>
      <c r="AI20" s="0" t="n">
        <f aca="false">INT((AI18-1)/12)+1</f>
        <v>3</v>
      </c>
      <c r="AJ20" s="0" t="n">
        <f aca="false">INT((AJ18-1)/12)+1</f>
        <v>3</v>
      </c>
      <c r="AK20" s="0" t="n">
        <f aca="false">INT((AK18-1)/12)+1</f>
        <v>3</v>
      </c>
      <c r="AL20" s="0" t="n">
        <f aca="false">INT((AL18-1)/12)+1</f>
        <v>3</v>
      </c>
    </row>
    <row r="21" customFormat="false" ht="15" hidden="false" customHeight="false" outlineLevel="0" collapsed="false">
      <c r="A21" s="0" t="s">
        <v>827</v>
      </c>
      <c r="C21" s="0" t="n">
        <f aca="false">MOD(C18-1,12)+1</f>
        <v>1</v>
      </c>
      <c r="D21" s="0" t="n">
        <f aca="false">MOD(D18-1,12)+1</f>
        <v>2</v>
      </c>
      <c r="E21" s="0" t="n">
        <f aca="false">MOD(E18-1,12)+1</f>
        <v>3</v>
      </c>
      <c r="F21" s="0" t="n">
        <f aca="false">MOD(F18-1,12)+1</f>
        <v>4</v>
      </c>
      <c r="G21" s="0" t="n">
        <f aca="false">MOD(G18-1,12)+1</f>
        <v>5</v>
      </c>
      <c r="H21" s="0" t="n">
        <f aca="false">MOD(H18-1,12)+1</f>
        <v>6</v>
      </c>
      <c r="I21" s="0" t="n">
        <f aca="false">MOD(I18-1,12)+1</f>
        <v>7</v>
      </c>
      <c r="J21" s="0" t="n">
        <f aca="false">MOD(J18-1,12)+1</f>
        <v>8</v>
      </c>
      <c r="K21" s="0" t="n">
        <f aca="false">MOD(K18-1,12)+1</f>
        <v>9</v>
      </c>
      <c r="L21" s="0" t="n">
        <f aca="false">MOD(L18-1,12)+1</f>
        <v>10</v>
      </c>
      <c r="M21" s="0" t="n">
        <f aca="false">MOD(M18-1,12)+1</f>
        <v>11</v>
      </c>
      <c r="N21" s="0" t="n">
        <f aca="false">MOD(N18-1,12)+1</f>
        <v>12</v>
      </c>
      <c r="O21" s="0" t="n">
        <f aca="false">MOD(O18-1,12)+1</f>
        <v>1</v>
      </c>
      <c r="P21" s="0" t="n">
        <f aca="false">MOD(P18-1,12)+1</f>
        <v>2</v>
      </c>
      <c r="Q21" s="0" t="n">
        <f aca="false">MOD(Q18-1,12)+1</f>
        <v>3</v>
      </c>
      <c r="R21" s="0" t="n">
        <f aca="false">MOD(R18-1,12)+1</f>
        <v>4</v>
      </c>
      <c r="S21" s="0" t="n">
        <f aca="false">MOD(S18-1,12)+1</f>
        <v>5</v>
      </c>
      <c r="T21" s="0" t="n">
        <f aca="false">MOD(T18-1,12)+1</f>
        <v>6</v>
      </c>
      <c r="U21" s="0" t="n">
        <f aca="false">MOD(U18-1,12)+1</f>
        <v>7</v>
      </c>
      <c r="V21" s="0" t="n">
        <f aca="false">MOD(V18-1,12)+1</f>
        <v>8</v>
      </c>
      <c r="W21" s="0" t="n">
        <f aca="false">MOD(W18-1,12)+1</f>
        <v>9</v>
      </c>
      <c r="X21" s="0" t="n">
        <f aca="false">MOD(X18-1,12)+1</f>
        <v>10</v>
      </c>
      <c r="Y21" s="0" t="n">
        <f aca="false">MOD(Y18-1,12)+1</f>
        <v>11</v>
      </c>
      <c r="Z21" s="0" t="n">
        <f aca="false">MOD(Z18-1,12)+1</f>
        <v>12</v>
      </c>
      <c r="AA21" s="0" t="n">
        <f aca="false">MOD(AA18-1,12)+1</f>
        <v>1</v>
      </c>
      <c r="AB21" s="0" t="n">
        <f aca="false">MOD(AB18-1,12)+1</f>
        <v>2</v>
      </c>
      <c r="AC21" s="0" t="n">
        <f aca="false">MOD(AC18-1,12)+1</f>
        <v>3</v>
      </c>
      <c r="AD21" s="0" t="n">
        <f aca="false">MOD(AD18-1,12)+1</f>
        <v>4</v>
      </c>
      <c r="AE21" s="0" t="n">
        <f aca="false">MOD(AE18-1,12)+1</f>
        <v>5</v>
      </c>
      <c r="AF21" s="0" t="n">
        <f aca="false">MOD(AF18-1,12)+1</f>
        <v>6</v>
      </c>
      <c r="AG21" s="0" t="n">
        <f aca="false">MOD(AG18-1,12)+1</f>
        <v>7</v>
      </c>
      <c r="AH21" s="0" t="n">
        <f aca="false">MOD(AH18-1,12)+1</f>
        <v>8</v>
      </c>
      <c r="AI21" s="0" t="n">
        <f aca="false">MOD(AI18-1,12)+1</f>
        <v>9</v>
      </c>
      <c r="AJ21" s="0" t="n">
        <f aca="false">MOD(AJ18-1,12)+1</f>
        <v>10</v>
      </c>
      <c r="AK21" s="0" t="n">
        <f aca="false">MOD(AK18-1,12)+1</f>
        <v>11</v>
      </c>
      <c r="AL21" s="0" t="n">
        <f aca="false">MOD(AL18-1,12)+1</f>
        <v>12</v>
      </c>
    </row>
    <row r="23" customFormat="false" ht="15" hidden="false" customHeight="false" outlineLevel="0" collapsed="false">
      <c r="A23" s="21" t="s">
        <v>828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</row>
    <row r="24" customFormat="false" ht="15" hidden="false" customHeight="false" outlineLevel="0" collapsed="false">
      <c r="A24" s="0" t="s">
        <v>829</v>
      </c>
      <c r="B24" s="0" t="s">
        <v>500</v>
      </c>
      <c r="C24" s="9" t="n">
        <f aca="false">IF((C$18=1),Assumptions!$C$16,(0*(1+Assumptions!$C$133)))</f>
        <v>1200</v>
      </c>
      <c r="D24" s="9" t="n">
        <f aca="false">IF((D$18=1),Assumptions!$C$16,(C24*(1+Assumptions!$C$133)))</f>
        <v>1272</v>
      </c>
      <c r="E24" s="9" t="n">
        <f aca="false">IF((E$18=1),Assumptions!$C$16,(D24*(1+Assumptions!$C$133)))</f>
        <v>1348.32</v>
      </c>
      <c r="F24" s="9" t="n">
        <f aca="false">IF((F$18=1),Assumptions!$C$16,(E24*(1+Assumptions!$C$133)))</f>
        <v>1429.2192</v>
      </c>
      <c r="G24" s="9" t="n">
        <f aca="false">IF((G$18=1),Assumptions!$C$16,(F24*(1+Assumptions!$C$133)))</f>
        <v>1514.972352</v>
      </c>
      <c r="H24" s="9" t="n">
        <f aca="false">IF((H$18=1),Assumptions!$C$16,(G24*(1+Assumptions!$C$133)))</f>
        <v>1605.87069312</v>
      </c>
      <c r="I24" s="9" t="n">
        <f aca="false">IF((I$18=1),Assumptions!$C$16,(H24*(1+Assumptions!$C$133)))</f>
        <v>1702.2229347072</v>
      </c>
      <c r="J24" s="9" t="n">
        <f aca="false">IF((J$18=1),Assumptions!$C$16,(I24*(1+Assumptions!$C$133)))</f>
        <v>1804.35631078963</v>
      </c>
      <c r="K24" s="9" t="n">
        <f aca="false">IF((K$18=1),Assumptions!$C$16,(J24*(1+Assumptions!$C$133)))</f>
        <v>1912.61768943701</v>
      </c>
      <c r="L24" s="9" t="n">
        <f aca="false">IF((L$18=1),Assumptions!$C$16,(K24*(1+Assumptions!$C$133)))</f>
        <v>2027.37475080323</v>
      </c>
      <c r="M24" s="9" t="n">
        <f aca="false">IF((M$18=1),Assumptions!$C$16,(L24*(1+Assumptions!$C$133)))</f>
        <v>2149.01723585143</v>
      </c>
      <c r="N24" s="9" t="n">
        <f aca="false">IF((N$18=1),Assumptions!$C$16,(M24*(1+Assumptions!$C$133)))</f>
        <v>2277.95827000251</v>
      </c>
      <c r="O24" s="9" t="n">
        <f aca="false">IF((O$18=1),Assumptions!$C$16,(N24*(1+Assumptions!$D$133)))</f>
        <v>2369.07660080261</v>
      </c>
      <c r="P24" s="9" t="n">
        <f aca="false">IF((P$18=1),Assumptions!$C$16,(O24*(1+Assumptions!$D$133)))</f>
        <v>2463.83966483472</v>
      </c>
      <c r="Q24" s="9" t="n">
        <f aca="false">IF((Q$18=1),Assumptions!$C$16,(P24*(1+Assumptions!$D$133)))</f>
        <v>2562.39325142811</v>
      </c>
      <c r="R24" s="9" t="n">
        <f aca="false">IF((R$18=1),Assumptions!$C$16,(Q24*(1+Assumptions!$D$133)))</f>
        <v>2664.88898148523</v>
      </c>
      <c r="S24" s="9" t="n">
        <f aca="false">IF((S$18=1),Assumptions!$C$16,(R24*(1+Assumptions!$D$133)))</f>
        <v>2771.48454074464</v>
      </c>
      <c r="T24" s="9" t="n">
        <f aca="false">IF((T$18=1),Assumptions!$C$16,(S24*(1+Assumptions!$D$133)))</f>
        <v>2882.34392237442</v>
      </c>
      <c r="U24" s="9" t="n">
        <f aca="false">IF((U$18=1),Assumptions!$C$16,(T24*(1+Assumptions!$D$133)))</f>
        <v>2997.6376792694</v>
      </c>
      <c r="V24" s="9" t="n">
        <f aca="false">IF((V$18=1),Assumptions!$C$16,(U24*(1+Assumptions!$D$133)))</f>
        <v>3117.54318644018</v>
      </c>
      <c r="W24" s="9" t="n">
        <f aca="false">IF((W$18=1),Assumptions!$C$16,(V24*(1+Assumptions!$D$133)))</f>
        <v>3242.24491389778</v>
      </c>
      <c r="X24" s="9" t="n">
        <f aca="false">IF((X$18=1),Assumptions!$C$16,(W24*(1+Assumptions!$D$133)))</f>
        <v>3371.9347104537</v>
      </c>
      <c r="Y24" s="9" t="n">
        <f aca="false">IF((Y$18=1),Assumptions!$C$16,(X24*(1+Assumptions!$D$133)))</f>
        <v>3506.81209887184</v>
      </c>
      <c r="Z24" s="9" t="n">
        <f aca="false">IF((Z$18=1),Assumptions!$C$16,(Y24*(1+Assumptions!$D$133)))</f>
        <v>3647.08458282672</v>
      </c>
      <c r="AA24" s="9" t="n">
        <f aca="false">IF((AA$18=1),Assumptions!$C$16,(Z24*(1+Assumptions!$E$133)))</f>
        <v>3738.26169739739</v>
      </c>
      <c r="AB24" s="9" t="n">
        <f aca="false">IF((AB$18=1),Assumptions!$C$16,(AA24*(1+Assumptions!$E$133)))</f>
        <v>3831.71823983232</v>
      </c>
      <c r="AC24" s="9" t="n">
        <f aca="false">IF((AC$18=1),Assumptions!$C$16,(AB24*(1+Assumptions!$E$133)))</f>
        <v>3927.51119582813</v>
      </c>
      <c r="AD24" s="9" t="n">
        <f aca="false">IF((AD$18=1),Assumptions!$C$16,(AC24*(1+Assumptions!$E$133)))</f>
        <v>4025.69897572383</v>
      </c>
      <c r="AE24" s="9" t="n">
        <f aca="false">IF((AE$18=1),Assumptions!$C$16,(AD24*(1+Assumptions!$E$133)))</f>
        <v>4126.34145011693</v>
      </c>
      <c r="AF24" s="9" t="n">
        <f aca="false">IF((AF$18=1),Assumptions!$C$16,(AE24*(1+Assumptions!$E$133)))</f>
        <v>4229.49998636985</v>
      </c>
      <c r="AG24" s="9" t="n">
        <f aca="false">IF((AG$18=1),Assumptions!$C$16,(AF24*(1+Assumptions!$E$133)))</f>
        <v>4335.2374860291</v>
      </c>
      <c r="AH24" s="9" t="n">
        <f aca="false">IF((AH$18=1),Assumptions!$C$16,(AG24*(1+Assumptions!$E$133)))</f>
        <v>4443.61842317982</v>
      </c>
      <c r="AI24" s="9" t="n">
        <f aca="false">IF((AI$18=1),Assumptions!$C$16,(AH24*(1+Assumptions!$E$133)))</f>
        <v>4554.70888375932</v>
      </c>
      <c r="AJ24" s="9" t="n">
        <f aca="false">IF((AJ$18=1),Assumptions!$C$16,(AI24*(1+Assumptions!$E$133)))</f>
        <v>4668.5766058533</v>
      </c>
      <c r="AK24" s="9" t="n">
        <f aca="false">IF((AK$18=1),Assumptions!$C$16,(AJ24*(1+Assumptions!$E$133)))</f>
        <v>4785.29102099963</v>
      </c>
      <c r="AL24" s="9" t="n">
        <f aca="false">IF((AL$18=1),Assumptions!$C$16,(AK24*(1+Assumptions!$E$133)))</f>
        <v>4904.92329652462</v>
      </c>
    </row>
    <row r="25" customFormat="false" ht="15" hidden="false" customHeight="false" outlineLevel="0" collapsed="false">
      <c r="A25" s="0" t="s">
        <v>830</v>
      </c>
      <c r="B25" s="0" t="s">
        <v>500</v>
      </c>
      <c r="C25" s="9" t="n">
        <f aca="false">(((C24*INDEX(Assumptions!$C$167:$C$178,C$21))*$C$4)*IF((C$18&lt;Assumptions!$C$5),Assumptions!$C$6,1))</f>
        <v>390</v>
      </c>
      <c r="D25" s="9" t="n">
        <f aca="false">(((D24*INDEX(Assumptions!$C$167:$C$178,D$21))*$C$4)*IF((D$18&lt;Assumptions!$C$5),Assumptions!$C$6,1))</f>
        <v>349.8</v>
      </c>
      <c r="E25" s="9" t="n">
        <f aca="false">(((E24*INDEX(Assumptions!$C$167:$C$178,E$21))*$C$4)*IF((E$18&lt;Assumptions!$C$5),Assumptions!$C$6,1))</f>
        <v>303.372</v>
      </c>
      <c r="F25" s="9" t="n">
        <f aca="false">(((F24*INDEX(Assumptions!$C$167:$C$178,F$21))*$C$4)*IF((F$18&lt;Assumptions!$C$5),Assumptions!$C$6,1))</f>
        <v>285.84384</v>
      </c>
      <c r="G25" s="9" t="n">
        <f aca="false">(((G24*INDEX(Assumptions!$C$167:$C$178,G$21))*$C$4)*IF((G$18&lt;Assumptions!$C$5),Assumptions!$C$6,1))</f>
        <v>227.2458528</v>
      </c>
      <c r="H25" s="9" t="n">
        <f aca="false">(((H24*INDEX(Assumptions!$C$167:$C$178,H$21))*$C$4)*IF((H$18&lt;Assumptions!$C$5),Assumptions!$C$6,1))</f>
        <v>200.73383664</v>
      </c>
      <c r="I25" s="9" t="n">
        <f aca="false">(((I24*INDEX(Assumptions!$C$167:$C$178,I$21))*$C$4)*IF((I$18&lt;Assumptions!$C$5),Assumptions!$C$6,1))</f>
        <v>297.88901357376</v>
      </c>
      <c r="J25" s="9" t="n">
        <f aca="false">(((J24*INDEX(Assumptions!$C$167:$C$178,J$21))*$C$4)*IF((J$18&lt;Assumptions!$C$5),Assumptions!$C$6,1))</f>
        <v>721.742524315853</v>
      </c>
      <c r="K25" s="9" t="n">
        <f aca="false">(((K24*INDEX(Assumptions!$C$167:$C$178,K$21))*$C$4)*IF((K$18&lt;Assumptions!$C$5),Assumptions!$C$6,1))</f>
        <v>860.677960246655</v>
      </c>
      <c r="L25" s="9" t="n">
        <f aca="false">(((L24*INDEX(Assumptions!$C$167:$C$178,L$21))*$C$4)*IF((L$18&lt;Assumptions!$C$5),Assumptions!$C$6,1))</f>
        <v>557.528056470889</v>
      </c>
      <c r="M25" s="9" t="n">
        <f aca="false">(((M24*INDEX(Assumptions!$C$167:$C$178,M$21))*$C$4)*IF((M$18&lt;Assumptions!$C$5),Assumptions!$C$6,1))</f>
        <v>483.528878066571</v>
      </c>
      <c r="N25" s="9" t="n">
        <f aca="false">(((N24*INDEX(Assumptions!$C$167:$C$178,N$21))*$C$4)*IF((N$18&lt;Assumptions!$C$5),Assumptions!$C$6,1))</f>
        <v>398.642697250439</v>
      </c>
      <c r="O25" s="9" t="n">
        <f aca="false">(((O24*INDEX(Assumptions!$C$167:$C$178,O$21))*$C$4)*IF((O$18&lt;Assumptions!$C$5),Assumptions!$C$6,1))</f>
        <v>3079.7995810434</v>
      </c>
      <c r="P25" s="9" t="n">
        <f aca="false">(((P24*INDEX(Assumptions!$C$167:$C$178,P$21))*$C$4)*IF((P$18&lt;Assumptions!$C$5),Assumptions!$C$6,1))</f>
        <v>2710.22363131819</v>
      </c>
      <c r="Q25" s="9" t="n">
        <f aca="false">(((Q24*INDEX(Assumptions!$C$167:$C$178,Q$21))*$C$4)*IF((Q$18&lt;Assumptions!$C$5),Assumptions!$C$6,1))</f>
        <v>2306.1539262853</v>
      </c>
      <c r="R25" s="9" t="n">
        <f aca="false">(((R24*INDEX(Assumptions!$C$167:$C$178,R$21))*$C$4)*IF((R$18&lt;Assumptions!$C$5),Assumptions!$C$6,1))</f>
        <v>2131.91118518818</v>
      </c>
      <c r="S25" s="9" t="n">
        <f aca="false">(((S24*INDEX(Assumptions!$C$167:$C$178,S$21))*$C$4)*IF((S$18&lt;Assumptions!$C$5),Assumptions!$C$6,1))</f>
        <v>1662.89072444678</v>
      </c>
      <c r="T25" s="9" t="n">
        <f aca="false">(((T24*INDEX(Assumptions!$C$167:$C$178,T$21))*$C$4)*IF((T$18&lt;Assumptions!$C$5),Assumptions!$C$6,1))</f>
        <v>1441.17196118721</v>
      </c>
      <c r="U25" s="9" t="n">
        <f aca="false">(((U24*INDEX(Assumptions!$C$167:$C$178,U$21))*$C$4)*IF((U$18&lt;Assumptions!$C$5),Assumptions!$C$6,1))</f>
        <v>2098.34637548858</v>
      </c>
      <c r="V25" s="9" t="n">
        <f aca="false">(((V24*INDEX(Assumptions!$C$167:$C$178,V$21))*$C$4)*IF((V$18&lt;Assumptions!$C$5),Assumptions!$C$6,1))</f>
        <v>4988.06909830428</v>
      </c>
      <c r="W25" s="9" t="n">
        <f aca="false">(((W24*INDEX(Assumptions!$C$167:$C$178,W$21))*$C$4)*IF((W$18&lt;Assumptions!$C$5),Assumptions!$C$6,1))</f>
        <v>5836.04084501601</v>
      </c>
      <c r="X25" s="9" t="n">
        <f aca="false">(((X24*INDEX(Assumptions!$C$167:$C$178,X$21))*$C$4)*IF((X$18&lt;Assumptions!$C$5),Assumptions!$C$6,1))</f>
        <v>3709.12818149907</v>
      </c>
      <c r="Y25" s="9" t="n">
        <f aca="false">(((Y24*INDEX(Assumptions!$C$167:$C$178,Y$21))*$C$4)*IF((Y$18&lt;Assumptions!$C$5),Assumptions!$C$6,1))</f>
        <v>3156.13088898466</v>
      </c>
      <c r="Z25" s="9" t="n">
        <f aca="false">(((Z24*INDEX(Assumptions!$C$167:$C$178,Z$21))*$C$4)*IF((Z$18&lt;Assumptions!$C$5),Assumptions!$C$6,1))</f>
        <v>2552.9592079787</v>
      </c>
      <c r="AA25" s="9" t="n">
        <f aca="false">(((AA24*INDEX(Assumptions!$C$167:$C$178,AA$21))*$C$4)*IF((AA$18&lt;Assumptions!$C$5),Assumptions!$C$6,1))</f>
        <v>4859.7402066166</v>
      </c>
      <c r="AB25" s="9" t="n">
        <f aca="false">(((AB24*INDEX(Assumptions!$C$167:$C$178,AB$21))*$C$4)*IF((AB$18&lt;Assumptions!$C$5),Assumptions!$C$6,1))</f>
        <v>4214.89006381555</v>
      </c>
      <c r="AC25" s="9" t="n">
        <f aca="false">(((AC24*INDEX(Assumptions!$C$167:$C$178,AC$21))*$C$4)*IF((AC$18&lt;Assumptions!$C$5),Assumptions!$C$6,1))</f>
        <v>3534.76007624531</v>
      </c>
      <c r="AD25" s="9" t="n">
        <f aca="false">(((AD24*INDEX(Assumptions!$C$167:$C$178,AD$21))*$C$4)*IF((AD$18&lt;Assumptions!$C$5),Assumptions!$C$6,1))</f>
        <v>3220.55918057906</v>
      </c>
      <c r="AE25" s="9" t="n">
        <f aca="false">(((AE24*INDEX(Assumptions!$C$167:$C$178,AE$21))*$C$4)*IF((AE$18&lt;Assumptions!$C$5),Assumptions!$C$6,1))</f>
        <v>2475.80487007016</v>
      </c>
      <c r="AF25" s="9" t="n">
        <f aca="false">(((AF24*INDEX(Assumptions!$C$167:$C$178,AF$21))*$C$4)*IF((AF$18&lt;Assumptions!$C$5),Assumptions!$C$6,1))</f>
        <v>2114.74999318492</v>
      </c>
      <c r="AG25" s="9" t="n">
        <f aca="false">(((AG24*INDEX(Assumptions!$C$167:$C$178,AG$21))*$C$4)*IF((AG$18&lt;Assumptions!$C$5),Assumptions!$C$6,1))</f>
        <v>3034.66624022037</v>
      </c>
      <c r="AH25" s="9" t="n">
        <f aca="false">(((AH24*INDEX(Assumptions!$C$167:$C$178,AH$21))*$C$4)*IF((AH$18&lt;Assumptions!$C$5),Assumptions!$C$6,1))</f>
        <v>7109.78947708772</v>
      </c>
      <c r="AI25" s="9" t="n">
        <f aca="false">(((AI24*INDEX(Assumptions!$C$167:$C$178,AI$21))*$C$4)*IF((AI$18&lt;Assumptions!$C$5),Assumptions!$C$6,1))</f>
        <v>8198.47599076677</v>
      </c>
      <c r="AJ25" s="9" t="n">
        <f aca="false">(((AJ24*INDEX(Assumptions!$C$167:$C$178,AJ$21))*$C$4)*IF((AJ$18&lt;Assumptions!$C$5),Assumptions!$C$6,1))</f>
        <v>5135.43426643863</v>
      </c>
      <c r="AK25" s="9" t="n">
        <f aca="false">(((AK24*INDEX(Assumptions!$C$167:$C$178,AK$21))*$C$4)*IF((AK$18&lt;Assumptions!$C$5),Assumptions!$C$6,1))</f>
        <v>4306.76191889967</v>
      </c>
      <c r="AL25" s="9" t="n">
        <f aca="false">(((AL24*INDEX(Assumptions!$C$167:$C$178,AL$21))*$C$4)*IF((AL$18&lt;Assumptions!$C$5),Assumptions!$C$6,1))</f>
        <v>3433.44630756723</v>
      </c>
      <c r="AN25" s="11" t="n">
        <f aca="false">SUM(C25:N25)</f>
        <v>5077.00465936417</v>
      </c>
      <c r="AO25" s="11" t="n">
        <f aca="false">SUM(O25:Z25)</f>
        <v>35672.8256067404</v>
      </c>
      <c r="AP25" s="11" t="n">
        <f aca="false">SUM(AA25:AL25)</f>
        <v>51639.078591492</v>
      </c>
    </row>
    <row r="26" customFormat="false" ht="15" hidden="false" customHeight="false" outlineLevel="0" collapsed="false">
      <c r="A26" s="0" t="s">
        <v>831</v>
      </c>
      <c r="B26" s="0" t="s">
        <v>500</v>
      </c>
      <c r="C26" s="9" t="n">
        <f aca="false">IF((C$18&gt;=Assumptions!$C$5),(Assumptions!$C$134/(Assumptions!$C$17*$C$11)),0)</f>
        <v>0</v>
      </c>
      <c r="D26" s="9" t="n">
        <f aca="false">IF((D$18&gt;=Assumptions!$C$5),(Assumptions!$C$134/(Assumptions!$C$17*$C$11)),0)</f>
        <v>0</v>
      </c>
      <c r="E26" s="9" t="n">
        <f aca="false">IF((E$18&gt;=Assumptions!$C$5),(Assumptions!$C$134/(Assumptions!$C$17*$C$11)),0)</f>
        <v>0</v>
      </c>
      <c r="F26" s="9" t="n">
        <f aca="false">IF((F$18&gt;=Assumptions!$C$5),(Assumptions!$C$134/(Assumptions!$C$17*$C$11)),0)</f>
        <v>0</v>
      </c>
      <c r="G26" s="9" t="n">
        <f aca="false">IF((G$18&gt;=Assumptions!$C$5),(Assumptions!$C$134/(Assumptions!$C$17*$C$11)),0)</f>
        <v>0</v>
      </c>
      <c r="H26" s="9" t="n">
        <f aca="false">IF((H$18&gt;=Assumptions!$C$5),(Assumptions!$C$134/(Assumptions!$C$17*$C$11)),0)</f>
        <v>0</v>
      </c>
      <c r="I26" s="9" t="n">
        <f aca="false">IF((I$18&gt;=Assumptions!$C$5),(Assumptions!$C$134/(Assumptions!$C$17*$C$11)),0)</f>
        <v>0</v>
      </c>
      <c r="J26" s="9" t="n">
        <f aca="false">IF((J$18&gt;=Assumptions!$C$5),(Assumptions!$C$134/(Assumptions!$C$17*$C$11)),0)</f>
        <v>0</v>
      </c>
      <c r="K26" s="9" t="n">
        <f aca="false">IF((K$18&gt;=Assumptions!$C$5),(Assumptions!$C$134/(Assumptions!$C$17*$C$11)),0)</f>
        <v>0</v>
      </c>
      <c r="L26" s="9" t="n">
        <f aca="false">IF((L$18&gt;=Assumptions!$C$5),(Assumptions!$C$134/(Assumptions!$C$17*$C$11)),0)</f>
        <v>0</v>
      </c>
      <c r="M26" s="9" t="n">
        <f aca="false">IF((M$18&gt;=Assumptions!$C$5),(Assumptions!$C$134/(Assumptions!$C$17*$C$11)),0)</f>
        <v>0</v>
      </c>
      <c r="N26" s="9" t="n">
        <f aca="false">IF((N$18&gt;=Assumptions!$C$5),(Assumptions!$C$134/(Assumptions!$C$17*$C$11)),0)</f>
        <v>0</v>
      </c>
      <c r="O26" s="9" t="n">
        <f aca="false">IF((O$18&gt;=Assumptions!$C$5),(Assumptions!$D$134/(Assumptions!$C$17*$C$11)),0)</f>
        <v>1000</v>
      </c>
      <c r="P26" s="9" t="n">
        <f aca="false">IF((P$18&gt;=Assumptions!$C$5),(Assumptions!$D$134/(Assumptions!$C$17*$C$11)),0)</f>
        <v>1000</v>
      </c>
      <c r="Q26" s="9" t="n">
        <f aca="false">IF((Q$18&gt;=Assumptions!$C$5),(Assumptions!$D$134/(Assumptions!$C$17*$C$11)),0)</f>
        <v>1000</v>
      </c>
      <c r="R26" s="9" t="n">
        <f aca="false">IF((R$18&gt;=Assumptions!$C$5),(Assumptions!$D$134/(Assumptions!$C$17*$C$11)),0)</f>
        <v>1000</v>
      </c>
      <c r="S26" s="9" t="n">
        <f aca="false">IF((S$18&gt;=Assumptions!$C$5),(Assumptions!$D$134/(Assumptions!$C$17*$C$11)),0)</f>
        <v>1000</v>
      </c>
      <c r="T26" s="9" t="n">
        <f aca="false">IF((T$18&gt;=Assumptions!$C$5),(Assumptions!$D$134/(Assumptions!$C$17*$C$11)),0)</f>
        <v>1000</v>
      </c>
      <c r="U26" s="9" t="n">
        <f aca="false">IF((U$18&gt;=Assumptions!$C$5),(Assumptions!$D$134/(Assumptions!$C$17*$C$11)),0)</f>
        <v>1000</v>
      </c>
      <c r="V26" s="9" t="n">
        <f aca="false">IF((V$18&gt;=Assumptions!$C$5),(Assumptions!$D$134/(Assumptions!$C$17*$C$11)),0)</f>
        <v>1000</v>
      </c>
      <c r="W26" s="9" t="n">
        <f aca="false">IF((W$18&gt;=Assumptions!$C$5),(Assumptions!$D$134/(Assumptions!$C$17*$C$11)),0)</f>
        <v>1000</v>
      </c>
      <c r="X26" s="9" t="n">
        <f aca="false">IF((X$18&gt;=Assumptions!$C$5),(Assumptions!$D$134/(Assumptions!$C$17*$C$11)),0)</f>
        <v>1000</v>
      </c>
      <c r="Y26" s="9" t="n">
        <f aca="false">IF((Y$18&gt;=Assumptions!$C$5),(Assumptions!$D$134/(Assumptions!$C$17*$C$11)),0)</f>
        <v>1000</v>
      </c>
      <c r="Z26" s="9" t="n">
        <f aca="false">IF((Z$18&gt;=Assumptions!$C$5),(Assumptions!$D$134/(Assumptions!$C$17*$C$11)),0)</f>
        <v>1000</v>
      </c>
      <c r="AA26" s="9" t="n">
        <f aca="false">IF((AA$18&gt;=Assumptions!$C$5),(Assumptions!$E$134/(Assumptions!$C$17*$C$11)),0)</f>
        <v>1666.66666666667</v>
      </c>
      <c r="AB26" s="9" t="n">
        <f aca="false">IF((AB$18&gt;=Assumptions!$C$5),(Assumptions!$E$134/(Assumptions!$C$17*$C$11)),0)</f>
        <v>1666.66666666667</v>
      </c>
      <c r="AC26" s="9" t="n">
        <f aca="false">IF((AC$18&gt;=Assumptions!$C$5),(Assumptions!$E$134/(Assumptions!$C$17*$C$11)),0)</f>
        <v>1666.66666666667</v>
      </c>
      <c r="AD26" s="9" t="n">
        <f aca="false">IF((AD$18&gt;=Assumptions!$C$5),(Assumptions!$E$134/(Assumptions!$C$17*$C$11)),0)</f>
        <v>1666.66666666667</v>
      </c>
      <c r="AE26" s="9" t="n">
        <f aca="false">IF((AE$18&gt;=Assumptions!$C$5),(Assumptions!$E$134/(Assumptions!$C$17*$C$11)),0)</f>
        <v>1666.66666666667</v>
      </c>
      <c r="AF26" s="9" t="n">
        <f aca="false">IF((AF$18&gt;=Assumptions!$C$5),(Assumptions!$E$134/(Assumptions!$C$17*$C$11)),0)</f>
        <v>1666.66666666667</v>
      </c>
      <c r="AG26" s="9" t="n">
        <f aca="false">IF((AG$18&gt;=Assumptions!$C$5),(Assumptions!$E$134/(Assumptions!$C$17*$C$11)),0)</f>
        <v>1666.66666666667</v>
      </c>
      <c r="AH26" s="9" t="n">
        <f aca="false">IF((AH$18&gt;=Assumptions!$C$5),(Assumptions!$E$134/(Assumptions!$C$17*$C$11)),0)</f>
        <v>1666.66666666667</v>
      </c>
      <c r="AI26" s="9" t="n">
        <f aca="false">IF((AI$18&gt;=Assumptions!$C$5),(Assumptions!$E$134/(Assumptions!$C$17*$C$11)),0)</f>
        <v>1666.66666666667</v>
      </c>
      <c r="AJ26" s="9" t="n">
        <f aca="false">IF((AJ$18&gt;=Assumptions!$C$5),(Assumptions!$E$134/(Assumptions!$C$17*$C$11)),0)</f>
        <v>1666.66666666667</v>
      </c>
      <c r="AK26" s="9" t="n">
        <f aca="false">IF((AK$18&gt;=Assumptions!$C$5),(Assumptions!$E$134/(Assumptions!$C$17*$C$11)),0)</f>
        <v>1666.66666666667</v>
      </c>
      <c r="AL26" s="9" t="n">
        <f aca="false">IF((AL$18&gt;=Assumptions!$C$5),(Assumptions!$E$134/(Assumptions!$C$17*$C$11)),0)</f>
        <v>1666.66666666667</v>
      </c>
      <c r="AN26" s="11" t="n">
        <f aca="false">SUM(C26:N26)</f>
        <v>0</v>
      </c>
      <c r="AO26" s="11" t="n">
        <f aca="false">SUM(O26:Z26)</f>
        <v>12000</v>
      </c>
      <c r="AP26" s="11" t="n">
        <f aca="false">SUM(AA26:AL26)</f>
        <v>20000</v>
      </c>
    </row>
    <row r="27" customFormat="false" ht="15" hidden="false" customHeight="false" outlineLevel="0" collapsed="false">
      <c r="A27" s="0" t="s">
        <v>832</v>
      </c>
      <c r="B27" s="0" t="s">
        <v>500</v>
      </c>
      <c r="C27" s="9" t="n">
        <f aca="false">((C25+C26)*Assumptions!$C$18)</f>
        <v>234</v>
      </c>
      <c r="D27" s="9" t="n">
        <f aca="false">((D25+D26)*Assumptions!$C$18)</f>
        <v>209.88</v>
      </c>
      <c r="E27" s="9" t="n">
        <f aca="false">((E25+E26)*Assumptions!$C$18)</f>
        <v>182.0232</v>
      </c>
      <c r="F27" s="9" t="n">
        <f aca="false">((F25+F26)*Assumptions!$C$18)</f>
        <v>171.506304</v>
      </c>
      <c r="G27" s="9" t="n">
        <f aca="false">((G25+G26)*Assumptions!$C$18)</f>
        <v>136.34751168</v>
      </c>
      <c r="H27" s="9" t="n">
        <f aca="false">((H25+H26)*Assumptions!$C$18)</f>
        <v>120.440301984</v>
      </c>
      <c r="I27" s="9" t="n">
        <f aca="false">((I25+I26)*Assumptions!$C$18)</f>
        <v>178.733408144256</v>
      </c>
      <c r="J27" s="9" t="n">
        <f aca="false">((J25+J26)*Assumptions!$C$18)</f>
        <v>433.045514589512</v>
      </c>
      <c r="K27" s="9" t="n">
        <f aca="false">((K25+K26)*Assumptions!$C$18)</f>
        <v>516.406776147993</v>
      </c>
      <c r="L27" s="9" t="n">
        <f aca="false">((L25+L26)*Assumptions!$C$18)</f>
        <v>334.516833882533</v>
      </c>
      <c r="M27" s="9" t="n">
        <f aca="false">((M25+M26)*Assumptions!$C$18)</f>
        <v>290.117326839942</v>
      </c>
      <c r="N27" s="9" t="n">
        <f aca="false">((N25+N26)*Assumptions!$C$18)</f>
        <v>239.185618350264</v>
      </c>
      <c r="O27" s="9" t="n">
        <f aca="false">((O25+O26)*Assumptions!$C$18)</f>
        <v>2447.87974862604</v>
      </c>
      <c r="P27" s="9" t="n">
        <f aca="false">((P25+P26)*Assumptions!$C$18)</f>
        <v>2226.13417879091</v>
      </c>
      <c r="Q27" s="9" t="n">
        <f aca="false">((Q25+Q26)*Assumptions!$C$18)</f>
        <v>1983.69235577118</v>
      </c>
      <c r="R27" s="9" t="n">
        <f aca="false">((R25+R26)*Assumptions!$C$18)</f>
        <v>1879.14671111291</v>
      </c>
      <c r="S27" s="9" t="n">
        <f aca="false">((S25+S26)*Assumptions!$C$18)</f>
        <v>1597.73443466807</v>
      </c>
      <c r="T27" s="9" t="n">
        <f aca="false">((T25+T26)*Assumptions!$C$18)</f>
        <v>1464.70317671233</v>
      </c>
      <c r="U27" s="9" t="n">
        <f aca="false">((U25+U26)*Assumptions!$C$18)</f>
        <v>1859.00782529315</v>
      </c>
      <c r="V27" s="9" t="n">
        <f aca="false">((V25+V26)*Assumptions!$C$18)</f>
        <v>3592.84145898257</v>
      </c>
      <c r="W27" s="9" t="n">
        <f aca="false">((W25+W26)*Assumptions!$C$18)</f>
        <v>4101.62450700961</v>
      </c>
      <c r="X27" s="9" t="n">
        <f aca="false">((X25+X26)*Assumptions!$C$18)</f>
        <v>2825.47690889944</v>
      </c>
      <c r="Y27" s="9" t="n">
        <f aca="false">((Y25+Y26)*Assumptions!$C$18)</f>
        <v>2493.6785333908</v>
      </c>
      <c r="Z27" s="9" t="n">
        <f aca="false">((Z25+Z26)*Assumptions!$C$18)</f>
        <v>2131.77552478722</v>
      </c>
      <c r="AA27" s="9" t="n">
        <f aca="false">((AA25+AA26)*Assumptions!$C$18)</f>
        <v>3915.84412396996</v>
      </c>
      <c r="AB27" s="9" t="n">
        <f aca="false">((AB25+AB26)*Assumptions!$C$18)</f>
        <v>3528.93403828933</v>
      </c>
      <c r="AC27" s="9" t="n">
        <f aca="false">((AC25+AC26)*Assumptions!$C$18)</f>
        <v>3120.85604574719</v>
      </c>
      <c r="AD27" s="9" t="n">
        <f aca="false">((AD25+AD26)*Assumptions!$C$18)</f>
        <v>2932.33550834744</v>
      </c>
      <c r="AE27" s="9" t="n">
        <f aca="false">((AE25+AE26)*Assumptions!$C$18)</f>
        <v>2485.48292204209</v>
      </c>
      <c r="AF27" s="9" t="n">
        <f aca="false">((AF25+AF26)*Assumptions!$C$18)</f>
        <v>2268.84999591095</v>
      </c>
      <c r="AG27" s="9" t="n">
        <f aca="false">((AG25+AG26)*Assumptions!$C$18)</f>
        <v>2820.79974413222</v>
      </c>
      <c r="AH27" s="9" t="n">
        <f aca="false">((AH25+AH26)*Assumptions!$C$18)</f>
        <v>5265.87368625263</v>
      </c>
      <c r="AI27" s="9" t="n">
        <f aca="false">((AI25+AI26)*Assumptions!$C$18)</f>
        <v>5919.08559446006</v>
      </c>
      <c r="AJ27" s="9" t="n">
        <f aca="false">((AJ25+AJ26)*Assumptions!$C$18)</f>
        <v>4081.26055986318</v>
      </c>
      <c r="AK27" s="9" t="n">
        <f aca="false">((AK25+AK26)*Assumptions!$C$18)</f>
        <v>3584.0571513398</v>
      </c>
      <c r="AL27" s="9" t="n">
        <f aca="false">((AL25+AL26)*Assumptions!$C$18)</f>
        <v>3060.06778454034</v>
      </c>
      <c r="AN27" s="11" t="n">
        <f aca="false">SUM(C27:N27)</f>
        <v>3046.2027956185</v>
      </c>
      <c r="AO27" s="11" t="n">
        <f aca="false">SUM(O27:Z27)</f>
        <v>28603.6953640442</v>
      </c>
      <c r="AP27" s="11" t="n">
        <f aca="false">SUM(AA27:AL27)</f>
        <v>42983.4471548952</v>
      </c>
    </row>
    <row r="28" customFormat="false" ht="15" hidden="false" customHeight="false" outlineLevel="0" collapsed="false">
      <c r="A28" s="0" t="s">
        <v>833</v>
      </c>
      <c r="B28" s="0" t="s">
        <v>500</v>
      </c>
      <c r="C28" s="9" t="n">
        <f aca="false">IF((C$18&gt;=Assumptions!$C$5),((Assumptions!$C$20*$C$5)*0),0)</f>
        <v>0</v>
      </c>
      <c r="D28" s="9" t="n">
        <f aca="false">IF((D$18&gt;=Assumptions!$C$5),((Assumptions!$C$20*$C$5)*C29),0)</f>
        <v>0</v>
      </c>
      <c r="E28" s="9" t="n">
        <f aca="false">IF((E$18&gt;=Assumptions!$C$5),((Assumptions!$C$20*$C$5)*D29),0)</f>
        <v>0</v>
      </c>
      <c r="F28" s="9" t="n">
        <f aca="false">IF((F$18&gt;=Assumptions!$C$5),((Assumptions!$C$20*$C$5)*E29),0)</f>
        <v>0</v>
      </c>
      <c r="G28" s="9" t="n">
        <f aca="false">IF((G$18&gt;=Assumptions!$C$5),((Assumptions!$C$20*$C$5)*F29),0)</f>
        <v>0</v>
      </c>
      <c r="H28" s="9" t="n">
        <f aca="false">IF((H$18&gt;=Assumptions!$C$5),((Assumptions!$C$20*$C$5)*G29),0)</f>
        <v>0</v>
      </c>
      <c r="I28" s="9" t="n">
        <f aca="false">IF((I$18&gt;=Assumptions!$C$5),((Assumptions!$C$20*$C$5)*H29),0)</f>
        <v>0</v>
      </c>
      <c r="J28" s="9" t="n">
        <f aca="false">IF((J$18&gt;=Assumptions!$C$5),((Assumptions!$C$20*$C$5)*I29),0)</f>
        <v>0</v>
      </c>
      <c r="K28" s="9" t="n">
        <f aca="false">IF((K$18&gt;=Assumptions!$C$5),((Assumptions!$C$20*$C$5)*J29),0)</f>
        <v>0</v>
      </c>
      <c r="L28" s="9" t="n">
        <f aca="false">IF((L$18&gt;=Assumptions!$C$5),((Assumptions!$C$20*$C$5)*K29),0)</f>
        <v>0</v>
      </c>
      <c r="M28" s="9" t="n">
        <f aca="false">IF((M$18&gt;=Assumptions!$C$5),((Assumptions!$C$20*$C$5)*L29),0)</f>
        <v>0</v>
      </c>
      <c r="N28" s="9" t="n">
        <f aca="false">IF((N$18&gt;=Assumptions!$C$5),((Assumptions!$C$20*$C$5)*M29),0)</f>
        <v>0</v>
      </c>
      <c r="O28" s="9" t="n">
        <f aca="false">IF((O$18&gt;=Assumptions!$C$5),((Assumptions!$C$20*$C$5)*N29),0)</f>
        <v>4.51553935346985</v>
      </c>
      <c r="P28" s="9" t="n">
        <f aca="false">IF((P$18&gt;=Assumptions!$C$5),((Assumptions!$C$20*$C$5)*O29),0)</f>
        <v>10.0820851542349</v>
      </c>
      <c r="Q28" s="9" t="n">
        <f aca="false">IF((Q$18&gt;=Assumptions!$C$5),((Assumptions!$C$20*$C$5)*P29),0)</f>
        <v>14.4123651698184</v>
      </c>
      <c r="R28" s="9" t="n">
        <f aca="false">IF((R$18&gt;=Assumptions!$C$5),((Assumptions!$C$20*$C$5)*Q29),0)</f>
        <v>17.6060813259436</v>
      </c>
      <c r="S28" s="9" t="n">
        <f aca="false">IF((S$18&gt;=Assumptions!$C$5),((Assumptions!$C$20*$C$5)*R29),0)</f>
        <v>20.1472031412978</v>
      </c>
      <c r="T28" s="9" t="n">
        <f aca="false">IF((T$18&gt;=Assumptions!$C$5),((Assumptions!$C$20*$C$5)*S29),0)</f>
        <v>21.673506843159</v>
      </c>
      <c r="U28" s="9" t="n">
        <f aca="false">IF((U$18&gt;=Assumptions!$C$5),((Assumptions!$C$20*$C$5)*T29),0)</f>
        <v>22.6802601966528</v>
      </c>
      <c r="V28" s="9" t="n">
        <f aca="false">IF((V$18&gt;=Assumptions!$C$5),((Assumptions!$C$20*$C$5)*U29),0)</f>
        <v>24.5494478857957</v>
      </c>
      <c r="W28" s="9" t="n">
        <f aca="false">IF((W$18&gt;=Assumptions!$C$5),((Assumptions!$C$20*$C$5)*V29),0)</f>
        <v>30.5242441672422</v>
      </c>
      <c r="X28" s="9" t="n">
        <f aca="false">IF((X$18&gt;=Assumptions!$C$5),((Assumptions!$C$20*$C$5)*W29),0)</f>
        <v>37.039085524279</v>
      </c>
      <c r="Y28" s="9" t="n">
        <f aca="false">IF((Y$18&gt;=Assumptions!$C$5),((Assumptions!$C$20*$C$5)*X29),0)</f>
        <v>39.5654898198034</v>
      </c>
      <c r="Z28" s="9" t="n">
        <f aca="false">IF((Z$18&gt;=Assumptions!$C$5),((Assumptions!$C$20*$C$5)*Y29),0)</f>
        <v>40.9529136503545</v>
      </c>
      <c r="AA28" s="9" t="n">
        <f aca="false">IF((AA$18&gt;=Assumptions!$C$5),((Assumptions!$C$20*$C$5)*Z29),0)</f>
        <v>41.2656205401541</v>
      </c>
      <c r="AB28" s="9" t="n">
        <f aca="false">IF((AB$18&gt;=Assumptions!$C$5),((Assumptions!$C$20*$C$5)*AA29),0)</f>
        <v>46.0001923339102</v>
      </c>
      <c r="AC28" s="9" t="n">
        <f aca="false">IF((AC$18&gt;=Assumptions!$C$5),((Assumptions!$C$20*$C$5)*AB29),0)</f>
        <v>49.1875038687295</v>
      </c>
      <c r="AD28" s="9" t="n">
        <f aca="false">IF((AD$18&gt;=Assumptions!$C$5),((Assumptions!$C$20*$C$5)*AC29),0)</f>
        <v>50.9641747591781</v>
      </c>
      <c r="AE28" s="9" t="n">
        <f aca="false">IF((AE$18&gt;=Assumptions!$C$5),((Assumptions!$C$20*$C$5)*AD29),0)</f>
        <v>52.0519021220474</v>
      </c>
      <c r="AF28" s="9" t="n">
        <f aca="false">IF((AF$18&gt;=Assumptions!$C$5),((Assumptions!$C$20*$C$5)*AE29),0)</f>
        <v>51.8892514172018</v>
      </c>
      <c r="AG28" s="9" t="n">
        <f aca="false">IF((AG$18&gt;=Assumptions!$C$5),((Assumptions!$C$20*$C$5)*AF29),0)</f>
        <v>51.204943108372</v>
      </c>
      <c r="AH28" s="9" t="n">
        <f aca="false">IF((AH$18&gt;=Assumptions!$C$5),((Assumptions!$C$20*$C$5)*AG29),0)</f>
        <v>51.984336937927</v>
      </c>
      <c r="AI28" s="9" t="n">
        <f aca="false">IF((AI$18&gt;=Assumptions!$C$5),((Assumptions!$C$20*$C$5)*AH29),0)</f>
        <v>58.7809398786625</v>
      </c>
      <c r="AJ28" s="9" t="n">
        <f aca="false">IF((AJ$18&gt;=Assumptions!$C$5),((Assumptions!$C$20*$C$5)*AI29),0)</f>
        <v>66.3779887296765</v>
      </c>
      <c r="AK28" s="9" t="n">
        <f aca="false">IF((AK$18&gt;=Assumptions!$C$5),((Assumptions!$C$20*$C$5)*AJ29),0)</f>
        <v>68.4498365099491</v>
      </c>
      <c r="AL28" s="9" t="n">
        <f aca="false">IF((AL$18&gt;=Assumptions!$C$5),((Assumptions!$C$20*$C$5)*AK29),0)</f>
        <v>69.0248744158298</v>
      </c>
      <c r="AN28" s="11" t="n">
        <f aca="false">SUM(C28:N28)</f>
        <v>0</v>
      </c>
      <c r="AO28" s="11" t="n">
        <f aca="false">SUM(O28:Z28)</f>
        <v>283.748222232051</v>
      </c>
      <c r="AP28" s="11" t="n">
        <f aca="false">SUM(AA28:AL28)</f>
        <v>657.181564621638</v>
      </c>
    </row>
    <row r="29" customFormat="false" ht="15" hidden="false" customHeight="false" outlineLevel="0" collapsed="false">
      <c r="A29" s="0" t="s">
        <v>834</v>
      </c>
      <c r="B29" s="0" t="s">
        <v>500</v>
      </c>
      <c r="C29" s="9" t="n">
        <f aca="false">MAX(0,(((0*(1-Assumptions!$C$19))+C27)-C28))</f>
        <v>234</v>
      </c>
      <c r="D29" s="9" t="n">
        <f aca="false">MAX(0,(((C29*(1-Assumptions!$C$19))+D27)-D28))</f>
        <v>415.8</v>
      </c>
      <c r="E29" s="9" t="n">
        <f aca="false">MAX(0,(((D29*(1-Assumptions!$C$19))+E27)-E28))</f>
        <v>547.9272</v>
      </c>
      <c r="F29" s="9" t="n">
        <f aca="false">MAX(0,(((E29*(1-Assumptions!$C$19))+F27)-F28))</f>
        <v>653.68224</v>
      </c>
      <c r="G29" s="9" t="n">
        <f aca="false">MAX(0,(((F29*(1-Assumptions!$C$19))+G27)-G28))</f>
        <v>711.58788288</v>
      </c>
      <c r="H29" s="9" t="n">
        <f aca="false">MAX(0,(((G29*(1-Assumptions!$C$19))+H27)-H28))</f>
        <v>746.6376389184</v>
      </c>
      <c r="I29" s="9" t="n">
        <f aca="false">MAX(0,(((H29*(1-Assumptions!$C$19))+I27)-I28))</f>
        <v>835.774530392448</v>
      </c>
      <c r="J29" s="9" t="n">
        <f aca="false">MAX(0,(((I29*(1-Assumptions!$C$19))+J27)-J28))</f>
        <v>1168.52710133487</v>
      </c>
      <c r="K29" s="9" t="n">
        <f aca="false">MAX(0,(((J29*(1-Assumptions!$C$19))+K27)-K28))</f>
        <v>1544.71062532268</v>
      </c>
      <c r="L29" s="9" t="n">
        <f aca="false">MAX(0,(((K29*(1-Assumptions!$C$19))+L27)-L28))</f>
        <v>1693.86218416649</v>
      </c>
      <c r="M29" s="9" t="n">
        <f aca="false">MAX(0,(((L29*(1-Assumptions!$C$19))+M27)-M28))</f>
        <v>1780.71604890645</v>
      </c>
      <c r="N29" s="9" t="n">
        <f aca="false">MAX(0,(((M29*(1-Assumptions!$C$19))+N27)-N28))</f>
        <v>1806.21574138794</v>
      </c>
      <c r="O29" s="9" t="n">
        <f aca="false">MAX(0,(((N29*(1-Assumptions!$C$19))+O27)-O28))</f>
        <v>4032.83406169396</v>
      </c>
      <c r="P29" s="9" t="n">
        <f aca="false">MAX(0,(((O29*(1-Assumptions!$C$19))+P27)-P28))</f>
        <v>5764.94606792736</v>
      </c>
      <c r="Q29" s="9" t="n">
        <f aca="false">MAX(0,(((P29*(1-Assumptions!$C$19))+Q27)-Q28))</f>
        <v>7042.43253037744</v>
      </c>
      <c r="R29" s="9" t="n">
        <f aca="false">MAX(0,(((Q29*(1-Assumptions!$C$19))+R27)-R28))</f>
        <v>8058.88125651911</v>
      </c>
      <c r="S29" s="9" t="n">
        <f aca="false">MAX(0,(((R29*(1-Assumptions!$C$19))+S27)-S28))</f>
        <v>8669.40273726359</v>
      </c>
      <c r="T29" s="9" t="n">
        <f aca="false">MAX(0,(((S29*(1-Assumptions!$C$19))+T27)-T28))</f>
        <v>9072.10407866113</v>
      </c>
      <c r="U29" s="9" t="n">
        <f aca="false">MAX(0,(((T29*(1-Assumptions!$C$19))+U27)-U28))</f>
        <v>9819.77915431829</v>
      </c>
      <c r="V29" s="9" t="n">
        <f aca="false">MAX(0,(((U29*(1-Assumptions!$C$19))+V27)-V28))</f>
        <v>12209.6976668969</v>
      </c>
      <c r="W29" s="9" t="n">
        <f aca="false">MAX(0,(((V29*(1-Assumptions!$C$19))+W27)-W28))</f>
        <v>14815.6342097116</v>
      </c>
      <c r="X29" s="9" t="n">
        <f aca="false">MAX(0,(((W29*(1-Assumptions!$C$19))+X27)-X28))</f>
        <v>15826.1959279214</v>
      </c>
      <c r="Y29" s="9" t="n">
        <f aca="false">MAX(0,(((X29*(1-Assumptions!$C$19))+Y27)-Y28))</f>
        <v>16381.1654601418</v>
      </c>
      <c r="Z29" s="9" t="n">
        <f aca="false">MAX(0,(((Y29*(1-Assumptions!$C$19))+Z27)-Z28))</f>
        <v>16506.2482160617</v>
      </c>
      <c r="AA29" s="9" t="n">
        <f aca="false">MAX(0,(((Z29*(1-Assumptions!$C$19))+AA27)-AA28))</f>
        <v>18400.0769335641</v>
      </c>
      <c r="AB29" s="9" t="n">
        <f aca="false">MAX(0,(((AA29*(1-Assumptions!$C$19))+AB27)-AB28))</f>
        <v>19675.0015474918</v>
      </c>
      <c r="AC29" s="9" t="n">
        <f aca="false">MAX(0,(((AB29*(1-Assumptions!$C$19))+AC27)-AC28))</f>
        <v>20385.6699036712</v>
      </c>
      <c r="AD29" s="9" t="n">
        <f aca="false">MAX(0,(((AC29*(1-Assumptions!$C$19))+AD27)-AD28))</f>
        <v>20820.760848819</v>
      </c>
      <c r="AE29" s="9" t="n">
        <f aca="false">MAX(0,(((AD29*(1-Assumptions!$C$19))+AE27)-AE28))</f>
        <v>20755.7005668807</v>
      </c>
      <c r="AF29" s="9" t="n">
        <f aca="false">MAX(0,(((AE29*(1-Assumptions!$C$19))+AF27)-AF28))</f>
        <v>20481.9772433488</v>
      </c>
      <c r="AG29" s="9" t="n">
        <f aca="false">MAX(0,(((AF29*(1-Assumptions!$C$19))+AG27)-AG28))</f>
        <v>20793.7347751708</v>
      </c>
      <c r="AH29" s="9" t="n">
        <f aca="false">MAX(0,(((AG29*(1-Assumptions!$C$19))+AH27)-AH28))</f>
        <v>23512.375951465</v>
      </c>
      <c r="AI29" s="9" t="n">
        <f aca="false">MAX(0,(((AH29*(1-Assumptions!$C$19))+AI27)-AI28))</f>
        <v>26551.1954918706</v>
      </c>
      <c r="AJ29" s="9" t="n">
        <f aca="false">MAX(0,(((AI29*(1-Assumptions!$C$19))+AJ27)-AJ28))</f>
        <v>27379.9346039796</v>
      </c>
      <c r="AK29" s="9" t="n">
        <f aca="false">MAX(0,(((AJ29*(1-Assumptions!$C$19))+AK27)-AK28))</f>
        <v>27609.9497663319</v>
      </c>
      <c r="AL29" s="9" t="n">
        <f aca="false">MAX(0,(((AK29*(1-Assumptions!$C$19))+AL27)-AL28))</f>
        <v>27287.7987044966</v>
      </c>
      <c r="AN29" s="11" t="n">
        <f aca="false">N29</f>
        <v>1806.21574138794</v>
      </c>
      <c r="AO29" s="11" t="n">
        <f aca="false">Z29</f>
        <v>16506.2482160617</v>
      </c>
      <c r="AP29" s="11" t="n">
        <f aca="false">AL29</f>
        <v>27287.7987044966</v>
      </c>
    </row>
    <row r="30" customFormat="false" ht="15" hidden="false" customHeight="false" outlineLevel="0" collapsed="false">
      <c r="A30" s="0" t="s">
        <v>835</v>
      </c>
      <c r="B30" s="0" t="s">
        <v>193</v>
      </c>
      <c r="C30" s="12" t="n">
        <f aca="false">IF(AND(($C$14=1),(C$18&gt;=(Assumptions!$C$106+1)),(C$18&lt;=(Assumptions!$C$106+3))),Assumptions!$C$115,0)</f>
        <v>0</v>
      </c>
      <c r="D30" s="12" t="n">
        <f aca="false">IF(AND(($C$14=1),(D$18&gt;=(Assumptions!$C$106+1)),(D$18&lt;=(Assumptions!$C$106+3))),Assumptions!$C$115,0)</f>
        <v>0</v>
      </c>
      <c r="E30" s="12" t="n">
        <f aca="false">IF(AND(($C$14=1),(E$18&gt;=(Assumptions!$C$106+1)),(E$18&lt;=(Assumptions!$C$106+3))),Assumptions!$C$115,0)</f>
        <v>0</v>
      </c>
      <c r="F30" s="12" t="n">
        <f aca="false">IF(AND(($C$14=1),(F$18&gt;=(Assumptions!$C$106+1)),(F$18&lt;=(Assumptions!$C$106+3))),Assumptions!$C$115,0)</f>
        <v>0</v>
      </c>
      <c r="G30" s="12" t="n">
        <f aca="false">IF(AND(($C$14=1),(G$18&gt;=(Assumptions!$C$106+1)),(G$18&lt;=(Assumptions!$C$106+3))),Assumptions!$C$115,0)</f>
        <v>0</v>
      </c>
      <c r="H30" s="12" t="n">
        <f aca="false">IF(AND(($C$14=1),(H$18&gt;=(Assumptions!$C$106+1)),(H$18&lt;=(Assumptions!$C$106+3))),Assumptions!$C$115,0)</f>
        <v>0</v>
      </c>
      <c r="I30" s="12" t="n">
        <f aca="false">IF(AND(($C$14=1),(I$18&gt;=(Assumptions!$C$106+1)),(I$18&lt;=(Assumptions!$C$106+3))),Assumptions!$C$115,0)</f>
        <v>0</v>
      </c>
      <c r="J30" s="12" t="n">
        <f aca="false">IF(AND(($C$14=1),(J$18&gt;=(Assumptions!$C$106+1)),(J$18&lt;=(Assumptions!$C$106+3))),Assumptions!$C$115,0)</f>
        <v>0</v>
      </c>
      <c r="K30" s="12" t="n">
        <f aca="false">IF(AND(($C$14=1),(K$18&gt;=(Assumptions!$C$106+1)),(K$18&lt;=(Assumptions!$C$106+3))),Assumptions!$C$115,0)</f>
        <v>0</v>
      </c>
      <c r="L30" s="12" t="n">
        <f aca="false">IF(AND(($C$14=1),(L$18&gt;=(Assumptions!$C$106+1)),(L$18&lt;=(Assumptions!$C$106+3))),Assumptions!$C$115,0)</f>
        <v>0</v>
      </c>
      <c r="M30" s="12" t="n">
        <f aca="false">IF(AND(($C$14=1),(M$18&gt;=(Assumptions!$C$106+1)),(M$18&lt;=(Assumptions!$C$106+3))),Assumptions!$C$115,0)</f>
        <v>0</v>
      </c>
      <c r="N30" s="12" t="n">
        <f aca="false">IF(AND(($C$14=1),(N$18&gt;=(Assumptions!$C$106+1)),(N$18&lt;=(Assumptions!$C$106+3))),Assumptions!$C$115,0)</f>
        <v>0</v>
      </c>
      <c r="O30" s="12" t="n">
        <f aca="false">IF(AND(($C$14=1),(O$18&gt;=(Assumptions!$C$106+1)),(O$18&lt;=(Assumptions!$C$106+3))),Assumptions!$C$115,0)</f>
        <v>0</v>
      </c>
      <c r="P30" s="12" t="n">
        <f aca="false">IF(AND(($C$14=1),(P$18&gt;=(Assumptions!$C$106+1)),(P$18&lt;=(Assumptions!$C$106+3))),Assumptions!$C$115,0)</f>
        <v>0</v>
      </c>
      <c r="Q30" s="12" t="n">
        <f aca="false">IF(AND(($C$14=1),(Q$18&gt;=(Assumptions!$C$106+1)),(Q$18&lt;=(Assumptions!$C$106+3))),Assumptions!$C$115,0)</f>
        <v>0</v>
      </c>
      <c r="R30" s="12" t="n">
        <f aca="false">IF(AND(($C$14=1),(R$18&gt;=(Assumptions!$C$106+1)),(R$18&lt;=(Assumptions!$C$106+3))),Assumptions!$C$115,0)</f>
        <v>0</v>
      </c>
      <c r="S30" s="12" t="n">
        <f aca="false">IF(AND(($C$14=1),(S$18&gt;=(Assumptions!$C$106+1)),(S$18&lt;=(Assumptions!$C$106+3))),Assumptions!$C$115,0)</f>
        <v>0</v>
      </c>
      <c r="T30" s="12" t="n">
        <f aca="false">IF(AND(($C$14=1),(T$18&gt;=(Assumptions!$C$106+1)),(T$18&lt;=(Assumptions!$C$106+3))),Assumptions!$C$115,0)</f>
        <v>0</v>
      </c>
      <c r="U30" s="12" t="n">
        <f aca="false">IF(AND(($C$14=1),(U$18&gt;=(Assumptions!$C$106+1)),(U$18&lt;=(Assumptions!$C$106+3))),Assumptions!$C$115,0)</f>
        <v>0</v>
      </c>
      <c r="V30" s="12" t="n">
        <f aca="false">IF(AND(($C$14=1),(V$18&gt;=(Assumptions!$C$106+1)),(V$18&lt;=(Assumptions!$C$106+3))),Assumptions!$C$115,0)</f>
        <v>0</v>
      </c>
      <c r="W30" s="12" t="n">
        <f aca="false">IF(AND(($C$14=1),(W$18&gt;=(Assumptions!$C$106+1)),(W$18&lt;=(Assumptions!$C$106+3))),Assumptions!$C$115,0)</f>
        <v>0</v>
      </c>
      <c r="X30" s="12" t="n">
        <f aca="false">IF(AND(($C$14=1),(X$18&gt;=(Assumptions!$C$106+1)),(X$18&lt;=(Assumptions!$C$106+3))),Assumptions!$C$115,0)</f>
        <v>0</v>
      </c>
      <c r="Y30" s="12" t="n">
        <f aca="false">IF(AND(($C$14=1),(Y$18&gt;=(Assumptions!$C$106+1)),(Y$18&lt;=(Assumptions!$C$106+3))),Assumptions!$C$115,0)</f>
        <v>0</v>
      </c>
      <c r="Z30" s="12" t="n">
        <f aca="false">IF(AND(($C$14=1),(Z$18&gt;=(Assumptions!$C$106+1)),(Z$18&lt;=(Assumptions!$C$106+3))),Assumptions!$C$115,0)</f>
        <v>0</v>
      </c>
      <c r="AA30" s="12" t="n">
        <f aca="false">IF(AND(($C$14=1),(AA$18&gt;=(Assumptions!$C$106+1)),(AA$18&lt;=(Assumptions!$C$106+3))),Assumptions!$C$115,0)</f>
        <v>0</v>
      </c>
      <c r="AB30" s="12" t="n">
        <f aca="false">IF(AND(($C$14=1),(AB$18&gt;=(Assumptions!$C$106+1)),(AB$18&lt;=(Assumptions!$C$106+3))),Assumptions!$C$115,0)</f>
        <v>0</v>
      </c>
      <c r="AC30" s="12" t="n">
        <f aca="false">IF(AND(($C$14=1),(AC$18&gt;=(Assumptions!$C$106+1)),(AC$18&lt;=(Assumptions!$C$106+3))),Assumptions!$C$115,0)</f>
        <v>0</v>
      </c>
      <c r="AD30" s="12" t="n">
        <f aca="false">IF(AND(($C$14=1),(AD$18&gt;=(Assumptions!$C$106+1)),(AD$18&lt;=(Assumptions!$C$106+3))),Assumptions!$C$115,0)</f>
        <v>0</v>
      </c>
      <c r="AE30" s="12" t="n">
        <f aca="false">IF(AND(($C$14=1),(AE$18&gt;=(Assumptions!$C$106+1)),(AE$18&lt;=(Assumptions!$C$106+3))),Assumptions!$C$115,0)</f>
        <v>0</v>
      </c>
      <c r="AF30" s="12" t="n">
        <f aca="false">IF(AND(($C$14=1),(AF$18&gt;=(Assumptions!$C$106+1)),(AF$18&lt;=(Assumptions!$C$106+3))),Assumptions!$C$115,0)</f>
        <v>0</v>
      </c>
      <c r="AG30" s="12" t="n">
        <f aca="false">IF(AND(($C$14=1),(AG$18&gt;=(Assumptions!$C$106+1)),(AG$18&lt;=(Assumptions!$C$106+3))),Assumptions!$C$115,0)</f>
        <v>0</v>
      </c>
      <c r="AH30" s="12" t="n">
        <f aca="false">IF(AND(($C$14=1),(AH$18&gt;=(Assumptions!$C$106+1)),(AH$18&lt;=(Assumptions!$C$106+3))),Assumptions!$C$115,0)</f>
        <v>0</v>
      </c>
      <c r="AI30" s="12" t="n">
        <f aca="false">IF(AND(($C$14=1),(AI$18&gt;=(Assumptions!$C$106+1)),(AI$18&lt;=(Assumptions!$C$106+3))),Assumptions!$C$115,0)</f>
        <v>0</v>
      </c>
      <c r="AJ30" s="12" t="n">
        <f aca="false">IF(AND(($C$14=1),(AJ$18&gt;=(Assumptions!$C$106+1)),(AJ$18&lt;=(Assumptions!$C$106+3))),Assumptions!$C$115,0)</f>
        <v>0</v>
      </c>
      <c r="AK30" s="12" t="n">
        <f aca="false">IF(AND(($C$14=1),(AK$18&gt;=(Assumptions!$C$106+1)),(AK$18&lt;=(Assumptions!$C$106+3))),Assumptions!$C$115,0)</f>
        <v>0</v>
      </c>
      <c r="AL30" s="12" t="n">
        <f aca="false">IF(AND(($C$14=1),(AL$18&gt;=(Assumptions!$C$106+1)),(AL$18&lt;=(Assumptions!$C$106+3))),Assumptions!$C$115,0)</f>
        <v>0</v>
      </c>
    </row>
    <row r="31" customFormat="false" ht="15" hidden="false" customHeight="false" outlineLevel="0" collapsed="false">
      <c r="A31" s="0" t="s">
        <v>836</v>
      </c>
      <c r="B31" s="0" t="s">
        <v>193</v>
      </c>
      <c r="C31" s="12" t="n">
        <f aca="false">MIN(1,((Assumptions!$C$22*$C$6)+C30))</f>
        <v>0.05</v>
      </c>
      <c r="D31" s="12" t="n">
        <f aca="false">MIN(1,((Assumptions!$C$22*$C$6)+D30))</f>
        <v>0.05</v>
      </c>
      <c r="E31" s="12" t="n">
        <f aca="false">MIN(1,((Assumptions!$C$22*$C$6)+E30))</f>
        <v>0.05</v>
      </c>
      <c r="F31" s="12" t="n">
        <f aca="false">MIN(1,((Assumptions!$C$22*$C$6)+F30))</f>
        <v>0.05</v>
      </c>
      <c r="G31" s="12" t="n">
        <f aca="false">MIN(1,((Assumptions!$C$22*$C$6)+G30))</f>
        <v>0.05</v>
      </c>
      <c r="H31" s="12" t="n">
        <f aca="false">MIN(1,((Assumptions!$C$22*$C$6)+H30))</f>
        <v>0.05</v>
      </c>
      <c r="I31" s="12" t="n">
        <f aca="false">MIN(1,((Assumptions!$C$22*$C$6)+I30))</f>
        <v>0.05</v>
      </c>
      <c r="J31" s="12" t="n">
        <f aca="false">MIN(1,((Assumptions!$C$22*$C$6)+J30))</f>
        <v>0.05</v>
      </c>
      <c r="K31" s="12" t="n">
        <f aca="false">MIN(1,((Assumptions!$C$22*$C$6)+K30))</f>
        <v>0.05</v>
      </c>
      <c r="L31" s="12" t="n">
        <f aca="false">MIN(1,((Assumptions!$C$22*$C$6)+L30))</f>
        <v>0.05</v>
      </c>
      <c r="M31" s="12" t="n">
        <f aca="false">MIN(1,((Assumptions!$C$22*$C$6)+M30))</f>
        <v>0.05</v>
      </c>
      <c r="N31" s="12" t="n">
        <f aca="false">MIN(1,((Assumptions!$C$22*$C$6)+N30))</f>
        <v>0.05</v>
      </c>
      <c r="O31" s="12" t="n">
        <f aca="false">MIN(1,((Assumptions!$C$22*$C$6)+O30))</f>
        <v>0.05</v>
      </c>
      <c r="P31" s="12" t="n">
        <f aca="false">MIN(1,((Assumptions!$C$22*$C$6)+P30))</f>
        <v>0.05</v>
      </c>
      <c r="Q31" s="12" t="n">
        <f aca="false">MIN(1,((Assumptions!$C$22*$C$6)+Q30))</f>
        <v>0.05</v>
      </c>
      <c r="R31" s="12" t="n">
        <f aca="false">MIN(1,((Assumptions!$C$22*$C$6)+R30))</f>
        <v>0.05</v>
      </c>
      <c r="S31" s="12" t="n">
        <f aca="false">MIN(1,((Assumptions!$C$22*$C$6)+S30))</f>
        <v>0.05</v>
      </c>
      <c r="T31" s="12" t="n">
        <f aca="false">MIN(1,((Assumptions!$C$22*$C$6)+T30))</f>
        <v>0.05</v>
      </c>
      <c r="U31" s="12" t="n">
        <f aca="false">MIN(1,((Assumptions!$C$22*$C$6)+U30))</f>
        <v>0.05</v>
      </c>
      <c r="V31" s="12" t="n">
        <f aca="false">MIN(1,((Assumptions!$C$22*$C$6)+V30))</f>
        <v>0.05</v>
      </c>
      <c r="W31" s="12" t="n">
        <f aca="false">MIN(1,((Assumptions!$C$22*$C$6)+W30))</f>
        <v>0.05</v>
      </c>
      <c r="X31" s="12" t="n">
        <f aca="false">MIN(1,((Assumptions!$C$22*$C$6)+X30))</f>
        <v>0.05</v>
      </c>
      <c r="Y31" s="12" t="n">
        <f aca="false">MIN(1,((Assumptions!$C$22*$C$6)+Y30))</f>
        <v>0.05</v>
      </c>
      <c r="Z31" s="12" t="n">
        <f aca="false">MIN(1,((Assumptions!$C$22*$C$6)+Z30))</f>
        <v>0.05</v>
      </c>
      <c r="AA31" s="12" t="n">
        <f aca="false">MIN(1,((Assumptions!$C$22*$C$6)+AA30))</f>
        <v>0.05</v>
      </c>
      <c r="AB31" s="12" t="n">
        <f aca="false">MIN(1,((Assumptions!$C$22*$C$6)+AB30))</f>
        <v>0.05</v>
      </c>
      <c r="AC31" s="12" t="n">
        <f aca="false">MIN(1,((Assumptions!$C$22*$C$6)+AC30))</f>
        <v>0.05</v>
      </c>
      <c r="AD31" s="12" t="n">
        <f aca="false">MIN(1,((Assumptions!$C$22*$C$6)+AD30))</f>
        <v>0.05</v>
      </c>
      <c r="AE31" s="12" t="n">
        <f aca="false">MIN(1,((Assumptions!$C$22*$C$6)+AE30))</f>
        <v>0.05</v>
      </c>
      <c r="AF31" s="12" t="n">
        <f aca="false">MIN(1,((Assumptions!$C$22*$C$6)+AF30))</f>
        <v>0.05</v>
      </c>
      <c r="AG31" s="12" t="n">
        <f aca="false">MIN(1,((Assumptions!$C$22*$C$6)+AG30))</f>
        <v>0.05</v>
      </c>
      <c r="AH31" s="12" t="n">
        <f aca="false">MIN(1,((Assumptions!$C$22*$C$6)+AH30))</f>
        <v>0.05</v>
      </c>
      <c r="AI31" s="12" t="n">
        <f aca="false">MIN(1,((Assumptions!$C$22*$C$6)+AI30))</f>
        <v>0.05</v>
      </c>
      <c r="AJ31" s="12" t="n">
        <f aca="false">MIN(1,((Assumptions!$C$22*$C$6)+AJ30))</f>
        <v>0.05</v>
      </c>
      <c r="AK31" s="12" t="n">
        <f aca="false">MIN(1,((Assumptions!$C$22*$C$6)+AK30))</f>
        <v>0.05</v>
      </c>
      <c r="AL31" s="12" t="n">
        <f aca="false">MIN(1,((Assumptions!$C$22*$C$6)+AL30))</f>
        <v>0.05</v>
      </c>
    </row>
    <row r="32" customFormat="false" ht="15" hidden="false" customHeight="false" outlineLevel="0" collapsed="false">
      <c r="A32" s="0" t="s">
        <v>837</v>
      </c>
      <c r="B32" s="0" t="s">
        <v>500</v>
      </c>
      <c r="C32" s="9" t="n">
        <f aca="false">(C28*(1-Assumptions!$C$21))</f>
        <v>0</v>
      </c>
      <c r="D32" s="9" t="n">
        <f aca="false">(D28*(1-Assumptions!$C$21))</f>
        <v>0</v>
      </c>
      <c r="E32" s="9" t="n">
        <f aca="false">(E28*(1-Assumptions!$C$21))</f>
        <v>0</v>
      </c>
      <c r="F32" s="9" t="n">
        <f aca="false">(F28*(1-Assumptions!$C$21))</f>
        <v>0</v>
      </c>
      <c r="G32" s="9" t="n">
        <f aca="false">(G28*(1-Assumptions!$C$21))</f>
        <v>0</v>
      </c>
      <c r="H32" s="9" t="n">
        <f aca="false">(H28*(1-Assumptions!$C$21))</f>
        <v>0</v>
      </c>
      <c r="I32" s="9" t="n">
        <f aca="false">(I28*(1-Assumptions!$C$21))</f>
        <v>0</v>
      </c>
      <c r="J32" s="9" t="n">
        <f aca="false">(J28*(1-Assumptions!$C$21))</f>
        <v>0</v>
      </c>
      <c r="K32" s="9" t="n">
        <f aca="false">(K28*(1-Assumptions!$C$21))</f>
        <v>0</v>
      </c>
      <c r="L32" s="9" t="n">
        <f aca="false">(L28*(1-Assumptions!$C$21))</f>
        <v>0</v>
      </c>
      <c r="M32" s="9" t="n">
        <f aca="false">(M28*(1-Assumptions!$C$21))</f>
        <v>0</v>
      </c>
      <c r="N32" s="9" t="n">
        <f aca="false">(N28*(1-Assumptions!$C$21))</f>
        <v>0</v>
      </c>
      <c r="O32" s="9" t="n">
        <f aca="false">(O28*(1-Assumptions!$C$21))</f>
        <v>2.48354664440842</v>
      </c>
      <c r="P32" s="9" t="n">
        <f aca="false">(P28*(1-Assumptions!$C$21))</f>
        <v>5.54514683482919</v>
      </c>
      <c r="Q32" s="9" t="n">
        <f aca="false">(Q28*(1-Assumptions!$C$21))</f>
        <v>7.92680084340012</v>
      </c>
      <c r="R32" s="9" t="n">
        <f aca="false">(R28*(1-Assumptions!$C$21))</f>
        <v>9.68334472926897</v>
      </c>
      <c r="S32" s="9" t="n">
        <f aca="false">(S28*(1-Assumptions!$C$21))</f>
        <v>11.0809617277138</v>
      </c>
      <c r="T32" s="9" t="n">
        <f aca="false">(T28*(1-Assumptions!$C$21))</f>
        <v>11.9204287637374</v>
      </c>
      <c r="U32" s="9" t="n">
        <f aca="false">(U28*(1-Assumptions!$C$21))</f>
        <v>12.4741431081591</v>
      </c>
      <c r="V32" s="9" t="n">
        <f aca="false">(V28*(1-Assumptions!$C$21))</f>
        <v>13.5021963371876</v>
      </c>
      <c r="W32" s="9" t="n">
        <f aca="false">(W28*(1-Assumptions!$C$21))</f>
        <v>16.7883342919832</v>
      </c>
      <c r="X32" s="9" t="n">
        <f aca="false">(X28*(1-Assumptions!$C$21))</f>
        <v>20.3714970383535</v>
      </c>
      <c r="Y32" s="9" t="n">
        <f aca="false">(Y28*(1-Assumptions!$C$21))</f>
        <v>21.7610194008919</v>
      </c>
      <c r="Z32" s="9" t="n">
        <f aca="false">(Z28*(1-Assumptions!$C$21))</f>
        <v>22.524102507695</v>
      </c>
      <c r="AA32" s="9" t="n">
        <f aca="false">(AA28*(1-Assumptions!$C$21))</f>
        <v>22.6960912970848</v>
      </c>
      <c r="AB32" s="9" t="n">
        <f aca="false">(AB28*(1-Assumptions!$C$21))</f>
        <v>25.3001057836506</v>
      </c>
      <c r="AC32" s="9" t="n">
        <f aca="false">(AC28*(1-Assumptions!$C$21))</f>
        <v>27.0531271278012</v>
      </c>
      <c r="AD32" s="9" t="n">
        <f aca="false">(AD28*(1-Assumptions!$C$21))</f>
        <v>28.030296117548</v>
      </c>
      <c r="AE32" s="9" t="n">
        <f aca="false">(AE28*(1-Assumptions!$C$21))</f>
        <v>28.6285461671261</v>
      </c>
      <c r="AF32" s="9" t="n">
        <f aca="false">(AF28*(1-Assumptions!$C$21))</f>
        <v>28.539088279461</v>
      </c>
      <c r="AG32" s="9" t="n">
        <f aca="false">(AG28*(1-Assumptions!$C$21))</f>
        <v>28.1627187096046</v>
      </c>
      <c r="AH32" s="9" t="n">
        <f aca="false">(AH28*(1-Assumptions!$C$21))</f>
        <v>28.5913853158598</v>
      </c>
      <c r="AI32" s="9" t="n">
        <f aca="false">(AI28*(1-Assumptions!$C$21))</f>
        <v>32.3295169332644</v>
      </c>
      <c r="AJ32" s="9" t="n">
        <f aca="false">(AJ28*(1-Assumptions!$C$21))</f>
        <v>36.5078938013221</v>
      </c>
      <c r="AK32" s="9" t="n">
        <f aca="false">(AK28*(1-Assumptions!$C$21))</f>
        <v>37.647410080472</v>
      </c>
      <c r="AL32" s="9" t="n">
        <f aca="false">(AL28*(1-Assumptions!$C$21))</f>
        <v>37.9636809287064</v>
      </c>
      <c r="AN32" s="11" t="n">
        <f aca="false">SUM(C32:N32)</f>
        <v>0</v>
      </c>
      <c r="AO32" s="11" t="n">
        <f aca="false">SUM(O32:Z32)</f>
        <v>156.061522227628</v>
      </c>
      <c r="AP32" s="11" t="n">
        <f aca="false">SUM(AA32:AL32)</f>
        <v>361.449860541901</v>
      </c>
    </row>
    <row r="33" customFormat="false" ht="15" hidden="false" customHeight="false" outlineLevel="0" collapsed="false">
      <c r="A33" s="0" t="s">
        <v>838</v>
      </c>
      <c r="B33" s="0" t="s">
        <v>500</v>
      </c>
      <c r="C33" s="9" t="n">
        <f aca="false">(C28*Assumptions!$C$21)</f>
        <v>0</v>
      </c>
      <c r="D33" s="9" t="n">
        <f aca="false">(D28*Assumptions!$C$21)</f>
        <v>0</v>
      </c>
      <c r="E33" s="9" t="n">
        <f aca="false">(E28*Assumptions!$C$21)</f>
        <v>0</v>
      </c>
      <c r="F33" s="9" t="n">
        <f aca="false">(F28*Assumptions!$C$21)</f>
        <v>0</v>
      </c>
      <c r="G33" s="9" t="n">
        <f aca="false">(G28*Assumptions!$C$21)</f>
        <v>0</v>
      </c>
      <c r="H33" s="9" t="n">
        <f aca="false">(H28*Assumptions!$C$21)</f>
        <v>0</v>
      </c>
      <c r="I33" s="9" t="n">
        <f aca="false">(I28*Assumptions!$C$21)</f>
        <v>0</v>
      </c>
      <c r="J33" s="9" t="n">
        <f aca="false">(J28*Assumptions!$C$21)</f>
        <v>0</v>
      </c>
      <c r="K33" s="9" t="n">
        <f aca="false">(K28*Assumptions!$C$21)</f>
        <v>0</v>
      </c>
      <c r="L33" s="9" t="n">
        <f aca="false">(L28*Assumptions!$C$21)</f>
        <v>0</v>
      </c>
      <c r="M33" s="9" t="n">
        <f aca="false">(M28*Assumptions!$C$21)</f>
        <v>0</v>
      </c>
      <c r="N33" s="9" t="n">
        <f aca="false">(N28*Assumptions!$C$21)</f>
        <v>0</v>
      </c>
      <c r="O33" s="9" t="n">
        <f aca="false">(O28*Assumptions!$C$21)</f>
        <v>2.03199270906143</v>
      </c>
      <c r="P33" s="9" t="n">
        <f aca="false">(P28*Assumptions!$C$21)</f>
        <v>4.5369383194057</v>
      </c>
      <c r="Q33" s="9" t="n">
        <f aca="false">(Q28*Assumptions!$C$21)</f>
        <v>6.48556432641828</v>
      </c>
      <c r="R33" s="9" t="n">
        <f aca="false">(R28*Assumptions!$C$21)</f>
        <v>7.92273659667462</v>
      </c>
      <c r="S33" s="9" t="n">
        <f aca="false">(S28*Assumptions!$C$21)</f>
        <v>9.066241413584</v>
      </c>
      <c r="T33" s="9" t="n">
        <f aca="false">(T28*Assumptions!$C$21)</f>
        <v>9.75307807942154</v>
      </c>
      <c r="U33" s="9" t="n">
        <f aca="false">(U28*Assumptions!$C$21)</f>
        <v>10.2061170884938</v>
      </c>
      <c r="V33" s="9" t="n">
        <f aca="false">(V28*Assumptions!$C$21)</f>
        <v>11.0472515486081</v>
      </c>
      <c r="W33" s="9" t="n">
        <f aca="false">(W28*Assumptions!$C$21)</f>
        <v>13.735909875259</v>
      </c>
      <c r="X33" s="9" t="n">
        <f aca="false">(X28*Assumptions!$C$21)</f>
        <v>16.6675884859256</v>
      </c>
      <c r="Y33" s="9" t="n">
        <f aca="false">(Y28*Assumptions!$C$21)</f>
        <v>17.8044704189116</v>
      </c>
      <c r="Z33" s="9" t="n">
        <f aca="false">(Z28*Assumptions!$C$21)</f>
        <v>18.4288111426595</v>
      </c>
      <c r="AA33" s="9" t="n">
        <f aca="false">(AA28*Assumptions!$C$21)</f>
        <v>18.5695292430694</v>
      </c>
      <c r="AB33" s="9" t="n">
        <f aca="false">(AB28*Assumptions!$C$21)</f>
        <v>20.7000865502596</v>
      </c>
      <c r="AC33" s="9" t="n">
        <f aca="false">(AC28*Assumptions!$C$21)</f>
        <v>22.1343767409283</v>
      </c>
      <c r="AD33" s="9" t="n">
        <f aca="false">(AD28*Assumptions!$C$21)</f>
        <v>22.9338786416301</v>
      </c>
      <c r="AE33" s="9" t="n">
        <f aca="false">(AE28*Assumptions!$C$21)</f>
        <v>23.4233559549213</v>
      </c>
      <c r="AF33" s="9" t="n">
        <f aca="false">(AF28*Assumptions!$C$21)</f>
        <v>23.3501631377408</v>
      </c>
      <c r="AG33" s="9" t="n">
        <f aca="false">(AG28*Assumptions!$C$21)</f>
        <v>23.0422243987674</v>
      </c>
      <c r="AH33" s="9" t="n">
        <f aca="false">(AH28*Assumptions!$C$21)</f>
        <v>23.3929516220671</v>
      </c>
      <c r="AI33" s="9" t="n">
        <f aca="false">(AI28*Assumptions!$C$21)</f>
        <v>26.4514229453981</v>
      </c>
      <c r="AJ33" s="9" t="n">
        <f aca="false">(AJ28*Assumptions!$C$21)</f>
        <v>29.8700949283544</v>
      </c>
      <c r="AK33" s="9" t="n">
        <f aca="false">(AK28*Assumptions!$C$21)</f>
        <v>30.8024264294771</v>
      </c>
      <c r="AL33" s="9" t="n">
        <f aca="false">(AL28*Assumptions!$C$21)</f>
        <v>31.0611934871234</v>
      </c>
      <c r="AN33" s="11" t="n">
        <f aca="false">SUM(C33:N33)</f>
        <v>0</v>
      </c>
      <c r="AO33" s="11" t="n">
        <f aca="false">SUM(O33:Z33)</f>
        <v>127.686700004423</v>
      </c>
      <c r="AP33" s="11" t="n">
        <f aca="false">SUM(AA33:AL33)</f>
        <v>295.731704079737</v>
      </c>
    </row>
    <row r="34" customFormat="false" ht="15" hidden="false" customHeight="false" outlineLevel="0" collapsed="false">
      <c r="A34" s="0" t="s">
        <v>839</v>
      </c>
      <c r="B34" s="0" t="s">
        <v>500</v>
      </c>
      <c r="C34" s="9" t="n">
        <f aca="false">((0*(1-C31))+C32)</f>
        <v>0</v>
      </c>
      <c r="D34" s="9" t="n">
        <f aca="false">((C34*(1-D31))+D32)</f>
        <v>0</v>
      </c>
      <c r="E34" s="9" t="n">
        <f aca="false">((D34*(1-E31))+E32)</f>
        <v>0</v>
      </c>
      <c r="F34" s="9" t="n">
        <f aca="false">((E34*(1-F31))+F32)</f>
        <v>0</v>
      </c>
      <c r="G34" s="9" t="n">
        <f aca="false">((F34*(1-G31))+G32)</f>
        <v>0</v>
      </c>
      <c r="H34" s="9" t="n">
        <f aca="false">((G34*(1-H31))+H32)</f>
        <v>0</v>
      </c>
      <c r="I34" s="9" t="n">
        <f aca="false">((H34*(1-I31))+I32)</f>
        <v>0</v>
      </c>
      <c r="J34" s="9" t="n">
        <f aca="false">((I34*(1-J31))+J32)</f>
        <v>0</v>
      </c>
      <c r="K34" s="9" t="n">
        <f aca="false">((J34*(1-K31))+K32)</f>
        <v>0</v>
      </c>
      <c r="L34" s="9" t="n">
        <f aca="false">((K34*(1-L31))+L32)</f>
        <v>0</v>
      </c>
      <c r="M34" s="9" t="n">
        <f aca="false">((L34*(1-M31))+M32)</f>
        <v>0</v>
      </c>
      <c r="N34" s="9" t="n">
        <f aca="false">((M34*(1-N31))+N32)</f>
        <v>0</v>
      </c>
      <c r="O34" s="9" t="n">
        <f aca="false">((N34*(1-O31))+O32)</f>
        <v>2.48354664440842</v>
      </c>
      <c r="P34" s="9" t="n">
        <f aca="false">((O34*(1-P31))+P32)</f>
        <v>7.90451614701719</v>
      </c>
      <c r="Q34" s="9" t="n">
        <f aca="false">((P34*(1-Q31))+Q32)</f>
        <v>15.4360911830664</v>
      </c>
      <c r="R34" s="9" t="n">
        <f aca="false">((Q34*(1-R31))+R32)</f>
        <v>24.3476313531821</v>
      </c>
      <c r="S34" s="9" t="n">
        <f aca="false">((R34*(1-S31))+S32)</f>
        <v>34.2112115132368</v>
      </c>
      <c r="T34" s="9" t="n">
        <f aca="false">((S34*(1-T31))+T32)</f>
        <v>44.4210797013124</v>
      </c>
      <c r="U34" s="9" t="n">
        <f aca="false">((T34*(1-U31))+U32)</f>
        <v>54.6741688244058</v>
      </c>
      <c r="V34" s="9" t="n">
        <f aca="false">((U34*(1-V31))+V32)</f>
        <v>65.4426567203731</v>
      </c>
      <c r="W34" s="9" t="n">
        <f aca="false">((V34*(1-W31))+W32)</f>
        <v>78.9588581763377</v>
      </c>
      <c r="X34" s="9" t="n">
        <f aca="false">((W34*(1-X31))+X32)</f>
        <v>95.3824123058743</v>
      </c>
      <c r="Y34" s="9" t="n">
        <f aca="false">((X34*(1-Y31))+Y32)</f>
        <v>112.374311091472</v>
      </c>
      <c r="Z34" s="9" t="n">
        <f aca="false">((Y34*(1-Z31))+Z32)</f>
        <v>129.279698044594</v>
      </c>
      <c r="AA34" s="9" t="n">
        <f aca="false">((Z34*(1-AA31))+AA32)</f>
        <v>145.511804439449</v>
      </c>
      <c r="AB34" s="9" t="n">
        <f aca="false">((AA34*(1-AB31))+AB32)</f>
        <v>163.536320001127</v>
      </c>
      <c r="AC34" s="9" t="n">
        <f aca="false">((AB34*(1-AC31))+AC32)</f>
        <v>182.412631128872</v>
      </c>
      <c r="AD34" s="9" t="n">
        <f aca="false">((AC34*(1-AD31))+AD32)</f>
        <v>201.322295689976</v>
      </c>
      <c r="AE34" s="9" t="n">
        <f aca="false">((AD34*(1-AE31))+AE32)</f>
        <v>219.884727072603</v>
      </c>
      <c r="AF34" s="9" t="n">
        <f aca="false">((AE34*(1-AF31))+AF32)</f>
        <v>237.429578998434</v>
      </c>
      <c r="AG34" s="9" t="n">
        <f aca="false">((AF34*(1-AG31))+AG32)</f>
        <v>253.720818758117</v>
      </c>
      <c r="AH34" s="9" t="n">
        <f aca="false">((AG34*(1-AH31))+AH32)</f>
        <v>269.626163136071</v>
      </c>
      <c r="AI34" s="9" t="n">
        <f aca="false">((AH34*(1-AI31))+AI32)</f>
        <v>288.474371912532</v>
      </c>
      <c r="AJ34" s="9" t="n">
        <f aca="false">((AI34*(1-AJ31))+AJ32)</f>
        <v>310.558547118227</v>
      </c>
      <c r="AK34" s="9" t="n">
        <f aca="false">((AJ34*(1-AK31))+AK32)</f>
        <v>332.678029842788</v>
      </c>
      <c r="AL34" s="9" t="n">
        <f aca="false">((AK34*(1-AL31))+AL32)</f>
        <v>354.007809279355</v>
      </c>
      <c r="AN34" s="11" t="n">
        <f aca="false">N34</f>
        <v>0</v>
      </c>
      <c r="AO34" s="11" t="n">
        <f aca="false">Z34</f>
        <v>129.279698044594</v>
      </c>
      <c r="AP34" s="11" t="n">
        <f aca="false">AL34</f>
        <v>354.007809279355</v>
      </c>
    </row>
    <row r="35" customFormat="false" ht="15" hidden="false" customHeight="false" outlineLevel="0" collapsed="false">
      <c r="A35" s="0" t="s">
        <v>840</v>
      </c>
      <c r="B35" s="0" t="s">
        <v>193</v>
      </c>
      <c r="C35" s="12" t="n">
        <f aca="false">MAX(0,(1-((1-Assumptions!$C$23)*$C$6)))</f>
        <v>0.55</v>
      </c>
      <c r="D35" s="12" t="n">
        <f aca="false">MAX(0,(1-((1-Assumptions!$C$23)*$C$6)))</f>
        <v>0.55</v>
      </c>
      <c r="E35" s="12" t="n">
        <f aca="false">MAX(0,(1-((1-Assumptions!$C$23)*$C$6)))</f>
        <v>0.55</v>
      </c>
      <c r="F35" s="12" t="n">
        <f aca="false">MAX(0,(1-((1-Assumptions!$C$23)*$C$6)))</f>
        <v>0.55</v>
      </c>
      <c r="G35" s="12" t="n">
        <f aca="false">MAX(0,(1-((1-Assumptions!$C$23)*$C$6)))</f>
        <v>0.55</v>
      </c>
      <c r="H35" s="12" t="n">
        <f aca="false">MAX(0,(1-((1-Assumptions!$C$23)*$C$6)))</f>
        <v>0.55</v>
      </c>
      <c r="I35" s="12" t="n">
        <f aca="false">MAX(0,(1-((1-Assumptions!$C$23)*$C$6)))</f>
        <v>0.55</v>
      </c>
      <c r="J35" s="12" t="n">
        <f aca="false">MAX(0,(1-((1-Assumptions!$C$23)*$C$6)))</f>
        <v>0.55</v>
      </c>
      <c r="K35" s="12" t="n">
        <f aca="false">MAX(0,(1-((1-Assumptions!$C$23)*$C$6)))</f>
        <v>0.55</v>
      </c>
      <c r="L35" s="12" t="n">
        <f aca="false">MAX(0,(1-((1-Assumptions!$C$23)*$C$6)))</f>
        <v>0.55</v>
      </c>
      <c r="M35" s="12" t="n">
        <f aca="false">MAX(0,(1-((1-Assumptions!$C$23)*$C$6)))</f>
        <v>0.55</v>
      </c>
      <c r="N35" s="12" t="n">
        <f aca="false">MAX(0,(1-((1-Assumptions!$C$23)*$C$6)))</f>
        <v>0.55</v>
      </c>
      <c r="O35" s="12" t="n">
        <f aca="false">MAX(0,(1-((1-Assumptions!$C$23)*$C$6)))</f>
        <v>0.55</v>
      </c>
      <c r="P35" s="12" t="n">
        <f aca="false">MAX(0,(1-((1-Assumptions!$C$23)*$C$6)))</f>
        <v>0.55</v>
      </c>
      <c r="Q35" s="12" t="n">
        <f aca="false">MAX(0,(1-((1-Assumptions!$C$23)*$C$6)))</f>
        <v>0.55</v>
      </c>
      <c r="R35" s="12" t="n">
        <f aca="false">MAX(0,(1-((1-Assumptions!$C$23)*$C$6)))</f>
        <v>0.55</v>
      </c>
      <c r="S35" s="12" t="n">
        <f aca="false">MAX(0,(1-((1-Assumptions!$C$23)*$C$6)))</f>
        <v>0.55</v>
      </c>
      <c r="T35" s="12" t="n">
        <f aca="false">MAX(0,(1-((1-Assumptions!$C$23)*$C$6)))</f>
        <v>0.55</v>
      </c>
      <c r="U35" s="12" t="n">
        <f aca="false">MAX(0,(1-((1-Assumptions!$C$23)*$C$6)))</f>
        <v>0.55</v>
      </c>
      <c r="V35" s="12" t="n">
        <f aca="false">MAX(0,(1-((1-Assumptions!$C$23)*$C$6)))</f>
        <v>0.55</v>
      </c>
      <c r="W35" s="12" t="n">
        <f aca="false">MAX(0,(1-((1-Assumptions!$C$23)*$C$6)))</f>
        <v>0.55</v>
      </c>
      <c r="X35" s="12" t="n">
        <f aca="false">MAX(0,(1-((1-Assumptions!$C$23)*$C$6)))</f>
        <v>0.55</v>
      </c>
      <c r="Y35" s="12" t="n">
        <f aca="false">MAX(0,(1-((1-Assumptions!$C$23)*$C$6)))</f>
        <v>0.55</v>
      </c>
      <c r="Z35" s="12" t="n">
        <f aca="false">MAX(0,(1-((1-Assumptions!$C$23)*$C$6)))</f>
        <v>0.55</v>
      </c>
      <c r="AA35" s="12" t="n">
        <f aca="false">MAX(0,(1-((1-Assumptions!$C$23)*$C$6)))</f>
        <v>0.55</v>
      </c>
      <c r="AB35" s="12" t="n">
        <f aca="false">MAX(0,(1-((1-Assumptions!$C$23)*$C$6)))</f>
        <v>0.55</v>
      </c>
      <c r="AC35" s="12" t="n">
        <f aca="false">MAX(0,(1-((1-Assumptions!$C$23)*$C$6)))</f>
        <v>0.55</v>
      </c>
      <c r="AD35" s="12" t="n">
        <f aca="false">MAX(0,(1-((1-Assumptions!$C$23)*$C$6)))</f>
        <v>0.55</v>
      </c>
      <c r="AE35" s="12" t="n">
        <f aca="false">MAX(0,(1-((1-Assumptions!$C$23)*$C$6)))</f>
        <v>0.55</v>
      </c>
      <c r="AF35" s="12" t="n">
        <f aca="false">MAX(0,(1-((1-Assumptions!$C$23)*$C$6)))</f>
        <v>0.55</v>
      </c>
      <c r="AG35" s="12" t="n">
        <f aca="false">MAX(0,(1-((1-Assumptions!$C$23)*$C$6)))</f>
        <v>0.55</v>
      </c>
      <c r="AH35" s="12" t="n">
        <f aca="false">MAX(0,(1-((1-Assumptions!$C$23)*$C$6)))</f>
        <v>0.55</v>
      </c>
      <c r="AI35" s="12" t="n">
        <f aca="false">MAX(0,(1-((1-Assumptions!$C$23)*$C$6)))</f>
        <v>0.55</v>
      </c>
      <c r="AJ35" s="12" t="n">
        <f aca="false">MAX(0,(1-((1-Assumptions!$C$23)*$C$6)))</f>
        <v>0.55</v>
      </c>
      <c r="AK35" s="12" t="n">
        <f aca="false">MAX(0,(1-((1-Assumptions!$C$23)*$C$6)))</f>
        <v>0.55</v>
      </c>
      <c r="AL35" s="12" t="n">
        <f aca="false">MAX(0,(1-((1-Assumptions!$C$23)*$C$6)))</f>
        <v>0.55</v>
      </c>
    </row>
    <row r="36" customFormat="false" ht="15" hidden="false" customHeight="false" outlineLevel="0" collapsed="false">
      <c r="A36" s="0" t="s">
        <v>841</v>
      </c>
      <c r="B36" s="0" t="s">
        <v>500</v>
      </c>
      <c r="C36" s="9" t="n">
        <f aca="false">(C35*0)</f>
        <v>0</v>
      </c>
      <c r="D36" s="9" t="n">
        <f aca="false">(D35*0)</f>
        <v>0</v>
      </c>
      <c r="E36" s="9" t="n">
        <f aca="false">(E35*0)</f>
        <v>0</v>
      </c>
      <c r="F36" s="9" t="n">
        <f aca="false">(F35*0)</f>
        <v>0</v>
      </c>
      <c r="G36" s="9" t="n">
        <f aca="false">(G35*0)</f>
        <v>0</v>
      </c>
      <c r="H36" s="9" t="n">
        <f aca="false">(H35*0)</f>
        <v>0</v>
      </c>
      <c r="I36" s="9" t="n">
        <f aca="false">(I35*0)</f>
        <v>0</v>
      </c>
      <c r="J36" s="9" t="n">
        <f aca="false">(J35*0)</f>
        <v>0</v>
      </c>
      <c r="K36" s="9" t="n">
        <f aca="false">(K35*0)</f>
        <v>0</v>
      </c>
      <c r="L36" s="9" t="n">
        <f aca="false">(L35*0)</f>
        <v>0</v>
      </c>
      <c r="M36" s="9" t="n">
        <f aca="false">(M35*0)</f>
        <v>0</v>
      </c>
      <c r="N36" s="9" t="n">
        <f aca="false">(N35*0)</f>
        <v>0</v>
      </c>
      <c r="O36" s="9" t="n">
        <f aca="false">(O35*C37)</f>
        <v>0</v>
      </c>
      <c r="P36" s="9" t="n">
        <f aca="false">(P35*D37)</f>
        <v>0</v>
      </c>
      <c r="Q36" s="9" t="n">
        <f aca="false">(Q35*E37)</f>
        <v>0</v>
      </c>
      <c r="R36" s="9" t="n">
        <f aca="false">(R35*F37)</f>
        <v>0</v>
      </c>
      <c r="S36" s="9" t="n">
        <f aca="false">(S35*G37)</f>
        <v>0</v>
      </c>
      <c r="T36" s="9" t="n">
        <f aca="false">(T35*H37)</f>
        <v>0</v>
      </c>
      <c r="U36" s="9" t="n">
        <f aca="false">(U35*I37)</f>
        <v>0</v>
      </c>
      <c r="V36" s="9" t="n">
        <f aca="false">(V35*J37)</f>
        <v>0</v>
      </c>
      <c r="W36" s="9" t="n">
        <f aca="false">(W35*K37)</f>
        <v>0</v>
      </c>
      <c r="X36" s="9" t="n">
        <f aca="false">(X35*L37)</f>
        <v>0</v>
      </c>
      <c r="Y36" s="9" t="n">
        <f aca="false">(Y35*M37)</f>
        <v>0</v>
      </c>
      <c r="Z36" s="9" t="n">
        <f aca="false">(Z35*N37)</f>
        <v>0</v>
      </c>
      <c r="AA36" s="9" t="n">
        <f aca="false">(AA35*O37)</f>
        <v>1.11759598998379</v>
      </c>
      <c r="AB36" s="9" t="n">
        <f aca="false">(AB35*P37)</f>
        <v>2.49531607567314</v>
      </c>
      <c r="AC36" s="9" t="n">
        <f aca="false">(AC35*Q37)</f>
        <v>3.56706037953005</v>
      </c>
      <c r="AD36" s="9" t="n">
        <f aca="false">(AD35*R37)</f>
        <v>4.35750512817104</v>
      </c>
      <c r="AE36" s="9" t="n">
        <f aca="false">(AE35*S37)</f>
        <v>4.9864327774712</v>
      </c>
      <c r="AF36" s="9" t="n">
        <f aca="false">(AF35*T37)</f>
        <v>5.36419294368185</v>
      </c>
      <c r="AG36" s="9" t="n">
        <f aca="false">(AG35*U37)</f>
        <v>5.61336439867157</v>
      </c>
      <c r="AH36" s="9" t="n">
        <f aca="false">(AH35*V37)</f>
        <v>6.07598835173444</v>
      </c>
      <c r="AI36" s="9" t="n">
        <f aca="false">(AI35*W37)</f>
        <v>7.55475043139244</v>
      </c>
      <c r="AJ36" s="9" t="n">
        <f aca="false">(AJ35*X37)</f>
        <v>9.16717366725906</v>
      </c>
      <c r="AK36" s="9" t="n">
        <f aca="false">(AK35*Y37)</f>
        <v>9.79245873040136</v>
      </c>
      <c r="AL36" s="9" t="n">
        <f aca="false">(AL35*Z37)</f>
        <v>10.1358461284627</v>
      </c>
      <c r="AN36" s="11" t="n">
        <f aca="false">SUM(C36:N36)</f>
        <v>0</v>
      </c>
      <c r="AO36" s="11" t="n">
        <f aca="false">SUM(O36:Z36)</f>
        <v>0</v>
      </c>
      <c r="AP36" s="11" t="n">
        <f aca="false">SUM(AA36:AL36)</f>
        <v>70.2276850024327</v>
      </c>
    </row>
    <row r="37" customFormat="false" ht="15" hidden="false" customHeight="false" outlineLevel="0" collapsed="false">
      <c r="A37" s="0" t="s">
        <v>842</v>
      </c>
      <c r="B37" s="0" t="s">
        <v>500</v>
      </c>
      <c r="C37" s="9" t="n">
        <f aca="false">(C33+C36)</f>
        <v>0</v>
      </c>
      <c r="D37" s="9" t="n">
        <f aca="false">(D33+D36)</f>
        <v>0</v>
      </c>
      <c r="E37" s="9" t="n">
        <f aca="false">(E33+E36)</f>
        <v>0</v>
      </c>
      <c r="F37" s="9" t="n">
        <f aca="false">(F33+F36)</f>
        <v>0</v>
      </c>
      <c r="G37" s="9" t="n">
        <f aca="false">(G33+G36)</f>
        <v>0</v>
      </c>
      <c r="H37" s="9" t="n">
        <f aca="false">(H33+H36)</f>
        <v>0</v>
      </c>
      <c r="I37" s="9" t="n">
        <f aca="false">(I33+I36)</f>
        <v>0</v>
      </c>
      <c r="J37" s="9" t="n">
        <f aca="false">(J33+J36)</f>
        <v>0</v>
      </c>
      <c r="K37" s="9" t="n">
        <f aca="false">(K33+K36)</f>
        <v>0</v>
      </c>
      <c r="L37" s="9" t="n">
        <f aca="false">(L33+L36)</f>
        <v>0</v>
      </c>
      <c r="M37" s="9" t="n">
        <f aca="false">(M33+M36)</f>
        <v>0</v>
      </c>
      <c r="N37" s="9" t="n">
        <f aca="false">(N33+N36)</f>
        <v>0</v>
      </c>
      <c r="O37" s="9" t="n">
        <f aca="false">(O33+O36)</f>
        <v>2.03199270906143</v>
      </c>
      <c r="P37" s="9" t="n">
        <f aca="false">(P33+P36)</f>
        <v>4.5369383194057</v>
      </c>
      <c r="Q37" s="9" t="n">
        <f aca="false">(Q33+Q36)</f>
        <v>6.48556432641828</v>
      </c>
      <c r="R37" s="9" t="n">
        <f aca="false">(R33+R36)</f>
        <v>7.92273659667462</v>
      </c>
      <c r="S37" s="9" t="n">
        <f aca="false">(S33+S36)</f>
        <v>9.066241413584</v>
      </c>
      <c r="T37" s="9" t="n">
        <f aca="false">(T33+T36)</f>
        <v>9.75307807942154</v>
      </c>
      <c r="U37" s="9" t="n">
        <f aca="false">(U33+U36)</f>
        <v>10.2061170884938</v>
      </c>
      <c r="V37" s="9" t="n">
        <f aca="false">(V33+V36)</f>
        <v>11.0472515486081</v>
      </c>
      <c r="W37" s="9" t="n">
        <f aca="false">(W33+W36)</f>
        <v>13.735909875259</v>
      </c>
      <c r="X37" s="9" t="n">
        <f aca="false">(X33+X36)</f>
        <v>16.6675884859256</v>
      </c>
      <c r="Y37" s="9" t="n">
        <f aca="false">(Y33+Y36)</f>
        <v>17.8044704189116</v>
      </c>
      <c r="Z37" s="9" t="n">
        <f aca="false">(Z33+Z36)</f>
        <v>18.4288111426595</v>
      </c>
      <c r="AA37" s="9" t="n">
        <f aca="false">(AA33+AA36)</f>
        <v>19.6871252330532</v>
      </c>
      <c r="AB37" s="9" t="n">
        <f aca="false">(AB33+AB36)</f>
        <v>23.1954026259327</v>
      </c>
      <c r="AC37" s="9" t="n">
        <f aca="false">(AC33+AC36)</f>
        <v>25.7014371204583</v>
      </c>
      <c r="AD37" s="9" t="n">
        <f aca="false">(AD33+AD36)</f>
        <v>27.2913837698012</v>
      </c>
      <c r="AE37" s="9" t="n">
        <f aca="false">(AE33+AE36)</f>
        <v>28.4097887323925</v>
      </c>
      <c r="AF37" s="9" t="n">
        <f aca="false">(AF33+AF36)</f>
        <v>28.7143560814227</v>
      </c>
      <c r="AG37" s="9" t="n">
        <f aca="false">(AG33+AG36)</f>
        <v>28.655588797439</v>
      </c>
      <c r="AH37" s="9" t="n">
        <f aca="false">(AH33+AH36)</f>
        <v>29.4689399738016</v>
      </c>
      <c r="AI37" s="9" t="n">
        <f aca="false">(AI33+AI36)</f>
        <v>34.0061733767906</v>
      </c>
      <c r="AJ37" s="9" t="n">
        <f aca="false">(AJ33+AJ36)</f>
        <v>39.0372685956135</v>
      </c>
      <c r="AK37" s="9" t="n">
        <f aca="false">(AK33+AK36)</f>
        <v>40.5948851598784</v>
      </c>
      <c r="AL37" s="9" t="n">
        <f aca="false">(AL33+AL36)</f>
        <v>41.1970396155862</v>
      </c>
      <c r="AN37" s="11" t="n">
        <f aca="false">SUM(C37:N37)</f>
        <v>0</v>
      </c>
      <c r="AO37" s="11" t="n">
        <f aca="false">SUM(O37:Z37)</f>
        <v>127.686700004423</v>
      </c>
      <c r="AP37" s="11" t="n">
        <f aca="false">SUM(AA37:AL37)</f>
        <v>365.95938908217</v>
      </c>
    </row>
    <row r="38" customFormat="false" ht="15" hidden="false" customHeight="false" outlineLevel="0" collapsed="false">
      <c r="A38" s="0" t="s">
        <v>843</v>
      </c>
      <c r="B38" s="0" t="s">
        <v>500</v>
      </c>
      <c r="C38" s="9" t="n">
        <f aca="false">C37</f>
        <v>0</v>
      </c>
      <c r="D38" s="9" t="n">
        <f aca="false">SUM(C37:D37)</f>
        <v>0</v>
      </c>
      <c r="E38" s="9" t="n">
        <f aca="false">SUM(C37:E37)</f>
        <v>0</v>
      </c>
      <c r="F38" s="9" t="n">
        <f aca="false">SUM(C37:F37)</f>
        <v>0</v>
      </c>
      <c r="G38" s="9" t="n">
        <f aca="false">SUM(C37:G37)</f>
        <v>0</v>
      </c>
      <c r="H38" s="9" t="n">
        <f aca="false">SUM(C37:H37)</f>
        <v>0</v>
      </c>
      <c r="I38" s="9" t="n">
        <f aca="false">SUM(C37:I37)</f>
        <v>0</v>
      </c>
      <c r="J38" s="9" t="n">
        <f aca="false">SUM(C37:J37)</f>
        <v>0</v>
      </c>
      <c r="K38" s="9" t="n">
        <f aca="false">SUM(C37:K37)</f>
        <v>0</v>
      </c>
      <c r="L38" s="9" t="n">
        <f aca="false">SUM(C37:L37)</f>
        <v>0</v>
      </c>
      <c r="M38" s="9" t="n">
        <f aca="false">SUM(C37:M37)</f>
        <v>0</v>
      </c>
      <c r="N38" s="9" t="n">
        <f aca="false">SUM(C37:N37)</f>
        <v>0</v>
      </c>
      <c r="O38" s="9" t="n">
        <f aca="false">SUM(D37:O37)</f>
        <v>2.03199270906143</v>
      </c>
      <c r="P38" s="9" t="n">
        <f aca="false">SUM(E37:P37)</f>
        <v>6.56893102846713</v>
      </c>
      <c r="Q38" s="9" t="n">
        <f aca="false">SUM(F37:Q37)</f>
        <v>13.0544953548854</v>
      </c>
      <c r="R38" s="9" t="n">
        <f aca="false">SUM(G37:R37)</f>
        <v>20.97723195156</v>
      </c>
      <c r="S38" s="9" t="n">
        <f aca="false">SUM(H37:S37)</f>
        <v>30.043473365144</v>
      </c>
      <c r="T38" s="9" t="n">
        <f aca="false">SUM(I37:T37)</f>
        <v>39.7965514445656</v>
      </c>
      <c r="U38" s="9" t="n">
        <f aca="false">SUM(J37:U37)</f>
        <v>50.0026685330593</v>
      </c>
      <c r="V38" s="9" t="n">
        <f aca="false">SUM(K37:V37)</f>
        <v>61.0499200816674</v>
      </c>
      <c r="W38" s="9" t="n">
        <f aca="false">SUM(L37:W37)</f>
        <v>74.7858299569264</v>
      </c>
      <c r="X38" s="9" t="n">
        <f aca="false">SUM(M37:X37)</f>
        <v>91.4534184428519</v>
      </c>
      <c r="Y38" s="9" t="n">
        <f aca="false">SUM(N37:Y37)</f>
        <v>109.257888861763</v>
      </c>
      <c r="Z38" s="9" t="n">
        <f aca="false">SUM(O37:Z37)</f>
        <v>127.686700004423</v>
      </c>
      <c r="AA38" s="9" t="n">
        <f aca="false">SUM(P37:AA37)</f>
        <v>145.341832528415</v>
      </c>
      <c r="AB38" s="9" t="n">
        <f aca="false">SUM(Q37:AB37)</f>
        <v>164.000296834942</v>
      </c>
      <c r="AC38" s="9" t="n">
        <f aca="false">SUM(R37:AC37)</f>
        <v>183.216169628982</v>
      </c>
      <c r="AD38" s="9" t="n">
        <f aca="false">SUM(S37:AD37)</f>
        <v>202.584816802108</v>
      </c>
      <c r="AE38" s="9" t="n">
        <f aca="false">SUM(T37:AE37)</f>
        <v>221.928364120917</v>
      </c>
      <c r="AF38" s="9" t="n">
        <f aca="false">SUM(U37:AF37)</f>
        <v>240.889642122918</v>
      </c>
      <c r="AG38" s="9" t="n">
        <f aca="false">SUM(V37:AG37)</f>
        <v>259.339113831863</v>
      </c>
      <c r="AH38" s="9" t="n">
        <f aca="false">SUM(W37:AH37)</f>
        <v>277.760802257057</v>
      </c>
      <c r="AI38" s="9" t="n">
        <f aca="false">SUM(X37:AI37)</f>
        <v>298.031065758588</v>
      </c>
      <c r="AJ38" s="9" t="n">
        <f aca="false">SUM(Y37:AJ37)</f>
        <v>320.400745868276</v>
      </c>
      <c r="AK38" s="9" t="n">
        <f aca="false">SUM(Z37:AK37)</f>
        <v>343.191160609243</v>
      </c>
      <c r="AL38" s="9" t="n">
        <f aca="false">SUM(AA37:AL37)</f>
        <v>365.95938908217</v>
      </c>
      <c r="AN38" s="11" t="n">
        <f aca="false">N38</f>
        <v>0</v>
      </c>
      <c r="AO38" s="11" t="n">
        <f aca="false">Z38</f>
        <v>127.686700004423</v>
      </c>
      <c r="AP38" s="11" t="n">
        <f aca="false">AL38</f>
        <v>365.95938908217</v>
      </c>
    </row>
    <row r="39" customFormat="false" ht="15" hidden="false" customHeight="false" outlineLevel="0" collapsed="false">
      <c r="A39" s="0" t="s">
        <v>844</v>
      </c>
      <c r="B39" s="0" t="s">
        <v>500</v>
      </c>
      <c r="C39" s="9" t="n">
        <f aca="false">(C34+C38)</f>
        <v>0</v>
      </c>
      <c r="D39" s="9" t="n">
        <f aca="false">(D34+D38)</f>
        <v>0</v>
      </c>
      <c r="E39" s="9" t="n">
        <f aca="false">(E34+E38)</f>
        <v>0</v>
      </c>
      <c r="F39" s="9" t="n">
        <f aca="false">(F34+F38)</f>
        <v>0</v>
      </c>
      <c r="G39" s="9" t="n">
        <f aca="false">(G34+G38)</f>
        <v>0</v>
      </c>
      <c r="H39" s="9" t="n">
        <f aca="false">(H34+H38)</f>
        <v>0</v>
      </c>
      <c r="I39" s="9" t="n">
        <f aca="false">(I34+I38)</f>
        <v>0</v>
      </c>
      <c r="J39" s="9" t="n">
        <f aca="false">(J34+J38)</f>
        <v>0</v>
      </c>
      <c r="K39" s="9" t="n">
        <f aca="false">(K34+K38)</f>
        <v>0</v>
      </c>
      <c r="L39" s="9" t="n">
        <f aca="false">(L34+L38)</f>
        <v>0</v>
      </c>
      <c r="M39" s="9" t="n">
        <f aca="false">(M34+M38)</f>
        <v>0</v>
      </c>
      <c r="N39" s="9" t="n">
        <f aca="false">(N34+N38)</f>
        <v>0</v>
      </c>
      <c r="O39" s="9" t="n">
        <f aca="false">(O34+O38)</f>
        <v>4.51553935346985</v>
      </c>
      <c r="P39" s="9" t="n">
        <f aca="false">(P34+P38)</f>
        <v>14.4734471754843</v>
      </c>
      <c r="Q39" s="9" t="n">
        <f aca="false">(Q34+Q38)</f>
        <v>28.4905865379519</v>
      </c>
      <c r="R39" s="9" t="n">
        <f aca="false">(R34+R38)</f>
        <v>45.3248633047421</v>
      </c>
      <c r="S39" s="9" t="n">
        <f aca="false">(S34+S38)</f>
        <v>64.2546848783808</v>
      </c>
      <c r="T39" s="9" t="n">
        <f aca="false">(T34+T38)</f>
        <v>84.2176311458779</v>
      </c>
      <c r="U39" s="9" t="n">
        <f aca="false">(U34+U38)</f>
        <v>104.676837357465</v>
      </c>
      <c r="V39" s="9" t="n">
        <f aca="false">(V34+V38)</f>
        <v>126.492576802041</v>
      </c>
      <c r="W39" s="9" t="n">
        <f aca="false">(W34+W38)</f>
        <v>153.744688133264</v>
      </c>
      <c r="X39" s="9" t="n">
        <f aca="false">(X34+X38)</f>
        <v>186.835830748726</v>
      </c>
      <c r="Y39" s="9" t="n">
        <f aca="false">(Y34+Y38)</f>
        <v>221.632199953236</v>
      </c>
      <c r="Z39" s="9" t="n">
        <f aca="false">(Z34+Z38)</f>
        <v>256.966398049017</v>
      </c>
      <c r="AA39" s="9" t="n">
        <f aca="false">(AA34+AA38)</f>
        <v>290.853636967864</v>
      </c>
      <c r="AB39" s="9" t="n">
        <f aca="false">(AB34+AB38)</f>
        <v>327.536616836069</v>
      </c>
      <c r="AC39" s="9" t="n">
        <f aca="false">(AC34+AC38)</f>
        <v>365.628800757854</v>
      </c>
      <c r="AD39" s="9" t="n">
        <f aca="false">(AD34+AD38)</f>
        <v>403.907112492085</v>
      </c>
      <c r="AE39" s="9" t="n">
        <f aca="false">(AE34+AE38)</f>
        <v>441.81309119352</v>
      </c>
      <c r="AF39" s="9" t="n">
        <f aca="false">(AF34+AF38)</f>
        <v>478.319221121352</v>
      </c>
      <c r="AG39" s="9" t="n">
        <f aca="false">(AG34+AG38)</f>
        <v>513.05993258998</v>
      </c>
      <c r="AH39" s="9" t="n">
        <f aca="false">(AH34+AH38)</f>
        <v>547.386965393128</v>
      </c>
      <c r="AI39" s="9" t="n">
        <f aca="false">(AI34+AI38)</f>
        <v>586.50543767112</v>
      </c>
      <c r="AJ39" s="9" t="n">
        <f aca="false">(AJ34+AJ38)</f>
        <v>630.959292986504</v>
      </c>
      <c r="AK39" s="9" t="n">
        <f aca="false">(AK34+AK38)</f>
        <v>675.869190452031</v>
      </c>
      <c r="AL39" s="9" t="n">
        <f aca="false">(AL34+AL38)</f>
        <v>719.967198361525</v>
      </c>
      <c r="AN39" s="11" t="n">
        <f aca="false">N39</f>
        <v>0</v>
      </c>
      <c r="AO39" s="11" t="n">
        <f aca="false">Z39</f>
        <v>256.966398049017</v>
      </c>
      <c r="AP39" s="11" t="n">
        <f aca="false">AL39</f>
        <v>719.967198361525</v>
      </c>
    </row>
    <row r="40" customFormat="false" ht="15" hidden="false" customHeight="false" outlineLevel="0" collapsed="false">
      <c r="A40" s="0" t="s">
        <v>845</v>
      </c>
      <c r="B40" s="0" t="s">
        <v>500</v>
      </c>
      <c r="C40" s="9" t="n">
        <f aca="false">((0+C28)-C39)</f>
        <v>0</v>
      </c>
      <c r="D40" s="9" t="n">
        <f aca="false">((C39+D28)-D39)</f>
        <v>0</v>
      </c>
      <c r="E40" s="9" t="n">
        <f aca="false">((D39+E28)-E39)</f>
        <v>0</v>
      </c>
      <c r="F40" s="9" t="n">
        <f aca="false">((E39+F28)-F39)</f>
        <v>0</v>
      </c>
      <c r="G40" s="9" t="n">
        <f aca="false">((F39+G28)-G39)</f>
        <v>0</v>
      </c>
      <c r="H40" s="9" t="n">
        <f aca="false">((G39+H28)-H39)</f>
        <v>0</v>
      </c>
      <c r="I40" s="9" t="n">
        <f aca="false">((H39+I28)-I39)</f>
        <v>0</v>
      </c>
      <c r="J40" s="9" t="n">
        <f aca="false">((I39+J28)-J39)</f>
        <v>0</v>
      </c>
      <c r="K40" s="9" t="n">
        <f aca="false">((J39+K28)-K39)</f>
        <v>0</v>
      </c>
      <c r="L40" s="9" t="n">
        <f aca="false">((K39+L28)-L39)</f>
        <v>0</v>
      </c>
      <c r="M40" s="9" t="n">
        <f aca="false">((L39+M28)-M39)</f>
        <v>0</v>
      </c>
      <c r="N40" s="9" t="n">
        <f aca="false">((M39+N28)-N39)</f>
        <v>0</v>
      </c>
      <c r="O40" s="9" t="n">
        <f aca="false">((N39+O28)-O39)</f>
        <v>0</v>
      </c>
      <c r="P40" s="9" t="n">
        <f aca="false">((O39+P28)-P39)</f>
        <v>0.12417733222042</v>
      </c>
      <c r="Q40" s="9" t="n">
        <f aca="false">((P39+Q28)-Q39)</f>
        <v>0.395225807350862</v>
      </c>
      <c r="R40" s="9" t="n">
        <f aca="false">((Q39+R28)-R39)</f>
        <v>0.771804559153324</v>
      </c>
      <c r="S40" s="9" t="n">
        <f aca="false">((R39+S28)-S39)</f>
        <v>1.2173815676591</v>
      </c>
      <c r="T40" s="9" t="n">
        <f aca="false">((S39+T28)-T39)</f>
        <v>1.71056057566183</v>
      </c>
      <c r="U40" s="9" t="n">
        <f aca="false">((T39+U28)-U39)</f>
        <v>2.22105398506564</v>
      </c>
      <c r="V40" s="9" t="n">
        <f aca="false">((U39+V28)-V39)</f>
        <v>2.73370844122029</v>
      </c>
      <c r="W40" s="9" t="n">
        <f aca="false">((V39+W28)-W39)</f>
        <v>3.27213283601867</v>
      </c>
      <c r="X40" s="9" t="n">
        <f aca="false">((W39+X28)-X39)</f>
        <v>3.94794290881686</v>
      </c>
      <c r="Y40" s="9" t="n">
        <f aca="false">((X39+Y28)-Y39)</f>
        <v>4.76912061529373</v>
      </c>
      <c r="Z40" s="9" t="n">
        <f aca="false">((Y39+Z28)-Z39)</f>
        <v>5.61871555457367</v>
      </c>
      <c r="AA40" s="9" t="n">
        <f aca="false">((Z39+AA28)-AA39)</f>
        <v>7.37838162130731</v>
      </c>
      <c r="AB40" s="9" t="n">
        <f aca="false">((AA39+AB28)-AB39)</f>
        <v>9.31721246570498</v>
      </c>
      <c r="AC40" s="9" t="n">
        <f aca="false">((AB39+AC28)-AC39)</f>
        <v>11.0953199469446</v>
      </c>
      <c r="AD40" s="9" t="n">
        <f aca="false">((AC39+AD28)-AD39)</f>
        <v>12.6858630249472</v>
      </c>
      <c r="AE40" s="9" t="n">
        <f aca="false">((AD39+AE28)-AE39)</f>
        <v>14.1459234206117</v>
      </c>
      <c r="AF40" s="9" t="n">
        <f aca="false">((AE39+AF28)-AF39)</f>
        <v>15.3831214893698</v>
      </c>
      <c r="AG40" s="9" t="n">
        <f aca="false">((AF39+AG28)-AG39)</f>
        <v>16.464231639744</v>
      </c>
      <c r="AH40" s="9" t="n">
        <f aca="false">((AG39+AH28)-AH39)</f>
        <v>17.6573041347795</v>
      </c>
      <c r="AI40" s="9" t="n">
        <f aca="false">((AH39+AI28)-AI39)</f>
        <v>19.6624676006701</v>
      </c>
      <c r="AJ40" s="9" t="n">
        <f aca="false">((AI39+AJ28)-AJ39)</f>
        <v>21.9241334142932</v>
      </c>
      <c r="AK40" s="9" t="n">
        <f aca="false">((AJ39+AK28)-AK39)</f>
        <v>23.5399390444215</v>
      </c>
      <c r="AL40" s="9" t="n">
        <f aca="false">((AK39+AL28)-AL39)</f>
        <v>24.9268665063362</v>
      </c>
      <c r="AN40" s="11" t="n">
        <f aca="false">SUM(C40:N40)</f>
        <v>0</v>
      </c>
      <c r="AO40" s="11" t="n">
        <f aca="false">SUM(O40:Z40)</f>
        <v>26.7818241830344</v>
      </c>
      <c r="AP40" s="11" t="n">
        <f aca="false">SUM(AA40:AL40)</f>
        <v>194.18076430913</v>
      </c>
    </row>
    <row r="41" customFormat="false" ht="15" hidden="false" customHeight="false" outlineLevel="0" collapsed="false">
      <c r="A41" s="0" t="s">
        <v>846</v>
      </c>
      <c r="B41" s="0" t="s">
        <v>230</v>
      </c>
      <c r="C41" s="9" t="n">
        <f aca="false">((((Assumptions!$C$12*(1-Assumptions!$C$14))*C34)+((Assumptions!$C$13*(1-Assumptions!$C$14))*C37))*(1-Assumptions!$C$15))</f>
        <v>0</v>
      </c>
      <c r="D41" s="9" t="n">
        <f aca="false">((((Assumptions!$C$12*(1-Assumptions!$C$14))*D34)+((Assumptions!$C$13*(1-Assumptions!$C$14))*D37))*(1-Assumptions!$C$15))</f>
        <v>0</v>
      </c>
      <c r="E41" s="9" t="n">
        <f aca="false">((((Assumptions!$C$12*(1-Assumptions!$C$14))*E34)+((Assumptions!$C$13*(1-Assumptions!$C$14))*E37))*(1-Assumptions!$C$15))</f>
        <v>0</v>
      </c>
      <c r="F41" s="9" t="n">
        <f aca="false">((((Assumptions!$C$12*(1-Assumptions!$C$14))*F34)+((Assumptions!$C$13*(1-Assumptions!$C$14))*F37))*(1-Assumptions!$C$15))</f>
        <v>0</v>
      </c>
      <c r="G41" s="9" t="n">
        <f aca="false">((((Assumptions!$C$12*(1-Assumptions!$C$14))*G34)+((Assumptions!$C$13*(1-Assumptions!$C$14))*G37))*(1-Assumptions!$C$15))</f>
        <v>0</v>
      </c>
      <c r="H41" s="9" t="n">
        <f aca="false">((((Assumptions!$C$12*(1-Assumptions!$C$14))*H34)+((Assumptions!$C$13*(1-Assumptions!$C$14))*H37))*(1-Assumptions!$C$15))</f>
        <v>0</v>
      </c>
      <c r="I41" s="9" t="n">
        <f aca="false">((((Assumptions!$C$12*(1-Assumptions!$C$14))*I34)+((Assumptions!$C$13*(1-Assumptions!$C$14))*I37))*(1-Assumptions!$C$15))</f>
        <v>0</v>
      </c>
      <c r="J41" s="9" t="n">
        <f aca="false">((((Assumptions!$C$12*(1-Assumptions!$C$14))*J34)+((Assumptions!$C$13*(1-Assumptions!$C$14))*J37))*(1-Assumptions!$C$15))</f>
        <v>0</v>
      </c>
      <c r="K41" s="9" t="n">
        <f aca="false">((((Assumptions!$C$12*(1-Assumptions!$C$14))*K34)+((Assumptions!$C$13*(1-Assumptions!$C$14))*K37))*(1-Assumptions!$C$15))</f>
        <v>0</v>
      </c>
      <c r="L41" s="9" t="n">
        <f aca="false">((((Assumptions!$C$12*(1-Assumptions!$C$14))*L34)+((Assumptions!$C$13*(1-Assumptions!$C$14))*L37))*(1-Assumptions!$C$15))</f>
        <v>0</v>
      </c>
      <c r="M41" s="9" t="n">
        <f aca="false">((((Assumptions!$C$12*(1-Assumptions!$C$14))*M34)+((Assumptions!$C$13*(1-Assumptions!$C$14))*M37))*(1-Assumptions!$C$15))</f>
        <v>0</v>
      </c>
      <c r="N41" s="9" t="n">
        <f aca="false">((((Assumptions!$C$12*(1-Assumptions!$C$14))*N34)+((Assumptions!$C$13*(1-Assumptions!$C$14))*N37))*(1-Assumptions!$C$15))</f>
        <v>0</v>
      </c>
      <c r="O41" s="9" t="n">
        <f aca="false">((((Assumptions!$C$12*(1-Assumptions!$C$14))*O34)+((Assumptions!$C$13*(1-Assumptions!$C$14))*O37))*(1-Assumptions!$C$15))</f>
        <v>121.607982877657</v>
      </c>
      <c r="P41" s="9" t="n">
        <f aca="false">((((Assumptions!$C$12*(1-Assumptions!$C$14))*P34)+((Assumptions!$C$13*(1-Assumptions!$C$14))*P37))*(1-Assumptions!$C$15))</f>
        <v>287.926957961313</v>
      </c>
      <c r="Q41" s="9" t="n">
        <f aca="false">((((Assumptions!$C$12*(1-Assumptions!$C$14))*Q34)+((Assumptions!$C$13*(1-Assumptions!$C$14))*Q37))*(1-Assumptions!$C$15))</f>
        <v>440.356712315043</v>
      </c>
      <c r="R41" s="9" t="n">
        <f aca="false">((((Assumptions!$C$12*(1-Assumptions!$C$14))*R34)+((Assumptions!$C$13*(1-Assumptions!$C$14))*R37))*(1-Assumptions!$C$15))</f>
        <v>576.120353042797</v>
      </c>
      <c r="S41" s="9" t="n">
        <f aca="false">((((Assumptions!$C$12*(1-Assumptions!$C$14))*S34)+((Assumptions!$C$13*(1-Assumptions!$C$14))*S37))*(1-Assumptions!$C$15))</f>
        <v>703.425043098247</v>
      </c>
      <c r="T41" s="9" t="n">
        <f aca="false">((((Assumptions!$C$12*(1-Assumptions!$C$14))*T34)+((Assumptions!$C$13*(1-Assumptions!$C$14))*T37))*(1-Assumptions!$C$15))</f>
        <v>809.68885595449</v>
      </c>
      <c r="U41" s="9" t="n">
        <f aca="false">((((Assumptions!$C$12*(1-Assumptions!$C$14))*U34)+((Assumptions!$C$13*(1-Assumptions!$C$14))*U37))*(1-Assumptions!$C$15))</f>
        <v>904.248242156615</v>
      </c>
      <c r="V41" s="9" t="n">
        <f aca="false">((((Assumptions!$C$12*(1-Assumptions!$C$14))*V34)+((Assumptions!$C$13*(1-Assumptions!$C$14))*V37))*(1-Assumptions!$C$15))</f>
        <v>1022.31936405095</v>
      </c>
      <c r="W41" s="9" t="n">
        <f aca="false">((((Assumptions!$C$12*(1-Assumptions!$C$14))*W34)+((Assumptions!$C$13*(1-Assumptions!$C$14))*W37))*(1-Assumptions!$C$15))</f>
        <v>1254.36335472606</v>
      </c>
      <c r="X41" s="9" t="n">
        <f aca="false">((((Assumptions!$C$12*(1-Assumptions!$C$14))*X34)+((Assumptions!$C$13*(1-Assumptions!$C$14))*X37))*(1-Assumptions!$C$15))</f>
        <v>1519.10272760288</v>
      </c>
      <c r="Y41" s="9" t="n">
        <f aca="false">((((Assumptions!$C$12*(1-Assumptions!$C$14))*Y34)+((Assumptions!$C$13*(1-Assumptions!$C$14))*Y37))*(1-Assumptions!$C$15))</f>
        <v>1695.63551564298</v>
      </c>
      <c r="Z41" s="9" t="n">
        <f aca="false">((((Assumptions!$C$12*(1-Assumptions!$C$14))*Z34)+((Assumptions!$C$13*(1-Assumptions!$C$14))*Z37))*(1-Assumptions!$C$15))</f>
        <v>1845.24891436354</v>
      </c>
      <c r="AA41" s="9" t="n">
        <f aca="false">((((Assumptions!$C$12*(1-Assumptions!$C$14))*AA34)+((Assumptions!$C$13*(1-Assumptions!$C$14))*AA37))*(1-Assumptions!$C$15))</f>
        <v>2022.73359832443</v>
      </c>
      <c r="AB41" s="9" t="n">
        <f aca="false">((((Assumptions!$C$12*(1-Assumptions!$C$14))*AB34)+((Assumptions!$C$13*(1-Assumptions!$C$14))*AB37))*(1-Assumptions!$C$15))</f>
        <v>2328.21259319848</v>
      </c>
      <c r="AC41" s="9" t="n">
        <f aca="false">((((Assumptions!$C$12*(1-Assumptions!$C$14))*AC34)+((Assumptions!$C$13*(1-Assumptions!$C$14))*AC37))*(1-Assumptions!$C$15))</f>
        <v>2588.1518486731</v>
      </c>
      <c r="AD41" s="9" t="n">
        <f aca="false">((((Assumptions!$C$12*(1-Assumptions!$C$14))*AD34)+((Assumptions!$C$13*(1-Assumptions!$C$14))*AD37))*(1-Assumptions!$C$15))</f>
        <v>2801.28402996912</v>
      </c>
      <c r="AE41" s="9" t="n">
        <f aca="false">((((Assumptions!$C$12*(1-Assumptions!$C$14))*AE34)+((Assumptions!$C$13*(1-Assumptions!$C$14))*AE37))*(1-Assumptions!$C$15))</f>
        <v>2987.78907588485</v>
      </c>
      <c r="AF41" s="9" t="n">
        <f aca="false">((((Assumptions!$C$12*(1-Assumptions!$C$14))*AF34)+((Assumptions!$C$13*(1-Assumptions!$C$14))*AF37))*(1-Assumptions!$C$15))</f>
        <v>3125.42949295474</v>
      </c>
      <c r="AG41" s="9" t="n">
        <f aca="false">((((Assumptions!$C$12*(1-Assumptions!$C$14))*AG34)+((Assumptions!$C$13*(1-Assumptions!$C$14))*AG37))*(1-Assumptions!$C$15))</f>
        <v>3235.69627313012</v>
      </c>
      <c r="AH41" s="9" t="n">
        <f aca="false">((((Assumptions!$C$12*(1-Assumptions!$C$14))*AH34)+((Assumptions!$C$13*(1-Assumptions!$C$14))*AH37))*(1-Assumptions!$C$15))</f>
        <v>3388.06093081358</v>
      </c>
      <c r="AI41" s="9" t="n">
        <f aca="false">((((Assumptions!$C$12*(1-Assumptions!$C$14))*AI34)+((Assumptions!$C$13*(1-Assumptions!$C$14))*AI37))*(1-Assumptions!$C$15))</f>
        <v>3752.10216324449</v>
      </c>
      <c r="AJ41" s="9" t="n">
        <f aca="false">((((Assumptions!$C$12*(1-Assumptions!$C$14))*AJ34)+((Assumptions!$C$13*(1-Assumptions!$C$14))*AJ37))*(1-Assumptions!$C$15))</f>
        <v>4164.00399408736</v>
      </c>
      <c r="AK41" s="9" t="n">
        <f aca="false">((((Assumptions!$C$12*(1-Assumptions!$C$14))*AK34)+((Assumptions!$C$13*(1-Assumptions!$C$14))*AK37))*(1-Assumptions!$C$15))</f>
        <v>4397.79620280759</v>
      </c>
      <c r="AL41" s="9" t="n">
        <f aca="false">((((Assumptions!$C$12*(1-Assumptions!$C$14))*AL34)+((Assumptions!$C$13*(1-Assumptions!$C$14))*AL37))*(1-Assumptions!$C$15))</f>
        <v>4577.03627243166</v>
      </c>
      <c r="AN41" s="11" t="n">
        <f aca="false">SUM(C41:N41)</f>
        <v>0</v>
      </c>
      <c r="AO41" s="11" t="n">
        <f aca="false">SUM(O41:Z41)</f>
        <v>11180.0440237926</v>
      </c>
      <c r="AP41" s="11" t="n">
        <f aca="false">SUM(AA41:AL41)</f>
        <v>39368.2964755195</v>
      </c>
    </row>
    <row r="42" customFormat="false" ht="15" hidden="false" customHeight="false" outlineLevel="0" collapsed="false">
      <c r="A42" s="0" t="s">
        <v>847</v>
      </c>
      <c r="B42" s="0" t="s">
        <v>230</v>
      </c>
      <c r="C42" s="9" t="n">
        <f aca="false">((((Assumptions!$C$12*(1-Assumptions!$C$14))*C34)+(((Assumptions!$C$13*(1-Assumptions!$C$14))/12)*C38))*(1-Assumptions!$C$15))</f>
        <v>0</v>
      </c>
      <c r="D42" s="9" t="n">
        <f aca="false">((((Assumptions!$C$12*(1-Assumptions!$C$14))*D34)+(((Assumptions!$C$13*(1-Assumptions!$C$14))/12)*D38))*(1-Assumptions!$C$15))</f>
        <v>0</v>
      </c>
      <c r="E42" s="9" t="n">
        <f aca="false">((((Assumptions!$C$12*(1-Assumptions!$C$14))*E34)+(((Assumptions!$C$13*(1-Assumptions!$C$14))/12)*E38))*(1-Assumptions!$C$15))</f>
        <v>0</v>
      </c>
      <c r="F42" s="9" t="n">
        <f aca="false">((((Assumptions!$C$12*(1-Assumptions!$C$14))*F34)+(((Assumptions!$C$13*(1-Assumptions!$C$14))/12)*F38))*(1-Assumptions!$C$15))</f>
        <v>0</v>
      </c>
      <c r="G42" s="9" t="n">
        <f aca="false">((((Assumptions!$C$12*(1-Assumptions!$C$14))*G34)+(((Assumptions!$C$13*(1-Assumptions!$C$14))/12)*G38))*(1-Assumptions!$C$15))</f>
        <v>0</v>
      </c>
      <c r="H42" s="9" t="n">
        <f aca="false">((((Assumptions!$C$12*(1-Assumptions!$C$14))*H34)+(((Assumptions!$C$13*(1-Assumptions!$C$14))/12)*H38))*(1-Assumptions!$C$15))</f>
        <v>0</v>
      </c>
      <c r="I42" s="9" t="n">
        <f aca="false">((((Assumptions!$C$12*(1-Assumptions!$C$14))*I34)+(((Assumptions!$C$13*(1-Assumptions!$C$14))/12)*I38))*(1-Assumptions!$C$15))</f>
        <v>0</v>
      </c>
      <c r="J42" s="9" t="n">
        <f aca="false">((((Assumptions!$C$12*(1-Assumptions!$C$14))*J34)+(((Assumptions!$C$13*(1-Assumptions!$C$14))/12)*J38))*(1-Assumptions!$C$15))</f>
        <v>0</v>
      </c>
      <c r="K42" s="9" t="n">
        <f aca="false">((((Assumptions!$C$12*(1-Assumptions!$C$14))*K34)+(((Assumptions!$C$13*(1-Assumptions!$C$14))/12)*K38))*(1-Assumptions!$C$15))</f>
        <v>0</v>
      </c>
      <c r="L42" s="9" t="n">
        <f aca="false">((((Assumptions!$C$12*(1-Assumptions!$C$14))*L34)+(((Assumptions!$C$13*(1-Assumptions!$C$14))/12)*L38))*(1-Assumptions!$C$15))</f>
        <v>0</v>
      </c>
      <c r="M42" s="9" t="n">
        <f aca="false">((((Assumptions!$C$12*(1-Assumptions!$C$14))*M34)+(((Assumptions!$C$13*(1-Assumptions!$C$14))/12)*M38))*(1-Assumptions!$C$15))</f>
        <v>0</v>
      </c>
      <c r="N42" s="9" t="n">
        <f aca="false">((((Assumptions!$C$12*(1-Assumptions!$C$14))*N34)+(((Assumptions!$C$13*(1-Assumptions!$C$14))/12)*N38))*(1-Assumptions!$C$15))</f>
        <v>0</v>
      </c>
      <c r="O42" s="9" t="n">
        <f aca="false">((((Assumptions!$C$12*(1-Assumptions!$C$14))*O34)+(((Assumptions!$C$13*(1-Assumptions!$C$14))/12)*O38))*(1-Assumptions!$C$15))</f>
        <v>25.964676852839</v>
      </c>
      <c r="P42" s="9" t="n">
        <f aca="false">((((Assumptions!$C$12*(1-Assumptions!$C$14))*P34)+(((Assumptions!$C$13*(1-Assumptions!$C$14))/12)*P38))*(1-Assumptions!$C$15))</f>
        <v>83.0739018655001</v>
      </c>
      <c r="Q42" s="9" t="n">
        <f aca="false">((((Assumptions!$C$12*(1-Assumptions!$C$14))*Q34)+(((Assumptions!$C$13*(1-Assumptions!$C$14))/12)*Q38))*(1-Assumptions!$C$15))</f>
        <v>163.197760212586</v>
      </c>
      <c r="R42" s="9" t="n">
        <f aca="false">((((Assumptions!$C$12*(1-Assumptions!$C$14))*R34)+(((Assumptions!$C$13*(1-Assumptions!$C$14))/12)*R38))*(1-Assumptions!$C$15))</f>
        <v>259.067102187655</v>
      </c>
      <c r="S42" s="9" t="n">
        <f aca="false">((((Assumptions!$C$12*(1-Assumptions!$C$14))*S34)+(((Assumptions!$C$13*(1-Assumptions!$C$14))/12)*S38))*(1-Assumptions!$C$15))</f>
        <v>366.449670308577</v>
      </c>
      <c r="T42" s="9" t="n">
        <f aca="false">((((Assumptions!$C$12*(1-Assumptions!$C$14))*T34)+(((Assumptions!$C$13*(1-Assumptions!$C$14))/12)*T38))*(1-Assumptions!$C$15))</f>
        <v>479.179177373287</v>
      </c>
      <c r="U42" s="9" t="n">
        <f aca="false">((((Assumptions!$C$12*(1-Assumptions!$C$14))*U34)+(((Assumptions!$C$13*(1-Assumptions!$C$14))/12)*U38))*(1-Assumptions!$C$15))</f>
        <v>594.147772318012</v>
      </c>
      <c r="V42" s="9" t="n">
        <f aca="false">((((Assumptions!$C$12*(1-Assumptions!$C$14))*V34)+(((Assumptions!$C$13*(1-Assumptions!$C$14))/12)*V38))*(1-Assumptions!$C$15))</f>
        <v>716.299487489941</v>
      </c>
      <c r="W42" s="9" t="n">
        <f aca="false">((((Assumptions!$C$12*(1-Assumptions!$C$14))*W34)+(((Assumptions!$C$13*(1-Assumptions!$C$14))/12)*W38))*(1-Assumptions!$C$15))</f>
        <v>869.062671964164</v>
      </c>
      <c r="X42" s="9" t="n">
        <f aca="false">((((Assumptions!$C$12*(1-Assumptions!$C$14))*X34)+(((Assumptions!$C$13*(1-Assumptions!$C$14))/12)*X38))*(1-Assumptions!$C$15))</f>
        <v>1054.58728548562</v>
      </c>
      <c r="Y42" s="9" t="n">
        <f aca="false">((((Assumptions!$C$12*(1-Assumptions!$C$14))*Y34)+(((Assumptions!$C$13*(1-Assumptions!$C$14))/12)*Y38))*(1-Assumptions!$C$15))</f>
        <v>1248.9286849061</v>
      </c>
      <c r="Z42" s="9" t="n">
        <f aca="false">((((Assumptions!$C$12*(1-Assumptions!$C$14))*Z34)+(((Assumptions!$C$13*(1-Assumptions!$C$14))/12)*Z38))*(1-Assumptions!$C$15))</f>
        <v>1445.34004560502</v>
      </c>
      <c r="AA42" s="9" t="n">
        <f aca="false">((((Assumptions!$C$12*(1-Assumptions!$C$14))*AA34)+(((Assumptions!$C$13*(1-Assumptions!$C$14))/12)*AA38))*(1-Assumptions!$C$15))</f>
        <v>1633.75906583846</v>
      </c>
      <c r="AB42" s="9" t="n">
        <f aca="false">((((Assumptions!$C$12*(1-Assumptions!$C$14))*AB34)+(((Assumptions!$C$13*(1-Assumptions!$C$14))/12)*AB38))*(1-Assumptions!$C$15))</f>
        <v>1838.93518793217</v>
      </c>
      <c r="AC42" s="9" t="n">
        <f aca="false">((((Assumptions!$C$12*(1-Assumptions!$C$14))*AC34)+(((Assumptions!$C$13*(1-Assumptions!$C$14))/12)*AC38))*(1-Assumptions!$C$15))</f>
        <v>2052.41957528112</v>
      </c>
      <c r="AD42" s="9" t="n">
        <f aca="false">((((Assumptions!$C$12*(1-Assumptions!$C$14))*AD34)+(((Assumptions!$C$13*(1-Assumptions!$C$14))/12)*AD38))*(1-Assumptions!$C$15))</f>
        <v>2266.7896100483</v>
      </c>
      <c r="AE42" s="9" t="n">
        <f aca="false">((((Assumptions!$C$12*(1-Assumptions!$C$14))*AE34)+(((Assumptions!$C$13*(1-Assumptions!$C$14))/12)*AE38))*(1-Assumptions!$C$15))</f>
        <v>2478.63768885488</v>
      </c>
      <c r="AF42" s="9" t="n">
        <f aca="false">((((Assumptions!$C$12*(1-Assumptions!$C$14))*AF34)+(((Assumptions!$C$13*(1-Assumptions!$C$14))/12)*AF38))*(1-Assumptions!$C$15))</f>
        <v>2681.77410759559</v>
      </c>
      <c r="AG42" s="9" t="n">
        <f aca="false">((((Assumptions!$C$12*(1-Assumptions!$C$14))*AG34)+(((Assumptions!$C$13*(1-Assumptions!$C$14))/12)*AG38))*(1-Assumptions!$C$15))</f>
        <v>2874.00328084456</v>
      </c>
      <c r="AH42" s="9" t="n">
        <f aca="false">((((Assumptions!$C$12*(1-Assumptions!$C$14))*AH34)+(((Assumptions!$C$13*(1-Assumptions!$C$14))/12)*AH38))*(1-Assumptions!$C$15))</f>
        <v>3063.4301705587</v>
      </c>
      <c r="AI42" s="9" t="n">
        <f aca="false">((((Assumptions!$C$12*(1-Assumptions!$C$14))*AI34)+(((Assumptions!$C$13*(1-Assumptions!$C$14))/12)*AI38))*(1-Assumptions!$C$15))</f>
        <v>3281.23085414941</v>
      </c>
      <c r="AJ42" s="9" t="n">
        <f aca="false">((((Assumptions!$C$12*(1-Assumptions!$C$14))*AJ34)+(((Assumptions!$C$13*(1-Assumptions!$C$14))/12)*AJ38))*(1-Assumptions!$C$15))</f>
        <v>3530.51681897208</v>
      </c>
      <c r="AK42" s="9" t="n">
        <f aca="false">((((Assumptions!$C$12*(1-Assumptions!$C$14))*AK34)+(((Assumptions!$C$13*(1-Assumptions!$C$14))/12)*AK38))*(1-Assumptions!$C$15))</f>
        <v>3781.84861455164</v>
      </c>
      <c r="AL42" s="9" t="n">
        <f aca="false">((((Assumptions!$C$12*(1-Assumptions!$C$14))*AL34)+(((Assumptions!$C$13*(1-Assumptions!$C$14))/12)*AL38))*(1-Assumptions!$C$15))</f>
        <v>4027.5941182603</v>
      </c>
      <c r="AN42" s="11" t="n">
        <f aca="false">SUM(C42:N42)</f>
        <v>0</v>
      </c>
      <c r="AO42" s="11" t="n">
        <f aca="false">SUM(O42:Z42)</f>
        <v>7305.29823656931</v>
      </c>
      <c r="AP42" s="11" t="n">
        <f aca="false">SUM(AA42:AL42)</f>
        <v>33510.9390928872</v>
      </c>
    </row>
    <row r="43" customFormat="false" ht="15" hidden="false" customHeight="false" outlineLevel="0" collapsed="false">
      <c r="A43" s="21" t="s">
        <v>848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</row>
    <row r="44" customFormat="false" ht="15" hidden="false" customHeight="false" outlineLevel="0" collapsed="false">
      <c r="A44" s="0" t="s">
        <v>849</v>
      </c>
      <c r="B44" s="0" t="s">
        <v>160</v>
      </c>
      <c r="C44" s="14" t="n">
        <f aca="false">IF(AND(($C$14=1),(C$18&gt;=(Assumptions!$C$106+1)),(C$18&lt;=(Assumptions!$C$106+6))),Assumptions!$C$117,1)</f>
        <v>1</v>
      </c>
      <c r="D44" s="14" t="n">
        <f aca="false">IF(AND(($C$14=1),(D$18&gt;=(Assumptions!$C$106+1)),(D$18&lt;=(Assumptions!$C$106+6))),Assumptions!$C$117,1)</f>
        <v>1</v>
      </c>
      <c r="E44" s="14" t="n">
        <f aca="false">IF(AND(($C$14=1),(E$18&gt;=(Assumptions!$C$106+1)),(E$18&lt;=(Assumptions!$C$106+6))),Assumptions!$C$117,1)</f>
        <v>1</v>
      </c>
      <c r="F44" s="14" t="n">
        <f aca="false">IF(AND(($C$14=1),(F$18&gt;=(Assumptions!$C$106+1)),(F$18&lt;=(Assumptions!$C$106+6))),Assumptions!$C$117,1)</f>
        <v>1</v>
      </c>
      <c r="G44" s="14" t="n">
        <f aca="false">IF(AND(($C$14=1),(G$18&gt;=(Assumptions!$C$106+1)),(G$18&lt;=(Assumptions!$C$106+6))),Assumptions!$C$117,1)</f>
        <v>1</v>
      </c>
      <c r="H44" s="14" t="n">
        <f aca="false">IF(AND(($C$14=1),(H$18&gt;=(Assumptions!$C$106+1)),(H$18&lt;=(Assumptions!$C$106+6))),Assumptions!$C$117,1)</f>
        <v>1</v>
      </c>
      <c r="I44" s="14" t="n">
        <f aca="false">IF(AND(($C$14=1),(I$18&gt;=(Assumptions!$C$106+1)),(I$18&lt;=(Assumptions!$C$106+6))),Assumptions!$C$117,1)</f>
        <v>1</v>
      </c>
      <c r="J44" s="14" t="n">
        <f aca="false">IF(AND(($C$14=1),(J$18&gt;=(Assumptions!$C$106+1)),(J$18&lt;=(Assumptions!$C$106+6))),Assumptions!$C$117,1)</f>
        <v>1</v>
      </c>
      <c r="K44" s="14" t="n">
        <f aca="false">IF(AND(($C$14=1),(K$18&gt;=(Assumptions!$C$106+1)),(K$18&lt;=(Assumptions!$C$106+6))),Assumptions!$C$117,1)</f>
        <v>1</v>
      </c>
      <c r="L44" s="14" t="n">
        <f aca="false">IF(AND(($C$14=1),(L$18&gt;=(Assumptions!$C$106+1)),(L$18&lt;=(Assumptions!$C$106+6))),Assumptions!$C$117,1)</f>
        <v>1</v>
      </c>
      <c r="M44" s="14" t="n">
        <f aca="false">IF(AND(($C$14=1),(M$18&gt;=(Assumptions!$C$106+1)),(M$18&lt;=(Assumptions!$C$106+6))),Assumptions!$C$117,1)</f>
        <v>1</v>
      </c>
      <c r="N44" s="14" t="n">
        <f aca="false">IF(AND(($C$14=1),(N$18&gt;=(Assumptions!$C$106+1)),(N$18&lt;=(Assumptions!$C$106+6))),Assumptions!$C$117,1)</f>
        <v>1</v>
      </c>
      <c r="O44" s="14" t="n">
        <f aca="false">IF(AND(($C$14=1),(O$18&gt;=(Assumptions!$C$106+1)),(O$18&lt;=(Assumptions!$C$106+6))),Assumptions!$C$117,1)</f>
        <v>1</v>
      </c>
      <c r="P44" s="14" t="n">
        <f aca="false">IF(AND(($C$14=1),(P$18&gt;=(Assumptions!$C$106+1)),(P$18&lt;=(Assumptions!$C$106+6))),Assumptions!$C$117,1)</f>
        <v>1</v>
      </c>
      <c r="Q44" s="14" t="n">
        <f aca="false">IF(AND(($C$14=1),(Q$18&gt;=(Assumptions!$C$106+1)),(Q$18&lt;=(Assumptions!$C$106+6))),Assumptions!$C$117,1)</f>
        <v>1</v>
      </c>
      <c r="R44" s="14" t="n">
        <f aca="false">IF(AND(($C$14=1),(R$18&gt;=(Assumptions!$C$106+1)),(R$18&lt;=(Assumptions!$C$106+6))),Assumptions!$C$117,1)</f>
        <v>1</v>
      </c>
      <c r="S44" s="14" t="n">
        <f aca="false">IF(AND(($C$14=1),(S$18&gt;=(Assumptions!$C$106+1)),(S$18&lt;=(Assumptions!$C$106+6))),Assumptions!$C$117,1)</f>
        <v>1</v>
      </c>
      <c r="T44" s="14" t="n">
        <f aca="false">IF(AND(($C$14=1),(T$18&gt;=(Assumptions!$C$106+1)),(T$18&lt;=(Assumptions!$C$106+6))),Assumptions!$C$117,1)</f>
        <v>1</v>
      </c>
      <c r="U44" s="14" t="n">
        <f aca="false">IF(AND(($C$14=1),(U$18&gt;=(Assumptions!$C$106+1)),(U$18&lt;=(Assumptions!$C$106+6))),Assumptions!$C$117,1)</f>
        <v>1</v>
      </c>
      <c r="V44" s="14" t="n">
        <f aca="false">IF(AND(($C$14=1),(V$18&gt;=(Assumptions!$C$106+1)),(V$18&lt;=(Assumptions!$C$106+6))),Assumptions!$C$117,1)</f>
        <v>1</v>
      </c>
      <c r="W44" s="14" t="n">
        <f aca="false">IF(AND(($C$14=1),(W$18&gt;=(Assumptions!$C$106+1)),(W$18&lt;=(Assumptions!$C$106+6))),Assumptions!$C$117,1)</f>
        <v>1</v>
      </c>
      <c r="X44" s="14" t="n">
        <f aca="false">IF(AND(($C$14=1),(X$18&gt;=(Assumptions!$C$106+1)),(X$18&lt;=(Assumptions!$C$106+6))),Assumptions!$C$117,1)</f>
        <v>1</v>
      </c>
      <c r="Y44" s="14" t="n">
        <f aca="false">IF(AND(($C$14=1),(Y$18&gt;=(Assumptions!$C$106+1)),(Y$18&lt;=(Assumptions!$C$106+6))),Assumptions!$C$117,1)</f>
        <v>1</v>
      </c>
      <c r="Z44" s="14" t="n">
        <f aca="false">IF(AND(($C$14=1),(Z$18&gt;=(Assumptions!$C$106+1)),(Z$18&lt;=(Assumptions!$C$106+6))),Assumptions!$C$117,1)</f>
        <v>1</v>
      </c>
      <c r="AA44" s="14" t="n">
        <f aca="false">IF(AND(($C$14=1),(AA$18&gt;=(Assumptions!$C$106+1)),(AA$18&lt;=(Assumptions!$C$106+6))),Assumptions!$C$117,1)</f>
        <v>1</v>
      </c>
      <c r="AB44" s="14" t="n">
        <f aca="false">IF(AND(($C$14=1),(AB$18&gt;=(Assumptions!$C$106+1)),(AB$18&lt;=(Assumptions!$C$106+6))),Assumptions!$C$117,1)</f>
        <v>1</v>
      </c>
      <c r="AC44" s="14" t="n">
        <f aca="false">IF(AND(($C$14=1),(AC$18&gt;=(Assumptions!$C$106+1)),(AC$18&lt;=(Assumptions!$C$106+6))),Assumptions!$C$117,1)</f>
        <v>1</v>
      </c>
      <c r="AD44" s="14" t="n">
        <f aca="false">IF(AND(($C$14=1),(AD$18&gt;=(Assumptions!$C$106+1)),(AD$18&lt;=(Assumptions!$C$106+6))),Assumptions!$C$117,1)</f>
        <v>1</v>
      </c>
      <c r="AE44" s="14" t="n">
        <f aca="false">IF(AND(($C$14=1),(AE$18&gt;=(Assumptions!$C$106+1)),(AE$18&lt;=(Assumptions!$C$106+6))),Assumptions!$C$117,1)</f>
        <v>1</v>
      </c>
      <c r="AF44" s="14" t="n">
        <f aca="false">IF(AND(($C$14=1),(AF$18&gt;=(Assumptions!$C$106+1)),(AF$18&lt;=(Assumptions!$C$106+6))),Assumptions!$C$117,1)</f>
        <v>1</v>
      </c>
      <c r="AG44" s="14" t="n">
        <f aca="false">IF(AND(($C$14=1),(AG$18&gt;=(Assumptions!$C$106+1)),(AG$18&lt;=(Assumptions!$C$106+6))),Assumptions!$C$117,1)</f>
        <v>1</v>
      </c>
      <c r="AH44" s="14" t="n">
        <f aca="false">IF(AND(($C$14=1),(AH$18&gt;=(Assumptions!$C$106+1)),(AH$18&lt;=(Assumptions!$C$106+6))),Assumptions!$C$117,1)</f>
        <v>1</v>
      </c>
      <c r="AI44" s="14" t="n">
        <f aca="false">IF(AND(($C$14=1),(AI$18&gt;=(Assumptions!$C$106+1)),(AI$18&lt;=(Assumptions!$C$106+6))),Assumptions!$C$117,1)</f>
        <v>1</v>
      </c>
      <c r="AJ44" s="14" t="n">
        <f aca="false">IF(AND(($C$14=1),(AJ$18&gt;=(Assumptions!$C$106+1)),(AJ$18&lt;=(Assumptions!$C$106+6))),Assumptions!$C$117,1)</f>
        <v>1</v>
      </c>
      <c r="AK44" s="14" t="n">
        <f aca="false">IF(AND(($C$14=1),(AK$18&gt;=(Assumptions!$C$106+1)),(AK$18&lt;=(Assumptions!$C$106+6))),Assumptions!$C$117,1)</f>
        <v>1</v>
      </c>
      <c r="AL44" s="14" t="n">
        <f aca="false">IF(AND(($C$14=1),(AL$18&gt;=(Assumptions!$C$106+1)),(AL$18&lt;=(Assumptions!$C$106+6))),Assumptions!$C$117,1)</f>
        <v>1</v>
      </c>
    </row>
    <row r="45" customFormat="false" ht="15" hidden="false" customHeight="false" outlineLevel="0" collapsed="false">
      <c r="A45" s="0" t="s">
        <v>850</v>
      </c>
      <c r="B45" s="0" t="s">
        <v>193</v>
      </c>
      <c r="C45" s="12" t="n">
        <f aca="false">MAX(0,((1-((1-Assumptions!$C$30)*$C$6))-IF(AND(($C$14=1),(C$18&gt;=Assumptions!$C$106),(C$18&lt;=(Assumptions!$C$106+11))),Assumptions!$C$116,0)))</f>
        <v>0.88</v>
      </c>
      <c r="D45" s="12" t="n">
        <f aca="false">MAX(0,((1-((1-Assumptions!$C$30)*$C$6))-IF(AND(($C$14=1),(D$18&gt;=Assumptions!$C$106),(D$18&lt;=(Assumptions!$C$106+11))),Assumptions!$C$116,0)))</f>
        <v>0.88</v>
      </c>
      <c r="E45" s="12" t="n">
        <f aca="false">MAX(0,((1-((1-Assumptions!$C$30)*$C$6))-IF(AND(($C$14=1),(E$18&gt;=Assumptions!$C$106),(E$18&lt;=(Assumptions!$C$106+11))),Assumptions!$C$116,0)))</f>
        <v>0.88</v>
      </c>
      <c r="F45" s="12" t="n">
        <f aca="false">MAX(0,((1-((1-Assumptions!$C$30)*$C$6))-IF(AND(($C$14=1),(F$18&gt;=Assumptions!$C$106),(F$18&lt;=(Assumptions!$C$106+11))),Assumptions!$C$116,0)))</f>
        <v>0.88</v>
      </c>
      <c r="G45" s="12" t="n">
        <f aca="false">MAX(0,((1-((1-Assumptions!$C$30)*$C$6))-IF(AND(($C$14=1),(G$18&gt;=Assumptions!$C$106),(G$18&lt;=(Assumptions!$C$106+11))),Assumptions!$C$116,0)))</f>
        <v>0.88</v>
      </c>
      <c r="H45" s="12" t="n">
        <f aca="false">MAX(0,((1-((1-Assumptions!$C$30)*$C$6))-IF(AND(($C$14=1),(H$18&gt;=Assumptions!$C$106),(H$18&lt;=(Assumptions!$C$106+11))),Assumptions!$C$116,0)))</f>
        <v>0.88</v>
      </c>
      <c r="I45" s="12" t="n">
        <f aca="false">MAX(0,((1-((1-Assumptions!$C$30)*$C$6))-IF(AND(($C$14=1),(I$18&gt;=Assumptions!$C$106),(I$18&lt;=(Assumptions!$C$106+11))),Assumptions!$C$116,0)))</f>
        <v>0.88</v>
      </c>
      <c r="J45" s="12" t="n">
        <f aca="false">MAX(0,((1-((1-Assumptions!$C$30)*$C$6))-IF(AND(($C$14=1),(J$18&gt;=Assumptions!$C$106),(J$18&lt;=(Assumptions!$C$106+11))),Assumptions!$C$116,0)))</f>
        <v>0.88</v>
      </c>
      <c r="K45" s="12" t="n">
        <f aca="false">MAX(0,((1-((1-Assumptions!$C$30)*$C$6))-IF(AND(($C$14=1),(K$18&gt;=Assumptions!$C$106),(K$18&lt;=(Assumptions!$C$106+11))),Assumptions!$C$116,0)))</f>
        <v>0.88</v>
      </c>
      <c r="L45" s="12" t="n">
        <f aca="false">MAX(0,((1-((1-Assumptions!$C$30)*$C$6))-IF(AND(($C$14=1),(L$18&gt;=Assumptions!$C$106),(L$18&lt;=(Assumptions!$C$106+11))),Assumptions!$C$116,0)))</f>
        <v>0.88</v>
      </c>
      <c r="M45" s="12" t="n">
        <f aca="false">MAX(0,((1-((1-Assumptions!$C$30)*$C$6))-IF(AND(($C$14=1),(M$18&gt;=Assumptions!$C$106),(M$18&lt;=(Assumptions!$C$106+11))),Assumptions!$C$116,0)))</f>
        <v>0.88</v>
      </c>
      <c r="N45" s="12" t="n">
        <f aca="false">MAX(0,((1-((1-Assumptions!$C$30)*$C$6))-IF(AND(($C$14=1),(N$18&gt;=Assumptions!$C$106),(N$18&lt;=(Assumptions!$C$106+11))),Assumptions!$C$116,0)))</f>
        <v>0.88</v>
      </c>
      <c r="O45" s="12" t="n">
        <f aca="false">MAX(0,((1-((1-Assumptions!$C$30)*$C$6))-IF(AND(($C$14=1),(O$18&gt;=Assumptions!$C$106),(O$18&lt;=(Assumptions!$C$106+11))),Assumptions!$C$116,0)))</f>
        <v>0.88</v>
      </c>
      <c r="P45" s="12" t="n">
        <f aca="false">MAX(0,((1-((1-Assumptions!$C$30)*$C$6))-IF(AND(($C$14=1),(P$18&gt;=Assumptions!$C$106),(P$18&lt;=(Assumptions!$C$106+11))),Assumptions!$C$116,0)))</f>
        <v>0.88</v>
      </c>
      <c r="Q45" s="12" t="n">
        <f aca="false">MAX(0,((1-((1-Assumptions!$C$30)*$C$6))-IF(AND(($C$14=1),(Q$18&gt;=Assumptions!$C$106),(Q$18&lt;=(Assumptions!$C$106+11))),Assumptions!$C$116,0)))</f>
        <v>0.88</v>
      </c>
      <c r="R45" s="12" t="n">
        <f aca="false">MAX(0,((1-((1-Assumptions!$C$30)*$C$6))-IF(AND(($C$14=1),(R$18&gt;=Assumptions!$C$106),(R$18&lt;=(Assumptions!$C$106+11))),Assumptions!$C$116,0)))</f>
        <v>0.88</v>
      </c>
      <c r="S45" s="12" t="n">
        <f aca="false">MAX(0,((1-((1-Assumptions!$C$30)*$C$6))-IF(AND(($C$14=1),(S$18&gt;=Assumptions!$C$106),(S$18&lt;=(Assumptions!$C$106+11))),Assumptions!$C$116,0)))</f>
        <v>0.88</v>
      </c>
      <c r="T45" s="12" t="n">
        <f aca="false">MAX(0,((1-((1-Assumptions!$C$30)*$C$6))-IF(AND(($C$14=1),(T$18&gt;=Assumptions!$C$106),(T$18&lt;=(Assumptions!$C$106+11))),Assumptions!$C$116,0)))</f>
        <v>0.88</v>
      </c>
      <c r="U45" s="12" t="n">
        <f aca="false">MAX(0,((1-((1-Assumptions!$C$30)*$C$6))-IF(AND(($C$14=1),(U$18&gt;=Assumptions!$C$106),(U$18&lt;=(Assumptions!$C$106+11))),Assumptions!$C$116,0)))</f>
        <v>0.88</v>
      </c>
      <c r="V45" s="12" t="n">
        <f aca="false">MAX(0,((1-((1-Assumptions!$C$30)*$C$6))-IF(AND(($C$14=1),(V$18&gt;=Assumptions!$C$106),(V$18&lt;=(Assumptions!$C$106+11))),Assumptions!$C$116,0)))</f>
        <v>0.88</v>
      </c>
      <c r="W45" s="12" t="n">
        <f aca="false">MAX(0,((1-((1-Assumptions!$C$30)*$C$6))-IF(AND(($C$14=1),(W$18&gt;=Assumptions!$C$106),(W$18&lt;=(Assumptions!$C$106+11))),Assumptions!$C$116,0)))</f>
        <v>0.88</v>
      </c>
      <c r="X45" s="12" t="n">
        <f aca="false">MAX(0,((1-((1-Assumptions!$C$30)*$C$6))-IF(AND(($C$14=1),(X$18&gt;=Assumptions!$C$106),(X$18&lt;=(Assumptions!$C$106+11))),Assumptions!$C$116,0)))</f>
        <v>0.88</v>
      </c>
      <c r="Y45" s="12" t="n">
        <f aca="false">MAX(0,((1-((1-Assumptions!$C$30)*$C$6))-IF(AND(($C$14=1),(Y$18&gt;=Assumptions!$C$106),(Y$18&lt;=(Assumptions!$C$106+11))),Assumptions!$C$116,0)))</f>
        <v>0.88</v>
      </c>
      <c r="Z45" s="12" t="n">
        <f aca="false">MAX(0,((1-((1-Assumptions!$C$30)*$C$6))-IF(AND(($C$14=1),(Z$18&gt;=Assumptions!$C$106),(Z$18&lt;=(Assumptions!$C$106+11))),Assumptions!$C$116,0)))</f>
        <v>0.88</v>
      </c>
      <c r="AA45" s="12" t="n">
        <f aca="false">MAX(0,((1-((1-Assumptions!$C$30)*$C$6))-IF(AND(($C$14=1),(AA$18&gt;=Assumptions!$C$106),(AA$18&lt;=(Assumptions!$C$106+11))),Assumptions!$C$116,0)))</f>
        <v>0.88</v>
      </c>
      <c r="AB45" s="12" t="n">
        <f aca="false">MAX(0,((1-((1-Assumptions!$C$30)*$C$6))-IF(AND(($C$14=1),(AB$18&gt;=Assumptions!$C$106),(AB$18&lt;=(Assumptions!$C$106+11))),Assumptions!$C$116,0)))</f>
        <v>0.88</v>
      </c>
      <c r="AC45" s="12" t="n">
        <f aca="false">MAX(0,((1-((1-Assumptions!$C$30)*$C$6))-IF(AND(($C$14=1),(AC$18&gt;=Assumptions!$C$106),(AC$18&lt;=(Assumptions!$C$106+11))),Assumptions!$C$116,0)))</f>
        <v>0.88</v>
      </c>
      <c r="AD45" s="12" t="n">
        <f aca="false">MAX(0,((1-((1-Assumptions!$C$30)*$C$6))-IF(AND(($C$14=1),(AD$18&gt;=Assumptions!$C$106),(AD$18&lt;=(Assumptions!$C$106+11))),Assumptions!$C$116,0)))</f>
        <v>0.88</v>
      </c>
      <c r="AE45" s="12" t="n">
        <f aca="false">MAX(0,((1-((1-Assumptions!$C$30)*$C$6))-IF(AND(($C$14=1),(AE$18&gt;=Assumptions!$C$106),(AE$18&lt;=(Assumptions!$C$106+11))),Assumptions!$C$116,0)))</f>
        <v>0.88</v>
      </c>
      <c r="AF45" s="12" t="n">
        <f aca="false">MAX(0,((1-((1-Assumptions!$C$30)*$C$6))-IF(AND(($C$14=1),(AF$18&gt;=Assumptions!$C$106),(AF$18&lt;=(Assumptions!$C$106+11))),Assumptions!$C$116,0)))</f>
        <v>0.88</v>
      </c>
      <c r="AG45" s="12" t="n">
        <f aca="false">MAX(0,((1-((1-Assumptions!$C$30)*$C$6))-IF(AND(($C$14=1),(AG$18&gt;=Assumptions!$C$106),(AG$18&lt;=(Assumptions!$C$106+11))),Assumptions!$C$116,0)))</f>
        <v>0.88</v>
      </c>
      <c r="AH45" s="12" t="n">
        <f aca="false">MAX(0,((1-((1-Assumptions!$C$30)*$C$6))-IF(AND(($C$14=1),(AH$18&gt;=Assumptions!$C$106),(AH$18&lt;=(Assumptions!$C$106+11))),Assumptions!$C$116,0)))</f>
        <v>0.88</v>
      </c>
      <c r="AI45" s="12" t="n">
        <f aca="false">MAX(0,((1-((1-Assumptions!$C$30)*$C$6))-IF(AND(($C$14=1),(AI$18&gt;=Assumptions!$C$106),(AI$18&lt;=(Assumptions!$C$106+11))),Assumptions!$C$116,0)))</f>
        <v>0.88</v>
      </c>
      <c r="AJ45" s="12" t="n">
        <f aca="false">MAX(0,((1-((1-Assumptions!$C$30)*$C$6))-IF(AND(($C$14=1),(AJ$18&gt;=Assumptions!$C$106),(AJ$18&lt;=(Assumptions!$C$106+11))),Assumptions!$C$116,0)))</f>
        <v>0.88</v>
      </c>
      <c r="AK45" s="12" t="n">
        <f aca="false">MAX(0,((1-((1-Assumptions!$C$30)*$C$6))-IF(AND(($C$14=1),(AK$18&gt;=Assumptions!$C$106),(AK$18&lt;=(Assumptions!$C$106+11))),Assumptions!$C$116,0)))</f>
        <v>0.88</v>
      </c>
      <c r="AL45" s="12" t="n">
        <f aca="false">MAX(0,((1-((1-Assumptions!$C$30)*$C$6))-IF(AND(($C$14=1),(AL$18&gt;=Assumptions!$C$106),(AL$18&lt;=(Assumptions!$C$106+11))),Assumptions!$C$116,0)))</f>
        <v>0.88</v>
      </c>
    </row>
    <row r="46" customFormat="false" ht="15" hidden="false" customHeight="false" outlineLevel="0" collapsed="false">
      <c r="A46" s="0" t="s">
        <v>851</v>
      </c>
      <c r="B46" s="0" t="s">
        <v>852</v>
      </c>
      <c r="C46" s="14" t="n">
        <f aca="false">((IF(OR((C$18-(Assumptions!$C$7-1)-$C$9)&lt;1,(C$18-(Assumptions!$C$7-1)-$C$9)&gt;36),0,INDEX(Schedules!$C$5:$AL$5,(C$18-(Assumptions!$C$7-1)-$C$9)))*$C$7)*C44)</f>
        <v>0</v>
      </c>
      <c r="D46" s="14" t="n">
        <f aca="false">((IF(OR((D$18-(Assumptions!$C$7-1)-$C$9)&lt;1,(D$18-(Assumptions!$C$7-1)-$C$9)&gt;36),0,INDEX(Schedules!$C$5:$AL$5,(D$18-(Assumptions!$C$7-1)-$C$9)))*$C$7)*D44)</f>
        <v>0</v>
      </c>
      <c r="E46" s="14" t="n">
        <f aca="false">((IF(OR((E$18-(Assumptions!$C$7-1)-$C$9)&lt;1,(E$18-(Assumptions!$C$7-1)-$C$9)&gt;36),0,INDEX(Schedules!$C$5:$AL$5,(E$18-(Assumptions!$C$7-1)-$C$9)))*$C$7)*E44)</f>
        <v>0</v>
      </c>
      <c r="F46" s="14" t="n">
        <f aca="false">((IF(OR((F$18-(Assumptions!$C$7-1)-$C$9)&lt;1,(F$18-(Assumptions!$C$7-1)-$C$9)&gt;36),0,INDEX(Schedules!$C$5:$AL$5,(F$18-(Assumptions!$C$7-1)-$C$9)))*$C$7)*F44)</f>
        <v>0</v>
      </c>
      <c r="G46" s="14" t="n">
        <f aca="false">((IF(OR((G$18-(Assumptions!$C$7-1)-$C$9)&lt;1,(G$18-(Assumptions!$C$7-1)-$C$9)&gt;36),0,INDEX(Schedules!$C$5:$AL$5,(G$18-(Assumptions!$C$7-1)-$C$9)))*$C$7)*G44)</f>
        <v>0</v>
      </c>
      <c r="H46" s="14" t="n">
        <f aca="false">((IF(OR((H$18-(Assumptions!$C$7-1)-$C$9)&lt;1,(H$18-(Assumptions!$C$7-1)-$C$9)&gt;36),0,INDEX(Schedules!$C$5:$AL$5,(H$18-(Assumptions!$C$7-1)-$C$9)))*$C$7)*H44)</f>
        <v>0</v>
      </c>
      <c r="I46" s="14" t="n">
        <f aca="false">((IF(OR((I$18-(Assumptions!$C$7-1)-$C$9)&lt;1,(I$18-(Assumptions!$C$7-1)-$C$9)&gt;36),0,INDEX(Schedules!$C$5:$AL$5,(I$18-(Assumptions!$C$7-1)-$C$9)))*$C$7)*I44)</f>
        <v>0</v>
      </c>
      <c r="J46" s="14" t="n">
        <f aca="false">((IF(OR((J$18-(Assumptions!$C$7-1)-$C$9)&lt;1,(J$18-(Assumptions!$C$7-1)-$C$9)&gt;36),0,INDEX(Schedules!$C$5:$AL$5,(J$18-(Assumptions!$C$7-1)-$C$9)))*$C$7)*J44)</f>
        <v>0</v>
      </c>
      <c r="K46" s="14" t="n">
        <f aca="false">((IF(OR((K$18-(Assumptions!$C$7-1)-$C$9)&lt;1,(K$18-(Assumptions!$C$7-1)-$C$9)&gt;36),0,INDEX(Schedules!$C$5:$AL$5,(K$18-(Assumptions!$C$7-1)-$C$9)))*$C$7)*K44)</f>
        <v>0</v>
      </c>
      <c r="L46" s="14" t="n">
        <f aca="false">((IF(OR((L$18-(Assumptions!$C$7-1)-$C$9)&lt;1,(L$18-(Assumptions!$C$7-1)-$C$9)&gt;36),0,INDEX(Schedules!$C$5:$AL$5,(L$18-(Assumptions!$C$7-1)-$C$9)))*$C$7)*L44)</f>
        <v>0</v>
      </c>
      <c r="M46" s="14" t="n">
        <f aca="false">((IF(OR((M$18-(Assumptions!$C$7-1)-$C$9)&lt;1,(M$18-(Assumptions!$C$7-1)-$C$9)&gt;36),0,INDEX(Schedules!$C$5:$AL$5,(M$18-(Assumptions!$C$7-1)-$C$9)))*$C$7)*M44)</f>
        <v>0</v>
      </c>
      <c r="N46" s="14" t="n">
        <f aca="false">((IF(OR((N$18-(Assumptions!$C$7-1)-$C$9)&lt;1,(N$18-(Assumptions!$C$7-1)-$C$9)&gt;36),0,INDEX(Schedules!$C$5:$AL$5,(N$18-(Assumptions!$C$7-1)-$C$9)))*$C$7)*N44)</f>
        <v>0</v>
      </c>
      <c r="O46" s="14" t="n">
        <f aca="false">((IF(OR((O$18-(Assumptions!$C$7-1)-$C$9)&lt;1,(O$18-(Assumptions!$C$7-1)-$C$9)&gt;36),0,INDEX(Schedules!$C$5:$AL$5,(O$18-(Assumptions!$C$7-1)-$C$9)))*$C$7)*O44)</f>
        <v>0</v>
      </c>
      <c r="P46" s="14" t="n">
        <f aca="false">((IF(OR((P$18-(Assumptions!$C$7-1)-$C$9)&lt;1,(P$18-(Assumptions!$C$7-1)-$C$9)&gt;36),0,INDEX(Schedules!$C$5:$AL$5,(P$18-(Assumptions!$C$7-1)-$C$9)))*$C$7)*P44)</f>
        <v>0</v>
      </c>
      <c r="Q46" s="14" t="n">
        <f aca="false">((IF(OR((Q$18-(Assumptions!$C$7-1)-$C$9)&lt;1,(Q$18-(Assumptions!$C$7-1)-$C$9)&gt;36),0,INDEX(Schedules!$C$5:$AL$5,(Q$18-(Assumptions!$C$7-1)-$C$9)))*$C$7)*Q44)</f>
        <v>0</v>
      </c>
      <c r="R46" s="14" t="n">
        <f aca="false">((IF(OR((R$18-(Assumptions!$C$7-1)-$C$9)&lt;1,(R$18-(Assumptions!$C$7-1)-$C$9)&gt;36),0,INDEX(Schedules!$C$5:$AL$5,(R$18-(Assumptions!$C$7-1)-$C$9)))*$C$7)*R44)</f>
        <v>0</v>
      </c>
      <c r="S46" s="14" t="n">
        <f aca="false">((IF(OR((S$18-(Assumptions!$C$7-1)-$C$9)&lt;1,(S$18-(Assumptions!$C$7-1)-$C$9)&gt;36),0,INDEX(Schedules!$C$5:$AL$5,(S$18-(Assumptions!$C$7-1)-$C$9)))*$C$7)*S44)</f>
        <v>0</v>
      </c>
      <c r="T46" s="14" t="n">
        <f aca="false">((IF(OR((T$18-(Assumptions!$C$7-1)-$C$9)&lt;1,(T$18-(Assumptions!$C$7-1)-$C$9)&gt;36),0,INDEX(Schedules!$C$5:$AL$5,(T$18-(Assumptions!$C$7-1)-$C$9)))*$C$7)*T44)</f>
        <v>0</v>
      </c>
      <c r="U46" s="14" t="n">
        <f aca="false">((IF(OR((U$18-(Assumptions!$C$7-1)-$C$9)&lt;1,(U$18-(Assumptions!$C$7-1)-$C$9)&gt;36),0,INDEX(Schedules!$C$5:$AL$5,(U$18-(Assumptions!$C$7-1)-$C$9)))*$C$7)*U44)</f>
        <v>1</v>
      </c>
      <c r="V46" s="14" t="n">
        <f aca="false">((IF(OR((V$18-(Assumptions!$C$7-1)-$C$9)&lt;1,(V$18-(Assumptions!$C$7-1)-$C$9)&gt;36),0,INDEX(Schedules!$C$5:$AL$5,(V$18-(Assumptions!$C$7-1)-$C$9)))*$C$7)*V44)</f>
        <v>0</v>
      </c>
      <c r="W46" s="14" t="n">
        <f aca="false">((IF(OR((W$18-(Assumptions!$C$7-1)-$C$9)&lt;1,(W$18-(Assumptions!$C$7-1)-$C$9)&gt;36),0,INDEX(Schedules!$C$5:$AL$5,(W$18-(Assumptions!$C$7-1)-$C$9)))*$C$7)*W44)</f>
        <v>0</v>
      </c>
      <c r="X46" s="14" t="n">
        <f aca="false">((IF(OR((X$18-(Assumptions!$C$7-1)-$C$9)&lt;1,(X$18-(Assumptions!$C$7-1)-$C$9)&gt;36),0,INDEX(Schedules!$C$5:$AL$5,(X$18-(Assumptions!$C$7-1)-$C$9)))*$C$7)*X44)</f>
        <v>1</v>
      </c>
      <c r="Y46" s="14" t="n">
        <f aca="false">((IF(OR((Y$18-(Assumptions!$C$7-1)-$C$9)&lt;1,(Y$18-(Assumptions!$C$7-1)-$C$9)&gt;36),0,INDEX(Schedules!$C$5:$AL$5,(Y$18-(Assumptions!$C$7-1)-$C$9)))*$C$7)*Y44)</f>
        <v>0</v>
      </c>
      <c r="Z46" s="14" t="n">
        <f aca="false">((IF(OR((Z$18-(Assumptions!$C$7-1)-$C$9)&lt;1,(Z$18-(Assumptions!$C$7-1)-$C$9)&gt;36),0,INDEX(Schedules!$C$5:$AL$5,(Z$18-(Assumptions!$C$7-1)-$C$9)))*$C$7)*Z44)</f>
        <v>0</v>
      </c>
      <c r="AA46" s="14" t="n">
        <f aca="false">((IF(OR((AA$18-(Assumptions!$C$7-1)-$C$9)&lt;1,(AA$18-(Assumptions!$C$7-1)-$C$9)&gt;36),0,INDEX(Schedules!$C$5:$AL$5,(AA$18-(Assumptions!$C$7-1)-$C$9)))*$C$7)*AA44)</f>
        <v>2</v>
      </c>
      <c r="AB46" s="14" t="n">
        <f aca="false">((IF(OR((AB$18-(Assumptions!$C$7-1)-$C$9)&lt;1,(AB$18-(Assumptions!$C$7-1)-$C$9)&gt;36),0,INDEX(Schedules!$C$5:$AL$5,(AB$18-(Assumptions!$C$7-1)-$C$9)))*$C$7)*AB44)</f>
        <v>0</v>
      </c>
      <c r="AC46" s="14" t="n">
        <f aca="false">((IF(OR((AC$18-(Assumptions!$C$7-1)-$C$9)&lt;1,(AC$18-(Assumptions!$C$7-1)-$C$9)&gt;36),0,INDEX(Schedules!$C$5:$AL$5,(AC$18-(Assumptions!$C$7-1)-$C$9)))*$C$7)*AC44)</f>
        <v>0</v>
      </c>
      <c r="AD46" s="14" t="n">
        <f aca="false">((IF(OR((AD$18-(Assumptions!$C$7-1)-$C$9)&lt;1,(AD$18-(Assumptions!$C$7-1)-$C$9)&gt;36),0,INDEX(Schedules!$C$5:$AL$5,(AD$18-(Assumptions!$C$7-1)-$C$9)))*$C$7)*AD44)</f>
        <v>2</v>
      </c>
      <c r="AE46" s="14" t="n">
        <f aca="false">((IF(OR((AE$18-(Assumptions!$C$7-1)-$C$9)&lt;1,(AE$18-(Assumptions!$C$7-1)-$C$9)&gt;36),0,INDEX(Schedules!$C$5:$AL$5,(AE$18-(Assumptions!$C$7-1)-$C$9)))*$C$7)*AE44)</f>
        <v>0</v>
      </c>
      <c r="AF46" s="14" t="n">
        <f aca="false">((IF(OR((AF$18-(Assumptions!$C$7-1)-$C$9)&lt;1,(AF$18-(Assumptions!$C$7-1)-$C$9)&gt;36),0,INDEX(Schedules!$C$5:$AL$5,(AF$18-(Assumptions!$C$7-1)-$C$9)))*$C$7)*AF44)</f>
        <v>0</v>
      </c>
      <c r="AG46" s="14" t="n">
        <f aca="false">((IF(OR((AG$18-(Assumptions!$C$7-1)-$C$9)&lt;1,(AG$18-(Assumptions!$C$7-1)-$C$9)&gt;36),0,INDEX(Schedules!$C$5:$AL$5,(AG$18-(Assumptions!$C$7-1)-$C$9)))*$C$7)*AG44)</f>
        <v>3</v>
      </c>
      <c r="AH46" s="14" t="n">
        <f aca="false">((IF(OR((AH$18-(Assumptions!$C$7-1)-$C$9)&lt;1,(AH$18-(Assumptions!$C$7-1)-$C$9)&gt;36),0,INDEX(Schedules!$C$5:$AL$5,(AH$18-(Assumptions!$C$7-1)-$C$9)))*$C$7)*AH44)</f>
        <v>0</v>
      </c>
      <c r="AI46" s="14" t="n">
        <f aca="false">((IF(OR((AI$18-(Assumptions!$C$7-1)-$C$9)&lt;1,(AI$18-(Assumptions!$C$7-1)-$C$9)&gt;36),0,INDEX(Schedules!$C$5:$AL$5,(AI$18-(Assumptions!$C$7-1)-$C$9)))*$C$7)*AI44)</f>
        <v>0</v>
      </c>
      <c r="AJ46" s="14" t="n">
        <f aca="false">((IF(OR((AJ$18-(Assumptions!$C$7-1)-$C$9)&lt;1,(AJ$18-(Assumptions!$C$7-1)-$C$9)&gt;36),0,INDEX(Schedules!$C$5:$AL$5,(AJ$18-(Assumptions!$C$7-1)-$C$9)))*$C$7)*AJ44)</f>
        <v>3</v>
      </c>
      <c r="AK46" s="14" t="n">
        <f aca="false">((IF(OR((AK$18-(Assumptions!$C$7-1)-$C$9)&lt;1,(AK$18-(Assumptions!$C$7-1)-$C$9)&gt;36),0,INDEX(Schedules!$C$5:$AL$5,(AK$18-(Assumptions!$C$7-1)-$C$9)))*$C$7)*AK44)</f>
        <v>0</v>
      </c>
      <c r="AL46" s="14" t="n">
        <f aca="false">((IF(OR((AL$18-(Assumptions!$C$7-1)-$C$9)&lt;1,(AL$18-(Assumptions!$C$7-1)-$C$9)&gt;36),0,INDEX(Schedules!$C$5:$AL$5,(AL$18-(Assumptions!$C$7-1)-$C$9)))*$C$7)*AL44)</f>
        <v>0</v>
      </c>
      <c r="AN46" s="36" t="n">
        <f aca="false">SUM(C46:N46)</f>
        <v>0</v>
      </c>
      <c r="AO46" s="36" t="n">
        <f aca="false">SUM(O46:Z46)</f>
        <v>2</v>
      </c>
      <c r="AP46" s="36" t="n">
        <f aca="false">SUM(AA46:AL46)</f>
        <v>10</v>
      </c>
    </row>
    <row r="47" customFormat="false" ht="15" hidden="false" customHeight="false" outlineLevel="0" collapsed="false">
      <c r="A47" s="0" t="s">
        <v>853</v>
      </c>
      <c r="B47" s="0" t="s">
        <v>852</v>
      </c>
      <c r="C47" s="14" t="n">
        <f aca="false">INDEX(Schedules!$C$11:$AL$11,C$18)</f>
        <v>0</v>
      </c>
      <c r="D47" s="14" t="n">
        <f aca="false">INDEX(Schedules!$C$11:$AL$11,D$18)</f>
        <v>0</v>
      </c>
      <c r="E47" s="14" t="n">
        <f aca="false">INDEX(Schedules!$C$11:$AL$11,E$18)</f>
        <v>0</v>
      </c>
      <c r="F47" s="14" t="n">
        <f aca="false">INDEX(Schedules!$C$11:$AL$11,F$18)</f>
        <v>0</v>
      </c>
      <c r="G47" s="14" t="n">
        <f aca="false">INDEX(Schedules!$C$11:$AL$11,G$18)</f>
        <v>1</v>
      </c>
      <c r="H47" s="14" t="n">
        <f aca="false">INDEX(Schedules!$C$11:$AL$11,H$18)</f>
        <v>0</v>
      </c>
      <c r="I47" s="14" t="n">
        <f aca="false">INDEX(Schedules!$C$11:$AL$11,I$18)</f>
        <v>0</v>
      </c>
      <c r="J47" s="14" t="n">
        <f aca="false">INDEX(Schedules!$C$11:$AL$11,J$18)</f>
        <v>0</v>
      </c>
      <c r="K47" s="14" t="n">
        <f aca="false">INDEX(Schedules!$C$11:$AL$11,K$18)</f>
        <v>0</v>
      </c>
      <c r="L47" s="14" t="n">
        <f aca="false">INDEX(Schedules!$C$11:$AL$11,L$18)</f>
        <v>0</v>
      </c>
      <c r="M47" s="14" t="n">
        <f aca="false">INDEX(Schedules!$C$11:$AL$11,M$18)</f>
        <v>0</v>
      </c>
      <c r="N47" s="14" t="n">
        <f aca="false">INDEX(Schedules!$C$11:$AL$11,N$18)</f>
        <v>0</v>
      </c>
      <c r="O47" s="14" t="n">
        <f aca="false">INDEX(Schedules!$C$11:$AL$11,O$18)</f>
        <v>0</v>
      </c>
      <c r="P47" s="14" t="n">
        <f aca="false">INDEX(Schedules!$C$11:$AL$11,P$18)</f>
        <v>0</v>
      </c>
      <c r="Q47" s="14" t="n">
        <f aca="false">INDEX(Schedules!$C$11:$AL$11,Q$18)</f>
        <v>0</v>
      </c>
      <c r="R47" s="14" t="n">
        <f aca="false">INDEX(Schedules!$C$11:$AL$11,R$18)</f>
        <v>0</v>
      </c>
      <c r="S47" s="14" t="n">
        <f aca="false">INDEX(Schedules!$C$11:$AL$11,S$18)</f>
        <v>0</v>
      </c>
      <c r="T47" s="14" t="n">
        <f aca="false">INDEX(Schedules!$C$11:$AL$11,T$18)</f>
        <v>0</v>
      </c>
      <c r="U47" s="14" t="n">
        <f aca="false">INDEX(Schedules!$C$11:$AL$11,U$18)</f>
        <v>0</v>
      </c>
      <c r="V47" s="14" t="n">
        <f aca="false">INDEX(Schedules!$C$11:$AL$11,V$18)</f>
        <v>0</v>
      </c>
      <c r="W47" s="14" t="n">
        <f aca="false">INDEX(Schedules!$C$11:$AL$11,W$18)</f>
        <v>0</v>
      </c>
      <c r="X47" s="14" t="n">
        <f aca="false">INDEX(Schedules!$C$11:$AL$11,X$18)</f>
        <v>0</v>
      </c>
      <c r="Y47" s="14" t="n">
        <f aca="false">INDEX(Schedules!$C$11:$AL$11,Y$18)</f>
        <v>0</v>
      </c>
      <c r="Z47" s="14" t="n">
        <f aca="false">INDEX(Schedules!$C$11:$AL$11,Z$18)</f>
        <v>0</v>
      </c>
      <c r="AA47" s="14" t="n">
        <f aca="false">INDEX(Schedules!$C$11:$AL$11,AA$18)</f>
        <v>0</v>
      </c>
      <c r="AB47" s="14" t="n">
        <f aca="false">INDEX(Schedules!$C$11:$AL$11,AB$18)</f>
        <v>0</v>
      </c>
      <c r="AC47" s="14" t="n">
        <f aca="false">INDEX(Schedules!$C$11:$AL$11,AC$18)</f>
        <v>0</v>
      </c>
      <c r="AD47" s="14" t="n">
        <f aca="false">INDEX(Schedules!$C$11:$AL$11,AD$18)</f>
        <v>0</v>
      </c>
      <c r="AE47" s="14" t="n">
        <f aca="false">INDEX(Schedules!$C$11:$AL$11,AE$18)</f>
        <v>0</v>
      </c>
      <c r="AF47" s="14" t="n">
        <f aca="false">INDEX(Schedules!$C$11:$AL$11,AF$18)</f>
        <v>0</v>
      </c>
      <c r="AG47" s="14" t="n">
        <f aca="false">INDEX(Schedules!$C$11:$AL$11,AG$18)</f>
        <v>0</v>
      </c>
      <c r="AH47" s="14" t="n">
        <f aca="false">INDEX(Schedules!$C$11:$AL$11,AH$18)</f>
        <v>0</v>
      </c>
      <c r="AI47" s="14" t="n">
        <f aca="false">INDEX(Schedules!$C$11:$AL$11,AI$18)</f>
        <v>0</v>
      </c>
      <c r="AJ47" s="14" t="n">
        <f aca="false">INDEX(Schedules!$C$11:$AL$11,AJ$18)</f>
        <v>0</v>
      </c>
      <c r="AK47" s="14" t="n">
        <f aca="false">INDEX(Schedules!$C$11:$AL$11,AK$18)</f>
        <v>0</v>
      </c>
      <c r="AL47" s="14" t="n">
        <f aca="false">INDEX(Schedules!$C$11:$AL$11,AL$18)</f>
        <v>0</v>
      </c>
      <c r="AN47" s="36" t="n">
        <f aca="false">SUM(C47:N47)</f>
        <v>1</v>
      </c>
      <c r="AO47" s="36" t="n">
        <f aca="false">SUM(O47:Z47)</f>
        <v>0</v>
      </c>
      <c r="AP47" s="36" t="n">
        <f aca="false">SUM(AA47:AL47)</f>
        <v>0</v>
      </c>
    </row>
    <row r="48" customFormat="false" ht="15" hidden="false" customHeight="false" outlineLevel="0" collapsed="false">
      <c r="A48" s="0" t="s">
        <v>854</v>
      </c>
      <c r="B48" s="0" t="s">
        <v>852</v>
      </c>
      <c r="C48" s="14" t="n">
        <f aca="false">(C46+C47)</f>
        <v>0</v>
      </c>
      <c r="D48" s="14" t="n">
        <f aca="false">(D46+D47)</f>
        <v>0</v>
      </c>
      <c r="E48" s="14" t="n">
        <f aca="false">(E46+E47)</f>
        <v>0</v>
      </c>
      <c r="F48" s="14" t="n">
        <f aca="false">(F46+F47)</f>
        <v>0</v>
      </c>
      <c r="G48" s="14" t="n">
        <f aca="false">(G46+G47)</f>
        <v>1</v>
      </c>
      <c r="H48" s="14" t="n">
        <f aca="false">(H46+H47)</f>
        <v>0</v>
      </c>
      <c r="I48" s="14" t="n">
        <f aca="false">(I46+I47)</f>
        <v>0</v>
      </c>
      <c r="J48" s="14" t="n">
        <f aca="false">(J46+J47)</f>
        <v>0</v>
      </c>
      <c r="K48" s="14" t="n">
        <f aca="false">(K46+K47)</f>
        <v>0</v>
      </c>
      <c r="L48" s="14" t="n">
        <f aca="false">(L46+L47)</f>
        <v>0</v>
      </c>
      <c r="M48" s="14" t="n">
        <f aca="false">(M46+M47)</f>
        <v>0</v>
      </c>
      <c r="N48" s="14" t="n">
        <f aca="false">(N46+N47)</f>
        <v>0</v>
      </c>
      <c r="O48" s="14" t="n">
        <f aca="false">(O46+O47)</f>
        <v>0</v>
      </c>
      <c r="P48" s="14" t="n">
        <f aca="false">(P46+P47)</f>
        <v>0</v>
      </c>
      <c r="Q48" s="14" t="n">
        <f aca="false">(Q46+Q47)</f>
        <v>0</v>
      </c>
      <c r="R48" s="14" t="n">
        <f aca="false">(R46+R47)</f>
        <v>0</v>
      </c>
      <c r="S48" s="14" t="n">
        <f aca="false">(S46+S47)</f>
        <v>0</v>
      </c>
      <c r="T48" s="14" t="n">
        <f aca="false">(T46+T47)</f>
        <v>0</v>
      </c>
      <c r="U48" s="14" t="n">
        <f aca="false">(U46+U47)</f>
        <v>1</v>
      </c>
      <c r="V48" s="14" t="n">
        <f aca="false">(V46+V47)</f>
        <v>0</v>
      </c>
      <c r="W48" s="14" t="n">
        <f aca="false">(W46+W47)</f>
        <v>0</v>
      </c>
      <c r="X48" s="14" t="n">
        <f aca="false">(X46+X47)</f>
        <v>1</v>
      </c>
      <c r="Y48" s="14" t="n">
        <f aca="false">(Y46+Y47)</f>
        <v>0</v>
      </c>
      <c r="Z48" s="14" t="n">
        <f aca="false">(Z46+Z47)</f>
        <v>0</v>
      </c>
      <c r="AA48" s="14" t="n">
        <f aca="false">(AA46+AA47)</f>
        <v>2</v>
      </c>
      <c r="AB48" s="14" t="n">
        <f aca="false">(AB46+AB47)</f>
        <v>0</v>
      </c>
      <c r="AC48" s="14" t="n">
        <f aca="false">(AC46+AC47)</f>
        <v>0</v>
      </c>
      <c r="AD48" s="14" t="n">
        <f aca="false">(AD46+AD47)</f>
        <v>2</v>
      </c>
      <c r="AE48" s="14" t="n">
        <f aca="false">(AE46+AE47)</f>
        <v>0</v>
      </c>
      <c r="AF48" s="14" t="n">
        <f aca="false">(AF46+AF47)</f>
        <v>0</v>
      </c>
      <c r="AG48" s="14" t="n">
        <f aca="false">(AG46+AG47)</f>
        <v>3</v>
      </c>
      <c r="AH48" s="14" t="n">
        <f aca="false">(AH46+AH47)</f>
        <v>0</v>
      </c>
      <c r="AI48" s="14" t="n">
        <f aca="false">(AI46+AI47)</f>
        <v>0</v>
      </c>
      <c r="AJ48" s="14" t="n">
        <f aca="false">(AJ46+AJ47)</f>
        <v>3</v>
      </c>
      <c r="AK48" s="14" t="n">
        <f aca="false">(AK46+AK47)</f>
        <v>0</v>
      </c>
      <c r="AL48" s="14" t="n">
        <f aca="false">(AL46+AL47)</f>
        <v>0</v>
      </c>
      <c r="AN48" s="36" t="n">
        <f aca="false">SUM(C48:N48)</f>
        <v>1</v>
      </c>
      <c r="AO48" s="36" t="n">
        <f aca="false">SUM(O48:Z48)</f>
        <v>2</v>
      </c>
      <c r="AP48" s="36" t="n">
        <f aca="false">SUM(AA48:AL48)</f>
        <v>10</v>
      </c>
    </row>
    <row r="49" customFormat="false" ht="15" hidden="false" customHeight="false" outlineLevel="0" collapsed="false">
      <c r="A49" s="0" t="s">
        <v>855</v>
      </c>
      <c r="B49" s="0" t="s">
        <v>852</v>
      </c>
      <c r="C49" s="14" t="n">
        <f aca="false">((IF(OR((C$18-(Assumptions!$C$8-1)-$C$9)&lt;1,(C$18-(Assumptions!$C$8-1)-$C$9)&gt;36),0,INDEX(Schedules!$C$8:$AL$8,(C$18-(Assumptions!$C$8-1)-$C$9)))*$C$7)*C44)</f>
        <v>0</v>
      </c>
      <c r="D49" s="14" t="n">
        <f aca="false">((IF(OR((D$18-(Assumptions!$C$8-1)-$C$9)&lt;1,(D$18-(Assumptions!$C$8-1)-$C$9)&gt;36),0,INDEX(Schedules!$C$8:$AL$8,(D$18-(Assumptions!$C$8-1)-$C$9)))*$C$7)*D44)</f>
        <v>0</v>
      </c>
      <c r="E49" s="14" t="n">
        <f aca="false">((IF(OR((E$18-(Assumptions!$C$8-1)-$C$9)&lt;1,(E$18-(Assumptions!$C$8-1)-$C$9)&gt;36),0,INDEX(Schedules!$C$8:$AL$8,(E$18-(Assumptions!$C$8-1)-$C$9)))*$C$7)*E44)</f>
        <v>0</v>
      </c>
      <c r="F49" s="14" t="n">
        <f aca="false">((IF(OR((F$18-(Assumptions!$C$8-1)-$C$9)&lt;1,(F$18-(Assumptions!$C$8-1)-$C$9)&gt;36),0,INDEX(Schedules!$C$8:$AL$8,(F$18-(Assumptions!$C$8-1)-$C$9)))*$C$7)*F44)</f>
        <v>0</v>
      </c>
      <c r="G49" s="14" t="n">
        <f aca="false">((IF(OR((G$18-(Assumptions!$C$8-1)-$C$9)&lt;1,(G$18-(Assumptions!$C$8-1)-$C$9)&gt;36),0,INDEX(Schedules!$C$8:$AL$8,(G$18-(Assumptions!$C$8-1)-$C$9)))*$C$7)*G44)</f>
        <v>0</v>
      </c>
      <c r="H49" s="14" t="n">
        <f aca="false">((IF(OR((H$18-(Assumptions!$C$8-1)-$C$9)&lt;1,(H$18-(Assumptions!$C$8-1)-$C$9)&gt;36),0,INDEX(Schedules!$C$8:$AL$8,(H$18-(Assumptions!$C$8-1)-$C$9)))*$C$7)*H44)</f>
        <v>0</v>
      </c>
      <c r="I49" s="14" t="n">
        <f aca="false">((IF(OR((I$18-(Assumptions!$C$8-1)-$C$9)&lt;1,(I$18-(Assumptions!$C$8-1)-$C$9)&gt;36),0,INDEX(Schedules!$C$8:$AL$8,(I$18-(Assumptions!$C$8-1)-$C$9)))*$C$7)*I44)</f>
        <v>0</v>
      </c>
      <c r="J49" s="14" t="n">
        <f aca="false">((IF(OR((J$18-(Assumptions!$C$8-1)-$C$9)&lt;1,(J$18-(Assumptions!$C$8-1)-$C$9)&gt;36),0,INDEX(Schedules!$C$8:$AL$8,(J$18-(Assumptions!$C$8-1)-$C$9)))*$C$7)*J44)</f>
        <v>0</v>
      </c>
      <c r="K49" s="14" t="n">
        <f aca="false">((IF(OR((K$18-(Assumptions!$C$8-1)-$C$9)&lt;1,(K$18-(Assumptions!$C$8-1)-$C$9)&gt;36),0,INDEX(Schedules!$C$8:$AL$8,(K$18-(Assumptions!$C$8-1)-$C$9)))*$C$7)*K44)</f>
        <v>0</v>
      </c>
      <c r="L49" s="14" t="n">
        <f aca="false">((IF(OR((L$18-(Assumptions!$C$8-1)-$C$9)&lt;1,(L$18-(Assumptions!$C$8-1)-$C$9)&gt;36),0,INDEX(Schedules!$C$8:$AL$8,(L$18-(Assumptions!$C$8-1)-$C$9)))*$C$7)*L44)</f>
        <v>0</v>
      </c>
      <c r="M49" s="14" t="n">
        <f aca="false">((IF(OR((M$18-(Assumptions!$C$8-1)-$C$9)&lt;1,(M$18-(Assumptions!$C$8-1)-$C$9)&gt;36),0,INDEX(Schedules!$C$8:$AL$8,(M$18-(Assumptions!$C$8-1)-$C$9)))*$C$7)*M44)</f>
        <v>0</v>
      </c>
      <c r="N49" s="14" t="n">
        <f aca="false">((IF(OR((N$18-(Assumptions!$C$8-1)-$C$9)&lt;1,(N$18-(Assumptions!$C$8-1)-$C$9)&gt;36),0,INDEX(Schedules!$C$8:$AL$8,(N$18-(Assumptions!$C$8-1)-$C$9)))*$C$7)*N44)</f>
        <v>0</v>
      </c>
      <c r="O49" s="14" t="n">
        <f aca="false">((IF(OR((O$18-(Assumptions!$C$8-1)-$C$9)&lt;1,(O$18-(Assumptions!$C$8-1)-$C$9)&gt;36),0,INDEX(Schedules!$C$8:$AL$8,(O$18-(Assumptions!$C$8-1)-$C$9)))*$C$7)*O44)</f>
        <v>0</v>
      </c>
      <c r="P49" s="14" t="n">
        <f aca="false">((IF(OR((P$18-(Assumptions!$C$8-1)-$C$9)&lt;1,(P$18-(Assumptions!$C$8-1)-$C$9)&gt;36),0,INDEX(Schedules!$C$8:$AL$8,(P$18-(Assumptions!$C$8-1)-$C$9)))*$C$7)*P44)</f>
        <v>0</v>
      </c>
      <c r="Q49" s="14" t="n">
        <f aca="false">((IF(OR((Q$18-(Assumptions!$C$8-1)-$C$9)&lt;1,(Q$18-(Assumptions!$C$8-1)-$C$9)&gt;36),0,INDEX(Schedules!$C$8:$AL$8,(Q$18-(Assumptions!$C$8-1)-$C$9)))*$C$7)*Q44)</f>
        <v>0</v>
      </c>
      <c r="R49" s="14" t="n">
        <f aca="false">((IF(OR((R$18-(Assumptions!$C$8-1)-$C$9)&lt;1,(R$18-(Assumptions!$C$8-1)-$C$9)&gt;36),0,INDEX(Schedules!$C$8:$AL$8,(R$18-(Assumptions!$C$8-1)-$C$9)))*$C$7)*R44)</f>
        <v>0</v>
      </c>
      <c r="S49" s="14" t="n">
        <f aca="false">((IF(OR((S$18-(Assumptions!$C$8-1)-$C$9)&lt;1,(S$18-(Assumptions!$C$8-1)-$C$9)&gt;36),0,INDEX(Schedules!$C$8:$AL$8,(S$18-(Assumptions!$C$8-1)-$C$9)))*$C$7)*S44)</f>
        <v>0</v>
      </c>
      <c r="T49" s="14" t="n">
        <f aca="false">((IF(OR((T$18-(Assumptions!$C$8-1)-$C$9)&lt;1,(T$18-(Assumptions!$C$8-1)-$C$9)&gt;36),0,INDEX(Schedules!$C$8:$AL$8,(T$18-(Assumptions!$C$8-1)-$C$9)))*$C$7)*T44)</f>
        <v>0</v>
      </c>
      <c r="U49" s="14" t="n">
        <f aca="false">((IF(OR((U$18-(Assumptions!$C$8-1)-$C$9)&lt;1,(U$18-(Assumptions!$C$8-1)-$C$9)&gt;36),0,INDEX(Schedules!$C$8:$AL$8,(U$18-(Assumptions!$C$8-1)-$C$9)))*$C$7)*U44)</f>
        <v>0</v>
      </c>
      <c r="V49" s="14" t="n">
        <f aca="false">((IF(OR((V$18-(Assumptions!$C$8-1)-$C$9)&lt;1,(V$18-(Assumptions!$C$8-1)-$C$9)&gt;36),0,INDEX(Schedules!$C$8:$AL$8,(V$18-(Assumptions!$C$8-1)-$C$9)))*$C$7)*V44)</f>
        <v>0</v>
      </c>
      <c r="W49" s="14" t="n">
        <f aca="false">((IF(OR((W$18-(Assumptions!$C$8-1)-$C$9)&lt;1,(W$18-(Assumptions!$C$8-1)-$C$9)&gt;36),0,INDEX(Schedules!$C$8:$AL$8,(W$18-(Assumptions!$C$8-1)-$C$9)))*$C$7)*W44)</f>
        <v>0</v>
      </c>
      <c r="X49" s="14" t="n">
        <f aca="false">((IF(OR((X$18-(Assumptions!$C$8-1)-$C$9)&lt;1,(X$18-(Assumptions!$C$8-1)-$C$9)&gt;36),0,INDEX(Schedules!$C$8:$AL$8,(X$18-(Assumptions!$C$8-1)-$C$9)))*$C$7)*X44)</f>
        <v>0</v>
      </c>
      <c r="Y49" s="14" t="n">
        <f aca="false">((IF(OR((Y$18-(Assumptions!$C$8-1)-$C$9)&lt;1,(Y$18-(Assumptions!$C$8-1)-$C$9)&gt;36),0,INDEX(Schedules!$C$8:$AL$8,(Y$18-(Assumptions!$C$8-1)-$C$9)))*$C$7)*Y44)</f>
        <v>0</v>
      </c>
      <c r="Z49" s="14" t="n">
        <f aca="false">((IF(OR((Z$18-(Assumptions!$C$8-1)-$C$9)&lt;1,(Z$18-(Assumptions!$C$8-1)-$C$9)&gt;36),0,INDEX(Schedules!$C$8:$AL$8,(Z$18-(Assumptions!$C$8-1)-$C$9)))*$C$7)*Z44)</f>
        <v>0</v>
      </c>
      <c r="AA49" s="14" t="n">
        <f aca="false">((IF(OR((AA$18-(Assumptions!$C$8-1)-$C$9)&lt;1,(AA$18-(Assumptions!$C$8-1)-$C$9)&gt;36),0,INDEX(Schedules!$C$8:$AL$8,(AA$18-(Assumptions!$C$8-1)-$C$9)))*$C$7)*AA44)</f>
        <v>0</v>
      </c>
      <c r="AB49" s="14" t="n">
        <f aca="false">((IF(OR((AB$18-(Assumptions!$C$8-1)-$C$9)&lt;1,(AB$18-(Assumptions!$C$8-1)-$C$9)&gt;36),0,INDEX(Schedules!$C$8:$AL$8,(AB$18-(Assumptions!$C$8-1)-$C$9)))*$C$7)*AB44)</f>
        <v>0</v>
      </c>
      <c r="AC49" s="14" t="n">
        <f aca="false">((IF(OR((AC$18-(Assumptions!$C$8-1)-$C$9)&lt;1,(AC$18-(Assumptions!$C$8-1)-$C$9)&gt;36),0,INDEX(Schedules!$C$8:$AL$8,(AC$18-(Assumptions!$C$8-1)-$C$9)))*$C$7)*AC44)</f>
        <v>0</v>
      </c>
      <c r="AD49" s="14" t="n">
        <f aca="false">((IF(OR((AD$18-(Assumptions!$C$8-1)-$C$9)&lt;1,(AD$18-(Assumptions!$C$8-1)-$C$9)&gt;36),0,INDEX(Schedules!$C$8:$AL$8,(AD$18-(Assumptions!$C$8-1)-$C$9)))*$C$7)*AD44)</f>
        <v>0</v>
      </c>
      <c r="AE49" s="14" t="n">
        <f aca="false">((IF(OR((AE$18-(Assumptions!$C$8-1)-$C$9)&lt;1,(AE$18-(Assumptions!$C$8-1)-$C$9)&gt;36),0,INDEX(Schedules!$C$8:$AL$8,(AE$18-(Assumptions!$C$8-1)-$C$9)))*$C$7)*AE44)</f>
        <v>1</v>
      </c>
      <c r="AF49" s="14" t="n">
        <f aca="false">((IF(OR((AF$18-(Assumptions!$C$8-1)-$C$9)&lt;1,(AF$18-(Assumptions!$C$8-1)-$C$9)&gt;36),0,INDEX(Schedules!$C$8:$AL$8,(AF$18-(Assumptions!$C$8-1)-$C$9)))*$C$7)*AF44)</f>
        <v>0</v>
      </c>
      <c r="AG49" s="14" t="n">
        <f aca="false">((IF(OR((AG$18-(Assumptions!$C$8-1)-$C$9)&lt;1,(AG$18-(Assumptions!$C$8-1)-$C$9)&gt;36),0,INDEX(Schedules!$C$8:$AL$8,(AG$18-(Assumptions!$C$8-1)-$C$9)))*$C$7)*AG44)</f>
        <v>0</v>
      </c>
      <c r="AH49" s="14" t="n">
        <f aca="false">((IF(OR((AH$18-(Assumptions!$C$8-1)-$C$9)&lt;1,(AH$18-(Assumptions!$C$8-1)-$C$9)&gt;36),0,INDEX(Schedules!$C$8:$AL$8,(AH$18-(Assumptions!$C$8-1)-$C$9)))*$C$7)*AH44)</f>
        <v>1</v>
      </c>
      <c r="AI49" s="14" t="n">
        <f aca="false">((IF(OR((AI$18-(Assumptions!$C$8-1)-$C$9)&lt;1,(AI$18-(Assumptions!$C$8-1)-$C$9)&gt;36),0,INDEX(Schedules!$C$8:$AL$8,(AI$18-(Assumptions!$C$8-1)-$C$9)))*$C$7)*AI44)</f>
        <v>0</v>
      </c>
      <c r="AJ49" s="14" t="n">
        <f aca="false">((IF(OR((AJ$18-(Assumptions!$C$8-1)-$C$9)&lt;1,(AJ$18-(Assumptions!$C$8-1)-$C$9)&gt;36),0,INDEX(Schedules!$C$8:$AL$8,(AJ$18-(Assumptions!$C$8-1)-$C$9)))*$C$7)*AJ44)</f>
        <v>0</v>
      </c>
      <c r="AK49" s="14" t="n">
        <f aca="false">((IF(OR((AK$18-(Assumptions!$C$8-1)-$C$9)&lt;1,(AK$18-(Assumptions!$C$8-1)-$C$9)&gt;36),0,INDEX(Schedules!$C$8:$AL$8,(AK$18-(Assumptions!$C$8-1)-$C$9)))*$C$7)*AK44)</f>
        <v>2</v>
      </c>
      <c r="AL49" s="14" t="n">
        <f aca="false">((IF(OR((AL$18-(Assumptions!$C$8-1)-$C$9)&lt;1,(AL$18-(Assumptions!$C$8-1)-$C$9)&gt;36),0,INDEX(Schedules!$C$8:$AL$8,(AL$18-(Assumptions!$C$8-1)-$C$9)))*$C$7)*AL44)</f>
        <v>0</v>
      </c>
      <c r="AN49" s="36" t="n">
        <f aca="false">SUM(C49:N49)</f>
        <v>0</v>
      </c>
      <c r="AO49" s="36" t="n">
        <f aca="false">SUM(O49:Z49)</f>
        <v>0</v>
      </c>
      <c r="AP49" s="36" t="n">
        <f aca="false">SUM(AA49:AL49)</f>
        <v>4</v>
      </c>
    </row>
    <row r="50" customFormat="false" ht="15" hidden="false" customHeight="false" outlineLevel="0" collapsed="false">
      <c r="A50" s="0" t="s">
        <v>856</v>
      </c>
      <c r="B50" s="0" t="s">
        <v>852</v>
      </c>
      <c r="C50" s="14" t="n">
        <f aca="false">(C46+C49)</f>
        <v>0</v>
      </c>
      <c r="D50" s="14" t="n">
        <f aca="false">(D46+D49)</f>
        <v>0</v>
      </c>
      <c r="E50" s="14" t="n">
        <f aca="false">(E46+E49)</f>
        <v>0</v>
      </c>
      <c r="F50" s="14" t="n">
        <f aca="false">(F46+F49)</f>
        <v>0</v>
      </c>
      <c r="G50" s="14" t="n">
        <f aca="false">(G46+G49)</f>
        <v>0</v>
      </c>
      <c r="H50" s="14" t="n">
        <f aca="false">(H46+H49)</f>
        <v>0</v>
      </c>
      <c r="I50" s="14" t="n">
        <f aca="false">(I46+I49)</f>
        <v>0</v>
      </c>
      <c r="J50" s="14" t="n">
        <f aca="false">(J46+J49)</f>
        <v>0</v>
      </c>
      <c r="K50" s="14" t="n">
        <f aca="false">(K46+K49)</f>
        <v>0</v>
      </c>
      <c r="L50" s="14" t="n">
        <f aca="false">(L46+L49)</f>
        <v>0</v>
      </c>
      <c r="M50" s="14" t="n">
        <f aca="false">(M46+M49)</f>
        <v>0</v>
      </c>
      <c r="N50" s="14" t="n">
        <f aca="false">(N46+N49)</f>
        <v>0</v>
      </c>
      <c r="O50" s="14" t="n">
        <f aca="false">(O46+O49)</f>
        <v>0</v>
      </c>
      <c r="P50" s="14" t="n">
        <f aca="false">(P46+P49)</f>
        <v>0</v>
      </c>
      <c r="Q50" s="14" t="n">
        <f aca="false">(Q46+Q49)</f>
        <v>0</v>
      </c>
      <c r="R50" s="14" t="n">
        <f aca="false">(R46+R49)</f>
        <v>0</v>
      </c>
      <c r="S50" s="14" t="n">
        <f aca="false">(S46+S49)</f>
        <v>0</v>
      </c>
      <c r="T50" s="14" t="n">
        <f aca="false">(T46+T49)</f>
        <v>0</v>
      </c>
      <c r="U50" s="14" t="n">
        <f aca="false">(U46+U49)</f>
        <v>1</v>
      </c>
      <c r="V50" s="14" t="n">
        <f aca="false">(V46+V49)</f>
        <v>0</v>
      </c>
      <c r="W50" s="14" t="n">
        <f aca="false">(W46+W49)</f>
        <v>0</v>
      </c>
      <c r="X50" s="14" t="n">
        <f aca="false">(X46+X49)</f>
        <v>1</v>
      </c>
      <c r="Y50" s="14" t="n">
        <f aca="false">(Y46+Y49)</f>
        <v>0</v>
      </c>
      <c r="Z50" s="14" t="n">
        <f aca="false">(Z46+Z49)</f>
        <v>0</v>
      </c>
      <c r="AA50" s="14" t="n">
        <f aca="false">(AA46+AA49)</f>
        <v>2</v>
      </c>
      <c r="AB50" s="14" t="n">
        <f aca="false">(AB46+AB49)</f>
        <v>0</v>
      </c>
      <c r="AC50" s="14" t="n">
        <f aca="false">(AC46+AC49)</f>
        <v>0</v>
      </c>
      <c r="AD50" s="14" t="n">
        <f aca="false">(AD46+AD49)</f>
        <v>2</v>
      </c>
      <c r="AE50" s="14" t="n">
        <f aca="false">(AE46+AE49)</f>
        <v>1</v>
      </c>
      <c r="AF50" s="14" t="n">
        <f aca="false">(AF46+AF49)</f>
        <v>0</v>
      </c>
      <c r="AG50" s="14" t="n">
        <f aca="false">(AG46+AG49)</f>
        <v>3</v>
      </c>
      <c r="AH50" s="14" t="n">
        <f aca="false">(AH46+AH49)</f>
        <v>1</v>
      </c>
      <c r="AI50" s="14" t="n">
        <f aca="false">(AI46+AI49)</f>
        <v>0</v>
      </c>
      <c r="AJ50" s="14" t="n">
        <f aca="false">(AJ46+AJ49)</f>
        <v>3</v>
      </c>
      <c r="AK50" s="14" t="n">
        <f aca="false">(AK46+AK49)</f>
        <v>2</v>
      </c>
      <c r="AL50" s="14" t="n">
        <f aca="false">(AL46+AL49)</f>
        <v>0</v>
      </c>
      <c r="AN50" s="36" t="n">
        <f aca="false">SUM(C50:N50)</f>
        <v>0</v>
      </c>
      <c r="AO50" s="36" t="n">
        <f aca="false">SUM(O50:Z50)</f>
        <v>2</v>
      </c>
      <c r="AP50" s="36" t="n">
        <f aca="false">SUM(AA50:AL50)</f>
        <v>14</v>
      </c>
    </row>
    <row r="51" customFormat="false" ht="15" hidden="false" customHeight="false" outlineLevel="0" collapsed="false">
      <c r="A51" s="0" t="s">
        <v>857</v>
      </c>
      <c r="B51" s="0" t="s">
        <v>852</v>
      </c>
      <c r="C51" s="14" t="n">
        <f aca="false">C48</f>
        <v>0</v>
      </c>
      <c r="D51" s="14" t="n">
        <f aca="false">SUM(C48:D48)</f>
        <v>0</v>
      </c>
      <c r="E51" s="14" t="n">
        <f aca="false">SUM(C48:E48)</f>
        <v>0</v>
      </c>
      <c r="F51" s="14" t="n">
        <f aca="false">SUM(C48:F48)</f>
        <v>0</v>
      </c>
      <c r="G51" s="14" t="n">
        <f aca="false">SUM(C48:G48)</f>
        <v>1</v>
      </c>
      <c r="H51" s="14" t="n">
        <f aca="false">SUM(C48:H48)</f>
        <v>1</v>
      </c>
      <c r="I51" s="14" t="n">
        <f aca="false">SUM(D48:I48)</f>
        <v>1</v>
      </c>
      <c r="J51" s="14" t="n">
        <f aca="false">SUM(E48:J48)</f>
        <v>1</v>
      </c>
      <c r="K51" s="14" t="n">
        <f aca="false">SUM(F48:K48)</f>
        <v>1</v>
      </c>
      <c r="L51" s="14" t="n">
        <f aca="false">SUM(G48:L48)</f>
        <v>1</v>
      </c>
      <c r="M51" s="14" t="n">
        <f aca="false">SUM(H48:M48)</f>
        <v>0</v>
      </c>
      <c r="N51" s="14" t="n">
        <f aca="false">SUM(I48:N48)</f>
        <v>0</v>
      </c>
      <c r="O51" s="14" t="n">
        <f aca="false">SUM(J48:O48)</f>
        <v>0</v>
      </c>
      <c r="P51" s="14" t="n">
        <f aca="false">SUM(K48:P48)</f>
        <v>0</v>
      </c>
      <c r="Q51" s="14" t="n">
        <f aca="false">SUM(L48:Q48)</f>
        <v>0</v>
      </c>
      <c r="R51" s="14" t="n">
        <f aca="false">SUM(M48:R48)</f>
        <v>0</v>
      </c>
      <c r="S51" s="14" t="n">
        <f aca="false">SUM(N48:S48)</f>
        <v>0</v>
      </c>
      <c r="T51" s="14" t="n">
        <f aca="false">SUM(O48:T48)</f>
        <v>0</v>
      </c>
      <c r="U51" s="14" t="n">
        <f aca="false">SUM(P48:U48)</f>
        <v>1</v>
      </c>
      <c r="V51" s="14" t="n">
        <f aca="false">SUM(Q48:V48)</f>
        <v>1</v>
      </c>
      <c r="W51" s="14" t="n">
        <f aca="false">SUM(R48:W48)</f>
        <v>1</v>
      </c>
      <c r="X51" s="14" t="n">
        <f aca="false">SUM(S48:X48)</f>
        <v>2</v>
      </c>
      <c r="Y51" s="14" t="n">
        <f aca="false">SUM(T48:Y48)</f>
        <v>2</v>
      </c>
      <c r="Z51" s="14" t="n">
        <f aca="false">SUM(U48:Z48)</f>
        <v>2</v>
      </c>
      <c r="AA51" s="14" t="n">
        <f aca="false">SUM(V48:AA48)</f>
        <v>3</v>
      </c>
      <c r="AB51" s="14" t="n">
        <f aca="false">SUM(W48:AB48)</f>
        <v>3</v>
      </c>
      <c r="AC51" s="14" t="n">
        <f aca="false">SUM(X48:AC48)</f>
        <v>3</v>
      </c>
      <c r="AD51" s="14" t="n">
        <f aca="false">SUM(Y48:AD48)</f>
        <v>4</v>
      </c>
      <c r="AE51" s="14" t="n">
        <f aca="false">SUM(Z48:AE48)</f>
        <v>4</v>
      </c>
      <c r="AF51" s="14" t="n">
        <f aca="false">SUM(AA48:AF48)</f>
        <v>4</v>
      </c>
      <c r="AG51" s="14" t="n">
        <f aca="false">SUM(AB48:AG48)</f>
        <v>5</v>
      </c>
      <c r="AH51" s="14" t="n">
        <f aca="false">SUM(AC48:AH48)</f>
        <v>5</v>
      </c>
      <c r="AI51" s="14" t="n">
        <f aca="false">SUM(AD48:AI48)</f>
        <v>5</v>
      </c>
      <c r="AJ51" s="14" t="n">
        <f aca="false">SUM(AE48:AJ48)</f>
        <v>6</v>
      </c>
      <c r="AK51" s="14" t="n">
        <f aca="false">SUM(AF48:AK48)</f>
        <v>6</v>
      </c>
      <c r="AL51" s="14" t="n">
        <f aca="false">SUM(AG48:AL48)</f>
        <v>6</v>
      </c>
      <c r="AN51" s="36" t="n">
        <f aca="false">N51</f>
        <v>0</v>
      </c>
      <c r="AO51" s="36" t="n">
        <f aca="false">Z51</f>
        <v>2</v>
      </c>
      <c r="AP51" s="36" t="n">
        <f aca="false">AL51</f>
        <v>6</v>
      </c>
    </row>
    <row r="52" customFormat="false" ht="15" hidden="false" customHeight="false" outlineLevel="0" collapsed="false">
      <c r="A52" s="0" t="s">
        <v>858</v>
      </c>
      <c r="B52" s="0" t="s">
        <v>852</v>
      </c>
      <c r="C52" s="14" t="n">
        <f aca="false">C46</f>
        <v>0</v>
      </c>
      <c r="D52" s="14" t="n">
        <f aca="false">SUM(C46:D46)</f>
        <v>0</v>
      </c>
      <c r="E52" s="14" t="n">
        <f aca="false">SUM(C46:E46)</f>
        <v>0</v>
      </c>
      <c r="F52" s="14" t="n">
        <f aca="false">SUM(C46:F46)</f>
        <v>0</v>
      </c>
      <c r="G52" s="14" t="n">
        <f aca="false">SUM(C46:G46)</f>
        <v>0</v>
      </c>
      <c r="H52" s="14" t="n">
        <f aca="false">SUM(C46:H46)</f>
        <v>0</v>
      </c>
      <c r="I52" s="14" t="n">
        <f aca="false">SUM(D46:I46)</f>
        <v>0</v>
      </c>
      <c r="J52" s="14" t="n">
        <f aca="false">SUM(E46:J46)</f>
        <v>0</v>
      </c>
      <c r="K52" s="14" t="n">
        <f aca="false">SUM(F46:K46)</f>
        <v>0</v>
      </c>
      <c r="L52" s="14" t="n">
        <f aca="false">SUM(G46:L46)</f>
        <v>0</v>
      </c>
      <c r="M52" s="14" t="n">
        <f aca="false">SUM(H46:M46)</f>
        <v>0</v>
      </c>
      <c r="N52" s="14" t="n">
        <f aca="false">SUM(I46:N46)</f>
        <v>0</v>
      </c>
      <c r="O52" s="14" t="n">
        <f aca="false">SUM(J46:O46)</f>
        <v>0</v>
      </c>
      <c r="P52" s="14" t="n">
        <f aca="false">SUM(K46:P46)</f>
        <v>0</v>
      </c>
      <c r="Q52" s="14" t="n">
        <f aca="false">SUM(L46:Q46)</f>
        <v>0</v>
      </c>
      <c r="R52" s="14" t="n">
        <f aca="false">SUM(M46:R46)</f>
        <v>0</v>
      </c>
      <c r="S52" s="14" t="n">
        <f aca="false">SUM(N46:S46)</f>
        <v>0</v>
      </c>
      <c r="T52" s="14" t="n">
        <f aca="false">SUM(O46:T46)</f>
        <v>0</v>
      </c>
      <c r="U52" s="14" t="n">
        <f aca="false">SUM(P46:U46)</f>
        <v>1</v>
      </c>
      <c r="V52" s="14" t="n">
        <f aca="false">SUM(Q46:V46)</f>
        <v>1</v>
      </c>
      <c r="W52" s="14" t="n">
        <f aca="false">SUM(R46:W46)</f>
        <v>1</v>
      </c>
      <c r="X52" s="14" t="n">
        <f aca="false">SUM(S46:X46)</f>
        <v>2</v>
      </c>
      <c r="Y52" s="14" t="n">
        <f aca="false">SUM(T46:Y46)</f>
        <v>2</v>
      </c>
      <c r="Z52" s="14" t="n">
        <f aca="false">SUM(U46:Z46)</f>
        <v>2</v>
      </c>
      <c r="AA52" s="14" t="n">
        <f aca="false">SUM(V46:AA46)</f>
        <v>3</v>
      </c>
      <c r="AB52" s="14" t="n">
        <f aca="false">SUM(W46:AB46)</f>
        <v>3</v>
      </c>
      <c r="AC52" s="14" t="n">
        <f aca="false">SUM(X46:AC46)</f>
        <v>3</v>
      </c>
      <c r="AD52" s="14" t="n">
        <f aca="false">SUM(Y46:AD46)</f>
        <v>4</v>
      </c>
      <c r="AE52" s="14" t="n">
        <f aca="false">SUM(Z46:AE46)</f>
        <v>4</v>
      </c>
      <c r="AF52" s="14" t="n">
        <f aca="false">SUM(AA46:AF46)</f>
        <v>4</v>
      </c>
      <c r="AG52" s="14" t="n">
        <f aca="false">SUM(AB46:AG46)</f>
        <v>5</v>
      </c>
      <c r="AH52" s="14" t="n">
        <f aca="false">SUM(AC46:AH46)</f>
        <v>5</v>
      </c>
      <c r="AI52" s="14" t="n">
        <f aca="false">SUM(AD46:AI46)</f>
        <v>5</v>
      </c>
      <c r="AJ52" s="14" t="n">
        <f aca="false">SUM(AE46:AJ46)</f>
        <v>6</v>
      </c>
      <c r="AK52" s="14" t="n">
        <f aca="false">SUM(AF46:AK46)</f>
        <v>6</v>
      </c>
      <c r="AL52" s="14" t="n">
        <f aca="false">SUM(AG46:AL46)</f>
        <v>6</v>
      </c>
      <c r="AN52" s="36" t="n">
        <f aca="false">N52</f>
        <v>0</v>
      </c>
      <c r="AO52" s="36" t="n">
        <f aca="false">Z52</f>
        <v>2</v>
      </c>
      <c r="AP52" s="36" t="n">
        <f aca="false">AL52</f>
        <v>6</v>
      </c>
    </row>
    <row r="53" customFormat="false" ht="15" hidden="false" customHeight="false" outlineLevel="0" collapsed="false">
      <c r="A53" s="0" t="s">
        <v>859</v>
      </c>
      <c r="B53" s="0" t="s">
        <v>852</v>
      </c>
      <c r="C53" s="14" t="n">
        <f aca="false">((Assumptions!$C$127*$C$8)*0)</f>
        <v>0</v>
      </c>
      <c r="D53" s="14" t="n">
        <f aca="false">((Assumptions!$C$127*$C$8)*0)</f>
        <v>0</v>
      </c>
      <c r="E53" s="14" t="n">
        <f aca="false">((Assumptions!$C$127*$C$8)*0)</f>
        <v>0</v>
      </c>
      <c r="F53" s="14" t="n">
        <f aca="false">((Assumptions!$C$127*$C$8)*0)</f>
        <v>0</v>
      </c>
      <c r="G53" s="14" t="n">
        <f aca="false">((Assumptions!$C$127*$C$8)*0)</f>
        <v>0</v>
      </c>
      <c r="H53" s="14" t="n">
        <f aca="false">((Assumptions!$C$127*$C$8)*0)</f>
        <v>0</v>
      </c>
      <c r="I53" s="14" t="n">
        <f aca="false">((Assumptions!$C$127*$C$8)*0)</f>
        <v>0</v>
      </c>
      <c r="J53" s="14" t="n">
        <f aca="false">((Assumptions!$C$127*$C$8)*C46)</f>
        <v>0</v>
      </c>
      <c r="K53" s="14" t="n">
        <f aca="false">((Assumptions!$C$127*$C$8)*D46)</f>
        <v>0</v>
      </c>
      <c r="L53" s="14" t="n">
        <f aca="false">((Assumptions!$C$127*$C$8)*E46)</f>
        <v>0</v>
      </c>
      <c r="M53" s="14" t="n">
        <f aca="false">((Assumptions!$C$127*$C$8)*F46)</f>
        <v>0</v>
      </c>
      <c r="N53" s="14" t="n">
        <f aca="false">((Assumptions!$C$127*$C$8)*G46)</f>
        <v>0</v>
      </c>
      <c r="O53" s="14" t="n">
        <f aca="false">((Assumptions!$C$127*$C$8)*H46)</f>
        <v>0</v>
      </c>
      <c r="P53" s="14" t="n">
        <f aca="false">((Assumptions!$C$127*$C$8)*I46)</f>
        <v>0</v>
      </c>
      <c r="Q53" s="14" t="n">
        <f aca="false">((Assumptions!$C$127*$C$8)*J46)</f>
        <v>0</v>
      </c>
      <c r="R53" s="14" t="n">
        <f aca="false">((Assumptions!$C$127*$C$8)*K46)</f>
        <v>0</v>
      </c>
      <c r="S53" s="14" t="n">
        <f aca="false">((Assumptions!$C$127*$C$8)*L46)</f>
        <v>0</v>
      </c>
      <c r="T53" s="14" t="n">
        <f aca="false">((Assumptions!$C$127*$C$8)*M46)</f>
        <v>0</v>
      </c>
      <c r="U53" s="14" t="n">
        <f aca="false">((Assumptions!$C$127*$C$8)*N46)</f>
        <v>0</v>
      </c>
      <c r="V53" s="14" t="n">
        <f aca="false">((Assumptions!$C$127*$C$8)*O46)</f>
        <v>0</v>
      </c>
      <c r="W53" s="14" t="n">
        <f aca="false">((Assumptions!$C$127*$C$8)*P46)</f>
        <v>0</v>
      </c>
      <c r="X53" s="14" t="n">
        <f aca="false">((Assumptions!$C$127*$C$8)*Q46)</f>
        <v>0</v>
      </c>
      <c r="Y53" s="14" t="n">
        <f aca="false">((Assumptions!$C$127*$C$8)*R46)</f>
        <v>0</v>
      </c>
      <c r="Z53" s="14" t="n">
        <f aca="false">((Assumptions!$C$127*$C$8)*S46)</f>
        <v>0</v>
      </c>
      <c r="AA53" s="14" t="n">
        <f aca="false">((Assumptions!$C$127*$C$8)*T46)</f>
        <v>0</v>
      </c>
      <c r="AB53" s="14" t="n">
        <f aca="false">((Assumptions!$C$127*$C$8)*U46)</f>
        <v>0.45</v>
      </c>
      <c r="AC53" s="14" t="n">
        <f aca="false">((Assumptions!$C$127*$C$8)*V46)</f>
        <v>0</v>
      </c>
      <c r="AD53" s="14" t="n">
        <f aca="false">((Assumptions!$C$127*$C$8)*W46)</f>
        <v>0</v>
      </c>
      <c r="AE53" s="14" t="n">
        <f aca="false">((Assumptions!$C$127*$C$8)*X46)</f>
        <v>0.45</v>
      </c>
      <c r="AF53" s="14" t="n">
        <f aca="false">((Assumptions!$C$127*$C$8)*Y46)</f>
        <v>0</v>
      </c>
      <c r="AG53" s="14" t="n">
        <f aca="false">((Assumptions!$C$127*$C$8)*Z46)</f>
        <v>0</v>
      </c>
      <c r="AH53" s="14" t="n">
        <f aca="false">((Assumptions!$C$127*$C$8)*AA46)</f>
        <v>0.9</v>
      </c>
      <c r="AI53" s="14" t="n">
        <f aca="false">((Assumptions!$C$127*$C$8)*AB46)</f>
        <v>0</v>
      </c>
      <c r="AJ53" s="14" t="n">
        <f aca="false">((Assumptions!$C$127*$C$8)*AC46)</f>
        <v>0</v>
      </c>
      <c r="AK53" s="14" t="n">
        <f aca="false">((Assumptions!$C$127*$C$8)*AD46)</f>
        <v>0.9</v>
      </c>
      <c r="AL53" s="14" t="n">
        <f aca="false">((Assumptions!$C$127*$C$8)*AE46)</f>
        <v>0</v>
      </c>
      <c r="AN53" s="36" t="n">
        <f aca="false">SUM(C53:N53)</f>
        <v>0</v>
      </c>
      <c r="AO53" s="36" t="n">
        <f aca="false">SUM(O53:Z53)</f>
        <v>0</v>
      </c>
      <c r="AP53" s="36" t="n">
        <f aca="false">SUM(AA53:AL53)</f>
        <v>2.7</v>
      </c>
    </row>
    <row r="54" customFormat="false" ht="15" hidden="false" customHeight="false" outlineLevel="0" collapsed="false">
      <c r="A54" s="0" t="s">
        <v>860</v>
      </c>
      <c r="B54" s="0" t="s">
        <v>852</v>
      </c>
      <c r="C54" s="14" t="n">
        <f aca="false">((Assumptions!$C$10*$C$8)*IF((C$18=(Assumptions!$C$7+$C$9)),0,IF((C$18&gt;(Assumptions!$C$7+$C$9)),0,0)))</f>
        <v>0</v>
      </c>
      <c r="D54" s="14" t="n">
        <f aca="false">((Assumptions!$C$10*$C$8)*IF((D$18=(Assumptions!$C$7+$C$9)),0,IF((D$18&gt;(Assumptions!$C$7+$C$9)),0,0)))</f>
        <v>0</v>
      </c>
      <c r="E54" s="14" t="n">
        <f aca="false">((Assumptions!$C$10*$C$8)*IF((E$18=(Assumptions!$C$7+$C$9)),0,IF((E$18&gt;(Assumptions!$C$7+$C$9)),0,0)))</f>
        <v>0</v>
      </c>
      <c r="F54" s="14" t="n">
        <f aca="false">((Assumptions!$C$10*$C$8)*IF((F$18=(Assumptions!$C$7+$C$9)),0,IF((F$18&gt;(Assumptions!$C$7+$C$9)),0,0)))</f>
        <v>0</v>
      </c>
      <c r="G54" s="14" t="n">
        <f aca="false">((Assumptions!$C$10*$C$8)*IF((G$18=(Assumptions!$C$7+$C$9)),0,IF((G$18&gt;(Assumptions!$C$7+$C$9)),0,0)))</f>
        <v>0</v>
      </c>
      <c r="H54" s="14" t="n">
        <f aca="false">((Assumptions!$C$10*$C$8)*IF((H$18=(Assumptions!$C$7+$C$9)),0,IF((H$18&gt;(Assumptions!$C$7+$C$9)),0,0)))</f>
        <v>0</v>
      </c>
      <c r="I54" s="14" t="n">
        <f aca="false">((Assumptions!$C$10*$C$8)*IF((I$18=(Assumptions!$C$7+$C$9)),0,IF((I$18&gt;(Assumptions!$C$7+$C$9)),0,0)))</f>
        <v>0</v>
      </c>
      <c r="J54" s="14" t="n">
        <f aca="false">((Assumptions!$C$10*$C$8)*IF((J$18=(Assumptions!$C$7+$C$9)),C47,IF((J$18&gt;(Assumptions!$C$7+$C$9)),C47,0)))</f>
        <v>0</v>
      </c>
      <c r="K54" s="14" t="n">
        <f aca="false">((Assumptions!$C$10*$C$8)*IF((K$18=(Assumptions!$C$7+$C$9)),SUM(C47:D47),IF((K$18&gt;(Assumptions!$C$7+$C$9)),D47,0)))</f>
        <v>0</v>
      </c>
      <c r="L54" s="14" t="n">
        <f aca="false">((Assumptions!$C$10*$C$8)*IF((L$18=(Assumptions!$C$7+$C$9)),SUM(C47:E47),IF((L$18&gt;(Assumptions!$C$7+$C$9)),E47,0)))</f>
        <v>0</v>
      </c>
      <c r="M54" s="14" t="n">
        <f aca="false">((Assumptions!$C$10*$C$8)*IF((M$18=(Assumptions!$C$7+$C$9)),SUM(C47:F47),IF((M$18&gt;(Assumptions!$C$7+$C$9)),F47,0)))</f>
        <v>0</v>
      </c>
      <c r="N54" s="14" t="n">
        <f aca="false">((Assumptions!$C$10*$C$8)*IF((N$18=(Assumptions!$C$7+$C$9)),SUM(C47:G47),IF((N$18&gt;(Assumptions!$C$7+$C$9)),G47,0)))</f>
        <v>0</v>
      </c>
      <c r="O54" s="14" t="n">
        <f aca="false">((Assumptions!$C$10*$C$8)*IF((O$18=(Assumptions!$C$7+$C$9)),SUM(C47:H47),IF((O$18&gt;(Assumptions!$C$7+$C$9)),H47,0)))</f>
        <v>0</v>
      </c>
      <c r="P54" s="14" t="n">
        <f aca="false">((Assumptions!$C$10*$C$8)*IF((P$18=(Assumptions!$C$7+$C$9)),SUM(C47:I47),IF((P$18&gt;(Assumptions!$C$7+$C$9)),I47,0)))</f>
        <v>0</v>
      </c>
      <c r="Q54" s="14" t="n">
        <f aca="false">((Assumptions!$C$10*$C$8)*IF((Q$18=(Assumptions!$C$7+$C$9)),SUM(C47:J47),IF((Q$18&gt;(Assumptions!$C$7+$C$9)),J47,0)))</f>
        <v>0</v>
      </c>
      <c r="R54" s="14" t="n">
        <f aca="false">((Assumptions!$C$10*$C$8)*IF((R$18=(Assumptions!$C$7+$C$9)),SUM(C47:K47),IF((R$18&gt;(Assumptions!$C$7+$C$9)),K47,0)))</f>
        <v>0</v>
      </c>
      <c r="S54" s="14" t="n">
        <f aca="false">((Assumptions!$C$10*$C$8)*IF((S$18=(Assumptions!$C$7+$C$9)),SUM(C47:L47),IF((S$18&gt;(Assumptions!$C$7+$C$9)),L47,0)))</f>
        <v>0</v>
      </c>
      <c r="T54" s="14" t="n">
        <f aca="false">((Assumptions!$C$10*$C$8)*IF((T$18=(Assumptions!$C$7+$C$9)),SUM(C47:M47),IF((T$18&gt;(Assumptions!$C$7+$C$9)),M47,0)))</f>
        <v>0.54</v>
      </c>
      <c r="U54" s="14" t="n">
        <f aca="false">((Assumptions!$C$10*$C$8)*IF((U$18=(Assumptions!$C$7+$C$9)),SUM(C47:N47),IF((U$18&gt;(Assumptions!$C$7+$C$9)),N47,0)))</f>
        <v>0</v>
      </c>
      <c r="V54" s="14" t="n">
        <f aca="false">((Assumptions!$C$10*$C$8)*IF((V$18=(Assumptions!$C$7+$C$9)),SUM(C47:O47),IF((V$18&gt;(Assumptions!$C$7+$C$9)),O47,0)))</f>
        <v>0</v>
      </c>
      <c r="W54" s="14" t="n">
        <f aca="false">((Assumptions!$C$10*$C$8)*IF((W$18=(Assumptions!$C$7+$C$9)),SUM(C47:P47),IF((W$18&gt;(Assumptions!$C$7+$C$9)),P47,0)))</f>
        <v>0</v>
      </c>
      <c r="X54" s="14" t="n">
        <f aca="false">((Assumptions!$C$10*$C$8)*IF((X$18=(Assumptions!$C$7+$C$9)),SUM(C47:Q47),IF((X$18&gt;(Assumptions!$C$7+$C$9)),Q47,0)))</f>
        <v>0</v>
      </c>
      <c r="Y54" s="14" t="n">
        <f aca="false">((Assumptions!$C$10*$C$8)*IF((Y$18=(Assumptions!$C$7+$C$9)),SUM(C47:R47),IF((Y$18&gt;(Assumptions!$C$7+$C$9)),R47,0)))</f>
        <v>0</v>
      </c>
      <c r="Z54" s="14" t="n">
        <f aca="false">((Assumptions!$C$10*$C$8)*IF((Z$18=(Assumptions!$C$7+$C$9)),SUM(C47:S47),IF((Z$18&gt;(Assumptions!$C$7+$C$9)),S47,0)))</f>
        <v>0</v>
      </c>
      <c r="AA54" s="14" t="n">
        <f aca="false">((Assumptions!$C$10*$C$8)*IF((AA$18=(Assumptions!$C$7+$C$9)),SUM(C47:T47),IF((AA$18&gt;(Assumptions!$C$7+$C$9)),T47,0)))</f>
        <v>0</v>
      </c>
      <c r="AB54" s="14" t="n">
        <f aca="false">((Assumptions!$C$10*$C$8)*IF((AB$18=(Assumptions!$C$7+$C$9)),SUM(C47:U47),IF((AB$18&gt;(Assumptions!$C$7+$C$9)),U47,0)))</f>
        <v>0</v>
      </c>
      <c r="AC54" s="14" t="n">
        <f aca="false">((Assumptions!$C$10*$C$8)*IF((AC$18=(Assumptions!$C$7+$C$9)),SUM(C47:V47),IF((AC$18&gt;(Assumptions!$C$7+$C$9)),V47,0)))</f>
        <v>0</v>
      </c>
      <c r="AD54" s="14" t="n">
        <f aca="false">((Assumptions!$C$10*$C$8)*IF((AD$18=(Assumptions!$C$7+$C$9)),SUM(C47:W47),IF((AD$18&gt;(Assumptions!$C$7+$C$9)),W47,0)))</f>
        <v>0</v>
      </c>
      <c r="AE54" s="14" t="n">
        <f aca="false">((Assumptions!$C$10*$C$8)*IF((AE$18=(Assumptions!$C$7+$C$9)),SUM(C47:X47),IF((AE$18&gt;(Assumptions!$C$7+$C$9)),X47,0)))</f>
        <v>0</v>
      </c>
      <c r="AF54" s="14" t="n">
        <f aca="false">((Assumptions!$C$10*$C$8)*IF((AF$18=(Assumptions!$C$7+$C$9)),SUM(C47:Y47),IF((AF$18&gt;(Assumptions!$C$7+$C$9)),Y47,0)))</f>
        <v>0</v>
      </c>
      <c r="AG54" s="14" t="n">
        <f aca="false">((Assumptions!$C$10*$C$8)*IF((AG$18=(Assumptions!$C$7+$C$9)),SUM(C47:Z47),IF((AG$18&gt;(Assumptions!$C$7+$C$9)),Z47,0)))</f>
        <v>0</v>
      </c>
      <c r="AH54" s="14" t="n">
        <f aca="false">((Assumptions!$C$10*$C$8)*IF((AH$18=(Assumptions!$C$7+$C$9)),SUM(C47:AA47),IF((AH$18&gt;(Assumptions!$C$7+$C$9)),AA47,0)))</f>
        <v>0</v>
      </c>
      <c r="AI54" s="14" t="n">
        <f aca="false">((Assumptions!$C$10*$C$8)*IF((AI$18=(Assumptions!$C$7+$C$9)),SUM(C47:AB47),IF((AI$18&gt;(Assumptions!$C$7+$C$9)),AB47,0)))</f>
        <v>0</v>
      </c>
      <c r="AJ54" s="14" t="n">
        <f aca="false">((Assumptions!$C$10*$C$8)*IF((AJ$18=(Assumptions!$C$7+$C$9)),SUM(C47:AC47),IF((AJ$18&gt;(Assumptions!$C$7+$C$9)),AC47,0)))</f>
        <v>0</v>
      </c>
      <c r="AK54" s="14" t="n">
        <f aca="false">((Assumptions!$C$10*$C$8)*IF((AK$18=(Assumptions!$C$7+$C$9)),SUM(C47:AD47),IF((AK$18&gt;(Assumptions!$C$7+$C$9)),AD47,0)))</f>
        <v>0</v>
      </c>
      <c r="AL54" s="14" t="n">
        <f aca="false">((Assumptions!$C$10*$C$8)*IF((AL$18=(Assumptions!$C$7+$C$9)),SUM(C47:AE47),IF((AL$18&gt;(Assumptions!$C$7+$C$9)),AE47,0)))</f>
        <v>0</v>
      </c>
      <c r="AN54" s="36" t="n">
        <f aca="false">SUM(C54:N54)</f>
        <v>0</v>
      </c>
      <c r="AO54" s="36" t="n">
        <f aca="false">SUM(O54:Z54)</f>
        <v>0.54</v>
      </c>
      <c r="AP54" s="36" t="n">
        <f aca="false">SUM(AA54:AL54)</f>
        <v>0</v>
      </c>
    </row>
    <row r="55" customFormat="false" ht="15" hidden="false" customHeight="false" outlineLevel="0" collapsed="false">
      <c r="A55" s="0" t="s">
        <v>861</v>
      </c>
      <c r="B55" s="0" t="s">
        <v>852</v>
      </c>
      <c r="C55" s="14" t="n">
        <f aca="false">((C53+C54)+C49)</f>
        <v>0</v>
      </c>
      <c r="D55" s="14" t="n">
        <f aca="false">((D53+D54)+D49)</f>
        <v>0</v>
      </c>
      <c r="E55" s="14" t="n">
        <f aca="false">((E53+E54)+E49)</f>
        <v>0</v>
      </c>
      <c r="F55" s="14" t="n">
        <f aca="false">((F53+F54)+F49)</f>
        <v>0</v>
      </c>
      <c r="G55" s="14" t="n">
        <f aca="false">((G53+G54)+G49)</f>
        <v>0</v>
      </c>
      <c r="H55" s="14" t="n">
        <f aca="false">((H53+H54)+H49)</f>
        <v>0</v>
      </c>
      <c r="I55" s="14" t="n">
        <f aca="false">((I53+I54)+I49)</f>
        <v>0</v>
      </c>
      <c r="J55" s="14" t="n">
        <f aca="false">((J53+J54)+J49)</f>
        <v>0</v>
      </c>
      <c r="K55" s="14" t="n">
        <f aca="false">((K53+K54)+K49)</f>
        <v>0</v>
      </c>
      <c r="L55" s="14" t="n">
        <f aca="false">((L53+L54)+L49)</f>
        <v>0</v>
      </c>
      <c r="M55" s="14" t="n">
        <f aca="false">((M53+M54)+M49)</f>
        <v>0</v>
      </c>
      <c r="N55" s="14" t="n">
        <f aca="false">((N53+N54)+N49)</f>
        <v>0</v>
      </c>
      <c r="O55" s="14" t="n">
        <f aca="false">((O53+O54)+O49)</f>
        <v>0</v>
      </c>
      <c r="P55" s="14" t="n">
        <f aca="false">((P53+P54)+P49)</f>
        <v>0</v>
      </c>
      <c r="Q55" s="14" t="n">
        <f aca="false">((Q53+Q54)+Q49)</f>
        <v>0</v>
      </c>
      <c r="R55" s="14" t="n">
        <f aca="false">((R53+R54)+R49)</f>
        <v>0</v>
      </c>
      <c r="S55" s="14" t="n">
        <f aca="false">((S53+S54)+S49)</f>
        <v>0</v>
      </c>
      <c r="T55" s="14" t="n">
        <f aca="false">((T53+T54)+T49)</f>
        <v>0.54</v>
      </c>
      <c r="U55" s="14" t="n">
        <f aca="false">((U53+U54)+U49)</f>
        <v>0</v>
      </c>
      <c r="V55" s="14" t="n">
        <f aca="false">((V53+V54)+V49)</f>
        <v>0</v>
      </c>
      <c r="W55" s="14" t="n">
        <f aca="false">((W53+W54)+W49)</f>
        <v>0</v>
      </c>
      <c r="X55" s="14" t="n">
        <f aca="false">((X53+X54)+X49)</f>
        <v>0</v>
      </c>
      <c r="Y55" s="14" t="n">
        <f aca="false">((Y53+Y54)+Y49)</f>
        <v>0</v>
      </c>
      <c r="Z55" s="14" t="n">
        <f aca="false">((Z53+Z54)+Z49)</f>
        <v>0</v>
      </c>
      <c r="AA55" s="14" t="n">
        <f aca="false">((AA53+AA54)+AA49)</f>
        <v>0</v>
      </c>
      <c r="AB55" s="14" t="n">
        <f aca="false">((AB53+AB54)+AB49)</f>
        <v>0.45</v>
      </c>
      <c r="AC55" s="14" t="n">
        <f aca="false">((AC53+AC54)+AC49)</f>
        <v>0</v>
      </c>
      <c r="AD55" s="14" t="n">
        <f aca="false">((AD53+AD54)+AD49)</f>
        <v>0</v>
      </c>
      <c r="AE55" s="14" t="n">
        <f aca="false">((AE53+AE54)+AE49)</f>
        <v>1.45</v>
      </c>
      <c r="AF55" s="14" t="n">
        <f aca="false">((AF53+AF54)+AF49)</f>
        <v>0</v>
      </c>
      <c r="AG55" s="14" t="n">
        <f aca="false">((AG53+AG54)+AG49)</f>
        <v>0</v>
      </c>
      <c r="AH55" s="14" t="n">
        <f aca="false">((AH53+AH54)+AH49)</f>
        <v>1.9</v>
      </c>
      <c r="AI55" s="14" t="n">
        <f aca="false">((AI53+AI54)+AI49)</f>
        <v>0</v>
      </c>
      <c r="AJ55" s="14" t="n">
        <f aca="false">((AJ53+AJ54)+AJ49)</f>
        <v>0</v>
      </c>
      <c r="AK55" s="14" t="n">
        <f aca="false">((AK53+AK54)+AK49)</f>
        <v>2.9</v>
      </c>
      <c r="AL55" s="14" t="n">
        <f aca="false">((AL53+AL54)+AL49)</f>
        <v>0</v>
      </c>
      <c r="AN55" s="36" t="n">
        <f aca="false">SUM(C55:N55)</f>
        <v>0</v>
      </c>
      <c r="AO55" s="36" t="n">
        <f aca="false">SUM(O55:Z55)</f>
        <v>0.54</v>
      </c>
      <c r="AP55" s="36" t="n">
        <f aca="false">SUM(AA55:AL55)</f>
        <v>6.7</v>
      </c>
    </row>
    <row r="56" customFormat="false" ht="15" hidden="false" customHeight="false" outlineLevel="0" collapsed="false">
      <c r="A56" s="0" t="s">
        <v>862</v>
      </c>
      <c r="B56" s="0" t="s">
        <v>852</v>
      </c>
      <c r="C56" s="14" t="n">
        <f aca="false">(C55+(C45*0))</f>
        <v>0</v>
      </c>
      <c r="D56" s="14" t="n">
        <f aca="false">(D55+(D45*0))</f>
        <v>0</v>
      </c>
      <c r="E56" s="14" t="n">
        <f aca="false">(E55+(E45*0))</f>
        <v>0</v>
      </c>
      <c r="F56" s="14" t="n">
        <f aca="false">(F55+(F45*0))</f>
        <v>0</v>
      </c>
      <c r="G56" s="14" t="n">
        <f aca="false">(G55+(G45*0))</f>
        <v>0</v>
      </c>
      <c r="H56" s="14" t="n">
        <f aca="false">(H55+(H45*0))</f>
        <v>0</v>
      </c>
      <c r="I56" s="14" t="n">
        <f aca="false">(I55+(I45*0))</f>
        <v>0</v>
      </c>
      <c r="J56" s="14" t="n">
        <f aca="false">(J55+(J45*0))</f>
        <v>0</v>
      </c>
      <c r="K56" s="14" t="n">
        <f aca="false">(K55+(K45*0))</f>
        <v>0</v>
      </c>
      <c r="L56" s="14" t="n">
        <f aca="false">(L55+(L45*0))</f>
        <v>0</v>
      </c>
      <c r="M56" s="14" t="n">
        <f aca="false">(M55+(M45*0))</f>
        <v>0</v>
      </c>
      <c r="N56" s="14" t="n">
        <f aca="false">(N55+(N45*0))</f>
        <v>0</v>
      </c>
      <c r="O56" s="14" t="n">
        <f aca="false">(O55+(O45*C56))</f>
        <v>0</v>
      </c>
      <c r="P56" s="14" t="n">
        <f aca="false">(P55+(P45*D56))</f>
        <v>0</v>
      </c>
      <c r="Q56" s="14" t="n">
        <f aca="false">(Q55+(Q45*E56))</f>
        <v>0</v>
      </c>
      <c r="R56" s="14" t="n">
        <f aca="false">(R55+(R45*F56))</f>
        <v>0</v>
      </c>
      <c r="S56" s="14" t="n">
        <f aca="false">(S55+(S45*G56))</f>
        <v>0</v>
      </c>
      <c r="T56" s="14" t="n">
        <f aca="false">(T55+(T45*H56))</f>
        <v>0.54</v>
      </c>
      <c r="U56" s="14" t="n">
        <f aca="false">(U55+(U45*I56))</f>
        <v>0</v>
      </c>
      <c r="V56" s="14" t="n">
        <f aca="false">(V55+(V45*J56))</f>
        <v>0</v>
      </c>
      <c r="W56" s="14" t="n">
        <f aca="false">(W55+(W45*K56))</f>
        <v>0</v>
      </c>
      <c r="X56" s="14" t="n">
        <f aca="false">(X55+(X45*L56))</f>
        <v>0</v>
      </c>
      <c r="Y56" s="14" t="n">
        <f aca="false">(Y55+(Y45*M56))</f>
        <v>0</v>
      </c>
      <c r="Z56" s="14" t="n">
        <f aca="false">(Z55+(Z45*N56))</f>
        <v>0</v>
      </c>
      <c r="AA56" s="14" t="n">
        <f aca="false">(AA55+(AA45*O56))</f>
        <v>0</v>
      </c>
      <c r="AB56" s="14" t="n">
        <f aca="false">(AB55+(AB45*P56))</f>
        <v>0.45</v>
      </c>
      <c r="AC56" s="14" t="n">
        <f aca="false">(AC55+(AC45*Q56))</f>
        <v>0</v>
      </c>
      <c r="AD56" s="14" t="n">
        <f aca="false">(AD55+(AD45*R56))</f>
        <v>0</v>
      </c>
      <c r="AE56" s="14" t="n">
        <f aca="false">(AE55+(AE45*S56))</f>
        <v>1.45</v>
      </c>
      <c r="AF56" s="14" t="n">
        <f aca="false">(AF55+(AF45*T56))</f>
        <v>0.4752</v>
      </c>
      <c r="AG56" s="14" t="n">
        <f aca="false">(AG55+(AG45*U56))</f>
        <v>0</v>
      </c>
      <c r="AH56" s="14" t="n">
        <f aca="false">(AH55+(AH45*V56))</f>
        <v>1.9</v>
      </c>
      <c r="AI56" s="14" t="n">
        <f aca="false">(AI55+(AI45*W56))</f>
        <v>0</v>
      </c>
      <c r="AJ56" s="14" t="n">
        <f aca="false">(AJ55+(AJ45*X56))</f>
        <v>0</v>
      </c>
      <c r="AK56" s="14" t="n">
        <f aca="false">(AK55+(AK45*Y56))</f>
        <v>2.9</v>
      </c>
      <c r="AL56" s="14" t="n">
        <f aca="false">(AL55+(AL45*Z56))</f>
        <v>0</v>
      </c>
      <c r="AN56" s="36" t="n">
        <f aca="false">SUM(C56:N56)</f>
        <v>0</v>
      </c>
      <c r="AO56" s="36" t="n">
        <f aca="false">SUM(O56:Z56)</f>
        <v>0.54</v>
      </c>
      <c r="AP56" s="36" t="n">
        <f aca="false">SUM(AA56:AL56)</f>
        <v>7.1752</v>
      </c>
    </row>
    <row r="57" customFormat="false" ht="15" hidden="false" customHeight="false" outlineLevel="0" collapsed="false">
      <c r="A57" s="0" t="s">
        <v>863</v>
      </c>
      <c r="B57" s="0" t="s">
        <v>852</v>
      </c>
      <c r="C57" s="14" t="n">
        <f aca="false">C56</f>
        <v>0</v>
      </c>
      <c r="D57" s="14" t="n">
        <f aca="false">SUM(C56:D56)</f>
        <v>0</v>
      </c>
      <c r="E57" s="14" t="n">
        <f aca="false">SUM(C56:E56)</f>
        <v>0</v>
      </c>
      <c r="F57" s="14" t="n">
        <f aca="false">SUM(C56:F56)</f>
        <v>0</v>
      </c>
      <c r="G57" s="14" t="n">
        <f aca="false">SUM(C56:G56)</f>
        <v>0</v>
      </c>
      <c r="H57" s="14" t="n">
        <f aca="false">SUM(C56:H56)</f>
        <v>0</v>
      </c>
      <c r="I57" s="14" t="n">
        <f aca="false">SUM(C56:I56)</f>
        <v>0</v>
      </c>
      <c r="J57" s="14" t="n">
        <f aca="false">SUM(C56:J56)</f>
        <v>0</v>
      </c>
      <c r="K57" s="14" t="n">
        <f aca="false">SUM(C56:K56)</f>
        <v>0</v>
      </c>
      <c r="L57" s="14" t="n">
        <f aca="false">SUM(C56:L56)</f>
        <v>0</v>
      </c>
      <c r="M57" s="14" t="n">
        <f aca="false">SUM(C56:M56)</f>
        <v>0</v>
      </c>
      <c r="N57" s="14" t="n">
        <f aca="false">SUM(C56:N56)</f>
        <v>0</v>
      </c>
      <c r="O57" s="14" t="n">
        <f aca="false">SUM(D56:O56)</f>
        <v>0</v>
      </c>
      <c r="P57" s="14" t="n">
        <f aca="false">SUM(E56:P56)</f>
        <v>0</v>
      </c>
      <c r="Q57" s="14" t="n">
        <f aca="false">SUM(F56:Q56)</f>
        <v>0</v>
      </c>
      <c r="R57" s="14" t="n">
        <f aca="false">SUM(G56:R56)</f>
        <v>0</v>
      </c>
      <c r="S57" s="14" t="n">
        <f aca="false">SUM(H56:S56)</f>
        <v>0</v>
      </c>
      <c r="T57" s="14" t="n">
        <f aca="false">SUM(I56:T56)</f>
        <v>0.54</v>
      </c>
      <c r="U57" s="14" t="n">
        <f aca="false">SUM(J56:U56)</f>
        <v>0.54</v>
      </c>
      <c r="V57" s="14" t="n">
        <f aca="false">SUM(K56:V56)</f>
        <v>0.54</v>
      </c>
      <c r="W57" s="14" t="n">
        <f aca="false">SUM(L56:W56)</f>
        <v>0.54</v>
      </c>
      <c r="X57" s="14" t="n">
        <f aca="false">SUM(M56:X56)</f>
        <v>0.54</v>
      </c>
      <c r="Y57" s="14" t="n">
        <f aca="false">SUM(N56:Y56)</f>
        <v>0.54</v>
      </c>
      <c r="Z57" s="14" t="n">
        <f aca="false">SUM(O56:Z56)</f>
        <v>0.54</v>
      </c>
      <c r="AA57" s="14" t="n">
        <f aca="false">SUM(P56:AA56)</f>
        <v>0.54</v>
      </c>
      <c r="AB57" s="14" t="n">
        <f aca="false">SUM(Q56:AB56)</f>
        <v>0.99</v>
      </c>
      <c r="AC57" s="14" t="n">
        <f aca="false">SUM(R56:AC56)</f>
        <v>0.99</v>
      </c>
      <c r="AD57" s="14" t="n">
        <f aca="false">SUM(S56:AD56)</f>
        <v>0.99</v>
      </c>
      <c r="AE57" s="14" t="n">
        <f aca="false">SUM(T56:AE56)</f>
        <v>2.44</v>
      </c>
      <c r="AF57" s="14" t="n">
        <f aca="false">SUM(U56:AF56)</f>
        <v>2.3752</v>
      </c>
      <c r="AG57" s="14" t="n">
        <f aca="false">SUM(V56:AG56)</f>
        <v>2.3752</v>
      </c>
      <c r="AH57" s="14" t="n">
        <f aca="false">SUM(W56:AH56)</f>
        <v>4.2752</v>
      </c>
      <c r="AI57" s="14" t="n">
        <f aca="false">SUM(X56:AI56)</f>
        <v>4.2752</v>
      </c>
      <c r="AJ57" s="14" t="n">
        <f aca="false">SUM(Y56:AJ56)</f>
        <v>4.2752</v>
      </c>
      <c r="AK57" s="14" t="n">
        <f aca="false">SUM(Z56:AK56)</f>
        <v>7.1752</v>
      </c>
      <c r="AL57" s="14" t="n">
        <f aca="false">SUM(AA56:AL56)</f>
        <v>7.1752</v>
      </c>
      <c r="AN57" s="36" t="n">
        <f aca="false">N57</f>
        <v>0</v>
      </c>
      <c r="AO57" s="36" t="n">
        <f aca="false">Z57</f>
        <v>0.54</v>
      </c>
      <c r="AP57" s="36" t="n">
        <f aca="false">AL57</f>
        <v>7.1752</v>
      </c>
    </row>
    <row r="58" customFormat="false" ht="15" hidden="false" customHeight="false" outlineLevel="0" collapsed="false">
      <c r="A58" s="0" t="s">
        <v>864</v>
      </c>
      <c r="B58" s="0" t="s">
        <v>230</v>
      </c>
      <c r="C58" s="9" t="n">
        <f aca="false">((Assumptions!$C$121*(1-Assumptions!$C$29))*$C$10)</f>
        <v>26400</v>
      </c>
      <c r="D58" s="9" t="n">
        <f aca="false">((Assumptions!$C$121*(1-Assumptions!$C$29))*$C$10)</f>
        <v>26400</v>
      </c>
      <c r="E58" s="9" t="n">
        <f aca="false">((Assumptions!$C$121*(1-Assumptions!$C$29))*$C$10)</f>
        <v>26400</v>
      </c>
      <c r="F58" s="9" t="n">
        <f aca="false">((Assumptions!$C$121*(1-Assumptions!$C$29))*$C$10)</f>
        <v>26400</v>
      </c>
      <c r="G58" s="9" t="n">
        <f aca="false">((Assumptions!$C$121*(1-Assumptions!$C$29))*$C$10)</f>
        <v>26400</v>
      </c>
      <c r="H58" s="9" t="n">
        <f aca="false">((Assumptions!$C$121*(1-Assumptions!$C$29))*$C$10)</f>
        <v>26400</v>
      </c>
      <c r="I58" s="9" t="n">
        <f aca="false">((Assumptions!$C$121*(1-Assumptions!$C$29))*$C$10)</f>
        <v>26400</v>
      </c>
      <c r="J58" s="9" t="n">
        <f aca="false">((Assumptions!$C$121*(1-Assumptions!$C$29))*$C$10)</f>
        <v>26400</v>
      </c>
      <c r="K58" s="9" t="n">
        <f aca="false">((Assumptions!$C$121*(1-Assumptions!$C$29))*$C$10)</f>
        <v>26400</v>
      </c>
      <c r="L58" s="9" t="n">
        <f aca="false">((Assumptions!$C$121*(1-Assumptions!$C$29))*$C$10)</f>
        <v>26400</v>
      </c>
      <c r="M58" s="9" t="n">
        <f aca="false">((Assumptions!$C$121*(1-Assumptions!$C$29))*$C$10)</f>
        <v>26400</v>
      </c>
      <c r="N58" s="9" t="n">
        <f aca="false">((Assumptions!$C$121*(1-Assumptions!$C$29))*$C$10)</f>
        <v>26400</v>
      </c>
      <c r="O58" s="9" t="n">
        <f aca="false">((Assumptions!$C$121*(1-Assumptions!$C$29))*$C$10)</f>
        <v>26400</v>
      </c>
      <c r="P58" s="9" t="n">
        <f aca="false">((Assumptions!$C$121*(1-Assumptions!$C$29))*$C$10)</f>
        <v>26400</v>
      </c>
      <c r="Q58" s="9" t="n">
        <f aca="false">((Assumptions!$C$121*(1-Assumptions!$C$29))*$C$10)</f>
        <v>26400</v>
      </c>
      <c r="R58" s="9" t="n">
        <f aca="false">((Assumptions!$C$121*(1-Assumptions!$C$29))*$C$10)</f>
        <v>26400</v>
      </c>
      <c r="S58" s="9" t="n">
        <f aca="false">((Assumptions!$C$121*(1-Assumptions!$C$29))*$C$10)</f>
        <v>26400</v>
      </c>
      <c r="T58" s="9" t="n">
        <f aca="false">((Assumptions!$C$121*(1-Assumptions!$C$29))*$C$10)</f>
        <v>26400</v>
      </c>
      <c r="U58" s="9" t="n">
        <f aca="false">((Assumptions!$C$121*(1-Assumptions!$C$29))*$C$10)</f>
        <v>26400</v>
      </c>
      <c r="V58" s="9" t="n">
        <f aca="false">((Assumptions!$C$121*(1-Assumptions!$C$29))*$C$10)</f>
        <v>26400</v>
      </c>
      <c r="W58" s="9" t="n">
        <f aca="false">((Assumptions!$C$121*(1-Assumptions!$C$29))*$C$10)</f>
        <v>26400</v>
      </c>
      <c r="X58" s="9" t="n">
        <f aca="false">((Assumptions!$C$121*(1-Assumptions!$C$29))*$C$10)</f>
        <v>26400</v>
      </c>
      <c r="Y58" s="9" t="n">
        <f aca="false">((Assumptions!$C$121*(1-Assumptions!$C$29))*$C$10)</f>
        <v>26400</v>
      </c>
      <c r="Z58" s="9" t="n">
        <f aca="false">((Assumptions!$C$121*(1-Assumptions!$C$29))*$C$10)</f>
        <v>26400</v>
      </c>
      <c r="AA58" s="9" t="n">
        <f aca="false">((Assumptions!$C$121*(1-Assumptions!$C$29))*$C$10)</f>
        <v>26400</v>
      </c>
      <c r="AB58" s="9" t="n">
        <f aca="false">((Assumptions!$C$121*(1-Assumptions!$C$29))*$C$10)</f>
        <v>26400</v>
      </c>
      <c r="AC58" s="9" t="n">
        <f aca="false">((Assumptions!$C$121*(1-Assumptions!$C$29))*$C$10)</f>
        <v>26400</v>
      </c>
      <c r="AD58" s="9" t="n">
        <f aca="false">((Assumptions!$C$121*(1-Assumptions!$C$29))*$C$10)</f>
        <v>26400</v>
      </c>
      <c r="AE58" s="9" t="n">
        <f aca="false">((Assumptions!$C$121*(1-Assumptions!$C$29))*$C$10)</f>
        <v>26400</v>
      </c>
      <c r="AF58" s="9" t="n">
        <f aca="false">((Assumptions!$C$121*(1-Assumptions!$C$29))*$C$10)</f>
        <v>26400</v>
      </c>
      <c r="AG58" s="9" t="n">
        <f aca="false">((Assumptions!$C$121*(1-Assumptions!$C$29))*$C$10)</f>
        <v>26400</v>
      </c>
      <c r="AH58" s="9" t="n">
        <f aca="false">((Assumptions!$C$121*(1-Assumptions!$C$29))*$C$10)</f>
        <v>26400</v>
      </c>
      <c r="AI58" s="9" t="n">
        <f aca="false">((Assumptions!$C$121*(1-Assumptions!$C$29))*$C$10)</f>
        <v>26400</v>
      </c>
      <c r="AJ58" s="9" t="n">
        <f aca="false">((Assumptions!$C$121*(1-Assumptions!$C$29))*$C$10)</f>
        <v>26400</v>
      </c>
      <c r="AK58" s="9" t="n">
        <f aca="false">((Assumptions!$C$121*(1-Assumptions!$C$29))*$C$10)</f>
        <v>26400</v>
      </c>
      <c r="AL58" s="9" t="n">
        <f aca="false">((Assumptions!$C$121*(1-Assumptions!$C$29))*$C$10)</f>
        <v>26400</v>
      </c>
    </row>
    <row r="59" customFormat="false" ht="15" hidden="false" customHeight="false" outlineLevel="0" collapsed="false">
      <c r="A59" s="0" t="s">
        <v>865</v>
      </c>
      <c r="B59" s="0" t="s">
        <v>230</v>
      </c>
      <c r="C59" s="9" t="n">
        <f aca="false">((C55*C58)+((C45*(1+Assumptions!$C$31))*0))</f>
        <v>0</v>
      </c>
      <c r="D59" s="9" t="n">
        <f aca="false">((D55*D58)+((D45*(1+Assumptions!$C$31))*0))</f>
        <v>0</v>
      </c>
      <c r="E59" s="9" t="n">
        <f aca="false">((E55*E58)+((E45*(1+Assumptions!$C$31))*0))</f>
        <v>0</v>
      </c>
      <c r="F59" s="9" t="n">
        <f aca="false">((F55*F58)+((F45*(1+Assumptions!$C$31))*0))</f>
        <v>0</v>
      </c>
      <c r="G59" s="9" t="n">
        <f aca="false">((G55*G58)+((G45*(1+Assumptions!$C$31))*0))</f>
        <v>0</v>
      </c>
      <c r="H59" s="9" t="n">
        <f aca="false">((H55*H58)+((H45*(1+Assumptions!$C$31))*0))</f>
        <v>0</v>
      </c>
      <c r="I59" s="9" t="n">
        <f aca="false">((I55*I58)+((I45*(1+Assumptions!$C$31))*0))</f>
        <v>0</v>
      </c>
      <c r="J59" s="9" t="n">
        <f aca="false">((J55*J58)+((J45*(1+Assumptions!$C$31))*0))</f>
        <v>0</v>
      </c>
      <c r="K59" s="9" t="n">
        <f aca="false">((K55*K58)+((K45*(1+Assumptions!$C$31))*0))</f>
        <v>0</v>
      </c>
      <c r="L59" s="9" t="n">
        <f aca="false">((L55*L58)+((L45*(1+Assumptions!$C$31))*0))</f>
        <v>0</v>
      </c>
      <c r="M59" s="9" t="n">
        <f aca="false">((M55*M58)+((M45*(1+Assumptions!$C$31))*0))</f>
        <v>0</v>
      </c>
      <c r="N59" s="9" t="n">
        <f aca="false">((N55*N58)+((N45*(1+Assumptions!$C$31))*0))</f>
        <v>0</v>
      </c>
      <c r="O59" s="9" t="n">
        <f aca="false">((O55*O58)+((O45*(1+Assumptions!$C$31))*C59))</f>
        <v>0</v>
      </c>
      <c r="P59" s="9" t="n">
        <f aca="false">((P55*P58)+((P45*(1+Assumptions!$C$31))*D59))</f>
        <v>0</v>
      </c>
      <c r="Q59" s="9" t="n">
        <f aca="false">((Q55*Q58)+((Q45*(1+Assumptions!$C$31))*E59))</f>
        <v>0</v>
      </c>
      <c r="R59" s="9" t="n">
        <f aca="false">((R55*R58)+((R45*(1+Assumptions!$C$31))*F59))</f>
        <v>0</v>
      </c>
      <c r="S59" s="9" t="n">
        <f aca="false">((S55*S58)+((S45*(1+Assumptions!$C$31))*G59))</f>
        <v>0</v>
      </c>
      <c r="T59" s="9" t="n">
        <f aca="false">((T55*T58)+((T45*(1+Assumptions!$C$31))*H59))</f>
        <v>14256</v>
      </c>
      <c r="U59" s="9" t="n">
        <f aca="false">((U55*U58)+((U45*(1+Assumptions!$C$31))*I59))</f>
        <v>0</v>
      </c>
      <c r="V59" s="9" t="n">
        <f aca="false">((V55*V58)+((V45*(1+Assumptions!$C$31))*J59))</f>
        <v>0</v>
      </c>
      <c r="W59" s="9" t="n">
        <f aca="false">((W55*W58)+((W45*(1+Assumptions!$C$31))*K59))</f>
        <v>0</v>
      </c>
      <c r="X59" s="9" t="n">
        <f aca="false">((X55*X58)+((X45*(1+Assumptions!$C$31))*L59))</f>
        <v>0</v>
      </c>
      <c r="Y59" s="9" t="n">
        <f aca="false">((Y55*Y58)+((Y45*(1+Assumptions!$C$31))*M59))</f>
        <v>0</v>
      </c>
      <c r="Z59" s="9" t="n">
        <f aca="false">((Z55*Z58)+((Z45*(1+Assumptions!$C$31))*N59))</f>
        <v>0</v>
      </c>
      <c r="AA59" s="9" t="n">
        <f aca="false">((AA55*AA58)+((AA45*(1+Assumptions!$C$31))*O59))</f>
        <v>0</v>
      </c>
      <c r="AB59" s="9" t="n">
        <f aca="false">((AB55*AB58)+((AB45*(1+Assumptions!$C$31))*P59))</f>
        <v>11880</v>
      </c>
      <c r="AC59" s="9" t="n">
        <f aca="false">((AC55*AC58)+((AC45*(1+Assumptions!$C$31))*Q59))</f>
        <v>0</v>
      </c>
      <c r="AD59" s="9" t="n">
        <f aca="false">((AD55*AD58)+((AD45*(1+Assumptions!$C$31))*R59))</f>
        <v>0</v>
      </c>
      <c r="AE59" s="9" t="n">
        <f aca="false">((AE55*AE58)+((AE45*(1+Assumptions!$C$31))*S59))</f>
        <v>38280</v>
      </c>
      <c r="AF59" s="9" t="n">
        <f aca="false">((AF55*AF58)+((AF45*(1+Assumptions!$C$31))*T59))</f>
        <v>13799.808</v>
      </c>
      <c r="AG59" s="9" t="n">
        <f aca="false">((AG55*AG58)+((AG45*(1+Assumptions!$C$31))*U59))</f>
        <v>0</v>
      </c>
      <c r="AH59" s="9" t="n">
        <f aca="false">((AH55*AH58)+((AH45*(1+Assumptions!$C$31))*V59))</f>
        <v>50160</v>
      </c>
      <c r="AI59" s="9" t="n">
        <f aca="false">((AI55*AI58)+((AI45*(1+Assumptions!$C$31))*W59))</f>
        <v>0</v>
      </c>
      <c r="AJ59" s="9" t="n">
        <f aca="false">((AJ55*AJ58)+((AJ45*(1+Assumptions!$C$31))*X59))</f>
        <v>0</v>
      </c>
      <c r="AK59" s="9" t="n">
        <f aca="false">((AK55*AK58)+((AK45*(1+Assumptions!$C$31))*Y59))</f>
        <v>76560</v>
      </c>
      <c r="AL59" s="9" t="n">
        <f aca="false">((AL55*AL58)+((AL45*(1+Assumptions!$C$31))*Z59))</f>
        <v>0</v>
      </c>
      <c r="AN59" s="11" t="n">
        <f aca="false">SUM(C59:N59)</f>
        <v>0</v>
      </c>
      <c r="AO59" s="11" t="n">
        <f aca="false">SUM(O59:Z59)</f>
        <v>14256</v>
      </c>
      <c r="AP59" s="11" t="n">
        <f aca="false">SUM(AA59:AL59)</f>
        <v>190679.808</v>
      </c>
    </row>
    <row r="60" customFormat="false" ht="15" hidden="false" customHeight="false" outlineLevel="0" collapsed="false">
      <c r="A60" s="0" t="s">
        <v>866</v>
      </c>
      <c r="B60" s="0" t="s">
        <v>230</v>
      </c>
      <c r="C60" s="9" t="n">
        <f aca="false">(Assumptions!$C$126*C53)</f>
        <v>0</v>
      </c>
      <c r="D60" s="9" t="n">
        <f aca="false">(Assumptions!$C$126*D53)</f>
        <v>0</v>
      </c>
      <c r="E60" s="9" t="n">
        <f aca="false">(Assumptions!$C$126*E53)</f>
        <v>0</v>
      </c>
      <c r="F60" s="9" t="n">
        <f aca="false">(Assumptions!$C$126*F53)</f>
        <v>0</v>
      </c>
      <c r="G60" s="9" t="n">
        <f aca="false">(Assumptions!$C$126*G53)</f>
        <v>0</v>
      </c>
      <c r="H60" s="9" t="n">
        <f aca="false">(Assumptions!$C$126*H53)</f>
        <v>0</v>
      </c>
      <c r="I60" s="9" t="n">
        <f aca="false">(Assumptions!$C$126*I53)</f>
        <v>0</v>
      </c>
      <c r="J60" s="9" t="n">
        <f aca="false">(Assumptions!$C$126*J53)</f>
        <v>0</v>
      </c>
      <c r="K60" s="9" t="n">
        <f aca="false">(Assumptions!$C$126*K53)</f>
        <v>0</v>
      </c>
      <c r="L60" s="9" t="n">
        <f aca="false">(Assumptions!$C$126*L53)</f>
        <v>0</v>
      </c>
      <c r="M60" s="9" t="n">
        <f aca="false">(Assumptions!$C$126*M53)</f>
        <v>0</v>
      </c>
      <c r="N60" s="9" t="n">
        <f aca="false">(Assumptions!$C$126*N53)</f>
        <v>0</v>
      </c>
      <c r="O60" s="9" t="n">
        <f aca="false">(Assumptions!$C$126*O53)</f>
        <v>0</v>
      </c>
      <c r="P60" s="9" t="n">
        <f aca="false">(Assumptions!$C$126*P53)</f>
        <v>0</v>
      </c>
      <c r="Q60" s="9" t="n">
        <f aca="false">(Assumptions!$C$126*Q53)</f>
        <v>0</v>
      </c>
      <c r="R60" s="9" t="n">
        <f aca="false">(Assumptions!$C$126*R53)</f>
        <v>0</v>
      </c>
      <c r="S60" s="9" t="n">
        <f aca="false">(Assumptions!$C$126*S53)</f>
        <v>0</v>
      </c>
      <c r="T60" s="9" t="n">
        <f aca="false">(Assumptions!$C$126*T53)</f>
        <v>0</v>
      </c>
      <c r="U60" s="9" t="n">
        <f aca="false">(Assumptions!$C$126*U53)</f>
        <v>0</v>
      </c>
      <c r="V60" s="9" t="n">
        <f aca="false">(Assumptions!$C$126*V53)</f>
        <v>0</v>
      </c>
      <c r="W60" s="9" t="n">
        <f aca="false">(Assumptions!$C$126*W53)</f>
        <v>0</v>
      </c>
      <c r="X60" s="9" t="n">
        <f aca="false">(Assumptions!$C$126*X53)</f>
        <v>0</v>
      </c>
      <c r="Y60" s="9" t="n">
        <f aca="false">(Assumptions!$C$126*Y53)</f>
        <v>0</v>
      </c>
      <c r="Z60" s="9" t="n">
        <f aca="false">(Assumptions!$C$126*Z53)</f>
        <v>0</v>
      </c>
      <c r="AA60" s="9" t="n">
        <f aca="false">(Assumptions!$C$126*AA53)</f>
        <v>0</v>
      </c>
      <c r="AB60" s="9" t="n">
        <f aca="false">(Assumptions!$C$126*AB53)</f>
        <v>3375</v>
      </c>
      <c r="AC60" s="9" t="n">
        <f aca="false">(Assumptions!$C$126*AC53)</f>
        <v>0</v>
      </c>
      <c r="AD60" s="9" t="n">
        <f aca="false">(Assumptions!$C$126*AD53)</f>
        <v>0</v>
      </c>
      <c r="AE60" s="9" t="n">
        <f aca="false">(Assumptions!$C$126*AE53)</f>
        <v>3375</v>
      </c>
      <c r="AF60" s="9" t="n">
        <f aca="false">(Assumptions!$C$126*AF53)</f>
        <v>0</v>
      </c>
      <c r="AG60" s="9" t="n">
        <f aca="false">(Assumptions!$C$126*AG53)</f>
        <v>0</v>
      </c>
      <c r="AH60" s="9" t="n">
        <f aca="false">(Assumptions!$C$126*AH53)</f>
        <v>6750</v>
      </c>
      <c r="AI60" s="9" t="n">
        <f aca="false">(Assumptions!$C$126*AI53)</f>
        <v>0</v>
      </c>
      <c r="AJ60" s="9" t="n">
        <f aca="false">(Assumptions!$C$126*AJ53)</f>
        <v>0</v>
      </c>
      <c r="AK60" s="9" t="n">
        <f aca="false">(Assumptions!$C$126*AK53)</f>
        <v>6750</v>
      </c>
      <c r="AL60" s="9" t="n">
        <f aca="false">(Assumptions!$C$126*AL53)</f>
        <v>0</v>
      </c>
      <c r="AN60" s="11" t="n">
        <f aca="false">SUM(C60:N60)</f>
        <v>0</v>
      </c>
      <c r="AO60" s="11" t="n">
        <f aca="false">SUM(O60:Z60)</f>
        <v>0</v>
      </c>
      <c r="AP60" s="11" t="n">
        <f aca="false">SUM(AA60:AL60)</f>
        <v>20250</v>
      </c>
    </row>
    <row r="61" customFormat="false" ht="15" hidden="false" customHeight="false" outlineLevel="0" collapsed="false">
      <c r="A61" s="0" t="s">
        <v>867</v>
      </c>
      <c r="B61" s="0" t="s">
        <v>230</v>
      </c>
      <c r="C61" s="9" t="n">
        <f aca="false">((C59-C60)/12)</f>
        <v>0</v>
      </c>
      <c r="D61" s="9" t="n">
        <f aca="false">((SUM(C59:D59)-SUM(C60:D60))/12)</f>
        <v>0</v>
      </c>
      <c r="E61" s="9" t="n">
        <f aca="false">((SUM(C59:E59)-SUM(C60:E60))/12)</f>
        <v>0</v>
      </c>
      <c r="F61" s="9" t="n">
        <f aca="false">((SUM(C59:F59)-SUM(C60:F60))/12)</f>
        <v>0</v>
      </c>
      <c r="G61" s="9" t="n">
        <f aca="false">((SUM(C59:G59)-SUM(C60:G60))/12)</f>
        <v>0</v>
      </c>
      <c r="H61" s="9" t="n">
        <f aca="false">((SUM(C59:H59)-SUM(C60:H60))/12)</f>
        <v>0</v>
      </c>
      <c r="I61" s="9" t="n">
        <f aca="false">((SUM(C59:I59)-SUM(C60:I60))/12)</f>
        <v>0</v>
      </c>
      <c r="J61" s="9" t="n">
        <f aca="false">((SUM(C59:J59)-SUM(C60:J60))/12)</f>
        <v>0</v>
      </c>
      <c r="K61" s="9" t="n">
        <f aca="false">((SUM(C59:K59)-SUM(C60:K60))/12)</f>
        <v>0</v>
      </c>
      <c r="L61" s="9" t="n">
        <f aca="false">((SUM(C59:L59)-SUM(C60:L60))/12)</f>
        <v>0</v>
      </c>
      <c r="M61" s="9" t="n">
        <f aca="false">((SUM(C59:M59)-SUM(C60:M60))/12)</f>
        <v>0</v>
      </c>
      <c r="N61" s="9" t="n">
        <f aca="false">((SUM(C59:N59)-SUM(C60:N60))/12)</f>
        <v>0</v>
      </c>
      <c r="O61" s="9" t="n">
        <f aca="false">((SUM(D59:O59)-SUM(D60:O60))/12)</f>
        <v>0</v>
      </c>
      <c r="P61" s="9" t="n">
        <f aca="false">((SUM(E59:P59)-SUM(E60:P60))/12)</f>
        <v>0</v>
      </c>
      <c r="Q61" s="9" t="n">
        <f aca="false">((SUM(F59:Q59)-SUM(F60:Q60))/12)</f>
        <v>0</v>
      </c>
      <c r="R61" s="9" t="n">
        <f aca="false">((SUM(G59:R59)-SUM(G60:R60))/12)</f>
        <v>0</v>
      </c>
      <c r="S61" s="9" t="n">
        <f aca="false">((SUM(H59:S59)-SUM(H60:S60))/12)</f>
        <v>0</v>
      </c>
      <c r="T61" s="9" t="n">
        <f aca="false">((SUM(I59:T59)-SUM(I60:T60))/12)</f>
        <v>1188</v>
      </c>
      <c r="U61" s="9" t="n">
        <f aca="false">((SUM(J59:U59)-SUM(J60:U60))/12)</f>
        <v>1188</v>
      </c>
      <c r="V61" s="9" t="n">
        <f aca="false">((SUM(K59:V59)-SUM(K60:V60))/12)</f>
        <v>1188</v>
      </c>
      <c r="W61" s="9" t="n">
        <f aca="false">((SUM(L59:W59)-SUM(L60:W60))/12)</f>
        <v>1188</v>
      </c>
      <c r="X61" s="9" t="n">
        <f aca="false">((SUM(M59:X59)-SUM(M60:X60))/12)</f>
        <v>1188</v>
      </c>
      <c r="Y61" s="9" t="n">
        <f aca="false">((SUM(N59:Y59)-SUM(N60:Y60))/12)</f>
        <v>1188</v>
      </c>
      <c r="Z61" s="9" t="n">
        <f aca="false">((SUM(O59:Z59)-SUM(O60:Z60))/12)</f>
        <v>1188</v>
      </c>
      <c r="AA61" s="9" t="n">
        <f aca="false">((SUM(P59:AA59)-SUM(P60:AA60))/12)</f>
        <v>1188</v>
      </c>
      <c r="AB61" s="9" t="n">
        <f aca="false">((SUM(Q59:AB59)-SUM(Q60:AB60))/12)</f>
        <v>1896.75</v>
      </c>
      <c r="AC61" s="9" t="n">
        <f aca="false">((SUM(R59:AC59)-SUM(R60:AC60))/12)</f>
        <v>1896.75</v>
      </c>
      <c r="AD61" s="9" t="n">
        <f aca="false">((SUM(S59:AD59)-SUM(S60:AD60))/12)</f>
        <v>1896.75</v>
      </c>
      <c r="AE61" s="9" t="n">
        <f aca="false">((SUM(T59:AE59)-SUM(T60:AE60))/12)</f>
        <v>4805.5</v>
      </c>
      <c r="AF61" s="9" t="n">
        <f aca="false">((SUM(U59:AF59)-SUM(U60:AF60))/12)</f>
        <v>4767.484</v>
      </c>
      <c r="AG61" s="9" t="n">
        <f aca="false">((SUM(V59:AG59)-SUM(V60:AG60))/12)</f>
        <v>4767.484</v>
      </c>
      <c r="AH61" s="9" t="n">
        <f aca="false">((SUM(W59:AH59)-SUM(W60:AH60))/12)</f>
        <v>8384.984</v>
      </c>
      <c r="AI61" s="9" t="n">
        <f aca="false">((SUM(X59:AI59)-SUM(X60:AI60))/12)</f>
        <v>8384.984</v>
      </c>
      <c r="AJ61" s="9" t="n">
        <f aca="false">((SUM(Y59:AJ59)-SUM(Y60:AJ60))/12)</f>
        <v>8384.984</v>
      </c>
      <c r="AK61" s="9" t="n">
        <f aca="false">((SUM(Z59:AK59)-SUM(Z60:AK60))/12)</f>
        <v>14202.484</v>
      </c>
      <c r="AL61" s="9" t="n">
        <f aca="false">((SUM(AA59:AL59)-SUM(AA60:AL60))/12)</f>
        <v>14202.484</v>
      </c>
      <c r="AN61" s="11" t="n">
        <f aca="false">SUM(C61:N61)</f>
        <v>0</v>
      </c>
      <c r="AO61" s="11" t="n">
        <f aca="false">SUM(O61:Z61)</f>
        <v>8316</v>
      </c>
      <c r="AP61" s="11" t="n">
        <f aca="false">SUM(AA61:AL61)</f>
        <v>74778.638</v>
      </c>
    </row>
    <row r="62" customFormat="false" ht="15" hidden="false" customHeight="false" outlineLevel="0" collapsed="false">
      <c r="A62" s="0" t="s">
        <v>868</v>
      </c>
      <c r="B62" s="0" t="s">
        <v>230</v>
      </c>
      <c r="C62" s="9" t="n">
        <f aca="false">(C59-C60)</f>
        <v>0</v>
      </c>
      <c r="D62" s="9" t="n">
        <f aca="false">(D59-D60)</f>
        <v>0</v>
      </c>
      <c r="E62" s="9" t="n">
        <f aca="false">(E59-E60)</f>
        <v>0</v>
      </c>
      <c r="F62" s="9" t="n">
        <f aca="false">(F59-F60)</f>
        <v>0</v>
      </c>
      <c r="G62" s="9" t="n">
        <f aca="false">(G59-G60)</f>
        <v>0</v>
      </c>
      <c r="H62" s="9" t="n">
        <f aca="false">(H59-H60)</f>
        <v>0</v>
      </c>
      <c r="I62" s="9" t="n">
        <f aca="false">(I59-I60)</f>
        <v>0</v>
      </c>
      <c r="J62" s="9" t="n">
        <f aca="false">(J59-J60)</f>
        <v>0</v>
      </c>
      <c r="K62" s="9" t="n">
        <f aca="false">(K59-K60)</f>
        <v>0</v>
      </c>
      <c r="L62" s="9" t="n">
        <f aca="false">(L59-L60)</f>
        <v>0</v>
      </c>
      <c r="M62" s="9" t="n">
        <f aca="false">(M59-M60)</f>
        <v>0</v>
      </c>
      <c r="N62" s="9" t="n">
        <f aca="false">(N59-N60)</f>
        <v>0</v>
      </c>
      <c r="O62" s="9" t="n">
        <f aca="false">(O59-O60)</f>
        <v>0</v>
      </c>
      <c r="P62" s="9" t="n">
        <f aca="false">(P59-P60)</f>
        <v>0</v>
      </c>
      <c r="Q62" s="9" t="n">
        <f aca="false">(Q59-Q60)</f>
        <v>0</v>
      </c>
      <c r="R62" s="9" t="n">
        <f aca="false">(R59-R60)</f>
        <v>0</v>
      </c>
      <c r="S62" s="9" t="n">
        <f aca="false">(S59-S60)</f>
        <v>0</v>
      </c>
      <c r="T62" s="9" t="n">
        <f aca="false">(T59-T60)</f>
        <v>14256</v>
      </c>
      <c r="U62" s="9" t="n">
        <f aca="false">(U59-U60)</f>
        <v>0</v>
      </c>
      <c r="V62" s="9" t="n">
        <f aca="false">(V59-V60)</f>
        <v>0</v>
      </c>
      <c r="W62" s="9" t="n">
        <f aca="false">(W59-W60)</f>
        <v>0</v>
      </c>
      <c r="X62" s="9" t="n">
        <f aca="false">(X59-X60)</f>
        <v>0</v>
      </c>
      <c r="Y62" s="9" t="n">
        <f aca="false">(Y59-Y60)</f>
        <v>0</v>
      </c>
      <c r="Z62" s="9" t="n">
        <f aca="false">(Z59-Z60)</f>
        <v>0</v>
      </c>
      <c r="AA62" s="9" t="n">
        <f aca="false">(AA59-AA60)</f>
        <v>0</v>
      </c>
      <c r="AB62" s="9" t="n">
        <f aca="false">(AB59-AB60)</f>
        <v>8505</v>
      </c>
      <c r="AC62" s="9" t="n">
        <f aca="false">(AC59-AC60)</f>
        <v>0</v>
      </c>
      <c r="AD62" s="9" t="n">
        <f aca="false">(AD59-AD60)</f>
        <v>0</v>
      </c>
      <c r="AE62" s="9" t="n">
        <f aca="false">(AE59-AE60)</f>
        <v>34905</v>
      </c>
      <c r="AF62" s="9" t="n">
        <f aca="false">(AF59-AF60)</f>
        <v>13799.808</v>
      </c>
      <c r="AG62" s="9" t="n">
        <f aca="false">(AG59-AG60)</f>
        <v>0</v>
      </c>
      <c r="AH62" s="9" t="n">
        <f aca="false">(AH59-AH60)</f>
        <v>43410</v>
      </c>
      <c r="AI62" s="9" t="n">
        <f aca="false">(AI59-AI60)</f>
        <v>0</v>
      </c>
      <c r="AJ62" s="9" t="n">
        <f aca="false">(AJ59-AJ60)</f>
        <v>0</v>
      </c>
      <c r="AK62" s="9" t="n">
        <f aca="false">(AK59-AK60)</f>
        <v>69810</v>
      </c>
      <c r="AL62" s="9" t="n">
        <f aca="false">(AL59-AL60)</f>
        <v>0</v>
      </c>
      <c r="AN62" s="11" t="n">
        <f aca="false">SUM(C62:N62)</f>
        <v>0</v>
      </c>
      <c r="AO62" s="11" t="n">
        <f aca="false">SUM(O62:Z62)</f>
        <v>14256</v>
      </c>
      <c r="AP62" s="11" t="n">
        <f aca="false">SUM(AA62:AL62)</f>
        <v>170429.808</v>
      </c>
    </row>
    <row r="63" customFormat="false" ht="15" hidden="false" customHeight="false" outlineLevel="0" collapsed="false">
      <c r="A63" s="0" t="s">
        <v>869</v>
      </c>
      <c r="B63" s="0" t="s">
        <v>230</v>
      </c>
      <c r="C63" s="9" t="n">
        <f aca="false">(((Assumptions!$C$122*$C$10)/6)*C52)</f>
        <v>0</v>
      </c>
      <c r="D63" s="9" t="n">
        <f aca="false">(((Assumptions!$C$122*$C$10)/6)*D52)</f>
        <v>0</v>
      </c>
      <c r="E63" s="9" t="n">
        <f aca="false">(((Assumptions!$C$122*$C$10)/6)*E52)</f>
        <v>0</v>
      </c>
      <c r="F63" s="9" t="n">
        <f aca="false">(((Assumptions!$C$122*$C$10)/6)*F52)</f>
        <v>0</v>
      </c>
      <c r="G63" s="9" t="n">
        <f aca="false">(((Assumptions!$C$122*$C$10)/6)*G52)</f>
        <v>0</v>
      </c>
      <c r="H63" s="9" t="n">
        <f aca="false">(((Assumptions!$C$122*$C$10)/6)*H52)</f>
        <v>0</v>
      </c>
      <c r="I63" s="9" t="n">
        <f aca="false">(((Assumptions!$C$122*$C$10)/6)*I52)</f>
        <v>0</v>
      </c>
      <c r="J63" s="9" t="n">
        <f aca="false">(((Assumptions!$C$122*$C$10)/6)*J52)</f>
        <v>0</v>
      </c>
      <c r="K63" s="9" t="n">
        <f aca="false">(((Assumptions!$C$122*$C$10)/6)*K52)</f>
        <v>0</v>
      </c>
      <c r="L63" s="9" t="n">
        <f aca="false">(((Assumptions!$C$122*$C$10)/6)*L52)</f>
        <v>0</v>
      </c>
      <c r="M63" s="9" t="n">
        <f aca="false">(((Assumptions!$C$122*$C$10)/6)*M52)</f>
        <v>0</v>
      </c>
      <c r="N63" s="9" t="n">
        <f aca="false">(((Assumptions!$C$122*$C$10)/6)*N52)</f>
        <v>0</v>
      </c>
      <c r="O63" s="9" t="n">
        <f aca="false">(((Assumptions!$C$122*$C$10)/6)*O52)</f>
        <v>0</v>
      </c>
      <c r="P63" s="9" t="n">
        <f aca="false">(((Assumptions!$C$122*$C$10)/6)*P52)</f>
        <v>0</v>
      </c>
      <c r="Q63" s="9" t="n">
        <f aca="false">(((Assumptions!$C$122*$C$10)/6)*Q52)</f>
        <v>0</v>
      </c>
      <c r="R63" s="9" t="n">
        <f aca="false">(((Assumptions!$C$122*$C$10)/6)*R52)</f>
        <v>0</v>
      </c>
      <c r="S63" s="9" t="n">
        <f aca="false">(((Assumptions!$C$122*$C$10)/6)*S52)</f>
        <v>0</v>
      </c>
      <c r="T63" s="9" t="n">
        <f aca="false">(((Assumptions!$C$122*$C$10)/6)*T52)</f>
        <v>0</v>
      </c>
      <c r="U63" s="9" t="n">
        <f aca="false">(((Assumptions!$C$122*$C$10)/6)*U52)</f>
        <v>2500</v>
      </c>
      <c r="V63" s="9" t="n">
        <f aca="false">(((Assumptions!$C$122*$C$10)/6)*V52)</f>
        <v>2500</v>
      </c>
      <c r="W63" s="9" t="n">
        <f aca="false">(((Assumptions!$C$122*$C$10)/6)*W52)</f>
        <v>2500</v>
      </c>
      <c r="X63" s="9" t="n">
        <f aca="false">(((Assumptions!$C$122*$C$10)/6)*X52)</f>
        <v>5000</v>
      </c>
      <c r="Y63" s="9" t="n">
        <f aca="false">(((Assumptions!$C$122*$C$10)/6)*Y52)</f>
        <v>5000</v>
      </c>
      <c r="Z63" s="9" t="n">
        <f aca="false">(((Assumptions!$C$122*$C$10)/6)*Z52)</f>
        <v>5000</v>
      </c>
      <c r="AA63" s="9" t="n">
        <f aca="false">(((Assumptions!$C$122*$C$10)/6)*AA52)</f>
        <v>7500</v>
      </c>
      <c r="AB63" s="9" t="n">
        <f aca="false">(((Assumptions!$C$122*$C$10)/6)*AB52)</f>
        <v>7500</v>
      </c>
      <c r="AC63" s="9" t="n">
        <f aca="false">(((Assumptions!$C$122*$C$10)/6)*AC52)</f>
        <v>7500</v>
      </c>
      <c r="AD63" s="9" t="n">
        <f aca="false">(((Assumptions!$C$122*$C$10)/6)*AD52)</f>
        <v>10000</v>
      </c>
      <c r="AE63" s="9" t="n">
        <f aca="false">(((Assumptions!$C$122*$C$10)/6)*AE52)</f>
        <v>10000</v>
      </c>
      <c r="AF63" s="9" t="n">
        <f aca="false">(((Assumptions!$C$122*$C$10)/6)*AF52)</f>
        <v>10000</v>
      </c>
      <c r="AG63" s="9" t="n">
        <f aca="false">(((Assumptions!$C$122*$C$10)/6)*AG52)</f>
        <v>12500</v>
      </c>
      <c r="AH63" s="9" t="n">
        <f aca="false">(((Assumptions!$C$122*$C$10)/6)*AH52)</f>
        <v>12500</v>
      </c>
      <c r="AI63" s="9" t="n">
        <f aca="false">(((Assumptions!$C$122*$C$10)/6)*AI52)</f>
        <v>12500</v>
      </c>
      <c r="AJ63" s="9" t="n">
        <f aca="false">(((Assumptions!$C$122*$C$10)/6)*AJ52)</f>
        <v>15000</v>
      </c>
      <c r="AK63" s="9" t="n">
        <f aca="false">(((Assumptions!$C$122*$C$10)/6)*AK52)</f>
        <v>15000</v>
      </c>
      <c r="AL63" s="9" t="n">
        <f aca="false">(((Assumptions!$C$122*$C$10)/6)*AL52)</f>
        <v>15000</v>
      </c>
      <c r="AN63" s="11" t="n">
        <f aca="false">SUM(C63:N63)</f>
        <v>0</v>
      </c>
      <c r="AO63" s="11" t="n">
        <f aca="false">SUM(O63:Z63)</f>
        <v>22500</v>
      </c>
      <c r="AP63" s="11" t="n">
        <f aca="false">SUM(AA63:AL63)</f>
        <v>135000</v>
      </c>
    </row>
    <row r="64" customFormat="false" ht="15" hidden="false" customHeight="false" outlineLevel="0" collapsed="false">
      <c r="A64" s="0" t="s">
        <v>870</v>
      </c>
      <c r="B64" s="0" t="s">
        <v>230</v>
      </c>
      <c r="C64" s="9" t="n">
        <f aca="false">((Assumptions!$C$122*$C$10)*C46)</f>
        <v>0</v>
      </c>
      <c r="D64" s="9" t="n">
        <f aca="false">((Assumptions!$C$122*$C$10)*D46)</f>
        <v>0</v>
      </c>
      <c r="E64" s="9" t="n">
        <f aca="false">((Assumptions!$C$122*$C$10)*E46)</f>
        <v>0</v>
      </c>
      <c r="F64" s="9" t="n">
        <f aca="false">((Assumptions!$C$122*$C$10)*F46)</f>
        <v>0</v>
      </c>
      <c r="G64" s="9" t="n">
        <f aca="false">((Assumptions!$C$122*$C$10)*G46)</f>
        <v>0</v>
      </c>
      <c r="H64" s="9" t="n">
        <f aca="false">((Assumptions!$C$122*$C$10)*H46)</f>
        <v>0</v>
      </c>
      <c r="I64" s="9" t="n">
        <f aca="false">((Assumptions!$C$122*$C$10)*I46)</f>
        <v>0</v>
      </c>
      <c r="J64" s="9" t="n">
        <f aca="false">((Assumptions!$C$122*$C$10)*J46)</f>
        <v>0</v>
      </c>
      <c r="K64" s="9" t="n">
        <f aca="false">((Assumptions!$C$122*$C$10)*K46)</f>
        <v>0</v>
      </c>
      <c r="L64" s="9" t="n">
        <f aca="false">((Assumptions!$C$122*$C$10)*L46)</f>
        <v>0</v>
      </c>
      <c r="M64" s="9" t="n">
        <f aca="false">((Assumptions!$C$122*$C$10)*M46)</f>
        <v>0</v>
      </c>
      <c r="N64" s="9" t="n">
        <f aca="false">((Assumptions!$C$122*$C$10)*N46)</f>
        <v>0</v>
      </c>
      <c r="O64" s="9" t="n">
        <f aca="false">((Assumptions!$C$122*$C$10)*O46)</f>
        <v>0</v>
      </c>
      <c r="P64" s="9" t="n">
        <f aca="false">((Assumptions!$C$122*$C$10)*P46)</f>
        <v>0</v>
      </c>
      <c r="Q64" s="9" t="n">
        <f aca="false">((Assumptions!$C$122*$C$10)*Q46)</f>
        <v>0</v>
      </c>
      <c r="R64" s="9" t="n">
        <f aca="false">((Assumptions!$C$122*$C$10)*R46)</f>
        <v>0</v>
      </c>
      <c r="S64" s="9" t="n">
        <f aca="false">((Assumptions!$C$122*$C$10)*S46)</f>
        <v>0</v>
      </c>
      <c r="T64" s="9" t="n">
        <f aca="false">((Assumptions!$C$122*$C$10)*T46)</f>
        <v>0</v>
      </c>
      <c r="U64" s="9" t="n">
        <f aca="false">((Assumptions!$C$122*$C$10)*U46)</f>
        <v>15000</v>
      </c>
      <c r="V64" s="9" t="n">
        <f aca="false">((Assumptions!$C$122*$C$10)*V46)</f>
        <v>0</v>
      </c>
      <c r="W64" s="9" t="n">
        <f aca="false">((Assumptions!$C$122*$C$10)*W46)</f>
        <v>0</v>
      </c>
      <c r="X64" s="9" t="n">
        <f aca="false">((Assumptions!$C$122*$C$10)*X46)</f>
        <v>15000</v>
      </c>
      <c r="Y64" s="9" t="n">
        <f aca="false">((Assumptions!$C$122*$C$10)*Y46)</f>
        <v>0</v>
      </c>
      <c r="Z64" s="9" t="n">
        <f aca="false">((Assumptions!$C$122*$C$10)*Z46)</f>
        <v>0</v>
      </c>
      <c r="AA64" s="9" t="n">
        <f aca="false">((Assumptions!$C$122*$C$10)*AA46)</f>
        <v>30000</v>
      </c>
      <c r="AB64" s="9" t="n">
        <f aca="false">((Assumptions!$C$122*$C$10)*AB46)</f>
        <v>0</v>
      </c>
      <c r="AC64" s="9" t="n">
        <f aca="false">((Assumptions!$C$122*$C$10)*AC46)</f>
        <v>0</v>
      </c>
      <c r="AD64" s="9" t="n">
        <f aca="false">((Assumptions!$C$122*$C$10)*AD46)</f>
        <v>30000</v>
      </c>
      <c r="AE64" s="9" t="n">
        <f aca="false">((Assumptions!$C$122*$C$10)*AE46)</f>
        <v>0</v>
      </c>
      <c r="AF64" s="9" t="n">
        <f aca="false">((Assumptions!$C$122*$C$10)*AF46)</f>
        <v>0</v>
      </c>
      <c r="AG64" s="9" t="n">
        <f aca="false">((Assumptions!$C$122*$C$10)*AG46)</f>
        <v>45000</v>
      </c>
      <c r="AH64" s="9" t="n">
        <f aca="false">((Assumptions!$C$122*$C$10)*AH46)</f>
        <v>0</v>
      </c>
      <c r="AI64" s="9" t="n">
        <f aca="false">((Assumptions!$C$122*$C$10)*AI46)</f>
        <v>0</v>
      </c>
      <c r="AJ64" s="9" t="n">
        <f aca="false">((Assumptions!$C$122*$C$10)*AJ46)</f>
        <v>45000</v>
      </c>
      <c r="AK64" s="9" t="n">
        <f aca="false">((Assumptions!$C$122*$C$10)*AK46)</f>
        <v>0</v>
      </c>
      <c r="AL64" s="9" t="n">
        <f aca="false">((Assumptions!$C$122*$C$10)*AL46)</f>
        <v>0</v>
      </c>
      <c r="AN64" s="11" t="n">
        <f aca="false">SUM(C64:N64)</f>
        <v>0</v>
      </c>
      <c r="AO64" s="11" t="n">
        <f aca="false">SUM(O64:Z64)</f>
        <v>30000</v>
      </c>
      <c r="AP64" s="11" t="n">
        <f aca="false">SUM(AA64:AL64)</f>
        <v>150000</v>
      </c>
    </row>
    <row r="65" customFormat="false" ht="15" hidden="false" customHeight="false" outlineLevel="0" collapsed="false">
      <c r="A65" s="0" t="s">
        <v>871</v>
      </c>
      <c r="B65" s="0" t="s">
        <v>230</v>
      </c>
      <c r="C65" s="9" t="n">
        <f aca="false">((Assumptions!$C$123*$C$10)+(Assumptions!$C$34*Assumptions!$C$35))</f>
        <v>21000</v>
      </c>
      <c r="D65" s="9" t="n">
        <f aca="false">((Assumptions!$C$123*$C$10)+(Assumptions!$C$34*Assumptions!$C$35))</f>
        <v>21000</v>
      </c>
      <c r="E65" s="9" t="n">
        <f aca="false">((Assumptions!$C$123*$C$10)+(Assumptions!$C$34*Assumptions!$C$35))</f>
        <v>21000</v>
      </c>
      <c r="F65" s="9" t="n">
        <f aca="false">((Assumptions!$C$123*$C$10)+(Assumptions!$C$34*Assumptions!$C$35))</f>
        <v>21000</v>
      </c>
      <c r="G65" s="9" t="n">
        <f aca="false">((Assumptions!$C$123*$C$10)+(Assumptions!$C$34*Assumptions!$C$35))</f>
        <v>21000</v>
      </c>
      <c r="H65" s="9" t="n">
        <f aca="false">((Assumptions!$C$123*$C$10)+(Assumptions!$C$34*Assumptions!$C$35))</f>
        <v>21000</v>
      </c>
      <c r="I65" s="9" t="n">
        <f aca="false">((Assumptions!$C$123*$C$10)+(Assumptions!$C$34*Assumptions!$C$35))</f>
        <v>21000</v>
      </c>
      <c r="J65" s="9" t="n">
        <f aca="false">((Assumptions!$C$123*$C$10)+(Assumptions!$C$34*Assumptions!$C$35))</f>
        <v>21000</v>
      </c>
      <c r="K65" s="9" t="n">
        <f aca="false">((Assumptions!$C$123*$C$10)+(Assumptions!$C$34*Assumptions!$C$35))</f>
        <v>21000</v>
      </c>
      <c r="L65" s="9" t="n">
        <f aca="false">((Assumptions!$C$123*$C$10)+(Assumptions!$C$34*Assumptions!$C$35))</f>
        <v>21000</v>
      </c>
      <c r="M65" s="9" t="n">
        <f aca="false">((Assumptions!$C$123*$C$10)+(Assumptions!$C$34*Assumptions!$C$35))</f>
        <v>21000</v>
      </c>
      <c r="N65" s="9" t="n">
        <f aca="false">((Assumptions!$C$123*$C$10)+(Assumptions!$C$34*Assumptions!$C$35))</f>
        <v>21000</v>
      </c>
      <c r="O65" s="9" t="n">
        <f aca="false">((Assumptions!$C$123*$C$10)+(Assumptions!$C$34*Assumptions!$C$35))</f>
        <v>21000</v>
      </c>
      <c r="P65" s="9" t="n">
        <f aca="false">((Assumptions!$C$123*$C$10)+(Assumptions!$C$34*Assumptions!$C$35))</f>
        <v>21000</v>
      </c>
      <c r="Q65" s="9" t="n">
        <f aca="false">((Assumptions!$C$123*$C$10)+(Assumptions!$C$34*Assumptions!$C$35))</f>
        <v>21000</v>
      </c>
      <c r="R65" s="9" t="n">
        <f aca="false">((Assumptions!$C$123*$C$10)+(Assumptions!$C$34*Assumptions!$C$35))</f>
        <v>21000</v>
      </c>
      <c r="S65" s="9" t="n">
        <f aca="false">((Assumptions!$C$123*$C$10)+(Assumptions!$C$34*Assumptions!$C$35))</f>
        <v>21000</v>
      </c>
      <c r="T65" s="9" t="n">
        <f aca="false">((Assumptions!$C$123*$C$10)+(Assumptions!$C$34*Assumptions!$C$35))</f>
        <v>21000</v>
      </c>
      <c r="U65" s="9" t="n">
        <f aca="false">((Assumptions!$C$123*$C$10)+(Assumptions!$C$34*Assumptions!$C$35))</f>
        <v>21000</v>
      </c>
      <c r="V65" s="9" t="n">
        <f aca="false">((Assumptions!$C$123*$C$10)+(Assumptions!$C$34*Assumptions!$C$35))</f>
        <v>21000</v>
      </c>
      <c r="W65" s="9" t="n">
        <f aca="false">((Assumptions!$C$123*$C$10)+(Assumptions!$C$34*Assumptions!$C$35))</f>
        <v>21000</v>
      </c>
      <c r="X65" s="9" t="n">
        <f aca="false">((Assumptions!$C$123*$C$10)+(Assumptions!$C$34*Assumptions!$C$35))</f>
        <v>21000</v>
      </c>
      <c r="Y65" s="9" t="n">
        <f aca="false">((Assumptions!$C$123*$C$10)+(Assumptions!$C$34*Assumptions!$C$35))</f>
        <v>21000</v>
      </c>
      <c r="Z65" s="9" t="n">
        <f aca="false">((Assumptions!$C$123*$C$10)+(Assumptions!$C$34*Assumptions!$C$35))</f>
        <v>21000</v>
      </c>
      <c r="AA65" s="9" t="n">
        <f aca="false">((Assumptions!$C$123*$C$10)+(Assumptions!$C$34*Assumptions!$C$35))</f>
        <v>21000</v>
      </c>
      <c r="AB65" s="9" t="n">
        <f aca="false">((Assumptions!$C$123*$C$10)+(Assumptions!$C$34*Assumptions!$C$35))</f>
        <v>21000</v>
      </c>
      <c r="AC65" s="9" t="n">
        <f aca="false">((Assumptions!$C$123*$C$10)+(Assumptions!$C$34*Assumptions!$C$35))</f>
        <v>21000</v>
      </c>
      <c r="AD65" s="9" t="n">
        <f aca="false">((Assumptions!$C$123*$C$10)+(Assumptions!$C$34*Assumptions!$C$35))</f>
        <v>21000</v>
      </c>
      <c r="AE65" s="9" t="n">
        <f aca="false">((Assumptions!$C$123*$C$10)+(Assumptions!$C$34*Assumptions!$C$35))</f>
        <v>21000</v>
      </c>
      <c r="AF65" s="9" t="n">
        <f aca="false">((Assumptions!$C$123*$C$10)+(Assumptions!$C$34*Assumptions!$C$35))</f>
        <v>21000</v>
      </c>
      <c r="AG65" s="9" t="n">
        <f aca="false">((Assumptions!$C$123*$C$10)+(Assumptions!$C$34*Assumptions!$C$35))</f>
        <v>21000</v>
      </c>
      <c r="AH65" s="9" t="n">
        <f aca="false">((Assumptions!$C$123*$C$10)+(Assumptions!$C$34*Assumptions!$C$35))</f>
        <v>21000</v>
      </c>
      <c r="AI65" s="9" t="n">
        <f aca="false">((Assumptions!$C$123*$C$10)+(Assumptions!$C$34*Assumptions!$C$35))</f>
        <v>21000</v>
      </c>
      <c r="AJ65" s="9" t="n">
        <f aca="false">((Assumptions!$C$123*$C$10)+(Assumptions!$C$34*Assumptions!$C$35))</f>
        <v>21000</v>
      </c>
      <c r="AK65" s="9" t="n">
        <f aca="false">((Assumptions!$C$123*$C$10)+(Assumptions!$C$34*Assumptions!$C$35))</f>
        <v>21000</v>
      </c>
      <c r="AL65" s="9" t="n">
        <f aca="false">((Assumptions!$C$123*$C$10)+(Assumptions!$C$34*Assumptions!$C$35))</f>
        <v>21000</v>
      </c>
    </row>
    <row r="66" customFormat="false" ht="15" hidden="false" customHeight="false" outlineLevel="0" collapsed="false">
      <c r="A66" s="0" t="s">
        <v>872</v>
      </c>
      <c r="B66" s="0" t="s">
        <v>230</v>
      </c>
      <c r="C66" s="9" t="n">
        <f aca="false">((C65/3)*C50)</f>
        <v>0</v>
      </c>
      <c r="D66" s="9" t="n">
        <f aca="false">((D65/3)*SUM(C50:D50))</f>
        <v>0</v>
      </c>
      <c r="E66" s="9" t="n">
        <f aca="false">((E65/3)*SUM(C50:E50))</f>
        <v>0</v>
      </c>
      <c r="F66" s="9" t="n">
        <f aca="false">((F65/3)*SUM(D50:F50))</f>
        <v>0</v>
      </c>
      <c r="G66" s="9" t="n">
        <f aca="false">((G65/3)*SUM(E50:G50))</f>
        <v>0</v>
      </c>
      <c r="H66" s="9" t="n">
        <f aca="false">((H65/3)*SUM(F50:H50))</f>
        <v>0</v>
      </c>
      <c r="I66" s="9" t="n">
        <f aca="false">((I65/3)*SUM(G50:I50))</f>
        <v>0</v>
      </c>
      <c r="J66" s="9" t="n">
        <f aca="false">((J65/3)*SUM(H50:J50))</f>
        <v>0</v>
      </c>
      <c r="K66" s="9" t="n">
        <f aca="false">((K65/3)*SUM(I50:K50))</f>
        <v>0</v>
      </c>
      <c r="L66" s="9" t="n">
        <f aca="false">((L65/3)*SUM(J50:L50))</f>
        <v>0</v>
      </c>
      <c r="M66" s="9" t="n">
        <f aca="false">((M65/3)*SUM(K50:M50))</f>
        <v>0</v>
      </c>
      <c r="N66" s="9" t="n">
        <f aca="false">((N65/3)*SUM(L50:N50))</f>
        <v>0</v>
      </c>
      <c r="O66" s="9" t="n">
        <f aca="false">((O65/3)*SUM(M50:O50))</f>
        <v>0</v>
      </c>
      <c r="P66" s="9" t="n">
        <f aca="false">((P65/3)*SUM(N50:P50))</f>
        <v>0</v>
      </c>
      <c r="Q66" s="9" t="n">
        <f aca="false">((Q65/3)*SUM(O50:Q50))</f>
        <v>0</v>
      </c>
      <c r="R66" s="9" t="n">
        <f aca="false">((R65/3)*SUM(P50:R50))</f>
        <v>0</v>
      </c>
      <c r="S66" s="9" t="n">
        <f aca="false">((S65/3)*SUM(Q50:S50))</f>
        <v>0</v>
      </c>
      <c r="T66" s="9" t="n">
        <f aca="false">((T65/3)*SUM(R50:T50))</f>
        <v>0</v>
      </c>
      <c r="U66" s="9" t="n">
        <f aca="false">((U65/3)*SUM(S50:U50))</f>
        <v>7000</v>
      </c>
      <c r="V66" s="9" t="n">
        <f aca="false">((V65/3)*SUM(T50:V50))</f>
        <v>7000</v>
      </c>
      <c r="W66" s="9" t="n">
        <f aca="false">((W65/3)*SUM(U50:W50))</f>
        <v>7000</v>
      </c>
      <c r="X66" s="9" t="n">
        <f aca="false">((X65/3)*SUM(V50:X50))</f>
        <v>7000</v>
      </c>
      <c r="Y66" s="9" t="n">
        <f aca="false">((Y65/3)*SUM(W50:Y50))</f>
        <v>7000</v>
      </c>
      <c r="Z66" s="9" t="n">
        <f aca="false">((Z65/3)*SUM(X50:Z50))</f>
        <v>7000</v>
      </c>
      <c r="AA66" s="9" t="n">
        <f aca="false">((AA65/3)*SUM(Y50:AA50))</f>
        <v>14000</v>
      </c>
      <c r="AB66" s="9" t="n">
        <f aca="false">((AB65/3)*SUM(Z50:AB50))</f>
        <v>14000</v>
      </c>
      <c r="AC66" s="9" t="n">
        <f aca="false">((AC65/3)*SUM(AA50:AC50))</f>
        <v>14000</v>
      </c>
      <c r="AD66" s="9" t="n">
        <f aca="false">((AD65/3)*SUM(AB50:AD50))</f>
        <v>14000</v>
      </c>
      <c r="AE66" s="9" t="n">
        <f aca="false">((AE65/3)*SUM(AC50:AE50))</f>
        <v>21000</v>
      </c>
      <c r="AF66" s="9" t="n">
        <f aca="false">((AF65/3)*SUM(AD50:AF50))</f>
        <v>21000</v>
      </c>
      <c r="AG66" s="9" t="n">
        <f aca="false">((AG65/3)*SUM(AE50:AG50))</f>
        <v>28000</v>
      </c>
      <c r="AH66" s="9" t="n">
        <f aca="false">((AH65/3)*SUM(AF50:AH50))</f>
        <v>28000</v>
      </c>
      <c r="AI66" s="9" t="n">
        <f aca="false">((AI65/3)*SUM(AG50:AI50))</f>
        <v>28000</v>
      </c>
      <c r="AJ66" s="9" t="n">
        <f aca="false">((AJ65/3)*SUM(AH50:AJ50))</f>
        <v>28000</v>
      </c>
      <c r="AK66" s="9" t="n">
        <f aca="false">((AK65/3)*SUM(AI50:AK50))</f>
        <v>35000</v>
      </c>
      <c r="AL66" s="9" t="n">
        <f aca="false">((AL65/3)*SUM(AJ50:AL50))</f>
        <v>35000</v>
      </c>
      <c r="AN66" s="11" t="n">
        <f aca="false">SUM(C66:N66)</f>
        <v>0</v>
      </c>
      <c r="AO66" s="11" t="n">
        <f aca="false">SUM(O66:Z66)</f>
        <v>42000</v>
      </c>
      <c r="AP66" s="11" t="n">
        <f aca="false">SUM(AA66:AL66)</f>
        <v>280000</v>
      </c>
    </row>
    <row r="67" customFormat="false" ht="15" hidden="false" customHeight="false" outlineLevel="0" collapsed="false">
      <c r="A67" s="0" t="s">
        <v>873</v>
      </c>
      <c r="B67" s="0" t="s">
        <v>230</v>
      </c>
      <c r="C67" s="9" t="n">
        <f aca="false">(C65*C50)</f>
        <v>0</v>
      </c>
      <c r="D67" s="9" t="n">
        <f aca="false">(D65*D50)</f>
        <v>0</v>
      </c>
      <c r="E67" s="9" t="n">
        <f aca="false">(E65*E50)</f>
        <v>0</v>
      </c>
      <c r="F67" s="9" t="n">
        <f aca="false">(F65*F50)</f>
        <v>0</v>
      </c>
      <c r="G67" s="9" t="n">
        <f aca="false">(G65*G50)</f>
        <v>0</v>
      </c>
      <c r="H67" s="9" t="n">
        <f aca="false">(H65*H50)</f>
        <v>0</v>
      </c>
      <c r="I67" s="9" t="n">
        <f aca="false">(I65*I50)</f>
        <v>0</v>
      </c>
      <c r="J67" s="9" t="n">
        <f aca="false">(J65*J50)</f>
        <v>0</v>
      </c>
      <c r="K67" s="9" t="n">
        <f aca="false">(K65*K50)</f>
        <v>0</v>
      </c>
      <c r="L67" s="9" t="n">
        <f aca="false">(L65*L50)</f>
        <v>0</v>
      </c>
      <c r="M67" s="9" t="n">
        <f aca="false">(M65*M50)</f>
        <v>0</v>
      </c>
      <c r="N67" s="9" t="n">
        <f aca="false">(N65*N50)</f>
        <v>0</v>
      </c>
      <c r="O67" s="9" t="n">
        <f aca="false">(O65*O50)</f>
        <v>0</v>
      </c>
      <c r="P67" s="9" t="n">
        <f aca="false">(P65*P50)</f>
        <v>0</v>
      </c>
      <c r="Q67" s="9" t="n">
        <f aca="false">(Q65*Q50)</f>
        <v>0</v>
      </c>
      <c r="R67" s="9" t="n">
        <f aca="false">(R65*R50)</f>
        <v>0</v>
      </c>
      <c r="S67" s="9" t="n">
        <f aca="false">(S65*S50)</f>
        <v>0</v>
      </c>
      <c r="T67" s="9" t="n">
        <f aca="false">(T65*T50)</f>
        <v>0</v>
      </c>
      <c r="U67" s="9" t="n">
        <f aca="false">(U65*U50)</f>
        <v>21000</v>
      </c>
      <c r="V67" s="9" t="n">
        <f aca="false">(V65*V50)</f>
        <v>0</v>
      </c>
      <c r="W67" s="9" t="n">
        <f aca="false">(W65*W50)</f>
        <v>0</v>
      </c>
      <c r="X67" s="9" t="n">
        <f aca="false">(X65*X50)</f>
        <v>21000</v>
      </c>
      <c r="Y67" s="9" t="n">
        <f aca="false">(Y65*Y50)</f>
        <v>0</v>
      </c>
      <c r="Z67" s="9" t="n">
        <f aca="false">(Z65*Z50)</f>
        <v>0</v>
      </c>
      <c r="AA67" s="9" t="n">
        <f aca="false">(AA65*AA50)</f>
        <v>42000</v>
      </c>
      <c r="AB67" s="9" t="n">
        <f aca="false">(AB65*AB50)</f>
        <v>0</v>
      </c>
      <c r="AC67" s="9" t="n">
        <f aca="false">(AC65*AC50)</f>
        <v>0</v>
      </c>
      <c r="AD67" s="9" t="n">
        <f aca="false">(AD65*AD50)</f>
        <v>42000</v>
      </c>
      <c r="AE67" s="9" t="n">
        <f aca="false">(AE65*AE50)</f>
        <v>21000</v>
      </c>
      <c r="AF67" s="9" t="n">
        <f aca="false">(AF65*AF50)</f>
        <v>0</v>
      </c>
      <c r="AG67" s="9" t="n">
        <f aca="false">(AG65*AG50)</f>
        <v>63000</v>
      </c>
      <c r="AH67" s="9" t="n">
        <f aca="false">(AH65*AH50)</f>
        <v>21000</v>
      </c>
      <c r="AI67" s="9" t="n">
        <f aca="false">(AI65*AI50)</f>
        <v>0</v>
      </c>
      <c r="AJ67" s="9" t="n">
        <f aca="false">(AJ65*AJ50)</f>
        <v>63000</v>
      </c>
      <c r="AK67" s="9" t="n">
        <f aca="false">(AK65*AK50)</f>
        <v>42000</v>
      </c>
      <c r="AL67" s="9" t="n">
        <f aca="false">(AL65*AL50)</f>
        <v>0</v>
      </c>
      <c r="AN67" s="11" t="n">
        <f aca="false">SUM(C67:N67)</f>
        <v>0</v>
      </c>
      <c r="AO67" s="11" t="n">
        <f aca="false">SUM(O67:Z67)</f>
        <v>42000</v>
      </c>
      <c r="AP67" s="11" t="n">
        <f aca="false">SUM(AA67:AL67)</f>
        <v>294000</v>
      </c>
    </row>
    <row r="68" customFormat="false" ht="15" hidden="false" customHeight="false" outlineLevel="0" collapsed="false">
      <c r="A68" s="0" t="s">
        <v>874</v>
      </c>
      <c r="B68" s="0" t="s">
        <v>285</v>
      </c>
      <c r="C68" s="9" t="n">
        <f aca="false">((C47*Assumptions!$C$124)+(C50*(Assumptions!$C$124+(Assumptions!$C$34*Assumptions!$C$36))))</f>
        <v>0</v>
      </c>
      <c r="D68" s="9" t="n">
        <f aca="false">((D47*Assumptions!$C$124)+(D50*(Assumptions!$C$124+(Assumptions!$C$34*Assumptions!$C$36))))</f>
        <v>0</v>
      </c>
      <c r="E68" s="9" t="n">
        <f aca="false">((E47*Assumptions!$C$124)+(E50*(Assumptions!$C$124+(Assumptions!$C$34*Assumptions!$C$36))))</f>
        <v>0</v>
      </c>
      <c r="F68" s="9" t="n">
        <f aca="false">((F47*Assumptions!$C$124)+(F50*(Assumptions!$C$124+(Assumptions!$C$34*Assumptions!$C$36))))</f>
        <v>0</v>
      </c>
      <c r="G68" s="9" t="n">
        <f aca="false">((G47*Assumptions!$C$124)+(G50*(Assumptions!$C$124+(Assumptions!$C$34*Assumptions!$C$36))))</f>
        <v>115</v>
      </c>
      <c r="H68" s="9" t="n">
        <f aca="false">((H47*Assumptions!$C$124)+(H50*(Assumptions!$C$124+(Assumptions!$C$34*Assumptions!$C$36))))</f>
        <v>0</v>
      </c>
      <c r="I68" s="9" t="n">
        <f aca="false">((I47*Assumptions!$C$124)+(I50*(Assumptions!$C$124+(Assumptions!$C$34*Assumptions!$C$36))))</f>
        <v>0</v>
      </c>
      <c r="J68" s="9" t="n">
        <f aca="false">((J47*Assumptions!$C$124)+(J50*(Assumptions!$C$124+(Assumptions!$C$34*Assumptions!$C$36))))</f>
        <v>0</v>
      </c>
      <c r="K68" s="9" t="n">
        <f aca="false">((K47*Assumptions!$C$124)+(K50*(Assumptions!$C$124+(Assumptions!$C$34*Assumptions!$C$36))))</f>
        <v>0</v>
      </c>
      <c r="L68" s="9" t="n">
        <f aca="false">((L47*Assumptions!$C$124)+(L50*(Assumptions!$C$124+(Assumptions!$C$34*Assumptions!$C$36))))</f>
        <v>0</v>
      </c>
      <c r="M68" s="9" t="n">
        <f aca="false">((M47*Assumptions!$C$124)+(M50*(Assumptions!$C$124+(Assumptions!$C$34*Assumptions!$C$36))))</f>
        <v>0</v>
      </c>
      <c r="N68" s="9" t="n">
        <f aca="false">((N47*Assumptions!$C$124)+(N50*(Assumptions!$C$124+(Assumptions!$C$34*Assumptions!$C$36))))</f>
        <v>0</v>
      </c>
      <c r="O68" s="9" t="n">
        <f aca="false">((O47*Assumptions!$C$124)+(O50*(Assumptions!$C$124+(Assumptions!$C$34*Assumptions!$C$36))))</f>
        <v>0</v>
      </c>
      <c r="P68" s="9" t="n">
        <f aca="false">((P47*Assumptions!$C$124)+(P50*(Assumptions!$C$124+(Assumptions!$C$34*Assumptions!$C$36))))</f>
        <v>0</v>
      </c>
      <c r="Q68" s="9" t="n">
        <f aca="false">((Q47*Assumptions!$C$124)+(Q50*(Assumptions!$C$124+(Assumptions!$C$34*Assumptions!$C$36))))</f>
        <v>0</v>
      </c>
      <c r="R68" s="9" t="n">
        <f aca="false">((R47*Assumptions!$C$124)+(R50*(Assumptions!$C$124+(Assumptions!$C$34*Assumptions!$C$36))))</f>
        <v>0</v>
      </c>
      <c r="S68" s="9" t="n">
        <f aca="false">((S47*Assumptions!$C$124)+(S50*(Assumptions!$C$124+(Assumptions!$C$34*Assumptions!$C$36))))</f>
        <v>0</v>
      </c>
      <c r="T68" s="9" t="n">
        <f aca="false">((T47*Assumptions!$C$124)+(T50*(Assumptions!$C$124+(Assumptions!$C$34*Assumptions!$C$36))))</f>
        <v>0</v>
      </c>
      <c r="U68" s="9" t="n">
        <f aca="false">((U47*Assumptions!$C$124)+(U50*(Assumptions!$C$124+(Assumptions!$C$34*Assumptions!$C$36))))</f>
        <v>159</v>
      </c>
      <c r="V68" s="9" t="n">
        <f aca="false">((V47*Assumptions!$C$124)+(V50*(Assumptions!$C$124+(Assumptions!$C$34*Assumptions!$C$36))))</f>
        <v>0</v>
      </c>
      <c r="W68" s="9" t="n">
        <f aca="false">((W47*Assumptions!$C$124)+(W50*(Assumptions!$C$124+(Assumptions!$C$34*Assumptions!$C$36))))</f>
        <v>0</v>
      </c>
      <c r="X68" s="9" t="n">
        <f aca="false">((X47*Assumptions!$C$124)+(X50*(Assumptions!$C$124+(Assumptions!$C$34*Assumptions!$C$36))))</f>
        <v>159</v>
      </c>
      <c r="Y68" s="9" t="n">
        <f aca="false">((Y47*Assumptions!$C$124)+(Y50*(Assumptions!$C$124+(Assumptions!$C$34*Assumptions!$C$36))))</f>
        <v>0</v>
      </c>
      <c r="Z68" s="9" t="n">
        <f aca="false">((Z47*Assumptions!$C$124)+(Z50*(Assumptions!$C$124+(Assumptions!$C$34*Assumptions!$C$36))))</f>
        <v>0</v>
      </c>
      <c r="AA68" s="9" t="n">
        <f aca="false">((AA47*Assumptions!$C$124)+(AA50*(Assumptions!$C$124+(Assumptions!$C$34*Assumptions!$C$36))))</f>
        <v>318</v>
      </c>
      <c r="AB68" s="9" t="n">
        <f aca="false">((AB47*Assumptions!$C$124)+(AB50*(Assumptions!$C$124+(Assumptions!$C$34*Assumptions!$C$36))))</f>
        <v>0</v>
      </c>
      <c r="AC68" s="9" t="n">
        <f aca="false">((AC47*Assumptions!$C$124)+(AC50*(Assumptions!$C$124+(Assumptions!$C$34*Assumptions!$C$36))))</f>
        <v>0</v>
      </c>
      <c r="AD68" s="9" t="n">
        <f aca="false">((AD47*Assumptions!$C$124)+(AD50*(Assumptions!$C$124+(Assumptions!$C$34*Assumptions!$C$36))))</f>
        <v>318</v>
      </c>
      <c r="AE68" s="9" t="n">
        <f aca="false">((AE47*Assumptions!$C$124)+(AE50*(Assumptions!$C$124+(Assumptions!$C$34*Assumptions!$C$36))))</f>
        <v>159</v>
      </c>
      <c r="AF68" s="9" t="n">
        <f aca="false">((AF47*Assumptions!$C$124)+(AF50*(Assumptions!$C$124+(Assumptions!$C$34*Assumptions!$C$36))))</f>
        <v>0</v>
      </c>
      <c r="AG68" s="9" t="n">
        <f aca="false">((AG47*Assumptions!$C$124)+(AG50*(Assumptions!$C$124+(Assumptions!$C$34*Assumptions!$C$36))))</f>
        <v>477</v>
      </c>
      <c r="AH68" s="9" t="n">
        <f aca="false">((AH47*Assumptions!$C$124)+(AH50*(Assumptions!$C$124+(Assumptions!$C$34*Assumptions!$C$36))))</f>
        <v>159</v>
      </c>
      <c r="AI68" s="9" t="n">
        <f aca="false">((AI47*Assumptions!$C$124)+(AI50*(Assumptions!$C$124+(Assumptions!$C$34*Assumptions!$C$36))))</f>
        <v>0</v>
      </c>
      <c r="AJ68" s="9" t="n">
        <f aca="false">((AJ47*Assumptions!$C$124)+(AJ50*(Assumptions!$C$124+(Assumptions!$C$34*Assumptions!$C$36))))</f>
        <v>477</v>
      </c>
      <c r="AK68" s="9" t="n">
        <f aca="false">((AK47*Assumptions!$C$124)+(AK50*(Assumptions!$C$124+(Assumptions!$C$34*Assumptions!$C$36))))</f>
        <v>318</v>
      </c>
      <c r="AL68" s="9" t="n">
        <f aca="false">((AL47*Assumptions!$C$124)+(AL50*(Assumptions!$C$124+(Assumptions!$C$34*Assumptions!$C$36))))</f>
        <v>0</v>
      </c>
      <c r="AN68" s="11" t="n">
        <f aca="false">SUM(C68:N68)</f>
        <v>115</v>
      </c>
      <c r="AO68" s="11" t="n">
        <f aca="false">SUM(O68:Z68)</f>
        <v>318</v>
      </c>
      <c r="AP68" s="11" t="n">
        <f aca="false">SUM(AA68:AL68)</f>
        <v>2226</v>
      </c>
    </row>
    <row r="69" customFormat="false" ht="15" hidden="false" customHeight="false" outlineLevel="0" collapsed="false">
      <c r="A69" s="0" t="s">
        <v>875</v>
      </c>
      <c r="B69" s="0" t="s">
        <v>852</v>
      </c>
      <c r="C69" s="14" t="n">
        <f aca="false">((IF(OR((C$18-(Assumptions!$C$7-1)-$C$9)&lt;1,(C$18-(Assumptions!$C$7-1)-$C$9)&gt;36),0,INDEX(Schedules!$C$6:$AL$6,(C$18-(Assumptions!$C$7-1)-$C$9)))*$C$7)*C44)</f>
        <v>0</v>
      </c>
      <c r="D69" s="14" t="n">
        <f aca="false">((IF(OR((D$18-(Assumptions!$C$7-1)-$C$9)&lt;1,(D$18-(Assumptions!$C$7-1)-$C$9)&gt;36),0,INDEX(Schedules!$C$6:$AL$6,(D$18-(Assumptions!$C$7-1)-$C$9)))*$C$7)*D44)</f>
        <v>0</v>
      </c>
      <c r="E69" s="14" t="n">
        <f aca="false">((IF(OR((E$18-(Assumptions!$C$7-1)-$C$9)&lt;1,(E$18-(Assumptions!$C$7-1)-$C$9)&gt;36),0,INDEX(Schedules!$C$6:$AL$6,(E$18-(Assumptions!$C$7-1)-$C$9)))*$C$7)*E44)</f>
        <v>0</v>
      </c>
      <c r="F69" s="14" t="n">
        <f aca="false">((IF(OR((F$18-(Assumptions!$C$7-1)-$C$9)&lt;1,(F$18-(Assumptions!$C$7-1)-$C$9)&gt;36),0,INDEX(Schedules!$C$6:$AL$6,(F$18-(Assumptions!$C$7-1)-$C$9)))*$C$7)*F44)</f>
        <v>0</v>
      </c>
      <c r="G69" s="14" t="n">
        <f aca="false">((IF(OR((G$18-(Assumptions!$C$7-1)-$C$9)&lt;1,(G$18-(Assumptions!$C$7-1)-$C$9)&gt;36),0,INDEX(Schedules!$C$6:$AL$6,(G$18-(Assumptions!$C$7-1)-$C$9)))*$C$7)*G44)</f>
        <v>0</v>
      </c>
      <c r="H69" s="14" t="n">
        <f aca="false">((IF(OR((H$18-(Assumptions!$C$7-1)-$C$9)&lt;1,(H$18-(Assumptions!$C$7-1)-$C$9)&gt;36),0,INDEX(Schedules!$C$6:$AL$6,(H$18-(Assumptions!$C$7-1)-$C$9)))*$C$7)*H44)</f>
        <v>0</v>
      </c>
      <c r="I69" s="14" t="n">
        <f aca="false">((IF(OR((I$18-(Assumptions!$C$7-1)-$C$9)&lt;1,(I$18-(Assumptions!$C$7-1)-$C$9)&gt;36),0,INDEX(Schedules!$C$6:$AL$6,(I$18-(Assumptions!$C$7-1)-$C$9)))*$C$7)*I44)</f>
        <v>0</v>
      </c>
      <c r="J69" s="14" t="n">
        <f aca="false">((IF(OR((J$18-(Assumptions!$C$7-1)-$C$9)&lt;1,(J$18-(Assumptions!$C$7-1)-$C$9)&gt;36),0,INDEX(Schedules!$C$6:$AL$6,(J$18-(Assumptions!$C$7-1)-$C$9)))*$C$7)*J44)</f>
        <v>0</v>
      </c>
      <c r="K69" s="14" t="n">
        <f aca="false">((IF(OR((K$18-(Assumptions!$C$7-1)-$C$9)&lt;1,(K$18-(Assumptions!$C$7-1)-$C$9)&gt;36),0,INDEX(Schedules!$C$6:$AL$6,(K$18-(Assumptions!$C$7-1)-$C$9)))*$C$7)*K44)</f>
        <v>0</v>
      </c>
      <c r="L69" s="14" t="n">
        <f aca="false">((IF(OR((L$18-(Assumptions!$C$7-1)-$C$9)&lt;1,(L$18-(Assumptions!$C$7-1)-$C$9)&gt;36),0,INDEX(Schedules!$C$6:$AL$6,(L$18-(Assumptions!$C$7-1)-$C$9)))*$C$7)*L44)</f>
        <v>0</v>
      </c>
      <c r="M69" s="14" t="n">
        <f aca="false">((IF(OR((M$18-(Assumptions!$C$7-1)-$C$9)&lt;1,(M$18-(Assumptions!$C$7-1)-$C$9)&gt;36),0,INDEX(Schedules!$C$6:$AL$6,(M$18-(Assumptions!$C$7-1)-$C$9)))*$C$7)*M44)</f>
        <v>0</v>
      </c>
      <c r="N69" s="14" t="n">
        <f aca="false">((IF(OR((N$18-(Assumptions!$C$7-1)-$C$9)&lt;1,(N$18-(Assumptions!$C$7-1)-$C$9)&gt;36),0,INDEX(Schedules!$C$6:$AL$6,(N$18-(Assumptions!$C$7-1)-$C$9)))*$C$7)*N44)</f>
        <v>0</v>
      </c>
      <c r="O69" s="14" t="n">
        <f aca="false">((IF(OR((O$18-(Assumptions!$C$7-1)-$C$9)&lt;1,(O$18-(Assumptions!$C$7-1)-$C$9)&gt;36),0,INDEX(Schedules!$C$6:$AL$6,(O$18-(Assumptions!$C$7-1)-$C$9)))*$C$7)*O44)</f>
        <v>0</v>
      </c>
      <c r="P69" s="14" t="n">
        <f aca="false">((IF(OR((P$18-(Assumptions!$C$7-1)-$C$9)&lt;1,(P$18-(Assumptions!$C$7-1)-$C$9)&gt;36),0,INDEX(Schedules!$C$6:$AL$6,(P$18-(Assumptions!$C$7-1)-$C$9)))*$C$7)*P44)</f>
        <v>0</v>
      </c>
      <c r="Q69" s="14" t="n">
        <f aca="false">((IF(OR((Q$18-(Assumptions!$C$7-1)-$C$9)&lt;1,(Q$18-(Assumptions!$C$7-1)-$C$9)&gt;36),0,INDEX(Schedules!$C$6:$AL$6,(Q$18-(Assumptions!$C$7-1)-$C$9)))*$C$7)*Q44)</f>
        <v>0</v>
      </c>
      <c r="R69" s="14" t="n">
        <f aca="false">((IF(OR((R$18-(Assumptions!$C$7-1)-$C$9)&lt;1,(R$18-(Assumptions!$C$7-1)-$C$9)&gt;36),0,INDEX(Schedules!$C$6:$AL$6,(R$18-(Assumptions!$C$7-1)-$C$9)))*$C$7)*R44)</f>
        <v>0</v>
      </c>
      <c r="S69" s="14" t="n">
        <f aca="false">((IF(OR((S$18-(Assumptions!$C$7-1)-$C$9)&lt;1,(S$18-(Assumptions!$C$7-1)-$C$9)&gt;36),0,INDEX(Schedules!$C$6:$AL$6,(S$18-(Assumptions!$C$7-1)-$C$9)))*$C$7)*S44)</f>
        <v>0</v>
      </c>
      <c r="T69" s="14" t="n">
        <f aca="false">((IF(OR((T$18-(Assumptions!$C$7-1)-$C$9)&lt;1,(T$18-(Assumptions!$C$7-1)-$C$9)&gt;36),0,INDEX(Schedules!$C$6:$AL$6,(T$18-(Assumptions!$C$7-1)-$C$9)))*$C$7)*T44)</f>
        <v>0</v>
      </c>
      <c r="U69" s="14" t="n">
        <f aca="false">((IF(OR((U$18-(Assumptions!$C$7-1)-$C$9)&lt;1,(U$18-(Assumptions!$C$7-1)-$C$9)&gt;36),0,INDEX(Schedules!$C$6:$AL$6,(U$18-(Assumptions!$C$7-1)-$C$9)))*$C$7)*U44)</f>
        <v>0</v>
      </c>
      <c r="V69" s="14" t="n">
        <f aca="false">((IF(OR((V$18-(Assumptions!$C$7-1)-$C$9)&lt;1,(V$18-(Assumptions!$C$7-1)-$C$9)&gt;36),0,INDEX(Schedules!$C$6:$AL$6,(V$18-(Assumptions!$C$7-1)-$C$9)))*$C$7)*V44)</f>
        <v>0</v>
      </c>
      <c r="W69" s="14" t="n">
        <f aca="false">((IF(OR((W$18-(Assumptions!$C$7-1)-$C$9)&lt;1,(W$18-(Assumptions!$C$7-1)-$C$9)&gt;36),0,INDEX(Schedules!$C$6:$AL$6,(W$18-(Assumptions!$C$7-1)-$C$9)))*$C$7)*W44)</f>
        <v>0</v>
      </c>
      <c r="X69" s="14" t="n">
        <f aca="false">((IF(OR((X$18-(Assumptions!$C$7-1)-$C$9)&lt;1,(X$18-(Assumptions!$C$7-1)-$C$9)&gt;36),0,INDEX(Schedules!$C$6:$AL$6,(X$18-(Assumptions!$C$7-1)-$C$9)))*$C$7)*X44)</f>
        <v>1</v>
      </c>
      <c r="Y69" s="14" t="n">
        <f aca="false">((IF(OR((Y$18-(Assumptions!$C$7-1)-$C$9)&lt;1,(Y$18-(Assumptions!$C$7-1)-$C$9)&gt;36),0,INDEX(Schedules!$C$6:$AL$6,(Y$18-(Assumptions!$C$7-1)-$C$9)))*$C$7)*Y44)</f>
        <v>0</v>
      </c>
      <c r="Z69" s="14" t="n">
        <f aca="false">((IF(OR((Z$18-(Assumptions!$C$7-1)-$C$9)&lt;1,(Z$18-(Assumptions!$C$7-1)-$C$9)&gt;36),0,INDEX(Schedules!$C$6:$AL$6,(Z$18-(Assumptions!$C$7-1)-$C$9)))*$C$7)*Z44)</f>
        <v>0</v>
      </c>
      <c r="AA69" s="14" t="n">
        <f aca="false">((IF(OR((AA$18-(Assumptions!$C$7-1)-$C$9)&lt;1,(AA$18-(Assumptions!$C$7-1)-$C$9)&gt;36),0,INDEX(Schedules!$C$6:$AL$6,(AA$18-(Assumptions!$C$7-1)-$C$9)))*$C$7)*AA44)</f>
        <v>1</v>
      </c>
      <c r="AB69" s="14" t="n">
        <f aca="false">((IF(OR((AB$18-(Assumptions!$C$7-1)-$C$9)&lt;1,(AB$18-(Assumptions!$C$7-1)-$C$9)&gt;36),0,INDEX(Schedules!$C$6:$AL$6,(AB$18-(Assumptions!$C$7-1)-$C$9)))*$C$7)*AB44)</f>
        <v>0</v>
      </c>
      <c r="AC69" s="14" t="n">
        <f aca="false">((IF(OR((AC$18-(Assumptions!$C$7-1)-$C$9)&lt;1,(AC$18-(Assumptions!$C$7-1)-$C$9)&gt;36),0,INDEX(Schedules!$C$6:$AL$6,(AC$18-(Assumptions!$C$7-1)-$C$9)))*$C$7)*AC44)</f>
        <v>0</v>
      </c>
      <c r="AD69" s="14" t="n">
        <f aca="false">((IF(OR((AD$18-(Assumptions!$C$7-1)-$C$9)&lt;1,(AD$18-(Assumptions!$C$7-1)-$C$9)&gt;36),0,INDEX(Schedules!$C$6:$AL$6,(AD$18-(Assumptions!$C$7-1)-$C$9)))*$C$7)*AD44)</f>
        <v>1</v>
      </c>
      <c r="AE69" s="14" t="n">
        <f aca="false">((IF(OR((AE$18-(Assumptions!$C$7-1)-$C$9)&lt;1,(AE$18-(Assumptions!$C$7-1)-$C$9)&gt;36),0,INDEX(Schedules!$C$6:$AL$6,(AE$18-(Assumptions!$C$7-1)-$C$9)))*$C$7)*AE44)</f>
        <v>0</v>
      </c>
      <c r="AF69" s="14" t="n">
        <f aca="false">((IF(OR((AF$18-(Assumptions!$C$7-1)-$C$9)&lt;1,(AF$18-(Assumptions!$C$7-1)-$C$9)&gt;36),0,INDEX(Schedules!$C$6:$AL$6,(AF$18-(Assumptions!$C$7-1)-$C$9)))*$C$7)*AF44)</f>
        <v>0</v>
      </c>
      <c r="AG69" s="14" t="n">
        <f aca="false">((IF(OR((AG$18-(Assumptions!$C$7-1)-$C$9)&lt;1,(AG$18-(Assumptions!$C$7-1)-$C$9)&gt;36),0,INDEX(Schedules!$C$6:$AL$6,(AG$18-(Assumptions!$C$7-1)-$C$9)))*$C$7)*AG44)</f>
        <v>1</v>
      </c>
      <c r="AH69" s="14" t="n">
        <f aca="false">((IF(OR((AH$18-(Assumptions!$C$7-1)-$C$9)&lt;1,(AH$18-(Assumptions!$C$7-1)-$C$9)&gt;36),0,INDEX(Schedules!$C$6:$AL$6,(AH$18-(Assumptions!$C$7-1)-$C$9)))*$C$7)*AH44)</f>
        <v>0</v>
      </c>
      <c r="AI69" s="14" t="n">
        <f aca="false">((IF(OR((AI$18-(Assumptions!$C$7-1)-$C$9)&lt;1,(AI$18-(Assumptions!$C$7-1)-$C$9)&gt;36),0,INDEX(Schedules!$C$6:$AL$6,(AI$18-(Assumptions!$C$7-1)-$C$9)))*$C$7)*AI44)</f>
        <v>0</v>
      </c>
      <c r="AJ69" s="14" t="n">
        <f aca="false">((IF(OR((AJ$18-(Assumptions!$C$7-1)-$C$9)&lt;1,(AJ$18-(Assumptions!$C$7-1)-$C$9)&gt;36),0,INDEX(Schedules!$C$6:$AL$6,(AJ$18-(Assumptions!$C$7-1)-$C$9)))*$C$7)*AJ44)</f>
        <v>2</v>
      </c>
      <c r="AK69" s="14" t="n">
        <f aca="false">((IF(OR((AK$18-(Assumptions!$C$7-1)-$C$9)&lt;1,(AK$18-(Assumptions!$C$7-1)-$C$9)&gt;36),0,INDEX(Schedules!$C$6:$AL$6,(AK$18-(Assumptions!$C$7-1)-$C$9)))*$C$7)*AK44)</f>
        <v>0</v>
      </c>
      <c r="AL69" s="14" t="n">
        <f aca="false">((IF(OR((AL$18-(Assumptions!$C$7-1)-$C$9)&lt;1,(AL$18-(Assumptions!$C$7-1)-$C$9)&gt;36),0,INDEX(Schedules!$C$6:$AL$6,(AL$18-(Assumptions!$C$7-1)-$C$9)))*$C$7)*AL44)</f>
        <v>0</v>
      </c>
      <c r="AN69" s="36" t="n">
        <f aca="false">SUM(C69:N69)</f>
        <v>0</v>
      </c>
      <c r="AO69" s="36" t="n">
        <f aca="false">SUM(O69:Z69)</f>
        <v>1</v>
      </c>
      <c r="AP69" s="36" t="n">
        <f aca="false">SUM(AA69:AL69)</f>
        <v>5</v>
      </c>
    </row>
    <row r="70" customFormat="false" ht="15" hidden="false" customHeight="false" outlineLevel="0" collapsed="false">
      <c r="A70" s="0" t="s">
        <v>876</v>
      </c>
      <c r="B70" s="0" t="s">
        <v>852</v>
      </c>
      <c r="C70" s="14" t="n">
        <f aca="false">INDEX(Schedules!$C$12:$AL$12,C$18)</f>
        <v>0</v>
      </c>
      <c r="D70" s="14" t="n">
        <f aca="false">INDEX(Schedules!$C$12:$AL$12,D$18)</f>
        <v>0</v>
      </c>
      <c r="E70" s="14" t="n">
        <f aca="false">INDEX(Schedules!$C$12:$AL$12,E$18)</f>
        <v>0</v>
      </c>
      <c r="F70" s="14" t="n">
        <f aca="false">INDEX(Schedules!$C$12:$AL$12,F$18)</f>
        <v>0</v>
      </c>
      <c r="G70" s="14" t="n">
        <f aca="false">INDEX(Schedules!$C$12:$AL$12,G$18)</f>
        <v>0</v>
      </c>
      <c r="H70" s="14" t="n">
        <f aca="false">INDEX(Schedules!$C$12:$AL$12,H$18)</f>
        <v>0</v>
      </c>
      <c r="I70" s="14" t="n">
        <f aca="false">INDEX(Schedules!$C$12:$AL$12,I$18)</f>
        <v>0</v>
      </c>
      <c r="J70" s="14" t="n">
        <f aca="false">INDEX(Schedules!$C$12:$AL$12,J$18)</f>
        <v>1</v>
      </c>
      <c r="K70" s="14" t="n">
        <f aca="false">INDEX(Schedules!$C$12:$AL$12,K$18)</f>
        <v>0</v>
      </c>
      <c r="L70" s="14" t="n">
        <f aca="false">INDEX(Schedules!$C$12:$AL$12,L$18)</f>
        <v>0</v>
      </c>
      <c r="M70" s="14" t="n">
        <f aca="false">INDEX(Schedules!$C$12:$AL$12,M$18)</f>
        <v>0</v>
      </c>
      <c r="N70" s="14" t="n">
        <f aca="false">INDEX(Schedules!$C$12:$AL$12,N$18)</f>
        <v>0</v>
      </c>
      <c r="O70" s="14" t="n">
        <f aca="false">INDEX(Schedules!$C$12:$AL$12,O$18)</f>
        <v>0</v>
      </c>
      <c r="P70" s="14" t="n">
        <f aca="false">INDEX(Schedules!$C$12:$AL$12,P$18)</f>
        <v>0</v>
      </c>
      <c r="Q70" s="14" t="n">
        <f aca="false">INDEX(Schedules!$C$12:$AL$12,Q$18)</f>
        <v>0</v>
      </c>
      <c r="R70" s="14" t="n">
        <f aca="false">INDEX(Schedules!$C$12:$AL$12,R$18)</f>
        <v>0</v>
      </c>
      <c r="S70" s="14" t="n">
        <f aca="false">INDEX(Schedules!$C$12:$AL$12,S$18)</f>
        <v>0</v>
      </c>
      <c r="T70" s="14" t="n">
        <f aca="false">INDEX(Schedules!$C$12:$AL$12,T$18)</f>
        <v>0</v>
      </c>
      <c r="U70" s="14" t="n">
        <f aca="false">INDEX(Schedules!$C$12:$AL$12,U$18)</f>
        <v>0</v>
      </c>
      <c r="V70" s="14" t="n">
        <f aca="false">INDEX(Schedules!$C$12:$AL$12,V$18)</f>
        <v>0</v>
      </c>
      <c r="W70" s="14" t="n">
        <f aca="false">INDEX(Schedules!$C$12:$AL$12,W$18)</f>
        <v>0</v>
      </c>
      <c r="X70" s="14" t="n">
        <f aca="false">INDEX(Schedules!$C$12:$AL$12,X$18)</f>
        <v>0</v>
      </c>
      <c r="Y70" s="14" t="n">
        <f aca="false">INDEX(Schedules!$C$12:$AL$12,Y$18)</f>
        <v>0</v>
      </c>
      <c r="Z70" s="14" t="n">
        <f aca="false">INDEX(Schedules!$C$12:$AL$12,Z$18)</f>
        <v>0</v>
      </c>
      <c r="AA70" s="14" t="n">
        <f aca="false">INDEX(Schedules!$C$12:$AL$12,AA$18)</f>
        <v>0</v>
      </c>
      <c r="AB70" s="14" t="n">
        <f aca="false">INDEX(Schedules!$C$12:$AL$12,AB$18)</f>
        <v>0</v>
      </c>
      <c r="AC70" s="14" t="n">
        <f aca="false">INDEX(Schedules!$C$12:$AL$12,AC$18)</f>
        <v>0</v>
      </c>
      <c r="AD70" s="14" t="n">
        <f aca="false">INDEX(Schedules!$C$12:$AL$12,AD$18)</f>
        <v>0</v>
      </c>
      <c r="AE70" s="14" t="n">
        <f aca="false">INDEX(Schedules!$C$12:$AL$12,AE$18)</f>
        <v>0</v>
      </c>
      <c r="AF70" s="14" t="n">
        <f aca="false">INDEX(Schedules!$C$12:$AL$12,AF$18)</f>
        <v>0</v>
      </c>
      <c r="AG70" s="14" t="n">
        <f aca="false">INDEX(Schedules!$C$12:$AL$12,AG$18)</f>
        <v>0</v>
      </c>
      <c r="AH70" s="14" t="n">
        <f aca="false">INDEX(Schedules!$C$12:$AL$12,AH$18)</f>
        <v>0</v>
      </c>
      <c r="AI70" s="14" t="n">
        <f aca="false">INDEX(Schedules!$C$12:$AL$12,AI$18)</f>
        <v>0</v>
      </c>
      <c r="AJ70" s="14" t="n">
        <f aca="false">INDEX(Schedules!$C$12:$AL$12,AJ$18)</f>
        <v>0</v>
      </c>
      <c r="AK70" s="14" t="n">
        <f aca="false">INDEX(Schedules!$C$12:$AL$12,AK$18)</f>
        <v>0</v>
      </c>
      <c r="AL70" s="14" t="n">
        <f aca="false">INDEX(Schedules!$C$12:$AL$12,AL$18)</f>
        <v>0</v>
      </c>
      <c r="AN70" s="36" t="n">
        <f aca="false">SUM(C70:N70)</f>
        <v>1</v>
      </c>
      <c r="AO70" s="36" t="n">
        <f aca="false">SUM(O70:Z70)</f>
        <v>0</v>
      </c>
      <c r="AP70" s="36" t="n">
        <f aca="false">SUM(AA70:AL70)</f>
        <v>0</v>
      </c>
    </row>
    <row r="71" customFormat="false" ht="15" hidden="false" customHeight="false" outlineLevel="0" collapsed="false">
      <c r="A71" s="0" t="s">
        <v>877</v>
      </c>
      <c r="B71" s="0" t="s">
        <v>852</v>
      </c>
      <c r="C71" s="14" t="n">
        <f aca="false">(C69+C70)</f>
        <v>0</v>
      </c>
      <c r="D71" s="14" t="n">
        <f aca="false">(D69+D70)</f>
        <v>0</v>
      </c>
      <c r="E71" s="14" t="n">
        <f aca="false">(E69+E70)</f>
        <v>0</v>
      </c>
      <c r="F71" s="14" t="n">
        <f aca="false">(F69+F70)</f>
        <v>0</v>
      </c>
      <c r="G71" s="14" t="n">
        <f aca="false">(G69+G70)</f>
        <v>0</v>
      </c>
      <c r="H71" s="14" t="n">
        <f aca="false">(H69+H70)</f>
        <v>0</v>
      </c>
      <c r="I71" s="14" t="n">
        <f aca="false">(I69+I70)</f>
        <v>0</v>
      </c>
      <c r="J71" s="14" t="n">
        <f aca="false">(J69+J70)</f>
        <v>1</v>
      </c>
      <c r="K71" s="14" t="n">
        <f aca="false">(K69+K70)</f>
        <v>0</v>
      </c>
      <c r="L71" s="14" t="n">
        <f aca="false">(L69+L70)</f>
        <v>0</v>
      </c>
      <c r="M71" s="14" t="n">
        <f aca="false">(M69+M70)</f>
        <v>0</v>
      </c>
      <c r="N71" s="14" t="n">
        <f aca="false">(N69+N70)</f>
        <v>0</v>
      </c>
      <c r="O71" s="14" t="n">
        <f aca="false">(O69+O70)</f>
        <v>0</v>
      </c>
      <c r="P71" s="14" t="n">
        <f aca="false">(P69+P70)</f>
        <v>0</v>
      </c>
      <c r="Q71" s="14" t="n">
        <f aca="false">(Q69+Q70)</f>
        <v>0</v>
      </c>
      <c r="R71" s="14" t="n">
        <f aca="false">(R69+R70)</f>
        <v>0</v>
      </c>
      <c r="S71" s="14" t="n">
        <f aca="false">(S69+S70)</f>
        <v>0</v>
      </c>
      <c r="T71" s="14" t="n">
        <f aca="false">(T69+T70)</f>
        <v>0</v>
      </c>
      <c r="U71" s="14" t="n">
        <f aca="false">(U69+U70)</f>
        <v>0</v>
      </c>
      <c r="V71" s="14" t="n">
        <f aca="false">(V69+V70)</f>
        <v>0</v>
      </c>
      <c r="W71" s="14" t="n">
        <f aca="false">(W69+W70)</f>
        <v>0</v>
      </c>
      <c r="X71" s="14" t="n">
        <f aca="false">(X69+X70)</f>
        <v>1</v>
      </c>
      <c r="Y71" s="14" t="n">
        <f aca="false">(Y69+Y70)</f>
        <v>0</v>
      </c>
      <c r="Z71" s="14" t="n">
        <f aca="false">(Z69+Z70)</f>
        <v>0</v>
      </c>
      <c r="AA71" s="14" t="n">
        <f aca="false">(AA69+AA70)</f>
        <v>1</v>
      </c>
      <c r="AB71" s="14" t="n">
        <f aca="false">(AB69+AB70)</f>
        <v>0</v>
      </c>
      <c r="AC71" s="14" t="n">
        <f aca="false">(AC69+AC70)</f>
        <v>0</v>
      </c>
      <c r="AD71" s="14" t="n">
        <f aca="false">(AD69+AD70)</f>
        <v>1</v>
      </c>
      <c r="AE71" s="14" t="n">
        <f aca="false">(AE69+AE70)</f>
        <v>0</v>
      </c>
      <c r="AF71" s="14" t="n">
        <f aca="false">(AF69+AF70)</f>
        <v>0</v>
      </c>
      <c r="AG71" s="14" t="n">
        <f aca="false">(AG69+AG70)</f>
        <v>1</v>
      </c>
      <c r="AH71" s="14" t="n">
        <f aca="false">(AH69+AH70)</f>
        <v>0</v>
      </c>
      <c r="AI71" s="14" t="n">
        <f aca="false">(AI69+AI70)</f>
        <v>0</v>
      </c>
      <c r="AJ71" s="14" t="n">
        <f aca="false">(AJ69+AJ70)</f>
        <v>2</v>
      </c>
      <c r="AK71" s="14" t="n">
        <f aca="false">(AK69+AK70)</f>
        <v>0</v>
      </c>
      <c r="AL71" s="14" t="n">
        <f aca="false">(AL69+AL70)</f>
        <v>0</v>
      </c>
      <c r="AN71" s="36" t="n">
        <f aca="false">SUM(C71:N71)</f>
        <v>1</v>
      </c>
      <c r="AO71" s="36" t="n">
        <f aca="false">SUM(O71:Z71)</f>
        <v>1</v>
      </c>
      <c r="AP71" s="36" t="n">
        <f aca="false">SUM(AA71:AL71)</f>
        <v>5</v>
      </c>
    </row>
    <row r="72" customFormat="false" ht="15" hidden="false" customHeight="false" outlineLevel="0" collapsed="false">
      <c r="A72" s="0" t="s">
        <v>878</v>
      </c>
      <c r="B72" s="0" t="s">
        <v>852</v>
      </c>
      <c r="C72" s="14" t="n">
        <f aca="false">((IF(OR((C$18-(Assumptions!$C$8-1)-$C$9)&lt;1,(C$18-(Assumptions!$C$8-1)-$C$9)&gt;36),0,INDEX(Schedules!$C$9:$AL$9,(C$18-(Assumptions!$C$8-1)-$C$9)))*$C$7)*C44)</f>
        <v>0</v>
      </c>
      <c r="D72" s="14" t="n">
        <f aca="false">((IF(OR((D$18-(Assumptions!$C$8-1)-$C$9)&lt;1,(D$18-(Assumptions!$C$8-1)-$C$9)&gt;36),0,INDEX(Schedules!$C$9:$AL$9,(D$18-(Assumptions!$C$8-1)-$C$9)))*$C$7)*D44)</f>
        <v>0</v>
      </c>
      <c r="E72" s="14" t="n">
        <f aca="false">((IF(OR((E$18-(Assumptions!$C$8-1)-$C$9)&lt;1,(E$18-(Assumptions!$C$8-1)-$C$9)&gt;36),0,INDEX(Schedules!$C$9:$AL$9,(E$18-(Assumptions!$C$8-1)-$C$9)))*$C$7)*E44)</f>
        <v>0</v>
      </c>
      <c r="F72" s="14" t="n">
        <f aca="false">((IF(OR((F$18-(Assumptions!$C$8-1)-$C$9)&lt;1,(F$18-(Assumptions!$C$8-1)-$C$9)&gt;36),0,INDEX(Schedules!$C$9:$AL$9,(F$18-(Assumptions!$C$8-1)-$C$9)))*$C$7)*F44)</f>
        <v>0</v>
      </c>
      <c r="G72" s="14" t="n">
        <f aca="false">((IF(OR((G$18-(Assumptions!$C$8-1)-$C$9)&lt;1,(G$18-(Assumptions!$C$8-1)-$C$9)&gt;36),0,INDEX(Schedules!$C$9:$AL$9,(G$18-(Assumptions!$C$8-1)-$C$9)))*$C$7)*G44)</f>
        <v>0</v>
      </c>
      <c r="H72" s="14" t="n">
        <f aca="false">((IF(OR((H$18-(Assumptions!$C$8-1)-$C$9)&lt;1,(H$18-(Assumptions!$C$8-1)-$C$9)&gt;36),0,INDEX(Schedules!$C$9:$AL$9,(H$18-(Assumptions!$C$8-1)-$C$9)))*$C$7)*H44)</f>
        <v>0</v>
      </c>
      <c r="I72" s="14" t="n">
        <f aca="false">((IF(OR((I$18-(Assumptions!$C$8-1)-$C$9)&lt;1,(I$18-(Assumptions!$C$8-1)-$C$9)&gt;36),0,INDEX(Schedules!$C$9:$AL$9,(I$18-(Assumptions!$C$8-1)-$C$9)))*$C$7)*I44)</f>
        <v>0</v>
      </c>
      <c r="J72" s="14" t="n">
        <f aca="false">((IF(OR((J$18-(Assumptions!$C$8-1)-$C$9)&lt;1,(J$18-(Assumptions!$C$8-1)-$C$9)&gt;36),0,INDEX(Schedules!$C$9:$AL$9,(J$18-(Assumptions!$C$8-1)-$C$9)))*$C$7)*J44)</f>
        <v>0</v>
      </c>
      <c r="K72" s="14" t="n">
        <f aca="false">((IF(OR((K$18-(Assumptions!$C$8-1)-$C$9)&lt;1,(K$18-(Assumptions!$C$8-1)-$C$9)&gt;36),0,INDEX(Schedules!$C$9:$AL$9,(K$18-(Assumptions!$C$8-1)-$C$9)))*$C$7)*K44)</f>
        <v>0</v>
      </c>
      <c r="L72" s="14" t="n">
        <f aca="false">((IF(OR((L$18-(Assumptions!$C$8-1)-$C$9)&lt;1,(L$18-(Assumptions!$C$8-1)-$C$9)&gt;36),0,INDEX(Schedules!$C$9:$AL$9,(L$18-(Assumptions!$C$8-1)-$C$9)))*$C$7)*L44)</f>
        <v>0</v>
      </c>
      <c r="M72" s="14" t="n">
        <f aca="false">((IF(OR((M$18-(Assumptions!$C$8-1)-$C$9)&lt;1,(M$18-(Assumptions!$C$8-1)-$C$9)&gt;36),0,INDEX(Schedules!$C$9:$AL$9,(M$18-(Assumptions!$C$8-1)-$C$9)))*$C$7)*M44)</f>
        <v>0</v>
      </c>
      <c r="N72" s="14" t="n">
        <f aca="false">((IF(OR((N$18-(Assumptions!$C$8-1)-$C$9)&lt;1,(N$18-(Assumptions!$C$8-1)-$C$9)&gt;36),0,INDEX(Schedules!$C$9:$AL$9,(N$18-(Assumptions!$C$8-1)-$C$9)))*$C$7)*N44)</f>
        <v>0</v>
      </c>
      <c r="O72" s="14" t="n">
        <f aca="false">((IF(OR((O$18-(Assumptions!$C$8-1)-$C$9)&lt;1,(O$18-(Assumptions!$C$8-1)-$C$9)&gt;36),0,INDEX(Schedules!$C$9:$AL$9,(O$18-(Assumptions!$C$8-1)-$C$9)))*$C$7)*O44)</f>
        <v>0</v>
      </c>
      <c r="P72" s="14" t="n">
        <f aca="false">((IF(OR((P$18-(Assumptions!$C$8-1)-$C$9)&lt;1,(P$18-(Assumptions!$C$8-1)-$C$9)&gt;36),0,INDEX(Schedules!$C$9:$AL$9,(P$18-(Assumptions!$C$8-1)-$C$9)))*$C$7)*P44)</f>
        <v>0</v>
      </c>
      <c r="Q72" s="14" t="n">
        <f aca="false">((IF(OR((Q$18-(Assumptions!$C$8-1)-$C$9)&lt;1,(Q$18-(Assumptions!$C$8-1)-$C$9)&gt;36),0,INDEX(Schedules!$C$9:$AL$9,(Q$18-(Assumptions!$C$8-1)-$C$9)))*$C$7)*Q44)</f>
        <v>0</v>
      </c>
      <c r="R72" s="14" t="n">
        <f aca="false">((IF(OR((R$18-(Assumptions!$C$8-1)-$C$9)&lt;1,(R$18-(Assumptions!$C$8-1)-$C$9)&gt;36),0,INDEX(Schedules!$C$9:$AL$9,(R$18-(Assumptions!$C$8-1)-$C$9)))*$C$7)*R44)</f>
        <v>0</v>
      </c>
      <c r="S72" s="14" t="n">
        <f aca="false">((IF(OR((S$18-(Assumptions!$C$8-1)-$C$9)&lt;1,(S$18-(Assumptions!$C$8-1)-$C$9)&gt;36),0,INDEX(Schedules!$C$9:$AL$9,(S$18-(Assumptions!$C$8-1)-$C$9)))*$C$7)*S44)</f>
        <v>0</v>
      </c>
      <c r="T72" s="14" t="n">
        <f aca="false">((IF(OR((T$18-(Assumptions!$C$8-1)-$C$9)&lt;1,(T$18-(Assumptions!$C$8-1)-$C$9)&gt;36),0,INDEX(Schedules!$C$9:$AL$9,(T$18-(Assumptions!$C$8-1)-$C$9)))*$C$7)*T44)</f>
        <v>0</v>
      </c>
      <c r="U72" s="14" t="n">
        <f aca="false">((IF(OR((U$18-(Assumptions!$C$8-1)-$C$9)&lt;1,(U$18-(Assumptions!$C$8-1)-$C$9)&gt;36),0,INDEX(Schedules!$C$9:$AL$9,(U$18-(Assumptions!$C$8-1)-$C$9)))*$C$7)*U44)</f>
        <v>0</v>
      </c>
      <c r="V72" s="14" t="n">
        <f aca="false">((IF(OR((V$18-(Assumptions!$C$8-1)-$C$9)&lt;1,(V$18-(Assumptions!$C$8-1)-$C$9)&gt;36),0,INDEX(Schedules!$C$9:$AL$9,(V$18-(Assumptions!$C$8-1)-$C$9)))*$C$7)*V44)</f>
        <v>0</v>
      </c>
      <c r="W72" s="14" t="n">
        <f aca="false">((IF(OR((W$18-(Assumptions!$C$8-1)-$C$9)&lt;1,(W$18-(Assumptions!$C$8-1)-$C$9)&gt;36),0,INDEX(Schedules!$C$9:$AL$9,(W$18-(Assumptions!$C$8-1)-$C$9)))*$C$7)*W44)</f>
        <v>0</v>
      </c>
      <c r="X72" s="14" t="n">
        <f aca="false">((IF(OR((X$18-(Assumptions!$C$8-1)-$C$9)&lt;1,(X$18-(Assumptions!$C$8-1)-$C$9)&gt;36),0,INDEX(Schedules!$C$9:$AL$9,(X$18-(Assumptions!$C$8-1)-$C$9)))*$C$7)*X44)</f>
        <v>0</v>
      </c>
      <c r="Y72" s="14" t="n">
        <f aca="false">((IF(OR((Y$18-(Assumptions!$C$8-1)-$C$9)&lt;1,(Y$18-(Assumptions!$C$8-1)-$C$9)&gt;36),0,INDEX(Schedules!$C$9:$AL$9,(Y$18-(Assumptions!$C$8-1)-$C$9)))*$C$7)*Y44)</f>
        <v>0</v>
      </c>
      <c r="Z72" s="14" t="n">
        <f aca="false">((IF(OR((Z$18-(Assumptions!$C$8-1)-$C$9)&lt;1,(Z$18-(Assumptions!$C$8-1)-$C$9)&gt;36),0,INDEX(Schedules!$C$9:$AL$9,(Z$18-(Assumptions!$C$8-1)-$C$9)))*$C$7)*Z44)</f>
        <v>0</v>
      </c>
      <c r="AA72" s="14" t="n">
        <f aca="false">((IF(OR((AA$18-(Assumptions!$C$8-1)-$C$9)&lt;1,(AA$18-(Assumptions!$C$8-1)-$C$9)&gt;36),0,INDEX(Schedules!$C$9:$AL$9,(AA$18-(Assumptions!$C$8-1)-$C$9)))*$C$7)*AA44)</f>
        <v>0</v>
      </c>
      <c r="AB72" s="14" t="n">
        <f aca="false">((IF(OR((AB$18-(Assumptions!$C$8-1)-$C$9)&lt;1,(AB$18-(Assumptions!$C$8-1)-$C$9)&gt;36),0,INDEX(Schedules!$C$9:$AL$9,(AB$18-(Assumptions!$C$8-1)-$C$9)))*$C$7)*AB44)</f>
        <v>0</v>
      </c>
      <c r="AC72" s="14" t="n">
        <f aca="false">((IF(OR((AC$18-(Assumptions!$C$8-1)-$C$9)&lt;1,(AC$18-(Assumptions!$C$8-1)-$C$9)&gt;36),0,INDEX(Schedules!$C$9:$AL$9,(AC$18-(Assumptions!$C$8-1)-$C$9)))*$C$7)*AC44)</f>
        <v>0</v>
      </c>
      <c r="AD72" s="14" t="n">
        <f aca="false">((IF(OR((AD$18-(Assumptions!$C$8-1)-$C$9)&lt;1,(AD$18-(Assumptions!$C$8-1)-$C$9)&gt;36),0,INDEX(Schedules!$C$9:$AL$9,(AD$18-(Assumptions!$C$8-1)-$C$9)))*$C$7)*AD44)</f>
        <v>0</v>
      </c>
      <c r="AE72" s="14" t="n">
        <f aca="false">((IF(OR((AE$18-(Assumptions!$C$8-1)-$C$9)&lt;1,(AE$18-(Assumptions!$C$8-1)-$C$9)&gt;36),0,INDEX(Schedules!$C$9:$AL$9,(AE$18-(Assumptions!$C$8-1)-$C$9)))*$C$7)*AE44)</f>
        <v>0</v>
      </c>
      <c r="AF72" s="14" t="n">
        <f aca="false">((IF(OR((AF$18-(Assumptions!$C$8-1)-$C$9)&lt;1,(AF$18-(Assumptions!$C$8-1)-$C$9)&gt;36),0,INDEX(Schedules!$C$9:$AL$9,(AF$18-(Assumptions!$C$8-1)-$C$9)))*$C$7)*AF44)</f>
        <v>0</v>
      </c>
      <c r="AG72" s="14" t="n">
        <f aca="false">((IF(OR((AG$18-(Assumptions!$C$8-1)-$C$9)&lt;1,(AG$18-(Assumptions!$C$8-1)-$C$9)&gt;36),0,INDEX(Schedules!$C$9:$AL$9,(AG$18-(Assumptions!$C$8-1)-$C$9)))*$C$7)*AG44)</f>
        <v>0</v>
      </c>
      <c r="AH72" s="14" t="n">
        <f aca="false">((IF(OR((AH$18-(Assumptions!$C$8-1)-$C$9)&lt;1,(AH$18-(Assumptions!$C$8-1)-$C$9)&gt;36),0,INDEX(Schedules!$C$9:$AL$9,(AH$18-(Assumptions!$C$8-1)-$C$9)))*$C$7)*AH44)</f>
        <v>1</v>
      </c>
      <c r="AI72" s="14" t="n">
        <f aca="false">((IF(OR((AI$18-(Assumptions!$C$8-1)-$C$9)&lt;1,(AI$18-(Assumptions!$C$8-1)-$C$9)&gt;36),0,INDEX(Schedules!$C$9:$AL$9,(AI$18-(Assumptions!$C$8-1)-$C$9)))*$C$7)*AI44)</f>
        <v>0</v>
      </c>
      <c r="AJ72" s="14" t="n">
        <f aca="false">((IF(OR((AJ$18-(Assumptions!$C$8-1)-$C$9)&lt;1,(AJ$18-(Assumptions!$C$8-1)-$C$9)&gt;36),0,INDEX(Schedules!$C$9:$AL$9,(AJ$18-(Assumptions!$C$8-1)-$C$9)))*$C$7)*AJ44)</f>
        <v>0</v>
      </c>
      <c r="AK72" s="14" t="n">
        <f aca="false">((IF(OR((AK$18-(Assumptions!$C$8-1)-$C$9)&lt;1,(AK$18-(Assumptions!$C$8-1)-$C$9)&gt;36),0,INDEX(Schedules!$C$9:$AL$9,(AK$18-(Assumptions!$C$8-1)-$C$9)))*$C$7)*AK44)</f>
        <v>1</v>
      </c>
      <c r="AL72" s="14" t="n">
        <f aca="false">((IF(OR((AL$18-(Assumptions!$C$8-1)-$C$9)&lt;1,(AL$18-(Assumptions!$C$8-1)-$C$9)&gt;36),0,INDEX(Schedules!$C$9:$AL$9,(AL$18-(Assumptions!$C$8-1)-$C$9)))*$C$7)*AL44)</f>
        <v>0</v>
      </c>
      <c r="AN72" s="36" t="n">
        <f aca="false">SUM(C72:N72)</f>
        <v>0</v>
      </c>
      <c r="AO72" s="36" t="n">
        <f aca="false">SUM(O72:Z72)</f>
        <v>0</v>
      </c>
      <c r="AP72" s="36" t="n">
        <f aca="false">SUM(AA72:AL72)</f>
        <v>2</v>
      </c>
    </row>
    <row r="73" customFormat="false" ht="15" hidden="false" customHeight="false" outlineLevel="0" collapsed="false">
      <c r="A73" s="0" t="s">
        <v>879</v>
      </c>
      <c r="B73" s="0" t="s">
        <v>852</v>
      </c>
      <c r="C73" s="14" t="n">
        <f aca="false">(C69+C72)</f>
        <v>0</v>
      </c>
      <c r="D73" s="14" t="n">
        <f aca="false">(D69+D72)</f>
        <v>0</v>
      </c>
      <c r="E73" s="14" t="n">
        <f aca="false">(E69+E72)</f>
        <v>0</v>
      </c>
      <c r="F73" s="14" t="n">
        <f aca="false">(F69+F72)</f>
        <v>0</v>
      </c>
      <c r="G73" s="14" t="n">
        <f aca="false">(G69+G72)</f>
        <v>0</v>
      </c>
      <c r="H73" s="14" t="n">
        <f aca="false">(H69+H72)</f>
        <v>0</v>
      </c>
      <c r="I73" s="14" t="n">
        <f aca="false">(I69+I72)</f>
        <v>0</v>
      </c>
      <c r="J73" s="14" t="n">
        <f aca="false">(J69+J72)</f>
        <v>0</v>
      </c>
      <c r="K73" s="14" t="n">
        <f aca="false">(K69+K72)</f>
        <v>0</v>
      </c>
      <c r="L73" s="14" t="n">
        <f aca="false">(L69+L72)</f>
        <v>0</v>
      </c>
      <c r="M73" s="14" t="n">
        <f aca="false">(M69+M72)</f>
        <v>0</v>
      </c>
      <c r="N73" s="14" t="n">
        <f aca="false">(N69+N72)</f>
        <v>0</v>
      </c>
      <c r="O73" s="14" t="n">
        <f aca="false">(O69+O72)</f>
        <v>0</v>
      </c>
      <c r="P73" s="14" t="n">
        <f aca="false">(P69+P72)</f>
        <v>0</v>
      </c>
      <c r="Q73" s="14" t="n">
        <f aca="false">(Q69+Q72)</f>
        <v>0</v>
      </c>
      <c r="R73" s="14" t="n">
        <f aca="false">(R69+R72)</f>
        <v>0</v>
      </c>
      <c r="S73" s="14" t="n">
        <f aca="false">(S69+S72)</f>
        <v>0</v>
      </c>
      <c r="T73" s="14" t="n">
        <f aca="false">(T69+T72)</f>
        <v>0</v>
      </c>
      <c r="U73" s="14" t="n">
        <f aca="false">(U69+U72)</f>
        <v>0</v>
      </c>
      <c r="V73" s="14" t="n">
        <f aca="false">(V69+V72)</f>
        <v>0</v>
      </c>
      <c r="W73" s="14" t="n">
        <f aca="false">(W69+W72)</f>
        <v>0</v>
      </c>
      <c r="X73" s="14" t="n">
        <f aca="false">(X69+X72)</f>
        <v>1</v>
      </c>
      <c r="Y73" s="14" t="n">
        <f aca="false">(Y69+Y72)</f>
        <v>0</v>
      </c>
      <c r="Z73" s="14" t="n">
        <f aca="false">(Z69+Z72)</f>
        <v>0</v>
      </c>
      <c r="AA73" s="14" t="n">
        <f aca="false">(AA69+AA72)</f>
        <v>1</v>
      </c>
      <c r="AB73" s="14" t="n">
        <f aca="false">(AB69+AB72)</f>
        <v>0</v>
      </c>
      <c r="AC73" s="14" t="n">
        <f aca="false">(AC69+AC72)</f>
        <v>0</v>
      </c>
      <c r="AD73" s="14" t="n">
        <f aca="false">(AD69+AD72)</f>
        <v>1</v>
      </c>
      <c r="AE73" s="14" t="n">
        <f aca="false">(AE69+AE72)</f>
        <v>0</v>
      </c>
      <c r="AF73" s="14" t="n">
        <f aca="false">(AF69+AF72)</f>
        <v>0</v>
      </c>
      <c r="AG73" s="14" t="n">
        <f aca="false">(AG69+AG72)</f>
        <v>1</v>
      </c>
      <c r="AH73" s="14" t="n">
        <f aca="false">(AH69+AH72)</f>
        <v>1</v>
      </c>
      <c r="AI73" s="14" t="n">
        <f aca="false">(AI69+AI72)</f>
        <v>0</v>
      </c>
      <c r="AJ73" s="14" t="n">
        <f aca="false">(AJ69+AJ72)</f>
        <v>2</v>
      </c>
      <c r="AK73" s="14" t="n">
        <f aca="false">(AK69+AK72)</f>
        <v>1</v>
      </c>
      <c r="AL73" s="14" t="n">
        <f aca="false">(AL69+AL72)</f>
        <v>0</v>
      </c>
      <c r="AN73" s="36" t="n">
        <f aca="false">SUM(C73:N73)</f>
        <v>0</v>
      </c>
      <c r="AO73" s="36" t="n">
        <f aca="false">SUM(O73:Z73)</f>
        <v>1</v>
      </c>
      <c r="AP73" s="36" t="n">
        <f aca="false">SUM(AA73:AL73)</f>
        <v>7</v>
      </c>
    </row>
    <row r="74" customFormat="false" ht="15" hidden="false" customHeight="false" outlineLevel="0" collapsed="false">
      <c r="A74" s="0" t="s">
        <v>880</v>
      </c>
      <c r="B74" s="0" t="s">
        <v>852</v>
      </c>
      <c r="C74" s="14" t="n">
        <f aca="false">C71</f>
        <v>0</v>
      </c>
      <c r="D74" s="14" t="n">
        <f aca="false">SUM(C71:D71)</f>
        <v>0</v>
      </c>
      <c r="E74" s="14" t="n">
        <f aca="false">SUM(C71:E71)</f>
        <v>0</v>
      </c>
      <c r="F74" s="14" t="n">
        <f aca="false">SUM(C71:F71)</f>
        <v>0</v>
      </c>
      <c r="G74" s="14" t="n">
        <f aca="false">SUM(C71:G71)</f>
        <v>0</v>
      </c>
      <c r="H74" s="14" t="n">
        <f aca="false">SUM(C71:H71)</f>
        <v>0</v>
      </c>
      <c r="I74" s="14" t="n">
        <f aca="false">SUM(D71:I71)</f>
        <v>0</v>
      </c>
      <c r="J74" s="14" t="n">
        <f aca="false">SUM(E71:J71)</f>
        <v>1</v>
      </c>
      <c r="K74" s="14" t="n">
        <f aca="false">SUM(F71:K71)</f>
        <v>1</v>
      </c>
      <c r="L74" s="14" t="n">
        <f aca="false">SUM(G71:L71)</f>
        <v>1</v>
      </c>
      <c r="M74" s="14" t="n">
        <f aca="false">SUM(H71:M71)</f>
        <v>1</v>
      </c>
      <c r="N74" s="14" t="n">
        <f aca="false">SUM(I71:N71)</f>
        <v>1</v>
      </c>
      <c r="O74" s="14" t="n">
        <f aca="false">SUM(J71:O71)</f>
        <v>1</v>
      </c>
      <c r="P74" s="14" t="n">
        <f aca="false">SUM(K71:P71)</f>
        <v>0</v>
      </c>
      <c r="Q74" s="14" t="n">
        <f aca="false">SUM(L71:Q71)</f>
        <v>0</v>
      </c>
      <c r="R74" s="14" t="n">
        <f aca="false">SUM(M71:R71)</f>
        <v>0</v>
      </c>
      <c r="S74" s="14" t="n">
        <f aca="false">SUM(N71:S71)</f>
        <v>0</v>
      </c>
      <c r="T74" s="14" t="n">
        <f aca="false">SUM(O71:T71)</f>
        <v>0</v>
      </c>
      <c r="U74" s="14" t="n">
        <f aca="false">SUM(P71:U71)</f>
        <v>0</v>
      </c>
      <c r="V74" s="14" t="n">
        <f aca="false">SUM(Q71:V71)</f>
        <v>0</v>
      </c>
      <c r="W74" s="14" t="n">
        <f aca="false">SUM(R71:W71)</f>
        <v>0</v>
      </c>
      <c r="X74" s="14" t="n">
        <f aca="false">SUM(S71:X71)</f>
        <v>1</v>
      </c>
      <c r="Y74" s="14" t="n">
        <f aca="false">SUM(T71:Y71)</f>
        <v>1</v>
      </c>
      <c r="Z74" s="14" t="n">
        <f aca="false">SUM(U71:Z71)</f>
        <v>1</v>
      </c>
      <c r="AA74" s="14" t="n">
        <f aca="false">SUM(V71:AA71)</f>
        <v>2</v>
      </c>
      <c r="AB74" s="14" t="n">
        <f aca="false">SUM(W71:AB71)</f>
        <v>2</v>
      </c>
      <c r="AC74" s="14" t="n">
        <f aca="false">SUM(X71:AC71)</f>
        <v>2</v>
      </c>
      <c r="AD74" s="14" t="n">
        <f aca="false">SUM(Y71:AD71)</f>
        <v>2</v>
      </c>
      <c r="AE74" s="14" t="n">
        <f aca="false">SUM(Z71:AE71)</f>
        <v>2</v>
      </c>
      <c r="AF74" s="14" t="n">
        <f aca="false">SUM(AA71:AF71)</f>
        <v>2</v>
      </c>
      <c r="AG74" s="14" t="n">
        <f aca="false">SUM(AB71:AG71)</f>
        <v>2</v>
      </c>
      <c r="AH74" s="14" t="n">
        <f aca="false">SUM(AC71:AH71)</f>
        <v>2</v>
      </c>
      <c r="AI74" s="14" t="n">
        <f aca="false">SUM(AD71:AI71)</f>
        <v>2</v>
      </c>
      <c r="AJ74" s="14" t="n">
        <f aca="false">SUM(AE71:AJ71)</f>
        <v>3</v>
      </c>
      <c r="AK74" s="14" t="n">
        <f aca="false">SUM(AF71:AK71)</f>
        <v>3</v>
      </c>
      <c r="AL74" s="14" t="n">
        <f aca="false">SUM(AG71:AL71)</f>
        <v>3</v>
      </c>
      <c r="AN74" s="36" t="n">
        <f aca="false">N74</f>
        <v>1</v>
      </c>
      <c r="AO74" s="36" t="n">
        <f aca="false">Z74</f>
        <v>1</v>
      </c>
      <c r="AP74" s="36" t="n">
        <f aca="false">AL74</f>
        <v>3</v>
      </c>
    </row>
    <row r="75" customFormat="false" ht="15" hidden="false" customHeight="false" outlineLevel="0" collapsed="false">
      <c r="A75" s="0" t="s">
        <v>881</v>
      </c>
      <c r="B75" s="0" t="s">
        <v>852</v>
      </c>
      <c r="C75" s="14" t="n">
        <f aca="false">C69</f>
        <v>0</v>
      </c>
      <c r="D75" s="14" t="n">
        <f aca="false">SUM(C69:D69)</f>
        <v>0</v>
      </c>
      <c r="E75" s="14" t="n">
        <f aca="false">SUM(C69:E69)</f>
        <v>0</v>
      </c>
      <c r="F75" s="14" t="n">
        <f aca="false">SUM(C69:F69)</f>
        <v>0</v>
      </c>
      <c r="G75" s="14" t="n">
        <f aca="false">SUM(C69:G69)</f>
        <v>0</v>
      </c>
      <c r="H75" s="14" t="n">
        <f aca="false">SUM(C69:H69)</f>
        <v>0</v>
      </c>
      <c r="I75" s="14" t="n">
        <f aca="false">SUM(D69:I69)</f>
        <v>0</v>
      </c>
      <c r="J75" s="14" t="n">
        <f aca="false">SUM(E69:J69)</f>
        <v>0</v>
      </c>
      <c r="K75" s="14" t="n">
        <f aca="false">SUM(F69:K69)</f>
        <v>0</v>
      </c>
      <c r="L75" s="14" t="n">
        <f aca="false">SUM(G69:L69)</f>
        <v>0</v>
      </c>
      <c r="M75" s="14" t="n">
        <f aca="false">SUM(H69:M69)</f>
        <v>0</v>
      </c>
      <c r="N75" s="14" t="n">
        <f aca="false">SUM(I69:N69)</f>
        <v>0</v>
      </c>
      <c r="O75" s="14" t="n">
        <f aca="false">SUM(J69:O69)</f>
        <v>0</v>
      </c>
      <c r="P75" s="14" t="n">
        <f aca="false">SUM(K69:P69)</f>
        <v>0</v>
      </c>
      <c r="Q75" s="14" t="n">
        <f aca="false">SUM(L69:Q69)</f>
        <v>0</v>
      </c>
      <c r="R75" s="14" t="n">
        <f aca="false">SUM(M69:R69)</f>
        <v>0</v>
      </c>
      <c r="S75" s="14" t="n">
        <f aca="false">SUM(N69:S69)</f>
        <v>0</v>
      </c>
      <c r="T75" s="14" t="n">
        <f aca="false">SUM(O69:T69)</f>
        <v>0</v>
      </c>
      <c r="U75" s="14" t="n">
        <f aca="false">SUM(P69:U69)</f>
        <v>0</v>
      </c>
      <c r="V75" s="14" t="n">
        <f aca="false">SUM(Q69:V69)</f>
        <v>0</v>
      </c>
      <c r="W75" s="14" t="n">
        <f aca="false">SUM(R69:W69)</f>
        <v>0</v>
      </c>
      <c r="X75" s="14" t="n">
        <f aca="false">SUM(S69:X69)</f>
        <v>1</v>
      </c>
      <c r="Y75" s="14" t="n">
        <f aca="false">SUM(T69:Y69)</f>
        <v>1</v>
      </c>
      <c r="Z75" s="14" t="n">
        <f aca="false">SUM(U69:Z69)</f>
        <v>1</v>
      </c>
      <c r="AA75" s="14" t="n">
        <f aca="false">SUM(V69:AA69)</f>
        <v>2</v>
      </c>
      <c r="AB75" s="14" t="n">
        <f aca="false">SUM(W69:AB69)</f>
        <v>2</v>
      </c>
      <c r="AC75" s="14" t="n">
        <f aca="false">SUM(X69:AC69)</f>
        <v>2</v>
      </c>
      <c r="AD75" s="14" t="n">
        <f aca="false">SUM(Y69:AD69)</f>
        <v>2</v>
      </c>
      <c r="AE75" s="14" t="n">
        <f aca="false">SUM(Z69:AE69)</f>
        <v>2</v>
      </c>
      <c r="AF75" s="14" t="n">
        <f aca="false">SUM(AA69:AF69)</f>
        <v>2</v>
      </c>
      <c r="AG75" s="14" t="n">
        <f aca="false">SUM(AB69:AG69)</f>
        <v>2</v>
      </c>
      <c r="AH75" s="14" t="n">
        <f aca="false">SUM(AC69:AH69)</f>
        <v>2</v>
      </c>
      <c r="AI75" s="14" t="n">
        <f aca="false">SUM(AD69:AI69)</f>
        <v>2</v>
      </c>
      <c r="AJ75" s="14" t="n">
        <f aca="false">SUM(AE69:AJ69)</f>
        <v>3</v>
      </c>
      <c r="AK75" s="14" t="n">
        <f aca="false">SUM(AF69:AK69)</f>
        <v>3</v>
      </c>
      <c r="AL75" s="14" t="n">
        <f aca="false">SUM(AG69:AL69)</f>
        <v>3</v>
      </c>
      <c r="AN75" s="36" t="n">
        <f aca="false">N75</f>
        <v>0</v>
      </c>
      <c r="AO75" s="36" t="n">
        <f aca="false">Z75</f>
        <v>1</v>
      </c>
      <c r="AP75" s="36" t="n">
        <f aca="false">AL75</f>
        <v>3</v>
      </c>
    </row>
    <row r="76" customFormat="false" ht="15" hidden="false" customHeight="false" outlineLevel="0" collapsed="false">
      <c r="A76" s="0" t="s">
        <v>882</v>
      </c>
      <c r="B76" s="0" t="s">
        <v>852</v>
      </c>
      <c r="C76" s="14" t="n">
        <f aca="false">((Assumptions!$D$127*$C$8)*0)</f>
        <v>0</v>
      </c>
      <c r="D76" s="14" t="n">
        <f aca="false">((Assumptions!$D$127*$C$8)*0)</f>
        <v>0</v>
      </c>
      <c r="E76" s="14" t="n">
        <f aca="false">((Assumptions!$D$127*$C$8)*0)</f>
        <v>0</v>
      </c>
      <c r="F76" s="14" t="n">
        <f aca="false">((Assumptions!$D$127*$C$8)*0)</f>
        <v>0</v>
      </c>
      <c r="G76" s="14" t="n">
        <f aca="false">((Assumptions!$D$127*$C$8)*0)</f>
        <v>0</v>
      </c>
      <c r="H76" s="14" t="n">
        <f aca="false">((Assumptions!$D$127*$C$8)*0)</f>
        <v>0</v>
      </c>
      <c r="I76" s="14" t="n">
        <f aca="false">((Assumptions!$D$127*$C$8)*0)</f>
        <v>0</v>
      </c>
      <c r="J76" s="14" t="n">
        <f aca="false">((Assumptions!$D$127*$C$8)*C69)</f>
        <v>0</v>
      </c>
      <c r="K76" s="14" t="n">
        <f aca="false">((Assumptions!$D$127*$C$8)*D69)</f>
        <v>0</v>
      </c>
      <c r="L76" s="14" t="n">
        <f aca="false">((Assumptions!$D$127*$C$8)*E69)</f>
        <v>0</v>
      </c>
      <c r="M76" s="14" t="n">
        <f aca="false">((Assumptions!$D$127*$C$8)*F69)</f>
        <v>0</v>
      </c>
      <c r="N76" s="14" t="n">
        <f aca="false">((Assumptions!$D$127*$C$8)*G69)</f>
        <v>0</v>
      </c>
      <c r="O76" s="14" t="n">
        <f aca="false">((Assumptions!$D$127*$C$8)*H69)</f>
        <v>0</v>
      </c>
      <c r="P76" s="14" t="n">
        <f aca="false">((Assumptions!$D$127*$C$8)*I69)</f>
        <v>0</v>
      </c>
      <c r="Q76" s="14" t="n">
        <f aca="false">((Assumptions!$D$127*$C$8)*J69)</f>
        <v>0</v>
      </c>
      <c r="R76" s="14" t="n">
        <f aca="false">((Assumptions!$D$127*$C$8)*K69)</f>
        <v>0</v>
      </c>
      <c r="S76" s="14" t="n">
        <f aca="false">((Assumptions!$D$127*$C$8)*L69)</f>
        <v>0</v>
      </c>
      <c r="T76" s="14" t="n">
        <f aca="false">((Assumptions!$D$127*$C$8)*M69)</f>
        <v>0</v>
      </c>
      <c r="U76" s="14" t="n">
        <f aca="false">((Assumptions!$D$127*$C$8)*N69)</f>
        <v>0</v>
      </c>
      <c r="V76" s="14" t="n">
        <f aca="false">((Assumptions!$D$127*$C$8)*O69)</f>
        <v>0</v>
      </c>
      <c r="W76" s="14" t="n">
        <f aca="false">((Assumptions!$D$127*$C$8)*P69)</f>
        <v>0</v>
      </c>
      <c r="X76" s="14" t="n">
        <f aca="false">((Assumptions!$D$127*$C$8)*Q69)</f>
        <v>0</v>
      </c>
      <c r="Y76" s="14" t="n">
        <f aca="false">((Assumptions!$D$127*$C$8)*R69)</f>
        <v>0</v>
      </c>
      <c r="Z76" s="14" t="n">
        <f aca="false">((Assumptions!$D$127*$C$8)*S69)</f>
        <v>0</v>
      </c>
      <c r="AA76" s="14" t="n">
        <f aca="false">((Assumptions!$D$127*$C$8)*T69)</f>
        <v>0</v>
      </c>
      <c r="AB76" s="14" t="n">
        <f aca="false">((Assumptions!$D$127*$C$8)*U69)</f>
        <v>0</v>
      </c>
      <c r="AC76" s="14" t="n">
        <f aca="false">((Assumptions!$D$127*$C$8)*V69)</f>
        <v>0</v>
      </c>
      <c r="AD76" s="14" t="n">
        <f aca="false">((Assumptions!$D$127*$C$8)*W69)</f>
        <v>0</v>
      </c>
      <c r="AE76" s="14" t="n">
        <f aca="false">((Assumptions!$D$127*$C$8)*X69)</f>
        <v>0.405</v>
      </c>
      <c r="AF76" s="14" t="n">
        <f aca="false">((Assumptions!$D$127*$C$8)*Y69)</f>
        <v>0</v>
      </c>
      <c r="AG76" s="14" t="n">
        <f aca="false">((Assumptions!$D$127*$C$8)*Z69)</f>
        <v>0</v>
      </c>
      <c r="AH76" s="14" t="n">
        <f aca="false">((Assumptions!$D$127*$C$8)*AA69)</f>
        <v>0.405</v>
      </c>
      <c r="AI76" s="14" t="n">
        <f aca="false">((Assumptions!$D$127*$C$8)*AB69)</f>
        <v>0</v>
      </c>
      <c r="AJ76" s="14" t="n">
        <f aca="false">((Assumptions!$D$127*$C$8)*AC69)</f>
        <v>0</v>
      </c>
      <c r="AK76" s="14" t="n">
        <f aca="false">((Assumptions!$D$127*$C$8)*AD69)</f>
        <v>0.405</v>
      </c>
      <c r="AL76" s="14" t="n">
        <f aca="false">((Assumptions!$D$127*$C$8)*AE69)</f>
        <v>0</v>
      </c>
      <c r="AN76" s="36" t="n">
        <f aca="false">SUM(C76:N76)</f>
        <v>0</v>
      </c>
      <c r="AO76" s="36" t="n">
        <f aca="false">SUM(O76:Z76)</f>
        <v>0</v>
      </c>
      <c r="AP76" s="36" t="n">
        <f aca="false">SUM(AA76:AL76)</f>
        <v>1.215</v>
      </c>
    </row>
    <row r="77" customFormat="false" ht="15" hidden="false" customHeight="false" outlineLevel="0" collapsed="false">
      <c r="A77" s="0" t="s">
        <v>883</v>
      </c>
      <c r="B77" s="0" t="s">
        <v>852</v>
      </c>
      <c r="C77" s="14" t="n">
        <f aca="false">((Assumptions!$C$10*$C$8)*IF((C$18=(Assumptions!$C$7+$C$9)),0,IF((C$18&gt;(Assumptions!$C$7+$C$9)),0,0)))</f>
        <v>0</v>
      </c>
      <c r="D77" s="14" t="n">
        <f aca="false">((Assumptions!$C$10*$C$8)*IF((D$18=(Assumptions!$C$7+$C$9)),0,IF((D$18&gt;(Assumptions!$C$7+$C$9)),0,0)))</f>
        <v>0</v>
      </c>
      <c r="E77" s="14" t="n">
        <f aca="false">((Assumptions!$C$10*$C$8)*IF((E$18=(Assumptions!$C$7+$C$9)),0,IF((E$18&gt;(Assumptions!$C$7+$C$9)),0,0)))</f>
        <v>0</v>
      </c>
      <c r="F77" s="14" t="n">
        <f aca="false">((Assumptions!$C$10*$C$8)*IF((F$18=(Assumptions!$C$7+$C$9)),0,IF((F$18&gt;(Assumptions!$C$7+$C$9)),0,0)))</f>
        <v>0</v>
      </c>
      <c r="G77" s="14" t="n">
        <f aca="false">((Assumptions!$C$10*$C$8)*IF((G$18=(Assumptions!$C$7+$C$9)),0,IF((G$18&gt;(Assumptions!$C$7+$C$9)),0,0)))</f>
        <v>0</v>
      </c>
      <c r="H77" s="14" t="n">
        <f aca="false">((Assumptions!$C$10*$C$8)*IF((H$18=(Assumptions!$C$7+$C$9)),0,IF((H$18&gt;(Assumptions!$C$7+$C$9)),0,0)))</f>
        <v>0</v>
      </c>
      <c r="I77" s="14" t="n">
        <f aca="false">((Assumptions!$C$10*$C$8)*IF((I$18=(Assumptions!$C$7+$C$9)),0,IF((I$18&gt;(Assumptions!$C$7+$C$9)),0,0)))</f>
        <v>0</v>
      </c>
      <c r="J77" s="14" t="n">
        <f aca="false">((Assumptions!$C$10*$C$8)*IF((J$18=(Assumptions!$C$7+$C$9)),C70,IF((J$18&gt;(Assumptions!$C$7+$C$9)),C70,0)))</f>
        <v>0</v>
      </c>
      <c r="K77" s="14" t="n">
        <f aca="false">((Assumptions!$C$10*$C$8)*IF((K$18=(Assumptions!$C$7+$C$9)),SUM(C70:D70),IF((K$18&gt;(Assumptions!$C$7+$C$9)),D70,0)))</f>
        <v>0</v>
      </c>
      <c r="L77" s="14" t="n">
        <f aca="false">((Assumptions!$C$10*$C$8)*IF((L$18=(Assumptions!$C$7+$C$9)),SUM(C70:E70),IF((L$18&gt;(Assumptions!$C$7+$C$9)),E70,0)))</f>
        <v>0</v>
      </c>
      <c r="M77" s="14" t="n">
        <f aca="false">((Assumptions!$C$10*$C$8)*IF((M$18=(Assumptions!$C$7+$C$9)),SUM(C70:F70),IF((M$18&gt;(Assumptions!$C$7+$C$9)),F70,0)))</f>
        <v>0</v>
      </c>
      <c r="N77" s="14" t="n">
        <f aca="false">((Assumptions!$C$10*$C$8)*IF((N$18=(Assumptions!$C$7+$C$9)),SUM(C70:G70),IF((N$18&gt;(Assumptions!$C$7+$C$9)),G70,0)))</f>
        <v>0</v>
      </c>
      <c r="O77" s="14" t="n">
        <f aca="false">((Assumptions!$C$10*$C$8)*IF((O$18=(Assumptions!$C$7+$C$9)),SUM(C70:H70),IF((O$18&gt;(Assumptions!$C$7+$C$9)),H70,0)))</f>
        <v>0</v>
      </c>
      <c r="P77" s="14" t="n">
        <f aca="false">((Assumptions!$C$10*$C$8)*IF((P$18=(Assumptions!$C$7+$C$9)),SUM(C70:I70),IF((P$18&gt;(Assumptions!$C$7+$C$9)),I70,0)))</f>
        <v>0</v>
      </c>
      <c r="Q77" s="14" t="n">
        <f aca="false">((Assumptions!$C$10*$C$8)*IF((Q$18=(Assumptions!$C$7+$C$9)),SUM(C70:J70),IF((Q$18&gt;(Assumptions!$C$7+$C$9)),J70,0)))</f>
        <v>0</v>
      </c>
      <c r="R77" s="14" t="n">
        <f aca="false">((Assumptions!$C$10*$C$8)*IF((R$18=(Assumptions!$C$7+$C$9)),SUM(C70:K70),IF((R$18&gt;(Assumptions!$C$7+$C$9)),K70,0)))</f>
        <v>0</v>
      </c>
      <c r="S77" s="14" t="n">
        <f aca="false">((Assumptions!$C$10*$C$8)*IF((S$18=(Assumptions!$C$7+$C$9)),SUM(C70:L70),IF((S$18&gt;(Assumptions!$C$7+$C$9)),L70,0)))</f>
        <v>0</v>
      </c>
      <c r="T77" s="14" t="n">
        <f aca="false">((Assumptions!$C$10*$C$8)*IF((T$18=(Assumptions!$C$7+$C$9)),SUM(C70:M70),IF((T$18&gt;(Assumptions!$C$7+$C$9)),M70,0)))</f>
        <v>0.54</v>
      </c>
      <c r="U77" s="14" t="n">
        <f aca="false">((Assumptions!$C$10*$C$8)*IF((U$18=(Assumptions!$C$7+$C$9)),SUM(C70:N70),IF((U$18&gt;(Assumptions!$C$7+$C$9)),N70,0)))</f>
        <v>0</v>
      </c>
      <c r="V77" s="14" t="n">
        <f aca="false">((Assumptions!$C$10*$C$8)*IF((V$18=(Assumptions!$C$7+$C$9)),SUM(C70:O70),IF((V$18&gt;(Assumptions!$C$7+$C$9)),O70,0)))</f>
        <v>0</v>
      </c>
      <c r="W77" s="14" t="n">
        <f aca="false">((Assumptions!$C$10*$C$8)*IF((W$18=(Assumptions!$C$7+$C$9)),SUM(C70:P70),IF((W$18&gt;(Assumptions!$C$7+$C$9)),P70,0)))</f>
        <v>0</v>
      </c>
      <c r="X77" s="14" t="n">
        <f aca="false">((Assumptions!$C$10*$C$8)*IF((X$18=(Assumptions!$C$7+$C$9)),SUM(C70:Q70),IF((X$18&gt;(Assumptions!$C$7+$C$9)),Q70,0)))</f>
        <v>0</v>
      </c>
      <c r="Y77" s="14" t="n">
        <f aca="false">((Assumptions!$C$10*$C$8)*IF((Y$18=(Assumptions!$C$7+$C$9)),SUM(C70:R70),IF((Y$18&gt;(Assumptions!$C$7+$C$9)),R70,0)))</f>
        <v>0</v>
      </c>
      <c r="Z77" s="14" t="n">
        <f aca="false">((Assumptions!$C$10*$C$8)*IF((Z$18=(Assumptions!$C$7+$C$9)),SUM(C70:S70),IF((Z$18&gt;(Assumptions!$C$7+$C$9)),S70,0)))</f>
        <v>0</v>
      </c>
      <c r="AA77" s="14" t="n">
        <f aca="false">((Assumptions!$C$10*$C$8)*IF((AA$18=(Assumptions!$C$7+$C$9)),SUM(C70:T70),IF((AA$18&gt;(Assumptions!$C$7+$C$9)),T70,0)))</f>
        <v>0</v>
      </c>
      <c r="AB77" s="14" t="n">
        <f aca="false">((Assumptions!$C$10*$C$8)*IF((AB$18=(Assumptions!$C$7+$C$9)),SUM(C70:U70),IF((AB$18&gt;(Assumptions!$C$7+$C$9)),U70,0)))</f>
        <v>0</v>
      </c>
      <c r="AC77" s="14" t="n">
        <f aca="false">((Assumptions!$C$10*$C$8)*IF((AC$18=(Assumptions!$C$7+$C$9)),SUM(C70:V70),IF((AC$18&gt;(Assumptions!$C$7+$C$9)),V70,0)))</f>
        <v>0</v>
      </c>
      <c r="AD77" s="14" t="n">
        <f aca="false">((Assumptions!$C$10*$C$8)*IF((AD$18=(Assumptions!$C$7+$C$9)),SUM(C70:W70),IF((AD$18&gt;(Assumptions!$C$7+$C$9)),W70,0)))</f>
        <v>0</v>
      </c>
      <c r="AE77" s="14" t="n">
        <f aca="false">((Assumptions!$C$10*$C$8)*IF((AE$18=(Assumptions!$C$7+$C$9)),SUM(C70:X70),IF((AE$18&gt;(Assumptions!$C$7+$C$9)),X70,0)))</f>
        <v>0</v>
      </c>
      <c r="AF77" s="14" t="n">
        <f aca="false">((Assumptions!$C$10*$C$8)*IF((AF$18=(Assumptions!$C$7+$C$9)),SUM(C70:Y70),IF((AF$18&gt;(Assumptions!$C$7+$C$9)),Y70,0)))</f>
        <v>0</v>
      </c>
      <c r="AG77" s="14" t="n">
        <f aca="false">((Assumptions!$C$10*$C$8)*IF((AG$18=(Assumptions!$C$7+$C$9)),SUM(C70:Z70),IF((AG$18&gt;(Assumptions!$C$7+$C$9)),Z70,0)))</f>
        <v>0</v>
      </c>
      <c r="AH77" s="14" t="n">
        <f aca="false">((Assumptions!$C$10*$C$8)*IF((AH$18=(Assumptions!$C$7+$C$9)),SUM(C70:AA70),IF((AH$18&gt;(Assumptions!$C$7+$C$9)),AA70,0)))</f>
        <v>0</v>
      </c>
      <c r="AI77" s="14" t="n">
        <f aca="false">((Assumptions!$C$10*$C$8)*IF((AI$18=(Assumptions!$C$7+$C$9)),SUM(C70:AB70),IF((AI$18&gt;(Assumptions!$C$7+$C$9)),AB70,0)))</f>
        <v>0</v>
      </c>
      <c r="AJ77" s="14" t="n">
        <f aca="false">((Assumptions!$C$10*$C$8)*IF((AJ$18=(Assumptions!$C$7+$C$9)),SUM(C70:AC70),IF((AJ$18&gt;(Assumptions!$C$7+$C$9)),AC70,0)))</f>
        <v>0</v>
      </c>
      <c r="AK77" s="14" t="n">
        <f aca="false">((Assumptions!$C$10*$C$8)*IF((AK$18=(Assumptions!$C$7+$C$9)),SUM(C70:AD70),IF((AK$18&gt;(Assumptions!$C$7+$C$9)),AD70,0)))</f>
        <v>0</v>
      </c>
      <c r="AL77" s="14" t="n">
        <f aca="false">((Assumptions!$C$10*$C$8)*IF((AL$18=(Assumptions!$C$7+$C$9)),SUM(C70:AE70),IF((AL$18&gt;(Assumptions!$C$7+$C$9)),AE70,0)))</f>
        <v>0</v>
      </c>
      <c r="AN77" s="36" t="n">
        <f aca="false">SUM(C77:N77)</f>
        <v>0</v>
      </c>
      <c r="AO77" s="36" t="n">
        <f aca="false">SUM(O77:Z77)</f>
        <v>0.54</v>
      </c>
      <c r="AP77" s="36" t="n">
        <f aca="false">SUM(AA77:AL77)</f>
        <v>0</v>
      </c>
    </row>
    <row r="78" customFormat="false" ht="15" hidden="false" customHeight="false" outlineLevel="0" collapsed="false">
      <c r="A78" s="0" t="s">
        <v>884</v>
      </c>
      <c r="B78" s="0" t="s">
        <v>852</v>
      </c>
      <c r="C78" s="14" t="n">
        <f aca="false">((C76+C77)+C72)</f>
        <v>0</v>
      </c>
      <c r="D78" s="14" t="n">
        <f aca="false">((D76+D77)+D72)</f>
        <v>0</v>
      </c>
      <c r="E78" s="14" t="n">
        <f aca="false">((E76+E77)+E72)</f>
        <v>0</v>
      </c>
      <c r="F78" s="14" t="n">
        <f aca="false">((F76+F77)+F72)</f>
        <v>0</v>
      </c>
      <c r="G78" s="14" t="n">
        <f aca="false">((G76+G77)+G72)</f>
        <v>0</v>
      </c>
      <c r="H78" s="14" t="n">
        <f aca="false">((H76+H77)+H72)</f>
        <v>0</v>
      </c>
      <c r="I78" s="14" t="n">
        <f aca="false">((I76+I77)+I72)</f>
        <v>0</v>
      </c>
      <c r="J78" s="14" t="n">
        <f aca="false">((J76+J77)+J72)</f>
        <v>0</v>
      </c>
      <c r="K78" s="14" t="n">
        <f aca="false">((K76+K77)+K72)</f>
        <v>0</v>
      </c>
      <c r="L78" s="14" t="n">
        <f aca="false">((L76+L77)+L72)</f>
        <v>0</v>
      </c>
      <c r="M78" s="14" t="n">
        <f aca="false">((M76+M77)+M72)</f>
        <v>0</v>
      </c>
      <c r="N78" s="14" t="n">
        <f aca="false">((N76+N77)+N72)</f>
        <v>0</v>
      </c>
      <c r="O78" s="14" t="n">
        <f aca="false">((O76+O77)+O72)</f>
        <v>0</v>
      </c>
      <c r="P78" s="14" t="n">
        <f aca="false">((P76+P77)+P72)</f>
        <v>0</v>
      </c>
      <c r="Q78" s="14" t="n">
        <f aca="false">((Q76+Q77)+Q72)</f>
        <v>0</v>
      </c>
      <c r="R78" s="14" t="n">
        <f aca="false">((R76+R77)+R72)</f>
        <v>0</v>
      </c>
      <c r="S78" s="14" t="n">
        <f aca="false">((S76+S77)+S72)</f>
        <v>0</v>
      </c>
      <c r="T78" s="14" t="n">
        <f aca="false">((T76+T77)+T72)</f>
        <v>0.54</v>
      </c>
      <c r="U78" s="14" t="n">
        <f aca="false">((U76+U77)+U72)</f>
        <v>0</v>
      </c>
      <c r="V78" s="14" t="n">
        <f aca="false">((V76+V77)+V72)</f>
        <v>0</v>
      </c>
      <c r="W78" s="14" t="n">
        <f aca="false">((W76+W77)+W72)</f>
        <v>0</v>
      </c>
      <c r="X78" s="14" t="n">
        <f aca="false">((X76+X77)+X72)</f>
        <v>0</v>
      </c>
      <c r="Y78" s="14" t="n">
        <f aca="false">((Y76+Y77)+Y72)</f>
        <v>0</v>
      </c>
      <c r="Z78" s="14" t="n">
        <f aca="false">((Z76+Z77)+Z72)</f>
        <v>0</v>
      </c>
      <c r="AA78" s="14" t="n">
        <f aca="false">((AA76+AA77)+AA72)</f>
        <v>0</v>
      </c>
      <c r="AB78" s="14" t="n">
        <f aca="false">((AB76+AB77)+AB72)</f>
        <v>0</v>
      </c>
      <c r="AC78" s="14" t="n">
        <f aca="false">((AC76+AC77)+AC72)</f>
        <v>0</v>
      </c>
      <c r="AD78" s="14" t="n">
        <f aca="false">((AD76+AD77)+AD72)</f>
        <v>0</v>
      </c>
      <c r="AE78" s="14" t="n">
        <f aca="false">((AE76+AE77)+AE72)</f>
        <v>0.405</v>
      </c>
      <c r="AF78" s="14" t="n">
        <f aca="false">((AF76+AF77)+AF72)</f>
        <v>0</v>
      </c>
      <c r="AG78" s="14" t="n">
        <f aca="false">((AG76+AG77)+AG72)</f>
        <v>0</v>
      </c>
      <c r="AH78" s="14" t="n">
        <f aca="false">((AH76+AH77)+AH72)</f>
        <v>1.405</v>
      </c>
      <c r="AI78" s="14" t="n">
        <f aca="false">((AI76+AI77)+AI72)</f>
        <v>0</v>
      </c>
      <c r="AJ78" s="14" t="n">
        <f aca="false">((AJ76+AJ77)+AJ72)</f>
        <v>0</v>
      </c>
      <c r="AK78" s="14" t="n">
        <f aca="false">((AK76+AK77)+AK72)</f>
        <v>1.405</v>
      </c>
      <c r="AL78" s="14" t="n">
        <f aca="false">((AL76+AL77)+AL72)</f>
        <v>0</v>
      </c>
      <c r="AN78" s="36" t="n">
        <f aca="false">SUM(C78:N78)</f>
        <v>0</v>
      </c>
      <c r="AO78" s="36" t="n">
        <f aca="false">SUM(O78:Z78)</f>
        <v>0.54</v>
      </c>
      <c r="AP78" s="36" t="n">
        <f aca="false">SUM(AA78:AL78)</f>
        <v>3.215</v>
      </c>
    </row>
    <row r="79" customFormat="false" ht="15" hidden="false" customHeight="false" outlineLevel="0" collapsed="false">
      <c r="A79" s="0" t="s">
        <v>885</v>
      </c>
      <c r="B79" s="0" t="s">
        <v>852</v>
      </c>
      <c r="C79" s="14" t="n">
        <f aca="false">(C78+(C45*0))</f>
        <v>0</v>
      </c>
      <c r="D79" s="14" t="n">
        <f aca="false">(D78+(D45*0))</f>
        <v>0</v>
      </c>
      <c r="E79" s="14" t="n">
        <f aca="false">(E78+(E45*0))</f>
        <v>0</v>
      </c>
      <c r="F79" s="14" t="n">
        <f aca="false">(F78+(F45*0))</f>
        <v>0</v>
      </c>
      <c r="G79" s="14" t="n">
        <f aca="false">(G78+(G45*0))</f>
        <v>0</v>
      </c>
      <c r="H79" s="14" t="n">
        <f aca="false">(H78+(H45*0))</f>
        <v>0</v>
      </c>
      <c r="I79" s="14" t="n">
        <f aca="false">(I78+(I45*0))</f>
        <v>0</v>
      </c>
      <c r="J79" s="14" t="n">
        <f aca="false">(J78+(J45*0))</f>
        <v>0</v>
      </c>
      <c r="K79" s="14" t="n">
        <f aca="false">(K78+(K45*0))</f>
        <v>0</v>
      </c>
      <c r="L79" s="14" t="n">
        <f aca="false">(L78+(L45*0))</f>
        <v>0</v>
      </c>
      <c r="M79" s="14" t="n">
        <f aca="false">(M78+(M45*0))</f>
        <v>0</v>
      </c>
      <c r="N79" s="14" t="n">
        <f aca="false">(N78+(N45*0))</f>
        <v>0</v>
      </c>
      <c r="O79" s="14" t="n">
        <f aca="false">(O78+(O45*C79))</f>
        <v>0</v>
      </c>
      <c r="P79" s="14" t="n">
        <f aca="false">(P78+(P45*D79))</f>
        <v>0</v>
      </c>
      <c r="Q79" s="14" t="n">
        <f aca="false">(Q78+(Q45*E79))</f>
        <v>0</v>
      </c>
      <c r="R79" s="14" t="n">
        <f aca="false">(R78+(R45*F79))</f>
        <v>0</v>
      </c>
      <c r="S79" s="14" t="n">
        <f aca="false">(S78+(S45*G79))</f>
        <v>0</v>
      </c>
      <c r="T79" s="14" t="n">
        <f aca="false">(T78+(T45*H79))</f>
        <v>0.54</v>
      </c>
      <c r="U79" s="14" t="n">
        <f aca="false">(U78+(U45*I79))</f>
        <v>0</v>
      </c>
      <c r="V79" s="14" t="n">
        <f aca="false">(V78+(V45*J79))</f>
        <v>0</v>
      </c>
      <c r="W79" s="14" t="n">
        <f aca="false">(W78+(W45*K79))</f>
        <v>0</v>
      </c>
      <c r="X79" s="14" t="n">
        <f aca="false">(X78+(X45*L79))</f>
        <v>0</v>
      </c>
      <c r="Y79" s="14" t="n">
        <f aca="false">(Y78+(Y45*M79))</f>
        <v>0</v>
      </c>
      <c r="Z79" s="14" t="n">
        <f aca="false">(Z78+(Z45*N79))</f>
        <v>0</v>
      </c>
      <c r="AA79" s="14" t="n">
        <f aca="false">(AA78+(AA45*O79))</f>
        <v>0</v>
      </c>
      <c r="AB79" s="14" t="n">
        <f aca="false">(AB78+(AB45*P79))</f>
        <v>0</v>
      </c>
      <c r="AC79" s="14" t="n">
        <f aca="false">(AC78+(AC45*Q79))</f>
        <v>0</v>
      </c>
      <c r="AD79" s="14" t="n">
        <f aca="false">(AD78+(AD45*R79))</f>
        <v>0</v>
      </c>
      <c r="AE79" s="14" t="n">
        <f aca="false">(AE78+(AE45*S79))</f>
        <v>0.405</v>
      </c>
      <c r="AF79" s="14" t="n">
        <f aca="false">(AF78+(AF45*T79))</f>
        <v>0.4752</v>
      </c>
      <c r="AG79" s="14" t="n">
        <f aca="false">(AG78+(AG45*U79))</f>
        <v>0</v>
      </c>
      <c r="AH79" s="14" t="n">
        <f aca="false">(AH78+(AH45*V79))</f>
        <v>1.405</v>
      </c>
      <c r="AI79" s="14" t="n">
        <f aca="false">(AI78+(AI45*W79))</f>
        <v>0</v>
      </c>
      <c r="AJ79" s="14" t="n">
        <f aca="false">(AJ78+(AJ45*X79))</f>
        <v>0</v>
      </c>
      <c r="AK79" s="14" t="n">
        <f aca="false">(AK78+(AK45*Y79))</f>
        <v>1.405</v>
      </c>
      <c r="AL79" s="14" t="n">
        <f aca="false">(AL78+(AL45*Z79))</f>
        <v>0</v>
      </c>
      <c r="AN79" s="36" t="n">
        <f aca="false">SUM(C79:N79)</f>
        <v>0</v>
      </c>
      <c r="AO79" s="36" t="n">
        <f aca="false">SUM(O79:Z79)</f>
        <v>0.54</v>
      </c>
      <c r="AP79" s="36" t="n">
        <f aca="false">SUM(AA79:AL79)</f>
        <v>3.6902</v>
      </c>
    </row>
    <row r="80" customFormat="false" ht="15" hidden="false" customHeight="false" outlineLevel="0" collapsed="false">
      <c r="A80" s="0" t="s">
        <v>886</v>
      </c>
      <c r="B80" s="0" t="s">
        <v>852</v>
      </c>
      <c r="C80" s="14" t="n">
        <f aca="false">C79</f>
        <v>0</v>
      </c>
      <c r="D80" s="14" t="n">
        <f aca="false">SUM(C79:D79)</f>
        <v>0</v>
      </c>
      <c r="E80" s="14" t="n">
        <f aca="false">SUM(C79:E79)</f>
        <v>0</v>
      </c>
      <c r="F80" s="14" t="n">
        <f aca="false">SUM(C79:F79)</f>
        <v>0</v>
      </c>
      <c r="G80" s="14" t="n">
        <f aca="false">SUM(C79:G79)</f>
        <v>0</v>
      </c>
      <c r="H80" s="14" t="n">
        <f aca="false">SUM(C79:H79)</f>
        <v>0</v>
      </c>
      <c r="I80" s="14" t="n">
        <f aca="false">SUM(C79:I79)</f>
        <v>0</v>
      </c>
      <c r="J80" s="14" t="n">
        <f aca="false">SUM(C79:J79)</f>
        <v>0</v>
      </c>
      <c r="K80" s="14" t="n">
        <f aca="false">SUM(C79:K79)</f>
        <v>0</v>
      </c>
      <c r="L80" s="14" t="n">
        <f aca="false">SUM(C79:L79)</f>
        <v>0</v>
      </c>
      <c r="M80" s="14" t="n">
        <f aca="false">SUM(C79:M79)</f>
        <v>0</v>
      </c>
      <c r="N80" s="14" t="n">
        <f aca="false">SUM(C79:N79)</f>
        <v>0</v>
      </c>
      <c r="O80" s="14" t="n">
        <f aca="false">SUM(D79:O79)</f>
        <v>0</v>
      </c>
      <c r="P80" s="14" t="n">
        <f aca="false">SUM(E79:P79)</f>
        <v>0</v>
      </c>
      <c r="Q80" s="14" t="n">
        <f aca="false">SUM(F79:Q79)</f>
        <v>0</v>
      </c>
      <c r="R80" s="14" t="n">
        <f aca="false">SUM(G79:R79)</f>
        <v>0</v>
      </c>
      <c r="S80" s="14" t="n">
        <f aca="false">SUM(H79:S79)</f>
        <v>0</v>
      </c>
      <c r="T80" s="14" t="n">
        <f aca="false">SUM(I79:T79)</f>
        <v>0.54</v>
      </c>
      <c r="U80" s="14" t="n">
        <f aca="false">SUM(J79:U79)</f>
        <v>0.54</v>
      </c>
      <c r="V80" s="14" t="n">
        <f aca="false">SUM(K79:V79)</f>
        <v>0.54</v>
      </c>
      <c r="W80" s="14" t="n">
        <f aca="false">SUM(L79:W79)</f>
        <v>0.54</v>
      </c>
      <c r="X80" s="14" t="n">
        <f aca="false">SUM(M79:X79)</f>
        <v>0.54</v>
      </c>
      <c r="Y80" s="14" t="n">
        <f aca="false">SUM(N79:Y79)</f>
        <v>0.54</v>
      </c>
      <c r="Z80" s="14" t="n">
        <f aca="false">SUM(O79:Z79)</f>
        <v>0.54</v>
      </c>
      <c r="AA80" s="14" t="n">
        <f aca="false">SUM(P79:AA79)</f>
        <v>0.54</v>
      </c>
      <c r="AB80" s="14" t="n">
        <f aca="false">SUM(Q79:AB79)</f>
        <v>0.54</v>
      </c>
      <c r="AC80" s="14" t="n">
        <f aca="false">SUM(R79:AC79)</f>
        <v>0.54</v>
      </c>
      <c r="AD80" s="14" t="n">
        <f aca="false">SUM(S79:AD79)</f>
        <v>0.54</v>
      </c>
      <c r="AE80" s="14" t="n">
        <f aca="false">SUM(T79:AE79)</f>
        <v>0.945</v>
      </c>
      <c r="AF80" s="14" t="n">
        <f aca="false">SUM(U79:AF79)</f>
        <v>0.8802</v>
      </c>
      <c r="AG80" s="14" t="n">
        <f aca="false">SUM(V79:AG79)</f>
        <v>0.8802</v>
      </c>
      <c r="AH80" s="14" t="n">
        <f aca="false">SUM(W79:AH79)</f>
        <v>2.2852</v>
      </c>
      <c r="AI80" s="14" t="n">
        <f aca="false">SUM(X79:AI79)</f>
        <v>2.2852</v>
      </c>
      <c r="AJ80" s="14" t="n">
        <f aca="false">SUM(Y79:AJ79)</f>
        <v>2.2852</v>
      </c>
      <c r="AK80" s="14" t="n">
        <f aca="false">SUM(Z79:AK79)</f>
        <v>3.6902</v>
      </c>
      <c r="AL80" s="14" t="n">
        <f aca="false">SUM(AA79:AL79)</f>
        <v>3.6902</v>
      </c>
      <c r="AN80" s="36" t="n">
        <f aca="false">N80</f>
        <v>0</v>
      </c>
      <c r="AO80" s="36" t="n">
        <f aca="false">Z80</f>
        <v>0.54</v>
      </c>
      <c r="AP80" s="36" t="n">
        <f aca="false">AL80</f>
        <v>3.6902</v>
      </c>
    </row>
    <row r="81" customFormat="false" ht="15" hidden="false" customHeight="false" outlineLevel="0" collapsed="false">
      <c r="A81" s="0" t="s">
        <v>887</v>
      </c>
      <c r="B81" s="0" t="s">
        <v>230</v>
      </c>
      <c r="C81" s="9" t="n">
        <f aca="false">((Assumptions!$D$121*(1-Assumptions!$C$29))*$C$10)</f>
        <v>74800</v>
      </c>
      <c r="D81" s="9" t="n">
        <f aca="false">((Assumptions!$D$121*(1-Assumptions!$C$29))*$C$10)</f>
        <v>74800</v>
      </c>
      <c r="E81" s="9" t="n">
        <f aca="false">((Assumptions!$D$121*(1-Assumptions!$C$29))*$C$10)</f>
        <v>74800</v>
      </c>
      <c r="F81" s="9" t="n">
        <f aca="false">((Assumptions!$D$121*(1-Assumptions!$C$29))*$C$10)</f>
        <v>74800</v>
      </c>
      <c r="G81" s="9" t="n">
        <f aca="false">((Assumptions!$D$121*(1-Assumptions!$C$29))*$C$10)</f>
        <v>74800</v>
      </c>
      <c r="H81" s="9" t="n">
        <f aca="false">((Assumptions!$D$121*(1-Assumptions!$C$29))*$C$10)</f>
        <v>74800</v>
      </c>
      <c r="I81" s="9" t="n">
        <f aca="false">((Assumptions!$D$121*(1-Assumptions!$C$29))*$C$10)</f>
        <v>74800</v>
      </c>
      <c r="J81" s="9" t="n">
        <f aca="false">((Assumptions!$D$121*(1-Assumptions!$C$29))*$C$10)</f>
        <v>74800</v>
      </c>
      <c r="K81" s="9" t="n">
        <f aca="false">((Assumptions!$D$121*(1-Assumptions!$C$29))*$C$10)</f>
        <v>74800</v>
      </c>
      <c r="L81" s="9" t="n">
        <f aca="false">((Assumptions!$D$121*(1-Assumptions!$C$29))*$C$10)</f>
        <v>74800</v>
      </c>
      <c r="M81" s="9" t="n">
        <f aca="false">((Assumptions!$D$121*(1-Assumptions!$C$29))*$C$10)</f>
        <v>74800</v>
      </c>
      <c r="N81" s="9" t="n">
        <f aca="false">((Assumptions!$D$121*(1-Assumptions!$C$29))*$C$10)</f>
        <v>74800</v>
      </c>
      <c r="O81" s="9" t="n">
        <f aca="false">((Assumptions!$D$121*(1-Assumptions!$C$29))*$C$10)</f>
        <v>74800</v>
      </c>
      <c r="P81" s="9" t="n">
        <f aca="false">((Assumptions!$D$121*(1-Assumptions!$C$29))*$C$10)</f>
        <v>74800</v>
      </c>
      <c r="Q81" s="9" t="n">
        <f aca="false">((Assumptions!$D$121*(1-Assumptions!$C$29))*$C$10)</f>
        <v>74800</v>
      </c>
      <c r="R81" s="9" t="n">
        <f aca="false">((Assumptions!$D$121*(1-Assumptions!$C$29))*$C$10)</f>
        <v>74800</v>
      </c>
      <c r="S81" s="9" t="n">
        <f aca="false">((Assumptions!$D$121*(1-Assumptions!$C$29))*$C$10)</f>
        <v>74800</v>
      </c>
      <c r="T81" s="9" t="n">
        <f aca="false">((Assumptions!$D$121*(1-Assumptions!$C$29))*$C$10)</f>
        <v>74800</v>
      </c>
      <c r="U81" s="9" t="n">
        <f aca="false">((Assumptions!$D$121*(1-Assumptions!$C$29))*$C$10)</f>
        <v>74800</v>
      </c>
      <c r="V81" s="9" t="n">
        <f aca="false">((Assumptions!$D$121*(1-Assumptions!$C$29))*$C$10)</f>
        <v>74800</v>
      </c>
      <c r="W81" s="9" t="n">
        <f aca="false">((Assumptions!$D$121*(1-Assumptions!$C$29))*$C$10)</f>
        <v>74800</v>
      </c>
      <c r="X81" s="9" t="n">
        <f aca="false">((Assumptions!$D$121*(1-Assumptions!$C$29))*$C$10)</f>
        <v>74800</v>
      </c>
      <c r="Y81" s="9" t="n">
        <f aca="false">((Assumptions!$D$121*(1-Assumptions!$C$29))*$C$10)</f>
        <v>74800</v>
      </c>
      <c r="Z81" s="9" t="n">
        <f aca="false">((Assumptions!$D$121*(1-Assumptions!$C$29))*$C$10)</f>
        <v>74800</v>
      </c>
      <c r="AA81" s="9" t="n">
        <f aca="false">((Assumptions!$D$121*(1-Assumptions!$C$29))*$C$10)</f>
        <v>74800</v>
      </c>
      <c r="AB81" s="9" t="n">
        <f aca="false">((Assumptions!$D$121*(1-Assumptions!$C$29))*$C$10)</f>
        <v>74800</v>
      </c>
      <c r="AC81" s="9" t="n">
        <f aca="false">((Assumptions!$D$121*(1-Assumptions!$C$29))*$C$10)</f>
        <v>74800</v>
      </c>
      <c r="AD81" s="9" t="n">
        <f aca="false">((Assumptions!$D$121*(1-Assumptions!$C$29))*$C$10)</f>
        <v>74800</v>
      </c>
      <c r="AE81" s="9" t="n">
        <f aca="false">((Assumptions!$D$121*(1-Assumptions!$C$29))*$C$10)</f>
        <v>74800</v>
      </c>
      <c r="AF81" s="9" t="n">
        <f aca="false">((Assumptions!$D$121*(1-Assumptions!$C$29))*$C$10)</f>
        <v>74800</v>
      </c>
      <c r="AG81" s="9" t="n">
        <f aca="false">((Assumptions!$D$121*(1-Assumptions!$C$29))*$C$10)</f>
        <v>74800</v>
      </c>
      <c r="AH81" s="9" t="n">
        <f aca="false">((Assumptions!$D$121*(1-Assumptions!$C$29))*$C$10)</f>
        <v>74800</v>
      </c>
      <c r="AI81" s="9" t="n">
        <f aca="false">((Assumptions!$D$121*(1-Assumptions!$C$29))*$C$10)</f>
        <v>74800</v>
      </c>
      <c r="AJ81" s="9" t="n">
        <f aca="false">((Assumptions!$D$121*(1-Assumptions!$C$29))*$C$10)</f>
        <v>74800</v>
      </c>
      <c r="AK81" s="9" t="n">
        <f aca="false">((Assumptions!$D$121*(1-Assumptions!$C$29))*$C$10)</f>
        <v>74800</v>
      </c>
      <c r="AL81" s="9" t="n">
        <f aca="false">((Assumptions!$D$121*(1-Assumptions!$C$29))*$C$10)</f>
        <v>74800</v>
      </c>
    </row>
    <row r="82" customFormat="false" ht="15" hidden="false" customHeight="false" outlineLevel="0" collapsed="false">
      <c r="A82" s="0" t="s">
        <v>888</v>
      </c>
      <c r="B82" s="0" t="s">
        <v>230</v>
      </c>
      <c r="C82" s="9" t="n">
        <f aca="false">((C78*C81)+((C45*(1+Assumptions!$C$31))*0))</f>
        <v>0</v>
      </c>
      <c r="D82" s="9" t="n">
        <f aca="false">((D78*D81)+((D45*(1+Assumptions!$C$31))*0))</f>
        <v>0</v>
      </c>
      <c r="E82" s="9" t="n">
        <f aca="false">((E78*E81)+((E45*(1+Assumptions!$C$31))*0))</f>
        <v>0</v>
      </c>
      <c r="F82" s="9" t="n">
        <f aca="false">((F78*F81)+((F45*(1+Assumptions!$C$31))*0))</f>
        <v>0</v>
      </c>
      <c r="G82" s="9" t="n">
        <f aca="false">((G78*G81)+((G45*(1+Assumptions!$C$31))*0))</f>
        <v>0</v>
      </c>
      <c r="H82" s="9" t="n">
        <f aca="false">((H78*H81)+((H45*(1+Assumptions!$C$31))*0))</f>
        <v>0</v>
      </c>
      <c r="I82" s="9" t="n">
        <f aca="false">((I78*I81)+((I45*(1+Assumptions!$C$31))*0))</f>
        <v>0</v>
      </c>
      <c r="J82" s="9" t="n">
        <f aca="false">((J78*J81)+((J45*(1+Assumptions!$C$31))*0))</f>
        <v>0</v>
      </c>
      <c r="K82" s="9" t="n">
        <f aca="false">((K78*K81)+((K45*(1+Assumptions!$C$31))*0))</f>
        <v>0</v>
      </c>
      <c r="L82" s="9" t="n">
        <f aca="false">((L78*L81)+((L45*(1+Assumptions!$C$31))*0))</f>
        <v>0</v>
      </c>
      <c r="M82" s="9" t="n">
        <f aca="false">((M78*M81)+((M45*(1+Assumptions!$C$31))*0))</f>
        <v>0</v>
      </c>
      <c r="N82" s="9" t="n">
        <f aca="false">((N78*N81)+((N45*(1+Assumptions!$C$31))*0))</f>
        <v>0</v>
      </c>
      <c r="O82" s="9" t="n">
        <f aca="false">((O78*O81)+((O45*(1+Assumptions!$C$31))*C82))</f>
        <v>0</v>
      </c>
      <c r="P82" s="9" t="n">
        <f aca="false">((P78*P81)+((P45*(1+Assumptions!$C$31))*D82))</f>
        <v>0</v>
      </c>
      <c r="Q82" s="9" t="n">
        <f aca="false">((Q78*Q81)+((Q45*(1+Assumptions!$C$31))*E82))</f>
        <v>0</v>
      </c>
      <c r="R82" s="9" t="n">
        <f aca="false">((R78*R81)+((R45*(1+Assumptions!$C$31))*F82))</f>
        <v>0</v>
      </c>
      <c r="S82" s="9" t="n">
        <f aca="false">((S78*S81)+((S45*(1+Assumptions!$C$31))*G82))</f>
        <v>0</v>
      </c>
      <c r="T82" s="9" t="n">
        <f aca="false">((T78*T81)+((T45*(1+Assumptions!$C$31))*H82))</f>
        <v>40392</v>
      </c>
      <c r="U82" s="9" t="n">
        <f aca="false">((U78*U81)+((U45*(1+Assumptions!$C$31))*I82))</f>
        <v>0</v>
      </c>
      <c r="V82" s="9" t="n">
        <f aca="false">((V78*V81)+((V45*(1+Assumptions!$C$31))*J82))</f>
        <v>0</v>
      </c>
      <c r="W82" s="9" t="n">
        <f aca="false">((W78*W81)+((W45*(1+Assumptions!$C$31))*K82))</f>
        <v>0</v>
      </c>
      <c r="X82" s="9" t="n">
        <f aca="false">((X78*X81)+((X45*(1+Assumptions!$C$31))*L82))</f>
        <v>0</v>
      </c>
      <c r="Y82" s="9" t="n">
        <f aca="false">((Y78*Y81)+((Y45*(1+Assumptions!$C$31))*M82))</f>
        <v>0</v>
      </c>
      <c r="Z82" s="9" t="n">
        <f aca="false">((Z78*Z81)+((Z45*(1+Assumptions!$C$31))*N82))</f>
        <v>0</v>
      </c>
      <c r="AA82" s="9" t="n">
        <f aca="false">((AA78*AA81)+((AA45*(1+Assumptions!$C$31))*O82))</f>
        <v>0</v>
      </c>
      <c r="AB82" s="9" t="n">
        <f aca="false">((AB78*AB81)+((AB45*(1+Assumptions!$C$31))*P82))</f>
        <v>0</v>
      </c>
      <c r="AC82" s="9" t="n">
        <f aca="false">((AC78*AC81)+((AC45*(1+Assumptions!$C$31))*Q82))</f>
        <v>0</v>
      </c>
      <c r="AD82" s="9" t="n">
        <f aca="false">((AD78*AD81)+((AD45*(1+Assumptions!$C$31))*R82))</f>
        <v>0</v>
      </c>
      <c r="AE82" s="9" t="n">
        <f aca="false">((AE78*AE81)+((AE45*(1+Assumptions!$C$31))*S82))</f>
        <v>30294</v>
      </c>
      <c r="AF82" s="9" t="n">
        <f aca="false">((AF78*AF81)+((AF45*(1+Assumptions!$C$31))*T82))</f>
        <v>39099.456</v>
      </c>
      <c r="AG82" s="9" t="n">
        <f aca="false">((AG78*AG81)+((AG45*(1+Assumptions!$C$31))*U82))</f>
        <v>0</v>
      </c>
      <c r="AH82" s="9" t="n">
        <f aca="false">((AH78*AH81)+((AH45*(1+Assumptions!$C$31))*V82))</f>
        <v>105094</v>
      </c>
      <c r="AI82" s="9" t="n">
        <f aca="false">((AI78*AI81)+((AI45*(1+Assumptions!$C$31))*W82))</f>
        <v>0</v>
      </c>
      <c r="AJ82" s="9" t="n">
        <f aca="false">((AJ78*AJ81)+((AJ45*(1+Assumptions!$C$31))*X82))</f>
        <v>0</v>
      </c>
      <c r="AK82" s="9" t="n">
        <f aca="false">((AK78*AK81)+((AK45*(1+Assumptions!$C$31))*Y82))</f>
        <v>105094</v>
      </c>
      <c r="AL82" s="9" t="n">
        <f aca="false">((AL78*AL81)+((AL45*(1+Assumptions!$C$31))*Z82))</f>
        <v>0</v>
      </c>
      <c r="AN82" s="11" t="n">
        <f aca="false">SUM(C82:N82)</f>
        <v>0</v>
      </c>
      <c r="AO82" s="11" t="n">
        <f aca="false">SUM(O82:Z82)</f>
        <v>40392</v>
      </c>
      <c r="AP82" s="11" t="n">
        <f aca="false">SUM(AA82:AL82)</f>
        <v>279581.456</v>
      </c>
    </row>
    <row r="83" customFormat="false" ht="15" hidden="false" customHeight="false" outlineLevel="0" collapsed="false">
      <c r="A83" s="0" t="s">
        <v>889</v>
      </c>
      <c r="B83" s="0" t="s">
        <v>230</v>
      </c>
      <c r="C83" s="9" t="n">
        <f aca="false">(Assumptions!$D$126*C76)</f>
        <v>0</v>
      </c>
      <c r="D83" s="9" t="n">
        <f aca="false">(Assumptions!$D$126*D76)</f>
        <v>0</v>
      </c>
      <c r="E83" s="9" t="n">
        <f aca="false">(Assumptions!$D$126*E76)</f>
        <v>0</v>
      </c>
      <c r="F83" s="9" t="n">
        <f aca="false">(Assumptions!$D$126*F76)</f>
        <v>0</v>
      </c>
      <c r="G83" s="9" t="n">
        <f aca="false">(Assumptions!$D$126*G76)</f>
        <v>0</v>
      </c>
      <c r="H83" s="9" t="n">
        <f aca="false">(Assumptions!$D$126*H76)</f>
        <v>0</v>
      </c>
      <c r="I83" s="9" t="n">
        <f aca="false">(Assumptions!$D$126*I76)</f>
        <v>0</v>
      </c>
      <c r="J83" s="9" t="n">
        <f aca="false">(Assumptions!$D$126*J76)</f>
        <v>0</v>
      </c>
      <c r="K83" s="9" t="n">
        <f aca="false">(Assumptions!$D$126*K76)</f>
        <v>0</v>
      </c>
      <c r="L83" s="9" t="n">
        <f aca="false">(Assumptions!$D$126*L76)</f>
        <v>0</v>
      </c>
      <c r="M83" s="9" t="n">
        <f aca="false">(Assumptions!$D$126*M76)</f>
        <v>0</v>
      </c>
      <c r="N83" s="9" t="n">
        <f aca="false">(Assumptions!$D$126*N76)</f>
        <v>0</v>
      </c>
      <c r="O83" s="9" t="n">
        <f aca="false">(Assumptions!$D$126*O76)</f>
        <v>0</v>
      </c>
      <c r="P83" s="9" t="n">
        <f aca="false">(Assumptions!$D$126*P76)</f>
        <v>0</v>
      </c>
      <c r="Q83" s="9" t="n">
        <f aca="false">(Assumptions!$D$126*Q76)</f>
        <v>0</v>
      </c>
      <c r="R83" s="9" t="n">
        <f aca="false">(Assumptions!$D$126*R76)</f>
        <v>0</v>
      </c>
      <c r="S83" s="9" t="n">
        <f aca="false">(Assumptions!$D$126*S76)</f>
        <v>0</v>
      </c>
      <c r="T83" s="9" t="n">
        <f aca="false">(Assumptions!$D$126*T76)</f>
        <v>0</v>
      </c>
      <c r="U83" s="9" t="n">
        <f aca="false">(Assumptions!$D$126*U76)</f>
        <v>0</v>
      </c>
      <c r="V83" s="9" t="n">
        <f aca="false">(Assumptions!$D$126*V76)</f>
        <v>0</v>
      </c>
      <c r="W83" s="9" t="n">
        <f aca="false">(Assumptions!$D$126*W76)</f>
        <v>0</v>
      </c>
      <c r="X83" s="9" t="n">
        <f aca="false">(Assumptions!$D$126*X76)</f>
        <v>0</v>
      </c>
      <c r="Y83" s="9" t="n">
        <f aca="false">(Assumptions!$D$126*Y76)</f>
        <v>0</v>
      </c>
      <c r="Z83" s="9" t="n">
        <f aca="false">(Assumptions!$D$126*Z76)</f>
        <v>0</v>
      </c>
      <c r="AA83" s="9" t="n">
        <f aca="false">(Assumptions!$D$126*AA76)</f>
        <v>0</v>
      </c>
      <c r="AB83" s="9" t="n">
        <f aca="false">(Assumptions!$D$126*AB76)</f>
        <v>0</v>
      </c>
      <c r="AC83" s="9" t="n">
        <f aca="false">(Assumptions!$D$126*AC76)</f>
        <v>0</v>
      </c>
      <c r="AD83" s="9" t="n">
        <f aca="false">(Assumptions!$D$126*AD76)</f>
        <v>0</v>
      </c>
      <c r="AE83" s="9" t="n">
        <f aca="false">(Assumptions!$D$126*AE76)</f>
        <v>6075</v>
      </c>
      <c r="AF83" s="9" t="n">
        <f aca="false">(Assumptions!$D$126*AF76)</f>
        <v>0</v>
      </c>
      <c r="AG83" s="9" t="n">
        <f aca="false">(Assumptions!$D$126*AG76)</f>
        <v>0</v>
      </c>
      <c r="AH83" s="9" t="n">
        <f aca="false">(Assumptions!$D$126*AH76)</f>
        <v>6075</v>
      </c>
      <c r="AI83" s="9" t="n">
        <f aca="false">(Assumptions!$D$126*AI76)</f>
        <v>0</v>
      </c>
      <c r="AJ83" s="9" t="n">
        <f aca="false">(Assumptions!$D$126*AJ76)</f>
        <v>0</v>
      </c>
      <c r="AK83" s="9" t="n">
        <f aca="false">(Assumptions!$D$126*AK76)</f>
        <v>6075</v>
      </c>
      <c r="AL83" s="9" t="n">
        <f aca="false">(Assumptions!$D$126*AL76)</f>
        <v>0</v>
      </c>
      <c r="AN83" s="11" t="n">
        <f aca="false">SUM(C83:N83)</f>
        <v>0</v>
      </c>
      <c r="AO83" s="11" t="n">
        <f aca="false">SUM(O83:Z83)</f>
        <v>0</v>
      </c>
      <c r="AP83" s="11" t="n">
        <f aca="false">SUM(AA83:AL83)</f>
        <v>18225</v>
      </c>
    </row>
    <row r="84" customFormat="false" ht="15" hidden="false" customHeight="false" outlineLevel="0" collapsed="false">
      <c r="A84" s="0" t="s">
        <v>890</v>
      </c>
      <c r="B84" s="0" t="s">
        <v>230</v>
      </c>
      <c r="C84" s="9" t="n">
        <f aca="false">((C82-C83)/12)</f>
        <v>0</v>
      </c>
      <c r="D84" s="9" t="n">
        <f aca="false">((SUM(C82:D82)-SUM(C83:D83))/12)</f>
        <v>0</v>
      </c>
      <c r="E84" s="9" t="n">
        <f aca="false">((SUM(C82:E82)-SUM(C83:E83))/12)</f>
        <v>0</v>
      </c>
      <c r="F84" s="9" t="n">
        <f aca="false">((SUM(C82:F82)-SUM(C83:F83))/12)</f>
        <v>0</v>
      </c>
      <c r="G84" s="9" t="n">
        <f aca="false">((SUM(C82:G82)-SUM(C83:G83))/12)</f>
        <v>0</v>
      </c>
      <c r="H84" s="9" t="n">
        <f aca="false">((SUM(C82:H82)-SUM(C83:H83))/12)</f>
        <v>0</v>
      </c>
      <c r="I84" s="9" t="n">
        <f aca="false">((SUM(C82:I82)-SUM(C83:I83))/12)</f>
        <v>0</v>
      </c>
      <c r="J84" s="9" t="n">
        <f aca="false">((SUM(C82:J82)-SUM(C83:J83))/12)</f>
        <v>0</v>
      </c>
      <c r="K84" s="9" t="n">
        <f aca="false">((SUM(C82:K82)-SUM(C83:K83))/12)</f>
        <v>0</v>
      </c>
      <c r="L84" s="9" t="n">
        <f aca="false">((SUM(C82:L82)-SUM(C83:L83))/12)</f>
        <v>0</v>
      </c>
      <c r="M84" s="9" t="n">
        <f aca="false">((SUM(C82:M82)-SUM(C83:M83))/12)</f>
        <v>0</v>
      </c>
      <c r="N84" s="9" t="n">
        <f aca="false">((SUM(C82:N82)-SUM(C83:N83))/12)</f>
        <v>0</v>
      </c>
      <c r="O84" s="9" t="n">
        <f aca="false">((SUM(D82:O82)-SUM(D83:O83))/12)</f>
        <v>0</v>
      </c>
      <c r="P84" s="9" t="n">
        <f aca="false">((SUM(E82:P82)-SUM(E83:P83))/12)</f>
        <v>0</v>
      </c>
      <c r="Q84" s="9" t="n">
        <f aca="false">((SUM(F82:Q82)-SUM(F83:Q83))/12)</f>
        <v>0</v>
      </c>
      <c r="R84" s="9" t="n">
        <f aca="false">((SUM(G82:R82)-SUM(G83:R83))/12)</f>
        <v>0</v>
      </c>
      <c r="S84" s="9" t="n">
        <f aca="false">((SUM(H82:S82)-SUM(H83:S83))/12)</f>
        <v>0</v>
      </c>
      <c r="T84" s="9" t="n">
        <f aca="false">((SUM(I82:T82)-SUM(I83:T83))/12)</f>
        <v>3366</v>
      </c>
      <c r="U84" s="9" t="n">
        <f aca="false">((SUM(J82:U82)-SUM(J83:U83))/12)</f>
        <v>3366</v>
      </c>
      <c r="V84" s="9" t="n">
        <f aca="false">((SUM(K82:V82)-SUM(K83:V83))/12)</f>
        <v>3366</v>
      </c>
      <c r="W84" s="9" t="n">
        <f aca="false">((SUM(L82:W82)-SUM(L83:W83))/12)</f>
        <v>3366</v>
      </c>
      <c r="X84" s="9" t="n">
        <f aca="false">((SUM(M82:X82)-SUM(M83:X83))/12)</f>
        <v>3366</v>
      </c>
      <c r="Y84" s="9" t="n">
        <f aca="false">((SUM(N82:Y82)-SUM(N83:Y83))/12)</f>
        <v>3366</v>
      </c>
      <c r="Z84" s="9" t="n">
        <f aca="false">((SUM(O82:Z82)-SUM(O83:Z83))/12)</f>
        <v>3366</v>
      </c>
      <c r="AA84" s="9" t="n">
        <f aca="false">((SUM(P82:AA82)-SUM(P83:AA83))/12)</f>
        <v>3366</v>
      </c>
      <c r="AB84" s="9" t="n">
        <f aca="false">((SUM(Q82:AB82)-SUM(Q83:AB83))/12)</f>
        <v>3366</v>
      </c>
      <c r="AC84" s="9" t="n">
        <f aca="false">((SUM(R82:AC82)-SUM(R83:AC83))/12)</f>
        <v>3366</v>
      </c>
      <c r="AD84" s="9" t="n">
        <f aca="false">((SUM(S82:AD82)-SUM(S83:AD83))/12)</f>
        <v>3366</v>
      </c>
      <c r="AE84" s="9" t="n">
        <f aca="false">((SUM(T82:AE82)-SUM(T83:AE83))/12)</f>
        <v>5384.25</v>
      </c>
      <c r="AF84" s="9" t="n">
        <f aca="false">((SUM(U82:AF82)-SUM(U83:AF83))/12)</f>
        <v>5276.538</v>
      </c>
      <c r="AG84" s="9" t="n">
        <f aca="false">((SUM(V82:AG82)-SUM(V83:AG83))/12)</f>
        <v>5276.538</v>
      </c>
      <c r="AH84" s="9" t="n">
        <f aca="false">((SUM(W82:AH82)-SUM(W83:AH83))/12)</f>
        <v>13528.1213333333</v>
      </c>
      <c r="AI84" s="9" t="n">
        <f aca="false">((SUM(X82:AI82)-SUM(X83:AI83))/12)</f>
        <v>13528.1213333333</v>
      </c>
      <c r="AJ84" s="9" t="n">
        <f aca="false">((SUM(Y82:AJ82)-SUM(Y83:AJ83))/12)</f>
        <v>13528.1213333333</v>
      </c>
      <c r="AK84" s="9" t="n">
        <f aca="false">((SUM(Z82:AK82)-SUM(Z83:AK83))/12)</f>
        <v>21779.7046666667</v>
      </c>
      <c r="AL84" s="9" t="n">
        <f aca="false">((SUM(AA82:AL82)-SUM(AA83:AL83))/12)</f>
        <v>21779.7046666667</v>
      </c>
      <c r="AN84" s="11" t="n">
        <f aca="false">SUM(C84:N84)</f>
        <v>0</v>
      </c>
      <c r="AO84" s="11" t="n">
        <f aca="false">SUM(O84:Z84)</f>
        <v>23562</v>
      </c>
      <c r="AP84" s="11" t="n">
        <f aca="false">SUM(AA84:AL84)</f>
        <v>113545.099333333</v>
      </c>
    </row>
    <row r="85" customFormat="false" ht="15" hidden="false" customHeight="false" outlineLevel="0" collapsed="false">
      <c r="A85" s="0" t="s">
        <v>891</v>
      </c>
      <c r="B85" s="0" t="s">
        <v>230</v>
      </c>
      <c r="C85" s="9" t="n">
        <f aca="false">(C82-C83)</f>
        <v>0</v>
      </c>
      <c r="D85" s="9" t="n">
        <f aca="false">(D82-D83)</f>
        <v>0</v>
      </c>
      <c r="E85" s="9" t="n">
        <f aca="false">(E82-E83)</f>
        <v>0</v>
      </c>
      <c r="F85" s="9" t="n">
        <f aca="false">(F82-F83)</f>
        <v>0</v>
      </c>
      <c r="G85" s="9" t="n">
        <f aca="false">(G82-G83)</f>
        <v>0</v>
      </c>
      <c r="H85" s="9" t="n">
        <f aca="false">(H82-H83)</f>
        <v>0</v>
      </c>
      <c r="I85" s="9" t="n">
        <f aca="false">(I82-I83)</f>
        <v>0</v>
      </c>
      <c r="J85" s="9" t="n">
        <f aca="false">(J82-J83)</f>
        <v>0</v>
      </c>
      <c r="K85" s="9" t="n">
        <f aca="false">(K82-K83)</f>
        <v>0</v>
      </c>
      <c r="L85" s="9" t="n">
        <f aca="false">(L82-L83)</f>
        <v>0</v>
      </c>
      <c r="M85" s="9" t="n">
        <f aca="false">(M82-M83)</f>
        <v>0</v>
      </c>
      <c r="N85" s="9" t="n">
        <f aca="false">(N82-N83)</f>
        <v>0</v>
      </c>
      <c r="O85" s="9" t="n">
        <f aca="false">(O82-O83)</f>
        <v>0</v>
      </c>
      <c r="P85" s="9" t="n">
        <f aca="false">(P82-P83)</f>
        <v>0</v>
      </c>
      <c r="Q85" s="9" t="n">
        <f aca="false">(Q82-Q83)</f>
        <v>0</v>
      </c>
      <c r="R85" s="9" t="n">
        <f aca="false">(R82-R83)</f>
        <v>0</v>
      </c>
      <c r="S85" s="9" t="n">
        <f aca="false">(S82-S83)</f>
        <v>0</v>
      </c>
      <c r="T85" s="9" t="n">
        <f aca="false">(T82-T83)</f>
        <v>40392</v>
      </c>
      <c r="U85" s="9" t="n">
        <f aca="false">(U82-U83)</f>
        <v>0</v>
      </c>
      <c r="V85" s="9" t="n">
        <f aca="false">(V82-V83)</f>
        <v>0</v>
      </c>
      <c r="W85" s="9" t="n">
        <f aca="false">(W82-W83)</f>
        <v>0</v>
      </c>
      <c r="X85" s="9" t="n">
        <f aca="false">(X82-X83)</f>
        <v>0</v>
      </c>
      <c r="Y85" s="9" t="n">
        <f aca="false">(Y82-Y83)</f>
        <v>0</v>
      </c>
      <c r="Z85" s="9" t="n">
        <f aca="false">(Z82-Z83)</f>
        <v>0</v>
      </c>
      <c r="AA85" s="9" t="n">
        <f aca="false">(AA82-AA83)</f>
        <v>0</v>
      </c>
      <c r="AB85" s="9" t="n">
        <f aca="false">(AB82-AB83)</f>
        <v>0</v>
      </c>
      <c r="AC85" s="9" t="n">
        <f aca="false">(AC82-AC83)</f>
        <v>0</v>
      </c>
      <c r="AD85" s="9" t="n">
        <f aca="false">(AD82-AD83)</f>
        <v>0</v>
      </c>
      <c r="AE85" s="9" t="n">
        <f aca="false">(AE82-AE83)</f>
        <v>24219</v>
      </c>
      <c r="AF85" s="9" t="n">
        <f aca="false">(AF82-AF83)</f>
        <v>39099.456</v>
      </c>
      <c r="AG85" s="9" t="n">
        <f aca="false">(AG82-AG83)</f>
        <v>0</v>
      </c>
      <c r="AH85" s="9" t="n">
        <f aca="false">(AH82-AH83)</f>
        <v>99019</v>
      </c>
      <c r="AI85" s="9" t="n">
        <f aca="false">(AI82-AI83)</f>
        <v>0</v>
      </c>
      <c r="AJ85" s="9" t="n">
        <f aca="false">(AJ82-AJ83)</f>
        <v>0</v>
      </c>
      <c r="AK85" s="9" t="n">
        <f aca="false">(AK82-AK83)</f>
        <v>99019</v>
      </c>
      <c r="AL85" s="9" t="n">
        <f aca="false">(AL82-AL83)</f>
        <v>0</v>
      </c>
      <c r="AN85" s="11" t="n">
        <f aca="false">SUM(C85:N85)</f>
        <v>0</v>
      </c>
      <c r="AO85" s="11" t="n">
        <f aca="false">SUM(O85:Z85)</f>
        <v>40392</v>
      </c>
      <c r="AP85" s="11" t="n">
        <f aca="false">SUM(AA85:AL85)</f>
        <v>261356.456</v>
      </c>
    </row>
    <row r="86" customFormat="false" ht="15" hidden="false" customHeight="false" outlineLevel="0" collapsed="false">
      <c r="A86" s="0" t="s">
        <v>892</v>
      </c>
      <c r="B86" s="0" t="s">
        <v>230</v>
      </c>
      <c r="C86" s="9" t="n">
        <f aca="false">(((Assumptions!$D$122*$C$10)/6)*C75)</f>
        <v>0</v>
      </c>
      <c r="D86" s="9" t="n">
        <f aca="false">(((Assumptions!$D$122*$C$10)/6)*D75)</f>
        <v>0</v>
      </c>
      <c r="E86" s="9" t="n">
        <f aca="false">(((Assumptions!$D$122*$C$10)/6)*E75)</f>
        <v>0</v>
      </c>
      <c r="F86" s="9" t="n">
        <f aca="false">(((Assumptions!$D$122*$C$10)/6)*F75)</f>
        <v>0</v>
      </c>
      <c r="G86" s="9" t="n">
        <f aca="false">(((Assumptions!$D$122*$C$10)/6)*G75)</f>
        <v>0</v>
      </c>
      <c r="H86" s="9" t="n">
        <f aca="false">(((Assumptions!$D$122*$C$10)/6)*H75)</f>
        <v>0</v>
      </c>
      <c r="I86" s="9" t="n">
        <f aca="false">(((Assumptions!$D$122*$C$10)/6)*I75)</f>
        <v>0</v>
      </c>
      <c r="J86" s="9" t="n">
        <f aca="false">(((Assumptions!$D$122*$C$10)/6)*J75)</f>
        <v>0</v>
      </c>
      <c r="K86" s="9" t="n">
        <f aca="false">(((Assumptions!$D$122*$C$10)/6)*K75)</f>
        <v>0</v>
      </c>
      <c r="L86" s="9" t="n">
        <f aca="false">(((Assumptions!$D$122*$C$10)/6)*L75)</f>
        <v>0</v>
      </c>
      <c r="M86" s="9" t="n">
        <f aca="false">(((Assumptions!$D$122*$C$10)/6)*M75)</f>
        <v>0</v>
      </c>
      <c r="N86" s="9" t="n">
        <f aca="false">(((Assumptions!$D$122*$C$10)/6)*N75)</f>
        <v>0</v>
      </c>
      <c r="O86" s="9" t="n">
        <f aca="false">(((Assumptions!$D$122*$C$10)/6)*O75)</f>
        <v>0</v>
      </c>
      <c r="P86" s="9" t="n">
        <f aca="false">(((Assumptions!$D$122*$C$10)/6)*P75)</f>
        <v>0</v>
      </c>
      <c r="Q86" s="9" t="n">
        <f aca="false">(((Assumptions!$D$122*$C$10)/6)*Q75)</f>
        <v>0</v>
      </c>
      <c r="R86" s="9" t="n">
        <f aca="false">(((Assumptions!$D$122*$C$10)/6)*R75)</f>
        <v>0</v>
      </c>
      <c r="S86" s="9" t="n">
        <f aca="false">(((Assumptions!$D$122*$C$10)/6)*S75)</f>
        <v>0</v>
      </c>
      <c r="T86" s="9" t="n">
        <f aca="false">(((Assumptions!$D$122*$C$10)/6)*T75)</f>
        <v>0</v>
      </c>
      <c r="U86" s="9" t="n">
        <f aca="false">(((Assumptions!$D$122*$C$10)/6)*U75)</f>
        <v>0</v>
      </c>
      <c r="V86" s="9" t="n">
        <f aca="false">(((Assumptions!$D$122*$C$10)/6)*V75)</f>
        <v>0</v>
      </c>
      <c r="W86" s="9" t="n">
        <f aca="false">(((Assumptions!$D$122*$C$10)/6)*W75)</f>
        <v>0</v>
      </c>
      <c r="X86" s="9" t="n">
        <f aca="false">(((Assumptions!$D$122*$C$10)/6)*X75)</f>
        <v>5000</v>
      </c>
      <c r="Y86" s="9" t="n">
        <f aca="false">(((Assumptions!$D$122*$C$10)/6)*Y75)</f>
        <v>5000</v>
      </c>
      <c r="Z86" s="9" t="n">
        <f aca="false">(((Assumptions!$D$122*$C$10)/6)*Z75)</f>
        <v>5000</v>
      </c>
      <c r="AA86" s="9" t="n">
        <f aca="false">(((Assumptions!$D$122*$C$10)/6)*AA75)</f>
        <v>10000</v>
      </c>
      <c r="AB86" s="9" t="n">
        <f aca="false">(((Assumptions!$D$122*$C$10)/6)*AB75)</f>
        <v>10000</v>
      </c>
      <c r="AC86" s="9" t="n">
        <f aca="false">(((Assumptions!$D$122*$C$10)/6)*AC75)</f>
        <v>10000</v>
      </c>
      <c r="AD86" s="9" t="n">
        <f aca="false">(((Assumptions!$D$122*$C$10)/6)*AD75)</f>
        <v>10000</v>
      </c>
      <c r="AE86" s="9" t="n">
        <f aca="false">(((Assumptions!$D$122*$C$10)/6)*AE75)</f>
        <v>10000</v>
      </c>
      <c r="AF86" s="9" t="n">
        <f aca="false">(((Assumptions!$D$122*$C$10)/6)*AF75)</f>
        <v>10000</v>
      </c>
      <c r="AG86" s="9" t="n">
        <f aca="false">(((Assumptions!$D$122*$C$10)/6)*AG75)</f>
        <v>10000</v>
      </c>
      <c r="AH86" s="9" t="n">
        <f aca="false">(((Assumptions!$D$122*$C$10)/6)*AH75)</f>
        <v>10000</v>
      </c>
      <c r="AI86" s="9" t="n">
        <f aca="false">(((Assumptions!$D$122*$C$10)/6)*AI75)</f>
        <v>10000</v>
      </c>
      <c r="AJ86" s="9" t="n">
        <f aca="false">(((Assumptions!$D$122*$C$10)/6)*AJ75)</f>
        <v>15000</v>
      </c>
      <c r="AK86" s="9" t="n">
        <f aca="false">(((Assumptions!$D$122*$C$10)/6)*AK75)</f>
        <v>15000</v>
      </c>
      <c r="AL86" s="9" t="n">
        <f aca="false">(((Assumptions!$D$122*$C$10)/6)*AL75)</f>
        <v>15000</v>
      </c>
      <c r="AN86" s="11" t="n">
        <f aca="false">SUM(C86:N86)</f>
        <v>0</v>
      </c>
      <c r="AO86" s="11" t="n">
        <f aca="false">SUM(O86:Z86)</f>
        <v>15000</v>
      </c>
      <c r="AP86" s="11" t="n">
        <f aca="false">SUM(AA86:AL86)</f>
        <v>135000</v>
      </c>
    </row>
    <row r="87" customFormat="false" ht="15" hidden="false" customHeight="false" outlineLevel="0" collapsed="false">
      <c r="A87" s="0" t="s">
        <v>893</v>
      </c>
      <c r="B87" s="0" t="s">
        <v>230</v>
      </c>
      <c r="C87" s="9" t="n">
        <f aca="false">((Assumptions!$D$122*$C$10)*C69)</f>
        <v>0</v>
      </c>
      <c r="D87" s="9" t="n">
        <f aca="false">((Assumptions!$D$122*$C$10)*D69)</f>
        <v>0</v>
      </c>
      <c r="E87" s="9" t="n">
        <f aca="false">((Assumptions!$D$122*$C$10)*E69)</f>
        <v>0</v>
      </c>
      <c r="F87" s="9" t="n">
        <f aca="false">((Assumptions!$D$122*$C$10)*F69)</f>
        <v>0</v>
      </c>
      <c r="G87" s="9" t="n">
        <f aca="false">((Assumptions!$D$122*$C$10)*G69)</f>
        <v>0</v>
      </c>
      <c r="H87" s="9" t="n">
        <f aca="false">((Assumptions!$D$122*$C$10)*H69)</f>
        <v>0</v>
      </c>
      <c r="I87" s="9" t="n">
        <f aca="false">((Assumptions!$D$122*$C$10)*I69)</f>
        <v>0</v>
      </c>
      <c r="J87" s="9" t="n">
        <f aca="false">((Assumptions!$D$122*$C$10)*J69)</f>
        <v>0</v>
      </c>
      <c r="K87" s="9" t="n">
        <f aca="false">((Assumptions!$D$122*$C$10)*K69)</f>
        <v>0</v>
      </c>
      <c r="L87" s="9" t="n">
        <f aca="false">((Assumptions!$D$122*$C$10)*L69)</f>
        <v>0</v>
      </c>
      <c r="M87" s="9" t="n">
        <f aca="false">((Assumptions!$D$122*$C$10)*M69)</f>
        <v>0</v>
      </c>
      <c r="N87" s="9" t="n">
        <f aca="false">((Assumptions!$D$122*$C$10)*N69)</f>
        <v>0</v>
      </c>
      <c r="O87" s="9" t="n">
        <f aca="false">((Assumptions!$D$122*$C$10)*O69)</f>
        <v>0</v>
      </c>
      <c r="P87" s="9" t="n">
        <f aca="false">((Assumptions!$D$122*$C$10)*P69)</f>
        <v>0</v>
      </c>
      <c r="Q87" s="9" t="n">
        <f aca="false">((Assumptions!$D$122*$C$10)*Q69)</f>
        <v>0</v>
      </c>
      <c r="R87" s="9" t="n">
        <f aca="false">((Assumptions!$D$122*$C$10)*R69)</f>
        <v>0</v>
      </c>
      <c r="S87" s="9" t="n">
        <f aca="false">((Assumptions!$D$122*$C$10)*S69)</f>
        <v>0</v>
      </c>
      <c r="T87" s="9" t="n">
        <f aca="false">((Assumptions!$D$122*$C$10)*T69)</f>
        <v>0</v>
      </c>
      <c r="U87" s="9" t="n">
        <f aca="false">((Assumptions!$D$122*$C$10)*U69)</f>
        <v>0</v>
      </c>
      <c r="V87" s="9" t="n">
        <f aca="false">((Assumptions!$D$122*$C$10)*V69)</f>
        <v>0</v>
      </c>
      <c r="W87" s="9" t="n">
        <f aca="false">((Assumptions!$D$122*$C$10)*W69)</f>
        <v>0</v>
      </c>
      <c r="X87" s="9" t="n">
        <f aca="false">((Assumptions!$D$122*$C$10)*X69)</f>
        <v>30000</v>
      </c>
      <c r="Y87" s="9" t="n">
        <f aca="false">((Assumptions!$D$122*$C$10)*Y69)</f>
        <v>0</v>
      </c>
      <c r="Z87" s="9" t="n">
        <f aca="false">((Assumptions!$D$122*$C$10)*Z69)</f>
        <v>0</v>
      </c>
      <c r="AA87" s="9" t="n">
        <f aca="false">((Assumptions!$D$122*$C$10)*AA69)</f>
        <v>30000</v>
      </c>
      <c r="AB87" s="9" t="n">
        <f aca="false">((Assumptions!$D$122*$C$10)*AB69)</f>
        <v>0</v>
      </c>
      <c r="AC87" s="9" t="n">
        <f aca="false">((Assumptions!$D$122*$C$10)*AC69)</f>
        <v>0</v>
      </c>
      <c r="AD87" s="9" t="n">
        <f aca="false">((Assumptions!$D$122*$C$10)*AD69)</f>
        <v>30000</v>
      </c>
      <c r="AE87" s="9" t="n">
        <f aca="false">((Assumptions!$D$122*$C$10)*AE69)</f>
        <v>0</v>
      </c>
      <c r="AF87" s="9" t="n">
        <f aca="false">((Assumptions!$D$122*$C$10)*AF69)</f>
        <v>0</v>
      </c>
      <c r="AG87" s="9" t="n">
        <f aca="false">((Assumptions!$D$122*$C$10)*AG69)</f>
        <v>30000</v>
      </c>
      <c r="AH87" s="9" t="n">
        <f aca="false">((Assumptions!$D$122*$C$10)*AH69)</f>
        <v>0</v>
      </c>
      <c r="AI87" s="9" t="n">
        <f aca="false">((Assumptions!$D$122*$C$10)*AI69)</f>
        <v>0</v>
      </c>
      <c r="AJ87" s="9" t="n">
        <f aca="false">((Assumptions!$D$122*$C$10)*AJ69)</f>
        <v>60000</v>
      </c>
      <c r="AK87" s="9" t="n">
        <f aca="false">((Assumptions!$D$122*$C$10)*AK69)</f>
        <v>0</v>
      </c>
      <c r="AL87" s="9" t="n">
        <f aca="false">((Assumptions!$D$122*$C$10)*AL69)</f>
        <v>0</v>
      </c>
      <c r="AN87" s="11" t="n">
        <f aca="false">SUM(C87:N87)</f>
        <v>0</v>
      </c>
      <c r="AO87" s="11" t="n">
        <f aca="false">SUM(O87:Z87)</f>
        <v>30000</v>
      </c>
      <c r="AP87" s="11" t="n">
        <f aca="false">SUM(AA87:AL87)</f>
        <v>150000</v>
      </c>
    </row>
    <row r="88" customFormat="false" ht="15" hidden="false" customHeight="false" outlineLevel="0" collapsed="false">
      <c r="A88" s="0" t="s">
        <v>894</v>
      </c>
      <c r="B88" s="0" t="s">
        <v>230</v>
      </c>
      <c r="C88" s="9" t="n">
        <f aca="false">((Assumptions!$D$123*$C$10)+(Assumptions!$C$34*Assumptions!$C$35))</f>
        <v>46000</v>
      </c>
      <c r="D88" s="9" t="n">
        <f aca="false">((Assumptions!$D$123*$C$10)+(Assumptions!$C$34*Assumptions!$C$35))</f>
        <v>46000</v>
      </c>
      <c r="E88" s="9" t="n">
        <f aca="false">((Assumptions!$D$123*$C$10)+(Assumptions!$C$34*Assumptions!$C$35))</f>
        <v>46000</v>
      </c>
      <c r="F88" s="9" t="n">
        <f aca="false">((Assumptions!$D$123*$C$10)+(Assumptions!$C$34*Assumptions!$C$35))</f>
        <v>46000</v>
      </c>
      <c r="G88" s="9" t="n">
        <f aca="false">((Assumptions!$D$123*$C$10)+(Assumptions!$C$34*Assumptions!$C$35))</f>
        <v>46000</v>
      </c>
      <c r="H88" s="9" t="n">
        <f aca="false">((Assumptions!$D$123*$C$10)+(Assumptions!$C$34*Assumptions!$C$35))</f>
        <v>46000</v>
      </c>
      <c r="I88" s="9" t="n">
        <f aca="false">((Assumptions!$D$123*$C$10)+(Assumptions!$C$34*Assumptions!$C$35))</f>
        <v>46000</v>
      </c>
      <c r="J88" s="9" t="n">
        <f aca="false">((Assumptions!$D$123*$C$10)+(Assumptions!$C$34*Assumptions!$C$35))</f>
        <v>46000</v>
      </c>
      <c r="K88" s="9" t="n">
        <f aca="false">((Assumptions!$D$123*$C$10)+(Assumptions!$C$34*Assumptions!$C$35))</f>
        <v>46000</v>
      </c>
      <c r="L88" s="9" t="n">
        <f aca="false">((Assumptions!$D$123*$C$10)+(Assumptions!$C$34*Assumptions!$C$35))</f>
        <v>46000</v>
      </c>
      <c r="M88" s="9" t="n">
        <f aca="false">((Assumptions!$D$123*$C$10)+(Assumptions!$C$34*Assumptions!$C$35))</f>
        <v>46000</v>
      </c>
      <c r="N88" s="9" t="n">
        <f aca="false">((Assumptions!$D$123*$C$10)+(Assumptions!$C$34*Assumptions!$C$35))</f>
        <v>46000</v>
      </c>
      <c r="O88" s="9" t="n">
        <f aca="false">((Assumptions!$D$123*$C$10)+(Assumptions!$C$34*Assumptions!$C$35))</f>
        <v>46000</v>
      </c>
      <c r="P88" s="9" t="n">
        <f aca="false">((Assumptions!$D$123*$C$10)+(Assumptions!$C$34*Assumptions!$C$35))</f>
        <v>46000</v>
      </c>
      <c r="Q88" s="9" t="n">
        <f aca="false">((Assumptions!$D$123*$C$10)+(Assumptions!$C$34*Assumptions!$C$35))</f>
        <v>46000</v>
      </c>
      <c r="R88" s="9" t="n">
        <f aca="false">((Assumptions!$D$123*$C$10)+(Assumptions!$C$34*Assumptions!$C$35))</f>
        <v>46000</v>
      </c>
      <c r="S88" s="9" t="n">
        <f aca="false">((Assumptions!$D$123*$C$10)+(Assumptions!$C$34*Assumptions!$C$35))</f>
        <v>46000</v>
      </c>
      <c r="T88" s="9" t="n">
        <f aca="false">((Assumptions!$D$123*$C$10)+(Assumptions!$C$34*Assumptions!$C$35))</f>
        <v>46000</v>
      </c>
      <c r="U88" s="9" t="n">
        <f aca="false">((Assumptions!$D$123*$C$10)+(Assumptions!$C$34*Assumptions!$C$35))</f>
        <v>46000</v>
      </c>
      <c r="V88" s="9" t="n">
        <f aca="false">((Assumptions!$D$123*$C$10)+(Assumptions!$C$34*Assumptions!$C$35))</f>
        <v>46000</v>
      </c>
      <c r="W88" s="9" t="n">
        <f aca="false">((Assumptions!$D$123*$C$10)+(Assumptions!$C$34*Assumptions!$C$35))</f>
        <v>46000</v>
      </c>
      <c r="X88" s="9" t="n">
        <f aca="false">((Assumptions!$D$123*$C$10)+(Assumptions!$C$34*Assumptions!$C$35))</f>
        <v>46000</v>
      </c>
      <c r="Y88" s="9" t="n">
        <f aca="false">((Assumptions!$D$123*$C$10)+(Assumptions!$C$34*Assumptions!$C$35))</f>
        <v>46000</v>
      </c>
      <c r="Z88" s="9" t="n">
        <f aca="false">((Assumptions!$D$123*$C$10)+(Assumptions!$C$34*Assumptions!$C$35))</f>
        <v>46000</v>
      </c>
      <c r="AA88" s="9" t="n">
        <f aca="false">((Assumptions!$D$123*$C$10)+(Assumptions!$C$34*Assumptions!$C$35))</f>
        <v>46000</v>
      </c>
      <c r="AB88" s="9" t="n">
        <f aca="false">((Assumptions!$D$123*$C$10)+(Assumptions!$C$34*Assumptions!$C$35))</f>
        <v>46000</v>
      </c>
      <c r="AC88" s="9" t="n">
        <f aca="false">((Assumptions!$D$123*$C$10)+(Assumptions!$C$34*Assumptions!$C$35))</f>
        <v>46000</v>
      </c>
      <c r="AD88" s="9" t="n">
        <f aca="false">((Assumptions!$D$123*$C$10)+(Assumptions!$C$34*Assumptions!$C$35))</f>
        <v>46000</v>
      </c>
      <c r="AE88" s="9" t="n">
        <f aca="false">((Assumptions!$D$123*$C$10)+(Assumptions!$C$34*Assumptions!$C$35))</f>
        <v>46000</v>
      </c>
      <c r="AF88" s="9" t="n">
        <f aca="false">((Assumptions!$D$123*$C$10)+(Assumptions!$C$34*Assumptions!$C$35))</f>
        <v>46000</v>
      </c>
      <c r="AG88" s="9" t="n">
        <f aca="false">((Assumptions!$D$123*$C$10)+(Assumptions!$C$34*Assumptions!$C$35))</f>
        <v>46000</v>
      </c>
      <c r="AH88" s="9" t="n">
        <f aca="false">((Assumptions!$D$123*$C$10)+(Assumptions!$C$34*Assumptions!$C$35))</f>
        <v>46000</v>
      </c>
      <c r="AI88" s="9" t="n">
        <f aca="false">((Assumptions!$D$123*$C$10)+(Assumptions!$C$34*Assumptions!$C$35))</f>
        <v>46000</v>
      </c>
      <c r="AJ88" s="9" t="n">
        <f aca="false">((Assumptions!$D$123*$C$10)+(Assumptions!$C$34*Assumptions!$C$35))</f>
        <v>46000</v>
      </c>
      <c r="AK88" s="9" t="n">
        <f aca="false">((Assumptions!$D$123*$C$10)+(Assumptions!$C$34*Assumptions!$C$35))</f>
        <v>46000</v>
      </c>
      <c r="AL88" s="9" t="n">
        <f aca="false">((Assumptions!$D$123*$C$10)+(Assumptions!$C$34*Assumptions!$C$35))</f>
        <v>46000</v>
      </c>
    </row>
    <row r="89" customFormat="false" ht="15" hidden="false" customHeight="false" outlineLevel="0" collapsed="false">
      <c r="A89" s="0" t="s">
        <v>895</v>
      </c>
      <c r="B89" s="0" t="s">
        <v>230</v>
      </c>
      <c r="C89" s="9" t="n">
        <f aca="false">((C88/3)*C73)</f>
        <v>0</v>
      </c>
      <c r="D89" s="9" t="n">
        <f aca="false">((D88/3)*SUM(C73:D73))</f>
        <v>0</v>
      </c>
      <c r="E89" s="9" t="n">
        <f aca="false">((E88/3)*SUM(C73:E73))</f>
        <v>0</v>
      </c>
      <c r="F89" s="9" t="n">
        <f aca="false">((F88/3)*SUM(D73:F73))</f>
        <v>0</v>
      </c>
      <c r="G89" s="9" t="n">
        <f aca="false">((G88/3)*SUM(E73:G73))</f>
        <v>0</v>
      </c>
      <c r="H89" s="9" t="n">
        <f aca="false">((H88/3)*SUM(F73:H73))</f>
        <v>0</v>
      </c>
      <c r="I89" s="9" t="n">
        <f aca="false">((I88/3)*SUM(G73:I73))</f>
        <v>0</v>
      </c>
      <c r="J89" s="9" t="n">
        <f aca="false">((J88/3)*SUM(H73:J73))</f>
        <v>0</v>
      </c>
      <c r="K89" s="9" t="n">
        <f aca="false">((K88/3)*SUM(I73:K73))</f>
        <v>0</v>
      </c>
      <c r="L89" s="9" t="n">
        <f aca="false">((L88/3)*SUM(J73:L73))</f>
        <v>0</v>
      </c>
      <c r="M89" s="9" t="n">
        <f aca="false">((M88/3)*SUM(K73:M73))</f>
        <v>0</v>
      </c>
      <c r="N89" s="9" t="n">
        <f aca="false">((N88/3)*SUM(L73:N73))</f>
        <v>0</v>
      </c>
      <c r="O89" s="9" t="n">
        <f aca="false">((O88/3)*SUM(M73:O73))</f>
        <v>0</v>
      </c>
      <c r="P89" s="9" t="n">
        <f aca="false">((P88/3)*SUM(N73:P73))</f>
        <v>0</v>
      </c>
      <c r="Q89" s="9" t="n">
        <f aca="false">((Q88/3)*SUM(O73:Q73))</f>
        <v>0</v>
      </c>
      <c r="R89" s="9" t="n">
        <f aca="false">((R88/3)*SUM(P73:R73))</f>
        <v>0</v>
      </c>
      <c r="S89" s="9" t="n">
        <f aca="false">((S88/3)*SUM(Q73:S73))</f>
        <v>0</v>
      </c>
      <c r="T89" s="9" t="n">
        <f aca="false">((T88/3)*SUM(R73:T73))</f>
        <v>0</v>
      </c>
      <c r="U89" s="9" t="n">
        <f aca="false">((U88/3)*SUM(S73:U73))</f>
        <v>0</v>
      </c>
      <c r="V89" s="9" t="n">
        <f aca="false">((V88/3)*SUM(T73:V73))</f>
        <v>0</v>
      </c>
      <c r="W89" s="9" t="n">
        <f aca="false">((W88/3)*SUM(U73:W73))</f>
        <v>0</v>
      </c>
      <c r="X89" s="9" t="n">
        <f aca="false">((X88/3)*SUM(V73:X73))</f>
        <v>15333.3333333333</v>
      </c>
      <c r="Y89" s="9" t="n">
        <f aca="false">((Y88/3)*SUM(W73:Y73))</f>
        <v>15333.3333333333</v>
      </c>
      <c r="Z89" s="9" t="n">
        <f aca="false">((Z88/3)*SUM(X73:Z73))</f>
        <v>15333.3333333333</v>
      </c>
      <c r="AA89" s="9" t="n">
        <f aca="false">((AA88/3)*SUM(Y73:AA73))</f>
        <v>15333.3333333333</v>
      </c>
      <c r="AB89" s="9" t="n">
        <f aca="false">((AB88/3)*SUM(Z73:AB73))</f>
        <v>15333.3333333333</v>
      </c>
      <c r="AC89" s="9" t="n">
        <f aca="false">((AC88/3)*SUM(AA73:AC73))</f>
        <v>15333.3333333333</v>
      </c>
      <c r="AD89" s="9" t="n">
        <f aca="false">((AD88/3)*SUM(AB73:AD73))</f>
        <v>15333.3333333333</v>
      </c>
      <c r="AE89" s="9" t="n">
        <f aca="false">((AE88/3)*SUM(AC73:AE73))</f>
        <v>15333.3333333333</v>
      </c>
      <c r="AF89" s="9" t="n">
        <f aca="false">((AF88/3)*SUM(AD73:AF73))</f>
        <v>15333.3333333333</v>
      </c>
      <c r="AG89" s="9" t="n">
        <f aca="false">((AG88/3)*SUM(AE73:AG73))</f>
        <v>15333.3333333333</v>
      </c>
      <c r="AH89" s="9" t="n">
        <f aca="false">((AH88/3)*SUM(AF73:AH73))</f>
        <v>30666.6666666667</v>
      </c>
      <c r="AI89" s="9" t="n">
        <f aca="false">((AI88/3)*SUM(AG73:AI73))</f>
        <v>30666.6666666667</v>
      </c>
      <c r="AJ89" s="9" t="n">
        <f aca="false">((AJ88/3)*SUM(AH73:AJ73))</f>
        <v>46000</v>
      </c>
      <c r="AK89" s="9" t="n">
        <f aca="false">((AK88/3)*SUM(AI73:AK73))</f>
        <v>46000</v>
      </c>
      <c r="AL89" s="9" t="n">
        <f aca="false">((AL88/3)*SUM(AJ73:AL73))</f>
        <v>46000</v>
      </c>
      <c r="AN89" s="11" t="n">
        <f aca="false">SUM(C89:N89)</f>
        <v>0</v>
      </c>
      <c r="AO89" s="11" t="n">
        <f aca="false">SUM(O89:Z89)</f>
        <v>46000</v>
      </c>
      <c r="AP89" s="11" t="n">
        <f aca="false">SUM(AA89:AL89)</f>
        <v>306666.666666667</v>
      </c>
    </row>
    <row r="90" customFormat="false" ht="15" hidden="false" customHeight="false" outlineLevel="0" collapsed="false">
      <c r="A90" s="0" t="s">
        <v>896</v>
      </c>
      <c r="B90" s="0" t="s">
        <v>230</v>
      </c>
      <c r="C90" s="9" t="n">
        <f aca="false">(C88*C73)</f>
        <v>0</v>
      </c>
      <c r="D90" s="9" t="n">
        <f aca="false">(D88*D73)</f>
        <v>0</v>
      </c>
      <c r="E90" s="9" t="n">
        <f aca="false">(E88*E73)</f>
        <v>0</v>
      </c>
      <c r="F90" s="9" t="n">
        <f aca="false">(F88*F73)</f>
        <v>0</v>
      </c>
      <c r="G90" s="9" t="n">
        <f aca="false">(G88*G73)</f>
        <v>0</v>
      </c>
      <c r="H90" s="9" t="n">
        <f aca="false">(H88*H73)</f>
        <v>0</v>
      </c>
      <c r="I90" s="9" t="n">
        <f aca="false">(I88*I73)</f>
        <v>0</v>
      </c>
      <c r="J90" s="9" t="n">
        <f aca="false">(J88*J73)</f>
        <v>0</v>
      </c>
      <c r="K90" s="9" t="n">
        <f aca="false">(K88*K73)</f>
        <v>0</v>
      </c>
      <c r="L90" s="9" t="n">
        <f aca="false">(L88*L73)</f>
        <v>0</v>
      </c>
      <c r="M90" s="9" t="n">
        <f aca="false">(M88*M73)</f>
        <v>0</v>
      </c>
      <c r="N90" s="9" t="n">
        <f aca="false">(N88*N73)</f>
        <v>0</v>
      </c>
      <c r="O90" s="9" t="n">
        <f aca="false">(O88*O73)</f>
        <v>0</v>
      </c>
      <c r="P90" s="9" t="n">
        <f aca="false">(P88*P73)</f>
        <v>0</v>
      </c>
      <c r="Q90" s="9" t="n">
        <f aca="false">(Q88*Q73)</f>
        <v>0</v>
      </c>
      <c r="R90" s="9" t="n">
        <f aca="false">(R88*R73)</f>
        <v>0</v>
      </c>
      <c r="S90" s="9" t="n">
        <f aca="false">(S88*S73)</f>
        <v>0</v>
      </c>
      <c r="T90" s="9" t="n">
        <f aca="false">(T88*T73)</f>
        <v>0</v>
      </c>
      <c r="U90" s="9" t="n">
        <f aca="false">(U88*U73)</f>
        <v>0</v>
      </c>
      <c r="V90" s="9" t="n">
        <f aca="false">(V88*V73)</f>
        <v>0</v>
      </c>
      <c r="W90" s="9" t="n">
        <f aca="false">(W88*W73)</f>
        <v>0</v>
      </c>
      <c r="X90" s="9" t="n">
        <f aca="false">(X88*X73)</f>
        <v>46000</v>
      </c>
      <c r="Y90" s="9" t="n">
        <f aca="false">(Y88*Y73)</f>
        <v>0</v>
      </c>
      <c r="Z90" s="9" t="n">
        <f aca="false">(Z88*Z73)</f>
        <v>0</v>
      </c>
      <c r="AA90" s="9" t="n">
        <f aca="false">(AA88*AA73)</f>
        <v>46000</v>
      </c>
      <c r="AB90" s="9" t="n">
        <f aca="false">(AB88*AB73)</f>
        <v>0</v>
      </c>
      <c r="AC90" s="9" t="n">
        <f aca="false">(AC88*AC73)</f>
        <v>0</v>
      </c>
      <c r="AD90" s="9" t="n">
        <f aca="false">(AD88*AD73)</f>
        <v>46000</v>
      </c>
      <c r="AE90" s="9" t="n">
        <f aca="false">(AE88*AE73)</f>
        <v>0</v>
      </c>
      <c r="AF90" s="9" t="n">
        <f aca="false">(AF88*AF73)</f>
        <v>0</v>
      </c>
      <c r="AG90" s="9" t="n">
        <f aca="false">(AG88*AG73)</f>
        <v>46000</v>
      </c>
      <c r="AH90" s="9" t="n">
        <f aca="false">(AH88*AH73)</f>
        <v>46000</v>
      </c>
      <c r="AI90" s="9" t="n">
        <f aca="false">(AI88*AI73)</f>
        <v>0</v>
      </c>
      <c r="AJ90" s="9" t="n">
        <f aca="false">(AJ88*AJ73)</f>
        <v>92000</v>
      </c>
      <c r="AK90" s="9" t="n">
        <f aca="false">(AK88*AK73)</f>
        <v>46000</v>
      </c>
      <c r="AL90" s="9" t="n">
        <f aca="false">(AL88*AL73)</f>
        <v>0</v>
      </c>
      <c r="AN90" s="11" t="n">
        <f aca="false">SUM(C90:N90)</f>
        <v>0</v>
      </c>
      <c r="AO90" s="11" t="n">
        <f aca="false">SUM(O90:Z90)</f>
        <v>46000</v>
      </c>
      <c r="AP90" s="11" t="n">
        <f aca="false">SUM(AA90:AL90)</f>
        <v>322000</v>
      </c>
    </row>
    <row r="91" customFormat="false" ht="15" hidden="false" customHeight="false" outlineLevel="0" collapsed="false">
      <c r="A91" s="0" t="s">
        <v>897</v>
      </c>
      <c r="B91" s="0" t="s">
        <v>285</v>
      </c>
      <c r="C91" s="9" t="n">
        <f aca="false">((C70*Assumptions!$D$124)+(C73*(Assumptions!$D$124+(Assumptions!$C$34*Assumptions!$C$36))))</f>
        <v>0</v>
      </c>
      <c r="D91" s="9" t="n">
        <f aca="false">((D70*Assumptions!$D$124)+(D73*(Assumptions!$D$124+(Assumptions!$C$34*Assumptions!$C$36))))</f>
        <v>0</v>
      </c>
      <c r="E91" s="9" t="n">
        <f aca="false">((E70*Assumptions!$D$124)+(E73*(Assumptions!$D$124+(Assumptions!$C$34*Assumptions!$C$36))))</f>
        <v>0</v>
      </c>
      <c r="F91" s="9" t="n">
        <f aca="false">((F70*Assumptions!$D$124)+(F73*(Assumptions!$D$124+(Assumptions!$C$34*Assumptions!$C$36))))</f>
        <v>0</v>
      </c>
      <c r="G91" s="9" t="n">
        <f aca="false">((G70*Assumptions!$D$124)+(G73*(Assumptions!$D$124+(Assumptions!$C$34*Assumptions!$C$36))))</f>
        <v>0</v>
      </c>
      <c r="H91" s="9" t="n">
        <f aca="false">((H70*Assumptions!$D$124)+(H73*(Assumptions!$D$124+(Assumptions!$C$34*Assumptions!$C$36))))</f>
        <v>0</v>
      </c>
      <c r="I91" s="9" t="n">
        <f aca="false">((I70*Assumptions!$D$124)+(I73*(Assumptions!$D$124+(Assumptions!$C$34*Assumptions!$C$36))))</f>
        <v>0</v>
      </c>
      <c r="J91" s="9" t="n">
        <f aca="false">((J70*Assumptions!$D$124)+(J73*(Assumptions!$D$124+(Assumptions!$C$34*Assumptions!$C$36))))</f>
        <v>330</v>
      </c>
      <c r="K91" s="9" t="n">
        <f aca="false">((K70*Assumptions!$D$124)+(K73*(Assumptions!$D$124+(Assumptions!$C$34*Assumptions!$C$36))))</f>
        <v>0</v>
      </c>
      <c r="L91" s="9" t="n">
        <f aca="false">((L70*Assumptions!$D$124)+(L73*(Assumptions!$D$124+(Assumptions!$C$34*Assumptions!$C$36))))</f>
        <v>0</v>
      </c>
      <c r="M91" s="9" t="n">
        <f aca="false">((M70*Assumptions!$D$124)+(M73*(Assumptions!$D$124+(Assumptions!$C$34*Assumptions!$C$36))))</f>
        <v>0</v>
      </c>
      <c r="N91" s="9" t="n">
        <f aca="false">((N70*Assumptions!$D$124)+(N73*(Assumptions!$D$124+(Assumptions!$C$34*Assumptions!$C$36))))</f>
        <v>0</v>
      </c>
      <c r="O91" s="9" t="n">
        <f aca="false">((O70*Assumptions!$D$124)+(O73*(Assumptions!$D$124+(Assumptions!$C$34*Assumptions!$C$36))))</f>
        <v>0</v>
      </c>
      <c r="P91" s="9" t="n">
        <f aca="false">((P70*Assumptions!$D$124)+(P73*(Assumptions!$D$124+(Assumptions!$C$34*Assumptions!$C$36))))</f>
        <v>0</v>
      </c>
      <c r="Q91" s="9" t="n">
        <f aca="false">((Q70*Assumptions!$D$124)+(Q73*(Assumptions!$D$124+(Assumptions!$C$34*Assumptions!$C$36))))</f>
        <v>0</v>
      </c>
      <c r="R91" s="9" t="n">
        <f aca="false">((R70*Assumptions!$D$124)+(R73*(Assumptions!$D$124+(Assumptions!$C$34*Assumptions!$C$36))))</f>
        <v>0</v>
      </c>
      <c r="S91" s="9" t="n">
        <f aca="false">((S70*Assumptions!$D$124)+(S73*(Assumptions!$D$124+(Assumptions!$C$34*Assumptions!$C$36))))</f>
        <v>0</v>
      </c>
      <c r="T91" s="9" t="n">
        <f aca="false">((T70*Assumptions!$D$124)+(T73*(Assumptions!$D$124+(Assumptions!$C$34*Assumptions!$C$36))))</f>
        <v>0</v>
      </c>
      <c r="U91" s="9" t="n">
        <f aca="false">((U70*Assumptions!$D$124)+(U73*(Assumptions!$D$124+(Assumptions!$C$34*Assumptions!$C$36))))</f>
        <v>0</v>
      </c>
      <c r="V91" s="9" t="n">
        <f aca="false">((V70*Assumptions!$D$124)+(V73*(Assumptions!$D$124+(Assumptions!$C$34*Assumptions!$C$36))))</f>
        <v>0</v>
      </c>
      <c r="W91" s="9" t="n">
        <f aca="false">((W70*Assumptions!$D$124)+(W73*(Assumptions!$D$124+(Assumptions!$C$34*Assumptions!$C$36))))</f>
        <v>0</v>
      </c>
      <c r="X91" s="9" t="n">
        <f aca="false">((X70*Assumptions!$D$124)+(X73*(Assumptions!$D$124+(Assumptions!$C$34*Assumptions!$C$36))))</f>
        <v>374</v>
      </c>
      <c r="Y91" s="9" t="n">
        <f aca="false">((Y70*Assumptions!$D$124)+(Y73*(Assumptions!$D$124+(Assumptions!$C$34*Assumptions!$C$36))))</f>
        <v>0</v>
      </c>
      <c r="Z91" s="9" t="n">
        <f aca="false">((Z70*Assumptions!$D$124)+(Z73*(Assumptions!$D$124+(Assumptions!$C$34*Assumptions!$C$36))))</f>
        <v>0</v>
      </c>
      <c r="AA91" s="9" t="n">
        <f aca="false">((AA70*Assumptions!$D$124)+(AA73*(Assumptions!$D$124+(Assumptions!$C$34*Assumptions!$C$36))))</f>
        <v>374</v>
      </c>
      <c r="AB91" s="9" t="n">
        <f aca="false">((AB70*Assumptions!$D$124)+(AB73*(Assumptions!$D$124+(Assumptions!$C$34*Assumptions!$C$36))))</f>
        <v>0</v>
      </c>
      <c r="AC91" s="9" t="n">
        <f aca="false">((AC70*Assumptions!$D$124)+(AC73*(Assumptions!$D$124+(Assumptions!$C$34*Assumptions!$C$36))))</f>
        <v>0</v>
      </c>
      <c r="AD91" s="9" t="n">
        <f aca="false">((AD70*Assumptions!$D$124)+(AD73*(Assumptions!$D$124+(Assumptions!$C$34*Assumptions!$C$36))))</f>
        <v>374</v>
      </c>
      <c r="AE91" s="9" t="n">
        <f aca="false">((AE70*Assumptions!$D$124)+(AE73*(Assumptions!$D$124+(Assumptions!$C$34*Assumptions!$C$36))))</f>
        <v>0</v>
      </c>
      <c r="AF91" s="9" t="n">
        <f aca="false">((AF70*Assumptions!$D$124)+(AF73*(Assumptions!$D$124+(Assumptions!$C$34*Assumptions!$C$36))))</f>
        <v>0</v>
      </c>
      <c r="AG91" s="9" t="n">
        <f aca="false">((AG70*Assumptions!$D$124)+(AG73*(Assumptions!$D$124+(Assumptions!$C$34*Assumptions!$C$36))))</f>
        <v>374</v>
      </c>
      <c r="AH91" s="9" t="n">
        <f aca="false">((AH70*Assumptions!$D$124)+(AH73*(Assumptions!$D$124+(Assumptions!$C$34*Assumptions!$C$36))))</f>
        <v>374</v>
      </c>
      <c r="AI91" s="9" t="n">
        <f aca="false">((AI70*Assumptions!$D$124)+(AI73*(Assumptions!$D$124+(Assumptions!$C$34*Assumptions!$C$36))))</f>
        <v>0</v>
      </c>
      <c r="AJ91" s="9" t="n">
        <f aca="false">((AJ70*Assumptions!$D$124)+(AJ73*(Assumptions!$D$124+(Assumptions!$C$34*Assumptions!$C$36))))</f>
        <v>748</v>
      </c>
      <c r="AK91" s="9" t="n">
        <f aca="false">((AK70*Assumptions!$D$124)+(AK73*(Assumptions!$D$124+(Assumptions!$C$34*Assumptions!$C$36))))</f>
        <v>374</v>
      </c>
      <c r="AL91" s="9" t="n">
        <f aca="false">((AL70*Assumptions!$D$124)+(AL73*(Assumptions!$D$124+(Assumptions!$C$34*Assumptions!$C$36))))</f>
        <v>0</v>
      </c>
      <c r="AN91" s="11" t="n">
        <f aca="false">SUM(C91:N91)</f>
        <v>330</v>
      </c>
      <c r="AO91" s="11" t="n">
        <f aca="false">SUM(O91:Z91)</f>
        <v>374</v>
      </c>
      <c r="AP91" s="11" t="n">
        <f aca="false">SUM(AA91:AL91)</f>
        <v>2618</v>
      </c>
    </row>
    <row r="92" customFormat="false" ht="15" hidden="false" customHeight="false" outlineLevel="0" collapsed="false">
      <c r="A92" s="0" t="s">
        <v>898</v>
      </c>
      <c r="B92" s="0" t="s">
        <v>852</v>
      </c>
      <c r="C92" s="14" t="n">
        <f aca="false">((IF(OR((C$18-(Assumptions!$C$9-1)-$C$9)&lt;1,(C$18-(Assumptions!$C$9-1)-$C$9)&gt;36),0,INDEX(Schedules!$C$7:$AL$7,(C$18-(Assumptions!$C$9-1)-$C$9)))*$C$7)*C44)</f>
        <v>0</v>
      </c>
      <c r="D92" s="14" t="n">
        <f aca="false">((IF(OR((D$18-(Assumptions!$C$9-1)-$C$9)&lt;1,(D$18-(Assumptions!$C$9-1)-$C$9)&gt;36),0,INDEX(Schedules!$C$7:$AL$7,(D$18-(Assumptions!$C$9-1)-$C$9)))*$C$7)*D44)</f>
        <v>0</v>
      </c>
      <c r="E92" s="14" t="n">
        <f aca="false">((IF(OR((E$18-(Assumptions!$C$9-1)-$C$9)&lt;1,(E$18-(Assumptions!$C$9-1)-$C$9)&gt;36),0,INDEX(Schedules!$C$7:$AL$7,(E$18-(Assumptions!$C$9-1)-$C$9)))*$C$7)*E44)</f>
        <v>0</v>
      </c>
      <c r="F92" s="14" t="n">
        <f aca="false">((IF(OR((F$18-(Assumptions!$C$9-1)-$C$9)&lt;1,(F$18-(Assumptions!$C$9-1)-$C$9)&gt;36),0,INDEX(Schedules!$C$7:$AL$7,(F$18-(Assumptions!$C$9-1)-$C$9)))*$C$7)*F44)</f>
        <v>0</v>
      </c>
      <c r="G92" s="14" t="n">
        <f aca="false">((IF(OR((G$18-(Assumptions!$C$9-1)-$C$9)&lt;1,(G$18-(Assumptions!$C$9-1)-$C$9)&gt;36),0,INDEX(Schedules!$C$7:$AL$7,(G$18-(Assumptions!$C$9-1)-$C$9)))*$C$7)*G44)</f>
        <v>0</v>
      </c>
      <c r="H92" s="14" t="n">
        <f aca="false">((IF(OR((H$18-(Assumptions!$C$9-1)-$C$9)&lt;1,(H$18-(Assumptions!$C$9-1)-$C$9)&gt;36),0,INDEX(Schedules!$C$7:$AL$7,(H$18-(Assumptions!$C$9-1)-$C$9)))*$C$7)*H44)</f>
        <v>0</v>
      </c>
      <c r="I92" s="14" t="n">
        <f aca="false">((IF(OR((I$18-(Assumptions!$C$9-1)-$C$9)&lt;1,(I$18-(Assumptions!$C$9-1)-$C$9)&gt;36),0,INDEX(Schedules!$C$7:$AL$7,(I$18-(Assumptions!$C$9-1)-$C$9)))*$C$7)*I44)</f>
        <v>0</v>
      </c>
      <c r="J92" s="14" t="n">
        <f aca="false">((IF(OR((J$18-(Assumptions!$C$9-1)-$C$9)&lt;1,(J$18-(Assumptions!$C$9-1)-$C$9)&gt;36),0,INDEX(Schedules!$C$7:$AL$7,(J$18-(Assumptions!$C$9-1)-$C$9)))*$C$7)*J44)</f>
        <v>0</v>
      </c>
      <c r="K92" s="14" t="n">
        <f aca="false">((IF(OR((K$18-(Assumptions!$C$9-1)-$C$9)&lt;1,(K$18-(Assumptions!$C$9-1)-$C$9)&gt;36),0,INDEX(Schedules!$C$7:$AL$7,(K$18-(Assumptions!$C$9-1)-$C$9)))*$C$7)*K44)</f>
        <v>0</v>
      </c>
      <c r="L92" s="14" t="n">
        <f aca="false">((IF(OR((L$18-(Assumptions!$C$9-1)-$C$9)&lt;1,(L$18-(Assumptions!$C$9-1)-$C$9)&gt;36),0,INDEX(Schedules!$C$7:$AL$7,(L$18-(Assumptions!$C$9-1)-$C$9)))*$C$7)*L44)</f>
        <v>0</v>
      </c>
      <c r="M92" s="14" t="n">
        <f aca="false">((IF(OR((M$18-(Assumptions!$C$9-1)-$C$9)&lt;1,(M$18-(Assumptions!$C$9-1)-$C$9)&gt;36),0,INDEX(Schedules!$C$7:$AL$7,(M$18-(Assumptions!$C$9-1)-$C$9)))*$C$7)*M44)</f>
        <v>0</v>
      </c>
      <c r="N92" s="14" t="n">
        <f aca="false">((IF(OR((N$18-(Assumptions!$C$9-1)-$C$9)&lt;1,(N$18-(Assumptions!$C$9-1)-$C$9)&gt;36),0,INDEX(Schedules!$C$7:$AL$7,(N$18-(Assumptions!$C$9-1)-$C$9)))*$C$7)*N44)</f>
        <v>0</v>
      </c>
      <c r="O92" s="14" t="n">
        <f aca="false">((IF(OR((O$18-(Assumptions!$C$9-1)-$C$9)&lt;1,(O$18-(Assumptions!$C$9-1)-$C$9)&gt;36),0,INDEX(Schedules!$C$7:$AL$7,(O$18-(Assumptions!$C$9-1)-$C$9)))*$C$7)*O44)</f>
        <v>0</v>
      </c>
      <c r="P92" s="14" t="n">
        <f aca="false">((IF(OR((P$18-(Assumptions!$C$9-1)-$C$9)&lt;1,(P$18-(Assumptions!$C$9-1)-$C$9)&gt;36),0,INDEX(Schedules!$C$7:$AL$7,(P$18-(Assumptions!$C$9-1)-$C$9)))*$C$7)*P44)</f>
        <v>0</v>
      </c>
      <c r="Q92" s="14" t="n">
        <f aca="false">((IF(OR((Q$18-(Assumptions!$C$9-1)-$C$9)&lt;1,(Q$18-(Assumptions!$C$9-1)-$C$9)&gt;36),0,INDEX(Schedules!$C$7:$AL$7,(Q$18-(Assumptions!$C$9-1)-$C$9)))*$C$7)*Q44)</f>
        <v>0</v>
      </c>
      <c r="R92" s="14" t="n">
        <f aca="false">((IF(OR((R$18-(Assumptions!$C$9-1)-$C$9)&lt;1,(R$18-(Assumptions!$C$9-1)-$C$9)&gt;36),0,INDEX(Schedules!$C$7:$AL$7,(R$18-(Assumptions!$C$9-1)-$C$9)))*$C$7)*R44)</f>
        <v>0</v>
      </c>
      <c r="S92" s="14" t="n">
        <f aca="false">((IF(OR((S$18-(Assumptions!$C$9-1)-$C$9)&lt;1,(S$18-(Assumptions!$C$9-1)-$C$9)&gt;36),0,INDEX(Schedules!$C$7:$AL$7,(S$18-(Assumptions!$C$9-1)-$C$9)))*$C$7)*S44)</f>
        <v>0</v>
      </c>
      <c r="T92" s="14" t="n">
        <f aca="false">((IF(OR((T$18-(Assumptions!$C$9-1)-$C$9)&lt;1,(T$18-(Assumptions!$C$9-1)-$C$9)&gt;36),0,INDEX(Schedules!$C$7:$AL$7,(T$18-(Assumptions!$C$9-1)-$C$9)))*$C$7)*T44)</f>
        <v>0</v>
      </c>
      <c r="U92" s="14" t="n">
        <f aca="false">((IF(OR((U$18-(Assumptions!$C$9-1)-$C$9)&lt;1,(U$18-(Assumptions!$C$9-1)-$C$9)&gt;36),0,INDEX(Schedules!$C$7:$AL$7,(U$18-(Assumptions!$C$9-1)-$C$9)))*$C$7)*U44)</f>
        <v>0</v>
      </c>
      <c r="V92" s="14" t="n">
        <f aca="false">((IF(OR((V$18-(Assumptions!$C$9-1)-$C$9)&lt;1,(V$18-(Assumptions!$C$9-1)-$C$9)&gt;36),0,INDEX(Schedules!$C$7:$AL$7,(V$18-(Assumptions!$C$9-1)-$C$9)))*$C$7)*V44)</f>
        <v>0</v>
      </c>
      <c r="W92" s="14" t="n">
        <f aca="false">((IF(OR((W$18-(Assumptions!$C$9-1)-$C$9)&lt;1,(W$18-(Assumptions!$C$9-1)-$C$9)&gt;36),0,INDEX(Schedules!$C$7:$AL$7,(W$18-(Assumptions!$C$9-1)-$C$9)))*$C$7)*W44)</f>
        <v>0</v>
      </c>
      <c r="X92" s="14" t="n">
        <f aca="false">((IF(OR((X$18-(Assumptions!$C$9-1)-$C$9)&lt;1,(X$18-(Assumptions!$C$9-1)-$C$9)&gt;36),0,INDEX(Schedules!$C$7:$AL$7,(X$18-(Assumptions!$C$9-1)-$C$9)))*$C$7)*X44)</f>
        <v>0</v>
      </c>
      <c r="Y92" s="14" t="n">
        <f aca="false">((IF(OR((Y$18-(Assumptions!$C$9-1)-$C$9)&lt;1,(Y$18-(Assumptions!$C$9-1)-$C$9)&gt;36),0,INDEX(Schedules!$C$7:$AL$7,(Y$18-(Assumptions!$C$9-1)-$C$9)))*$C$7)*Y44)</f>
        <v>0</v>
      </c>
      <c r="Z92" s="14" t="n">
        <f aca="false">((IF(OR((Z$18-(Assumptions!$C$9-1)-$C$9)&lt;1,(Z$18-(Assumptions!$C$9-1)-$C$9)&gt;36),0,INDEX(Schedules!$C$7:$AL$7,(Z$18-(Assumptions!$C$9-1)-$C$9)))*$C$7)*Z44)</f>
        <v>0</v>
      </c>
      <c r="AA92" s="14" t="n">
        <f aca="false">((IF(OR((AA$18-(Assumptions!$C$9-1)-$C$9)&lt;1,(AA$18-(Assumptions!$C$9-1)-$C$9)&gt;36),0,INDEX(Schedules!$C$7:$AL$7,(AA$18-(Assumptions!$C$9-1)-$C$9)))*$C$7)*AA44)</f>
        <v>0</v>
      </c>
      <c r="AB92" s="14" t="n">
        <f aca="false">((IF(OR((AB$18-(Assumptions!$C$9-1)-$C$9)&lt;1,(AB$18-(Assumptions!$C$9-1)-$C$9)&gt;36),0,INDEX(Schedules!$C$7:$AL$7,(AB$18-(Assumptions!$C$9-1)-$C$9)))*$C$7)*AB44)</f>
        <v>0</v>
      </c>
      <c r="AC92" s="14" t="n">
        <f aca="false">((IF(OR((AC$18-(Assumptions!$C$9-1)-$C$9)&lt;1,(AC$18-(Assumptions!$C$9-1)-$C$9)&gt;36),0,INDEX(Schedules!$C$7:$AL$7,(AC$18-(Assumptions!$C$9-1)-$C$9)))*$C$7)*AC44)</f>
        <v>0</v>
      </c>
      <c r="AD92" s="14" t="n">
        <f aca="false">((IF(OR((AD$18-(Assumptions!$C$9-1)-$C$9)&lt;1,(AD$18-(Assumptions!$C$9-1)-$C$9)&gt;36),0,INDEX(Schedules!$C$7:$AL$7,(AD$18-(Assumptions!$C$9-1)-$C$9)))*$C$7)*AD44)</f>
        <v>0</v>
      </c>
      <c r="AE92" s="14" t="n">
        <f aca="false">((IF(OR((AE$18-(Assumptions!$C$9-1)-$C$9)&lt;1,(AE$18-(Assumptions!$C$9-1)-$C$9)&gt;36),0,INDEX(Schedules!$C$7:$AL$7,(AE$18-(Assumptions!$C$9-1)-$C$9)))*$C$7)*AE44)</f>
        <v>0</v>
      </c>
      <c r="AF92" s="14" t="n">
        <f aca="false">((IF(OR((AF$18-(Assumptions!$C$9-1)-$C$9)&lt;1,(AF$18-(Assumptions!$C$9-1)-$C$9)&gt;36),0,INDEX(Schedules!$C$7:$AL$7,(AF$18-(Assumptions!$C$9-1)-$C$9)))*$C$7)*AF44)</f>
        <v>0</v>
      </c>
      <c r="AG92" s="14" t="n">
        <f aca="false">((IF(OR((AG$18-(Assumptions!$C$9-1)-$C$9)&lt;1,(AG$18-(Assumptions!$C$9-1)-$C$9)&gt;36),0,INDEX(Schedules!$C$7:$AL$7,(AG$18-(Assumptions!$C$9-1)-$C$9)))*$C$7)*AG44)</f>
        <v>0</v>
      </c>
      <c r="AH92" s="14" t="n">
        <f aca="false">((IF(OR((AH$18-(Assumptions!$C$9-1)-$C$9)&lt;1,(AH$18-(Assumptions!$C$9-1)-$C$9)&gt;36),0,INDEX(Schedules!$C$7:$AL$7,(AH$18-(Assumptions!$C$9-1)-$C$9)))*$C$7)*AH44)</f>
        <v>0</v>
      </c>
      <c r="AI92" s="14" t="n">
        <f aca="false">((IF(OR((AI$18-(Assumptions!$C$9-1)-$C$9)&lt;1,(AI$18-(Assumptions!$C$9-1)-$C$9)&gt;36),0,INDEX(Schedules!$C$7:$AL$7,(AI$18-(Assumptions!$C$9-1)-$C$9)))*$C$7)*AI44)</f>
        <v>0</v>
      </c>
      <c r="AJ92" s="14" t="n">
        <f aca="false">((IF(OR((AJ$18-(Assumptions!$C$9-1)-$C$9)&lt;1,(AJ$18-(Assumptions!$C$9-1)-$C$9)&gt;36),0,INDEX(Schedules!$C$7:$AL$7,(AJ$18-(Assumptions!$C$9-1)-$C$9)))*$C$7)*AJ44)</f>
        <v>0</v>
      </c>
      <c r="AK92" s="14" t="n">
        <f aca="false">((IF(OR((AK$18-(Assumptions!$C$9-1)-$C$9)&lt;1,(AK$18-(Assumptions!$C$9-1)-$C$9)&gt;36),0,INDEX(Schedules!$C$7:$AL$7,(AK$18-(Assumptions!$C$9-1)-$C$9)))*$C$7)*AK44)</f>
        <v>0</v>
      </c>
      <c r="AL92" s="14" t="n">
        <f aca="false">((IF(OR((AL$18-(Assumptions!$C$9-1)-$C$9)&lt;1,(AL$18-(Assumptions!$C$9-1)-$C$9)&gt;36),0,INDEX(Schedules!$C$7:$AL$7,(AL$18-(Assumptions!$C$9-1)-$C$9)))*$C$7)*AL44)</f>
        <v>1</v>
      </c>
      <c r="AN92" s="36" t="n">
        <f aca="false">SUM(C92:N92)</f>
        <v>0</v>
      </c>
      <c r="AO92" s="36" t="n">
        <f aca="false">SUM(O92:Z92)</f>
        <v>0</v>
      </c>
      <c r="AP92" s="36" t="n">
        <f aca="false">SUM(AA92:AL92)</f>
        <v>1</v>
      </c>
    </row>
    <row r="93" customFormat="false" ht="15" hidden="false" customHeight="false" outlineLevel="0" collapsed="false">
      <c r="A93" s="0" t="s">
        <v>899</v>
      </c>
      <c r="B93" s="0" t="s">
        <v>852</v>
      </c>
      <c r="C93" s="14" t="n">
        <f aca="false">INDEX(Schedules!$C$13:$AL$13,C$18)</f>
        <v>0</v>
      </c>
      <c r="D93" s="14" t="n">
        <f aca="false">INDEX(Schedules!$C$13:$AL$13,D$18)</f>
        <v>0</v>
      </c>
      <c r="E93" s="14" t="n">
        <f aca="false">INDEX(Schedules!$C$13:$AL$13,E$18)</f>
        <v>0</v>
      </c>
      <c r="F93" s="14" t="n">
        <f aca="false">INDEX(Schedules!$C$13:$AL$13,F$18)</f>
        <v>0</v>
      </c>
      <c r="G93" s="14" t="n">
        <f aca="false">INDEX(Schedules!$C$13:$AL$13,G$18)</f>
        <v>0</v>
      </c>
      <c r="H93" s="14" t="n">
        <f aca="false">INDEX(Schedules!$C$13:$AL$13,H$18)</f>
        <v>0</v>
      </c>
      <c r="I93" s="14" t="n">
        <f aca="false">INDEX(Schedules!$C$13:$AL$13,I$18)</f>
        <v>0</v>
      </c>
      <c r="J93" s="14" t="n">
        <f aca="false">INDEX(Schedules!$C$13:$AL$13,J$18)</f>
        <v>0</v>
      </c>
      <c r="K93" s="14" t="n">
        <f aca="false">INDEX(Schedules!$C$13:$AL$13,K$18)</f>
        <v>0</v>
      </c>
      <c r="L93" s="14" t="n">
        <f aca="false">INDEX(Schedules!$C$13:$AL$13,L$18)</f>
        <v>0</v>
      </c>
      <c r="M93" s="14" t="n">
        <f aca="false">INDEX(Schedules!$C$13:$AL$13,M$18)</f>
        <v>0</v>
      </c>
      <c r="N93" s="14" t="n">
        <f aca="false">INDEX(Schedules!$C$13:$AL$13,N$18)</f>
        <v>0</v>
      </c>
      <c r="O93" s="14" t="n">
        <f aca="false">INDEX(Schedules!$C$13:$AL$13,O$18)</f>
        <v>0</v>
      </c>
      <c r="P93" s="14" t="n">
        <f aca="false">INDEX(Schedules!$C$13:$AL$13,P$18)</f>
        <v>0</v>
      </c>
      <c r="Q93" s="14" t="n">
        <f aca="false">INDEX(Schedules!$C$13:$AL$13,Q$18)</f>
        <v>0</v>
      </c>
      <c r="R93" s="14" t="n">
        <f aca="false">INDEX(Schedules!$C$13:$AL$13,R$18)</f>
        <v>0</v>
      </c>
      <c r="S93" s="14" t="n">
        <f aca="false">INDEX(Schedules!$C$13:$AL$13,S$18)</f>
        <v>0</v>
      </c>
      <c r="T93" s="14" t="n">
        <f aca="false">INDEX(Schedules!$C$13:$AL$13,T$18)</f>
        <v>0</v>
      </c>
      <c r="U93" s="14" t="n">
        <f aca="false">INDEX(Schedules!$C$13:$AL$13,U$18)</f>
        <v>0</v>
      </c>
      <c r="V93" s="14" t="n">
        <f aca="false">INDEX(Schedules!$C$13:$AL$13,V$18)</f>
        <v>0</v>
      </c>
      <c r="W93" s="14" t="n">
        <f aca="false">INDEX(Schedules!$C$13:$AL$13,W$18)</f>
        <v>0</v>
      </c>
      <c r="X93" s="14" t="n">
        <f aca="false">INDEX(Schedules!$C$13:$AL$13,X$18)</f>
        <v>0</v>
      </c>
      <c r="Y93" s="14" t="n">
        <f aca="false">INDEX(Schedules!$C$13:$AL$13,Y$18)</f>
        <v>0</v>
      </c>
      <c r="Z93" s="14" t="n">
        <f aca="false">INDEX(Schedules!$C$13:$AL$13,Z$18)</f>
        <v>0</v>
      </c>
      <c r="AA93" s="14" t="n">
        <f aca="false">INDEX(Schedules!$C$13:$AL$13,AA$18)</f>
        <v>0</v>
      </c>
      <c r="AB93" s="14" t="n">
        <f aca="false">INDEX(Schedules!$C$13:$AL$13,AB$18)</f>
        <v>0</v>
      </c>
      <c r="AC93" s="14" t="n">
        <f aca="false">INDEX(Schedules!$C$13:$AL$13,AC$18)</f>
        <v>0</v>
      </c>
      <c r="AD93" s="14" t="n">
        <f aca="false">INDEX(Schedules!$C$13:$AL$13,AD$18)</f>
        <v>0</v>
      </c>
      <c r="AE93" s="14" t="n">
        <f aca="false">INDEX(Schedules!$C$13:$AL$13,AE$18)</f>
        <v>0</v>
      </c>
      <c r="AF93" s="14" t="n">
        <f aca="false">INDEX(Schedules!$C$13:$AL$13,AF$18)</f>
        <v>0</v>
      </c>
      <c r="AG93" s="14" t="n">
        <f aca="false">INDEX(Schedules!$C$13:$AL$13,AG$18)</f>
        <v>0</v>
      </c>
      <c r="AH93" s="14" t="n">
        <f aca="false">INDEX(Schedules!$C$13:$AL$13,AH$18)</f>
        <v>0</v>
      </c>
      <c r="AI93" s="14" t="n">
        <f aca="false">INDEX(Schedules!$C$13:$AL$13,AI$18)</f>
        <v>0</v>
      </c>
      <c r="AJ93" s="14" t="n">
        <f aca="false">INDEX(Schedules!$C$13:$AL$13,AJ$18)</f>
        <v>0</v>
      </c>
      <c r="AK93" s="14" t="n">
        <f aca="false">INDEX(Schedules!$C$13:$AL$13,AK$18)</f>
        <v>0</v>
      </c>
      <c r="AL93" s="14" t="n">
        <f aca="false">INDEX(Schedules!$C$13:$AL$13,AL$18)</f>
        <v>0</v>
      </c>
      <c r="AN93" s="36" t="n">
        <f aca="false">SUM(C93:N93)</f>
        <v>0</v>
      </c>
      <c r="AO93" s="36" t="n">
        <f aca="false">SUM(O93:Z93)</f>
        <v>0</v>
      </c>
      <c r="AP93" s="36" t="n">
        <f aca="false">SUM(AA93:AL93)</f>
        <v>0</v>
      </c>
    </row>
    <row r="94" customFormat="false" ht="15" hidden="false" customHeight="false" outlineLevel="0" collapsed="false">
      <c r="A94" s="0" t="s">
        <v>900</v>
      </c>
      <c r="B94" s="0" t="s">
        <v>852</v>
      </c>
      <c r="C94" s="14" t="n">
        <f aca="false">(C92+C93)</f>
        <v>0</v>
      </c>
      <c r="D94" s="14" t="n">
        <f aca="false">(D92+D93)</f>
        <v>0</v>
      </c>
      <c r="E94" s="14" t="n">
        <f aca="false">(E92+E93)</f>
        <v>0</v>
      </c>
      <c r="F94" s="14" t="n">
        <f aca="false">(F92+F93)</f>
        <v>0</v>
      </c>
      <c r="G94" s="14" t="n">
        <f aca="false">(G92+G93)</f>
        <v>0</v>
      </c>
      <c r="H94" s="14" t="n">
        <f aca="false">(H92+H93)</f>
        <v>0</v>
      </c>
      <c r="I94" s="14" t="n">
        <f aca="false">(I92+I93)</f>
        <v>0</v>
      </c>
      <c r="J94" s="14" t="n">
        <f aca="false">(J92+J93)</f>
        <v>0</v>
      </c>
      <c r="K94" s="14" t="n">
        <f aca="false">(K92+K93)</f>
        <v>0</v>
      </c>
      <c r="L94" s="14" t="n">
        <f aca="false">(L92+L93)</f>
        <v>0</v>
      </c>
      <c r="M94" s="14" t="n">
        <f aca="false">(M92+M93)</f>
        <v>0</v>
      </c>
      <c r="N94" s="14" t="n">
        <f aca="false">(N92+N93)</f>
        <v>0</v>
      </c>
      <c r="O94" s="14" t="n">
        <f aca="false">(O92+O93)</f>
        <v>0</v>
      </c>
      <c r="P94" s="14" t="n">
        <f aca="false">(P92+P93)</f>
        <v>0</v>
      </c>
      <c r="Q94" s="14" t="n">
        <f aca="false">(Q92+Q93)</f>
        <v>0</v>
      </c>
      <c r="R94" s="14" t="n">
        <f aca="false">(R92+R93)</f>
        <v>0</v>
      </c>
      <c r="S94" s="14" t="n">
        <f aca="false">(S92+S93)</f>
        <v>0</v>
      </c>
      <c r="T94" s="14" t="n">
        <f aca="false">(T92+T93)</f>
        <v>0</v>
      </c>
      <c r="U94" s="14" t="n">
        <f aca="false">(U92+U93)</f>
        <v>0</v>
      </c>
      <c r="V94" s="14" t="n">
        <f aca="false">(V92+V93)</f>
        <v>0</v>
      </c>
      <c r="W94" s="14" t="n">
        <f aca="false">(W92+W93)</f>
        <v>0</v>
      </c>
      <c r="X94" s="14" t="n">
        <f aca="false">(X92+X93)</f>
        <v>0</v>
      </c>
      <c r="Y94" s="14" t="n">
        <f aca="false">(Y92+Y93)</f>
        <v>0</v>
      </c>
      <c r="Z94" s="14" t="n">
        <f aca="false">(Z92+Z93)</f>
        <v>0</v>
      </c>
      <c r="AA94" s="14" t="n">
        <f aca="false">(AA92+AA93)</f>
        <v>0</v>
      </c>
      <c r="AB94" s="14" t="n">
        <f aca="false">(AB92+AB93)</f>
        <v>0</v>
      </c>
      <c r="AC94" s="14" t="n">
        <f aca="false">(AC92+AC93)</f>
        <v>0</v>
      </c>
      <c r="AD94" s="14" t="n">
        <f aca="false">(AD92+AD93)</f>
        <v>0</v>
      </c>
      <c r="AE94" s="14" t="n">
        <f aca="false">(AE92+AE93)</f>
        <v>0</v>
      </c>
      <c r="AF94" s="14" t="n">
        <f aca="false">(AF92+AF93)</f>
        <v>0</v>
      </c>
      <c r="AG94" s="14" t="n">
        <f aca="false">(AG92+AG93)</f>
        <v>0</v>
      </c>
      <c r="AH94" s="14" t="n">
        <f aca="false">(AH92+AH93)</f>
        <v>0</v>
      </c>
      <c r="AI94" s="14" t="n">
        <f aca="false">(AI92+AI93)</f>
        <v>0</v>
      </c>
      <c r="AJ94" s="14" t="n">
        <f aca="false">(AJ92+AJ93)</f>
        <v>0</v>
      </c>
      <c r="AK94" s="14" t="n">
        <f aca="false">(AK92+AK93)</f>
        <v>0</v>
      </c>
      <c r="AL94" s="14" t="n">
        <f aca="false">(AL92+AL93)</f>
        <v>1</v>
      </c>
      <c r="AN94" s="36" t="n">
        <f aca="false">SUM(C94:N94)</f>
        <v>0</v>
      </c>
      <c r="AO94" s="36" t="n">
        <f aca="false">SUM(O94:Z94)</f>
        <v>0</v>
      </c>
      <c r="AP94" s="36" t="n">
        <f aca="false">SUM(AA94:AL94)</f>
        <v>1</v>
      </c>
    </row>
    <row r="95" customFormat="false" ht="15" hidden="false" customHeight="false" outlineLevel="0" collapsed="false">
      <c r="A95" s="0" t="s">
        <v>901</v>
      </c>
      <c r="B95" s="0" t="s">
        <v>852</v>
      </c>
      <c r="C95" s="14" t="n">
        <f aca="false">((IF(OR((C$18-(Assumptions!$C$9-1)-$C$9)&lt;1,(C$18-(Assumptions!$C$9-1)-$C$9)&gt;36),0,INDEX(Schedules!$C$10:$AL$10,(C$18-(Assumptions!$C$9-1)-$C$9)))*$C$7)*C44)</f>
        <v>0</v>
      </c>
      <c r="D95" s="14" t="n">
        <f aca="false">((IF(OR((D$18-(Assumptions!$C$9-1)-$C$9)&lt;1,(D$18-(Assumptions!$C$9-1)-$C$9)&gt;36),0,INDEX(Schedules!$C$10:$AL$10,(D$18-(Assumptions!$C$9-1)-$C$9)))*$C$7)*D44)</f>
        <v>0</v>
      </c>
      <c r="E95" s="14" t="n">
        <f aca="false">((IF(OR((E$18-(Assumptions!$C$9-1)-$C$9)&lt;1,(E$18-(Assumptions!$C$9-1)-$C$9)&gt;36),0,INDEX(Schedules!$C$10:$AL$10,(E$18-(Assumptions!$C$9-1)-$C$9)))*$C$7)*E44)</f>
        <v>0</v>
      </c>
      <c r="F95" s="14" t="n">
        <f aca="false">((IF(OR((F$18-(Assumptions!$C$9-1)-$C$9)&lt;1,(F$18-(Assumptions!$C$9-1)-$C$9)&gt;36),0,INDEX(Schedules!$C$10:$AL$10,(F$18-(Assumptions!$C$9-1)-$C$9)))*$C$7)*F44)</f>
        <v>0</v>
      </c>
      <c r="G95" s="14" t="n">
        <f aca="false">((IF(OR((G$18-(Assumptions!$C$9-1)-$C$9)&lt;1,(G$18-(Assumptions!$C$9-1)-$C$9)&gt;36),0,INDEX(Schedules!$C$10:$AL$10,(G$18-(Assumptions!$C$9-1)-$C$9)))*$C$7)*G44)</f>
        <v>0</v>
      </c>
      <c r="H95" s="14" t="n">
        <f aca="false">((IF(OR((H$18-(Assumptions!$C$9-1)-$C$9)&lt;1,(H$18-(Assumptions!$C$9-1)-$C$9)&gt;36),0,INDEX(Schedules!$C$10:$AL$10,(H$18-(Assumptions!$C$9-1)-$C$9)))*$C$7)*H44)</f>
        <v>0</v>
      </c>
      <c r="I95" s="14" t="n">
        <f aca="false">((IF(OR((I$18-(Assumptions!$C$9-1)-$C$9)&lt;1,(I$18-(Assumptions!$C$9-1)-$C$9)&gt;36),0,INDEX(Schedules!$C$10:$AL$10,(I$18-(Assumptions!$C$9-1)-$C$9)))*$C$7)*I44)</f>
        <v>0</v>
      </c>
      <c r="J95" s="14" t="n">
        <f aca="false">((IF(OR((J$18-(Assumptions!$C$9-1)-$C$9)&lt;1,(J$18-(Assumptions!$C$9-1)-$C$9)&gt;36),0,INDEX(Schedules!$C$10:$AL$10,(J$18-(Assumptions!$C$9-1)-$C$9)))*$C$7)*J44)</f>
        <v>0</v>
      </c>
      <c r="K95" s="14" t="n">
        <f aca="false">((IF(OR((K$18-(Assumptions!$C$9-1)-$C$9)&lt;1,(K$18-(Assumptions!$C$9-1)-$C$9)&gt;36),0,INDEX(Schedules!$C$10:$AL$10,(K$18-(Assumptions!$C$9-1)-$C$9)))*$C$7)*K44)</f>
        <v>0</v>
      </c>
      <c r="L95" s="14" t="n">
        <f aca="false">((IF(OR((L$18-(Assumptions!$C$9-1)-$C$9)&lt;1,(L$18-(Assumptions!$C$9-1)-$C$9)&gt;36),0,INDEX(Schedules!$C$10:$AL$10,(L$18-(Assumptions!$C$9-1)-$C$9)))*$C$7)*L44)</f>
        <v>0</v>
      </c>
      <c r="M95" s="14" t="n">
        <f aca="false">((IF(OR((M$18-(Assumptions!$C$9-1)-$C$9)&lt;1,(M$18-(Assumptions!$C$9-1)-$C$9)&gt;36),0,INDEX(Schedules!$C$10:$AL$10,(M$18-(Assumptions!$C$9-1)-$C$9)))*$C$7)*M44)</f>
        <v>0</v>
      </c>
      <c r="N95" s="14" t="n">
        <f aca="false">((IF(OR((N$18-(Assumptions!$C$9-1)-$C$9)&lt;1,(N$18-(Assumptions!$C$9-1)-$C$9)&gt;36),0,INDEX(Schedules!$C$10:$AL$10,(N$18-(Assumptions!$C$9-1)-$C$9)))*$C$7)*N44)</f>
        <v>0</v>
      </c>
      <c r="O95" s="14" t="n">
        <f aca="false">((IF(OR((O$18-(Assumptions!$C$9-1)-$C$9)&lt;1,(O$18-(Assumptions!$C$9-1)-$C$9)&gt;36),0,INDEX(Schedules!$C$10:$AL$10,(O$18-(Assumptions!$C$9-1)-$C$9)))*$C$7)*O44)</f>
        <v>0</v>
      </c>
      <c r="P95" s="14" t="n">
        <f aca="false">((IF(OR((P$18-(Assumptions!$C$9-1)-$C$9)&lt;1,(P$18-(Assumptions!$C$9-1)-$C$9)&gt;36),0,INDEX(Schedules!$C$10:$AL$10,(P$18-(Assumptions!$C$9-1)-$C$9)))*$C$7)*P44)</f>
        <v>0</v>
      </c>
      <c r="Q95" s="14" t="n">
        <f aca="false">((IF(OR((Q$18-(Assumptions!$C$9-1)-$C$9)&lt;1,(Q$18-(Assumptions!$C$9-1)-$C$9)&gt;36),0,INDEX(Schedules!$C$10:$AL$10,(Q$18-(Assumptions!$C$9-1)-$C$9)))*$C$7)*Q44)</f>
        <v>0</v>
      </c>
      <c r="R95" s="14" t="n">
        <f aca="false">((IF(OR((R$18-(Assumptions!$C$9-1)-$C$9)&lt;1,(R$18-(Assumptions!$C$9-1)-$C$9)&gt;36),0,INDEX(Schedules!$C$10:$AL$10,(R$18-(Assumptions!$C$9-1)-$C$9)))*$C$7)*R44)</f>
        <v>0</v>
      </c>
      <c r="S95" s="14" t="n">
        <f aca="false">((IF(OR((S$18-(Assumptions!$C$9-1)-$C$9)&lt;1,(S$18-(Assumptions!$C$9-1)-$C$9)&gt;36),0,INDEX(Schedules!$C$10:$AL$10,(S$18-(Assumptions!$C$9-1)-$C$9)))*$C$7)*S44)</f>
        <v>0</v>
      </c>
      <c r="T95" s="14" t="n">
        <f aca="false">((IF(OR((T$18-(Assumptions!$C$9-1)-$C$9)&lt;1,(T$18-(Assumptions!$C$9-1)-$C$9)&gt;36),0,INDEX(Schedules!$C$10:$AL$10,(T$18-(Assumptions!$C$9-1)-$C$9)))*$C$7)*T44)</f>
        <v>0</v>
      </c>
      <c r="U95" s="14" t="n">
        <f aca="false">((IF(OR((U$18-(Assumptions!$C$9-1)-$C$9)&lt;1,(U$18-(Assumptions!$C$9-1)-$C$9)&gt;36),0,INDEX(Schedules!$C$10:$AL$10,(U$18-(Assumptions!$C$9-1)-$C$9)))*$C$7)*U44)</f>
        <v>0</v>
      </c>
      <c r="V95" s="14" t="n">
        <f aca="false">((IF(OR((V$18-(Assumptions!$C$9-1)-$C$9)&lt;1,(V$18-(Assumptions!$C$9-1)-$C$9)&gt;36),0,INDEX(Schedules!$C$10:$AL$10,(V$18-(Assumptions!$C$9-1)-$C$9)))*$C$7)*V44)</f>
        <v>0</v>
      </c>
      <c r="W95" s="14" t="n">
        <f aca="false">((IF(OR((W$18-(Assumptions!$C$9-1)-$C$9)&lt;1,(W$18-(Assumptions!$C$9-1)-$C$9)&gt;36),0,INDEX(Schedules!$C$10:$AL$10,(W$18-(Assumptions!$C$9-1)-$C$9)))*$C$7)*W44)</f>
        <v>0</v>
      </c>
      <c r="X95" s="14" t="n">
        <f aca="false">((IF(OR((X$18-(Assumptions!$C$9-1)-$C$9)&lt;1,(X$18-(Assumptions!$C$9-1)-$C$9)&gt;36),0,INDEX(Schedules!$C$10:$AL$10,(X$18-(Assumptions!$C$9-1)-$C$9)))*$C$7)*X44)</f>
        <v>0</v>
      </c>
      <c r="Y95" s="14" t="n">
        <f aca="false">((IF(OR((Y$18-(Assumptions!$C$9-1)-$C$9)&lt;1,(Y$18-(Assumptions!$C$9-1)-$C$9)&gt;36),0,INDEX(Schedules!$C$10:$AL$10,(Y$18-(Assumptions!$C$9-1)-$C$9)))*$C$7)*Y44)</f>
        <v>0</v>
      </c>
      <c r="Z95" s="14" t="n">
        <f aca="false">((IF(OR((Z$18-(Assumptions!$C$9-1)-$C$9)&lt;1,(Z$18-(Assumptions!$C$9-1)-$C$9)&gt;36),0,INDEX(Schedules!$C$10:$AL$10,(Z$18-(Assumptions!$C$9-1)-$C$9)))*$C$7)*Z44)</f>
        <v>0</v>
      </c>
      <c r="AA95" s="14" t="n">
        <f aca="false">((IF(OR((AA$18-(Assumptions!$C$9-1)-$C$9)&lt;1,(AA$18-(Assumptions!$C$9-1)-$C$9)&gt;36),0,INDEX(Schedules!$C$10:$AL$10,(AA$18-(Assumptions!$C$9-1)-$C$9)))*$C$7)*AA44)</f>
        <v>0</v>
      </c>
      <c r="AB95" s="14" t="n">
        <f aca="false">((IF(OR((AB$18-(Assumptions!$C$9-1)-$C$9)&lt;1,(AB$18-(Assumptions!$C$9-1)-$C$9)&gt;36),0,INDEX(Schedules!$C$10:$AL$10,(AB$18-(Assumptions!$C$9-1)-$C$9)))*$C$7)*AB44)</f>
        <v>0</v>
      </c>
      <c r="AC95" s="14" t="n">
        <f aca="false">((IF(OR((AC$18-(Assumptions!$C$9-1)-$C$9)&lt;1,(AC$18-(Assumptions!$C$9-1)-$C$9)&gt;36),0,INDEX(Schedules!$C$10:$AL$10,(AC$18-(Assumptions!$C$9-1)-$C$9)))*$C$7)*AC44)</f>
        <v>0</v>
      </c>
      <c r="AD95" s="14" t="n">
        <f aca="false">((IF(OR((AD$18-(Assumptions!$C$9-1)-$C$9)&lt;1,(AD$18-(Assumptions!$C$9-1)-$C$9)&gt;36),0,INDEX(Schedules!$C$10:$AL$10,(AD$18-(Assumptions!$C$9-1)-$C$9)))*$C$7)*AD44)</f>
        <v>0</v>
      </c>
      <c r="AE95" s="14" t="n">
        <f aca="false">((IF(OR((AE$18-(Assumptions!$C$9-1)-$C$9)&lt;1,(AE$18-(Assumptions!$C$9-1)-$C$9)&gt;36),0,INDEX(Schedules!$C$10:$AL$10,(AE$18-(Assumptions!$C$9-1)-$C$9)))*$C$7)*AE44)</f>
        <v>0</v>
      </c>
      <c r="AF95" s="14" t="n">
        <f aca="false">((IF(OR((AF$18-(Assumptions!$C$9-1)-$C$9)&lt;1,(AF$18-(Assumptions!$C$9-1)-$C$9)&gt;36),0,INDEX(Schedules!$C$10:$AL$10,(AF$18-(Assumptions!$C$9-1)-$C$9)))*$C$7)*AF44)</f>
        <v>0</v>
      </c>
      <c r="AG95" s="14" t="n">
        <f aca="false">((IF(OR((AG$18-(Assumptions!$C$9-1)-$C$9)&lt;1,(AG$18-(Assumptions!$C$9-1)-$C$9)&gt;36),0,INDEX(Schedules!$C$10:$AL$10,(AG$18-(Assumptions!$C$9-1)-$C$9)))*$C$7)*AG44)</f>
        <v>0</v>
      </c>
      <c r="AH95" s="14" t="n">
        <f aca="false">((IF(OR((AH$18-(Assumptions!$C$9-1)-$C$9)&lt;1,(AH$18-(Assumptions!$C$9-1)-$C$9)&gt;36),0,INDEX(Schedules!$C$10:$AL$10,(AH$18-(Assumptions!$C$9-1)-$C$9)))*$C$7)*AH44)</f>
        <v>0</v>
      </c>
      <c r="AI95" s="14" t="n">
        <f aca="false">((IF(OR((AI$18-(Assumptions!$C$9-1)-$C$9)&lt;1,(AI$18-(Assumptions!$C$9-1)-$C$9)&gt;36),0,INDEX(Schedules!$C$10:$AL$10,(AI$18-(Assumptions!$C$9-1)-$C$9)))*$C$7)*AI44)</f>
        <v>0</v>
      </c>
      <c r="AJ95" s="14" t="n">
        <f aca="false">((IF(OR((AJ$18-(Assumptions!$C$9-1)-$C$9)&lt;1,(AJ$18-(Assumptions!$C$9-1)-$C$9)&gt;36),0,INDEX(Schedules!$C$10:$AL$10,(AJ$18-(Assumptions!$C$9-1)-$C$9)))*$C$7)*AJ44)</f>
        <v>0</v>
      </c>
      <c r="AK95" s="14" t="n">
        <f aca="false">((IF(OR((AK$18-(Assumptions!$C$9-1)-$C$9)&lt;1,(AK$18-(Assumptions!$C$9-1)-$C$9)&gt;36),0,INDEX(Schedules!$C$10:$AL$10,(AK$18-(Assumptions!$C$9-1)-$C$9)))*$C$7)*AK44)</f>
        <v>0</v>
      </c>
      <c r="AL95" s="14" t="n">
        <f aca="false">((IF(OR((AL$18-(Assumptions!$C$9-1)-$C$9)&lt;1,(AL$18-(Assumptions!$C$9-1)-$C$9)&gt;36),0,INDEX(Schedules!$C$10:$AL$10,(AL$18-(Assumptions!$C$9-1)-$C$9)))*$C$7)*AL44)</f>
        <v>0</v>
      </c>
      <c r="AN95" s="36" t="n">
        <f aca="false">SUM(C95:N95)</f>
        <v>0</v>
      </c>
      <c r="AO95" s="36" t="n">
        <f aca="false">SUM(O95:Z95)</f>
        <v>0</v>
      </c>
      <c r="AP95" s="36" t="n">
        <f aca="false">SUM(AA95:AL95)</f>
        <v>0</v>
      </c>
    </row>
    <row r="96" customFormat="false" ht="15" hidden="false" customHeight="false" outlineLevel="0" collapsed="false">
      <c r="A96" s="0" t="s">
        <v>902</v>
      </c>
      <c r="B96" s="0" t="s">
        <v>852</v>
      </c>
      <c r="C96" s="14" t="n">
        <f aca="false">(C92+C95)</f>
        <v>0</v>
      </c>
      <c r="D96" s="14" t="n">
        <f aca="false">(D92+D95)</f>
        <v>0</v>
      </c>
      <c r="E96" s="14" t="n">
        <f aca="false">(E92+E95)</f>
        <v>0</v>
      </c>
      <c r="F96" s="14" t="n">
        <f aca="false">(F92+F95)</f>
        <v>0</v>
      </c>
      <c r="G96" s="14" t="n">
        <f aca="false">(G92+G95)</f>
        <v>0</v>
      </c>
      <c r="H96" s="14" t="n">
        <f aca="false">(H92+H95)</f>
        <v>0</v>
      </c>
      <c r="I96" s="14" t="n">
        <f aca="false">(I92+I95)</f>
        <v>0</v>
      </c>
      <c r="J96" s="14" t="n">
        <f aca="false">(J92+J95)</f>
        <v>0</v>
      </c>
      <c r="K96" s="14" t="n">
        <f aca="false">(K92+K95)</f>
        <v>0</v>
      </c>
      <c r="L96" s="14" t="n">
        <f aca="false">(L92+L95)</f>
        <v>0</v>
      </c>
      <c r="M96" s="14" t="n">
        <f aca="false">(M92+M95)</f>
        <v>0</v>
      </c>
      <c r="N96" s="14" t="n">
        <f aca="false">(N92+N95)</f>
        <v>0</v>
      </c>
      <c r="O96" s="14" t="n">
        <f aca="false">(O92+O95)</f>
        <v>0</v>
      </c>
      <c r="P96" s="14" t="n">
        <f aca="false">(P92+P95)</f>
        <v>0</v>
      </c>
      <c r="Q96" s="14" t="n">
        <f aca="false">(Q92+Q95)</f>
        <v>0</v>
      </c>
      <c r="R96" s="14" t="n">
        <f aca="false">(R92+R95)</f>
        <v>0</v>
      </c>
      <c r="S96" s="14" t="n">
        <f aca="false">(S92+S95)</f>
        <v>0</v>
      </c>
      <c r="T96" s="14" t="n">
        <f aca="false">(T92+T95)</f>
        <v>0</v>
      </c>
      <c r="U96" s="14" t="n">
        <f aca="false">(U92+U95)</f>
        <v>0</v>
      </c>
      <c r="V96" s="14" t="n">
        <f aca="false">(V92+V95)</f>
        <v>0</v>
      </c>
      <c r="W96" s="14" t="n">
        <f aca="false">(W92+W95)</f>
        <v>0</v>
      </c>
      <c r="X96" s="14" t="n">
        <f aca="false">(X92+X95)</f>
        <v>0</v>
      </c>
      <c r="Y96" s="14" t="n">
        <f aca="false">(Y92+Y95)</f>
        <v>0</v>
      </c>
      <c r="Z96" s="14" t="n">
        <f aca="false">(Z92+Z95)</f>
        <v>0</v>
      </c>
      <c r="AA96" s="14" t="n">
        <f aca="false">(AA92+AA95)</f>
        <v>0</v>
      </c>
      <c r="AB96" s="14" t="n">
        <f aca="false">(AB92+AB95)</f>
        <v>0</v>
      </c>
      <c r="AC96" s="14" t="n">
        <f aca="false">(AC92+AC95)</f>
        <v>0</v>
      </c>
      <c r="AD96" s="14" t="n">
        <f aca="false">(AD92+AD95)</f>
        <v>0</v>
      </c>
      <c r="AE96" s="14" t="n">
        <f aca="false">(AE92+AE95)</f>
        <v>0</v>
      </c>
      <c r="AF96" s="14" t="n">
        <f aca="false">(AF92+AF95)</f>
        <v>0</v>
      </c>
      <c r="AG96" s="14" t="n">
        <f aca="false">(AG92+AG95)</f>
        <v>0</v>
      </c>
      <c r="AH96" s="14" t="n">
        <f aca="false">(AH92+AH95)</f>
        <v>0</v>
      </c>
      <c r="AI96" s="14" t="n">
        <f aca="false">(AI92+AI95)</f>
        <v>0</v>
      </c>
      <c r="AJ96" s="14" t="n">
        <f aca="false">(AJ92+AJ95)</f>
        <v>0</v>
      </c>
      <c r="AK96" s="14" t="n">
        <f aca="false">(AK92+AK95)</f>
        <v>0</v>
      </c>
      <c r="AL96" s="14" t="n">
        <f aca="false">(AL92+AL95)</f>
        <v>1</v>
      </c>
      <c r="AN96" s="36" t="n">
        <f aca="false">SUM(C96:N96)</f>
        <v>0</v>
      </c>
      <c r="AO96" s="36" t="n">
        <f aca="false">SUM(O96:Z96)</f>
        <v>0</v>
      </c>
      <c r="AP96" s="36" t="n">
        <f aca="false">SUM(AA96:AL96)</f>
        <v>1</v>
      </c>
    </row>
    <row r="97" customFormat="false" ht="15" hidden="false" customHeight="false" outlineLevel="0" collapsed="false">
      <c r="A97" s="0" t="s">
        <v>903</v>
      </c>
      <c r="B97" s="0" t="s">
        <v>852</v>
      </c>
      <c r="C97" s="14" t="n">
        <f aca="false">C94</f>
        <v>0</v>
      </c>
      <c r="D97" s="14" t="n">
        <f aca="false">SUM(C94:D94)</f>
        <v>0</v>
      </c>
      <c r="E97" s="14" t="n">
        <f aca="false">SUM(C94:E94)</f>
        <v>0</v>
      </c>
      <c r="F97" s="14" t="n">
        <f aca="false">SUM(C94:F94)</f>
        <v>0</v>
      </c>
      <c r="G97" s="14" t="n">
        <f aca="false">SUM(C94:G94)</f>
        <v>0</v>
      </c>
      <c r="H97" s="14" t="n">
        <f aca="false">SUM(C94:H94)</f>
        <v>0</v>
      </c>
      <c r="I97" s="14" t="n">
        <f aca="false">SUM(D94:I94)</f>
        <v>0</v>
      </c>
      <c r="J97" s="14" t="n">
        <f aca="false">SUM(E94:J94)</f>
        <v>0</v>
      </c>
      <c r="K97" s="14" t="n">
        <f aca="false">SUM(F94:K94)</f>
        <v>0</v>
      </c>
      <c r="L97" s="14" t="n">
        <f aca="false">SUM(G94:L94)</f>
        <v>0</v>
      </c>
      <c r="M97" s="14" t="n">
        <f aca="false">SUM(H94:M94)</f>
        <v>0</v>
      </c>
      <c r="N97" s="14" t="n">
        <f aca="false">SUM(I94:N94)</f>
        <v>0</v>
      </c>
      <c r="O97" s="14" t="n">
        <f aca="false">SUM(J94:O94)</f>
        <v>0</v>
      </c>
      <c r="P97" s="14" t="n">
        <f aca="false">SUM(K94:P94)</f>
        <v>0</v>
      </c>
      <c r="Q97" s="14" t="n">
        <f aca="false">SUM(L94:Q94)</f>
        <v>0</v>
      </c>
      <c r="R97" s="14" t="n">
        <f aca="false">SUM(M94:R94)</f>
        <v>0</v>
      </c>
      <c r="S97" s="14" t="n">
        <f aca="false">SUM(N94:S94)</f>
        <v>0</v>
      </c>
      <c r="T97" s="14" t="n">
        <f aca="false">SUM(O94:T94)</f>
        <v>0</v>
      </c>
      <c r="U97" s="14" t="n">
        <f aca="false">SUM(P94:U94)</f>
        <v>0</v>
      </c>
      <c r="V97" s="14" t="n">
        <f aca="false">SUM(Q94:V94)</f>
        <v>0</v>
      </c>
      <c r="W97" s="14" t="n">
        <f aca="false">SUM(R94:W94)</f>
        <v>0</v>
      </c>
      <c r="X97" s="14" t="n">
        <f aca="false">SUM(S94:X94)</f>
        <v>0</v>
      </c>
      <c r="Y97" s="14" t="n">
        <f aca="false">SUM(T94:Y94)</f>
        <v>0</v>
      </c>
      <c r="Z97" s="14" t="n">
        <f aca="false">SUM(U94:Z94)</f>
        <v>0</v>
      </c>
      <c r="AA97" s="14" t="n">
        <f aca="false">SUM(V94:AA94)</f>
        <v>0</v>
      </c>
      <c r="AB97" s="14" t="n">
        <f aca="false">SUM(W94:AB94)</f>
        <v>0</v>
      </c>
      <c r="AC97" s="14" t="n">
        <f aca="false">SUM(X94:AC94)</f>
        <v>0</v>
      </c>
      <c r="AD97" s="14" t="n">
        <f aca="false">SUM(Y94:AD94)</f>
        <v>0</v>
      </c>
      <c r="AE97" s="14" t="n">
        <f aca="false">SUM(Z94:AE94)</f>
        <v>0</v>
      </c>
      <c r="AF97" s="14" t="n">
        <f aca="false">SUM(AA94:AF94)</f>
        <v>0</v>
      </c>
      <c r="AG97" s="14" t="n">
        <f aca="false">SUM(AB94:AG94)</f>
        <v>0</v>
      </c>
      <c r="AH97" s="14" t="n">
        <f aca="false">SUM(AC94:AH94)</f>
        <v>0</v>
      </c>
      <c r="AI97" s="14" t="n">
        <f aca="false">SUM(AD94:AI94)</f>
        <v>0</v>
      </c>
      <c r="AJ97" s="14" t="n">
        <f aca="false">SUM(AE94:AJ94)</f>
        <v>0</v>
      </c>
      <c r="AK97" s="14" t="n">
        <f aca="false">SUM(AF94:AK94)</f>
        <v>0</v>
      </c>
      <c r="AL97" s="14" t="n">
        <f aca="false">SUM(AG94:AL94)</f>
        <v>1</v>
      </c>
      <c r="AN97" s="36" t="n">
        <f aca="false">N97</f>
        <v>0</v>
      </c>
      <c r="AO97" s="36" t="n">
        <f aca="false">Z97</f>
        <v>0</v>
      </c>
      <c r="AP97" s="36" t="n">
        <f aca="false">AL97</f>
        <v>1</v>
      </c>
    </row>
    <row r="98" customFormat="false" ht="15" hidden="false" customHeight="false" outlineLevel="0" collapsed="false">
      <c r="A98" s="0" t="s">
        <v>904</v>
      </c>
      <c r="B98" s="0" t="s">
        <v>852</v>
      </c>
      <c r="C98" s="14" t="n">
        <f aca="false">C92</f>
        <v>0</v>
      </c>
      <c r="D98" s="14" t="n">
        <f aca="false">SUM(C92:D92)</f>
        <v>0</v>
      </c>
      <c r="E98" s="14" t="n">
        <f aca="false">SUM(C92:E92)</f>
        <v>0</v>
      </c>
      <c r="F98" s="14" t="n">
        <f aca="false">SUM(C92:F92)</f>
        <v>0</v>
      </c>
      <c r="G98" s="14" t="n">
        <f aca="false">SUM(C92:G92)</f>
        <v>0</v>
      </c>
      <c r="H98" s="14" t="n">
        <f aca="false">SUM(C92:H92)</f>
        <v>0</v>
      </c>
      <c r="I98" s="14" t="n">
        <f aca="false">SUM(D92:I92)</f>
        <v>0</v>
      </c>
      <c r="J98" s="14" t="n">
        <f aca="false">SUM(E92:J92)</f>
        <v>0</v>
      </c>
      <c r="K98" s="14" t="n">
        <f aca="false">SUM(F92:K92)</f>
        <v>0</v>
      </c>
      <c r="L98" s="14" t="n">
        <f aca="false">SUM(G92:L92)</f>
        <v>0</v>
      </c>
      <c r="M98" s="14" t="n">
        <f aca="false">SUM(H92:M92)</f>
        <v>0</v>
      </c>
      <c r="N98" s="14" t="n">
        <f aca="false">SUM(I92:N92)</f>
        <v>0</v>
      </c>
      <c r="O98" s="14" t="n">
        <f aca="false">SUM(J92:O92)</f>
        <v>0</v>
      </c>
      <c r="P98" s="14" t="n">
        <f aca="false">SUM(K92:P92)</f>
        <v>0</v>
      </c>
      <c r="Q98" s="14" t="n">
        <f aca="false">SUM(L92:Q92)</f>
        <v>0</v>
      </c>
      <c r="R98" s="14" t="n">
        <f aca="false">SUM(M92:R92)</f>
        <v>0</v>
      </c>
      <c r="S98" s="14" t="n">
        <f aca="false">SUM(N92:S92)</f>
        <v>0</v>
      </c>
      <c r="T98" s="14" t="n">
        <f aca="false">SUM(O92:T92)</f>
        <v>0</v>
      </c>
      <c r="U98" s="14" t="n">
        <f aca="false">SUM(P92:U92)</f>
        <v>0</v>
      </c>
      <c r="V98" s="14" t="n">
        <f aca="false">SUM(Q92:V92)</f>
        <v>0</v>
      </c>
      <c r="W98" s="14" t="n">
        <f aca="false">SUM(R92:W92)</f>
        <v>0</v>
      </c>
      <c r="X98" s="14" t="n">
        <f aca="false">SUM(S92:X92)</f>
        <v>0</v>
      </c>
      <c r="Y98" s="14" t="n">
        <f aca="false">SUM(T92:Y92)</f>
        <v>0</v>
      </c>
      <c r="Z98" s="14" t="n">
        <f aca="false">SUM(U92:Z92)</f>
        <v>0</v>
      </c>
      <c r="AA98" s="14" t="n">
        <f aca="false">SUM(V92:AA92)</f>
        <v>0</v>
      </c>
      <c r="AB98" s="14" t="n">
        <f aca="false">SUM(W92:AB92)</f>
        <v>0</v>
      </c>
      <c r="AC98" s="14" t="n">
        <f aca="false">SUM(X92:AC92)</f>
        <v>0</v>
      </c>
      <c r="AD98" s="14" t="n">
        <f aca="false">SUM(Y92:AD92)</f>
        <v>0</v>
      </c>
      <c r="AE98" s="14" t="n">
        <f aca="false">SUM(Z92:AE92)</f>
        <v>0</v>
      </c>
      <c r="AF98" s="14" t="n">
        <f aca="false">SUM(AA92:AF92)</f>
        <v>0</v>
      </c>
      <c r="AG98" s="14" t="n">
        <f aca="false">SUM(AB92:AG92)</f>
        <v>0</v>
      </c>
      <c r="AH98" s="14" t="n">
        <f aca="false">SUM(AC92:AH92)</f>
        <v>0</v>
      </c>
      <c r="AI98" s="14" t="n">
        <f aca="false">SUM(AD92:AI92)</f>
        <v>0</v>
      </c>
      <c r="AJ98" s="14" t="n">
        <f aca="false">SUM(AE92:AJ92)</f>
        <v>0</v>
      </c>
      <c r="AK98" s="14" t="n">
        <f aca="false">SUM(AF92:AK92)</f>
        <v>0</v>
      </c>
      <c r="AL98" s="14" t="n">
        <f aca="false">SUM(AG92:AL92)</f>
        <v>1</v>
      </c>
      <c r="AN98" s="36" t="n">
        <f aca="false">N98</f>
        <v>0</v>
      </c>
      <c r="AO98" s="36" t="n">
        <f aca="false">Z98</f>
        <v>0</v>
      </c>
      <c r="AP98" s="36" t="n">
        <f aca="false">AL98</f>
        <v>1</v>
      </c>
    </row>
    <row r="99" customFormat="false" ht="15" hidden="false" customHeight="false" outlineLevel="0" collapsed="false">
      <c r="A99" s="0" t="s">
        <v>905</v>
      </c>
      <c r="B99" s="0" t="s">
        <v>852</v>
      </c>
      <c r="C99" s="14" t="n">
        <f aca="false">((Assumptions!$E$127*$C$8)*0)</f>
        <v>0</v>
      </c>
      <c r="D99" s="14" t="n">
        <f aca="false">((Assumptions!$E$127*$C$8)*0)</f>
        <v>0</v>
      </c>
      <c r="E99" s="14" t="n">
        <f aca="false">((Assumptions!$E$127*$C$8)*0)</f>
        <v>0</v>
      </c>
      <c r="F99" s="14" t="n">
        <f aca="false">((Assumptions!$E$127*$C$8)*0)</f>
        <v>0</v>
      </c>
      <c r="G99" s="14" t="n">
        <f aca="false">((Assumptions!$E$127*$C$8)*0)</f>
        <v>0</v>
      </c>
      <c r="H99" s="14" t="n">
        <f aca="false">((Assumptions!$E$127*$C$8)*0)</f>
        <v>0</v>
      </c>
      <c r="I99" s="14" t="n">
        <f aca="false">((Assumptions!$E$127*$C$8)*0)</f>
        <v>0</v>
      </c>
      <c r="J99" s="14" t="n">
        <f aca="false">((Assumptions!$E$127*$C$8)*C92)</f>
        <v>0</v>
      </c>
      <c r="K99" s="14" t="n">
        <f aca="false">((Assumptions!$E$127*$C$8)*D92)</f>
        <v>0</v>
      </c>
      <c r="L99" s="14" t="n">
        <f aca="false">((Assumptions!$E$127*$C$8)*E92)</f>
        <v>0</v>
      </c>
      <c r="M99" s="14" t="n">
        <f aca="false">((Assumptions!$E$127*$C$8)*F92)</f>
        <v>0</v>
      </c>
      <c r="N99" s="14" t="n">
        <f aca="false">((Assumptions!$E$127*$C$8)*G92)</f>
        <v>0</v>
      </c>
      <c r="O99" s="14" t="n">
        <f aca="false">((Assumptions!$E$127*$C$8)*H92)</f>
        <v>0</v>
      </c>
      <c r="P99" s="14" t="n">
        <f aca="false">((Assumptions!$E$127*$C$8)*I92)</f>
        <v>0</v>
      </c>
      <c r="Q99" s="14" t="n">
        <f aca="false">((Assumptions!$E$127*$C$8)*J92)</f>
        <v>0</v>
      </c>
      <c r="R99" s="14" t="n">
        <f aca="false">((Assumptions!$E$127*$C$8)*K92)</f>
        <v>0</v>
      </c>
      <c r="S99" s="14" t="n">
        <f aca="false">((Assumptions!$E$127*$C$8)*L92)</f>
        <v>0</v>
      </c>
      <c r="T99" s="14" t="n">
        <f aca="false">((Assumptions!$E$127*$C$8)*M92)</f>
        <v>0</v>
      </c>
      <c r="U99" s="14" t="n">
        <f aca="false">((Assumptions!$E$127*$C$8)*N92)</f>
        <v>0</v>
      </c>
      <c r="V99" s="14" t="n">
        <f aca="false">((Assumptions!$E$127*$C$8)*O92)</f>
        <v>0</v>
      </c>
      <c r="W99" s="14" t="n">
        <f aca="false">((Assumptions!$E$127*$C$8)*P92)</f>
        <v>0</v>
      </c>
      <c r="X99" s="14" t="n">
        <f aca="false">((Assumptions!$E$127*$C$8)*Q92)</f>
        <v>0</v>
      </c>
      <c r="Y99" s="14" t="n">
        <f aca="false">((Assumptions!$E$127*$C$8)*R92)</f>
        <v>0</v>
      </c>
      <c r="Z99" s="14" t="n">
        <f aca="false">((Assumptions!$E$127*$C$8)*S92)</f>
        <v>0</v>
      </c>
      <c r="AA99" s="14" t="n">
        <f aca="false">((Assumptions!$E$127*$C$8)*T92)</f>
        <v>0</v>
      </c>
      <c r="AB99" s="14" t="n">
        <f aca="false">((Assumptions!$E$127*$C$8)*U92)</f>
        <v>0</v>
      </c>
      <c r="AC99" s="14" t="n">
        <f aca="false">((Assumptions!$E$127*$C$8)*V92)</f>
        <v>0</v>
      </c>
      <c r="AD99" s="14" t="n">
        <f aca="false">((Assumptions!$E$127*$C$8)*W92)</f>
        <v>0</v>
      </c>
      <c r="AE99" s="14" t="n">
        <f aca="false">((Assumptions!$E$127*$C$8)*X92)</f>
        <v>0</v>
      </c>
      <c r="AF99" s="14" t="n">
        <f aca="false">((Assumptions!$E$127*$C$8)*Y92)</f>
        <v>0</v>
      </c>
      <c r="AG99" s="14" t="n">
        <f aca="false">((Assumptions!$E$127*$C$8)*Z92)</f>
        <v>0</v>
      </c>
      <c r="AH99" s="14" t="n">
        <f aca="false">((Assumptions!$E$127*$C$8)*AA92)</f>
        <v>0</v>
      </c>
      <c r="AI99" s="14" t="n">
        <f aca="false">((Assumptions!$E$127*$C$8)*AB92)</f>
        <v>0</v>
      </c>
      <c r="AJ99" s="14" t="n">
        <f aca="false">((Assumptions!$E$127*$C$8)*AC92)</f>
        <v>0</v>
      </c>
      <c r="AK99" s="14" t="n">
        <f aca="false">((Assumptions!$E$127*$C$8)*AD92)</f>
        <v>0</v>
      </c>
      <c r="AL99" s="14" t="n">
        <f aca="false">((Assumptions!$E$127*$C$8)*AE92)</f>
        <v>0</v>
      </c>
      <c r="AN99" s="36" t="n">
        <f aca="false">SUM(C99:N99)</f>
        <v>0</v>
      </c>
      <c r="AO99" s="36" t="n">
        <f aca="false">SUM(O99:Z99)</f>
        <v>0</v>
      </c>
      <c r="AP99" s="36" t="n">
        <f aca="false">SUM(AA99:AL99)</f>
        <v>0</v>
      </c>
    </row>
    <row r="100" customFormat="false" ht="15" hidden="false" customHeight="false" outlineLevel="0" collapsed="false">
      <c r="A100" s="0" t="s">
        <v>906</v>
      </c>
      <c r="B100" s="0" t="s">
        <v>852</v>
      </c>
      <c r="C100" s="14" t="n">
        <f aca="false">((Assumptions!$C$10*$C$8)*IF((C$18=(Assumptions!$C$9+$C$9)),0,IF((C$18&gt;(Assumptions!$C$9+$C$9)),0,0)))</f>
        <v>0</v>
      </c>
      <c r="D100" s="14" t="n">
        <f aca="false">((Assumptions!$C$10*$C$8)*IF((D$18=(Assumptions!$C$9+$C$9)),0,IF((D$18&gt;(Assumptions!$C$9+$C$9)),0,0)))</f>
        <v>0</v>
      </c>
      <c r="E100" s="14" t="n">
        <f aca="false">((Assumptions!$C$10*$C$8)*IF((E$18=(Assumptions!$C$9+$C$9)),0,IF((E$18&gt;(Assumptions!$C$9+$C$9)),0,0)))</f>
        <v>0</v>
      </c>
      <c r="F100" s="14" t="n">
        <f aca="false">((Assumptions!$C$10*$C$8)*IF((F$18=(Assumptions!$C$9+$C$9)),0,IF((F$18&gt;(Assumptions!$C$9+$C$9)),0,0)))</f>
        <v>0</v>
      </c>
      <c r="G100" s="14" t="n">
        <f aca="false">((Assumptions!$C$10*$C$8)*IF((G$18=(Assumptions!$C$9+$C$9)),0,IF((G$18&gt;(Assumptions!$C$9+$C$9)),0,0)))</f>
        <v>0</v>
      </c>
      <c r="H100" s="14" t="n">
        <f aca="false">((Assumptions!$C$10*$C$8)*IF((H$18=(Assumptions!$C$9+$C$9)),0,IF((H$18&gt;(Assumptions!$C$9+$C$9)),0,0)))</f>
        <v>0</v>
      </c>
      <c r="I100" s="14" t="n">
        <f aca="false">((Assumptions!$C$10*$C$8)*IF((I$18=(Assumptions!$C$9+$C$9)),0,IF((I$18&gt;(Assumptions!$C$9+$C$9)),0,0)))</f>
        <v>0</v>
      </c>
      <c r="J100" s="14" t="n">
        <f aca="false">((Assumptions!$C$10*$C$8)*IF((J$18=(Assumptions!$C$9+$C$9)),C93,IF((J$18&gt;(Assumptions!$C$9+$C$9)),C93,0)))</f>
        <v>0</v>
      </c>
      <c r="K100" s="14" t="n">
        <f aca="false">((Assumptions!$C$10*$C$8)*IF((K$18=(Assumptions!$C$9+$C$9)),SUM(C93:D93),IF((K$18&gt;(Assumptions!$C$9+$C$9)),D93,0)))</f>
        <v>0</v>
      </c>
      <c r="L100" s="14" t="n">
        <f aca="false">((Assumptions!$C$10*$C$8)*IF((L$18=(Assumptions!$C$9+$C$9)),SUM(C93:E93),IF((L$18&gt;(Assumptions!$C$9+$C$9)),E93,0)))</f>
        <v>0</v>
      </c>
      <c r="M100" s="14" t="n">
        <f aca="false">((Assumptions!$C$10*$C$8)*IF((M$18=(Assumptions!$C$9+$C$9)),SUM(C93:F93),IF((M$18&gt;(Assumptions!$C$9+$C$9)),F93,0)))</f>
        <v>0</v>
      </c>
      <c r="N100" s="14" t="n">
        <f aca="false">((Assumptions!$C$10*$C$8)*IF((N$18=(Assumptions!$C$9+$C$9)),SUM(C93:G93),IF((N$18&gt;(Assumptions!$C$9+$C$9)),G93,0)))</f>
        <v>0</v>
      </c>
      <c r="O100" s="14" t="n">
        <f aca="false">((Assumptions!$C$10*$C$8)*IF((O$18=(Assumptions!$C$9+$C$9)),SUM(C93:H93),IF((O$18&gt;(Assumptions!$C$9+$C$9)),H93,0)))</f>
        <v>0</v>
      </c>
      <c r="P100" s="14" t="n">
        <f aca="false">((Assumptions!$C$10*$C$8)*IF((P$18=(Assumptions!$C$9+$C$9)),SUM(C93:I93),IF((P$18&gt;(Assumptions!$C$9+$C$9)),I93,0)))</f>
        <v>0</v>
      </c>
      <c r="Q100" s="14" t="n">
        <f aca="false">((Assumptions!$C$10*$C$8)*IF((Q$18=(Assumptions!$C$9+$C$9)),SUM(C93:J93),IF((Q$18&gt;(Assumptions!$C$9+$C$9)),J93,0)))</f>
        <v>0</v>
      </c>
      <c r="R100" s="14" t="n">
        <f aca="false">((Assumptions!$C$10*$C$8)*IF((R$18=(Assumptions!$C$9+$C$9)),SUM(C93:K93),IF((R$18&gt;(Assumptions!$C$9+$C$9)),K93,0)))</f>
        <v>0</v>
      </c>
      <c r="S100" s="14" t="n">
        <f aca="false">((Assumptions!$C$10*$C$8)*IF((S$18=(Assumptions!$C$9+$C$9)),SUM(C93:L93),IF((S$18&gt;(Assumptions!$C$9+$C$9)),L93,0)))</f>
        <v>0</v>
      </c>
      <c r="T100" s="14" t="n">
        <f aca="false">((Assumptions!$C$10*$C$8)*IF((T$18=(Assumptions!$C$9+$C$9)),SUM(C93:M93),IF((T$18&gt;(Assumptions!$C$9+$C$9)),M93,0)))</f>
        <v>0</v>
      </c>
      <c r="U100" s="14" t="n">
        <f aca="false">((Assumptions!$C$10*$C$8)*IF((U$18=(Assumptions!$C$9+$C$9)),SUM(C93:N93),IF((U$18&gt;(Assumptions!$C$9+$C$9)),N93,0)))</f>
        <v>0</v>
      </c>
      <c r="V100" s="14" t="n">
        <f aca="false">((Assumptions!$C$10*$C$8)*IF((V$18=(Assumptions!$C$9+$C$9)),SUM(C93:O93),IF((V$18&gt;(Assumptions!$C$9+$C$9)),O93,0)))</f>
        <v>0</v>
      </c>
      <c r="W100" s="14" t="n">
        <f aca="false">((Assumptions!$C$10*$C$8)*IF((W$18=(Assumptions!$C$9+$C$9)),SUM(C93:P93),IF((W$18&gt;(Assumptions!$C$9+$C$9)),P93,0)))</f>
        <v>0</v>
      </c>
      <c r="X100" s="14" t="n">
        <f aca="false">((Assumptions!$C$10*$C$8)*IF((X$18=(Assumptions!$C$9+$C$9)),SUM(C93:Q93),IF((X$18&gt;(Assumptions!$C$9+$C$9)),Q93,0)))</f>
        <v>0</v>
      </c>
      <c r="Y100" s="14" t="n">
        <f aca="false">((Assumptions!$C$10*$C$8)*IF((Y$18=(Assumptions!$C$9+$C$9)),SUM(C93:R93),IF((Y$18&gt;(Assumptions!$C$9+$C$9)),R93,0)))</f>
        <v>0</v>
      </c>
      <c r="Z100" s="14" t="n">
        <f aca="false">((Assumptions!$C$10*$C$8)*IF((Z$18=(Assumptions!$C$9+$C$9)),SUM(C93:S93),IF((Z$18&gt;(Assumptions!$C$9+$C$9)),S93,0)))</f>
        <v>0</v>
      </c>
      <c r="AA100" s="14" t="n">
        <f aca="false">((Assumptions!$C$10*$C$8)*IF((AA$18=(Assumptions!$C$9+$C$9)),SUM(C93:T93),IF((AA$18&gt;(Assumptions!$C$9+$C$9)),T93,0)))</f>
        <v>0</v>
      </c>
      <c r="AB100" s="14" t="n">
        <f aca="false">((Assumptions!$C$10*$C$8)*IF((AB$18=(Assumptions!$C$9+$C$9)),SUM(C93:U93),IF((AB$18&gt;(Assumptions!$C$9+$C$9)),U93,0)))</f>
        <v>0</v>
      </c>
      <c r="AC100" s="14" t="n">
        <f aca="false">((Assumptions!$C$10*$C$8)*IF((AC$18=(Assumptions!$C$9+$C$9)),SUM(C93:V93),IF((AC$18&gt;(Assumptions!$C$9+$C$9)),V93,0)))</f>
        <v>0</v>
      </c>
      <c r="AD100" s="14" t="n">
        <f aca="false">((Assumptions!$C$10*$C$8)*IF((AD$18=(Assumptions!$C$9+$C$9)),SUM(C93:W93),IF((AD$18&gt;(Assumptions!$C$9+$C$9)),W93,0)))</f>
        <v>0</v>
      </c>
      <c r="AE100" s="14" t="n">
        <f aca="false">((Assumptions!$C$10*$C$8)*IF((AE$18=(Assumptions!$C$9+$C$9)),SUM(C93:X93),IF((AE$18&gt;(Assumptions!$C$9+$C$9)),X93,0)))</f>
        <v>0</v>
      </c>
      <c r="AF100" s="14" t="n">
        <f aca="false">((Assumptions!$C$10*$C$8)*IF((AF$18=(Assumptions!$C$9+$C$9)),SUM(C93:Y93),IF((AF$18&gt;(Assumptions!$C$9+$C$9)),Y93,0)))</f>
        <v>0</v>
      </c>
      <c r="AG100" s="14" t="n">
        <f aca="false">((Assumptions!$C$10*$C$8)*IF((AG$18=(Assumptions!$C$9+$C$9)),SUM(C93:Z93),IF((AG$18&gt;(Assumptions!$C$9+$C$9)),Z93,0)))</f>
        <v>0</v>
      </c>
      <c r="AH100" s="14" t="n">
        <f aca="false">((Assumptions!$C$10*$C$8)*IF((AH$18=(Assumptions!$C$9+$C$9)),SUM(C93:AA93),IF((AH$18&gt;(Assumptions!$C$9+$C$9)),AA93,0)))</f>
        <v>0</v>
      </c>
      <c r="AI100" s="14" t="n">
        <f aca="false">((Assumptions!$C$10*$C$8)*IF((AI$18=(Assumptions!$C$9+$C$9)),SUM(C93:AB93),IF((AI$18&gt;(Assumptions!$C$9+$C$9)),AB93,0)))</f>
        <v>0</v>
      </c>
      <c r="AJ100" s="14" t="n">
        <f aca="false">((Assumptions!$C$10*$C$8)*IF((AJ$18=(Assumptions!$C$9+$C$9)),SUM(C93:AC93),IF((AJ$18&gt;(Assumptions!$C$9+$C$9)),AC93,0)))</f>
        <v>0</v>
      </c>
      <c r="AK100" s="14" t="n">
        <f aca="false">((Assumptions!$C$10*$C$8)*IF((AK$18=(Assumptions!$C$9+$C$9)),SUM(C93:AD93),IF((AK$18&gt;(Assumptions!$C$9+$C$9)),AD93,0)))</f>
        <v>0</v>
      </c>
      <c r="AL100" s="14" t="n">
        <f aca="false">((Assumptions!$C$10*$C$8)*IF((AL$18=(Assumptions!$C$9+$C$9)),SUM(C93:AE93),IF((AL$18&gt;(Assumptions!$C$9+$C$9)),AE93,0)))</f>
        <v>0</v>
      </c>
      <c r="AN100" s="36" t="n">
        <f aca="false">SUM(C100:N100)</f>
        <v>0</v>
      </c>
      <c r="AO100" s="36" t="n">
        <f aca="false">SUM(O100:Z100)</f>
        <v>0</v>
      </c>
      <c r="AP100" s="36" t="n">
        <f aca="false">SUM(AA100:AL100)</f>
        <v>0</v>
      </c>
    </row>
    <row r="101" customFormat="false" ht="15" hidden="false" customHeight="false" outlineLevel="0" collapsed="false">
      <c r="A101" s="0" t="s">
        <v>907</v>
      </c>
      <c r="B101" s="0" t="s">
        <v>852</v>
      </c>
      <c r="C101" s="14" t="n">
        <f aca="false">((C99+C100)+C95)</f>
        <v>0</v>
      </c>
      <c r="D101" s="14" t="n">
        <f aca="false">((D99+D100)+D95)</f>
        <v>0</v>
      </c>
      <c r="E101" s="14" t="n">
        <f aca="false">((E99+E100)+E95)</f>
        <v>0</v>
      </c>
      <c r="F101" s="14" t="n">
        <f aca="false">((F99+F100)+F95)</f>
        <v>0</v>
      </c>
      <c r="G101" s="14" t="n">
        <f aca="false">((G99+G100)+G95)</f>
        <v>0</v>
      </c>
      <c r="H101" s="14" t="n">
        <f aca="false">((H99+H100)+H95)</f>
        <v>0</v>
      </c>
      <c r="I101" s="14" t="n">
        <f aca="false">((I99+I100)+I95)</f>
        <v>0</v>
      </c>
      <c r="J101" s="14" t="n">
        <f aca="false">((J99+J100)+J95)</f>
        <v>0</v>
      </c>
      <c r="K101" s="14" t="n">
        <f aca="false">((K99+K100)+K95)</f>
        <v>0</v>
      </c>
      <c r="L101" s="14" t="n">
        <f aca="false">((L99+L100)+L95)</f>
        <v>0</v>
      </c>
      <c r="M101" s="14" t="n">
        <f aca="false">((M99+M100)+M95)</f>
        <v>0</v>
      </c>
      <c r="N101" s="14" t="n">
        <f aca="false">((N99+N100)+N95)</f>
        <v>0</v>
      </c>
      <c r="O101" s="14" t="n">
        <f aca="false">((O99+O100)+O95)</f>
        <v>0</v>
      </c>
      <c r="P101" s="14" t="n">
        <f aca="false">((P99+P100)+P95)</f>
        <v>0</v>
      </c>
      <c r="Q101" s="14" t="n">
        <f aca="false">((Q99+Q100)+Q95)</f>
        <v>0</v>
      </c>
      <c r="R101" s="14" t="n">
        <f aca="false">((R99+R100)+R95)</f>
        <v>0</v>
      </c>
      <c r="S101" s="14" t="n">
        <f aca="false">((S99+S100)+S95)</f>
        <v>0</v>
      </c>
      <c r="T101" s="14" t="n">
        <f aca="false">((T99+T100)+T95)</f>
        <v>0</v>
      </c>
      <c r="U101" s="14" t="n">
        <f aca="false">((U99+U100)+U95)</f>
        <v>0</v>
      </c>
      <c r="V101" s="14" t="n">
        <f aca="false">((V99+V100)+V95)</f>
        <v>0</v>
      </c>
      <c r="W101" s="14" t="n">
        <f aca="false">((W99+W100)+W95)</f>
        <v>0</v>
      </c>
      <c r="X101" s="14" t="n">
        <f aca="false">((X99+X100)+X95)</f>
        <v>0</v>
      </c>
      <c r="Y101" s="14" t="n">
        <f aca="false">((Y99+Y100)+Y95)</f>
        <v>0</v>
      </c>
      <c r="Z101" s="14" t="n">
        <f aca="false">((Z99+Z100)+Z95)</f>
        <v>0</v>
      </c>
      <c r="AA101" s="14" t="n">
        <f aca="false">((AA99+AA100)+AA95)</f>
        <v>0</v>
      </c>
      <c r="AB101" s="14" t="n">
        <f aca="false">((AB99+AB100)+AB95)</f>
        <v>0</v>
      </c>
      <c r="AC101" s="14" t="n">
        <f aca="false">((AC99+AC100)+AC95)</f>
        <v>0</v>
      </c>
      <c r="AD101" s="14" t="n">
        <f aca="false">((AD99+AD100)+AD95)</f>
        <v>0</v>
      </c>
      <c r="AE101" s="14" t="n">
        <f aca="false">((AE99+AE100)+AE95)</f>
        <v>0</v>
      </c>
      <c r="AF101" s="14" t="n">
        <f aca="false">((AF99+AF100)+AF95)</f>
        <v>0</v>
      </c>
      <c r="AG101" s="14" t="n">
        <f aca="false">((AG99+AG100)+AG95)</f>
        <v>0</v>
      </c>
      <c r="AH101" s="14" t="n">
        <f aca="false">((AH99+AH100)+AH95)</f>
        <v>0</v>
      </c>
      <c r="AI101" s="14" t="n">
        <f aca="false">((AI99+AI100)+AI95)</f>
        <v>0</v>
      </c>
      <c r="AJ101" s="14" t="n">
        <f aca="false">((AJ99+AJ100)+AJ95)</f>
        <v>0</v>
      </c>
      <c r="AK101" s="14" t="n">
        <f aca="false">((AK99+AK100)+AK95)</f>
        <v>0</v>
      </c>
      <c r="AL101" s="14" t="n">
        <f aca="false">((AL99+AL100)+AL95)</f>
        <v>0</v>
      </c>
      <c r="AN101" s="36" t="n">
        <f aca="false">SUM(C101:N101)</f>
        <v>0</v>
      </c>
      <c r="AO101" s="36" t="n">
        <f aca="false">SUM(O101:Z101)</f>
        <v>0</v>
      </c>
      <c r="AP101" s="36" t="n">
        <f aca="false">SUM(AA101:AL101)</f>
        <v>0</v>
      </c>
    </row>
    <row r="102" customFormat="false" ht="15" hidden="false" customHeight="false" outlineLevel="0" collapsed="false">
      <c r="A102" s="0" t="s">
        <v>908</v>
      </c>
      <c r="B102" s="0" t="s">
        <v>852</v>
      </c>
      <c r="C102" s="14" t="n">
        <f aca="false">(C101+(C45*0))</f>
        <v>0</v>
      </c>
      <c r="D102" s="14" t="n">
        <f aca="false">(D101+(D45*0))</f>
        <v>0</v>
      </c>
      <c r="E102" s="14" t="n">
        <f aca="false">(E101+(E45*0))</f>
        <v>0</v>
      </c>
      <c r="F102" s="14" t="n">
        <f aca="false">(F101+(F45*0))</f>
        <v>0</v>
      </c>
      <c r="G102" s="14" t="n">
        <f aca="false">(G101+(G45*0))</f>
        <v>0</v>
      </c>
      <c r="H102" s="14" t="n">
        <f aca="false">(H101+(H45*0))</f>
        <v>0</v>
      </c>
      <c r="I102" s="14" t="n">
        <f aca="false">(I101+(I45*0))</f>
        <v>0</v>
      </c>
      <c r="J102" s="14" t="n">
        <f aca="false">(J101+(J45*0))</f>
        <v>0</v>
      </c>
      <c r="K102" s="14" t="n">
        <f aca="false">(K101+(K45*0))</f>
        <v>0</v>
      </c>
      <c r="L102" s="14" t="n">
        <f aca="false">(L101+(L45*0))</f>
        <v>0</v>
      </c>
      <c r="M102" s="14" t="n">
        <f aca="false">(M101+(M45*0))</f>
        <v>0</v>
      </c>
      <c r="N102" s="14" t="n">
        <f aca="false">(N101+(N45*0))</f>
        <v>0</v>
      </c>
      <c r="O102" s="14" t="n">
        <f aca="false">(O101+(O45*C102))</f>
        <v>0</v>
      </c>
      <c r="P102" s="14" t="n">
        <f aca="false">(P101+(P45*D102))</f>
        <v>0</v>
      </c>
      <c r="Q102" s="14" t="n">
        <f aca="false">(Q101+(Q45*E102))</f>
        <v>0</v>
      </c>
      <c r="R102" s="14" t="n">
        <f aca="false">(R101+(R45*F102))</f>
        <v>0</v>
      </c>
      <c r="S102" s="14" t="n">
        <f aca="false">(S101+(S45*G102))</f>
        <v>0</v>
      </c>
      <c r="T102" s="14" t="n">
        <f aca="false">(T101+(T45*H102))</f>
        <v>0</v>
      </c>
      <c r="U102" s="14" t="n">
        <f aca="false">(U101+(U45*I102))</f>
        <v>0</v>
      </c>
      <c r="V102" s="14" t="n">
        <f aca="false">(V101+(V45*J102))</f>
        <v>0</v>
      </c>
      <c r="W102" s="14" t="n">
        <f aca="false">(W101+(W45*K102))</f>
        <v>0</v>
      </c>
      <c r="X102" s="14" t="n">
        <f aca="false">(X101+(X45*L102))</f>
        <v>0</v>
      </c>
      <c r="Y102" s="14" t="n">
        <f aca="false">(Y101+(Y45*M102))</f>
        <v>0</v>
      </c>
      <c r="Z102" s="14" t="n">
        <f aca="false">(Z101+(Z45*N102))</f>
        <v>0</v>
      </c>
      <c r="AA102" s="14" t="n">
        <f aca="false">(AA101+(AA45*O102))</f>
        <v>0</v>
      </c>
      <c r="AB102" s="14" t="n">
        <f aca="false">(AB101+(AB45*P102))</f>
        <v>0</v>
      </c>
      <c r="AC102" s="14" t="n">
        <f aca="false">(AC101+(AC45*Q102))</f>
        <v>0</v>
      </c>
      <c r="AD102" s="14" t="n">
        <f aca="false">(AD101+(AD45*R102))</f>
        <v>0</v>
      </c>
      <c r="AE102" s="14" t="n">
        <f aca="false">(AE101+(AE45*S102))</f>
        <v>0</v>
      </c>
      <c r="AF102" s="14" t="n">
        <f aca="false">(AF101+(AF45*T102))</f>
        <v>0</v>
      </c>
      <c r="AG102" s="14" t="n">
        <f aca="false">(AG101+(AG45*U102))</f>
        <v>0</v>
      </c>
      <c r="AH102" s="14" t="n">
        <f aca="false">(AH101+(AH45*V102))</f>
        <v>0</v>
      </c>
      <c r="AI102" s="14" t="n">
        <f aca="false">(AI101+(AI45*W102))</f>
        <v>0</v>
      </c>
      <c r="AJ102" s="14" t="n">
        <f aca="false">(AJ101+(AJ45*X102))</f>
        <v>0</v>
      </c>
      <c r="AK102" s="14" t="n">
        <f aca="false">(AK101+(AK45*Y102))</f>
        <v>0</v>
      </c>
      <c r="AL102" s="14" t="n">
        <f aca="false">(AL101+(AL45*Z102))</f>
        <v>0</v>
      </c>
      <c r="AN102" s="36" t="n">
        <f aca="false">SUM(C102:N102)</f>
        <v>0</v>
      </c>
      <c r="AO102" s="36" t="n">
        <f aca="false">SUM(O102:Z102)</f>
        <v>0</v>
      </c>
      <c r="AP102" s="36" t="n">
        <f aca="false">SUM(AA102:AL102)</f>
        <v>0</v>
      </c>
    </row>
    <row r="103" customFormat="false" ht="15" hidden="false" customHeight="false" outlineLevel="0" collapsed="false">
      <c r="A103" s="0" t="s">
        <v>909</v>
      </c>
      <c r="B103" s="0" t="s">
        <v>852</v>
      </c>
      <c r="C103" s="14" t="n">
        <f aca="false">C102</f>
        <v>0</v>
      </c>
      <c r="D103" s="14" t="n">
        <f aca="false">SUM(C102:D102)</f>
        <v>0</v>
      </c>
      <c r="E103" s="14" t="n">
        <f aca="false">SUM(C102:E102)</f>
        <v>0</v>
      </c>
      <c r="F103" s="14" t="n">
        <f aca="false">SUM(C102:F102)</f>
        <v>0</v>
      </c>
      <c r="G103" s="14" t="n">
        <f aca="false">SUM(C102:G102)</f>
        <v>0</v>
      </c>
      <c r="H103" s="14" t="n">
        <f aca="false">SUM(C102:H102)</f>
        <v>0</v>
      </c>
      <c r="I103" s="14" t="n">
        <f aca="false">SUM(C102:I102)</f>
        <v>0</v>
      </c>
      <c r="J103" s="14" t="n">
        <f aca="false">SUM(C102:J102)</f>
        <v>0</v>
      </c>
      <c r="K103" s="14" t="n">
        <f aca="false">SUM(C102:K102)</f>
        <v>0</v>
      </c>
      <c r="L103" s="14" t="n">
        <f aca="false">SUM(C102:L102)</f>
        <v>0</v>
      </c>
      <c r="M103" s="14" t="n">
        <f aca="false">SUM(C102:M102)</f>
        <v>0</v>
      </c>
      <c r="N103" s="14" t="n">
        <f aca="false">SUM(C102:N102)</f>
        <v>0</v>
      </c>
      <c r="O103" s="14" t="n">
        <f aca="false">SUM(D102:O102)</f>
        <v>0</v>
      </c>
      <c r="P103" s="14" t="n">
        <f aca="false">SUM(E102:P102)</f>
        <v>0</v>
      </c>
      <c r="Q103" s="14" t="n">
        <f aca="false">SUM(F102:Q102)</f>
        <v>0</v>
      </c>
      <c r="R103" s="14" t="n">
        <f aca="false">SUM(G102:R102)</f>
        <v>0</v>
      </c>
      <c r="S103" s="14" t="n">
        <f aca="false">SUM(H102:S102)</f>
        <v>0</v>
      </c>
      <c r="T103" s="14" t="n">
        <f aca="false">SUM(I102:T102)</f>
        <v>0</v>
      </c>
      <c r="U103" s="14" t="n">
        <f aca="false">SUM(J102:U102)</f>
        <v>0</v>
      </c>
      <c r="V103" s="14" t="n">
        <f aca="false">SUM(K102:V102)</f>
        <v>0</v>
      </c>
      <c r="W103" s="14" t="n">
        <f aca="false">SUM(L102:W102)</f>
        <v>0</v>
      </c>
      <c r="X103" s="14" t="n">
        <f aca="false">SUM(M102:X102)</f>
        <v>0</v>
      </c>
      <c r="Y103" s="14" t="n">
        <f aca="false">SUM(N102:Y102)</f>
        <v>0</v>
      </c>
      <c r="Z103" s="14" t="n">
        <f aca="false">SUM(O102:Z102)</f>
        <v>0</v>
      </c>
      <c r="AA103" s="14" t="n">
        <f aca="false">SUM(P102:AA102)</f>
        <v>0</v>
      </c>
      <c r="AB103" s="14" t="n">
        <f aca="false">SUM(Q102:AB102)</f>
        <v>0</v>
      </c>
      <c r="AC103" s="14" t="n">
        <f aca="false">SUM(R102:AC102)</f>
        <v>0</v>
      </c>
      <c r="AD103" s="14" t="n">
        <f aca="false">SUM(S102:AD102)</f>
        <v>0</v>
      </c>
      <c r="AE103" s="14" t="n">
        <f aca="false">SUM(T102:AE102)</f>
        <v>0</v>
      </c>
      <c r="AF103" s="14" t="n">
        <f aca="false">SUM(U102:AF102)</f>
        <v>0</v>
      </c>
      <c r="AG103" s="14" t="n">
        <f aca="false">SUM(V102:AG102)</f>
        <v>0</v>
      </c>
      <c r="AH103" s="14" t="n">
        <f aca="false">SUM(W102:AH102)</f>
        <v>0</v>
      </c>
      <c r="AI103" s="14" t="n">
        <f aca="false">SUM(X102:AI102)</f>
        <v>0</v>
      </c>
      <c r="AJ103" s="14" t="n">
        <f aca="false">SUM(Y102:AJ102)</f>
        <v>0</v>
      </c>
      <c r="AK103" s="14" t="n">
        <f aca="false">SUM(Z102:AK102)</f>
        <v>0</v>
      </c>
      <c r="AL103" s="14" t="n">
        <f aca="false">SUM(AA102:AL102)</f>
        <v>0</v>
      </c>
      <c r="AN103" s="36" t="n">
        <f aca="false">N103</f>
        <v>0</v>
      </c>
      <c r="AO103" s="36" t="n">
        <f aca="false">Z103</f>
        <v>0</v>
      </c>
      <c r="AP103" s="36" t="n">
        <f aca="false">AL103</f>
        <v>0</v>
      </c>
    </row>
    <row r="104" customFormat="false" ht="15" hidden="false" customHeight="false" outlineLevel="0" collapsed="false">
      <c r="A104" s="0" t="s">
        <v>910</v>
      </c>
      <c r="B104" s="0" t="s">
        <v>230</v>
      </c>
      <c r="C104" s="9" t="n">
        <f aca="false">((Assumptions!$E$121*(1-Assumptions!$C$29))*$C$10)</f>
        <v>193600</v>
      </c>
      <c r="D104" s="9" t="n">
        <f aca="false">((Assumptions!$E$121*(1-Assumptions!$C$29))*$C$10)</f>
        <v>193600</v>
      </c>
      <c r="E104" s="9" t="n">
        <f aca="false">((Assumptions!$E$121*(1-Assumptions!$C$29))*$C$10)</f>
        <v>193600</v>
      </c>
      <c r="F104" s="9" t="n">
        <f aca="false">((Assumptions!$E$121*(1-Assumptions!$C$29))*$C$10)</f>
        <v>193600</v>
      </c>
      <c r="G104" s="9" t="n">
        <f aca="false">((Assumptions!$E$121*(1-Assumptions!$C$29))*$C$10)</f>
        <v>193600</v>
      </c>
      <c r="H104" s="9" t="n">
        <f aca="false">((Assumptions!$E$121*(1-Assumptions!$C$29))*$C$10)</f>
        <v>193600</v>
      </c>
      <c r="I104" s="9" t="n">
        <f aca="false">((Assumptions!$E$121*(1-Assumptions!$C$29))*$C$10)</f>
        <v>193600</v>
      </c>
      <c r="J104" s="9" t="n">
        <f aca="false">((Assumptions!$E$121*(1-Assumptions!$C$29))*$C$10)</f>
        <v>193600</v>
      </c>
      <c r="K104" s="9" t="n">
        <f aca="false">((Assumptions!$E$121*(1-Assumptions!$C$29))*$C$10)</f>
        <v>193600</v>
      </c>
      <c r="L104" s="9" t="n">
        <f aca="false">((Assumptions!$E$121*(1-Assumptions!$C$29))*$C$10)</f>
        <v>193600</v>
      </c>
      <c r="M104" s="9" t="n">
        <f aca="false">((Assumptions!$E$121*(1-Assumptions!$C$29))*$C$10)</f>
        <v>193600</v>
      </c>
      <c r="N104" s="9" t="n">
        <f aca="false">((Assumptions!$E$121*(1-Assumptions!$C$29))*$C$10)</f>
        <v>193600</v>
      </c>
      <c r="O104" s="9" t="n">
        <f aca="false">((Assumptions!$E$121*(1-Assumptions!$C$29))*$C$10)</f>
        <v>193600</v>
      </c>
      <c r="P104" s="9" t="n">
        <f aca="false">((Assumptions!$E$121*(1-Assumptions!$C$29))*$C$10)</f>
        <v>193600</v>
      </c>
      <c r="Q104" s="9" t="n">
        <f aca="false">((Assumptions!$E$121*(1-Assumptions!$C$29))*$C$10)</f>
        <v>193600</v>
      </c>
      <c r="R104" s="9" t="n">
        <f aca="false">((Assumptions!$E$121*(1-Assumptions!$C$29))*$C$10)</f>
        <v>193600</v>
      </c>
      <c r="S104" s="9" t="n">
        <f aca="false">((Assumptions!$E$121*(1-Assumptions!$C$29))*$C$10)</f>
        <v>193600</v>
      </c>
      <c r="T104" s="9" t="n">
        <f aca="false">((Assumptions!$E$121*(1-Assumptions!$C$29))*$C$10)</f>
        <v>193600</v>
      </c>
      <c r="U104" s="9" t="n">
        <f aca="false">((Assumptions!$E$121*(1-Assumptions!$C$29))*$C$10)</f>
        <v>193600</v>
      </c>
      <c r="V104" s="9" t="n">
        <f aca="false">((Assumptions!$E$121*(1-Assumptions!$C$29))*$C$10)</f>
        <v>193600</v>
      </c>
      <c r="W104" s="9" t="n">
        <f aca="false">((Assumptions!$E$121*(1-Assumptions!$C$29))*$C$10)</f>
        <v>193600</v>
      </c>
      <c r="X104" s="9" t="n">
        <f aca="false">((Assumptions!$E$121*(1-Assumptions!$C$29))*$C$10)</f>
        <v>193600</v>
      </c>
      <c r="Y104" s="9" t="n">
        <f aca="false">((Assumptions!$E$121*(1-Assumptions!$C$29))*$C$10)</f>
        <v>193600</v>
      </c>
      <c r="Z104" s="9" t="n">
        <f aca="false">((Assumptions!$E$121*(1-Assumptions!$C$29))*$C$10)</f>
        <v>193600</v>
      </c>
      <c r="AA104" s="9" t="n">
        <f aca="false">((Assumptions!$E$121*(1-Assumptions!$C$29))*$C$10)</f>
        <v>193600</v>
      </c>
      <c r="AB104" s="9" t="n">
        <f aca="false">((Assumptions!$E$121*(1-Assumptions!$C$29))*$C$10)</f>
        <v>193600</v>
      </c>
      <c r="AC104" s="9" t="n">
        <f aca="false">((Assumptions!$E$121*(1-Assumptions!$C$29))*$C$10)</f>
        <v>193600</v>
      </c>
      <c r="AD104" s="9" t="n">
        <f aca="false">((Assumptions!$E$121*(1-Assumptions!$C$29))*$C$10)</f>
        <v>193600</v>
      </c>
      <c r="AE104" s="9" t="n">
        <f aca="false">((Assumptions!$E$121*(1-Assumptions!$C$29))*$C$10)</f>
        <v>193600</v>
      </c>
      <c r="AF104" s="9" t="n">
        <f aca="false">((Assumptions!$E$121*(1-Assumptions!$C$29))*$C$10)</f>
        <v>193600</v>
      </c>
      <c r="AG104" s="9" t="n">
        <f aca="false">((Assumptions!$E$121*(1-Assumptions!$C$29))*$C$10)</f>
        <v>193600</v>
      </c>
      <c r="AH104" s="9" t="n">
        <f aca="false">((Assumptions!$E$121*(1-Assumptions!$C$29))*$C$10)</f>
        <v>193600</v>
      </c>
      <c r="AI104" s="9" t="n">
        <f aca="false">((Assumptions!$E$121*(1-Assumptions!$C$29))*$C$10)</f>
        <v>193600</v>
      </c>
      <c r="AJ104" s="9" t="n">
        <f aca="false">((Assumptions!$E$121*(1-Assumptions!$C$29))*$C$10)</f>
        <v>193600</v>
      </c>
      <c r="AK104" s="9" t="n">
        <f aca="false">((Assumptions!$E$121*(1-Assumptions!$C$29))*$C$10)</f>
        <v>193600</v>
      </c>
      <c r="AL104" s="9" t="n">
        <f aca="false">((Assumptions!$E$121*(1-Assumptions!$C$29))*$C$10)</f>
        <v>193600</v>
      </c>
    </row>
    <row r="105" customFormat="false" ht="15" hidden="false" customHeight="false" outlineLevel="0" collapsed="false">
      <c r="A105" s="0" t="s">
        <v>911</v>
      </c>
      <c r="B105" s="0" t="s">
        <v>230</v>
      </c>
      <c r="C105" s="9" t="n">
        <f aca="false">((C101*C104)+((C45*(1+Assumptions!$C$31))*0))</f>
        <v>0</v>
      </c>
      <c r="D105" s="9" t="n">
        <f aca="false">((D101*D104)+((D45*(1+Assumptions!$C$31))*0))</f>
        <v>0</v>
      </c>
      <c r="E105" s="9" t="n">
        <f aca="false">((E101*E104)+((E45*(1+Assumptions!$C$31))*0))</f>
        <v>0</v>
      </c>
      <c r="F105" s="9" t="n">
        <f aca="false">((F101*F104)+((F45*(1+Assumptions!$C$31))*0))</f>
        <v>0</v>
      </c>
      <c r="G105" s="9" t="n">
        <f aca="false">((G101*G104)+((G45*(1+Assumptions!$C$31))*0))</f>
        <v>0</v>
      </c>
      <c r="H105" s="9" t="n">
        <f aca="false">((H101*H104)+((H45*(1+Assumptions!$C$31))*0))</f>
        <v>0</v>
      </c>
      <c r="I105" s="9" t="n">
        <f aca="false">((I101*I104)+((I45*(1+Assumptions!$C$31))*0))</f>
        <v>0</v>
      </c>
      <c r="J105" s="9" t="n">
        <f aca="false">((J101*J104)+((J45*(1+Assumptions!$C$31))*0))</f>
        <v>0</v>
      </c>
      <c r="K105" s="9" t="n">
        <f aca="false">((K101*K104)+((K45*(1+Assumptions!$C$31))*0))</f>
        <v>0</v>
      </c>
      <c r="L105" s="9" t="n">
        <f aca="false">((L101*L104)+((L45*(1+Assumptions!$C$31))*0))</f>
        <v>0</v>
      </c>
      <c r="M105" s="9" t="n">
        <f aca="false">((M101*M104)+((M45*(1+Assumptions!$C$31))*0))</f>
        <v>0</v>
      </c>
      <c r="N105" s="9" t="n">
        <f aca="false">((N101*N104)+((N45*(1+Assumptions!$C$31))*0))</f>
        <v>0</v>
      </c>
      <c r="O105" s="9" t="n">
        <f aca="false">((O101*O104)+((O45*(1+Assumptions!$C$31))*C105))</f>
        <v>0</v>
      </c>
      <c r="P105" s="9" t="n">
        <f aca="false">((P101*P104)+((P45*(1+Assumptions!$C$31))*D105))</f>
        <v>0</v>
      </c>
      <c r="Q105" s="9" t="n">
        <f aca="false">((Q101*Q104)+((Q45*(1+Assumptions!$C$31))*E105))</f>
        <v>0</v>
      </c>
      <c r="R105" s="9" t="n">
        <f aca="false">((R101*R104)+((R45*(1+Assumptions!$C$31))*F105))</f>
        <v>0</v>
      </c>
      <c r="S105" s="9" t="n">
        <f aca="false">((S101*S104)+((S45*(1+Assumptions!$C$31))*G105))</f>
        <v>0</v>
      </c>
      <c r="T105" s="9" t="n">
        <f aca="false">((T101*T104)+((T45*(1+Assumptions!$C$31))*H105))</f>
        <v>0</v>
      </c>
      <c r="U105" s="9" t="n">
        <f aca="false">((U101*U104)+((U45*(1+Assumptions!$C$31))*I105))</f>
        <v>0</v>
      </c>
      <c r="V105" s="9" t="n">
        <f aca="false">((V101*V104)+((V45*(1+Assumptions!$C$31))*J105))</f>
        <v>0</v>
      </c>
      <c r="W105" s="9" t="n">
        <f aca="false">((W101*W104)+((W45*(1+Assumptions!$C$31))*K105))</f>
        <v>0</v>
      </c>
      <c r="X105" s="9" t="n">
        <f aca="false">((X101*X104)+((X45*(1+Assumptions!$C$31))*L105))</f>
        <v>0</v>
      </c>
      <c r="Y105" s="9" t="n">
        <f aca="false">((Y101*Y104)+((Y45*(1+Assumptions!$C$31))*M105))</f>
        <v>0</v>
      </c>
      <c r="Z105" s="9" t="n">
        <f aca="false">((Z101*Z104)+((Z45*(1+Assumptions!$C$31))*N105))</f>
        <v>0</v>
      </c>
      <c r="AA105" s="9" t="n">
        <f aca="false">((AA101*AA104)+((AA45*(1+Assumptions!$C$31))*O105))</f>
        <v>0</v>
      </c>
      <c r="AB105" s="9" t="n">
        <f aca="false">((AB101*AB104)+((AB45*(1+Assumptions!$C$31))*P105))</f>
        <v>0</v>
      </c>
      <c r="AC105" s="9" t="n">
        <f aca="false">((AC101*AC104)+((AC45*(1+Assumptions!$C$31))*Q105))</f>
        <v>0</v>
      </c>
      <c r="AD105" s="9" t="n">
        <f aca="false">((AD101*AD104)+((AD45*(1+Assumptions!$C$31))*R105))</f>
        <v>0</v>
      </c>
      <c r="AE105" s="9" t="n">
        <f aca="false">((AE101*AE104)+((AE45*(1+Assumptions!$C$31))*S105))</f>
        <v>0</v>
      </c>
      <c r="AF105" s="9" t="n">
        <f aca="false">((AF101*AF104)+((AF45*(1+Assumptions!$C$31))*T105))</f>
        <v>0</v>
      </c>
      <c r="AG105" s="9" t="n">
        <f aca="false">((AG101*AG104)+((AG45*(1+Assumptions!$C$31))*U105))</f>
        <v>0</v>
      </c>
      <c r="AH105" s="9" t="n">
        <f aca="false">((AH101*AH104)+((AH45*(1+Assumptions!$C$31))*V105))</f>
        <v>0</v>
      </c>
      <c r="AI105" s="9" t="n">
        <f aca="false">((AI101*AI104)+((AI45*(1+Assumptions!$C$31))*W105))</f>
        <v>0</v>
      </c>
      <c r="AJ105" s="9" t="n">
        <f aca="false">((AJ101*AJ104)+((AJ45*(1+Assumptions!$C$31))*X105))</f>
        <v>0</v>
      </c>
      <c r="AK105" s="9" t="n">
        <f aca="false">((AK101*AK104)+((AK45*(1+Assumptions!$C$31))*Y105))</f>
        <v>0</v>
      </c>
      <c r="AL105" s="9" t="n">
        <f aca="false">((AL101*AL104)+((AL45*(1+Assumptions!$C$31))*Z105))</f>
        <v>0</v>
      </c>
      <c r="AN105" s="11" t="n">
        <f aca="false">SUM(C105:N105)</f>
        <v>0</v>
      </c>
      <c r="AO105" s="11" t="n">
        <f aca="false">SUM(O105:Z105)</f>
        <v>0</v>
      </c>
      <c r="AP105" s="11" t="n">
        <f aca="false">SUM(AA105:AL105)</f>
        <v>0</v>
      </c>
    </row>
    <row r="106" customFormat="false" ht="15" hidden="false" customHeight="false" outlineLevel="0" collapsed="false">
      <c r="A106" s="0" t="s">
        <v>912</v>
      </c>
      <c r="B106" s="0" t="s">
        <v>230</v>
      </c>
      <c r="C106" s="9" t="n">
        <f aca="false">(Assumptions!$E$126*C99)</f>
        <v>0</v>
      </c>
      <c r="D106" s="9" t="n">
        <f aca="false">(Assumptions!$E$126*D99)</f>
        <v>0</v>
      </c>
      <c r="E106" s="9" t="n">
        <f aca="false">(Assumptions!$E$126*E99)</f>
        <v>0</v>
      </c>
      <c r="F106" s="9" t="n">
        <f aca="false">(Assumptions!$E$126*F99)</f>
        <v>0</v>
      </c>
      <c r="G106" s="9" t="n">
        <f aca="false">(Assumptions!$E$126*G99)</f>
        <v>0</v>
      </c>
      <c r="H106" s="9" t="n">
        <f aca="false">(Assumptions!$E$126*H99)</f>
        <v>0</v>
      </c>
      <c r="I106" s="9" t="n">
        <f aca="false">(Assumptions!$E$126*I99)</f>
        <v>0</v>
      </c>
      <c r="J106" s="9" t="n">
        <f aca="false">(Assumptions!$E$126*J99)</f>
        <v>0</v>
      </c>
      <c r="K106" s="9" t="n">
        <f aca="false">(Assumptions!$E$126*K99)</f>
        <v>0</v>
      </c>
      <c r="L106" s="9" t="n">
        <f aca="false">(Assumptions!$E$126*L99)</f>
        <v>0</v>
      </c>
      <c r="M106" s="9" t="n">
        <f aca="false">(Assumptions!$E$126*M99)</f>
        <v>0</v>
      </c>
      <c r="N106" s="9" t="n">
        <f aca="false">(Assumptions!$E$126*N99)</f>
        <v>0</v>
      </c>
      <c r="O106" s="9" t="n">
        <f aca="false">(Assumptions!$E$126*O99)</f>
        <v>0</v>
      </c>
      <c r="P106" s="9" t="n">
        <f aca="false">(Assumptions!$E$126*P99)</f>
        <v>0</v>
      </c>
      <c r="Q106" s="9" t="n">
        <f aca="false">(Assumptions!$E$126*Q99)</f>
        <v>0</v>
      </c>
      <c r="R106" s="9" t="n">
        <f aca="false">(Assumptions!$E$126*R99)</f>
        <v>0</v>
      </c>
      <c r="S106" s="9" t="n">
        <f aca="false">(Assumptions!$E$126*S99)</f>
        <v>0</v>
      </c>
      <c r="T106" s="9" t="n">
        <f aca="false">(Assumptions!$E$126*T99)</f>
        <v>0</v>
      </c>
      <c r="U106" s="9" t="n">
        <f aca="false">(Assumptions!$E$126*U99)</f>
        <v>0</v>
      </c>
      <c r="V106" s="9" t="n">
        <f aca="false">(Assumptions!$E$126*V99)</f>
        <v>0</v>
      </c>
      <c r="W106" s="9" t="n">
        <f aca="false">(Assumptions!$E$126*W99)</f>
        <v>0</v>
      </c>
      <c r="X106" s="9" t="n">
        <f aca="false">(Assumptions!$E$126*X99)</f>
        <v>0</v>
      </c>
      <c r="Y106" s="9" t="n">
        <f aca="false">(Assumptions!$E$126*Y99)</f>
        <v>0</v>
      </c>
      <c r="Z106" s="9" t="n">
        <f aca="false">(Assumptions!$E$126*Z99)</f>
        <v>0</v>
      </c>
      <c r="AA106" s="9" t="n">
        <f aca="false">(Assumptions!$E$126*AA99)</f>
        <v>0</v>
      </c>
      <c r="AB106" s="9" t="n">
        <f aca="false">(Assumptions!$E$126*AB99)</f>
        <v>0</v>
      </c>
      <c r="AC106" s="9" t="n">
        <f aca="false">(Assumptions!$E$126*AC99)</f>
        <v>0</v>
      </c>
      <c r="AD106" s="9" t="n">
        <f aca="false">(Assumptions!$E$126*AD99)</f>
        <v>0</v>
      </c>
      <c r="AE106" s="9" t="n">
        <f aca="false">(Assumptions!$E$126*AE99)</f>
        <v>0</v>
      </c>
      <c r="AF106" s="9" t="n">
        <f aca="false">(Assumptions!$E$126*AF99)</f>
        <v>0</v>
      </c>
      <c r="AG106" s="9" t="n">
        <f aca="false">(Assumptions!$E$126*AG99)</f>
        <v>0</v>
      </c>
      <c r="AH106" s="9" t="n">
        <f aca="false">(Assumptions!$E$126*AH99)</f>
        <v>0</v>
      </c>
      <c r="AI106" s="9" t="n">
        <f aca="false">(Assumptions!$E$126*AI99)</f>
        <v>0</v>
      </c>
      <c r="AJ106" s="9" t="n">
        <f aca="false">(Assumptions!$E$126*AJ99)</f>
        <v>0</v>
      </c>
      <c r="AK106" s="9" t="n">
        <f aca="false">(Assumptions!$E$126*AK99)</f>
        <v>0</v>
      </c>
      <c r="AL106" s="9" t="n">
        <f aca="false">(Assumptions!$E$126*AL99)</f>
        <v>0</v>
      </c>
      <c r="AN106" s="11" t="n">
        <f aca="false">SUM(C106:N106)</f>
        <v>0</v>
      </c>
      <c r="AO106" s="11" t="n">
        <f aca="false">SUM(O106:Z106)</f>
        <v>0</v>
      </c>
      <c r="AP106" s="11" t="n">
        <f aca="false">SUM(AA106:AL106)</f>
        <v>0</v>
      </c>
    </row>
    <row r="107" customFormat="false" ht="15" hidden="false" customHeight="false" outlineLevel="0" collapsed="false">
      <c r="A107" s="0" t="s">
        <v>913</v>
      </c>
      <c r="B107" s="0" t="s">
        <v>230</v>
      </c>
      <c r="C107" s="9" t="n">
        <f aca="false">((C105-C106)/12)</f>
        <v>0</v>
      </c>
      <c r="D107" s="9" t="n">
        <f aca="false">((SUM(C105:D105)-SUM(C106:D106))/12)</f>
        <v>0</v>
      </c>
      <c r="E107" s="9" t="n">
        <f aca="false">((SUM(C105:E105)-SUM(C106:E106))/12)</f>
        <v>0</v>
      </c>
      <c r="F107" s="9" t="n">
        <f aca="false">((SUM(C105:F105)-SUM(C106:F106))/12)</f>
        <v>0</v>
      </c>
      <c r="G107" s="9" t="n">
        <f aca="false">((SUM(C105:G105)-SUM(C106:G106))/12)</f>
        <v>0</v>
      </c>
      <c r="H107" s="9" t="n">
        <f aca="false">((SUM(C105:H105)-SUM(C106:H106))/12)</f>
        <v>0</v>
      </c>
      <c r="I107" s="9" t="n">
        <f aca="false">((SUM(C105:I105)-SUM(C106:I106))/12)</f>
        <v>0</v>
      </c>
      <c r="J107" s="9" t="n">
        <f aca="false">((SUM(C105:J105)-SUM(C106:J106))/12)</f>
        <v>0</v>
      </c>
      <c r="K107" s="9" t="n">
        <f aca="false">((SUM(C105:K105)-SUM(C106:K106))/12)</f>
        <v>0</v>
      </c>
      <c r="L107" s="9" t="n">
        <f aca="false">((SUM(C105:L105)-SUM(C106:L106))/12)</f>
        <v>0</v>
      </c>
      <c r="M107" s="9" t="n">
        <f aca="false">((SUM(C105:M105)-SUM(C106:M106))/12)</f>
        <v>0</v>
      </c>
      <c r="N107" s="9" t="n">
        <f aca="false">((SUM(C105:N105)-SUM(C106:N106))/12)</f>
        <v>0</v>
      </c>
      <c r="O107" s="9" t="n">
        <f aca="false">((SUM(D105:O105)-SUM(D106:O106))/12)</f>
        <v>0</v>
      </c>
      <c r="P107" s="9" t="n">
        <f aca="false">((SUM(E105:P105)-SUM(E106:P106))/12)</f>
        <v>0</v>
      </c>
      <c r="Q107" s="9" t="n">
        <f aca="false">((SUM(F105:Q105)-SUM(F106:Q106))/12)</f>
        <v>0</v>
      </c>
      <c r="R107" s="9" t="n">
        <f aca="false">((SUM(G105:R105)-SUM(G106:R106))/12)</f>
        <v>0</v>
      </c>
      <c r="S107" s="9" t="n">
        <f aca="false">((SUM(H105:S105)-SUM(H106:S106))/12)</f>
        <v>0</v>
      </c>
      <c r="T107" s="9" t="n">
        <f aca="false">((SUM(I105:T105)-SUM(I106:T106))/12)</f>
        <v>0</v>
      </c>
      <c r="U107" s="9" t="n">
        <f aca="false">((SUM(J105:U105)-SUM(J106:U106))/12)</f>
        <v>0</v>
      </c>
      <c r="V107" s="9" t="n">
        <f aca="false">((SUM(K105:V105)-SUM(K106:V106))/12)</f>
        <v>0</v>
      </c>
      <c r="W107" s="9" t="n">
        <f aca="false">((SUM(L105:W105)-SUM(L106:W106))/12)</f>
        <v>0</v>
      </c>
      <c r="X107" s="9" t="n">
        <f aca="false">((SUM(M105:X105)-SUM(M106:X106))/12)</f>
        <v>0</v>
      </c>
      <c r="Y107" s="9" t="n">
        <f aca="false">((SUM(N105:Y105)-SUM(N106:Y106))/12)</f>
        <v>0</v>
      </c>
      <c r="Z107" s="9" t="n">
        <f aca="false">((SUM(O105:Z105)-SUM(O106:Z106))/12)</f>
        <v>0</v>
      </c>
      <c r="AA107" s="9" t="n">
        <f aca="false">((SUM(P105:AA105)-SUM(P106:AA106))/12)</f>
        <v>0</v>
      </c>
      <c r="AB107" s="9" t="n">
        <f aca="false">((SUM(Q105:AB105)-SUM(Q106:AB106))/12)</f>
        <v>0</v>
      </c>
      <c r="AC107" s="9" t="n">
        <f aca="false">((SUM(R105:AC105)-SUM(R106:AC106))/12)</f>
        <v>0</v>
      </c>
      <c r="AD107" s="9" t="n">
        <f aca="false">((SUM(S105:AD105)-SUM(S106:AD106))/12)</f>
        <v>0</v>
      </c>
      <c r="AE107" s="9" t="n">
        <f aca="false">((SUM(T105:AE105)-SUM(T106:AE106))/12)</f>
        <v>0</v>
      </c>
      <c r="AF107" s="9" t="n">
        <f aca="false">((SUM(U105:AF105)-SUM(U106:AF106))/12)</f>
        <v>0</v>
      </c>
      <c r="AG107" s="9" t="n">
        <f aca="false">((SUM(V105:AG105)-SUM(V106:AG106))/12)</f>
        <v>0</v>
      </c>
      <c r="AH107" s="9" t="n">
        <f aca="false">((SUM(W105:AH105)-SUM(W106:AH106))/12)</f>
        <v>0</v>
      </c>
      <c r="AI107" s="9" t="n">
        <f aca="false">((SUM(X105:AI105)-SUM(X106:AI106))/12)</f>
        <v>0</v>
      </c>
      <c r="AJ107" s="9" t="n">
        <f aca="false">((SUM(Y105:AJ105)-SUM(Y106:AJ106))/12)</f>
        <v>0</v>
      </c>
      <c r="AK107" s="9" t="n">
        <f aca="false">((SUM(Z105:AK105)-SUM(Z106:AK106))/12)</f>
        <v>0</v>
      </c>
      <c r="AL107" s="9" t="n">
        <f aca="false">((SUM(AA105:AL105)-SUM(AA106:AL106))/12)</f>
        <v>0</v>
      </c>
      <c r="AN107" s="11" t="n">
        <f aca="false">SUM(C107:N107)</f>
        <v>0</v>
      </c>
      <c r="AO107" s="11" t="n">
        <f aca="false">SUM(O107:Z107)</f>
        <v>0</v>
      </c>
      <c r="AP107" s="11" t="n">
        <f aca="false">SUM(AA107:AL107)</f>
        <v>0</v>
      </c>
    </row>
    <row r="108" customFormat="false" ht="15" hidden="false" customHeight="false" outlineLevel="0" collapsed="false">
      <c r="A108" s="0" t="s">
        <v>914</v>
      </c>
      <c r="B108" s="0" t="s">
        <v>230</v>
      </c>
      <c r="C108" s="9" t="n">
        <f aca="false">(C105-C106)</f>
        <v>0</v>
      </c>
      <c r="D108" s="9" t="n">
        <f aca="false">(D105-D106)</f>
        <v>0</v>
      </c>
      <c r="E108" s="9" t="n">
        <f aca="false">(E105-E106)</f>
        <v>0</v>
      </c>
      <c r="F108" s="9" t="n">
        <f aca="false">(F105-F106)</f>
        <v>0</v>
      </c>
      <c r="G108" s="9" t="n">
        <f aca="false">(G105-G106)</f>
        <v>0</v>
      </c>
      <c r="H108" s="9" t="n">
        <f aca="false">(H105-H106)</f>
        <v>0</v>
      </c>
      <c r="I108" s="9" t="n">
        <f aca="false">(I105-I106)</f>
        <v>0</v>
      </c>
      <c r="J108" s="9" t="n">
        <f aca="false">(J105-J106)</f>
        <v>0</v>
      </c>
      <c r="K108" s="9" t="n">
        <f aca="false">(K105-K106)</f>
        <v>0</v>
      </c>
      <c r="L108" s="9" t="n">
        <f aca="false">(L105-L106)</f>
        <v>0</v>
      </c>
      <c r="M108" s="9" t="n">
        <f aca="false">(M105-M106)</f>
        <v>0</v>
      </c>
      <c r="N108" s="9" t="n">
        <f aca="false">(N105-N106)</f>
        <v>0</v>
      </c>
      <c r="O108" s="9" t="n">
        <f aca="false">(O105-O106)</f>
        <v>0</v>
      </c>
      <c r="P108" s="9" t="n">
        <f aca="false">(P105-P106)</f>
        <v>0</v>
      </c>
      <c r="Q108" s="9" t="n">
        <f aca="false">(Q105-Q106)</f>
        <v>0</v>
      </c>
      <c r="R108" s="9" t="n">
        <f aca="false">(R105-R106)</f>
        <v>0</v>
      </c>
      <c r="S108" s="9" t="n">
        <f aca="false">(S105-S106)</f>
        <v>0</v>
      </c>
      <c r="T108" s="9" t="n">
        <f aca="false">(T105-T106)</f>
        <v>0</v>
      </c>
      <c r="U108" s="9" t="n">
        <f aca="false">(U105-U106)</f>
        <v>0</v>
      </c>
      <c r="V108" s="9" t="n">
        <f aca="false">(V105-V106)</f>
        <v>0</v>
      </c>
      <c r="W108" s="9" t="n">
        <f aca="false">(W105-W106)</f>
        <v>0</v>
      </c>
      <c r="X108" s="9" t="n">
        <f aca="false">(X105-X106)</f>
        <v>0</v>
      </c>
      <c r="Y108" s="9" t="n">
        <f aca="false">(Y105-Y106)</f>
        <v>0</v>
      </c>
      <c r="Z108" s="9" t="n">
        <f aca="false">(Z105-Z106)</f>
        <v>0</v>
      </c>
      <c r="AA108" s="9" t="n">
        <f aca="false">(AA105-AA106)</f>
        <v>0</v>
      </c>
      <c r="AB108" s="9" t="n">
        <f aca="false">(AB105-AB106)</f>
        <v>0</v>
      </c>
      <c r="AC108" s="9" t="n">
        <f aca="false">(AC105-AC106)</f>
        <v>0</v>
      </c>
      <c r="AD108" s="9" t="n">
        <f aca="false">(AD105-AD106)</f>
        <v>0</v>
      </c>
      <c r="AE108" s="9" t="n">
        <f aca="false">(AE105-AE106)</f>
        <v>0</v>
      </c>
      <c r="AF108" s="9" t="n">
        <f aca="false">(AF105-AF106)</f>
        <v>0</v>
      </c>
      <c r="AG108" s="9" t="n">
        <f aca="false">(AG105-AG106)</f>
        <v>0</v>
      </c>
      <c r="AH108" s="9" t="n">
        <f aca="false">(AH105-AH106)</f>
        <v>0</v>
      </c>
      <c r="AI108" s="9" t="n">
        <f aca="false">(AI105-AI106)</f>
        <v>0</v>
      </c>
      <c r="AJ108" s="9" t="n">
        <f aca="false">(AJ105-AJ106)</f>
        <v>0</v>
      </c>
      <c r="AK108" s="9" t="n">
        <f aca="false">(AK105-AK106)</f>
        <v>0</v>
      </c>
      <c r="AL108" s="9" t="n">
        <f aca="false">(AL105-AL106)</f>
        <v>0</v>
      </c>
      <c r="AN108" s="11" t="n">
        <f aca="false">SUM(C108:N108)</f>
        <v>0</v>
      </c>
      <c r="AO108" s="11" t="n">
        <f aca="false">SUM(O108:Z108)</f>
        <v>0</v>
      </c>
      <c r="AP108" s="11" t="n">
        <f aca="false">SUM(AA108:AL108)</f>
        <v>0</v>
      </c>
    </row>
    <row r="109" customFormat="false" ht="15" hidden="false" customHeight="false" outlineLevel="0" collapsed="false">
      <c r="A109" s="0" t="s">
        <v>915</v>
      </c>
      <c r="B109" s="0" t="s">
        <v>230</v>
      </c>
      <c r="C109" s="9" t="n">
        <f aca="false">(((Assumptions!$E$122*$C$10)/6)*C98)</f>
        <v>0</v>
      </c>
      <c r="D109" s="9" t="n">
        <f aca="false">(((Assumptions!$E$122*$C$10)/6)*D98)</f>
        <v>0</v>
      </c>
      <c r="E109" s="9" t="n">
        <f aca="false">(((Assumptions!$E$122*$C$10)/6)*E98)</f>
        <v>0</v>
      </c>
      <c r="F109" s="9" t="n">
        <f aca="false">(((Assumptions!$E$122*$C$10)/6)*F98)</f>
        <v>0</v>
      </c>
      <c r="G109" s="9" t="n">
        <f aca="false">(((Assumptions!$E$122*$C$10)/6)*G98)</f>
        <v>0</v>
      </c>
      <c r="H109" s="9" t="n">
        <f aca="false">(((Assumptions!$E$122*$C$10)/6)*H98)</f>
        <v>0</v>
      </c>
      <c r="I109" s="9" t="n">
        <f aca="false">(((Assumptions!$E$122*$C$10)/6)*I98)</f>
        <v>0</v>
      </c>
      <c r="J109" s="9" t="n">
        <f aca="false">(((Assumptions!$E$122*$C$10)/6)*J98)</f>
        <v>0</v>
      </c>
      <c r="K109" s="9" t="n">
        <f aca="false">(((Assumptions!$E$122*$C$10)/6)*K98)</f>
        <v>0</v>
      </c>
      <c r="L109" s="9" t="n">
        <f aca="false">(((Assumptions!$E$122*$C$10)/6)*L98)</f>
        <v>0</v>
      </c>
      <c r="M109" s="9" t="n">
        <f aca="false">(((Assumptions!$E$122*$C$10)/6)*M98)</f>
        <v>0</v>
      </c>
      <c r="N109" s="9" t="n">
        <f aca="false">(((Assumptions!$E$122*$C$10)/6)*N98)</f>
        <v>0</v>
      </c>
      <c r="O109" s="9" t="n">
        <f aca="false">(((Assumptions!$E$122*$C$10)/6)*O98)</f>
        <v>0</v>
      </c>
      <c r="P109" s="9" t="n">
        <f aca="false">(((Assumptions!$E$122*$C$10)/6)*P98)</f>
        <v>0</v>
      </c>
      <c r="Q109" s="9" t="n">
        <f aca="false">(((Assumptions!$E$122*$C$10)/6)*Q98)</f>
        <v>0</v>
      </c>
      <c r="R109" s="9" t="n">
        <f aca="false">(((Assumptions!$E$122*$C$10)/6)*R98)</f>
        <v>0</v>
      </c>
      <c r="S109" s="9" t="n">
        <f aca="false">(((Assumptions!$E$122*$C$10)/6)*S98)</f>
        <v>0</v>
      </c>
      <c r="T109" s="9" t="n">
        <f aca="false">(((Assumptions!$E$122*$C$10)/6)*T98)</f>
        <v>0</v>
      </c>
      <c r="U109" s="9" t="n">
        <f aca="false">(((Assumptions!$E$122*$C$10)/6)*U98)</f>
        <v>0</v>
      </c>
      <c r="V109" s="9" t="n">
        <f aca="false">(((Assumptions!$E$122*$C$10)/6)*V98)</f>
        <v>0</v>
      </c>
      <c r="W109" s="9" t="n">
        <f aca="false">(((Assumptions!$E$122*$C$10)/6)*W98)</f>
        <v>0</v>
      </c>
      <c r="X109" s="9" t="n">
        <f aca="false">(((Assumptions!$E$122*$C$10)/6)*X98)</f>
        <v>0</v>
      </c>
      <c r="Y109" s="9" t="n">
        <f aca="false">(((Assumptions!$E$122*$C$10)/6)*Y98)</f>
        <v>0</v>
      </c>
      <c r="Z109" s="9" t="n">
        <f aca="false">(((Assumptions!$E$122*$C$10)/6)*Z98)</f>
        <v>0</v>
      </c>
      <c r="AA109" s="9" t="n">
        <f aca="false">(((Assumptions!$E$122*$C$10)/6)*AA98)</f>
        <v>0</v>
      </c>
      <c r="AB109" s="9" t="n">
        <f aca="false">(((Assumptions!$E$122*$C$10)/6)*AB98)</f>
        <v>0</v>
      </c>
      <c r="AC109" s="9" t="n">
        <f aca="false">(((Assumptions!$E$122*$C$10)/6)*AC98)</f>
        <v>0</v>
      </c>
      <c r="AD109" s="9" t="n">
        <f aca="false">(((Assumptions!$E$122*$C$10)/6)*AD98)</f>
        <v>0</v>
      </c>
      <c r="AE109" s="9" t="n">
        <f aca="false">(((Assumptions!$E$122*$C$10)/6)*AE98)</f>
        <v>0</v>
      </c>
      <c r="AF109" s="9" t="n">
        <f aca="false">(((Assumptions!$E$122*$C$10)/6)*AF98)</f>
        <v>0</v>
      </c>
      <c r="AG109" s="9" t="n">
        <f aca="false">(((Assumptions!$E$122*$C$10)/6)*AG98)</f>
        <v>0</v>
      </c>
      <c r="AH109" s="9" t="n">
        <f aca="false">(((Assumptions!$E$122*$C$10)/6)*AH98)</f>
        <v>0</v>
      </c>
      <c r="AI109" s="9" t="n">
        <f aca="false">(((Assumptions!$E$122*$C$10)/6)*AI98)</f>
        <v>0</v>
      </c>
      <c r="AJ109" s="9" t="n">
        <f aca="false">(((Assumptions!$E$122*$C$10)/6)*AJ98)</f>
        <v>0</v>
      </c>
      <c r="AK109" s="9" t="n">
        <f aca="false">(((Assumptions!$E$122*$C$10)/6)*AK98)</f>
        <v>0</v>
      </c>
      <c r="AL109" s="9" t="n">
        <f aca="false">(((Assumptions!$E$122*$C$10)/6)*AL98)</f>
        <v>10000</v>
      </c>
      <c r="AN109" s="11" t="n">
        <f aca="false">SUM(C109:N109)</f>
        <v>0</v>
      </c>
      <c r="AO109" s="11" t="n">
        <f aca="false">SUM(O109:Z109)</f>
        <v>0</v>
      </c>
      <c r="AP109" s="11" t="n">
        <f aca="false">SUM(AA109:AL109)</f>
        <v>10000</v>
      </c>
    </row>
    <row r="110" customFormat="false" ht="15" hidden="false" customHeight="false" outlineLevel="0" collapsed="false">
      <c r="A110" s="0" t="s">
        <v>916</v>
      </c>
      <c r="B110" s="0" t="s">
        <v>230</v>
      </c>
      <c r="C110" s="9" t="n">
        <f aca="false">((Assumptions!$E$122*$C$10)*C92)</f>
        <v>0</v>
      </c>
      <c r="D110" s="9" t="n">
        <f aca="false">((Assumptions!$E$122*$C$10)*D92)</f>
        <v>0</v>
      </c>
      <c r="E110" s="9" t="n">
        <f aca="false">((Assumptions!$E$122*$C$10)*E92)</f>
        <v>0</v>
      </c>
      <c r="F110" s="9" t="n">
        <f aca="false">((Assumptions!$E$122*$C$10)*F92)</f>
        <v>0</v>
      </c>
      <c r="G110" s="9" t="n">
        <f aca="false">((Assumptions!$E$122*$C$10)*G92)</f>
        <v>0</v>
      </c>
      <c r="H110" s="9" t="n">
        <f aca="false">((Assumptions!$E$122*$C$10)*H92)</f>
        <v>0</v>
      </c>
      <c r="I110" s="9" t="n">
        <f aca="false">((Assumptions!$E$122*$C$10)*I92)</f>
        <v>0</v>
      </c>
      <c r="J110" s="9" t="n">
        <f aca="false">((Assumptions!$E$122*$C$10)*J92)</f>
        <v>0</v>
      </c>
      <c r="K110" s="9" t="n">
        <f aca="false">((Assumptions!$E$122*$C$10)*K92)</f>
        <v>0</v>
      </c>
      <c r="L110" s="9" t="n">
        <f aca="false">((Assumptions!$E$122*$C$10)*L92)</f>
        <v>0</v>
      </c>
      <c r="M110" s="9" t="n">
        <f aca="false">((Assumptions!$E$122*$C$10)*M92)</f>
        <v>0</v>
      </c>
      <c r="N110" s="9" t="n">
        <f aca="false">((Assumptions!$E$122*$C$10)*N92)</f>
        <v>0</v>
      </c>
      <c r="O110" s="9" t="n">
        <f aca="false">((Assumptions!$E$122*$C$10)*O92)</f>
        <v>0</v>
      </c>
      <c r="P110" s="9" t="n">
        <f aca="false">((Assumptions!$E$122*$C$10)*P92)</f>
        <v>0</v>
      </c>
      <c r="Q110" s="9" t="n">
        <f aca="false">((Assumptions!$E$122*$C$10)*Q92)</f>
        <v>0</v>
      </c>
      <c r="R110" s="9" t="n">
        <f aca="false">((Assumptions!$E$122*$C$10)*R92)</f>
        <v>0</v>
      </c>
      <c r="S110" s="9" t="n">
        <f aca="false">((Assumptions!$E$122*$C$10)*S92)</f>
        <v>0</v>
      </c>
      <c r="T110" s="9" t="n">
        <f aca="false">((Assumptions!$E$122*$C$10)*T92)</f>
        <v>0</v>
      </c>
      <c r="U110" s="9" t="n">
        <f aca="false">((Assumptions!$E$122*$C$10)*U92)</f>
        <v>0</v>
      </c>
      <c r="V110" s="9" t="n">
        <f aca="false">((Assumptions!$E$122*$C$10)*V92)</f>
        <v>0</v>
      </c>
      <c r="W110" s="9" t="n">
        <f aca="false">((Assumptions!$E$122*$C$10)*W92)</f>
        <v>0</v>
      </c>
      <c r="X110" s="9" t="n">
        <f aca="false">((Assumptions!$E$122*$C$10)*X92)</f>
        <v>0</v>
      </c>
      <c r="Y110" s="9" t="n">
        <f aca="false">((Assumptions!$E$122*$C$10)*Y92)</f>
        <v>0</v>
      </c>
      <c r="Z110" s="9" t="n">
        <f aca="false">((Assumptions!$E$122*$C$10)*Z92)</f>
        <v>0</v>
      </c>
      <c r="AA110" s="9" t="n">
        <f aca="false">((Assumptions!$E$122*$C$10)*AA92)</f>
        <v>0</v>
      </c>
      <c r="AB110" s="9" t="n">
        <f aca="false">((Assumptions!$E$122*$C$10)*AB92)</f>
        <v>0</v>
      </c>
      <c r="AC110" s="9" t="n">
        <f aca="false">((Assumptions!$E$122*$C$10)*AC92)</f>
        <v>0</v>
      </c>
      <c r="AD110" s="9" t="n">
        <f aca="false">((Assumptions!$E$122*$C$10)*AD92)</f>
        <v>0</v>
      </c>
      <c r="AE110" s="9" t="n">
        <f aca="false">((Assumptions!$E$122*$C$10)*AE92)</f>
        <v>0</v>
      </c>
      <c r="AF110" s="9" t="n">
        <f aca="false">((Assumptions!$E$122*$C$10)*AF92)</f>
        <v>0</v>
      </c>
      <c r="AG110" s="9" t="n">
        <f aca="false">((Assumptions!$E$122*$C$10)*AG92)</f>
        <v>0</v>
      </c>
      <c r="AH110" s="9" t="n">
        <f aca="false">((Assumptions!$E$122*$C$10)*AH92)</f>
        <v>0</v>
      </c>
      <c r="AI110" s="9" t="n">
        <f aca="false">((Assumptions!$E$122*$C$10)*AI92)</f>
        <v>0</v>
      </c>
      <c r="AJ110" s="9" t="n">
        <f aca="false">((Assumptions!$E$122*$C$10)*AJ92)</f>
        <v>0</v>
      </c>
      <c r="AK110" s="9" t="n">
        <f aca="false">((Assumptions!$E$122*$C$10)*AK92)</f>
        <v>0</v>
      </c>
      <c r="AL110" s="9" t="n">
        <f aca="false">((Assumptions!$E$122*$C$10)*AL92)</f>
        <v>60000</v>
      </c>
      <c r="AN110" s="11" t="n">
        <f aca="false">SUM(C110:N110)</f>
        <v>0</v>
      </c>
      <c r="AO110" s="11" t="n">
        <f aca="false">SUM(O110:Z110)</f>
        <v>0</v>
      </c>
      <c r="AP110" s="11" t="n">
        <f aca="false">SUM(AA110:AL110)</f>
        <v>60000</v>
      </c>
    </row>
    <row r="111" customFormat="false" ht="15" hidden="false" customHeight="false" outlineLevel="0" collapsed="false">
      <c r="A111" s="0" t="s">
        <v>917</v>
      </c>
      <c r="B111" s="0" t="s">
        <v>230</v>
      </c>
      <c r="C111" s="9" t="n">
        <f aca="false">((Assumptions!$E$123*$C$10)+(Assumptions!$C$34*Assumptions!$C$35))</f>
        <v>106000</v>
      </c>
      <c r="D111" s="9" t="n">
        <f aca="false">((Assumptions!$E$123*$C$10)+(Assumptions!$C$34*Assumptions!$C$35))</f>
        <v>106000</v>
      </c>
      <c r="E111" s="9" t="n">
        <f aca="false">((Assumptions!$E$123*$C$10)+(Assumptions!$C$34*Assumptions!$C$35))</f>
        <v>106000</v>
      </c>
      <c r="F111" s="9" t="n">
        <f aca="false">((Assumptions!$E$123*$C$10)+(Assumptions!$C$34*Assumptions!$C$35))</f>
        <v>106000</v>
      </c>
      <c r="G111" s="9" t="n">
        <f aca="false">((Assumptions!$E$123*$C$10)+(Assumptions!$C$34*Assumptions!$C$35))</f>
        <v>106000</v>
      </c>
      <c r="H111" s="9" t="n">
        <f aca="false">((Assumptions!$E$123*$C$10)+(Assumptions!$C$34*Assumptions!$C$35))</f>
        <v>106000</v>
      </c>
      <c r="I111" s="9" t="n">
        <f aca="false">((Assumptions!$E$123*$C$10)+(Assumptions!$C$34*Assumptions!$C$35))</f>
        <v>106000</v>
      </c>
      <c r="J111" s="9" t="n">
        <f aca="false">((Assumptions!$E$123*$C$10)+(Assumptions!$C$34*Assumptions!$C$35))</f>
        <v>106000</v>
      </c>
      <c r="K111" s="9" t="n">
        <f aca="false">((Assumptions!$E$123*$C$10)+(Assumptions!$C$34*Assumptions!$C$35))</f>
        <v>106000</v>
      </c>
      <c r="L111" s="9" t="n">
        <f aca="false">((Assumptions!$E$123*$C$10)+(Assumptions!$C$34*Assumptions!$C$35))</f>
        <v>106000</v>
      </c>
      <c r="M111" s="9" t="n">
        <f aca="false">((Assumptions!$E$123*$C$10)+(Assumptions!$C$34*Assumptions!$C$35))</f>
        <v>106000</v>
      </c>
      <c r="N111" s="9" t="n">
        <f aca="false">((Assumptions!$E$123*$C$10)+(Assumptions!$C$34*Assumptions!$C$35))</f>
        <v>106000</v>
      </c>
      <c r="O111" s="9" t="n">
        <f aca="false">((Assumptions!$E$123*$C$10)+(Assumptions!$C$34*Assumptions!$C$35))</f>
        <v>106000</v>
      </c>
      <c r="P111" s="9" t="n">
        <f aca="false">((Assumptions!$E$123*$C$10)+(Assumptions!$C$34*Assumptions!$C$35))</f>
        <v>106000</v>
      </c>
      <c r="Q111" s="9" t="n">
        <f aca="false">((Assumptions!$E$123*$C$10)+(Assumptions!$C$34*Assumptions!$C$35))</f>
        <v>106000</v>
      </c>
      <c r="R111" s="9" t="n">
        <f aca="false">((Assumptions!$E$123*$C$10)+(Assumptions!$C$34*Assumptions!$C$35))</f>
        <v>106000</v>
      </c>
      <c r="S111" s="9" t="n">
        <f aca="false">((Assumptions!$E$123*$C$10)+(Assumptions!$C$34*Assumptions!$C$35))</f>
        <v>106000</v>
      </c>
      <c r="T111" s="9" t="n">
        <f aca="false">((Assumptions!$E$123*$C$10)+(Assumptions!$C$34*Assumptions!$C$35))</f>
        <v>106000</v>
      </c>
      <c r="U111" s="9" t="n">
        <f aca="false">((Assumptions!$E$123*$C$10)+(Assumptions!$C$34*Assumptions!$C$35))</f>
        <v>106000</v>
      </c>
      <c r="V111" s="9" t="n">
        <f aca="false">((Assumptions!$E$123*$C$10)+(Assumptions!$C$34*Assumptions!$C$35))</f>
        <v>106000</v>
      </c>
      <c r="W111" s="9" t="n">
        <f aca="false">((Assumptions!$E$123*$C$10)+(Assumptions!$C$34*Assumptions!$C$35))</f>
        <v>106000</v>
      </c>
      <c r="X111" s="9" t="n">
        <f aca="false">((Assumptions!$E$123*$C$10)+(Assumptions!$C$34*Assumptions!$C$35))</f>
        <v>106000</v>
      </c>
      <c r="Y111" s="9" t="n">
        <f aca="false">((Assumptions!$E$123*$C$10)+(Assumptions!$C$34*Assumptions!$C$35))</f>
        <v>106000</v>
      </c>
      <c r="Z111" s="9" t="n">
        <f aca="false">((Assumptions!$E$123*$C$10)+(Assumptions!$C$34*Assumptions!$C$35))</f>
        <v>106000</v>
      </c>
      <c r="AA111" s="9" t="n">
        <f aca="false">((Assumptions!$E$123*$C$10)+(Assumptions!$C$34*Assumptions!$C$35))</f>
        <v>106000</v>
      </c>
      <c r="AB111" s="9" t="n">
        <f aca="false">((Assumptions!$E$123*$C$10)+(Assumptions!$C$34*Assumptions!$C$35))</f>
        <v>106000</v>
      </c>
      <c r="AC111" s="9" t="n">
        <f aca="false">((Assumptions!$E$123*$C$10)+(Assumptions!$C$34*Assumptions!$C$35))</f>
        <v>106000</v>
      </c>
      <c r="AD111" s="9" t="n">
        <f aca="false">((Assumptions!$E$123*$C$10)+(Assumptions!$C$34*Assumptions!$C$35))</f>
        <v>106000</v>
      </c>
      <c r="AE111" s="9" t="n">
        <f aca="false">((Assumptions!$E$123*$C$10)+(Assumptions!$C$34*Assumptions!$C$35))</f>
        <v>106000</v>
      </c>
      <c r="AF111" s="9" t="n">
        <f aca="false">((Assumptions!$E$123*$C$10)+(Assumptions!$C$34*Assumptions!$C$35))</f>
        <v>106000</v>
      </c>
      <c r="AG111" s="9" t="n">
        <f aca="false">((Assumptions!$E$123*$C$10)+(Assumptions!$C$34*Assumptions!$C$35))</f>
        <v>106000</v>
      </c>
      <c r="AH111" s="9" t="n">
        <f aca="false">((Assumptions!$E$123*$C$10)+(Assumptions!$C$34*Assumptions!$C$35))</f>
        <v>106000</v>
      </c>
      <c r="AI111" s="9" t="n">
        <f aca="false">((Assumptions!$E$123*$C$10)+(Assumptions!$C$34*Assumptions!$C$35))</f>
        <v>106000</v>
      </c>
      <c r="AJ111" s="9" t="n">
        <f aca="false">((Assumptions!$E$123*$C$10)+(Assumptions!$C$34*Assumptions!$C$35))</f>
        <v>106000</v>
      </c>
      <c r="AK111" s="9" t="n">
        <f aca="false">((Assumptions!$E$123*$C$10)+(Assumptions!$C$34*Assumptions!$C$35))</f>
        <v>106000</v>
      </c>
      <c r="AL111" s="9" t="n">
        <f aca="false">((Assumptions!$E$123*$C$10)+(Assumptions!$C$34*Assumptions!$C$35))</f>
        <v>106000</v>
      </c>
    </row>
    <row r="112" customFormat="false" ht="15" hidden="false" customHeight="false" outlineLevel="0" collapsed="false">
      <c r="A112" s="0" t="s">
        <v>918</v>
      </c>
      <c r="B112" s="0" t="s">
        <v>230</v>
      </c>
      <c r="C112" s="9" t="n">
        <f aca="false">((C111/3)*C96)</f>
        <v>0</v>
      </c>
      <c r="D112" s="9" t="n">
        <f aca="false">((D111/3)*SUM(C96:D96))</f>
        <v>0</v>
      </c>
      <c r="E112" s="9" t="n">
        <f aca="false">((E111/3)*SUM(C96:E96))</f>
        <v>0</v>
      </c>
      <c r="F112" s="9" t="n">
        <f aca="false">((F111/3)*SUM(D96:F96))</f>
        <v>0</v>
      </c>
      <c r="G112" s="9" t="n">
        <f aca="false">((G111/3)*SUM(E96:G96))</f>
        <v>0</v>
      </c>
      <c r="H112" s="9" t="n">
        <f aca="false">((H111/3)*SUM(F96:H96))</f>
        <v>0</v>
      </c>
      <c r="I112" s="9" t="n">
        <f aca="false">((I111/3)*SUM(G96:I96))</f>
        <v>0</v>
      </c>
      <c r="J112" s="9" t="n">
        <f aca="false">((J111/3)*SUM(H96:J96))</f>
        <v>0</v>
      </c>
      <c r="K112" s="9" t="n">
        <f aca="false">((K111/3)*SUM(I96:K96))</f>
        <v>0</v>
      </c>
      <c r="L112" s="9" t="n">
        <f aca="false">((L111/3)*SUM(J96:L96))</f>
        <v>0</v>
      </c>
      <c r="M112" s="9" t="n">
        <f aca="false">((M111/3)*SUM(K96:M96))</f>
        <v>0</v>
      </c>
      <c r="N112" s="9" t="n">
        <f aca="false">((N111/3)*SUM(L96:N96))</f>
        <v>0</v>
      </c>
      <c r="O112" s="9" t="n">
        <f aca="false">((O111/3)*SUM(M96:O96))</f>
        <v>0</v>
      </c>
      <c r="P112" s="9" t="n">
        <f aca="false">((P111/3)*SUM(N96:P96))</f>
        <v>0</v>
      </c>
      <c r="Q112" s="9" t="n">
        <f aca="false">((Q111/3)*SUM(O96:Q96))</f>
        <v>0</v>
      </c>
      <c r="R112" s="9" t="n">
        <f aca="false">((R111/3)*SUM(P96:R96))</f>
        <v>0</v>
      </c>
      <c r="S112" s="9" t="n">
        <f aca="false">((S111/3)*SUM(Q96:S96))</f>
        <v>0</v>
      </c>
      <c r="T112" s="9" t="n">
        <f aca="false">((T111/3)*SUM(R96:T96))</f>
        <v>0</v>
      </c>
      <c r="U112" s="9" t="n">
        <f aca="false">((U111/3)*SUM(S96:U96))</f>
        <v>0</v>
      </c>
      <c r="V112" s="9" t="n">
        <f aca="false">((V111/3)*SUM(T96:V96))</f>
        <v>0</v>
      </c>
      <c r="W112" s="9" t="n">
        <f aca="false">((W111/3)*SUM(U96:W96))</f>
        <v>0</v>
      </c>
      <c r="X112" s="9" t="n">
        <f aca="false">((X111/3)*SUM(V96:X96))</f>
        <v>0</v>
      </c>
      <c r="Y112" s="9" t="n">
        <f aca="false">((Y111/3)*SUM(W96:Y96))</f>
        <v>0</v>
      </c>
      <c r="Z112" s="9" t="n">
        <f aca="false">((Z111/3)*SUM(X96:Z96))</f>
        <v>0</v>
      </c>
      <c r="AA112" s="9" t="n">
        <f aca="false">((AA111/3)*SUM(Y96:AA96))</f>
        <v>0</v>
      </c>
      <c r="AB112" s="9" t="n">
        <f aca="false">((AB111/3)*SUM(Z96:AB96))</f>
        <v>0</v>
      </c>
      <c r="AC112" s="9" t="n">
        <f aca="false">((AC111/3)*SUM(AA96:AC96))</f>
        <v>0</v>
      </c>
      <c r="AD112" s="9" t="n">
        <f aca="false">((AD111/3)*SUM(AB96:AD96))</f>
        <v>0</v>
      </c>
      <c r="AE112" s="9" t="n">
        <f aca="false">((AE111/3)*SUM(AC96:AE96))</f>
        <v>0</v>
      </c>
      <c r="AF112" s="9" t="n">
        <f aca="false">((AF111/3)*SUM(AD96:AF96))</f>
        <v>0</v>
      </c>
      <c r="AG112" s="9" t="n">
        <f aca="false">((AG111/3)*SUM(AE96:AG96))</f>
        <v>0</v>
      </c>
      <c r="AH112" s="9" t="n">
        <f aca="false">((AH111/3)*SUM(AF96:AH96))</f>
        <v>0</v>
      </c>
      <c r="AI112" s="9" t="n">
        <f aca="false">((AI111/3)*SUM(AG96:AI96))</f>
        <v>0</v>
      </c>
      <c r="AJ112" s="9" t="n">
        <f aca="false">((AJ111/3)*SUM(AH96:AJ96))</f>
        <v>0</v>
      </c>
      <c r="AK112" s="9" t="n">
        <f aca="false">((AK111/3)*SUM(AI96:AK96))</f>
        <v>0</v>
      </c>
      <c r="AL112" s="9" t="n">
        <f aca="false">((AL111/3)*SUM(AJ96:AL96))</f>
        <v>35333.3333333333</v>
      </c>
      <c r="AN112" s="11" t="n">
        <f aca="false">SUM(C112:N112)</f>
        <v>0</v>
      </c>
      <c r="AO112" s="11" t="n">
        <f aca="false">SUM(O112:Z112)</f>
        <v>0</v>
      </c>
      <c r="AP112" s="11" t="n">
        <f aca="false">SUM(AA112:AL112)</f>
        <v>35333.3333333333</v>
      </c>
    </row>
    <row r="113" customFormat="false" ht="15" hidden="false" customHeight="false" outlineLevel="0" collapsed="false">
      <c r="A113" s="0" t="s">
        <v>919</v>
      </c>
      <c r="B113" s="0" t="s">
        <v>230</v>
      </c>
      <c r="C113" s="9" t="n">
        <f aca="false">(C111*C96)</f>
        <v>0</v>
      </c>
      <c r="D113" s="9" t="n">
        <f aca="false">(D111*D96)</f>
        <v>0</v>
      </c>
      <c r="E113" s="9" t="n">
        <f aca="false">(E111*E96)</f>
        <v>0</v>
      </c>
      <c r="F113" s="9" t="n">
        <f aca="false">(F111*F96)</f>
        <v>0</v>
      </c>
      <c r="G113" s="9" t="n">
        <f aca="false">(G111*G96)</f>
        <v>0</v>
      </c>
      <c r="H113" s="9" t="n">
        <f aca="false">(H111*H96)</f>
        <v>0</v>
      </c>
      <c r="I113" s="9" t="n">
        <f aca="false">(I111*I96)</f>
        <v>0</v>
      </c>
      <c r="J113" s="9" t="n">
        <f aca="false">(J111*J96)</f>
        <v>0</v>
      </c>
      <c r="K113" s="9" t="n">
        <f aca="false">(K111*K96)</f>
        <v>0</v>
      </c>
      <c r="L113" s="9" t="n">
        <f aca="false">(L111*L96)</f>
        <v>0</v>
      </c>
      <c r="M113" s="9" t="n">
        <f aca="false">(M111*M96)</f>
        <v>0</v>
      </c>
      <c r="N113" s="9" t="n">
        <f aca="false">(N111*N96)</f>
        <v>0</v>
      </c>
      <c r="O113" s="9" t="n">
        <f aca="false">(O111*O96)</f>
        <v>0</v>
      </c>
      <c r="P113" s="9" t="n">
        <f aca="false">(P111*P96)</f>
        <v>0</v>
      </c>
      <c r="Q113" s="9" t="n">
        <f aca="false">(Q111*Q96)</f>
        <v>0</v>
      </c>
      <c r="R113" s="9" t="n">
        <f aca="false">(R111*R96)</f>
        <v>0</v>
      </c>
      <c r="S113" s="9" t="n">
        <f aca="false">(S111*S96)</f>
        <v>0</v>
      </c>
      <c r="T113" s="9" t="n">
        <f aca="false">(T111*T96)</f>
        <v>0</v>
      </c>
      <c r="U113" s="9" t="n">
        <f aca="false">(U111*U96)</f>
        <v>0</v>
      </c>
      <c r="V113" s="9" t="n">
        <f aca="false">(V111*V96)</f>
        <v>0</v>
      </c>
      <c r="W113" s="9" t="n">
        <f aca="false">(W111*W96)</f>
        <v>0</v>
      </c>
      <c r="X113" s="9" t="n">
        <f aca="false">(X111*X96)</f>
        <v>0</v>
      </c>
      <c r="Y113" s="9" t="n">
        <f aca="false">(Y111*Y96)</f>
        <v>0</v>
      </c>
      <c r="Z113" s="9" t="n">
        <f aca="false">(Z111*Z96)</f>
        <v>0</v>
      </c>
      <c r="AA113" s="9" t="n">
        <f aca="false">(AA111*AA96)</f>
        <v>0</v>
      </c>
      <c r="AB113" s="9" t="n">
        <f aca="false">(AB111*AB96)</f>
        <v>0</v>
      </c>
      <c r="AC113" s="9" t="n">
        <f aca="false">(AC111*AC96)</f>
        <v>0</v>
      </c>
      <c r="AD113" s="9" t="n">
        <f aca="false">(AD111*AD96)</f>
        <v>0</v>
      </c>
      <c r="AE113" s="9" t="n">
        <f aca="false">(AE111*AE96)</f>
        <v>0</v>
      </c>
      <c r="AF113" s="9" t="n">
        <f aca="false">(AF111*AF96)</f>
        <v>0</v>
      </c>
      <c r="AG113" s="9" t="n">
        <f aca="false">(AG111*AG96)</f>
        <v>0</v>
      </c>
      <c r="AH113" s="9" t="n">
        <f aca="false">(AH111*AH96)</f>
        <v>0</v>
      </c>
      <c r="AI113" s="9" t="n">
        <f aca="false">(AI111*AI96)</f>
        <v>0</v>
      </c>
      <c r="AJ113" s="9" t="n">
        <f aca="false">(AJ111*AJ96)</f>
        <v>0</v>
      </c>
      <c r="AK113" s="9" t="n">
        <f aca="false">(AK111*AK96)</f>
        <v>0</v>
      </c>
      <c r="AL113" s="9" t="n">
        <f aca="false">(AL111*AL96)</f>
        <v>106000</v>
      </c>
      <c r="AN113" s="11" t="n">
        <f aca="false">SUM(C113:N113)</f>
        <v>0</v>
      </c>
      <c r="AO113" s="11" t="n">
        <f aca="false">SUM(O113:Z113)</f>
        <v>0</v>
      </c>
      <c r="AP113" s="11" t="n">
        <f aca="false">SUM(AA113:AL113)</f>
        <v>106000</v>
      </c>
    </row>
    <row r="114" customFormat="false" ht="15" hidden="false" customHeight="false" outlineLevel="0" collapsed="false">
      <c r="A114" s="0" t="s">
        <v>920</v>
      </c>
      <c r="B114" s="0" t="s">
        <v>285</v>
      </c>
      <c r="C114" s="9" t="n">
        <f aca="false">((C93*Assumptions!$E$124)+(C96*(Assumptions!$E$124+(Assumptions!$C$34*Assumptions!$C$36))))</f>
        <v>0</v>
      </c>
      <c r="D114" s="9" t="n">
        <f aca="false">((D93*Assumptions!$E$124)+(D96*(Assumptions!$E$124+(Assumptions!$C$34*Assumptions!$C$36))))</f>
        <v>0</v>
      </c>
      <c r="E114" s="9" t="n">
        <f aca="false">((E93*Assumptions!$E$124)+(E96*(Assumptions!$E$124+(Assumptions!$C$34*Assumptions!$C$36))))</f>
        <v>0</v>
      </c>
      <c r="F114" s="9" t="n">
        <f aca="false">((F93*Assumptions!$E$124)+(F96*(Assumptions!$E$124+(Assumptions!$C$34*Assumptions!$C$36))))</f>
        <v>0</v>
      </c>
      <c r="G114" s="9" t="n">
        <f aca="false">((G93*Assumptions!$E$124)+(G96*(Assumptions!$E$124+(Assumptions!$C$34*Assumptions!$C$36))))</f>
        <v>0</v>
      </c>
      <c r="H114" s="9" t="n">
        <f aca="false">((H93*Assumptions!$E$124)+(H96*(Assumptions!$E$124+(Assumptions!$C$34*Assumptions!$C$36))))</f>
        <v>0</v>
      </c>
      <c r="I114" s="9" t="n">
        <f aca="false">((I93*Assumptions!$E$124)+(I96*(Assumptions!$E$124+(Assumptions!$C$34*Assumptions!$C$36))))</f>
        <v>0</v>
      </c>
      <c r="J114" s="9" t="n">
        <f aca="false">((J93*Assumptions!$E$124)+(J96*(Assumptions!$E$124+(Assumptions!$C$34*Assumptions!$C$36))))</f>
        <v>0</v>
      </c>
      <c r="K114" s="9" t="n">
        <f aca="false">((K93*Assumptions!$E$124)+(K96*(Assumptions!$E$124+(Assumptions!$C$34*Assumptions!$C$36))))</f>
        <v>0</v>
      </c>
      <c r="L114" s="9" t="n">
        <f aca="false">((L93*Assumptions!$E$124)+(L96*(Assumptions!$E$124+(Assumptions!$C$34*Assumptions!$C$36))))</f>
        <v>0</v>
      </c>
      <c r="M114" s="9" t="n">
        <f aca="false">((M93*Assumptions!$E$124)+(M96*(Assumptions!$E$124+(Assumptions!$C$34*Assumptions!$C$36))))</f>
        <v>0</v>
      </c>
      <c r="N114" s="9" t="n">
        <f aca="false">((N93*Assumptions!$E$124)+(N96*(Assumptions!$E$124+(Assumptions!$C$34*Assumptions!$C$36))))</f>
        <v>0</v>
      </c>
      <c r="O114" s="9" t="n">
        <f aca="false">((O93*Assumptions!$E$124)+(O96*(Assumptions!$E$124+(Assumptions!$C$34*Assumptions!$C$36))))</f>
        <v>0</v>
      </c>
      <c r="P114" s="9" t="n">
        <f aca="false">((P93*Assumptions!$E$124)+(P96*(Assumptions!$E$124+(Assumptions!$C$34*Assumptions!$C$36))))</f>
        <v>0</v>
      </c>
      <c r="Q114" s="9" t="n">
        <f aca="false">((Q93*Assumptions!$E$124)+(Q96*(Assumptions!$E$124+(Assumptions!$C$34*Assumptions!$C$36))))</f>
        <v>0</v>
      </c>
      <c r="R114" s="9" t="n">
        <f aca="false">((R93*Assumptions!$E$124)+(R96*(Assumptions!$E$124+(Assumptions!$C$34*Assumptions!$C$36))))</f>
        <v>0</v>
      </c>
      <c r="S114" s="9" t="n">
        <f aca="false">((S93*Assumptions!$E$124)+(S96*(Assumptions!$E$124+(Assumptions!$C$34*Assumptions!$C$36))))</f>
        <v>0</v>
      </c>
      <c r="T114" s="9" t="n">
        <f aca="false">((T93*Assumptions!$E$124)+(T96*(Assumptions!$E$124+(Assumptions!$C$34*Assumptions!$C$36))))</f>
        <v>0</v>
      </c>
      <c r="U114" s="9" t="n">
        <f aca="false">((U93*Assumptions!$E$124)+(U96*(Assumptions!$E$124+(Assumptions!$C$34*Assumptions!$C$36))))</f>
        <v>0</v>
      </c>
      <c r="V114" s="9" t="n">
        <f aca="false">((V93*Assumptions!$E$124)+(V96*(Assumptions!$E$124+(Assumptions!$C$34*Assumptions!$C$36))))</f>
        <v>0</v>
      </c>
      <c r="W114" s="9" t="n">
        <f aca="false">((W93*Assumptions!$E$124)+(W96*(Assumptions!$E$124+(Assumptions!$C$34*Assumptions!$C$36))))</f>
        <v>0</v>
      </c>
      <c r="X114" s="9" t="n">
        <f aca="false">((X93*Assumptions!$E$124)+(X96*(Assumptions!$E$124+(Assumptions!$C$34*Assumptions!$C$36))))</f>
        <v>0</v>
      </c>
      <c r="Y114" s="9" t="n">
        <f aca="false">((Y93*Assumptions!$E$124)+(Y96*(Assumptions!$E$124+(Assumptions!$C$34*Assumptions!$C$36))))</f>
        <v>0</v>
      </c>
      <c r="Z114" s="9" t="n">
        <f aca="false">((Z93*Assumptions!$E$124)+(Z96*(Assumptions!$E$124+(Assumptions!$C$34*Assumptions!$C$36))))</f>
        <v>0</v>
      </c>
      <c r="AA114" s="9" t="n">
        <f aca="false">((AA93*Assumptions!$E$124)+(AA96*(Assumptions!$E$124+(Assumptions!$C$34*Assumptions!$C$36))))</f>
        <v>0</v>
      </c>
      <c r="AB114" s="9" t="n">
        <f aca="false">((AB93*Assumptions!$E$124)+(AB96*(Assumptions!$E$124+(Assumptions!$C$34*Assumptions!$C$36))))</f>
        <v>0</v>
      </c>
      <c r="AC114" s="9" t="n">
        <f aca="false">((AC93*Assumptions!$E$124)+(AC96*(Assumptions!$E$124+(Assumptions!$C$34*Assumptions!$C$36))))</f>
        <v>0</v>
      </c>
      <c r="AD114" s="9" t="n">
        <f aca="false">((AD93*Assumptions!$E$124)+(AD96*(Assumptions!$E$124+(Assumptions!$C$34*Assumptions!$C$36))))</f>
        <v>0</v>
      </c>
      <c r="AE114" s="9" t="n">
        <f aca="false">((AE93*Assumptions!$E$124)+(AE96*(Assumptions!$E$124+(Assumptions!$C$34*Assumptions!$C$36))))</f>
        <v>0</v>
      </c>
      <c r="AF114" s="9" t="n">
        <f aca="false">((AF93*Assumptions!$E$124)+(AF96*(Assumptions!$E$124+(Assumptions!$C$34*Assumptions!$C$36))))</f>
        <v>0</v>
      </c>
      <c r="AG114" s="9" t="n">
        <f aca="false">((AG93*Assumptions!$E$124)+(AG96*(Assumptions!$E$124+(Assumptions!$C$34*Assumptions!$C$36))))</f>
        <v>0</v>
      </c>
      <c r="AH114" s="9" t="n">
        <f aca="false">((AH93*Assumptions!$E$124)+(AH96*(Assumptions!$E$124+(Assumptions!$C$34*Assumptions!$C$36))))</f>
        <v>0</v>
      </c>
      <c r="AI114" s="9" t="n">
        <f aca="false">((AI93*Assumptions!$E$124)+(AI96*(Assumptions!$E$124+(Assumptions!$C$34*Assumptions!$C$36))))</f>
        <v>0</v>
      </c>
      <c r="AJ114" s="9" t="n">
        <f aca="false">((AJ93*Assumptions!$E$124)+(AJ96*(Assumptions!$E$124+(Assumptions!$C$34*Assumptions!$C$36))))</f>
        <v>0</v>
      </c>
      <c r="AK114" s="9" t="n">
        <f aca="false">((AK93*Assumptions!$E$124)+(AK96*(Assumptions!$E$124+(Assumptions!$C$34*Assumptions!$C$36))))</f>
        <v>0</v>
      </c>
      <c r="AL114" s="9" t="n">
        <f aca="false">((AL93*Assumptions!$E$124)+(AL96*(Assumptions!$E$124+(Assumptions!$C$34*Assumptions!$C$36))))</f>
        <v>844</v>
      </c>
      <c r="AN114" s="11" t="n">
        <f aca="false">SUM(C114:N114)</f>
        <v>0</v>
      </c>
      <c r="AO114" s="11" t="n">
        <f aca="false">SUM(O114:Z114)</f>
        <v>0</v>
      </c>
      <c r="AP114" s="11" t="n">
        <f aca="false">SUM(AA114:AL114)</f>
        <v>844</v>
      </c>
    </row>
    <row r="115" customFormat="false" ht="15" hidden="false" customHeight="false" outlineLevel="0" collapsed="false">
      <c r="A115" s="21" t="s">
        <v>921</v>
      </c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</row>
    <row r="116" customFormat="false" ht="15" hidden="false" customHeight="false" outlineLevel="0" collapsed="false">
      <c r="A116" s="0" t="s">
        <v>922</v>
      </c>
      <c r="B116" s="0" t="s">
        <v>852</v>
      </c>
      <c r="C116" s="14" t="n">
        <f aca="false">((C48+C71)+C94)</f>
        <v>0</v>
      </c>
      <c r="D116" s="14" t="n">
        <f aca="false">((D48+D71)+D94)</f>
        <v>0</v>
      </c>
      <c r="E116" s="14" t="n">
        <f aca="false">((E48+E71)+E94)</f>
        <v>0</v>
      </c>
      <c r="F116" s="14" t="n">
        <f aca="false">((F48+F71)+F94)</f>
        <v>0</v>
      </c>
      <c r="G116" s="14" t="n">
        <f aca="false">((G48+G71)+G94)</f>
        <v>1</v>
      </c>
      <c r="H116" s="14" t="n">
        <f aca="false">((H48+H71)+H94)</f>
        <v>0</v>
      </c>
      <c r="I116" s="14" t="n">
        <f aca="false">((I48+I71)+I94)</f>
        <v>0</v>
      </c>
      <c r="J116" s="14" t="n">
        <f aca="false">((J48+J71)+J94)</f>
        <v>1</v>
      </c>
      <c r="K116" s="14" t="n">
        <f aca="false">((K48+K71)+K94)</f>
        <v>0</v>
      </c>
      <c r="L116" s="14" t="n">
        <f aca="false">((L48+L71)+L94)</f>
        <v>0</v>
      </c>
      <c r="M116" s="14" t="n">
        <f aca="false">((M48+M71)+M94)</f>
        <v>0</v>
      </c>
      <c r="N116" s="14" t="n">
        <f aca="false">((N48+N71)+N94)</f>
        <v>0</v>
      </c>
      <c r="O116" s="14" t="n">
        <f aca="false">((O48+O71)+O94)</f>
        <v>0</v>
      </c>
      <c r="P116" s="14" t="n">
        <f aca="false">((P48+P71)+P94)</f>
        <v>0</v>
      </c>
      <c r="Q116" s="14" t="n">
        <f aca="false">((Q48+Q71)+Q94)</f>
        <v>0</v>
      </c>
      <c r="R116" s="14" t="n">
        <f aca="false">((R48+R71)+R94)</f>
        <v>0</v>
      </c>
      <c r="S116" s="14" t="n">
        <f aca="false">((S48+S71)+S94)</f>
        <v>0</v>
      </c>
      <c r="T116" s="14" t="n">
        <f aca="false">((T48+T71)+T94)</f>
        <v>0</v>
      </c>
      <c r="U116" s="14" t="n">
        <f aca="false">((U48+U71)+U94)</f>
        <v>1</v>
      </c>
      <c r="V116" s="14" t="n">
        <f aca="false">((V48+V71)+V94)</f>
        <v>0</v>
      </c>
      <c r="W116" s="14" t="n">
        <f aca="false">((W48+W71)+W94)</f>
        <v>0</v>
      </c>
      <c r="X116" s="14" t="n">
        <f aca="false">((X48+X71)+X94)</f>
        <v>2</v>
      </c>
      <c r="Y116" s="14" t="n">
        <f aca="false">((Y48+Y71)+Y94)</f>
        <v>0</v>
      </c>
      <c r="Z116" s="14" t="n">
        <f aca="false">((Z48+Z71)+Z94)</f>
        <v>0</v>
      </c>
      <c r="AA116" s="14" t="n">
        <f aca="false">((AA48+AA71)+AA94)</f>
        <v>3</v>
      </c>
      <c r="AB116" s="14" t="n">
        <f aca="false">((AB48+AB71)+AB94)</f>
        <v>0</v>
      </c>
      <c r="AC116" s="14" t="n">
        <f aca="false">((AC48+AC71)+AC94)</f>
        <v>0</v>
      </c>
      <c r="AD116" s="14" t="n">
        <f aca="false">((AD48+AD71)+AD94)</f>
        <v>3</v>
      </c>
      <c r="AE116" s="14" t="n">
        <f aca="false">((AE48+AE71)+AE94)</f>
        <v>0</v>
      </c>
      <c r="AF116" s="14" t="n">
        <f aca="false">((AF48+AF71)+AF94)</f>
        <v>0</v>
      </c>
      <c r="AG116" s="14" t="n">
        <f aca="false">((AG48+AG71)+AG94)</f>
        <v>4</v>
      </c>
      <c r="AH116" s="14" t="n">
        <f aca="false">((AH48+AH71)+AH94)</f>
        <v>0</v>
      </c>
      <c r="AI116" s="14" t="n">
        <f aca="false">((AI48+AI71)+AI94)</f>
        <v>0</v>
      </c>
      <c r="AJ116" s="14" t="n">
        <f aca="false">((AJ48+AJ71)+AJ94)</f>
        <v>5</v>
      </c>
      <c r="AK116" s="14" t="n">
        <f aca="false">((AK48+AK71)+AK94)</f>
        <v>0</v>
      </c>
      <c r="AL116" s="14" t="n">
        <f aca="false">((AL48+AL71)+AL94)</f>
        <v>1</v>
      </c>
      <c r="AN116" s="36" t="n">
        <f aca="false">SUM(C116:N116)</f>
        <v>2</v>
      </c>
      <c r="AO116" s="36" t="n">
        <f aca="false">SUM(O116:Z116)</f>
        <v>3</v>
      </c>
      <c r="AP116" s="36" t="n">
        <f aca="false">SUM(AA116:AL116)</f>
        <v>16</v>
      </c>
    </row>
    <row r="117" customFormat="false" ht="15" hidden="false" customHeight="false" outlineLevel="0" collapsed="false">
      <c r="A117" s="0" t="s">
        <v>923</v>
      </c>
      <c r="B117" s="0" t="s">
        <v>852</v>
      </c>
      <c r="C117" s="14" t="n">
        <f aca="false">((C46+C69)+C92)</f>
        <v>0</v>
      </c>
      <c r="D117" s="14" t="n">
        <f aca="false">((D46+D69)+D92)</f>
        <v>0</v>
      </c>
      <c r="E117" s="14" t="n">
        <f aca="false">((E46+E69)+E92)</f>
        <v>0</v>
      </c>
      <c r="F117" s="14" t="n">
        <f aca="false">((F46+F69)+F92)</f>
        <v>0</v>
      </c>
      <c r="G117" s="14" t="n">
        <f aca="false">((G46+G69)+G92)</f>
        <v>0</v>
      </c>
      <c r="H117" s="14" t="n">
        <f aca="false">((H46+H69)+H92)</f>
        <v>0</v>
      </c>
      <c r="I117" s="14" t="n">
        <f aca="false">((I46+I69)+I92)</f>
        <v>0</v>
      </c>
      <c r="J117" s="14" t="n">
        <f aca="false">((J46+J69)+J92)</f>
        <v>0</v>
      </c>
      <c r="K117" s="14" t="n">
        <f aca="false">((K46+K69)+K92)</f>
        <v>0</v>
      </c>
      <c r="L117" s="14" t="n">
        <f aca="false">((L46+L69)+L92)</f>
        <v>0</v>
      </c>
      <c r="M117" s="14" t="n">
        <f aca="false">((M46+M69)+M92)</f>
        <v>0</v>
      </c>
      <c r="N117" s="14" t="n">
        <f aca="false">((N46+N69)+N92)</f>
        <v>0</v>
      </c>
      <c r="O117" s="14" t="n">
        <f aca="false">((O46+O69)+O92)</f>
        <v>0</v>
      </c>
      <c r="P117" s="14" t="n">
        <f aca="false">((P46+P69)+P92)</f>
        <v>0</v>
      </c>
      <c r="Q117" s="14" t="n">
        <f aca="false">((Q46+Q69)+Q92)</f>
        <v>0</v>
      </c>
      <c r="R117" s="14" t="n">
        <f aca="false">((R46+R69)+R92)</f>
        <v>0</v>
      </c>
      <c r="S117" s="14" t="n">
        <f aca="false">((S46+S69)+S92)</f>
        <v>0</v>
      </c>
      <c r="T117" s="14" t="n">
        <f aca="false">((T46+T69)+T92)</f>
        <v>0</v>
      </c>
      <c r="U117" s="14" t="n">
        <f aca="false">((U46+U69)+U92)</f>
        <v>1</v>
      </c>
      <c r="V117" s="14" t="n">
        <f aca="false">((V46+V69)+V92)</f>
        <v>0</v>
      </c>
      <c r="W117" s="14" t="n">
        <f aca="false">((W46+W69)+W92)</f>
        <v>0</v>
      </c>
      <c r="X117" s="14" t="n">
        <f aca="false">((X46+X69)+X92)</f>
        <v>2</v>
      </c>
      <c r="Y117" s="14" t="n">
        <f aca="false">((Y46+Y69)+Y92)</f>
        <v>0</v>
      </c>
      <c r="Z117" s="14" t="n">
        <f aca="false">((Z46+Z69)+Z92)</f>
        <v>0</v>
      </c>
      <c r="AA117" s="14" t="n">
        <f aca="false">((AA46+AA69)+AA92)</f>
        <v>3</v>
      </c>
      <c r="AB117" s="14" t="n">
        <f aca="false">((AB46+AB69)+AB92)</f>
        <v>0</v>
      </c>
      <c r="AC117" s="14" t="n">
        <f aca="false">((AC46+AC69)+AC92)</f>
        <v>0</v>
      </c>
      <c r="AD117" s="14" t="n">
        <f aca="false">((AD46+AD69)+AD92)</f>
        <v>3</v>
      </c>
      <c r="AE117" s="14" t="n">
        <f aca="false">((AE46+AE69)+AE92)</f>
        <v>0</v>
      </c>
      <c r="AF117" s="14" t="n">
        <f aca="false">((AF46+AF69)+AF92)</f>
        <v>0</v>
      </c>
      <c r="AG117" s="14" t="n">
        <f aca="false">((AG46+AG69)+AG92)</f>
        <v>4</v>
      </c>
      <c r="AH117" s="14" t="n">
        <f aca="false">((AH46+AH69)+AH92)</f>
        <v>0</v>
      </c>
      <c r="AI117" s="14" t="n">
        <f aca="false">((AI46+AI69)+AI92)</f>
        <v>0</v>
      </c>
      <c r="AJ117" s="14" t="n">
        <f aca="false">((AJ46+AJ69)+AJ92)</f>
        <v>5</v>
      </c>
      <c r="AK117" s="14" t="n">
        <f aca="false">((AK46+AK69)+AK92)</f>
        <v>0</v>
      </c>
      <c r="AL117" s="14" t="n">
        <f aca="false">((AL46+AL69)+AL92)</f>
        <v>1</v>
      </c>
      <c r="AN117" s="36" t="n">
        <f aca="false">SUM(C117:N117)</f>
        <v>0</v>
      </c>
      <c r="AO117" s="36" t="n">
        <f aca="false">SUM(O117:Z117)</f>
        <v>3</v>
      </c>
      <c r="AP117" s="36" t="n">
        <f aca="false">SUM(AA117:AL117)</f>
        <v>16</v>
      </c>
    </row>
    <row r="118" customFormat="false" ht="15" hidden="false" customHeight="false" outlineLevel="0" collapsed="false">
      <c r="A118" s="0" t="s">
        <v>924</v>
      </c>
      <c r="B118" s="0" t="s">
        <v>852</v>
      </c>
      <c r="C118" s="14" t="n">
        <f aca="false">((C47+C70)+C93)</f>
        <v>0</v>
      </c>
      <c r="D118" s="14" t="n">
        <f aca="false">((D47+D70)+D93)</f>
        <v>0</v>
      </c>
      <c r="E118" s="14" t="n">
        <f aca="false">((E47+E70)+E93)</f>
        <v>0</v>
      </c>
      <c r="F118" s="14" t="n">
        <f aca="false">((F47+F70)+F93)</f>
        <v>0</v>
      </c>
      <c r="G118" s="14" t="n">
        <f aca="false">((G47+G70)+G93)</f>
        <v>1</v>
      </c>
      <c r="H118" s="14" t="n">
        <f aca="false">((H47+H70)+H93)</f>
        <v>0</v>
      </c>
      <c r="I118" s="14" t="n">
        <f aca="false">((I47+I70)+I93)</f>
        <v>0</v>
      </c>
      <c r="J118" s="14" t="n">
        <f aca="false">((J47+J70)+J93)</f>
        <v>1</v>
      </c>
      <c r="K118" s="14" t="n">
        <f aca="false">((K47+K70)+K93)</f>
        <v>0</v>
      </c>
      <c r="L118" s="14" t="n">
        <f aca="false">((L47+L70)+L93)</f>
        <v>0</v>
      </c>
      <c r="M118" s="14" t="n">
        <f aca="false">((M47+M70)+M93)</f>
        <v>0</v>
      </c>
      <c r="N118" s="14" t="n">
        <f aca="false">((N47+N70)+N93)</f>
        <v>0</v>
      </c>
      <c r="O118" s="14" t="n">
        <f aca="false">((O47+O70)+O93)</f>
        <v>0</v>
      </c>
      <c r="P118" s="14" t="n">
        <f aca="false">((P47+P70)+P93)</f>
        <v>0</v>
      </c>
      <c r="Q118" s="14" t="n">
        <f aca="false">((Q47+Q70)+Q93)</f>
        <v>0</v>
      </c>
      <c r="R118" s="14" t="n">
        <f aca="false">((R47+R70)+R93)</f>
        <v>0</v>
      </c>
      <c r="S118" s="14" t="n">
        <f aca="false">((S47+S70)+S93)</f>
        <v>0</v>
      </c>
      <c r="T118" s="14" t="n">
        <f aca="false">((T47+T70)+T93)</f>
        <v>0</v>
      </c>
      <c r="U118" s="14" t="n">
        <f aca="false">((U47+U70)+U93)</f>
        <v>0</v>
      </c>
      <c r="V118" s="14" t="n">
        <f aca="false">((V47+V70)+V93)</f>
        <v>0</v>
      </c>
      <c r="W118" s="14" t="n">
        <f aca="false">((W47+W70)+W93)</f>
        <v>0</v>
      </c>
      <c r="X118" s="14" t="n">
        <f aca="false">((X47+X70)+X93)</f>
        <v>0</v>
      </c>
      <c r="Y118" s="14" t="n">
        <f aca="false">((Y47+Y70)+Y93)</f>
        <v>0</v>
      </c>
      <c r="Z118" s="14" t="n">
        <f aca="false">((Z47+Z70)+Z93)</f>
        <v>0</v>
      </c>
      <c r="AA118" s="14" t="n">
        <f aca="false">((AA47+AA70)+AA93)</f>
        <v>0</v>
      </c>
      <c r="AB118" s="14" t="n">
        <f aca="false">((AB47+AB70)+AB93)</f>
        <v>0</v>
      </c>
      <c r="AC118" s="14" t="n">
        <f aca="false">((AC47+AC70)+AC93)</f>
        <v>0</v>
      </c>
      <c r="AD118" s="14" t="n">
        <f aca="false">((AD47+AD70)+AD93)</f>
        <v>0</v>
      </c>
      <c r="AE118" s="14" t="n">
        <f aca="false">((AE47+AE70)+AE93)</f>
        <v>0</v>
      </c>
      <c r="AF118" s="14" t="n">
        <f aca="false">((AF47+AF70)+AF93)</f>
        <v>0</v>
      </c>
      <c r="AG118" s="14" t="n">
        <f aca="false">((AG47+AG70)+AG93)</f>
        <v>0</v>
      </c>
      <c r="AH118" s="14" t="n">
        <f aca="false">((AH47+AH70)+AH93)</f>
        <v>0</v>
      </c>
      <c r="AI118" s="14" t="n">
        <f aca="false">((AI47+AI70)+AI93)</f>
        <v>0</v>
      </c>
      <c r="AJ118" s="14" t="n">
        <f aca="false">((AJ47+AJ70)+AJ93)</f>
        <v>0</v>
      </c>
      <c r="AK118" s="14" t="n">
        <f aca="false">((AK47+AK70)+AK93)</f>
        <v>0</v>
      </c>
      <c r="AL118" s="14" t="n">
        <f aca="false">((AL47+AL70)+AL93)</f>
        <v>0</v>
      </c>
      <c r="AN118" s="36" t="n">
        <f aca="false">SUM(C118:N118)</f>
        <v>2</v>
      </c>
      <c r="AO118" s="36" t="n">
        <f aca="false">SUM(O118:Z118)</f>
        <v>0</v>
      </c>
      <c r="AP118" s="36" t="n">
        <f aca="false">SUM(AA118:AL118)</f>
        <v>0</v>
      </c>
    </row>
    <row r="119" customFormat="false" ht="15" hidden="false" customHeight="false" outlineLevel="0" collapsed="false">
      <c r="A119" s="0" t="s">
        <v>925</v>
      </c>
      <c r="B119" s="0" t="s">
        <v>852</v>
      </c>
      <c r="C119" s="14" t="n">
        <f aca="false">((C49+C72)+C95)</f>
        <v>0</v>
      </c>
      <c r="D119" s="14" t="n">
        <f aca="false">((D49+D72)+D95)</f>
        <v>0</v>
      </c>
      <c r="E119" s="14" t="n">
        <f aca="false">((E49+E72)+E95)</f>
        <v>0</v>
      </c>
      <c r="F119" s="14" t="n">
        <f aca="false">((F49+F72)+F95)</f>
        <v>0</v>
      </c>
      <c r="G119" s="14" t="n">
        <f aca="false">((G49+G72)+G95)</f>
        <v>0</v>
      </c>
      <c r="H119" s="14" t="n">
        <f aca="false">((H49+H72)+H95)</f>
        <v>0</v>
      </c>
      <c r="I119" s="14" t="n">
        <f aca="false">((I49+I72)+I95)</f>
        <v>0</v>
      </c>
      <c r="J119" s="14" t="n">
        <f aca="false">((J49+J72)+J95)</f>
        <v>0</v>
      </c>
      <c r="K119" s="14" t="n">
        <f aca="false">((K49+K72)+K95)</f>
        <v>0</v>
      </c>
      <c r="L119" s="14" t="n">
        <f aca="false">((L49+L72)+L95)</f>
        <v>0</v>
      </c>
      <c r="M119" s="14" t="n">
        <f aca="false">((M49+M72)+M95)</f>
        <v>0</v>
      </c>
      <c r="N119" s="14" t="n">
        <f aca="false">((N49+N72)+N95)</f>
        <v>0</v>
      </c>
      <c r="O119" s="14" t="n">
        <f aca="false">((O49+O72)+O95)</f>
        <v>0</v>
      </c>
      <c r="P119" s="14" t="n">
        <f aca="false">((P49+P72)+P95)</f>
        <v>0</v>
      </c>
      <c r="Q119" s="14" t="n">
        <f aca="false">((Q49+Q72)+Q95)</f>
        <v>0</v>
      </c>
      <c r="R119" s="14" t="n">
        <f aca="false">((R49+R72)+R95)</f>
        <v>0</v>
      </c>
      <c r="S119" s="14" t="n">
        <f aca="false">((S49+S72)+S95)</f>
        <v>0</v>
      </c>
      <c r="T119" s="14" t="n">
        <f aca="false">((T49+T72)+T95)</f>
        <v>0</v>
      </c>
      <c r="U119" s="14" t="n">
        <f aca="false">((U49+U72)+U95)</f>
        <v>0</v>
      </c>
      <c r="V119" s="14" t="n">
        <f aca="false">((V49+V72)+V95)</f>
        <v>0</v>
      </c>
      <c r="W119" s="14" t="n">
        <f aca="false">((W49+W72)+W95)</f>
        <v>0</v>
      </c>
      <c r="X119" s="14" t="n">
        <f aca="false">((X49+X72)+X95)</f>
        <v>0</v>
      </c>
      <c r="Y119" s="14" t="n">
        <f aca="false">((Y49+Y72)+Y95)</f>
        <v>0</v>
      </c>
      <c r="Z119" s="14" t="n">
        <f aca="false">((Z49+Z72)+Z95)</f>
        <v>0</v>
      </c>
      <c r="AA119" s="14" t="n">
        <f aca="false">((AA49+AA72)+AA95)</f>
        <v>0</v>
      </c>
      <c r="AB119" s="14" t="n">
        <f aca="false">((AB49+AB72)+AB95)</f>
        <v>0</v>
      </c>
      <c r="AC119" s="14" t="n">
        <f aca="false">((AC49+AC72)+AC95)</f>
        <v>0</v>
      </c>
      <c r="AD119" s="14" t="n">
        <f aca="false">((AD49+AD72)+AD95)</f>
        <v>0</v>
      </c>
      <c r="AE119" s="14" t="n">
        <f aca="false">((AE49+AE72)+AE95)</f>
        <v>1</v>
      </c>
      <c r="AF119" s="14" t="n">
        <f aca="false">((AF49+AF72)+AF95)</f>
        <v>0</v>
      </c>
      <c r="AG119" s="14" t="n">
        <f aca="false">((AG49+AG72)+AG95)</f>
        <v>0</v>
      </c>
      <c r="AH119" s="14" t="n">
        <f aca="false">((AH49+AH72)+AH95)</f>
        <v>2</v>
      </c>
      <c r="AI119" s="14" t="n">
        <f aca="false">((AI49+AI72)+AI95)</f>
        <v>0</v>
      </c>
      <c r="AJ119" s="14" t="n">
        <f aca="false">((AJ49+AJ72)+AJ95)</f>
        <v>0</v>
      </c>
      <c r="AK119" s="14" t="n">
        <f aca="false">((AK49+AK72)+AK95)</f>
        <v>3</v>
      </c>
      <c r="AL119" s="14" t="n">
        <f aca="false">((AL49+AL72)+AL95)</f>
        <v>0</v>
      </c>
      <c r="AN119" s="36" t="n">
        <f aca="false">SUM(C119:N119)</f>
        <v>0</v>
      </c>
      <c r="AO119" s="36" t="n">
        <f aca="false">SUM(O119:Z119)</f>
        <v>0</v>
      </c>
      <c r="AP119" s="36" t="n">
        <f aca="false">SUM(AA119:AL119)</f>
        <v>6</v>
      </c>
    </row>
    <row r="120" customFormat="false" ht="15" hidden="false" customHeight="false" outlineLevel="0" collapsed="false">
      <c r="A120" s="0" t="s">
        <v>926</v>
      </c>
      <c r="B120" s="0" t="s">
        <v>852</v>
      </c>
      <c r="C120" s="14" t="n">
        <f aca="false">((C50+C73)+C96)</f>
        <v>0</v>
      </c>
      <c r="D120" s="14" t="n">
        <f aca="false">((D50+D73)+D96)</f>
        <v>0</v>
      </c>
      <c r="E120" s="14" t="n">
        <f aca="false">((E50+E73)+E96)</f>
        <v>0</v>
      </c>
      <c r="F120" s="14" t="n">
        <f aca="false">((F50+F73)+F96)</f>
        <v>0</v>
      </c>
      <c r="G120" s="14" t="n">
        <f aca="false">((G50+G73)+G96)</f>
        <v>0</v>
      </c>
      <c r="H120" s="14" t="n">
        <f aca="false">((H50+H73)+H96)</f>
        <v>0</v>
      </c>
      <c r="I120" s="14" t="n">
        <f aca="false">((I50+I73)+I96)</f>
        <v>0</v>
      </c>
      <c r="J120" s="14" t="n">
        <f aca="false">((J50+J73)+J96)</f>
        <v>0</v>
      </c>
      <c r="K120" s="14" t="n">
        <f aca="false">((K50+K73)+K96)</f>
        <v>0</v>
      </c>
      <c r="L120" s="14" t="n">
        <f aca="false">((L50+L73)+L96)</f>
        <v>0</v>
      </c>
      <c r="M120" s="14" t="n">
        <f aca="false">((M50+M73)+M96)</f>
        <v>0</v>
      </c>
      <c r="N120" s="14" t="n">
        <f aca="false">((N50+N73)+N96)</f>
        <v>0</v>
      </c>
      <c r="O120" s="14" t="n">
        <f aca="false">((O50+O73)+O96)</f>
        <v>0</v>
      </c>
      <c r="P120" s="14" t="n">
        <f aca="false">((P50+P73)+P96)</f>
        <v>0</v>
      </c>
      <c r="Q120" s="14" t="n">
        <f aca="false">((Q50+Q73)+Q96)</f>
        <v>0</v>
      </c>
      <c r="R120" s="14" t="n">
        <f aca="false">((R50+R73)+R96)</f>
        <v>0</v>
      </c>
      <c r="S120" s="14" t="n">
        <f aca="false">((S50+S73)+S96)</f>
        <v>0</v>
      </c>
      <c r="T120" s="14" t="n">
        <f aca="false">((T50+T73)+T96)</f>
        <v>0</v>
      </c>
      <c r="U120" s="14" t="n">
        <f aca="false">((U50+U73)+U96)</f>
        <v>1</v>
      </c>
      <c r="V120" s="14" t="n">
        <f aca="false">((V50+V73)+V96)</f>
        <v>0</v>
      </c>
      <c r="W120" s="14" t="n">
        <f aca="false">((W50+W73)+W96)</f>
        <v>0</v>
      </c>
      <c r="X120" s="14" t="n">
        <f aca="false">((X50+X73)+X96)</f>
        <v>2</v>
      </c>
      <c r="Y120" s="14" t="n">
        <f aca="false">((Y50+Y73)+Y96)</f>
        <v>0</v>
      </c>
      <c r="Z120" s="14" t="n">
        <f aca="false">((Z50+Z73)+Z96)</f>
        <v>0</v>
      </c>
      <c r="AA120" s="14" t="n">
        <f aca="false">((AA50+AA73)+AA96)</f>
        <v>3</v>
      </c>
      <c r="AB120" s="14" t="n">
        <f aca="false">((AB50+AB73)+AB96)</f>
        <v>0</v>
      </c>
      <c r="AC120" s="14" t="n">
        <f aca="false">((AC50+AC73)+AC96)</f>
        <v>0</v>
      </c>
      <c r="AD120" s="14" t="n">
        <f aca="false">((AD50+AD73)+AD96)</f>
        <v>3</v>
      </c>
      <c r="AE120" s="14" t="n">
        <f aca="false">((AE50+AE73)+AE96)</f>
        <v>1</v>
      </c>
      <c r="AF120" s="14" t="n">
        <f aca="false">((AF50+AF73)+AF96)</f>
        <v>0</v>
      </c>
      <c r="AG120" s="14" t="n">
        <f aca="false">((AG50+AG73)+AG96)</f>
        <v>4</v>
      </c>
      <c r="AH120" s="14" t="n">
        <f aca="false">((AH50+AH73)+AH96)</f>
        <v>2</v>
      </c>
      <c r="AI120" s="14" t="n">
        <f aca="false">((AI50+AI73)+AI96)</f>
        <v>0</v>
      </c>
      <c r="AJ120" s="14" t="n">
        <f aca="false">((AJ50+AJ73)+AJ96)</f>
        <v>5</v>
      </c>
      <c r="AK120" s="14" t="n">
        <f aca="false">((AK50+AK73)+AK96)</f>
        <v>3</v>
      </c>
      <c r="AL120" s="14" t="n">
        <f aca="false">((AL50+AL73)+AL96)</f>
        <v>1</v>
      </c>
      <c r="AN120" s="36" t="n">
        <f aca="false">SUM(C120:N120)</f>
        <v>0</v>
      </c>
      <c r="AO120" s="36" t="n">
        <f aca="false">SUM(O120:Z120)</f>
        <v>3</v>
      </c>
      <c r="AP120" s="36" t="n">
        <f aca="false">SUM(AA120:AL120)</f>
        <v>22</v>
      </c>
    </row>
    <row r="121" customFormat="false" ht="15" hidden="false" customHeight="false" outlineLevel="0" collapsed="false">
      <c r="A121" s="0" t="s">
        <v>927</v>
      </c>
      <c r="B121" s="0" t="s">
        <v>852</v>
      </c>
      <c r="C121" s="14" t="n">
        <f aca="false">((C55+C78)+C101)</f>
        <v>0</v>
      </c>
      <c r="D121" s="14" t="n">
        <f aca="false">((D55+D78)+D101)</f>
        <v>0</v>
      </c>
      <c r="E121" s="14" t="n">
        <f aca="false">((E55+E78)+E101)</f>
        <v>0</v>
      </c>
      <c r="F121" s="14" t="n">
        <f aca="false">((F55+F78)+F101)</f>
        <v>0</v>
      </c>
      <c r="G121" s="14" t="n">
        <f aca="false">((G55+G78)+G101)</f>
        <v>0</v>
      </c>
      <c r="H121" s="14" t="n">
        <f aca="false">((H55+H78)+H101)</f>
        <v>0</v>
      </c>
      <c r="I121" s="14" t="n">
        <f aca="false">((I55+I78)+I101)</f>
        <v>0</v>
      </c>
      <c r="J121" s="14" t="n">
        <f aca="false">((J55+J78)+J101)</f>
        <v>0</v>
      </c>
      <c r="K121" s="14" t="n">
        <f aca="false">((K55+K78)+K101)</f>
        <v>0</v>
      </c>
      <c r="L121" s="14" t="n">
        <f aca="false">((L55+L78)+L101)</f>
        <v>0</v>
      </c>
      <c r="M121" s="14" t="n">
        <f aca="false">((M55+M78)+M101)</f>
        <v>0</v>
      </c>
      <c r="N121" s="14" t="n">
        <f aca="false">((N55+N78)+N101)</f>
        <v>0</v>
      </c>
      <c r="O121" s="14" t="n">
        <f aca="false">((O55+O78)+O101)</f>
        <v>0</v>
      </c>
      <c r="P121" s="14" t="n">
        <f aca="false">((P55+P78)+P101)</f>
        <v>0</v>
      </c>
      <c r="Q121" s="14" t="n">
        <f aca="false">((Q55+Q78)+Q101)</f>
        <v>0</v>
      </c>
      <c r="R121" s="14" t="n">
        <f aca="false">((R55+R78)+R101)</f>
        <v>0</v>
      </c>
      <c r="S121" s="14" t="n">
        <f aca="false">((S55+S78)+S101)</f>
        <v>0</v>
      </c>
      <c r="T121" s="14" t="n">
        <f aca="false">((T55+T78)+T101)</f>
        <v>1.08</v>
      </c>
      <c r="U121" s="14" t="n">
        <f aca="false">((U55+U78)+U101)</f>
        <v>0</v>
      </c>
      <c r="V121" s="14" t="n">
        <f aca="false">((V55+V78)+V101)</f>
        <v>0</v>
      </c>
      <c r="W121" s="14" t="n">
        <f aca="false">((W55+W78)+W101)</f>
        <v>0</v>
      </c>
      <c r="X121" s="14" t="n">
        <f aca="false">((X55+X78)+X101)</f>
        <v>0</v>
      </c>
      <c r="Y121" s="14" t="n">
        <f aca="false">((Y55+Y78)+Y101)</f>
        <v>0</v>
      </c>
      <c r="Z121" s="14" t="n">
        <f aca="false">((Z55+Z78)+Z101)</f>
        <v>0</v>
      </c>
      <c r="AA121" s="14" t="n">
        <f aca="false">((AA55+AA78)+AA101)</f>
        <v>0</v>
      </c>
      <c r="AB121" s="14" t="n">
        <f aca="false">((AB55+AB78)+AB101)</f>
        <v>0.45</v>
      </c>
      <c r="AC121" s="14" t="n">
        <f aca="false">((AC55+AC78)+AC101)</f>
        <v>0</v>
      </c>
      <c r="AD121" s="14" t="n">
        <f aca="false">((AD55+AD78)+AD101)</f>
        <v>0</v>
      </c>
      <c r="AE121" s="14" t="n">
        <f aca="false">((AE55+AE78)+AE101)</f>
        <v>1.855</v>
      </c>
      <c r="AF121" s="14" t="n">
        <f aca="false">((AF55+AF78)+AF101)</f>
        <v>0</v>
      </c>
      <c r="AG121" s="14" t="n">
        <f aca="false">((AG55+AG78)+AG101)</f>
        <v>0</v>
      </c>
      <c r="AH121" s="14" t="n">
        <f aca="false">((AH55+AH78)+AH101)</f>
        <v>3.305</v>
      </c>
      <c r="AI121" s="14" t="n">
        <f aca="false">((AI55+AI78)+AI101)</f>
        <v>0</v>
      </c>
      <c r="AJ121" s="14" t="n">
        <f aca="false">((AJ55+AJ78)+AJ101)</f>
        <v>0</v>
      </c>
      <c r="AK121" s="14" t="n">
        <f aca="false">((AK55+AK78)+AK101)</f>
        <v>4.305</v>
      </c>
      <c r="AL121" s="14" t="n">
        <f aca="false">((AL55+AL78)+AL101)</f>
        <v>0</v>
      </c>
      <c r="AN121" s="36" t="n">
        <f aca="false">SUM(C121:N121)</f>
        <v>0</v>
      </c>
      <c r="AO121" s="36" t="n">
        <f aca="false">SUM(O121:Z121)</f>
        <v>1.08</v>
      </c>
      <c r="AP121" s="36" t="n">
        <f aca="false">SUM(AA121:AL121)</f>
        <v>9.915</v>
      </c>
    </row>
    <row r="122" customFormat="false" ht="15" hidden="false" customHeight="false" outlineLevel="0" collapsed="false">
      <c r="A122" s="0" t="s">
        <v>928</v>
      </c>
      <c r="B122" s="0" t="s">
        <v>852</v>
      </c>
      <c r="C122" s="13" t="n">
        <f aca="false">((C57+C80)+C103)</f>
        <v>0</v>
      </c>
      <c r="D122" s="13" t="n">
        <f aca="false">((D57+D80)+D103)</f>
        <v>0</v>
      </c>
      <c r="E122" s="13" t="n">
        <f aca="false">((E57+E80)+E103)</f>
        <v>0</v>
      </c>
      <c r="F122" s="13" t="n">
        <f aca="false">((F57+F80)+F103)</f>
        <v>0</v>
      </c>
      <c r="G122" s="13" t="n">
        <f aca="false">((G57+G80)+G103)</f>
        <v>0</v>
      </c>
      <c r="H122" s="13" t="n">
        <f aca="false">((H57+H80)+H103)</f>
        <v>0</v>
      </c>
      <c r="I122" s="13" t="n">
        <f aca="false">((I57+I80)+I103)</f>
        <v>0</v>
      </c>
      <c r="J122" s="13" t="n">
        <f aca="false">((J57+J80)+J103)</f>
        <v>0</v>
      </c>
      <c r="K122" s="13" t="n">
        <f aca="false">((K57+K80)+K103)</f>
        <v>0</v>
      </c>
      <c r="L122" s="13" t="n">
        <f aca="false">((L57+L80)+L103)</f>
        <v>0</v>
      </c>
      <c r="M122" s="13" t="n">
        <f aca="false">((M57+M80)+M103)</f>
        <v>0</v>
      </c>
      <c r="N122" s="13" t="n">
        <f aca="false">((N57+N80)+N103)</f>
        <v>0</v>
      </c>
      <c r="O122" s="13" t="n">
        <f aca="false">((O57+O80)+O103)</f>
        <v>0</v>
      </c>
      <c r="P122" s="13" t="n">
        <f aca="false">((P57+P80)+P103)</f>
        <v>0</v>
      </c>
      <c r="Q122" s="13" t="n">
        <f aca="false">((Q57+Q80)+Q103)</f>
        <v>0</v>
      </c>
      <c r="R122" s="13" t="n">
        <f aca="false">((R57+R80)+R103)</f>
        <v>0</v>
      </c>
      <c r="S122" s="13" t="n">
        <f aca="false">((S57+S80)+S103)</f>
        <v>0</v>
      </c>
      <c r="T122" s="13" t="n">
        <f aca="false">((T57+T80)+T103)</f>
        <v>1.08</v>
      </c>
      <c r="U122" s="13" t="n">
        <f aca="false">((U57+U80)+U103)</f>
        <v>1.08</v>
      </c>
      <c r="V122" s="13" t="n">
        <f aca="false">((V57+V80)+V103)</f>
        <v>1.08</v>
      </c>
      <c r="W122" s="13" t="n">
        <f aca="false">((W57+W80)+W103)</f>
        <v>1.08</v>
      </c>
      <c r="X122" s="13" t="n">
        <f aca="false">((X57+X80)+X103)</f>
        <v>1.08</v>
      </c>
      <c r="Y122" s="13" t="n">
        <f aca="false">((Y57+Y80)+Y103)</f>
        <v>1.08</v>
      </c>
      <c r="Z122" s="13" t="n">
        <f aca="false">((Z57+Z80)+Z103)</f>
        <v>1.08</v>
      </c>
      <c r="AA122" s="13" t="n">
        <f aca="false">((AA57+AA80)+AA103)</f>
        <v>1.08</v>
      </c>
      <c r="AB122" s="13" t="n">
        <f aca="false">((AB57+AB80)+AB103)</f>
        <v>1.53</v>
      </c>
      <c r="AC122" s="13" t="n">
        <f aca="false">((AC57+AC80)+AC103)</f>
        <v>1.53</v>
      </c>
      <c r="AD122" s="13" t="n">
        <f aca="false">((AD57+AD80)+AD103)</f>
        <v>1.53</v>
      </c>
      <c r="AE122" s="13" t="n">
        <f aca="false">((AE57+AE80)+AE103)</f>
        <v>3.385</v>
      </c>
      <c r="AF122" s="13" t="n">
        <f aca="false">((AF57+AF80)+AF103)</f>
        <v>3.2554</v>
      </c>
      <c r="AG122" s="13" t="n">
        <f aca="false">((AG57+AG80)+AG103)</f>
        <v>3.2554</v>
      </c>
      <c r="AH122" s="13" t="n">
        <f aca="false">((AH57+AH80)+AH103)</f>
        <v>6.5604</v>
      </c>
      <c r="AI122" s="13" t="n">
        <f aca="false">((AI57+AI80)+AI103)</f>
        <v>6.5604</v>
      </c>
      <c r="AJ122" s="13" t="n">
        <f aca="false">((AJ57+AJ80)+AJ103)</f>
        <v>6.5604</v>
      </c>
      <c r="AK122" s="13" t="n">
        <f aca="false">((AK57+AK80)+AK103)</f>
        <v>10.8654</v>
      </c>
      <c r="AL122" s="13" t="n">
        <f aca="false">((AL57+AL80)+AL103)</f>
        <v>10.8654</v>
      </c>
      <c r="AN122" s="37" t="n">
        <f aca="false">N122</f>
        <v>0</v>
      </c>
      <c r="AO122" s="37" t="n">
        <f aca="false">Z122</f>
        <v>1.08</v>
      </c>
      <c r="AP122" s="37" t="n">
        <f aca="false">AL122</f>
        <v>10.8654</v>
      </c>
    </row>
    <row r="123" customFormat="false" ht="15" hidden="false" customHeight="false" outlineLevel="0" collapsed="false">
      <c r="A123" s="0" t="s">
        <v>929</v>
      </c>
      <c r="B123" s="0" t="s">
        <v>852</v>
      </c>
      <c r="C123" s="13" t="n">
        <f aca="false">((C51+C74)+C97)</f>
        <v>0</v>
      </c>
      <c r="D123" s="13" t="n">
        <f aca="false">((D51+D74)+D97)</f>
        <v>0</v>
      </c>
      <c r="E123" s="13" t="n">
        <f aca="false">((E51+E74)+E97)</f>
        <v>0</v>
      </c>
      <c r="F123" s="13" t="n">
        <f aca="false">((F51+F74)+F97)</f>
        <v>0</v>
      </c>
      <c r="G123" s="13" t="n">
        <f aca="false">((G51+G74)+G97)</f>
        <v>1</v>
      </c>
      <c r="H123" s="13" t="n">
        <f aca="false">((H51+H74)+H97)</f>
        <v>1</v>
      </c>
      <c r="I123" s="13" t="n">
        <f aca="false">((I51+I74)+I97)</f>
        <v>1</v>
      </c>
      <c r="J123" s="13" t="n">
        <f aca="false">((J51+J74)+J97)</f>
        <v>2</v>
      </c>
      <c r="K123" s="13" t="n">
        <f aca="false">((K51+K74)+K97)</f>
        <v>2</v>
      </c>
      <c r="L123" s="13" t="n">
        <f aca="false">((L51+L74)+L97)</f>
        <v>2</v>
      </c>
      <c r="M123" s="13" t="n">
        <f aca="false">((M51+M74)+M97)</f>
        <v>1</v>
      </c>
      <c r="N123" s="13" t="n">
        <f aca="false">((N51+N74)+N97)</f>
        <v>1</v>
      </c>
      <c r="O123" s="13" t="n">
        <f aca="false">((O51+O74)+O97)</f>
        <v>1</v>
      </c>
      <c r="P123" s="13" t="n">
        <f aca="false">((P51+P74)+P97)</f>
        <v>0</v>
      </c>
      <c r="Q123" s="13" t="n">
        <f aca="false">((Q51+Q74)+Q97)</f>
        <v>0</v>
      </c>
      <c r="R123" s="13" t="n">
        <f aca="false">((R51+R74)+R97)</f>
        <v>0</v>
      </c>
      <c r="S123" s="13" t="n">
        <f aca="false">((S51+S74)+S97)</f>
        <v>0</v>
      </c>
      <c r="T123" s="13" t="n">
        <f aca="false">((T51+T74)+T97)</f>
        <v>0</v>
      </c>
      <c r="U123" s="13" t="n">
        <f aca="false">((U51+U74)+U97)</f>
        <v>1</v>
      </c>
      <c r="V123" s="13" t="n">
        <f aca="false">((V51+V74)+V97)</f>
        <v>1</v>
      </c>
      <c r="W123" s="13" t="n">
        <f aca="false">((W51+W74)+W97)</f>
        <v>1</v>
      </c>
      <c r="X123" s="13" t="n">
        <f aca="false">((X51+X74)+X97)</f>
        <v>3</v>
      </c>
      <c r="Y123" s="13" t="n">
        <f aca="false">((Y51+Y74)+Y97)</f>
        <v>3</v>
      </c>
      <c r="Z123" s="13" t="n">
        <f aca="false">((Z51+Z74)+Z97)</f>
        <v>3</v>
      </c>
      <c r="AA123" s="13" t="n">
        <f aca="false">((AA51+AA74)+AA97)</f>
        <v>5</v>
      </c>
      <c r="AB123" s="13" t="n">
        <f aca="false">((AB51+AB74)+AB97)</f>
        <v>5</v>
      </c>
      <c r="AC123" s="13" t="n">
        <f aca="false">((AC51+AC74)+AC97)</f>
        <v>5</v>
      </c>
      <c r="AD123" s="13" t="n">
        <f aca="false">((AD51+AD74)+AD97)</f>
        <v>6</v>
      </c>
      <c r="AE123" s="13" t="n">
        <f aca="false">((AE51+AE74)+AE97)</f>
        <v>6</v>
      </c>
      <c r="AF123" s="13" t="n">
        <f aca="false">((AF51+AF74)+AF97)</f>
        <v>6</v>
      </c>
      <c r="AG123" s="13" t="n">
        <f aca="false">((AG51+AG74)+AG97)</f>
        <v>7</v>
      </c>
      <c r="AH123" s="13" t="n">
        <f aca="false">((AH51+AH74)+AH97)</f>
        <v>7</v>
      </c>
      <c r="AI123" s="13" t="n">
        <f aca="false">((AI51+AI74)+AI97)</f>
        <v>7</v>
      </c>
      <c r="AJ123" s="13" t="n">
        <f aca="false">((AJ51+AJ74)+AJ97)</f>
        <v>9</v>
      </c>
      <c r="AK123" s="13" t="n">
        <f aca="false">((AK51+AK74)+AK97)</f>
        <v>9</v>
      </c>
      <c r="AL123" s="13" t="n">
        <f aca="false">((AL51+AL74)+AL97)</f>
        <v>10</v>
      </c>
      <c r="AN123" s="37" t="n">
        <f aca="false">N123</f>
        <v>1</v>
      </c>
      <c r="AO123" s="37" t="n">
        <f aca="false">Z123</f>
        <v>3</v>
      </c>
      <c r="AP123" s="37" t="n">
        <f aca="false">AL123</f>
        <v>10</v>
      </c>
    </row>
    <row r="124" customFormat="false" ht="15" hidden="false" customHeight="false" outlineLevel="0" collapsed="false">
      <c r="A124" s="0" t="s">
        <v>930</v>
      </c>
      <c r="B124" s="0" t="s">
        <v>230</v>
      </c>
      <c r="C124" s="9" t="n">
        <f aca="false">((C61+C84)+C107)</f>
        <v>0</v>
      </c>
      <c r="D124" s="9" t="n">
        <f aca="false">((D61+D84)+D107)</f>
        <v>0</v>
      </c>
      <c r="E124" s="9" t="n">
        <f aca="false">((E61+E84)+E107)</f>
        <v>0</v>
      </c>
      <c r="F124" s="9" t="n">
        <f aca="false">((F61+F84)+F107)</f>
        <v>0</v>
      </c>
      <c r="G124" s="9" t="n">
        <f aca="false">((G61+G84)+G107)</f>
        <v>0</v>
      </c>
      <c r="H124" s="9" t="n">
        <f aca="false">((H61+H84)+H107)</f>
        <v>0</v>
      </c>
      <c r="I124" s="9" t="n">
        <f aca="false">((I61+I84)+I107)</f>
        <v>0</v>
      </c>
      <c r="J124" s="9" t="n">
        <f aca="false">((J61+J84)+J107)</f>
        <v>0</v>
      </c>
      <c r="K124" s="9" t="n">
        <f aca="false">((K61+K84)+K107)</f>
        <v>0</v>
      </c>
      <c r="L124" s="9" t="n">
        <f aca="false">((L61+L84)+L107)</f>
        <v>0</v>
      </c>
      <c r="M124" s="9" t="n">
        <f aca="false">((M61+M84)+M107)</f>
        <v>0</v>
      </c>
      <c r="N124" s="9" t="n">
        <f aca="false">((N61+N84)+N107)</f>
        <v>0</v>
      </c>
      <c r="O124" s="9" t="n">
        <f aca="false">((O61+O84)+O107)</f>
        <v>0</v>
      </c>
      <c r="P124" s="9" t="n">
        <f aca="false">((P61+P84)+P107)</f>
        <v>0</v>
      </c>
      <c r="Q124" s="9" t="n">
        <f aca="false">((Q61+Q84)+Q107)</f>
        <v>0</v>
      </c>
      <c r="R124" s="9" t="n">
        <f aca="false">((R61+R84)+R107)</f>
        <v>0</v>
      </c>
      <c r="S124" s="9" t="n">
        <f aca="false">((S61+S84)+S107)</f>
        <v>0</v>
      </c>
      <c r="T124" s="9" t="n">
        <f aca="false">((T61+T84)+T107)</f>
        <v>4554</v>
      </c>
      <c r="U124" s="9" t="n">
        <f aca="false">((U61+U84)+U107)</f>
        <v>4554</v>
      </c>
      <c r="V124" s="9" t="n">
        <f aca="false">((V61+V84)+V107)</f>
        <v>4554</v>
      </c>
      <c r="W124" s="9" t="n">
        <f aca="false">((W61+W84)+W107)</f>
        <v>4554</v>
      </c>
      <c r="X124" s="9" t="n">
        <f aca="false">((X61+X84)+X107)</f>
        <v>4554</v>
      </c>
      <c r="Y124" s="9" t="n">
        <f aca="false">((Y61+Y84)+Y107)</f>
        <v>4554</v>
      </c>
      <c r="Z124" s="9" t="n">
        <f aca="false">((Z61+Z84)+Z107)</f>
        <v>4554</v>
      </c>
      <c r="AA124" s="9" t="n">
        <f aca="false">((AA61+AA84)+AA107)</f>
        <v>4554</v>
      </c>
      <c r="AB124" s="9" t="n">
        <f aca="false">((AB61+AB84)+AB107)</f>
        <v>5262.75</v>
      </c>
      <c r="AC124" s="9" t="n">
        <f aca="false">((AC61+AC84)+AC107)</f>
        <v>5262.75</v>
      </c>
      <c r="AD124" s="9" t="n">
        <f aca="false">((AD61+AD84)+AD107)</f>
        <v>5262.75</v>
      </c>
      <c r="AE124" s="9" t="n">
        <f aca="false">((AE61+AE84)+AE107)</f>
        <v>10189.75</v>
      </c>
      <c r="AF124" s="9" t="n">
        <f aca="false">((AF61+AF84)+AF107)</f>
        <v>10044.022</v>
      </c>
      <c r="AG124" s="9" t="n">
        <f aca="false">((AG61+AG84)+AG107)</f>
        <v>10044.022</v>
      </c>
      <c r="AH124" s="9" t="n">
        <f aca="false">((AH61+AH84)+AH107)</f>
        <v>21913.1053333333</v>
      </c>
      <c r="AI124" s="9" t="n">
        <f aca="false">((AI61+AI84)+AI107)</f>
        <v>21913.1053333333</v>
      </c>
      <c r="AJ124" s="9" t="n">
        <f aca="false">((AJ61+AJ84)+AJ107)</f>
        <v>21913.1053333333</v>
      </c>
      <c r="AK124" s="9" t="n">
        <f aca="false">((AK61+AK84)+AK107)</f>
        <v>35982.1886666667</v>
      </c>
      <c r="AL124" s="9" t="n">
        <f aca="false">((AL61+AL84)+AL107)</f>
        <v>35982.1886666667</v>
      </c>
      <c r="AN124" s="11" t="n">
        <f aca="false">SUM(C124:N124)</f>
        <v>0</v>
      </c>
      <c r="AO124" s="11" t="n">
        <f aca="false">SUM(O124:Z124)</f>
        <v>31878</v>
      </c>
      <c r="AP124" s="11" t="n">
        <f aca="false">SUM(AA124:AL124)</f>
        <v>188323.737333333</v>
      </c>
    </row>
    <row r="125" customFormat="false" ht="15" hidden="false" customHeight="false" outlineLevel="0" collapsed="false">
      <c r="A125" s="0" t="s">
        <v>931</v>
      </c>
      <c r="B125" s="0" t="s">
        <v>230</v>
      </c>
      <c r="C125" s="9" t="n">
        <f aca="false">IF(AND(($C$14=1),(C$18=(Assumptions!$C$106+1))),((Assumptions!$C$114*12)*C124),0)</f>
        <v>0</v>
      </c>
      <c r="D125" s="9" t="n">
        <f aca="false">IF(AND(($C$14=1),(D$18=(Assumptions!$C$106+1))),((Assumptions!$C$114*12)*D124),0)</f>
        <v>0</v>
      </c>
      <c r="E125" s="9" t="n">
        <f aca="false">IF(AND(($C$14=1),(E$18=(Assumptions!$C$106+1))),((Assumptions!$C$114*12)*E124),0)</f>
        <v>0</v>
      </c>
      <c r="F125" s="9" t="n">
        <f aca="false">IF(AND(($C$14=1),(F$18=(Assumptions!$C$106+1))),((Assumptions!$C$114*12)*F124),0)</f>
        <v>0</v>
      </c>
      <c r="G125" s="9" t="n">
        <f aca="false">IF(AND(($C$14=1),(G$18=(Assumptions!$C$106+1))),((Assumptions!$C$114*12)*G124),0)</f>
        <v>0</v>
      </c>
      <c r="H125" s="9" t="n">
        <f aca="false">IF(AND(($C$14=1),(H$18=(Assumptions!$C$106+1))),((Assumptions!$C$114*12)*H124),0)</f>
        <v>0</v>
      </c>
      <c r="I125" s="9" t="n">
        <f aca="false">IF(AND(($C$14=1),(I$18=(Assumptions!$C$106+1))),((Assumptions!$C$114*12)*I124),0)</f>
        <v>0</v>
      </c>
      <c r="J125" s="9" t="n">
        <f aca="false">IF(AND(($C$14=1),(J$18=(Assumptions!$C$106+1))),((Assumptions!$C$114*12)*J124),0)</f>
        <v>0</v>
      </c>
      <c r="K125" s="9" t="n">
        <f aca="false">IF(AND(($C$14=1),(K$18=(Assumptions!$C$106+1))),((Assumptions!$C$114*12)*K124),0)</f>
        <v>0</v>
      </c>
      <c r="L125" s="9" t="n">
        <f aca="false">IF(AND(($C$14=1),(L$18=(Assumptions!$C$106+1))),((Assumptions!$C$114*12)*L124),0)</f>
        <v>0</v>
      </c>
      <c r="M125" s="9" t="n">
        <f aca="false">IF(AND(($C$14=1),(M$18=(Assumptions!$C$106+1))),((Assumptions!$C$114*12)*M124),0)</f>
        <v>0</v>
      </c>
      <c r="N125" s="9" t="n">
        <f aca="false">IF(AND(($C$14=1),(N$18=(Assumptions!$C$106+1))),((Assumptions!$C$114*12)*N124),0)</f>
        <v>0</v>
      </c>
      <c r="O125" s="9" t="n">
        <f aca="false">IF(AND(($C$14=1),(O$18=(Assumptions!$C$106+1))),((Assumptions!$C$114*12)*O124),0)</f>
        <v>0</v>
      </c>
      <c r="P125" s="9" t="n">
        <f aca="false">IF(AND(($C$14=1),(P$18=(Assumptions!$C$106+1))),((Assumptions!$C$114*12)*P124),0)</f>
        <v>0</v>
      </c>
      <c r="Q125" s="9" t="n">
        <f aca="false">IF(AND(($C$14=1),(Q$18=(Assumptions!$C$106+1))),((Assumptions!$C$114*12)*Q124),0)</f>
        <v>0</v>
      </c>
      <c r="R125" s="9" t="n">
        <f aca="false">IF(AND(($C$14=1),(R$18=(Assumptions!$C$106+1))),((Assumptions!$C$114*12)*R124),0)</f>
        <v>0</v>
      </c>
      <c r="S125" s="9" t="n">
        <f aca="false">IF(AND(($C$14=1),(S$18=(Assumptions!$C$106+1))),((Assumptions!$C$114*12)*S124),0)</f>
        <v>0</v>
      </c>
      <c r="T125" s="9" t="n">
        <f aca="false">IF(AND(($C$14=1),(T$18=(Assumptions!$C$106+1))),((Assumptions!$C$114*12)*T124),0)</f>
        <v>0</v>
      </c>
      <c r="U125" s="9" t="n">
        <f aca="false">IF(AND(($C$14=1),(U$18=(Assumptions!$C$106+1))),((Assumptions!$C$114*12)*U124),0)</f>
        <v>0</v>
      </c>
      <c r="V125" s="9" t="n">
        <f aca="false">IF(AND(($C$14=1),(V$18=(Assumptions!$C$106+1))),((Assumptions!$C$114*12)*V124),0)</f>
        <v>0</v>
      </c>
      <c r="W125" s="9" t="n">
        <f aca="false">IF(AND(($C$14=1),(W$18=(Assumptions!$C$106+1))),((Assumptions!$C$114*12)*W124),0)</f>
        <v>0</v>
      </c>
      <c r="X125" s="9" t="n">
        <f aca="false">IF(AND(($C$14=1),(X$18=(Assumptions!$C$106+1))),((Assumptions!$C$114*12)*X124),0)</f>
        <v>0</v>
      </c>
      <c r="Y125" s="9" t="n">
        <f aca="false">IF(AND(($C$14=1),(Y$18=(Assumptions!$C$106+1))),((Assumptions!$C$114*12)*Y124),0)</f>
        <v>0</v>
      </c>
      <c r="Z125" s="9" t="n">
        <f aca="false">IF(AND(($C$14=1),(Z$18=(Assumptions!$C$106+1))),((Assumptions!$C$114*12)*Z124),0)</f>
        <v>0</v>
      </c>
      <c r="AA125" s="9" t="n">
        <f aca="false">IF(AND(($C$14=1),(AA$18=(Assumptions!$C$106+1))),((Assumptions!$C$114*12)*AA124),0)</f>
        <v>0</v>
      </c>
      <c r="AB125" s="9" t="n">
        <f aca="false">IF(AND(($C$14=1),(AB$18=(Assumptions!$C$106+1))),((Assumptions!$C$114*12)*AB124),0)</f>
        <v>0</v>
      </c>
      <c r="AC125" s="9" t="n">
        <f aca="false">IF(AND(($C$14=1),(AC$18=(Assumptions!$C$106+1))),((Assumptions!$C$114*12)*AC124),0)</f>
        <v>0</v>
      </c>
      <c r="AD125" s="9" t="n">
        <f aca="false">IF(AND(($C$14=1),(AD$18=(Assumptions!$C$106+1))),((Assumptions!$C$114*12)*AD124),0)</f>
        <v>0</v>
      </c>
      <c r="AE125" s="9" t="n">
        <f aca="false">IF(AND(($C$14=1),(AE$18=(Assumptions!$C$106+1))),((Assumptions!$C$114*12)*AE124),0)</f>
        <v>0</v>
      </c>
      <c r="AF125" s="9" t="n">
        <f aca="false">IF(AND(($C$14=1),(AF$18=(Assumptions!$C$106+1))),((Assumptions!$C$114*12)*AF124),0)</f>
        <v>0</v>
      </c>
      <c r="AG125" s="9" t="n">
        <f aca="false">IF(AND(($C$14=1),(AG$18=(Assumptions!$C$106+1))),((Assumptions!$C$114*12)*AG124),0)</f>
        <v>0</v>
      </c>
      <c r="AH125" s="9" t="n">
        <f aca="false">IF(AND(($C$14=1),(AH$18=(Assumptions!$C$106+1))),((Assumptions!$C$114*12)*AH124),0)</f>
        <v>0</v>
      </c>
      <c r="AI125" s="9" t="n">
        <f aca="false">IF(AND(($C$14=1),(AI$18=(Assumptions!$C$106+1))),((Assumptions!$C$114*12)*AI124),0)</f>
        <v>0</v>
      </c>
      <c r="AJ125" s="9" t="n">
        <f aca="false">IF(AND(($C$14=1),(AJ$18=(Assumptions!$C$106+1))),((Assumptions!$C$114*12)*AJ124),0)</f>
        <v>0</v>
      </c>
      <c r="AK125" s="9" t="n">
        <f aca="false">IF(AND(($C$14=1),(AK$18=(Assumptions!$C$106+1))),((Assumptions!$C$114*12)*AK124),0)</f>
        <v>0</v>
      </c>
      <c r="AL125" s="9" t="n">
        <f aca="false">IF(AND(($C$14=1),(AL$18=(Assumptions!$C$106+1))),((Assumptions!$C$114*12)*AL124),0)</f>
        <v>0</v>
      </c>
      <c r="AN125" s="11" t="n">
        <f aca="false">SUM(C125:N125)</f>
        <v>0</v>
      </c>
      <c r="AO125" s="11" t="n">
        <f aca="false">SUM(O125:Z125)</f>
        <v>0</v>
      </c>
      <c r="AP125" s="11" t="n">
        <f aca="false">SUM(AA125:AL125)</f>
        <v>0</v>
      </c>
    </row>
    <row r="126" customFormat="false" ht="15" hidden="false" customHeight="false" outlineLevel="0" collapsed="false">
      <c r="A126" s="0" t="s">
        <v>932</v>
      </c>
      <c r="B126" s="0" t="s">
        <v>500</v>
      </c>
      <c r="C126" s="9" t="n">
        <f aca="false">(((Assumptions!$C$125*(C57+(Assumptions!$C$32*C51)))+(Assumptions!$D$125*(C80+(Assumptions!$C$32*C74))))+(Assumptions!$E$125*(C103+(Assumptions!$C$32*C97))))</f>
        <v>0</v>
      </c>
      <c r="D126" s="9" t="n">
        <f aca="false">(((Assumptions!$C$125*(D57+(Assumptions!$C$32*D51)))+(Assumptions!$D$125*(D80+(Assumptions!$C$32*D74))))+(Assumptions!$E$125*(D103+(Assumptions!$C$32*D97))))</f>
        <v>0</v>
      </c>
      <c r="E126" s="9" t="n">
        <f aca="false">(((Assumptions!$C$125*(E57+(Assumptions!$C$32*E51)))+(Assumptions!$D$125*(E80+(Assumptions!$C$32*E74))))+(Assumptions!$E$125*(E103+(Assumptions!$C$32*E97))))</f>
        <v>0</v>
      </c>
      <c r="F126" s="9" t="n">
        <f aca="false">(((Assumptions!$C$125*(F57+(Assumptions!$C$32*F51)))+(Assumptions!$D$125*(F80+(Assumptions!$C$32*F74))))+(Assumptions!$E$125*(F103+(Assumptions!$C$32*F97))))</f>
        <v>0</v>
      </c>
      <c r="G126" s="9" t="n">
        <f aca="false">(((Assumptions!$C$125*(G57+(Assumptions!$C$32*G51)))+(Assumptions!$D$125*(G80+(Assumptions!$C$32*G74))))+(Assumptions!$E$125*(G103+(Assumptions!$C$32*G97))))</f>
        <v>210</v>
      </c>
      <c r="H126" s="9" t="n">
        <f aca="false">(((Assumptions!$C$125*(H57+(Assumptions!$C$32*H51)))+(Assumptions!$D$125*(H80+(Assumptions!$C$32*H74))))+(Assumptions!$E$125*(H103+(Assumptions!$C$32*H97))))</f>
        <v>210</v>
      </c>
      <c r="I126" s="9" t="n">
        <f aca="false">(((Assumptions!$C$125*(I57+(Assumptions!$C$32*I51)))+(Assumptions!$D$125*(I80+(Assumptions!$C$32*I74))))+(Assumptions!$E$125*(I103+(Assumptions!$C$32*I97))))</f>
        <v>210</v>
      </c>
      <c r="J126" s="9" t="n">
        <f aca="false">(((Assumptions!$C$125*(J57+(Assumptions!$C$32*J51)))+(Assumptions!$D$125*(J80+(Assumptions!$C$32*J74))))+(Assumptions!$E$125*(J103+(Assumptions!$C$32*J97))))</f>
        <v>1085</v>
      </c>
      <c r="K126" s="9" t="n">
        <f aca="false">(((Assumptions!$C$125*(K57+(Assumptions!$C$32*K51)))+(Assumptions!$D$125*(K80+(Assumptions!$C$32*K74))))+(Assumptions!$E$125*(K103+(Assumptions!$C$32*K97))))</f>
        <v>1085</v>
      </c>
      <c r="L126" s="9" t="n">
        <f aca="false">(((Assumptions!$C$125*(L57+(Assumptions!$C$32*L51)))+(Assumptions!$D$125*(L80+(Assumptions!$C$32*L74))))+(Assumptions!$E$125*(L103+(Assumptions!$C$32*L97))))</f>
        <v>1085</v>
      </c>
      <c r="M126" s="9" t="n">
        <f aca="false">(((Assumptions!$C$125*(M57+(Assumptions!$C$32*M51)))+(Assumptions!$D$125*(M80+(Assumptions!$C$32*M74))))+(Assumptions!$E$125*(M103+(Assumptions!$C$32*M97))))</f>
        <v>875</v>
      </c>
      <c r="N126" s="9" t="n">
        <f aca="false">(((Assumptions!$C$125*(N57+(Assumptions!$C$32*N51)))+(Assumptions!$D$125*(N80+(Assumptions!$C$32*N74))))+(Assumptions!$E$125*(N103+(Assumptions!$C$32*N97))))</f>
        <v>875</v>
      </c>
      <c r="O126" s="9" t="n">
        <f aca="false">(((Assumptions!$C$125*(O57+(Assumptions!$C$32*O51)))+(Assumptions!$D$125*(O80+(Assumptions!$C$32*O74))))+(Assumptions!$E$125*(O103+(Assumptions!$C$32*O97))))</f>
        <v>875</v>
      </c>
      <c r="P126" s="9" t="n">
        <f aca="false">(((Assumptions!$C$125*(P57+(Assumptions!$C$32*P51)))+(Assumptions!$D$125*(P80+(Assumptions!$C$32*P74))))+(Assumptions!$E$125*(P103+(Assumptions!$C$32*P97))))</f>
        <v>0</v>
      </c>
      <c r="Q126" s="9" t="n">
        <f aca="false">(((Assumptions!$C$125*(Q57+(Assumptions!$C$32*Q51)))+(Assumptions!$D$125*(Q80+(Assumptions!$C$32*Q74))))+(Assumptions!$E$125*(Q103+(Assumptions!$C$32*Q97))))</f>
        <v>0</v>
      </c>
      <c r="R126" s="9" t="n">
        <f aca="false">(((Assumptions!$C$125*(R57+(Assumptions!$C$32*R51)))+(Assumptions!$D$125*(R80+(Assumptions!$C$32*R74))))+(Assumptions!$E$125*(R103+(Assumptions!$C$32*R97))))</f>
        <v>0</v>
      </c>
      <c r="S126" s="9" t="n">
        <f aca="false">(((Assumptions!$C$125*(S57+(Assumptions!$C$32*S51)))+(Assumptions!$D$125*(S80+(Assumptions!$C$32*S74))))+(Assumptions!$E$125*(S103+(Assumptions!$C$32*S97))))</f>
        <v>0</v>
      </c>
      <c r="T126" s="9" t="n">
        <f aca="false">(((Assumptions!$C$125*(T57+(Assumptions!$C$32*T51)))+(Assumptions!$D$125*(T80+(Assumptions!$C$32*T74))))+(Assumptions!$E$125*(T103+(Assumptions!$C$32*T97))))</f>
        <v>1674</v>
      </c>
      <c r="U126" s="9" t="n">
        <f aca="false">(((Assumptions!$C$125*(U57+(Assumptions!$C$32*U51)))+(Assumptions!$D$125*(U80+(Assumptions!$C$32*U74))))+(Assumptions!$E$125*(U103+(Assumptions!$C$32*U97))))</f>
        <v>1884</v>
      </c>
      <c r="V126" s="9" t="n">
        <f aca="false">(((Assumptions!$C$125*(V57+(Assumptions!$C$32*V51)))+(Assumptions!$D$125*(V80+(Assumptions!$C$32*V74))))+(Assumptions!$E$125*(V103+(Assumptions!$C$32*V97))))</f>
        <v>1884</v>
      </c>
      <c r="W126" s="9" t="n">
        <f aca="false">(((Assumptions!$C$125*(W57+(Assumptions!$C$32*W51)))+(Assumptions!$D$125*(W80+(Assumptions!$C$32*W74))))+(Assumptions!$E$125*(W103+(Assumptions!$C$32*W97))))</f>
        <v>1884</v>
      </c>
      <c r="X126" s="9" t="n">
        <f aca="false">(((Assumptions!$C$125*(X57+(Assumptions!$C$32*X51)))+(Assumptions!$D$125*(X80+(Assumptions!$C$32*X74))))+(Assumptions!$E$125*(X103+(Assumptions!$C$32*X97))))</f>
        <v>2969</v>
      </c>
      <c r="Y126" s="9" t="n">
        <f aca="false">(((Assumptions!$C$125*(Y57+(Assumptions!$C$32*Y51)))+(Assumptions!$D$125*(Y80+(Assumptions!$C$32*Y74))))+(Assumptions!$E$125*(Y103+(Assumptions!$C$32*Y97))))</f>
        <v>2969</v>
      </c>
      <c r="Z126" s="9" t="n">
        <f aca="false">(((Assumptions!$C$125*(Z57+(Assumptions!$C$32*Z51)))+(Assumptions!$D$125*(Z80+(Assumptions!$C$32*Z74))))+(Assumptions!$E$125*(Z103+(Assumptions!$C$32*Z97))))</f>
        <v>2969</v>
      </c>
      <c r="AA126" s="9" t="n">
        <f aca="false">(((Assumptions!$C$125*(AA57+(Assumptions!$C$32*AA51)))+(Assumptions!$D$125*(AA80+(Assumptions!$C$32*AA74))))+(Assumptions!$E$125*(AA103+(Assumptions!$C$32*AA97))))</f>
        <v>4054</v>
      </c>
      <c r="AB126" s="9" t="n">
        <f aca="false">(((Assumptions!$C$125*(AB57+(Assumptions!$C$32*AB51)))+(Assumptions!$D$125*(AB80+(Assumptions!$C$32*AB74))))+(Assumptions!$E$125*(AB103+(Assumptions!$C$32*AB97))))</f>
        <v>4324</v>
      </c>
      <c r="AC126" s="9" t="n">
        <f aca="false">(((Assumptions!$C$125*(AC57+(Assumptions!$C$32*AC51)))+(Assumptions!$D$125*(AC80+(Assumptions!$C$32*AC74))))+(Assumptions!$E$125*(AC103+(Assumptions!$C$32*AC97))))</f>
        <v>4324</v>
      </c>
      <c r="AD126" s="9" t="n">
        <f aca="false">(((Assumptions!$C$125*(AD57+(Assumptions!$C$32*AD51)))+(Assumptions!$D$125*(AD80+(Assumptions!$C$32*AD74))))+(Assumptions!$E$125*(AD103+(Assumptions!$C$32*AD97))))</f>
        <v>4534</v>
      </c>
      <c r="AE126" s="9" t="n">
        <f aca="false">(((Assumptions!$C$125*(AE57+(Assumptions!$C$32*AE51)))+(Assumptions!$D$125*(AE80+(Assumptions!$C$32*AE74))))+(Assumptions!$E$125*(AE103+(Assumptions!$C$32*AE97))))</f>
        <v>6416.5</v>
      </c>
      <c r="AF126" s="9" t="n">
        <f aca="false">(((Assumptions!$C$125*(AF57+(Assumptions!$C$32*AF51)))+(Assumptions!$D$125*(AF80+(Assumptions!$C$32*AF74))))+(Assumptions!$E$125*(AF103+(Assumptions!$C$32*AF97))))</f>
        <v>6215.62</v>
      </c>
      <c r="AG126" s="9" t="n">
        <f aca="false">(((Assumptions!$C$125*(AG57+(Assumptions!$C$32*AG51)))+(Assumptions!$D$125*(AG80+(Assumptions!$C$32*AG74))))+(Assumptions!$E$125*(AG103+(Assumptions!$C$32*AG97))))</f>
        <v>6425.62</v>
      </c>
      <c r="AH126" s="9" t="n">
        <f aca="false">(((Assumptions!$C$125*(AH57+(Assumptions!$C$32*AH51)))+(Assumptions!$D$125*(AH80+(Assumptions!$C$32*AH74))))+(Assumptions!$E$125*(AH103+(Assumptions!$C$32*AH97))))</f>
        <v>11078.12</v>
      </c>
      <c r="AI126" s="9" t="n">
        <f aca="false">(((Assumptions!$C$125*(AI57+(Assumptions!$C$32*AI51)))+(Assumptions!$D$125*(AI80+(Assumptions!$C$32*AI74))))+(Assumptions!$E$125*(AI103+(Assumptions!$C$32*AI97))))</f>
        <v>11078.12</v>
      </c>
      <c r="AJ126" s="9" t="n">
        <f aca="false">(((Assumptions!$C$125*(AJ57+(Assumptions!$C$32*AJ51)))+(Assumptions!$D$125*(AJ80+(Assumptions!$C$32*AJ74))))+(Assumptions!$E$125*(AJ103+(Assumptions!$C$32*AJ97))))</f>
        <v>12163.12</v>
      </c>
      <c r="AK126" s="9" t="n">
        <f aca="false">(((Assumptions!$C$125*(AK57+(Assumptions!$C$32*AK51)))+(Assumptions!$D$125*(AK80+(Assumptions!$C$32*AK74))))+(Assumptions!$E$125*(AK103+(Assumptions!$C$32*AK97))))</f>
        <v>17415.62</v>
      </c>
      <c r="AL126" s="9" t="n">
        <f aca="false">(((Assumptions!$C$125*(AL57+(Assumptions!$C$32*AL51)))+(Assumptions!$D$125*(AL80+(Assumptions!$C$32*AL74))))+(Assumptions!$E$125*(AL103+(Assumptions!$C$32*AL97))))</f>
        <v>20565.62</v>
      </c>
      <c r="AN126" s="11" t="n">
        <f aca="false">N126</f>
        <v>875</v>
      </c>
      <c r="AO126" s="11" t="n">
        <f aca="false">Z126</f>
        <v>2969</v>
      </c>
      <c r="AP126" s="11" t="n">
        <f aca="false">AL126</f>
        <v>20565.62</v>
      </c>
    </row>
    <row r="127" customFormat="false" ht="15" hidden="false" customHeight="false" outlineLevel="0" collapsed="false">
      <c r="A127" s="0" t="s">
        <v>933</v>
      </c>
      <c r="B127" s="0" t="s">
        <v>230</v>
      </c>
      <c r="C127" s="9" t="n">
        <f aca="false">(C124-C125)</f>
        <v>0</v>
      </c>
      <c r="D127" s="9" t="n">
        <f aca="false">(D124-D125)</f>
        <v>0</v>
      </c>
      <c r="E127" s="9" t="n">
        <f aca="false">(E124-E125)</f>
        <v>0</v>
      </c>
      <c r="F127" s="9" t="n">
        <f aca="false">(F124-F125)</f>
        <v>0</v>
      </c>
      <c r="G127" s="9" t="n">
        <f aca="false">(G124-G125)</f>
        <v>0</v>
      </c>
      <c r="H127" s="9" t="n">
        <f aca="false">(H124-H125)</f>
        <v>0</v>
      </c>
      <c r="I127" s="9" t="n">
        <f aca="false">(I124-I125)</f>
        <v>0</v>
      </c>
      <c r="J127" s="9" t="n">
        <f aca="false">(J124-J125)</f>
        <v>0</v>
      </c>
      <c r="K127" s="9" t="n">
        <f aca="false">(K124-K125)</f>
        <v>0</v>
      </c>
      <c r="L127" s="9" t="n">
        <f aca="false">(L124-L125)</f>
        <v>0</v>
      </c>
      <c r="M127" s="9" t="n">
        <f aca="false">(M124-M125)</f>
        <v>0</v>
      </c>
      <c r="N127" s="9" t="n">
        <f aca="false">(N124-N125)</f>
        <v>0</v>
      </c>
      <c r="O127" s="9" t="n">
        <f aca="false">(O124-O125)</f>
        <v>0</v>
      </c>
      <c r="P127" s="9" t="n">
        <f aca="false">(P124-P125)</f>
        <v>0</v>
      </c>
      <c r="Q127" s="9" t="n">
        <f aca="false">(Q124-Q125)</f>
        <v>0</v>
      </c>
      <c r="R127" s="9" t="n">
        <f aca="false">(R124-R125)</f>
        <v>0</v>
      </c>
      <c r="S127" s="9" t="n">
        <f aca="false">(S124-S125)</f>
        <v>0</v>
      </c>
      <c r="T127" s="9" t="n">
        <f aca="false">(T124-T125)</f>
        <v>4554</v>
      </c>
      <c r="U127" s="9" t="n">
        <f aca="false">(U124-U125)</f>
        <v>4554</v>
      </c>
      <c r="V127" s="9" t="n">
        <f aca="false">(V124-V125)</f>
        <v>4554</v>
      </c>
      <c r="W127" s="9" t="n">
        <f aca="false">(W124-W125)</f>
        <v>4554</v>
      </c>
      <c r="X127" s="9" t="n">
        <f aca="false">(X124-X125)</f>
        <v>4554</v>
      </c>
      <c r="Y127" s="9" t="n">
        <f aca="false">(Y124-Y125)</f>
        <v>4554</v>
      </c>
      <c r="Z127" s="9" t="n">
        <f aca="false">(Z124-Z125)</f>
        <v>4554</v>
      </c>
      <c r="AA127" s="9" t="n">
        <f aca="false">(AA124-AA125)</f>
        <v>4554</v>
      </c>
      <c r="AB127" s="9" t="n">
        <f aca="false">(AB124-AB125)</f>
        <v>5262.75</v>
      </c>
      <c r="AC127" s="9" t="n">
        <f aca="false">(AC124-AC125)</f>
        <v>5262.75</v>
      </c>
      <c r="AD127" s="9" t="n">
        <f aca="false">(AD124-AD125)</f>
        <v>5262.75</v>
      </c>
      <c r="AE127" s="9" t="n">
        <f aca="false">(AE124-AE125)</f>
        <v>10189.75</v>
      </c>
      <c r="AF127" s="9" t="n">
        <f aca="false">(AF124-AF125)</f>
        <v>10044.022</v>
      </c>
      <c r="AG127" s="9" t="n">
        <f aca="false">(AG124-AG125)</f>
        <v>10044.022</v>
      </c>
      <c r="AH127" s="9" t="n">
        <f aca="false">(AH124-AH125)</f>
        <v>21913.1053333333</v>
      </c>
      <c r="AI127" s="9" t="n">
        <f aca="false">(AI124-AI125)</f>
        <v>21913.1053333333</v>
      </c>
      <c r="AJ127" s="9" t="n">
        <f aca="false">(AJ124-AJ125)</f>
        <v>21913.1053333333</v>
      </c>
      <c r="AK127" s="9" t="n">
        <f aca="false">(AK124-AK125)</f>
        <v>35982.1886666667</v>
      </c>
      <c r="AL127" s="9" t="n">
        <f aca="false">(AL124-AL125)</f>
        <v>35982.1886666667</v>
      </c>
      <c r="AN127" s="11" t="n">
        <f aca="false">SUM(C127:N127)</f>
        <v>0</v>
      </c>
      <c r="AO127" s="11" t="n">
        <f aca="false">SUM(O127:Z127)</f>
        <v>31878</v>
      </c>
      <c r="AP127" s="11" t="n">
        <f aca="false">SUM(AA127:AL127)</f>
        <v>188323.737333333</v>
      </c>
    </row>
    <row r="128" customFormat="false" ht="15" hidden="false" customHeight="false" outlineLevel="0" collapsed="false">
      <c r="A128" s="0" t="s">
        <v>934</v>
      </c>
      <c r="B128" s="0" t="s">
        <v>230</v>
      </c>
      <c r="C128" s="9" t="n">
        <f aca="false">(((C62+C85)+C108)-C125)</f>
        <v>0</v>
      </c>
      <c r="D128" s="9" t="n">
        <f aca="false">(((D62+D85)+D108)-D125)</f>
        <v>0</v>
      </c>
      <c r="E128" s="9" t="n">
        <f aca="false">(((E62+E85)+E108)-E125)</f>
        <v>0</v>
      </c>
      <c r="F128" s="9" t="n">
        <f aca="false">(((F62+F85)+F108)-F125)</f>
        <v>0</v>
      </c>
      <c r="G128" s="9" t="n">
        <f aca="false">(((G62+G85)+G108)-G125)</f>
        <v>0</v>
      </c>
      <c r="H128" s="9" t="n">
        <f aca="false">(((H62+H85)+H108)-H125)</f>
        <v>0</v>
      </c>
      <c r="I128" s="9" t="n">
        <f aca="false">(((I62+I85)+I108)-I125)</f>
        <v>0</v>
      </c>
      <c r="J128" s="9" t="n">
        <f aca="false">(((J62+J85)+J108)-J125)</f>
        <v>0</v>
      </c>
      <c r="K128" s="9" t="n">
        <f aca="false">(((K62+K85)+K108)-K125)</f>
        <v>0</v>
      </c>
      <c r="L128" s="9" t="n">
        <f aca="false">(((L62+L85)+L108)-L125)</f>
        <v>0</v>
      </c>
      <c r="M128" s="9" t="n">
        <f aca="false">(((M62+M85)+M108)-M125)</f>
        <v>0</v>
      </c>
      <c r="N128" s="9" t="n">
        <f aca="false">(((N62+N85)+N108)-N125)</f>
        <v>0</v>
      </c>
      <c r="O128" s="9" t="n">
        <f aca="false">(((O62+O85)+O108)-O125)</f>
        <v>0</v>
      </c>
      <c r="P128" s="9" t="n">
        <f aca="false">(((P62+P85)+P108)-P125)</f>
        <v>0</v>
      </c>
      <c r="Q128" s="9" t="n">
        <f aca="false">(((Q62+Q85)+Q108)-Q125)</f>
        <v>0</v>
      </c>
      <c r="R128" s="9" t="n">
        <f aca="false">(((R62+R85)+R108)-R125)</f>
        <v>0</v>
      </c>
      <c r="S128" s="9" t="n">
        <f aca="false">(((S62+S85)+S108)-S125)</f>
        <v>0</v>
      </c>
      <c r="T128" s="9" t="n">
        <f aca="false">(((T62+T85)+T108)-T125)</f>
        <v>54648</v>
      </c>
      <c r="U128" s="9" t="n">
        <f aca="false">(((U62+U85)+U108)-U125)</f>
        <v>0</v>
      </c>
      <c r="V128" s="9" t="n">
        <f aca="false">(((V62+V85)+V108)-V125)</f>
        <v>0</v>
      </c>
      <c r="W128" s="9" t="n">
        <f aca="false">(((W62+W85)+W108)-W125)</f>
        <v>0</v>
      </c>
      <c r="X128" s="9" t="n">
        <f aca="false">(((X62+X85)+X108)-X125)</f>
        <v>0</v>
      </c>
      <c r="Y128" s="9" t="n">
        <f aca="false">(((Y62+Y85)+Y108)-Y125)</f>
        <v>0</v>
      </c>
      <c r="Z128" s="9" t="n">
        <f aca="false">(((Z62+Z85)+Z108)-Z125)</f>
        <v>0</v>
      </c>
      <c r="AA128" s="9" t="n">
        <f aca="false">(((AA62+AA85)+AA108)-AA125)</f>
        <v>0</v>
      </c>
      <c r="AB128" s="9" t="n">
        <f aca="false">(((AB62+AB85)+AB108)-AB125)</f>
        <v>8505</v>
      </c>
      <c r="AC128" s="9" t="n">
        <f aca="false">(((AC62+AC85)+AC108)-AC125)</f>
        <v>0</v>
      </c>
      <c r="AD128" s="9" t="n">
        <f aca="false">(((AD62+AD85)+AD108)-AD125)</f>
        <v>0</v>
      </c>
      <c r="AE128" s="9" t="n">
        <f aca="false">(((AE62+AE85)+AE108)-AE125)</f>
        <v>59124</v>
      </c>
      <c r="AF128" s="9" t="n">
        <f aca="false">(((AF62+AF85)+AF108)-AF125)</f>
        <v>52899.264</v>
      </c>
      <c r="AG128" s="9" t="n">
        <f aca="false">(((AG62+AG85)+AG108)-AG125)</f>
        <v>0</v>
      </c>
      <c r="AH128" s="9" t="n">
        <f aca="false">(((AH62+AH85)+AH108)-AH125)</f>
        <v>142429</v>
      </c>
      <c r="AI128" s="9" t="n">
        <f aca="false">(((AI62+AI85)+AI108)-AI125)</f>
        <v>0</v>
      </c>
      <c r="AJ128" s="9" t="n">
        <f aca="false">(((AJ62+AJ85)+AJ108)-AJ125)</f>
        <v>0</v>
      </c>
      <c r="AK128" s="9" t="n">
        <f aca="false">(((AK62+AK85)+AK108)-AK125)</f>
        <v>168829</v>
      </c>
      <c r="AL128" s="9" t="n">
        <f aca="false">(((AL62+AL85)+AL108)-AL125)</f>
        <v>0</v>
      </c>
      <c r="AN128" s="11" t="n">
        <f aca="false">SUM(C128:N128)</f>
        <v>0</v>
      </c>
      <c r="AO128" s="11" t="n">
        <f aca="false">SUM(O128:Z128)</f>
        <v>54648</v>
      </c>
      <c r="AP128" s="11" t="n">
        <f aca="false">SUM(AA128:AL128)</f>
        <v>431786.264</v>
      </c>
    </row>
    <row r="129" customFormat="false" ht="15" hidden="false" customHeight="false" outlineLevel="0" collapsed="false">
      <c r="A129" s="0" t="s">
        <v>935</v>
      </c>
      <c r="B129" s="0" t="s">
        <v>230</v>
      </c>
      <c r="C129" s="9" t="n">
        <f aca="false">((C63+C86)+C109)</f>
        <v>0</v>
      </c>
      <c r="D129" s="9" t="n">
        <f aca="false">((D63+D86)+D109)</f>
        <v>0</v>
      </c>
      <c r="E129" s="9" t="n">
        <f aca="false">((E63+E86)+E109)</f>
        <v>0</v>
      </c>
      <c r="F129" s="9" t="n">
        <f aca="false">((F63+F86)+F109)</f>
        <v>0</v>
      </c>
      <c r="G129" s="9" t="n">
        <f aca="false">((G63+G86)+G109)</f>
        <v>0</v>
      </c>
      <c r="H129" s="9" t="n">
        <f aca="false">((H63+H86)+H109)</f>
        <v>0</v>
      </c>
      <c r="I129" s="9" t="n">
        <f aca="false">((I63+I86)+I109)</f>
        <v>0</v>
      </c>
      <c r="J129" s="9" t="n">
        <f aca="false">((J63+J86)+J109)</f>
        <v>0</v>
      </c>
      <c r="K129" s="9" t="n">
        <f aca="false">((K63+K86)+K109)</f>
        <v>0</v>
      </c>
      <c r="L129" s="9" t="n">
        <f aca="false">((L63+L86)+L109)</f>
        <v>0</v>
      </c>
      <c r="M129" s="9" t="n">
        <f aca="false">((M63+M86)+M109)</f>
        <v>0</v>
      </c>
      <c r="N129" s="9" t="n">
        <f aca="false">((N63+N86)+N109)</f>
        <v>0</v>
      </c>
      <c r="O129" s="9" t="n">
        <f aca="false">((O63+O86)+O109)</f>
        <v>0</v>
      </c>
      <c r="P129" s="9" t="n">
        <f aca="false">((P63+P86)+P109)</f>
        <v>0</v>
      </c>
      <c r="Q129" s="9" t="n">
        <f aca="false">((Q63+Q86)+Q109)</f>
        <v>0</v>
      </c>
      <c r="R129" s="9" t="n">
        <f aca="false">((R63+R86)+R109)</f>
        <v>0</v>
      </c>
      <c r="S129" s="9" t="n">
        <f aca="false">((S63+S86)+S109)</f>
        <v>0</v>
      </c>
      <c r="T129" s="9" t="n">
        <f aca="false">((T63+T86)+T109)</f>
        <v>0</v>
      </c>
      <c r="U129" s="9" t="n">
        <f aca="false">((U63+U86)+U109)</f>
        <v>2500</v>
      </c>
      <c r="V129" s="9" t="n">
        <f aca="false">((V63+V86)+V109)</f>
        <v>2500</v>
      </c>
      <c r="W129" s="9" t="n">
        <f aca="false">((W63+W86)+W109)</f>
        <v>2500</v>
      </c>
      <c r="X129" s="9" t="n">
        <f aca="false">((X63+X86)+X109)</f>
        <v>10000</v>
      </c>
      <c r="Y129" s="9" t="n">
        <f aca="false">((Y63+Y86)+Y109)</f>
        <v>10000</v>
      </c>
      <c r="Z129" s="9" t="n">
        <f aca="false">((Z63+Z86)+Z109)</f>
        <v>10000</v>
      </c>
      <c r="AA129" s="9" t="n">
        <f aca="false">((AA63+AA86)+AA109)</f>
        <v>17500</v>
      </c>
      <c r="AB129" s="9" t="n">
        <f aca="false">((AB63+AB86)+AB109)</f>
        <v>17500</v>
      </c>
      <c r="AC129" s="9" t="n">
        <f aca="false">((AC63+AC86)+AC109)</f>
        <v>17500</v>
      </c>
      <c r="AD129" s="9" t="n">
        <f aca="false">((AD63+AD86)+AD109)</f>
        <v>20000</v>
      </c>
      <c r="AE129" s="9" t="n">
        <f aca="false">((AE63+AE86)+AE109)</f>
        <v>20000</v>
      </c>
      <c r="AF129" s="9" t="n">
        <f aca="false">((AF63+AF86)+AF109)</f>
        <v>20000</v>
      </c>
      <c r="AG129" s="9" t="n">
        <f aca="false">((AG63+AG86)+AG109)</f>
        <v>22500</v>
      </c>
      <c r="AH129" s="9" t="n">
        <f aca="false">((AH63+AH86)+AH109)</f>
        <v>22500</v>
      </c>
      <c r="AI129" s="9" t="n">
        <f aca="false">((AI63+AI86)+AI109)</f>
        <v>22500</v>
      </c>
      <c r="AJ129" s="9" t="n">
        <f aca="false">((AJ63+AJ86)+AJ109)</f>
        <v>30000</v>
      </c>
      <c r="AK129" s="9" t="n">
        <f aca="false">((AK63+AK86)+AK109)</f>
        <v>30000</v>
      </c>
      <c r="AL129" s="9" t="n">
        <f aca="false">((AL63+AL86)+AL109)</f>
        <v>40000</v>
      </c>
      <c r="AN129" s="11" t="n">
        <f aca="false">SUM(C129:N129)</f>
        <v>0</v>
      </c>
      <c r="AO129" s="11" t="n">
        <f aca="false">SUM(O129:Z129)</f>
        <v>37500</v>
      </c>
      <c r="AP129" s="11" t="n">
        <f aca="false">SUM(AA129:AL129)</f>
        <v>280000</v>
      </c>
    </row>
    <row r="130" customFormat="false" ht="15" hidden="false" customHeight="false" outlineLevel="0" collapsed="false">
      <c r="A130" s="0" t="s">
        <v>936</v>
      </c>
      <c r="B130" s="0" t="s">
        <v>230</v>
      </c>
      <c r="C130" s="9" t="n">
        <f aca="false">((C64+C87)+C110)</f>
        <v>0</v>
      </c>
      <c r="D130" s="9" t="n">
        <f aca="false">((D64+D87)+D110)</f>
        <v>0</v>
      </c>
      <c r="E130" s="9" t="n">
        <f aca="false">((E64+E87)+E110)</f>
        <v>0</v>
      </c>
      <c r="F130" s="9" t="n">
        <f aca="false">((F64+F87)+F110)</f>
        <v>0</v>
      </c>
      <c r="G130" s="9" t="n">
        <f aca="false">((G64+G87)+G110)</f>
        <v>0</v>
      </c>
      <c r="H130" s="9" t="n">
        <f aca="false">((H64+H87)+H110)</f>
        <v>0</v>
      </c>
      <c r="I130" s="9" t="n">
        <f aca="false">((I64+I87)+I110)</f>
        <v>0</v>
      </c>
      <c r="J130" s="9" t="n">
        <f aca="false">((J64+J87)+J110)</f>
        <v>0</v>
      </c>
      <c r="K130" s="9" t="n">
        <f aca="false">((K64+K87)+K110)</f>
        <v>0</v>
      </c>
      <c r="L130" s="9" t="n">
        <f aca="false">((L64+L87)+L110)</f>
        <v>0</v>
      </c>
      <c r="M130" s="9" t="n">
        <f aca="false">((M64+M87)+M110)</f>
        <v>0</v>
      </c>
      <c r="N130" s="9" t="n">
        <f aca="false">((N64+N87)+N110)</f>
        <v>0</v>
      </c>
      <c r="O130" s="9" t="n">
        <f aca="false">((O64+O87)+O110)</f>
        <v>0</v>
      </c>
      <c r="P130" s="9" t="n">
        <f aca="false">((P64+P87)+P110)</f>
        <v>0</v>
      </c>
      <c r="Q130" s="9" t="n">
        <f aca="false">((Q64+Q87)+Q110)</f>
        <v>0</v>
      </c>
      <c r="R130" s="9" t="n">
        <f aca="false">((R64+R87)+R110)</f>
        <v>0</v>
      </c>
      <c r="S130" s="9" t="n">
        <f aca="false">((S64+S87)+S110)</f>
        <v>0</v>
      </c>
      <c r="T130" s="9" t="n">
        <f aca="false">((T64+T87)+T110)</f>
        <v>0</v>
      </c>
      <c r="U130" s="9" t="n">
        <f aca="false">((U64+U87)+U110)</f>
        <v>15000</v>
      </c>
      <c r="V130" s="9" t="n">
        <f aca="false">((V64+V87)+V110)</f>
        <v>0</v>
      </c>
      <c r="W130" s="9" t="n">
        <f aca="false">((W64+W87)+W110)</f>
        <v>0</v>
      </c>
      <c r="X130" s="9" t="n">
        <f aca="false">((X64+X87)+X110)</f>
        <v>45000</v>
      </c>
      <c r="Y130" s="9" t="n">
        <f aca="false">((Y64+Y87)+Y110)</f>
        <v>0</v>
      </c>
      <c r="Z130" s="9" t="n">
        <f aca="false">((Z64+Z87)+Z110)</f>
        <v>0</v>
      </c>
      <c r="AA130" s="9" t="n">
        <f aca="false">((AA64+AA87)+AA110)</f>
        <v>60000</v>
      </c>
      <c r="AB130" s="9" t="n">
        <f aca="false">((AB64+AB87)+AB110)</f>
        <v>0</v>
      </c>
      <c r="AC130" s="9" t="n">
        <f aca="false">((AC64+AC87)+AC110)</f>
        <v>0</v>
      </c>
      <c r="AD130" s="9" t="n">
        <f aca="false">((AD64+AD87)+AD110)</f>
        <v>60000</v>
      </c>
      <c r="AE130" s="9" t="n">
        <f aca="false">((AE64+AE87)+AE110)</f>
        <v>0</v>
      </c>
      <c r="AF130" s="9" t="n">
        <f aca="false">((AF64+AF87)+AF110)</f>
        <v>0</v>
      </c>
      <c r="AG130" s="9" t="n">
        <f aca="false">((AG64+AG87)+AG110)</f>
        <v>75000</v>
      </c>
      <c r="AH130" s="9" t="n">
        <f aca="false">((AH64+AH87)+AH110)</f>
        <v>0</v>
      </c>
      <c r="AI130" s="9" t="n">
        <f aca="false">((AI64+AI87)+AI110)</f>
        <v>0</v>
      </c>
      <c r="AJ130" s="9" t="n">
        <f aca="false">((AJ64+AJ87)+AJ110)</f>
        <v>105000</v>
      </c>
      <c r="AK130" s="9" t="n">
        <f aca="false">((AK64+AK87)+AK110)</f>
        <v>0</v>
      </c>
      <c r="AL130" s="9" t="n">
        <f aca="false">((AL64+AL87)+AL110)</f>
        <v>60000</v>
      </c>
      <c r="AN130" s="11" t="n">
        <f aca="false">SUM(C130:N130)</f>
        <v>0</v>
      </c>
      <c r="AO130" s="11" t="n">
        <f aca="false">SUM(O130:Z130)</f>
        <v>60000</v>
      </c>
      <c r="AP130" s="11" t="n">
        <f aca="false">SUM(AA130:AL130)</f>
        <v>360000</v>
      </c>
    </row>
    <row r="131" customFormat="false" ht="15" hidden="false" customHeight="false" outlineLevel="0" collapsed="false">
      <c r="A131" s="0" t="s">
        <v>937</v>
      </c>
      <c r="B131" s="0" t="s">
        <v>230</v>
      </c>
      <c r="C131" s="9" t="n">
        <f aca="false">((C66+C89)+C112)</f>
        <v>0</v>
      </c>
      <c r="D131" s="9" t="n">
        <f aca="false">((D66+D89)+D112)</f>
        <v>0</v>
      </c>
      <c r="E131" s="9" t="n">
        <f aca="false">((E66+E89)+E112)</f>
        <v>0</v>
      </c>
      <c r="F131" s="9" t="n">
        <f aca="false">((F66+F89)+F112)</f>
        <v>0</v>
      </c>
      <c r="G131" s="9" t="n">
        <f aca="false">((G66+G89)+G112)</f>
        <v>0</v>
      </c>
      <c r="H131" s="9" t="n">
        <f aca="false">((H66+H89)+H112)</f>
        <v>0</v>
      </c>
      <c r="I131" s="9" t="n">
        <f aca="false">((I66+I89)+I112)</f>
        <v>0</v>
      </c>
      <c r="J131" s="9" t="n">
        <f aca="false">((J66+J89)+J112)</f>
        <v>0</v>
      </c>
      <c r="K131" s="9" t="n">
        <f aca="false">((K66+K89)+K112)</f>
        <v>0</v>
      </c>
      <c r="L131" s="9" t="n">
        <f aca="false">((L66+L89)+L112)</f>
        <v>0</v>
      </c>
      <c r="M131" s="9" t="n">
        <f aca="false">((M66+M89)+M112)</f>
        <v>0</v>
      </c>
      <c r="N131" s="9" t="n">
        <f aca="false">((N66+N89)+N112)</f>
        <v>0</v>
      </c>
      <c r="O131" s="9" t="n">
        <f aca="false">((O66+O89)+O112)</f>
        <v>0</v>
      </c>
      <c r="P131" s="9" t="n">
        <f aca="false">((P66+P89)+P112)</f>
        <v>0</v>
      </c>
      <c r="Q131" s="9" t="n">
        <f aca="false">((Q66+Q89)+Q112)</f>
        <v>0</v>
      </c>
      <c r="R131" s="9" t="n">
        <f aca="false">((R66+R89)+R112)</f>
        <v>0</v>
      </c>
      <c r="S131" s="9" t="n">
        <f aca="false">((S66+S89)+S112)</f>
        <v>0</v>
      </c>
      <c r="T131" s="9" t="n">
        <f aca="false">((T66+T89)+T112)</f>
        <v>0</v>
      </c>
      <c r="U131" s="9" t="n">
        <f aca="false">((U66+U89)+U112)</f>
        <v>7000</v>
      </c>
      <c r="V131" s="9" t="n">
        <f aca="false">((V66+V89)+V112)</f>
        <v>7000</v>
      </c>
      <c r="W131" s="9" t="n">
        <f aca="false">((W66+W89)+W112)</f>
        <v>7000</v>
      </c>
      <c r="X131" s="9" t="n">
        <f aca="false">((X66+X89)+X112)</f>
        <v>22333.3333333333</v>
      </c>
      <c r="Y131" s="9" t="n">
        <f aca="false">((Y66+Y89)+Y112)</f>
        <v>22333.3333333333</v>
      </c>
      <c r="Z131" s="9" t="n">
        <f aca="false">((Z66+Z89)+Z112)</f>
        <v>22333.3333333333</v>
      </c>
      <c r="AA131" s="9" t="n">
        <f aca="false">((AA66+AA89)+AA112)</f>
        <v>29333.3333333333</v>
      </c>
      <c r="AB131" s="9" t="n">
        <f aca="false">((AB66+AB89)+AB112)</f>
        <v>29333.3333333333</v>
      </c>
      <c r="AC131" s="9" t="n">
        <f aca="false">((AC66+AC89)+AC112)</f>
        <v>29333.3333333333</v>
      </c>
      <c r="AD131" s="9" t="n">
        <f aca="false">((AD66+AD89)+AD112)</f>
        <v>29333.3333333333</v>
      </c>
      <c r="AE131" s="9" t="n">
        <f aca="false">((AE66+AE89)+AE112)</f>
        <v>36333.3333333333</v>
      </c>
      <c r="AF131" s="9" t="n">
        <f aca="false">((AF66+AF89)+AF112)</f>
        <v>36333.3333333333</v>
      </c>
      <c r="AG131" s="9" t="n">
        <f aca="false">((AG66+AG89)+AG112)</f>
        <v>43333.3333333333</v>
      </c>
      <c r="AH131" s="9" t="n">
        <f aca="false">((AH66+AH89)+AH112)</f>
        <v>58666.6666666667</v>
      </c>
      <c r="AI131" s="9" t="n">
        <f aca="false">((AI66+AI89)+AI112)</f>
        <v>58666.6666666667</v>
      </c>
      <c r="AJ131" s="9" t="n">
        <f aca="false">((AJ66+AJ89)+AJ112)</f>
        <v>74000</v>
      </c>
      <c r="AK131" s="9" t="n">
        <f aca="false">((AK66+AK89)+AK112)</f>
        <v>81000</v>
      </c>
      <c r="AL131" s="9" t="n">
        <f aca="false">((AL66+AL89)+AL112)</f>
        <v>116333.333333333</v>
      </c>
      <c r="AN131" s="11" t="n">
        <f aca="false">SUM(C131:N131)</f>
        <v>0</v>
      </c>
      <c r="AO131" s="11" t="n">
        <f aca="false">SUM(O131:Z131)</f>
        <v>88000</v>
      </c>
      <c r="AP131" s="11" t="n">
        <f aca="false">SUM(AA131:AL131)</f>
        <v>622000</v>
      </c>
    </row>
    <row r="132" customFormat="false" ht="15" hidden="false" customHeight="false" outlineLevel="0" collapsed="false">
      <c r="A132" s="0" t="s">
        <v>938</v>
      </c>
      <c r="B132" s="0" t="s">
        <v>230</v>
      </c>
      <c r="C132" s="9" t="n">
        <f aca="false">((C67+C90)+C113)</f>
        <v>0</v>
      </c>
      <c r="D132" s="9" t="n">
        <f aca="false">((D67+D90)+D113)</f>
        <v>0</v>
      </c>
      <c r="E132" s="9" t="n">
        <f aca="false">((E67+E90)+E113)</f>
        <v>0</v>
      </c>
      <c r="F132" s="9" t="n">
        <f aca="false">((F67+F90)+F113)</f>
        <v>0</v>
      </c>
      <c r="G132" s="9" t="n">
        <f aca="false">((G67+G90)+G113)</f>
        <v>0</v>
      </c>
      <c r="H132" s="9" t="n">
        <f aca="false">((H67+H90)+H113)</f>
        <v>0</v>
      </c>
      <c r="I132" s="9" t="n">
        <f aca="false">((I67+I90)+I113)</f>
        <v>0</v>
      </c>
      <c r="J132" s="9" t="n">
        <f aca="false">((J67+J90)+J113)</f>
        <v>0</v>
      </c>
      <c r="K132" s="9" t="n">
        <f aca="false">((K67+K90)+K113)</f>
        <v>0</v>
      </c>
      <c r="L132" s="9" t="n">
        <f aca="false">((L67+L90)+L113)</f>
        <v>0</v>
      </c>
      <c r="M132" s="9" t="n">
        <f aca="false">((M67+M90)+M113)</f>
        <v>0</v>
      </c>
      <c r="N132" s="9" t="n">
        <f aca="false">((N67+N90)+N113)</f>
        <v>0</v>
      </c>
      <c r="O132" s="9" t="n">
        <f aca="false">((O67+O90)+O113)</f>
        <v>0</v>
      </c>
      <c r="P132" s="9" t="n">
        <f aca="false">((P67+P90)+P113)</f>
        <v>0</v>
      </c>
      <c r="Q132" s="9" t="n">
        <f aca="false">((Q67+Q90)+Q113)</f>
        <v>0</v>
      </c>
      <c r="R132" s="9" t="n">
        <f aca="false">((R67+R90)+R113)</f>
        <v>0</v>
      </c>
      <c r="S132" s="9" t="n">
        <f aca="false">((S67+S90)+S113)</f>
        <v>0</v>
      </c>
      <c r="T132" s="9" t="n">
        <f aca="false">((T67+T90)+T113)</f>
        <v>0</v>
      </c>
      <c r="U132" s="9" t="n">
        <f aca="false">((U67+U90)+U113)</f>
        <v>21000</v>
      </c>
      <c r="V132" s="9" t="n">
        <f aca="false">((V67+V90)+V113)</f>
        <v>0</v>
      </c>
      <c r="W132" s="9" t="n">
        <f aca="false">((W67+W90)+W113)</f>
        <v>0</v>
      </c>
      <c r="X132" s="9" t="n">
        <f aca="false">((X67+X90)+X113)</f>
        <v>67000</v>
      </c>
      <c r="Y132" s="9" t="n">
        <f aca="false">((Y67+Y90)+Y113)</f>
        <v>0</v>
      </c>
      <c r="Z132" s="9" t="n">
        <f aca="false">((Z67+Z90)+Z113)</f>
        <v>0</v>
      </c>
      <c r="AA132" s="9" t="n">
        <f aca="false">((AA67+AA90)+AA113)</f>
        <v>88000</v>
      </c>
      <c r="AB132" s="9" t="n">
        <f aca="false">((AB67+AB90)+AB113)</f>
        <v>0</v>
      </c>
      <c r="AC132" s="9" t="n">
        <f aca="false">((AC67+AC90)+AC113)</f>
        <v>0</v>
      </c>
      <c r="AD132" s="9" t="n">
        <f aca="false">((AD67+AD90)+AD113)</f>
        <v>88000</v>
      </c>
      <c r="AE132" s="9" t="n">
        <f aca="false">((AE67+AE90)+AE113)</f>
        <v>21000</v>
      </c>
      <c r="AF132" s="9" t="n">
        <f aca="false">((AF67+AF90)+AF113)</f>
        <v>0</v>
      </c>
      <c r="AG132" s="9" t="n">
        <f aca="false">((AG67+AG90)+AG113)</f>
        <v>109000</v>
      </c>
      <c r="AH132" s="9" t="n">
        <f aca="false">((AH67+AH90)+AH113)</f>
        <v>67000</v>
      </c>
      <c r="AI132" s="9" t="n">
        <f aca="false">((AI67+AI90)+AI113)</f>
        <v>0</v>
      </c>
      <c r="AJ132" s="9" t="n">
        <f aca="false">((AJ67+AJ90)+AJ113)</f>
        <v>155000</v>
      </c>
      <c r="AK132" s="9" t="n">
        <f aca="false">((AK67+AK90)+AK113)</f>
        <v>88000</v>
      </c>
      <c r="AL132" s="9" t="n">
        <f aca="false">((AL67+AL90)+AL113)</f>
        <v>106000</v>
      </c>
      <c r="AN132" s="11" t="n">
        <f aca="false">SUM(C132:N132)</f>
        <v>0</v>
      </c>
      <c r="AO132" s="11" t="n">
        <f aca="false">SUM(O132:Z132)</f>
        <v>88000</v>
      </c>
      <c r="AP132" s="11" t="n">
        <f aca="false">SUM(AA132:AL132)</f>
        <v>722000</v>
      </c>
    </row>
    <row r="133" customFormat="false" ht="15" hidden="false" customHeight="false" outlineLevel="0" collapsed="false">
      <c r="A133" s="0" t="s">
        <v>939</v>
      </c>
      <c r="B133" s="0" t="s">
        <v>285</v>
      </c>
      <c r="C133" s="9" t="n">
        <f aca="false">((C68+C91)+C114)</f>
        <v>0</v>
      </c>
      <c r="D133" s="9" t="n">
        <f aca="false">((D68+D91)+D114)</f>
        <v>0</v>
      </c>
      <c r="E133" s="9" t="n">
        <f aca="false">((E68+E91)+E114)</f>
        <v>0</v>
      </c>
      <c r="F133" s="9" t="n">
        <f aca="false">((F68+F91)+F114)</f>
        <v>0</v>
      </c>
      <c r="G133" s="9" t="n">
        <f aca="false">((G68+G91)+G114)</f>
        <v>115</v>
      </c>
      <c r="H133" s="9" t="n">
        <f aca="false">((H68+H91)+H114)</f>
        <v>0</v>
      </c>
      <c r="I133" s="9" t="n">
        <f aca="false">((I68+I91)+I114)</f>
        <v>0</v>
      </c>
      <c r="J133" s="9" t="n">
        <f aca="false">((J68+J91)+J114)</f>
        <v>330</v>
      </c>
      <c r="K133" s="9" t="n">
        <f aca="false">((K68+K91)+K114)</f>
        <v>0</v>
      </c>
      <c r="L133" s="9" t="n">
        <f aca="false">((L68+L91)+L114)</f>
        <v>0</v>
      </c>
      <c r="M133" s="9" t="n">
        <f aca="false">((M68+M91)+M114)</f>
        <v>0</v>
      </c>
      <c r="N133" s="9" t="n">
        <f aca="false">((N68+N91)+N114)</f>
        <v>0</v>
      </c>
      <c r="O133" s="9" t="n">
        <f aca="false">((O68+O91)+O114)</f>
        <v>0</v>
      </c>
      <c r="P133" s="9" t="n">
        <f aca="false">((P68+P91)+P114)</f>
        <v>0</v>
      </c>
      <c r="Q133" s="9" t="n">
        <f aca="false">((Q68+Q91)+Q114)</f>
        <v>0</v>
      </c>
      <c r="R133" s="9" t="n">
        <f aca="false">((R68+R91)+R114)</f>
        <v>0</v>
      </c>
      <c r="S133" s="9" t="n">
        <f aca="false">((S68+S91)+S114)</f>
        <v>0</v>
      </c>
      <c r="T133" s="9" t="n">
        <f aca="false">((T68+T91)+T114)</f>
        <v>0</v>
      </c>
      <c r="U133" s="9" t="n">
        <f aca="false">((U68+U91)+U114)</f>
        <v>159</v>
      </c>
      <c r="V133" s="9" t="n">
        <f aca="false">((V68+V91)+V114)</f>
        <v>0</v>
      </c>
      <c r="W133" s="9" t="n">
        <f aca="false">((W68+W91)+W114)</f>
        <v>0</v>
      </c>
      <c r="X133" s="9" t="n">
        <f aca="false">((X68+X91)+X114)</f>
        <v>533</v>
      </c>
      <c r="Y133" s="9" t="n">
        <f aca="false">((Y68+Y91)+Y114)</f>
        <v>0</v>
      </c>
      <c r="Z133" s="9" t="n">
        <f aca="false">((Z68+Z91)+Z114)</f>
        <v>0</v>
      </c>
      <c r="AA133" s="9" t="n">
        <f aca="false">((AA68+AA91)+AA114)</f>
        <v>692</v>
      </c>
      <c r="AB133" s="9" t="n">
        <f aca="false">((AB68+AB91)+AB114)</f>
        <v>0</v>
      </c>
      <c r="AC133" s="9" t="n">
        <f aca="false">((AC68+AC91)+AC114)</f>
        <v>0</v>
      </c>
      <c r="AD133" s="9" t="n">
        <f aca="false">((AD68+AD91)+AD114)</f>
        <v>692</v>
      </c>
      <c r="AE133" s="9" t="n">
        <f aca="false">((AE68+AE91)+AE114)</f>
        <v>159</v>
      </c>
      <c r="AF133" s="9" t="n">
        <f aca="false">((AF68+AF91)+AF114)</f>
        <v>0</v>
      </c>
      <c r="AG133" s="9" t="n">
        <f aca="false">((AG68+AG91)+AG114)</f>
        <v>851</v>
      </c>
      <c r="AH133" s="9" t="n">
        <f aca="false">((AH68+AH91)+AH114)</f>
        <v>533</v>
      </c>
      <c r="AI133" s="9" t="n">
        <f aca="false">((AI68+AI91)+AI114)</f>
        <v>0</v>
      </c>
      <c r="AJ133" s="9" t="n">
        <f aca="false">((AJ68+AJ91)+AJ114)</f>
        <v>1225</v>
      </c>
      <c r="AK133" s="9" t="n">
        <f aca="false">((AK68+AK91)+AK114)</f>
        <v>692</v>
      </c>
      <c r="AL133" s="9" t="n">
        <f aca="false">((AL68+AL91)+AL114)</f>
        <v>844</v>
      </c>
      <c r="AN133" s="11" t="n">
        <f aca="false">SUM(C133:N133)</f>
        <v>445</v>
      </c>
      <c r="AO133" s="11" t="n">
        <f aca="false">SUM(O133:Z133)</f>
        <v>692</v>
      </c>
      <c r="AP133" s="11" t="n">
        <f aca="false">SUM(AA133:AL133)</f>
        <v>5688</v>
      </c>
    </row>
    <row r="134" customFormat="false" ht="15" hidden="false" customHeight="false" outlineLevel="0" collapsed="false">
      <c r="A134" s="0" t="s">
        <v>940</v>
      </c>
      <c r="B134" s="0" t="s">
        <v>230</v>
      </c>
      <c r="C134" s="9" t="n">
        <f aca="false">((((C130+C132)+(C55*C58))+(C78*C81))+(C101*C104))</f>
        <v>0</v>
      </c>
      <c r="D134" s="9" t="n">
        <f aca="false">((((D130+D132)+(D55*D58))+(D78*D81))+(D101*D104))</f>
        <v>0</v>
      </c>
      <c r="E134" s="9" t="n">
        <f aca="false">((((E130+E132)+(E55*E58))+(E78*E81))+(E101*E104))</f>
        <v>0</v>
      </c>
      <c r="F134" s="9" t="n">
        <f aca="false">((((F130+F132)+(F55*F58))+(F78*F81))+(F101*F104))</f>
        <v>0</v>
      </c>
      <c r="G134" s="9" t="n">
        <f aca="false">((((G130+G132)+(G55*G58))+(G78*G81))+(G101*G104))</f>
        <v>0</v>
      </c>
      <c r="H134" s="9" t="n">
        <f aca="false">((((H130+H132)+(H55*H58))+(H78*H81))+(H101*H104))</f>
        <v>0</v>
      </c>
      <c r="I134" s="9" t="n">
        <f aca="false">((((I130+I132)+(I55*I58))+(I78*I81))+(I101*I104))</f>
        <v>0</v>
      </c>
      <c r="J134" s="9" t="n">
        <f aca="false">((((J130+J132)+(J55*J58))+(J78*J81))+(J101*J104))</f>
        <v>0</v>
      </c>
      <c r="K134" s="9" t="n">
        <f aca="false">((((K130+K132)+(K55*K58))+(K78*K81))+(K101*K104))</f>
        <v>0</v>
      </c>
      <c r="L134" s="9" t="n">
        <f aca="false">((((L130+L132)+(L55*L58))+(L78*L81))+(L101*L104))</f>
        <v>0</v>
      </c>
      <c r="M134" s="9" t="n">
        <f aca="false">((((M130+M132)+(M55*M58))+(M78*M81))+(M101*M104))</f>
        <v>0</v>
      </c>
      <c r="N134" s="9" t="n">
        <f aca="false">((((N130+N132)+(N55*N58))+(N78*N81))+(N101*N104))</f>
        <v>0</v>
      </c>
      <c r="O134" s="9" t="n">
        <f aca="false">((((O130+O132)+(O55*O58))+(O78*O81))+(O101*O104))</f>
        <v>0</v>
      </c>
      <c r="P134" s="9" t="n">
        <f aca="false">((((P130+P132)+(P55*P58))+(P78*P81))+(P101*P104))</f>
        <v>0</v>
      </c>
      <c r="Q134" s="9" t="n">
        <f aca="false">((((Q130+Q132)+(Q55*Q58))+(Q78*Q81))+(Q101*Q104))</f>
        <v>0</v>
      </c>
      <c r="R134" s="9" t="n">
        <f aca="false">((((R130+R132)+(R55*R58))+(R78*R81))+(R101*R104))</f>
        <v>0</v>
      </c>
      <c r="S134" s="9" t="n">
        <f aca="false">((((S130+S132)+(S55*S58))+(S78*S81))+(S101*S104))</f>
        <v>0</v>
      </c>
      <c r="T134" s="9" t="n">
        <f aca="false">((((T130+T132)+(T55*T58))+(T78*T81))+(T101*T104))</f>
        <v>54648</v>
      </c>
      <c r="U134" s="9" t="n">
        <f aca="false">((((U130+U132)+(U55*U58))+(U78*U81))+(U101*U104))</f>
        <v>36000</v>
      </c>
      <c r="V134" s="9" t="n">
        <f aca="false">((((V130+V132)+(V55*V58))+(V78*V81))+(V101*V104))</f>
        <v>0</v>
      </c>
      <c r="W134" s="9" t="n">
        <f aca="false">((((W130+W132)+(W55*W58))+(W78*W81))+(W101*W104))</f>
        <v>0</v>
      </c>
      <c r="X134" s="9" t="n">
        <f aca="false">((((X130+X132)+(X55*X58))+(X78*X81))+(X101*X104))</f>
        <v>112000</v>
      </c>
      <c r="Y134" s="9" t="n">
        <f aca="false">((((Y130+Y132)+(Y55*Y58))+(Y78*Y81))+(Y101*Y104))</f>
        <v>0</v>
      </c>
      <c r="Z134" s="9" t="n">
        <f aca="false">((((Z130+Z132)+(Z55*Z58))+(Z78*Z81))+(Z101*Z104))</f>
        <v>0</v>
      </c>
      <c r="AA134" s="9" t="n">
        <f aca="false">((((AA130+AA132)+(AA55*AA58))+(AA78*AA81))+(AA101*AA104))</f>
        <v>148000</v>
      </c>
      <c r="AB134" s="9" t="n">
        <f aca="false">((((AB130+AB132)+(AB55*AB58))+(AB78*AB81))+(AB101*AB104))</f>
        <v>11880</v>
      </c>
      <c r="AC134" s="9" t="n">
        <f aca="false">((((AC130+AC132)+(AC55*AC58))+(AC78*AC81))+(AC101*AC104))</f>
        <v>0</v>
      </c>
      <c r="AD134" s="9" t="n">
        <f aca="false">((((AD130+AD132)+(AD55*AD58))+(AD78*AD81))+(AD101*AD104))</f>
        <v>148000</v>
      </c>
      <c r="AE134" s="9" t="n">
        <f aca="false">((((AE130+AE132)+(AE55*AE58))+(AE78*AE81))+(AE101*AE104))</f>
        <v>89574</v>
      </c>
      <c r="AF134" s="9" t="n">
        <f aca="false">((((AF130+AF132)+(AF55*AF58))+(AF78*AF81))+(AF101*AF104))</f>
        <v>0</v>
      </c>
      <c r="AG134" s="9" t="n">
        <f aca="false">((((AG130+AG132)+(AG55*AG58))+(AG78*AG81))+(AG101*AG104))</f>
        <v>184000</v>
      </c>
      <c r="AH134" s="9" t="n">
        <f aca="false">((((AH130+AH132)+(AH55*AH58))+(AH78*AH81))+(AH101*AH104))</f>
        <v>222254</v>
      </c>
      <c r="AI134" s="9" t="n">
        <f aca="false">((((AI130+AI132)+(AI55*AI58))+(AI78*AI81))+(AI101*AI104))</f>
        <v>0</v>
      </c>
      <c r="AJ134" s="9" t="n">
        <f aca="false">((((AJ130+AJ132)+(AJ55*AJ58))+(AJ78*AJ81))+(AJ101*AJ104))</f>
        <v>260000</v>
      </c>
      <c r="AK134" s="9" t="n">
        <f aca="false">((((AK130+AK132)+(AK55*AK58))+(AK78*AK81))+(AK101*AK104))</f>
        <v>269654</v>
      </c>
      <c r="AL134" s="9" t="n">
        <f aca="false">((((AL130+AL132)+(AL55*AL58))+(AL78*AL81))+(AL101*AL104))</f>
        <v>166000</v>
      </c>
      <c r="AN134" s="11" t="n">
        <f aca="false">SUM(C134:N134)</f>
        <v>0</v>
      </c>
      <c r="AO134" s="11" t="n">
        <f aca="false">SUM(O134:Z134)</f>
        <v>202648</v>
      </c>
      <c r="AP134" s="11" t="n">
        <f aca="false">SUM(AA134:AL134)</f>
        <v>1499362</v>
      </c>
    </row>
    <row r="135" customFormat="false" ht="15" hidden="false" customHeight="false" outlineLevel="0" collapsed="false">
      <c r="A135" s="21" t="s">
        <v>941</v>
      </c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</row>
    <row r="136" customFormat="false" ht="15" hidden="false" customHeight="false" outlineLevel="0" collapsed="false">
      <c r="A136" s="0" t="s">
        <v>942</v>
      </c>
      <c r="B136" s="0" t="s">
        <v>230</v>
      </c>
      <c r="C136" s="9" t="n">
        <f aca="false">IF((C$18&gt;=Assumptions!$C$41),(((Assumptions!$C$42*$C$10)/12)*(((C57*Assumptions!$C$128)+(C80*Assumptions!$D$128))+(C103*Assumptions!$E$128))),0)</f>
        <v>0</v>
      </c>
      <c r="D136" s="9" t="n">
        <f aca="false">IF((D$18&gt;=Assumptions!$C$41),(((Assumptions!$C$42*$C$10)/12)*(((D57*Assumptions!$C$128)+(D80*Assumptions!$D$128))+(D103*Assumptions!$E$128))),0)</f>
        <v>0</v>
      </c>
      <c r="E136" s="9" t="n">
        <f aca="false">IF((E$18&gt;=Assumptions!$C$41),(((Assumptions!$C$42*$C$10)/12)*(((E57*Assumptions!$C$128)+(E80*Assumptions!$D$128))+(E103*Assumptions!$E$128))),0)</f>
        <v>0</v>
      </c>
      <c r="F136" s="9" t="n">
        <f aca="false">IF((F$18&gt;=Assumptions!$C$41),(((Assumptions!$C$42*$C$10)/12)*(((F57*Assumptions!$C$128)+(F80*Assumptions!$D$128))+(F103*Assumptions!$E$128))),0)</f>
        <v>0</v>
      </c>
      <c r="G136" s="9" t="n">
        <f aca="false">IF((G$18&gt;=Assumptions!$C$41),(((Assumptions!$C$42*$C$10)/12)*(((G57*Assumptions!$C$128)+(G80*Assumptions!$D$128))+(G103*Assumptions!$E$128))),0)</f>
        <v>0</v>
      </c>
      <c r="H136" s="9" t="n">
        <f aca="false">IF((H$18&gt;=Assumptions!$C$41),(((Assumptions!$C$42*$C$10)/12)*(((H57*Assumptions!$C$128)+(H80*Assumptions!$D$128))+(H103*Assumptions!$E$128))),0)</f>
        <v>0</v>
      </c>
      <c r="I136" s="9" t="n">
        <f aca="false">IF((I$18&gt;=Assumptions!$C$41),(((Assumptions!$C$42*$C$10)/12)*(((I57*Assumptions!$C$128)+(I80*Assumptions!$D$128))+(I103*Assumptions!$E$128))),0)</f>
        <v>0</v>
      </c>
      <c r="J136" s="9" t="n">
        <f aca="false">IF((J$18&gt;=Assumptions!$C$41),(((Assumptions!$C$42*$C$10)/12)*(((J57*Assumptions!$C$128)+(J80*Assumptions!$D$128))+(J103*Assumptions!$E$128))),0)</f>
        <v>0</v>
      </c>
      <c r="K136" s="9" t="n">
        <f aca="false">IF((K$18&gt;=Assumptions!$C$41),(((Assumptions!$C$42*$C$10)/12)*(((K57*Assumptions!$C$128)+(K80*Assumptions!$D$128))+(K103*Assumptions!$E$128))),0)</f>
        <v>0</v>
      </c>
      <c r="L136" s="9" t="n">
        <f aca="false">IF((L$18&gt;=Assumptions!$C$41),(((Assumptions!$C$42*$C$10)/12)*(((L57*Assumptions!$C$128)+(L80*Assumptions!$D$128))+(L103*Assumptions!$E$128))),0)</f>
        <v>0</v>
      </c>
      <c r="M136" s="9" t="n">
        <f aca="false">IF((M$18&gt;=Assumptions!$C$41),(((Assumptions!$C$42*$C$10)/12)*(((M57*Assumptions!$C$128)+(M80*Assumptions!$D$128))+(M103*Assumptions!$E$128))),0)</f>
        <v>0</v>
      </c>
      <c r="N136" s="9" t="n">
        <f aca="false">IF((N$18&gt;=Assumptions!$C$41),(((Assumptions!$C$42*$C$10)/12)*(((N57*Assumptions!$C$128)+(N80*Assumptions!$D$128))+(N103*Assumptions!$E$128))),0)</f>
        <v>0</v>
      </c>
      <c r="O136" s="9" t="n">
        <f aca="false">IF((O$18&gt;=Assumptions!$C$41),(((Assumptions!$C$42*$C$10)/12)*(((O57*Assumptions!$C$128)+(O80*Assumptions!$D$128))+(O103*Assumptions!$E$128))),0)</f>
        <v>0</v>
      </c>
      <c r="P136" s="9" t="n">
        <f aca="false">IF((P$18&gt;=Assumptions!$C$41),(((Assumptions!$C$42*$C$10)/12)*(((P57*Assumptions!$C$128)+(P80*Assumptions!$D$128))+(P103*Assumptions!$E$128))),0)</f>
        <v>0</v>
      </c>
      <c r="Q136" s="9" t="n">
        <f aca="false">IF((Q$18&gt;=Assumptions!$C$41),(((Assumptions!$C$42*$C$10)/12)*(((Q57*Assumptions!$C$128)+(Q80*Assumptions!$D$128))+(Q103*Assumptions!$E$128))),0)</f>
        <v>0</v>
      </c>
      <c r="R136" s="9" t="n">
        <f aca="false">IF((R$18&gt;=Assumptions!$C$41),(((Assumptions!$C$42*$C$10)/12)*(((R57*Assumptions!$C$128)+(R80*Assumptions!$D$128))+(R103*Assumptions!$E$128))),0)</f>
        <v>0</v>
      </c>
      <c r="S136" s="9" t="n">
        <f aca="false">IF((S$18&gt;=Assumptions!$C$41),(((Assumptions!$C$42*$C$10)/12)*(((S57*Assumptions!$C$128)+(S80*Assumptions!$D$128))+(S103*Assumptions!$E$128))),0)</f>
        <v>0</v>
      </c>
      <c r="T136" s="9" t="n">
        <f aca="false">IF((T$18&gt;=Assumptions!$C$41),(((Assumptions!$C$42*$C$10)/12)*(((T57*Assumptions!$C$128)+(T80*Assumptions!$D$128))+(T103*Assumptions!$E$128))),0)</f>
        <v>0</v>
      </c>
      <c r="U136" s="9" t="n">
        <f aca="false">IF((U$18&gt;=Assumptions!$C$41),(((Assumptions!$C$42*$C$10)/12)*(((U57*Assumptions!$C$128)+(U80*Assumptions!$D$128))+(U103*Assumptions!$E$128))),0)</f>
        <v>0</v>
      </c>
      <c r="V136" s="9" t="n">
        <f aca="false">IF((V$18&gt;=Assumptions!$C$41),(((Assumptions!$C$42*$C$10)/12)*(((V57*Assumptions!$C$128)+(V80*Assumptions!$D$128))+(V103*Assumptions!$E$128))),0)</f>
        <v>432</v>
      </c>
      <c r="W136" s="9" t="n">
        <f aca="false">IF((W$18&gt;=Assumptions!$C$41),(((Assumptions!$C$42*$C$10)/12)*(((W57*Assumptions!$C$128)+(W80*Assumptions!$D$128))+(W103*Assumptions!$E$128))),0)</f>
        <v>432</v>
      </c>
      <c r="X136" s="9" t="n">
        <f aca="false">IF((X$18&gt;=Assumptions!$C$41),(((Assumptions!$C$42*$C$10)/12)*(((X57*Assumptions!$C$128)+(X80*Assumptions!$D$128))+(X103*Assumptions!$E$128))),0)</f>
        <v>432</v>
      </c>
      <c r="Y136" s="9" t="n">
        <f aca="false">IF((Y$18&gt;=Assumptions!$C$41),(((Assumptions!$C$42*$C$10)/12)*(((Y57*Assumptions!$C$128)+(Y80*Assumptions!$D$128))+(Y103*Assumptions!$E$128))),0)</f>
        <v>432</v>
      </c>
      <c r="Z136" s="9" t="n">
        <f aca="false">IF((Z$18&gt;=Assumptions!$C$41),(((Assumptions!$C$42*$C$10)/12)*(((Z57*Assumptions!$C$128)+(Z80*Assumptions!$D$128))+(Z103*Assumptions!$E$128))),0)</f>
        <v>432</v>
      </c>
      <c r="AA136" s="9" t="n">
        <f aca="false">IF((AA$18&gt;=Assumptions!$C$41),(((Assumptions!$C$42*$C$10)/12)*(((AA57*Assumptions!$C$128)+(AA80*Assumptions!$D$128))+(AA103*Assumptions!$E$128))),0)</f>
        <v>432</v>
      </c>
      <c r="AB136" s="9" t="n">
        <f aca="false">IF((AB$18&gt;=Assumptions!$C$41),(((Assumptions!$C$42*$C$10)/12)*(((AB57*Assumptions!$C$128)+(AB80*Assumptions!$D$128))+(AB103*Assumptions!$E$128))),0)</f>
        <v>522</v>
      </c>
      <c r="AC136" s="9" t="n">
        <f aca="false">IF((AC$18&gt;=Assumptions!$C$41),(((Assumptions!$C$42*$C$10)/12)*(((AC57*Assumptions!$C$128)+(AC80*Assumptions!$D$128))+(AC103*Assumptions!$E$128))),0)</f>
        <v>522</v>
      </c>
      <c r="AD136" s="9" t="n">
        <f aca="false">IF((AD$18&gt;=Assumptions!$C$41),(((Assumptions!$C$42*$C$10)/12)*(((AD57*Assumptions!$C$128)+(AD80*Assumptions!$D$128))+(AD103*Assumptions!$E$128))),0)</f>
        <v>522</v>
      </c>
      <c r="AE136" s="9" t="n">
        <f aca="false">IF((AE$18&gt;=Assumptions!$C$41),(((Assumptions!$C$42*$C$10)/12)*(((AE57*Assumptions!$C$128)+(AE80*Assumptions!$D$128))+(AE103*Assumptions!$E$128))),0)</f>
        <v>1055</v>
      </c>
      <c r="AF136" s="9" t="n">
        <f aca="false">IF((AF$18&gt;=Assumptions!$C$41),(((Assumptions!$C$42*$C$10)/12)*(((AF57*Assumptions!$C$128)+(AF80*Assumptions!$D$128))+(AF103*Assumptions!$E$128))),0)</f>
        <v>1003.16</v>
      </c>
      <c r="AG136" s="9" t="n">
        <f aca="false">IF((AG$18&gt;=Assumptions!$C$41),(((Assumptions!$C$42*$C$10)/12)*(((AG57*Assumptions!$C$128)+(AG80*Assumptions!$D$128))+(AG103*Assumptions!$E$128))),0)</f>
        <v>1003.16</v>
      </c>
      <c r="AH136" s="9" t="n">
        <f aca="false">IF((AH$18&gt;=Assumptions!$C$41),(((Assumptions!$C$42*$C$10)/12)*(((AH57*Assumptions!$C$128)+(AH80*Assumptions!$D$128))+(AH103*Assumptions!$E$128))),0)</f>
        <v>2226.16</v>
      </c>
      <c r="AI136" s="9" t="n">
        <f aca="false">IF((AI$18&gt;=Assumptions!$C$41),(((Assumptions!$C$42*$C$10)/12)*(((AI57*Assumptions!$C$128)+(AI80*Assumptions!$D$128))+(AI103*Assumptions!$E$128))),0)</f>
        <v>2226.16</v>
      </c>
      <c r="AJ136" s="9" t="n">
        <f aca="false">IF((AJ$18&gt;=Assumptions!$C$41),(((Assumptions!$C$42*$C$10)/12)*(((AJ57*Assumptions!$C$128)+(AJ80*Assumptions!$D$128))+(AJ103*Assumptions!$E$128))),0)</f>
        <v>2226.16</v>
      </c>
      <c r="AK136" s="9" t="n">
        <f aca="false">IF((AK$18&gt;=Assumptions!$C$41),(((Assumptions!$C$42*$C$10)/12)*(((AK57*Assumptions!$C$128)+(AK80*Assumptions!$D$128))+(AK103*Assumptions!$E$128))),0)</f>
        <v>3649.16</v>
      </c>
      <c r="AL136" s="9" t="n">
        <f aca="false">IF((AL$18&gt;=Assumptions!$C$41),(((Assumptions!$C$42*$C$10)/12)*(((AL57*Assumptions!$C$128)+(AL80*Assumptions!$D$128))+(AL103*Assumptions!$E$128))),0)</f>
        <v>3649.16</v>
      </c>
      <c r="AN136" s="11" t="n">
        <f aca="false">SUM(C136:N136)</f>
        <v>0</v>
      </c>
      <c r="AO136" s="11" t="n">
        <f aca="false">SUM(O136:Z136)</f>
        <v>2160</v>
      </c>
      <c r="AP136" s="11" t="n">
        <f aca="false">SUM(AA136:AL136)</f>
        <v>19036.12</v>
      </c>
    </row>
    <row r="137" customFormat="false" ht="15" hidden="false" customHeight="false" outlineLevel="0" collapsed="false">
      <c r="A137" s="0" t="s">
        <v>943</v>
      </c>
      <c r="B137" s="0" t="s">
        <v>230</v>
      </c>
      <c r="C137" s="9" t="n">
        <f aca="false">IF((C$18&gt;=Assumptions!$C$43),(((Assumptions!$C$44*$C$10)/12)*((C80*12000)+(C103*25000))),0)</f>
        <v>0</v>
      </c>
      <c r="D137" s="9" t="n">
        <f aca="false">IF((D$18&gt;=Assumptions!$C$43),(((Assumptions!$C$44*$C$10)/12)*((D80*12000)+(D103*25000))),0)</f>
        <v>0</v>
      </c>
      <c r="E137" s="9" t="n">
        <f aca="false">IF((E$18&gt;=Assumptions!$C$43),(((Assumptions!$C$44*$C$10)/12)*((E80*12000)+(E103*25000))),0)</f>
        <v>0</v>
      </c>
      <c r="F137" s="9" t="n">
        <f aca="false">IF((F$18&gt;=Assumptions!$C$43),(((Assumptions!$C$44*$C$10)/12)*((F80*12000)+(F103*25000))),0)</f>
        <v>0</v>
      </c>
      <c r="G137" s="9" t="n">
        <f aca="false">IF((G$18&gt;=Assumptions!$C$43),(((Assumptions!$C$44*$C$10)/12)*((G80*12000)+(G103*25000))),0)</f>
        <v>0</v>
      </c>
      <c r="H137" s="9" t="n">
        <f aca="false">IF((H$18&gt;=Assumptions!$C$43),(((Assumptions!$C$44*$C$10)/12)*((H80*12000)+(H103*25000))),0)</f>
        <v>0</v>
      </c>
      <c r="I137" s="9" t="n">
        <f aca="false">IF((I$18&gt;=Assumptions!$C$43),(((Assumptions!$C$44*$C$10)/12)*((I80*12000)+(I103*25000))),0)</f>
        <v>0</v>
      </c>
      <c r="J137" s="9" t="n">
        <f aca="false">IF((J$18&gt;=Assumptions!$C$43),(((Assumptions!$C$44*$C$10)/12)*((J80*12000)+(J103*25000))),0)</f>
        <v>0</v>
      </c>
      <c r="K137" s="9" t="n">
        <f aca="false">IF((K$18&gt;=Assumptions!$C$43),(((Assumptions!$C$44*$C$10)/12)*((K80*12000)+(K103*25000))),0)</f>
        <v>0</v>
      </c>
      <c r="L137" s="9" t="n">
        <f aca="false">IF((L$18&gt;=Assumptions!$C$43),(((Assumptions!$C$44*$C$10)/12)*((L80*12000)+(L103*25000))),0)</f>
        <v>0</v>
      </c>
      <c r="M137" s="9" t="n">
        <f aca="false">IF((M$18&gt;=Assumptions!$C$43),(((Assumptions!$C$44*$C$10)/12)*((M80*12000)+(M103*25000))),0)</f>
        <v>0</v>
      </c>
      <c r="N137" s="9" t="n">
        <f aca="false">IF((N$18&gt;=Assumptions!$C$43),(((Assumptions!$C$44*$C$10)/12)*((N80*12000)+(N103*25000))),0)</f>
        <v>0</v>
      </c>
      <c r="O137" s="9" t="n">
        <f aca="false">IF((O$18&gt;=Assumptions!$C$43),(((Assumptions!$C$44*$C$10)/12)*((O80*12000)+(O103*25000))),0)</f>
        <v>0</v>
      </c>
      <c r="P137" s="9" t="n">
        <f aca="false">IF((P$18&gt;=Assumptions!$C$43),(((Assumptions!$C$44*$C$10)/12)*((P80*12000)+(P103*25000))),0)</f>
        <v>0</v>
      </c>
      <c r="Q137" s="9" t="n">
        <f aca="false">IF((Q$18&gt;=Assumptions!$C$43),(((Assumptions!$C$44*$C$10)/12)*((Q80*12000)+(Q103*25000))),0)</f>
        <v>0</v>
      </c>
      <c r="R137" s="9" t="n">
        <f aca="false">IF((R$18&gt;=Assumptions!$C$43),(((Assumptions!$C$44*$C$10)/12)*((R80*12000)+(R103*25000))),0)</f>
        <v>0</v>
      </c>
      <c r="S137" s="9" t="n">
        <f aca="false">IF((S$18&gt;=Assumptions!$C$43),(((Assumptions!$C$44*$C$10)/12)*((S80*12000)+(S103*25000))),0)</f>
        <v>0</v>
      </c>
      <c r="T137" s="9" t="n">
        <f aca="false">IF((T$18&gt;=Assumptions!$C$43),(((Assumptions!$C$44*$C$10)/12)*((T80*12000)+(T103*25000))),0)</f>
        <v>0</v>
      </c>
      <c r="U137" s="9" t="n">
        <f aca="false">IF((U$18&gt;=Assumptions!$C$43),(((Assumptions!$C$44*$C$10)/12)*((U80*12000)+(U103*25000))),0)</f>
        <v>0</v>
      </c>
      <c r="V137" s="9" t="n">
        <f aca="false">IF((V$18&gt;=Assumptions!$C$43),(((Assumptions!$C$44*$C$10)/12)*((V80*12000)+(V103*25000))),0)</f>
        <v>0</v>
      </c>
      <c r="W137" s="9" t="n">
        <f aca="false">IF((W$18&gt;=Assumptions!$C$43),(((Assumptions!$C$44*$C$10)/12)*((W80*12000)+(W103*25000))),0)</f>
        <v>0</v>
      </c>
      <c r="X137" s="9" t="n">
        <f aca="false">IF((X$18&gt;=Assumptions!$C$43),(((Assumptions!$C$44*$C$10)/12)*((X80*12000)+(X103*25000))),0)</f>
        <v>0</v>
      </c>
      <c r="Y137" s="9" t="n">
        <f aca="false">IF((Y$18&gt;=Assumptions!$C$43),(((Assumptions!$C$44*$C$10)/12)*((Y80*12000)+(Y103*25000))),0)</f>
        <v>0</v>
      </c>
      <c r="Z137" s="9" t="n">
        <f aca="false">IF((Z$18&gt;=Assumptions!$C$43),(((Assumptions!$C$44*$C$10)/12)*((Z80*12000)+(Z103*25000))),0)</f>
        <v>0</v>
      </c>
      <c r="AA137" s="9" t="n">
        <f aca="false">IF((AA$18&gt;=Assumptions!$C$43),(((Assumptions!$C$44*$C$10)/12)*((AA80*12000)+(AA103*25000))),0)</f>
        <v>0</v>
      </c>
      <c r="AB137" s="9" t="n">
        <f aca="false">IF((AB$18&gt;=Assumptions!$C$43),(((Assumptions!$C$44*$C$10)/12)*((AB80*12000)+(AB103*25000))),0)</f>
        <v>0</v>
      </c>
      <c r="AC137" s="9" t="n">
        <f aca="false">IF((AC$18&gt;=Assumptions!$C$43),(((Assumptions!$C$44*$C$10)/12)*((AC80*12000)+(AC103*25000))),0)</f>
        <v>0</v>
      </c>
      <c r="AD137" s="9" t="n">
        <f aca="false">IF((AD$18&gt;=Assumptions!$C$43),(((Assumptions!$C$44*$C$10)/12)*((AD80*12000)+(AD103*25000))),0)</f>
        <v>0</v>
      </c>
      <c r="AE137" s="9" t="n">
        <f aca="false">IF((AE$18&gt;=Assumptions!$C$43),(((Assumptions!$C$44*$C$10)/12)*((AE80*12000)+(AE103*25000))),0)</f>
        <v>0</v>
      </c>
      <c r="AF137" s="9" t="n">
        <f aca="false">IF((AF$18&gt;=Assumptions!$C$43),(((Assumptions!$C$44*$C$10)/12)*((AF80*12000)+(AF103*25000))),0)</f>
        <v>132.03</v>
      </c>
      <c r="AG137" s="9" t="n">
        <f aca="false">IF((AG$18&gt;=Assumptions!$C$43),(((Assumptions!$C$44*$C$10)/12)*((AG80*12000)+(AG103*25000))),0)</f>
        <v>132.03</v>
      </c>
      <c r="AH137" s="9" t="n">
        <f aca="false">IF((AH$18&gt;=Assumptions!$C$43),(((Assumptions!$C$44*$C$10)/12)*((AH80*12000)+(AH103*25000))),0)</f>
        <v>342.78</v>
      </c>
      <c r="AI137" s="9" t="n">
        <f aca="false">IF((AI$18&gt;=Assumptions!$C$43),(((Assumptions!$C$44*$C$10)/12)*((AI80*12000)+(AI103*25000))),0)</f>
        <v>342.78</v>
      </c>
      <c r="AJ137" s="9" t="n">
        <f aca="false">IF((AJ$18&gt;=Assumptions!$C$43),(((Assumptions!$C$44*$C$10)/12)*((AJ80*12000)+(AJ103*25000))),0)</f>
        <v>342.78</v>
      </c>
      <c r="AK137" s="9" t="n">
        <f aca="false">IF((AK$18&gt;=Assumptions!$C$43),(((Assumptions!$C$44*$C$10)/12)*((AK80*12000)+(AK103*25000))),0)</f>
        <v>553.53</v>
      </c>
      <c r="AL137" s="9" t="n">
        <f aca="false">IF((AL$18&gt;=Assumptions!$C$43),(((Assumptions!$C$44*$C$10)/12)*((AL80*12000)+(AL103*25000))),0)</f>
        <v>553.53</v>
      </c>
      <c r="AN137" s="11" t="n">
        <f aca="false">SUM(C137:N137)</f>
        <v>0</v>
      </c>
      <c r="AO137" s="11" t="n">
        <f aca="false">SUM(O137:Z137)</f>
        <v>0</v>
      </c>
      <c r="AP137" s="11" t="n">
        <f aca="false">SUM(AA137:AL137)</f>
        <v>2399.46</v>
      </c>
    </row>
    <row r="138" customFormat="false" ht="15" hidden="false" customHeight="false" outlineLevel="0" collapsed="false">
      <c r="A138" s="0" t="s">
        <v>944</v>
      </c>
      <c r="B138" s="0" t="s">
        <v>852</v>
      </c>
      <c r="C138" s="14" t="n">
        <f aca="false">IF((C$18&gt;=Assumptions!$C$45),(INDEX(Schedules!$C$14:$AL$14,C$18)*$C$7),0)</f>
        <v>0</v>
      </c>
      <c r="D138" s="14" t="n">
        <f aca="false">IF((D$18&gt;=Assumptions!$C$45),(INDEX(Schedules!$C$14:$AL$14,D$18)*$C$7),0)</f>
        <v>0</v>
      </c>
      <c r="E138" s="14" t="n">
        <f aca="false">IF((E$18&gt;=Assumptions!$C$45),(INDEX(Schedules!$C$14:$AL$14,E$18)*$C$7),0)</f>
        <v>0</v>
      </c>
      <c r="F138" s="14" t="n">
        <f aca="false">IF((F$18&gt;=Assumptions!$C$45),(INDEX(Schedules!$C$14:$AL$14,F$18)*$C$7),0)</f>
        <v>0</v>
      </c>
      <c r="G138" s="14" t="n">
        <f aca="false">IF((G$18&gt;=Assumptions!$C$45),(INDEX(Schedules!$C$14:$AL$14,G$18)*$C$7),0)</f>
        <v>0</v>
      </c>
      <c r="H138" s="14" t="n">
        <f aca="false">IF((H$18&gt;=Assumptions!$C$45),(INDEX(Schedules!$C$14:$AL$14,H$18)*$C$7),0)</f>
        <v>0</v>
      </c>
      <c r="I138" s="14" t="n">
        <f aca="false">IF((I$18&gt;=Assumptions!$C$45),(INDEX(Schedules!$C$14:$AL$14,I$18)*$C$7),0)</f>
        <v>0</v>
      </c>
      <c r="J138" s="14" t="n">
        <f aca="false">IF((J$18&gt;=Assumptions!$C$45),(INDEX(Schedules!$C$14:$AL$14,J$18)*$C$7),0)</f>
        <v>0</v>
      </c>
      <c r="K138" s="14" t="n">
        <f aca="false">IF((K$18&gt;=Assumptions!$C$45),(INDEX(Schedules!$C$14:$AL$14,K$18)*$C$7),0)</f>
        <v>0</v>
      </c>
      <c r="L138" s="14" t="n">
        <f aca="false">IF((L$18&gt;=Assumptions!$C$45),(INDEX(Schedules!$C$14:$AL$14,L$18)*$C$7),0)</f>
        <v>0</v>
      </c>
      <c r="M138" s="14" t="n">
        <f aca="false">IF((M$18&gt;=Assumptions!$C$45),(INDEX(Schedules!$C$14:$AL$14,M$18)*$C$7),0)</f>
        <v>0</v>
      </c>
      <c r="N138" s="14" t="n">
        <f aca="false">IF((N$18&gt;=Assumptions!$C$45),(INDEX(Schedules!$C$14:$AL$14,N$18)*$C$7),0)</f>
        <v>0</v>
      </c>
      <c r="O138" s="14" t="n">
        <f aca="false">IF((O$18&gt;=Assumptions!$C$45),(INDEX(Schedules!$C$14:$AL$14,O$18)*$C$7),0)</f>
        <v>0</v>
      </c>
      <c r="P138" s="14" t="n">
        <f aca="false">IF((P$18&gt;=Assumptions!$C$45),(INDEX(Schedules!$C$14:$AL$14,P$18)*$C$7),0)</f>
        <v>0</v>
      </c>
      <c r="Q138" s="14" t="n">
        <f aca="false">IF((Q$18&gt;=Assumptions!$C$45),(INDEX(Schedules!$C$14:$AL$14,Q$18)*$C$7),0)</f>
        <v>0</v>
      </c>
      <c r="R138" s="14" t="n">
        <f aca="false">IF((R$18&gt;=Assumptions!$C$45),(INDEX(Schedules!$C$14:$AL$14,R$18)*$C$7),0)</f>
        <v>0</v>
      </c>
      <c r="S138" s="14" t="n">
        <f aca="false">IF((S$18&gt;=Assumptions!$C$45),(INDEX(Schedules!$C$14:$AL$14,S$18)*$C$7),0)</f>
        <v>0</v>
      </c>
      <c r="T138" s="14" t="n">
        <f aca="false">IF((T$18&gt;=Assumptions!$C$45),(INDEX(Schedules!$C$14:$AL$14,T$18)*$C$7),0)</f>
        <v>0</v>
      </c>
      <c r="U138" s="14" t="n">
        <f aca="false">IF((U$18&gt;=Assumptions!$C$45),(INDEX(Schedules!$C$14:$AL$14,U$18)*$C$7),0)</f>
        <v>0</v>
      </c>
      <c r="V138" s="14" t="n">
        <f aca="false">IF((V$18&gt;=Assumptions!$C$45),(INDEX(Schedules!$C$14:$AL$14,V$18)*$C$7),0)</f>
        <v>0</v>
      </c>
      <c r="W138" s="14" t="n">
        <f aca="false">IF((W$18&gt;=Assumptions!$C$45),(INDEX(Schedules!$C$14:$AL$14,W$18)*$C$7),0)</f>
        <v>0</v>
      </c>
      <c r="X138" s="14" t="n">
        <f aca="false">IF((X$18&gt;=Assumptions!$C$45),(INDEX(Schedules!$C$14:$AL$14,X$18)*$C$7),0)</f>
        <v>0</v>
      </c>
      <c r="Y138" s="14" t="n">
        <f aca="false">IF((Y$18&gt;=Assumptions!$C$45),(INDEX(Schedules!$C$14:$AL$14,Y$18)*$C$7),0)</f>
        <v>0</v>
      </c>
      <c r="Z138" s="14" t="n">
        <f aca="false">IF((Z$18&gt;=Assumptions!$C$45),(INDEX(Schedules!$C$14:$AL$14,Z$18)*$C$7),0)</f>
        <v>0</v>
      </c>
      <c r="AA138" s="14" t="n">
        <f aca="false">IF((AA$18&gt;=Assumptions!$C$45),(INDEX(Schedules!$C$14:$AL$14,AA$18)*$C$7),0)</f>
        <v>3</v>
      </c>
      <c r="AB138" s="14" t="n">
        <f aca="false">IF((AB$18&gt;=Assumptions!$C$45),(INDEX(Schedules!$C$14:$AL$14,AB$18)*$C$7),0)</f>
        <v>3</v>
      </c>
      <c r="AC138" s="14" t="n">
        <f aca="false">IF((AC$18&gt;=Assumptions!$C$45),(INDEX(Schedules!$C$14:$AL$14,AC$18)*$C$7),0)</f>
        <v>3</v>
      </c>
      <c r="AD138" s="14" t="n">
        <f aca="false">IF((AD$18&gt;=Assumptions!$C$45),(INDEX(Schedules!$C$14:$AL$14,AD$18)*$C$7),0)</f>
        <v>3</v>
      </c>
      <c r="AE138" s="14" t="n">
        <f aca="false">IF((AE$18&gt;=Assumptions!$C$45),(INDEX(Schedules!$C$14:$AL$14,AE$18)*$C$7),0)</f>
        <v>3</v>
      </c>
      <c r="AF138" s="14" t="n">
        <f aca="false">IF((AF$18&gt;=Assumptions!$C$45),(INDEX(Schedules!$C$14:$AL$14,AF$18)*$C$7),0)</f>
        <v>3</v>
      </c>
      <c r="AG138" s="14" t="n">
        <f aca="false">IF((AG$18&gt;=Assumptions!$C$45),(INDEX(Schedules!$C$14:$AL$14,AG$18)*$C$7),0)</f>
        <v>6</v>
      </c>
      <c r="AH138" s="14" t="n">
        <f aca="false">IF((AH$18&gt;=Assumptions!$C$45),(INDEX(Schedules!$C$14:$AL$14,AH$18)*$C$7),0)</f>
        <v>6</v>
      </c>
      <c r="AI138" s="14" t="n">
        <f aca="false">IF((AI$18&gt;=Assumptions!$C$45),(INDEX(Schedules!$C$14:$AL$14,AI$18)*$C$7),0)</f>
        <v>6</v>
      </c>
      <c r="AJ138" s="14" t="n">
        <f aca="false">IF((AJ$18&gt;=Assumptions!$C$45),(INDEX(Schedules!$C$14:$AL$14,AJ$18)*$C$7),0)</f>
        <v>6</v>
      </c>
      <c r="AK138" s="14" t="n">
        <f aca="false">IF((AK$18&gt;=Assumptions!$C$45),(INDEX(Schedules!$C$14:$AL$14,AK$18)*$C$7),0)</f>
        <v>6</v>
      </c>
      <c r="AL138" s="14" t="n">
        <f aca="false">IF((AL$18&gt;=Assumptions!$C$45),(INDEX(Schedules!$C$14:$AL$14,AL$18)*$C$7),0)</f>
        <v>6</v>
      </c>
      <c r="AN138" s="36" t="n">
        <f aca="false">SUM(C138:N138)</f>
        <v>0</v>
      </c>
      <c r="AO138" s="36" t="n">
        <f aca="false">SUM(O138:Z138)</f>
        <v>0</v>
      </c>
      <c r="AP138" s="36" t="n">
        <f aca="false">SUM(AA138:AL138)</f>
        <v>54</v>
      </c>
    </row>
    <row r="139" customFormat="false" ht="15" hidden="false" customHeight="false" outlineLevel="0" collapsed="false">
      <c r="A139" s="0" t="s">
        <v>945</v>
      </c>
      <c r="B139" s="0" t="s">
        <v>852</v>
      </c>
      <c r="C139" s="13" t="n">
        <f aca="false">((0*(1-Assumptions!$C$47))+C138)</f>
        <v>0</v>
      </c>
      <c r="D139" s="13" t="n">
        <f aca="false">((C139*(1-Assumptions!$C$47))+D138)</f>
        <v>0</v>
      </c>
      <c r="E139" s="13" t="n">
        <f aca="false">((D139*(1-Assumptions!$C$47))+E138)</f>
        <v>0</v>
      </c>
      <c r="F139" s="13" t="n">
        <f aca="false">((E139*(1-Assumptions!$C$47))+F138)</f>
        <v>0</v>
      </c>
      <c r="G139" s="13" t="n">
        <f aca="false">((F139*(1-Assumptions!$C$47))+G138)</f>
        <v>0</v>
      </c>
      <c r="H139" s="13" t="n">
        <f aca="false">((G139*(1-Assumptions!$C$47))+H138)</f>
        <v>0</v>
      </c>
      <c r="I139" s="13" t="n">
        <f aca="false">((H139*(1-Assumptions!$C$47))+I138)</f>
        <v>0</v>
      </c>
      <c r="J139" s="13" t="n">
        <f aca="false">((I139*(1-Assumptions!$C$47))+J138)</f>
        <v>0</v>
      </c>
      <c r="K139" s="13" t="n">
        <f aca="false">((J139*(1-Assumptions!$C$47))+K138)</f>
        <v>0</v>
      </c>
      <c r="L139" s="13" t="n">
        <f aca="false">((K139*(1-Assumptions!$C$47))+L138)</f>
        <v>0</v>
      </c>
      <c r="M139" s="13" t="n">
        <f aca="false">((L139*(1-Assumptions!$C$47))+M138)</f>
        <v>0</v>
      </c>
      <c r="N139" s="13" t="n">
        <f aca="false">((M139*(1-Assumptions!$C$47))+N138)</f>
        <v>0</v>
      </c>
      <c r="O139" s="13" t="n">
        <f aca="false">((N139*(1-Assumptions!$C$47))+O138)</f>
        <v>0</v>
      </c>
      <c r="P139" s="13" t="n">
        <f aca="false">((O139*(1-Assumptions!$C$47))+P138)</f>
        <v>0</v>
      </c>
      <c r="Q139" s="13" t="n">
        <f aca="false">((P139*(1-Assumptions!$C$47))+Q138)</f>
        <v>0</v>
      </c>
      <c r="R139" s="13" t="n">
        <f aca="false">((Q139*(1-Assumptions!$C$47))+R138)</f>
        <v>0</v>
      </c>
      <c r="S139" s="13" t="n">
        <f aca="false">((R139*(1-Assumptions!$C$47))+S138)</f>
        <v>0</v>
      </c>
      <c r="T139" s="13" t="n">
        <f aca="false">((S139*(1-Assumptions!$C$47))+T138)</f>
        <v>0</v>
      </c>
      <c r="U139" s="13" t="n">
        <f aca="false">((T139*(1-Assumptions!$C$47))+U138)</f>
        <v>0</v>
      </c>
      <c r="V139" s="13" t="n">
        <f aca="false">((U139*(1-Assumptions!$C$47))+V138)</f>
        <v>0</v>
      </c>
      <c r="W139" s="13" t="n">
        <f aca="false">((V139*(1-Assumptions!$C$47))+W138)</f>
        <v>0</v>
      </c>
      <c r="X139" s="13" t="n">
        <f aca="false">((W139*(1-Assumptions!$C$47))+X138)</f>
        <v>0</v>
      </c>
      <c r="Y139" s="13" t="n">
        <f aca="false">((X139*(1-Assumptions!$C$47))+Y138)</f>
        <v>0</v>
      </c>
      <c r="Z139" s="13" t="n">
        <f aca="false">((Y139*(1-Assumptions!$C$47))+Z138)</f>
        <v>0</v>
      </c>
      <c r="AA139" s="13" t="n">
        <f aca="false">((Z139*(1-Assumptions!$C$47))+AA138)</f>
        <v>3</v>
      </c>
      <c r="AB139" s="13" t="n">
        <f aca="false">((AA139*(1-Assumptions!$C$47))+AB138)</f>
        <v>5.94</v>
      </c>
      <c r="AC139" s="13" t="n">
        <f aca="false">((AB139*(1-Assumptions!$C$47))+AC138)</f>
        <v>8.8212</v>
      </c>
      <c r="AD139" s="13" t="n">
        <f aca="false">((AC139*(1-Assumptions!$C$47))+AD138)</f>
        <v>11.644776</v>
      </c>
      <c r="AE139" s="13" t="n">
        <f aca="false">((AD139*(1-Assumptions!$C$47))+AE138)</f>
        <v>14.41188048</v>
      </c>
      <c r="AF139" s="13" t="n">
        <f aca="false">((AE139*(1-Assumptions!$C$47))+AF138)</f>
        <v>17.1236428704</v>
      </c>
      <c r="AG139" s="13" t="n">
        <f aca="false">((AF139*(1-Assumptions!$C$47))+AG138)</f>
        <v>22.781170012992</v>
      </c>
      <c r="AH139" s="13" t="n">
        <f aca="false">((AG139*(1-Assumptions!$C$47))+AH138)</f>
        <v>28.3255466127322</v>
      </c>
      <c r="AI139" s="13" t="n">
        <f aca="false">((AH139*(1-Assumptions!$C$47))+AI138)</f>
        <v>33.7590356804775</v>
      </c>
      <c r="AJ139" s="13" t="n">
        <f aca="false">((AI139*(1-Assumptions!$C$47))+AJ138)</f>
        <v>39.083854966868</v>
      </c>
      <c r="AK139" s="13" t="n">
        <f aca="false">((AJ139*(1-Assumptions!$C$47))+AK138)</f>
        <v>44.3021778675306</v>
      </c>
      <c r="AL139" s="13" t="n">
        <f aca="false">((AK139*(1-Assumptions!$C$47))+AL138)</f>
        <v>49.41613431018</v>
      </c>
      <c r="AN139" s="37" t="n">
        <f aca="false">N139</f>
        <v>0</v>
      </c>
      <c r="AO139" s="37" t="n">
        <f aca="false">Z139</f>
        <v>0</v>
      </c>
      <c r="AP139" s="37" t="n">
        <f aca="false">AL139</f>
        <v>49.41613431018</v>
      </c>
    </row>
    <row r="140" customFormat="false" ht="15" hidden="false" customHeight="false" outlineLevel="0" collapsed="false">
      <c r="A140" s="0" t="s">
        <v>946</v>
      </c>
      <c r="B140" s="0" t="s">
        <v>230</v>
      </c>
      <c r="C140" s="9" t="n">
        <f aca="false">((C139*Assumptions!$C$46)/12)</f>
        <v>0</v>
      </c>
      <c r="D140" s="9" t="n">
        <f aca="false">((D139*Assumptions!$C$46)/12)</f>
        <v>0</v>
      </c>
      <c r="E140" s="9" t="n">
        <f aca="false">((E139*Assumptions!$C$46)/12)</f>
        <v>0</v>
      </c>
      <c r="F140" s="9" t="n">
        <f aca="false">((F139*Assumptions!$C$46)/12)</f>
        <v>0</v>
      </c>
      <c r="G140" s="9" t="n">
        <f aca="false">((G139*Assumptions!$C$46)/12)</f>
        <v>0</v>
      </c>
      <c r="H140" s="9" t="n">
        <f aca="false">((H139*Assumptions!$C$46)/12)</f>
        <v>0</v>
      </c>
      <c r="I140" s="9" t="n">
        <f aca="false">((I139*Assumptions!$C$46)/12)</f>
        <v>0</v>
      </c>
      <c r="J140" s="9" t="n">
        <f aca="false">((J139*Assumptions!$C$46)/12)</f>
        <v>0</v>
      </c>
      <c r="K140" s="9" t="n">
        <f aca="false">((K139*Assumptions!$C$46)/12)</f>
        <v>0</v>
      </c>
      <c r="L140" s="9" t="n">
        <f aca="false">((L139*Assumptions!$C$46)/12)</f>
        <v>0</v>
      </c>
      <c r="M140" s="9" t="n">
        <f aca="false">((M139*Assumptions!$C$46)/12)</f>
        <v>0</v>
      </c>
      <c r="N140" s="9" t="n">
        <f aca="false">((N139*Assumptions!$C$46)/12)</f>
        <v>0</v>
      </c>
      <c r="O140" s="9" t="n">
        <f aca="false">((O139*Assumptions!$C$46)/12)</f>
        <v>0</v>
      </c>
      <c r="P140" s="9" t="n">
        <f aca="false">((P139*Assumptions!$C$46)/12)</f>
        <v>0</v>
      </c>
      <c r="Q140" s="9" t="n">
        <f aca="false">((Q139*Assumptions!$C$46)/12)</f>
        <v>0</v>
      </c>
      <c r="R140" s="9" t="n">
        <f aca="false">((R139*Assumptions!$C$46)/12)</f>
        <v>0</v>
      </c>
      <c r="S140" s="9" t="n">
        <f aca="false">((S139*Assumptions!$C$46)/12)</f>
        <v>0</v>
      </c>
      <c r="T140" s="9" t="n">
        <f aca="false">((T139*Assumptions!$C$46)/12)</f>
        <v>0</v>
      </c>
      <c r="U140" s="9" t="n">
        <f aca="false">((U139*Assumptions!$C$46)/12)</f>
        <v>0</v>
      </c>
      <c r="V140" s="9" t="n">
        <f aca="false">((V139*Assumptions!$C$46)/12)</f>
        <v>0</v>
      </c>
      <c r="W140" s="9" t="n">
        <f aca="false">((W139*Assumptions!$C$46)/12)</f>
        <v>0</v>
      </c>
      <c r="X140" s="9" t="n">
        <f aca="false">((X139*Assumptions!$C$46)/12)</f>
        <v>0</v>
      </c>
      <c r="Y140" s="9" t="n">
        <f aca="false">((Y139*Assumptions!$C$46)/12)</f>
        <v>0</v>
      </c>
      <c r="Z140" s="9" t="n">
        <f aca="false">((Z139*Assumptions!$C$46)/12)</f>
        <v>0</v>
      </c>
      <c r="AA140" s="9" t="n">
        <f aca="false">((AA139*Assumptions!$C$46)/12)</f>
        <v>1000</v>
      </c>
      <c r="AB140" s="9" t="n">
        <f aca="false">((AB139*Assumptions!$C$46)/12)</f>
        <v>1980</v>
      </c>
      <c r="AC140" s="9" t="n">
        <f aca="false">((AC139*Assumptions!$C$46)/12)</f>
        <v>2940.4</v>
      </c>
      <c r="AD140" s="9" t="n">
        <f aca="false">((AD139*Assumptions!$C$46)/12)</f>
        <v>3881.592</v>
      </c>
      <c r="AE140" s="9" t="n">
        <f aca="false">((AE139*Assumptions!$C$46)/12)</f>
        <v>4803.96016</v>
      </c>
      <c r="AF140" s="9" t="n">
        <f aca="false">((AF139*Assumptions!$C$46)/12)</f>
        <v>5707.8809568</v>
      </c>
      <c r="AG140" s="9" t="n">
        <f aca="false">((AG139*Assumptions!$C$46)/12)</f>
        <v>7593.723337664</v>
      </c>
      <c r="AH140" s="9" t="n">
        <f aca="false">((AH139*Assumptions!$C$46)/12)</f>
        <v>9441.84887091072</v>
      </c>
      <c r="AI140" s="9" t="n">
        <f aca="false">((AI139*Assumptions!$C$46)/12)</f>
        <v>11253.0118934925</v>
      </c>
      <c r="AJ140" s="9" t="n">
        <f aca="false">((AJ139*Assumptions!$C$46)/12)</f>
        <v>13027.9516556227</v>
      </c>
      <c r="AK140" s="9" t="n">
        <f aca="false">((AK139*Assumptions!$C$46)/12)</f>
        <v>14767.3926225102</v>
      </c>
      <c r="AL140" s="9" t="n">
        <f aca="false">((AL139*Assumptions!$C$46)/12)</f>
        <v>16472.04477006</v>
      </c>
      <c r="AN140" s="11" t="n">
        <f aca="false">SUM(C140:N140)</f>
        <v>0</v>
      </c>
      <c r="AO140" s="11" t="n">
        <f aca="false">SUM(O140:Z140)</f>
        <v>0</v>
      </c>
      <c r="AP140" s="11" t="n">
        <f aca="false">SUM(AA140:AL140)</f>
        <v>92869.8062670601</v>
      </c>
    </row>
    <row r="141" customFormat="false" ht="15" hidden="false" customHeight="false" outlineLevel="0" collapsed="false">
      <c r="A141" s="0" t="s">
        <v>947</v>
      </c>
      <c r="B141" s="0" t="s">
        <v>852</v>
      </c>
      <c r="C141" s="13" t="n">
        <f aca="false">IF((C$18&lt;Assumptions!$C$48),0,IF((C$18=Assumptions!$C$48),(Assumptions!$C$49*$C$4),((0*(1-Assumptions!$C$51))+(Assumptions!$C$50*$C$4))))</f>
        <v>0</v>
      </c>
      <c r="D141" s="13" t="n">
        <f aca="false">IF((D$18&lt;Assumptions!$C$48),0,IF((D$18=Assumptions!$C$48),(Assumptions!$C$49*$C$4),((C141*(1-Assumptions!$C$51))+(Assumptions!$C$50*$C$4))))</f>
        <v>0</v>
      </c>
      <c r="E141" s="13" t="n">
        <f aca="false">IF((E$18&lt;Assumptions!$C$48),0,IF((E$18=Assumptions!$C$48),(Assumptions!$C$49*$C$4),((D141*(1-Assumptions!$C$51))+(Assumptions!$C$50*$C$4))))</f>
        <v>0</v>
      </c>
      <c r="F141" s="13" t="n">
        <f aca="false">IF((F$18&lt;Assumptions!$C$48),0,IF((F$18=Assumptions!$C$48),(Assumptions!$C$49*$C$4),((E141*(1-Assumptions!$C$51))+(Assumptions!$C$50*$C$4))))</f>
        <v>0</v>
      </c>
      <c r="G141" s="13" t="n">
        <f aca="false">IF((G$18&lt;Assumptions!$C$48),0,IF((G$18=Assumptions!$C$48),(Assumptions!$C$49*$C$4),((F141*(1-Assumptions!$C$51))+(Assumptions!$C$50*$C$4))))</f>
        <v>0</v>
      </c>
      <c r="H141" s="13" t="n">
        <f aca="false">IF((H$18&lt;Assumptions!$C$48),0,IF((H$18=Assumptions!$C$48),(Assumptions!$C$49*$C$4),((G141*(1-Assumptions!$C$51))+(Assumptions!$C$50*$C$4))))</f>
        <v>0</v>
      </c>
      <c r="I141" s="13" t="n">
        <f aca="false">IF((I$18&lt;Assumptions!$C$48),0,IF((I$18=Assumptions!$C$48),(Assumptions!$C$49*$C$4),((H141*(1-Assumptions!$C$51))+(Assumptions!$C$50*$C$4))))</f>
        <v>0</v>
      </c>
      <c r="J141" s="13" t="n">
        <f aca="false">IF((J$18&lt;Assumptions!$C$48),0,IF((J$18=Assumptions!$C$48),(Assumptions!$C$49*$C$4),((I141*(1-Assumptions!$C$51))+(Assumptions!$C$50*$C$4))))</f>
        <v>0</v>
      </c>
      <c r="K141" s="13" t="n">
        <f aca="false">IF((K$18&lt;Assumptions!$C$48),0,IF((K$18=Assumptions!$C$48),(Assumptions!$C$49*$C$4),((J141*(1-Assumptions!$C$51))+(Assumptions!$C$50*$C$4))))</f>
        <v>0</v>
      </c>
      <c r="L141" s="13" t="n">
        <f aca="false">IF((L$18&lt;Assumptions!$C$48),0,IF((L$18=Assumptions!$C$48),(Assumptions!$C$49*$C$4),((K141*(1-Assumptions!$C$51))+(Assumptions!$C$50*$C$4))))</f>
        <v>0</v>
      </c>
      <c r="M141" s="13" t="n">
        <f aca="false">IF((M$18&lt;Assumptions!$C$48),0,IF((M$18=Assumptions!$C$48),(Assumptions!$C$49*$C$4),((L141*(1-Assumptions!$C$51))+(Assumptions!$C$50*$C$4))))</f>
        <v>0</v>
      </c>
      <c r="N141" s="13" t="n">
        <f aca="false">IF((N$18&lt;Assumptions!$C$48),0,IF((N$18=Assumptions!$C$48),(Assumptions!$C$49*$C$4),((M141*(1-Assumptions!$C$51))+(Assumptions!$C$50*$C$4))))</f>
        <v>0</v>
      </c>
      <c r="O141" s="13" t="n">
        <f aca="false">IF((O$18&lt;Assumptions!$C$48),0,IF((O$18=Assumptions!$C$48),(Assumptions!$C$49*$C$4),((N141*(1-Assumptions!$C$51))+(Assumptions!$C$50*$C$4))))</f>
        <v>0</v>
      </c>
      <c r="P141" s="13" t="n">
        <f aca="false">IF((P$18&lt;Assumptions!$C$48),0,IF((P$18=Assumptions!$C$48),(Assumptions!$C$49*$C$4),((O141*(1-Assumptions!$C$51))+(Assumptions!$C$50*$C$4))))</f>
        <v>0</v>
      </c>
      <c r="Q141" s="13" t="n">
        <f aca="false">IF((Q$18&lt;Assumptions!$C$48),0,IF((Q$18=Assumptions!$C$48),(Assumptions!$C$49*$C$4),((P141*(1-Assumptions!$C$51))+(Assumptions!$C$50*$C$4))))</f>
        <v>0</v>
      </c>
      <c r="R141" s="13" t="n">
        <f aca="false">IF((R$18&lt;Assumptions!$C$48),0,IF((R$18=Assumptions!$C$48),(Assumptions!$C$49*$C$4),((Q141*(1-Assumptions!$C$51))+(Assumptions!$C$50*$C$4))))</f>
        <v>0</v>
      </c>
      <c r="S141" s="13" t="n">
        <f aca="false">IF((S$18&lt;Assumptions!$C$48),0,IF((S$18=Assumptions!$C$48),(Assumptions!$C$49*$C$4),((R141*(1-Assumptions!$C$51))+(Assumptions!$C$50*$C$4))))</f>
        <v>0</v>
      </c>
      <c r="T141" s="13" t="n">
        <f aca="false">IF((T$18&lt;Assumptions!$C$48),0,IF((T$18=Assumptions!$C$48),(Assumptions!$C$49*$C$4),((S141*(1-Assumptions!$C$51))+(Assumptions!$C$50*$C$4))))</f>
        <v>0</v>
      </c>
      <c r="U141" s="13" t="n">
        <f aca="false">IF((U$18&lt;Assumptions!$C$48),0,IF((U$18=Assumptions!$C$48),(Assumptions!$C$49*$C$4),((T141*(1-Assumptions!$C$51))+(Assumptions!$C$50*$C$4))))</f>
        <v>0</v>
      </c>
      <c r="V141" s="13" t="n">
        <f aca="false">IF((V$18&lt;Assumptions!$C$48),0,IF((V$18=Assumptions!$C$48),(Assumptions!$C$49*$C$4),((U141*(1-Assumptions!$C$51))+(Assumptions!$C$50*$C$4))))</f>
        <v>0</v>
      </c>
      <c r="W141" s="13" t="n">
        <f aca="false">IF((W$18&lt;Assumptions!$C$48),0,IF((W$18=Assumptions!$C$48),(Assumptions!$C$49*$C$4),((V141*(1-Assumptions!$C$51))+(Assumptions!$C$50*$C$4))))</f>
        <v>0</v>
      </c>
      <c r="X141" s="13" t="n">
        <f aca="false">IF((X$18&lt;Assumptions!$C$48),0,IF((X$18=Assumptions!$C$48),(Assumptions!$C$49*$C$4),((W141*(1-Assumptions!$C$51))+(Assumptions!$C$50*$C$4))))</f>
        <v>0</v>
      </c>
      <c r="Y141" s="13" t="n">
        <f aca="false">IF((Y$18&lt;Assumptions!$C$48),0,IF((Y$18=Assumptions!$C$48),(Assumptions!$C$49*$C$4),((X141*(1-Assumptions!$C$51))+(Assumptions!$C$50*$C$4))))</f>
        <v>0</v>
      </c>
      <c r="Z141" s="13" t="n">
        <f aca="false">IF((Z$18&lt;Assumptions!$C$48),0,IF((Z$18=Assumptions!$C$48),(Assumptions!$C$49*$C$4),((Y141*(1-Assumptions!$C$51))+(Assumptions!$C$50*$C$4))))</f>
        <v>0</v>
      </c>
      <c r="AA141" s="13" t="n">
        <f aca="false">IF((AA$18&lt;Assumptions!$C$48),0,IF((AA$18=Assumptions!$C$48),(Assumptions!$C$49*$C$4),((Z141*(1-Assumptions!$C$51))+(Assumptions!$C$50*$C$4))))</f>
        <v>0</v>
      </c>
      <c r="AB141" s="13" t="n">
        <f aca="false">IF((AB$18&lt;Assumptions!$C$48),0,IF((AB$18=Assumptions!$C$48),(Assumptions!$C$49*$C$4),((AA141*(1-Assumptions!$C$51))+(Assumptions!$C$50*$C$4))))</f>
        <v>0</v>
      </c>
      <c r="AC141" s="13" t="n">
        <f aca="false">IF((AC$18&lt;Assumptions!$C$48),0,IF((AC$18=Assumptions!$C$48),(Assumptions!$C$49*$C$4),((AB141*(1-Assumptions!$C$51))+(Assumptions!$C$50*$C$4))))</f>
        <v>0</v>
      </c>
      <c r="AD141" s="13" t="n">
        <f aca="false">IF((AD$18&lt;Assumptions!$C$48),0,IF((AD$18=Assumptions!$C$48),(Assumptions!$C$49*$C$4),((AC141*(1-Assumptions!$C$51))+(Assumptions!$C$50*$C$4))))</f>
        <v>0</v>
      </c>
      <c r="AE141" s="13" t="n">
        <f aca="false">IF((AE$18&lt;Assumptions!$C$48),0,IF((AE$18=Assumptions!$C$48),(Assumptions!$C$49*$C$4),((AD141*(1-Assumptions!$C$51))+(Assumptions!$C$50*$C$4))))</f>
        <v>0</v>
      </c>
      <c r="AF141" s="13" t="n">
        <f aca="false">IF((AF$18&lt;Assumptions!$C$48),0,IF((AF$18=Assumptions!$C$48),(Assumptions!$C$49*$C$4),((AE141*(1-Assumptions!$C$51))+(Assumptions!$C$50*$C$4))))</f>
        <v>0</v>
      </c>
      <c r="AG141" s="13" t="n">
        <f aca="false">IF((AG$18&lt;Assumptions!$C$48),0,IF((AG$18=Assumptions!$C$48),(Assumptions!$C$49*$C$4),((AF141*(1-Assumptions!$C$51))+(Assumptions!$C$50*$C$4))))</f>
        <v>40</v>
      </c>
      <c r="AH141" s="13" t="n">
        <f aca="false">IF((AH$18&lt;Assumptions!$C$48),0,IF((AH$18=Assumptions!$C$48),(Assumptions!$C$49*$C$4),((AG141*(1-Assumptions!$C$51))+(Assumptions!$C$50*$C$4))))</f>
        <v>53.4</v>
      </c>
      <c r="AI141" s="13" t="n">
        <f aca="false">IF((AI$18&lt;Assumptions!$C$48),0,IF((AI$18=Assumptions!$C$48),(Assumptions!$C$49*$C$4),((AH141*(1-Assumptions!$C$51))+(Assumptions!$C$50*$C$4))))</f>
        <v>66.264</v>
      </c>
      <c r="AJ141" s="13" t="n">
        <f aca="false">IF((AJ$18&lt;Assumptions!$C$48),0,IF((AJ$18=Assumptions!$C$48),(Assumptions!$C$49*$C$4),((AI141*(1-Assumptions!$C$51))+(Assumptions!$C$50*$C$4))))</f>
        <v>78.61344</v>
      </c>
      <c r="AK141" s="13" t="n">
        <f aca="false">IF((AK$18&lt;Assumptions!$C$48),0,IF((AK$18=Assumptions!$C$48),(Assumptions!$C$49*$C$4),((AJ141*(1-Assumptions!$C$51))+(Assumptions!$C$50*$C$4))))</f>
        <v>90.4689024</v>
      </c>
      <c r="AL141" s="13" t="n">
        <f aca="false">IF((AL$18&lt;Assumptions!$C$48),0,IF((AL$18=Assumptions!$C$48),(Assumptions!$C$49*$C$4),((AK141*(1-Assumptions!$C$51))+(Assumptions!$C$50*$C$4))))</f>
        <v>101.850146304</v>
      </c>
      <c r="AN141" s="37" t="n">
        <f aca="false">N141</f>
        <v>0</v>
      </c>
      <c r="AO141" s="37" t="n">
        <f aca="false">Z141</f>
        <v>0</v>
      </c>
      <c r="AP141" s="37" t="n">
        <f aca="false">AL141</f>
        <v>101.850146304</v>
      </c>
    </row>
    <row r="142" customFormat="false" ht="15" hidden="false" customHeight="false" outlineLevel="0" collapsed="false">
      <c r="A142" s="0" t="s">
        <v>948</v>
      </c>
      <c r="B142" s="0" t="s">
        <v>325</v>
      </c>
      <c r="C142" s="9" t="n">
        <f aca="false">(C141*Assumptions!$C$52)</f>
        <v>0</v>
      </c>
      <c r="D142" s="9" t="n">
        <f aca="false">(D141*Assumptions!$C$52)</f>
        <v>0</v>
      </c>
      <c r="E142" s="9" t="n">
        <f aca="false">(E141*Assumptions!$C$52)</f>
        <v>0</v>
      </c>
      <c r="F142" s="9" t="n">
        <f aca="false">(F141*Assumptions!$C$52)</f>
        <v>0</v>
      </c>
      <c r="G142" s="9" t="n">
        <f aca="false">(G141*Assumptions!$C$52)</f>
        <v>0</v>
      </c>
      <c r="H142" s="9" t="n">
        <f aca="false">(H141*Assumptions!$C$52)</f>
        <v>0</v>
      </c>
      <c r="I142" s="9" t="n">
        <f aca="false">(I141*Assumptions!$C$52)</f>
        <v>0</v>
      </c>
      <c r="J142" s="9" t="n">
        <f aca="false">(J141*Assumptions!$C$52)</f>
        <v>0</v>
      </c>
      <c r="K142" s="9" t="n">
        <f aca="false">(K141*Assumptions!$C$52)</f>
        <v>0</v>
      </c>
      <c r="L142" s="9" t="n">
        <f aca="false">(L141*Assumptions!$C$52)</f>
        <v>0</v>
      </c>
      <c r="M142" s="9" t="n">
        <f aca="false">(M141*Assumptions!$C$52)</f>
        <v>0</v>
      </c>
      <c r="N142" s="9" t="n">
        <f aca="false">(N141*Assumptions!$C$52)</f>
        <v>0</v>
      </c>
      <c r="O142" s="9" t="n">
        <f aca="false">(O141*Assumptions!$C$52)</f>
        <v>0</v>
      </c>
      <c r="P142" s="9" t="n">
        <f aca="false">(P141*Assumptions!$C$52)</f>
        <v>0</v>
      </c>
      <c r="Q142" s="9" t="n">
        <f aca="false">(Q141*Assumptions!$C$52)</f>
        <v>0</v>
      </c>
      <c r="R142" s="9" t="n">
        <f aca="false">(R141*Assumptions!$C$52)</f>
        <v>0</v>
      </c>
      <c r="S142" s="9" t="n">
        <f aca="false">(S141*Assumptions!$C$52)</f>
        <v>0</v>
      </c>
      <c r="T142" s="9" t="n">
        <f aca="false">(T141*Assumptions!$C$52)</f>
        <v>0</v>
      </c>
      <c r="U142" s="9" t="n">
        <f aca="false">(U141*Assumptions!$C$52)</f>
        <v>0</v>
      </c>
      <c r="V142" s="9" t="n">
        <f aca="false">(V141*Assumptions!$C$52)</f>
        <v>0</v>
      </c>
      <c r="W142" s="9" t="n">
        <f aca="false">(W141*Assumptions!$C$52)</f>
        <v>0</v>
      </c>
      <c r="X142" s="9" t="n">
        <f aca="false">(X141*Assumptions!$C$52)</f>
        <v>0</v>
      </c>
      <c r="Y142" s="9" t="n">
        <f aca="false">(Y141*Assumptions!$C$52)</f>
        <v>0</v>
      </c>
      <c r="Z142" s="9" t="n">
        <f aca="false">(Z141*Assumptions!$C$52)</f>
        <v>0</v>
      </c>
      <c r="AA142" s="9" t="n">
        <f aca="false">(AA141*Assumptions!$C$52)</f>
        <v>0</v>
      </c>
      <c r="AB142" s="9" t="n">
        <f aca="false">(AB141*Assumptions!$C$52)</f>
        <v>0</v>
      </c>
      <c r="AC142" s="9" t="n">
        <f aca="false">(AC141*Assumptions!$C$52)</f>
        <v>0</v>
      </c>
      <c r="AD142" s="9" t="n">
        <f aca="false">(AD141*Assumptions!$C$52)</f>
        <v>0</v>
      </c>
      <c r="AE142" s="9" t="n">
        <f aca="false">(AE141*Assumptions!$C$52)</f>
        <v>0</v>
      </c>
      <c r="AF142" s="9" t="n">
        <f aca="false">(AF141*Assumptions!$C$52)</f>
        <v>0</v>
      </c>
      <c r="AG142" s="9" t="n">
        <f aca="false">(AG141*Assumptions!$C$52)</f>
        <v>240</v>
      </c>
      <c r="AH142" s="9" t="n">
        <f aca="false">(AH141*Assumptions!$C$52)</f>
        <v>320.4</v>
      </c>
      <c r="AI142" s="9" t="n">
        <f aca="false">(AI141*Assumptions!$C$52)</f>
        <v>397.584</v>
      </c>
      <c r="AJ142" s="9" t="n">
        <f aca="false">(AJ141*Assumptions!$C$52)</f>
        <v>471.68064</v>
      </c>
      <c r="AK142" s="9" t="n">
        <f aca="false">(AK141*Assumptions!$C$52)</f>
        <v>542.8134144</v>
      </c>
      <c r="AL142" s="9" t="n">
        <f aca="false">(AL141*Assumptions!$C$52)</f>
        <v>611.100877824</v>
      </c>
      <c r="AN142" s="11" t="n">
        <f aca="false">SUM(C142:N142)</f>
        <v>0</v>
      </c>
      <c r="AO142" s="11" t="n">
        <f aca="false">SUM(O142:Z142)</f>
        <v>0</v>
      </c>
      <c r="AP142" s="11" t="n">
        <f aca="false">SUM(AA142:AL142)</f>
        <v>2583.578932224</v>
      </c>
    </row>
    <row r="143" customFormat="false" ht="15" hidden="false" customHeight="false" outlineLevel="0" collapsed="false">
      <c r="A143" s="0" t="s">
        <v>949</v>
      </c>
      <c r="B143" s="0" t="s">
        <v>230</v>
      </c>
      <c r="C143" s="9" t="n">
        <f aca="false">(C142*Assumptions!$C$53)</f>
        <v>0</v>
      </c>
      <c r="D143" s="9" t="n">
        <f aca="false">(D142*Assumptions!$C$53)</f>
        <v>0</v>
      </c>
      <c r="E143" s="9" t="n">
        <f aca="false">(E142*Assumptions!$C$53)</f>
        <v>0</v>
      </c>
      <c r="F143" s="9" t="n">
        <f aca="false">(F142*Assumptions!$C$53)</f>
        <v>0</v>
      </c>
      <c r="G143" s="9" t="n">
        <f aca="false">(G142*Assumptions!$C$53)</f>
        <v>0</v>
      </c>
      <c r="H143" s="9" t="n">
        <f aca="false">(H142*Assumptions!$C$53)</f>
        <v>0</v>
      </c>
      <c r="I143" s="9" t="n">
        <f aca="false">(I142*Assumptions!$C$53)</f>
        <v>0</v>
      </c>
      <c r="J143" s="9" t="n">
        <f aca="false">(J142*Assumptions!$C$53)</f>
        <v>0</v>
      </c>
      <c r="K143" s="9" t="n">
        <f aca="false">(K142*Assumptions!$C$53)</f>
        <v>0</v>
      </c>
      <c r="L143" s="9" t="n">
        <f aca="false">(L142*Assumptions!$C$53)</f>
        <v>0</v>
      </c>
      <c r="M143" s="9" t="n">
        <f aca="false">(M142*Assumptions!$C$53)</f>
        <v>0</v>
      </c>
      <c r="N143" s="9" t="n">
        <f aca="false">(N142*Assumptions!$C$53)</f>
        <v>0</v>
      </c>
      <c r="O143" s="9" t="n">
        <f aca="false">(O142*Assumptions!$C$53)</f>
        <v>0</v>
      </c>
      <c r="P143" s="9" t="n">
        <f aca="false">(P142*Assumptions!$C$53)</f>
        <v>0</v>
      </c>
      <c r="Q143" s="9" t="n">
        <f aca="false">(Q142*Assumptions!$C$53)</f>
        <v>0</v>
      </c>
      <c r="R143" s="9" t="n">
        <f aca="false">(R142*Assumptions!$C$53)</f>
        <v>0</v>
      </c>
      <c r="S143" s="9" t="n">
        <f aca="false">(S142*Assumptions!$C$53)</f>
        <v>0</v>
      </c>
      <c r="T143" s="9" t="n">
        <f aca="false">(T142*Assumptions!$C$53)</f>
        <v>0</v>
      </c>
      <c r="U143" s="9" t="n">
        <f aca="false">(U142*Assumptions!$C$53)</f>
        <v>0</v>
      </c>
      <c r="V143" s="9" t="n">
        <f aca="false">(V142*Assumptions!$C$53)</f>
        <v>0</v>
      </c>
      <c r="W143" s="9" t="n">
        <f aca="false">(W142*Assumptions!$C$53)</f>
        <v>0</v>
      </c>
      <c r="X143" s="9" t="n">
        <f aca="false">(X142*Assumptions!$C$53)</f>
        <v>0</v>
      </c>
      <c r="Y143" s="9" t="n">
        <f aca="false">(Y142*Assumptions!$C$53)</f>
        <v>0</v>
      </c>
      <c r="Z143" s="9" t="n">
        <f aca="false">(Z142*Assumptions!$C$53)</f>
        <v>0</v>
      </c>
      <c r="AA143" s="9" t="n">
        <f aca="false">(AA142*Assumptions!$C$53)</f>
        <v>0</v>
      </c>
      <c r="AB143" s="9" t="n">
        <f aca="false">(AB142*Assumptions!$C$53)</f>
        <v>0</v>
      </c>
      <c r="AC143" s="9" t="n">
        <f aca="false">(AC142*Assumptions!$C$53)</f>
        <v>0</v>
      </c>
      <c r="AD143" s="9" t="n">
        <f aca="false">(AD142*Assumptions!$C$53)</f>
        <v>0</v>
      </c>
      <c r="AE143" s="9" t="n">
        <f aca="false">(AE142*Assumptions!$C$53)</f>
        <v>0</v>
      </c>
      <c r="AF143" s="9" t="n">
        <f aca="false">(AF142*Assumptions!$C$53)</f>
        <v>0</v>
      </c>
      <c r="AG143" s="9" t="n">
        <f aca="false">(AG142*Assumptions!$C$53)</f>
        <v>10800</v>
      </c>
      <c r="AH143" s="9" t="n">
        <f aca="false">(AH142*Assumptions!$C$53)</f>
        <v>14418</v>
      </c>
      <c r="AI143" s="9" t="n">
        <f aca="false">(AI142*Assumptions!$C$53)</f>
        <v>17891.28</v>
      </c>
      <c r="AJ143" s="9" t="n">
        <f aca="false">(AJ142*Assumptions!$C$53)</f>
        <v>21225.6288</v>
      </c>
      <c r="AK143" s="9" t="n">
        <f aca="false">(AK142*Assumptions!$C$53)</f>
        <v>24426.603648</v>
      </c>
      <c r="AL143" s="9" t="n">
        <f aca="false">(AL142*Assumptions!$C$53)</f>
        <v>27499.53950208</v>
      </c>
      <c r="AN143" s="11" t="n">
        <f aca="false">SUM(C143:N143)</f>
        <v>0</v>
      </c>
      <c r="AO143" s="11" t="n">
        <f aca="false">SUM(O143:Z143)</f>
        <v>0</v>
      </c>
      <c r="AP143" s="11" t="n">
        <f aca="false">SUM(AA143:AL143)</f>
        <v>116261.05195008</v>
      </c>
    </row>
    <row r="144" customFormat="false" ht="15" hidden="false" customHeight="false" outlineLevel="0" collapsed="false">
      <c r="A144" s="0" t="s">
        <v>950</v>
      </c>
      <c r="B144" s="0" t="s">
        <v>230</v>
      </c>
      <c r="C144" s="9" t="n">
        <f aca="false">(C143*Assumptions!$C$54)</f>
        <v>0</v>
      </c>
      <c r="D144" s="9" t="n">
        <f aca="false">(D143*Assumptions!$C$54)</f>
        <v>0</v>
      </c>
      <c r="E144" s="9" t="n">
        <f aca="false">(E143*Assumptions!$C$54)</f>
        <v>0</v>
      </c>
      <c r="F144" s="9" t="n">
        <f aca="false">(F143*Assumptions!$C$54)</f>
        <v>0</v>
      </c>
      <c r="G144" s="9" t="n">
        <f aca="false">(G143*Assumptions!$C$54)</f>
        <v>0</v>
      </c>
      <c r="H144" s="9" t="n">
        <f aca="false">(H143*Assumptions!$C$54)</f>
        <v>0</v>
      </c>
      <c r="I144" s="9" t="n">
        <f aca="false">(I143*Assumptions!$C$54)</f>
        <v>0</v>
      </c>
      <c r="J144" s="9" t="n">
        <f aca="false">(J143*Assumptions!$C$54)</f>
        <v>0</v>
      </c>
      <c r="K144" s="9" t="n">
        <f aca="false">(K143*Assumptions!$C$54)</f>
        <v>0</v>
      </c>
      <c r="L144" s="9" t="n">
        <f aca="false">(L143*Assumptions!$C$54)</f>
        <v>0</v>
      </c>
      <c r="M144" s="9" t="n">
        <f aca="false">(M143*Assumptions!$C$54)</f>
        <v>0</v>
      </c>
      <c r="N144" s="9" t="n">
        <f aca="false">(N143*Assumptions!$C$54)</f>
        <v>0</v>
      </c>
      <c r="O144" s="9" t="n">
        <f aca="false">(O143*Assumptions!$C$54)</f>
        <v>0</v>
      </c>
      <c r="P144" s="9" t="n">
        <f aca="false">(P143*Assumptions!$C$54)</f>
        <v>0</v>
      </c>
      <c r="Q144" s="9" t="n">
        <f aca="false">(Q143*Assumptions!$C$54)</f>
        <v>0</v>
      </c>
      <c r="R144" s="9" t="n">
        <f aca="false">(R143*Assumptions!$C$54)</f>
        <v>0</v>
      </c>
      <c r="S144" s="9" t="n">
        <f aca="false">(S143*Assumptions!$C$54)</f>
        <v>0</v>
      </c>
      <c r="T144" s="9" t="n">
        <f aca="false">(T143*Assumptions!$C$54)</f>
        <v>0</v>
      </c>
      <c r="U144" s="9" t="n">
        <f aca="false">(U143*Assumptions!$C$54)</f>
        <v>0</v>
      </c>
      <c r="V144" s="9" t="n">
        <f aca="false">(V143*Assumptions!$C$54)</f>
        <v>0</v>
      </c>
      <c r="W144" s="9" t="n">
        <f aca="false">(W143*Assumptions!$C$54)</f>
        <v>0</v>
      </c>
      <c r="X144" s="9" t="n">
        <f aca="false">(X143*Assumptions!$C$54)</f>
        <v>0</v>
      </c>
      <c r="Y144" s="9" t="n">
        <f aca="false">(Y143*Assumptions!$C$54)</f>
        <v>0</v>
      </c>
      <c r="Z144" s="9" t="n">
        <f aca="false">(Z143*Assumptions!$C$54)</f>
        <v>0</v>
      </c>
      <c r="AA144" s="9" t="n">
        <f aca="false">(AA143*Assumptions!$C$54)</f>
        <v>0</v>
      </c>
      <c r="AB144" s="9" t="n">
        <f aca="false">(AB143*Assumptions!$C$54)</f>
        <v>0</v>
      </c>
      <c r="AC144" s="9" t="n">
        <f aca="false">(AC143*Assumptions!$C$54)</f>
        <v>0</v>
      </c>
      <c r="AD144" s="9" t="n">
        <f aca="false">(AD143*Assumptions!$C$54)</f>
        <v>0</v>
      </c>
      <c r="AE144" s="9" t="n">
        <f aca="false">(AE143*Assumptions!$C$54)</f>
        <v>0</v>
      </c>
      <c r="AF144" s="9" t="n">
        <f aca="false">(AF143*Assumptions!$C$54)</f>
        <v>0</v>
      </c>
      <c r="AG144" s="9" t="n">
        <f aca="false">(AG143*Assumptions!$C$54)</f>
        <v>1620</v>
      </c>
      <c r="AH144" s="9" t="n">
        <f aca="false">(AH143*Assumptions!$C$54)</f>
        <v>2162.7</v>
      </c>
      <c r="AI144" s="9" t="n">
        <f aca="false">(AI143*Assumptions!$C$54)</f>
        <v>2683.692</v>
      </c>
      <c r="AJ144" s="9" t="n">
        <f aca="false">(AJ143*Assumptions!$C$54)</f>
        <v>3183.84432</v>
      </c>
      <c r="AK144" s="9" t="n">
        <f aca="false">(AK143*Assumptions!$C$54)</f>
        <v>3663.9905472</v>
      </c>
      <c r="AL144" s="9" t="n">
        <f aca="false">(AL143*Assumptions!$C$54)</f>
        <v>4124.930925312</v>
      </c>
      <c r="AN144" s="11" t="n">
        <f aca="false">SUM(C144:N144)</f>
        <v>0</v>
      </c>
      <c r="AO144" s="11" t="n">
        <f aca="false">SUM(O144:Z144)</f>
        <v>0</v>
      </c>
      <c r="AP144" s="11" t="n">
        <f aca="false">SUM(AA144:AL144)</f>
        <v>17439.157792512</v>
      </c>
    </row>
    <row r="145" customFormat="false" ht="15" hidden="false" customHeight="false" outlineLevel="0" collapsed="false">
      <c r="A145" s="21" t="s">
        <v>951</v>
      </c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</row>
    <row r="146" customFormat="false" ht="15" hidden="false" customHeight="false" outlineLevel="0" collapsed="false">
      <c r="A146" s="10" t="s">
        <v>28</v>
      </c>
      <c r="B146" s="20" t="s">
        <v>230</v>
      </c>
      <c r="C146" s="11" t="n">
        <f aca="false">(((((((C42+C129)+C127)+C131)+C136)+C137)+C140)+C144)</f>
        <v>0</v>
      </c>
      <c r="D146" s="11" t="n">
        <f aca="false">(((((((D42+D129)+D127)+D131)+D136)+D137)+D140)+D144)</f>
        <v>0</v>
      </c>
      <c r="E146" s="11" t="n">
        <f aca="false">(((((((E42+E129)+E127)+E131)+E136)+E137)+E140)+E144)</f>
        <v>0</v>
      </c>
      <c r="F146" s="11" t="n">
        <f aca="false">(((((((F42+F129)+F127)+F131)+F136)+F137)+F140)+F144)</f>
        <v>0</v>
      </c>
      <c r="G146" s="11" t="n">
        <f aca="false">(((((((G42+G129)+G127)+G131)+G136)+G137)+G140)+G144)</f>
        <v>0</v>
      </c>
      <c r="H146" s="11" t="n">
        <f aca="false">(((((((H42+H129)+H127)+H131)+H136)+H137)+H140)+H144)</f>
        <v>0</v>
      </c>
      <c r="I146" s="11" t="n">
        <f aca="false">(((((((I42+I129)+I127)+I131)+I136)+I137)+I140)+I144)</f>
        <v>0</v>
      </c>
      <c r="J146" s="11" t="n">
        <f aca="false">(((((((J42+J129)+J127)+J131)+J136)+J137)+J140)+J144)</f>
        <v>0</v>
      </c>
      <c r="K146" s="11" t="n">
        <f aca="false">(((((((K42+K129)+K127)+K131)+K136)+K137)+K140)+K144)</f>
        <v>0</v>
      </c>
      <c r="L146" s="11" t="n">
        <f aca="false">(((((((L42+L129)+L127)+L131)+L136)+L137)+L140)+L144)</f>
        <v>0</v>
      </c>
      <c r="M146" s="11" t="n">
        <f aca="false">(((((((M42+M129)+M127)+M131)+M136)+M137)+M140)+M144)</f>
        <v>0</v>
      </c>
      <c r="N146" s="11" t="n">
        <f aca="false">(((((((N42+N129)+N127)+N131)+N136)+N137)+N140)+N144)</f>
        <v>0</v>
      </c>
      <c r="O146" s="11" t="n">
        <f aca="false">(((((((O42+O129)+O127)+O131)+O136)+O137)+O140)+O144)</f>
        <v>25.964676852839</v>
      </c>
      <c r="P146" s="11" t="n">
        <f aca="false">(((((((P42+P129)+P127)+P131)+P136)+P137)+P140)+P144)</f>
        <v>83.0739018655001</v>
      </c>
      <c r="Q146" s="11" t="n">
        <f aca="false">(((((((Q42+Q129)+Q127)+Q131)+Q136)+Q137)+Q140)+Q144)</f>
        <v>163.197760212586</v>
      </c>
      <c r="R146" s="11" t="n">
        <f aca="false">(((((((R42+R129)+R127)+R131)+R136)+R137)+R140)+R144)</f>
        <v>259.067102187655</v>
      </c>
      <c r="S146" s="11" t="n">
        <f aca="false">(((((((S42+S129)+S127)+S131)+S136)+S137)+S140)+S144)</f>
        <v>366.449670308577</v>
      </c>
      <c r="T146" s="11" t="n">
        <f aca="false">(((((((T42+T129)+T127)+T131)+T136)+T137)+T140)+T144)</f>
        <v>5033.17917737329</v>
      </c>
      <c r="U146" s="11" t="n">
        <f aca="false">(((((((U42+U129)+U127)+U131)+U136)+U137)+U140)+U144)</f>
        <v>14648.147772318</v>
      </c>
      <c r="V146" s="11" t="n">
        <f aca="false">(((((((V42+V129)+V127)+V131)+V136)+V137)+V140)+V144)</f>
        <v>15202.2994874899</v>
      </c>
      <c r="W146" s="11" t="n">
        <f aca="false">(((((((W42+W129)+W127)+W131)+W136)+W137)+W140)+W144)</f>
        <v>15355.0626719642</v>
      </c>
      <c r="X146" s="11" t="n">
        <f aca="false">(((((((X42+X129)+X127)+X131)+X136)+X137)+X140)+X144)</f>
        <v>38373.920618819</v>
      </c>
      <c r="Y146" s="11" t="n">
        <f aca="false">(((((((Y42+Y129)+Y127)+Y131)+Y136)+Y137)+Y140)+Y144)</f>
        <v>38568.2620182394</v>
      </c>
      <c r="Z146" s="11" t="n">
        <f aca="false">(((((((Z42+Z129)+Z127)+Z131)+Z136)+Z137)+Z140)+Z144)</f>
        <v>38764.6733789384</v>
      </c>
      <c r="AA146" s="11" t="n">
        <f aca="false">(((((((AA42+AA129)+AA127)+AA131)+AA136)+AA137)+AA140)+AA144)</f>
        <v>54453.0923991718</v>
      </c>
      <c r="AB146" s="11" t="n">
        <f aca="false">(((((((AB42+AB129)+AB127)+AB131)+AB136)+AB137)+AB140)+AB144)</f>
        <v>56437.0185212655</v>
      </c>
      <c r="AC146" s="11" t="n">
        <f aca="false">(((((((AC42+AC129)+AC127)+AC131)+AC136)+AC137)+AC140)+AC144)</f>
        <v>57610.9029086145</v>
      </c>
      <c r="AD146" s="11" t="n">
        <f aca="false">(((((((AD42+AD129)+AD127)+AD131)+AD136)+AD137)+AD140)+AD144)</f>
        <v>61266.4649433816</v>
      </c>
      <c r="AE146" s="11" t="n">
        <f aca="false">(((((((AE42+AE129)+AE127)+AE131)+AE136)+AE137)+AE140)+AE144)</f>
        <v>74860.6811821882</v>
      </c>
      <c r="AF146" s="11" t="n">
        <f aca="false">(((((((AF42+AF129)+AF127)+AF131)+AF136)+AF137)+AF140)+AF144)</f>
        <v>75902.2003977289</v>
      </c>
      <c r="AG146" s="11" t="n">
        <f aca="false">(((((((AG42+AG129)+AG127)+AG131)+AG136)+AG137)+AG140)+AG144)</f>
        <v>89100.2719518419</v>
      </c>
      <c r="AH146" s="11" t="n">
        <f aca="false">(((((((AH42+AH129)+AH127)+AH131)+AH136)+AH137)+AH140)+AH144)</f>
        <v>120316.691041469</v>
      </c>
      <c r="AI146" s="11" t="n">
        <f aca="false">(((((((AI42+AI129)+AI127)+AI131)+AI136)+AI137)+AI140)+AI144)</f>
        <v>122866.646747642</v>
      </c>
      <c r="AJ146" s="11" t="n">
        <f aca="false">(((((((AJ42+AJ129)+AJ127)+AJ131)+AJ136)+AJ137)+AJ140)+AJ144)</f>
        <v>148224.358127928</v>
      </c>
      <c r="AK146" s="11" t="n">
        <f aca="false">(((((((AK42+AK129)+AK127)+AK131)+AK136)+AK137)+AK140)+AK144)</f>
        <v>173398.110450929</v>
      </c>
      <c r="AL146" s="11" t="n">
        <f aca="false">(((((((AL42+AL129)+AL127)+AL131)+AL136)+AL137)+AL140)+AL144)</f>
        <v>221142.781813632</v>
      </c>
      <c r="AN146" s="11" t="n">
        <f aca="false">SUM(C146:N146)</f>
        <v>0</v>
      </c>
      <c r="AO146" s="11" t="n">
        <f aca="false">SUM(O146:Z146)</f>
        <v>166843.298236569</v>
      </c>
      <c r="AP146" s="11" t="n">
        <f aca="false">SUM(AA146:AL146)</f>
        <v>1255579.22048579</v>
      </c>
    </row>
    <row r="147" customFormat="false" ht="15" hidden="false" customHeight="false" outlineLevel="0" collapsed="false">
      <c r="A147" s="0" t="s">
        <v>952</v>
      </c>
      <c r="B147" s="0" t="s">
        <v>230</v>
      </c>
      <c r="C147" s="9" t="n">
        <f aca="false">((((C42+C127)+C136)+C137)+C140)</f>
        <v>0</v>
      </c>
      <c r="D147" s="9" t="n">
        <f aca="false">((((D42+D127)+D136)+D137)+D140)</f>
        <v>0</v>
      </c>
      <c r="E147" s="9" t="n">
        <f aca="false">((((E42+E127)+E136)+E137)+E140)</f>
        <v>0</v>
      </c>
      <c r="F147" s="9" t="n">
        <f aca="false">((((F42+F127)+F136)+F137)+F140)</f>
        <v>0</v>
      </c>
      <c r="G147" s="9" t="n">
        <f aca="false">((((G42+G127)+G136)+G137)+G140)</f>
        <v>0</v>
      </c>
      <c r="H147" s="9" t="n">
        <f aca="false">((((H42+H127)+H136)+H137)+H140)</f>
        <v>0</v>
      </c>
      <c r="I147" s="9" t="n">
        <f aca="false">((((I42+I127)+I136)+I137)+I140)</f>
        <v>0</v>
      </c>
      <c r="J147" s="9" t="n">
        <f aca="false">((((J42+J127)+J136)+J137)+J140)</f>
        <v>0</v>
      </c>
      <c r="K147" s="9" t="n">
        <f aca="false">((((K42+K127)+K136)+K137)+K140)</f>
        <v>0</v>
      </c>
      <c r="L147" s="9" t="n">
        <f aca="false">((((L42+L127)+L136)+L137)+L140)</f>
        <v>0</v>
      </c>
      <c r="M147" s="9" t="n">
        <f aca="false">((((M42+M127)+M136)+M137)+M140)</f>
        <v>0</v>
      </c>
      <c r="N147" s="9" t="n">
        <f aca="false">((((N42+N127)+N136)+N137)+N140)</f>
        <v>0</v>
      </c>
      <c r="O147" s="9" t="n">
        <f aca="false">((((O42+O127)+O136)+O137)+O140)</f>
        <v>25.964676852839</v>
      </c>
      <c r="P147" s="9" t="n">
        <f aca="false">((((P42+P127)+P136)+P137)+P140)</f>
        <v>83.0739018655001</v>
      </c>
      <c r="Q147" s="9" t="n">
        <f aca="false">((((Q42+Q127)+Q136)+Q137)+Q140)</f>
        <v>163.197760212586</v>
      </c>
      <c r="R147" s="9" t="n">
        <f aca="false">((((R42+R127)+R136)+R137)+R140)</f>
        <v>259.067102187655</v>
      </c>
      <c r="S147" s="9" t="n">
        <f aca="false">((((S42+S127)+S136)+S137)+S140)</f>
        <v>366.449670308577</v>
      </c>
      <c r="T147" s="9" t="n">
        <f aca="false">((((T42+T127)+T136)+T137)+T140)</f>
        <v>5033.17917737329</v>
      </c>
      <c r="U147" s="9" t="n">
        <f aca="false">((((U42+U127)+U136)+U137)+U140)</f>
        <v>5148.14777231801</v>
      </c>
      <c r="V147" s="9" t="n">
        <f aca="false">((((V42+V127)+V136)+V137)+V140)</f>
        <v>5702.29948748994</v>
      </c>
      <c r="W147" s="9" t="n">
        <f aca="false">((((W42+W127)+W136)+W137)+W140)</f>
        <v>5855.06267196416</v>
      </c>
      <c r="X147" s="9" t="n">
        <f aca="false">((((X42+X127)+X136)+X137)+X140)</f>
        <v>6040.58728548562</v>
      </c>
      <c r="Y147" s="9" t="n">
        <f aca="false">((((Y42+Y127)+Y136)+Y137)+Y140)</f>
        <v>6234.9286849061</v>
      </c>
      <c r="Z147" s="9" t="n">
        <f aca="false">((((Z42+Z127)+Z136)+Z137)+Z140)</f>
        <v>6431.34004560502</v>
      </c>
      <c r="AA147" s="9" t="n">
        <f aca="false">((((AA42+AA127)+AA136)+AA137)+AA140)</f>
        <v>7619.75906583846</v>
      </c>
      <c r="AB147" s="9" t="n">
        <f aca="false">((((AB42+AB127)+AB136)+AB137)+AB140)</f>
        <v>9603.68518793217</v>
      </c>
      <c r="AC147" s="9" t="n">
        <f aca="false">((((AC42+AC127)+AC136)+AC137)+AC140)</f>
        <v>10777.5695752811</v>
      </c>
      <c r="AD147" s="9" t="n">
        <f aca="false">((((AD42+AD127)+AD136)+AD137)+AD140)</f>
        <v>11933.1316100483</v>
      </c>
      <c r="AE147" s="9" t="n">
        <f aca="false">((((AE42+AE127)+AE136)+AE137)+AE140)</f>
        <v>18527.3478488549</v>
      </c>
      <c r="AF147" s="9" t="n">
        <f aca="false">((((AF42+AF127)+AF136)+AF137)+AF140)</f>
        <v>19568.8670643956</v>
      </c>
      <c r="AG147" s="9" t="n">
        <f aca="false">((((AG42+AG127)+AG136)+AG137)+AG140)</f>
        <v>21646.9386185086</v>
      </c>
      <c r="AH147" s="9" t="n">
        <f aca="false">((((AH42+AH127)+AH136)+AH137)+AH140)</f>
        <v>36987.3243748027</v>
      </c>
      <c r="AI147" s="9" t="n">
        <f aca="false">((((AI42+AI127)+AI136)+AI137)+AI140)</f>
        <v>39016.2880809752</v>
      </c>
      <c r="AJ147" s="9" t="n">
        <f aca="false">((((AJ42+AJ127)+AJ136)+AJ137)+AJ140)</f>
        <v>41040.5138079281</v>
      </c>
      <c r="AK147" s="9" t="n">
        <f aca="false">((((AK42+AK127)+AK136)+AK137)+AK140)</f>
        <v>58734.1199037285</v>
      </c>
      <c r="AL147" s="9" t="n">
        <f aca="false">((((AL42+AL127)+AL136)+AL137)+AL140)</f>
        <v>60684.517554987</v>
      </c>
      <c r="AN147" s="11" t="n">
        <f aca="false">SUM(C147:N147)</f>
        <v>0</v>
      </c>
      <c r="AO147" s="11" t="n">
        <f aca="false">SUM(O147:Z147)</f>
        <v>41343.2982365693</v>
      </c>
      <c r="AP147" s="11" t="n">
        <f aca="false">SUM(AA147:AL147)</f>
        <v>336140.062693281</v>
      </c>
    </row>
    <row r="148" customFormat="false" ht="15" hidden="false" customHeight="false" outlineLevel="0" collapsed="false">
      <c r="A148" s="10" t="s">
        <v>953</v>
      </c>
      <c r="B148" s="20" t="s">
        <v>230</v>
      </c>
      <c r="C148" s="11" t="n">
        <f aca="false">(C147*12)</f>
        <v>0</v>
      </c>
      <c r="D148" s="11" t="n">
        <f aca="false">(D147*12)</f>
        <v>0</v>
      </c>
      <c r="E148" s="11" t="n">
        <f aca="false">(E147*12)</f>
        <v>0</v>
      </c>
      <c r="F148" s="11" t="n">
        <f aca="false">(F147*12)</f>
        <v>0</v>
      </c>
      <c r="G148" s="11" t="n">
        <f aca="false">(G147*12)</f>
        <v>0</v>
      </c>
      <c r="H148" s="11" t="n">
        <f aca="false">(H147*12)</f>
        <v>0</v>
      </c>
      <c r="I148" s="11" t="n">
        <f aca="false">(I147*12)</f>
        <v>0</v>
      </c>
      <c r="J148" s="11" t="n">
        <f aca="false">(J147*12)</f>
        <v>0</v>
      </c>
      <c r="K148" s="11" t="n">
        <f aca="false">(K147*12)</f>
        <v>0</v>
      </c>
      <c r="L148" s="11" t="n">
        <f aca="false">(L147*12)</f>
        <v>0</v>
      </c>
      <c r="M148" s="11" t="n">
        <f aca="false">(M147*12)</f>
        <v>0</v>
      </c>
      <c r="N148" s="11" t="n">
        <f aca="false">(N147*12)</f>
        <v>0</v>
      </c>
      <c r="O148" s="11" t="n">
        <f aca="false">(O147*12)</f>
        <v>311.576122234068</v>
      </c>
      <c r="P148" s="11" t="n">
        <f aca="false">(P147*12)</f>
        <v>996.886822386001</v>
      </c>
      <c r="Q148" s="11" t="n">
        <f aca="false">(Q147*12)</f>
        <v>1958.37312255104</v>
      </c>
      <c r="R148" s="11" t="n">
        <f aca="false">(R147*12)</f>
        <v>3108.80522625186</v>
      </c>
      <c r="S148" s="11" t="n">
        <f aca="false">(S147*12)</f>
        <v>4397.39604370293</v>
      </c>
      <c r="T148" s="11" t="n">
        <f aca="false">(T147*12)</f>
        <v>60398.1501284794</v>
      </c>
      <c r="U148" s="11" t="n">
        <f aca="false">(U147*12)</f>
        <v>61777.7732678161</v>
      </c>
      <c r="V148" s="11" t="n">
        <f aca="false">(V147*12)</f>
        <v>68427.5938498793</v>
      </c>
      <c r="W148" s="11" t="n">
        <f aca="false">(W147*12)</f>
        <v>70260.75206357</v>
      </c>
      <c r="X148" s="11" t="n">
        <f aca="false">(X147*12)</f>
        <v>72487.0474258275</v>
      </c>
      <c r="Y148" s="11" t="n">
        <f aca="false">(Y147*12)</f>
        <v>74819.1442188732</v>
      </c>
      <c r="Z148" s="11" t="n">
        <f aca="false">(Z147*12)</f>
        <v>77176.0805472603</v>
      </c>
      <c r="AA148" s="11" t="n">
        <f aca="false">(AA147*12)</f>
        <v>91437.1087900615</v>
      </c>
      <c r="AB148" s="11" t="n">
        <f aca="false">(AB147*12)</f>
        <v>115244.222255186</v>
      </c>
      <c r="AC148" s="11" t="n">
        <f aca="false">(AC147*12)</f>
        <v>129330.834903373</v>
      </c>
      <c r="AD148" s="11" t="n">
        <f aca="false">(AD147*12)</f>
        <v>143197.57932058</v>
      </c>
      <c r="AE148" s="11" t="n">
        <f aca="false">(AE147*12)</f>
        <v>222328.174186259</v>
      </c>
      <c r="AF148" s="11" t="n">
        <f aca="false">(AF147*12)</f>
        <v>234826.404772747</v>
      </c>
      <c r="AG148" s="11" t="n">
        <f aca="false">(AG147*12)</f>
        <v>259763.263422103</v>
      </c>
      <c r="AH148" s="11" t="n">
        <f aca="false">(AH147*12)</f>
        <v>443847.892497633</v>
      </c>
      <c r="AI148" s="11" t="n">
        <f aca="false">(AI147*12)</f>
        <v>468195.456971703</v>
      </c>
      <c r="AJ148" s="11" t="n">
        <f aca="false">(AJ147*12)</f>
        <v>492486.165695137</v>
      </c>
      <c r="AK148" s="11" t="n">
        <f aca="false">(AK147*12)</f>
        <v>704809.438844742</v>
      </c>
      <c r="AL148" s="11" t="n">
        <f aca="false">(AL147*12)</f>
        <v>728214.210659844</v>
      </c>
      <c r="AN148" s="11" t="n">
        <f aca="false">N148</f>
        <v>0</v>
      </c>
      <c r="AO148" s="11" t="n">
        <f aca="false">Z148</f>
        <v>77176.0805472603</v>
      </c>
      <c r="AP148" s="11" t="n">
        <f aca="false">AL148</f>
        <v>728214.210659844</v>
      </c>
    </row>
    <row r="149" customFormat="false" ht="15" hidden="false" customHeight="false" outlineLevel="0" collapsed="false">
      <c r="A149" s="0" t="s">
        <v>954</v>
      </c>
      <c r="B149" s="0" t="s">
        <v>230</v>
      </c>
      <c r="C149" s="9" t="n">
        <f aca="false">((((C127+C136)+C137)+C140)*12)</f>
        <v>0</v>
      </c>
      <c r="D149" s="9" t="n">
        <f aca="false">((((D127+D136)+D137)+D140)*12)</f>
        <v>0</v>
      </c>
      <c r="E149" s="9" t="n">
        <f aca="false">((((E127+E136)+E137)+E140)*12)</f>
        <v>0</v>
      </c>
      <c r="F149" s="9" t="n">
        <f aca="false">((((F127+F136)+F137)+F140)*12)</f>
        <v>0</v>
      </c>
      <c r="G149" s="9" t="n">
        <f aca="false">((((G127+G136)+G137)+G140)*12)</f>
        <v>0</v>
      </c>
      <c r="H149" s="9" t="n">
        <f aca="false">((((H127+H136)+H137)+H140)*12)</f>
        <v>0</v>
      </c>
      <c r="I149" s="9" t="n">
        <f aca="false">((((I127+I136)+I137)+I140)*12)</f>
        <v>0</v>
      </c>
      <c r="J149" s="9" t="n">
        <f aca="false">((((J127+J136)+J137)+J140)*12)</f>
        <v>0</v>
      </c>
      <c r="K149" s="9" t="n">
        <f aca="false">((((K127+K136)+K137)+K140)*12)</f>
        <v>0</v>
      </c>
      <c r="L149" s="9" t="n">
        <f aca="false">((((L127+L136)+L137)+L140)*12)</f>
        <v>0</v>
      </c>
      <c r="M149" s="9" t="n">
        <f aca="false">((((M127+M136)+M137)+M140)*12)</f>
        <v>0</v>
      </c>
      <c r="N149" s="9" t="n">
        <f aca="false">((((N127+N136)+N137)+N140)*12)</f>
        <v>0</v>
      </c>
      <c r="O149" s="9" t="n">
        <f aca="false">((((O127+O136)+O137)+O140)*12)</f>
        <v>0</v>
      </c>
      <c r="P149" s="9" t="n">
        <f aca="false">((((P127+P136)+P137)+P140)*12)</f>
        <v>0</v>
      </c>
      <c r="Q149" s="9" t="n">
        <f aca="false">((((Q127+Q136)+Q137)+Q140)*12)</f>
        <v>0</v>
      </c>
      <c r="R149" s="9" t="n">
        <f aca="false">((((R127+R136)+R137)+R140)*12)</f>
        <v>0</v>
      </c>
      <c r="S149" s="9" t="n">
        <f aca="false">((((S127+S136)+S137)+S140)*12)</f>
        <v>0</v>
      </c>
      <c r="T149" s="9" t="n">
        <f aca="false">((((T127+T136)+T137)+T140)*12)</f>
        <v>54648</v>
      </c>
      <c r="U149" s="9" t="n">
        <f aca="false">((((U127+U136)+U137)+U140)*12)</f>
        <v>54648</v>
      </c>
      <c r="V149" s="9" t="n">
        <f aca="false">((((V127+V136)+V137)+V140)*12)</f>
        <v>59832</v>
      </c>
      <c r="W149" s="9" t="n">
        <f aca="false">((((W127+W136)+W137)+W140)*12)</f>
        <v>59832</v>
      </c>
      <c r="X149" s="9" t="n">
        <f aca="false">((((X127+X136)+X137)+X140)*12)</f>
        <v>59832</v>
      </c>
      <c r="Y149" s="9" t="n">
        <f aca="false">((((Y127+Y136)+Y137)+Y140)*12)</f>
        <v>59832</v>
      </c>
      <c r="Z149" s="9" t="n">
        <f aca="false">((((Z127+Z136)+Z137)+Z140)*12)</f>
        <v>59832</v>
      </c>
      <c r="AA149" s="9" t="n">
        <f aca="false">((((AA127+AA136)+AA137)+AA140)*12)</f>
        <v>71832</v>
      </c>
      <c r="AB149" s="9" t="n">
        <f aca="false">((((AB127+AB136)+AB137)+AB140)*12)</f>
        <v>93177</v>
      </c>
      <c r="AC149" s="9" t="n">
        <f aca="false">((((AC127+AC136)+AC137)+AC140)*12)</f>
        <v>104701.8</v>
      </c>
      <c r="AD149" s="9" t="n">
        <f aca="false">((((AD127+AD136)+AD137)+AD140)*12)</f>
        <v>115996.104</v>
      </c>
      <c r="AE149" s="9" t="n">
        <f aca="false">((((AE127+AE136)+AE137)+AE140)*12)</f>
        <v>192584.52192</v>
      </c>
      <c r="AF149" s="9" t="n">
        <f aca="false">((((AF127+AF136)+AF137)+AF140)*12)</f>
        <v>202645.1154816</v>
      </c>
      <c r="AG149" s="9" t="n">
        <f aca="false">((((AG127+AG136)+AG137)+AG140)*12)</f>
        <v>225275.224051968</v>
      </c>
      <c r="AH149" s="9" t="n">
        <f aca="false">((((AH127+AH136)+AH137)+AH140)*12)</f>
        <v>407086.730450929</v>
      </c>
      <c r="AI149" s="9" t="n">
        <f aca="false">((((AI127+AI136)+AI137)+AI140)*12)</f>
        <v>428820.68672191</v>
      </c>
      <c r="AJ149" s="9" t="n">
        <f aca="false">((((AJ127+AJ136)+AJ137)+AJ140)*12)</f>
        <v>450119.963867472</v>
      </c>
      <c r="AK149" s="9" t="n">
        <f aca="false">((((AK127+AK136)+AK137)+AK140)*12)</f>
        <v>659427.255470122</v>
      </c>
      <c r="AL149" s="9" t="n">
        <f aca="false">((((AL127+AL136)+AL137)+AL140)*12)</f>
        <v>679883.08124072</v>
      </c>
      <c r="AN149" s="11" t="n">
        <f aca="false">N149</f>
        <v>0</v>
      </c>
      <c r="AO149" s="11" t="n">
        <f aca="false">Z149</f>
        <v>59832</v>
      </c>
      <c r="AP149" s="11" t="n">
        <f aca="false">AL149</f>
        <v>679883.08124072</v>
      </c>
    </row>
    <row r="150" customFormat="false" ht="15" hidden="false" customHeight="false" outlineLevel="0" collapsed="false">
      <c r="A150" s="0" t="s">
        <v>955</v>
      </c>
      <c r="B150" s="0" t="s">
        <v>230</v>
      </c>
      <c r="C150" s="9" t="n">
        <f aca="false">(C42*12)</f>
        <v>0</v>
      </c>
      <c r="D150" s="9" t="n">
        <f aca="false">(D42*12)</f>
        <v>0</v>
      </c>
      <c r="E150" s="9" t="n">
        <f aca="false">(E42*12)</f>
        <v>0</v>
      </c>
      <c r="F150" s="9" t="n">
        <f aca="false">(F42*12)</f>
        <v>0</v>
      </c>
      <c r="G150" s="9" t="n">
        <f aca="false">(G42*12)</f>
        <v>0</v>
      </c>
      <c r="H150" s="9" t="n">
        <f aca="false">(H42*12)</f>
        <v>0</v>
      </c>
      <c r="I150" s="9" t="n">
        <f aca="false">(I42*12)</f>
        <v>0</v>
      </c>
      <c r="J150" s="9" t="n">
        <f aca="false">(J42*12)</f>
        <v>0</v>
      </c>
      <c r="K150" s="9" t="n">
        <f aca="false">(K42*12)</f>
        <v>0</v>
      </c>
      <c r="L150" s="9" t="n">
        <f aca="false">(L42*12)</f>
        <v>0</v>
      </c>
      <c r="M150" s="9" t="n">
        <f aca="false">(M42*12)</f>
        <v>0</v>
      </c>
      <c r="N150" s="9" t="n">
        <f aca="false">(N42*12)</f>
        <v>0</v>
      </c>
      <c r="O150" s="9" t="n">
        <f aca="false">(O42*12)</f>
        <v>311.576122234068</v>
      </c>
      <c r="P150" s="9" t="n">
        <f aca="false">(P42*12)</f>
        <v>996.886822386001</v>
      </c>
      <c r="Q150" s="9" t="n">
        <f aca="false">(Q42*12)</f>
        <v>1958.37312255104</v>
      </c>
      <c r="R150" s="9" t="n">
        <f aca="false">(R42*12)</f>
        <v>3108.80522625186</v>
      </c>
      <c r="S150" s="9" t="n">
        <f aca="false">(S42*12)</f>
        <v>4397.39604370293</v>
      </c>
      <c r="T150" s="9" t="n">
        <f aca="false">(T42*12)</f>
        <v>5750.15012847944</v>
      </c>
      <c r="U150" s="9" t="n">
        <f aca="false">(U42*12)</f>
        <v>7129.77326781614</v>
      </c>
      <c r="V150" s="9" t="n">
        <f aca="false">(V42*12)</f>
        <v>8595.5938498793</v>
      </c>
      <c r="W150" s="9" t="n">
        <f aca="false">(W42*12)</f>
        <v>10428.75206357</v>
      </c>
      <c r="X150" s="9" t="n">
        <f aca="false">(X42*12)</f>
        <v>12655.0474258275</v>
      </c>
      <c r="Y150" s="9" t="n">
        <f aca="false">(Y42*12)</f>
        <v>14987.1442188732</v>
      </c>
      <c r="Z150" s="9" t="n">
        <f aca="false">(Z42*12)</f>
        <v>17344.0805472603</v>
      </c>
      <c r="AA150" s="9" t="n">
        <f aca="false">(AA42*12)</f>
        <v>19605.1087900615</v>
      </c>
      <c r="AB150" s="9" t="n">
        <f aca="false">(AB42*12)</f>
        <v>22067.2222551861</v>
      </c>
      <c r="AC150" s="9" t="n">
        <f aca="false">(AC42*12)</f>
        <v>24629.0349033734</v>
      </c>
      <c r="AD150" s="9" t="n">
        <f aca="false">(AD42*12)</f>
        <v>27201.4753205796</v>
      </c>
      <c r="AE150" s="9" t="n">
        <f aca="false">(AE42*12)</f>
        <v>29743.6522662586</v>
      </c>
      <c r="AF150" s="9" t="n">
        <f aca="false">(AF42*12)</f>
        <v>32181.2892911471</v>
      </c>
      <c r="AG150" s="9" t="n">
        <f aca="false">(AG42*12)</f>
        <v>34488.0393701347</v>
      </c>
      <c r="AH150" s="9" t="n">
        <f aca="false">(AH42*12)</f>
        <v>36761.1620467044</v>
      </c>
      <c r="AI150" s="9" t="n">
        <f aca="false">(AI42*12)</f>
        <v>39374.770249793</v>
      </c>
      <c r="AJ150" s="9" t="n">
        <f aca="false">(AJ42*12)</f>
        <v>42366.201827665</v>
      </c>
      <c r="AK150" s="9" t="n">
        <f aca="false">(AK42*12)</f>
        <v>45382.1833746197</v>
      </c>
      <c r="AL150" s="9" t="n">
        <f aca="false">(AL42*12)</f>
        <v>48331.1294191236</v>
      </c>
      <c r="AN150" s="11" t="n">
        <f aca="false">N150</f>
        <v>0</v>
      </c>
      <c r="AO150" s="11" t="n">
        <f aca="false">Z150</f>
        <v>17344.0805472603</v>
      </c>
      <c r="AP150" s="11" t="n">
        <f aca="false">AL150</f>
        <v>48331.1294191236</v>
      </c>
    </row>
    <row r="151" customFormat="false" ht="15" hidden="false" customHeight="false" outlineLevel="0" collapsed="false">
      <c r="A151" s="10" t="s">
        <v>956</v>
      </c>
      <c r="B151" s="20" t="s">
        <v>230</v>
      </c>
      <c r="C151" s="11" t="n">
        <f aca="false">(((((((C41+C130)+C128)+C132)+C136)+C137)+C140)+C144)</f>
        <v>0</v>
      </c>
      <c r="D151" s="11" t="n">
        <f aca="false">(((((((D41+D130)+D128)+D132)+D136)+D137)+D140)+D144)</f>
        <v>0</v>
      </c>
      <c r="E151" s="11" t="n">
        <f aca="false">(((((((E41+E130)+E128)+E132)+E136)+E137)+E140)+E144)</f>
        <v>0</v>
      </c>
      <c r="F151" s="11" t="n">
        <f aca="false">(((((((F41+F130)+F128)+F132)+F136)+F137)+F140)+F144)</f>
        <v>0</v>
      </c>
      <c r="G151" s="11" t="n">
        <f aca="false">(((((((G41+G130)+G128)+G132)+G136)+G137)+G140)+G144)</f>
        <v>0</v>
      </c>
      <c r="H151" s="11" t="n">
        <f aca="false">(((((((H41+H130)+H128)+H132)+H136)+H137)+H140)+H144)</f>
        <v>0</v>
      </c>
      <c r="I151" s="11" t="n">
        <f aca="false">(((((((I41+I130)+I128)+I132)+I136)+I137)+I140)+I144)</f>
        <v>0</v>
      </c>
      <c r="J151" s="11" t="n">
        <f aca="false">(((((((J41+J130)+J128)+J132)+J136)+J137)+J140)+J144)</f>
        <v>0</v>
      </c>
      <c r="K151" s="11" t="n">
        <f aca="false">(((((((K41+K130)+K128)+K132)+K136)+K137)+K140)+K144)</f>
        <v>0</v>
      </c>
      <c r="L151" s="11" t="n">
        <f aca="false">(((((((L41+L130)+L128)+L132)+L136)+L137)+L140)+L144)</f>
        <v>0</v>
      </c>
      <c r="M151" s="11" t="n">
        <f aca="false">(((((((M41+M130)+M128)+M132)+M136)+M137)+M140)+M144)</f>
        <v>0</v>
      </c>
      <c r="N151" s="11" t="n">
        <f aca="false">(((((((N41+N130)+N128)+N132)+N136)+N137)+N140)+N144)</f>
        <v>0</v>
      </c>
      <c r="O151" s="11" t="n">
        <f aca="false">(((((((O41+O130)+O128)+O132)+O136)+O137)+O140)+O144)</f>
        <v>121.607982877657</v>
      </c>
      <c r="P151" s="11" t="n">
        <f aca="false">(((((((P41+P130)+P128)+P132)+P136)+P137)+P140)+P144)</f>
        <v>287.926957961313</v>
      </c>
      <c r="Q151" s="11" t="n">
        <f aca="false">(((((((Q41+Q130)+Q128)+Q132)+Q136)+Q137)+Q140)+Q144)</f>
        <v>440.356712315043</v>
      </c>
      <c r="R151" s="11" t="n">
        <f aca="false">(((((((R41+R130)+R128)+R132)+R136)+R137)+R140)+R144)</f>
        <v>576.120353042797</v>
      </c>
      <c r="S151" s="11" t="n">
        <f aca="false">(((((((S41+S130)+S128)+S132)+S136)+S137)+S140)+S144)</f>
        <v>703.425043098247</v>
      </c>
      <c r="T151" s="11" t="n">
        <f aca="false">(((((((T41+T130)+T128)+T132)+T136)+T137)+T140)+T144)</f>
        <v>55457.6888559545</v>
      </c>
      <c r="U151" s="11" t="n">
        <f aca="false">(((((((U41+U130)+U128)+U132)+U136)+U137)+U140)+U144)</f>
        <v>36904.2482421566</v>
      </c>
      <c r="V151" s="11" t="n">
        <f aca="false">(((((((V41+V130)+V128)+V132)+V136)+V137)+V140)+V144)</f>
        <v>1454.31936405095</v>
      </c>
      <c r="W151" s="11" t="n">
        <f aca="false">(((((((W41+W130)+W128)+W132)+W136)+W137)+W140)+W144)</f>
        <v>1686.36335472606</v>
      </c>
      <c r="X151" s="11" t="n">
        <f aca="false">(((((((X41+X130)+X128)+X132)+X136)+X137)+X140)+X144)</f>
        <v>113951.102727603</v>
      </c>
      <c r="Y151" s="11" t="n">
        <f aca="false">(((((((Y41+Y130)+Y128)+Y132)+Y136)+Y137)+Y140)+Y144)</f>
        <v>2127.63551564298</v>
      </c>
      <c r="Z151" s="11" t="n">
        <f aca="false">(((((((Z41+Z130)+Z128)+Z132)+Z136)+Z137)+Z140)+Z144)</f>
        <v>2277.24891436354</v>
      </c>
      <c r="AA151" s="11" t="n">
        <f aca="false">(((((((AA41+AA130)+AA128)+AA132)+AA136)+AA137)+AA140)+AA144)</f>
        <v>151454.733598324</v>
      </c>
      <c r="AB151" s="11" t="n">
        <f aca="false">(((((((AB41+AB130)+AB128)+AB132)+AB136)+AB137)+AB140)+AB144)</f>
        <v>13335.2125931985</v>
      </c>
      <c r="AC151" s="11" t="n">
        <f aca="false">(((((((AC41+AC130)+AC128)+AC132)+AC136)+AC137)+AC140)+AC144)</f>
        <v>6050.5518486731</v>
      </c>
      <c r="AD151" s="11" t="n">
        <f aca="false">(((((((AD41+AD130)+AD128)+AD132)+AD136)+AD137)+AD140)+AD144)</f>
        <v>155204.876029969</v>
      </c>
      <c r="AE151" s="11" t="n">
        <f aca="false">(((((((AE41+AE130)+AE128)+AE132)+AE136)+AE137)+AE140)+AE144)</f>
        <v>88970.7492358849</v>
      </c>
      <c r="AF151" s="11" t="n">
        <f aca="false">(((((((AF41+AF130)+AF128)+AF132)+AF136)+AF137)+AF140)+AF144)</f>
        <v>62867.7644497548</v>
      </c>
      <c r="AG151" s="11" t="n">
        <f aca="false">(((((((AG41+AG130)+AG128)+AG132)+AG136)+AG137)+AG140)+AG144)</f>
        <v>197584.609610794</v>
      </c>
      <c r="AH151" s="11" t="n">
        <f aca="false">(((((((AH41+AH130)+AH128)+AH132)+AH136)+AH137)+AH140)+AH144)</f>
        <v>226990.549801724</v>
      </c>
      <c r="AI151" s="11" t="n">
        <f aca="false">(((((((AI41+AI130)+AI128)+AI132)+AI136)+AI137)+AI140)+AI144)</f>
        <v>20257.746056737</v>
      </c>
      <c r="AJ151" s="11" t="n">
        <f aca="false">(((((((AJ41+AJ130)+AJ128)+AJ132)+AJ136)+AJ137)+AJ140)+AJ144)</f>
        <v>282944.73996971</v>
      </c>
      <c r="AK151" s="11" t="n">
        <f aca="false">(((((((AK41+AK130)+AK128)+AK132)+AK136)+AK137)+AK140)+AK144)</f>
        <v>283860.869372518</v>
      </c>
      <c r="AL151" s="11" t="n">
        <f aca="false">(((((((AL41+AL130)+AL128)+AL132)+AL136)+AL137)+AL140)+AL144)</f>
        <v>195376.701967804</v>
      </c>
      <c r="AN151" s="11" t="n">
        <f aca="false">SUM(C151:N151)</f>
        <v>0</v>
      </c>
      <c r="AO151" s="11" t="n">
        <f aca="false">SUM(O151:Z151)</f>
        <v>215988.044023793</v>
      </c>
      <c r="AP151" s="11" t="n">
        <f aca="false">SUM(AA151:AL151)</f>
        <v>1684899.10453509</v>
      </c>
    </row>
    <row r="152" customFormat="false" ht="15" hidden="false" customHeight="false" outlineLevel="0" collapsed="false">
      <c r="A152" s="0" t="s">
        <v>957</v>
      </c>
      <c r="B152" s="0" t="s">
        <v>230</v>
      </c>
      <c r="C152" s="9" t="n">
        <f aca="false">((C130+C128)+C132)</f>
        <v>0</v>
      </c>
      <c r="D152" s="9" t="n">
        <f aca="false">((D130+D128)+D132)</f>
        <v>0</v>
      </c>
      <c r="E152" s="9" t="n">
        <f aca="false">((E130+E128)+E132)</f>
        <v>0</v>
      </c>
      <c r="F152" s="9" t="n">
        <f aca="false">((F130+F128)+F132)</f>
        <v>0</v>
      </c>
      <c r="G152" s="9" t="n">
        <f aca="false">((G130+G128)+G132)</f>
        <v>0</v>
      </c>
      <c r="H152" s="9" t="n">
        <f aca="false">((H130+H128)+H132)</f>
        <v>0</v>
      </c>
      <c r="I152" s="9" t="n">
        <f aca="false">((I130+I128)+I132)</f>
        <v>0</v>
      </c>
      <c r="J152" s="9" t="n">
        <f aca="false">((J130+J128)+J132)</f>
        <v>0</v>
      </c>
      <c r="K152" s="9" t="n">
        <f aca="false">((K130+K128)+K132)</f>
        <v>0</v>
      </c>
      <c r="L152" s="9" t="n">
        <f aca="false">((L130+L128)+L132)</f>
        <v>0</v>
      </c>
      <c r="M152" s="9" t="n">
        <f aca="false">((M130+M128)+M132)</f>
        <v>0</v>
      </c>
      <c r="N152" s="9" t="n">
        <f aca="false">((N130+N128)+N132)</f>
        <v>0</v>
      </c>
      <c r="O152" s="9" t="n">
        <f aca="false">((O130+O128)+O132)</f>
        <v>0</v>
      </c>
      <c r="P152" s="9" t="n">
        <f aca="false">((P130+P128)+P132)</f>
        <v>0</v>
      </c>
      <c r="Q152" s="9" t="n">
        <f aca="false">((Q130+Q128)+Q132)</f>
        <v>0</v>
      </c>
      <c r="R152" s="9" t="n">
        <f aca="false">((R130+R128)+R132)</f>
        <v>0</v>
      </c>
      <c r="S152" s="9" t="n">
        <f aca="false">((S130+S128)+S132)</f>
        <v>0</v>
      </c>
      <c r="T152" s="9" t="n">
        <f aca="false">((T130+T128)+T132)</f>
        <v>54648</v>
      </c>
      <c r="U152" s="9" t="n">
        <f aca="false">((U130+U128)+U132)</f>
        <v>36000</v>
      </c>
      <c r="V152" s="9" t="n">
        <f aca="false">((V130+V128)+V132)</f>
        <v>0</v>
      </c>
      <c r="W152" s="9" t="n">
        <f aca="false">((W130+W128)+W132)</f>
        <v>0</v>
      </c>
      <c r="X152" s="9" t="n">
        <f aca="false">((X130+X128)+X132)</f>
        <v>112000</v>
      </c>
      <c r="Y152" s="9" t="n">
        <f aca="false">((Y130+Y128)+Y132)</f>
        <v>0</v>
      </c>
      <c r="Z152" s="9" t="n">
        <f aca="false">((Z130+Z128)+Z132)</f>
        <v>0</v>
      </c>
      <c r="AA152" s="9" t="n">
        <f aca="false">((AA130+AA128)+AA132)</f>
        <v>148000</v>
      </c>
      <c r="AB152" s="9" t="n">
        <f aca="false">((AB130+AB128)+AB132)</f>
        <v>8505</v>
      </c>
      <c r="AC152" s="9" t="n">
        <f aca="false">((AC130+AC128)+AC132)</f>
        <v>0</v>
      </c>
      <c r="AD152" s="9" t="n">
        <f aca="false">((AD130+AD128)+AD132)</f>
        <v>148000</v>
      </c>
      <c r="AE152" s="9" t="n">
        <f aca="false">((AE130+AE128)+AE132)</f>
        <v>80124</v>
      </c>
      <c r="AF152" s="9" t="n">
        <f aca="false">((AF130+AF128)+AF132)</f>
        <v>52899.264</v>
      </c>
      <c r="AG152" s="9" t="n">
        <f aca="false">((AG130+AG128)+AG132)</f>
        <v>184000</v>
      </c>
      <c r="AH152" s="9" t="n">
        <f aca="false">((AH130+AH128)+AH132)</f>
        <v>209429</v>
      </c>
      <c r="AI152" s="9" t="n">
        <f aca="false">((AI130+AI128)+AI132)</f>
        <v>0</v>
      </c>
      <c r="AJ152" s="9" t="n">
        <f aca="false">((AJ130+AJ128)+AJ132)</f>
        <v>260000</v>
      </c>
      <c r="AK152" s="9" t="n">
        <f aca="false">((AK130+AK128)+AK132)</f>
        <v>256829</v>
      </c>
      <c r="AL152" s="9" t="n">
        <f aca="false">((AL130+AL128)+AL132)</f>
        <v>166000</v>
      </c>
      <c r="AN152" s="11" t="n">
        <f aca="false">SUM(C152:N152)</f>
        <v>0</v>
      </c>
      <c r="AO152" s="11" t="n">
        <f aca="false">SUM(O152:Z152)</f>
        <v>202648</v>
      </c>
      <c r="AP152" s="11" t="n">
        <f aca="false">SUM(AA152:AL152)</f>
        <v>1513786.264</v>
      </c>
    </row>
    <row r="153" customFormat="false" ht="15" hidden="false" customHeight="false" outlineLevel="0" collapsed="false">
      <c r="A153" s="0" t="s">
        <v>43</v>
      </c>
      <c r="B153" s="0" t="s">
        <v>230</v>
      </c>
      <c r="C153" s="9" t="n">
        <f aca="false">(((((C41+C136)+C137)+C140)+C144)+((1-Assumptions!$C$33)*0))</f>
        <v>0</v>
      </c>
      <c r="D153" s="9" t="n">
        <f aca="false">(((((D41+D136)+D137)+D140)+D144)+((1-Assumptions!$C$33)*0))</f>
        <v>0</v>
      </c>
      <c r="E153" s="9" t="n">
        <f aca="false">(((((E41+E136)+E137)+E140)+E144)+((1-Assumptions!$C$33)*C152))</f>
        <v>0</v>
      </c>
      <c r="F153" s="9" t="n">
        <f aca="false">(((((F41+F136)+F137)+F140)+F144)+((1-Assumptions!$C$33)*D152))</f>
        <v>0</v>
      </c>
      <c r="G153" s="9" t="n">
        <f aca="false">(((((G41+G136)+G137)+G140)+G144)+((1-Assumptions!$C$33)*E152))</f>
        <v>0</v>
      </c>
      <c r="H153" s="9" t="n">
        <f aca="false">(((((H41+H136)+H137)+H140)+H144)+((1-Assumptions!$C$33)*F152))</f>
        <v>0</v>
      </c>
      <c r="I153" s="9" t="n">
        <f aca="false">(((((I41+I136)+I137)+I140)+I144)+((1-Assumptions!$C$33)*G152))</f>
        <v>0</v>
      </c>
      <c r="J153" s="9" t="n">
        <f aca="false">(((((J41+J136)+J137)+J140)+J144)+((1-Assumptions!$C$33)*H152))</f>
        <v>0</v>
      </c>
      <c r="K153" s="9" t="n">
        <f aca="false">(((((K41+K136)+K137)+K140)+K144)+((1-Assumptions!$C$33)*I152))</f>
        <v>0</v>
      </c>
      <c r="L153" s="9" t="n">
        <f aca="false">(((((L41+L136)+L137)+L140)+L144)+((1-Assumptions!$C$33)*J152))</f>
        <v>0</v>
      </c>
      <c r="M153" s="9" t="n">
        <f aca="false">(((((M41+M136)+M137)+M140)+M144)+((1-Assumptions!$C$33)*K152))</f>
        <v>0</v>
      </c>
      <c r="N153" s="9" t="n">
        <f aca="false">(((((N41+N136)+N137)+N140)+N144)+((1-Assumptions!$C$33)*L152))</f>
        <v>0</v>
      </c>
      <c r="O153" s="9" t="n">
        <f aca="false">(((((O41+O136)+O137)+O140)+O144)+((1-Assumptions!$C$33)*M152))</f>
        <v>121.607982877657</v>
      </c>
      <c r="P153" s="9" t="n">
        <f aca="false">(((((P41+P136)+P137)+P140)+P144)+((1-Assumptions!$C$33)*N152))</f>
        <v>287.926957961313</v>
      </c>
      <c r="Q153" s="9" t="n">
        <f aca="false">(((((Q41+Q136)+Q137)+Q140)+Q144)+((1-Assumptions!$C$33)*O152))</f>
        <v>440.356712315043</v>
      </c>
      <c r="R153" s="9" t="n">
        <f aca="false">(((((R41+R136)+R137)+R140)+R144)+((1-Assumptions!$C$33)*P152))</f>
        <v>576.120353042797</v>
      </c>
      <c r="S153" s="9" t="n">
        <f aca="false">(((((S41+S136)+S137)+S140)+S144)+((1-Assumptions!$C$33)*Q152))</f>
        <v>703.425043098247</v>
      </c>
      <c r="T153" s="9" t="n">
        <f aca="false">(((((T41+T136)+T137)+T140)+T144)+((1-Assumptions!$C$33)*R152))</f>
        <v>809.68885595449</v>
      </c>
      <c r="U153" s="9" t="n">
        <f aca="false">(((((U41+U136)+U137)+U140)+U144)+((1-Assumptions!$C$33)*S152))</f>
        <v>904.248242156615</v>
      </c>
      <c r="V153" s="9" t="n">
        <f aca="false">(((((V41+V136)+V137)+V140)+V144)+((1-Assumptions!$C$33)*T152))</f>
        <v>55555.8393640509</v>
      </c>
      <c r="W153" s="9" t="n">
        <f aca="false">(((((W41+W136)+W137)+W140)+W144)+((1-Assumptions!$C$33)*U152))</f>
        <v>37326.3633547261</v>
      </c>
      <c r="X153" s="9" t="n">
        <f aca="false">(((((X41+X136)+X137)+X140)+X144)+((1-Assumptions!$C$33)*V152))</f>
        <v>1951.10272760288</v>
      </c>
      <c r="Y153" s="9" t="n">
        <f aca="false">(((((Y41+Y136)+Y137)+Y140)+Y144)+((1-Assumptions!$C$33)*W152))</f>
        <v>2127.63551564298</v>
      </c>
      <c r="Z153" s="9" t="n">
        <f aca="false">(((((Z41+Z136)+Z137)+Z140)+Z144)+((1-Assumptions!$C$33)*X152))</f>
        <v>113157.248914364</v>
      </c>
      <c r="AA153" s="9" t="n">
        <f aca="false">(((((AA41+AA136)+AA137)+AA140)+AA144)+((1-Assumptions!$C$33)*Y152))</f>
        <v>3454.73359832443</v>
      </c>
      <c r="AB153" s="9" t="n">
        <f aca="false">(((((AB41+AB136)+AB137)+AB140)+AB144)+((1-Assumptions!$C$33)*Z152))</f>
        <v>4830.21259319848</v>
      </c>
      <c r="AC153" s="9" t="n">
        <f aca="false">(((((AC41+AC136)+AC137)+AC140)+AC144)+((1-Assumptions!$C$33)*AA152))</f>
        <v>152570.551848673</v>
      </c>
      <c r="AD153" s="9" t="n">
        <f aca="false">(((((AD41+AD136)+AD137)+AD140)+AD144)+((1-Assumptions!$C$33)*AB152))</f>
        <v>15624.8260299691</v>
      </c>
      <c r="AE153" s="9" t="n">
        <f aca="false">(((((AE41+AE136)+AE137)+AE140)+AE144)+((1-Assumptions!$C$33)*AC152))</f>
        <v>8846.74923588485</v>
      </c>
      <c r="AF153" s="9" t="n">
        <f aca="false">(((((AF41+AF136)+AF137)+AF140)+AF144)+((1-Assumptions!$C$33)*AD152))</f>
        <v>156488.500449755</v>
      </c>
      <c r="AG153" s="9" t="n">
        <f aca="false">(((((AG41+AG136)+AG137)+AG140)+AG144)+((1-Assumptions!$C$33)*AE152))</f>
        <v>92907.3696107941</v>
      </c>
      <c r="AH153" s="9" t="n">
        <f aca="false">(((((AH41+AH136)+AH137)+AH140)+AH144)+((1-Assumptions!$C$33)*AF152))</f>
        <v>69931.8211617243</v>
      </c>
      <c r="AI153" s="9" t="n">
        <f aca="false">(((((AI41+AI136)+AI137)+AI140)+AI144)+((1-Assumptions!$C$33)*AG152))</f>
        <v>202417.746056737</v>
      </c>
      <c r="AJ153" s="9" t="n">
        <f aca="false">(((((AJ41+AJ136)+AJ137)+AJ140)+AJ144)+((1-Assumptions!$C$33)*AH152))</f>
        <v>230279.44996971</v>
      </c>
      <c r="AK153" s="9" t="n">
        <f aca="false">(((((AK41+AK136)+AK137)+AK140)+AK144)+((1-Assumptions!$C$33)*AI152))</f>
        <v>27031.8693725178</v>
      </c>
      <c r="AL153" s="9" t="n">
        <f aca="false">(((((AL41+AL136)+AL137)+AL140)+AL144)+((1-Assumptions!$C$33)*AJ152))</f>
        <v>286776.701967804</v>
      </c>
      <c r="AN153" s="11" t="n">
        <f aca="false">SUM(C153:N153)</f>
        <v>0</v>
      </c>
      <c r="AO153" s="11" t="n">
        <f aca="false">SUM(O153:Z153)</f>
        <v>213961.564023793</v>
      </c>
      <c r="AP153" s="11" t="n">
        <f aca="false">SUM(AA153:AL153)</f>
        <v>1251160.53189509</v>
      </c>
    </row>
    <row r="154" customFormat="false" ht="15" hidden="false" customHeight="false" outlineLevel="0" collapsed="false">
      <c r="A154" s="0" t="s">
        <v>958</v>
      </c>
      <c r="B154" s="0" t="s">
        <v>230</v>
      </c>
      <c r="C154" s="9" t="n">
        <f aca="false">((0+C151)-C146)</f>
        <v>0</v>
      </c>
      <c r="D154" s="9" t="n">
        <f aca="false">((C154+D151)-D146)</f>
        <v>0</v>
      </c>
      <c r="E154" s="9" t="n">
        <f aca="false">((D154+E151)-E146)</f>
        <v>0</v>
      </c>
      <c r="F154" s="9" t="n">
        <f aca="false">((E154+F151)-F146)</f>
        <v>0</v>
      </c>
      <c r="G154" s="9" t="n">
        <f aca="false">((F154+G151)-G146)</f>
        <v>0</v>
      </c>
      <c r="H154" s="9" t="n">
        <f aca="false">((G154+H151)-H146)</f>
        <v>0</v>
      </c>
      <c r="I154" s="9" t="n">
        <f aca="false">((H154+I151)-I146)</f>
        <v>0</v>
      </c>
      <c r="J154" s="9" t="n">
        <f aca="false">((I154+J151)-J146)</f>
        <v>0</v>
      </c>
      <c r="K154" s="9" t="n">
        <f aca="false">((J154+K151)-K146)</f>
        <v>0</v>
      </c>
      <c r="L154" s="9" t="n">
        <f aca="false">((K154+L151)-L146)</f>
        <v>0</v>
      </c>
      <c r="M154" s="9" t="n">
        <f aca="false">((L154+M151)-M146)</f>
        <v>0</v>
      </c>
      <c r="N154" s="9" t="n">
        <f aca="false">((M154+N151)-N146)</f>
        <v>0</v>
      </c>
      <c r="O154" s="9" t="n">
        <f aca="false">((N154+O151)-O146)</f>
        <v>95.6433060248176</v>
      </c>
      <c r="P154" s="9" t="n">
        <f aca="false">((O154+P151)-P146)</f>
        <v>300.49636212063</v>
      </c>
      <c r="Q154" s="9" t="n">
        <f aca="false">((P154+Q151)-Q146)</f>
        <v>577.655314223088</v>
      </c>
      <c r="R154" s="9" t="n">
        <f aca="false">((Q154+R151)-R146)</f>
        <v>894.70856507823</v>
      </c>
      <c r="S154" s="9" t="n">
        <f aca="false">((R154+S151)-S146)</f>
        <v>1231.6839378679</v>
      </c>
      <c r="T154" s="9" t="n">
        <f aca="false">((S154+T151)-T146)</f>
        <v>51656.1936164491</v>
      </c>
      <c r="U154" s="9" t="n">
        <f aca="false">((T154+U151)-U146)</f>
        <v>73912.2940862877</v>
      </c>
      <c r="V154" s="9" t="n">
        <f aca="false">((U154+V151)-V146)</f>
        <v>60164.3139628487</v>
      </c>
      <c r="W154" s="9" t="n">
        <f aca="false">((V154+W151)-W146)</f>
        <v>46495.6146456106</v>
      </c>
      <c r="X154" s="9" t="n">
        <f aca="false">((W154+X151)-X146)</f>
        <v>122072.796754395</v>
      </c>
      <c r="Y154" s="9" t="n">
        <f aca="false">((X154+Y151)-Y146)</f>
        <v>85632.1702517981</v>
      </c>
      <c r="Z154" s="9" t="n">
        <f aca="false">((Y154+Z151)-Z146)</f>
        <v>49144.7457872233</v>
      </c>
      <c r="AA154" s="9" t="n">
        <f aca="false">((Z154+AA151)-AA146)</f>
        <v>146146.386986376</v>
      </c>
      <c r="AB154" s="9" t="n">
        <f aca="false">((AA154+AB151)-AB146)</f>
        <v>103044.581058309</v>
      </c>
      <c r="AC154" s="9" t="n">
        <f aca="false">((AB154+AC151)-AC146)</f>
        <v>51484.2299983675</v>
      </c>
      <c r="AD154" s="9" t="n">
        <f aca="false">((AC154+AD151)-AD146)</f>
        <v>145422.641084955</v>
      </c>
      <c r="AE154" s="9" t="n">
        <f aca="false">((AD154+AE151)-AE146)</f>
        <v>159532.709138652</v>
      </c>
      <c r="AF154" s="9" t="n">
        <f aca="false">((AE154+AF151)-AF146)</f>
        <v>146498.273190678</v>
      </c>
      <c r="AG154" s="9" t="n">
        <f aca="false">((AF154+AG151)-AG146)</f>
        <v>254982.61084963</v>
      </c>
      <c r="AH154" s="9" t="n">
        <f aca="false">((AG154+AH151)-AH146)</f>
        <v>361656.469609885</v>
      </c>
      <c r="AI154" s="9" t="n">
        <f aca="false">((AH154+AI151)-AI146)</f>
        <v>259047.56891898</v>
      </c>
      <c r="AJ154" s="9" t="n">
        <f aca="false">((AI154+AJ151)-AJ146)</f>
        <v>393767.950760762</v>
      </c>
      <c r="AK154" s="9" t="n">
        <f aca="false">((AJ154+AK151)-AK146)</f>
        <v>504230.709682351</v>
      </c>
      <c r="AL154" s="9" t="n">
        <f aca="false">((AK154+AL151)-AL146)</f>
        <v>478464.629836522</v>
      </c>
      <c r="AN154" s="11" t="n">
        <f aca="false">N154</f>
        <v>0</v>
      </c>
      <c r="AO154" s="11" t="n">
        <f aca="false">Z154</f>
        <v>49144.7457872233</v>
      </c>
      <c r="AP154" s="11" t="n">
        <f aca="false">AL154</f>
        <v>478464.629836522</v>
      </c>
    </row>
    <row r="155" customFormat="false" ht="15" hidden="false" customHeight="false" outlineLevel="0" collapsed="false">
      <c r="A155" s="0" t="s">
        <v>959</v>
      </c>
      <c r="B155" s="0" t="s">
        <v>230</v>
      </c>
      <c r="C155" s="9" t="n">
        <f aca="false">((0+((1-Assumptions!$C$33)*C152))-((1-Assumptions!$C$33)*0))</f>
        <v>0</v>
      </c>
      <c r="D155" s="9" t="n">
        <f aca="false">((C155+((1-Assumptions!$C$33)*D152))-((1-Assumptions!$C$33)*0))</f>
        <v>0</v>
      </c>
      <c r="E155" s="9" t="n">
        <f aca="false">((D155+((1-Assumptions!$C$33)*E152))-((1-Assumptions!$C$33)*C152))</f>
        <v>0</v>
      </c>
      <c r="F155" s="9" t="n">
        <f aca="false">((E155+((1-Assumptions!$C$33)*F152))-((1-Assumptions!$C$33)*D152))</f>
        <v>0</v>
      </c>
      <c r="G155" s="9" t="n">
        <f aca="false">((F155+((1-Assumptions!$C$33)*G152))-((1-Assumptions!$C$33)*E152))</f>
        <v>0</v>
      </c>
      <c r="H155" s="9" t="n">
        <f aca="false">((G155+((1-Assumptions!$C$33)*H152))-((1-Assumptions!$C$33)*F152))</f>
        <v>0</v>
      </c>
      <c r="I155" s="9" t="n">
        <f aca="false">((H155+((1-Assumptions!$C$33)*I152))-((1-Assumptions!$C$33)*G152))</f>
        <v>0</v>
      </c>
      <c r="J155" s="9" t="n">
        <f aca="false">((I155+((1-Assumptions!$C$33)*J152))-((1-Assumptions!$C$33)*H152))</f>
        <v>0</v>
      </c>
      <c r="K155" s="9" t="n">
        <f aca="false">((J155+((1-Assumptions!$C$33)*K152))-((1-Assumptions!$C$33)*I152))</f>
        <v>0</v>
      </c>
      <c r="L155" s="9" t="n">
        <f aca="false">((K155+((1-Assumptions!$C$33)*L152))-((1-Assumptions!$C$33)*J152))</f>
        <v>0</v>
      </c>
      <c r="M155" s="9" t="n">
        <f aca="false">((L155+((1-Assumptions!$C$33)*M152))-((1-Assumptions!$C$33)*K152))</f>
        <v>0</v>
      </c>
      <c r="N155" s="9" t="n">
        <f aca="false">((M155+((1-Assumptions!$C$33)*N152))-((1-Assumptions!$C$33)*L152))</f>
        <v>0</v>
      </c>
      <c r="O155" s="9" t="n">
        <f aca="false">((N155+((1-Assumptions!$C$33)*O152))-((1-Assumptions!$C$33)*M152))</f>
        <v>0</v>
      </c>
      <c r="P155" s="9" t="n">
        <f aca="false">((O155+((1-Assumptions!$C$33)*P152))-((1-Assumptions!$C$33)*N152))</f>
        <v>0</v>
      </c>
      <c r="Q155" s="9" t="n">
        <f aca="false">((P155+((1-Assumptions!$C$33)*Q152))-((1-Assumptions!$C$33)*O152))</f>
        <v>0</v>
      </c>
      <c r="R155" s="9" t="n">
        <f aca="false">((Q155+((1-Assumptions!$C$33)*R152))-((1-Assumptions!$C$33)*P152))</f>
        <v>0</v>
      </c>
      <c r="S155" s="9" t="n">
        <f aca="false">((R155+((1-Assumptions!$C$33)*S152))-((1-Assumptions!$C$33)*Q152))</f>
        <v>0</v>
      </c>
      <c r="T155" s="9" t="n">
        <f aca="false">((S155+((1-Assumptions!$C$33)*T152))-((1-Assumptions!$C$33)*R152))</f>
        <v>54101.52</v>
      </c>
      <c r="U155" s="9" t="n">
        <f aca="false">((T155+((1-Assumptions!$C$33)*U152))-((1-Assumptions!$C$33)*S152))</f>
        <v>89741.52</v>
      </c>
      <c r="V155" s="9" t="n">
        <f aca="false">((U155+((1-Assumptions!$C$33)*V152))-((1-Assumptions!$C$33)*T152))</f>
        <v>35640</v>
      </c>
      <c r="W155" s="9" t="n">
        <f aca="false">((V155+((1-Assumptions!$C$33)*W152))-((1-Assumptions!$C$33)*U152))</f>
        <v>0</v>
      </c>
      <c r="X155" s="9" t="n">
        <f aca="false">((W155+((1-Assumptions!$C$33)*X152))-((1-Assumptions!$C$33)*V152))</f>
        <v>110880</v>
      </c>
      <c r="Y155" s="9" t="n">
        <f aca="false">((X155+((1-Assumptions!$C$33)*Y152))-((1-Assumptions!$C$33)*W152))</f>
        <v>110880</v>
      </c>
      <c r="Z155" s="9" t="n">
        <f aca="false">((Y155+((1-Assumptions!$C$33)*Z152))-((1-Assumptions!$C$33)*X152))</f>
        <v>0</v>
      </c>
      <c r="AA155" s="9" t="n">
        <f aca="false">((Z155+((1-Assumptions!$C$33)*AA152))-((1-Assumptions!$C$33)*Y152))</f>
        <v>146520</v>
      </c>
      <c r="AB155" s="9" t="n">
        <f aca="false">((AA155+((1-Assumptions!$C$33)*AB152))-((1-Assumptions!$C$33)*Z152))</f>
        <v>154939.95</v>
      </c>
      <c r="AC155" s="9" t="n">
        <f aca="false">((AB155+((1-Assumptions!$C$33)*AC152))-((1-Assumptions!$C$33)*AA152))</f>
        <v>8419.95000000001</v>
      </c>
      <c r="AD155" s="9" t="n">
        <f aca="false">((AC155+((1-Assumptions!$C$33)*AD152))-((1-Assumptions!$C$33)*AB152))</f>
        <v>146520</v>
      </c>
      <c r="AE155" s="9" t="n">
        <f aca="false">((AD155+((1-Assumptions!$C$33)*AE152))-((1-Assumptions!$C$33)*AC152))</f>
        <v>225842.76</v>
      </c>
      <c r="AF155" s="9" t="n">
        <f aca="false">((AE155+((1-Assumptions!$C$33)*AF152))-((1-Assumptions!$C$33)*AD152))</f>
        <v>131693.03136</v>
      </c>
      <c r="AG155" s="9" t="n">
        <f aca="false">((AF155+((1-Assumptions!$C$33)*AG152))-((1-Assumptions!$C$33)*AE152))</f>
        <v>234530.27136</v>
      </c>
      <c r="AH155" s="9" t="n">
        <f aca="false">((AG155+((1-Assumptions!$C$33)*AH152))-((1-Assumptions!$C$33)*AF152))</f>
        <v>389494.71</v>
      </c>
      <c r="AI155" s="9" t="n">
        <f aca="false">((AH155+((1-Assumptions!$C$33)*AI152))-((1-Assumptions!$C$33)*AG152))</f>
        <v>207334.71</v>
      </c>
      <c r="AJ155" s="9" t="n">
        <f aca="false">((AI155+((1-Assumptions!$C$33)*AJ152))-((1-Assumptions!$C$33)*AH152))</f>
        <v>257400</v>
      </c>
      <c r="AK155" s="9" t="n">
        <f aca="false">((AJ155+((1-Assumptions!$C$33)*AK152))-((1-Assumptions!$C$33)*AI152))</f>
        <v>511660.71</v>
      </c>
      <c r="AL155" s="9" t="n">
        <f aca="false">((AK155+((1-Assumptions!$C$33)*AL152))-((1-Assumptions!$C$33)*AJ152))</f>
        <v>418600.71</v>
      </c>
      <c r="AN155" s="11" t="n">
        <f aca="false">N155</f>
        <v>0</v>
      </c>
      <c r="AO155" s="11" t="n">
        <f aca="false">Z155</f>
        <v>0</v>
      </c>
      <c r="AP155" s="11" t="n">
        <f aca="false">AL155</f>
        <v>418600.71</v>
      </c>
    </row>
    <row r="156" customFormat="false" ht="15" hidden="false" customHeight="false" outlineLevel="0" collapsed="false">
      <c r="A156" s="21" t="s">
        <v>29</v>
      </c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</row>
    <row r="157" customFormat="false" ht="15" hidden="false" customHeight="false" outlineLevel="0" collapsed="false">
      <c r="A157" s="0" t="s">
        <v>960</v>
      </c>
      <c r="B157" s="0" t="s">
        <v>500</v>
      </c>
      <c r="C157" s="9" t="n">
        <f aca="false">((C29+C39)+C126)</f>
        <v>234</v>
      </c>
      <c r="D157" s="9" t="n">
        <f aca="false">((D29+D39)+D126)</f>
        <v>415.8</v>
      </c>
      <c r="E157" s="9" t="n">
        <f aca="false">((E29+E39)+E126)</f>
        <v>547.9272</v>
      </c>
      <c r="F157" s="9" t="n">
        <f aca="false">((F29+F39)+F126)</f>
        <v>653.68224</v>
      </c>
      <c r="G157" s="9" t="n">
        <f aca="false">((G29+G39)+G126)</f>
        <v>921.58788288</v>
      </c>
      <c r="H157" s="9" t="n">
        <f aca="false">((H29+H39)+H126)</f>
        <v>956.6376389184</v>
      </c>
      <c r="I157" s="9" t="n">
        <f aca="false">((I29+I39)+I126)</f>
        <v>1045.77453039245</v>
      </c>
      <c r="J157" s="9" t="n">
        <f aca="false">((J29+J39)+J126)</f>
        <v>2253.52710133487</v>
      </c>
      <c r="K157" s="9" t="n">
        <f aca="false">((K29+K39)+K126)</f>
        <v>2629.71062532268</v>
      </c>
      <c r="L157" s="9" t="n">
        <f aca="false">((L29+L39)+L126)</f>
        <v>2778.86218416649</v>
      </c>
      <c r="M157" s="9" t="n">
        <f aca="false">((M29+M39)+M126)</f>
        <v>2655.71604890645</v>
      </c>
      <c r="N157" s="9" t="n">
        <f aca="false">((N29+N39)+N126)</f>
        <v>2681.21574138794</v>
      </c>
      <c r="O157" s="9" t="n">
        <f aca="false">((O29+O39)+O126)</f>
        <v>4912.34960104743</v>
      </c>
      <c r="P157" s="9" t="n">
        <f aca="false">((P29+P39)+P126)</f>
        <v>5779.41951510284</v>
      </c>
      <c r="Q157" s="9" t="n">
        <f aca="false">((Q29+Q39)+Q126)</f>
        <v>7070.92311691539</v>
      </c>
      <c r="R157" s="9" t="n">
        <f aca="false">((R29+R39)+R126)</f>
        <v>8104.20611982385</v>
      </c>
      <c r="S157" s="9" t="n">
        <f aca="false">((S29+S39)+S126)</f>
        <v>8733.65742214197</v>
      </c>
      <c r="T157" s="9" t="n">
        <f aca="false">((T29+T39)+T126)</f>
        <v>10830.321709807</v>
      </c>
      <c r="U157" s="9" t="n">
        <f aca="false">((U29+U39)+U126)</f>
        <v>11808.4559916758</v>
      </c>
      <c r="V157" s="9" t="n">
        <f aca="false">((V29+V39)+V126)</f>
        <v>14220.1902436989</v>
      </c>
      <c r="W157" s="9" t="n">
        <f aca="false">((W29+W39)+W126)</f>
        <v>16853.3788978449</v>
      </c>
      <c r="X157" s="9" t="n">
        <f aca="false">((X29+X39)+X126)</f>
        <v>18982.0317586701</v>
      </c>
      <c r="Y157" s="9" t="n">
        <f aca="false">((Y29+Y39)+Y126)</f>
        <v>19571.797660095</v>
      </c>
      <c r="Z157" s="9" t="n">
        <f aca="false">((Z29+Z39)+Z126)</f>
        <v>19732.2146141107</v>
      </c>
      <c r="AA157" s="9" t="n">
        <f aca="false">((AA29+AA39)+AA126)</f>
        <v>22744.9305705319</v>
      </c>
      <c r="AB157" s="9" t="n">
        <f aca="false">((AB29+AB39)+AB126)</f>
        <v>24326.5381643279</v>
      </c>
      <c r="AC157" s="9" t="n">
        <f aca="false">((AC29+AC39)+AC126)</f>
        <v>25075.2987044291</v>
      </c>
      <c r="AD157" s="9" t="n">
        <f aca="false">((AD29+AD39)+AD126)</f>
        <v>25758.667961311</v>
      </c>
      <c r="AE157" s="9" t="n">
        <f aca="false">((AE29+AE39)+AE126)</f>
        <v>27614.0136580742</v>
      </c>
      <c r="AF157" s="9" t="n">
        <f aca="false">((AF29+AF39)+AF126)</f>
        <v>27175.9164644701</v>
      </c>
      <c r="AG157" s="9" t="n">
        <f aca="false">((AG29+AG39)+AG126)</f>
        <v>27732.4147077608</v>
      </c>
      <c r="AH157" s="9" t="n">
        <f aca="false">((AH29+AH39)+AH126)</f>
        <v>35137.8829168581</v>
      </c>
      <c r="AI157" s="9" t="n">
        <f aca="false">((AI29+AI39)+AI126)</f>
        <v>38215.8209295417</v>
      </c>
      <c r="AJ157" s="9" t="n">
        <f aca="false">((AJ29+AJ39)+AJ126)</f>
        <v>40174.0138969661</v>
      </c>
      <c r="AK157" s="9" t="n">
        <f aca="false">((AK29+AK39)+AK126)</f>
        <v>45701.438956784</v>
      </c>
      <c r="AL157" s="9" t="n">
        <f aca="false">((AL29+AL39)+AL126)</f>
        <v>48573.3859028581</v>
      </c>
      <c r="AN157" s="11" t="n">
        <f aca="false">N157</f>
        <v>2681.21574138794</v>
      </c>
      <c r="AO157" s="11" t="n">
        <f aca="false">Z157</f>
        <v>19732.2146141107</v>
      </c>
      <c r="AP157" s="11" t="n">
        <f aca="false">AL157</f>
        <v>48573.3859028581</v>
      </c>
    </row>
    <row r="158" customFormat="false" ht="15" hidden="false" customHeight="false" outlineLevel="0" collapsed="false">
      <c r="A158" s="0" t="s">
        <v>961</v>
      </c>
      <c r="B158" s="0" t="s">
        <v>230</v>
      </c>
      <c r="C158" s="9" t="n">
        <f aca="false">(C157*Assumptions!$C$58)</f>
        <v>7.02</v>
      </c>
      <c r="D158" s="9" t="n">
        <f aca="false">(D157*Assumptions!$C$58)</f>
        <v>12.474</v>
      </c>
      <c r="E158" s="9" t="n">
        <f aca="false">(E157*Assumptions!$C$58)</f>
        <v>16.437816</v>
      </c>
      <c r="F158" s="9" t="n">
        <f aca="false">(F157*Assumptions!$C$58)</f>
        <v>19.6104672</v>
      </c>
      <c r="G158" s="9" t="n">
        <f aca="false">(G157*Assumptions!$C$58)</f>
        <v>27.6476364864</v>
      </c>
      <c r="H158" s="9" t="n">
        <f aca="false">(H157*Assumptions!$C$58)</f>
        <v>28.699129167552</v>
      </c>
      <c r="I158" s="9" t="n">
        <f aca="false">(I157*Assumptions!$C$58)</f>
        <v>31.3732359117734</v>
      </c>
      <c r="J158" s="9" t="n">
        <f aca="false">(J157*Assumptions!$C$58)</f>
        <v>67.605813040046</v>
      </c>
      <c r="K158" s="9" t="n">
        <f aca="false">(K157*Assumptions!$C$58)</f>
        <v>78.8913187596803</v>
      </c>
      <c r="L158" s="9" t="n">
        <f aca="false">(L157*Assumptions!$C$58)</f>
        <v>83.3658655249946</v>
      </c>
      <c r="M158" s="9" t="n">
        <f aca="false">(M157*Assumptions!$C$58)</f>
        <v>79.6714814671935</v>
      </c>
      <c r="N158" s="9" t="n">
        <f aca="false">(N157*Assumptions!$C$58)</f>
        <v>80.4364722416382</v>
      </c>
      <c r="O158" s="9" t="n">
        <f aca="false">(O157*Assumptions!$C$58)</f>
        <v>147.370488031423</v>
      </c>
      <c r="P158" s="9" t="n">
        <f aca="false">(P157*Assumptions!$C$58)</f>
        <v>173.382585453085</v>
      </c>
      <c r="Q158" s="9" t="n">
        <f aca="false">(Q157*Assumptions!$C$58)</f>
        <v>212.127693507462</v>
      </c>
      <c r="R158" s="9" t="n">
        <f aca="false">(R157*Assumptions!$C$58)</f>
        <v>243.126183594716</v>
      </c>
      <c r="S158" s="9" t="n">
        <f aca="false">(S157*Assumptions!$C$58)</f>
        <v>262.009722664259</v>
      </c>
      <c r="T158" s="9" t="n">
        <f aca="false">(T157*Assumptions!$C$58)</f>
        <v>324.90965129421</v>
      </c>
      <c r="U158" s="9" t="n">
        <f aca="false">(U157*Assumptions!$C$58)</f>
        <v>354.253679750273</v>
      </c>
      <c r="V158" s="9" t="n">
        <f aca="false">(V157*Assumptions!$C$58)</f>
        <v>426.605707310967</v>
      </c>
      <c r="W158" s="9" t="n">
        <f aca="false">(W157*Assumptions!$C$58)</f>
        <v>505.601366935346</v>
      </c>
      <c r="X158" s="9" t="n">
        <f aca="false">(X157*Assumptions!$C$58)</f>
        <v>569.460952760103</v>
      </c>
      <c r="Y158" s="9" t="n">
        <f aca="false">(Y157*Assumptions!$C$58)</f>
        <v>587.153929802851</v>
      </c>
      <c r="Z158" s="9" t="n">
        <f aca="false">(Z157*Assumptions!$C$58)</f>
        <v>591.96643842332</v>
      </c>
      <c r="AA158" s="9" t="n">
        <f aca="false">(AA157*Assumptions!$C$58)</f>
        <v>682.347917115958</v>
      </c>
      <c r="AB158" s="9" t="n">
        <f aca="false">(AB157*Assumptions!$C$58)</f>
        <v>729.796144929836</v>
      </c>
      <c r="AC158" s="9" t="n">
        <f aca="false">(AC157*Assumptions!$C$58)</f>
        <v>752.258961132873</v>
      </c>
      <c r="AD158" s="9" t="n">
        <f aca="false">(AD157*Assumptions!$C$58)</f>
        <v>772.760038839331</v>
      </c>
      <c r="AE158" s="9" t="n">
        <f aca="false">(AE157*Assumptions!$C$58)</f>
        <v>828.420409742227</v>
      </c>
      <c r="AF158" s="9" t="n">
        <f aca="false">(AF157*Assumptions!$C$58)</f>
        <v>815.277493934104</v>
      </c>
      <c r="AG158" s="9" t="n">
        <f aca="false">(AG157*Assumptions!$C$58)</f>
        <v>831.972441232823</v>
      </c>
      <c r="AH158" s="9" t="n">
        <f aca="false">(AH157*Assumptions!$C$58)</f>
        <v>1054.13648750574</v>
      </c>
      <c r="AI158" s="9" t="n">
        <f aca="false">(AI157*Assumptions!$C$58)</f>
        <v>1146.47462788625</v>
      </c>
      <c r="AJ158" s="9" t="n">
        <f aca="false">(AJ157*Assumptions!$C$58)</f>
        <v>1205.22041690898</v>
      </c>
      <c r="AK158" s="9" t="n">
        <f aca="false">(AK157*Assumptions!$C$58)</f>
        <v>1371.04316870352</v>
      </c>
      <c r="AL158" s="9" t="n">
        <f aca="false">(AL157*Assumptions!$C$58)</f>
        <v>1457.20157708574</v>
      </c>
      <c r="AN158" s="11" t="n">
        <f aca="false">SUM(C158:N158)</f>
        <v>533.233235799278</v>
      </c>
      <c r="AO158" s="11" t="n">
        <f aca="false">SUM(O158:Z158)</f>
        <v>4397.96839952802</v>
      </c>
      <c r="AP158" s="11" t="n">
        <f aca="false">SUM(AA158:AL158)</f>
        <v>11646.9096850174</v>
      </c>
    </row>
    <row r="159" customFormat="false" ht="15" hidden="false" customHeight="false" outlineLevel="0" collapsed="false">
      <c r="A159" s="0" t="s">
        <v>962</v>
      </c>
      <c r="B159" s="0" t="s">
        <v>230</v>
      </c>
      <c r="C159" s="9" t="n">
        <f aca="false">(((C157*Assumptions!$C$59)*Assumptions!$C$60)*Assumptions!$C$61)</f>
        <v>3.9312</v>
      </c>
      <c r="D159" s="9" t="n">
        <f aca="false">(((D157*Assumptions!$C$59)*Assumptions!$C$60)*Assumptions!$C$61)</f>
        <v>6.98544</v>
      </c>
      <c r="E159" s="9" t="n">
        <f aca="false">(((E157*Assumptions!$C$59)*Assumptions!$C$60)*Assumptions!$C$61)</f>
        <v>9.20517696</v>
      </c>
      <c r="F159" s="9" t="n">
        <f aca="false">(((F157*Assumptions!$C$59)*Assumptions!$C$60)*Assumptions!$C$61)</f>
        <v>10.981861632</v>
      </c>
      <c r="G159" s="9" t="n">
        <f aca="false">(((G157*Assumptions!$C$59)*Assumptions!$C$60)*Assumptions!$C$61)</f>
        <v>15.482676432384</v>
      </c>
      <c r="H159" s="9" t="n">
        <f aca="false">(((H157*Assumptions!$C$59)*Assumptions!$C$60)*Assumptions!$C$61)</f>
        <v>16.0715123338291</v>
      </c>
      <c r="I159" s="9" t="n">
        <f aca="false">(((I157*Assumptions!$C$59)*Assumptions!$C$60)*Assumptions!$C$61)</f>
        <v>17.5690121105931</v>
      </c>
      <c r="J159" s="9" t="n">
        <f aca="false">(((J157*Assumptions!$C$59)*Assumptions!$C$60)*Assumptions!$C$61)</f>
        <v>37.8592553024258</v>
      </c>
      <c r="K159" s="9" t="n">
        <f aca="false">(((K157*Assumptions!$C$59)*Assumptions!$C$60)*Assumptions!$C$61)</f>
        <v>44.1791385054209</v>
      </c>
      <c r="L159" s="9" t="n">
        <f aca="false">(((L157*Assumptions!$C$59)*Assumptions!$C$60)*Assumptions!$C$61)</f>
        <v>46.684884693997</v>
      </c>
      <c r="M159" s="9" t="n">
        <f aca="false">(((M157*Assumptions!$C$59)*Assumptions!$C$60)*Assumptions!$C$61)</f>
        <v>44.6160296216284</v>
      </c>
      <c r="N159" s="9" t="n">
        <f aca="false">(((N157*Assumptions!$C$59)*Assumptions!$C$60)*Assumptions!$C$61)</f>
        <v>45.0444244553174</v>
      </c>
      <c r="O159" s="9" t="n">
        <f aca="false">(((O157*Assumptions!$C$59)*Assumptions!$C$60)*Assumptions!$C$61)</f>
        <v>82.5274732975968</v>
      </c>
      <c r="P159" s="9" t="n">
        <f aca="false">(((P157*Assumptions!$C$59)*Assumptions!$C$60)*Assumptions!$C$61)</f>
        <v>97.0942478537278</v>
      </c>
      <c r="Q159" s="9" t="n">
        <f aca="false">(((Q157*Assumptions!$C$59)*Assumptions!$C$60)*Assumptions!$C$61)</f>
        <v>118.791508364179</v>
      </c>
      <c r="R159" s="9" t="n">
        <f aca="false">(((R157*Assumptions!$C$59)*Assumptions!$C$60)*Assumptions!$C$61)</f>
        <v>136.150662813041</v>
      </c>
      <c r="S159" s="9" t="n">
        <f aca="false">(((S157*Assumptions!$C$59)*Assumptions!$C$60)*Assumptions!$C$61)</f>
        <v>146.725444691985</v>
      </c>
      <c r="T159" s="9" t="n">
        <f aca="false">(((T157*Assumptions!$C$59)*Assumptions!$C$60)*Assumptions!$C$61)</f>
        <v>181.949404724758</v>
      </c>
      <c r="U159" s="9" t="n">
        <f aca="false">(((U157*Assumptions!$C$59)*Assumptions!$C$60)*Assumptions!$C$61)</f>
        <v>198.382060660153</v>
      </c>
      <c r="V159" s="9" t="n">
        <f aca="false">(((V157*Assumptions!$C$59)*Assumptions!$C$60)*Assumptions!$C$61)</f>
        <v>238.899196094142</v>
      </c>
      <c r="W159" s="9" t="n">
        <f aca="false">(((W157*Assumptions!$C$59)*Assumptions!$C$60)*Assumptions!$C$61)</f>
        <v>283.136765483794</v>
      </c>
      <c r="X159" s="9" t="n">
        <f aca="false">(((X157*Assumptions!$C$59)*Assumptions!$C$60)*Assumptions!$C$61)</f>
        <v>318.898133545658</v>
      </c>
      <c r="Y159" s="9" t="n">
        <f aca="false">(((Y157*Assumptions!$C$59)*Assumptions!$C$60)*Assumptions!$C$61)</f>
        <v>328.806200689597</v>
      </c>
      <c r="Z159" s="9" t="n">
        <f aca="false">(((Z157*Assumptions!$C$59)*Assumptions!$C$60)*Assumptions!$C$61)</f>
        <v>331.501205517059</v>
      </c>
      <c r="AA159" s="9" t="n">
        <f aca="false">(((AA157*Assumptions!$C$59)*Assumptions!$C$60)*Assumptions!$C$61)</f>
        <v>382.114833584936</v>
      </c>
      <c r="AB159" s="9" t="n">
        <f aca="false">(((AB157*Assumptions!$C$59)*Assumptions!$C$60)*Assumptions!$C$61)</f>
        <v>408.685841160708</v>
      </c>
      <c r="AC159" s="9" t="n">
        <f aca="false">(((AC157*Assumptions!$C$59)*Assumptions!$C$60)*Assumptions!$C$61)</f>
        <v>421.265018234409</v>
      </c>
      <c r="AD159" s="9" t="n">
        <f aca="false">(((AD157*Assumptions!$C$59)*Assumptions!$C$60)*Assumptions!$C$61)</f>
        <v>432.745621750025</v>
      </c>
      <c r="AE159" s="9" t="n">
        <f aca="false">(((AE157*Assumptions!$C$59)*Assumptions!$C$60)*Assumptions!$C$61)</f>
        <v>463.915429455647</v>
      </c>
      <c r="AF159" s="9" t="n">
        <f aca="false">(((AF157*Assumptions!$C$59)*Assumptions!$C$60)*Assumptions!$C$61)</f>
        <v>456.555396603099</v>
      </c>
      <c r="AG159" s="9" t="n">
        <f aca="false">(((AG157*Assumptions!$C$59)*Assumptions!$C$60)*Assumptions!$C$61)</f>
        <v>465.904567090381</v>
      </c>
      <c r="AH159" s="9" t="n">
        <f aca="false">(((AH157*Assumptions!$C$59)*Assumptions!$C$60)*Assumptions!$C$61)</f>
        <v>590.316433003216</v>
      </c>
      <c r="AI159" s="9" t="n">
        <f aca="false">(((AI157*Assumptions!$C$59)*Assumptions!$C$60)*Assumptions!$C$61)</f>
        <v>642.025791616301</v>
      </c>
      <c r="AJ159" s="9" t="n">
        <f aca="false">(((AJ157*Assumptions!$C$59)*Assumptions!$C$60)*Assumptions!$C$61)</f>
        <v>674.923433469031</v>
      </c>
      <c r="AK159" s="9" t="n">
        <f aca="false">(((AK157*Assumptions!$C$59)*Assumptions!$C$60)*Assumptions!$C$61)</f>
        <v>767.784174473971</v>
      </c>
      <c r="AL159" s="9" t="n">
        <f aca="false">(((AL157*Assumptions!$C$59)*Assumptions!$C$60)*Assumptions!$C$61)</f>
        <v>816.032883168017</v>
      </c>
      <c r="AN159" s="11" t="n">
        <f aca="false">SUM(C159:N159)</f>
        <v>298.610612047596</v>
      </c>
      <c r="AO159" s="11" t="n">
        <f aca="false">SUM(O159:Z159)</f>
        <v>2462.86230373569</v>
      </c>
      <c r="AP159" s="11" t="n">
        <f aca="false">SUM(AA159:AL159)</f>
        <v>6522.26942360974</v>
      </c>
    </row>
    <row r="160" customFormat="false" ht="15" hidden="false" customHeight="false" outlineLevel="0" collapsed="false">
      <c r="A160" s="0" t="s">
        <v>963</v>
      </c>
      <c r="B160" s="0" t="s">
        <v>230</v>
      </c>
      <c r="C160" s="9" t="n">
        <f aca="false">(((C157*Assumptions!$C$62)*Assumptions!$C$63)*(1-Assumptions!$C$64))</f>
        <v>5.265</v>
      </c>
      <c r="D160" s="9" t="n">
        <f aca="false">(((D157*Assumptions!$C$62)*Assumptions!$C$63)*(1-Assumptions!$C$64))</f>
        <v>9.3555</v>
      </c>
      <c r="E160" s="9" t="n">
        <f aca="false">(((E157*Assumptions!$C$62)*Assumptions!$C$63)*(1-Assumptions!$C$64))</f>
        <v>12.328362</v>
      </c>
      <c r="F160" s="9" t="n">
        <f aca="false">(((F157*Assumptions!$C$62)*Assumptions!$C$63)*(1-Assumptions!$C$64))</f>
        <v>14.7078504</v>
      </c>
      <c r="G160" s="9" t="n">
        <f aca="false">(((G157*Assumptions!$C$62)*Assumptions!$C$63)*(1-Assumptions!$C$64))</f>
        <v>20.7357273648</v>
      </c>
      <c r="H160" s="9" t="n">
        <f aca="false">(((H157*Assumptions!$C$62)*Assumptions!$C$63)*(1-Assumptions!$C$64))</f>
        <v>21.524346875664</v>
      </c>
      <c r="I160" s="9" t="n">
        <f aca="false">(((I157*Assumptions!$C$62)*Assumptions!$C$63)*(1-Assumptions!$C$64))</f>
        <v>23.5299269338301</v>
      </c>
      <c r="J160" s="9" t="n">
        <f aca="false">(((J157*Assumptions!$C$62)*Assumptions!$C$63)*(1-Assumptions!$C$64))</f>
        <v>50.7043597800345</v>
      </c>
      <c r="K160" s="9" t="n">
        <f aca="false">(((K157*Assumptions!$C$62)*Assumptions!$C$63)*(1-Assumptions!$C$64))</f>
        <v>59.1684890697602</v>
      </c>
      <c r="L160" s="9" t="n">
        <f aca="false">(((L157*Assumptions!$C$62)*Assumptions!$C$63)*(1-Assumptions!$C$64))</f>
        <v>62.524399143746</v>
      </c>
      <c r="M160" s="9" t="n">
        <f aca="false">(((M157*Assumptions!$C$62)*Assumptions!$C$63)*(1-Assumptions!$C$64))</f>
        <v>59.7536111003952</v>
      </c>
      <c r="N160" s="9" t="n">
        <f aca="false">(((N157*Assumptions!$C$62)*Assumptions!$C$63)*(1-Assumptions!$C$64))</f>
        <v>60.3273541812287</v>
      </c>
      <c r="O160" s="9" t="n">
        <f aca="false">(((O157*Assumptions!$C$62)*Assumptions!$C$63)*(1-Assumptions!$C$64))</f>
        <v>110.527866023567</v>
      </c>
      <c r="P160" s="9" t="n">
        <f aca="false">(((P157*Assumptions!$C$62)*Assumptions!$C$63)*(1-Assumptions!$C$64))</f>
        <v>130.036939089814</v>
      </c>
      <c r="Q160" s="9" t="n">
        <f aca="false">(((Q157*Assumptions!$C$62)*Assumptions!$C$63)*(1-Assumptions!$C$64))</f>
        <v>159.095770130596</v>
      </c>
      <c r="R160" s="9" t="n">
        <f aca="false">(((R157*Assumptions!$C$62)*Assumptions!$C$63)*(1-Assumptions!$C$64))</f>
        <v>182.344637696037</v>
      </c>
      <c r="S160" s="9" t="n">
        <f aca="false">(((S157*Assumptions!$C$62)*Assumptions!$C$63)*(1-Assumptions!$C$64))</f>
        <v>196.507291998194</v>
      </c>
      <c r="T160" s="9" t="n">
        <f aca="false">(((T157*Assumptions!$C$62)*Assumptions!$C$63)*(1-Assumptions!$C$64))</f>
        <v>243.682238470658</v>
      </c>
      <c r="U160" s="9" t="n">
        <f aca="false">(((U157*Assumptions!$C$62)*Assumptions!$C$63)*(1-Assumptions!$C$64))</f>
        <v>265.690259812704</v>
      </c>
      <c r="V160" s="9" t="n">
        <f aca="false">(((V157*Assumptions!$C$62)*Assumptions!$C$63)*(1-Assumptions!$C$64))</f>
        <v>319.954280483225</v>
      </c>
      <c r="W160" s="9" t="n">
        <f aca="false">(((W157*Assumptions!$C$62)*Assumptions!$C$63)*(1-Assumptions!$C$64))</f>
        <v>379.20102520151</v>
      </c>
      <c r="X160" s="9" t="n">
        <f aca="false">(((X157*Assumptions!$C$62)*Assumptions!$C$63)*(1-Assumptions!$C$64))</f>
        <v>427.095714570077</v>
      </c>
      <c r="Y160" s="9" t="n">
        <f aca="false">(((Y157*Assumptions!$C$62)*Assumptions!$C$63)*(1-Assumptions!$C$64))</f>
        <v>440.365447352138</v>
      </c>
      <c r="Z160" s="9" t="n">
        <f aca="false">(((Z157*Assumptions!$C$62)*Assumptions!$C$63)*(1-Assumptions!$C$64))</f>
        <v>443.97482881749</v>
      </c>
      <c r="AA160" s="9" t="n">
        <f aca="false">(((AA157*Assumptions!$C$62)*Assumptions!$C$63)*(1-Assumptions!$C$64))</f>
        <v>511.760937836968</v>
      </c>
      <c r="AB160" s="9" t="n">
        <f aca="false">(((AB157*Assumptions!$C$62)*Assumptions!$C$63)*(1-Assumptions!$C$64))</f>
        <v>547.347108697377</v>
      </c>
      <c r="AC160" s="9" t="n">
        <f aca="false">(((AC157*Assumptions!$C$62)*Assumptions!$C$63)*(1-Assumptions!$C$64))</f>
        <v>564.194220849655</v>
      </c>
      <c r="AD160" s="9" t="n">
        <f aca="false">(((AD157*Assumptions!$C$62)*Assumptions!$C$63)*(1-Assumptions!$C$64))</f>
        <v>579.570029129498</v>
      </c>
      <c r="AE160" s="9" t="n">
        <f aca="false">(((AE157*Assumptions!$C$62)*Assumptions!$C$63)*(1-Assumptions!$C$64))</f>
        <v>621.31530730667</v>
      </c>
      <c r="AF160" s="9" t="n">
        <f aca="false">(((AF157*Assumptions!$C$62)*Assumptions!$C$63)*(1-Assumptions!$C$64))</f>
        <v>611.458120450578</v>
      </c>
      <c r="AG160" s="9" t="n">
        <f aca="false">(((AG157*Assumptions!$C$62)*Assumptions!$C$63)*(1-Assumptions!$C$64))</f>
        <v>623.979330924617</v>
      </c>
      <c r="AH160" s="9" t="n">
        <f aca="false">(((AH157*Assumptions!$C$62)*Assumptions!$C$63)*(1-Assumptions!$C$64))</f>
        <v>790.602365629308</v>
      </c>
      <c r="AI160" s="9" t="n">
        <f aca="false">(((AI157*Assumptions!$C$62)*Assumptions!$C$63)*(1-Assumptions!$C$64))</f>
        <v>859.855970914688</v>
      </c>
      <c r="AJ160" s="9" t="n">
        <f aca="false">(((AJ157*Assumptions!$C$62)*Assumptions!$C$63)*(1-Assumptions!$C$64))</f>
        <v>903.915312681738</v>
      </c>
      <c r="AK160" s="9" t="n">
        <f aca="false">(((AK157*Assumptions!$C$62)*Assumptions!$C$63)*(1-Assumptions!$C$64))</f>
        <v>1028.28237652764</v>
      </c>
      <c r="AL160" s="9" t="n">
        <f aca="false">(((AL157*Assumptions!$C$62)*Assumptions!$C$63)*(1-Assumptions!$C$64))</f>
        <v>1092.90118281431</v>
      </c>
      <c r="AN160" s="11" t="n">
        <f aca="false">SUM(C160:N160)</f>
        <v>399.924926849459</v>
      </c>
      <c r="AO160" s="11" t="n">
        <f aca="false">SUM(O160:Z160)</f>
        <v>3298.47629964601</v>
      </c>
      <c r="AP160" s="11" t="n">
        <f aca="false">SUM(AA160:AL160)</f>
        <v>8735.18226376305</v>
      </c>
    </row>
    <row r="161" customFormat="false" ht="15" hidden="false" customHeight="false" outlineLevel="0" collapsed="false">
      <c r="A161" s="0" t="s">
        <v>964</v>
      </c>
      <c r="B161" s="0" t="s">
        <v>230</v>
      </c>
      <c r="C161" s="9" t="n">
        <f aca="false">(C157*Assumptions!$C$65)</f>
        <v>2.808</v>
      </c>
      <c r="D161" s="9" t="n">
        <f aca="false">(D157*Assumptions!$C$65)</f>
        <v>4.9896</v>
      </c>
      <c r="E161" s="9" t="n">
        <f aca="false">(E157*Assumptions!$C$65)</f>
        <v>6.5751264</v>
      </c>
      <c r="F161" s="9" t="n">
        <f aca="false">(F157*Assumptions!$C$65)</f>
        <v>7.84418688</v>
      </c>
      <c r="G161" s="9" t="n">
        <f aca="false">(G157*Assumptions!$C$65)</f>
        <v>11.05905459456</v>
      </c>
      <c r="H161" s="9" t="n">
        <f aca="false">(H157*Assumptions!$C$65)</f>
        <v>11.4796516670208</v>
      </c>
      <c r="I161" s="9" t="n">
        <f aca="false">(I157*Assumptions!$C$65)</f>
        <v>12.5492943647094</v>
      </c>
      <c r="J161" s="9" t="n">
        <f aca="false">(J157*Assumptions!$C$65)</f>
        <v>27.0423252160184</v>
      </c>
      <c r="K161" s="9" t="n">
        <f aca="false">(K157*Assumptions!$C$65)</f>
        <v>31.5565275038721</v>
      </c>
      <c r="L161" s="9" t="n">
        <f aca="false">(L157*Assumptions!$C$65)</f>
        <v>33.3463462099979</v>
      </c>
      <c r="M161" s="9" t="n">
        <f aca="false">(M157*Assumptions!$C$65)</f>
        <v>31.8685925868774</v>
      </c>
      <c r="N161" s="9" t="n">
        <f aca="false">(N157*Assumptions!$C$65)</f>
        <v>32.1745888966553</v>
      </c>
      <c r="O161" s="9" t="n">
        <f aca="false">(O157*Assumptions!$C$65)</f>
        <v>58.9481952125691</v>
      </c>
      <c r="P161" s="9" t="n">
        <f aca="false">(P157*Assumptions!$C$65)</f>
        <v>69.3530341812341</v>
      </c>
      <c r="Q161" s="9" t="n">
        <f aca="false">(Q157*Assumptions!$C$65)</f>
        <v>84.8510774029846</v>
      </c>
      <c r="R161" s="9" t="n">
        <f aca="false">(R157*Assumptions!$C$65)</f>
        <v>97.2504734378862</v>
      </c>
      <c r="S161" s="9" t="n">
        <f aca="false">(S157*Assumptions!$C$65)</f>
        <v>104.803889065704</v>
      </c>
      <c r="T161" s="9" t="n">
        <f aca="false">(T157*Assumptions!$C$65)</f>
        <v>129.963860517684</v>
      </c>
      <c r="U161" s="9" t="n">
        <f aca="false">(U157*Assumptions!$C$65)</f>
        <v>141.701471900109</v>
      </c>
      <c r="V161" s="9" t="n">
        <f aca="false">(V157*Assumptions!$C$65)</f>
        <v>170.642282924387</v>
      </c>
      <c r="W161" s="9" t="n">
        <f aca="false">(W157*Assumptions!$C$65)</f>
        <v>202.240546774138</v>
      </c>
      <c r="X161" s="9" t="n">
        <f aca="false">(X157*Assumptions!$C$65)</f>
        <v>227.784381104041</v>
      </c>
      <c r="Y161" s="9" t="n">
        <f aca="false">(Y157*Assumptions!$C$65)</f>
        <v>234.861571921141</v>
      </c>
      <c r="Z161" s="9" t="n">
        <f aca="false">(Z157*Assumptions!$C$65)</f>
        <v>236.786575369328</v>
      </c>
      <c r="AA161" s="9" t="n">
        <f aca="false">(AA157*Assumptions!$C$65)</f>
        <v>272.939166846383</v>
      </c>
      <c r="AB161" s="9" t="n">
        <f aca="false">(AB157*Assumptions!$C$65)</f>
        <v>291.918457971934</v>
      </c>
      <c r="AC161" s="9" t="n">
        <f aca="false">(AC157*Assumptions!$C$65)</f>
        <v>300.903584453149</v>
      </c>
      <c r="AD161" s="9" t="n">
        <f aca="false">(AD157*Assumptions!$C$65)</f>
        <v>309.104015535732</v>
      </c>
      <c r="AE161" s="9" t="n">
        <f aca="false">(AE157*Assumptions!$C$65)</f>
        <v>331.368163896891</v>
      </c>
      <c r="AF161" s="9" t="n">
        <f aca="false">(AF157*Assumptions!$C$65)</f>
        <v>326.110997573642</v>
      </c>
      <c r="AG161" s="9" t="n">
        <f aca="false">(AG157*Assumptions!$C$65)</f>
        <v>332.788976493129</v>
      </c>
      <c r="AH161" s="9" t="n">
        <f aca="false">(AH157*Assumptions!$C$65)</f>
        <v>421.654595002297</v>
      </c>
      <c r="AI161" s="9" t="n">
        <f aca="false">(AI157*Assumptions!$C$65)</f>
        <v>458.589851154501</v>
      </c>
      <c r="AJ161" s="9" t="n">
        <f aca="false">(AJ157*Assumptions!$C$65)</f>
        <v>482.088166763593</v>
      </c>
      <c r="AK161" s="9" t="n">
        <f aca="false">(AK157*Assumptions!$C$65)</f>
        <v>548.417267481407</v>
      </c>
      <c r="AL161" s="9" t="n">
        <f aca="false">(AL157*Assumptions!$C$65)</f>
        <v>582.880630834297</v>
      </c>
      <c r="AN161" s="11" t="n">
        <f aca="false">SUM(C161:N161)</f>
        <v>213.293294319711</v>
      </c>
      <c r="AO161" s="11" t="n">
        <f aca="false">SUM(O161:Z161)</f>
        <v>1759.18735981121</v>
      </c>
      <c r="AP161" s="11" t="n">
        <f aca="false">SUM(AA161:AL161)</f>
        <v>4658.76387400696</v>
      </c>
    </row>
    <row r="162" customFormat="false" ht="15" hidden="false" customHeight="false" outlineLevel="0" collapsed="false">
      <c r="A162" s="0" t="s">
        <v>965</v>
      </c>
      <c r="B162" s="0" t="s">
        <v>230</v>
      </c>
      <c r="C162" s="9" t="n">
        <f aca="false">(C157*Assumptions!$C$66)</f>
        <v>4.68</v>
      </c>
      <c r="D162" s="9" t="n">
        <f aca="false">(D157*Assumptions!$C$66)</f>
        <v>8.316</v>
      </c>
      <c r="E162" s="9" t="n">
        <f aca="false">(E157*Assumptions!$C$66)</f>
        <v>10.958544</v>
      </c>
      <c r="F162" s="9" t="n">
        <f aca="false">(F157*Assumptions!$C$66)</f>
        <v>13.0736448</v>
      </c>
      <c r="G162" s="9" t="n">
        <f aca="false">(G157*Assumptions!$C$66)</f>
        <v>18.4317576576</v>
      </c>
      <c r="H162" s="9" t="n">
        <f aca="false">(H157*Assumptions!$C$66)</f>
        <v>19.132752778368</v>
      </c>
      <c r="I162" s="9" t="n">
        <f aca="false">(I157*Assumptions!$C$66)</f>
        <v>20.915490607849</v>
      </c>
      <c r="J162" s="9" t="n">
        <f aca="false">(J157*Assumptions!$C$66)</f>
        <v>45.0705420266973</v>
      </c>
      <c r="K162" s="9" t="n">
        <f aca="false">(K157*Assumptions!$C$66)</f>
        <v>52.5942125064535</v>
      </c>
      <c r="L162" s="9" t="n">
        <f aca="false">(L157*Assumptions!$C$66)</f>
        <v>55.5772436833298</v>
      </c>
      <c r="M162" s="9" t="n">
        <f aca="false">(M157*Assumptions!$C$66)</f>
        <v>53.114320978129</v>
      </c>
      <c r="N162" s="9" t="n">
        <f aca="false">(N157*Assumptions!$C$66)</f>
        <v>53.6243148277588</v>
      </c>
      <c r="O162" s="9" t="n">
        <f aca="false">(O157*Assumptions!$C$66)</f>
        <v>98.2469920209485</v>
      </c>
      <c r="P162" s="9" t="n">
        <f aca="false">(P157*Assumptions!$C$66)</f>
        <v>115.588390302057</v>
      </c>
      <c r="Q162" s="9" t="n">
        <f aca="false">(Q157*Assumptions!$C$66)</f>
        <v>141.418462338308</v>
      </c>
      <c r="R162" s="9" t="n">
        <f aca="false">(R157*Assumptions!$C$66)</f>
        <v>162.084122396477</v>
      </c>
      <c r="S162" s="9" t="n">
        <f aca="false">(S157*Assumptions!$C$66)</f>
        <v>174.673148442839</v>
      </c>
      <c r="T162" s="9" t="n">
        <f aca="false">(T157*Assumptions!$C$66)</f>
        <v>216.60643419614</v>
      </c>
      <c r="U162" s="9" t="n">
        <f aca="false">(U157*Assumptions!$C$66)</f>
        <v>236.169119833515</v>
      </c>
      <c r="V162" s="9" t="n">
        <f aca="false">(V157*Assumptions!$C$66)</f>
        <v>284.403804873978</v>
      </c>
      <c r="W162" s="9" t="n">
        <f aca="false">(W157*Assumptions!$C$66)</f>
        <v>337.067577956897</v>
      </c>
      <c r="X162" s="9" t="n">
        <f aca="false">(X157*Assumptions!$C$66)</f>
        <v>379.640635173402</v>
      </c>
      <c r="Y162" s="9" t="n">
        <f aca="false">(Y157*Assumptions!$C$66)</f>
        <v>391.435953201901</v>
      </c>
      <c r="Z162" s="9" t="n">
        <f aca="false">(Z157*Assumptions!$C$66)</f>
        <v>394.644292282213</v>
      </c>
      <c r="AA162" s="9" t="n">
        <f aca="false">(AA157*Assumptions!$C$66)</f>
        <v>454.898611410638</v>
      </c>
      <c r="AB162" s="9" t="n">
        <f aca="false">(AB157*Assumptions!$C$66)</f>
        <v>486.530763286557</v>
      </c>
      <c r="AC162" s="9" t="n">
        <f aca="false">(AC157*Assumptions!$C$66)</f>
        <v>501.505974088582</v>
      </c>
      <c r="AD162" s="9" t="n">
        <f aca="false">(AD157*Assumptions!$C$66)</f>
        <v>515.173359226221</v>
      </c>
      <c r="AE162" s="9" t="n">
        <f aca="false">(AE157*Assumptions!$C$66)</f>
        <v>552.280273161485</v>
      </c>
      <c r="AF162" s="9" t="n">
        <f aca="false">(AF157*Assumptions!$C$66)</f>
        <v>543.518329289403</v>
      </c>
      <c r="AG162" s="9" t="n">
        <f aca="false">(AG157*Assumptions!$C$66)</f>
        <v>554.648294155215</v>
      </c>
      <c r="AH162" s="9" t="n">
        <f aca="false">(AH157*Assumptions!$C$66)</f>
        <v>702.757658337162</v>
      </c>
      <c r="AI162" s="9" t="n">
        <f aca="false">(AI157*Assumptions!$C$66)</f>
        <v>764.316418590834</v>
      </c>
      <c r="AJ162" s="9" t="n">
        <f aca="false">(AJ157*Assumptions!$C$66)</f>
        <v>803.480277939322</v>
      </c>
      <c r="AK162" s="9" t="n">
        <f aca="false">(AK157*Assumptions!$C$66)</f>
        <v>914.028779135679</v>
      </c>
      <c r="AL162" s="9" t="n">
        <f aca="false">(AL157*Assumptions!$C$66)</f>
        <v>971.467718057162</v>
      </c>
      <c r="AN162" s="11" t="n">
        <f aca="false">SUM(C162:N162)</f>
        <v>355.488823866185</v>
      </c>
      <c r="AO162" s="11" t="n">
        <f aca="false">SUM(O162:Z162)</f>
        <v>2931.97893301868</v>
      </c>
      <c r="AP162" s="11" t="n">
        <f aca="false">SUM(AA162:AL162)</f>
        <v>7764.60645667826</v>
      </c>
    </row>
    <row r="163" customFormat="false" ht="15" hidden="false" customHeight="false" outlineLevel="0" collapsed="false">
      <c r="A163" s="0" t="s">
        <v>363</v>
      </c>
      <c r="B163" s="0" t="s">
        <v>230</v>
      </c>
      <c r="C163" s="9" t="n">
        <f aca="false">(C157*Assumptions!$C$67)</f>
        <v>2.34</v>
      </c>
      <c r="D163" s="9" t="n">
        <f aca="false">(D157*Assumptions!$C$67)</f>
        <v>4.158</v>
      </c>
      <c r="E163" s="9" t="n">
        <f aca="false">(E157*Assumptions!$C$67)</f>
        <v>5.479272</v>
      </c>
      <c r="F163" s="9" t="n">
        <f aca="false">(F157*Assumptions!$C$67)</f>
        <v>6.5368224</v>
      </c>
      <c r="G163" s="9" t="n">
        <f aca="false">(G157*Assumptions!$C$67)</f>
        <v>9.2158788288</v>
      </c>
      <c r="H163" s="9" t="n">
        <f aca="false">(H157*Assumptions!$C$67)</f>
        <v>9.566376389184</v>
      </c>
      <c r="I163" s="9" t="n">
        <f aca="false">(I157*Assumptions!$C$67)</f>
        <v>10.4577453039245</v>
      </c>
      <c r="J163" s="9" t="n">
        <f aca="false">(J157*Assumptions!$C$67)</f>
        <v>22.5352710133487</v>
      </c>
      <c r="K163" s="9" t="n">
        <f aca="false">(K157*Assumptions!$C$67)</f>
        <v>26.2971062532267</v>
      </c>
      <c r="L163" s="9" t="n">
        <f aca="false">(L157*Assumptions!$C$67)</f>
        <v>27.7886218416649</v>
      </c>
      <c r="M163" s="9" t="n">
        <f aca="false">(M157*Assumptions!$C$67)</f>
        <v>26.5571604890645</v>
      </c>
      <c r="N163" s="9" t="n">
        <f aca="false">(N157*Assumptions!$C$67)</f>
        <v>26.8121574138794</v>
      </c>
      <c r="O163" s="9" t="n">
        <f aca="false">(O157*Assumptions!$C$67)</f>
        <v>49.1234960104743</v>
      </c>
      <c r="P163" s="9" t="n">
        <f aca="false">(P157*Assumptions!$C$67)</f>
        <v>57.7941951510284</v>
      </c>
      <c r="Q163" s="9" t="n">
        <f aca="false">(Q157*Assumptions!$C$67)</f>
        <v>70.7092311691539</v>
      </c>
      <c r="R163" s="9" t="n">
        <f aca="false">(R157*Assumptions!$C$67)</f>
        <v>81.0420611982385</v>
      </c>
      <c r="S163" s="9" t="n">
        <f aca="false">(S157*Assumptions!$C$67)</f>
        <v>87.3365742214197</v>
      </c>
      <c r="T163" s="9" t="n">
        <f aca="false">(T157*Assumptions!$C$67)</f>
        <v>108.30321709807</v>
      </c>
      <c r="U163" s="9" t="n">
        <f aca="false">(U157*Assumptions!$C$67)</f>
        <v>118.084559916758</v>
      </c>
      <c r="V163" s="9" t="n">
        <f aca="false">(V157*Assumptions!$C$67)</f>
        <v>142.201902436989</v>
      </c>
      <c r="W163" s="9" t="n">
        <f aca="false">(W157*Assumptions!$C$67)</f>
        <v>168.533788978449</v>
      </c>
      <c r="X163" s="9" t="n">
        <f aca="false">(X157*Assumptions!$C$67)</f>
        <v>189.820317586701</v>
      </c>
      <c r="Y163" s="9" t="n">
        <f aca="false">(Y157*Assumptions!$C$67)</f>
        <v>195.71797660095</v>
      </c>
      <c r="Z163" s="9" t="n">
        <f aca="false">(Z157*Assumptions!$C$67)</f>
        <v>197.322146141107</v>
      </c>
      <c r="AA163" s="9" t="n">
        <f aca="false">(AA157*Assumptions!$C$67)</f>
        <v>227.449305705319</v>
      </c>
      <c r="AB163" s="9" t="n">
        <f aca="false">(AB157*Assumptions!$C$67)</f>
        <v>243.265381643279</v>
      </c>
      <c r="AC163" s="9" t="n">
        <f aca="false">(AC157*Assumptions!$C$67)</f>
        <v>250.752987044291</v>
      </c>
      <c r="AD163" s="9" t="n">
        <f aca="false">(AD157*Assumptions!$C$67)</f>
        <v>257.58667961311</v>
      </c>
      <c r="AE163" s="9" t="n">
        <f aca="false">(AE157*Assumptions!$C$67)</f>
        <v>276.140136580742</v>
      </c>
      <c r="AF163" s="9" t="n">
        <f aca="false">(AF157*Assumptions!$C$67)</f>
        <v>271.759164644701</v>
      </c>
      <c r="AG163" s="9" t="n">
        <f aca="false">(AG157*Assumptions!$C$67)</f>
        <v>277.324147077608</v>
      </c>
      <c r="AH163" s="9" t="n">
        <f aca="false">(AH157*Assumptions!$C$67)</f>
        <v>351.378829168581</v>
      </c>
      <c r="AI163" s="9" t="n">
        <f aca="false">(AI157*Assumptions!$C$67)</f>
        <v>382.158209295417</v>
      </c>
      <c r="AJ163" s="9" t="n">
        <f aca="false">(AJ157*Assumptions!$C$67)</f>
        <v>401.740138969661</v>
      </c>
      <c r="AK163" s="9" t="n">
        <f aca="false">(AK157*Assumptions!$C$67)</f>
        <v>457.01438956784</v>
      </c>
      <c r="AL163" s="9" t="n">
        <f aca="false">(AL157*Assumptions!$C$67)</f>
        <v>485.733859028581</v>
      </c>
      <c r="AN163" s="11" t="n">
        <f aca="false">SUM(C163:N163)</f>
        <v>177.744411933093</v>
      </c>
      <c r="AO163" s="11" t="n">
        <f aca="false">SUM(O163:Z163)</f>
        <v>1465.98946650934</v>
      </c>
      <c r="AP163" s="11" t="n">
        <f aca="false">SUM(AA163:AL163)</f>
        <v>3882.30322833913</v>
      </c>
    </row>
    <row r="164" customFormat="false" ht="15" hidden="false" customHeight="false" outlineLevel="0" collapsed="false">
      <c r="A164" s="0" t="s">
        <v>966</v>
      </c>
      <c r="B164" s="0" t="s">
        <v>230</v>
      </c>
      <c r="C164" s="9" t="n">
        <f aca="false">Assumptions!$C$135</f>
        <v>4000</v>
      </c>
      <c r="D164" s="9" t="n">
        <f aca="false">Assumptions!$C$135</f>
        <v>4000</v>
      </c>
      <c r="E164" s="9" t="n">
        <f aca="false">Assumptions!$C$135</f>
        <v>4000</v>
      </c>
      <c r="F164" s="9" t="n">
        <f aca="false">Assumptions!$C$135</f>
        <v>4000</v>
      </c>
      <c r="G164" s="9" t="n">
        <f aca="false">Assumptions!$C$135</f>
        <v>4000</v>
      </c>
      <c r="H164" s="9" t="n">
        <f aca="false">Assumptions!$C$135</f>
        <v>4000</v>
      </c>
      <c r="I164" s="9" t="n">
        <f aca="false">Assumptions!$C$135</f>
        <v>4000</v>
      </c>
      <c r="J164" s="9" t="n">
        <f aca="false">Assumptions!$C$135</f>
        <v>4000</v>
      </c>
      <c r="K164" s="9" t="n">
        <f aca="false">Assumptions!$C$135</f>
        <v>4000</v>
      </c>
      <c r="L164" s="9" t="n">
        <f aca="false">Assumptions!$C$135</f>
        <v>4000</v>
      </c>
      <c r="M164" s="9" t="n">
        <f aca="false">Assumptions!$C$135</f>
        <v>4000</v>
      </c>
      <c r="N164" s="9" t="n">
        <f aca="false">Assumptions!$C$135</f>
        <v>4000</v>
      </c>
      <c r="O164" s="9" t="n">
        <f aca="false">Assumptions!$D$135</f>
        <v>9000</v>
      </c>
      <c r="P164" s="9" t="n">
        <f aca="false">Assumptions!$D$135</f>
        <v>9000</v>
      </c>
      <c r="Q164" s="9" t="n">
        <f aca="false">Assumptions!$D$135</f>
        <v>9000</v>
      </c>
      <c r="R164" s="9" t="n">
        <f aca="false">Assumptions!$D$135</f>
        <v>9000</v>
      </c>
      <c r="S164" s="9" t="n">
        <f aca="false">Assumptions!$D$135</f>
        <v>9000</v>
      </c>
      <c r="T164" s="9" t="n">
        <f aca="false">Assumptions!$D$135</f>
        <v>9000</v>
      </c>
      <c r="U164" s="9" t="n">
        <f aca="false">Assumptions!$D$135</f>
        <v>9000</v>
      </c>
      <c r="V164" s="9" t="n">
        <f aca="false">Assumptions!$D$135</f>
        <v>9000</v>
      </c>
      <c r="W164" s="9" t="n">
        <f aca="false">Assumptions!$D$135</f>
        <v>9000</v>
      </c>
      <c r="X164" s="9" t="n">
        <f aca="false">Assumptions!$D$135</f>
        <v>9000</v>
      </c>
      <c r="Y164" s="9" t="n">
        <f aca="false">Assumptions!$D$135</f>
        <v>9000</v>
      </c>
      <c r="Z164" s="9" t="n">
        <f aca="false">Assumptions!$D$135</f>
        <v>9000</v>
      </c>
      <c r="AA164" s="9" t="n">
        <f aca="false">Assumptions!$E$135</f>
        <v>16000</v>
      </c>
      <c r="AB164" s="9" t="n">
        <f aca="false">Assumptions!$E$135</f>
        <v>16000</v>
      </c>
      <c r="AC164" s="9" t="n">
        <f aca="false">Assumptions!$E$135</f>
        <v>16000</v>
      </c>
      <c r="AD164" s="9" t="n">
        <f aca="false">Assumptions!$E$135</f>
        <v>16000</v>
      </c>
      <c r="AE164" s="9" t="n">
        <f aca="false">Assumptions!$E$135</f>
        <v>16000</v>
      </c>
      <c r="AF164" s="9" t="n">
        <f aca="false">Assumptions!$E$135</f>
        <v>16000</v>
      </c>
      <c r="AG164" s="9" t="n">
        <f aca="false">Assumptions!$E$135</f>
        <v>16000</v>
      </c>
      <c r="AH164" s="9" t="n">
        <f aca="false">Assumptions!$E$135</f>
        <v>16000</v>
      </c>
      <c r="AI164" s="9" t="n">
        <f aca="false">Assumptions!$E$135</f>
        <v>16000</v>
      </c>
      <c r="AJ164" s="9" t="n">
        <f aca="false">Assumptions!$E$135</f>
        <v>16000</v>
      </c>
      <c r="AK164" s="9" t="n">
        <f aca="false">Assumptions!$E$135</f>
        <v>16000</v>
      </c>
      <c r="AL164" s="9" t="n">
        <f aca="false">Assumptions!$E$135</f>
        <v>16000</v>
      </c>
      <c r="AN164" s="11" t="n">
        <f aca="false">SUM(C164:N164)</f>
        <v>48000</v>
      </c>
      <c r="AO164" s="11" t="n">
        <f aca="false">SUM(O164:Z164)</f>
        <v>108000</v>
      </c>
      <c r="AP164" s="11" t="n">
        <f aca="false">SUM(AA164:AL164)</f>
        <v>192000</v>
      </c>
    </row>
    <row r="165" customFormat="false" ht="15" hidden="false" customHeight="false" outlineLevel="0" collapsed="false">
      <c r="A165" s="0" t="s">
        <v>967</v>
      </c>
      <c r="B165" s="0" t="s">
        <v>230</v>
      </c>
      <c r="C165" s="9" t="n">
        <f aca="false">(((Assumptions!$C$184*$C$12)*$C$13)*(((C29*Assumptions!$C$85)+(C39*Assumptions!$C$86))+(C126*Assumptions!$C$87)))</f>
        <v>33.7515984</v>
      </c>
      <c r="D165" s="9" t="n">
        <f aca="false">(((Assumptions!$C$184*$C$12)*$C$13)*(((D29*Assumptions!$C$85)+(D39*Assumptions!$C$86))+(D126*Assumptions!$C$87)))</f>
        <v>59.97399408</v>
      </c>
      <c r="E165" s="9" t="n">
        <f aca="false">(((Assumptions!$C$184*$C$12)*$C$13)*(((E29*Assumptions!$C$85)+(E39*Assumptions!$C$86))+(E126*Assumptions!$C$87)))</f>
        <v>79.03170430272</v>
      </c>
      <c r="F165" s="9" t="n">
        <f aca="false">(((Assumptions!$C$184*$C$12)*$C$13)*(((F29*Assumptions!$C$85)+(F39*Assumptions!$C$86))+(F126*Assumptions!$C$87)))</f>
        <v>94.285557460224</v>
      </c>
      <c r="G165" s="9" t="n">
        <f aca="false">(((Assumptions!$C$184*$C$12)*$C$13)*(((G29*Assumptions!$C$85)+(G39*Assumptions!$C$86))+(G126*Assumptions!$C$87)))</f>
        <v>163.217520415692</v>
      </c>
      <c r="H165" s="9" t="n">
        <f aca="false">(((Assumptions!$C$184*$C$12)*$C$13)*(((H29*Assumptions!$C$85)+(H39*Assumptions!$C$86))+(H126*Assumptions!$C$87)))</f>
        <v>168.273013107257</v>
      </c>
      <c r="I165" s="9" t="n">
        <f aca="false">(((Assumptions!$C$184*$C$12)*$C$13)*(((I29*Assumptions!$C$85)+(I39*Assumptions!$C$86))+(I126*Assumptions!$C$87)))</f>
        <v>181.129904404934</v>
      </c>
      <c r="J165" s="9" t="n">
        <f aca="false">(((Assumptions!$C$184*$C$12)*$C$13)*(((J29*Assumptions!$C$85)+(J39*Assumptions!$C$86))+(J126*Assumptions!$C$87)))</f>
        <v>481.541136631498</v>
      </c>
      <c r="K165" s="9" t="n">
        <f aca="false">(((Assumptions!$C$184*$C$12)*$C$13)*(((K29*Assumptions!$C$85)+(K39*Assumptions!$C$86))+(K126*Assumptions!$C$87)))</f>
        <v>535.800945291042</v>
      </c>
      <c r="L165" s="9" t="n">
        <f aca="false">(((Assumptions!$C$184*$C$12)*$C$13)*(((L29*Assumptions!$C$85)+(L39*Assumptions!$C$86))+(L126*Assumptions!$C$87)))</f>
        <v>557.314208174932</v>
      </c>
      <c r="M165" s="9" t="n">
        <f aca="false">(((Assumptions!$C$184*$C$12)*$C$13)*(((M29*Assumptions!$C$85)+(M39*Assumptions!$C$86))+(M126*Assumptions!$C$87)))</f>
        <v>509.262009175749</v>
      </c>
      <c r="N165" s="9" t="n">
        <f aca="false">(((Assumptions!$C$184*$C$12)*$C$13)*(((N29*Assumptions!$C$85)+(N39*Assumptions!$C$86))+(N126*Assumptions!$C$87)))</f>
        <v>512.940023620017</v>
      </c>
      <c r="O165" s="9" t="n">
        <f aca="false">(((Assumptions!$C$184*$C$12)*$C$13)*(((O29*Assumptions!$C$85)+(O39*Assumptions!$C$86))+(O126*Assumptions!$C$87)))</f>
        <v>837.033003772713</v>
      </c>
      <c r="P165" s="9" t="n">
        <f aca="false">(((Assumptions!$C$184*$C$12)*$C$13)*(((P29*Assumptions!$C$85)+(P39*Assumptions!$C$86))+(P126*Assumptions!$C$87)))</f>
        <v>840.916253746713</v>
      </c>
      <c r="Q165" s="9" t="n">
        <f aca="false">(((Assumptions!$C$184*$C$12)*$C$13)*(((Q29*Assumptions!$C$85)+(Q39*Assumptions!$C$86))+(Q126*Assumptions!$C$87)))</f>
        <v>1034.27592855529</v>
      </c>
      <c r="R165" s="9" t="n">
        <f aca="false">(((Assumptions!$C$184*$C$12)*$C$13)*(((R29*Assumptions!$C$85)+(R39*Assumptions!$C$86))+(R126*Assumptions!$C$87)))</f>
        <v>1191.81266389062</v>
      </c>
      <c r="S165" s="9" t="n">
        <f aca="false">(((Assumptions!$C$184*$C$12)*$C$13)*(((S29*Assumptions!$C$85)+(S39*Assumptions!$C$86))+(S126*Assumptions!$C$87)))</f>
        <v>1292.15958116659</v>
      </c>
      <c r="T165" s="9" t="n">
        <f aca="false">(((Assumptions!$C$184*$C$12)*$C$13)*(((T29*Assumptions!$C$85)+(T39*Assumptions!$C$86))+(T126*Assumptions!$C$87)))</f>
        <v>1846.10907453004</v>
      </c>
      <c r="U165" s="9" t="n">
        <f aca="false">(((Assumptions!$C$184*$C$12)*$C$13)*(((U29*Assumptions!$C$85)+(U39*Assumptions!$C$86))+(U126*Assumptions!$C$87)))</f>
        <v>2027.81116563104</v>
      </c>
      <c r="V165" s="9" t="n">
        <f aca="false">(((Assumptions!$C$184*$C$12)*$C$13)*(((V29*Assumptions!$C$85)+(V39*Assumptions!$C$86))+(V126*Assumptions!$C$87)))</f>
        <v>2386.68720062964</v>
      </c>
      <c r="W165" s="9" t="n">
        <f aca="false">(((Assumptions!$C$184*$C$12)*$C$13)*(((W29*Assumptions!$C$85)+(W39*Assumptions!$C$86))+(W126*Assumptions!$C$87)))</f>
        <v>2780.24973941761</v>
      </c>
      <c r="X165" s="9" t="n">
        <f aca="false">(((Assumptions!$C$184*$C$12)*$C$13)*(((X29*Assumptions!$C$85)+(X39*Assumptions!$C$86))+(X126*Assumptions!$C$87)))</f>
        <v>3260.48476976856</v>
      </c>
      <c r="Y165" s="9" t="n">
        <f aca="false">(((Assumptions!$C$184*$C$12)*$C$13)*(((Y29*Assumptions!$C$85)+(Y39*Assumptions!$C$86))+(Y126*Assumptions!$C$87)))</f>
        <v>3363.11749469164</v>
      </c>
      <c r="Z165" s="9" t="n">
        <f aca="false">(((Assumptions!$C$184*$C$12)*$C$13)*(((Z29*Assumptions!$C$85)+(Z39*Assumptions!$C$86))+(Z126*Assumptions!$C$87)))</f>
        <v>3404.09347089757</v>
      </c>
      <c r="AA165" s="9" t="n">
        <f aca="false">(((Assumptions!$C$184*$C$12)*$C$13)*(((AA29*Assumptions!$C$85)+(AA39*Assumptions!$C$86))+(AA126*Assumptions!$C$87)))</f>
        <v>4012.24553497646</v>
      </c>
      <c r="AB165" s="9" t="n">
        <f aca="false">(((Assumptions!$C$184*$C$12)*$C$13)*(((AB29*Assumptions!$C$85)+(AB39*Assumptions!$C$86))+(AB126*Assumptions!$C$87)))</f>
        <v>4297.835697867</v>
      </c>
      <c r="AC165" s="9" t="n">
        <f aca="false">(((Assumptions!$C$184*$C$12)*$C$13)*(((AC29*Assumptions!$C$85)+(AC39*Assumptions!$C$86))+(AC126*Assumptions!$C$87)))</f>
        <v>4425.06525930263</v>
      </c>
      <c r="AD165" s="9" t="n">
        <f aca="false">(((Assumptions!$C$184*$C$12)*$C$13)*(((AD29*Assumptions!$C$85)+(AD39*Assumptions!$C$86))+(AD126*Assumptions!$C$87)))</f>
        <v>4573.24679818716</v>
      </c>
      <c r="AE165" s="9" t="n">
        <f aca="false">(((Assumptions!$C$184*$C$12)*$C$13)*(((AE29*Assumptions!$C$85)+(AE39*Assumptions!$C$86))+(AE126*Assumptions!$C$87)))</f>
        <v>5131.52082653602</v>
      </c>
      <c r="AF165" s="9" t="n">
        <f aca="false">(((Assumptions!$C$184*$C$12)*$C$13)*(((AF29*Assumptions!$C$85)+(AF39*Assumptions!$C$86))+(AF126*Assumptions!$C$87)))</f>
        <v>5057.78573765711</v>
      </c>
      <c r="AG165" s="9" t="n">
        <f aca="false">(((Assumptions!$C$184*$C$12)*$C$13)*(((AG29*Assumptions!$C$85)+(AG39*Assumptions!$C$86))+(AG126*Assumptions!$C$87)))</f>
        <v>5185.88181362941</v>
      </c>
      <c r="AH165" s="9" t="n">
        <f aca="false">(((Assumptions!$C$184*$C$12)*$C$13)*(((AH29*Assumptions!$C$85)+(AH39*Assumptions!$C$86))+(AH126*Assumptions!$C$87)))</f>
        <v>6942.42357987917</v>
      </c>
      <c r="AI165" s="9" t="n">
        <f aca="false">(((Assumptions!$C$184*$C$12)*$C$13)*(((AI29*Assumptions!$C$85)+(AI39*Assumptions!$C$86))+(AI126*Assumptions!$C$87)))</f>
        <v>7406.12621272708</v>
      </c>
      <c r="AJ165" s="9" t="n">
        <f aca="false">(((Assumptions!$C$184*$C$12)*$C$13)*(((AJ29*Assumptions!$C$85)+(AJ39*Assumptions!$C$86))+(AJ126*Assumptions!$C$87)))</f>
        <v>7867.51077359029</v>
      </c>
      <c r="AK165" s="9" t="n">
        <f aca="false">(((Assumptions!$C$184*$C$12)*$C$13)*(((AK29*Assumptions!$C$85)+(AK39*Assumptions!$C$86))+(AK126*Assumptions!$C$87)))</f>
        <v>9445.05322779163</v>
      </c>
      <c r="AL165" s="9" t="n">
        <f aca="false">(((Assumptions!$C$184*$C$12)*$C$13)*(((AL29*Assumptions!$C$85)+(AL39*Assumptions!$C$86))+(AL126*Assumptions!$C$87)))</f>
        <v>10335.9064705105</v>
      </c>
      <c r="AN165" s="11" t="n">
        <f aca="false">SUM(C165:N165)</f>
        <v>3376.52161506407</v>
      </c>
      <c r="AO165" s="11" t="n">
        <f aca="false">SUM(O165:Z165)</f>
        <v>24264.750346698</v>
      </c>
      <c r="AP165" s="11" t="n">
        <f aca="false">SUM(AA165:AL165)</f>
        <v>74680.6019326544</v>
      </c>
    </row>
    <row r="166" customFormat="false" ht="15" hidden="false" customHeight="false" outlineLevel="0" collapsed="false">
      <c r="A166" s="0" t="s">
        <v>968</v>
      </c>
      <c r="B166" s="0" t="s">
        <v>230</v>
      </c>
      <c r="C166" s="9" t="n">
        <f aca="false">Assumptions!$C$136</f>
        <v>2000</v>
      </c>
      <c r="D166" s="9" t="n">
        <f aca="false">Assumptions!$C$136</f>
        <v>2000</v>
      </c>
      <c r="E166" s="9" t="n">
        <f aca="false">Assumptions!$C$136</f>
        <v>2000</v>
      </c>
      <c r="F166" s="9" t="n">
        <f aca="false">Assumptions!$C$136</f>
        <v>2000</v>
      </c>
      <c r="G166" s="9" t="n">
        <f aca="false">Assumptions!$C$136</f>
        <v>2000</v>
      </c>
      <c r="H166" s="9" t="n">
        <f aca="false">Assumptions!$C$136</f>
        <v>2000</v>
      </c>
      <c r="I166" s="9" t="n">
        <f aca="false">Assumptions!$C$136</f>
        <v>2000</v>
      </c>
      <c r="J166" s="9" t="n">
        <f aca="false">Assumptions!$C$136</f>
        <v>2000</v>
      </c>
      <c r="K166" s="9" t="n">
        <f aca="false">Assumptions!$C$136</f>
        <v>2000</v>
      </c>
      <c r="L166" s="9" t="n">
        <f aca="false">Assumptions!$C$136</f>
        <v>2000</v>
      </c>
      <c r="M166" s="9" t="n">
        <f aca="false">Assumptions!$C$136</f>
        <v>2000</v>
      </c>
      <c r="N166" s="9" t="n">
        <f aca="false">Assumptions!$C$136</f>
        <v>2000</v>
      </c>
      <c r="O166" s="9" t="n">
        <f aca="false">Assumptions!$D$136</f>
        <v>3000</v>
      </c>
      <c r="P166" s="9" t="n">
        <f aca="false">Assumptions!$D$136</f>
        <v>3000</v>
      </c>
      <c r="Q166" s="9" t="n">
        <f aca="false">Assumptions!$D$136</f>
        <v>3000</v>
      </c>
      <c r="R166" s="9" t="n">
        <f aca="false">Assumptions!$D$136</f>
        <v>3000</v>
      </c>
      <c r="S166" s="9" t="n">
        <f aca="false">Assumptions!$D$136</f>
        <v>3000</v>
      </c>
      <c r="T166" s="9" t="n">
        <f aca="false">Assumptions!$D$136</f>
        <v>3000</v>
      </c>
      <c r="U166" s="9" t="n">
        <f aca="false">Assumptions!$D$136</f>
        <v>3000</v>
      </c>
      <c r="V166" s="9" t="n">
        <f aca="false">Assumptions!$D$136</f>
        <v>3000</v>
      </c>
      <c r="W166" s="9" t="n">
        <f aca="false">Assumptions!$D$136</f>
        <v>3000</v>
      </c>
      <c r="X166" s="9" t="n">
        <f aca="false">Assumptions!$D$136</f>
        <v>3000</v>
      </c>
      <c r="Y166" s="9" t="n">
        <f aca="false">Assumptions!$D$136</f>
        <v>3000</v>
      </c>
      <c r="Z166" s="9" t="n">
        <f aca="false">Assumptions!$D$136</f>
        <v>3000</v>
      </c>
      <c r="AA166" s="9" t="n">
        <f aca="false">Assumptions!$E$136</f>
        <v>5000</v>
      </c>
      <c r="AB166" s="9" t="n">
        <f aca="false">Assumptions!$E$136</f>
        <v>5000</v>
      </c>
      <c r="AC166" s="9" t="n">
        <f aca="false">Assumptions!$E$136</f>
        <v>5000</v>
      </c>
      <c r="AD166" s="9" t="n">
        <f aca="false">Assumptions!$E$136</f>
        <v>5000</v>
      </c>
      <c r="AE166" s="9" t="n">
        <f aca="false">Assumptions!$E$136</f>
        <v>5000</v>
      </c>
      <c r="AF166" s="9" t="n">
        <f aca="false">Assumptions!$E$136</f>
        <v>5000</v>
      </c>
      <c r="AG166" s="9" t="n">
        <f aca="false">Assumptions!$E$136</f>
        <v>5000</v>
      </c>
      <c r="AH166" s="9" t="n">
        <f aca="false">Assumptions!$E$136</f>
        <v>5000</v>
      </c>
      <c r="AI166" s="9" t="n">
        <f aca="false">Assumptions!$E$136</f>
        <v>5000</v>
      </c>
      <c r="AJ166" s="9" t="n">
        <f aca="false">Assumptions!$E$136</f>
        <v>5000</v>
      </c>
      <c r="AK166" s="9" t="n">
        <f aca="false">Assumptions!$E$136</f>
        <v>5000</v>
      </c>
      <c r="AL166" s="9" t="n">
        <f aca="false">Assumptions!$E$136</f>
        <v>5000</v>
      </c>
      <c r="AN166" s="11" t="n">
        <f aca="false">SUM(C166:N166)</f>
        <v>24000</v>
      </c>
      <c r="AO166" s="11" t="n">
        <f aca="false">SUM(O166:Z166)</f>
        <v>36000</v>
      </c>
      <c r="AP166" s="11" t="n">
        <f aca="false">SUM(AA166:AL166)</f>
        <v>60000</v>
      </c>
    </row>
    <row r="167" customFormat="false" ht="15" hidden="false" customHeight="false" outlineLevel="0" collapsed="false">
      <c r="A167" s="0" t="s">
        <v>969</v>
      </c>
      <c r="B167" s="0" t="s">
        <v>230</v>
      </c>
      <c r="C167" s="9" t="n">
        <f aca="false">(C165+C166)</f>
        <v>2033.7515984</v>
      </c>
      <c r="D167" s="9" t="n">
        <f aca="false">(D165+D166)</f>
        <v>2059.97399408</v>
      </c>
      <c r="E167" s="9" t="n">
        <f aca="false">(E165+E166)</f>
        <v>2079.03170430272</v>
      </c>
      <c r="F167" s="9" t="n">
        <f aca="false">(F165+F166)</f>
        <v>2094.28555746022</v>
      </c>
      <c r="G167" s="9" t="n">
        <f aca="false">(G165+G166)</f>
        <v>2163.21752041569</v>
      </c>
      <c r="H167" s="9" t="n">
        <f aca="false">(H165+H166)</f>
        <v>2168.27301310726</v>
      </c>
      <c r="I167" s="9" t="n">
        <f aca="false">(I165+I166)</f>
        <v>2181.12990440493</v>
      </c>
      <c r="J167" s="9" t="n">
        <f aca="false">(J165+J166)</f>
        <v>2481.5411366315</v>
      </c>
      <c r="K167" s="9" t="n">
        <f aca="false">(K165+K166)</f>
        <v>2535.80094529104</v>
      </c>
      <c r="L167" s="9" t="n">
        <f aca="false">(L165+L166)</f>
        <v>2557.31420817493</v>
      </c>
      <c r="M167" s="9" t="n">
        <f aca="false">(M165+M166)</f>
        <v>2509.26200917575</v>
      </c>
      <c r="N167" s="9" t="n">
        <f aca="false">(N165+N166)</f>
        <v>2512.94002362002</v>
      </c>
      <c r="O167" s="9" t="n">
        <f aca="false">(O165+O166)</f>
        <v>3837.03300377271</v>
      </c>
      <c r="P167" s="9" t="n">
        <f aca="false">(P165+P166)</f>
        <v>3840.91625374671</v>
      </c>
      <c r="Q167" s="9" t="n">
        <f aca="false">(Q165+Q166)</f>
        <v>4034.27592855529</v>
      </c>
      <c r="R167" s="9" t="n">
        <f aca="false">(R165+R166)</f>
        <v>4191.81266389062</v>
      </c>
      <c r="S167" s="9" t="n">
        <f aca="false">(S165+S166)</f>
        <v>4292.15958116659</v>
      </c>
      <c r="T167" s="9" t="n">
        <f aca="false">(T165+T166)</f>
        <v>4846.10907453004</v>
      </c>
      <c r="U167" s="9" t="n">
        <f aca="false">(U165+U166)</f>
        <v>5027.81116563104</v>
      </c>
      <c r="V167" s="9" t="n">
        <f aca="false">(V165+V166)</f>
        <v>5386.68720062964</v>
      </c>
      <c r="W167" s="9" t="n">
        <f aca="false">(W165+W166)</f>
        <v>5780.24973941761</v>
      </c>
      <c r="X167" s="9" t="n">
        <f aca="false">(X165+X166)</f>
        <v>6260.48476976856</v>
      </c>
      <c r="Y167" s="9" t="n">
        <f aca="false">(Y165+Y166)</f>
        <v>6363.11749469164</v>
      </c>
      <c r="Z167" s="9" t="n">
        <f aca="false">(Z165+Z166)</f>
        <v>6404.09347089757</v>
      </c>
      <c r="AA167" s="9" t="n">
        <f aca="false">(AA165+AA166)</f>
        <v>9012.24553497646</v>
      </c>
      <c r="AB167" s="9" t="n">
        <f aca="false">(AB165+AB166)</f>
        <v>9297.835697867</v>
      </c>
      <c r="AC167" s="9" t="n">
        <f aca="false">(AC165+AC166)</f>
        <v>9425.06525930263</v>
      </c>
      <c r="AD167" s="9" t="n">
        <f aca="false">(AD165+AD166)</f>
        <v>9573.24679818716</v>
      </c>
      <c r="AE167" s="9" t="n">
        <f aca="false">(AE165+AE166)</f>
        <v>10131.520826536</v>
      </c>
      <c r="AF167" s="9" t="n">
        <f aca="false">(AF165+AF166)</f>
        <v>10057.7857376571</v>
      </c>
      <c r="AG167" s="9" t="n">
        <f aca="false">(AG165+AG166)</f>
        <v>10185.8818136294</v>
      </c>
      <c r="AH167" s="9" t="n">
        <f aca="false">(AH165+AH166)</f>
        <v>11942.4235798792</v>
      </c>
      <c r="AI167" s="9" t="n">
        <f aca="false">(AI165+AI166)</f>
        <v>12406.1262127271</v>
      </c>
      <c r="AJ167" s="9" t="n">
        <f aca="false">(AJ165+AJ166)</f>
        <v>12867.5107735903</v>
      </c>
      <c r="AK167" s="9" t="n">
        <f aca="false">(AK165+AK166)</f>
        <v>14445.0532277916</v>
      </c>
      <c r="AL167" s="9" t="n">
        <f aca="false">(AL165+AL166)</f>
        <v>15335.9064705105</v>
      </c>
      <c r="AN167" s="11" t="n">
        <f aca="false">SUM(C167:N167)</f>
        <v>27376.5216150641</v>
      </c>
      <c r="AO167" s="11" t="n">
        <f aca="false">SUM(O167:Z167)</f>
        <v>60264.750346698</v>
      </c>
      <c r="AP167" s="11" t="n">
        <f aca="false">SUM(AA167:AL167)</f>
        <v>134680.601932654</v>
      </c>
    </row>
    <row r="168" customFormat="false" ht="15" hidden="false" customHeight="false" outlineLevel="0" collapsed="false">
      <c r="A168" s="0" t="s">
        <v>970</v>
      </c>
      <c r="B168" s="0" t="s">
        <v>230</v>
      </c>
      <c r="C168" s="9" t="n">
        <f aca="false">((C122+C123)*((Assumptions!$C$90*Assumptions!$C$89)+Assumptions!$C$91))</f>
        <v>0</v>
      </c>
      <c r="D168" s="9" t="n">
        <f aca="false">((D122+D123)*((Assumptions!$C$90*Assumptions!$C$89)+Assumptions!$C$91))</f>
        <v>0</v>
      </c>
      <c r="E168" s="9" t="n">
        <f aca="false">((E122+E123)*((Assumptions!$C$90*Assumptions!$C$89)+Assumptions!$C$91))</f>
        <v>0</v>
      </c>
      <c r="F168" s="9" t="n">
        <f aca="false">((F122+F123)*((Assumptions!$C$90*Assumptions!$C$89)+Assumptions!$C$91))</f>
        <v>0</v>
      </c>
      <c r="G168" s="9" t="n">
        <f aca="false">((G122+G123)*((Assumptions!$C$90*Assumptions!$C$89)+Assumptions!$C$91))</f>
        <v>305</v>
      </c>
      <c r="H168" s="9" t="n">
        <f aca="false">((H122+H123)*((Assumptions!$C$90*Assumptions!$C$89)+Assumptions!$C$91))</f>
        <v>305</v>
      </c>
      <c r="I168" s="9" t="n">
        <f aca="false">((I122+I123)*((Assumptions!$C$90*Assumptions!$C$89)+Assumptions!$C$91))</f>
        <v>305</v>
      </c>
      <c r="J168" s="9" t="n">
        <f aca="false">((J122+J123)*((Assumptions!$C$90*Assumptions!$C$89)+Assumptions!$C$91))</f>
        <v>610</v>
      </c>
      <c r="K168" s="9" t="n">
        <f aca="false">((K122+K123)*((Assumptions!$C$90*Assumptions!$C$89)+Assumptions!$C$91))</f>
        <v>610</v>
      </c>
      <c r="L168" s="9" t="n">
        <f aca="false">((L122+L123)*((Assumptions!$C$90*Assumptions!$C$89)+Assumptions!$C$91))</f>
        <v>610</v>
      </c>
      <c r="M168" s="9" t="n">
        <f aca="false">((M122+M123)*((Assumptions!$C$90*Assumptions!$C$89)+Assumptions!$C$91))</f>
        <v>305</v>
      </c>
      <c r="N168" s="9" t="n">
        <f aca="false">((N122+N123)*((Assumptions!$C$90*Assumptions!$C$89)+Assumptions!$C$91))</f>
        <v>305</v>
      </c>
      <c r="O168" s="9" t="n">
        <f aca="false">((O122+O123)*((Assumptions!$C$90*Assumptions!$C$89)+Assumptions!$C$91))</f>
        <v>305</v>
      </c>
      <c r="P168" s="9" t="n">
        <f aca="false">((P122+P123)*((Assumptions!$C$90*Assumptions!$C$89)+Assumptions!$C$91))</f>
        <v>0</v>
      </c>
      <c r="Q168" s="9" t="n">
        <f aca="false">((Q122+Q123)*((Assumptions!$C$90*Assumptions!$C$89)+Assumptions!$C$91))</f>
        <v>0</v>
      </c>
      <c r="R168" s="9" t="n">
        <f aca="false">((R122+R123)*((Assumptions!$C$90*Assumptions!$C$89)+Assumptions!$C$91))</f>
        <v>0</v>
      </c>
      <c r="S168" s="9" t="n">
        <f aca="false">((S122+S123)*((Assumptions!$C$90*Assumptions!$C$89)+Assumptions!$C$91))</f>
        <v>0</v>
      </c>
      <c r="T168" s="9" t="n">
        <f aca="false">((T122+T123)*((Assumptions!$C$90*Assumptions!$C$89)+Assumptions!$C$91))</f>
        <v>329.4</v>
      </c>
      <c r="U168" s="9" t="n">
        <f aca="false">((U122+U123)*((Assumptions!$C$90*Assumptions!$C$89)+Assumptions!$C$91))</f>
        <v>634.4</v>
      </c>
      <c r="V168" s="9" t="n">
        <f aca="false">((V122+V123)*((Assumptions!$C$90*Assumptions!$C$89)+Assumptions!$C$91))</f>
        <v>634.4</v>
      </c>
      <c r="W168" s="9" t="n">
        <f aca="false">((W122+W123)*((Assumptions!$C$90*Assumptions!$C$89)+Assumptions!$C$91))</f>
        <v>634.4</v>
      </c>
      <c r="X168" s="9" t="n">
        <f aca="false">((X122+X123)*((Assumptions!$C$90*Assumptions!$C$89)+Assumptions!$C$91))</f>
        <v>1244.4</v>
      </c>
      <c r="Y168" s="9" t="n">
        <f aca="false">((Y122+Y123)*((Assumptions!$C$90*Assumptions!$C$89)+Assumptions!$C$91))</f>
        <v>1244.4</v>
      </c>
      <c r="Z168" s="9" t="n">
        <f aca="false">((Z122+Z123)*((Assumptions!$C$90*Assumptions!$C$89)+Assumptions!$C$91))</f>
        <v>1244.4</v>
      </c>
      <c r="AA168" s="9" t="n">
        <f aca="false">((AA122+AA123)*((Assumptions!$C$90*Assumptions!$C$89)+Assumptions!$C$91))</f>
        <v>1854.4</v>
      </c>
      <c r="AB168" s="9" t="n">
        <f aca="false">((AB122+AB123)*((Assumptions!$C$90*Assumptions!$C$89)+Assumptions!$C$91))</f>
        <v>1991.65</v>
      </c>
      <c r="AC168" s="9" t="n">
        <f aca="false">((AC122+AC123)*((Assumptions!$C$90*Assumptions!$C$89)+Assumptions!$C$91))</f>
        <v>1991.65</v>
      </c>
      <c r="AD168" s="9" t="n">
        <f aca="false">((AD122+AD123)*((Assumptions!$C$90*Assumptions!$C$89)+Assumptions!$C$91))</f>
        <v>2296.65</v>
      </c>
      <c r="AE168" s="9" t="n">
        <f aca="false">((AE122+AE123)*((Assumptions!$C$90*Assumptions!$C$89)+Assumptions!$C$91))</f>
        <v>2862.425</v>
      </c>
      <c r="AF168" s="9" t="n">
        <f aca="false">((AF122+AF123)*((Assumptions!$C$90*Assumptions!$C$89)+Assumptions!$C$91))</f>
        <v>2822.897</v>
      </c>
      <c r="AG168" s="9" t="n">
        <f aca="false">((AG122+AG123)*((Assumptions!$C$90*Assumptions!$C$89)+Assumptions!$C$91))</f>
        <v>3127.897</v>
      </c>
      <c r="AH168" s="9" t="n">
        <f aca="false">((AH122+AH123)*((Assumptions!$C$90*Assumptions!$C$89)+Assumptions!$C$91))</f>
        <v>4135.922</v>
      </c>
      <c r="AI168" s="9" t="n">
        <f aca="false">((AI122+AI123)*((Assumptions!$C$90*Assumptions!$C$89)+Assumptions!$C$91))</f>
        <v>4135.922</v>
      </c>
      <c r="AJ168" s="9" t="n">
        <f aca="false">((AJ122+AJ123)*((Assumptions!$C$90*Assumptions!$C$89)+Assumptions!$C$91))</f>
        <v>4745.922</v>
      </c>
      <c r="AK168" s="9" t="n">
        <f aca="false">((AK122+AK123)*((Assumptions!$C$90*Assumptions!$C$89)+Assumptions!$C$91))</f>
        <v>6058.947</v>
      </c>
      <c r="AL168" s="9" t="n">
        <f aca="false">((AL122+AL123)*((Assumptions!$C$90*Assumptions!$C$89)+Assumptions!$C$91))</f>
        <v>6363.947</v>
      </c>
      <c r="AN168" s="11" t="n">
        <f aca="false">SUM(C168:N168)</f>
        <v>3355</v>
      </c>
      <c r="AO168" s="11" t="n">
        <f aca="false">SUM(O168:Z168)</f>
        <v>6270.8</v>
      </c>
      <c r="AP168" s="11" t="n">
        <f aca="false">SUM(AA168:AL168)</f>
        <v>42388.229</v>
      </c>
    </row>
    <row r="169" customFormat="false" ht="15" hidden="false" customHeight="false" outlineLevel="0" collapsed="false">
      <c r="A169" s="0" t="s">
        <v>971</v>
      </c>
      <c r="B169" s="0" t="s">
        <v>421</v>
      </c>
      <c r="C169" s="9" t="n">
        <f aca="false">((((C29+C39)*Assumptions!$C$92)/100)+((C126*Assumptions!$C$93)/100))</f>
        <v>5.85</v>
      </c>
      <c r="D169" s="9" t="n">
        <f aca="false">((((D29+D39)*Assumptions!$C$92)/100)+((D126*Assumptions!$C$93)/100))</f>
        <v>10.395</v>
      </c>
      <c r="E169" s="9" t="n">
        <f aca="false">((((E29+E39)*Assumptions!$C$92)/100)+((E126*Assumptions!$C$93)/100))</f>
        <v>13.69818</v>
      </c>
      <c r="F169" s="9" t="n">
        <f aca="false">((((F29+F39)*Assumptions!$C$92)/100)+((F126*Assumptions!$C$93)/100))</f>
        <v>16.342056</v>
      </c>
      <c r="G169" s="9" t="n">
        <f aca="false">((((G29+G39)*Assumptions!$C$92)/100)+((G126*Assumptions!$C$93)/100))</f>
        <v>25.139697072</v>
      </c>
      <c r="H169" s="9" t="n">
        <f aca="false">((((H29+H39)*Assumptions!$C$92)/100)+((H126*Assumptions!$C$93)/100))</f>
        <v>26.01594097296</v>
      </c>
      <c r="I169" s="9" t="n">
        <f aca="false">((((I29+I39)*Assumptions!$C$92)/100)+((I126*Assumptions!$C$93)/100))</f>
        <v>28.2443632598112</v>
      </c>
      <c r="J169" s="9" t="n">
        <f aca="false">((((J29+J39)*Assumptions!$C$92)/100)+((J126*Assumptions!$C$93)/100))</f>
        <v>67.1881775333717</v>
      </c>
      <c r="K169" s="9" t="n">
        <f aca="false">((((K29+K39)*Assumptions!$C$92)/100)+((K126*Assumptions!$C$93)/100))</f>
        <v>76.5927656330669</v>
      </c>
      <c r="L169" s="9" t="n">
        <f aca="false">((((L29+L39)*Assumptions!$C$92)/100)+((L126*Assumptions!$C$93)/100))</f>
        <v>80.3215546041622</v>
      </c>
      <c r="M169" s="9" t="n">
        <f aca="false">((((M29+M39)*Assumptions!$C$92)/100)+((M126*Assumptions!$C$93)/100))</f>
        <v>75.1429012226613</v>
      </c>
      <c r="N169" s="9" t="n">
        <f aca="false">((((N29+N39)*Assumptions!$C$92)/100)+((N126*Assumptions!$C$93)/100))</f>
        <v>75.7803935346985</v>
      </c>
      <c r="O169" s="9" t="n">
        <f aca="false">((((O29+O39)*Assumptions!$C$92)/100)+((O126*Assumptions!$C$93)/100))</f>
        <v>131.558740026186</v>
      </c>
      <c r="P169" s="9" t="n">
        <f aca="false">((((P29+P39)*Assumptions!$C$92)/100)+((P126*Assumptions!$C$93)/100))</f>
        <v>144.485487877571</v>
      </c>
      <c r="Q169" s="9" t="n">
        <f aca="false">((((Q29+Q39)*Assumptions!$C$92)/100)+((Q126*Assumptions!$C$93)/100))</f>
        <v>176.773077922885</v>
      </c>
      <c r="R169" s="9" t="n">
        <f aca="false">((((R29+R39)*Assumptions!$C$92)/100)+((R126*Assumptions!$C$93)/100))</f>
        <v>202.605152995596</v>
      </c>
      <c r="S169" s="9" t="n">
        <f aca="false">((((S29+S39)*Assumptions!$C$92)/100)+((S126*Assumptions!$C$93)/100))</f>
        <v>218.341435553549</v>
      </c>
      <c r="T169" s="9" t="n">
        <f aca="false">((((T29+T39)*Assumptions!$C$92)/100)+((T126*Assumptions!$C$93)/100))</f>
        <v>287.498042745175</v>
      </c>
      <c r="U169" s="9" t="n">
        <f aca="false">((((U29+U39)*Assumptions!$C$92)/100)+((U126*Assumptions!$C$93)/100))</f>
        <v>314.051399791894</v>
      </c>
      <c r="V169" s="9" t="n">
        <f aca="false">((((V29+V39)*Assumptions!$C$92)/100)+((V126*Assumptions!$C$93)/100))</f>
        <v>374.344756092473</v>
      </c>
      <c r="W169" s="9" t="n">
        <f aca="false">((((W29+W39)*Assumptions!$C$92)/100)+((W126*Assumptions!$C$93)/100))</f>
        <v>440.174472446122</v>
      </c>
      <c r="X169" s="9" t="n">
        <f aca="false">((((X29+X39)*Assumptions!$C$92)/100)+((X126*Assumptions!$C$93)/100))</f>
        <v>504.240793966753</v>
      </c>
      <c r="Y169" s="9" t="n">
        <f aca="false">((((Y29+Y39)*Assumptions!$C$92)/100)+((Y126*Assumptions!$C$93)/100))</f>
        <v>518.984941502376</v>
      </c>
      <c r="Z169" s="9" t="n">
        <f aca="false">((((Z29+Z39)*Assumptions!$C$92)/100)+((Z126*Assumptions!$C$93)/100))</f>
        <v>522.995365352767</v>
      </c>
      <c r="AA169" s="9" t="n">
        <f aca="false">((((AA29+AA39)*Assumptions!$C$92)/100)+((AA126*Assumptions!$C$93)/100))</f>
        <v>609.163264263298</v>
      </c>
      <c r="AB169" s="9" t="n">
        <f aca="false">((((AB29+AB39)*Assumptions!$C$92)/100)+((AB126*Assumptions!$C$93)/100))</f>
        <v>651.403454108197</v>
      </c>
      <c r="AC169" s="9" t="n">
        <f aca="false">((((AC29+AC39)*Assumptions!$C$92)/100)+((AC126*Assumptions!$C$93)/100))</f>
        <v>670.122467610727</v>
      </c>
      <c r="AD169" s="9" t="n">
        <f aca="false">((((AD29+AD39)*Assumptions!$C$92)/100)+((AD126*Assumptions!$C$93)/100))</f>
        <v>689.306699032776</v>
      </c>
      <c r="AE169" s="9" t="n">
        <f aca="false">((((AE29+AE39)*Assumptions!$C$92)/100)+((AE126*Assumptions!$C$93)/100))</f>
        <v>754.515341451856</v>
      </c>
      <c r="AF169" s="9" t="n">
        <f aca="false">((((AF29+AF39)*Assumptions!$C$92)/100)+((AF126*Assumptions!$C$93)/100))</f>
        <v>741.554111611754</v>
      </c>
      <c r="AG169" s="9" t="n">
        <f aca="false">((((AG29+AG39)*Assumptions!$C$92)/100)+((AG126*Assumptions!$C$93)/100))</f>
        <v>757.566567694019</v>
      </c>
      <c r="AH169" s="9" t="n">
        <f aca="false">((((AH29+AH39)*Assumptions!$C$92)/100)+((AH126*Assumptions!$C$93)/100))</f>
        <v>989.228272921453</v>
      </c>
      <c r="AI169" s="9" t="n">
        <f aca="false">((((AI29+AI39)*Assumptions!$C$92)/100)+((AI126*Assumptions!$C$93)/100))</f>
        <v>1066.17672323854</v>
      </c>
      <c r="AJ169" s="9" t="n">
        <f aca="false">((((AJ29+AJ39)*Assumptions!$C$92)/100)+((AJ126*Assumptions!$C$93)/100))</f>
        <v>1125.98154742415</v>
      </c>
      <c r="AK169" s="9" t="n">
        <f aca="false">((((AK29+AK39)*Assumptions!$C$92)/100)+((AK126*Assumptions!$C$93)/100))</f>
        <v>1316.6921739196</v>
      </c>
      <c r="AL169" s="9" t="n">
        <f aca="false">((((AL29+AL39)*Assumptions!$C$92)/100)+((AL126*Assumptions!$C$93)/100))</f>
        <v>1419.99084757145</v>
      </c>
      <c r="AN169" s="11" t="n">
        <f aca="false">SUM(C169:N169)</f>
        <v>500.711029832732</v>
      </c>
      <c r="AO169" s="11" t="n">
        <f aca="false">SUM(O169:Z169)</f>
        <v>3836.05366627335</v>
      </c>
      <c r="AP169" s="11" t="n">
        <f aca="false">SUM(AA169:AL169)</f>
        <v>10791.7014708478</v>
      </c>
    </row>
    <row r="170" customFormat="false" ht="15" hidden="false" customHeight="false" outlineLevel="0" collapsed="false">
      <c r="A170" s="0" t="s">
        <v>972</v>
      </c>
      <c r="B170" s="0" t="s">
        <v>230</v>
      </c>
      <c r="C170" s="9" t="n">
        <f aca="false">((C169*Assumptions!$C$94)*Assumptions!$C$95)</f>
        <v>7.3125</v>
      </c>
      <c r="D170" s="9" t="n">
        <f aca="false">((D169*Assumptions!$C$94)*Assumptions!$C$95)</f>
        <v>12.99375</v>
      </c>
      <c r="E170" s="9" t="n">
        <f aca="false">((E169*Assumptions!$C$94)*Assumptions!$C$95)</f>
        <v>17.122725</v>
      </c>
      <c r="F170" s="9" t="n">
        <f aca="false">((F169*Assumptions!$C$94)*Assumptions!$C$95)</f>
        <v>20.42757</v>
      </c>
      <c r="G170" s="9" t="n">
        <f aca="false">((G169*Assumptions!$C$94)*Assumptions!$C$95)</f>
        <v>31.42462134</v>
      </c>
      <c r="H170" s="9" t="n">
        <f aca="false">((H169*Assumptions!$C$94)*Assumptions!$C$95)</f>
        <v>32.5199262162</v>
      </c>
      <c r="I170" s="9" t="n">
        <f aca="false">((I169*Assumptions!$C$94)*Assumptions!$C$95)</f>
        <v>35.305454074764</v>
      </c>
      <c r="J170" s="9" t="n">
        <f aca="false">((J169*Assumptions!$C$94)*Assumptions!$C$95)</f>
        <v>83.9852219167146</v>
      </c>
      <c r="K170" s="9" t="n">
        <f aca="false">((K169*Assumptions!$C$94)*Assumptions!$C$95)</f>
        <v>95.7409570413336</v>
      </c>
      <c r="L170" s="9" t="n">
        <f aca="false">((L169*Assumptions!$C$94)*Assumptions!$C$95)</f>
        <v>100.401943255203</v>
      </c>
      <c r="M170" s="9" t="n">
        <f aca="false">((M169*Assumptions!$C$94)*Assumptions!$C$95)</f>
        <v>93.9286265283266</v>
      </c>
      <c r="N170" s="9" t="n">
        <f aca="false">((N169*Assumptions!$C$94)*Assumptions!$C$95)</f>
        <v>94.7254919183732</v>
      </c>
      <c r="O170" s="9" t="n">
        <f aca="false">((O169*Assumptions!$C$94)*Assumptions!$C$95)</f>
        <v>164.448425032732</v>
      </c>
      <c r="P170" s="9" t="n">
        <f aca="false">((P169*Assumptions!$C$94)*Assumptions!$C$95)</f>
        <v>180.606859846964</v>
      </c>
      <c r="Q170" s="9" t="n">
        <f aca="false">((Q169*Assumptions!$C$94)*Assumptions!$C$95)</f>
        <v>220.966347403606</v>
      </c>
      <c r="R170" s="9" t="n">
        <f aca="false">((R169*Assumptions!$C$94)*Assumptions!$C$95)</f>
        <v>253.256441244495</v>
      </c>
      <c r="S170" s="9" t="n">
        <f aca="false">((S169*Assumptions!$C$94)*Assumptions!$C$95)</f>
        <v>272.926794441937</v>
      </c>
      <c r="T170" s="9" t="n">
        <f aca="false">((T169*Assumptions!$C$94)*Assumptions!$C$95)</f>
        <v>359.372553431469</v>
      </c>
      <c r="U170" s="9" t="n">
        <f aca="false">((U169*Assumptions!$C$94)*Assumptions!$C$95)</f>
        <v>392.564249739867</v>
      </c>
      <c r="V170" s="9" t="n">
        <f aca="false">((V169*Assumptions!$C$94)*Assumptions!$C$95)</f>
        <v>467.930945115591</v>
      </c>
      <c r="W170" s="9" t="n">
        <f aca="false">((W169*Assumptions!$C$94)*Assumptions!$C$95)</f>
        <v>550.218090557652</v>
      </c>
      <c r="X170" s="9" t="n">
        <f aca="false">((X169*Assumptions!$C$94)*Assumptions!$C$95)</f>
        <v>630.300992458441</v>
      </c>
      <c r="Y170" s="9" t="n">
        <f aca="false">((Y169*Assumptions!$C$94)*Assumptions!$C$95)</f>
        <v>648.73117687797</v>
      </c>
      <c r="Z170" s="9" t="n">
        <f aca="false">((Z169*Assumptions!$C$94)*Assumptions!$C$95)</f>
        <v>653.744206690959</v>
      </c>
      <c r="AA170" s="9" t="n">
        <f aca="false">((AA169*Assumptions!$C$94)*Assumptions!$C$95)</f>
        <v>761.454080329123</v>
      </c>
      <c r="AB170" s="9" t="n">
        <f aca="false">((AB169*Assumptions!$C$94)*Assumptions!$C$95)</f>
        <v>814.254317635246</v>
      </c>
      <c r="AC170" s="9" t="n">
        <f aca="false">((AC169*Assumptions!$C$94)*Assumptions!$C$95)</f>
        <v>837.653084513409</v>
      </c>
      <c r="AD170" s="9" t="n">
        <f aca="false">((AD169*Assumptions!$C$94)*Assumptions!$C$95)</f>
        <v>861.63337379097</v>
      </c>
      <c r="AE170" s="9" t="n">
        <f aca="false">((AE169*Assumptions!$C$94)*Assumptions!$C$95)</f>
        <v>943.14417681482</v>
      </c>
      <c r="AF170" s="9" t="n">
        <f aca="false">((AF169*Assumptions!$C$94)*Assumptions!$C$95)</f>
        <v>926.942639514692</v>
      </c>
      <c r="AG170" s="9" t="n">
        <f aca="false">((AG169*Assumptions!$C$94)*Assumptions!$C$95)</f>
        <v>946.958209617524</v>
      </c>
      <c r="AH170" s="9" t="n">
        <f aca="false">((AH169*Assumptions!$C$94)*Assumptions!$C$95)</f>
        <v>1236.53534115182</v>
      </c>
      <c r="AI170" s="9" t="n">
        <f aca="false">((AI169*Assumptions!$C$94)*Assumptions!$C$95)</f>
        <v>1332.72090404818</v>
      </c>
      <c r="AJ170" s="9" t="n">
        <f aca="false">((AJ169*Assumptions!$C$94)*Assumptions!$C$95)</f>
        <v>1407.47693428019</v>
      </c>
      <c r="AK170" s="9" t="n">
        <f aca="false">((AK169*Assumptions!$C$94)*Assumptions!$C$95)</f>
        <v>1645.8652173995</v>
      </c>
      <c r="AL170" s="9" t="n">
        <f aca="false">((AL169*Assumptions!$C$94)*Assumptions!$C$95)</f>
        <v>1774.98855946432</v>
      </c>
      <c r="AN170" s="11" t="n">
        <f aca="false">SUM(C170:N170)</f>
        <v>625.888787290915</v>
      </c>
      <c r="AO170" s="11" t="n">
        <f aca="false">SUM(O170:Z170)</f>
        <v>4795.06708284168</v>
      </c>
      <c r="AP170" s="11" t="n">
        <f aca="false">SUM(AA170:AL170)</f>
        <v>13489.6268385598</v>
      </c>
    </row>
    <row r="171" customFormat="false" ht="15" hidden="false" customHeight="false" outlineLevel="0" collapsed="false">
      <c r="A171" s="0" t="s">
        <v>973</v>
      </c>
      <c r="B171" s="0" t="s">
        <v>230</v>
      </c>
      <c r="C171" s="9" t="n">
        <f aca="false">SUMPRODUCT((Headcount!$C$5:$C$90="SUPPORT")*Headcount!$D$5:$D$90*Headcount!$F$5:$F$90*((Headcount!$I$5:$I$90=0)+(Headcount!$I$5:$I$90=1)*$C$16)*(C$18&gt;=(Headcount!$E$5:$E$90+Headcount!$G$5:$G$90*$C$15)))/12*(1+Assumptions!$C$97)</f>
        <v>0</v>
      </c>
      <c r="D171" s="9" t="n">
        <f aca="false">SUMPRODUCT((Headcount!$C$5:$C$90="SUPPORT")*Headcount!$D$5:$D$90*Headcount!$F$5:$F$90*((Headcount!$I$5:$I$90=0)+(Headcount!$I$5:$I$90=1)*$C$16)*(D$18&gt;=(Headcount!$E$5:$E$90+Headcount!$G$5:$G$90*$C$15)))/12*(1+Assumptions!$C$97)</f>
        <v>0</v>
      </c>
      <c r="E171" s="9" t="n">
        <f aca="false">SUMPRODUCT((Headcount!$C$5:$C$90="SUPPORT")*Headcount!$D$5:$D$90*Headcount!$F$5:$F$90*((Headcount!$I$5:$I$90=0)+(Headcount!$I$5:$I$90=1)*$C$16)*(E$18&gt;=(Headcount!$E$5:$E$90+Headcount!$G$5:$G$90*$C$15)))/12*(1+Assumptions!$C$97)</f>
        <v>0</v>
      </c>
      <c r="F171" s="9" t="n">
        <f aca="false">SUMPRODUCT((Headcount!$C$5:$C$90="SUPPORT")*Headcount!$D$5:$D$90*Headcount!$F$5:$F$90*((Headcount!$I$5:$I$90=0)+(Headcount!$I$5:$I$90=1)*$C$16)*(F$18&gt;=(Headcount!$E$5:$E$90+Headcount!$G$5:$G$90*$C$15)))/12*(1+Assumptions!$C$97)</f>
        <v>0</v>
      </c>
      <c r="G171" s="9" t="n">
        <f aca="false">SUMPRODUCT((Headcount!$C$5:$C$90="SUPPORT")*Headcount!$D$5:$D$90*Headcount!$F$5:$F$90*((Headcount!$I$5:$I$90=0)+(Headcount!$I$5:$I$90=1)*$C$16)*(G$18&gt;=(Headcount!$E$5:$E$90+Headcount!$G$5:$G$90*$C$15)))/12*(1+Assumptions!$C$97)</f>
        <v>0</v>
      </c>
      <c r="H171" s="9" t="n">
        <f aca="false">SUMPRODUCT((Headcount!$C$5:$C$90="SUPPORT")*Headcount!$D$5:$D$90*Headcount!$F$5:$F$90*((Headcount!$I$5:$I$90=0)+(Headcount!$I$5:$I$90=1)*$C$16)*(H$18&gt;=(Headcount!$E$5:$E$90+Headcount!$G$5:$G$90*$C$15)))/12*(1+Assumptions!$C$97)</f>
        <v>0</v>
      </c>
      <c r="I171" s="9" t="n">
        <f aca="false">SUMPRODUCT((Headcount!$C$5:$C$90="SUPPORT")*Headcount!$D$5:$D$90*Headcount!$F$5:$F$90*((Headcount!$I$5:$I$90=0)+(Headcount!$I$5:$I$90=1)*$C$16)*(I$18&gt;=(Headcount!$E$5:$E$90+Headcount!$G$5:$G$90*$C$15)))/12*(1+Assumptions!$C$97)</f>
        <v>0</v>
      </c>
      <c r="J171" s="9" t="n">
        <f aca="false">SUMPRODUCT((Headcount!$C$5:$C$90="SUPPORT")*Headcount!$D$5:$D$90*Headcount!$F$5:$F$90*((Headcount!$I$5:$I$90=0)+(Headcount!$I$5:$I$90=1)*$C$16)*(J$18&gt;=(Headcount!$E$5:$E$90+Headcount!$G$5:$G$90*$C$15)))/12*(1+Assumptions!$C$97)</f>
        <v>0</v>
      </c>
      <c r="K171" s="9" t="n">
        <f aca="false">SUMPRODUCT((Headcount!$C$5:$C$90="SUPPORT")*Headcount!$D$5:$D$90*Headcount!$F$5:$F$90*((Headcount!$I$5:$I$90=0)+(Headcount!$I$5:$I$90=1)*$C$16)*(K$18&gt;=(Headcount!$E$5:$E$90+Headcount!$G$5:$G$90*$C$15)))/12*(1+Assumptions!$C$97)</f>
        <v>6303.33333333333</v>
      </c>
      <c r="L171" s="9" t="n">
        <f aca="false">SUMPRODUCT((Headcount!$C$5:$C$90="SUPPORT")*Headcount!$D$5:$D$90*Headcount!$F$5:$F$90*((Headcount!$I$5:$I$90=0)+(Headcount!$I$5:$I$90=1)*$C$16)*(L$18&gt;=(Headcount!$E$5:$E$90+Headcount!$G$5:$G$90*$C$15)))/12*(1+Assumptions!$C$97)</f>
        <v>6303.33333333333</v>
      </c>
      <c r="M171" s="9" t="n">
        <f aca="false">SUMPRODUCT((Headcount!$C$5:$C$90="SUPPORT")*Headcount!$D$5:$D$90*Headcount!$F$5:$F$90*((Headcount!$I$5:$I$90=0)+(Headcount!$I$5:$I$90=1)*$C$16)*(M$18&gt;=(Headcount!$E$5:$E$90+Headcount!$G$5:$G$90*$C$15)))/12*(1+Assumptions!$C$97)</f>
        <v>6303.33333333333</v>
      </c>
      <c r="N171" s="9" t="n">
        <f aca="false">SUMPRODUCT((Headcount!$C$5:$C$90="SUPPORT")*Headcount!$D$5:$D$90*Headcount!$F$5:$F$90*((Headcount!$I$5:$I$90=0)+(Headcount!$I$5:$I$90=1)*$C$16)*(N$18&gt;=(Headcount!$E$5:$E$90+Headcount!$G$5:$G$90*$C$15)))/12*(1+Assumptions!$C$97)</f>
        <v>6303.33333333333</v>
      </c>
      <c r="O171" s="9" t="n">
        <f aca="false">SUMPRODUCT((Headcount!$C$5:$C$90="SUPPORT")*Headcount!$D$5:$D$90*Headcount!$F$5:$F$90*((Headcount!$I$5:$I$90=0)+(Headcount!$I$5:$I$90=1)*$C$16)*(O$18&gt;=(Headcount!$E$5:$E$90+Headcount!$G$5:$G$90*$C$15)))/12*(1+Assumptions!$C$97)</f>
        <v>6303.33333333333</v>
      </c>
      <c r="P171" s="9" t="n">
        <f aca="false">SUMPRODUCT((Headcount!$C$5:$C$90="SUPPORT")*Headcount!$D$5:$D$90*Headcount!$F$5:$F$90*((Headcount!$I$5:$I$90=0)+(Headcount!$I$5:$I$90=1)*$C$16)*(P$18&gt;=(Headcount!$E$5:$E$90+Headcount!$G$5:$G$90*$C$15)))/12*(1+Assumptions!$C$97)</f>
        <v>6303.33333333333</v>
      </c>
      <c r="Q171" s="9" t="n">
        <f aca="false">SUMPRODUCT((Headcount!$C$5:$C$90="SUPPORT")*Headcount!$D$5:$D$90*Headcount!$F$5:$F$90*((Headcount!$I$5:$I$90=0)+(Headcount!$I$5:$I$90=1)*$C$16)*(Q$18&gt;=(Headcount!$E$5:$E$90+Headcount!$G$5:$G$90*$C$15)))/12*(1+Assumptions!$C$97)</f>
        <v>6303.33333333333</v>
      </c>
      <c r="R171" s="9" t="n">
        <f aca="false">SUMPRODUCT((Headcount!$C$5:$C$90="SUPPORT")*Headcount!$D$5:$D$90*Headcount!$F$5:$F$90*((Headcount!$I$5:$I$90=0)+(Headcount!$I$5:$I$90=1)*$C$16)*(R$18&gt;=(Headcount!$E$5:$E$90+Headcount!$G$5:$G$90*$C$15)))/12*(1+Assumptions!$C$97)</f>
        <v>6303.33333333333</v>
      </c>
      <c r="S171" s="9" t="n">
        <f aca="false">SUMPRODUCT((Headcount!$C$5:$C$90="SUPPORT")*Headcount!$D$5:$D$90*Headcount!$F$5:$F$90*((Headcount!$I$5:$I$90=0)+(Headcount!$I$5:$I$90=1)*$C$16)*(S$18&gt;=(Headcount!$E$5:$E$90+Headcount!$G$5:$G$90*$C$15)))/12*(1+Assumptions!$C$97)</f>
        <v>6303.33333333333</v>
      </c>
      <c r="T171" s="9" t="n">
        <f aca="false">SUMPRODUCT((Headcount!$C$5:$C$90="SUPPORT")*Headcount!$D$5:$D$90*Headcount!$F$5:$F$90*((Headcount!$I$5:$I$90=0)+(Headcount!$I$5:$I$90=1)*$C$16)*(T$18&gt;=(Headcount!$E$5:$E$90+Headcount!$G$5:$G$90*$C$15)))/12*(1+Assumptions!$C$97)</f>
        <v>14945</v>
      </c>
      <c r="U171" s="9" t="n">
        <f aca="false">SUMPRODUCT((Headcount!$C$5:$C$90="SUPPORT")*Headcount!$D$5:$D$90*Headcount!$F$5:$F$90*((Headcount!$I$5:$I$90=0)+(Headcount!$I$5:$I$90=1)*$C$16)*(U$18&gt;=(Headcount!$E$5:$E$90+Headcount!$G$5:$G$90*$C$15)))/12*(1+Assumptions!$C$97)</f>
        <v>14945</v>
      </c>
      <c r="V171" s="9" t="n">
        <f aca="false">SUMPRODUCT((Headcount!$C$5:$C$90="SUPPORT")*Headcount!$D$5:$D$90*Headcount!$F$5:$F$90*((Headcount!$I$5:$I$90=0)+(Headcount!$I$5:$I$90=1)*$C$16)*(V$18&gt;=(Headcount!$E$5:$E$90+Headcount!$G$5:$G$90*$C$15)))/12*(1+Assumptions!$C$97)</f>
        <v>14945</v>
      </c>
      <c r="W171" s="9" t="n">
        <f aca="false">SUMPRODUCT((Headcount!$C$5:$C$90="SUPPORT")*Headcount!$D$5:$D$90*Headcount!$F$5:$F$90*((Headcount!$I$5:$I$90=0)+(Headcount!$I$5:$I$90=1)*$C$16)*(W$18&gt;=(Headcount!$E$5:$E$90+Headcount!$G$5:$G$90*$C$15)))/12*(1+Assumptions!$C$97)</f>
        <v>14945</v>
      </c>
      <c r="X171" s="9" t="n">
        <f aca="false">SUMPRODUCT((Headcount!$C$5:$C$90="SUPPORT")*Headcount!$D$5:$D$90*Headcount!$F$5:$F$90*((Headcount!$I$5:$I$90=0)+(Headcount!$I$5:$I$90=1)*$C$16)*(X$18&gt;=(Headcount!$E$5:$E$90+Headcount!$G$5:$G$90*$C$15)))/12*(1+Assumptions!$C$97)</f>
        <v>14945</v>
      </c>
      <c r="Y171" s="9" t="n">
        <f aca="false">SUMPRODUCT((Headcount!$C$5:$C$90="SUPPORT")*Headcount!$D$5:$D$90*Headcount!$F$5:$F$90*((Headcount!$I$5:$I$90=0)+(Headcount!$I$5:$I$90=1)*$C$16)*(Y$18&gt;=(Headcount!$E$5:$E$90+Headcount!$G$5:$G$90*$C$15)))/12*(1+Assumptions!$C$97)</f>
        <v>14945</v>
      </c>
      <c r="Z171" s="9" t="n">
        <f aca="false">SUMPRODUCT((Headcount!$C$5:$C$90="SUPPORT")*Headcount!$D$5:$D$90*Headcount!$F$5:$F$90*((Headcount!$I$5:$I$90=0)+(Headcount!$I$5:$I$90=1)*$C$16)*(Z$18&gt;=(Headcount!$E$5:$E$90+Headcount!$G$5:$G$90*$C$15)))/12*(1+Assumptions!$C$97)</f>
        <v>14945</v>
      </c>
      <c r="AA171" s="9" t="n">
        <f aca="false">SUMPRODUCT((Headcount!$C$5:$C$90="SUPPORT")*Headcount!$D$5:$D$90*Headcount!$F$5:$F$90*((Headcount!$I$5:$I$90=0)+(Headcount!$I$5:$I$90=1)*$C$16)*(AA$18&gt;=(Headcount!$E$5:$E$90+Headcount!$G$5:$G$90*$C$15)))/12*(1+Assumptions!$C$97)</f>
        <v>14945</v>
      </c>
      <c r="AB171" s="9" t="n">
        <f aca="false">SUMPRODUCT((Headcount!$C$5:$C$90="SUPPORT")*Headcount!$D$5:$D$90*Headcount!$F$5:$F$90*((Headcount!$I$5:$I$90=0)+(Headcount!$I$5:$I$90=1)*$C$16)*(AB$18&gt;=(Headcount!$E$5:$E$90+Headcount!$G$5:$G$90*$C$15)))/12*(1+Assumptions!$C$97)</f>
        <v>21248.3333333333</v>
      </c>
      <c r="AC171" s="9" t="n">
        <f aca="false">SUMPRODUCT((Headcount!$C$5:$C$90="SUPPORT")*Headcount!$D$5:$D$90*Headcount!$F$5:$F$90*((Headcount!$I$5:$I$90=0)+(Headcount!$I$5:$I$90=1)*$C$16)*(AC$18&gt;=(Headcount!$E$5:$E$90+Headcount!$G$5:$G$90*$C$15)))/12*(1+Assumptions!$C$97)</f>
        <v>21248.3333333333</v>
      </c>
      <c r="AD171" s="9" t="n">
        <f aca="false">SUMPRODUCT((Headcount!$C$5:$C$90="SUPPORT")*Headcount!$D$5:$D$90*Headcount!$F$5:$F$90*((Headcount!$I$5:$I$90=0)+(Headcount!$I$5:$I$90=1)*$C$16)*(AD$18&gt;=(Headcount!$E$5:$E$90+Headcount!$G$5:$G$90*$C$15)))/12*(1+Assumptions!$C$97)</f>
        <v>21248.3333333333</v>
      </c>
      <c r="AE171" s="9" t="n">
        <f aca="false">SUMPRODUCT((Headcount!$C$5:$C$90="SUPPORT")*Headcount!$D$5:$D$90*Headcount!$F$5:$F$90*((Headcount!$I$5:$I$90=0)+(Headcount!$I$5:$I$90=1)*$C$16)*(AE$18&gt;=(Headcount!$E$5:$E$90+Headcount!$G$5:$G$90*$C$15)))/12*(1+Assumptions!$C$97)</f>
        <v>21248.3333333333</v>
      </c>
      <c r="AF171" s="9" t="n">
        <f aca="false">SUMPRODUCT((Headcount!$C$5:$C$90="SUPPORT")*Headcount!$D$5:$D$90*Headcount!$F$5:$F$90*((Headcount!$I$5:$I$90=0)+(Headcount!$I$5:$I$90=1)*$C$16)*(AF$18&gt;=(Headcount!$E$5:$E$90+Headcount!$G$5:$G$90*$C$15)))/12*(1+Assumptions!$C$97)</f>
        <v>21248.3333333333</v>
      </c>
      <c r="AG171" s="9" t="n">
        <f aca="false">SUMPRODUCT((Headcount!$C$5:$C$90="SUPPORT")*Headcount!$D$5:$D$90*Headcount!$F$5:$F$90*((Headcount!$I$5:$I$90=0)+(Headcount!$I$5:$I$90=1)*$C$16)*(AG$18&gt;=(Headcount!$E$5:$E$90+Headcount!$G$5:$G$90*$C$15)))/12*(1+Assumptions!$C$97)</f>
        <v>21248.3333333333</v>
      </c>
      <c r="AH171" s="9" t="n">
        <f aca="false">SUMPRODUCT((Headcount!$C$5:$C$90="SUPPORT")*Headcount!$D$5:$D$90*Headcount!$F$5:$F$90*((Headcount!$I$5:$I$90=0)+(Headcount!$I$5:$I$90=1)*$C$16)*(AH$18&gt;=(Headcount!$E$5:$E$90+Headcount!$G$5:$G$90*$C$15)))/12*(1+Assumptions!$C$97)</f>
        <v>21248.3333333333</v>
      </c>
      <c r="AI171" s="9" t="n">
        <f aca="false">SUMPRODUCT((Headcount!$C$5:$C$90="SUPPORT")*Headcount!$D$5:$D$90*Headcount!$F$5:$F$90*((Headcount!$I$5:$I$90=0)+(Headcount!$I$5:$I$90=1)*$C$16)*(AI$18&gt;=(Headcount!$E$5:$E$90+Headcount!$G$5:$G$90*$C$15)))/12*(1+Assumptions!$C$97)</f>
        <v>27551.6666666667</v>
      </c>
      <c r="AJ171" s="9" t="n">
        <f aca="false">SUMPRODUCT((Headcount!$C$5:$C$90="SUPPORT")*Headcount!$D$5:$D$90*Headcount!$F$5:$F$90*((Headcount!$I$5:$I$90=0)+(Headcount!$I$5:$I$90=1)*$C$16)*(AJ$18&gt;=(Headcount!$E$5:$E$90+Headcount!$G$5:$G$90*$C$15)))/12*(1+Assumptions!$C$97)</f>
        <v>27551.6666666667</v>
      </c>
      <c r="AK171" s="9" t="n">
        <f aca="false">SUMPRODUCT((Headcount!$C$5:$C$90="SUPPORT")*Headcount!$D$5:$D$90*Headcount!$F$5:$F$90*((Headcount!$I$5:$I$90=0)+(Headcount!$I$5:$I$90=1)*$C$16)*(AK$18&gt;=(Headcount!$E$5:$E$90+Headcount!$G$5:$G$90*$C$15)))/12*(1+Assumptions!$C$97)</f>
        <v>27551.6666666667</v>
      </c>
      <c r="AL171" s="9" t="n">
        <f aca="false">SUMPRODUCT((Headcount!$C$5:$C$90="SUPPORT")*Headcount!$D$5:$D$90*Headcount!$F$5:$F$90*((Headcount!$I$5:$I$90=0)+(Headcount!$I$5:$I$90=1)*$C$16)*(AL$18&gt;=(Headcount!$E$5:$E$90+Headcount!$G$5:$G$90*$C$15)))/12*(1+Assumptions!$C$97)</f>
        <v>27551.6666666667</v>
      </c>
      <c r="AN171" s="11" t="n">
        <f aca="false">SUM(C171:N171)</f>
        <v>25213.3333333333</v>
      </c>
      <c r="AO171" s="11" t="n">
        <f aca="false">SUM(O171:Z171)</f>
        <v>136131.666666667</v>
      </c>
      <c r="AP171" s="11" t="n">
        <f aca="false">SUM(AA171:AL171)</f>
        <v>273890</v>
      </c>
    </row>
    <row r="172" customFormat="false" ht="15" hidden="false" customHeight="false" outlineLevel="0" collapsed="false">
      <c r="A172" s="0" t="s">
        <v>974</v>
      </c>
      <c r="B172" s="0" t="s">
        <v>230</v>
      </c>
      <c r="C172" s="9" t="n">
        <f aca="false">SUMPRODUCT((Headcount!$C$5:$C$90="IMPL")*Headcount!$D$5:$D$90*Headcount!$F$5:$F$90*((Headcount!$I$5:$I$90=0)+(Headcount!$I$5:$I$90=1)*$C$16)*(C$18&gt;=(Headcount!$E$5:$E$90+Headcount!$G$5:$G$90*$C$15)))/12*(1+Assumptions!$C$97)</f>
        <v>0</v>
      </c>
      <c r="D172" s="9" t="n">
        <f aca="false">SUMPRODUCT((Headcount!$C$5:$C$90="IMPL")*Headcount!$D$5:$D$90*Headcount!$F$5:$F$90*((Headcount!$I$5:$I$90=0)+(Headcount!$I$5:$I$90=1)*$C$16)*(D$18&gt;=(Headcount!$E$5:$E$90+Headcount!$G$5:$G$90*$C$15)))/12*(1+Assumptions!$C$97)</f>
        <v>0</v>
      </c>
      <c r="E172" s="9" t="n">
        <f aca="false">SUMPRODUCT((Headcount!$C$5:$C$90="IMPL")*Headcount!$D$5:$D$90*Headcount!$F$5:$F$90*((Headcount!$I$5:$I$90=0)+(Headcount!$I$5:$I$90=1)*$C$16)*(E$18&gt;=(Headcount!$E$5:$E$90+Headcount!$G$5:$G$90*$C$15)))/12*(1+Assumptions!$C$97)</f>
        <v>0</v>
      </c>
      <c r="F172" s="9" t="n">
        <f aca="false">SUMPRODUCT((Headcount!$C$5:$C$90="IMPL")*Headcount!$D$5:$D$90*Headcount!$F$5:$F$90*((Headcount!$I$5:$I$90=0)+(Headcount!$I$5:$I$90=1)*$C$16)*(F$18&gt;=(Headcount!$E$5:$E$90+Headcount!$G$5:$G$90*$C$15)))/12*(1+Assumptions!$C$97)</f>
        <v>0</v>
      </c>
      <c r="G172" s="9" t="n">
        <f aca="false">SUMPRODUCT((Headcount!$C$5:$C$90="IMPL")*Headcount!$D$5:$D$90*Headcount!$F$5:$F$90*((Headcount!$I$5:$I$90=0)+(Headcount!$I$5:$I$90=1)*$C$16)*(G$18&gt;=(Headcount!$E$5:$E$90+Headcount!$G$5:$G$90*$C$15)))/12*(1+Assumptions!$C$97)</f>
        <v>0</v>
      </c>
      <c r="H172" s="9" t="n">
        <f aca="false">SUMPRODUCT((Headcount!$C$5:$C$90="IMPL")*Headcount!$D$5:$D$90*Headcount!$F$5:$F$90*((Headcount!$I$5:$I$90=0)+(Headcount!$I$5:$I$90=1)*$C$16)*(H$18&gt;=(Headcount!$E$5:$E$90+Headcount!$G$5:$G$90*$C$15)))/12*(1+Assumptions!$C$97)</f>
        <v>0</v>
      </c>
      <c r="I172" s="9" t="n">
        <f aca="false">SUMPRODUCT((Headcount!$C$5:$C$90="IMPL")*Headcount!$D$5:$D$90*Headcount!$F$5:$F$90*((Headcount!$I$5:$I$90=0)+(Headcount!$I$5:$I$90=1)*$C$16)*(I$18&gt;=(Headcount!$E$5:$E$90+Headcount!$G$5:$G$90*$C$15)))/12*(1+Assumptions!$C$97)</f>
        <v>0</v>
      </c>
      <c r="J172" s="9" t="n">
        <f aca="false">SUMPRODUCT((Headcount!$C$5:$C$90="IMPL")*Headcount!$D$5:$D$90*Headcount!$F$5:$F$90*((Headcount!$I$5:$I$90=0)+(Headcount!$I$5:$I$90=1)*$C$16)*(J$18&gt;=(Headcount!$E$5:$E$90+Headcount!$G$5:$G$90*$C$15)))/12*(1+Assumptions!$C$97)</f>
        <v>0</v>
      </c>
      <c r="K172" s="9" t="n">
        <f aca="false">SUMPRODUCT((Headcount!$C$5:$C$90="IMPL")*Headcount!$D$5:$D$90*Headcount!$F$5:$F$90*((Headcount!$I$5:$I$90=0)+(Headcount!$I$5:$I$90=1)*$C$16)*(K$18&gt;=(Headcount!$E$5:$E$90+Headcount!$G$5:$G$90*$C$15)))/12*(1+Assumptions!$C$97)</f>
        <v>0</v>
      </c>
      <c r="L172" s="9" t="n">
        <f aca="false">SUMPRODUCT((Headcount!$C$5:$C$90="IMPL")*Headcount!$D$5:$D$90*Headcount!$F$5:$F$90*((Headcount!$I$5:$I$90=0)+(Headcount!$I$5:$I$90=1)*$C$16)*(L$18&gt;=(Headcount!$E$5:$E$90+Headcount!$G$5:$G$90*$C$15)))/12*(1+Assumptions!$C$97)</f>
        <v>0</v>
      </c>
      <c r="M172" s="9" t="n">
        <f aca="false">SUMPRODUCT((Headcount!$C$5:$C$90="IMPL")*Headcount!$D$5:$D$90*Headcount!$F$5:$F$90*((Headcount!$I$5:$I$90=0)+(Headcount!$I$5:$I$90=1)*$C$16)*(M$18&gt;=(Headcount!$E$5:$E$90+Headcount!$G$5:$G$90*$C$15)))/12*(1+Assumptions!$C$97)</f>
        <v>10166.6666666667</v>
      </c>
      <c r="N172" s="9" t="n">
        <f aca="false">SUMPRODUCT((Headcount!$C$5:$C$90="IMPL")*Headcount!$D$5:$D$90*Headcount!$F$5:$F$90*((Headcount!$I$5:$I$90=0)+(Headcount!$I$5:$I$90=1)*$C$16)*(N$18&gt;=(Headcount!$E$5:$E$90+Headcount!$G$5:$G$90*$C$15)))/12*(1+Assumptions!$C$97)</f>
        <v>10166.6666666667</v>
      </c>
      <c r="O172" s="9" t="n">
        <f aca="false">SUMPRODUCT((Headcount!$C$5:$C$90="IMPL")*Headcount!$D$5:$D$90*Headcount!$F$5:$F$90*((Headcount!$I$5:$I$90=0)+(Headcount!$I$5:$I$90=1)*$C$16)*(O$18&gt;=(Headcount!$E$5:$E$90+Headcount!$G$5:$G$90*$C$15)))/12*(1+Assumptions!$C$97)</f>
        <v>10166.6666666667</v>
      </c>
      <c r="P172" s="9" t="n">
        <f aca="false">SUMPRODUCT((Headcount!$C$5:$C$90="IMPL")*Headcount!$D$5:$D$90*Headcount!$F$5:$F$90*((Headcount!$I$5:$I$90=0)+(Headcount!$I$5:$I$90=1)*$C$16)*(P$18&gt;=(Headcount!$E$5:$E$90+Headcount!$G$5:$G$90*$C$15)))/12*(1+Assumptions!$C$97)</f>
        <v>10166.6666666667</v>
      </c>
      <c r="Q172" s="9" t="n">
        <f aca="false">SUMPRODUCT((Headcount!$C$5:$C$90="IMPL")*Headcount!$D$5:$D$90*Headcount!$F$5:$F$90*((Headcount!$I$5:$I$90=0)+(Headcount!$I$5:$I$90=1)*$C$16)*(Q$18&gt;=(Headcount!$E$5:$E$90+Headcount!$G$5:$G$90*$C$15)))/12*(1+Assumptions!$C$97)</f>
        <v>10166.6666666667</v>
      </c>
      <c r="R172" s="9" t="n">
        <f aca="false">SUMPRODUCT((Headcount!$C$5:$C$90="IMPL")*Headcount!$D$5:$D$90*Headcount!$F$5:$F$90*((Headcount!$I$5:$I$90=0)+(Headcount!$I$5:$I$90=1)*$C$16)*(R$18&gt;=(Headcount!$E$5:$E$90+Headcount!$G$5:$G$90*$C$15)))/12*(1+Assumptions!$C$97)</f>
        <v>10166.6666666667</v>
      </c>
      <c r="S172" s="9" t="n">
        <f aca="false">SUMPRODUCT((Headcount!$C$5:$C$90="IMPL")*Headcount!$D$5:$D$90*Headcount!$F$5:$F$90*((Headcount!$I$5:$I$90=0)+(Headcount!$I$5:$I$90=1)*$C$16)*(S$18&gt;=(Headcount!$E$5:$E$90+Headcount!$G$5:$G$90*$C$15)))/12*(1+Assumptions!$C$97)</f>
        <v>20333.3333333333</v>
      </c>
      <c r="T172" s="9" t="n">
        <f aca="false">SUMPRODUCT((Headcount!$C$5:$C$90="IMPL")*Headcount!$D$5:$D$90*Headcount!$F$5:$F$90*((Headcount!$I$5:$I$90=0)+(Headcount!$I$5:$I$90=1)*$C$16)*(T$18&gt;=(Headcount!$E$5:$E$90+Headcount!$G$5:$G$90*$C$15)))/12*(1+Assumptions!$C$97)</f>
        <v>20333.3333333333</v>
      </c>
      <c r="U172" s="9" t="n">
        <f aca="false">SUMPRODUCT((Headcount!$C$5:$C$90="IMPL")*Headcount!$D$5:$D$90*Headcount!$F$5:$F$90*((Headcount!$I$5:$I$90=0)+(Headcount!$I$5:$I$90=1)*$C$16)*(U$18&gt;=(Headcount!$E$5:$E$90+Headcount!$G$5:$G$90*$C$15)))/12*(1+Assumptions!$C$97)</f>
        <v>20333.3333333333</v>
      </c>
      <c r="V172" s="9" t="n">
        <f aca="false">SUMPRODUCT((Headcount!$C$5:$C$90="IMPL")*Headcount!$D$5:$D$90*Headcount!$F$5:$F$90*((Headcount!$I$5:$I$90=0)+(Headcount!$I$5:$I$90=1)*$C$16)*(V$18&gt;=(Headcount!$E$5:$E$90+Headcount!$G$5:$G$90*$C$15)))/12*(1+Assumptions!$C$97)</f>
        <v>20333.3333333333</v>
      </c>
      <c r="W172" s="9" t="n">
        <f aca="false">SUMPRODUCT((Headcount!$C$5:$C$90="IMPL")*Headcount!$D$5:$D$90*Headcount!$F$5:$F$90*((Headcount!$I$5:$I$90=0)+(Headcount!$I$5:$I$90=1)*$C$16)*(W$18&gt;=(Headcount!$E$5:$E$90+Headcount!$G$5:$G$90*$C$15)))/12*(1+Assumptions!$C$97)</f>
        <v>30500</v>
      </c>
      <c r="X172" s="9" t="n">
        <f aca="false">SUMPRODUCT((Headcount!$C$5:$C$90="IMPL")*Headcount!$D$5:$D$90*Headcount!$F$5:$F$90*((Headcount!$I$5:$I$90=0)+(Headcount!$I$5:$I$90=1)*$C$16)*(X$18&gt;=(Headcount!$E$5:$E$90+Headcount!$G$5:$G$90*$C$15)))/12*(1+Assumptions!$C$97)</f>
        <v>30500</v>
      </c>
      <c r="Y172" s="9" t="n">
        <f aca="false">SUMPRODUCT((Headcount!$C$5:$C$90="IMPL")*Headcount!$D$5:$D$90*Headcount!$F$5:$F$90*((Headcount!$I$5:$I$90=0)+(Headcount!$I$5:$I$90=1)*$C$16)*(Y$18&gt;=(Headcount!$E$5:$E$90+Headcount!$G$5:$G$90*$C$15)))/12*(1+Assumptions!$C$97)</f>
        <v>30500</v>
      </c>
      <c r="Z172" s="9" t="n">
        <f aca="false">SUMPRODUCT((Headcount!$C$5:$C$90="IMPL")*Headcount!$D$5:$D$90*Headcount!$F$5:$F$90*((Headcount!$I$5:$I$90=0)+(Headcount!$I$5:$I$90=1)*$C$16)*(Z$18&gt;=(Headcount!$E$5:$E$90+Headcount!$G$5:$G$90*$C$15)))/12*(1+Assumptions!$C$97)</f>
        <v>30500</v>
      </c>
      <c r="AA172" s="9" t="n">
        <f aca="false">SUMPRODUCT((Headcount!$C$5:$C$90="IMPL")*Headcount!$D$5:$D$90*Headcount!$F$5:$F$90*((Headcount!$I$5:$I$90=0)+(Headcount!$I$5:$I$90=1)*$C$16)*(AA$18&gt;=(Headcount!$E$5:$E$90+Headcount!$G$5:$G$90*$C$15)))/12*(1+Assumptions!$C$97)</f>
        <v>40666.6666666667</v>
      </c>
      <c r="AB172" s="9" t="n">
        <f aca="false">SUMPRODUCT((Headcount!$C$5:$C$90="IMPL")*Headcount!$D$5:$D$90*Headcount!$F$5:$F$90*((Headcount!$I$5:$I$90=0)+(Headcount!$I$5:$I$90=1)*$C$16)*(AB$18&gt;=(Headcount!$E$5:$E$90+Headcount!$G$5:$G$90*$C$15)))/12*(1+Assumptions!$C$97)</f>
        <v>40666.6666666667</v>
      </c>
      <c r="AC172" s="9" t="n">
        <f aca="false">SUMPRODUCT((Headcount!$C$5:$C$90="IMPL")*Headcount!$D$5:$D$90*Headcount!$F$5:$F$90*((Headcount!$I$5:$I$90=0)+(Headcount!$I$5:$I$90=1)*$C$16)*(AC$18&gt;=(Headcount!$E$5:$E$90+Headcount!$G$5:$G$90*$C$15)))/12*(1+Assumptions!$C$97)</f>
        <v>40666.6666666667</v>
      </c>
      <c r="AD172" s="9" t="n">
        <f aca="false">SUMPRODUCT((Headcount!$C$5:$C$90="IMPL")*Headcount!$D$5:$D$90*Headcount!$F$5:$F$90*((Headcount!$I$5:$I$90=0)+(Headcount!$I$5:$I$90=1)*$C$16)*(AD$18&gt;=(Headcount!$E$5:$E$90+Headcount!$G$5:$G$90*$C$15)))/12*(1+Assumptions!$C$97)</f>
        <v>50833.3333333333</v>
      </c>
      <c r="AE172" s="9" t="n">
        <f aca="false">SUMPRODUCT((Headcount!$C$5:$C$90="IMPL")*Headcount!$D$5:$D$90*Headcount!$F$5:$F$90*((Headcount!$I$5:$I$90=0)+(Headcount!$I$5:$I$90=1)*$C$16)*(AE$18&gt;=(Headcount!$E$5:$E$90+Headcount!$G$5:$G$90*$C$15)))/12*(1+Assumptions!$C$97)</f>
        <v>50833.3333333333</v>
      </c>
      <c r="AF172" s="9" t="n">
        <f aca="false">SUMPRODUCT((Headcount!$C$5:$C$90="IMPL")*Headcount!$D$5:$D$90*Headcount!$F$5:$F$90*((Headcount!$I$5:$I$90=0)+(Headcount!$I$5:$I$90=1)*$C$16)*(AF$18&gt;=(Headcount!$E$5:$E$90+Headcount!$G$5:$G$90*$C$15)))/12*(1+Assumptions!$C$97)</f>
        <v>50833.3333333333</v>
      </c>
      <c r="AG172" s="9" t="n">
        <f aca="false">SUMPRODUCT((Headcount!$C$5:$C$90="IMPL")*Headcount!$D$5:$D$90*Headcount!$F$5:$F$90*((Headcount!$I$5:$I$90=0)+(Headcount!$I$5:$I$90=1)*$C$16)*(AG$18&gt;=(Headcount!$E$5:$E$90+Headcount!$G$5:$G$90*$C$15)))/12*(1+Assumptions!$C$97)</f>
        <v>61000</v>
      </c>
      <c r="AH172" s="9" t="n">
        <f aca="false">SUMPRODUCT((Headcount!$C$5:$C$90="IMPL")*Headcount!$D$5:$D$90*Headcount!$F$5:$F$90*((Headcount!$I$5:$I$90=0)+(Headcount!$I$5:$I$90=1)*$C$16)*(AH$18&gt;=(Headcount!$E$5:$E$90+Headcount!$G$5:$G$90*$C$15)))/12*(1+Assumptions!$C$97)</f>
        <v>61000</v>
      </c>
      <c r="AI172" s="9" t="n">
        <f aca="false">SUMPRODUCT((Headcount!$C$5:$C$90="IMPL")*Headcount!$D$5:$D$90*Headcount!$F$5:$F$90*((Headcount!$I$5:$I$90=0)+(Headcount!$I$5:$I$90=1)*$C$16)*(AI$18&gt;=(Headcount!$E$5:$E$90+Headcount!$G$5:$G$90*$C$15)))/12*(1+Assumptions!$C$97)</f>
        <v>61000</v>
      </c>
      <c r="AJ172" s="9" t="n">
        <f aca="false">SUMPRODUCT((Headcount!$C$5:$C$90="IMPL")*Headcount!$D$5:$D$90*Headcount!$F$5:$F$90*((Headcount!$I$5:$I$90=0)+(Headcount!$I$5:$I$90=1)*$C$16)*(AJ$18&gt;=(Headcount!$E$5:$E$90+Headcount!$G$5:$G$90*$C$15)))/12*(1+Assumptions!$C$97)</f>
        <v>71166.6666666667</v>
      </c>
      <c r="AK172" s="9" t="n">
        <f aca="false">SUMPRODUCT((Headcount!$C$5:$C$90="IMPL")*Headcount!$D$5:$D$90*Headcount!$F$5:$F$90*((Headcount!$I$5:$I$90=0)+(Headcount!$I$5:$I$90=1)*$C$16)*(AK$18&gt;=(Headcount!$E$5:$E$90+Headcount!$G$5:$G$90*$C$15)))/12*(1+Assumptions!$C$97)</f>
        <v>71166.6666666667</v>
      </c>
      <c r="AL172" s="9" t="n">
        <f aca="false">SUMPRODUCT((Headcount!$C$5:$C$90="IMPL")*Headcount!$D$5:$D$90*Headcount!$F$5:$F$90*((Headcount!$I$5:$I$90=0)+(Headcount!$I$5:$I$90=1)*$C$16)*(AL$18&gt;=(Headcount!$E$5:$E$90+Headcount!$G$5:$G$90*$C$15)))/12*(1+Assumptions!$C$97)</f>
        <v>71166.6666666667</v>
      </c>
      <c r="AN172" s="11" t="n">
        <f aca="false">SUM(C172:N172)</f>
        <v>20333.3333333333</v>
      </c>
      <c r="AO172" s="11" t="n">
        <f aca="false">SUM(O172:Z172)</f>
        <v>244000</v>
      </c>
      <c r="AP172" s="11" t="n">
        <f aca="false">SUM(AA172:AL172)</f>
        <v>671000</v>
      </c>
    </row>
    <row r="173" customFormat="false" ht="15" hidden="false" customHeight="false" outlineLevel="0" collapsed="false">
      <c r="A173" s="0" t="s">
        <v>975</v>
      </c>
      <c r="B173" s="0" t="s">
        <v>230</v>
      </c>
      <c r="C173" s="9" t="n">
        <f aca="false">SUMPRODUCT((Headcount!$C$5:$C$90="CS")*Headcount!$D$5:$D$90*Headcount!$F$5:$F$90*((Headcount!$I$5:$I$90=0)+(Headcount!$I$5:$I$90=1)*$C$16)*(C$18&gt;=(Headcount!$E$5:$E$90+Headcount!$G$5:$G$90*$C$15)))/12*(1+Assumptions!$C$97)</f>
        <v>0</v>
      </c>
      <c r="D173" s="9" t="n">
        <f aca="false">SUMPRODUCT((Headcount!$C$5:$C$90="CS")*Headcount!$D$5:$D$90*Headcount!$F$5:$F$90*((Headcount!$I$5:$I$90=0)+(Headcount!$I$5:$I$90=1)*$C$16)*(D$18&gt;=(Headcount!$E$5:$E$90+Headcount!$G$5:$G$90*$C$15)))/12*(1+Assumptions!$C$97)</f>
        <v>0</v>
      </c>
      <c r="E173" s="9" t="n">
        <f aca="false">SUMPRODUCT((Headcount!$C$5:$C$90="CS")*Headcount!$D$5:$D$90*Headcount!$F$5:$F$90*((Headcount!$I$5:$I$90=0)+(Headcount!$I$5:$I$90=1)*$C$16)*(E$18&gt;=(Headcount!$E$5:$E$90+Headcount!$G$5:$G$90*$C$15)))/12*(1+Assumptions!$C$97)</f>
        <v>0</v>
      </c>
      <c r="F173" s="9" t="n">
        <f aca="false">SUMPRODUCT((Headcount!$C$5:$C$90="CS")*Headcount!$D$5:$D$90*Headcount!$F$5:$F$90*((Headcount!$I$5:$I$90=0)+(Headcount!$I$5:$I$90=1)*$C$16)*(F$18&gt;=(Headcount!$E$5:$E$90+Headcount!$G$5:$G$90*$C$15)))/12*(1+Assumptions!$C$97)</f>
        <v>0</v>
      </c>
      <c r="G173" s="9" t="n">
        <f aca="false">SUMPRODUCT((Headcount!$C$5:$C$90="CS")*Headcount!$D$5:$D$90*Headcount!$F$5:$F$90*((Headcount!$I$5:$I$90=0)+(Headcount!$I$5:$I$90=1)*$C$16)*(G$18&gt;=(Headcount!$E$5:$E$90+Headcount!$G$5:$G$90*$C$15)))/12*(1+Assumptions!$C$97)</f>
        <v>0</v>
      </c>
      <c r="H173" s="9" t="n">
        <f aca="false">SUMPRODUCT((Headcount!$C$5:$C$90="CS")*Headcount!$D$5:$D$90*Headcount!$F$5:$F$90*((Headcount!$I$5:$I$90=0)+(Headcount!$I$5:$I$90=1)*$C$16)*(H$18&gt;=(Headcount!$E$5:$E$90+Headcount!$G$5:$G$90*$C$15)))/12*(1+Assumptions!$C$97)</f>
        <v>0</v>
      </c>
      <c r="I173" s="9" t="n">
        <f aca="false">SUMPRODUCT((Headcount!$C$5:$C$90="CS")*Headcount!$D$5:$D$90*Headcount!$F$5:$F$90*((Headcount!$I$5:$I$90=0)+(Headcount!$I$5:$I$90=1)*$C$16)*(I$18&gt;=(Headcount!$E$5:$E$90+Headcount!$G$5:$G$90*$C$15)))/12*(1+Assumptions!$C$97)</f>
        <v>0</v>
      </c>
      <c r="J173" s="9" t="n">
        <f aca="false">SUMPRODUCT((Headcount!$C$5:$C$90="CS")*Headcount!$D$5:$D$90*Headcount!$F$5:$F$90*((Headcount!$I$5:$I$90=0)+(Headcount!$I$5:$I$90=1)*$C$16)*(J$18&gt;=(Headcount!$E$5:$E$90+Headcount!$G$5:$G$90*$C$15)))/12*(1+Assumptions!$C$97)</f>
        <v>0</v>
      </c>
      <c r="K173" s="9" t="n">
        <f aca="false">SUMPRODUCT((Headcount!$C$5:$C$90="CS")*Headcount!$D$5:$D$90*Headcount!$F$5:$F$90*((Headcount!$I$5:$I$90=0)+(Headcount!$I$5:$I$90=1)*$C$16)*(K$18&gt;=(Headcount!$E$5:$E$90+Headcount!$G$5:$G$90*$C$15)))/12*(1+Assumptions!$C$97)</f>
        <v>0</v>
      </c>
      <c r="L173" s="9" t="n">
        <f aca="false">SUMPRODUCT((Headcount!$C$5:$C$90="CS")*Headcount!$D$5:$D$90*Headcount!$F$5:$F$90*((Headcount!$I$5:$I$90=0)+(Headcount!$I$5:$I$90=1)*$C$16)*(L$18&gt;=(Headcount!$E$5:$E$90+Headcount!$G$5:$G$90*$C$15)))/12*(1+Assumptions!$C$97)</f>
        <v>0</v>
      </c>
      <c r="M173" s="9" t="n">
        <f aca="false">SUMPRODUCT((Headcount!$C$5:$C$90="CS")*Headcount!$D$5:$D$90*Headcount!$F$5:$F$90*((Headcount!$I$5:$I$90=0)+(Headcount!$I$5:$I$90=1)*$C$16)*(M$18&gt;=(Headcount!$E$5:$E$90+Headcount!$G$5:$G$90*$C$15)))/12*(1+Assumptions!$C$97)</f>
        <v>0</v>
      </c>
      <c r="N173" s="9" t="n">
        <f aca="false">SUMPRODUCT((Headcount!$C$5:$C$90="CS")*Headcount!$D$5:$D$90*Headcount!$F$5:$F$90*((Headcount!$I$5:$I$90=0)+(Headcount!$I$5:$I$90=1)*$C$16)*(N$18&gt;=(Headcount!$E$5:$E$90+Headcount!$G$5:$G$90*$C$15)))/12*(1+Assumptions!$C$97)</f>
        <v>0</v>
      </c>
      <c r="O173" s="9" t="n">
        <f aca="false">SUMPRODUCT((Headcount!$C$5:$C$90="CS")*Headcount!$D$5:$D$90*Headcount!$F$5:$F$90*((Headcount!$I$5:$I$90=0)+(Headcount!$I$5:$I$90=1)*$C$16)*(O$18&gt;=(Headcount!$E$5:$E$90+Headcount!$G$5:$G$90*$C$15)))/12*(1+Assumptions!$C$97)</f>
        <v>0</v>
      </c>
      <c r="P173" s="9" t="n">
        <f aca="false">SUMPRODUCT((Headcount!$C$5:$C$90="CS")*Headcount!$D$5:$D$90*Headcount!$F$5:$F$90*((Headcount!$I$5:$I$90=0)+(Headcount!$I$5:$I$90=1)*$C$16)*(P$18&gt;=(Headcount!$E$5:$E$90+Headcount!$G$5:$G$90*$C$15)))/12*(1+Assumptions!$C$97)</f>
        <v>0</v>
      </c>
      <c r="Q173" s="9" t="n">
        <f aca="false">SUMPRODUCT((Headcount!$C$5:$C$90="CS")*Headcount!$D$5:$D$90*Headcount!$F$5:$F$90*((Headcount!$I$5:$I$90=0)+(Headcount!$I$5:$I$90=1)*$C$16)*(Q$18&gt;=(Headcount!$E$5:$E$90+Headcount!$G$5:$G$90*$C$15)))/12*(1+Assumptions!$C$97)</f>
        <v>0</v>
      </c>
      <c r="R173" s="9" t="n">
        <f aca="false">SUMPRODUCT((Headcount!$C$5:$C$90="CS")*Headcount!$D$5:$D$90*Headcount!$F$5:$F$90*((Headcount!$I$5:$I$90=0)+(Headcount!$I$5:$I$90=1)*$C$16)*(R$18&gt;=(Headcount!$E$5:$E$90+Headcount!$G$5:$G$90*$C$15)))/12*(1+Assumptions!$C$97)</f>
        <v>0</v>
      </c>
      <c r="S173" s="9" t="n">
        <f aca="false">SUMPRODUCT((Headcount!$C$5:$C$90="CS")*Headcount!$D$5:$D$90*Headcount!$F$5:$F$90*((Headcount!$I$5:$I$90=0)+(Headcount!$I$5:$I$90=1)*$C$16)*(S$18&gt;=(Headcount!$E$5:$E$90+Headcount!$G$5:$G$90*$C$15)))/12*(1+Assumptions!$C$97)</f>
        <v>0</v>
      </c>
      <c r="T173" s="9" t="n">
        <f aca="false">SUMPRODUCT((Headcount!$C$5:$C$90="CS")*Headcount!$D$5:$D$90*Headcount!$F$5:$F$90*((Headcount!$I$5:$I$90=0)+(Headcount!$I$5:$I$90=1)*$C$16)*(T$18&gt;=(Headcount!$E$5:$E$90+Headcount!$G$5:$G$90*$C$15)))/12*(1+Assumptions!$C$97)</f>
        <v>0</v>
      </c>
      <c r="U173" s="9" t="n">
        <f aca="false">SUMPRODUCT((Headcount!$C$5:$C$90="CS")*Headcount!$D$5:$D$90*Headcount!$F$5:$F$90*((Headcount!$I$5:$I$90=0)+(Headcount!$I$5:$I$90=1)*$C$16)*(U$18&gt;=(Headcount!$E$5:$E$90+Headcount!$G$5:$G$90*$C$15)))/12*(1+Assumptions!$C$97)</f>
        <v>0</v>
      </c>
      <c r="V173" s="9" t="n">
        <f aca="false">SUMPRODUCT((Headcount!$C$5:$C$90="CS")*Headcount!$D$5:$D$90*Headcount!$F$5:$F$90*((Headcount!$I$5:$I$90=0)+(Headcount!$I$5:$I$90=1)*$C$16)*(V$18&gt;=(Headcount!$E$5:$E$90+Headcount!$G$5:$G$90*$C$15)))/12*(1+Assumptions!$C$97)</f>
        <v>0</v>
      </c>
      <c r="W173" s="9" t="n">
        <f aca="false">SUMPRODUCT((Headcount!$C$5:$C$90="CS")*Headcount!$D$5:$D$90*Headcount!$F$5:$F$90*((Headcount!$I$5:$I$90=0)+(Headcount!$I$5:$I$90=1)*$C$16)*(W$18&gt;=(Headcount!$E$5:$E$90+Headcount!$G$5:$G$90*$C$15)))/12*(1+Assumptions!$C$97)</f>
        <v>0</v>
      </c>
      <c r="X173" s="9" t="n">
        <f aca="false">SUMPRODUCT((Headcount!$C$5:$C$90="CS")*Headcount!$D$5:$D$90*Headcount!$F$5:$F$90*((Headcount!$I$5:$I$90=0)+(Headcount!$I$5:$I$90=1)*$C$16)*(X$18&gt;=(Headcount!$E$5:$E$90+Headcount!$G$5:$G$90*$C$15)))/12*(1+Assumptions!$C$97)</f>
        <v>0</v>
      </c>
      <c r="Y173" s="9" t="n">
        <f aca="false">SUMPRODUCT((Headcount!$C$5:$C$90="CS")*Headcount!$D$5:$D$90*Headcount!$F$5:$F$90*((Headcount!$I$5:$I$90=0)+(Headcount!$I$5:$I$90=1)*$C$16)*(Y$18&gt;=(Headcount!$E$5:$E$90+Headcount!$G$5:$G$90*$C$15)))/12*(1+Assumptions!$C$97)</f>
        <v>0</v>
      </c>
      <c r="Z173" s="9" t="n">
        <f aca="false">SUMPRODUCT((Headcount!$C$5:$C$90="CS")*Headcount!$D$5:$D$90*Headcount!$F$5:$F$90*((Headcount!$I$5:$I$90=0)+(Headcount!$I$5:$I$90=1)*$C$16)*(Z$18&gt;=(Headcount!$E$5:$E$90+Headcount!$G$5:$G$90*$C$15)))/12*(1+Assumptions!$C$97)</f>
        <v>10166.6666666667</v>
      </c>
      <c r="AA173" s="9" t="n">
        <f aca="false">SUMPRODUCT((Headcount!$C$5:$C$90="CS")*Headcount!$D$5:$D$90*Headcount!$F$5:$F$90*((Headcount!$I$5:$I$90=0)+(Headcount!$I$5:$I$90=1)*$C$16)*(AA$18&gt;=(Headcount!$E$5:$E$90+Headcount!$G$5:$G$90*$C$15)))/12*(1+Assumptions!$C$97)</f>
        <v>10166.6666666667</v>
      </c>
      <c r="AB173" s="9" t="n">
        <f aca="false">SUMPRODUCT((Headcount!$C$5:$C$90="CS")*Headcount!$D$5:$D$90*Headcount!$F$5:$F$90*((Headcount!$I$5:$I$90=0)+(Headcount!$I$5:$I$90=1)*$C$16)*(AB$18&gt;=(Headcount!$E$5:$E$90+Headcount!$G$5:$G$90*$C$15)))/12*(1+Assumptions!$C$97)</f>
        <v>10166.6666666667</v>
      </c>
      <c r="AC173" s="9" t="n">
        <f aca="false">SUMPRODUCT((Headcount!$C$5:$C$90="CS")*Headcount!$D$5:$D$90*Headcount!$F$5:$F$90*((Headcount!$I$5:$I$90=0)+(Headcount!$I$5:$I$90=1)*$C$16)*(AC$18&gt;=(Headcount!$E$5:$E$90+Headcount!$G$5:$G$90*$C$15)))/12*(1+Assumptions!$C$97)</f>
        <v>10166.6666666667</v>
      </c>
      <c r="AD173" s="9" t="n">
        <f aca="false">SUMPRODUCT((Headcount!$C$5:$C$90="CS")*Headcount!$D$5:$D$90*Headcount!$F$5:$F$90*((Headcount!$I$5:$I$90=0)+(Headcount!$I$5:$I$90=1)*$C$16)*(AD$18&gt;=(Headcount!$E$5:$E$90+Headcount!$G$5:$G$90*$C$15)))/12*(1+Assumptions!$C$97)</f>
        <v>10166.6666666667</v>
      </c>
      <c r="AE173" s="9" t="n">
        <f aca="false">SUMPRODUCT((Headcount!$C$5:$C$90="CS")*Headcount!$D$5:$D$90*Headcount!$F$5:$F$90*((Headcount!$I$5:$I$90=0)+(Headcount!$I$5:$I$90=1)*$C$16)*(AE$18&gt;=(Headcount!$E$5:$E$90+Headcount!$G$5:$G$90*$C$15)))/12*(1+Assumptions!$C$97)</f>
        <v>10166.6666666667</v>
      </c>
      <c r="AF173" s="9" t="n">
        <f aca="false">SUMPRODUCT((Headcount!$C$5:$C$90="CS")*Headcount!$D$5:$D$90*Headcount!$F$5:$F$90*((Headcount!$I$5:$I$90=0)+(Headcount!$I$5:$I$90=1)*$C$16)*(AF$18&gt;=(Headcount!$E$5:$E$90+Headcount!$G$5:$G$90*$C$15)))/12*(1+Assumptions!$C$97)</f>
        <v>10166.6666666667</v>
      </c>
      <c r="AG173" s="9" t="n">
        <f aca="false">SUMPRODUCT((Headcount!$C$5:$C$90="CS")*Headcount!$D$5:$D$90*Headcount!$F$5:$F$90*((Headcount!$I$5:$I$90=0)+(Headcount!$I$5:$I$90=1)*$C$16)*(AG$18&gt;=(Headcount!$E$5:$E$90+Headcount!$G$5:$G$90*$C$15)))/12*(1+Assumptions!$C$97)</f>
        <v>10166.6666666667</v>
      </c>
      <c r="AH173" s="9" t="n">
        <f aca="false">SUMPRODUCT((Headcount!$C$5:$C$90="CS")*Headcount!$D$5:$D$90*Headcount!$F$5:$F$90*((Headcount!$I$5:$I$90=0)+(Headcount!$I$5:$I$90=1)*$C$16)*(AH$18&gt;=(Headcount!$E$5:$E$90+Headcount!$G$5:$G$90*$C$15)))/12*(1+Assumptions!$C$97)</f>
        <v>10166.6666666667</v>
      </c>
      <c r="AI173" s="9" t="n">
        <f aca="false">SUMPRODUCT((Headcount!$C$5:$C$90="CS")*Headcount!$D$5:$D$90*Headcount!$F$5:$F$90*((Headcount!$I$5:$I$90=0)+(Headcount!$I$5:$I$90=1)*$C$16)*(AI$18&gt;=(Headcount!$E$5:$E$90+Headcount!$G$5:$G$90*$C$15)))/12*(1+Assumptions!$C$97)</f>
        <v>10166.6666666667</v>
      </c>
      <c r="AJ173" s="9" t="n">
        <f aca="false">SUMPRODUCT((Headcount!$C$5:$C$90="CS")*Headcount!$D$5:$D$90*Headcount!$F$5:$F$90*((Headcount!$I$5:$I$90=0)+(Headcount!$I$5:$I$90=1)*$C$16)*(AJ$18&gt;=(Headcount!$E$5:$E$90+Headcount!$G$5:$G$90*$C$15)))/12*(1+Assumptions!$C$97)</f>
        <v>10166.6666666667</v>
      </c>
      <c r="AK173" s="9" t="n">
        <f aca="false">SUMPRODUCT((Headcount!$C$5:$C$90="CS")*Headcount!$D$5:$D$90*Headcount!$F$5:$F$90*((Headcount!$I$5:$I$90=0)+(Headcount!$I$5:$I$90=1)*$C$16)*(AK$18&gt;=(Headcount!$E$5:$E$90+Headcount!$G$5:$G$90*$C$15)))/12*(1+Assumptions!$C$97)</f>
        <v>10166.6666666667</v>
      </c>
      <c r="AL173" s="9" t="n">
        <f aca="false">SUMPRODUCT((Headcount!$C$5:$C$90="CS")*Headcount!$D$5:$D$90*Headcount!$F$5:$F$90*((Headcount!$I$5:$I$90=0)+(Headcount!$I$5:$I$90=1)*$C$16)*(AL$18&gt;=(Headcount!$E$5:$E$90+Headcount!$G$5:$G$90*$C$15)))/12*(1+Assumptions!$C$97)</f>
        <v>20333.3333333333</v>
      </c>
      <c r="AN173" s="11" t="n">
        <f aca="false">SUM(C173:N173)</f>
        <v>0</v>
      </c>
      <c r="AO173" s="11" t="n">
        <f aca="false">SUM(O173:Z173)</f>
        <v>10166.6666666667</v>
      </c>
      <c r="AP173" s="11" t="n">
        <f aca="false">SUM(AA173:AL173)</f>
        <v>132166.666666667</v>
      </c>
    </row>
    <row r="174" customFormat="false" ht="15" hidden="false" customHeight="false" outlineLevel="0" collapsed="false">
      <c r="A174" s="0" t="s">
        <v>976</v>
      </c>
      <c r="B174" s="0" t="s">
        <v>230</v>
      </c>
      <c r="C174" s="9" t="n">
        <f aca="false">SUMPRODUCT((Headcount!$C$5:$C$90="TS")*Headcount!$D$5:$D$90*Headcount!$F$5:$F$90*((Headcount!$I$5:$I$90=0)+(Headcount!$I$5:$I$90=1)*$C$16)*(C$18&gt;=(Headcount!$E$5:$E$90+Headcount!$G$5:$G$90*$C$15)))/12*(1+Assumptions!$C$97)</f>
        <v>0</v>
      </c>
      <c r="D174" s="9" t="n">
        <f aca="false">SUMPRODUCT((Headcount!$C$5:$C$90="TS")*Headcount!$D$5:$D$90*Headcount!$F$5:$F$90*((Headcount!$I$5:$I$90=0)+(Headcount!$I$5:$I$90=1)*$C$16)*(D$18&gt;=(Headcount!$E$5:$E$90+Headcount!$G$5:$G$90*$C$15)))/12*(1+Assumptions!$C$97)</f>
        <v>0</v>
      </c>
      <c r="E174" s="9" t="n">
        <f aca="false">SUMPRODUCT((Headcount!$C$5:$C$90="TS")*Headcount!$D$5:$D$90*Headcount!$F$5:$F$90*((Headcount!$I$5:$I$90=0)+(Headcount!$I$5:$I$90=1)*$C$16)*(E$18&gt;=(Headcount!$E$5:$E$90+Headcount!$G$5:$G$90*$C$15)))/12*(1+Assumptions!$C$97)</f>
        <v>0</v>
      </c>
      <c r="F174" s="9" t="n">
        <f aca="false">SUMPRODUCT((Headcount!$C$5:$C$90="TS")*Headcount!$D$5:$D$90*Headcount!$F$5:$F$90*((Headcount!$I$5:$I$90=0)+(Headcount!$I$5:$I$90=1)*$C$16)*(F$18&gt;=(Headcount!$E$5:$E$90+Headcount!$G$5:$G$90*$C$15)))/12*(1+Assumptions!$C$97)</f>
        <v>0</v>
      </c>
      <c r="G174" s="9" t="n">
        <f aca="false">SUMPRODUCT((Headcount!$C$5:$C$90="TS")*Headcount!$D$5:$D$90*Headcount!$F$5:$F$90*((Headcount!$I$5:$I$90=0)+(Headcount!$I$5:$I$90=1)*$C$16)*(G$18&gt;=(Headcount!$E$5:$E$90+Headcount!$G$5:$G$90*$C$15)))/12*(1+Assumptions!$C$97)</f>
        <v>0</v>
      </c>
      <c r="H174" s="9" t="n">
        <f aca="false">SUMPRODUCT((Headcount!$C$5:$C$90="TS")*Headcount!$D$5:$D$90*Headcount!$F$5:$F$90*((Headcount!$I$5:$I$90=0)+(Headcount!$I$5:$I$90=1)*$C$16)*(H$18&gt;=(Headcount!$E$5:$E$90+Headcount!$G$5:$G$90*$C$15)))/12*(1+Assumptions!$C$97)</f>
        <v>0</v>
      </c>
      <c r="I174" s="9" t="n">
        <f aca="false">SUMPRODUCT((Headcount!$C$5:$C$90="TS")*Headcount!$D$5:$D$90*Headcount!$F$5:$F$90*((Headcount!$I$5:$I$90=0)+(Headcount!$I$5:$I$90=1)*$C$16)*(I$18&gt;=(Headcount!$E$5:$E$90+Headcount!$G$5:$G$90*$C$15)))/12*(1+Assumptions!$C$97)</f>
        <v>0</v>
      </c>
      <c r="J174" s="9" t="n">
        <f aca="false">SUMPRODUCT((Headcount!$C$5:$C$90="TS")*Headcount!$D$5:$D$90*Headcount!$F$5:$F$90*((Headcount!$I$5:$I$90=0)+(Headcount!$I$5:$I$90=1)*$C$16)*(J$18&gt;=(Headcount!$E$5:$E$90+Headcount!$G$5:$G$90*$C$15)))/12*(1+Assumptions!$C$97)</f>
        <v>0</v>
      </c>
      <c r="K174" s="9" t="n">
        <f aca="false">SUMPRODUCT((Headcount!$C$5:$C$90="TS")*Headcount!$D$5:$D$90*Headcount!$F$5:$F$90*((Headcount!$I$5:$I$90=0)+(Headcount!$I$5:$I$90=1)*$C$16)*(K$18&gt;=(Headcount!$E$5:$E$90+Headcount!$G$5:$G$90*$C$15)))/12*(1+Assumptions!$C$97)</f>
        <v>0</v>
      </c>
      <c r="L174" s="9" t="n">
        <f aca="false">SUMPRODUCT((Headcount!$C$5:$C$90="TS")*Headcount!$D$5:$D$90*Headcount!$F$5:$F$90*((Headcount!$I$5:$I$90=0)+(Headcount!$I$5:$I$90=1)*$C$16)*(L$18&gt;=(Headcount!$E$5:$E$90+Headcount!$G$5:$G$90*$C$15)))/12*(1+Assumptions!$C$97)</f>
        <v>0</v>
      </c>
      <c r="M174" s="9" t="n">
        <f aca="false">SUMPRODUCT((Headcount!$C$5:$C$90="TS")*Headcount!$D$5:$D$90*Headcount!$F$5:$F$90*((Headcount!$I$5:$I$90=0)+(Headcount!$I$5:$I$90=1)*$C$16)*(M$18&gt;=(Headcount!$E$5:$E$90+Headcount!$G$5:$G$90*$C$15)))/12*(1+Assumptions!$C$97)</f>
        <v>0</v>
      </c>
      <c r="N174" s="9" t="n">
        <f aca="false">SUMPRODUCT((Headcount!$C$5:$C$90="TS")*Headcount!$D$5:$D$90*Headcount!$F$5:$F$90*((Headcount!$I$5:$I$90=0)+(Headcount!$I$5:$I$90=1)*$C$16)*(N$18&gt;=(Headcount!$E$5:$E$90+Headcount!$G$5:$G$90*$C$15)))/12*(1+Assumptions!$C$97)</f>
        <v>0</v>
      </c>
      <c r="O174" s="9" t="n">
        <f aca="false">SUMPRODUCT((Headcount!$C$5:$C$90="TS")*Headcount!$D$5:$D$90*Headcount!$F$5:$F$90*((Headcount!$I$5:$I$90=0)+(Headcount!$I$5:$I$90=1)*$C$16)*(O$18&gt;=(Headcount!$E$5:$E$90+Headcount!$G$5:$G$90*$C$15)))/12*(1+Assumptions!$C$97)</f>
        <v>0</v>
      </c>
      <c r="P174" s="9" t="n">
        <f aca="false">SUMPRODUCT((Headcount!$C$5:$C$90="TS")*Headcount!$D$5:$D$90*Headcount!$F$5:$F$90*((Headcount!$I$5:$I$90=0)+(Headcount!$I$5:$I$90=1)*$C$16)*(P$18&gt;=(Headcount!$E$5:$E$90+Headcount!$G$5:$G$90*$C$15)))/12*(1+Assumptions!$C$97)</f>
        <v>0</v>
      </c>
      <c r="Q174" s="9" t="n">
        <f aca="false">SUMPRODUCT((Headcount!$C$5:$C$90="TS")*Headcount!$D$5:$D$90*Headcount!$F$5:$F$90*((Headcount!$I$5:$I$90=0)+(Headcount!$I$5:$I$90=1)*$C$16)*(Q$18&gt;=(Headcount!$E$5:$E$90+Headcount!$G$5:$G$90*$C$15)))/12*(1+Assumptions!$C$97)</f>
        <v>0</v>
      </c>
      <c r="R174" s="9" t="n">
        <f aca="false">SUMPRODUCT((Headcount!$C$5:$C$90="TS")*Headcount!$D$5:$D$90*Headcount!$F$5:$F$90*((Headcount!$I$5:$I$90=0)+(Headcount!$I$5:$I$90=1)*$C$16)*(R$18&gt;=(Headcount!$E$5:$E$90+Headcount!$G$5:$G$90*$C$15)))/12*(1+Assumptions!$C$97)</f>
        <v>0</v>
      </c>
      <c r="S174" s="9" t="n">
        <f aca="false">SUMPRODUCT((Headcount!$C$5:$C$90="TS")*Headcount!$D$5:$D$90*Headcount!$F$5:$F$90*((Headcount!$I$5:$I$90=0)+(Headcount!$I$5:$I$90=1)*$C$16)*(S$18&gt;=(Headcount!$E$5:$E$90+Headcount!$G$5:$G$90*$C$15)))/12*(1+Assumptions!$C$97)</f>
        <v>0</v>
      </c>
      <c r="T174" s="9" t="n">
        <f aca="false">SUMPRODUCT((Headcount!$C$5:$C$90="TS")*Headcount!$D$5:$D$90*Headcount!$F$5:$F$90*((Headcount!$I$5:$I$90=0)+(Headcount!$I$5:$I$90=1)*$C$16)*(T$18&gt;=(Headcount!$E$5:$E$90+Headcount!$G$5:$G$90*$C$15)))/12*(1+Assumptions!$C$97)</f>
        <v>0</v>
      </c>
      <c r="U174" s="9" t="n">
        <f aca="false">SUMPRODUCT((Headcount!$C$5:$C$90="TS")*Headcount!$D$5:$D$90*Headcount!$F$5:$F$90*((Headcount!$I$5:$I$90=0)+(Headcount!$I$5:$I$90=1)*$C$16)*(U$18&gt;=(Headcount!$E$5:$E$90+Headcount!$G$5:$G$90*$C$15)))/12*(1+Assumptions!$C$97)</f>
        <v>0</v>
      </c>
      <c r="V174" s="9" t="n">
        <f aca="false">SUMPRODUCT((Headcount!$C$5:$C$90="TS")*Headcount!$D$5:$D$90*Headcount!$F$5:$F$90*((Headcount!$I$5:$I$90=0)+(Headcount!$I$5:$I$90=1)*$C$16)*(V$18&gt;=(Headcount!$E$5:$E$90+Headcount!$G$5:$G$90*$C$15)))/12*(1+Assumptions!$C$97)</f>
        <v>0</v>
      </c>
      <c r="W174" s="9" t="n">
        <f aca="false">SUMPRODUCT((Headcount!$C$5:$C$90="TS")*Headcount!$D$5:$D$90*Headcount!$F$5:$F$90*((Headcount!$I$5:$I$90=0)+(Headcount!$I$5:$I$90=1)*$C$16)*(W$18&gt;=(Headcount!$E$5:$E$90+Headcount!$G$5:$G$90*$C$15)))/12*(1+Assumptions!$C$97)</f>
        <v>0</v>
      </c>
      <c r="X174" s="9" t="n">
        <f aca="false">SUMPRODUCT((Headcount!$C$5:$C$90="TS")*Headcount!$D$5:$D$90*Headcount!$F$5:$F$90*((Headcount!$I$5:$I$90=0)+(Headcount!$I$5:$I$90=1)*$C$16)*(X$18&gt;=(Headcount!$E$5:$E$90+Headcount!$G$5:$G$90*$C$15)))/12*(1+Assumptions!$C$97)</f>
        <v>0</v>
      </c>
      <c r="Y174" s="9" t="n">
        <f aca="false">SUMPRODUCT((Headcount!$C$5:$C$90="TS")*Headcount!$D$5:$D$90*Headcount!$F$5:$F$90*((Headcount!$I$5:$I$90=0)+(Headcount!$I$5:$I$90=1)*$C$16)*(Y$18&gt;=(Headcount!$E$5:$E$90+Headcount!$G$5:$G$90*$C$15)))/12*(1+Assumptions!$C$97)</f>
        <v>0</v>
      </c>
      <c r="Z174" s="9" t="n">
        <f aca="false">SUMPRODUCT((Headcount!$C$5:$C$90="TS")*Headcount!$D$5:$D$90*Headcount!$F$5:$F$90*((Headcount!$I$5:$I$90=0)+(Headcount!$I$5:$I$90=1)*$C$16)*(Z$18&gt;=(Headcount!$E$5:$E$90+Headcount!$G$5:$G$90*$C$15)))/12*(1+Assumptions!$C$97)</f>
        <v>0</v>
      </c>
      <c r="AA174" s="9" t="n">
        <f aca="false">SUMPRODUCT((Headcount!$C$5:$C$90="TS")*Headcount!$D$5:$D$90*Headcount!$F$5:$F$90*((Headcount!$I$5:$I$90=0)+(Headcount!$I$5:$I$90=1)*$C$16)*(AA$18&gt;=(Headcount!$E$5:$E$90+Headcount!$G$5:$G$90*$C$15)))/12*(1+Assumptions!$C$97)</f>
        <v>0</v>
      </c>
      <c r="AB174" s="9" t="n">
        <f aca="false">SUMPRODUCT((Headcount!$C$5:$C$90="TS")*Headcount!$D$5:$D$90*Headcount!$F$5:$F$90*((Headcount!$I$5:$I$90=0)+(Headcount!$I$5:$I$90=1)*$C$16)*(AB$18&gt;=(Headcount!$E$5:$E$90+Headcount!$G$5:$G$90*$C$15)))/12*(1+Assumptions!$C$97)</f>
        <v>0</v>
      </c>
      <c r="AC174" s="9" t="n">
        <f aca="false">SUMPRODUCT((Headcount!$C$5:$C$90="TS")*Headcount!$D$5:$D$90*Headcount!$F$5:$F$90*((Headcount!$I$5:$I$90=0)+(Headcount!$I$5:$I$90=1)*$C$16)*(AC$18&gt;=(Headcount!$E$5:$E$90+Headcount!$G$5:$G$90*$C$15)))/12*(1+Assumptions!$C$97)</f>
        <v>0</v>
      </c>
      <c r="AD174" s="9" t="n">
        <f aca="false">SUMPRODUCT((Headcount!$C$5:$C$90="TS")*Headcount!$D$5:$D$90*Headcount!$F$5:$F$90*((Headcount!$I$5:$I$90=0)+(Headcount!$I$5:$I$90=1)*$C$16)*(AD$18&gt;=(Headcount!$E$5:$E$90+Headcount!$G$5:$G$90*$C$15)))/12*(1+Assumptions!$C$97)</f>
        <v>0</v>
      </c>
      <c r="AE174" s="9" t="n">
        <f aca="false">SUMPRODUCT((Headcount!$C$5:$C$90="TS")*Headcount!$D$5:$D$90*Headcount!$F$5:$F$90*((Headcount!$I$5:$I$90=0)+(Headcount!$I$5:$I$90=1)*$C$16)*(AE$18&gt;=(Headcount!$E$5:$E$90+Headcount!$G$5:$G$90*$C$15)))/12*(1+Assumptions!$C$97)</f>
        <v>0</v>
      </c>
      <c r="AF174" s="9" t="n">
        <f aca="false">SUMPRODUCT((Headcount!$C$5:$C$90="TS")*Headcount!$D$5:$D$90*Headcount!$F$5:$F$90*((Headcount!$I$5:$I$90=0)+(Headcount!$I$5:$I$90=1)*$C$16)*(AF$18&gt;=(Headcount!$E$5:$E$90+Headcount!$G$5:$G$90*$C$15)))/12*(1+Assumptions!$C$97)</f>
        <v>0</v>
      </c>
      <c r="AG174" s="9" t="n">
        <f aca="false">SUMPRODUCT((Headcount!$C$5:$C$90="TS")*Headcount!$D$5:$D$90*Headcount!$F$5:$F$90*((Headcount!$I$5:$I$90=0)+(Headcount!$I$5:$I$90=1)*$C$16)*(AG$18&gt;=(Headcount!$E$5:$E$90+Headcount!$G$5:$G$90*$C$15)))/12*(1+Assumptions!$C$97)</f>
        <v>0</v>
      </c>
      <c r="AH174" s="9" t="n">
        <f aca="false">SUMPRODUCT((Headcount!$C$5:$C$90="TS")*Headcount!$D$5:$D$90*Headcount!$F$5:$F$90*((Headcount!$I$5:$I$90=0)+(Headcount!$I$5:$I$90=1)*$C$16)*(AH$18&gt;=(Headcount!$E$5:$E$90+Headcount!$G$5:$G$90*$C$15)))/12*(1+Assumptions!$C$97)</f>
        <v>0</v>
      </c>
      <c r="AI174" s="9" t="n">
        <f aca="false">SUMPRODUCT((Headcount!$C$5:$C$90="TS")*Headcount!$D$5:$D$90*Headcount!$F$5:$F$90*((Headcount!$I$5:$I$90=0)+(Headcount!$I$5:$I$90=1)*$C$16)*(AI$18&gt;=(Headcount!$E$5:$E$90+Headcount!$G$5:$G$90*$C$15)))/12*(1+Assumptions!$C$97)</f>
        <v>0</v>
      </c>
      <c r="AJ174" s="9" t="n">
        <f aca="false">SUMPRODUCT((Headcount!$C$5:$C$90="TS")*Headcount!$D$5:$D$90*Headcount!$F$5:$F$90*((Headcount!$I$5:$I$90=0)+(Headcount!$I$5:$I$90=1)*$C$16)*(AJ$18&gt;=(Headcount!$E$5:$E$90+Headcount!$G$5:$G$90*$C$15)))/12*(1+Assumptions!$C$97)</f>
        <v>0</v>
      </c>
      <c r="AK174" s="9" t="n">
        <f aca="false">SUMPRODUCT((Headcount!$C$5:$C$90="TS")*Headcount!$D$5:$D$90*Headcount!$F$5:$F$90*((Headcount!$I$5:$I$90=0)+(Headcount!$I$5:$I$90=1)*$C$16)*(AK$18&gt;=(Headcount!$E$5:$E$90+Headcount!$G$5:$G$90*$C$15)))/12*(1+Assumptions!$C$97)</f>
        <v>0</v>
      </c>
      <c r="AL174" s="9" t="n">
        <f aca="false">SUMPRODUCT((Headcount!$C$5:$C$90="TS")*Headcount!$D$5:$D$90*Headcount!$F$5:$F$90*((Headcount!$I$5:$I$90=0)+(Headcount!$I$5:$I$90=1)*$C$16)*(AL$18&gt;=(Headcount!$E$5:$E$90+Headcount!$G$5:$G$90*$C$15)))/12*(1+Assumptions!$C$97)</f>
        <v>0</v>
      </c>
      <c r="AN174" s="11" t="n">
        <f aca="false">SUM(C174:N174)</f>
        <v>0</v>
      </c>
      <c r="AO174" s="11" t="n">
        <f aca="false">SUM(O174:Z174)</f>
        <v>0</v>
      </c>
      <c r="AP174" s="11" t="n">
        <f aca="false">SUM(AA174:AL174)</f>
        <v>0</v>
      </c>
    </row>
    <row r="175" customFormat="false" ht="15" hidden="false" customHeight="false" outlineLevel="0" collapsed="false">
      <c r="A175" s="0" t="s">
        <v>977</v>
      </c>
      <c r="B175" s="0" t="s">
        <v>230</v>
      </c>
      <c r="C175" s="9" t="n">
        <f aca="false">(((1-Assumptions!$C$24)*((Assumptions!$C$26*C41)+(Assumptions!$C$27*(C34+C37))))+((Assumptions!$C$24*Assumptions!$C$25)*C41))</f>
        <v>0</v>
      </c>
      <c r="D175" s="9" t="n">
        <f aca="false">(((1-Assumptions!$C$24)*((Assumptions!$C$26*D41)+(Assumptions!$C$27*(D34+D37))))+((Assumptions!$C$24*Assumptions!$C$25)*D41))</f>
        <v>0</v>
      </c>
      <c r="E175" s="9" t="n">
        <f aca="false">(((1-Assumptions!$C$24)*((Assumptions!$C$26*E41)+(Assumptions!$C$27*(E34+E37))))+((Assumptions!$C$24*Assumptions!$C$25)*E41))</f>
        <v>0</v>
      </c>
      <c r="F175" s="9" t="n">
        <f aca="false">(((1-Assumptions!$C$24)*((Assumptions!$C$26*F41)+(Assumptions!$C$27*(F34+F37))))+((Assumptions!$C$24*Assumptions!$C$25)*F41))</f>
        <v>0</v>
      </c>
      <c r="G175" s="9" t="n">
        <f aca="false">(((1-Assumptions!$C$24)*((Assumptions!$C$26*G41)+(Assumptions!$C$27*(G34+G37))))+((Assumptions!$C$24*Assumptions!$C$25)*G41))</f>
        <v>0</v>
      </c>
      <c r="H175" s="9" t="n">
        <f aca="false">(((1-Assumptions!$C$24)*((Assumptions!$C$26*H41)+(Assumptions!$C$27*(H34+H37))))+((Assumptions!$C$24*Assumptions!$C$25)*H41))</f>
        <v>0</v>
      </c>
      <c r="I175" s="9" t="n">
        <f aca="false">(((1-Assumptions!$C$24)*((Assumptions!$C$26*I41)+(Assumptions!$C$27*(I34+I37))))+((Assumptions!$C$24*Assumptions!$C$25)*I41))</f>
        <v>0</v>
      </c>
      <c r="J175" s="9" t="n">
        <f aca="false">(((1-Assumptions!$C$24)*((Assumptions!$C$26*J41)+(Assumptions!$C$27*(J34+J37))))+((Assumptions!$C$24*Assumptions!$C$25)*J41))</f>
        <v>0</v>
      </c>
      <c r="K175" s="9" t="n">
        <f aca="false">(((1-Assumptions!$C$24)*((Assumptions!$C$26*K41)+(Assumptions!$C$27*(K34+K37))))+((Assumptions!$C$24*Assumptions!$C$25)*K41))</f>
        <v>0</v>
      </c>
      <c r="L175" s="9" t="n">
        <f aca="false">(((1-Assumptions!$C$24)*((Assumptions!$C$26*L41)+(Assumptions!$C$27*(L34+L37))))+((Assumptions!$C$24*Assumptions!$C$25)*L41))</f>
        <v>0</v>
      </c>
      <c r="M175" s="9" t="n">
        <f aca="false">(((1-Assumptions!$C$24)*((Assumptions!$C$26*M41)+(Assumptions!$C$27*(M34+M37))))+((Assumptions!$C$24*Assumptions!$C$25)*M41))</f>
        <v>0</v>
      </c>
      <c r="N175" s="9" t="n">
        <f aca="false">(((1-Assumptions!$C$24)*((Assumptions!$C$26*N41)+(Assumptions!$C$27*(N34+N37))))+((Assumptions!$C$24*Assumptions!$C$25)*N41))</f>
        <v>0</v>
      </c>
      <c r="O175" s="9" t="n">
        <f aca="false">(((1-Assumptions!$C$24)*((Assumptions!$C$26*O41)+(Assumptions!$C$27*(O34+O37))))+((Assumptions!$C$24*Assumptions!$C$25)*O41))</f>
        <v>8.22126934003187</v>
      </c>
      <c r="P175" s="9" t="n">
        <f aca="false">(((1-Assumptions!$C$24)*((Assumptions!$C$26*P41)+(Assumptions!$C$27*(P34+P37))))+((Assumptions!$C$24*Assumptions!$C$25)*P41))</f>
        <v>19.8589995141529</v>
      </c>
      <c r="Q175" s="9" t="n">
        <f aca="false">(((1-Assumptions!$C$24)*((Assumptions!$C$26*Q41)+(Assumptions!$C$27*(Q34+Q37))))+((Assumptions!$C$24*Assumptions!$C$25)*Q41))</f>
        <v>31.0235076943004</v>
      </c>
      <c r="R175" s="9" t="n">
        <f aca="false">(((1-Assumptions!$C$24)*((Assumptions!$C$26*R41)+(Assumptions!$C$27*(R34+R37))))+((Assumptions!$C$24*Assumptions!$C$25)*R41))</f>
        <v>41.3959637065035</v>
      </c>
      <c r="S175" s="9" t="n">
        <f aca="false">(((1-Assumptions!$C$24)*((Assumptions!$C$26*S41)+(Assumptions!$C$27*(S34+S37))))+((Assumptions!$C$24*Assumptions!$C$25)*S41))</f>
        <v>51.4153607121058</v>
      </c>
      <c r="T175" s="9" t="n">
        <f aca="false">(((1-Assumptions!$C$24)*((Assumptions!$C$26*T41)+(Assumptions!$C$27*(T34+T37))))+((Assumptions!$C$24*Assumptions!$C$25)*T41))</f>
        <v>60.1632502159687</v>
      </c>
      <c r="U175" s="9" t="n">
        <f aca="false">(((1-Assumptions!$C$24)*((Assumptions!$C$26*U41)+(Assumptions!$C$27*(U34+U37))))+((Assumptions!$C$24*Assumptions!$C$25)*U41))</f>
        <v>68.1747726781819</v>
      </c>
      <c r="V175" s="9" t="n">
        <f aca="false">(((1-Assumptions!$C$24)*((Assumptions!$C$26*V41)+(Assumptions!$C$27*(V34+V37))))+((Assumptions!$C$24*Assumptions!$C$25)*V41))</f>
        <v>77.7826516805396</v>
      </c>
      <c r="W175" s="9" t="n">
        <f aca="false">(((1-Assumptions!$C$24)*((Assumptions!$C$26*W41)+(Assumptions!$C$27*(W34+W37))))+((Assumptions!$C$24*Assumptions!$C$25)*W41))</f>
        <v>95.1773515791283</v>
      </c>
      <c r="X175" s="9" t="n">
        <f aca="false">(((1-Assumptions!$C$24)*((Assumptions!$C$26*X41)+(Assumptions!$C$27*(X34+X37))))+((Assumptions!$C$24*Assumptions!$C$25)*X41))</f>
        <v>115.218086788626</v>
      </c>
      <c r="Y175" s="9" t="n">
        <f aca="false">(((1-Assumptions!$C$24)*((Assumptions!$C$26*Y41)+(Assumptions!$C$27*(Y34+Y37))))+((Assumptions!$C$24*Assumptions!$C$25)*Y41))</f>
        <v>129.756630141683</v>
      </c>
      <c r="Z175" s="9" t="n">
        <f aca="false">(((1-Assumptions!$C$24)*((Assumptions!$C$26*Z41)+(Assumptions!$C$27*(Z34+Z37))))+((Assumptions!$C$24*Assumptions!$C$25)*Z41))</f>
        <v>142.565412743172</v>
      </c>
      <c r="AA175" s="9" t="n">
        <f aca="false">(((1-Assumptions!$C$24)*((Assumptions!$C$26*AA41)+(Assumptions!$C$27*(AA34+AA37))))+((Assumptions!$C$24*Assumptions!$C$25)*AA41))</f>
        <v>157.016724877035</v>
      </c>
      <c r="AB175" s="9" t="n">
        <f aca="false">(((1-Assumptions!$C$24)*((Assumptions!$C$26*AB41)+(Assumptions!$C$27*(AB34+AB37))))+((Assumptions!$C$24*Assumptions!$C$25)*AB41))</f>
        <v>179.961233738098</v>
      </c>
      <c r="AC175" s="9" t="n">
        <f aca="false">(((1-Assumptions!$C$24)*((Assumptions!$C$26*AC41)+(Assumptions!$C$27*(AC34+AC37))))+((Assumptions!$C$24*Assumptions!$C$25)*AC41))</f>
        <v>200.173662389981</v>
      </c>
      <c r="AD175" s="9" t="n">
        <f aca="false">(((1-Assumptions!$C$24)*((Assumptions!$C$26*AD41)+(Assumptions!$C$27*(AD34+AD37))))+((Assumptions!$C$24*Assumptions!$C$25)*AD41))</f>
        <v>217.41415665412</v>
      </c>
      <c r="AE175" s="9" t="n">
        <f aca="false">(((1-Assumptions!$C$24)*((Assumptions!$C$26*AE41)+(Assumptions!$C$27*(AE34+AE37))))+((Assumptions!$C$24*Assumptions!$C$25)*AE41))</f>
        <v>232.892768802302</v>
      </c>
      <c r="AF175" s="9" t="n">
        <f aca="false">(((1-Assumptions!$C$24)*((Assumptions!$C$26*AF41)+(Assumptions!$C$27*(AF34+AF37))))+((Assumptions!$C$24*Assumptions!$C$25)*AF41))</f>
        <v>245.064082850536</v>
      </c>
      <c r="AG175" s="9" t="n">
        <f aca="false">(((1-Assumptions!$C$24)*((Assumptions!$C$26*AG41)+(Assumptions!$C$27*(AG34+AG37))))+((Assumptions!$C$24*Assumptions!$C$25)*AG41))</f>
        <v>255.24969588296</v>
      </c>
      <c r="AH175" s="9" t="n">
        <f aca="false">(((1-Assumptions!$C$24)*((Assumptions!$C$26*AH41)+(Assumptions!$C$27*(AH34+AH37))))+((Assumptions!$C$24*Assumptions!$C$25)*AH41))</f>
        <v>268.039008350426</v>
      </c>
      <c r="AI175" s="9" t="n">
        <f aca="false">(((1-Assumptions!$C$24)*((Assumptions!$C$26*AI41)+(Assumptions!$C$27*(AI34+AI37))))+((Assumptions!$C$24*Assumptions!$C$25)*AI41))</f>
        <v>294.870175862333</v>
      </c>
      <c r="AJ175" s="9" t="n">
        <f aca="false">(((1-Assumptions!$C$24)*((Assumptions!$C$26*AJ41)+(Assumptions!$C$27*(AJ34+AJ37))))+((Assumptions!$C$24*Assumptions!$C$25)*AJ41))</f>
        <v>325.37629518529</v>
      </c>
      <c r="AK175" s="9" t="n">
        <f aca="false">(((1-Assumptions!$C$24)*((Assumptions!$C$26*AK41)+(Assumptions!$C$27*(AK34+AK37))))+((Assumptions!$C$24*Assumptions!$C$25)*AK41))</f>
        <v>344.55583089195</v>
      </c>
      <c r="AL175" s="9" t="n">
        <f aca="false">(((1-Assumptions!$C$24)*((Assumptions!$C$26*AL41)+(Assumptions!$C$27*(AL34+AL37))))+((Assumptions!$C$24*Assumptions!$C$25)*AL41))</f>
        <v>360.110490142937</v>
      </c>
      <c r="AN175" s="11" t="n">
        <f aca="false">SUM(C175:N175)</f>
        <v>0</v>
      </c>
      <c r="AO175" s="11" t="n">
        <f aca="false">SUM(O175:Z175)</f>
        <v>840.753256794393</v>
      </c>
      <c r="AP175" s="11" t="n">
        <f aca="false">SUM(AA175:AL175)</f>
        <v>3080.72412562797</v>
      </c>
    </row>
    <row r="176" customFormat="false" ht="15" hidden="false" customHeight="false" outlineLevel="0" collapsed="false">
      <c r="A176" s="0" t="s">
        <v>978</v>
      </c>
      <c r="B176" s="0" t="s">
        <v>230</v>
      </c>
      <c r="C176" s="9" t="n">
        <f aca="false">((C143*(Assumptions!$C$26+Assumptions!$C$55))+(C142*(Assumptions!$C$27+Assumptions!$C$56)))</f>
        <v>0</v>
      </c>
      <c r="D176" s="9" t="n">
        <f aca="false">((D143*(Assumptions!$C$26+Assumptions!$C$55))+(D142*(Assumptions!$C$27+Assumptions!$C$56)))</f>
        <v>0</v>
      </c>
      <c r="E176" s="9" t="n">
        <f aca="false">((E143*(Assumptions!$C$26+Assumptions!$C$55))+(E142*(Assumptions!$C$27+Assumptions!$C$56)))</f>
        <v>0</v>
      </c>
      <c r="F176" s="9" t="n">
        <f aca="false">((F143*(Assumptions!$C$26+Assumptions!$C$55))+(F142*(Assumptions!$C$27+Assumptions!$C$56)))</f>
        <v>0</v>
      </c>
      <c r="G176" s="9" t="n">
        <f aca="false">((G143*(Assumptions!$C$26+Assumptions!$C$55))+(G142*(Assumptions!$C$27+Assumptions!$C$56)))</f>
        <v>0</v>
      </c>
      <c r="H176" s="9" t="n">
        <f aca="false">((H143*(Assumptions!$C$26+Assumptions!$C$55))+(H142*(Assumptions!$C$27+Assumptions!$C$56)))</f>
        <v>0</v>
      </c>
      <c r="I176" s="9" t="n">
        <f aca="false">((I143*(Assumptions!$C$26+Assumptions!$C$55))+(I142*(Assumptions!$C$27+Assumptions!$C$56)))</f>
        <v>0</v>
      </c>
      <c r="J176" s="9" t="n">
        <f aca="false">((J143*(Assumptions!$C$26+Assumptions!$C$55))+(J142*(Assumptions!$C$27+Assumptions!$C$56)))</f>
        <v>0</v>
      </c>
      <c r="K176" s="9" t="n">
        <f aca="false">((K143*(Assumptions!$C$26+Assumptions!$C$55))+(K142*(Assumptions!$C$27+Assumptions!$C$56)))</f>
        <v>0</v>
      </c>
      <c r="L176" s="9" t="n">
        <f aca="false">((L143*(Assumptions!$C$26+Assumptions!$C$55))+(L142*(Assumptions!$C$27+Assumptions!$C$56)))</f>
        <v>0</v>
      </c>
      <c r="M176" s="9" t="n">
        <f aca="false">((M143*(Assumptions!$C$26+Assumptions!$C$55))+(M142*(Assumptions!$C$27+Assumptions!$C$56)))</f>
        <v>0</v>
      </c>
      <c r="N176" s="9" t="n">
        <f aca="false">((N143*(Assumptions!$C$26+Assumptions!$C$55))+(N142*(Assumptions!$C$27+Assumptions!$C$56)))</f>
        <v>0</v>
      </c>
      <c r="O176" s="9" t="n">
        <f aca="false">((O143*(Assumptions!$C$26+Assumptions!$C$55))+(O142*(Assumptions!$C$27+Assumptions!$C$56)))</f>
        <v>0</v>
      </c>
      <c r="P176" s="9" t="n">
        <f aca="false">((P143*(Assumptions!$C$26+Assumptions!$C$55))+(P142*(Assumptions!$C$27+Assumptions!$C$56)))</f>
        <v>0</v>
      </c>
      <c r="Q176" s="9" t="n">
        <f aca="false">((Q143*(Assumptions!$C$26+Assumptions!$C$55))+(Q142*(Assumptions!$C$27+Assumptions!$C$56)))</f>
        <v>0</v>
      </c>
      <c r="R176" s="9" t="n">
        <f aca="false">((R143*(Assumptions!$C$26+Assumptions!$C$55))+(R142*(Assumptions!$C$27+Assumptions!$C$56)))</f>
        <v>0</v>
      </c>
      <c r="S176" s="9" t="n">
        <f aca="false">((S143*(Assumptions!$C$26+Assumptions!$C$55))+(S142*(Assumptions!$C$27+Assumptions!$C$56)))</f>
        <v>0</v>
      </c>
      <c r="T176" s="9" t="n">
        <f aca="false">((T143*(Assumptions!$C$26+Assumptions!$C$55))+(T142*(Assumptions!$C$27+Assumptions!$C$56)))</f>
        <v>0</v>
      </c>
      <c r="U176" s="9" t="n">
        <f aca="false">((U143*(Assumptions!$C$26+Assumptions!$C$55))+(U142*(Assumptions!$C$27+Assumptions!$C$56)))</f>
        <v>0</v>
      </c>
      <c r="V176" s="9" t="n">
        <f aca="false">((V143*(Assumptions!$C$26+Assumptions!$C$55))+(V142*(Assumptions!$C$27+Assumptions!$C$56)))</f>
        <v>0</v>
      </c>
      <c r="W176" s="9" t="n">
        <f aca="false">((W143*(Assumptions!$C$26+Assumptions!$C$55))+(W142*(Assumptions!$C$27+Assumptions!$C$56)))</f>
        <v>0</v>
      </c>
      <c r="X176" s="9" t="n">
        <f aca="false">((X143*(Assumptions!$C$26+Assumptions!$C$55))+(X142*(Assumptions!$C$27+Assumptions!$C$56)))</f>
        <v>0</v>
      </c>
      <c r="Y176" s="9" t="n">
        <f aca="false">((Y143*(Assumptions!$C$26+Assumptions!$C$55))+(Y142*(Assumptions!$C$27+Assumptions!$C$56)))</f>
        <v>0</v>
      </c>
      <c r="Z176" s="9" t="n">
        <f aca="false">((Z143*(Assumptions!$C$26+Assumptions!$C$55))+(Z142*(Assumptions!$C$27+Assumptions!$C$56)))</f>
        <v>0</v>
      </c>
      <c r="AA176" s="9" t="n">
        <f aca="false">((AA143*(Assumptions!$C$26+Assumptions!$C$55))+(AA142*(Assumptions!$C$27+Assumptions!$C$56)))</f>
        <v>0</v>
      </c>
      <c r="AB176" s="9" t="n">
        <f aca="false">((AB143*(Assumptions!$C$26+Assumptions!$C$55))+(AB142*(Assumptions!$C$27+Assumptions!$C$56)))</f>
        <v>0</v>
      </c>
      <c r="AC176" s="9" t="n">
        <f aca="false">((AC143*(Assumptions!$C$26+Assumptions!$C$55))+(AC142*(Assumptions!$C$27+Assumptions!$C$56)))</f>
        <v>0</v>
      </c>
      <c r="AD176" s="9" t="n">
        <f aca="false">((AD143*(Assumptions!$C$26+Assumptions!$C$55))+(AD142*(Assumptions!$C$27+Assumptions!$C$56)))</f>
        <v>0</v>
      </c>
      <c r="AE176" s="9" t="n">
        <f aca="false">((AE143*(Assumptions!$C$26+Assumptions!$C$55))+(AE142*(Assumptions!$C$27+Assumptions!$C$56)))</f>
        <v>0</v>
      </c>
      <c r="AF176" s="9" t="n">
        <f aca="false">((AF143*(Assumptions!$C$26+Assumptions!$C$55))+(AF142*(Assumptions!$C$27+Assumptions!$C$56)))</f>
        <v>0</v>
      </c>
      <c r="AG176" s="9" t="n">
        <f aca="false">((AG143*(Assumptions!$C$26+Assumptions!$C$55))+(AG142*(Assumptions!$C$27+Assumptions!$C$56)))</f>
        <v>643.2</v>
      </c>
      <c r="AH176" s="9" t="n">
        <f aca="false">((AH143*(Assumptions!$C$26+Assumptions!$C$55))+(AH142*(Assumptions!$C$27+Assumptions!$C$56)))</f>
        <v>858.672</v>
      </c>
      <c r="AI176" s="9" t="n">
        <f aca="false">((AI143*(Assumptions!$C$26+Assumptions!$C$55))+(AI142*(Assumptions!$C$27+Assumptions!$C$56)))</f>
        <v>1065.52512</v>
      </c>
      <c r="AJ176" s="9" t="n">
        <f aca="false">((AJ143*(Assumptions!$C$26+Assumptions!$C$55))+(AJ142*(Assumptions!$C$27+Assumptions!$C$56)))</f>
        <v>1264.1041152</v>
      </c>
      <c r="AK176" s="9" t="n">
        <f aca="false">((AK143*(Assumptions!$C$26+Assumptions!$C$55))+(AK142*(Assumptions!$C$27+Assumptions!$C$56)))</f>
        <v>1454.739950592</v>
      </c>
      <c r="AL176" s="9" t="n">
        <f aca="false">((AL143*(Assumptions!$C$26+Assumptions!$C$55))+(AL142*(Assumptions!$C$27+Assumptions!$C$56)))</f>
        <v>1637.75035256832</v>
      </c>
      <c r="AN176" s="11" t="n">
        <f aca="false">SUM(C176:N176)</f>
        <v>0</v>
      </c>
      <c r="AO176" s="11" t="n">
        <f aca="false">SUM(O176:Z176)</f>
        <v>0</v>
      </c>
      <c r="AP176" s="11" t="n">
        <f aca="false">SUM(AA176:AL176)</f>
        <v>6923.99153836032</v>
      </c>
    </row>
    <row r="177" customFormat="false" ht="15" hidden="false" customHeight="false" outlineLevel="0" collapsed="false">
      <c r="A177" s="0" t="s">
        <v>979</v>
      </c>
      <c r="B177" s="0" t="s">
        <v>230</v>
      </c>
      <c r="C177" s="9" t="n">
        <f aca="false">(((((((C158+C159)+C160)+C161)+C162)+C163)+C165)+C170)</f>
        <v>67.1082984</v>
      </c>
      <c r="D177" s="9" t="n">
        <f aca="false">(((((((D158+D159)+D160)+D161)+D162)+D163)+D165)+D170)</f>
        <v>119.24628408</v>
      </c>
      <c r="E177" s="9" t="n">
        <f aca="false">(((((((E158+E159)+E160)+E161)+E162)+E163)+E165)+E170)</f>
        <v>157.13872666272</v>
      </c>
      <c r="F177" s="9" t="n">
        <f aca="false">(((((((F158+F159)+F160)+F161)+F162)+F163)+F165)+F170)</f>
        <v>187.467960772224</v>
      </c>
      <c r="G177" s="9" t="n">
        <f aca="false">(((((((G158+G159)+G160)+G161)+G162)+G163)+G165)+G170)</f>
        <v>297.214873120236</v>
      </c>
      <c r="H177" s="9" t="n">
        <f aca="false">(((((((H158+H159)+H160)+H161)+H162)+H163)+H165)+H170)</f>
        <v>307.266708535075</v>
      </c>
      <c r="I177" s="9" t="n">
        <f aca="false">(((((((I158+I159)+I160)+I161)+I162)+I163)+I165)+I170)</f>
        <v>332.830063712377</v>
      </c>
      <c r="J177" s="9" t="n">
        <f aca="false">(((((((J158+J159)+J160)+J161)+J162)+J163)+J165)+J170)</f>
        <v>816.343924926783</v>
      </c>
      <c r="K177" s="9" t="n">
        <f aca="false">(((((((K158+K159)+K160)+K161)+K162)+K163)+K165)+K170)</f>
        <v>924.228694930789</v>
      </c>
      <c r="L177" s="9" t="n">
        <f aca="false">(((((((L158+L159)+L160)+L161)+L162)+L163)+L165)+L170)</f>
        <v>967.003512527865</v>
      </c>
      <c r="M177" s="9" t="n">
        <f aca="false">(((((((M158+M159)+M160)+M161)+M162)+M163)+M165)+M170)</f>
        <v>898.771831947364</v>
      </c>
      <c r="N177" s="9" t="n">
        <f aca="false">(((((((N158+N159)+N160)+N161)+N162)+N163)+N165)+N170)</f>
        <v>906.084827554868</v>
      </c>
      <c r="O177" s="9" t="n">
        <f aca="false">(((((((O158+O159)+O160)+O161)+O162)+O163)+O165)+O170)</f>
        <v>1548.22593940202</v>
      </c>
      <c r="P177" s="9" t="n">
        <f aca="false">(((((((P158+P159)+P160)+P161)+P162)+P163)+P165)+P170)</f>
        <v>1664.77250562462</v>
      </c>
      <c r="Q177" s="9" t="n">
        <f aca="false">(((((((Q158+Q159)+Q160)+Q161)+Q162)+Q163)+Q165)+Q170)</f>
        <v>2042.23601887158</v>
      </c>
      <c r="R177" s="9" t="n">
        <f aca="false">(((((((R158+R159)+R160)+R161)+R162)+R163)+R165)+R170)</f>
        <v>2347.06724627151</v>
      </c>
      <c r="S177" s="9" t="n">
        <f aca="false">(((((((S158+S159)+S160)+S161)+S162)+S163)+S165)+S170)</f>
        <v>2537.14244669293</v>
      </c>
      <c r="T177" s="9" t="n">
        <f aca="false">(((((((T158+T159)+T160)+T161)+T162)+T163)+T165)+T170)</f>
        <v>3410.89643426303</v>
      </c>
      <c r="U177" s="9" t="n">
        <f aca="false">(((((((U158+U159)+U160)+U161)+U162)+U163)+U165)+U170)</f>
        <v>3734.65656724442</v>
      </c>
      <c r="V177" s="9" t="n">
        <f aca="false">(((((((V158+V159)+V160)+V161)+V162)+V163)+V165)+V170)</f>
        <v>4437.32531986892</v>
      </c>
      <c r="W177" s="9" t="n">
        <f aca="false">(((((((W158+W159)+W160)+W161)+W162)+W163)+W165)+W170)</f>
        <v>5206.24890130539</v>
      </c>
      <c r="X177" s="9" t="n">
        <f aca="false">(((((((X158+X159)+X160)+X161)+X162)+X163)+X165)+X170)</f>
        <v>6003.48589696699</v>
      </c>
      <c r="Y177" s="9" t="n">
        <f aca="false">(((((((Y158+Y159)+Y160)+Y161)+Y162)+Y163)+Y165)+Y170)</f>
        <v>6190.18975113819</v>
      </c>
      <c r="Z177" s="9" t="n">
        <f aca="false">(((((((Z158+Z159)+Z160)+Z161)+Z162)+Z163)+Z165)+Z170)</f>
        <v>6254.03316413905</v>
      </c>
      <c r="AA177" s="9" t="n">
        <f aca="false">(((((((AA158+AA159)+AA160)+AA161)+AA162)+AA163)+AA165)+AA170)</f>
        <v>7305.21038780579</v>
      </c>
      <c r="AB177" s="9" t="n">
        <f aca="false">(((((((AB158+AB159)+AB160)+AB161)+AB162)+AB163)+AB165)+AB170)</f>
        <v>7819.63371319193</v>
      </c>
      <c r="AC177" s="9" t="n">
        <f aca="false">(((((((AC158+AC159)+AC160)+AC161)+AC162)+AC163)+AC165)+AC170)</f>
        <v>8053.599089619</v>
      </c>
      <c r="AD177" s="9" t="n">
        <f aca="false">(((((((AD158+AD159)+AD160)+AD161)+AD162)+AD163)+AD165)+AD170)</f>
        <v>8301.81991607205</v>
      </c>
      <c r="AE177" s="9" t="n">
        <f aca="false">(((((((AE158+AE159)+AE160)+AE161)+AE162)+AE163)+AE165)+AE170)</f>
        <v>9148.10472349451</v>
      </c>
      <c r="AF177" s="9" t="n">
        <f aca="false">(((((((AF158+AF159)+AF160)+AF161)+AF162)+AF163)+AF165)+AF170)</f>
        <v>9009.40787966732</v>
      </c>
      <c r="AG177" s="9" t="n">
        <f aca="false">(((((((AG158+AG159)+AG160)+AG161)+AG162)+AG163)+AG165)+AG170)</f>
        <v>9219.4577802207</v>
      </c>
      <c r="AH177" s="9" t="n">
        <f aca="false">(((((((AH158+AH159)+AH160)+AH161)+AH162)+AH163)+AH165)+AH170)</f>
        <v>12089.8052896773</v>
      </c>
      <c r="AI177" s="9" t="n">
        <f aca="false">(((((((AI158+AI159)+AI160)+AI161)+AI162)+AI163)+AI165)+AI170)</f>
        <v>12992.2679862332</v>
      </c>
      <c r="AJ177" s="9" t="n">
        <f aca="false">(((((((AJ158+AJ159)+AJ160)+AJ161)+AJ162)+AJ163)+AJ165)+AJ170)</f>
        <v>13746.3554546028</v>
      </c>
      <c r="AK177" s="9" t="n">
        <f aca="false">(((((((AK158+AK159)+AK160)+AK161)+AK162)+AK163)+AK165)+AK170)</f>
        <v>16177.4886010812</v>
      </c>
      <c r="AL177" s="9" t="n">
        <f aca="false">(((((((AL158+AL159)+AL160)+AL161)+AL162)+AL163)+AL165)+AL170)</f>
        <v>17517.1128809629</v>
      </c>
      <c r="AN177" s="11" t="n">
        <f aca="false">SUM(C177:N177)</f>
        <v>5980.7057071703</v>
      </c>
      <c r="AO177" s="11" t="n">
        <f aca="false">SUM(O177:Z177)</f>
        <v>45376.2801917887</v>
      </c>
      <c r="AP177" s="11" t="n">
        <f aca="false">SUM(AA177:AL177)</f>
        <v>131380.263702629</v>
      </c>
    </row>
    <row r="178" customFormat="false" ht="15" hidden="false" customHeight="false" outlineLevel="0" collapsed="false">
      <c r="A178" s="0" t="s">
        <v>980</v>
      </c>
      <c r="B178" s="0" t="s">
        <v>193</v>
      </c>
      <c r="C178" s="12" t="n">
        <f aca="false">((C29+C39)/C157)</f>
        <v>1</v>
      </c>
      <c r="D178" s="12" t="n">
        <f aca="false">((D29+D39)/D157)</f>
        <v>1</v>
      </c>
      <c r="E178" s="12" t="n">
        <f aca="false">((E29+E39)/E157)</f>
        <v>1</v>
      </c>
      <c r="F178" s="12" t="n">
        <f aca="false">((F29+F39)/F157)</f>
        <v>1</v>
      </c>
      <c r="G178" s="12" t="n">
        <f aca="false">((G29+G39)/G157)</f>
        <v>0.772132420682723</v>
      </c>
      <c r="H178" s="12" t="n">
        <f aca="false">((H29+H39)/H157)</f>
        <v>0.780481144106528</v>
      </c>
      <c r="I178" s="12" t="n">
        <f aca="false">((I29+I39)/I157)</f>
        <v>0.799191896630727</v>
      </c>
      <c r="J178" s="12" t="n">
        <f aca="false">((J29+J39)/J157)</f>
        <v>0.518532526474918</v>
      </c>
      <c r="K178" s="12" t="n">
        <f aca="false">((K29+K39)/K157)</f>
        <v>0.587407074545753</v>
      </c>
      <c r="L178" s="12" t="n">
        <f aca="false">((L29+L39)/L157)</f>
        <v>0.609552425383973</v>
      </c>
      <c r="M178" s="12" t="n">
        <f aca="false">((M29+M39)/M157)</f>
        <v>0.670522004654715</v>
      </c>
      <c r="N178" s="12" t="n">
        <f aca="false">((N29+N39)/N157)</f>
        <v>0.673655503921869</v>
      </c>
      <c r="O178" s="12" t="n">
        <f aca="false">((O29+O39)/O157)</f>
        <v>0.821877498333297</v>
      </c>
      <c r="P178" s="12" t="n">
        <f aca="false">((P29+P39)/P157)</f>
        <v>1</v>
      </c>
      <c r="Q178" s="12" t="n">
        <f aca="false">((Q29+Q39)/Q157)</f>
        <v>1</v>
      </c>
      <c r="R178" s="12" t="n">
        <f aca="false">((R29+R39)/R157)</f>
        <v>1</v>
      </c>
      <c r="S178" s="12" t="n">
        <f aca="false">((S29+S39)/S157)</f>
        <v>1</v>
      </c>
      <c r="T178" s="12" t="n">
        <f aca="false">((T29+T39)/T157)</f>
        <v>0.845433954331738</v>
      </c>
      <c r="U178" s="12" t="n">
        <f aca="false">((U29+U39)/U157)</f>
        <v>0.840453315714764</v>
      </c>
      <c r="V178" s="12" t="n">
        <f aca="false">((V29+V39)/V157)</f>
        <v>0.867512321022933</v>
      </c>
      <c r="W178" s="12" t="n">
        <f aca="false">((W29+W39)/W157)</f>
        <v>0.888212327544543</v>
      </c>
      <c r="X178" s="12" t="n">
        <f aca="false">((X29+X39)/X157)</f>
        <v>0.843588924634272</v>
      </c>
      <c r="Y178" s="12" t="n">
        <f aca="false">((Y29+Y39)/Y157)</f>
        <v>0.848302130874084</v>
      </c>
      <c r="Z178" s="12" t="n">
        <f aca="false">((Z29+Z39)/Z157)</f>
        <v>0.849535388801374</v>
      </c>
      <c r="AA178" s="12" t="n">
        <f aca="false">((AA29+AA39)/AA157)</f>
        <v>0.82176248076781</v>
      </c>
      <c r="AB178" s="12" t="n">
        <f aca="false">((AB29+AB39)/AB157)</f>
        <v>0.822251733033652</v>
      </c>
      <c r="AC178" s="12" t="n">
        <f aca="false">((AC29+AC39)/AC157)</f>
        <v>0.827559382204438</v>
      </c>
      <c r="AD178" s="12" t="n">
        <f aca="false">((AD29+AD39)/AD157)</f>
        <v>0.823981581391943</v>
      </c>
      <c r="AE178" s="12" t="n">
        <f aca="false">((AE29+AE39)/AE157)</f>
        <v>0.767636096677173</v>
      </c>
      <c r="AF178" s="12" t="n">
        <f aca="false">((AF29+AF39)/AF157)</f>
        <v>0.771282046435258</v>
      </c>
      <c r="AG178" s="12" t="n">
        <f aca="false">((AG29+AG39)/AG157)</f>
        <v>0.768299296411364</v>
      </c>
      <c r="AH178" s="12" t="n">
        <f aca="false">((AH29+AH39)/AH157)</f>
        <v>0.684724318018459</v>
      </c>
      <c r="AI178" s="12" t="n">
        <f aca="false">((AI29+AI39)/AI157)</f>
        <v>0.710116916749619</v>
      </c>
      <c r="AJ178" s="12" t="n">
        <f aca="false">((AJ29+AJ39)/AJ157)</f>
        <v>0.697239115036037</v>
      </c>
      <c r="AK178" s="12" t="n">
        <f aca="false">((AK29+AK39)/AK157)</f>
        <v>0.618926222072165</v>
      </c>
      <c r="AL178" s="12" t="n">
        <f aca="false">((AL29+AL39)/AL157)</f>
        <v>0.576607238352106</v>
      </c>
    </row>
    <row r="179" customFormat="false" ht="15" hidden="false" customHeight="false" outlineLevel="0" collapsed="false">
      <c r="A179" s="0" t="s">
        <v>981</v>
      </c>
      <c r="B179" s="0" t="s">
        <v>230</v>
      </c>
      <c r="C179" s="9" t="n">
        <f aca="false">(C175+(C177*C178))</f>
        <v>67.1082984</v>
      </c>
      <c r="D179" s="9" t="n">
        <f aca="false">(D175+(D177*D178))</f>
        <v>119.24628408</v>
      </c>
      <c r="E179" s="9" t="n">
        <f aca="false">(E175+(E177*E178))</f>
        <v>157.13872666272</v>
      </c>
      <c r="F179" s="9" t="n">
        <f aca="false">(F175+(F177*F178))</f>
        <v>187.467960772224</v>
      </c>
      <c r="G179" s="9" t="n">
        <f aca="false">(G175+(G177*G178))</f>
        <v>229.489239445236</v>
      </c>
      <c r="H179" s="9" t="n">
        <f aca="false">(H175+(H177*H178))</f>
        <v>239.815872223302</v>
      </c>
      <c r="I179" s="9" t="n">
        <f aca="false">(I175+(I177*I178))</f>
        <v>265.99508987402</v>
      </c>
      <c r="J179" s="9" t="n">
        <f aca="false">(J175+(J177*J178))</f>
        <v>423.300877864735</v>
      </c>
      <c r="K179" s="9" t="n">
        <f aca="false">(K175+(K177*K178))</f>
        <v>542.898473900534</v>
      </c>
      <c r="L179" s="9" t="n">
        <f aca="false">(L175+(L177*L178))</f>
        <v>589.439336416181</v>
      </c>
      <c r="M179" s="9" t="n">
        <f aca="false">(M175+(M177*M178))</f>
        <v>602.646290484537</v>
      </c>
      <c r="N179" s="9" t="n">
        <f aca="false">(N175+(N177*N178))</f>
        <v>610.389031102435</v>
      </c>
      <c r="O179" s="9" t="n">
        <f aca="false">(O175+(O177*O178))</f>
        <v>1280.67333127049</v>
      </c>
      <c r="P179" s="9" t="n">
        <f aca="false">(P175+(P177*P178))</f>
        <v>1684.63150513878</v>
      </c>
      <c r="Q179" s="9" t="n">
        <f aca="false">(Q175+(Q177*Q178))</f>
        <v>2073.25952656588</v>
      </c>
      <c r="R179" s="9" t="n">
        <f aca="false">(R175+(R177*R178))</f>
        <v>2388.46320997801</v>
      </c>
      <c r="S179" s="9" t="n">
        <f aca="false">(S175+(S177*S178))</f>
        <v>2588.55780740504</v>
      </c>
      <c r="T179" s="9" t="n">
        <f aca="false">(T175+(T177*T178))</f>
        <v>2943.85091045099</v>
      </c>
      <c r="U179" s="9" t="n">
        <f aca="false">(U175+(U177*U178))</f>
        <v>3206.97926767467</v>
      </c>
      <c r="V179" s="9" t="n">
        <f aca="false">(V175+(V177*V178))</f>
        <v>3927.21703905386</v>
      </c>
      <c r="W179" s="9" t="n">
        <f aca="false">(W175+(W177*W178))</f>
        <v>4719.43180598381</v>
      </c>
      <c r="X179" s="9" t="n">
        <f aca="false">(X175+(X177*X178))</f>
        <v>5179.69229866802</v>
      </c>
      <c r="Y179" s="9" t="n">
        <f aca="false">(Y175+(Y177*Y178))</f>
        <v>5380.90778654712</v>
      </c>
      <c r="Z179" s="9" t="n">
        <f aca="false">(Z175+(Z177*Z178))</f>
        <v>5455.58790841673</v>
      </c>
      <c r="AA179" s="9" t="n">
        <f aca="false">(AA175+(AA177*AA178))</f>
        <v>6160.1645356911</v>
      </c>
      <c r="AB179" s="9" t="n">
        <f aca="false">(AB175+(AB177*AB178))</f>
        <v>6609.66860609854</v>
      </c>
      <c r="AC179" s="9" t="n">
        <f aca="false">(AC175+(AC177*AC178))</f>
        <v>6865.00514951731</v>
      </c>
      <c r="AD179" s="9" t="n">
        <f aca="false">(AD175+(AD177*AD178))</f>
        <v>7057.96085953029</v>
      </c>
      <c r="AE179" s="9" t="n">
        <f aca="false">(AE175+(AE177*AE178))</f>
        <v>7255.30817073963</v>
      </c>
      <c r="AF179" s="9" t="n">
        <f aca="false">(AF175+(AF177*AF178))</f>
        <v>7193.85862945029</v>
      </c>
      <c r="AG179" s="9" t="n">
        <f aca="false">(AG175+(AG177*AG178))</f>
        <v>7338.5526217208</v>
      </c>
      <c r="AH179" s="9" t="n">
        <f aca="false">(AH175+(AH177*AH178))</f>
        <v>8546.22269030067</v>
      </c>
      <c r="AI179" s="9" t="n">
        <f aca="false">(AI175+(AI177*AI178))</f>
        <v>9520.89945983107</v>
      </c>
      <c r="AJ179" s="9" t="n">
        <f aca="false">(AJ175+(AJ177*AJ178))</f>
        <v>9909.87300732336</v>
      </c>
      <c r="AK179" s="9" t="n">
        <f aca="false">(AK175+(AK177*AK178))</f>
        <v>10357.2277333746</v>
      </c>
      <c r="AL179" s="9" t="n">
        <f aca="false">(AL175+(AL177*AL178))</f>
        <v>10460.604572337</v>
      </c>
      <c r="AN179" s="11" t="n">
        <f aca="false">SUM(C179:N179)</f>
        <v>4034.93548122593</v>
      </c>
      <c r="AO179" s="11" t="n">
        <f aca="false">SUM(O179:Z179)</f>
        <v>40829.2523971534</v>
      </c>
      <c r="AP179" s="11" t="n">
        <f aca="false">SUM(AA179:AL179)</f>
        <v>97275.3460359147</v>
      </c>
    </row>
    <row r="180" customFormat="false" ht="15" hidden="false" customHeight="false" outlineLevel="0" collapsed="false">
      <c r="A180" s="0" t="s">
        <v>982</v>
      </c>
      <c r="B180" s="0" t="s">
        <v>230</v>
      </c>
      <c r="C180" s="9" t="n">
        <f aca="false">(((C177*(1-C178))+C168)+C173)</f>
        <v>0</v>
      </c>
      <c r="D180" s="9" t="n">
        <f aca="false">(((D177*(1-D178))+D168)+D173)</f>
        <v>0</v>
      </c>
      <c r="E180" s="9" t="n">
        <f aca="false">(((E177*(1-E178))+E168)+E173)</f>
        <v>0</v>
      </c>
      <c r="F180" s="9" t="n">
        <f aca="false">(((F177*(1-F178))+F168)+F173)</f>
        <v>0</v>
      </c>
      <c r="G180" s="9" t="n">
        <f aca="false">(((G177*(1-G178))+G168)+G173)</f>
        <v>372.725633675</v>
      </c>
      <c r="H180" s="9" t="n">
        <f aca="false">(((H177*(1-H178))+H168)+H173)</f>
        <v>372.450836311773</v>
      </c>
      <c r="I180" s="9" t="n">
        <f aca="false">(((I177*(1-I178))+I168)+I173)</f>
        <v>371.834973838357</v>
      </c>
      <c r="J180" s="9" t="n">
        <f aca="false">(((J177*(1-J178))+J168)+J173)</f>
        <v>1003.04304706205</v>
      </c>
      <c r="K180" s="9" t="n">
        <f aca="false">(((K177*(1-K178))+K168)+K173)</f>
        <v>991.330221030255</v>
      </c>
      <c r="L180" s="9" t="n">
        <f aca="false">(((L177*(1-L178))+L168)+L173)</f>
        <v>987.564176111684</v>
      </c>
      <c r="M180" s="9" t="n">
        <f aca="false">(((M177*(1-M178))+M168)+M173)</f>
        <v>601.125541462827</v>
      </c>
      <c r="N180" s="9" t="n">
        <f aca="false">(((N177*(1-N178))+N168)+N173)</f>
        <v>600.695796452434</v>
      </c>
      <c r="O180" s="9" t="n">
        <f aca="false">(((O177*(1-O178))+O168)+O173)</f>
        <v>580.77387747157</v>
      </c>
      <c r="P180" s="9" t="n">
        <f aca="false">(((P177*(1-P178))+P168)+P173)</f>
        <v>0</v>
      </c>
      <c r="Q180" s="9" t="n">
        <f aca="false">(((Q177*(1-Q178))+Q168)+Q173)</f>
        <v>0</v>
      </c>
      <c r="R180" s="9" t="n">
        <f aca="false">(((R177*(1-R178))+R168)+R173)</f>
        <v>0</v>
      </c>
      <c r="S180" s="9" t="n">
        <f aca="false">(((S177*(1-S178))+S168)+S173)</f>
        <v>0</v>
      </c>
      <c r="T180" s="9" t="n">
        <f aca="false">(((T177*(1-T178))+T168)+T173)</f>
        <v>856.608774028012</v>
      </c>
      <c r="U180" s="9" t="n">
        <f aca="false">(((U177*(1-U178))+U168)+U173)</f>
        <v>1230.25207224793</v>
      </c>
      <c r="V180" s="9" t="n">
        <f aca="false">(((V177*(1-V178))+V168)+V173)</f>
        <v>1222.2909324956</v>
      </c>
      <c r="W180" s="9" t="n">
        <f aca="false">(((W177*(1-W178))+W168)+W173)</f>
        <v>1216.39444690071</v>
      </c>
      <c r="X180" s="9" t="n">
        <f aca="false">(((X177*(1-X178))+X168)+X173)</f>
        <v>2183.41168508759</v>
      </c>
      <c r="Y180" s="9" t="n">
        <f aca="false">(((Y177*(1-Y178))+Y168)+Y173)</f>
        <v>2183.43859473275</v>
      </c>
      <c r="Z180" s="9" t="n">
        <f aca="false">(((Z177*(1-Z178))+Z168)+Z173)</f>
        <v>12352.0773351322</v>
      </c>
      <c r="AA180" s="9" t="n">
        <f aca="false">(((AA177*(1-AA178))+AA168)+AA173)</f>
        <v>13323.1292436584</v>
      </c>
      <c r="AB180" s="9" t="n">
        <f aca="false">(((AB177*(1-AB178))+AB168)+AB173)</f>
        <v>13548.2430074982</v>
      </c>
      <c r="AC180" s="9" t="n">
        <f aca="false">(((AC177*(1-AC178))+AC168)+AC173)</f>
        <v>13547.0842691583</v>
      </c>
      <c r="AD180" s="9" t="n">
        <f aca="false">(((AD177*(1-AD178))+AD168)+AD173)</f>
        <v>13924.5898798625</v>
      </c>
      <c r="AE180" s="9" t="n">
        <f aca="false">(((AE177*(1-AE178))+AE168)+AE173)</f>
        <v>15154.7809882238</v>
      </c>
      <c r="AF180" s="9" t="n">
        <f aca="false">(((AF177*(1-AF178))+AF168)+AF173)</f>
        <v>15050.1769997342</v>
      </c>
      <c r="AG180" s="9" t="n">
        <f aca="false">(((AG177*(1-AG178))+AG168)+AG173)</f>
        <v>15430.7185210495</v>
      </c>
      <c r="AH180" s="9" t="n">
        <f aca="false">(((AH177*(1-AH178))+AH168)+AH173)</f>
        <v>18114.2102743937</v>
      </c>
      <c r="AI180" s="9" t="n">
        <f aca="false">(((AI177*(1-AI178))+AI168)+AI173)</f>
        <v>18068.8273689312</v>
      </c>
      <c r="AJ180" s="9" t="n">
        <f aca="false">(((AJ177*(1-AJ178))+AJ168)+AJ173)</f>
        <v>19074.4474091314</v>
      </c>
      <c r="AK180" s="9" t="n">
        <f aca="false">(((AK177*(1-AK178))+AK168)+AK173)</f>
        <v>22390.4303652652</v>
      </c>
      <c r="AL180" s="9" t="n">
        <f aca="false">(((AL177*(1-AL178))+AL168)+AL173)</f>
        <v>34113.8991321021</v>
      </c>
      <c r="AN180" s="11" t="n">
        <f aca="false">SUM(C180:N180)</f>
        <v>5300.77022594438</v>
      </c>
      <c r="AO180" s="11" t="n">
        <f aca="false">SUM(O180:Z180)</f>
        <v>21825.2477180963</v>
      </c>
      <c r="AP180" s="11" t="n">
        <f aca="false">SUM(AA180:AL180)</f>
        <v>211740.537459009</v>
      </c>
    </row>
    <row r="181" customFormat="false" ht="15" hidden="false" customHeight="false" outlineLevel="0" collapsed="false">
      <c r="A181" s="0" t="s">
        <v>983</v>
      </c>
      <c r="B181" s="0" t="s">
        <v>230</v>
      </c>
      <c r="C181" s="9" t="n">
        <f aca="false">((C164+C166)+C171)</f>
        <v>6000</v>
      </c>
      <c r="D181" s="9" t="n">
        <f aca="false">((D164+D166)+D171)</f>
        <v>6000</v>
      </c>
      <c r="E181" s="9" t="n">
        <f aca="false">((E164+E166)+E171)</f>
        <v>6000</v>
      </c>
      <c r="F181" s="9" t="n">
        <f aca="false">((F164+F166)+F171)</f>
        <v>6000</v>
      </c>
      <c r="G181" s="9" t="n">
        <f aca="false">((G164+G166)+G171)</f>
        <v>6000</v>
      </c>
      <c r="H181" s="9" t="n">
        <f aca="false">((H164+H166)+H171)</f>
        <v>6000</v>
      </c>
      <c r="I181" s="9" t="n">
        <f aca="false">((I164+I166)+I171)</f>
        <v>6000</v>
      </c>
      <c r="J181" s="9" t="n">
        <f aca="false">((J164+J166)+J171)</f>
        <v>6000</v>
      </c>
      <c r="K181" s="9" t="n">
        <f aca="false">((K164+K166)+K171)</f>
        <v>12303.3333333333</v>
      </c>
      <c r="L181" s="9" t="n">
        <f aca="false">((L164+L166)+L171)</f>
        <v>12303.3333333333</v>
      </c>
      <c r="M181" s="9" t="n">
        <f aca="false">((M164+M166)+M171)</f>
        <v>12303.3333333333</v>
      </c>
      <c r="N181" s="9" t="n">
        <f aca="false">((N164+N166)+N171)</f>
        <v>12303.3333333333</v>
      </c>
      <c r="O181" s="9" t="n">
        <f aca="false">((O164+O166)+O171)</f>
        <v>18303.3333333333</v>
      </c>
      <c r="P181" s="9" t="n">
        <f aca="false">((P164+P166)+P171)</f>
        <v>18303.3333333333</v>
      </c>
      <c r="Q181" s="9" t="n">
        <f aca="false">((Q164+Q166)+Q171)</f>
        <v>18303.3333333333</v>
      </c>
      <c r="R181" s="9" t="n">
        <f aca="false">((R164+R166)+R171)</f>
        <v>18303.3333333333</v>
      </c>
      <c r="S181" s="9" t="n">
        <f aca="false">((S164+S166)+S171)</f>
        <v>18303.3333333333</v>
      </c>
      <c r="T181" s="9" t="n">
        <f aca="false">((T164+T166)+T171)</f>
        <v>26945</v>
      </c>
      <c r="U181" s="9" t="n">
        <f aca="false">((U164+U166)+U171)</f>
        <v>26945</v>
      </c>
      <c r="V181" s="9" t="n">
        <f aca="false">((V164+V166)+V171)</f>
        <v>26945</v>
      </c>
      <c r="W181" s="9" t="n">
        <f aca="false">((W164+W166)+W171)</f>
        <v>26945</v>
      </c>
      <c r="X181" s="9" t="n">
        <f aca="false">((X164+X166)+X171)</f>
        <v>26945</v>
      </c>
      <c r="Y181" s="9" t="n">
        <f aca="false">((Y164+Y166)+Y171)</f>
        <v>26945</v>
      </c>
      <c r="Z181" s="9" t="n">
        <f aca="false">((Z164+Z166)+Z171)</f>
        <v>26945</v>
      </c>
      <c r="AA181" s="9" t="n">
        <f aca="false">((AA164+AA166)+AA171)</f>
        <v>35945</v>
      </c>
      <c r="AB181" s="9" t="n">
        <f aca="false">((AB164+AB166)+AB171)</f>
        <v>42248.3333333333</v>
      </c>
      <c r="AC181" s="9" t="n">
        <f aca="false">((AC164+AC166)+AC171)</f>
        <v>42248.3333333333</v>
      </c>
      <c r="AD181" s="9" t="n">
        <f aca="false">((AD164+AD166)+AD171)</f>
        <v>42248.3333333333</v>
      </c>
      <c r="AE181" s="9" t="n">
        <f aca="false">((AE164+AE166)+AE171)</f>
        <v>42248.3333333333</v>
      </c>
      <c r="AF181" s="9" t="n">
        <f aca="false">((AF164+AF166)+AF171)</f>
        <v>42248.3333333333</v>
      </c>
      <c r="AG181" s="9" t="n">
        <f aca="false">((AG164+AG166)+AG171)</f>
        <v>42248.3333333333</v>
      </c>
      <c r="AH181" s="9" t="n">
        <f aca="false">((AH164+AH166)+AH171)</f>
        <v>42248.3333333333</v>
      </c>
      <c r="AI181" s="9" t="n">
        <f aca="false">((AI164+AI166)+AI171)</f>
        <v>48551.6666666667</v>
      </c>
      <c r="AJ181" s="9" t="n">
        <f aca="false">((AJ164+AJ166)+AJ171)</f>
        <v>48551.6666666667</v>
      </c>
      <c r="AK181" s="9" t="n">
        <f aca="false">((AK164+AK166)+AK171)</f>
        <v>48551.6666666667</v>
      </c>
      <c r="AL181" s="9" t="n">
        <f aca="false">((AL164+AL166)+AL171)</f>
        <v>48551.6666666667</v>
      </c>
      <c r="AN181" s="11" t="n">
        <f aca="false">SUM(C181:N181)</f>
        <v>97213.3333333333</v>
      </c>
      <c r="AO181" s="11" t="n">
        <f aca="false">SUM(O181:Z181)</f>
        <v>280131.666666667</v>
      </c>
      <c r="AP181" s="11" t="n">
        <f aca="false">SUM(AA181:AL181)</f>
        <v>525890</v>
      </c>
    </row>
    <row r="182" customFormat="false" ht="15" hidden="false" customHeight="false" outlineLevel="0" collapsed="false">
      <c r="A182" s="0" t="s">
        <v>984</v>
      </c>
      <c r="B182" s="0" t="s">
        <v>230</v>
      </c>
      <c r="C182" s="9" t="n">
        <f aca="false">C172</f>
        <v>0</v>
      </c>
      <c r="D182" s="9" t="n">
        <f aca="false">D172</f>
        <v>0</v>
      </c>
      <c r="E182" s="9" t="n">
        <f aca="false">E172</f>
        <v>0</v>
      </c>
      <c r="F182" s="9" t="n">
        <f aca="false">F172</f>
        <v>0</v>
      </c>
      <c r="G182" s="9" t="n">
        <f aca="false">G172</f>
        <v>0</v>
      </c>
      <c r="H182" s="9" t="n">
        <f aca="false">H172</f>
        <v>0</v>
      </c>
      <c r="I182" s="9" t="n">
        <f aca="false">I172</f>
        <v>0</v>
      </c>
      <c r="J182" s="9" t="n">
        <f aca="false">J172</f>
        <v>0</v>
      </c>
      <c r="K182" s="9" t="n">
        <f aca="false">K172</f>
        <v>0</v>
      </c>
      <c r="L182" s="9" t="n">
        <f aca="false">L172</f>
        <v>0</v>
      </c>
      <c r="M182" s="9" t="n">
        <f aca="false">M172</f>
        <v>10166.6666666667</v>
      </c>
      <c r="N182" s="9" t="n">
        <f aca="false">N172</f>
        <v>10166.6666666667</v>
      </c>
      <c r="O182" s="9" t="n">
        <f aca="false">O172</f>
        <v>10166.6666666667</v>
      </c>
      <c r="P182" s="9" t="n">
        <f aca="false">P172</f>
        <v>10166.6666666667</v>
      </c>
      <c r="Q182" s="9" t="n">
        <f aca="false">Q172</f>
        <v>10166.6666666667</v>
      </c>
      <c r="R182" s="9" t="n">
        <f aca="false">R172</f>
        <v>10166.6666666667</v>
      </c>
      <c r="S182" s="9" t="n">
        <f aca="false">S172</f>
        <v>20333.3333333333</v>
      </c>
      <c r="T182" s="9" t="n">
        <f aca="false">T172</f>
        <v>20333.3333333333</v>
      </c>
      <c r="U182" s="9" t="n">
        <f aca="false">U172</f>
        <v>20333.3333333333</v>
      </c>
      <c r="V182" s="9" t="n">
        <f aca="false">V172</f>
        <v>20333.3333333333</v>
      </c>
      <c r="W182" s="9" t="n">
        <f aca="false">W172</f>
        <v>30500</v>
      </c>
      <c r="X182" s="9" t="n">
        <f aca="false">X172</f>
        <v>30500</v>
      </c>
      <c r="Y182" s="9" t="n">
        <f aca="false">Y172</f>
        <v>30500</v>
      </c>
      <c r="Z182" s="9" t="n">
        <f aca="false">Z172</f>
        <v>30500</v>
      </c>
      <c r="AA182" s="9" t="n">
        <f aca="false">AA172</f>
        <v>40666.6666666667</v>
      </c>
      <c r="AB182" s="9" t="n">
        <f aca="false">AB172</f>
        <v>40666.6666666667</v>
      </c>
      <c r="AC182" s="9" t="n">
        <f aca="false">AC172</f>
        <v>40666.6666666667</v>
      </c>
      <c r="AD182" s="9" t="n">
        <f aca="false">AD172</f>
        <v>50833.3333333333</v>
      </c>
      <c r="AE182" s="9" t="n">
        <f aca="false">AE172</f>
        <v>50833.3333333333</v>
      </c>
      <c r="AF182" s="9" t="n">
        <f aca="false">AF172</f>
        <v>50833.3333333333</v>
      </c>
      <c r="AG182" s="9" t="n">
        <f aca="false">AG172</f>
        <v>61000</v>
      </c>
      <c r="AH182" s="9" t="n">
        <f aca="false">AH172</f>
        <v>61000</v>
      </c>
      <c r="AI182" s="9" t="n">
        <f aca="false">AI172</f>
        <v>61000</v>
      </c>
      <c r="AJ182" s="9" t="n">
        <f aca="false">AJ172</f>
        <v>71166.6666666667</v>
      </c>
      <c r="AK182" s="9" t="n">
        <f aca="false">AK172</f>
        <v>71166.6666666667</v>
      </c>
      <c r="AL182" s="9" t="n">
        <f aca="false">AL172</f>
        <v>71166.6666666667</v>
      </c>
      <c r="AN182" s="11" t="n">
        <f aca="false">SUM(C182:N182)</f>
        <v>20333.3333333333</v>
      </c>
      <c r="AO182" s="11" t="n">
        <f aca="false">SUM(O182:Z182)</f>
        <v>244000</v>
      </c>
      <c r="AP182" s="11" t="n">
        <f aca="false">SUM(AA182:AL182)</f>
        <v>671000</v>
      </c>
    </row>
    <row r="183" customFormat="false" ht="15" hidden="false" customHeight="false" outlineLevel="0" collapsed="false">
      <c r="A183" s="0" t="s">
        <v>985</v>
      </c>
      <c r="B183" s="0" t="s">
        <v>230</v>
      </c>
      <c r="C183" s="9" t="n">
        <f aca="false">(C176+C174)</f>
        <v>0</v>
      </c>
      <c r="D183" s="9" t="n">
        <f aca="false">(D176+D174)</f>
        <v>0</v>
      </c>
      <c r="E183" s="9" t="n">
        <f aca="false">(E176+E174)</f>
        <v>0</v>
      </c>
      <c r="F183" s="9" t="n">
        <f aca="false">(F176+F174)</f>
        <v>0</v>
      </c>
      <c r="G183" s="9" t="n">
        <f aca="false">(G176+G174)</f>
        <v>0</v>
      </c>
      <c r="H183" s="9" t="n">
        <f aca="false">(H176+H174)</f>
        <v>0</v>
      </c>
      <c r="I183" s="9" t="n">
        <f aca="false">(I176+I174)</f>
        <v>0</v>
      </c>
      <c r="J183" s="9" t="n">
        <f aca="false">(J176+J174)</f>
        <v>0</v>
      </c>
      <c r="K183" s="9" t="n">
        <f aca="false">(K176+K174)</f>
        <v>0</v>
      </c>
      <c r="L183" s="9" t="n">
        <f aca="false">(L176+L174)</f>
        <v>0</v>
      </c>
      <c r="M183" s="9" t="n">
        <f aca="false">(M176+M174)</f>
        <v>0</v>
      </c>
      <c r="N183" s="9" t="n">
        <f aca="false">(N176+N174)</f>
        <v>0</v>
      </c>
      <c r="O183" s="9" t="n">
        <f aca="false">(O176+O174)</f>
        <v>0</v>
      </c>
      <c r="P183" s="9" t="n">
        <f aca="false">(P176+P174)</f>
        <v>0</v>
      </c>
      <c r="Q183" s="9" t="n">
        <f aca="false">(Q176+Q174)</f>
        <v>0</v>
      </c>
      <c r="R183" s="9" t="n">
        <f aca="false">(R176+R174)</f>
        <v>0</v>
      </c>
      <c r="S183" s="9" t="n">
        <f aca="false">(S176+S174)</f>
        <v>0</v>
      </c>
      <c r="T183" s="9" t="n">
        <f aca="false">(T176+T174)</f>
        <v>0</v>
      </c>
      <c r="U183" s="9" t="n">
        <f aca="false">(U176+U174)</f>
        <v>0</v>
      </c>
      <c r="V183" s="9" t="n">
        <f aca="false">(V176+V174)</f>
        <v>0</v>
      </c>
      <c r="W183" s="9" t="n">
        <f aca="false">(W176+W174)</f>
        <v>0</v>
      </c>
      <c r="X183" s="9" t="n">
        <f aca="false">(X176+X174)</f>
        <v>0</v>
      </c>
      <c r="Y183" s="9" t="n">
        <f aca="false">(Y176+Y174)</f>
        <v>0</v>
      </c>
      <c r="Z183" s="9" t="n">
        <f aca="false">(Z176+Z174)</f>
        <v>0</v>
      </c>
      <c r="AA183" s="9" t="n">
        <f aca="false">(AA176+AA174)</f>
        <v>0</v>
      </c>
      <c r="AB183" s="9" t="n">
        <f aca="false">(AB176+AB174)</f>
        <v>0</v>
      </c>
      <c r="AC183" s="9" t="n">
        <f aca="false">(AC176+AC174)</f>
        <v>0</v>
      </c>
      <c r="AD183" s="9" t="n">
        <f aca="false">(AD176+AD174)</f>
        <v>0</v>
      </c>
      <c r="AE183" s="9" t="n">
        <f aca="false">(AE176+AE174)</f>
        <v>0</v>
      </c>
      <c r="AF183" s="9" t="n">
        <f aca="false">(AF176+AF174)</f>
        <v>0</v>
      </c>
      <c r="AG183" s="9" t="n">
        <f aca="false">(AG176+AG174)</f>
        <v>643.2</v>
      </c>
      <c r="AH183" s="9" t="n">
        <f aca="false">(AH176+AH174)</f>
        <v>858.672</v>
      </c>
      <c r="AI183" s="9" t="n">
        <f aca="false">(AI176+AI174)</f>
        <v>1065.52512</v>
      </c>
      <c r="AJ183" s="9" t="n">
        <f aca="false">(AJ176+AJ174)</f>
        <v>1264.1041152</v>
      </c>
      <c r="AK183" s="9" t="n">
        <f aca="false">(AK176+AK174)</f>
        <v>1454.739950592</v>
      </c>
      <c r="AL183" s="9" t="n">
        <f aca="false">(AL176+AL174)</f>
        <v>1637.75035256832</v>
      </c>
      <c r="AN183" s="11" t="n">
        <f aca="false">SUM(C183:N183)</f>
        <v>0</v>
      </c>
      <c r="AO183" s="11" t="n">
        <f aca="false">SUM(O183:Z183)</f>
        <v>0</v>
      </c>
      <c r="AP183" s="11" t="n">
        <f aca="false">SUM(AA183:AL183)</f>
        <v>6923.99153836032</v>
      </c>
    </row>
    <row r="184" customFormat="false" ht="15" hidden="false" customHeight="false" outlineLevel="0" collapsed="false">
      <c r="A184" s="10" t="s">
        <v>986</v>
      </c>
      <c r="B184" s="20" t="s">
        <v>230</v>
      </c>
      <c r="C184" s="11" t="n">
        <f aca="false">((((C179+C180)+C181)+C182)+C183)</f>
        <v>6067.1082984</v>
      </c>
      <c r="D184" s="11" t="n">
        <f aca="false">((((D179+D180)+D181)+D182)+D183)</f>
        <v>6119.24628408</v>
      </c>
      <c r="E184" s="11" t="n">
        <f aca="false">((((E179+E180)+E181)+E182)+E183)</f>
        <v>6157.13872666272</v>
      </c>
      <c r="F184" s="11" t="n">
        <f aca="false">((((F179+F180)+F181)+F182)+F183)</f>
        <v>6187.46796077222</v>
      </c>
      <c r="G184" s="11" t="n">
        <f aca="false">((((G179+G180)+G181)+G182)+G183)</f>
        <v>6602.21487312024</v>
      </c>
      <c r="H184" s="11" t="n">
        <f aca="false">((((H179+H180)+H181)+H182)+H183)</f>
        <v>6612.26670853508</v>
      </c>
      <c r="I184" s="11" t="n">
        <f aca="false">((((I179+I180)+I181)+I182)+I183)</f>
        <v>6637.83006371238</v>
      </c>
      <c r="J184" s="11" t="n">
        <f aca="false">((((J179+J180)+J181)+J182)+J183)</f>
        <v>7426.34392492678</v>
      </c>
      <c r="K184" s="11" t="n">
        <f aca="false">((((K179+K180)+K181)+K182)+K183)</f>
        <v>13837.5620282641</v>
      </c>
      <c r="L184" s="11" t="n">
        <f aca="false">((((L179+L180)+L181)+L182)+L183)</f>
        <v>13880.3368458612</v>
      </c>
      <c r="M184" s="11" t="n">
        <f aca="false">((((M179+M180)+M181)+M182)+M183)</f>
        <v>23673.7718319474</v>
      </c>
      <c r="N184" s="11" t="n">
        <f aca="false">((((N179+N180)+N181)+N182)+N183)</f>
        <v>23681.0848275549</v>
      </c>
      <c r="O184" s="11" t="n">
        <f aca="false">((((O179+O180)+O181)+O182)+O183)</f>
        <v>30331.4472087421</v>
      </c>
      <c r="P184" s="11" t="n">
        <f aca="false">((((P179+P180)+P181)+P182)+P183)</f>
        <v>30154.6315051388</v>
      </c>
      <c r="Q184" s="11" t="n">
        <f aca="false">((((Q179+Q180)+Q181)+Q182)+Q183)</f>
        <v>30543.2595265659</v>
      </c>
      <c r="R184" s="11" t="n">
        <f aca="false">((((R179+R180)+R181)+R182)+R183)</f>
        <v>30858.463209978</v>
      </c>
      <c r="S184" s="11" t="n">
        <f aca="false">((((S179+S180)+S181)+S182)+S183)</f>
        <v>41225.2244740717</v>
      </c>
      <c r="T184" s="11" t="n">
        <f aca="false">((((T179+T180)+T181)+T182)+T183)</f>
        <v>51078.7930178123</v>
      </c>
      <c r="U184" s="11" t="n">
        <f aca="false">((((U179+U180)+U181)+U182)+U183)</f>
        <v>51715.5646732559</v>
      </c>
      <c r="V184" s="11" t="n">
        <f aca="false">((((V179+V180)+V181)+V182)+V183)</f>
        <v>52427.8413048828</v>
      </c>
      <c r="W184" s="11" t="n">
        <f aca="false">((((W179+W180)+W181)+W182)+W183)</f>
        <v>63380.8262528845</v>
      </c>
      <c r="X184" s="11" t="n">
        <f aca="false">((((X179+X180)+X181)+X182)+X183)</f>
        <v>64808.1039837556</v>
      </c>
      <c r="Y184" s="11" t="n">
        <f aca="false">((((Y179+Y180)+Y181)+Y182)+Y183)</f>
        <v>65009.3463812799</v>
      </c>
      <c r="Z184" s="11" t="n">
        <f aca="false">((((Z179+Z180)+Z181)+Z182)+Z183)</f>
        <v>75252.6652435489</v>
      </c>
      <c r="AA184" s="11" t="n">
        <f aca="false">((((AA179+AA180)+AA181)+AA182)+AA183)</f>
        <v>96094.9604460162</v>
      </c>
      <c r="AB184" s="11" t="n">
        <f aca="false">((((AB179+AB180)+AB181)+AB182)+AB183)</f>
        <v>103072.911613597</v>
      </c>
      <c r="AC184" s="11" t="n">
        <f aca="false">((((AC179+AC180)+AC181)+AC182)+AC183)</f>
        <v>103327.089418676</v>
      </c>
      <c r="AD184" s="11" t="n">
        <f aca="false">((((AD179+AD180)+AD181)+AD182)+AD183)</f>
        <v>114064.21740606</v>
      </c>
      <c r="AE184" s="11" t="n">
        <f aca="false">((((AE179+AE180)+AE181)+AE182)+AE183)</f>
        <v>115491.75582563</v>
      </c>
      <c r="AF184" s="11" t="n">
        <f aca="false">((((AF179+AF180)+AF181)+AF182)+AF183)</f>
        <v>115325.702295851</v>
      </c>
      <c r="AG184" s="11" t="n">
        <f aca="false">((((AG179+AG180)+AG181)+AG182)+AG183)</f>
        <v>126660.804476104</v>
      </c>
      <c r="AH184" s="11" t="n">
        <f aca="false">((((AH179+AH180)+AH181)+AH182)+AH183)</f>
        <v>130767.438298028</v>
      </c>
      <c r="AI184" s="11" t="n">
        <f aca="false">((((AI179+AI180)+AI181)+AI182)+AI183)</f>
        <v>138206.918615429</v>
      </c>
      <c r="AJ184" s="11" t="n">
        <f aca="false">((((AJ179+AJ180)+AJ181)+AJ182)+AJ183)</f>
        <v>149966.757864988</v>
      </c>
      <c r="AK184" s="11" t="n">
        <f aca="false">((((AK179+AK180)+AK181)+AK182)+AK183)</f>
        <v>153920.731382565</v>
      </c>
      <c r="AL184" s="11" t="n">
        <f aca="false">((((AL179+AL180)+AL181)+AL182)+AL183)</f>
        <v>165930.587390341</v>
      </c>
      <c r="AN184" s="11" t="n">
        <f aca="false">SUM(C184:N184)</f>
        <v>126882.372373837</v>
      </c>
      <c r="AO184" s="11" t="n">
        <f aca="false">SUM(O184:Z184)</f>
        <v>586786.166781916</v>
      </c>
      <c r="AP184" s="11" t="n">
        <f aca="false">SUM(AA184:AL184)</f>
        <v>1512829.87503328</v>
      </c>
    </row>
    <row r="185" customFormat="false" ht="15" hidden="false" customHeight="false" outlineLevel="0" collapsed="false">
      <c r="A185" s="0" t="s">
        <v>987</v>
      </c>
      <c r="B185" s="0" t="s">
        <v>230</v>
      </c>
      <c r="C185" s="9" t="n">
        <f aca="false">((((((((((((((((C158+C159)+C160)+C161)+C162)+C163)+C164)+C167)+C168)+C171)+C170)+C172)+C173)+C174)+C175)+C176)-C184)</f>
        <v>0</v>
      </c>
      <c r="D185" s="9" t="n">
        <f aca="false">((((((((((((((((D158+D159)+D160)+D161)+D162)+D163)+D164)+D167)+D168)+D171)+D170)+D172)+D173)+D174)+D175)+D176)-D184)</f>
        <v>0</v>
      </c>
      <c r="E185" s="9" t="n">
        <f aca="false">((((((((((((((((E158+E159)+E160)+E161)+E162)+E163)+E164)+E167)+E168)+E171)+E170)+E172)+E173)+E174)+E175)+E176)-E184)</f>
        <v>0</v>
      </c>
      <c r="F185" s="9" t="n">
        <f aca="false">((((((((((((((((F158+F159)+F160)+F161)+F162)+F163)+F164)+F167)+F168)+F171)+F170)+F172)+F173)+F174)+F175)+F176)-F184)</f>
        <v>0</v>
      </c>
      <c r="G185" s="9" t="n">
        <f aca="false">((((((((((((((((G158+G159)+G160)+G161)+G162)+G163)+G164)+G167)+G168)+G171)+G170)+G172)+G173)+G174)+G175)+G176)-G184)</f>
        <v>0</v>
      </c>
      <c r="H185" s="9" t="n">
        <f aca="false">((((((((((((((((H158+H159)+H160)+H161)+H162)+H163)+H164)+H167)+H168)+H171)+H170)+H172)+H173)+H174)+H175)+H176)-H184)</f>
        <v>0</v>
      </c>
      <c r="I185" s="9" t="n">
        <f aca="false">((((((((((((((((I158+I159)+I160)+I161)+I162)+I163)+I164)+I167)+I168)+I171)+I170)+I172)+I173)+I174)+I175)+I176)-I184)</f>
        <v>0</v>
      </c>
      <c r="J185" s="9" t="n">
        <f aca="false">((((((((((((((((J158+J159)+J160)+J161)+J162)+J163)+J164)+J167)+J168)+J171)+J170)+J172)+J173)+J174)+J175)+J176)-J184)</f>
        <v>0</v>
      </c>
      <c r="K185" s="9" t="n">
        <f aca="false">((((((((((((((((K158+K159)+K160)+K161)+K162)+K163)+K164)+K167)+K168)+K171)+K170)+K172)+K173)+K174)+K175)+K176)-K184)</f>
        <v>0</v>
      </c>
      <c r="L185" s="9" t="n">
        <f aca="false">((((((((((((((((L158+L159)+L160)+L161)+L162)+L163)+L164)+L167)+L168)+L171)+L170)+L172)+L173)+L174)+L175)+L176)-L184)</f>
        <v>0</v>
      </c>
      <c r="M185" s="9" t="n">
        <f aca="false">((((((((((((((((M158+M159)+M160)+M161)+M162)+M163)+M164)+M167)+M168)+M171)+M170)+M172)+M173)+M174)+M175)+M176)-M184)</f>
        <v>0</v>
      </c>
      <c r="N185" s="9" t="n">
        <f aca="false">((((((((((((((((N158+N159)+N160)+N161)+N162)+N163)+N164)+N167)+N168)+N171)+N170)+N172)+N173)+N174)+N175)+N176)-N184)</f>
        <v>0</v>
      </c>
      <c r="O185" s="9" t="n">
        <f aca="false">((((((((((((((((O158+O159)+O160)+O161)+O162)+O163)+O164)+O167)+O168)+O171)+O170)+O172)+O173)+O174)+O175)+O176)-O184)</f>
        <v>0</v>
      </c>
      <c r="P185" s="9" t="n">
        <f aca="false">((((((((((((((((P158+P159)+P160)+P161)+P162)+P163)+P164)+P167)+P168)+P171)+P170)+P172)+P173)+P174)+P175)+P176)-P184)</f>
        <v>0</v>
      </c>
      <c r="Q185" s="9" t="n">
        <f aca="false">((((((((((((((((Q158+Q159)+Q160)+Q161)+Q162)+Q163)+Q164)+Q167)+Q168)+Q171)+Q170)+Q172)+Q173)+Q174)+Q175)+Q176)-Q184)</f>
        <v>0</v>
      </c>
      <c r="R185" s="9" t="n">
        <f aca="false">((((((((((((((((R158+R159)+R160)+R161)+R162)+R163)+R164)+R167)+R168)+R171)+R170)+R172)+R173)+R174)+R175)+R176)-R184)</f>
        <v>0</v>
      </c>
      <c r="S185" s="9" t="n">
        <f aca="false">((((((((((((((((S158+S159)+S160)+S161)+S162)+S163)+S164)+S167)+S168)+S171)+S170)+S172)+S173)+S174)+S175)+S176)-S184)</f>
        <v>0</v>
      </c>
      <c r="T185" s="9" t="n">
        <f aca="false">((((((((((((((((T158+T159)+T160)+T161)+T162)+T163)+T164)+T167)+T168)+T171)+T170)+T172)+T173)+T174)+T175)+T176)-T184)</f>
        <v>0</v>
      </c>
      <c r="U185" s="9" t="n">
        <f aca="false">((((((((((((((((U158+U159)+U160)+U161)+U162)+U163)+U164)+U167)+U168)+U171)+U170)+U172)+U173)+U174)+U175)+U176)-U184)</f>
        <v>0</v>
      </c>
      <c r="V185" s="9" t="n">
        <f aca="false">((((((((((((((((V158+V159)+V160)+V161)+V162)+V163)+V164)+V167)+V168)+V171)+V170)+V172)+V173)+V174)+V175)+V176)-V184)</f>
        <v>0</v>
      </c>
      <c r="W185" s="9" t="n">
        <f aca="false">((((((((((((((((W158+W159)+W160)+W161)+W162)+W163)+W164)+W167)+W168)+W171)+W170)+W172)+W173)+W174)+W175)+W176)-W184)</f>
        <v>0</v>
      </c>
      <c r="X185" s="9" t="n">
        <f aca="false">((((((((((((((((X158+X159)+X160)+X161)+X162)+X163)+X164)+X167)+X168)+X171)+X170)+X172)+X173)+X174)+X175)+X176)-X184)</f>
        <v>0</v>
      </c>
      <c r="Y185" s="9" t="n">
        <f aca="false">((((((((((((((((Y158+Y159)+Y160)+Y161)+Y162)+Y163)+Y164)+Y167)+Y168)+Y171)+Y170)+Y172)+Y173)+Y174)+Y175)+Y176)-Y184)</f>
        <v>0</v>
      </c>
      <c r="Z185" s="9" t="n">
        <f aca="false">((((((((((((((((Z158+Z159)+Z160)+Z161)+Z162)+Z163)+Z164)+Z167)+Z168)+Z171)+Z170)+Z172)+Z173)+Z174)+Z175)+Z176)-Z184)</f>
        <v>0</v>
      </c>
      <c r="AA185" s="9" t="n">
        <f aca="false">((((((((((((((((AA158+AA159)+AA160)+AA161)+AA162)+AA163)+AA164)+AA167)+AA168)+AA171)+AA170)+AA172)+AA173)+AA174)+AA175)+AA176)-AA184)</f>
        <v>0</v>
      </c>
      <c r="AB185" s="9" t="n">
        <f aca="false">((((((((((((((((AB158+AB159)+AB160)+AB161)+AB162)+AB163)+AB164)+AB167)+AB168)+AB171)+AB170)+AB172)+AB173)+AB174)+AB175)+AB176)-AB184)</f>
        <v>0</v>
      </c>
      <c r="AC185" s="9" t="n">
        <f aca="false">((((((((((((((((AC158+AC159)+AC160)+AC161)+AC162)+AC163)+AC164)+AC167)+AC168)+AC171)+AC170)+AC172)+AC173)+AC174)+AC175)+AC176)-AC184)</f>
        <v>0</v>
      </c>
      <c r="AD185" s="9" t="n">
        <f aca="false">((((((((((((((((AD158+AD159)+AD160)+AD161)+AD162)+AD163)+AD164)+AD167)+AD168)+AD171)+AD170)+AD172)+AD173)+AD174)+AD175)+AD176)-AD184)</f>
        <v>0</v>
      </c>
      <c r="AE185" s="9" t="n">
        <f aca="false">((((((((((((((((AE158+AE159)+AE160)+AE161)+AE162)+AE163)+AE164)+AE167)+AE168)+AE171)+AE170)+AE172)+AE173)+AE174)+AE175)+AE176)-AE184)</f>
        <v>0</v>
      </c>
      <c r="AF185" s="9" t="n">
        <f aca="false">((((((((((((((((AF158+AF159)+AF160)+AF161)+AF162)+AF163)+AF164)+AF167)+AF168)+AF171)+AF170)+AF172)+AF173)+AF174)+AF175)+AF176)-AF184)</f>
        <v>0</v>
      </c>
      <c r="AG185" s="9" t="n">
        <f aca="false">((((((((((((((((AG158+AG159)+AG160)+AG161)+AG162)+AG163)+AG164)+AG167)+AG168)+AG171)+AG170)+AG172)+AG173)+AG174)+AG175)+AG176)-AG184)</f>
        <v>0</v>
      </c>
      <c r="AH185" s="9" t="n">
        <f aca="false">((((((((((((((((AH158+AH159)+AH160)+AH161)+AH162)+AH163)+AH164)+AH167)+AH168)+AH171)+AH170)+AH172)+AH173)+AH174)+AH175)+AH176)-AH184)</f>
        <v>0</v>
      </c>
      <c r="AI185" s="9" t="n">
        <f aca="false">((((((((((((((((AI158+AI159)+AI160)+AI161)+AI162)+AI163)+AI164)+AI167)+AI168)+AI171)+AI170)+AI172)+AI173)+AI174)+AI175)+AI176)-AI184)</f>
        <v>0</v>
      </c>
      <c r="AJ185" s="9" t="n">
        <f aca="false">((((((((((((((((AJ158+AJ159)+AJ160)+AJ161)+AJ162)+AJ163)+AJ164)+AJ167)+AJ168)+AJ171)+AJ170)+AJ172)+AJ173)+AJ174)+AJ175)+AJ176)-AJ184)</f>
        <v>0</v>
      </c>
      <c r="AK185" s="9" t="n">
        <f aca="false">((((((((((((((((AK158+AK159)+AK160)+AK161)+AK162)+AK163)+AK164)+AK167)+AK168)+AK171)+AK170)+AK172)+AK173)+AK174)+AK175)+AK176)-AK184)</f>
        <v>0</v>
      </c>
      <c r="AL185" s="9" t="n">
        <f aca="false">((((((((((((((((AL158+AL159)+AL160)+AL161)+AL162)+AL163)+AL164)+AL167)+AL168)+AL171)+AL170)+AL172)+AL173)+AL174)+AL175)+AL176)-AL184)</f>
        <v>0</v>
      </c>
      <c r="AN185" s="11" t="n">
        <f aca="false">SUM(C185:N185)</f>
        <v>0</v>
      </c>
      <c r="AO185" s="11" t="n">
        <f aca="false">SUM(O185:Z185)</f>
        <v>0</v>
      </c>
      <c r="AP185" s="11" t="n">
        <f aca="false">SUM(AA185:AL185)</f>
        <v>0</v>
      </c>
    </row>
    <row r="186" customFormat="false" ht="15" hidden="false" customHeight="false" outlineLevel="0" collapsed="false">
      <c r="A186" s="0" t="s">
        <v>988</v>
      </c>
      <c r="B186" s="0" t="s">
        <v>230</v>
      </c>
      <c r="C186" s="9" t="n">
        <f aca="false">(C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67.1082984</v>
      </c>
      <c r="D186" s="9" t="n">
        <f aca="false">(D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119.24628408</v>
      </c>
      <c r="E186" s="9" t="n">
        <f aca="false">(E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157.13872666272</v>
      </c>
      <c r="F186" s="9" t="n">
        <f aca="false">(F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187.467960772224</v>
      </c>
      <c r="G186" s="9" t="n">
        <f aca="false">(G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204.074581120236</v>
      </c>
      <c r="H186" s="9" t="n">
        <f aca="false">(H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214.126416535075</v>
      </c>
      <c r="I186" s="9" t="n">
        <f aca="false">(I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239.689771712377</v>
      </c>
      <c r="J186" s="9" t="n">
        <f aca="false">(J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335.119082926783</v>
      </c>
      <c r="K186" s="9" t="n">
        <f aca="false">(K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443.003852930789</v>
      </c>
      <c r="L186" s="9" t="n">
        <f aca="false">(L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485.778670527865</v>
      </c>
      <c r="M186" s="9" t="n">
        <f aca="false">(M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510.687281947364</v>
      </c>
      <c r="N186" s="9" t="n">
        <f aca="false">(N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518.000277554868</v>
      </c>
      <c r="O186" s="9" t="n">
        <f aca="false">(O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1156.56680175146</v>
      </c>
      <c r="P186" s="9" t="n">
        <f aca="false">(P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1653.31504695032</v>
      </c>
      <c r="Q186" s="9" t="n">
        <f aca="false">(Q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2019.68232354887</v>
      </c>
      <c r="R186" s="9" t="n">
        <f aca="false">(R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2311.1872142421</v>
      </c>
      <c r="S186" s="9" t="n">
        <f aca="false">(S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2486.27720445326</v>
      </c>
      <c r="T186" s="9" t="n">
        <f aca="false">(T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2601.76695566944</v>
      </c>
      <c r="U186" s="9" t="n">
        <f aca="false">(U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2816.19089619697</v>
      </c>
      <c r="V186" s="9" t="n">
        <f aca="false">(V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3501.58989061495</v>
      </c>
      <c r="W186" s="9" t="n">
        <f aca="false">(W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4248.94017748109</v>
      </c>
      <c r="X186" s="9" t="n">
        <f aca="false">(X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4538.75674729835</v>
      </c>
      <c r="Y186" s="9" t="n">
        <f aca="false">(Y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4697.91512751697</v>
      </c>
      <c r="Z186" s="9" t="n">
        <f aca="false">(Z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4733.7873108886</v>
      </c>
      <c r="AA186" s="9" t="n">
        <f aca="false">(AA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5276.9139035922</v>
      </c>
      <c r="AB186" s="9" t="n">
        <f aca="false">(AB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5642.54647380146</v>
      </c>
      <c r="AC186" s="9" t="n">
        <f aca="false">(AC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5846.35734606611</v>
      </c>
      <c r="AD186" s="9" t="n">
        <f aca="false">(AD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5971.13603400675</v>
      </c>
      <c r="AE186" s="9" t="n">
        <f aca="false">(AE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5952.47755189436</v>
      </c>
      <c r="AF186" s="9" t="n">
        <f aca="false">(AF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5873.97709687462</v>
      </c>
      <c r="AG186" s="9" t="n">
        <f aca="false">(AG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5963.38529120777</v>
      </c>
      <c r="AH186" s="9" t="n">
        <f aca="false">(AH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6743.05786941836</v>
      </c>
      <c r="AI186" s="9" t="n">
        <f aca="false">(AI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7614.55363224439</v>
      </c>
      <c r="AJ186" s="9" t="n">
        <f aca="false">(AJ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7852.22573323227</v>
      </c>
      <c r="AK186" s="9" t="n">
        <f aca="false">(AK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7918.19122960689</v>
      </c>
      <c r="AL186" s="9" t="n">
        <f aca="false">(AL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7825.80229974569</v>
      </c>
      <c r="AN186" s="11" t="n">
        <f aca="false">SUM(C186:N186)</f>
        <v>3481.4412051703</v>
      </c>
      <c r="AO186" s="11" t="n">
        <f aca="false">SUM(O186:Z186)</f>
        <v>36765.9756966124</v>
      </c>
      <c r="AP186" s="11" t="n">
        <f aca="false">SUM(AA186:AL186)</f>
        <v>78480.6244616909</v>
      </c>
    </row>
    <row r="187" customFormat="false" ht="15" hidden="false" customHeight="false" outlineLevel="0" collapsed="false">
      <c r="A187" s="0" t="s">
        <v>989</v>
      </c>
      <c r="B187" s="0" t="s">
        <v>230</v>
      </c>
      <c r="C187" s="9" t="n">
        <f aca="false">((C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C175)</f>
        <v>0</v>
      </c>
      <c r="D187" s="9" t="n">
        <f aca="false">((D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D175)</f>
        <v>0</v>
      </c>
      <c r="E187" s="9" t="n">
        <f aca="false">((E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E175)</f>
        <v>0</v>
      </c>
      <c r="F187" s="9" t="n">
        <f aca="false">((F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F175)</f>
        <v>0</v>
      </c>
      <c r="G187" s="9" t="n">
        <f aca="false">((G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G175)</f>
        <v>0</v>
      </c>
      <c r="H187" s="9" t="n">
        <f aca="false">((H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H175)</f>
        <v>0</v>
      </c>
      <c r="I187" s="9" t="n">
        <f aca="false">((I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I175)</f>
        <v>0</v>
      </c>
      <c r="J187" s="9" t="n">
        <f aca="false">((J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J175)</f>
        <v>0</v>
      </c>
      <c r="K187" s="9" t="n">
        <f aca="false">((K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K175)</f>
        <v>0</v>
      </c>
      <c r="L187" s="9" t="n">
        <f aca="false">((L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L175)</f>
        <v>0</v>
      </c>
      <c r="M187" s="9" t="n">
        <f aca="false">((M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M175)</f>
        <v>0</v>
      </c>
      <c r="N187" s="9" t="n">
        <f aca="false">((N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N175)</f>
        <v>0</v>
      </c>
      <c r="O187" s="9" t="n">
        <f aca="false">((O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O175)</f>
        <v>11.7958569905942</v>
      </c>
      <c r="P187" s="9" t="n">
        <f aca="false">((P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P175)</f>
        <v>31.3164581884521</v>
      </c>
      <c r="Q187" s="9" t="n">
        <f aca="false">((Q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Q175)</f>
        <v>53.5772030170046</v>
      </c>
      <c r="R187" s="9" t="n">
        <f aca="false">((R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R175)</f>
        <v>77.2759957359128</v>
      </c>
      <c r="S187" s="9" t="n">
        <f aca="false">((S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S175)</f>
        <v>102.280602951782</v>
      </c>
      <c r="T187" s="9" t="n">
        <f aca="false">((T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T175)</f>
        <v>126.831544009564</v>
      </c>
      <c r="U187" s="9" t="n">
        <f aca="false">((U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U175)</f>
        <v>151.038966925629</v>
      </c>
      <c r="V187" s="9" t="n">
        <f aca="false">((V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V175)</f>
        <v>177.91660413451</v>
      </c>
      <c r="W187" s="9" t="n">
        <f aca="false">((W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W175)</f>
        <v>216.884598603432</v>
      </c>
      <c r="X187" s="9" t="n">
        <f aca="false">((X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X175)</f>
        <v>263.120917657268</v>
      </c>
      <c r="Y187" s="9" t="n">
        <f aca="false">((Y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Y175)</f>
        <v>305.204934962904</v>
      </c>
      <c r="Z187" s="9" t="n">
        <f aca="false">((Z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Z175)</f>
        <v>345.984947193616</v>
      </c>
      <c r="AA187" s="9" t="n">
        <f aca="false">((AA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A175)</f>
        <v>387.262048290626</v>
      </c>
      <c r="AB187" s="9" t="n">
        <f aca="false">((AB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B175)</f>
        <v>439.245508328574</v>
      </c>
      <c r="AC187" s="9" t="n">
        <f aca="false">((AC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C175)</f>
        <v>489.612441142872</v>
      </c>
      <c r="AD187" s="9" t="n">
        <f aca="false">((AD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D175)</f>
        <v>537.154781919414</v>
      </c>
      <c r="AE187" s="9" t="n">
        <f aca="false">((AE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E175)</f>
        <v>582.640494602443</v>
      </c>
      <c r="AF187" s="9" t="n">
        <f aca="false">((AF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F175)</f>
        <v>623.710762019244</v>
      </c>
      <c r="AG187" s="9" t="n">
        <f aca="false">((AG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G175)</f>
        <v>661.397789271894</v>
      </c>
      <c r="AH187" s="9" t="n">
        <f aca="false">((AH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H175)</f>
        <v>701.361039985362</v>
      </c>
      <c r="AI187" s="9" t="n">
        <f aca="false">((AI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I175)</f>
        <v>759.159141227196</v>
      </c>
      <c r="AJ187" s="9" t="n">
        <f aca="false">((AJ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J175)</f>
        <v>824.855785931832</v>
      </c>
      <c r="AK187" s="9" t="n">
        <f aca="false">((AK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K175)</f>
        <v>879.586858742234</v>
      </c>
      <c r="AL187" s="9" t="n">
        <f aca="false">((AL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L175)</f>
        <v>930.050347736129</v>
      </c>
      <c r="AN187" s="11" t="n">
        <f aca="false">SUM(C187:N187)</f>
        <v>0</v>
      </c>
      <c r="AO187" s="11" t="n">
        <f aca="false">SUM(O187:Z187)</f>
        <v>1863.22863037067</v>
      </c>
      <c r="AP187" s="11" t="n">
        <f aca="false">SUM(AA187:AL187)</f>
        <v>7816.03699919782</v>
      </c>
    </row>
    <row r="188" customFormat="false" ht="15" hidden="false" customHeight="false" outlineLevel="0" collapsed="false">
      <c r="A188" s="0" t="s">
        <v>990</v>
      </c>
      <c r="B188" s="0" t="s">
        <v>500</v>
      </c>
      <c r="C188" s="9" t="n">
        <f aca="false">0</f>
        <v>0</v>
      </c>
      <c r="D188" s="9" t="n">
        <f aca="false">C39</f>
        <v>0</v>
      </c>
      <c r="E188" s="9" t="n">
        <f aca="false">D39</f>
        <v>0</v>
      </c>
      <c r="F188" s="9" t="n">
        <f aca="false">E39</f>
        <v>0</v>
      </c>
      <c r="G188" s="9" t="n">
        <f aca="false">F39</f>
        <v>0</v>
      </c>
      <c r="H188" s="9" t="n">
        <f aca="false">G39</f>
        <v>0</v>
      </c>
      <c r="I188" s="9" t="n">
        <f aca="false">H39</f>
        <v>0</v>
      </c>
      <c r="J188" s="9" t="n">
        <f aca="false">I39</f>
        <v>0</v>
      </c>
      <c r="K188" s="9" t="n">
        <f aca="false">J39</f>
        <v>0</v>
      </c>
      <c r="L188" s="9" t="n">
        <f aca="false">K39</f>
        <v>0</v>
      </c>
      <c r="M188" s="9" t="n">
        <f aca="false">L39</f>
        <v>0</v>
      </c>
      <c r="N188" s="9" t="n">
        <f aca="false">M39</f>
        <v>0</v>
      </c>
      <c r="O188" s="9" t="n">
        <f aca="false">N39</f>
        <v>0</v>
      </c>
      <c r="P188" s="9" t="n">
        <f aca="false">O39</f>
        <v>4.51553935346985</v>
      </c>
      <c r="Q188" s="9" t="n">
        <f aca="false">P39</f>
        <v>14.4734471754843</v>
      </c>
      <c r="R188" s="9" t="n">
        <f aca="false">Q39</f>
        <v>28.4905865379519</v>
      </c>
      <c r="S188" s="9" t="n">
        <f aca="false">R39</f>
        <v>45.3248633047421</v>
      </c>
      <c r="T188" s="9" t="n">
        <f aca="false">S39</f>
        <v>64.2546848783808</v>
      </c>
      <c r="U188" s="9" t="n">
        <f aca="false">T39</f>
        <v>84.2176311458779</v>
      </c>
      <c r="V188" s="9" t="n">
        <f aca="false">U39</f>
        <v>104.676837357465</v>
      </c>
      <c r="W188" s="9" t="n">
        <f aca="false">V39</f>
        <v>126.492576802041</v>
      </c>
      <c r="X188" s="9" t="n">
        <f aca="false">W39</f>
        <v>153.744688133264</v>
      </c>
      <c r="Y188" s="9" t="n">
        <f aca="false">X39</f>
        <v>186.835830748726</v>
      </c>
      <c r="Z188" s="9" t="n">
        <f aca="false">Y39</f>
        <v>221.632199953236</v>
      </c>
      <c r="AA188" s="9" t="n">
        <f aca="false">Z39</f>
        <v>256.966398049017</v>
      </c>
      <c r="AB188" s="9" t="n">
        <f aca="false">AA39</f>
        <v>290.853636967864</v>
      </c>
      <c r="AC188" s="9" t="n">
        <f aca="false">AB39</f>
        <v>327.536616836069</v>
      </c>
      <c r="AD188" s="9" t="n">
        <f aca="false">AC39</f>
        <v>365.628800757854</v>
      </c>
      <c r="AE188" s="9" t="n">
        <f aca="false">AD39</f>
        <v>403.907112492085</v>
      </c>
      <c r="AF188" s="9" t="n">
        <f aca="false">AE39</f>
        <v>441.81309119352</v>
      </c>
      <c r="AG188" s="9" t="n">
        <f aca="false">AF39</f>
        <v>478.319221121352</v>
      </c>
      <c r="AH188" s="9" t="n">
        <f aca="false">AG39</f>
        <v>513.05993258998</v>
      </c>
      <c r="AI188" s="9" t="n">
        <f aca="false">AH39</f>
        <v>547.386965393128</v>
      </c>
      <c r="AJ188" s="9" t="n">
        <f aca="false">AI39</f>
        <v>586.50543767112</v>
      </c>
      <c r="AK188" s="9" t="n">
        <f aca="false">AJ39</f>
        <v>630.959292986504</v>
      </c>
      <c r="AL188" s="9" t="n">
        <f aca="false">AK39</f>
        <v>675.869190452031</v>
      </c>
      <c r="AN188" s="11" t="n">
        <f aca="false">SUM(C188:N188)</f>
        <v>0</v>
      </c>
      <c r="AO188" s="11" t="n">
        <f aca="false">SUM(O188:Z188)</f>
        <v>1034.65888539064</v>
      </c>
      <c r="AP188" s="11" t="n">
        <f aca="false">SUM(AA188:AL188)</f>
        <v>5518.80569651052</v>
      </c>
    </row>
    <row r="189" customFormat="false" ht="15" hidden="false" customHeight="false" outlineLevel="0" collapsed="false">
      <c r="A189" s="21" t="s">
        <v>31</v>
      </c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</row>
    <row r="190" customFormat="false" ht="15" hidden="false" customHeight="false" outlineLevel="0" collapsed="false">
      <c r="A190" s="0" t="s">
        <v>991</v>
      </c>
      <c r="B190" s="0" t="s">
        <v>230</v>
      </c>
      <c r="C190" s="9" t="n">
        <f aca="false">SUMPRODUCT((Headcount!$C$5:$C$90="ENG")*Headcount!$D$5:$D$90*Headcount!$F$5:$F$90*((Headcount!$I$5:$I$90=0)+(Headcount!$I$5:$I$90=1)*$C$16)*(C$18&gt;=(Headcount!$E$5:$E$90+Headcount!$G$5:$G$90*$C$15)))/12*(1+Assumptions!$C$97)</f>
        <v>41683.3333333333</v>
      </c>
      <c r="D190" s="9" t="n">
        <f aca="false">SUMPRODUCT((Headcount!$C$5:$C$90="ENG")*Headcount!$D$5:$D$90*Headcount!$F$5:$F$90*((Headcount!$I$5:$I$90=0)+(Headcount!$I$5:$I$90=1)*$C$16)*(D$18&gt;=(Headcount!$E$5:$E$90+Headcount!$G$5:$G$90*$C$15)))/12*(1+Assumptions!$C$97)</f>
        <v>41683.3333333333</v>
      </c>
      <c r="E190" s="9" t="n">
        <f aca="false">SUMPRODUCT((Headcount!$C$5:$C$90="ENG")*Headcount!$D$5:$D$90*Headcount!$F$5:$F$90*((Headcount!$I$5:$I$90=0)+(Headcount!$I$5:$I$90=1)*$C$16)*(E$18&gt;=(Headcount!$E$5:$E$90+Headcount!$G$5:$G$90*$C$15)))/12*(1+Assumptions!$C$97)</f>
        <v>41683.3333333333</v>
      </c>
      <c r="F190" s="9" t="n">
        <f aca="false">SUMPRODUCT((Headcount!$C$5:$C$90="ENG")*Headcount!$D$5:$D$90*Headcount!$F$5:$F$90*((Headcount!$I$5:$I$90=0)+(Headcount!$I$5:$I$90=1)*$C$16)*(F$18&gt;=(Headcount!$E$5:$E$90+Headcount!$G$5:$G$90*$C$15)))/12*(1+Assumptions!$C$97)</f>
        <v>41683.3333333333</v>
      </c>
      <c r="G190" s="9" t="n">
        <f aca="false">SUMPRODUCT((Headcount!$C$5:$C$90="ENG")*Headcount!$D$5:$D$90*Headcount!$F$5:$F$90*((Headcount!$I$5:$I$90=0)+(Headcount!$I$5:$I$90=1)*$C$16)*(G$18&gt;=(Headcount!$E$5:$E$90+Headcount!$G$5:$G$90*$C$15)))/12*(1+Assumptions!$C$97)</f>
        <v>57950</v>
      </c>
      <c r="H190" s="9" t="n">
        <f aca="false">SUMPRODUCT((Headcount!$C$5:$C$90="ENG")*Headcount!$D$5:$D$90*Headcount!$F$5:$F$90*((Headcount!$I$5:$I$90=0)+(Headcount!$I$5:$I$90=1)*$C$16)*(H$18&gt;=(Headcount!$E$5:$E$90+Headcount!$G$5:$G$90*$C$15)))/12*(1+Assumptions!$C$97)</f>
        <v>73200</v>
      </c>
      <c r="I190" s="9" t="n">
        <f aca="false">SUMPRODUCT((Headcount!$C$5:$C$90="ENG")*Headcount!$D$5:$D$90*Headcount!$F$5:$F$90*((Headcount!$I$5:$I$90=0)+(Headcount!$I$5:$I$90=1)*$C$16)*(I$18&gt;=(Headcount!$E$5:$E$90+Headcount!$G$5:$G$90*$C$15)))/12*(1+Assumptions!$C$97)</f>
        <v>73200</v>
      </c>
      <c r="J190" s="9" t="n">
        <f aca="false">SUMPRODUCT((Headcount!$C$5:$C$90="ENG")*Headcount!$D$5:$D$90*Headcount!$F$5:$F$90*((Headcount!$I$5:$I$90=0)+(Headcount!$I$5:$I$90=1)*$C$16)*(J$18&gt;=(Headcount!$E$5:$E$90+Headcount!$G$5:$G$90*$C$15)))/12*(1+Assumptions!$C$97)</f>
        <v>73200</v>
      </c>
      <c r="K190" s="9" t="n">
        <f aca="false">SUMPRODUCT((Headcount!$C$5:$C$90="ENG")*Headcount!$D$5:$D$90*Headcount!$F$5:$F$90*((Headcount!$I$5:$I$90=0)+(Headcount!$I$5:$I$90=1)*$C$16)*(K$18&gt;=(Headcount!$E$5:$E$90+Headcount!$G$5:$G$90*$C$15)))/12*(1+Assumptions!$C$97)</f>
        <v>87941.6666666667</v>
      </c>
      <c r="L190" s="9" t="n">
        <f aca="false">SUMPRODUCT((Headcount!$C$5:$C$90="ENG")*Headcount!$D$5:$D$90*Headcount!$F$5:$F$90*((Headcount!$I$5:$I$90=0)+(Headcount!$I$5:$I$90=1)*$C$16)*(L$18&gt;=(Headcount!$E$5:$E$90+Headcount!$G$5:$G$90*$C$15)))/12*(1+Assumptions!$C$97)</f>
        <v>87941.6666666667</v>
      </c>
      <c r="M190" s="9" t="n">
        <f aca="false">SUMPRODUCT((Headcount!$C$5:$C$90="ENG")*Headcount!$D$5:$D$90*Headcount!$F$5:$F$90*((Headcount!$I$5:$I$90=0)+(Headcount!$I$5:$I$90=1)*$C$16)*(M$18&gt;=(Headcount!$E$5:$E$90+Headcount!$G$5:$G$90*$C$15)))/12*(1+Assumptions!$C$97)</f>
        <v>87941.6666666667</v>
      </c>
      <c r="N190" s="9" t="n">
        <f aca="false">SUMPRODUCT((Headcount!$C$5:$C$90="ENG")*Headcount!$D$5:$D$90*Headcount!$F$5:$F$90*((Headcount!$I$5:$I$90=0)+(Headcount!$I$5:$I$90=1)*$C$16)*(N$18&gt;=(Headcount!$E$5:$E$90+Headcount!$G$5:$G$90*$C$15)))/12*(1+Assumptions!$C$97)</f>
        <v>87941.6666666667</v>
      </c>
      <c r="O190" s="9" t="n">
        <f aca="false">SUMPRODUCT((Headcount!$C$5:$C$90="ENG")*Headcount!$D$5:$D$90*Headcount!$F$5:$F$90*((Headcount!$I$5:$I$90=0)+(Headcount!$I$5:$I$90=1)*$C$16)*(O$18&gt;=(Headcount!$E$5:$E$90+Headcount!$G$5:$G$90*$C$15)))/12*(1+Assumptions!$C$97)</f>
        <v>103191.666666667</v>
      </c>
      <c r="P190" s="9" t="n">
        <f aca="false">SUMPRODUCT((Headcount!$C$5:$C$90="ENG")*Headcount!$D$5:$D$90*Headcount!$F$5:$F$90*((Headcount!$I$5:$I$90=0)+(Headcount!$I$5:$I$90=1)*$C$16)*(P$18&gt;=(Headcount!$E$5:$E$90+Headcount!$G$5:$G$90*$C$15)))/12*(1+Assumptions!$C$97)</f>
        <v>118441.666666667</v>
      </c>
      <c r="Q190" s="9" t="n">
        <f aca="false">SUMPRODUCT((Headcount!$C$5:$C$90="ENG")*Headcount!$D$5:$D$90*Headcount!$F$5:$F$90*((Headcount!$I$5:$I$90=0)+(Headcount!$I$5:$I$90=1)*$C$16)*(Q$18&gt;=(Headcount!$E$5:$E$90+Headcount!$G$5:$G$90*$C$15)))/12*(1+Assumptions!$C$97)</f>
        <v>118441.666666667</v>
      </c>
      <c r="R190" s="9" t="n">
        <f aca="false">SUMPRODUCT((Headcount!$C$5:$C$90="ENG")*Headcount!$D$5:$D$90*Headcount!$F$5:$F$90*((Headcount!$I$5:$I$90=0)+(Headcount!$I$5:$I$90=1)*$C$16)*(R$18&gt;=(Headcount!$E$5:$E$90+Headcount!$G$5:$G$90*$C$15)))/12*(1+Assumptions!$C$97)</f>
        <v>118441.666666667</v>
      </c>
      <c r="S190" s="9" t="n">
        <f aca="false">SUMPRODUCT((Headcount!$C$5:$C$90="ENG")*Headcount!$D$5:$D$90*Headcount!$F$5:$F$90*((Headcount!$I$5:$I$90=0)+(Headcount!$I$5:$I$90=1)*$C$16)*(S$18&gt;=(Headcount!$E$5:$E$90+Headcount!$G$5:$G$90*$C$15)))/12*(1+Assumptions!$C$97)</f>
        <v>118441.666666667</v>
      </c>
      <c r="T190" s="9" t="n">
        <f aca="false">SUMPRODUCT((Headcount!$C$5:$C$90="ENG")*Headcount!$D$5:$D$90*Headcount!$F$5:$F$90*((Headcount!$I$5:$I$90=0)+(Headcount!$I$5:$I$90=1)*$C$16)*(T$18&gt;=(Headcount!$E$5:$E$90+Headcount!$G$5:$G$90*$C$15)))/12*(1+Assumptions!$C$97)</f>
        <v>118441.666666667</v>
      </c>
      <c r="U190" s="9" t="n">
        <f aca="false">SUMPRODUCT((Headcount!$C$5:$C$90="ENG")*Headcount!$D$5:$D$90*Headcount!$F$5:$F$90*((Headcount!$I$5:$I$90=0)+(Headcount!$I$5:$I$90=1)*$C$16)*(U$18&gt;=(Headcount!$E$5:$E$90+Headcount!$G$5:$G$90*$C$15)))/12*(1+Assumptions!$C$97)</f>
        <v>118441.666666667</v>
      </c>
      <c r="V190" s="9" t="n">
        <f aca="false">SUMPRODUCT((Headcount!$C$5:$C$90="ENG")*Headcount!$D$5:$D$90*Headcount!$F$5:$F$90*((Headcount!$I$5:$I$90=0)+(Headcount!$I$5:$I$90=1)*$C$16)*(V$18&gt;=(Headcount!$E$5:$E$90+Headcount!$G$5:$G$90*$C$15)))/12*(1+Assumptions!$C$97)</f>
        <v>129625</v>
      </c>
      <c r="W190" s="9" t="n">
        <f aca="false">SUMPRODUCT((Headcount!$C$5:$C$90="ENG")*Headcount!$D$5:$D$90*Headcount!$F$5:$F$90*((Headcount!$I$5:$I$90=0)+(Headcount!$I$5:$I$90=1)*$C$16)*(W$18&gt;=(Headcount!$E$5:$E$90+Headcount!$G$5:$G$90*$C$15)))/12*(1+Assumptions!$C$97)</f>
        <v>129625</v>
      </c>
      <c r="X190" s="9" t="n">
        <f aca="false">SUMPRODUCT((Headcount!$C$5:$C$90="ENG")*Headcount!$D$5:$D$90*Headcount!$F$5:$F$90*((Headcount!$I$5:$I$90=0)+(Headcount!$I$5:$I$90=1)*$C$16)*(X$18&gt;=(Headcount!$E$5:$E$90+Headcount!$G$5:$G$90*$C$15)))/12*(1+Assumptions!$C$97)</f>
        <v>129625</v>
      </c>
      <c r="Y190" s="9" t="n">
        <f aca="false">SUMPRODUCT((Headcount!$C$5:$C$90="ENG")*Headcount!$D$5:$D$90*Headcount!$F$5:$F$90*((Headcount!$I$5:$I$90=0)+(Headcount!$I$5:$I$90=1)*$C$16)*(Y$18&gt;=(Headcount!$E$5:$E$90+Headcount!$G$5:$G$90*$C$15)))/12*(1+Assumptions!$C$97)</f>
        <v>129625</v>
      </c>
      <c r="Z190" s="9" t="n">
        <f aca="false">SUMPRODUCT((Headcount!$C$5:$C$90="ENG")*Headcount!$D$5:$D$90*Headcount!$F$5:$F$90*((Headcount!$I$5:$I$90=0)+(Headcount!$I$5:$I$90=1)*$C$16)*(Z$18&gt;=(Headcount!$E$5:$E$90+Headcount!$G$5:$G$90*$C$15)))/12*(1+Assumptions!$C$97)</f>
        <v>129625</v>
      </c>
      <c r="AA190" s="9" t="n">
        <f aca="false">SUMPRODUCT((Headcount!$C$5:$C$90="ENG")*Headcount!$D$5:$D$90*Headcount!$F$5:$F$90*((Headcount!$I$5:$I$90=0)+(Headcount!$I$5:$I$90=1)*$C$16)*(AA$18&gt;=(Headcount!$E$5:$E$90+Headcount!$G$5:$G$90*$C$15)))/12*(1+Assumptions!$C$97)</f>
        <v>129625</v>
      </c>
      <c r="AB190" s="9" t="n">
        <f aca="false">SUMPRODUCT((Headcount!$C$5:$C$90="ENG")*Headcount!$D$5:$D$90*Headcount!$F$5:$F$90*((Headcount!$I$5:$I$90=0)+(Headcount!$I$5:$I$90=1)*$C$16)*(AB$18&gt;=(Headcount!$E$5:$E$90+Headcount!$G$5:$G$90*$C$15)))/12*(1+Assumptions!$C$97)</f>
        <v>144875</v>
      </c>
      <c r="AC190" s="9" t="n">
        <f aca="false">SUMPRODUCT((Headcount!$C$5:$C$90="ENG")*Headcount!$D$5:$D$90*Headcount!$F$5:$F$90*((Headcount!$I$5:$I$90=0)+(Headcount!$I$5:$I$90=1)*$C$16)*(AC$18&gt;=(Headcount!$E$5:$E$90+Headcount!$G$5:$G$90*$C$15)))/12*(1+Assumptions!$C$97)</f>
        <v>144875</v>
      </c>
      <c r="AD190" s="9" t="n">
        <f aca="false">SUMPRODUCT((Headcount!$C$5:$C$90="ENG")*Headcount!$D$5:$D$90*Headcount!$F$5:$F$90*((Headcount!$I$5:$I$90=0)+(Headcount!$I$5:$I$90=1)*$C$16)*(AD$18&gt;=(Headcount!$E$5:$E$90+Headcount!$G$5:$G$90*$C$15)))/12*(1+Assumptions!$C$97)</f>
        <v>144875</v>
      </c>
      <c r="AE190" s="9" t="n">
        <f aca="false">SUMPRODUCT((Headcount!$C$5:$C$90="ENG")*Headcount!$D$5:$D$90*Headcount!$F$5:$F$90*((Headcount!$I$5:$I$90=0)+(Headcount!$I$5:$I$90=1)*$C$16)*(AE$18&gt;=(Headcount!$E$5:$E$90+Headcount!$G$5:$G$90*$C$15)))/12*(1+Assumptions!$C$97)</f>
        <v>144875</v>
      </c>
      <c r="AF190" s="9" t="n">
        <f aca="false">SUMPRODUCT((Headcount!$C$5:$C$90="ENG")*Headcount!$D$5:$D$90*Headcount!$F$5:$F$90*((Headcount!$I$5:$I$90=0)+(Headcount!$I$5:$I$90=1)*$C$16)*(AF$18&gt;=(Headcount!$E$5:$E$90+Headcount!$G$5:$G$90*$C$15)))/12*(1+Assumptions!$C$97)</f>
        <v>144875</v>
      </c>
      <c r="AG190" s="9" t="n">
        <f aca="false">SUMPRODUCT((Headcount!$C$5:$C$90="ENG")*Headcount!$D$5:$D$90*Headcount!$F$5:$F$90*((Headcount!$I$5:$I$90=0)+(Headcount!$I$5:$I$90=1)*$C$16)*(AG$18&gt;=(Headcount!$E$5:$E$90+Headcount!$G$5:$G$90*$C$15)))/12*(1+Assumptions!$C$97)</f>
        <v>144875</v>
      </c>
      <c r="AH190" s="9" t="n">
        <f aca="false">SUMPRODUCT((Headcount!$C$5:$C$90="ENG")*Headcount!$D$5:$D$90*Headcount!$F$5:$F$90*((Headcount!$I$5:$I$90=0)+(Headcount!$I$5:$I$90=1)*$C$16)*(AH$18&gt;=(Headcount!$E$5:$E$90+Headcount!$G$5:$G$90*$C$15)))/12*(1+Assumptions!$C$97)</f>
        <v>144875</v>
      </c>
      <c r="AI190" s="9" t="n">
        <f aca="false">SUMPRODUCT((Headcount!$C$5:$C$90="ENG")*Headcount!$D$5:$D$90*Headcount!$F$5:$F$90*((Headcount!$I$5:$I$90=0)+(Headcount!$I$5:$I$90=1)*$C$16)*(AI$18&gt;=(Headcount!$E$5:$E$90+Headcount!$G$5:$G$90*$C$15)))/12*(1+Assumptions!$C$97)</f>
        <v>144875</v>
      </c>
      <c r="AJ190" s="9" t="n">
        <f aca="false">SUMPRODUCT((Headcount!$C$5:$C$90="ENG")*Headcount!$D$5:$D$90*Headcount!$F$5:$F$90*((Headcount!$I$5:$I$90=0)+(Headcount!$I$5:$I$90=1)*$C$16)*(AJ$18&gt;=(Headcount!$E$5:$E$90+Headcount!$G$5:$G$90*$C$15)))/12*(1+Assumptions!$C$97)</f>
        <v>144875</v>
      </c>
      <c r="AK190" s="9" t="n">
        <f aca="false">SUMPRODUCT((Headcount!$C$5:$C$90="ENG")*Headcount!$D$5:$D$90*Headcount!$F$5:$F$90*((Headcount!$I$5:$I$90=0)+(Headcount!$I$5:$I$90=1)*$C$16)*(AK$18&gt;=(Headcount!$E$5:$E$90+Headcount!$G$5:$G$90*$C$15)))/12*(1+Assumptions!$C$97)</f>
        <v>144875</v>
      </c>
      <c r="AL190" s="9" t="n">
        <f aca="false">SUMPRODUCT((Headcount!$C$5:$C$90="ENG")*Headcount!$D$5:$D$90*Headcount!$F$5:$F$90*((Headcount!$I$5:$I$90=0)+(Headcount!$I$5:$I$90=1)*$C$16)*(AL$18&gt;=(Headcount!$E$5:$E$90+Headcount!$G$5:$G$90*$C$15)))/12*(1+Assumptions!$C$97)</f>
        <v>144875</v>
      </c>
      <c r="AN190" s="11" t="n">
        <f aca="false">SUM(C190:N190)</f>
        <v>796050</v>
      </c>
      <c r="AO190" s="11" t="n">
        <f aca="false">SUM(O190:Z190)</f>
        <v>1461966.66666667</v>
      </c>
      <c r="AP190" s="11" t="n">
        <f aca="false">SUM(AA190:AL190)</f>
        <v>1723250</v>
      </c>
    </row>
    <row r="191" customFormat="false" ht="15" hidden="false" customHeight="false" outlineLevel="0" collapsed="false">
      <c r="A191" s="0" t="s">
        <v>992</v>
      </c>
      <c r="B191" s="0" t="s">
        <v>230</v>
      </c>
      <c r="C191" s="9" t="n">
        <f aca="false">SUMPRODUCT((Headcount!$C$5:$C$90="PROD")*Headcount!$D$5:$D$90*Headcount!$F$5:$F$90*((Headcount!$I$5:$I$90=0)+(Headcount!$I$5:$I$90=1)*$C$16)*(C$18&gt;=(Headcount!$E$5:$E$90+Headcount!$G$5:$G$90*$C$15)))/12*(1+Assumptions!$C$97)</f>
        <v>0</v>
      </c>
      <c r="D191" s="9" t="n">
        <f aca="false">SUMPRODUCT((Headcount!$C$5:$C$90="PROD")*Headcount!$D$5:$D$90*Headcount!$F$5:$F$90*((Headcount!$I$5:$I$90=0)+(Headcount!$I$5:$I$90=1)*$C$16)*(D$18&gt;=(Headcount!$E$5:$E$90+Headcount!$G$5:$G$90*$C$15)))/12*(1+Assumptions!$C$97)</f>
        <v>0</v>
      </c>
      <c r="E191" s="9" t="n">
        <f aca="false">SUMPRODUCT((Headcount!$C$5:$C$90="PROD")*Headcount!$D$5:$D$90*Headcount!$F$5:$F$90*((Headcount!$I$5:$I$90=0)+(Headcount!$I$5:$I$90=1)*$C$16)*(E$18&gt;=(Headcount!$E$5:$E$90+Headcount!$G$5:$G$90*$C$15)))/12*(1+Assumptions!$C$97)</f>
        <v>13216.6666666667</v>
      </c>
      <c r="F191" s="9" t="n">
        <f aca="false">SUMPRODUCT((Headcount!$C$5:$C$90="PROD")*Headcount!$D$5:$D$90*Headcount!$F$5:$F$90*((Headcount!$I$5:$I$90=0)+(Headcount!$I$5:$I$90=1)*$C$16)*(F$18&gt;=(Headcount!$E$5:$E$90+Headcount!$G$5:$G$90*$C$15)))/12*(1+Assumptions!$C$97)</f>
        <v>27450</v>
      </c>
      <c r="G191" s="9" t="n">
        <f aca="false">SUMPRODUCT((Headcount!$C$5:$C$90="PROD")*Headcount!$D$5:$D$90*Headcount!$F$5:$F$90*((Headcount!$I$5:$I$90=0)+(Headcount!$I$5:$I$90=1)*$C$16)*(G$18&gt;=(Headcount!$E$5:$E$90+Headcount!$G$5:$G$90*$C$15)))/12*(1+Assumptions!$C$97)</f>
        <v>27450</v>
      </c>
      <c r="H191" s="9" t="n">
        <f aca="false">SUMPRODUCT((Headcount!$C$5:$C$90="PROD")*Headcount!$D$5:$D$90*Headcount!$F$5:$F$90*((Headcount!$I$5:$I$90=0)+(Headcount!$I$5:$I$90=1)*$C$16)*(H$18&gt;=(Headcount!$E$5:$E$90+Headcount!$G$5:$G$90*$C$15)))/12*(1+Assumptions!$C$97)</f>
        <v>27450</v>
      </c>
      <c r="I191" s="9" t="n">
        <f aca="false">SUMPRODUCT((Headcount!$C$5:$C$90="PROD")*Headcount!$D$5:$D$90*Headcount!$F$5:$F$90*((Headcount!$I$5:$I$90=0)+(Headcount!$I$5:$I$90=1)*$C$16)*(I$18&gt;=(Headcount!$E$5:$E$90+Headcount!$G$5:$G$90*$C$15)))/12*(1+Assumptions!$C$97)</f>
        <v>27450</v>
      </c>
      <c r="J191" s="9" t="n">
        <f aca="false">SUMPRODUCT((Headcount!$C$5:$C$90="PROD")*Headcount!$D$5:$D$90*Headcount!$F$5:$F$90*((Headcount!$I$5:$I$90=0)+(Headcount!$I$5:$I$90=1)*$C$16)*(J$18&gt;=(Headcount!$E$5:$E$90+Headcount!$G$5:$G$90*$C$15)))/12*(1+Assumptions!$C$97)</f>
        <v>27450</v>
      </c>
      <c r="K191" s="9" t="n">
        <f aca="false">SUMPRODUCT((Headcount!$C$5:$C$90="PROD")*Headcount!$D$5:$D$90*Headcount!$F$5:$F$90*((Headcount!$I$5:$I$90=0)+(Headcount!$I$5:$I$90=1)*$C$16)*(K$18&gt;=(Headcount!$E$5:$E$90+Headcount!$G$5:$G$90*$C$15)))/12*(1+Assumptions!$C$97)</f>
        <v>27450</v>
      </c>
      <c r="L191" s="9" t="n">
        <f aca="false">SUMPRODUCT((Headcount!$C$5:$C$90="PROD")*Headcount!$D$5:$D$90*Headcount!$F$5:$F$90*((Headcount!$I$5:$I$90=0)+(Headcount!$I$5:$I$90=1)*$C$16)*(L$18&gt;=(Headcount!$E$5:$E$90+Headcount!$G$5:$G$90*$C$15)))/12*(1+Assumptions!$C$97)</f>
        <v>39141.6666666667</v>
      </c>
      <c r="M191" s="9" t="n">
        <f aca="false">SUMPRODUCT((Headcount!$C$5:$C$90="PROD")*Headcount!$D$5:$D$90*Headcount!$F$5:$F$90*((Headcount!$I$5:$I$90=0)+(Headcount!$I$5:$I$90=1)*$C$16)*(M$18&gt;=(Headcount!$E$5:$E$90+Headcount!$G$5:$G$90*$C$15)))/12*(1+Assumptions!$C$97)</f>
        <v>39141.6666666667</v>
      </c>
      <c r="N191" s="9" t="n">
        <f aca="false">SUMPRODUCT((Headcount!$C$5:$C$90="PROD")*Headcount!$D$5:$D$90*Headcount!$F$5:$F$90*((Headcount!$I$5:$I$90=0)+(Headcount!$I$5:$I$90=1)*$C$16)*(N$18&gt;=(Headcount!$E$5:$E$90+Headcount!$G$5:$G$90*$C$15)))/12*(1+Assumptions!$C$97)</f>
        <v>39141.6666666667</v>
      </c>
      <c r="O191" s="9" t="n">
        <f aca="false">SUMPRODUCT((Headcount!$C$5:$C$90="PROD")*Headcount!$D$5:$D$90*Headcount!$F$5:$F$90*((Headcount!$I$5:$I$90=0)+(Headcount!$I$5:$I$90=1)*$C$16)*(O$18&gt;=(Headcount!$E$5:$E$90+Headcount!$G$5:$G$90*$C$15)))/12*(1+Assumptions!$C$97)</f>
        <v>39141.6666666667</v>
      </c>
      <c r="P191" s="9" t="n">
        <f aca="false">SUMPRODUCT((Headcount!$C$5:$C$90="PROD")*Headcount!$D$5:$D$90*Headcount!$F$5:$F$90*((Headcount!$I$5:$I$90=0)+(Headcount!$I$5:$I$90=1)*$C$16)*(P$18&gt;=(Headcount!$E$5:$E$90+Headcount!$G$5:$G$90*$C$15)))/12*(1+Assumptions!$C$97)</f>
        <v>39141.6666666667</v>
      </c>
      <c r="Q191" s="9" t="n">
        <f aca="false">SUMPRODUCT((Headcount!$C$5:$C$90="PROD")*Headcount!$D$5:$D$90*Headcount!$F$5:$F$90*((Headcount!$I$5:$I$90=0)+(Headcount!$I$5:$I$90=1)*$C$16)*(Q$18&gt;=(Headcount!$E$5:$E$90+Headcount!$G$5:$G$90*$C$15)))/12*(1+Assumptions!$C$97)</f>
        <v>39141.6666666667</v>
      </c>
      <c r="R191" s="9" t="n">
        <f aca="false">SUMPRODUCT((Headcount!$C$5:$C$90="PROD")*Headcount!$D$5:$D$90*Headcount!$F$5:$F$90*((Headcount!$I$5:$I$90=0)+(Headcount!$I$5:$I$90=1)*$C$16)*(R$18&gt;=(Headcount!$E$5:$E$90+Headcount!$G$5:$G$90*$C$15)))/12*(1+Assumptions!$C$97)</f>
        <v>39141.6666666667</v>
      </c>
      <c r="S191" s="9" t="n">
        <f aca="false">SUMPRODUCT((Headcount!$C$5:$C$90="PROD")*Headcount!$D$5:$D$90*Headcount!$F$5:$F$90*((Headcount!$I$5:$I$90=0)+(Headcount!$I$5:$I$90=1)*$C$16)*(S$18&gt;=(Headcount!$E$5:$E$90+Headcount!$G$5:$G$90*$C$15)))/12*(1+Assumptions!$C$97)</f>
        <v>39141.6666666667</v>
      </c>
      <c r="T191" s="9" t="n">
        <f aca="false">SUMPRODUCT((Headcount!$C$5:$C$90="PROD")*Headcount!$D$5:$D$90*Headcount!$F$5:$F$90*((Headcount!$I$5:$I$90=0)+(Headcount!$I$5:$I$90=1)*$C$16)*(T$18&gt;=(Headcount!$E$5:$E$90+Headcount!$G$5:$G$90*$C$15)))/12*(1+Assumptions!$C$97)</f>
        <v>39141.6666666667</v>
      </c>
      <c r="U191" s="9" t="n">
        <f aca="false">SUMPRODUCT((Headcount!$C$5:$C$90="PROD")*Headcount!$D$5:$D$90*Headcount!$F$5:$F$90*((Headcount!$I$5:$I$90=0)+(Headcount!$I$5:$I$90=1)*$C$16)*(U$18&gt;=(Headcount!$E$5:$E$90+Headcount!$G$5:$G$90*$C$15)))/12*(1+Assumptions!$C$97)</f>
        <v>39141.6666666667</v>
      </c>
      <c r="V191" s="9" t="n">
        <f aca="false">SUMPRODUCT((Headcount!$C$5:$C$90="PROD")*Headcount!$D$5:$D$90*Headcount!$F$5:$F$90*((Headcount!$I$5:$I$90=0)+(Headcount!$I$5:$I$90=1)*$C$16)*(V$18&gt;=(Headcount!$E$5:$E$90+Headcount!$G$5:$G$90*$C$15)))/12*(1+Assumptions!$C$97)</f>
        <v>39141.6666666667</v>
      </c>
      <c r="W191" s="9" t="n">
        <f aca="false">SUMPRODUCT((Headcount!$C$5:$C$90="PROD")*Headcount!$D$5:$D$90*Headcount!$F$5:$F$90*((Headcount!$I$5:$I$90=0)+(Headcount!$I$5:$I$90=1)*$C$16)*(W$18&gt;=(Headcount!$E$5:$E$90+Headcount!$G$5:$G$90*$C$15)))/12*(1+Assumptions!$C$97)</f>
        <v>39141.6666666667</v>
      </c>
      <c r="X191" s="9" t="n">
        <f aca="false">SUMPRODUCT((Headcount!$C$5:$C$90="PROD")*Headcount!$D$5:$D$90*Headcount!$F$5:$F$90*((Headcount!$I$5:$I$90=0)+(Headcount!$I$5:$I$90=1)*$C$16)*(X$18&gt;=(Headcount!$E$5:$E$90+Headcount!$G$5:$G$90*$C$15)))/12*(1+Assumptions!$C$97)</f>
        <v>39141.6666666667</v>
      </c>
      <c r="Y191" s="9" t="n">
        <f aca="false">SUMPRODUCT((Headcount!$C$5:$C$90="PROD")*Headcount!$D$5:$D$90*Headcount!$F$5:$F$90*((Headcount!$I$5:$I$90=0)+(Headcount!$I$5:$I$90=1)*$C$16)*(Y$18&gt;=(Headcount!$E$5:$E$90+Headcount!$G$5:$G$90*$C$15)))/12*(1+Assumptions!$C$97)</f>
        <v>39141.6666666667</v>
      </c>
      <c r="Z191" s="9" t="n">
        <f aca="false">SUMPRODUCT((Headcount!$C$5:$C$90="PROD")*Headcount!$D$5:$D$90*Headcount!$F$5:$F$90*((Headcount!$I$5:$I$90=0)+(Headcount!$I$5:$I$90=1)*$C$16)*(Z$18&gt;=(Headcount!$E$5:$E$90+Headcount!$G$5:$G$90*$C$15)))/12*(1+Assumptions!$C$97)</f>
        <v>39141.6666666667</v>
      </c>
      <c r="AA191" s="9" t="n">
        <f aca="false">SUMPRODUCT((Headcount!$C$5:$C$90="PROD")*Headcount!$D$5:$D$90*Headcount!$F$5:$F$90*((Headcount!$I$5:$I$90=0)+(Headcount!$I$5:$I$90=1)*$C$16)*(AA$18&gt;=(Headcount!$E$5:$E$90+Headcount!$G$5:$G$90*$C$15)))/12*(1+Assumptions!$C$97)</f>
        <v>39141.6666666667</v>
      </c>
      <c r="AB191" s="9" t="n">
        <f aca="false">SUMPRODUCT((Headcount!$C$5:$C$90="PROD")*Headcount!$D$5:$D$90*Headcount!$F$5:$F$90*((Headcount!$I$5:$I$90=0)+(Headcount!$I$5:$I$90=1)*$C$16)*(AB$18&gt;=(Headcount!$E$5:$E$90+Headcount!$G$5:$G$90*$C$15)))/12*(1+Assumptions!$C$97)</f>
        <v>39141.6666666667</v>
      </c>
      <c r="AC191" s="9" t="n">
        <f aca="false">SUMPRODUCT((Headcount!$C$5:$C$90="PROD")*Headcount!$D$5:$D$90*Headcount!$F$5:$F$90*((Headcount!$I$5:$I$90=0)+(Headcount!$I$5:$I$90=1)*$C$16)*(AC$18&gt;=(Headcount!$E$5:$E$90+Headcount!$G$5:$G$90*$C$15)))/12*(1+Assumptions!$C$97)</f>
        <v>39141.6666666667</v>
      </c>
      <c r="AD191" s="9" t="n">
        <f aca="false">SUMPRODUCT((Headcount!$C$5:$C$90="PROD")*Headcount!$D$5:$D$90*Headcount!$F$5:$F$90*((Headcount!$I$5:$I$90=0)+(Headcount!$I$5:$I$90=1)*$C$16)*(AD$18&gt;=(Headcount!$E$5:$E$90+Headcount!$G$5:$G$90*$C$15)))/12*(1+Assumptions!$C$97)</f>
        <v>39141.6666666667</v>
      </c>
      <c r="AE191" s="9" t="n">
        <f aca="false">SUMPRODUCT((Headcount!$C$5:$C$90="PROD")*Headcount!$D$5:$D$90*Headcount!$F$5:$F$90*((Headcount!$I$5:$I$90=0)+(Headcount!$I$5:$I$90=1)*$C$16)*(AE$18&gt;=(Headcount!$E$5:$E$90+Headcount!$G$5:$G$90*$C$15)))/12*(1+Assumptions!$C$97)</f>
        <v>39141.6666666667</v>
      </c>
      <c r="AF191" s="9" t="n">
        <f aca="false">SUMPRODUCT((Headcount!$C$5:$C$90="PROD")*Headcount!$D$5:$D$90*Headcount!$F$5:$F$90*((Headcount!$I$5:$I$90=0)+(Headcount!$I$5:$I$90=1)*$C$16)*(AF$18&gt;=(Headcount!$E$5:$E$90+Headcount!$G$5:$G$90*$C$15)))/12*(1+Assumptions!$C$97)</f>
        <v>39141.6666666667</v>
      </c>
      <c r="AG191" s="9" t="n">
        <f aca="false">SUMPRODUCT((Headcount!$C$5:$C$90="PROD")*Headcount!$D$5:$D$90*Headcount!$F$5:$F$90*((Headcount!$I$5:$I$90=0)+(Headcount!$I$5:$I$90=1)*$C$16)*(AG$18&gt;=(Headcount!$E$5:$E$90+Headcount!$G$5:$G$90*$C$15)))/12*(1+Assumptions!$C$97)</f>
        <v>39141.6666666667</v>
      </c>
      <c r="AH191" s="9" t="n">
        <f aca="false">SUMPRODUCT((Headcount!$C$5:$C$90="PROD")*Headcount!$D$5:$D$90*Headcount!$F$5:$F$90*((Headcount!$I$5:$I$90=0)+(Headcount!$I$5:$I$90=1)*$C$16)*(AH$18&gt;=(Headcount!$E$5:$E$90+Headcount!$G$5:$G$90*$C$15)))/12*(1+Assumptions!$C$97)</f>
        <v>39141.6666666667</v>
      </c>
      <c r="AI191" s="9" t="n">
        <f aca="false">SUMPRODUCT((Headcount!$C$5:$C$90="PROD")*Headcount!$D$5:$D$90*Headcount!$F$5:$F$90*((Headcount!$I$5:$I$90=0)+(Headcount!$I$5:$I$90=1)*$C$16)*(AI$18&gt;=(Headcount!$E$5:$E$90+Headcount!$G$5:$G$90*$C$15)))/12*(1+Assumptions!$C$97)</f>
        <v>39141.6666666667</v>
      </c>
      <c r="AJ191" s="9" t="n">
        <f aca="false">SUMPRODUCT((Headcount!$C$5:$C$90="PROD")*Headcount!$D$5:$D$90*Headcount!$F$5:$F$90*((Headcount!$I$5:$I$90=0)+(Headcount!$I$5:$I$90=1)*$C$16)*(AJ$18&gt;=(Headcount!$E$5:$E$90+Headcount!$G$5:$G$90*$C$15)))/12*(1+Assumptions!$C$97)</f>
        <v>39141.6666666667</v>
      </c>
      <c r="AK191" s="9" t="n">
        <f aca="false">SUMPRODUCT((Headcount!$C$5:$C$90="PROD")*Headcount!$D$5:$D$90*Headcount!$F$5:$F$90*((Headcount!$I$5:$I$90=0)+(Headcount!$I$5:$I$90=1)*$C$16)*(AK$18&gt;=(Headcount!$E$5:$E$90+Headcount!$G$5:$G$90*$C$15)))/12*(1+Assumptions!$C$97)</f>
        <v>39141.6666666667</v>
      </c>
      <c r="AL191" s="9" t="n">
        <f aca="false">SUMPRODUCT((Headcount!$C$5:$C$90="PROD")*Headcount!$D$5:$D$90*Headcount!$F$5:$F$90*((Headcount!$I$5:$I$90=0)+(Headcount!$I$5:$I$90=1)*$C$16)*(AL$18&gt;=(Headcount!$E$5:$E$90+Headcount!$G$5:$G$90*$C$15)))/12*(1+Assumptions!$C$97)</f>
        <v>39141.6666666667</v>
      </c>
      <c r="AN191" s="11" t="n">
        <f aca="false">SUM(C191:N191)</f>
        <v>295341.666666667</v>
      </c>
      <c r="AO191" s="11" t="n">
        <f aca="false">SUM(O191:Z191)</f>
        <v>469700</v>
      </c>
      <c r="AP191" s="11" t="n">
        <f aca="false">SUM(AA191:AL191)</f>
        <v>469700</v>
      </c>
    </row>
    <row r="192" customFormat="false" ht="15" hidden="false" customHeight="false" outlineLevel="0" collapsed="false">
      <c r="A192" s="0" t="s">
        <v>993</v>
      </c>
      <c r="B192" s="0" t="s">
        <v>230</v>
      </c>
      <c r="C192" s="9" t="n">
        <f aca="false">SUMPRODUCT((Headcount!$C$5:$C$90="SEC")*Headcount!$D$5:$D$90*Headcount!$F$5:$F$90*((Headcount!$I$5:$I$90=0)+(Headcount!$I$5:$I$90=1)*$C$16)*(C$18&gt;=(Headcount!$E$5:$E$90+Headcount!$G$5:$G$90*$C$15)))/12*(1+Assumptions!$C$97)</f>
        <v>0</v>
      </c>
      <c r="D192" s="9" t="n">
        <f aca="false">SUMPRODUCT((Headcount!$C$5:$C$90="SEC")*Headcount!$D$5:$D$90*Headcount!$F$5:$F$90*((Headcount!$I$5:$I$90=0)+(Headcount!$I$5:$I$90=1)*$C$16)*(D$18&gt;=(Headcount!$E$5:$E$90+Headcount!$G$5:$G$90*$C$15)))/12*(1+Assumptions!$C$97)</f>
        <v>0</v>
      </c>
      <c r="E192" s="9" t="n">
        <f aca="false">SUMPRODUCT((Headcount!$C$5:$C$90="SEC")*Headcount!$D$5:$D$90*Headcount!$F$5:$F$90*((Headcount!$I$5:$I$90=0)+(Headcount!$I$5:$I$90=1)*$C$16)*(E$18&gt;=(Headcount!$E$5:$E$90+Headcount!$G$5:$G$90*$C$15)))/12*(1+Assumptions!$C$97)</f>
        <v>0</v>
      </c>
      <c r="F192" s="9" t="n">
        <f aca="false">SUMPRODUCT((Headcount!$C$5:$C$90="SEC")*Headcount!$D$5:$D$90*Headcount!$F$5:$F$90*((Headcount!$I$5:$I$90=0)+(Headcount!$I$5:$I$90=1)*$C$16)*(F$18&gt;=(Headcount!$E$5:$E$90+Headcount!$G$5:$G$90*$C$15)))/12*(1+Assumptions!$C$97)</f>
        <v>0</v>
      </c>
      <c r="G192" s="9" t="n">
        <f aca="false">SUMPRODUCT((Headcount!$C$5:$C$90="SEC")*Headcount!$D$5:$D$90*Headcount!$F$5:$F$90*((Headcount!$I$5:$I$90=0)+(Headcount!$I$5:$I$90=1)*$C$16)*(G$18&gt;=(Headcount!$E$5:$E$90+Headcount!$G$5:$G$90*$C$15)))/12*(1+Assumptions!$C$97)</f>
        <v>0</v>
      </c>
      <c r="H192" s="9" t="n">
        <f aca="false">SUMPRODUCT((Headcount!$C$5:$C$90="SEC")*Headcount!$D$5:$D$90*Headcount!$F$5:$F$90*((Headcount!$I$5:$I$90=0)+(Headcount!$I$5:$I$90=1)*$C$16)*(H$18&gt;=(Headcount!$E$5:$E$90+Headcount!$G$5:$G$90*$C$15)))/12*(1+Assumptions!$C$97)</f>
        <v>0</v>
      </c>
      <c r="I192" s="9" t="n">
        <f aca="false">SUMPRODUCT((Headcount!$C$5:$C$90="SEC")*Headcount!$D$5:$D$90*Headcount!$F$5:$F$90*((Headcount!$I$5:$I$90=0)+(Headcount!$I$5:$I$90=1)*$C$16)*(I$18&gt;=(Headcount!$E$5:$E$90+Headcount!$G$5:$G$90*$C$15)))/12*(1+Assumptions!$C$97)</f>
        <v>15250</v>
      </c>
      <c r="J192" s="9" t="n">
        <f aca="false">SUMPRODUCT((Headcount!$C$5:$C$90="SEC")*Headcount!$D$5:$D$90*Headcount!$F$5:$F$90*((Headcount!$I$5:$I$90=0)+(Headcount!$I$5:$I$90=1)*$C$16)*(J$18&gt;=(Headcount!$E$5:$E$90+Headcount!$G$5:$G$90*$C$15)))/12*(1+Assumptions!$C$97)</f>
        <v>15250</v>
      </c>
      <c r="K192" s="9" t="n">
        <f aca="false">SUMPRODUCT((Headcount!$C$5:$C$90="SEC")*Headcount!$D$5:$D$90*Headcount!$F$5:$F$90*((Headcount!$I$5:$I$90=0)+(Headcount!$I$5:$I$90=1)*$C$16)*(K$18&gt;=(Headcount!$E$5:$E$90+Headcount!$G$5:$G$90*$C$15)))/12*(1+Assumptions!$C$97)</f>
        <v>15250</v>
      </c>
      <c r="L192" s="9" t="n">
        <f aca="false">SUMPRODUCT((Headcount!$C$5:$C$90="SEC")*Headcount!$D$5:$D$90*Headcount!$F$5:$F$90*((Headcount!$I$5:$I$90=0)+(Headcount!$I$5:$I$90=1)*$C$16)*(L$18&gt;=(Headcount!$E$5:$E$90+Headcount!$G$5:$G$90*$C$15)))/12*(1+Assumptions!$C$97)</f>
        <v>15250</v>
      </c>
      <c r="M192" s="9" t="n">
        <f aca="false">SUMPRODUCT((Headcount!$C$5:$C$90="SEC")*Headcount!$D$5:$D$90*Headcount!$F$5:$F$90*((Headcount!$I$5:$I$90=0)+(Headcount!$I$5:$I$90=1)*$C$16)*(M$18&gt;=(Headcount!$E$5:$E$90+Headcount!$G$5:$G$90*$C$15)))/12*(1+Assumptions!$C$97)</f>
        <v>15250</v>
      </c>
      <c r="N192" s="9" t="n">
        <f aca="false">SUMPRODUCT((Headcount!$C$5:$C$90="SEC")*Headcount!$D$5:$D$90*Headcount!$F$5:$F$90*((Headcount!$I$5:$I$90=0)+(Headcount!$I$5:$I$90=1)*$C$16)*(N$18&gt;=(Headcount!$E$5:$E$90+Headcount!$G$5:$G$90*$C$15)))/12*(1+Assumptions!$C$97)</f>
        <v>15250</v>
      </c>
      <c r="O192" s="9" t="n">
        <f aca="false">SUMPRODUCT((Headcount!$C$5:$C$90="SEC")*Headcount!$D$5:$D$90*Headcount!$F$5:$F$90*((Headcount!$I$5:$I$90=0)+(Headcount!$I$5:$I$90=1)*$C$16)*(O$18&gt;=(Headcount!$E$5:$E$90+Headcount!$G$5:$G$90*$C$15)))/12*(1+Assumptions!$C$97)</f>
        <v>15250</v>
      </c>
      <c r="P192" s="9" t="n">
        <f aca="false">SUMPRODUCT((Headcount!$C$5:$C$90="SEC")*Headcount!$D$5:$D$90*Headcount!$F$5:$F$90*((Headcount!$I$5:$I$90=0)+(Headcount!$I$5:$I$90=1)*$C$16)*(P$18&gt;=(Headcount!$E$5:$E$90+Headcount!$G$5:$G$90*$C$15)))/12*(1+Assumptions!$C$97)</f>
        <v>15250</v>
      </c>
      <c r="Q192" s="9" t="n">
        <f aca="false">SUMPRODUCT((Headcount!$C$5:$C$90="SEC")*Headcount!$D$5:$D$90*Headcount!$F$5:$F$90*((Headcount!$I$5:$I$90=0)+(Headcount!$I$5:$I$90=1)*$C$16)*(Q$18&gt;=(Headcount!$E$5:$E$90+Headcount!$G$5:$G$90*$C$15)))/12*(1+Assumptions!$C$97)</f>
        <v>15250</v>
      </c>
      <c r="R192" s="9" t="n">
        <f aca="false">SUMPRODUCT((Headcount!$C$5:$C$90="SEC")*Headcount!$D$5:$D$90*Headcount!$F$5:$F$90*((Headcount!$I$5:$I$90=0)+(Headcount!$I$5:$I$90=1)*$C$16)*(R$18&gt;=(Headcount!$E$5:$E$90+Headcount!$G$5:$G$90*$C$15)))/12*(1+Assumptions!$C$97)</f>
        <v>15250</v>
      </c>
      <c r="S192" s="9" t="n">
        <f aca="false">SUMPRODUCT((Headcount!$C$5:$C$90="SEC")*Headcount!$D$5:$D$90*Headcount!$F$5:$F$90*((Headcount!$I$5:$I$90=0)+(Headcount!$I$5:$I$90=1)*$C$16)*(S$18&gt;=(Headcount!$E$5:$E$90+Headcount!$G$5:$G$90*$C$15)))/12*(1+Assumptions!$C$97)</f>
        <v>15250</v>
      </c>
      <c r="T192" s="9" t="n">
        <f aca="false">SUMPRODUCT((Headcount!$C$5:$C$90="SEC")*Headcount!$D$5:$D$90*Headcount!$F$5:$F$90*((Headcount!$I$5:$I$90=0)+(Headcount!$I$5:$I$90=1)*$C$16)*(T$18&gt;=(Headcount!$E$5:$E$90+Headcount!$G$5:$G$90*$C$15)))/12*(1+Assumptions!$C$97)</f>
        <v>15250</v>
      </c>
      <c r="U192" s="9" t="n">
        <f aca="false">SUMPRODUCT((Headcount!$C$5:$C$90="SEC")*Headcount!$D$5:$D$90*Headcount!$F$5:$F$90*((Headcount!$I$5:$I$90=0)+(Headcount!$I$5:$I$90=1)*$C$16)*(U$18&gt;=(Headcount!$E$5:$E$90+Headcount!$G$5:$G$90*$C$15)))/12*(1+Assumptions!$C$97)</f>
        <v>15250</v>
      </c>
      <c r="V192" s="9" t="n">
        <f aca="false">SUMPRODUCT((Headcount!$C$5:$C$90="SEC")*Headcount!$D$5:$D$90*Headcount!$F$5:$F$90*((Headcount!$I$5:$I$90=0)+(Headcount!$I$5:$I$90=1)*$C$16)*(V$18&gt;=(Headcount!$E$5:$E$90+Headcount!$G$5:$G$90*$C$15)))/12*(1+Assumptions!$C$97)</f>
        <v>15250</v>
      </c>
      <c r="W192" s="9" t="n">
        <f aca="false">SUMPRODUCT((Headcount!$C$5:$C$90="SEC")*Headcount!$D$5:$D$90*Headcount!$F$5:$F$90*((Headcount!$I$5:$I$90=0)+(Headcount!$I$5:$I$90=1)*$C$16)*(W$18&gt;=(Headcount!$E$5:$E$90+Headcount!$G$5:$G$90*$C$15)))/12*(1+Assumptions!$C$97)</f>
        <v>15250</v>
      </c>
      <c r="X192" s="9" t="n">
        <f aca="false">SUMPRODUCT((Headcount!$C$5:$C$90="SEC")*Headcount!$D$5:$D$90*Headcount!$F$5:$F$90*((Headcount!$I$5:$I$90=0)+(Headcount!$I$5:$I$90=1)*$C$16)*(X$18&gt;=(Headcount!$E$5:$E$90+Headcount!$G$5:$G$90*$C$15)))/12*(1+Assumptions!$C$97)</f>
        <v>15250</v>
      </c>
      <c r="Y192" s="9" t="n">
        <f aca="false">SUMPRODUCT((Headcount!$C$5:$C$90="SEC")*Headcount!$D$5:$D$90*Headcount!$F$5:$F$90*((Headcount!$I$5:$I$90=0)+(Headcount!$I$5:$I$90=1)*$C$16)*(Y$18&gt;=(Headcount!$E$5:$E$90+Headcount!$G$5:$G$90*$C$15)))/12*(1+Assumptions!$C$97)</f>
        <v>15250</v>
      </c>
      <c r="Z192" s="9" t="n">
        <f aca="false">SUMPRODUCT((Headcount!$C$5:$C$90="SEC")*Headcount!$D$5:$D$90*Headcount!$F$5:$F$90*((Headcount!$I$5:$I$90=0)+(Headcount!$I$5:$I$90=1)*$C$16)*(Z$18&gt;=(Headcount!$E$5:$E$90+Headcount!$G$5:$G$90*$C$15)))/12*(1+Assumptions!$C$97)</f>
        <v>15250</v>
      </c>
      <c r="AA192" s="9" t="n">
        <f aca="false">SUMPRODUCT((Headcount!$C$5:$C$90="SEC")*Headcount!$D$5:$D$90*Headcount!$F$5:$F$90*((Headcount!$I$5:$I$90=0)+(Headcount!$I$5:$I$90=1)*$C$16)*(AA$18&gt;=(Headcount!$E$5:$E$90+Headcount!$G$5:$G$90*$C$15)))/12*(1+Assumptions!$C$97)</f>
        <v>15250</v>
      </c>
      <c r="AB192" s="9" t="n">
        <f aca="false">SUMPRODUCT((Headcount!$C$5:$C$90="SEC")*Headcount!$D$5:$D$90*Headcount!$F$5:$F$90*((Headcount!$I$5:$I$90=0)+(Headcount!$I$5:$I$90=1)*$C$16)*(AB$18&gt;=(Headcount!$E$5:$E$90+Headcount!$G$5:$G$90*$C$15)))/12*(1+Assumptions!$C$97)</f>
        <v>15250</v>
      </c>
      <c r="AC192" s="9" t="n">
        <f aca="false">SUMPRODUCT((Headcount!$C$5:$C$90="SEC")*Headcount!$D$5:$D$90*Headcount!$F$5:$F$90*((Headcount!$I$5:$I$90=0)+(Headcount!$I$5:$I$90=1)*$C$16)*(AC$18&gt;=(Headcount!$E$5:$E$90+Headcount!$G$5:$G$90*$C$15)))/12*(1+Assumptions!$C$97)</f>
        <v>15250</v>
      </c>
      <c r="AD192" s="9" t="n">
        <f aca="false">SUMPRODUCT((Headcount!$C$5:$C$90="SEC")*Headcount!$D$5:$D$90*Headcount!$F$5:$F$90*((Headcount!$I$5:$I$90=0)+(Headcount!$I$5:$I$90=1)*$C$16)*(AD$18&gt;=(Headcount!$E$5:$E$90+Headcount!$G$5:$G$90*$C$15)))/12*(1+Assumptions!$C$97)</f>
        <v>15250</v>
      </c>
      <c r="AE192" s="9" t="n">
        <f aca="false">SUMPRODUCT((Headcount!$C$5:$C$90="SEC")*Headcount!$D$5:$D$90*Headcount!$F$5:$F$90*((Headcount!$I$5:$I$90=0)+(Headcount!$I$5:$I$90=1)*$C$16)*(AE$18&gt;=(Headcount!$E$5:$E$90+Headcount!$G$5:$G$90*$C$15)))/12*(1+Assumptions!$C$97)</f>
        <v>15250</v>
      </c>
      <c r="AF192" s="9" t="n">
        <f aca="false">SUMPRODUCT((Headcount!$C$5:$C$90="SEC")*Headcount!$D$5:$D$90*Headcount!$F$5:$F$90*((Headcount!$I$5:$I$90=0)+(Headcount!$I$5:$I$90=1)*$C$16)*(AF$18&gt;=(Headcount!$E$5:$E$90+Headcount!$G$5:$G$90*$C$15)))/12*(1+Assumptions!$C$97)</f>
        <v>15250</v>
      </c>
      <c r="AG192" s="9" t="n">
        <f aca="false">SUMPRODUCT((Headcount!$C$5:$C$90="SEC")*Headcount!$D$5:$D$90*Headcount!$F$5:$F$90*((Headcount!$I$5:$I$90=0)+(Headcount!$I$5:$I$90=1)*$C$16)*(AG$18&gt;=(Headcount!$E$5:$E$90+Headcount!$G$5:$G$90*$C$15)))/12*(1+Assumptions!$C$97)</f>
        <v>15250</v>
      </c>
      <c r="AH192" s="9" t="n">
        <f aca="false">SUMPRODUCT((Headcount!$C$5:$C$90="SEC")*Headcount!$D$5:$D$90*Headcount!$F$5:$F$90*((Headcount!$I$5:$I$90=0)+(Headcount!$I$5:$I$90=1)*$C$16)*(AH$18&gt;=(Headcount!$E$5:$E$90+Headcount!$G$5:$G$90*$C$15)))/12*(1+Assumptions!$C$97)</f>
        <v>15250</v>
      </c>
      <c r="AI192" s="9" t="n">
        <f aca="false">SUMPRODUCT((Headcount!$C$5:$C$90="SEC")*Headcount!$D$5:$D$90*Headcount!$F$5:$F$90*((Headcount!$I$5:$I$90=0)+(Headcount!$I$5:$I$90=1)*$C$16)*(AI$18&gt;=(Headcount!$E$5:$E$90+Headcount!$G$5:$G$90*$C$15)))/12*(1+Assumptions!$C$97)</f>
        <v>15250</v>
      </c>
      <c r="AJ192" s="9" t="n">
        <f aca="false">SUMPRODUCT((Headcount!$C$5:$C$90="SEC")*Headcount!$D$5:$D$90*Headcount!$F$5:$F$90*((Headcount!$I$5:$I$90=0)+(Headcount!$I$5:$I$90=1)*$C$16)*(AJ$18&gt;=(Headcount!$E$5:$E$90+Headcount!$G$5:$G$90*$C$15)))/12*(1+Assumptions!$C$97)</f>
        <v>15250</v>
      </c>
      <c r="AK192" s="9" t="n">
        <f aca="false">SUMPRODUCT((Headcount!$C$5:$C$90="SEC")*Headcount!$D$5:$D$90*Headcount!$F$5:$F$90*((Headcount!$I$5:$I$90=0)+(Headcount!$I$5:$I$90=1)*$C$16)*(AK$18&gt;=(Headcount!$E$5:$E$90+Headcount!$G$5:$G$90*$C$15)))/12*(1+Assumptions!$C$97)</f>
        <v>15250</v>
      </c>
      <c r="AL192" s="9" t="n">
        <f aca="false">SUMPRODUCT((Headcount!$C$5:$C$90="SEC")*Headcount!$D$5:$D$90*Headcount!$F$5:$F$90*((Headcount!$I$5:$I$90=0)+(Headcount!$I$5:$I$90=1)*$C$16)*(AL$18&gt;=(Headcount!$E$5:$E$90+Headcount!$G$5:$G$90*$C$15)))/12*(1+Assumptions!$C$97)</f>
        <v>15250</v>
      </c>
      <c r="AN192" s="11" t="n">
        <f aca="false">SUM(C192:N192)</f>
        <v>91500</v>
      </c>
      <c r="AO192" s="11" t="n">
        <f aca="false">SUM(O192:Z192)</f>
        <v>183000</v>
      </c>
      <c r="AP192" s="11" t="n">
        <f aca="false">SUM(AA192:AL192)</f>
        <v>183000</v>
      </c>
    </row>
    <row r="193" customFormat="false" ht="15" hidden="false" customHeight="false" outlineLevel="0" collapsed="false">
      <c r="A193" s="0" t="s">
        <v>994</v>
      </c>
      <c r="B193" s="0" t="s">
        <v>230</v>
      </c>
      <c r="C193" s="9" t="n">
        <f aca="false">SUMPRODUCT((Headcount!$C$5:$C$90="SALES")*Headcount!$D$5:$D$90*Headcount!$F$5:$F$90*((Headcount!$I$5:$I$90=0)+(Headcount!$I$5:$I$90=1)*$C$16)*(C$18&gt;=(Headcount!$E$5:$E$90+Headcount!$G$5:$G$90*$C$15)))/12*(1+Assumptions!$C$97)</f>
        <v>0</v>
      </c>
      <c r="D193" s="9" t="n">
        <f aca="false">SUMPRODUCT((Headcount!$C$5:$C$90="SALES")*Headcount!$D$5:$D$90*Headcount!$F$5:$F$90*((Headcount!$I$5:$I$90=0)+(Headcount!$I$5:$I$90=1)*$C$16)*(D$18&gt;=(Headcount!$E$5:$E$90+Headcount!$G$5:$G$90*$C$15)))/12*(1+Assumptions!$C$97)</f>
        <v>0</v>
      </c>
      <c r="E193" s="9" t="n">
        <f aca="false">SUMPRODUCT((Headcount!$C$5:$C$90="SALES")*Headcount!$D$5:$D$90*Headcount!$F$5:$F$90*((Headcount!$I$5:$I$90=0)+(Headcount!$I$5:$I$90=1)*$C$16)*(E$18&gt;=(Headcount!$E$5:$E$90+Headcount!$G$5:$G$90*$C$15)))/12*(1+Assumptions!$C$97)</f>
        <v>0</v>
      </c>
      <c r="F193" s="9" t="n">
        <f aca="false">SUMPRODUCT((Headcount!$C$5:$C$90="SALES")*Headcount!$D$5:$D$90*Headcount!$F$5:$F$90*((Headcount!$I$5:$I$90=0)+(Headcount!$I$5:$I$90=1)*$C$16)*(F$18&gt;=(Headcount!$E$5:$E$90+Headcount!$G$5:$G$90*$C$15)))/12*(1+Assumptions!$C$97)</f>
        <v>0</v>
      </c>
      <c r="G193" s="9" t="n">
        <f aca="false">SUMPRODUCT((Headcount!$C$5:$C$90="SALES")*Headcount!$D$5:$D$90*Headcount!$F$5:$F$90*((Headcount!$I$5:$I$90=0)+(Headcount!$I$5:$I$90=1)*$C$16)*(G$18&gt;=(Headcount!$E$5:$E$90+Headcount!$G$5:$G$90*$C$15)))/12*(1+Assumptions!$C$97)</f>
        <v>0</v>
      </c>
      <c r="H193" s="9" t="n">
        <f aca="false">SUMPRODUCT((Headcount!$C$5:$C$90="SALES")*Headcount!$D$5:$D$90*Headcount!$F$5:$F$90*((Headcount!$I$5:$I$90=0)+(Headcount!$I$5:$I$90=1)*$C$16)*(H$18&gt;=(Headcount!$E$5:$E$90+Headcount!$G$5:$G$90*$C$15)))/12*(1+Assumptions!$C$97)</f>
        <v>0</v>
      </c>
      <c r="I193" s="9" t="n">
        <f aca="false">SUMPRODUCT((Headcount!$C$5:$C$90="SALES")*Headcount!$D$5:$D$90*Headcount!$F$5:$F$90*((Headcount!$I$5:$I$90=0)+(Headcount!$I$5:$I$90=1)*$C$16)*(I$18&gt;=(Headcount!$E$5:$E$90+Headcount!$G$5:$G$90*$C$15)))/12*(1+Assumptions!$C$97)</f>
        <v>0</v>
      </c>
      <c r="J193" s="9" t="n">
        <f aca="false">SUMPRODUCT((Headcount!$C$5:$C$90="SALES")*Headcount!$D$5:$D$90*Headcount!$F$5:$F$90*((Headcount!$I$5:$I$90=0)+(Headcount!$I$5:$I$90=1)*$C$16)*(J$18&gt;=(Headcount!$E$5:$E$90+Headcount!$G$5:$G$90*$C$15)))/12*(1+Assumptions!$C$97)</f>
        <v>0</v>
      </c>
      <c r="K193" s="9" t="n">
        <f aca="false">SUMPRODUCT((Headcount!$C$5:$C$90="SALES")*Headcount!$D$5:$D$90*Headcount!$F$5:$F$90*((Headcount!$I$5:$I$90=0)+(Headcount!$I$5:$I$90=1)*$C$16)*(K$18&gt;=(Headcount!$E$5:$E$90+Headcount!$G$5:$G$90*$C$15)))/12*(1+Assumptions!$C$97)</f>
        <v>0</v>
      </c>
      <c r="L193" s="9" t="n">
        <f aca="false">SUMPRODUCT((Headcount!$C$5:$C$90="SALES")*Headcount!$D$5:$D$90*Headcount!$F$5:$F$90*((Headcount!$I$5:$I$90=0)+(Headcount!$I$5:$I$90=1)*$C$16)*(L$18&gt;=(Headcount!$E$5:$E$90+Headcount!$G$5:$G$90*$C$15)))/12*(1+Assumptions!$C$97)</f>
        <v>0</v>
      </c>
      <c r="M193" s="9" t="n">
        <f aca="false">SUMPRODUCT((Headcount!$C$5:$C$90="SALES")*Headcount!$D$5:$D$90*Headcount!$F$5:$F$90*((Headcount!$I$5:$I$90=0)+(Headcount!$I$5:$I$90=1)*$C$16)*(M$18&gt;=(Headcount!$E$5:$E$90+Headcount!$G$5:$G$90*$C$15)))/12*(1+Assumptions!$C$97)</f>
        <v>0</v>
      </c>
      <c r="N193" s="9" t="n">
        <f aca="false">SUMPRODUCT((Headcount!$C$5:$C$90="SALES")*Headcount!$D$5:$D$90*Headcount!$F$5:$F$90*((Headcount!$I$5:$I$90=0)+(Headcount!$I$5:$I$90=1)*$C$16)*(N$18&gt;=(Headcount!$E$5:$E$90+Headcount!$G$5:$G$90*$C$15)))/12*(1+Assumptions!$C$97)</f>
        <v>0</v>
      </c>
      <c r="O193" s="9" t="n">
        <f aca="false">SUMPRODUCT((Headcount!$C$5:$C$90="SALES")*Headcount!$D$5:$D$90*Headcount!$F$5:$F$90*((Headcount!$I$5:$I$90=0)+(Headcount!$I$5:$I$90=1)*$C$16)*(O$18&gt;=(Headcount!$E$5:$E$90+Headcount!$G$5:$G$90*$C$15)))/12*(1+Assumptions!$C$97)</f>
        <v>0</v>
      </c>
      <c r="P193" s="9" t="n">
        <f aca="false">SUMPRODUCT((Headcount!$C$5:$C$90="SALES")*Headcount!$D$5:$D$90*Headcount!$F$5:$F$90*((Headcount!$I$5:$I$90=0)+(Headcount!$I$5:$I$90=1)*$C$16)*(P$18&gt;=(Headcount!$E$5:$E$90+Headcount!$G$5:$G$90*$C$15)))/12*(1+Assumptions!$C$97)</f>
        <v>0</v>
      </c>
      <c r="Q193" s="9" t="n">
        <f aca="false">SUMPRODUCT((Headcount!$C$5:$C$90="SALES")*Headcount!$D$5:$D$90*Headcount!$F$5:$F$90*((Headcount!$I$5:$I$90=0)+(Headcount!$I$5:$I$90=1)*$C$16)*(Q$18&gt;=(Headcount!$E$5:$E$90+Headcount!$G$5:$G$90*$C$15)))/12*(1+Assumptions!$C$97)</f>
        <v>0</v>
      </c>
      <c r="R193" s="9" t="n">
        <f aca="false">SUMPRODUCT((Headcount!$C$5:$C$90="SALES")*Headcount!$D$5:$D$90*Headcount!$F$5:$F$90*((Headcount!$I$5:$I$90=0)+(Headcount!$I$5:$I$90=1)*$C$16)*(R$18&gt;=(Headcount!$E$5:$E$90+Headcount!$G$5:$G$90*$C$15)))/12*(1+Assumptions!$C$97)</f>
        <v>0</v>
      </c>
      <c r="S193" s="9" t="n">
        <f aca="false">SUMPRODUCT((Headcount!$C$5:$C$90="SALES")*Headcount!$D$5:$D$90*Headcount!$F$5:$F$90*((Headcount!$I$5:$I$90=0)+(Headcount!$I$5:$I$90=1)*$C$16)*(S$18&gt;=(Headcount!$E$5:$E$90+Headcount!$G$5:$G$90*$C$15)))/12*(1+Assumptions!$C$97)</f>
        <v>11183.3333333333</v>
      </c>
      <c r="T193" s="9" t="n">
        <f aca="false">SUMPRODUCT((Headcount!$C$5:$C$90="SALES")*Headcount!$D$5:$D$90*Headcount!$F$5:$F$90*((Headcount!$I$5:$I$90=0)+(Headcount!$I$5:$I$90=1)*$C$16)*(T$18&gt;=(Headcount!$E$5:$E$90+Headcount!$G$5:$G$90*$C$15)))/12*(1+Assumptions!$C$97)</f>
        <v>11183.3333333333</v>
      </c>
      <c r="U193" s="9" t="n">
        <f aca="false">SUMPRODUCT((Headcount!$C$5:$C$90="SALES")*Headcount!$D$5:$D$90*Headcount!$F$5:$F$90*((Headcount!$I$5:$I$90=0)+(Headcount!$I$5:$I$90=1)*$C$16)*(U$18&gt;=(Headcount!$E$5:$E$90+Headcount!$G$5:$G$90*$C$15)))/12*(1+Assumptions!$C$97)</f>
        <v>24400</v>
      </c>
      <c r="V193" s="9" t="n">
        <f aca="false">SUMPRODUCT((Headcount!$C$5:$C$90="SALES")*Headcount!$D$5:$D$90*Headcount!$F$5:$F$90*((Headcount!$I$5:$I$90=0)+(Headcount!$I$5:$I$90=1)*$C$16)*(V$18&gt;=(Headcount!$E$5:$E$90+Headcount!$G$5:$G$90*$C$15)))/12*(1+Assumptions!$C$97)</f>
        <v>24400</v>
      </c>
      <c r="W193" s="9" t="n">
        <f aca="false">SUMPRODUCT((Headcount!$C$5:$C$90="SALES")*Headcount!$D$5:$D$90*Headcount!$F$5:$F$90*((Headcount!$I$5:$I$90=0)+(Headcount!$I$5:$I$90=1)*$C$16)*(W$18&gt;=(Headcount!$E$5:$E$90+Headcount!$G$5:$G$90*$C$15)))/12*(1+Assumptions!$C$97)</f>
        <v>24400</v>
      </c>
      <c r="X193" s="9" t="n">
        <f aca="false">SUMPRODUCT((Headcount!$C$5:$C$90="SALES")*Headcount!$D$5:$D$90*Headcount!$F$5:$F$90*((Headcount!$I$5:$I$90=0)+(Headcount!$I$5:$I$90=1)*$C$16)*(X$18&gt;=(Headcount!$E$5:$E$90+Headcount!$G$5:$G$90*$C$15)))/12*(1+Assumptions!$C$97)</f>
        <v>24400</v>
      </c>
      <c r="Y193" s="9" t="n">
        <f aca="false">SUMPRODUCT((Headcount!$C$5:$C$90="SALES")*Headcount!$D$5:$D$90*Headcount!$F$5:$F$90*((Headcount!$I$5:$I$90=0)+(Headcount!$I$5:$I$90=1)*$C$16)*(Y$18&gt;=(Headcount!$E$5:$E$90+Headcount!$G$5:$G$90*$C$15)))/12*(1+Assumptions!$C$97)</f>
        <v>24400</v>
      </c>
      <c r="Z193" s="9" t="n">
        <f aca="false">SUMPRODUCT((Headcount!$C$5:$C$90="SALES")*Headcount!$D$5:$D$90*Headcount!$F$5:$F$90*((Headcount!$I$5:$I$90=0)+(Headcount!$I$5:$I$90=1)*$C$16)*(Z$18&gt;=(Headcount!$E$5:$E$90+Headcount!$G$5:$G$90*$C$15)))/12*(1+Assumptions!$C$97)</f>
        <v>24400</v>
      </c>
      <c r="AA193" s="9" t="n">
        <f aca="false">SUMPRODUCT((Headcount!$C$5:$C$90="SALES")*Headcount!$D$5:$D$90*Headcount!$F$5:$F$90*((Headcount!$I$5:$I$90=0)+(Headcount!$I$5:$I$90=1)*$C$16)*(AA$18&gt;=(Headcount!$E$5:$E$90+Headcount!$G$5:$G$90*$C$15)))/12*(1+Assumptions!$C$97)</f>
        <v>24400</v>
      </c>
      <c r="AB193" s="9" t="n">
        <f aca="false">SUMPRODUCT((Headcount!$C$5:$C$90="SALES")*Headcount!$D$5:$D$90*Headcount!$F$5:$F$90*((Headcount!$I$5:$I$90=0)+(Headcount!$I$5:$I$90=1)*$C$16)*(AB$18&gt;=(Headcount!$E$5:$E$90+Headcount!$G$5:$G$90*$C$15)))/12*(1+Assumptions!$C$97)</f>
        <v>24400</v>
      </c>
      <c r="AC193" s="9" t="n">
        <f aca="false">SUMPRODUCT((Headcount!$C$5:$C$90="SALES")*Headcount!$D$5:$D$90*Headcount!$F$5:$F$90*((Headcount!$I$5:$I$90=0)+(Headcount!$I$5:$I$90=1)*$C$16)*(AC$18&gt;=(Headcount!$E$5:$E$90+Headcount!$G$5:$G$90*$C$15)))/12*(1+Assumptions!$C$97)</f>
        <v>24400</v>
      </c>
      <c r="AD193" s="9" t="n">
        <f aca="false">SUMPRODUCT((Headcount!$C$5:$C$90="SALES")*Headcount!$D$5:$D$90*Headcount!$F$5:$F$90*((Headcount!$I$5:$I$90=0)+(Headcount!$I$5:$I$90=1)*$C$16)*(AD$18&gt;=(Headcount!$E$5:$E$90+Headcount!$G$5:$G$90*$C$15)))/12*(1+Assumptions!$C$97)</f>
        <v>35583.3333333333</v>
      </c>
      <c r="AE193" s="9" t="n">
        <f aca="false">SUMPRODUCT((Headcount!$C$5:$C$90="SALES")*Headcount!$D$5:$D$90*Headcount!$F$5:$F$90*((Headcount!$I$5:$I$90=0)+(Headcount!$I$5:$I$90=1)*$C$16)*(AE$18&gt;=(Headcount!$E$5:$E$90+Headcount!$G$5:$G$90*$C$15)))/12*(1+Assumptions!$C$97)</f>
        <v>35583.3333333333</v>
      </c>
      <c r="AF193" s="9" t="n">
        <f aca="false">SUMPRODUCT((Headcount!$C$5:$C$90="SALES")*Headcount!$D$5:$D$90*Headcount!$F$5:$F$90*((Headcount!$I$5:$I$90=0)+(Headcount!$I$5:$I$90=1)*$C$16)*(AF$18&gt;=(Headcount!$E$5:$E$90+Headcount!$G$5:$G$90*$C$15)))/12*(1+Assumptions!$C$97)</f>
        <v>35583.3333333333</v>
      </c>
      <c r="AG193" s="9" t="n">
        <f aca="false">SUMPRODUCT((Headcount!$C$5:$C$90="SALES")*Headcount!$D$5:$D$90*Headcount!$F$5:$F$90*((Headcount!$I$5:$I$90=0)+(Headcount!$I$5:$I$90=1)*$C$16)*(AG$18&gt;=(Headcount!$E$5:$E$90+Headcount!$G$5:$G$90*$C$15)))/12*(1+Assumptions!$C$97)</f>
        <v>35583.3333333333</v>
      </c>
      <c r="AH193" s="9" t="n">
        <f aca="false">SUMPRODUCT((Headcount!$C$5:$C$90="SALES")*Headcount!$D$5:$D$90*Headcount!$F$5:$F$90*((Headcount!$I$5:$I$90=0)+(Headcount!$I$5:$I$90=1)*$C$16)*(AH$18&gt;=(Headcount!$E$5:$E$90+Headcount!$G$5:$G$90*$C$15)))/12*(1+Assumptions!$C$97)</f>
        <v>35583.3333333333</v>
      </c>
      <c r="AI193" s="9" t="n">
        <f aca="false">SUMPRODUCT((Headcount!$C$5:$C$90="SALES")*Headcount!$D$5:$D$90*Headcount!$F$5:$F$90*((Headcount!$I$5:$I$90=0)+(Headcount!$I$5:$I$90=1)*$C$16)*(AI$18&gt;=(Headcount!$E$5:$E$90+Headcount!$G$5:$G$90*$C$15)))/12*(1+Assumptions!$C$97)</f>
        <v>35583.3333333333</v>
      </c>
      <c r="AJ193" s="9" t="n">
        <f aca="false">SUMPRODUCT((Headcount!$C$5:$C$90="SALES")*Headcount!$D$5:$D$90*Headcount!$F$5:$F$90*((Headcount!$I$5:$I$90=0)+(Headcount!$I$5:$I$90=1)*$C$16)*(AJ$18&gt;=(Headcount!$E$5:$E$90+Headcount!$G$5:$G$90*$C$15)))/12*(1+Assumptions!$C$97)</f>
        <v>46766.6666666667</v>
      </c>
      <c r="AK193" s="9" t="n">
        <f aca="false">SUMPRODUCT((Headcount!$C$5:$C$90="SALES")*Headcount!$D$5:$D$90*Headcount!$F$5:$F$90*((Headcount!$I$5:$I$90=0)+(Headcount!$I$5:$I$90=1)*$C$16)*(AK$18&gt;=(Headcount!$E$5:$E$90+Headcount!$G$5:$G$90*$C$15)))/12*(1+Assumptions!$C$97)</f>
        <v>46766.6666666667</v>
      </c>
      <c r="AL193" s="9" t="n">
        <f aca="false">SUMPRODUCT((Headcount!$C$5:$C$90="SALES")*Headcount!$D$5:$D$90*Headcount!$F$5:$F$90*((Headcount!$I$5:$I$90=0)+(Headcount!$I$5:$I$90=1)*$C$16)*(AL$18&gt;=(Headcount!$E$5:$E$90+Headcount!$G$5:$G$90*$C$15)))/12*(1+Assumptions!$C$97)</f>
        <v>46766.6666666667</v>
      </c>
      <c r="AN193" s="11" t="n">
        <f aca="false">SUM(C193:N193)</f>
        <v>0</v>
      </c>
      <c r="AO193" s="11" t="n">
        <f aca="false">SUM(O193:Z193)</f>
        <v>168766.666666667</v>
      </c>
      <c r="AP193" s="11" t="n">
        <f aca="false">SUM(AA193:AL193)</f>
        <v>427000</v>
      </c>
    </row>
    <row r="194" customFormat="false" ht="15" hidden="false" customHeight="false" outlineLevel="0" collapsed="false">
      <c r="A194" s="0" t="s">
        <v>995</v>
      </c>
      <c r="B194" s="0" t="s">
        <v>230</v>
      </c>
      <c r="C194" s="9" t="n">
        <f aca="false">SUMPRODUCT((Headcount!$C$5:$C$90="MKT")*Headcount!$D$5:$D$90*Headcount!$F$5:$F$90*((Headcount!$I$5:$I$90=0)+(Headcount!$I$5:$I$90=1)*$C$16)*(C$18&gt;=(Headcount!$E$5:$E$90+Headcount!$G$5:$G$90*$C$15)))/12*(1+Assumptions!$C$97)</f>
        <v>0</v>
      </c>
      <c r="D194" s="9" t="n">
        <f aca="false">SUMPRODUCT((Headcount!$C$5:$C$90="MKT")*Headcount!$D$5:$D$90*Headcount!$F$5:$F$90*((Headcount!$I$5:$I$90=0)+(Headcount!$I$5:$I$90=1)*$C$16)*(D$18&gt;=(Headcount!$E$5:$E$90+Headcount!$G$5:$G$90*$C$15)))/12*(1+Assumptions!$C$97)</f>
        <v>0</v>
      </c>
      <c r="E194" s="9" t="n">
        <f aca="false">SUMPRODUCT((Headcount!$C$5:$C$90="MKT")*Headcount!$D$5:$D$90*Headcount!$F$5:$F$90*((Headcount!$I$5:$I$90=0)+(Headcount!$I$5:$I$90=1)*$C$16)*(E$18&gt;=(Headcount!$E$5:$E$90+Headcount!$G$5:$G$90*$C$15)))/12*(1+Assumptions!$C$97)</f>
        <v>0</v>
      </c>
      <c r="F194" s="9" t="n">
        <f aca="false">SUMPRODUCT((Headcount!$C$5:$C$90="MKT")*Headcount!$D$5:$D$90*Headcount!$F$5:$F$90*((Headcount!$I$5:$I$90=0)+(Headcount!$I$5:$I$90=1)*$C$16)*(F$18&gt;=(Headcount!$E$5:$E$90+Headcount!$G$5:$G$90*$C$15)))/12*(1+Assumptions!$C$97)</f>
        <v>0</v>
      </c>
      <c r="G194" s="9" t="n">
        <f aca="false">SUMPRODUCT((Headcount!$C$5:$C$90="MKT")*Headcount!$D$5:$D$90*Headcount!$F$5:$F$90*((Headcount!$I$5:$I$90=0)+(Headcount!$I$5:$I$90=1)*$C$16)*(G$18&gt;=(Headcount!$E$5:$E$90+Headcount!$G$5:$G$90*$C$15)))/12*(1+Assumptions!$C$97)</f>
        <v>0</v>
      </c>
      <c r="H194" s="9" t="n">
        <f aca="false">SUMPRODUCT((Headcount!$C$5:$C$90="MKT")*Headcount!$D$5:$D$90*Headcount!$F$5:$F$90*((Headcount!$I$5:$I$90=0)+(Headcount!$I$5:$I$90=1)*$C$16)*(H$18&gt;=(Headcount!$E$5:$E$90+Headcount!$G$5:$G$90*$C$15)))/12*(1+Assumptions!$C$97)</f>
        <v>10675</v>
      </c>
      <c r="I194" s="9" t="n">
        <f aca="false">SUMPRODUCT((Headcount!$C$5:$C$90="MKT")*Headcount!$D$5:$D$90*Headcount!$F$5:$F$90*((Headcount!$I$5:$I$90=0)+(Headcount!$I$5:$I$90=1)*$C$16)*(I$18&gt;=(Headcount!$E$5:$E$90+Headcount!$G$5:$G$90*$C$15)))/12*(1+Assumptions!$C$97)</f>
        <v>10675</v>
      </c>
      <c r="J194" s="9" t="n">
        <f aca="false">SUMPRODUCT((Headcount!$C$5:$C$90="MKT")*Headcount!$D$5:$D$90*Headcount!$F$5:$F$90*((Headcount!$I$5:$I$90=0)+(Headcount!$I$5:$I$90=1)*$C$16)*(J$18&gt;=(Headcount!$E$5:$E$90+Headcount!$G$5:$G$90*$C$15)))/12*(1+Assumptions!$C$97)</f>
        <v>10675</v>
      </c>
      <c r="K194" s="9" t="n">
        <f aca="false">SUMPRODUCT((Headcount!$C$5:$C$90="MKT")*Headcount!$D$5:$D$90*Headcount!$F$5:$F$90*((Headcount!$I$5:$I$90=0)+(Headcount!$I$5:$I$90=1)*$C$16)*(K$18&gt;=(Headcount!$E$5:$E$90+Headcount!$G$5:$G$90*$C$15)))/12*(1+Assumptions!$C$97)</f>
        <v>10675</v>
      </c>
      <c r="L194" s="9" t="n">
        <f aca="false">SUMPRODUCT((Headcount!$C$5:$C$90="MKT")*Headcount!$D$5:$D$90*Headcount!$F$5:$F$90*((Headcount!$I$5:$I$90=0)+(Headcount!$I$5:$I$90=1)*$C$16)*(L$18&gt;=(Headcount!$E$5:$E$90+Headcount!$G$5:$G$90*$C$15)))/12*(1+Assumptions!$C$97)</f>
        <v>10675</v>
      </c>
      <c r="M194" s="9" t="n">
        <f aca="false">SUMPRODUCT((Headcount!$C$5:$C$90="MKT")*Headcount!$D$5:$D$90*Headcount!$F$5:$F$90*((Headcount!$I$5:$I$90=0)+(Headcount!$I$5:$I$90=1)*$C$16)*(M$18&gt;=(Headcount!$E$5:$E$90+Headcount!$G$5:$G$90*$C$15)))/12*(1+Assumptions!$C$97)</f>
        <v>10675</v>
      </c>
      <c r="N194" s="9" t="n">
        <f aca="false">SUMPRODUCT((Headcount!$C$5:$C$90="MKT")*Headcount!$D$5:$D$90*Headcount!$F$5:$F$90*((Headcount!$I$5:$I$90=0)+(Headcount!$I$5:$I$90=1)*$C$16)*(N$18&gt;=(Headcount!$E$5:$E$90+Headcount!$G$5:$G$90*$C$15)))/12*(1+Assumptions!$C$97)</f>
        <v>17283.3333333333</v>
      </c>
      <c r="O194" s="9" t="n">
        <f aca="false">SUMPRODUCT((Headcount!$C$5:$C$90="MKT")*Headcount!$D$5:$D$90*Headcount!$F$5:$F$90*((Headcount!$I$5:$I$90=0)+(Headcount!$I$5:$I$90=1)*$C$16)*(O$18&gt;=(Headcount!$E$5:$E$90+Headcount!$G$5:$G$90*$C$15)))/12*(1+Assumptions!$C$97)</f>
        <v>17283.3333333333</v>
      </c>
      <c r="P194" s="9" t="n">
        <f aca="false">SUMPRODUCT((Headcount!$C$5:$C$90="MKT")*Headcount!$D$5:$D$90*Headcount!$F$5:$F$90*((Headcount!$I$5:$I$90=0)+(Headcount!$I$5:$I$90=1)*$C$16)*(P$18&gt;=(Headcount!$E$5:$E$90+Headcount!$G$5:$G$90*$C$15)))/12*(1+Assumptions!$C$97)</f>
        <v>17283.3333333333</v>
      </c>
      <c r="Q194" s="9" t="n">
        <f aca="false">SUMPRODUCT((Headcount!$C$5:$C$90="MKT")*Headcount!$D$5:$D$90*Headcount!$F$5:$F$90*((Headcount!$I$5:$I$90=0)+(Headcount!$I$5:$I$90=1)*$C$16)*(Q$18&gt;=(Headcount!$E$5:$E$90+Headcount!$G$5:$G$90*$C$15)))/12*(1+Assumptions!$C$97)</f>
        <v>17283.3333333333</v>
      </c>
      <c r="R194" s="9" t="n">
        <f aca="false">SUMPRODUCT((Headcount!$C$5:$C$90="MKT")*Headcount!$D$5:$D$90*Headcount!$F$5:$F$90*((Headcount!$I$5:$I$90=0)+(Headcount!$I$5:$I$90=1)*$C$16)*(R$18&gt;=(Headcount!$E$5:$E$90+Headcount!$G$5:$G$90*$C$15)))/12*(1+Assumptions!$C$97)</f>
        <v>17283.3333333333</v>
      </c>
      <c r="S194" s="9" t="n">
        <f aca="false">SUMPRODUCT((Headcount!$C$5:$C$90="MKT")*Headcount!$D$5:$D$90*Headcount!$F$5:$F$90*((Headcount!$I$5:$I$90=0)+(Headcount!$I$5:$I$90=1)*$C$16)*(S$18&gt;=(Headcount!$E$5:$E$90+Headcount!$G$5:$G$90*$C$15)))/12*(1+Assumptions!$C$97)</f>
        <v>17283.3333333333</v>
      </c>
      <c r="T194" s="9" t="n">
        <f aca="false">SUMPRODUCT((Headcount!$C$5:$C$90="MKT")*Headcount!$D$5:$D$90*Headcount!$F$5:$F$90*((Headcount!$I$5:$I$90=0)+(Headcount!$I$5:$I$90=1)*$C$16)*(T$18&gt;=(Headcount!$E$5:$E$90+Headcount!$G$5:$G$90*$C$15)))/12*(1+Assumptions!$C$97)</f>
        <v>17283.3333333333</v>
      </c>
      <c r="U194" s="9" t="n">
        <f aca="false">SUMPRODUCT((Headcount!$C$5:$C$90="MKT")*Headcount!$D$5:$D$90*Headcount!$F$5:$F$90*((Headcount!$I$5:$I$90=0)+(Headcount!$I$5:$I$90=1)*$C$16)*(U$18&gt;=(Headcount!$E$5:$E$90+Headcount!$G$5:$G$90*$C$15)))/12*(1+Assumptions!$C$97)</f>
        <v>17283.3333333333</v>
      </c>
      <c r="V194" s="9" t="n">
        <f aca="false">SUMPRODUCT((Headcount!$C$5:$C$90="MKT")*Headcount!$D$5:$D$90*Headcount!$F$5:$F$90*((Headcount!$I$5:$I$90=0)+(Headcount!$I$5:$I$90=1)*$C$16)*(V$18&gt;=(Headcount!$E$5:$E$90+Headcount!$G$5:$G$90*$C$15)))/12*(1+Assumptions!$C$97)</f>
        <v>25925</v>
      </c>
      <c r="W194" s="9" t="n">
        <f aca="false">SUMPRODUCT((Headcount!$C$5:$C$90="MKT")*Headcount!$D$5:$D$90*Headcount!$F$5:$F$90*((Headcount!$I$5:$I$90=0)+(Headcount!$I$5:$I$90=1)*$C$16)*(W$18&gt;=(Headcount!$E$5:$E$90+Headcount!$G$5:$G$90*$C$15)))/12*(1+Assumptions!$C$97)</f>
        <v>25925</v>
      </c>
      <c r="X194" s="9" t="n">
        <f aca="false">SUMPRODUCT((Headcount!$C$5:$C$90="MKT")*Headcount!$D$5:$D$90*Headcount!$F$5:$F$90*((Headcount!$I$5:$I$90=0)+(Headcount!$I$5:$I$90=1)*$C$16)*(X$18&gt;=(Headcount!$E$5:$E$90+Headcount!$G$5:$G$90*$C$15)))/12*(1+Assumptions!$C$97)</f>
        <v>25925</v>
      </c>
      <c r="Y194" s="9" t="n">
        <f aca="false">SUMPRODUCT((Headcount!$C$5:$C$90="MKT")*Headcount!$D$5:$D$90*Headcount!$F$5:$F$90*((Headcount!$I$5:$I$90=0)+(Headcount!$I$5:$I$90=1)*$C$16)*(Y$18&gt;=(Headcount!$E$5:$E$90+Headcount!$G$5:$G$90*$C$15)))/12*(1+Assumptions!$C$97)</f>
        <v>25925</v>
      </c>
      <c r="Z194" s="9" t="n">
        <f aca="false">SUMPRODUCT((Headcount!$C$5:$C$90="MKT")*Headcount!$D$5:$D$90*Headcount!$F$5:$F$90*((Headcount!$I$5:$I$90=0)+(Headcount!$I$5:$I$90=1)*$C$16)*(Z$18&gt;=(Headcount!$E$5:$E$90+Headcount!$G$5:$G$90*$C$15)))/12*(1+Assumptions!$C$97)</f>
        <v>25925</v>
      </c>
      <c r="AA194" s="9" t="n">
        <f aca="false">SUMPRODUCT((Headcount!$C$5:$C$90="MKT")*Headcount!$D$5:$D$90*Headcount!$F$5:$F$90*((Headcount!$I$5:$I$90=0)+(Headcount!$I$5:$I$90=1)*$C$16)*(AA$18&gt;=(Headcount!$E$5:$E$90+Headcount!$G$5:$G$90*$C$15)))/12*(1+Assumptions!$C$97)</f>
        <v>25925</v>
      </c>
      <c r="AB194" s="9" t="n">
        <f aca="false">SUMPRODUCT((Headcount!$C$5:$C$90="MKT")*Headcount!$D$5:$D$90*Headcount!$F$5:$F$90*((Headcount!$I$5:$I$90=0)+(Headcount!$I$5:$I$90=1)*$C$16)*(AB$18&gt;=(Headcount!$E$5:$E$90+Headcount!$G$5:$G$90*$C$15)))/12*(1+Assumptions!$C$97)</f>
        <v>25925</v>
      </c>
      <c r="AC194" s="9" t="n">
        <f aca="false">SUMPRODUCT((Headcount!$C$5:$C$90="MKT")*Headcount!$D$5:$D$90*Headcount!$F$5:$F$90*((Headcount!$I$5:$I$90=0)+(Headcount!$I$5:$I$90=1)*$C$16)*(AC$18&gt;=(Headcount!$E$5:$E$90+Headcount!$G$5:$G$90*$C$15)))/12*(1+Assumptions!$C$97)</f>
        <v>25925</v>
      </c>
      <c r="AD194" s="9" t="n">
        <f aca="false">SUMPRODUCT((Headcount!$C$5:$C$90="MKT")*Headcount!$D$5:$D$90*Headcount!$F$5:$F$90*((Headcount!$I$5:$I$90=0)+(Headcount!$I$5:$I$90=1)*$C$16)*(AD$18&gt;=(Headcount!$E$5:$E$90+Headcount!$G$5:$G$90*$C$15)))/12*(1+Assumptions!$C$97)</f>
        <v>25925</v>
      </c>
      <c r="AE194" s="9" t="n">
        <f aca="false">SUMPRODUCT((Headcount!$C$5:$C$90="MKT")*Headcount!$D$5:$D$90*Headcount!$F$5:$F$90*((Headcount!$I$5:$I$90=0)+(Headcount!$I$5:$I$90=1)*$C$16)*(AE$18&gt;=(Headcount!$E$5:$E$90+Headcount!$G$5:$G$90*$C$15)))/12*(1+Assumptions!$C$97)</f>
        <v>25925</v>
      </c>
      <c r="AF194" s="9" t="n">
        <f aca="false">SUMPRODUCT((Headcount!$C$5:$C$90="MKT")*Headcount!$D$5:$D$90*Headcount!$F$5:$F$90*((Headcount!$I$5:$I$90=0)+(Headcount!$I$5:$I$90=1)*$C$16)*(AF$18&gt;=(Headcount!$E$5:$E$90+Headcount!$G$5:$G$90*$C$15)))/12*(1+Assumptions!$C$97)</f>
        <v>25925</v>
      </c>
      <c r="AG194" s="9" t="n">
        <f aca="false">SUMPRODUCT((Headcount!$C$5:$C$90="MKT")*Headcount!$D$5:$D$90*Headcount!$F$5:$F$90*((Headcount!$I$5:$I$90=0)+(Headcount!$I$5:$I$90=1)*$C$16)*(AG$18&gt;=(Headcount!$E$5:$E$90+Headcount!$G$5:$G$90*$C$15)))/12*(1+Assumptions!$C$97)</f>
        <v>25925</v>
      </c>
      <c r="AH194" s="9" t="n">
        <f aca="false">SUMPRODUCT((Headcount!$C$5:$C$90="MKT")*Headcount!$D$5:$D$90*Headcount!$F$5:$F$90*((Headcount!$I$5:$I$90=0)+(Headcount!$I$5:$I$90=1)*$C$16)*(AH$18&gt;=(Headcount!$E$5:$E$90+Headcount!$G$5:$G$90*$C$15)))/12*(1+Assumptions!$C$97)</f>
        <v>25925</v>
      </c>
      <c r="AI194" s="9" t="n">
        <f aca="false">SUMPRODUCT((Headcount!$C$5:$C$90="MKT")*Headcount!$D$5:$D$90*Headcount!$F$5:$F$90*((Headcount!$I$5:$I$90=0)+(Headcount!$I$5:$I$90=1)*$C$16)*(AI$18&gt;=(Headcount!$E$5:$E$90+Headcount!$G$5:$G$90*$C$15)))/12*(1+Assumptions!$C$97)</f>
        <v>25925</v>
      </c>
      <c r="AJ194" s="9" t="n">
        <f aca="false">SUMPRODUCT((Headcount!$C$5:$C$90="MKT")*Headcount!$D$5:$D$90*Headcount!$F$5:$F$90*((Headcount!$I$5:$I$90=0)+(Headcount!$I$5:$I$90=1)*$C$16)*(AJ$18&gt;=(Headcount!$E$5:$E$90+Headcount!$G$5:$G$90*$C$15)))/12*(1+Assumptions!$C$97)</f>
        <v>25925</v>
      </c>
      <c r="AK194" s="9" t="n">
        <f aca="false">SUMPRODUCT((Headcount!$C$5:$C$90="MKT")*Headcount!$D$5:$D$90*Headcount!$F$5:$F$90*((Headcount!$I$5:$I$90=0)+(Headcount!$I$5:$I$90=1)*$C$16)*(AK$18&gt;=(Headcount!$E$5:$E$90+Headcount!$G$5:$G$90*$C$15)))/12*(1+Assumptions!$C$97)</f>
        <v>25925</v>
      </c>
      <c r="AL194" s="9" t="n">
        <f aca="false">SUMPRODUCT((Headcount!$C$5:$C$90="MKT")*Headcount!$D$5:$D$90*Headcount!$F$5:$F$90*((Headcount!$I$5:$I$90=0)+(Headcount!$I$5:$I$90=1)*$C$16)*(AL$18&gt;=(Headcount!$E$5:$E$90+Headcount!$G$5:$G$90*$C$15)))/12*(1+Assumptions!$C$97)</f>
        <v>25925</v>
      </c>
      <c r="AN194" s="11" t="n">
        <f aca="false">SUM(C194:N194)</f>
        <v>81333.3333333333</v>
      </c>
      <c r="AO194" s="11" t="n">
        <f aca="false">SUM(O194:Z194)</f>
        <v>250608.333333333</v>
      </c>
      <c r="AP194" s="11" t="n">
        <f aca="false">SUM(AA194:AL194)</f>
        <v>311100</v>
      </c>
    </row>
    <row r="195" customFormat="false" ht="15" hidden="false" customHeight="false" outlineLevel="0" collapsed="false">
      <c r="A195" s="0" t="s">
        <v>996</v>
      </c>
      <c r="B195" s="0" t="s">
        <v>230</v>
      </c>
      <c r="C195" s="9" t="n">
        <f aca="false">SUMPRODUCT((Headcount!$C$5:$C$90="GA")*Headcount!$D$5:$D$90*Headcount!$F$5:$F$90*((Headcount!$I$5:$I$90=0)+(Headcount!$I$5:$I$90=1)*$C$16)*(C$18&gt;=(Headcount!$E$5:$E$90+Headcount!$G$5:$G$90*$C$15)))/12*(1+Assumptions!$C$97)</f>
        <v>15250</v>
      </c>
      <c r="D195" s="9" t="n">
        <f aca="false">SUMPRODUCT((Headcount!$C$5:$C$90="GA")*Headcount!$D$5:$D$90*Headcount!$F$5:$F$90*((Headcount!$I$5:$I$90=0)+(Headcount!$I$5:$I$90=1)*$C$16)*(D$18&gt;=(Headcount!$E$5:$E$90+Headcount!$G$5:$G$90*$C$15)))/12*(1+Assumptions!$C$97)</f>
        <v>15250</v>
      </c>
      <c r="E195" s="9" t="n">
        <f aca="false">SUMPRODUCT((Headcount!$C$5:$C$90="GA")*Headcount!$D$5:$D$90*Headcount!$F$5:$F$90*((Headcount!$I$5:$I$90=0)+(Headcount!$I$5:$I$90=1)*$C$16)*(E$18&gt;=(Headcount!$E$5:$E$90+Headcount!$G$5:$G$90*$C$15)))/12*(1+Assumptions!$C$97)</f>
        <v>15250</v>
      </c>
      <c r="F195" s="9" t="n">
        <f aca="false">SUMPRODUCT((Headcount!$C$5:$C$90="GA")*Headcount!$D$5:$D$90*Headcount!$F$5:$F$90*((Headcount!$I$5:$I$90=0)+(Headcount!$I$5:$I$90=1)*$C$16)*(F$18&gt;=(Headcount!$E$5:$E$90+Headcount!$G$5:$G$90*$C$15)))/12*(1+Assumptions!$C$97)</f>
        <v>15250</v>
      </c>
      <c r="G195" s="9" t="n">
        <f aca="false">SUMPRODUCT((Headcount!$C$5:$C$90="GA")*Headcount!$D$5:$D$90*Headcount!$F$5:$F$90*((Headcount!$I$5:$I$90=0)+(Headcount!$I$5:$I$90=1)*$C$16)*(G$18&gt;=(Headcount!$E$5:$E$90+Headcount!$G$5:$G$90*$C$15)))/12*(1+Assumptions!$C$97)</f>
        <v>15250</v>
      </c>
      <c r="H195" s="9" t="n">
        <f aca="false">SUMPRODUCT((Headcount!$C$5:$C$90="GA")*Headcount!$D$5:$D$90*Headcount!$F$5:$F$90*((Headcount!$I$5:$I$90=0)+(Headcount!$I$5:$I$90=1)*$C$16)*(H$18&gt;=(Headcount!$E$5:$E$90+Headcount!$G$5:$G$90*$C$15)))/12*(1+Assumptions!$C$97)</f>
        <v>15250</v>
      </c>
      <c r="I195" s="9" t="n">
        <f aca="false">SUMPRODUCT((Headcount!$C$5:$C$90="GA")*Headcount!$D$5:$D$90*Headcount!$F$5:$F$90*((Headcount!$I$5:$I$90=0)+(Headcount!$I$5:$I$90=1)*$C$16)*(I$18&gt;=(Headcount!$E$5:$E$90+Headcount!$G$5:$G$90*$C$15)))/12*(1+Assumptions!$C$97)</f>
        <v>15250</v>
      </c>
      <c r="J195" s="9" t="n">
        <f aca="false">SUMPRODUCT((Headcount!$C$5:$C$90="GA")*Headcount!$D$5:$D$90*Headcount!$F$5:$F$90*((Headcount!$I$5:$I$90=0)+(Headcount!$I$5:$I$90=1)*$C$16)*(J$18&gt;=(Headcount!$E$5:$E$90+Headcount!$G$5:$G$90*$C$15)))/12*(1+Assumptions!$C$97)</f>
        <v>15250</v>
      </c>
      <c r="K195" s="9" t="n">
        <f aca="false">SUMPRODUCT((Headcount!$C$5:$C$90="GA")*Headcount!$D$5:$D$90*Headcount!$F$5:$F$90*((Headcount!$I$5:$I$90=0)+(Headcount!$I$5:$I$90=1)*$C$16)*(K$18&gt;=(Headcount!$E$5:$E$90+Headcount!$G$5:$G$90*$C$15)))/12*(1+Assumptions!$C$97)</f>
        <v>27958.3333333333</v>
      </c>
      <c r="L195" s="9" t="n">
        <f aca="false">SUMPRODUCT((Headcount!$C$5:$C$90="GA")*Headcount!$D$5:$D$90*Headcount!$F$5:$F$90*((Headcount!$I$5:$I$90=0)+(Headcount!$I$5:$I$90=1)*$C$16)*(L$18&gt;=(Headcount!$E$5:$E$90+Headcount!$G$5:$G$90*$C$15)))/12*(1+Assumptions!$C$97)</f>
        <v>27958.3333333333</v>
      </c>
      <c r="M195" s="9" t="n">
        <f aca="false">SUMPRODUCT((Headcount!$C$5:$C$90="GA")*Headcount!$D$5:$D$90*Headcount!$F$5:$F$90*((Headcount!$I$5:$I$90=0)+(Headcount!$I$5:$I$90=1)*$C$16)*(M$18&gt;=(Headcount!$E$5:$E$90+Headcount!$G$5:$G$90*$C$15)))/12*(1+Assumptions!$C$97)</f>
        <v>27958.3333333333</v>
      </c>
      <c r="N195" s="9" t="n">
        <f aca="false">SUMPRODUCT((Headcount!$C$5:$C$90="GA")*Headcount!$D$5:$D$90*Headcount!$F$5:$F$90*((Headcount!$I$5:$I$90=0)+(Headcount!$I$5:$I$90=1)*$C$16)*(N$18&gt;=(Headcount!$E$5:$E$90+Headcount!$G$5:$G$90*$C$15)))/12*(1+Assumptions!$C$97)</f>
        <v>27958.3333333333</v>
      </c>
      <c r="O195" s="9" t="n">
        <f aca="false">SUMPRODUCT((Headcount!$C$5:$C$90="GA")*Headcount!$D$5:$D$90*Headcount!$F$5:$F$90*((Headcount!$I$5:$I$90=0)+(Headcount!$I$5:$I$90=1)*$C$16)*(O$18&gt;=(Headcount!$E$5:$E$90+Headcount!$G$5:$G$90*$C$15)))/12*(1+Assumptions!$C$97)</f>
        <v>27958.3333333333</v>
      </c>
      <c r="P195" s="9" t="n">
        <f aca="false">SUMPRODUCT((Headcount!$C$5:$C$90="GA")*Headcount!$D$5:$D$90*Headcount!$F$5:$F$90*((Headcount!$I$5:$I$90=0)+(Headcount!$I$5:$I$90=1)*$C$16)*(P$18&gt;=(Headcount!$E$5:$E$90+Headcount!$G$5:$G$90*$C$15)))/12*(1+Assumptions!$C$97)</f>
        <v>27958.3333333333</v>
      </c>
      <c r="Q195" s="9" t="n">
        <f aca="false">SUMPRODUCT((Headcount!$C$5:$C$90="GA")*Headcount!$D$5:$D$90*Headcount!$F$5:$F$90*((Headcount!$I$5:$I$90=0)+(Headcount!$I$5:$I$90=1)*$C$16)*(Q$18&gt;=(Headcount!$E$5:$E$90+Headcount!$G$5:$G$90*$C$15)))/12*(1+Assumptions!$C$97)</f>
        <v>40158.3333333333</v>
      </c>
      <c r="R195" s="9" t="n">
        <f aca="false">SUMPRODUCT((Headcount!$C$5:$C$90="GA")*Headcount!$D$5:$D$90*Headcount!$F$5:$F$90*((Headcount!$I$5:$I$90=0)+(Headcount!$I$5:$I$90=1)*$C$16)*(R$18&gt;=(Headcount!$E$5:$E$90+Headcount!$G$5:$G$90*$C$15)))/12*(1+Assumptions!$C$97)</f>
        <v>40158.3333333333</v>
      </c>
      <c r="S195" s="9" t="n">
        <f aca="false">SUMPRODUCT((Headcount!$C$5:$C$90="GA")*Headcount!$D$5:$D$90*Headcount!$F$5:$F$90*((Headcount!$I$5:$I$90=0)+(Headcount!$I$5:$I$90=1)*$C$16)*(S$18&gt;=(Headcount!$E$5:$E$90+Headcount!$G$5:$G$90*$C$15)))/12*(1+Assumptions!$C$97)</f>
        <v>40158.3333333333</v>
      </c>
      <c r="T195" s="9" t="n">
        <f aca="false">SUMPRODUCT((Headcount!$C$5:$C$90="GA")*Headcount!$D$5:$D$90*Headcount!$F$5:$F$90*((Headcount!$I$5:$I$90=0)+(Headcount!$I$5:$I$90=1)*$C$16)*(T$18&gt;=(Headcount!$E$5:$E$90+Headcount!$G$5:$G$90*$C$15)))/12*(1+Assumptions!$C$97)</f>
        <v>40158.3333333333</v>
      </c>
      <c r="U195" s="9" t="n">
        <f aca="false">SUMPRODUCT((Headcount!$C$5:$C$90="GA")*Headcount!$D$5:$D$90*Headcount!$F$5:$F$90*((Headcount!$I$5:$I$90=0)+(Headcount!$I$5:$I$90=1)*$C$16)*(U$18&gt;=(Headcount!$E$5:$E$90+Headcount!$G$5:$G$90*$C$15)))/12*(1+Assumptions!$C$97)</f>
        <v>40158.3333333333</v>
      </c>
      <c r="V195" s="9" t="n">
        <f aca="false">SUMPRODUCT((Headcount!$C$5:$C$90="GA")*Headcount!$D$5:$D$90*Headcount!$F$5:$F$90*((Headcount!$I$5:$I$90=0)+(Headcount!$I$5:$I$90=1)*$C$16)*(V$18&gt;=(Headcount!$E$5:$E$90+Headcount!$G$5:$G$90*$C$15)))/12*(1+Assumptions!$C$97)</f>
        <v>40158.3333333333</v>
      </c>
      <c r="W195" s="9" t="n">
        <f aca="false">SUMPRODUCT((Headcount!$C$5:$C$90="GA")*Headcount!$D$5:$D$90*Headcount!$F$5:$F$90*((Headcount!$I$5:$I$90=0)+(Headcount!$I$5:$I$90=1)*$C$16)*(W$18&gt;=(Headcount!$E$5:$E$90+Headcount!$G$5:$G$90*$C$15)))/12*(1+Assumptions!$C$97)</f>
        <v>40158.3333333333</v>
      </c>
      <c r="X195" s="9" t="n">
        <f aca="false">SUMPRODUCT((Headcount!$C$5:$C$90="GA")*Headcount!$D$5:$D$90*Headcount!$F$5:$F$90*((Headcount!$I$5:$I$90=0)+(Headcount!$I$5:$I$90=1)*$C$16)*(X$18&gt;=(Headcount!$E$5:$E$90+Headcount!$G$5:$G$90*$C$15)))/12*(1+Assumptions!$C$97)</f>
        <v>40158.3333333333</v>
      </c>
      <c r="Y195" s="9" t="n">
        <f aca="false">SUMPRODUCT((Headcount!$C$5:$C$90="GA")*Headcount!$D$5:$D$90*Headcount!$F$5:$F$90*((Headcount!$I$5:$I$90=0)+(Headcount!$I$5:$I$90=1)*$C$16)*(Y$18&gt;=(Headcount!$E$5:$E$90+Headcount!$G$5:$G$90*$C$15)))/12*(1+Assumptions!$C$97)</f>
        <v>40158.3333333333</v>
      </c>
      <c r="Z195" s="9" t="n">
        <f aca="false">SUMPRODUCT((Headcount!$C$5:$C$90="GA")*Headcount!$D$5:$D$90*Headcount!$F$5:$F$90*((Headcount!$I$5:$I$90=0)+(Headcount!$I$5:$I$90=1)*$C$16)*(Z$18&gt;=(Headcount!$E$5:$E$90+Headcount!$G$5:$G$90*$C$15)))/12*(1+Assumptions!$C$97)</f>
        <v>48800</v>
      </c>
      <c r="AA195" s="9" t="n">
        <f aca="false">SUMPRODUCT((Headcount!$C$5:$C$90="GA")*Headcount!$D$5:$D$90*Headcount!$F$5:$F$90*((Headcount!$I$5:$I$90=0)+(Headcount!$I$5:$I$90=1)*$C$16)*(AA$18&gt;=(Headcount!$E$5:$E$90+Headcount!$G$5:$G$90*$C$15)))/12*(1+Assumptions!$C$97)</f>
        <v>48800</v>
      </c>
      <c r="AB195" s="9" t="n">
        <f aca="false">SUMPRODUCT((Headcount!$C$5:$C$90="GA")*Headcount!$D$5:$D$90*Headcount!$F$5:$F$90*((Headcount!$I$5:$I$90=0)+(Headcount!$I$5:$I$90=1)*$C$16)*(AB$18&gt;=(Headcount!$E$5:$E$90+Headcount!$G$5:$G$90*$C$15)))/12*(1+Assumptions!$C$97)</f>
        <v>48800</v>
      </c>
      <c r="AC195" s="9" t="n">
        <f aca="false">SUMPRODUCT((Headcount!$C$5:$C$90="GA")*Headcount!$D$5:$D$90*Headcount!$F$5:$F$90*((Headcount!$I$5:$I$90=0)+(Headcount!$I$5:$I$90=1)*$C$16)*(AC$18&gt;=(Headcount!$E$5:$E$90+Headcount!$G$5:$G$90*$C$15)))/12*(1+Assumptions!$C$97)</f>
        <v>48800</v>
      </c>
      <c r="AD195" s="9" t="n">
        <f aca="false">SUMPRODUCT((Headcount!$C$5:$C$90="GA")*Headcount!$D$5:$D$90*Headcount!$F$5:$F$90*((Headcount!$I$5:$I$90=0)+(Headcount!$I$5:$I$90=1)*$C$16)*(AD$18&gt;=(Headcount!$E$5:$E$90+Headcount!$G$5:$G$90*$C$15)))/12*(1+Assumptions!$C$97)</f>
        <v>48800</v>
      </c>
      <c r="AE195" s="9" t="n">
        <f aca="false">SUMPRODUCT((Headcount!$C$5:$C$90="GA")*Headcount!$D$5:$D$90*Headcount!$F$5:$F$90*((Headcount!$I$5:$I$90=0)+(Headcount!$I$5:$I$90=1)*$C$16)*(AE$18&gt;=(Headcount!$E$5:$E$90+Headcount!$G$5:$G$90*$C$15)))/12*(1+Assumptions!$C$97)</f>
        <v>48800</v>
      </c>
      <c r="AF195" s="9" t="n">
        <f aca="false">SUMPRODUCT((Headcount!$C$5:$C$90="GA")*Headcount!$D$5:$D$90*Headcount!$F$5:$F$90*((Headcount!$I$5:$I$90=0)+(Headcount!$I$5:$I$90=1)*$C$16)*(AF$18&gt;=(Headcount!$E$5:$E$90+Headcount!$G$5:$G$90*$C$15)))/12*(1+Assumptions!$C$97)</f>
        <v>48800</v>
      </c>
      <c r="AG195" s="9" t="n">
        <f aca="false">SUMPRODUCT((Headcount!$C$5:$C$90="GA")*Headcount!$D$5:$D$90*Headcount!$F$5:$F$90*((Headcount!$I$5:$I$90=0)+(Headcount!$I$5:$I$90=1)*$C$16)*(AG$18&gt;=(Headcount!$E$5:$E$90+Headcount!$G$5:$G$90*$C$15)))/12*(1+Assumptions!$C$97)</f>
        <v>48800</v>
      </c>
      <c r="AH195" s="9" t="n">
        <f aca="false">SUMPRODUCT((Headcount!$C$5:$C$90="GA")*Headcount!$D$5:$D$90*Headcount!$F$5:$F$90*((Headcount!$I$5:$I$90=0)+(Headcount!$I$5:$I$90=1)*$C$16)*(AH$18&gt;=(Headcount!$E$5:$E$90+Headcount!$G$5:$G$90*$C$15)))/12*(1+Assumptions!$C$97)</f>
        <v>48800</v>
      </c>
      <c r="AI195" s="9" t="n">
        <f aca="false">SUMPRODUCT((Headcount!$C$5:$C$90="GA")*Headcount!$D$5:$D$90*Headcount!$F$5:$F$90*((Headcount!$I$5:$I$90=0)+(Headcount!$I$5:$I$90=1)*$C$16)*(AI$18&gt;=(Headcount!$E$5:$E$90+Headcount!$G$5:$G$90*$C$15)))/12*(1+Assumptions!$C$97)</f>
        <v>48800</v>
      </c>
      <c r="AJ195" s="9" t="n">
        <f aca="false">SUMPRODUCT((Headcount!$C$5:$C$90="GA")*Headcount!$D$5:$D$90*Headcount!$F$5:$F$90*((Headcount!$I$5:$I$90=0)+(Headcount!$I$5:$I$90=1)*$C$16)*(AJ$18&gt;=(Headcount!$E$5:$E$90+Headcount!$G$5:$G$90*$C$15)))/12*(1+Assumptions!$C$97)</f>
        <v>48800</v>
      </c>
      <c r="AK195" s="9" t="n">
        <f aca="false">SUMPRODUCT((Headcount!$C$5:$C$90="GA")*Headcount!$D$5:$D$90*Headcount!$F$5:$F$90*((Headcount!$I$5:$I$90=0)+(Headcount!$I$5:$I$90=1)*$C$16)*(AK$18&gt;=(Headcount!$E$5:$E$90+Headcount!$G$5:$G$90*$C$15)))/12*(1+Assumptions!$C$97)</f>
        <v>48800</v>
      </c>
      <c r="AL195" s="9" t="n">
        <f aca="false">SUMPRODUCT((Headcount!$C$5:$C$90="GA")*Headcount!$D$5:$D$90*Headcount!$F$5:$F$90*((Headcount!$I$5:$I$90=0)+(Headcount!$I$5:$I$90=1)*$C$16)*(AL$18&gt;=(Headcount!$E$5:$E$90+Headcount!$G$5:$G$90*$C$15)))/12*(1+Assumptions!$C$97)</f>
        <v>48800</v>
      </c>
      <c r="AN195" s="11" t="n">
        <f aca="false">SUM(C195:N195)</f>
        <v>233833.333333333</v>
      </c>
      <c r="AO195" s="11" t="n">
        <f aca="false">SUM(O195:Z195)</f>
        <v>466141.666666667</v>
      </c>
      <c r="AP195" s="11" t="n">
        <f aca="false">SUM(AA195:AL195)</f>
        <v>585600</v>
      </c>
    </row>
    <row r="196" customFormat="false" ht="15" hidden="false" customHeight="false" outlineLevel="0" collapsed="false">
      <c r="A196" s="0" t="s">
        <v>997</v>
      </c>
      <c r="B196" s="0" t="s">
        <v>618</v>
      </c>
      <c r="C196" s="13" t="n">
        <f aca="false">SUMPRODUCT(Headcount!$D$5:$D$90*((Headcount!$I$5:$I$90=0)+(Headcount!$I$5:$I$90=1)*$C$16)*(C$18&gt;=(Headcount!$E$5:$E$90+Headcount!$G$5:$G$90*$C$15)))</f>
        <v>4.4</v>
      </c>
      <c r="D196" s="13" t="n">
        <f aca="false">SUMPRODUCT(Headcount!$D$5:$D$90*((Headcount!$I$5:$I$90=0)+(Headcount!$I$5:$I$90=1)*$C$16)*(D$18&gt;=(Headcount!$E$5:$E$90+Headcount!$G$5:$G$90*$C$15)))</f>
        <v>4.4</v>
      </c>
      <c r="E196" s="13" t="n">
        <f aca="false">SUMPRODUCT(Headcount!$D$5:$D$90*((Headcount!$I$5:$I$90=0)+(Headcount!$I$5:$I$90=1)*$C$16)*(E$18&gt;=(Headcount!$E$5:$E$90+Headcount!$G$5:$G$90*$C$15)))</f>
        <v>5.4</v>
      </c>
      <c r="F196" s="13" t="n">
        <f aca="false">SUMPRODUCT(Headcount!$D$5:$D$90*((Headcount!$I$5:$I$90=0)+(Headcount!$I$5:$I$90=1)*$C$16)*(F$18&gt;=(Headcount!$E$5:$E$90+Headcount!$G$5:$G$90*$C$15)))</f>
        <v>6.4</v>
      </c>
      <c r="G196" s="13" t="n">
        <f aca="false">SUMPRODUCT(Headcount!$D$5:$D$90*((Headcount!$I$5:$I$90=0)+(Headcount!$I$5:$I$90=1)*$C$16)*(G$18&gt;=(Headcount!$E$5:$E$90+Headcount!$G$5:$G$90*$C$15)))</f>
        <v>7.4</v>
      </c>
      <c r="H196" s="13" t="n">
        <f aca="false">SUMPRODUCT(Headcount!$D$5:$D$90*((Headcount!$I$5:$I$90=0)+(Headcount!$I$5:$I$90=1)*$C$16)*(H$18&gt;=(Headcount!$E$5:$E$90+Headcount!$G$5:$G$90*$C$15)))</f>
        <v>9.4</v>
      </c>
      <c r="I196" s="13" t="n">
        <f aca="false">SUMPRODUCT(Headcount!$D$5:$D$90*((Headcount!$I$5:$I$90=0)+(Headcount!$I$5:$I$90=1)*$C$16)*(I$18&gt;=(Headcount!$E$5:$E$90+Headcount!$G$5:$G$90*$C$15)))</f>
        <v>10.4</v>
      </c>
      <c r="J196" s="13" t="n">
        <f aca="false">SUMPRODUCT(Headcount!$D$5:$D$90*((Headcount!$I$5:$I$90=0)+(Headcount!$I$5:$I$90=1)*$C$16)*(J$18&gt;=(Headcount!$E$5:$E$90+Headcount!$G$5:$G$90*$C$15)))</f>
        <v>10.4</v>
      </c>
      <c r="K196" s="13" t="n">
        <f aca="false">SUMPRODUCT(Headcount!$D$5:$D$90*((Headcount!$I$5:$I$90=0)+(Headcount!$I$5:$I$90=1)*$C$16)*(K$18&gt;=(Headcount!$E$5:$E$90+Headcount!$G$5:$G$90*$C$15)))</f>
        <v>13.4</v>
      </c>
      <c r="L196" s="13" t="n">
        <f aca="false">SUMPRODUCT(Headcount!$D$5:$D$90*((Headcount!$I$5:$I$90=0)+(Headcount!$I$5:$I$90=1)*$C$16)*(L$18&gt;=(Headcount!$E$5:$E$90+Headcount!$G$5:$G$90*$C$15)))</f>
        <v>14.4</v>
      </c>
      <c r="M196" s="13" t="n">
        <f aca="false">SUMPRODUCT(Headcount!$D$5:$D$90*((Headcount!$I$5:$I$90=0)+(Headcount!$I$5:$I$90=1)*$C$16)*(M$18&gt;=(Headcount!$E$5:$E$90+Headcount!$G$5:$G$90*$C$15)))</f>
        <v>15.4</v>
      </c>
      <c r="N196" s="13" t="n">
        <f aca="false">SUMPRODUCT(Headcount!$D$5:$D$90*((Headcount!$I$5:$I$90=0)+(Headcount!$I$5:$I$90=1)*$C$16)*(N$18&gt;=(Headcount!$E$5:$E$90+Headcount!$G$5:$G$90*$C$15)))</f>
        <v>16.4</v>
      </c>
      <c r="O196" s="13" t="n">
        <f aca="false">SUMPRODUCT(Headcount!$D$5:$D$90*((Headcount!$I$5:$I$90=0)+(Headcount!$I$5:$I$90=1)*$C$16)*(O$18&gt;=(Headcount!$E$5:$E$90+Headcount!$G$5:$G$90*$C$15)))</f>
        <v>17.4</v>
      </c>
      <c r="P196" s="13" t="n">
        <f aca="false">SUMPRODUCT(Headcount!$D$5:$D$90*((Headcount!$I$5:$I$90=0)+(Headcount!$I$5:$I$90=1)*$C$16)*(P$18&gt;=(Headcount!$E$5:$E$90+Headcount!$G$5:$G$90*$C$15)))</f>
        <v>18.4</v>
      </c>
      <c r="Q196" s="13" t="n">
        <f aca="false">SUMPRODUCT(Headcount!$D$5:$D$90*((Headcount!$I$5:$I$90=0)+(Headcount!$I$5:$I$90=1)*$C$16)*(Q$18&gt;=(Headcount!$E$5:$E$90+Headcount!$G$5:$G$90*$C$15)))</f>
        <v>19.4</v>
      </c>
      <c r="R196" s="13" t="n">
        <f aca="false">SUMPRODUCT(Headcount!$D$5:$D$90*((Headcount!$I$5:$I$90=0)+(Headcount!$I$5:$I$90=1)*$C$16)*(R$18&gt;=(Headcount!$E$5:$E$90+Headcount!$G$5:$G$90*$C$15)))</f>
        <v>19.4</v>
      </c>
      <c r="S196" s="13" t="n">
        <f aca="false">SUMPRODUCT(Headcount!$D$5:$D$90*((Headcount!$I$5:$I$90=0)+(Headcount!$I$5:$I$90=1)*$C$16)*(S$18&gt;=(Headcount!$E$5:$E$90+Headcount!$G$5:$G$90*$C$15)))</f>
        <v>21.4</v>
      </c>
      <c r="T196" s="13" t="n">
        <f aca="false">SUMPRODUCT(Headcount!$D$5:$D$90*((Headcount!$I$5:$I$90=0)+(Headcount!$I$5:$I$90=1)*$C$16)*(T$18&gt;=(Headcount!$E$5:$E$90+Headcount!$G$5:$G$90*$C$15)))</f>
        <v>22.4</v>
      </c>
      <c r="U196" s="13" t="n">
        <f aca="false">SUMPRODUCT(Headcount!$D$5:$D$90*((Headcount!$I$5:$I$90=0)+(Headcount!$I$5:$I$90=1)*$C$16)*(U$18&gt;=(Headcount!$E$5:$E$90+Headcount!$G$5:$G$90*$C$15)))</f>
        <v>23.4</v>
      </c>
      <c r="V196" s="13" t="n">
        <f aca="false">SUMPRODUCT(Headcount!$D$5:$D$90*((Headcount!$I$5:$I$90=0)+(Headcount!$I$5:$I$90=1)*$C$16)*(V$18&gt;=(Headcount!$E$5:$E$90+Headcount!$G$5:$G$90*$C$15)))</f>
        <v>25.4</v>
      </c>
      <c r="W196" s="13" t="n">
        <f aca="false">SUMPRODUCT(Headcount!$D$5:$D$90*((Headcount!$I$5:$I$90=0)+(Headcount!$I$5:$I$90=1)*$C$16)*(W$18&gt;=(Headcount!$E$5:$E$90+Headcount!$G$5:$G$90*$C$15)))</f>
        <v>26.4</v>
      </c>
      <c r="X196" s="13" t="n">
        <f aca="false">SUMPRODUCT(Headcount!$D$5:$D$90*((Headcount!$I$5:$I$90=0)+(Headcount!$I$5:$I$90=1)*$C$16)*(X$18&gt;=(Headcount!$E$5:$E$90+Headcount!$G$5:$G$90*$C$15)))</f>
        <v>26.4</v>
      </c>
      <c r="Y196" s="13" t="n">
        <f aca="false">SUMPRODUCT(Headcount!$D$5:$D$90*((Headcount!$I$5:$I$90=0)+(Headcount!$I$5:$I$90=1)*$C$16)*(Y$18&gt;=(Headcount!$E$5:$E$90+Headcount!$G$5:$G$90*$C$15)))</f>
        <v>26.4</v>
      </c>
      <c r="Z196" s="13" t="n">
        <f aca="false">SUMPRODUCT(Headcount!$D$5:$D$90*((Headcount!$I$5:$I$90=0)+(Headcount!$I$5:$I$90=1)*$C$16)*(Z$18&gt;=(Headcount!$E$5:$E$90+Headcount!$G$5:$G$90*$C$15)))</f>
        <v>28.4</v>
      </c>
      <c r="AA196" s="13" t="n">
        <f aca="false">SUMPRODUCT(Headcount!$D$5:$D$90*((Headcount!$I$5:$I$90=0)+(Headcount!$I$5:$I$90=1)*$C$16)*(AA$18&gt;=(Headcount!$E$5:$E$90+Headcount!$G$5:$G$90*$C$15)))</f>
        <v>29.4</v>
      </c>
      <c r="AB196" s="13" t="n">
        <f aca="false">SUMPRODUCT(Headcount!$D$5:$D$90*((Headcount!$I$5:$I$90=0)+(Headcount!$I$5:$I$90=1)*$C$16)*(AB$18&gt;=(Headcount!$E$5:$E$90+Headcount!$G$5:$G$90*$C$15)))</f>
        <v>31.4</v>
      </c>
      <c r="AC196" s="13" t="n">
        <f aca="false">SUMPRODUCT(Headcount!$D$5:$D$90*((Headcount!$I$5:$I$90=0)+(Headcount!$I$5:$I$90=1)*$C$16)*(AC$18&gt;=(Headcount!$E$5:$E$90+Headcount!$G$5:$G$90*$C$15)))</f>
        <v>31.4</v>
      </c>
      <c r="AD196" s="13" t="n">
        <f aca="false">SUMPRODUCT(Headcount!$D$5:$D$90*((Headcount!$I$5:$I$90=0)+(Headcount!$I$5:$I$90=1)*$C$16)*(AD$18&gt;=(Headcount!$E$5:$E$90+Headcount!$G$5:$G$90*$C$15)))</f>
        <v>33.4</v>
      </c>
      <c r="AE196" s="13" t="n">
        <f aca="false">SUMPRODUCT(Headcount!$D$5:$D$90*((Headcount!$I$5:$I$90=0)+(Headcount!$I$5:$I$90=1)*$C$16)*(AE$18&gt;=(Headcount!$E$5:$E$90+Headcount!$G$5:$G$90*$C$15)))</f>
        <v>33.4</v>
      </c>
      <c r="AF196" s="13" t="n">
        <f aca="false">SUMPRODUCT(Headcount!$D$5:$D$90*((Headcount!$I$5:$I$90=0)+(Headcount!$I$5:$I$90=1)*$C$16)*(AF$18&gt;=(Headcount!$E$5:$E$90+Headcount!$G$5:$G$90*$C$15)))</f>
        <v>33.4</v>
      </c>
      <c r="AG196" s="13" t="n">
        <f aca="false">SUMPRODUCT(Headcount!$D$5:$D$90*((Headcount!$I$5:$I$90=0)+(Headcount!$I$5:$I$90=1)*$C$16)*(AG$18&gt;=(Headcount!$E$5:$E$90+Headcount!$G$5:$G$90*$C$15)))</f>
        <v>34.4</v>
      </c>
      <c r="AH196" s="13" t="n">
        <f aca="false">SUMPRODUCT(Headcount!$D$5:$D$90*((Headcount!$I$5:$I$90=0)+(Headcount!$I$5:$I$90=1)*$C$16)*(AH$18&gt;=(Headcount!$E$5:$E$90+Headcount!$G$5:$G$90*$C$15)))</f>
        <v>34.4</v>
      </c>
      <c r="AI196" s="13" t="n">
        <f aca="false">SUMPRODUCT(Headcount!$D$5:$D$90*((Headcount!$I$5:$I$90=0)+(Headcount!$I$5:$I$90=1)*$C$16)*(AI$18&gt;=(Headcount!$E$5:$E$90+Headcount!$G$5:$G$90*$C$15)))</f>
        <v>35.4</v>
      </c>
      <c r="AJ196" s="13" t="n">
        <f aca="false">SUMPRODUCT(Headcount!$D$5:$D$90*((Headcount!$I$5:$I$90=0)+(Headcount!$I$5:$I$90=1)*$C$16)*(AJ$18&gt;=(Headcount!$E$5:$E$90+Headcount!$G$5:$G$90*$C$15)))</f>
        <v>37.4</v>
      </c>
      <c r="AK196" s="13" t="n">
        <f aca="false">SUMPRODUCT(Headcount!$D$5:$D$90*((Headcount!$I$5:$I$90=0)+(Headcount!$I$5:$I$90=1)*$C$16)*(AK$18&gt;=(Headcount!$E$5:$E$90+Headcount!$G$5:$G$90*$C$15)))</f>
        <v>37.4</v>
      </c>
      <c r="AL196" s="13" t="n">
        <f aca="false">SUMPRODUCT(Headcount!$D$5:$D$90*((Headcount!$I$5:$I$90=0)+(Headcount!$I$5:$I$90=1)*$C$16)*(AL$18&gt;=(Headcount!$E$5:$E$90+Headcount!$G$5:$G$90*$C$15)))</f>
        <v>38.4</v>
      </c>
      <c r="AN196" s="37" t="n">
        <f aca="false">N196</f>
        <v>16.4</v>
      </c>
      <c r="AO196" s="37" t="n">
        <f aca="false">Z196</f>
        <v>28.4</v>
      </c>
      <c r="AP196" s="37" t="n">
        <f aca="false">AL196</f>
        <v>38.4</v>
      </c>
    </row>
    <row r="197" customFormat="false" ht="15" hidden="false" customHeight="false" outlineLevel="0" collapsed="false">
      <c r="A197" s="0" t="s">
        <v>998</v>
      </c>
      <c r="B197" s="0" t="s">
        <v>618</v>
      </c>
      <c r="C197" s="13" t="n">
        <f aca="false">SUMPRODUCT(Headcount!$D$5:$D$90*(Headcount!$C$5:$C$90="IMPL")*((Headcount!$I$5:$I$90=0)+(Headcount!$I$5:$I$90=1)*$C$16)*(C$18&gt;=(Headcount!$E$5:$E$90+Headcount!$G$5:$G$90*$C$15)))</f>
        <v>0</v>
      </c>
      <c r="D197" s="13" t="n">
        <f aca="false">SUMPRODUCT(Headcount!$D$5:$D$90*(Headcount!$C$5:$C$90="IMPL")*((Headcount!$I$5:$I$90=0)+(Headcount!$I$5:$I$90=1)*$C$16)*(D$18&gt;=(Headcount!$E$5:$E$90+Headcount!$G$5:$G$90*$C$15)))</f>
        <v>0</v>
      </c>
      <c r="E197" s="13" t="n">
        <f aca="false">SUMPRODUCT(Headcount!$D$5:$D$90*(Headcount!$C$5:$C$90="IMPL")*((Headcount!$I$5:$I$90=0)+(Headcount!$I$5:$I$90=1)*$C$16)*(E$18&gt;=(Headcount!$E$5:$E$90+Headcount!$G$5:$G$90*$C$15)))</f>
        <v>0</v>
      </c>
      <c r="F197" s="13" t="n">
        <f aca="false">SUMPRODUCT(Headcount!$D$5:$D$90*(Headcount!$C$5:$C$90="IMPL")*((Headcount!$I$5:$I$90=0)+(Headcount!$I$5:$I$90=1)*$C$16)*(F$18&gt;=(Headcount!$E$5:$E$90+Headcount!$G$5:$G$90*$C$15)))</f>
        <v>0</v>
      </c>
      <c r="G197" s="13" t="n">
        <f aca="false">SUMPRODUCT(Headcount!$D$5:$D$90*(Headcount!$C$5:$C$90="IMPL")*((Headcount!$I$5:$I$90=0)+(Headcount!$I$5:$I$90=1)*$C$16)*(G$18&gt;=(Headcount!$E$5:$E$90+Headcount!$G$5:$G$90*$C$15)))</f>
        <v>0</v>
      </c>
      <c r="H197" s="13" t="n">
        <f aca="false">SUMPRODUCT(Headcount!$D$5:$D$90*(Headcount!$C$5:$C$90="IMPL")*((Headcount!$I$5:$I$90=0)+(Headcount!$I$5:$I$90=1)*$C$16)*(H$18&gt;=(Headcount!$E$5:$E$90+Headcount!$G$5:$G$90*$C$15)))</f>
        <v>0</v>
      </c>
      <c r="I197" s="13" t="n">
        <f aca="false">SUMPRODUCT(Headcount!$D$5:$D$90*(Headcount!$C$5:$C$90="IMPL")*((Headcount!$I$5:$I$90=0)+(Headcount!$I$5:$I$90=1)*$C$16)*(I$18&gt;=(Headcount!$E$5:$E$90+Headcount!$G$5:$G$90*$C$15)))</f>
        <v>0</v>
      </c>
      <c r="J197" s="13" t="n">
        <f aca="false">SUMPRODUCT(Headcount!$D$5:$D$90*(Headcount!$C$5:$C$90="IMPL")*((Headcount!$I$5:$I$90=0)+(Headcount!$I$5:$I$90=1)*$C$16)*(J$18&gt;=(Headcount!$E$5:$E$90+Headcount!$G$5:$G$90*$C$15)))</f>
        <v>0</v>
      </c>
      <c r="K197" s="13" t="n">
        <f aca="false">SUMPRODUCT(Headcount!$D$5:$D$90*(Headcount!$C$5:$C$90="IMPL")*((Headcount!$I$5:$I$90=0)+(Headcount!$I$5:$I$90=1)*$C$16)*(K$18&gt;=(Headcount!$E$5:$E$90+Headcount!$G$5:$G$90*$C$15)))</f>
        <v>0</v>
      </c>
      <c r="L197" s="13" t="n">
        <f aca="false">SUMPRODUCT(Headcount!$D$5:$D$90*(Headcount!$C$5:$C$90="IMPL")*((Headcount!$I$5:$I$90=0)+(Headcount!$I$5:$I$90=1)*$C$16)*(L$18&gt;=(Headcount!$E$5:$E$90+Headcount!$G$5:$G$90*$C$15)))</f>
        <v>0</v>
      </c>
      <c r="M197" s="13" t="n">
        <f aca="false">SUMPRODUCT(Headcount!$D$5:$D$90*(Headcount!$C$5:$C$90="IMPL")*((Headcount!$I$5:$I$90=0)+(Headcount!$I$5:$I$90=1)*$C$16)*(M$18&gt;=(Headcount!$E$5:$E$90+Headcount!$G$5:$G$90*$C$15)))</f>
        <v>1</v>
      </c>
      <c r="N197" s="13" t="n">
        <f aca="false">SUMPRODUCT(Headcount!$D$5:$D$90*(Headcount!$C$5:$C$90="IMPL")*((Headcount!$I$5:$I$90=0)+(Headcount!$I$5:$I$90=1)*$C$16)*(N$18&gt;=(Headcount!$E$5:$E$90+Headcount!$G$5:$G$90*$C$15)))</f>
        <v>1</v>
      </c>
      <c r="O197" s="13" t="n">
        <f aca="false">SUMPRODUCT(Headcount!$D$5:$D$90*(Headcount!$C$5:$C$90="IMPL")*((Headcount!$I$5:$I$90=0)+(Headcount!$I$5:$I$90=1)*$C$16)*(O$18&gt;=(Headcount!$E$5:$E$90+Headcount!$G$5:$G$90*$C$15)))</f>
        <v>1</v>
      </c>
      <c r="P197" s="13" t="n">
        <f aca="false">SUMPRODUCT(Headcount!$D$5:$D$90*(Headcount!$C$5:$C$90="IMPL")*((Headcount!$I$5:$I$90=0)+(Headcount!$I$5:$I$90=1)*$C$16)*(P$18&gt;=(Headcount!$E$5:$E$90+Headcount!$G$5:$G$90*$C$15)))</f>
        <v>1</v>
      </c>
      <c r="Q197" s="13" t="n">
        <f aca="false">SUMPRODUCT(Headcount!$D$5:$D$90*(Headcount!$C$5:$C$90="IMPL")*((Headcount!$I$5:$I$90=0)+(Headcount!$I$5:$I$90=1)*$C$16)*(Q$18&gt;=(Headcount!$E$5:$E$90+Headcount!$G$5:$G$90*$C$15)))</f>
        <v>1</v>
      </c>
      <c r="R197" s="13" t="n">
        <f aca="false">SUMPRODUCT(Headcount!$D$5:$D$90*(Headcount!$C$5:$C$90="IMPL")*((Headcount!$I$5:$I$90=0)+(Headcount!$I$5:$I$90=1)*$C$16)*(R$18&gt;=(Headcount!$E$5:$E$90+Headcount!$G$5:$G$90*$C$15)))</f>
        <v>1</v>
      </c>
      <c r="S197" s="13" t="n">
        <f aca="false">SUMPRODUCT(Headcount!$D$5:$D$90*(Headcount!$C$5:$C$90="IMPL")*((Headcount!$I$5:$I$90=0)+(Headcount!$I$5:$I$90=1)*$C$16)*(S$18&gt;=(Headcount!$E$5:$E$90+Headcount!$G$5:$G$90*$C$15)))</f>
        <v>2</v>
      </c>
      <c r="T197" s="13" t="n">
        <f aca="false">SUMPRODUCT(Headcount!$D$5:$D$90*(Headcount!$C$5:$C$90="IMPL")*((Headcount!$I$5:$I$90=0)+(Headcount!$I$5:$I$90=1)*$C$16)*(T$18&gt;=(Headcount!$E$5:$E$90+Headcount!$G$5:$G$90*$C$15)))</f>
        <v>2</v>
      </c>
      <c r="U197" s="13" t="n">
        <f aca="false">SUMPRODUCT(Headcount!$D$5:$D$90*(Headcount!$C$5:$C$90="IMPL")*((Headcount!$I$5:$I$90=0)+(Headcount!$I$5:$I$90=1)*$C$16)*(U$18&gt;=(Headcount!$E$5:$E$90+Headcount!$G$5:$G$90*$C$15)))</f>
        <v>2</v>
      </c>
      <c r="V197" s="13" t="n">
        <f aca="false">SUMPRODUCT(Headcount!$D$5:$D$90*(Headcount!$C$5:$C$90="IMPL")*((Headcount!$I$5:$I$90=0)+(Headcount!$I$5:$I$90=1)*$C$16)*(V$18&gt;=(Headcount!$E$5:$E$90+Headcount!$G$5:$G$90*$C$15)))</f>
        <v>2</v>
      </c>
      <c r="W197" s="13" t="n">
        <f aca="false">SUMPRODUCT(Headcount!$D$5:$D$90*(Headcount!$C$5:$C$90="IMPL")*((Headcount!$I$5:$I$90=0)+(Headcount!$I$5:$I$90=1)*$C$16)*(W$18&gt;=(Headcount!$E$5:$E$90+Headcount!$G$5:$G$90*$C$15)))</f>
        <v>3</v>
      </c>
      <c r="X197" s="13" t="n">
        <f aca="false">SUMPRODUCT(Headcount!$D$5:$D$90*(Headcount!$C$5:$C$90="IMPL")*((Headcount!$I$5:$I$90=0)+(Headcount!$I$5:$I$90=1)*$C$16)*(X$18&gt;=(Headcount!$E$5:$E$90+Headcount!$G$5:$G$90*$C$15)))</f>
        <v>3</v>
      </c>
      <c r="Y197" s="13" t="n">
        <f aca="false">SUMPRODUCT(Headcount!$D$5:$D$90*(Headcount!$C$5:$C$90="IMPL")*((Headcount!$I$5:$I$90=0)+(Headcount!$I$5:$I$90=1)*$C$16)*(Y$18&gt;=(Headcount!$E$5:$E$90+Headcount!$G$5:$G$90*$C$15)))</f>
        <v>3</v>
      </c>
      <c r="Z197" s="13" t="n">
        <f aca="false">SUMPRODUCT(Headcount!$D$5:$D$90*(Headcount!$C$5:$C$90="IMPL")*((Headcount!$I$5:$I$90=0)+(Headcount!$I$5:$I$90=1)*$C$16)*(Z$18&gt;=(Headcount!$E$5:$E$90+Headcount!$G$5:$G$90*$C$15)))</f>
        <v>3</v>
      </c>
      <c r="AA197" s="13" t="n">
        <f aca="false">SUMPRODUCT(Headcount!$D$5:$D$90*(Headcount!$C$5:$C$90="IMPL")*((Headcount!$I$5:$I$90=0)+(Headcount!$I$5:$I$90=1)*$C$16)*(AA$18&gt;=(Headcount!$E$5:$E$90+Headcount!$G$5:$G$90*$C$15)))</f>
        <v>4</v>
      </c>
      <c r="AB197" s="13" t="n">
        <f aca="false">SUMPRODUCT(Headcount!$D$5:$D$90*(Headcount!$C$5:$C$90="IMPL")*((Headcount!$I$5:$I$90=0)+(Headcount!$I$5:$I$90=1)*$C$16)*(AB$18&gt;=(Headcount!$E$5:$E$90+Headcount!$G$5:$G$90*$C$15)))</f>
        <v>4</v>
      </c>
      <c r="AC197" s="13" t="n">
        <f aca="false">SUMPRODUCT(Headcount!$D$5:$D$90*(Headcount!$C$5:$C$90="IMPL")*((Headcount!$I$5:$I$90=0)+(Headcount!$I$5:$I$90=1)*$C$16)*(AC$18&gt;=(Headcount!$E$5:$E$90+Headcount!$G$5:$G$90*$C$15)))</f>
        <v>4</v>
      </c>
      <c r="AD197" s="13" t="n">
        <f aca="false">SUMPRODUCT(Headcount!$D$5:$D$90*(Headcount!$C$5:$C$90="IMPL")*((Headcount!$I$5:$I$90=0)+(Headcount!$I$5:$I$90=1)*$C$16)*(AD$18&gt;=(Headcount!$E$5:$E$90+Headcount!$G$5:$G$90*$C$15)))</f>
        <v>5</v>
      </c>
      <c r="AE197" s="13" t="n">
        <f aca="false">SUMPRODUCT(Headcount!$D$5:$D$90*(Headcount!$C$5:$C$90="IMPL")*((Headcount!$I$5:$I$90=0)+(Headcount!$I$5:$I$90=1)*$C$16)*(AE$18&gt;=(Headcount!$E$5:$E$90+Headcount!$G$5:$G$90*$C$15)))</f>
        <v>5</v>
      </c>
      <c r="AF197" s="13" t="n">
        <f aca="false">SUMPRODUCT(Headcount!$D$5:$D$90*(Headcount!$C$5:$C$90="IMPL")*((Headcount!$I$5:$I$90=0)+(Headcount!$I$5:$I$90=1)*$C$16)*(AF$18&gt;=(Headcount!$E$5:$E$90+Headcount!$G$5:$G$90*$C$15)))</f>
        <v>5</v>
      </c>
      <c r="AG197" s="13" t="n">
        <f aca="false">SUMPRODUCT(Headcount!$D$5:$D$90*(Headcount!$C$5:$C$90="IMPL")*((Headcount!$I$5:$I$90=0)+(Headcount!$I$5:$I$90=1)*$C$16)*(AG$18&gt;=(Headcount!$E$5:$E$90+Headcount!$G$5:$G$90*$C$15)))</f>
        <v>6</v>
      </c>
      <c r="AH197" s="13" t="n">
        <f aca="false">SUMPRODUCT(Headcount!$D$5:$D$90*(Headcount!$C$5:$C$90="IMPL")*((Headcount!$I$5:$I$90=0)+(Headcount!$I$5:$I$90=1)*$C$16)*(AH$18&gt;=(Headcount!$E$5:$E$90+Headcount!$G$5:$G$90*$C$15)))</f>
        <v>6</v>
      </c>
      <c r="AI197" s="13" t="n">
        <f aca="false">SUMPRODUCT(Headcount!$D$5:$D$90*(Headcount!$C$5:$C$90="IMPL")*((Headcount!$I$5:$I$90=0)+(Headcount!$I$5:$I$90=1)*$C$16)*(AI$18&gt;=(Headcount!$E$5:$E$90+Headcount!$G$5:$G$90*$C$15)))</f>
        <v>6</v>
      </c>
      <c r="AJ197" s="13" t="n">
        <f aca="false">SUMPRODUCT(Headcount!$D$5:$D$90*(Headcount!$C$5:$C$90="IMPL")*((Headcount!$I$5:$I$90=0)+(Headcount!$I$5:$I$90=1)*$C$16)*(AJ$18&gt;=(Headcount!$E$5:$E$90+Headcount!$G$5:$G$90*$C$15)))</f>
        <v>7</v>
      </c>
      <c r="AK197" s="13" t="n">
        <f aca="false">SUMPRODUCT(Headcount!$D$5:$D$90*(Headcount!$C$5:$C$90="IMPL")*((Headcount!$I$5:$I$90=0)+(Headcount!$I$5:$I$90=1)*$C$16)*(AK$18&gt;=(Headcount!$E$5:$E$90+Headcount!$G$5:$G$90*$C$15)))</f>
        <v>7</v>
      </c>
      <c r="AL197" s="13" t="n">
        <f aca="false">SUMPRODUCT(Headcount!$D$5:$D$90*(Headcount!$C$5:$C$90="IMPL")*((Headcount!$I$5:$I$90=0)+(Headcount!$I$5:$I$90=1)*$C$16)*(AL$18&gt;=(Headcount!$E$5:$E$90+Headcount!$G$5:$G$90*$C$15)))</f>
        <v>7</v>
      </c>
      <c r="AN197" s="37" t="n">
        <f aca="false">N197</f>
        <v>1</v>
      </c>
      <c r="AO197" s="37" t="n">
        <f aca="false">Z197</f>
        <v>3</v>
      </c>
      <c r="AP197" s="37" t="n">
        <f aca="false">AL197</f>
        <v>7</v>
      </c>
    </row>
    <row r="198" customFormat="false" ht="15" hidden="false" customHeight="false" outlineLevel="0" collapsed="false">
      <c r="A198" s="0" t="s">
        <v>999</v>
      </c>
      <c r="B198" s="0" t="s">
        <v>618</v>
      </c>
      <c r="C198" s="13" t="n">
        <f aca="false">IF(C$18&gt;=2,SUMPRODUCT(Headcount!$D$5:$D$90*((Headcount!$I$5:$I$90=0)+(Headcount!$I$5:$I$90=1)*$C$16)*((Headcount!$E$5:$E$90+Headcount!$G$5:$G$90*$C$15)=C$18)),0)</f>
        <v>0</v>
      </c>
      <c r="D198" s="13" t="n">
        <f aca="false">IF(D$18&gt;=2,SUMPRODUCT(Headcount!$D$5:$D$90*((Headcount!$I$5:$I$90=0)+(Headcount!$I$5:$I$90=1)*$C$16)*((Headcount!$E$5:$E$90+Headcount!$G$5:$G$90*$C$15)=D$18)),0)</f>
        <v>0</v>
      </c>
      <c r="E198" s="13" t="n">
        <f aca="false">IF(E$18&gt;=2,SUMPRODUCT(Headcount!$D$5:$D$90*((Headcount!$I$5:$I$90=0)+(Headcount!$I$5:$I$90=1)*$C$16)*((Headcount!$E$5:$E$90+Headcount!$G$5:$G$90*$C$15)=E$18)),0)</f>
        <v>1</v>
      </c>
      <c r="F198" s="13" t="n">
        <f aca="false">IF(F$18&gt;=2,SUMPRODUCT(Headcount!$D$5:$D$90*((Headcount!$I$5:$I$90=0)+(Headcount!$I$5:$I$90=1)*$C$16)*((Headcount!$E$5:$E$90+Headcount!$G$5:$G$90*$C$15)=F$18)),0)</f>
        <v>1</v>
      </c>
      <c r="G198" s="13" t="n">
        <f aca="false">IF(G$18&gt;=2,SUMPRODUCT(Headcount!$D$5:$D$90*((Headcount!$I$5:$I$90=0)+(Headcount!$I$5:$I$90=1)*$C$16)*((Headcount!$E$5:$E$90+Headcount!$G$5:$G$90*$C$15)=G$18)),0)</f>
        <v>1</v>
      </c>
      <c r="H198" s="13" t="n">
        <f aca="false">IF(H$18&gt;=2,SUMPRODUCT(Headcount!$D$5:$D$90*((Headcount!$I$5:$I$90=0)+(Headcount!$I$5:$I$90=1)*$C$16)*((Headcount!$E$5:$E$90+Headcount!$G$5:$G$90*$C$15)=H$18)),0)</f>
        <v>2</v>
      </c>
      <c r="I198" s="13" t="n">
        <f aca="false">IF(I$18&gt;=2,SUMPRODUCT(Headcount!$D$5:$D$90*((Headcount!$I$5:$I$90=0)+(Headcount!$I$5:$I$90=1)*$C$16)*((Headcount!$E$5:$E$90+Headcount!$G$5:$G$90*$C$15)=I$18)),0)</f>
        <v>1</v>
      </c>
      <c r="J198" s="13" t="n">
        <f aca="false">IF(J$18&gt;=2,SUMPRODUCT(Headcount!$D$5:$D$90*((Headcount!$I$5:$I$90=0)+(Headcount!$I$5:$I$90=1)*$C$16)*((Headcount!$E$5:$E$90+Headcount!$G$5:$G$90*$C$15)=J$18)),0)</f>
        <v>0</v>
      </c>
      <c r="K198" s="13" t="n">
        <f aca="false">IF(K$18&gt;=2,SUMPRODUCT(Headcount!$D$5:$D$90*((Headcount!$I$5:$I$90=0)+(Headcount!$I$5:$I$90=1)*$C$16)*((Headcount!$E$5:$E$90+Headcount!$G$5:$G$90*$C$15)=K$18)),0)</f>
        <v>3</v>
      </c>
      <c r="L198" s="13" t="n">
        <f aca="false">IF(L$18&gt;=2,SUMPRODUCT(Headcount!$D$5:$D$90*((Headcount!$I$5:$I$90=0)+(Headcount!$I$5:$I$90=1)*$C$16)*((Headcount!$E$5:$E$90+Headcount!$G$5:$G$90*$C$15)=L$18)),0)</f>
        <v>1</v>
      </c>
      <c r="M198" s="13" t="n">
        <f aca="false">IF(M$18&gt;=2,SUMPRODUCT(Headcount!$D$5:$D$90*((Headcount!$I$5:$I$90=0)+(Headcount!$I$5:$I$90=1)*$C$16)*((Headcount!$E$5:$E$90+Headcount!$G$5:$G$90*$C$15)=M$18)),0)</f>
        <v>1</v>
      </c>
      <c r="N198" s="13" t="n">
        <f aca="false">IF(N$18&gt;=2,SUMPRODUCT(Headcount!$D$5:$D$90*((Headcount!$I$5:$I$90=0)+(Headcount!$I$5:$I$90=1)*$C$16)*((Headcount!$E$5:$E$90+Headcount!$G$5:$G$90*$C$15)=N$18)),0)</f>
        <v>1</v>
      </c>
      <c r="O198" s="13" t="n">
        <f aca="false">IF(O$18&gt;=2,SUMPRODUCT(Headcount!$D$5:$D$90*((Headcount!$I$5:$I$90=0)+(Headcount!$I$5:$I$90=1)*$C$16)*((Headcount!$E$5:$E$90+Headcount!$G$5:$G$90*$C$15)=O$18)),0)</f>
        <v>1</v>
      </c>
      <c r="P198" s="13" t="n">
        <f aca="false">IF(P$18&gt;=2,SUMPRODUCT(Headcount!$D$5:$D$90*((Headcount!$I$5:$I$90=0)+(Headcount!$I$5:$I$90=1)*$C$16)*((Headcount!$E$5:$E$90+Headcount!$G$5:$G$90*$C$15)=P$18)),0)</f>
        <v>1</v>
      </c>
      <c r="Q198" s="13" t="n">
        <f aca="false">IF(Q$18&gt;=2,SUMPRODUCT(Headcount!$D$5:$D$90*((Headcount!$I$5:$I$90=0)+(Headcount!$I$5:$I$90=1)*$C$16)*((Headcount!$E$5:$E$90+Headcount!$G$5:$G$90*$C$15)=Q$18)),0)</f>
        <v>1</v>
      </c>
      <c r="R198" s="13" t="n">
        <f aca="false">IF(R$18&gt;=2,SUMPRODUCT(Headcount!$D$5:$D$90*((Headcount!$I$5:$I$90=0)+(Headcount!$I$5:$I$90=1)*$C$16)*((Headcount!$E$5:$E$90+Headcount!$G$5:$G$90*$C$15)=R$18)),0)</f>
        <v>0</v>
      </c>
      <c r="S198" s="13" t="n">
        <f aca="false">IF(S$18&gt;=2,SUMPRODUCT(Headcount!$D$5:$D$90*((Headcount!$I$5:$I$90=0)+(Headcount!$I$5:$I$90=1)*$C$16)*((Headcount!$E$5:$E$90+Headcount!$G$5:$G$90*$C$15)=S$18)),0)</f>
        <v>2</v>
      </c>
      <c r="T198" s="13" t="n">
        <f aca="false">IF(T$18&gt;=2,SUMPRODUCT(Headcount!$D$5:$D$90*((Headcount!$I$5:$I$90=0)+(Headcount!$I$5:$I$90=1)*$C$16)*((Headcount!$E$5:$E$90+Headcount!$G$5:$G$90*$C$15)=T$18)),0)</f>
        <v>1</v>
      </c>
      <c r="U198" s="13" t="n">
        <f aca="false">IF(U$18&gt;=2,SUMPRODUCT(Headcount!$D$5:$D$90*((Headcount!$I$5:$I$90=0)+(Headcount!$I$5:$I$90=1)*$C$16)*((Headcount!$E$5:$E$90+Headcount!$G$5:$G$90*$C$15)=U$18)),0)</f>
        <v>1</v>
      </c>
      <c r="V198" s="13" t="n">
        <f aca="false">IF(V$18&gt;=2,SUMPRODUCT(Headcount!$D$5:$D$90*((Headcount!$I$5:$I$90=0)+(Headcount!$I$5:$I$90=1)*$C$16)*((Headcount!$E$5:$E$90+Headcount!$G$5:$G$90*$C$15)=V$18)),0)</f>
        <v>2</v>
      </c>
      <c r="W198" s="13" t="n">
        <f aca="false">IF(W$18&gt;=2,SUMPRODUCT(Headcount!$D$5:$D$90*((Headcount!$I$5:$I$90=0)+(Headcount!$I$5:$I$90=1)*$C$16)*((Headcount!$E$5:$E$90+Headcount!$G$5:$G$90*$C$15)=W$18)),0)</f>
        <v>1</v>
      </c>
      <c r="X198" s="13" t="n">
        <f aca="false">IF(X$18&gt;=2,SUMPRODUCT(Headcount!$D$5:$D$90*((Headcount!$I$5:$I$90=0)+(Headcount!$I$5:$I$90=1)*$C$16)*((Headcount!$E$5:$E$90+Headcount!$G$5:$G$90*$C$15)=X$18)),0)</f>
        <v>0</v>
      </c>
      <c r="Y198" s="13" t="n">
        <f aca="false">IF(Y$18&gt;=2,SUMPRODUCT(Headcount!$D$5:$D$90*((Headcount!$I$5:$I$90=0)+(Headcount!$I$5:$I$90=1)*$C$16)*((Headcount!$E$5:$E$90+Headcount!$G$5:$G$90*$C$15)=Y$18)),0)</f>
        <v>0</v>
      </c>
      <c r="Z198" s="13" t="n">
        <f aca="false">IF(Z$18&gt;=2,SUMPRODUCT(Headcount!$D$5:$D$90*((Headcount!$I$5:$I$90=0)+(Headcount!$I$5:$I$90=1)*$C$16)*((Headcount!$E$5:$E$90+Headcount!$G$5:$G$90*$C$15)=Z$18)),0)</f>
        <v>2</v>
      </c>
      <c r="AA198" s="13" t="n">
        <f aca="false">IF(AA$18&gt;=2,SUMPRODUCT(Headcount!$D$5:$D$90*((Headcount!$I$5:$I$90=0)+(Headcount!$I$5:$I$90=1)*$C$16)*((Headcount!$E$5:$E$90+Headcount!$G$5:$G$90*$C$15)=AA$18)),0)</f>
        <v>1</v>
      </c>
      <c r="AB198" s="13" t="n">
        <f aca="false">IF(AB$18&gt;=2,SUMPRODUCT(Headcount!$D$5:$D$90*((Headcount!$I$5:$I$90=0)+(Headcount!$I$5:$I$90=1)*$C$16)*((Headcount!$E$5:$E$90+Headcount!$G$5:$G$90*$C$15)=AB$18)),0)</f>
        <v>2</v>
      </c>
      <c r="AC198" s="13" t="n">
        <f aca="false">IF(AC$18&gt;=2,SUMPRODUCT(Headcount!$D$5:$D$90*((Headcount!$I$5:$I$90=0)+(Headcount!$I$5:$I$90=1)*$C$16)*((Headcount!$E$5:$E$90+Headcount!$G$5:$G$90*$C$15)=AC$18)),0)</f>
        <v>0</v>
      </c>
      <c r="AD198" s="13" t="n">
        <f aca="false">IF(AD$18&gt;=2,SUMPRODUCT(Headcount!$D$5:$D$90*((Headcount!$I$5:$I$90=0)+(Headcount!$I$5:$I$90=1)*$C$16)*((Headcount!$E$5:$E$90+Headcount!$G$5:$G$90*$C$15)=AD$18)),0)</f>
        <v>2</v>
      </c>
      <c r="AE198" s="13" t="n">
        <f aca="false">IF(AE$18&gt;=2,SUMPRODUCT(Headcount!$D$5:$D$90*((Headcount!$I$5:$I$90=0)+(Headcount!$I$5:$I$90=1)*$C$16)*((Headcount!$E$5:$E$90+Headcount!$G$5:$G$90*$C$15)=AE$18)),0)</f>
        <v>0</v>
      </c>
      <c r="AF198" s="13" t="n">
        <f aca="false">IF(AF$18&gt;=2,SUMPRODUCT(Headcount!$D$5:$D$90*((Headcount!$I$5:$I$90=0)+(Headcount!$I$5:$I$90=1)*$C$16)*((Headcount!$E$5:$E$90+Headcount!$G$5:$G$90*$C$15)=AF$18)),0)</f>
        <v>0</v>
      </c>
      <c r="AG198" s="13" t="n">
        <f aca="false">IF(AG$18&gt;=2,SUMPRODUCT(Headcount!$D$5:$D$90*((Headcount!$I$5:$I$90=0)+(Headcount!$I$5:$I$90=1)*$C$16)*((Headcount!$E$5:$E$90+Headcount!$G$5:$G$90*$C$15)=AG$18)),0)</f>
        <v>1</v>
      </c>
      <c r="AH198" s="13" t="n">
        <f aca="false">IF(AH$18&gt;=2,SUMPRODUCT(Headcount!$D$5:$D$90*((Headcount!$I$5:$I$90=0)+(Headcount!$I$5:$I$90=1)*$C$16)*((Headcount!$E$5:$E$90+Headcount!$G$5:$G$90*$C$15)=AH$18)),0)</f>
        <v>0</v>
      </c>
      <c r="AI198" s="13" t="n">
        <f aca="false">IF(AI$18&gt;=2,SUMPRODUCT(Headcount!$D$5:$D$90*((Headcount!$I$5:$I$90=0)+(Headcount!$I$5:$I$90=1)*$C$16)*((Headcount!$E$5:$E$90+Headcount!$G$5:$G$90*$C$15)=AI$18)),0)</f>
        <v>1</v>
      </c>
      <c r="AJ198" s="13" t="n">
        <f aca="false">IF(AJ$18&gt;=2,SUMPRODUCT(Headcount!$D$5:$D$90*((Headcount!$I$5:$I$90=0)+(Headcount!$I$5:$I$90=1)*$C$16)*((Headcount!$E$5:$E$90+Headcount!$G$5:$G$90*$C$15)=AJ$18)),0)</f>
        <v>2</v>
      </c>
      <c r="AK198" s="13" t="n">
        <f aca="false">IF(AK$18&gt;=2,SUMPRODUCT(Headcount!$D$5:$D$90*((Headcount!$I$5:$I$90=0)+(Headcount!$I$5:$I$90=1)*$C$16)*((Headcount!$E$5:$E$90+Headcount!$G$5:$G$90*$C$15)=AK$18)),0)</f>
        <v>0</v>
      </c>
      <c r="AL198" s="13" t="n">
        <f aca="false">IF(AL$18&gt;=2,SUMPRODUCT(Headcount!$D$5:$D$90*((Headcount!$I$5:$I$90=0)+(Headcount!$I$5:$I$90=1)*$C$16)*((Headcount!$E$5:$E$90+Headcount!$G$5:$G$90*$C$15)=AL$18)),0)</f>
        <v>1</v>
      </c>
      <c r="AN198" s="37" t="n">
        <f aca="false">SUM(C198:N198)</f>
        <v>12</v>
      </c>
      <c r="AO198" s="37" t="n">
        <f aca="false">SUM(O198:Z198)</f>
        <v>12</v>
      </c>
      <c r="AP198" s="37" t="n">
        <f aca="false">SUM(AA198:AL198)</f>
        <v>10</v>
      </c>
    </row>
    <row r="199" customFormat="false" ht="15" hidden="false" customHeight="false" outlineLevel="0" collapsed="false">
      <c r="A199" s="0" t="s">
        <v>1000</v>
      </c>
      <c r="B199" s="0" t="s">
        <v>230</v>
      </c>
      <c r="C199" s="9" t="n">
        <f aca="false">((((((Assumptions!$C$138+Assumptions!$C$139)+Assumptions!$C$140)+Assumptions!$C$141)+Assumptions!$C$142)+Assumptions!$C$143)/12)</f>
        <v>9833.33333333333</v>
      </c>
      <c r="D199" s="9" t="n">
        <f aca="false">((((((Assumptions!$C$138+Assumptions!$C$139)+Assumptions!$C$140)+Assumptions!$C$141)+Assumptions!$C$142)+Assumptions!$C$143)/12)</f>
        <v>9833.33333333333</v>
      </c>
      <c r="E199" s="9" t="n">
        <f aca="false">((((((Assumptions!$C$138+Assumptions!$C$139)+Assumptions!$C$140)+Assumptions!$C$141)+Assumptions!$C$142)+Assumptions!$C$143)/12)</f>
        <v>9833.33333333333</v>
      </c>
      <c r="F199" s="9" t="n">
        <f aca="false">((((((Assumptions!$C$138+Assumptions!$C$139)+Assumptions!$C$140)+Assumptions!$C$141)+Assumptions!$C$142)+Assumptions!$C$143)/12)</f>
        <v>9833.33333333333</v>
      </c>
      <c r="G199" s="9" t="n">
        <f aca="false">((((((Assumptions!$C$138+Assumptions!$C$139)+Assumptions!$C$140)+Assumptions!$C$141)+Assumptions!$C$142)+Assumptions!$C$143)/12)</f>
        <v>9833.33333333333</v>
      </c>
      <c r="H199" s="9" t="n">
        <f aca="false">((((((Assumptions!$C$138+Assumptions!$C$139)+Assumptions!$C$140)+Assumptions!$C$141)+Assumptions!$C$142)+Assumptions!$C$143)/12)</f>
        <v>9833.33333333333</v>
      </c>
      <c r="I199" s="9" t="n">
        <f aca="false">((((((Assumptions!$C$138+Assumptions!$C$139)+Assumptions!$C$140)+Assumptions!$C$141)+Assumptions!$C$142)+Assumptions!$C$143)/12)</f>
        <v>9833.33333333333</v>
      </c>
      <c r="J199" s="9" t="n">
        <f aca="false">((((((Assumptions!$C$138+Assumptions!$C$139)+Assumptions!$C$140)+Assumptions!$C$141)+Assumptions!$C$142)+Assumptions!$C$143)/12)</f>
        <v>9833.33333333333</v>
      </c>
      <c r="K199" s="9" t="n">
        <f aca="false">((((((Assumptions!$C$138+Assumptions!$C$139)+Assumptions!$C$140)+Assumptions!$C$141)+Assumptions!$C$142)+Assumptions!$C$143)/12)</f>
        <v>9833.33333333333</v>
      </c>
      <c r="L199" s="9" t="n">
        <f aca="false">((((((Assumptions!$C$138+Assumptions!$C$139)+Assumptions!$C$140)+Assumptions!$C$141)+Assumptions!$C$142)+Assumptions!$C$143)/12)</f>
        <v>9833.33333333333</v>
      </c>
      <c r="M199" s="9" t="n">
        <f aca="false">((((((Assumptions!$C$138+Assumptions!$C$139)+Assumptions!$C$140)+Assumptions!$C$141)+Assumptions!$C$142)+Assumptions!$C$143)/12)</f>
        <v>9833.33333333333</v>
      </c>
      <c r="N199" s="9" t="n">
        <f aca="false">((((((Assumptions!$C$138+Assumptions!$C$139)+Assumptions!$C$140)+Assumptions!$C$141)+Assumptions!$C$142)+Assumptions!$C$143)/12)</f>
        <v>9833.33333333333</v>
      </c>
      <c r="O199" s="9" t="n">
        <f aca="false">((((((Assumptions!$D$138+Assumptions!$D$139)+Assumptions!$D$140)+Assumptions!$D$141)+Assumptions!$D$142)+Assumptions!$D$143)/12)</f>
        <v>14166.6666666667</v>
      </c>
      <c r="P199" s="9" t="n">
        <f aca="false">((((((Assumptions!$D$138+Assumptions!$D$139)+Assumptions!$D$140)+Assumptions!$D$141)+Assumptions!$D$142)+Assumptions!$D$143)/12)</f>
        <v>14166.6666666667</v>
      </c>
      <c r="Q199" s="9" t="n">
        <f aca="false">((((((Assumptions!$D$138+Assumptions!$D$139)+Assumptions!$D$140)+Assumptions!$D$141)+Assumptions!$D$142)+Assumptions!$D$143)/12)</f>
        <v>14166.6666666667</v>
      </c>
      <c r="R199" s="9" t="n">
        <f aca="false">((((((Assumptions!$D$138+Assumptions!$D$139)+Assumptions!$D$140)+Assumptions!$D$141)+Assumptions!$D$142)+Assumptions!$D$143)/12)</f>
        <v>14166.6666666667</v>
      </c>
      <c r="S199" s="9" t="n">
        <f aca="false">((((((Assumptions!$D$138+Assumptions!$D$139)+Assumptions!$D$140)+Assumptions!$D$141)+Assumptions!$D$142)+Assumptions!$D$143)/12)</f>
        <v>14166.6666666667</v>
      </c>
      <c r="T199" s="9" t="n">
        <f aca="false">((((((Assumptions!$D$138+Assumptions!$D$139)+Assumptions!$D$140)+Assumptions!$D$141)+Assumptions!$D$142)+Assumptions!$D$143)/12)</f>
        <v>14166.6666666667</v>
      </c>
      <c r="U199" s="9" t="n">
        <f aca="false">((((((Assumptions!$D$138+Assumptions!$D$139)+Assumptions!$D$140)+Assumptions!$D$141)+Assumptions!$D$142)+Assumptions!$D$143)/12)</f>
        <v>14166.6666666667</v>
      </c>
      <c r="V199" s="9" t="n">
        <f aca="false">((((((Assumptions!$D$138+Assumptions!$D$139)+Assumptions!$D$140)+Assumptions!$D$141)+Assumptions!$D$142)+Assumptions!$D$143)/12)</f>
        <v>14166.6666666667</v>
      </c>
      <c r="W199" s="9" t="n">
        <f aca="false">((((((Assumptions!$D$138+Assumptions!$D$139)+Assumptions!$D$140)+Assumptions!$D$141)+Assumptions!$D$142)+Assumptions!$D$143)/12)</f>
        <v>14166.6666666667</v>
      </c>
      <c r="X199" s="9" t="n">
        <f aca="false">((((((Assumptions!$D$138+Assumptions!$D$139)+Assumptions!$D$140)+Assumptions!$D$141)+Assumptions!$D$142)+Assumptions!$D$143)/12)</f>
        <v>14166.6666666667</v>
      </c>
      <c r="Y199" s="9" t="n">
        <f aca="false">((((((Assumptions!$D$138+Assumptions!$D$139)+Assumptions!$D$140)+Assumptions!$D$141)+Assumptions!$D$142)+Assumptions!$D$143)/12)</f>
        <v>14166.6666666667</v>
      </c>
      <c r="Z199" s="9" t="n">
        <f aca="false">((((((Assumptions!$D$138+Assumptions!$D$139)+Assumptions!$D$140)+Assumptions!$D$141)+Assumptions!$D$142)+Assumptions!$D$143)/12)</f>
        <v>14166.6666666667</v>
      </c>
      <c r="AA199" s="9" t="n">
        <f aca="false">((((((Assumptions!$E$138+Assumptions!$E$139)+Assumptions!$E$140)+Assumptions!$E$141)+Assumptions!$E$142)+Assumptions!$E$143)/12)</f>
        <v>19583.3333333333</v>
      </c>
      <c r="AB199" s="9" t="n">
        <f aca="false">((((((Assumptions!$E$138+Assumptions!$E$139)+Assumptions!$E$140)+Assumptions!$E$141)+Assumptions!$E$142)+Assumptions!$E$143)/12)</f>
        <v>19583.3333333333</v>
      </c>
      <c r="AC199" s="9" t="n">
        <f aca="false">((((((Assumptions!$E$138+Assumptions!$E$139)+Assumptions!$E$140)+Assumptions!$E$141)+Assumptions!$E$142)+Assumptions!$E$143)/12)</f>
        <v>19583.3333333333</v>
      </c>
      <c r="AD199" s="9" t="n">
        <f aca="false">((((((Assumptions!$E$138+Assumptions!$E$139)+Assumptions!$E$140)+Assumptions!$E$141)+Assumptions!$E$142)+Assumptions!$E$143)/12)</f>
        <v>19583.3333333333</v>
      </c>
      <c r="AE199" s="9" t="n">
        <f aca="false">((((((Assumptions!$E$138+Assumptions!$E$139)+Assumptions!$E$140)+Assumptions!$E$141)+Assumptions!$E$142)+Assumptions!$E$143)/12)</f>
        <v>19583.3333333333</v>
      </c>
      <c r="AF199" s="9" t="n">
        <f aca="false">((((((Assumptions!$E$138+Assumptions!$E$139)+Assumptions!$E$140)+Assumptions!$E$141)+Assumptions!$E$142)+Assumptions!$E$143)/12)</f>
        <v>19583.3333333333</v>
      </c>
      <c r="AG199" s="9" t="n">
        <f aca="false">((((((Assumptions!$E$138+Assumptions!$E$139)+Assumptions!$E$140)+Assumptions!$E$141)+Assumptions!$E$142)+Assumptions!$E$143)/12)</f>
        <v>19583.3333333333</v>
      </c>
      <c r="AH199" s="9" t="n">
        <f aca="false">((((((Assumptions!$E$138+Assumptions!$E$139)+Assumptions!$E$140)+Assumptions!$E$141)+Assumptions!$E$142)+Assumptions!$E$143)/12)</f>
        <v>19583.3333333333</v>
      </c>
      <c r="AI199" s="9" t="n">
        <f aca="false">((((((Assumptions!$E$138+Assumptions!$E$139)+Assumptions!$E$140)+Assumptions!$E$141)+Assumptions!$E$142)+Assumptions!$E$143)/12)</f>
        <v>19583.3333333333</v>
      </c>
      <c r="AJ199" s="9" t="n">
        <f aca="false">((((((Assumptions!$E$138+Assumptions!$E$139)+Assumptions!$E$140)+Assumptions!$E$141)+Assumptions!$E$142)+Assumptions!$E$143)/12)</f>
        <v>19583.3333333333</v>
      </c>
      <c r="AK199" s="9" t="n">
        <f aca="false">((((((Assumptions!$E$138+Assumptions!$E$139)+Assumptions!$E$140)+Assumptions!$E$141)+Assumptions!$E$142)+Assumptions!$E$143)/12)</f>
        <v>19583.3333333333</v>
      </c>
      <c r="AL199" s="9" t="n">
        <f aca="false">((((((Assumptions!$E$138+Assumptions!$E$139)+Assumptions!$E$140)+Assumptions!$E$141)+Assumptions!$E$142)+Assumptions!$E$143)/12)</f>
        <v>19583.3333333333</v>
      </c>
      <c r="AN199" s="11" t="n">
        <f aca="false">SUM(C199:N199)</f>
        <v>118000</v>
      </c>
      <c r="AO199" s="11" t="n">
        <f aca="false">SUM(O199:Z199)</f>
        <v>170000</v>
      </c>
      <c r="AP199" s="11" t="n">
        <f aca="false">SUM(AA199:AL199)</f>
        <v>235000</v>
      </c>
    </row>
    <row r="200" customFormat="false" ht="15" hidden="false" customHeight="false" outlineLevel="0" collapsed="false">
      <c r="A200" s="0" t="s">
        <v>36</v>
      </c>
      <c r="B200" s="0" t="s">
        <v>230</v>
      </c>
      <c r="C200" s="9" t="n">
        <f aca="false">(((Assumptions!$C$145+Assumptions!$C$146)+Assumptions!$C$147)/12)</f>
        <v>7916.66666666667</v>
      </c>
      <c r="D200" s="9" t="n">
        <f aca="false">(((Assumptions!$C$145+Assumptions!$C$146)+Assumptions!$C$147)/12)</f>
        <v>7916.66666666667</v>
      </c>
      <c r="E200" s="9" t="n">
        <f aca="false">(((Assumptions!$C$145+Assumptions!$C$146)+Assumptions!$C$147)/12)</f>
        <v>7916.66666666667</v>
      </c>
      <c r="F200" s="9" t="n">
        <f aca="false">(((Assumptions!$C$145+Assumptions!$C$146)+Assumptions!$C$147)/12)</f>
        <v>7916.66666666667</v>
      </c>
      <c r="G200" s="9" t="n">
        <f aca="false">(((Assumptions!$C$145+Assumptions!$C$146)+Assumptions!$C$147)/12)</f>
        <v>7916.66666666667</v>
      </c>
      <c r="H200" s="9" t="n">
        <f aca="false">(((Assumptions!$C$145+Assumptions!$C$146)+Assumptions!$C$147)/12)</f>
        <v>7916.66666666667</v>
      </c>
      <c r="I200" s="9" t="n">
        <f aca="false">(((Assumptions!$C$145+Assumptions!$C$146)+Assumptions!$C$147)/12)</f>
        <v>7916.66666666667</v>
      </c>
      <c r="J200" s="9" t="n">
        <f aca="false">(((Assumptions!$C$145+Assumptions!$C$146)+Assumptions!$C$147)/12)</f>
        <v>7916.66666666667</v>
      </c>
      <c r="K200" s="9" t="n">
        <f aca="false">(((Assumptions!$C$145+Assumptions!$C$146)+Assumptions!$C$147)/12)</f>
        <v>7916.66666666667</v>
      </c>
      <c r="L200" s="9" t="n">
        <f aca="false">(((Assumptions!$C$145+Assumptions!$C$146)+Assumptions!$C$147)/12)</f>
        <v>7916.66666666667</v>
      </c>
      <c r="M200" s="9" t="n">
        <f aca="false">(((Assumptions!$C$145+Assumptions!$C$146)+Assumptions!$C$147)/12)</f>
        <v>7916.66666666667</v>
      </c>
      <c r="N200" s="9" t="n">
        <f aca="false">(((Assumptions!$C$145+Assumptions!$C$146)+Assumptions!$C$147)/12)</f>
        <v>7916.66666666667</v>
      </c>
      <c r="O200" s="9" t="n">
        <f aca="false">(((Assumptions!$D$145+Assumptions!$D$146)+Assumptions!$D$147)/12)</f>
        <v>9333.33333333333</v>
      </c>
      <c r="P200" s="9" t="n">
        <f aca="false">(((Assumptions!$D$145+Assumptions!$D$146)+Assumptions!$D$147)/12)</f>
        <v>9333.33333333333</v>
      </c>
      <c r="Q200" s="9" t="n">
        <f aca="false">(((Assumptions!$D$145+Assumptions!$D$146)+Assumptions!$D$147)/12)</f>
        <v>9333.33333333333</v>
      </c>
      <c r="R200" s="9" t="n">
        <f aca="false">(((Assumptions!$D$145+Assumptions!$D$146)+Assumptions!$D$147)/12)</f>
        <v>9333.33333333333</v>
      </c>
      <c r="S200" s="9" t="n">
        <f aca="false">(((Assumptions!$D$145+Assumptions!$D$146)+Assumptions!$D$147)/12)</f>
        <v>9333.33333333333</v>
      </c>
      <c r="T200" s="9" t="n">
        <f aca="false">(((Assumptions!$D$145+Assumptions!$D$146)+Assumptions!$D$147)/12)</f>
        <v>9333.33333333333</v>
      </c>
      <c r="U200" s="9" t="n">
        <f aca="false">(((Assumptions!$D$145+Assumptions!$D$146)+Assumptions!$D$147)/12)</f>
        <v>9333.33333333333</v>
      </c>
      <c r="V200" s="9" t="n">
        <f aca="false">(((Assumptions!$D$145+Assumptions!$D$146)+Assumptions!$D$147)/12)</f>
        <v>9333.33333333333</v>
      </c>
      <c r="W200" s="9" t="n">
        <f aca="false">(((Assumptions!$D$145+Assumptions!$D$146)+Assumptions!$D$147)/12)</f>
        <v>9333.33333333333</v>
      </c>
      <c r="X200" s="9" t="n">
        <f aca="false">(((Assumptions!$D$145+Assumptions!$D$146)+Assumptions!$D$147)/12)</f>
        <v>9333.33333333333</v>
      </c>
      <c r="Y200" s="9" t="n">
        <f aca="false">(((Assumptions!$D$145+Assumptions!$D$146)+Assumptions!$D$147)/12)</f>
        <v>9333.33333333333</v>
      </c>
      <c r="Z200" s="9" t="n">
        <f aca="false">(((Assumptions!$D$145+Assumptions!$D$146)+Assumptions!$D$147)/12)</f>
        <v>9333.33333333333</v>
      </c>
      <c r="AA200" s="9" t="n">
        <f aca="false">(((Assumptions!$E$145+Assumptions!$E$146)+Assumptions!$E$147)/12)</f>
        <v>12916.6666666667</v>
      </c>
      <c r="AB200" s="9" t="n">
        <f aca="false">(((Assumptions!$E$145+Assumptions!$E$146)+Assumptions!$E$147)/12)</f>
        <v>12916.6666666667</v>
      </c>
      <c r="AC200" s="9" t="n">
        <f aca="false">(((Assumptions!$E$145+Assumptions!$E$146)+Assumptions!$E$147)/12)</f>
        <v>12916.6666666667</v>
      </c>
      <c r="AD200" s="9" t="n">
        <f aca="false">(((Assumptions!$E$145+Assumptions!$E$146)+Assumptions!$E$147)/12)</f>
        <v>12916.6666666667</v>
      </c>
      <c r="AE200" s="9" t="n">
        <f aca="false">(((Assumptions!$E$145+Assumptions!$E$146)+Assumptions!$E$147)/12)</f>
        <v>12916.6666666667</v>
      </c>
      <c r="AF200" s="9" t="n">
        <f aca="false">(((Assumptions!$E$145+Assumptions!$E$146)+Assumptions!$E$147)/12)</f>
        <v>12916.6666666667</v>
      </c>
      <c r="AG200" s="9" t="n">
        <f aca="false">(((Assumptions!$E$145+Assumptions!$E$146)+Assumptions!$E$147)/12)</f>
        <v>12916.6666666667</v>
      </c>
      <c r="AH200" s="9" t="n">
        <f aca="false">(((Assumptions!$E$145+Assumptions!$E$146)+Assumptions!$E$147)/12)</f>
        <v>12916.6666666667</v>
      </c>
      <c r="AI200" s="9" t="n">
        <f aca="false">(((Assumptions!$E$145+Assumptions!$E$146)+Assumptions!$E$147)/12)</f>
        <v>12916.6666666667</v>
      </c>
      <c r="AJ200" s="9" t="n">
        <f aca="false">(((Assumptions!$E$145+Assumptions!$E$146)+Assumptions!$E$147)/12)</f>
        <v>12916.6666666667</v>
      </c>
      <c r="AK200" s="9" t="n">
        <f aca="false">(((Assumptions!$E$145+Assumptions!$E$146)+Assumptions!$E$147)/12)</f>
        <v>12916.6666666667</v>
      </c>
      <c r="AL200" s="9" t="n">
        <f aca="false">(((Assumptions!$E$145+Assumptions!$E$146)+Assumptions!$E$147)/12)</f>
        <v>12916.6666666667</v>
      </c>
      <c r="AN200" s="11" t="n">
        <f aca="false">SUM(C200:N200)</f>
        <v>95000</v>
      </c>
      <c r="AO200" s="11" t="n">
        <f aca="false">SUM(O200:Z200)</f>
        <v>112000</v>
      </c>
      <c r="AP200" s="11" t="n">
        <f aca="false">SUM(AA200:AL200)</f>
        <v>155000</v>
      </c>
    </row>
    <row r="201" customFormat="false" ht="15" hidden="false" customHeight="false" outlineLevel="0" collapsed="false">
      <c r="A201" s="0" t="s">
        <v>37</v>
      </c>
      <c r="B201" s="0" t="s">
        <v>230</v>
      </c>
      <c r="C201" s="9" t="n">
        <f aca="false">(((Assumptions!$C$148+Assumptions!$C$149)+Assumptions!$C$150)/12)</f>
        <v>3416.66666666667</v>
      </c>
      <c r="D201" s="9" t="n">
        <f aca="false">(((Assumptions!$C$148+Assumptions!$C$149)+Assumptions!$C$150)/12)</f>
        <v>3416.66666666667</v>
      </c>
      <c r="E201" s="9" t="n">
        <f aca="false">(((Assumptions!$C$148+Assumptions!$C$149)+Assumptions!$C$150)/12)</f>
        <v>3416.66666666667</v>
      </c>
      <c r="F201" s="9" t="n">
        <f aca="false">(((Assumptions!$C$148+Assumptions!$C$149)+Assumptions!$C$150)/12)</f>
        <v>3416.66666666667</v>
      </c>
      <c r="G201" s="9" t="n">
        <f aca="false">(((Assumptions!$C$148+Assumptions!$C$149)+Assumptions!$C$150)/12)</f>
        <v>3416.66666666667</v>
      </c>
      <c r="H201" s="9" t="n">
        <f aca="false">(((Assumptions!$C$148+Assumptions!$C$149)+Assumptions!$C$150)/12)</f>
        <v>3416.66666666667</v>
      </c>
      <c r="I201" s="9" t="n">
        <f aca="false">(((Assumptions!$C$148+Assumptions!$C$149)+Assumptions!$C$150)/12)</f>
        <v>3416.66666666667</v>
      </c>
      <c r="J201" s="9" t="n">
        <f aca="false">(((Assumptions!$C$148+Assumptions!$C$149)+Assumptions!$C$150)/12)</f>
        <v>3416.66666666667</v>
      </c>
      <c r="K201" s="9" t="n">
        <f aca="false">(((Assumptions!$C$148+Assumptions!$C$149)+Assumptions!$C$150)/12)</f>
        <v>3416.66666666667</v>
      </c>
      <c r="L201" s="9" t="n">
        <f aca="false">(((Assumptions!$C$148+Assumptions!$C$149)+Assumptions!$C$150)/12)</f>
        <v>3416.66666666667</v>
      </c>
      <c r="M201" s="9" t="n">
        <f aca="false">(((Assumptions!$C$148+Assumptions!$C$149)+Assumptions!$C$150)/12)</f>
        <v>3416.66666666667</v>
      </c>
      <c r="N201" s="9" t="n">
        <f aca="false">(((Assumptions!$C$148+Assumptions!$C$149)+Assumptions!$C$150)/12)</f>
        <v>3416.66666666667</v>
      </c>
      <c r="O201" s="9" t="n">
        <f aca="false">(((Assumptions!$D$148+Assumptions!$D$149)+Assumptions!$D$150)/12)</f>
        <v>5833.33333333333</v>
      </c>
      <c r="P201" s="9" t="n">
        <f aca="false">(((Assumptions!$D$148+Assumptions!$D$149)+Assumptions!$D$150)/12)</f>
        <v>5833.33333333333</v>
      </c>
      <c r="Q201" s="9" t="n">
        <f aca="false">(((Assumptions!$D$148+Assumptions!$D$149)+Assumptions!$D$150)/12)</f>
        <v>5833.33333333333</v>
      </c>
      <c r="R201" s="9" t="n">
        <f aca="false">(((Assumptions!$D$148+Assumptions!$D$149)+Assumptions!$D$150)/12)</f>
        <v>5833.33333333333</v>
      </c>
      <c r="S201" s="9" t="n">
        <f aca="false">(((Assumptions!$D$148+Assumptions!$D$149)+Assumptions!$D$150)/12)</f>
        <v>5833.33333333333</v>
      </c>
      <c r="T201" s="9" t="n">
        <f aca="false">(((Assumptions!$D$148+Assumptions!$D$149)+Assumptions!$D$150)/12)</f>
        <v>5833.33333333333</v>
      </c>
      <c r="U201" s="9" t="n">
        <f aca="false">(((Assumptions!$D$148+Assumptions!$D$149)+Assumptions!$D$150)/12)</f>
        <v>5833.33333333333</v>
      </c>
      <c r="V201" s="9" t="n">
        <f aca="false">(((Assumptions!$D$148+Assumptions!$D$149)+Assumptions!$D$150)/12)</f>
        <v>5833.33333333333</v>
      </c>
      <c r="W201" s="9" t="n">
        <f aca="false">(((Assumptions!$D$148+Assumptions!$D$149)+Assumptions!$D$150)/12)</f>
        <v>5833.33333333333</v>
      </c>
      <c r="X201" s="9" t="n">
        <f aca="false">(((Assumptions!$D$148+Assumptions!$D$149)+Assumptions!$D$150)/12)</f>
        <v>5833.33333333333</v>
      </c>
      <c r="Y201" s="9" t="n">
        <f aca="false">(((Assumptions!$D$148+Assumptions!$D$149)+Assumptions!$D$150)/12)</f>
        <v>5833.33333333333</v>
      </c>
      <c r="Z201" s="9" t="n">
        <f aca="false">(((Assumptions!$D$148+Assumptions!$D$149)+Assumptions!$D$150)/12)</f>
        <v>5833.33333333333</v>
      </c>
      <c r="AA201" s="9" t="n">
        <f aca="false">(((Assumptions!$E$148+Assumptions!$E$149)+Assumptions!$E$150)/12)</f>
        <v>10000</v>
      </c>
      <c r="AB201" s="9" t="n">
        <f aca="false">(((Assumptions!$E$148+Assumptions!$E$149)+Assumptions!$E$150)/12)</f>
        <v>10000</v>
      </c>
      <c r="AC201" s="9" t="n">
        <f aca="false">(((Assumptions!$E$148+Assumptions!$E$149)+Assumptions!$E$150)/12)</f>
        <v>10000</v>
      </c>
      <c r="AD201" s="9" t="n">
        <f aca="false">(((Assumptions!$E$148+Assumptions!$E$149)+Assumptions!$E$150)/12)</f>
        <v>10000</v>
      </c>
      <c r="AE201" s="9" t="n">
        <f aca="false">(((Assumptions!$E$148+Assumptions!$E$149)+Assumptions!$E$150)/12)</f>
        <v>10000</v>
      </c>
      <c r="AF201" s="9" t="n">
        <f aca="false">(((Assumptions!$E$148+Assumptions!$E$149)+Assumptions!$E$150)/12)</f>
        <v>10000</v>
      </c>
      <c r="AG201" s="9" t="n">
        <f aca="false">(((Assumptions!$E$148+Assumptions!$E$149)+Assumptions!$E$150)/12)</f>
        <v>10000</v>
      </c>
      <c r="AH201" s="9" t="n">
        <f aca="false">(((Assumptions!$E$148+Assumptions!$E$149)+Assumptions!$E$150)/12)</f>
        <v>10000</v>
      </c>
      <c r="AI201" s="9" t="n">
        <f aca="false">(((Assumptions!$E$148+Assumptions!$E$149)+Assumptions!$E$150)/12)</f>
        <v>10000</v>
      </c>
      <c r="AJ201" s="9" t="n">
        <f aca="false">(((Assumptions!$E$148+Assumptions!$E$149)+Assumptions!$E$150)/12)</f>
        <v>10000</v>
      </c>
      <c r="AK201" s="9" t="n">
        <f aca="false">(((Assumptions!$E$148+Assumptions!$E$149)+Assumptions!$E$150)/12)</f>
        <v>10000</v>
      </c>
      <c r="AL201" s="9" t="n">
        <f aca="false">(((Assumptions!$E$148+Assumptions!$E$149)+Assumptions!$E$150)/12)</f>
        <v>10000</v>
      </c>
      <c r="AN201" s="11" t="n">
        <f aca="false">SUM(C201:N201)</f>
        <v>41000</v>
      </c>
      <c r="AO201" s="11" t="n">
        <f aca="false">SUM(O201:Z201)</f>
        <v>70000</v>
      </c>
      <c r="AP201" s="11" t="n">
        <f aca="false">SUM(AA201:AL201)</f>
        <v>120000</v>
      </c>
    </row>
    <row r="202" customFormat="false" ht="15" hidden="false" customHeight="false" outlineLevel="0" collapsed="false">
      <c r="A202" s="0" t="s">
        <v>1001</v>
      </c>
      <c r="B202" s="0" t="s">
        <v>230</v>
      </c>
      <c r="C202" s="9" t="n">
        <f aca="false">(((Assumptions!$C$152+Assumptions!$C$153)+Assumptions!$C$154)/12)</f>
        <v>4000</v>
      </c>
      <c r="D202" s="9" t="n">
        <f aca="false">(((Assumptions!$C$152+Assumptions!$C$153)+Assumptions!$C$154)/12)</f>
        <v>4000</v>
      </c>
      <c r="E202" s="9" t="n">
        <f aca="false">(((Assumptions!$C$152+Assumptions!$C$153)+Assumptions!$C$154)/12)</f>
        <v>4000</v>
      </c>
      <c r="F202" s="9" t="n">
        <f aca="false">(((Assumptions!$C$152+Assumptions!$C$153)+Assumptions!$C$154)/12)</f>
        <v>4000</v>
      </c>
      <c r="G202" s="9" t="n">
        <f aca="false">(((Assumptions!$C$152+Assumptions!$C$153)+Assumptions!$C$154)/12)</f>
        <v>4000</v>
      </c>
      <c r="H202" s="9" t="n">
        <f aca="false">(((Assumptions!$C$152+Assumptions!$C$153)+Assumptions!$C$154)/12)</f>
        <v>4000</v>
      </c>
      <c r="I202" s="9" t="n">
        <f aca="false">(((Assumptions!$C$152+Assumptions!$C$153)+Assumptions!$C$154)/12)</f>
        <v>4000</v>
      </c>
      <c r="J202" s="9" t="n">
        <f aca="false">(((Assumptions!$C$152+Assumptions!$C$153)+Assumptions!$C$154)/12)</f>
        <v>4000</v>
      </c>
      <c r="K202" s="9" t="n">
        <f aca="false">(((Assumptions!$C$152+Assumptions!$C$153)+Assumptions!$C$154)/12)</f>
        <v>4000</v>
      </c>
      <c r="L202" s="9" t="n">
        <f aca="false">(((Assumptions!$C$152+Assumptions!$C$153)+Assumptions!$C$154)/12)</f>
        <v>4000</v>
      </c>
      <c r="M202" s="9" t="n">
        <f aca="false">(((Assumptions!$C$152+Assumptions!$C$153)+Assumptions!$C$154)/12)</f>
        <v>4000</v>
      </c>
      <c r="N202" s="9" t="n">
        <f aca="false">(((Assumptions!$C$152+Assumptions!$C$153)+Assumptions!$C$154)/12)</f>
        <v>4000</v>
      </c>
      <c r="O202" s="9" t="n">
        <f aca="false">(((Assumptions!$D$152+Assumptions!$D$153)+Assumptions!$D$154)/12)</f>
        <v>8250</v>
      </c>
      <c r="P202" s="9" t="n">
        <f aca="false">(((Assumptions!$D$152+Assumptions!$D$153)+Assumptions!$D$154)/12)</f>
        <v>8250</v>
      </c>
      <c r="Q202" s="9" t="n">
        <f aca="false">(((Assumptions!$D$152+Assumptions!$D$153)+Assumptions!$D$154)/12)</f>
        <v>8250</v>
      </c>
      <c r="R202" s="9" t="n">
        <f aca="false">(((Assumptions!$D$152+Assumptions!$D$153)+Assumptions!$D$154)/12)</f>
        <v>8250</v>
      </c>
      <c r="S202" s="9" t="n">
        <f aca="false">(((Assumptions!$D$152+Assumptions!$D$153)+Assumptions!$D$154)/12)</f>
        <v>8250</v>
      </c>
      <c r="T202" s="9" t="n">
        <f aca="false">(((Assumptions!$D$152+Assumptions!$D$153)+Assumptions!$D$154)/12)</f>
        <v>8250</v>
      </c>
      <c r="U202" s="9" t="n">
        <f aca="false">(((Assumptions!$D$152+Assumptions!$D$153)+Assumptions!$D$154)/12)</f>
        <v>8250</v>
      </c>
      <c r="V202" s="9" t="n">
        <f aca="false">(((Assumptions!$D$152+Assumptions!$D$153)+Assumptions!$D$154)/12)</f>
        <v>8250</v>
      </c>
      <c r="W202" s="9" t="n">
        <f aca="false">(((Assumptions!$D$152+Assumptions!$D$153)+Assumptions!$D$154)/12)</f>
        <v>8250</v>
      </c>
      <c r="X202" s="9" t="n">
        <f aca="false">(((Assumptions!$D$152+Assumptions!$D$153)+Assumptions!$D$154)/12)</f>
        <v>8250</v>
      </c>
      <c r="Y202" s="9" t="n">
        <f aca="false">(((Assumptions!$D$152+Assumptions!$D$153)+Assumptions!$D$154)/12)</f>
        <v>8250</v>
      </c>
      <c r="Z202" s="9" t="n">
        <f aca="false">(((Assumptions!$D$152+Assumptions!$D$153)+Assumptions!$D$154)/12)</f>
        <v>8250</v>
      </c>
      <c r="AA202" s="9" t="n">
        <f aca="false">(((Assumptions!$E$152+Assumptions!$E$153)+Assumptions!$E$154)/12)</f>
        <v>12583.3333333333</v>
      </c>
      <c r="AB202" s="9" t="n">
        <f aca="false">(((Assumptions!$E$152+Assumptions!$E$153)+Assumptions!$E$154)/12)</f>
        <v>12583.3333333333</v>
      </c>
      <c r="AC202" s="9" t="n">
        <f aca="false">(((Assumptions!$E$152+Assumptions!$E$153)+Assumptions!$E$154)/12)</f>
        <v>12583.3333333333</v>
      </c>
      <c r="AD202" s="9" t="n">
        <f aca="false">(((Assumptions!$E$152+Assumptions!$E$153)+Assumptions!$E$154)/12)</f>
        <v>12583.3333333333</v>
      </c>
      <c r="AE202" s="9" t="n">
        <f aca="false">(((Assumptions!$E$152+Assumptions!$E$153)+Assumptions!$E$154)/12)</f>
        <v>12583.3333333333</v>
      </c>
      <c r="AF202" s="9" t="n">
        <f aca="false">(((Assumptions!$E$152+Assumptions!$E$153)+Assumptions!$E$154)/12)</f>
        <v>12583.3333333333</v>
      </c>
      <c r="AG202" s="9" t="n">
        <f aca="false">(((Assumptions!$E$152+Assumptions!$E$153)+Assumptions!$E$154)/12)</f>
        <v>12583.3333333333</v>
      </c>
      <c r="AH202" s="9" t="n">
        <f aca="false">(((Assumptions!$E$152+Assumptions!$E$153)+Assumptions!$E$154)/12)</f>
        <v>12583.3333333333</v>
      </c>
      <c r="AI202" s="9" t="n">
        <f aca="false">(((Assumptions!$E$152+Assumptions!$E$153)+Assumptions!$E$154)/12)</f>
        <v>12583.3333333333</v>
      </c>
      <c r="AJ202" s="9" t="n">
        <f aca="false">(((Assumptions!$E$152+Assumptions!$E$153)+Assumptions!$E$154)/12)</f>
        <v>12583.3333333333</v>
      </c>
      <c r="AK202" s="9" t="n">
        <f aca="false">(((Assumptions!$E$152+Assumptions!$E$153)+Assumptions!$E$154)/12)</f>
        <v>12583.3333333333</v>
      </c>
      <c r="AL202" s="9" t="n">
        <f aca="false">(((Assumptions!$E$152+Assumptions!$E$153)+Assumptions!$E$154)/12)</f>
        <v>12583.3333333333</v>
      </c>
      <c r="AN202" s="11" t="n">
        <f aca="false">SUM(C202:N202)</f>
        <v>48000</v>
      </c>
      <c r="AO202" s="11" t="n">
        <f aca="false">SUM(O202:Z202)</f>
        <v>99000</v>
      </c>
      <c r="AP202" s="11" t="n">
        <f aca="false">SUM(AA202:AL202)</f>
        <v>151000</v>
      </c>
    </row>
    <row r="203" customFormat="false" ht="15" hidden="false" customHeight="false" outlineLevel="0" collapsed="false">
      <c r="A203" s="0" t="s">
        <v>561</v>
      </c>
      <c r="B203" s="0" t="s">
        <v>230</v>
      </c>
      <c r="C203" s="9" t="n">
        <f aca="false">(Assumptions!$C$155/12)</f>
        <v>833.333333333333</v>
      </c>
      <c r="D203" s="9" t="n">
        <f aca="false">(Assumptions!$C$155/12)</f>
        <v>833.333333333333</v>
      </c>
      <c r="E203" s="9" t="n">
        <f aca="false">(Assumptions!$C$155/12)</f>
        <v>833.333333333333</v>
      </c>
      <c r="F203" s="9" t="n">
        <f aca="false">(Assumptions!$C$155/12)</f>
        <v>833.333333333333</v>
      </c>
      <c r="G203" s="9" t="n">
        <f aca="false">(Assumptions!$C$155/12)</f>
        <v>833.333333333333</v>
      </c>
      <c r="H203" s="9" t="n">
        <f aca="false">(Assumptions!$C$155/12)</f>
        <v>833.333333333333</v>
      </c>
      <c r="I203" s="9" t="n">
        <f aca="false">(Assumptions!$C$155/12)</f>
        <v>833.333333333333</v>
      </c>
      <c r="J203" s="9" t="n">
        <f aca="false">(Assumptions!$C$155/12)</f>
        <v>833.333333333333</v>
      </c>
      <c r="K203" s="9" t="n">
        <f aca="false">(Assumptions!$C$155/12)</f>
        <v>833.333333333333</v>
      </c>
      <c r="L203" s="9" t="n">
        <f aca="false">(Assumptions!$C$155/12)</f>
        <v>833.333333333333</v>
      </c>
      <c r="M203" s="9" t="n">
        <f aca="false">(Assumptions!$C$155/12)</f>
        <v>833.333333333333</v>
      </c>
      <c r="N203" s="9" t="n">
        <f aca="false">(Assumptions!$C$155/12)</f>
        <v>833.333333333333</v>
      </c>
      <c r="O203" s="9" t="n">
        <f aca="false">(Assumptions!$D$155/12)</f>
        <v>1666.66666666667</v>
      </c>
      <c r="P203" s="9" t="n">
        <f aca="false">(Assumptions!$D$155/12)</f>
        <v>1666.66666666667</v>
      </c>
      <c r="Q203" s="9" t="n">
        <f aca="false">(Assumptions!$D$155/12)</f>
        <v>1666.66666666667</v>
      </c>
      <c r="R203" s="9" t="n">
        <f aca="false">(Assumptions!$D$155/12)</f>
        <v>1666.66666666667</v>
      </c>
      <c r="S203" s="9" t="n">
        <f aca="false">(Assumptions!$D$155/12)</f>
        <v>1666.66666666667</v>
      </c>
      <c r="T203" s="9" t="n">
        <f aca="false">(Assumptions!$D$155/12)</f>
        <v>1666.66666666667</v>
      </c>
      <c r="U203" s="9" t="n">
        <f aca="false">(Assumptions!$D$155/12)</f>
        <v>1666.66666666667</v>
      </c>
      <c r="V203" s="9" t="n">
        <f aca="false">(Assumptions!$D$155/12)</f>
        <v>1666.66666666667</v>
      </c>
      <c r="W203" s="9" t="n">
        <f aca="false">(Assumptions!$D$155/12)</f>
        <v>1666.66666666667</v>
      </c>
      <c r="X203" s="9" t="n">
        <f aca="false">(Assumptions!$D$155/12)</f>
        <v>1666.66666666667</v>
      </c>
      <c r="Y203" s="9" t="n">
        <f aca="false">(Assumptions!$D$155/12)</f>
        <v>1666.66666666667</v>
      </c>
      <c r="Z203" s="9" t="n">
        <f aca="false">(Assumptions!$D$155/12)</f>
        <v>1666.66666666667</v>
      </c>
      <c r="AA203" s="9" t="n">
        <f aca="false">(Assumptions!$E$155/12)</f>
        <v>2500</v>
      </c>
      <c r="AB203" s="9" t="n">
        <f aca="false">(Assumptions!$E$155/12)</f>
        <v>2500</v>
      </c>
      <c r="AC203" s="9" t="n">
        <f aca="false">(Assumptions!$E$155/12)</f>
        <v>2500</v>
      </c>
      <c r="AD203" s="9" t="n">
        <f aca="false">(Assumptions!$E$155/12)</f>
        <v>2500</v>
      </c>
      <c r="AE203" s="9" t="n">
        <f aca="false">(Assumptions!$E$155/12)</f>
        <v>2500</v>
      </c>
      <c r="AF203" s="9" t="n">
        <f aca="false">(Assumptions!$E$155/12)</f>
        <v>2500</v>
      </c>
      <c r="AG203" s="9" t="n">
        <f aca="false">(Assumptions!$E$155/12)</f>
        <v>2500</v>
      </c>
      <c r="AH203" s="9" t="n">
        <f aca="false">(Assumptions!$E$155/12)</f>
        <v>2500</v>
      </c>
      <c r="AI203" s="9" t="n">
        <f aca="false">(Assumptions!$E$155/12)</f>
        <v>2500</v>
      </c>
      <c r="AJ203" s="9" t="n">
        <f aca="false">(Assumptions!$E$155/12)</f>
        <v>2500</v>
      </c>
      <c r="AK203" s="9" t="n">
        <f aca="false">(Assumptions!$E$155/12)</f>
        <v>2500</v>
      </c>
      <c r="AL203" s="9" t="n">
        <f aca="false">(Assumptions!$E$155/12)</f>
        <v>2500</v>
      </c>
      <c r="AN203" s="11" t="n">
        <f aca="false">SUM(C203:N203)</f>
        <v>10000</v>
      </c>
      <c r="AO203" s="11" t="n">
        <f aca="false">SUM(O203:Z203)</f>
        <v>20000</v>
      </c>
      <c r="AP203" s="11" t="n">
        <f aca="false">SUM(AA203:AL203)</f>
        <v>30000</v>
      </c>
    </row>
    <row r="204" customFormat="false" ht="15" hidden="false" customHeight="false" outlineLevel="0" collapsed="false">
      <c r="A204" s="0" t="s">
        <v>1002</v>
      </c>
      <c r="B204" s="0" t="s">
        <v>230</v>
      </c>
      <c r="C204" s="9" t="n">
        <f aca="false">(Assumptions!$C$39*C134)</f>
        <v>0</v>
      </c>
      <c r="D204" s="9" t="n">
        <f aca="false">(Assumptions!$C$39*D134)</f>
        <v>0</v>
      </c>
      <c r="E204" s="9" t="n">
        <f aca="false">(Assumptions!$C$39*E134)</f>
        <v>0</v>
      </c>
      <c r="F204" s="9" t="n">
        <f aca="false">(Assumptions!$C$39*F134)</f>
        <v>0</v>
      </c>
      <c r="G204" s="9" t="n">
        <f aca="false">(Assumptions!$C$39*G134)</f>
        <v>0</v>
      </c>
      <c r="H204" s="9" t="n">
        <f aca="false">(Assumptions!$C$39*H134)</f>
        <v>0</v>
      </c>
      <c r="I204" s="9" t="n">
        <f aca="false">(Assumptions!$C$39*I134)</f>
        <v>0</v>
      </c>
      <c r="J204" s="9" t="n">
        <f aca="false">(Assumptions!$C$39*J134)</f>
        <v>0</v>
      </c>
      <c r="K204" s="9" t="n">
        <f aca="false">(Assumptions!$C$39*K134)</f>
        <v>0</v>
      </c>
      <c r="L204" s="9" t="n">
        <f aca="false">(Assumptions!$C$39*L134)</f>
        <v>0</v>
      </c>
      <c r="M204" s="9" t="n">
        <f aca="false">(Assumptions!$C$39*M134)</f>
        <v>0</v>
      </c>
      <c r="N204" s="9" t="n">
        <f aca="false">(Assumptions!$C$39*N134)</f>
        <v>0</v>
      </c>
      <c r="O204" s="9" t="n">
        <f aca="false">(Assumptions!$C$39*O134)</f>
        <v>0</v>
      </c>
      <c r="P204" s="9" t="n">
        <f aca="false">(Assumptions!$C$39*P134)</f>
        <v>0</v>
      </c>
      <c r="Q204" s="9" t="n">
        <f aca="false">(Assumptions!$C$39*Q134)</f>
        <v>0</v>
      </c>
      <c r="R204" s="9" t="n">
        <f aca="false">(Assumptions!$C$39*R134)</f>
        <v>0</v>
      </c>
      <c r="S204" s="9" t="n">
        <f aca="false">(Assumptions!$C$39*S134)</f>
        <v>0</v>
      </c>
      <c r="T204" s="9" t="n">
        <f aca="false">(Assumptions!$C$39*T134)</f>
        <v>4371.84</v>
      </c>
      <c r="U204" s="9" t="n">
        <f aca="false">(Assumptions!$C$39*U134)</f>
        <v>2880</v>
      </c>
      <c r="V204" s="9" t="n">
        <f aca="false">(Assumptions!$C$39*V134)</f>
        <v>0</v>
      </c>
      <c r="W204" s="9" t="n">
        <f aca="false">(Assumptions!$C$39*W134)</f>
        <v>0</v>
      </c>
      <c r="X204" s="9" t="n">
        <f aca="false">(Assumptions!$C$39*X134)</f>
        <v>8960</v>
      </c>
      <c r="Y204" s="9" t="n">
        <f aca="false">(Assumptions!$C$39*Y134)</f>
        <v>0</v>
      </c>
      <c r="Z204" s="9" t="n">
        <f aca="false">(Assumptions!$C$39*Z134)</f>
        <v>0</v>
      </c>
      <c r="AA204" s="9" t="n">
        <f aca="false">(Assumptions!$C$39*AA134)</f>
        <v>11840</v>
      </c>
      <c r="AB204" s="9" t="n">
        <f aca="false">(Assumptions!$C$39*AB134)</f>
        <v>950.4</v>
      </c>
      <c r="AC204" s="9" t="n">
        <f aca="false">(Assumptions!$C$39*AC134)</f>
        <v>0</v>
      </c>
      <c r="AD204" s="9" t="n">
        <f aca="false">(Assumptions!$C$39*AD134)</f>
        <v>11840</v>
      </c>
      <c r="AE204" s="9" t="n">
        <f aca="false">(Assumptions!$C$39*AE134)</f>
        <v>7165.92</v>
      </c>
      <c r="AF204" s="9" t="n">
        <f aca="false">(Assumptions!$C$39*AF134)</f>
        <v>0</v>
      </c>
      <c r="AG204" s="9" t="n">
        <f aca="false">(Assumptions!$C$39*AG134)</f>
        <v>14720</v>
      </c>
      <c r="AH204" s="9" t="n">
        <f aca="false">(Assumptions!$C$39*AH134)</f>
        <v>17780.32</v>
      </c>
      <c r="AI204" s="9" t="n">
        <f aca="false">(Assumptions!$C$39*AI134)</f>
        <v>0</v>
      </c>
      <c r="AJ204" s="9" t="n">
        <f aca="false">(Assumptions!$C$39*AJ134)</f>
        <v>20800</v>
      </c>
      <c r="AK204" s="9" t="n">
        <f aca="false">(Assumptions!$C$39*AK134)</f>
        <v>21572.32</v>
      </c>
      <c r="AL204" s="9" t="n">
        <f aca="false">(Assumptions!$C$39*AL134)</f>
        <v>13280</v>
      </c>
      <c r="AN204" s="11" t="n">
        <f aca="false">SUM(C204:N204)</f>
        <v>0</v>
      </c>
      <c r="AO204" s="11" t="n">
        <f aca="false">SUM(O204:Z204)</f>
        <v>16211.84</v>
      </c>
      <c r="AP204" s="11" t="n">
        <f aca="false">SUM(AA204:AL204)</f>
        <v>119948.96</v>
      </c>
    </row>
    <row r="205" customFormat="false" ht="15" hidden="false" customHeight="false" outlineLevel="0" collapsed="false">
      <c r="A205" s="0" t="s">
        <v>1003</v>
      </c>
      <c r="B205" s="0" t="s">
        <v>230</v>
      </c>
      <c r="C205" s="9" t="n">
        <f aca="false">((((Assumptions!$C$157+Assumptions!$C$158)+Assumptions!$C$159)+Assumptions!$C$160)/12)</f>
        <v>5000</v>
      </c>
      <c r="D205" s="9" t="n">
        <f aca="false">((((Assumptions!$C$157+Assumptions!$C$158)+Assumptions!$C$159)+Assumptions!$C$160)/12)</f>
        <v>5000</v>
      </c>
      <c r="E205" s="9" t="n">
        <f aca="false">((((Assumptions!$C$157+Assumptions!$C$158)+Assumptions!$C$159)+Assumptions!$C$160)/12)</f>
        <v>5000</v>
      </c>
      <c r="F205" s="9" t="n">
        <f aca="false">((((Assumptions!$C$157+Assumptions!$C$158)+Assumptions!$C$159)+Assumptions!$C$160)/12)</f>
        <v>5000</v>
      </c>
      <c r="G205" s="9" t="n">
        <f aca="false">((((Assumptions!$C$157+Assumptions!$C$158)+Assumptions!$C$159)+Assumptions!$C$160)/12)</f>
        <v>5000</v>
      </c>
      <c r="H205" s="9" t="n">
        <f aca="false">((((Assumptions!$C$157+Assumptions!$C$158)+Assumptions!$C$159)+Assumptions!$C$160)/12)</f>
        <v>5000</v>
      </c>
      <c r="I205" s="9" t="n">
        <f aca="false">((((Assumptions!$C$157+Assumptions!$C$158)+Assumptions!$C$159)+Assumptions!$C$160)/12)</f>
        <v>5000</v>
      </c>
      <c r="J205" s="9" t="n">
        <f aca="false">((((Assumptions!$C$157+Assumptions!$C$158)+Assumptions!$C$159)+Assumptions!$C$160)/12)</f>
        <v>5000</v>
      </c>
      <c r="K205" s="9" t="n">
        <f aca="false">((((Assumptions!$C$157+Assumptions!$C$158)+Assumptions!$C$159)+Assumptions!$C$160)/12)</f>
        <v>5000</v>
      </c>
      <c r="L205" s="9" t="n">
        <f aca="false">((((Assumptions!$C$157+Assumptions!$C$158)+Assumptions!$C$159)+Assumptions!$C$160)/12)</f>
        <v>5000</v>
      </c>
      <c r="M205" s="9" t="n">
        <f aca="false">((((Assumptions!$C$157+Assumptions!$C$158)+Assumptions!$C$159)+Assumptions!$C$160)/12)</f>
        <v>5000</v>
      </c>
      <c r="N205" s="9" t="n">
        <f aca="false">((((Assumptions!$C$157+Assumptions!$C$158)+Assumptions!$C$159)+Assumptions!$C$160)/12)</f>
        <v>5000</v>
      </c>
      <c r="O205" s="9" t="n">
        <f aca="false">((((Assumptions!$D$157+Assumptions!$D$158)+Assumptions!$D$159)+Assumptions!$D$160)/12)</f>
        <v>10833.3333333333</v>
      </c>
      <c r="P205" s="9" t="n">
        <f aca="false">((((Assumptions!$D$157+Assumptions!$D$158)+Assumptions!$D$159)+Assumptions!$D$160)/12)</f>
        <v>10833.3333333333</v>
      </c>
      <c r="Q205" s="9" t="n">
        <f aca="false">((((Assumptions!$D$157+Assumptions!$D$158)+Assumptions!$D$159)+Assumptions!$D$160)/12)</f>
        <v>10833.3333333333</v>
      </c>
      <c r="R205" s="9" t="n">
        <f aca="false">((((Assumptions!$D$157+Assumptions!$D$158)+Assumptions!$D$159)+Assumptions!$D$160)/12)</f>
        <v>10833.3333333333</v>
      </c>
      <c r="S205" s="9" t="n">
        <f aca="false">((((Assumptions!$D$157+Assumptions!$D$158)+Assumptions!$D$159)+Assumptions!$D$160)/12)</f>
        <v>10833.3333333333</v>
      </c>
      <c r="T205" s="9" t="n">
        <f aca="false">((((Assumptions!$D$157+Assumptions!$D$158)+Assumptions!$D$159)+Assumptions!$D$160)/12)</f>
        <v>10833.3333333333</v>
      </c>
      <c r="U205" s="9" t="n">
        <f aca="false">((((Assumptions!$D$157+Assumptions!$D$158)+Assumptions!$D$159)+Assumptions!$D$160)/12)</f>
        <v>10833.3333333333</v>
      </c>
      <c r="V205" s="9" t="n">
        <f aca="false">((((Assumptions!$D$157+Assumptions!$D$158)+Assumptions!$D$159)+Assumptions!$D$160)/12)</f>
        <v>10833.3333333333</v>
      </c>
      <c r="W205" s="9" t="n">
        <f aca="false">((((Assumptions!$D$157+Assumptions!$D$158)+Assumptions!$D$159)+Assumptions!$D$160)/12)</f>
        <v>10833.3333333333</v>
      </c>
      <c r="X205" s="9" t="n">
        <f aca="false">((((Assumptions!$D$157+Assumptions!$D$158)+Assumptions!$D$159)+Assumptions!$D$160)/12)</f>
        <v>10833.3333333333</v>
      </c>
      <c r="Y205" s="9" t="n">
        <f aca="false">((((Assumptions!$D$157+Assumptions!$D$158)+Assumptions!$D$159)+Assumptions!$D$160)/12)</f>
        <v>10833.3333333333</v>
      </c>
      <c r="Z205" s="9" t="n">
        <f aca="false">((((Assumptions!$D$157+Assumptions!$D$158)+Assumptions!$D$159)+Assumptions!$D$160)/12)</f>
        <v>10833.3333333333</v>
      </c>
      <c r="AA205" s="9" t="n">
        <f aca="false">((((Assumptions!$E$157+Assumptions!$E$158)+Assumptions!$E$159)+Assumptions!$E$160)/12)</f>
        <v>18333.3333333333</v>
      </c>
      <c r="AB205" s="9" t="n">
        <f aca="false">((((Assumptions!$E$157+Assumptions!$E$158)+Assumptions!$E$159)+Assumptions!$E$160)/12)</f>
        <v>18333.3333333333</v>
      </c>
      <c r="AC205" s="9" t="n">
        <f aca="false">((((Assumptions!$E$157+Assumptions!$E$158)+Assumptions!$E$159)+Assumptions!$E$160)/12)</f>
        <v>18333.3333333333</v>
      </c>
      <c r="AD205" s="9" t="n">
        <f aca="false">((((Assumptions!$E$157+Assumptions!$E$158)+Assumptions!$E$159)+Assumptions!$E$160)/12)</f>
        <v>18333.3333333333</v>
      </c>
      <c r="AE205" s="9" t="n">
        <f aca="false">((((Assumptions!$E$157+Assumptions!$E$158)+Assumptions!$E$159)+Assumptions!$E$160)/12)</f>
        <v>18333.3333333333</v>
      </c>
      <c r="AF205" s="9" t="n">
        <f aca="false">((((Assumptions!$E$157+Assumptions!$E$158)+Assumptions!$E$159)+Assumptions!$E$160)/12)</f>
        <v>18333.3333333333</v>
      </c>
      <c r="AG205" s="9" t="n">
        <f aca="false">((((Assumptions!$E$157+Assumptions!$E$158)+Assumptions!$E$159)+Assumptions!$E$160)/12)</f>
        <v>18333.3333333333</v>
      </c>
      <c r="AH205" s="9" t="n">
        <f aca="false">((((Assumptions!$E$157+Assumptions!$E$158)+Assumptions!$E$159)+Assumptions!$E$160)/12)</f>
        <v>18333.3333333333</v>
      </c>
      <c r="AI205" s="9" t="n">
        <f aca="false">((((Assumptions!$E$157+Assumptions!$E$158)+Assumptions!$E$159)+Assumptions!$E$160)/12)</f>
        <v>18333.3333333333</v>
      </c>
      <c r="AJ205" s="9" t="n">
        <f aca="false">((((Assumptions!$E$157+Assumptions!$E$158)+Assumptions!$E$159)+Assumptions!$E$160)/12)</f>
        <v>18333.3333333333</v>
      </c>
      <c r="AK205" s="9" t="n">
        <f aca="false">((((Assumptions!$E$157+Assumptions!$E$158)+Assumptions!$E$159)+Assumptions!$E$160)/12)</f>
        <v>18333.3333333333</v>
      </c>
      <c r="AL205" s="9" t="n">
        <f aca="false">((((Assumptions!$E$157+Assumptions!$E$158)+Assumptions!$E$159)+Assumptions!$E$160)/12)</f>
        <v>18333.3333333333</v>
      </c>
      <c r="AN205" s="11" t="n">
        <f aca="false">SUM(C205:N205)</f>
        <v>60000</v>
      </c>
      <c r="AO205" s="11" t="n">
        <f aca="false">SUM(O205:Z205)</f>
        <v>130000</v>
      </c>
      <c r="AP205" s="11" t="n">
        <f aca="false">SUM(AA205:AL205)</f>
        <v>220000</v>
      </c>
    </row>
    <row r="206" customFormat="false" ht="15" hidden="false" customHeight="false" outlineLevel="0" collapsed="false">
      <c r="A206" s="0" t="s">
        <v>1004</v>
      </c>
      <c r="B206" s="0" t="s">
        <v>230</v>
      </c>
      <c r="C206" s="9" t="n">
        <f aca="false">IF((C$18&gt;=Assumptions!$C$5),Assumptions!$C$134,0)</f>
        <v>0</v>
      </c>
      <c r="D206" s="9" t="n">
        <f aca="false">IF((D$18&gt;=Assumptions!$C$5),Assumptions!$C$134,0)</f>
        <v>0</v>
      </c>
      <c r="E206" s="9" t="n">
        <f aca="false">IF((E$18&gt;=Assumptions!$C$5),Assumptions!$C$134,0)</f>
        <v>0</v>
      </c>
      <c r="F206" s="9" t="n">
        <f aca="false">IF((F$18&gt;=Assumptions!$C$5),Assumptions!$C$134,0)</f>
        <v>0</v>
      </c>
      <c r="G206" s="9" t="n">
        <f aca="false">IF((G$18&gt;=Assumptions!$C$5),Assumptions!$C$134,0)</f>
        <v>0</v>
      </c>
      <c r="H206" s="9" t="n">
        <f aca="false">IF((H$18&gt;=Assumptions!$C$5),Assumptions!$C$134,0)</f>
        <v>0</v>
      </c>
      <c r="I206" s="9" t="n">
        <f aca="false">IF((I$18&gt;=Assumptions!$C$5),Assumptions!$C$134,0)</f>
        <v>0</v>
      </c>
      <c r="J206" s="9" t="n">
        <f aca="false">IF((J$18&gt;=Assumptions!$C$5),Assumptions!$C$134,0)</f>
        <v>0</v>
      </c>
      <c r="K206" s="9" t="n">
        <f aca="false">IF((K$18&gt;=Assumptions!$C$5),Assumptions!$C$134,0)</f>
        <v>0</v>
      </c>
      <c r="L206" s="9" t="n">
        <f aca="false">IF((L$18&gt;=Assumptions!$C$5),Assumptions!$C$134,0)</f>
        <v>0</v>
      </c>
      <c r="M206" s="9" t="n">
        <f aca="false">IF((M$18&gt;=Assumptions!$C$5),Assumptions!$C$134,0)</f>
        <v>0</v>
      </c>
      <c r="N206" s="9" t="n">
        <f aca="false">IF((N$18&gt;=Assumptions!$C$5),Assumptions!$C$134,0)</f>
        <v>0</v>
      </c>
      <c r="O206" s="9" t="n">
        <f aca="false">IF((O$18&gt;=Assumptions!$C$5),Assumptions!$D$134,0)</f>
        <v>3000</v>
      </c>
      <c r="P206" s="9" t="n">
        <f aca="false">IF((P$18&gt;=Assumptions!$C$5),Assumptions!$D$134,0)</f>
        <v>3000</v>
      </c>
      <c r="Q206" s="9" t="n">
        <f aca="false">IF((Q$18&gt;=Assumptions!$C$5),Assumptions!$D$134,0)</f>
        <v>3000</v>
      </c>
      <c r="R206" s="9" t="n">
        <f aca="false">IF((R$18&gt;=Assumptions!$C$5),Assumptions!$D$134,0)</f>
        <v>3000</v>
      </c>
      <c r="S206" s="9" t="n">
        <f aca="false">IF((S$18&gt;=Assumptions!$C$5),Assumptions!$D$134,0)</f>
        <v>3000</v>
      </c>
      <c r="T206" s="9" t="n">
        <f aca="false">IF((T$18&gt;=Assumptions!$C$5),Assumptions!$D$134,0)</f>
        <v>3000</v>
      </c>
      <c r="U206" s="9" t="n">
        <f aca="false">IF((U$18&gt;=Assumptions!$C$5),Assumptions!$D$134,0)</f>
        <v>3000</v>
      </c>
      <c r="V206" s="9" t="n">
        <f aca="false">IF((V$18&gt;=Assumptions!$C$5),Assumptions!$D$134,0)</f>
        <v>3000</v>
      </c>
      <c r="W206" s="9" t="n">
        <f aca="false">IF((W$18&gt;=Assumptions!$C$5),Assumptions!$D$134,0)</f>
        <v>3000</v>
      </c>
      <c r="X206" s="9" t="n">
        <f aca="false">IF((X$18&gt;=Assumptions!$C$5),Assumptions!$D$134,0)</f>
        <v>3000</v>
      </c>
      <c r="Y206" s="9" t="n">
        <f aca="false">IF((Y$18&gt;=Assumptions!$C$5),Assumptions!$D$134,0)</f>
        <v>3000</v>
      </c>
      <c r="Z206" s="9" t="n">
        <f aca="false">IF((Z$18&gt;=Assumptions!$C$5),Assumptions!$D$134,0)</f>
        <v>3000</v>
      </c>
      <c r="AA206" s="9" t="n">
        <f aca="false">IF((AA$18&gt;=Assumptions!$C$5),Assumptions!$E$134,0)</f>
        <v>5000</v>
      </c>
      <c r="AB206" s="9" t="n">
        <f aca="false">IF((AB$18&gt;=Assumptions!$C$5),Assumptions!$E$134,0)</f>
        <v>5000</v>
      </c>
      <c r="AC206" s="9" t="n">
        <f aca="false">IF((AC$18&gt;=Assumptions!$C$5),Assumptions!$E$134,0)</f>
        <v>5000</v>
      </c>
      <c r="AD206" s="9" t="n">
        <f aca="false">IF((AD$18&gt;=Assumptions!$C$5),Assumptions!$E$134,0)</f>
        <v>5000</v>
      </c>
      <c r="AE206" s="9" t="n">
        <f aca="false">IF((AE$18&gt;=Assumptions!$C$5),Assumptions!$E$134,0)</f>
        <v>5000</v>
      </c>
      <c r="AF206" s="9" t="n">
        <f aca="false">IF((AF$18&gt;=Assumptions!$C$5),Assumptions!$E$134,0)</f>
        <v>5000</v>
      </c>
      <c r="AG206" s="9" t="n">
        <f aca="false">IF((AG$18&gt;=Assumptions!$C$5),Assumptions!$E$134,0)</f>
        <v>5000</v>
      </c>
      <c r="AH206" s="9" t="n">
        <f aca="false">IF((AH$18&gt;=Assumptions!$C$5),Assumptions!$E$134,0)</f>
        <v>5000</v>
      </c>
      <c r="AI206" s="9" t="n">
        <f aca="false">IF((AI$18&gt;=Assumptions!$C$5),Assumptions!$E$134,0)</f>
        <v>5000</v>
      </c>
      <c r="AJ206" s="9" t="n">
        <f aca="false">IF((AJ$18&gt;=Assumptions!$C$5),Assumptions!$E$134,0)</f>
        <v>5000</v>
      </c>
      <c r="AK206" s="9" t="n">
        <f aca="false">IF((AK$18&gt;=Assumptions!$C$5),Assumptions!$E$134,0)</f>
        <v>5000</v>
      </c>
      <c r="AL206" s="9" t="n">
        <f aca="false">IF((AL$18&gt;=Assumptions!$C$5),Assumptions!$E$134,0)</f>
        <v>5000</v>
      </c>
      <c r="AN206" s="11" t="n">
        <f aca="false">SUM(C206:N206)</f>
        <v>0</v>
      </c>
      <c r="AO206" s="11" t="n">
        <f aca="false">SUM(O206:Z206)</f>
        <v>36000</v>
      </c>
      <c r="AP206" s="11" t="n">
        <f aca="false">SUM(AA206:AL206)</f>
        <v>60000</v>
      </c>
    </row>
    <row r="207" customFormat="false" ht="15" hidden="false" customHeight="false" outlineLevel="0" collapsed="false">
      <c r="A207" s="0" t="s">
        <v>1005</v>
      </c>
      <c r="B207" s="0" t="s">
        <v>230</v>
      </c>
      <c r="C207" s="9" t="n">
        <f aca="false">((((Assumptions!$C$161+Assumptions!$C$162)+Assumptions!$C$163)+Assumptions!$C$164)/12)</f>
        <v>4833.33333333333</v>
      </c>
      <c r="D207" s="9" t="n">
        <f aca="false">((((Assumptions!$C$161+Assumptions!$C$162)+Assumptions!$C$163)+Assumptions!$C$164)/12)</f>
        <v>4833.33333333333</v>
      </c>
      <c r="E207" s="9" t="n">
        <f aca="false">((((Assumptions!$C$161+Assumptions!$C$162)+Assumptions!$C$163)+Assumptions!$C$164)/12)</f>
        <v>4833.33333333333</v>
      </c>
      <c r="F207" s="9" t="n">
        <f aca="false">((((Assumptions!$C$161+Assumptions!$C$162)+Assumptions!$C$163)+Assumptions!$C$164)/12)</f>
        <v>4833.33333333333</v>
      </c>
      <c r="G207" s="9" t="n">
        <f aca="false">((((Assumptions!$C$161+Assumptions!$C$162)+Assumptions!$C$163)+Assumptions!$C$164)/12)</f>
        <v>4833.33333333333</v>
      </c>
      <c r="H207" s="9" t="n">
        <f aca="false">((((Assumptions!$C$161+Assumptions!$C$162)+Assumptions!$C$163)+Assumptions!$C$164)/12)</f>
        <v>4833.33333333333</v>
      </c>
      <c r="I207" s="9" t="n">
        <f aca="false">((((Assumptions!$C$161+Assumptions!$C$162)+Assumptions!$C$163)+Assumptions!$C$164)/12)</f>
        <v>4833.33333333333</v>
      </c>
      <c r="J207" s="9" t="n">
        <f aca="false">((((Assumptions!$C$161+Assumptions!$C$162)+Assumptions!$C$163)+Assumptions!$C$164)/12)</f>
        <v>4833.33333333333</v>
      </c>
      <c r="K207" s="9" t="n">
        <f aca="false">((((Assumptions!$C$161+Assumptions!$C$162)+Assumptions!$C$163)+Assumptions!$C$164)/12)</f>
        <v>4833.33333333333</v>
      </c>
      <c r="L207" s="9" t="n">
        <f aca="false">((((Assumptions!$C$161+Assumptions!$C$162)+Assumptions!$C$163)+Assumptions!$C$164)/12)</f>
        <v>4833.33333333333</v>
      </c>
      <c r="M207" s="9" t="n">
        <f aca="false">((((Assumptions!$C$161+Assumptions!$C$162)+Assumptions!$C$163)+Assumptions!$C$164)/12)</f>
        <v>4833.33333333333</v>
      </c>
      <c r="N207" s="9" t="n">
        <f aca="false">((((Assumptions!$C$161+Assumptions!$C$162)+Assumptions!$C$163)+Assumptions!$C$164)/12)</f>
        <v>4833.33333333333</v>
      </c>
      <c r="O207" s="9" t="n">
        <f aca="false">((((Assumptions!$D$161+Assumptions!$D$162)+Assumptions!$D$163)+Assumptions!$D$164)/12)</f>
        <v>11083.3333333333</v>
      </c>
      <c r="P207" s="9" t="n">
        <f aca="false">((((Assumptions!$D$161+Assumptions!$D$162)+Assumptions!$D$163)+Assumptions!$D$164)/12)</f>
        <v>11083.3333333333</v>
      </c>
      <c r="Q207" s="9" t="n">
        <f aca="false">((((Assumptions!$D$161+Assumptions!$D$162)+Assumptions!$D$163)+Assumptions!$D$164)/12)</f>
        <v>11083.3333333333</v>
      </c>
      <c r="R207" s="9" t="n">
        <f aca="false">((((Assumptions!$D$161+Assumptions!$D$162)+Assumptions!$D$163)+Assumptions!$D$164)/12)</f>
        <v>11083.3333333333</v>
      </c>
      <c r="S207" s="9" t="n">
        <f aca="false">((((Assumptions!$D$161+Assumptions!$D$162)+Assumptions!$D$163)+Assumptions!$D$164)/12)</f>
        <v>11083.3333333333</v>
      </c>
      <c r="T207" s="9" t="n">
        <f aca="false">((((Assumptions!$D$161+Assumptions!$D$162)+Assumptions!$D$163)+Assumptions!$D$164)/12)</f>
        <v>11083.3333333333</v>
      </c>
      <c r="U207" s="9" t="n">
        <f aca="false">((((Assumptions!$D$161+Assumptions!$D$162)+Assumptions!$D$163)+Assumptions!$D$164)/12)</f>
        <v>11083.3333333333</v>
      </c>
      <c r="V207" s="9" t="n">
        <f aca="false">((((Assumptions!$D$161+Assumptions!$D$162)+Assumptions!$D$163)+Assumptions!$D$164)/12)</f>
        <v>11083.3333333333</v>
      </c>
      <c r="W207" s="9" t="n">
        <f aca="false">((((Assumptions!$D$161+Assumptions!$D$162)+Assumptions!$D$163)+Assumptions!$D$164)/12)</f>
        <v>11083.3333333333</v>
      </c>
      <c r="X207" s="9" t="n">
        <f aca="false">((((Assumptions!$D$161+Assumptions!$D$162)+Assumptions!$D$163)+Assumptions!$D$164)/12)</f>
        <v>11083.3333333333</v>
      </c>
      <c r="Y207" s="9" t="n">
        <f aca="false">((((Assumptions!$D$161+Assumptions!$D$162)+Assumptions!$D$163)+Assumptions!$D$164)/12)</f>
        <v>11083.3333333333</v>
      </c>
      <c r="Z207" s="9" t="n">
        <f aca="false">((((Assumptions!$D$161+Assumptions!$D$162)+Assumptions!$D$163)+Assumptions!$D$164)/12)</f>
        <v>11083.3333333333</v>
      </c>
      <c r="AA207" s="9" t="n">
        <f aca="false">((((Assumptions!$E$161+Assumptions!$E$162)+Assumptions!$E$163)+Assumptions!$E$164)/12)</f>
        <v>19166.6666666667</v>
      </c>
      <c r="AB207" s="9" t="n">
        <f aca="false">((((Assumptions!$E$161+Assumptions!$E$162)+Assumptions!$E$163)+Assumptions!$E$164)/12)</f>
        <v>19166.6666666667</v>
      </c>
      <c r="AC207" s="9" t="n">
        <f aca="false">((((Assumptions!$E$161+Assumptions!$E$162)+Assumptions!$E$163)+Assumptions!$E$164)/12)</f>
        <v>19166.6666666667</v>
      </c>
      <c r="AD207" s="9" t="n">
        <f aca="false">((((Assumptions!$E$161+Assumptions!$E$162)+Assumptions!$E$163)+Assumptions!$E$164)/12)</f>
        <v>19166.6666666667</v>
      </c>
      <c r="AE207" s="9" t="n">
        <f aca="false">((((Assumptions!$E$161+Assumptions!$E$162)+Assumptions!$E$163)+Assumptions!$E$164)/12)</f>
        <v>19166.6666666667</v>
      </c>
      <c r="AF207" s="9" t="n">
        <f aca="false">((((Assumptions!$E$161+Assumptions!$E$162)+Assumptions!$E$163)+Assumptions!$E$164)/12)</f>
        <v>19166.6666666667</v>
      </c>
      <c r="AG207" s="9" t="n">
        <f aca="false">((((Assumptions!$E$161+Assumptions!$E$162)+Assumptions!$E$163)+Assumptions!$E$164)/12)</f>
        <v>19166.6666666667</v>
      </c>
      <c r="AH207" s="9" t="n">
        <f aca="false">((((Assumptions!$E$161+Assumptions!$E$162)+Assumptions!$E$163)+Assumptions!$E$164)/12)</f>
        <v>19166.6666666667</v>
      </c>
      <c r="AI207" s="9" t="n">
        <f aca="false">((((Assumptions!$E$161+Assumptions!$E$162)+Assumptions!$E$163)+Assumptions!$E$164)/12)</f>
        <v>19166.6666666667</v>
      </c>
      <c r="AJ207" s="9" t="n">
        <f aca="false">((((Assumptions!$E$161+Assumptions!$E$162)+Assumptions!$E$163)+Assumptions!$E$164)/12)</f>
        <v>19166.6666666667</v>
      </c>
      <c r="AK207" s="9" t="n">
        <f aca="false">((((Assumptions!$E$161+Assumptions!$E$162)+Assumptions!$E$163)+Assumptions!$E$164)/12)</f>
        <v>19166.6666666667</v>
      </c>
      <c r="AL207" s="9" t="n">
        <f aca="false">((((Assumptions!$E$161+Assumptions!$E$162)+Assumptions!$E$163)+Assumptions!$E$164)/12)</f>
        <v>19166.6666666667</v>
      </c>
      <c r="AN207" s="11" t="n">
        <f aca="false">SUM(C207:N207)</f>
        <v>58000</v>
      </c>
      <c r="AO207" s="11" t="n">
        <f aca="false">SUM(O207:Z207)</f>
        <v>133000</v>
      </c>
      <c r="AP207" s="11" t="n">
        <f aca="false">SUM(AA207:AL207)</f>
        <v>230000</v>
      </c>
    </row>
    <row r="208" customFormat="false" ht="15" hidden="false" customHeight="false" outlineLevel="0" collapsed="false">
      <c r="A208" s="0" t="s">
        <v>1006</v>
      </c>
      <c r="B208" s="0" t="s">
        <v>230</v>
      </c>
      <c r="C208" s="9" t="n">
        <f aca="false">(C196*((Assumptions!$C$98+Assumptions!$C$99)+Assumptions!$C$100))</f>
        <v>3740</v>
      </c>
      <c r="D208" s="9" t="n">
        <f aca="false">(D196*((Assumptions!$C$98+Assumptions!$C$99)+Assumptions!$C$100))</f>
        <v>3740</v>
      </c>
      <c r="E208" s="9" t="n">
        <f aca="false">(E196*((Assumptions!$C$98+Assumptions!$C$99)+Assumptions!$C$100))</f>
        <v>4590</v>
      </c>
      <c r="F208" s="9" t="n">
        <f aca="false">(F196*((Assumptions!$C$98+Assumptions!$C$99)+Assumptions!$C$100))</f>
        <v>5440</v>
      </c>
      <c r="G208" s="9" t="n">
        <f aca="false">(G196*((Assumptions!$C$98+Assumptions!$C$99)+Assumptions!$C$100))</f>
        <v>6290</v>
      </c>
      <c r="H208" s="9" t="n">
        <f aca="false">(H196*((Assumptions!$C$98+Assumptions!$C$99)+Assumptions!$C$100))</f>
        <v>7990</v>
      </c>
      <c r="I208" s="9" t="n">
        <f aca="false">(I196*((Assumptions!$C$98+Assumptions!$C$99)+Assumptions!$C$100))</f>
        <v>8840</v>
      </c>
      <c r="J208" s="9" t="n">
        <f aca="false">(J196*((Assumptions!$C$98+Assumptions!$C$99)+Assumptions!$C$100))</f>
        <v>8840</v>
      </c>
      <c r="K208" s="9" t="n">
        <f aca="false">(K196*((Assumptions!$C$98+Assumptions!$C$99)+Assumptions!$C$100))</f>
        <v>11390</v>
      </c>
      <c r="L208" s="9" t="n">
        <f aca="false">(L196*((Assumptions!$C$98+Assumptions!$C$99)+Assumptions!$C$100))</f>
        <v>12240</v>
      </c>
      <c r="M208" s="9" t="n">
        <f aca="false">(M196*((Assumptions!$C$98+Assumptions!$C$99)+Assumptions!$C$100))</f>
        <v>13090</v>
      </c>
      <c r="N208" s="9" t="n">
        <f aca="false">(N196*((Assumptions!$C$98+Assumptions!$C$99)+Assumptions!$C$100))</f>
        <v>13940</v>
      </c>
      <c r="O208" s="9" t="n">
        <f aca="false">(O196*((Assumptions!$C$98+Assumptions!$C$99)+Assumptions!$C$100))</f>
        <v>14790</v>
      </c>
      <c r="P208" s="9" t="n">
        <f aca="false">(P196*((Assumptions!$C$98+Assumptions!$C$99)+Assumptions!$C$100))</f>
        <v>15640</v>
      </c>
      <c r="Q208" s="9" t="n">
        <f aca="false">(Q196*((Assumptions!$C$98+Assumptions!$C$99)+Assumptions!$C$100))</f>
        <v>16490</v>
      </c>
      <c r="R208" s="9" t="n">
        <f aca="false">(R196*((Assumptions!$C$98+Assumptions!$C$99)+Assumptions!$C$100))</f>
        <v>16490</v>
      </c>
      <c r="S208" s="9" t="n">
        <f aca="false">(S196*((Assumptions!$C$98+Assumptions!$C$99)+Assumptions!$C$100))</f>
        <v>18190</v>
      </c>
      <c r="T208" s="9" t="n">
        <f aca="false">(T196*((Assumptions!$C$98+Assumptions!$C$99)+Assumptions!$C$100))</f>
        <v>19040</v>
      </c>
      <c r="U208" s="9" t="n">
        <f aca="false">(U196*((Assumptions!$C$98+Assumptions!$C$99)+Assumptions!$C$100))</f>
        <v>19890</v>
      </c>
      <c r="V208" s="9" t="n">
        <f aca="false">(V196*((Assumptions!$C$98+Assumptions!$C$99)+Assumptions!$C$100))</f>
        <v>21590</v>
      </c>
      <c r="W208" s="9" t="n">
        <f aca="false">(W196*((Assumptions!$C$98+Assumptions!$C$99)+Assumptions!$C$100))</f>
        <v>22440</v>
      </c>
      <c r="X208" s="9" t="n">
        <f aca="false">(X196*((Assumptions!$C$98+Assumptions!$C$99)+Assumptions!$C$100))</f>
        <v>22440</v>
      </c>
      <c r="Y208" s="9" t="n">
        <f aca="false">(Y196*((Assumptions!$C$98+Assumptions!$C$99)+Assumptions!$C$100))</f>
        <v>22440</v>
      </c>
      <c r="Z208" s="9" t="n">
        <f aca="false">(Z196*((Assumptions!$C$98+Assumptions!$C$99)+Assumptions!$C$100))</f>
        <v>24140</v>
      </c>
      <c r="AA208" s="9" t="n">
        <f aca="false">(AA196*((Assumptions!$C$98+Assumptions!$C$99)+Assumptions!$C$100))</f>
        <v>24990</v>
      </c>
      <c r="AB208" s="9" t="n">
        <f aca="false">(AB196*((Assumptions!$C$98+Assumptions!$C$99)+Assumptions!$C$100))</f>
        <v>26690</v>
      </c>
      <c r="AC208" s="9" t="n">
        <f aca="false">(AC196*((Assumptions!$C$98+Assumptions!$C$99)+Assumptions!$C$100))</f>
        <v>26690</v>
      </c>
      <c r="AD208" s="9" t="n">
        <f aca="false">(AD196*((Assumptions!$C$98+Assumptions!$C$99)+Assumptions!$C$100))</f>
        <v>28390</v>
      </c>
      <c r="AE208" s="9" t="n">
        <f aca="false">(AE196*((Assumptions!$C$98+Assumptions!$C$99)+Assumptions!$C$100))</f>
        <v>28390</v>
      </c>
      <c r="AF208" s="9" t="n">
        <f aca="false">(AF196*((Assumptions!$C$98+Assumptions!$C$99)+Assumptions!$C$100))</f>
        <v>28390</v>
      </c>
      <c r="AG208" s="9" t="n">
        <f aca="false">(AG196*((Assumptions!$C$98+Assumptions!$C$99)+Assumptions!$C$100))</f>
        <v>29240</v>
      </c>
      <c r="AH208" s="9" t="n">
        <f aca="false">(AH196*((Assumptions!$C$98+Assumptions!$C$99)+Assumptions!$C$100))</f>
        <v>29240</v>
      </c>
      <c r="AI208" s="9" t="n">
        <f aca="false">(AI196*((Assumptions!$C$98+Assumptions!$C$99)+Assumptions!$C$100))</f>
        <v>30090</v>
      </c>
      <c r="AJ208" s="9" t="n">
        <f aca="false">(AJ196*((Assumptions!$C$98+Assumptions!$C$99)+Assumptions!$C$100))</f>
        <v>31790</v>
      </c>
      <c r="AK208" s="9" t="n">
        <f aca="false">(AK196*((Assumptions!$C$98+Assumptions!$C$99)+Assumptions!$C$100))</f>
        <v>31790</v>
      </c>
      <c r="AL208" s="9" t="n">
        <f aca="false">(AL196*((Assumptions!$C$98+Assumptions!$C$99)+Assumptions!$C$100))</f>
        <v>32640</v>
      </c>
      <c r="AN208" s="11" t="n">
        <f aca="false">SUM(C208:N208)</f>
        <v>100130</v>
      </c>
      <c r="AO208" s="11" t="n">
        <f aca="false">SUM(O208:Z208)</f>
        <v>233580</v>
      </c>
      <c r="AP208" s="11" t="n">
        <f aca="false">SUM(AA208:AL208)</f>
        <v>348330</v>
      </c>
    </row>
    <row r="209" customFormat="false" ht="15" hidden="false" customHeight="false" outlineLevel="0" collapsed="false">
      <c r="A209" s="0" t="s">
        <v>1007</v>
      </c>
      <c r="B209" s="0" t="s">
        <v>230</v>
      </c>
      <c r="C209" s="9" t="n">
        <f aca="false">(C198*(Assumptions!$C$101+Assumptions!$C$102))</f>
        <v>0</v>
      </c>
      <c r="D209" s="9" t="n">
        <f aca="false">(D198*(Assumptions!$C$101+Assumptions!$C$102))</f>
        <v>0</v>
      </c>
      <c r="E209" s="9" t="n">
        <f aca="false">(E198*(Assumptions!$C$101+Assumptions!$C$102))</f>
        <v>11800</v>
      </c>
      <c r="F209" s="9" t="n">
        <f aca="false">(F198*(Assumptions!$C$101+Assumptions!$C$102))</f>
        <v>11800</v>
      </c>
      <c r="G209" s="9" t="n">
        <f aca="false">(G198*(Assumptions!$C$101+Assumptions!$C$102))</f>
        <v>11800</v>
      </c>
      <c r="H209" s="9" t="n">
        <f aca="false">(H198*(Assumptions!$C$101+Assumptions!$C$102))</f>
        <v>23600</v>
      </c>
      <c r="I209" s="9" t="n">
        <f aca="false">(I198*(Assumptions!$C$101+Assumptions!$C$102))</f>
        <v>11800</v>
      </c>
      <c r="J209" s="9" t="n">
        <f aca="false">(J198*(Assumptions!$C$101+Assumptions!$C$102))</f>
        <v>0</v>
      </c>
      <c r="K209" s="9" t="n">
        <f aca="false">(K198*(Assumptions!$C$101+Assumptions!$C$102))</f>
        <v>35400</v>
      </c>
      <c r="L209" s="9" t="n">
        <f aca="false">(L198*(Assumptions!$C$101+Assumptions!$C$102))</f>
        <v>11800</v>
      </c>
      <c r="M209" s="9" t="n">
        <f aca="false">(M198*(Assumptions!$C$101+Assumptions!$C$102))</f>
        <v>11800</v>
      </c>
      <c r="N209" s="9" t="n">
        <f aca="false">(N198*(Assumptions!$C$101+Assumptions!$C$102))</f>
        <v>11800</v>
      </c>
      <c r="O209" s="9" t="n">
        <f aca="false">(O198*(Assumptions!$C$101+Assumptions!$C$102))</f>
        <v>11800</v>
      </c>
      <c r="P209" s="9" t="n">
        <f aca="false">(P198*(Assumptions!$C$101+Assumptions!$C$102))</f>
        <v>11800</v>
      </c>
      <c r="Q209" s="9" t="n">
        <f aca="false">(Q198*(Assumptions!$C$101+Assumptions!$C$102))</f>
        <v>11800</v>
      </c>
      <c r="R209" s="9" t="n">
        <f aca="false">(R198*(Assumptions!$C$101+Assumptions!$C$102))</f>
        <v>0</v>
      </c>
      <c r="S209" s="9" t="n">
        <f aca="false">(S198*(Assumptions!$C$101+Assumptions!$C$102))</f>
        <v>23600</v>
      </c>
      <c r="T209" s="9" t="n">
        <f aca="false">(T198*(Assumptions!$C$101+Assumptions!$C$102))</f>
        <v>11800</v>
      </c>
      <c r="U209" s="9" t="n">
        <f aca="false">(U198*(Assumptions!$C$101+Assumptions!$C$102))</f>
        <v>11800</v>
      </c>
      <c r="V209" s="9" t="n">
        <f aca="false">(V198*(Assumptions!$C$101+Assumptions!$C$102))</f>
        <v>23600</v>
      </c>
      <c r="W209" s="9" t="n">
        <f aca="false">(W198*(Assumptions!$C$101+Assumptions!$C$102))</f>
        <v>11800</v>
      </c>
      <c r="X209" s="9" t="n">
        <f aca="false">(X198*(Assumptions!$C$101+Assumptions!$C$102))</f>
        <v>0</v>
      </c>
      <c r="Y209" s="9" t="n">
        <f aca="false">(Y198*(Assumptions!$C$101+Assumptions!$C$102))</f>
        <v>0</v>
      </c>
      <c r="Z209" s="9" t="n">
        <f aca="false">(Z198*(Assumptions!$C$101+Assumptions!$C$102))</f>
        <v>23600</v>
      </c>
      <c r="AA209" s="9" t="n">
        <f aca="false">(AA198*(Assumptions!$C$101+Assumptions!$C$102))</f>
        <v>11800</v>
      </c>
      <c r="AB209" s="9" t="n">
        <f aca="false">(AB198*(Assumptions!$C$101+Assumptions!$C$102))</f>
        <v>23600</v>
      </c>
      <c r="AC209" s="9" t="n">
        <f aca="false">(AC198*(Assumptions!$C$101+Assumptions!$C$102))</f>
        <v>0</v>
      </c>
      <c r="AD209" s="9" t="n">
        <f aca="false">(AD198*(Assumptions!$C$101+Assumptions!$C$102))</f>
        <v>23600</v>
      </c>
      <c r="AE209" s="9" t="n">
        <f aca="false">(AE198*(Assumptions!$C$101+Assumptions!$C$102))</f>
        <v>0</v>
      </c>
      <c r="AF209" s="9" t="n">
        <f aca="false">(AF198*(Assumptions!$C$101+Assumptions!$C$102))</f>
        <v>0</v>
      </c>
      <c r="AG209" s="9" t="n">
        <f aca="false">(AG198*(Assumptions!$C$101+Assumptions!$C$102))</f>
        <v>11800</v>
      </c>
      <c r="AH209" s="9" t="n">
        <f aca="false">(AH198*(Assumptions!$C$101+Assumptions!$C$102))</f>
        <v>0</v>
      </c>
      <c r="AI209" s="9" t="n">
        <f aca="false">(AI198*(Assumptions!$C$101+Assumptions!$C$102))</f>
        <v>11800</v>
      </c>
      <c r="AJ209" s="9" t="n">
        <f aca="false">(AJ198*(Assumptions!$C$101+Assumptions!$C$102))</f>
        <v>23600</v>
      </c>
      <c r="AK209" s="9" t="n">
        <f aca="false">(AK198*(Assumptions!$C$101+Assumptions!$C$102))</f>
        <v>0</v>
      </c>
      <c r="AL209" s="9" t="n">
        <f aca="false">(AL198*(Assumptions!$C$101+Assumptions!$C$102))</f>
        <v>11800</v>
      </c>
      <c r="AN209" s="11" t="n">
        <f aca="false">SUM(C209:N209)</f>
        <v>141600</v>
      </c>
      <c r="AO209" s="11" t="n">
        <f aca="false">SUM(O209:Z209)</f>
        <v>141600</v>
      </c>
      <c r="AP209" s="11" t="n">
        <f aca="false">SUM(AA209:AL209)</f>
        <v>118000</v>
      </c>
    </row>
    <row r="210" customFormat="false" ht="15" hidden="false" customHeight="false" outlineLevel="0" collapsed="false">
      <c r="A210" s="0" t="s">
        <v>1008</v>
      </c>
      <c r="B210" s="0" t="s">
        <v>230</v>
      </c>
      <c r="C210" s="9" t="n">
        <f aca="false">(Assumptions!$C$103*((((((C199+C200)+C201)+C202)+C203)+C205)+C207))</f>
        <v>1791.66666666667</v>
      </c>
      <c r="D210" s="9" t="n">
        <f aca="false">(Assumptions!$C$103*((((((D199+D200)+D201)+D202)+D203)+D205)+D207))</f>
        <v>1791.66666666667</v>
      </c>
      <c r="E210" s="9" t="n">
        <f aca="false">(Assumptions!$C$103*((((((E199+E200)+E201)+E202)+E203)+E205)+E207))</f>
        <v>1791.66666666667</v>
      </c>
      <c r="F210" s="9" t="n">
        <f aca="false">(Assumptions!$C$103*((((((F199+F200)+F201)+F202)+F203)+F205)+F207))</f>
        <v>1791.66666666667</v>
      </c>
      <c r="G210" s="9" t="n">
        <f aca="false">(Assumptions!$C$103*((((((G199+G200)+G201)+G202)+G203)+G205)+G207))</f>
        <v>1791.66666666667</v>
      </c>
      <c r="H210" s="9" t="n">
        <f aca="false">(Assumptions!$C$103*((((((H199+H200)+H201)+H202)+H203)+H205)+H207))</f>
        <v>1791.66666666667</v>
      </c>
      <c r="I210" s="9" t="n">
        <f aca="false">(Assumptions!$C$103*((((((I199+I200)+I201)+I202)+I203)+I205)+I207))</f>
        <v>1791.66666666667</v>
      </c>
      <c r="J210" s="9" t="n">
        <f aca="false">(Assumptions!$C$103*((((((J199+J200)+J201)+J202)+J203)+J205)+J207))</f>
        <v>1791.66666666667</v>
      </c>
      <c r="K210" s="9" t="n">
        <f aca="false">(Assumptions!$C$103*((((((K199+K200)+K201)+K202)+K203)+K205)+K207))</f>
        <v>1791.66666666667</v>
      </c>
      <c r="L210" s="9" t="n">
        <f aca="false">(Assumptions!$C$103*((((((L199+L200)+L201)+L202)+L203)+L205)+L207))</f>
        <v>1791.66666666667</v>
      </c>
      <c r="M210" s="9" t="n">
        <f aca="false">(Assumptions!$C$103*((((((M199+M200)+M201)+M202)+M203)+M205)+M207))</f>
        <v>1791.66666666667</v>
      </c>
      <c r="N210" s="9" t="n">
        <f aca="false">(Assumptions!$C$103*((((((N199+N200)+N201)+N202)+N203)+N205)+N207))</f>
        <v>1791.66666666667</v>
      </c>
      <c r="O210" s="9" t="n">
        <f aca="false">(Assumptions!$C$103*((((((O199+O200)+O201)+O202)+O203)+O205)+O207))</f>
        <v>3058.33333333333</v>
      </c>
      <c r="P210" s="9" t="n">
        <f aca="false">(Assumptions!$C$103*((((((P199+P200)+P201)+P202)+P203)+P205)+P207))</f>
        <v>3058.33333333333</v>
      </c>
      <c r="Q210" s="9" t="n">
        <f aca="false">(Assumptions!$C$103*((((((Q199+Q200)+Q201)+Q202)+Q203)+Q205)+Q207))</f>
        <v>3058.33333333333</v>
      </c>
      <c r="R210" s="9" t="n">
        <f aca="false">(Assumptions!$C$103*((((((R199+R200)+R201)+R202)+R203)+R205)+R207))</f>
        <v>3058.33333333333</v>
      </c>
      <c r="S210" s="9" t="n">
        <f aca="false">(Assumptions!$C$103*((((((S199+S200)+S201)+S202)+S203)+S205)+S207))</f>
        <v>3058.33333333333</v>
      </c>
      <c r="T210" s="9" t="n">
        <f aca="false">(Assumptions!$C$103*((((((T199+T200)+T201)+T202)+T203)+T205)+T207))</f>
        <v>3058.33333333333</v>
      </c>
      <c r="U210" s="9" t="n">
        <f aca="false">(Assumptions!$C$103*((((((U199+U200)+U201)+U202)+U203)+U205)+U207))</f>
        <v>3058.33333333333</v>
      </c>
      <c r="V210" s="9" t="n">
        <f aca="false">(Assumptions!$C$103*((((((V199+V200)+V201)+V202)+V203)+V205)+V207))</f>
        <v>3058.33333333333</v>
      </c>
      <c r="W210" s="9" t="n">
        <f aca="false">(Assumptions!$C$103*((((((W199+W200)+W201)+W202)+W203)+W205)+W207))</f>
        <v>3058.33333333333</v>
      </c>
      <c r="X210" s="9" t="n">
        <f aca="false">(Assumptions!$C$103*((((((X199+X200)+X201)+X202)+X203)+X205)+X207))</f>
        <v>3058.33333333333</v>
      </c>
      <c r="Y210" s="9" t="n">
        <f aca="false">(Assumptions!$C$103*((((((Y199+Y200)+Y201)+Y202)+Y203)+Y205)+Y207))</f>
        <v>3058.33333333333</v>
      </c>
      <c r="Z210" s="9" t="n">
        <f aca="false">(Assumptions!$C$103*((((((Z199+Z200)+Z201)+Z202)+Z203)+Z205)+Z207))</f>
        <v>3058.33333333333</v>
      </c>
      <c r="AA210" s="9" t="n">
        <f aca="false">(Assumptions!$C$103*((((((AA199+AA200)+AA201)+AA202)+AA203)+AA205)+AA207))</f>
        <v>4754.16666666667</v>
      </c>
      <c r="AB210" s="9" t="n">
        <f aca="false">(Assumptions!$C$103*((((((AB199+AB200)+AB201)+AB202)+AB203)+AB205)+AB207))</f>
        <v>4754.16666666667</v>
      </c>
      <c r="AC210" s="9" t="n">
        <f aca="false">(Assumptions!$C$103*((((((AC199+AC200)+AC201)+AC202)+AC203)+AC205)+AC207))</f>
        <v>4754.16666666667</v>
      </c>
      <c r="AD210" s="9" t="n">
        <f aca="false">(Assumptions!$C$103*((((((AD199+AD200)+AD201)+AD202)+AD203)+AD205)+AD207))</f>
        <v>4754.16666666667</v>
      </c>
      <c r="AE210" s="9" t="n">
        <f aca="false">(Assumptions!$C$103*((((((AE199+AE200)+AE201)+AE202)+AE203)+AE205)+AE207))</f>
        <v>4754.16666666667</v>
      </c>
      <c r="AF210" s="9" t="n">
        <f aca="false">(Assumptions!$C$103*((((((AF199+AF200)+AF201)+AF202)+AF203)+AF205)+AF207))</f>
        <v>4754.16666666667</v>
      </c>
      <c r="AG210" s="9" t="n">
        <f aca="false">(Assumptions!$C$103*((((((AG199+AG200)+AG201)+AG202)+AG203)+AG205)+AG207))</f>
        <v>4754.16666666667</v>
      </c>
      <c r="AH210" s="9" t="n">
        <f aca="false">(Assumptions!$C$103*((((((AH199+AH200)+AH201)+AH202)+AH203)+AH205)+AH207))</f>
        <v>4754.16666666667</v>
      </c>
      <c r="AI210" s="9" t="n">
        <f aca="false">(Assumptions!$C$103*((((((AI199+AI200)+AI201)+AI202)+AI203)+AI205)+AI207))</f>
        <v>4754.16666666667</v>
      </c>
      <c r="AJ210" s="9" t="n">
        <f aca="false">(Assumptions!$C$103*((((((AJ199+AJ200)+AJ201)+AJ202)+AJ203)+AJ205)+AJ207))</f>
        <v>4754.16666666667</v>
      </c>
      <c r="AK210" s="9" t="n">
        <f aca="false">(Assumptions!$C$103*((((((AK199+AK200)+AK201)+AK202)+AK203)+AK205)+AK207))</f>
        <v>4754.16666666667</v>
      </c>
      <c r="AL210" s="9" t="n">
        <f aca="false">(Assumptions!$C$103*((((((AL199+AL200)+AL201)+AL202)+AL203)+AL205)+AL207))</f>
        <v>4754.16666666667</v>
      </c>
      <c r="AN210" s="11" t="n">
        <f aca="false">SUM(C210:N210)</f>
        <v>21500</v>
      </c>
      <c r="AO210" s="11" t="n">
        <f aca="false">SUM(O210:Z210)</f>
        <v>36700</v>
      </c>
      <c r="AP210" s="11" t="n">
        <f aca="false">SUM(AA210:AL210)</f>
        <v>57050</v>
      </c>
    </row>
    <row r="211" customFormat="false" ht="15" hidden="false" customHeight="false" outlineLevel="0" collapsed="false">
      <c r="A211" s="0" t="s">
        <v>1009</v>
      </c>
      <c r="B211" s="0" t="s">
        <v>230</v>
      </c>
      <c r="C211" s="9" t="n">
        <f aca="false">(Assumptions!$C$33*C152)</f>
        <v>0</v>
      </c>
      <c r="D211" s="9" t="n">
        <f aca="false">(Assumptions!$C$33*D152)</f>
        <v>0</v>
      </c>
      <c r="E211" s="9" t="n">
        <f aca="false">(Assumptions!$C$33*E152)</f>
        <v>0</v>
      </c>
      <c r="F211" s="9" t="n">
        <f aca="false">(Assumptions!$C$33*F152)</f>
        <v>0</v>
      </c>
      <c r="G211" s="9" t="n">
        <f aca="false">(Assumptions!$C$33*G152)</f>
        <v>0</v>
      </c>
      <c r="H211" s="9" t="n">
        <f aca="false">(Assumptions!$C$33*H152)</f>
        <v>0</v>
      </c>
      <c r="I211" s="9" t="n">
        <f aca="false">(Assumptions!$C$33*I152)</f>
        <v>0</v>
      </c>
      <c r="J211" s="9" t="n">
        <f aca="false">(Assumptions!$C$33*J152)</f>
        <v>0</v>
      </c>
      <c r="K211" s="9" t="n">
        <f aca="false">(Assumptions!$C$33*K152)</f>
        <v>0</v>
      </c>
      <c r="L211" s="9" t="n">
        <f aca="false">(Assumptions!$C$33*L152)</f>
        <v>0</v>
      </c>
      <c r="M211" s="9" t="n">
        <f aca="false">(Assumptions!$C$33*M152)</f>
        <v>0</v>
      </c>
      <c r="N211" s="9" t="n">
        <f aca="false">(Assumptions!$C$33*N152)</f>
        <v>0</v>
      </c>
      <c r="O211" s="9" t="n">
        <f aca="false">(Assumptions!$C$33*O152)</f>
        <v>0</v>
      </c>
      <c r="P211" s="9" t="n">
        <f aca="false">(Assumptions!$C$33*P152)</f>
        <v>0</v>
      </c>
      <c r="Q211" s="9" t="n">
        <f aca="false">(Assumptions!$C$33*Q152)</f>
        <v>0</v>
      </c>
      <c r="R211" s="9" t="n">
        <f aca="false">(Assumptions!$C$33*R152)</f>
        <v>0</v>
      </c>
      <c r="S211" s="9" t="n">
        <f aca="false">(Assumptions!$C$33*S152)</f>
        <v>0</v>
      </c>
      <c r="T211" s="9" t="n">
        <f aca="false">(Assumptions!$C$33*T152)</f>
        <v>546.48</v>
      </c>
      <c r="U211" s="9" t="n">
        <f aca="false">(Assumptions!$C$33*U152)</f>
        <v>360</v>
      </c>
      <c r="V211" s="9" t="n">
        <f aca="false">(Assumptions!$C$33*V152)</f>
        <v>0</v>
      </c>
      <c r="W211" s="9" t="n">
        <f aca="false">(Assumptions!$C$33*W152)</f>
        <v>0</v>
      </c>
      <c r="X211" s="9" t="n">
        <f aca="false">(Assumptions!$C$33*X152)</f>
        <v>1120</v>
      </c>
      <c r="Y211" s="9" t="n">
        <f aca="false">(Assumptions!$C$33*Y152)</f>
        <v>0</v>
      </c>
      <c r="Z211" s="9" t="n">
        <f aca="false">(Assumptions!$C$33*Z152)</f>
        <v>0</v>
      </c>
      <c r="AA211" s="9" t="n">
        <f aca="false">(Assumptions!$C$33*AA152)</f>
        <v>1480</v>
      </c>
      <c r="AB211" s="9" t="n">
        <f aca="false">(Assumptions!$C$33*AB152)</f>
        <v>85.05</v>
      </c>
      <c r="AC211" s="9" t="n">
        <f aca="false">(Assumptions!$C$33*AC152)</f>
        <v>0</v>
      </c>
      <c r="AD211" s="9" t="n">
        <f aca="false">(Assumptions!$C$33*AD152)</f>
        <v>1480</v>
      </c>
      <c r="AE211" s="9" t="n">
        <f aca="false">(Assumptions!$C$33*AE152)</f>
        <v>801.24</v>
      </c>
      <c r="AF211" s="9" t="n">
        <f aca="false">(Assumptions!$C$33*AF152)</f>
        <v>528.99264</v>
      </c>
      <c r="AG211" s="9" t="n">
        <f aca="false">(Assumptions!$C$33*AG152)</f>
        <v>1840</v>
      </c>
      <c r="AH211" s="9" t="n">
        <f aca="false">(Assumptions!$C$33*AH152)</f>
        <v>2094.29</v>
      </c>
      <c r="AI211" s="9" t="n">
        <f aca="false">(Assumptions!$C$33*AI152)</f>
        <v>0</v>
      </c>
      <c r="AJ211" s="9" t="n">
        <f aca="false">(Assumptions!$C$33*AJ152)</f>
        <v>2600</v>
      </c>
      <c r="AK211" s="9" t="n">
        <f aca="false">(Assumptions!$C$33*AK152)</f>
        <v>2568.29</v>
      </c>
      <c r="AL211" s="9" t="n">
        <f aca="false">(Assumptions!$C$33*AL152)</f>
        <v>1660</v>
      </c>
      <c r="AN211" s="11" t="n">
        <f aca="false">SUM(C211:N211)</f>
        <v>0</v>
      </c>
      <c r="AO211" s="11" t="n">
        <f aca="false">SUM(O211:Z211)</f>
        <v>2026.48</v>
      </c>
      <c r="AP211" s="11" t="n">
        <f aca="false">SUM(AA211:AL211)</f>
        <v>15137.86264</v>
      </c>
    </row>
    <row r="212" customFormat="false" ht="15" hidden="false" customHeight="false" outlineLevel="0" collapsed="false">
      <c r="A212" s="0" t="s">
        <v>1010</v>
      </c>
      <c r="B212" s="0" t="s">
        <v>230</v>
      </c>
      <c r="C212" s="9" t="n">
        <f aca="false">IF(AND(($C$14=1),(C$18=Assumptions!$C$106)),(((((Assumptions!$C$107+Assumptions!$C$108)+Assumptions!$C$111)+Assumptions!$C$112)+(Assumptions!$C$109*Assumptions!$C$110))-Assumptions!$C$113),0)</f>
        <v>0</v>
      </c>
      <c r="D212" s="9" t="n">
        <f aca="false">IF(AND(($C$14=1),(D$18=Assumptions!$C$106)),(((((Assumptions!$C$107+Assumptions!$C$108)+Assumptions!$C$111)+Assumptions!$C$112)+(Assumptions!$C$109*Assumptions!$C$110))-Assumptions!$C$113),0)</f>
        <v>0</v>
      </c>
      <c r="E212" s="9" t="n">
        <f aca="false">IF(AND(($C$14=1),(E$18=Assumptions!$C$106)),(((((Assumptions!$C$107+Assumptions!$C$108)+Assumptions!$C$111)+Assumptions!$C$112)+(Assumptions!$C$109*Assumptions!$C$110))-Assumptions!$C$113),0)</f>
        <v>0</v>
      </c>
      <c r="F212" s="9" t="n">
        <f aca="false">IF(AND(($C$14=1),(F$18=Assumptions!$C$106)),(((((Assumptions!$C$107+Assumptions!$C$108)+Assumptions!$C$111)+Assumptions!$C$112)+(Assumptions!$C$109*Assumptions!$C$110))-Assumptions!$C$113),0)</f>
        <v>0</v>
      </c>
      <c r="G212" s="9" t="n">
        <f aca="false">IF(AND(($C$14=1),(G$18=Assumptions!$C$106)),(((((Assumptions!$C$107+Assumptions!$C$108)+Assumptions!$C$111)+Assumptions!$C$112)+(Assumptions!$C$109*Assumptions!$C$110))-Assumptions!$C$113),0)</f>
        <v>0</v>
      </c>
      <c r="H212" s="9" t="n">
        <f aca="false">IF(AND(($C$14=1),(H$18=Assumptions!$C$106)),(((((Assumptions!$C$107+Assumptions!$C$108)+Assumptions!$C$111)+Assumptions!$C$112)+(Assumptions!$C$109*Assumptions!$C$110))-Assumptions!$C$113),0)</f>
        <v>0</v>
      </c>
      <c r="I212" s="9" t="n">
        <f aca="false">IF(AND(($C$14=1),(I$18=Assumptions!$C$106)),(((((Assumptions!$C$107+Assumptions!$C$108)+Assumptions!$C$111)+Assumptions!$C$112)+(Assumptions!$C$109*Assumptions!$C$110))-Assumptions!$C$113),0)</f>
        <v>0</v>
      </c>
      <c r="J212" s="9" t="n">
        <f aca="false">IF(AND(($C$14=1),(J$18=Assumptions!$C$106)),(((((Assumptions!$C$107+Assumptions!$C$108)+Assumptions!$C$111)+Assumptions!$C$112)+(Assumptions!$C$109*Assumptions!$C$110))-Assumptions!$C$113),0)</f>
        <v>0</v>
      </c>
      <c r="K212" s="9" t="n">
        <f aca="false">IF(AND(($C$14=1),(K$18=Assumptions!$C$106)),(((((Assumptions!$C$107+Assumptions!$C$108)+Assumptions!$C$111)+Assumptions!$C$112)+(Assumptions!$C$109*Assumptions!$C$110))-Assumptions!$C$113),0)</f>
        <v>0</v>
      </c>
      <c r="L212" s="9" t="n">
        <f aca="false">IF(AND(($C$14=1),(L$18=Assumptions!$C$106)),(((((Assumptions!$C$107+Assumptions!$C$108)+Assumptions!$C$111)+Assumptions!$C$112)+(Assumptions!$C$109*Assumptions!$C$110))-Assumptions!$C$113),0)</f>
        <v>0</v>
      </c>
      <c r="M212" s="9" t="n">
        <f aca="false">IF(AND(($C$14=1),(M$18=Assumptions!$C$106)),(((((Assumptions!$C$107+Assumptions!$C$108)+Assumptions!$C$111)+Assumptions!$C$112)+(Assumptions!$C$109*Assumptions!$C$110))-Assumptions!$C$113),0)</f>
        <v>0</v>
      </c>
      <c r="N212" s="9" t="n">
        <f aca="false">IF(AND(($C$14=1),(N$18=Assumptions!$C$106)),(((((Assumptions!$C$107+Assumptions!$C$108)+Assumptions!$C$111)+Assumptions!$C$112)+(Assumptions!$C$109*Assumptions!$C$110))-Assumptions!$C$113),0)</f>
        <v>0</v>
      </c>
      <c r="O212" s="9" t="n">
        <f aca="false">IF(AND(($C$14=1),(O$18=Assumptions!$C$106)),(((((Assumptions!$C$107+Assumptions!$C$108)+Assumptions!$C$111)+Assumptions!$C$112)+(Assumptions!$C$109*Assumptions!$C$110))-Assumptions!$C$113),0)</f>
        <v>0</v>
      </c>
      <c r="P212" s="9" t="n">
        <f aca="false">IF(AND(($C$14=1),(P$18=Assumptions!$C$106)),(((((Assumptions!$C$107+Assumptions!$C$108)+Assumptions!$C$111)+Assumptions!$C$112)+(Assumptions!$C$109*Assumptions!$C$110))-Assumptions!$C$113),0)</f>
        <v>0</v>
      </c>
      <c r="Q212" s="9" t="n">
        <f aca="false">IF(AND(($C$14=1),(Q$18=Assumptions!$C$106)),(((((Assumptions!$C$107+Assumptions!$C$108)+Assumptions!$C$111)+Assumptions!$C$112)+(Assumptions!$C$109*Assumptions!$C$110))-Assumptions!$C$113),0)</f>
        <v>0</v>
      </c>
      <c r="R212" s="9" t="n">
        <f aca="false">IF(AND(($C$14=1),(R$18=Assumptions!$C$106)),(((((Assumptions!$C$107+Assumptions!$C$108)+Assumptions!$C$111)+Assumptions!$C$112)+(Assumptions!$C$109*Assumptions!$C$110))-Assumptions!$C$113),0)</f>
        <v>0</v>
      </c>
      <c r="S212" s="9" t="n">
        <f aca="false">IF(AND(($C$14=1),(S$18=Assumptions!$C$106)),(((((Assumptions!$C$107+Assumptions!$C$108)+Assumptions!$C$111)+Assumptions!$C$112)+(Assumptions!$C$109*Assumptions!$C$110))-Assumptions!$C$113),0)</f>
        <v>0</v>
      </c>
      <c r="T212" s="9" t="n">
        <f aca="false">IF(AND(($C$14=1),(T$18=Assumptions!$C$106)),(((((Assumptions!$C$107+Assumptions!$C$108)+Assumptions!$C$111)+Assumptions!$C$112)+(Assumptions!$C$109*Assumptions!$C$110))-Assumptions!$C$113),0)</f>
        <v>0</v>
      </c>
      <c r="U212" s="9" t="n">
        <f aca="false">IF(AND(($C$14=1),(U$18=Assumptions!$C$106)),(((((Assumptions!$C$107+Assumptions!$C$108)+Assumptions!$C$111)+Assumptions!$C$112)+(Assumptions!$C$109*Assumptions!$C$110))-Assumptions!$C$113),0)</f>
        <v>0</v>
      </c>
      <c r="V212" s="9" t="n">
        <f aca="false">IF(AND(($C$14=1),(V$18=Assumptions!$C$106)),(((((Assumptions!$C$107+Assumptions!$C$108)+Assumptions!$C$111)+Assumptions!$C$112)+(Assumptions!$C$109*Assumptions!$C$110))-Assumptions!$C$113),0)</f>
        <v>0</v>
      </c>
      <c r="W212" s="9" t="n">
        <f aca="false">IF(AND(($C$14=1),(W$18=Assumptions!$C$106)),(((((Assumptions!$C$107+Assumptions!$C$108)+Assumptions!$C$111)+Assumptions!$C$112)+(Assumptions!$C$109*Assumptions!$C$110))-Assumptions!$C$113),0)</f>
        <v>0</v>
      </c>
      <c r="X212" s="9" t="n">
        <f aca="false">IF(AND(($C$14=1),(X$18=Assumptions!$C$106)),(((((Assumptions!$C$107+Assumptions!$C$108)+Assumptions!$C$111)+Assumptions!$C$112)+(Assumptions!$C$109*Assumptions!$C$110))-Assumptions!$C$113),0)</f>
        <v>0</v>
      </c>
      <c r="Y212" s="9" t="n">
        <f aca="false">IF(AND(($C$14=1),(Y$18=Assumptions!$C$106)),(((((Assumptions!$C$107+Assumptions!$C$108)+Assumptions!$C$111)+Assumptions!$C$112)+(Assumptions!$C$109*Assumptions!$C$110))-Assumptions!$C$113),0)</f>
        <v>0</v>
      </c>
      <c r="Z212" s="9" t="n">
        <f aca="false">IF(AND(($C$14=1),(Z$18=Assumptions!$C$106)),(((((Assumptions!$C$107+Assumptions!$C$108)+Assumptions!$C$111)+Assumptions!$C$112)+(Assumptions!$C$109*Assumptions!$C$110))-Assumptions!$C$113),0)</f>
        <v>0</v>
      </c>
      <c r="AA212" s="9" t="n">
        <f aca="false">IF(AND(($C$14=1),(AA$18=Assumptions!$C$106)),(((((Assumptions!$C$107+Assumptions!$C$108)+Assumptions!$C$111)+Assumptions!$C$112)+(Assumptions!$C$109*Assumptions!$C$110))-Assumptions!$C$113),0)</f>
        <v>0</v>
      </c>
      <c r="AB212" s="9" t="n">
        <f aca="false">IF(AND(($C$14=1),(AB$18=Assumptions!$C$106)),(((((Assumptions!$C$107+Assumptions!$C$108)+Assumptions!$C$111)+Assumptions!$C$112)+(Assumptions!$C$109*Assumptions!$C$110))-Assumptions!$C$113),0)</f>
        <v>0</v>
      </c>
      <c r="AC212" s="9" t="n">
        <f aca="false">IF(AND(($C$14=1),(AC$18=Assumptions!$C$106)),(((((Assumptions!$C$107+Assumptions!$C$108)+Assumptions!$C$111)+Assumptions!$C$112)+(Assumptions!$C$109*Assumptions!$C$110))-Assumptions!$C$113),0)</f>
        <v>0</v>
      </c>
      <c r="AD212" s="9" t="n">
        <f aca="false">IF(AND(($C$14=1),(AD$18=Assumptions!$C$106)),(((((Assumptions!$C$107+Assumptions!$C$108)+Assumptions!$C$111)+Assumptions!$C$112)+(Assumptions!$C$109*Assumptions!$C$110))-Assumptions!$C$113),0)</f>
        <v>0</v>
      </c>
      <c r="AE212" s="9" t="n">
        <f aca="false">IF(AND(($C$14=1),(AE$18=Assumptions!$C$106)),(((((Assumptions!$C$107+Assumptions!$C$108)+Assumptions!$C$111)+Assumptions!$C$112)+(Assumptions!$C$109*Assumptions!$C$110))-Assumptions!$C$113),0)</f>
        <v>0</v>
      </c>
      <c r="AF212" s="9" t="n">
        <f aca="false">IF(AND(($C$14=1),(AF$18=Assumptions!$C$106)),(((((Assumptions!$C$107+Assumptions!$C$108)+Assumptions!$C$111)+Assumptions!$C$112)+(Assumptions!$C$109*Assumptions!$C$110))-Assumptions!$C$113),0)</f>
        <v>0</v>
      </c>
      <c r="AG212" s="9" t="n">
        <f aca="false">IF(AND(($C$14=1),(AG$18=Assumptions!$C$106)),(((((Assumptions!$C$107+Assumptions!$C$108)+Assumptions!$C$111)+Assumptions!$C$112)+(Assumptions!$C$109*Assumptions!$C$110))-Assumptions!$C$113),0)</f>
        <v>0</v>
      </c>
      <c r="AH212" s="9" t="n">
        <f aca="false">IF(AND(($C$14=1),(AH$18=Assumptions!$C$106)),(((((Assumptions!$C$107+Assumptions!$C$108)+Assumptions!$C$111)+Assumptions!$C$112)+(Assumptions!$C$109*Assumptions!$C$110))-Assumptions!$C$113),0)</f>
        <v>0</v>
      </c>
      <c r="AI212" s="9" t="n">
        <f aca="false">IF(AND(($C$14=1),(AI$18=Assumptions!$C$106)),(((((Assumptions!$C$107+Assumptions!$C$108)+Assumptions!$C$111)+Assumptions!$C$112)+(Assumptions!$C$109*Assumptions!$C$110))-Assumptions!$C$113),0)</f>
        <v>0</v>
      </c>
      <c r="AJ212" s="9" t="n">
        <f aca="false">IF(AND(($C$14=1),(AJ$18=Assumptions!$C$106)),(((((Assumptions!$C$107+Assumptions!$C$108)+Assumptions!$C$111)+Assumptions!$C$112)+(Assumptions!$C$109*Assumptions!$C$110))-Assumptions!$C$113),0)</f>
        <v>0</v>
      </c>
      <c r="AK212" s="9" t="n">
        <f aca="false">IF(AND(($C$14=1),(AK$18=Assumptions!$C$106)),(((((Assumptions!$C$107+Assumptions!$C$108)+Assumptions!$C$111)+Assumptions!$C$112)+(Assumptions!$C$109*Assumptions!$C$110))-Assumptions!$C$113),0)</f>
        <v>0</v>
      </c>
      <c r="AL212" s="9" t="n">
        <f aca="false">IF(AND(($C$14=1),(AL$18=Assumptions!$C$106)),(((((Assumptions!$C$107+Assumptions!$C$108)+Assumptions!$C$111)+Assumptions!$C$112)+(Assumptions!$C$109*Assumptions!$C$110))-Assumptions!$C$113),0)</f>
        <v>0</v>
      </c>
      <c r="AN212" s="11" t="n">
        <f aca="false">SUM(C212:N212)</f>
        <v>0</v>
      </c>
      <c r="AO212" s="11" t="n">
        <f aca="false">SUM(O212:Z212)</f>
        <v>0</v>
      </c>
      <c r="AP212" s="11" t="n">
        <f aca="false">SUM(AA212:AL212)</f>
        <v>0</v>
      </c>
    </row>
    <row r="213" customFormat="false" ht="15" hidden="false" customHeight="false" outlineLevel="0" collapsed="false">
      <c r="A213" s="0" t="s">
        <v>32</v>
      </c>
      <c r="B213" s="0" t="s">
        <v>230</v>
      </c>
      <c r="C213" s="9" t="n">
        <f aca="false">(C190+C191)</f>
        <v>41683.3333333333</v>
      </c>
      <c r="D213" s="9" t="n">
        <f aca="false">(D190+D191)</f>
        <v>41683.3333333333</v>
      </c>
      <c r="E213" s="9" t="n">
        <f aca="false">(E190+E191)</f>
        <v>54900</v>
      </c>
      <c r="F213" s="9" t="n">
        <f aca="false">(F190+F191)</f>
        <v>69133.3333333333</v>
      </c>
      <c r="G213" s="9" t="n">
        <f aca="false">(G190+G191)</f>
        <v>85400</v>
      </c>
      <c r="H213" s="9" t="n">
        <f aca="false">(H190+H191)</f>
        <v>100650</v>
      </c>
      <c r="I213" s="9" t="n">
        <f aca="false">(I190+I191)</f>
        <v>100650</v>
      </c>
      <c r="J213" s="9" t="n">
        <f aca="false">(J190+J191)</f>
        <v>100650</v>
      </c>
      <c r="K213" s="9" t="n">
        <f aca="false">(K190+K191)</f>
        <v>115391.666666667</v>
      </c>
      <c r="L213" s="9" t="n">
        <f aca="false">(L190+L191)</f>
        <v>127083.333333333</v>
      </c>
      <c r="M213" s="9" t="n">
        <f aca="false">(M190+M191)</f>
        <v>127083.333333333</v>
      </c>
      <c r="N213" s="9" t="n">
        <f aca="false">(N190+N191)</f>
        <v>127083.333333333</v>
      </c>
      <c r="O213" s="9" t="n">
        <f aca="false">(O190+O191)</f>
        <v>142333.333333333</v>
      </c>
      <c r="P213" s="9" t="n">
        <f aca="false">(P190+P191)</f>
        <v>157583.333333333</v>
      </c>
      <c r="Q213" s="9" t="n">
        <f aca="false">(Q190+Q191)</f>
        <v>157583.333333333</v>
      </c>
      <c r="R213" s="9" t="n">
        <f aca="false">(R190+R191)</f>
        <v>157583.333333333</v>
      </c>
      <c r="S213" s="9" t="n">
        <f aca="false">(S190+S191)</f>
        <v>157583.333333333</v>
      </c>
      <c r="T213" s="9" t="n">
        <f aca="false">(T190+T191)</f>
        <v>157583.333333333</v>
      </c>
      <c r="U213" s="9" t="n">
        <f aca="false">(U190+U191)</f>
        <v>157583.333333333</v>
      </c>
      <c r="V213" s="9" t="n">
        <f aca="false">(V190+V191)</f>
        <v>168766.666666667</v>
      </c>
      <c r="W213" s="9" t="n">
        <f aca="false">(W190+W191)</f>
        <v>168766.666666667</v>
      </c>
      <c r="X213" s="9" t="n">
        <f aca="false">(X190+X191)</f>
        <v>168766.666666667</v>
      </c>
      <c r="Y213" s="9" t="n">
        <f aca="false">(Y190+Y191)</f>
        <v>168766.666666667</v>
      </c>
      <c r="Z213" s="9" t="n">
        <f aca="false">(Z190+Z191)</f>
        <v>168766.666666667</v>
      </c>
      <c r="AA213" s="9" t="n">
        <f aca="false">(AA190+AA191)</f>
        <v>168766.666666667</v>
      </c>
      <c r="AB213" s="9" t="n">
        <f aca="false">(AB190+AB191)</f>
        <v>184016.666666667</v>
      </c>
      <c r="AC213" s="9" t="n">
        <f aca="false">(AC190+AC191)</f>
        <v>184016.666666667</v>
      </c>
      <c r="AD213" s="9" t="n">
        <f aca="false">(AD190+AD191)</f>
        <v>184016.666666667</v>
      </c>
      <c r="AE213" s="9" t="n">
        <f aca="false">(AE190+AE191)</f>
        <v>184016.666666667</v>
      </c>
      <c r="AF213" s="9" t="n">
        <f aca="false">(AF190+AF191)</f>
        <v>184016.666666667</v>
      </c>
      <c r="AG213" s="9" t="n">
        <f aca="false">(AG190+AG191)</f>
        <v>184016.666666667</v>
      </c>
      <c r="AH213" s="9" t="n">
        <f aca="false">(AH190+AH191)</f>
        <v>184016.666666667</v>
      </c>
      <c r="AI213" s="9" t="n">
        <f aca="false">(AI190+AI191)</f>
        <v>184016.666666667</v>
      </c>
      <c r="AJ213" s="9" t="n">
        <f aca="false">(AJ190+AJ191)</f>
        <v>184016.666666667</v>
      </c>
      <c r="AK213" s="9" t="n">
        <f aca="false">(AK190+AK191)</f>
        <v>184016.666666667</v>
      </c>
      <c r="AL213" s="9" t="n">
        <f aca="false">(AL190+AL191)</f>
        <v>184016.666666667</v>
      </c>
      <c r="AN213" s="11" t="n">
        <f aca="false">SUM(C213:N213)</f>
        <v>1091391.66666667</v>
      </c>
      <c r="AO213" s="11" t="n">
        <f aca="false">SUM(O213:Z213)</f>
        <v>1931666.66666667</v>
      </c>
      <c r="AP213" s="11" t="n">
        <f aca="false">SUM(AA213:AL213)</f>
        <v>2192950</v>
      </c>
    </row>
    <row r="214" customFormat="false" ht="15" hidden="false" customHeight="false" outlineLevel="0" collapsed="false">
      <c r="A214" s="0" t="s">
        <v>33</v>
      </c>
      <c r="B214" s="0" t="s">
        <v>230</v>
      </c>
      <c r="C214" s="9" t="n">
        <f aca="false">(C192+C199)</f>
        <v>9833.33333333333</v>
      </c>
      <c r="D214" s="9" t="n">
        <f aca="false">(D192+D199)</f>
        <v>9833.33333333333</v>
      </c>
      <c r="E214" s="9" t="n">
        <f aca="false">(E192+E199)</f>
        <v>9833.33333333333</v>
      </c>
      <c r="F214" s="9" t="n">
        <f aca="false">(F192+F199)</f>
        <v>9833.33333333333</v>
      </c>
      <c r="G214" s="9" t="n">
        <f aca="false">(G192+G199)</f>
        <v>9833.33333333333</v>
      </c>
      <c r="H214" s="9" t="n">
        <f aca="false">(H192+H199)</f>
        <v>9833.33333333333</v>
      </c>
      <c r="I214" s="9" t="n">
        <f aca="false">(I192+I199)</f>
        <v>25083.3333333333</v>
      </c>
      <c r="J214" s="9" t="n">
        <f aca="false">(J192+J199)</f>
        <v>25083.3333333333</v>
      </c>
      <c r="K214" s="9" t="n">
        <f aca="false">(K192+K199)</f>
        <v>25083.3333333333</v>
      </c>
      <c r="L214" s="9" t="n">
        <f aca="false">(L192+L199)</f>
        <v>25083.3333333333</v>
      </c>
      <c r="M214" s="9" t="n">
        <f aca="false">(M192+M199)</f>
        <v>25083.3333333333</v>
      </c>
      <c r="N214" s="9" t="n">
        <f aca="false">(N192+N199)</f>
        <v>25083.3333333333</v>
      </c>
      <c r="O214" s="9" t="n">
        <f aca="false">(O192+O199)</f>
        <v>29416.6666666667</v>
      </c>
      <c r="P214" s="9" t="n">
        <f aca="false">(P192+P199)</f>
        <v>29416.6666666667</v>
      </c>
      <c r="Q214" s="9" t="n">
        <f aca="false">(Q192+Q199)</f>
        <v>29416.6666666667</v>
      </c>
      <c r="R214" s="9" t="n">
        <f aca="false">(R192+R199)</f>
        <v>29416.6666666667</v>
      </c>
      <c r="S214" s="9" t="n">
        <f aca="false">(S192+S199)</f>
        <v>29416.6666666667</v>
      </c>
      <c r="T214" s="9" t="n">
        <f aca="false">(T192+T199)</f>
        <v>29416.6666666667</v>
      </c>
      <c r="U214" s="9" t="n">
        <f aca="false">(U192+U199)</f>
        <v>29416.6666666667</v>
      </c>
      <c r="V214" s="9" t="n">
        <f aca="false">(V192+V199)</f>
        <v>29416.6666666667</v>
      </c>
      <c r="W214" s="9" t="n">
        <f aca="false">(W192+W199)</f>
        <v>29416.6666666667</v>
      </c>
      <c r="X214" s="9" t="n">
        <f aca="false">(X192+X199)</f>
        <v>29416.6666666667</v>
      </c>
      <c r="Y214" s="9" t="n">
        <f aca="false">(Y192+Y199)</f>
        <v>29416.6666666667</v>
      </c>
      <c r="Z214" s="9" t="n">
        <f aca="false">(Z192+Z199)</f>
        <v>29416.6666666667</v>
      </c>
      <c r="AA214" s="9" t="n">
        <f aca="false">(AA192+AA199)</f>
        <v>34833.3333333333</v>
      </c>
      <c r="AB214" s="9" t="n">
        <f aca="false">(AB192+AB199)</f>
        <v>34833.3333333333</v>
      </c>
      <c r="AC214" s="9" t="n">
        <f aca="false">(AC192+AC199)</f>
        <v>34833.3333333333</v>
      </c>
      <c r="AD214" s="9" t="n">
        <f aca="false">(AD192+AD199)</f>
        <v>34833.3333333333</v>
      </c>
      <c r="AE214" s="9" t="n">
        <f aca="false">(AE192+AE199)</f>
        <v>34833.3333333333</v>
      </c>
      <c r="AF214" s="9" t="n">
        <f aca="false">(AF192+AF199)</f>
        <v>34833.3333333333</v>
      </c>
      <c r="AG214" s="9" t="n">
        <f aca="false">(AG192+AG199)</f>
        <v>34833.3333333333</v>
      </c>
      <c r="AH214" s="9" t="n">
        <f aca="false">(AH192+AH199)</f>
        <v>34833.3333333333</v>
      </c>
      <c r="AI214" s="9" t="n">
        <f aca="false">(AI192+AI199)</f>
        <v>34833.3333333333</v>
      </c>
      <c r="AJ214" s="9" t="n">
        <f aca="false">(AJ192+AJ199)</f>
        <v>34833.3333333333</v>
      </c>
      <c r="AK214" s="9" t="n">
        <f aca="false">(AK192+AK199)</f>
        <v>34833.3333333333</v>
      </c>
      <c r="AL214" s="9" t="n">
        <f aca="false">(AL192+AL199)</f>
        <v>34833.3333333333</v>
      </c>
      <c r="AN214" s="11" t="n">
        <f aca="false">SUM(C214:N214)</f>
        <v>209500</v>
      </c>
      <c r="AO214" s="11" t="n">
        <f aca="false">SUM(O214:Z214)</f>
        <v>353000</v>
      </c>
      <c r="AP214" s="11" t="n">
        <f aca="false">SUM(AA214:AL214)</f>
        <v>418000</v>
      </c>
    </row>
    <row r="215" customFormat="false" ht="15" hidden="false" customHeight="false" outlineLevel="0" collapsed="false">
      <c r="A215" s="0" t="s">
        <v>34</v>
      </c>
      <c r="B215" s="0" t="s">
        <v>230</v>
      </c>
      <c r="C215" s="9" t="n">
        <f aca="false">((C193+C204)+C205)</f>
        <v>5000</v>
      </c>
      <c r="D215" s="9" t="n">
        <f aca="false">((D193+D204)+D205)</f>
        <v>5000</v>
      </c>
      <c r="E215" s="9" t="n">
        <f aca="false">((E193+E204)+E205)</f>
        <v>5000</v>
      </c>
      <c r="F215" s="9" t="n">
        <f aca="false">((F193+F204)+F205)</f>
        <v>5000</v>
      </c>
      <c r="G215" s="9" t="n">
        <f aca="false">((G193+G204)+G205)</f>
        <v>5000</v>
      </c>
      <c r="H215" s="9" t="n">
        <f aca="false">((H193+H204)+H205)</f>
        <v>5000</v>
      </c>
      <c r="I215" s="9" t="n">
        <f aca="false">((I193+I204)+I205)</f>
        <v>5000</v>
      </c>
      <c r="J215" s="9" t="n">
        <f aca="false">((J193+J204)+J205)</f>
        <v>5000</v>
      </c>
      <c r="K215" s="9" t="n">
        <f aca="false">((K193+K204)+K205)</f>
        <v>5000</v>
      </c>
      <c r="L215" s="9" t="n">
        <f aca="false">((L193+L204)+L205)</f>
        <v>5000</v>
      </c>
      <c r="M215" s="9" t="n">
        <f aca="false">((M193+M204)+M205)</f>
        <v>5000</v>
      </c>
      <c r="N215" s="9" t="n">
        <f aca="false">((N193+N204)+N205)</f>
        <v>5000</v>
      </c>
      <c r="O215" s="9" t="n">
        <f aca="false">((O193+O204)+O205)</f>
        <v>10833.3333333333</v>
      </c>
      <c r="P215" s="9" t="n">
        <f aca="false">((P193+P204)+P205)</f>
        <v>10833.3333333333</v>
      </c>
      <c r="Q215" s="9" t="n">
        <f aca="false">((Q193+Q204)+Q205)</f>
        <v>10833.3333333333</v>
      </c>
      <c r="R215" s="9" t="n">
        <f aca="false">((R193+R204)+R205)</f>
        <v>10833.3333333333</v>
      </c>
      <c r="S215" s="9" t="n">
        <f aca="false">((S193+S204)+S205)</f>
        <v>22016.6666666667</v>
      </c>
      <c r="T215" s="9" t="n">
        <f aca="false">((T193+T204)+T205)</f>
        <v>26388.5066666667</v>
      </c>
      <c r="U215" s="9" t="n">
        <f aca="false">((U193+U204)+U205)</f>
        <v>38113.3333333333</v>
      </c>
      <c r="V215" s="9" t="n">
        <f aca="false">((V193+V204)+V205)</f>
        <v>35233.3333333333</v>
      </c>
      <c r="W215" s="9" t="n">
        <f aca="false">((W193+W204)+W205)</f>
        <v>35233.3333333333</v>
      </c>
      <c r="X215" s="9" t="n">
        <f aca="false">((X193+X204)+X205)</f>
        <v>44193.3333333333</v>
      </c>
      <c r="Y215" s="9" t="n">
        <f aca="false">((Y193+Y204)+Y205)</f>
        <v>35233.3333333333</v>
      </c>
      <c r="Z215" s="9" t="n">
        <f aca="false">((Z193+Z204)+Z205)</f>
        <v>35233.3333333333</v>
      </c>
      <c r="AA215" s="9" t="n">
        <f aca="false">((AA193+AA204)+AA205)</f>
        <v>54573.3333333333</v>
      </c>
      <c r="AB215" s="9" t="n">
        <f aca="false">((AB193+AB204)+AB205)</f>
        <v>43683.7333333333</v>
      </c>
      <c r="AC215" s="9" t="n">
        <f aca="false">((AC193+AC204)+AC205)</f>
        <v>42733.3333333333</v>
      </c>
      <c r="AD215" s="9" t="n">
        <f aca="false">((AD193+AD204)+AD205)</f>
        <v>65756.6666666667</v>
      </c>
      <c r="AE215" s="9" t="n">
        <f aca="false">((AE193+AE204)+AE205)</f>
        <v>61082.5866666667</v>
      </c>
      <c r="AF215" s="9" t="n">
        <f aca="false">((AF193+AF204)+AF205)</f>
        <v>53916.6666666667</v>
      </c>
      <c r="AG215" s="9" t="n">
        <f aca="false">((AG193+AG204)+AG205)</f>
        <v>68636.6666666667</v>
      </c>
      <c r="AH215" s="9" t="n">
        <f aca="false">((AH193+AH204)+AH205)</f>
        <v>71696.9866666667</v>
      </c>
      <c r="AI215" s="9" t="n">
        <f aca="false">((AI193+AI204)+AI205)</f>
        <v>53916.6666666667</v>
      </c>
      <c r="AJ215" s="9" t="n">
        <f aca="false">((AJ193+AJ204)+AJ205)</f>
        <v>85900</v>
      </c>
      <c r="AK215" s="9" t="n">
        <f aca="false">((AK193+AK204)+AK205)</f>
        <v>86672.32</v>
      </c>
      <c r="AL215" s="9" t="n">
        <f aca="false">((AL193+AL204)+AL205)</f>
        <v>78380</v>
      </c>
      <c r="AN215" s="11" t="n">
        <f aca="false">SUM(C215:N215)</f>
        <v>60000</v>
      </c>
      <c r="AO215" s="11" t="n">
        <f aca="false">SUM(O215:Z215)</f>
        <v>314978.506666667</v>
      </c>
      <c r="AP215" s="11" t="n">
        <f aca="false">SUM(AA215:AL215)</f>
        <v>766948.96</v>
      </c>
    </row>
    <row r="216" customFormat="false" ht="15" hidden="false" customHeight="false" outlineLevel="0" collapsed="false">
      <c r="A216" s="0" t="s">
        <v>35</v>
      </c>
      <c r="B216" s="0" t="s">
        <v>230</v>
      </c>
      <c r="C216" s="9" t="n">
        <f aca="false">((C194+C206)+C207)</f>
        <v>4833.33333333333</v>
      </c>
      <c r="D216" s="9" t="n">
        <f aca="false">((D194+D206)+D207)</f>
        <v>4833.33333333333</v>
      </c>
      <c r="E216" s="9" t="n">
        <f aca="false">((E194+E206)+E207)</f>
        <v>4833.33333333333</v>
      </c>
      <c r="F216" s="9" t="n">
        <f aca="false">((F194+F206)+F207)</f>
        <v>4833.33333333333</v>
      </c>
      <c r="G216" s="9" t="n">
        <f aca="false">((G194+G206)+G207)</f>
        <v>4833.33333333333</v>
      </c>
      <c r="H216" s="9" t="n">
        <f aca="false">((H194+H206)+H207)</f>
        <v>15508.3333333333</v>
      </c>
      <c r="I216" s="9" t="n">
        <f aca="false">((I194+I206)+I207)</f>
        <v>15508.3333333333</v>
      </c>
      <c r="J216" s="9" t="n">
        <f aca="false">((J194+J206)+J207)</f>
        <v>15508.3333333333</v>
      </c>
      <c r="K216" s="9" t="n">
        <f aca="false">((K194+K206)+K207)</f>
        <v>15508.3333333333</v>
      </c>
      <c r="L216" s="9" t="n">
        <f aca="false">((L194+L206)+L207)</f>
        <v>15508.3333333333</v>
      </c>
      <c r="M216" s="9" t="n">
        <f aca="false">((M194+M206)+M207)</f>
        <v>15508.3333333333</v>
      </c>
      <c r="N216" s="9" t="n">
        <f aca="false">((N194+N206)+N207)</f>
        <v>22116.6666666667</v>
      </c>
      <c r="O216" s="9" t="n">
        <f aca="false">((O194+O206)+O207)</f>
        <v>31366.6666666667</v>
      </c>
      <c r="P216" s="9" t="n">
        <f aca="false">((P194+P206)+P207)</f>
        <v>31366.6666666667</v>
      </c>
      <c r="Q216" s="9" t="n">
        <f aca="false">((Q194+Q206)+Q207)</f>
        <v>31366.6666666667</v>
      </c>
      <c r="R216" s="9" t="n">
        <f aca="false">((R194+R206)+R207)</f>
        <v>31366.6666666667</v>
      </c>
      <c r="S216" s="9" t="n">
        <f aca="false">((S194+S206)+S207)</f>
        <v>31366.6666666667</v>
      </c>
      <c r="T216" s="9" t="n">
        <f aca="false">((T194+T206)+T207)</f>
        <v>31366.6666666667</v>
      </c>
      <c r="U216" s="9" t="n">
        <f aca="false">((U194+U206)+U207)</f>
        <v>31366.6666666667</v>
      </c>
      <c r="V216" s="9" t="n">
        <f aca="false">((V194+V206)+V207)</f>
        <v>40008.3333333333</v>
      </c>
      <c r="W216" s="9" t="n">
        <f aca="false">((W194+W206)+W207)</f>
        <v>40008.3333333333</v>
      </c>
      <c r="X216" s="9" t="n">
        <f aca="false">((X194+X206)+X207)</f>
        <v>40008.3333333333</v>
      </c>
      <c r="Y216" s="9" t="n">
        <f aca="false">((Y194+Y206)+Y207)</f>
        <v>40008.3333333333</v>
      </c>
      <c r="Z216" s="9" t="n">
        <f aca="false">((Z194+Z206)+Z207)</f>
        <v>40008.3333333333</v>
      </c>
      <c r="AA216" s="9" t="n">
        <f aca="false">((AA194+AA206)+AA207)</f>
        <v>50091.6666666667</v>
      </c>
      <c r="AB216" s="9" t="n">
        <f aca="false">((AB194+AB206)+AB207)</f>
        <v>50091.6666666667</v>
      </c>
      <c r="AC216" s="9" t="n">
        <f aca="false">((AC194+AC206)+AC207)</f>
        <v>50091.6666666667</v>
      </c>
      <c r="AD216" s="9" t="n">
        <f aca="false">((AD194+AD206)+AD207)</f>
        <v>50091.6666666667</v>
      </c>
      <c r="AE216" s="9" t="n">
        <f aca="false">((AE194+AE206)+AE207)</f>
        <v>50091.6666666667</v>
      </c>
      <c r="AF216" s="9" t="n">
        <f aca="false">((AF194+AF206)+AF207)</f>
        <v>50091.6666666667</v>
      </c>
      <c r="AG216" s="9" t="n">
        <f aca="false">((AG194+AG206)+AG207)</f>
        <v>50091.6666666667</v>
      </c>
      <c r="AH216" s="9" t="n">
        <f aca="false">((AH194+AH206)+AH207)</f>
        <v>50091.6666666667</v>
      </c>
      <c r="AI216" s="9" t="n">
        <f aca="false">((AI194+AI206)+AI207)</f>
        <v>50091.6666666667</v>
      </c>
      <c r="AJ216" s="9" t="n">
        <f aca="false">((AJ194+AJ206)+AJ207)</f>
        <v>50091.6666666667</v>
      </c>
      <c r="AK216" s="9" t="n">
        <f aca="false">((AK194+AK206)+AK207)</f>
        <v>50091.6666666667</v>
      </c>
      <c r="AL216" s="9" t="n">
        <f aca="false">((AL194+AL206)+AL207)</f>
        <v>50091.6666666667</v>
      </c>
      <c r="AN216" s="11" t="n">
        <f aca="false">SUM(C216:N216)</f>
        <v>139333.333333333</v>
      </c>
      <c r="AO216" s="11" t="n">
        <f aca="false">SUM(O216:Z216)</f>
        <v>419608.333333333</v>
      </c>
      <c r="AP216" s="11" t="n">
        <f aca="false">SUM(AA216:AL216)</f>
        <v>601100</v>
      </c>
    </row>
    <row r="217" customFormat="false" ht="15" hidden="false" customHeight="false" outlineLevel="0" collapsed="false">
      <c r="A217" s="0" t="s">
        <v>36</v>
      </c>
      <c r="B217" s="0" t="s">
        <v>230</v>
      </c>
      <c r="C217" s="9" t="n">
        <f aca="false">C200</f>
        <v>7916.66666666667</v>
      </c>
      <c r="D217" s="9" t="n">
        <f aca="false">D200</f>
        <v>7916.66666666667</v>
      </c>
      <c r="E217" s="9" t="n">
        <f aca="false">E200</f>
        <v>7916.66666666667</v>
      </c>
      <c r="F217" s="9" t="n">
        <f aca="false">F200</f>
        <v>7916.66666666667</v>
      </c>
      <c r="G217" s="9" t="n">
        <f aca="false">G200</f>
        <v>7916.66666666667</v>
      </c>
      <c r="H217" s="9" t="n">
        <f aca="false">H200</f>
        <v>7916.66666666667</v>
      </c>
      <c r="I217" s="9" t="n">
        <f aca="false">I200</f>
        <v>7916.66666666667</v>
      </c>
      <c r="J217" s="9" t="n">
        <f aca="false">J200</f>
        <v>7916.66666666667</v>
      </c>
      <c r="K217" s="9" t="n">
        <f aca="false">K200</f>
        <v>7916.66666666667</v>
      </c>
      <c r="L217" s="9" t="n">
        <f aca="false">L200</f>
        <v>7916.66666666667</v>
      </c>
      <c r="M217" s="9" t="n">
        <f aca="false">M200</f>
        <v>7916.66666666667</v>
      </c>
      <c r="N217" s="9" t="n">
        <f aca="false">N200</f>
        <v>7916.66666666667</v>
      </c>
      <c r="O217" s="9" t="n">
        <f aca="false">O200</f>
        <v>9333.33333333333</v>
      </c>
      <c r="P217" s="9" t="n">
        <f aca="false">P200</f>
        <v>9333.33333333333</v>
      </c>
      <c r="Q217" s="9" t="n">
        <f aca="false">Q200</f>
        <v>9333.33333333333</v>
      </c>
      <c r="R217" s="9" t="n">
        <f aca="false">R200</f>
        <v>9333.33333333333</v>
      </c>
      <c r="S217" s="9" t="n">
        <f aca="false">S200</f>
        <v>9333.33333333333</v>
      </c>
      <c r="T217" s="9" t="n">
        <f aca="false">T200</f>
        <v>9333.33333333333</v>
      </c>
      <c r="U217" s="9" t="n">
        <f aca="false">U200</f>
        <v>9333.33333333333</v>
      </c>
      <c r="V217" s="9" t="n">
        <f aca="false">V200</f>
        <v>9333.33333333333</v>
      </c>
      <c r="W217" s="9" t="n">
        <f aca="false">W200</f>
        <v>9333.33333333333</v>
      </c>
      <c r="X217" s="9" t="n">
        <f aca="false">X200</f>
        <v>9333.33333333333</v>
      </c>
      <c r="Y217" s="9" t="n">
        <f aca="false">Y200</f>
        <v>9333.33333333333</v>
      </c>
      <c r="Z217" s="9" t="n">
        <f aca="false">Z200</f>
        <v>9333.33333333333</v>
      </c>
      <c r="AA217" s="9" t="n">
        <f aca="false">AA200</f>
        <v>12916.6666666667</v>
      </c>
      <c r="AB217" s="9" t="n">
        <f aca="false">AB200</f>
        <v>12916.6666666667</v>
      </c>
      <c r="AC217" s="9" t="n">
        <f aca="false">AC200</f>
        <v>12916.6666666667</v>
      </c>
      <c r="AD217" s="9" t="n">
        <f aca="false">AD200</f>
        <v>12916.6666666667</v>
      </c>
      <c r="AE217" s="9" t="n">
        <f aca="false">AE200</f>
        <v>12916.6666666667</v>
      </c>
      <c r="AF217" s="9" t="n">
        <f aca="false">AF200</f>
        <v>12916.6666666667</v>
      </c>
      <c r="AG217" s="9" t="n">
        <f aca="false">AG200</f>
        <v>12916.6666666667</v>
      </c>
      <c r="AH217" s="9" t="n">
        <f aca="false">AH200</f>
        <v>12916.6666666667</v>
      </c>
      <c r="AI217" s="9" t="n">
        <f aca="false">AI200</f>
        <v>12916.6666666667</v>
      </c>
      <c r="AJ217" s="9" t="n">
        <f aca="false">AJ200</f>
        <v>12916.6666666667</v>
      </c>
      <c r="AK217" s="9" t="n">
        <f aca="false">AK200</f>
        <v>12916.6666666667</v>
      </c>
      <c r="AL217" s="9" t="n">
        <f aca="false">AL200</f>
        <v>12916.6666666667</v>
      </c>
      <c r="AN217" s="11" t="n">
        <f aca="false">SUM(C217:N217)</f>
        <v>95000</v>
      </c>
      <c r="AO217" s="11" t="n">
        <f aca="false">SUM(O217:Z217)</f>
        <v>112000</v>
      </c>
      <c r="AP217" s="11" t="n">
        <f aca="false">SUM(AA217:AL217)</f>
        <v>155000</v>
      </c>
    </row>
    <row r="218" customFormat="false" ht="15" hidden="false" customHeight="false" outlineLevel="0" collapsed="false">
      <c r="A218" s="0" t="s">
        <v>37</v>
      </c>
      <c r="B218" s="0" t="s">
        <v>230</v>
      </c>
      <c r="C218" s="9" t="n">
        <f aca="false">C201</f>
        <v>3416.66666666667</v>
      </c>
      <c r="D218" s="9" t="n">
        <f aca="false">D201</f>
        <v>3416.66666666667</v>
      </c>
      <c r="E218" s="9" t="n">
        <f aca="false">E201</f>
        <v>3416.66666666667</v>
      </c>
      <c r="F218" s="9" t="n">
        <f aca="false">F201</f>
        <v>3416.66666666667</v>
      </c>
      <c r="G218" s="9" t="n">
        <f aca="false">G201</f>
        <v>3416.66666666667</v>
      </c>
      <c r="H218" s="9" t="n">
        <f aca="false">H201</f>
        <v>3416.66666666667</v>
      </c>
      <c r="I218" s="9" t="n">
        <f aca="false">I201</f>
        <v>3416.66666666667</v>
      </c>
      <c r="J218" s="9" t="n">
        <f aca="false">J201</f>
        <v>3416.66666666667</v>
      </c>
      <c r="K218" s="9" t="n">
        <f aca="false">K201</f>
        <v>3416.66666666667</v>
      </c>
      <c r="L218" s="9" t="n">
        <f aca="false">L201</f>
        <v>3416.66666666667</v>
      </c>
      <c r="M218" s="9" t="n">
        <f aca="false">M201</f>
        <v>3416.66666666667</v>
      </c>
      <c r="N218" s="9" t="n">
        <f aca="false">N201</f>
        <v>3416.66666666667</v>
      </c>
      <c r="O218" s="9" t="n">
        <f aca="false">O201</f>
        <v>5833.33333333333</v>
      </c>
      <c r="P218" s="9" t="n">
        <f aca="false">P201</f>
        <v>5833.33333333333</v>
      </c>
      <c r="Q218" s="9" t="n">
        <f aca="false">Q201</f>
        <v>5833.33333333333</v>
      </c>
      <c r="R218" s="9" t="n">
        <f aca="false">R201</f>
        <v>5833.33333333333</v>
      </c>
      <c r="S218" s="9" t="n">
        <f aca="false">S201</f>
        <v>5833.33333333333</v>
      </c>
      <c r="T218" s="9" t="n">
        <f aca="false">T201</f>
        <v>5833.33333333333</v>
      </c>
      <c r="U218" s="9" t="n">
        <f aca="false">U201</f>
        <v>5833.33333333333</v>
      </c>
      <c r="V218" s="9" t="n">
        <f aca="false">V201</f>
        <v>5833.33333333333</v>
      </c>
      <c r="W218" s="9" t="n">
        <f aca="false">W201</f>
        <v>5833.33333333333</v>
      </c>
      <c r="X218" s="9" t="n">
        <f aca="false">X201</f>
        <v>5833.33333333333</v>
      </c>
      <c r="Y218" s="9" t="n">
        <f aca="false">Y201</f>
        <v>5833.33333333333</v>
      </c>
      <c r="Z218" s="9" t="n">
        <f aca="false">Z201</f>
        <v>5833.33333333333</v>
      </c>
      <c r="AA218" s="9" t="n">
        <f aca="false">AA201</f>
        <v>10000</v>
      </c>
      <c r="AB218" s="9" t="n">
        <f aca="false">AB201</f>
        <v>10000</v>
      </c>
      <c r="AC218" s="9" t="n">
        <f aca="false">AC201</f>
        <v>10000</v>
      </c>
      <c r="AD218" s="9" t="n">
        <f aca="false">AD201</f>
        <v>10000</v>
      </c>
      <c r="AE218" s="9" t="n">
        <f aca="false">AE201</f>
        <v>10000</v>
      </c>
      <c r="AF218" s="9" t="n">
        <f aca="false">AF201</f>
        <v>10000</v>
      </c>
      <c r="AG218" s="9" t="n">
        <f aca="false">AG201</f>
        <v>10000</v>
      </c>
      <c r="AH218" s="9" t="n">
        <f aca="false">AH201</f>
        <v>10000</v>
      </c>
      <c r="AI218" s="9" t="n">
        <f aca="false">AI201</f>
        <v>10000</v>
      </c>
      <c r="AJ218" s="9" t="n">
        <f aca="false">AJ201</f>
        <v>10000</v>
      </c>
      <c r="AK218" s="9" t="n">
        <f aca="false">AK201</f>
        <v>10000</v>
      </c>
      <c r="AL218" s="9" t="n">
        <f aca="false">AL201</f>
        <v>10000</v>
      </c>
      <c r="AN218" s="11" t="n">
        <f aca="false">SUM(C218:N218)</f>
        <v>41000</v>
      </c>
      <c r="AO218" s="11" t="n">
        <f aca="false">SUM(O218:Z218)</f>
        <v>70000</v>
      </c>
      <c r="AP218" s="11" t="n">
        <f aca="false">SUM(AA218:AL218)</f>
        <v>120000</v>
      </c>
    </row>
    <row r="219" customFormat="false" ht="15" hidden="false" customHeight="false" outlineLevel="0" collapsed="false">
      <c r="A219" s="0" t="s">
        <v>1011</v>
      </c>
      <c r="B219" s="0" t="s">
        <v>230</v>
      </c>
      <c r="C219" s="9" t="n">
        <f aca="false">((((((C195+C202)+C208)+C209)+C203)+C210)+C211)</f>
        <v>25615</v>
      </c>
      <c r="D219" s="9" t="n">
        <f aca="false">((((((D195+D202)+D208)+D209)+D203)+D210)+D211)</f>
        <v>25615</v>
      </c>
      <c r="E219" s="9" t="n">
        <f aca="false">((((((E195+E202)+E208)+E209)+E203)+E210)+E211)</f>
        <v>38265</v>
      </c>
      <c r="F219" s="9" t="n">
        <f aca="false">((((((F195+F202)+F208)+F209)+F203)+F210)+F211)</f>
        <v>39115</v>
      </c>
      <c r="G219" s="9" t="n">
        <f aca="false">((((((G195+G202)+G208)+G209)+G203)+G210)+G211)</f>
        <v>39965</v>
      </c>
      <c r="H219" s="9" t="n">
        <f aca="false">((((((H195+H202)+H208)+H209)+H203)+H210)+H211)</f>
        <v>53465</v>
      </c>
      <c r="I219" s="9" t="n">
        <f aca="false">((((((I195+I202)+I208)+I209)+I203)+I210)+I211)</f>
        <v>42515</v>
      </c>
      <c r="J219" s="9" t="n">
        <f aca="false">((((((J195+J202)+J208)+J209)+J203)+J210)+J211)</f>
        <v>30715</v>
      </c>
      <c r="K219" s="9" t="n">
        <f aca="false">((((((K195+K202)+K208)+K209)+K203)+K210)+K211)</f>
        <v>81373.3333333333</v>
      </c>
      <c r="L219" s="9" t="n">
        <f aca="false">((((((L195+L202)+L208)+L209)+L203)+L210)+L211)</f>
        <v>58623.3333333333</v>
      </c>
      <c r="M219" s="9" t="n">
        <f aca="false">((((((M195+M202)+M208)+M209)+M203)+M210)+M211)</f>
        <v>59473.3333333333</v>
      </c>
      <c r="N219" s="9" t="n">
        <f aca="false">((((((N195+N202)+N208)+N209)+N203)+N210)+N211)</f>
        <v>60323.3333333333</v>
      </c>
      <c r="O219" s="9" t="n">
        <f aca="false">((((((O195+O202)+O208)+O209)+O203)+O210)+O211)</f>
        <v>67523.3333333333</v>
      </c>
      <c r="P219" s="9" t="n">
        <f aca="false">((((((P195+P202)+P208)+P209)+P203)+P210)+P211)</f>
        <v>68373.3333333333</v>
      </c>
      <c r="Q219" s="9" t="n">
        <f aca="false">((((((Q195+Q202)+Q208)+Q209)+Q203)+Q210)+Q211)</f>
        <v>81423.3333333333</v>
      </c>
      <c r="R219" s="9" t="n">
        <f aca="false">((((((R195+R202)+R208)+R209)+R203)+R210)+R211)</f>
        <v>69623.3333333333</v>
      </c>
      <c r="S219" s="9" t="n">
        <f aca="false">((((((S195+S202)+S208)+S209)+S203)+S210)+S211)</f>
        <v>94923.3333333333</v>
      </c>
      <c r="T219" s="9" t="n">
        <f aca="false">((((((T195+T202)+T208)+T209)+T203)+T210)+T211)</f>
        <v>84519.8133333333</v>
      </c>
      <c r="U219" s="9" t="n">
        <f aca="false">((((((U195+U202)+U208)+U209)+U203)+U210)+U211)</f>
        <v>85183.3333333333</v>
      </c>
      <c r="V219" s="9" t="n">
        <f aca="false">((((((V195+V202)+V208)+V209)+V203)+V210)+V211)</f>
        <v>98323.3333333333</v>
      </c>
      <c r="W219" s="9" t="n">
        <f aca="false">((((((W195+W202)+W208)+W209)+W203)+W210)+W211)</f>
        <v>87373.3333333333</v>
      </c>
      <c r="X219" s="9" t="n">
        <f aca="false">((((((X195+X202)+X208)+X209)+X203)+X210)+X211)</f>
        <v>76693.3333333333</v>
      </c>
      <c r="Y219" s="9" t="n">
        <f aca="false">((((((Y195+Y202)+Y208)+Y209)+Y203)+Y210)+Y211)</f>
        <v>75573.3333333333</v>
      </c>
      <c r="Z219" s="9" t="n">
        <f aca="false">((((((Z195+Z202)+Z208)+Z209)+Z203)+Z210)+Z211)</f>
        <v>109515</v>
      </c>
      <c r="AA219" s="9" t="n">
        <f aca="false">((((((AA195+AA202)+AA208)+AA209)+AA203)+AA210)+AA211)</f>
        <v>106907.5</v>
      </c>
      <c r="AB219" s="9" t="n">
        <f aca="false">((((((AB195+AB202)+AB208)+AB209)+AB203)+AB210)+AB211)</f>
        <v>119012.55</v>
      </c>
      <c r="AC219" s="9" t="n">
        <f aca="false">((((((AC195+AC202)+AC208)+AC209)+AC203)+AC210)+AC211)</f>
        <v>95327.5</v>
      </c>
      <c r="AD219" s="9" t="n">
        <f aca="false">((((((AD195+AD202)+AD208)+AD209)+AD203)+AD210)+AD211)</f>
        <v>122107.5</v>
      </c>
      <c r="AE219" s="9" t="n">
        <f aca="false">((((((AE195+AE202)+AE208)+AE209)+AE203)+AE210)+AE211)</f>
        <v>97828.74</v>
      </c>
      <c r="AF219" s="9" t="n">
        <f aca="false">((((((AF195+AF202)+AF208)+AF209)+AF203)+AF210)+AF211)</f>
        <v>97556.49264</v>
      </c>
      <c r="AG219" s="9" t="n">
        <f aca="false">((((((AG195+AG202)+AG208)+AG209)+AG203)+AG210)+AG211)</f>
        <v>111517.5</v>
      </c>
      <c r="AH219" s="9" t="n">
        <f aca="false">((((((AH195+AH202)+AH208)+AH209)+AH203)+AH210)+AH211)</f>
        <v>99971.79</v>
      </c>
      <c r="AI219" s="9" t="n">
        <f aca="false">((((((AI195+AI202)+AI208)+AI209)+AI203)+AI210)+AI211)</f>
        <v>110527.5</v>
      </c>
      <c r="AJ219" s="9" t="n">
        <f aca="false">((((((AJ195+AJ202)+AJ208)+AJ209)+AJ203)+AJ210)+AJ211)</f>
        <v>126627.5</v>
      </c>
      <c r="AK219" s="9" t="n">
        <f aca="false">((((((AK195+AK202)+AK208)+AK209)+AK203)+AK210)+AK211)</f>
        <v>102995.79</v>
      </c>
      <c r="AL219" s="9" t="n">
        <f aca="false">((((((AL195+AL202)+AL208)+AL209)+AL203)+AL210)+AL211)</f>
        <v>114737.5</v>
      </c>
      <c r="AN219" s="11" t="n">
        <f aca="false">SUM(C219:N219)</f>
        <v>555063.333333333</v>
      </c>
      <c r="AO219" s="11" t="n">
        <f aca="false">SUM(O219:Z219)</f>
        <v>999048.146666667</v>
      </c>
      <c r="AP219" s="11" t="n">
        <f aca="false">SUM(AA219:AL219)</f>
        <v>1305117.86264</v>
      </c>
    </row>
    <row r="220" customFormat="false" ht="15" hidden="false" customHeight="false" outlineLevel="0" collapsed="false">
      <c r="A220" s="0" t="s">
        <v>39</v>
      </c>
      <c r="B220" s="0" t="s">
        <v>230</v>
      </c>
      <c r="C220" s="9" t="n">
        <f aca="false">C212</f>
        <v>0</v>
      </c>
      <c r="D220" s="9" t="n">
        <f aca="false">D212</f>
        <v>0</v>
      </c>
      <c r="E220" s="9" t="n">
        <f aca="false">E212</f>
        <v>0</v>
      </c>
      <c r="F220" s="9" t="n">
        <f aca="false">F212</f>
        <v>0</v>
      </c>
      <c r="G220" s="9" t="n">
        <f aca="false">G212</f>
        <v>0</v>
      </c>
      <c r="H220" s="9" t="n">
        <f aca="false">H212</f>
        <v>0</v>
      </c>
      <c r="I220" s="9" t="n">
        <f aca="false">I212</f>
        <v>0</v>
      </c>
      <c r="J220" s="9" t="n">
        <f aca="false">J212</f>
        <v>0</v>
      </c>
      <c r="K220" s="9" t="n">
        <f aca="false">K212</f>
        <v>0</v>
      </c>
      <c r="L220" s="9" t="n">
        <f aca="false">L212</f>
        <v>0</v>
      </c>
      <c r="M220" s="9" t="n">
        <f aca="false">M212</f>
        <v>0</v>
      </c>
      <c r="N220" s="9" t="n">
        <f aca="false">N212</f>
        <v>0</v>
      </c>
      <c r="O220" s="9" t="n">
        <f aca="false">O212</f>
        <v>0</v>
      </c>
      <c r="P220" s="9" t="n">
        <f aca="false">P212</f>
        <v>0</v>
      </c>
      <c r="Q220" s="9" t="n">
        <f aca="false">Q212</f>
        <v>0</v>
      </c>
      <c r="R220" s="9" t="n">
        <f aca="false">R212</f>
        <v>0</v>
      </c>
      <c r="S220" s="9" t="n">
        <f aca="false">S212</f>
        <v>0</v>
      </c>
      <c r="T220" s="9" t="n">
        <f aca="false">T212</f>
        <v>0</v>
      </c>
      <c r="U220" s="9" t="n">
        <f aca="false">U212</f>
        <v>0</v>
      </c>
      <c r="V220" s="9" t="n">
        <f aca="false">V212</f>
        <v>0</v>
      </c>
      <c r="W220" s="9" t="n">
        <f aca="false">W212</f>
        <v>0</v>
      </c>
      <c r="X220" s="9" t="n">
        <f aca="false">X212</f>
        <v>0</v>
      </c>
      <c r="Y220" s="9" t="n">
        <f aca="false">Y212</f>
        <v>0</v>
      </c>
      <c r="Z220" s="9" t="n">
        <f aca="false">Z212</f>
        <v>0</v>
      </c>
      <c r="AA220" s="9" t="n">
        <f aca="false">AA212</f>
        <v>0</v>
      </c>
      <c r="AB220" s="9" t="n">
        <f aca="false">AB212</f>
        <v>0</v>
      </c>
      <c r="AC220" s="9" t="n">
        <f aca="false">AC212</f>
        <v>0</v>
      </c>
      <c r="AD220" s="9" t="n">
        <f aca="false">AD212</f>
        <v>0</v>
      </c>
      <c r="AE220" s="9" t="n">
        <f aca="false">AE212</f>
        <v>0</v>
      </c>
      <c r="AF220" s="9" t="n">
        <f aca="false">AF212</f>
        <v>0</v>
      </c>
      <c r="AG220" s="9" t="n">
        <f aca="false">AG212</f>
        <v>0</v>
      </c>
      <c r="AH220" s="9" t="n">
        <f aca="false">AH212</f>
        <v>0</v>
      </c>
      <c r="AI220" s="9" t="n">
        <f aca="false">AI212</f>
        <v>0</v>
      </c>
      <c r="AJ220" s="9" t="n">
        <f aca="false">AJ212</f>
        <v>0</v>
      </c>
      <c r="AK220" s="9" t="n">
        <f aca="false">AK212</f>
        <v>0</v>
      </c>
      <c r="AL220" s="9" t="n">
        <f aca="false">AL212</f>
        <v>0</v>
      </c>
      <c r="AN220" s="11" t="n">
        <f aca="false">SUM(C220:N220)</f>
        <v>0</v>
      </c>
      <c r="AO220" s="11" t="n">
        <f aca="false">SUM(O220:Z220)</f>
        <v>0</v>
      </c>
      <c r="AP220" s="11" t="n">
        <f aca="false">SUM(AA220:AL220)</f>
        <v>0</v>
      </c>
    </row>
    <row r="221" customFormat="false" ht="15" hidden="false" customHeight="false" outlineLevel="0" collapsed="false">
      <c r="A221" s="10" t="s">
        <v>40</v>
      </c>
      <c r="B221" s="20" t="s">
        <v>230</v>
      </c>
      <c r="C221" s="11" t="n">
        <f aca="false">(((((((C213+C214)+C215)+C216)+C217)+C218)+C219)+C220)</f>
        <v>98298.3333333333</v>
      </c>
      <c r="D221" s="11" t="n">
        <f aca="false">(((((((D213+D214)+D215)+D216)+D217)+D218)+D219)+D220)</f>
        <v>98298.3333333333</v>
      </c>
      <c r="E221" s="11" t="n">
        <f aca="false">(((((((E213+E214)+E215)+E216)+E217)+E218)+E219)+E220)</f>
        <v>124165</v>
      </c>
      <c r="F221" s="11" t="n">
        <f aca="false">(((((((F213+F214)+F215)+F216)+F217)+F218)+F219)+F220)</f>
        <v>139248.333333333</v>
      </c>
      <c r="G221" s="11" t="n">
        <f aca="false">(((((((G213+G214)+G215)+G216)+G217)+G218)+G219)+G220)</f>
        <v>156365</v>
      </c>
      <c r="H221" s="11" t="n">
        <f aca="false">(((((((H213+H214)+H215)+H216)+H217)+H218)+H219)+H220)</f>
        <v>195790</v>
      </c>
      <c r="I221" s="11" t="n">
        <f aca="false">(((((((I213+I214)+I215)+I216)+I217)+I218)+I219)+I220)</f>
        <v>200090</v>
      </c>
      <c r="J221" s="11" t="n">
        <f aca="false">(((((((J213+J214)+J215)+J216)+J217)+J218)+J219)+J220)</f>
        <v>188290</v>
      </c>
      <c r="K221" s="11" t="n">
        <f aca="false">(((((((K213+K214)+K215)+K216)+K217)+K218)+K219)+K220)</f>
        <v>253690</v>
      </c>
      <c r="L221" s="11" t="n">
        <f aca="false">(((((((L213+L214)+L215)+L216)+L217)+L218)+L219)+L220)</f>
        <v>242631.666666667</v>
      </c>
      <c r="M221" s="11" t="n">
        <f aca="false">(((((((M213+M214)+M215)+M216)+M217)+M218)+M219)+M220)</f>
        <v>243481.666666667</v>
      </c>
      <c r="N221" s="11" t="n">
        <f aca="false">(((((((N213+N214)+N215)+N216)+N217)+N218)+N219)+N220)</f>
        <v>250940</v>
      </c>
      <c r="O221" s="11" t="n">
        <f aca="false">(((((((O213+O214)+O215)+O216)+O217)+O218)+O219)+O220)</f>
        <v>296640</v>
      </c>
      <c r="P221" s="11" t="n">
        <f aca="false">(((((((P213+P214)+P215)+P216)+P217)+P218)+P219)+P220)</f>
        <v>312740</v>
      </c>
      <c r="Q221" s="11" t="n">
        <f aca="false">(((((((Q213+Q214)+Q215)+Q216)+Q217)+Q218)+Q219)+Q220)</f>
        <v>325790</v>
      </c>
      <c r="R221" s="11" t="n">
        <f aca="false">(((((((R213+R214)+R215)+R216)+R217)+R218)+R219)+R220)</f>
        <v>313990</v>
      </c>
      <c r="S221" s="11" t="n">
        <f aca="false">(((((((S213+S214)+S215)+S216)+S217)+S218)+S219)+S220)</f>
        <v>350473.333333333</v>
      </c>
      <c r="T221" s="11" t="n">
        <f aca="false">(((((((T213+T214)+T215)+T216)+T217)+T218)+T219)+T220)</f>
        <v>344441.653333333</v>
      </c>
      <c r="U221" s="11" t="n">
        <f aca="false">(((((((U213+U214)+U215)+U216)+U217)+U218)+U219)+U220)</f>
        <v>356830</v>
      </c>
      <c r="V221" s="11" t="n">
        <f aca="false">(((((((V213+V214)+V215)+V216)+V217)+V218)+V219)+V220)</f>
        <v>386915</v>
      </c>
      <c r="W221" s="11" t="n">
        <f aca="false">(((((((W213+W214)+W215)+W216)+W217)+W218)+W219)+W220)</f>
        <v>375965</v>
      </c>
      <c r="X221" s="11" t="n">
        <f aca="false">(((((((X213+X214)+X215)+X216)+X217)+X218)+X219)+X220)</f>
        <v>374245</v>
      </c>
      <c r="Y221" s="11" t="n">
        <f aca="false">(((((((Y213+Y214)+Y215)+Y216)+Y217)+Y218)+Y219)+Y220)</f>
        <v>364165</v>
      </c>
      <c r="Z221" s="11" t="n">
        <f aca="false">(((((((Z213+Z214)+Z215)+Z216)+Z217)+Z218)+Z219)+Z220)</f>
        <v>398106.666666667</v>
      </c>
      <c r="AA221" s="11" t="n">
        <f aca="false">(((((((AA213+AA214)+AA215)+AA216)+AA217)+AA218)+AA219)+AA220)</f>
        <v>438089.166666667</v>
      </c>
      <c r="AB221" s="11" t="n">
        <f aca="false">(((((((AB213+AB214)+AB215)+AB216)+AB217)+AB218)+AB219)+AB220)</f>
        <v>454554.616666667</v>
      </c>
      <c r="AC221" s="11" t="n">
        <f aca="false">(((((((AC213+AC214)+AC215)+AC216)+AC217)+AC218)+AC219)+AC220)</f>
        <v>429919.166666667</v>
      </c>
      <c r="AD221" s="11" t="n">
        <f aca="false">(((((((AD213+AD214)+AD215)+AD216)+AD217)+AD218)+AD219)+AD220)</f>
        <v>479722.5</v>
      </c>
      <c r="AE221" s="11" t="n">
        <f aca="false">(((((((AE213+AE214)+AE215)+AE216)+AE217)+AE218)+AE219)+AE220)</f>
        <v>450769.66</v>
      </c>
      <c r="AF221" s="11" t="n">
        <f aca="false">(((((((AF213+AF214)+AF215)+AF216)+AF217)+AF218)+AF219)+AF220)</f>
        <v>443331.49264</v>
      </c>
      <c r="AG221" s="11" t="n">
        <f aca="false">(((((((AG213+AG214)+AG215)+AG216)+AG217)+AG218)+AG219)+AG220)</f>
        <v>472012.5</v>
      </c>
      <c r="AH221" s="11" t="n">
        <f aca="false">(((((((AH213+AH214)+AH215)+AH216)+AH217)+AH218)+AH219)+AH220)</f>
        <v>463527.11</v>
      </c>
      <c r="AI221" s="11" t="n">
        <f aca="false">(((((((AI213+AI214)+AI215)+AI216)+AI217)+AI218)+AI219)+AI220)</f>
        <v>456302.5</v>
      </c>
      <c r="AJ221" s="11" t="n">
        <f aca="false">(((((((AJ213+AJ214)+AJ215)+AJ216)+AJ217)+AJ218)+AJ219)+AJ220)</f>
        <v>504385.833333333</v>
      </c>
      <c r="AK221" s="11" t="n">
        <f aca="false">(((((((AK213+AK214)+AK215)+AK216)+AK217)+AK218)+AK219)+AK220)</f>
        <v>481526.443333333</v>
      </c>
      <c r="AL221" s="11" t="n">
        <f aca="false">(((((((AL213+AL214)+AL215)+AL216)+AL217)+AL218)+AL219)+AL220)</f>
        <v>484975.833333333</v>
      </c>
      <c r="AN221" s="11" t="n">
        <f aca="false">SUM(C221:N221)</f>
        <v>2191288.33333333</v>
      </c>
      <c r="AO221" s="11" t="n">
        <f aca="false">SUM(O221:Z221)</f>
        <v>4200301.65333333</v>
      </c>
      <c r="AP221" s="11" t="n">
        <f aca="false">SUM(AA221:AL221)</f>
        <v>5559116.82264</v>
      </c>
    </row>
    <row r="222" customFormat="false" ht="15" hidden="false" customHeight="false" outlineLevel="0" collapsed="false">
      <c r="A222" s="21" t="s">
        <v>1012</v>
      </c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</row>
    <row r="223" customFormat="false" ht="15" hidden="false" customHeight="false" outlineLevel="0" collapsed="false">
      <c r="A223" s="0" t="s">
        <v>30</v>
      </c>
      <c r="B223" s="0" t="s">
        <v>230</v>
      </c>
      <c r="C223" s="9" t="n">
        <f aca="false">(C146-C184)</f>
        <v>-6067.1082984</v>
      </c>
      <c r="D223" s="9" t="n">
        <f aca="false">(D146-D184)</f>
        <v>-6119.24628408</v>
      </c>
      <c r="E223" s="9" t="n">
        <f aca="false">(E146-E184)</f>
        <v>-6157.13872666272</v>
      </c>
      <c r="F223" s="9" t="n">
        <f aca="false">(F146-F184)</f>
        <v>-6187.46796077222</v>
      </c>
      <c r="G223" s="9" t="n">
        <f aca="false">(G146-G184)</f>
        <v>-6602.21487312024</v>
      </c>
      <c r="H223" s="9" t="n">
        <f aca="false">(H146-H184)</f>
        <v>-6612.26670853508</v>
      </c>
      <c r="I223" s="9" t="n">
        <f aca="false">(I146-I184)</f>
        <v>-6637.83006371238</v>
      </c>
      <c r="J223" s="9" t="n">
        <f aca="false">(J146-J184)</f>
        <v>-7426.34392492678</v>
      </c>
      <c r="K223" s="9" t="n">
        <f aca="false">(K146-K184)</f>
        <v>-13837.5620282641</v>
      </c>
      <c r="L223" s="9" t="n">
        <f aca="false">(L146-L184)</f>
        <v>-13880.3368458612</v>
      </c>
      <c r="M223" s="9" t="n">
        <f aca="false">(M146-M184)</f>
        <v>-23673.7718319474</v>
      </c>
      <c r="N223" s="9" t="n">
        <f aca="false">(N146-N184)</f>
        <v>-23681.0848275549</v>
      </c>
      <c r="O223" s="9" t="n">
        <f aca="false">(O146-O184)</f>
        <v>-30305.4825318892</v>
      </c>
      <c r="P223" s="9" t="n">
        <f aca="false">(P146-P184)</f>
        <v>-30071.5576032733</v>
      </c>
      <c r="Q223" s="9" t="n">
        <f aca="false">(Q146-Q184)</f>
        <v>-30380.0617663533</v>
      </c>
      <c r="R223" s="9" t="n">
        <f aca="false">(R146-R184)</f>
        <v>-30599.3961077904</v>
      </c>
      <c r="S223" s="9" t="n">
        <f aca="false">(S146-S184)</f>
        <v>-40858.7748037631</v>
      </c>
      <c r="T223" s="9" t="n">
        <f aca="false">(T146-T184)</f>
        <v>-46045.6138404391</v>
      </c>
      <c r="U223" s="9" t="n">
        <f aca="false">(U146-U184)</f>
        <v>-37067.4169009379</v>
      </c>
      <c r="V223" s="9" t="n">
        <f aca="false">(V146-V184)</f>
        <v>-37225.5418173929</v>
      </c>
      <c r="W223" s="9" t="n">
        <f aca="false">(W146-W184)</f>
        <v>-48025.7635809204</v>
      </c>
      <c r="X223" s="9" t="n">
        <f aca="false">(X146-X184)</f>
        <v>-26434.1833649367</v>
      </c>
      <c r="Y223" s="9" t="n">
        <f aca="false">(Y146-Y184)</f>
        <v>-26441.0843630404</v>
      </c>
      <c r="Z223" s="9" t="n">
        <f aca="false">(Z146-Z184)</f>
        <v>-36487.9918646105</v>
      </c>
      <c r="AA223" s="9" t="n">
        <f aca="false">(AA146-AA184)</f>
        <v>-41641.8680468444</v>
      </c>
      <c r="AB223" s="9" t="n">
        <f aca="false">(AB146-AB184)</f>
        <v>-46635.8930923312</v>
      </c>
      <c r="AC223" s="9" t="n">
        <f aca="false">(AC146-AC184)</f>
        <v>-45716.1865100612</v>
      </c>
      <c r="AD223" s="9" t="n">
        <f aca="false">(AD146-AD184)</f>
        <v>-52797.7524626779</v>
      </c>
      <c r="AE223" s="9" t="n">
        <f aca="false">(AE146-AE184)</f>
        <v>-40631.0746434419</v>
      </c>
      <c r="AF223" s="9" t="n">
        <f aca="false">(AF146-AF184)</f>
        <v>-39423.5018981223</v>
      </c>
      <c r="AG223" s="9" t="n">
        <f aca="false">(AG146-AG184)</f>
        <v>-37560.5325242618</v>
      </c>
      <c r="AH223" s="9" t="n">
        <f aca="false">(AH146-AH184)</f>
        <v>-10450.7472565583</v>
      </c>
      <c r="AI223" s="9" t="n">
        <f aca="false">(AI146-AI184)</f>
        <v>-15340.271867787</v>
      </c>
      <c r="AJ223" s="9" t="n">
        <f aca="false">(AJ146-AJ184)</f>
        <v>-1742.39973706004</v>
      </c>
      <c r="AK223" s="9" t="n">
        <f aca="false">(AK146-AK184)</f>
        <v>19477.3790683634</v>
      </c>
      <c r="AL223" s="9" t="n">
        <f aca="false">(AL146-AL184)</f>
        <v>55212.1944232915</v>
      </c>
      <c r="AN223" s="11" t="n">
        <f aca="false">SUM(C223:N223)</f>
        <v>-126882.372373837</v>
      </c>
      <c r="AO223" s="11" t="n">
        <f aca="false">SUM(O223:Z223)</f>
        <v>-419942.868545347</v>
      </c>
      <c r="AP223" s="11" t="n">
        <f aca="false">SUM(AA223:AL223)</f>
        <v>-257250.654547491</v>
      </c>
    </row>
    <row r="224" customFormat="false" ht="15" hidden="false" customHeight="false" outlineLevel="0" collapsed="false">
      <c r="A224" s="0" t="s">
        <v>1013</v>
      </c>
      <c r="B224" s="0" t="s">
        <v>230</v>
      </c>
      <c r="C224" s="9" t="n">
        <f aca="false">((C223-C206)-C204)</f>
        <v>-6067.1082984</v>
      </c>
      <c r="D224" s="9" t="n">
        <f aca="false">((D223-D206)-D204)</f>
        <v>-6119.24628408</v>
      </c>
      <c r="E224" s="9" t="n">
        <f aca="false">((E223-E206)-E204)</f>
        <v>-6157.13872666272</v>
      </c>
      <c r="F224" s="9" t="n">
        <f aca="false">((F223-F206)-F204)</f>
        <v>-6187.46796077222</v>
      </c>
      <c r="G224" s="9" t="n">
        <f aca="false">((G223-G206)-G204)</f>
        <v>-6602.21487312024</v>
      </c>
      <c r="H224" s="9" t="n">
        <f aca="false">((H223-H206)-H204)</f>
        <v>-6612.26670853508</v>
      </c>
      <c r="I224" s="9" t="n">
        <f aca="false">((I223-I206)-I204)</f>
        <v>-6637.83006371238</v>
      </c>
      <c r="J224" s="9" t="n">
        <f aca="false">((J223-J206)-J204)</f>
        <v>-7426.34392492678</v>
      </c>
      <c r="K224" s="9" t="n">
        <f aca="false">((K223-K206)-K204)</f>
        <v>-13837.5620282641</v>
      </c>
      <c r="L224" s="9" t="n">
        <f aca="false">((L223-L206)-L204)</f>
        <v>-13880.3368458612</v>
      </c>
      <c r="M224" s="9" t="n">
        <f aca="false">((M223-M206)-M204)</f>
        <v>-23673.7718319474</v>
      </c>
      <c r="N224" s="9" t="n">
        <f aca="false">((N223-N206)-N204)</f>
        <v>-23681.0848275549</v>
      </c>
      <c r="O224" s="9" t="n">
        <f aca="false">((O223-O206)-O204)</f>
        <v>-33305.4825318892</v>
      </c>
      <c r="P224" s="9" t="n">
        <f aca="false">((P223-P206)-P204)</f>
        <v>-33071.5576032733</v>
      </c>
      <c r="Q224" s="9" t="n">
        <f aca="false">((Q223-Q206)-Q204)</f>
        <v>-33380.0617663533</v>
      </c>
      <c r="R224" s="9" t="n">
        <f aca="false">((R223-R206)-R204)</f>
        <v>-33599.3961077904</v>
      </c>
      <c r="S224" s="9" t="n">
        <f aca="false">((S223-S206)-S204)</f>
        <v>-43858.7748037631</v>
      </c>
      <c r="T224" s="9" t="n">
        <f aca="false">((T223-T206)-T204)</f>
        <v>-53417.4538404391</v>
      </c>
      <c r="U224" s="9" t="n">
        <f aca="false">((U223-U206)-U204)</f>
        <v>-42947.4169009379</v>
      </c>
      <c r="V224" s="9" t="n">
        <f aca="false">((V223-V206)-V204)</f>
        <v>-40225.5418173929</v>
      </c>
      <c r="W224" s="9" t="n">
        <f aca="false">((W223-W206)-W204)</f>
        <v>-51025.7635809204</v>
      </c>
      <c r="X224" s="9" t="n">
        <f aca="false">((X223-X206)-X204)</f>
        <v>-38394.1833649367</v>
      </c>
      <c r="Y224" s="9" t="n">
        <f aca="false">((Y223-Y206)-Y204)</f>
        <v>-29441.0843630404</v>
      </c>
      <c r="Z224" s="9" t="n">
        <f aca="false">((Z223-Z206)-Z204)</f>
        <v>-39487.9918646105</v>
      </c>
      <c r="AA224" s="9" t="n">
        <f aca="false">((AA223-AA206)-AA204)</f>
        <v>-58481.8680468444</v>
      </c>
      <c r="AB224" s="9" t="n">
        <f aca="false">((AB223-AB206)-AB204)</f>
        <v>-52586.2930923312</v>
      </c>
      <c r="AC224" s="9" t="n">
        <f aca="false">((AC223-AC206)-AC204)</f>
        <v>-50716.1865100612</v>
      </c>
      <c r="AD224" s="9" t="n">
        <f aca="false">((AD223-AD206)-AD204)</f>
        <v>-69637.7524626779</v>
      </c>
      <c r="AE224" s="9" t="n">
        <f aca="false">((AE223-AE206)-AE204)</f>
        <v>-52796.9946434419</v>
      </c>
      <c r="AF224" s="9" t="n">
        <f aca="false">((AF223-AF206)-AF204)</f>
        <v>-44423.5018981223</v>
      </c>
      <c r="AG224" s="9" t="n">
        <f aca="false">((AG223-AG206)-AG204)</f>
        <v>-57280.5325242618</v>
      </c>
      <c r="AH224" s="9" t="n">
        <f aca="false">((AH223-AH206)-AH204)</f>
        <v>-33231.0672565583</v>
      </c>
      <c r="AI224" s="9" t="n">
        <f aca="false">((AI223-AI206)-AI204)</f>
        <v>-20340.271867787</v>
      </c>
      <c r="AJ224" s="9" t="n">
        <f aca="false">((AJ223-AJ206)-AJ204)</f>
        <v>-27542.39973706</v>
      </c>
      <c r="AK224" s="9" t="n">
        <f aca="false">((AK223-AK206)-AK204)</f>
        <v>-7094.9409316366</v>
      </c>
      <c r="AL224" s="9" t="n">
        <f aca="false">((AL223-AL206)-AL204)</f>
        <v>36932.1944232915</v>
      </c>
      <c r="AN224" s="11" t="n">
        <f aca="false">SUM(C224:N224)</f>
        <v>-126882.372373837</v>
      </c>
      <c r="AO224" s="11" t="n">
        <f aca="false">SUM(O224:Z224)</f>
        <v>-472154.708545347</v>
      </c>
      <c r="AP224" s="11" t="n">
        <f aca="false">SUM(AA224:AL224)</f>
        <v>-437199.614547491</v>
      </c>
    </row>
    <row r="225" customFormat="false" ht="15" hidden="false" customHeight="false" outlineLevel="0" collapsed="false">
      <c r="A225" s="10" t="s">
        <v>1014</v>
      </c>
      <c r="B225" s="20" t="s">
        <v>230</v>
      </c>
      <c r="C225" s="11" t="n">
        <f aca="false">(C223-C221)</f>
        <v>-104365.441631733</v>
      </c>
      <c r="D225" s="11" t="n">
        <f aca="false">(D223-D221)</f>
        <v>-104417.579617413</v>
      </c>
      <c r="E225" s="11" t="n">
        <f aca="false">(E223-E221)</f>
        <v>-130322.138726663</v>
      </c>
      <c r="F225" s="11" t="n">
        <f aca="false">(F223-F221)</f>
        <v>-145435.801294106</v>
      </c>
      <c r="G225" s="11" t="n">
        <f aca="false">(G223-G221)</f>
        <v>-162967.21487312</v>
      </c>
      <c r="H225" s="11" t="n">
        <f aca="false">(H223-H221)</f>
        <v>-202402.266708535</v>
      </c>
      <c r="I225" s="11" t="n">
        <f aca="false">(I223-I221)</f>
        <v>-206727.830063712</v>
      </c>
      <c r="J225" s="11" t="n">
        <f aca="false">(J223-J221)</f>
        <v>-195716.343924927</v>
      </c>
      <c r="K225" s="11" t="n">
        <f aca="false">(K223-K221)</f>
        <v>-267527.562028264</v>
      </c>
      <c r="L225" s="11" t="n">
        <f aca="false">(L223-L221)</f>
        <v>-256512.003512528</v>
      </c>
      <c r="M225" s="11" t="n">
        <f aca="false">(M223-M221)</f>
        <v>-267155.438498614</v>
      </c>
      <c r="N225" s="11" t="n">
        <f aca="false">(N223-N221)</f>
        <v>-274621.084827555</v>
      </c>
      <c r="O225" s="11" t="n">
        <f aca="false">(O223-O221)</f>
        <v>-326945.482531889</v>
      </c>
      <c r="P225" s="11" t="n">
        <f aca="false">(P223-P221)</f>
        <v>-342811.557603273</v>
      </c>
      <c r="Q225" s="11" t="n">
        <f aca="false">(Q223-Q221)</f>
        <v>-356170.061766353</v>
      </c>
      <c r="R225" s="11" t="n">
        <f aca="false">(R223-R221)</f>
        <v>-344589.39610779</v>
      </c>
      <c r="S225" s="11" t="n">
        <f aca="false">(S223-S221)</f>
        <v>-391332.108137096</v>
      </c>
      <c r="T225" s="11" t="n">
        <f aca="false">(T223-T221)</f>
        <v>-390487.267173772</v>
      </c>
      <c r="U225" s="11" t="n">
        <f aca="false">(U223-U221)</f>
        <v>-393897.416900938</v>
      </c>
      <c r="V225" s="11" t="n">
        <f aca="false">(V223-V221)</f>
        <v>-424140.541817393</v>
      </c>
      <c r="W225" s="11" t="n">
        <f aca="false">(W223-W221)</f>
        <v>-423990.76358092</v>
      </c>
      <c r="X225" s="11" t="n">
        <f aca="false">(X223-X221)</f>
        <v>-400679.183364937</v>
      </c>
      <c r="Y225" s="11" t="n">
        <f aca="false">(Y223-Y221)</f>
        <v>-390606.08436304</v>
      </c>
      <c r="Z225" s="11" t="n">
        <f aca="false">(Z223-Z221)</f>
        <v>-434594.658531277</v>
      </c>
      <c r="AA225" s="11" t="n">
        <f aca="false">(AA223-AA221)</f>
        <v>-479731.034713511</v>
      </c>
      <c r="AB225" s="11" t="n">
        <f aca="false">(AB223-AB221)</f>
        <v>-501190.509758998</v>
      </c>
      <c r="AC225" s="11" t="n">
        <f aca="false">(AC223-AC221)</f>
        <v>-475635.353176728</v>
      </c>
      <c r="AD225" s="11" t="n">
        <f aca="false">(AD223-AD221)</f>
        <v>-532520.252462678</v>
      </c>
      <c r="AE225" s="11" t="n">
        <f aca="false">(AE223-AE221)</f>
        <v>-491400.734643442</v>
      </c>
      <c r="AF225" s="11" t="n">
        <f aca="false">(AF223-AF221)</f>
        <v>-482754.994538122</v>
      </c>
      <c r="AG225" s="11" t="n">
        <f aca="false">(AG223-AG221)</f>
        <v>-509573.032524262</v>
      </c>
      <c r="AH225" s="11" t="n">
        <f aca="false">(AH223-AH221)</f>
        <v>-473977.857256558</v>
      </c>
      <c r="AI225" s="11" t="n">
        <f aca="false">(AI223-AI221)</f>
        <v>-471642.771867787</v>
      </c>
      <c r="AJ225" s="11" t="n">
        <f aca="false">(AJ223-AJ221)</f>
        <v>-506128.233070393</v>
      </c>
      <c r="AK225" s="11" t="n">
        <f aca="false">(AK223-AK221)</f>
        <v>-462049.06426497</v>
      </c>
      <c r="AL225" s="11" t="n">
        <f aca="false">(AL223-AL221)</f>
        <v>-429763.638910042</v>
      </c>
      <c r="AN225" s="11" t="n">
        <f aca="false">SUM(C225:N225)</f>
        <v>-2318170.70570717</v>
      </c>
      <c r="AO225" s="11" t="n">
        <f aca="false">SUM(O225:Z225)</f>
        <v>-4620244.52187868</v>
      </c>
      <c r="AP225" s="11" t="n">
        <f aca="false">SUM(AA225:AL225)</f>
        <v>-5816367.47718749</v>
      </c>
    </row>
    <row r="226" customFormat="false" ht="15" hidden="false" customHeight="false" outlineLevel="0" collapsed="false">
      <c r="A226" s="10" t="s">
        <v>44</v>
      </c>
      <c r="B226" s="20" t="s">
        <v>230</v>
      </c>
      <c r="C226" s="11" t="n">
        <f aca="false">((C153-C184)-C221)</f>
        <v>-104365.441631733</v>
      </c>
      <c r="D226" s="11" t="n">
        <f aca="false">((D153-D184)-D221)</f>
        <v>-104417.579617413</v>
      </c>
      <c r="E226" s="11" t="n">
        <f aca="false">((E153-E184)-E221)</f>
        <v>-130322.138726663</v>
      </c>
      <c r="F226" s="11" t="n">
        <f aca="false">((F153-F184)-F221)</f>
        <v>-145435.801294106</v>
      </c>
      <c r="G226" s="11" t="n">
        <f aca="false">((G153-G184)-G221)</f>
        <v>-162967.21487312</v>
      </c>
      <c r="H226" s="11" t="n">
        <f aca="false">((H153-H184)-H221)</f>
        <v>-202402.266708535</v>
      </c>
      <c r="I226" s="11" t="n">
        <f aca="false">((I153-I184)-I221)</f>
        <v>-206727.830063712</v>
      </c>
      <c r="J226" s="11" t="n">
        <f aca="false">((J153-J184)-J221)</f>
        <v>-195716.343924927</v>
      </c>
      <c r="K226" s="11" t="n">
        <f aca="false">((K153-K184)-K221)</f>
        <v>-267527.562028264</v>
      </c>
      <c r="L226" s="11" t="n">
        <f aca="false">((L153-L184)-L221)</f>
        <v>-256512.003512528</v>
      </c>
      <c r="M226" s="11" t="n">
        <f aca="false">((M153-M184)-M221)</f>
        <v>-267155.438498614</v>
      </c>
      <c r="N226" s="11" t="n">
        <f aca="false">((N153-N184)-N221)</f>
        <v>-274621.084827555</v>
      </c>
      <c r="O226" s="11" t="n">
        <f aca="false">((O153-O184)-O221)</f>
        <v>-326849.839225864</v>
      </c>
      <c r="P226" s="11" t="n">
        <f aca="false">((P153-P184)-P221)</f>
        <v>-342606.704547178</v>
      </c>
      <c r="Q226" s="11" t="n">
        <f aca="false">((Q153-Q184)-Q221)</f>
        <v>-355892.902814251</v>
      </c>
      <c r="R226" s="11" t="n">
        <f aca="false">((R153-R184)-R221)</f>
        <v>-344272.342856935</v>
      </c>
      <c r="S226" s="11" t="n">
        <f aca="false">((S153-S184)-S221)</f>
        <v>-390995.132764307</v>
      </c>
      <c r="T226" s="11" t="n">
        <f aca="false">((T153-T184)-T221)</f>
        <v>-394710.757495191</v>
      </c>
      <c r="U226" s="11" t="n">
        <f aca="false">((U153-U184)-U221)</f>
        <v>-407641.316431099</v>
      </c>
      <c r="V226" s="11" t="n">
        <f aca="false">((V153-V184)-V221)</f>
        <v>-383787.001940832</v>
      </c>
      <c r="W226" s="11" t="n">
        <f aca="false">((W153-W184)-W221)</f>
        <v>-402019.462898158</v>
      </c>
      <c r="X226" s="11" t="n">
        <f aca="false">((X153-X184)-X221)</f>
        <v>-437102.001256153</v>
      </c>
      <c r="Y226" s="11" t="n">
        <f aca="false">((Y153-Y184)-Y221)</f>
        <v>-427046.710865637</v>
      </c>
      <c r="Z226" s="11" t="n">
        <f aca="false">((Z153-Z184)-Z221)</f>
        <v>-360202.082995852</v>
      </c>
      <c r="AA226" s="11" t="n">
        <f aca="false">((AA153-AA184)-AA221)</f>
        <v>-530729.393514358</v>
      </c>
      <c r="AB226" s="11" t="n">
        <f aca="false">((AB153-AB184)-AB221)</f>
        <v>-552797.315687065</v>
      </c>
      <c r="AC226" s="11" t="n">
        <f aca="false">((AC153-AC184)-AC221)</f>
        <v>-380675.704236669</v>
      </c>
      <c r="AD226" s="11" t="n">
        <f aca="false">((AD153-AD184)-AD221)</f>
        <v>-578161.891376091</v>
      </c>
      <c r="AE226" s="11" t="n">
        <f aca="false">((AE153-AE184)-AE221)</f>
        <v>-557414.666589745</v>
      </c>
      <c r="AF226" s="11" t="n">
        <f aca="false">((AF153-AF184)-AF221)</f>
        <v>-402168.694486097</v>
      </c>
      <c r="AG226" s="11" t="n">
        <f aca="false">((AG153-AG184)-AG221)</f>
        <v>-505765.93486531</v>
      </c>
      <c r="AH226" s="11" t="n">
        <f aca="false">((AH153-AH184)-AH221)</f>
        <v>-524362.727136304</v>
      </c>
      <c r="AI226" s="11" t="n">
        <f aca="false">((AI153-AI184)-AI221)</f>
        <v>-392091.672558692</v>
      </c>
      <c r="AJ226" s="11" t="n">
        <f aca="false">((AJ153-AJ184)-AJ221)</f>
        <v>-424073.141228611</v>
      </c>
      <c r="AK226" s="11" t="n">
        <f aca="false">((AK153-AK184)-AK221)</f>
        <v>-608415.305343381</v>
      </c>
      <c r="AL226" s="11" t="n">
        <f aca="false">((AL153-AL184)-AL221)</f>
        <v>-364129.718755871</v>
      </c>
      <c r="AN226" s="11" t="n">
        <f aca="false">SUM(C226:N226)</f>
        <v>-2318170.70570717</v>
      </c>
      <c r="AO226" s="11" t="n">
        <f aca="false">SUM(O226:Z226)</f>
        <v>-4573126.25609146</v>
      </c>
      <c r="AP226" s="11" t="n">
        <f aca="false">SUM(AA226:AL226)</f>
        <v>-5820786.16577819</v>
      </c>
    </row>
    <row r="227" customFormat="false" ht="15" hidden="false" customHeight="false" outlineLevel="0" collapsed="false">
      <c r="A227" s="0" t="s">
        <v>45</v>
      </c>
      <c r="B227" s="0" t="s">
        <v>230</v>
      </c>
      <c r="C227" s="9" t="n">
        <f aca="false">(0+C226)</f>
        <v>-104365.441631733</v>
      </c>
      <c r="D227" s="9" t="n">
        <f aca="false">(C227+D226)</f>
        <v>-208783.021249147</v>
      </c>
      <c r="E227" s="9" t="n">
        <f aca="false">(D227+E226)</f>
        <v>-339105.159975809</v>
      </c>
      <c r="F227" s="9" t="n">
        <f aca="false">(E227+F226)</f>
        <v>-484540.961269915</v>
      </c>
      <c r="G227" s="9" t="n">
        <f aca="false">(F227+G226)</f>
        <v>-647508.176143035</v>
      </c>
      <c r="H227" s="9" t="n">
        <f aca="false">(G227+H226)</f>
        <v>-849910.44285157</v>
      </c>
      <c r="I227" s="9" t="n">
        <f aca="false">(H227+I226)</f>
        <v>-1056638.27291528</v>
      </c>
      <c r="J227" s="9" t="n">
        <f aca="false">(I227+J226)</f>
        <v>-1252354.61684021</v>
      </c>
      <c r="K227" s="9" t="n">
        <f aca="false">(J227+K226)</f>
        <v>-1519882.17886847</v>
      </c>
      <c r="L227" s="9" t="n">
        <f aca="false">(K227+L226)</f>
        <v>-1776394.182381</v>
      </c>
      <c r="M227" s="9" t="n">
        <f aca="false">(L227+M226)</f>
        <v>-2043549.62087962</v>
      </c>
      <c r="N227" s="9" t="n">
        <f aca="false">(M227+N226)</f>
        <v>-2318170.70570717</v>
      </c>
      <c r="O227" s="9" t="n">
        <f aca="false">(N227+O226)</f>
        <v>-2645020.54493303</v>
      </c>
      <c r="P227" s="9" t="n">
        <f aca="false">(O227+P226)</f>
        <v>-2987627.24948021</v>
      </c>
      <c r="Q227" s="9" t="n">
        <f aca="false">(P227+Q226)</f>
        <v>-3343520.15229446</v>
      </c>
      <c r="R227" s="9" t="n">
        <f aca="false">(Q227+R226)</f>
        <v>-3687792.4951514</v>
      </c>
      <c r="S227" s="9" t="n">
        <f aca="false">(R227+S226)</f>
        <v>-4078787.62791571</v>
      </c>
      <c r="T227" s="9" t="n">
        <f aca="false">(S227+T226)</f>
        <v>-4473498.3854109</v>
      </c>
      <c r="U227" s="9" t="n">
        <f aca="false">(T227+U226)</f>
        <v>-4881139.701842</v>
      </c>
      <c r="V227" s="9" t="n">
        <f aca="false">(U227+V226)</f>
        <v>-5264926.70378283</v>
      </c>
      <c r="W227" s="9" t="n">
        <f aca="false">(V227+W226)</f>
        <v>-5666946.16668099</v>
      </c>
      <c r="X227" s="9" t="n">
        <f aca="false">(W227+X226)</f>
        <v>-6104048.16793714</v>
      </c>
      <c r="Y227" s="9" t="n">
        <f aca="false">(X227+Y226)</f>
        <v>-6531094.87880278</v>
      </c>
      <c r="Z227" s="9" t="n">
        <f aca="false">(Y227+Z226)</f>
        <v>-6891296.96179863</v>
      </c>
      <c r="AA227" s="9" t="n">
        <f aca="false">(Z227+AA226)</f>
        <v>-7422026.35531299</v>
      </c>
      <c r="AB227" s="9" t="n">
        <f aca="false">(AA227+AB226)</f>
        <v>-7974823.67100005</v>
      </c>
      <c r="AC227" s="9" t="n">
        <f aca="false">(AB227+AC226)</f>
        <v>-8355499.37523672</v>
      </c>
      <c r="AD227" s="9" t="n">
        <f aca="false">(AC227+AD226)</f>
        <v>-8933661.26661281</v>
      </c>
      <c r="AE227" s="9" t="n">
        <f aca="false">(AD227+AE226)</f>
        <v>-9491075.93320256</v>
      </c>
      <c r="AF227" s="9" t="n">
        <f aca="false">(AE227+AF226)</f>
        <v>-9893244.62768865</v>
      </c>
      <c r="AG227" s="9" t="n">
        <f aca="false">(AF227+AG226)</f>
        <v>-10399010.562554</v>
      </c>
      <c r="AH227" s="9" t="n">
        <f aca="false">(AG227+AH226)</f>
        <v>-10923373.2896903</v>
      </c>
      <c r="AI227" s="9" t="n">
        <f aca="false">(AH227+AI226)</f>
        <v>-11315464.962249</v>
      </c>
      <c r="AJ227" s="9" t="n">
        <f aca="false">(AI227+AJ226)</f>
        <v>-11739538.1034776</v>
      </c>
      <c r="AK227" s="9" t="n">
        <f aca="false">(AJ227+AK226)</f>
        <v>-12347953.4088209</v>
      </c>
      <c r="AL227" s="9" t="n">
        <f aca="false">(AK227+AL226)</f>
        <v>-12712083.1275768</v>
      </c>
      <c r="AN227" s="11" t="n">
        <f aca="false">N227</f>
        <v>-2318170.70570717</v>
      </c>
      <c r="AO227" s="11" t="n">
        <f aca="false">Z227</f>
        <v>-6891296.96179863</v>
      </c>
      <c r="AP227" s="11" t="n">
        <f aca="false">AL227</f>
        <v>-12712083.1275768</v>
      </c>
    </row>
    <row r="228" customFormat="false" ht="15" hidden="false" customHeight="false" outlineLevel="0" collapsed="false">
      <c r="A228" s="10" t="s">
        <v>1015</v>
      </c>
      <c r="B228" s="20" t="s">
        <v>230</v>
      </c>
      <c r="C228" s="11" t="n">
        <f aca="false">(Assumptions!$C$104+C227)</f>
        <v>2895634.55836827</v>
      </c>
      <c r="D228" s="11" t="n">
        <f aca="false">(Assumptions!$C$104+D227)</f>
        <v>2791216.97875085</v>
      </c>
      <c r="E228" s="11" t="n">
        <f aca="false">(Assumptions!$C$104+E227)</f>
        <v>2660894.84002419</v>
      </c>
      <c r="F228" s="11" t="n">
        <f aca="false">(Assumptions!$C$104+F227)</f>
        <v>2515459.03873009</v>
      </c>
      <c r="G228" s="11" t="n">
        <f aca="false">(Assumptions!$C$104+G227)</f>
        <v>2352491.82385696</v>
      </c>
      <c r="H228" s="11" t="n">
        <f aca="false">(Assumptions!$C$104+H227)</f>
        <v>2150089.55714843</v>
      </c>
      <c r="I228" s="11" t="n">
        <f aca="false">(Assumptions!$C$104+I227)</f>
        <v>1943361.72708472</v>
      </c>
      <c r="J228" s="11" t="n">
        <f aca="false">(Assumptions!$C$104+J227)</f>
        <v>1747645.38315979</v>
      </c>
      <c r="K228" s="11" t="n">
        <f aca="false">(Assumptions!$C$104+K227)</f>
        <v>1480117.82113153</v>
      </c>
      <c r="L228" s="11" t="n">
        <f aca="false">(Assumptions!$C$104+L227)</f>
        <v>1223605.817619</v>
      </c>
      <c r="M228" s="11" t="n">
        <f aca="false">(Assumptions!$C$104+M227)</f>
        <v>956450.379120385</v>
      </c>
      <c r="N228" s="11" t="n">
        <f aca="false">(Assumptions!$C$104+N227)</f>
        <v>681829.29429283</v>
      </c>
      <c r="O228" s="11" t="n">
        <f aca="false">(Assumptions!$C$104+O227)</f>
        <v>354979.455066965</v>
      </c>
      <c r="P228" s="11" t="n">
        <f aca="false">(Assumptions!$C$104+P227)</f>
        <v>12372.7505197879</v>
      </c>
      <c r="Q228" s="11" t="n">
        <f aca="false">(Assumptions!$C$104+Q227)</f>
        <v>-343520.152294463</v>
      </c>
      <c r="R228" s="11" t="n">
        <f aca="false">(Assumptions!$C$104+R227)</f>
        <v>-687792.495151398</v>
      </c>
      <c r="S228" s="11" t="n">
        <f aca="false">(Assumptions!$C$104+S227)</f>
        <v>-1078787.62791571</v>
      </c>
      <c r="T228" s="11" t="n">
        <f aca="false">(Assumptions!$C$104+T227)</f>
        <v>-1473498.3854109</v>
      </c>
      <c r="U228" s="11" t="n">
        <f aca="false">(Assumptions!$C$104+U227)</f>
        <v>-1881139.701842</v>
      </c>
      <c r="V228" s="11" t="n">
        <f aca="false">(Assumptions!$C$104+V227)</f>
        <v>-2264926.70378283</v>
      </c>
      <c r="W228" s="11" t="n">
        <f aca="false">(Assumptions!$C$104+W227)</f>
        <v>-2666946.16668099</v>
      </c>
      <c r="X228" s="11" t="n">
        <f aca="false">(Assumptions!$C$104+X227)</f>
        <v>-3104048.16793714</v>
      </c>
      <c r="Y228" s="11" t="n">
        <f aca="false">(Assumptions!$C$104+Y227)</f>
        <v>-3531094.87880278</v>
      </c>
      <c r="Z228" s="11" t="n">
        <f aca="false">(Assumptions!$C$104+Z227)</f>
        <v>-3891296.96179863</v>
      </c>
      <c r="AA228" s="11" t="n">
        <f aca="false">(Assumptions!$C$104+AA227)</f>
        <v>-4422026.35531299</v>
      </c>
      <c r="AB228" s="11" t="n">
        <f aca="false">(Assumptions!$C$104+AB227)</f>
        <v>-4974823.67100005</v>
      </c>
      <c r="AC228" s="11" t="n">
        <f aca="false">(Assumptions!$C$104+AC227)</f>
        <v>-5355499.37523672</v>
      </c>
      <c r="AD228" s="11" t="n">
        <f aca="false">(Assumptions!$C$104+AD227)</f>
        <v>-5933661.26661281</v>
      </c>
      <c r="AE228" s="11" t="n">
        <f aca="false">(Assumptions!$C$104+AE227)</f>
        <v>-6491075.93320256</v>
      </c>
      <c r="AF228" s="11" t="n">
        <f aca="false">(Assumptions!$C$104+AF227)</f>
        <v>-6893244.62768865</v>
      </c>
      <c r="AG228" s="11" t="n">
        <f aca="false">(Assumptions!$C$104+AG227)</f>
        <v>-7399010.56255396</v>
      </c>
      <c r="AH228" s="11" t="n">
        <f aca="false">(Assumptions!$C$104+AH227)</f>
        <v>-7923373.28969027</v>
      </c>
      <c r="AI228" s="11" t="n">
        <f aca="false">(Assumptions!$C$104+AI227)</f>
        <v>-8315464.96224896</v>
      </c>
      <c r="AJ228" s="11" t="n">
        <f aca="false">(Assumptions!$C$104+AJ227)</f>
        <v>-8739538.10347757</v>
      </c>
      <c r="AK228" s="11" t="n">
        <f aca="false">(Assumptions!$C$104+AK227)</f>
        <v>-9347953.40882095</v>
      </c>
      <c r="AL228" s="11" t="n">
        <f aca="false">(Assumptions!$C$104+AL227)</f>
        <v>-9712083.12757682</v>
      </c>
      <c r="AN228" s="11" t="n">
        <f aca="false">N228</f>
        <v>681829.29429283</v>
      </c>
      <c r="AO228" s="11" t="n">
        <f aca="false">Z228</f>
        <v>-3891296.96179863</v>
      </c>
      <c r="AP228" s="11" t="n">
        <f aca="false">AL228</f>
        <v>-9712083.12757682</v>
      </c>
    </row>
    <row r="229" customFormat="false" ht="15" hidden="false" customHeight="false" outlineLevel="0" collapsed="false">
      <c r="A229" s="0" t="s">
        <v>1016</v>
      </c>
      <c r="B229" s="0" t="s">
        <v>1017</v>
      </c>
      <c r="C229" s="9" t="n">
        <f aca="false">IF((C228&lt;0),1,0)</f>
        <v>0</v>
      </c>
      <c r="D229" s="9" t="n">
        <f aca="false">IF((D228&lt;0),1,0)</f>
        <v>0</v>
      </c>
      <c r="E229" s="9" t="n">
        <f aca="false">IF((E228&lt;0),1,0)</f>
        <v>0</v>
      </c>
      <c r="F229" s="9" t="n">
        <f aca="false">IF((F228&lt;0),1,0)</f>
        <v>0</v>
      </c>
      <c r="G229" s="9" t="n">
        <f aca="false">IF((G228&lt;0),1,0)</f>
        <v>0</v>
      </c>
      <c r="H229" s="9" t="n">
        <f aca="false">IF((H228&lt;0),1,0)</f>
        <v>0</v>
      </c>
      <c r="I229" s="9" t="n">
        <f aca="false">IF((I228&lt;0),1,0)</f>
        <v>0</v>
      </c>
      <c r="J229" s="9" t="n">
        <f aca="false">IF((J228&lt;0),1,0)</f>
        <v>0</v>
      </c>
      <c r="K229" s="9" t="n">
        <f aca="false">IF((K228&lt;0),1,0)</f>
        <v>0</v>
      </c>
      <c r="L229" s="9" t="n">
        <f aca="false">IF((L228&lt;0),1,0)</f>
        <v>0</v>
      </c>
      <c r="M229" s="9" t="n">
        <f aca="false">IF((M228&lt;0),1,0)</f>
        <v>0</v>
      </c>
      <c r="N229" s="9" t="n">
        <f aca="false">IF((N228&lt;0),1,0)</f>
        <v>0</v>
      </c>
      <c r="O229" s="9" t="n">
        <f aca="false">IF((O228&lt;0),1,0)</f>
        <v>0</v>
      </c>
      <c r="P229" s="9" t="n">
        <f aca="false">IF((P228&lt;0),1,0)</f>
        <v>0</v>
      </c>
      <c r="Q229" s="9" t="n">
        <f aca="false">IF((Q228&lt;0),1,0)</f>
        <v>1</v>
      </c>
      <c r="R229" s="9" t="n">
        <f aca="false">IF((R228&lt;0),1,0)</f>
        <v>1</v>
      </c>
      <c r="S229" s="9" t="n">
        <f aca="false">IF((S228&lt;0),1,0)</f>
        <v>1</v>
      </c>
      <c r="T229" s="9" t="n">
        <f aca="false">IF((T228&lt;0),1,0)</f>
        <v>1</v>
      </c>
      <c r="U229" s="9" t="n">
        <f aca="false">IF((U228&lt;0),1,0)</f>
        <v>1</v>
      </c>
      <c r="V229" s="9" t="n">
        <f aca="false">IF((V228&lt;0),1,0)</f>
        <v>1</v>
      </c>
      <c r="W229" s="9" t="n">
        <f aca="false">IF((W228&lt;0),1,0)</f>
        <v>1</v>
      </c>
      <c r="X229" s="9" t="n">
        <f aca="false">IF((X228&lt;0),1,0)</f>
        <v>1</v>
      </c>
      <c r="Y229" s="9" t="n">
        <f aca="false">IF((Y228&lt;0),1,0)</f>
        <v>1</v>
      </c>
      <c r="Z229" s="9" t="n">
        <f aca="false">IF((Z228&lt;0),1,0)</f>
        <v>1</v>
      </c>
      <c r="AA229" s="9" t="n">
        <f aca="false">IF((AA228&lt;0),1,0)</f>
        <v>1</v>
      </c>
      <c r="AB229" s="9" t="n">
        <f aca="false">IF((AB228&lt;0),1,0)</f>
        <v>1</v>
      </c>
      <c r="AC229" s="9" t="n">
        <f aca="false">IF((AC228&lt;0),1,0)</f>
        <v>1</v>
      </c>
      <c r="AD229" s="9" t="n">
        <f aca="false">IF((AD228&lt;0),1,0)</f>
        <v>1</v>
      </c>
      <c r="AE229" s="9" t="n">
        <f aca="false">IF((AE228&lt;0),1,0)</f>
        <v>1</v>
      </c>
      <c r="AF229" s="9" t="n">
        <f aca="false">IF((AF228&lt;0),1,0)</f>
        <v>1</v>
      </c>
      <c r="AG229" s="9" t="n">
        <f aca="false">IF((AG228&lt;0),1,0)</f>
        <v>1</v>
      </c>
      <c r="AH229" s="9" t="n">
        <f aca="false">IF((AH228&lt;0),1,0)</f>
        <v>1</v>
      </c>
      <c r="AI229" s="9" t="n">
        <f aca="false">IF((AI228&lt;0),1,0)</f>
        <v>1</v>
      </c>
      <c r="AJ229" s="9" t="n">
        <f aca="false">IF((AJ228&lt;0),1,0)</f>
        <v>1</v>
      </c>
      <c r="AK229" s="9" t="n">
        <f aca="false">IF((AK228&lt;0),1,0)</f>
        <v>1</v>
      </c>
      <c r="AL229" s="9" t="n">
        <f aca="false">IF((AL228&lt;0),1,0)</f>
        <v>1</v>
      </c>
    </row>
    <row r="230" customFormat="false" ht="15" hidden="false" customHeight="false" outlineLevel="0" collapsed="false">
      <c r="A230" s="0" t="s">
        <v>1018</v>
      </c>
      <c r="B230" s="0" t="s">
        <v>230</v>
      </c>
      <c r="C230" s="9" t="n">
        <f aca="false">(C133*Assumptions!$C$37)</f>
        <v>0</v>
      </c>
      <c r="D230" s="9" t="n">
        <f aca="false">(D133*Assumptions!$C$37)</f>
        <v>0</v>
      </c>
      <c r="E230" s="9" t="n">
        <f aca="false">(E133*Assumptions!$C$37)</f>
        <v>0</v>
      </c>
      <c r="F230" s="9" t="n">
        <f aca="false">(F133*Assumptions!$C$37)</f>
        <v>0</v>
      </c>
      <c r="G230" s="9" t="n">
        <f aca="false">(G133*Assumptions!$C$37)</f>
        <v>9775</v>
      </c>
      <c r="H230" s="9" t="n">
        <f aca="false">(H133*Assumptions!$C$37)</f>
        <v>0</v>
      </c>
      <c r="I230" s="9" t="n">
        <f aca="false">(I133*Assumptions!$C$37)</f>
        <v>0</v>
      </c>
      <c r="J230" s="9" t="n">
        <f aca="false">(J133*Assumptions!$C$37)</f>
        <v>28050</v>
      </c>
      <c r="K230" s="9" t="n">
        <f aca="false">(K133*Assumptions!$C$37)</f>
        <v>0</v>
      </c>
      <c r="L230" s="9" t="n">
        <f aca="false">(L133*Assumptions!$C$37)</f>
        <v>0</v>
      </c>
      <c r="M230" s="9" t="n">
        <f aca="false">(M133*Assumptions!$C$37)</f>
        <v>0</v>
      </c>
      <c r="N230" s="9" t="n">
        <f aca="false">(N133*Assumptions!$C$37)</f>
        <v>0</v>
      </c>
      <c r="O230" s="9" t="n">
        <f aca="false">(O133*Assumptions!$C$37)</f>
        <v>0</v>
      </c>
      <c r="P230" s="9" t="n">
        <f aca="false">(P133*Assumptions!$C$37)</f>
        <v>0</v>
      </c>
      <c r="Q230" s="9" t="n">
        <f aca="false">(Q133*Assumptions!$C$37)</f>
        <v>0</v>
      </c>
      <c r="R230" s="9" t="n">
        <f aca="false">(R133*Assumptions!$C$37)</f>
        <v>0</v>
      </c>
      <c r="S230" s="9" t="n">
        <f aca="false">(S133*Assumptions!$C$37)</f>
        <v>0</v>
      </c>
      <c r="T230" s="9" t="n">
        <f aca="false">(T133*Assumptions!$C$37)</f>
        <v>0</v>
      </c>
      <c r="U230" s="9" t="n">
        <f aca="false">(U133*Assumptions!$C$37)</f>
        <v>13515</v>
      </c>
      <c r="V230" s="9" t="n">
        <f aca="false">(V133*Assumptions!$C$37)</f>
        <v>0</v>
      </c>
      <c r="W230" s="9" t="n">
        <f aca="false">(W133*Assumptions!$C$37)</f>
        <v>0</v>
      </c>
      <c r="X230" s="9" t="n">
        <f aca="false">(X133*Assumptions!$C$37)</f>
        <v>45305</v>
      </c>
      <c r="Y230" s="9" t="n">
        <f aca="false">(Y133*Assumptions!$C$37)</f>
        <v>0</v>
      </c>
      <c r="Z230" s="9" t="n">
        <f aca="false">(Z133*Assumptions!$C$37)</f>
        <v>0</v>
      </c>
      <c r="AA230" s="9" t="n">
        <f aca="false">(AA133*Assumptions!$C$37)</f>
        <v>58820</v>
      </c>
      <c r="AB230" s="9" t="n">
        <f aca="false">(AB133*Assumptions!$C$37)</f>
        <v>0</v>
      </c>
      <c r="AC230" s="9" t="n">
        <f aca="false">(AC133*Assumptions!$C$37)</f>
        <v>0</v>
      </c>
      <c r="AD230" s="9" t="n">
        <f aca="false">(AD133*Assumptions!$C$37)</f>
        <v>58820</v>
      </c>
      <c r="AE230" s="9" t="n">
        <f aca="false">(AE133*Assumptions!$C$37)</f>
        <v>13515</v>
      </c>
      <c r="AF230" s="9" t="n">
        <f aca="false">(AF133*Assumptions!$C$37)</f>
        <v>0</v>
      </c>
      <c r="AG230" s="9" t="n">
        <f aca="false">(AG133*Assumptions!$C$37)</f>
        <v>72335</v>
      </c>
      <c r="AH230" s="9" t="n">
        <f aca="false">(AH133*Assumptions!$C$37)</f>
        <v>45305</v>
      </c>
      <c r="AI230" s="9" t="n">
        <f aca="false">(AI133*Assumptions!$C$37)</f>
        <v>0</v>
      </c>
      <c r="AJ230" s="9" t="n">
        <f aca="false">(AJ133*Assumptions!$C$37)</f>
        <v>104125</v>
      </c>
      <c r="AK230" s="9" t="n">
        <f aca="false">(AK133*Assumptions!$C$37)</f>
        <v>58820</v>
      </c>
      <c r="AL230" s="9" t="n">
        <f aca="false">(AL133*Assumptions!$C$37)</f>
        <v>71740</v>
      </c>
      <c r="AN230" s="11" t="n">
        <f aca="false">SUM(C230:N230)</f>
        <v>37825</v>
      </c>
      <c r="AO230" s="11" t="n">
        <f aca="false">SUM(O230:Z230)</f>
        <v>58820</v>
      </c>
      <c r="AP230" s="11" t="n">
        <f aca="false">SUM(AA230:AL230)</f>
        <v>483480</v>
      </c>
    </row>
    <row r="231" customFormat="false" ht="15" hidden="false" customHeight="false" outlineLevel="0" collapsed="false">
      <c r="A231" s="0" t="s">
        <v>1019</v>
      </c>
      <c r="B231" s="0" t="s">
        <v>285</v>
      </c>
      <c r="C231" s="9" t="n">
        <f aca="false">(C197*Assumptions!$C$38)</f>
        <v>0</v>
      </c>
      <c r="D231" s="9" t="n">
        <f aca="false">(D197*Assumptions!$C$38)</f>
        <v>0</v>
      </c>
      <c r="E231" s="9" t="n">
        <f aca="false">(E197*Assumptions!$C$38)</f>
        <v>0</v>
      </c>
      <c r="F231" s="9" t="n">
        <f aca="false">(F197*Assumptions!$C$38)</f>
        <v>0</v>
      </c>
      <c r="G231" s="9" t="n">
        <f aca="false">(G197*Assumptions!$C$38)</f>
        <v>0</v>
      </c>
      <c r="H231" s="9" t="n">
        <f aca="false">(H197*Assumptions!$C$38)</f>
        <v>0</v>
      </c>
      <c r="I231" s="9" t="n">
        <f aca="false">(I197*Assumptions!$C$38)</f>
        <v>0</v>
      </c>
      <c r="J231" s="9" t="n">
        <f aca="false">(J197*Assumptions!$C$38)</f>
        <v>0</v>
      </c>
      <c r="K231" s="9" t="n">
        <f aca="false">(K197*Assumptions!$C$38)</f>
        <v>0</v>
      </c>
      <c r="L231" s="9" t="n">
        <f aca="false">(L197*Assumptions!$C$38)</f>
        <v>0</v>
      </c>
      <c r="M231" s="9" t="n">
        <f aca="false">(M197*Assumptions!$C$38)</f>
        <v>110</v>
      </c>
      <c r="N231" s="9" t="n">
        <f aca="false">(N197*Assumptions!$C$38)</f>
        <v>110</v>
      </c>
      <c r="O231" s="9" t="n">
        <f aca="false">(O197*Assumptions!$C$38)</f>
        <v>110</v>
      </c>
      <c r="P231" s="9" t="n">
        <f aca="false">(P197*Assumptions!$C$38)</f>
        <v>110</v>
      </c>
      <c r="Q231" s="9" t="n">
        <f aca="false">(Q197*Assumptions!$C$38)</f>
        <v>110</v>
      </c>
      <c r="R231" s="9" t="n">
        <f aca="false">(R197*Assumptions!$C$38)</f>
        <v>110</v>
      </c>
      <c r="S231" s="9" t="n">
        <f aca="false">(S197*Assumptions!$C$38)</f>
        <v>220</v>
      </c>
      <c r="T231" s="9" t="n">
        <f aca="false">(T197*Assumptions!$C$38)</f>
        <v>220</v>
      </c>
      <c r="U231" s="9" t="n">
        <f aca="false">(U197*Assumptions!$C$38)</f>
        <v>220</v>
      </c>
      <c r="V231" s="9" t="n">
        <f aca="false">(V197*Assumptions!$C$38)</f>
        <v>220</v>
      </c>
      <c r="W231" s="9" t="n">
        <f aca="false">(W197*Assumptions!$C$38)</f>
        <v>330</v>
      </c>
      <c r="X231" s="9" t="n">
        <f aca="false">(X197*Assumptions!$C$38)</f>
        <v>330</v>
      </c>
      <c r="Y231" s="9" t="n">
        <f aca="false">(Y197*Assumptions!$C$38)</f>
        <v>330</v>
      </c>
      <c r="Z231" s="9" t="n">
        <f aca="false">(Z197*Assumptions!$C$38)</f>
        <v>330</v>
      </c>
      <c r="AA231" s="9" t="n">
        <f aca="false">(AA197*Assumptions!$C$38)</f>
        <v>440</v>
      </c>
      <c r="AB231" s="9" t="n">
        <f aca="false">(AB197*Assumptions!$C$38)</f>
        <v>440</v>
      </c>
      <c r="AC231" s="9" t="n">
        <f aca="false">(AC197*Assumptions!$C$38)</f>
        <v>440</v>
      </c>
      <c r="AD231" s="9" t="n">
        <f aca="false">(AD197*Assumptions!$C$38)</f>
        <v>550</v>
      </c>
      <c r="AE231" s="9" t="n">
        <f aca="false">(AE197*Assumptions!$C$38)</f>
        <v>550</v>
      </c>
      <c r="AF231" s="9" t="n">
        <f aca="false">(AF197*Assumptions!$C$38)</f>
        <v>550</v>
      </c>
      <c r="AG231" s="9" t="n">
        <f aca="false">(AG197*Assumptions!$C$38)</f>
        <v>660</v>
      </c>
      <c r="AH231" s="9" t="n">
        <f aca="false">(AH197*Assumptions!$C$38)</f>
        <v>660</v>
      </c>
      <c r="AI231" s="9" t="n">
        <f aca="false">(AI197*Assumptions!$C$38)</f>
        <v>660</v>
      </c>
      <c r="AJ231" s="9" t="n">
        <f aca="false">(AJ197*Assumptions!$C$38)</f>
        <v>770</v>
      </c>
      <c r="AK231" s="9" t="n">
        <f aca="false">(AK197*Assumptions!$C$38)</f>
        <v>770</v>
      </c>
      <c r="AL231" s="9" t="n">
        <f aca="false">(AL197*Assumptions!$C$38)</f>
        <v>770</v>
      </c>
      <c r="AN231" s="11" t="n">
        <f aca="false">SUM(C231:N231)</f>
        <v>220</v>
      </c>
      <c r="AO231" s="11" t="n">
        <f aca="false">SUM(O231:Z231)</f>
        <v>2640</v>
      </c>
      <c r="AP231" s="11" t="n">
        <f aca="false">SUM(AA231:AL231)</f>
        <v>7260</v>
      </c>
    </row>
    <row r="234" customFormat="false" ht="15" hidden="false" customHeight="false" outlineLevel="0" collapsed="false">
      <c r="A234" s="21" t="s">
        <v>1020</v>
      </c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</row>
    <row r="235" customFormat="false" ht="15" hidden="false" customHeight="false" outlineLevel="0" collapsed="false">
      <c r="A235" s="0" t="s">
        <v>61</v>
      </c>
      <c r="B235" s="0" t="s">
        <v>230</v>
      </c>
      <c r="AN235" s="9" t="n">
        <f aca="false">AN146</f>
        <v>0</v>
      </c>
      <c r="AO235" s="9" t="n">
        <f aca="false">AO146</f>
        <v>166843.298236569</v>
      </c>
      <c r="AP235" s="9" t="n">
        <f aca="false">AP146</f>
        <v>1255579.22048579</v>
      </c>
    </row>
    <row r="236" customFormat="false" ht="15" hidden="false" customHeight="false" outlineLevel="0" collapsed="false">
      <c r="A236" s="0" t="s">
        <v>62</v>
      </c>
      <c r="B236" s="0" t="s">
        <v>230</v>
      </c>
      <c r="AN236" s="9" t="n">
        <f aca="false">AN148</f>
        <v>0</v>
      </c>
      <c r="AO236" s="9" t="n">
        <f aca="false">AO148</f>
        <v>77176.0805472603</v>
      </c>
      <c r="AP236" s="9" t="n">
        <f aca="false">AP148</f>
        <v>728214.210659844</v>
      </c>
    </row>
    <row r="237" customFormat="false" ht="15" hidden="false" customHeight="false" outlineLevel="0" collapsed="false">
      <c r="A237" s="0" t="s">
        <v>63</v>
      </c>
      <c r="B237" s="0" t="s">
        <v>193</v>
      </c>
      <c r="AN237" s="12" t="n">
        <f aca="false">IFERROR((AN223/AN146),0)</f>
        <v>0</v>
      </c>
      <c r="AO237" s="12" t="n">
        <f aca="false">IFERROR((AO223/AO146),0)</f>
        <v>-2.51698973218513</v>
      </c>
      <c r="AP237" s="12" t="n">
        <f aca="false">IFERROR((AP223/AP146),0)</f>
        <v>-0.204886040124142</v>
      </c>
    </row>
    <row r="238" customFormat="false" ht="15" hidden="false" customHeight="false" outlineLevel="0" collapsed="false">
      <c r="A238" s="0" t="s">
        <v>64</v>
      </c>
      <c r="B238" s="0" t="s">
        <v>193</v>
      </c>
      <c r="AN238" s="12" t="n">
        <f aca="false">IFERROR((AN224/AN146),0)</f>
        <v>0</v>
      </c>
      <c r="AO238" s="12" t="n">
        <f aca="false">IFERROR((AO224/AO146),0)</f>
        <v>-2.82992912233054</v>
      </c>
      <c r="AP238" s="12" t="n">
        <f aca="false">IFERROR((AP224/AP146),0)</f>
        <v>-0.348205519344558</v>
      </c>
    </row>
    <row r="239" customFormat="false" ht="15" hidden="false" customHeight="false" outlineLevel="0" collapsed="false">
      <c r="A239" s="0" t="s">
        <v>65</v>
      </c>
      <c r="B239" s="0" t="s">
        <v>193</v>
      </c>
      <c r="AN239" s="12" t="n">
        <f aca="false">IFERROR(((AN42-AN179)/AN42),0)</f>
        <v>0</v>
      </c>
      <c r="AO239" s="12" t="n">
        <f aca="false">IFERROR(((AO42-AO179)/AO42),0)</f>
        <v>-4.58899186247699</v>
      </c>
      <c r="AP239" s="12" t="n">
        <f aca="false">IFERROR(((AP42-AP179)/AP42),0)</f>
        <v>-1.90279379417814</v>
      </c>
    </row>
    <row r="240" customFormat="false" ht="15" hidden="false" customHeight="false" outlineLevel="0" collapsed="false">
      <c r="A240" s="0" t="s">
        <v>66</v>
      </c>
      <c r="B240" s="0" t="s">
        <v>193</v>
      </c>
      <c r="AN240" s="12" t="n">
        <f aca="false">IFERROR(((((((AN129+AN127)+AN136)+AN137)+AN140)-AN180)/((((AN129+AN127)+AN136)+AN137)+AN140)),0)</f>
        <v>0</v>
      </c>
      <c r="AO240" s="12" t="n">
        <f aca="false">IFERROR(((((((AO129+AO127)+AO136)+AO137)+AO140)-AO180)/((((AO129+AO127)+AO136)+AO137)+AO140)),0)</f>
        <v>0.694913923815366</v>
      </c>
      <c r="AP240" s="12" t="n">
        <f aca="false">IFERROR(((((((AP129+AP127)+AP136)+AP137)+AP140)-AP180)/((((AP129+AP127)+AP136)+AP137)+AP140)),0)</f>
        <v>0.636577491783204</v>
      </c>
    </row>
    <row r="241" customFormat="false" ht="15" hidden="false" customHeight="false" outlineLevel="0" collapsed="false">
      <c r="A241" s="0" t="s">
        <v>67</v>
      </c>
      <c r="B241" s="0" t="s">
        <v>193</v>
      </c>
      <c r="AN241" s="12" t="n">
        <f aca="false">IFERROR(((AN131-AN182)/AN131),0)</f>
        <v>0</v>
      </c>
      <c r="AO241" s="12" t="n">
        <f aca="false">IFERROR(((AO131-AO182)/AO131),0)</f>
        <v>-1.77272727272727</v>
      </c>
      <c r="AP241" s="12" t="n">
        <f aca="false">IFERROR(((AP131-AP182)/AP131),0)</f>
        <v>-0.0787781350482315</v>
      </c>
    </row>
    <row r="242" customFormat="false" ht="15" hidden="false" customHeight="false" outlineLevel="0" collapsed="false">
      <c r="A242" s="0" t="s">
        <v>68</v>
      </c>
      <c r="B242" s="0" t="s">
        <v>193</v>
      </c>
      <c r="AN242" s="12" t="n">
        <f aca="false">IFERROR(((AN131-AN230)/AN131),0)</f>
        <v>0</v>
      </c>
      <c r="AO242" s="12" t="n">
        <f aca="false">IFERROR(((AO131-AO230)/AO131),0)</f>
        <v>0.331590909090909</v>
      </c>
      <c r="AP242" s="12" t="n">
        <f aca="false">IFERROR(((AP131-AP230)/AP131),0)</f>
        <v>0.222700964630225</v>
      </c>
    </row>
    <row r="243" customFormat="false" ht="15" hidden="false" customHeight="false" outlineLevel="0" collapsed="false">
      <c r="A243" s="0" t="s">
        <v>69</v>
      </c>
      <c r="B243" s="0" t="s">
        <v>193</v>
      </c>
      <c r="AN243" s="12" t="n">
        <f aca="false">IFERROR((AN133/AN231),0)</f>
        <v>2.02272727272727</v>
      </c>
      <c r="AO243" s="12" t="n">
        <f aca="false">IFERROR((AO133/AO231),0)</f>
        <v>0.262121212121212</v>
      </c>
      <c r="AP243" s="12" t="n">
        <f aca="false">IFERROR((AP133/AP231),0)</f>
        <v>0.783471074380165</v>
      </c>
    </row>
    <row r="244" customFormat="false" ht="15" hidden="false" customHeight="false" outlineLevel="0" collapsed="false">
      <c r="A244" s="0" t="s">
        <v>41</v>
      </c>
      <c r="B244" s="0" t="s">
        <v>230</v>
      </c>
      <c r="AN244" s="9" t="n">
        <f aca="false">AN225</f>
        <v>-2318170.70570717</v>
      </c>
      <c r="AO244" s="9" t="n">
        <f aca="false">AO225</f>
        <v>-4620244.52187868</v>
      </c>
      <c r="AP244" s="9" t="n">
        <f aca="false">AP225</f>
        <v>-5816367.47718749</v>
      </c>
    </row>
    <row r="245" customFormat="false" ht="15" hidden="false" customHeight="false" outlineLevel="0" collapsed="false">
      <c r="A245" s="0" t="s">
        <v>70</v>
      </c>
      <c r="B245" s="0" t="s">
        <v>230</v>
      </c>
      <c r="AN245" s="9" t="n">
        <f aca="false">(0-AN226)</f>
        <v>2318170.70570717</v>
      </c>
      <c r="AO245" s="9" t="n">
        <f aca="false">(0-AO226)</f>
        <v>4573126.25609146</v>
      </c>
      <c r="AP245" s="9" t="n">
        <f aca="false">(0-AP226)</f>
        <v>5820786.16577819</v>
      </c>
    </row>
    <row r="246" customFormat="false" ht="15" hidden="false" customHeight="false" outlineLevel="0" collapsed="false">
      <c r="A246" s="0" t="s">
        <v>71</v>
      </c>
      <c r="B246" s="0" t="s">
        <v>230</v>
      </c>
      <c r="AN246" s="9" t="n">
        <f aca="false">AN227</f>
        <v>-2318170.70570717</v>
      </c>
      <c r="AO246" s="9" t="n">
        <f aca="false">AO227</f>
        <v>-6891296.96179863</v>
      </c>
      <c r="AP246" s="9" t="n">
        <f aca="false">AP227</f>
        <v>-12712083.1275768</v>
      </c>
    </row>
    <row r="247" customFormat="false" ht="15" hidden="false" customHeight="false" outlineLevel="0" collapsed="false">
      <c r="A247" s="0" t="s">
        <v>72</v>
      </c>
      <c r="B247" s="0" t="s">
        <v>230</v>
      </c>
      <c r="AN247" s="9" t="n">
        <f aca="false">AN228</f>
        <v>681829.29429283</v>
      </c>
      <c r="AO247" s="9" t="n">
        <f aca="false">AO228</f>
        <v>-3891296.96179863</v>
      </c>
      <c r="AP247" s="9" t="n">
        <f aca="false">AP228</f>
        <v>-9712083.12757682</v>
      </c>
    </row>
    <row r="248" customFormat="false" ht="15" hidden="false" customHeight="false" outlineLevel="0" collapsed="false">
      <c r="A248" s="0" t="s">
        <v>73</v>
      </c>
      <c r="B248" s="0" t="s">
        <v>230</v>
      </c>
      <c r="AN248" s="9" t="n">
        <f aca="false">(AN148-0)</f>
        <v>0</v>
      </c>
      <c r="AO248" s="9" t="n">
        <f aca="false">(AO148-AN148)</f>
        <v>77176.0805472603</v>
      </c>
      <c r="AP248" s="9" t="n">
        <f aca="false">(AP148-AO148)</f>
        <v>651038.130112583</v>
      </c>
    </row>
    <row r="249" customFormat="false" ht="15" hidden="false" customHeight="false" outlineLevel="0" collapsed="false">
      <c r="A249" s="0" t="s">
        <v>74</v>
      </c>
      <c r="B249" s="0" t="s">
        <v>160</v>
      </c>
      <c r="AN249" s="13" t="n">
        <f aca="false">IFERROR(((0-AN226)/(AN148-0)),0)</f>
        <v>0</v>
      </c>
      <c r="AO249" s="13" t="n">
        <f aca="false">IFERROR(((0-AO226)/(AO148-AN148)),0)</f>
        <v>59.2557463875224</v>
      </c>
      <c r="AP249" s="13" t="n">
        <f aca="false">IFERROR(((0-AP226)/(AP148-AO148)),0)</f>
        <v>8.94077611824612</v>
      </c>
    </row>
    <row r="250" customFormat="false" ht="15" hidden="false" customHeight="false" outlineLevel="0" collapsed="false">
      <c r="A250" s="0" t="s">
        <v>75</v>
      </c>
      <c r="B250" s="0" t="s">
        <v>230</v>
      </c>
      <c r="AN250" s="13" t="n">
        <f aca="false">IFERROR(((AN206+(0.5*(AN194+AN207)))/AN28),0)</f>
        <v>0</v>
      </c>
      <c r="AO250" s="13" t="n">
        <f aca="false">IFERROR(((AO206+(0.5*(AO194+AO207)))/AO28),0)</f>
        <v>802.839097544607</v>
      </c>
      <c r="AP250" s="13" t="n">
        <f aca="false">IFERROR(((AP206+(0.5*(AP194+AP207)))/AP28),0)</f>
        <v>502.981242619472</v>
      </c>
    </row>
    <row r="251" customFormat="false" ht="15" hidden="false" customHeight="false" outlineLevel="0" collapsed="false">
      <c r="A251" s="0" t="s">
        <v>76</v>
      </c>
      <c r="B251" s="0" t="s">
        <v>230</v>
      </c>
      <c r="AN251" s="13" t="n">
        <f aca="false">IFERROR((((AN206+(0.5*(AN194+AN207)))+AN186)/AN28),0)</f>
        <v>0</v>
      </c>
      <c r="AO251" s="13" t="n">
        <f aca="false">IFERROR((((AO206+(0.5*(AO194+AO207)))+AO186)/AO28),0)</f>
        <v>932.4116298671</v>
      </c>
      <c r="AP251" s="13" t="n">
        <f aca="false">IFERROR((((AP206+(0.5*(AP194+AP207)))+AP186)/AP28),0)</f>
        <v>622.401245684949</v>
      </c>
    </row>
    <row r="252" customFormat="false" ht="15" hidden="false" customHeight="false" outlineLevel="0" collapsed="false">
      <c r="A252" s="0" t="s">
        <v>77</v>
      </c>
      <c r="B252" s="0" t="s">
        <v>230</v>
      </c>
      <c r="AN252" s="14" t="n">
        <f aca="false">IFERROR(((AN42/12)/((AN39*0.5)+(0*0.5))),0)</f>
        <v>0</v>
      </c>
      <c r="AO252" s="14" t="n">
        <f aca="false">IFERROR(((AO42/12)/((AO39*0.5)+(AN39*0.5))),0)</f>
        <v>4.73816699513621</v>
      </c>
      <c r="AP252" s="14" t="n">
        <f aca="false">IFERROR(((AP42/12)/((AP39*0.5)+(AO39*0.5))),0)</f>
        <v>5.71702778571874</v>
      </c>
    </row>
    <row r="253" customFormat="false" ht="15" hidden="false" customHeight="false" outlineLevel="0" collapsed="false">
      <c r="A253" s="0" t="s">
        <v>78</v>
      </c>
      <c r="B253" s="0" t="s">
        <v>193</v>
      </c>
      <c r="AN253" s="12" t="n">
        <f aca="false">IFERROR(((AN42-AN187)/AN42),0)</f>
        <v>0</v>
      </c>
      <c r="AO253" s="12" t="n">
        <f aca="false">IFERROR(((AO42-AO187)/AO42),0)</f>
        <v>0.744948314218905</v>
      </c>
      <c r="AP253" s="12" t="n">
        <f aca="false">IFERROR(((AP42-AP187)/AP42),0)</f>
        <v>0.766761624389786</v>
      </c>
    </row>
    <row r="254" customFormat="false" ht="15" hidden="false" customHeight="false" outlineLevel="0" collapsed="false">
      <c r="A254" s="0" t="s">
        <v>79</v>
      </c>
      <c r="B254" s="0" t="s">
        <v>166</v>
      </c>
      <c r="AN254" s="13" t="n">
        <f aca="false">IFERROR(((((AN206+(0.5*(AN194+AN207)))+AN186)/AN28)/(((AN42/12)/((AN39*0.5)+(0*0.5)))*((AN42-AN187)/AN42))),0)</f>
        <v>0</v>
      </c>
      <c r="AO254" s="13" t="n">
        <f aca="false">IFERROR(((((AO206+(0.5*(AO194+AO207)))+AO186)/AO28)/(((AO42/12)/((AO39*0.5)+(AN39*0.5)))*((AO42-AO187)/AO42))),0)</f>
        <v>264.162506579909</v>
      </c>
      <c r="AP254" s="13" t="n">
        <f aca="false">IFERROR(((((AP206+(0.5*(AP194+AP207)))+AP186)/AP28)/(((AP42/12)/((AP39*0.5)+(AO39*0.5)))*((AP42-AP187)/AP42))),0)</f>
        <v>141.984122408483</v>
      </c>
    </row>
    <row r="255" customFormat="false" ht="15" hidden="false" customHeight="false" outlineLevel="0" collapsed="false">
      <c r="A255" s="0" t="s">
        <v>80</v>
      </c>
      <c r="B255" s="0" t="s">
        <v>230</v>
      </c>
      <c r="AN255" s="9" t="n">
        <f aca="false">IFERROR(((AN215+(0.5*(AN194+AN207)))/AN121),0)</f>
        <v>0</v>
      </c>
      <c r="AO255" s="9" t="n">
        <f aca="false">IFERROR(((AO215+(0.5*(AO194+AO207)))/AO121),0)</f>
        <v>469243.216049383</v>
      </c>
      <c r="AP255" s="9" t="n">
        <f aca="false">IFERROR(((AP215+(0.5*(AP194+AP207)))/AP121),0)</f>
        <v>104639.330307615</v>
      </c>
    </row>
    <row r="256" customFormat="false" ht="15" hidden="false" customHeight="false" outlineLevel="0" collapsed="false">
      <c r="A256" s="0" t="s">
        <v>81</v>
      </c>
      <c r="B256" s="0" t="s">
        <v>230</v>
      </c>
      <c r="AN256" s="9" t="n">
        <f aca="false">IFERROR(((AN215+(0.5*(AN194+AN207)))/AN120),0)</f>
        <v>0</v>
      </c>
      <c r="AO256" s="9" t="n">
        <f aca="false">IFERROR(((AO215+(0.5*(AO194+AO207)))/AO120),0)</f>
        <v>168927.557777778</v>
      </c>
      <c r="AP256" s="9" t="n">
        <f aca="false">IFERROR(((AP215+(0.5*(AP194+AP207)))/AP120),0)</f>
        <v>47159.0436363636</v>
      </c>
    </row>
    <row r="257" customFormat="false" ht="15" hidden="false" customHeight="false" outlineLevel="0" collapsed="false">
      <c r="A257" s="0" t="s">
        <v>82</v>
      </c>
      <c r="B257" s="0" t="s">
        <v>193</v>
      </c>
      <c r="AN257" s="12" t="n">
        <f aca="false">((1-((1-Assumptions!$C$30)*$C$6))*(1+Assumptions!$C$31))</f>
        <v>0.968</v>
      </c>
      <c r="AO257" s="12" t="n">
        <f aca="false">((1-((1-Assumptions!$C$30)*$C$6))*(1+Assumptions!$C$31))</f>
        <v>0.968</v>
      </c>
      <c r="AP257" s="12" t="n">
        <f aca="false">((1-((1-Assumptions!$C$30)*$C$6))*(1+Assumptions!$C$31))</f>
        <v>0.968</v>
      </c>
    </row>
    <row r="258" customFormat="false" ht="15" hidden="false" customHeight="false" outlineLevel="0" collapsed="false">
      <c r="A258" s="0" t="s">
        <v>83</v>
      </c>
      <c r="B258" s="0" t="s">
        <v>193</v>
      </c>
      <c r="AN258" s="12" t="n">
        <f aca="false">(1-((1-Assumptions!$C$30)*$C$6))</f>
        <v>0.88</v>
      </c>
      <c r="AO258" s="12" t="n">
        <f aca="false">(1-((1-Assumptions!$C$30)*$C$6))</f>
        <v>0.88</v>
      </c>
      <c r="AP258" s="12" t="n">
        <f aca="false">(1-((1-Assumptions!$C$30)*$C$6))</f>
        <v>0.88</v>
      </c>
    </row>
    <row r="259" customFormat="false" ht="15" hidden="false" customHeight="false" outlineLevel="0" collapsed="false">
      <c r="A259" s="0" t="s">
        <v>84</v>
      </c>
      <c r="B259" s="0" t="s">
        <v>852</v>
      </c>
      <c r="AN259" s="13" t="n">
        <f aca="false">AN122</f>
        <v>0</v>
      </c>
      <c r="AO259" s="13" t="n">
        <f aca="false">AO122</f>
        <v>1.08</v>
      </c>
      <c r="AP259" s="13" t="n">
        <f aca="false">AP122</f>
        <v>10.8654</v>
      </c>
    </row>
    <row r="260" customFormat="false" ht="15" hidden="false" customHeight="false" outlineLevel="0" collapsed="false">
      <c r="A260" s="0" t="s">
        <v>85</v>
      </c>
      <c r="B260" s="0" t="s">
        <v>500</v>
      </c>
      <c r="AN260" s="9" t="n">
        <f aca="false">AN39</f>
        <v>0</v>
      </c>
      <c r="AO260" s="9" t="n">
        <f aca="false">AO39</f>
        <v>256.966398049017</v>
      </c>
      <c r="AP260" s="9" t="n">
        <f aca="false">AP39</f>
        <v>719.967198361525</v>
      </c>
    </row>
    <row r="261" customFormat="false" ht="15" hidden="false" customHeight="false" outlineLevel="0" collapsed="false">
      <c r="A261" s="0" t="s">
        <v>86</v>
      </c>
      <c r="B261" s="0" t="s">
        <v>500</v>
      </c>
      <c r="AN261" s="9" t="n">
        <f aca="false">AN157</f>
        <v>2681.21574138794</v>
      </c>
      <c r="AO261" s="9" t="n">
        <f aca="false">AO157</f>
        <v>19732.2146141107</v>
      </c>
      <c r="AP261" s="9" t="n">
        <f aca="false">AP157</f>
        <v>48573.3859028581</v>
      </c>
    </row>
    <row r="262" customFormat="false" ht="15" hidden="false" customHeight="false" outlineLevel="0" collapsed="false">
      <c r="A262" s="0" t="s">
        <v>87</v>
      </c>
      <c r="B262" s="0" t="s">
        <v>230</v>
      </c>
      <c r="AN262" s="14" t="n">
        <f aca="false">IFERROR(((AN167/12)/((AN157*0.5)+(0*0.5))),0)</f>
        <v>1.70174802873146</v>
      </c>
      <c r="AO262" s="14" t="n">
        <f aca="false">IFERROR(((AO167/12)/((AO157*0.5)+(AN157*0.5))),0)</f>
        <v>0.44812975517239</v>
      </c>
      <c r="AP262" s="14" t="n">
        <f aca="false">IFERROR(((AP167/12)/((AP157*0.5)+(AO157*0.5))),0)</f>
        <v>0.328622643222343</v>
      </c>
    </row>
    <row r="263" customFormat="false" ht="15" hidden="false" customHeight="false" outlineLevel="0" collapsed="false">
      <c r="A263" s="0" t="s">
        <v>88</v>
      </c>
      <c r="B263" s="0" t="s">
        <v>193</v>
      </c>
      <c r="AN263" s="12" t="n">
        <f aca="false">IFERROR((AN167/AN146),0)</f>
        <v>0</v>
      </c>
      <c r="AO263" s="12" t="n">
        <f aca="false">IFERROR((AO167/AO146),0)</f>
        <v>0.361205700100988</v>
      </c>
      <c r="AP263" s="12" t="n">
        <f aca="false">IFERROR((AP167/AP146),0)</f>
        <v>0.107265714289653</v>
      </c>
    </row>
    <row r="264" customFormat="false" ht="15" hidden="false" customHeight="false" outlineLevel="0" collapsed="false">
      <c r="A264" s="0" t="s">
        <v>89</v>
      </c>
      <c r="B264" s="0" t="s">
        <v>618</v>
      </c>
      <c r="AN264" s="13" t="n">
        <f aca="false">AN196</f>
        <v>16.4</v>
      </c>
      <c r="AO264" s="13" t="n">
        <f aca="false">AO196</f>
        <v>28.4</v>
      </c>
      <c r="AP264" s="13" t="n">
        <f aca="false">AP196</f>
        <v>38.4</v>
      </c>
    </row>
    <row r="265" customFormat="false" ht="15" hidden="false" customHeight="false" outlineLevel="0" collapsed="false">
      <c r="A265" s="0" t="s">
        <v>90</v>
      </c>
      <c r="B265" s="0" t="s">
        <v>230</v>
      </c>
      <c r="AN265" s="9" t="n">
        <f aca="false">IFERROR((AN148/AN196),0)</f>
        <v>0</v>
      </c>
      <c r="AO265" s="9" t="n">
        <f aca="false">IFERROR((AO148/AO196),0)</f>
        <v>2717.46762490353</v>
      </c>
      <c r="AP265" s="9" t="n">
        <f aca="false">IFERROR((AP148/AP196),0)</f>
        <v>18963.9117359334</v>
      </c>
    </row>
    <row r="266" customFormat="false" ht="15" hidden="false" customHeight="false" outlineLevel="0" collapsed="false">
      <c r="A266" s="0" t="s">
        <v>91</v>
      </c>
      <c r="B266" s="0" t="s">
        <v>193</v>
      </c>
      <c r="AN266" s="12" t="n">
        <f aca="false">IFERROR((AN40/AN188),0)</f>
        <v>0</v>
      </c>
      <c r="AO266" s="12" t="n">
        <f aca="false">IFERROR((AO40/AO188),0)</f>
        <v>0.0258846896897066</v>
      </c>
      <c r="AP266" s="12" t="n">
        <f aca="false">IFERROR((AP40/AP188),0)</f>
        <v>0.0351852873588045</v>
      </c>
    </row>
    <row r="267" customFormat="false" ht="15" hidden="false" customHeight="false" outlineLevel="0" collapsed="false">
      <c r="A267" s="0" t="s">
        <v>92</v>
      </c>
      <c r="B267" s="0" t="s">
        <v>230</v>
      </c>
      <c r="AN267" s="13" t="n">
        <f aca="false">IFERROR(((((AN42/12)/((AN39*0.5)+(0*0.5)))*((AN42-AN187)/AN42))/(AN40/AN188)),0)</f>
        <v>0</v>
      </c>
      <c r="AO267" s="13" t="n">
        <f aca="false">IFERROR(((((AO42/12)/((AO39*0.5)+(AN39*0.5)))*((AO42-AO187)/AO42))/(AO40/AO188)),0)</f>
        <v>136.362056405799</v>
      </c>
      <c r="AP267" s="13" t="n">
        <f aca="false">IFERROR(((((AP42/12)/((AP39*0.5)+(AO39*0.5)))*((AP42-AP187)/AP42))/(AP40/AP188)),0)</f>
        <v>124.586093811234</v>
      </c>
    </row>
    <row r="268" customFormat="false" ht="15" hidden="false" customHeight="false" outlineLevel="0" collapsed="false">
      <c r="A268" s="0" t="s">
        <v>93</v>
      </c>
      <c r="B268" s="0" t="s">
        <v>160</v>
      </c>
      <c r="AN268" s="14" t="n">
        <f aca="false">IFERROR((((((AN42/12)/((AN39*0.5)+(0*0.5)))*((AN42-AN187)/AN42))/(AN40/AN188))/(((AN206+(0.5*(AN194+AN207)))+AN186)/AN28)),0)</f>
        <v>0</v>
      </c>
      <c r="AO268" s="14" t="n">
        <f aca="false">IFERROR((((((AO42/12)/((AO39*0.5)+(AN39*0.5)))*((AO42-AO187)/AO42))/(AO40/AO188))/(((AO206+(0.5*(AO194+AO207)))+AO186)/AO28)),0)</f>
        <v>0.146246627602913</v>
      </c>
      <c r="AP268" s="14" t="n">
        <f aca="false">IFERROR((((((AP42/12)/((AP39*0.5)+(AO39*0.5)))*((AP42-AP187)/AP42))/(AP40/AP188))/(((AP206+(0.5*(AP194+AP207)))+AP186)/AP28)),0)</f>
        <v>0.200170058583555</v>
      </c>
    </row>
    <row r="269" customFormat="false" ht="15" hidden="false" customHeight="false" outlineLevel="0" collapsed="false">
      <c r="A269" s="0" t="s">
        <v>94</v>
      </c>
      <c r="B269" s="0" t="s">
        <v>230</v>
      </c>
      <c r="AN269" s="9" t="n">
        <f aca="false">AN186</f>
        <v>3481.4412051703</v>
      </c>
      <c r="AO269" s="9" t="n">
        <f aca="false">AO186</f>
        <v>36765.9756966124</v>
      </c>
      <c r="AP269" s="9" t="n">
        <f aca="false">AP186</f>
        <v>78480.6244616909</v>
      </c>
    </row>
    <row r="270" customFormat="false" ht="15" hidden="false" customHeight="false" outlineLevel="0" collapsed="false">
      <c r="A270" s="0" t="s">
        <v>95</v>
      </c>
      <c r="B270" s="0" t="s">
        <v>193</v>
      </c>
      <c r="AN270" s="12" t="n">
        <f aca="false">IFERROR((AN186/AN42),0)</f>
        <v>0</v>
      </c>
      <c r="AO270" s="12" t="n">
        <f aca="false">IFERROR((AO186/AO42),0)</f>
        <v>5.03278230484376</v>
      </c>
      <c r="AP270" s="12" t="n">
        <f aca="false">IFERROR((AP186/AP42),0)</f>
        <v>2.34194047036863</v>
      </c>
    </row>
    <row r="271" customFormat="false" ht="15" hidden="false" customHeight="false" outlineLevel="0" collapsed="false">
      <c r="A271" s="0" t="s">
        <v>96</v>
      </c>
      <c r="B271" s="0" t="s">
        <v>193</v>
      </c>
      <c r="AN271" s="12" t="n">
        <f aca="false">IFERROR((AN39/(AN39+AN29)),0)</f>
        <v>0</v>
      </c>
      <c r="AO271" s="12" t="n">
        <f aca="false">IFERROR((AO39/(AO39+AO29)),0)</f>
        <v>0.0153291838089761</v>
      </c>
      <c r="AP271" s="12" t="n">
        <f aca="false">IFERROR((AP39/(AP39+AP29)),0)</f>
        <v>0.0257059845779436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3" topLeftCell="C24" activePane="bottomRight" state="frozen"/>
      <selection pane="topLeft" activeCell="A1" activeCellId="0" sqref="A1"/>
      <selection pane="topRight" activeCell="C1" activeCellId="0" sqref="C1"/>
      <selection pane="bottomLeft" activeCell="A24" activeCellId="0" sqref="A2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9"/>
    <col collapsed="false" customWidth="true" hidden="false" outlineLevel="0" max="38" min="3" style="0" width="11"/>
    <col collapsed="false" customWidth="true" hidden="false" outlineLevel="0" max="39" min="39" style="0" width="3"/>
    <col collapsed="false" customWidth="true" hidden="false" outlineLevel="0" max="42" min="40" style="0" width="14"/>
  </cols>
  <sheetData>
    <row r="1" customFormat="false" ht="16.15" hidden="false" customHeight="false" outlineLevel="0" collapsed="false">
      <c r="A1" s="18" t="s">
        <v>1027</v>
      </c>
    </row>
    <row r="2" customFormat="false" ht="15" hidden="false" customHeight="false" outlineLevel="0" collapsed="false">
      <c r="A2" s="0" t="s">
        <v>781</v>
      </c>
    </row>
    <row r="3" customFormat="false" ht="15" hidden="false" customHeight="false" outlineLevel="0" collapsed="false">
      <c r="A3" s="15" t="s">
        <v>782</v>
      </c>
    </row>
    <row r="4" customFormat="false" ht="15" hidden="false" customHeight="false" outlineLevel="0" collapsed="false">
      <c r="A4" s="0" t="s">
        <v>159</v>
      </c>
      <c r="B4" s="0" t="s">
        <v>160</v>
      </c>
      <c r="C4" s="0" t="n">
        <f aca="false">Scenarios!J4</f>
        <v>1</v>
      </c>
    </row>
    <row r="5" customFormat="false" ht="15" hidden="false" customHeight="false" outlineLevel="0" collapsed="false">
      <c r="A5" s="0" t="s">
        <v>161</v>
      </c>
      <c r="B5" s="0" t="s">
        <v>160</v>
      </c>
      <c r="C5" s="0" t="n">
        <f aca="false">Scenarios!J5</f>
        <v>1</v>
      </c>
    </row>
    <row r="6" customFormat="false" ht="15" hidden="false" customHeight="false" outlineLevel="0" collapsed="false">
      <c r="A6" s="0" t="s">
        <v>162</v>
      </c>
      <c r="B6" s="0" t="s">
        <v>160</v>
      </c>
      <c r="C6" s="0" t="n">
        <f aca="false">Scenarios!J6</f>
        <v>1</v>
      </c>
    </row>
    <row r="7" customFormat="false" ht="15" hidden="false" customHeight="false" outlineLevel="0" collapsed="false">
      <c r="A7" s="0" t="s">
        <v>163</v>
      </c>
      <c r="B7" s="0" t="s">
        <v>160</v>
      </c>
      <c r="C7" s="0" t="n">
        <f aca="false">Scenarios!J7</f>
        <v>1</v>
      </c>
    </row>
    <row r="8" customFormat="false" ht="15" hidden="false" customHeight="false" outlineLevel="0" collapsed="false">
      <c r="A8" s="0" t="s">
        <v>164</v>
      </c>
      <c r="B8" s="0" t="s">
        <v>160</v>
      </c>
      <c r="C8" s="0" t="n">
        <f aca="false">Scenarios!J8</f>
        <v>1</v>
      </c>
    </row>
    <row r="9" customFormat="false" ht="15" hidden="false" customHeight="false" outlineLevel="0" collapsed="false">
      <c r="A9" s="0" t="s">
        <v>165</v>
      </c>
      <c r="B9" s="0" t="s">
        <v>166</v>
      </c>
      <c r="C9" s="0" t="n">
        <f aca="false">Scenarios!J9</f>
        <v>0</v>
      </c>
    </row>
    <row r="10" customFormat="false" ht="15" hidden="false" customHeight="false" outlineLevel="0" collapsed="false">
      <c r="A10" s="0" t="s">
        <v>168</v>
      </c>
      <c r="B10" s="0" t="s">
        <v>160</v>
      </c>
      <c r="C10" s="0" t="n">
        <f aca="false">Scenarios!J10</f>
        <v>1</v>
      </c>
    </row>
    <row r="11" customFormat="false" ht="15" hidden="false" customHeight="false" outlineLevel="0" collapsed="false">
      <c r="A11" s="0" t="s">
        <v>169</v>
      </c>
      <c r="B11" s="0" t="s">
        <v>160</v>
      </c>
      <c r="C11" s="0" t="n">
        <f aca="false">Scenarios!J11</f>
        <v>1</v>
      </c>
    </row>
    <row r="12" customFormat="false" ht="15" hidden="false" customHeight="false" outlineLevel="0" collapsed="false">
      <c r="A12" s="0" t="s">
        <v>170</v>
      </c>
      <c r="B12" s="0" t="s">
        <v>160</v>
      </c>
      <c r="C12" s="0" t="n">
        <f aca="false">Scenarios!J12</f>
        <v>1</v>
      </c>
    </row>
    <row r="13" customFormat="false" ht="15" hidden="false" customHeight="false" outlineLevel="0" collapsed="false">
      <c r="A13" s="0" t="s">
        <v>171</v>
      </c>
      <c r="B13" s="0" t="s">
        <v>160</v>
      </c>
      <c r="C13" s="0" t="n">
        <f aca="false">Scenarios!J13</f>
        <v>1</v>
      </c>
    </row>
    <row r="14" customFormat="false" ht="15" hidden="false" customHeight="false" outlineLevel="0" collapsed="false">
      <c r="A14" s="0" t="s">
        <v>172</v>
      </c>
      <c r="B14" s="0" t="s">
        <v>173</v>
      </c>
      <c r="C14" s="0" t="n">
        <f aca="false">Scenarios!J14</f>
        <v>0</v>
      </c>
    </row>
    <row r="15" customFormat="false" ht="15" hidden="false" customHeight="false" outlineLevel="0" collapsed="false">
      <c r="A15" s="0" t="s">
        <v>174</v>
      </c>
      <c r="B15" s="0" t="s">
        <v>166</v>
      </c>
      <c r="C15" s="0" t="n">
        <f aca="false">Scenarios!J15</f>
        <v>0</v>
      </c>
    </row>
    <row r="16" customFormat="false" ht="15" hidden="false" customHeight="false" outlineLevel="0" collapsed="false">
      <c r="A16" s="0" t="s">
        <v>176</v>
      </c>
      <c r="B16" s="0" t="s">
        <v>173</v>
      </c>
      <c r="C16" s="0" t="n">
        <f aca="false">Scenarios!J16</f>
        <v>1</v>
      </c>
    </row>
    <row r="18" customFormat="false" ht="15" hidden="false" customHeight="false" outlineLevel="0" collapsed="false">
      <c r="A18" s="8" t="s">
        <v>98</v>
      </c>
      <c r="B18" s="8"/>
      <c r="C18" s="8" t="n">
        <v>1</v>
      </c>
      <c r="D18" s="8" t="n">
        <v>2</v>
      </c>
      <c r="E18" s="8" t="n">
        <v>3</v>
      </c>
      <c r="F18" s="8" t="n">
        <v>4</v>
      </c>
      <c r="G18" s="8" t="n">
        <v>5</v>
      </c>
      <c r="H18" s="8" t="n">
        <v>6</v>
      </c>
      <c r="I18" s="8" t="n">
        <v>7</v>
      </c>
      <c r="J18" s="8" t="n">
        <v>8</v>
      </c>
      <c r="K18" s="8" t="n">
        <v>9</v>
      </c>
      <c r="L18" s="8" t="n">
        <v>10</v>
      </c>
      <c r="M18" s="8" t="n">
        <v>11</v>
      </c>
      <c r="N18" s="8" t="n">
        <v>12</v>
      </c>
      <c r="O18" s="8" t="n">
        <v>13</v>
      </c>
      <c r="P18" s="8" t="n">
        <v>14</v>
      </c>
      <c r="Q18" s="8" t="n">
        <v>15</v>
      </c>
      <c r="R18" s="8" t="n">
        <v>16</v>
      </c>
      <c r="S18" s="8" t="n">
        <v>17</v>
      </c>
      <c r="T18" s="8" t="n">
        <v>18</v>
      </c>
      <c r="U18" s="8" t="n">
        <v>19</v>
      </c>
      <c r="V18" s="8" t="n">
        <v>20</v>
      </c>
      <c r="W18" s="8" t="n">
        <v>21</v>
      </c>
      <c r="X18" s="8" t="n">
        <v>22</v>
      </c>
      <c r="Y18" s="8" t="n">
        <v>23</v>
      </c>
      <c r="Z18" s="8" t="n">
        <v>24</v>
      </c>
      <c r="AA18" s="8" t="n">
        <v>25</v>
      </c>
      <c r="AB18" s="8" t="n">
        <v>26</v>
      </c>
      <c r="AC18" s="8" t="n">
        <v>27</v>
      </c>
      <c r="AD18" s="8" t="n">
        <v>28</v>
      </c>
      <c r="AE18" s="8" t="n">
        <v>29</v>
      </c>
      <c r="AF18" s="8" t="n">
        <v>30</v>
      </c>
      <c r="AG18" s="8" t="n">
        <v>31</v>
      </c>
      <c r="AH18" s="8" t="n">
        <v>32</v>
      </c>
      <c r="AI18" s="8" t="n">
        <v>33</v>
      </c>
      <c r="AJ18" s="8" t="n">
        <v>34</v>
      </c>
      <c r="AK18" s="8" t="n">
        <v>35</v>
      </c>
      <c r="AL18" s="8" t="n">
        <v>36</v>
      </c>
      <c r="AM18" s="8"/>
      <c r="AN18" s="8" t="s">
        <v>783</v>
      </c>
      <c r="AO18" s="8" t="s">
        <v>784</v>
      </c>
      <c r="AP18" s="8" t="s">
        <v>785</v>
      </c>
    </row>
    <row r="19" customFormat="false" ht="15" hidden="false" customHeight="false" outlineLevel="0" collapsed="false">
      <c r="A19" s="0" t="s">
        <v>786</v>
      </c>
      <c r="C19" s="0" t="s">
        <v>787</v>
      </c>
      <c r="D19" s="0" t="s">
        <v>788</v>
      </c>
      <c r="E19" s="0" t="s">
        <v>789</v>
      </c>
      <c r="F19" s="0" t="s">
        <v>790</v>
      </c>
      <c r="G19" s="0" t="s">
        <v>791</v>
      </c>
      <c r="H19" s="0" t="s">
        <v>792</v>
      </c>
      <c r="I19" s="0" t="s">
        <v>793</v>
      </c>
      <c r="J19" s="0" t="s">
        <v>794</v>
      </c>
      <c r="K19" s="0" t="s">
        <v>795</v>
      </c>
      <c r="L19" s="0" t="s">
        <v>796</v>
      </c>
      <c r="M19" s="0" t="s">
        <v>797</v>
      </c>
      <c r="N19" s="0" t="s">
        <v>798</v>
      </c>
      <c r="O19" s="0" t="s">
        <v>799</v>
      </c>
      <c r="P19" s="0" t="s">
        <v>800</v>
      </c>
      <c r="Q19" s="0" t="s">
        <v>801</v>
      </c>
      <c r="R19" s="0" t="s">
        <v>802</v>
      </c>
      <c r="S19" s="0" t="s">
        <v>803</v>
      </c>
      <c r="T19" s="0" t="s">
        <v>804</v>
      </c>
      <c r="U19" s="0" t="s">
        <v>805</v>
      </c>
      <c r="V19" s="0" t="s">
        <v>806</v>
      </c>
      <c r="W19" s="0" t="s">
        <v>807</v>
      </c>
      <c r="X19" s="0" t="s">
        <v>808</v>
      </c>
      <c r="Y19" s="0" t="s">
        <v>809</v>
      </c>
      <c r="Z19" s="0" t="s">
        <v>810</v>
      </c>
      <c r="AA19" s="0" t="s">
        <v>811</v>
      </c>
      <c r="AB19" s="0" t="s">
        <v>812</v>
      </c>
      <c r="AC19" s="0" t="s">
        <v>813</v>
      </c>
      <c r="AD19" s="0" t="s">
        <v>814</v>
      </c>
      <c r="AE19" s="0" t="s">
        <v>815</v>
      </c>
      <c r="AF19" s="0" t="s">
        <v>816</v>
      </c>
      <c r="AG19" s="0" t="s">
        <v>817</v>
      </c>
      <c r="AH19" s="0" t="s">
        <v>818</v>
      </c>
      <c r="AI19" s="0" t="s">
        <v>819</v>
      </c>
      <c r="AJ19" s="0" t="s">
        <v>820</v>
      </c>
      <c r="AK19" s="0" t="s">
        <v>821</v>
      </c>
      <c r="AL19" s="0" t="s">
        <v>822</v>
      </c>
      <c r="AN19" s="0" t="s">
        <v>823</v>
      </c>
      <c r="AO19" s="0" t="s">
        <v>824</v>
      </c>
      <c r="AP19" s="0" t="s">
        <v>825</v>
      </c>
    </row>
    <row r="20" customFormat="false" ht="15" hidden="false" customHeight="false" outlineLevel="0" collapsed="false">
      <c r="A20" s="0" t="s">
        <v>826</v>
      </c>
      <c r="C20" s="0" t="n">
        <f aca="false">INT((C18-1)/12)+1</f>
        <v>1</v>
      </c>
      <c r="D20" s="0" t="n">
        <f aca="false">INT((D18-1)/12)+1</f>
        <v>1</v>
      </c>
      <c r="E20" s="0" t="n">
        <f aca="false">INT((E18-1)/12)+1</f>
        <v>1</v>
      </c>
      <c r="F20" s="0" t="n">
        <f aca="false">INT((F18-1)/12)+1</f>
        <v>1</v>
      </c>
      <c r="G20" s="0" t="n">
        <f aca="false">INT((G18-1)/12)+1</f>
        <v>1</v>
      </c>
      <c r="H20" s="0" t="n">
        <f aca="false">INT((H18-1)/12)+1</f>
        <v>1</v>
      </c>
      <c r="I20" s="0" t="n">
        <f aca="false">INT((I18-1)/12)+1</f>
        <v>1</v>
      </c>
      <c r="J20" s="0" t="n">
        <f aca="false">INT((J18-1)/12)+1</f>
        <v>1</v>
      </c>
      <c r="K20" s="0" t="n">
        <f aca="false">INT((K18-1)/12)+1</f>
        <v>1</v>
      </c>
      <c r="L20" s="0" t="n">
        <f aca="false">INT((L18-1)/12)+1</f>
        <v>1</v>
      </c>
      <c r="M20" s="0" t="n">
        <f aca="false">INT((M18-1)/12)+1</f>
        <v>1</v>
      </c>
      <c r="N20" s="0" t="n">
        <f aca="false">INT((N18-1)/12)+1</f>
        <v>1</v>
      </c>
      <c r="O20" s="0" t="n">
        <f aca="false">INT((O18-1)/12)+1</f>
        <v>2</v>
      </c>
      <c r="P20" s="0" t="n">
        <f aca="false">INT((P18-1)/12)+1</f>
        <v>2</v>
      </c>
      <c r="Q20" s="0" t="n">
        <f aca="false">INT((Q18-1)/12)+1</f>
        <v>2</v>
      </c>
      <c r="R20" s="0" t="n">
        <f aca="false">INT((R18-1)/12)+1</f>
        <v>2</v>
      </c>
      <c r="S20" s="0" t="n">
        <f aca="false">INT((S18-1)/12)+1</f>
        <v>2</v>
      </c>
      <c r="T20" s="0" t="n">
        <f aca="false">INT((T18-1)/12)+1</f>
        <v>2</v>
      </c>
      <c r="U20" s="0" t="n">
        <f aca="false">INT((U18-1)/12)+1</f>
        <v>2</v>
      </c>
      <c r="V20" s="0" t="n">
        <f aca="false">INT((V18-1)/12)+1</f>
        <v>2</v>
      </c>
      <c r="W20" s="0" t="n">
        <f aca="false">INT((W18-1)/12)+1</f>
        <v>2</v>
      </c>
      <c r="X20" s="0" t="n">
        <f aca="false">INT((X18-1)/12)+1</f>
        <v>2</v>
      </c>
      <c r="Y20" s="0" t="n">
        <f aca="false">INT((Y18-1)/12)+1</f>
        <v>2</v>
      </c>
      <c r="Z20" s="0" t="n">
        <f aca="false">INT((Z18-1)/12)+1</f>
        <v>2</v>
      </c>
      <c r="AA20" s="0" t="n">
        <f aca="false">INT((AA18-1)/12)+1</f>
        <v>3</v>
      </c>
      <c r="AB20" s="0" t="n">
        <f aca="false">INT((AB18-1)/12)+1</f>
        <v>3</v>
      </c>
      <c r="AC20" s="0" t="n">
        <f aca="false">INT((AC18-1)/12)+1</f>
        <v>3</v>
      </c>
      <c r="AD20" s="0" t="n">
        <f aca="false">INT((AD18-1)/12)+1</f>
        <v>3</v>
      </c>
      <c r="AE20" s="0" t="n">
        <f aca="false">INT((AE18-1)/12)+1</f>
        <v>3</v>
      </c>
      <c r="AF20" s="0" t="n">
        <f aca="false">INT((AF18-1)/12)+1</f>
        <v>3</v>
      </c>
      <c r="AG20" s="0" t="n">
        <f aca="false">INT((AG18-1)/12)+1</f>
        <v>3</v>
      </c>
      <c r="AH20" s="0" t="n">
        <f aca="false">INT((AH18-1)/12)+1</f>
        <v>3</v>
      </c>
      <c r="AI20" s="0" t="n">
        <f aca="false">INT((AI18-1)/12)+1</f>
        <v>3</v>
      </c>
      <c r="AJ20" s="0" t="n">
        <f aca="false">INT((AJ18-1)/12)+1</f>
        <v>3</v>
      </c>
      <c r="AK20" s="0" t="n">
        <f aca="false">INT((AK18-1)/12)+1</f>
        <v>3</v>
      </c>
      <c r="AL20" s="0" t="n">
        <f aca="false">INT((AL18-1)/12)+1</f>
        <v>3</v>
      </c>
    </row>
    <row r="21" customFormat="false" ht="15" hidden="false" customHeight="false" outlineLevel="0" collapsed="false">
      <c r="A21" s="0" t="s">
        <v>827</v>
      </c>
      <c r="C21" s="0" t="n">
        <f aca="false">MOD(C18-1,12)+1</f>
        <v>1</v>
      </c>
      <c r="D21" s="0" t="n">
        <f aca="false">MOD(D18-1,12)+1</f>
        <v>2</v>
      </c>
      <c r="E21" s="0" t="n">
        <f aca="false">MOD(E18-1,12)+1</f>
        <v>3</v>
      </c>
      <c r="F21" s="0" t="n">
        <f aca="false">MOD(F18-1,12)+1</f>
        <v>4</v>
      </c>
      <c r="G21" s="0" t="n">
        <f aca="false">MOD(G18-1,12)+1</f>
        <v>5</v>
      </c>
      <c r="H21" s="0" t="n">
        <f aca="false">MOD(H18-1,12)+1</f>
        <v>6</v>
      </c>
      <c r="I21" s="0" t="n">
        <f aca="false">MOD(I18-1,12)+1</f>
        <v>7</v>
      </c>
      <c r="J21" s="0" t="n">
        <f aca="false">MOD(J18-1,12)+1</f>
        <v>8</v>
      </c>
      <c r="K21" s="0" t="n">
        <f aca="false">MOD(K18-1,12)+1</f>
        <v>9</v>
      </c>
      <c r="L21" s="0" t="n">
        <f aca="false">MOD(L18-1,12)+1</f>
        <v>10</v>
      </c>
      <c r="M21" s="0" t="n">
        <f aca="false">MOD(M18-1,12)+1</f>
        <v>11</v>
      </c>
      <c r="N21" s="0" t="n">
        <f aca="false">MOD(N18-1,12)+1</f>
        <v>12</v>
      </c>
      <c r="O21" s="0" t="n">
        <f aca="false">MOD(O18-1,12)+1</f>
        <v>1</v>
      </c>
      <c r="P21" s="0" t="n">
        <f aca="false">MOD(P18-1,12)+1</f>
        <v>2</v>
      </c>
      <c r="Q21" s="0" t="n">
        <f aca="false">MOD(Q18-1,12)+1</f>
        <v>3</v>
      </c>
      <c r="R21" s="0" t="n">
        <f aca="false">MOD(R18-1,12)+1</f>
        <v>4</v>
      </c>
      <c r="S21" s="0" t="n">
        <f aca="false">MOD(S18-1,12)+1</f>
        <v>5</v>
      </c>
      <c r="T21" s="0" t="n">
        <f aca="false">MOD(T18-1,12)+1</f>
        <v>6</v>
      </c>
      <c r="U21" s="0" t="n">
        <f aca="false">MOD(U18-1,12)+1</f>
        <v>7</v>
      </c>
      <c r="V21" s="0" t="n">
        <f aca="false">MOD(V18-1,12)+1</f>
        <v>8</v>
      </c>
      <c r="W21" s="0" t="n">
        <f aca="false">MOD(W18-1,12)+1</f>
        <v>9</v>
      </c>
      <c r="X21" s="0" t="n">
        <f aca="false">MOD(X18-1,12)+1</f>
        <v>10</v>
      </c>
      <c r="Y21" s="0" t="n">
        <f aca="false">MOD(Y18-1,12)+1</f>
        <v>11</v>
      </c>
      <c r="Z21" s="0" t="n">
        <f aca="false">MOD(Z18-1,12)+1</f>
        <v>12</v>
      </c>
      <c r="AA21" s="0" t="n">
        <f aca="false">MOD(AA18-1,12)+1</f>
        <v>1</v>
      </c>
      <c r="AB21" s="0" t="n">
        <f aca="false">MOD(AB18-1,12)+1</f>
        <v>2</v>
      </c>
      <c r="AC21" s="0" t="n">
        <f aca="false">MOD(AC18-1,12)+1</f>
        <v>3</v>
      </c>
      <c r="AD21" s="0" t="n">
        <f aca="false">MOD(AD18-1,12)+1</f>
        <v>4</v>
      </c>
      <c r="AE21" s="0" t="n">
        <f aca="false">MOD(AE18-1,12)+1</f>
        <v>5</v>
      </c>
      <c r="AF21" s="0" t="n">
        <f aca="false">MOD(AF18-1,12)+1</f>
        <v>6</v>
      </c>
      <c r="AG21" s="0" t="n">
        <f aca="false">MOD(AG18-1,12)+1</f>
        <v>7</v>
      </c>
      <c r="AH21" s="0" t="n">
        <f aca="false">MOD(AH18-1,12)+1</f>
        <v>8</v>
      </c>
      <c r="AI21" s="0" t="n">
        <f aca="false">MOD(AI18-1,12)+1</f>
        <v>9</v>
      </c>
      <c r="AJ21" s="0" t="n">
        <f aca="false">MOD(AJ18-1,12)+1</f>
        <v>10</v>
      </c>
      <c r="AK21" s="0" t="n">
        <f aca="false">MOD(AK18-1,12)+1</f>
        <v>11</v>
      </c>
      <c r="AL21" s="0" t="n">
        <f aca="false">MOD(AL18-1,12)+1</f>
        <v>12</v>
      </c>
    </row>
    <row r="23" customFormat="false" ht="15" hidden="false" customHeight="false" outlineLevel="0" collapsed="false">
      <c r="A23" s="21" t="s">
        <v>828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</row>
    <row r="24" customFormat="false" ht="15" hidden="false" customHeight="false" outlineLevel="0" collapsed="false">
      <c r="A24" s="0" t="s">
        <v>829</v>
      </c>
      <c r="B24" s="0" t="s">
        <v>500</v>
      </c>
      <c r="C24" s="9" t="n">
        <f aca="false">IF((C$18=1),Assumptions!$C$16,(0*(1+Assumptions!$C$133)))</f>
        <v>1200</v>
      </c>
      <c r="D24" s="9" t="n">
        <f aca="false">IF((D$18=1),Assumptions!$C$16,(C24*(1+Assumptions!$C$133)))</f>
        <v>1272</v>
      </c>
      <c r="E24" s="9" t="n">
        <f aca="false">IF((E$18=1),Assumptions!$C$16,(D24*(1+Assumptions!$C$133)))</f>
        <v>1348.32</v>
      </c>
      <c r="F24" s="9" t="n">
        <f aca="false">IF((F$18=1),Assumptions!$C$16,(E24*(1+Assumptions!$C$133)))</f>
        <v>1429.2192</v>
      </c>
      <c r="G24" s="9" t="n">
        <f aca="false">IF((G$18=1),Assumptions!$C$16,(F24*(1+Assumptions!$C$133)))</f>
        <v>1514.972352</v>
      </c>
      <c r="H24" s="9" t="n">
        <f aca="false">IF((H$18=1),Assumptions!$C$16,(G24*(1+Assumptions!$C$133)))</f>
        <v>1605.87069312</v>
      </c>
      <c r="I24" s="9" t="n">
        <f aca="false">IF((I$18=1),Assumptions!$C$16,(H24*(1+Assumptions!$C$133)))</f>
        <v>1702.2229347072</v>
      </c>
      <c r="J24" s="9" t="n">
        <f aca="false">IF((J$18=1),Assumptions!$C$16,(I24*(1+Assumptions!$C$133)))</f>
        <v>1804.35631078963</v>
      </c>
      <c r="K24" s="9" t="n">
        <f aca="false">IF((K$18=1),Assumptions!$C$16,(J24*(1+Assumptions!$C$133)))</f>
        <v>1912.61768943701</v>
      </c>
      <c r="L24" s="9" t="n">
        <f aca="false">IF((L$18=1),Assumptions!$C$16,(K24*(1+Assumptions!$C$133)))</f>
        <v>2027.37475080323</v>
      </c>
      <c r="M24" s="9" t="n">
        <f aca="false">IF((M$18=1),Assumptions!$C$16,(L24*(1+Assumptions!$C$133)))</f>
        <v>2149.01723585143</v>
      </c>
      <c r="N24" s="9" t="n">
        <f aca="false">IF((N$18=1),Assumptions!$C$16,(M24*(1+Assumptions!$C$133)))</f>
        <v>2277.95827000251</v>
      </c>
      <c r="O24" s="9" t="n">
        <f aca="false">IF((O$18=1),Assumptions!$C$16,(N24*(1+Assumptions!$D$133)))</f>
        <v>2369.07660080261</v>
      </c>
      <c r="P24" s="9" t="n">
        <f aca="false">IF((P$18=1),Assumptions!$C$16,(O24*(1+Assumptions!$D$133)))</f>
        <v>2463.83966483472</v>
      </c>
      <c r="Q24" s="9" t="n">
        <f aca="false">IF((Q$18=1),Assumptions!$C$16,(P24*(1+Assumptions!$D$133)))</f>
        <v>2562.39325142811</v>
      </c>
      <c r="R24" s="9" t="n">
        <f aca="false">IF((R$18=1),Assumptions!$C$16,(Q24*(1+Assumptions!$D$133)))</f>
        <v>2664.88898148523</v>
      </c>
      <c r="S24" s="9" t="n">
        <f aca="false">IF((S$18=1),Assumptions!$C$16,(R24*(1+Assumptions!$D$133)))</f>
        <v>2771.48454074464</v>
      </c>
      <c r="T24" s="9" t="n">
        <f aca="false">IF((T$18=1),Assumptions!$C$16,(S24*(1+Assumptions!$D$133)))</f>
        <v>2882.34392237442</v>
      </c>
      <c r="U24" s="9" t="n">
        <f aca="false">IF((U$18=1),Assumptions!$C$16,(T24*(1+Assumptions!$D$133)))</f>
        <v>2997.6376792694</v>
      </c>
      <c r="V24" s="9" t="n">
        <f aca="false">IF((V$18=1),Assumptions!$C$16,(U24*(1+Assumptions!$D$133)))</f>
        <v>3117.54318644018</v>
      </c>
      <c r="W24" s="9" t="n">
        <f aca="false">IF((W$18=1),Assumptions!$C$16,(V24*(1+Assumptions!$D$133)))</f>
        <v>3242.24491389778</v>
      </c>
      <c r="X24" s="9" t="n">
        <f aca="false">IF((X$18=1),Assumptions!$C$16,(W24*(1+Assumptions!$D$133)))</f>
        <v>3371.9347104537</v>
      </c>
      <c r="Y24" s="9" t="n">
        <f aca="false">IF((Y$18=1),Assumptions!$C$16,(X24*(1+Assumptions!$D$133)))</f>
        <v>3506.81209887184</v>
      </c>
      <c r="Z24" s="9" t="n">
        <f aca="false">IF((Z$18=1),Assumptions!$C$16,(Y24*(1+Assumptions!$D$133)))</f>
        <v>3647.08458282672</v>
      </c>
      <c r="AA24" s="9" t="n">
        <f aca="false">IF((AA$18=1),Assumptions!$C$16,(Z24*(1+Assumptions!$E$133)))</f>
        <v>3738.26169739739</v>
      </c>
      <c r="AB24" s="9" t="n">
        <f aca="false">IF((AB$18=1),Assumptions!$C$16,(AA24*(1+Assumptions!$E$133)))</f>
        <v>3831.71823983232</v>
      </c>
      <c r="AC24" s="9" t="n">
        <f aca="false">IF((AC$18=1),Assumptions!$C$16,(AB24*(1+Assumptions!$E$133)))</f>
        <v>3927.51119582813</v>
      </c>
      <c r="AD24" s="9" t="n">
        <f aca="false">IF((AD$18=1),Assumptions!$C$16,(AC24*(1+Assumptions!$E$133)))</f>
        <v>4025.69897572383</v>
      </c>
      <c r="AE24" s="9" t="n">
        <f aca="false">IF((AE$18=1),Assumptions!$C$16,(AD24*(1+Assumptions!$E$133)))</f>
        <v>4126.34145011693</v>
      </c>
      <c r="AF24" s="9" t="n">
        <f aca="false">IF((AF$18=1),Assumptions!$C$16,(AE24*(1+Assumptions!$E$133)))</f>
        <v>4229.49998636985</v>
      </c>
      <c r="AG24" s="9" t="n">
        <f aca="false">IF((AG$18=1),Assumptions!$C$16,(AF24*(1+Assumptions!$E$133)))</f>
        <v>4335.2374860291</v>
      </c>
      <c r="AH24" s="9" t="n">
        <f aca="false">IF((AH$18=1),Assumptions!$C$16,(AG24*(1+Assumptions!$E$133)))</f>
        <v>4443.61842317982</v>
      </c>
      <c r="AI24" s="9" t="n">
        <f aca="false">IF((AI$18=1),Assumptions!$C$16,(AH24*(1+Assumptions!$E$133)))</f>
        <v>4554.70888375932</v>
      </c>
      <c r="AJ24" s="9" t="n">
        <f aca="false">IF((AJ$18=1),Assumptions!$C$16,(AI24*(1+Assumptions!$E$133)))</f>
        <v>4668.5766058533</v>
      </c>
      <c r="AK24" s="9" t="n">
        <f aca="false">IF((AK$18=1),Assumptions!$C$16,(AJ24*(1+Assumptions!$E$133)))</f>
        <v>4785.29102099963</v>
      </c>
      <c r="AL24" s="9" t="n">
        <f aca="false">IF((AL$18=1),Assumptions!$C$16,(AK24*(1+Assumptions!$E$133)))</f>
        <v>4904.92329652462</v>
      </c>
    </row>
    <row r="25" customFormat="false" ht="15" hidden="false" customHeight="false" outlineLevel="0" collapsed="false">
      <c r="A25" s="0" t="s">
        <v>830</v>
      </c>
      <c r="B25" s="0" t="s">
        <v>500</v>
      </c>
      <c r="C25" s="9" t="n">
        <f aca="false">(((C24*INDEX(Assumptions!$C$167:$C$178,C$21))*$C$4)*IF((C$18&lt;Assumptions!$C$5),Assumptions!$C$6,1))</f>
        <v>390</v>
      </c>
      <c r="D25" s="9" t="n">
        <f aca="false">(((D24*INDEX(Assumptions!$C$167:$C$178,D$21))*$C$4)*IF((D$18&lt;Assumptions!$C$5),Assumptions!$C$6,1))</f>
        <v>349.8</v>
      </c>
      <c r="E25" s="9" t="n">
        <f aca="false">(((E24*INDEX(Assumptions!$C$167:$C$178,E$21))*$C$4)*IF((E$18&lt;Assumptions!$C$5),Assumptions!$C$6,1))</f>
        <v>303.372</v>
      </c>
      <c r="F25" s="9" t="n">
        <f aca="false">(((F24*INDEX(Assumptions!$C$167:$C$178,F$21))*$C$4)*IF((F$18&lt;Assumptions!$C$5),Assumptions!$C$6,1))</f>
        <v>285.84384</v>
      </c>
      <c r="G25" s="9" t="n">
        <f aca="false">(((G24*INDEX(Assumptions!$C$167:$C$178,G$21))*$C$4)*IF((G$18&lt;Assumptions!$C$5),Assumptions!$C$6,1))</f>
        <v>227.2458528</v>
      </c>
      <c r="H25" s="9" t="n">
        <f aca="false">(((H24*INDEX(Assumptions!$C$167:$C$178,H$21))*$C$4)*IF((H$18&lt;Assumptions!$C$5),Assumptions!$C$6,1))</f>
        <v>200.73383664</v>
      </c>
      <c r="I25" s="9" t="n">
        <f aca="false">(((I24*INDEX(Assumptions!$C$167:$C$178,I$21))*$C$4)*IF((I$18&lt;Assumptions!$C$5),Assumptions!$C$6,1))</f>
        <v>297.88901357376</v>
      </c>
      <c r="J25" s="9" t="n">
        <f aca="false">(((J24*INDEX(Assumptions!$C$167:$C$178,J$21))*$C$4)*IF((J$18&lt;Assumptions!$C$5),Assumptions!$C$6,1))</f>
        <v>721.742524315853</v>
      </c>
      <c r="K25" s="9" t="n">
        <f aca="false">(((K24*INDEX(Assumptions!$C$167:$C$178,K$21))*$C$4)*IF((K$18&lt;Assumptions!$C$5),Assumptions!$C$6,1))</f>
        <v>860.677960246655</v>
      </c>
      <c r="L25" s="9" t="n">
        <f aca="false">(((L24*INDEX(Assumptions!$C$167:$C$178,L$21))*$C$4)*IF((L$18&lt;Assumptions!$C$5),Assumptions!$C$6,1))</f>
        <v>557.528056470889</v>
      </c>
      <c r="M25" s="9" t="n">
        <f aca="false">(((M24*INDEX(Assumptions!$C$167:$C$178,M$21))*$C$4)*IF((M$18&lt;Assumptions!$C$5),Assumptions!$C$6,1))</f>
        <v>483.528878066571</v>
      </c>
      <c r="N25" s="9" t="n">
        <f aca="false">(((N24*INDEX(Assumptions!$C$167:$C$178,N$21))*$C$4)*IF((N$18&lt;Assumptions!$C$5),Assumptions!$C$6,1))</f>
        <v>398.642697250439</v>
      </c>
      <c r="O25" s="9" t="n">
        <f aca="false">(((O24*INDEX(Assumptions!$C$167:$C$178,O$21))*$C$4)*IF((O$18&lt;Assumptions!$C$5),Assumptions!$C$6,1))</f>
        <v>3079.7995810434</v>
      </c>
      <c r="P25" s="9" t="n">
        <f aca="false">(((P24*INDEX(Assumptions!$C$167:$C$178,P$21))*$C$4)*IF((P$18&lt;Assumptions!$C$5),Assumptions!$C$6,1))</f>
        <v>2710.22363131819</v>
      </c>
      <c r="Q25" s="9" t="n">
        <f aca="false">(((Q24*INDEX(Assumptions!$C$167:$C$178,Q$21))*$C$4)*IF((Q$18&lt;Assumptions!$C$5),Assumptions!$C$6,1))</f>
        <v>2306.1539262853</v>
      </c>
      <c r="R25" s="9" t="n">
        <f aca="false">(((R24*INDEX(Assumptions!$C$167:$C$178,R$21))*$C$4)*IF((R$18&lt;Assumptions!$C$5),Assumptions!$C$6,1))</f>
        <v>2131.91118518818</v>
      </c>
      <c r="S25" s="9" t="n">
        <f aca="false">(((S24*INDEX(Assumptions!$C$167:$C$178,S$21))*$C$4)*IF((S$18&lt;Assumptions!$C$5),Assumptions!$C$6,1))</f>
        <v>1662.89072444678</v>
      </c>
      <c r="T25" s="9" t="n">
        <f aca="false">(((T24*INDEX(Assumptions!$C$167:$C$178,T$21))*$C$4)*IF((T$18&lt;Assumptions!$C$5),Assumptions!$C$6,1))</f>
        <v>1441.17196118721</v>
      </c>
      <c r="U25" s="9" t="n">
        <f aca="false">(((U24*INDEX(Assumptions!$C$167:$C$178,U$21))*$C$4)*IF((U$18&lt;Assumptions!$C$5),Assumptions!$C$6,1))</f>
        <v>2098.34637548858</v>
      </c>
      <c r="V25" s="9" t="n">
        <f aca="false">(((V24*INDEX(Assumptions!$C$167:$C$178,V$21))*$C$4)*IF((V$18&lt;Assumptions!$C$5),Assumptions!$C$6,1))</f>
        <v>4988.06909830428</v>
      </c>
      <c r="W25" s="9" t="n">
        <f aca="false">(((W24*INDEX(Assumptions!$C$167:$C$178,W$21))*$C$4)*IF((W$18&lt;Assumptions!$C$5),Assumptions!$C$6,1))</f>
        <v>5836.04084501601</v>
      </c>
      <c r="X25" s="9" t="n">
        <f aca="false">(((X24*INDEX(Assumptions!$C$167:$C$178,X$21))*$C$4)*IF((X$18&lt;Assumptions!$C$5),Assumptions!$C$6,1))</f>
        <v>3709.12818149907</v>
      </c>
      <c r="Y25" s="9" t="n">
        <f aca="false">(((Y24*INDEX(Assumptions!$C$167:$C$178,Y$21))*$C$4)*IF((Y$18&lt;Assumptions!$C$5),Assumptions!$C$6,1))</f>
        <v>3156.13088898466</v>
      </c>
      <c r="Z25" s="9" t="n">
        <f aca="false">(((Z24*INDEX(Assumptions!$C$167:$C$178,Z$21))*$C$4)*IF((Z$18&lt;Assumptions!$C$5),Assumptions!$C$6,1))</f>
        <v>2552.9592079787</v>
      </c>
      <c r="AA25" s="9" t="n">
        <f aca="false">(((AA24*INDEX(Assumptions!$C$167:$C$178,AA$21))*$C$4)*IF((AA$18&lt;Assumptions!$C$5),Assumptions!$C$6,1))</f>
        <v>4859.7402066166</v>
      </c>
      <c r="AB25" s="9" t="n">
        <f aca="false">(((AB24*INDEX(Assumptions!$C$167:$C$178,AB$21))*$C$4)*IF((AB$18&lt;Assumptions!$C$5),Assumptions!$C$6,1))</f>
        <v>4214.89006381555</v>
      </c>
      <c r="AC25" s="9" t="n">
        <f aca="false">(((AC24*INDEX(Assumptions!$C$167:$C$178,AC$21))*$C$4)*IF((AC$18&lt;Assumptions!$C$5),Assumptions!$C$6,1))</f>
        <v>3534.76007624531</v>
      </c>
      <c r="AD25" s="9" t="n">
        <f aca="false">(((AD24*INDEX(Assumptions!$C$167:$C$178,AD$21))*$C$4)*IF((AD$18&lt;Assumptions!$C$5),Assumptions!$C$6,1))</f>
        <v>3220.55918057906</v>
      </c>
      <c r="AE25" s="9" t="n">
        <f aca="false">(((AE24*INDEX(Assumptions!$C$167:$C$178,AE$21))*$C$4)*IF((AE$18&lt;Assumptions!$C$5),Assumptions!$C$6,1))</f>
        <v>2475.80487007016</v>
      </c>
      <c r="AF25" s="9" t="n">
        <f aca="false">(((AF24*INDEX(Assumptions!$C$167:$C$178,AF$21))*$C$4)*IF((AF$18&lt;Assumptions!$C$5),Assumptions!$C$6,1))</f>
        <v>2114.74999318492</v>
      </c>
      <c r="AG25" s="9" t="n">
        <f aca="false">(((AG24*INDEX(Assumptions!$C$167:$C$178,AG$21))*$C$4)*IF((AG$18&lt;Assumptions!$C$5),Assumptions!$C$6,1))</f>
        <v>3034.66624022037</v>
      </c>
      <c r="AH25" s="9" t="n">
        <f aca="false">(((AH24*INDEX(Assumptions!$C$167:$C$178,AH$21))*$C$4)*IF((AH$18&lt;Assumptions!$C$5),Assumptions!$C$6,1))</f>
        <v>7109.78947708772</v>
      </c>
      <c r="AI25" s="9" t="n">
        <f aca="false">(((AI24*INDEX(Assumptions!$C$167:$C$178,AI$21))*$C$4)*IF((AI$18&lt;Assumptions!$C$5),Assumptions!$C$6,1))</f>
        <v>8198.47599076677</v>
      </c>
      <c r="AJ25" s="9" t="n">
        <f aca="false">(((AJ24*INDEX(Assumptions!$C$167:$C$178,AJ$21))*$C$4)*IF((AJ$18&lt;Assumptions!$C$5),Assumptions!$C$6,1))</f>
        <v>5135.43426643863</v>
      </c>
      <c r="AK25" s="9" t="n">
        <f aca="false">(((AK24*INDEX(Assumptions!$C$167:$C$178,AK$21))*$C$4)*IF((AK$18&lt;Assumptions!$C$5),Assumptions!$C$6,1))</f>
        <v>4306.76191889967</v>
      </c>
      <c r="AL25" s="9" t="n">
        <f aca="false">(((AL24*INDEX(Assumptions!$C$167:$C$178,AL$21))*$C$4)*IF((AL$18&lt;Assumptions!$C$5),Assumptions!$C$6,1))</f>
        <v>3433.44630756723</v>
      </c>
      <c r="AN25" s="11" t="n">
        <f aca="false">SUM(C25:N25)</f>
        <v>5077.00465936417</v>
      </c>
      <c r="AO25" s="11" t="n">
        <f aca="false">SUM(O25:Z25)</f>
        <v>35672.8256067404</v>
      </c>
      <c r="AP25" s="11" t="n">
        <f aca="false">SUM(AA25:AL25)</f>
        <v>51639.078591492</v>
      </c>
    </row>
    <row r="26" customFormat="false" ht="15" hidden="false" customHeight="false" outlineLevel="0" collapsed="false">
      <c r="A26" s="0" t="s">
        <v>831</v>
      </c>
      <c r="B26" s="0" t="s">
        <v>500</v>
      </c>
      <c r="C26" s="9" t="n">
        <f aca="false">IF((C$18&gt;=Assumptions!$C$5),(Assumptions!$C$134/(Assumptions!$C$17*$C$11)),0)</f>
        <v>0</v>
      </c>
      <c r="D26" s="9" t="n">
        <f aca="false">IF((D$18&gt;=Assumptions!$C$5),(Assumptions!$C$134/(Assumptions!$C$17*$C$11)),0)</f>
        <v>0</v>
      </c>
      <c r="E26" s="9" t="n">
        <f aca="false">IF((E$18&gt;=Assumptions!$C$5),(Assumptions!$C$134/(Assumptions!$C$17*$C$11)),0)</f>
        <v>0</v>
      </c>
      <c r="F26" s="9" t="n">
        <f aca="false">IF((F$18&gt;=Assumptions!$C$5),(Assumptions!$C$134/(Assumptions!$C$17*$C$11)),0)</f>
        <v>0</v>
      </c>
      <c r="G26" s="9" t="n">
        <f aca="false">IF((G$18&gt;=Assumptions!$C$5),(Assumptions!$C$134/(Assumptions!$C$17*$C$11)),0)</f>
        <v>0</v>
      </c>
      <c r="H26" s="9" t="n">
        <f aca="false">IF((H$18&gt;=Assumptions!$C$5),(Assumptions!$C$134/(Assumptions!$C$17*$C$11)),0)</f>
        <v>0</v>
      </c>
      <c r="I26" s="9" t="n">
        <f aca="false">IF((I$18&gt;=Assumptions!$C$5),(Assumptions!$C$134/(Assumptions!$C$17*$C$11)),0)</f>
        <v>0</v>
      </c>
      <c r="J26" s="9" t="n">
        <f aca="false">IF((J$18&gt;=Assumptions!$C$5),(Assumptions!$C$134/(Assumptions!$C$17*$C$11)),0)</f>
        <v>0</v>
      </c>
      <c r="K26" s="9" t="n">
        <f aca="false">IF((K$18&gt;=Assumptions!$C$5),(Assumptions!$C$134/(Assumptions!$C$17*$C$11)),0)</f>
        <v>0</v>
      </c>
      <c r="L26" s="9" t="n">
        <f aca="false">IF((L$18&gt;=Assumptions!$C$5),(Assumptions!$C$134/(Assumptions!$C$17*$C$11)),0)</f>
        <v>0</v>
      </c>
      <c r="M26" s="9" t="n">
        <f aca="false">IF((M$18&gt;=Assumptions!$C$5),(Assumptions!$C$134/(Assumptions!$C$17*$C$11)),0)</f>
        <v>0</v>
      </c>
      <c r="N26" s="9" t="n">
        <f aca="false">IF((N$18&gt;=Assumptions!$C$5),(Assumptions!$C$134/(Assumptions!$C$17*$C$11)),0)</f>
        <v>0</v>
      </c>
      <c r="O26" s="9" t="n">
        <f aca="false">IF((O$18&gt;=Assumptions!$C$5),(Assumptions!$D$134/(Assumptions!$C$17*$C$11)),0)</f>
        <v>1000</v>
      </c>
      <c r="P26" s="9" t="n">
        <f aca="false">IF((P$18&gt;=Assumptions!$C$5),(Assumptions!$D$134/(Assumptions!$C$17*$C$11)),0)</f>
        <v>1000</v>
      </c>
      <c r="Q26" s="9" t="n">
        <f aca="false">IF((Q$18&gt;=Assumptions!$C$5),(Assumptions!$D$134/(Assumptions!$C$17*$C$11)),0)</f>
        <v>1000</v>
      </c>
      <c r="R26" s="9" t="n">
        <f aca="false">IF((R$18&gt;=Assumptions!$C$5),(Assumptions!$D$134/(Assumptions!$C$17*$C$11)),0)</f>
        <v>1000</v>
      </c>
      <c r="S26" s="9" t="n">
        <f aca="false">IF((S$18&gt;=Assumptions!$C$5),(Assumptions!$D$134/(Assumptions!$C$17*$C$11)),0)</f>
        <v>1000</v>
      </c>
      <c r="T26" s="9" t="n">
        <f aca="false">IF((T$18&gt;=Assumptions!$C$5),(Assumptions!$D$134/(Assumptions!$C$17*$C$11)),0)</f>
        <v>1000</v>
      </c>
      <c r="U26" s="9" t="n">
        <f aca="false">IF((U$18&gt;=Assumptions!$C$5),(Assumptions!$D$134/(Assumptions!$C$17*$C$11)),0)</f>
        <v>1000</v>
      </c>
      <c r="V26" s="9" t="n">
        <f aca="false">IF((V$18&gt;=Assumptions!$C$5),(Assumptions!$D$134/(Assumptions!$C$17*$C$11)),0)</f>
        <v>1000</v>
      </c>
      <c r="W26" s="9" t="n">
        <f aca="false">IF((W$18&gt;=Assumptions!$C$5),(Assumptions!$D$134/(Assumptions!$C$17*$C$11)),0)</f>
        <v>1000</v>
      </c>
      <c r="X26" s="9" t="n">
        <f aca="false">IF((X$18&gt;=Assumptions!$C$5),(Assumptions!$D$134/(Assumptions!$C$17*$C$11)),0)</f>
        <v>1000</v>
      </c>
      <c r="Y26" s="9" t="n">
        <f aca="false">IF((Y$18&gt;=Assumptions!$C$5),(Assumptions!$D$134/(Assumptions!$C$17*$C$11)),0)</f>
        <v>1000</v>
      </c>
      <c r="Z26" s="9" t="n">
        <f aca="false">IF((Z$18&gt;=Assumptions!$C$5),(Assumptions!$D$134/(Assumptions!$C$17*$C$11)),0)</f>
        <v>1000</v>
      </c>
      <c r="AA26" s="9" t="n">
        <f aca="false">IF((AA$18&gt;=Assumptions!$C$5),(Assumptions!$E$134/(Assumptions!$C$17*$C$11)),0)</f>
        <v>1666.66666666667</v>
      </c>
      <c r="AB26" s="9" t="n">
        <f aca="false">IF((AB$18&gt;=Assumptions!$C$5),(Assumptions!$E$134/(Assumptions!$C$17*$C$11)),0)</f>
        <v>1666.66666666667</v>
      </c>
      <c r="AC26" s="9" t="n">
        <f aca="false">IF((AC$18&gt;=Assumptions!$C$5),(Assumptions!$E$134/(Assumptions!$C$17*$C$11)),0)</f>
        <v>1666.66666666667</v>
      </c>
      <c r="AD26" s="9" t="n">
        <f aca="false">IF((AD$18&gt;=Assumptions!$C$5),(Assumptions!$E$134/(Assumptions!$C$17*$C$11)),0)</f>
        <v>1666.66666666667</v>
      </c>
      <c r="AE26" s="9" t="n">
        <f aca="false">IF((AE$18&gt;=Assumptions!$C$5),(Assumptions!$E$134/(Assumptions!$C$17*$C$11)),0)</f>
        <v>1666.66666666667</v>
      </c>
      <c r="AF26" s="9" t="n">
        <f aca="false">IF((AF$18&gt;=Assumptions!$C$5),(Assumptions!$E$134/(Assumptions!$C$17*$C$11)),0)</f>
        <v>1666.66666666667</v>
      </c>
      <c r="AG26" s="9" t="n">
        <f aca="false">IF((AG$18&gt;=Assumptions!$C$5),(Assumptions!$E$134/(Assumptions!$C$17*$C$11)),0)</f>
        <v>1666.66666666667</v>
      </c>
      <c r="AH26" s="9" t="n">
        <f aca="false">IF((AH$18&gt;=Assumptions!$C$5),(Assumptions!$E$134/(Assumptions!$C$17*$C$11)),0)</f>
        <v>1666.66666666667</v>
      </c>
      <c r="AI26" s="9" t="n">
        <f aca="false">IF((AI$18&gt;=Assumptions!$C$5),(Assumptions!$E$134/(Assumptions!$C$17*$C$11)),0)</f>
        <v>1666.66666666667</v>
      </c>
      <c r="AJ26" s="9" t="n">
        <f aca="false">IF((AJ$18&gt;=Assumptions!$C$5),(Assumptions!$E$134/(Assumptions!$C$17*$C$11)),0)</f>
        <v>1666.66666666667</v>
      </c>
      <c r="AK26" s="9" t="n">
        <f aca="false">IF((AK$18&gt;=Assumptions!$C$5),(Assumptions!$E$134/(Assumptions!$C$17*$C$11)),0)</f>
        <v>1666.66666666667</v>
      </c>
      <c r="AL26" s="9" t="n">
        <f aca="false">IF((AL$18&gt;=Assumptions!$C$5),(Assumptions!$E$134/(Assumptions!$C$17*$C$11)),0)</f>
        <v>1666.66666666667</v>
      </c>
      <c r="AN26" s="11" t="n">
        <f aca="false">SUM(C26:N26)</f>
        <v>0</v>
      </c>
      <c r="AO26" s="11" t="n">
        <f aca="false">SUM(O26:Z26)</f>
        <v>12000</v>
      </c>
      <c r="AP26" s="11" t="n">
        <f aca="false">SUM(AA26:AL26)</f>
        <v>20000</v>
      </c>
    </row>
    <row r="27" customFormat="false" ht="15" hidden="false" customHeight="false" outlineLevel="0" collapsed="false">
      <c r="A27" s="0" t="s">
        <v>832</v>
      </c>
      <c r="B27" s="0" t="s">
        <v>500</v>
      </c>
      <c r="C27" s="9" t="n">
        <f aca="false">((C25+C26)*Assumptions!$C$18)</f>
        <v>234</v>
      </c>
      <c r="D27" s="9" t="n">
        <f aca="false">((D25+D26)*Assumptions!$C$18)</f>
        <v>209.88</v>
      </c>
      <c r="E27" s="9" t="n">
        <f aca="false">((E25+E26)*Assumptions!$C$18)</f>
        <v>182.0232</v>
      </c>
      <c r="F27" s="9" t="n">
        <f aca="false">((F25+F26)*Assumptions!$C$18)</f>
        <v>171.506304</v>
      </c>
      <c r="G27" s="9" t="n">
        <f aca="false">((G25+G26)*Assumptions!$C$18)</f>
        <v>136.34751168</v>
      </c>
      <c r="H27" s="9" t="n">
        <f aca="false">((H25+H26)*Assumptions!$C$18)</f>
        <v>120.440301984</v>
      </c>
      <c r="I27" s="9" t="n">
        <f aca="false">((I25+I26)*Assumptions!$C$18)</f>
        <v>178.733408144256</v>
      </c>
      <c r="J27" s="9" t="n">
        <f aca="false">((J25+J26)*Assumptions!$C$18)</f>
        <v>433.045514589512</v>
      </c>
      <c r="K27" s="9" t="n">
        <f aca="false">((K25+K26)*Assumptions!$C$18)</f>
        <v>516.406776147993</v>
      </c>
      <c r="L27" s="9" t="n">
        <f aca="false">((L25+L26)*Assumptions!$C$18)</f>
        <v>334.516833882533</v>
      </c>
      <c r="M27" s="9" t="n">
        <f aca="false">((M25+M26)*Assumptions!$C$18)</f>
        <v>290.117326839942</v>
      </c>
      <c r="N27" s="9" t="n">
        <f aca="false">((N25+N26)*Assumptions!$C$18)</f>
        <v>239.185618350264</v>
      </c>
      <c r="O27" s="9" t="n">
        <f aca="false">((O25+O26)*Assumptions!$C$18)</f>
        <v>2447.87974862604</v>
      </c>
      <c r="P27" s="9" t="n">
        <f aca="false">((P25+P26)*Assumptions!$C$18)</f>
        <v>2226.13417879091</v>
      </c>
      <c r="Q27" s="9" t="n">
        <f aca="false">((Q25+Q26)*Assumptions!$C$18)</f>
        <v>1983.69235577118</v>
      </c>
      <c r="R27" s="9" t="n">
        <f aca="false">((R25+R26)*Assumptions!$C$18)</f>
        <v>1879.14671111291</v>
      </c>
      <c r="S27" s="9" t="n">
        <f aca="false">((S25+S26)*Assumptions!$C$18)</f>
        <v>1597.73443466807</v>
      </c>
      <c r="T27" s="9" t="n">
        <f aca="false">((T25+T26)*Assumptions!$C$18)</f>
        <v>1464.70317671233</v>
      </c>
      <c r="U27" s="9" t="n">
        <f aca="false">((U25+U26)*Assumptions!$C$18)</f>
        <v>1859.00782529315</v>
      </c>
      <c r="V27" s="9" t="n">
        <f aca="false">((V25+V26)*Assumptions!$C$18)</f>
        <v>3592.84145898257</v>
      </c>
      <c r="W27" s="9" t="n">
        <f aca="false">((W25+W26)*Assumptions!$C$18)</f>
        <v>4101.62450700961</v>
      </c>
      <c r="X27" s="9" t="n">
        <f aca="false">((X25+X26)*Assumptions!$C$18)</f>
        <v>2825.47690889944</v>
      </c>
      <c r="Y27" s="9" t="n">
        <f aca="false">((Y25+Y26)*Assumptions!$C$18)</f>
        <v>2493.6785333908</v>
      </c>
      <c r="Z27" s="9" t="n">
        <f aca="false">((Z25+Z26)*Assumptions!$C$18)</f>
        <v>2131.77552478722</v>
      </c>
      <c r="AA27" s="9" t="n">
        <f aca="false">((AA25+AA26)*Assumptions!$C$18)</f>
        <v>3915.84412396996</v>
      </c>
      <c r="AB27" s="9" t="n">
        <f aca="false">((AB25+AB26)*Assumptions!$C$18)</f>
        <v>3528.93403828933</v>
      </c>
      <c r="AC27" s="9" t="n">
        <f aca="false">((AC25+AC26)*Assumptions!$C$18)</f>
        <v>3120.85604574719</v>
      </c>
      <c r="AD27" s="9" t="n">
        <f aca="false">((AD25+AD26)*Assumptions!$C$18)</f>
        <v>2932.33550834744</v>
      </c>
      <c r="AE27" s="9" t="n">
        <f aca="false">((AE25+AE26)*Assumptions!$C$18)</f>
        <v>2485.48292204209</v>
      </c>
      <c r="AF27" s="9" t="n">
        <f aca="false">((AF25+AF26)*Assumptions!$C$18)</f>
        <v>2268.84999591095</v>
      </c>
      <c r="AG27" s="9" t="n">
        <f aca="false">((AG25+AG26)*Assumptions!$C$18)</f>
        <v>2820.79974413222</v>
      </c>
      <c r="AH27" s="9" t="n">
        <f aca="false">((AH25+AH26)*Assumptions!$C$18)</f>
        <v>5265.87368625263</v>
      </c>
      <c r="AI27" s="9" t="n">
        <f aca="false">((AI25+AI26)*Assumptions!$C$18)</f>
        <v>5919.08559446006</v>
      </c>
      <c r="AJ27" s="9" t="n">
        <f aca="false">((AJ25+AJ26)*Assumptions!$C$18)</f>
        <v>4081.26055986318</v>
      </c>
      <c r="AK27" s="9" t="n">
        <f aca="false">((AK25+AK26)*Assumptions!$C$18)</f>
        <v>3584.0571513398</v>
      </c>
      <c r="AL27" s="9" t="n">
        <f aca="false">((AL25+AL26)*Assumptions!$C$18)</f>
        <v>3060.06778454034</v>
      </c>
      <c r="AN27" s="11" t="n">
        <f aca="false">SUM(C27:N27)</f>
        <v>3046.2027956185</v>
      </c>
      <c r="AO27" s="11" t="n">
        <f aca="false">SUM(O27:Z27)</f>
        <v>28603.6953640442</v>
      </c>
      <c r="AP27" s="11" t="n">
        <f aca="false">SUM(AA27:AL27)</f>
        <v>42983.4471548952</v>
      </c>
    </row>
    <row r="28" customFormat="false" ht="15" hidden="false" customHeight="false" outlineLevel="0" collapsed="false">
      <c r="A28" s="0" t="s">
        <v>833</v>
      </c>
      <c r="B28" s="0" t="s">
        <v>500</v>
      </c>
      <c r="C28" s="9" t="n">
        <f aca="false">IF((C$18&gt;=Assumptions!$C$5),((Assumptions!$C$20*$C$5)*0),0)</f>
        <v>0</v>
      </c>
      <c r="D28" s="9" t="n">
        <f aca="false">IF((D$18&gt;=Assumptions!$C$5),((Assumptions!$C$20*$C$5)*C29),0)</f>
        <v>0</v>
      </c>
      <c r="E28" s="9" t="n">
        <f aca="false">IF((E$18&gt;=Assumptions!$C$5),((Assumptions!$C$20*$C$5)*D29),0)</f>
        <v>0</v>
      </c>
      <c r="F28" s="9" t="n">
        <f aca="false">IF((F$18&gt;=Assumptions!$C$5),((Assumptions!$C$20*$C$5)*E29),0)</f>
        <v>0</v>
      </c>
      <c r="G28" s="9" t="n">
        <f aca="false">IF((G$18&gt;=Assumptions!$C$5),((Assumptions!$C$20*$C$5)*F29),0)</f>
        <v>0</v>
      </c>
      <c r="H28" s="9" t="n">
        <f aca="false">IF((H$18&gt;=Assumptions!$C$5),((Assumptions!$C$20*$C$5)*G29),0)</f>
        <v>0</v>
      </c>
      <c r="I28" s="9" t="n">
        <f aca="false">IF((I$18&gt;=Assumptions!$C$5),((Assumptions!$C$20*$C$5)*H29),0)</f>
        <v>0</v>
      </c>
      <c r="J28" s="9" t="n">
        <f aca="false">IF((J$18&gt;=Assumptions!$C$5),((Assumptions!$C$20*$C$5)*I29),0)</f>
        <v>0</v>
      </c>
      <c r="K28" s="9" t="n">
        <f aca="false">IF((K$18&gt;=Assumptions!$C$5),((Assumptions!$C$20*$C$5)*J29),0)</f>
        <v>0</v>
      </c>
      <c r="L28" s="9" t="n">
        <f aca="false">IF((L$18&gt;=Assumptions!$C$5),((Assumptions!$C$20*$C$5)*K29),0)</f>
        <v>0</v>
      </c>
      <c r="M28" s="9" t="n">
        <f aca="false">IF((M$18&gt;=Assumptions!$C$5),((Assumptions!$C$20*$C$5)*L29),0)</f>
        <v>0</v>
      </c>
      <c r="N28" s="9" t="n">
        <f aca="false">IF((N$18&gt;=Assumptions!$C$5),((Assumptions!$C$20*$C$5)*M29),0)</f>
        <v>0</v>
      </c>
      <c r="O28" s="9" t="n">
        <f aca="false">IF((O$18&gt;=Assumptions!$C$5),((Assumptions!$C$20*$C$5)*N29),0)</f>
        <v>4.51553935346985</v>
      </c>
      <c r="P28" s="9" t="n">
        <f aca="false">IF((P$18&gt;=Assumptions!$C$5),((Assumptions!$C$20*$C$5)*O29),0)</f>
        <v>10.0820851542349</v>
      </c>
      <c r="Q28" s="9" t="n">
        <f aca="false">IF((Q$18&gt;=Assumptions!$C$5),((Assumptions!$C$20*$C$5)*P29),0)</f>
        <v>14.4123651698184</v>
      </c>
      <c r="R28" s="9" t="n">
        <f aca="false">IF((R$18&gt;=Assumptions!$C$5),((Assumptions!$C$20*$C$5)*Q29),0)</f>
        <v>17.6060813259436</v>
      </c>
      <c r="S28" s="9" t="n">
        <f aca="false">IF((S$18&gt;=Assumptions!$C$5),((Assumptions!$C$20*$C$5)*R29),0)</f>
        <v>20.1472031412978</v>
      </c>
      <c r="T28" s="9" t="n">
        <f aca="false">IF((T$18&gt;=Assumptions!$C$5),((Assumptions!$C$20*$C$5)*S29),0)</f>
        <v>21.673506843159</v>
      </c>
      <c r="U28" s="9" t="n">
        <f aca="false">IF((U$18&gt;=Assumptions!$C$5),((Assumptions!$C$20*$C$5)*T29),0)</f>
        <v>22.6802601966528</v>
      </c>
      <c r="V28" s="9" t="n">
        <f aca="false">IF((V$18&gt;=Assumptions!$C$5),((Assumptions!$C$20*$C$5)*U29),0)</f>
        <v>24.5494478857957</v>
      </c>
      <c r="W28" s="9" t="n">
        <f aca="false">IF((W$18&gt;=Assumptions!$C$5),((Assumptions!$C$20*$C$5)*V29),0)</f>
        <v>30.5242441672422</v>
      </c>
      <c r="X28" s="9" t="n">
        <f aca="false">IF((X$18&gt;=Assumptions!$C$5),((Assumptions!$C$20*$C$5)*W29),0)</f>
        <v>37.039085524279</v>
      </c>
      <c r="Y28" s="9" t="n">
        <f aca="false">IF((Y$18&gt;=Assumptions!$C$5),((Assumptions!$C$20*$C$5)*X29),0)</f>
        <v>39.5654898198034</v>
      </c>
      <c r="Z28" s="9" t="n">
        <f aca="false">IF((Z$18&gt;=Assumptions!$C$5),((Assumptions!$C$20*$C$5)*Y29),0)</f>
        <v>40.9529136503545</v>
      </c>
      <c r="AA28" s="9" t="n">
        <f aca="false">IF((AA$18&gt;=Assumptions!$C$5),((Assumptions!$C$20*$C$5)*Z29),0)</f>
        <v>41.2656205401541</v>
      </c>
      <c r="AB28" s="9" t="n">
        <f aca="false">IF((AB$18&gt;=Assumptions!$C$5),((Assumptions!$C$20*$C$5)*AA29),0)</f>
        <v>46.0001923339102</v>
      </c>
      <c r="AC28" s="9" t="n">
        <f aca="false">IF((AC$18&gt;=Assumptions!$C$5),((Assumptions!$C$20*$C$5)*AB29),0)</f>
        <v>49.1875038687295</v>
      </c>
      <c r="AD28" s="9" t="n">
        <f aca="false">IF((AD$18&gt;=Assumptions!$C$5),((Assumptions!$C$20*$C$5)*AC29),0)</f>
        <v>50.9641747591781</v>
      </c>
      <c r="AE28" s="9" t="n">
        <f aca="false">IF((AE$18&gt;=Assumptions!$C$5),((Assumptions!$C$20*$C$5)*AD29),0)</f>
        <v>52.0519021220474</v>
      </c>
      <c r="AF28" s="9" t="n">
        <f aca="false">IF((AF$18&gt;=Assumptions!$C$5),((Assumptions!$C$20*$C$5)*AE29),0)</f>
        <v>51.8892514172018</v>
      </c>
      <c r="AG28" s="9" t="n">
        <f aca="false">IF((AG$18&gt;=Assumptions!$C$5),((Assumptions!$C$20*$C$5)*AF29),0)</f>
        <v>51.204943108372</v>
      </c>
      <c r="AH28" s="9" t="n">
        <f aca="false">IF((AH$18&gt;=Assumptions!$C$5),((Assumptions!$C$20*$C$5)*AG29),0)</f>
        <v>51.984336937927</v>
      </c>
      <c r="AI28" s="9" t="n">
        <f aca="false">IF((AI$18&gt;=Assumptions!$C$5),((Assumptions!$C$20*$C$5)*AH29),0)</f>
        <v>58.7809398786625</v>
      </c>
      <c r="AJ28" s="9" t="n">
        <f aca="false">IF((AJ$18&gt;=Assumptions!$C$5),((Assumptions!$C$20*$C$5)*AI29),0)</f>
        <v>66.3779887296765</v>
      </c>
      <c r="AK28" s="9" t="n">
        <f aca="false">IF((AK$18&gt;=Assumptions!$C$5),((Assumptions!$C$20*$C$5)*AJ29),0)</f>
        <v>68.4498365099491</v>
      </c>
      <c r="AL28" s="9" t="n">
        <f aca="false">IF((AL$18&gt;=Assumptions!$C$5),((Assumptions!$C$20*$C$5)*AK29),0)</f>
        <v>69.0248744158298</v>
      </c>
      <c r="AN28" s="11" t="n">
        <f aca="false">SUM(C28:N28)</f>
        <v>0</v>
      </c>
      <c r="AO28" s="11" t="n">
        <f aca="false">SUM(O28:Z28)</f>
        <v>283.748222232051</v>
      </c>
      <c r="AP28" s="11" t="n">
        <f aca="false">SUM(AA28:AL28)</f>
        <v>657.181564621638</v>
      </c>
    </row>
    <row r="29" customFormat="false" ht="15" hidden="false" customHeight="false" outlineLevel="0" collapsed="false">
      <c r="A29" s="0" t="s">
        <v>834</v>
      </c>
      <c r="B29" s="0" t="s">
        <v>500</v>
      </c>
      <c r="C29" s="9" t="n">
        <f aca="false">MAX(0,(((0*(1-Assumptions!$C$19))+C27)-C28))</f>
        <v>234</v>
      </c>
      <c r="D29" s="9" t="n">
        <f aca="false">MAX(0,(((C29*(1-Assumptions!$C$19))+D27)-D28))</f>
        <v>415.8</v>
      </c>
      <c r="E29" s="9" t="n">
        <f aca="false">MAX(0,(((D29*(1-Assumptions!$C$19))+E27)-E28))</f>
        <v>547.9272</v>
      </c>
      <c r="F29" s="9" t="n">
        <f aca="false">MAX(0,(((E29*(1-Assumptions!$C$19))+F27)-F28))</f>
        <v>653.68224</v>
      </c>
      <c r="G29" s="9" t="n">
        <f aca="false">MAX(0,(((F29*(1-Assumptions!$C$19))+G27)-G28))</f>
        <v>711.58788288</v>
      </c>
      <c r="H29" s="9" t="n">
        <f aca="false">MAX(0,(((G29*(1-Assumptions!$C$19))+H27)-H28))</f>
        <v>746.6376389184</v>
      </c>
      <c r="I29" s="9" t="n">
        <f aca="false">MAX(0,(((H29*(1-Assumptions!$C$19))+I27)-I28))</f>
        <v>835.774530392448</v>
      </c>
      <c r="J29" s="9" t="n">
        <f aca="false">MAX(0,(((I29*(1-Assumptions!$C$19))+J27)-J28))</f>
        <v>1168.52710133487</v>
      </c>
      <c r="K29" s="9" t="n">
        <f aca="false">MAX(0,(((J29*(1-Assumptions!$C$19))+K27)-K28))</f>
        <v>1544.71062532268</v>
      </c>
      <c r="L29" s="9" t="n">
        <f aca="false">MAX(0,(((K29*(1-Assumptions!$C$19))+L27)-L28))</f>
        <v>1693.86218416649</v>
      </c>
      <c r="M29" s="9" t="n">
        <f aca="false">MAX(0,(((L29*(1-Assumptions!$C$19))+M27)-M28))</f>
        <v>1780.71604890645</v>
      </c>
      <c r="N29" s="9" t="n">
        <f aca="false">MAX(0,(((M29*(1-Assumptions!$C$19))+N27)-N28))</f>
        <v>1806.21574138794</v>
      </c>
      <c r="O29" s="9" t="n">
        <f aca="false">MAX(0,(((N29*(1-Assumptions!$C$19))+O27)-O28))</f>
        <v>4032.83406169396</v>
      </c>
      <c r="P29" s="9" t="n">
        <f aca="false">MAX(0,(((O29*(1-Assumptions!$C$19))+P27)-P28))</f>
        <v>5764.94606792736</v>
      </c>
      <c r="Q29" s="9" t="n">
        <f aca="false">MAX(0,(((P29*(1-Assumptions!$C$19))+Q27)-Q28))</f>
        <v>7042.43253037744</v>
      </c>
      <c r="R29" s="9" t="n">
        <f aca="false">MAX(0,(((Q29*(1-Assumptions!$C$19))+R27)-R28))</f>
        <v>8058.88125651911</v>
      </c>
      <c r="S29" s="9" t="n">
        <f aca="false">MAX(0,(((R29*(1-Assumptions!$C$19))+S27)-S28))</f>
        <v>8669.40273726359</v>
      </c>
      <c r="T29" s="9" t="n">
        <f aca="false">MAX(0,(((S29*(1-Assumptions!$C$19))+T27)-T28))</f>
        <v>9072.10407866113</v>
      </c>
      <c r="U29" s="9" t="n">
        <f aca="false">MAX(0,(((T29*(1-Assumptions!$C$19))+U27)-U28))</f>
        <v>9819.77915431829</v>
      </c>
      <c r="V29" s="9" t="n">
        <f aca="false">MAX(0,(((U29*(1-Assumptions!$C$19))+V27)-V28))</f>
        <v>12209.6976668969</v>
      </c>
      <c r="W29" s="9" t="n">
        <f aca="false">MAX(0,(((V29*(1-Assumptions!$C$19))+W27)-W28))</f>
        <v>14815.6342097116</v>
      </c>
      <c r="X29" s="9" t="n">
        <f aca="false">MAX(0,(((W29*(1-Assumptions!$C$19))+X27)-X28))</f>
        <v>15826.1959279214</v>
      </c>
      <c r="Y29" s="9" t="n">
        <f aca="false">MAX(0,(((X29*(1-Assumptions!$C$19))+Y27)-Y28))</f>
        <v>16381.1654601418</v>
      </c>
      <c r="Z29" s="9" t="n">
        <f aca="false">MAX(0,(((Y29*(1-Assumptions!$C$19))+Z27)-Z28))</f>
        <v>16506.2482160617</v>
      </c>
      <c r="AA29" s="9" t="n">
        <f aca="false">MAX(0,(((Z29*(1-Assumptions!$C$19))+AA27)-AA28))</f>
        <v>18400.0769335641</v>
      </c>
      <c r="AB29" s="9" t="n">
        <f aca="false">MAX(0,(((AA29*(1-Assumptions!$C$19))+AB27)-AB28))</f>
        <v>19675.0015474918</v>
      </c>
      <c r="AC29" s="9" t="n">
        <f aca="false">MAX(0,(((AB29*(1-Assumptions!$C$19))+AC27)-AC28))</f>
        <v>20385.6699036712</v>
      </c>
      <c r="AD29" s="9" t="n">
        <f aca="false">MAX(0,(((AC29*(1-Assumptions!$C$19))+AD27)-AD28))</f>
        <v>20820.760848819</v>
      </c>
      <c r="AE29" s="9" t="n">
        <f aca="false">MAX(0,(((AD29*(1-Assumptions!$C$19))+AE27)-AE28))</f>
        <v>20755.7005668807</v>
      </c>
      <c r="AF29" s="9" t="n">
        <f aca="false">MAX(0,(((AE29*(1-Assumptions!$C$19))+AF27)-AF28))</f>
        <v>20481.9772433488</v>
      </c>
      <c r="AG29" s="9" t="n">
        <f aca="false">MAX(0,(((AF29*(1-Assumptions!$C$19))+AG27)-AG28))</f>
        <v>20793.7347751708</v>
      </c>
      <c r="AH29" s="9" t="n">
        <f aca="false">MAX(0,(((AG29*(1-Assumptions!$C$19))+AH27)-AH28))</f>
        <v>23512.375951465</v>
      </c>
      <c r="AI29" s="9" t="n">
        <f aca="false">MAX(0,(((AH29*(1-Assumptions!$C$19))+AI27)-AI28))</f>
        <v>26551.1954918706</v>
      </c>
      <c r="AJ29" s="9" t="n">
        <f aca="false">MAX(0,(((AI29*(1-Assumptions!$C$19))+AJ27)-AJ28))</f>
        <v>27379.9346039796</v>
      </c>
      <c r="AK29" s="9" t="n">
        <f aca="false">MAX(0,(((AJ29*(1-Assumptions!$C$19))+AK27)-AK28))</f>
        <v>27609.9497663319</v>
      </c>
      <c r="AL29" s="9" t="n">
        <f aca="false">MAX(0,(((AK29*(1-Assumptions!$C$19))+AL27)-AL28))</f>
        <v>27287.7987044966</v>
      </c>
      <c r="AN29" s="11" t="n">
        <f aca="false">N29</f>
        <v>1806.21574138794</v>
      </c>
      <c r="AO29" s="11" t="n">
        <f aca="false">Z29</f>
        <v>16506.2482160617</v>
      </c>
      <c r="AP29" s="11" t="n">
        <f aca="false">AL29</f>
        <v>27287.7987044966</v>
      </c>
    </row>
    <row r="30" customFormat="false" ht="15" hidden="false" customHeight="false" outlineLevel="0" collapsed="false">
      <c r="A30" s="0" t="s">
        <v>835</v>
      </c>
      <c r="B30" s="0" t="s">
        <v>193</v>
      </c>
      <c r="C30" s="12" t="n">
        <f aca="false">IF(AND(($C$14=1),(C$18&gt;=(Assumptions!$C$106+1)),(C$18&lt;=(Assumptions!$C$106+3))),Assumptions!$C$115,0)</f>
        <v>0</v>
      </c>
      <c r="D30" s="12" t="n">
        <f aca="false">IF(AND(($C$14=1),(D$18&gt;=(Assumptions!$C$106+1)),(D$18&lt;=(Assumptions!$C$106+3))),Assumptions!$C$115,0)</f>
        <v>0</v>
      </c>
      <c r="E30" s="12" t="n">
        <f aca="false">IF(AND(($C$14=1),(E$18&gt;=(Assumptions!$C$106+1)),(E$18&lt;=(Assumptions!$C$106+3))),Assumptions!$C$115,0)</f>
        <v>0</v>
      </c>
      <c r="F30" s="12" t="n">
        <f aca="false">IF(AND(($C$14=1),(F$18&gt;=(Assumptions!$C$106+1)),(F$18&lt;=(Assumptions!$C$106+3))),Assumptions!$C$115,0)</f>
        <v>0</v>
      </c>
      <c r="G30" s="12" t="n">
        <f aca="false">IF(AND(($C$14=1),(G$18&gt;=(Assumptions!$C$106+1)),(G$18&lt;=(Assumptions!$C$106+3))),Assumptions!$C$115,0)</f>
        <v>0</v>
      </c>
      <c r="H30" s="12" t="n">
        <f aca="false">IF(AND(($C$14=1),(H$18&gt;=(Assumptions!$C$106+1)),(H$18&lt;=(Assumptions!$C$106+3))),Assumptions!$C$115,0)</f>
        <v>0</v>
      </c>
      <c r="I30" s="12" t="n">
        <f aca="false">IF(AND(($C$14=1),(I$18&gt;=(Assumptions!$C$106+1)),(I$18&lt;=(Assumptions!$C$106+3))),Assumptions!$C$115,0)</f>
        <v>0</v>
      </c>
      <c r="J30" s="12" t="n">
        <f aca="false">IF(AND(($C$14=1),(J$18&gt;=(Assumptions!$C$106+1)),(J$18&lt;=(Assumptions!$C$106+3))),Assumptions!$C$115,0)</f>
        <v>0</v>
      </c>
      <c r="K30" s="12" t="n">
        <f aca="false">IF(AND(($C$14=1),(K$18&gt;=(Assumptions!$C$106+1)),(K$18&lt;=(Assumptions!$C$106+3))),Assumptions!$C$115,0)</f>
        <v>0</v>
      </c>
      <c r="L30" s="12" t="n">
        <f aca="false">IF(AND(($C$14=1),(L$18&gt;=(Assumptions!$C$106+1)),(L$18&lt;=(Assumptions!$C$106+3))),Assumptions!$C$115,0)</f>
        <v>0</v>
      </c>
      <c r="M30" s="12" t="n">
        <f aca="false">IF(AND(($C$14=1),(M$18&gt;=(Assumptions!$C$106+1)),(M$18&lt;=(Assumptions!$C$106+3))),Assumptions!$C$115,0)</f>
        <v>0</v>
      </c>
      <c r="N30" s="12" t="n">
        <f aca="false">IF(AND(($C$14=1),(N$18&gt;=(Assumptions!$C$106+1)),(N$18&lt;=(Assumptions!$C$106+3))),Assumptions!$C$115,0)</f>
        <v>0</v>
      </c>
      <c r="O30" s="12" t="n">
        <f aca="false">IF(AND(($C$14=1),(O$18&gt;=(Assumptions!$C$106+1)),(O$18&lt;=(Assumptions!$C$106+3))),Assumptions!$C$115,0)</f>
        <v>0</v>
      </c>
      <c r="P30" s="12" t="n">
        <f aca="false">IF(AND(($C$14=1),(P$18&gt;=(Assumptions!$C$106+1)),(P$18&lt;=(Assumptions!$C$106+3))),Assumptions!$C$115,0)</f>
        <v>0</v>
      </c>
      <c r="Q30" s="12" t="n">
        <f aca="false">IF(AND(($C$14=1),(Q$18&gt;=(Assumptions!$C$106+1)),(Q$18&lt;=(Assumptions!$C$106+3))),Assumptions!$C$115,0)</f>
        <v>0</v>
      </c>
      <c r="R30" s="12" t="n">
        <f aca="false">IF(AND(($C$14=1),(R$18&gt;=(Assumptions!$C$106+1)),(R$18&lt;=(Assumptions!$C$106+3))),Assumptions!$C$115,0)</f>
        <v>0</v>
      </c>
      <c r="S30" s="12" t="n">
        <f aca="false">IF(AND(($C$14=1),(S$18&gt;=(Assumptions!$C$106+1)),(S$18&lt;=(Assumptions!$C$106+3))),Assumptions!$C$115,0)</f>
        <v>0</v>
      </c>
      <c r="T30" s="12" t="n">
        <f aca="false">IF(AND(($C$14=1),(T$18&gt;=(Assumptions!$C$106+1)),(T$18&lt;=(Assumptions!$C$106+3))),Assumptions!$C$115,0)</f>
        <v>0</v>
      </c>
      <c r="U30" s="12" t="n">
        <f aca="false">IF(AND(($C$14=1),(U$18&gt;=(Assumptions!$C$106+1)),(U$18&lt;=(Assumptions!$C$106+3))),Assumptions!$C$115,0)</f>
        <v>0</v>
      </c>
      <c r="V30" s="12" t="n">
        <f aca="false">IF(AND(($C$14=1),(V$18&gt;=(Assumptions!$C$106+1)),(V$18&lt;=(Assumptions!$C$106+3))),Assumptions!$C$115,0)</f>
        <v>0</v>
      </c>
      <c r="W30" s="12" t="n">
        <f aca="false">IF(AND(($C$14=1),(W$18&gt;=(Assumptions!$C$106+1)),(W$18&lt;=(Assumptions!$C$106+3))),Assumptions!$C$115,0)</f>
        <v>0</v>
      </c>
      <c r="X30" s="12" t="n">
        <f aca="false">IF(AND(($C$14=1),(X$18&gt;=(Assumptions!$C$106+1)),(X$18&lt;=(Assumptions!$C$106+3))),Assumptions!$C$115,0)</f>
        <v>0</v>
      </c>
      <c r="Y30" s="12" t="n">
        <f aca="false">IF(AND(($C$14=1),(Y$18&gt;=(Assumptions!$C$106+1)),(Y$18&lt;=(Assumptions!$C$106+3))),Assumptions!$C$115,0)</f>
        <v>0</v>
      </c>
      <c r="Z30" s="12" t="n">
        <f aca="false">IF(AND(($C$14=1),(Z$18&gt;=(Assumptions!$C$106+1)),(Z$18&lt;=(Assumptions!$C$106+3))),Assumptions!$C$115,0)</f>
        <v>0</v>
      </c>
      <c r="AA30" s="12" t="n">
        <f aca="false">IF(AND(($C$14=1),(AA$18&gt;=(Assumptions!$C$106+1)),(AA$18&lt;=(Assumptions!$C$106+3))),Assumptions!$C$115,0)</f>
        <v>0</v>
      </c>
      <c r="AB30" s="12" t="n">
        <f aca="false">IF(AND(($C$14=1),(AB$18&gt;=(Assumptions!$C$106+1)),(AB$18&lt;=(Assumptions!$C$106+3))),Assumptions!$C$115,0)</f>
        <v>0</v>
      </c>
      <c r="AC30" s="12" t="n">
        <f aca="false">IF(AND(($C$14=1),(AC$18&gt;=(Assumptions!$C$106+1)),(AC$18&lt;=(Assumptions!$C$106+3))),Assumptions!$C$115,0)</f>
        <v>0</v>
      </c>
      <c r="AD30" s="12" t="n">
        <f aca="false">IF(AND(($C$14=1),(AD$18&gt;=(Assumptions!$C$106+1)),(AD$18&lt;=(Assumptions!$C$106+3))),Assumptions!$C$115,0)</f>
        <v>0</v>
      </c>
      <c r="AE30" s="12" t="n">
        <f aca="false">IF(AND(($C$14=1),(AE$18&gt;=(Assumptions!$C$106+1)),(AE$18&lt;=(Assumptions!$C$106+3))),Assumptions!$C$115,0)</f>
        <v>0</v>
      </c>
      <c r="AF30" s="12" t="n">
        <f aca="false">IF(AND(($C$14=1),(AF$18&gt;=(Assumptions!$C$106+1)),(AF$18&lt;=(Assumptions!$C$106+3))),Assumptions!$C$115,0)</f>
        <v>0</v>
      </c>
      <c r="AG30" s="12" t="n">
        <f aca="false">IF(AND(($C$14=1),(AG$18&gt;=(Assumptions!$C$106+1)),(AG$18&lt;=(Assumptions!$C$106+3))),Assumptions!$C$115,0)</f>
        <v>0</v>
      </c>
      <c r="AH30" s="12" t="n">
        <f aca="false">IF(AND(($C$14=1),(AH$18&gt;=(Assumptions!$C$106+1)),(AH$18&lt;=(Assumptions!$C$106+3))),Assumptions!$C$115,0)</f>
        <v>0</v>
      </c>
      <c r="AI30" s="12" t="n">
        <f aca="false">IF(AND(($C$14=1),(AI$18&gt;=(Assumptions!$C$106+1)),(AI$18&lt;=(Assumptions!$C$106+3))),Assumptions!$C$115,0)</f>
        <v>0</v>
      </c>
      <c r="AJ30" s="12" t="n">
        <f aca="false">IF(AND(($C$14=1),(AJ$18&gt;=(Assumptions!$C$106+1)),(AJ$18&lt;=(Assumptions!$C$106+3))),Assumptions!$C$115,0)</f>
        <v>0</v>
      </c>
      <c r="AK30" s="12" t="n">
        <f aca="false">IF(AND(($C$14=1),(AK$18&gt;=(Assumptions!$C$106+1)),(AK$18&lt;=(Assumptions!$C$106+3))),Assumptions!$C$115,0)</f>
        <v>0</v>
      </c>
      <c r="AL30" s="12" t="n">
        <f aca="false">IF(AND(($C$14=1),(AL$18&gt;=(Assumptions!$C$106+1)),(AL$18&lt;=(Assumptions!$C$106+3))),Assumptions!$C$115,0)</f>
        <v>0</v>
      </c>
    </row>
    <row r="31" customFormat="false" ht="15" hidden="false" customHeight="false" outlineLevel="0" collapsed="false">
      <c r="A31" s="0" t="s">
        <v>836</v>
      </c>
      <c r="B31" s="0" t="s">
        <v>193</v>
      </c>
      <c r="C31" s="12" t="n">
        <f aca="false">MIN(1,((Assumptions!$C$22*$C$6)+C30))</f>
        <v>0.05</v>
      </c>
      <c r="D31" s="12" t="n">
        <f aca="false">MIN(1,((Assumptions!$C$22*$C$6)+D30))</f>
        <v>0.05</v>
      </c>
      <c r="E31" s="12" t="n">
        <f aca="false">MIN(1,((Assumptions!$C$22*$C$6)+E30))</f>
        <v>0.05</v>
      </c>
      <c r="F31" s="12" t="n">
        <f aca="false">MIN(1,((Assumptions!$C$22*$C$6)+F30))</f>
        <v>0.05</v>
      </c>
      <c r="G31" s="12" t="n">
        <f aca="false">MIN(1,((Assumptions!$C$22*$C$6)+G30))</f>
        <v>0.05</v>
      </c>
      <c r="H31" s="12" t="n">
        <f aca="false">MIN(1,((Assumptions!$C$22*$C$6)+H30))</f>
        <v>0.05</v>
      </c>
      <c r="I31" s="12" t="n">
        <f aca="false">MIN(1,((Assumptions!$C$22*$C$6)+I30))</f>
        <v>0.05</v>
      </c>
      <c r="J31" s="12" t="n">
        <f aca="false">MIN(1,((Assumptions!$C$22*$C$6)+J30))</f>
        <v>0.05</v>
      </c>
      <c r="K31" s="12" t="n">
        <f aca="false">MIN(1,((Assumptions!$C$22*$C$6)+K30))</f>
        <v>0.05</v>
      </c>
      <c r="L31" s="12" t="n">
        <f aca="false">MIN(1,((Assumptions!$C$22*$C$6)+L30))</f>
        <v>0.05</v>
      </c>
      <c r="M31" s="12" t="n">
        <f aca="false">MIN(1,((Assumptions!$C$22*$C$6)+M30))</f>
        <v>0.05</v>
      </c>
      <c r="N31" s="12" t="n">
        <f aca="false">MIN(1,((Assumptions!$C$22*$C$6)+N30))</f>
        <v>0.05</v>
      </c>
      <c r="O31" s="12" t="n">
        <f aca="false">MIN(1,((Assumptions!$C$22*$C$6)+O30))</f>
        <v>0.05</v>
      </c>
      <c r="P31" s="12" t="n">
        <f aca="false">MIN(1,((Assumptions!$C$22*$C$6)+P30))</f>
        <v>0.05</v>
      </c>
      <c r="Q31" s="12" t="n">
        <f aca="false">MIN(1,((Assumptions!$C$22*$C$6)+Q30))</f>
        <v>0.05</v>
      </c>
      <c r="R31" s="12" t="n">
        <f aca="false">MIN(1,((Assumptions!$C$22*$C$6)+R30))</f>
        <v>0.05</v>
      </c>
      <c r="S31" s="12" t="n">
        <f aca="false">MIN(1,((Assumptions!$C$22*$C$6)+S30))</f>
        <v>0.05</v>
      </c>
      <c r="T31" s="12" t="n">
        <f aca="false">MIN(1,((Assumptions!$C$22*$C$6)+T30))</f>
        <v>0.05</v>
      </c>
      <c r="U31" s="12" t="n">
        <f aca="false">MIN(1,((Assumptions!$C$22*$C$6)+U30))</f>
        <v>0.05</v>
      </c>
      <c r="V31" s="12" t="n">
        <f aca="false">MIN(1,((Assumptions!$C$22*$C$6)+V30))</f>
        <v>0.05</v>
      </c>
      <c r="W31" s="12" t="n">
        <f aca="false">MIN(1,((Assumptions!$C$22*$C$6)+W30))</f>
        <v>0.05</v>
      </c>
      <c r="X31" s="12" t="n">
        <f aca="false">MIN(1,((Assumptions!$C$22*$C$6)+X30))</f>
        <v>0.05</v>
      </c>
      <c r="Y31" s="12" t="n">
        <f aca="false">MIN(1,((Assumptions!$C$22*$C$6)+Y30))</f>
        <v>0.05</v>
      </c>
      <c r="Z31" s="12" t="n">
        <f aca="false">MIN(1,((Assumptions!$C$22*$C$6)+Z30))</f>
        <v>0.05</v>
      </c>
      <c r="AA31" s="12" t="n">
        <f aca="false">MIN(1,((Assumptions!$C$22*$C$6)+AA30))</f>
        <v>0.05</v>
      </c>
      <c r="AB31" s="12" t="n">
        <f aca="false">MIN(1,((Assumptions!$C$22*$C$6)+AB30))</f>
        <v>0.05</v>
      </c>
      <c r="AC31" s="12" t="n">
        <f aca="false">MIN(1,((Assumptions!$C$22*$C$6)+AC30))</f>
        <v>0.05</v>
      </c>
      <c r="AD31" s="12" t="n">
        <f aca="false">MIN(1,((Assumptions!$C$22*$C$6)+AD30))</f>
        <v>0.05</v>
      </c>
      <c r="AE31" s="12" t="n">
        <f aca="false">MIN(1,((Assumptions!$C$22*$C$6)+AE30))</f>
        <v>0.05</v>
      </c>
      <c r="AF31" s="12" t="n">
        <f aca="false">MIN(1,((Assumptions!$C$22*$C$6)+AF30))</f>
        <v>0.05</v>
      </c>
      <c r="AG31" s="12" t="n">
        <f aca="false">MIN(1,((Assumptions!$C$22*$C$6)+AG30))</f>
        <v>0.05</v>
      </c>
      <c r="AH31" s="12" t="n">
        <f aca="false">MIN(1,((Assumptions!$C$22*$C$6)+AH30))</f>
        <v>0.05</v>
      </c>
      <c r="AI31" s="12" t="n">
        <f aca="false">MIN(1,((Assumptions!$C$22*$C$6)+AI30))</f>
        <v>0.05</v>
      </c>
      <c r="AJ31" s="12" t="n">
        <f aca="false">MIN(1,((Assumptions!$C$22*$C$6)+AJ30))</f>
        <v>0.05</v>
      </c>
      <c r="AK31" s="12" t="n">
        <f aca="false">MIN(1,((Assumptions!$C$22*$C$6)+AK30))</f>
        <v>0.05</v>
      </c>
      <c r="AL31" s="12" t="n">
        <f aca="false">MIN(1,((Assumptions!$C$22*$C$6)+AL30))</f>
        <v>0.05</v>
      </c>
    </row>
    <row r="32" customFormat="false" ht="15" hidden="false" customHeight="false" outlineLevel="0" collapsed="false">
      <c r="A32" s="0" t="s">
        <v>837</v>
      </c>
      <c r="B32" s="0" t="s">
        <v>500</v>
      </c>
      <c r="C32" s="9" t="n">
        <f aca="false">(C28*(1-Assumptions!$C$21))</f>
        <v>0</v>
      </c>
      <c r="D32" s="9" t="n">
        <f aca="false">(D28*(1-Assumptions!$C$21))</f>
        <v>0</v>
      </c>
      <c r="E32" s="9" t="n">
        <f aca="false">(E28*(1-Assumptions!$C$21))</f>
        <v>0</v>
      </c>
      <c r="F32" s="9" t="n">
        <f aca="false">(F28*(1-Assumptions!$C$21))</f>
        <v>0</v>
      </c>
      <c r="G32" s="9" t="n">
        <f aca="false">(G28*(1-Assumptions!$C$21))</f>
        <v>0</v>
      </c>
      <c r="H32" s="9" t="n">
        <f aca="false">(H28*(1-Assumptions!$C$21))</f>
        <v>0</v>
      </c>
      <c r="I32" s="9" t="n">
        <f aca="false">(I28*(1-Assumptions!$C$21))</f>
        <v>0</v>
      </c>
      <c r="J32" s="9" t="n">
        <f aca="false">(J28*(1-Assumptions!$C$21))</f>
        <v>0</v>
      </c>
      <c r="K32" s="9" t="n">
        <f aca="false">(K28*(1-Assumptions!$C$21))</f>
        <v>0</v>
      </c>
      <c r="L32" s="9" t="n">
        <f aca="false">(L28*(1-Assumptions!$C$21))</f>
        <v>0</v>
      </c>
      <c r="M32" s="9" t="n">
        <f aca="false">(M28*(1-Assumptions!$C$21))</f>
        <v>0</v>
      </c>
      <c r="N32" s="9" t="n">
        <f aca="false">(N28*(1-Assumptions!$C$21))</f>
        <v>0</v>
      </c>
      <c r="O32" s="9" t="n">
        <f aca="false">(O28*(1-Assumptions!$C$21))</f>
        <v>2.48354664440842</v>
      </c>
      <c r="P32" s="9" t="n">
        <f aca="false">(P28*(1-Assumptions!$C$21))</f>
        <v>5.54514683482919</v>
      </c>
      <c r="Q32" s="9" t="n">
        <f aca="false">(Q28*(1-Assumptions!$C$21))</f>
        <v>7.92680084340012</v>
      </c>
      <c r="R32" s="9" t="n">
        <f aca="false">(R28*(1-Assumptions!$C$21))</f>
        <v>9.68334472926897</v>
      </c>
      <c r="S32" s="9" t="n">
        <f aca="false">(S28*(1-Assumptions!$C$21))</f>
        <v>11.0809617277138</v>
      </c>
      <c r="T32" s="9" t="n">
        <f aca="false">(T28*(1-Assumptions!$C$21))</f>
        <v>11.9204287637374</v>
      </c>
      <c r="U32" s="9" t="n">
        <f aca="false">(U28*(1-Assumptions!$C$21))</f>
        <v>12.4741431081591</v>
      </c>
      <c r="V32" s="9" t="n">
        <f aca="false">(V28*(1-Assumptions!$C$21))</f>
        <v>13.5021963371876</v>
      </c>
      <c r="W32" s="9" t="n">
        <f aca="false">(W28*(1-Assumptions!$C$21))</f>
        <v>16.7883342919832</v>
      </c>
      <c r="X32" s="9" t="n">
        <f aca="false">(X28*(1-Assumptions!$C$21))</f>
        <v>20.3714970383535</v>
      </c>
      <c r="Y32" s="9" t="n">
        <f aca="false">(Y28*(1-Assumptions!$C$21))</f>
        <v>21.7610194008919</v>
      </c>
      <c r="Z32" s="9" t="n">
        <f aca="false">(Z28*(1-Assumptions!$C$21))</f>
        <v>22.524102507695</v>
      </c>
      <c r="AA32" s="9" t="n">
        <f aca="false">(AA28*(1-Assumptions!$C$21))</f>
        <v>22.6960912970848</v>
      </c>
      <c r="AB32" s="9" t="n">
        <f aca="false">(AB28*(1-Assumptions!$C$21))</f>
        <v>25.3001057836506</v>
      </c>
      <c r="AC32" s="9" t="n">
        <f aca="false">(AC28*(1-Assumptions!$C$21))</f>
        <v>27.0531271278012</v>
      </c>
      <c r="AD32" s="9" t="n">
        <f aca="false">(AD28*(1-Assumptions!$C$21))</f>
        <v>28.030296117548</v>
      </c>
      <c r="AE32" s="9" t="n">
        <f aca="false">(AE28*(1-Assumptions!$C$21))</f>
        <v>28.6285461671261</v>
      </c>
      <c r="AF32" s="9" t="n">
        <f aca="false">(AF28*(1-Assumptions!$C$21))</f>
        <v>28.539088279461</v>
      </c>
      <c r="AG32" s="9" t="n">
        <f aca="false">(AG28*(1-Assumptions!$C$21))</f>
        <v>28.1627187096046</v>
      </c>
      <c r="AH32" s="9" t="n">
        <f aca="false">(AH28*(1-Assumptions!$C$21))</f>
        <v>28.5913853158598</v>
      </c>
      <c r="AI32" s="9" t="n">
        <f aca="false">(AI28*(1-Assumptions!$C$21))</f>
        <v>32.3295169332644</v>
      </c>
      <c r="AJ32" s="9" t="n">
        <f aca="false">(AJ28*(1-Assumptions!$C$21))</f>
        <v>36.5078938013221</v>
      </c>
      <c r="AK32" s="9" t="n">
        <f aca="false">(AK28*(1-Assumptions!$C$21))</f>
        <v>37.647410080472</v>
      </c>
      <c r="AL32" s="9" t="n">
        <f aca="false">(AL28*(1-Assumptions!$C$21))</f>
        <v>37.9636809287064</v>
      </c>
      <c r="AN32" s="11" t="n">
        <f aca="false">SUM(C32:N32)</f>
        <v>0</v>
      </c>
      <c r="AO32" s="11" t="n">
        <f aca="false">SUM(O32:Z32)</f>
        <v>156.061522227628</v>
      </c>
      <c r="AP32" s="11" t="n">
        <f aca="false">SUM(AA32:AL32)</f>
        <v>361.449860541901</v>
      </c>
    </row>
    <row r="33" customFormat="false" ht="15" hidden="false" customHeight="false" outlineLevel="0" collapsed="false">
      <c r="A33" s="0" t="s">
        <v>838</v>
      </c>
      <c r="B33" s="0" t="s">
        <v>500</v>
      </c>
      <c r="C33" s="9" t="n">
        <f aca="false">(C28*Assumptions!$C$21)</f>
        <v>0</v>
      </c>
      <c r="D33" s="9" t="n">
        <f aca="false">(D28*Assumptions!$C$21)</f>
        <v>0</v>
      </c>
      <c r="E33" s="9" t="n">
        <f aca="false">(E28*Assumptions!$C$21)</f>
        <v>0</v>
      </c>
      <c r="F33" s="9" t="n">
        <f aca="false">(F28*Assumptions!$C$21)</f>
        <v>0</v>
      </c>
      <c r="G33" s="9" t="n">
        <f aca="false">(G28*Assumptions!$C$21)</f>
        <v>0</v>
      </c>
      <c r="H33" s="9" t="n">
        <f aca="false">(H28*Assumptions!$C$21)</f>
        <v>0</v>
      </c>
      <c r="I33" s="9" t="n">
        <f aca="false">(I28*Assumptions!$C$21)</f>
        <v>0</v>
      </c>
      <c r="J33" s="9" t="n">
        <f aca="false">(J28*Assumptions!$C$21)</f>
        <v>0</v>
      </c>
      <c r="K33" s="9" t="n">
        <f aca="false">(K28*Assumptions!$C$21)</f>
        <v>0</v>
      </c>
      <c r="L33" s="9" t="n">
        <f aca="false">(L28*Assumptions!$C$21)</f>
        <v>0</v>
      </c>
      <c r="M33" s="9" t="n">
        <f aca="false">(M28*Assumptions!$C$21)</f>
        <v>0</v>
      </c>
      <c r="N33" s="9" t="n">
        <f aca="false">(N28*Assumptions!$C$21)</f>
        <v>0</v>
      </c>
      <c r="O33" s="9" t="n">
        <f aca="false">(O28*Assumptions!$C$21)</f>
        <v>2.03199270906143</v>
      </c>
      <c r="P33" s="9" t="n">
        <f aca="false">(P28*Assumptions!$C$21)</f>
        <v>4.5369383194057</v>
      </c>
      <c r="Q33" s="9" t="n">
        <f aca="false">(Q28*Assumptions!$C$21)</f>
        <v>6.48556432641828</v>
      </c>
      <c r="R33" s="9" t="n">
        <f aca="false">(R28*Assumptions!$C$21)</f>
        <v>7.92273659667462</v>
      </c>
      <c r="S33" s="9" t="n">
        <f aca="false">(S28*Assumptions!$C$21)</f>
        <v>9.066241413584</v>
      </c>
      <c r="T33" s="9" t="n">
        <f aca="false">(T28*Assumptions!$C$21)</f>
        <v>9.75307807942154</v>
      </c>
      <c r="U33" s="9" t="n">
        <f aca="false">(U28*Assumptions!$C$21)</f>
        <v>10.2061170884938</v>
      </c>
      <c r="V33" s="9" t="n">
        <f aca="false">(V28*Assumptions!$C$21)</f>
        <v>11.0472515486081</v>
      </c>
      <c r="W33" s="9" t="n">
        <f aca="false">(W28*Assumptions!$C$21)</f>
        <v>13.735909875259</v>
      </c>
      <c r="X33" s="9" t="n">
        <f aca="false">(X28*Assumptions!$C$21)</f>
        <v>16.6675884859256</v>
      </c>
      <c r="Y33" s="9" t="n">
        <f aca="false">(Y28*Assumptions!$C$21)</f>
        <v>17.8044704189116</v>
      </c>
      <c r="Z33" s="9" t="n">
        <f aca="false">(Z28*Assumptions!$C$21)</f>
        <v>18.4288111426595</v>
      </c>
      <c r="AA33" s="9" t="n">
        <f aca="false">(AA28*Assumptions!$C$21)</f>
        <v>18.5695292430694</v>
      </c>
      <c r="AB33" s="9" t="n">
        <f aca="false">(AB28*Assumptions!$C$21)</f>
        <v>20.7000865502596</v>
      </c>
      <c r="AC33" s="9" t="n">
        <f aca="false">(AC28*Assumptions!$C$21)</f>
        <v>22.1343767409283</v>
      </c>
      <c r="AD33" s="9" t="n">
        <f aca="false">(AD28*Assumptions!$C$21)</f>
        <v>22.9338786416301</v>
      </c>
      <c r="AE33" s="9" t="n">
        <f aca="false">(AE28*Assumptions!$C$21)</f>
        <v>23.4233559549213</v>
      </c>
      <c r="AF33" s="9" t="n">
        <f aca="false">(AF28*Assumptions!$C$21)</f>
        <v>23.3501631377408</v>
      </c>
      <c r="AG33" s="9" t="n">
        <f aca="false">(AG28*Assumptions!$C$21)</f>
        <v>23.0422243987674</v>
      </c>
      <c r="AH33" s="9" t="n">
        <f aca="false">(AH28*Assumptions!$C$21)</f>
        <v>23.3929516220671</v>
      </c>
      <c r="AI33" s="9" t="n">
        <f aca="false">(AI28*Assumptions!$C$21)</f>
        <v>26.4514229453981</v>
      </c>
      <c r="AJ33" s="9" t="n">
        <f aca="false">(AJ28*Assumptions!$C$21)</f>
        <v>29.8700949283544</v>
      </c>
      <c r="AK33" s="9" t="n">
        <f aca="false">(AK28*Assumptions!$C$21)</f>
        <v>30.8024264294771</v>
      </c>
      <c r="AL33" s="9" t="n">
        <f aca="false">(AL28*Assumptions!$C$21)</f>
        <v>31.0611934871234</v>
      </c>
      <c r="AN33" s="11" t="n">
        <f aca="false">SUM(C33:N33)</f>
        <v>0</v>
      </c>
      <c r="AO33" s="11" t="n">
        <f aca="false">SUM(O33:Z33)</f>
        <v>127.686700004423</v>
      </c>
      <c r="AP33" s="11" t="n">
        <f aca="false">SUM(AA33:AL33)</f>
        <v>295.731704079737</v>
      </c>
    </row>
    <row r="34" customFormat="false" ht="15" hidden="false" customHeight="false" outlineLevel="0" collapsed="false">
      <c r="A34" s="0" t="s">
        <v>839</v>
      </c>
      <c r="B34" s="0" t="s">
        <v>500</v>
      </c>
      <c r="C34" s="9" t="n">
        <f aca="false">((0*(1-C31))+C32)</f>
        <v>0</v>
      </c>
      <c r="D34" s="9" t="n">
        <f aca="false">((C34*(1-D31))+D32)</f>
        <v>0</v>
      </c>
      <c r="E34" s="9" t="n">
        <f aca="false">((D34*(1-E31))+E32)</f>
        <v>0</v>
      </c>
      <c r="F34" s="9" t="n">
        <f aca="false">((E34*(1-F31))+F32)</f>
        <v>0</v>
      </c>
      <c r="G34" s="9" t="n">
        <f aca="false">((F34*(1-G31))+G32)</f>
        <v>0</v>
      </c>
      <c r="H34" s="9" t="n">
        <f aca="false">((G34*(1-H31))+H32)</f>
        <v>0</v>
      </c>
      <c r="I34" s="9" t="n">
        <f aca="false">((H34*(1-I31))+I32)</f>
        <v>0</v>
      </c>
      <c r="J34" s="9" t="n">
        <f aca="false">((I34*(1-J31))+J32)</f>
        <v>0</v>
      </c>
      <c r="K34" s="9" t="n">
        <f aca="false">((J34*(1-K31))+K32)</f>
        <v>0</v>
      </c>
      <c r="L34" s="9" t="n">
        <f aca="false">((K34*(1-L31))+L32)</f>
        <v>0</v>
      </c>
      <c r="M34" s="9" t="n">
        <f aca="false">((L34*(1-M31))+M32)</f>
        <v>0</v>
      </c>
      <c r="N34" s="9" t="n">
        <f aca="false">((M34*(1-N31))+N32)</f>
        <v>0</v>
      </c>
      <c r="O34" s="9" t="n">
        <f aca="false">((N34*(1-O31))+O32)</f>
        <v>2.48354664440842</v>
      </c>
      <c r="P34" s="9" t="n">
        <f aca="false">((O34*(1-P31))+P32)</f>
        <v>7.90451614701719</v>
      </c>
      <c r="Q34" s="9" t="n">
        <f aca="false">((P34*(1-Q31))+Q32)</f>
        <v>15.4360911830664</v>
      </c>
      <c r="R34" s="9" t="n">
        <f aca="false">((Q34*(1-R31))+R32)</f>
        <v>24.3476313531821</v>
      </c>
      <c r="S34" s="9" t="n">
        <f aca="false">((R34*(1-S31))+S32)</f>
        <v>34.2112115132368</v>
      </c>
      <c r="T34" s="9" t="n">
        <f aca="false">((S34*(1-T31))+T32)</f>
        <v>44.4210797013124</v>
      </c>
      <c r="U34" s="9" t="n">
        <f aca="false">((T34*(1-U31))+U32)</f>
        <v>54.6741688244058</v>
      </c>
      <c r="V34" s="9" t="n">
        <f aca="false">((U34*(1-V31))+V32)</f>
        <v>65.4426567203731</v>
      </c>
      <c r="W34" s="9" t="n">
        <f aca="false">((V34*(1-W31))+W32)</f>
        <v>78.9588581763377</v>
      </c>
      <c r="X34" s="9" t="n">
        <f aca="false">((W34*(1-X31))+X32)</f>
        <v>95.3824123058743</v>
      </c>
      <c r="Y34" s="9" t="n">
        <f aca="false">((X34*(1-Y31))+Y32)</f>
        <v>112.374311091472</v>
      </c>
      <c r="Z34" s="9" t="n">
        <f aca="false">((Y34*(1-Z31))+Z32)</f>
        <v>129.279698044594</v>
      </c>
      <c r="AA34" s="9" t="n">
        <f aca="false">((Z34*(1-AA31))+AA32)</f>
        <v>145.511804439449</v>
      </c>
      <c r="AB34" s="9" t="n">
        <f aca="false">((AA34*(1-AB31))+AB32)</f>
        <v>163.536320001127</v>
      </c>
      <c r="AC34" s="9" t="n">
        <f aca="false">((AB34*(1-AC31))+AC32)</f>
        <v>182.412631128872</v>
      </c>
      <c r="AD34" s="9" t="n">
        <f aca="false">((AC34*(1-AD31))+AD32)</f>
        <v>201.322295689976</v>
      </c>
      <c r="AE34" s="9" t="n">
        <f aca="false">((AD34*(1-AE31))+AE32)</f>
        <v>219.884727072603</v>
      </c>
      <c r="AF34" s="9" t="n">
        <f aca="false">((AE34*(1-AF31))+AF32)</f>
        <v>237.429578998434</v>
      </c>
      <c r="AG34" s="9" t="n">
        <f aca="false">((AF34*(1-AG31))+AG32)</f>
        <v>253.720818758117</v>
      </c>
      <c r="AH34" s="9" t="n">
        <f aca="false">((AG34*(1-AH31))+AH32)</f>
        <v>269.626163136071</v>
      </c>
      <c r="AI34" s="9" t="n">
        <f aca="false">((AH34*(1-AI31))+AI32)</f>
        <v>288.474371912532</v>
      </c>
      <c r="AJ34" s="9" t="n">
        <f aca="false">((AI34*(1-AJ31))+AJ32)</f>
        <v>310.558547118227</v>
      </c>
      <c r="AK34" s="9" t="n">
        <f aca="false">((AJ34*(1-AK31))+AK32)</f>
        <v>332.678029842788</v>
      </c>
      <c r="AL34" s="9" t="n">
        <f aca="false">((AK34*(1-AL31))+AL32)</f>
        <v>354.007809279355</v>
      </c>
      <c r="AN34" s="11" t="n">
        <f aca="false">N34</f>
        <v>0</v>
      </c>
      <c r="AO34" s="11" t="n">
        <f aca="false">Z34</f>
        <v>129.279698044594</v>
      </c>
      <c r="AP34" s="11" t="n">
        <f aca="false">AL34</f>
        <v>354.007809279355</v>
      </c>
    </row>
    <row r="35" customFormat="false" ht="15" hidden="false" customHeight="false" outlineLevel="0" collapsed="false">
      <c r="A35" s="0" t="s">
        <v>840</v>
      </c>
      <c r="B35" s="0" t="s">
        <v>193</v>
      </c>
      <c r="C35" s="12" t="n">
        <f aca="false">MAX(0,(1-((1-Assumptions!$C$23)*$C$6)))</f>
        <v>0.55</v>
      </c>
      <c r="D35" s="12" t="n">
        <f aca="false">MAX(0,(1-((1-Assumptions!$C$23)*$C$6)))</f>
        <v>0.55</v>
      </c>
      <c r="E35" s="12" t="n">
        <f aca="false">MAX(0,(1-((1-Assumptions!$C$23)*$C$6)))</f>
        <v>0.55</v>
      </c>
      <c r="F35" s="12" t="n">
        <f aca="false">MAX(0,(1-((1-Assumptions!$C$23)*$C$6)))</f>
        <v>0.55</v>
      </c>
      <c r="G35" s="12" t="n">
        <f aca="false">MAX(0,(1-((1-Assumptions!$C$23)*$C$6)))</f>
        <v>0.55</v>
      </c>
      <c r="H35" s="12" t="n">
        <f aca="false">MAX(0,(1-((1-Assumptions!$C$23)*$C$6)))</f>
        <v>0.55</v>
      </c>
      <c r="I35" s="12" t="n">
        <f aca="false">MAX(0,(1-((1-Assumptions!$C$23)*$C$6)))</f>
        <v>0.55</v>
      </c>
      <c r="J35" s="12" t="n">
        <f aca="false">MAX(0,(1-((1-Assumptions!$C$23)*$C$6)))</f>
        <v>0.55</v>
      </c>
      <c r="K35" s="12" t="n">
        <f aca="false">MAX(0,(1-((1-Assumptions!$C$23)*$C$6)))</f>
        <v>0.55</v>
      </c>
      <c r="L35" s="12" t="n">
        <f aca="false">MAX(0,(1-((1-Assumptions!$C$23)*$C$6)))</f>
        <v>0.55</v>
      </c>
      <c r="M35" s="12" t="n">
        <f aca="false">MAX(0,(1-((1-Assumptions!$C$23)*$C$6)))</f>
        <v>0.55</v>
      </c>
      <c r="N35" s="12" t="n">
        <f aca="false">MAX(0,(1-((1-Assumptions!$C$23)*$C$6)))</f>
        <v>0.55</v>
      </c>
      <c r="O35" s="12" t="n">
        <f aca="false">MAX(0,(1-((1-Assumptions!$C$23)*$C$6)))</f>
        <v>0.55</v>
      </c>
      <c r="P35" s="12" t="n">
        <f aca="false">MAX(0,(1-((1-Assumptions!$C$23)*$C$6)))</f>
        <v>0.55</v>
      </c>
      <c r="Q35" s="12" t="n">
        <f aca="false">MAX(0,(1-((1-Assumptions!$C$23)*$C$6)))</f>
        <v>0.55</v>
      </c>
      <c r="R35" s="12" t="n">
        <f aca="false">MAX(0,(1-((1-Assumptions!$C$23)*$C$6)))</f>
        <v>0.55</v>
      </c>
      <c r="S35" s="12" t="n">
        <f aca="false">MAX(0,(1-((1-Assumptions!$C$23)*$C$6)))</f>
        <v>0.55</v>
      </c>
      <c r="T35" s="12" t="n">
        <f aca="false">MAX(0,(1-((1-Assumptions!$C$23)*$C$6)))</f>
        <v>0.55</v>
      </c>
      <c r="U35" s="12" t="n">
        <f aca="false">MAX(0,(1-((1-Assumptions!$C$23)*$C$6)))</f>
        <v>0.55</v>
      </c>
      <c r="V35" s="12" t="n">
        <f aca="false">MAX(0,(1-((1-Assumptions!$C$23)*$C$6)))</f>
        <v>0.55</v>
      </c>
      <c r="W35" s="12" t="n">
        <f aca="false">MAX(0,(1-((1-Assumptions!$C$23)*$C$6)))</f>
        <v>0.55</v>
      </c>
      <c r="X35" s="12" t="n">
        <f aca="false">MAX(0,(1-((1-Assumptions!$C$23)*$C$6)))</f>
        <v>0.55</v>
      </c>
      <c r="Y35" s="12" t="n">
        <f aca="false">MAX(0,(1-((1-Assumptions!$C$23)*$C$6)))</f>
        <v>0.55</v>
      </c>
      <c r="Z35" s="12" t="n">
        <f aca="false">MAX(0,(1-((1-Assumptions!$C$23)*$C$6)))</f>
        <v>0.55</v>
      </c>
      <c r="AA35" s="12" t="n">
        <f aca="false">MAX(0,(1-((1-Assumptions!$C$23)*$C$6)))</f>
        <v>0.55</v>
      </c>
      <c r="AB35" s="12" t="n">
        <f aca="false">MAX(0,(1-((1-Assumptions!$C$23)*$C$6)))</f>
        <v>0.55</v>
      </c>
      <c r="AC35" s="12" t="n">
        <f aca="false">MAX(0,(1-((1-Assumptions!$C$23)*$C$6)))</f>
        <v>0.55</v>
      </c>
      <c r="AD35" s="12" t="n">
        <f aca="false">MAX(0,(1-((1-Assumptions!$C$23)*$C$6)))</f>
        <v>0.55</v>
      </c>
      <c r="AE35" s="12" t="n">
        <f aca="false">MAX(0,(1-((1-Assumptions!$C$23)*$C$6)))</f>
        <v>0.55</v>
      </c>
      <c r="AF35" s="12" t="n">
        <f aca="false">MAX(0,(1-((1-Assumptions!$C$23)*$C$6)))</f>
        <v>0.55</v>
      </c>
      <c r="AG35" s="12" t="n">
        <f aca="false">MAX(0,(1-((1-Assumptions!$C$23)*$C$6)))</f>
        <v>0.55</v>
      </c>
      <c r="AH35" s="12" t="n">
        <f aca="false">MAX(0,(1-((1-Assumptions!$C$23)*$C$6)))</f>
        <v>0.55</v>
      </c>
      <c r="AI35" s="12" t="n">
        <f aca="false">MAX(0,(1-((1-Assumptions!$C$23)*$C$6)))</f>
        <v>0.55</v>
      </c>
      <c r="AJ35" s="12" t="n">
        <f aca="false">MAX(0,(1-((1-Assumptions!$C$23)*$C$6)))</f>
        <v>0.55</v>
      </c>
      <c r="AK35" s="12" t="n">
        <f aca="false">MAX(0,(1-((1-Assumptions!$C$23)*$C$6)))</f>
        <v>0.55</v>
      </c>
      <c r="AL35" s="12" t="n">
        <f aca="false">MAX(0,(1-((1-Assumptions!$C$23)*$C$6)))</f>
        <v>0.55</v>
      </c>
    </row>
    <row r="36" customFormat="false" ht="15" hidden="false" customHeight="false" outlineLevel="0" collapsed="false">
      <c r="A36" s="0" t="s">
        <v>841</v>
      </c>
      <c r="B36" s="0" t="s">
        <v>500</v>
      </c>
      <c r="C36" s="9" t="n">
        <f aca="false">(C35*0)</f>
        <v>0</v>
      </c>
      <c r="D36" s="9" t="n">
        <f aca="false">(D35*0)</f>
        <v>0</v>
      </c>
      <c r="E36" s="9" t="n">
        <f aca="false">(E35*0)</f>
        <v>0</v>
      </c>
      <c r="F36" s="9" t="n">
        <f aca="false">(F35*0)</f>
        <v>0</v>
      </c>
      <c r="G36" s="9" t="n">
        <f aca="false">(G35*0)</f>
        <v>0</v>
      </c>
      <c r="H36" s="9" t="n">
        <f aca="false">(H35*0)</f>
        <v>0</v>
      </c>
      <c r="I36" s="9" t="n">
        <f aca="false">(I35*0)</f>
        <v>0</v>
      </c>
      <c r="J36" s="9" t="n">
        <f aca="false">(J35*0)</f>
        <v>0</v>
      </c>
      <c r="K36" s="9" t="n">
        <f aca="false">(K35*0)</f>
        <v>0</v>
      </c>
      <c r="L36" s="9" t="n">
        <f aca="false">(L35*0)</f>
        <v>0</v>
      </c>
      <c r="M36" s="9" t="n">
        <f aca="false">(M35*0)</f>
        <v>0</v>
      </c>
      <c r="N36" s="9" t="n">
        <f aca="false">(N35*0)</f>
        <v>0</v>
      </c>
      <c r="O36" s="9" t="n">
        <f aca="false">(O35*C37)</f>
        <v>0</v>
      </c>
      <c r="P36" s="9" t="n">
        <f aca="false">(P35*D37)</f>
        <v>0</v>
      </c>
      <c r="Q36" s="9" t="n">
        <f aca="false">(Q35*E37)</f>
        <v>0</v>
      </c>
      <c r="R36" s="9" t="n">
        <f aca="false">(R35*F37)</f>
        <v>0</v>
      </c>
      <c r="S36" s="9" t="n">
        <f aca="false">(S35*G37)</f>
        <v>0</v>
      </c>
      <c r="T36" s="9" t="n">
        <f aca="false">(T35*H37)</f>
        <v>0</v>
      </c>
      <c r="U36" s="9" t="n">
        <f aca="false">(U35*I37)</f>
        <v>0</v>
      </c>
      <c r="V36" s="9" t="n">
        <f aca="false">(V35*J37)</f>
        <v>0</v>
      </c>
      <c r="W36" s="9" t="n">
        <f aca="false">(W35*K37)</f>
        <v>0</v>
      </c>
      <c r="X36" s="9" t="n">
        <f aca="false">(X35*L37)</f>
        <v>0</v>
      </c>
      <c r="Y36" s="9" t="n">
        <f aca="false">(Y35*M37)</f>
        <v>0</v>
      </c>
      <c r="Z36" s="9" t="n">
        <f aca="false">(Z35*N37)</f>
        <v>0</v>
      </c>
      <c r="AA36" s="9" t="n">
        <f aca="false">(AA35*O37)</f>
        <v>1.11759598998379</v>
      </c>
      <c r="AB36" s="9" t="n">
        <f aca="false">(AB35*P37)</f>
        <v>2.49531607567314</v>
      </c>
      <c r="AC36" s="9" t="n">
        <f aca="false">(AC35*Q37)</f>
        <v>3.56706037953005</v>
      </c>
      <c r="AD36" s="9" t="n">
        <f aca="false">(AD35*R37)</f>
        <v>4.35750512817104</v>
      </c>
      <c r="AE36" s="9" t="n">
        <f aca="false">(AE35*S37)</f>
        <v>4.9864327774712</v>
      </c>
      <c r="AF36" s="9" t="n">
        <f aca="false">(AF35*T37)</f>
        <v>5.36419294368185</v>
      </c>
      <c r="AG36" s="9" t="n">
        <f aca="false">(AG35*U37)</f>
        <v>5.61336439867157</v>
      </c>
      <c r="AH36" s="9" t="n">
        <f aca="false">(AH35*V37)</f>
        <v>6.07598835173444</v>
      </c>
      <c r="AI36" s="9" t="n">
        <f aca="false">(AI35*W37)</f>
        <v>7.55475043139244</v>
      </c>
      <c r="AJ36" s="9" t="n">
        <f aca="false">(AJ35*X37)</f>
        <v>9.16717366725906</v>
      </c>
      <c r="AK36" s="9" t="n">
        <f aca="false">(AK35*Y37)</f>
        <v>9.79245873040136</v>
      </c>
      <c r="AL36" s="9" t="n">
        <f aca="false">(AL35*Z37)</f>
        <v>10.1358461284627</v>
      </c>
      <c r="AN36" s="11" t="n">
        <f aca="false">SUM(C36:N36)</f>
        <v>0</v>
      </c>
      <c r="AO36" s="11" t="n">
        <f aca="false">SUM(O36:Z36)</f>
        <v>0</v>
      </c>
      <c r="AP36" s="11" t="n">
        <f aca="false">SUM(AA36:AL36)</f>
        <v>70.2276850024327</v>
      </c>
    </row>
    <row r="37" customFormat="false" ht="15" hidden="false" customHeight="false" outlineLevel="0" collapsed="false">
      <c r="A37" s="0" t="s">
        <v>842</v>
      </c>
      <c r="B37" s="0" t="s">
        <v>500</v>
      </c>
      <c r="C37" s="9" t="n">
        <f aca="false">(C33+C36)</f>
        <v>0</v>
      </c>
      <c r="D37" s="9" t="n">
        <f aca="false">(D33+D36)</f>
        <v>0</v>
      </c>
      <c r="E37" s="9" t="n">
        <f aca="false">(E33+E36)</f>
        <v>0</v>
      </c>
      <c r="F37" s="9" t="n">
        <f aca="false">(F33+F36)</f>
        <v>0</v>
      </c>
      <c r="G37" s="9" t="n">
        <f aca="false">(G33+G36)</f>
        <v>0</v>
      </c>
      <c r="H37" s="9" t="n">
        <f aca="false">(H33+H36)</f>
        <v>0</v>
      </c>
      <c r="I37" s="9" t="n">
        <f aca="false">(I33+I36)</f>
        <v>0</v>
      </c>
      <c r="J37" s="9" t="n">
        <f aca="false">(J33+J36)</f>
        <v>0</v>
      </c>
      <c r="K37" s="9" t="n">
        <f aca="false">(K33+K36)</f>
        <v>0</v>
      </c>
      <c r="L37" s="9" t="n">
        <f aca="false">(L33+L36)</f>
        <v>0</v>
      </c>
      <c r="M37" s="9" t="n">
        <f aca="false">(M33+M36)</f>
        <v>0</v>
      </c>
      <c r="N37" s="9" t="n">
        <f aca="false">(N33+N36)</f>
        <v>0</v>
      </c>
      <c r="O37" s="9" t="n">
        <f aca="false">(O33+O36)</f>
        <v>2.03199270906143</v>
      </c>
      <c r="P37" s="9" t="n">
        <f aca="false">(P33+P36)</f>
        <v>4.5369383194057</v>
      </c>
      <c r="Q37" s="9" t="n">
        <f aca="false">(Q33+Q36)</f>
        <v>6.48556432641828</v>
      </c>
      <c r="R37" s="9" t="n">
        <f aca="false">(R33+R36)</f>
        <v>7.92273659667462</v>
      </c>
      <c r="S37" s="9" t="n">
        <f aca="false">(S33+S36)</f>
        <v>9.066241413584</v>
      </c>
      <c r="T37" s="9" t="n">
        <f aca="false">(T33+T36)</f>
        <v>9.75307807942154</v>
      </c>
      <c r="U37" s="9" t="n">
        <f aca="false">(U33+U36)</f>
        <v>10.2061170884938</v>
      </c>
      <c r="V37" s="9" t="n">
        <f aca="false">(V33+V36)</f>
        <v>11.0472515486081</v>
      </c>
      <c r="W37" s="9" t="n">
        <f aca="false">(W33+W36)</f>
        <v>13.735909875259</v>
      </c>
      <c r="X37" s="9" t="n">
        <f aca="false">(X33+X36)</f>
        <v>16.6675884859256</v>
      </c>
      <c r="Y37" s="9" t="n">
        <f aca="false">(Y33+Y36)</f>
        <v>17.8044704189116</v>
      </c>
      <c r="Z37" s="9" t="n">
        <f aca="false">(Z33+Z36)</f>
        <v>18.4288111426595</v>
      </c>
      <c r="AA37" s="9" t="n">
        <f aca="false">(AA33+AA36)</f>
        <v>19.6871252330532</v>
      </c>
      <c r="AB37" s="9" t="n">
        <f aca="false">(AB33+AB36)</f>
        <v>23.1954026259327</v>
      </c>
      <c r="AC37" s="9" t="n">
        <f aca="false">(AC33+AC36)</f>
        <v>25.7014371204583</v>
      </c>
      <c r="AD37" s="9" t="n">
        <f aca="false">(AD33+AD36)</f>
        <v>27.2913837698012</v>
      </c>
      <c r="AE37" s="9" t="n">
        <f aca="false">(AE33+AE36)</f>
        <v>28.4097887323925</v>
      </c>
      <c r="AF37" s="9" t="n">
        <f aca="false">(AF33+AF36)</f>
        <v>28.7143560814227</v>
      </c>
      <c r="AG37" s="9" t="n">
        <f aca="false">(AG33+AG36)</f>
        <v>28.655588797439</v>
      </c>
      <c r="AH37" s="9" t="n">
        <f aca="false">(AH33+AH36)</f>
        <v>29.4689399738016</v>
      </c>
      <c r="AI37" s="9" t="n">
        <f aca="false">(AI33+AI36)</f>
        <v>34.0061733767906</v>
      </c>
      <c r="AJ37" s="9" t="n">
        <f aca="false">(AJ33+AJ36)</f>
        <v>39.0372685956135</v>
      </c>
      <c r="AK37" s="9" t="n">
        <f aca="false">(AK33+AK36)</f>
        <v>40.5948851598784</v>
      </c>
      <c r="AL37" s="9" t="n">
        <f aca="false">(AL33+AL36)</f>
        <v>41.1970396155862</v>
      </c>
      <c r="AN37" s="11" t="n">
        <f aca="false">SUM(C37:N37)</f>
        <v>0</v>
      </c>
      <c r="AO37" s="11" t="n">
        <f aca="false">SUM(O37:Z37)</f>
        <v>127.686700004423</v>
      </c>
      <c r="AP37" s="11" t="n">
        <f aca="false">SUM(AA37:AL37)</f>
        <v>365.95938908217</v>
      </c>
    </row>
    <row r="38" customFormat="false" ht="15" hidden="false" customHeight="false" outlineLevel="0" collapsed="false">
      <c r="A38" s="0" t="s">
        <v>843</v>
      </c>
      <c r="B38" s="0" t="s">
        <v>500</v>
      </c>
      <c r="C38" s="9" t="n">
        <f aca="false">C37</f>
        <v>0</v>
      </c>
      <c r="D38" s="9" t="n">
        <f aca="false">SUM(C37:D37)</f>
        <v>0</v>
      </c>
      <c r="E38" s="9" t="n">
        <f aca="false">SUM(C37:E37)</f>
        <v>0</v>
      </c>
      <c r="F38" s="9" t="n">
        <f aca="false">SUM(C37:F37)</f>
        <v>0</v>
      </c>
      <c r="G38" s="9" t="n">
        <f aca="false">SUM(C37:G37)</f>
        <v>0</v>
      </c>
      <c r="H38" s="9" t="n">
        <f aca="false">SUM(C37:H37)</f>
        <v>0</v>
      </c>
      <c r="I38" s="9" t="n">
        <f aca="false">SUM(C37:I37)</f>
        <v>0</v>
      </c>
      <c r="J38" s="9" t="n">
        <f aca="false">SUM(C37:J37)</f>
        <v>0</v>
      </c>
      <c r="K38" s="9" t="n">
        <f aca="false">SUM(C37:K37)</f>
        <v>0</v>
      </c>
      <c r="L38" s="9" t="n">
        <f aca="false">SUM(C37:L37)</f>
        <v>0</v>
      </c>
      <c r="M38" s="9" t="n">
        <f aca="false">SUM(C37:M37)</f>
        <v>0</v>
      </c>
      <c r="N38" s="9" t="n">
        <f aca="false">SUM(C37:N37)</f>
        <v>0</v>
      </c>
      <c r="O38" s="9" t="n">
        <f aca="false">SUM(D37:O37)</f>
        <v>2.03199270906143</v>
      </c>
      <c r="P38" s="9" t="n">
        <f aca="false">SUM(E37:P37)</f>
        <v>6.56893102846713</v>
      </c>
      <c r="Q38" s="9" t="n">
        <f aca="false">SUM(F37:Q37)</f>
        <v>13.0544953548854</v>
      </c>
      <c r="R38" s="9" t="n">
        <f aca="false">SUM(G37:R37)</f>
        <v>20.97723195156</v>
      </c>
      <c r="S38" s="9" t="n">
        <f aca="false">SUM(H37:S37)</f>
        <v>30.043473365144</v>
      </c>
      <c r="T38" s="9" t="n">
        <f aca="false">SUM(I37:T37)</f>
        <v>39.7965514445656</v>
      </c>
      <c r="U38" s="9" t="n">
        <f aca="false">SUM(J37:U37)</f>
        <v>50.0026685330593</v>
      </c>
      <c r="V38" s="9" t="n">
        <f aca="false">SUM(K37:V37)</f>
        <v>61.0499200816674</v>
      </c>
      <c r="W38" s="9" t="n">
        <f aca="false">SUM(L37:W37)</f>
        <v>74.7858299569264</v>
      </c>
      <c r="X38" s="9" t="n">
        <f aca="false">SUM(M37:X37)</f>
        <v>91.4534184428519</v>
      </c>
      <c r="Y38" s="9" t="n">
        <f aca="false">SUM(N37:Y37)</f>
        <v>109.257888861763</v>
      </c>
      <c r="Z38" s="9" t="n">
        <f aca="false">SUM(O37:Z37)</f>
        <v>127.686700004423</v>
      </c>
      <c r="AA38" s="9" t="n">
        <f aca="false">SUM(P37:AA37)</f>
        <v>145.341832528415</v>
      </c>
      <c r="AB38" s="9" t="n">
        <f aca="false">SUM(Q37:AB37)</f>
        <v>164.000296834942</v>
      </c>
      <c r="AC38" s="9" t="n">
        <f aca="false">SUM(R37:AC37)</f>
        <v>183.216169628982</v>
      </c>
      <c r="AD38" s="9" t="n">
        <f aca="false">SUM(S37:AD37)</f>
        <v>202.584816802108</v>
      </c>
      <c r="AE38" s="9" t="n">
        <f aca="false">SUM(T37:AE37)</f>
        <v>221.928364120917</v>
      </c>
      <c r="AF38" s="9" t="n">
        <f aca="false">SUM(U37:AF37)</f>
        <v>240.889642122918</v>
      </c>
      <c r="AG38" s="9" t="n">
        <f aca="false">SUM(V37:AG37)</f>
        <v>259.339113831863</v>
      </c>
      <c r="AH38" s="9" t="n">
        <f aca="false">SUM(W37:AH37)</f>
        <v>277.760802257057</v>
      </c>
      <c r="AI38" s="9" t="n">
        <f aca="false">SUM(X37:AI37)</f>
        <v>298.031065758588</v>
      </c>
      <c r="AJ38" s="9" t="n">
        <f aca="false">SUM(Y37:AJ37)</f>
        <v>320.400745868276</v>
      </c>
      <c r="AK38" s="9" t="n">
        <f aca="false">SUM(Z37:AK37)</f>
        <v>343.191160609243</v>
      </c>
      <c r="AL38" s="9" t="n">
        <f aca="false">SUM(AA37:AL37)</f>
        <v>365.95938908217</v>
      </c>
      <c r="AN38" s="11" t="n">
        <f aca="false">N38</f>
        <v>0</v>
      </c>
      <c r="AO38" s="11" t="n">
        <f aca="false">Z38</f>
        <v>127.686700004423</v>
      </c>
      <c r="AP38" s="11" t="n">
        <f aca="false">AL38</f>
        <v>365.95938908217</v>
      </c>
    </row>
    <row r="39" customFormat="false" ht="15" hidden="false" customHeight="false" outlineLevel="0" collapsed="false">
      <c r="A39" s="0" t="s">
        <v>844</v>
      </c>
      <c r="B39" s="0" t="s">
        <v>500</v>
      </c>
      <c r="C39" s="9" t="n">
        <f aca="false">(C34+C38)</f>
        <v>0</v>
      </c>
      <c r="D39" s="9" t="n">
        <f aca="false">(D34+D38)</f>
        <v>0</v>
      </c>
      <c r="E39" s="9" t="n">
        <f aca="false">(E34+E38)</f>
        <v>0</v>
      </c>
      <c r="F39" s="9" t="n">
        <f aca="false">(F34+F38)</f>
        <v>0</v>
      </c>
      <c r="G39" s="9" t="n">
        <f aca="false">(G34+G38)</f>
        <v>0</v>
      </c>
      <c r="H39" s="9" t="n">
        <f aca="false">(H34+H38)</f>
        <v>0</v>
      </c>
      <c r="I39" s="9" t="n">
        <f aca="false">(I34+I38)</f>
        <v>0</v>
      </c>
      <c r="J39" s="9" t="n">
        <f aca="false">(J34+J38)</f>
        <v>0</v>
      </c>
      <c r="K39" s="9" t="n">
        <f aca="false">(K34+K38)</f>
        <v>0</v>
      </c>
      <c r="L39" s="9" t="n">
        <f aca="false">(L34+L38)</f>
        <v>0</v>
      </c>
      <c r="M39" s="9" t="n">
        <f aca="false">(M34+M38)</f>
        <v>0</v>
      </c>
      <c r="N39" s="9" t="n">
        <f aca="false">(N34+N38)</f>
        <v>0</v>
      </c>
      <c r="O39" s="9" t="n">
        <f aca="false">(O34+O38)</f>
        <v>4.51553935346985</v>
      </c>
      <c r="P39" s="9" t="n">
        <f aca="false">(P34+P38)</f>
        <v>14.4734471754843</v>
      </c>
      <c r="Q39" s="9" t="n">
        <f aca="false">(Q34+Q38)</f>
        <v>28.4905865379519</v>
      </c>
      <c r="R39" s="9" t="n">
        <f aca="false">(R34+R38)</f>
        <v>45.3248633047421</v>
      </c>
      <c r="S39" s="9" t="n">
        <f aca="false">(S34+S38)</f>
        <v>64.2546848783808</v>
      </c>
      <c r="T39" s="9" t="n">
        <f aca="false">(T34+T38)</f>
        <v>84.2176311458779</v>
      </c>
      <c r="U39" s="9" t="n">
        <f aca="false">(U34+U38)</f>
        <v>104.676837357465</v>
      </c>
      <c r="V39" s="9" t="n">
        <f aca="false">(V34+V38)</f>
        <v>126.492576802041</v>
      </c>
      <c r="W39" s="9" t="n">
        <f aca="false">(W34+W38)</f>
        <v>153.744688133264</v>
      </c>
      <c r="X39" s="9" t="n">
        <f aca="false">(X34+X38)</f>
        <v>186.835830748726</v>
      </c>
      <c r="Y39" s="9" t="n">
        <f aca="false">(Y34+Y38)</f>
        <v>221.632199953236</v>
      </c>
      <c r="Z39" s="9" t="n">
        <f aca="false">(Z34+Z38)</f>
        <v>256.966398049017</v>
      </c>
      <c r="AA39" s="9" t="n">
        <f aca="false">(AA34+AA38)</f>
        <v>290.853636967864</v>
      </c>
      <c r="AB39" s="9" t="n">
        <f aca="false">(AB34+AB38)</f>
        <v>327.536616836069</v>
      </c>
      <c r="AC39" s="9" t="n">
        <f aca="false">(AC34+AC38)</f>
        <v>365.628800757854</v>
      </c>
      <c r="AD39" s="9" t="n">
        <f aca="false">(AD34+AD38)</f>
        <v>403.907112492085</v>
      </c>
      <c r="AE39" s="9" t="n">
        <f aca="false">(AE34+AE38)</f>
        <v>441.81309119352</v>
      </c>
      <c r="AF39" s="9" t="n">
        <f aca="false">(AF34+AF38)</f>
        <v>478.319221121352</v>
      </c>
      <c r="AG39" s="9" t="n">
        <f aca="false">(AG34+AG38)</f>
        <v>513.05993258998</v>
      </c>
      <c r="AH39" s="9" t="n">
        <f aca="false">(AH34+AH38)</f>
        <v>547.386965393128</v>
      </c>
      <c r="AI39" s="9" t="n">
        <f aca="false">(AI34+AI38)</f>
        <v>586.50543767112</v>
      </c>
      <c r="AJ39" s="9" t="n">
        <f aca="false">(AJ34+AJ38)</f>
        <v>630.959292986504</v>
      </c>
      <c r="AK39" s="9" t="n">
        <f aca="false">(AK34+AK38)</f>
        <v>675.869190452031</v>
      </c>
      <c r="AL39" s="9" t="n">
        <f aca="false">(AL34+AL38)</f>
        <v>719.967198361525</v>
      </c>
      <c r="AN39" s="11" t="n">
        <f aca="false">N39</f>
        <v>0</v>
      </c>
      <c r="AO39" s="11" t="n">
        <f aca="false">Z39</f>
        <v>256.966398049017</v>
      </c>
      <c r="AP39" s="11" t="n">
        <f aca="false">AL39</f>
        <v>719.967198361525</v>
      </c>
    </row>
    <row r="40" customFormat="false" ht="15" hidden="false" customHeight="false" outlineLevel="0" collapsed="false">
      <c r="A40" s="0" t="s">
        <v>845</v>
      </c>
      <c r="B40" s="0" t="s">
        <v>500</v>
      </c>
      <c r="C40" s="9" t="n">
        <f aca="false">((0+C28)-C39)</f>
        <v>0</v>
      </c>
      <c r="D40" s="9" t="n">
        <f aca="false">((C39+D28)-D39)</f>
        <v>0</v>
      </c>
      <c r="E40" s="9" t="n">
        <f aca="false">((D39+E28)-E39)</f>
        <v>0</v>
      </c>
      <c r="F40" s="9" t="n">
        <f aca="false">((E39+F28)-F39)</f>
        <v>0</v>
      </c>
      <c r="G40" s="9" t="n">
        <f aca="false">((F39+G28)-G39)</f>
        <v>0</v>
      </c>
      <c r="H40" s="9" t="n">
        <f aca="false">((G39+H28)-H39)</f>
        <v>0</v>
      </c>
      <c r="I40" s="9" t="n">
        <f aca="false">((H39+I28)-I39)</f>
        <v>0</v>
      </c>
      <c r="J40" s="9" t="n">
        <f aca="false">((I39+J28)-J39)</f>
        <v>0</v>
      </c>
      <c r="K40" s="9" t="n">
        <f aca="false">((J39+K28)-K39)</f>
        <v>0</v>
      </c>
      <c r="L40" s="9" t="n">
        <f aca="false">((K39+L28)-L39)</f>
        <v>0</v>
      </c>
      <c r="M40" s="9" t="n">
        <f aca="false">((L39+M28)-M39)</f>
        <v>0</v>
      </c>
      <c r="N40" s="9" t="n">
        <f aca="false">((M39+N28)-N39)</f>
        <v>0</v>
      </c>
      <c r="O40" s="9" t="n">
        <f aca="false">((N39+O28)-O39)</f>
        <v>0</v>
      </c>
      <c r="P40" s="9" t="n">
        <f aca="false">((O39+P28)-P39)</f>
        <v>0.12417733222042</v>
      </c>
      <c r="Q40" s="9" t="n">
        <f aca="false">((P39+Q28)-Q39)</f>
        <v>0.395225807350862</v>
      </c>
      <c r="R40" s="9" t="n">
        <f aca="false">((Q39+R28)-R39)</f>
        <v>0.771804559153324</v>
      </c>
      <c r="S40" s="9" t="n">
        <f aca="false">((R39+S28)-S39)</f>
        <v>1.2173815676591</v>
      </c>
      <c r="T40" s="9" t="n">
        <f aca="false">((S39+T28)-T39)</f>
        <v>1.71056057566183</v>
      </c>
      <c r="U40" s="9" t="n">
        <f aca="false">((T39+U28)-U39)</f>
        <v>2.22105398506564</v>
      </c>
      <c r="V40" s="9" t="n">
        <f aca="false">((U39+V28)-V39)</f>
        <v>2.73370844122029</v>
      </c>
      <c r="W40" s="9" t="n">
        <f aca="false">((V39+W28)-W39)</f>
        <v>3.27213283601867</v>
      </c>
      <c r="X40" s="9" t="n">
        <f aca="false">((W39+X28)-X39)</f>
        <v>3.94794290881686</v>
      </c>
      <c r="Y40" s="9" t="n">
        <f aca="false">((X39+Y28)-Y39)</f>
        <v>4.76912061529373</v>
      </c>
      <c r="Z40" s="9" t="n">
        <f aca="false">((Y39+Z28)-Z39)</f>
        <v>5.61871555457367</v>
      </c>
      <c r="AA40" s="9" t="n">
        <f aca="false">((Z39+AA28)-AA39)</f>
        <v>7.37838162130731</v>
      </c>
      <c r="AB40" s="9" t="n">
        <f aca="false">((AA39+AB28)-AB39)</f>
        <v>9.31721246570498</v>
      </c>
      <c r="AC40" s="9" t="n">
        <f aca="false">((AB39+AC28)-AC39)</f>
        <v>11.0953199469446</v>
      </c>
      <c r="AD40" s="9" t="n">
        <f aca="false">((AC39+AD28)-AD39)</f>
        <v>12.6858630249472</v>
      </c>
      <c r="AE40" s="9" t="n">
        <f aca="false">((AD39+AE28)-AE39)</f>
        <v>14.1459234206117</v>
      </c>
      <c r="AF40" s="9" t="n">
        <f aca="false">((AE39+AF28)-AF39)</f>
        <v>15.3831214893698</v>
      </c>
      <c r="AG40" s="9" t="n">
        <f aca="false">((AF39+AG28)-AG39)</f>
        <v>16.464231639744</v>
      </c>
      <c r="AH40" s="9" t="n">
        <f aca="false">((AG39+AH28)-AH39)</f>
        <v>17.6573041347795</v>
      </c>
      <c r="AI40" s="9" t="n">
        <f aca="false">((AH39+AI28)-AI39)</f>
        <v>19.6624676006701</v>
      </c>
      <c r="AJ40" s="9" t="n">
        <f aca="false">((AI39+AJ28)-AJ39)</f>
        <v>21.9241334142932</v>
      </c>
      <c r="AK40" s="9" t="n">
        <f aca="false">((AJ39+AK28)-AK39)</f>
        <v>23.5399390444215</v>
      </c>
      <c r="AL40" s="9" t="n">
        <f aca="false">((AK39+AL28)-AL39)</f>
        <v>24.9268665063362</v>
      </c>
      <c r="AN40" s="11" t="n">
        <f aca="false">SUM(C40:N40)</f>
        <v>0</v>
      </c>
      <c r="AO40" s="11" t="n">
        <f aca="false">SUM(O40:Z40)</f>
        <v>26.7818241830344</v>
      </c>
      <c r="AP40" s="11" t="n">
        <f aca="false">SUM(AA40:AL40)</f>
        <v>194.18076430913</v>
      </c>
    </row>
    <row r="41" customFormat="false" ht="15" hidden="false" customHeight="false" outlineLevel="0" collapsed="false">
      <c r="A41" s="0" t="s">
        <v>846</v>
      </c>
      <c r="B41" s="0" t="s">
        <v>230</v>
      </c>
      <c r="C41" s="9" t="n">
        <f aca="false">((((Assumptions!$C$12*(1-Assumptions!$C$14))*C34)+((Assumptions!$C$13*(1-Assumptions!$C$14))*C37))*(1-Assumptions!$C$15))</f>
        <v>0</v>
      </c>
      <c r="D41" s="9" t="n">
        <f aca="false">((((Assumptions!$C$12*(1-Assumptions!$C$14))*D34)+((Assumptions!$C$13*(1-Assumptions!$C$14))*D37))*(1-Assumptions!$C$15))</f>
        <v>0</v>
      </c>
      <c r="E41" s="9" t="n">
        <f aca="false">((((Assumptions!$C$12*(1-Assumptions!$C$14))*E34)+((Assumptions!$C$13*(1-Assumptions!$C$14))*E37))*(1-Assumptions!$C$15))</f>
        <v>0</v>
      </c>
      <c r="F41" s="9" t="n">
        <f aca="false">((((Assumptions!$C$12*(1-Assumptions!$C$14))*F34)+((Assumptions!$C$13*(1-Assumptions!$C$14))*F37))*(1-Assumptions!$C$15))</f>
        <v>0</v>
      </c>
      <c r="G41" s="9" t="n">
        <f aca="false">((((Assumptions!$C$12*(1-Assumptions!$C$14))*G34)+((Assumptions!$C$13*(1-Assumptions!$C$14))*G37))*(1-Assumptions!$C$15))</f>
        <v>0</v>
      </c>
      <c r="H41" s="9" t="n">
        <f aca="false">((((Assumptions!$C$12*(1-Assumptions!$C$14))*H34)+((Assumptions!$C$13*(1-Assumptions!$C$14))*H37))*(1-Assumptions!$C$15))</f>
        <v>0</v>
      </c>
      <c r="I41" s="9" t="n">
        <f aca="false">((((Assumptions!$C$12*(1-Assumptions!$C$14))*I34)+((Assumptions!$C$13*(1-Assumptions!$C$14))*I37))*(1-Assumptions!$C$15))</f>
        <v>0</v>
      </c>
      <c r="J41" s="9" t="n">
        <f aca="false">((((Assumptions!$C$12*(1-Assumptions!$C$14))*J34)+((Assumptions!$C$13*(1-Assumptions!$C$14))*J37))*(1-Assumptions!$C$15))</f>
        <v>0</v>
      </c>
      <c r="K41" s="9" t="n">
        <f aca="false">((((Assumptions!$C$12*(1-Assumptions!$C$14))*K34)+((Assumptions!$C$13*(1-Assumptions!$C$14))*K37))*(1-Assumptions!$C$15))</f>
        <v>0</v>
      </c>
      <c r="L41" s="9" t="n">
        <f aca="false">((((Assumptions!$C$12*(1-Assumptions!$C$14))*L34)+((Assumptions!$C$13*(1-Assumptions!$C$14))*L37))*(1-Assumptions!$C$15))</f>
        <v>0</v>
      </c>
      <c r="M41" s="9" t="n">
        <f aca="false">((((Assumptions!$C$12*(1-Assumptions!$C$14))*M34)+((Assumptions!$C$13*(1-Assumptions!$C$14))*M37))*(1-Assumptions!$C$15))</f>
        <v>0</v>
      </c>
      <c r="N41" s="9" t="n">
        <f aca="false">((((Assumptions!$C$12*(1-Assumptions!$C$14))*N34)+((Assumptions!$C$13*(1-Assumptions!$C$14))*N37))*(1-Assumptions!$C$15))</f>
        <v>0</v>
      </c>
      <c r="O41" s="9" t="n">
        <f aca="false">((((Assumptions!$C$12*(1-Assumptions!$C$14))*O34)+((Assumptions!$C$13*(1-Assumptions!$C$14))*O37))*(1-Assumptions!$C$15))</f>
        <v>121.607982877657</v>
      </c>
      <c r="P41" s="9" t="n">
        <f aca="false">((((Assumptions!$C$12*(1-Assumptions!$C$14))*P34)+((Assumptions!$C$13*(1-Assumptions!$C$14))*P37))*(1-Assumptions!$C$15))</f>
        <v>287.926957961313</v>
      </c>
      <c r="Q41" s="9" t="n">
        <f aca="false">((((Assumptions!$C$12*(1-Assumptions!$C$14))*Q34)+((Assumptions!$C$13*(1-Assumptions!$C$14))*Q37))*(1-Assumptions!$C$15))</f>
        <v>440.356712315043</v>
      </c>
      <c r="R41" s="9" t="n">
        <f aca="false">((((Assumptions!$C$12*(1-Assumptions!$C$14))*R34)+((Assumptions!$C$13*(1-Assumptions!$C$14))*R37))*(1-Assumptions!$C$15))</f>
        <v>576.120353042797</v>
      </c>
      <c r="S41" s="9" t="n">
        <f aca="false">((((Assumptions!$C$12*(1-Assumptions!$C$14))*S34)+((Assumptions!$C$13*(1-Assumptions!$C$14))*S37))*(1-Assumptions!$C$15))</f>
        <v>703.425043098247</v>
      </c>
      <c r="T41" s="9" t="n">
        <f aca="false">((((Assumptions!$C$12*(1-Assumptions!$C$14))*T34)+((Assumptions!$C$13*(1-Assumptions!$C$14))*T37))*(1-Assumptions!$C$15))</f>
        <v>809.68885595449</v>
      </c>
      <c r="U41" s="9" t="n">
        <f aca="false">((((Assumptions!$C$12*(1-Assumptions!$C$14))*U34)+((Assumptions!$C$13*(1-Assumptions!$C$14))*U37))*(1-Assumptions!$C$15))</f>
        <v>904.248242156615</v>
      </c>
      <c r="V41" s="9" t="n">
        <f aca="false">((((Assumptions!$C$12*(1-Assumptions!$C$14))*V34)+((Assumptions!$C$13*(1-Assumptions!$C$14))*V37))*(1-Assumptions!$C$15))</f>
        <v>1022.31936405095</v>
      </c>
      <c r="W41" s="9" t="n">
        <f aca="false">((((Assumptions!$C$12*(1-Assumptions!$C$14))*W34)+((Assumptions!$C$13*(1-Assumptions!$C$14))*W37))*(1-Assumptions!$C$15))</f>
        <v>1254.36335472606</v>
      </c>
      <c r="X41" s="9" t="n">
        <f aca="false">((((Assumptions!$C$12*(1-Assumptions!$C$14))*X34)+((Assumptions!$C$13*(1-Assumptions!$C$14))*X37))*(1-Assumptions!$C$15))</f>
        <v>1519.10272760288</v>
      </c>
      <c r="Y41" s="9" t="n">
        <f aca="false">((((Assumptions!$C$12*(1-Assumptions!$C$14))*Y34)+((Assumptions!$C$13*(1-Assumptions!$C$14))*Y37))*(1-Assumptions!$C$15))</f>
        <v>1695.63551564298</v>
      </c>
      <c r="Z41" s="9" t="n">
        <f aca="false">((((Assumptions!$C$12*(1-Assumptions!$C$14))*Z34)+((Assumptions!$C$13*(1-Assumptions!$C$14))*Z37))*(1-Assumptions!$C$15))</f>
        <v>1845.24891436354</v>
      </c>
      <c r="AA41" s="9" t="n">
        <f aca="false">((((Assumptions!$C$12*(1-Assumptions!$C$14))*AA34)+((Assumptions!$C$13*(1-Assumptions!$C$14))*AA37))*(1-Assumptions!$C$15))</f>
        <v>2022.73359832443</v>
      </c>
      <c r="AB41" s="9" t="n">
        <f aca="false">((((Assumptions!$C$12*(1-Assumptions!$C$14))*AB34)+((Assumptions!$C$13*(1-Assumptions!$C$14))*AB37))*(1-Assumptions!$C$15))</f>
        <v>2328.21259319848</v>
      </c>
      <c r="AC41" s="9" t="n">
        <f aca="false">((((Assumptions!$C$12*(1-Assumptions!$C$14))*AC34)+((Assumptions!$C$13*(1-Assumptions!$C$14))*AC37))*(1-Assumptions!$C$15))</f>
        <v>2588.1518486731</v>
      </c>
      <c r="AD41" s="9" t="n">
        <f aca="false">((((Assumptions!$C$12*(1-Assumptions!$C$14))*AD34)+((Assumptions!$C$13*(1-Assumptions!$C$14))*AD37))*(1-Assumptions!$C$15))</f>
        <v>2801.28402996912</v>
      </c>
      <c r="AE41" s="9" t="n">
        <f aca="false">((((Assumptions!$C$12*(1-Assumptions!$C$14))*AE34)+((Assumptions!$C$13*(1-Assumptions!$C$14))*AE37))*(1-Assumptions!$C$15))</f>
        <v>2987.78907588485</v>
      </c>
      <c r="AF41" s="9" t="n">
        <f aca="false">((((Assumptions!$C$12*(1-Assumptions!$C$14))*AF34)+((Assumptions!$C$13*(1-Assumptions!$C$14))*AF37))*(1-Assumptions!$C$15))</f>
        <v>3125.42949295474</v>
      </c>
      <c r="AG41" s="9" t="n">
        <f aca="false">((((Assumptions!$C$12*(1-Assumptions!$C$14))*AG34)+((Assumptions!$C$13*(1-Assumptions!$C$14))*AG37))*(1-Assumptions!$C$15))</f>
        <v>3235.69627313012</v>
      </c>
      <c r="AH41" s="9" t="n">
        <f aca="false">((((Assumptions!$C$12*(1-Assumptions!$C$14))*AH34)+((Assumptions!$C$13*(1-Assumptions!$C$14))*AH37))*(1-Assumptions!$C$15))</f>
        <v>3388.06093081358</v>
      </c>
      <c r="AI41" s="9" t="n">
        <f aca="false">((((Assumptions!$C$12*(1-Assumptions!$C$14))*AI34)+((Assumptions!$C$13*(1-Assumptions!$C$14))*AI37))*(1-Assumptions!$C$15))</f>
        <v>3752.10216324449</v>
      </c>
      <c r="AJ41" s="9" t="n">
        <f aca="false">((((Assumptions!$C$12*(1-Assumptions!$C$14))*AJ34)+((Assumptions!$C$13*(1-Assumptions!$C$14))*AJ37))*(1-Assumptions!$C$15))</f>
        <v>4164.00399408736</v>
      </c>
      <c r="AK41" s="9" t="n">
        <f aca="false">((((Assumptions!$C$12*(1-Assumptions!$C$14))*AK34)+((Assumptions!$C$13*(1-Assumptions!$C$14))*AK37))*(1-Assumptions!$C$15))</f>
        <v>4397.79620280759</v>
      </c>
      <c r="AL41" s="9" t="n">
        <f aca="false">((((Assumptions!$C$12*(1-Assumptions!$C$14))*AL34)+((Assumptions!$C$13*(1-Assumptions!$C$14))*AL37))*(1-Assumptions!$C$15))</f>
        <v>4577.03627243166</v>
      </c>
      <c r="AN41" s="11" t="n">
        <f aca="false">SUM(C41:N41)</f>
        <v>0</v>
      </c>
      <c r="AO41" s="11" t="n">
        <f aca="false">SUM(O41:Z41)</f>
        <v>11180.0440237926</v>
      </c>
      <c r="AP41" s="11" t="n">
        <f aca="false">SUM(AA41:AL41)</f>
        <v>39368.2964755195</v>
      </c>
    </row>
    <row r="42" customFormat="false" ht="15" hidden="false" customHeight="false" outlineLevel="0" collapsed="false">
      <c r="A42" s="0" t="s">
        <v>847</v>
      </c>
      <c r="B42" s="0" t="s">
        <v>230</v>
      </c>
      <c r="C42" s="9" t="n">
        <f aca="false">((((Assumptions!$C$12*(1-Assumptions!$C$14))*C34)+(((Assumptions!$C$13*(1-Assumptions!$C$14))/12)*C38))*(1-Assumptions!$C$15))</f>
        <v>0</v>
      </c>
      <c r="D42" s="9" t="n">
        <f aca="false">((((Assumptions!$C$12*(1-Assumptions!$C$14))*D34)+(((Assumptions!$C$13*(1-Assumptions!$C$14))/12)*D38))*(1-Assumptions!$C$15))</f>
        <v>0</v>
      </c>
      <c r="E42" s="9" t="n">
        <f aca="false">((((Assumptions!$C$12*(1-Assumptions!$C$14))*E34)+(((Assumptions!$C$13*(1-Assumptions!$C$14))/12)*E38))*(1-Assumptions!$C$15))</f>
        <v>0</v>
      </c>
      <c r="F42" s="9" t="n">
        <f aca="false">((((Assumptions!$C$12*(1-Assumptions!$C$14))*F34)+(((Assumptions!$C$13*(1-Assumptions!$C$14))/12)*F38))*(1-Assumptions!$C$15))</f>
        <v>0</v>
      </c>
      <c r="G42" s="9" t="n">
        <f aca="false">((((Assumptions!$C$12*(1-Assumptions!$C$14))*G34)+(((Assumptions!$C$13*(1-Assumptions!$C$14))/12)*G38))*(1-Assumptions!$C$15))</f>
        <v>0</v>
      </c>
      <c r="H42" s="9" t="n">
        <f aca="false">((((Assumptions!$C$12*(1-Assumptions!$C$14))*H34)+(((Assumptions!$C$13*(1-Assumptions!$C$14))/12)*H38))*(1-Assumptions!$C$15))</f>
        <v>0</v>
      </c>
      <c r="I42" s="9" t="n">
        <f aca="false">((((Assumptions!$C$12*(1-Assumptions!$C$14))*I34)+(((Assumptions!$C$13*(1-Assumptions!$C$14))/12)*I38))*(1-Assumptions!$C$15))</f>
        <v>0</v>
      </c>
      <c r="J42" s="9" t="n">
        <f aca="false">((((Assumptions!$C$12*(1-Assumptions!$C$14))*J34)+(((Assumptions!$C$13*(1-Assumptions!$C$14))/12)*J38))*(1-Assumptions!$C$15))</f>
        <v>0</v>
      </c>
      <c r="K42" s="9" t="n">
        <f aca="false">((((Assumptions!$C$12*(1-Assumptions!$C$14))*K34)+(((Assumptions!$C$13*(1-Assumptions!$C$14))/12)*K38))*(1-Assumptions!$C$15))</f>
        <v>0</v>
      </c>
      <c r="L42" s="9" t="n">
        <f aca="false">((((Assumptions!$C$12*(1-Assumptions!$C$14))*L34)+(((Assumptions!$C$13*(1-Assumptions!$C$14))/12)*L38))*(1-Assumptions!$C$15))</f>
        <v>0</v>
      </c>
      <c r="M42" s="9" t="n">
        <f aca="false">((((Assumptions!$C$12*(1-Assumptions!$C$14))*M34)+(((Assumptions!$C$13*(1-Assumptions!$C$14))/12)*M38))*(1-Assumptions!$C$15))</f>
        <v>0</v>
      </c>
      <c r="N42" s="9" t="n">
        <f aca="false">((((Assumptions!$C$12*(1-Assumptions!$C$14))*N34)+(((Assumptions!$C$13*(1-Assumptions!$C$14))/12)*N38))*(1-Assumptions!$C$15))</f>
        <v>0</v>
      </c>
      <c r="O42" s="9" t="n">
        <f aca="false">((((Assumptions!$C$12*(1-Assumptions!$C$14))*O34)+(((Assumptions!$C$13*(1-Assumptions!$C$14))/12)*O38))*(1-Assumptions!$C$15))</f>
        <v>25.964676852839</v>
      </c>
      <c r="P42" s="9" t="n">
        <f aca="false">((((Assumptions!$C$12*(1-Assumptions!$C$14))*P34)+(((Assumptions!$C$13*(1-Assumptions!$C$14))/12)*P38))*(1-Assumptions!$C$15))</f>
        <v>83.0739018655001</v>
      </c>
      <c r="Q42" s="9" t="n">
        <f aca="false">((((Assumptions!$C$12*(1-Assumptions!$C$14))*Q34)+(((Assumptions!$C$13*(1-Assumptions!$C$14))/12)*Q38))*(1-Assumptions!$C$15))</f>
        <v>163.197760212586</v>
      </c>
      <c r="R42" s="9" t="n">
        <f aca="false">((((Assumptions!$C$12*(1-Assumptions!$C$14))*R34)+(((Assumptions!$C$13*(1-Assumptions!$C$14))/12)*R38))*(1-Assumptions!$C$15))</f>
        <v>259.067102187655</v>
      </c>
      <c r="S42" s="9" t="n">
        <f aca="false">((((Assumptions!$C$12*(1-Assumptions!$C$14))*S34)+(((Assumptions!$C$13*(1-Assumptions!$C$14))/12)*S38))*(1-Assumptions!$C$15))</f>
        <v>366.449670308577</v>
      </c>
      <c r="T42" s="9" t="n">
        <f aca="false">((((Assumptions!$C$12*(1-Assumptions!$C$14))*T34)+(((Assumptions!$C$13*(1-Assumptions!$C$14))/12)*T38))*(1-Assumptions!$C$15))</f>
        <v>479.179177373287</v>
      </c>
      <c r="U42" s="9" t="n">
        <f aca="false">((((Assumptions!$C$12*(1-Assumptions!$C$14))*U34)+(((Assumptions!$C$13*(1-Assumptions!$C$14))/12)*U38))*(1-Assumptions!$C$15))</f>
        <v>594.147772318012</v>
      </c>
      <c r="V42" s="9" t="n">
        <f aca="false">((((Assumptions!$C$12*(1-Assumptions!$C$14))*V34)+(((Assumptions!$C$13*(1-Assumptions!$C$14))/12)*V38))*(1-Assumptions!$C$15))</f>
        <v>716.299487489941</v>
      </c>
      <c r="W42" s="9" t="n">
        <f aca="false">((((Assumptions!$C$12*(1-Assumptions!$C$14))*W34)+(((Assumptions!$C$13*(1-Assumptions!$C$14))/12)*W38))*(1-Assumptions!$C$15))</f>
        <v>869.062671964164</v>
      </c>
      <c r="X42" s="9" t="n">
        <f aca="false">((((Assumptions!$C$12*(1-Assumptions!$C$14))*X34)+(((Assumptions!$C$13*(1-Assumptions!$C$14))/12)*X38))*(1-Assumptions!$C$15))</f>
        <v>1054.58728548562</v>
      </c>
      <c r="Y42" s="9" t="n">
        <f aca="false">((((Assumptions!$C$12*(1-Assumptions!$C$14))*Y34)+(((Assumptions!$C$13*(1-Assumptions!$C$14))/12)*Y38))*(1-Assumptions!$C$15))</f>
        <v>1248.9286849061</v>
      </c>
      <c r="Z42" s="9" t="n">
        <f aca="false">((((Assumptions!$C$12*(1-Assumptions!$C$14))*Z34)+(((Assumptions!$C$13*(1-Assumptions!$C$14))/12)*Z38))*(1-Assumptions!$C$15))</f>
        <v>1445.34004560502</v>
      </c>
      <c r="AA42" s="9" t="n">
        <f aca="false">((((Assumptions!$C$12*(1-Assumptions!$C$14))*AA34)+(((Assumptions!$C$13*(1-Assumptions!$C$14))/12)*AA38))*(1-Assumptions!$C$15))</f>
        <v>1633.75906583846</v>
      </c>
      <c r="AB42" s="9" t="n">
        <f aca="false">((((Assumptions!$C$12*(1-Assumptions!$C$14))*AB34)+(((Assumptions!$C$13*(1-Assumptions!$C$14))/12)*AB38))*(1-Assumptions!$C$15))</f>
        <v>1838.93518793217</v>
      </c>
      <c r="AC42" s="9" t="n">
        <f aca="false">((((Assumptions!$C$12*(1-Assumptions!$C$14))*AC34)+(((Assumptions!$C$13*(1-Assumptions!$C$14))/12)*AC38))*(1-Assumptions!$C$15))</f>
        <v>2052.41957528112</v>
      </c>
      <c r="AD42" s="9" t="n">
        <f aca="false">((((Assumptions!$C$12*(1-Assumptions!$C$14))*AD34)+(((Assumptions!$C$13*(1-Assumptions!$C$14))/12)*AD38))*(1-Assumptions!$C$15))</f>
        <v>2266.7896100483</v>
      </c>
      <c r="AE42" s="9" t="n">
        <f aca="false">((((Assumptions!$C$12*(1-Assumptions!$C$14))*AE34)+(((Assumptions!$C$13*(1-Assumptions!$C$14))/12)*AE38))*(1-Assumptions!$C$15))</f>
        <v>2478.63768885488</v>
      </c>
      <c r="AF42" s="9" t="n">
        <f aca="false">((((Assumptions!$C$12*(1-Assumptions!$C$14))*AF34)+(((Assumptions!$C$13*(1-Assumptions!$C$14))/12)*AF38))*(1-Assumptions!$C$15))</f>
        <v>2681.77410759559</v>
      </c>
      <c r="AG42" s="9" t="n">
        <f aca="false">((((Assumptions!$C$12*(1-Assumptions!$C$14))*AG34)+(((Assumptions!$C$13*(1-Assumptions!$C$14))/12)*AG38))*(1-Assumptions!$C$15))</f>
        <v>2874.00328084456</v>
      </c>
      <c r="AH42" s="9" t="n">
        <f aca="false">((((Assumptions!$C$12*(1-Assumptions!$C$14))*AH34)+(((Assumptions!$C$13*(1-Assumptions!$C$14))/12)*AH38))*(1-Assumptions!$C$15))</f>
        <v>3063.4301705587</v>
      </c>
      <c r="AI42" s="9" t="n">
        <f aca="false">((((Assumptions!$C$12*(1-Assumptions!$C$14))*AI34)+(((Assumptions!$C$13*(1-Assumptions!$C$14))/12)*AI38))*(1-Assumptions!$C$15))</f>
        <v>3281.23085414941</v>
      </c>
      <c r="AJ42" s="9" t="n">
        <f aca="false">((((Assumptions!$C$12*(1-Assumptions!$C$14))*AJ34)+(((Assumptions!$C$13*(1-Assumptions!$C$14))/12)*AJ38))*(1-Assumptions!$C$15))</f>
        <v>3530.51681897208</v>
      </c>
      <c r="AK42" s="9" t="n">
        <f aca="false">((((Assumptions!$C$12*(1-Assumptions!$C$14))*AK34)+(((Assumptions!$C$13*(1-Assumptions!$C$14))/12)*AK38))*(1-Assumptions!$C$15))</f>
        <v>3781.84861455164</v>
      </c>
      <c r="AL42" s="9" t="n">
        <f aca="false">((((Assumptions!$C$12*(1-Assumptions!$C$14))*AL34)+(((Assumptions!$C$13*(1-Assumptions!$C$14))/12)*AL38))*(1-Assumptions!$C$15))</f>
        <v>4027.5941182603</v>
      </c>
      <c r="AN42" s="11" t="n">
        <f aca="false">SUM(C42:N42)</f>
        <v>0</v>
      </c>
      <c r="AO42" s="11" t="n">
        <f aca="false">SUM(O42:Z42)</f>
        <v>7305.29823656931</v>
      </c>
      <c r="AP42" s="11" t="n">
        <f aca="false">SUM(AA42:AL42)</f>
        <v>33510.9390928872</v>
      </c>
    </row>
    <row r="43" customFormat="false" ht="15" hidden="false" customHeight="false" outlineLevel="0" collapsed="false">
      <c r="A43" s="21" t="s">
        <v>848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</row>
    <row r="44" customFormat="false" ht="15" hidden="false" customHeight="false" outlineLevel="0" collapsed="false">
      <c r="A44" s="0" t="s">
        <v>849</v>
      </c>
      <c r="B44" s="0" t="s">
        <v>160</v>
      </c>
      <c r="C44" s="14" t="n">
        <f aca="false">IF(AND(($C$14=1),(C$18&gt;=(Assumptions!$C$106+1)),(C$18&lt;=(Assumptions!$C$106+6))),Assumptions!$C$117,1)</f>
        <v>1</v>
      </c>
      <c r="D44" s="14" t="n">
        <f aca="false">IF(AND(($C$14=1),(D$18&gt;=(Assumptions!$C$106+1)),(D$18&lt;=(Assumptions!$C$106+6))),Assumptions!$C$117,1)</f>
        <v>1</v>
      </c>
      <c r="E44" s="14" t="n">
        <f aca="false">IF(AND(($C$14=1),(E$18&gt;=(Assumptions!$C$106+1)),(E$18&lt;=(Assumptions!$C$106+6))),Assumptions!$C$117,1)</f>
        <v>1</v>
      </c>
      <c r="F44" s="14" t="n">
        <f aca="false">IF(AND(($C$14=1),(F$18&gt;=(Assumptions!$C$106+1)),(F$18&lt;=(Assumptions!$C$106+6))),Assumptions!$C$117,1)</f>
        <v>1</v>
      </c>
      <c r="G44" s="14" t="n">
        <f aca="false">IF(AND(($C$14=1),(G$18&gt;=(Assumptions!$C$106+1)),(G$18&lt;=(Assumptions!$C$106+6))),Assumptions!$C$117,1)</f>
        <v>1</v>
      </c>
      <c r="H44" s="14" t="n">
        <f aca="false">IF(AND(($C$14=1),(H$18&gt;=(Assumptions!$C$106+1)),(H$18&lt;=(Assumptions!$C$106+6))),Assumptions!$C$117,1)</f>
        <v>1</v>
      </c>
      <c r="I44" s="14" t="n">
        <f aca="false">IF(AND(($C$14=1),(I$18&gt;=(Assumptions!$C$106+1)),(I$18&lt;=(Assumptions!$C$106+6))),Assumptions!$C$117,1)</f>
        <v>1</v>
      </c>
      <c r="J44" s="14" t="n">
        <f aca="false">IF(AND(($C$14=1),(J$18&gt;=(Assumptions!$C$106+1)),(J$18&lt;=(Assumptions!$C$106+6))),Assumptions!$C$117,1)</f>
        <v>1</v>
      </c>
      <c r="K44" s="14" t="n">
        <f aca="false">IF(AND(($C$14=1),(K$18&gt;=(Assumptions!$C$106+1)),(K$18&lt;=(Assumptions!$C$106+6))),Assumptions!$C$117,1)</f>
        <v>1</v>
      </c>
      <c r="L44" s="14" t="n">
        <f aca="false">IF(AND(($C$14=1),(L$18&gt;=(Assumptions!$C$106+1)),(L$18&lt;=(Assumptions!$C$106+6))),Assumptions!$C$117,1)</f>
        <v>1</v>
      </c>
      <c r="M44" s="14" t="n">
        <f aca="false">IF(AND(($C$14=1),(M$18&gt;=(Assumptions!$C$106+1)),(M$18&lt;=(Assumptions!$C$106+6))),Assumptions!$C$117,1)</f>
        <v>1</v>
      </c>
      <c r="N44" s="14" t="n">
        <f aca="false">IF(AND(($C$14=1),(N$18&gt;=(Assumptions!$C$106+1)),(N$18&lt;=(Assumptions!$C$106+6))),Assumptions!$C$117,1)</f>
        <v>1</v>
      </c>
      <c r="O44" s="14" t="n">
        <f aca="false">IF(AND(($C$14=1),(O$18&gt;=(Assumptions!$C$106+1)),(O$18&lt;=(Assumptions!$C$106+6))),Assumptions!$C$117,1)</f>
        <v>1</v>
      </c>
      <c r="P44" s="14" t="n">
        <f aca="false">IF(AND(($C$14=1),(P$18&gt;=(Assumptions!$C$106+1)),(P$18&lt;=(Assumptions!$C$106+6))),Assumptions!$C$117,1)</f>
        <v>1</v>
      </c>
      <c r="Q44" s="14" t="n">
        <f aca="false">IF(AND(($C$14=1),(Q$18&gt;=(Assumptions!$C$106+1)),(Q$18&lt;=(Assumptions!$C$106+6))),Assumptions!$C$117,1)</f>
        <v>1</v>
      </c>
      <c r="R44" s="14" t="n">
        <f aca="false">IF(AND(($C$14=1),(R$18&gt;=(Assumptions!$C$106+1)),(R$18&lt;=(Assumptions!$C$106+6))),Assumptions!$C$117,1)</f>
        <v>1</v>
      </c>
      <c r="S44" s="14" t="n">
        <f aca="false">IF(AND(($C$14=1),(S$18&gt;=(Assumptions!$C$106+1)),(S$18&lt;=(Assumptions!$C$106+6))),Assumptions!$C$117,1)</f>
        <v>1</v>
      </c>
      <c r="T44" s="14" t="n">
        <f aca="false">IF(AND(($C$14=1),(T$18&gt;=(Assumptions!$C$106+1)),(T$18&lt;=(Assumptions!$C$106+6))),Assumptions!$C$117,1)</f>
        <v>1</v>
      </c>
      <c r="U44" s="14" t="n">
        <f aca="false">IF(AND(($C$14=1),(U$18&gt;=(Assumptions!$C$106+1)),(U$18&lt;=(Assumptions!$C$106+6))),Assumptions!$C$117,1)</f>
        <v>1</v>
      </c>
      <c r="V44" s="14" t="n">
        <f aca="false">IF(AND(($C$14=1),(V$18&gt;=(Assumptions!$C$106+1)),(V$18&lt;=(Assumptions!$C$106+6))),Assumptions!$C$117,1)</f>
        <v>1</v>
      </c>
      <c r="W44" s="14" t="n">
        <f aca="false">IF(AND(($C$14=1),(W$18&gt;=(Assumptions!$C$106+1)),(W$18&lt;=(Assumptions!$C$106+6))),Assumptions!$C$117,1)</f>
        <v>1</v>
      </c>
      <c r="X44" s="14" t="n">
        <f aca="false">IF(AND(($C$14=1),(X$18&gt;=(Assumptions!$C$106+1)),(X$18&lt;=(Assumptions!$C$106+6))),Assumptions!$C$117,1)</f>
        <v>1</v>
      </c>
      <c r="Y44" s="14" t="n">
        <f aca="false">IF(AND(($C$14=1),(Y$18&gt;=(Assumptions!$C$106+1)),(Y$18&lt;=(Assumptions!$C$106+6))),Assumptions!$C$117,1)</f>
        <v>1</v>
      </c>
      <c r="Z44" s="14" t="n">
        <f aca="false">IF(AND(($C$14=1),(Z$18&gt;=(Assumptions!$C$106+1)),(Z$18&lt;=(Assumptions!$C$106+6))),Assumptions!$C$117,1)</f>
        <v>1</v>
      </c>
      <c r="AA44" s="14" t="n">
        <f aca="false">IF(AND(($C$14=1),(AA$18&gt;=(Assumptions!$C$106+1)),(AA$18&lt;=(Assumptions!$C$106+6))),Assumptions!$C$117,1)</f>
        <v>1</v>
      </c>
      <c r="AB44" s="14" t="n">
        <f aca="false">IF(AND(($C$14=1),(AB$18&gt;=(Assumptions!$C$106+1)),(AB$18&lt;=(Assumptions!$C$106+6))),Assumptions!$C$117,1)</f>
        <v>1</v>
      </c>
      <c r="AC44" s="14" t="n">
        <f aca="false">IF(AND(($C$14=1),(AC$18&gt;=(Assumptions!$C$106+1)),(AC$18&lt;=(Assumptions!$C$106+6))),Assumptions!$C$117,1)</f>
        <v>1</v>
      </c>
      <c r="AD44" s="14" t="n">
        <f aca="false">IF(AND(($C$14=1),(AD$18&gt;=(Assumptions!$C$106+1)),(AD$18&lt;=(Assumptions!$C$106+6))),Assumptions!$C$117,1)</f>
        <v>1</v>
      </c>
      <c r="AE44" s="14" t="n">
        <f aca="false">IF(AND(($C$14=1),(AE$18&gt;=(Assumptions!$C$106+1)),(AE$18&lt;=(Assumptions!$C$106+6))),Assumptions!$C$117,1)</f>
        <v>1</v>
      </c>
      <c r="AF44" s="14" t="n">
        <f aca="false">IF(AND(($C$14=1),(AF$18&gt;=(Assumptions!$C$106+1)),(AF$18&lt;=(Assumptions!$C$106+6))),Assumptions!$C$117,1)</f>
        <v>1</v>
      </c>
      <c r="AG44" s="14" t="n">
        <f aca="false">IF(AND(($C$14=1),(AG$18&gt;=(Assumptions!$C$106+1)),(AG$18&lt;=(Assumptions!$C$106+6))),Assumptions!$C$117,1)</f>
        <v>1</v>
      </c>
      <c r="AH44" s="14" t="n">
        <f aca="false">IF(AND(($C$14=1),(AH$18&gt;=(Assumptions!$C$106+1)),(AH$18&lt;=(Assumptions!$C$106+6))),Assumptions!$C$117,1)</f>
        <v>1</v>
      </c>
      <c r="AI44" s="14" t="n">
        <f aca="false">IF(AND(($C$14=1),(AI$18&gt;=(Assumptions!$C$106+1)),(AI$18&lt;=(Assumptions!$C$106+6))),Assumptions!$C$117,1)</f>
        <v>1</v>
      </c>
      <c r="AJ44" s="14" t="n">
        <f aca="false">IF(AND(($C$14=1),(AJ$18&gt;=(Assumptions!$C$106+1)),(AJ$18&lt;=(Assumptions!$C$106+6))),Assumptions!$C$117,1)</f>
        <v>1</v>
      </c>
      <c r="AK44" s="14" t="n">
        <f aca="false">IF(AND(($C$14=1),(AK$18&gt;=(Assumptions!$C$106+1)),(AK$18&lt;=(Assumptions!$C$106+6))),Assumptions!$C$117,1)</f>
        <v>1</v>
      </c>
      <c r="AL44" s="14" t="n">
        <f aca="false">IF(AND(($C$14=1),(AL$18&gt;=(Assumptions!$C$106+1)),(AL$18&lt;=(Assumptions!$C$106+6))),Assumptions!$C$117,1)</f>
        <v>1</v>
      </c>
    </row>
    <row r="45" customFormat="false" ht="15" hidden="false" customHeight="false" outlineLevel="0" collapsed="false">
      <c r="A45" s="0" t="s">
        <v>850</v>
      </c>
      <c r="B45" s="0" t="s">
        <v>193</v>
      </c>
      <c r="C45" s="12" t="n">
        <f aca="false">MAX(0,((1-((1-Assumptions!$C$30)*$C$6))-IF(AND(($C$14=1),(C$18&gt;=Assumptions!$C$106),(C$18&lt;=(Assumptions!$C$106+11))),Assumptions!$C$116,0)))</f>
        <v>0.88</v>
      </c>
      <c r="D45" s="12" t="n">
        <f aca="false">MAX(0,((1-((1-Assumptions!$C$30)*$C$6))-IF(AND(($C$14=1),(D$18&gt;=Assumptions!$C$106),(D$18&lt;=(Assumptions!$C$106+11))),Assumptions!$C$116,0)))</f>
        <v>0.88</v>
      </c>
      <c r="E45" s="12" t="n">
        <f aca="false">MAX(0,((1-((1-Assumptions!$C$30)*$C$6))-IF(AND(($C$14=1),(E$18&gt;=Assumptions!$C$106),(E$18&lt;=(Assumptions!$C$106+11))),Assumptions!$C$116,0)))</f>
        <v>0.88</v>
      </c>
      <c r="F45" s="12" t="n">
        <f aca="false">MAX(0,((1-((1-Assumptions!$C$30)*$C$6))-IF(AND(($C$14=1),(F$18&gt;=Assumptions!$C$106),(F$18&lt;=(Assumptions!$C$106+11))),Assumptions!$C$116,0)))</f>
        <v>0.88</v>
      </c>
      <c r="G45" s="12" t="n">
        <f aca="false">MAX(0,((1-((1-Assumptions!$C$30)*$C$6))-IF(AND(($C$14=1),(G$18&gt;=Assumptions!$C$106),(G$18&lt;=(Assumptions!$C$106+11))),Assumptions!$C$116,0)))</f>
        <v>0.88</v>
      </c>
      <c r="H45" s="12" t="n">
        <f aca="false">MAX(0,((1-((1-Assumptions!$C$30)*$C$6))-IF(AND(($C$14=1),(H$18&gt;=Assumptions!$C$106),(H$18&lt;=(Assumptions!$C$106+11))),Assumptions!$C$116,0)))</f>
        <v>0.88</v>
      </c>
      <c r="I45" s="12" t="n">
        <f aca="false">MAX(0,((1-((1-Assumptions!$C$30)*$C$6))-IF(AND(($C$14=1),(I$18&gt;=Assumptions!$C$106),(I$18&lt;=(Assumptions!$C$106+11))),Assumptions!$C$116,0)))</f>
        <v>0.88</v>
      </c>
      <c r="J45" s="12" t="n">
        <f aca="false">MAX(0,((1-((1-Assumptions!$C$30)*$C$6))-IF(AND(($C$14=1),(J$18&gt;=Assumptions!$C$106),(J$18&lt;=(Assumptions!$C$106+11))),Assumptions!$C$116,0)))</f>
        <v>0.88</v>
      </c>
      <c r="K45" s="12" t="n">
        <f aca="false">MAX(0,((1-((1-Assumptions!$C$30)*$C$6))-IF(AND(($C$14=1),(K$18&gt;=Assumptions!$C$106),(K$18&lt;=(Assumptions!$C$106+11))),Assumptions!$C$116,0)))</f>
        <v>0.88</v>
      </c>
      <c r="L45" s="12" t="n">
        <f aca="false">MAX(0,((1-((1-Assumptions!$C$30)*$C$6))-IF(AND(($C$14=1),(L$18&gt;=Assumptions!$C$106),(L$18&lt;=(Assumptions!$C$106+11))),Assumptions!$C$116,0)))</f>
        <v>0.88</v>
      </c>
      <c r="M45" s="12" t="n">
        <f aca="false">MAX(0,((1-((1-Assumptions!$C$30)*$C$6))-IF(AND(($C$14=1),(M$18&gt;=Assumptions!$C$106),(M$18&lt;=(Assumptions!$C$106+11))),Assumptions!$C$116,0)))</f>
        <v>0.88</v>
      </c>
      <c r="N45" s="12" t="n">
        <f aca="false">MAX(0,((1-((1-Assumptions!$C$30)*$C$6))-IF(AND(($C$14=1),(N$18&gt;=Assumptions!$C$106),(N$18&lt;=(Assumptions!$C$106+11))),Assumptions!$C$116,0)))</f>
        <v>0.88</v>
      </c>
      <c r="O45" s="12" t="n">
        <f aca="false">MAX(0,((1-((1-Assumptions!$C$30)*$C$6))-IF(AND(($C$14=1),(O$18&gt;=Assumptions!$C$106),(O$18&lt;=(Assumptions!$C$106+11))),Assumptions!$C$116,0)))</f>
        <v>0.88</v>
      </c>
      <c r="P45" s="12" t="n">
        <f aca="false">MAX(0,((1-((1-Assumptions!$C$30)*$C$6))-IF(AND(($C$14=1),(P$18&gt;=Assumptions!$C$106),(P$18&lt;=(Assumptions!$C$106+11))),Assumptions!$C$116,0)))</f>
        <v>0.88</v>
      </c>
      <c r="Q45" s="12" t="n">
        <f aca="false">MAX(0,((1-((1-Assumptions!$C$30)*$C$6))-IF(AND(($C$14=1),(Q$18&gt;=Assumptions!$C$106),(Q$18&lt;=(Assumptions!$C$106+11))),Assumptions!$C$116,0)))</f>
        <v>0.88</v>
      </c>
      <c r="R45" s="12" t="n">
        <f aca="false">MAX(0,((1-((1-Assumptions!$C$30)*$C$6))-IF(AND(($C$14=1),(R$18&gt;=Assumptions!$C$106),(R$18&lt;=(Assumptions!$C$106+11))),Assumptions!$C$116,0)))</f>
        <v>0.88</v>
      </c>
      <c r="S45" s="12" t="n">
        <f aca="false">MAX(0,((1-((1-Assumptions!$C$30)*$C$6))-IF(AND(($C$14=1),(S$18&gt;=Assumptions!$C$106),(S$18&lt;=(Assumptions!$C$106+11))),Assumptions!$C$116,0)))</f>
        <v>0.88</v>
      </c>
      <c r="T45" s="12" t="n">
        <f aca="false">MAX(0,((1-((1-Assumptions!$C$30)*$C$6))-IF(AND(($C$14=1),(T$18&gt;=Assumptions!$C$106),(T$18&lt;=(Assumptions!$C$106+11))),Assumptions!$C$116,0)))</f>
        <v>0.88</v>
      </c>
      <c r="U45" s="12" t="n">
        <f aca="false">MAX(0,((1-((1-Assumptions!$C$30)*$C$6))-IF(AND(($C$14=1),(U$18&gt;=Assumptions!$C$106),(U$18&lt;=(Assumptions!$C$106+11))),Assumptions!$C$116,0)))</f>
        <v>0.88</v>
      </c>
      <c r="V45" s="12" t="n">
        <f aca="false">MAX(0,((1-((1-Assumptions!$C$30)*$C$6))-IF(AND(($C$14=1),(V$18&gt;=Assumptions!$C$106),(V$18&lt;=(Assumptions!$C$106+11))),Assumptions!$C$116,0)))</f>
        <v>0.88</v>
      </c>
      <c r="W45" s="12" t="n">
        <f aca="false">MAX(0,((1-((1-Assumptions!$C$30)*$C$6))-IF(AND(($C$14=1),(W$18&gt;=Assumptions!$C$106),(W$18&lt;=(Assumptions!$C$106+11))),Assumptions!$C$116,0)))</f>
        <v>0.88</v>
      </c>
      <c r="X45" s="12" t="n">
        <f aca="false">MAX(0,((1-((1-Assumptions!$C$30)*$C$6))-IF(AND(($C$14=1),(X$18&gt;=Assumptions!$C$106),(X$18&lt;=(Assumptions!$C$106+11))),Assumptions!$C$116,0)))</f>
        <v>0.88</v>
      </c>
      <c r="Y45" s="12" t="n">
        <f aca="false">MAX(0,((1-((1-Assumptions!$C$30)*$C$6))-IF(AND(($C$14=1),(Y$18&gt;=Assumptions!$C$106),(Y$18&lt;=(Assumptions!$C$106+11))),Assumptions!$C$116,0)))</f>
        <v>0.88</v>
      </c>
      <c r="Z45" s="12" t="n">
        <f aca="false">MAX(0,((1-((1-Assumptions!$C$30)*$C$6))-IF(AND(($C$14=1),(Z$18&gt;=Assumptions!$C$106),(Z$18&lt;=(Assumptions!$C$106+11))),Assumptions!$C$116,0)))</f>
        <v>0.88</v>
      </c>
      <c r="AA45" s="12" t="n">
        <f aca="false">MAX(0,((1-((1-Assumptions!$C$30)*$C$6))-IF(AND(($C$14=1),(AA$18&gt;=Assumptions!$C$106),(AA$18&lt;=(Assumptions!$C$106+11))),Assumptions!$C$116,0)))</f>
        <v>0.88</v>
      </c>
      <c r="AB45" s="12" t="n">
        <f aca="false">MAX(0,((1-((1-Assumptions!$C$30)*$C$6))-IF(AND(($C$14=1),(AB$18&gt;=Assumptions!$C$106),(AB$18&lt;=(Assumptions!$C$106+11))),Assumptions!$C$116,0)))</f>
        <v>0.88</v>
      </c>
      <c r="AC45" s="12" t="n">
        <f aca="false">MAX(0,((1-((1-Assumptions!$C$30)*$C$6))-IF(AND(($C$14=1),(AC$18&gt;=Assumptions!$C$106),(AC$18&lt;=(Assumptions!$C$106+11))),Assumptions!$C$116,0)))</f>
        <v>0.88</v>
      </c>
      <c r="AD45" s="12" t="n">
        <f aca="false">MAX(0,((1-((1-Assumptions!$C$30)*$C$6))-IF(AND(($C$14=1),(AD$18&gt;=Assumptions!$C$106),(AD$18&lt;=(Assumptions!$C$106+11))),Assumptions!$C$116,0)))</f>
        <v>0.88</v>
      </c>
      <c r="AE45" s="12" t="n">
        <f aca="false">MAX(0,((1-((1-Assumptions!$C$30)*$C$6))-IF(AND(($C$14=1),(AE$18&gt;=Assumptions!$C$106),(AE$18&lt;=(Assumptions!$C$106+11))),Assumptions!$C$116,0)))</f>
        <v>0.88</v>
      </c>
      <c r="AF45" s="12" t="n">
        <f aca="false">MAX(0,((1-((1-Assumptions!$C$30)*$C$6))-IF(AND(($C$14=1),(AF$18&gt;=Assumptions!$C$106),(AF$18&lt;=(Assumptions!$C$106+11))),Assumptions!$C$116,0)))</f>
        <v>0.88</v>
      </c>
      <c r="AG45" s="12" t="n">
        <f aca="false">MAX(0,((1-((1-Assumptions!$C$30)*$C$6))-IF(AND(($C$14=1),(AG$18&gt;=Assumptions!$C$106),(AG$18&lt;=(Assumptions!$C$106+11))),Assumptions!$C$116,0)))</f>
        <v>0.88</v>
      </c>
      <c r="AH45" s="12" t="n">
        <f aca="false">MAX(0,((1-((1-Assumptions!$C$30)*$C$6))-IF(AND(($C$14=1),(AH$18&gt;=Assumptions!$C$106),(AH$18&lt;=(Assumptions!$C$106+11))),Assumptions!$C$116,0)))</f>
        <v>0.88</v>
      </c>
      <c r="AI45" s="12" t="n">
        <f aca="false">MAX(0,((1-((1-Assumptions!$C$30)*$C$6))-IF(AND(($C$14=1),(AI$18&gt;=Assumptions!$C$106),(AI$18&lt;=(Assumptions!$C$106+11))),Assumptions!$C$116,0)))</f>
        <v>0.88</v>
      </c>
      <c r="AJ45" s="12" t="n">
        <f aca="false">MAX(0,((1-((1-Assumptions!$C$30)*$C$6))-IF(AND(($C$14=1),(AJ$18&gt;=Assumptions!$C$106),(AJ$18&lt;=(Assumptions!$C$106+11))),Assumptions!$C$116,0)))</f>
        <v>0.88</v>
      </c>
      <c r="AK45" s="12" t="n">
        <f aca="false">MAX(0,((1-((1-Assumptions!$C$30)*$C$6))-IF(AND(($C$14=1),(AK$18&gt;=Assumptions!$C$106),(AK$18&lt;=(Assumptions!$C$106+11))),Assumptions!$C$116,0)))</f>
        <v>0.88</v>
      </c>
      <c r="AL45" s="12" t="n">
        <f aca="false">MAX(0,((1-((1-Assumptions!$C$30)*$C$6))-IF(AND(($C$14=1),(AL$18&gt;=Assumptions!$C$106),(AL$18&lt;=(Assumptions!$C$106+11))),Assumptions!$C$116,0)))</f>
        <v>0.88</v>
      </c>
    </row>
    <row r="46" customFormat="false" ht="15" hidden="false" customHeight="false" outlineLevel="0" collapsed="false">
      <c r="A46" s="0" t="s">
        <v>851</v>
      </c>
      <c r="B46" s="0" t="s">
        <v>852</v>
      </c>
      <c r="C46" s="14" t="n">
        <f aca="false">((IF(OR((C$18-(Assumptions!$C$7-1)-$C$9)&lt;1,(C$18-(Assumptions!$C$7-1)-$C$9)&gt;36),0,INDEX(Schedules!$C$5:$AL$5,(C$18-(Assumptions!$C$7-1)-$C$9)))*$C$7)*C44)</f>
        <v>0</v>
      </c>
      <c r="D46" s="14" t="n">
        <f aca="false">((IF(OR((D$18-(Assumptions!$C$7-1)-$C$9)&lt;1,(D$18-(Assumptions!$C$7-1)-$C$9)&gt;36),0,INDEX(Schedules!$C$5:$AL$5,(D$18-(Assumptions!$C$7-1)-$C$9)))*$C$7)*D44)</f>
        <v>0</v>
      </c>
      <c r="E46" s="14" t="n">
        <f aca="false">((IF(OR((E$18-(Assumptions!$C$7-1)-$C$9)&lt;1,(E$18-(Assumptions!$C$7-1)-$C$9)&gt;36),0,INDEX(Schedules!$C$5:$AL$5,(E$18-(Assumptions!$C$7-1)-$C$9)))*$C$7)*E44)</f>
        <v>0</v>
      </c>
      <c r="F46" s="14" t="n">
        <f aca="false">((IF(OR((F$18-(Assumptions!$C$7-1)-$C$9)&lt;1,(F$18-(Assumptions!$C$7-1)-$C$9)&gt;36),0,INDEX(Schedules!$C$5:$AL$5,(F$18-(Assumptions!$C$7-1)-$C$9)))*$C$7)*F44)</f>
        <v>0</v>
      </c>
      <c r="G46" s="14" t="n">
        <f aca="false">((IF(OR((G$18-(Assumptions!$C$7-1)-$C$9)&lt;1,(G$18-(Assumptions!$C$7-1)-$C$9)&gt;36),0,INDEX(Schedules!$C$5:$AL$5,(G$18-(Assumptions!$C$7-1)-$C$9)))*$C$7)*G44)</f>
        <v>0</v>
      </c>
      <c r="H46" s="14" t="n">
        <f aca="false">((IF(OR((H$18-(Assumptions!$C$7-1)-$C$9)&lt;1,(H$18-(Assumptions!$C$7-1)-$C$9)&gt;36),0,INDEX(Schedules!$C$5:$AL$5,(H$18-(Assumptions!$C$7-1)-$C$9)))*$C$7)*H44)</f>
        <v>0</v>
      </c>
      <c r="I46" s="14" t="n">
        <f aca="false">((IF(OR((I$18-(Assumptions!$C$7-1)-$C$9)&lt;1,(I$18-(Assumptions!$C$7-1)-$C$9)&gt;36),0,INDEX(Schedules!$C$5:$AL$5,(I$18-(Assumptions!$C$7-1)-$C$9)))*$C$7)*I44)</f>
        <v>0</v>
      </c>
      <c r="J46" s="14" t="n">
        <f aca="false">((IF(OR((J$18-(Assumptions!$C$7-1)-$C$9)&lt;1,(J$18-(Assumptions!$C$7-1)-$C$9)&gt;36),0,INDEX(Schedules!$C$5:$AL$5,(J$18-(Assumptions!$C$7-1)-$C$9)))*$C$7)*J44)</f>
        <v>0</v>
      </c>
      <c r="K46" s="14" t="n">
        <f aca="false">((IF(OR((K$18-(Assumptions!$C$7-1)-$C$9)&lt;1,(K$18-(Assumptions!$C$7-1)-$C$9)&gt;36),0,INDEX(Schedules!$C$5:$AL$5,(K$18-(Assumptions!$C$7-1)-$C$9)))*$C$7)*K44)</f>
        <v>0</v>
      </c>
      <c r="L46" s="14" t="n">
        <f aca="false">((IF(OR((L$18-(Assumptions!$C$7-1)-$C$9)&lt;1,(L$18-(Assumptions!$C$7-1)-$C$9)&gt;36),0,INDEX(Schedules!$C$5:$AL$5,(L$18-(Assumptions!$C$7-1)-$C$9)))*$C$7)*L44)</f>
        <v>0</v>
      </c>
      <c r="M46" s="14" t="n">
        <f aca="false">((IF(OR((M$18-(Assumptions!$C$7-1)-$C$9)&lt;1,(M$18-(Assumptions!$C$7-1)-$C$9)&gt;36),0,INDEX(Schedules!$C$5:$AL$5,(M$18-(Assumptions!$C$7-1)-$C$9)))*$C$7)*M44)</f>
        <v>0</v>
      </c>
      <c r="N46" s="14" t="n">
        <f aca="false">((IF(OR((N$18-(Assumptions!$C$7-1)-$C$9)&lt;1,(N$18-(Assumptions!$C$7-1)-$C$9)&gt;36),0,INDEX(Schedules!$C$5:$AL$5,(N$18-(Assumptions!$C$7-1)-$C$9)))*$C$7)*N44)</f>
        <v>0</v>
      </c>
      <c r="O46" s="14" t="n">
        <f aca="false">((IF(OR((O$18-(Assumptions!$C$7-1)-$C$9)&lt;1,(O$18-(Assumptions!$C$7-1)-$C$9)&gt;36),0,INDEX(Schedules!$C$5:$AL$5,(O$18-(Assumptions!$C$7-1)-$C$9)))*$C$7)*O44)</f>
        <v>1</v>
      </c>
      <c r="P46" s="14" t="n">
        <f aca="false">((IF(OR((P$18-(Assumptions!$C$7-1)-$C$9)&lt;1,(P$18-(Assumptions!$C$7-1)-$C$9)&gt;36),0,INDEX(Schedules!$C$5:$AL$5,(P$18-(Assumptions!$C$7-1)-$C$9)))*$C$7)*P44)</f>
        <v>0</v>
      </c>
      <c r="Q46" s="14" t="n">
        <f aca="false">((IF(OR((Q$18-(Assumptions!$C$7-1)-$C$9)&lt;1,(Q$18-(Assumptions!$C$7-1)-$C$9)&gt;36),0,INDEX(Schedules!$C$5:$AL$5,(Q$18-(Assumptions!$C$7-1)-$C$9)))*$C$7)*Q44)</f>
        <v>0</v>
      </c>
      <c r="R46" s="14" t="n">
        <f aca="false">((IF(OR((R$18-(Assumptions!$C$7-1)-$C$9)&lt;1,(R$18-(Assumptions!$C$7-1)-$C$9)&gt;36),0,INDEX(Schedules!$C$5:$AL$5,(R$18-(Assumptions!$C$7-1)-$C$9)))*$C$7)*R44)</f>
        <v>1</v>
      </c>
      <c r="S46" s="14" t="n">
        <f aca="false">((IF(OR((S$18-(Assumptions!$C$7-1)-$C$9)&lt;1,(S$18-(Assumptions!$C$7-1)-$C$9)&gt;36),0,INDEX(Schedules!$C$5:$AL$5,(S$18-(Assumptions!$C$7-1)-$C$9)))*$C$7)*S44)</f>
        <v>0</v>
      </c>
      <c r="T46" s="14" t="n">
        <f aca="false">((IF(OR((T$18-(Assumptions!$C$7-1)-$C$9)&lt;1,(T$18-(Assumptions!$C$7-1)-$C$9)&gt;36),0,INDEX(Schedules!$C$5:$AL$5,(T$18-(Assumptions!$C$7-1)-$C$9)))*$C$7)*T44)</f>
        <v>0</v>
      </c>
      <c r="U46" s="14" t="n">
        <f aca="false">((IF(OR((U$18-(Assumptions!$C$7-1)-$C$9)&lt;1,(U$18-(Assumptions!$C$7-1)-$C$9)&gt;36),0,INDEX(Schedules!$C$5:$AL$5,(U$18-(Assumptions!$C$7-1)-$C$9)))*$C$7)*U44)</f>
        <v>2</v>
      </c>
      <c r="V46" s="14" t="n">
        <f aca="false">((IF(OR((V$18-(Assumptions!$C$7-1)-$C$9)&lt;1,(V$18-(Assumptions!$C$7-1)-$C$9)&gt;36),0,INDEX(Schedules!$C$5:$AL$5,(V$18-(Assumptions!$C$7-1)-$C$9)))*$C$7)*V44)</f>
        <v>0</v>
      </c>
      <c r="W46" s="14" t="n">
        <f aca="false">((IF(OR((W$18-(Assumptions!$C$7-1)-$C$9)&lt;1,(W$18-(Assumptions!$C$7-1)-$C$9)&gt;36),0,INDEX(Schedules!$C$5:$AL$5,(W$18-(Assumptions!$C$7-1)-$C$9)))*$C$7)*W44)</f>
        <v>0</v>
      </c>
      <c r="X46" s="14" t="n">
        <f aca="false">((IF(OR((X$18-(Assumptions!$C$7-1)-$C$9)&lt;1,(X$18-(Assumptions!$C$7-1)-$C$9)&gt;36),0,INDEX(Schedules!$C$5:$AL$5,(X$18-(Assumptions!$C$7-1)-$C$9)))*$C$7)*X44)</f>
        <v>2</v>
      </c>
      <c r="Y46" s="14" t="n">
        <f aca="false">((IF(OR((Y$18-(Assumptions!$C$7-1)-$C$9)&lt;1,(Y$18-(Assumptions!$C$7-1)-$C$9)&gt;36),0,INDEX(Schedules!$C$5:$AL$5,(Y$18-(Assumptions!$C$7-1)-$C$9)))*$C$7)*Y44)</f>
        <v>0</v>
      </c>
      <c r="Z46" s="14" t="n">
        <f aca="false">((IF(OR((Z$18-(Assumptions!$C$7-1)-$C$9)&lt;1,(Z$18-(Assumptions!$C$7-1)-$C$9)&gt;36),0,INDEX(Schedules!$C$5:$AL$5,(Z$18-(Assumptions!$C$7-1)-$C$9)))*$C$7)*Z44)</f>
        <v>0</v>
      </c>
      <c r="AA46" s="14" t="n">
        <f aca="false">((IF(OR((AA$18-(Assumptions!$C$7-1)-$C$9)&lt;1,(AA$18-(Assumptions!$C$7-1)-$C$9)&gt;36),0,INDEX(Schedules!$C$5:$AL$5,(AA$18-(Assumptions!$C$7-1)-$C$9)))*$C$7)*AA44)</f>
        <v>3</v>
      </c>
      <c r="AB46" s="14" t="n">
        <f aca="false">((IF(OR((AB$18-(Assumptions!$C$7-1)-$C$9)&lt;1,(AB$18-(Assumptions!$C$7-1)-$C$9)&gt;36),0,INDEX(Schedules!$C$5:$AL$5,(AB$18-(Assumptions!$C$7-1)-$C$9)))*$C$7)*AB44)</f>
        <v>0</v>
      </c>
      <c r="AC46" s="14" t="n">
        <f aca="false">((IF(OR((AC$18-(Assumptions!$C$7-1)-$C$9)&lt;1,(AC$18-(Assumptions!$C$7-1)-$C$9)&gt;36),0,INDEX(Schedules!$C$5:$AL$5,(AC$18-(Assumptions!$C$7-1)-$C$9)))*$C$7)*AC44)</f>
        <v>0</v>
      </c>
      <c r="AD46" s="14" t="n">
        <f aca="false">((IF(OR((AD$18-(Assumptions!$C$7-1)-$C$9)&lt;1,(AD$18-(Assumptions!$C$7-1)-$C$9)&gt;36),0,INDEX(Schedules!$C$5:$AL$5,(AD$18-(Assumptions!$C$7-1)-$C$9)))*$C$7)*AD44)</f>
        <v>3</v>
      </c>
      <c r="AE46" s="14" t="n">
        <f aca="false">((IF(OR((AE$18-(Assumptions!$C$7-1)-$C$9)&lt;1,(AE$18-(Assumptions!$C$7-1)-$C$9)&gt;36),0,INDEX(Schedules!$C$5:$AL$5,(AE$18-(Assumptions!$C$7-1)-$C$9)))*$C$7)*AE44)</f>
        <v>0</v>
      </c>
      <c r="AF46" s="14" t="n">
        <f aca="false">((IF(OR((AF$18-(Assumptions!$C$7-1)-$C$9)&lt;1,(AF$18-(Assumptions!$C$7-1)-$C$9)&gt;36),0,INDEX(Schedules!$C$5:$AL$5,(AF$18-(Assumptions!$C$7-1)-$C$9)))*$C$7)*AF44)</f>
        <v>0</v>
      </c>
      <c r="AG46" s="14" t="n">
        <f aca="false">((IF(OR((AG$18-(Assumptions!$C$7-1)-$C$9)&lt;1,(AG$18-(Assumptions!$C$7-1)-$C$9)&gt;36),0,INDEX(Schedules!$C$5:$AL$5,(AG$18-(Assumptions!$C$7-1)-$C$9)))*$C$7)*AG44)</f>
        <v>3</v>
      </c>
      <c r="AH46" s="14" t="n">
        <f aca="false">((IF(OR((AH$18-(Assumptions!$C$7-1)-$C$9)&lt;1,(AH$18-(Assumptions!$C$7-1)-$C$9)&gt;36),0,INDEX(Schedules!$C$5:$AL$5,(AH$18-(Assumptions!$C$7-1)-$C$9)))*$C$7)*AH44)</f>
        <v>0</v>
      </c>
      <c r="AI46" s="14" t="n">
        <f aca="false">((IF(OR((AI$18-(Assumptions!$C$7-1)-$C$9)&lt;1,(AI$18-(Assumptions!$C$7-1)-$C$9)&gt;36),0,INDEX(Schedules!$C$5:$AL$5,(AI$18-(Assumptions!$C$7-1)-$C$9)))*$C$7)*AI44)</f>
        <v>0</v>
      </c>
      <c r="AJ46" s="14" t="n">
        <f aca="false">((IF(OR((AJ$18-(Assumptions!$C$7-1)-$C$9)&lt;1,(AJ$18-(Assumptions!$C$7-1)-$C$9)&gt;36),0,INDEX(Schedules!$C$5:$AL$5,(AJ$18-(Assumptions!$C$7-1)-$C$9)))*$C$7)*AJ44)</f>
        <v>4</v>
      </c>
      <c r="AK46" s="14" t="n">
        <f aca="false">((IF(OR((AK$18-(Assumptions!$C$7-1)-$C$9)&lt;1,(AK$18-(Assumptions!$C$7-1)-$C$9)&gt;36),0,INDEX(Schedules!$C$5:$AL$5,(AK$18-(Assumptions!$C$7-1)-$C$9)))*$C$7)*AK44)</f>
        <v>0</v>
      </c>
      <c r="AL46" s="14" t="n">
        <f aca="false">((IF(OR((AL$18-(Assumptions!$C$7-1)-$C$9)&lt;1,(AL$18-(Assumptions!$C$7-1)-$C$9)&gt;36),0,INDEX(Schedules!$C$5:$AL$5,(AL$18-(Assumptions!$C$7-1)-$C$9)))*$C$7)*AL44)</f>
        <v>0</v>
      </c>
      <c r="AN46" s="36" t="n">
        <f aca="false">SUM(C46:N46)</f>
        <v>0</v>
      </c>
      <c r="AO46" s="36" t="n">
        <f aca="false">SUM(O46:Z46)</f>
        <v>6</v>
      </c>
      <c r="AP46" s="36" t="n">
        <f aca="false">SUM(AA46:AL46)</f>
        <v>13</v>
      </c>
    </row>
    <row r="47" customFormat="false" ht="15" hidden="false" customHeight="false" outlineLevel="0" collapsed="false">
      <c r="A47" s="0" t="s">
        <v>853</v>
      </c>
      <c r="B47" s="0" t="s">
        <v>852</v>
      </c>
      <c r="C47" s="14" t="n">
        <f aca="false">INDEX(Schedules!$C$11:$AL$11,C$18)</f>
        <v>0</v>
      </c>
      <c r="D47" s="14" t="n">
        <f aca="false">INDEX(Schedules!$C$11:$AL$11,D$18)</f>
        <v>0</v>
      </c>
      <c r="E47" s="14" t="n">
        <f aca="false">INDEX(Schedules!$C$11:$AL$11,E$18)</f>
        <v>0</v>
      </c>
      <c r="F47" s="14" t="n">
        <f aca="false">INDEX(Schedules!$C$11:$AL$11,F$18)</f>
        <v>0</v>
      </c>
      <c r="G47" s="14" t="n">
        <f aca="false">INDEX(Schedules!$C$11:$AL$11,G$18)</f>
        <v>1</v>
      </c>
      <c r="H47" s="14" t="n">
        <f aca="false">INDEX(Schedules!$C$11:$AL$11,H$18)</f>
        <v>0</v>
      </c>
      <c r="I47" s="14" t="n">
        <f aca="false">INDEX(Schedules!$C$11:$AL$11,I$18)</f>
        <v>0</v>
      </c>
      <c r="J47" s="14" t="n">
        <f aca="false">INDEX(Schedules!$C$11:$AL$11,J$18)</f>
        <v>0</v>
      </c>
      <c r="K47" s="14" t="n">
        <f aca="false">INDEX(Schedules!$C$11:$AL$11,K$18)</f>
        <v>0</v>
      </c>
      <c r="L47" s="14" t="n">
        <f aca="false">INDEX(Schedules!$C$11:$AL$11,L$18)</f>
        <v>0</v>
      </c>
      <c r="M47" s="14" t="n">
        <f aca="false">INDEX(Schedules!$C$11:$AL$11,M$18)</f>
        <v>0</v>
      </c>
      <c r="N47" s="14" t="n">
        <f aca="false">INDEX(Schedules!$C$11:$AL$11,N$18)</f>
        <v>0</v>
      </c>
      <c r="O47" s="14" t="n">
        <f aca="false">INDEX(Schedules!$C$11:$AL$11,O$18)</f>
        <v>0</v>
      </c>
      <c r="P47" s="14" t="n">
        <f aca="false">INDEX(Schedules!$C$11:$AL$11,P$18)</f>
        <v>0</v>
      </c>
      <c r="Q47" s="14" t="n">
        <f aca="false">INDEX(Schedules!$C$11:$AL$11,Q$18)</f>
        <v>0</v>
      </c>
      <c r="R47" s="14" t="n">
        <f aca="false">INDEX(Schedules!$C$11:$AL$11,R$18)</f>
        <v>0</v>
      </c>
      <c r="S47" s="14" t="n">
        <f aca="false">INDEX(Schedules!$C$11:$AL$11,S$18)</f>
        <v>0</v>
      </c>
      <c r="T47" s="14" t="n">
        <f aca="false">INDEX(Schedules!$C$11:$AL$11,T$18)</f>
        <v>0</v>
      </c>
      <c r="U47" s="14" t="n">
        <f aca="false">INDEX(Schedules!$C$11:$AL$11,U$18)</f>
        <v>0</v>
      </c>
      <c r="V47" s="14" t="n">
        <f aca="false">INDEX(Schedules!$C$11:$AL$11,V$18)</f>
        <v>0</v>
      </c>
      <c r="W47" s="14" t="n">
        <f aca="false">INDEX(Schedules!$C$11:$AL$11,W$18)</f>
        <v>0</v>
      </c>
      <c r="X47" s="14" t="n">
        <f aca="false">INDEX(Schedules!$C$11:$AL$11,X$18)</f>
        <v>0</v>
      </c>
      <c r="Y47" s="14" t="n">
        <f aca="false">INDEX(Schedules!$C$11:$AL$11,Y$18)</f>
        <v>0</v>
      </c>
      <c r="Z47" s="14" t="n">
        <f aca="false">INDEX(Schedules!$C$11:$AL$11,Z$18)</f>
        <v>0</v>
      </c>
      <c r="AA47" s="14" t="n">
        <f aca="false">INDEX(Schedules!$C$11:$AL$11,AA$18)</f>
        <v>0</v>
      </c>
      <c r="AB47" s="14" t="n">
        <f aca="false">INDEX(Schedules!$C$11:$AL$11,AB$18)</f>
        <v>0</v>
      </c>
      <c r="AC47" s="14" t="n">
        <f aca="false">INDEX(Schedules!$C$11:$AL$11,AC$18)</f>
        <v>0</v>
      </c>
      <c r="AD47" s="14" t="n">
        <f aca="false">INDEX(Schedules!$C$11:$AL$11,AD$18)</f>
        <v>0</v>
      </c>
      <c r="AE47" s="14" t="n">
        <f aca="false">INDEX(Schedules!$C$11:$AL$11,AE$18)</f>
        <v>0</v>
      </c>
      <c r="AF47" s="14" t="n">
        <f aca="false">INDEX(Schedules!$C$11:$AL$11,AF$18)</f>
        <v>0</v>
      </c>
      <c r="AG47" s="14" t="n">
        <f aca="false">INDEX(Schedules!$C$11:$AL$11,AG$18)</f>
        <v>0</v>
      </c>
      <c r="AH47" s="14" t="n">
        <f aca="false">INDEX(Schedules!$C$11:$AL$11,AH$18)</f>
        <v>0</v>
      </c>
      <c r="AI47" s="14" t="n">
        <f aca="false">INDEX(Schedules!$C$11:$AL$11,AI$18)</f>
        <v>0</v>
      </c>
      <c r="AJ47" s="14" t="n">
        <f aca="false">INDEX(Schedules!$C$11:$AL$11,AJ$18)</f>
        <v>0</v>
      </c>
      <c r="AK47" s="14" t="n">
        <f aca="false">INDEX(Schedules!$C$11:$AL$11,AK$18)</f>
        <v>0</v>
      </c>
      <c r="AL47" s="14" t="n">
        <f aca="false">INDEX(Schedules!$C$11:$AL$11,AL$18)</f>
        <v>0</v>
      </c>
      <c r="AN47" s="36" t="n">
        <f aca="false">SUM(C47:N47)</f>
        <v>1</v>
      </c>
      <c r="AO47" s="36" t="n">
        <f aca="false">SUM(O47:Z47)</f>
        <v>0</v>
      </c>
      <c r="AP47" s="36" t="n">
        <f aca="false">SUM(AA47:AL47)</f>
        <v>0</v>
      </c>
    </row>
    <row r="48" customFormat="false" ht="15" hidden="false" customHeight="false" outlineLevel="0" collapsed="false">
      <c r="A48" s="0" t="s">
        <v>854</v>
      </c>
      <c r="B48" s="0" t="s">
        <v>852</v>
      </c>
      <c r="C48" s="14" t="n">
        <f aca="false">(C46+C47)</f>
        <v>0</v>
      </c>
      <c r="D48" s="14" t="n">
        <f aca="false">(D46+D47)</f>
        <v>0</v>
      </c>
      <c r="E48" s="14" t="n">
        <f aca="false">(E46+E47)</f>
        <v>0</v>
      </c>
      <c r="F48" s="14" t="n">
        <f aca="false">(F46+F47)</f>
        <v>0</v>
      </c>
      <c r="G48" s="14" t="n">
        <f aca="false">(G46+G47)</f>
        <v>1</v>
      </c>
      <c r="H48" s="14" t="n">
        <f aca="false">(H46+H47)</f>
        <v>0</v>
      </c>
      <c r="I48" s="14" t="n">
        <f aca="false">(I46+I47)</f>
        <v>0</v>
      </c>
      <c r="J48" s="14" t="n">
        <f aca="false">(J46+J47)</f>
        <v>0</v>
      </c>
      <c r="K48" s="14" t="n">
        <f aca="false">(K46+K47)</f>
        <v>0</v>
      </c>
      <c r="L48" s="14" t="n">
        <f aca="false">(L46+L47)</f>
        <v>0</v>
      </c>
      <c r="M48" s="14" t="n">
        <f aca="false">(M46+M47)</f>
        <v>0</v>
      </c>
      <c r="N48" s="14" t="n">
        <f aca="false">(N46+N47)</f>
        <v>0</v>
      </c>
      <c r="O48" s="14" t="n">
        <f aca="false">(O46+O47)</f>
        <v>1</v>
      </c>
      <c r="P48" s="14" t="n">
        <f aca="false">(P46+P47)</f>
        <v>0</v>
      </c>
      <c r="Q48" s="14" t="n">
        <f aca="false">(Q46+Q47)</f>
        <v>0</v>
      </c>
      <c r="R48" s="14" t="n">
        <f aca="false">(R46+R47)</f>
        <v>1</v>
      </c>
      <c r="S48" s="14" t="n">
        <f aca="false">(S46+S47)</f>
        <v>0</v>
      </c>
      <c r="T48" s="14" t="n">
        <f aca="false">(T46+T47)</f>
        <v>0</v>
      </c>
      <c r="U48" s="14" t="n">
        <f aca="false">(U46+U47)</f>
        <v>2</v>
      </c>
      <c r="V48" s="14" t="n">
        <f aca="false">(V46+V47)</f>
        <v>0</v>
      </c>
      <c r="W48" s="14" t="n">
        <f aca="false">(W46+W47)</f>
        <v>0</v>
      </c>
      <c r="X48" s="14" t="n">
        <f aca="false">(X46+X47)</f>
        <v>2</v>
      </c>
      <c r="Y48" s="14" t="n">
        <f aca="false">(Y46+Y47)</f>
        <v>0</v>
      </c>
      <c r="Z48" s="14" t="n">
        <f aca="false">(Z46+Z47)</f>
        <v>0</v>
      </c>
      <c r="AA48" s="14" t="n">
        <f aca="false">(AA46+AA47)</f>
        <v>3</v>
      </c>
      <c r="AB48" s="14" t="n">
        <f aca="false">(AB46+AB47)</f>
        <v>0</v>
      </c>
      <c r="AC48" s="14" t="n">
        <f aca="false">(AC46+AC47)</f>
        <v>0</v>
      </c>
      <c r="AD48" s="14" t="n">
        <f aca="false">(AD46+AD47)</f>
        <v>3</v>
      </c>
      <c r="AE48" s="14" t="n">
        <f aca="false">(AE46+AE47)</f>
        <v>0</v>
      </c>
      <c r="AF48" s="14" t="n">
        <f aca="false">(AF46+AF47)</f>
        <v>0</v>
      </c>
      <c r="AG48" s="14" t="n">
        <f aca="false">(AG46+AG47)</f>
        <v>3</v>
      </c>
      <c r="AH48" s="14" t="n">
        <f aca="false">(AH46+AH47)</f>
        <v>0</v>
      </c>
      <c r="AI48" s="14" t="n">
        <f aca="false">(AI46+AI47)</f>
        <v>0</v>
      </c>
      <c r="AJ48" s="14" t="n">
        <f aca="false">(AJ46+AJ47)</f>
        <v>4</v>
      </c>
      <c r="AK48" s="14" t="n">
        <f aca="false">(AK46+AK47)</f>
        <v>0</v>
      </c>
      <c r="AL48" s="14" t="n">
        <f aca="false">(AL46+AL47)</f>
        <v>0</v>
      </c>
      <c r="AN48" s="36" t="n">
        <f aca="false">SUM(C48:N48)</f>
        <v>1</v>
      </c>
      <c r="AO48" s="36" t="n">
        <f aca="false">SUM(O48:Z48)</f>
        <v>6</v>
      </c>
      <c r="AP48" s="36" t="n">
        <f aca="false">SUM(AA48:AL48)</f>
        <v>13</v>
      </c>
    </row>
    <row r="49" customFormat="false" ht="15" hidden="false" customHeight="false" outlineLevel="0" collapsed="false">
      <c r="A49" s="0" t="s">
        <v>855</v>
      </c>
      <c r="B49" s="0" t="s">
        <v>852</v>
      </c>
      <c r="C49" s="14" t="n">
        <f aca="false">((IF(OR((C$18-(Assumptions!$C$8-1)-$C$9)&lt;1,(C$18-(Assumptions!$C$8-1)-$C$9)&gt;36),0,INDEX(Schedules!$C$8:$AL$8,(C$18-(Assumptions!$C$8-1)-$C$9)))*$C$7)*C44)</f>
        <v>0</v>
      </c>
      <c r="D49" s="14" t="n">
        <f aca="false">((IF(OR((D$18-(Assumptions!$C$8-1)-$C$9)&lt;1,(D$18-(Assumptions!$C$8-1)-$C$9)&gt;36),0,INDEX(Schedules!$C$8:$AL$8,(D$18-(Assumptions!$C$8-1)-$C$9)))*$C$7)*D44)</f>
        <v>0</v>
      </c>
      <c r="E49" s="14" t="n">
        <f aca="false">((IF(OR((E$18-(Assumptions!$C$8-1)-$C$9)&lt;1,(E$18-(Assumptions!$C$8-1)-$C$9)&gt;36),0,INDEX(Schedules!$C$8:$AL$8,(E$18-(Assumptions!$C$8-1)-$C$9)))*$C$7)*E44)</f>
        <v>0</v>
      </c>
      <c r="F49" s="14" t="n">
        <f aca="false">((IF(OR((F$18-(Assumptions!$C$8-1)-$C$9)&lt;1,(F$18-(Assumptions!$C$8-1)-$C$9)&gt;36),0,INDEX(Schedules!$C$8:$AL$8,(F$18-(Assumptions!$C$8-1)-$C$9)))*$C$7)*F44)</f>
        <v>0</v>
      </c>
      <c r="G49" s="14" t="n">
        <f aca="false">((IF(OR((G$18-(Assumptions!$C$8-1)-$C$9)&lt;1,(G$18-(Assumptions!$C$8-1)-$C$9)&gt;36),0,INDEX(Schedules!$C$8:$AL$8,(G$18-(Assumptions!$C$8-1)-$C$9)))*$C$7)*G44)</f>
        <v>0</v>
      </c>
      <c r="H49" s="14" t="n">
        <f aca="false">((IF(OR((H$18-(Assumptions!$C$8-1)-$C$9)&lt;1,(H$18-(Assumptions!$C$8-1)-$C$9)&gt;36),0,INDEX(Schedules!$C$8:$AL$8,(H$18-(Assumptions!$C$8-1)-$C$9)))*$C$7)*H44)</f>
        <v>0</v>
      </c>
      <c r="I49" s="14" t="n">
        <f aca="false">((IF(OR((I$18-(Assumptions!$C$8-1)-$C$9)&lt;1,(I$18-(Assumptions!$C$8-1)-$C$9)&gt;36),0,INDEX(Schedules!$C$8:$AL$8,(I$18-(Assumptions!$C$8-1)-$C$9)))*$C$7)*I44)</f>
        <v>0</v>
      </c>
      <c r="J49" s="14" t="n">
        <f aca="false">((IF(OR((J$18-(Assumptions!$C$8-1)-$C$9)&lt;1,(J$18-(Assumptions!$C$8-1)-$C$9)&gt;36),0,INDEX(Schedules!$C$8:$AL$8,(J$18-(Assumptions!$C$8-1)-$C$9)))*$C$7)*J44)</f>
        <v>0</v>
      </c>
      <c r="K49" s="14" t="n">
        <f aca="false">((IF(OR((K$18-(Assumptions!$C$8-1)-$C$9)&lt;1,(K$18-(Assumptions!$C$8-1)-$C$9)&gt;36),0,INDEX(Schedules!$C$8:$AL$8,(K$18-(Assumptions!$C$8-1)-$C$9)))*$C$7)*K44)</f>
        <v>0</v>
      </c>
      <c r="L49" s="14" t="n">
        <f aca="false">((IF(OR((L$18-(Assumptions!$C$8-1)-$C$9)&lt;1,(L$18-(Assumptions!$C$8-1)-$C$9)&gt;36),0,INDEX(Schedules!$C$8:$AL$8,(L$18-(Assumptions!$C$8-1)-$C$9)))*$C$7)*L44)</f>
        <v>0</v>
      </c>
      <c r="M49" s="14" t="n">
        <f aca="false">((IF(OR((M$18-(Assumptions!$C$8-1)-$C$9)&lt;1,(M$18-(Assumptions!$C$8-1)-$C$9)&gt;36),0,INDEX(Schedules!$C$8:$AL$8,(M$18-(Assumptions!$C$8-1)-$C$9)))*$C$7)*M44)</f>
        <v>0</v>
      </c>
      <c r="N49" s="14" t="n">
        <f aca="false">((IF(OR((N$18-(Assumptions!$C$8-1)-$C$9)&lt;1,(N$18-(Assumptions!$C$8-1)-$C$9)&gt;36),0,INDEX(Schedules!$C$8:$AL$8,(N$18-(Assumptions!$C$8-1)-$C$9)))*$C$7)*N44)</f>
        <v>0</v>
      </c>
      <c r="O49" s="14" t="n">
        <f aca="false">((IF(OR((O$18-(Assumptions!$C$8-1)-$C$9)&lt;1,(O$18-(Assumptions!$C$8-1)-$C$9)&gt;36),0,INDEX(Schedules!$C$8:$AL$8,(O$18-(Assumptions!$C$8-1)-$C$9)))*$C$7)*O44)</f>
        <v>0</v>
      </c>
      <c r="P49" s="14" t="n">
        <f aca="false">((IF(OR((P$18-(Assumptions!$C$8-1)-$C$9)&lt;1,(P$18-(Assumptions!$C$8-1)-$C$9)&gt;36),0,INDEX(Schedules!$C$8:$AL$8,(P$18-(Assumptions!$C$8-1)-$C$9)))*$C$7)*P44)</f>
        <v>0</v>
      </c>
      <c r="Q49" s="14" t="n">
        <f aca="false">((IF(OR((Q$18-(Assumptions!$C$8-1)-$C$9)&lt;1,(Q$18-(Assumptions!$C$8-1)-$C$9)&gt;36),0,INDEX(Schedules!$C$8:$AL$8,(Q$18-(Assumptions!$C$8-1)-$C$9)))*$C$7)*Q44)</f>
        <v>0</v>
      </c>
      <c r="R49" s="14" t="n">
        <f aca="false">((IF(OR((R$18-(Assumptions!$C$8-1)-$C$9)&lt;1,(R$18-(Assumptions!$C$8-1)-$C$9)&gt;36),0,INDEX(Schedules!$C$8:$AL$8,(R$18-(Assumptions!$C$8-1)-$C$9)))*$C$7)*R44)</f>
        <v>0</v>
      </c>
      <c r="S49" s="14" t="n">
        <f aca="false">((IF(OR((S$18-(Assumptions!$C$8-1)-$C$9)&lt;1,(S$18-(Assumptions!$C$8-1)-$C$9)&gt;36),0,INDEX(Schedules!$C$8:$AL$8,(S$18-(Assumptions!$C$8-1)-$C$9)))*$C$7)*S44)</f>
        <v>0</v>
      </c>
      <c r="T49" s="14" t="n">
        <f aca="false">((IF(OR((T$18-(Assumptions!$C$8-1)-$C$9)&lt;1,(T$18-(Assumptions!$C$8-1)-$C$9)&gt;36),0,INDEX(Schedules!$C$8:$AL$8,(T$18-(Assumptions!$C$8-1)-$C$9)))*$C$7)*T44)</f>
        <v>0</v>
      </c>
      <c r="U49" s="14" t="n">
        <f aca="false">((IF(OR((U$18-(Assumptions!$C$8-1)-$C$9)&lt;1,(U$18-(Assumptions!$C$8-1)-$C$9)&gt;36),0,INDEX(Schedules!$C$8:$AL$8,(U$18-(Assumptions!$C$8-1)-$C$9)))*$C$7)*U44)</f>
        <v>0</v>
      </c>
      <c r="V49" s="14" t="n">
        <f aca="false">((IF(OR((V$18-(Assumptions!$C$8-1)-$C$9)&lt;1,(V$18-(Assumptions!$C$8-1)-$C$9)&gt;36),0,INDEX(Schedules!$C$8:$AL$8,(V$18-(Assumptions!$C$8-1)-$C$9)))*$C$7)*V44)</f>
        <v>0</v>
      </c>
      <c r="W49" s="14" t="n">
        <f aca="false">((IF(OR((W$18-(Assumptions!$C$8-1)-$C$9)&lt;1,(W$18-(Assumptions!$C$8-1)-$C$9)&gt;36),0,INDEX(Schedules!$C$8:$AL$8,(W$18-(Assumptions!$C$8-1)-$C$9)))*$C$7)*W44)</f>
        <v>0</v>
      </c>
      <c r="X49" s="14" t="n">
        <f aca="false">((IF(OR((X$18-(Assumptions!$C$8-1)-$C$9)&lt;1,(X$18-(Assumptions!$C$8-1)-$C$9)&gt;36),0,INDEX(Schedules!$C$8:$AL$8,(X$18-(Assumptions!$C$8-1)-$C$9)))*$C$7)*X44)</f>
        <v>0</v>
      </c>
      <c r="Y49" s="14" t="n">
        <f aca="false">((IF(OR((Y$18-(Assumptions!$C$8-1)-$C$9)&lt;1,(Y$18-(Assumptions!$C$8-1)-$C$9)&gt;36),0,INDEX(Schedules!$C$8:$AL$8,(Y$18-(Assumptions!$C$8-1)-$C$9)))*$C$7)*Y44)</f>
        <v>1</v>
      </c>
      <c r="Z49" s="14" t="n">
        <f aca="false">((IF(OR((Z$18-(Assumptions!$C$8-1)-$C$9)&lt;1,(Z$18-(Assumptions!$C$8-1)-$C$9)&gt;36),0,INDEX(Schedules!$C$8:$AL$8,(Z$18-(Assumptions!$C$8-1)-$C$9)))*$C$7)*Z44)</f>
        <v>0</v>
      </c>
      <c r="AA49" s="14" t="n">
        <f aca="false">((IF(OR((AA$18-(Assumptions!$C$8-1)-$C$9)&lt;1,(AA$18-(Assumptions!$C$8-1)-$C$9)&gt;36),0,INDEX(Schedules!$C$8:$AL$8,(AA$18-(Assumptions!$C$8-1)-$C$9)))*$C$7)*AA44)</f>
        <v>0</v>
      </c>
      <c r="AB49" s="14" t="n">
        <f aca="false">((IF(OR((AB$18-(Assumptions!$C$8-1)-$C$9)&lt;1,(AB$18-(Assumptions!$C$8-1)-$C$9)&gt;36),0,INDEX(Schedules!$C$8:$AL$8,(AB$18-(Assumptions!$C$8-1)-$C$9)))*$C$7)*AB44)</f>
        <v>1</v>
      </c>
      <c r="AC49" s="14" t="n">
        <f aca="false">((IF(OR((AC$18-(Assumptions!$C$8-1)-$C$9)&lt;1,(AC$18-(Assumptions!$C$8-1)-$C$9)&gt;36),0,INDEX(Schedules!$C$8:$AL$8,(AC$18-(Assumptions!$C$8-1)-$C$9)))*$C$7)*AC44)</f>
        <v>0</v>
      </c>
      <c r="AD49" s="14" t="n">
        <f aca="false">((IF(OR((AD$18-(Assumptions!$C$8-1)-$C$9)&lt;1,(AD$18-(Assumptions!$C$8-1)-$C$9)&gt;36),0,INDEX(Schedules!$C$8:$AL$8,(AD$18-(Assumptions!$C$8-1)-$C$9)))*$C$7)*AD44)</f>
        <v>0</v>
      </c>
      <c r="AE49" s="14" t="n">
        <f aca="false">((IF(OR((AE$18-(Assumptions!$C$8-1)-$C$9)&lt;1,(AE$18-(Assumptions!$C$8-1)-$C$9)&gt;36),0,INDEX(Schedules!$C$8:$AL$8,(AE$18-(Assumptions!$C$8-1)-$C$9)))*$C$7)*AE44)</f>
        <v>2</v>
      </c>
      <c r="AF49" s="14" t="n">
        <f aca="false">((IF(OR((AF$18-(Assumptions!$C$8-1)-$C$9)&lt;1,(AF$18-(Assumptions!$C$8-1)-$C$9)&gt;36),0,INDEX(Schedules!$C$8:$AL$8,(AF$18-(Assumptions!$C$8-1)-$C$9)))*$C$7)*AF44)</f>
        <v>0</v>
      </c>
      <c r="AG49" s="14" t="n">
        <f aca="false">((IF(OR((AG$18-(Assumptions!$C$8-1)-$C$9)&lt;1,(AG$18-(Assumptions!$C$8-1)-$C$9)&gt;36),0,INDEX(Schedules!$C$8:$AL$8,(AG$18-(Assumptions!$C$8-1)-$C$9)))*$C$7)*AG44)</f>
        <v>0</v>
      </c>
      <c r="AH49" s="14" t="n">
        <f aca="false">((IF(OR((AH$18-(Assumptions!$C$8-1)-$C$9)&lt;1,(AH$18-(Assumptions!$C$8-1)-$C$9)&gt;36),0,INDEX(Schedules!$C$8:$AL$8,(AH$18-(Assumptions!$C$8-1)-$C$9)))*$C$7)*AH44)</f>
        <v>2</v>
      </c>
      <c r="AI49" s="14" t="n">
        <f aca="false">((IF(OR((AI$18-(Assumptions!$C$8-1)-$C$9)&lt;1,(AI$18-(Assumptions!$C$8-1)-$C$9)&gt;36),0,INDEX(Schedules!$C$8:$AL$8,(AI$18-(Assumptions!$C$8-1)-$C$9)))*$C$7)*AI44)</f>
        <v>0</v>
      </c>
      <c r="AJ49" s="14" t="n">
        <f aca="false">((IF(OR((AJ$18-(Assumptions!$C$8-1)-$C$9)&lt;1,(AJ$18-(Assumptions!$C$8-1)-$C$9)&gt;36),0,INDEX(Schedules!$C$8:$AL$8,(AJ$18-(Assumptions!$C$8-1)-$C$9)))*$C$7)*AJ44)</f>
        <v>0</v>
      </c>
      <c r="AK49" s="14" t="n">
        <f aca="false">((IF(OR((AK$18-(Assumptions!$C$8-1)-$C$9)&lt;1,(AK$18-(Assumptions!$C$8-1)-$C$9)&gt;36),0,INDEX(Schedules!$C$8:$AL$8,(AK$18-(Assumptions!$C$8-1)-$C$9)))*$C$7)*AK44)</f>
        <v>3</v>
      </c>
      <c r="AL49" s="14" t="n">
        <f aca="false">((IF(OR((AL$18-(Assumptions!$C$8-1)-$C$9)&lt;1,(AL$18-(Assumptions!$C$8-1)-$C$9)&gt;36),0,INDEX(Schedules!$C$8:$AL$8,(AL$18-(Assumptions!$C$8-1)-$C$9)))*$C$7)*AL44)</f>
        <v>0</v>
      </c>
      <c r="AN49" s="36" t="n">
        <f aca="false">SUM(C49:N49)</f>
        <v>0</v>
      </c>
      <c r="AO49" s="36" t="n">
        <f aca="false">SUM(O49:Z49)</f>
        <v>1</v>
      </c>
      <c r="AP49" s="36" t="n">
        <f aca="false">SUM(AA49:AL49)</f>
        <v>8</v>
      </c>
    </row>
    <row r="50" customFormat="false" ht="15" hidden="false" customHeight="false" outlineLevel="0" collapsed="false">
      <c r="A50" s="0" t="s">
        <v>856</v>
      </c>
      <c r="B50" s="0" t="s">
        <v>852</v>
      </c>
      <c r="C50" s="14" t="n">
        <f aca="false">(C46+C49)</f>
        <v>0</v>
      </c>
      <c r="D50" s="14" t="n">
        <f aca="false">(D46+D49)</f>
        <v>0</v>
      </c>
      <c r="E50" s="14" t="n">
        <f aca="false">(E46+E49)</f>
        <v>0</v>
      </c>
      <c r="F50" s="14" t="n">
        <f aca="false">(F46+F49)</f>
        <v>0</v>
      </c>
      <c r="G50" s="14" t="n">
        <f aca="false">(G46+G49)</f>
        <v>0</v>
      </c>
      <c r="H50" s="14" t="n">
        <f aca="false">(H46+H49)</f>
        <v>0</v>
      </c>
      <c r="I50" s="14" t="n">
        <f aca="false">(I46+I49)</f>
        <v>0</v>
      </c>
      <c r="J50" s="14" t="n">
        <f aca="false">(J46+J49)</f>
        <v>0</v>
      </c>
      <c r="K50" s="14" t="n">
        <f aca="false">(K46+K49)</f>
        <v>0</v>
      </c>
      <c r="L50" s="14" t="n">
        <f aca="false">(L46+L49)</f>
        <v>0</v>
      </c>
      <c r="M50" s="14" t="n">
        <f aca="false">(M46+M49)</f>
        <v>0</v>
      </c>
      <c r="N50" s="14" t="n">
        <f aca="false">(N46+N49)</f>
        <v>0</v>
      </c>
      <c r="O50" s="14" t="n">
        <f aca="false">(O46+O49)</f>
        <v>1</v>
      </c>
      <c r="P50" s="14" t="n">
        <f aca="false">(P46+P49)</f>
        <v>0</v>
      </c>
      <c r="Q50" s="14" t="n">
        <f aca="false">(Q46+Q49)</f>
        <v>0</v>
      </c>
      <c r="R50" s="14" t="n">
        <f aca="false">(R46+R49)</f>
        <v>1</v>
      </c>
      <c r="S50" s="14" t="n">
        <f aca="false">(S46+S49)</f>
        <v>0</v>
      </c>
      <c r="T50" s="14" t="n">
        <f aca="false">(T46+T49)</f>
        <v>0</v>
      </c>
      <c r="U50" s="14" t="n">
        <f aca="false">(U46+U49)</f>
        <v>2</v>
      </c>
      <c r="V50" s="14" t="n">
        <f aca="false">(V46+V49)</f>
        <v>0</v>
      </c>
      <c r="W50" s="14" t="n">
        <f aca="false">(W46+W49)</f>
        <v>0</v>
      </c>
      <c r="X50" s="14" t="n">
        <f aca="false">(X46+X49)</f>
        <v>2</v>
      </c>
      <c r="Y50" s="14" t="n">
        <f aca="false">(Y46+Y49)</f>
        <v>1</v>
      </c>
      <c r="Z50" s="14" t="n">
        <f aca="false">(Z46+Z49)</f>
        <v>0</v>
      </c>
      <c r="AA50" s="14" t="n">
        <f aca="false">(AA46+AA49)</f>
        <v>3</v>
      </c>
      <c r="AB50" s="14" t="n">
        <f aca="false">(AB46+AB49)</f>
        <v>1</v>
      </c>
      <c r="AC50" s="14" t="n">
        <f aca="false">(AC46+AC49)</f>
        <v>0</v>
      </c>
      <c r="AD50" s="14" t="n">
        <f aca="false">(AD46+AD49)</f>
        <v>3</v>
      </c>
      <c r="AE50" s="14" t="n">
        <f aca="false">(AE46+AE49)</f>
        <v>2</v>
      </c>
      <c r="AF50" s="14" t="n">
        <f aca="false">(AF46+AF49)</f>
        <v>0</v>
      </c>
      <c r="AG50" s="14" t="n">
        <f aca="false">(AG46+AG49)</f>
        <v>3</v>
      </c>
      <c r="AH50" s="14" t="n">
        <f aca="false">(AH46+AH49)</f>
        <v>2</v>
      </c>
      <c r="AI50" s="14" t="n">
        <f aca="false">(AI46+AI49)</f>
        <v>0</v>
      </c>
      <c r="AJ50" s="14" t="n">
        <f aca="false">(AJ46+AJ49)</f>
        <v>4</v>
      </c>
      <c r="AK50" s="14" t="n">
        <f aca="false">(AK46+AK49)</f>
        <v>3</v>
      </c>
      <c r="AL50" s="14" t="n">
        <f aca="false">(AL46+AL49)</f>
        <v>0</v>
      </c>
      <c r="AN50" s="36" t="n">
        <f aca="false">SUM(C50:N50)</f>
        <v>0</v>
      </c>
      <c r="AO50" s="36" t="n">
        <f aca="false">SUM(O50:Z50)</f>
        <v>7</v>
      </c>
      <c r="AP50" s="36" t="n">
        <f aca="false">SUM(AA50:AL50)</f>
        <v>21</v>
      </c>
    </row>
    <row r="51" customFormat="false" ht="15" hidden="false" customHeight="false" outlineLevel="0" collapsed="false">
      <c r="A51" s="0" t="s">
        <v>857</v>
      </c>
      <c r="B51" s="0" t="s">
        <v>852</v>
      </c>
      <c r="C51" s="14" t="n">
        <f aca="false">C48</f>
        <v>0</v>
      </c>
      <c r="D51" s="14" t="n">
        <f aca="false">SUM(C48:D48)</f>
        <v>0</v>
      </c>
      <c r="E51" s="14" t="n">
        <f aca="false">SUM(C48:E48)</f>
        <v>0</v>
      </c>
      <c r="F51" s="14" t="n">
        <f aca="false">SUM(C48:F48)</f>
        <v>0</v>
      </c>
      <c r="G51" s="14" t="n">
        <f aca="false">SUM(C48:G48)</f>
        <v>1</v>
      </c>
      <c r="H51" s="14" t="n">
        <f aca="false">SUM(C48:H48)</f>
        <v>1</v>
      </c>
      <c r="I51" s="14" t="n">
        <f aca="false">SUM(D48:I48)</f>
        <v>1</v>
      </c>
      <c r="J51" s="14" t="n">
        <f aca="false">SUM(E48:J48)</f>
        <v>1</v>
      </c>
      <c r="K51" s="14" t="n">
        <f aca="false">SUM(F48:K48)</f>
        <v>1</v>
      </c>
      <c r="L51" s="14" t="n">
        <f aca="false">SUM(G48:L48)</f>
        <v>1</v>
      </c>
      <c r="M51" s="14" t="n">
        <f aca="false">SUM(H48:M48)</f>
        <v>0</v>
      </c>
      <c r="N51" s="14" t="n">
        <f aca="false">SUM(I48:N48)</f>
        <v>0</v>
      </c>
      <c r="O51" s="14" t="n">
        <f aca="false">SUM(J48:O48)</f>
        <v>1</v>
      </c>
      <c r="P51" s="14" t="n">
        <f aca="false">SUM(K48:P48)</f>
        <v>1</v>
      </c>
      <c r="Q51" s="14" t="n">
        <f aca="false">SUM(L48:Q48)</f>
        <v>1</v>
      </c>
      <c r="R51" s="14" t="n">
        <f aca="false">SUM(M48:R48)</f>
        <v>2</v>
      </c>
      <c r="S51" s="14" t="n">
        <f aca="false">SUM(N48:S48)</f>
        <v>2</v>
      </c>
      <c r="T51" s="14" t="n">
        <f aca="false">SUM(O48:T48)</f>
        <v>2</v>
      </c>
      <c r="U51" s="14" t="n">
        <f aca="false">SUM(P48:U48)</f>
        <v>3</v>
      </c>
      <c r="V51" s="14" t="n">
        <f aca="false">SUM(Q48:V48)</f>
        <v>3</v>
      </c>
      <c r="W51" s="14" t="n">
        <f aca="false">SUM(R48:W48)</f>
        <v>3</v>
      </c>
      <c r="X51" s="14" t="n">
        <f aca="false">SUM(S48:X48)</f>
        <v>4</v>
      </c>
      <c r="Y51" s="14" t="n">
        <f aca="false">SUM(T48:Y48)</f>
        <v>4</v>
      </c>
      <c r="Z51" s="14" t="n">
        <f aca="false">SUM(U48:Z48)</f>
        <v>4</v>
      </c>
      <c r="AA51" s="14" t="n">
        <f aca="false">SUM(V48:AA48)</f>
        <v>5</v>
      </c>
      <c r="AB51" s="14" t="n">
        <f aca="false">SUM(W48:AB48)</f>
        <v>5</v>
      </c>
      <c r="AC51" s="14" t="n">
        <f aca="false">SUM(X48:AC48)</f>
        <v>5</v>
      </c>
      <c r="AD51" s="14" t="n">
        <f aca="false">SUM(Y48:AD48)</f>
        <v>6</v>
      </c>
      <c r="AE51" s="14" t="n">
        <f aca="false">SUM(Z48:AE48)</f>
        <v>6</v>
      </c>
      <c r="AF51" s="14" t="n">
        <f aca="false">SUM(AA48:AF48)</f>
        <v>6</v>
      </c>
      <c r="AG51" s="14" t="n">
        <f aca="false">SUM(AB48:AG48)</f>
        <v>6</v>
      </c>
      <c r="AH51" s="14" t="n">
        <f aca="false">SUM(AC48:AH48)</f>
        <v>6</v>
      </c>
      <c r="AI51" s="14" t="n">
        <f aca="false">SUM(AD48:AI48)</f>
        <v>6</v>
      </c>
      <c r="AJ51" s="14" t="n">
        <f aca="false">SUM(AE48:AJ48)</f>
        <v>7</v>
      </c>
      <c r="AK51" s="14" t="n">
        <f aca="false">SUM(AF48:AK48)</f>
        <v>7</v>
      </c>
      <c r="AL51" s="14" t="n">
        <f aca="false">SUM(AG48:AL48)</f>
        <v>7</v>
      </c>
      <c r="AN51" s="36" t="n">
        <f aca="false">N51</f>
        <v>0</v>
      </c>
      <c r="AO51" s="36" t="n">
        <f aca="false">Z51</f>
        <v>4</v>
      </c>
      <c r="AP51" s="36" t="n">
        <f aca="false">AL51</f>
        <v>7</v>
      </c>
    </row>
    <row r="52" customFormat="false" ht="15" hidden="false" customHeight="false" outlineLevel="0" collapsed="false">
      <c r="A52" s="0" t="s">
        <v>858</v>
      </c>
      <c r="B52" s="0" t="s">
        <v>852</v>
      </c>
      <c r="C52" s="14" t="n">
        <f aca="false">C46</f>
        <v>0</v>
      </c>
      <c r="D52" s="14" t="n">
        <f aca="false">SUM(C46:D46)</f>
        <v>0</v>
      </c>
      <c r="E52" s="14" t="n">
        <f aca="false">SUM(C46:E46)</f>
        <v>0</v>
      </c>
      <c r="F52" s="14" t="n">
        <f aca="false">SUM(C46:F46)</f>
        <v>0</v>
      </c>
      <c r="G52" s="14" t="n">
        <f aca="false">SUM(C46:G46)</f>
        <v>0</v>
      </c>
      <c r="H52" s="14" t="n">
        <f aca="false">SUM(C46:H46)</f>
        <v>0</v>
      </c>
      <c r="I52" s="14" t="n">
        <f aca="false">SUM(D46:I46)</f>
        <v>0</v>
      </c>
      <c r="J52" s="14" t="n">
        <f aca="false">SUM(E46:J46)</f>
        <v>0</v>
      </c>
      <c r="K52" s="14" t="n">
        <f aca="false">SUM(F46:K46)</f>
        <v>0</v>
      </c>
      <c r="L52" s="14" t="n">
        <f aca="false">SUM(G46:L46)</f>
        <v>0</v>
      </c>
      <c r="M52" s="14" t="n">
        <f aca="false">SUM(H46:M46)</f>
        <v>0</v>
      </c>
      <c r="N52" s="14" t="n">
        <f aca="false">SUM(I46:N46)</f>
        <v>0</v>
      </c>
      <c r="O52" s="14" t="n">
        <f aca="false">SUM(J46:O46)</f>
        <v>1</v>
      </c>
      <c r="P52" s="14" t="n">
        <f aca="false">SUM(K46:P46)</f>
        <v>1</v>
      </c>
      <c r="Q52" s="14" t="n">
        <f aca="false">SUM(L46:Q46)</f>
        <v>1</v>
      </c>
      <c r="R52" s="14" t="n">
        <f aca="false">SUM(M46:R46)</f>
        <v>2</v>
      </c>
      <c r="S52" s="14" t="n">
        <f aca="false">SUM(N46:S46)</f>
        <v>2</v>
      </c>
      <c r="T52" s="14" t="n">
        <f aca="false">SUM(O46:T46)</f>
        <v>2</v>
      </c>
      <c r="U52" s="14" t="n">
        <f aca="false">SUM(P46:U46)</f>
        <v>3</v>
      </c>
      <c r="V52" s="14" t="n">
        <f aca="false">SUM(Q46:V46)</f>
        <v>3</v>
      </c>
      <c r="W52" s="14" t="n">
        <f aca="false">SUM(R46:W46)</f>
        <v>3</v>
      </c>
      <c r="X52" s="14" t="n">
        <f aca="false">SUM(S46:X46)</f>
        <v>4</v>
      </c>
      <c r="Y52" s="14" t="n">
        <f aca="false">SUM(T46:Y46)</f>
        <v>4</v>
      </c>
      <c r="Z52" s="14" t="n">
        <f aca="false">SUM(U46:Z46)</f>
        <v>4</v>
      </c>
      <c r="AA52" s="14" t="n">
        <f aca="false">SUM(V46:AA46)</f>
        <v>5</v>
      </c>
      <c r="AB52" s="14" t="n">
        <f aca="false">SUM(W46:AB46)</f>
        <v>5</v>
      </c>
      <c r="AC52" s="14" t="n">
        <f aca="false">SUM(X46:AC46)</f>
        <v>5</v>
      </c>
      <c r="AD52" s="14" t="n">
        <f aca="false">SUM(Y46:AD46)</f>
        <v>6</v>
      </c>
      <c r="AE52" s="14" t="n">
        <f aca="false">SUM(Z46:AE46)</f>
        <v>6</v>
      </c>
      <c r="AF52" s="14" t="n">
        <f aca="false">SUM(AA46:AF46)</f>
        <v>6</v>
      </c>
      <c r="AG52" s="14" t="n">
        <f aca="false">SUM(AB46:AG46)</f>
        <v>6</v>
      </c>
      <c r="AH52" s="14" t="n">
        <f aca="false">SUM(AC46:AH46)</f>
        <v>6</v>
      </c>
      <c r="AI52" s="14" t="n">
        <f aca="false">SUM(AD46:AI46)</f>
        <v>6</v>
      </c>
      <c r="AJ52" s="14" t="n">
        <f aca="false">SUM(AE46:AJ46)</f>
        <v>7</v>
      </c>
      <c r="AK52" s="14" t="n">
        <f aca="false">SUM(AF46:AK46)</f>
        <v>7</v>
      </c>
      <c r="AL52" s="14" t="n">
        <f aca="false">SUM(AG46:AL46)</f>
        <v>7</v>
      </c>
      <c r="AN52" s="36" t="n">
        <f aca="false">N52</f>
        <v>0</v>
      </c>
      <c r="AO52" s="36" t="n">
        <f aca="false">Z52</f>
        <v>4</v>
      </c>
      <c r="AP52" s="36" t="n">
        <f aca="false">AL52</f>
        <v>7</v>
      </c>
    </row>
    <row r="53" customFormat="false" ht="15" hidden="false" customHeight="false" outlineLevel="0" collapsed="false">
      <c r="A53" s="0" t="s">
        <v>859</v>
      </c>
      <c r="B53" s="0" t="s">
        <v>852</v>
      </c>
      <c r="C53" s="14" t="n">
        <f aca="false">((Assumptions!$C$127*$C$8)*0)</f>
        <v>0</v>
      </c>
      <c r="D53" s="14" t="n">
        <f aca="false">((Assumptions!$C$127*$C$8)*0)</f>
        <v>0</v>
      </c>
      <c r="E53" s="14" t="n">
        <f aca="false">((Assumptions!$C$127*$C$8)*0)</f>
        <v>0</v>
      </c>
      <c r="F53" s="14" t="n">
        <f aca="false">((Assumptions!$C$127*$C$8)*0)</f>
        <v>0</v>
      </c>
      <c r="G53" s="14" t="n">
        <f aca="false">((Assumptions!$C$127*$C$8)*0)</f>
        <v>0</v>
      </c>
      <c r="H53" s="14" t="n">
        <f aca="false">((Assumptions!$C$127*$C$8)*0)</f>
        <v>0</v>
      </c>
      <c r="I53" s="14" t="n">
        <f aca="false">((Assumptions!$C$127*$C$8)*0)</f>
        <v>0</v>
      </c>
      <c r="J53" s="14" t="n">
        <f aca="false">((Assumptions!$C$127*$C$8)*C46)</f>
        <v>0</v>
      </c>
      <c r="K53" s="14" t="n">
        <f aca="false">((Assumptions!$C$127*$C$8)*D46)</f>
        <v>0</v>
      </c>
      <c r="L53" s="14" t="n">
        <f aca="false">((Assumptions!$C$127*$C$8)*E46)</f>
        <v>0</v>
      </c>
      <c r="M53" s="14" t="n">
        <f aca="false">((Assumptions!$C$127*$C$8)*F46)</f>
        <v>0</v>
      </c>
      <c r="N53" s="14" t="n">
        <f aca="false">((Assumptions!$C$127*$C$8)*G46)</f>
        <v>0</v>
      </c>
      <c r="O53" s="14" t="n">
        <f aca="false">((Assumptions!$C$127*$C$8)*H46)</f>
        <v>0</v>
      </c>
      <c r="P53" s="14" t="n">
        <f aca="false">((Assumptions!$C$127*$C$8)*I46)</f>
        <v>0</v>
      </c>
      <c r="Q53" s="14" t="n">
        <f aca="false">((Assumptions!$C$127*$C$8)*J46)</f>
        <v>0</v>
      </c>
      <c r="R53" s="14" t="n">
        <f aca="false">((Assumptions!$C$127*$C$8)*K46)</f>
        <v>0</v>
      </c>
      <c r="S53" s="14" t="n">
        <f aca="false">((Assumptions!$C$127*$C$8)*L46)</f>
        <v>0</v>
      </c>
      <c r="T53" s="14" t="n">
        <f aca="false">((Assumptions!$C$127*$C$8)*M46)</f>
        <v>0</v>
      </c>
      <c r="U53" s="14" t="n">
        <f aca="false">((Assumptions!$C$127*$C$8)*N46)</f>
        <v>0</v>
      </c>
      <c r="V53" s="14" t="n">
        <f aca="false">((Assumptions!$C$127*$C$8)*O46)</f>
        <v>0.5</v>
      </c>
      <c r="W53" s="14" t="n">
        <f aca="false">((Assumptions!$C$127*$C$8)*P46)</f>
        <v>0</v>
      </c>
      <c r="X53" s="14" t="n">
        <f aca="false">((Assumptions!$C$127*$C$8)*Q46)</f>
        <v>0</v>
      </c>
      <c r="Y53" s="14" t="n">
        <f aca="false">((Assumptions!$C$127*$C$8)*R46)</f>
        <v>0.5</v>
      </c>
      <c r="Z53" s="14" t="n">
        <f aca="false">((Assumptions!$C$127*$C$8)*S46)</f>
        <v>0</v>
      </c>
      <c r="AA53" s="14" t="n">
        <f aca="false">((Assumptions!$C$127*$C$8)*T46)</f>
        <v>0</v>
      </c>
      <c r="AB53" s="14" t="n">
        <f aca="false">((Assumptions!$C$127*$C$8)*U46)</f>
        <v>1</v>
      </c>
      <c r="AC53" s="14" t="n">
        <f aca="false">((Assumptions!$C$127*$C$8)*V46)</f>
        <v>0</v>
      </c>
      <c r="AD53" s="14" t="n">
        <f aca="false">((Assumptions!$C$127*$C$8)*W46)</f>
        <v>0</v>
      </c>
      <c r="AE53" s="14" t="n">
        <f aca="false">((Assumptions!$C$127*$C$8)*X46)</f>
        <v>1</v>
      </c>
      <c r="AF53" s="14" t="n">
        <f aca="false">((Assumptions!$C$127*$C$8)*Y46)</f>
        <v>0</v>
      </c>
      <c r="AG53" s="14" t="n">
        <f aca="false">((Assumptions!$C$127*$C$8)*Z46)</f>
        <v>0</v>
      </c>
      <c r="AH53" s="14" t="n">
        <f aca="false">((Assumptions!$C$127*$C$8)*AA46)</f>
        <v>1.5</v>
      </c>
      <c r="AI53" s="14" t="n">
        <f aca="false">((Assumptions!$C$127*$C$8)*AB46)</f>
        <v>0</v>
      </c>
      <c r="AJ53" s="14" t="n">
        <f aca="false">((Assumptions!$C$127*$C$8)*AC46)</f>
        <v>0</v>
      </c>
      <c r="AK53" s="14" t="n">
        <f aca="false">((Assumptions!$C$127*$C$8)*AD46)</f>
        <v>1.5</v>
      </c>
      <c r="AL53" s="14" t="n">
        <f aca="false">((Assumptions!$C$127*$C$8)*AE46)</f>
        <v>0</v>
      </c>
      <c r="AN53" s="36" t="n">
        <f aca="false">SUM(C53:N53)</f>
        <v>0</v>
      </c>
      <c r="AO53" s="36" t="n">
        <f aca="false">SUM(O53:Z53)</f>
        <v>1</v>
      </c>
      <c r="AP53" s="36" t="n">
        <f aca="false">SUM(AA53:AL53)</f>
        <v>5</v>
      </c>
    </row>
    <row r="54" customFormat="false" ht="15" hidden="false" customHeight="false" outlineLevel="0" collapsed="false">
      <c r="A54" s="0" t="s">
        <v>860</v>
      </c>
      <c r="B54" s="0" t="s">
        <v>852</v>
      </c>
      <c r="C54" s="14" t="n">
        <f aca="false">((Assumptions!$C$10*$C$8)*IF((C$18=(Assumptions!$C$7+$C$9)),0,IF((C$18&gt;(Assumptions!$C$7+$C$9)),0,0)))</f>
        <v>0</v>
      </c>
      <c r="D54" s="14" t="n">
        <f aca="false">((Assumptions!$C$10*$C$8)*IF((D$18=(Assumptions!$C$7+$C$9)),0,IF((D$18&gt;(Assumptions!$C$7+$C$9)),0,0)))</f>
        <v>0</v>
      </c>
      <c r="E54" s="14" t="n">
        <f aca="false">((Assumptions!$C$10*$C$8)*IF((E$18=(Assumptions!$C$7+$C$9)),0,IF((E$18&gt;(Assumptions!$C$7+$C$9)),0,0)))</f>
        <v>0</v>
      </c>
      <c r="F54" s="14" t="n">
        <f aca="false">((Assumptions!$C$10*$C$8)*IF((F$18=(Assumptions!$C$7+$C$9)),0,IF((F$18&gt;(Assumptions!$C$7+$C$9)),0,0)))</f>
        <v>0</v>
      </c>
      <c r="G54" s="14" t="n">
        <f aca="false">((Assumptions!$C$10*$C$8)*IF((G$18=(Assumptions!$C$7+$C$9)),0,IF((G$18&gt;(Assumptions!$C$7+$C$9)),0,0)))</f>
        <v>0</v>
      </c>
      <c r="H54" s="14" t="n">
        <f aca="false">((Assumptions!$C$10*$C$8)*IF((H$18=(Assumptions!$C$7+$C$9)),0,IF((H$18&gt;(Assumptions!$C$7+$C$9)),0,0)))</f>
        <v>0</v>
      </c>
      <c r="I54" s="14" t="n">
        <f aca="false">((Assumptions!$C$10*$C$8)*IF((I$18=(Assumptions!$C$7+$C$9)),0,IF((I$18&gt;(Assumptions!$C$7+$C$9)),0,0)))</f>
        <v>0</v>
      </c>
      <c r="J54" s="14" t="n">
        <f aca="false">((Assumptions!$C$10*$C$8)*IF((J$18=(Assumptions!$C$7+$C$9)),C47,IF((J$18&gt;(Assumptions!$C$7+$C$9)),C47,0)))</f>
        <v>0</v>
      </c>
      <c r="K54" s="14" t="n">
        <f aca="false">((Assumptions!$C$10*$C$8)*IF((K$18=(Assumptions!$C$7+$C$9)),SUM(C47:D47),IF((K$18&gt;(Assumptions!$C$7+$C$9)),D47,0)))</f>
        <v>0</v>
      </c>
      <c r="L54" s="14" t="n">
        <f aca="false">((Assumptions!$C$10*$C$8)*IF((L$18=(Assumptions!$C$7+$C$9)),SUM(C47:E47),IF((L$18&gt;(Assumptions!$C$7+$C$9)),E47,0)))</f>
        <v>0</v>
      </c>
      <c r="M54" s="14" t="n">
        <f aca="false">((Assumptions!$C$10*$C$8)*IF((M$18=(Assumptions!$C$7+$C$9)),SUM(C47:F47),IF((M$18&gt;(Assumptions!$C$7+$C$9)),F47,0)))</f>
        <v>0</v>
      </c>
      <c r="N54" s="14" t="n">
        <f aca="false">((Assumptions!$C$10*$C$8)*IF((N$18=(Assumptions!$C$7+$C$9)),SUM(C47:G47),IF((N$18&gt;(Assumptions!$C$7+$C$9)),G47,0)))</f>
        <v>0.6</v>
      </c>
      <c r="O54" s="14" t="n">
        <f aca="false">((Assumptions!$C$10*$C$8)*IF((O$18=(Assumptions!$C$7+$C$9)),SUM(C47:H47),IF((O$18&gt;(Assumptions!$C$7+$C$9)),H47,0)))</f>
        <v>0</v>
      </c>
      <c r="P54" s="14" t="n">
        <f aca="false">((Assumptions!$C$10*$C$8)*IF((P$18=(Assumptions!$C$7+$C$9)),SUM(C47:I47),IF((P$18&gt;(Assumptions!$C$7+$C$9)),I47,0)))</f>
        <v>0</v>
      </c>
      <c r="Q54" s="14" t="n">
        <f aca="false">((Assumptions!$C$10*$C$8)*IF((Q$18=(Assumptions!$C$7+$C$9)),SUM(C47:J47),IF((Q$18&gt;(Assumptions!$C$7+$C$9)),J47,0)))</f>
        <v>0</v>
      </c>
      <c r="R54" s="14" t="n">
        <f aca="false">((Assumptions!$C$10*$C$8)*IF((R$18=(Assumptions!$C$7+$C$9)),SUM(C47:K47),IF((R$18&gt;(Assumptions!$C$7+$C$9)),K47,0)))</f>
        <v>0</v>
      </c>
      <c r="S54" s="14" t="n">
        <f aca="false">((Assumptions!$C$10*$C$8)*IF((S$18=(Assumptions!$C$7+$C$9)),SUM(C47:L47),IF((S$18&gt;(Assumptions!$C$7+$C$9)),L47,0)))</f>
        <v>0</v>
      </c>
      <c r="T54" s="14" t="n">
        <f aca="false">((Assumptions!$C$10*$C$8)*IF((T$18=(Assumptions!$C$7+$C$9)),SUM(C47:M47),IF((T$18&gt;(Assumptions!$C$7+$C$9)),M47,0)))</f>
        <v>0</v>
      </c>
      <c r="U54" s="14" t="n">
        <f aca="false">((Assumptions!$C$10*$C$8)*IF((U$18=(Assumptions!$C$7+$C$9)),SUM(C47:N47),IF((U$18&gt;(Assumptions!$C$7+$C$9)),N47,0)))</f>
        <v>0</v>
      </c>
      <c r="V54" s="14" t="n">
        <f aca="false">((Assumptions!$C$10*$C$8)*IF((V$18=(Assumptions!$C$7+$C$9)),SUM(C47:O47),IF((V$18&gt;(Assumptions!$C$7+$C$9)),O47,0)))</f>
        <v>0</v>
      </c>
      <c r="W54" s="14" t="n">
        <f aca="false">((Assumptions!$C$10*$C$8)*IF((W$18=(Assumptions!$C$7+$C$9)),SUM(C47:P47),IF((W$18&gt;(Assumptions!$C$7+$C$9)),P47,0)))</f>
        <v>0</v>
      </c>
      <c r="X54" s="14" t="n">
        <f aca="false">((Assumptions!$C$10*$C$8)*IF((X$18=(Assumptions!$C$7+$C$9)),SUM(C47:Q47),IF((X$18&gt;(Assumptions!$C$7+$C$9)),Q47,0)))</f>
        <v>0</v>
      </c>
      <c r="Y54" s="14" t="n">
        <f aca="false">((Assumptions!$C$10*$C$8)*IF((Y$18=(Assumptions!$C$7+$C$9)),SUM(C47:R47),IF((Y$18&gt;(Assumptions!$C$7+$C$9)),R47,0)))</f>
        <v>0</v>
      </c>
      <c r="Z54" s="14" t="n">
        <f aca="false">((Assumptions!$C$10*$C$8)*IF((Z$18=(Assumptions!$C$7+$C$9)),SUM(C47:S47),IF((Z$18&gt;(Assumptions!$C$7+$C$9)),S47,0)))</f>
        <v>0</v>
      </c>
      <c r="AA54" s="14" t="n">
        <f aca="false">((Assumptions!$C$10*$C$8)*IF((AA$18=(Assumptions!$C$7+$C$9)),SUM(C47:T47),IF((AA$18&gt;(Assumptions!$C$7+$C$9)),T47,0)))</f>
        <v>0</v>
      </c>
      <c r="AB54" s="14" t="n">
        <f aca="false">((Assumptions!$C$10*$C$8)*IF((AB$18=(Assumptions!$C$7+$C$9)),SUM(C47:U47),IF((AB$18&gt;(Assumptions!$C$7+$C$9)),U47,0)))</f>
        <v>0</v>
      </c>
      <c r="AC54" s="14" t="n">
        <f aca="false">((Assumptions!$C$10*$C$8)*IF((AC$18=(Assumptions!$C$7+$C$9)),SUM(C47:V47),IF((AC$18&gt;(Assumptions!$C$7+$C$9)),V47,0)))</f>
        <v>0</v>
      </c>
      <c r="AD54" s="14" t="n">
        <f aca="false">((Assumptions!$C$10*$C$8)*IF((AD$18=(Assumptions!$C$7+$C$9)),SUM(C47:W47),IF((AD$18&gt;(Assumptions!$C$7+$C$9)),W47,0)))</f>
        <v>0</v>
      </c>
      <c r="AE54" s="14" t="n">
        <f aca="false">((Assumptions!$C$10*$C$8)*IF((AE$18=(Assumptions!$C$7+$C$9)),SUM(C47:X47),IF((AE$18&gt;(Assumptions!$C$7+$C$9)),X47,0)))</f>
        <v>0</v>
      </c>
      <c r="AF54" s="14" t="n">
        <f aca="false">((Assumptions!$C$10*$C$8)*IF((AF$18=(Assumptions!$C$7+$C$9)),SUM(C47:Y47),IF((AF$18&gt;(Assumptions!$C$7+$C$9)),Y47,0)))</f>
        <v>0</v>
      </c>
      <c r="AG54" s="14" t="n">
        <f aca="false">((Assumptions!$C$10*$C$8)*IF((AG$18=(Assumptions!$C$7+$C$9)),SUM(C47:Z47),IF((AG$18&gt;(Assumptions!$C$7+$C$9)),Z47,0)))</f>
        <v>0</v>
      </c>
      <c r="AH54" s="14" t="n">
        <f aca="false">((Assumptions!$C$10*$C$8)*IF((AH$18=(Assumptions!$C$7+$C$9)),SUM(C47:AA47),IF((AH$18&gt;(Assumptions!$C$7+$C$9)),AA47,0)))</f>
        <v>0</v>
      </c>
      <c r="AI54" s="14" t="n">
        <f aca="false">((Assumptions!$C$10*$C$8)*IF((AI$18=(Assumptions!$C$7+$C$9)),SUM(C47:AB47),IF((AI$18&gt;(Assumptions!$C$7+$C$9)),AB47,0)))</f>
        <v>0</v>
      </c>
      <c r="AJ54" s="14" t="n">
        <f aca="false">((Assumptions!$C$10*$C$8)*IF((AJ$18=(Assumptions!$C$7+$C$9)),SUM(C47:AC47),IF((AJ$18&gt;(Assumptions!$C$7+$C$9)),AC47,0)))</f>
        <v>0</v>
      </c>
      <c r="AK54" s="14" t="n">
        <f aca="false">((Assumptions!$C$10*$C$8)*IF((AK$18=(Assumptions!$C$7+$C$9)),SUM(C47:AD47),IF((AK$18&gt;(Assumptions!$C$7+$C$9)),AD47,0)))</f>
        <v>0</v>
      </c>
      <c r="AL54" s="14" t="n">
        <f aca="false">((Assumptions!$C$10*$C$8)*IF((AL$18=(Assumptions!$C$7+$C$9)),SUM(C47:AE47),IF((AL$18&gt;(Assumptions!$C$7+$C$9)),AE47,0)))</f>
        <v>0</v>
      </c>
      <c r="AN54" s="36" t="n">
        <f aca="false">SUM(C54:N54)</f>
        <v>0.6</v>
      </c>
      <c r="AO54" s="36" t="n">
        <f aca="false">SUM(O54:Z54)</f>
        <v>0</v>
      </c>
      <c r="AP54" s="36" t="n">
        <f aca="false">SUM(AA54:AL54)</f>
        <v>0</v>
      </c>
    </row>
    <row r="55" customFormat="false" ht="15" hidden="false" customHeight="false" outlineLevel="0" collapsed="false">
      <c r="A55" s="0" t="s">
        <v>861</v>
      </c>
      <c r="B55" s="0" t="s">
        <v>852</v>
      </c>
      <c r="C55" s="14" t="n">
        <f aca="false">((C53+C54)+C49)</f>
        <v>0</v>
      </c>
      <c r="D55" s="14" t="n">
        <f aca="false">((D53+D54)+D49)</f>
        <v>0</v>
      </c>
      <c r="E55" s="14" t="n">
        <f aca="false">((E53+E54)+E49)</f>
        <v>0</v>
      </c>
      <c r="F55" s="14" t="n">
        <f aca="false">((F53+F54)+F49)</f>
        <v>0</v>
      </c>
      <c r="G55" s="14" t="n">
        <f aca="false">((G53+G54)+G49)</f>
        <v>0</v>
      </c>
      <c r="H55" s="14" t="n">
        <f aca="false">((H53+H54)+H49)</f>
        <v>0</v>
      </c>
      <c r="I55" s="14" t="n">
        <f aca="false">((I53+I54)+I49)</f>
        <v>0</v>
      </c>
      <c r="J55" s="14" t="n">
        <f aca="false">((J53+J54)+J49)</f>
        <v>0</v>
      </c>
      <c r="K55" s="14" t="n">
        <f aca="false">((K53+K54)+K49)</f>
        <v>0</v>
      </c>
      <c r="L55" s="14" t="n">
        <f aca="false">((L53+L54)+L49)</f>
        <v>0</v>
      </c>
      <c r="M55" s="14" t="n">
        <f aca="false">((M53+M54)+M49)</f>
        <v>0</v>
      </c>
      <c r="N55" s="14" t="n">
        <f aca="false">((N53+N54)+N49)</f>
        <v>0.6</v>
      </c>
      <c r="O55" s="14" t="n">
        <f aca="false">((O53+O54)+O49)</f>
        <v>0</v>
      </c>
      <c r="P55" s="14" t="n">
        <f aca="false">((P53+P54)+P49)</f>
        <v>0</v>
      </c>
      <c r="Q55" s="14" t="n">
        <f aca="false">((Q53+Q54)+Q49)</f>
        <v>0</v>
      </c>
      <c r="R55" s="14" t="n">
        <f aca="false">((R53+R54)+R49)</f>
        <v>0</v>
      </c>
      <c r="S55" s="14" t="n">
        <f aca="false">((S53+S54)+S49)</f>
        <v>0</v>
      </c>
      <c r="T55" s="14" t="n">
        <f aca="false">((T53+T54)+T49)</f>
        <v>0</v>
      </c>
      <c r="U55" s="14" t="n">
        <f aca="false">((U53+U54)+U49)</f>
        <v>0</v>
      </c>
      <c r="V55" s="14" t="n">
        <f aca="false">((V53+V54)+V49)</f>
        <v>0.5</v>
      </c>
      <c r="W55" s="14" t="n">
        <f aca="false">((W53+W54)+W49)</f>
        <v>0</v>
      </c>
      <c r="X55" s="14" t="n">
        <f aca="false">((X53+X54)+X49)</f>
        <v>0</v>
      </c>
      <c r="Y55" s="14" t="n">
        <f aca="false">((Y53+Y54)+Y49)</f>
        <v>1.5</v>
      </c>
      <c r="Z55" s="14" t="n">
        <f aca="false">((Z53+Z54)+Z49)</f>
        <v>0</v>
      </c>
      <c r="AA55" s="14" t="n">
        <f aca="false">((AA53+AA54)+AA49)</f>
        <v>0</v>
      </c>
      <c r="AB55" s="14" t="n">
        <f aca="false">((AB53+AB54)+AB49)</f>
        <v>2</v>
      </c>
      <c r="AC55" s="14" t="n">
        <f aca="false">((AC53+AC54)+AC49)</f>
        <v>0</v>
      </c>
      <c r="AD55" s="14" t="n">
        <f aca="false">((AD53+AD54)+AD49)</f>
        <v>0</v>
      </c>
      <c r="AE55" s="14" t="n">
        <f aca="false">((AE53+AE54)+AE49)</f>
        <v>3</v>
      </c>
      <c r="AF55" s="14" t="n">
        <f aca="false">((AF53+AF54)+AF49)</f>
        <v>0</v>
      </c>
      <c r="AG55" s="14" t="n">
        <f aca="false">((AG53+AG54)+AG49)</f>
        <v>0</v>
      </c>
      <c r="AH55" s="14" t="n">
        <f aca="false">((AH53+AH54)+AH49)</f>
        <v>3.5</v>
      </c>
      <c r="AI55" s="14" t="n">
        <f aca="false">((AI53+AI54)+AI49)</f>
        <v>0</v>
      </c>
      <c r="AJ55" s="14" t="n">
        <f aca="false">((AJ53+AJ54)+AJ49)</f>
        <v>0</v>
      </c>
      <c r="AK55" s="14" t="n">
        <f aca="false">((AK53+AK54)+AK49)</f>
        <v>4.5</v>
      </c>
      <c r="AL55" s="14" t="n">
        <f aca="false">((AL53+AL54)+AL49)</f>
        <v>0</v>
      </c>
      <c r="AN55" s="36" t="n">
        <f aca="false">SUM(C55:N55)</f>
        <v>0.6</v>
      </c>
      <c r="AO55" s="36" t="n">
        <f aca="false">SUM(O55:Z55)</f>
        <v>2</v>
      </c>
      <c r="AP55" s="36" t="n">
        <f aca="false">SUM(AA55:AL55)</f>
        <v>13</v>
      </c>
    </row>
    <row r="56" customFormat="false" ht="15" hidden="false" customHeight="false" outlineLevel="0" collapsed="false">
      <c r="A56" s="0" t="s">
        <v>862</v>
      </c>
      <c r="B56" s="0" t="s">
        <v>852</v>
      </c>
      <c r="C56" s="14" t="n">
        <f aca="false">(C55+(C45*0))</f>
        <v>0</v>
      </c>
      <c r="D56" s="14" t="n">
        <f aca="false">(D55+(D45*0))</f>
        <v>0</v>
      </c>
      <c r="E56" s="14" t="n">
        <f aca="false">(E55+(E45*0))</f>
        <v>0</v>
      </c>
      <c r="F56" s="14" t="n">
        <f aca="false">(F55+(F45*0))</f>
        <v>0</v>
      </c>
      <c r="G56" s="14" t="n">
        <f aca="false">(G55+(G45*0))</f>
        <v>0</v>
      </c>
      <c r="H56" s="14" t="n">
        <f aca="false">(H55+(H45*0))</f>
        <v>0</v>
      </c>
      <c r="I56" s="14" t="n">
        <f aca="false">(I55+(I45*0))</f>
        <v>0</v>
      </c>
      <c r="J56" s="14" t="n">
        <f aca="false">(J55+(J45*0))</f>
        <v>0</v>
      </c>
      <c r="K56" s="14" t="n">
        <f aca="false">(K55+(K45*0))</f>
        <v>0</v>
      </c>
      <c r="L56" s="14" t="n">
        <f aca="false">(L55+(L45*0))</f>
        <v>0</v>
      </c>
      <c r="M56" s="14" t="n">
        <f aca="false">(M55+(M45*0))</f>
        <v>0</v>
      </c>
      <c r="N56" s="14" t="n">
        <f aca="false">(N55+(N45*0))</f>
        <v>0.6</v>
      </c>
      <c r="O56" s="14" t="n">
        <f aca="false">(O55+(O45*C56))</f>
        <v>0</v>
      </c>
      <c r="P56" s="14" t="n">
        <f aca="false">(P55+(P45*D56))</f>
        <v>0</v>
      </c>
      <c r="Q56" s="14" t="n">
        <f aca="false">(Q55+(Q45*E56))</f>
        <v>0</v>
      </c>
      <c r="R56" s="14" t="n">
        <f aca="false">(R55+(R45*F56))</f>
        <v>0</v>
      </c>
      <c r="S56" s="14" t="n">
        <f aca="false">(S55+(S45*G56))</f>
        <v>0</v>
      </c>
      <c r="T56" s="14" t="n">
        <f aca="false">(T55+(T45*H56))</f>
        <v>0</v>
      </c>
      <c r="U56" s="14" t="n">
        <f aca="false">(U55+(U45*I56))</f>
        <v>0</v>
      </c>
      <c r="V56" s="14" t="n">
        <f aca="false">(V55+(V45*J56))</f>
        <v>0.5</v>
      </c>
      <c r="W56" s="14" t="n">
        <f aca="false">(W55+(W45*K56))</f>
        <v>0</v>
      </c>
      <c r="X56" s="14" t="n">
        <f aca="false">(X55+(X45*L56))</f>
        <v>0</v>
      </c>
      <c r="Y56" s="14" t="n">
        <f aca="false">(Y55+(Y45*M56))</f>
        <v>1.5</v>
      </c>
      <c r="Z56" s="14" t="n">
        <f aca="false">(Z55+(Z45*N56))</f>
        <v>0.528</v>
      </c>
      <c r="AA56" s="14" t="n">
        <f aca="false">(AA55+(AA45*O56))</f>
        <v>0</v>
      </c>
      <c r="AB56" s="14" t="n">
        <f aca="false">(AB55+(AB45*P56))</f>
        <v>2</v>
      </c>
      <c r="AC56" s="14" t="n">
        <f aca="false">(AC55+(AC45*Q56))</f>
        <v>0</v>
      </c>
      <c r="AD56" s="14" t="n">
        <f aca="false">(AD55+(AD45*R56))</f>
        <v>0</v>
      </c>
      <c r="AE56" s="14" t="n">
        <f aca="false">(AE55+(AE45*S56))</f>
        <v>3</v>
      </c>
      <c r="AF56" s="14" t="n">
        <f aca="false">(AF55+(AF45*T56))</f>
        <v>0</v>
      </c>
      <c r="AG56" s="14" t="n">
        <f aca="false">(AG55+(AG45*U56))</f>
        <v>0</v>
      </c>
      <c r="AH56" s="14" t="n">
        <f aca="false">(AH55+(AH45*V56))</f>
        <v>3.94</v>
      </c>
      <c r="AI56" s="14" t="n">
        <f aca="false">(AI55+(AI45*W56))</f>
        <v>0</v>
      </c>
      <c r="AJ56" s="14" t="n">
        <f aca="false">(AJ55+(AJ45*X56))</f>
        <v>0</v>
      </c>
      <c r="AK56" s="14" t="n">
        <f aca="false">(AK55+(AK45*Y56))</f>
        <v>5.82</v>
      </c>
      <c r="AL56" s="14" t="n">
        <f aca="false">(AL55+(AL45*Z56))</f>
        <v>0.46464</v>
      </c>
      <c r="AN56" s="36" t="n">
        <f aca="false">SUM(C56:N56)</f>
        <v>0.6</v>
      </c>
      <c r="AO56" s="36" t="n">
        <f aca="false">SUM(O56:Z56)</f>
        <v>2.528</v>
      </c>
      <c r="AP56" s="36" t="n">
        <f aca="false">SUM(AA56:AL56)</f>
        <v>15.22464</v>
      </c>
    </row>
    <row r="57" customFormat="false" ht="15" hidden="false" customHeight="false" outlineLevel="0" collapsed="false">
      <c r="A57" s="0" t="s">
        <v>863</v>
      </c>
      <c r="B57" s="0" t="s">
        <v>852</v>
      </c>
      <c r="C57" s="14" t="n">
        <f aca="false">C56</f>
        <v>0</v>
      </c>
      <c r="D57" s="14" t="n">
        <f aca="false">SUM(C56:D56)</f>
        <v>0</v>
      </c>
      <c r="E57" s="14" t="n">
        <f aca="false">SUM(C56:E56)</f>
        <v>0</v>
      </c>
      <c r="F57" s="14" t="n">
        <f aca="false">SUM(C56:F56)</f>
        <v>0</v>
      </c>
      <c r="G57" s="14" t="n">
        <f aca="false">SUM(C56:G56)</f>
        <v>0</v>
      </c>
      <c r="H57" s="14" t="n">
        <f aca="false">SUM(C56:H56)</f>
        <v>0</v>
      </c>
      <c r="I57" s="14" t="n">
        <f aca="false">SUM(C56:I56)</f>
        <v>0</v>
      </c>
      <c r="J57" s="14" t="n">
        <f aca="false">SUM(C56:J56)</f>
        <v>0</v>
      </c>
      <c r="K57" s="14" t="n">
        <f aca="false">SUM(C56:K56)</f>
        <v>0</v>
      </c>
      <c r="L57" s="14" t="n">
        <f aca="false">SUM(C56:L56)</f>
        <v>0</v>
      </c>
      <c r="M57" s="14" t="n">
        <f aca="false">SUM(C56:M56)</f>
        <v>0</v>
      </c>
      <c r="N57" s="14" t="n">
        <f aca="false">SUM(C56:N56)</f>
        <v>0.6</v>
      </c>
      <c r="O57" s="14" t="n">
        <f aca="false">SUM(D56:O56)</f>
        <v>0.6</v>
      </c>
      <c r="P57" s="14" t="n">
        <f aca="false">SUM(E56:P56)</f>
        <v>0.6</v>
      </c>
      <c r="Q57" s="14" t="n">
        <f aca="false">SUM(F56:Q56)</f>
        <v>0.6</v>
      </c>
      <c r="R57" s="14" t="n">
        <f aca="false">SUM(G56:R56)</f>
        <v>0.6</v>
      </c>
      <c r="S57" s="14" t="n">
        <f aca="false">SUM(H56:S56)</f>
        <v>0.6</v>
      </c>
      <c r="T57" s="14" t="n">
        <f aca="false">SUM(I56:T56)</f>
        <v>0.6</v>
      </c>
      <c r="U57" s="14" t="n">
        <f aca="false">SUM(J56:U56)</f>
        <v>0.6</v>
      </c>
      <c r="V57" s="14" t="n">
        <f aca="false">SUM(K56:V56)</f>
        <v>1.1</v>
      </c>
      <c r="W57" s="14" t="n">
        <f aca="false">SUM(L56:W56)</f>
        <v>1.1</v>
      </c>
      <c r="X57" s="14" t="n">
        <f aca="false">SUM(M56:X56)</f>
        <v>1.1</v>
      </c>
      <c r="Y57" s="14" t="n">
        <f aca="false">SUM(N56:Y56)</f>
        <v>2.6</v>
      </c>
      <c r="Z57" s="14" t="n">
        <f aca="false">SUM(O56:Z56)</f>
        <v>2.528</v>
      </c>
      <c r="AA57" s="14" t="n">
        <f aca="false">SUM(P56:AA56)</f>
        <v>2.528</v>
      </c>
      <c r="AB57" s="14" t="n">
        <f aca="false">SUM(Q56:AB56)</f>
        <v>4.528</v>
      </c>
      <c r="AC57" s="14" t="n">
        <f aca="false">SUM(R56:AC56)</f>
        <v>4.528</v>
      </c>
      <c r="AD57" s="14" t="n">
        <f aca="false">SUM(S56:AD56)</f>
        <v>4.528</v>
      </c>
      <c r="AE57" s="14" t="n">
        <f aca="false">SUM(T56:AE56)</f>
        <v>7.528</v>
      </c>
      <c r="AF57" s="14" t="n">
        <f aca="false">SUM(U56:AF56)</f>
        <v>7.528</v>
      </c>
      <c r="AG57" s="14" t="n">
        <f aca="false">SUM(V56:AG56)</f>
        <v>7.528</v>
      </c>
      <c r="AH57" s="14" t="n">
        <f aca="false">SUM(W56:AH56)</f>
        <v>10.968</v>
      </c>
      <c r="AI57" s="14" t="n">
        <f aca="false">SUM(X56:AI56)</f>
        <v>10.968</v>
      </c>
      <c r="AJ57" s="14" t="n">
        <f aca="false">SUM(Y56:AJ56)</f>
        <v>10.968</v>
      </c>
      <c r="AK57" s="14" t="n">
        <f aca="false">SUM(Z56:AK56)</f>
        <v>15.288</v>
      </c>
      <c r="AL57" s="14" t="n">
        <f aca="false">SUM(AA56:AL56)</f>
        <v>15.22464</v>
      </c>
      <c r="AN57" s="36" t="n">
        <f aca="false">N57</f>
        <v>0.6</v>
      </c>
      <c r="AO57" s="36" t="n">
        <f aca="false">Z57</f>
        <v>2.528</v>
      </c>
      <c r="AP57" s="36" t="n">
        <f aca="false">AL57</f>
        <v>15.22464</v>
      </c>
    </row>
    <row r="58" customFormat="false" ht="15" hidden="false" customHeight="false" outlineLevel="0" collapsed="false">
      <c r="A58" s="0" t="s">
        <v>864</v>
      </c>
      <c r="B58" s="0" t="s">
        <v>230</v>
      </c>
      <c r="C58" s="9" t="n">
        <f aca="false">((Assumptions!$C$121*(1-Assumptions!$C$29))*$C$10)</f>
        <v>26400</v>
      </c>
      <c r="D58" s="9" t="n">
        <f aca="false">((Assumptions!$C$121*(1-Assumptions!$C$29))*$C$10)</f>
        <v>26400</v>
      </c>
      <c r="E58" s="9" t="n">
        <f aca="false">((Assumptions!$C$121*(1-Assumptions!$C$29))*$C$10)</f>
        <v>26400</v>
      </c>
      <c r="F58" s="9" t="n">
        <f aca="false">((Assumptions!$C$121*(1-Assumptions!$C$29))*$C$10)</f>
        <v>26400</v>
      </c>
      <c r="G58" s="9" t="n">
        <f aca="false">((Assumptions!$C$121*(1-Assumptions!$C$29))*$C$10)</f>
        <v>26400</v>
      </c>
      <c r="H58" s="9" t="n">
        <f aca="false">((Assumptions!$C$121*(1-Assumptions!$C$29))*$C$10)</f>
        <v>26400</v>
      </c>
      <c r="I58" s="9" t="n">
        <f aca="false">((Assumptions!$C$121*(1-Assumptions!$C$29))*$C$10)</f>
        <v>26400</v>
      </c>
      <c r="J58" s="9" t="n">
        <f aca="false">((Assumptions!$C$121*(1-Assumptions!$C$29))*$C$10)</f>
        <v>26400</v>
      </c>
      <c r="K58" s="9" t="n">
        <f aca="false">((Assumptions!$C$121*(1-Assumptions!$C$29))*$C$10)</f>
        <v>26400</v>
      </c>
      <c r="L58" s="9" t="n">
        <f aca="false">((Assumptions!$C$121*(1-Assumptions!$C$29))*$C$10)</f>
        <v>26400</v>
      </c>
      <c r="M58" s="9" t="n">
        <f aca="false">((Assumptions!$C$121*(1-Assumptions!$C$29))*$C$10)</f>
        <v>26400</v>
      </c>
      <c r="N58" s="9" t="n">
        <f aca="false">((Assumptions!$C$121*(1-Assumptions!$C$29))*$C$10)</f>
        <v>26400</v>
      </c>
      <c r="O58" s="9" t="n">
        <f aca="false">((Assumptions!$C$121*(1-Assumptions!$C$29))*$C$10)</f>
        <v>26400</v>
      </c>
      <c r="P58" s="9" t="n">
        <f aca="false">((Assumptions!$C$121*(1-Assumptions!$C$29))*$C$10)</f>
        <v>26400</v>
      </c>
      <c r="Q58" s="9" t="n">
        <f aca="false">((Assumptions!$C$121*(1-Assumptions!$C$29))*$C$10)</f>
        <v>26400</v>
      </c>
      <c r="R58" s="9" t="n">
        <f aca="false">((Assumptions!$C$121*(1-Assumptions!$C$29))*$C$10)</f>
        <v>26400</v>
      </c>
      <c r="S58" s="9" t="n">
        <f aca="false">((Assumptions!$C$121*(1-Assumptions!$C$29))*$C$10)</f>
        <v>26400</v>
      </c>
      <c r="T58" s="9" t="n">
        <f aca="false">((Assumptions!$C$121*(1-Assumptions!$C$29))*$C$10)</f>
        <v>26400</v>
      </c>
      <c r="U58" s="9" t="n">
        <f aca="false">((Assumptions!$C$121*(1-Assumptions!$C$29))*$C$10)</f>
        <v>26400</v>
      </c>
      <c r="V58" s="9" t="n">
        <f aca="false">((Assumptions!$C$121*(1-Assumptions!$C$29))*$C$10)</f>
        <v>26400</v>
      </c>
      <c r="W58" s="9" t="n">
        <f aca="false">((Assumptions!$C$121*(1-Assumptions!$C$29))*$C$10)</f>
        <v>26400</v>
      </c>
      <c r="X58" s="9" t="n">
        <f aca="false">((Assumptions!$C$121*(1-Assumptions!$C$29))*$C$10)</f>
        <v>26400</v>
      </c>
      <c r="Y58" s="9" t="n">
        <f aca="false">((Assumptions!$C$121*(1-Assumptions!$C$29))*$C$10)</f>
        <v>26400</v>
      </c>
      <c r="Z58" s="9" t="n">
        <f aca="false">((Assumptions!$C$121*(1-Assumptions!$C$29))*$C$10)</f>
        <v>26400</v>
      </c>
      <c r="AA58" s="9" t="n">
        <f aca="false">((Assumptions!$C$121*(1-Assumptions!$C$29))*$C$10)</f>
        <v>26400</v>
      </c>
      <c r="AB58" s="9" t="n">
        <f aca="false">((Assumptions!$C$121*(1-Assumptions!$C$29))*$C$10)</f>
        <v>26400</v>
      </c>
      <c r="AC58" s="9" t="n">
        <f aca="false">((Assumptions!$C$121*(1-Assumptions!$C$29))*$C$10)</f>
        <v>26400</v>
      </c>
      <c r="AD58" s="9" t="n">
        <f aca="false">((Assumptions!$C$121*(1-Assumptions!$C$29))*$C$10)</f>
        <v>26400</v>
      </c>
      <c r="AE58" s="9" t="n">
        <f aca="false">((Assumptions!$C$121*(1-Assumptions!$C$29))*$C$10)</f>
        <v>26400</v>
      </c>
      <c r="AF58" s="9" t="n">
        <f aca="false">((Assumptions!$C$121*(1-Assumptions!$C$29))*$C$10)</f>
        <v>26400</v>
      </c>
      <c r="AG58" s="9" t="n">
        <f aca="false">((Assumptions!$C$121*(1-Assumptions!$C$29))*$C$10)</f>
        <v>26400</v>
      </c>
      <c r="AH58" s="9" t="n">
        <f aca="false">((Assumptions!$C$121*(1-Assumptions!$C$29))*$C$10)</f>
        <v>26400</v>
      </c>
      <c r="AI58" s="9" t="n">
        <f aca="false">((Assumptions!$C$121*(1-Assumptions!$C$29))*$C$10)</f>
        <v>26400</v>
      </c>
      <c r="AJ58" s="9" t="n">
        <f aca="false">((Assumptions!$C$121*(1-Assumptions!$C$29))*$C$10)</f>
        <v>26400</v>
      </c>
      <c r="AK58" s="9" t="n">
        <f aca="false">((Assumptions!$C$121*(1-Assumptions!$C$29))*$C$10)</f>
        <v>26400</v>
      </c>
      <c r="AL58" s="9" t="n">
        <f aca="false">((Assumptions!$C$121*(1-Assumptions!$C$29))*$C$10)</f>
        <v>26400</v>
      </c>
    </row>
    <row r="59" customFormat="false" ht="15" hidden="false" customHeight="false" outlineLevel="0" collapsed="false">
      <c r="A59" s="0" t="s">
        <v>865</v>
      </c>
      <c r="B59" s="0" t="s">
        <v>230</v>
      </c>
      <c r="C59" s="9" t="n">
        <f aca="false">((C55*C58)+((C45*(1+Assumptions!$C$31))*0))</f>
        <v>0</v>
      </c>
      <c r="D59" s="9" t="n">
        <f aca="false">((D55*D58)+((D45*(1+Assumptions!$C$31))*0))</f>
        <v>0</v>
      </c>
      <c r="E59" s="9" t="n">
        <f aca="false">((E55*E58)+((E45*(1+Assumptions!$C$31))*0))</f>
        <v>0</v>
      </c>
      <c r="F59" s="9" t="n">
        <f aca="false">((F55*F58)+((F45*(1+Assumptions!$C$31))*0))</f>
        <v>0</v>
      </c>
      <c r="G59" s="9" t="n">
        <f aca="false">((G55*G58)+((G45*(1+Assumptions!$C$31))*0))</f>
        <v>0</v>
      </c>
      <c r="H59" s="9" t="n">
        <f aca="false">((H55*H58)+((H45*(1+Assumptions!$C$31))*0))</f>
        <v>0</v>
      </c>
      <c r="I59" s="9" t="n">
        <f aca="false">((I55*I58)+((I45*(1+Assumptions!$C$31))*0))</f>
        <v>0</v>
      </c>
      <c r="J59" s="9" t="n">
        <f aca="false">((J55*J58)+((J45*(1+Assumptions!$C$31))*0))</f>
        <v>0</v>
      </c>
      <c r="K59" s="9" t="n">
        <f aca="false">((K55*K58)+((K45*(1+Assumptions!$C$31))*0))</f>
        <v>0</v>
      </c>
      <c r="L59" s="9" t="n">
        <f aca="false">((L55*L58)+((L45*(1+Assumptions!$C$31))*0))</f>
        <v>0</v>
      </c>
      <c r="M59" s="9" t="n">
        <f aca="false">((M55*M58)+((M45*(1+Assumptions!$C$31))*0))</f>
        <v>0</v>
      </c>
      <c r="N59" s="9" t="n">
        <f aca="false">((N55*N58)+((N45*(1+Assumptions!$C$31))*0))</f>
        <v>15840</v>
      </c>
      <c r="O59" s="9" t="n">
        <f aca="false">((O55*O58)+((O45*(1+Assumptions!$C$31))*C59))</f>
        <v>0</v>
      </c>
      <c r="P59" s="9" t="n">
        <f aca="false">((P55*P58)+((P45*(1+Assumptions!$C$31))*D59))</f>
        <v>0</v>
      </c>
      <c r="Q59" s="9" t="n">
        <f aca="false">((Q55*Q58)+((Q45*(1+Assumptions!$C$31))*E59))</f>
        <v>0</v>
      </c>
      <c r="R59" s="9" t="n">
        <f aca="false">((R55*R58)+((R45*(1+Assumptions!$C$31))*F59))</f>
        <v>0</v>
      </c>
      <c r="S59" s="9" t="n">
        <f aca="false">((S55*S58)+((S45*(1+Assumptions!$C$31))*G59))</f>
        <v>0</v>
      </c>
      <c r="T59" s="9" t="n">
        <f aca="false">((T55*T58)+((T45*(1+Assumptions!$C$31))*H59))</f>
        <v>0</v>
      </c>
      <c r="U59" s="9" t="n">
        <f aca="false">((U55*U58)+((U45*(1+Assumptions!$C$31))*I59))</f>
        <v>0</v>
      </c>
      <c r="V59" s="9" t="n">
        <f aca="false">((V55*V58)+((V45*(1+Assumptions!$C$31))*J59))</f>
        <v>13200</v>
      </c>
      <c r="W59" s="9" t="n">
        <f aca="false">((W55*W58)+((W45*(1+Assumptions!$C$31))*K59))</f>
        <v>0</v>
      </c>
      <c r="X59" s="9" t="n">
        <f aca="false">((X55*X58)+((X45*(1+Assumptions!$C$31))*L59))</f>
        <v>0</v>
      </c>
      <c r="Y59" s="9" t="n">
        <f aca="false">((Y55*Y58)+((Y45*(1+Assumptions!$C$31))*M59))</f>
        <v>39600</v>
      </c>
      <c r="Z59" s="9" t="n">
        <f aca="false">((Z55*Z58)+((Z45*(1+Assumptions!$C$31))*N59))</f>
        <v>15333.12</v>
      </c>
      <c r="AA59" s="9" t="n">
        <f aca="false">((AA55*AA58)+((AA45*(1+Assumptions!$C$31))*O59))</f>
        <v>0</v>
      </c>
      <c r="AB59" s="9" t="n">
        <f aca="false">((AB55*AB58)+((AB45*(1+Assumptions!$C$31))*P59))</f>
        <v>52800</v>
      </c>
      <c r="AC59" s="9" t="n">
        <f aca="false">((AC55*AC58)+((AC45*(1+Assumptions!$C$31))*Q59))</f>
        <v>0</v>
      </c>
      <c r="AD59" s="9" t="n">
        <f aca="false">((AD55*AD58)+((AD45*(1+Assumptions!$C$31))*R59))</f>
        <v>0</v>
      </c>
      <c r="AE59" s="9" t="n">
        <f aca="false">((AE55*AE58)+((AE45*(1+Assumptions!$C$31))*S59))</f>
        <v>79200</v>
      </c>
      <c r="AF59" s="9" t="n">
        <f aca="false">((AF55*AF58)+((AF45*(1+Assumptions!$C$31))*T59))</f>
        <v>0</v>
      </c>
      <c r="AG59" s="9" t="n">
        <f aca="false">((AG55*AG58)+((AG45*(1+Assumptions!$C$31))*U59))</f>
        <v>0</v>
      </c>
      <c r="AH59" s="9" t="n">
        <f aca="false">((AH55*AH58)+((AH45*(1+Assumptions!$C$31))*V59))</f>
        <v>105177.6</v>
      </c>
      <c r="AI59" s="9" t="n">
        <f aca="false">((AI55*AI58)+((AI45*(1+Assumptions!$C$31))*W59))</f>
        <v>0</v>
      </c>
      <c r="AJ59" s="9" t="n">
        <f aca="false">((AJ55*AJ58)+((AJ45*(1+Assumptions!$C$31))*X59))</f>
        <v>0</v>
      </c>
      <c r="AK59" s="9" t="n">
        <f aca="false">((AK55*AK58)+((AK45*(1+Assumptions!$C$31))*Y59))</f>
        <v>157132.8</v>
      </c>
      <c r="AL59" s="9" t="n">
        <f aca="false">((AL55*AL58)+((AL45*(1+Assumptions!$C$31))*Z59))</f>
        <v>14842.46016</v>
      </c>
      <c r="AN59" s="11" t="n">
        <f aca="false">SUM(C59:N59)</f>
        <v>15840</v>
      </c>
      <c r="AO59" s="11" t="n">
        <f aca="false">SUM(O59:Z59)</f>
        <v>68133.12</v>
      </c>
      <c r="AP59" s="11" t="n">
        <f aca="false">SUM(AA59:AL59)</f>
        <v>409152.86016</v>
      </c>
    </row>
    <row r="60" customFormat="false" ht="15" hidden="false" customHeight="false" outlineLevel="0" collapsed="false">
      <c r="A60" s="0" t="s">
        <v>866</v>
      </c>
      <c r="B60" s="0" t="s">
        <v>230</v>
      </c>
      <c r="C60" s="9" t="n">
        <f aca="false">(Assumptions!$C$126*C53)</f>
        <v>0</v>
      </c>
      <c r="D60" s="9" t="n">
        <f aca="false">(Assumptions!$C$126*D53)</f>
        <v>0</v>
      </c>
      <c r="E60" s="9" t="n">
        <f aca="false">(Assumptions!$C$126*E53)</f>
        <v>0</v>
      </c>
      <c r="F60" s="9" t="n">
        <f aca="false">(Assumptions!$C$126*F53)</f>
        <v>0</v>
      </c>
      <c r="G60" s="9" t="n">
        <f aca="false">(Assumptions!$C$126*G53)</f>
        <v>0</v>
      </c>
      <c r="H60" s="9" t="n">
        <f aca="false">(Assumptions!$C$126*H53)</f>
        <v>0</v>
      </c>
      <c r="I60" s="9" t="n">
        <f aca="false">(Assumptions!$C$126*I53)</f>
        <v>0</v>
      </c>
      <c r="J60" s="9" t="n">
        <f aca="false">(Assumptions!$C$126*J53)</f>
        <v>0</v>
      </c>
      <c r="K60" s="9" t="n">
        <f aca="false">(Assumptions!$C$126*K53)</f>
        <v>0</v>
      </c>
      <c r="L60" s="9" t="n">
        <f aca="false">(Assumptions!$C$126*L53)</f>
        <v>0</v>
      </c>
      <c r="M60" s="9" t="n">
        <f aca="false">(Assumptions!$C$126*M53)</f>
        <v>0</v>
      </c>
      <c r="N60" s="9" t="n">
        <f aca="false">(Assumptions!$C$126*N53)</f>
        <v>0</v>
      </c>
      <c r="O60" s="9" t="n">
        <f aca="false">(Assumptions!$C$126*O53)</f>
        <v>0</v>
      </c>
      <c r="P60" s="9" t="n">
        <f aca="false">(Assumptions!$C$126*P53)</f>
        <v>0</v>
      </c>
      <c r="Q60" s="9" t="n">
        <f aca="false">(Assumptions!$C$126*Q53)</f>
        <v>0</v>
      </c>
      <c r="R60" s="9" t="n">
        <f aca="false">(Assumptions!$C$126*R53)</f>
        <v>0</v>
      </c>
      <c r="S60" s="9" t="n">
        <f aca="false">(Assumptions!$C$126*S53)</f>
        <v>0</v>
      </c>
      <c r="T60" s="9" t="n">
        <f aca="false">(Assumptions!$C$126*T53)</f>
        <v>0</v>
      </c>
      <c r="U60" s="9" t="n">
        <f aca="false">(Assumptions!$C$126*U53)</f>
        <v>0</v>
      </c>
      <c r="V60" s="9" t="n">
        <f aca="false">(Assumptions!$C$126*V53)</f>
        <v>3750</v>
      </c>
      <c r="W60" s="9" t="n">
        <f aca="false">(Assumptions!$C$126*W53)</f>
        <v>0</v>
      </c>
      <c r="X60" s="9" t="n">
        <f aca="false">(Assumptions!$C$126*X53)</f>
        <v>0</v>
      </c>
      <c r="Y60" s="9" t="n">
        <f aca="false">(Assumptions!$C$126*Y53)</f>
        <v>3750</v>
      </c>
      <c r="Z60" s="9" t="n">
        <f aca="false">(Assumptions!$C$126*Z53)</f>
        <v>0</v>
      </c>
      <c r="AA60" s="9" t="n">
        <f aca="false">(Assumptions!$C$126*AA53)</f>
        <v>0</v>
      </c>
      <c r="AB60" s="9" t="n">
        <f aca="false">(Assumptions!$C$126*AB53)</f>
        <v>7500</v>
      </c>
      <c r="AC60" s="9" t="n">
        <f aca="false">(Assumptions!$C$126*AC53)</f>
        <v>0</v>
      </c>
      <c r="AD60" s="9" t="n">
        <f aca="false">(Assumptions!$C$126*AD53)</f>
        <v>0</v>
      </c>
      <c r="AE60" s="9" t="n">
        <f aca="false">(Assumptions!$C$126*AE53)</f>
        <v>7500</v>
      </c>
      <c r="AF60" s="9" t="n">
        <f aca="false">(Assumptions!$C$126*AF53)</f>
        <v>0</v>
      </c>
      <c r="AG60" s="9" t="n">
        <f aca="false">(Assumptions!$C$126*AG53)</f>
        <v>0</v>
      </c>
      <c r="AH60" s="9" t="n">
        <f aca="false">(Assumptions!$C$126*AH53)</f>
        <v>11250</v>
      </c>
      <c r="AI60" s="9" t="n">
        <f aca="false">(Assumptions!$C$126*AI53)</f>
        <v>0</v>
      </c>
      <c r="AJ60" s="9" t="n">
        <f aca="false">(Assumptions!$C$126*AJ53)</f>
        <v>0</v>
      </c>
      <c r="AK60" s="9" t="n">
        <f aca="false">(Assumptions!$C$126*AK53)</f>
        <v>11250</v>
      </c>
      <c r="AL60" s="9" t="n">
        <f aca="false">(Assumptions!$C$126*AL53)</f>
        <v>0</v>
      </c>
      <c r="AN60" s="11" t="n">
        <f aca="false">SUM(C60:N60)</f>
        <v>0</v>
      </c>
      <c r="AO60" s="11" t="n">
        <f aca="false">SUM(O60:Z60)</f>
        <v>7500</v>
      </c>
      <c r="AP60" s="11" t="n">
        <f aca="false">SUM(AA60:AL60)</f>
        <v>37500</v>
      </c>
    </row>
    <row r="61" customFormat="false" ht="15" hidden="false" customHeight="false" outlineLevel="0" collapsed="false">
      <c r="A61" s="0" t="s">
        <v>867</v>
      </c>
      <c r="B61" s="0" t="s">
        <v>230</v>
      </c>
      <c r="C61" s="9" t="n">
        <f aca="false">((C59-C60)/12)</f>
        <v>0</v>
      </c>
      <c r="D61" s="9" t="n">
        <f aca="false">((SUM(C59:D59)-SUM(C60:D60))/12)</f>
        <v>0</v>
      </c>
      <c r="E61" s="9" t="n">
        <f aca="false">((SUM(C59:E59)-SUM(C60:E60))/12)</f>
        <v>0</v>
      </c>
      <c r="F61" s="9" t="n">
        <f aca="false">((SUM(C59:F59)-SUM(C60:F60))/12)</f>
        <v>0</v>
      </c>
      <c r="G61" s="9" t="n">
        <f aca="false">((SUM(C59:G59)-SUM(C60:G60))/12)</f>
        <v>0</v>
      </c>
      <c r="H61" s="9" t="n">
        <f aca="false">((SUM(C59:H59)-SUM(C60:H60))/12)</f>
        <v>0</v>
      </c>
      <c r="I61" s="9" t="n">
        <f aca="false">((SUM(C59:I59)-SUM(C60:I60))/12)</f>
        <v>0</v>
      </c>
      <c r="J61" s="9" t="n">
        <f aca="false">((SUM(C59:J59)-SUM(C60:J60))/12)</f>
        <v>0</v>
      </c>
      <c r="K61" s="9" t="n">
        <f aca="false">((SUM(C59:K59)-SUM(C60:K60))/12)</f>
        <v>0</v>
      </c>
      <c r="L61" s="9" t="n">
        <f aca="false">((SUM(C59:L59)-SUM(C60:L60))/12)</f>
        <v>0</v>
      </c>
      <c r="M61" s="9" t="n">
        <f aca="false">((SUM(C59:M59)-SUM(C60:M60))/12)</f>
        <v>0</v>
      </c>
      <c r="N61" s="9" t="n">
        <f aca="false">((SUM(C59:N59)-SUM(C60:N60))/12)</f>
        <v>1320</v>
      </c>
      <c r="O61" s="9" t="n">
        <f aca="false">((SUM(D59:O59)-SUM(D60:O60))/12)</f>
        <v>1320</v>
      </c>
      <c r="P61" s="9" t="n">
        <f aca="false">((SUM(E59:P59)-SUM(E60:P60))/12)</f>
        <v>1320</v>
      </c>
      <c r="Q61" s="9" t="n">
        <f aca="false">((SUM(F59:Q59)-SUM(F60:Q60))/12)</f>
        <v>1320</v>
      </c>
      <c r="R61" s="9" t="n">
        <f aca="false">((SUM(G59:R59)-SUM(G60:R60))/12)</f>
        <v>1320</v>
      </c>
      <c r="S61" s="9" t="n">
        <f aca="false">((SUM(H59:S59)-SUM(H60:S60))/12)</f>
        <v>1320</v>
      </c>
      <c r="T61" s="9" t="n">
        <f aca="false">((SUM(I59:T59)-SUM(I60:T60))/12)</f>
        <v>1320</v>
      </c>
      <c r="U61" s="9" t="n">
        <f aca="false">((SUM(J59:U59)-SUM(J60:U60))/12)</f>
        <v>1320</v>
      </c>
      <c r="V61" s="9" t="n">
        <f aca="false">((SUM(K59:V59)-SUM(K60:V60))/12)</f>
        <v>2107.5</v>
      </c>
      <c r="W61" s="9" t="n">
        <f aca="false">((SUM(L59:W59)-SUM(L60:W60))/12)</f>
        <v>2107.5</v>
      </c>
      <c r="X61" s="9" t="n">
        <f aca="false">((SUM(M59:X59)-SUM(M60:X60))/12)</f>
        <v>2107.5</v>
      </c>
      <c r="Y61" s="9" t="n">
        <f aca="false">((SUM(N59:Y59)-SUM(N60:Y60))/12)</f>
        <v>5095</v>
      </c>
      <c r="Z61" s="9" t="n">
        <f aca="false">((SUM(O59:Z59)-SUM(O60:Z60))/12)</f>
        <v>5052.76</v>
      </c>
      <c r="AA61" s="9" t="n">
        <f aca="false">((SUM(P59:AA59)-SUM(P60:AA60))/12)</f>
        <v>5052.76</v>
      </c>
      <c r="AB61" s="9" t="n">
        <f aca="false">((SUM(Q59:AB59)-SUM(Q60:AB60))/12)</f>
        <v>8827.76</v>
      </c>
      <c r="AC61" s="9" t="n">
        <f aca="false">((SUM(R59:AC59)-SUM(R60:AC60))/12)</f>
        <v>8827.76</v>
      </c>
      <c r="AD61" s="9" t="n">
        <f aca="false">((SUM(S59:AD59)-SUM(S60:AD60))/12)</f>
        <v>8827.76</v>
      </c>
      <c r="AE61" s="9" t="n">
        <f aca="false">((SUM(T59:AE59)-SUM(T60:AE60))/12)</f>
        <v>14802.76</v>
      </c>
      <c r="AF61" s="9" t="n">
        <f aca="false">((SUM(U59:AF59)-SUM(U60:AF60))/12)</f>
        <v>14802.76</v>
      </c>
      <c r="AG61" s="9" t="n">
        <f aca="false">((SUM(V59:AG59)-SUM(V60:AG60))/12)</f>
        <v>14802.76</v>
      </c>
      <c r="AH61" s="9" t="n">
        <f aca="false">((SUM(W59:AH59)-SUM(W60:AH60))/12)</f>
        <v>21842.56</v>
      </c>
      <c r="AI61" s="9" t="n">
        <f aca="false">((SUM(X59:AI59)-SUM(X60:AI60))/12)</f>
        <v>21842.56</v>
      </c>
      <c r="AJ61" s="9" t="n">
        <f aca="false">((SUM(Y59:AJ59)-SUM(Y60:AJ60))/12)</f>
        <v>21842.56</v>
      </c>
      <c r="AK61" s="9" t="n">
        <f aca="false">((SUM(Z59:AK59)-SUM(Z60:AK60))/12)</f>
        <v>31011.96</v>
      </c>
      <c r="AL61" s="9" t="n">
        <f aca="false">((SUM(AA59:AL59)-SUM(AA60:AL60))/12)</f>
        <v>30971.07168</v>
      </c>
      <c r="AN61" s="11" t="n">
        <f aca="false">SUM(C61:N61)</f>
        <v>1320</v>
      </c>
      <c r="AO61" s="11" t="n">
        <f aca="false">SUM(O61:Z61)</f>
        <v>25710.26</v>
      </c>
      <c r="AP61" s="11" t="n">
        <f aca="false">SUM(AA61:AL61)</f>
        <v>203455.03168</v>
      </c>
    </row>
    <row r="62" customFormat="false" ht="15" hidden="false" customHeight="false" outlineLevel="0" collapsed="false">
      <c r="A62" s="0" t="s">
        <v>868</v>
      </c>
      <c r="B62" s="0" t="s">
        <v>230</v>
      </c>
      <c r="C62" s="9" t="n">
        <f aca="false">(C59-C60)</f>
        <v>0</v>
      </c>
      <c r="D62" s="9" t="n">
        <f aca="false">(D59-D60)</f>
        <v>0</v>
      </c>
      <c r="E62" s="9" t="n">
        <f aca="false">(E59-E60)</f>
        <v>0</v>
      </c>
      <c r="F62" s="9" t="n">
        <f aca="false">(F59-F60)</f>
        <v>0</v>
      </c>
      <c r="G62" s="9" t="n">
        <f aca="false">(G59-G60)</f>
        <v>0</v>
      </c>
      <c r="H62" s="9" t="n">
        <f aca="false">(H59-H60)</f>
        <v>0</v>
      </c>
      <c r="I62" s="9" t="n">
        <f aca="false">(I59-I60)</f>
        <v>0</v>
      </c>
      <c r="J62" s="9" t="n">
        <f aca="false">(J59-J60)</f>
        <v>0</v>
      </c>
      <c r="K62" s="9" t="n">
        <f aca="false">(K59-K60)</f>
        <v>0</v>
      </c>
      <c r="L62" s="9" t="n">
        <f aca="false">(L59-L60)</f>
        <v>0</v>
      </c>
      <c r="M62" s="9" t="n">
        <f aca="false">(M59-M60)</f>
        <v>0</v>
      </c>
      <c r="N62" s="9" t="n">
        <f aca="false">(N59-N60)</f>
        <v>15840</v>
      </c>
      <c r="O62" s="9" t="n">
        <f aca="false">(O59-O60)</f>
        <v>0</v>
      </c>
      <c r="P62" s="9" t="n">
        <f aca="false">(P59-P60)</f>
        <v>0</v>
      </c>
      <c r="Q62" s="9" t="n">
        <f aca="false">(Q59-Q60)</f>
        <v>0</v>
      </c>
      <c r="R62" s="9" t="n">
        <f aca="false">(R59-R60)</f>
        <v>0</v>
      </c>
      <c r="S62" s="9" t="n">
        <f aca="false">(S59-S60)</f>
        <v>0</v>
      </c>
      <c r="T62" s="9" t="n">
        <f aca="false">(T59-T60)</f>
        <v>0</v>
      </c>
      <c r="U62" s="9" t="n">
        <f aca="false">(U59-U60)</f>
        <v>0</v>
      </c>
      <c r="V62" s="9" t="n">
        <f aca="false">(V59-V60)</f>
        <v>9450</v>
      </c>
      <c r="W62" s="9" t="n">
        <f aca="false">(W59-W60)</f>
        <v>0</v>
      </c>
      <c r="X62" s="9" t="n">
        <f aca="false">(X59-X60)</f>
        <v>0</v>
      </c>
      <c r="Y62" s="9" t="n">
        <f aca="false">(Y59-Y60)</f>
        <v>35850</v>
      </c>
      <c r="Z62" s="9" t="n">
        <f aca="false">(Z59-Z60)</f>
        <v>15333.12</v>
      </c>
      <c r="AA62" s="9" t="n">
        <f aca="false">(AA59-AA60)</f>
        <v>0</v>
      </c>
      <c r="AB62" s="9" t="n">
        <f aca="false">(AB59-AB60)</f>
        <v>45300</v>
      </c>
      <c r="AC62" s="9" t="n">
        <f aca="false">(AC59-AC60)</f>
        <v>0</v>
      </c>
      <c r="AD62" s="9" t="n">
        <f aca="false">(AD59-AD60)</f>
        <v>0</v>
      </c>
      <c r="AE62" s="9" t="n">
        <f aca="false">(AE59-AE60)</f>
        <v>71700</v>
      </c>
      <c r="AF62" s="9" t="n">
        <f aca="false">(AF59-AF60)</f>
        <v>0</v>
      </c>
      <c r="AG62" s="9" t="n">
        <f aca="false">(AG59-AG60)</f>
        <v>0</v>
      </c>
      <c r="AH62" s="9" t="n">
        <f aca="false">(AH59-AH60)</f>
        <v>93927.6</v>
      </c>
      <c r="AI62" s="9" t="n">
        <f aca="false">(AI59-AI60)</f>
        <v>0</v>
      </c>
      <c r="AJ62" s="9" t="n">
        <f aca="false">(AJ59-AJ60)</f>
        <v>0</v>
      </c>
      <c r="AK62" s="9" t="n">
        <f aca="false">(AK59-AK60)</f>
        <v>145882.8</v>
      </c>
      <c r="AL62" s="9" t="n">
        <f aca="false">(AL59-AL60)</f>
        <v>14842.46016</v>
      </c>
      <c r="AN62" s="11" t="n">
        <f aca="false">SUM(C62:N62)</f>
        <v>15840</v>
      </c>
      <c r="AO62" s="11" t="n">
        <f aca="false">SUM(O62:Z62)</f>
        <v>60633.12</v>
      </c>
      <c r="AP62" s="11" t="n">
        <f aca="false">SUM(AA62:AL62)</f>
        <v>371652.86016</v>
      </c>
    </row>
    <row r="63" customFormat="false" ht="15" hidden="false" customHeight="false" outlineLevel="0" collapsed="false">
      <c r="A63" s="0" t="s">
        <v>869</v>
      </c>
      <c r="B63" s="0" t="s">
        <v>230</v>
      </c>
      <c r="C63" s="9" t="n">
        <f aca="false">(((Assumptions!$C$122*$C$10)/6)*C52)</f>
        <v>0</v>
      </c>
      <c r="D63" s="9" t="n">
        <f aca="false">(((Assumptions!$C$122*$C$10)/6)*D52)</f>
        <v>0</v>
      </c>
      <c r="E63" s="9" t="n">
        <f aca="false">(((Assumptions!$C$122*$C$10)/6)*E52)</f>
        <v>0</v>
      </c>
      <c r="F63" s="9" t="n">
        <f aca="false">(((Assumptions!$C$122*$C$10)/6)*F52)</f>
        <v>0</v>
      </c>
      <c r="G63" s="9" t="n">
        <f aca="false">(((Assumptions!$C$122*$C$10)/6)*G52)</f>
        <v>0</v>
      </c>
      <c r="H63" s="9" t="n">
        <f aca="false">(((Assumptions!$C$122*$C$10)/6)*H52)</f>
        <v>0</v>
      </c>
      <c r="I63" s="9" t="n">
        <f aca="false">(((Assumptions!$C$122*$C$10)/6)*I52)</f>
        <v>0</v>
      </c>
      <c r="J63" s="9" t="n">
        <f aca="false">(((Assumptions!$C$122*$C$10)/6)*J52)</f>
        <v>0</v>
      </c>
      <c r="K63" s="9" t="n">
        <f aca="false">(((Assumptions!$C$122*$C$10)/6)*K52)</f>
        <v>0</v>
      </c>
      <c r="L63" s="9" t="n">
        <f aca="false">(((Assumptions!$C$122*$C$10)/6)*L52)</f>
        <v>0</v>
      </c>
      <c r="M63" s="9" t="n">
        <f aca="false">(((Assumptions!$C$122*$C$10)/6)*M52)</f>
        <v>0</v>
      </c>
      <c r="N63" s="9" t="n">
        <f aca="false">(((Assumptions!$C$122*$C$10)/6)*N52)</f>
        <v>0</v>
      </c>
      <c r="O63" s="9" t="n">
        <f aca="false">(((Assumptions!$C$122*$C$10)/6)*O52)</f>
        <v>2500</v>
      </c>
      <c r="P63" s="9" t="n">
        <f aca="false">(((Assumptions!$C$122*$C$10)/6)*P52)</f>
        <v>2500</v>
      </c>
      <c r="Q63" s="9" t="n">
        <f aca="false">(((Assumptions!$C$122*$C$10)/6)*Q52)</f>
        <v>2500</v>
      </c>
      <c r="R63" s="9" t="n">
        <f aca="false">(((Assumptions!$C$122*$C$10)/6)*R52)</f>
        <v>5000</v>
      </c>
      <c r="S63" s="9" t="n">
        <f aca="false">(((Assumptions!$C$122*$C$10)/6)*S52)</f>
        <v>5000</v>
      </c>
      <c r="T63" s="9" t="n">
        <f aca="false">(((Assumptions!$C$122*$C$10)/6)*T52)</f>
        <v>5000</v>
      </c>
      <c r="U63" s="9" t="n">
        <f aca="false">(((Assumptions!$C$122*$C$10)/6)*U52)</f>
        <v>7500</v>
      </c>
      <c r="V63" s="9" t="n">
        <f aca="false">(((Assumptions!$C$122*$C$10)/6)*V52)</f>
        <v>7500</v>
      </c>
      <c r="W63" s="9" t="n">
        <f aca="false">(((Assumptions!$C$122*$C$10)/6)*W52)</f>
        <v>7500</v>
      </c>
      <c r="X63" s="9" t="n">
        <f aca="false">(((Assumptions!$C$122*$C$10)/6)*X52)</f>
        <v>10000</v>
      </c>
      <c r="Y63" s="9" t="n">
        <f aca="false">(((Assumptions!$C$122*$C$10)/6)*Y52)</f>
        <v>10000</v>
      </c>
      <c r="Z63" s="9" t="n">
        <f aca="false">(((Assumptions!$C$122*$C$10)/6)*Z52)</f>
        <v>10000</v>
      </c>
      <c r="AA63" s="9" t="n">
        <f aca="false">(((Assumptions!$C$122*$C$10)/6)*AA52)</f>
        <v>12500</v>
      </c>
      <c r="AB63" s="9" t="n">
        <f aca="false">(((Assumptions!$C$122*$C$10)/6)*AB52)</f>
        <v>12500</v>
      </c>
      <c r="AC63" s="9" t="n">
        <f aca="false">(((Assumptions!$C$122*$C$10)/6)*AC52)</f>
        <v>12500</v>
      </c>
      <c r="AD63" s="9" t="n">
        <f aca="false">(((Assumptions!$C$122*$C$10)/6)*AD52)</f>
        <v>15000</v>
      </c>
      <c r="AE63" s="9" t="n">
        <f aca="false">(((Assumptions!$C$122*$C$10)/6)*AE52)</f>
        <v>15000</v>
      </c>
      <c r="AF63" s="9" t="n">
        <f aca="false">(((Assumptions!$C$122*$C$10)/6)*AF52)</f>
        <v>15000</v>
      </c>
      <c r="AG63" s="9" t="n">
        <f aca="false">(((Assumptions!$C$122*$C$10)/6)*AG52)</f>
        <v>15000</v>
      </c>
      <c r="AH63" s="9" t="n">
        <f aca="false">(((Assumptions!$C$122*$C$10)/6)*AH52)</f>
        <v>15000</v>
      </c>
      <c r="AI63" s="9" t="n">
        <f aca="false">(((Assumptions!$C$122*$C$10)/6)*AI52)</f>
        <v>15000</v>
      </c>
      <c r="AJ63" s="9" t="n">
        <f aca="false">(((Assumptions!$C$122*$C$10)/6)*AJ52)</f>
        <v>17500</v>
      </c>
      <c r="AK63" s="9" t="n">
        <f aca="false">(((Assumptions!$C$122*$C$10)/6)*AK52)</f>
        <v>17500</v>
      </c>
      <c r="AL63" s="9" t="n">
        <f aca="false">(((Assumptions!$C$122*$C$10)/6)*AL52)</f>
        <v>17500</v>
      </c>
      <c r="AN63" s="11" t="n">
        <f aca="false">SUM(C63:N63)</f>
        <v>0</v>
      </c>
      <c r="AO63" s="11" t="n">
        <f aca="false">SUM(O63:Z63)</f>
        <v>75000</v>
      </c>
      <c r="AP63" s="11" t="n">
        <f aca="false">SUM(AA63:AL63)</f>
        <v>180000</v>
      </c>
    </row>
    <row r="64" customFormat="false" ht="15" hidden="false" customHeight="false" outlineLevel="0" collapsed="false">
      <c r="A64" s="0" t="s">
        <v>870</v>
      </c>
      <c r="B64" s="0" t="s">
        <v>230</v>
      </c>
      <c r="C64" s="9" t="n">
        <f aca="false">((Assumptions!$C$122*$C$10)*C46)</f>
        <v>0</v>
      </c>
      <c r="D64" s="9" t="n">
        <f aca="false">((Assumptions!$C$122*$C$10)*D46)</f>
        <v>0</v>
      </c>
      <c r="E64" s="9" t="n">
        <f aca="false">((Assumptions!$C$122*$C$10)*E46)</f>
        <v>0</v>
      </c>
      <c r="F64" s="9" t="n">
        <f aca="false">((Assumptions!$C$122*$C$10)*F46)</f>
        <v>0</v>
      </c>
      <c r="G64" s="9" t="n">
        <f aca="false">((Assumptions!$C$122*$C$10)*G46)</f>
        <v>0</v>
      </c>
      <c r="H64" s="9" t="n">
        <f aca="false">((Assumptions!$C$122*$C$10)*H46)</f>
        <v>0</v>
      </c>
      <c r="I64" s="9" t="n">
        <f aca="false">((Assumptions!$C$122*$C$10)*I46)</f>
        <v>0</v>
      </c>
      <c r="J64" s="9" t="n">
        <f aca="false">((Assumptions!$C$122*$C$10)*J46)</f>
        <v>0</v>
      </c>
      <c r="K64" s="9" t="n">
        <f aca="false">((Assumptions!$C$122*$C$10)*K46)</f>
        <v>0</v>
      </c>
      <c r="L64" s="9" t="n">
        <f aca="false">((Assumptions!$C$122*$C$10)*L46)</f>
        <v>0</v>
      </c>
      <c r="M64" s="9" t="n">
        <f aca="false">((Assumptions!$C$122*$C$10)*M46)</f>
        <v>0</v>
      </c>
      <c r="N64" s="9" t="n">
        <f aca="false">((Assumptions!$C$122*$C$10)*N46)</f>
        <v>0</v>
      </c>
      <c r="O64" s="9" t="n">
        <f aca="false">((Assumptions!$C$122*$C$10)*O46)</f>
        <v>15000</v>
      </c>
      <c r="P64" s="9" t="n">
        <f aca="false">((Assumptions!$C$122*$C$10)*P46)</f>
        <v>0</v>
      </c>
      <c r="Q64" s="9" t="n">
        <f aca="false">((Assumptions!$C$122*$C$10)*Q46)</f>
        <v>0</v>
      </c>
      <c r="R64" s="9" t="n">
        <f aca="false">((Assumptions!$C$122*$C$10)*R46)</f>
        <v>15000</v>
      </c>
      <c r="S64" s="9" t="n">
        <f aca="false">((Assumptions!$C$122*$C$10)*S46)</f>
        <v>0</v>
      </c>
      <c r="T64" s="9" t="n">
        <f aca="false">((Assumptions!$C$122*$C$10)*T46)</f>
        <v>0</v>
      </c>
      <c r="U64" s="9" t="n">
        <f aca="false">((Assumptions!$C$122*$C$10)*U46)</f>
        <v>30000</v>
      </c>
      <c r="V64" s="9" t="n">
        <f aca="false">((Assumptions!$C$122*$C$10)*V46)</f>
        <v>0</v>
      </c>
      <c r="W64" s="9" t="n">
        <f aca="false">((Assumptions!$C$122*$C$10)*W46)</f>
        <v>0</v>
      </c>
      <c r="X64" s="9" t="n">
        <f aca="false">((Assumptions!$C$122*$C$10)*X46)</f>
        <v>30000</v>
      </c>
      <c r="Y64" s="9" t="n">
        <f aca="false">((Assumptions!$C$122*$C$10)*Y46)</f>
        <v>0</v>
      </c>
      <c r="Z64" s="9" t="n">
        <f aca="false">((Assumptions!$C$122*$C$10)*Z46)</f>
        <v>0</v>
      </c>
      <c r="AA64" s="9" t="n">
        <f aca="false">((Assumptions!$C$122*$C$10)*AA46)</f>
        <v>45000</v>
      </c>
      <c r="AB64" s="9" t="n">
        <f aca="false">((Assumptions!$C$122*$C$10)*AB46)</f>
        <v>0</v>
      </c>
      <c r="AC64" s="9" t="n">
        <f aca="false">((Assumptions!$C$122*$C$10)*AC46)</f>
        <v>0</v>
      </c>
      <c r="AD64" s="9" t="n">
        <f aca="false">((Assumptions!$C$122*$C$10)*AD46)</f>
        <v>45000</v>
      </c>
      <c r="AE64" s="9" t="n">
        <f aca="false">((Assumptions!$C$122*$C$10)*AE46)</f>
        <v>0</v>
      </c>
      <c r="AF64" s="9" t="n">
        <f aca="false">((Assumptions!$C$122*$C$10)*AF46)</f>
        <v>0</v>
      </c>
      <c r="AG64" s="9" t="n">
        <f aca="false">((Assumptions!$C$122*$C$10)*AG46)</f>
        <v>45000</v>
      </c>
      <c r="AH64" s="9" t="n">
        <f aca="false">((Assumptions!$C$122*$C$10)*AH46)</f>
        <v>0</v>
      </c>
      <c r="AI64" s="9" t="n">
        <f aca="false">((Assumptions!$C$122*$C$10)*AI46)</f>
        <v>0</v>
      </c>
      <c r="AJ64" s="9" t="n">
        <f aca="false">((Assumptions!$C$122*$C$10)*AJ46)</f>
        <v>60000</v>
      </c>
      <c r="AK64" s="9" t="n">
        <f aca="false">((Assumptions!$C$122*$C$10)*AK46)</f>
        <v>0</v>
      </c>
      <c r="AL64" s="9" t="n">
        <f aca="false">((Assumptions!$C$122*$C$10)*AL46)</f>
        <v>0</v>
      </c>
      <c r="AN64" s="11" t="n">
        <f aca="false">SUM(C64:N64)</f>
        <v>0</v>
      </c>
      <c r="AO64" s="11" t="n">
        <f aca="false">SUM(O64:Z64)</f>
        <v>90000</v>
      </c>
      <c r="AP64" s="11" t="n">
        <f aca="false">SUM(AA64:AL64)</f>
        <v>195000</v>
      </c>
    </row>
    <row r="65" customFormat="false" ht="15" hidden="false" customHeight="false" outlineLevel="0" collapsed="false">
      <c r="A65" s="0" t="s">
        <v>871</v>
      </c>
      <c r="B65" s="0" t="s">
        <v>230</v>
      </c>
      <c r="C65" s="9" t="n">
        <f aca="false">((Assumptions!$C$123*$C$10)+(Assumptions!$C$34*Assumptions!$C$35))</f>
        <v>21000</v>
      </c>
      <c r="D65" s="9" t="n">
        <f aca="false">((Assumptions!$C$123*$C$10)+(Assumptions!$C$34*Assumptions!$C$35))</f>
        <v>21000</v>
      </c>
      <c r="E65" s="9" t="n">
        <f aca="false">((Assumptions!$C$123*$C$10)+(Assumptions!$C$34*Assumptions!$C$35))</f>
        <v>21000</v>
      </c>
      <c r="F65" s="9" t="n">
        <f aca="false">((Assumptions!$C$123*$C$10)+(Assumptions!$C$34*Assumptions!$C$35))</f>
        <v>21000</v>
      </c>
      <c r="G65" s="9" t="n">
        <f aca="false">((Assumptions!$C$123*$C$10)+(Assumptions!$C$34*Assumptions!$C$35))</f>
        <v>21000</v>
      </c>
      <c r="H65" s="9" t="n">
        <f aca="false">((Assumptions!$C$123*$C$10)+(Assumptions!$C$34*Assumptions!$C$35))</f>
        <v>21000</v>
      </c>
      <c r="I65" s="9" t="n">
        <f aca="false">((Assumptions!$C$123*$C$10)+(Assumptions!$C$34*Assumptions!$C$35))</f>
        <v>21000</v>
      </c>
      <c r="J65" s="9" t="n">
        <f aca="false">((Assumptions!$C$123*$C$10)+(Assumptions!$C$34*Assumptions!$C$35))</f>
        <v>21000</v>
      </c>
      <c r="K65" s="9" t="n">
        <f aca="false">((Assumptions!$C$123*$C$10)+(Assumptions!$C$34*Assumptions!$C$35))</f>
        <v>21000</v>
      </c>
      <c r="L65" s="9" t="n">
        <f aca="false">((Assumptions!$C$123*$C$10)+(Assumptions!$C$34*Assumptions!$C$35))</f>
        <v>21000</v>
      </c>
      <c r="M65" s="9" t="n">
        <f aca="false">((Assumptions!$C$123*$C$10)+(Assumptions!$C$34*Assumptions!$C$35))</f>
        <v>21000</v>
      </c>
      <c r="N65" s="9" t="n">
        <f aca="false">((Assumptions!$C$123*$C$10)+(Assumptions!$C$34*Assumptions!$C$35))</f>
        <v>21000</v>
      </c>
      <c r="O65" s="9" t="n">
        <f aca="false">((Assumptions!$C$123*$C$10)+(Assumptions!$C$34*Assumptions!$C$35))</f>
        <v>21000</v>
      </c>
      <c r="P65" s="9" t="n">
        <f aca="false">((Assumptions!$C$123*$C$10)+(Assumptions!$C$34*Assumptions!$C$35))</f>
        <v>21000</v>
      </c>
      <c r="Q65" s="9" t="n">
        <f aca="false">((Assumptions!$C$123*$C$10)+(Assumptions!$C$34*Assumptions!$C$35))</f>
        <v>21000</v>
      </c>
      <c r="R65" s="9" t="n">
        <f aca="false">((Assumptions!$C$123*$C$10)+(Assumptions!$C$34*Assumptions!$C$35))</f>
        <v>21000</v>
      </c>
      <c r="S65" s="9" t="n">
        <f aca="false">((Assumptions!$C$123*$C$10)+(Assumptions!$C$34*Assumptions!$C$35))</f>
        <v>21000</v>
      </c>
      <c r="T65" s="9" t="n">
        <f aca="false">((Assumptions!$C$123*$C$10)+(Assumptions!$C$34*Assumptions!$C$35))</f>
        <v>21000</v>
      </c>
      <c r="U65" s="9" t="n">
        <f aca="false">((Assumptions!$C$123*$C$10)+(Assumptions!$C$34*Assumptions!$C$35))</f>
        <v>21000</v>
      </c>
      <c r="V65" s="9" t="n">
        <f aca="false">((Assumptions!$C$123*$C$10)+(Assumptions!$C$34*Assumptions!$C$35))</f>
        <v>21000</v>
      </c>
      <c r="W65" s="9" t="n">
        <f aca="false">((Assumptions!$C$123*$C$10)+(Assumptions!$C$34*Assumptions!$C$35))</f>
        <v>21000</v>
      </c>
      <c r="X65" s="9" t="n">
        <f aca="false">((Assumptions!$C$123*$C$10)+(Assumptions!$C$34*Assumptions!$C$35))</f>
        <v>21000</v>
      </c>
      <c r="Y65" s="9" t="n">
        <f aca="false">((Assumptions!$C$123*$C$10)+(Assumptions!$C$34*Assumptions!$C$35))</f>
        <v>21000</v>
      </c>
      <c r="Z65" s="9" t="n">
        <f aca="false">((Assumptions!$C$123*$C$10)+(Assumptions!$C$34*Assumptions!$C$35))</f>
        <v>21000</v>
      </c>
      <c r="AA65" s="9" t="n">
        <f aca="false">((Assumptions!$C$123*$C$10)+(Assumptions!$C$34*Assumptions!$C$35))</f>
        <v>21000</v>
      </c>
      <c r="AB65" s="9" t="n">
        <f aca="false">((Assumptions!$C$123*$C$10)+(Assumptions!$C$34*Assumptions!$C$35))</f>
        <v>21000</v>
      </c>
      <c r="AC65" s="9" t="n">
        <f aca="false">((Assumptions!$C$123*$C$10)+(Assumptions!$C$34*Assumptions!$C$35))</f>
        <v>21000</v>
      </c>
      <c r="AD65" s="9" t="n">
        <f aca="false">((Assumptions!$C$123*$C$10)+(Assumptions!$C$34*Assumptions!$C$35))</f>
        <v>21000</v>
      </c>
      <c r="AE65" s="9" t="n">
        <f aca="false">((Assumptions!$C$123*$C$10)+(Assumptions!$C$34*Assumptions!$C$35))</f>
        <v>21000</v>
      </c>
      <c r="AF65" s="9" t="n">
        <f aca="false">((Assumptions!$C$123*$C$10)+(Assumptions!$C$34*Assumptions!$C$35))</f>
        <v>21000</v>
      </c>
      <c r="AG65" s="9" t="n">
        <f aca="false">((Assumptions!$C$123*$C$10)+(Assumptions!$C$34*Assumptions!$C$35))</f>
        <v>21000</v>
      </c>
      <c r="AH65" s="9" t="n">
        <f aca="false">((Assumptions!$C$123*$C$10)+(Assumptions!$C$34*Assumptions!$C$35))</f>
        <v>21000</v>
      </c>
      <c r="AI65" s="9" t="n">
        <f aca="false">((Assumptions!$C$123*$C$10)+(Assumptions!$C$34*Assumptions!$C$35))</f>
        <v>21000</v>
      </c>
      <c r="AJ65" s="9" t="n">
        <f aca="false">((Assumptions!$C$123*$C$10)+(Assumptions!$C$34*Assumptions!$C$35))</f>
        <v>21000</v>
      </c>
      <c r="AK65" s="9" t="n">
        <f aca="false">((Assumptions!$C$123*$C$10)+(Assumptions!$C$34*Assumptions!$C$35))</f>
        <v>21000</v>
      </c>
      <c r="AL65" s="9" t="n">
        <f aca="false">((Assumptions!$C$123*$C$10)+(Assumptions!$C$34*Assumptions!$C$35))</f>
        <v>21000</v>
      </c>
    </row>
    <row r="66" customFormat="false" ht="15" hidden="false" customHeight="false" outlineLevel="0" collapsed="false">
      <c r="A66" s="0" t="s">
        <v>872</v>
      </c>
      <c r="B66" s="0" t="s">
        <v>230</v>
      </c>
      <c r="C66" s="9" t="n">
        <f aca="false">((C65/3)*C50)</f>
        <v>0</v>
      </c>
      <c r="D66" s="9" t="n">
        <f aca="false">((D65/3)*SUM(C50:D50))</f>
        <v>0</v>
      </c>
      <c r="E66" s="9" t="n">
        <f aca="false">((E65/3)*SUM(C50:E50))</f>
        <v>0</v>
      </c>
      <c r="F66" s="9" t="n">
        <f aca="false">((F65/3)*SUM(D50:F50))</f>
        <v>0</v>
      </c>
      <c r="G66" s="9" t="n">
        <f aca="false">((G65/3)*SUM(E50:G50))</f>
        <v>0</v>
      </c>
      <c r="H66" s="9" t="n">
        <f aca="false">((H65/3)*SUM(F50:H50))</f>
        <v>0</v>
      </c>
      <c r="I66" s="9" t="n">
        <f aca="false">((I65/3)*SUM(G50:I50))</f>
        <v>0</v>
      </c>
      <c r="J66" s="9" t="n">
        <f aca="false">((J65/3)*SUM(H50:J50))</f>
        <v>0</v>
      </c>
      <c r="K66" s="9" t="n">
        <f aca="false">((K65/3)*SUM(I50:K50))</f>
        <v>0</v>
      </c>
      <c r="L66" s="9" t="n">
        <f aca="false">((L65/3)*SUM(J50:L50))</f>
        <v>0</v>
      </c>
      <c r="M66" s="9" t="n">
        <f aca="false">((M65/3)*SUM(K50:M50))</f>
        <v>0</v>
      </c>
      <c r="N66" s="9" t="n">
        <f aca="false">((N65/3)*SUM(L50:N50))</f>
        <v>0</v>
      </c>
      <c r="O66" s="9" t="n">
        <f aca="false">((O65/3)*SUM(M50:O50))</f>
        <v>7000</v>
      </c>
      <c r="P66" s="9" t="n">
        <f aca="false">((P65/3)*SUM(N50:P50))</f>
        <v>7000</v>
      </c>
      <c r="Q66" s="9" t="n">
        <f aca="false">((Q65/3)*SUM(O50:Q50))</f>
        <v>7000</v>
      </c>
      <c r="R66" s="9" t="n">
        <f aca="false">((R65/3)*SUM(P50:R50))</f>
        <v>7000</v>
      </c>
      <c r="S66" s="9" t="n">
        <f aca="false">((S65/3)*SUM(Q50:S50))</f>
        <v>7000</v>
      </c>
      <c r="T66" s="9" t="n">
        <f aca="false">((T65/3)*SUM(R50:T50))</f>
        <v>7000</v>
      </c>
      <c r="U66" s="9" t="n">
        <f aca="false">((U65/3)*SUM(S50:U50))</f>
        <v>14000</v>
      </c>
      <c r="V66" s="9" t="n">
        <f aca="false">((V65/3)*SUM(T50:V50))</f>
        <v>14000</v>
      </c>
      <c r="W66" s="9" t="n">
        <f aca="false">((W65/3)*SUM(U50:W50))</f>
        <v>14000</v>
      </c>
      <c r="X66" s="9" t="n">
        <f aca="false">((X65/3)*SUM(V50:X50))</f>
        <v>14000</v>
      </c>
      <c r="Y66" s="9" t="n">
        <f aca="false">((Y65/3)*SUM(W50:Y50))</f>
        <v>21000</v>
      </c>
      <c r="Z66" s="9" t="n">
        <f aca="false">((Z65/3)*SUM(X50:Z50))</f>
        <v>21000</v>
      </c>
      <c r="AA66" s="9" t="n">
        <f aca="false">((AA65/3)*SUM(Y50:AA50))</f>
        <v>28000</v>
      </c>
      <c r="AB66" s="9" t="n">
        <f aca="false">((AB65/3)*SUM(Z50:AB50))</f>
        <v>28000</v>
      </c>
      <c r="AC66" s="9" t="n">
        <f aca="false">((AC65/3)*SUM(AA50:AC50))</f>
        <v>28000</v>
      </c>
      <c r="AD66" s="9" t="n">
        <f aca="false">((AD65/3)*SUM(AB50:AD50))</f>
        <v>28000</v>
      </c>
      <c r="AE66" s="9" t="n">
        <f aca="false">((AE65/3)*SUM(AC50:AE50))</f>
        <v>35000</v>
      </c>
      <c r="AF66" s="9" t="n">
        <f aca="false">((AF65/3)*SUM(AD50:AF50))</f>
        <v>35000</v>
      </c>
      <c r="AG66" s="9" t="n">
        <f aca="false">((AG65/3)*SUM(AE50:AG50))</f>
        <v>35000</v>
      </c>
      <c r="AH66" s="9" t="n">
        <f aca="false">((AH65/3)*SUM(AF50:AH50))</f>
        <v>35000</v>
      </c>
      <c r="AI66" s="9" t="n">
        <f aca="false">((AI65/3)*SUM(AG50:AI50))</f>
        <v>35000</v>
      </c>
      <c r="AJ66" s="9" t="n">
        <f aca="false">((AJ65/3)*SUM(AH50:AJ50))</f>
        <v>42000</v>
      </c>
      <c r="AK66" s="9" t="n">
        <f aca="false">((AK65/3)*SUM(AI50:AK50))</f>
        <v>49000</v>
      </c>
      <c r="AL66" s="9" t="n">
        <f aca="false">((AL65/3)*SUM(AJ50:AL50))</f>
        <v>49000</v>
      </c>
      <c r="AN66" s="11" t="n">
        <f aca="false">SUM(C66:N66)</f>
        <v>0</v>
      </c>
      <c r="AO66" s="11" t="n">
        <f aca="false">SUM(O66:Z66)</f>
        <v>140000</v>
      </c>
      <c r="AP66" s="11" t="n">
        <f aca="false">SUM(AA66:AL66)</f>
        <v>427000</v>
      </c>
    </row>
    <row r="67" customFormat="false" ht="15" hidden="false" customHeight="false" outlineLevel="0" collapsed="false">
      <c r="A67" s="0" t="s">
        <v>873</v>
      </c>
      <c r="B67" s="0" t="s">
        <v>230</v>
      </c>
      <c r="C67" s="9" t="n">
        <f aca="false">(C65*C50)</f>
        <v>0</v>
      </c>
      <c r="D67" s="9" t="n">
        <f aca="false">(D65*D50)</f>
        <v>0</v>
      </c>
      <c r="E67" s="9" t="n">
        <f aca="false">(E65*E50)</f>
        <v>0</v>
      </c>
      <c r="F67" s="9" t="n">
        <f aca="false">(F65*F50)</f>
        <v>0</v>
      </c>
      <c r="G67" s="9" t="n">
        <f aca="false">(G65*G50)</f>
        <v>0</v>
      </c>
      <c r="H67" s="9" t="n">
        <f aca="false">(H65*H50)</f>
        <v>0</v>
      </c>
      <c r="I67" s="9" t="n">
        <f aca="false">(I65*I50)</f>
        <v>0</v>
      </c>
      <c r="J67" s="9" t="n">
        <f aca="false">(J65*J50)</f>
        <v>0</v>
      </c>
      <c r="K67" s="9" t="n">
        <f aca="false">(K65*K50)</f>
        <v>0</v>
      </c>
      <c r="L67" s="9" t="n">
        <f aca="false">(L65*L50)</f>
        <v>0</v>
      </c>
      <c r="M67" s="9" t="n">
        <f aca="false">(M65*M50)</f>
        <v>0</v>
      </c>
      <c r="N67" s="9" t="n">
        <f aca="false">(N65*N50)</f>
        <v>0</v>
      </c>
      <c r="O67" s="9" t="n">
        <f aca="false">(O65*O50)</f>
        <v>21000</v>
      </c>
      <c r="P67" s="9" t="n">
        <f aca="false">(P65*P50)</f>
        <v>0</v>
      </c>
      <c r="Q67" s="9" t="n">
        <f aca="false">(Q65*Q50)</f>
        <v>0</v>
      </c>
      <c r="R67" s="9" t="n">
        <f aca="false">(R65*R50)</f>
        <v>21000</v>
      </c>
      <c r="S67" s="9" t="n">
        <f aca="false">(S65*S50)</f>
        <v>0</v>
      </c>
      <c r="T67" s="9" t="n">
        <f aca="false">(T65*T50)</f>
        <v>0</v>
      </c>
      <c r="U67" s="9" t="n">
        <f aca="false">(U65*U50)</f>
        <v>42000</v>
      </c>
      <c r="V67" s="9" t="n">
        <f aca="false">(V65*V50)</f>
        <v>0</v>
      </c>
      <c r="W67" s="9" t="n">
        <f aca="false">(W65*W50)</f>
        <v>0</v>
      </c>
      <c r="X67" s="9" t="n">
        <f aca="false">(X65*X50)</f>
        <v>42000</v>
      </c>
      <c r="Y67" s="9" t="n">
        <f aca="false">(Y65*Y50)</f>
        <v>21000</v>
      </c>
      <c r="Z67" s="9" t="n">
        <f aca="false">(Z65*Z50)</f>
        <v>0</v>
      </c>
      <c r="AA67" s="9" t="n">
        <f aca="false">(AA65*AA50)</f>
        <v>63000</v>
      </c>
      <c r="AB67" s="9" t="n">
        <f aca="false">(AB65*AB50)</f>
        <v>21000</v>
      </c>
      <c r="AC67" s="9" t="n">
        <f aca="false">(AC65*AC50)</f>
        <v>0</v>
      </c>
      <c r="AD67" s="9" t="n">
        <f aca="false">(AD65*AD50)</f>
        <v>63000</v>
      </c>
      <c r="AE67" s="9" t="n">
        <f aca="false">(AE65*AE50)</f>
        <v>42000</v>
      </c>
      <c r="AF67" s="9" t="n">
        <f aca="false">(AF65*AF50)</f>
        <v>0</v>
      </c>
      <c r="AG67" s="9" t="n">
        <f aca="false">(AG65*AG50)</f>
        <v>63000</v>
      </c>
      <c r="AH67" s="9" t="n">
        <f aca="false">(AH65*AH50)</f>
        <v>42000</v>
      </c>
      <c r="AI67" s="9" t="n">
        <f aca="false">(AI65*AI50)</f>
        <v>0</v>
      </c>
      <c r="AJ67" s="9" t="n">
        <f aca="false">(AJ65*AJ50)</f>
        <v>84000</v>
      </c>
      <c r="AK67" s="9" t="n">
        <f aca="false">(AK65*AK50)</f>
        <v>63000</v>
      </c>
      <c r="AL67" s="9" t="n">
        <f aca="false">(AL65*AL50)</f>
        <v>0</v>
      </c>
      <c r="AN67" s="11" t="n">
        <f aca="false">SUM(C67:N67)</f>
        <v>0</v>
      </c>
      <c r="AO67" s="11" t="n">
        <f aca="false">SUM(O67:Z67)</f>
        <v>147000</v>
      </c>
      <c r="AP67" s="11" t="n">
        <f aca="false">SUM(AA67:AL67)</f>
        <v>441000</v>
      </c>
    </row>
    <row r="68" customFormat="false" ht="15" hidden="false" customHeight="false" outlineLevel="0" collapsed="false">
      <c r="A68" s="0" t="s">
        <v>874</v>
      </c>
      <c r="B68" s="0" t="s">
        <v>285</v>
      </c>
      <c r="C68" s="9" t="n">
        <f aca="false">((C47*Assumptions!$C$124)+(C50*(Assumptions!$C$124+(Assumptions!$C$34*Assumptions!$C$36))))</f>
        <v>0</v>
      </c>
      <c r="D68" s="9" t="n">
        <f aca="false">((D47*Assumptions!$C$124)+(D50*(Assumptions!$C$124+(Assumptions!$C$34*Assumptions!$C$36))))</f>
        <v>0</v>
      </c>
      <c r="E68" s="9" t="n">
        <f aca="false">((E47*Assumptions!$C$124)+(E50*(Assumptions!$C$124+(Assumptions!$C$34*Assumptions!$C$36))))</f>
        <v>0</v>
      </c>
      <c r="F68" s="9" t="n">
        <f aca="false">((F47*Assumptions!$C$124)+(F50*(Assumptions!$C$124+(Assumptions!$C$34*Assumptions!$C$36))))</f>
        <v>0</v>
      </c>
      <c r="G68" s="9" t="n">
        <f aca="false">((G47*Assumptions!$C$124)+(G50*(Assumptions!$C$124+(Assumptions!$C$34*Assumptions!$C$36))))</f>
        <v>115</v>
      </c>
      <c r="H68" s="9" t="n">
        <f aca="false">((H47*Assumptions!$C$124)+(H50*(Assumptions!$C$124+(Assumptions!$C$34*Assumptions!$C$36))))</f>
        <v>0</v>
      </c>
      <c r="I68" s="9" t="n">
        <f aca="false">((I47*Assumptions!$C$124)+(I50*(Assumptions!$C$124+(Assumptions!$C$34*Assumptions!$C$36))))</f>
        <v>0</v>
      </c>
      <c r="J68" s="9" t="n">
        <f aca="false">((J47*Assumptions!$C$124)+(J50*(Assumptions!$C$124+(Assumptions!$C$34*Assumptions!$C$36))))</f>
        <v>0</v>
      </c>
      <c r="K68" s="9" t="n">
        <f aca="false">((K47*Assumptions!$C$124)+(K50*(Assumptions!$C$124+(Assumptions!$C$34*Assumptions!$C$36))))</f>
        <v>0</v>
      </c>
      <c r="L68" s="9" t="n">
        <f aca="false">((L47*Assumptions!$C$124)+(L50*(Assumptions!$C$124+(Assumptions!$C$34*Assumptions!$C$36))))</f>
        <v>0</v>
      </c>
      <c r="M68" s="9" t="n">
        <f aca="false">((M47*Assumptions!$C$124)+(M50*(Assumptions!$C$124+(Assumptions!$C$34*Assumptions!$C$36))))</f>
        <v>0</v>
      </c>
      <c r="N68" s="9" t="n">
        <f aca="false">((N47*Assumptions!$C$124)+(N50*(Assumptions!$C$124+(Assumptions!$C$34*Assumptions!$C$36))))</f>
        <v>0</v>
      </c>
      <c r="O68" s="9" t="n">
        <f aca="false">((O47*Assumptions!$C$124)+(O50*(Assumptions!$C$124+(Assumptions!$C$34*Assumptions!$C$36))))</f>
        <v>159</v>
      </c>
      <c r="P68" s="9" t="n">
        <f aca="false">((P47*Assumptions!$C$124)+(P50*(Assumptions!$C$124+(Assumptions!$C$34*Assumptions!$C$36))))</f>
        <v>0</v>
      </c>
      <c r="Q68" s="9" t="n">
        <f aca="false">((Q47*Assumptions!$C$124)+(Q50*(Assumptions!$C$124+(Assumptions!$C$34*Assumptions!$C$36))))</f>
        <v>0</v>
      </c>
      <c r="R68" s="9" t="n">
        <f aca="false">((R47*Assumptions!$C$124)+(R50*(Assumptions!$C$124+(Assumptions!$C$34*Assumptions!$C$36))))</f>
        <v>159</v>
      </c>
      <c r="S68" s="9" t="n">
        <f aca="false">((S47*Assumptions!$C$124)+(S50*(Assumptions!$C$124+(Assumptions!$C$34*Assumptions!$C$36))))</f>
        <v>0</v>
      </c>
      <c r="T68" s="9" t="n">
        <f aca="false">((T47*Assumptions!$C$124)+(T50*(Assumptions!$C$124+(Assumptions!$C$34*Assumptions!$C$36))))</f>
        <v>0</v>
      </c>
      <c r="U68" s="9" t="n">
        <f aca="false">((U47*Assumptions!$C$124)+(U50*(Assumptions!$C$124+(Assumptions!$C$34*Assumptions!$C$36))))</f>
        <v>318</v>
      </c>
      <c r="V68" s="9" t="n">
        <f aca="false">((V47*Assumptions!$C$124)+(V50*(Assumptions!$C$124+(Assumptions!$C$34*Assumptions!$C$36))))</f>
        <v>0</v>
      </c>
      <c r="W68" s="9" t="n">
        <f aca="false">((W47*Assumptions!$C$124)+(W50*(Assumptions!$C$124+(Assumptions!$C$34*Assumptions!$C$36))))</f>
        <v>0</v>
      </c>
      <c r="X68" s="9" t="n">
        <f aca="false">((X47*Assumptions!$C$124)+(X50*(Assumptions!$C$124+(Assumptions!$C$34*Assumptions!$C$36))))</f>
        <v>318</v>
      </c>
      <c r="Y68" s="9" t="n">
        <f aca="false">((Y47*Assumptions!$C$124)+(Y50*(Assumptions!$C$124+(Assumptions!$C$34*Assumptions!$C$36))))</f>
        <v>159</v>
      </c>
      <c r="Z68" s="9" t="n">
        <f aca="false">((Z47*Assumptions!$C$124)+(Z50*(Assumptions!$C$124+(Assumptions!$C$34*Assumptions!$C$36))))</f>
        <v>0</v>
      </c>
      <c r="AA68" s="9" t="n">
        <f aca="false">((AA47*Assumptions!$C$124)+(AA50*(Assumptions!$C$124+(Assumptions!$C$34*Assumptions!$C$36))))</f>
        <v>477</v>
      </c>
      <c r="AB68" s="9" t="n">
        <f aca="false">((AB47*Assumptions!$C$124)+(AB50*(Assumptions!$C$124+(Assumptions!$C$34*Assumptions!$C$36))))</f>
        <v>159</v>
      </c>
      <c r="AC68" s="9" t="n">
        <f aca="false">((AC47*Assumptions!$C$124)+(AC50*(Assumptions!$C$124+(Assumptions!$C$34*Assumptions!$C$36))))</f>
        <v>0</v>
      </c>
      <c r="AD68" s="9" t="n">
        <f aca="false">((AD47*Assumptions!$C$124)+(AD50*(Assumptions!$C$124+(Assumptions!$C$34*Assumptions!$C$36))))</f>
        <v>477</v>
      </c>
      <c r="AE68" s="9" t="n">
        <f aca="false">((AE47*Assumptions!$C$124)+(AE50*(Assumptions!$C$124+(Assumptions!$C$34*Assumptions!$C$36))))</f>
        <v>318</v>
      </c>
      <c r="AF68" s="9" t="n">
        <f aca="false">((AF47*Assumptions!$C$124)+(AF50*(Assumptions!$C$124+(Assumptions!$C$34*Assumptions!$C$36))))</f>
        <v>0</v>
      </c>
      <c r="AG68" s="9" t="n">
        <f aca="false">((AG47*Assumptions!$C$124)+(AG50*(Assumptions!$C$124+(Assumptions!$C$34*Assumptions!$C$36))))</f>
        <v>477</v>
      </c>
      <c r="AH68" s="9" t="n">
        <f aca="false">((AH47*Assumptions!$C$124)+(AH50*(Assumptions!$C$124+(Assumptions!$C$34*Assumptions!$C$36))))</f>
        <v>318</v>
      </c>
      <c r="AI68" s="9" t="n">
        <f aca="false">((AI47*Assumptions!$C$124)+(AI50*(Assumptions!$C$124+(Assumptions!$C$34*Assumptions!$C$36))))</f>
        <v>0</v>
      </c>
      <c r="AJ68" s="9" t="n">
        <f aca="false">((AJ47*Assumptions!$C$124)+(AJ50*(Assumptions!$C$124+(Assumptions!$C$34*Assumptions!$C$36))))</f>
        <v>636</v>
      </c>
      <c r="AK68" s="9" t="n">
        <f aca="false">((AK47*Assumptions!$C$124)+(AK50*(Assumptions!$C$124+(Assumptions!$C$34*Assumptions!$C$36))))</f>
        <v>477</v>
      </c>
      <c r="AL68" s="9" t="n">
        <f aca="false">((AL47*Assumptions!$C$124)+(AL50*(Assumptions!$C$124+(Assumptions!$C$34*Assumptions!$C$36))))</f>
        <v>0</v>
      </c>
      <c r="AN68" s="11" t="n">
        <f aca="false">SUM(C68:N68)</f>
        <v>115</v>
      </c>
      <c r="AO68" s="11" t="n">
        <f aca="false">SUM(O68:Z68)</f>
        <v>1113</v>
      </c>
      <c r="AP68" s="11" t="n">
        <f aca="false">SUM(AA68:AL68)</f>
        <v>3339</v>
      </c>
    </row>
    <row r="69" customFormat="false" ht="15" hidden="false" customHeight="false" outlineLevel="0" collapsed="false">
      <c r="A69" s="0" t="s">
        <v>875</v>
      </c>
      <c r="B69" s="0" t="s">
        <v>852</v>
      </c>
      <c r="C69" s="14" t="n">
        <f aca="false">((IF(OR((C$18-(Assumptions!$C$7-1)-$C$9)&lt;1,(C$18-(Assumptions!$C$7-1)-$C$9)&gt;36),0,INDEX(Schedules!$C$6:$AL$6,(C$18-(Assumptions!$C$7-1)-$C$9)))*$C$7)*C44)</f>
        <v>0</v>
      </c>
      <c r="D69" s="14" t="n">
        <f aca="false">((IF(OR((D$18-(Assumptions!$C$7-1)-$C$9)&lt;1,(D$18-(Assumptions!$C$7-1)-$C$9)&gt;36),0,INDEX(Schedules!$C$6:$AL$6,(D$18-(Assumptions!$C$7-1)-$C$9)))*$C$7)*D44)</f>
        <v>0</v>
      </c>
      <c r="E69" s="14" t="n">
        <f aca="false">((IF(OR((E$18-(Assumptions!$C$7-1)-$C$9)&lt;1,(E$18-(Assumptions!$C$7-1)-$C$9)&gt;36),0,INDEX(Schedules!$C$6:$AL$6,(E$18-(Assumptions!$C$7-1)-$C$9)))*$C$7)*E44)</f>
        <v>0</v>
      </c>
      <c r="F69" s="14" t="n">
        <f aca="false">((IF(OR((F$18-(Assumptions!$C$7-1)-$C$9)&lt;1,(F$18-(Assumptions!$C$7-1)-$C$9)&gt;36),0,INDEX(Schedules!$C$6:$AL$6,(F$18-(Assumptions!$C$7-1)-$C$9)))*$C$7)*F44)</f>
        <v>0</v>
      </c>
      <c r="G69" s="14" t="n">
        <f aca="false">((IF(OR((G$18-(Assumptions!$C$7-1)-$C$9)&lt;1,(G$18-(Assumptions!$C$7-1)-$C$9)&gt;36),0,INDEX(Schedules!$C$6:$AL$6,(G$18-(Assumptions!$C$7-1)-$C$9)))*$C$7)*G44)</f>
        <v>0</v>
      </c>
      <c r="H69" s="14" t="n">
        <f aca="false">((IF(OR((H$18-(Assumptions!$C$7-1)-$C$9)&lt;1,(H$18-(Assumptions!$C$7-1)-$C$9)&gt;36),0,INDEX(Schedules!$C$6:$AL$6,(H$18-(Assumptions!$C$7-1)-$C$9)))*$C$7)*H44)</f>
        <v>0</v>
      </c>
      <c r="I69" s="14" t="n">
        <f aca="false">((IF(OR((I$18-(Assumptions!$C$7-1)-$C$9)&lt;1,(I$18-(Assumptions!$C$7-1)-$C$9)&gt;36),0,INDEX(Schedules!$C$6:$AL$6,(I$18-(Assumptions!$C$7-1)-$C$9)))*$C$7)*I44)</f>
        <v>0</v>
      </c>
      <c r="J69" s="14" t="n">
        <f aca="false">((IF(OR((J$18-(Assumptions!$C$7-1)-$C$9)&lt;1,(J$18-(Assumptions!$C$7-1)-$C$9)&gt;36),0,INDEX(Schedules!$C$6:$AL$6,(J$18-(Assumptions!$C$7-1)-$C$9)))*$C$7)*J44)</f>
        <v>0</v>
      </c>
      <c r="K69" s="14" t="n">
        <f aca="false">((IF(OR((K$18-(Assumptions!$C$7-1)-$C$9)&lt;1,(K$18-(Assumptions!$C$7-1)-$C$9)&gt;36),0,INDEX(Schedules!$C$6:$AL$6,(K$18-(Assumptions!$C$7-1)-$C$9)))*$C$7)*K44)</f>
        <v>0</v>
      </c>
      <c r="L69" s="14" t="n">
        <f aca="false">((IF(OR((L$18-(Assumptions!$C$7-1)-$C$9)&lt;1,(L$18-(Assumptions!$C$7-1)-$C$9)&gt;36),0,INDEX(Schedules!$C$6:$AL$6,(L$18-(Assumptions!$C$7-1)-$C$9)))*$C$7)*L44)</f>
        <v>0</v>
      </c>
      <c r="M69" s="14" t="n">
        <f aca="false">((IF(OR((M$18-(Assumptions!$C$7-1)-$C$9)&lt;1,(M$18-(Assumptions!$C$7-1)-$C$9)&gt;36),0,INDEX(Schedules!$C$6:$AL$6,(M$18-(Assumptions!$C$7-1)-$C$9)))*$C$7)*M44)</f>
        <v>0</v>
      </c>
      <c r="N69" s="14" t="n">
        <f aca="false">((IF(OR((N$18-(Assumptions!$C$7-1)-$C$9)&lt;1,(N$18-(Assumptions!$C$7-1)-$C$9)&gt;36),0,INDEX(Schedules!$C$6:$AL$6,(N$18-(Assumptions!$C$7-1)-$C$9)))*$C$7)*N44)</f>
        <v>0</v>
      </c>
      <c r="O69" s="14" t="n">
        <f aca="false">((IF(OR((O$18-(Assumptions!$C$7-1)-$C$9)&lt;1,(O$18-(Assumptions!$C$7-1)-$C$9)&gt;36),0,INDEX(Schedules!$C$6:$AL$6,(O$18-(Assumptions!$C$7-1)-$C$9)))*$C$7)*O44)</f>
        <v>0</v>
      </c>
      <c r="P69" s="14" t="n">
        <f aca="false">((IF(OR((P$18-(Assumptions!$C$7-1)-$C$9)&lt;1,(P$18-(Assumptions!$C$7-1)-$C$9)&gt;36),0,INDEX(Schedules!$C$6:$AL$6,(P$18-(Assumptions!$C$7-1)-$C$9)))*$C$7)*P44)</f>
        <v>0</v>
      </c>
      <c r="Q69" s="14" t="n">
        <f aca="false">((IF(OR((Q$18-(Assumptions!$C$7-1)-$C$9)&lt;1,(Q$18-(Assumptions!$C$7-1)-$C$9)&gt;36),0,INDEX(Schedules!$C$6:$AL$6,(Q$18-(Assumptions!$C$7-1)-$C$9)))*$C$7)*Q44)</f>
        <v>0</v>
      </c>
      <c r="R69" s="14" t="n">
        <f aca="false">((IF(OR((R$18-(Assumptions!$C$7-1)-$C$9)&lt;1,(R$18-(Assumptions!$C$7-1)-$C$9)&gt;36),0,INDEX(Schedules!$C$6:$AL$6,(R$18-(Assumptions!$C$7-1)-$C$9)))*$C$7)*R44)</f>
        <v>1</v>
      </c>
      <c r="S69" s="14" t="n">
        <f aca="false">((IF(OR((S$18-(Assumptions!$C$7-1)-$C$9)&lt;1,(S$18-(Assumptions!$C$7-1)-$C$9)&gt;36),0,INDEX(Schedules!$C$6:$AL$6,(S$18-(Assumptions!$C$7-1)-$C$9)))*$C$7)*S44)</f>
        <v>0</v>
      </c>
      <c r="T69" s="14" t="n">
        <f aca="false">((IF(OR((T$18-(Assumptions!$C$7-1)-$C$9)&lt;1,(T$18-(Assumptions!$C$7-1)-$C$9)&gt;36),0,INDEX(Schedules!$C$6:$AL$6,(T$18-(Assumptions!$C$7-1)-$C$9)))*$C$7)*T44)</f>
        <v>0</v>
      </c>
      <c r="U69" s="14" t="n">
        <f aca="false">((IF(OR((U$18-(Assumptions!$C$7-1)-$C$9)&lt;1,(U$18-(Assumptions!$C$7-1)-$C$9)&gt;36),0,INDEX(Schedules!$C$6:$AL$6,(U$18-(Assumptions!$C$7-1)-$C$9)))*$C$7)*U44)</f>
        <v>1</v>
      </c>
      <c r="V69" s="14" t="n">
        <f aca="false">((IF(OR((V$18-(Assumptions!$C$7-1)-$C$9)&lt;1,(V$18-(Assumptions!$C$7-1)-$C$9)&gt;36),0,INDEX(Schedules!$C$6:$AL$6,(V$18-(Assumptions!$C$7-1)-$C$9)))*$C$7)*V44)</f>
        <v>0</v>
      </c>
      <c r="W69" s="14" t="n">
        <f aca="false">((IF(OR((W$18-(Assumptions!$C$7-1)-$C$9)&lt;1,(W$18-(Assumptions!$C$7-1)-$C$9)&gt;36),0,INDEX(Schedules!$C$6:$AL$6,(W$18-(Assumptions!$C$7-1)-$C$9)))*$C$7)*W44)</f>
        <v>0</v>
      </c>
      <c r="X69" s="14" t="n">
        <f aca="false">((IF(OR((X$18-(Assumptions!$C$7-1)-$C$9)&lt;1,(X$18-(Assumptions!$C$7-1)-$C$9)&gt;36),0,INDEX(Schedules!$C$6:$AL$6,(X$18-(Assumptions!$C$7-1)-$C$9)))*$C$7)*X44)</f>
        <v>1</v>
      </c>
      <c r="Y69" s="14" t="n">
        <f aca="false">((IF(OR((Y$18-(Assumptions!$C$7-1)-$C$9)&lt;1,(Y$18-(Assumptions!$C$7-1)-$C$9)&gt;36),0,INDEX(Schedules!$C$6:$AL$6,(Y$18-(Assumptions!$C$7-1)-$C$9)))*$C$7)*Y44)</f>
        <v>0</v>
      </c>
      <c r="Z69" s="14" t="n">
        <f aca="false">((IF(OR((Z$18-(Assumptions!$C$7-1)-$C$9)&lt;1,(Z$18-(Assumptions!$C$7-1)-$C$9)&gt;36),0,INDEX(Schedules!$C$6:$AL$6,(Z$18-(Assumptions!$C$7-1)-$C$9)))*$C$7)*Z44)</f>
        <v>0</v>
      </c>
      <c r="AA69" s="14" t="n">
        <f aca="false">((IF(OR((AA$18-(Assumptions!$C$7-1)-$C$9)&lt;1,(AA$18-(Assumptions!$C$7-1)-$C$9)&gt;36),0,INDEX(Schedules!$C$6:$AL$6,(AA$18-(Assumptions!$C$7-1)-$C$9)))*$C$7)*AA44)</f>
        <v>1</v>
      </c>
      <c r="AB69" s="14" t="n">
        <f aca="false">((IF(OR((AB$18-(Assumptions!$C$7-1)-$C$9)&lt;1,(AB$18-(Assumptions!$C$7-1)-$C$9)&gt;36),0,INDEX(Schedules!$C$6:$AL$6,(AB$18-(Assumptions!$C$7-1)-$C$9)))*$C$7)*AB44)</f>
        <v>0</v>
      </c>
      <c r="AC69" s="14" t="n">
        <f aca="false">((IF(OR((AC$18-(Assumptions!$C$7-1)-$C$9)&lt;1,(AC$18-(Assumptions!$C$7-1)-$C$9)&gt;36),0,INDEX(Schedules!$C$6:$AL$6,(AC$18-(Assumptions!$C$7-1)-$C$9)))*$C$7)*AC44)</f>
        <v>0</v>
      </c>
      <c r="AD69" s="14" t="n">
        <f aca="false">((IF(OR((AD$18-(Assumptions!$C$7-1)-$C$9)&lt;1,(AD$18-(Assumptions!$C$7-1)-$C$9)&gt;36),0,INDEX(Schedules!$C$6:$AL$6,(AD$18-(Assumptions!$C$7-1)-$C$9)))*$C$7)*AD44)</f>
        <v>2</v>
      </c>
      <c r="AE69" s="14" t="n">
        <f aca="false">((IF(OR((AE$18-(Assumptions!$C$7-1)-$C$9)&lt;1,(AE$18-(Assumptions!$C$7-1)-$C$9)&gt;36),0,INDEX(Schedules!$C$6:$AL$6,(AE$18-(Assumptions!$C$7-1)-$C$9)))*$C$7)*AE44)</f>
        <v>0</v>
      </c>
      <c r="AF69" s="14" t="n">
        <f aca="false">((IF(OR((AF$18-(Assumptions!$C$7-1)-$C$9)&lt;1,(AF$18-(Assumptions!$C$7-1)-$C$9)&gt;36),0,INDEX(Schedules!$C$6:$AL$6,(AF$18-(Assumptions!$C$7-1)-$C$9)))*$C$7)*AF44)</f>
        <v>0</v>
      </c>
      <c r="AG69" s="14" t="n">
        <f aca="false">((IF(OR((AG$18-(Assumptions!$C$7-1)-$C$9)&lt;1,(AG$18-(Assumptions!$C$7-1)-$C$9)&gt;36),0,INDEX(Schedules!$C$6:$AL$6,(AG$18-(Assumptions!$C$7-1)-$C$9)))*$C$7)*AG44)</f>
        <v>2</v>
      </c>
      <c r="AH69" s="14" t="n">
        <f aca="false">((IF(OR((AH$18-(Assumptions!$C$7-1)-$C$9)&lt;1,(AH$18-(Assumptions!$C$7-1)-$C$9)&gt;36),0,INDEX(Schedules!$C$6:$AL$6,(AH$18-(Assumptions!$C$7-1)-$C$9)))*$C$7)*AH44)</f>
        <v>0</v>
      </c>
      <c r="AI69" s="14" t="n">
        <f aca="false">((IF(OR((AI$18-(Assumptions!$C$7-1)-$C$9)&lt;1,(AI$18-(Assumptions!$C$7-1)-$C$9)&gt;36),0,INDEX(Schedules!$C$6:$AL$6,(AI$18-(Assumptions!$C$7-1)-$C$9)))*$C$7)*AI44)</f>
        <v>0</v>
      </c>
      <c r="AJ69" s="14" t="n">
        <f aca="false">((IF(OR((AJ$18-(Assumptions!$C$7-1)-$C$9)&lt;1,(AJ$18-(Assumptions!$C$7-1)-$C$9)&gt;36),0,INDEX(Schedules!$C$6:$AL$6,(AJ$18-(Assumptions!$C$7-1)-$C$9)))*$C$7)*AJ44)</f>
        <v>2</v>
      </c>
      <c r="AK69" s="14" t="n">
        <f aca="false">((IF(OR((AK$18-(Assumptions!$C$7-1)-$C$9)&lt;1,(AK$18-(Assumptions!$C$7-1)-$C$9)&gt;36),0,INDEX(Schedules!$C$6:$AL$6,(AK$18-(Assumptions!$C$7-1)-$C$9)))*$C$7)*AK44)</f>
        <v>0</v>
      </c>
      <c r="AL69" s="14" t="n">
        <f aca="false">((IF(OR((AL$18-(Assumptions!$C$7-1)-$C$9)&lt;1,(AL$18-(Assumptions!$C$7-1)-$C$9)&gt;36),0,INDEX(Schedules!$C$6:$AL$6,(AL$18-(Assumptions!$C$7-1)-$C$9)))*$C$7)*AL44)</f>
        <v>0</v>
      </c>
      <c r="AN69" s="36" t="n">
        <f aca="false">SUM(C69:N69)</f>
        <v>0</v>
      </c>
      <c r="AO69" s="36" t="n">
        <f aca="false">SUM(O69:Z69)</f>
        <v>3</v>
      </c>
      <c r="AP69" s="36" t="n">
        <f aca="false">SUM(AA69:AL69)</f>
        <v>7</v>
      </c>
    </row>
    <row r="70" customFormat="false" ht="15" hidden="false" customHeight="false" outlineLevel="0" collapsed="false">
      <c r="A70" s="0" t="s">
        <v>876</v>
      </c>
      <c r="B70" s="0" t="s">
        <v>852</v>
      </c>
      <c r="C70" s="14" t="n">
        <f aca="false">INDEX(Schedules!$C$12:$AL$12,C$18)</f>
        <v>0</v>
      </c>
      <c r="D70" s="14" t="n">
        <f aca="false">INDEX(Schedules!$C$12:$AL$12,D$18)</f>
        <v>0</v>
      </c>
      <c r="E70" s="14" t="n">
        <f aca="false">INDEX(Schedules!$C$12:$AL$12,E$18)</f>
        <v>0</v>
      </c>
      <c r="F70" s="14" t="n">
        <f aca="false">INDEX(Schedules!$C$12:$AL$12,F$18)</f>
        <v>0</v>
      </c>
      <c r="G70" s="14" t="n">
        <f aca="false">INDEX(Schedules!$C$12:$AL$12,G$18)</f>
        <v>0</v>
      </c>
      <c r="H70" s="14" t="n">
        <f aca="false">INDEX(Schedules!$C$12:$AL$12,H$18)</f>
        <v>0</v>
      </c>
      <c r="I70" s="14" t="n">
        <f aca="false">INDEX(Schedules!$C$12:$AL$12,I$18)</f>
        <v>0</v>
      </c>
      <c r="J70" s="14" t="n">
        <f aca="false">INDEX(Schedules!$C$12:$AL$12,J$18)</f>
        <v>1</v>
      </c>
      <c r="K70" s="14" t="n">
        <f aca="false">INDEX(Schedules!$C$12:$AL$12,K$18)</f>
        <v>0</v>
      </c>
      <c r="L70" s="14" t="n">
        <f aca="false">INDEX(Schedules!$C$12:$AL$12,L$18)</f>
        <v>0</v>
      </c>
      <c r="M70" s="14" t="n">
        <f aca="false">INDEX(Schedules!$C$12:$AL$12,M$18)</f>
        <v>0</v>
      </c>
      <c r="N70" s="14" t="n">
        <f aca="false">INDEX(Schedules!$C$12:$AL$12,N$18)</f>
        <v>0</v>
      </c>
      <c r="O70" s="14" t="n">
        <f aca="false">INDEX(Schedules!$C$12:$AL$12,O$18)</f>
        <v>0</v>
      </c>
      <c r="P70" s="14" t="n">
        <f aca="false">INDEX(Schedules!$C$12:$AL$12,P$18)</f>
        <v>0</v>
      </c>
      <c r="Q70" s="14" t="n">
        <f aca="false">INDEX(Schedules!$C$12:$AL$12,Q$18)</f>
        <v>0</v>
      </c>
      <c r="R70" s="14" t="n">
        <f aca="false">INDEX(Schedules!$C$12:$AL$12,R$18)</f>
        <v>0</v>
      </c>
      <c r="S70" s="14" t="n">
        <f aca="false">INDEX(Schedules!$C$12:$AL$12,S$18)</f>
        <v>0</v>
      </c>
      <c r="T70" s="14" t="n">
        <f aca="false">INDEX(Schedules!$C$12:$AL$12,T$18)</f>
        <v>0</v>
      </c>
      <c r="U70" s="14" t="n">
        <f aca="false">INDEX(Schedules!$C$12:$AL$12,U$18)</f>
        <v>0</v>
      </c>
      <c r="V70" s="14" t="n">
        <f aca="false">INDEX(Schedules!$C$12:$AL$12,V$18)</f>
        <v>0</v>
      </c>
      <c r="W70" s="14" t="n">
        <f aca="false">INDEX(Schedules!$C$12:$AL$12,W$18)</f>
        <v>0</v>
      </c>
      <c r="X70" s="14" t="n">
        <f aca="false">INDEX(Schedules!$C$12:$AL$12,X$18)</f>
        <v>0</v>
      </c>
      <c r="Y70" s="14" t="n">
        <f aca="false">INDEX(Schedules!$C$12:$AL$12,Y$18)</f>
        <v>0</v>
      </c>
      <c r="Z70" s="14" t="n">
        <f aca="false">INDEX(Schedules!$C$12:$AL$12,Z$18)</f>
        <v>0</v>
      </c>
      <c r="AA70" s="14" t="n">
        <f aca="false">INDEX(Schedules!$C$12:$AL$12,AA$18)</f>
        <v>0</v>
      </c>
      <c r="AB70" s="14" t="n">
        <f aca="false">INDEX(Schedules!$C$12:$AL$12,AB$18)</f>
        <v>0</v>
      </c>
      <c r="AC70" s="14" t="n">
        <f aca="false">INDEX(Schedules!$C$12:$AL$12,AC$18)</f>
        <v>0</v>
      </c>
      <c r="AD70" s="14" t="n">
        <f aca="false">INDEX(Schedules!$C$12:$AL$12,AD$18)</f>
        <v>0</v>
      </c>
      <c r="AE70" s="14" t="n">
        <f aca="false">INDEX(Schedules!$C$12:$AL$12,AE$18)</f>
        <v>0</v>
      </c>
      <c r="AF70" s="14" t="n">
        <f aca="false">INDEX(Schedules!$C$12:$AL$12,AF$18)</f>
        <v>0</v>
      </c>
      <c r="AG70" s="14" t="n">
        <f aca="false">INDEX(Schedules!$C$12:$AL$12,AG$18)</f>
        <v>0</v>
      </c>
      <c r="AH70" s="14" t="n">
        <f aca="false">INDEX(Schedules!$C$12:$AL$12,AH$18)</f>
        <v>0</v>
      </c>
      <c r="AI70" s="14" t="n">
        <f aca="false">INDEX(Schedules!$C$12:$AL$12,AI$18)</f>
        <v>0</v>
      </c>
      <c r="AJ70" s="14" t="n">
        <f aca="false">INDEX(Schedules!$C$12:$AL$12,AJ$18)</f>
        <v>0</v>
      </c>
      <c r="AK70" s="14" t="n">
        <f aca="false">INDEX(Schedules!$C$12:$AL$12,AK$18)</f>
        <v>0</v>
      </c>
      <c r="AL70" s="14" t="n">
        <f aca="false">INDEX(Schedules!$C$12:$AL$12,AL$18)</f>
        <v>0</v>
      </c>
      <c r="AN70" s="36" t="n">
        <f aca="false">SUM(C70:N70)</f>
        <v>1</v>
      </c>
      <c r="AO70" s="36" t="n">
        <f aca="false">SUM(O70:Z70)</f>
        <v>0</v>
      </c>
      <c r="AP70" s="36" t="n">
        <f aca="false">SUM(AA70:AL70)</f>
        <v>0</v>
      </c>
    </row>
    <row r="71" customFormat="false" ht="15" hidden="false" customHeight="false" outlineLevel="0" collapsed="false">
      <c r="A71" s="0" t="s">
        <v>877</v>
      </c>
      <c r="B71" s="0" t="s">
        <v>852</v>
      </c>
      <c r="C71" s="14" t="n">
        <f aca="false">(C69+C70)</f>
        <v>0</v>
      </c>
      <c r="D71" s="14" t="n">
        <f aca="false">(D69+D70)</f>
        <v>0</v>
      </c>
      <c r="E71" s="14" t="n">
        <f aca="false">(E69+E70)</f>
        <v>0</v>
      </c>
      <c r="F71" s="14" t="n">
        <f aca="false">(F69+F70)</f>
        <v>0</v>
      </c>
      <c r="G71" s="14" t="n">
        <f aca="false">(G69+G70)</f>
        <v>0</v>
      </c>
      <c r="H71" s="14" t="n">
        <f aca="false">(H69+H70)</f>
        <v>0</v>
      </c>
      <c r="I71" s="14" t="n">
        <f aca="false">(I69+I70)</f>
        <v>0</v>
      </c>
      <c r="J71" s="14" t="n">
        <f aca="false">(J69+J70)</f>
        <v>1</v>
      </c>
      <c r="K71" s="14" t="n">
        <f aca="false">(K69+K70)</f>
        <v>0</v>
      </c>
      <c r="L71" s="14" t="n">
        <f aca="false">(L69+L70)</f>
        <v>0</v>
      </c>
      <c r="M71" s="14" t="n">
        <f aca="false">(M69+M70)</f>
        <v>0</v>
      </c>
      <c r="N71" s="14" t="n">
        <f aca="false">(N69+N70)</f>
        <v>0</v>
      </c>
      <c r="O71" s="14" t="n">
        <f aca="false">(O69+O70)</f>
        <v>0</v>
      </c>
      <c r="P71" s="14" t="n">
        <f aca="false">(P69+P70)</f>
        <v>0</v>
      </c>
      <c r="Q71" s="14" t="n">
        <f aca="false">(Q69+Q70)</f>
        <v>0</v>
      </c>
      <c r="R71" s="14" t="n">
        <f aca="false">(R69+R70)</f>
        <v>1</v>
      </c>
      <c r="S71" s="14" t="n">
        <f aca="false">(S69+S70)</f>
        <v>0</v>
      </c>
      <c r="T71" s="14" t="n">
        <f aca="false">(T69+T70)</f>
        <v>0</v>
      </c>
      <c r="U71" s="14" t="n">
        <f aca="false">(U69+U70)</f>
        <v>1</v>
      </c>
      <c r="V71" s="14" t="n">
        <f aca="false">(V69+V70)</f>
        <v>0</v>
      </c>
      <c r="W71" s="14" t="n">
        <f aca="false">(W69+W70)</f>
        <v>0</v>
      </c>
      <c r="X71" s="14" t="n">
        <f aca="false">(X69+X70)</f>
        <v>1</v>
      </c>
      <c r="Y71" s="14" t="n">
        <f aca="false">(Y69+Y70)</f>
        <v>0</v>
      </c>
      <c r="Z71" s="14" t="n">
        <f aca="false">(Z69+Z70)</f>
        <v>0</v>
      </c>
      <c r="AA71" s="14" t="n">
        <f aca="false">(AA69+AA70)</f>
        <v>1</v>
      </c>
      <c r="AB71" s="14" t="n">
        <f aca="false">(AB69+AB70)</f>
        <v>0</v>
      </c>
      <c r="AC71" s="14" t="n">
        <f aca="false">(AC69+AC70)</f>
        <v>0</v>
      </c>
      <c r="AD71" s="14" t="n">
        <f aca="false">(AD69+AD70)</f>
        <v>2</v>
      </c>
      <c r="AE71" s="14" t="n">
        <f aca="false">(AE69+AE70)</f>
        <v>0</v>
      </c>
      <c r="AF71" s="14" t="n">
        <f aca="false">(AF69+AF70)</f>
        <v>0</v>
      </c>
      <c r="AG71" s="14" t="n">
        <f aca="false">(AG69+AG70)</f>
        <v>2</v>
      </c>
      <c r="AH71" s="14" t="n">
        <f aca="false">(AH69+AH70)</f>
        <v>0</v>
      </c>
      <c r="AI71" s="14" t="n">
        <f aca="false">(AI69+AI70)</f>
        <v>0</v>
      </c>
      <c r="AJ71" s="14" t="n">
        <f aca="false">(AJ69+AJ70)</f>
        <v>2</v>
      </c>
      <c r="AK71" s="14" t="n">
        <f aca="false">(AK69+AK70)</f>
        <v>0</v>
      </c>
      <c r="AL71" s="14" t="n">
        <f aca="false">(AL69+AL70)</f>
        <v>0</v>
      </c>
      <c r="AN71" s="36" t="n">
        <f aca="false">SUM(C71:N71)</f>
        <v>1</v>
      </c>
      <c r="AO71" s="36" t="n">
        <f aca="false">SUM(O71:Z71)</f>
        <v>3</v>
      </c>
      <c r="AP71" s="36" t="n">
        <f aca="false">SUM(AA71:AL71)</f>
        <v>7</v>
      </c>
    </row>
    <row r="72" customFormat="false" ht="15" hidden="false" customHeight="false" outlineLevel="0" collapsed="false">
      <c r="A72" s="0" t="s">
        <v>878</v>
      </c>
      <c r="B72" s="0" t="s">
        <v>852</v>
      </c>
      <c r="C72" s="14" t="n">
        <f aca="false">((IF(OR((C$18-(Assumptions!$C$8-1)-$C$9)&lt;1,(C$18-(Assumptions!$C$8-1)-$C$9)&gt;36),0,INDEX(Schedules!$C$9:$AL$9,(C$18-(Assumptions!$C$8-1)-$C$9)))*$C$7)*C44)</f>
        <v>0</v>
      </c>
      <c r="D72" s="14" t="n">
        <f aca="false">((IF(OR((D$18-(Assumptions!$C$8-1)-$C$9)&lt;1,(D$18-(Assumptions!$C$8-1)-$C$9)&gt;36),0,INDEX(Schedules!$C$9:$AL$9,(D$18-(Assumptions!$C$8-1)-$C$9)))*$C$7)*D44)</f>
        <v>0</v>
      </c>
      <c r="E72" s="14" t="n">
        <f aca="false">((IF(OR((E$18-(Assumptions!$C$8-1)-$C$9)&lt;1,(E$18-(Assumptions!$C$8-1)-$C$9)&gt;36),0,INDEX(Schedules!$C$9:$AL$9,(E$18-(Assumptions!$C$8-1)-$C$9)))*$C$7)*E44)</f>
        <v>0</v>
      </c>
      <c r="F72" s="14" t="n">
        <f aca="false">((IF(OR((F$18-(Assumptions!$C$8-1)-$C$9)&lt;1,(F$18-(Assumptions!$C$8-1)-$C$9)&gt;36),0,INDEX(Schedules!$C$9:$AL$9,(F$18-(Assumptions!$C$8-1)-$C$9)))*$C$7)*F44)</f>
        <v>0</v>
      </c>
      <c r="G72" s="14" t="n">
        <f aca="false">((IF(OR((G$18-(Assumptions!$C$8-1)-$C$9)&lt;1,(G$18-(Assumptions!$C$8-1)-$C$9)&gt;36),0,INDEX(Schedules!$C$9:$AL$9,(G$18-(Assumptions!$C$8-1)-$C$9)))*$C$7)*G44)</f>
        <v>0</v>
      </c>
      <c r="H72" s="14" t="n">
        <f aca="false">((IF(OR((H$18-(Assumptions!$C$8-1)-$C$9)&lt;1,(H$18-(Assumptions!$C$8-1)-$C$9)&gt;36),0,INDEX(Schedules!$C$9:$AL$9,(H$18-(Assumptions!$C$8-1)-$C$9)))*$C$7)*H44)</f>
        <v>0</v>
      </c>
      <c r="I72" s="14" t="n">
        <f aca="false">((IF(OR((I$18-(Assumptions!$C$8-1)-$C$9)&lt;1,(I$18-(Assumptions!$C$8-1)-$C$9)&gt;36),0,INDEX(Schedules!$C$9:$AL$9,(I$18-(Assumptions!$C$8-1)-$C$9)))*$C$7)*I44)</f>
        <v>0</v>
      </c>
      <c r="J72" s="14" t="n">
        <f aca="false">((IF(OR((J$18-(Assumptions!$C$8-1)-$C$9)&lt;1,(J$18-(Assumptions!$C$8-1)-$C$9)&gt;36),0,INDEX(Schedules!$C$9:$AL$9,(J$18-(Assumptions!$C$8-1)-$C$9)))*$C$7)*J44)</f>
        <v>0</v>
      </c>
      <c r="K72" s="14" t="n">
        <f aca="false">((IF(OR((K$18-(Assumptions!$C$8-1)-$C$9)&lt;1,(K$18-(Assumptions!$C$8-1)-$C$9)&gt;36),0,INDEX(Schedules!$C$9:$AL$9,(K$18-(Assumptions!$C$8-1)-$C$9)))*$C$7)*K44)</f>
        <v>0</v>
      </c>
      <c r="L72" s="14" t="n">
        <f aca="false">((IF(OR((L$18-(Assumptions!$C$8-1)-$C$9)&lt;1,(L$18-(Assumptions!$C$8-1)-$C$9)&gt;36),0,INDEX(Schedules!$C$9:$AL$9,(L$18-(Assumptions!$C$8-1)-$C$9)))*$C$7)*L44)</f>
        <v>0</v>
      </c>
      <c r="M72" s="14" t="n">
        <f aca="false">((IF(OR((M$18-(Assumptions!$C$8-1)-$C$9)&lt;1,(M$18-(Assumptions!$C$8-1)-$C$9)&gt;36),0,INDEX(Schedules!$C$9:$AL$9,(M$18-(Assumptions!$C$8-1)-$C$9)))*$C$7)*M44)</f>
        <v>0</v>
      </c>
      <c r="N72" s="14" t="n">
        <f aca="false">((IF(OR((N$18-(Assumptions!$C$8-1)-$C$9)&lt;1,(N$18-(Assumptions!$C$8-1)-$C$9)&gt;36),0,INDEX(Schedules!$C$9:$AL$9,(N$18-(Assumptions!$C$8-1)-$C$9)))*$C$7)*N44)</f>
        <v>0</v>
      </c>
      <c r="O72" s="14" t="n">
        <f aca="false">((IF(OR((O$18-(Assumptions!$C$8-1)-$C$9)&lt;1,(O$18-(Assumptions!$C$8-1)-$C$9)&gt;36),0,INDEX(Schedules!$C$9:$AL$9,(O$18-(Assumptions!$C$8-1)-$C$9)))*$C$7)*O44)</f>
        <v>0</v>
      </c>
      <c r="P72" s="14" t="n">
        <f aca="false">((IF(OR((P$18-(Assumptions!$C$8-1)-$C$9)&lt;1,(P$18-(Assumptions!$C$8-1)-$C$9)&gt;36),0,INDEX(Schedules!$C$9:$AL$9,(P$18-(Assumptions!$C$8-1)-$C$9)))*$C$7)*P44)</f>
        <v>0</v>
      </c>
      <c r="Q72" s="14" t="n">
        <f aca="false">((IF(OR((Q$18-(Assumptions!$C$8-1)-$C$9)&lt;1,(Q$18-(Assumptions!$C$8-1)-$C$9)&gt;36),0,INDEX(Schedules!$C$9:$AL$9,(Q$18-(Assumptions!$C$8-1)-$C$9)))*$C$7)*Q44)</f>
        <v>0</v>
      </c>
      <c r="R72" s="14" t="n">
        <f aca="false">((IF(OR((R$18-(Assumptions!$C$8-1)-$C$9)&lt;1,(R$18-(Assumptions!$C$8-1)-$C$9)&gt;36),0,INDEX(Schedules!$C$9:$AL$9,(R$18-(Assumptions!$C$8-1)-$C$9)))*$C$7)*R44)</f>
        <v>0</v>
      </c>
      <c r="S72" s="14" t="n">
        <f aca="false">((IF(OR((S$18-(Assumptions!$C$8-1)-$C$9)&lt;1,(S$18-(Assumptions!$C$8-1)-$C$9)&gt;36),0,INDEX(Schedules!$C$9:$AL$9,(S$18-(Assumptions!$C$8-1)-$C$9)))*$C$7)*S44)</f>
        <v>0</v>
      </c>
      <c r="T72" s="14" t="n">
        <f aca="false">((IF(OR((T$18-(Assumptions!$C$8-1)-$C$9)&lt;1,(T$18-(Assumptions!$C$8-1)-$C$9)&gt;36),0,INDEX(Schedules!$C$9:$AL$9,(T$18-(Assumptions!$C$8-1)-$C$9)))*$C$7)*T44)</f>
        <v>0</v>
      </c>
      <c r="U72" s="14" t="n">
        <f aca="false">((IF(OR((U$18-(Assumptions!$C$8-1)-$C$9)&lt;1,(U$18-(Assumptions!$C$8-1)-$C$9)&gt;36),0,INDEX(Schedules!$C$9:$AL$9,(U$18-(Assumptions!$C$8-1)-$C$9)))*$C$7)*U44)</f>
        <v>0</v>
      </c>
      <c r="V72" s="14" t="n">
        <f aca="false">((IF(OR((V$18-(Assumptions!$C$8-1)-$C$9)&lt;1,(V$18-(Assumptions!$C$8-1)-$C$9)&gt;36),0,INDEX(Schedules!$C$9:$AL$9,(V$18-(Assumptions!$C$8-1)-$C$9)))*$C$7)*V44)</f>
        <v>0</v>
      </c>
      <c r="W72" s="14" t="n">
        <f aca="false">((IF(OR((W$18-(Assumptions!$C$8-1)-$C$9)&lt;1,(W$18-(Assumptions!$C$8-1)-$C$9)&gt;36),0,INDEX(Schedules!$C$9:$AL$9,(W$18-(Assumptions!$C$8-1)-$C$9)))*$C$7)*W44)</f>
        <v>0</v>
      </c>
      <c r="X72" s="14" t="n">
        <f aca="false">((IF(OR((X$18-(Assumptions!$C$8-1)-$C$9)&lt;1,(X$18-(Assumptions!$C$8-1)-$C$9)&gt;36),0,INDEX(Schedules!$C$9:$AL$9,(X$18-(Assumptions!$C$8-1)-$C$9)))*$C$7)*X44)</f>
        <v>0</v>
      </c>
      <c r="Y72" s="14" t="n">
        <f aca="false">((IF(OR((Y$18-(Assumptions!$C$8-1)-$C$9)&lt;1,(Y$18-(Assumptions!$C$8-1)-$C$9)&gt;36),0,INDEX(Schedules!$C$9:$AL$9,(Y$18-(Assumptions!$C$8-1)-$C$9)))*$C$7)*Y44)</f>
        <v>0</v>
      </c>
      <c r="Z72" s="14" t="n">
        <f aca="false">((IF(OR((Z$18-(Assumptions!$C$8-1)-$C$9)&lt;1,(Z$18-(Assumptions!$C$8-1)-$C$9)&gt;36),0,INDEX(Schedules!$C$9:$AL$9,(Z$18-(Assumptions!$C$8-1)-$C$9)))*$C$7)*Z44)</f>
        <v>0</v>
      </c>
      <c r="AA72" s="14" t="n">
        <f aca="false">((IF(OR((AA$18-(Assumptions!$C$8-1)-$C$9)&lt;1,(AA$18-(Assumptions!$C$8-1)-$C$9)&gt;36),0,INDEX(Schedules!$C$9:$AL$9,(AA$18-(Assumptions!$C$8-1)-$C$9)))*$C$7)*AA44)</f>
        <v>0</v>
      </c>
      <c r="AB72" s="14" t="n">
        <f aca="false">((IF(OR((AB$18-(Assumptions!$C$8-1)-$C$9)&lt;1,(AB$18-(Assumptions!$C$8-1)-$C$9)&gt;36),0,INDEX(Schedules!$C$9:$AL$9,(AB$18-(Assumptions!$C$8-1)-$C$9)))*$C$7)*AB44)</f>
        <v>1</v>
      </c>
      <c r="AC72" s="14" t="n">
        <f aca="false">((IF(OR((AC$18-(Assumptions!$C$8-1)-$C$9)&lt;1,(AC$18-(Assumptions!$C$8-1)-$C$9)&gt;36),0,INDEX(Schedules!$C$9:$AL$9,(AC$18-(Assumptions!$C$8-1)-$C$9)))*$C$7)*AC44)</f>
        <v>0</v>
      </c>
      <c r="AD72" s="14" t="n">
        <f aca="false">((IF(OR((AD$18-(Assumptions!$C$8-1)-$C$9)&lt;1,(AD$18-(Assumptions!$C$8-1)-$C$9)&gt;36),0,INDEX(Schedules!$C$9:$AL$9,(AD$18-(Assumptions!$C$8-1)-$C$9)))*$C$7)*AD44)</f>
        <v>0</v>
      </c>
      <c r="AE72" s="14" t="n">
        <f aca="false">((IF(OR((AE$18-(Assumptions!$C$8-1)-$C$9)&lt;1,(AE$18-(Assumptions!$C$8-1)-$C$9)&gt;36),0,INDEX(Schedules!$C$9:$AL$9,(AE$18-(Assumptions!$C$8-1)-$C$9)))*$C$7)*AE44)</f>
        <v>1</v>
      </c>
      <c r="AF72" s="14" t="n">
        <f aca="false">((IF(OR((AF$18-(Assumptions!$C$8-1)-$C$9)&lt;1,(AF$18-(Assumptions!$C$8-1)-$C$9)&gt;36),0,INDEX(Schedules!$C$9:$AL$9,(AF$18-(Assumptions!$C$8-1)-$C$9)))*$C$7)*AF44)</f>
        <v>0</v>
      </c>
      <c r="AG72" s="14" t="n">
        <f aca="false">((IF(OR((AG$18-(Assumptions!$C$8-1)-$C$9)&lt;1,(AG$18-(Assumptions!$C$8-1)-$C$9)&gt;36),0,INDEX(Schedules!$C$9:$AL$9,(AG$18-(Assumptions!$C$8-1)-$C$9)))*$C$7)*AG44)</f>
        <v>0</v>
      </c>
      <c r="AH72" s="14" t="n">
        <f aca="false">((IF(OR((AH$18-(Assumptions!$C$8-1)-$C$9)&lt;1,(AH$18-(Assumptions!$C$8-1)-$C$9)&gt;36),0,INDEX(Schedules!$C$9:$AL$9,(AH$18-(Assumptions!$C$8-1)-$C$9)))*$C$7)*AH44)</f>
        <v>1</v>
      </c>
      <c r="AI72" s="14" t="n">
        <f aca="false">((IF(OR((AI$18-(Assumptions!$C$8-1)-$C$9)&lt;1,(AI$18-(Assumptions!$C$8-1)-$C$9)&gt;36),0,INDEX(Schedules!$C$9:$AL$9,(AI$18-(Assumptions!$C$8-1)-$C$9)))*$C$7)*AI44)</f>
        <v>0</v>
      </c>
      <c r="AJ72" s="14" t="n">
        <f aca="false">((IF(OR((AJ$18-(Assumptions!$C$8-1)-$C$9)&lt;1,(AJ$18-(Assumptions!$C$8-1)-$C$9)&gt;36),0,INDEX(Schedules!$C$9:$AL$9,(AJ$18-(Assumptions!$C$8-1)-$C$9)))*$C$7)*AJ44)</f>
        <v>0</v>
      </c>
      <c r="AK72" s="14" t="n">
        <f aca="false">((IF(OR((AK$18-(Assumptions!$C$8-1)-$C$9)&lt;1,(AK$18-(Assumptions!$C$8-1)-$C$9)&gt;36),0,INDEX(Schedules!$C$9:$AL$9,(AK$18-(Assumptions!$C$8-1)-$C$9)))*$C$7)*AK44)</f>
        <v>2</v>
      </c>
      <c r="AL72" s="14" t="n">
        <f aca="false">((IF(OR((AL$18-(Assumptions!$C$8-1)-$C$9)&lt;1,(AL$18-(Assumptions!$C$8-1)-$C$9)&gt;36),0,INDEX(Schedules!$C$9:$AL$9,(AL$18-(Assumptions!$C$8-1)-$C$9)))*$C$7)*AL44)</f>
        <v>0</v>
      </c>
      <c r="AN72" s="36" t="n">
        <f aca="false">SUM(C72:N72)</f>
        <v>0</v>
      </c>
      <c r="AO72" s="36" t="n">
        <f aca="false">SUM(O72:Z72)</f>
        <v>0</v>
      </c>
      <c r="AP72" s="36" t="n">
        <f aca="false">SUM(AA72:AL72)</f>
        <v>5</v>
      </c>
    </row>
    <row r="73" customFormat="false" ht="15" hidden="false" customHeight="false" outlineLevel="0" collapsed="false">
      <c r="A73" s="0" t="s">
        <v>879</v>
      </c>
      <c r="B73" s="0" t="s">
        <v>852</v>
      </c>
      <c r="C73" s="14" t="n">
        <f aca="false">(C69+C72)</f>
        <v>0</v>
      </c>
      <c r="D73" s="14" t="n">
        <f aca="false">(D69+D72)</f>
        <v>0</v>
      </c>
      <c r="E73" s="14" t="n">
        <f aca="false">(E69+E72)</f>
        <v>0</v>
      </c>
      <c r="F73" s="14" t="n">
        <f aca="false">(F69+F72)</f>
        <v>0</v>
      </c>
      <c r="G73" s="14" t="n">
        <f aca="false">(G69+G72)</f>
        <v>0</v>
      </c>
      <c r="H73" s="14" t="n">
        <f aca="false">(H69+H72)</f>
        <v>0</v>
      </c>
      <c r="I73" s="14" t="n">
        <f aca="false">(I69+I72)</f>
        <v>0</v>
      </c>
      <c r="J73" s="14" t="n">
        <f aca="false">(J69+J72)</f>
        <v>0</v>
      </c>
      <c r="K73" s="14" t="n">
        <f aca="false">(K69+K72)</f>
        <v>0</v>
      </c>
      <c r="L73" s="14" t="n">
        <f aca="false">(L69+L72)</f>
        <v>0</v>
      </c>
      <c r="M73" s="14" t="n">
        <f aca="false">(M69+M72)</f>
        <v>0</v>
      </c>
      <c r="N73" s="14" t="n">
        <f aca="false">(N69+N72)</f>
        <v>0</v>
      </c>
      <c r="O73" s="14" t="n">
        <f aca="false">(O69+O72)</f>
        <v>0</v>
      </c>
      <c r="P73" s="14" t="n">
        <f aca="false">(P69+P72)</f>
        <v>0</v>
      </c>
      <c r="Q73" s="14" t="n">
        <f aca="false">(Q69+Q72)</f>
        <v>0</v>
      </c>
      <c r="R73" s="14" t="n">
        <f aca="false">(R69+R72)</f>
        <v>1</v>
      </c>
      <c r="S73" s="14" t="n">
        <f aca="false">(S69+S72)</f>
        <v>0</v>
      </c>
      <c r="T73" s="14" t="n">
        <f aca="false">(T69+T72)</f>
        <v>0</v>
      </c>
      <c r="U73" s="14" t="n">
        <f aca="false">(U69+U72)</f>
        <v>1</v>
      </c>
      <c r="V73" s="14" t="n">
        <f aca="false">(V69+V72)</f>
        <v>0</v>
      </c>
      <c r="W73" s="14" t="n">
        <f aca="false">(W69+W72)</f>
        <v>0</v>
      </c>
      <c r="X73" s="14" t="n">
        <f aca="false">(X69+X72)</f>
        <v>1</v>
      </c>
      <c r="Y73" s="14" t="n">
        <f aca="false">(Y69+Y72)</f>
        <v>0</v>
      </c>
      <c r="Z73" s="14" t="n">
        <f aca="false">(Z69+Z72)</f>
        <v>0</v>
      </c>
      <c r="AA73" s="14" t="n">
        <f aca="false">(AA69+AA72)</f>
        <v>1</v>
      </c>
      <c r="AB73" s="14" t="n">
        <f aca="false">(AB69+AB72)</f>
        <v>1</v>
      </c>
      <c r="AC73" s="14" t="n">
        <f aca="false">(AC69+AC72)</f>
        <v>0</v>
      </c>
      <c r="AD73" s="14" t="n">
        <f aca="false">(AD69+AD72)</f>
        <v>2</v>
      </c>
      <c r="AE73" s="14" t="n">
        <f aca="false">(AE69+AE72)</f>
        <v>1</v>
      </c>
      <c r="AF73" s="14" t="n">
        <f aca="false">(AF69+AF72)</f>
        <v>0</v>
      </c>
      <c r="AG73" s="14" t="n">
        <f aca="false">(AG69+AG72)</f>
        <v>2</v>
      </c>
      <c r="AH73" s="14" t="n">
        <f aca="false">(AH69+AH72)</f>
        <v>1</v>
      </c>
      <c r="AI73" s="14" t="n">
        <f aca="false">(AI69+AI72)</f>
        <v>0</v>
      </c>
      <c r="AJ73" s="14" t="n">
        <f aca="false">(AJ69+AJ72)</f>
        <v>2</v>
      </c>
      <c r="AK73" s="14" t="n">
        <f aca="false">(AK69+AK72)</f>
        <v>2</v>
      </c>
      <c r="AL73" s="14" t="n">
        <f aca="false">(AL69+AL72)</f>
        <v>0</v>
      </c>
      <c r="AN73" s="36" t="n">
        <f aca="false">SUM(C73:N73)</f>
        <v>0</v>
      </c>
      <c r="AO73" s="36" t="n">
        <f aca="false">SUM(O73:Z73)</f>
        <v>3</v>
      </c>
      <c r="AP73" s="36" t="n">
        <f aca="false">SUM(AA73:AL73)</f>
        <v>12</v>
      </c>
    </row>
    <row r="74" customFormat="false" ht="15" hidden="false" customHeight="false" outlineLevel="0" collapsed="false">
      <c r="A74" s="0" t="s">
        <v>880</v>
      </c>
      <c r="B74" s="0" t="s">
        <v>852</v>
      </c>
      <c r="C74" s="14" t="n">
        <f aca="false">C71</f>
        <v>0</v>
      </c>
      <c r="D74" s="14" t="n">
        <f aca="false">SUM(C71:D71)</f>
        <v>0</v>
      </c>
      <c r="E74" s="14" t="n">
        <f aca="false">SUM(C71:E71)</f>
        <v>0</v>
      </c>
      <c r="F74" s="14" t="n">
        <f aca="false">SUM(C71:F71)</f>
        <v>0</v>
      </c>
      <c r="G74" s="14" t="n">
        <f aca="false">SUM(C71:G71)</f>
        <v>0</v>
      </c>
      <c r="H74" s="14" t="n">
        <f aca="false">SUM(C71:H71)</f>
        <v>0</v>
      </c>
      <c r="I74" s="14" t="n">
        <f aca="false">SUM(D71:I71)</f>
        <v>0</v>
      </c>
      <c r="J74" s="14" t="n">
        <f aca="false">SUM(E71:J71)</f>
        <v>1</v>
      </c>
      <c r="K74" s="14" t="n">
        <f aca="false">SUM(F71:K71)</f>
        <v>1</v>
      </c>
      <c r="L74" s="14" t="n">
        <f aca="false">SUM(G71:L71)</f>
        <v>1</v>
      </c>
      <c r="M74" s="14" t="n">
        <f aca="false">SUM(H71:M71)</f>
        <v>1</v>
      </c>
      <c r="N74" s="14" t="n">
        <f aca="false">SUM(I71:N71)</f>
        <v>1</v>
      </c>
      <c r="O74" s="14" t="n">
        <f aca="false">SUM(J71:O71)</f>
        <v>1</v>
      </c>
      <c r="P74" s="14" t="n">
        <f aca="false">SUM(K71:P71)</f>
        <v>0</v>
      </c>
      <c r="Q74" s="14" t="n">
        <f aca="false">SUM(L71:Q71)</f>
        <v>0</v>
      </c>
      <c r="R74" s="14" t="n">
        <f aca="false">SUM(M71:R71)</f>
        <v>1</v>
      </c>
      <c r="S74" s="14" t="n">
        <f aca="false">SUM(N71:S71)</f>
        <v>1</v>
      </c>
      <c r="T74" s="14" t="n">
        <f aca="false">SUM(O71:T71)</f>
        <v>1</v>
      </c>
      <c r="U74" s="14" t="n">
        <f aca="false">SUM(P71:U71)</f>
        <v>2</v>
      </c>
      <c r="V74" s="14" t="n">
        <f aca="false">SUM(Q71:V71)</f>
        <v>2</v>
      </c>
      <c r="W74" s="14" t="n">
        <f aca="false">SUM(R71:W71)</f>
        <v>2</v>
      </c>
      <c r="X74" s="14" t="n">
        <f aca="false">SUM(S71:X71)</f>
        <v>2</v>
      </c>
      <c r="Y74" s="14" t="n">
        <f aca="false">SUM(T71:Y71)</f>
        <v>2</v>
      </c>
      <c r="Z74" s="14" t="n">
        <f aca="false">SUM(U71:Z71)</f>
        <v>2</v>
      </c>
      <c r="AA74" s="14" t="n">
        <f aca="false">SUM(V71:AA71)</f>
        <v>2</v>
      </c>
      <c r="AB74" s="14" t="n">
        <f aca="false">SUM(W71:AB71)</f>
        <v>2</v>
      </c>
      <c r="AC74" s="14" t="n">
        <f aca="false">SUM(X71:AC71)</f>
        <v>2</v>
      </c>
      <c r="AD74" s="14" t="n">
        <f aca="false">SUM(Y71:AD71)</f>
        <v>3</v>
      </c>
      <c r="AE74" s="14" t="n">
        <f aca="false">SUM(Z71:AE71)</f>
        <v>3</v>
      </c>
      <c r="AF74" s="14" t="n">
        <f aca="false">SUM(AA71:AF71)</f>
        <v>3</v>
      </c>
      <c r="AG74" s="14" t="n">
        <f aca="false">SUM(AB71:AG71)</f>
        <v>4</v>
      </c>
      <c r="AH74" s="14" t="n">
        <f aca="false">SUM(AC71:AH71)</f>
        <v>4</v>
      </c>
      <c r="AI74" s="14" t="n">
        <f aca="false">SUM(AD71:AI71)</f>
        <v>4</v>
      </c>
      <c r="AJ74" s="14" t="n">
        <f aca="false">SUM(AE71:AJ71)</f>
        <v>4</v>
      </c>
      <c r="AK74" s="14" t="n">
        <f aca="false">SUM(AF71:AK71)</f>
        <v>4</v>
      </c>
      <c r="AL74" s="14" t="n">
        <f aca="false">SUM(AG71:AL71)</f>
        <v>4</v>
      </c>
      <c r="AN74" s="36" t="n">
        <f aca="false">N74</f>
        <v>1</v>
      </c>
      <c r="AO74" s="36" t="n">
        <f aca="false">Z74</f>
        <v>2</v>
      </c>
      <c r="AP74" s="36" t="n">
        <f aca="false">AL74</f>
        <v>4</v>
      </c>
    </row>
    <row r="75" customFormat="false" ht="15" hidden="false" customHeight="false" outlineLevel="0" collapsed="false">
      <c r="A75" s="0" t="s">
        <v>881</v>
      </c>
      <c r="B75" s="0" t="s">
        <v>852</v>
      </c>
      <c r="C75" s="14" t="n">
        <f aca="false">C69</f>
        <v>0</v>
      </c>
      <c r="D75" s="14" t="n">
        <f aca="false">SUM(C69:D69)</f>
        <v>0</v>
      </c>
      <c r="E75" s="14" t="n">
        <f aca="false">SUM(C69:E69)</f>
        <v>0</v>
      </c>
      <c r="F75" s="14" t="n">
        <f aca="false">SUM(C69:F69)</f>
        <v>0</v>
      </c>
      <c r="G75" s="14" t="n">
        <f aca="false">SUM(C69:G69)</f>
        <v>0</v>
      </c>
      <c r="H75" s="14" t="n">
        <f aca="false">SUM(C69:H69)</f>
        <v>0</v>
      </c>
      <c r="I75" s="14" t="n">
        <f aca="false">SUM(D69:I69)</f>
        <v>0</v>
      </c>
      <c r="J75" s="14" t="n">
        <f aca="false">SUM(E69:J69)</f>
        <v>0</v>
      </c>
      <c r="K75" s="14" t="n">
        <f aca="false">SUM(F69:K69)</f>
        <v>0</v>
      </c>
      <c r="L75" s="14" t="n">
        <f aca="false">SUM(G69:L69)</f>
        <v>0</v>
      </c>
      <c r="M75" s="14" t="n">
        <f aca="false">SUM(H69:M69)</f>
        <v>0</v>
      </c>
      <c r="N75" s="14" t="n">
        <f aca="false">SUM(I69:N69)</f>
        <v>0</v>
      </c>
      <c r="O75" s="14" t="n">
        <f aca="false">SUM(J69:O69)</f>
        <v>0</v>
      </c>
      <c r="P75" s="14" t="n">
        <f aca="false">SUM(K69:P69)</f>
        <v>0</v>
      </c>
      <c r="Q75" s="14" t="n">
        <f aca="false">SUM(L69:Q69)</f>
        <v>0</v>
      </c>
      <c r="R75" s="14" t="n">
        <f aca="false">SUM(M69:R69)</f>
        <v>1</v>
      </c>
      <c r="S75" s="14" t="n">
        <f aca="false">SUM(N69:S69)</f>
        <v>1</v>
      </c>
      <c r="T75" s="14" t="n">
        <f aca="false">SUM(O69:T69)</f>
        <v>1</v>
      </c>
      <c r="U75" s="14" t="n">
        <f aca="false">SUM(P69:U69)</f>
        <v>2</v>
      </c>
      <c r="V75" s="14" t="n">
        <f aca="false">SUM(Q69:V69)</f>
        <v>2</v>
      </c>
      <c r="W75" s="14" t="n">
        <f aca="false">SUM(R69:W69)</f>
        <v>2</v>
      </c>
      <c r="X75" s="14" t="n">
        <f aca="false">SUM(S69:X69)</f>
        <v>2</v>
      </c>
      <c r="Y75" s="14" t="n">
        <f aca="false">SUM(T69:Y69)</f>
        <v>2</v>
      </c>
      <c r="Z75" s="14" t="n">
        <f aca="false">SUM(U69:Z69)</f>
        <v>2</v>
      </c>
      <c r="AA75" s="14" t="n">
        <f aca="false">SUM(V69:AA69)</f>
        <v>2</v>
      </c>
      <c r="AB75" s="14" t="n">
        <f aca="false">SUM(W69:AB69)</f>
        <v>2</v>
      </c>
      <c r="AC75" s="14" t="n">
        <f aca="false">SUM(X69:AC69)</f>
        <v>2</v>
      </c>
      <c r="AD75" s="14" t="n">
        <f aca="false">SUM(Y69:AD69)</f>
        <v>3</v>
      </c>
      <c r="AE75" s="14" t="n">
        <f aca="false">SUM(Z69:AE69)</f>
        <v>3</v>
      </c>
      <c r="AF75" s="14" t="n">
        <f aca="false">SUM(AA69:AF69)</f>
        <v>3</v>
      </c>
      <c r="AG75" s="14" t="n">
        <f aca="false">SUM(AB69:AG69)</f>
        <v>4</v>
      </c>
      <c r="AH75" s="14" t="n">
        <f aca="false">SUM(AC69:AH69)</f>
        <v>4</v>
      </c>
      <c r="AI75" s="14" t="n">
        <f aca="false">SUM(AD69:AI69)</f>
        <v>4</v>
      </c>
      <c r="AJ75" s="14" t="n">
        <f aca="false">SUM(AE69:AJ69)</f>
        <v>4</v>
      </c>
      <c r="AK75" s="14" t="n">
        <f aca="false">SUM(AF69:AK69)</f>
        <v>4</v>
      </c>
      <c r="AL75" s="14" t="n">
        <f aca="false">SUM(AG69:AL69)</f>
        <v>4</v>
      </c>
      <c r="AN75" s="36" t="n">
        <f aca="false">N75</f>
        <v>0</v>
      </c>
      <c r="AO75" s="36" t="n">
        <f aca="false">Z75</f>
        <v>2</v>
      </c>
      <c r="AP75" s="36" t="n">
        <f aca="false">AL75</f>
        <v>4</v>
      </c>
    </row>
    <row r="76" customFormat="false" ht="15" hidden="false" customHeight="false" outlineLevel="0" collapsed="false">
      <c r="A76" s="0" t="s">
        <v>882</v>
      </c>
      <c r="B76" s="0" t="s">
        <v>852</v>
      </c>
      <c r="C76" s="14" t="n">
        <f aca="false">((Assumptions!$D$127*$C$8)*0)</f>
        <v>0</v>
      </c>
      <c r="D76" s="14" t="n">
        <f aca="false">((Assumptions!$D$127*$C$8)*0)</f>
        <v>0</v>
      </c>
      <c r="E76" s="14" t="n">
        <f aca="false">((Assumptions!$D$127*$C$8)*0)</f>
        <v>0</v>
      </c>
      <c r="F76" s="14" t="n">
        <f aca="false">((Assumptions!$D$127*$C$8)*0)</f>
        <v>0</v>
      </c>
      <c r="G76" s="14" t="n">
        <f aca="false">((Assumptions!$D$127*$C$8)*0)</f>
        <v>0</v>
      </c>
      <c r="H76" s="14" t="n">
        <f aca="false">((Assumptions!$D$127*$C$8)*0)</f>
        <v>0</v>
      </c>
      <c r="I76" s="14" t="n">
        <f aca="false">((Assumptions!$D$127*$C$8)*0)</f>
        <v>0</v>
      </c>
      <c r="J76" s="14" t="n">
        <f aca="false">((Assumptions!$D$127*$C$8)*C69)</f>
        <v>0</v>
      </c>
      <c r="K76" s="14" t="n">
        <f aca="false">((Assumptions!$D$127*$C$8)*D69)</f>
        <v>0</v>
      </c>
      <c r="L76" s="14" t="n">
        <f aca="false">((Assumptions!$D$127*$C$8)*E69)</f>
        <v>0</v>
      </c>
      <c r="M76" s="14" t="n">
        <f aca="false">((Assumptions!$D$127*$C$8)*F69)</f>
        <v>0</v>
      </c>
      <c r="N76" s="14" t="n">
        <f aca="false">((Assumptions!$D$127*$C$8)*G69)</f>
        <v>0</v>
      </c>
      <c r="O76" s="14" t="n">
        <f aca="false">((Assumptions!$D$127*$C$8)*H69)</f>
        <v>0</v>
      </c>
      <c r="P76" s="14" t="n">
        <f aca="false">((Assumptions!$D$127*$C$8)*I69)</f>
        <v>0</v>
      </c>
      <c r="Q76" s="14" t="n">
        <f aca="false">((Assumptions!$D$127*$C$8)*J69)</f>
        <v>0</v>
      </c>
      <c r="R76" s="14" t="n">
        <f aca="false">((Assumptions!$D$127*$C$8)*K69)</f>
        <v>0</v>
      </c>
      <c r="S76" s="14" t="n">
        <f aca="false">((Assumptions!$D$127*$C$8)*L69)</f>
        <v>0</v>
      </c>
      <c r="T76" s="14" t="n">
        <f aca="false">((Assumptions!$D$127*$C$8)*M69)</f>
        <v>0</v>
      </c>
      <c r="U76" s="14" t="n">
        <f aca="false">((Assumptions!$D$127*$C$8)*N69)</f>
        <v>0</v>
      </c>
      <c r="V76" s="14" t="n">
        <f aca="false">((Assumptions!$D$127*$C$8)*O69)</f>
        <v>0</v>
      </c>
      <c r="W76" s="14" t="n">
        <f aca="false">((Assumptions!$D$127*$C$8)*P69)</f>
        <v>0</v>
      </c>
      <c r="X76" s="14" t="n">
        <f aca="false">((Assumptions!$D$127*$C$8)*Q69)</f>
        <v>0</v>
      </c>
      <c r="Y76" s="14" t="n">
        <f aca="false">((Assumptions!$D$127*$C$8)*R69)</f>
        <v>0.45</v>
      </c>
      <c r="Z76" s="14" t="n">
        <f aca="false">((Assumptions!$D$127*$C$8)*S69)</f>
        <v>0</v>
      </c>
      <c r="AA76" s="14" t="n">
        <f aca="false">((Assumptions!$D$127*$C$8)*T69)</f>
        <v>0</v>
      </c>
      <c r="AB76" s="14" t="n">
        <f aca="false">((Assumptions!$D$127*$C$8)*U69)</f>
        <v>0.45</v>
      </c>
      <c r="AC76" s="14" t="n">
        <f aca="false">((Assumptions!$D$127*$C$8)*V69)</f>
        <v>0</v>
      </c>
      <c r="AD76" s="14" t="n">
        <f aca="false">((Assumptions!$D$127*$C$8)*W69)</f>
        <v>0</v>
      </c>
      <c r="AE76" s="14" t="n">
        <f aca="false">((Assumptions!$D$127*$C$8)*X69)</f>
        <v>0.45</v>
      </c>
      <c r="AF76" s="14" t="n">
        <f aca="false">((Assumptions!$D$127*$C$8)*Y69)</f>
        <v>0</v>
      </c>
      <c r="AG76" s="14" t="n">
        <f aca="false">((Assumptions!$D$127*$C$8)*Z69)</f>
        <v>0</v>
      </c>
      <c r="AH76" s="14" t="n">
        <f aca="false">((Assumptions!$D$127*$C$8)*AA69)</f>
        <v>0.45</v>
      </c>
      <c r="AI76" s="14" t="n">
        <f aca="false">((Assumptions!$D$127*$C$8)*AB69)</f>
        <v>0</v>
      </c>
      <c r="AJ76" s="14" t="n">
        <f aca="false">((Assumptions!$D$127*$C$8)*AC69)</f>
        <v>0</v>
      </c>
      <c r="AK76" s="14" t="n">
        <f aca="false">((Assumptions!$D$127*$C$8)*AD69)</f>
        <v>0.9</v>
      </c>
      <c r="AL76" s="14" t="n">
        <f aca="false">((Assumptions!$D$127*$C$8)*AE69)</f>
        <v>0</v>
      </c>
      <c r="AN76" s="36" t="n">
        <f aca="false">SUM(C76:N76)</f>
        <v>0</v>
      </c>
      <c r="AO76" s="36" t="n">
        <f aca="false">SUM(O76:Z76)</f>
        <v>0.45</v>
      </c>
      <c r="AP76" s="36" t="n">
        <f aca="false">SUM(AA76:AL76)</f>
        <v>2.25</v>
      </c>
    </row>
    <row r="77" customFormat="false" ht="15" hidden="false" customHeight="false" outlineLevel="0" collapsed="false">
      <c r="A77" s="0" t="s">
        <v>883</v>
      </c>
      <c r="B77" s="0" t="s">
        <v>852</v>
      </c>
      <c r="C77" s="14" t="n">
        <f aca="false">((Assumptions!$C$10*$C$8)*IF((C$18=(Assumptions!$C$7+$C$9)),0,IF((C$18&gt;(Assumptions!$C$7+$C$9)),0,0)))</f>
        <v>0</v>
      </c>
      <c r="D77" s="14" t="n">
        <f aca="false">((Assumptions!$C$10*$C$8)*IF((D$18=(Assumptions!$C$7+$C$9)),0,IF((D$18&gt;(Assumptions!$C$7+$C$9)),0,0)))</f>
        <v>0</v>
      </c>
      <c r="E77" s="14" t="n">
        <f aca="false">((Assumptions!$C$10*$C$8)*IF((E$18=(Assumptions!$C$7+$C$9)),0,IF((E$18&gt;(Assumptions!$C$7+$C$9)),0,0)))</f>
        <v>0</v>
      </c>
      <c r="F77" s="14" t="n">
        <f aca="false">((Assumptions!$C$10*$C$8)*IF((F$18=(Assumptions!$C$7+$C$9)),0,IF((F$18&gt;(Assumptions!$C$7+$C$9)),0,0)))</f>
        <v>0</v>
      </c>
      <c r="G77" s="14" t="n">
        <f aca="false">((Assumptions!$C$10*$C$8)*IF((G$18=(Assumptions!$C$7+$C$9)),0,IF((G$18&gt;(Assumptions!$C$7+$C$9)),0,0)))</f>
        <v>0</v>
      </c>
      <c r="H77" s="14" t="n">
        <f aca="false">((Assumptions!$C$10*$C$8)*IF((H$18=(Assumptions!$C$7+$C$9)),0,IF((H$18&gt;(Assumptions!$C$7+$C$9)),0,0)))</f>
        <v>0</v>
      </c>
      <c r="I77" s="14" t="n">
        <f aca="false">((Assumptions!$C$10*$C$8)*IF((I$18=(Assumptions!$C$7+$C$9)),0,IF((I$18&gt;(Assumptions!$C$7+$C$9)),0,0)))</f>
        <v>0</v>
      </c>
      <c r="J77" s="14" t="n">
        <f aca="false">((Assumptions!$C$10*$C$8)*IF((J$18=(Assumptions!$C$7+$C$9)),C70,IF((J$18&gt;(Assumptions!$C$7+$C$9)),C70,0)))</f>
        <v>0</v>
      </c>
      <c r="K77" s="14" t="n">
        <f aca="false">((Assumptions!$C$10*$C$8)*IF((K$18=(Assumptions!$C$7+$C$9)),SUM(C70:D70),IF((K$18&gt;(Assumptions!$C$7+$C$9)),D70,0)))</f>
        <v>0</v>
      </c>
      <c r="L77" s="14" t="n">
        <f aca="false">((Assumptions!$C$10*$C$8)*IF((L$18=(Assumptions!$C$7+$C$9)),SUM(C70:E70),IF((L$18&gt;(Assumptions!$C$7+$C$9)),E70,0)))</f>
        <v>0</v>
      </c>
      <c r="M77" s="14" t="n">
        <f aca="false">((Assumptions!$C$10*$C$8)*IF((M$18=(Assumptions!$C$7+$C$9)),SUM(C70:F70),IF((M$18&gt;(Assumptions!$C$7+$C$9)),F70,0)))</f>
        <v>0</v>
      </c>
      <c r="N77" s="14" t="n">
        <f aca="false">((Assumptions!$C$10*$C$8)*IF((N$18=(Assumptions!$C$7+$C$9)),SUM(C70:G70),IF((N$18&gt;(Assumptions!$C$7+$C$9)),G70,0)))</f>
        <v>0</v>
      </c>
      <c r="O77" s="14" t="n">
        <f aca="false">((Assumptions!$C$10*$C$8)*IF((O$18=(Assumptions!$C$7+$C$9)),SUM(C70:H70),IF((O$18&gt;(Assumptions!$C$7+$C$9)),H70,0)))</f>
        <v>0</v>
      </c>
      <c r="P77" s="14" t="n">
        <f aca="false">((Assumptions!$C$10*$C$8)*IF((P$18=(Assumptions!$C$7+$C$9)),SUM(C70:I70),IF((P$18&gt;(Assumptions!$C$7+$C$9)),I70,0)))</f>
        <v>0</v>
      </c>
      <c r="Q77" s="14" t="n">
        <f aca="false">((Assumptions!$C$10*$C$8)*IF((Q$18=(Assumptions!$C$7+$C$9)),SUM(C70:J70),IF((Q$18&gt;(Assumptions!$C$7+$C$9)),J70,0)))</f>
        <v>0.6</v>
      </c>
      <c r="R77" s="14" t="n">
        <f aca="false">((Assumptions!$C$10*$C$8)*IF((R$18=(Assumptions!$C$7+$C$9)),SUM(C70:K70),IF((R$18&gt;(Assumptions!$C$7+$C$9)),K70,0)))</f>
        <v>0</v>
      </c>
      <c r="S77" s="14" t="n">
        <f aca="false">((Assumptions!$C$10*$C$8)*IF((S$18=(Assumptions!$C$7+$C$9)),SUM(C70:L70),IF((S$18&gt;(Assumptions!$C$7+$C$9)),L70,0)))</f>
        <v>0</v>
      </c>
      <c r="T77" s="14" t="n">
        <f aca="false">((Assumptions!$C$10*$C$8)*IF((T$18=(Assumptions!$C$7+$C$9)),SUM(C70:M70),IF((T$18&gt;(Assumptions!$C$7+$C$9)),M70,0)))</f>
        <v>0</v>
      </c>
      <c r="U77" s="14" t="n">
        <f aca="false">((Assumptions!$C$10*$C$8)*IF((U$18=(Assumptions!$C$7+$C$9)),SUM(C70:N70),IF((U$18&gt;(Assumptions!$C$7+$C$9)),N70,0)))</f>
        <v>0</v>
      </c>
      <c r="V77" s="14" t="n">
        <f aca="false">((Assumptions!$C$10*$C$8)*IF((V$18=(Assumptions!$C$7+$C$9)),SUM(C70:O70),IF((V$18&gt;(Assumptions!$C$7+$C$9)),O70,0)))</f>
        <v>0</v>
      </c>
      <c r="W77" s="14" t="n">
        <f aca="false">((Assumptions!$C$10*$C$8)*IF((W$18=(Assumptions!$C$7+$C$9)),SUM(C70:P70),IF((W$18&gt;(Assumptions!$C$7+$C$9)),P70,0)))</f>
        <v>0</v>
      </c>
      <c r="X77" s="14" t="n">
        <f aca="false">((Assumptions!$C$10*$C$8)*IF((X$18=(Assumptions!$C$7+$C$9)),SUM(C70:Q70),IF((X$18&gt;(Assumptions!$C$7+$C$9)),Q70,0)))</f>
        <v>0</v>
      </c>
      <c r="Y77" s="14" t="n">
        <f aca="false">((Assumptions!$C$10*$C$8)*IF((Y$18=(Assumptions!$C$7+$C$9)),SUM(C70:R70),IF((Y$18&gt;(Assumptions!$C$7+$C$9)),R70,0)))</f>
        <v>0</v>
      </c>
      <c r="Z77" s="14" t="n">
        <f aca="false">((Assumptions!$C$10*$C$8)*IF((Z$18=(Assumptions!$C$7+$C$9)),SUM(C70:S70),IF((Z$18&gt;(Assumptions!$C$7+$C$9)),S70,0)))</f>
        <v>0</v>
      </c>
      <c r="AA77" s="14" t="n">
        <f aca="false">((Assumptions!$C$10*$C$8)*IF((AA$18=(Assumptions!$C$7+$C$9)),SUM(C70:T70),IF((AA$18&gt;(Assumptions!$C$7+$C$9)),T70,0)))</f>
        <v>0</v>
      </c>
      <c r="AB77" s="14" t="n">
        <f aca="false">((Assumptions!$C$10*$C$8)*IF((AB$18=(Assumptions!$C$7+$C$9)),SUM(C70:U70),IF((AB$18&gt;(Assumptions!$C$7+$C$9)),U70,0)))</f>
        <v>0</v>
      </c>
      <c r="AC77" s="14" t="n">
        <f aca="false">((Assumptions!$C$10*$C$8)*IF((AC$18=(Assumptions!$C$7+$C$9)),SUM(C70:V70),IF((AC$18&gt;(Assumptions!$C$7+$C$9)),V70,0)))</f>
        <v>0</v>
      </c>
      <c r="AD77" s="14" t="n">
        <f aca="false">((Assumptions!$C$10*$C$8)*IF((AD$18=(Assumptions!$C$7+$C$9)),SUM(C70:W70),IF((AD$18&gt;(Assumptions!$C$7+$C$9)),W70,0)))</f>
        <v>0</v>
      </c>
      <c r="AE77" s="14" t="n">
        <f aca="false">((Assumptions!$C$10*$C$8)*IF((AE$18=(Assumptions!$C$7+$C$9)),SUM(C70:X70),IF((AE$18&gt;(Assumptions!$C$7+$C$9)),X70,0)))</f>
        <v>0</v>
      </c>
      <c r="AF77" s="14" t="n">
        <f aca="false">((Assumptions!$C$10*$C$8)*IF((AF$18=(Assumptions!$C$7+$C$9)),SUM(C70:Y70),IF((AF$18&gt;(Assumptions!$C$7+$C$9)),Y70,0)))</f>
        <v>0</v>
      </c>
      <c r="AG77" s="14" t="n">
        <f aca="false">((Assumptions!$C$10*$C$8)*IF((AG$18=(Assumptions!$C$7+$C$9)),SUM(C70:Z70),IF((AG$18&gt;(Assumptions!$C$7+$C$9)),Z70,0)))</f>
        <v>0</v>
      </c>
      <c r="AH77" s="14" t="n">
        <f aca="false">((Assumptions!$C$10*$C$8)*IF((AH$18=(Assumptions!$C$7+$C$9)),SUM(C70:AA70),IF((AH$18&gt;(Assumptions!$C$7+$C$9)),AA70,0)))</f>
        <v>0</v>
      </c>
      <c r="AI77" s="14" t="n">
        <f aca="false">((Assumptions!$C$10*$C$8)*IF((AI$18=(Assumptions!$C$7+$C$9)),SUM(C70:AB70),IF((AI$18&gt;(Assumptions!$C$7+$C$9)),AB70,0)))</f>
        <v>0</v>
      </c>
      <c r="AJ77" s="14" t="n">
        <f aca="false">((Assumptions!$C$10*$C$8)*IF((AJ$18=(Assumptions!$C$7+$C$9)),SUM(C70:AC70),IF((AJ$18&gt;(Assumptions!$C$7+$C$9)),AC70,0)))</f>
        <v>0</v>
      </c>
      <c r="AK77" s="14" t="n">
        <f aca="false">((Assumptions!$C$10*$C$8)*IF((AK$18=(Assumptions!$C$7+$C$9)),SUM(C70:AD70),IF((AK$18&gt;(Assumptions!$C$7+$C$9)),AD70,0)))</f>
        <v>0</v>
      </c>
      <c r="AL77" s="14" t="n">
        <f aca="false">((Assumptions!$C$10*$C$8)*IF((AL$18=(Assumptions!$C$7+$C$9)),SUM(C70:AE70),IF((AL$18&gt;(Assumptions!$C$7+$C$9)),AE70,0)))</f>
        <v>0</v>
      </c>
      <c r="AN77" s="36" t="n">
        <f aca="false">SUM(C77:N77)</f>
        <v>0</v>
      </c>
      <c r="AO77" s="36" t="n">
        <f aca="false">SUM(O77:Z77)</f>
        <v>0.6</v>
      </c>
      <c r="AP77" s="36" t="n">
        <f aca="false">SUM(AA77:AL77)</f>
        <v>0</v>
      </c>
    </row>
    <row r="78" customFormat="false" ht="15" hidden="false" customHeight="false" outlineLevel="0" collapsed="false">
      <c r="A78" s="0" t="s">
        <v>884</v>
      </c>
      <c r="B78" s="0" t="s">
        <v>852</v>
      </c>
      <c r="C78" s="14" t="n">
        <f aca="false">((C76+C77)+C72)</f>
        <v>0</v>
      </c>
      <c r="D78" s="14" t="n">
        <f aca="false">((D76+D77)+D72)</f>
        <v>0</v>
      </c>
      <c r="E78" s="14" t="n">
        <f aca="false">((E76+E77)+E72)</f>
        <v>0</v>
      </c>
      <c r="F78" s="14" t="n">
        <f aca="false">((F76+F77)+F72)</f>
        <v>0</v>
      </c>
      <c r="G78" s="14" t="n">
        <f aca="false">((G76+G77)+G72)</f>
        <v>0</v>
      </c>
      <c r="H78" s="14" t="n">
        <f aca="false">((H76+H77)+H72)</f>
        <v>0</v>
      </c>
      <c r="I78" s="14" t="n">
        <f aca="false">((I76+I77)+I72)</f>
        <v>0</v>
      </c>
      <c r="J78" s="14" t="n">
        <f aca="false">((J76+J77)+J72)</f>
        <v>0</v>
      </c>
      <c r="K78" s="14" t="n">
        <f aca="false">((K76+K77)+K72)</f>
        <v>0</v>
      </c>
      <c r="L78" s="14" t="n">
        <f aca="false">((L76+L77)+L72)</f>
        <v>0</v>
      </c>
      <c r="M78" s="14" t="n">
        <f aca="false">((M76+M77)+M72)</f>
        <v>0</v>
      </c>
      <c r="N78" s="14" t="n">
        <f aca="false">((N76+N77)+N72)</f>
        <v>0</v>
      </c>
      <c r="O78" s="14" t="n">
        <f aca="false">((O76+O77)+O72)</f>
        <v>0</v>
      </c>
      <c r="P78" s="14" t="n">
        <f aca="false">((P76+P77)+P72)</f>
        <v>0</v>
      </c>
      <c r="Q78" s="14" t="n">
        <f aca="false">((Q76+Q77)+Q72)</f>
        <v>0.6</v>
      </c>
      <c r="R78" s="14" t="n">
        <f aca="false">((R76+R77)+R72)</f>
        <v>0</v>
      </c>
      <c r="S78" s="14" t="n">
        <f aca="false">((S76+S77)+S72)</f>
        <v>0</v>
      </c>
      <c r="T78" s="14" t="n">
        <f aca="false">((T76+T77)+T72)</f>
        <v>0</v>
      </c>
      <c r="U78" s="14" t="n">
        <f aca="false">((U76+U77)+U72)</f>
        <v>0</v>
      </c>
      <c r="V78" s="14" t="n">
        <f aca="false">((V76+V77)+V72)</f>
        <v>0</v>
      </c>
      <c r="W78" s="14" t="n">
        <f aca="false">((W76+W77)+W72)</f>
        <v>0</v>
      </c>
      <c r="X78" s="14" t="n">
        <f aca="false">((X76+X77)+X72)</f>
        <v>0</v>
      </c>
      <c r="Y78" s="14" t="n">
        <f aca="false">((Y76+Y77)+Y72)</f>
        <v>0.45</v>
      </c>
      <c r="Z78" s="14" t="n">
        <f aca="false">((Z76+Z77)+Z72)</f>
        <v>0</v>
      </c>
      <c r="AA78" s="14" t="n">
        <f aca="false">((AA76+AA77)+AA72)</f>
        <v>0</v>
      </c>
      <c r="AB78" s="14" t="n">
        <f aca="false">((AB76+AB77)+AB72)</f>
        <v>1.45</v>
      </c>
      <c r="AC78" s="14" t="n">
        <f aca="false">((AC76+AC77)+AC72)</f>
        <v>0</v>
      </c>
      <c r="AD78" s="14" t="n">
        <f aca="false">((AD76+AD77)+AD72)</f>
        <v>0</v>
      </c>
      <c r="AE78" s="14" t="n">
        <f aca="false">((AE76+AE77)+AE72)</f>
        <v>1.45</v>
      </c>
      <c r="AF78" s="14" t="n">
        <f aca="false">((AF76+AF77)+AF72)</f>
        <v>0</v>
      </c>
      <c r="AG78" s="14" t="n">
        <f aca="false">((AG76+AG77)+AG72)</f>
        <v>0</v>
      </c>
      <c r="AH78" s="14" t="n">
        <f aca="false">((AH76+AH77)+AH72)</f>
        <v>1.45</v>
      </c>
      <c r="AI78" s="14" t="n">
        <f aca="false">((AI76+AI77)+AI72)</f>
        <v>0</v>
      </c>
      <c r="AJ78" s="14" t="n">
        <f aca="false">((AJ76+AJ77)+AJ72)</f>
        <v>0</v>
      </c>
      <c r="AK78" s="14" t="n">
        <f aca="false">((AK76+AK77)+AK72)</f>
        <v>2.9</v>
      </c>
      <c r="AL78" s="14" t="n">
        <f aca="false">((AL76+AL77)+AL72)</f>
        <v>0</v>
      </c>
      <c r="AN78" s="36" t="n">
        <f aca="false">SUM(C78:N78)</f>
        <v>0</v>
      </c>
      <c r="AO78" s="36" t="n">
        <f aca="false">SUM(O78:Z78)</f>
        <v>1.05</v>
      </c>
      <c r="AP78" s="36" t="n">
        <f aca="false">SUM(AA78:AL78)</f>
        <v>7.25</v>
      </c>
    </row>
    <row r="79" customFormat="false" ht="15" hidden="false" customHeight="false" outlineLevel="0" collapsed="false">
      <c r="A79" s="0" t="s">
        <v>885</v>
      </c>
      <c r="B79" s="0" t="s">
        <v>852</v>
      </c>
      <c r="C79" s="14" t="n">
        <f aca="false">(C78+(C45*0))</f>
        <v>0</v>
      </c>
      <c r="D79" s="14" t="n">
        <f aca="false">(D78+(D45*0))</f>
        <v>0</v>
      </c>
      <c r="E79" s="14" t="n">
        <f aca="false">(E78+(E45*0))</f>
        <v>0</v>
      </c>
      <c r="F79" s="14" t="n">
        <f aca="false">(F78+(F45*0))</f>
        <v>0</v>
      </c>
      <c r="G79" s="14" t="n">
        <f aca="false">(G78+(G45*0))</f>
        <v>0</v>
      </c>
      <c r="H79" s="14" t="n">
        <f aca="false">(H78+(H45*0))</f>
        <v>0</v>
      </c>
      <c r="I79" s="14" t="n">
        <f aca="false">(I78+(I45*0))</f>
        <v>0</v>
      </c>
      <c r="J79" s="14" t="n">
        <f aca="false">(J78+(J45*0))</f>
        <v>0</v>
      </c>
      <c r="K79" s="14" t="n">
        <f aca="false">(K78+(K45*0))</f>
        <v>0</v>
      </c>
      <c r="L79" s="14" t="n">
        <f aca="false">(L78+(L45*0))</f>
        <v>0</v>
      </c>
      <c r="M79" s="14" t="n">
        <f aca="false">(M78+(M45*0))</f>
        <v>0</v>
      </c>
      <c r="N79" s="14" t="n">
        <f aca="false">(N78+(N45*0))</f>
        <v>0</v>
      </c>
      <c r="O79" s="14" t="n">
        <f aca="false">(O78+(O45*C79))</f>
        <v>0</v>
      </c>
      <c r="P79" s="14" t="n">
        <f aca="false">(P78+(P45*D79))</f>
        <v>0</v>
      </c>
      <c r="Q79" s="14" t="n">
        <f aca="false">(Q78+(Q45*E79))</f>
        <v>0.6</v>
      </c>
      <c r="R79" s="14" t="n">
        <f aca="false">(R78+(R45*F79))</f>
        <v>0</v>
      </c>
      <c r="S79" s="14" t="n">
        <f aca="false">(S78+(S45*G79))</f>
        <v>0</v>
      </c>
      <c r="T79" s="14" t="n">
        <f aca="false">(T78+(T45*H79))</f>
        <v>0</v>
      </c>
      <c r="U79" s="14" t="n">
        <f aca="false">(U78+(U45*I79))</f>
        <v>0</v>
      </c>
      <c r="V79" s="14" t="n">
        <f aca="false">(V78+(V45*J79))</f>
        <v>0</v>
      </c>
      <c r="W79" s="14" t="n">
        <f aca="false">(W78+(W45*K79))</f>
        <v>0</v>
      </c>
      <c r="X79" s="14" t="n">
        <f aca="false">(X78+(X45*L79))</f>
        <v>0</v>
      </c>
      <c r="Y79" s="14" t="n">
        <f aca="false">(Y78+(Y45*M79))</f>
        <v>0.45</v>
      </c>
      <c r="Z79" s="14" t="n">
        <f aca="false">(Z78+(Z45*N79))</f>
        <v>0</v>
      </c>
      <c r="AA79" s="14" t="n">
        <f aca="false">(AA78+(AA45*O79))</f>
        <v>0</v>
      </c>
      <c r="AB79" s="14" t="n">
        <f aca="false">(AB78+(AB45*P79))</f>
        <v>1.45</v>
      </c>
      <c r="AC79" s="14" t="n">
        <f aca="false">(AC78+(AC45*Q79))</f>
        <v>0.528</v>
      </c>
      <c r="AD79" s="14" t="n">
        <f aca="false">(AD78+(AD45*R79))</f>
        <v>0</v>
      </c>
      <c r="AE79" s="14" t="n">
        <f aca="false">(AE78+(AE45*S79))</f>
        <v>1.45</v>
      </c>
      <c r="AF79" s="14" t="n">
        <f aca="false">(AF78+(AF45*T79))</f>
        <v>0</v>
      </c>
      <c r="AG79" s="14" t="n">
        <f aca="false">(AG78+(AG45*U79))</f>
        <v>0</v>
      </c>
      <c r="AH79" s="14" t="n">
        <f aca="false">(AH78+(AH45*V79))</f>
        <v>1.45</v>
      </c>
      <c r="AI79" s="14" t="n">
        <f aca="false">(AI78+(AI45*W79))</f>
        <v>0</v>
      </c>
      <c r="AJ79" s="14" t="n">
        <f aca="false">(AJ78+(AJ45*X79))</f>
        <v>0</v>
      </c>
      <c r="AK79" s="14" t="n">
        <f aca="false">(AK78+(AK45*Y79))</f>
        <v>3.296</v>
      </c>
      <c r="AL79" s="14" t="n">
        <f aca="false">(AL78+(AL45*Z79))</f>
        <v>0</v>
      </c>
      <c r="AN79" s="36" t="n">
        <f aca="false">SUM(C79:N79)</f>
        <v>0</v>
      </c>
      <c r="AO79" s="36" t="n">
        <f aca="false">SUM(O79:Z79)</f>
        <v>1.05</v>
      </c>
      <c r="AP79" s="36" t="n">
        <f aca="false">SUM(AA79:AL79)</f>
        <v>8.174</v>
      </c>
    </row>
    <row r="80" customFormat="false" ht="15" hidden="false" customHeight="false" outlineLevel="0" collapsed="false">
      <c r="A80" s="0" t="s">
        <v>886</v>
      </c>
      <c r="B80" s="0" t="s">
        <v>852</v>
      </c>
      <c r="C80" s="14" t="n">
        <f aca="false">C79</f>
        <v>0</v>
      </c>
      <c r="D80" s="14" t="n">
        <f aca="false">SUM(C79:D79)</f>
        <v>0</v>
      </c>
      <c r="E80" s="14" t="n">
        <f aca="false">SUM(C79:E79)</f>
        <v>0</v>
      </c>
      <c r="F80" s="14" t="n">
        <f aca="false">SUM(C79:F79)</f>
        <v>0</v>
      </c>
      <c r="G80" s="14" t="n">
        <f aca="false">SUM(C79:G79)</f>
        <v>0</v>
      </c>
      <c r="H80" s="14" t="n">
        <f aca="false">SUM(C79:H79)</f>
        <v>0</v>
      </c>
      <c r="I80" s="14" t="n">
        <f aca="false">SUM(C79:I79)</f>
        <v>0</v>
      </c>
      <c r="J80" s="14" t="n">
        <f aca="false">SUM(C79:J79)</f>
        <v>0</v>
      </c>
      <c r="K80" s="14" t="n">
        <f aca="false">SUM(C79:K79)</f>
        <v>0</v>
      </c>
      <c r="L80" s="14" t="n">
        <f aca="false">SUM(C79:L79)</f>
        <v>0</v>
      </c>
      <c r="M80" s="14" t="n">
        <f aca="false">SUM(C79:M79)</f>
        <v>0</v>
      </c>
      <c r="N80" s="14" t="n">
        <f aca="false">SUM(C79:N79)</f>
        <v>0</v>
      </c>
      <c r="O80" s="14" t="n">
        <f aca="false">SUM(D79:O79)</f>
        <v>0</v>
      </c>
      <c r="P80" s="14" t="n">
        <f aca="false">SUM(E79:P79)</f>
        <v>0</v>
      </c>
      <c r="Q80" s="14" t="n">
        <f aca="false">SUM(F79:Q79)</f>
        <v>0.6</v>
      </c>
      <c r="R80" s="14" t="n">
        <f aca="false">SUM(G79:R79)</f>
        <v>0.6</v>
      </c>
      <c r="S80" s="14" t="n">
        <f aca="false">SUM(H79:S79)</f>
        <v>0.6</v>
      </c>
      <c r="T80" s="14" t="n">
        <f aca="false">SUM(I79:T79)</f>
        <v>0.6</v>
      </c>
      <c r="U80" s="14" t="n">
        <f aca="false">SUM(J79:U79)</f>
        <v>0.6</v>
      </c>
      <c r="V80" s="14" t="n">
        <f aca="false">SUM(K79:V79)</f>
        <v>0.6</v>
      </c>
      <c r="W80" s="14" t="n">
        <f aca="false">SUM(L79:W79)</f>
        <v>0.6</v>
      </c>
      <c r="X80" s="14" t="n">
        <f aca="false">SUM(M79:X79)</f>
        <v>0.6</v>
      </c>
      <c r="Y80" s="14" t="n">
        <f aca="false">SUM(N79:Y79)</f>
        <v>1.05</v>
      </c>
      <c r="Z80" s="14" t="n">
        <f aca="false">SUM(O79:Z79)</f>
        <v>1.05</v>
      </c>
      <c r="AA80" s="14" t="n">
        <f aca="false">SUM(P79:AA79)</f>
        <v>1.05</v>
      </c>
      <c r="AB80" s="14" t="n">
        <f aca="false">SUM(Q79:AB79)</f>
        <v>2.5</v>
      </c>
      <c r="AC80" s="14" t="n">
        <f aca="false">SUM(R79:AC79)</f>
        <v>2.428</v>
      </c>
      <c r="AD80" s="14" t="n">
        <f aca="false">SUM(S79:AD79)</f>
        <v>2.428</v>
      </c>
      <c r="AE80" s="14" t="n">
        <f aca="false">SUM(T79:AE79)</f>
        <v>3.878</v>
      </c>
      <c r="AF80" s="14" t="n">
        <f aca="false">SUM(U79:AF79)</f>
        <v>3.878</v>
      </c>
      <c r="AG80" s="14" t="n">
        <f aca="false">SUM(V79:AG79)</f>
        <v>3.878</v>
      </c>
      <c r="AH80" s="14" t="n">
        <f aca="false">SUM(W79:AH79)</f>
        <v>5.328</v>
      </c>
      <c r="AI80" s="14" t="n">
        <f aca="false">SUM(X79:AI79)</f>
        <v>5.328</v>
      </c>
      <c r="AJ80" s="14" t="n">
        <f aca="false">SUM(Y79:AJ79)</f>
        <v>5.328</v>
      </c>
      <c r="AK80" s="14" t="n">
        <f aca="false">SUM(Z79:AK79)</f>
        <v>8.174</v>
      </c>
      <c r="AL80" s="14" t="n">
        <f aca="false">SUM(AA79:AL79)</f>
        <v>8.174</v>
      </c>
      <c r="AN80" s="36" t="n">
        <f aca="false">N80</f>
        <v>0</v>
      </c>
      <c r="AO80" s="36" t="n">
        <f aca="false">Z80</f>
        <v>1.05</v>
      </c>
      <c r="AP80" s="36" t="n">
        <f aca="false">AL80</f>
        <v>8.174</v>
      </c>
    </row>
    <row r="81" customFormat="false" ht="15" hidden="false" customHeight="false" outlineLevel="0" collapsed="false">
      <c r="A81" s="0" t="s">
        <v>887</v>
      </c>
      <c r="B81" s="0" t="s">
        <v>230</v>
      </c>
      <c r="C81" s="9" t="n">
        <f aca="false">((Assumptions!$D$121*(1-Assumptions!$C$29))*$C$10)</f>
        <v>74800</v>
      </c>
      <c r="D81" s="9" t="n">
        <f aca="false">((Assumptions!$D$121*(1-Assumptions!$C$29))*$C$10)</f>
        <v>74800</v>
      </c>
      <c r="E81" s="9" t="n">
        <f aca="false">((Assumptions!$D$121*(1-Assumptions!$C$29))*$C$10)</f>
        <v>74800</v>
      </c>
      <c r="F81" s="9" t="n">
        <f aca="false">((Assumptions!$D$121*(1-Assumptions!$C$29))*$C$10)</f>
        <v>74800</v>
      </c>
      <c r="G81" s="9" t="n">
        <f aca="false">((Assumptions!$D$121*(1-Assumptions!$C$29))*$C$10)</f>
        <v>74800</v>
      </c>
      <c r="H81" s="9" t="n">
        <f aca="false">((Assumptions!$D$121*(1-Assumptions!$C$29))*$C$10)</f>
        <v>74800</v>
      </c>
      <c r="I81" s="9" t="n">
        <f aca="false">((Assumptions!$D$121*(1-Assumptions!$C$29))*$C$10)</f>
        <v>74800</v>
      </c>
      <c r="J81" s="9" t="n">
        <f aca="false">((Assumptions!$D$121*(1-Assumptions!$C$29))*$C$10)</f>
        <v>74800</v>
      </c>
      <c r="K81" s="9" t="n">
        <f aca="false">((Assumptions!$D$121*(1-Assumptions!$C$29))*$C$10)</f>
        <v>74800</v>
      </c>
      <c r="L81" s="9" t="n">
        <f aca="false">((Assumptions!$D$121*(1-Assumptions!$C$29))*$C$10)</f>
        <v>74800</v>
      </c>
      <c r="M81" s="9" t="n">
        <f aca="false">((Assumptions!$D$121*(1-Assumptions!$C$29))*$C$10)</f>
        <v>74800</v>
      </c>
      <c r="N81" s="9" t="n">
        <f aca="false">((Assumptions!$D$121*(1-Assumptions!$C$29))*$C$10)</f>
        <v>74800</v>
      </c>
      <c r="O81" s="9" t="n">
        <f aca="false">((Assumptions!$D$121*(1-Assumptions!$C$29))*$C$10)</f>
        <v>74800</v>
      </c>
      <c r="P81" s="9" t="n">
        <f aca="false">((Assumptions!$D$121*(1-Assumptions!$C$29))*$C$10)</f>
        <v>74800</v>
      </c>
      <c r="Q81" s="9" t="n">
        <f aca="false">((Assumptions!$D$121*(1-Assumptions!$C$29))*$C$10)</f>
        <v>74800</v>
      </c>
      <c r="R81" s="9" t="n">
        <f aca="false">((Assumptions!$D$121*(1-Assumptions!$C$29))*$C$10)</f>
        <v>74800</v>
      </c>
      <c r="S81" s="9" t="n">
        <f aca="false">((Assumptions!$D$121*(1-Assumptions!$C$29))*$C$10)</f>
        <v>74800</v>
      </c>
      <c r="T81" s="9" t="n">
        <f aca="false">((Assumptions!$D$121*(1-Assumptions!$C$29))*$C$10)</f>
        <v>74800</v>
      </c>
      <c r="U81" s="9" t="n">
        <f aca="false">((Assumptions!$D$121*(1-Assumptions!$C$29))*$C$10)</f>
        <v>74800</v>
      </c>
      <c r="V81" s="9" t="n">
        <f aca="false">((Assumptions!$D$121*(1-Assumptions!$C$29))*$C$10)</f>
        <v>74800</v>
      </c>
      <c r="W81" s="9" t="n">
        <f aca="false">((Assumptions!$D$121*(1-Assumptions!$C$29))*$C$10)</f>
        <v>74800</v>
      </c>
      <c r="X81" s="9" t="n">
        <f aca="false">((Assumptions!$D$121*(1-Assumptions!$C$29))*$C$10)</f>
        <v>74800</v>
      </c>
      <c r="Y81" s="9" t="n">
        <f aca="false">((Assumptions!$D$121*(1-Assumptions!$C$29))*$C$10)</f>
        <v>74800</v>
      </c>
      <c r="Z81" s="9" t="n">
        <f aca="false">((Assumptions!$D$121*(1-Assumptions!$C$29))*$C$10)</f>
        <v>74800</v>
      </c>
      <c r="AA81" s="9" t="n">
        <f aca="false">((Assumptions!$D$121*(1-Assumptions!$C$29))*$C$10)</f>
        <v>74800</v>
      </c>
      <c r="AB81" s="9" t="n">
        <f aca="false">((Assumptions!$D$121*(1-Assumptions!$C$29))*$C$10)</f>
        <v>74800</v>
      </c>
      <c r="AC81" s="9" t="n">
        <f aca="false">((Assumptions!$D$121*(1-Assumptions!$C$29))*$C$10)</f>
        <v>74800</v>
      </c>
      <c r="AD81" s="9" t="n">
        <f aca="false">((Assumptions!$D$121*(1-Assumptions!$C$29))*$C$10)</f>
        <v>74800</v>
      </c>
      <c r="AE81" s="9" t="n">
        <f aca="false">((Assumptions!$D$121*(1-Assumptions!$C$29))*$C$10)</f>
        <v>74800</v>
      </c>
      <c r="AF81" s="9" t="n">
        <f aca="false">((Assumptions!$D$121*(1-Assumptions!$C$29))*$C$10)</f>
        <v>74800</v>
      </c>
      <c r="AG81" s="9" t="n">
        <f aca="false">((Assumptions!$D$121*(1-Assumptions!$C$29))*$C$10)</f>
        <v>74800</v>
      </c>
      <c r="AH81" s="9" t="n">
        <f aca="false">((Assumptions!$D$121*(1-Assumptions!$C$29))*$C$10)</f>
        <v>74800</v>
      </c>
      <c r="AI81" s="9" t="n">
        <f aca="false">((Assumptions!$D$121*(1-Assumptions!$C$29))*$C$10)</f>
        <v>74800</v>
      </c>
      <c r="AJ81" s="9" t="n">
        <f aca="false">((Assumptions!$D$121*(1-Assumptions!$C$29))*$C$10)</f>
        <v>74800</v>
      </c>
      <c r="AK81" s="9" t="n">
        <f aca="false">((Assumptions!$D$121*(1-Assumptions!$C$29))*$C$10)</f>
        <v>74800</v>
      </c>
      <c r="AL81" s="9" t="n">
        <f aca="false">((Assumptions!$D$121*(1-Assumptions!$C$29))*$C$10)</f>
        <v>74800</v>
      </c>
    </row>
    <row r="82" customFormat="false" ht="15" hidden="false" customHeight="false" outlineLevel="0" collapsed="false">
      <c r="A82" s="0" t="s">
        <v>888</v>
      </c>
      <c r="B82" s="0" t="s">
        <v>230</v>
      </c>
      <c r="C82" s="9" t="n">
        <f aca="false">((C78*C81)+((C45*(1+Assumptions!$C$31))*0))</f>
        <v>0</v>
      </c>
      <c r="D82" s="9" t="n">
        <f aca="false">((D78*D81)+((D45*(1+Assumptions!$C$31))*0))</f>
        <v>0</v>
      </c>
      <c r="E82" s="9" t="n">
        <f aca="false">((E78*E81)+((E45*(1+Assumptions!$C$31))*0))</f>
        <v>0</v>
      </c>
      <c r="F82" s="9" t="n">
        <f aca="false">((F78*F81)+((F45*(1+Assumptions!$C$31))*0))</f>
        <v>0</v>
      </c>
      <c r="G82" s="9" t="n">
        <f aca="false">((G78*G81)+((G45*(1+Assumptions!$C$31))*0))</f>
        <v>0</v>
      </c>
      <c r="H82" s="9" t="n">
        <f aca="false">((H78*H81)+((H45*(1+Assumptions!$C$31))*0))</f>
        <v>0</v>
      </c>
      <c r="I82" s="9" t="n">
        <f aca="false">((I78*I81)+((I45*(1+Assumptions!$C$31))*0))</f>
        <v>0</v>
      </c>
      <c r="J82" s="9" t="n">
        <f aca="false">((J78*J81)+((J45*(1+Assumptions!$C$31))*0))</f>
        <v>0</v>
      </c>
      <c r="K82" s="9" t="n">
        <f aca="false">((K78*K81)+((K45*(1+Assumptions!$C$31))*0))</f>
        <v>0</v>
      </c>
      <c r="L82" s="9" t="n">
        <f aca="false">((L78*L81)+((L45*(1+Assumptions!$C$31))*0))</f>
        <v>0</v>
      </c>
      <c r="M82" s="9" t="n">
        <f aca="false">((M78*M81)+((M45*(1+Assumptions!$C$31))*0))</f>
        <v>0</v>
      </c>
      <c r="N82" s="9" t="n">
        <f aca="false">((N78*N81)+((N45*(1+Assumptions!$C$31))*0))</f>
        <v>0</v>
      </c>
      <c r="O82" s="9" t="n">
        <f aca="false">((O78*O81)+((O45*(1+Assumptions!$C$31))*C82))</f>
        <v>0</v>
      </c>
      <c r="P82" s="9" t="n">
        <f aca="false">((P78*P81)+((P45*(1+Assumptions!$C$31))*D82))</f>
        <v>0</v>
      </c>
      <c r="Q82" s="9" t="n">
        <f aca="false">((Q78*Q81)+((Q45*(1+Assumptions!$C$31))*E82))</f>
        <v>44880</v>
      </c>
      <c r="R82" s="9" t="n">
        <f aca="false">((R78*R81)+((R45*(1+Assumptions!$C$31))*F82))</f>
        <v>0</v>
      </c>
      <c r="S82" s="9" t="n">
        <f aca="false">((S78*S81)+((S45*(1+Assumptions!$C$31))*G82))</f>
        <v>0</v>
      </c>
      <c r="T82" s="9" t="n">
        <f aca="false">((T78*T81)+((T45*(1+Assumptions!$C$31))*H82))</f>
        <v>0</v>
      </c>
      <c r="U82" s="9" t="n">
        <f aca="false">((U78*U81)+((U45*(1+Assumptions!$C$31))*I82))</f>
        <v>0</v>
      </c>
      <c r="V82" s="9" t="n">
        <f aca="false">((V78*V81)+((V45*(1+Assumptions!$C$31))*J82))</f>
        <v>0</v>
      </c>
      <c r="W82" s="9" t="n">
        <f aca="false">((W78*W81)+((W45*(1+Assumptions!$C$31))*K82))</f>
        <v>0</v>
      </c>
      <c r="X82" s="9" t="n">
        <f aca="false">((X78*X81)+((X45*(1+Assumptions!$C$31))*L82))</f>
        <v>0</v>
      </c>
      <c r="Y82" s="9" t="n">
        <f aca="false">((Y78*Y81)+((Y45*(1+Assumptions!$C$31))*M82))</f>
        <v>33660</v>
      </c>
      <c r="Z82" s="9" t="n">
        <f aca="false">((Z78*Z81)+((Z45*(1+Assumptions!$C$31))*N82))</f>
        <v>0</v>
      </c>
      <c r="AA82" s="9" t="n">
        <f aca="false">((AA78*AA81)+((AA45*(1+Assumptions!$C$31))*O82))</f>
        <v>0</v>
      </c>
      <c r="AB82" s="9" t="n">
        <f aca="false">((AB78*AB81)+((AB45*(1+Assumptions!$C$31))*P82))</f>
        <v>108460</v>
      </c>
      <c r="AC82" s="9" t="n">
        <f aca="false">((AC78*AC81)+((AC45*(1+Assumptions!$C$31))*Q82))</f>
        <v>43443.84</v>
      </c>
      <c r="AD82" s="9" t="n">
        <f aca="false">((AD78*AD81)+((AD45*(1+Assumptions!$C$31))*R82))</f>
        <v>0</v>
      </c>
      <c r="AE82" s="9" t="n">
        <f aca="false">((AE78*AE81)+((AE45*(1+Assumptions!$C$31))*S82))</f>
        <v>108460</v>
      </c>
      <c r="AF82" s="9" t="n">
        <f aca="false">((AF78*AF81)+((AF45*(1+Assumptions!$C$31))*T82))</f>
        <v>0</v>
      </c>
      <c r="AG82" s="9" t="n">
        <f aca="false">((AG78*AG81)+((AG45*(1+Assumptions!$C$31))*U82))</f>
        <v>0</v>
      </c>
      <c r="AH82" s="9" t="n">
        <f aca="false">((AH78*AH81)+((AH45*(1+Assumptions!$C$31))*V82))</f>
        <v>108460</v>
      </c>
      <c r="AI82" s="9" t="n">
        <f aca="false">((AI78*AI81)+((AI45*(1+Assumptions!$C$31))*W82))</f>
        <v>0</v>
      </c>
      <c r="AJ82" s="9" t="n">
        <f aca="false">((AJ78*AJ81)+((AJ45*(1+Assumptions!$C$31))*X82))</f>
        <v>0</v>
      </c>
      <c r="AK82" s="9" t="n">
        <f aca="false">((AK78*AK81)+((AK45*(1+Assumptions!$C$31))*Y82))</f>
        <v>249502.88</v>
      </c>
      <c r="AL82" s="9" t="n">
        <f aca="false">((AL78*AL81)+((AL45*(1+Assumptions!$C$31))*Z82))</f>
        <v>0</v>
      </c>
      <c r="AN82" s="11" t="n">
        <f aca="false">SUM(C82:N82)</f>
        <v>0</v>
      </c>
      <c r="AO82" s="11" t="n">
        <f aca="false">SUM(O82:Z82)</f>
        <v>78540</v>
      </c>
      <c r="AP82" s="11" t="n">
        <f aca="false">SUM(AA82:AL82)</f>
        <v>618326.72</v>
      </c>
    </row>
    <row r="83" customFormat="false" ht="15" hidden="false" customHeight="false" outlineLevel="0" collapsed="false">
      <c r="A83" s="0" t="s">
        <v>889</v>
      </c>
      <c r="B83" s="0" t="s">
        <v>230</v>
      </c>
      <c r="C83" s="9" t="n">
        <f aca="false">(Assumptions!$D$126*C76)</f>
        <v>0</v>
      </c>
      <c r="D83" s="9" t="n">
        <f aca="false">(Assumptions!$D$126*D76)</f>
        <v>0</v>
      </c>
      <c r="E83" s="9" t="n">
        <f aca="false">(Assumptions!$D$126*E76)</f>
        <v>0</v>
      </c>
      <c r="F83" s="9" t="n">
        <f aca="false">(Assumptions!$D$126*F76)</f>
        <v>0</v>
      </c>
      <c r="G83" s="9" t="n">
        <f aca="false">(Assumptions!$D$126*G76)</f>
        <v>0</v>
      </c>
      <c r="H83" s="9" t="n">
        <f aca="false">(Assumptions!$D$126*H76)</f>
        <v>0</v>
      </c>
      <c r="I83" s="9" t="n">
        <f aca="false">(Assumptions!$D$126*I76)</f>
        <v>0</v>
      </c>
      <c r="J83" s="9" t="n">
        <f aca="false">(Assumptions!$D$126*J76)</f>
        <v>0</v>
      </c>
      <c r="K83" s="9" t="n">
        <f aca="false">(Assumptions!$D$126*K76)</f>
        <v>0</v>
      </c>
      <c r="L83" s="9" t="n">
        <f aca="false">(Assumptions!$D$126*L76)</f>
        <v>0</v>
      </c>
      <c r="M83" s="9" t="n">
        <f aca="false">(Assumptions!$D$126*M76)</f>
        <v>0</v>
      </c>
      <c r="N83" s="9" t="n">
        <f aca="false">(Assumptions!$D$126*N76)</f>
        <v>0</v>
      </c>
      <c r="O83" s="9" t="n">
        <f aca="false">(Assumptions!$D$126*O76)</f>
        <v>0</v>
      </c>
      <c r="P83" s="9" t="n">
        <f aca="false">(Assumptions!$D$126*P76)</f>
        <v>0</v>
      </c>
      <c r="Q83" s="9" t="n">
        <f aca="false">(Assumptions!$D$126*Q76)</f>
        <v>0</v>
      </c>
      <c r="R83" s="9" t="n">
        <f aca="false">(Assumptions!$D$126*R76)</f>
        <v>0</v>
      </c>
      <c r="S83" s="9" t="n">
        <f aca="false">(Assumptions!$D$126*S76)</f>
        <v>0</v>
      </c>
      <c r="T83" s="9" t="n">
        <f aca="false">(Assumptions!$D$126*T76)</f>
        <v>0</v>
      </c>
      <c r="U83" s="9" t="n">
        <f aca="false">(Assumptions!$D$126*U76)</f>
        <v>0</v>
      </c>
      <c r="V83" s="9" t="n">
        <f aca="false">(Assumptions!$D$126*V76)</f>
        <v>0</v>
      </c>
      <c r="W83" s="9" t="n">
        <f aca="false">(Assumptions!$D$126*W76)</f>
        <v>0</v>
      </c>
      <c r="X83" s="9" t="n">
        <f aca="false">(Assumptions!$D$126*X76)</f>
        <v>0</v>
      </c>
      <c r="Y83" s="9" t="n">
        <f aca="false">(Assumptions!$D$126*Y76)</f>
        <v>6750</v>
      </c>
      <c r="Z83" s="9" t="n">
        <f aca="false">(Assumptions!$D$126*Z76)</f>
        <v>0</v>
      </c>
      <c r="AA83" s="9" t="n">
        <f aca="false">(Assumptions!$D$126*AA76)</f>
        <v>0</v>
      </c>
      <c r="AB83" s="9" t="n">
        <f aca="false">(Assumptions!$D$126*AB76)</f>
        <v>6750</v>
      </c>
      <c r="AC83" s="9" t="n">
        <f aca="false">(Assumptions!$D$126*AC76)</f>
        <v>0</v>
      </c>
      <c r="AD83" s="9" t="n">
        <f aca="false">(Assumptions!$D$126*AD76)</f>
        <v>0</v>
      </c>
      <c r="AE83" s="9" t="n">
        <f aca="false">(Assumptions!$D$126*AE76)</f>
        <v>6750</v>
      </c>
      <c r="AF83" s="9" t="n">
        <f aca="false">(Assumptions!$D$126*AF76)</f>
        <v>0</v>
      </c>
      <c r="AG83" s="9" t="n">
        <f aca="false">(Assumptions!$D$126*AG76)</f>
        <v>0</v>
      </c>
      <c r="AH83" s="9" t="n">
        <f aca="false">(Assumptions!$D$126*AH76)</f>
        <v>6750</v>
      </c>
      <c r="AI83" s="9" t="n">
        <f aca="false">(Assumptions!$D$126*AI76)</f>
        <v>0</v>
      </c>
      <c r="AJ83" s="9" t="n">
        <f aca="false">(Assumptions!$D$126*AJ76)</f>
        <v>0</v>
      </c>
      <c r="AK83" s="9" t="n">
        <f aca="false">(Assumptions!$D$126*AK76)</f>
        <v>13500</v>
      </c>
      <c r="AL83" s="9" t="n">
        <f aca="false">(Assumptions!$D$126*AL76)</f>
        <v>0</v>
      </c>
      <c r="AN83" s="11" t="n">
        <f aca="false">SUM(C83:N83)</f>
        <v>0</v>
      </c>
      <c r="AO83" s="11" t="n">
        <f aca="false">SUM(O83:Z83)</f>
        <v>6750</v>
      </c>
      <c r="AP83" s="11" t="n">
        <f aca="false">SUM(AA83:AL83)</f>
        <v>33750</v>
      </c>
    </row>
    <row r="84" customFormat="false" ht="15" hidden="false" customHeight="false" outlineLevel="0" collapsed="false">
      <c r="A84" s="0" t="s">
        <v>890</v>
      </c>
      <c r="B84" s="0" t="s">
        <v>230</v>
      </c>
      <c r="C84" s="9" t="n">
        <f aca="false">((C82-C83)/12)</f>
        <v>0</v>
      </c>
      <c r="D84" s="9" t="n">
        <f aca="false">((SUM(C82:D82)-SUM(C83:D83))/12)</f>
        <v>0</v>
      </c>
      <c r="E84" s="9" t="n">
        <f aca="false">((SUM(C82:E82)-SUM(C83:E83))/12)</f>
        <v>0</v>
      </c>
      <c r="F84" s="9" t="n">
        <f aca="false">((SUM(C82:F82)-SUM(C83:F83))/12)</f>
        <v>0</v>
      </c>
      <c r="G84" s="9" t="n">
        <f aca="false">((SUM(C82:G82)-SUM(C83:G83))/12)</f>
        <v>0</v>
      </c>
      <c r="H84" s="9" t="n">
        <f aca="false">((SUM(C82:H82)-SUM(C83:H83))/12)</f>
        <v>0</v>
      </c>
      <c r="I84" s="9" t="n">
        <f aca="false">((SUM(C82:I82)-SUM(C83:I83))/12)</f>
        <v>0</v>
      </c>
      <c r="J84" s="9" t="n">
        <f aca="false">((SUM(C82:J82)-SUM(C83:J83))/12)</f>
        <v>0</v>
      </c>
      <c r="K84" s="9" t="n">
        <f aca="false">((SUM(C82:K82)-SUM(C83:K83))/12)</f>
        <v>0</v>
      </c>
      <c r="L84" s="9" t="n">
        <f aca="false">((SUM(C82:L82)-SUM(C83:L83))/12)</f>
        <v>0</v>
      </c>
      <c r="M84" s="9" t="n">
        <f aca="false">((SUM(C82:M82)-SUM(C83:M83))/12)</f>
        <v>0</v>
      </c>
      <c r="N84" s="9" t="n">
        <f aca="false">((SUM(C82:N82)-SUM(C83:N83))/12)</f>
        <v>0</v>
      </c>
      <c r="O84" s="9" t="n">
        <f aca="false">((SUM(D82:O82)-SUM(D83:O83))/12)</f>
        <v>0</v>
      </c>
      <c r="P84" s="9" t="n">
        <f aca="false">((SUM(E82:P82)-SUM(E83:P83))/12)</f>
        <v>0</v>
      </c>
      <c r="Q84" s="9" t="n">
        <f aca="false">((SUM(F82:Q82)-SUM(F83:Q83))/12)</f>
        <v>3740</v>
      </c>
      <c r="R84" s="9" t="n">
        <f aca="false">((SUM(G82:R82)-SUM(G83:R83))/12)</f>
        <v>3740</v>
      </c>
      <c r="S84" s="9" t="n">
        <f aca="false">((SUM(H82:S82)-SUM(H83:S83))/12)</f>
        <v>3740</v>
      </c>
      <c r="T84" s="9" t="n">
        <f aca="false">((SUM(I82:T82)-SUM(I83:T83))/12)</f>
        <v>3740</v>
      </c>
      <c r="U84" s="9" t="n">
        <f aca="false">((SUM(J82:U82)-SUM(J83:U83))/12)</f>
        <v>3740</v>
      </c>
      <c r="V84" s="9" t="n">
        <f aca="false">((SUM(K82:V82)-SUM(K83:V83))/12)</f>
        <v>3740</v>
      </c>
      <c r="W84" s="9" t="n">
        <f aca="false">((SUM(L82:W82)-SUM(L83:W83))/12)</f>
        <v>3740</v>
      </c>
      <c r="X84" s="9" t="n">
        <f aca="false">((SUM(M82:X82)-SUM(M83:X83))/12)</f>
        <v>3740</v>
      </c>
      <c r="Y84" s="9" t="n">
        <f aca="false">((SUM(N82:Y82)-SUM(N83:Y83))/12)</f>
        <v>5982.5</v>
      </c>
      <c r="Z84" s="9" t="n">
        <f aca="false">((SUM(O82:Z82)-SUM(O83:Z83))/12)</f>
        <v>5982.5</v>
      </c>
      <c r="AA84" s="9" t="n">
        <f aca="false">((SUM(P82:AA82)-SUM(P83:AA83))/12)</f>
        <v>5982.5</v>
      </c>
      <c r="AB84" s="9" t="n">
        <f aca="false">((SUM(Q82:AB82)-SUM(Q83:AB83))/12)</f>
        <v>14458.3333333333</v>
      </c>
      <c r="AC84" s="9" t="n">
        <f aca="false">((SUM(R82:AC82)-SUM(R83:AC83))/12)</f>
        <v>14338.6533333333</v>
      </c>
      <c r="AD84" s="9" t="n">
        <f aca="false">((SUM(S82:AD82)-SUM(S83:AD83))/12)</f>
        <v>14338.6533333333</v>
      </c>
      <c r="AE84" s="9" t="n">
        <f aca="false">((SUM(T82:AE82)-SUM(T83:AE83))/12)</f>
        <v>22814.4866666667</v>
      </c>
      <c r="AF84" s="9" t="n">
        <f aca="false">((SUM(U82:AF82)-SUM(U83:AF83))/12)</f>
        <v>22814.4866666667</v>
      </c>
      <c r="AG84" s="9" t="n">
        <f aca="false">((SUM(V82:AG82)-SUM(V83:AG83))/12)</f>
        <v>22814.4866666667</v>
      </c>
      <c r="AH84" s="9" t="n">
        <f aca="false">((SUM(W82:AH82)-SUM(W83:AH83))/12)</f>
        <v>31290.32</v>
      </c>
      <c r="AI84" s="9" t="n">
        <f aca="false">((SUM(X82:AI82)-SUM(X83:AI83))/12)</f>
        <v>31290.32</v>
      </c>
      <c r="AJ84" s="9" t="n">
        <f aca="false">((SUM(Y82:AJ82)-SUM(Y83:AJ83))/12)</f>
        <v>31290.32</v>
      </c>
      <c r="AK84" s="9" t="n">
        <f aca="false">((SUM(Z82:AK82)-SUM(Z83:AK83))/12)</f>
        <v>48714.7266666667</v>
      </c>
      <c r="AL84" s="9" t="n">
        <f aca="false">((SUM(AA82:AL82)-SUM(AA83:AL83))/12)</f>
        <v>48714.7266666667</v>
      </c>
      <c r="AN84" s="11" t="n">
        <f aca="false">SUM(C84:N84)</f>
        <v>0</v>
      </c>
      <c r="AO84" s="11" t="n">
        <f aca="false">SUM(O84:Z84)</f>
        <v>41885</v>
      </c>
      <c r="AP84" s="11" t="n">
        <f aca="false">SUM(AA84:AL84)</f>
        <v>308862.013333333</v>
      </c>
    </row>
    <row r="85" customFormat="false" ht="15" hidden="false" customHeight="false" outlineLevel="0" collapsed="false">
      <c r="A85" s="0" t="s">
        <v>891</v>
      </c>
      <c r="B85" s="0" t="s">
        <v>230</v>
      </c>
      <c r="C85" s="9" t="n">
        <f aca="false">(C82-C83)</f>
        <v>0</v>
      </c>
      <c r="D85" s="9" t="n">
        <f aca="false">(D82-D83)</f>
        <v>0</v>
      </c>
      <c r="E85" s="9" t="n">
        <f aca="false">(E82-E83)</f>
        <v>0</v>
      </c>
      <c r="F85" s="9" t="n">
        <f aca="false">(F82-F83)</f>
        <v>0</v>
      </c>
      <c r="G85" s="9" t="n">
        <f aca="false">(G82-G83)</f>
        <v>0</v>
      </c>
      <c r="H85" s="9" t="n">
        <f aca="false">(H82-H83)</f>
        <v>0</v>
      </c>
      <c r="I85" s="9" t="n">
        <f aca="false">(I82-I83)</f>
        <v>0</v>
      </c>
      <c r="J85" s="9" t="n">
        <f aca="false">(J82-J83)</f>
        <v>0</v>
      </c>
      <c r="K85" s="9" t="n">
        <f aca="false">(K82-K83)</f>
        <v>0</v>
      </c>
      <c r="L85" s="9" t="n">
        <f aca="false">(L82-L83)</f>
        <v>0</v>
      </c>
      <c r="M85" s="9" t="n">
        <f aca="false">(M82-M83)</f>
        <v>0</v>
      </c>
      <c r="N85" s="9" t="n">
        <f aca="false">(N82-N83)</f>
        <v>0</v>
      </c>
      <c r="O85" s="9" t="n">
        <f aca="false">(O82-O83)</f>
        <v>0</v>
      </c>
      <c r="P85" s="9" t="n">
        <f aca="false">(P82-P83)</f>
        <v>0</v>
      </c>
      <c r="Q85" s="9" t="n">
        <f aca="false">(Q82-Q83)</f>
        <v>44880</v>
      </c>
      <c r="R85" s="9" t="n">
        <f aca="false">(R82-R83)</f>
        <v>0</v>
      </c>
      <c r="S85" s="9" t="n">
        <f aca="false">(S82-S83)</f>
        <v>0</v>
      </c>
      <c r="T85" s="9" t="n">
        <f aca="false">(T82-T83)</f>
        <v>0</v>
      </c>
      <c r="U85" s="9" t="n">
        <f aca="false">(U82-U83)</f>
        <v>0</v>
      </c>
      <c r="V85" s="9" t="n">
        <f aca="false">(V82-V83)</f>
        <v>0</v>
      </c>
      <c r="W85" s="9" t="n">
        <f aca="false">(W82-W83)</f>
        <v>0</v>
      </c>
      <c r="X85" s="9" t="n">
        <f aca="false">(X82-X83)</f>
        <v>0</v>
      </c>
      <c r="Y85" s="9" t="n">
        <f aca="false">(Y82-Y83)</f>
        <v>26910</v>
      </c>
      <c r="Z85" s="9" t="n">
        <f aca="false">(Z82-Z83)</f>
        <v>0</v>
      </c>
      <c r="AA85" s="9" t="n">
        <f aca="false">(AA82-AA83)</f>
        <v>0</v>
      </c>
      <c r="AB85" s="9" t="n">
        <f aca="false">(AB82-AB83)</f>
        <v>101710</v>
      </c>
      <c r="AC85" s="9" t="n">
        <f aca="false">(AC82-AC83)</f>
        <v>43443.84</v>
      </c>
      <c r="AD85" s="9" t="n">
        <f aca="false">(AD82-AD83)</f>
        <v>0</v>
      </c>
      <c r="AE85" s="9" t="n">
        <f aca="false">(AE82-AE83)</f>
        <v>101710</v>
      </c>
      <c r="AF85" s="9" t="n">
        <f aca="false">(AF82-AF83)</f>
        <v>0</v>
      </c>
      <c r="AG85" s="9" t="n">
        <f aca="false">(AG82-AG83)</f>
        <v>0</v>
      </c>
      <c r="AH85" s="9" t="n">
        <f aca="false">(AH82-AH83)</f>
        <v>101710</v>
      </c>
      <c r="AI85" s="9" t="n">
        <f aca="false">(AI82-AI83)</f>
        <v>0</v>
      </c>
      <c r="AJ85" s="9" t="n">
        <f aca="false">(AJ82-AJ83)</f>
        <v>0</v>
      </c>
      <c r="AK85" s="9" t="n">
        <f aca="false">(AK82-AK83)</f>
        <v>236002.88</v>
      </c>
      <c r="AL85" s="9" t="n">
        <f aca="false">(AL82-AL83)</f>
        <v>0</v>
      </c>
      <c r="AN85" s="11" t="n">
        <f aca="false">SUM(C85:N85)</f>
        <v>0</v>
      </c>
      <c r="AO85" s="11" t="n">
        <f aca="false">SUM(O85:Z85)</f>
        <v>71790</v>
      </c>
      <c r="AP85" s="11" t="n">
        <f aca="false">SUM(AA85:AL85)</f>
        <v>584576.72</v>
      </c>
    </row>
    <row r="86" customFormat="false" ht="15" hidden="false" customHeight="false" outlineLevel="0" collapsed="false">
      <c r="A86" s="0" t="s">
        <v>892</v>
      </c>
      <c r="B86" s="0" t="s">
        <v>230</v>
      </c>
      <c r="C86" s="9" t="n">
        <f aca="false">(((Assumptions!$D$122*$C$10)/6)*C75)</f>
        <v>0</v>
      </c>
      <c r="D86" s="9" t="n">
        <f aca="false">(((Assumptions!$D$122*$C$10)/6)*D75)</f>
        <v>0</v>
      </c>
      <c r="E86" s="9" t="n">
        <f aca="false">(((Assumptions!$D$122*$C$10)/6)*E75)</f>
        <v>0</v>
      </c>
      <c r="F86" s="9" t="n">
        <f aca="false">(((Assumptions!$D$122*$C$10)/6)*F75)</f>
        <v>0</v>
      </c>
      <c r="G86" s="9" t="n">
        <f aca="false">(((Assumptions!$D$122*$C$10)/6)*G75)</f>
        <v>0</v>
      </c>
      <c r="H86" s="9" t="n">
        <f aca="false">(((Assumptions!$D$122*$C$10)/6)*H75)</f>
        <v>0</v>
      </c>
      <c r="I86" s="9" t="n">
        <f aca="false">(((Assumptions!$D$122*$C$10)/6)*I75)</f>
        <v>0</v>
      </c>
      <c r="J86" s="9" t="n">
        <f aca="false">(((Assumptions!$D$122*$C$10)/6)*J75)</f>
        <v>0</v>
      </c>
      <c r="K86" s="9" t="n">
        <f aca="false">(((Assumptions!$D$122*$C$10)/6)*K75)</f>
        <v>0</v>
      </c>
      <c r="L86" s="9" t="n">
        <f aca="false">(((Assumptions!$D$122*$C$10)/6)*L75)</f>
        <v>0</v>
      </c>
      <c r="M86" s="9" t="n">
        <f aca="false">(((Assumptions!$D$122*$C$10)/6)*M75)</f>
        <v>0</v>
      </c>
      <c r="N86" s="9" t="n">
        <f aca="false">(((Assumptions!$D$122*$C$10)/6)*N75)</f>
        <v>0</v>
      </c>
      <c r="O86" s="9" t="n">
        <f aca="false">(((Assumptions!$D$122*$C$10)/6)*O75)</f>
        <v>0</v>
      </c>
      <c r="P86" s="9" t="n">
        <f aca="false">(((Assumptions!$D$122*$C$10)/6)*P75)</f>
        <v>0</v>
      </c>
      <c r="Q86" s="9" t="n">
        <f aca="false">(((Assumptions!$D$122*$C$10)/6)*Q75)</f>
        <v>0</v>
      </c>
      <c r="R86" s="9" t="n">
        <f aca="false">(((Assumptions!$D$122*$C$10)/6)*R75)</f>
        <v>5000</v>
      </c>
      <c r="S86" s="9" t="n">
        <f aca="false">(((Assumptions!$D$122*$C$10)/6)*S75)</f>
        <v>5000</v>
      </c>
      <c r="T86" s="9" t="n">
        <f aca="false">(((Assumptions!$D$122*$C$10)/6)*T75)</f>
        <v>5000</v>
      </c>
      <c r="U86" s="9" t="n">
        <f aca="false">(((Assumptions!$D$122*$C$10)/6)*U75)</f>
        <v>10000</v>
      </c>
      <c r="V86" s="9" t="n">
        <f aca="false">(((Assumptions!$D$122*$C$10)/6)*V75)</f>
        <v>10000</v>
      </c>
      <c r="W86" s="9" t="n">
        <f aca="false">(((Assumptions!$D$122*$C$10)/6)*W75)</f>
        <v>10000</v>
      </c>
      <c r="X86" s="9" t="n">
        <f aca="false">(((Assumptions!$D$122*$C$10)/6)*X75)</f>
        <v>10000</v>
      </c>
      <c r="Y86" s="9" t="n">
        <f aca="false">(((Assumptions!$D$122*$C$10)/6)*Y75)</f>
        <v>10000</v>
      </c>
      <c r="Z86" s="9" t="n">
        <f aca="false">(((Assumptions!$D$122*$C$10)/6)*Z75)</f>
        <v>10000</v>
      </c>
      <c r="AA86" s="9" t="n">
        <f aca="false">(((Assumptions!$D$122*$C$10)/6)*AA75)</f>
        <v>10000</v>
      </c>
      <c r="AB86" s="9" t="n">
        <f aca="false">(((Assumptions!$D$122*$C$10)/6)*AB75)</f>
        <v>10000</v>
      </c>
      <c r="AC86" s="9" t="n">
        <f aca="false">(((Assumptions!$D$122*$C$10)/6)*AC75)</f>
        <v>10000</v>
      </c>
      <c r="AD86" s="9" t="n">
        <f aca="false">(((Assumptions!$D$122*$C$10)/6)*AD75)</f>
        <v>15000</v>
      </c>
      <c r="AE86" s="9" t="n">
        <f aca="false">(((Assumptions!$D$122*$C$10)/6)*AE75)</f>
        <v>15000</v>
      </c>
      <c r="AF86" s="9" t="n">
        <f aca="false">(((Assumptions!$D$122*$C$10)/6)*AF75)</f>
        <v>15000</v>
      </c>
      <c r="AG86" s="9" t="n">
        <f aca="false">(((Assumptions!$D$122*$C$10)/6)*AG75)</f>
        <v>20000</v>
      </c>
      <c r="AH86" s="9" t="n">
        <f aca="false">(((Assumptions!$D$122*$C$10)/6)*AH75)</f>
        <v>20000</v>
      </c>
      <c r="AI86" s="9" t="n">
        <f aca="false">(((Assumptions!$D$122*$C$10)/6)*AI75)</f>
        <v>20000</v>
      </c>
      <c r="AJ86" s="9" t="n">
        <f aca="false">(((Assumptions!$D$122*$C$10)/6)*AJ75)</f>
        <v>20000</v>
      </c>
      <c r="AK86" s="9" t="n">
        <f aca="false">(((Assumptions!$D$122*$C$10)/6)*AK75)</f>
        <v>20000</v>
      </c>
      <c r="AL86" s="9" t="n">
        <f aca="false">(((Assumptions!$D$122*$C$10)/6)*AL75)</f>
        <v>20000</v>
      </c>
      <c r="AN86" s="11" t="n">
        <f aca="false">SUM(C86:N86)</f>
        <v>0</v>
      </c>
      <c r="AO86" s="11" t="n">
        <f aca="false">SUM(O86:Z86)</f>
        <v>75000</v>
      </c>
      <c r="AP86" s="11" t="n">
        <f aca="false">SUM(AA86:AL86)</f>
        <v>195000</v>
      </c>
    </row>
    <row r="87" customFormat="false" ht="15" hidden="false" customHeight="false" outlineLevel="0" collapsed="false">
      <c r="A87" s="0" t="s">
        <v>893</v>
      </c>
      <c r="B87" s="0" t="s">
        <v>230</v>
      </c>
      <c r="C87" s="9" t="n">
        <f aca="false">((Assumptions!$D$122*$C$10)*C69)</f>
        <v>0</v>
      </c>
      <c r="D87" s="9" t="n">
        <f aca="false">((Assumptions!$D$122*$C$10)*D69)</f>
        <v>0</v>
      </c>
      <c r="E87" s="9" t="n">
        <f aca="false">((Assumptions!$D$122*$C$10)*E69)</f>
        <v>0</v>
      </c>
      <c r="F87" s="9" t="n">
        <f aca="false">((Assumptions!$D$122*$C$10)*F69)</f>
        <v>0</v>
      </c>
      <c r="G87" s="9" t="n">
        <f aca="false">((Assumptions!$D$122*$C$10)*G69)</f>
        <v>0</v>
      </c>
      <c r="H87" s="9" t="n">
        <f aca="false">((Assumptions!$D$122*$C$10)*H69)</f>
        <v>0</v>
      </c>
      <c r="I87" s="9" t="n">
        <f aca="false">((Assumptions!$D$122*$C$10)*I69)</f>
        <v>0</v>
      </c>
      <c r="J87" s="9" t="n">
        <f aca="false">((Assumptions!$D$122*$C$10)*J69)</f>
        <v>0</v>
      </c>
      <c r="K87" s="9" t="n">
        <f aca="false">((Assumptions!$D$122*$C$10)*K69)</f>
        <v>0</v>
      </c>
      <c r="L87" s="9" t="n">
        <f aca="false">((Assumptions!$D$122*$C$10)*L69)</f>
        <v>0</v>
      </c>
      <c r="M87" s="9" t="n">
        <f aca="false">((Assumptions!$D$122*$C$10)*M69)</f>
        <v>0</v>
      </c>
      <c r="N87" s="9" t="n">
        <f aca="false">((Assumptions!$D$122*$C$10)*N69)</f>
        <v>0</v>
      </c>
      <c r="O87" s="9" t="n">
        <f aca="false">((Assumptions!$D$122*$C$10)*O69)</f>
        <v>0</v>
      </c>
      <c r="P87" s="9" t="n">
        <f aca="false">((Assumptions!$D$122*$C$10)*P69)</f>
        <v>0</v>
      </c>
      <c r="Q87" s="9" t="n">
        <f aca="false">((Assumptions!$D$122*$C$10)*Q69)</f>
        <v>0</v>
      </c>
      <c r="R87" s="9" t="n">
        <f aca="false">((Assumptions!$D$122*$C$10)*R69)</f>
        <v>30000</v>
      </c>
      <c r="S87" s="9" t="n">
        <f aca="false">((Assumptions!$D$122*$C$10)*S69)</f>
        <v>0</v>
      </c>
      <c r="T87" s="9" t="n">
        <f aca="false">((Assumptions!$D$122*$C$10)*T69)</f>
        <v>0</v>
      </c>
      <c r="U87" s="9" t="n">
        <f aca="false">((Assumptions!$D$122*$C$10)*U69)</f>
        <v>30000</v>
      </c>
      <c r="V87" s="9" t="n">
        <f aca="false">((Assumptions!$D$122*$C$10)*V69)</f>
        <v>0</v>
      </c>
      <c r="W87" s="9" t="n">
        <f aca="false">((Assumptions!$D$122*$C$10)*W69)</f>
        <v>0</v>
      </c>
      <c r="X87" s="9" t="n">
        <f aca="false">((Assumptions!$D$122*$C$10)*X69)</f>
        <v>30000</v>
      </c>
      <c r="Y87" s="9" t="n">
        <f aca="false">((Assumptions!$D$122*$C$10)*Y69)</f>
        <v>0</v>
      </c>
      <c r="Z87" s="9" t="n">
        <f aca="false">((Assumptions!$D$122*$C$10)*Z69)</f>
        <v>0</v>
      </c>
      <c r="AA87" s="9" t="n">
        <f aca="false">((Assumptions!$D$122*$C$10)*AA69)</f>
        <v>30000</v>
      </c>
      <c r="AB87" s="9" t="n">
        <f aca="false">((Assumptions!$D$122*$C$10)*AB69)</f>
        <v>0</v>
      </c>
      <c r="AC87" s="9" t="n">
        <f aca="false">((Assumptions!$D$122*$C$10)*AC69)</f>
        <v>0</v>
      </c>
      <c r="AD87" s="9" t="n">
        <f aca="false">((Assumptions!$D$122*$C$10)*AD69)</f>
        <v>60000</v>
      </c>
      <c r="AE87" s="9" t="n">
        <f aca="false">((Assumptions!$D$122*$C$10)*AE69)</f>
        <v>0</v>
      </c>
      <c r="AF87" s="9" t="n">
        <f aca="false">((Assumptions!$D$122*$C$10)*AF69)</f>
        <v>0</v>
      </c>
      <c r="AG87" s="9" t="n">
        <f aca="false">((Assumptions!$D$122*$C$10)*AG69)</f>
        <v>60000</v>
      </c>
      <c r="AH87" s="9" t="n">
        <f aca="false">((Assumptions!$D$122*$C$10)*AH69)</f>
        <v>0</v>
      </c>
      <c r="AI87" s="9" t="n">
        <f aca="false">((Assumptions!$D$122*$C$10)*AI69)</f>
        <v>0</v>
      </c>
      <c r="AJ87" s="9" t="n">
        <f aca="false">((Assumptions!$D$122*$C$10)*AJ69)</f>
        <v>60000</v>
      </c>
      <c r="AK87" s="9" t="n">
        <f aca="false">((Assumptions!$D$122*$C$10)*AK69)</f>
        <v>0</v>
      </c>
      <c r="AL87" s="9" t="n">
        <f aca="false">((Assumptions!$D$122*$C$10)*AL69)</f>
        <v>0</v>
      </c>
      <c r="AN87" s="11" t="n">
        <f aca="false">SUM(C87:N87)</f>
        <v>0</v>
      </c>
      <c r="AO87" s="11" t="n">
        <f aca="false">SUM(O87:Z87)</f>
        <v>90000</v>
      </c>
      <c r="AP87" s="11" t="n">
        <f aca="false">SUM(AA87:AL87)</f>
        <v>210000</v>
      </c>
    </row>
    <row r="88" customFormat="false" ht="15" hidden="false" customHeight="false" outlineLevel="0" collapsed="false">
      <c r="A88" s="0" t="s">
        <v>894</v>
      </c>
      <c r="B88" s="0" t="s">
        <v>230</v>
      </c>
      <c r="C88" s="9" t="n">
        <f aca="false">((Assumptions!$D$123*$C$10)+(Assumptions!$C$34*Assumptions!$C$35))</f>
        <v>46000</v>
      </c>
      <c r="D88" s="9" t="n">
        <f aca="false">((Assumptions!$D$123*$C$10)+(Assumptions!$C$34*Assumptions!$C$35))</f>
        <v>46000</v>
      </c>
      <c r="E88" s="9" t="n">
        <f aca="false">((Assumptions!$D$123*$C$10)+(Assumptions!$C$34*Assumptions!$C$35))</f>
        <v>46000</v>
      </c>
      <c r="F88" s="9" t="n">
        <f aca="false">((Assumptions!$D$123*$C$10)+(Assumptions!$C$34*Assumptions!$C$35))</f>
        <v>46000</v>
      </c>
      <c r="G88" s="9" t="n">
        <f aca="false">((Assumptions!$D$123*$C$10)+(Assumptions!$C$34*Assumptions!$C$35))</f>
        <v>46000</v>
      </c>
      <c r="H88" s="9" t="n">
        <f aca="false">((Assumptions!$D$123*$C$10)+(Assumptions!$C$34*Assumptions!$C$35))</f>
        <v>46000</v>
      </c>
      <c r="I88" s="9" t="n">
        <f aca="false">((Assumptions!$D$123*$C$10)+(Assumptions!$C$34*Assumptions!$C$35))</f>
        <v>46000</v>
      </c>
      <c r="J88" s="9" t="n">
        <f aca="false">((Assumptions!$D$123*$C$10)+(Assumptions!$C$34*Assumptions!$C$35))</f>
        <v>46000</v>
      </c>
      <c r="K88" s="9" t="n">
        <f aca="false">((Assumptions!$D$123*$C$10)+(Assumptions!$C$34*Assumptions!$C$35))</f>
        <v>46000</v>
      </c>
      <c r="L88" s="9" t="n">
        <f aca="false">((Assumptions!$D$123*$C$10)+(Assumptions!$C$34*Assumptions!$C$35))</f>
        <v>46000</v>
      </c>
      <c r="M88" s="9" t="n">
        <f aca="false">((Assumptions!$D$123*$C$10)+(Assumptions!$C$34*Assumptions!$C$35))</f>
        <v>46000</v>
      </c>
      <c r="N88" s="9" t="n">
        <f aca="false">((Assumptions!$D$123*$C$10)+(Assumptions!$C$34*Assumptions!$C$35))</f>
        <v>46000</v>
      </c>
      <c r="O88" s="9" t="n">
        <f aca="false">((Assumptions!$D$123*$C$10)+(Assumptions!$C$34*Assumptions!$C$35))</f>
        <v>46000</v>
      </c>
      <c r="P88" s="9" t="n">
        <f aca="false">((Assumptions!$D$123*$C$10)+(Assumptions!$C$34*Assumptions!$C$35))</f>
        <v>46000</v>
      </c>
      <c r="Q88" s="9" t="n">
        <f aca="false">((Assumptions!$D$123*$C$10)+(Assumptions!$C$34*Assumptions!$C$35))</f>
        <v>46000</v>
      </c>
      <c r="R88" s="9" t="n">
        <f aca="false">((Assumptions!$D$123*$C$10)+(Assumptions!$C$34*Assumptions!$C$35))</f>
        <v>46000</v>
      </c>
      <c r="S88" s="9" t="n">
        <f aca="false">((Assumptions!$D$123*$C$10)+(Assumptions!$C$34*Assumptions!$C$35))</f>
        <v>46000</v>
      </c>
      <c r="T88" s="9" t="n">
        <f aca="false">((Assumptions!$D$123*$C$10)+(Assumptions!$C$34*Assumptions!$C$35))</f>
        <v>46000</v>
      </c>
      <c r="U88" s="9" t="n">
        <f aca="false">((Assumptions!$D$123*$C$10)+(Assumptions!$C$34*Assumptions!$C$35))</f>
        <v>46000</v>
      </c>
      <c r="V88" s="9" t="n">
        <f aca="false">((Assumptions!$D$123*$C$10)+(Assumptions!$C$34*Assumptions!$C$35))</f>
        <v>46000</v>
      </c>
      <c r="W88" s="9" t="n">
        <f aca="false">((Assumptions!$D$123*$C$10)+(Assumptions!$C$34*Assumptions!$C$35))</f>
        <v>46000</v>
      </c>
      <c r="X88" s="9" t="n">
        <f aca="false">((Assumptions!$D$123*$C$10)+(Assumptions!$C$34*Assumptions!$C$35))</f>
        <v>46000</v>
      </c>
      <c r="Y88" s="9" t="n">
        <f aca="false">((Assumptions!$D$123*$C$10)+(Assumptions!$C$34*Assumptions!$C$35))</f>
        <v>46000</v>
      </c>
      <c r="Z88" s="9" t="n">
        <f aca="false">((Assumptions!$D$123*$C$10)+(Assumptions!$C$34*Assumptions!$C$35))</f>
        <v>46000</v>
      </c>
      <c r="AA88" s="9" t="n">
        <f aca="false">((Assumptions!$D$123*$C$10)+(Assumptions!$C$34*Assumptions!$C$35))</f>
        <v>46000</v>
      </c>
      <c r="AB88" s="9" t="n">
        <f aca="false">((Assumptions!$D$123*$C$10)+(Assumptions!$C$34*Assumptions!$C$35))</f>
        <v>46000</v>
      </c>
      <c r="AC88" s="9" t="n">
        <f aca="false">((Assumptions!$D$123*$C$10)+(Assumptions!$C$34*Assumptions!$C$35))</f>
        <v>46000</v>
      </c>
      <c r="AD88" s="9" t="n">
        <f aca="false">((Assumptions!$D$123*$C$10)+(Assumptions!$C$34*Assumptions!$C$35))</f>
        <v>46000</v>
      </c>
      <c r="AE88" s="9" t="n">
        <f aca="false">((Assumptions!$D$123*$C$10)+(Assumptions!$C$34*Assumptions!$C$35))</f>
        <v>46000</v>
      </c>
      <c r="AF88" s="9" t="n">
        <f aca="false">((Assumptions!$D$123*$C$10)+(Assumptions!$C$34*Assumptions!$C$35))</f>
        <v>46000</v>
      </c>
      <c r="AG88" s="9" t="n">
        <f aca="false">((Assumptions!$D$123*$C$10)+(Assumptions!$C$34*Assumptions!$C$35))</f>
        <v>46000</v>
      </c>
      <c r="AH88" s="9" t="n">
        <f aca="false">((Assumptions!$D$123*$C$10)+(Assumptions!$C$34*Assumptions!$C$35))</f>
        <v>46000</v>
      </c>
      <c r="AI88" s="9" t="n">
        <f aca="false">((Assumptions!$D$123*$C$10)+(Assumptions!$C$34*Assumptions!$C$35))</f>
        <v>46000</v>
      </c>
      <c r="AJ88" s="9" t="n">
        <f aca="false">((Assumptions!$D$123*$C$10)+(Assumptions!$C$34*Assumptions!$C$35))</f>
        <v>46000</v>
      </c>
      <c r="AK88" s="9" t="n">
        <f aca="false">((Assumptions!$D$123*$C$10)+(Assumptions!$C$34*Assumptions!$C$35))</f>
        <v>46000</v>
      </c>
      <c r="AL88" s="9" t="n">
        <f aca="false">((Assumptions!$D$123*$C$10)+(Assumptions!$C$34*Assumptions!$C$35))</f>
        <v>46000</v>
      </c>
    </row>
    <row r="89" customFormat="false" ht="15" hidden="false" customHeight="false" outlineLevel="0" collapsed="false">
      <c r="A89" s="0" t="s">
        <v>895</v>
      </c>
      <c r="B89" s="0" t="s">
        <v>230</v>
      </c>
      <c r="C89" s="9" t="n">
        <f aca="false">((C88/3)*C73)</f>
        <v>0</v>
      </c>
      <c r="D89" s="9" t="n">
        <f aca="false">((D88/3)*SUM(C73:D73))</f>
        <v>0</v>
      </c>
      <c r="E89" s="9" t="n">
        <f aca="false">((E88/3)*SUM(C73:E73))</f>
        <v>0</v>
      </c>
      <c r="F89" s="9" t="n">
        <f aca="false">((F88/3)*SUM(D73:F73))</f>
        <v>0</v>
      </c>
      <c r="G89" s="9" t="n">
        <f aca="false">((G88/3)*SUM(E73:G73))</f>
        <v>0</v>
      </c>
      <c r="H89" s="9" t="n">
        <f aca="false">((H88/3)*SUM(F73:H73))</f>
        <v>0</v>
      </c>
      <c r="I89" s="9" t="n">
        <f aca="false">((I88/3)*SUM(G73:I73))</f>
        <v>0</v>
      </c>
      <c r="J89" s="9" t="n">
        <f aca="false">((J88/3)*SUM(H73:J73))</f>
        <v>0</v>
      </c>
      <c r="K89" s="9" t="n">
        <f aca="false">((K88/3)*SUM(I73:K73))</f>
        <v>0</v>
      </c>
      <c r="L89" s="9" t="n">
        <f aca="false">((L88/3)*SUM(J73:L73))</f>
        <v>0</v>
      </c>
      <c r="M89" s="9" t="n">
        <f aca="false">((M88/3)*SUM(K73:M73))</f>
        <v>0</v>
      </c>
      <c r="N89" s="9" t="n">
        <f aca="false">((N88/3)*SUM(L73:N73))</f>
        <v>0</v>
      </c>
      <c r="O89" s="9" t="n">
        <f aca="false">((O88/3)*SUM(M73:O73))</f>
        <v>0</v>
      </c>
      <c r="P89" s="9" t="n">
        <f aca="false">((P88/3)*SUM(N73:P73))</f>
        <v>0</v>
      </c>
      <c r="Q89" s="9" t="n">
        <f aca="false">((Q88/3)*SUM(O73:Q73))</f>
        <v>0</v>
      </c>
      <c r="R89" s="9" t="n">
        <f aca="false">((R88/3)*SUM(P73:R73))</f>
        <v>15333.3333333333</v>
      </c>
      <c r="S89" s="9" t="n">
        <f aca="false">((S88/3)*SUM(Q73:S73))</f>
        <v>15333.3333333333</v>
      </c>
      <c r="T89" s="9" t="n">
        <f aca="false">((T88/3)*SUM(R73:T73))</f>
        <v>15333.3333333333</v>
      </c>
      <c r="U89" s="9" t="n">
        <f aca="false">((U88/3)*SUM(S73:U73))</f>
        <v>15333.3333333333</v>
      </c>
      <c r="V89" s="9" t="n">
        <f aca="false">((V88/3)*SUM(T73:V73))</f>
        <v>15333.3333333333</v>
      </c>
      <c r="W89" s="9" t="n">
        <f aca="false">((W88/3)*SUM(U73:W73))</f>
        <v>15333.3333333333</v>
      </c>
      <c r="X89" s="9" t="n">
        <f aca="false">((X88/3)*SUM(V73:X73))</f>
        <v>15333.3333333333</v>
      </c>
      <c r="Y89" s="9" t="n">
        <f aca="false">((Y88/3)*SUM(W73:Y73))</f>
        <v>15333.3333333333</v>
      </c>
      <c r="Z89" s="9" t="n">
        <f aca="false">((Z88/3)*SUM(X73:Z73))</f>
        <v>15333.3333333333</v>
      </c>
      <c r="AA89" s="9" t="n">
        <f aca="false">((AA88/3)*SUM(Y73:AA73))</f>
        <v>15333.3333333333</v>
      </c>
      <c r="AB89" s="9" t="n">
        <f aca="false">((AB88/3)*SUM(Z73:AB73))</f>
        <v>30666.6666666667</v>
      </c>
      <c r="AC89" s="9" t="n">
        <f aca="false">((AC88/3)*SUM(AA73:AC73))</f>
        <v>30666.6666666667</v>
      </c>
      <c r="AD89" s="9" t="n">
        <f aca="false">((AD88/3)*SUM(AB73:AD73))</f>
        <v>46000</v>
      </c>
      <c r="AE89" s="9" t="n">
        <f aca="false">((AE88/3)*SUM(AC73:AE73))</f>
        <v>46000</v>
      </c>
      <c r="AF89" s="9" t="n">
        <f aca="false">((AF88/3)*SUM(AD73:AF73))</f>
        <v>46000</v>
      </c>
      <c r="AG89" s="9" t="n">
        <f aca="false">((AG88/3)*SUM(AE73:AG73))</f>
        <v>46000</v>
      </c>
      <c r="AH89" s="9" t="n">
        <f aca="false">((AH88/3)*SUM(AF73:AH73))</f>
        <v>46000</v>
      </c>
      <c r="AI89" s="9" t="n">
        <f aca="false">((AI88/3)*SUM(AG73:AI73))</f>
        <v>46000</v>
      </c>
      <c r="AJ89" s="9" t="n">
        <f aca="false">((AJ88/3)*SUM(AH73:AJ73))</f>
        <v>46000</v>
      </c>
      <c r="AK89" s="9" t="n">
        <f aca="false">((AK88/3)*SUM(AI73:AK73))</f>
        <v>61333.3333333333</v>
      </c>
      <c r="AL89" s="9" t="n">
        <f aca="false">((AL88/3)*SUM(AJ73:AL73))</f>
        <v>61333.3333333333</v>
      </c>
      <c r="AN89" s="11" t="n">
        <f aca="false">SUM(C89:N89)</f>
        <v>0</v>
      </c>
      <c r="AO89" s="11" t="n">
        <f aca="false">SUM(O89:Z89)</f>
        <v>138000</v>
      </c>
      <c r="AP89" s="11" t="n">
        <f aca="false">SUM(AA89:AL89)</f>
        <v>521333.333333333</v>
      </c>
    </row>
    <row r="90" customFormat="false" ht="15" hidden="false" customHeight="false" outlineLevel="0" collapsed="false">
      <c r="A90" s="0" t="s">
        <v>896</v>
      </c>
      <c r="B90" s="0" t="s">
        <v>230</v>
      </c>
      <c r="C90" s="9" t="n">
        <f aca="false">(C88*C73)</f>
        <v>0</v>
      </c>
      <c r="D90" s="9" t="n">
        <f aca="false">(D88*D73)</f>
        <v>0</v>
      </c>
      <c r="E90" s="9" t="n">
        <f aca="false">(E88*E73)</f>
        <v>0</v>
      </c>
      <c r="F90" s="9" t="n">
        <f aca="false">(F88*F73)</f>
        <v>0</v>
      </c>
      <c r="G90" s="9" t="n">
        <f aca="false">(G88*G73)</f>
        <v>0</v>
      </c>
      <c r="H90" s="9" t="n">
        <f aca="false">(H88*H73)</f>
        <v>0</v>
      </c>
      <c r="I90" s="9" t="n">
        <f aca="false">(I88*I73)</f>
        <v>0</v>
      </c>
      <c r="J90" s="9" t="n">
        <f aca="false">(J88*J73)</f>
        <v>0</v>
      </c>
      <c r="K90" s="9" t="n">
        <f aca="false">(K88*K73)</f>
        <v>0</v>
      </c>
      <c r="L90" s="9" t="n">
        <f aca="false">(L88*L73)</f>
        <v>0</v>
      </c>
      <c r="M90" s="9" t="n">
        <f aca="false">(M88*M73)</f>
        <v>0</v>
      </c>
      <c r="N90" s="9" t="n">
        <f aca="false">(N88*N73)</f>
        <v>0</v>
      </c>
      <c r="O90" s="9" t="n">
        <f aca="false">(O88*O73)</f>
        <v>0</v>
      </c>
      <c r="P90" s="9" t="n">
        <f aca="false">(P88*P73)</f>
        <v>0</v>
      </c>
      <c r="Q90" s="9" t="n">
        <f aca="false">(Q88*Q73)</f>
        <v>0</v>
      </c>
      <c r="R90" s="9" t="n">
        <f aca="false">(R88*R73)</f>
        <v>46000</v>
      </c>
      <c r="S90" s="9" t="n">
        <f aca="false">(S88*S73)</f>
        <v>0</v>
      </c>
      <c r="T90" s="9" t="n">
        <f aca="false">(T88*T73)</f>
        <v>0</v>
      </c>
      <c r="U90" s="9" t="n">
        <f aca="false">(U88*U73)</f>
        <v>46000</v>
      </c>
      <c r="V90" s="9" t="n">
        <f aca="false">(V88*V73)</f>
        <v>0</v>
      </c>
      <c r="W90" s="9" t="n">
        <f aca="false">(W88*W73)</f>
        <v>0</v>
      </c>
      <c r="X90" s="9" t="n">
        <f aca="false">(X88*X73)</f>
        <v>46000</v>
      </c>
      <c r="Y90" s="9" t="n">
        <f aca="false">(Y88*Y73)</f>
        <v>0</v>
      </c>
      <c r="Z90" s="9" t="n">
        <f aca="false">(Z88*Z73)</f>
        <v>0</v>
      </c>
      <c r="AA90" s="9" t="n">
        <f aca="false">(AA88*AA73)</f>
        <v>46000</v>
      </c>
      <c r="AB90" s="9" t="n">
        <f aca="false">(AB88*AB73)</f>
        <v>46000</v>
      </c>
      <c r="AC90" s="9" t="n">
        <f aca="false">(AC88*AC73)</f>
        <v>0</v>
      </c>
      <c r="AD90" s="9" t="n">
        <f aca="false">(AD88*AD73)</f>
        <v>92000</v>
      </c>
      <c r="AE90" s="9" t="n">
        <f aca="false">(AE88*AE73)</f>
        <v>46000</v>
      </c>
      <c r="AF90" s="9" t="n">
        <f aca="false">(AF88*AF73)</f>
        <v>0</v>
      </c>
      <c r="AG90" s="9" t="n">
        <f aca="false">(AG88*AG73)</f>
        <v>92000</v>
      </c>
      <c r="AH90" s="9" t="n">
        <f aca="false">(AH88*AH73)</f>
        <v>46000</v>
      </c>
      <c r="AI90" s="9" t="n">
        <f aca="false">(AI88*AI73)</f>
        <v>0</v>
      </c>
      <c r="AJ90" s="9" t="n">
        <f aca="false">(AJ88*AJ73)</f>
        <v>92000</v>
      </c>
      <c r="AK90" s="9" t="n">
        <f aca="false">(AK88*AK73)</f>
        <v>92000</v>
      </c>
      <c r="AL90" s="9" t="n">
        <f aca="false">(AL88*AL73)</f>
        <v>0</v>
      </c>
      <c r="AN90" s="11" t="n">
        <f aca="false">SUM(C90:N90)</f>
        <v>0</v>
      </c>
      <c r="AO90" s="11" t="n">
        <f aca="false">SUM(O90:Z90)</f>
        <v>138000</v>
      </c>
      <c r="AP90" s="11" t="n">
        <f aca="false">SUM(AA90:AL90)</f>
        <v>552000</v>
      </c>
    </row>
    <row r="91" customFormat="false" ht="15" hidden="false" customHeight="false" outlineLevel="0" collapsed="false">
      <c r="A91" s="0" t="s">
        <v>897</v>
      </c>
      <c r="B91" s="0" t="s">
        <v>285</v>
      </c>
      <c r="C91" s="9" t="n">
        <f aca="false">((C70*Assumptions!$D$124)+(C73*(Assumptions!$D$124+(Assumptions!$C$34*Assumptions!$C$36))))</f>
        <v>0</v>
      </c>
      <c r="D91" s="9" t="n">
        <f aca="false">((D70*Assumptions!$D$124)+(D73*(Assumptions!$D$124+(Assumptions!$C$34*Assumptions!$C$36))))</f>
        <v>0</v>
      </c>
      <c r="E91" s="9" t="n">
        <f aca="false">((E70*Assumptions!$D$124)+(E73*(Assumptions!$D$124+(Assumptions!$C$34*Assumptions!$C$36))))</f>
        <v>0</v>
      </c>
      <c r="F91" s="9" t="n">
        <f aca="false">((F70*Assumptions!$D$124)+(F73*(Assumptions!$D$124+(Assumptions!$C$34*Assumptions!$C$36))))</f>
        <v>0</v>
      </c>
      <c r="G91" s="9" t="n">
        <f aca="false">((G70*Assumptions!$D$124)+(G73*(Assumptions!$D$124+(Assumptions!$C$34*Assumptions!$C$36))))</f>
        <v>0</v>
      </c>
      <c r="H91" s="9" t="n">
        <f aca="false">((H70*Assumptions!$D$124)+(H73*(Assumptions!$D$124+(Assumptions!$C$34*Assumptions!$C$36))))</f>
        <v>0</v>
      </c>
      <c r="I91" s="9" t="n">
        <f aca="false">((I70*Assumptions!$D$124)+(I73*(Assumptions!$D$124+(Assumptions!$C$34*Assumptions!$C$36))))</f>
        <v>0</v>
      </c>
      <c r="J91" s="9" t="n">
        <f aca="false">((J70*Assumptions!$D$124)+(J73*(Assumptions!$D$124+(Assumptions!$C$34*Assumptions!$C$36))))</f>
        <v>330</v>
      </c>
      <c r="K91" s="9" t="n">
        <f aca="false">((K70*Assumptions!$D$124)+(K73*(Assumptions!$D$124+(Assumptions!$C$34*Assumptions!$C$36))))</f>
        <v>0</v>
      </c>
      <c r="L91" s="9" t="n">
        <f aca="false">((L70*Assumptions!$D$124)+(L73*(Assumptions!$D$124+(Assumptions!$C$34*Assumptions!$C$36))))</f>
        <v>0</v>
      </c>
      <c r="M91" s="9" t="n">
        <f aca="false">((M70*Assumptions!$D$124)+(M73*(Assumptions!$D$124+(Assumptions!$C$34*Assumptions!$C$36))))</f>
        <v>0</v>
      </c>
      <c r="N91" s="9" t="n">
        <f aca="false">((N70*Assumptions!$D$124)+(N73*(Assumptions!$D$124+(Assumptions!$C$34*Assumptions!$C$36))))</f>
        <v>0</v>
      </c>
      <c r="O91" s="9" t="n">
        <f aca="false">((O70*Assumptions!$D$124)+(O73*(Assumptions!$D$124+(Assumptions!$C$34*Assumptions!$C$36))))</f>
        <v>0</v>
      </c>
      <c r="P91" s="9" t="n">
        <f aca="false">((P70*Assumptions!$D$124)+(P73*(Assumptions!$D$124+(Assumptions!$C$34*Assumptions!$C$36))))</f>
        <v>0</v>
      </c>
      <c r="Q91" s="9" t="n">
        <f aca="false">((Q70*Assumptions!$D$124)+(Q73*(Assumptions!$D$124+(Assumptions!$C$34*Assumptions!$C$36))))</f>
        <v>0</v>
      </c>
      <c r="R91" s="9" t="n">
        <f aca="false">((R70*Assumptions!$D$124)+(R73*(Assumptions!$D$124+(Assumptions!$C$34*Assumptions!$C$36))))</f>
        <v>374</v>
      </c>
      <c r="S91" s="9" t="n">
        <f aca="false">((S70*Assumptions!$D$124)+(S73*(Assumptions!$D$124+(Assumptions!$C$34*Assumptions!$C$36))))</f>
        <v>0</v>
      </c>
      <c r="T91" s="9" t="n">
        <f aca="false">((T70*Assumptions!$D$124)+(T73*(Assumptions!$D$124+(Assumptions!$C$34*Assumptions!$C$36))))</f>
        <v>0</v>
      </c>
      <c r="U91" s="9" t="n">
        <f aca="false">((U70*Assumptions!$D$124)+(U73*(Assumptions!$D$124+(Assumptions!$C$34*Assumptions!$C$36))))</f>
        <v>374</v>
      </c>
      <c r="V91" s="9" t="n">
        <f aca="false">((V70*Assumptions!$D$124)+(V73*(Assumptions!$D$124+(Assumptions!$C$34*Assumptions!$C$36))))</f>
        <v>0</v>
      </c>
      <c r="W91" s="9" t="n">
        <f aca="false">((W70*Assumptions!$D$124)+(W73*(Assumptions!$D$124+(Assumptions!$C$34*Assumptions!$C$36))))</f>
        <v>0</v>
      </c>
      <c r="X91" s="9" t="n">
        <f aca="false">((X70*Assumptions!$D$124)+(X73*(Assumptions!$D$124+(Assumptions!$C$34*Assumptions!$C$36))))</f>
        <v>374</v>
      </c>
      <c r="Y91" s="9" t="n">
        <f aca="false">((Y70*Assumptions!$D$124)+(Y73*(Assumptions!$D$124+(Assumptions!$C$34*Assumptions!$C$36))))</f>
        <v>0</v>
      </c>
      <c r="Z91" s="9" t="n">
        <f aca="false">((Z70*Assumptions!$D$124)+(Z73*(Assumptions!$D$124+(Assumptions!$C$34*Assumptions!$C$36))))</f>
        <v>0</v>
      </c>
      <c r="AA91" s="9" t="n">
        <f aca="false">((AA70*Assumptions!$D$124)+(AA73*(Assumptions!$D$124+(Assumptions!$C$34*Assumptions!$C$36))))</f>
        <v>374</v>
      </c>
      <c r="AB91" s="9" t="n">
        <f aca="false">((AB70*Assumptions!$D$124)+(AB73*(Assumptions!$D$124+(Assumptions!$C$34*Assumptions!$C$36))))</f>
        <v>374</v>
      </c>
      <c r="AC91" s="9" t="n">
        <f aca="false">((AC70*Assumptions!$D$124)+(AC73*(Assumptions!$D$124+(Assumptions!$C$34*Assumptions!$C$36))))</f>
        <v>0</v>
      </c>
      <c r="AD91" s="9" t="n">
        <f aca="false">((AD70*Assumptions!$D$124)+(AD73*(Assumptions!$D$124+(Assumptions!$C$34*Assumptions!$C$36))))</f>
        <v>748</v>
      </c>
      <c r="AE91" s="9" t="n">
        <f aca="false">((AE70*Assumptions!$D$124)+(AE73*(Assumptions!$D$124+(Assumptions!$C$34*Assumptions!$C$36))))</f>
        <v>374</v>
      </c>
      <c r="AF91" s="9" t="n">
        <f aca="false">((AF70*Assumptions!$D$124)+(AF73*(Assumptions!$D$124+(Assumptions!$C$34*Assumptions!$C$36))))</f>
        <v>0</v>
      </c>
      <c r="AG91" s="9" t="n">
        <f aca="false">((AG70*Assumptions!$D$124)+(AG73*(Assumptions!$D$124+(Assumptions!$C$34*Assumptions!$C$36))))</f>
        <v>748</v>
      </c>
      <c r="AH91" s="9" t="n">
        <f aca="false">((AH70*Assumptions!$D$124)+(AH73*(Assumptions!$D$124+(Assumptions!$C$34*Assumptions!$C$36))))</f>
        <v>374</v>
      </c>
      <c r="AI91" s="9" t="n">
        <f aca="false">((AI70*Assumptions!$D$124)+(AI73*(Assumptions!$D$124+(Assumptions!$C$34*Assumptions!$C$36))))</f>
        <v>0</v>
      </c>
      <c r="AJ91" s="9" t="n">
        <f aca="false">((AJ70*Assumptions!$D$124)+(AJ73*(Assumptions!$D$124+(Assumptions!$C$34*Assumptions!$C$36))))</f>
        <v>748</v>
      </c>
      <c r="AK91" s="9" t="n">
        <f aca="false">((AK70*Assumptions!$D$124)+(AK73*(Assumptions!$D$124+(Assumptions!$C$34*Assumptions!$C$36))))</f>
        <v>748</v>
      </c>
      <c r="AL91" s="9" t="n">
        <f aca="false">((AL70*Assumptions!$D$124)+(AL73*(Assumptions!$D$124+(Assumptions!$C$34*Assumptions!$C$36))))</f>
        <v>0</v>
      </c>
      <c r="AN91" s="11" t="n">
        <f aca="false">SUM(C91:N91)</f>
        <v>330</v>
      </c>
      <c r="AO91" s="11" t="n">
        <f aca="false">SUM(O91:Z91)</f>
        <v>1122</v>
      </c>
      <c r="AP91" s="11" t="n">
        <f aca="false">SUM(AA91:AL91)</f>
        <v>4488</v>
      </c>
    </row>
    <row r="92" customFormat="false" ht="15" hidden="false" customHeight="false" outlineLevel="0" collapsed="false">
      <c r="A92" s="0" t="s">
        <v>898</v>
      </c>
      <c r="B92" s="0" t="s">
        <v>852</v>
      </c>
      <c r="C92" s="14" t="n">
        <f aca="false">((IF(OR((C$18-(Assumptions!$C$9-1)-$C$9)&lt;1,(C$18-(Assumptions!$C$9-1)-$C$9)&gt;36),0,INDEX(Schedules!$C$7:$AL$7,(C$18-(Assumptions!$C$9-1)-$C$9)))*$C$7)*C44)</f>
        <v>0</v>
      </c>
      <c r="D92" s="14" t="n">
        <f aca="false">((IF(OR((D$18-(Assumptions!$C$9-1)-$C$9)&lt;1,(D$18-(Assumptions!$C$9-1)-$C$9)&gt;36),0,INDEX(Schedules!$C$7:$AL$7,(D$18-(Assumptions!$C$9-1)-$C$9)))*$C$7)*D44)</f>
        <v>0</v>
      </c>
      <c r="E92" s="14" t="n">
        <f aca="false">((IF(OR((E$18-(Assumptions!$C$9-1)-$C$9)&lt;1,(E$18-(Assumptions!$C$9-1)-$C$9)&gt;36),0,INDEX(Schedules!$C$7:$AL$7,(E$18-(Assumptions!$C$9-1)-$C$9)))*$C$7)*E44)</f>
        <v>0</v>
      </c>
      <c r="F92" s="14" t="n">
        <f aca="false">((IF(OR((F$18-(Assumptions!$C$9-1)-$C$9)&lt;1,(F$18-(Assumptions!$C$9-1)-$C$9)&gt;36),0,INDEX(Schedules!$C$7:$AL$7,(F$18-(Assumptions!$C$9-1)-$C$9)))*$C$7)*F44)</f>
        <v>0</v>
      </c>
      <c r="G92" s="14" t="n">
        <f aca="false">((IF(OR((G$18-(Assumptions!$C$9-1)-$C$9)&lt;1,(G$18-(Assumptions!$C$9-1)-$C$9)&gt;36),0,INDEX(Schedules!$C$7:$AL$7,(G$18-(Assumptions!$C$9-1)-$C$9)))*$C$7)*G44)</f>
        <v>0</v>
      </c>
      <c r="H92" s="14" t="n">
        <f aca="false">((IF(OR((H$18-(Assumptions!$C$9-1)-$C$9)&lt;1,(H$18-(Assumptions!$C$9-1)-$C$9)&gt;36),0,INDEX(Schedules!$C$7:$AL$7,(H$18-(Assumptions!$C$9-1)-$C$9)))*$C$7)*H44)</f>
        <v>0</v>
      </c>
      <c r="I92" s="14" t="n">
        <f aca="false">((IF(OR((I$18-(Assumptions!$C$9-1)-$C$9)&lt;1,(I$18-(Assumptions!$C$9-1)-$C$9)&gt;36),0,INDEX(Schedules!$C$7:$AL$7,(I$18-(Assumptions!$C$9-1)-$C$9)))*$C$7)*I44)</f>
        <v>0</v>
      </c>
      <c r="J92" s="14" t="n">
        <f aca="false">((IF(OR((J$18-(Assumptions!$C$9-1)-$C$9)&lt;1,(J$18-(Assumptions!$C$9-1)-$C$9)&gt;36),0,INDEX(Schedules!$C$7:$AL$7,(J$18-(Assumptions!$C$9-1)-$C$9)))*$C$7)*J44)</f>
        <v>0</v>
      </c>
      <c r="K92" s="14" t="n">
        <f aca="false">((IF(OR((K$18-(Assumptions!$C$9-1)-$C$9)&lt;1,(K$18-(Assumptions!$C$9-1)-$C$9)&gt;36),0,INDEX(Schedules!$C$7:$AL$7,(K$18-(Assumptions!$C$9-1)-$C$9)))*$C$7)*K44)</f>
        <v>0</v>
      </c>
      <c r="L92" s="14" t="n">
        <f aca="false">((IF(OR((L$18-(Assumptions!$C$9-1)-$C$9)&lt;1,(L$18-(Assumptions!$C$9-1)-$C$9)&gt;36),0,INDEX(Schedules!$C$7:$AL$7,(L$18-(Assumptions!$C$9-1)-$C$9)))*$C$7)*L44)</f>
        <v>0</v>
      </c>
      <c r="M92" s="14" t="n">
        <f aca="false">((IF(OR((M$18-(Assumptions!$C$9-1)-$C$9)&lt;1,(M$18-(Assumptions!$C$9-1)-$C$9)&gt;36),0,INDEX(Schedules!$C$7:$AL$7,(M$18-(Assumptions!$C$9-1)-$C$9)))*$C$7)*M44)</f>
        <v>0</v>
      </c>
      <c r="N92" s="14" t="n">
        <f aca="false">((IF(OR((N$18-(Assumptions!$C$9-1)-$C$9)&lt;1,(N$18-(Assumptions!$C$9-1)-$C$9)&gt;36),0,INDEX(Schedules!$C$7:$AL$7,(N$18-(Assumptions!$C$9-1)-$C$9)))*$C$7)*N44)</f>
        <v>0</v>
      </c>
      <c r="O92" s="14" t="n">
        <f aca="false">((IF(OR((O$18-(Assumptions!$C$9-1)-$C$9)&lt;1,(O$18-(Assumptions!$C$9-1)-$C$9)&gt;36),0,INDEX(Schedules!$C$7:$AL$7,(O$18-(Assumptions!$C$9-1)-$C$9)))*$C$7)*O44)</f>
        <v>0</v>
      </c>
      <c r="P92" s="14" t="n">
        <f aca="false">((IF(OR((P$18-(Assumptions!$C$9-1)-$C$9)&lt;1,(P$18-(Assumptions!$C$9-1)-$C$9)&gt;36),0,INDEX(Schedules!$C$7:$AL$7,(P$18-(Assumptions!$C$9-1)-$C$9)))*$C$7)*P44)</f>
        <v>0</v>
      </c>
      <c r="Q92" s="14" t="n">
        <f aca="false">((IF(OR((Q$18-(Assumptions!$C$9-1)-$C$9)&lt;1,(Q$18-(Assumptions!$C$9-1)-$C$9)&gt;36),0,INDEX(Schedules!$C$7:$AL$7,(Q$18-(Assumptions!$C$9-1)-$C$9)))*$C$7)*Q44)</f>
        <v>0</v>
      </c>
      <c r="R92" s="14" t="n">
        <f aca="false">((IF(OR((R$18-(Assumptions!$C$9-1)-$C$9)&lt;1,(R$18-(Assumptions!$C$9-1)-$C$9)&gt;36),0,INDEX(Schedules!$C$7:$AL$7,(R$18-(Assumptions!$C$9-1)-$C$9)))*$C$7)*R44)</f>
        <v>0</v>
      </c>
      <c r="S92" s="14" t="n">
        <f aca="false">((IF(OR((S$18-(Assumptions!$C$9-1)-$C$9)&lt;1,(S$18-(Assumptions!$C$9-1)-$C$9)&gt;36),0,INDEX(Schedules!$C$7:$AL$7,(S$18-(Assumptions!$C$9-1)-$C$9)))*$C$7)*S44)</f>
        <v>0</v>
      </c>
      <c r="T92" s="14" t="n">
        <f aca="false">((IF(OR((T$18-(Assumptions!$C$9-1)-$C$9)&lt;1,(T$18-(Assumptions!$C$9-1)-$C$9)&gt;36),0,INDEX(Schedules!$C$7:$AL$7,(T$18-(Assumptions!$C$9-1)-$C$9)))*$C$7)*T44)</f>
        <v>0</v>
      </c>
      <c r="U92" s="14" t="n">
        <f aca="false">((IF(OR((U$18-(Assumptions!$C$9-1)-$C$9)&lt;1,(U$18-(Assumptions!$C$9-1)-$C$9)&gt;36),0,INDEX(Schedules!$C$7:$AL$7,(U$18-(Assumptions!$C$9-1)-$C$9)))*$C$7)*U44)</f>
        <v>0</v>
      </c>
      <c r="V92" s="14" t="n">
        <f aca="false">((IF(OR((V$18-(Assumptions!$C$9-1)-$C$9)&lt;1,(V$18-(Assumptions!$C$9-1)-$C$9)&gt;36),0,INDEX(Schedules!$C$7:$AL$7,(V$18-(Assumptions!$C$9-1)-$C$9)))*$C$7)*V44)</f>
        <v>0</v>
      </c>
      <c r="W92" s="14" t="n">
        <f aca="false">((IF(OR((W$18-(Assumptions!$C$9-1)-$C$9)&lt;1,(W$18-(Assumptions!$C$9-1)-$C$9)&gt;36),0,INDEX(Schedules!$C$7:$AL$7,(W$18-(Assumptions!$C$9-1)-$C$9)))*$C$7)*W44)</f>
        <v>0</v>
      </c>
      <c r="X92" s="14" t="n">
        <f aca="false">((IF(OR((X$18-(Assumptions!$C$9-1)-$C$9)&lt;1,(X$18-(Assumptions!$C$9-1)-$C$9)&gt;36),0,INDEX(Schedules!$C$7:$AL$7,(X$18-(Assumptions!$C$9-1)-$C$9)))*$C$7)*X44)</f>
        <v>0</v>
      </c>
      <c r="Y92" s="14" t="n">
        <f aca="false">((IF(OR((Y$18-(Assumptions!$C$9-1)-$C$9)&lt;1,(Y$18-(Assumptions!$C$9-1)-$C$9)&gt;36),0,INDEX(Schedules!$C$7:$AL$7,(Y$18-(Assumptions!$C$9-1)-$C$9)))*$C$7)*Y44)</f>
        <v>0</v>
      </c>
      <c r="Z92" s="14" t="n">
        <f aca="false">((IF(OR((Z$18-(Assumptions!$C$9-1)-$C$9)&lt;1,(Z$18-(Assumptions!$C$9-1)-$C$9)&gt;36),0,INDEX(Schedules!$C$7:$AL$7,(Z$18-(Assumptions!$C$9-1)-$C$9)))*$C$7)*Z44)</f>
        <v>0</v>
      </c>
      <c r="AA92" s="14" t="n">
        <f aca="false">((IF(OR((AA$18-(Assumptions!$C$9-1)-$C$9)&lt;1,(AA$18-(Assumptions!$C$9-1)-$C$9)&gt;36),0,INDEX(Schedules!$C$7:$AL$7,(AA$18-(Assumptions!$C$9-1)-$C$9)))*$C$7)*AA44)</f>
        <v>0</v>
      </c>
      <c r="AB92" s="14" t="n">
        <f aca="false">((IF(OR((AB$18-(Assumptions!$C$9-1)-$C$9)&lt;1,(AB$18-(Assumptions!$C$9-1)-$C$9)&gt;36),0,INDEX(Schedules!$C$7:$AL$7,(AB$18-(Assumptions!$C$9-1)-$C$9)))*$C$7)*AB44)</f>
        <v>0</v>
      </c>
      <c r="AC92" s="14" t="n">
        <f aca="false">((IF(OR((AC$18-(Assumptions!$C$9-1)-$C$9)&lt;1,(AC$18-(Assumptions!$C$9-1)-$C$9)&gt;36),0,INDEX(Schedules!$C$7:$AL$7,(AC$18-(Assumptions!$C$9-1)-$C$9)))*$C$7)*AC44)</f>
        <v>0</v>
      </c>
      <c r="AD92" s="14" t="n">
        <f aca="false">((IF(OR((AD$18-(Assumptions!$C$9-1)-$C$9)&lt;1,(AD$18-(Assumptions!$C$9-1)-$C$9)&gt;36),0,INDEX(Schedules!$C$7:$AL$7,(AD$18-(Assumptions!$C$9-1)-$C$9)))*$C$7)*AD44)</f>
        <v>0</v>
      </c>
      <c r="AE92" s="14" t="n">
        <f aca="false">((IF(OR((AE$18-(Assumptions!$C$9-1)-$C$9)&lt;1,(AE$18-(Assumptions!$C$9-1)-$C$9)&gt;36),0,INDEX(Schedules!$C$7:$AL$7,(AE$18-(Assumptions!$C$9-1)-$C$9)))*$C$7)*AE44)</f>
        <v>0</v>
      </c>
      <c r="AF92" s="14" t="n">
        <f aca="false">((IF(OR((AF$18-(Assumptions!$C$9-1)-$C$9)&lt;1,(AF$18-(Assumptions!$C$9-1)-$C$9)&gt;36),0,INDEX(Schedules!$C$7:$AL$7,(AF$18-(Assumptions!$C$9-1)-$C$9)))*$C$7)*AF44)</f>
        <v>1</v>
      </c>
      <c r="AG92" s="14" t="n">
        <f aca="false">((IF(OR((AG$18-(Assumptions!$C$9-1)-$C$9)&lt;1,(AG$18-(Assumptions!$C$9-1)-$C$9)&gt;36),0,INDEX(Schedules!$C$7:$AL$7,(AG$18-(Assumptions!$C$9-1)-$C$9)))*$C$7)*AG44)</f>
        <v>0</v>
      </c>
      <c r="AH92" s="14" t="n">
        <f aca="false">((IF(OR((AH$18-(Assumptions!$C$9-1)-$C$9)&lt;1,(AH$18-(Assumptions!$C$9-1)-$C$9)&gt;36),0,INDEX(Schedules!$C$7:$AL$7,(AH$18-(Assumptions!$C$9-1)-$C$9)))*$C$7)*AH44)</f>
        <v>0</v>
      </c>
      <c r="AI92" s="14" t="n">
        <f aca="false">((IF(OR((AI$18-(Assumptions!$C$9-1)-$C$9)&lt;1,(AI$18-(Assumptions!$C$9-1)-$C$9)&gt;36),0,INDEX(Schedules!$C$7:$AL$7,(AI$18-(Assumptions!$C$9-1)-$C$9)))*$C$7)*AI44)</f>
        <v>0</v>
      </c>
      <c r="AJ92" s="14" t="n">
        <f aca="false">((IF(OR((AJ$18-(Assumptions!$C$9-1)-$C$9)&lt;1,(AJ$18-(Assumptions!$C$9-1)-$C$9)&gt;36),0,INDEX(Schedules!$C$7:$AL$7,(AJ$18-(Assumptions!$C$9-1)-$C$9)))*$C$7)*AJ44)</f>
        <v>0</v>
      </c>
      <c r="AK92" s="14" t="n">
        <f aca="false">((IF(OR((AK$18-(Assumptions!$C$9-1)-$C$9)&lt;1,(AK$18-(Assumptions!$C$9-1)-$C$9)&gt;36),0,INDEX(Schedules!$C$7:$AL$7,(AK$18-(Assumptions!$C$9-1)-$C$9)))*$C$7)*AK44)</f>
        <v>0</v>
      </c>
      <c r="AL92" s="14" t="n">
        <f aca="false">((IF(OR((AL$18-(Assumptions!$C$9-1)-$C$9)&lt;1,(AL$18-(Assumptions!$C$9-1)-$C$9)&gt;36),0,INDEX(Schedules!$C$7:$AL$7,(AL$18-(Assumptions!$C$9-1)-$C$9)))*$C$7)*AL44)</f>
        <v>1</v>
      </c>
      <c r="AN92" s="36" t="n">
        <f aca="false">SUM(C92:N92)</f>
        <v>0</v>
      </c>
      <c r="AO92" s="36" t="n">
        <f aca="false">SUM(O92:Z92)</f>
        <v>0</v>
      </c>
      <c r="AP92" s="36" t="n">
        <f aca="false">SUM(AA92:AL92)</f>
        <v>2</v>
      </c>
    </row>
    <row r="93" customFormat="false" ht="15" hidden="false" customHeight="false" outlineLevel="0" collapsed="false">
      <c r="A93" s="0" t="s">
        <v>899</v>
      </c>
      <c r="B93" s="0" t="s">
        <v>852</v>
      </c>
      <c r="C93" s="14" t="n">
        <f aca="false">INDEX(Schedules!$C$13:$AL$13,C$18)</f>
        <v>0</v>
      </c>
      <c r="D93" s="14" t="n">
        <f aca="false">INDEX(Schedules!$C$13:$AL$13,D$18)</f>
        <v>0</v>
      </c>
      <c r="E93" s="14" t="n">
        <f aca="false">INDEX(Schedules!$C$13:$AL$13,E$18)</f>
        <v>0</v>
      </c>
      <c r="F93" s="14" t="n">
        <f aca="false">INDEX(Schedules!$C$13:$AL$13,F$18)</f>
        <v>0</v>
      </c>
      <c r="G93" s="14" t="n">
        <f aca="false">INDEX(Schedules!$C$13:$AL$13,G$18)</f>
        <v>0</v>
      </c>
      <c r="H93" s="14" t="n">
        <f aca="false">INDEX(Schedules!$C$13:$AL$13,H$18)</f>
        <v>0</v>
      </c>
      <c r="I93" s="14" t="n">
        <f aca="false">INDEX(Schedules!$C$13:$AL$13,I$18)</f>
        <v>0</v>
      </c>
      <c r="J93" s="14" t="n">
        <f aca="false">INDEX(Schedules!$C$13:$AL$13,J$18)</f>
        <v>0</v>
      </c>
      <c r="K93" s="14" t="n">
        <f aca="false">INDEX(Schedules!$C$13:$AL$13,K$18)</f>
        <v>0</v>
      </c>
      <c r="L93" s="14" t="n">
        <f aca="false">INDEX(Schedules!$C$13:$AL$13,L$18)</f>
        <v>0</v>
      </c>
      <c r="M93" s="14" t="n">
        <f aca="false">INDEX(Schedules!$C$13:$AL$13,M$18)</f>
        <v>0</v>
      </c>
      <c r="N93" s="14" t="n">
        <f aca="false">INDEX(Schedules!$C$13:$AL$13,N$18)</f>
        <v>0</v>
      </c>
      <c r="O93" s="14" t="n">
        <f aca="false">INDEX(Schedules!$C$13:$AL$13,O$18)</f>
        <v>0</v>
      </c>
      <c r="P93" s="14" t="n">
        <f aca="false">INDEX(Schedules!$C$13:$AL$13,P$18)</f>
        <v>0</v>
      </c>
      <c r="Q93" s="14" t="n">
        <f aca="false">INDEX(Schedules!$C$13:$AL$13,Q$18)</f>
        <v>0</v>
      </c>
      <c r="R93" s="14" t="n">
        <f aca="false">INDEX(Schedules!$C$13:$AL$13,R$18)</f>
        <v>0</v>
      </c>
      <c r="S93" s="14" t="n">
        <f aca="false">INDEX(Schedules!$C$13:$AL$13,S$18)</f>
        <v>0</v>
      </c>
      <c r="T93" s="14" t="n">
        <f aca="false">INDEX(Schedules!$C$13:$AL$13,T$18)</f>
        <v>0</v>
      </c>
      <c r="U93" s="14" t="n">
        <f aca="false">INDEX(Schedules!$C$13:$AL$13,U$18)</f>
        <v>0</v>
      </c>
      <c r="V93" s="14" t="n">
        <f aca="false">INDEX(Schedules!$C$13:$AL$13,V$18)</f>
        <v>0</v>
      </c>
      <c r="W93" s="14" t="n">
        <f aca="false">INDEX(Schedules!$C$13:$AL$13,W$18)</f>
        <v>0</v>
      </c>
      <c r="X93" s="14" t="n">
        <f aca="false">INDEX(Schedules!$C$13:$AL$13,X$18)</f>
        <v>0</v>
      </c>
      <c r="Y93" s="14" t="n">
        <f aca="false">INDEX(Schedules!$C$13:$AL$13,Y$18)</f>
        <v>0</v>
      </c>
      <c r="Z93" s="14" t="n">
        <f aca="false">INDEX(Schedules!$C$13:$AL$13,Z$18)</f>
        <v>0</v>
      </c>
      <c r="AA93" s="14" t="n">
        <f aca="false">INDEX(Schedules!$C$13:$AL$13,AA$18)</f>
        <v>0</v>
      </c>
      <c r="AB93" s="14" t="n">
        <f aca="false">INDEX(Schedules!$C$13:$AL$13,AB$18)</f>
        <v>0</v>
      </c>
      <c r="AC93" s="14" t="n">
        <f aca="false">INDEX(Schedules!$C$13:$AL$13,AC$18)</f>
        <v>0</v>
      </c>
      <c r="AD93" s="14" t="n">
        <f aca="false">INDEX(Schedules!$C$13:$AL$13,AD$18)</f>
        <v>0</v>
      </c>
      <c r="AE93" s="14" t="n">
        <f aca="false">INDEX(Schedules!$C$13:$AL$13,AE$18)</f>
        <v>0</v>
      </c>
      <c r="AF93" s="14" t="n">
        <f aca="false">INDEX(Schedules!$C$13:$AL$13,AF$18)</f>
        <v>0</v>
      </c>
      <c r="AG93" s="14" t="n">
        <f aca="false">INDEX(Schedules!$C$13:$AL$13,AG$18)</f>
        <v>0</v>
      </c>
      <c r="AH93" s="14" t="n">
        <f aca="false">INDEX(Schedules!$C$13:$AL$13,AH$18)</f>
        <v>0</v>
      </c>
      <c r="AI93" s="14" t="n">
        <f aca="false">INDEX(Schedules!$C$13:$AL$13,AI$18)</f>
        <v>0</v>
      </c>
      <c r="AJ93" s="14" t="n">
        <f aca="false">INDEX(Schedules!$C$13:$AL$13,AJ$18)</f>
        <v>0</v>
      </c>
      <c r="AK93" s="14" t="n">
        <f aca="false">INDEX(Schedules!$C$13:$AL$13,AK$18)</f>
        <v>0</v>
      </c>
      <c r="AL93" s="14" t="n">
        <f aca="false">INDEX(Schedules!$C$13:$AL$13,AL$18)</f>
        <v>0</v>
      </c>
      <c r="AN93" s="36" t="n">
        <f aca="false">SUM(C93:N93)</f>
        <v>0</v>
      </c>
      <c r="AO93" s="36" t="n">
        <f aca="false">SUM(O93:Z93)</f>
        <v>0</v>
      </c>
      <c r="AP93" s="36" t="n">
        <f aca="false">SUM(AA93:AL93)</f>
        <v>0</v>
      </c>
    </row>
    <row r="94" customFormat="false" ht="15" hidden="false" customHeight="false" outlineLevel="0" collapsed="false">
      <c r="A94" s="0" t="s">
        <v>900</v>
      </c>
      <c r="B94" s="0" t="s">
        <v>852</v>
      </c>
      <c r="C94" s="14" t="n">
        <f aca="false">(C92+C93)</f>
        <v>0</v>
      </c>
      <c r="D94" s="14" t="n">
        <f aca="false">(D92+D93)</f>
        <v>0</v>
      </c>
      <c r="E94" s="14" t="n">
        <f aca="false">(E92+E93)</f>
        <v>0</v>
      </c>
      <c r="F94" s="14" t="n">
        <f aca="false">(F92+F93)</f>
        <v>0</v>
      </c>
      <c r="G94" s="14" t="n">
        <f aca="false">(G92+G93)</f>
        <v>0</v>
      </c>
      <c r="H94" s="14" t="n">
        <f aca="false">(H92+H93)</f>
        <v>0</v>
      </c>
      <c r="I94" s="14" t="n">
        <f aca="false">(I92+I93)</f>
        <v>0</v>
      </c>
      <c r="J94" s="14" t="n">
        <f aca="false">(J92+J93)</f>
        <v>0</v>
      </c>
      <c r="K94" s="14" t="n">
        <f aca="false">(K92+K93)</f>
        <v>0</v>
      </c>
      <c r="L94" s="14" t="n">
        <f aca="false">(L92+L93)</f>
        <v>0</v>
      </c>
      <c r="M94" s="14" t="n">
        <f aca="false">(M92+M93)</f>
        <v>0</v>
      </c>
      <c r="N94" s="14" t="n">
        <f aca="false">(N92+N93)</f>
        <v>0</v>
      </c>
      <c r="O94" s="14" t="n">
        <f aca="false">(O92+O93)</f>
        <v>0</v>
      </c>
      <c r="P94" s="14" t="n">
        <f aca="false">(P92+P93)</f>
        <v>0</v>
      </c>
      <c r="Q94" s="14" t="n">
        <f aca="false">(Q92+Q93)</f>
        <v>0</v>
      </c>
      <c r="R94" s="14" t="n">
        <f aca="false">(R92+R93)</f>
        <v>0</v>
      </c>
      <c r="S94" s="14" t="n">
        <f aca="false">(S92+S93)</f>
        <v>0</v>
      </c>
      <c r="T94" s="14" t="n">
        <f aca="false">(T92+T93)</f>
        <v>0</v>
      </c>
      <c r="U94" s="14" t="n">
        <f aca="false">(U92+U93)</f>
        <v>0</v>
      </c>
      <c r="V94" s="14" t="n">
        <f aca="false">(V92+V93)</f>
        <v>0</v>
      </c>
      <c r="W94" s="14" t="n">
        <f aca="false">(W92+W93)</f>
        <v>0</v>
      </c>
      <c r="X94" s="14" t="n">
        <f aca="false">(X92+X93)</f>
        <v>0</v>
      </c>
      <c r="Y94" s="14" t="n">
        <f aca="false">(Y92+Y93)</f>
        <v>0</v>
      </c>
      <c r="Z94" s="14" t="n">
        <f aca="false">(Z92+Z93)</f>
        <v>0</v>
      </c>
      <c r="AA94" s="14" t="n">
        <f aca="false">(AA92+AA93)</f>
        <v>0</v>
      </c>
      <c r="AB94" s="14" t="n">
        <f aca="false">(AB92+AB93)</f>
        <v>0</v>
      </c>
      <c r="AC94" s="14" t="n">
        <f aca="false">(AC92+AC93)</f>
        <v>0</v>
      </c>
      <c r="AD94" s="14" t="n">
        <f aca="false">(AD92+AD93)</f>
        <v>0</v>
      </c>
      <c r="AE94" s="14" t="n">
        <f aca="false">(AE92+AE93)</f>
        <v>0</v>
      </c>
      <c r="AF94" s="14" t="n">
        <f aca="false">(AF92+AF93)</f>
        <v>1</v>
      </c>
      <c r="AG94" s="14" t="n">
        <f aca="false">(AG92+AG93)</f>
        <v>0</v>
      </c>
      <c r="AH94" s="14" t="n">
        <f aca="false">(AH92+AH93)</f>
        <v>0</v>
      </c>
      <c r="AI94" s="14" t="n">
        <f aca="false">(AI92+AI93)</f>
        <v>0</v>
      </c>
      <c r="AJ94" s="14" t="n">
        <f aca="false">(AJ92+AJ93)</f>
        <v>0</v>
      </c>
      <c r="AK94" s="14" t="n">
        <f aca="false">(AK92+AK93)</f>
        <v>0</v>
      </c>
      <c r="AL94" s="14" t="n">
        <f aca="false">(AL92+AL93)</f>
        <v>1</v>
      </c>
      <c r="AN94" s="36" t="n">
        <f aca="false">SUM(C94:N94)</f>
        <v>0</v>
      </c>
      <c r="AO94" s="36" t="n">
        <f aca="false">SUM(O94:Z94)</f>
        <v>0</v>
      </c>
      <c r="AP94" s="36" t="n">
        <f aca="false">SUM(AA94:AL94)</f>
        <v>2</v>
      </c>
    </row>
    <row r="95" customFormat="false" ht="15" hidden="false" customHeight="false" outlineLevel="0" collapsed="false">
      <c r="A95" s="0" t="s">
        <v>901</v>
      </c>
      <c r="B95" s="0" t="s">
        <v>852</v>
      </c>
      <c r="C95" s="14" t="n">
        <f aca="false">((IF(OR((C$18-(Assumptions!$C$9-1)-$C$9)&lt;1,(C$18-(Assumptions!$C$9-1)-$C$9)&gt;36),0,INDEX(Schedules!$C$10:$AL$10,(C$18-(Assumptions!$C$9-1)-$C$9)))*$C$7)*C44)</f>
        <v>0</v>
      </c>
      <c r="D95" s="14" t="n">
        <f aca="false">((IF(OR((D$18-(Assumptions!$C$9-1)-$C$9)&lt;1,(D$18-(Assumptions!$C$9-1)-$C$9)&gt;36),0,INDEX(Schedules!$C$10:$AL$10,(D$18-(Assumptions!$C$9-1)-$C$9)))*$C$7)*D44)</f>
        <v>0</v>
      </c>
      <c r="E95" s="14" t="n">
        <f aca="false">((IF(OR((E$18-(Assumptions!$C$9-1)-$C$9)&lt;1,(E$18-(Assumptions!$C$9-1)-$C$9)&gt;36),0,INDEX(Schedules!$C$10:$AL$10,(E$18-(Assumptions!$C$9-1)-$C$9)))*$C$7)*E44)</f>
        <v>0</v>
      </c>
      <c r="F95" s="14" t="n">
        <f aca="false">((IF(OR((F$18-(Assumptions!$C$9-1)-$C$9)&lt;1,(F$18-(Assumptions!$C$9-1)-$C$9)&gt;36),0,INDEX(Schedules!$C$10:$AL$10,(F$18-(Assumptions!$C$9-1)-$C$9)))*$C$7)*F44)</f>
        <v>0</v>
      </c>
      <c r="G95" s="14" t="n">
        <f aca="false">((IF(OR((G$18-(Assumptions!$C$9-1)-$C$9)&lt;1,(G$18-(Assumptions!$C$9-1)-$C$9)&gt;36),0,INDEX(Schedules!$C$10:$AL$10,(G$18-(Assumptions!$C$9-1)-$C$9)))*$C$7)*G44)</f>
        <v>0</v>
      </c>
      <c r="H95" s="14" t="n">
        <f aca="false">((IF(OR((H$18-(Assumptions!$C$9-1)-$C$9)&lt;1,(H$18-(Assumptions!$C$9-1)-$C$9)&gt;36),0,INDEX(Schedules!$C$10:$AL$10,(H$18-(Assumptions!$C$9-1)-$C$9)))*$C$7)*H44)</f>
        <v>0</v>
      </c>
      <c r="I95" s="14" t="n">
        <f aca="false">((IF(OR((I$18-(Assumptions!$C$9-1)-$C$9)&lt;1,(I$18-(Assumptions!$C$9-1)-$C$9)&gt;36),0,INDEX(Schedules!$C$10:$AL$10,(I$18-(Assumptions!$C$9-1)-$C$9)))*$C$7)*I44)</f>
        <v>0</v>
      </c>
      <c r="J95" s="14" t="n">
        <f aca="false">((IF(OR((J$18-(Assumptions!$C$9-1)-$C$9)&lt;1,(J$18-(Assumptions!$C$9-1)-$C$9)&gt;36),0,INDEX(Schedules!$C$10:$AL$10,(J$18-(Assumptions!$C$9-1)-$C$9)))*$C$7)*J44)</f>
        <v>0</v>
      </c>
      <c r="K95" s="14" t="n">
        <f aca="false">((IF(OR((K$18-(Assumptions!$C$9-1)-$C$9)&lt;1,(K$18-(Assumptions!$C$9-1)-$C$9)&gt;36),0,INDEX(Schedules!$C$10:$AL$10,(K$18-(Assumptions!$C$9-1)-$C$9)))*$C$7)*K44)</f>
        <v>0</v>
      </c>
      <c r="L95" s="14" t="n">
        <f aca="false">((IF(OR((L$18-(Assumptions!$C$9-1)-$C$9)&lt;1,(L$18-(Assumptions!$C$9-1)-$C$9)&gt;36),0,INDEX(Schedules!$C$10:$AL$10,(L$18-(Assumptions!$C$9-1)-$C$9)))*$C$7)*L44)</f>
        <v>0</v>
      </c>
      <c r="M95" s="14" t="n">
        <f aca="false">((IF(OR((M$18-(Assumptions!$C$9-1)-$C$9)&lt;1,(M$18-(Assumptions!$C$9-1)-$C$9)&gt;36),0,INDEX(Schedules!$C$10:$AL$10,(M$18-(Assumptions!$C$9-1)-$C$9)))*$C$7)*M44)</f>
        <v>0</v>
      </c>
      <c r="N95" s="14" t="n">
        <f aca="false">((IF(OR((N$18-(Assumptions!$C$9-1)-$C$9)&lt;1,(N$18-(Assumptions!$C$9-1)-$C$9)&gt;36),0,INDEX(Schedules!$C$10:$AL$10,(N$18-(Assumptions!$C$9-1)-$C$9)))*$C$7)*N44)</f>
        <v>0</v>
      </c>
      <c r="O95" s="14" t="n">
        <f aca="false">((IF(OR((O$18-(Assumptions!$C$9-1)-$C$9)&lt;1,(O$18-(Assumptions!$C$9-1)-$C$9)&gt;36),0,INDEX(Schedules!$C$10:$AL$10,(O$18-(Assumptions!$C$9-1)-$C$9)))*$C$7)*O44)</f>
        <v>0</v>
      </c>
      <c r="P95" s="14" t="n">
        <f aca="false">((IF(OR((P$18-(Assumptions!$C$9-1)-$C$9)&lt;1,(P$18-(Assumptions!$C$9-1)-$C$9)&gt;36),0,INDEX(Schedules!$C$10:$AL$10,(P$18-(Assumptions!$C$9-1)-$C$9)))*$C$7)*P44)</f>
        <v>0</v>
      </c>
      <c r="Q95" s="14" t="n">
        <f aca="false">((IF(OR((Q$18-(Assumptions!$C$9-1)-$C$9)&lt;1,(Q$18-(Assumptions!$C$9-1)-$C$9)&gt;36),0,INDEX(Schedules!$C$10:$AL$10,(Q$18-(Assumptions!$C$9-1)-$C$9)))*$C$7)*Q44)</f>
        <v>0</v>
      </c>
      <c r="R95" s="14" t="n">
        <f aca="false">((IF(OR((R$18-(Assumptions!$C$9-1)-$C$9)&lt;1,(R$18-(Assumptions!$C$9-1)-$C$9)&gt;36),0,INDEX(Schedules!$C$10:$AL$10,(R$18-(Assumptions!$C$9-1)-$C$9)))*$C$7)*R44)</f>
        <v>0</v>
      </c>
      <c r="S95" s="14" t="n">
        <f aca="false">((IF(OR((S$18-(Assumptions!$C$9-1)-$C$9)&lt;1,(S$18-(Assumptions!$C$9-1)-$C$9)&gt;36),0,INDEX(Schedules!$C$10:$AL$10,(S$18-(Assumptions!$C$9-1)-$C$9)))*$C$7)*S44)</f>
        <v>0</v>
      </c>
      <c r="T95" s="14" t="n">
        <f aca="false">((IF(OR((T$18-(Assumptions!$C$9-1)-$C$9)&lt;1,(T$18-(Assumptions!$C$9-1)-$C$9)&gt;36),0,INDEX(Schedules!$C$10:$AL$10,(T$18-(Assumptions!$C$9-1)-$C$9)))*$C$7)*T44)</f>
        <v>0</v>
      </c>
      <c r="U95" s="14" t="n">
        <f aca="false">((IF(OR((U$18-(Assumptions!$C$9-1)-$C$9)&lt;1,(U$18-(Assumptions!$C$9-1)-$C$9)&gt;36),0,INDEX(Schedules!$C$10:$AL$10,(U$18-(Assumptions!$C$9-1)-$C$9)))*$C$7)*U44)</f>
        <v>0</v>
      </c>
      <c r="V95" s="14" t="n">
        <f aca="false">((IF(OR((V$18-(Assumptions!$C$9-1)-$C$9)&lt;1,(V$18-(Assumptions!$C$9-1)-$C$9)&gt;36),0,INDEX(Schedules!$C$10:$AL$10,(V$18-(Assumptions!$C$9-1)-$C$9)))*$C$7)*V44)</f>
        <v>0</v>
      </c>
      <c r="W95" s="14" t="n">
        <f aca="false">((IF(OR((W$18-(Assumptions!$C$9-1)-$C$9)&lt;1,(W$18-(Assumptions!$C$9-1)-$C$9)&gt;36),0,INDEX(Schedules!$C$10:$AL$10,(W$18-(Assumptions!$C$9-1)-$C$9)))*$C$7)*W44)</f>
        <v>0</v>
      </c>
      <c r="X95" s="14" t="n">
        <f aca="false">((IF(OR((X$18-(Assumptions!$C$9-1)-$C$9)&lt;1,(X$18-(Assumptions!$C$9-1)-$C$9)&gt;36),0,INDEX(Schedules!$C$10:$AL$10,(X$18-(Assumptions!$C$9-1)-$C$9)))*$C$7)*X44)</f>
        <v>0</v>
      </c>
      <c r="Y95" s="14" t="n">
        <f aca="false">((IF(OR((Y$18-(Assumptions!$C$9-1)-$C$9)&lt;1,(Y$18-(Assumptions!$C$9-1)-$C$9)&gt;36),0,INDEX(Schedules!$C$10:$AL$10,(Y$18-(Assumptions!$C$9-1)-$C$9)))*$C$7)*Y44)</f>
        <v>0</v>
      </c>
      <c r="Z95" s="14" t="n">
        <f aca="false">((IF(OR((Z$18-(Assumptions!$C$9-1)-$C$9)&lt;1,(Z$18-(Assumptions!$C$9-1)-$C$9)&gt;36),0,INDEX(Schedules!$C$10:$AL$10,(Z$18-(Assumptions!$C$9-1)-$C$9)))*$C$7)*Z44)</f>
        <v>0</v>
      </c>
      <c r="AA95" s="14" t="n">
        <f aca="false">((IF(OR((AA$18-(Assumptions!$C$9-1)-$C$9)&lt;1,(AA$18-(Assumptions!$C$9-1)-$C$9)&gt;36),0,INDEX(Schedules!$C$10:$AL$10,(AA$18-(Assumptions!$C$9-1)-$C$9)))*$C$7)*AA44)</f>
        <v>0</v>
      </c>
      <c r="AB95" s="14" t="n">
        <f aca="false">((IF(OR((AB$18-(Assumptions!$C$9-1)-$C$9)&lt;1,(AB$18-(Assumptions!$C$9-1)-$C$9)&gt;36),0,INDEX(Schedules!$C$10:$AL$10,(AB$18-(Assumptions!$C$9-1)-$C$9)))*$C$7)*AB44)</f>
        <v>0</v>
      </c>
      <c r="AC95" s="14" t="n">
        <f aca="false">((IF(OR((AC$18-(Assumptions!$C$9-1)-$C$9)&lt;1,(AC$18-(Assumptions!$C$9-1)-$C$9)&gt;36),0,INDEX(Schedules!$C$10:$AL$10,(AC$18-(Assumptions!$C$9-1)-$C$9)))*$C$7)*AC44)</f>
        <v>0</v>
      </c>
      <c r="AD95" s="14" t="n">
        <f aca="false">((IF(OR((AD$18-(Assumptions!$C$9-1)-$C$9)&lt;1,(AD$18-(Assumptions!$C$9-1)-$C$9)&gt;36),0,INDEX(Schedules!$C$10:$AL$10,(AD$18-(Assumptions!$C$9-1)-$C$9)))*$C$7)*AD44)</f>
        <v>0</v>
      </c>
      <c r="AE95" s="14" t="n">
        <f aca="false">((IF(OR((AE$18-(Assumptions!$C$9-1)-$C$9)&lt;1,(AE$18-(Assumptions!$C$9-1)-$C$9)&gt;36),0,INDEX(Schedules!$C$10:$AL$10,(AE$18-(Assumptions!$C$9-1)-$C$9)))*$C$7)*AE44)</f>
        <v>0</v>
      </c>
      <c r="AF95" s="14" t="n">
        <f aca="false">((IF(OR((AF$18-(Assumptions!$C$9-1)-$C$9)&lt;1,(AF$18-(Assumptions!$C$9-1)-$C$9)&gt;36),0,INDEX(Schedules!$C$10:$AL$10,(AF$18-(Assumptions!$C$9-1)-$C$9)))*$C$7)*AF44)</f>
        <v>0</v>
      </c>
      <c r="AG95" s="14" t="n">
        <f aca="false">((IF(OR((AG$18-(Assumptions!$C$9-1)-$C$9)&lt;1,(AG$18-(Assumptions!$C$9-1)-$C$9)&gt;36),0,INDEX(Schedules!$C$10:$AL$10,(AG$18-(Assumptions!$C$9-1)-$C$9)))*$C$7)*AG44)</f>
        <v>0</v>
      </c>
      <c r="AH95" s="14" t="n">
        <f aca="false">((IF(OR((AH$18-(Assumptions!$C$9-1)-$C$9)&lt;1,(AH$18-(Assumptions!$C$9-1)-$C$9)&gt;36),0,INDEX(Schedules!$C$10:$AL$10,(AH$18-(Assumptions!$C$9-1)-$C$9)))*$C$7)*AH44)</f>
        <v>0</v>
      </c>
      <c r="AI95" s="14" t="n">
        <f aca="false">((IF(OR((AI$18-(Assumptions!$C$9-1)-$C$9)&lt;1,(AI$18-(Assumptions!$C$9-1)-$C$9)&gt;36),0,INDEX(Schedules!$C$10:$AL$10,(AI$18-(Assumptions!$C$9-1)-$C$9)))*$C$7)*AI44)</f>
        <v>0</v>
      </c>
      <c r="AJ95" s="14" t="n">
        <f aca="false">((IF(OR((AJ$18-(Assumptions!$C$9-1)-$C$9)&lt;1,(AJ$18-(Assumptions!$C$9-1)-$C$9)&gt;36),0,INDEX(Schedules!$C$10:$AL$10,(AJ$18-(Assumptions!$C$9-1)-$C$9)))*$C$7)*AJ44)</f>
        <v>0</v>
      </c>
      <c r="AK95" s="14" t="n">
        <f aca="false">((IF(OR((AK$18-(Assumptions!$C$9-1)-$C$9)&lt;1,(AK$18-(Assumptions!$C$9-1)-$C$9)&gt;36),0,INDEX(Schedules!$C$10:$AL$10,(AK$18-(Assumptions!$C$9-1)-$C$9)))*$C$7)*AK44)</f>
        <v>0</v>
      </c>
      <c r="AL95" s="14" t="n">
        <f aca="false">((IF(OR((AL$18-(Assumptions!$C$9-1)-$C$9)&lt;1,(AL$18-(Assumptions!$C$9-1)-$C$9)&gt;36),0,INDEX(Schedules!$C$10:$AL$10,(AL$18-(Assumptions!$C$9-1)-$C$9)))*$C$7)*AL44)</f>
        <v>1</v>
      </c>
      <c r="AN95" s="36" t="n">
        <f aca="false">SUM(C95:N95)</f>
        <v>0</v>
      </c>
      <c r="AO95" s="36" t="n">
        <f aca="false">SUM(O95:Z95)</f>
        <v>0</v>
      </c>
      <c r="AP95" s="36" t="n">
        <f aca="false">SUM(AA95:AL95)</f>
        <v>1</v>
      </c>
    </row>
    <row r="96" customFormat="false" ht="15" hidden="false" customHeight="false" outlineLevel="0" collapsed="false">
      <c r="A96" s="0" t="s">
        <v>902</v>
      </c>
      <c r="B96" s="0" t="s">
        <v>852</v>
      </c>
      <c r="C96" s="14" t="n">
        <f aca="false">(C92+C95)</f>
        <v>0</v>
      </c>
      <c r="D96" s="14" t="n">
        <f aca="false">(D92+D95)</f>
        <v>0</v>
      </c>
      <c r="E96" s="14" t="n">
        <f aca="false">(E92+E95)</f>
        <v>0</v>
      </c>
      <c r="F96" s="14" t="n">
        <f aca="false">(F92+F95)</f>
        <v>0</v>
      </c>
      <c r="G96" s="14" t="n">
        <f aca="false">(G92+G95)</f>
        <v>0</v>
      </c>
      <c r="H96" s="14" t="n">
        <f aca="false">(H92+H95)</f>
        <v>0</v>
      </c>
      <c r="I96" s="14" t="n">
        <f aca="false">(I92+I95)</f>
        <v>0</v>
      </c>
      <c r="J96" s="14" t="n">
        <f aca="false">(J92+J95)</f>
        <v>0</v>
      </c>
      <c r="K96" s="14" t="n">
        <f aca="false">(K92+K95)</f>
        <v>0</v>
      </c>
      <c r="L96" s="14" t="n">
        <f aca="false">(L92+L95)</f>
        <v>0</v>
      </c>
      <c r="M96" s="14" t="n">
        <f aca="false">(M92+M95)</f>
        <v>0</v>
      </c>
      <c r="N96" s="14" t="n">
        <f aca="false">(N92+N95)</f>
        <v>0</v>
      </c>
      <c r="O96" s="14" t="n">
        <f aca="false">(O92+O95)</f>
        <v>0</v>
      </c>
      <c r="P96" s="14" t="n">
        <f aca="false">(P92+P95)</f>
        <v>0</v>
      </c>
      <c r="Q96" s="14" t="n">
        <f aca="false">(Q92+Q95)</f>
        <v>0</v>
      </c>
      <c r="R96" s="14" t="n">
        <f aca="false">(R92+R95)</f>
        <v>0</v>
      </c>
      <c r="S96" s="14" t="n">
        <f aca="false">(S92+S95)</f>
        <v>0</v>
      </c>
      <c r="T96" s="14" t="n">
        <f aca="false">(T92+T95)</f>
        <v>0</v>
      </c>
      <c r="U96" s="14" t="n">
        <f aca="false">(U92+U95)</f>
        <v>0</v>
      </c>
      <c r="V96" s="14" t="n">
        <f aca="false">(V92+V95)</f>
        <v>0</v>
      </c>
      <c r="W96" s="14" t="n">
        <f aca="false">(W92+W95)</f>
        <v>0</v>
      </c>
      <c r="X96" s="14" t="n">
        <f aca="false">(X92+X95)</f>
        <v>0</v>
      </c>
      <c r="Y96" s="14" t="n">
        <f aca="false">(Y92+Y95)</f>
        <v>0</v>
      </c>
      <c r="Z96" s="14" t="n">
        <f aca="false">(Z92+Z95)</f>
        <v>0</v>
      </c>
      <c r="AA96" s="14" t="n">
        <f aca="false">(AA92+AA95)</f>
        <v>0</v>
      </c>
      <c r="AB96" s="14" t="n">
        <f aca="false">(AB92+AB95)</f>
        <v>0</v>
      </c>
      <c r="AC96" s="14" t="n">
        <f aca="false">(AC92+AC95)</f>
        <v>0</v>
      </c>
      <c r="AD96" s="14" t="n">
        <f aca="false">(AD92+AD95)</f>
        <v>0</v>
      </c>
      <c r="AE96" s="14" t="n">
        <f aca="false">(AE92+AE95)</f>
        <v>0</v>
      </c>
      <c r="AF96" s="14" t="n">
        <f aca="false">(AF92+AF95)</f>
        <v>1</v>
      </c>
      <c r="AG96" s="14" t="n">
        <f aca="false">(AG92+AG95)</f>
        <v>0</v>
      </c>
      <c r="AH96" s="14" t="n">
        <f aca="false">(AH92+AH95)</f>
        <v>0</v>
      </c>
      <c r="AI96" s="14" t="n">
        <f aca="false">(AI92+AI95)</f>
        <v>0</v>
      </c>
      <c r="AJ96" s="14" t="n">
        <f aca="false">(AJ92+AJ95)</f>
        <v>0</v>
      </c>
      <c r="AK96" s="14" t="n">
        <f aca="false">(AK92+AK95)</f>
        <v>0</v>
      </c>
      <c r="AL96" s="14" t="n">
        <f aca="false">(AL92+AL95)</f>
        <v>2</v>
      </c>
      <c r="AN96" s="36" t="n">
        <f aca="false">SUM(C96:N96)</f>
        <v>0</v>
      </c>
      <c r="AO96" s="36" t="n">
        <f aca="false">SUM(O96:Z96)</f>
        <v>0</v>
      </c>
      <c r="AP96" s="36" t="n">
        <f aca="false">SUM(AA96:AL96)</f>
        <v>3</v>
      </c>
    </row>
    <row r="97" customFormat="false" ht="15" hidden="false" customHeight="false" outlineLevel="0" collapsed="false">
      <c r="A97" s="0" t="s">
        <v>903</v>
      </c>
      <c r="B97" s="0" t="s">
        <v>852</v>
      </c>
      <c r="C97" s="14" t="n">
        <f aca="false">C94</f>
        <v>0</v>
      </c>
      <c r="D97" s="14" t="n">
        <f aca="false">SUM(C94:D94)</f>
        <v>0</v>
      </c>
      <c r="E97" s="14" t="n">
        <f aca="false">SUM(C94:E94)</f>
        <v>0</v>
      </c>
      <c r="F97" s="14" t="n">
        <f aca="false">SUM(C94:F94)</f>
        <v>0</v>
      </c>
      <c r="G97" s="14" t="n">
        <f aca="false">SUM(C94:G94)</f>
        <v>0</v>
      </c>
      <c r="H97" s="14" t="n">
        <f aca="false">SUM(C94:H94)</f>
        <v>0</v>
      </c>
      <c r="I97" s="14" t="n">
        <f aca="false">SUM(D94:I94)</f>
        <v>0</v>
      </c>
      <c r="J97" s="14" t="n">
        <f aca="false">SUM(E94:J94)</f>
        <v>0</v>
      </c>
      <c r="K97" s="14" t="n">
        <f aca="false">SUM(F94:K94)</f>
        <v>0</v>
      </c>
      <c r="L97" s="14" t="n">
        <f aca="false">SUM(G94:L94)</f>
        <v>0</v>
      </c>
      <c r="M97" s="14" t="n">
        <f aca="false">SUM(H94:M94)</f>
        <v>0</v>
      </c>
      <c r="N97" s="14" t="n">
        <f aca="false">SUM(I94:N94)</f>
        <v>0</v>
      </c>
      <c r="O97" s="14" t="n">
        <f aca="false">SUM(J94:O94)</f>
        <v>0</v>
      </c>
      <c r="P97" s="14" t="n">
        <f aca="false">SUM(K94:P94)</f>
        <v>0</v>
      </c>
      <c r="Q97" s="14" t="n">
        <f aca="false">SUM(L94:Q94)</f>
        <v>0</v>
      </c>
      <c r="R97" s="14" t="n">
        <f aca="false">SUM(M94:R94)</f>
        <v>0</v>
      </c>
      <c r="S97" s="14" t="n">
        <f aca="false">SUM(N94:S94)</f>
        <v>0</v>
      </c>
      <c r="T97" s="14" t="n">
        <f aca="false">SUM(O94:T94)</f>
        <v>0</v>
      </c>
      <c r="U97" s="14" t="n">
        <f aca="false">SUM(P94:U94)</f>
        <v>0</v>
      </c>
      <c r="V97" s="14" t="n">
        <f aca="false">SUM(Q94:V94)</f>
        <v>0</v>
      </c>
      <c r="W97" s="14" t="n">
        <f aca="false">SUM(R94:W94)</f>
        <v>0</v>
      </c>
      <c r="X97" s="14" t="n">
        <f aca="false">SUM(S94:X94)</f>
        <v>0</v>
      </c>
      <c r="Y97" s="14" t="n">
        <f aca="false">SUM(T94:Y94)</f>
        <v>0</v>
      </c>
      <c r="Z97" s="14" t="n">
        <f aca="false">SUM(U94:Z94)</f>
        <v>0</v>
      </c>
      <c r="AA97" s="14" t="n">
        <f aca="false">SUM(V94:AA94)</f>
        <v>0</v>
      </c>
      <c r="AB97" s="14" t="n">
        <f aca="false">SUM(W94:AB94)</f>
        <v>0</v>
      </c>
      <c r="AC97" s="14" t="n">
        <f aca="false">SUM(X94:AC94)</f>
        <v>0</v>
      </c>
      <c r="AD97" s="14" t="n">
        <f aca="false">SUM(Y94:AD94)</f>
        <v>0</v>
      </c>
      <c r="AE97" s="14" t="n">
        <f aca="false">SUM(Z94:AE94)</f>
        <v>0</v>
      </c>
      <c r="AF97" s="14" t="n">
        <f aca="false">SUM(AA94:AF94)</f>
        <v>1</v>
      </c>
      <c r="AG97" s="14" t="n">
        <f aca="false">SUM(AB94:AG94)</f>
        <v>1</v>
      </c>
      <c r="AH97" s="14" t="n">
        <f aca="false">SUM(AC94:AH94)</f>
        <v>1</v>
      </c>
      <c r="AI97" s="14" t="n">
        <f aca="false">SUM(AD94:AI94)</f>
        <v>1</v>
      </c>
      <c r="AJ97" s="14" t="n">
        <f aca="false">SUM(AE94:AJ94)</f>
        <v>1</v>
      </c>
      <c r="AK97" s="14" t="n">
        <f aca="false">SUM(AF94:AK94)</f>
        <v>1</v>
      </c>
      <c r="AL97" s="14" t="n">
        <f aca="false">SUM(AG94:AL94)</f>
        <v>1</v>
      </c>
      <c r="AN97" s="36" t="n">
        <f aca="false">N97</f>
        <v>0</v>
      </c>
      <c r="AO97" s="36" t="n">
        <f aca="false">Z97</f>
        <v>0</v>
      </c>
      <c r="AP97" s="36" t="n">
        <f aca="false">AL97</f>
        <v>1</v>
      </c>
    </row>
    <row r="98" customFormat="false" ht="15" hidden="false" customHeight="false" outlineLevel="0" collapsed="false">
      <c r="A98" s="0" t="s">
        <v>904</v>
      </c>
      <c r="B98" s="0" t="s">
        <v>852</v>
      </c>
      <c r="C98" s="14" t="n">
        <f aca="false">C92</f>
        <v>0</v>
      </c>
      <c r="D98" s="14" t="n">
        <f aca="false">SUM(C92:D92)</f>
        <v>0</v>
      </c>
      <c r="E98" s="14" t="n">
        <f aca="false">SUM(C92:E92)</f>
        <v>0</v>
      </c>
      <c r="F98" s="14" t="n">
        <f aca="false">SUM(C92:F92)</f>
        <v>0</v>
      </c>
      <c r="G98" s="14" t="n">
        <f aca="false">SUM(C92:G92)</f>
        <v>0</v>
      </c>
      <c r="H98" s="14" t="n">
        <f aca="false">SUM(C92:H92)</f>
        <v>0</v>
      </c>
      <c r="I98" s="14" t="n">
        <f aca="false">SUM(D92:I92)</f>
        <v>0</v>
      </c>
      <c r="J98" s="14" t="n">
        <f aca="false">SUM(E92:J92)</f>
        <v>0</v>
      </c>
      <c r="K98" s="14" t="n">
        <f aca="false">SUM(F92:K92)</f>
        <v>0</v>
      </c>
      <c r="L98" s="14" t="n">
        <f aca="false">SUM(G92:L92)</f>
        <v>0</v>
      </c>
      <c r="M98" s="14" t="n">
        <f aca="false">SUM(H92:M92)</f>
        <v>0</v>
      </c>
      <c r="N98" s="14" t="n">
        <f aca="false">SUM(I92:N92)</f>
        <v>0</v>
      </c>
      <c r="O98" s="14" t="n">
        <f aca="false">SUM(J92:O92)</f>
        <v>0</v>
      </c>
      <c r="P98" s="14" t="n">
        <f aca="false">SUM(K92:P92)</f>
        <v>0</v>
      </c>
      <c r="Q98" s="14" t="n">
        <f aca="false">SUM(L92:Q92)</f>
        <v>0</v>
      </c>
      <c r="R98" s="14" t="n">
        <f aca="false">SUM(M92:R92)</f>
        <v>0</v>
      </c>
      <c r="S98" s="14" t="n">
        <f aca="false">SUM(N92:S92)</f>
        <v>0</v>
      </c>
      <c r="T98" s="14" t="n">
        <f aca="false">SUM(O92:T92)</f>
        <v>0</v>
      </c>
      <c r="U98" s="14" t="n">
        <f aca="false">SUM(P92:U92)</f>
        <v>0</v>
      </c>
      <c r="V98" s="14" t="n">
        <f aca="false">SUM(Q92:V92)</f>
        <v>0</v>
      </c>
      <c r="W98" s="14" t="n">
        <f aca="false">SUM(R92:W92)</f>
        <v>0</v>
      </c>
      <c r="X98" s="14" t="n">
        <f aca="false">SUM(S92:X92)</f>
        <v>0</v>
      </c>
      <c r="Y98" s="14" t="n">
        <f aca="false">SUM(T92:Y92)</f>
        <v>0</v>
      </c>
      <c r="Z98" s="14" t="n">
        <f aca="false">SUM(U92:Z92)</f>
        <v>0</v>
      </c>
      <c r="AA98" s="14" t="n">
        <f aca="false">SUM(V92:AA92)</f>
        <v>0</v>
      </c>
      <c r="AB98" s="14" t="n">
        <f aca="false">SUM(W92:AB92)</f>
        <v>0</v>
      </c>
      <c r="AC98" s="14" t="n">
        <f aca="false">SUM(X92:AC92)</f>
        <v>0</v>
      </c>
      <c r="AD98" s="14" t="n">
        <f aca="false">SUM(Y92:AD92)</f>
        <v>0</v>
      </c>
      <c r="AE98" s="14" t="n">
        <f aca="false">SUM(Z92:AE92)</f>
        <v>0</v>
      </c>
      <c r="AF98" s="14" t="n">
        <f aca="false">SUM(AA92:AF92)</f>
        <v>1</v>
      </c>
      <c r="AG98" s="14" t="n">
        <f aca="false">SUM(AB92:AG92)</f>
        <v>1</v>
      </c>
      <c r="AH98" s="14" t="n">
        <f aca="false">SUM(AC92:AH92)</f>
        <v>1</v>
      </c>
      <c r="AI98" s="14" t="n">
        <f aca="false">SUM(AD92:AI92)</f>
        <v>1</v>
      </c>
      <c r="AJ98" s="14" t="n">
        <f aca="false">SUM(AE92:AJ92)</f>
        <v>1</v>
      </c>
      <c r="AK98" s="14" t="n">
        <f aca="false">SUM(AF92:AK92)</f>
        <v>1</v>
      </c>
      <c r="AL98" s="14" t="n">
        <f aca="false">SUM(AG92:AL92)</f>
        <v>1</v>
      </c>
      <c r="AN98" s="36" t="n">
        <f aca="false">N98</f>
        <v>0</v>
      </c>
      <c r="AO98" s="36" t="n">
        <f aca="false">Z98</f>
        <v>0</v>
      </c>
      <c r="AP98" s="36" t="n">
        <f aca="false">AL98</f>
        <v>1</v>
      </c>
    </row>
    <row r="99" customFormat="false" ht="15" hidden="false" customHeight="false" outlineLevel="0" collapsed="false">
      <c r="A99" s="0" t="s">
        <v>905</v>
      </c>
      <c r="B99" s="0" t="s">
        <v>852</v>
      </c>
      <c r="C99" s="14" t="n">
        <f aca="false">((Assumptions!$E$127*$C$8)*0)</f>
        <v>0</v>
      </c>
      <c r="D99" s="14" t="n">
        <f aca="false">((Assumptions!$E$127*$C$8)*0)</f>
        <v>0</v>
      </c>
      <c r="E99" s="14" t="n">
        <f aca="false">((Assumptions!$E$127*$C$8)*0)</f>
        <v>0</v>
      </c>
      <c r="F99" s="14" t="n">
        <f aca="false">((Assumptions!$E$127*$C$8)*0)</f>
        <v>0</v>
      </c>
      <c r="G99" s="14" t="n">
        <f aca="false">((Assumptions!$E$127*$C$8)*0)</f>
        <v>0</v>
      </c>
      <c r="H99" s="14" t="n">
        <f aca="false">((Assumptions!$E$127*$C$8)*0)</f>
        <v>0</v>
      </c>
      <c r="I99" s="14" t="n">
        <f aca="false">((Assumptions!$E$127*$C$8)*0)</f>
        <v>0</v>
      </c>
      <c r="J99" s="14" t="n">
        <f aca="false">((Assumptions!$E$127*$C$8)*C92)</f>
        <v>0</v>
      </c>
      <c r="K99" s="14" t="n">
        <f aca="false">((Assumptions!$E$127*$C$8)*D92)</f>
        <v>0</v>
      </c>
      <c r="L99" s="14" t="n">
        <f aca="false">((Assumptions!$E$127*$C$8)*E92)</f>
        <v>0</v>
      </c>
      <c r="M99" s="14" t="n">
        <f aca="false">((Assumptions!$E$127*$C$8)*F92)</f>
        <v>0</v>
      </c>
      <c r="N99" s="14" t="n">
        <f aca="false">((Assumptions!$E$127*$C$8)*G92)</f>
        <v>0</v>
      </c>
      <c r="O99" s="14" t="n">
        <f aca="false">((Assumptions!$E$127*$C$8)*H92)</f>
        <v>0</v>
      </c>
      <c r="P99" s="14" t="n">
        <f aca="false">((Assumptions!$E$127*$C$8)*I92)</f>
        <v>0</v>
      </c>
      <c r="Q99" s="14" t="n">
        <f aca="false">((Assumptions!$E$127*$C$8)*J92)</f>
        <v>0</v>
      </c>
      <c r="R99" s="14" t="n">
        <f aca="false">((Assumptions!$E$127*$C$8)*K92)</f>
        <v>0</v>
      </c>
      <c r="S99" s="14" t="n">
        <f aca="false">((Assumptions!$E$127*$C$8)*L92)</f>
        <v>0</v>
      </c>
      <c r="T99" s="14" t="n">
        <f aca="false">((Assumptions!$E$127*$C$8)*M92)</f>
        <v>0</v>
      </c>
      <c r="U99" s="14" t="n">
        <f aca="false">((Assumptions!$E$127*$C$8)*N92)</f>
        <v>0</v>
      </c>
      <c r="V99" s="14" t="n">
        <f aca="false">((Assumptions!$E$127*$C$8)*O92)</f>
        <v>0</v>
      </c>
      <c r="W99" s="14" t="n">
        <f aca="false">((Assumptions!$E$127*$C$8)*P92)</f>
        <v>0</v>
      </c>
      <c r="X99" s="14" t="n">
        <f aca="false">((Assumptions!$E$127*$C$8)*Q92)</f>
        <v>0</v>
      </c>
      <c r="Y99" s="14" t="n">
        <f aca="false">((Assumptions!$E$127*$C$8)*R92)</f>
        <v>0</v>
      </c>
      <c r="Z99" s="14" t="n">
        <f aca="false">((Assumptions!$E$127*$C$8)*S92)</f>
        <v>0</v>
      </c>
      <c r="AA99" s="14" t="n">
        <f aca="false">((Assumptions!$E$127*$C$8)*T92)</f>
        <v>0</v>
      </c>
      <c r="AB99" s="14" t="n">
        <f aca="false">((Assumptions!$E$127*$C$8)*U92)</f>
        <v>0</v>
      </c>
      <c r="AC99" s="14" t="n">
        <f aca="false">((Assumptions!$E$127*$C$8)*V92)</f>
        <v>0</v>
      </c>
      <c r="AD99" s="14" t="n">
        <f aca="false">((Assumptions!$E$127*$C$8)*W92)</f>
        <v>0</v>
      </c>
      <c r="AE99" s="14" t="n">
        <f aca="false">((Assumptions!$E$127*$C$8)*X92)</f>
        <v>0</v>
      </c>
      <c r="AF99" s="14" t="n">
        <f aca="false">((Assumptions!$E$127*$C$8)*Y92)</f>
        <v>0</v>
      </c>
      <c r="AG99" s="14" t="n">
        <f aca="false">((Assumptions!$E$127*$C$8)*Z92)</f>
        <v>0</v>
      </c>
      <c r="AH99" s="14" t="n">
        <f aca="false">((Assumptions!$E$127*$C$8)*AA92)</f>
        <v>0</v>
      </c>
      <c r="AI99" s="14" t="n">
        <f aca="false">((Assumptions!$E$127*$C$8)*AB92)</f>
        <v>0</v>
      </c>
      <c r="AJ99" s="14" t="n">
        <f aca="false">((Assumptions!$E$127*$C$8)*AC92)</f>
        <v>0</v>
      </c>
      <c r="AK99" s="14" t="n">
        <f aca="false">((Assumptions!$E$127*$C$8)*AD92)</f>
        <v>0</v>
      </c>
      <c r="AL99" s="14" t="n">
        <f aca="false">((Assumptions!$E$127*$C$8)*AE92)</f>
        <v>0</v>
      </c>
      <c r="AN99" s="36" t="n">
        <f aca="false">SUM(C99:N99)</f>
        <v>0</v>
      </c>
      <c r="AO99" s="36" t="n">
        <f aca="false">SUM(O99:Z99)</f>
        <v>0</v>
      </c>
      <c r="AP99" s="36" t="n">
        <f aca="false">SUM(AA99:AL99)</f>
        <v>0</v>
      </c>
    </row>
    <row r="100" customFormat="false" ht="15" hidden="false" customHeight="false" outlineLevel="0" collapsed="false">
      <c r="A100" s="0" t="s">
        <v>906</v>
      </c>
      <c r="B100" s="0" t="s">
        <v>852</v>
      </c>
      <c r="C100" s="14" t="n">
        <f aca="false">((Assumptions!$C$10*$C$8)*IF((C$18=(Assumptions!$C$9+$C$9)),0,IF((C$18&gt;(Assumptions!$C$9+$C$9)),0,0)))</f>
        <v>0</v>
      </c>
      <c r="D100" s="14" t="n">
        <f aca="false">((Assumptions!$C$10*$C$8)*IF((D$18=(Assumptions!$C$9+$C$9)),0,IF((D$18&gt;(Assumptions!$C$9+$C$9)),0,0)))</f>
        <v>0</v>
      </c>
      <c r="E100" s="14" t="n">
        <f aca="false">((Assumptions!$C$10*$C$8)*IF((E$18=(Assumptions!$C$9+$C$9)),0,IF((E$18&gt;(Assumptions!$C$9+$C$9)),0,0)))</f>
        <v>0</v>
      </c>
      <c r="F100" s="14" t="n">
        <f aca="false">((Assumptions!$C$10*$C$8)*IF((F$18=(Assumptions!$C$9+$C$9)),0,IF((F$18&gt;(Assumptions!$C$9+$C$9)),0,0)))</f>
        <v>0</v>
      </c>
      <c r="G100" s="14" t="n">
        <f aca="false">((Assumptions!$C$10*$C$8)*IF((G$18=(Assumptions!$C$9+$C$9)),0,IF((G$18&gt;(Assumptions!$C$9+$C$9)),0,0)))</f>
        <v>0</v>
      </c>
      <c r="H100" s="14" t="n">
        <f aca="false">((Assumptions!$C$10*$C$8)*IF((H$18=(Assumptions!$C$9+$C$9)),0,IF((H$18&gt;(Assumptions!$C$9+$C$9)),0,0)))</f>
        <v>0</v>
      </c>
      <c r="I100" s="14" t="n">
        <f aca="false">((Assumptions!$C$10*$C$8)*IF((I$18=(Assumptions!$C$9+$C$9)),0,IF((I$18&gt;(Assumptions!$C$9+$C$9)),0,0)))</f>
        <v>0</v>
      </c>
      <c r="J100" s="14" t="n">
        <f aca="false">((Assumptions!$C$10*$C$8)*IF((J$18=(Assumptions!$C$9+$C$9)),C93,IF((J$18&gt;(Assumptions!$C$9+$C$9)),C93,0)))</f>
        <v>0</v>
      </c>
      <c r="K100" s="14" t="n">
        <f aca="false">((Assumptions!$C$10*$C$8)*IF((K$18=(Assumptions!$C$9+$C$9)),SUM(C93:D93),IF((K$18&gt;(Assumptions!$C$9+$C$9)),D93,0)))</f>
        <v>0</v>
      </c>
      <c r="L100" s="14" t="n">
        <f aca="false">((Assumptions!$C$10*$C$8)*IF((L$18=(Assumptions!$C$9+$C$9)),SUM(C93:E93),IF((L$18&gt;(Assumptions!$C$9+$C$9)),E93,0)))</f>
        <v>0</v>
      </c>
      <c r="M100" s="14" t="n">
        <f aca="false">((Assumptions!$C$10*$C$8)*IF((M$18=(Assumptions!$C$9+$C$9)),SUM(C93:F93),IF((M$18&gt;(Assumptions!$C$9+$C$9)),F93,0)))</f>
        <v>0</v>
      </c>
      <c r="N100" s="14" t="n">
        <f aca="false">((Assumptions!$C$10*$C$8)*IF((N$18=(Assumptions!$C$9+$C$9)),SUM(C93:G93),IF((N$18&gt;(Assumptions!$C$9+$C$9)),G93,0)))</f>
        <v>0</v>
      </c>
      <c r="O100" s="14" t="n">
        <f aca="false">((Assumptions!$C$10*$C$8)*IF((O$18=(Assumptions!$C$9+$C$9)),SUM(C93:H93),IF((O$18&gt;(Assumptions!$C$9+$C$9)),H93,0)))</f>
        <v>0</v>
      </c>
      <c r="P100" s="14" t="n">
        <f aca="false">((Assumptions!$C$10*$C$8)*IF((P$18=(Assumptions!$C$9+$C$9)),SUM(C93:I93),IF((P$18&gt;(Assumptions!$C$9+$C$9)),I93,0)))</f>
        <v>0</v>
      </c>
      <c r="Q100" s="14" t="n">
        <f aca="false">((Assumptions!$C$10*$C$8)*IF((Q$18=(Assumptions!$C$9+$C$9)),SUM(C93:J93),IF((Q$18&gt;(Assumptions!$C$9+$C$9)),J93,0)))</f>
        <v>0</v>
      </c>
      <c r="R100" s="14" t="n">
        <f aca="false">((Assumptions!$C$10*$C$8)*IF((R$18=(Assumptions!$C$9+$C$9)),SUM(C93:K93),IF((R$18&gt;(Assumptions!$C$9+$C$9)),K93,0)))</f>
        <v>0</v>
      </c>
      <c r="S100" s="14" t="n">
        <f aca="false">((Assumptions!$C$10*$C$8)*IF((S$18=(Assumptions!$C$9+$C$9)),SUM(C93:L93),IF((S$18&gt;(Assumptions!$C$9+$C$9)),L93,0)))</f>
        <v>0</v>
      </c>
      <c r="T100" s="14" t="n">
        <f aca="false">((Assumptions!$C$10*$C$8)*IF((T$18=(Assumptions!$C$9+$C$9)),SUM(C93:M93),IF((T$18&gt;(Assumptions!$C$9+$C$9)),M93,0)))</f>
        <v>0</v>
      </c>
      <c r="U100" s="14" t="n">
        <f aca="false">((Assumptions!$C$10*$C$8)*IF((U$18=(Assumptions!$C$9+$C$9)),SUM(C93:N93),IF((U$18&gt;(Assumptions!$C$9+$C$9)),N93,0)))</f>
        <v>0</v>
      </c>
      <c r="V100" s="14" t="n">
        <f aca="false">((Assumptions!$C$10*$C$8)*IF((V$18=(Assumptions!$C$9+$C$9)),SUM(C93:O93),IF((V$18&gt;(Assumptions!$C$9+$C$9)),O93,0)))</f>
        <v>0</v>
      </c>
      <c r="W100" s="14" t="n">
        <f aca="false">((Assumptions!$C$10*$C$8)*IF((W$18=(Assumptions!$C$9+$C$9)),SUM(C93:P93),IF((W$18&gt;(Assumptions!$C$9+$C$9)),P93,0)))</f>
        <v>0</v>
      </c>
      <c r="X100" s="14" t="n">
        <f aca="false">((Assumptions!$C$10*$C$8)*IF((X$18=(Assumptions!$C$9+$C$9)),SUM(C93:Q93),IF((X$18&gt;(Assumptions!$C$9+$C$9)),Q93,0)))</f>
        <v>0</v>
      </c>
      <c r="Y100" s="14" t="n">
        <f aca="false">((Assumptions!$C$10*$C$8)*IF((Y$18=(Assumptions!$C$9+$C$9)),SUM(C93:R93),IF((Y$18&gt;(Assumptions!$C$9+$C$9)),R93,0)))</f>
        <v>0</v>
      </c>
      <c r="Z100" s="14" t="n">
        <f aca="false">((Assumptions!$C$10*$C$8)*IF((Z$18=(Assumptions!$C$9+$C$9)),SUM(C93:S93),IF((Z$18&gt;(Assumptions!$C$9+$C$9)),S93,0)))</f>
        <v>0</v>
      </c>
      <c r="AA100" s="14" t="n">
        <f aca="false">((Assumptions!$C$10*$C$8)*IF((AA$18=(Assumptions!$C$9+$C$9)),SUM(C93:T93),IF((AA$18&gt;(Assumptions!$C$9+$C$9)),T93,0)))</f>
        <v>0</v>
      </c>
      <c r="AB100" s="14" t="n">
        <f aca="false">((Assumptions!$C$10*$C$8)*IF((AB$18=(Assumptions!$C$9+$C$9)),SUM(C93:U93),IF((AB$18&gt;(Assumptions!$C$9+$C$9)),U93,0)))</f>
        <v>0</v>
      </c>
      <c r="AC100" s="14" t="n">
        <f aca="false">((Assumptions!$C$10*$C$8)*IF((AC$18=(Assumptions!$C$9+$C$9)),SUM(C93:V93),IF((AC$18&gt;(Assumptions!$C$9+$C$9)),V93,0)))</f>
        <v>0</v>
      </c>
      <c r="AD100" s="14" t="n">
        <f aca="false">((Assumptions!$C$10*$C$8)*IF((AD$18=(Assumptions!$C$9+$C$9)),SUM(C93:W93),IF((AD$18&gt;(Assumptions!$C$9+$C$9)),W93,0)))</f>
        <v>0</v>
      </c>
      <c r="AE100" s="14" t="n">
        <f aca="false">((Assumptions!$C$10*$C$8)*IF((AE$18=(Assumptions!$C$9+$C$9)),SUM(C93:X93),IF((AE$18&gt;(Assumptions!$C$9+$C$9)),X93,0)))</f>
        <v>0</v>
      </c>
      <c r="AF100" s="14" t="n">
        <f aca="false">((Assumptions!$C$10*$C$8)*IF((AF$18=(Assumptions!$C$9+$C$9)),SUM(C93:Y93),IF((AF$18&gt;(Assumptions!$C$9+$C$9)),Y93,0)))</f>
        <v>0</v>
      </c>
      <c r="AG100" s="14" t="n">
        <f aca="false">((Assumptions!$C$10*$C$8)*IF((AG$18=(Assumptions!$C$9+$C$9)),SUM(C93:Z93),IF((AG$18&gt;(Assumptions!$C$9+$C$9)),Z93,0)))</f>
        <v>0</v>
      </c>
      <c r="AH100" s="14" t="n">
        <f aca="false">((Assumptions!$C$10*$C$8)*IF((AH$18=(Assumptions!$C$9+$C$9)),SUM(C93:AA93),IF((AH$18&gt;(Assumptions!$C$9+$C$9)),AA93,0)))</f>
        <v>0</v>
      </c>
      <c r="AI100" s="14" t="n">
        <f aca="false">((Assumptions!$C$10*$C$8)*IF((AI$18=(Assumptions!$C$9+$C$9)),SUM(C93:AB93),IF((AI$18&gt;(Assumptions!$C$9+$C$9)),AB93,0)))</f>
        <v>0</v>
      </c>
      <c r="AJ100" s="14" t="n">
        <f aca="false">((Assumptions!$C$10*$C$8)*IF((AJ$18=(Assumptions!$C$9+$C$9)),SUM(C93:AC93),IF((AJ$18&gt;(Assumptions!$C$9+$C$9)),AC93,0)))</f>
        <v>0</v>
      </c>
      <c r="AK100" s="14" t="n">
        <f aca="false">((Assumptions!$C$10*$C$8)*IF((AK$18=(Assumptions!$C$9+$C$9)),SUM(C93:AD93),IF((AK$18&gt;(Assumptions!$C$9+$C$9)),AD93,0)))</f>
        <v>0</v>
      </c>
      <c r="AL100" s="14" t="n">
        <f aca="false">((Assumptions!$C$10*$C$8)*IF((AL$18=(Assumptions!$C$9+$C$9)),SUM(C93:AE93),IF((AL$18&gt;(Assumptions!$C$9+$C$9)),AE93,0)))</f>
        <v>0</v>
      </c>
      <c r="AN100" s="36" t="n">
        <f aca="false">SUM(C100:N100)</f>
        <v>0</v>
      </c>
      <c r="AO100" s="36" t="n">
        <f aca="false">SUM(O100:Z100)</f>
        <v>0</v>
      </c>
      <c r="AP100" s="36" t="n">
        <f aca="false">SUM(AA100:AL100)</f>
        <v>0</v>
      </c>
    </row>
    <row r="101" customFormat="false" ht="15" hidden="false" customHeight="false" outlineLevel="0" collapsed="false">
      <c r="A101" s="0" t="s">
        <v>907</v>
      </c>
      <c r="B101" s="0" t="s">
        <v>852</v>
      </c>
      <c r="C101" s="14" t="n">
        <f aca="false">((C99+C100)+C95)</f>
        <v>0</v>
      </c>
      <c r="D101" s="14" t="n">
        <f aca="false">((D99+D100)+D95)</f>
        <v>0</v>
      </c>
      <c r="E101" s="14" t="n">
        <f aca="false">((E99+E100)+E95)</f>
        <v>0</v>
      </c>
      <c r="F101" s="14" t="n">
        <f aca="false">((F99+F100)+F95)</f>
        <v>0</v>
      </c>
      <c r="G101" s="14" t="n">
        <f aca="false">((G99+G100)+G95)</f>
        <v>0</v>
      </c>
      <c r="H101" s="14" t="n">
        <f aca="false">((H99+H100)+H95)</f>
        <v>0</v>
      </c>
      <c r="I101" s="14" t="n">
        <f aca="false">((I99+I100)+I95)</f>
        <v>0</v>
      </c>
      <c r="J101" s="14" t="n">
        <f aca="false">((J99+J100)+J95)</f>
        <v>0</v>
      </c>
      <c r="K101" s="14" t="n">
        <f aca="false">((K99+K100)+K95)</f>
        <v>0</v>
      </c>
      <c r="L101" s="14" t="n">
        <f aca="false">((L99+L100)+L95)</f>
        <v>0</v>
      </c>
      <c r="M101" s="14" t="n">
        <f aca="false">((M99+M100)+M95)</f>
        <v>0</v>
      </c>
      <c r="N101" s="14" t="n">
        <f aca="false">((N99+N100)+N95)</f>
        <v>0</v>
      </c>
      <c r="O101" s="14" t="n">
        <f aca="false">((O99+O100)+O95)</f>
        <v>0</v>
      </c>
      <c r="P101" s="14" t="n">
        <f aca="false">((P99+P100)+P95)</f>
        <v>0</v>
      </c>
      <c r="Q101" s="14" t="n">
        <f aca="false">((Q99+Q100)+Q95)</f>
        <v>0</v>
      </c>
      <c r="R101" s="14" t="n">
        <f aca="false">((R99+R100)+R95)</f>
        <v>0</v>
      </c>
      <c r="S101" s="14" t="n">
        <f aca="false">((S99+S100)+S95)</f>
        <v>0</v>
      </c>
      <c r="T101" s="14" t="n">
        <f aca="false">((T99+T100)+T95)</f>
        <v>0</v>
      </c>
      <c r="U101" s="14" t="n">
        <f aca="false">((U99+U100)+U95)</f>
        <v>0</v>
      </c>
      <c r="V101" s="14" t="n">
        <f aca="false">((V99+V100)+V95)</f>
        <v>0</v>
      </c>
      <c r="W101" s="14" t="n">
        <f aca="false">((W99+W100)+W95)</f>
        <v>0</v>
      </c>
      <c r="X101" s="14" t="n">
        <f aca="false">((X99+X100)+X95)</f>
        <v>0</v>
      </c>
      <c r="Y101" s="14" t="n">
        <f aca="false">((Y99+Y100)+Y95)</f>
        <v>0</v>
      </c>
      <c r="Z101" s="14" t="n">
        <f aca="false">((Z99+Z100)+Z95)</f>
        <v>0</v>
      </c>
      <c r="AA101" s="14" t="n">
        <f aca="false">((AA99+AA100)+AA95)</f>
        <v>0</v>
      </c>
      <c r="AB101" s="14" t="n">
        <f aca="false">((AB99+AB100)+AB95)</f>
        <v>0</v>
      </c>
      <c r="AC101" s="14" t="n">
        <f aca="false">((AC99+AC100)+AC95)</f>
        <v>0</v>
      </c>
      <c r="AD101" s="14" t="n">
        <f aca="false">((AD99+AD100)+AD95)</f>
        <v>0</v>
      </c>
      <c r="AE101" s="14" t="n">
        <f aca="false">((AE99+AE100)+AE95)</f>
        <v>0</v>
      </c>
      <c r="AF101" s="14" t="n">
        <f aca="false">((AF99+AF100)+AF95)</f>
        <v>0</v>
      </c>
      <c r="AG101" s="14" t="n">
        <f aca="false">((AG99+AG100)+AG95)</f>
        <v>0</v>
      </c>
      <c r="AH101" s="14" t="n">
        <f aca="false">((AH99+AH100)+AH95)</f>
        <v>0</v>
      </c>
      <c r="AI101" s="14" t="n">
        <f aca="false">((AI99+AI100)+AI95)</f>
        <v>0</v>
      </c>
      <c r="AJ101" s="14" t="n">
        <f aca="false">((AJ99+AJ100)+AJ95)</f>
        <v>0</v>
      </c>
      <c r="AK101" s="14" t="n">
        <f aca="false">((AK99+AK100)+AK95)</f>
        <v>0</v>
      </c>
      <c r="AL101" s="14" t="n">
        <f aca="false">((AL99+AL100)+AL95)</f>
        <v>1</v>
      </c>
      <c r="AN101" s="36" t="n">
        <f aca="false">SUM(C101:N101)</f>
        <v>0</v>
      </c>
      <c r="AO101" s="36" t="n">
        <f aca="false">SUM(O101:Z101)</f>
        <v>0</v>
      </c>
      <c r="AP101" s="36" t="n">
        <f aca="false">SUM(AA101:AL101)</f>
        <v>1</v>
      </c>
    </row>
    <row r="102" customFormat="false" ht="15" hidden="false" customHeight="false" outlineLevel="0" collapsed="false">
      <c r="A102" s="0" t="s">
        <v>908</v>
      </c>
      <c r="B102" s="0" t="s">
        <v>852</v>
      </c>
      <c r="C102" s="14" t="n">
        <f aca="false">(C101+(C45*0))</f>
        <v>0</v>
      </c>
      <c r="D102" s="14" t="n">
        <f aca="false">(D101+(D45*0))</f>
        <v>0</v>
      </c>
      <c r="E102" s="14" t="n">
        <f aca="false">(E101+(E45*0))</f>
        <v>0</v>
      </c>
      <c r="F102" s="14" t="n">
        <f aca="false">(F101+(F45*0))</f>
        <v>0</v>
      </c>
      <c r="G102" s="14" t="n">
        <f aca="false">(G101+(G45*0))</f>
        <v>0</v>
      </c>
      <c r="H102" s="14" t="n">
        <f aca="false">(H101+(H45*0))</f>
        <v>0</v>
      </c>
      <c r="I102" s="14" t="n">
        <f aca="false">(I101+(I45*0))</f>
        <v>0</v>
      </c>
      <c r="J102" s="14" t="n">
        <f aca="false">(J101+(J45*0))</f>
        <v>0</v>
      </c>
      <c r="K102" s="14" t="n">
        <f aca="false">(K101+(K45*0))</f>
        <v>0</v>
      </c>
      <c r="L102" s="14" t="n">
        <f aca="false">(L101+(L45*0))</f>
        <v>0</v>
      </c>
      <c r="M102" s="14" t="n">
        <f aca="false">(M101+(M45*0))</f>
        <v>0</v>
      </c>
      <c r="N102" s="14" t="n">
        <f aca="false">(N101+(N45*0))</f>
        <v>0</v>
      </c>
      <c r="O102" s="14" t="n">
        <f aca="false">(O101+(O45*C102))</f>
        <v>0</v>
      </c>
      <c r="P102" s="14" t="n">
        <f aca="false">(P101+(P45*D102))</f>
        <v>0</v>
      </c>
      <c r="Q102" s="14" t="n">
        <f aca="false">(Q101+(Q45*E102))</f>
        <v>0</v>
      </c>
      <c r="R102" s="14" t="n">
        <f aca="false">(R101+(R45*F102))</f>
        <v>0</v>
      </c>
      <c r="S102" s="14" t="n">
        <f aca="false">(S101+(S45*G102))</f>
        <v>0</v>
      </c>
      <c r="T102" s="14" t="n">
        <f aca="false">(T101+(T45*H102))</f>
        <v>0</v>
      </c>
      <c r="U102" s="14" t="n">
        <f aca="false">(U101+(U45*I102))</f>
        <v>0</v>
      </c>
      <c r="V102" s="14" t="n">
        <f aca="false">(V101+(V45*J102))</f>
        <v>0</v>
      </c>
      <c r="W102" s="14" t="n">
        <f aca="false">(W101+(W45*K102))</f>
        <v>0</v>
      </c>
      <c r="X102" s="14" t="n">
        <f aca="false">(X101+(X45*L102))</f>
        <v>0</v>
      </c>
      <c r="Y102" s="14" t="n">
        <f aca="false">(Y101+(Y45*M102))</f>
        <v>0</v>
      </c>
      <c r="Z102" s="14" t="n">
        <f aca="false">(Z101+(Z45*N102))</f>
        <v>0</v>
      </c>
      <c r="AA102" s="14" t="n">
        <f aca="false">(AA101+(AA45*O102))</f>
        <v>0</v>
      </c>
      <c r="AB102" s="14" t="n">
        <f aca="false">(AB101+(AB45*P102))</f>
        <v>0</v>
      </c>
      <c r="AC102" s="14" t="n">
        <f aca="false">(AC101+(AC45*Q102))</f>
        <v>0</v>
      </c>
      <c r="AD102" s="14" t="n">
        <f aca="false">(AD101+(AD45*R102))</f>
        <v>0</v>
      </c>
      <c r="AE102" s="14" t="n">
        <f aca="false">(AE101+(AE45*S102))</f>
        <v>0</v>
      </c>
      <c r="AF102" s="14" t="n">
        <f aca="false">(AF101+(AF45*T102))</f>
        <v>0</v>
      </c>
      <c r="AG102" s="14" t="n">
        <f aca="false">(AG101+(AG45*U102))</f>
        <v>0</v>
      </c>
      <c r="AH102" s="14" t="n">
        <f aca="false">(AH101+(AH45*V102))</f>
        <v>0</v>
      </c>
      <c r="AI102" s="14" t="n">
        <f aca="false">(AI101+(AI45*W102))</f>
        <v>0</v>
      </c>
      <c r="AJ102" s="14" t="n">
        <f aca="false">(AJ101+(AJ45*X102))</f>
        <v>0</v>
      </c>
      <c r="AK102" s="14" t="n">
        <f aca="false">(AK101+(AK45*Y102))</f>
        <v>0</v>
      </c>
      <c r="AL102" s="14" t="n">
        <f aca="false">(AL101+(AL45*Z102))</f>
        <v>1</v>
      </c>
      <c r="AN102" s="36" t="n">
        <f aca="false">SUM(C102:N102)</f>
        <v>0</v>
      </c>
      <c r="AO102" s="36" t="n">
        <f aca="false">SUM(O102:Z102)</f>
        <v>0</v>
      </c>
      <c r="AP102" s="36" t="n">
        <f aca="false">SUM(AA102:AL102)</f>
        <v>1</v>
      </c>
    </row>
    <row r="103" customFormat="false" ht="15" hidden="false" customHeight="false" outlineLevel="0" collapsed="false">
      <c r="A103" s="0" t="s">
        <v>909</v>
      </c>
      <c r="B103" s="0" t="s">
        <v>852</v>
      </c>
      <c r="C103" s="14" t="n">
        <f aca="false">C102</f>
        <v>0</v>
      </c>
      <c r="D103" s="14" t="n">
        <f aca="false">SUM(C102:D102)</f>
        <v>0</v>
      </c>
      <c r="E103" s="14" t="n">
        <f aca="false">SUM(C102:E102)</f>
        <v>0</v>
      </c>
      <c r="F103" s="14" t="n">
        <f aca="false">SUM(C102:F102)</f>
        <v>0</v>
      </c>
      <c r="G103" s="14" t="n">
        <f aca="false">SUM(C102:G102)</f>
        <v>0</v>
      </c>
      <c r="H103" s="14" t="n">
        <f aca="false">SUM(C102:H102)</f>
        <v>0</v>
      </c>
      <c r="I103" s="14" t="n">
        <f aca="false">SUM(C102:I102)</f>
        <v>0</v>
      </c>
      <c r="J103" s="14" t="n">
        <f aca="false">SUM(C102:J102)</f>
        <v>0</v>
      </c>
      <c r="K103" s="14" t="n">
        <f aca="false">SUM(C102:K102)</f>
        <v>0</v>
      </c>
      <c r="L103" s="14" t="n">
        <f aca="false">SUM(C102:L102)</f>
        <v>0</v>
      </c>
      <c r="M103" s="14" t="n">
        <f aca="false">SUM(C102:M102)</f>
        <v>0</v>
      </c>
      <c r="N103" s="14" t="n">
        <f aca="false">SUM(C102:N102)</f>
        <v>0</v>
      </c>
      <c r="O103" s="14" t="n">
        <f aca="false">SUM(D102:O102)</f>
        <v>0</v>
      </c>
      <c r="P103" s="14" t="n">
        <f aca="false">SUM(E102:P102)</f>
        <v>0</v>
      </c>
      <c r="Q103" s="14" t="n">
        <f aca="false">SUM(F102:Q102)</f>
        <v>0</v>
      </c>
      <c r="R103" s="14" t="n">
        <f aca="false">SUM(G102:R102)</f>
        <v>0</v>
      </c>
      <c r="S103" s="14" t="n">
        <f aca="false">SUM(H102:S102)</f>
        <v>0</v>
      </c>
      <c r="T103" s="14" t="n">
        <f aca="false">SUM(I102:T102)</f>
        <v>0</v>
      </c>
      <c r="U103" s="14" t="n">
        <f aca="false">SUM(J102:U102)</f>
        <v>0</v>
      </c>
      <c r="V103" s="14" t="n">
        <f aca="false">SUM(K102:V102)</f>
        <v>0</v>
      </c>
      <c r="W103" s="14" t="n">
        <f aca="false">SUM(L102:W102)</f>
        <v>0</v>
      </c>
      <c r="X103" s="14" t="n">
        <f aca="false">SUM(M102:X102)</f>
        <v>0</v>
      </c>
      <c r="Y103" s="14" t="n">
        <f aca="false">SUM(N102:Y102)</f>
        <v>0</v>
      </c>
      <c r="Z103" s="14" t="n">
        <f aca="false">SUM(O102:Z102)</f>
        <v>0</v>
      </c>
      <c r="AA103" s="14" t="n">
        <f aca="false">SUM(P102:AA102)</f>
        <v>0</v>
      </c>
      <c r="AB103" s="14" t="n">
        <f aca="false">SUM(Q102:AB102)</f>
        <v>0</v>
      </c>
      <c r="AC103" s="14" t="n">
        <f aca="false">SUM(R102:AC102)</f>
        <v>0</v>
      </c>
      <c r="AD103" s="14" t="n">
        <f aca="false">SUM(S102:AD102)</f>
        <v>0</v>
      </c>
      <c r="AE103" s="14" t="n">
        <f aca="false">SUM(T102:AE102)</f>
        <v>0</v>
      </c>
      <c r="AF103" s="14" t="n">
        <f aca="false">SUM(U102:AF102)</f>
        <v>0</v>
      </c>
      <c r="AG103" s="14" t="n">
        <f aca="false">SUM(V102:AG102)</f>
        <v>0</v>
      </c>
      <c r="AH103" s="14" t="n">
        <f aca="false">SUM(W102:AH102)</f>
        <v>0</v>
      </c>
      <c r="AI103" s="14" t="n">
        <f aca="false">SUM(X102:AI102)</f>
        <v>0</v>
      </c>
      <c r="AJ103" s="14" t="n">
        <f aca="false">SUM(Y102:AJ102)</f>
        <v>0</v>
      </c>
      <c r="AK103" s="14" t="n">
        <f aca="false">SUM(Z102:AK102)</f>
        <v>0</v>
      </c>
      <c r="AL103" s="14" t="n">
        <f aca="false">SUM(AA102:AL102)</f>
        <v>1</v>
      </c>
      <c r="AN103" s="36" t="n">
        <f aca="false">N103</f>
        <v>0</v>
      </c>
      <c r="AO103" s="36" t="n">
        <f aca="false">Z103</f>
        <v>0</v>
      </c>
      <c r="AP103" s="36" t="n">
        <f aca="false">AL103</f>
        <v>1</v>
      </c>
    </row>
    <row r="104" customFormat="false" ht="15" hidden="false" customHeight="false" outlineLevel="0" collapsed="false">
      <c r="A104" s="0" t="s">
        <v>910</v>
      </c>
      <c r="B104" s="0" t="s">
        <v>230</v>
      </c>
      <c r="C104" s="9" t="n">
        <f aca="false">((Assumptions!$E$121*(1-Assumptions!$C$29))*$C$10)</f>
        <v>193600</v>
      </c>
      <c r="D104" s="9" t="n">
        <f aca="false">((Assumptions!$E$121*(1-Assumptions!$C$29))*$C$10)</f>
        <v>193600</v>
      </c>
      <c r="E104" s="9" t="n">
        <f aca="false">((Assumptions!$E$121*(1-Assumptions!$C$29))*$C$10)</f>
        <v>193600</v>
      </c>
      <c r="F104" s="9" t="n">
        <f aca="false">((Assumptions!$E$121*(1-Assumptions!$C$29))*$C$10)</f>
        <v>193600</v>
      </c>
      <c r="G104" s="9" t="n">
        <f aca="false">((Assumptions!$E$121*(1-Assumptions!$C$29))*$C$10)</f>
        <v>193600</v>
      </c>
      <c r="H104" s="9" t="n">
        <f aca="false">((Assumptions!$E$121*(1-Assumptions!$C$29))*$C$10)</f>
        <v>193600</v>
      </c>
      <c r="I104" s="9" t="n">
        <f aca="false">((Assumptions!$E$121*(1-Assumptions!$C$29))*$C$10)</f>
        <v>193600</v>
      </c>
      <c r="J104" s="9" t="n">
        <f aca="false">((Assumptions!$E$121*(1-Assumptions!$C$29))*$C$10)</f>
        <v>193600</v>
      </c>
      <c r="K104" s="9" t="n">
        <f aca="false">((Assumptions!$E$121*(1-Assumptions!$C$29))*$C$10)</f>
        <v>193600</v>
      </c>
      <c r="L104" s="9" t="n">
        <f aca="false">((Assumptions!$E$121*(1-Assumptions!$C$29))*$C$10)</f>
        <v>193600</v>
      </c>
      <c r="M104" s="9" t="n">
        <f aca="false">((Assumptions!$E$121*(1-Assumptions!$C$29))*$C$10)</f>
        <v>193600</v>
      </c>
      <c r="N104" s="9" t="n">
        <f aca="false">((Assumptions!$E$121*(1-Assumptions!$C$29))*$C$10)</f>
        <v>193600</v>
      </c>
      <c r="O104" s="9" t="n">
        <f aca="false">((Assumptions!$E$121*(1-Assumptions!$C$29))*$C$10)</f>
        <v>193600</v>
      </c>
      <c r="P104" s="9" t="n">
        <f aca="false">((Assumptions!$E$121*(1-Assumptions!$C$29))*$C$10)</f>
        <v>193600</v>
      </c>
      <c r="Q104" s="9" t="n">
        <f aca="false">((Assumptions!$E$121*(1-Assumptions!$C$29))*$C$10)</f>
        <v>193600</v>
      </c>
      <c r="R104" s="9" t="n">
        <f aca="false">((Assumptions!$E$121*(1-Assumptions!$C$29))*$C$10)</f>
        <v>193600</v>
      </c>
      <c r="S104" s="9" t="n">
        <f aca="false">((Assumptions!$E$121*(1-Assumptions!$C$29))*$C$10)</f>
        <v>193600</v>
      </c>
      <c r="T104" s="9" t="n">
        <f aca="false">((Assumptions!$E$121*(1-Assumptions!$C$29))*$C$10)</f>
        <v>193600</v>
      </c>
      <c r="U104" s="9" t="n">
        <f aca="false">((Assumptions!$E$121*(1-Assumptions!$C$29))*$C$10)</f>
        <v>193600</v>
      </c>
      <c r="V104" s="9" t="n">
        <f aca="false">((Assumptions!$E$121*(1-Assumptions!$C$29))*$C$10)</f>
        <v>193600</v>
      </c>
      <c r="W104" s="9" t="n">
        <f aca="false">((Assumptions!$E$121*(1-Assumptions!$C$29))*$C$10)</f>
        <v>193600</v>
      </c>
      <c r="X104" s="9" t="n">
        <f aca="false">((Assumptions!$E$121*(1-Assumptions!$C$29))*$C$10)</f>
        <v>193600</v>
      </c>
      <c r="Y104" s="9" t="n">
        <f aca="false">((Assumptions!$E$121*(1-Assumptions!$C$29))*$C$10)</f>
        <v>193600</v>
      </c>
      <c r="Z104" s="9" t="n">
        <f aca="false">((Assumptions!$E$121*(1-Assumptions!$C$29))*$C$10)</f>
        <v>193600</v>
      </c>
      <c r="AA104" s="9" t="n">
        <f aca="false">((Assumptions!$E$121*(1-Assumptions!$C$29))*$C$10)</f>
        <v>193600</v>
      </c>
      <c r="AB104" s="9" t="n">
        <f aca="false">((Assumptions!$E$121*(1-Assumptions!$C$29))*$C$10)</f>
        <v>193600</v>
      </c>
      <c r="AC104" s="9" t="n">
        <f aca="false">((Assumptions!$E$121*(1-Assumptions!$C$29))*$C$10)</f>
        <v>193600</v>
      </c>
      <c r="AD104" s="9" t="n">
        <f aca="false">((Assumptions!$E$121*(1-Assumptions!$C$29))*$C$10)</f>
        <v>193600</v>
      </c>
      <c r="AE104" s="9" t="n">
        <f aca="false">((Assumptions!$E$121*(1-Assumptions!$C$29))*$C$10)</f>
        <v>193600</v>
      </c>
      <c r="AF104" s="9" t="n">
        <f aca="false">((Assumptions!$E$121*(1-Assumptions!$C$29))*$C$10)</f>
        <v>193600</v>
      </c>
      <c r="AG104" s="9" t="n">
        <f aca="false">((Assumptions!$E$121*(1-Assumptions!$C$29))*$C$10)</f>
        <v>193600</v>
      </c>
      <c r="AH104" s="9" t="n">
        <f aca="false">((Assumptions!$E$121*(1-Assumptions!$C$29))*$C$10)</f>
        <v>193600</v>
      </c>
      <c r="AI104" s="9" t="n">
        <f aca="false">((Assumptions!$E$121*(1-Assumptions!$C$29))*$C$10)</f>
        <v>193600</v>
      </c>
      <c r="AJ104" s="9" t="n">
        <f aca="false">((Assumptions!$E$121*(1-Assumptions!$C$29))*$C$10)</f>
        <v>193600</v>
      </c>
      <c r="AK104" s="9" t="n">
        <f aca="false">((Assumptions!$E$121*(1-Assumptions!$C$29))*$C$10)</f>
        <v>193600</v>
      </c>
      <c r="AL104" s="9" t="n">
        <f aca="false">((Assumptions!$E$121*(1-Assumptions!$C$29))*$C$10)</f>
        <v>193600</v>
      </c>
    </row>
    <row r="105" customFormat="false" ht="15" hidden="false" customHeight="false" outlineLevel="0" collapsed="false">
      <c r="A105" s="0" t="s">
        <v>911</v>
      </c>
      <c r="B105" s="0" t="s">
        <v>230</v>
      </c>
      <c r="C105" s="9" t="n">
        <f aca="false">((C101*C104)+((C45*(1+Assumptions!$C$31))*0))</f>
        <v>0</v>
      </c>
      <c r="D105" s="9" t="n">
        <f aca="false">((D101*D104)+((D45*(1+Assumptions!$C$31))*0))</f>
        <v>0</v>
      </c>
      <c r="E105" s="9" t="n">
        <f aca="false">((E101*E104)+((E45*(1+Assumptions!$C$31))*0))</f>
        <v>0</v>
      </c>
      <c r="F105" s="9" t="n">
        <f aca="false">((F101*F104)+((F45*(1+Assumptions!$C$31))*0))</f>
        <v>0</v>
      </c>
      <c r="G105" s="9" t="n">
        <f aca="false">((G101*G104)+((G45*(1+Assumptions!$C$31))*0))</f>
        <v>0</v>
      </c>
      <c r="H105" s="9" t="n">
        <f aca="false">((H101*H104)+((H45*(1+Assumptions!$C$31))*0))</f>
        <v>0</v>
      </c>
      <c r="I105" s="9" t="n">
        <f aca="false">((I101*I104)+((I45*(1+Assumptions!$C$31))*0))</f>
        <v>0</v>
      </c>
      <c r="J105" s="9" t="n">
        <f aca="false">((J101*J104)+((J45*(1+Assumptions!$C$31))*0))</f>
        <v>0</v>
      </c>
      <c r="K105" s="9" t="n">
        <f aca="false">((K101*K104)+((K45*(1+Assumptions!$C$31))*0))</f>
        <v>0</v>
      </c>
      <c r="L105" s="9" t="n">
        <f aca="false">((L101*L104)+((L45*(1+Assumptions!$C$31))*0))</f>
        <v>0</v>
      </c>
      <c r="M105" s="9" t="n">
        <f aca="false">((M101*M104)+((M45*(1+Assumptions!$C$31))*0))</f>
        <v>0</v>
      </c>
      <c r="N105" s="9" t="n">
        <f aca="false">((N101*N104)+((N45*(1+Assumptions!$C$31))*0))</f>
        <v>0</v>
      </c>
      <c r="O105" s="9" t="n">
        <f aca="false">((O101*O104)+((O45*(1+Assumptions!$C$31))*C105))</f>
        <v>0</v>
      </c>
      <c r="P105" s="9" t="n">
        <f aca="false">((P101*P104)+((P45*(1+Assumptions!$C$31))*D105))</f>
        <v>0</v>
      </c>
      <c r="Q105" s="9" t="n">
        <f aca="false">((Q101*Q104)+((Q45*(1+Assumptions!$C$31))*E105))</f>
        <v>0</v>
      </c>
      <c r="R105" s="9" t="n">
        <f aca="false">((R101*R104)+((R45*(1+Assumptions!$C$31))*F105))</f>
        <v>0</v>
      </c>
      <c r="S105" s="9" t="n">
        <f aca="false">((S101*S104)+((S45*(1+Assumptions!$C$31))*G105))</f>
        <v>0</v>
      </c>
      <c r="T105" s="9" t="n">
        <f aca="false">((T101*T104)+((T45*(1+Assumptions!$C$31))*H105))</f>
        <v>0</v>
      </c>
      <c r="U105" s="9" t="n">
        <f aca="false">((U101*U104)+((U45*(1+Assumptions!$C$31))*I105))</f>
        <v>0</v>
      </c>
      <c r="V105" s="9" t="n">
        <f aca="false">((V101*V104)+((V45*(1+Assumptions!$C$31))*J105))</f>
        <v>0</v>
      </c>
      <c r="W105" s="9" t="n">
        <f aca="false">((W101*W104)+((W45*(1+Assumptions!$C$31))*K105))</f>
        <v>0</v>
      </c>
      <c r="X105" s="9" t="n">
        <f aca="false">((X101*X104)+((X45*(1+Assumptions!$C$31))*L105))</f>
        <v>0</v>
      </c>
      <c r="Y105" s="9" t="n">
        <f aca="false">((Y101*Y104)+((Y45*(1+Assumptions!$C$31))*M105))</f>
        <v>0</v>
      </c>
      <c r="Z105" s="9" t="n">
        <f aca="false">((Z101*Z104)+((Z45*(1+Assumptions!$C$31))*N105))</f>
        <v>0</v>
      </c>
      <c r="AA105" s="9" t="n">
        <f aca="false">((AA101*AA104)+((AA45*(1+Assumptions!$C$31))*O105))</f>
        <v>0</v>
      </c>
      <c r="AB105" s="9" t="n">
        <f aca="false">((AB101*AB104)+((AB45*(1+Assumptions!$C$31))*P105))</f>
        <v>0</v>
      </c>
      <c r="AC105" s="9" t="n">
        <f aca="false">((AC101*AC104)+((AC45*(1+Assumptions!$C$31))*Q105))</f>
        <v>0</v>
      </c>
      <c r="AD105" s="9" t="n">
        <f aca="false">((AD101*AD104)+((AD45*(1+Assumptions!$C$31))*R105))</f>
        <v>0</v>
      </c>
      <c r="AE105" s="9" t="n">
        <f aca="false">((AE101*AE104)+((AE45*(1+Assumptions!$C$31))*S105))</f>
        <v>0</v>
      </c>
      <c r="AF105" s="9" t="n">
        <f aca="false">((AF101*AF104)+((AF45*(1+Assumptions!$C$31))*T105))</f>
        <v>0</v>
      </c>
      <c r="AG105" s="9" t="n">
        <f aca="false">((AG101*AG104)+((AG45*(1+Assumptions!$C$31))*U105))</f>
        <v>0</v>
      </c>
      <c r="AH105" s="9" t="n">
        <f aca="false">((AH101*AH104)+((AH45*(1+Assumptions!$C$31))*V105))</f>
        <v>0</v>
      </c>
      <c r="AI105" s="9" t="n">
        <f aca="false">((AI101*AI104)+((AI45*(1+Assumptions!$C$31))*W105))</f>
        <v>0</v>
      </c>
      <c r="AJ105" s="9" t="n">
        <f aca="false">((AJ101*AJ104)+((AJ45*(1+Assumptions!$C$31))*X105))</f>
        <v>0</v>
      </c>
      <c r="AK105" s="9" t="n">
        <f aca="false">((AK101*AK104)+((AK45*(1+Assumptions!$C$31))*Y105))</f>
        <v>0</v>
      </c>
      <c r="AL105" s="9" t="n">
        <f aca="false">((AL101*AL104)+((AL45*(1+Assumptions!$C$31))*Z105))</f>
        <v>193600</v>
      </c>
      <c r="AN105" s="11" t="n">
        <f aca="false">SUM(C105:N105)</f>
        <v>0</v>
      </c>
      <c r="AO105" s="11" t="n">
        <f aca="false">SUM(O105:Z105)</f>
        <v>0</v>
      </c>
      <c r="AP105" s="11" t="n">
        <f aca="false">SUM(AA105:AL105)</f>
        <v>193600</v>
      </c>
    </row>
    <row r="106" customFormat="false" ht="15" hidden="false" customHeight="false" outlineLevel="0" collapsed="false">
      <c r="A106" s="0" t="s">
        <v>912</v>
      </c>
      <c r="B106" s="0" t="s">
        <v>230</v>
      </c>
      <c r="C106" s="9" t="n">
        <f aca="false">(Assumptions!$E$126*C99)</f>
        <v>0</v>
      </c>
      <c r="D106" s="9" t="n">
        <f aca="false">(Assumptions!$E$126*D99)</f>
        <v>0</v>
      </c>
      <c r="E106" s="9" t="n">
        <f aca="false">(Assumptions!$E$126*E99)</f>
        <v>0</v>
      </c>
      <c r="F106" s="9" t="n">
        <f aca="false">(Assumptions!$E$126*F99)</f>
        <v>0</v>
      </c>
      <c r="G106" s="9" t="n">
        <f aca="false">(Assumptions!$E$126*G99)</f>
        <v>0</v>
      </c>
      <c r="H106" s="9" t="n">
        <f aca="false">(Assumptions!$E$126*H99)</f>
        <v>0</v>
      </c>
      <c r="I106" s="9" t="n">
        <f aca="false">(Assumptions!$E$126*I99)</f>
        <v>0</v>
      </c>
      <c r="J106" s="9" t="n">
        <f aca="false">(Assumptions!$E$126*J99)</f>
        <v>0</v>
      </c>
      <c r="K106" s="9" t="n">
        <f aca="false">(Assumptions!$E$126*K99)</f>
        <v>0</v>
      </c>
      <c r="L106" s="9" t="n">
        <f aca="false">(Assumptions!$E$126*L99)</f>
        <v>0</v>
      </c>
      <c r="M106" s="9" t="n">
        <f aca="false">(Assumptions!$E$126*M99)</f>
        <v>0</v>
      </c>
      <c r="N106" s="9" t="n">
        <f aca="false">(Assumptions!$E$126*N99)</f>
        <v>0</v>
      </c>
      <c r="O106" s="9" t="n">
        <f aca="false">(Assumptions!$E$126*O99)</f>
        <v>0</v>
      </c>
      <c r="P106" s="9" t="n">
        <f aca="false">(Assumptions!$E$126*P99)</f>
        <v>0</v>
      </c>
      <c r="Q106" s="9" t="n">
        <f aca="false">(Assumptions!$E$126*Q99)</f>
        <v>0</v>
      </c>
      <c r="R106" s="9" t="n">
        <f aca="false">(Assumptions!$E$126*R99)</f>
        <v>0</v>
      </c>
      <c r="S106" s="9" t="n">
        <f aca="false">(Assumptions!$E$126*S99)</f>
        <v>0</v>
      </c>
      <c r="T106" s="9" t="n">
        <f aca="false">(Assumptions!$E$126*T99)</f>
        <v>0</v>
      </c>
      <c r="U106" s="9" t="n">
        <f aca="false">(Assumptions!$E$126*U99)</f>
        <v>0</v>
      </c>
      <c r="V106" s="9" t="n">
        <f aca="false">(Assumptions!$E$126*V99)</f>
        <v>0</v>
      </c>
      <c r="W106" s="9" t="n">
        <f aca="false">(Assumptions!$E$126*W99)</f>
        <v>0</v>
      </c>
      <c r="X106" s="9" t="n">
        <f aca="false">(Assumptions!$E$126*X99)</f>
        <v>0</v>
      </c>
      <c r="Y106" s="9" t="n">
        <f aca="false">(Assumptions!$E$126*Y99)</f>
        <v>0</v>
      </c>
      <c r="Z106" s="9" t="n">
        <f aca="false">(Assumptions!$E$126*Z99)</f>
        <v>0</v>
      </c>
      <c r="AA106" s="9" t="n">
        <f aca="false">(Assumptions!$E$126*AA99)</f>
        <v>0</v>
      </c>
      <c r="AB106" s="9" t="n">
        <f aca="false">(Assumptions!$E$126*AB99)</f>
        <v>0</v>
      </c>
      <c r="AC106" s="9" t="n">
        <f aca="false">(Assumptions!$E$126*AC99)</f>
        <v>0</v>
      </c>
      <c r="AD106" s="9" t="n">
        <f aca="false">(Assumptions!$E$126*AD99)</f>
        <v>0</v>
      </c>
      <c r="AE106" s="9" t="n">
        <f aca="false">(Assumptions!$E$126*AE99)</f>
        <v>0</v>
      </c>
      <c r="AF106" s="9" t="n">
        <f aca="false">(Assumptions!$E$126*AF99)</f>
        <v>0</v>
      </c>
      <c r="AG106" s="9" t="n">
        <f aca="false">(Assumptions!$E$126*AG99)</f>
        <v>0</v>
      </c>
      <c r="AH106" s="9" t="n">
        <f aca="false">(Assumptions!$E$126*AH99)</f>
        <v>0</v>
      </c>
      <c r="AI106" s="9" t="n">
        <f aca="false">(Assumptions!$E$126*AI99)</f>
        <v>0</v>
      </c>
      <c r="AJ106" s="9" t="n">
        <f aca="false">(Assumptions!$E$126*AJ99)</f>
        <v>0</v>
      </c>
      <c r="AK106" s="9" t="n">
        <f aca="false">(Assumptions!$E$126*AK99)</f>
        <v>0</v>
      </c>
      <c r="AL106" s="9" t="n">
        <f aca="false">(Assumptions!$E$126*AL99)</f>
        <v>0</v>
      </c>
      <c r="AN106" s="11" t="n">
        <f aca="false">SUM(C106:N106)</f>
        <v>0</v>
      </c>
      <c r="AO106" s="11" t="n">
        <f aca="false">SUM(O106:Z106)</f>
        <v>0</v>
      </c>
      <c r="AP106" s="11" t="n">
        <f aca="false">SUM(AA106:AL106)</f>
        <v>0</v>
      </c>
    </row>
    <row r="107" customFormat="false" ht="15" hidden="false" customHeight="false" outlineLevel="0" collapsed="false">
      <c r="A107" s="0" t="s">
        <v>913</v>
      </c>
      <c r="B107" s="0" t="s">
        <v>230</v>
      </c>
      <c r="C107" s="9" t="n">
        <f aca="false">((C105-C106)/12)</f>
        <v>0</v>
      </c>
      <c r="D107" s="9" t="n">
        <f aca="false">((SUM(C105:D105)-SUM(C106:D106))/12)</f>
        <v>0</v>
      </c>
      <c r="E107" s="9" t="n">
        <f aca="false">((SUM(C105:E105)-SUM(C106:E106))/12)</f>
        <v>0</v>
      </c>
      <c r="F107" s="9" t="n">
        <f aca="false">((SUM(C105:F105)-SUM(C106:F106))/12)</f>
        <v>0</v>
      </c>
      <c r="G107" s="9" t="n">
        <f aca="false">((SUM(C105:G105)-SUM(C106:G106))/12)</f>
        <v>0</v>
      </c>
      <c r="H107" s="9" t="n">
        <f aca="false">((SUM(C105:H105)-SUM(C106:H106))/12)</f>
        <v>0</v>
      </c>
      <c r="I107" s="9" t="n">
        <f aca="false">((SUM(C105:I105)-SUM(C106:I106))/12)</f>
        <v>0</v>
      </c>
      <c r="J107" s="9" t="n">
        <f aca="false">((SUM(C105:J105)-SUM(C106:J106))/12)</f>
        <v>0</v>
      </c>
      <c r="K107" s="9" t="n">
        <f aca="false">((SUM(C105:K105)-SUM(C106:K106))/12)</f>
        <v>0</v>
      </c>
      <c r="L107" s="9" t="n">
        <f aca="false">((SUM(C105:L105)-SUM(C106:L106))/12)</f>
        <v>0</v>
      </c>
      <c r="M107" s="9" t="n">
        <f aca="false">((SUM(C105:M105)-SUM(C106:M106))/12)</f>
        <v>0</v>
      </c>
      <c r="N107" s="9" t="n">
        <f aca="false">((SUM(C105:N105)-SUM(C106:N106))/12)</f>
        <v>0</v>
      </c>
      <c r="O107" s="9" t="n">
        <f aca="false">((SUM(D105:O105)-SUM(D106:O106))/12)</f>
        <v>0</v>
      </c>
      <c r="P107" s="9" t="n">
        <f aca="false">((SUM(E105:P105)-SUM(E106:P106))/12)</f>
        <v>0</v>
      </c>
      <c r="Q107" s="9" t="n">
        <f aca="false">((SUM(F105:Q105)-SUM(F106:Q106))/12)</f>
        <v>0</v>
      </c>
      <c r="R107" s="9" t="n">
        <f aca="false">((SUM(G105:R105)-SUM(G106:R106))/12)</f>
        <v>0</v>
      </c>
      <c r="S107" s="9" t="n">
        <f aca="false">((SUM(H105:S105)-SUM(H106:S106))/12)</f>
        <v>0</v>
      </c>
      <c r="T107" s="9" t="n">
        <f aca="false">((SUM(I105:T105)-SUM(I106:T106))/12)</f>
        <v>0</v>
      </c>
      <c r="U107" s="9" t="n">
        <f aca="false">((SUM(J105:U105)-SUM(J106:U106))/12)</f>
        <v>0</v>
      </c>
      <c r="V107" s="9" t="n">
        <f aca="false">((SUM(K105:V105)-SUM(K106:V106))/12)</f>
        <v>0</v>
      </c>
      <c r="W107" s="9" t="n">
        <f aca="false">((SUM(L105:W105)-SUM(L106:W106))/12)</f>
        <v>0</v>
      </c>
      <c r="X107" s="9" t="n">
        <f aca="false">((SUM(M105:X105)-SUM(M106:X106))/12)</f>
        <v>0</v>
      </c>
      <c r="Y107" s="9" t="n">
        <f aca="false">((SUM(N105:Y105)-SUM(N106:Y106))/12)</f>
        <v>0</v>
      </c>
      <c r="Z107" s="9" t="n">
        <f aca="false">((SUM(O105:Z105)-SUM(O106:Z106))/12)</f>
        <v>0</v>
      </c>
      <c r="AA107" s="9" t="n">
        <f aca="false">((SUM(P105:AA105)-SUM(P106:AA106))/12)</f>
        <v>0</v>
      </c>
      <c r="AB107" s="9" t="n">
        <f aca="false">((SUM(Q105:AB105)-SUM(Q106:AB106))/12)</f>
        <v>0</v>
      </c>
      <c r="AC107" s="9" t="n">
        <f aca="false">((SUM(R105:AC105)-SUM(R106:AC106))/12)</f>
        <v>0</v>
      </c>
      <c r="AD107" s="9" t="n">
        <f aca="false">((SUM(S105:AD105)-SUM(S106:AD106))/12)</f>
        <v>0</v>
      </c>
      <c r="AE107" s="9" t="n">
        <f aca="false">((SUM(T105:AE105)-SUM(T106:AE106))/12)</f>
        <v>0</v>
      </c>
      <c r="AF107" s="9" t="n">
        <f aca="false">((SUM(U105:AF105)-SUM(U106:AF106))/12)</f>
        <v>0</v>
      </c>
      <c r="AG107" s="9" t="n">
        <f aca="false">((SUM(V105:AG105)-SUM(V106:AG106))/12)</f>
        <v>0</v>
      </c>
      <c r="AH107" s="9" t="n">
        <f aca="false">((SUM(W105:AH105)-SUM(W106:AH106))/12)</f>
        <v>0</v>
      </c>
      <c r="AI107" s="9" t="n">
        <f aca="false">((SUM(X105:AI105)-SUM(X106:AI106))/12)</f>
        <v>0</v>
      </c>
      <c r="AJ107" s="9" t="n">
        <f aca="false">((SUM(Y105:AJ105)-SUM(Y106:AJ106))/12)</f>
        <v>0</v>
      </c>
      <c r="AK107" s="9" t="n">
        <f aca="false">((SUM(Z105:AK105)-SUM(Z106:AK106))/12)</f>
        <v>0</v>
      </c>
      <c r="AL107" s="9" t="n">
        <f aca="false">((SUM(AA105:AL105)-SUM(AA106:AL106))/12)</f>
        <v>16133.3333333333</v>
      </c>
      <c r="AN107" s="11" t="n">
        <f aca="false">SUM(C107:N107)</f>
        <v>0</v>
      </c>
      <c r="AO107" s="11" t="n">
        <f aca="false">SUM(O107:Z107)</f>
        <v>0</v>
      </c>
      <c r="AP107" s="11" t="n">
        <f aca="false">SUM(AA107:AL107)</f>
        <v>16133.3333333333</v>
      </c>
    </row>
    <row r="108" customFormat="false" ht="15" hidden="false" customHeight="false" outlineLevel="0" collapsed="false">
      <c r="A108" s="0" t="s">
        <v>914</v>
      </c>
      <c r="B108" s="0" t="s">
        <v>230</v>
      </c>
      <c r="C108" s="9" t="n">
        <f aca="false">(C105-C106)</f>
        <v>0</v>
      </c>
      <c r="D108" s="9" t="n">
        <f aca="false">(D105-D106)</f>
        <v>0</v>
      </c>
      <c r="E108" s="9" t="n">
        <f aca="false">(E105-E106)</f>
        <v>0</v>
      </c>
      <c r="F108" s="9" t="n">
        <f aca="false">(F105-F106)</f>
        <v>0</v>
      </c>
      <c r="G108" s="9" t="n">
        <f aca="false">(G105-G106)</f>
        <v>0</v>
      </c>
      <c r="H108" s="9" t="n">
        <f aca="false">(H105-H106)</f>
        <v>0</v>
      </c>
      <c r="I108" s="9" t="n">
        <f aca="false">(I105-I106)</f>
        <v>0</v>
      </c>
      <c r="J108" s="9" t="n">
        <f aca="false">(J105-J106)</f>
        <v>0</v>
      </c>
      <c r="K108" s="9" t="n">
        <f aca="false">(K105-K106)</f>
        <v>0</v>
      </c>
      <c r="L108" s="9" t="n">
        <f aca="false">(L105-L106)</f>
        <v>0</v>
      </c>
      <c r="M108" s="9" t="n">
        <f aca="false">(M105-M106)</f>
        <v>0</v>
      </c>
      <c r="N108" s="9" t="n">
        <f aca="false">(N105-N106)</f>
        <v>0</v>
      </c>
      <c r="O108" s="9" t="n">
        <f aca="false">(O105-O106)</f>
        <v>0</v>
      </c>
      <c r="P108" s="9" t="n">
        <f aca="false">(P105-P106)</f>
        <v>0</v>
      </c>
      <c r="Q108" s="9" t="n">
        <f aca="false">(Q105-Q106)</f>
        <v>0</v>
      </c>
      <c r="R108" s="9" t="n">
        <f aca="false">(R105-R106)</f>
        <v>0</v>
      </c>
      <c r="S108" s="9" t="n">
        <f aca="false">(S105-S106)</f>
        <v>0</v>
      </c>
      <c r="T108" s="9" t="n">
        <f aca="false">(T105-T106)</f>
        <v>0</v>
      </c>
      <c r="U108" s="9" t="n">
        <f aca="false">(U105-U106)</f>
        <v>0</v>
      </c>
      <c r="V108" s="9" t="n">
        <f aca="false">(V105-V106)</f>
        <v>0</v>
      </c>
      <c r="W108" s="9" t="n">
        <f aca="false">(W105-W106)</f>
        <v>0</v>
      </c>
      <c r="X108" s="9" t="n">
        <f aca="false">(X105-X106)</f>
        <v>0</v>
      </c>
      <c r="Y108" s="9" t="n">
        <f aca="false">(Y105-Y106)</f>
        <v>0</v>
      </c>
      <c r="Z108" s="9" t="n">
        <f aca="false">(Z105-Z106)</f>
        <v>0</v>
      </c>
      <c r="AA108" s="9" t="n">
        <f aca="false">(AA105-AA106)</f>
        <v>0</v>
      </c>
      <c r="AB108" s="9" t="n">
        <f aca="false">(AB105-AB106)</f>
        <v>0</v>
      </c>
      <c r="AC108" s="9" t="n">
        <f aca="false">(AC105-AC106)</f>
        <v>0</v>
      </c>
      <c r="AD108" s="9" t="n">
        <f aca="false">(AD105-AD106)</f>
        <v>0</v>
      </c>
      <c r="AE108" s="9" t="n">
        <f aca="false">(AE105-AE106)</f>
        <v>0</v>
      </c>
      <c r="AF108" s="9" t="n">
        <f aca="false">(AF105-AF106)</f>
        <v>0</v>
      </c>
      <c r="AG108" s="9" t="n">
        <f aca="false">(AG105-AG106)</f>
        <v>0</v>
      </c>
      <c r="AH108" s="9" t="n">
        <f aca="false">(AH105-AH106)</f>
        <v>0</v>
      </c>
      <c r="AI108" s="9" t="n">
        <f aca="false">(AI105-AI106)</f>
        <v>0</v>
      </c>
      <c r="AJ108" s="9" t="n">
        <f aca="false">(AJ105-AJ106)</f>
        <v>0</v>
      </c>
      <c r="AK108" s="9" t="n">
        <f aca="false">(AK105-AK106)</f>
        <v>0</v>
      </c>
      <c r="AL108" s="9" t="n">
        <f aca="false">(AL105-AL106)</f>
        <v>193600</v>
      </c>
      <c r="AN108" s="11" t="n">
        <f aca="false">SUM(C108:N108)</f>
        <v>0</v>
      </c>
      <c r="AO108" s="11" t="n">
        <f aca="false">SUM(O108:Z108)</f>
        <v>0</v>
      </c>
      <c r="AP108" s="11" t="n">
        <f aca="false">SUM(AA108:AL108)</f>
        <v>193600</v>
      </c>
    </row>
    <row r="109" customFormat="false" ht="15" hidden="false" customHeight="false" outlineLevel="0" collapsed="false">
      <c r="A109" s="0" t="s">
        <v>915</v>
      </c>
      <c r="B109" s="0" t="s">
        <v>230</v>
      </c>
      <c r="C109" s="9" t="n">
        <f aca="false">(((Assumptions!$E$122*$C$10)/6)*C98)</f>
        <v>0</v>
      </c>
      <c r="D109" s="9" t="n">
        <f aca="false">(((Assumptions!$E$122*$C$10)/6)*D98)</f>
        <v>0</v>
      </c>
      <c r="E109" s="9" t="n">
        <f aca="false">(((Assumptions!$E$122*$C$10)/6)*E98)</f>
        <v>0</v>
      </c>
      <c r="F109" s="9" t="n">
        <f aca="false">(((Assumptions!$E$122*$C$10)/6)*F98)</f>
        <v>0</v>
      </c>
      <c r="G109" s="9" t="n">
        <f aca="false">(((Assumptions!$E$122*$C$10)/6)*G98)</f>
        <v>0</v>
      </c>
      <c r="H109" s="9" t="n">
        <f aca="false">(((Assumptions!$E$122*$C$10)/6)*H98)</f>
        <v>0</v>
      </c>
      <c r="I109" s="9" t="n">
        <f aca="false">(((Assumptions!$E$122*$C$10)/6)*I98)</f>
        <v>0</v>
      </c>
      <c r="J109" s="9" t="n">
        <f aca="false">(((Assumptions!$E$122*$C$10)/6)*J98)</f>
        <v>0</v>
      </c>
      <c r="K109" s="9" t="n">
        <f aca="false">(((Assumptions!$E$122*$C$10)/6)*K98)</f>
        <v>0</v>
      </c>
      <c r="L109" s="9" t="n">
        <f aca="false">(((Assumptions!$E$122*$C$10)/6)*L98)</f>
        <v>0</v>
      </c>
      <c r="M109" s="9" t="n">
        <f aca="false">(((Assumptions!$E$122*$C$10)/6)*M98)</f>
        <v>0</v>
      </c>
      <c r="N109" s="9" t="n">
        <f aca="false">(((Assumptions!$E$122*$C$10)/6)*N98)</f>
        <v>0</v>
      </c>
      <c r="O109" s="9" t="n">
        <f aca="false">(((Assumptions!$E$122*$C$10)/6)*O98)</f>
        <v>0</v>
      </c>
      <c r="P109" s="9" t="n">
        <f aca="false">(((Assumptions!$E$122*$C$10)/6)*P98)</f>
        <v>0</v>
      </c>
      <c r="Q109" s="9" t="n">
        <f aca="false">(((Assumptions!$E$122*$C$10)/6)*Q98)</f>
        <v>0</v>
      </c>
      <c r="R109" s="9" t="n">
        <f aca="false">(((Assumptions!$E$122*$C$10)/6)*R98)</f>
        <v>0</v>
      </c>
      <c r="S109" s="9" t="n">
        <f aca="false">(((Assumptions!$E$122*$C$10)/6)*S98)</f>
        <v>0</v>
      </c>
      <c r="T109" s="9" t="n">
        <f aca="false">(((Assumptions!$E$122*$C$10)/6)*T98)</f>
        <v>0</v>
      </c>
      <c r="U109" s="9" t="n">
        <f aca="false">(((Assumptions!$E$122*$C$10)/6)*U98)</f>
        <v>0</v>
      </c>
      <c r="V109" s="9" t="n">
        <f aca="false">(((Assumptions!$E$122*$C$10)/6)*V98)</f>
        <v>0</v>
      </c>
      <c r="W109" s="9" t="n">
        <f aca="false">(((Assumptions!$E$122*$C$10)/6)*W98)</f>
        <v>0</v>
      </c>
      <c r="X109" s="9" t="n">
        <f aca="false">(((Assumptions!$E$122*$C$10)/6)*X98)</f>
        <v>0</v>
      </c>
      <c r="Y109" s="9" t="n">
        <f aca="false">(((Assumptions!$E$122*$C$10)/6)*Y98)</f>
        <v>0</v>
      </c>
      <c r="Z109" s="9" t="n">
        <f aca="false">(((Assumptions!$E$122*$C$10)/6)*Z98)</f>
        <v>0</v>
      </c>
      <c r="AA109" s="9" t="n">
        <f aca="false">(((Assumptions!$E$122*$C$10)/6)*AA98)</f>
        <v>0</v>
      </c>
      <c r="AB109" s="9" t="n">
        <f aca="false">(((Assumptions!$E$122*$C$10)/6)*AB98)</f>
        <v>0</v>
      </c>
      <c r="AC109" s="9" t="n">
        <f aca="false">(((Assumptions!$E$122*$C$10)/6)*AC98)</f>
        <v>0</v>
      </c>
      <c r="AD109" s="9" t="n">
        <f aca="false">(((Assumptions!$E$122*$C$10)/6)*AD98)</f>
        <v>0</v>
      </c>
      <c r="AE109" s="9" t="n">
        <f aca="false">(((Assumptions!$E$122*$C$10)/6)*AE98)</f>
        <v>0</v>
      </c>
      <c r="AF109" s="9" t="n">
        <f aca="false">(((Assumptions!$E$122*$C$10)/6)*AF98)</f>
        <v>10000</v>
      </c>
      <c r="AG109" s="9" t="n">
        <f aca="false">(((Assumptions!$E$122*$C$10)/6)*AG98)</f>
        <v>10000</v>
      </c>
      <c r="AH109" s="9" t="n">
        <f aca="false">(((Assumptions!$E$122*$C$10)/6)*AH98)</f>
        <v>10000</v>
      </c>
      <c r="AI109" s="9" t="n">
        <f aca="false">(((Assumptions!$E$122*$C$10)/6)*AI98)</f>
        <v>10000</v>
      </c>
      <c r="AJ109" s="9" t="n">
        <f aca="false">(((Assumptions!$E$122*$C$10)/6)*AJ98)</f>
        <v>10000</v>
      </c>
      <c r="AK109" s="9" t="n">
        <f aca="false">(((Assumptions!$E$122*$C$10)/6)*AK98)</f>
        <v>10000</v>
      </c>
      <c r="AL109" s="9" t="n">
        <f aca="false">(((Assumptions!$E$122*$C$10)/6)*AL98)</f>
        <v>10000</v>
      </c>
      <c r="AN109" s="11" t="n">
        <f aca="false">SUM(C109:N109)</f>
        <v>0</v>
      </c>
      <c r="AO109" s="11" t="n">
        <f aca="false">SUM(O109:Z109)</f>
        <v>0</v>
      </c>
      <c r="AP109" s="11" t="n">
        <f aca="false">SUM(AA109:AL109)</f>
        <v>70000</v>
      </c>
    </row>
    <row r="110" customFormat="false" ht="15" hidden="false" customHeight="false" outlineLevel="0" collapsed="false">
      <c r="A110" s="0" t="s">
        <v>916</v>
      </c>
      <c r="B110" s="0" t="s">
        <v>230</v>
      </c>
      <c r="C110" s="9" t="n">
        <f aca="false">((Assumptions!$E$122*$C$10)*C92)</f>
        <v>0</v>
      </c>
      <c r="D110" s="9" t="n">
        <f aca="false">((Assumptions!$E$122*$C$10)*D92)</f>
        <v>0</v>
      </c>
      <c r="E110" s="9" t="n">
        <f aca="false">((Assumptions!$E$122*$C$10)*E92)</f>
        <v>0</v>
      </c>
      <c r="F110" s="9" t="n">
        <f aca="false">((Assumptions!$E$122*$C$10)*F92)</f>
        <v>0</v>
      </c>
      <c r="G110" s="9" t="n">
        <f aca="false">((Assumptions!$E$122*$C$10)*G92)</f>
        <v>0</v>
      </c>
      <c r="H110" s="9" t="n">
        <f aca="false">((Assumptions!$E$122*$C$10)*H92)</f>
        <v>0</v>
      </c>
      <c r="I110" s="9" t="n">
        <f aca="false">((Assumptions!$E$122*$C$10)*I92)</f>
        <v>0</v>
      </c>
      <c r="J110" s="9" t="n">
        <f aca="false">((Assumptions!$E$122*$C$10)*J92)</f>
        <v>0</v>
      </c>
      <c r="K110" s="9" t="n">
        <f aca="false">((Assumptions!$E$122*$C$10)*K92)</f>
        <v>0</v>
      </c>
      <c r="L110" s="9" t="n">
        <f aca="false">((Assumptions!$E$122*$C$10)*L92)</f>
        <v>0</v>
      </c>
      <c r="M110" s="9" t="n">
        <f aca="false">((Assumptions!$E$122*$C$10)*M92)</f>
        <v>0</v>
      </c>
      <c r="N110" s="9" t="n">
        <f aca="false">((Assumptions!$E$122*$C$10)*N92)</f>
        <v>0</v>
      </c>
      <c r="O110" s="9" t="n">
        <f aca="false">((Assumptions!$E$122*$C$10)*O92)</f>
        <v>0</v>
      </c>
      <c r="P110" s="9" t="n">
        <f aca="false">((Assumptions!$E$122*$C$10)*P92)</f>
        <v>0</v>
      </c>
      <c r="Q110" s="9" t="n">
        <f aca="false">((Assumptions!$E$122*$C$10)*Q92)</f>
        <v>0</v>
      </c>
      <c r="R110" s="9" t="n">
        <f aca="false">((Assumptions!$E$122*$C$10)*R92)</f>
        <v>0</v>
      </c>
      <c r="S110" s="9" t="n">
        <f aca="false">((Assumptions!$E$122*$C$10)*S92)</f>
        <v>0</v>
      </c>
      <c r="T110" s="9" t="n">
        <f aca="false">((Assumptions!$E$122*$C$10)*T92)</f>
        <v>0</v>
      </c>
      <c r="U110" s="9" t="n">
        <f aca="false">((Assumptions!$E$122*$C$10)*U92)</f>
        <v>0</v>
      </c>
      <c r="V110" s="9" t="n">
        <f aca="false">((Assumptions!$E$122*$C$10)*V92)</f>
        <v>0</v>
      </c>
      <c r="W110" s="9" t="n">
        <f aca="false">((Assumptions!$E$122*$C$10)*W92)</f>
        <v>0</v>
      </c>
      <c r="X110" s="9" t="n">
        <f aca="false">((Assumptions!$E$122*$C$10)*X92)</f>
        <v>0</v>
      </c>
      <c r="Y110" s="9" t="n">
        <f aca="false">((Assumptions!$E$122*$C$10)*Y92)</f>
        <v>0</v>
      </c>
      <c r="Z110" s="9" t="n">
        <f aca="false">((Assumptions!$E$122*$C$10)*Z92)</f>
        <v>0</v>
      </c>
      <c r="AA110" s="9" t="n">
        <f aca="false">((Assumptions!$E$122*$C$10)*AA92)</f>
        <v>0</v>
      </c>
      <c r="AB110" s="9" t="n">
        <f aca="false">((Assumptions!$E$122*$C$10)*AB92)</f>
        <v>0</v>
      </c>
      <c r="AC110" s="9" t="n">
        <f aca="false">((Assumptions!$E$122*$C$10)*AC92)</f>
        <v>0</v>
      </c>
      <c r="AD110" s="9" t="n">
        <f aca="false">((Assumptions!$E$122*$C$10)*AD92)</f>
        <v>0</v>
      </c>
      <c r="AE110" s="9" t="n">
        <f aca="false">((Assumptions!$E$122*$C$10)*AE92)</f>
        <v>0</v>
      </c>
      <c r="AF110" s="9" t="n">
        <f aca="false">((Assumptions!$E$122*$C$10)*AF92)</f>
        <v>60000</v>
      </c>
      <c r="AG110" s="9" t="n">
        <f aca="false">((Assumptions!$E$122*$C$10)*AG92)</f>
        <v>0</v>
      </c>
      <c r="AH110" s="9" t="n">
        <f aca="false">((Assumptions!$E$122*$C$10)*AH92)</f>
        <v>0</v>
      </c>
      <c r="AI110" s="9" t="n">
        <f aca="false">((Assumptions!$E$122*$C$10)*AI92)</f>
        <v>0</v>
      </c>
      <c r="AJ110" s="9" t="n">
        <f aca="false">((Assumptions!$E$122*$C$10)*AJ92)</f>
        <v>0</v>
      </c>
      <c r="AK110" s="9" t="n">
        <f aca="false">((Assumptions!$E$122*$C$10)*AK92)</f>
        <v>0</v>
      </c>
      <c r="AL110" s="9" t="n">
        <f aca="false">((Assumptions!$E$122*$C$10)*AL92)</f>
        <v>60000</v>
      </c>
      <c r="AN110" s="11" t="n">
        <f aca="false">SUM(C110:N110)</f>
        <v>0</v>
      </c>
      <c r="AO110" s="11" t="n">
        <f aca="false">SUM(O110:Z110)</f>
        <v>0</v>
      </c>
      <c r="AP110" s="11" t="n">
        <f aca="false">SUM(AA110:AL110)</f>
        <v>120000</v>
      </c>
    </row>
    <row r="111" customFormat="false" ht="15" hidden="false" customHeight="false" outlineLevel="0" collapsed="false">
      <c r="A111" s="0" t="s">
        <v>917</v>
      </c>
      <c r="B111" s="0" t="s">
        <v>230</v>
      </c>
      <c r="C111" s="9" t="n">
        <f aca="false">((Assumptions!$E$123*$C$10)+(Assumptions!$C$34*Assumptions!$C$35))</f>
        <v>106000</v>
      </c>
      <c r="D111" s="9" t="n">
        <f aca="false">((Assumptions!$E$123*$C$10)+(Assumptions!$C$34*Assumptions!$C$35))</f>
        <v>106000</v>
      </c>
      <c r="E111" s="9" t="n">
        <f aca="false">((Assumptions!$E$123*$C$10)+(Assumptions!$C$34*Assumptions!$C$35))</f>
        <v>106000</v>
      </c>
      <c r="F111" s="9" t="n">
        <f aca="false">((Assumptions!$E$123*$C$10)+(Assumptions!$C$34*Assumptions!$C$35))</f>
        <v>106000</v>
      </c>
      <c r="G111" s="9" t="n">
        <f aca="false">((Assumptions!$E$123*$C$10)+(Assumptions!$C$34*Assumptions!$C$35))</f>
        <v>106000</v>
      </c>
      <c r="H111" s="9" t="n">
        <f aca="false">((Assumptions!$E$123*$C$10)+(Assumptions!$C$34*Assumptions!$C$35))</f>
        <v>106000</v>
      </c>
      <c r="I111" s="9" t="n">
        <f aca="false">((Assumptions!$E$123*$C$10)+(Assumptions!$C$34*Assumptions!$C$35))</f>
        <v>106000</v>
      </c>
      <c r="J111" s="9" t="n">
        <f aca="false">((Assumptions!$E$123*$C$10)+(Assumptions!$C$34*Assumptions!$C$35))</f>
        <v>106000</v>
      </c>
      <c r="K111" s="9" t="n">
        <f aca="false">((Assumptions!$E$123*$C$10)+(Assumptions!$C$34*Assumptions!$C$35))</f>
        <v>106000</v>
      </c>
      <c r="L111" s="9" t="n">
        <f aca="false">((Assumptions!$E$123*$C$10)+(Assumptions!$C$34*Assumptions!$C$35))</f>
        <v>106000</v>
      </c>
      <c r="M111" s="9" t="n">
        <f aca="false">((Assumptions!$E$123*$C$10)+(Assumptions!$C$34*Assumptions!$C$35))</f>
        <v>106000</v>
      </c>
      <c r="N111" s="9" t="n">
        <f aca="false">((Assumptions!$E$123*$C$10)+(Assumptions!$C$34*Assumptions!$C$35))</f>
        <v>106000</v>
      </c>
      <c r="O111" s="9" t="n">
        <f aca="false">((Assumptions!$E$123*$C$10)+(Assumptions!$C$34*Assumptions!$C$35))</f>
        <v>106000</v>
      </c>
      <c r="P111" s="9" t="n">
        <f aca="false">((Assumptions!$E$123*$C$10)+(Assumptions!$C$34*Assumptions!$C$35))</f>
        <v>106000</v>
      </c>
      <c r="Q111" s="9" t="n">
        <f aca="false">((Assumptions!$E$123*$C$10)+(Assumptions!$C$34*Assumptions!$C$35))</f>
        <v>106000</v>
      </c>
      <c r="R111" s="9" t="n">
        <f aca="false">((Assumptions!$E$123*$C$10)+(Assumptions!$C$34*Assumptions!$C$35))</f>
        <v>106000</v>
      </c>
      <c r="S111" s="9" t="n">
        <f aca="false">((Assumptions!$E$123*$C$10)+(Assumptions!$C$34*Assumptions!$C$35))</f>
        <v>106000</v>
      </c>
      <c r="T111" s="9" t="n">
        <f aca="false">((Assumptions!$E$123*$C$10)+(Assumptions!$C$34*Assumptions!$C$35))</f>
        <v>106000</v>
      </c>
      <c r="U111" s="9" t="n">
        <f aca="false">((Assumptions!$E$123*$C$10)+(Assumptions!$C$34*Assumptions!$C$35))</f>
        <v>106000</v>
      </c>
      <c r="V111" s="9" t="n">
        <f aca="false">((Assumptions!$E$123*$C$10)+(Assumptions!$C$34*Assumptions!$C$35))</f>
        <v>106000</v>
      </c>
      <c r="W111" s="9" t="n">
        <f aca="false">((Assumptions!$E$123*$C$10)+(Assumptions!$C$34*Assumptions!$C$35))</f>
        <v>106000</v>
      </c>
      <c r="X111" s="9" t="n">
        <f aca="false">((Assumptions!$E$123*$C$10)+(Assumptions!$C$34*Assumptions!$C$35))</f>
        <v>106000</v>
      </c>
      <c r="Y111" s="9" t="n">
        <f aca="false">((Assumptions!$E$123*$C$10)+(Assumptions!$C$34*Assumptions!$C$35))</f>
        <v>106000</v>
      </c>
      <c r="Z111" s="9" t="n">
        <f aca="false">((Assumptions!$E$123*$C$10)+(Assumptions!$C$34*Assumptions!$C$35))</f>
        <v>106000</v>
      </c>
      <c r="AA111" s="9" t="n">
        <f aca="false">((Assumptions!$E$123*$C$10)+(Assumptions!$C$34*Assumptions!$C$35))</f>
        <v>106000</v>
      </c>
      <c r="AB111" s="9" t="n">
        <f aca="false">((Assumptions!$E$123*$C$10)+(Assumptions!$C$34*Assumptions!$C$35))</f>
        <v>106000</v>
      </c>
      <c r="AC111" s="9" t="n">
        <f aca="false">((Assumptions!$E$123*$C$10)+(Assumptions!$C$34*Assumptions!$C$35))</f>
        <v>106000</v>
      </c>
      <c r="AD111" s="9" t="n">
        <f aca="false">((Assumptions!$E$123*$C$10)+(Assumptions!$C$34*Assumptions!$C$35))</f>
        <v>106000</v>
      </c>
      <c r="AE111" s="9" t="n">
        <f aca="false">((Assumptions!$E$123*$C$10)+(Assumptions!$C$34*Assumptions!$C$35))</f>
        <v>106000</v>
      </c>
      <c r="AF111" s="9" t="n">
        <f aca="false">((Assumptions!$E$123*$C$10)+(Assumptions!$C$34*Assumptions!$C$35))</f>
        <v>106000</v>
      </c>
      <c r="AG111" s="9" t="n">
        <f aca="false">((Assumptions!$E$123*$C$10)+(Assumptions!$C$34*Assumptions!$C$35))</f>
        <v>106000</v>
      </c>
      <c r="AH111" s="9" t="n">
        <f aca="false">((Assumptions!$E$123*$C$10)+(Assumptions!$C$34*Assumptions!$C$35))</f>
        <v>106000</v>
      </c>
      <c r="AI111" s="9" t="n">
        <f aca="false">((Assumptions!$E$123*$C$10)+(Assumptions!$C$34*Assumptions!$C$35))</f>
        <v>106000</v>
      </c>
      <c r="AJ111" s="9" t="n">
        <f aca="false">((Assumptions!$E$123*$C$10)+(Assumptions!$C$34*Assumptions!$C$35))</f>
        <v>106000</v>
      </c>
      <c r="AK111" s="9" t="n">
        <f aca="false">((Assumptions!$E$123*$C$10)+(Assumptions!$C$34*Assumptions!$C$35))</f>
        <v>106000</v>
      </c>
      <c r="AL111" s="9" t="n">
        <f aca="false">((Assumptions!$E$123*$C$10)+(Assumptions!$C$34*Assumptions!$C$35))</f>
        <v>106000</v>
      </c>
    </row>
    <row r="112" customFormat="false" ht="15" hidden="false" customHeight="false" outlineLevel="0" collapsed="false">
      <c r="A112" s="0" t="s">
        <v>918</v>
      </c>
      <c r="B112" s="0" t="s">
        <v>230</v>
      </c>
      <c r="C112" s="9" t="n">
        <f aca="false">((C111/3)*C96)</f>
        <v>0</v>
      </c>
      <c r="D112" s="9" t="n">
        <f aca="false">((D111/3)*SUM(C96:D96))</f>
        <v>0</v>
      </c>
      <c r="E112" s="9" t="n">
        <f aca="false">((E111/3)*SUM(C96:E96))</f>
        <v>0</v>
      </c>
      <c r="F112" s="9" t="n">
        <f aca="false">((F111/3)*SUM(D96:F96))</f>
        <v>0</v>
      </c>
      <c r="G112" s="9" t="n">
        <f aca="false">((G111/3)*SUM(E96:G96))</f>
        <v>0</v>
      </c>
      <c r="H112" s="9" t="n">
        <f aca="false">((H111/3)*SUM(F96:H96))</f>
        <v>0</v>
      </c>
      <c r="I112" s="9" t="n">
        <f aca="false">((I111/3)*SUM(G96:I96))</f>
        <v>0</v>
      </c>
      <c r="J112" s="9" t="n">
        <f aca="false">((J111/3)*SUM(H96:J96))</f>
        <v>0</v>
      </c>
      <c r="K112" s="9" t="n">
        <f aca="false">((K111/3)*SUM(I96:K96))</f>
        <v>0</v>
      </c>
      <c r="L112" s="9" t="n">
        <f aca="false">((L111/3)*SUM(J96:L96))</f>
        <v>0</v>
      </c>
      <c r="M112" s="9" t="n">
        <f aca="false">((M111/3)*SUM(K96:M96))</f>
        <v>0</v>
      </c>
      <c r="N112" s="9" t="n">
        <f aca="false">((N111/3)*SUM(L96:N96))</f>
        <v>0</v>
      </c>
      <c r="O112" s="9" t="n">
        <f aca="false">((O111/3)*SUM(M96:O96))</f>
        <v>0</v>
      </c>
      <c r="P112" s="9" t="n">
        <f aca="false">((P111/3)*SUM(N96:P96))</f>
        <v>0</v>
      </c>
      <c r="Q112" s="9" t="n">
        <f aca="false">((Q111/3)*SUM(O96:Q96))</f>
        <v>0</v>
      </c>
      <c r="R112" s="9" t="n">
        <f aca="false">((R111/3)*SUM(P96:R96))</f>
        <v>0</v>
      </c>
      <c r="S112" s="9" t="n">
        <f aca="false">((S111/3)*SUM(Q96:S96))</f>
        <v>0</v>
      </c>
      <c r="T112" s="9" t="n">
        <f aca="false">((T111/3)*SUM(R96:T96))</f>
        <v>0</v>
      </c>
      <c r="U112" s="9" t="n">
        <f aca="false">((U111/3)*SUM(S96:U96))</f>
        <v>0</v>
      </c>
      <c r="V112" s="9" t="n">
        <f aca="false">((V111/3)*SUM(T96:V96))</f>
        <v>0</v>
      </c>
      <c r="W112" s="9" t="n">
        <f aca="false">((W111/3)*SUM(U96:W96))</f>
        <v>0</v>
      </c>
      <c r="X112" s="9" t="n">
        <f aca="false">((X111/3)*SUM(V96:X96))</f>
        <v>0</v>
      </c>
      <c r="Y112" s="9" t="n">
        <f aca="false">((Y111/3)*SUM(W96:Y96))</f>
        <v>0</v>
      </c>
      <c r="Z112" s="9" t="n">
        <f aca="false">((Z111/3)*SUM(X96:Z96))</f>
        <v>0</v>
      </c>
      <c r="AA112" s="9" t="n">
        <f aca="false">((AA111/3)*SUM(Y96:AA96))</f>
        <v>0</v>
      </c>
      <c r="AB112" s="9" t="n">
        <f aca="false">((AB111/3)*SUM(Z96:AB96))</f>
        <v>0</v>
      </c>
      <c r="AC112" s="9" t="n">
        <f aca="false">((AC111/3)*SUM(AA96:AC96))</f>
        <v>0</v>
      </c>
      <c r="AD112" s="9" t="n">
        <f aca="false">((AD111/3)*SUM(AB96:AD96))</f>
        <v>0</v>
      </c>
      <c r="AE112" s="9" t="n">
        <f aca="false">((AE111/3)*SUM(AC96:AE96))</f>
        <v>0</v>
      </c>
      <c r="AF112" s="9" t="n">
        <f aca="false">((AF111/3)*SUM(AD96:AF96))</f>
        <v>35333.3333333333</v>
      </c>
      <c r="AG112" s="9" t="n">
        <f aca="false">((AG111/3)*SUM(AE96:AG96))</f>
        <v>35333.3333333333</v>
      </c>
      <c r="AH112" s="9" t="n">
        <f aca="false">((AH111/3)*SUM(AF96:AH96))</f>
        <v>35333.3333333333</v>
      </c>
      <c r="AI112" s="9" t="n">
        <f aca="false">((AI111/3)*SUM(AG96:AI96))</f>
        <v>0</v>
      </c>
      <c r="AJ112" s="9" t="n">
        <f aca="false">((AJ111/3)*SUM(AH96:AJ96))</f>
        <v>0</v>
      </c>
      <c r="AK112" s="9" t="n">
        <f aca="false">((AK111/3)*SUM(AI96:AK96))</f>
        <v>0</v>
      </c>
      <c r="AL112" s="9" t="n">
        <f aca="false">((AL111/3)*SUM(AJ96:AL96))</f>
        <v>70666.6666666667</v>
      </c>
      <c r="AN112" s="11" t="n">
        <f aca="false">SUM(C112:N112)</f>
        <v>0</v>
      </c>
      <c r="AO112" s="11" t="n">
        <f aca="false">SUM(O112:Z112)</f>
        <v>0</v>
      </c>
      <c r="AP112" s="11" t="n">
        <f aca="false">SUM(AA112:AL112)</f>
        <v>176666.666666667</v>
      </c>
    </row>
    <row r="113" customFormat="false" ht="15" hidden="false" customHeight="false" outlineLevel="0" collapsed="false">
      <c r="A113" s="0" t="s">
        <v>919</v>
      </c>
      <c r="B113" s="0" t="s">
        <v>230</v>
      </c>
      <c r="C113" s="9" t="n">
        <f aca="false">(C111*C96)</f>
        <v>0</v>
      </c>
      <c r="D113" s="9" t="n">
        <f aca="false">(D111*D96)</f>
        <v>0</v>
      </c>
      <c r="E113" s="9" t="n">
        <f aca="false">(E111*E96)</f>
        <v>0</v>
      </c>
      <c r="F113" s="9" t="n">
        <f aca="false">(F111*F96)</f>
        <v>0</v>
      </c>
      <c r="G113" s="9" t="n">
        <f aca="false">(G111*G96)</f>
        <v>0</v>
      </c>
      <c r="H113" s="9" t="n">
        <f aca="false">(H111*H96)</f>
        <v>0</v>
      </c>
      <c r="I113" s="9" t="n">
        <f aca="false">(I111*I96)</f>
        <v>0</v>
      </c>
      <c r="J113" s="9" t="n">
        <f aca="false">(J111*J96)</f>
        <v>0</v>
      </c>
      <c r="K113" s="9" t="n">
        <f aca="false">(K111*K96)</f>
        <v>0</v>
      </c>
      <c r="L113" s="9" t="n">
        <f aca="false">(L111*L96)</f>
        <v>0</v>
      </c>
      <c r="M113" s="9" t="n">
        <f aca="false">(M111*M96)</f>
        <v>0</v>
      </c>
      <c r="N113" s="9" t="n">
        <f aca="false">(N111*N96)</f>
        <v>0</v>
      </c>
      <c r="O113" s="9" t="n">
        <f aca="false">(O111*O96)</f>
        <v>0</v>
      </c>
      <c r="P113" s="9" t="n">
        <f aca="false">(P111*P96)</f>
        <v>0</v>
      </c>
      <c r="Q113" s="9" t="n">
        <f aca="false">(Q111*Q96)</f>
        <v>0</v>
      </c>
      <c r="R113" s="9" t="n">
        <f aca="false">(R111*R96)</f>
        <v>0</v>
      </c>
      <c r="S113" s="9" t="n">
        <f aca="false">(S111*S96)</f>
        <v>0</v>
      </c>
      <c r="T113" s="9" t="n">
        <f aca="false">(T111*T96)</f>
        <v>0</v>
      </c>
      <c r="U113" s="9" t="n">
        <f aca="false">(U111*U96)</f>
        <v>0</v>
      </c>
      <c r="V113" s="9" t="n">
        <f aca="false">(V111*V96)</f>
        <v>0</v>
      </c>
      <c r="W113" s="9" t="n">
        <f aca="false">(W111*W96)</f>
        <v>0</v>
      </c>
      <c r="X113" s="9" t="n">
        <f aca="false">(X111*X96)</f>
        <v>0</v>
      </c>
      <c r="Y113" s="9" t="n">
        <f aca="false">(Y111*Y96)</f>
        <v>0</v>
      </c>
      <c r="Z113" s="9" t="n">
        <f aca="false">(Z111*Z96)</f>
        <v>0</v>
      </c>
      <c r="AA113" s="9" t="n">
        <f aca="false">(AA111*AA96)</f>
        <v>0</v>
      </c>
      <c r="AB113" s="9" t="n">
        <f aca="false">(AB111*AB96)</f>
        <v>0</v>
      </c>
      <c r="AC113" s="9" t="n">
        <f aca="false">(AC111*AC96)</f>
        <v>0</v>
      </c>
      <c r="AD113" s="9" t="n">
        <f aca="false">(AD111*AD96)</f>
        <v>0</v>
      </c>
      <c r="AE113" s="9" t="n">
        <f aca="false">(AE111*AE96)</f>
        <v>0</v>
      </c>
      <c r="AF113" s="9" t="n">
        <f aca="false">(AF111*AF96)</f>
        <v>106000</v>
      </c>
      <c r="AG113" s="9" t="n">
        <f aca="false">(AG111*AG96)</f>
        <v>0</v>
      </c>
      <c r="AH113" s="9" t="n">
        <f aca="false">(AH111*AH96)</f>
        <v>0</v>
      </c>
      <c r="AI113" s="9" t="n">
        <f aca="false">(AI111*AI96)</f>
        <v>0</v>
      </c>
      <c r="AJ113" s="9" t="n">
        <f aca="false">(AJ111*AJ96)</f>
        <v>0</v>
      </c>
      <c r="AK113" s="9" t="n">
        <f aca="false">(AK111*AK96)</f>
        <v>0</v>
      </c>
      <c r="AL113" s="9" t="n">
        <f aca="false">(AL111*AL96)</f>
        <v>212000</v>
      </c>
      <c r="AN113" s="11" t="n">
        <f aca="false">SUM(C113:N113)</f>
        <v>0</v>
      </c>
      <c r="AO113" s="11" t="n">
        <f aca="false">SUM(O113:Z113)</f>
        <v>0</v>
      </c>
      <c r="AP113" s="11" t="n">
        <f aca="false">SUM(AA113:AL113)</f>
        <v>318000</v>
      </c>
    </row>
    <row r="114" customFormat="false" ht="15" hidden="false" customHeight="false" outlineLevel="0" collapsed="false">
      <c r="A114" s="0" t="s">
        <v>920</v>
      </c>
      <c r="B114" s="0" t="s">
        <v>285</v>
      </c>
      <c r="C114" s="9" t="n">
        <f aca="false">((C93*Assumptions!$E$124)+(C96*(Assumptions!$E$124+(Assumptions!$C$34*Assumptions!$C$36))))</f>
        <v>0</v>
      </c>
      <c r="D114" s="9" t="n">
        <f aca="false">((D93*Assumptions!$E$124)+(D96*(Assumptions!$E$124+(Assumptions!$C$34*Assumptions!$C$36))))</f>
        <v>0</v>
      </c>
      <c r="E114" s="9" t="n">
        <f aca="false">((E93*Assumptions!$E$124)+(E96*(Assumptions!$E$124+(Assumptions!$C$34*Assumptions!$C$36))))</f>
        <v>0</v>
      </c>
      <c r="F114" s="9" t="n">
        <f aca="false">((F93*Assumptions!$E$124)+(F96*(Assumptions!$E$124+(Assumptions!$C$34*Assumptions!$C$36))))</f>
        <v>0</v>
      </c>
      <c r="G114" s="9" t="n">
        <f aca="false">((G93*Assumptions!$E$124)+(G96*(Assumptions!$E$124+(Assumptions!$C$34*Assumptions!$C$36))))</f>
        <v>0</v>
      </c>
      <c r="H114" s="9" t="n">
        <f aca="false">((H93*Assumptions!$E$124)+(H96*(Assumptions!$E$124+(Assumptions!$C$34*Assumptions!$C$36))))</f>
        <v>0</v>
      </c>
      <c r="I114" s="9" t="n">
        <f aca="false">((I93*Assumptions!$E$124)+(I96*(Assumptions!$E$124+(Assumptions!$C$34*Assumptions!$C$36))))</f>
        <v>0</v>
      </c>
      <c r="J114" s="9" t="n">
        <f aca="false">((J93*Assumptions!$E$124)+(J96*(Assumptions!$E$124+(Assumptions!$C$34*Assumptions!$C$36))))</f>
        <v>0</v>
      </c>
      <c r="K114" s="9" t="n">
        <f aca="false">((K93*Assumptions!$E$124)+(K96*(Assumptions!$E$124+(Assumptions!$C$34*Assumptions!$C$36))))</f>
        <v>0</v>
      </c>
      <c r="L114" s="9" t="n">
        <f aca="false">((L93*Assumptions!$E$124)+(L96*(Assumptions!$E$124+(Assumptions!$C$34*Assumptions!$C$36))))</f>
        <v>0</v>
      </c>
      <c r="M114" s="9" t="n">
        <f aca="false">((M93*Assumptions!$E$124)+(M96*(Assumptions!$E$124+(Assumptions!$C$34*Assumptions!$C$36))))</f>
        <v>0</v>
      </c>
      <c r="N114" s="9" t="n">
        <f aca="false">((N93*Assumptions!$E$124)+(N96*(Assumptions!$E$124+(Assumptions!$C$34*Assumptions!$C$36))))</f>
        <v>0</v>
      </c>
      <c r="O114" s="9" t="n">
        <f aca="false">((O93*Assumptions!$E$124)+(O96*(Assumptions!$E$124+(Assumptions!$C$34*Assumptions!$C$36))))</f>
        <v>0</v>
      </c>
      <c r="P114" s="9" t="n">
        <f aca="false">((P93*Assumptions!$E$124)+(P96*(Assumptions!$E$124+(Assumptions!$C$34*Assumptions!$C$36))))</f>
        <v>0</v>
      </c>
      <c r="Q114" s="9" t="n">
        <f aca="false">((Q93*Assumptions!$E$124)+(Q96*(Assumptions!$E$124+(Assumptions!$C$34*Assumptions!$C$36))))</f>
        <v>0</v>
      </c>
      <c r="R114" s="9" t="n">
        <f aca="false">((R93*Assumptions!$E$124)+(R96*(Assumptions!$E$124+(Assumptions!$C$34*Assumptions!$C$36))))</f>
        <v>0</v>
      </c>
      <c r="S114" s="9" t="n">
        <f aca="false">((S93*Assumptions!$E$124)+(S96*(Assumptions!$E$124+(Assumptions!$C$34*Assumptions!$C$36))))</f>
        <v>0</v>
      </c>
      <c r="T114" s="9" t="n">
        <f aca="false">((T93*Assumptions!$E$124)+(T96*(Assumptions!$E$124+(Assumptions!$C$34*Assumptions!$C$36))))</f>
        <v>0</v>
      </c>
      <c r="U114" s="9" t="n">
        <f aca="false">((U93*Assumptions!$E$124)+(U96*(Assumptions!$E$124+(Assumptions!$C$34*Assumptions!$C$36))))</f>
        <v>0</v>
      </c>
      <c r="V114" s="9" t="n">
        <f aca="false">((V93*Assumptions!$E$124)+(V96*(Assumptions!$E$124+(Assumptions!$C$34*Assumptions!$C$36))))</f>
        <v>0</v>
      </c>
      <c r="W114" s="9" t="n">
        <f aca="false">((W93*Assumptions!$E$124)+(W96*(Assumptions!$E$124+(Assumptions!$C$34*Assumptions!$C$36))))</f>
        <v>0</v>
      </c>
      <c r="X114" s="9" t="n">
        <f aca="false">((X93*Assumptions!$E$124)+(X96*(Assumptions!$E$124+(Assumptions!$C$34*Assumptions!$C$36))))</f>
        <v>0</v>
      </c>
      <c r="Y114" s="9" t="n">
        <f aca="false">((Y93*Assumptions!$E$124)+(Y96*(Assumptions!$E$124+(Assumptions!$C$34*Assumptions!$C$36))))</f>
        <v>0</v>
      </c>
      <c r="Z114" s="9" t="n">
        <f aca="false">((Z93*Assumptions!$E$124)+(Z96*(Assumptions!$E$124+(Assumptions!$C$34*Assumptions!$C$36))))</f>
        <v>0</v>
      </c>
      <c r="AA114" s="9" t="n">
        <f aca="false">((AA93*Assumptions!$E$124)+(AA96*(Assumptions!$E$124+(Assumptions!$C$34*Assumptions!$C$36))))</f>
        <v>0</v>
      </c>
      <c r="AB114" s="9" t="n">
        <f aca="false">((AB93*Assumptions!$E$124)+(AB96*(Assumptions!$E$124+(Assumptions!$C$34*Assumptions!$C$36))))</f>
        <v>0</v>
      </c>
      <c r="AC114" s="9" t="n">
        <f aca="false">((AC93*Assumptions!$E$124)+(AC96*(Assumptions!$E$124+(Assumptions!$C$34*Assumptions!$C$36))))</f>
        <v>0</v>
      </c>
      <c r="AD114" s="9" t="n">
        <f aca="false">((AD93*Assumptions!$E$124)+(AD96*(Assumptions!$E$124+(Assumptions!$C$34*Assumptions!$C$36))))</f>
        <v>0</v>
      </c>
      <c r="AE114" s="9" t="n">
        <f aca="false">((AE93*Assumptions!$E$124)+(AE96*(Assumptions!$E$124+(Assumptions!$C$34*Assumptions!$C$36))))</f>
        <v>0</v>
      </c>
      <c r="AF114" s="9" t="n">
        <f aca="false">((AF93*Assumptions!$E$124)+(AF96*(Assumptions!$E$124+(Assumptions!$C$34*Assumptions!$C$36))))</f>
        <v>844</v>
      </c>
      <c r="AG114" s="9" t="n">
        <f aca="false">((AG93*Assumptions!$E$124)+(AG96*(Assumptions!$E$124+(Assumptions!$C$34*Assumptions!$C$36))))</f>
        <v>0</v>
      </c>
      <c r="AH114" s="9" t="n">
        <f aca="false">((AH93*Assumptions!$E$124)+(AH96*(Assumptions!$E$124+(Assumptions!$C$34*Assumptions!$C$36))))</f>
        <v>0</v>
      </c>
      <c r="AI114" s="9" t="n">
        <f aca="false">((AI93*Assumptions!$E$124)+(AI96*(Assumptions!$E$124+(Assumptions!$C$34*Assumptions!$C$36))))</f>
        <v>0</v>
      </c>
      <c r="AJ114" s="9" t="n">
        <f aca="false">((AJ93*Assumptions!$E$124)+(AJ96*(Assumptions!$E$124+(Assumptions!$C$34*Assumptions!$C$36))))</f>
        <v>0</v>
      </c>
      <c r="AK114" s="9" t="n">
        <f aca="false">((AK93*Assumptions!$E$124)+(AK96*(Assumptions!$E$124+(Assumptions!$C$34*Assumptions!$C$36))))</f>
        <v>0</v>
      </c>
      <c r="AL114" s="9" t="n">
        <f aca="false">((AL93*Assumptions!$E$124)+(AL96*(Assumptions!$E$124+(Assumptions!$C$34*Assumptions!$C$36))))</f>
        <v>1688</v>
      </c>
      <c r="AN114" s="11" t="n">
        <f aca="false">SUM(C114:N114)</f>
        <v>0</v>
      </c>
      <c r="AO114" s="11" t="n">
        <f aca="false">SUM(O114:Z114)</f>
        <v>0</v>
      </c>
      <c r="AP114" s="11" t="n">
        <f aca="false">SUM(AA114:AL114)</f>
        <v>2532</v>
      </c>
    </row>
    <row r="115" customFormat="false" ht="15" hidden="false" customHeight="false" outlineLevel="0" collapsed="false">
      <c r="A115" s="21" t="s">
        <v>921</v>
      </c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</row>
    <row r="116" customFormat="false" ht="15" hidden="false" customHeight="false" outlineLevel="0" collapsed="false">
      <c r="A116" s="0" t="s">
        <v>922</v>
      </c>
      <c r="B116" s="0" t="s">
        <v>852</v>
      </c>
      <c r="C116" s="14" t="n">
        <f aca="false">((C48+C71)+C94)</f>
        <v>0</v>
      </c>
      <c r="D116" s="14" t="n">
        <f aca="false">((D48+D71)+D94)</f>
        <v>0</v>
      </c>
      <c r="E116" s="14" t="n">
        <f aca="false">((E48+E71)+E94)</f>
        <v>0</v>
      </c>
      <c r="F116" s="14" t="n">
        <f aca="false">((F48+F71)+F94)</f>
        <v>0</v>
      </c>
      <c r="G116" s="14" t="n">
        <f aca="false">((G48+G71)+G94)</f>
        <v>1</v>
      </c>
      <c r="H116" s="14" t="n">
        <f aca="false">((H48+H71)+H94)</f>
        <v>0</v>
      </c>
      <c r="I116" s="14" t="n">
        <f aca="false">((I48+I71)+I94)</f>
        <v>0</v>
      </c>
      <c r="J116" s="14" t="n">
        <f aca="false">((J48+J71)+J94)</f>
        <v>1</v>
      </c>
      <c r="K116" s="14" t="n">
        <f aca="false">((K48+K71)+K94)</f>
        <v>0</v>
      </c>
      <c r="L116" s="14" t="n">
        <f aca="false">((L48+L71)+L94)</f>
        <v>0</v>
      </c>
      <c r="M116" s="14" t="n">
        <f aca="false">((M48+M71)+M94)</f>
        <v>0</v>
      </c>
      <c r="N116" s="14" t="n">
        <f aca="false">((N48+N71)+N94)</f>
        <v>0</v>
      </c>
      <c r="O116" s="14" t="n">
        <f aca="false">((O48+O71)+O94)</f>
        <v>1</v>
      </c>
      <c r="P116" s="14" t="n">
        <f aca="false">((P48+P71)+P94)</f>
        <v>0</v>
      </c>
      <c r="Q116" s="14" t="n">
        <f aca="false">((Q48+Q71)+Q94)</f>
        <v>0</v>
      </c>
      <c r="R116" s="14" t="n">
        <f aca="false">((R48+R71)+R94)</f>
        <v>2</v>
      </c>
      <c r="S116" s="14" t="n">
        <f aca="false">((S48+S71)+S94)</f>
        <v>0</v>
      </c>
      <c r="T116" s="14" t="n">
        <f aca="false">((T48+T71)+T94)</f>
        <v>0</v>
      </c>
      <c r="U116" s="14" t="n">
        <f aca="false">((U48+U71)+U94)</f>
        <v>3</v>
      </c>
      <c r="V116" s="14" t="n">
        <f aca="false">((V48+V71)+V94)</f>
        <v>0</v>
      </c>
      <c r="W116" s="14" t="n">
        <f aca="false">((W48+W71)+W94)</f>
        <v>0</v>
      </c>
      <c r="X116" s="14" t="n">
        <f aca="false">((X48+X71)+X94)</f>
        <v>3</v>
      </c>
      <c r="Y116" s="14" t="n">
        <f aca="false">((Y48+Y71)+Y94)</f>
        <v>0</v>
      </c>
      <c r="Z116" s="14" t="n">
        <f aca="false">((Z48+Z71)+Z94)</f>
        <v>0</v>
      </c>
      <c r="AA116" s="14" t="n">
        <f aca="false">((AA48+AA71)+AA94)</f>
        <v>4</v>
      </c>
      <c r="AB116" s="14" t="n">
        <f aca="false">((AB48+AB71)+AB94)</f>
        <v>0</v>
      </c>
      <c r="AC116" s="14" t="n">
        <f aca="false">((AC48+AC71)+AC94)</f>
        <v>0</v>
      </c>
      <c r="AD116" s="14" t="n">
        <f aca="false">((AD48+AD71)+AD94)</f>
        <v>5</v>
      </c>
      <c r="AE116" s="14" t="n">
        <f aca="false">((AE48+AE71)+AE94)</f>
        <v>0</v>
      </c>
      <c r="AF116" s="14" t="n">
        <f aca="false">((AF48+AF71)+AF94)</f>
        <v>1</v>
      </c>
      <c r="AG116" s="14" t="n">
        <f aca="false">((AG48+AG71)+AG94)</f>
        <v>5</v>
      </c>
      <c r="AH116" s="14" t="n">
        <f aca="false">((AH48+AH71)+AH94)</f>
        <v>0</v>
      </c>
      <c r="AI116" s="14" t="n">
        <f aca="false">((AI48+AI71)+AI94)</f>
        <v>0</v>
      </c>
      <c r="AJ116" s="14" t="n">
        <f aca="false">((AJ48+AJ71)+AJ94)</f>
        <v>6</v>
      </c>
      <c r="AK116" s="14" t="n">
        <f aca="false">((AK48+AK71)+AK94)</f>
        <v>0</v>
      </c>
      <c r="AL116" s="14" t="n">
        <f aca="false">((AL48+AL71)+AL94)</f>
        <v>1</v>
      </c>
      <c r="AN116" s="36" t="n">
        <f aca="false">SUM(C116:N116)</f>
        <v>2</v>
      </c>
      <c r="AO116" s="36" t="n">
        <f aca="false">SUM(O116:Z116)</f>
        <v>9</v>
      </c>
      <c r="AP116" s="36" t="n">
        <f aca="false">SUM(AA116:AL116)</f>
        <v>22</v>
      </c>
    </row>
    <row r="117" customFormat="false" ht="15" hidden="false" customHeight="false" outlineLevel="0" collapsed="false">
      <c r="A117" s="0" t="s">
        <v>923</v>
      </c>
      <c r="B117" s="0" t="s">
        <v>852</v>
      </c>
      <c r="C117" s="14" t="n">
        <f aca="false">((C46+C69)+C92)</f>
        <v>0</v>
      </c>
      <c r="D117" s="14" t="n">
        <f aca="false">((D46+D69)+D92)</f>
        <v>0</v>
      </c>
      <c r="E117" s="14" t="n">
        <f aca="false">((E46+E69)+E92)</f>
        <v>0</v>
      </c>
      <c r="F117" s="14" t="n">
        <f aca="false">((F46+F69)+F92)</f>
        <v>0</v>
      </c>
      <c r="G117" s="14" t="n">
        <f aca="false">((G46+G69)+G92)</f>
        <v>0</v>
      </c>
      <c r="H117" s="14" t="n">
        <f aca="false">((H46+H69)+H92)</f>
        <v>0</v>
      </c>
      <c r="I117" s="14" t="n">
        <f aca="false">((I46+I69)+I92)</f>
        <v>0</v>
      </c>
      <c r="J117" s="14" t="n">
        <f aca="false">((J46+J69)+J92)</f>
        <v>0</v>
      </c>
      <c r="K117" s="14" t="n">
        <f aca="false">((K46+K69)+K92)</f>
        <v>0</v>
      </c>
      <c r="L117" s="14" t="n">
        <f aca="false">((L46+L69)+L92)</f>
        <v>0</v>
      </c>
      <c r="M117" s="14" t="n">
        <f aca="false">((M46+M69)+M92)</f>
        <v>0</v>
      </c>
      <c r="N117" s="14" t="n">
        <f aca="false">((N46+N69)+N92)</f>
        <v>0</v>
      </c>
      <c r="O117" s="14" t="n">
        <f aca="false">((O46+O69)+O92)</f>
        <v>1</v>
      </c>
      <c r="P117" s="14" t="n">
        <f aca="false">((P46+P69)+P92)</f>
        <v>0</v>
      </c>
      <c r="Q117" s="14" t="n">
        <f aca="false">((Q46+Q69)+Q92)</f>
        <v>0</v>
      </c>
      <c r="R117" s="14" t="n">
        <f aca="false">((R46+R69)+R92)</f>
        <v>2</v>
      </c>
      <c r="S117" s="14" t="n">
        <f aca="false">((S46+S69)+S92)</f>
        <v>0</v>
      </c>
      <c r="T117" s="14" t="n">
        <f aca="false">((T46+T69)+T92)</f>
        <v>0</v>
      </c>
      <c r="U117" s="14" t="n">
        <f aca="false">((U46+U69)+U92)</f>
        <v>3</v>
      </c>
      <c r="V117" s="14" t="n">
        <f aca="false">((V46+V69)+V92)</f>
        <v>0</v>
      </c>
      <c r="W117" s="14" t="n">
        <f aca="false">((W46+W69)+W92)</f>
        <v>0</v>
      </c>
      <c r="X117" s="14" t="n">
        <f aca="false">((X46+X69)+X92)</f>
        <v>3</v>
      </c>
      <c r="Y117" s="14" t="n">
        <f aca="false">((Y46+Y69)+Y92)</f>
        <v>0</v>
      </c>
      <c r="Z117" s="14" t="n">
        <f aca="false">((Z46+Z69)+Z92)</f>
        <v>0</v>
      </c>
      <c r="AA117" s="14" t="n">
        <f aca="false">((AA46+AA69)+AA92)</f>
        <v>4</v>
      </c>
      <c r="AB117" s="14" t="n">
        <f aca="false">((AB46+AB69)+AB92)</f>
        <v>0</v>
      </c>
      <c r="AC117" s="14" t="n">
        <f aca="false">((AC46+AC69)+AC92)</f>
        <v>0</v>
      </c>
      <c r="AD117" s="14" t="n">
        <f aca="false">((AD46+AD69)+AD92)</f>
        <v>5</v>
      </c>
      <c r="AE117" s="14" t="n">
        <f aca="false">((AE46+AE69)+AE92)</f>
        <v>0</v>
      </c>
      <c r="AF117" s="14" t="n">
        <f aca="false">((AF46+AF69)+AF92)</f>
        <v>1</v>
      </c>
      <c r="AG117" s="14" t="n">
        <f aca="false">((AG46+AG69)+AG92)</f>
        <v>5</v>
      </c>
      <c r="AH117" s="14" t="n">
        <f aca="false">((AH46+AH69)+AH92)</f>
        <v>0</v>
      </c>
      <c r="AI117" s="14" t="n">
        <f aca="false">((AI46+AI69)+AI92)</f>
        <v>0</v>
      </c>
      <c r="AJ117" s="14" t="n">
        <f aca="false">((AJ46+AJ69)+AJ92)</f>
        <v>6</v>
      </c>
      <c r="AK117" s="14" t="n">
        <f aca="false">((AK46+AK69)+AK92)</f>
        <v>0</v>
      </c>
      <c r="AL117" s="14" t="n">
        <f aca="false">((AL46+AL69)+AL92)</f>
        <v>1</v>
      </c>
      <c r="AN117" s="36" t="n">
        <f aca="false">SUM(C117:N117)</f>
        <v>0</v>
      </c>
      <c r="AO117" s="36" t="n">
        <f aca="false">SUM(O117:Z117)</f>
        <v>9</v>
      </c>
      <c r="AP117" s="36" t="n">
        <f aca="false">SUM(AA117:AL117)</f>
        <v>22</v>
      </c>
    </row>
    <row r="118" customFormat="false" ht="15" hidden="false" customHeight="false" outlineLevel="0" collapsed="false">
      <c r="A118" s="0" t="s">
        <v>924</v>
      </c>
      <c r="B118" s="0" t="s">
        <v>852</v>
      </c>
      <c r="C118" s="14" t="n">
        <f aca="false">((C47+C70)+C93)</f>
        <v>0</v>
      </c>
      <c r="D118" s="14" t="n">
        <f aca="false">((D47+D70)+D93)</f>
        <v>0</v>
      </c>
      <c r="E118" s="14" t="n">
        <f aca="false">((E47+E70)+E93)</f>
        <v>0</v>
      </c>
      <c r="F118" s="14" t="n">
        <f aca="false">((F47+F70)+F93)</f>
        <v>0</v>
      </c>
      <c r="G118" s="14" t="n">
        <f aca="false">((G47+G70)+G93)</f>
        <v>1</v>
      </c>
      <c r="H118" s="14" t="n">
        <f aca="false">((H47+H70)+H93)</f>
        <v>0</v>
      </c>
      <c r="I118" s="14" t="n">
        <f aca="false">((I47+I70)+I93)</f>
        <v>0</v>
      </c>
      <c r="J118" s="14" t="n">
        <f aca="false">((J47+J70)+J93)</f>
        <v>1</v>
      </c>
      <c r="K118" s="14" t="n">
        <f aca="false">((K47+K70)+K93)</f>
        <v>0</v>
      </c>
      <c r="L118" s="14" t="n">
        <f aca="false">((L47+L70)+L93)</f>
        <v>0</v>
      </c>
      <c r="M118" s="14" t="n">
        <f aca="false">((M47+M70)+M93)</f>
        <v>0</v>
      </c>
      <c r="N118" s="14" t="n">
        <f aca="false">((N47+N70)+N93)</f>
        <v>0</v>
      </c>
      <c r="O118" s="14" t="n">
        <f aca="false">((O47+O70)+O93)</f>
        <v>0</v>
      </c>
      <c r="P118" s="14" t="n">
        <f aca="false">((P47+P70)+P93)</f>
        <v>0</v>
      </c>
      <c r="Q118" s="14" t="n">
        <f aca="false">((Q47+Q70)+Q93)</f>
        <v>0</v>
      </c>
      <c r="R118" s="14" t="n">
        <f aca="false">((R47+R70)+R93)</f>
        <v>0</v>
      </c>
      <c r="S118" s="14" t="n">
        <f aca="false">((S47+S70)+S93)</f>
        <v>0</v>
      </c>
      <c r="T118" s="14" t="n">
        <f aca="false">((T47+T70)+T93)</f>
        <v>0</v>
      </c>
      <c r="U118" s="14" t="n">
        <f aca="false">((U47+U70)+U93)</f>
        <v>0</v>
      </c>
      <c r="V118" s="14" t="n">
        <f aca="false">((V47+V70)+V93)</f>
        <v>0</v>
      </c>
      <c r="W118" s="14" t="n">
        <f aca="false">((W47+W70)+W93)</f>
        <v>0</v>
      </c>
      <c r="X118" s="14" t="n">
        <f aca="false">((X47+X70)+X93)</f>
        <v>0</v>
      </c>
      <c r="Y118" s="14" t="n">
        <f aca="false">((Y47+Y70)+Y93)</f>
        <v>0</v>
      </c>
      <c r="Z118" s="14" t="n">
        <f aca="false">((Z47+Z70)+Z93)</f>
        <v>0</v>
      </c>
      <c r="AA118" s="14" t="n">
        <f aca="false">((AA47+AA70)+AA93)</f>
        <v>0</v>
      </c>
      <c r="AB118" s="14" t="n">
        <f aca="false">((AB47+AB70)+AB93)</f>
        <v>0</v>
      </c>
      <c r="AC118" s="14" t="n">
        <f aca="false">((AC47+AC70)+AC93)</f>
        <v>0</v>
      </c>
      <c r="AD118" s="14" t="n">
        <f aca="false">((AD47+AD70)+AD93)</f>
        <v>0</v>
      </c>
      <c r="AE118" s="14" t="n">
        <f aca="false">((AE47+AE70)+AE93)</f>
        <v>0</v>
      </c>
      <c r="AF118" s="14" t="n">
        <f aca="false">((AF47+AF70)+AF93)</f>
        <v>0</v>
      </c>
      <c r="AG118" s="14" t="n">
        <f aca="false">((AG47+AG70)+AG93)</f>
        <v>0</v>
      </c>
      <c r="AH118" s="14" t="n">
        <f aca="false">((AH47+AH70)+AH93)</f>
        <v>0</v>
      </c>
      <c r="AI118" s="14" t="n">
        <f aca="false">((AI47+AI70)+AI93)</f>
        <v>0</v>
      </c>
      <c r="AJ118" s="14" t="n">
        <f aca="false">((AJ47+AJ70)+AJ93)</f>
        <v>0</v>
      </c>
      <c r="AK118" s="14" t="n">
        <f aca="false">((AK47+AK70)+AK93)</f>
        <v>0</v>
      </c>
      <c r="AL118" s="14" t="n">
        <f aca="false">((AL47+AL70)+AL93)</f>
        <v>0</v>
      </c>
      <c r="AN118" s="36" t="n">
        <f aca="false">SUM(C118:N118)</f>
        <v>2</v>
      </c>
      <c r="AO118" s="36" t="n">
        <f aca="false">SUM(O118:Z118)</f>
        <v>0</v>
      </c>
      <c r="AP118" s="36" t="n">
        <f aca="false">SUM(AA118:AL118)</f>
        <v>0</v>
      </c>
    </row>
    <row r="119" customFormat="false" ht="15" hidden="false" customHeight="false" outlineLevel="0" collapsed="false">
      <c r="A119" s="0" t="s">
        <v>925</v>
      </c>
      <c r="B119" s="0" t="s">
        <v>852</v>
      </c>
      <c r="C119" s="14" t="n">
        <f aca="false">((C49+C72)+C95)</f>
        <v>0</v>
      </c>
      <c r="D119" s="14" t="n">
        <f aca="false">((D49+D72)+D95)</f>
        <v>0</v>
      </c>
      <c r="E119" s="14" t="n">
        <f aca="false">((E49+E72)+E95)</f>
        <v>0</v>
      </c>
      <c r="F119" s="14" t="n">
        <f aca="false">((F49+F72)+F95)</f>
        <v>0</v>
      </c>
      <c r="G119" s="14" t="n">
        <f aca="false">((G49+G72)+G95)</f>
        <v>0</v>
      </c>
      <c r="H119" s="14" t="n">
        <f aca="false">((H49+H72)+H95)</f>
        <v>0</v>
      </c>
      <c r="I119" s="14" t="n">
        <f aca="false">((I49+I72)+I95)</f>
        <v>0</v>
      </c>
      <c r="J119" s="14" t="n">
        <f aca="false">((J49+J72)+J95)</f>
        <v>0</v>
      </c>
      <c r="K119" s="14" t="n">
        <f aca="false">((K49+K72)+K95)</f>
        <v>0</v>
      </c>
      <c r="L119" s="14" t="n">
        <f aca="false">((L49+L72)+L95)</f>
        <v>0</v>
      </c>
      <c r="M119" s="14" t="n">
        <f aca="false">((M49+M72)+M95)</f>
        <v>0</v>
      </c>
      <c r="N119" s="14" t="n">
        <f aca="false">((N49+N72)+N95)</f>
        <v>0</v>
      </c>
      <c r="O119" s="14" t="n">
        <f aca="false">((O49+O72)+O95)</f>
        <v>0</v>
      </c>
      <c r="P119" s="14" t="n">
        <f aca="false">((P49+P72)+P95)</f>
        <v>0</v>
      </c>
      <c r="Q119" s="14" t="n">
        <f aca="false">((Q49+Q72)+Q95)</f>
        <v>0</v>
      </c>
      <c r="R119" s="14" t="n">
        <f aca="false">((R49+R72)+R95)</f>
        <v>0</v>
      </c>
      <c r="S119" s="14" t="n">
        <f aca="false">((S49+S72)+S95)</f>
        <v>0</v>
      </c>
      <c r="T119" s="14" t="n">
        <f aca="false">((T49+T72)+T95)</f>
        <v>0</v>
      </c>
      <c r="U119" s="14" t="n">
        <f aca="false">((U49+U72)+U95)</f>
        <v>0</v>
      </c>
      <c r="V119" s="14" t="n">
        <f aca="false">((V49+V72)+V95)</f>
        <v>0</v>
      </c>
      <c r="W119" s="14" t="n">
        <f aca="false">((W49+W72)+W95)</f>
        <v>0</v>
      </c>
      <c r="X119" s="14" t="n">
        <f aca="false">((X49+X72)+X95)</f>
        <v>0</v>
      </c>
      <c r="Y119" s="14" t="n">
        <f aca="false">((Y49+Y72)+Y95)</f>
        <v>1</v>
      </c>
      <c r="Z119" s="14" t="n">
        <f aca="false">((Z49+Z72)+Z95)</f>
        <v>0</v>
      </c>
      <c r="AA119" s="14" t="n">
        <f aca="false">((AA49+AA72)+AA95)</f>
        <v>0</v>
      </c>
      <c r="AB119" s="14" t="n">
        <f aca="false">((AB49+AB72)+AB95)</f>
        <v>2</v>
      </c>
      <c r="AC119" s="14" t="n">
        <f aca="false">((AC49+AC72)+AC95)</f>
        <v>0</v>
      </c>
      <c r="AD119" s="14" t="n">
        <f aca="false">((AD49+AD72)+AD95)</f>
        <v>0</v>
      </c>
      <c r="AE119" s="14" t="n">
        <f aca="false">((AE49+AE72)+AE95)</f>
        <v>3</v>
      </c>
      <c r="AF119" s="14" t="n">
        <f aca="false">((AF49+AF72)+AF95)</f>
        <v>0</v>
      </c>
      <c r="AG119" s="14" t="n">
        <f aca="false">((AG49+AG72)+AG95)</f>
        <v>0</v>
      </c>
      <c r="AH119" s="14" t="n">
        <f aca="false">((AH49+AH72)+AH95)</f>
        <v>3</v>
      </c>
      <c r="AI119" s="14" t="n">
        <f aca="false">((AI49+AI72)+AI95)</f>
        <v>0</v>
      </c>
      <c r="AJ119" s="14" t="n">
        <f aca="false">((AJ49+AJ72)+AJ95)</f>
        <v>0</v>
      </c>
      <c r="AK119" s="14" t="n">
        <f aca="false">((AK49+AK72)+AK95)</f>
        <v>5</v>
      </c>
      <c r="AL119" s="14" t="n">
        <f aca="false">((AL49+AL72)+AL95)</f>
        <v>1</v>
      </c>
      <c r="AN119" s="36" t="n">
        <f aca="false">SUM(C119:N119)</f>
        <v>0</v>
      </c>
      <c r="AO119" s="36" t="n">
        <f aca="false">SUM(O119:Z119)</f>
        <v>1</v>
      </c>
      <c r="AP119" s="36" t="n">
        <f aca="false">SUM(AA119:AL119)</f>
        <v>14</v>
      </c>
    </row>
    <row r="120" customFormat="false" ht="15" hidden="false" customHeight="false" outlineLevel="0" collapsed="false">
      <c r="A120" s="0" t="s">
        <v>926</v>
      </c>
      <c r="B120" s="0" t="s">
        <v>852</v>
      </c>
      <c r="C120" s="14" t="n">
        <f aca="false">((C50+C73)+C96)</f>
        <v>0</v>
      </c>
      <c r="D120" s="14" t="n">
        <f aca="false">((D50+D73)+D96)</f>
        <v>0</v>
      </c>
      <c r="E120" s="14" t="n">
        <f aca="false">((E50+E73)+E96)</f>
        <v>0</v>
      </c>
      <c r="F120" s="14" t="n">
        <f aca="false">((F50+F73)+F96)</f>
        <v>0</v>
      </c>
      <c r="G120" s="14" t="n">
        <f aca="false">((G50+G73)+G96)</f>
        <v>0</v>
      </c>
      <c r="H120" s="14" t="n">
        <f aca="false">((H50+H73)+H96)</f>
        <v>0</v>
      </c>
      <c r="I120" s="14" t="n">
        <f aca="false">((I50+I73)+I96)</f>
        <v>0</v>
      </c>
      <c r="J120" s="14" t="n">
        <f aca="false">((J50+J73)+J96)</f>
        <v>0</v>
      </c>
      <c r="K120" s="14" t="n">
        <f aca="false">((K50+K73)+K96)</f>
        <v>0</v>
      </c>
      <c r="L120" s="14" t="n">
        <f aca="false">((L50+L73)+L96)</f>
        <v>0</v>
      </c>
      <c r="M120" s="14" t="n">
        <f aca="false">((M50+M73)+M96)</f>
        <v>0</v>
      </c>
      <c r="N120" s="14" t="n">
        <f aca="false">((N50+N73)+N96)</f>
        <v>0</v>
      </c>
      <c r="O120" s="14" t="n">
        <f aca="false">((O50+O73)+O96)</f>
        <v>1</v>
      </c>
      <c r="P120" s="14" t="n">
        <f aca="false">((P50+P73)+P96)</f>
        <v>0</v>
      </c>
      <c r="Q120" s="14" t="n">
        <f aca="false">((Q50+Q73)+Q96)</f>
        <v>0</v>
      </c>
      <c r="R120" s="14" t="n">
        <f aca="false">((R50+R73)+R96)</f>
        <v>2</v>
      </c>
      <c r="S120" s="14" t="n">
        <f aca="false">((S50+S73)+S96)</f>
        <v>0</v>
      </c>
      <c r="T120" s="14" t="n">
        <f aca="false">((T50+T73)+T96)</f>
        <v>0</v>
      </c>
      <c r="U120" s="14" t="n">
        <f aca="false">((U50+U73)+U96)</f>
        <v>3</v>
      </c>
      <c r="V120" s="14" t="n">
        <f aca="false">((V50+V73)+V96)</f>
        <v>0</v>
      </c>
      <c r="W120" s="14" t="n">
        <f aca="false">((W50+W73)+W96)</f>
        <v>0</v>
      </c>
      <c r="X120" s="14" t="n">
        <f aca="false">((X50+X73)+X96)</f>
        <v>3</v>
      </c>
      <c r="Y120" s="14" t="n">
        <f aca="false">((Y50+Y73)+Y96)</f>
        <v>1</v>
      </c>
      <c r="Z120" s="14" t="n">
        <f aca="false">((Z50+Z73)+Z96)</f>
        <v>0</v>
      </c>
      <c r="AA120" s="14" t="n">
        <f aca="false">((AA50+AA73)+AA96)</f>
        <v>4</v>
      </c>
      <c r="AB120" s="14" t="n">
        <f aca="false">((AB50+AB73)+AB96)</f>
        <v>2</v>
      </c>
      <c r="AC120" s="14" t="n">
        <f aca="false">((AC50+AC73)+AC96)</f>
        <v>0</v>
      </c>
      <c r="AD120" s="14" t="n">
        <f aca="false">((AD50+AD73)+AD96)</f>
        <v>5</v>
      </c>
      <c r="AE120" s="14" t="n">
        <f aca="false">((AE50+AE73)+AE96)</f>
        <v>3</v>
      </c>
      <c r="AF120" s="14" t="n">
        <f aca="false">((AF50+AF73)+AF96)</f>
        <v>1</v>
      </c>
      <c r="AG120" s="14" t="n">
        <f aca="false">((AG50+AG73)+AG96)</f>
        <v>5</v>
      </c>
      <c r="AH120" s="14" t="n">
        <f aca="false">((AH50+AH73)+AH96)</f>
        <v>3</v>
      </c>
      <c r="AI120" s="14" t="n">
        <f aca="false">((AI50+AI73)+AI96)</f>
        <v>0</v>
      </c>
      <c r="AJ120" s="14" t="n">
        <f aca="false">((AJ50+AJ73)+AJ96)</f>
        <v>6</v>
      </c>
      <c r="AK120" s="14" t="n">
        <f aca="false">((AK50+AK73)+AK96)</f>
        <v>5</v>
      </c>
      <c r="AL120" s="14" t="n">
        <f aca="false">((AL50+AL73)+AL96)</f>
        <v>2</v>
      </c>
      <c r="AN120" s="36" t="n">
        <f aca="false">SUM(C120:N120)</f>
        <v>0</v>
      </c>
      <c r="AO120" s="36" t="n">
        <f aca="false">SUM(O120:Z120)</f>
        <v>10</v>
      </c>
      <c r="AP120" s="36" t="n">
        <f aca="false">SUM(AA120:AL120)</f>
        <v>36</v>
      </c>
    </row>
    <row r="121" customFormat="false" ht="15" hidden="false" customHeight="false" outlineLevel="0" collapsed="false">
      <c r="A121" s="0" t="s">
        <v>927</v>
      </c>
      <c r="B121" s="0" t="s">
        <v>852</v>
      </c>
      <c r="C121" s="14" t="n">
        <f aca="false">((C55+C78)+C101)</f>
        <v>0</v>
      </c>
      <c r="D121" s="14" t="n">
        <f aca="false">((D55+D78)+D101)</f>
        <v>0</v>
      </c>
      <c r="E121" s="14" t="n">
        <f aca="false">((E55+E78)+E101)</f>
        <v>0</v>
      </c>
      <c r="F121" s="14" t="n">
        <f aca="false">((F55+F78)+F101)</f>
        <v>0</v>
      </c>
      <c r="G121" s="14" t="n">
        <f aca="false">((G55+G78)+G101)</f>
        <v>0</v>
      </c>
      <c r="H121" s="14" t="n">
        <f aca="false">((H55+H78)+H101)</f>
        <v>0</v>
      </c>
      <c r="I121" s="14" t="n">
        <f aca="false">((I55+I78)+I101)</f>
        <v>0</v>
      </c>
      <c r="J121" s="14" t="n">
        <f aca="false">((J55+J78)+J101)</f>
        <v>0</v>
      </c>
      <c r="K121" s="14" t="n">
        <f aca="false">((K55+K78)+K101)</f>
        <v>0</v>
      </c>
      <c r="L121" s="14" t="n">
        <f aca="false">((L55+L78)+L101)</f>
        <v>0</v>
      </c>
      <c r="M121" s="14" t="n">
        <f aca="false">((M55+M78)+M101)</f>
        <v>0</v>
      </c>
      <c r="N121" s="14" t="n">
        <f aca="false">((N55+N78)+N101)</f>
        <v>0.6</v>
      </c>
      <c r="O121" s="14" t="n">
        <f aca="false">((O55+O78)+O101)</f>
        <v>0</v>
      </c>
      <c r="P121" s="14" t="n">
        <f aca="false">((P55+P78)+P101)</f>
        <v>0</v>
      </c>
      <c r="Q121" s="14" t="n">
        <f aca="false">((Q55+Q78)+Q101)</f>
        <v>0.6</v>
      </c>
      <c r="R121" s="14" t="n">
        <f aca="false">((R55+R78)+R101)</f>
        <v>0</v>
      </c>
      <c r="S121" s="14" t="n">
        <f aca="false">((S55+S78)+S101)</f>
        <v>0</v>
      </c>
      <c r="T121" s="14" t="n">
        <f aca="false">((T55+T78)+T101)</f>
        <v>0</v>
      </c>
      <c r="U121" s="14" t="n">
        <f aca="false">((U55+U78)+U101)</f>
        <v>0</v>
      </c>
      <c r="V121" s="14" t="n">
        <f aca="false">((V55+V78)+V101)</f>
        <v>0.5</v>
      </c>
      <c r="W121" s="14" t="n">
        <f aca="false">((W55+W78)+W101)</f>
        <v>0</v>
      </c>
      <c r="X121" s="14" t="n">
        <f aca="false">((X55+X78)+X101)</f>
        <v>0</v>
      </c>
      <c r="Y121" s="14" t="n">
        <f aca="false">((Y55+Y78)+Y101)</f>
        <v>1.95</v>
      </c>
      <c r="Z121" s="14" t="n">
        <f aca="false">((Z55+Z78)+Z101)</f>
        <v>0</v>
      </c>
      <c r="AA121" s="14" t="n">
        <f aca="false">((AA55+AA78)+AA101)</f>
        <v>0</v>
      </c>
      <c r="AB121" s="14" t="n">
        <f aca="false">((AB55+AB78)+AB101)</f>
        <v>3.45</v>
      </c>
      <c r="AC121" s="14" t="n">
        <f aca="false">((AC55+AC78)+AC101)</f>
        <v>0</v>
      </c>
      <c r="AD121" s="14" t="n">
        <f aca="false">((AD55+AD78)+AD101)</f>
        <v>0</v>
      </c>
      <c r="AE121" s="14" t="n">
        <f aca="false">((AE55+AE78)+AE101)</f>
        <v>4.45</v>
      </c>
      <c r="AF121" s="14" t="n">
        <f aca="false">((AF55+AF78)+AF101)</f>
        <v>0</v>
      </c>
      <c r="AG121" s="14" t="n">
        <f aca="false">((AG55+AG78)+AG101)</f>
        <v>0</v>
      </c>
      <c r="AH121" s="14" t="n">
        <f aca="false">((AH55+AH78)+AH101)</f>
        <v>4.95</v>
      </c>
      <c r="AI121" s="14" t="n">
        <f aca="false">((AI55+AI78)+AI101)</f>
        <v>0</v>
      </c>
      <c r="AJ121" s="14" t="n">
        <f aca="false">((AJ55+AJ78)+AJ101)</f>
        <v>0</v>
      </c>
      <c r="AK121" s="14" t="n">
        <f aca="false">((AK55+AK78)+AK101)</f>
        <v>7.4</v>
      </c>
      <c r="AL121" s="14" t="n">
        <f aca="false">((AL55+AL78)+AL101)</f>
        <v>1</v>
      </c>
      <c r="AN121" s="36" t="n">
        <f aca="false">SUM(C121:N121)</f>
        <v>0.6</v>
      </c>
      <c r="AO121" s="36" t="n">
        <f aca="false">SUM(O121:Z121)</f>
        <v>3.05</v>
      </c>
      <c r="AP121" s="36" t="n">
        <f aca="false">SUM(AA121:AL121)</f>
        <v>21.25</v>
      </c>
    </row>
    <row r="122" customFormat="false" ht="15" hidden="false" customHeight="false" outlineLevel="0" collapsed="false">
      <c r="A122" s="0" t="s">
        <v>928</v>
      </c>
      <c r="B122" s="0" t="s">
        <v>852</v>
      </c>
      <c r="C122" s="13" t="n">
        <f aca="false">((C57+C80)+C103)</f>
        <v>0</v>
      </c>
      <c r="D122" s="13" t="n">
        <f aca="false">((D57+D80)+D103)</f>
        <v>0</v>
      </c>
      <c r="E122" s="13" t="n">
        <f aca="false">((E57+E80)+E103)</f>
        <v>0</v>
      </c>
      <c r="F122" s="13" t="n">
        <f aca="false">((F57+F80)+F103)</f>
        <v>0</v>
      </c>
      <c r="G122" s="13" t="n">
        <f aca="false">((G57+G80)+G103)</f>
        <v>0</v>
      </c>
      <c r="H122" s="13" t="n">
        <f aca="false">((H57+H80)+H103)</f>
        <v>0</v>
      </c>
      <c r="I122" s="13" t="n">
        <f aca="false">((I57+I80)+I103)</f>
        <v>0</v>
      </c>
      <c r="J122" s="13" t="n">
        <f aca="false">((J57+J80)+J103)</f>
        <v>0</v>
      </c>
      <c r="K122" s="13" t="n">
        <f aca="false">((K57+K80)+K103)</f>
        <v>0</v>
      </c>
      <c r="L122" s="13" t="n">
        <f aca="false">((L57+L80)+L103)</f>
        <v>0</v>
      </c>
      <c r="M122" s="13" t="n">
        <f aca="false">((M57+M80)+M103)</f>
        <v>0</v>
      </c>
      <c r="N122" s="13" t="n">
        <f aca="false">((N57+N80)+N103)</f>
        <v>0.6</v>
      </c>
      <c r="O122" s="13" t="n">
        <f aca="false">((O57+O80)+O103)</f>
        <v>0.6</v>
      </c>
      <c r="P122" s="13" t="n">
        <f aca="false">((P57+P80)+P103)</f>
        <v>0.6</v>
      </c>
      <c r="Q122" s="13" t="n">
        <f aca="false">((Q57+Q80)+Q103)</f>
        <v>1.2</v>
      </c>
      <c r="R122" s="13" t="n">
        <f aca="false">((R57+R80)+R103)</f>
        <v>1.2</v>
      </c>
      <c r="S122" s="13" t="n">
        <f aca="false">((S57+S80)+S103)</f>
        <v>1.2</v>
      </c>
      <c r="T122" s="13" t="n">
        <f aca="false">((T57+T80)+T103)</f>
        <v>1.2</v>
      </c>
      <c r="U122" s="13" t="n">
        <f aca="false">((U57+U80)+U103)</f>
        <v>1.2</v>
      </c>
      <c r="V122" s="13" t="n">
        <f aca="false">((V57+V80)+V103)</f>
        <v>1.7</v>
      </c>
      <c r="W122" s="13" t="n">
        <f aca="false">((W57+W80)+W103)</f>
        <v>1.7</v>
      </c>
      <c r="X122" s="13" t="n">
        <f aca="false">((X57+X80)+X103)</f>
        <v>1.7</v>
      </c>
      <c r="Y122" s="13" t="n">
        <f aca="false">((Y57+Y80)+Y103)</f>
        <v>3.65</v>
      </c>
      <c r="Z122" s="13" t="n">
        <f aca="false">((Z57+Z80)+Z103)</f>
        <v>3.578</v>
      </c>
      <c r="AA122" s="13" t="n">
        <f aca="false">((AA57+AA80)+AA103)</f>
        <v>3.578</v>
      </c>
      <c r="AB122" s="13" t="n">
        <f aca="false">((AB57+AB80)+AB103)</f>
        <v>7.028</v>
      </c>
      <c r="AC122" s="13" t="n">
        <f aca="false">((AC57+AC80)+AC103)</f>
        <v>6.956</v>
      </c>
      <c r="AD122" s="13" t="n">
        <f aca="false">((AD57+AD80)+AD103)</f>
        <v>6.956</v>
      </c>
      <c r="AE122" s="13" t="n">
        <f aca="false">((AE57+AE80)+AE103)</f>
        <v>11.406</v>
      </c>
      <c r="AF122" s="13" t="n">
        <f aca="false">((AF57+AF80)+AF103)</f>
        <v>11.406</v>
      </c>
      <c r="AG122" s="13" t="n">
        <f aca="false">((AG57+AG80)+AG103)</f>
        <v>11.406</v>
      </c>
      <c r="AH122" s="13" t="n">
        <f aca="false">((AH57+AH80)+AH103)</f>
        <v>16.296</v>
      </c>
      <c r="AI122" s="13" t="n">
        <f aca="false">((AI57+AI80)+AI103)</f>
        <v>16.296</v>
      </c>
      <c r="AJ122" s="13" t="n">
        <f aca="false">((AJ57+AJ80)+AJ103)</f>
        <v>16.296</v>
      </c>
      <c r="AK122" s="13" t="n">
        <f aca="false">((AK57+AK80)+AK103)</f>
        <v>23.462</v>
      </c>
      <c r="AL122" s="13" t="n">
        <f aca="false">((AL57+AL80)+AL103)</f>
        <v>24.39864</v>
      </c>
      <c r="AN122" s="37" t="n">
        <f aca="false">N122</f>
        <v>0.6</v>
      </c>
      <c r="AO122" s="37" t="n">
        <f aca="false">Z122</f>
        <v>3.578</v>
      </c>
      <c r="AP122" s="37" t="n">
        <f aca="false">AL122</f>
        <v>24.39864</v>
      </c>
    </row>
    <row r="123" customFormat="false" ht="15" hidden="false" customHeight="false" outlineLevel="0" collapsed="false">
      <c r="A123" s="0" t="s">
        <v>929</v>
      </c>
      <c r="B123" s="0" t="s">
        <v>852</v>
      </c>
      <c r="C123" s="13" t="n">
        <f aca="false">((C51+C74)+C97)</f>
        <v>0</v>
      </c>
      <c r="D123" s="13" t="n">
        <f aca="false">((D51+D74)+D97)</f>
        <v>0</v>
      </c>
      <c r="E123" s="13" t="n">
        <f aca="false">((E51+E74)+E97)</f>
        <v>0</v>
      </c>
      <c r="F123" s="13" t="n">
        <f aca="false">((F51+F74)+F97)</f>
        <v>0</v>
      </c>
      <c r="G123" s="13" t="n">
        <f aca="false">((G51+G74)+G97)</f>
        <v>1</v>
      </c>
      <c r="H123" s="13" t="n">
        <f aca="false">((H51+H74)+H97)</f>
        <v>1</v>
      </c>
      <c r="I123" s="13" t="n">
        <f aca="false">((I51+I74)+I97)</f>
        <v>1</v>
      </c>
      <c r="J123" s="13" t="n">
        <f aca="false">((J51+J74)+J97)</f>
        <v>2</v>
      </c>
      <c r="K123" s="13" t="n">
        <f aca="false">((K51+K74)+K97)</f>
        <v>2</v>
      </c>
      <c r="L123" s="13" t="n">
        <f aca="false">((L51+L74)+L97)</f>
        <v>2</v>
      </c>
      <c r="M123" s="13" t="n">
        <f aca="false">((M51+M74)+M97)</f>
        <v>1</v>
      </c>
      <c r="N123" s="13" t="n">
        <f aca="false">((N51+N74)+N97)</f>
        <v>1</v>
      </c>
      <c r="O123" s="13" t="n">
        <f aca="false">((O51+O74)+O97)</f>
        <v>2</v>
      </c>
      <c r="P123" s="13" t="n">
        <f aca="false">((P51+P74)+P97)</f>
        <v>1</v>
      </c>
      <c r="Q123" s="13" t="n">
        <f aca="false">((Q51+Q74)+Q97)</f>
        <v>1</v>
      </c>
      <c r="R123" s="13" t="n">
        <f aca="false">((R51+R74)+R97)</f>
        <v>3</v>
      </c>
      <c r="S123" s="13" t="n">
        <f aca="false">((S51+S74)+S97)</f>
        <v>3</v>
      </c>
      <c r="T123" s="13" t="n">
        <f aca="false">((T51+T74)+T97)</f>
        <v>3</v>
      </c>
      <c r="U123" s="13" t="n">
        <f aca="false">((U51+U74)+U97)</f>
        <v>5</v>
      </c>
      <c r="V123" s="13" t="n">
        <f aca="false">((V51+V74)+V97)</f>
        <v>5</v>
      </c>
      <c r="W123" s="13" t="n">
        <f aca="false">((W51+W74)+W97)</f>
        <v>5</v>
      </c>
      <c r="X123" s="13" t="n">
        <f aca="false">((X51+X74)+X97)</f>
        <v>6</v>
      </c>
      <c r="Y123" s="13" t="n">
        <f aca="false">((Y51+Y74)+Y97)</f>
        <v>6</v>
      </c>
      <c r="Z123" s="13" t="n">
        <f aca="false">((Z51+Z74)+Z97)</f>
        <v>6</v>
      </c>
      <c r="AA123" s="13" t="n">
        <f aca="false">((AA51+AA74)+AA97)</f>
        <v>7</v>
      </c>
      <c r="AB123" s="13" t="n">
        <f aca="false">((AB51+AB74)+AB97)</f>
        <v>7</v>
      </c>
      <c r="AC123" s="13" t="n">
        <f aca="false">((AC51+AC74)+AC97)</f>
        <v>7</v>
      </c>
      <c r="AD123" s="13" t="n">
        <f aca="false">((AD51+AD74)+AD97)</f>
        <v>9</v>
      </c>
      <c r="AE123" s="13" t="n">
        <f aca="false">((AE51+AE74)+AE97)</f>
        <v>9</v>
      </c>
      <c r="AF123" s="13" t="n">
        <f aca="false">((AF51+AF74)+AF97)</f>
        <v>10</v>
      </c>
      <c r="AG123" s="13" t="n">
        <f aca="false">((AG51+AG74)+AG97)</f>
        <v>11</v>
      </c>
      <c r="AH123" s="13" t="n">
        <f aca="false">((AH51+AH74)+AH97)</f>
        <v>11</v>
      </c>
      <c r="AI123" s="13" t="n">
        <f aca="false">((AI51+AI74)+AI97)</f>
        <v>11</v>
      </c>
      <c r="AJ123" s="13" t="n">
        <f aca="false">((AJ51+AJ74)+AJ97)</f>
        <v>12</v>
      </c>
      <c r="AK123" s="13" t="n">
        <f aca="false">((AK51+AK74)+AK97)</f>
        <v>12</v>
      </c>
      <c r="AL123" s="13" t="n">
        <f aca="false">((AL51+AL74)+AL97)</f>
        <v>12</v>
      </c>
      <c r="AN123" s="37" t="n">
        <f aca="false">N123</f>
        <v>1</v>
      </c>
      <c r="AO123" s="37" t="n">
        <f aca="false">Z123</f>
        <v>6</v>
      </c>
      <c r="AP123" s="37" t="n">
        <f aca="false">AL123</f>
        <v>12</v>
      </c>
    </row>
    <row r="124" customFormat="false" ht="15" hidden="false" customHeight="false" outlineLevel="0" collapsed="false">
      <c r="A124" s="0" t="s">
        <v>930</v>
      </c>
      <c r="B124" s="0" t="s">
        <v>230</v>
      </c>
      <c r="C124" s="9" t="n">
        <f aca="false">((C61+C84)+C107)</f>
        <v>0</v>
      </c>
      <c r="D124" s="9" t="n">
        <f aca="false">((D61+D84)+D107)</f>
        <v>0</v>
      </c>
      <c r="E124" s="9" t="n">
        <f aca="false">((E61+E84)+E107)</f>
        <v>0</v>
      </c>
      <c r="F124" s="9" t="n">
        <f aca="false">((F61+F84)+F107)</f>
        <v>0</v>
      </c>
      <c r="G124" s="9" t="n">
        <f aca="false">((G61+G84)+G107)</f>
        <v>0</v>
      </c>
      <c r="H124" s="9" t="n">
        <f aca="false">((H61+H84)+H107)</f>
        <v>0</v>
      </c>
      <c r="I124" s="9" t="n">
        <f aca="false">((I61+I84)+I107)</f>
        <v>0</v>
      </c>
      <c r="J124" s="9" t="n">
        <f aca="false">((J61+J84)+J107)</f>
        <v>0</v>
      </c>
      <c r="K124" s="9" t="n">
        <f aca="false">((K61+K84)+K107)</f>
        <v>0</v>
      </c>
      <c r="L124" s="9" t="n">
        <f aca="false">((L61+L84)+L107)</f>
        <v>0</v>
      </c>
      <c r="M124" s="9" t="n">
        <f aca="false">((M61+M84)+M107)</f>
        <v>0</v>
      </c>
      <c r="N124" s="9" t="n">
        <f aca="false">((N61+N84)+N107)</f>
        <v>1320</v>
      </c>
      <c r="O124" s="9" t="n">
        <f aca="false">((O61+O84)+O107)</f>
        <v>1320</v>
      </c>
      <c r="P124" s="9" t="n">
        <f aca="false">((P61+P84)+P107)</f>
        <v>1320</v>
      </c>
      <c r="Q124" s="9" t="n">
        <f aca="false">((Q61+Q84)+Q107)</f>
        <v>5060</v>
      </c>
      <c r="R124" s="9" t="n">
        <f aca="false">((R61+R84)+R107)</f>
        <v>5060</v>
      </c>
      <c r="S124" s="9" t="n">
        <f aca="false">((S61+S84)+S107)</f>
        <v>5060</v>
      </c>
      <c r="T124" s="9" t="n">
        <f aca="false">((T61+T84)+T107)</f>
        <v>5060</v>
      </c>
      <c r="U124" s="9" t="n">
        <f aca="false">((U61+U84)+U107)</f>
        <v>5060</v>
      </c>
      <c r="V124" s="9" t="n">
        <f aca="false">((V61+V84)+V107)</f>
        <v>5847.5</v>
      </c>
      <c r="W124" s="9" t="n">
        <f aca="false">((W61+W84)+W107)</f>
        <v>5847.5</v>
      </c>
      <c r="X124" s="9" t="n">
        <f aca="false">((X61+X84)+X107)</f>
        <v>5847.5</v>
      </c>
      <c r="Y124" s="9" t="n">
        <f aca="false">((Y61+Y84)+Y107)</f>
        <v>11077.5</v>
      </c>
      <c r="Z124" s="9" t="n">
        <f aca="false">((Z61+Z84)+Z107)</f>
        <v>11035.26</v>
      </c>
      <c r="AA124" s="9" t="n">
        <f aca="false">((AA61+AA84)+AA107)</f>
        <v>11035.26</v>
      </c>
      <c r="AB124" s="9" t="n">
        <f aca="false">((AB61+AB84)+AB107)</f>
        <v>23286.0933333333</v>
      </c>
      <c r="AC124" s="9" t="n">
        <f aca="false">((AC61+AC84)+AC107)</f>
        <v>23166.4133333333</v>
      </c>
      <c r="AD124" s="9" t="n">
        <f aca="false">((AD61+AD84)+AD107)</f>
        <v>23166.4133333333</v>
      </c>
      <c r="AE124" s="9" t="n">
        <f aca="false">((AE61+AE84)+AE107)</f>
        <v>37617.2466666667</v>
      </c>
      <c r="AF124" s="9" t="n">
        <f aca="false">((AF61+AF84)+AF107)</f>
        <v>37617.2466666667</v>
      </c>
      <c r="AG124" s="9" t="n">
        <f aca="false">((AG61+AG84)+AG107)</f>
        <v>37617.2466666667</v>
      </c>
      <c r="AH124" s="9" t="n">
        <f aca="false">((AH61+AH84)+AH107)</f>
        <v>53132.88</v>
      </c>
      <c r="AI124" s="9" t="n">
        <f aca="false">((AI61+AI84)+AI107)</f>
        <v>53132.88</v>
      </c>
      <c r="AJ124" s="9" t="n">
        <f aca="false">((AJ61+AJ84)+AJ107)</f>
        <v>53132.88</v>
      </c>
      <c r="AK124" s="9" t="n">
        <f aca="false">((AK61+AK84)+AK107)</f>
        <v>79726.6866666667</v>
      </c>
      <c r="AL124" s="9" t="n">
        <f aca="false">((AL61+AL84)+AL107)</f>
        <v>95819.13168</v>
      </c>
      <c r="AN124" s="11" t="n">
        <f aca="false">SUM(C124:N124)</f>
        <v>1320</v>
      </c>
      <c r="AO124" s="11" t="n">
        <f aca="false">SUM(O124:Z124)</f>
        <v>67595.26</v>
      </c>
      <c r="AP124" s="11" t="n">
        <f aca="false">SUM(AA124:AL124)</f>
        <v>528450.378346667</v>
      </c>
    </row>
    <row r="125" customFormat="false" ht="15" hidden="false" customHeight="false" outlineLevel="0" collapsed="false">
      <c r="A125" s="0" t="s">
        <v>931</v>
      </c>
      <c r="B125" s="0" t="s">
        <v>230</v>
      </c>
      <c r="C125" s="9" t="n">
        <f aca="false">IF(AND(($C$14=1),(C$18=(Assumptions!$C$106+1))),((Assumptions!$C$114*12)*C124),0)</f>
        <v>0</v>
      </c>
      <c r="D125" s="9" t="n">
        <f aca="false">IF(AND(($C$14=1),(D$18=(Assumptions!$C$106+1))),((Assumptions!$C$114*12)*D124),0)</f>
        <v>0</v>
      </c>
      <c r="E125" s="9" t="n">
        <f aca="false">IF(AND(($C$14=1),(E$18=(Assumptions!$C$106+1))),((Assumptions!$C$114*12)*E124),0)</f>
        <v>0</v>
      </c>
      <c r="F125" s="9" t="n">
        <f aca="false">IF(AND(($C$14=1),(F$18=(Assumptions!$C$106+1))),((Assumptions!$C$114*12)*F124),0)</f>
        <v>0</v>
      </c>
      <c r="G125" s="9" t="n">
        <f aca="false">IF(AND(($C$14=1),(G$18=(Assumptions!$C$106+1))),((Assumptions!$C$114*12)*G124),0)</f>
        <v>0</v>
      </c>
      <c r="H125" s="9" t="n">
        <f aca="false">IF(AND(($C$14=1),(H$18=(Assumptions!$C$106+1))),((Assumptions!$C$114*12)*H124),0)</f>
        <v>0</v>
      </c>
      <c r="I125" s="9" t="n">
        <f aca="false">IF(AND(($C$14=1),(I$18=(Assumptions!$C$106+1))),((Assumptions!$C$114*12)*I124),0)</f>
        <v>0</v>
      </c>
      <c r="J125" s="9" t="n">
        <f aca="false">IF(AND(($C$14=1),(J$18=(Assumptions!$C$106+1))),((Assumptions!$C$114*12)*J124),0)</f>
        <v>0</v>
      </c>
      <c r="K125" s="9" t="n">
        <f aca="false">IF(AND(($C$14=1),(K$18=(Assumptions!$C$106+1))),((Assumptions!$C$114*12)*K124),0)</f>
        <v>0</v>
      </c>
      <c r="L125" s="9" t="n">
        <f aca="false">IF(AND(($C$14=1),(L$18=(Assumptions!$C$106+1))),((Assumptions!$C$114*12)*L124),0)</f>
        <v>0</v>
      </c>
      <c r="M125" s="9" t="n">
        <f aca="false">IF(AND(($C$14=1),(M$18=(Assumptions!$C$106+1))),((Assumptions!$C$114*12)*M124),0)</f>
        <v>0</v>
      </c>
      <c r="N125" s="9" t="n">
        <f aca="false">IF(AND(($C$14=1),(N$18=(Assumptions!$C$106+1))),((Assumptions!$C$114*12)*N124),0)</f>
        <v>0</v>
      </c>
      <c r="O125" s="9" t="n">
        <f aca="false">IF(AND(($C$14=1),(O$18=(Assumptions!$C$106+1))),((Assumptions!$C$114*12)*O124),0)</f>
        <v>0</v>
      </c>
      <c r="P125" s="9" t="n">
        <f aca="false">IF(AND(($C$14=1),(P$18=(Assumptions!$C$106+1))),((Assumptions!$C$114*12)*P124),0)</f>
        <v>0</v>
      </c>
      <c r="Q125" s="9" t="n">
        <f aca="false">IF(AND(($C$14=1),(Q$18=(Assumptions!$C$106+1))),((Assumptions!$C$114*12)*Q124),0)</f>
        <v>0</v>
      </c>
      <c r="R125" s="9" t="n">
        <f aca="false">IF(AND(($C$14=1),(R$18=(Assumptions!$C$106+1))),((Assumptions!$C$114*12)*R124),0)</f>
        <v>0</v>
      </c>
      <c r="S125" s="9" t="n">
        <f aca="false">IF(AND(($C$14=1),(S$18=(Assumptions!$C$106+1))),((Assumptions!$C$114*12)*S124),0)</f>
        <v>0</v>
      </c>
      <c r="T125" s="9" t="n">
        <f aca="false">IF(AND(($C$14=1),(T$18=(Assumptions!$C$106+1))),((Assumptions!$C$114*12)*T124),0)</f>
        <v>0</v>
      </c>
      <c r="U125" s="9" t="n">
        <f aca="false">IF(AND(($C$14=1),(U$18=(Assumptions!$C$106+1))),((Assumptions!$C$114*12)*U124),0)</f>
        <v>0</v>
      </c>
      <c r="V125" s="9" t="n">
        <f aca="false">IF(AND(($C$14=1),(V$18=(Assumptions!$C$106+1))),((Assumptions!$C$114*12)*V124),0)</f>
        <v>0</v>
      </c>
      <c r="W125" s="9" t="n">
        <f aca="false">IF(AND(($C$14=1),(W$18=(Assumptions!$C$106+1))),((Assumptions!$C$114*12)*W124),0)</f>
        <v>0</v>
      </c>
      <c r="X125" s="9" t="n">
        <f aca="false">IF(AND(($C$14=1),(X$18=(Assumptions!$C$106+1))),((Assumptions!$C$114*12)*X124),0)</f>
        <v>0</v>
      </c>
      <c r="Y125" s="9" t="n">
        <f aca="false">IF(AND(($C$14=1),(Y$18=(Assumptions!$C$106+1))),((Assumptions!$C$114*12)*Y124),0)</f>
        <v>0</v>
      </c>
      <c r="Z125" s="9" t="n">
        <f aca="false">IF(AND(($C$14=1),(Z$18=(Assumptions!$C$106+1))),((Assumptions!$C$114*12)*Z124),0)</f>
        <v>0</v>
      </c>
      <c r="AA125" s="9" t="n">
        <f aca="false">IF(AND(($C$14=1),(AA$18=(Assumptions!$C$106+1))),((Assumptions!$C$114*12)*AA124),0)</f>
        <v>0</v>
      </c>
      <c r="AB125" s="9" t="n">
        <f aca="false">IF(AND(($C$14=1),(AB$18=(Assumptions!$C$106+1))),((Assumptions!$C$114*12)*AB124),0)</f>
        <v>0</v>
      </c>
      <c r="AC125" s="9" t="n">
        <f aca="false">IF(AND(($C$14=1),(AC$18=(Assumptions!$C$106+1))),((Assumptions!$C$114*12)*AC124),0)</f>
        <v>0</v>
      </c>
      <c r="AD125" s="9" t="n">
        <f aca="false">IF(AND(($C$14=1),(AD$18=(Assumptions!$C$106+1))),((Assumptions!$C$114*12)*AD124),0)</f>
        <v>0</v>
      </c>
      <c r="AE125" s="9" t="n">
        <f aca="false">IF(AND(($C$14=1),(AE$18=(Assumptions!$C$106+1))),((Assumptions!$C$114*12)*AE124),0)</f>
        <v>0</v>
      </c>
      <c r="AF125" s="9" t="n">
        <f aca="false">IF(AND(($C$14=1),(AF$18=(Assumptions!$C$106+1))),((Assumptions!$C$114*12)*AF124),0)</f>
        <v>0</v>
      </c>
      <c r="AG125" s="9" t="n">
        <f aca="false">IF(AND(($C$14=1),(AG$18=(Assumptions!$C$106+1))),((Assumptions!$C$114*12)*AG124),0)</f>
        <v>0</v>
      </c>
      <c r="AH125" s="9" t="n">
        <f aca="false">IF(AND(($C$14=1),(AH$18=(Assumptions!$C$106+1))),((Assumptions!$C$114*12)*AH124),0)</f>
        <v>0</v>
      </c>
      <c r="AI125" s="9" t="n">
        <f aca="false">IF(AND(($C$14=1),(AI$18=(Assumptions!$C$106+1))),((Assumptions!$C$114*12)*AI124),0)</f>
        <v>0</v>
      </c>
      <c r="AJ125" s="9" t="n">
        <f aca="false">IF(AND(($C$14=1),(AJ$18=(Assumptions!$C$106+1))),((Assumptions!$C$114*12)*AJ124),0)</f>
        <v>0</v>
      </c>
      <c r="AK125" s="9" t="n">
        <f aca="false">IF(AND(($C$14=1),(AK$18=(Assumptions!$C$106+1))),((Assumptions!$C$114*12)*AK124),0)</f>
        <v>0</v>
      </c>
      <c r="AL125" s="9" t="n">
        <f aca="false">IF(AND(($C$14=1),(AL$18=(Assumptions!$C$106+1))),((Assumptions!$C$114*12)*AL124),0)</f>
        <v>0</v>
      </c>
      <c r="AN125" s="11" t="n">
        <f aca="false">SUM(C125:N125)</f>
        <v>0</v>
      </c>
      <c r="AO125" s="11" t="n">
        <f aca="false">SUM(O125:Z125)</f>
        <v>0</v>
      </c>
      <c r="AP125" s="11" t="n">
        <f aca="false">SUM(AA125:AL125)</f>
        <v>0</v>
      </c>
    </row>
    <row r="126" customFormat="false" ht="15" hidden="false" customHeight="false" outlineLevel="0" collapsed="false">
      <c r="A126" s="0" t="s">
        <v>932</v>
      </c>
      <c r="B126" s="0" t="s">
        <v>500</v>
      </c>
      <c r="C126" s="9" t="n">
        <f aca="false">(((Assumptions!$C$125*(C57+(Assumptions!$C$32*C51)))+(Assumptions!$D$125*(C80+(Assumptions!$C$32*C74))))+(Assumptions!$E$125*(C103+(Assumptions!$C$32*C97))))</f>
        <v>0</v>
      </c>
      <c r="D126" s="9" t="n">
        <f aca="false">(((Assumptions!$C$125*(D57+(Assumptions!$C$32*D51)))+(Assumptions!$D$125*(D80+(Assumptions!$C$32*D74))))+(Assumptions!$E$125*(D103+(Assumptions!$C$32*D97))))</f>
        <v>0</v>
      </c>
      <c r="E126" s="9" t="n">
        <f aca="false">(((Assumptions!$C$125*(E57+(Assumptions!$C$32*E51)))+(Assumptions!$D$125*(E80+(Assumptions!$C$32*E74))))+(Assumptions!$E$125*(E103+(Assumptions!$C$32*E97))))</f>
        <v>0</v>
      </c>
      <c r="F126" s="9" t="n">
        <f aca="false">(((Assumptions!$C$125*(F57+(Assumptions!$C$32*F51)))+(Assumptions!$D$125*(F80+(Assumptions!$C$32*F74))))+(Assumptions!$E$125*(F103+(Assumptions!$C$32*F97))))</f>
        <v>0</v>
      </c>
      <c r="G126" s="9" t="n">
        <f aca="false">(((Assumptions!$C$125*(G57+(Assumptions!$C$32*G51)))+(Assumptions!$D$125*(G80+(Assumptions!$C$32*G74))))+(Assumptions!$E$125*(G103+(Assumptions!$C$32*G97))))</f>
        <v>210</v>
      </c>
      <c r="H126" s="9" t="n">
        <f aca="false">(((Assumptions!$C$125*(H57+(Assumptions!$C$32*H51)))+(Assumptions!$D$125*(H80+(Assumptions!$C$32*H74))))+(Assumptions!$E$125*(H103+(Assumptions!$C$32*H97))))</f>
        <v>210</v>
      </c>
      <c r="I126" s="9" t="n">
        <f aca="false">(((Assumptions!$C$125*(I57+(Assumptions!$C$32*I51)))+(Assumptions!$D$125*(I80+(Assumptions!$C$32*I74))))+(Assumptions!$E$125*(I103+(Assumptions!$C$32*I97))))</f>
        <v>210</v>
      </c>
      <c r="J126" s="9" t="n">
        <f aca="false">(((Assumptions!$C$125*(J57+(Assumptions!$C$32*J51)))+(Assumptions!$D$125*(J80+(Assumptions!$C$32*J74))))+(Assumptions!$E$125*(J103+(Assumptions!$C$32*J97))))</f>
        <v>1085</v>
      </c>
      <c r="K126" s="9" t="n">
        <f aca="false">(((Assumptions!$C$125*(K57+(Assumptions!$C$32*K51)))+(Assumptions!$D$125*(K80+(Assumptions!$C$32*K74))))+(Assumptions!$E$125*(K103+(Assumptions!$C$32*K97))))</f>
        <v>1085</v>
      </c>
      <c r="L126" s="9" t="n">
        <f aca="false">(((Assumptions!$C$125*(L57+(Assumptions!$C$32*L51)))+(Assumptions!$D$125*(L80+(Assumptions!$C$32*L74))))+(Assumptions!$E$125*(L103+(Assumptions!$C$32*L97))))</f>
        <v>1085</v>
      </c>
      <c r="M126" s="9" t="n">
        <f aca="false">(((Assumptions!$C$125*(M57+(Assumptions!$C$32*M51)))+(Assumptions!$D$125*(M80+(Assumptions!$C$32*M74))))+(Assumptions!$E$125*(M103+(Assumptions!$C$32*M97))))</f>
        <v>875</v>
      </c>
      <c r="N126" s="9" t="n">
        <f aca="false">(((Assumptions!$C$125*(N57+(Assumptions!$C$32*N51)))+(Assumptions!$D$125*(N80+(Assumptions!$C$32*N74))))+(Assumptions!$E$125*(N103+(Assumptions!$C$32*N97))))</f>
        <v>1235</v>
      </c>
      <c r="O126" s="9" t="n">
        <f aca="false">(((Assumptions!$C$125*(O57+(Assumptions!$C$32*O51)))+(Assumptions!$D$125*(O80+(Assumptions!$C$32*O74))))+(Assumptions!$E$125*(O103+(Assumptions!$C$32*O97))))</f>
        <v>1445</v>
      </c>
      <c r="P126" s="9" t="n">
        <f aca="false">(((Assumptions!$C$125*(P57+(Assumptions!$C$32*P51)))+(Assumptions!$D$125*(P80+(Assumptions!$C$32*P74))))+(Assumptions!$E$125*(P103+(Assumptions!$C$32*P97))))</f>
        <v>570</v>
      </c>
      <c r="Q126" s="9" t="n">
        <f aca="false">(((Assumptions!$C$125*(Q57+(Assumptions!$C$32*Q51)))+(Assumptions!$D$125*(Q80+(Assumptions!$C$32*Q74))))+(Assumptions!$E$125*(Q103+(Assumptions!$C$32*Q97))))</f>
        <v>2070</v>
      </c>
      <c r="R126" s="9" t="n">
        <f aca="false">(((Assumptions!$C$125*(R57+(Assumptions!$C$32*R51)))+(Assumptions!$D$125*(R80+(Assumptions!$C$32*R74))))+(Assumptions!$E$125*(R103+(Assumptions!$C$32*R97))))</f>
        <v>3155</v>
      </c>
      <c r="S126" s="9" t="n">
        <f aca="false">(((Assumptions!$C$125*(S57+(Assumptions!$C$32*S51)))+(Assumptions!$D$125*(S80+(Assumptions!$C$32*S74))))+(Assumptions!$E$125*(S103+(Assumptions!$C$32*S97))))</f>
        <v>3155</v>
      </c>
      <c r="T126" s="9" t="n">
        <f aca="false">(((Assumptions!$C$125*(T57+(Assumptions!$C$32*T51)))+(Assumptions!$D$125*(T80+(Assumptions!$C$32*T74))))+(Assumptions!$E$125*(T103+(Assumptions!$C$32*T97))))</f>
        <v>3155</v>
      </c>
      <c r="U126" s="9" t="n">
        <f aca="false">(((Assumptions!$C$125*(U57+(Assumptions!$C$32*U51)))+(Assumptions!$D$125*(U80+(Assumptions!$C$32*U74))))+(Assumptions!$E$125*(U103+(Assumptions!$C$32*U97))))</f>
        <v>4240</v>
      </c>
      <c r="V126" s="9" t="n">
        <f aca="false">(((Assumptions!$C$125*(V57+(Assumptions!$C$32*V51)))+(Assumptions!$D$125*(V80+(Assumptions!$C$32*V74))))+(Assumptions!$E$125*(V103+(Assumptions!$C$32*V97))))</f>
        <v>4540</v>
      </c>
      <c r="W126" s="9" t="n">
        <f aca="false">(((Assumptions!$C$125*(W57+(Assumptions!$C$32*W51)))+(Assumptions!$D$125*(W80+(Assumptions!$C$32*W74))))+(Assumptions!$E$125*(W103+(Assumptions!$C$32*W97))))</f>
        <v>4540</v>
      </c>
      <c r="X126" s="9" t="n">
        <f aca="false">(((Assumptions!$C$125*(X57+(Assumptions!$C$32*X51)))+(Assumptions!$D$125*(X80+(Assumptions!$C$32*X74))))+(Assumptions!$E$125*(X103+(Assumptions!$C$32*X97))))</f>
        <v>4750</v>
      </c>
      <c r="Y126" s="9" t="n">
        <f aca="false">(((Assumptions!$C$125*(Y57+(Assumptions!$C$32*Y51)))+(Assumptions!$D$125*(Y80+(Assumptions!$C$32*Y74))))+(Assumptions!$E$125*(Y103+(Assumptions!$C$32*Y97))))</f>
        <v>6775</v>
      </c>
      <c r="Z126" s="9" t="n">
        <f aca="false">(((Assumptions!$C$125*(Z57+(Assumptions!$C$32*Z51)))+(Assumptions!$D$125*(Z80+(Assumptions!$C$32*Z74))))+(Assumptions!$E$125*(Z103+(Assumptions!$C$32*Z97))))</f>
        <v>6731.8</v>
      </c>
      <c r="AA126" s="9" t="n">
        <f aca="false">(((Assumptions!$C$125*(AA57+(Assumptions!$C$32*AA51)))+(Assumptions!$D$125*(AA80+(Assumptions!$C$32*AA74))))+(Assumptions!$E$125*(AA103+(Assumptions!$C$32*AA97))))</f>
        <v>6941.8</v>
      </c>
      <c r="AB126" s="9" t="n">
        <f aca="false">(((Assumptions!$C$125*(AB57+(Assumptions!$C$32*AB51)))+(Assumptions!$D$125*(AB80+(Assumptions!$C$32*AB74))))+(Assumptions!$E$125*(AB103+(Assumptions!$C$32*AB97))))</f>
        <v>11766.8</v>
      </c>
      <c r="AC126" s="9" t="n">
        <f aca="false">(((Assumptions!$C$125*(AC57+(Assumptions!$C$32*AC51)))+(Assumptions!$D$125*(AC80+(Assumptions!$C$32*AC74))))+(Assumptions!$E$125*(AC103+(Assumptions!$C$32*AC97))))</f>
        <v>11586.8</v>
      </c>
      <c r="AD126" s="9" t="n">
        <f aca="false">(((Assumptions!$C$125*(AD57+(Assumptions!$C$32*AD51)))+(Assumptions!$D$125*(AD80+(Assumptions!$C$32*AD74))))+(Assumptions!$E$125*(AD103+(Assumptions!$C$32*AD97))))</f>
        <v>12671.8</v>
      </c>
      <c r="AE126" s="9" t="n">
        <f aca="false">(((Assumptions!$C$125*(AE57+(Assumptions!$C$32*AE51)))+(Assumptions!$D$125*(AE80+(Assumptions!$C$32*AE74))))+(Assumptions!$E$125*(AE103+(Assumptions!$C$32*AE97))))</f>
        <v>18096.8</v>
      </c>
      <c r="AF126" s="9" t="n">
        <f aca="false">(((Assumptions!$C$125*(AF57+(Assumptions!$C$32*AF51)))+(Assumptions!$D$125*(AF80+(Assumptions!$C$32*AF74))))+(Assumptions!$E$125*(AF103+(Assumptions!$C$32*AF97))))</f>
        <v>21246.8</v>
      </c>
      <c r="AG126" s="9" t="n">
        <f aca="false">(((Assumptions!$C$125*(AG57+(Assumptions!$C$32*AG51)))+(Assumptions!$D$125*(AG80+(Assumptions!$C$32*AG74))))+(Assumptions!$E$125*(AG103+(Assumptions!$C$32*AG97))))</f>
        <v>22121.8</v>
      </c>
      <c r="AH126" s="9" t="n">
        <f aca="false">(((Assumptions!$C$125*(AH57+(Assumptions!$C$32*AH51)))+(Assumptions!$D$125*(AH80+(Assumptions!$C$32*AH74))))+(Assumptions!$E$125*(AH103+(Assumptions!$C$32*AH97))))</f>
        <v>27810.8</v>
      </c>
      <c r="AI126" s="9" t="n">
        <f aca="false">(((Assumptions!$C$125*(AI57+(Assumptions!$C$32*AI51)))+(Assumptions!$D$125*(AI80+(Assumptions!$C$32*AI74))))+(Assumptions!$E$125*(AI103+(Assumptions!$C$32*AI97))))</f>
        <v>27810.8</v>
      </c>
      <c r="AJ126" s="9" t="n">
        <f aca="false">(((Assumptions!$C$125*(AJ57+(Assumptions!$C$32*AJ51)))+(Assumptions!$D$125*(AJ80+(Assumptions!$C$32*AJ74))))+(Assumptions!$E$125*(AJ103+(Assumptions!$C$32*AJ97))))</f>
        <v>28020.8</v>
      </c>
      <c r="AK126" s="9" t="n">
        <f aca="false">(((Assumptions!$C$125*(AK57+(Assumptions!$C$32*AK51)))+(Assumptions!$D$125*(AK80+(Assumptions!$C$32*AK74))))+(Assumptions!$E$125*(AK103+(Assumptions!$C$32*AK97))))</f>
        <v>37727.8</v>
      </c>
      <c r="AL126" s="9" t="n">
        <f aca="false">(((Assumptions!$C$125*(AL57+(Assumptions!$C$32*AL51)))+(Assumptions!$D$125*(AL80+(Assumptions!$C$32*AL74))))+(Assumptions!$E$125*(AL103+(Assumptions!$C$32*AL97))))</f>
        <v>46689.784</v>
      </c>
      <c r="AN126" s="11" t="n">
        <f aca="false">N126</f>
        <v>1235</v>
      </c>
      <c r="AO126" s="11" t="n">
        <f aca="false">Z126</f>
        <v>6731.8</v>
      </c>
      <c r="AP126" s="11" t="n">
        <f aca="false">AL126</f>
        <v>46689.784</v>
      </c>
    </row>
    <row r="127" customFormat="false" ht="15" hidden="false" customHeight="false" outlineLevel="0" collapsed="false">
      <c r="A127" s="0" t="s">
        <v>933</v>
      </c>
      <c r="B127" s="0" t="s">
        <v>230</v>
      </c>
      <c r="C127" s="9" t="n">
        <f aca="false">(C124-C125)</f>
        <v>0</v>
      </c>
      <c r="D127" s="9" t="n">
        <f aca="false">(D124-D125)</f>
        <v>0</v>
      </c>
      <c r="E127" s="9" t="n">
        <f aca="false">(E124-E125)</f>
        <v>0</v>
      </c>
      <c r="F127" s="9" t="n">
        <f aca="false">(F124-F125)</f>
        <v>0</v>
      </c>
      <c r="G127" s="9" t="n">
        <f aca="false">(G124-G125)</f>
        <v>0</v>
      </c>
      <c r="H127" s="9" t="n">
        <f aca="false">(H124-H125)</f>
        <v>0</v>
      </c>
      <c r="I127" s="9" t="n">
        <f aca="false">(I124-I125)</f>
        <v>0</v>
      </c>
      <c r="J127" s="9" t="n">
        <f aca="false">(J124-J125)</f>
        <v>0</v>
      </c>
      <c r="K127" s="9" t="n">
        <f aca="false">(K124-K125)</f>
        <v>0</v>
      </c>
      <c r="L127" s="9" t="n">
        <f aca="false">(L124-L125)</f>
        <v>0</v>
      </c>
      <c r="M127" s="9" t="n">
        <f aca="false">(M124-M125)</f>
        <v>0</v>
      </c>
      <c r="N127" s="9" t="n">
        <f aca="false">(N124-N125)</f>
        <v>1320</v>
      </c>
      <c r="O127" s="9" t="n">
        <f aca="false">(O124-O125)</f>
        <v>1320</v>
      </c>
      <c r="P127" s="9" t="n">
        <f aca="false">(P124-P125)</f>
        <v>1320</v>
      </c>
      <c r="Q127" s="9" t="n">
        <f aca="false">(Q124-Q125)</f>
        <v>5060</v>
      </c>
      <c r="R127" s="9" t="n">
        <f aca="false">(R124-R125)</f>
        <v>5060</v>
      </c>
      <c r="S127" s="9" t="n">
        <f aca="false">(S124-S125)</f>
        <v>5060</v>
      </c>
      <c r="T127" s="9" t="n">
        <f aca="false">(T124-T125)</f>
        <v>5060</v>
      </c>
      <c r="U127" s="9" t="n">
        <f aca="false">(U124-U125)</f>
        <v>5060</v>
      </c>
      <c r="V127" s="9" t="n">
        <f aca="false">(V124-V125)</f>
        <v>5847.5</v>
      </c>
      <c r="W127" s="9" t="n">
        <f aca="false">(W124-W125)</f>
        <v>5847.5</v>
      </c>
      <c r="X127" s="9" t="n">
        <f aca="false">(X124-X125)</f>
        <v>5847.5</v>
      </c>
      <c r="Y127" s="9" t="n">
        <f aca="false">(Y124-Y125)</f>
        <v>11077.5</v>
      </c>
      <c r="Z127" s="9" t="n">
        <f aca="false">(Z124-Z125)</f>
        <v>11035.26</v>
      </c>
      <c r="AA127" s="9" t="n">
        <f aca="false">(AA124-AA125)</f>
        <v>11035.26</v>
      </c>
      <c r="AB127" s="9" t="n">
        <f aca="false">(AB124-AB125)</f>
        <v>23286.0933333333</v>
      </c>
      <c r="AC127" s="9" t="n">
        <f aca="false">(AC124-AC125)</f>
        <v>23166.4133333333</v>
      </c>
      <c r="AD127" s="9" t="n">
        <f aca="false">(AD124-AD125)</f>
        <v>23166.4133333333</v>
      </c>
      <c r="AE127" s="9" t="n">
        <f aca="false">(AE124-AE125)</f>
        <v>37617.2466666667</v>
      </c>
      <c r="AF127" s="9" t="n">
        <f aca="false">(AF124-AF125)</f>
        <v>37617.2466666667</v>
      </c>
      <c r="AG127" s="9" t="n">
        <f aca="false">(AG124-AG125)</f>
        <v>37617.2466666667</v>
      </c>
      <c r="AH127" s="9" t="n">
        <f aca="false">(AH124-AH125)</f>
        <v>53132.88</v>
      </c>
      <c r="AI127" s="9" t="n">
        <f aca="false">(AI124-AI125)</f>
        <v>53132.88</v>
      </c>
      <c r="AJ127" s="9" t="n">
        <f aca="false">(AJ124-AJ125)</f>
        <v>53132.88</v>
      </c>
      <c r="AK127" s="9" t="n">
        <f aca="false">(AK124-AK125)</f>
        <v>79726.6866666667</v>
      </c>
      <c r="AL127" s="9" t="n">
        <f aca="false">(AL124-AL125)</f>
        <v>95819.13168</v>
      </c>
      <c r="AN127" s="11" t="n">
        <f aca="false">SUM(C127:N127)</f>
        <v>1320</v>
      </c>
      <c r="AO127" s="11" t="n">
        <f aca="false">SUM(O127:Z127)</f>
        <v>67595.26</v>
      </c>
      <c r="AP127" s="11" t="n">
        <f aca="false">SUM(AA127:AL127)</f>
        <v>528450.378346667</v>
      </c>
    </row>
    <row r="128" customFormat="false" ht="15" hidden="false" customHeight="false" outlineLevel="0" collapsed="false">
      <c r="A128" s="0" t="s">
        <v>934</v>
      </c>
      <c r="B128" s="0" t="s">
        <v>230</v>
      </c>
      <c r="C128" s="9" t="n">
        <f aca="false">(((C62+C85)+C108)-C125)</f>
        <v>0</v>
      </c>
      <c r="D128" s="9" t="n">
        <f aca="false">(((D62+D85)+D108)-D125)</f>
        <v>0</v>
      </c>
      <c r="E128" s="9" t="n">
        <f aca="false">(((E62+E85)+E108)-E125)</f>
        <v>0</v>
      </c>
      <c r="F128" s="9" t="n">
        <f aca="false">(((F62+F85)+F108)-F125)</f>
        <v>0</v>
      </c>
      <c r="G128" s="9" t="n">
        <f aca="false">(((G62+G85)+G108)-G125)</f>
        <v>0</v>
      </c>
      <c r="H128" s="9" t="n">
        <f aca="false">(((H62+H85)+H108)-H125)</f>
        <v>0</v>
      </c>
      <c r="I128" s="9" t="n">
        <f aca="false">(((I62+I85)+I108)-I125)</f>
        <v>0</v>
      </c>
      <c r="J128" s="9" t="n">
        <f aca="false">(((J62+J85)+J108)-J125)</f>
        <v>0</v>
      </c>
      <c r="K128" s="9" t="n">
        <f aca="false">(((K62+K85)+K108)-K125)</f>
        <v>0</v>
      </c>
      <c r="L128" s="9" t="n">
        <f aca="false">(((L62+L85)+L108)-L125)</f>
        <v>0</v>
      </c>
      <c r="M128" s="9" t="n">
        <f aca="false">(((M62+M85)+M108)-M125)</f>
        <v>0</v>
      </c>
      <c r="N128" s="9" t="n">
        <f aca="false">(((N62+N85)+N108)-N125)</f>
        <v>15840</v>
      </c>
      <c r="O128" s="9" t="n">
        <f aca="false">(((O62+O85)+O108)-O125)</f>
        <v>0</v>
      </c>
      <c r="P128" s="9" t="n">
        <f aca="false">(((P62+P85)+P108)-P125)</f>
        <v>0</v>
      </c>
      <c r="Q128" s="9" t="n">
        <f aca="false">(((Q62+Q85)+Q108)-Q125)</f>
        <v>44880</v>
      </c>
      <c r="R128" s="9" t="n">
        <f aca="false">(((R62+R85)+R108)-R125)</f>
        <v>0</v>
      </c>
      <c r="S128" s="9" t="n">
        <f aca="false">(((S62+S85)+S108)-S125)</f>
        <v>0</v>
      </c>
      <c r="T128" s="9" t="n">
        <f aca="false">(((T62+T85)+T108)-T125)</f>
        <v>0</v>
      </c>
      <c r="U128" s="9" t="n">
        <f aca="false">(((U62+U85)+U108)-U125)</f>
        <v>0</v>
      </c>
      <c r="V128" s="9" t="n">
        <f aca="false">(((V62+V85)+V108)-V125)</f>
        <v>9450</v>
      </c>
      <c r="W128" s="9" t="n">
        <f aca="false">(((W62+W85)+W108)-W125)</f>
        <v>0</v>
      </c>
      <c r="X128" s="9" t="n">
        <f aca="false">(((X62+X85)+X108)-X125)</f>
        <v>0</v>
      </c>
      <c r="Y128" s="9" t="n">
        <f aca="false">(((Y62+Y85)+Y108)-Y125)</f>
        <v>62760</v>
      </c>
      <c r="Z128" s="9" t="n">
        <f aca="false">(((Z62+Z85)+Z108)-Z125)</f>
        <v>15333.12</v>
      </c>
      <c r="AA128" s="9" t="n">
        <f aca="false">(((AA62+AA85)+AA108)-AA125)</f>
        <v>0</v>
      </c>
      <c r="AB128" s="9" t="n">
        <f aca="false">(((AB62+AB85)+AB108)-AB125)</f>
        <v>147010</v>
      </c>
      <c r="AC128" s="9" t="n">
        <f aca="false">(((AC62+AC85)+AC108)-AC125)</f>
        <v>43443.84</v>
      </c>
      <c r="AD128" s="9" t="n">
        <f aca="false">(((AD62+AD85)+AD108)-AD125)</f>
        <v>0</v>
      </c>
      <c r="AE128" s="9" t="n">
        <f aca="false">(((AE62+AE85)+AE108)-AE125)</f>
        <v>173410</v>
      </c>
      <c r="AF128" s="9" t="n">
        <f aca="false">(((AF62+AF85)+AF108)-AF125)</f>
        <v>0</v>
      </c>
      <c r="AG128" s="9" t="n">
        <f aca="false">(((AG62+AG85)+AG108)-AG125)</f>
        <v>0</v>
      </c>
      <c r="AH128" s="9" t="n">
        <f aca="false">(((AH62+AH85)+AH108)-AH125)</f>
        <v>195637.6</v>
      </c>
      <c r="AI128" s="9" t="n">
        <f aca="false">(((AI62+AI85)+AI108)-AI125)</f>
        <v>0</v>
      </c>
      <c r="AJ128" s="9" t="n">
        <f aca="false">(((AJ62+AJ85)+AJ108)-AJ125)</f>
        <v>0</v>
      </c>
      <c r="AK128" s="9" t="n">
        <f aca="false">(((AK62+AK85)+AK108)-AK125)</f>
        <v>381885.68</v>
      </c>
      <c r="AL128" s="9" t="n">
        <f aca="false">(((AL62+AL85)+AL108)-AL125)</f>
        <v>208442.46016</v>
      </c>
      <c r="AN128" s="11" t="n">
        <f aca="false">SUM(C128:N128)</f>
        <v>15840</v>
      </c>
      <c r="AO128" s="11" t="n">
        <f aca="false">SUM(O128:Z128)</f>
        <v>132423.12</v>
      </c>
      <c r="AP128" s="11" t="n">
        <f aca="false">SUM(AA128:AL128)</f>
        <v>1149829.58016</v>
      </c>
    </row>
    <row r="129" customFormat="false" ht="15" hidden="false" customHeight="false" outlineLevel="0" collapsed="false">
      <c r="A129" s="0" t="s">
        <v>935</v>
      </c>
      <c r="B129" s="0" t="s">
        <v>230</v>
      </c>
      <c r="C129" s="9" t="n">
        <f aca="false">((C63+C86)+C109)</f>
        <v>0</v>
      </c>
      <c r="D129" s="9" t="n">
        <f aca="false">((D63+D86)+D109)</f>
        <v>0</v>
      </c>
      <c r="E129" s="9" t="n">
        <f aca="false">((E63+E86)+E109)</f>
        <v>0</v>
      </c>
      <c r="F129" s="9" t="n">
        <f aca="false">((F63+F86)+F109)</f>
        <v>0</v>
      </c>
      <c r="G129" s="9" t="n">
        <f aca="false">((G63+G86)+G109)</f>
        <v>0</v>
      </c>
      <c r="H129" s="9" t="n">
        <f aca="false">((H63+H86)+H109)</f>
        <v>0</v>
      </c>
      <c r="I129" s="9" t="n">
        <f aca="false">((I63+I86)+I109)</f>
        <v>0</v>
      </c>
      <c r="J129" s="9" t="n">
        <f aca="false">((J63+J86)+J109)</f>
        <v>0</v>
      </c>
      <c r="K129" s="9" t="n">
        <f aca="false">((K63+K86)+K109)</f>
        <v>0</v>
      </c>
      <c r="L129" s="9" t="n">
        <f aca="false">((L63+L86)+L109)</f>
        <v>0</v>
      </c>
      <c r="M129" s="9" t="n">
        <f aca="false">((M63+M86)+M109)</f>
        <v>0</v>
      </c>
      <c r="N129" s="9" t="n">
        <f aca="false">((N63+N86)+N109)</f>
        <v>0</v>
      </c>
      <c r="O129" s="9" t="n">
        <f aca="false">((O63+O86)+O109)</f>
        <v>2500</v>
      </c>
      <c r="P129" s="9" t="n">
        <f aca="false">((P63+P86)+P109)</f>
        <v>2500</v>
      </c>
      <c r="Q129" s="9" t="n">
        <f aca="false">((Q63+Q86)+Q109)</f>
        <v>2500</v>
      </c>
      <c r="R129" s="9" t="n">
        <f aca="false">((R63+R86)+R109)</f>
        <v>10000</v>
      </c>
      <c r="S129" s="9" t="n">
        <f aca="false">((S63+S86)+S109)</f>
        <v>10000</v>
      </c>
      <c r="T129" s="9" t="n">
        <f aca="false">((T63+T86)+T109)</f>
        <v>10000</v>
      </c>
      <c r="U129" s="9" t="n">
        <f aca="false">((U63+U86)+U109)</f>
        <v>17500</v>
      </c>
      <c r="V129" s="9" t="n">
        <f aca="false">((V63+V86)+V109)</f>
        <v>17500</v>
      </c>
      <c r="W129" s="9" t="n">
        <f aca="false">((W63+W86)+W109)</f>
        <v>17500</v>
      </c>
      <c r="X129" s="9" t="n">
        <f aca="false">((X63+X86)+X109)</f>
        <v>20000</v>
      </c>
      <c r="Y129" s="9" t="n">
        <f aca="false">((Y63+Y86)+Y109)</f>
        <v>20000</v>
      </c>
      <c r="Z129" s="9" t="n">
        <f aca="false">((Z63+Z86)+Z109)</f>
        <v>20000</v>
      </c>
      <c r="AA129" s="9" t="n">
        <f aca="false">((AA63+AA86)+AA109)</f>
        <v>22500</v>
      </c>
      <c r="AB129" s="9" t="n">
        <f aca="false">((AB63+AB86)+AB109)</f>
        <v>22500</v>
      </c>
      <c r="AC129" s="9" t="n">
        <f aca="false">((AC63+AC86)+AC109)</f>
        <v>22500</v>
      </c>
      <c r="AD129" s="9" t="n">
        <f aca="false">((AD63+AD86)+AD109)</f>
        <v>30000</v>
      </c>
      <c r="AE129" s="9" t="n">
        <f aca="false">((AE63+AE86)+AE109)</f>
        <v>30000</v>
      </c>
      <c r="AF129" s="9" t="n">
        <f aca="false">((AF63+AF86)+AF109)</f>
        <v>40000</v>
      </c>
      <c r="AG129" s="9" t="n">
        <f aca="false">((AG63+AG86)+AG109)</f>
        <v>45000</v>
      </c>
      <c r="AH129" s="9" t="n">
        <f aca="false">((AH63+AH86)+AH109)</f>
        <v>45000</v>
      </c>
      <c r="AI129" s="9" t="n">
        <f aca="false">((AI63+AI86)+AI109)</f>
        <v>45000</v>
      </c>
      <c r="AJ129" s="9" t="n">
        <f aca="false">((AJ63+AJ86)+AJ109)</f>
        <v>47500</v>
      </c>
      <c r="AK129" s="9" t="n">
        <f aca="false">((AK63+AK86)+AK109)</f>
        <v>47500</v>
      </c>
      <c r="AL129" s="9" t="n">
        <f aca="false">((AL63+AL86)+AL109)</f>
        <v>47500</v>
      </c>
      <c r="AN129" s="11" t="n">
        <f aca="false">SUM(C129:N129)</f>
        <v>0</v>
      </c>
      <c r="AO129" s="11" t="n">
        <f aca="false">SUM(O129:Z129)</f>
        <v>150000</v>
      </c>
      <c r="AP129" s="11" t="n">
        <f aca="false">SUM(AA129:AL129)</f>
        <v>445000</v>
      </c>
    </row>
    <row r="130" customFormat="false" ht="15" hidden="false" customHeight="false" outlineLevel="0" collapsed="false">
      <c r="A130" s="0" t="s">
        <v>936</v>
      </c>
      <c r="B130" s="0" t="s">
        <v>230</v>
      </c>
      <c r="C130" s="9" t="n">
        <f aca="false">((C64+C87)+C110)</f>
        <v>0</v>
      </c>
      <c r="D130" s="9" t="n">
        <f aca="false">((D64+D87)+D110)</f>
        <v>0</v>
      </c>
      <c r="E130" s="9" t="n">
        <f aca="false">((E64+E87)+E110)</f>
        <v>0</v>
      </c>
      <c r="F130" s="9" t="n">
        <f aca="false">((F64+F87)+F110)</f>
        <v>0</v>
      </c>
      <c r="G130" s="9" t="n">
        <f aca="false">((G64+G87)+G110)</f>
        <v>0</v>
      </c>
      <c r="H130" s="9" t="n">
        <f aca="false">((H64+H87)+H110)</f>
        <v>0</v>
      </c>
      <c r="I130" s="9" t="n">
        <f aca="false">((I64+I87)+I110)</f>
        <v>0</v>
      </c>
      <c r="J130" s="9" t="n">
        <f aca="false">((J64+J87)+J110)</f>
        <v>0</v>
      </c>
      <c r="K130" s="9" t="n">
        <f aca="false">((K64+K87)+K110)</f>
        <v>0</v>
      </c>
      <c r="L130" s="9" t="n">
        <f aca="false">((L64+L87)+L110)</f>
        <v>0</v>
      </c>
      <c r="M130" s="9" t="n">
        <f aca="false">((M64+M87)+M110)</f>
        <v>0</v>
      </c>
      <c r="N130" s="9" t="n">
        <f aca="false">((N64+N87)+N110)</f>
        <v>0</v>
      </c>
      <c r="O130" s="9" t="n">
        <f aca="false">((O64+O87)+O110)</f>
        <v>15000</v>
      </c>
      <c r="P130" s="9" t="n">
        <f aca="false">((P64+P87)+P110)</f>
        <v>0</v>
      </c>
      <c r="Q130" s="9" t="n">
        <f aca="false">((Q64+Q87)+Q110)</f>
        <v>0</v>
      </c>
      <c r="R130" s="9" t="n">
        <f aca="false">((R64+R87)+R110)</f>
        <v>45000</v>
      </c>
      <c r="S130" s="9" t="n">
        <f aca="false">((S64+S87)+S110)</f>
        <v>0</v>
      </c>
      <c r="T130" s="9" t="n">
        <f aca="false">((T64+T87)+T110)</f>
        <v>0</v>
      </c>
      <c r="U130" s="9" t="n">
        <f aca="false">((U64+U87)+U110)</f>
        <v>60000</v>
      </c>
      <c r="V130" s="9" t="n">
        <f aca="false">((V64+V87)+V110)</f>
        <v>0</v>
      </c>
      <c r="W130" s="9" t="n">
        <f aca="false">((W64+W87)+W110)</f>
        <v>0</v>
      </c>
      <c r="X130" s="9" t="n">
        <f aca="false">((X64+X87)+X110)</f>
        <v>60000</v>
      </c>
      <c r="Y130" s="9" t="n">
        <f aca="false">((Y64+Y87)+Y110)</f>
        <v>0</v>
      </c>
      <c r="Z130" s="9" t="n">
        <f aca="false">((Z64+Z87)+Z110)</f>
        <v>0</v>
      </c>
      <c r="AA130" s="9" t="n">
        <f aca="false">((AA64+AA87)+AA110)</f>
        <v>75000</v>
      </c>
      <c r="AB130" s="9" t="n">
        <f aca="false">((AB64+AB87)+AB110)</f>
        <v>0</v>
      </c>
      <c r="AC130" s="9" t="n">
        <f aca="false">((AC64+AC87)+AC110)</f>
        <v>0</v>
      </c>
      <c r="AD130" s="9" t="n">
        <f aca="false">((AD64+AD87)+AD110)</f>
        <v>105000</v>
      </c>
      <c r="AE130" s="9" t="n">
        <f aca="false">((AE64+AE87)+AE110)</f>
        <v>0</v>
      </c>
      <c r="AF130" s="9" t="n">
        <f aca="false">((AF64+AF87)+AF110)</f>
        <v>60000</v>
      </c>
      <c r="AG130" s="9" t="n">
        <f aca="false">((AG64+AG87)+AG110)</f>
        <v>105000</v>
      </c>
      <c r="AH130" s="9" t="n">
        <f aca="false">((AH64+AH87)+AH110)</f>
        <v>0</v>
      </c>
      <c r="AI130" s="9" t="n">
        <f aca="false">((AI64+AI87)+AI110)</f>
        <v>0</v>
      </c>
      <c r="AJ130" s="9" t="n">
        <f aca="false">((AJ64+AJ87)+AJ110)</f>
        <v>120000</v>
      </c>
      <c r="AK130" s="9" t="n">
        <f aca="false">((AK64+AK87)+AK110)</f>
        <v>0</v>
      </c>
      <c r="AL130" s="9" t="n">
        <f aca="false">((AL64+AL87)+AL110)</f>
        <v>60000</v>
      </c>
      <c r="AN130" s="11" t="n">
        <f aca="false">SUM(C130:N130)</f>
        <v>0</v>
      </c>
      <c r="AO130" s="11" t="n">
        <f aca="false">SUM(O130:Z130)</f>
        <v>180000</v>
      </c>
      <c r="AP130" s="11" t="n">
        <f aca="false">SUM(AA130:AL130)</f>
        <v>525000</v>
      </c>
    </row>
    <row r="131" customFormat="false" ht="15" hidden="false" customHeight="false" outlineLevel="0" collapsed="false">
      <c r="A131" s="0" t="s">
        <v>937</v>
      </c>
      <c r="B131" s="0" t="s">
        <v>230</v>
      </c>
      <c r="C131" s="9" t="n">
        <f aca="false">((C66+C89)+C112)</f>
        <v>0</v>
      </c>
      <c r="D131" s="9" t="n">
        <f aca="false">((D66+D89)+D112)</f>
        <v>0</v>
      </c>
      <c r="E131" s="9" t="n">
        <f aca="false">((E66+E89)+E112)</f>
        <v>0</v>
      </c>
      <c r="F131" s="9" t="n">
        <f aca="false">((F66+F89)+F112)</f>
        <v>0</v>
      </c>
      <c r="G131" s="9" t="n">
        <f aca="false">((G66+G89)+G112)</f>
        <v>0</v>
      </c>
      <c r="H131" s="9" t="n">
        <f aca="false">((H66+H89)+H112)</f>
        <v>0</v>
      </c>
      <c r="I131" s="9" t="n">
        <f aca="false">((I66+I89)+I112)</f>
        <v>0</v>
      </c>
      <c r="J131" s="9" t="n">
        <f aca="false">((J66+J89)+J112)</f>
        <v>0</v>
      </c>
      <c r="K131" s="9" t="n">
        <f aca="false">((K66+K89)+K112)</f>
        <v>0</v>
      </c>
      <c r="L131" s="9" t="n">
        <f aca="false">((L66+L89)+L112)</f>
        <v>0</v>
      </c>
      <c r="M131" s="9" t="n">
        <f aca="false">((M66+M89)+M112)</f>
        <v>0</v>
      </c>
      <c r="N131" s="9" t="n">
        <f aca="false">((N66+N89)+N112)</f>
        <v>0</v>
      </c>
      <c r="O131" s="9" t="n">
        <f aca="false">((O66+O89)+O112)</f>
        <v>7000</v>
      </c>
      <c r="P131" s="9" t="n">
        <f aca="false">((P66+P89)+P112)</f>
        <v>7000</v>
      </c>
      <c r="Q131" s="9" t="n">
        <f aca="false">((Q66+Q89)+Q112)</f>
        <v>7000</v>
      </c>
      <c r="R131" s="9" t="n">
        <f aca="false">((R66+R89)+R112)</f>
        <v>22333.3333333333</v>
      </c>
      <c r="S131" s="9" t="n">
        <f aca="false">((S66+S89)+S112)</f>
        <v>22333.3333333333</v>
      </c>
      <c r="T131" s="9" t="n">
        <f aca="false">((T66+T89)+T112)</f>
        <v>22333.3333333333</v>
      </c>
      <c r="U131" s="9" t="n">
        <f aca="false">((U66+U89)+U112)</f>
        <v>29333.3333333333</v>
      </c>
      <c r="V131" s="9" t="n">
        <f aca="false">((V66+V89)+V112)</f>
        <v>29333.3333333333</v>
      </c>
      <c r="W131" s="9" t="n">
        <f aca="false">((W66+W89)+W112)</f>
        <v>29333.3333333333</v>
      </c>
      <c r="X131" s="9" t="n">
        <f aca="false">((X66+X89)+X112)</f>
        <v>29333.3333333333</v>
      </c>
      <c r="Y131" s="9" t="n">
        <f aca="false">((Y66+Y89)+Y112)</f>
        <v>36333.3333333333</v>
      </c>
      <c r="Z131" s="9" t="n">
        <f aca="false">((Z66+Z89)+Z112)</f>
        <v>36333.3333333333</v>
      </c>
      <c r="AA131" s="9" t="n">
        <f aca="false">((AA66+AA89)+AA112)</f>
        <v>43333.3333333333</v>
      </c>
      <c r="AB131" s="9" t="n">
        <f aca="false">((AB66+AB89)+AB112)</f>
        <v>58666.6666666667</v>
      </c>
      <c r="AC131" s="9" t="n">
        <f aca="false">((AC66+AC89)+AC112)</f>
        <v>58666.6666666667</v>
      </c>
      <c r="AD131" s="9" t="n">
        <f aca="false">((AD66+AD89)+AD112)</f>
        <v>74000</v>
      </c>
      <c r="AE131" s="9" t="n">
        <f aca="false">((AE66+AE89)+AE112)</f>
        <v>81000</v>
      </c>
      <c r="AF131" s="9" t="n">
        <f aca="false">((AF66+AF89)+AF112)</f>
        <v>116333.333333333</v>
      </c>
      <c r="AG131" s="9" t="n">
        <f aca="false">((AG66+AG89)+AG112)</f>
        <v>116333.333333333</v>
      </c>
      <c r="AH131" s="9" t="n">
        <f aca="false">((AH66+AH89)+AH112)</f>
        <v>116333.333333333</v>
      </c>
      <c r="AI131" s="9" t="n">
        <f aca="false">((AI66+AI89)+AI112)</f>
        <v>81000</v>
      </c>
      <c r="AJ131" s="9" t="n">
        <f aca="false">((AJ66+AJ89)+AJ112)</f>
        <v>88000</v>
      </c>
      <c r="AK131" s="9" t="n">
        <f aca="false">((AK66+AK89)+AK112)</f>
        <v>110333.333333333</v>
      </c>
      <c r="AL131" s="9" t="n">
        <f aca="false">((AL66+AL89)+AL112)</f>
        <v>181000</v>
      </c>
      <c r="AN131" s="11" t="n">
        <f aca="false">SUM(C131:N131)</f>
        <v>0</v>
      </c>
      <c r="AO131" s="11" t="n">
        <f aca="false">SUM(O131:Z131)</f>
        <v>278000</v>
      </c>
      <c r="AP131" s="11" t="n">
        <f aca="false">SUM(AA131:AL131)</f>
        <v>1125000</v>
      </c>
    </row>
    <row r="132" customFormat="false" ht="15" hidden="false" customHeight="false" outlineLevel="0" collapsed="false">
      <c r="A132" s="0" t="s">
        <v>938</v>
      </c>
      <c r="B132" s="0" t="s">
        <v>230</v>
      </c>
      <c r="C132" s="9" t="n">
        <f aca="false">((C67+C90)+C113)</f>
        <v>0</v>
      </c>
      <c r="D132" s="9" t="n">
        <f aca="false">((D67+D90)+D113)</f>
        <v>0</v>
      </c>
      <c r="E132" s="9" t="n">
        <f aca="false">((E67+E90)+E113)</f>
        <v>0</v>
      </c>
      <c r="F132" s="9" t="n">
        <f aca="false">((F67+F90)+F113)</f>
        <v>0</v>
      </c>
      <c r="G132" s="9" t="n">
        <f aca="false">((G67+G90)+G113)</f>
        <v>0</v>
      </c>
      <c r="H132" s="9" t="n">
        <f aca="false">((H67+H90)+H113)</f>
        <v>0</v>
      </c>
      <c r="I132" s="9" t="n">
        <f aca="false">((I67+I90)+I113)</f>
        <v>0</v>
      </c>
      <c r="J132" s="9" t="n">
        <f aca="false">((J67+J90)+J113)</f>
        <v>0</v>
      </c>
      <c r="K132" s="9" t="n">
        <f aca="false">((K67+K90)+K113)</f>
        <v>0</v>
      </c>
      <c r="L132" s="9" t="n">
        <f aca="false">((L67+L90)+L113)</f>
        <v>0</v>
      </c>
      <c r="M132" s="9" t="n">
        <f aca="false">((M67+M90)+M113)</f>
        <v>0</v>
      </c>
      <c r="N132" s="9" t="n">
        <f aca="false">((N67+N90)+N113)</f>
        <v>0</v>
      </c>
      <c r="O132" s="9" t="n">
        <f aca="false">((O67+O90)+O113)</f>
        <v>21000</v>
      </c>
      <c r="P132" s="9" t="n">
        <f aca="false">((P67+P90)+P113)</f>
        <v>0</v>
      </c>
      <c r="Q132" s="9" t="n">
        <f aca="false">((Q67+Q90)+Q113)</f>
        <v>0</v>
      </c>
      <c r="R132" s="9" t="n">
        <f aca="false">((R67+R90)+R113)</f>
        <v>67000</v>
      </c>
      <c r="S132" s="9" t="n">
        <f aca="false">((S67+S90)+S113)</f>
        <v>0</v>
      </c>
      <c r="T132" s="9" t="n">
        <f aca="false">((T67+T90)+T113)</f>
        <v>0</v>
      </c>
      <c r="U132" s="9" t="n">
        <f aca="false">((U67+U90)+U113)</f>
        <v>88000</v>
      </c>
      <c r="V132" s="9" t="n">
        <f aca="false">((V67+V90)+V113)</f>
        <v>0</v>
      </c>
      <c r="W132" s="9" t="n">
        <f aca="false">((W67+W90)+W113)</f>
        <v>0</v>
      </c>
      <c r="X132" s="9" t="n">
        <f aca="false">((X67+X90)+X113)</f>
        <v>88000</v>
      </c>
      <c r="Y132" s="9" t="n">
        <f aca="false">((Y67+Y90)+Y113)</f>
        <v>21000</v>
      </c>
      <c r="Z132" s="9" t="n">
        <f aca="false">((Z67+Z90)+Z113)</f>
        <v>0</v>
      </c>
      <c r="AA132" s="9" t="n">
        <f aca="false">((AA67+AA90)+AA113)</f>
        <v>109000</v>
      </c>
      <c r="AB132" s="9" t="n">
        <f aca="false">((AB67+AB90)+AB113)</f>
        <v>67000</v>
      </c>
      <c r="AC132" s="9" t="n">
        <f aca="false">((AC67+AC90)+AC113)</f>
        <v>0</v>
      </c>
      <c r="AD132" s="9" t="n">
        <f aca="false">((AD67+AD90)+AD113)</f>
        <v>155000</v>
      </c>
      <c r="AE132" s="9" t="n">
        <f aca="false">((AE67+AE90)+AE113)</f>
        <v>88000</v>
      </c>
      <c r="AF132" s="9" t="n">
        <f aca="false">((AF67+AF90)+AF113)</f>
        <v>106000</v>
      </c>
      <c r="AG132" s="9" t="n">
        <f aca="false">((AG67+AG90)+AG113)</f>
        <v>155000</v>
      </c>
      <c r="AH132" s="9" t="n">
        <f aca="false">((AH67+AH90)+AH113)</f>
        <v>88000</v>
      </c>
      <c r="AI132" s="9" t="n">
        <f aca="false">((AI67+AI90)+AI113)</f>
        <v>0</v>
      </c>
      <c r="AJ132" s="9" t="n">
        <f aca="false">((AJ67+AJ90)+AJ113)</f>
        <v>176000</v>
      </c>
      <c r="AK132" s="9" t="n">
        <f aca="false">((AK67+AK90)+AK113)</f>
        <v>155000</v>
      </c>
      <c r="AL132" s="9" t="n">
        <f aca="false">((AL67+AL90)+AL113)</f>
        <v>212000</v>
      </c>
      <c r="AN132" s="11" t="n">
        <f aca="false">SUM(C132:N132)</f>
        <v>0</v>
      </c>
      <c r="AO132" s="11" t="n">
        <f aca="false">SUM(O132:Z132)</f>
        <v>285000</v>
      </c>
      <c r="AP132" s="11" t="n">
        <f aca="false">SUM(AA132:AL132)</f>
        <v>1311000</v>
      </c>
    </row>
    <row r="133" customFormat="false" ht="15" hidden="false" customHeight="false" outlineLevel="0" collapsed="false">
      <c r="A133" s="0" t="s">
        <v>939</v>
      </c>
      <c r="B133" s="0" t="s">
        <v>285</v>
      </c>
      <c r="C133" s="9" t="n">
        <f aca="false">((C68+C91)+C114)</f>
        <v>0</v>
      </c>
      <c r="D133" s="9" t="n">
        <f aca="false">((D68+D91)+D114)</f>
        <v>0</v>
      </c>
      <c r="E133" s="9" t="n">
        <f aca="false">((E68+E91)+E114)</f>
        <v>0</v>
      </c>
      <c r="F133" s="9" t="n">
        <f aca="false">((F68+F91)+F114)</f>
        <v>0</v>
      </c>
      <c r="G133" s="9" t="n">
        <f aca="false">((G68+G91)+G114)</f>
        <v>115</v>
      </c>
      <c r="H133" s="9" t="n">
        <f aca="false">((H68+H91)+H114)</f>
        <v>0</v>
      </c>
      <c r="I133" s="9" t="n">
        <f aca="false">((I68+I91)+I114)</f>
        <v>0</v>
      </c>
      <c r="J133" s="9" t="n">
        <f aca="false">((J68+J91)+J114)</f>
        <v>330</v>
      </c>
      <c r="K133" s="9" t="n">
        <f aca="false">((K68+K91)+K114)</f>
        <v>0</v>
      </c>
      <c r="L133" s="9" t="n">
        <f aca="false">((L68+L91)+L114)</f>
        <v>0</v>
      </c>
      <c r="M133" s="9" t="n">
        <f aca="false">((M68+M91)+M114)</f>
        <v>0</v>
      </c>
      <c r="N133" s="9" t="n">
        <f aca="false">((N68+N91)+N114)</f>
        <v>0</v>
      </c>
      <c r="O133" s="9" t="n">
        <f aca="false">((O68+O91)+O114)</f>
        <v>159</v>
      </c>
      <c r="P133" s="9" t="n">
        <f aca="false">((P68+P91)+P114)</f>
        <v>0</v>
      </c>
      <c r="Q133" s="9" t="n">
        <f aca="false">((Q68+Q91)+Q114)</f>
        <v>0</v>
      </c>
      <c r="R133" s="9" t="n">
        <f aca="false">((R68+R91)+R114)</f>
        <v>533</v>
      </c>
      <c r="S133" s="9" t="n">
        <f aca="false">((S68+S91)+S114)</f>
        <v>0</v>
      </c>
      <c r="T133" s="9" t="n">
        <f aca="false">((T68+T91)+T114)</f>
        <v>0</v>
      </c>
      <c r="U133" s="9" t="n">
        <f aca="false">((U68+U91)+U114)</f>
        <v>692</v>
      </c>
      <c r="V133" s="9" t="n">
        <f aca="false">((V68+V91)+V114)</f>
        <v>0</v>
      </c>
      <c r="W133" s="9" t="n">
        <f aca="false">((W68+W91)+W114)</f>
        <v>0</v>
      </c>
      <c r="X133" s="9" t="n">
        <f aca="false">((X68+X91)+X114)</f>
        <v>692</v>
      </c>
      <c r="Y133" s="9" t="n">
        <f aca="false">((Y68+Y91)+Y114)</f>
        <v>159</v>
      </c>
      <c r="Z133" s="9" t="n">
        <f aca="false">((Z68+Z91)+Z114)</f>
        <v>0</v>
      </c>
      <c r="AA133" s="9" t="n">
        <f aca="false">((AA68+AA91)+AA114)</f>
        <v>851</v>
      </c>
      <c r="AB133" s="9" t="n">
        <f aca="false">((AB68+AB91)+AB114)</f>
        <v>533</v>
      </c>
      <c r="AC133" s="9" t="n">
        <f aca="false">((AC68+AC91)+AC114)</f>
        <v>0</v>
      </c>
      <c r="AD133" s="9" t="n">
        <f aca="false">((AD68+AD91)+AD114)</f>
        <v>1225</v>
      </c>
      <c r="AE133" s="9" t="n">
        <f aca="false">((AE68+AE91)+AE114)</f>
        <v>692</v>
      </c>
      <c r="AF133" s="9" t="n">
        <f aca="false">((AF68+AF91)+AF114)</f>
        <v>844</v>
      </c>
      <c r="AG133" s="9" t="n">
        <f aca="false">((AG68+AG91)+AG114)</f>
        <v>1225</v>
      </c>
      <c r="AH133" s="9" t="n">
        <f aca="false">((AH68+AH91)+AH114)</f>
        <v>692</v>
      </c>
      <c r="AI133" s="9" t="n">
        <f aca="false">((AI68+AI91)+AI114)</f>
        <v>0</v>
      </c>
      <c r="AJ133" s="9" t="n">
        <f aca="false">((AJ68+AJ91)+AJ114)</f>
        <v>1384</v>
      </c>
      <c r="AK133" s="9" t="n">
        <f aca="false">((AK68+AK91)+AK114)</f>
        <v>1225</v>
      </c>
      <c r="AL133" s="9" t="n">
        <f aca="false">((AL68+AL91)+AL114)</f>
        <v>1688</v>
      </c>
      <c r="AN133" s="11" t="n">
        <f aca="false">SUM(C133:N133)</f>
        <v>445</v>
      </c>
      <c r="AO133" s="11" t="n">
        <f aca="false">SUM(O133:Z133)</f>
        <v>2235</v>
      </c>
      <c r="AP133" s="11" t="n">
        <f aca="false">SUM(AA133:AL133)</f>
        <v>10359</v>
      </c>
    </row>
    <row r="134" customFormat="false" ht="15" hidden="false" customHeight="false" outlineLevel="0" collapsed="false">
      <c r="A134" s="0" t="s">
        <v>940</v>
      </c>
      <c r="B134" s="0" t="s">
        <v>230</v>
      </c>
      <c r="C134" s="9" t="n">
        <f aca="false">((((C130+C132)+(C55*C58))+(C78*C81))+(C101*C104))</f>
        <v>0</v>
      </c>
      <c r="D134" s="9" t="n">
        <f aca="false">((((D130+D132)+(D55*D58))+(D78*D81))+(D101*D104))</f>
        <v>0</v>
      </c>
      <c r="E134" s="9" t="n">
        <f aca="false">((((E130+E132)+(E55*E58))+(E78*E81))+(E101*E104))</f>
        <v>0</v>
      </c>
      <c r="F134" s="9" t="n">
        <f aca="false">((((F130+F132)+(F55*F58))+(F78*F81))+(F101*F104))</f>
        <v>0</v>
      </c>
      <c r="G134" s="9" t="n">
        <f aca="false">((((G130+G132)+(G55*G58))+(G78*G81))+(G101*G104))</f>
        <v>0</v>
      </c>
      <c r="H134" s="9" t="n">
        <f aca="false">((((H130+H132)+(H55*H58))+(H78*H81))+(H101*H104))</f>
        <v>0</v>
      </c>
      <c r="I134" s="9" t="n">
        <f aca="false">((((I130+I132)+(I55*I58))+(I78*I81))+(I101*I104))</f>
        <v>0</v>
      </c>
      <c r="J134" s="9" t="n">
        <f aca="false">((((J130+J132)+(J55*J58))+(J78*J81))+(J101*J104))</f>
        <v>0</v>
      </c>
      <c r="K134" s="9" t="n">
        <f aca="false">((((K130+K132)+(K55*K58))+(K78*K81))+(K101*K104))</f>
        <v>0</v>
      </c>
      <c r="L134" s="9" t="n">
        <f aca="false">((((L130+L132)+(L55*L58))+(L78*L81))+(L101*L104))</f>
        <v>0</v>
      </c>
      <c r="M134" s="9" t="n">
        <f aca="false">((((M130+M132)+(M55*M58))+(M78*M81))+(M101*M104))</f>
        <v>0</v>
      </c>
      <c r="N134" s="9" t="n">
        <f aca="false">((((N130+N132)+(N55*N58))+(N78*N81))+(N101*N104))</f>
        <v>15840</v>
      </c>
      <c r="O134" s="9" t="n">
        <f aca="false">((((O130+O132)+(O55*O58))+(O78*O81))+(O101*O104))</f>
        <v>36000</v>
      </c>
      <c r="P134" s="9" t="n">
        <f aca="false">((((P130+P132)+(P55*P58))+(P78*P81))+(P101*P104))</f>
        <v>0</v>
      </c>
      <c r="Q134" s="9" t="n">
        <f aca="false">((((Q130+Q132)+(Q55*Q58))+(Q78*Q81))+(Q101*Q104))</f>
        <v>44880</v>
      </c>
      <c r="R134" s="9" t="n">
        <f aca="false">((((R130+R132)+(R55*R58))+(R78*R81))+(R101*R104))</f>
        <v>112000</v>
      </c>
      <c r="S134" s="9" t="n">
        <f aca="false">((((S130+S132)+(S55*S58))+(S78*S81))+(S101*S104))</f>
        <v>0</v>
      </c>
      <c r="T134" s="9" t="n">
        <f aca="false">((((T130+T132)+(T55*T58))+(T78*T81))+(T101*T104))</f>
        <v>0</v>
      </c>
      <c r="U134" s="9" t="n">
        <f aca="false">((((U130+U132)+(U55*U58))+(U78*U81))+(U101*U104))</f>
        <v>148000</v>
      </c>
      <c r="V134" s="9" t="n">
        <f aca="false">((((V130+V132)+(V55*V58))+(V78*V81))+(V101*V104))</f>
        <v>13200</v>
      </c>
      <c r="W134" s="9" t="n">
        <f aca="false">((((W130+W132)+(W55*W58))+(W78*W81))+(W101*W104))</f>
        <v>0</v>
      </c>
      <c r="X134" s="9" t="n">
        <f aca="false">((((X130+X132)+(X55*X58))+(X78*X81))+(X101*X104))</f>
        <v>148000</v>
      </c>
      <c r="Y134" s="9" t="n">
        <f aca="false">((((Y130+Y132)+(Y55*Y58))+(Y78*Y81))+(Y101*Y104))</f>
        <v>94260</v>
      </c>
      <c r="Z134" s="9" t="n">
        <f aca="false">((((Z130+Z132)+(Z55*Z58))+(Z78*Z81))+(Z101*Z104))</f>
        <v>0</v>
      </c>
      <c r="AA134" s="9" t="n">
        <f aca="false">((((AA130+AA132)+(AA55*AA58))+(AA78*AA81))+(AA101*AA104))</f>
        <v>184000</v>
      </c>
      <c r="AB134" s="9" t="n">
        <f aca="false">((((AB130+AB132)+(AB55*AB58))+(AB78*AB81))+(AB101*AB104))</f>
        <v>228260</v>
      </c>
      <c r="AC134" s="9" t="n">
        <f aca="false">((((AC130+AC132)+(AC55*AC58))+(AC78*AC81))+(AC101*AC104))</f>
        <v>0</v>
      </c>
      <c r="AD134" s="9" t="n">
        <f aca="false">((((AD130+AD132)+(AD55*AD58))+(AD78*AD81))+(AD101*AD104))</f>
        <v>260000</v>
      </c>
      <c r="AE134" s="9" t="n">
        <f aca="false">((((AE130+AE132)+(AE55*AE58))+(AE78*AE81))+(AE101*AE104))</f>
        <v>275660</v>
      </c>
      <c r="AF134" s="9" t="n">
        <f aca="false">((((AF130+AF132)+(AF55*AF58))+(AF78*AF81))+(AF101*AF104))</f>
        <v>166000</v>
      </c>
      <c r="AG134" s="9" t="n">
        <f aca="false">((((AG130+AG132)+(AG55*AG58))+(AG78*AG81))+(AG101*AG104))</f>
        <v>260000</v>
      </c>
      <c r="AH134" s="9" t="n">
        <f aca="false">((((AH130+AH132)+(AH55*AH58))+(AH78*AH81))+(AH101*AH104))</f>
        <v>288860</v>
      </c>
      <c r="AI134" s="9" t="n">
        <f aca="false">((((AI130+AI132)+(AI55*AI58))+(AI78*AI81))+(AI101*AI104))</f>
        <v>0</v>
      </c>
      <c r="AJ134" s="9" t="n">
        <f aca="false">((((AJ130+AJ132)+(AJ55*AJ58))+(AJ78*AJ81))+(AJ101*AJ104))</f>
        <v>296000</v>
      </c>
      <c r="AK134" s="9" t="n">
        <f aca="false">((((AK130+AK132)+(AK55*AK58))+(AK78*AK81))+(AK101*AK104))</f>
        <v>490720</v>
      </c>
      <c r="AL134" s="9" t="n">
        <f aca="false">((((AL130+AL132)+(AL55*AL58))+(AL78*AL81))+(AL101*AL104))</f>
        <v>465600</v>
      </c>
      <c r="AN134" s="11" t="n">
        <f aca="false">SUM(C134:N134)</f>
        <v>15840</v>
      </c>
      <c r="AO134" s="11" t="n">
        <f aca="false">SUM(O134:Z134)</f>
        <v>596340</v>
      </c>
      <c r="AP134" s="11" t="n">
        <f aca="false">SUM(AA134:AL134)</f>
        <v>2915100</v>
      </c>
    </row>
    <row r="135" customFormat="false" ht="15" hidden="false" customHeight="false" outlineLevel="0" collapsed="false">
      <c r="A135" s="21" t="s">
        <v>941</v>
      </c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</row>
    <row r="136" customFormat="false" ht="15" hidden="false" customHeight="false" outlineLevel="0" collapsed="false">
      <c r="A136" s="0" t="s">
        <v>942</v>
      </c>
      <c r="B136" s="0" t="s">
        <v>230</v>
      </c>
      <c r="C136" s="9" t="n">
        <f aca="false">IF((C$18&gt;=Assumptions!$C$41),(((Assumptions!$C$42*$C$10)/12)*(((C57*Assumptions!$C$128)+(C80*Assumptions!$D$128))+(C103*Assumptions!$E$128))),0)</f>
        <v>0</v>
      </c>
      <c r="D136" s="9" t="n">
        <f aca="false">IF((D$18&gt;=Assumptions!$C$41),(((Assumptions!$C$42*$C$10)/12)*(((D57*Assumptions!$C$128)+(D80*Assumptions!$D$128))+(D103*Assumptions!$E$128))),0)</f>
        <v>0</v>
      </c>
      <c r="E136" s="9" t="n">
        <f aca="false">IF((E$18&gt;=Assumptions!$C$41),(((Assumptions!$C$42*$C$10)/12)*(((E57*Assumptions!$C$128)+(E80*Assumptions!$D$128))+(E103*Assumptions!$E$128))),0)</f>
        <v>0</v>
      </c>
      <c r="F136" s="9" t="n">
        <f aca="false">IF((F$18&gt;=Assumptions!$C$41),(((Assumptions!$C$42*$C$10)/12)*(((F57*Assumptions!$C$128)+(F80*Assumptions!$D$128))+(F103*Assumptions!$E$128))),0)</f>
        <v>0</v>
      </c>
      <c r="G136" s="9" t="n">
        <f aca="false">IF((G$18&gt;=Assumptions!$C$41),(((Assumptions!$C$42*$C$10)/12)*(((G57*Assumptions!$C$128)+(G80*Assumptions!$D$128))+(G103*Assumptions!$E$128))),0)</f>
        <v>0</v>
      </c>
      <c r="H136" s="9" t="n">
        <f aca="false">IF((H$18&gt;=Assumptions!$C$41),(((Assumptions!$C$42*$C$10)/12)*(((H57*Assumptions!$C$128)+(H80*Assumptions!$D$128))+(H103*Assumptions!$E$128))),0)</f>
        <v>0</v>
      </c>
      <c r="I136" s="9" t="n">
        <f aca="false">IF((I$18&gt;=Assumptions!$C$41),(((Assumptions!$C$42*$C$10)/12)*(((I57*Assumptions!$C$128)+(I80*Assumptions!$D$128))+(I103*Assumptions!$E$128))),0)</f>
        <v>0</v>
      </c>
      <c r="J136" s="9" t="n">
        <f aca="false">IF((J$18&gt;=Assumptions!$C$41),(((Assumptions!$C$42*$C$10)/12)*(((J57*Assumptions!$C$128)+(J80*Assumptions!$D$128))+(J103*Assumptions!$E$128))),0)</f>
        <v>0</v>
      </c>
      <c r="K136" s="9" t="n">
        <f aca="false">IF((K$18&gt;=Assumptions!$C$41),(((Assumptions!$C$42*$C$10)/12)*(((K57*Assumptions!$C$128)+(K80*Assumptions!$D$128))+(K103*Assumptions!$E$128))),0)</f>
        <v>0</v>
      </c>
      <c r="L136" s="9" t="n">
        <f aca="false">IF((L$18&gt;=Assumptions!$C$41),(((Assumptions!$C$42*$C$10)/12)*(((L57*Assumptions!$C$128)+(L80*Assumptions!$D$128))+(L103*Assumptions!$E$128))),0)</f>
        <v>0</v>
      </c>
      <c r="M136" s="9" t="n">
        <f aca="false">IF((M$18&gt;=Assumptions!$C$41),(((Assumptions!$C$42*$C$10)/12)*(((M57*Assumptions!$C$128)+(M80*Assumptions!$D$128))+(M103*Assumptions!$E$128))),0)</f>
        <v>0</v>
      </c>
      <c r="N136" s="9" t="n">
        <f aca="false">IF((N$18&gt;=Assumptions!$C$41),(((Assumptions!$C$42*$C$10)/12)*(((N57*Assumptions!$C$128)+(N80*Assumptions!$D$128))+(N103*Assumptions!$E$128))),0)</f>
        <v>0</v>
      </c>
      <c r="O136" s="9" t="n">
        <f aca="false">IF((O$18&gt;=Assumptions!$C$41),(((Assumptions!$C$42*$C$10)/12)*(((O57*Assumptions!$C$128)+(O80*Assumptions!$D$128))+(O103*Assumptions!$E$128))),0)</f>
        <v>0</v>
      </c>
      <c r="P136" s="9" t="n">
        <f aca="false">IF((P$18&gt;=Assumptions!$C$41),(((Assumptions!$C$42*$C$10)/12)*(((P57*Assumptions!$C$128)+(P80*Assumptions!$D$128))+(P103*Assumptions!$E$128))),0)</f>
        <v>0</v>
      </c>
      <c r="Q136" s="9" t="n">
        <f aca="false">IF((Q$18&gt;=Assumptions!$C$41),(((Assumptions!$C$42*$C$10)/12)*(((Q57*Assumptions!$C$128)+(Q80*Assumptions!$D$128))+(Q103*Assumptions!$E$128))),0)</f>
        <v>0</v>
      </c>
      <c r="R136" s="9" t="n">
        <f aca="false">IF((R$18&gt;=Assumptions!$C$41),(((Assumptions!$C$42*$C$10)/12)*(((R57*Assumptions!$C$128)+(R80*Assumptions!$D$128))+(R103*Assumptions!$E$128))),0)</f>
        <v>0</v>
      </c>
      <c r="S136" s="9" t="n">
        <f aca="false">IF((S$18&gt;=Assumptions!$C$41),(((Assumptions!$C$42*$C$10)/12)*(((S57*Assumptions!$C$128)+(S80*Assumptions!$D$128))+(S103*Assumptions!$E$128))),0)</f>
        <v>0</v>
      </c>
      <c r="T136" s="9" t="n">
        <f aca="false">IF((T$18&gt;=Assumptions!$C$41),(((Assumptions!$C$42*$C$10)/12)*(((T57*Assumptions!$C$128)+(T80*Assumptions!$D$128))+(T103*Assumptions!$E$128))),0)</f>
        <v>0</v>
      </c>
      <c r="U136" s="9" t="n">
        <f aca="false">IF((U$18&gt;=Assumptions!$C$41),(((Assumptions!$C$42*$C$10)/12)*(((U57*Assumptions!$C$128)+(U80*Assumptions!$D$128))+(U103*Assumptions!$E$128))),0)</f>
        <v>0</v>
      </c>
      <c r="V136" s="9" t="n">
        <f aca="false">IF((V$18&gt;=Assumptions!$C$41),(((Assumptions!$C$42*$C$10)/12)*(((V57*Assumptions!$C$128)+(V80*Assumptions!$D$128))+(V103*Assumptions!$E$128))),0)</f>
        <v>580</v>
      </c>
      <c r="W136" s="9" t="n">
        <f aca="false">IF((W$18&gt;=Assumptions!$C$41),(((Assumptions!$C$42*$C$10)/12)*(((W57*Assumptions!$C$128)+(W80*Assumptions!$D$128))+(W103*Assumptions!$E$128))),0)</f>
        <v>580</v>
      </c>
      <c r="X136" s="9" t="n">
        <f aca="false">IF((X$18&gt;=Assumptions!$C$41),(((Assumptions!$C$42*$C$10)/12)*(((X57*Assumptions!$C$128)+(X80*Assumptions!$D$128))+(X103*Assumptions!$E$128))),0)</f>
        <v>580</v>
      </c>
      <c r="Y136" s="9" t="n">
        <f aca="false">IF((Y$18&gt;=Assumptions!$C$41),(((Assumptions!$C$42*$C$10)/12)*(((Y57*Assumptions!$C$128)+(Y80*Assumptions!$D$128))+(Y103*Assumptions!$E$128))),0)</f>
        <v>1150</v>
      </c>
      <c r="Z136" s="9" t="n">
        <f aca="false">IF((Z$18&gt;=Assumptions!$C$41),(((Assumptions!$C$42*$C$10)/12)*(((Z57*Assumptions!$C$128)+(Z80*Assumptions!$D$128))+(Z103*Assumptions!$E$128))),0)</f>
        <v>1135.6</v>
      </c>
      <c r="AA136" s="9" t="n">
        <f aca="false">IF((AA$18&gt;=Assumptions!$C$41),(((Assumptions!$C$42*$C$10)/12)*(((AA57*Assumptions!$C$128)+(AA80*Assumptions!$D$128))+(AA103*Assumptions!$E$128))),0)</f>
        <v>1135.6</v>
      </c>
      <c r="AB136" s="9" t="n">
        <f aca="false">IF((AB$18&gt;=Assumptions!$C$41),(((Assumptions!$C$42*$C$10)/12)*(((AB57*Assumptions!$C$128)+(AB80*Assumptions!$D$128))+(AB103*Assumptions!$E$128))),0)</f>
        <v>2405.6</v>
      </c>
      <c r="AC136" s="9" t="n">
        <f aca="false">IF((AC$18&gt;=Assumptions!$C$41),(((Assumptions!$C$42*$C$10)/12)*(((AC57*Assumptions!$C$128)+(AC80*Assumptions!$D$128))+(AC103*Assumptions!$E$128))),0)</f>
        <v>2362.4</v>
      </c>
      <c r="AD136" s="9" t="n">
        <f aca="false">IF((AD$18&gt;=Assumptions!$C$41),(((Assumptions!$C$42*$C$10)/12)*(((AD57*Assumptions!$C$128)+(AD80*Assumptions!$D$128))+(AD103*Assumptions!$E$128))),0)</f>
        <v>2362.4</v>
      </c>
      <c r="AE136" s="9" t="n">
        <f aca="false">IF((AE$18&gt;=Assumptions!$C$41),(((Assumptions!$C$42*$C$10)/12)*(((AE57*Assumptions!$C$128)+(AE80*Assumptions!$D$128))+(AE103*Assumptions!$E$128))),0)</f>
        <v>3832.4</v>
      </c>
      <c r="AF136" s="9" t="n">
        <f aca="false">IF((AF$18&gt;=Assumptions!$C$41),(((Assumptions!$C$42*$C$10)/12)*(((AF57*Assumptions!$C$128)+(AF80*Assumptions!$D$128))+(AF103*Assumptions!$E$128))),0)</f>
        <v>3832.4</v>
      </c>
      <c r="AG136" s="9" t="n">
        <f aca="false">IF((AG$18&gt;=Assumptions!$C$41),(((Assumptions!$C$42*$C$10)/12)*(((AG57*Assumptions!$C$128)+(AG80*Assumptions!$D$128))+(AG103*Assumptions!$E$128))),0)</f>
        <v>3832.4</v>
      </c>
      <c r="AH136" s="9" t="n">
        <f aca="false">IF((AH$18&gt;=Assumptions!$C$41),(((Assumptions!$C$42*$C$10)/12)*(((AH57*Assumptions!$C$128)+(AH80*Assumptions!$D$128))+(AH103*Assumptions!$E$128))),0)</f>
        <v>5390.4</v>
      </c>
      <c r="AI136" s="9" t="n">
        <f aca="false">IF((AI$18&gt;=Assumptions!$C$41),(((Assumptions!$C$42*$C$10)/12)*(((AI57*Assumptions!$C$128)+(AI80*Assumptions!$D$128))+(AI103*Assumptions!$E$128))),0)</f>
        <v>5390.4</v>
      </c>
      <c r="AJ136" s="9" t="n">
        <f aca="false">IF((AJ$18&gt;=Assumptions!$C$41),(((Assumptions!$C$42*$C$10)/12)*(((AJ57*Assumptions!$C$128)+(AJ80*Assumptions!$D$128))+(AJ103*Assumptions!$E$128))),0)</f>
        <v>5390.4</v>
      </c>
      <c r="AK136" s="9" t="n">
        <f aca="false">IF((AK$18&gt;=Assumptions!$C$41),(((Assumptions!$C$42*$C$10)/12)*(((AK57*Assumptions!$C$128)+(AK80*Assumptions!$D$128))+(AK103*Assumptions!$E$128))),0)</f>
        <v>7962</v>
      </c>
      <c r="AL136" s="9" t="n">
        <f aca="false">IF((AL$18&gt;=Assumptions!$C$41),(((Assumptions!$C$42*$C$10)/12)*(((AL57*Assumptions!$C$128)+(AL80*Assumptions!$D$128))+(AL103*Assumptions!$E$128))),0)</f>
        <v>9449.328</v>
      </c>
      <c r="AN136" s="11" t="n">
        <f aca="false">SUM(C136:N136)</f>
        <v>0</v>
      </c>
      <c r="AO136" s="11" t="n">
        <f aca="false">SUM(O136:Z136)</f>
        <v>4025.6</v>
      </c>
      <c r="AP136" s="11" t="n">
        <f aca="false">SUM(AA136:AL136)</f>
        <v>53345.728</v>
      </c>
    </row>
    <row r="137" customFormat="false" ht="15" hidden="false" customHeight="false" outlineLevel="0" collapsed="false">
      <c r="A137" s="0" t="s">
        <v>943</v>
      </c>
      <c r="B137" s="0" t="s">
        <v>230</v>
      </c>
      <c r="C137" s="9" t="n">
        <f aca="false">IF((C$18&gt;=Assumptions!$C$43),(((Assumptions!$C$44*$C$10)/12)*((C80*12000)+(C103*25000))),0)</f>
        <v>0</v>
      </c>
      <c r="D137" s="9" t="n">
        <f aca="false">IF((D$18&gt;=Assumptions!$C$43),(((Assumptions!$C$44*$C$10)/12)*((D80*12000)+(D103*25000))),0)</f>
        <v>0</v>
      </c>
      <c r="E137" s="9" t="n">
        <f aca="false">IF((E$18&gt;=Assumptions!$C$43),(((Assumptions!$C$44*$C$10)/12)*((E80*12000)+(E103*25000))),0)</f>
        <v>0</v>
      </c>
      <c r="F137" s="9" t="n">
        <f aca="false">IF((F$18&gt;=Assumptions!$C$43),(((Assumptions!$C$44*$C$10)/12)*((F80*12000)+(F103*25000))),0)</f>
        <v>0</v>
      </c>
      <c r="G137" s="9" t="n">
        <f aca="false">IF((G$18&gt;=Assumptions!$C$43),(((Assumptions!$C$44*$C$10)/12)*((G80*12000)+(G103*25000))),0)</f>
        <v>0</v>
      </c>
      <c r="H137" s="9" t="n">
        <f aca="false">IF((H$18&gt;=Assumptions!$C$43),(((Assumptions!$C$44*$C$10)/12)*((H80*12000)+(H103*25000))),0)</f>
        <v>0</v>
      </c>
      <c r="I137" s="9" t="n">
        <f aca="false">IF((I$18&gt;=Assumptions!$C$43),(((Assumptions!$C$44*$C$10)/12)*((I80*12000)+(I103*25000))),0)</f>
        <v>0</v>
      </c>
      <c r="J137" s="9" t="n">
        <f aca="false">IF((J$18&gt;=Assumptions!$C$43),(((Assumptions!$C$44*$C$10)/12)*((J80*12000)+(J103*25000))),0)</f>
        <v>0</v>
      </c>
      <c r="K137" s="9" t="n">
        <f aca="false">IF((K$18&gt;=Assumptions!$C$43),(((Assumptions!$C$44*$C$10)/12)*((K80*12000)+(K103*25000))),0)</f>
        <v>0</v>
      </c>
      <c r="L137" s="9" t="n">
        <f aca="false">IF((L$18&gt;=Assumptions!$C$43),(((Assumptions!$C$44*$C$10)/12)*((L80*12000)+(L103*25000))),0)</f>
        <v>0</v>
      </c>
      <c r="M137" s="9" t="n">
        <f aca="false">IF((M$18&gt;=Assumptions!$C$43),(((Assumptions!$C$44*$C$10)/12)*((M80*12000)+(M103*25000))),0)</f>
        <v>0</v>
      </c>
      <c r="N137" s="9" t="n">
        <f aca="false">IF((N$18&gt;=Assumptions!$C$43),(((Assumptions!$C$44*$C$10)/12)*((N80*12000)+(N103*25000))),0)</f>
        <v>0</v>
      </c>
      <c r="O137" s="9" t="n">
        <f aca="false">IF((O$18&gt;=Assumptions!$C$43),(((Assumptions!$C$44*$C$10)/12)*((O80*12000)+(O103*25000))),0)</f>
        <v>0</v>
      </c>
      <c r="P137" s="9" t="n">
        <f aca="false">IF((P$18&gt;=Assumptions!$C$43),(((Assumptions!$C$44*$C$10)/12)*((P80*12000)+(P103*25000))),0)</f>
        <v>0</v>
      </c>
      <c r="Q137" s="9" t="n">
        <f aca="false">IF((Q$18&gt;=Assumptions!$C$43),(((Assumptions!$C$44*$C$10)/12)*((Q80*12000)+(Q103*25000))),0)</f>
        <v>0</v>
      </c>
      <c r="R137" s="9" t="n">
        <f aca="false">IF((R$18&gt;=Assumptions!$C$43),(((Assumptions!$C$44*$C$10)/12)*((R80*12000)+(R103*25000))),0)</f>
        <v>0</v>
      </c>
      <c r="S137" s="9" t="n">
        <f aca="false">IF((S$18&gt;=Assumptions!$C$43),(((Assumptions!$C$44*$C$10)/12)*((S80*12000)+(S103*25000))),0)</f>
        <v>0</v>
      </c>
      <c r="T137" s="9" t="n">
        <f aca="false">IF((T$18&gt;=Assumptions!$C$43),(((Assumptions!$C$44*$C$10)/12)*((T80*12000)+(T103*25000))),0)</f>
        <v>0</v>
      </c>
      <c r="U137" s="9" t="n">
        <f aca="false">IF((U$18&gt;=Assumptions!$C$43),(((Assumptions!$C$44*$C$10)/12)*((U80*12000)+(U103*25000))),0)</f>
        <v>0</v>
      </c>
      <c r="V137" s="9" t="n">
        <f aca="false">IF((V$18&gt;=Assumptions!$C$43),(((Assumptions!$C$44*$C$10)/12)*((V80*12000)+(V103*25000))),0)</f>
        <v>0</v>
      </c>
      <c r="W137" s="9" t="n">
        <f aca="false">IF((W$18&gt;=Assumptions!$C$43),(((Assumptions!$C$44*$C$10)/12)*((W80*12000)+(W103*25000))),0)</f>
        <v>0</v>
      </c>
      <c r="X137" s="9" t="n">
        <f aca="false">IF((X$18&gt;=Assumptions!$C$43),(((Assumptions!$C$44*$C$10)/12)*((X80*12000)+(X103*25000))),0)</f>
        <v>0</v>
      </c>
      <c r="Y137" s="9" t="n">
        <f aca="false">IF((Y$18&gt;=Assumptions!$C$43),(((Assumptions!$C$44*$C$10)/12)*((Y80*12000)+(Y103*25000))),0)</f>
        <v>0</v>
      </c>
      <c r="Z137" s="9" t="n">
        <f aca="false">IF((Z$18&gt;=Assumptions!$C$43),(((Assumptions!$C$44*$C$10)/12)*((Z80*12000)+(Z103*25000))),0)</f>
        <v>0</v>
      </c>
      <c r="AA137" s="9" t="n">
        <f aca="false">IF((AA$18&gt;=Assumptions!$C$43),(((Assumptions!$C$44*$C$10)/12)*((AA80*12000)+(AA103*25000))),0)</f>
        <v>0</v>
      </c>
      <c r="AB137" s="9" t="n">
        <f aca="false">IF((AB$18&gt;=Assumptions!$C$43),(((Assumptions!$C$44*$C$10)/12)*((AB80*12000)+(AB103*25000))),0)</f>
        <v>0</v>
      </c>
      <c r="AC137" s="9" t="n">
        <f aca="false">IF((AC$18&gt;=Assumptions!$C$43),(((Assumptions!$C$44*$C$10)/12)*((AC80*12000)+(AC103*25000))),0)</f>
        <v>0</v>
      </c>
      <c r="AD137" s="9" t="n">
        <f aca="false">IF((AD$18&gt;=Assumptions!$C$43),(((Assumptions!$C$44*$C$10)/12)*((AD80*12000)+(AD103*25000))),0)</f>
        <v>0</v>
      </c>
      <c r="AE137" s="9" t="n">
        <f aca="false">IF((AE$18&gt;=Assumptions!$C$43),(((Assumptions!$C$44*$C$10)/12)*((AE80*12000)+(AE103*25000))),0)</f>
        <v>0</v>
      </c>
      <c r="AF137" s="9" t="n">
        <f aca="false">IF((AF$18&gt;=Assumptions!$C$43),(((Assumptions!$C$44*$C$10)/12)*((AF80*12000)+(AF103*25000))),0)</f>
        <v>581.7</v>
      </c>
      <c r="AG137" s="9" t="n">
        <f aca="false">IF((AG$18&gt;=Assumptions!$C$43),(((Assumptions!$C$44*$C$10)/12)*((AG80*12000)+(AG103*25000))),0)</f>
        <v>581.7</v>
      </c>
      <c r="AH137" s="9" t="n">
        <f aca="false">IF((AH$18&gt;=Assumptions!$C$43),(((Assumptions!$C$44*$C$10)/12)*((AH80*12000)+(AH103*25000))),0)</f>
        <v>799.2</v>
      </c>
      <c r="AI137" s="9" t="n">
        <f aca="false">IF((AI$18&gt;=Assumptions!$C$43),(((Assumptions!$C$44*$C$10)/12)*((AI80*12000)+(AI103*25000))),0)</f>
        <v>799.2</v>
      </c>
      <c r="AJ137" s="9" t="n">
        <f aca="false">IF((AJ$18&gt;=Assumptions!$C$43),(((Assumptions!$C$44*$C$10)/12)*((AJ80*12000)+(AJ103*25000))),0)</f>
        <v>799.2</v>
      </c>
      <c r="AK137" s="9" t="n">
        <f aca="false">IF((AK$18&gt;=Assumptions!$C$43),(((Assumptions!$C$44*$C$10)/12)*((AK80*12000)+(AK103*25000))),0)</f>
        <v>1226.1</v>
      </c>
      <c r="AL137" s="9" t="n">
        <f aca="false">IF((AL$18&gt;=Assumptions!$C$43),(((Assumptions!$C$44*$C$10)/12)*((AL80*12000)+(AL103*25000))),0)</f>
        <v>1538.6</v>
      </c>
      <c r="AN137" s="11" t="n">
        <f aca="false">SUM(C137:N137)</f>
        <v>0</v>
      </c>
      <c r="AO137" s="11" t="n">
        <f aca="false">SUM(O137:Z137)</f>
        <v>0</v>
      </c>
      <c r="AP137" s="11" t="n">
        <f aca="false">SUM(AA137:AL137)</f>
        <v>6325.7</v>
      </c>
    </row>
    <row r="138" customFormat="false" ht="15" hidden="false" customHeight="false" outlineLevel="0" collapsed="false">
      <c r="A138" s="0" t="s">
        <v>944</v>
      </c>
      <c r="B138" s="0" t="s">
        <v>852</v>
      </c>
      <c r="C138" s="14" t="n">
        <f aca="false">IF((C$18&gt;=Assumptions!$C$45),(INDEX(Schedules!$C$14:$AL$14,C$18)*$C$7),0)</f>
        <v>0</v>
      </c>
      <c r="D138" s="14" t="n">
        <f aca="false">IF((D$18&gt;=Assumptions!$C$45),(INDEX(Schedules!$C$14:$AL$14,D$18)*$C$7),0)</f>
        <v>0</v>
      </c>
      <c r="E138" s="14" t="n">
        <f aca="false">IF((E$18&gt;=Assumptions!$C$45),(INDEX(Schedules!$C$14:$AL$14,E$18)*$C$7),0)</f>
        <v>0</v>
      </c>
      <c r="F138" s="14" t="n">
        <f aca="false">IF((F$18&gt;=Assumptions!$C$45),(INDEX(Schedules!$C$14:$AL$14,F$18)*$C$7),0)</f>
        <v>0</v>
      </c>
      <c r="G138" s="14" t="n">
        <f aca="false">IF((G$18&gt;=Assumptions!$C$45),(INDEX(Schedules!$C$14:$AL$14,G$18)*$C$7),0)</f>
        <v>0</v>
      </c>
      <c r="H138" s="14" t="n">
        <f aca="false">IF((H$18&gt;=Assumptions!$C$45),(INDEX(Schedules!$C$14:$AL$14,H$18)*$C$7),0)</f>
        <v>0</v>
      </c>
      <c r="I138" s="14" t="n">
        <f aca="false">IF((I$18&gt;=Assumptions!$C$45),(INDEX(Schedules!$C$14:$AL$14,I$18)*$C$7),0)</f>
        <v>0</v>
      </c>
      <c r="J138" s="14" t="n">
        <f aca="false">IF((J$18&gt;=Assumptions!$C$45),(INDEX(Schedules!$C$14:$AL$14,J$18)*$C$7),0)</f>
        <v>0</v>
      </c>
      <c r="K138" s="14" t="n">
        <f aca="false">IF((K$18&gt;=Assumptions!$C$45),(INDEX(Schedules!$C$14:$AL$14,K$18)*$C$7),0)</f>
        <v>0</v>
      </c>
      <c r="L138" s="14" t="n">
        <f aca="false">IF((L$18&gt;=Assumptions!$C$45),(INDEX(Schedules!$C$14:$AL$14,L$18)*$C$7),0)</f>
        <v>0</v>
      </c>
      <c r="M138" s="14" t="n">
        <f aca="false">IF((M$18&gt;=Assumptions!$C$45),(INDEX(Schedules!$C$14:$AL$14,M$18)*$C$7),0)</f>
        <v>0</v>
      </c>
      <c r="N138" s="14" t="n">
        <f aca="false">IF((N$18&gt;=Assumptions!$C$45),(INDEX(Schedules!$C$14:$AL$14,N$18)*$C$7),0)</f>
        <v>0</v>
      </c>
      <c r="O138" s="14" t="n">
        <f aca="false">IF((O$18&gt;=Assumptions!$C$45),(INDEX(Schedules!$C$14:$AL$14,O$18)*$C$7),0)</f>
        <v>0</v>
      </c>
      <c r="P138" s="14" t="n">
        <f aca="false">IF((P$18&gt;=Assumptions!$C$45),(INDEX(Schedules!$C$14:$AL$14,P$18)*$C$7),0)</f>
        <v>0</v>
      </c>
      <c r="Q138" s="14" t="n">
        <f aca="false">IF((Q$18&gt;=Assumptions!$C$45),(INDEX(Schedules!$C$14:$AL$14,Q$18)*$C$7),0)</f>
        <v>0</v>
      </c>
      <c r="R138" s="14" t="n">
        <f aca="false">IF((R$18&gt;=Assumptions!$C$45),(INDEX(Schedules!$C$14:$AL$14,R$18)*$C$7),0)</f>
        <v>0</v>
      </c>
      <c r="S138" s="14" t="n">
        <f aca="false">IF((S$18&gt;=Assumptions!$C$45),(INDEX(Schedules!$C$14:$AL$14,S$18)*$C$7),0)</f>
        <v>0</v>
      </c>
      <c r="T138" s="14" t="n">
        <f aca="false">IF((T$18&gt;=Assumptions!$C$45),(INDEX(Schedules!$C$14:$AL$14,T$18)*$C$7),0)</f>
        <v>0</v>
      </c>
      <c r="U138" s="14" t="n">
        <f aca="false">IF((U$18&gt;=Assumptions!$C$45),(INDEX(Schedules!$C$14:$AL$14,U$18)*$C$7),0)</f>
        <v>0</v>
      </c>
      <c r="V138" s="14" t="n">
        <f aca="false">IF((V$18&gt;=Assumptions!$C$45),(INDEX(Schedules!$C$14:$AL$14,V$18)*$C$7),0)</f>
        <v>0</v>
      </c>
      <c r="W138" s="14" t="n">
        <f aca="false">IF((W$18&gt;=Assumptions!$C$45),(INDEX(Schedules!$C$14:$AL$14,W$18)*$C$7),0)</f>
        <v>0</v>
      </c>
      <c r="X138" s="14" t="n">
        <f aca="false">IF((X$18&gt;=Assumptions!$C$45),(INDEX(Schedules!$C$14:$AL$14,X$18)*$C$7),0)</f>
        <v>0</v>
      </c>
      <c r="Y138" s="14" t="n">
        <f aca="false">IF((Y$18&gt;=Assumptions!$C$45),(INDEX(Schedules!$C$14:$AL$14,Y$18)*$C$7),0)</f>
        <v>0</v>
      </c>
      <c r="Z138" s="14" t="n">
        <f aca="false">IF((Z$18&gt;=Assumptions!$C$45),(INDEX(Schedules!$C$14:$AL$14,Z$18)*$C$7),0)</f>
        <v>0</v>
      </c>
      <c r="AA138" s="14" t="n">
        <f aca="false">IF((AA$18&gt;=Assumptions!$C$45),(INDEX(Schedules!$C$14:$AL$14,AA$18)*$C$7),0)</f>
        <v>3</v>
      </c>
      <c r="AB138" s="14" t="n">
        <f aca="false">IF((AB$18&gt;=Assumptions!$C$45),(INDEX(Schedules!$C$14:$AL$14,AB$18)*$C$7),0)</f>
        <v>3</v>
      </c>
      <c r="AC138" s="14" t="n">
        <f aca="false">IF((AC$18&gt;=Assumptions!$C$45),(INDEX(Schedules!$C$14:$AL$14,AC$18)*$C$7),0)</f>
        <v>3</v>
      </c>
      <c r="AD138" s="14" t="n">
        <f aca="false">IF((AD$18&gt;=Assumptions!$C$45),(INDEX(Schedules!$C$14:$AL$14,AD$18)*$C$7),0)</f>
        <v>3</v>
      </c>
      <c r="AE138" s="14" t="n">
        <f aca="false">IF((AE$18&gt;=Assumptions!$C$45),(INDEX(Schedules!$C$14:$AL$14,AE$18)*$C$7),0)</f>
        <v>3</v>
      </c>
      <c r="AF138" s="14" t="n">
        <f aca="false">IF((AF$18&gt;=Assumptions!$C$45),(INDEX(Schedules!$C$14:$AL$14,AF$18)*$C$7),0)</f>
        <v>3</v>
      </c>
      <c r="AG138" s="14" t="n">
        <f aca="false">IF((AG$18&gt;=Assumptions!$C$45),(INDEX(Schedules!$C$14:$AL$14,AG$18)*$C$7),0)</f>
        <v>6</v>
      </c>
      <c r="AH138" s="14" t="n">
        <f aca="false">IF((AH$18&gt;=Assumptions!$C$45),(INDEX(Schedules!$C$14:$AL$14,AH$18)*$C$7),0)</f>
        <v>6</v>
      </c>
      <c r="AI138" s="14" t="n">
        <f aca="false">IF((AI$18&gt;=Assumptions!$C$45),(INDEX(Schedules!$C$14:$AL$14,AI$18)*$C$7),0)</f>
        <v>6</v>
      </c>
      <c r="AJ138" s="14" t="n">
        <f aca="false">IF((AJ$18&gt;=Assumptions!$C$45),(INDEX(Schedules!$C$14:$AL$14,AJ$18)*$C$7),0)</f>
        <v>6</v>
      </c>
      <c r="AK138" s="14" t="n">
        <f aca="false">IF((AK$18&gt;=Assumptions!$C$45),(INDEX(Schedules!$C$14:$AL$14,AK$18)*$C$7),0)</f>
        <v>6</v>
      </c>
      <c r="AL138" s="14" t="n">
        <f aca="false">IF((AL$18&gt;=Assumptions!$C$45),(INDEX(Schedules!$C$14:$AL$14,AL$18)*$C$7),0)</f>
        <v>6</v>
      </c>
      <c r="AN138" s="36" t="n">
        <f aca="false">SUM(C138:N138)</f>
        <v>0</v>
      </c>
      <c r="AO138" s="36" t="n">
        <f aca="false">SUM(O138:Z138)</f>
        <v>0</v>
      </c>
      <c r="AP138" s="36" t="n">
        <f aca="false">SUM(AA138:AL138)</f>
        <v>54</v>
      </c>
    </row>
    <row r="139" customFormat="false" ht="15" hidden="false" customHeight="false" outlineLevel="0" collapsed="false">
      <c r="A139" s="0" t="s">
        <v>945</v>
      </c>
      <c r="B139" s="0" t="s">
        <v>852</v>
      </c>
      <c r="C139" s="13" t="n">
        <f aca="false">((0*(1-Assumptions!$C$47))+C138)</f>
        <v>0</v>
      </c>
      <c r="D139" s="13" t="n">
        <f aca="false">((C139*(1-Assumptions!$C$47))+D138)</f>
        <v>0</v>
      </c>
      <c r="E139" s="13" t="n">
        <f aca="false">((D139*(1-Assumptions!$C$47))+E138)</f>
        <v>0</v>
      </c>
      <c r="F139" s="13" t="n">
        <f aca="false">((E139*(1-Assumptions!$C$47))+F138)</f>
        <v>0</v>
      </c>
      <c r="G139" s="13" t="n">
        <f aca="false">((F139*(1-Assumptions!$C$47))+G138)</f>
        <v>0</v>
      </c>
      <c r="H139" s="13" t="n">
        <f aca="false">((G139*(1-Assumptions!$C$47))+H138)</f>
        <v>0</v>
      </c>
      <c r="I139" s="13" t="n">
        <f aca="false">((H139*(1-Assumptions!$C$47))+I138)</f>
        <v>0</v>
      </c>
      <c r="J139" s="13" t="n">
        <f aca="false">((I139*(1-Assumptions!$C$47))+J138)</f>
        <v>0</v>
      </c>
      <c r="K139" s="13" t="n">
        <f aca="false">((J139*(1-Assumptions!$C$47))+K138)</f>
        <v>0</v>
      </c>
      <c r="L139" s="13" t="n">
        <f aca="false">((K139*(1-Assumptions!$C$47))+L138)</f>
        <v>0</v>
      </c>
      <c r="M139" s="13" t="n">
        <f aca="false">((L139*(1-Assumptions!$C$47))+M138)</f>
        <v>0</v>
      </c>
      <c r="N139" s="13" t="n">
        <f aca="false">((M139*(1-Assumptions!$C$47))+N138)</f>
        <v>0</v>
      </c>
      <c r="O139" s="13" t="n">
        <f aca="false">((N139*(1-Assumptions!$C$47))+O138)</f>
        <v>0</v>
      </c>
      <c r="P139" s="13" t="n">
        <f aca="false">((O139*(1-Assumptions!$C$47))+P138)</f>
        <v>0</v>
      </c>
      <c r="Q139" s="13" t="n">
        <f aca="false">((P139*(1-Assumptions!$C$47))+Q138)</f>
        <v>0</v>
      </c>
      <c r="R139" s="13" t="n">
        <f aca="false">((Q139*(1-Assumptions!$C$47))+R138)</f>
        <v>0</v>
      </c>
      <c r="S139" s="13" t="n">
        <f aca="false">((R139*(1-Assumptions!$C$47))+S138)</f>
        <v>0</v>
      </c>
      <c r="T139" s="13" t="n">
        <f aca="false">((S139*(1-Assumptions!$C$47))+T138)</f>
        <v>0</v>
      </c>
      <c r="U139" s="13" t="n">
        <f aca="false">((T139*(1-Assumptions!$C$47))+U138)</f>
        <v>0</v>
      </c>
      <c r="V139" s="13" t="n">
        <f aca="false">((U139*(1-Assumptions!$C$47))+V138)</f>
        <v>0</v>
      </c>
      <c r="W139" s="13" t="n">
        <f aca="false">((V139*(1-Assumptions!$C$47))+W138)</f>
        <v>0</v>
      </c>
      <c r="X139" s="13" t="n">
        <f aca="false">((W139*(1-Assumptions!$C$47))+X138)</f>
        <v>0</v>
      </c>
      <c r="Y139" s="13" t="n">
        <f aca="false">((X139*(1-Assumptions!$C$47))+Y138)</f>
        <v>0</v>
      </c>
      <c r="Z139" s="13" t="n">
        <f aca="false">((Y139*(1-Assumptions!$C$47))+Z138)</f>
        <v>0</v>
      </c>
      <c r="AA139" s="13" t="n">
        <f aca="false">((Z139*(1-Assumptions!$C$47))+AA138)</f>
        <v>3</v>
      </c>
      <c r="AB139" s="13" t="n">
        <f aca="false">((AA139*(1-Assumptions!$C$47))+AB138)</f>
        <v>5.94</v>
      </c>
      <c r="AC139" s="13" t="n">
        <f aca="false">((AB139*(1-Assumptions!$C$47))+AC138)</f>
        <v>8.8212</v>
      </c>
      <c r="AD139" s="13" t="n">
        <f aca="false">((AC139*(1-Assumptions!$C$47))+AD138)</f>
        <v>11.644776</v>
      </c>
      <c r="AE139" s="13" t="n">
        <f aca="false">((AD139*(1-Assumptions!$C$47))+AE138)</f>
        <v>14.41188048</v>
      </c>
      <c r="AF139" s="13" t="n">
        <f aca="false">((AE139*(1-Assumptions!$C$47))+AF138)</f>
        <v>17.1236428704</v>
      </c>
      <c r="AG139" s="13" t="n">
        <f aca="false">((AF139*(1-Assumptions!$C$47))+AG138)</f>
        <v>22.781170012992</v>
      </c>
      <c r="AH139" s="13" t="n">
        <f aca="false">((AG139*(1-Assumptions!$C$47))+AH138)</f>
        <v>28.3255466127322</v>
      </c>
      <c r="AI139" s="13" t="n">
        <f aca="false">((AH139*(1-Assumptions!$C$47))+AI138)</f>
        <v>33.7590356804775</v>
      </c>
      <c r="AJ139" s="13" t="n">
        <f aca="false">((AI139*(1-Assumptions!$C$47))+AJ138)</f>
        <v>39.083854966868</v>
      </c>
      <c r="AK139" s="13" t="n">
        <f aca="false">((AJ139*(1-Assumptions!$C$47))+AK138)</f>
        <v>44.3021778675306</v>
      </c>
      <c r="AL139" s="13" t="n">
        <f aca="false">((AK139*(1-Assumptions!$C$47))+AL138)</f>
        <v>49.41613431018</v>
      </c>
      <c r="AN139" s="37" t="n">
        <f aca="false">N139</f>
        <v>0</v>
      </c>
      <c r="AO139" s="37" t="n">
        <f aca="false">Z139</f>
        <v>0</v>
      </c>
      <c r="AP139" s="37" t="n">
        <f aca="false">AL139</f>
        <v>49.41613431018</v>
      </c>
    </row>
    <row r="140" customFormat="false" ht="15" hidden="false" customHeight="false" outlineLevel="0" collapsed="false">
      <c r="A140" s="0" t="s">
        <v>946</v>
      </c>
      <c r="B140" s="0" t="s">
        <v>230</v>
      </c>
      <c r="C140" s="9" t="n">
        <f aca="false">((C139*Assumptions!$C$46)/12)</f>
        <v>0</v>
      </c>
      <c r="D140" s="9" t="n">
        <f aca="false">((D139*Assumptions!$C$46)/12)</f>
        <v>0</v>
      </c>
      <c r="E140" s="9" t="n">
        <f aca="false">((E139*Assumptions!$C$46)/12)</f>
        <v>0</v>
      </c>
      <c r="F140" s="9" t="n">
        <f aca="false">((F139*Assumptions!$C$46)/12)</f>
        <v>0</v>
      </c>
      <c r="G140" s="9" t="n">
        <f aca="false">((G139*Assumptions!$C$46)/12)</f>
        <v>0</v>
      </c>
      <c r="H140" s="9" t="n">
        <f aca="false">((H139*Assumptions!$C$46)/12)</f>
        <v>0</v>
      </c>
      <c r="I140" s="9" t="n">
        <f aca="false">((I139*Assumptions!$C$46)/12)</f>
        <v>0</v>
      </c>
      <c r="J140" s="9" t="n">
        <f aca="false">((J139*Assumptions!$C$46)/12)</f>
        <v>0</v>
      </c>
      <c r="K140" s="9" t="n">
        <f aca="false">((K139*Assumptions!$C$46)/12)</f>
        <v>0</v>
      </c>
      <c r="L140" s="9" t="n">
        <f aca="false">((L139*Assumptions!$C$46)/12)</f>
        <v>0</v>
      </c>
      <c r="M140" s="9" t="n">
        <f aca="false">((M139*Assumptions!$C$46)/12)</f>
        <v>0</v>
      </c>
      <c r="N140" s="9" t="n">
        <f aca="false">((N139*Assumptions!$C$46)/12)</f>
        <v>0</v>
      </c>
      <c r="O140" s="9" t="n">
        <f aca="false">((O139*Assumptions!$C$46)/12)</f>
        <v>0</v>
      </c>
      <c r="P140" s="9" t="n">
        <f aca="false">((P139*Assumptions!$C$46)/12)</f>
        <v>0</v>
      </c>
      <c r="Q140" s="9" t="n">
        <f aca="false">((Q139*Assumptions!$C$46)/12)</f>
        <v>0</v>
      </c>
      <c r="R140" s="9" t="n">
        <f aca="false">((R139*Assumptions!$C$46)/12)</f>
        <v>0</v>
      </c>
      <c r="S140" s="9" t="n">
        <f aca="false">((S139*Assumptions!$C$46)/12)</f>
        <v>0</v>
      </c>
      <c r="T140" s="9" t="n">
        <f aca="false">((T139*Assumptions!$C$46)/12)</f>
        <v>0</v>
      </c>
      <c r="U140" s="9" t="n">
        <f aca="false">((U139*Assumptions!$C$46)/12)</f>
        <v>0</v>
      </c>
      <c r="V140" s="9" t="n">
        <f aca="false">((V139*Assumptions!$C$46)/12)</f>
        <v>0</v>
      </c>
      <c r="W140" s="9" t="n">
        <f aca="false">((W139*Assumptions!$C$46)/12)</f>
        <v>0</v>
      </c>
      <c r="X140" s="9" t="n">
        <f aca="false">((X139*Assumptions!$C$46)/12)</f>
        <v>0</v>
      </c>
      <c r="Y140" s="9" t="n">
        <f aca="false">((Y139*Assumptions!$C$46)/12)</f>
        <v>0</v>
      </c>
      <c r="Z140" s="9" t="n">
        <f aca="false">((Z139*Assumptions!$C$46)/12)</f>
        <v>0</v>
      </c>
      <c r="AA140" s="9" t="n">
        <f aca="false">((AA139*Assumptions!$C$46)/12)</f>
        <v>1000</v>
      </c>
      <c r="AB140" s="9" t="n">
        <f aca="false">((AB139*Assumptions!$C$46)/12)</f>
        <v>1980</v>
      </c>
      <c r="AC140" s="9" t="n">
        <f aca="false">((AC139*Assumptions!$C$46)/12)</f>
        <v>2940.4</v>
      </c>
      <c r="AD140" s="9" t="n">
        <f aca="false">((AD139*Assumptions!$C$46)/12)</f>
        <v>3881.592</v>
      </c>
      <c r="AE140" s="9" t="n">
        <f aca="false">((AE139*Assumptions!$C$46)/12)</f>
        <v>4803.96016</v>
      </c>
      <c r="AF140" s="9" t="n">
        <f aca="false">((AF139*Assumptions!$C$46)/12)</f>
        <v>5707.8809568</v>
      </c>
      <c r="AG140" s="9" t="n">
        <f aca="false">((AG139*Assumptions!$C$46)/12)</f>
        <v>7593.723337664</v>
      </c>
      <c r="AH140" s="9" t="n">
        <f aca="false">((AH139*Assumptions!$C$46)/12)</f>
        <v>9441.84887091072</v>
      </c>
      <c r="AI140" s="9" t="n">
        <f aca="false">((AI139*Assumptions!$C$46)/12)</f>
        <v>11253.0118934925</v>
      </c>
      <c r="AJ140" s="9" t="n">
        <f aca="false">((AJ139*Assumptions!$C$46)/12)</f>
        <v>13027.9516556227</v>
      </c>
      <c r="AK140" s="9" t="n">
        <f aca="false">((AK139*Assumptions!$C$46)/12)</f>
        <v>14767.3926225102</v>
      </c>
      <c r="AL140" s="9" t="n">
        <f aca="false">((AL139*Assumptions!$C$46)/12)</f>
        <v>16472.04477006</v>
      </c>
      <c r="AN140" s="11" t="n">
        <f aca="false">SUM(C140:N140)</f>
        <v>0</v>
      </c>
      <c r="AO140" s="11" t="n">
        <f aca="false">SUM(O140:Z140)</f>
        <v>0</v>
      </c>
      <c r="AP140" s="11" t="n">
        <f aca="false">SUM(AA140:AL140)</f>
        <v>92869.8062670601</v>
      </c>
    </row>
    <row r="141" customFormat="false" ht="15" hidden="false" customHeight="false" outlineLevel="0" collapsed="false">
      <c r="A141" s="0" t="s">
        <v>947</v>
      </c>
      <c r="B141" s="0" t="s">
        <v>852</v>
      </c>
      <c r="C141" s="13" t="n">
        <f aca="false">IF((C$18&lt;Assumptions!$C$48),0,IF((C$18=Assumptions!$C$48),(Assumptions!$C$49*$C$4),((0*(1-Assumptions!$C$51))+(Assumptions!$C$50*$C$4))))</f>
        <v>0</v>
      </c>
      <c r="D141" s="13" t="n">
        <f aca="false">IF((D$18&lt;Assumptions!$C$48),0,IF((D$18=Assumptions!$C$48),(Assumptions!$C$49*$C$4),((C141*(1-Assumptions!$C$51))+(Assumptions!$C$50*$C$4))))</f>
        <v>0</v>
      </c>
      <c r="E141" s="13" t="n">
        <f aca="false">IF((E$18&lt;Assumptions!$C$48),0,IF((E$18=Assumptions!$C$48),(Assumptions!$C$49*$C$4),((D141*(1-Assumptions!$C$51))+(Assumptions!$C$50*$C$4))))</f>
        <v>0</v>
      </c>
      <c r="F141" s="13" t="n">
        <f aca="false">IF((F$18&lt;Assumptions!$C$48),0,IF((F$18=Assumptions!$C$48),(Assumptions!$C$49*$C$4),((E141*(1-Assumptions!$C$51))+(Assumptions!$C$50*$C$4))))</f>
        <v>0</v>
      </c>
      <c r="G141" s="13" t="n">
        <f aca="false">IF((G$18&lt;Assumptions!$C$48),0,IF((G$18=Assumptions!$C$48),(Assumptions!$C$49*$C$4),((F141*(1-Assumptions!$C$51))+(Assumptions!$C$50*$C$4))))</f>
        <v>0</v>
      </c>
      <c r="H141" s="13" t="n">
        <f aca="false">IF((H$18&lt;Assumptions!$C$48),0,IF((H$18=Assumptions!$C$48),(Assumptions!$C$49*$C$4),((G141*(1-Assumptions!$C$51))+(Assumptions!$C$50*$C$4))))</f>
        <v>0</v>
      </c>
      <c r="I141" s="13" t="n">
        <f aca="false">IF((I$18&lt;Assumptions!$C$48),0,IF((I$18=Assumptions!$C$48),(Assumptions!$C$49*$C$4),((H141*(1-Assumptions!$C$51))+(Assumptions!$C$50*$C$4))))</f>
        <v>0</v>
      </c>
      <c r="J141" s="13" t="n">
        <f aca="false">IF((J$18&lt;Assumptions!$C$48),0,IF((J$18=Assumptions!$C$48),(Assumptions!$C$49*$C$4),((I141*(1-Assumptions!$C$51))+(Assumptions!$C$50*$C$4))))</f>
        <v>0</v>
      </c>
      <c r="K141" s="13" t="n">
        <f aca="false">IF((K$18&lt;Assumptions!$C$48),0,IF((K$18=Assumptions!$C$48),(Assumptions!$C$49*$C$4),((J141*(1-Assumptions!$C$51))+(Assumptions!$C$50*$C$4))))</f>
        <v>0</v>
      </c>
      <c r="L141" s="13" t="n">
        <f aca="false">IF((L$18&lt;Assumptions!$C$48),0,IF((L$18=Assumptions!$C$48),(Assumptions!$C$49*$C$4),((K141*(1-Assumptions!$C$51))+(Assumptions!$C$50*$C$4))))</f>
        <v>0</v>
      </c>
      <c r="M141" s="13" t="n">
        <f aca="false">IF((M$18&lt;Assumptions!$C$48),0,IF((M$18=Assumptions!$C$48),(Assumptions!$C$49*$C$4),((L141*(1-Assumptions!$C$51))+(Assumptions!$C$50*$C$4))))</f>
        <v>0</v>
      </c>
      <c r="N141" s="13" t="n">
        <f aca="false">IF((N$18&lt;Assumptions!$C$48),0,IF((N$18=Assumptions!$C$48),(Assumptions!$C$49*$C$4),((M141*(1-Assumptions!$C$51))+(Assumptions!$C$50*$C$4))))</f>
        <v>0</v>
      </c>
      <c r="O141" s="13" t="n">
        <f aca="false">IF((O$18&lt;Assumptions!$C$48),0,IF((O$18=Assumptions!$C$48),(Assumptions!$C$49*$C$4),((N141*(1-Assumptions!$C$51))+(Assumptions!$C$50*$C$4))))</f>
        <v>0</v>
      </c>
      <c r="P141" s="13" t="n">
        <f aca="false">IF((P$18&lt;Assumptions!$C$48),0,IF((P$18=Assumptions!$C$48),(Assumptions!$C$49*$C$4),((O141*(1-Assumptions!$C$51))+(Assumptions!$C$50*$C$4))))</f>
        <v>0</v>
      </c>
      <c r="Q141" s="13" t="n">
        <f aca="false">IF((Q$18&lt;Assumptions!$C$48),0,IF((Q$18=Assumptions!$C$48),(Assumptions!$C$49*$C$4),((P141*(1-Assumptions!$C$51))+(Assumptions!$C$50*$C$4))))</f>
        <v>0</v>
      </c>
      <c r="R141" s="13" t="n">
        <f aca="false">IF((R$18&lt;Assumptions!$C$48),0,IF((R$18=Assumptions!$C$48),(Assumptions!$C$49*$C$4),((Q141*(1-Assumptions!$C$51))+(Assumptions!$C$50*$C$4))))</f>
        <v>0</v>
      </c>
      <c r="S141" s="13" t="n">
        <f aca="false">IF((S$18&lt;Assumptions!$C$48),0,IF((S$18=Assumptions!$C$48),(Assumptions!$C$49*$C$4),((R141*(1-Assumptions!$C$51))+(Assumptions!$C$50*$C$4))))</f>
        <v>0</v>
      </c>
      <c r="T141" s="13" t="n">
        <f aca="false">IF((T$18&lt;Assumptions!$C$48),0,IF((T$18=Assumptions!$C$48),(Assumptions!$C$49*$C$4),((S141*(1-Assumptions!$C$51))+(Assumptions!$C$50*$C$4))))</f>
        <v>0</v>
      </c>
      <c r="U141" s="13" t="n">
        <f aca="false">IF((U$18&lt;Assumptions!$C$48),0,IF((U$18=Assumptions!$C$48),(Assumptions!$C$49*$C$4),((T141*(1-Assumptions!$C$51))+(Assumptions!$C$50*$C$4))))</f>
        <v>0</v>
      </c>
      <c r="V141" s="13" t="n">
        <f aca="false">IF((V$18&lt;Assumptions!$C$48),0,IF((V$18=Assumptions!$C$48),(Assumptions!$C$49*$C$4),((U141*(1-Assumptions!$C$51))+(Assumptions!$C$50*$C$4))))</f>
        <v>0</v>
      </c>
      <c r="W141" s="13" t="n">
        <f aca="false">IF((W$18&lt;Assumptions!$C$48),0,IF((W$18=Assumptions!$C$48),(Assumptions!$C$49*$C$4),((V141*(1-Assumptions!$C$51))+(Assumptions!$C$50*$C$4))))</f>
        <v>0</v>
      </c>
      <c r="X141" s="13" t="n">
        <f aca="false">IF((X$18&lt;Assumptions!$C$48),0,IF((X$18=Assumptions!$C$48),(Assumptions!$C$49*$C$4),((W141*(1-Assumptions!$C$51))+(Assumptions!$C$50*$C$4))))</f>
        <v>0</v>
      </c>
      <c r="Y141" s="13" t="n">
        <f aca="false">IF((Y$18&lt;Assumptions!$C$48),0,IF((Y$18=Assumptions!$C$48),(Assumptions!$C$49*$C$4),((X141*(1-Assumptions!$C$51))+(Assumptions!$C$50*$C$4))))</f>
        <v>0</v>
      </c>
      <c r="Z141" s="13" t="n">
        <f aca="false">IF((Z$18&lt;Assumptions!$C$48),0,IF((Z$18=Assumptions!$C$48),(Assumptions!$C$49*$C$4),((Y141*(1-Assumptions!$C$51))+(Assumptions!$C$50*$C$4))))</f>
        <v>0</v>
      </c>
      <c r="AA141" s="13" t="n">
        <f aca="false">IF((AA$18&lt;Assumptions!$C$48),0,IF((AA$18=Assumptions!$C$48),(Assumptions!$C$49*$C$4),((Z141*(1-Assumptions!$C$51))+(Assumptions!$C$50*$C$4))))</f>
        <v>0</v>
      </c>
      <c r="AB141" s="13" t="n">
        <f aca="false">IF((AB$18&lt;Assumptions!$C$48),0,IF((AB$18=Assumptions!$C$48),(Assumptions!$C$49*$C$4),((AA141*(1-Assumptions!$C$51))+(Assumptions!$C$50*$C$4))))</f>
        <v>0</v>
      </c>
      <c r="AC141" s="13" t="n">
        <f aca="false">IF((AC$18&lt;Assumptions!$C$48),0,IF((AC$18=Assumptions!$C$48),(Assumptions!$C$49*$C$4),((AB141*(1-Assumptions!$C$51))+(Assumptions!$C$50*$C$4))))</f>
        <v>0</v>
      </c>
      <c r="AD141" s="13" t="n">
        <f aca="false">IF((AD$18&lt;Assumptions!$C$48),0,IF((AD$18=Assumptions!$C$48),(Assumptions!$C$49*$C$4),((AC141*(1-Assumptions!$C$51))+(Assumptions!$C$50*$C$4))))</f>
        <v>0</v>
      </c>
      <c r="AE141" s="13" t="n">
        <f aca="false">IF((AE$18&lt;Assumptions!$C$48),0,IF((AE$18=Assumptions!$C$48),(Assumptions!$C$49*$C$4),((AD141*(1-Assumptions!$C$51))+(Assumptions!$C$50*$C$4))))</f>
        <v>0</v>
      </c>
      <c r="AF141" s="13" t="n">
        <f aca="false">IF((AF$18&lt;Assumptions!$C$48),0,IF((AF$18=Assumptions!$C$48),(Assumptions!$C$49*$C$4),((AE141*(1-Assumptions!$C$51))+(Assumptions!$C$50*$C$4))))</f>
        <v>0</v>
      </c>
      <c r="AG141" s="13" t="n">
        <f aca="false">IF((AG$18&lt;Assumptions!$C$48),0,IF((AG$18=Assumptions!$C$48),(Assumptions!$C$49*$C$4),((AF141*(1-Assumptions!$C$51))+(Assumptions!$C$50*$C$4))))</f>
        <v>40</v>
      </c>
      <c r="AH141" s="13" t="n">
        <f aca="false">IF((AH$18&lt;Assumptions!$C$48),0,IF((AH$18=Assumptions!$C$48),(Assumptions!$C$49*$C$4),((AG141*(1-Assumptions!$C$51))+(Assumptions!$C$50*$C$4))))</f>
        <v>53.4</v>
      </c>
      <c r="AI141" s="13" t="n">
        <f aca="false">IF((AI$18&lt;Assumptions!$C$48),0,IF((AI$18=Assumptions!$C$48),(Assumptions!$C$49*$C$4),((AH141*(1-Assumptions!$C$51))+(Assumptions!$C$50*$C$4))))</f>
        <v>66.264</v>
      </c>
      <c r="AJ141" s="13" t="n">
        <f aca="false">IF((AJ$18&lt;Assumptions!$C$48),0,IF((AJ$18=Assumptions!$C$48),(Assumptions!$C$49*$C$4),((AI141*(1-Assumptions!$C$51))+(Assumptions!$C$50*$C$4))))</f>
        <v>78.61344</v>
      </c>
      <c r="AK141" s="13" t="n">
        <f aca="false">IF((AK$18&lt;Assumptions!$C$48),0,IF((AK$18=Assumptions!$C$48),(Assumptions!$C$49*$C$4),((AJ141*(1-Assumptions!$C$51))+(Assumptions!$C$50*$C$4))))</f>
        <v>90.4689024</v>
      </c>
      <c r="AL141" s="13" t="n">
        <f aca="false">IF((AL$18&lt;Assumptions!$C$48),0,IF((AL$18=Assumptions!$C$48),(Assumptions!$C$49*$C$4),((AK141*(1-Assumptions!$C$51))+(Assumptions!$C$50*$C$4))))</f>
        <v>101.850146304</v>
      </c>
      <c r="AN141" s="37" t="n">
        <f aca="false">N141</f>
        <v>0</v>
      </c>
      <c r="AO141" s="37" t="n">
        <f aca="false">Z141</f>
        <v>0</v>
      </c>
      <c r="AP141" s="37" t="n">
        <f aca="false">AL141</f>
        <v>101.850146304</v>
      </c>
    </row>
    <row r="142" customFormat="false" ht="15" hidden="false" customHeight="false" outlineLevel="0" collapsed="false">
      <c r="A142" s="0" t="s">
        <v>948</v>
      </c>
      <c r="B142" s="0" t="s">
        <v>325</v>
      </c>
      <c r="C142" s="9" t="n">
        <f aca="false">(C141*Assumptions!$C$52)</f>
        <v>0</v>
      </c>
      <c r="D142" s="9" t="n">
        <f aca="false">(D141*Assumptions!$C$52)</f>
        <v>0</v>
      </c>
      <c r="E142" s="9" t="n">
        <f aca="false">(E141*Assumptions!$C$52)</f>
        <v>0</v>
      </c>
      <c r="F142" s="9" t="n">
        <f aca="false">(F141*Assumptions!$C$52)</f>
        <v>0</v>
      </c>
      <c r="G142" s="9" t="n">
        <f aca="false">(G141*Assumptions!$C$52)</f>
        <v>0</v>
      </c>
      <c r="H142" s="9" t="n">
        <f aca="false">(H141*Assumptions!$C$52)</f>
        <v>0</v>
      </c>
      <c r="I142" s="9" t="n">
        <f aca="false">(I141*Assumptions!$C$52)</f>
        <v>0</v>
      </c>
      <c r="J142" s="9" t="n">
        <f aca="false">(J141*Assumptions!$C$52)</f>
        <v>0</v>
      </c>
      <c r="K142" s="9" t="n">
        <f aca="false">(K141*Assumptions!$C$52)</f>
        <v>0</v>
      </c>
      <c r="L142" s="9" t="n">
        <f aca="false">(L141*Assumptions!$C$52)</f>
        <v>0</v>
      </c>
      <c r="M142" s="9" t="n">
        <f aca="false">(M141*Assumptions!$C$52)</f>
        <v>0</v>
      </c>
      <c r="N142" s="9" t="n">
        <f aca="false">(N141*Assumptions!$C$52)</f>
        <v>0</v>
      </c>
      <c r="O142" s="9" t="n">
        <f aca="false">(O141*Assumptions!$C$52)</f>
        <v>0</v>
      </c>
      <c r="P142" s="9" t="n">
        <f aca="false">(P141*Assumptions!$C$52)</f>
        <v>0</v>
      </c>
      <c r="Q142" s="9" t="n">
        <f aca="false">(Q141*Assumptions!$C$52)</f>
        <v>0</v>
      </c>
      <c r="R142" s="9" t="n">
        <f aca="false">(R141*Assumptions!$C$52)</f>
        <v>0</v>
      </c>
      <c r="S142" s="9" t="n">
        <f aca="false">(S141*Assumptions!$C$52)</f>
        <v>0</v>
      </c>
      <c r="T142" s="9" t="n">
        <f aca="false">(T141*Assumptions!$C$52)</f>
        <v>0</v>
      </c>
      <c r="U142" s="9" t="n">
        <f aca="false">(U141*Assumptions!$C$52)</f>
        <v>0</v>
      </c>
      <c r="V142" s="9" t="n">
        <f aca="false">(V141*Assumptions!$C$52)</f>
        <v>0</v>
      </c>
      <c r="W142" s="9" t="n">
        <f aca="false">(W141*Assumptions!$C$52)</f>
        <v>0</v>
      </c>
      <c r="X142" s="9" t="n">
        <f aca="false">(X141*Assumptions!$C$52)</f>
        <v>0</v>
      </c>
      <c r="Y142" s="9" t="n">
        <f aca="false">(Y141*Assumptions!$C$52)</f>
        <v>0</v>
      </c>
      <c r="Z142" s="9" t="n">
        <f aca="false">(Z141*Assumptions!$C$52)</f>
        <v>0</v>
      </c>
      <c r="AA142" s="9" t="n">
        <f aca="false">(AA141*Assumptions!$C$52)</f>
        <v>0</v>
      </c>
      <c r="AB142" s="9" t="n">
        <f aca="false">(AB141*Assumptions!$C$52)</f>
        <v>0</v>
      </c>
      <c r="AC142" s="9" t="n">
        <f aca="false">(AC141*Assumptions!$C$52)</f>
        <v>0</v>
      </c>
      <c r="AD142" s="9" t="n">
        <f aca="false">(AD141*Assumptions!$C$52)</f>
        <v>0</v>
      </c>
      <c r="AE142" s="9" t="n">
        <f aca="false">(AE141*Assumptions!$C$52)</f>
        <v>0</v>
      </c>
      <c r="AF142" s="9" t="n">
        <f aca="false">(AF141*Assumptions!$C$52)</f>
        <v>0</v>
      </c>
      <c r="AG142" s="9" t="n">
        <f aca="false">(AG141*Assumptions!$C$52)</f>
        <v>240</v>
      </c>
      <c r="AH142" s="9" t="n">
        <f aca="false">(AH141*Assumptions!$C$52)</f>
        <v>320.4</v>
      </c>
      <c r="AI142" s="9" t="n">
        <f aca="false">(AI141*Assumptions!$C$52)</f>
        <v>397.584</v>
      </c>
      <c r="AJ142" s="9" t="n">
        <f aca="false">(AJ141*Assumptions!$C$52)</f>
        <v>471.68064</v>
      </c>
      <c r="AK142" s="9" t="n">
        <f aca="false">(AK141*Assumptions!$C$52)</f>
        <v>542.8134144</v>
      </c>
      <c r="AL142" s="9" t="n">
        <f aca="false">(AL141*Assumptions!$C$52)</f>
        <v>611.100877824</v>
      </c>
      <c r="AN142" s="11" t="n">
        <f aca="false">SUM(C142:N142)</f>
        <v>0</v>
      </c>
      <c r="AO142" s="11" t="n">
        <f aca="false">SUM(O142:Z142)</f>
        <v>0</v>
      </c>
      <c r="AP142" s="11" t="n">
        <f aca="false">SUM(AA142:AL142)</f>
        <v>2583.578932224</v>
      </c>
    </row>
    <row r="143" customFormat="false" ht="15" hidden="false" customHeight="false" outlineLevel="0" collapsed="false">
      <c r="A143" s="0" t="s">
        <v>949</v>
      </c>
      <c r="B143" s="0" t="s">
        <v>230</v>
      </c>
      <c r="C143" s="9" t="n">
        <f aca="false">(C142*Assumptions!$C$53)</f>
        <v>0</v>
      </c>
      <c r="D143" s="9" t="n">
        <f aca="false">(D142*Assumptions!$C$53)</f>
        <v>0</v>
      </c>
      <c r="E143" s="9" t="n">
        <f aca="false">(E142*Assumptions!$C$53)</f>
        <v>0</v>
      </c>
      <c r="F143" s="9" t="n">
        <f aca="false">(F142*Assumptions!$C$53)</f>
        <v>0</v>
      </c>
      <c r="G143" s="9" t="n">
        <f aca="false">(G142*Assumptions!$C$53)</f>
        <v>0</v>
      </c>
      <c r="H143" s="9" t="n">
        <f aca="false">(H142*Assumptions!$C$53)</f>
        <v>0</v>
      </c>
      <c r="I143" s="9" t="n">
        <f aca="false">(I142*Assumptions!$C$53)</f>
        <v>0</v>
      </c>
      <c r="J143" s="9" t="n">
        <f aca="false">(J142*Assumptions!$C$53)</f>
        <v>0</v>
      </c>
      <c r="K143" s="9" t="n">
        <f aca="false">(K142*Assumptions!$C$53)</f>
        <v>0</v>
      </c>
      <c r="L143" s="9" t="n">
        <f aca="false">(L142*Assumptions!$C$53)</f>
        <v>0</v>
      </c>
      <c r="M143" s="9" t="n">
        <f aca="false">(M142*Assumptions!$C$53)</f>
        <v>0</v>
      </c>
      <c r="N143" s="9" t="n">
        <f aca="false">(N142*Assumptions!$C$53)</f>
        <v>0</v>
      </c>
      <c r="O143" s="9" t="n">
        <f aca="false">(O142*Assumptions!$C$53)</f>
        <v>0</v>
      </c>
      <c r="P143" s="9" t="n">
        <f aca="false">(P142*Assumptions!$C$53)</f>
        <v>0</v>
      </c>
      <c r="Q143" s="9" t="n">
        <f aca="false">(Q142*Assumptions!$C$53)</f>
        <v>0</v>
      </c>
      <c r="R143" s="9" t="n">
        <f aca="false">(R142*Assumptions!$C$53)</f>
        <v>0</v>
      </c>
      <c r="S143" s="9" t="n">
        <f aca="false">(S142*Assumptions!$C$53)</f>
        <v>0</v>
      </c>
      <c r="T143" s="9" t="n">
        <f aca="false">(T142*Assumptions!$C$53)</f>
        <v>0</v>
      </c>
      <c r="U143" s="9" t="n">
        <f aca="false">(U142*Assumptions!$C$53)</f>
        <v>0</v>
      </c>
      <c r="V143" s="9" t="n">
        <f aca="false">(V142*Assumptions!$C$53)</f>
        <v>0</v>
      </c>
      <c r="W143" s="9" t="n">
        <f aca="false">(W142*Assumptions!$C$53)</f>
        <v>0</v>
      </c>
      <c r="X143" s="9" t="n">
        <f aca="false">(X142*Assumptions!$C$53)</f>
        <v>0</v>
      </c>
      <c r="Y143" s="9" t="n">
        <f aca="false">(Y142*Assumptions!$C$53)</f>
        <v>0</v>
      </c>
      <c r="Z143" s="9" t="n">
        <f aca="false">(Z142*Assumptions!$C$53)</f>
        <v>0</v>
      </c>
      <c r="AA143" s="9" t="n">
        <f aca="false">(AA142*Assumptions!$C$53)</f>
        <v>0</v>
      </c>
      <c r="AB143" s="9" t="n">
        <f aca="false">(AB142*Assumptions!$C$53)</f>
        <v>0</v>
      </c>
      <c r="AC143" s="9" t="n">
        <f aca="false">(AC142*Assumptions!$C$53)</f>
        <v>0</v>
      </c>
      <c r="AD143" s="9" t="n">
        <f aca="false">(AD142*Assumptions!$C$53)</f>
        <v>0</v>
      </c>
      <c r="AE143" s="9" t="n">
        <f aca="false">(AE142*Assumptions!$C$53)</f>
        <v>0</v>
      </c>
      <c r="AF143" s="9" t="n">
        <f aca="false">(AF142*Assumptions!$C$53)</f>
        <v>0</v>
      </c>
      <c r="AG143" s="9" t="n">
        <f aca="false">(AG142*Assumptions!$C$53)</f>
        <v>10800</v>
      </c>
      <c r="AH143" s="9" t="n">
        <f aca="false">(AH142*Assumptions!$C$53)</f>
        <v>14418</v>
      </c>
      <c r="AI143" s="9" t="n">
        <f aca="false">(AI142*Assumptions!$C$53)</f>
        <v>17891.28</v>
      </c>
      <c r="AJ143" s="9" t="n">
        <f aca="false">(AJ142*Assumptions!$C$53)</f>
        <v>21225.6288</v>
      </c>
      <c r="AK143" s="9" t="n">
        <f aca="false">(AK142*Assumptions!$C$53)</f>
        <v>24426.603648</v>
      </c>
      <c r="AL143" s="9" t="n">
        <f aca="false">(AL142*Assumptions!$C$53)</f>
        <v>27499.53950208</v>
      </c>
      <c r="AN143" s="11" t="n">
        <f aca="false">SUM(C143:N143)</f>
        <v>0</v>
      </c>
      <c r="AO143" s="11" t="n">
        <f aca="false">SUM(O143:Z143)</f>
        <v>0</v>
      </c>
      <c r="AP143" s="11" t="n">
        <f aca="false">SUM(AA143:AL143)</f>
        <v>116261.05195008</v>
      </c>
    </row>
    <row r="144" customFormat="false" ht="15" hidden="false" customHeight="false" outlineLevel="0" collapsed="false">
      <c r="A144" s="0" t="s">
        <v>950</v>
      </c>
      <c r="B144" s="0" t="s">
        <v>230</v>
      </c>
      <c r="C144" s="9" t="n">
        <f aca="false">(C143*Assumptions!$C$54)</f>
        <v>0</v>
      </c>
      <c r="D144" s="9" t="n">
        <f aca="false">(D143*Assumptions!$C$54)</f>
        <v>0</v>
      </c>
      <c r="E144" s="9" t="n">
        <f aca="false">(E143*Assumptions!$C$54)</f>
        <v>0</v>
      </c>
      <c r="F144" s="9" t="n">
        <f aca="false">(F143*Assumptions!$C$54)</f>
        <v>0</v>
      </c>
      <c r="G144" s="9" t="n">
        <f aca="false">(G143*Assumptions!$C$54)</f>
        <v>0</v>
      </c>
      <c r="H144" s="9" t="n">
        <f aca="false">(H143*Assumptions!$C$54)</f>
        <v>0</v>
      </c>
      <c r="I144" s="9" t="n">
        <f aca="false">(I143*Assumptions!$C$54)</f>
        <v>0</v>
      </c>
      <c r="J144" s="9" t="n">
        <f aca="false">(J143*Assumptions!$C$54)</f>
        <v>0</v>
      </c>
      <c r="K144" s="9" t="n">
        <f aca="false">(K143*Assumptions!$C$54)</f>
        <v>0</v>
      </c>
      <c r="L144" s="9" t="n">
        <f aca="false">(L143*Assumptions!$C$54)</f>
        <v>0</v>
      </c>
      <c r="M144" s="9" t="n">
        <f aca="false">(M143*Assumptions!$C$54)</f>
        <v>0</v>
      </c>
      <c r="N144" s="9" t="n">
        <f aca="false">(N143*Assumptions!$C$54)</f>
        <v>0</v>
      </c>
      <c r="O144" s="9" t="n">
        <f aca="false">(O143*Assumptions!$C$54)</f>
        <v>0</v>
      </c>
      <c r="P144" s="9" t="n">
        <f aca="false">(P143*Assumptions!$C$54)</f>
        <v>0</v>
      </c>
      <c r="Q144" s="9" t="n">
        <f aca="false">(Q143*Assumptions!$C$54)</f>
        <v>0</v>
      </c>
      <c r="R144" s="9" t="n">
        <f aca="false">(R143*Assumptions!$C$54)</f>
        <v>0</v>
      </c>
      <c r="S144" s="9" t="n">
        <f aca="false">(S143*Assumptions!$C$54)</f>
        <v>0</v>
      </c>
      <c r="T144" s="9" t="n">
        <f aca="false">(T143*Assumptions!$C$54)</f>
        <v>0</v>
      </c>
      <c r="U144" s="9" t="n">
        <f aca="false">(U143*Assumptions!$C$54)</f>
        <v>0</v>
      </c>
      <c r="V144" s="9" t="n">
        <f aca="false">(V143*Assumptions!$C$54)</f>
        <v>0</v>
      </c>
      <c r="W144" s="9" t="n">
        <f aca="false">(W143*Assumptions!$C$54)</f>
        <v>0</v>
      </c>
      <c r="X144" s="9" t="n">
        <f aca="false">(X143*Assumptions!$C$54)</f>
        <v>0</v>
      </c>
      <c r="Y144" s="9" t="n">
        <f aca="false">(Y143*Assumptions!$C$54)</f>
        <v>0</v>
      </c>
      <c r="Z144" s="9" t="n">
        <f aca="false">(Z143*Assumptions!$C$54)</f>
        <v>0</v>
      </c>
      <c r="AA144" s="9" t="n">
        <f aca="false">(AA143*Assumptions!$C$54)</f>
        <v>0</v>
      </c>
      <c r="AB144" s="9" t="n">
        <f aca="false">(AB143*Assumptions!$C$54)</f>
        <v>0</v>
      </c>
      <c r="AC144" s="9" t="n">
        <f aca="false">(AC143*Assumptions!$C$54)</f>
        <v>0</v>
      </c>
      <c r="AD144" s="9" t="n">
        <f aca="false">(AD143*Assumptions!$C$54)</f>
        <v>0</v>
      </c>
      <c r="AE144" s="9" t="n">
        <f aca="false">(AE143*Assumptions!$C$54)</f>
        <v>0</v>
      </c>
      <c r="AF144" s="9" t="n">
        <f aca="false">(AF143*Assumptions!$C$54)</f>
        <v>0</v>
      </c>
      <c r="AG144" s="9" t="n">
        <f aca="false">(AG143*Assumptions!$C$54)</f>
        <v>1620</v>
      </c>
      <c r="AH144" s="9" t="n">
        <f aca="false">(AH143*Assumptions!$C$54)</f>
        <v>2162.7</v>
      </c>
      <c r="AI144" s="9" t="n">
        <f aca="false">(AI143*Assumptions!$C$54)</f>
        <v>2683.692</v>
      </c>
      <c r="AJ144" s="9" t="n">
        <f aca="false">(AJ143*Assumptions!$C$54)</f>
        <v>3183.84432</v>
      </c>
      <c r="AK144" s="9" t="n">
        <f aca="false">(AK143*Assumptions!$C$54)</f>
        <v>3663.9905472</v>
      </c>
      <c r="AL144" s="9" t="n">
        <f aca="false">(AL143*Assumptions!$C$54)</f>
        <v>4124.930925312</v>
      </c>
      <c r="AN144" s="11" t="n">
        <f aca="false">SUM(C144:N144)</f>
        <v>0</v>
      </c>
      <c r="AO144" s="11" t="n">
        <f aca="false">SUM(O144:Z144)</f>
        <v>0</v>
      </c>
      <c r="AP144" s="11" t="n">
        <f aca="false">SUM(AA144:AL144)</f>
        <v>17439.157792512</v>
      </c>
    </row>
    <row r="145" customFormat="false" ht="15" hidden="false" customHeight="false" outlineLevel="0" collapsed="false">
      <c r="A145" s="21" t="s">
        <v>951</v>
      </c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</row>
    <row r="146" customFormat="false" ht="15" hidden="false" customHeight="false" outlineLevel="0" collapsed="false">
      <c r="A146" s="10" t="s">
        <v>28</v>
      </c>
      <c r="B146" s="20" t="s">
        <v>230</v>
      </c>
      <c r="C146" s="11" t="n">
        <f aca="false">(((((((C42+C129)+C127)+C131)+C136)+C137)+C140)+C144)</f>
        <v>0</v>
      </c>
      <c r="D146" s="11" t="n">
        <f aca="false">(((((((D42+D129)+D127)+D131)+D136)+D137)+D140)+D144)</f>
        <v>0</v>
      </c>
      <c r="E146" s="11" t="n">
        <f aca="false">(((((((E42+E129)+E127)+E131)+E136)+E137)+E140)+E144)</f>
        <v>0</v>
      </c>
      <c r="F146" s="11" t="n">
        <f aca="false">(((((((F42+F129)+F127)+F131)+F136)+F137)+F140)+F144)</f>
        <v>0</v>
      </c>
      <c r="G146" s="11" t="n">
        <f aca="false">(((((((G42+G129)+G127)+G131)+G136)+G137)+G140)+G144)</f>
        <v>0</v>
      </c>
      <c r="H146" s="11" t="n">
        <f aca="false">(((((((H42+H129)+H127)+H131)+H136)+H137)+H140)+H144)</f>
        <v>0</v>
      </c>
      <c r="I146" s="11" t="n">
        <f aca="false">(((((((I42+I129)+I127)+I131)+I136)+I137)+I140)+I144)</f>
        <v>0</v>
      </c>
      <c r="J146" s="11" t="n">
        <f aca="false">(((((((J42+J129)+J127)+J131)+J136)+J137)+J140)+J144)</f>
        <v>0</v>
      </c>
      <c r="K146" s="11" t="n">
        <f aca="false">(((((((K42+K129)+K127)+K131)+K136)+K137)+K140)+K144)</f>
        <v>0</v>
      </c>
      <c r="L146" s="11" t="n">
        <f aca="false">(((((((L42+L129)+L127)+L131)+L136)+L137)+L140)+L144)</f>
        <v>0</v>
      </c>
      <c r="M146" s="11" t="n">
        <f aca="false">(((((((M42+M129)+M127)+M131)+M136)+M137)+M140)+M144)</f>
        <v>0</v>
      </c>
      <c r="N146" s="11" t="n">
        <f aca="false">(((((((N42+N129)+N127)+N131)+N136)+N137)+N140)+N144)</f>
        <v>1320</v>
      </c>
      <c r="O146" s="11" t="n">
        <f aca="false">(((((((O42+O129)+O127)+O131)+O136)+O137)+O140)+O144)</f>
        <v>10845.9646768528</v>
      </c>
      <c r="P146" s="11" t="n">
        <f aca="false">(((((((P42+P129)+P127)+P131)+P136)+P137)+P140)+P144)</f>
        <v>10903.0739018655</v>
      </c>
      <c r="Q146" s="11" t="n">
        <f aca="false">(((((((Q42+Q129)+Q127)+Q131)+Q136)+Q137)+Q140)+Q144)</f>
        <v>14723.1977602126</v>
      </c>
      <c r="R146" s="11" t="n">
        <f aca="false">(((((((R42+R129)+R127)+R131)+R136)+R137)+R140)+R144)</f>
        <v>37652.400435521</v>
      </c>
      <c r="S146" s="11" t="n">
        <f aca="false">(((((((S42+S129)+S127)+S131)+S136)+S137)+S140)+S144)</f>
        <v>37759.7830036419</v>
      </c>
      <c r="T146" s="11" t="n">
        <f aca="false">(((((((T42+T129)+T127)+T131)+T136)+T137)+T140)+T144)</f>
        <v>37872.5125107066</v>
      </c>
      <c r="U146" s="11" t="n">
        <f aca="false">(((((((U42+U129)+U127)+U131)+U136)+U137)+U140)+U144)</f>
        <v>52487.4811056513</v>
      </c>
      <c r="V146" s="11" t="n">
        <f aca="false">(((((((V42+V129)+V127)+V131)+V136)+V137)+V140)+V144)</f>
        <v>53977.1328208233</v>
      </c>
      <c r="W146" s="11" t="n">
        <f aca="false">(((((((W42+W129)+W127)+W131)+W136)+W137)+W140)+W144)</f>
        <v>54129.8960052975</v>
      </c>
      <c r="X146" s="11" t="n">
        <f aca="false">(((((((X42+X129)+X127)+X131)+X136)+X137)+X140)+X144)</f>
        <v>56815.420618819</v>
      </c>
      <c r="Y146" s="11" t="n">
        <f aca="false">(((((((Y42+Y129)+Y127)+Y131)+Y136)+Y137)+Y140)+Y144)</f>
        <v>69809.7620182395</v>
      </c>
      <c r="Z146" s="11" t="n">
        <f aca="false">(((((((Z42+Z129)+Z127)+Z131)+Z136)+Z137)+Z140)+Z144)</f>
        <v>69949.5333789384</v>
      </c>
      <c r="AA146" s="11" t="n">
        <f aca="false">(((((((AA42+AA129)+AA127)+AA131)+AA136)+AA137)+AA140)+AA144)</f>
        <v>80637.9523991718</v>
      </c>
      <c r="AB146" s="11" t="n">
        <f aca="false">(((((((AB42+AB129)+AB127)+AB131)+AB136)+AB137)+AB140)+AB144)</f>
        <v>110677.295187932</v>
      </c>
      <c r="AC146" s="11" t="n">
        <f aca="false">(((((((AC42+AC129)+AC127)+AC131)+AC136)+AC137)+AC140)+AC144)</f>
        <v>111688.299575281</v>
      </c>
      <c r="AD146" s="11" t="n">
        <f aca="false">(((((((AD42+AD129)+AD127)+AD131)+AD136)+AD137)+AD140)+AD144)</f>
        <v>135677.194943382</v>
      </c>
      <c r="AE146" s="11" t="n">
        <f aca="false">(((((((AE42+AE129)+AE127)+AE131)+AE136)+AE137)+AE140)+AE144)</f>
        <v>159732.244515522</v>
      </c>
      <c r="AF146" s="11" t="n">
        <f aca="false">(((((((AF42+AF129)+AF127)+AF131)+AF136)+AF137)+AF140)+AF144)</f>
        <v>206754.335064396</v>
      </c>
      <c r="AG146" s="11" t="n">
        <f aca="false">(((((((AG42+AG129)+AG127)+AG131)+AG136)+AG137)+AG140)+AG144)</f>
        <v>215452.406618509</v>
      </c>
      <c r="AH146" s="11" t="n">
        <f aca="false">(((((((AH42+AH129)+AH127)+AH131)+AH136)+AH137)+AH140)+AH144)</f>
        <v>235323.792374803</v>
      </c>
      <c r="AI146" s="11" t="n">
        <f aca="false">(((((((AI42+AI129)+AI127)+AI131)+AI136)+AI137)+AI140)+AI144)</f>
        <v>202540.414747642</v>
      </c>
      <c r="AJ146" s="11" t="n">
        <f aca="false">(((((((AJ42+AJ129)+AJ127)+AJ131)+AJ136)+AJ137)+AJ140)+AJ144)</f>
        <v>214564.792794595</v>
      </c>
      <c r="AK146" s="11" t="n">
        <f aca="false">(((((((AK42+AK129)+AK127)+AK131)+AK136)+AK137)+AK140)+AK144)</f>
        <v>268961.351784262</v>
      </c>
      <c r="AL146" s="11" t="n">
        <f aca="false">(((((((AL42+AL129)+AL127)+AL131)+AL136)+AL137)+AL140)+AL144)</f>
        <v>359931.629493632</v>
      </c>
      <c r="AN146" s="11" t="n">
        <f aca="false">SUM(C146:N146)</f>
        <v>1320</v>
      </c>
      <c r="AO146" s="11" t="n">
        <f aca="false">SUM(O146:Z146)</f>
        <v>506926.158236569</v>
      </c>
      <c r="AP146" s="11" t="n">
        <f aca="false">SUM(AA146:AL146)</f>
        <v>2301941.70949913</v>
      </c>
    </row>
    <row r="147" customFormat="false" ht="15" hidden="false" customHeight="false" outlineLevel="0" collapsed="false">
      <c r="A147" s="0" t="s">
        <v>952</v>
      </c>
      <c r="B147" s="0" t="s">
        <v>230</v>
      </c>
      <c r="C147" s="9" t="n">
        <f aca="false">((((C42+C127)+C136)+C137)+C140)</f>
        <v>0</v>
      </c>
      <c r="D147" s="9" t="n">
        <f aca="false">((((D42+D127)+D136)+D137)+D140)</f>
        <v>0</v>
      </c>
      <c r="E147" s="9" t="n">
        <f aca="false">((((E42+E127)+E136)+E137)+E140)</f>
        <v>0</v>
      </c>
      <c r="F147" s="9" t="n">
        <f aca="false">((((F42+F127)+F136)+F137)+F140)</f>
        <v>0</v>
      </c>
      <c r="G147" s="9" t="n">
        <f aca="false">((((G42+G127)+G136)+G137)+G140)</f>
        <v>0</v>
      </c>
      <c r="H147" s="9" t="n">
        <f aca="false">((((H42+H127)+H136)+H137)+H140)</f>
        <v>0</v>
      </c>
      <c r="I147" s="9" t="n">
        <f aca="false">((((I42+I127)+I136)+I137)+I140)</f>
        <v>0</v>
      </c>
      <c r="J147" s="9" t="n">
        <f aca="false">((((J42+J127)+J136)+J137)+J140)</f>
        <v>0</v>
      </c>
      <c r="K147" s="9" t="n">
        <f aca="false">((((K42+K127)+K136)+K137)+K140)</f>
        <v>0</v>
      </c>
      <c r="L147" s="9" t="n">
        <f aca="false">((((L42+L127)+L136)+L137)+L140)</f>
        <v>0</v>
      </c>
      <c r="M147" s="9" t="n">
        <f aca="false">((((M42+M127)+M136)+M137)+M140)</f>
        <v>0</v>
      </c>
      <c r="N147" s="9" t="n">
        <f aca="false">((((N42+N127)+N136)+N137)+N140)</f>
        <v>1320</v>
      </c>
      <c r="O147" s="9" t="n">
        <f aca="false">((((O42+O127)+O136)+O137)+O140)</f>
        <v>1345.96467685284</v>
      </c>
      <c r="P147" s="9" t="n">
        <f aca="false">((((P42+P127)+P136)+P137)+P140)</f>
        <v>1403.0739018655</v>
      </c>
      <c r="Q147" s="9" t="n">
        <f aca="false">((((Q42+Q127)+Q136)+Q137)+Q140)</f>
        <v>5223.19776021259</v>
      </c>
      <c r="R147" s="9" t="n">
        <f aca="false">((((R42+R127)+R136)+R137)+R140)</f>
        <v>5319.06710218766</v>
      </c>
      <c r="S147" s="9" t="n">
        <f aca="false">((((S42+S127)+S136)+S137)+S140)</f>
        <v>5426.44967030858</v>
      </c>
      <c r="T147" s="9" t="n">
        <f aca="false">((((T42+T127)+T136)+T137)+T140)</f>
        <v>5539.17917737329</v>
      </c>
      <c r="U147" s="9" t="n">
        <f aca="false">((((U42+U127)+U136)+U137)+U140)</f>
        <v>5654.14777231801</v>
      </c>
      <c r="V147" s="9" t="n">
        <f aca="false">((((V42+V127)+V136)+V137)+V140)</f>
        <v>7143.79948748994</v>
      </c>
      <c r="W147" s="9" t="n">
        <f aca="false">((((W42+W127)+W136)+W137)+W140)</f>
        <v>7296.56267196416</v>
      </c>
      <c r="X147" s="9" t="n">
        <f aca="false">((((X42+X127)+X136)+X137)+X140)</f>
        <v>7482.08728548562</v>
      </c>
      <c r="Y147" s="9" t="n">
        <f aca="false">((((Y42+Y127)+Y136)+Y137)+Y140)</f>
        <v>13476.4286849061</v>
      </c>
      <c r="Z147" s="9" t="n">
        <f aca="false">((((Z42+Z127)+Z136)+Z137)+Z140)</f>
        <v>13616.200045605</v>
      </c>
      <c r="AA147" s="9" t="n">
        <f aca="false">((((AA42+AA127)+AA136)+AA137)+AA140)</f>
        <v>14804.6190658385</v>
      </c>
      <c r="AB147" s="9" t="n">
        <f aca="false">((((AB42+AB127)+AB136)+AB137)+AB140)</f>
        <v>29510.6285212655</v>
      </c>
      <c r="AC147" s="9" t="n">
        <f aca="false">((((AC42+AC127)+AC136)+AC137)+AC140)</f>
        <v>30521.6329086144</v>
      </c>
      <c r="AD147" s="9" t="n">
        <f aca="false">((((AD42+AD127)+AD136)+AD137)+AD140)</f>
        <v>31677.1949433816</v>
      </c>
      <c r="AE147" s="9" t="n">
        <f aca="false">((((AE42+AE127)+AE136)+AE137)+AE140)</f>
        <v>48732.2445155216</v>
      </c>
      <c r="AF147" s="9" t="n">
        <f aca="false">((((AF42+AF127)+AF136)+AF137)+AF140)</f>
        <v>50421.0017310623</v>
      </c>
      <c r="AG147" s="9" t="n">
        <f aca="false">((((AG42+AG127)+AG136)+AG137)+AG140)</f>
        <v>52499.0732851752</v>
      </c>
      <c r="AH147" s="9" t="n">
        <f aca="false">((((AH42+AH127)+AH136)+AH137)+AH140)</f>
        <v>71827.7590414694</v>
      </c>
      <c r="AI147" s="9" t="n">
        <f aca="false">((((AI42+AI127)+AI136)+AI137)+AI140)</f>
        <v>73856.7227476419</v>
      </c>
      <c r="AJ147" s="9" t="n">
        <f aca="false">((((AJ42+AJ127)+AJ136)+AJ137)+AJ140)</f>
        <v>75880.9484745947</v>
      </c>
      <c r="AK147" s="9" t="n">
        <f aca="false">((((AK42+AK127)+AK136)+AK137)+AK140)</f>
        <v>107464.027903729</v>
      </c>
      <c r="AL147" s="9" t="n">
        <f aca="false">((((AL42+AL127)+AL136)+AL137)+AL140)</f>
        <v>127306.69856832</v>
      </c>
      <c r="AN147" s="11" t="n">
        <f aca="false">SUM(C147:N147)</f>
        <v>1320</v>
      </c>
      <c r="AO147" s="11" t="n">
        <f aca="false">SUM(O147:Z147)</f>
        <v>78926.1582365693</v>
      </c>
      <c r="AP147" s="11" t="n">
        <f aca="false">SUM(AA147:AL147)</f>
        <v>714502.551706614</v>
      </c>
    </row>
    <row r="148" customFormat="false" ht="15" hidden="false" customHeight="false" outlineLevel="0" collapsed="false">
      <c r="A148" s="10" t="s">
        <v>953</v>
      </c>
      <c r="B148" s="20" t="s">
        <v>230</v>
      </c>
      <c r="C148" s="11" t="n">
        <f aca="false">(C147*12)</f>
        <v>0</v>
      </c>
      <c r="D148" s="11" t="n">
        <f aca="false">(D147*12)</f>
        <v>0</v>
      </c>
      <c r="E148" s="11" t="n">
        <f aca="false">(E147*12)</f>
        <v>0</v>
      </c>
      <c r="F148" s="11" t="n">
        <f aca="false">(F147*12)</f>
        <v>0</v>
      </c>
      <c r="G148" s="11" t="n">
        <f aca="false">(G147*12)</f>
        <v>0</v>
      </c>
      <c r="H148" s="11" t="n">
        <f aca="false">(H147*12)</f>
        <v>0</v>
      </c>
      <c r="I148" s="11" t="n">
        <f aca="false">(I147*12)</f>
        <v>0</v>
      </c>
      <c r="J148" s="11" t="n">
        <f aca="false">(J147*12)</f>
        <v>0</v>
      </c>
      <c r="K148" s="11" t="n">
        <f aca="false">(K147*12)</f>
        <v>0</v>
      </c>
      <c r="L148" s="11" t="n">
        <f aca="false">(L147*12)</f>
        <v>0</v>
      </c>
      <c r="M148" s="11" t="n">
        <f aca="false">(M147*12)</f>
        <v>0</v>
      </c>
      <c r="N148" s="11" t="n">
        <f aca="false">(N147*12)</f>
        <v>15840</v>
      </c>
      <c r="O148" s="11" t="n">
        <f aca="false">(O147*12)</f>
        <v>16151.5761222341</v>
      </c>
      <c r="P148" s="11" t="n">
        <f aca="false">(P147*12)</f>
        <v>16836.886822386</v>
      </c>
      <c r="Q148" s="11" t="n">
        <f aca="false">(Q147*12)</f>
        <v>62678.373122551</v>
      </c>
      <c r="R148" s="11" t="n">
        <f aca="false">(R147*12)</f>
        <v>63828.8052262519</v>
      </c>
      <c r="S148" s="11" t="n">
        <f aca="false">(S147*12)</f>
        <v>65117.3960437029</v>
      </c>
      <c r="T148" s="11" t="n">
        <f aca="false">(T147*12)</f>
        <v>66470.1501284794</v>
      </c>
      <c r="U148" s="11" t="n">
        <f aca="false">(U147*12)</f>
        <v>67849.7732678161</v>
      </c>
      <c r="V148" s="11" t="n">
        <f aca="false">(V147*12)</f>
        <v>85725.5938498793</v>
      </c>
      <c r="W148" s="11" t="n">
        <f aca="false">(W147*12)</f>
        <v>87558.75206357</v>
      </c>
      <c r="X148" s="11" t="n">
        <f aca="false">(X147*12)</f>
        <v>89785.0474258275</v>
      </c>
      <c r="Y148" s="11" t="n">
        <f aca="false">(Y147*12)</f>
        <v>161717.144218873</v>
      </c>
      <c r="Z148" s="11" t="n">
        <f aca="false">(Z147*12)</f>
        <v>163394.40054726</v>
      </c>
      <c r="AA148" s="11" t="n">
        <f aca="false">(AA147*12)</f>
        <v>177655.428790061</v>
      </c>
      <c r="AB148" s="11" t="n">
        <f aca="false">(AB147*12)</f>
        <v>354127.542255186</v>
      </c>
      <c r="AC148" s="11" t="n">
        <f aca="false">(AC147*12)</f>
        <v>366259.594903373</v>
      </c>
      <c r="AD148" s="11" t="n">
        <f aca="false">(AD147*12)</f>
        <v>380126.33932058</v>
      </c>
      <c r="AE148" s="11" t="n">
        <f aca="false">(AE147*12)</f>
        <v>584786.934186259</v>
      </c>
      <c r="AF148" s="11" t="n">
        <f aca="false">(AF147*12)</f>
        <v>605052.020772747</v>
      </c>
      <c r="AG148" s="11" t="n">
        <f aca="false">(AG147*12)</f>
        <v>629988.879422103</v>
      </c>
      <c r="AH148" s="11" t="n">
        <f aca="false">(AH147*12)</f>
        <v>861933.108497633</v>
      </c>
      <c r="AI148" s="11" t="n">
        <f aca="false">(AI147*12)</f>
        <v>886280.672971703</v>
      </c>
      <c r="AJ148" s="11" t="n">
        <f aca="false">(AJ147*12)</f>
        <v>910571.381695137</v>
      </c>
      <c r="AK148" s="11" t="n">
        <f aca="false">(AK147*12)</f>
        <v>1289568.33484474</v>
      </c>
      <c r="AL148" s="11" t="n">
        <f aca="false">(AL147*12)</f>
        <v>1527680.38281984</v>
      </c>
      <c r="AN148" s="11" t="n">
        <f aca="false">N148</f>
        <v>15840</v>
      </c>
      <c r="AO148" s="11" t="n">
        <f aca="false">Z148</f>
        <v>163394.40054726</v>
      </c>
      <c r="AP148" s="11" t="n">
        <f aca="false">AL148</f>
        <v>1527680.38281984</v>
      </c>
    </row>
    <row r="149" customFormat="false" ht="15" hidden="false" customHeight="false" outlineLevel="0" collapsed="false">
      <c r="A149" s="0" t="s">
        <v>954</v>
      </c>
      <c r="B149" s="0" t="s">
        <v>230</v>
      </c>
      <c r="C149" s="9" t="n">
        <f aca="false">((((C127+C136)+C137)+C140)*12)</f>
        <v>0</v>
      </c>
      <c r="D149" s="9" t="n">
        <f aca="false">((((D127+D136)+D137)+D140)*12)</f>
        <v>0</v>
      </c>
      <c r="E149" s="9" t="n">
        <f aca="false">((((E127+E136)+E137)+E140)*12)</f>
        <v>0</v>
      </c>
      <c r="F149" s="9" t="n">
        <f aca="false">((((F127+F136)+F137)+F140)*12)</f>
        <v>0</v>
      </c>
      <c r="G149" s="9" t="n">
        <f aca="false">((((G127+G136)+G137)+G140)*12)</f>
        <v>0</v>
      </c>
      <c r="H149" s="9" t="n">
        <f aca="false">((((H127+H136)+H137)+H140)*12)</f>
        <v>0</v>
      </c>
      <c r="I149" s="9" t="n">
        <f aca="false">((((I127+I136)+I137)+I140)*12)</f>
        <v>0</v>
      </c>
      <c r="J149" s="9" t="n">
        <f aca="false">((((J127+J136)+J137)+J140)*12)</f>
        <v>0</v>
      </c>
      <c r="K149" s="9" t="n">
        <f aca="false">((((K127+K136)+K137)+K140)*12)</f>
        <v>0</v>
      </c>
      <c r="L149" s="9" t="n">
        <f aca="false">((((L127+L136)+L137)+L140)*12)</f>
        <v>0</v>
      </c>
      <c r="M149" s="9" t="n">
        <f aca="false">((((M127+M136)+M137)+M140)*12)</f>
        <v>0</v>
      </c>
      <c r="N149" s="9" t="n">
        <f aca="false">((((N127+N136)+N137)+N140)*12)</f>
        <v>15840</v>
      </c>
      <c r="O149" s="9" t="n">
        <f aca="false">((((O127+O136)+O137)+O140)*12)</f>
        <v>15840</v>
      </c>
      <c r="P149" s="9" t="n">
        <f aca="false">((((P127+P136)+P137)+P140)*12)</f>
        <v>15840</v>
      </c>
      <c r="Q149" s="9" t="n">
        <f aca="false">((((Q127+Q136)+Q137)+Q140)*12)</f>
        <v>60720</v>
      </c>
      <c r="R149" s="9" t="n">
        <f aca="false">((((R127+R136)+R137)+R140)*12)</f>
        <v>60720</v>
      </c>
      <c r="S149" s="9" t="n">
        <f aca="false">((((S127+S136)+S137)+S140)*12)</f>
        <v>60720</v>
      </c>
      <c r="T149" s="9" t="n">
        <f aca="false">((((T127+T136)+T137)+T140)*12)</f>
        <v>60720</v>
      </c>
      <c r="U149" s="9" t="n">
        <f aca="false">((((U127+U136)+U137)+U140)*12)</f>
        <v>60720</v>
      </c>
      <c r="V149" s="9" t="n">
        <f aca="false">((((V127+V136)+V137)+V140)*12)</f>
        <v>77130</v>
      </c>
      <c r="W149" s="9" t="n">
        <f aca="false">((((W127+W136)+W137)+W140)*12)</f>
        <v>77130</v>
      </c>
      <c r="X149" s="9" t="n">
        <f aca="false">((((X127+X136)+X137)+X140)*12)</f>
        <v>77130</v>
      </c>
      <c r="Y149" s="9" t="n">
        <f aca="false">((((Y127+Y136)+Y137)+Y140)*12)</f>
        <v>146730</v>
      </c>
      <c r="Z149" s="9" t="n">
        <f aca="false">((((Z127+Z136)+Z137)+Z140)*12)</f>
        <v>146050.32</v>
      </c>
      <c r="AA149" s="9" t="n">
        <f aca="false">((((AA127+AA136)+AA137)+AA140)*12)</f>
        <v>158050.32</v>
      </c>
      <c r="AB149" s="9" t="n">
        <f aca="false">((((AB127+AB136)+AB137)+AB140)*12)</f>
        <v>332060.32</v>
      </c>
      <c r="AC149" s="9" t="n">
        <f aca="false">((((AC127+AC136)+AC137)+AC140)*12)</f>
        <v>341630.56</v>
      </c>
      <c r="AD149" s="9" t="n">
        <f aca="false">((((AD127+AD136)+AD137)+AD140)*12)</f>
        <v>352924.864</v>
      </c>
      <c r="AE149" s="9" t="n">
        <f aca="false">((((AE127+AE136)+AE137)+AE140)*12)</f>
        <v>555043.28192</v>
      </c>
      <c r="AF149" s="9" t="n">
        <f aca="false">((((AF127+AF136)+AF137)+AF140)*12)</f>
        <v>572870.7314816</v>
      </c>
      <c r="AG149" s="9" t="n">
        <f aca="false">((((AG127+AG136)+AG137)+AG140)*12)</f>
        <v>595500.840051968</v>
      </c>
      <c r="AH149" s="9" t="n">
        <f aca="false">((((AH127+AH136)+AH137)+AH140)*12)</f>
        <v>825171.946450929</v>
      </c>
      <c r="AI149" s="9" t="n">
        <f aca="false">((((AI127+AI136)+AI137)+AI140)*12)</f>
        <v>846905.90272191</v>
      </c>
      <c r="AJ149" s="9" t="n">
        <f aca="false">((((AJ127+AJ136)+AJ137)+AJ140)*12)</f>
        <v>868205.179867472</v>
      </c>
      <c r="AK149" s="9" t="n">
        <f aca="false">((((AK127+AK136)+AK137)+AK140)*12)</f>
        <v>1244186.15147012</v>
      </c>
      <c r="AL149" s="9" t="n">
        <f aca="false">((((AL127+AL136)+AL137)+AL140)*12)</f>
        <v>1479349.25340072</v>
      </c>
      <c r="AN149" s="11" t="n">
        <f aca="false">N149</f>
        <v>15840</v>
      </c>
      <c r="AO149" s="11" t="n">
        <f aca="false">Z149</f>
        <v>146050.32</v>
      </c>
      <c r="AP149" s="11" t="n">
        <f aca="false">AL149</f>
        <v>1479349.25340072</v>
      </c>
    </row>
    <row r="150" customFormat="false" ht="15" hidden="false" customHeight="false" outlineLevel="0" collapsed="false">
      <c r="A150" s="0" t="s">
        <v>955</v>
      </c>
      <c r="B150" s="0" t="s">
        <v>230</v>
      </c>
      <c r="C150" s="9" t="n">
        <f aca="false">(C42*12)</f>
        <v>0</v>
      </c>
      <c r="D150" s="9" t="n">
        <f aca="false">(D42*12)</f>
        <v>0</v>
      </c>
      <c r="E150" s="9" t="n">
        <f aca="false">(E42*12)</f>
        <v>0</v>
      </c>
      <c r="F150" s="9" t="n">
        <f aca="false">(F42*12)</f>
        <v>0</v>
      </c>
      <c r="G150" s="9" t="n">
        <f aca="false">(G42*12)</f>
        <v>0</v>
      </c>
      <c r="H150" s="9" t="n">
        <f aca="false">(H42*12)</f>
        <v>0</v>
      </c>
      <c r="I150" s="9" t="n">
        <f aca="false">(I42*12)</f>
        <v>0</v>
      </c>
      <c r="J150" s="9" t="n">
        <f aca="false">(J42*12)</f>
        <v>0</v>
      </c>
      <c r="K150" s="9" t="n">
        <f aca="false">(K42*12)</f>
        <v>0</v>
      </c>
      <c r="L150" s="9" t="n">
        <f aca="false">(L42*12)</f>
        <v>0</v>
      </c>
      <c r="M150" s="9" t="n">
        <f aca="false">(M42*12)</f>
        <v>0</v>
      </c>
      <c r="N150" s="9" t="n">
        <f aca="false">(N42*12)</f>
        <v>0</v>
      </c>
      <c r="O150" s="9" t="n">
        <f aca="false">(O42*12)</f>
        <v>311.576122234068</v>
      </c>
      <c r="P150" s="9" t="n">
        <f aca="false">(P42*12)</f>
        <v>996.886822386001</v>
      </c>
      <c r="Q150" s="9" t="n">
        <f aca="false">(Q42*12)</f>
        <v>1958.37312255104</v>
      </c>
      <c r="R150" s="9" t="n">
        <f aca="false">(R42*12)</f>
        <v>3108.80522625186</v>
      </c>
      <c r="S150" s="9" t="n">
        <f aca="false">(S42*12)</f>
        <v>4397.39604370293</v>
      </c>
      <c r="T150" s="9" t="n">
        <f aca="false">(T42*12)</f>
        <v>5750.15012847944</v>
      </c>
      <c r="U150" s="9" t="n">
        <f aca="false">(U42*12)</f>
        <v>7129.77326781614</v>
      </c>
      <c r="V150" s="9" t="n">
        <f aca="false">(V42*12)</f>
        <v>8595.5938498793</v>
      </c>
      <c r="W150" s="9" t="n">
        <f aca="false">(W42*12)</f>
        <v>10428.75206357</v>
      </c>
      <c r="X150" s="9" t="n">
        <f aca="false">(X42*12)</f>
        <v>12655.0474258275</v>
      </c>
      <c r="Y150" s="9" t="n">
        <f aca="false">(Y42*12)</f>
        <v>14987.1442188732</v>
      </c>
      <c r="Z150" s="9" t="n">
        <f aca="false">(Z42*12)</f>
        <v>17344.0805472603</v>
      </c>
      <c r="AA150" s="9" t="n">
        <f aca="false">(AA42*12)</f>
        <v>19605.1087900615</v>
      </c>
      <c r="AB150" s="9" t="n">
        <f aca="false">(AB42*12)</f>
        <v>22067.2222551861</v>
      </c>
      <c r="AC150" s="9" t="n">
        <f aca="false">(AC42*12)</f>
        <v>24629.0349033734</v>
      </c>
      <c r="AD150" s="9" t="n">
        <f aca="false">(AD42*12)</f>
        <v>27201.4753205796</v>
      </c>
      <c r="AE150" s="9" t="n">
        <f aca="false">(AE42*12)</f>
        <v>29743.6522662586</v>
      </c>
      <c r="AF150" s="9" t="n">
        <f aca="false">(AF42*12)</f>
        <v>32181.2892911471</v>
      </c>
      <c r="AG150" s="9" t="n">
        <f aca="false">(AG42*12)</f>
        <v>34488.0393701347</v>
      </c>
      <c r="AH150" s="9" t="n">
        <f aca="false">(AH42*12)</f>
        <v>36761.1620467044</v>
      </c>
      <c r="AI150" s="9" t="n">
        <f aca="false">(AI42*12)</f>
        <v>39374.770249793</v>
      </c>
      <c r="AJ150" s="9" t="n">
        <f aca="false">(AJ42*12)</f>
        <v>42366.201827665</v>
      </c>
      <c r="AK150" s="9" t="n">
        <f aca="false">(AK42*12)</f>
        <v>45382.1833746197</v>
      </c>
      <c r="AL150" s="9" t="n">
        <f aca="false">(AL42*12)</f>
        <v>48331.1294191236</v>
      </c>
      <c r="AN150" s="11" t="n">
        <f aca="false">N150</f>
        <v>0</v>
      </c>
      <c r="AO150" s="11" t="n">
        <f aca="false">Z150</f>
        <v>17344.0805472603</v>
      </c>
      <c r="AP150" s="11" t="n">
        <f aca="false">AL150</f>
        <v>48331.1294191236</v>
      </c>
    </row>
    <row r="151" customFormat="false" ht="15" hidden="false" customHeight="false" outlineLevel="0" collapsed="false">
      <c r="A151" s="10" t="s">
        <v>956</v>
      </c>
      <c r="B151" s="20" t="s">
        <v>230</v>
      </c>
      <c r="C151" s="11" t="n">
        <f aca="false">(((((((C41+C130)+C128)+C132)+C136)+C137)+C140)+C144)</f>
        <v>0</v>
      </c>
      <c r="D151" s="11" t="n">
        <f aca="false">(((((((D41+D130)+D128)+D132)+D136)+D137)+D140)+D144)</f>
        <v>0</v>
      </c>
      <c r="E151" s="11" t="n">
        <f aca="false">(((((((E41+E130)+E128)+E132)+E136)+E137)+E140)+E144)</f>
        <v>0</v>
      </c>
      <c r="F151" s="11" t="n">
        <f aca="false">(((((((F41+F130)+F128)+F132)+F136)+F137)+F140)+F144)</f>
        <v>0</v>
      </c>
      <c r="G151" s="11" t="n">
        <f aca="false">(((((((G41+G130)+G128)+G132)+G136)+G137)+G140)+G144)</f>
        <v>0</v>
      </c>
      <c r="H151" s="11" t="n">
        <f aca="false">(((((((H41+H130)+H128)+H132)+H136)+H137)+H140)+H144)</f>
        <v>0</v>
      </c>
      <c r="I151" s="11" t="n">
        <f aca="false">(((((((I41+I130)+I128)+I132)+I136)+I137)+I140)+I144)</f>
        <v>0</v>
      </c>
      <c r="J151" s="11" t="n">
        <f aca="false">(((((((J41+J130)+J128)+J132)+J136)+J137)+J140)+J144)</f>
        <v>0</v>
      </c>
      <c r="K151" s="11" t="n">
        <f aca="false">(((((((K41+K130)+K128)+K132)+K136)+K137)+K140)+K144)</f>
        <v>0</v>
      </c>
      <c r="L151" s="11" t="n">
        <f aca="false">(((((((L41+L130)+L128)+L132)+L136)+L137)+L140)+L144)</f>
        <v>0</v>
      </c>
      <c r="M151" s="11" t="n">
        <f aca="false">(((((((M41+M130)+M128)+M132)+M136)+M137)+M140)+M144)</f>
        <v>0</v>
      </c>
      <c r="N151" s="11" t="n">
        <f aca="false">(((((((N41+N130)+N128)+N132)+N136)+N137)+N140)+N144)</f>
        <v>15840</v>
      </c>
      <c r="O151" s="11" t="n">
        <f aca="false">(((((((O41+O130)+O128)+O132)+O136)+O137)+O140)+O144)</f>
        <v>36121.6079828777</v>
      </c>
      <c r="P151" s="11" t="n">
        <f aca="false">(((((((P41+P130)+P128)+P132)+P136)+P137)+P140)+P144)</f>
        <v>287.926957961313</v>
      </c>
      <c r="Q151" s="11" t="n">
        <f aca="false">(((((((Q41+Q130)+Q128)+Q132)+Q136)+Q137)+Q140)+Q144)</f>
        <v>45320.356712315</v>
      </c>
      <c r="R151" s="11" t="n">
        <f aca="false">(((((((R41+R130)+R128)+R132)+R136)+R137)+R140)+R144)</f>
        <v>112576.120353043</v>
      </c>
      <c r="S151" s="11" t="n">
        <f aca="false">(((((((S41+S130)+S128)+S132)+S136)+S137)+S140)+S144)</f>
        <v>703.425043098247</v>
      </c>
      <c r="T151" s="11" t="n">
        <f aca="false">(((((((T41+T130)+T128)+T132)+T136)+T137)+T140)+T144)</f>
        <v>809.68885595449</v>
      </c>
      <c r="U151" s="11" t="n">
        <f aca="false">(((((((U41+U130)+U128)+U132)+U136)+U137)+U140)+U144)</f>
        <v>148904.248242157</v>
      </c>
      <c r="V151" s="11" t="n">
        <f aca="false">(((((((V41+V130)+V128)+V132)+V136)+V137)+V140)+V144)</f>
        <v>11052.319364051</v>
      </c>
      <c r="W151" s="11" t="n">
        <f aca="false">(((((((W41+W130)+W128)+W132)+W136)+W137)+W140)+W144)</f>
        <v>1834.36335472606</v>
      </c>
      <c r="X151" s="11" t="n">
        <f aca="false">(((((((X41+X130)+X128)+X132)+X136)+X137)+X140)+X144)</f>
        <v>150099.102727603</v>
      </c>
      <c r="Y151" s="11" t="n">
        <f aca="false">(((((((Y41+Y130)+Y128)+Y132)+Y136)+Y137)+Y140)+Y144)</f>
        <v>86605.635515643</v>
      </c>
      <c r="Z151" s="11" t="n">
        <f aca="false">(((((((Z41+Z130)+Z128)+Z132)+Z136)+Z137)+Z140)+Z144)</f>
        <v>18313.9689143635</v>
      </c>
      <c r="AA151" s="11" t="n">
        <f aca="false">(((((((AA41+AA130)+AA128)+AA132)+AA136)+AA137)+AA140)+AA144)</f>
        <v>188158.333598324</v>
      </c>
      <c r="AB151" s="11" t="n">
        <f aca="false">(((((((AB41+AB130)+AB128)+AB132)+AB136)+AB137)+AB140)+AB144)</f>
        <v>220723.812593199</v>
      </c>
      <c r="AC151" s="11" t="n">
        <f aca="false">(((((((AC41+AC130)+AC128)+AC132)+AC136)+AC137)+AC140)+AC144)</f>
        <v>51334.7918486731</v>
      </c>
      <c r="AD151" s="11" t="n">
        <f aca="false">(((((((AD41+AD130)+AD128)+AD132)+AD136)+AD137)+AD140)+AD144)</f>
        <v>269045.276029969</v>
      </c>
      <c r="AE151" s="11" t="n">
        <f aca="false">(((((((AE41+AE130)+AE128)+AE132)+AE136)+AE137)+AE140)+AE144)</f>
        <v>273034.149235885</v>
      </c>
      <c r="AF151" s="11" t="n">
        <f aca="false">(((((((AF41+AF130)+AF128)+AF132)+AF136)+AF137)+AF140)+AF144)</f>
        <v>179247.410449755</v>
      </c>
      <c r="AG151" s="11" t="n">
        <f aca="false">(((((((AG41+AG130)+AG128)+AG132)+AG136)+AG137)+AG140)+AG144)</f>
        <v>276863.519610794</v>
      </c>
      <c r="AH151" s="11" t="n">
        <f aca="false">(((((((AH41+AH130)+AH128)+AH132)+AH136)+AH137)+AH140)+AH144)</f>
        <v>304819.809801724</v>
      </c>
      <c r="AI151" s="11" t="n">
        <f aca="false">(((((((AI41+AI130)+AI128)+AI132)+AI136)+AI137)+AI140)+AI144)</f>
        <v>23878.406056737</v>
      </c>
      <c r="AJ151" s="11" t="n">
        <f aca="false">(((((((AJ41+AJ130)+AJ128)+AJ132)+AJ136)+AJ137)+AJ140)+AJ144)</f>
        <v>322565.39996971</v>
      </c>
      <c r="AK151" s="11" t="n">
        <f aca="false">(((((((AK41+AK130)+AK128)+AK132)+AK136)+AK137)+AK140)+AK144)</f>
        <v>568902.959372518</v>
      </c>
      <c r="AL151" s="11" t="n">
        <f aca="false">(((((((AL41+AL130)+AL128)+AL132)+AL136)+AL137)+AL140)+AL144)</f>
        <v>516604.400127804</v>
      </c>
      <c r="AN151" s="11" t="n">
        <f aca="false">SUM(C151:N151)</f>
        <v>15840</v>
      </c>
      <c r="AO151" s="11" t="n">
        <f aca="false">SUM(O151:Z151)</f>
        <v>612628.764023793</v>
      </c>
      <c r="AP151" s="11" t="n">
        <f aca="false">SUM(AA151:AL151)</f>
        <v>3195178.26869509</v>
      </c>
    </row>
    <row r="152" customFormat="false" ht="15" hidden="false" customHeight="false" outlineLevel="0" collapsed="false">
      <c r="A152" s="0" t="s">
        <v>957</v>
      </c>
      <c r="B152" s="0" t="s">
        <v>230</v>
      </c>
      <c r="C152" s="9" t="n">
        <f aca="false">((C130+C128)+C132)</f>
        <v>0</v>
      </c>
      <c r="D152" s="9" t="n">
        <f aca="false">((D130+D128)+D132)</f>
        <v>0</v>
      </c>
      <c r="E152" s="9" t="n">
        <f aca="false">((E130+E128)+E132)</f>
        <v>0</v>
      </c>
      <c r="F152" s="9" t="n">
        <f aca="false">((F130+F128)+F132)</f>
        <v>0</v>
      </c>
      <c r="G152" s="9" t="n">
        <f aca="false">((G130+G128)+G132)</f>
        <v>0</v>
      </c>
      <c r="H152" s="9" t="n">
        <f aca="false">((H130+H128)+H132)</f>
        <v>0</v>
      </c>
      <c r="I152" s="9" t="n">
        <f aca="false">((I130+I128)+I132)</f>
        <v>0</v>
      </c>
      <c r="J152" s="9" t="n">
        <f aca="false">((J130+J128)+J132)</f>
        <v>0</v>
      </c>
      <c r="K152" s="9" t="n">
        <f aca="false">((K130+K128)+K132)</f>
        <v>0</v>
      </c>
      <c r="L152" s="9" t="n">
        <f aca="false">((L130+L128)+L132)</f>
        <v>0</v>
      </c>
      <c r="M152" s="9" t="n">
        <f aca="false">((M130+M128)+M132)</f>
        <v>0</v>
      </c>
      <c r="N152" s="9" t="n">
        <f aca="false">((N130+N128)+N132)</f>
        <v>15840</v>
      </c>
      <c r="O152" s="9" t="n">
        <f aca="false">((O130+O128)+O132)</f>
        <v>36000</v>
      </c>
      <c r="P152" s="9" t="n">
        <f aca="false">((P130+P128)+P132)</f>
        <v>0</v>
      </c>
      <c r="Q152" s="9" t="n">
        <f aca="false">((Q130+Q128)+Q132)</f>
        <v>44880</v>
      </c>
      <c r="R152" s="9" t="n">
        <f aca="false">((R130+R128)+R132)</f>
        <v>112000</v>
      </c>
      <c r="S152" s="9" t="n">
        <f aca="false">((S130+S128)+S132)</f>
        <v>0</v>
      </c>
      <c r="T152" s="9" t="n">
        <f aca="false">((T130+T128)+T132)</f>
        <v>0</v>
      </c>
      <c r="U152" s="9" t="n">
        <f aca="false">((U130+U128)+U132)</f>
        <v>148000</v>
      </c>
      <c r="V152" s="9" t="n">
        <f aca="false">((V130+V128)+V132)</f>
        <v>9450</v>
      </c>
      <c r="W152" s="9" t="n">
        <f aca="false">((W130+W128)+W132)</f>
        <v>0</v>
      </c>
      <c r="X152" s="9" t="n">
        <f aca="false">((X130+X128)+X132)</f>
        <v>148000</v>
      </c>
      <c r="Y152" s="9" t="n">
        <f aca="false">((Y130+Y128)+Y132)</f>
        <v>83760</v>
      </c>
      <c r="Z152" s="9" t="n">
        <f aca="false">((Z130+Z128)+Z132)</f>
        <v>15333.12</v>
      </c>
      <c r="AA152" s="9" t="n">
        <f aca="false">((AA130+AA128)+AA132)</f>
        <v>184000</v>
      </c>
      <c r="AB152" s="9" t="n">
        <f aca="false">((AB130+AB128)+AB132)</f>
        <v>214010</v>
      </c>
      <c r="AC152" s="9" t="n">
        <f aca="false">((AC130+AC128)+AC132)</f>
        <v>43443.84</v>
      </c>
      <c r="AD152" s="9" t="n">
        <f aca="false">((AD130+AD128)+AD132)</f>
        <v>260000</v>
      </c>
      <c r="AE152" s="9" t="n">
        <f aca="false">((AE130+AE128)+AE132)</f>
        <v>261410</v>
      </c>
      <c r="AF152" s="9" t="n">
        <f aca="false">((AF130+AF128)+AF132)</f>
        <v>166000</v>
      </c>
      <c r="AG152" s="9" t="n">
        <f aca="false">((AG130+AG128)+AG132)</f>
        <v>260000</v>
      </c>
      <c r="AH152" s="9" t="n">
        <f aca="false">((AH130+AH128)+AH132)</f>
        <v>283637.6</v>
      </c>
      <c r="AI152" s="9" t="n">
        <f aca="false">((AI130+AI128)+AI132)</f>
        <v>0</v>
      </c>
      <c r="AJ152" s="9" t="n">
        <f aca="false">((AJ130+AJ128)+AJ132)</f>
        <v>296000</v>
      </c>
      <c r="AK152" s="9" t="n">
        <f aca="false">((AK130+AK128)+AK132)</f>
        <v>536885.68</v>
      </c>
      <c r="AL152" s="9" t="n">
        <f aca="false">((AL130+AL128)+AL132)</f>
        <v>480442.46016</v>
      </c>
      <c r="AN152" s="11" t="n">
        <f aca="false">SUM(C152:N152)</f>
        <v>15840</v>
      </c>
      <c r="AO152" s="11" t="n">
        <f aca="false">SUM(O152:Z152)</f>
        <v>597423.12</v>
      </c>
      <c r="AP152" s="11" t="n">
        <f aca="false">SUM(AA152:AL152)</f>
        <v>2985829.58016</v>
      </c>
    </row>
    <row r="153" customFormat="false" ht="15" hidden="false" customHeight="false" outlineLevel="0" collapsed="false">
      <c r="A153" s="0" t="s">
        <v>43</v>
      </c>
      <c r="B153" s="0" t="s">
        <v>230</v>
      </c>
      <c r="C153" s="9" t="n">
        <f aca="false">(((((C41+C136)+C137)+C140)+C144)+((1-Assumptions!$C$33)*0))</f>
        <v>0</v>
      </c>
      <c r="D153" s="9" t="n">
        <f aca="false">(((((D41+D136)+D137)+D140)+D144)+((1-Assumptions!$C$33)*0))</f>
        <v>0</v>
      </c>
      <c r="E153" s="9" t="n">
        <f aca="false">(((((E41+E136)+E137)+E140)+E144)+((1-Assumptions!$C$33)*C152))</f>
        <v>0</v>
      </c>
      <c r="F153" s="9" t="n">
        <f aca="false">(((((F41+F136)+F137)+F140)+F144)+((1-Assumptions!$C$33)*D152))</f>
        <v>0</v>
      </c>
      <c r="G153" s="9" t="n">
        <f aca="false">(((((G41+G136)+G137)+G140)+G144)+((1-Assumptions!$C$33)*E152))</f>
        <v>0</v>
      </c>
      <c r="H153" s="9" t="n">
        <f aca="false">(((((H41+H136)+H137)+H140)+H144)+((1-Assumptions!$C$33)*F152))</f>
        <v>0</v>
      </c>
      <c r="I153" s="9" t="n">
        <f aca="false">(((((I41+I136)+I137)+I140)+I144)+((1-Assumptions!$C$33)*G152))</f>
        <v>0</v>
      </c>
      <c r="J153" s="9" t="n">
        <f aca="false">(((((J41+J136)+J137)+J140)+J144)+((1-Assumptions!$C$33)*H152))</f>
        <v>0</v>
      </c>
      <c r="K153" s="9" t="n">
        <f aca="false">(((((K41+K136)+K137)+K140)+K144)+((1-Assumptions!$C$33)*I152))</f>
        <v>0</v>
      </c>
      <c r="L153" s="9" t="n">
        <f aca="false">(((((L41+L136)+L137)+L140)+L144)+((1-Assumptions!$C$33)*J152))</f>
        <v>0</v>
      </c>
      <c r="M153" s="9" t="n">
        <f aca="false">(((((M41+M136)+M137)+M140)+M144)+((1-Assumptions!$C$33)*K152))</f>
        <v>0</v>
      </c>
      <c r="N153" s="9" t="n">
        <f aca="false">(((((N41+N136)+N137)+N140)+N144)+((1-Assumptions!$C$33)*L152))</f>
        <v>0</v>
      </c>
      <c r="O153" s="9" t="n">
        <f aca="false">(((((O41+O136)+O137)+O140)+O144)+((1-Assumptions!$C$33)*M152))</f>
        <v>121.607982877657</v>
      </c>
      <c r="P153" s="9" t="n">
        <f aca="false">(((((P41+P136)+P137)+P140)+P144)+((1-Assumptions!$C$33)*N152))</f>
        <v>15969.5269579613</v>
      </c>
      <c r="Q153" s="9" t="n">
        <f aca="false">(((((Q41+Q136)+Q137)+Q140)+Q144)+((1-Assumptions!$C$33)*O152))</f>
        <v>36080.356712315</v>
      </c>
      <c r="R153" s="9" t="n">
        <f aca="false">(((((R41+R136)+R137)+R140)+R144)+((1-Assumptions!$C$33)*P152))</f>
        <v>576.120353042797</v>
      </c>
      <c r="S153" s="9" t="n">
        <f aca="false">(((((S41+S136)+S137)+S140)+S144)+((1-Assumptions!$C$33)*Q152))</f>
        <v>45134.6250430983</v>
      </c>
      <c r="T153" s="9" t="n">
        <f aca="false">(((((T41+T136)+T137)+T140)+T144)+((1-Assumptions!$C$33)*R152))</f>
        <v>111689.688855954</v>
      </c>
      <c r="U153" s="9" t="n">
        <f aca="false">(((((U41+U136)+U137)+U140)+U144)+((1-Assumptions!$C$33)*S152))</f>
        <v>904.248242156615</v>
      </c>
      <c r="V153" s="9" t="n">
        <f aca="false">(((((V41+V136)+V137)+V140)+V144)+((1-Assumptions!$C$33)*T152))</f>
        <v>1602.31936405095</v>
      </c>
      <c r="W153" s="9" t="n">
        <f aca="false">(((((W41+W136)+W137)+W140)+W144)+((1-Assumptions!$C$33)*U152))</f>
        <v>148354.363354726</v>
      </c>
      <c r="X153" s="9" t="n">
        <f aca="false">(((((X41+X136)+X137)+X140)+X144)+((1-Assumptions!$C$33)*V152))</f>
        <v>11454.6027276029</v>
      </c>
      <c r="Y153" s="9" t="n">
        <f aca="false">(((((Y41+Y136)+Y137)+Y140)+Y144)+((1-Assumptions!$C$33)*W152))</f>
        <v>2845.63551564298</v>
      </c>
      <c r="Z153" s="9" t="n">
        <f aca="false">(((((Z41+Z136)+Z137)+Z140)+Z144)+((1-Assumptions!$C$33)*X152))</f>
        <v>149500.848914364</v>
      </c>
      <c r="AA153" s="9" t="n">
        <f aca="false">(((((AA41+AA136)+AA137)+AA140)+AA144)+((1-Assumptions!$C$33)*Y152))</f>
        <v>87080.7335983244</v>
      </c>
      <c r="AB153" s="9" t="n">
        <f aca="false">(((((AB41+AB136)+AB137)+AB140)+AB144)+((1-Assumptions!$C$33)*Z152))</f>
        <v>21893.6013931985</v>
      </c>
      <c r="AC153" s="9" t="n">
        <f aca="false">(((((AC41+AC136)+AC137)+AC140)+AC144)+((1-Assumptions!$C$33)*AA152))</f>
        <v>190050.951848673</v>
      </c>
      <c r="AD153" s="9" t="n">
        <f aca="false">(((((AD41+AD136)+AD137)+AD140)+AD144)+((1-Assumptions!$C$33)*AB152))</f>
        <v>220915.176029969</v>
      </c>
      <c r="AE153" s="9" t="n">
        <f aca="false">(((((AE41+AE136)+AE137)+AE140)+AE144)+((1-Assumptions!$C$33)*AC152))</f>
        <v>54633.5508358849</v>
      </c>
      <c r="AF153" s="9" t="n">
        <f aca="false">(((((AF41+AF136)+AF137)+AF140)+AF144)+((1-Assumptions!$C$33)*AD152))</f>
        <v>270647.410449755</v>
      </c>
      <c r="AG153" s="9" t="n">
        <f aca="false">(((((AG41+AG136)+AG137)+AG140)+AG144)+((1-Assumptions!$C$33)*AE152))</f>
        <v>275659.419610794</v>
      </c>
      <c r="AH153" s="9" t="n">
        <f aca="false">(((((AH41+AH136)+AH137)+AH140)+AH144)+((1-Assumptions!$C$33)*AF152))</f>
        <v>185522.209801724</v>
      </c>
      <c r="AI153" s="9" t="n">
        <f aca="false">(((((AI41+AI136)+AI137)+AI140)+AI144)+((1-Assumptions!$C$33)*AG152))</f>
        <v>281278.406056737</v>
      </c>
      <c r="AJ153" s="9" t="n">
        <f aca="false">(((((AJ41+AJ136)+AJ137)+AJ140)+AJ144)+((1-Assumptions!$C$33)*AH152))</f>
        <v>307366.62396971</v>
      </c>
      <c r="AK153" s="9" t="n">
        <f aca="false">(((((AK41+AK136)+AK137)+AK140)+AK144)+((1-Assumptions!$C$33)*AI152))</f>
        <v>32017.2793725178</v>
      </c>
      <c r="AL153" s="9" t="n">
        <f aca="false">(((((AL41+AL136)+AL137)+AL140)+AL144)+((1-Assumptions!$C$33)*AJ152))</f>
        <v>329201.939967804</v>
      </c>
      <c r="AN153" s="11" t="n">
        <f aca="false">SUM(C153:N153)</f>
        <v>0</v>
      </c>
      <c r="AO153" s="11" t="n">
        <f aca="false">SUM(O153:Z153)</f>
        <v>524233.944023793</v>
      </c>
      <c r="AP153" s="11" t="n">
        <f aca="false">SUM(AA153:AL153)</f>
        <v>2256267.30293509</v>
      </c>
    </row>
    <row r="154" customFormat="false" ht="15" hidden="false" customHeight="false" outlineLevel="0" collapsed="false">
      <c r="A154" s="0" t="s">
        <v>958</v>
      </c>
      <c r="B154" s="0" t="s">
        <v>230</v>
      </c>
      <c r="C154" s="9" t="n">
        <f aca="false">((0+C151)-C146)</f>
        <v>0</v>
      </c>
      <c r="D154" s="9" t="n">
        <f aca="false">((C154+D151)-D146)</f>
        <v>0</v>
      </c>
      <c r="E154" s="9" t="n">
        <f aca="false">((D154+E151)-E146)</f>
        <v>0</v>
      </c>
      <c r="F154" s="9" t="n">
        <f aca="false">((E154+F151)-F146)</f>
        <v>0</v>
      </c>
      <c r="G154" s="9" t="n">
        <f aca="false">((F154+G151)-G146)</f>
        <v>0</v>
      </c>
      <c r="H154" s="9" t="n">
        <f aca="false">((G154+H151)-H146)</f>
        <v>0</v>
      </c>
      <c r="I154" s="9" t="n">
        <f aca="false">((H154+I151)-I146)</f>
        <v>0</v>
      </c>
      <c r="J154" s="9" t="n">
        <f aca="false">((I154+J151)-J146)</f>
        <v>0</v>
      </c>
      <c r="K154" s="9" t="n">
        <f aca="false">((J154+K151)-K146)</f>
        <v>0</v>
      </c>
      <c r="L154" s="9" t="n">
        <f aca="false">((K154+L151)-L146)</f>
        <v>0</v>
      </c>
      <c r="M154" s="9" t="n">
        <f aca="false">((L154+M151)-M146)</f>
        <v>0</v>
      </c>
      <c r="N154" s="9" t="n">
        <f aca="false">((M154+N151)-N146)</f>
        <v>14520</v>
      </c>
      <c r="O154" s="9" t="n">
        <f aca="false">((N154+O151)-O146)</f>
        <v>39795.6433060248</v>
      </c>
      <c r="P154" s="9" t="n">
        <f aca="false">((O154+P151)-P146)</f>
        <v>29180.4963621206</v>
      </c>
      <c r="Q154" s="9" t="n">
        <f aca="false">((P154+Q151)-Q146)</f>
        <v>59777.6553142231</v>
      </c>
      <c r="R154" s="9" t="n">
        <f aca="false">((Q154+R151)-R146)</f>
        <v>134701.375231745</v>
      </c>
      <c r="S154" s="9" t="n">
        <f aca="false">((R154+S151)-S146)</f>
        <v>97645.0172712012</v>
      </c>
      <c r="T154" s="9" t="n">
        <f aca="false">((S154+T151)-T146)</f>
        <v>60582.1936164491</v>
      </c>
      <c r="U154" s="9" t="n">
        <f aca="false">((T154+U151)-U146)</f>
        <v>156998.960752954</v>
      </c>
      <c r="V154" s="9" t="n">
        <f aca="false">((U154+V151)-V146)</f>
        <v>114074.147296182</v>
      </c>
      <c r="W154" s="9" t="n">
        <f aca="false">((V154+W151)-W146)</f>
        <v>61778.6146456106</v>
      </c>
      <c r="X154" s="9" t="n">
        <f aca="false">((W154+X151)-X146)</f>
        <v>155062.296754395</v>
      </c>
      <c r="Y154" s="9" t="n">
        <f aca="false">((X154+Y151)-Y146)</f>
        <v>171858.170251798</v>
      </c>
      <c r="Z154" s="9" t="n">
        <f aca="false">((Y154+Z151)-Z146)</f>
        <v>120222.605787223</v>
      </c>
      <c r="AA154" s="9" t="n">
        <f aca="false">((Z154+AA151)-AA146)</f>
        <v>227742.986986376</v>
      </c>
      <c r="AB154" s="9" t="n">
        <f aca="false">((AA154+AB151)-AB146)</f>
        <v>337789.504391642</v>
      </c>
      <c r="AC154" s="9" t="n">
        <f aca="false">((AB154+AC151)-AC146)</f>
        <v>277435.996665034</v>
      </c>
      <c r="AD154" s="9" t="n">
        <f aca="false">((AC154+AD151)-AD146)</f>
        <v>410804.077751622</v>
      </c>
      <c r="AE154" s="9" t="n">
        <f aca="false">((AD154+AE151)-AE146)</f>
        <v>524105.982471985</v>
      </c>
      <c r="AF154" s="9" t="n">
        <f aca="false">((AE154+AF151)-AF146)</f>
        <v>496599.057857344</v>
      </c>
      <c r="AG154" s="9" t="n">
        <f aca="false">((AF154+AG151)-AG146)</f>
        <v>558010.17084963</v>
      </c>
      <c r="AH154" s="9" t="n">
        <f aca="false">((AG154+AH151)-AH146)</f>
        <v>627506.188276551</v>
      </c>
      <c r="AI154" s="9" t="n">
        <f aca="false">((AH154+AI151)-AI146)</f>
        <v>448844.179585646</v>
      </c>
      <c r="AJ154" s="9" t="n">
        <f aca="false">((AI154+AJ151)-AJ146)</f>
        <v>556844.786760761</v>
      </c>
      <c r="AK154" s="9" t="n">
        <f aca="false">((AJ154+AK151)-AK146)</f>
        <v>856786.394349017</v>
      </c>
      <c r="AL154" s="9" t="n">
        <f aca="false">((AK154+AL151)-AL146)</f>
        <v>1013459.16498319</v>
      </c>
      <c r="AN154" s="11" t="n">
        <f aca="false">N154</f>
        <v>14520</v>
      </c>
      <c r="AO154" s="11" t="n">
        <f aca="false">Z154</f>
        <v>120222.605787223</v>
      </c>
      <c r="AP154" s="11" t="n">
        <f aca="false">AL154</f>
        <v>1013459.16498319</v>
      </c>
    </row>
    <row r="155" customFormat="false" ht="15" hidden="false" customHeight="false" outlineLevel="0" collapsed="false">
      <c r="A155" s="0" t="s">
        <v>959</v>
      </c>
      <c r="B155" s="0" t="s">
        <v>230</v>
      </c>
      <c r="C155" s="9" t="n">
        <f aca="false">((0+((1-Assumptions!$C$33)*C152))-((1-Assumptions!$C$33)*0))</f>
        <v>0</v>
      </c>
      <c r="D155" s="9" t="n">
        <f aca="false">((C155+((1-Assumptions!$C$33)*D152))-((1-Assumptions!$C$33)*0))</f>
        <v>0</v>
      </c>
      <c r="E155" s="9" t="n">
        <f aca="false">((D155+((1-Assumptions!$C$33)*E152))-((1-Assumptions!$C$33)*C152))</f>
        <v>0</v>
      </c>
      <c r="F155" s="9" t="n">
        <f aca="false">((E155+((1-Assumptions!$C$33)*F152))-((1-Assumptions!$C$33)*D152))</f>
        <v>0</v>
      </c>
      <c r="G155" s="9" t="n">
        <f aca="false">((F155+((1-Assumptions!$C$33)*G152))-((1-Assumptions!$C$33)*E152))</f>
        <v>0</v>
      </c>
      <c r="H155" s="9" t="n">
        <f aca="false">((G155+((1-Assumptions!$C$33)*H152))-((1-Assumptions!$C$33)*F152))</f>
        <v>0</v>
      </c>
      <c r="I155" s="9" t="n">
        <f aca="false">((H155+((1-Assumptions!$C$33)*I152))-((1-Assumptions!$C$33)*G152))</f>
        <v>0</v>
      </c>
      <c r="J155" s="9" t="n">
        <f aca="false">((I155+((1-Assumptions!$C$33)*J152))-((1-Assumptions!$C$33)*H152))</f>
        <v>0</v>
      </c>
      <c r="K155" s="9" t="n">
        <f aca="false">((J155+((1-Assumptions!$C$33)*K152))-((1-Assumptions!$C$33)*I152))</f>
        <v>0</v>
      </c>
      <c r="L155" s="9" t="n">
        <f aca="false">((K155+((1-Assumptions!$C$33)*L152))-((1-Assumptions!$C$33)*J152))</f>
        <v>0</v>
      </c>
      <c r="M155" s="9" t="n">
        <f aca="false">((L155+((1-Assumptions!$C$33)*M152))-((1-Assumptions!$C$33)*K152))</f>
        <v>0</v>
      </c>
      <c r="N155" s="9" t="n">
        <f aca="false">((M155+((1-Assumptions!$C$33)*N152))-((1-Assumptions!$C$33)*L152))</f>
        <v>15681.6</v>
      </c>
      <c r="O155" s="9" t="n">
        <f aca="false">((N155+((1-Assumptions!$C$33)*O152))-((1-Assumptions!$C$33)*M152))</f>
        <v>51321.6</v>
      </c>
      <c r="P155" s="9" t="n">
        <f aca="false">((O155+((1-Assumptions!$C$33)*P152))-((1-Assumptions!$C$33)*N152))</f>
        <v>35640</v>
      </c>
      <c r="Q155" s="9" t="n">
        <f aca="false">((P155+((1-Assumptions!$C$33)*Q152))-((1-Assumptions!$C$33)*O152))</f>
        <v>44431.2</v>
      </c>
      <c r="R155" s="9" t="n">
        <f aca="false">((Q155+((1-Assumptions!$C$33)*R152))-((1-Assumptions!$C$33)*P152))</f>
        <v>155311.2</v>
      </c>
      <c r="S155" s="9" t="n">
        <f aca="false">((R155+((1-Assumptions!$C$33)*S152))-((1-Assumptions!$C$33)*Q152))</f>
        <v>110880</v>
      </c>
      <c r="T155" s="9" t="n">
        <f aca="false">((S155+((1-Assumptions!$C$33)*T152))-((1-Assumptions!$C$33)*R152))</f>
        <v>0</v>
      </c>
      <c r="U155" s="9" t="n">
        <f aca="false">((T155+((1-Assumptions!$C$33)*U152))-((1-Assumptions!$C$33)*S152))</f>
        <v>146520</v>
      </c>
      <c r="V155" s="9" t="n">
        <f aca="false">((U155+((1-Assumptions!$C$33)*V152))-((1-Assumptions!$C$33)*T152))</f>
        <v>155875.5</v>
      </c>
      <c r="W155" s="9" t="n">
        <f aca="false">((V155+((1-Assumptions!$C$33)*W152))-((1-Assumptions!$C$33)*U152))</f>
        <v>9355.5</v>
      </c>
      <c r="X155" s="9" t="n">
        <f aca="false">((W155+((1-Assumptions!$C$33)*X152))-((1-Assumptions!$C$33)*V152))</f>
        <v>146520</v>
      </c>
      <c r="Y155" s="9" t="n">
        <f aca="false">((X155+((1-Assumptions!$C$33)*Y152))-((1-Assumptions!$C$33)*W152))</f>
        <v>229442.4</v>
      </c>
      <c r="Z155" s="9" t="n">
        <f aca="false">((Y155+((1-Assumptions!$C$33)*Z152))-((1-Assumptions!$C$33)*X152))</f>
        <v>98102.1888</v>
      </c>
      <c r="AA155" s="9" t="n">
        <f aca="false">((Z155+((1-Assumptions!$C$33)*AA152))-((1-Assumptions!$C$33)*Y152))</f>
        <v>197339.7888</v>
      </c>
      <c r="AB155" s="9" t="n">
        <f aca="false">((AA155+((1-Assumptions!$C$33)*AB152))-((1-Assumptions!$C$33)*Z152))</f>
        <v>394029.9</v>
      </c>
      <c r="AC155" s="9" t="n">
        <f aca="false">((AB155+((1-Assumptions!$C$33)*AC152))-((1-Assumptions!$C$33)*AA152))</f>
        <v>254879.3016</v>
      </c>
      <c r="AD155" s="9" t="n">
        <f aca="false">((AC155+((1-Assumptions!$C$33)*AD152))-((1-Assumptions!$C$33)*AB152))</f>
        <v>300409.4016</v>
      </c>
      <c r="AE155" s="9" t="n">
        <f aca="false">((AD155+((1-Assumptions!$C$33)*AE152))-((1-Assumptions!$C$33)*AC152))</f>
        <v>516195.9</v>
      </c>
      <c r="AF155" s="9" t="n">
        <f aca="false">((AE155+((1-Assumptions!$C$33)*AF152))-((1-Assumptions!$C$33)*AD152))</f>
        <v>423135.9</v>
      </c>
      <c r="AG155" s="9" t="n">
        <f aca="false">((AF155+((1-Assumptions!$C$33)*AG152))-((1-Assumptions!$C$33)*AE152))</f>
        <v>421740</v>
      </c>
      <c r="AH155" s="9" t="n">
        <f aca="false">((AG155+((1-Assumptions!$C$33)*AH152))-((1-Assumptions!$C$33)*AF152))</f>
        <v>538201.224</v>
      </c>
      <c r="AI155" s="9" t="n">
        <f aca="false">((AH155+((1-Assumptions!$C$33)*AI152))-((1-Assumptions!$C$33)*AG152))</f>
        <v>280801.224</v>
      </c>
      <c r="AJ155" s="9" t="n">
        <f aca="false">((AI155+((1-Assumptions!$C$33)*AJ152))-((1-Assumptions!$C$33)*AH152))</f>
        <v>293040</v>
      </c>
      <c r="AK155" s="9" t="n">
        <f aca="false">((AJ155+((1-Assumptions!$C$33)*AK152))-((1-Assumptions!$C$33)*AI152))</f>
        <v>824556.8232</v>
      </c>
      <c r="AL155" s="9" t="n">
        <f aca="false">((AK155+((1-Assumptions!$C$33)*AL152))-((1-Assumptions!$C$33)*AJ152))</f>
        <v>1007154.8587584</v>
      </c>
      <c r="AN155" s="11" t="n">
        <f aca="false">N155</f>
        <v>15681.6</v>
      </c>
      <c r="AO155" s="11" t="n">
        <f aca="false">Z155</f>
        <v>98102.1888</v>
      </c>
      <c r="AP155" s="11" t="n">
        <f aca="false">AL155</f>
        <v>1007154.8587584</v>
      </c>
    </row>
    <row r="156" customFormat="false" ht="15" hidden="false" customHeight="false" outlineLevel="0" collapsed="false">
      <c r="A156" s="21" t="s">
        <v>29</v>
      </c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</row>
    <row r="157" customFormat="false" ht="15" hidden="false" customHeight="false" outlineLevel="0" collapsed="false">
      <c r="A157" s="0" t="s">
        <v>960</v>
      </c>
      <c r="B157" s="0" t="s">
        <v>500</v>
      </c>
      <c r="C157" s="9" t="n">
        <f aca="false">((C29+C39)+C126)</f>
        <v>234</v>
      </c>
      <c r="D157" s="9" t="n">
        <f aca="false">((D29+D39)+D126)</f>
        <v>415.8</v>
      </c>
      <c r="E157" s="9" t="n">
        <f aca="false">((E29+E39)+E126)</f>
        <v>547.9272</v>
      </c>
      <c r="F157" s="9" t="n">
        <f aca="false">((F29+F39)+F126)</f>
        <v>653.68224</v>
      </c>
      <c r="G157" s="9" t="n">
        <f aca="false">((G29+G39)+G126)</f>
        <v>921.58788288</v>
      </c>
      <c r="H157" s="9" t="n">
        <f aca="false">((H29+H39)+H126)</f>
        <v>956.6376389184</v>
      </c>
      <c r="I157" s="9" t="n">
        <f aca="false">((I29+I39)+I126)</f>
        <v>1045.77453039245</v>
      </c>
      <c r="J157" s="9" t="n">
        <f aca="false">((J29+J39)+J126)</f>
        <v>2253.52710133487</v>
      </c>
      <c r="K157" s="9" t="n">
        <f aca="false">((K29+K39)+K126)</f>
        <v>2629.71062532268</v>
      </c>
      <c r="L157" s="9" t="n">
        <f aca="false">((L29+L39)+L126)</f>
        <v>2778.86218416649</v>
      </c>
      <c r="M157" s="9" t="n">
        <f aca="false">((M29+M39)+M126)</f>
        <v>2655.71604890645</v>
      </c>
      <c r="N157" s="9" t="n">
        <f aca="false">((N29+N39)+N126)</f>
        <v>3041.21574138794</v>
      </c>
      <c r="O157" s="9" t="n">
        <f aca="false">((O29+O39)+O126)</f>
        <v>5482.34960104743</v>
      </c>
      <c r="P157" s="9" t="n">
        <f aca="false">((P29+P39)+P126)</f>
        <v>6349.41951510284</v>
      </c>
      <c r="Q157" s="9" t="n">
        <f aca="false">((Q29+Q39)+Q126)</f>
        <v>9140.92311691539</v>
      </c>
      <c r="R157" s="9" t="n">
        <f aca="false">((R29+R39)+R126)</f>
        <v>11259.2061198239</v>
      </c>
      <c r="S157" s="9" t="n">
        <f aca="false">((S29+S39)+S126)</f>
        <v>11888.657422142</v>
      </c>
      <c r="T157" s="9" t="n">
        <f aca="false">((T29+T39)+T126)</f>
        <v>12311.321709807</v>
      </c>
      <c r="U157" s="9" t="n">
        <f aca="false">((U29+U39)+U126)</f>
        <v>14164.4559916758</v>
      </c>
      <c r="V157" s="9" t="n">
        <f aca="false">((V29+V39)+V126)</f>
        <v>16876.1902436989</v>
      </c>
      <c r="W157" s="9" t="n">
        <f aca="false">((W29+W39)+W126)</f>
        <v>19509.3788978449</v>
      </c>
      <c r="X157" s="9" t="n">
        <f aca="false">((X29+X39)+X126)</f>
        <v>20763.0317586701</v>
      </c>
      <c r="Y157" s="9" t="n">
        <f aca="false">((Y29+Y39)+Y126)</f>
        <v>23377.797660095</v>
      </c>
      <c r="Z157" s="9" t="n">
        <f aca="false">((Z29+Z39)+Z126)</f>
        <v>23495.0146141107</v>
      </c>
      <c r="AA157" s="9" t="n">
        <f aca="false">((AA29+AA39)+AA126)</f>
        <v>25632.7305705319</v>
      </c>
      <c r="AB157" s="9" t="n">
        <f aca="false">((AB29+AB39)+AB126)</f>
        <v>31769.3381643279</v>
      </c>
      <c r="AC157" s="9" t="n">
        <f aca="false">((AC29+AC39)+AC126)</f>
        <v>32338.0987044291</v>
      </c>
      <c r="AD157" s="9" t="n">
        <f aca="false">((AD29+AD39)+AD126)</f>
        <v>33896.467961311</v>
      </c>
      <c r="AE157" s="9" t="n">
        <f aca="false">((AE29+AE39)+AE126)</f>
        <v>39294.3136580742</v>
      </c>
      <c r="AF157" s="9" t="n">
        <f aca="false">((AF29+AF39)+AF126)</f>
        <v>42207.0964644701</v>
      </c>
      <c r="AG157" s="9" t="n">
        <f aca="false">((AG29+AG39)+AG126)</f>
        <v>43428.5947077608</v>
      </c>
      <c r="AH157" s="9" t="n">
        <f aca="false">((AH29+AH39)+AH126)</f>
        <v>51870.5629168581</v>
      </c>
      <c r="AI157" s="9" t="n">
        <f aca="false">((AI29+AI39)+AI126)</f>
        <v>54948.5009295417</v>
      </c>
      <c r="AJ157" s="9" t="n">
        <f aca="false">((AJ29+AJ39)+AJ126)</f>
        <v>56031.6938969661</v>
      </c>
      <c r="AK157" s="9" t="n">
        <f aca="false">((AK29+AK39)+AK126)</f>
        <v>66013.618956784</v>
      </c>
      <c r="AL157" s="9" t="n">
        <f aca="false">((AL29+AL39)+AL126)</f>
        <v>74697.5499028581</v>
      </c>
      <c r="AN157" s="11" t="n">
        <f aca="false">N157</f>
        <v>3041.21574138794</v>
      </c>
      <c r="AO157" s="11" t="n">
        <f aca="false">Z157</f>
        <v>23495.0146141107</v>
      </c>
      <c r="AP157" s="11" t="n">
        <f aca="false">AL157</f>
        <v>74697.5499028581</v>
      </c>
    </row>
    <row r="158" customFormat="false" ht="15" hidden="false" customHeight="false" outlineLevel="0" collapsed="false">
      <c r="A158" s="0" t="s">
        <v>961</v>
      </c>
      <c r="B158" s="0" t="s">
        <v>230</v>
      </c>
      <c r="C158" s="9" t="n">
        <f aca="false">(C157*Assumptions!$C$58)</f>
        <v>7.02</v>
      </c>
      <c r="D158" s="9" t="n">
        <f aca="false">(D157*Assumptions!$C$58)</f>
        <v>12.474</v>
      </c>
      <c r="E158" s="9" t="n">
        <f aca="false">(E157*Assumptions!$C$58)</f>
        <v>16.437816</v>
      </c>
      <c r="F158" s="9" t="n">
        <f aca="false">(F157*Assumptions!$C$58)</f>
        <v>19.6104672</v>
      </c>
      <c r="G158" s="9" t="n">
        <f aca="false">(G157*Assumptions!$C$58)</f>
        <v>27.6476364864</v>
      </c>
      <c r="H158" s="9" t="n">
        <f aca="false">(H157*Assumptions!$C$58)</f>
        <v>28.699129167552</v>
      </c>
      <c r="I158" s="9" t="n">
        <f aca="false">(I157*Assumptions!$C$58)</f>
        <v>31.3732359117734</v>
      </c>
      <c r="J158" s="9" t="n">
        <f aca="false">(J157*Assumptions!$C$58)</f>
        <v>67.605813040046</v>
      </c>
      <c r="K158" s="9" t="n">
        <f aca="false">(K157*Assumptions!$C$58)</f>
        <v>78.8913187596803</v>
      </c>
      <c r="L158" s="9" t="n">
        <f aca="false">(L157*Assumptions!$C$58)</f>
        <v>83.3658655249946</v>
      </c>
      <c r="M158" s="9" t="n">
        <f aca="false">(M157*Assumptions!$C$58)</f>
        <v>79.6714814671935</v>
      </c>
      <c r="N158" s="9" t="n">
        <f aca="false">(N157*Assumptions!$C$58)</f>
        <v>91.2364722416382</v>
      </c>
      <c r="O158" s="9" t="n">
        <f aca="false">(O157*Assumptions!$C$58)</f>
        <v>164.470488031423</v>
      </c>
      <c r="P158" s="9" t="n">
        <f aca="false">(P157*Assumptions!$C$58)</f>
        <v>190.482585453085</v>
      </c>
      <c r="Q158" s="9" t="n">
        <f aca="false">(Q157*Assumptions!$C$58)</f>
        <v>274.227693507462</v>
      </c>
      <c r="R158" s="9" t="n">
        <f aca="false">(R157*Assumptions!$C$58)</f>
        <v>337.776183594716</v>
      </c>
      <c r="S158" s="9" t="n">
        <f aca="false">(S157*Assumptions!$C$58)</f>
        <v>356.659722664259</v>
      </c>
      <c r="T158" s="9" t="n">
        <f aca="false">(T157*Assumptions!$C$58)</f>
        <v>369.33965129421</v>
      </c>
      <c r="U158" s="9" t="n">
        <f aca="false">(U157*Assumptions!$C$58)</f>
        <v>424.933679750273</v>
      </c>
      <c r="V158" s="9" t="n">
        <f aca="false">(V157*Assumptions!$C$58)</f>
        <v>506.285707310967</v>
      </c>
      <c r="W158" s="9" t="n">
        <f aca="false">(W157*Assumptions!$C$58)</f>
        <v>585.281366935346</v>
      </c>
      <c r="X158" s="9" t="n">
        <f aca="false">(X157*Assumptions!$C$58)</f>
        <v>622.890952760103</v>
      </c>
      <c r="Y158" s="9" t="n">
        <f aca="false">(Y157*Assumptions!$C$58)</f>
        <v>701.333929802851</v>
      </c>
      <c r="Z158" s="9" t="n">
        <f aca="false">(Z157*Assumptions!$C$58)</f>
        <v>704.85043842332</v>
      </c>
      <c r="AA158" s="9" t="n">
        <f aca="false">(AA157*Assumptions!$C$58)</f>
        <v>768.981917115958</v>
      </c>
      <c r="AB158" s="9" t="n">
        <f aca="false">(AB157*Assumptions!$C$58)</f>
        <v>953.080144929836</v>
      </c>
      <c r="AC158" s="9" t="n">
        <f aca="false">(AC157*Assumptions!$C$58)</f>
        <v>970.142961132873</v>
      </c>
      <c r="AD158" s="9" t="n">
        <f aca="false">(AD157*Assumptions!$C$58)</f>
        <v>1016.89403883933</v>
      </c>
      <c r="AE158" s="9" t="n">
        <f aca="false">(AE157*Assumptions!$C$58)</f>
        <v>1178.82940974223</v>
      </c>
      <c r="AF158" s="9" t="n">
        <f aca="false">(AF157*Assumptions!$C$58)</f>
        <v>1266.2128939341</v>
      </c>
      <c r="AG158" s="9" t="n">
        <f aca="false">(AG157*Assumptions!$C$58)</f>
        <v>1302.85784123282</v>
      </c>
      <c r="AH158" s="9" t="n">
        <f aca="false">(AH157*Assumptions!$C$58)</f>
        <v>1556.11688750574</v>
      </c>
      <c r="AI158" s="9" t="n">
        <f aca="false">(AI157*Assumptions!$C$58)</f>
        <v>1648.45502788625</v>
      </c>
      <c r="AJ158" s="9" t="n">
        <f aca="false">(AJ157*Assumptions!$C$58)</f>
        <v>1680.95081690898</v>
      </c>
      <c r="AK158" s="9" t="n">
        <f aca="false">(AK157*Assumptions!$C$58)</f>
        <v>1980.40856870352</v>
      </c>
      <c r="AL158" s="9" t="n">
        <f aca="false">(AL157*Assumptions!$C$58)</f>
        <v>2240.92649708574</v>
      </c>
      <c r="AN158" s="11" t="n">
        <f aca="false">SUM(C158:N158)</f>
        <v>544.033235799278</v>
      </c>
      <c r="AO158" s="11" t="n">
        <f aca="false">SUM(O158:Z158)</f>
        <v>5238.53239952802</v>
      </c>
      <c r="AP158" s="11" t="n">
        <f aca="false">SUM(AA158:AL158)</f>
        <v>16563.8570050174</v>
      </c>
    </row>
    <row r="159" customFormat="false" ht="15" hidden="false" customHeight="false" outlineLevel="0" collapsed="false">
      <c r="A159" s="0" t="s">
        <v>962</v>
      </c>
      <c r="B159" s="0" t="s">
        <v>230</v>
      </c>
      <c r="C159" s="9" t="n">
        <f aca="false">(((C157*Assumptions!$C$59)*Assumptions!$C$60)*Assumptions!$C$61)</f>
        <v>3.9312</v>
      </c>
      <c r="D159" s="9" t="n">
        <f aca="false">(((D157*Assumptions!$C$59)*Assumptions!$C$60)*Assumptions!$C$61)</f>
        <v>6.98544</v>
      </c>
      <c r="E159" s="9" t="n">
        <f aca="false">(((E157*Assumptions!$C$59)*Assumptions!$C$60)*Assumptions!$C$61)</f>
        <v>9.20517696</v>
      </c>
      <c r="F159" s="9" t="n">
        <f aca="false">(((F157*Assumptions!$C$59)*Assumptions!$C$60)*Assumptions!$C$61)</f>
        <v>10.981861632</v>
      </c>
      <c r="G159" s="9" t="n">
        <f aca="false">(((G157*Assumptions!$C$59)*Assumptions!$C$60)*Assumptions!$C$61)</f>
        <v>15.482676432384</v>
      </c>
      <c r="H159" s="9" t="n">
        <f aca="false">(((H157*Assumptions!$C$59)*Assumptions!$C$60)*Assumptions!$C$61)</f>
        <v>16.0715123338291</v>
      </c>
      <c r="I159" s="9" t="n">
        <f aca="false">(((I157*Assumptions!$C$59)*Assumptions!$C$60)*Assumptions!$C$61)</f>
        <v>17.5690121105931</v>
      </c>
      <c r="J159" s="9" t="n">
        <f aca="false">(((J157*Assumptions!$C$59)*Assumptions!$C$60)*Assumptions!$C$61)</f>
        <v>37.8592553024258</v>
      </c>
      <c r="K159" s="9" t="n">
        <f aca="false">(((K157*Assumptions!$C$59)*Assumptions!$C$60)*Assumptions!$C$61)</f>
        <v>44.1791385054209</v>
      </c>
      <c r="L159" s="9" t="n">
        <f aca="false">(((L157*Assumptions!$C$59)*Assumptions!$C$60)*Assumptions!$C$61)</f>
        <v>46.684884693997</v>
      </c>
      <c r="M159" s="9" t="n">
        <f aca="false">(((M157*Assumptions!$C$59)*Assumptions!$C$60)*Assumptions!$C$61)</f>
        <v>44.6160296216284</v>
      </c>
      <c r="N159" s="9" t="n">
        <f aca="false">(((N157*Assumptions!$C$59)*Assumptions!$C$60)*Assumptions!$C$61)</f>
        <v>51.0924244553174</v>
      </c>
      <c r="O159" s="9" t="n">
        <f aca="false">(((O157*Assumptions!$C$59)*Assumptions!$C$60)*Assumptions!$C$61)</f>
        <v>92.1034732975968</v>
      </c>
      <c r="P159" s="9" t="n">
        <f aca="false">(((P157*Assumptions!$C$59)*Assumptions!$C$60)*Assumptions!$C$61)</f>
        <v>106.670247853728</v>
      </c>
      <c r="Q159" s="9" t="n">
        <f aca="false">(((Q157*Assumptions!$C$59)*Assumptions!$C$60)*Assumptions!$C$61)</f>
        <v>153.567508364179</v>
      </c>
      <c r="R159" s="9" t="n">
        <f aca="false">(((R157*Assumptions!$C$59)*Assumptions!$C$60)*Assumptions!$C$61)</f>
        <v>189.154662813041</v>
      </c>
      <c r="S159" s="9" t="n">
        <f aca="false">(((S157*Assumptions!$C$59)*Assumptions!$C$60)*Assumptions!$C$61)</f>
        <v>199.729444691985</v>
      </c>
      <c r="T159" s="9" t="n">
        <f aca="false">(((T157*Assumptions!$C$59)*Assumptions!$C$60)*Assumptions!$C$61)</f>
        <v>206.830204724758</v>
      </c>
      <c r="U159" s="9" t="n">
        <f aca="false">(((U157*Assumptions!$C$59)*Assumptions!$C$60)*Assumptions!$C$61)</f>
        <v>237.962860660153</v>
      </c>
      <c r="V159" s="9" t="n">
        <f aca="false">(((V157*Assumptions!$C$59)*Assumptions!$C$60)*Assumptions!$C$61)</f>
        <v>283.519996094142</v>
      </c>
      <c r="W159" s="9" t="n">
        <f aca="false">(((W157*Assumptions!$C$59)*Assumptions!$C$60)*Assumptions!$C$61)</f>
        <v>327.757565483794</v>
      </c>
      <c r="X159" s="9" t="n">
        <f aca="false">(((X157*Assumptions!$C$59)*Assumptions!$C$60)*Assumptions!$C$61)</f>
        <v>348.818933545658</v>
      </c>
      <c r="Y159" s="9" t="n">
        <f aca="false">(((Y157*Assumptions!$C$59)*Assumptions!$C$60)*Assumptions!$C$61)</f>
        <v>392.747000689597</v>
      </c>
      <c r="Z159" s="9" t="n">
        <f aca="false">(((Z157*Assumptions!$C$59)*Assumptions!$C$60)*Assumptions!$C$61)</f>
        <v>394.716245517059</v>
      </c>
      <c r="AA159" s="9" t="n">
        <f aca="false">(((AA157*Assumptions!$C$59)*Assumptions!$C$60)*Assumptions!$C$61)</f>
        <v>430.629873584936</v>
      </c>
      <c r="AB159" s="9" t="n">
        <f aca="false">(((AB157*Assumptions!$C$59)*Assumptions!$C$60)*Assumptions!$C$61)</f>
        <v>533.724881160708</v>
      </c>
      <c r="AC159" s="9" t="n">
        <f aca="false">(((AC157*Assumptions!$C$59)*Assumptions!$C$60)*Assumptions!$C$61)</f>
        <v>543.280058234409</v>
      </c>
      <c r="AD159" s="9" t="n">
        <f aca="false">(((AD157*Assumptions!$C$59)*Assumptions!$C$60)*Assumptions!$C$61)</f>
        <v>569.460661750026</v>
      </c>
      <c r="AE159" s="9" t="n">
        <f aca="false">(((AE157*Assumptions!$C$59)*Assumptions!$C$60)*Assumptions!$C$61)</f>
        <v>660.144469455647</v>
      </c>
      <c r="AF159" s="9" t="n">
        <f aca="false">(((AF157*Assumptions!$C$59)*Assumptions!$C$60)*Assumptions!$C$61)</f>
        <v>709.079220603099</v>
      </c>
      <c r="AG159" s="9" t="n">
        <f aca="false">(((AG157*Assumptions!$C$59)*Assumptions!$C$60)*Assumptions!$C$61)</f>
        <v>729.600391090381</v>
      </c>
      <c r="AH159" s="9" t="n">
        <f aca="false">(((AH157*Assumptions!$C$59)*Assumptions!$C$60)*Assumptions!$C$61)</f>
        <v>871.425457003217</v>
      </c>
      <c r="AI159" s="9" t="n">
        <f aca="false">(((AI157*Assumptions!$C$59)*Assumptions!$C$60)*Assumptions!$C$61)</f>
        <v>923.134815616301</v>
      </c>
      <c r="AJ159" s="9" t="n">
        <f aca="false">(((AJ157*Assumptions!$C$59)*Assumptions!$C$60)*Assumptions!$C$61)</f>
        <v>941.332457469031</v>
      </c>
      <c r="AK159" s="9" t="n">
        <f aca="false">(((AK157*Assumptions!$C$59)*Assumptions!$C$60)*Assumptions!$C$61)</f>
        <v>1109.02879847397</v>
      </c>
      <c r="AL159" s="9" t="n">
        <f aca="false">(((AL157*Assumptions!$C$59)*Assumptions!$C$60)*Assumptions!$C$61)</f>
        <v>1254.91883836802</v>
      </c>
      <c r="AN159" s="11" t="n">
        <f aca="false">SUM(C159:N159)</f>
        <v>304.658612047596</v>
      </c>
      <c r="AO159" s="11" t="n">
        <f aca="false">SUM(O159:Z159)</f>
        <v>2933.57814373569</v>
      </c>
      <c r="AP159" s="11" t="n">
        <f aca="false">SUM(AA159:AL159)</f>
        <v>9275.75992280974</v>
      </c>
    </row>
    <row r="160" customFormat="false" ht="15" hidden="false" customHeight="false" outlineLevel="0" collapsed="false">
      <c r="A160" s="0" t="s">
        <v>963</v>
      </c>
      <c r="B160" s="0" t="s">
        <v>230</v>
      </c>
      <c r="C160" s="9" t="n">
        <f aca="false">(((C157*Assumptions!$C$62)*Assumptions!$C$63)*(1-Assumptions!$C$64))</f>
        <v>5.265</v>
      </c>
      <c r="D160" s="9" t="n">
        <f aca="false">(((D157*Assumptions!$C$62)*Assumptions!$C$63)*(1-Assumptions!$C$64))</f>
        <v>9.3555</v>
      </c>
      <c r="E160" s="9" t="n">
        <f aca="false">(((E157*Assumptions!$C$62)*Assumptions!$C$63)*(1-Assumptions!$C$64))</f>
        <v>12.328362</v>
      </c>
      <c r="F160" s="9" t="n">
        <f aca="false">(((F157*Assumptions!$C$62)*Assumptions!$C$63)*(1-Assumptions!$C$64))</f>
        <v>14.7078504</v>
      </c>
      <c r="G160" s="9" t="n">
        <f aca="false">(((G157*Assumptions!$C$62)*Assumptions!$C$63)*(1-Assumptions!$C$64))</f>
        <v>20.7357273648</v>
      </c>
      <c r="H160" s="9" t="n">
        <f aca="false">(((H157*Assumptions!$C$62)*Assumptions!$C$63)*(1-Assumptions!$C$64))</f>
        <v>21.524346875664</v>
      </c>
      <c r="I160" s="9" t="n">
        <f aca="false">(((I157*Assumptions!$C$62)*Assumptions!$C$63)*(1-Assumptions!$C$64))</f>
        <v>23.5299269338301</v>
      </c>
      <c r="J160" s="9" t="n">
        <f aca="false">(((J157*Assumptions!$C$62)*Assumptions!$C$63)*(1-Assumptions!$C$64))</f>
        <v>50.7043597800345</v>
      </c>
      <c r="K160" s="9" t="n">
        <f aca="false">(((K157*Assumptions!$C$62)*Assumptions!$C$63)*(1-Assumptions!$C$64))</f>
        <v>59.1684890697602</v>
      </c>
      <c r="L160" s="9" t="n">
        <f aca="false">(((L157*Assumptions!$C$62)*Assumptions!$C$63)*(1-Assumptions!$C$64))</f>
        <v>62.524399143746</v>
      </c>
      <c r="M160" s="9" t="n">
        <f aca="false">(((M157*Assumptions!$C$62)*Assumptions!$C$63)*(1-Assumptions!$C$64))</f>
        <v>59.7536111003952</v>
      </c>
      <c r="N160" s="9" t="n">
        <f aca="false">(((N157*Assumptions!$C$62)*Assumptions!$C$63)*(1-Assumptions!$C$64))</f>
        <v>68.4273541812287</v>
      </c>
      <c r="O160" s="9" t="n">
        <f aca="false">(((O157*Assumptions!$C$62)*Assumptions!$C$63)*(1-Assumptions!$C$64))</f>
        <v>123.352866023567</v>
      </c>
      <c r="P160" s="9" t="n">
        <f aca="false">(((P157*Assumptions!$C$62)*Assumptions!$C$63)*(1-Assumptions!$C$64))</f>
        <v>142.861939089814</v>
      </c>
      <c r="Q160" s="9" t="n">
        <f aca="false">(((Q157*Assumptions!$C$62)*Assumptions!$C$63)*(1-Assumptions!$C$64))</f>
        <v>205.670770130596</v>
      </c>
      <c r="R160" s="9" t="n">
        <f aca="false">(((R157*Assumptions!$C$62)*Assumptions!$C$63)*(1-Assumptions!$C$64))</f>
        <v>253.332137696037</v>
      </c>
      <c r="S160" s="9" t="n">
        <f aca="false">(((S157*Assumptions!$C$62)*Assumptions!$C$63)*(1-Assumptions!$C$64))</f>
        <v>267.494791998194</v>
      </c>
      <c r="T160" s="9" t="n">
        <f aca="false">(((T157*Assumptions!$C$62)*Assumptions!$C$63)*(1-Assumptions!$C$64))</f>
        <v>277.004738470658</v>
      </c>
      <c r="U160" s="9" t="n">
        <f aca="false">(((U157*Assumptions!$C$62)*Assumptions!$C$63)*(1-Assumptions!$C$64))</f>
        <v>318.700259812704</v>
      </c>
      <c r="V160" s="9" t="n">
        <f aca="false">(((V157*Assumptions!$C$62)*Assumptions!$C$63)*(1-Assumptions!$C$64))</f>
        <v>379.714280483225</v>
      </c>
      <c r="W160" s="9" t="n">
        <f aca="false">(((W157*Assumptions!$C$62)*Assumptions!$C$63)*(1-Assumptions!$C$64))</f>
        <v>438.96102520151</v>
      </c>
      <c r="X160" s="9" t="n">
        <f aca="false">(((X157*Assumptions!$C$62)*Assumptions!$C$63)*(1-Assumptions!$C$64))</f>
        <v>467.168214570077</v>
      </c>
      <c r="Y160" s="9" t="n">
        <f aca="false">(((Y157*Assumptions!$C$62)*Assumptions!$C$63)*(1-Assumptions!$C$64))</f>
        <v>526.000447352138</v>
      </c>
      <c r="Z160" s="9" t="n">
        <f aca="false">(((Z157*Assumptions!$C$62)*Assumptions!$C$63)*(1-Assumptions!$C$64))</f>
        <v>528.63782881749</v>
      </c>
      <c r="AA160" s="9" t="n">
        <f aca="false">(((AA157*Assumptions!$C$62)*Assumptions!$C$63)*(1-Assumptions!$C$64))</f>
        <v>576.736437836968</v>
      </c>
      <c r="AB160" s="9" t="n">
        <f aca="false">(((AB157*Assumptions!$C$62)*Assumptions!$C$63)*(1-Assumptions!$C$64))</f>
        <v>714.810108697377</v>
      </c>
      <c r="AC160" s="9" t="n">
        <f aca="false">(((AC157*Assumptions!$C$62)*Assumptions!$C$63)*(1-Assumptions!$C$64))</f>
        <v>727.607220849655</v>
      </c>
      <c r="AD160" s="9" t="n">
        <f aca="false">(((AD157*Assumptions!$C$62)*Assumptions!$C$63)*(1-Assumptions!$C$64))</f>
        <v>762.670529129498</v>
      </c>
      <c r="AE160" s="9" t="n">
        <f aca="false">(((AE157*Assumptions!$C$62)*Assumptions!$C$63)*(1-Assumptions!$C$64))</f>
        <v>884.12205730667</v>
      </c>
      <c r="AF160" s="9" t="n">
        <f aca="false">(((AF157*Assumptions!$C$62)*Assumptions!$C$63)*(1-Assumptions!$C$64))</f>
        <v>949.659670450578</v>
      </c>
      <c r="AG160" s="9" t="n">
        <f aca="false">(((AG157*Assumptions!$C$62)*Assumptions!$C$63)*(1-Assumptions!$C$64))</f>
        <v>977.143380924617</v>
      </c>
      <c r="AH160" s="9" t="n">
        <f aca="false">(((AH157*Assumptions!$C$62)*Assumptions!$C$63)*(1-Assumptions!$C$64))</f>
        <v>1167.08766562931</v>
      </c>
      <c r="AI160" s="9" t="n">
        <f aca="false">(((AI157*Assumptions!$C$62)*Assumptions!$C$63)*(1-Assumptions!$C$64))</f>
        <v>1236.34127091469</v>
      </c>
      <c r="AJ160" s="9" t="n">
        <f aca="false">(((AJ157*Assumptions!$C$62)*Assumptions!$C$63)*(1-Assumptions!$C$64))</f>
        <v>1260.71311268174</v>
      </c>
      <c r="AK160" s="9" t="n">
        <f aca="false">(((AK157*Assumptions!$C$62)*Assumptions!$C$63)*(1-Assumptions!$C$64))</f>
        <v>1485.30642652764</v>
      </c>
      <c r="AL160" s="9" t="n">
        <f aca="false">(((AL157*Assumptions!$C$62)*Assumptions!$C$63)*(1-Assumptions!$C$64))</f>
        <v>1680.69487281431</v>
      </c>
      <c r="AN160" s="11" t="n">
        <f aca="false">SUM(C160:N160)</f>
        <v>408.024926849459</v>
      </c>
      <c r="AO160" s="11" t="n">
        <f aca="false">SUM(O160:Z160)</f>
        <v>3928.89929964601</v>
      </c>
      <c r="AP160" s="11" t="n">
        <f aca="false">SUM(AA160:AL160)</f>
        <v>12422.892753763</v>
      </c>
    </row>
    <row r="161" customFormat="false" ht="15" hidden="false" customHeight="false" outlineLevel="0" collapsed="false">
      <c r="A161" s="0" t="s">
        <v>964</v>
      </c>
      <c r="B161" s="0" t="s">
        <v>230</v>
      </c>
      <c r="C161" s="9" t="n">
        <f aca="false">(C157*Assumptions!$C$65)</f>
        <v>2.808</v>
      </c>
      <c r="D161" s="9" t="n">
        <f aca="false">(D157*Assumptions!$C$65)</f>
        <v>4.9896</v>
      </c>
      <c r="E161" s="9" t="n">
        <f aca="false">(E157*Assumptions!$C$65)</f>
        <v>6.5751264</v>
      </c>
      <c r="F161" s="9" t="n">
        <f aca="false">(F157*Assumptions!$C$65)</f>
        <v>7.84418688</v>
      </c>
      <c r="G161" s="9" t="n">
        <f aca="false">(G157*Assumptions!$C$65)</f>
        <v>11.05905459456</v>
      </c>
      <c r="H161" s="9" t="n">
        <f aca="false">(H157*Assumptions!$C$65)</f>
        <v>11.4796516670208</v>
      </c>
      <c r="I161" s="9" t="n">
        <f aca="false">(I157*Assumptions!$C$65)</f>
        <v>12.5492943647094</v>
      </c>
      <c r="J161" s="9" t="n">
        <f aca="false">(J157*Assumptions!$C$65)</f>
        <v>27.0423252160184</v>
      </c>
      <c r="K161" s="9" t="n">
        <f aca="false">(K157*Assumptions!$C$65)</f>
        <v>31.5565275038721</v>
      </c>
      <c r="L161" s="9" t="n">
        <f aca="false">(L157*Assumptions!$C$65)</f>
        <v>33.3463462099979</v>
      </c>
      <c r="M161" s="9" t="n">
        <f aca="false">(M157*Assumptions!$C$65)</f>
        <v>31.8685925868774</v>
      </c>
      <c r="N161" s="9" t="n">
        <f aca="false">(N157*Assumptions!$C$65)</f>
        <v>36.4945888966553</v>
      </c>
      <c r="O161" s="9" t="n">
        <f aca="false">(O157*Assumptions!$C$65)</f>
        <v>65.7881952125691</v>
      </c>
      <c r="P161" s="9" t="n">
        <f aca="false">(P157*Assumptions!$C$65)</f>
        <v>76.1930341812341</v>
      </c>
      <c r="Q161" s="9" t="n">
        <f aca="false">(Q157*Assumptions!$C$65)</f>
        <v>109.691077402985</v>
      </c>
      <c r="R161" s="9" t="n">
        <f aca="false">(R157*Assumptions!$C$65)</f>
        <v>135.110473437886</v>
      </c>
      <c r="S161" s="9" t="n">
        <f aca="false">(S157*Assumptions!$C$65)</f>
        <v>142.663889065704</v>
      </c>
      <c r="T161" s="9" t="n">
        <f aca="false">(T157*Assumptions!$C$65)</f>
        <v>147.735860517684</v>
      </c>
      <c r="U161" s="9" t="n">
        <f aca="false">(U157*Assumptions!$C$65)</f>
        <v>169.973471900109</v>
      </c>
      <c r="V161" s="9" t="n">
        <f aca="false">(V157*Assumptions!$C$65)</f>
        <v>202.514282924387</v>
      </c>
      <c r="W161" s="9" t="n">
        <f aca="false">(W157*Assumptions!$C$65)</f>
        <v>234.112546774138</v>
      </c>
      <c r="X161" s="9" t="n">
        <f aca="false">(X157*Assumptions!$C$65)</f>
        <v>249.156381104041</v>
      </c>
      <c r="Y161" s="9" t="n">
        <f aca="false">(Y157*Assumptions!$C$65)</f>
        <v>280.533571921141</v>
      </c>
      <c r="Z161" s="9" t="n">
        <f aca="false">(Z157*Assumptions!$C$65)</f>
        <v>281.940175369328</v>
      </c>
      <c r="AA161" s="9" t="n">
        <f aca="false">(AA157*Assumptions!$C$65)</f>
        <v>307.592766846383</v>
      </c>
      <c r="AB161" s="9" t="n">
        <f aca="false">(AB157*Assumptions!$C$65)</f>
        <v>381.232057971934</v>
      </c>
      <c r="AC161" s="9" t="n">
        <f aca="false">(AC157*Assumptions!$C$65)</f>
        <v>388.057184453149</v>
      </c>
      <c r="AD161" s="9" t="n">
        <f aca="false">(AD157*Assumptions!$C$65)</f>
        <v>406.757615535732</v>
      </c>
      <c r="AE161" s="9" t="n">
        <f aca="false">(AE157*Assumptions!$C$65)</f>
        <v>471.531763896891</v>
      </c>
      <c r="AF161" s="9" t="n">
        <f aca="false">(AF157*Assumptions!$C$65)</f>
        <v>506.485157573642</v>
      </c>
      <c r="AG161" s="9" t="n">
        <f aca="false">(AG157*Assumptions!$C$65)</f>
        <v>521.143136493129</v>
      </c>
      <c r="AH161" s="9" t="n">
        <f aca="false">(AH157*Assumptions!$C$65)</f>
        <v>622.446755002297</v>
      </c>
      <c r="AI161" s="9" t="n">
        <f aca="false">(AI157*Assumptions!$C$65)</f>
        <v>659.382011154501</v>
      </c>
      <c r="AJ161" s="9" t="n">
        <f aca="false">(AJ157*Assumptions!$C$65)</f>
        <v>672.380326763594</v>
      </c>
      <c r="AK161" s="9" t="n">
        <f aca="false">(AK157*Assumptions!$C$65)</f>
        <v>792.163427481408</v>
      </c>
      <c r="AL161" s="9" t="n">
        <f aca="false">(AL157*Assumptions!$C$65)</f>
        <v>896.370598834298</v>
      </c>
      <c r="AN161" s="11" t="n">
        <f aca="false">SUM(C161:N161)</f>
        <v>217.613294319711</v>
      </c>
      <c r="AO161" s="11" t="n">
        <f aca="false">SUM(O161:Z161)</f>
        <v>2095.41295981121</v>
      </c>
      <c r="AP161" s="11" t="n">
        <f aca="false">SUM(AA161:AL161)</f>
        <v>6625.54280200696</v>
      </c>
    </row>
    <row r="162" customFormat="false" ht="15" hidden="false" customHeight="false" outlineLevel="0" collapsed="false">
      <c r="A162" s="0" t="s">
        <v>965</v>
      </c>
      <c r="B162" s="0" t="s">
        <v>230</v>
      </c>
      <c r="C162" s="9" t="n">
        <f aca="false">(C157*Assumptions!$C$66)</f>
        <v>4.68</v>
      </c>
      <c r="D162" s="9" t="n">
        <f aca="false">(D157*Assumptions!$C$66)</f>
        <v>8.316</v>
      </c>
      <c r="E162" s="9" t="n">
        <f aca="false">(E157*Assumptions!$C$66)</f>
        <v>10.958544</v>
      </c>
      <c r="F162" s="9" t="n">
        <f aca="false">(F157*Assumptions!$C$66)</f>
        <v>13.0736448</v>
      </c>
      <c r="G162" s="9" t="n">
        <f aca="false">(G157*Assumptions!$C$66)</f>
        <v>18.4317576576</v>
      </c>
      <c r="H162" s="9" t="n">
        <f aca="false">(H157*Assumptions!$C$66)</f>
        <v>19.132752778368</v>
      </c>
      <c r="I162" s="9" t="n">
        <f aca="false">(I157*Assumptions!$C$66)</f>
        <v>20.915490607849</v>
      </c>
      <c r="J162" s="9" t="n">
        <f aca="false">(J157*Assumptions!$C$66)</f>
        <v>45.0705420266973</v>
      </c>
      <c r="K162" s="9" t="n">
        <f aca="false">(K157*Assumptions!$C$66)</f>
        <v>52.5942125064535</v>
      </c>
      <c r="L162" s="9" t="n">
        <f aca="false">(L157*Assumptions!$C$66)</f>
        <v>55.5772436833298</v>
      </c>
      <c r="M162" s="9" t="n">
        <f aca="false">(M157*Assumptions!$C$66)</f>
        <v>53.114320978129</v>
      </c>
      <c r="N162" s="9" t="n">
        <f aca="false">(N157*Assumptions!$C$66)</f>
        <v>60.8243148277588</v>
      </c>
      <c r="O162" s="9" t="n">
        <f aca="false">(O157*Assumptions!$C$66)</f>
        <v>109.646992020949</v>
      </c>
      <c r="P162" s="9" t="n">
        <f aca="false">(P157*Assumptions!$C$66)</f>
        <v>126.988390302057</v>
      </c>
      <c r="Q162" s="9" t="n">
        <f aca="false">(Q157*Assumptions!$C$66)</f>
        <v>182.818462338308</v>
      </c>
      <c r="R162" s="9" t="n">
        <f aca="false">(R157*Assumptions!$C$66)</f>
        <v>225.184122396477</v>
      </c>
      <c r="S162" s="9" t="n">
        <f aca="false">(S157*Assumptions!$C$66)</f>
        <v>237.773148442839</v>
      </c>
      <c r="T162" s="9" t="n">
        <f aca="false">(T157*Assumptions!$C$66)</f>
        <v>246.22643419614</v>
      </c>
      <c r="U162" s="9" t="n">
        <f aca="false">(U157*Assumptions!$C$66)</f>
        <v>283.289119833515</v>
      </c>
      <c r="V162" s="9" t="n">
        <f aca="false">(V157*Assumptions!$C$66)</f>
        <v>337.523804873978</v>
      </c>
      <c r="W162" s="9" t="n">
        <f aca="false">(W157*Assumptions!$C$66)</f>
        <v>390.187577956897</v>
      </c>
      <c r="X162" s="9" t="n">
        <f aca="false">(X157*Assumptions!$C$66)</f>
        <v>415.260635173402</v>
      </c>
      <c r="Y162" s="9" t="n">
        <f aca="false">(Y157*Assumptions!$C$66)</f>
        <v>467.555953201901</v>
      </c>
      <c r="Z162" s="9" t="n">
        <f aca="false">(Z157*Assumptions!$C$66)</f>
        <v>469.900292282213</v>
      </c>
      <c r="AA162" s="9" t="n">
        <f aca="false">(AA157*Assumptions!$C$66)</f>
        <v>512.654611410639</v>
      </c>
      <c r="AB162" s="9" t="n">
        <f aca="false">(AB157*Assumptions!$C$66)</f>
        <v>635.386763286557</v>
      </c>
      <c r="AC162" s="9" t="n">
        <f aca="false">(AC157*Assumptions!$C$66)</f>
        <v>646.761974088582</v>
      </c>
      <c r="AD162" s="9" t="n">
        <f aca="false">(AD157*Assumptions!$C$66)</f>
        <v>677.929359226221</v>
      </c>
      <c r="AE162" s="9" t="n">
        <f aca="false">(AE157*Assumptions!$C$66)</f>
        <v>785.886273161485</v>
      </c>
      <c r="AF162" s="9" t="n">
        <f aca="false">(AF157*Assumptions!$C$66)</f>
        <v>844.141929289403</v>
      </c>
      <c r="AG162" s="9" t="n">
        <f aca="false">(AG157*Assumptions!$C$66)</f>
        <v>868.571894155215</v>
      </c>
      <c r="AH162" s="9" t="n">
        <f aca="false">(AH157*Assumptions!$C$66)</f>
        <v>1037.41125833716</v>
      </c>
      <c r="AI162" s="9" t="n">
        <f aca="false">(AI157*Assumptions!$C$66)</f>
        <v>1098.97001859083</v>
      </c>
      <c r="AJ162" s="9" t="n">
        <f aca="false">(AJ157*Assumptions!$C$66)</f>
        <v>1120.63387793932</v>
      </c>
      <c r="AK162" s="9" t="n">
        <f aca="false">(AK157*Assumptions!$C$66)</f>
        <v>1320.27237913568</v>
      </c>
      <c r="AL162" s="9" t="n">
        <f aca="false">(AL157*Assumptions!$C$66)</f>
        <v>1493.95099805716</v>
      </c>
      <c r="AN162" s="11" t="n">
        <f aca="false">SUM(C162:N162)</f>
        <v>362.688823866185</v>
      </c>
      <c r="AO162" s="11" t="n">
        <f aca="false">SUM(O162:Z162)</f>
        <v>3492.35493301868</v>
      </c>
      <c r="AP162" s="11" t="n">
        <f aca="false">SUM(AA162:AL162)</f>
        <v>11042.5713366783</v>
      </c>
    </row>
    <row r="163" customFormat="false" ht="15" hidden="false" customHeight="false" outlineLevel="0" collapsed="false">
      <c r="A163" s="0" t="s">
        <v>363</v>
      </c>
      <c r="B163" s="0" t="s">
        <v>230</v>
      </c>
      <c r="C163" s="9" t="n">
        <f aca="false">(C157*Assumptions!$C$67)</f>
        <v>2.34</v>
      </c>
      <c r="D163" s="9" t="n">
        <f aca="false">(D157*Assumptions!$C$67)</f>
        <v>4.158</v>
      </c>
      <c r="E163" s="9" t="n">
        <f aca="false">(E157*Assumptions!$C$67)</f>
        <v>5.479272</v>
      </c>
      <c r="F163" s="9" t="n">
        <f aca="false">(F157*Assumptions!$C$67)</f>
        <v>6.5368224</v>
      </c>
      <c r="G163" s="9" t="n">
        <f aca="false">(G157*Assumptions!$C$67)</f>
        <v>9.2158788288</v>
      </c>
      <c r="H163" s="9" t="n">
        <f aca="false">(H157*Assumptions!$C$67)</f>
        <v>9.566376389184</v>
      </c>
      <c r="I163" s="9" t="n">
        <f aca="false">(I157*Assumptions!$C$67)</f>
        <v>10.4577453039245</v>
      </c>
      <c r="J163" s="9" t="n">
        <f aca="false">(J157*Assumptions!$C$67)</f>
        <v>22.5352710133487</v>
      </c>
      <c r="K163" s="9" t="n">
        <f aca="false">(K157*Assumptions!$C$67)</f>
        <v>26.2971062532267</v>
      </c>
      <c r="L163" s="9" t="n">
        <f aca="false">(L157*Assumptions!$C$67)</f>
        <v>27.7886218416649</v>
      </c>
      <c r="M163" s="9" t="n">
        <f aca="false">(M157*Assumptions!$C$67)</f>
        <v>26.5571604890645</v>
      </c>
      <c r="N163" s="9" t="n">
        <f aca="false">(N157*Assumptions!$C$67)</f>
        <v>30.4121574138794</v>
      </c>
      <c r="O163" s="9" t="n">
        <f aca="false">(O157*Assumptions!$C$67)</f>
        <v>54.8234960104743</v>
      </c>
      <c r="P163" s="9" t="n">
        <f aca="false">(P157*Assumptions!$C$67)</f>
        <v>63.4941951510284</v>
      </c>
      <c r="Q163" s="9" t="n">
        <f aca="false">(Q157*Assumptions!$C$67)</f>
        <v>91.4092311691539</v>
      </c>
      <c r="R163" s="9" t="n">
        <f aca="false">(R157*Assumptions!$C$67)</f>
        <v>112.592061198239</v>
      </c>
      <c r="S163" s="9" t="n">
        <f aca="false">(S157*Assumptions!$C$67)</f>
        <v>118.88657422142</v>
      </c>
      <c r="T163" s="9" t="n">
        <f aca="false">(T157*Assumptions!$C$67)</f>
        <v>123.11321709807</v>
      </c>
      <c r="U163" s="9" t="n">
        <f aca="false">(U157*Assumptions!$C$67)</f>
        <v>141.644559916758</v>
      </c>
      <c r="V163" s="9" t="n">
        <f aca="false">(V157*Assumptions!$C$67)</f>
        <v>168.761902436989</v>
      </c>
      <c r="W163" s="9" t="n">
        <f aca="false">(W157*Assumptions!$C$67)</f>
        <v>195.093788978449</v>
      </c>
      <c r="X163" s="9" t="n">
        <f aca="false">(X157*Assumptions!$C$67)</f>
        <v>207.630317586701</v>
      </c>
      <c r="Y163" s="9" t="n">
        <f aca="false">(Y157*Assumptions!$C$67)</f>
        <v>233.77797660095</v>
      </c>
      <c r="Z163" s="9" t="n">
        <f aca="false">(Z157*Assumptions!$C$67)</f>
        <v>234.950146141107</v>
      </c>
      <c r="AA163" s="9" t="n">
        <f aca="false">(AA157*Assumptions!$C$67)</f>
        <v>256.327305705319</v>
      </c>
      <c r="AB163" s="9" t="n">
        <f aca="false">(AB157*Assumptions!$C$67)</f>
        <v>317.693381643279</v>
      </c>
      <c r="AC163" s="9" t="n">
        <f aca="false">(AC157*Assumptions!$C$67)</f>
        <v>323.380987044291</v>
      </c>
      <c r="AD163" s="9" t="n">
        <f aca="false">(AD157*Assumptions!$C$67)</f>
        <v>338.96467961311</v>
      </c>
      <c r="AE163" s="9" t="n">
        <f aca="false">(AE157*Assumptions!$C$67)</f>
        <v>392.943136580742</v>
      </c>
      <c r="AF163" s="9" t="n">
        <f aca="false">(AF157*Assumptions!$C$67)</f>
        <v>422.070964644701</v>
      </c>
      <c r="AG163" s="9" t="n">
        <f aca="false">(AG157*Assumptions!$C$67)</f>
        <v>434.285947077608</v>
      </c>
      <c r="AH163" s="9" t="n">
        <f aca="false">(AH157*Assumptions!$C$67)</f>
        <v>518.705629168581</v>
      </c>
      <c r="AI163" s="9" t="n">
        <f aca="false">(AI157*Assumptions!$C$67)</f>
        <v>549.485009295417</v>
      </c>
      <c r="AJ163" s="9" t="n">
        <f aca="false">(AJ157*Assumptions!$C$67)</f>
        <v>560.316938969661</v>
      </c>
      <c r="AK163" s="9" t="n">
        <f aca="false">(AK157*Assumptions!$C$67)</f>
        <v>660.13618956784</v>
      </c>
      <c r="AL163" s="9" t="n">
        <f aca="false">(AL157*Assumptions!$C$67)</f>
        <v>746.975499028581</v>
      </c>
      <c r="AN163" s="11" t="n">
        <f aca="false">SUM(C163:N163)</f>
        <v>181.344411933093</v>
      </c>
      <c r="AO163" s="11" t="n">
        <f aca="false">SUM(O163:Z163)</f>
        <v>1746.17746650934</v>
      </c>
      <c r="AP163" s="11" t="n">
        <f aca="false">SUM(AA163:AL163)</f>
        <v>5521.28566833913</v>
      </c>
    </row>
    <row r="164" customFormat="false" ht="15" hidden="false" customHeight="false" outlineLevel="0" collapsed="false">
      <c r="A164" s="0" t="s">
        <v>966</v>
      </c>
      <c r="B164" s="0" t="s">
        <v>230</v>
      </c>
      <c r="C164" s="9" t="n">
        <f aca="false">Assumptions!$C$135</f>
        <v>4000</v>
      </c>
      <c r="D164" s="9" t="n">
        <f aca="false">Assumptions!$C$135</f>
        <v>4000</v>
      </c>
      <c r="E164" s="9" t="n">
        <f aca="false">Assumptions!$C$135</f>
        <v>4000</v>
      </c>
      <c r="F164" s="9" t="n">
        <f aca="false">Assumptions!$C$135</f>
        <v>4000</v>
      </c>
      <c r="G164" s="9" t="n">
        <f aca="false">Assumptions!$C$135</f>
        <v>4000</v>
      </c>
      <c r="H164" s="9" t="n">
        <f aca="false">Assumptions!$C$135</f>
        <v>4000</v>
      </c>
      <c r="I164" s="9" t="n">
        <f aca="false">Assumptions!$C$135</f>
        <v>4000</v>
      </c>
      <c r="J164" s="9" t="n">
        <f aca="false">Assumptions!$C$135</f>
        <v>4000</v>
      </c>
      <c r="K164" s="9" t="n">
        <f aca="false">Assumptions!$C$135</f>
        <v>4000</v>
      </c>
      <c r="L164" s="9" t="n">
        <f aca="false">Assumptions!$C$135</f>
        <v>4000</v>
      </c>
      <c r="M164" s="9" t="n">
        <f aca="false">Assumptions!$C$135</f>
        <v>4000</v>
      </c>
      <c r="N164" s="9" t="n">
        <f aca="false">Assumptions!$C$135</f>
        <v>4000</v>
      </c>
      <c r="O164" s="9" t="n">
        <f aca="false">Assumptions!$D$135</f>
        <v>9000</v>
      </c>
      <c r="P164" s="9" t="n">
        <f aca="false">Assumptions!$D$135</f>
        <v>9000</v>
      </c>
      <c r="Q164" s="9" t="n">
        <f aca="false">Assumptions!$D$135</f>
        <v>9000</v>
      </c>
      <c r="R164" s="9" t="n">
        <f aca="false">Assumptions!$D$135</f>
        <v>9000</v>
      </c>
      <c r="S164" s="9" t="n">
        <f aca="false">Assumptions!$D$135</f>
        <v>9000</v>
      </c>
      <c r="T164" s="9" t="n">
        <f aca="false">Assumptions!$D$135</f>
        <v>9000</v>
      </c>
      <c r="U164" s="9" t="n">
        <f aca="false">Assumptions!$D$135</f>
        <v>9000</v>
      </c>
      <c r="V164" s="9" t="n">
        <f aca="false">Assumptions!$D$135</f>
        <v>9000</v>
      </c>
      <c r="W164" s="9" t="n">
        <f aca="false">Assumptions!$D$135</f>
        <v>9000</v>
      </c>
      <c r="X164" s="9" t="n">
        <f aca="false">Assumptions!$D$135</f>
        <v>9000</v>
      </c>
      <c r="Y164" s="9" t="n">
        <f aca="false">Assumptions!$D$135</f>
        <v>9000</v>
      </c>
      <c r="Z164" s="9" t="n">
        <f aca="false">Assumptions!$D$135</f>
        <v>9000</v>
      </c>
      <c r="AA164" s="9" t="n">
        <f aca="false">Assumptions!$E$135</f>
        <v>16000</v>
      </c>
      <c r="AB164" s="9" t="n">
        <f aca="false">Assumptions!$E$135</f>
        <v>16000</v>
      </c>
      <c r="AC164" s="9" t="n">
        <f aca="false">Assumptions!$E$135</f>
        <v>16000</v>
      </c>
      <c r="AD164" s="9" t="n">
        <f aca="false">Assumptions!$E$135</f>
        <v>16000</v>
      </c>
      <c r="AE164" s="9" t="n">
        <f aca="false">Assumptions!$E$135</f>
        <v>16000</v>
      </c>
      <c r="AF164" s="9" t="n">
        <f aca="false">Assumptions!$E$135</f>
        <v>16000</v>
      </c>
      <c r="AG164" s="9" t="n">
        <f aca="false">Assumptions!$E$135</f>
        <v>16000</v>
      </c>
      <c r="AH164" s="9" t="n">
        <f aca="false">Assumptions!$E$135</f>
        <v>16000</v>
      </c>
      <c r="AI164" s="9" t="n">
        <f aca="false">Assumptions!$E$135</f>
        <v>16000</v>
      </c>
      <c r="AJ164" s="9" t="n">
        <f aca="false">Assumptions!$E$135</f>
        <v>16000</v>
      </c>
      <c r="AK164" s="9" t="n">
        <f aca="false">Assumptions!$E$135</f>
        <v>16000</v>
      </c>
      <c r="AL164" s="9" t="n">
        <f aca="false">Assumptions!$E$135</f>
        <v>16000</v>
      </c>
      <c r="AN164" s="11" t="n">
        <f aca="false">SUM(C164:N164)</f>
        <v>48000</v>
      </c>
      <c r="AO164" s="11" t="n">
        <f aca="false">SUM(O164:Z164)</f>
        <v>108000</v>
      </c>
      <c r="AP164" s="11" t="n">
        <f aca="false">SUM(AA164:AL164)</f>
        <v>192000</v>
      </c>
    </row>
    <row r="165" customFormat="false" ht="15" hidden="false" customHeight="false" outlineLevel="0" collapsed="false">
      <c r="A165" s="0" t="s">
        <v>967</v>
      </c>
      <c r="B165" s="0" t="s">
        <v>230</v>
      </c>
      <c r="C165" s="9" t="n">
        <f aca="false">(((Assumptions!$C$184*$C$12)*$C$13)*(((C29*Assumptions!$C$85)+(C39*Assumptions!$C$86))+(C126*Assumptions!$C$87)))</f>
        <v>33.7515984</v>
      </c>
      <c r="D165" s="9" t="n">
        <f aca="false">(((Assumptions!$C$184*$C$12)*$C$13)*(((D29*Assumptions!$C$85)+(D39*Assumptions!$C$86))+(D126*Assumptions!$C$87)))</f>
        <v>59.97399408</v>
      </c>
      <c r="E165" s="9" t="n">
        <f aca="false">(((Assumptions!$C$184*$C$12)*$C$13)*(((E29*Assumptions!$C$85)+(E39*Assumptions!$C$86))+(E126*Assumptions!$C$87)))</f>
        <v>79.03170430272</v>
      </c>
      <c r="F165" s="9" t="n">
        <f aca="false">(((Assumptions!$C$184*$C$12)*$C$13)*(((F29*Assumptions!$C$85)+(F39*Assumptions!$C$86))+(F126*Assumptions!$C$87)))</f>
        <v>94.285557460224</v>
      </c>
      <c r="G165" s="9" t="n">
        <f aca="false">(((Assumptions!$C$184*$C$12)*$C$13)*(((G29*Assumptions!$C$85)+(G39*Assumptions!$C$86))+(G126*Assumptions!$C$87)))</f>
        <v>163.217520415692</v>
      </c>
      <c r="H165" s="9" t="n">
        <f aca="false">(((Assumptions!$C$184*$C$12)*$C$13)*(((H29*Assumptions!$C$85)+(H39*Assumptions!$C$86))+(H126*Assumptions!$C$87)))</f>
        <v>168.273013107257</v>
      </c>
      <c r="I165" s="9" t="n">
        <f aca="false">(((Assumptions!$C$184*$C$12)*$C$13)*(((I29*Assumptions!$C$85)+(I39*Assumptions!$C$86))+(I126*Assumptions!$C$87)))</f>
        <v>181.129904404934</v>
      </c>
      <c r="J165" s="9" t="n">
        <f aca="false">(((Assumptions!$C$184*$C$12)*$C$13)*(((J29*Assumptions!$C$85)+(J39*Assumptions!$C$86))+(J126*Assumptions!$C$87)))</f>
        <v>481.541136631498</v>
      </c>
      <c r="K165" s="9" t="n">
        <f aca="false">(((Assumptions!$C$184*$C$12)*$C$13)*(((K29*Assumptions!$C$85)+(K39*Assumptions!$C$86))+(K126*Assumptions!$C$87)))</f>
        <v>535.800945291042</v>
      </c>
      <c r="L165" s="9" t="n">
        <f aca="false">(((Assumptions!$C$184*$C$12)*$C$13)*(((L29*Assumptions!$C$85)+(L39*Assumptions!$C$86))+(L126*Assumptions!$C$87)))</f>
        <v>557.314208174932</v>
      </c>
      <c r="M165" s="9" t="n">
        <f aca="false">(((Assumptions!$C$184*$C$12)*$C$13)*(((M29*Assumptions!$C$85)+(M39*Assumptions!$C$86))+(M126*Assumptions!$C$87)))</f>
        <v>509.262009175749</v>
      </c>
      <c r="N165" s="9" t="n">
        <f aca="false">(((Assumptions!$C$184*$C$12)*$C$13)*(((N29*Assumptions!$C$85)+(N39*Assumptions!$C$86))+(N126*Assumptions!$C$87)))</f>
        <v>616.791095620017</v>
      </c>
      <c r="O165" s="9" t="n">
        <f aca="false">(((Assumptions!$C$184*$C$12)*$C$13)*(((O29*Assumptions!$C$85)+(O39*Assumptions!$C$86))+(O126*Assumptions!$C$87)))</f>
        <v>1001.46386777271</v>
      </c>
      <c r="P165" s="9" t="n">
        <f aca="false">(((Assumptions!$C$184*$C$12)*$C$13)*(((P29*Assumptions!$C$85)+(P39*Assumptions!$C$86))+(P126*Assumptions!$C$87)))</f>
        <v>1005.34711774671</v>
      </c>
      <c r="Q165" s="9" t="n">
        <f aca="false">(((Assumptions!$C$184*$C$12)*$C$13)*(((Q29*Assumptions!$C$85)+(Q39*Assumptions!$C$86))+(Q126*Assumptions!$C$87)))</f>
        <v>1631.41959255529</v>
      </c>
      <c r="R165" s="9" t="n">
        <f aca="false">(((Assumptions!$C$184*$C$12)*$C$13)*(((R29*Assumptions!$C$85)+(R39*Assumptions!$C$86))+(R126*Assumptions!$C$87)))</f>
        <v>2101.95191989062</v>
      </c>
      <c r="S165" s="9" t="n">
        <f aca="false">(((Assumptions!$C$184*$C$12)*$C$13)*(((S29*Assumptions!$C$85)+(S39*Assumptions!$C$86))+(S126*Assumptions!$C$87)))</f>
        <v>2202.29883716659</v>
      </c>
      <c r="T165" s="9" t="n">
        <f aca="false">(((Assumptions!$C$184*$C$12)*$C$13)*(((T29*Assumptions!$C$85)+(T39*Assumptions!$C$86))+(T126*Assumptions!$C$87)))</f>
        <v>2273.34084573004</v>
      </c>
      <c r="U165" s="9" t="n">
        <f aca="false">(((Assumptions!$C$184*$C$12)*$C$13)*(((U29*Assumptions!$C$85)+(U39*Assumptions!$C$86))+(U126*Assumptions!$C$87)))</f>
        <v>2707.45873683104</v>
      </c>
      <c r="V165" s="9" t="n">
        <f aca="false">(((Assumptions!$C$184*$C$12)*$C$13)*(((V29*Assumptions!$C$85)+(V39*Assumptions!$C$86))+(V126*Assumptions!$C$87)))</f>
        <v>3152.87733182964</v>
      </c>
      <c r="W165" s="9" t="n">
        <f aca="false">(((Assumptions!$C$184*$C$12)*$C$13)*(((W29*Assumptions!$C$85)+(W39*Assumptions!$C$86))+(W126*Assumptions!$C$87)))</f>
        <v>3546.43987061761</v>
      </c>
      <c r="X165" s="9" t="n">
        <f aca="false">(((Assumptions!$C$184*$C$12)*$C$13)*(((X29*Assumptions!$C$85)+(X39*Assumptions!$C$86))+(X126*Assumptions!$C$87)))</f>
        <v>3774.25910096856</v>
      </c>
      <c r="Y165" s="9" t="n">
        <f aca="false">(((Assumptions!$C$184*$C$12)*$C$13)*(((Y29*Assumptions!$C$85)+(Y39*Assumptions!$C$86))+(Y126*Assumptions!$C$87)))</f>
        <v>4461.05410589164</v>
      </c>
      <c r="Z165" s="9" t="n">
        <f aca="false">(((Assumptions!$C$184*$C$12)*$C$13)*(((Z29*Assumptions!$C$85)+(Z39*Assumptions!$C$86))+(Z126*Assumptions!$C$87)))</f>
        <v>4489.56795345757</v>
      </c>
      <c r="AA165" s="9" t="n">
        <f aca="false">(((Assumptions!$C$184*$C$12)*$C$13)*(((AA29*Assumptions!$C$85)+(AA39*Assumptions!$C$86))+(AA126*Assumptions!$C$87)))</f>
        <v>4845.30421753646</v>
      </c>
      <c r="AB165" s="9" t="n">
        <f aca="false">(((Assumptions!$C$184*$C$12)*$C$13)*(((AB29*Assumptions!$C$85)+(AB39*Assumptions!$C$86))+(AB126*Assumptions!$C$87)))</f>
        <v>6444.898916427</v>
      </c>
      <c r="AC165" s="9" t="n">
        <f aca="false">(((Assumptions!$C$184*$C$12)*$C$13)*(((AC29*Assumptions!$C$85)+(AC39*Assumptions!$C$86))+(AC126*Assumptions!$C$87)))</f>
        <v>6520.20294186263</v>
      </c>
      <c r="AD165" s="9" t="n">
        <f aca="false">(((Assumptions!$C$184*$C$12)*$C$13)*(((AD29*Assumptions!$C$85)+(AD39*Assumptions!$C$86))+(AD126*Assumptions!$C$87)))</f>
        <v>6920.80028074716</v>
      </c>
      <c r="AE165" s="9" t="n">
        <f aca="false">(((Assumptions!$C$184*$C$12)*$C$13)*(((AE29*Assumptions!$C$85)+(AE39*Assumptions!$C$86))+(AE126*Assumptions!$C$87)))</f>
        <v>8500.99770509602</v>
      </c>
      <c r="AF165" s="9" t="n">
        <f aca="false">(((Assumptions!$C$184*$C$12)*$C$13)*(((AF29*Assumptions!$C$85)+(AF39*Assumptions!$C$86))+(AF126*Assumptions!$C$87)))</f>
        <v>9393.90839439311</v>
      </c>
      <c r="AG165" s="9" t="n">
        <f aca="false">(((Assumptions!$C$184*$C$12)*$C$13)*(((AG29*Assumptions!$C$85)+(AG39*Assumptions!$C$86))+(AG126*Assumptions!$C$87)))</f>
        <v>9713.84047836541</v>
      </c>
      <c r="AH165" s="9" t="n">
        <f aca="false">(((Assumptions!$C$184*$C$12)*$C$13)*(((AH29*Assumptions!$C$85)+(AH39*Assumptions!$C$86))+(AH126*Assumptions!$C$87)))</f>
        <v>11769.3867894152</v>
      </c>
      <c r="AI165" s="9" t="n">
        <f aca="false">(((Assumptions!$C$184*$C$12)*$C$13)*(((AI29*Assumptions!$C$85)+(AI39*Assumptions!$C$86))+(AI126*Assumptions!$C$87)))</f>
        <v>12233.0894222631</v>
      </c>
      <c r="AJ165" s="9" t="n">
        <f aca="false">(((Assumptions!$C$184*$C$12)*$C$13)*(((AJ29*Assumptions!$C$85)+(AJ39*Assumptions!$C$86))+(AJ126*Assumptions!$C$87)))</f>
        <v>12442.0581831263</v>
      </c>
      <c r="AK165" s="9" t="n">
        <f aca="false">(((Assumptions!$C$184*$C$12)*$C$13)*(((AK29*Assumptions!$C$85)+(AK39*Assumptions!$C$86))+(AK126*Assumptions!$C$87)))</f>
        <v>15304.6134157276</v>
      </c>
      <c r="AL165" s="9" t="n">
        <f aca="false">(((Assumptions!$C$184*$C$12)*$C$13)*(((AL29*Assumptions!$C$85)+(AL39*Assumptions!$C$86))+(AL126*Assumptions!$C$87)))</f>
        <v>17872.0799052433</v>
      </c>
      <c r="AN165" s="11" t="n">
        <f aca="false">SUM(C165:N165)</f>
        <v>3480.37268706407</v>
      </c>
      <c r="AO165" s="11" t="n">
        <f aca="false">SUM(O165:Z165)</f>
        <v>32347.479280458</v>
      </c>
      <c r="AP165" s="11" t="n">
        <f aca="false">SUM(AA165:AL165)</f>
        <v>121961.180650203</v>
      </c>
    </row>
    <row r="166" customFormat="false" ht="15" hidden="false" customHeight="false" outlineLevel="0" collapsed="false">
      <c r="A166" s="0" t="s">
        <v>968</v>
      </c>
      <c r="B166" s="0" t="s">
        <v>230</v>
      </c>
      <c r="C166" s="9" t="n">
        <f aca="false">Assumptions!$C$136</f>
        <v>2000</v>
      </c>
      <c r="D166" s="9" t="n">
        <f aca="false">Assumptions!$C$136</f>
        <v>2000</v>
      </c>
      <c r="E166" s="9" t="n">
        <f aca="false">Assumptions!$C$136</f>
        <v>2000</v>
      </c>
      <c r="F166" s="9" t="n">
        <f aca="false">Assumptions!$C$136</f>
        <v>2000</v>
      </c>
      <c r="G166" s="9" t="n">
        <f aca="false">Assumptions!$C$136</f>
        <v>2000</v>
      </c>
      <c r="H166" s="9" t="n">
        <f aca="false">Assumptions!$C$136</f>
        <v>2000</v>
      </c>
      <c r="I166" s="9" t="n">
        <f aca="false">Assumptions!$C$136</f>
        <v>2000</v>
      </c>
      <c r="J166" s="9" t="n">
        <f aca="false">Assumptions!$C$136</f>
        <v>2000</v>
      </c>
      <c r="K166" s="9" t="n">
        <f aca="false">Assumptions!$C$136</f>
        <v>2000</v>
      </c>
      <c r="L166" s="9" t="n">
        <f aca="false">Assumptions!$C$136</f>
        <v>2000</v>
      </c>
      <c r="M166" s="9" t="n">
        <f aca="false">Assumptions!$C$136</f>
        <v>2000</v>
      </c>
      <c r="N166" s="9" t="n">
        <f aca="false">Assumptions!$C$136</f>
        <v>2000</v>
      </c>
      <c r="O166" s="9" t="n">
        <f aca="false">Assumptions!$D$136</f>
        <v>3000</v>
      </c>
      <c r="P166" s="9" t="n">
        <f aca="false">Assumptions!$D$136</f>
        <v>3000</v>
      </c>
      <c r="Q166" s="9" t="n">
        <f aca="false">Assumptions!$D$136</f>
        <v>3000</v>
      </c>
      <c r="R166" s="9" t="n">
        <f aca="false">Assumptions!$D$136</f>
        <v>3000</v>
      </c>
      <c r="S166" s="9" t="n">
        <f aca="false">Assumptions!$D$136</f>
        <v>3000</v>
      </c>
      <c r="T166" s="9" t="n">
        <f aca="false">Assumptions!$D$136</f>
        <v>3000</v>
      </c>
      <c r="U166" s="9" t="n">
        <f aca="false">Assumptions!$D$136</f>
        <v>3000</v>
      </c>
      <c r="V166" s="9" t="n">
        <f aca="false">Assumptions!$D$136</f>
        <v>3000</v>
      </c>
      <c r="W166" s="9" t="n">
        <f aca="false">Assumptions!$D$136</f>
        <v>3000</v>
      </c>
      <c r="X166" s="9" t="n">
        <f aca="false">Assumptions!$D$136</f>
        <v>3000</v>
      </c>
      <c r="Y166" s="9" t="n">
        <f aca="false">Assumptions!$D$136</f>
        <v>3000</v>
      </c>
      <c r="Z166" s="9" t="n">
        <f aca="false">Assumptions!$D$136</f>
        <v>3000</v>
      </c>
      <c r="AA166" s="9" t="n">
        <f aca="false">Assumptions!$E$136</f>
        <v>5000</v>
      </c>
      <c r="AB166" s="9" t="n">
        <f aca="false">Assumptions!$E$136</f>
        <v>5000</v>
      </c>
      <c r="AC166" s="9" t="n">
        <f aca="false">Assumptions!$E$136</f>
        <v>5000</v>
      </c>
      <c r="AD166" s="9" t="n">
        <f aca="false">Assumptions!$E$136</f>
        <v>5000</v>
      </c>
      <c r="AE166" s="9" t="n">
        <f aca="false">Assumptions!$E$136</f>
        <v>5000</v>
      </c>
      <c r="AF166" s="9" t="n">
        <f aca="false">Assumptions!$E$136</f>
        <v>5000</v>
      </c>
      <c r="AG166" s="9" t="n">
        <f aca="false">Assumptions!$E$136</f>
        <v>5000</v>
      </c>
      <c r="AH166" s="9" t="n">
        <f aca="false">Assumptions!$E$136</f>
        <v>5000</v>
      </c>
      <c r="AI166" s="9" t="n">
        <f aca="false">Assumptions!$E$136</f>
        <v>5000</v>
      </c>
      <c r="AJ166" s="9" t="n">
        <f aca="false">Assumptions!$E$136</f>
        <v>5000</v>
      </c>
      <c r="AK166" s="9" t="n">
        <f aca="false">Assumptions!$E$136</f>
        <v>5000</v>
      </c>
      <c r="AL166" s="9" t="n">
        <f aca="false">Assumptions!$E$136</f>
        <v>5000</v>
      </c>
      <c r="AN166" s="11" t="n">
        <f aca="false">SUM(C166:N166)</f>
        <v>24000</v>
      </c>
      <c r="AO166" s="11" t="n">
        <f aca="false">SUM(O166:Z166)</f>
        <v>36000</v>
      </c>
      <c r="AP166" s="11" t="n">
        <f aca="false">SUM(AA166:AL166)</f>
        <v>60000</v>
      </c>
    </row>
    <row r="167" customFormat="false" ht="15" hidden="false" customHeight="false" outlineLevel="0" collapsed="false">
      <c r="A167" s="0" t="s">
        <v>969</v>
      </c>
      <c r="B167" s="0" t="s">
        <v>230</v>
      </c>
      <c r="C167" s="9" t="n">
        <f aca="false">(C165+C166)</f>
        <v>2033.7515984</v>
      </c>
      <c r="D167" s="9" t="n">
        <f aca="false">(D165+D166)</f>
        <v>2059.97399408</v>
      </c>
      <c r="E167" s="9" t="n">
        <f aca="false">(E165+E166)</f>
        <v>2079.03170430272</v>
      </c>
      <c r="F167" s="9" t="n">
        <f aca="false">(F165+F166)</f>
        <v>2094.28555746022</v>
      </c>
      <c r="G167" s="9" t="n">
        <f aca="false">(G165+G166)</f>
        <v>2163.21752041569</v>
      </c>
      <c r="H167" s="9" t="n">
        <f aca="false">(H165+H166)</f>
        <v>2168.27301310726</v>
      </c>
      <c r="I167" s="9" t="n">
        <f aca="false">(I165+I166)</f>
        <v>2181.12990440493</v>
      </c>
      <c r="J167" s="9" t="n">
        <f aca="false">(J165+J166)</f>
        <v>2481.5411366315</v>
      </c>
      <c r="K167" s="9" t="n">
        <f aca="false">(K165+K166)</f>
        <v>2535.80094529104</v>
      </c>
      <c r="L167" s="9" t="n">
        <f aca="false">(L165+L166)</f>
        <v>2557.31420817493</v>
      </c>
      <c r="M167" s="9" t="n">
        <f aca="false">(M165+M166)</f>
        <v>2509.26200917575</v>
      </c>
      <c r="N167" s="9" t="n">
        <f aca="false">(N165+N166)</f>
        <v>2616.79109562002</v>
      </c>
      <c r="O167" s="9" t="n">
        <f aca="false">(O165+O166)</f>
        <v>4001.46386777271</v>
      </c>
      <c r="P167" s="9" t="n">
        <f aca="false">(P165+P166)</f>
        <v>4005.34711774671</v>
      </c>
      <c r="Q167" s="9" t="n">
        <f aca="false">(Q165+Q166)</f>
        <v>4631.41959255529</v>
      </c>
      <c r="R167" s="9" t="n">
        <f aca="false">(R165+R166)</f>
        <v>5101.95191989062</v>
      </c>
      <c r="S167" s="9" t="n">
        <f aca="false">(S165+S166)</f>
        <v>5202.29883716659</v>
      </c>
      <c r="T167" s="9" t="n">
        <f aca="false">(T165+T166)</f>
        <v>5273.34084573004</v>
      </c>
      <c r="U167" s="9" t="n">
        <f aca="false">(U165+U166)</f>
        <v>5707.45873683104</v>
      </c>
      <c r="V167" s="9" t="n">
        <f aca="false">(V165+V166)</f>
        <v>6152.87733182964</v>
      </c>
      <c r="W167" s="9" t="n">
        <f aca="false">(W165+W166)</f>
        <v>6546.43987061761</v>
      </c>
      <c r="X167" s="9" t="n">
        <f aca="false">(X165+X166)</f>
        <v>6774.25910096856</v>
      </c>
      <c r="Y167" s="9" t="n">
        <f aca="false">(Y165+Y166)</f>
        <v>7461.05410589164</v>
      </c>
      <c r="Z167" s="9" t="n">
        <f aca="false">(Z165+Z166)</f>
        <v>7489.56795345757</v>
      </c>
      <c r="AA167" s="9" t="n">
        <f aca="false">(AA165+AA166)</f>
        <v>9845.30421753646</v>
      </c>
      <c r="AB167" s="9" t="n">
        <f aca="false">(AB165+AB166)</f>
        <v>11444.898916427</v>
      </c>
      <c r="AC167" s="9" t="n">
        <f aca="false">(AC165+AC166)</f>
        <v>11520.2029418626</v>
      </c>
      <c r="AD167" s="9" t="n">
        <f aca="false">(AD165+AD166)</f>
        <v>11920.8002807472</v>
      </c>
      <c r="AE167" s="9" t="n">
        <f aca="false">(AE165+AE166)</f>
        <v>13500.997705096</v>
      </c>
      <c r="AF167" s="9" t="n">
        <f aca="false">(AF165+AF166)</f>
        <v>14393.9083943931</v>
      </c>
      <c r="AG167" s="9" t="n">
        <f aca="false">(AG165+AG166)</f>
        <v>14713.8404783654</v>
      </c>
      <c r="AH167" s="9" t="n">
        <f aca="false">(AH165+AH166)</f>
        <v>16769.3867894152</v>
      </c>
      <c r="AI167" s="9" t="n">
        <f aca="false">(AI165+AI166)</f>
        <v>17233.0894222631</v>
      </c>
      <c r="AJ167" s="9" t="n">
        <f aca="false">(AJ165+AJ166)</f>
        <v>17442.0581831263</v>
      </c>
      <c r="AK167" s="9" t="n">
        <f aca="false">(AK165+AK166)</f>
        <v>20304.6134157276</v>
      </c>
      <c r="AL167" s="9" t="n">
        <f aca="false">(AL165+AL166)</f>
        <v>22872.0799052433</v>
      </c>
      <c r="AN167" s="11" t="n">
        <f aca="false">SUM(C167:N167)</f>
        <v>27480.3726870641</v>
      </c>
      <c r="AO167" s="11" t="n">
        <f aca="false">SUM(O167:Z167)</f>
        <v>68347.479280458</v>
      </c>
      <c r="AP167" s="11" t="n">
        <f aca="false">SUM(AA167:AL167)</f>
        <v>181961.180650203</v>
      </c>
    </row>
    <row r="168" customFormat="false" ht="15" hidden="false" customHeight="false" outlineLevel="0" collapsed="false">
      <c r="A168" s="0" t="s">
        <v>970</v>
      </c>
      <c r="B168" s="0" t="s">
        <v>230</v>
      </c>
      <c r="C168" s="9" t="n">
        <f aca="false">((C122+C123)*((Assumptions!$C$90*Assumptions!$C$89)+Assumptions!$C$91))</f>
        <v>0</v>
      </c>
      <c r="D168" s="9" t="n">
        <f aca="false">((D122+D123)*((Assumptions!$C$90*Assumptions!$C$89)+Assumptions!$C$91))</f>
        <v>0</v>
      </c>
      <c r="E168" s="9" t="n">
        <f aca="false">((E122+E123)*((Assumptions!$C$90*Assumptions!$C$89)+Assumptions!$C$91))</f>
        <v>0</v>
      </c>
      <c r="F168" s="9" t="n">
        <f aca="false">((F122+F123)*((Assumptions!$C$90*Assumptions!$C$89)+Assumptions!$C$91))</f>
        <v>0</v>
      </c>
      <c r="G168" s="9" t="n">
        <f aca="false">((G122+G123)*((Assumptions!$C$90*Assumptions!$C$89)+Assumptions!$C$91))</f>
        <v>305</v>
      </c>
      <c r="H168" s="9" t="n">
        <f aca="false">((H122+H123)*((Assumptions!$C$90*Assumptions!$C$89)+Assumptions!$C$91))</f>
        <v>305</v>
      </c>
      <c r="I168" s="9" t="n">
        <f aca="false">((I122+I123)*((Assumptions!$C$90*Assumptions!$C$89)+Assumptions!$C$91))</f>
        <v>305</v>
      </c>
      <c r="J168" s="9" t="n">
        <f aca="false">((J122+J123)*((Assumptions!$C$90*Assumptions!$C$89)+Assumptions!$C$91))</f>
        <v>610</v>
      </c>
      <c r="K168" s="9" t="n">
        <f aca="false">((K122+K123)*((Assumptions!$C$90*Assumptions!$C$89)+Assumptions!$C$91))</f>
        <v>610</v>
      </c>
      <c r="L168" s="9" t="n">
        <f aca="false">((L122+L123)*((Assumptions!$C$90*Assumptions!$C$89)+Assumptions!$C$91))</f>
        <v>610</v>
      </c>
      <c r="M168" s="9" t="n">
        <f aca="false">((M122+M123)*((Assumptions!$C$90*Assumptions!$C$89)+Assumptions!$C$91))</f>
        <v>305</v>
      </c>
      <c r="N168" s="9" t="n">
        <f aca="false">((N122+N123)*((Assumptions!$C$90*Assumptions!$C$89)+Assumptions!$C$91))</f>
        <v>488</v>
      </c>
      <c r="O168" s="9" t="n">
        <f aca="false">((O122+O123)*((Assumptions!$C$90*Assumptions!$C$89)+Assumptions!$C$91))</f>
        <v>793</v>
      </c>
      <c r="P168" s="9" t="n">
        <f aca="false">((P122+P123)*((Assumptions!$C$90*Assumptions!$C$89)+Assumptions!$C$91))</f>
        <v>488</v>
      </c>
      <c r="Q168" s="9" t="n">
        <f aca="false">((Q122+Q123)*((Assumptions!$C$90*Assumptions!$C$89)+Assumptions!$C$91))</f>
        <v>671</v>
      </c>
      <c r="R168" s="9" t="n">
        <f aca="false">((R122+R123)*((Assumptions!$C$90*Assumptions!$C$89)+Assumptions!$C$91))</f>
        <v>1281</v>
      </c>
      <c r="S168" s="9" t="n">
        <f aca="false">((S122+S123)*((Assumptions!$C$90*Assumptions!$C$89)+Assumptions!$C$91))</f>
        <v>1281</v>
      </c>
      <c r="T168" s="9" t="n">
        <f aca="false">((T122+T123)*((Assumptions!$C$90*Assumptions!$C$89)+Assumptions!$C$91))</f>
        <v>1281</v>
      </c>
      <c r="U168" s="9" t="n">
        <f aca="false">((U122+U123)*((Assumptions!$C$90*Assumptions!$C$89)+Assumptions!$C$91))</f>
        <v>1891</v>
      </c>
      <c r="V168" s="9" t="n">
        <f aca="false">((V122+V123)*((Assumptions!$C$90*Assumptions!$C$89)+Assumptions!$C$91))</f>
        <v>2043.5</v>
      </c>
      <c r="W168" s="9" t="n">
        <f aca="false">((W122+W123)*((Assumptions!$C$90*Assumptions!$C$89)+Assumptions!$C$91))</f>
        <v>2043.5</v>
      </c>
      <c r="X168" s="9" t="n">
        <f aca="false">((X122+X123)*((Assumptions!$C$90*Assumptions!$C$89)+Assumptions!$C$91))</f>
        <v>2348.5</v>
      </c>
      <c r="Y168" s="9" t="n">
        <f aca="false">((Y122+Y123)*((Assumptions!$C$90*Assumptions!$C$89)+Assumptions!$C$91))</f>
        <v>2943.25</v>
      </c>
      <c r="Z168" s="9" t="n">
        <f aca="false">((Z122+Z123)*((Assumptions!$C$90*Assumptions!$C$89)+Assumptions!$C$91))</f>
        <v>2921.29</v>
      </c>
      <c r="AA168" s="9" t="n">
        <f aca="false">((AA122+AA123)*((Assumptions!$C$90*Assumptions!$C$89)+Assumptions!$C$91))</f>
        <v>3226.29</v>
      </c>
      <c r="AB168" s="9" t="n">
        <f aca="false">((AB122+AB123)*((Assumptions!$C$90*Assumptions!$C$89)+Assumptions!$C$91))</f>
        <v>4278.54</v>
      </c>
      <c r="AC168" s="9" t="n">
        <f aca="false">((AC122+AC123)*((Assumptions!$C$90*Assumptions!$C$89)+Assumptions!$C$91))</f>
        <v>4256.58</v>
      </c>
      <c r="AD168" s="9" t="n">
        <f aca="false">((AD122+AD123)*((Assumptions!$C$90*Assumptions!$C$89)+Assumptions!$C$91))</f>
        <v>4866.58</v>
      </c>
      <c r="AE168" s="9" t="n">
        <f aca="false">((AE122+AE123)*((Assumptions!$C$90*Assumptions!$C$89)+Assumptions!$C$91))</f>
        <v>6223.83</v>
      </c>
      <c r="AF168" s="9" t="n">
        <f aca="false">((AF122+AF123)*((Assumptions!$C$90*Assumptions!$C$89)+Assumptions!$C$91))</f>
        <v>6528.83</v>
      </c>
      <c r="AG168" s="9" t="n">
        <f aca="false">((AG122+AG123)*((Assumptions!$C$90*Assumptions!$C$89)+Assumptions!$C$91))</f>
        <v>6833.83</v>
      </c>
      <c r="AH168" s="9" t="n">
        <f aca="false">((AH122+AH123)*((Assumptions!$C$90*Assumptions!$C$89)+Assumptions!$C$91))</f>
        <v>8325.28</v>
      </c>
      <c r="AI168" s="9" t="n">
        <f aca="false">((AI122+AI123)*((Assumptions!$C$90*Assumptions!$C$89)+Assumptions!$C$91))</f>
        <v>8325.28</v>
      </c>
      <c r="AJ168" s="9" t="n">
        <f aca="false">((AJ122+AJ123)*((Assumptions!$C$90*Assumptions!$C$89)+Assumptions!$C$91))</f>
        <v>8630.28</v>
      </c>
      <c r="AK168" s="9" t="n">
        <f aca="false">((AK122+AK123)*((Assumptions!$C$90*Assumptions!$C$89)+Assumptions!$C$91))</f>
        <v>10815.91</v>
      </c>
      <c r="AL168" s="9" t="n">
        <f aca="false">((AL122+AL123)*((Assumptions!$C$90*Assumptions!$C$89)+Assumptions!$C$91))</f>
        <v>11101.5852</v>
      </c>
      <c r="AN168" s="11" t="n">
        <f aca="false">SUM(C168:N168)</f>
        <v>3538</v>
      </c>
      <c r="AO168" s="11" t="n">
        <f aca="false">SUM(O168:Z168)</f>
        <v>19986.04</v>
      </c>
      <c r="AP168" s="11" t="n">
        <f aca="false">SUM(AA168:AL168)</f>
        <v>83412.8152</v>
      </c>
    </row>
    <row r="169" customFormat="false" ht="15" hidden="false" customHeight="false" outlineLevel="0" collapsed="false">
      <c r="A169" s="0" t="s">
        <v>971</v>
      </c>
      <c r="B169" s="0" t="s">
        <v>421</v>
      </c>
      <c r="C169" s="9" t="n">
        <f aca="false">((((C29+C39)*Assumptions!$C$92)/100)+((C126*Assumptions!$C$93)/100))</f>
        <v>5.85</v>
      </c>
      <c r="D169" s="9" t="n">
        <f aca="false">((((D29+D39)*Assumptions!$C$92)/100)+((D126*Assumptions!$C$93)/100))</f>
        <v>10.395</v>
      </c>
      <c r="E169" s="9" t="n">
        <f aca="false">((((E29+E39)*Assumptions!$C$92)/100)+((E126*Assumptions!$C$93)/100))</f>
        <v>13.69818</v>
      </c>
      <c r="F169" s="9" t="n">
        <f aca="false">((((F29+F39)*Assumptions!$C$92)/100)+((F126*Assumptions!$C$93)/100))</f>
        <v>16.342056</v>
      </c>
      <c r="G169" s="9" t="n">
        <f aca="false">((((G29+G39)*Assumptions!$C$92)/100)+((G126*Assumptions!$C$93)/100))</f>
        <v>25.139697072</v>
      </c>
      <c r="H169" s="9" t="n">
        <f aca="false">((((H29+H39)*Assumptions!$C$92)/100)+((H126*Assumptions!$C$93)/100))</f>
        <v>26.01594097296</v>
      </c>
      <c r="I169" s="9" t="n">
        <f aca="false">((((I29+I39)*Assumptions!$C$92)/100)+((I126*Assumptions!$C$93)/100))</f>
        <v>28.2443632598112</v>
      </c>
      <c r="J169" s="9" t="n">
        <f aca="false">((((J29+J39)*Assumptions!$C$92)/100)+((J126*Assumptions!$C$93)/100))</f>
        <v>67.1881775333717</v>
      </c>
      <c r="K169" s="9" t="n">
        <f aca="false">((((K29+K39)*Assumptions!$C$92)/100)+((K126*Assumptions!$C$93)/100))</f>
        <v>76.5927656330669</v>
      </c>
      <c r="L169" s="9" t="n">
        <f aca="false">((((L29+L39)*Assumptions!$C$92)/100)+((L126*Assumptions!$C$93)/100))</f>
        <v>80.3215546041622</v>
      </c>
      <c r="M169" s="9" t="n">
        <f aca="false">((((M29+M39)*Assumptions!$C$92)/100)+((M126*Assumptions!$C$93)/100))</f>
        <v>75.1429012226613</v>
      </c>
      <c r="N169" s="9" t="n">
        <f aca="false">((((N29+N39)*Assumptions!$C$92)/100)+((N126*Assumptions!$C$93)/100))</f>
        <v>88.3803935346985</v>
      </c>
      <c r="O169" s="9" t="n">
        <f aca="false">((((O29+O39)*Assumptions!$C$92)/100)+((O126*Assumptions!$C$93)/100))</f>
        <v>151.508740026186</v>
      </c>
      <c r="P169" s="9" t="n">
        <f aca="false">((((P29+P39)*Assumptions!$C$92)/100)+((P126*Assumptions!$C$93)/100))</f>
        <v>164.435487877571</v>
      </c>
      <c r="Q169" s="9" t="n">
        <f aca="false">((((Q29+Q39)*Assumptions!$C$92)/100)+((Q126*Assumptions!$C$93)/100))</f>
        <v>249.223077922885</v>
      </c>
      <c r="R169" s="9" t="n">
        <f aca="false">((((R29+R39)*Assumptions!$C$92)/100)+((R126*Assumptions!$C$93)/100))</f>
        <v>313.030152995596</v>
      </c>
      <c r="S169" s="9" t="n">
        <f aca="false">((((S29+S39)*Assumptions!$C$92)/100)+((S126*Assumptions!$C$93)/100))</f>
        <v>328.766435553549</v>
      </c>
      <c r="T169" s="9" t="n">
        <f aca="false">((((T29+T39)*Assumptions!$C$92)/100)+((T126*Assumptions!$C$93)/100))</f>
        <v>339.333042745175</v>
      </c>
      <c r="U169" s="9" t="n">
        <f aca="false">((((U29+U39)*Assumptions!$C$92)/100)+((U126*Assumptions!$C$93)/100))</f>
        <v>396.511399791894</v>
      </c>
      <c r="V169" s="9" t="n">
        <f aca="false">((((V29+V39)*Assumptions!$C$92)/100)+((V126*Assumptions!$C$93)/100))</f>
        <v>467.304756092473</v>
      </c>
      <c r="W169" s="9" t="n">
        <f aca="false">((((W29+W39)*Assumptions!$C$92)/100)+((W126*Assumptions!$C$93)/100))</f>
        <v>533.134472446122</v>
      </c>
      <c r="X169" s="9" t="n">
        <f aca="false">((((X29+X39)*Assumptions!$C$92)/100)+((X126*Assumptions!$C$93)/100))</f>
        <v>566.575793966753</v>
      </c>
      <c r="Y169" s="9" t="n">
        <f aca="false">((((Y29+Y39)*Assumptions!$C$92)/100)+((Y126*Assumptions!$C$93)/100))</f>
        <v>652.194941502376</v>
      </c>
      <c r="Z169" s="9" t="n">
        <f aca="false">((((Z29+Z39)*Assumptions!$C$92)/100)+((Z126*Assumptions!$C$93)/100))</f>
        <v>654.693365352767</v>
      </c>
      <c r="AA169" s="9" t="n">
        <f aca="false">((((AA29+AA39)*Assumptions!$C$92)/100)+((AA126*Assumptions!$C$93)/100))</f>
        <v>710.236264263298</v>
      </c>
      <c r="AB169" s="9" t="n">
        <f aca="false">((((AB29+AB39)*Assumptions!$C$92)/100)+((AB126*Assumptions!$C$93)/100))</f>
        <v>911.901454108197</v>
      </c>
      <c r="AC169" s="9" t="n">
        <f aca="false">((((AC29+AC39)*Assumptions!$C$92)/100)+((AC126*Assumptions!$C$93)/100))</f>
        <v>924.320467610727</v>
      </c>
      <c r="AD169" s="9" t="n">
        <f aca="false">((((AD29+AD39)*Assumptions!$C$92)/100)+((AD126*Assumptions!$C$93)/100))</f>
        <v>974.129699032776</v>
      </c>
      <c r="AE169" s="9" t="n">
        <f aca="false">((((AE29+AE39)*Assumptions!$C$92)/100)+((AE126*Assumptions!$C$93)/100))</f>
        <v>1163.32584145186</v>
      </c>
      <c r="AF169" s="9" t="n">
        <f aca="false">((((AF29+AF39)*Assumptions!$C$92)/100)+((AF126*Assumptions!$C$93)/100))</f>
        <v>1267.64541161175</v>
      </c>
      <c r="AG169" s="9" t="n">
        <f aca="false">((((AG29+AG39)*Assumptions!$C$92)/100)+((AG126*Assumptions!$C$93)/100))</f>
        <v>1306.93286769402</v>
      </c>
      <c r="AH169" s="9" t="n">
        <f aca="false">((((AH29+AH39)*Assumptions!$C$92)/100)+((AH126*Assumptions!$C$93)/100))</f>
        <v>1574.87207292145</v>
      </c>
      <c r="AI169" s="9" t="n">
        <f aca="false">((((AI29+AI39)*Assumptions!$C$92)/100)+((AI126*Assumptions!$C$93)/100))</f>
        <v>1651.82052323854</v>
      </c>
      <c r="AJ169" s="9" t="n">
        <f aca="false">((((AJ29+AJ39)*Assumptions!$C$92)/100)+((AJ126*Assumptions!$C$93)/100))</f>
        <v>1681.00034742415</v>
      </c>
      <c r="AK169" s="9" t="n">
        <f aca="false">((((AK29+AK39)*Assumptions!$C$92)/100)+((AK126*Assumptions!$C$93)/100))</f>
        <v>2027.6184739196</v>
      </c>
      <c r="AL169" s="9" t="n">
        <f aca="false">((((AL29+AL39)*Assumptions!$C$92)/100)+((AL126*Assumptions!$C$93)/100))</f>
        <v>2334.33658757145</v>
      </c>
      <c r="AN169" s="11" t="n">
        <f aca="false">SUM(C169:N169)</f>
        <v>513.311029832732</v>
      </c>
      <c r="AO169" s="11" t="n">
        <f aca="false">SUM(O169:Z169)</f>
        <v>4816.71166627335</v>
      </c>
      <c r="AP169" s="11" t="n">
        <f aca="false">SUM(AA169:AL169)</f>
        <v>16528.1400108478</v>
      </c>
    </row>
    <row r="170" customFormat="false" ht="15" hidden="false" customHeight="false" outlineLevel="0" collapsed="false">
      <c r="A170" s="0" t="s">
        <v>972</v>
      </c>
      <c r="B170" s="0" t="s">
        <v>230</v>
      </c>
      <c r="C170" s="9" t="n">
        <f aca="false">((C169*Assumptions!$C$94)*Assumptions!$C$95)</f>
        <v>7.3125</v>
      </c>
      <c r="D170" s="9" t="n">
        <f aca="false">((D169*Assumptions!$C$94)*Assumptions!$C$95)</f>
        <v>12.99375</v>
      </c>
      <c r="E170" s="9" t="n">
        <f aca="false">((E169*Assumptions!$C$94)*Assumptions!$C$95)</f>
        <v>17.122725</v>
      </c>
      <c r="F170" s="9" t="n">
        <f aca="false">((F169*Assumptions!$C$94)*Assumptions!$C$95)</f>
        <v>20.42757</v>
      </c>
      <c r="G170" s="9" t="n">
        <f aca="false">((G169*Assumptions!$C$94)*Assumptions!$C$95)</f>
        <v>31.42462134</v>
      </c>
      <c r="H170" s="9" t="n">
        <f aca="false">((H169*Assumptions!$C$94)*Assumptions!$C$95)</f>
        <v>32.5199262162</v>
      </c>
      <c r="I170" s="9" t="n">
        <f aca="false">((I169*Assumptions!$C$94)*Assumptions!$C$95)</f>
        <v>35.305454074764</v>
      </c>
      <c r="J170" s="9" t="n">
        <f aca="false">((J169*Assumptions!$C$94)*Assumptions!$C$95)</f>
        <v>83.9852219167146</v>
      </c>
      <c r="K170" s="9" t="n">
        <f aca="false">((K169*Assumptions!$C$94)*Assumptions!$C$95)</f>
        <v>95.7409570413336</v>
      </c>
      <c r="L170" s="9" t="n">
        <f aca="false">((L169*Assumptions!$C$94)*Assumptions!$C$95)</f>
        <v>100.401943255203</v>
      </c>
      <c r="M170" s="9" t="n">
        <f aca="false">((M169*Assumptions!$C$94)*Assumptions!$C$95)</f>
        <v>93.9286265283266</v>
      </c>
      <c r="N170" s="9" t="n">
        <f aca="false">((N169*Assumptions!$C$94)*Assumptions!$C$95)</f>
        <v>110.475491918373</v>
      </c>
      <c r="O170" s="9" t="n">
        <f aca="false">((O169*Assumptions!$C$94)*Assumptions!$C$95)</f>
        <v>189.385925032732</v>
      </c>
      <c r="P170" s="9" t="n">
        <f aca="false">((P169*Assumptions!$C$94)*Assumptions!$C$95)</f>
        <v>205.544359846964</v>
      </c>
      <c r="Q170" s="9" t="n">
        <f aca="false">((Q169*Assumptions!$C$94)*Assumptions!$C$95)</f>
        <v>311.528847403606</v>
      </c>
      <c r="R170" s="9" t="n">
        <f aca="false">((R169*Assumptions!$C$94)*Assumptions!$C$95)</f>
        <v>391.287691244495</v>
      </c>
      <c r="S170" s="9" t="n">
        <f aca="false">((S169*Assumptions!$C$94)*Assumptions!$C$95)</f>
        <v>410.958044441937</v>
      </c>
      <c r="T170" s="9" t="n">
        <f aca="false">((T169*Assumptions!$C$94)*Assumptions!$C$95)</f>
        <v>424.166303431469</v>
      </c>
      <c r="U170" s="9" t="n">
        <f aca="false">((U169*Assumptions!$C$94)*Assumptions!$C$95)</f>
        <v>495.639249739867</v>
      </c>
      <c r="V170" s="9" t="n">
        <f aca="false">((V169*Assumptions!$C$94)*Assumptions!$C$95)</f>
        <v>584.130945115591</v>
      </c>
      <c r="W170" s="9" t="n">
        <f aca="false">((W169*Assumptions!$C$94)*Assumptions!$C$95)</f>
        <v>666.418090557652</v>
      </c>
      <c r="X170" s="9" t="n">
        <f aca="false">((X169*Assumptions!$C$94)*Assumptions!$C$95)</f>
        <v>708.219742458441</v>
      </c>
      <c r="Y170" s="9" t="n">
        <f aca="false">((Y169*Assumptions!$C$94)*Assumptions!$C$95)</f>
        <v>815.24367687797</v>
      </c>
      <c r="Z170" s="9" t="n">
        <f aca="false">((Z169*Assumptions!$C$94)*Assumptions!$C$95)</f>
        <v>818.366706690959</v>
      </c>
      <c r="AA170" s="9" t="n">
        <f aca="false">((AA169*Assumptions!$C$94)*Assumptions!$C$95)</f>
        <v>887.795330329123</v>
      </c>
      <c r="AB170" s="9" t="n">
        <f aca="false">((AB169*Assumptions!$C$94)*Assumptions!$C$95)</f>
        <v>1139.87681763525</v>
      </c>
      <c r="AC170" s="9" t="n">
        <f aca="false">((AC169*Assumptions!$C$94)*Assumptions!$C$95)</f>
        <v>1155.40058451341</v>
      </c>
      <c r="AD170" s="9" t="n">
        <f aca="false">((AD169*Assumptions!$C$94)*Assumptions!$C$95)</f>
        <v>1217.66212379097</v>
      </c>
      <c r="AE170" s="9" t="n">
        <f aca="false">((AE169*Assumptions!$C$94)*Assumptions!$C$95)</f>
        <v>1454.15730181482</v>
      </c>
      <c r="AF170" s="9" t="n">
        <f aca="false">((AF169*Assumptions!$C$94)*Assumptions!$C$95)</f>
        <v>1584.55676451469</v>
      </c>
      <c r="AG170" s="9" t="n">
        <f aca="false">((AG169*Assumptions!$C$94)*Assumptions!$C$95)</f>
        <v>1633.66608461752</v>
      </c>
      <c r="AH170" s="9" t="n">
        <f aca="false">((AH169*Assumptions!$C$94)*Assumptions!$C$95)</f>
        <v>1968.59009115182</v>
      </c>
      <c r="AI170" s="9" t="n">
        <f aca="false">((AI169*Assumptions!$C$94)*Assumptions!$C$95)</f>
        <v>2064.77565404818</v>
      </c>
      <c r="AJ170" s="9" t="n">
        <f aca="false">((AJ169*Assumptions!$C$94)*Assumptions!$C$95)</f>
        <v>2101.25043428019</v>
      </c>
      <c r="AK170" s="9" t="n">
        <f aca="false">((AK169*Assumptions!$C$94)*Assumptions!$C$95)</f>
        <v>2534.5230923995</v>
      </c>
      <c r="AL170" s="9" t="n">
        <f aca="false">((AL169*Assumptions!$C$94)*Assumptions!$C$95)</f>
        <v>2917.92073446432</v>
      </c>
      <c r="AN170" s="11" t="n">
        <f aca="false">SUM(C170:N170)</f>
        <v>641.638787290915</v>
      </c>
      <c r="AO170" s="11" t="n">
        <f aca="false">SUM(O170:Z170)</f>
        <v>6020.88958284168</v>
      </c>
      <c r="AP170" s="11" t="n">
        <f aca="false">SUM(AA170:AL170)</f>
        <v>20660.1750135598</v>
      </c>
    </row>
    <row r="171" customFormat="false" ht="15" hidden="false" customHeight="false" outlineLevel="0" collapsed="false">
      <c r="A171" s="0" t="s">
        <v>973</v>
      </c>
      <c r="B171" s="0" t="s">
        <v>230</v>
      </c>
      <c r="C171" s="9" t="n">
        <f aca="false">SUMPRODUCT((Headcount!$C$5:$C$90="SUPPORT")*Headcount!$D$5:$D$90*Headcount!$F$5:$F$90*((Headcount!$I$5:$I$90=0)+(Headcount!$I$5:$I$90=1)*$C$16)*(C$18&gt;=(Headcount!$E$5:$E$90+Headcount!$G$5:$G$90*$C$15)))/12*(1+Assumptions!$C$97)</f>
        <v>0</v>
      </c>
      <c r="D171" s="9" t="n">
        <f aca="false">SUMPRODUCT((Headcount!$C$5:$C$90="SUPPORT")*Headcount!$D$5:$D$90*Headcount!$F$5:$F$90*((Headcount!$I$5:$I$90=0)+(Headcount!$I$5:$I$90=1)*$C$16)*(D$18&gt;=(Headcount!$E$5:$E$90+Headcount!$G$5:$G$90*$C$15)))/12*(1+Assumptions!$C$97)</f>
        <v>0</v>
      </c>
      <c r="E171" s="9" t="n">
        <f aca="false">SUMPRODUCT((Headcount!$C$5:$C$90="SUPPORT")*Headcount!$D$5:$D$90*Headcount!$F$5:$F$90*((Headcount!$I$5:$I$90=0)+(Headcount!$I$5:$I$90=1)*$C$16)*(E$18&gt;=(Headcount!$E$5:$E$90+Headcount!$G$5:$G$90*$C$15)))/12*(1+Assumptions!$C$97)</f>
        <v>0</v>
      </c>
      <c r="F171" s="9" t="n">
        <f aca="false">SUMPRODUCT((Headcount!$C$5:$C$90="SUPPORT")*Headcount!$D$5:$D$90*Headcount!$F$5:$F$90*((Headcount!$I$5:$I$90=0)+(Headcount!$I$5:$I$90=1)*$C$16)*(F$18&gt;=(Headcount!$E$5:$E$90+Headcount!$G$5:$G$90*$C$15)))/12*(1+Assumptions!$C$97)</f>
        <v>0</v>
      </c>
      <c r="G171" s="9" t="n">
        <f aca="false">SUMPRODUCT((Headcount!$C$5:$C$90="SUPPORT")*Headcount!$D$5:$D$90*Headcount!$F$5:$F$90*((Headcount!$I$5:$I$90=0)+(Headcount!$I$5:$I$90=1)*$C$16)*(G$18&gt;=(Headcount!$E$5:$E$90+Headcount!$G$5:$G$90*$C$15)))/12*(1+Assumptions!$C$97)</f>
        <v>0</v>
      </c>
      <c r="H171" s="9" t="n">
        <f aca="false">SUMPRODUCT((Headcount!$C$5:$C$90="SUPPORT")*Headcount!$D$5:$D$90*Headcount!$F$5:$F$90*((Headcount!$I$5:$I$90=0)+(Headcount!$I$5:$I$90=1)*$C$16)*(H$18&gt;=(Headcount!$E$5:$E$90+Headcount!$G$5:$G$90*$C$15)))/12*(1+Assumptions!$C$97)</f>
        <v>0</v>
      </c>
      <c r="I171" s="9" t="n">
        <f aca="false">SUMPRODUCT((Headcount!$C$5:$C$90="SUPPORT")*Headcount!$D$5:$D$90*Headcount!$F$5:$F$90*((Headcount!$I$5:$I$90=0)+(Headcount!$I$5:$I$90=1)*$C$16)*(I$18&gt;=(Headcount!$E$5:$E$90+Headcount!$G$5:$G$90*$C$15)))/12*(1+Assumptions!$C$97)</f>
        <v>0</v>
      </c>
      <c r="J171" s="9" t="n">
        <f aca="false">SUMPRODUCT((Headcount!$C$5:$C$90="SUPPORT")*Headcount!$D$5:$D$90*Headcount!$F$5:$F$90*((Headcount!$I$5:$I$90=0)+(Headcount!$I$5:$I$90=1)*$C$16)*(J$18&gt;=(Headcount!$E$5:$E$90+Headcount!$G$5:$G$90*$C$15)))/12*(1+Assumptions!$C$97)</f>
        <v>0</v>
      </c>
      <c r="K171" s="9" t="n">
        <f aca="false">SUMPRODUCT((Headcount!$C$5:$C$90="SUPPORT")*Headcount!$D$5:$D$90*Headcount!$F$5:$F$90*((Headcount!$I$5:$I$90=0)+(Headcount!$I$5:$I$90=1)*$C$16)*(K$18&gt;=(Headcount!$E$5:$E$90+Headcount!$G$5:$G$90*$C$15)))/12*(1+Assumptions!$C$97)</f>
        <v>6303.33333333333</v>
      </c>
      <c r="L171" s="9" t="n">
        <f aca="false">SUMPRODUCT((Headcount!$C$5:$C$90="SUPPORT")*Headcount!$D$5:$D$90*Headcount!$F$5:$F$90*((Headcount!$I$5:$I$90=0)+(Headcount!$I$5:$I$90=1)*$C$16)*(L$18&gt;=(Headcount!$E$5:$E$90+Headcount!$G$5:$G$90*$C$15)))/12*(1+Assumptions!$C$97)</f>
        <v>6303.33333333333</v>
      </c>
      <c r="M171" s="9" t="n">
        <f aca="false">SUMPRODUCT((Headcount!$C$5:$C$90="SUPPORT")*Headcount!$D$5:$D$90*Headcount!$F$5:$F$90*((Headcount!$I$5:$I$90=0)+(Headcount!$I$5:$I$90=1)*$C$16)*(M$18&gt;=(Headcount!$E$5:$E$90+Headcount!$G$5:$G$90*$C$15)))/12*(1+Assumptions!$C$97)</f>
        <v>6303.33333333333</v>
      </c>
      <c r="N171" s="9" t="n">
        <f aca="false">SUMPRODUCT((Headcount!$C$5:$C$90="SUPPORT")*Headcount!$D$5:$D$90*Headcount!$F$5:$F$90*((Headcount!$I$5:$I$90=0)+(Headcount!$I$5:$I$90=1)*$C$16)*(N$18&gt;=(Headcount!$E$5:$E$90+Headcount!$G$5:$G$90*$C$15)))/12*(1+Assumptions!$C$97)</f>
        <v>6303.33333333333</v>
      </c>
      <c r="O171" s="9" t="n">
        <f aca="false">SUMPRODUCT((Headcount!$C$5:$C$90="SUPPORT")*Headcount!$D$5:$D$90*Headcount!$F$5:$F$90*((Headcount!$I$5:$I$90=0)+(Headcount!$I$5:$I$90=1)*$C$16)*(O$18&gt;=(Headcount!$E$5:$E$90+Headcount!$G$5:$G$90*$C$15)))/12*(1+Assumptions!$C$97)</f>
        <v>6303.33333333333</v>
      </c>
      <c r="P171" s="9" t="n">
        <f aca="false">SUMPRODUCT((Headcount!$C$5:$C$90="SUPPORT")*Headcount!$D$5:$D$90*Headcount!$F$5:$F$90*((Headcount!$I$5:$I$90=0)+(Headcount!$I$5:$I$90=1)*$C$16)*(P$18&gt;=(Headcount!$E$5:$E$90+Headcount!$G$5:$G$90*$C$15)))/12*(1+Assumptions!$C$97)</f>
        <v>6303.33333333333</v>
      </c>
      <c r="Q171" s="9" t="n">
        <f aca="false">SUMPRODUCT((Headcount!$C$5:$C$90="SUPPORT")*Headcount!$D$5:$D$90*Headcount!$F$5:$F$90*((Headcount!$I$5:$I$90=0)+(Headcount!$I$5:$I$90=1)*$C$16)*(Q$18&gt;=(Headcount!$E$5:$E$90+Headcount!$G$5:$G$90*$C$15)))/12*(1+Assumptions!$C$97)</f>
        <v>6303.33333333333</v>
      </c>
      <c r="R171" s="9" t="n">
        <f aca="false">SUMPRODUCT((Headcount!$C$5:$C$90="SUPPORT")*Headcount!$D$5:$D$90*Headcount!$F$5:$F$90*((Headcount!$I$5:$I$90=0)+(Headcount!$I$5:$I$90=1)*$C$16)*(R$18&gt;=(Headcount!$E$5:$E$90+Headcount!$G$5:$G$90*$C$15)))/12*(1+Assumptions!$C$97)</f>
        <v>6303.33333333333</v>
      </c>
      <c r="S171" s="9" t="n">
        <f aca="false">SUMPRODUCT((Headcount!$C$5:$C$90="SUPPORT")*Headcount!$D$5:$D$90*Headcount!$F$5:$F$90*((Headcount!$I$5:$I$90=0)+(Headcount!$I$5:$I$90=1)*$C$16)*(S$18&gt;=(Headcount!$E$5:$E$90+Headcount!$G$5:$G$90*$C$15)))/12*(1+Assumptions!$C$97)</f>
        <v>6303.33333333333</v>
      </c>
      <c r="T171" s="9" t="n">
        <f aca="false">SUMPRODUCT((Headcount!$C$5:$C$90="SUPPORT")*Headcount!$D$5:$D$90*Headcount!$F$5:$F$90*((Headcount!$I$5:$I$90=0)+(Headcount!$I$5:$I$90=1)*$C$16)*(T$18&gt;=(Headcount!$E$5:$E$90+Headcount!$G$5:$G$90*$C$15)))/12*(1+Assumptions!$C$97)</f>
        <v>14945</v>
      </c>
      <c r="U171" s="9" t="n">
        <f aca="false">SUMPRODUCT((Headcount!$C$5:$C$90="SUPPORT")*Headcount!$D$5:$D$90*Headcount!$F$5:$F$90*((Headcount!$I$5:$I$90=0)+(Headcount!$I$5:$I$90=1)*$C$16)*(U$18&gt;=(Headcount!$E$5:$E$90+Headcount!$G$5:$G$90*$C$15)))/12*(1+Assumptions!$C$97)</f>
        <v>14945</v>
      </c>
      <c r="V171" s="9" t="n">
        <f aca="false">SUMPRODUCT((Headcount!$C$5:$C$90="SUPPORT")*Headcount!$D$5:$D$90*Headcount!$F$5:$F$90*((Headcount!$I$5:$I$90=0)+(Headcount!$I$5:$I$90=1)*$C$16)*(V$18&gt;=(Headcount!$E$5:$E$90+Headcount!$G$5:$G$90*$C$15)))/12*(1+Assumptions!$C$97)</f>
        <v>14945</v>
      </c>
      <c r="W171" s="9" t="n">
        <f aca="false">SUMPRODUCT((Headcount!$C$5:$C$90="SUPPORT")*Headcount!$D$5:$D$90*Headcount!$F$5:$F$90*((Headcount!$I$5:$I$90=0)+(Headcount!$I$5:$I$90=1)*$C$16)*(W$18&gt;=(Headcount!$E$5:$E$90+Headcount!$G$5:$G$90*$C$15)))/12*(1+Assumptions!$C$97)</f>
        <v>14945</v>
      </c>
      <c r="X171" s="9" t="n">
        <f aca="false">SUMPRODUCT((Headcount!$C$5:$C$90="SUPPORT")*Headcount!$D$5:$D$90*Headcount!$F$5:$F$90*((Headcount!$I$5:$I$90=0)+(Headcount!$I$5:$I$90=1)*$C$16)*(X$18&gt;=(Headcount!$E$5:$E$90+Headcount!$G$5:$G$90*$C$15)))/12*(1+Assumptions!$C$97)</f>
        <v>14945</v>
      </c>
      <c r="Y171" s="9" t="n">
        <f aca="false">SUMPRODUCT((Headcount!$C$5:$C$90="SUPPORT")*Headcount!$D$5:$D$90*Headcount!$F$5:$F$90*((Headcount!$I$5:$I$90=0)+(Headcount!$I$5:$I$90=1)*$C$16)*(Y$18&gt;=(Headcount!$E$5:$E$90+Headcount!$G$5:$G$90*$C$15)))/12*(1+Assumptions!$C$97)</f>
        <v>14945</v>
      </c>
      <c r="Z171" s="9" t="n">
        <f aca="false">SUMPRODUCT((Headcount!$C$5:$C$90="SUPPORT")*Headcount!$D$5:$D$90*Headcount!$F$5:$F$90*((Headcount!$I$5:$I$90=0)+(Headcount!$I$5:$I$90=1)*$C$16)*(Z$18&gt;=(Headcount!$E$5:$E$90+Headcount!$G$5:$G$90*$C$15)))/12*(1+Assumptions!$C$97)</f>
        <v>14945</v>
      </c>
      <c r="AA171" s="9" t="n">
        <f aca="false">SUMPRODUCT((Headcount!$C$5:$C$90="SUPPORT")*Headcount!$D$5:$D$90*Headcount!$F$5:$F$90*((Headcount!$I$5:$I$90=0)+(Headcount!$I$5:$I$90=1)*$C$16)*(AA$18&gt;=(Headcount!$E$5:$E$90+Headcount!$G$5:$G$90*$C$15)))/12*(1+Assumptions!$C$97)</f>
        <v>14945</v>
      </c>
      <c r="AB171" s="9" t="n">
        <f aca="false">SUMPRODUCT((Headcount!$C$5:$C$90="SUPPORT")*Headcount!$D$5:$D$90*Headcount!$F$5:$F$90*((Headcount!$I$5:$I$90=0)+(Headcount!$I$5:$I$90=1)*$C$16)*(AB$18&gt;=(Headcount!$E$5:$E$90+Headcount!$G$5:$G$90*$C$15)))/12*(1+Assumptions!$C$97)</f>
        <v>21248.3333333333</v>
      </c>
      <c r="AC171" s="9" t="n">
        <f aca="false">SUMPRODUCT((Headcount!$C$5:$C$90="SUPPORT")*Headcount!$D$5:$D$90*Headcount!$F$5:$F$90*((Headcount!$I$5:$I$90=0)+(Headcount!$I$5:$I$90=1)*$C$16)*(AC$18&gt;=(Headcount!$E$5:$E$90+Headcount!$G$5:$G$90*$C$15)))/12*(1+Assumptions!$C$97)</f>
        <v>21248.3333333333</v>
      </c>
      <c r="AD171" s="9" t="n">
        <f aca="false">SUMPRODUCT((Headcount!$C$5:$C$90="SUPPORT")*Headcount!$D$5:$D$90*Headcount!$F$5:$F$90*((Headcount!$I$5:$I$90=0)+(Headcount!$I$5:$I$90=1)*$C$16)*(AD$18&gt;=(Headcount!$E$5:$E$90+Headcount!$G$5:$G$90*$C$15)))/12*(1+Assumptions!$C$97)</f>
        <v>21248.3333333333</v>
      </c>
      <c r="AE171" s="9" t="n">
        <f aca="false">SUMPRODUCT((Headcount!$C$5:$C$90="SUPPORT")*Headcount!$D$5:$D$90*Headcount!$F$5:$F$90*((Headcount!$I$5:$I$90=0)+(Headcount!$I$5:$I$90=1)*$C$16)*(AE$18&gt;=(Headcount!$E$5:$E$90+Headcount!$G$5:$G$90*$C$15)))/12*(1+Assumptions!$C$97)</f>
        <v>21248.3333333333</v>
      </c>
      <c r="AF171" s="9" t="n">
        <f aca="false">SUMPRODUCT((Headcount!$C$5:$C$90="SUPPORT")*Headcount!$D$5:$D$90*Headcount!$F$5:$F$90*((Headcount!$I$5:$I$90=0)+(Headcount!$I$5:$I$90=1)*$C$16)*(AF$18&gt;=(Headcount!$E$5:$E$90+Headcount!$G$5:$G$90*$C$15)))/12*(1+Assumptions!$C$97)</f>
        <v>21248.3333333333</v>
      </c>
      <c r="AG171" s="9" t="n">
        <f aca="false">SUMPRODUCT((Headcount!$C$5:$C$90="SUPPORT")*Headcount!$D$5:$D$90*Headcount!$F$5:$F$90*((Headcount!$I$5:$I$90=0)+(Headcount!$I$5:$I$90=1)*$C$16)*(AG$18&gt;=(Headcount!$E$5:$E$90+Headcount!$G$5:$G$90*$C$15)))/12*(1+Assumptions!$C$97)</f>
        <v>21248.3333333333</v>
      </c>
      <c r="AH171" s="9" t="n">
        <f aca="false">SUMPRODUCT((Headcount!$C$5:$C$90="SUPPORT")*Headcount!$D$5:$D$90*Headcount!$F$5:$F$90*((Headcount!$I$5:$I$90=0)+(Headcount!$I$5:$I$90=1)*$C$16)*(AH$18&gt;=(Headcount!$E$5:$E$90+Headcount!$G$5:$G$90*$C$15)))/12*(1+Assumptions!$C$97)</f>
        <v>21248.3333333333</v>
      </c>
      <c r="AI171" s="9" t="n">
        <f aca="false">SUMPRODUCT((Headcount!$C$5:$C$90="SUPPORT")*Headcount!$D$5:$D$90*Headcount!$F$5:$F$90*((Headcount!$I$5:$I$90=0)+(Headcount!$I$5:$I$90=1)*$C$16)*(AI$18&gt;=(Headcount!$E$5:$E$90+Headcount!$G$5:$G$90*$C$15)))/12*(1+Assumptions!$C$97)</f>
        <v>27551.6666666667</v>
      </c>
      <c r="AJ171" s="9" t="n">
        <f aca="false">SUMPRODUCT((Headcount!$C$5:$C$90="SUPPORT")*Headcount!$D$5:$D$90*Headcount!$F$5:$F$90*((Headcount!$I$5:$I$90=0)+(Headcount!$I$5:$I$90=1)*$C$16)*(AJ$18&gt;=(Headcount!$E$5:$E$90+Headcount!$G$5:$G$90*$C$15)))/12*(1+Assumptions!$C$97)</f>
        <v>27551.6666666667</v>
      </c>
      <c r="AK171" s="9" t="n">
        <f aca="false">SUMPRODUCT((Headcount!$C$5:$C$90="SUPPORT")*Headcount!$D$5:$D$90*Headcount!$F$5:$F$90*((Headcount!$I$5:$I$90=0)+(Headcount!$I$5:$I$90=1)*$C$16)*(AK$18&gt;=(Headcount!$E$5:$E$90+Headcount!$G$5:$G$90*$C$15)))/12*(1+Assumptions!$C$97)</f>
        <v>27551.6666666667</v>
      </c>
      <c r="AL171" s="9" t="n">
        <f aca="false">SUMPRODUCT((Headcount!$C$5:$C$90="SUPPORT")*Headcount!$D$5:$D$90*Headcount!$F$5:$F$90*((Headcount!$I$5:$I$90=0)+(Headcount!$I$5:$I$90=1)*$C$16)*(AL$18&gt;=(Headcount!$E$5:$E$90+Headcount!$G$5:$G$90*$C$15)))/12*(1+Assumptions!$C$97)</f>
        <v>27551.6666666667</v>
      </c>
      <c r="AN171" s="11" t="n">
        <f aca="false">SUM(C171:N171)</f>
        <v>25213.3333333333</v>
      </c>
      <c r="AO171" s="11" t="n">
        <f aca="false">SUM(O171:Z171)</f>
        <v>136131.666666667</v>
      </c>
      <c r="AP171" s="11" t="n">
        <f aca="false">SUM(AA171:AL171)</f>
        <v>273890</v>
      </c>
    </row>
    <row r="172" customFormat="false" ht="15" hidden="false" customHeight="false" outlineLevel="0" collapsed="false">
      <c r="A172" s="0" t="s">
        <v>974</v>
      </c>
      <c r="B172" s="0" t="s">
        <v>230</v>
      </c>
      <c r="C172" s="9" t="n">
        <f aca="false">SUMPRODUCT((Headcount!$C$5:$C$90="IMPL")*Headcount!$D$5:$D$90*Headcount!$F$5:$F$90*((Headcount!$I$5:$I$90=0)+(Headcount!$I$5:$I$90=1)*$C$16)*(C$18&gt;=(Headcount!$E$5:$E$90+Headcount!$G$5:$G$90*$C$15)))/12*(1+Assumptions!$C$97)</f>
        <v>0</v>
      </c>
      <c r="D172" s="9" t="n">
        <f aca="false">SUMPRODUCT((Headcount!$C$5:$C$90="IMPL")*Headcount!$D$5:$D$90*Headcount!$F$5:$F$90*((Headcount!$I$5:$I$90=0)+(Headcount!$I$5:$I$90=1)*$C$16)*(D$18&gt;=(Headcount!$E$5:$E$90+Headcount!$G$5:$G$90*$C$15)))/12*(1+Assumptions!$C$97)</f>
        <v>0</v>
      </c>
      <c r="E172" s="9" t="n">
        <f aca="false">SUMPRODUCT((Headcount!$C$5:$C$90="IMPL")*Headcount!$D$5:$D$90*Headcount!$F$5:$F$90*((Headcount!$I$5:$I$90=0)+(Headcount!$I$5:$I$90=1)*$C$16)*(E$18&gt;=(Headcount!$E$5:$E$90+Headcount!$G$5:$G$90*$C$15)))/12*(1+Assumptions!$C$97)</f>
        <v>0</v>
      </c>
      <c r="F172" s="9" t="n">
        <f aca="false">SUMPRODUCT((Headcount!$C$5:$C$90="IMPL")*Headcount!$D$5:$D$90*Headcount!$F$5:$F$90*((Headcount!$I$5:$I$90=0)+(Headcount!$I$5:$I$90=1)*$C$16)*(F$18&gt;=(Headcount!$E$5:$E$90+Headcount!$G$5:$G$90*$C$15)))/12*(1+Assumptions!$C$97)</f>
        <v>0</v>
      </c>
      <c r="G172" s="9" t="n">
        <f aca="false">SUMPRODUCT((Headcount!$C$5:$C$90="IMPL")*Headcount!$D$5:$D$90*Headcount!$F$5:$F$90*((Headcount!$I$5:$I$90=0)+(Headcount!$I$5:$I$90=1)*$C$16)*(G$18&gt;=(Headcount!$E$5:$E$90+Headcount!$G$5:$G$90*$C$15)))/12*(1+Assumptions!$C$97)</f>
        <v>10166.6666666667</v>
      </c>
      <c r="H172" s="9" t="n">
        <f aca="false">SUMPRODUCT((Headcount!$C$5:$C$90="IMPL")*Headcount!$D$5:$D$90*Headcount!$F$5:$F$90*((Headcount!$I$5:$I$90=0)+(Headcount!$I$5:$I$90=1)*$C$16)*(H$18&gt;=(Headcount!$E$5:$E$90+Headcount!$G$5:$G$90*$C$15)))/12*(1+Assumptions!$C$97)</f>
        <v>10166.6666666667</v>
      </c>
      <c r="I172" s="9" t="n">
        <f aca="false">SUMPRODUCT((Headcount!$C$5:$C$90="IMPL")*Headcount!$D$5:$D$90*Headcount!$F$5:$F$90*((Headcount!$I$5:$I$90=0)+(Headcount!$I$5:$I$90=1)*$C$16)*(I$18&gt;=(Headcount!$E$5:$E$90+Headcount!$G$5:$G$90*$C$15)))/12*(1+Assumptions!$C$97)</f>
        <v>10166.6666666667</v>
      </c>
      <c r="J172" s="9" t="n">
        <f aca="false">SUMPRODUCT((Headcount!$C$5:$C$90="IMPL")*Headcount!$D$5:$D$90*Headcount!$F$5:$F$90*((Headcount!$I$5:$I$90=0)+(Headcount!$I$5:$I$90=1)*$C$16)*(J$18&gt;=(Headcount!$E$5:$E$90+Headcount!$G$5:$G$90*$C$15)))/12*(1+Assumptions!$C$97)</f>
        <v>10166.6666666667</v>
      </c>
      <c r="K172" s="9" t="n">
        <f aca="false">SUMPRODUCT((Headcount!$C$5:$C$90="IMPL")*Headcount!$D$5:$D$90*Headcount!$F$5:$F$90*((Headcount!$I$5:$I$90=0)+(Headcount!$I$5:$I$90=1)*$C$16)*(K$18&gt;=(Headcount!$E$5:$E$90+Headcount!$G$5:$G$90*$C$15)))/12*(1+Assumptions!$C$97)</f>
        <v>10166.6666666667</v>
      </c>
      <c r="L172" s="9" t="n">
        <f aca="false">SUMPRODUCT((Headcount!$C$5:$C$90="IMPL")*Headcount!$D$5:$D$90*Headcount!$F$5:$F$90*((Headcount!$I$5:$I$90=0)+(Headcount!$I$5:$I$90=1)*$C$16)*(L$18&gt;=(Headcount!$E$5:$E$90+Headcount!$G$5:$G$90*$C$15)))/12*(1+Assumptions!$C$97)</f>
        <v>10166.6666666667</v>
      </c>
      <c r="M172" s="9" t="n">
        <f aca="false">SUMPRODUCT((Headcount!$C$5:$C$90="IMPL")*Headcount!$D$5:$D$90*Headcount!$F$5:$F$90*((Headcount!$I$5:$I$90=0)+(Headcount!$I$5:$I$90=1)*$C$16)*(M$18&gt;=(Headcount!$E$5:$E$90+Headcount!$G$5:$G$90*$C$15)))/12*(1+Assumptions!$C$97)</f>
        <v>20333.3333333333</v>
      </c>
      <c r="N172" s="9" t="n">
        <f aca="false">SUMPRODUCT((Headcount!$C$5:$C$90="IMPL")*Headcount!$D$5:$D$90*Headcount!$F$5:$F$90*((Headcount!$I$5:$I$90=0)+(Headcount!$I$5:$I$90=1)*$C$16)*(N$18&gt;=(Headcount!$E$5:$E$90+Headcount!$G$5:$G$90*$C$15)))/12*(1+Assumptions!$C$97)</f>
        <v>20333.3333333333</v>
      </c>
      <c r="O172" s="9" t="n">
        <f aca="false">SUMPRODUCT((Headcount!$C$5:$C$90="IMPL")*Headcount!$D$5:$D$90*Headcount!$F$5:$F$90*((Headcount!$I$5:$I$90=0)+(Headcount!$I$5:$I$90=1)*$C$16)*(O$18&gt;=(Headcount!$E$5:$E$90+Headcount!$G$5:$G$90*$C$15)))/12*(1+Assumptions!$C$97)</f>
        <v>20333.3333333333</v>
      </c>
      <c r="P172" s="9" t="n">
        <f aca="false">SUMPRODUCT((Headcount!$C$5:$C$90="IMPL")*Headcount!$D$5:$D$90*Headcount!$F$5:$F$90*((Headcount!$I$5:$I$90=0)+(Headcount!$I$5:$I$90=1)*$C$16)*(P$18&gt;=(Headcount!$E$5:$E$90+Headcount!$G$5:$G$90*$C$15)))/12*(1+Assumptions!$C$97)</f>
        <v>20333.3333333333</v>
      </c>
      <c r="Q172" s="9" t="n">
        <f aca="false">SUMPRODUCT((Headcount!$C$5:$C$90="IMPL")*Headcount!$D$5:$D$90*Headcount!$F$5:$F$90*((Headcount!$I$5:$I$90=0)+(Headcount!$I$5:$I$90=1)*$C$16)*(Q$18&gt;=(Headcount!$E$5:$E$90+Headcount!$G$5:$G$90*$C$15)))/12*(1+Assumptions!$C$97)</f>
        <v>30500</v>
      </c>
      <c r="R172" s="9" t="n">
        <f aca="false">SUMPRODUCT((Headcount!$C$5:$C$90="IMPL")*Headcount!$D$5:$D$90*Headcount!$F$5:$F$90*((Headcount!$I$5:$I$90=0)+(Headcount!$I$5:$I$90=1)*$C$16)*(R$18&gt;=(Headcount!$E$5:$E$90+Headcount!$G$5:$G$90*$C$15)))/12*(1+Assumptions!$C$97)</f>
        <v>30500</v>
      </c>
      <c r="S172" s="9" t="n">
        <f aca="false">SUMPRODUCT((Headcount!$C$5:$C$90="IMPL")*Headcount!$D$5:$D$90*Headcount!$F$5:$F$90*((Headcount!$I$5:$I$90=0)+(Headcount!$I$5:$I$90=1)*$C$16)*(S$18&gt;=(Headcount!$E$5:$E$90+Headcount!$G$5:$G$90*$C$15)))/12*(1+Assumptions!$C$97)</f>
        <v>30500</v>
      </c>
      <c r="T172" s="9" t="n">
        <f aca="false">SUMPRODUCT((Headcount!$C$5:$C$90="IMPL")*Headcount!$D$5:$D$90*Headcount!$F$5:$F$90*((Headcount!$I$5:$I$90=0)+(Headcount!$I$5:$I$90=1)*$C$16)*(T$18&gt;=(Headcount!$E$5:$E$90+Headcount!$G$5:$G$90*$C$15)))/12*(1+Assumptions!$C$97)</f>
        <v>30500</v>
      </c>
      <c r="U172" s="9" t="n">
        <f aca="false">SUMPRODUCT((Headcount!$C$5:$C$90="IMPL")*Headcount!$D$5:$D$90*Headcount!$F$5:$F$90*((Headcount!$I$5:$I$90=0)+(Headcount!$I$5:$I$90=1)*$C$16)*(U$18&gt;=(Headcount!$E$5:$E$90+Headcount!$G$5:$G$90*$C$15)))/12*(1+Assumptions!$C$97)</f>
        <v>40666.6666666667</v>
      </c>
      <c r="V172" s="9" t="n">
        <f aca="false">SUMPRODUCT((Headcount!$C$5:$C$90="IMPL")*Headcount!$D$5:$D$90*Headcount!$F$5:$F$90*((Headcount!$I$5:$I$90=0)+(Headcount!$I$5:$I$90=1)*$C$16)*(V$18&gt;=(Headcount!$E$5:$E$90+Headcount!$G$5:$G$90*$C$15)))/12*(1+Assumptions!$C$97)</f>
        <v>40666.6666666667</v>
      </c>
      <c r="W172" s="9" t="n">
        <f aca="false">SUMPRODUCT((Headcount!$C$5:$C$90="IMPL")*Headcount!$D$5:$D$90*Headcount!$F$5:$F$90*((Headcount!$I$5:$I$90=0)+(Headcount!$I$5:$I$90=1)*$C$16)*(W$18&gt;=(Headcount!$E$5:$E$90+Headcount!$G$5:$G$90*$C$15)))/12*(1+Assumptions!$C$97)</f>
        <v>40666.6666666667</v>
      </c>
      <c r="X172" s="9" t="n">
        <f aca="false">SUMPRODUCT((Headcount!$C$5:$C$90="IMPL")*Headcount!$D$5:$D$90*Headcount!$F$5:$F$90*((Headcount!$I$5:$I$90=0)+(Headcount!$I$5:$I$90=1)*$C$16)*(X$18&gt;=(Headcount!$E$5:$E$90+Headcount!$G$5:$G$90*$C$15)))/12*(1+Assumptions!$C$97)</f>
        <v>50833.3333333333</v>
      </c>
      <c r="Y172" s="9" t="n">
        <f aca="false">SUMPRODUCT((Headcount!$C$5:$C$90="IMPL")*Headcount!$D$5:$D$90*Headcount!$F$5:$F$90*((Headcount!$I$5:$I$90=0)+(Headcount!$I$5:$I$90=1)*$C$16)*(Y$18&gt;=(Headcount!$E$5:$E$90+Headcount!$G$5:$G$90*$C$15)))/12*(1+Assumptions!$C$97)</f>
        <v>50833.3333333333</v>
      </c>
      <c r="Z172" s="9" t="n">
        <f aca="false">SUMPRODUCT((Headcount!$C$5:$C$90="IMPL")*Headcount!$D$5:$D$90*Headcount!$F$5:$F$90*((Headcount!$I$5:$I$90=0)+(Headcount!$I$5:$I$90=1)*$C$16)*(Z$18&gt;=(Headcount!$E$5:$E$90+Headcount!$G$5:$G$90*$C$15)))/12*(1+Assumptions!$C$97)</f>
        <v>50833.3333333333</v>
      </c>
      <c r="AA172" s="9" t="n">
        <f aca="false">SUMPRODUCT((Headcount!$C$5:$C$90="IMPL")*Headcount!$D$5:$D$90*Headcount!$F$5:$F$90*((Headcount!$I$5:$I$90=0)+(Headcount!$I$5:$I$90=1)*$C$16)*(AA$18&gt;=(Headcount!$E$5:$E$90+Headcount!$G$5:$G$90*$C$15)))/12*(1+Assumptions!$C$97)</f>
        <v>61000</v>
      </c>
      <c r="AB172" s="9" t="n">
        <f aca="false">SUMPRODUCT((Headcount!$C$5:$C$90="IMPL")*Headcount!$D$5:$D$90*Headcount!$F$5:$F$90*((Headcount!$I$5:$I$90=0)+(Headcount!$I$5:$I$90=1)*$C$16)*(AB$18&gt;=(Headcount!$E$5:$E$90+Headcount!$G$5:$G$90*$C$15)))/12*(1+Assumptions!$C$97)</f>
        <v>61000</v>
      </c>
      <c r="AC172" s="9" t="n">
        <f aca="false">SUMPRODUCT((Headcount!$C$5:$C$90="IMPL")*Headcount!$D$5:$D$90*Headcount!$F$5:$F$90*((Headcount!$I$5:$I$90=0)+(Headcount!$I$5:$I$90=1)*$C$16)*(AC$18&gt;=(Headcount!$E$5:$E$90+Headcount!$G$5:$G$90*$C$15)))/12*(1+Assumptions!$C$97)</f>
        <v>61000</v>
      </c>
      <c r="AD172" s="9" t="n">
        <f aca="false">SUMPRODUCT((Headcount!$C$5:$C$90="IMPL")*Headcount!$D$5:$D$90*Headcount!$F$5:$F$90*((Headcount!$I$5:$I$90=0)+(Headcount!$I$5:$I$90=1)*$C$16)*(AD$18&gt;=(Headcount!$E$5:$E$90+Headcount!$G$5:$G$90*$C$15)))/12*(1+Assumptions!$C$97)</f>
        <v>71166.6666666667</v>
      </c>
      <c r="AE172" s="9" t="n">
        <f aca="false">SUMPRODUCT((Headcount!$C$5:$C$90="IMPL")*Headcount!$D$5:$D$90*Headcount!$F$5:$F$90*((Headcount!$I$5:$I$90=0)+(Headcount!$I$5:$I$90=1)*$C$16)*(AE$18&gt;=(Headcount!$E$5:$E$90+Headcount!$G$5:$G$90*$C$15)))/12*(1+Assumptions!$C$97)</f>
        <v>71166.6666666667</v>
      </c>
      <c r="AF172" s="9" t="n">
        <f aca="false">SUMPRODUCT((Headcount!$C$5:$C$90="IMPL")*Headcount!$D$5:$D$90*Headcount!$F$5:$F$90*((Headcount!$I$5:$I$90=0)+(Headcount!$I$5:$I$90=1)*$C$16)*(AF$18&gt;=(Headcount!$E$5:$E$90+Headcount!$G$5:$G$90*$C$15)))/12*(1+Assumptions!$C$97)</f>
        <v>71166.6666666667</v>
      </c>
      <c r="AG172" s="9" t="n">
        <f aca="false">SUMPRODUCT((Headcount!$C$5:$C$90="IMPL")*Headcount!$D$5:$D$90*Headcount!$F$5:$F$90*((Headcount!$I$5:$I$90=0)+(Headcount!$I$5:$I$90=1)*$C$16)*(AG$18&gt;=(Headcount!$E$5:$E$90+Headcount!$G$5:$G$90*$C$15)))/12*(1+Assumptions!$C$97)</f>
        <v>81333.3333333333</v>
      </c>
      <c r="AH172" s="9" t="n">
        <f aca="false">SUMPRODUCT((Headcount!$C$5:$C$90="IMPL")*Headcount!$D$5:$D$90*Headcount!$F$5:$F$90*((Headcount!$I$5:$I$90=0)+(Headcount!$I$5:$I$90=1)*$C$16)*(AH$18&gt;=(Headcount!$E$5:$E$90+Headcount!$G$5:$G$90*$C$15)))/12*(1+Assumptions!$C$97)</f>
        <v>81333.3333333333</v>
      </c>
      <c r="AI172" s="9" t="n">
        <f aca="false">SUMPRODUCT((Headcount!$C$5:$C$90="IMPL")*Headcount!$D$5:$D$90*Headcount!$F$5:$F$90*((Headcount!$I$5:$I$90=0)+(Headcount!$I$5:$I$90=1)*$C$16)*(AI$18&gt;=(Headcount!$E$5:$E$90+Headcount!$G$5:$G$90*$C$15)))/12*(1+Assumptions!$C$97)</f>
        <v>81333.3333333333</v>
      </c>
      <c r="AJ172" s="9" t="n">
        <f aca="false">SUMPRODUCT((Headcount!$C$5:$C$90="IMPL")*Headcount!$D$5:$D$90*Headcount!$F$5:$F$90*((Headcount!$I$5:$I$90=0)+(Headcount!$I$5:$I$90=1)*$C$16)*(AJ$18&gt;=(Headcount!$E$5:$E$90+Headcount!$G$5:$G$90*$C$15)))/12*(1+Assumptions!$C$97)</f>
        <v>81333.3333333333</v>
      </c>
      <c r="AK172" s="9" t="n">
        <f aca="false">SUMPRODUCT((Headcount!$C$5:$C$90="IMPL")*Headcount!$D$5:$D$90*Headcount!$F$5:$F$90*((Headcount!$I$5:$I$90=0)+(Headcount!$I$5:$I$90=1)*$C$16)*(AK$18&gt;=(Headcount!$E$5:$E$90+Headcount!$G$5:$G$90*$C$15)))/12*(1+Assumptions!$C$97)</f>
        <v>81333.3333333333</v>
      </c>
      <c r="AL172" s="9" t="n">
        <f aca="false">SUMPRODUCT((Headcount!$C$5:$C$90="IMPL")*Headcount!$D$5:$D$90*Headcount!$F$5:$F$90*((Headcount!$I$5:$I$90=0)+(Headcount!$I$5:$I$90=1)*$C$16)*(AL$18&gt;=(Headcount!$E$5:$E$90+Headcount!$G$5:$G$90*$C$15)))/12*(1+Assumptions!$C$97)</f>
        <v>81333.3333333333</v>
      </c>
      <c r="AN172" s="11" t="n">
        <f aca="false">SUM(C172:N172)</f>
        <v>101666.666666667</v>
      </c>
      <c r="AO172" s="11" t="n">
        <f aca="false">SUM(O172:Z172)</f>
        <v>437166.666666667</v>
      </c>
      <c r="AP172" s="11" t="n">
        <f aca="false">SUM(AA172:AL172)</f>
        <v>884500</v>
      </c>
    </row>
    <row r="173" customFormat="false" ht="15" hidden="false" customHeight="false" outlineLevel="0" collapsed="false">
      <c r="A173" s="0" t="s">
        <v>975</v>
      </c>
      <c r="B173" s="0" t="s">
        <v>230</v>
      </c>
      <c r="C173" s="9" t="n">
        <f aca="false">SUMPRODUCT((Headcount!$C$5:$C$90="CS")*Headcount!$D$5:$D$90*Headcount!$F$5:$F$90*((Headcount!$I$5:$I$90=0)+(Headcount!$I$5:$I$90=1)*$C$16)*(C$18&gt;=(Headcount!$E$5:$E$90+Headcount!$G$5:$G$90*$C$15)))/12*(1+Assumptions!$C$97)</f>
        <v>0</v>
      </c>
      <c r="D173" s="9" t="n">
        <f aca="false">SUMPRODUCT((Headcount!$C$5:$C$90="CS")*Headcount!$D$5:$D$90*Headcount!$F$5:$F$90*((Headcount!$I$5:$I$90=0)+(Headcount!$I$5:$I$90=1)*$C$16)*(D$18&gt;=(Headcount!$E$5:$E$90+Headcount!$G$5:$G$90*$C$15)))/12*(1+Assumptions!$C$97)</f>
        <v>0</v>
      </c>
      <c r="E173" s="9" t="n">
        <f aca="false">SUMPRODUCT((Headcount!$C$5:$C$90="CS")*Headcount!$D$5:$D$90*Headcount!$F$5:$F$90*((Headcount!$I$5:$I$90=0)+(Headcount!$I$5:$I$90=1)*$C$16)*(E$18&gt;=(Headcount!$E$5:$E$90+Headcount!$G$5:$G$90*$C$15)))/12*(1+Assumptions!$C$97)</f>
        <v>0</v>
      </c>
      <c r="F173" s="9" t="n">
        <f aca="false">SUMPRODUCT((Headcount!$C$5:$C$90="CS")*Headcount!$D$5:$D$90*Headcount!$F$5:$F$90*((Headcount!$I$5:$I$90=0)+(Headcount!$I$5:$I$90=1)*$C$16)*(F$18&gt;=(Headcount!$E$5:$E$90+Headcount!$G$5:$G$90*$C$15)))/12*(1+Assumptions!$C$97)</f>
        <v>0</v>
      </c>
      <c r="G173" s="9" t="n">
        <f aca="false">SUMPRODUCT((Headcount!$C$5:$C$90="CS")*Headcount!$D$5:$D$90*Headcount!$F$5:$F$90*((Headcount!$I$5:$I$90=0)+(Headcount!$I$5:$I$90=1)*$C$16)*(G$18&gt;=(Headcount!$E$5:$E$90+Headcount!$G$5:$G$90*$C$15)))/12*(1+Assumptions!$C$97)</f>
        <v>0</v>
      </c>
      <c r="H173" s="9" t="n">
        <f aca="false">SUMPRODUCT((Headcount!$C$5:$C$90="CS")*Headcount!$D$5:$D$90*Headcount!$F$5:$F$90*((Headcount!$I$5:$I$90=0)+(Headcount!$I$5:$I$90=1)*$C$16)*(H$18&gt;=(Headcount!$E$5:$E$90+Headcount!$G$5:$G$90*$C$15)))/12*(1+Assumptions!$C$97)</f>
        <v>0</v>
      </c>
      <c r="I173" s="9" t="n">
        <f aca="false">SUMPRODUCT((Headcount!$C$5:$C$90="CS")*Headcount!$D$5:$D$90*Headcount!$F$5:$F$90*((Headcount!$I$5:$I$90=0)+(Headcount!$I$5:$I$90=1)*$C$16)*(I$18&gt;=(Headcount!$E$5:$E$90+Headcount!$G$5:$G$90*$C$15)))/12*(1+Assumptions!$C$97)</f>
        <v>0</v>
      </c>
      <c r="J173" s="9" t="n">
        <f aca="false">SUMPRODUCT((Headcount!$C$5:$C$90="CS")*Headcount!$D$5:$D$90*Headcount!$F$5:$F$90*((Headcount!$I$5:$I$90=0)+(Headcount!$I$5:$I$90=1)*$C$16)*(J$18&gt;=(Headcount!$E$5:$E$90+Headcount!$G$5:$G$90*$C$15)))/12*(1+Assumptions!$C$97)</f>
        <v>0</v>
      </c>
      <c r="K173" s="9" t="n">
        <f aca="false">SUMPRODUCT((Headcount!$C$5:$C$90="CS")*Headcount!$D$5:$D$90*Headcount!$F$5:$F$90*((Headcount!$I$5:$I$90=0)+(Headcount!$I$5:$I$90=1)*$C$16)*(K$18&gt;=(Headcount!$E$5:$E$90+Headcount!$G$5:$G$90*$C$15)))/12*(1+Assumptions!$C$97)</f>
        <v>0</v>
      </c>
      <c r="L173" s="9" t="n">
        <f aca="false">SUMPRODUCT((Headcount!$C$5:$C$90="CS")*Headcount!$D$5:$D$90*Headcount!$F$5:$F$90*((Headcount!$I$5:$I$90=0)+(Headcount!$I$5:$I$90=1)*$C$16)*(L$18&gt;=(Headcount!$E$5:$E$90+Headcount!$G$5:$G$90*$C$15)))/12*(1+Assumptions!$C$97)</f>
        <v>0</v>
      </c>
      <c r="M173" s="9" t="n">
        <f aca="false">SUMPRODUCT((Headcount!$C$5:$C$90="CS")*Headcount!$D$5:$D$90*Headcount!$F$5:$F$90*((Headcount!$I$5:$I$90=0)+(Headcount!$I$5:$I$90=1)*$C$16)*(M$18&gt;=(Headcount!$E$5:$E$90+Headcount!$G$5:$G$90*$C$15)))/12*(1+Assumptions!$C$97)</f>
        <v>0</v>
      </c>
      <c r="N173" s="9" t="n">
        <f aca="false">SUMPRODUCT((Headcount!$C$5:$C$90="CS")*Headcount!$D$5:$D$90*Headcount!$F$5:$F$90*((Headcount!$I$5:$I$90=0)+(Headcount!$I$5:$I$90=1)*$C$16)*(N$18&gt;=(Headcount!$E$5:$E$90+Headcount!$G$5:$G$90*$C$15)))/12*(1+Assumptions!$C$97)</f>
        <v>0</v>
      </c>
      <c r="O173" s="9" t="n">
        <f aca="false">SUMPRODUCT((Headcount!$C$5:$C$90="CS")*Headcount!$D$5:$D$90*Headcount!$F$5:$F$90*((Headcount!$I$5:$I$90=0)+(Headcount!$I$5:$I$90=1)*$C$16)*(O$18&gt;=(Headcount!$E$5:$E$90+Headcount!$G$5:$G$90*$C$15)))/12*(1+Assumptions!$C$97)</f>
        <v>0</v>
      </c>
      <c r="P173" s="9" t="n">
        <f aca="false">SUMPRODUCT((Headcount!$C$5:$C$90="CS")*Headcount!$D$5:$D$90*Headcount!$F$5:$F$90*((Headcount!$I$5:$I$90=0)+(Headcount!$I$5:$I$90=1)*$C$16)*(P$18&gt;=(Headcount!$E$5:$E$90+Headcount!$G$5:$G$90*$C$15)))/12*(1+Assumptions!$C$97)</f>
        <v>0</v>
      </c>
      <c r="Q173" s="9" t="n">
        <f aca="false">SUMPRODUCT((Headcount!$C$5:$C$90="CS")*Headcount!$D$5:$D$90*Headcount!$F$5:$F$90*((Headcount!$I$5:$I$90=0)+(Headcount!$I$5:$I$90=1)*$C$16)*(Q$18&gt;=(Headcount!$E$5:$E$90+Headcount!$G$5:$G$90*$C$15)))/12*(1+Assumptions!$C$97)</f>
        <v>0</v>
      </c>
      <c r="R173" s="9" t="n">
        <f aca="false">SUMPRODUCT((Headcount!$C$5:$C$90="CS")*Headcount!$D$5:$D$90*Headcount!$F$5:$F$90*((Headcount!$I$5:$I$90=0)+(Headcount!$I$5:$I$90=1)*$C$16)*(R$18&gt;=(Headcount!$E$5:$E$90+Headcount!$G$5:$G$90*$C$15)))/12*(1+Assumptions!$C$97)</f>
        <v>0</v>
      </c>
      <c r="S173" s="9" t="n">
        <f aca="false">SUMPRODUCT((Headcount!$C$5:$C$90="CS")*Headcount!$D$5:$D$90*Headcount!$F$5:$F$90*((Headcount!$I$5:$I$90=0)+(Headcount!$I$5:$I$90=1)*$C$16)*(S$18&gt;=(Headcount!$E$5:$E$90+Headcount!$G$5:$G$90*$C$15)))/12*(1+Assumptions!$C$97)</f>
        <v>0</v>
      </c>
      <c r="T173" s="9" t="n">
        <f aca="false">SUMPRODUCT((Headcount!$C$5:$C$90="CS")*Headcount!$D$5:$D$90*Headcount!$F$5:$F$90*((Headcount!$I$5:$I$90=0)+(Headcount!$I$5:$I$90=1)*$C$16)*(T$18&gt;=(Headcount!$E$5:$E$90+Headcount!$G$5:$G$90*$C$15)))/12*(1+Assumptions!$C$97)</f>
        <v>10166.6666666667</v>
      </c>
      <c r="U173" s="9" t="n">
        <f aca="false">SUMPRODUCT((Headcount!$C$5:$C$90="CS")*Headcount!$D$5:$D$90*Headcount!$F$5:$F$90*((Headcount!$I$5:$I$90=0)+(Headcount!$I$5:$I$90=1)*$C$16)*(U$18&gt;=(Headcount!$E$5:$E$90+Headcount!$G$5:$G$90*$C$15)))/12*(1+Assumptions!$C$97)</f>
        <v>10166.6666666667</v>
      </c>
      <c r="V173" s="9" t="n">
        <f aca="false">SUMPRODUCT((Headcount!$C$5:$C$90="CS")*Headcount!$D$5:$D$90*Headcount!$F$5:$F$90*((Headcount!$I$5:$I$90=0)+(Headcount!$I$5:$I$90=1)*$C$16)*(V$18&gt;=(Headcount!$E$5:$E$90+Headcount!$G$5:$G$90*$C$15)))/12*(1+Assumptions!$C$97)</f>
        <v>10166.6666666667</v>
      </c>
      <c r="W173" s="9" t="n">
        <f aca="false">SUMPRODUCT((Headcount!$C$5:$C$90="CS")*Headcount!$D$5:$D$90*Headcount!$F$5:$F$90*((Headcount!$I$5:$I$90=0)+(Headcount!$I$5:$I$90=1)*$C$16)*(W$18&gt;=(Headcount!$E$5:$E$90+Headcount!$G$5:$G$90*$C$15)))/12*(1+Assumptions!$C$97)</f>
        <v>10166.6666666667</v>
      </c>
      <c r="X173" s="9" t="n">
        <f aca="false">SUMPRODUCT((Headcount!$C$5:$C$90="CS")*Headcount!$D$5:$D$90*Headcount!$F$5:$F$90*((Headcount!$I$5:$I$90=0)+(Headcount!$I$5:$I$90=1)*$C$16)*(X$18&gt;=(Headcount!$E$5:$E$90+Headcount!$G$5:$G$90*$C$15)))/12*(1+Assumptions!$C$97)</f>
        <v>10166.6666666667</v>
      </c>
      <c r="Y173" s="9" t="n">
        <f aca="false">SUMPRODUCT((Headcount!$C$5:$C$90="CS")*Headcount!$D$5:$D$90*Headcount!$F$5:$F$90*((Headcount!$I$5:$I$90=0)+(Headcount!$I$5:$I$90=1)*$C$16)*(Y$18&gt;=(Headcount!$E$5:$E$90+Headcount!$G$5:$G$90*$C$15)))/12*(1+Assumptions!$C$97)</f>
        <v>10166.6666666667</v>
      </c>
      <c r="Z173" s="9" t="n">
        <f aca="false">SUMPRODUCT((Headcount!$C$5:$C$90="CS")*Headcount!$D$5:$D$90*Headcount!$F$5:$F$90*((Headcount!$I$5:$I$90=0)+(Headcount!$I$5:$I$90=1)*$C$16)*(Z$18&gt;=(Headcount!$E$5:$E$90+Headcount!$G$5:$G$90*$C$15)))/12*(1+Assumptions!$C$97)</f>
        <v>10166.6666666667</v>
      </c>
      <c r="AA173" s="9" t="n">
        <f aca="false">SUMPRODUCT((Headcount!$C$5:$C$90="CS")*Headcount!$D$5:$D$90*Headcount!$F$5:$F$90*((Headcount!$I$5:$I$90=0)+(Headcount!$I$5:$I$90=1)*$C$16)*(AA$18&gt;=(Headcount!$E$5:$E$90+Headcount!$G$5:$G$90*$C$15)))/12*(1+Assumptions!$C$97)</f>
        <v>10166.6666666667</v>
      </c>
      <c r="AB173" s="9" t="n">
        <f aca="false">SUMPRODUCT((Headcount!$C$5:$C$90="CS")*Headcount!$D$5:$D$90*Headcount!$F$5:$F$90*((Headcount!$I$5:$I$90=0)+(Headcount!$I$5:$I$90=1)*$C$16)*(AB$18&gt;=(Headcount!$E$5:$E$90+Headcount!$G$5:$G$90*$C$15)))/12*(1+Assumptions!$C$97)</f>
        <v>10166.6666666667</v>
      </c>
      <c r="AC173" s="9" t="n">
        <f aca="false">SUMPRODUCT((Headcount!$C$5:$C$90="CS")*Headcount!$D$5:$D$90*Headcount!$F$5:$F$90*((Headcount!$I$5:$I$90=0)+(Headcount!$I$5:$I$90=1)*$C$16)*(AC$18&gt;=(Headcount!$E$5:$E$90+Headcount!$G$5:$G$90*$C$15)))/12*(1+Assumptions!$C$97)</f>
        <v>10166.6666666667</v>
      </c>
      <c r="AD173" s="9" t="n">
        <f aca="false">SUMPRODUCT((Headcount!$C$5:$C$90="CS")*Headcount!$D$5:$D$90*Headcount!$F$5:$F$90*((Headcount!$I$5:$I$90=0)+(Headcount!$I$5:$I$90=1)*$C$16)*(AD$18&gt;=(Headcount!$E$5:$E$90+Headcount!$G$5:$G$90*$C$15)))/12*(1+Assumptions!$C$97)</f>
        <v>10166.6666666667</v>
      </c>
      <c r="AE173" s="9" t="n">
        <f aca="false">SUMPRODUCT((Headcount!$C$5:$C$90="CS")*Headcount!$D$5:$D$90*Headcount!$F$5:$F$90*((Headcount!$I$5:$I$90=0)+(Headcount!$I$5:$I$90=1)*$C$16)*(AE$18&gt;=(Headcount!$E$5:$E$90+Headcount!$G$5:$G$90*$C$15)))/12*(1+Assumptions!$C$97)</f>
        <v>10166.6666666667</v>
      </c>
      <c r="AF173" s="9" t="n">
        <f aca="false">SUMPRODUCT((Headcount!$C$5:$C$90="CS")*Headcount!$D$5:$D$90*Headcount!$F$5:$F$90*((Headcount!$I$5:$I$90=0)+(Headcount!$I$5:$I$90=1)*$C$16)*(AF$18&gt;=(Headcount!$E$5:$E$90+Headcount!$G$5:$G$90*$C$15)))/12*(1+Assumptions!$C$97)</f>
        <v>20333.3333333333</v>
      </c>
      <c r="AG173" s="9" t="n">
        <f aca="false">SUMPRODUCT((Headcount!$C$5:$C$90="CS")*Headcount!$D$5:$D$90*Headcount!$F$5:$F$90*((Headcount!$I$5:$I$90=0)+(Headcount!$I$5:$I$90=1)*$C$16)*(AG$18&gt;=(Headcount!$E$5:$E$90+Headcount!$G$5:$G$90*$C$15)))/12*(1+Assumptions!$C$97)</f>
        <v>20333.3333333333</v>
      </c>
      <c r="AH173" s="9" t="n">
        <f aca="false">SUMPRODUCT((Headcount!$C$5:$C$90="CS")*Headcount!$D$5:$D$90*Headcount!$F$5:$F$90*((Headcount!$I$5:$I$90=0)+(Headcount!$I$5:$I$90=1)*$C$16)*(AH$18&gt;=(Headcount!$E$5:$E$90+Headcount!$G$5:$G$90*$C$15)))/12*(1+Assumptions!$C$97)</f>
        <v>20333.3333333333</v>
      </c>
      <c r="AI173" s="9" t="n">
        <f aca="false">SUMPRODUCT((Headcount!$C$5:$C$90="CS")*Headcount!$D$5:$D$90*Headcount!$F$5:$F$90*((Headcount!$I$5:$I$90=0)+(Headcount!$I$5:$I$90=1)*$C$16)*(AI$18&gt;=(Headcount!$E$5:$E$90+Headcount!$G$5:$G$90*$C$15)))/12*(1+Assumptions!$C$97)</f>
        <v>20333.3333333333</v>
      </c>
      <c r="AJ173" s="9" t="n">
        <f aca="false">SUMPRODUCT((Headcount!$C$5:$C$90="CS")*Headcount!$D$5:$D$90*Headcount!$F$5:$F$90*((Headcount!$I$5:$I$90=0)+(Headcount!$I$5:$I$90=1)*$C$16)*(AJ$18&gt;=(Headcount!$E$5:$E$90+Headcount!$G$5:$G$90*$C$15)))/12*(1+Assumptions!$C$97)</f>
        <v>20333.3333333333</v>
      </c>
      <c r="AK173" s="9" t="n">
        <f aca="false">SUMPRODUCT((Headcount!$C$5:$C$90="CS")*Headcount!$D$5:$D$90*Headcount!$F$5:$F$90*((Headcount!$I$5:$I$90=0)+(Headcount!$I$5:$I$90=1)*$C$16)*(AK$18&gt;=(Headcount!$E$5:$E$90+Headcount!$G$5:$G$90*$C$15)))/12*(1+Assumptions!$C$97)</f>
        <v>20333.3333333333</v>
      </c>
      <c r="AL173" s="9" t="n">
        <f aca="false">SUMPRODUCT((Headcount!$C$5:$C$90="CS")*Headcount!$D$5:$D$90*Headcount!$F$5:$F$90*((Headcount!$I$5:$I$90=0)+(Headcount!$I$5:$I$90=1)*$C$16)*(AL$18&gt;=(Headcount!$E$5:$E$90+Headcount!$G$5:$G$90*$C$15)))/12*(1+Assumptions!$C$97)</f>
        <v>20333.3333333333</v>
      </c>
      <c r="AN173" s="11" t="n">
        <f aca="false">SUM(C173:N173)</f>
        <v>0</v>
      </c>
      <c r="AO173" s="11" t="n">
        <f aca="false">SUM(O173:Z173)</f>
        <v>71166.6666666667</v>
      </c>
      <c r="AP173" s="11" t="n">
        <f aca="false">SUM(AA173:AL173)</f>
        <v>193166.666666667</v>
      </c>
    </row>
    <row r="174" customFormat="false" ht="15" hidden="false" customHeight="false" outlineLevel="0" collapsed="false">
      <c r="A174" s="0" t="s">
        <v>976</v>
      </c>
      <c r="B174" s="0" t="s">
        <v>230</v>
      </c>
      <c r="C174" s="9" t="n">
        <f aca="false">SUMPRODUCT((Headcount!$C$5:$C$90="TS")*Headcount!$D$5:$D$90*Headcount!$F$5:$F$90*((Headcount!$I$5:$I$90=0)+(Headcount!$I$5:$I$90=1)*$C$16)*(C$18&gt;=(Headcount!$E$5:$E$90+Headcount!$G$5:$G$90*$C$15)))/12*(1+Assumptions!$C$97)</f>
        <v>0</v>
      </c>
      <c r="D174" s="9" t="n">
        <f aca="false">SUMPRODUCT((Headcount!$C$5:$C$90="TS")*Headcount!$D$5:$D$90*Headcount!$F$5:$F$90*((Headcount!$I$5:$I$90=0)+(Headcount!$I$5:$I$90=1)*$C$16)*(D$18&gt;=(Headcount!$E$5:$E$90+Headcount!$G$5:$G$90*$C$15)))/12*(1+Assumptions!$C$97)</f>
        <v>0</v>
      </c>
      <c r="E174" s="9" t="n">
        <f aca="false">SUMPRODUCT((Headcount!$C$5:$C$90="TS")*Headcount!$D$5:$D$90*Headcount!$F$5:$F$90*((Headcount!$I$5:$I$90=0)+(Headcount!$I$5:$I$90=1)*$C$16)*(E$18&gt;=(Headcount!$E$5:$E$90+Headcount!$G$5:$G$90*$C$15)))/12*(1+Assumptions!$C$97)</f>
        <v>0</v>
      </c>
      <c r="F174" s="9" t="n">
        <f aca="false">SUMPRODUCT((Headcount!$C$5:$C$90="TS")*Headcount!$D$5:$D$90*Headcount!$F$5:$F$90*((Headcount!$I$5:$I$90=0)+(Headcount!$I$5:$I$90=1)*$C$16)*(F$18&gt;=(Headcount!$E$5:$E$90+Headcount!$G$5:$G$90*$C$15)))/12*(1+Assumptions!$C$97)</f>
        <v>0</v>
      </c>
      <c r="G174" s="9" t="n">
        <f aca="false">SUMPRODUCT((Headcount!$C$5:$C$90="TS")*Headcount!$D$5:$D$90*Headcount!$F$5:$F$90*((Headcount!$I$5:$I$90=0)+(Headcount!$I$5:$I$90=1)*$C$16)*(G$18&gt;=(Headcount!$E$5:$E$90+Headcount!$G$5:$G$90*$C$15)))/12*(1+Assumptions!$C$97)</f>
        <v>0</v>
      </c>
      <c r="H174" s="9" t="n">
        <f aca="false">SUMPRODUCT((Headcount!$C$5:$C$90="TS")*Headcount!$D$5:$D$90*Headcount!$F$5:$F$90*((Headcount!$I$5:$I$90=0)+(Headcount!$I$5:$I$90=1)*$C$16)*(H$18&gt;=(Headcount!$E$5:$E$90+Headcount!$G$5:$G$90*$C$15)))/12*(1+Assumptions!$C$97)</f>
        <v>0</v>
      </c>
      <c r="I174" s="9" t="n">
        <f aca="false">SUMPRODUCT((Headcount!$C$5:$C$90="TS")*Headcount!$D$5:$D$90*Headcount!$F$5:$F$90*((Headcount!$I$5:$I$90=0)+(Headcount!$I$5:$I$90=1)*$C$16)*(I$18&gt;=(Headcount!$E$5:$E$90+Headcount!$G$5:$G$90*$C$15)))/12*(1+Assumptions!$C$97)</f>
        <v>0</v>
      </c>
      <c r="J174" s="9" t="n">
        <f aca="false">SUMPRODUCT((Headcount!$C$5:$C$90="TS")*Headcount!$D$5:$D$90*Headcount!$F$5:$F$90*((Headcount!$I$5:$I$90=0)+(Headcount!$I$5:$I$90=1)*$C$16)*(J$18&gt;=(Headcount!$E$5:$E$90+Headcount!$G$5:$G$90*$C$15)))/12*(1+Assumptions!$C$97)</f>
        <v>0</v>
      </c>
      <c r="K174" s="9" t="n">
        <f aca="false">SUMPRODUCT((Headcount!$C$5:$C$90="TS")*Headcount!$D$5:$D$90*Headcount!$F$5:$F$90*((Headcount!$I$5:$I$90=0)+(Headcount!$I$5:$I$90=1)*$C$16)*(K$18&gt;=(Headcount!$E$5:$E$90+Headcount!$G$5:$G$90*$C$15)))/12*(1+Assumptions!$C$97)</f>
        <v>0</v>
      </c>
      <c r="L174" s="9" t="n">
        <f aca="false">SUMPRODUCT((Headcount!$C$5:$C$90="TS")*Headcount!$D$5:$D$90*Headcount!$F$5:$F$90*((Headcount!$I$5:$I$90=0)+(Headcount!$I$5:$I$90=1)*$C$16)*(L$18&gt;=(Headcount!$E$5:$E$90+Headcount!$G$5:$G$90*$C$15)))/12*(1+Assumptions!$C$97)</f>
        <v>0</v>
      </c>
      <c r="M174" s="9" t="n">
        <f aca="false">SUMPRODUCT((Headcount!$C$5:$C$90="TS")*Headcount!$D$5:$D$90*Headcount!$F$5:$F$90*((Headcount!$I$5:$I$90=0)+(Headcount!$I$5:$I$90=1)*$C$16)*(M$18&gt;=(Headcount!$E$5:$E$90+Headcount!$G$5:$G$90*$C$15)))/12*(1+Assumptions!$C$97)</f>
        <v>0</v>
      </c>
      <c r="N174" s="9" t="n">
        <f aca="false">SUMPRODUCT((Headcount!$C$5:$C$90="TS")*Headcount!$D$5:$D$90*Headcount!$F$5:$F$90*((Headcount!$I$5:$I$90=0)+(Headcount!$I$5:$I$90=1)*$C$16)*(N$18&gt;=(Headcount!$E$5:$E$90+Headcount!$G$5:$G$90*$C$15)))/12*(1+Assumptions!$C$97)</f>
        <v>0</v>
      </c>
      <c r="O174" s="9" t="n">
        <f aca="false">SUMPRODUCT((Headcount!$C$5:$C$90="TS")*Headcount!$D$5:$D$90*Headcount!$F$5:$F$90*((Headcount!$I$5:$I$90=0)+(Headcount!$I$5:$I$90=1)*$C$16)*(O$18&gt;=(Headcount!$E$5:$E$90+Headcount!$G$5:$G$90*$C$15)))/12*(1+Assumptions!$C$97)</f>
        <v>0</v>
      </c>
      <c r="P174" s="9" t="n">
        <f aca="false">SUMPRODUCT((Headcount!$C$5:$C$90="TS")*Headcount!$D$5:$D$90*Headcount!$F$5:$F$90*((Headcount!$I$5:$I$90=0)+(Headcount!$I$5:$I$90=1)*$C$16)*(P$18&gt;=(Headcount!$E$5:$E$90+Headcount!$G$5:$G$90*$C$15)))/12*(1+Assumptions!$C$97)</f>
        <v>0</v>
      </c>
      <c r="Q174" s="9" t="n">
        <f aca="false">SUMPRODUCT((Headcount!$C$5:$C$90="TS")*Headcount!$D$5:$D$90*Headcount!$F$5:$F$90*((Headcount!$I$5:$I$90=0)+(Headcount!$I$5:$I$90=1)*$C$16)*(Q$18&gt;=(Headcount!$E$5:$E$90+Headcount!$G$5:$G$90*$C$15)))/12*(1+Assumptions!$C$97)</f>
        <v>0</v>
      </c>
      <c r="R174" s="9" t="n">
        <f aca="false">SUMPRODUCT((Headcount!$C$5:$C$90="TS")*Headcount!$D$5:$D$90*Headcount!$F$5:$F$90*((Headcount!$I$5:$I$90=0)+(Headcount!$I$5:$I$90=1)*$C$16)*(R$18&gt;=(Headcount!$E$5:$E$90+Headcount!$G$5:$G$90*$C$15)))/12*(1+Assumptions!$C$97)</f>
        <v>0</v>
      </c>
      <c r="S174" s="9" t="n">
        <f aca="false">SUMPRODUCT((Headcount!$C$5:$C$90="TS")*Headcount!$D$5:$D$90*Headcount!$F$5:$F$90*((Headcount!$I$5:$I$90=0)+(Headcount!$I$5:$I$90=1)*$C$16)*(S$18&gt;=(Headcount!$E$5:$E$90+Headcount!$G$5:$G$90*$C$15)))/12*(1+Assumptions!$C$97)</f>
        <v>0</v>
      </c>
      <c r="T174" s="9" t="n">
        <f aca="false">SUMPRODUCT((Headcount!$C$5:$C$90="TS")*Headcount!$D$5:$D$90*Headcount!$F$5:$F$90*((Headcount!$I$5:$I$90=0)+(Headcount!$I$5:$I$90=1)*$C$16)*(T$18&gt;=(Headcount!$E$5:$E$90+Headcount!$G$5:$G$90*$C$15)))/12*(1+Assumptions!$C$97)</f>
        <v>0</v>
      </c>
      <c r="U174" s="9" t="n">
        <f aca="false">SUMPRODUCT((Headcount!$C$5:$C$90="TS")*Headcount!$D$5:$D$90*Headcount!$F$5:$F$90*((Headcount!$I$5:$I$90=0)+(Headcount!$I$5:$I$90=1)*$C$16)*(U$18&gt;=(Headcount!$E$5:$E$90+Headcount!$G$5:$G$90*$C$15)))/12*(1+Assumptions!$C$97)</f>
        <v>0</v>
      </c>
      <c r="V174" s="9" t="n">
        <f aca="false">SUMPRODUCT((Headcount!$C$5:$C$90="TS")*Headcount!$D$5:$D$90*Headcount!$F$5:$F$90*((Headcount!$I$5:$I$90=0)+(Headcount!$I$5:$I$90=1)*$C$16)*(V$18&gt;=(Headcount!$E$5:$E$90+Headcount!$G$5:$G$90*$C$15)))/12*(1+Assumptions!$C$97)</f>
        <v>0</v>
      </c>
      <c r="W174" s="9" t="n">
        <f aca="false">SUMPRODUCT((Headcount!$C$5:$C$90="TS")*Headcount!$D$5:$D$90*Headcount!$F$5:$F$90*((Headcount!$I$5:$I$90=0)+(Headcount!$I$5:$I$90=1)*$C$16)*(W$18&gt;=(Headcount!$E$5:$E$90+Headcount!$G$5:$G$90*$C$15)))/12*(1+Assumptions!$C$97)</f>
        <v>0</v>
      </c>
      <c r="X174" s="9" t="n">
        <f aca="false">SUMPRODUCT((Headcount!$C$5:$C$90="TS")*Headcount!$D$5:$D$90*Headcount!$F$5:$F$90*((Headcount!$I$5:$I$90=0)+(Headcount!$I$5:$I$90=1)*$C$16)*(X$18&gt;=(Headcount!$E$5:$E$90+Headcount!$G$5:$G$90*$C$15)))/12*(1+Assumptions!$C$97)</f>
        <v>0</v>
      </c>
      <c r="Y174" s="9" t="n">
        <f aca="false">SUMPRODUCT((Headcount!$C$5:$C$90="TS")*Headcount!$D$5:$D$90*Headcount!$F$5:$F$90*((Headcount!$I$5:$I$90=0)+(Headcount!$I$5:$I$90=1)*$C$16)*(Y$18&gt;=(Headcount!$E$5:$E$90+Headcount!$G$5:$G$90*$C$15)))/12*(1+Assumptions!$C$97)</f>
        <v>0</v>
      </c>
      <c r="Z174" s="9" t="n">
        <f aca="false">SUMPRODUCT((Headcount!$C$5:$C$90="TS")*Headcount!$D$5:$D$90*Headcount!$F$5:$F$90*((Headcount!$I$5:$I$90=0)+(Headcount!$I$5:$I$90=1)*$C$16)*(Z$18&gt;=(Headcount!$E$5:$E$90+Headcount!$G$5:$G$90*$C$15)))/12*(1+Assumptions!$C$97)</f>
        <v>0</v>
      </c>
      <c r="AA174" s="9" t="n">
        <f aca="false">SUMPRODUCT((Headcount!$C$5:$C$90="TS")*Headcount!$D$5:$D$90*Headcount!$F$5:$F$90*((Headcount!$I$5:$I$90=0)+(Headcount!$I$5:$I$90=1)*$C$16)*(AA$18&gt;=(Headcount!$E$5:$E$90+Headcount!$G$5:$G$90*$C$15)))/12*(1+Assumptions!$C$97)</f>
        <v>0</v>
      </c>
      <c r="AB174" s="9" t="n">
        <f aca="false">SUMPRODUCT((Headcount!$C$5:$C$90="TS")*Headcount!$D$5:$D$90*Headcount!$F$5:$F$90*((Headcount!$I$5:$I$90=0)+(Headcount!$I$5:$I$90=1)*$C$16)*(AB$18&gt;=(Headcount!$E$5:$E$90+Headcount!$G$5:$G$90*$C$15)))/12*(1+Assumptions!$C$97)</f>
        <v>0</v>
      </c>
      <c r="AC174" s="9" t="n">
        <f aca="false">SUMPRODUCT((Headcount!$C$5:$C$90="TS")*Headcount!$D$5:$D$90*Headcount!$F$5:$F$90*((Headcount!$I$5:$I$90=0)+(Headcount!$I$5:$I$90=1)*$C$16)*(AC$18&gt;=(Headcount!$E$5:$E$90+Headcount!$G$5:$G$90*$C$15)))/12*(1+Assumptions!$C$97)</f>
        <v>0</v>
      </c>
      <c r="AD174" s="9" t="n">
        <f aca="false">SUMPRODUCT((Headcount!$C$5:$C$90="TS")*Headcount!$D$5:$D$90*Headcount!$F$5:$F$90*((Headcount!$I$5:$I$90=0)+(Headcount!$I$5:$I$90=1)*$C$16)*(AD$18&gt;=(Headcount!$E$5:$E$90+Headcount!$G$5:$G$90*$C$15)))/12*(1+Assumptions!$C$97)</f>
        <v>0</v>
      </c>
      <c r="AE174" s="9" t="n">
        <f aca="false">SUMPRODUCT((Headcount!$C$5:$C$90="TS")*Headcount!$D$5:$D$90*Headcount!$F$5:$F$90*((Headcount!$I$5:$I$90=0)+(Headcount!$I$5:$I$90=1)*$C$16)*(AE$18&gt;=(Headcount!$E$5:$E$90+Headcount!$G$5:$G$90*$C$15)))/12*(1+Assumptions!$C$97)</f>
        <v>0</v>
      </c>
      <c r="AF174" s="9" t="n">
        <f aca="false">SUMPRODUCT((Headcount!$C$5:$C$90="TS")*Headcount!$D$5:$D$90*Headcount!$F$5:$F$90*((Headcount!$I$5:$I$90=0)+(Headcount!$I$5:$I$90=1)*$C$16)*(AF$18&gt;=(Headcount!$E$5:$E$90+Headcount!$G$5:$G$90*$C$15)))/12*(1+Assumptions!$C$97)</f>
        <v>0</v>
      </c>
      <c r="AG174" s="9" t="n">
        <f aca="false">SUMPRODUCT((Headcount!$C$5:$C$90="TS")*Headcount!$D$5:$D$90*Headcount!$F$5:$F$90*((Headcount!$I$5:$I$90=0)+(Headcount!$I$5:$I$90=1)*$C$16)*(AG$18&gt;=(Headcount!$E$5:$E$90+Headcount!$G$5:$G$90*$C$15)))/12*(1+Assumptions!$C$97)</f>
        <v>0</v>
      </c>
      <c r="AH174" s="9" t="n">
        <f aca="false">SUMPRODUCT((Headcount!$C$5:$C$90="TS")*Headcount!$D$5:$D$90*Headcount!$F$5:$F$90*((Headcount!$I$5:$I$90=0)+(Headcount!$I$5:$I$90=1)*$C$16)*(AH$18&gt;=(Headcount!$E$5:$E$90+Headcount!$G$5:$G$90*$C$15)))/12*(1+Assumptions!$C$97)</f>
        <v>7116.66666666667</v>
      </c>
      <c r="AI174" s="9" t="n">
        <f aca="false">SUMPRODUCT((Headcount!$C$5:$C$90="TS")*Headcount!$D$5:$D$90*Headcount!$F$5:$F$90*((Headcount!$I$5:$I$90=0)+(Headcount!$I$5:$I$90=1)*$C$16)*(AI$18&gt;=(Headcount!$E$5:$E$90+Headcount!$G$5:$G$90*$C$15)))/12*(1+Assumptions!$C$97)</f>
        <v>7116.66666666667</v>
      </c>
      <c r="AJ174" s="9" t="n">
        <f aca="false">SUMPRODUCT((Headcount!$C$5:$C$90="TS")*Headcount!$D$5:$D$90*Headcount!$F$5:$F$90*((Headcount!$I$5:$I$90=0)+(Headcount!$I$5:$I$90=1)*$C$16)*(AJ$18&gt;=(Headcount!$E$5:$E$90+Headcount!$G$5:$G$90*$C$15)))/12*(1+Assumptions!$C$97)</f>
        <v>7116.66666666667</v>
      </c>
      <c r="AK174" s="9" t="n">
        <f aca="false">SUMPRODUCT((Headcount!$C$5:$C$90="TS")*Headcount!$D$5:$D$90*Headcount!$F$5:$F$90*((Headcount!$I$5:$I$90=0)+(Headcount!$I$5:$I$90=1)*$C$16)*(AK$18&gt;=(Headcount!$E$5:$E$90+Headcount!$G$5:$G$90*$C$15)))/12*(1+Assumptions!$C$97)</f>
        <v>7116.66666666667</v>
      </c>
      <c r="AL174" s="9" t="n">
        <f aca="false">SUMPRODUCT((Headcount!$C$5:$C$90="TS")*Headcount!$D$5:$D$90*Headcount!$F$5:$F$90*((Headcount!$I$5:$I$90=0)+(Headcount!$I$5:$I$90=1)*$C$16)*(AL$18&gt;=(Headcount!$E$5:$E$90+Headcount!$G$5:$G$90*$C$15)))/12*(1+Assumptions!$C$97)</f>
        <v>7116.66666666667</v>
      </c>
      <c r="AN174" s="11" t="n">
        <f aca="false">SUM(C174:N174)</f>
        <v>0</v>
      </c>
      <c r="AO174" s="11" t="n">
        <f aca="false">SUM(O174:Z174)</f>
        <v>0</v>
      </c>
      <c r="AP174" s="11" t="n">
        <f aca="false">SUM(AA174:AL174)</f>
        <v>35583.3333333333</v>
      </c>
    </row>
    <row r="175" customFormat="false" ht="15" hidden="false" customHeight="false" outlineLevel="0" collapsed="false">
      <c r="A175" s="0" t="s">
        <v>977</v>
      </c>
      <c r="B175" s="0" t="s">
        <v>230</v>
      </c>
      <c r="C175" s="9" t="n">
        <f aca="false">(((1-Assumptions!$C$24)*((Assumptions!$C$26*C41)+(Assumptions!$C$27*(C34+C37))))+((Assumptions!$C$24*Assumptions!$C$25)*C41))</f>
        <v>0</v>
      </c>
      <c r="D175" s="9" t="n">
        <f aca="false">(((1-Assumptions!$C$24)*((Assumptions!$C$26*D41)+(Assumptions!$C$27*(D34+D37))))+((Assumptions!$C$24*Assumptions!$C$25)*D41))</f>
        <v>0</v>
      </c>
      <c r="E175" s="9" t="n">
        <f aca="false">(((1-Assumptions!$C$24)*((Assumptions!$C$26*E41)+(Assumptions!$C$27*(E34+E37))))+((Assumptions!$C$24*Assumptions!$C$25)*E41))</f>
        <v>0</v>
      </c>
      <c r="F175" s="9" t="n">
        <f aca="false">(((1-Assumptions!$C$24)*((Assumptions!$C$26*F41)+(Assumptions!$C$27*(F34+F37))))+((Assumptions!$C$24*Assumptions!$C$25)*F41))</f>
        <v>0</v>
      </c>
      <c r="G175" s="9" t="n">
        <f aca="false">(((1-Assumptions!$C$24)*((Assumptions!$C$26*G41)+(Assumptions!$C$27*(G34+G37))))+((Assumptions!$C$24*Assumptions!$C$25)*G41))</f>
        <v>0</v>
      </c>
      <c r="H175" s="9" t="n">
        <f aca="false">(((1-Assumptions!$C$24)*((Assumptions!$C$26*H41)+(Assumptions!$C$27*(H34+H37))))+((Assumptions!$C$24*Assumptions!$C$25)*H41))</f>
        <v>0</v>
      </c>
      <c r="I175" s="9" t="n">
        <f aca="false">(((1-Assumptions!$C$24)*((Assumptions!$C$26*I41)+(Assumptions!$C$27*(I34+I37))))+((Assumptions!$C$24*Assumptions!$C$25)*I41))</f>
        <v>0</v>
      </c>
      <c r="J175" s="9" t="n">
        <f aca="false">(((1-Assumptions!$C$24)*((Assumptions!$C$26*J41)+(Assumptions!$C$27*(J34+J37))))+((Assumptions!$C$24*Assumptions!$C$25)*J41))</f>
        <v>0</v>
      </c>
      <c r="K175" s="9" t="n">
        <f aca="false">(((1-Assumptions!$C$24)*((Assumptions!$C$26*K41)+(Assumptions!$C$27*(K34+K37))))+((Assumptions!$C$24*Assumptions!$C$25)*K41))</f>
        <v>0</v>
      </c>
      <c r="L175" s="9" t="n">
        <f aca="false">(((1-Assumptions!$C$24)*((Assumptions!$C$26*L41)+(Assumptions!$C$27*(L34+L37))))+((Assumptions!$C$24*Assumptions!$C$25)*L41))</f>
        <v>0</v>
      </c>
      <c r="M175" s="9" t="n">
        <f aca="false">(((1-Assumptions!$C$24)*((Assumptions!$C$26*M41)+(Assumptions!$C$27*(M34+M37))))+((Assumptions!$C$24*Assumptions!$C$25)*M41))</f>
        <v>0</v>
      </c>
      <c r="N175" s="9" t="n">
        <f aca="false">(((1-Assumptions!$C$24)*((Assumptions!$C$26*N41)+(Assumptions!$C$27*(N34+N37))))+((Assumptions!$C$24*Assumptions!$C$25)*N41))</f>
        <v>0</v>
      </c>
      <c r="O175" s="9" t="n">
        <f aca="false">(((1-Assumptions!$C$24)*((Assumptions!$C$26*O41)+(Assumptions!$C$27*(O34+O37))))+((Assumptions!$C$24*Assumptions!$C$25)*O41))</f>
        <v>8.22126934003187</v>
      </c>
      <c r="P175" s="9" t="n">
        <f aca="false">(((1-Assumptions!$C$24)*((Assumptions!$C$26*P41)+(Assumptions!$C$27*(P34+P37))))+((Assumptions!$C$24*Assumptions!$C$25)*P41))</f>
        <v>19.8589995141529</v>
      </c>
      <c r="Q175" s="9" t="n">
        <f aca="false">(((1-Assumptions!$C$24)*((Assumptions!$C$26*Q41)+(Assumptions!$C$27*(Q34+Q37))))+((Assumptions!$C$24*Assumptions!$C$25)*Q41))</f>
        <v>31.0235076943004</v>
      </c>
      <c r="R175" s="9" t="n">
        <f aca="false">(((1-Assumptions!$C$24)*((Assumptions!$C$26*R41)+(Assumptions!$C$27*(R34+R37))))+((Assumptions!$C$24*Assumptions!$C$25)*R41))</f>
        <v>41.3959637065035</v>
      </c>
      <c r="S175" s="9" t="n">
        <f aca="false">(((1-Assumptions!$C$24)*((Assumptions!$C$26*S41)+(Assumptions!$C$27*(S34+S37))))+((Assumptions!$C$24*Assumptions!$C$25)*S41))</f>
        <v>51.4153607121058</v>
      </c>
      <c r="T175" s="9" t="n">
        <f aca="false">(((1-Assumptions!$C$24)*((Assumptions!$C$26*T41)+(Assumptions!$C$27*(T34+T37))))+((Assumptions!$C$24*Assumptions!$C$25)*T41))</f>
        <v>60.1632502159687</v>
      </c>
      <c r="U175" s="9" t="n">
        <f aca="false">(((1-Assumptions!$C$24)*((Assumptions!$C$26*U41)+(Assumptions!$C$27*(U34+U37))))+((Assumptions!$C$24*Assumptions!$C$25)*U41))</f>
        <v>68.1747726781819</v>
      </c>
      <c r="V175" s="9" t="n">
        <f aca="false">(((1-Assumptions!$C$24)*((Assumptions!$C$26*V41)+(Assumptions!$C$27*(V34+V37))))+((Assumptions!$C$24*Assumptions!$C$25)*V41))</f>
        <v>77.7826516805396</v>
      </c>
      <c r="W175" s="9" t="n">
        <f aca="false">(((1-Assumptions!$C$24)*((Assumptions!$C$26*W41)+(Assumptions!$C$27*(W34+W37))))+((Assumptions!$C$24*Assumptions!$C$25)*W41))</f>
        <v>95.1773515791283</v>
      </c>
      <c r="X175" s="9" t="n">
        <f aca="false">(((1-Assumptions!$C$24)*((Assumptions!$C$26*X41)+(Assumptions!$C$27*(X34+X37))))+((Assumptions!$C$24*Assumptions!$C$25)*X41))</f>
        <v>115.218086788626</v>
      </c>
      <c r="Y175" s="9" t="n">
        <f aca="false">(((1-Assumptions!$C$24)*((Assumptions!$C$26*Y41)+(Assumptions!$C$27*(Y34+Y37))))+((Assumptions!$C$24*Assumptions!$C$25)*Y41))</f>
        <v>129.756630141683</v>
      </c>
      <c r="Z175" s="9" t="n">
        <f aca="false">(((1-Assumptions!$C$24)*((Assumptions!$C$26*Z41)+(Assumptions!$C$27*(Z34+Z37))))+((Assumptions!$C$24*Assumptions!$C$25)*Z41))</f>
        <v>142.565412743172</v>
      </c>
      <c r="AA175" s="9" t="n">
        <f aca="false">(((1-Assumptions!$C$24)*((Assumptions!$C$26*AA41)+(Assumptions!$C$27*(AA34+AA37))))+((Assumptions!$C$24*Assumptions!$C$25)*AA41))</f>
        <v>157.016724877035</v>
      </c>
      <c r="AB175" s="9" t="n">
        <f aca="false">(((1-Assumptions!$C$24)*((Assumptions!$C$26*AB41)+(Assumptions!$C$27*(AB34+AB37))))+((Assumptions!$C$24*Assumptions!$C$25)*AB41))</f>
        <v>179.961233738098</v>
      </c>
      <c r="AC175" s="9" t="n">
        <f aca="false">(((1-Assumptions!$C$24)*((Assumptions!$C$26*AC41)+(Assumptions!$C$27*(AC34+AC37))))+((Assumptions!$C$24*Assumptions!$C$25)*AC41))</f>
        <v>200.173662389981</v>
      </c>
      <c r="AD175" s="9" t="n">
        <f aca="false">(((1-Assumptions!$C$24)*((Assumptions!$C$26*AD41)+(Assumptions!$C$27*(AD34+AD37))))+((Assumptions!$C$24*Assumptions!$C$25)*AD41))</f>
        <v>217.41415665412</v>
      </c>
      <c r="AE175" s="9" t="n">
        <f aca="false">(((1-Assumptions!$C$24)*((Assumptions!$C$26*AE41)+(Assumptions!$C$27*(AE34+AE37))))+((Assumptions!$C$24*Assumptions!$C$25)*AE41))</f>
        <v>232.892768802302</v>
      </c>
      <c r="AF175" s="9" t="n">
        <f aca="false">(((1-Assumptions!$C$24)*((Assumptions!$C$26*AF41)+(Assumptions!$C$27*(AF34+AF37))))+((Assumptions!$C$24*Assumptions!$C$25)*AF41))</f>
        <v>245.064082850536</v>
      </c>
      <c r="AG175" s="9" t="n">
        <f aca="false">(((1-Assumptions!$C$24)*((Assumptions!$C$26*AG41)+(Assumptions!$C$27*(AG34+AG37))))+((Assumptions!$C$24*Assumptions!$C$25)*AG41))</f>
        <v>255.24969588296</v>
      </c>
      <c r="AH175" s="9" t="n">
        <f aca="false">(((1-Assumptions!$C$24)*((Assumptions!$C$26*AH41)+(Assumptions!$C$27*(AH34+AH37))))+((Assumptions!$C$24*Assumptions!$C$25)*AH41))</f>
        <v>268.039008350426</v>
      </c>
      <c r="AI175" s="9" t="n">
        <f aca="false">(((1-Assumptions!$C$24)*((Assumptions!$C$26*AI41)+(Assumptions!$C$27*(AI34+AI37))))+((Assumptions!$C$24*Assumptions!$C$25)*AI41))</f>
        <v>294.870175862333</v>
      </c>
      <c r="AJ175" s="9" t="n">
        <f aca="false">(((1-Assumptions!$C$24)*((Assumptions!$C$26*AJ41)+(Assumptions!$C$27*(AJ34+AJ37))))+((Assumptions!$C$24*Assumptions!$C$25)*AJ41))</f>
        <v>325.37629518529</v>
      </c>
      <c r="AK175" s="9" t="n">
        <f aca="false">(((1-Assumptions!$C$24)*((Assumptions!$C$26*AK41)+(Assumptions!$C$27*(AK34+AK37))))+((Assumptions!$C$24*Assumptions!$C$25)*AK41))</f>
        <v>344.55583089195</v>
      </c>
      <c r="AL175" s="9" t="n">
        <f aca="false">(((1-Assumptions!$C$24)*((Assumptions!$C$26*AL41)+(Assumptions!$C$27*(AL34+AL37))))+((Assumptions!$C$24*Assumptions!$C$25)*AL41))</f>
        <v>360.110490142937</v>
      </c>
      <c r="AN175" s="11" t="n">
        <f aca="false">SUM(C175:N175)</f>
        <v>0</v>
      </c>
      <c r="AO175" s="11" t="n">
        <f aca="false">SUM(O175:Z175)</f>
        <v>840.753256794393</v>
      </c>
      <c r="AP175" s="11" t="n">
        <f aca="false">SUM(AA175:AL175)</f>
        <v>3080.72412562797</v>
      </c>
    </row>
    <row r="176" customFormat="false" ht="15" hidden="false" customHeight="false" outlineLevel="0" collapsed="false">
      <c r="A176" s="0" t="s">
        <v>978</v>
      </c>
      <c r="B176" s="0" t="s">
        <v>230</v>
      </c>
      <c r="C176" s="9" t="n">
        <f aca="false">((C143*(Assumptions!$C$26+Assumptions!$C$55))+(C142*(Assumptions!$C$27+Assumptions!$C$56)))</f>
        <v>0</v>
      </c>
      <c r="D176" s="9" t="n">
        <f aca="false">((D143*(Assumptions!$C$26+Assumptions!$C$55))+(D142*(Assumptions!$C$27+Assumptions!$C$56)))</f>
        <v>0</v>
      </c>
      <c r="E176" s="9" t="n">
        <f aca="false">((E143*(Assumptions!$C$26+Assumptions!$C$55))+(E142*(Assumptions!$C$27+Assumptions!$C$56)))</f>
        <v>0</v>
      </c>
      <c r="F176" s="9" t="n">
        <f aca="false">((F143*(Assumptions!$C$26+Assumptions!$C$55))+(F142*(Assumptions!$C$27+Assumptions!$C$56)))</f>
        <v>0</v>
      </c>
      <c r="G176" s="9" t="n">
        <f aca="false">((G143*(Assumptions!$C$26+Assumptions!$C$55))+(G142*(Assumptions!$C$27+Assumptions!$C$56)))</f>
        <v>0</v>
      </c>
      <c r="H176" s="9" t="n">
        <f aca="false">((H143*(Assumptions!$C$26+Assumptions!$C$55))+(H142*(Assumptions!$C$27+Assumptions!$C$56)))</f>
        <v>0</v>
      </c>
      <c r="I176" s="9" t="n">
        <f aca="false">((I143*(Assumptions!$C$26+Assumptions!$C$55))+(I142*(Assumptions!$C$27+Assumptions!$C$56)))</f>
        <v>0</v>
      </c>
      <c r="J176" s="9" t="n">
        <f aca="false">((J143*(Assumptions!$C$26+Assumptions!$C$55))+(J142*(Assumptions!$C$27+Assumptions!$C$56)))</f>
        <v>0</v>
      </c>
      <c r="K176" s="9" t="n">
        <f aca="false">((K143*(Assumptions!$C$26+Assumptions!$C$55))+(K142*(Assumptions!$C$27+Assumptions!$C$56)))</f>
        <v>0</v>
      </c>
      <c r="L176" s="9" t="n">
        <f aca="false">((L143*(Assumptions!$C$26+Assumptions!$C$55))+(L142*(Assumptions!$C$27+Assumptions!$C$56)))</f>
        <v>0</v>
      </c>
      <c r="M176" s="9" t="n">
        <f aca="false">((M143*(Assumptions!$C$26+Assumptions!$C$55))+(M142*(Assumptions!$C$27+Assumptions!$C$56)))</f>
        <v>0</v>
      </c>
      <c r="N176" s="9" t="n">
        <f aca="false">((N143*(Assumptions!$C$26+Assumptions!$C$55))+(N142*(Assumptions!$C$27+Assumptions!$C$56)))</f>
        <v>0</v>
      </c>
      <c r="O176" s="9" t="n">
        <f aca="false">((O143*(Assumptions!$C$26+Assumptions!$C$55))+(O142*(Assumptions!$C$27+Assumptions!$C$56)))</f>
        <v>0</v>
      </c>
      <c r="P176" s="9" t="n">
        <f aca="false">((P143*(Assumptions!$C$26+Assumptions!$C$55))+(P142*(Assumptions!$C$27+Assumptions!$C$56)))</f>
        <v>0</v>
      </c>
      <c r="Q176" s="9" t="n">
        <f aca="false">((Q143*(Assumptions!$C$26+Assumptions!$C$55))+(Q142*(Assumptions!$C$27+Assumptions!$C$56)))</f>
        <v>0</v>
      </c>
      <c r="R176" s="9" t="n">
        <f aca="false">((R143*(Assumptions!$C$26+Assumptions!$C$55))+(R142*(Assumptions!$C$27+Assumptions!$C$56)))</f>
        <v>0</v>
      </c>
      <c r="S176" s="9" t="n">
        <f aca="false">((S143*(Assumptions!$C$26+Assumptions!$C$55))+(S142*(Assumptions!$C$27+Assumptions!$C$56)))</f>
        <v>0</v>
      </c>
      <c r="T176" s="9" t="n">
        <f aca="false">((T143*(Assumptions!$C$26+Assumptions!$C$55))+(T142*(Assumptions!$C$27+Assumptions!$C$56)))</f>
        <v>0</v>
      </c>
      <c r="U176" s="9" t="n">
        <f aca="false">((U143*(Assumptions!$C$26+Assumptions!$C$55))+(U142*(Assumptions!$C$27+Assumptions!$C$56)))</f>
        <v>0</v>
      </c>
      <c r="V176" s="9" t="n">
        <f aca="false">((V143*(Assumptions!$C$26+Assumptions!$C$55))+(V142*(Assumptions!$C$27+Assumptions!$C$56)))</f>
        <v>0</v>
      </c>
      <c r="W176" s="9" t="n">
        <f aca="false">((W143*(Assumptions!$C$26+Assumptions!$C$55))+(W142*(Assumptions!$C$27+Assumptions!$C$56)))</f>
        <v>0</v>
      </c>
      <c r="X176" s="9" t="n">
        <f aca="false">((X143*(Assumptions!$C$26+Assumptions!$C$55))+(X142*(Assumptions!$C$27+Assumptions!$C$56)))</f>
        <v>0</v>
      </c>
      <c r="Y176" s="9" t="n">
        <f aca="false">((Y143*(Assumptions!$C$26+Assumptions!$C$55))+(Y142*(Assumptions!$C$27+Assumptions!$C$56)))</f>
        <v>0</v>
      </c>
      <c r="Z176" s="9" t="n">
        <f aca="false">((Z143*(Assumptions!$C$26+Assumptions!$C$55))+(Z142*(Assumptions!$C$27+Assumptions!$C$56)))</f>
        <v>0</v>
      </c>
      <c r="AA176" s="9" t="n">
        <f aca="false">((AA143*(Assumptions!$C$26+Assumptions!$C$55))+(AA142*(Assumptions!$C$27+Assumptions!$C$56)))</f>
        <v>0</v>
      </c>
      <c r="AB176" s="9" t="n">
        <f aca="false">((AB143*(Assumptions!$C$26+Assumptions!$C$55))+(AB142*(Assumptions!$C$27+Assumptions!$C$56)))</f>
        <v>0</v>
      </c>
      <c r="AC176" s="9" t="n">
        <f aca="false">((AC143*(Assumptions!$C$26+Assumptions!$C$55))+(AC142*(Assumptions!$C$27+Assumptions!$C$56)))</f>
        <v>0</v>
      </c>
      <c r="AD176" s="9" t="n">
        <f aca="false">((AD143*(Assumptions!$C$26+Assumptions!$C$55))+(AD142*(Assumptions!$C$27+Assumptions!$C$56)))</f>
        <v>0</v>
      </c>
      <c r="AE176" s="9" t="n">
        <f aca="false">((AE143*(Assumptions!$C$26+Assumptions!$C$55))+(AE142*(Assumptions!$C$27+Assumptions!$C$56)))</f>
        <v>0</v>
      </c>
      <c r="AF176" s="9" t="n">
        <f aca="false">((AF143*(Assumptions!$C$26+Assumptions!$C$55))+(AF142*(Assumptions!$C$27+Assumptions!$C$56)))</f>
        <v>0</v>
      </c>
      <c r="AG176" s="9" t="n">
        <f aca="false">((AG143*(Assumptions!$C$26+Assumptions!$C$55))+(AG142*(Assumptions!$C$27+Assumptions!$C$56)))</f>
        <v>643.2</v>
      </c>
      <c r="AH176" s="9" t="n">
        <f aca="false">((AH143*(Assumptions!$C$26+Assumptions!$C$55))+(AH142*(Assumptions!$C$27+Assumptions!$C$56)))</f>
        <v>858.672</v>
      </c>
      <c r="AI176" s="9" t="n">
        <f aca="false">((AI143*(Assumptions!$C$26+Assumptions!$C$55))+(AI142*(Assumptions!$C$27+Assumptions!$C$56)))</f>
        <v>1065.52512</v>
      </c>
      <c r="AJ176" s="9" t="n">
        <f aca="false">((AJ143*(Assumptions!$C$26+Assumptions!$C$55))+(AJ142*(Assumptions!$C$27+Assumptions!$C$56)))</f>
        <v>1264.1041152</v>
      </c>
      <c r="AK176" s="9" t="n">
        <f aca="false">((AK143*(Assumptions!$C$26+Assumptions!$C$55))+(AK142*(Assumptions!$C$27+Assumptions!$C$56)))</f>
        <v>1454.739950592</v>
      </c>
      <c r="AL176" s="9" t="n">
        <f aca="false">((AL143*(Assumptions!$C$26+Assumptions!$C$55))+(AL142*(Assumptions!$C$27+Assumptions!$C$56)))</f>
        <v>1637.75035256832</v>
      </c>
      <c r="AN176" s="11" t="n">
        <f aca="false">SUM(C176:N176)</f>
        <v>0</v>
      </c>
      <c r="AO176" s="11" t="n">
        <f aca="false">SUM(O176:Z176)</f>
        <v>0</v>
      </c>
      <c r="AP176" s="11" t="n">
        <f aca="false">SUM(AA176:AL176)</f>
        <v>6923.99153836032</v>
      </c>
    </row>
    <row r="177" customFormat="false" ht="15" hidden="false" customHeight="false" outlineLevel="0" collapsed="false">
      <c r="A177" s="0" t="s">
        <v>979</v>
      </c>
      <c r="B177" s="0" t="s">
        <v>230</v>
      </c>
      <c r="C177" s="9" t="n">
        <f aca="false">(((((((C158+C159)+C160)+C161)+C162)+C163)+C165)+C170)</f>
        <v>67.1082984</v>
      </c>
      <c r="D177" s="9" t="n">
        <f aca="false">(((((((D158+D159)+D160)+D161)+D162)+D163)+D165)+D170)</f>
        <v>119.24628408</v>
      </c>
      <c r="E177" s="9" t="n">
        <f aca="false">(((((((E158+E159)+E160)+E161)+E162)+E163)+E165)+E170)</f>
        <v>157.13872666272</v>
      </c>
      <c r="F177" s="9" t="n">
        <f aca="false">(((((((F158+F159)+F160)+F161)+F162)+F163)+F165)+F170)</f>
        <v>187.467960772224</v>
      </c>
      <c r="G177" s="9" t="n">
        <f aca="false">(((((((G158+G159)+G160)+G161)+G162)+G163)+G165)+G170)</f>
        <v>297.214873120236</v>
      </c>
      <c r="H177" s="9" t="n">
        <f aca="false">(((((((H158+H159)+H160)+H161)+H162)+H163)+H165)+H170)</f>
        <v>307.266708535075</v>
      </c>
      <c r="I177" s="9" t="n">
        <f aca="false">(((((((I158+I159)+I160)+I161)+I162)+I163)+I165)+I170)</f>
        <v>332.830063712377</v>
      </c>
      <c r="J177" s="9" t="n">
        <f aca="false">(((((((J158+J159)+J160)+J161)+J162)+J163)+J165)+J170)</f>
        <v>816.343924926783</v>
      </c>
      <c r="K177" s="9" t="n">
        <f aca="false">(((((((K158+K159)+K160)+K161)+K162)+K163)+K165)+K170)</f>
        <v>924.228694930789</v>
      </c>
      <c r="L177" s="9" t="n">
        <f aca="false">(((((((L158+L159)+L160)+L161)+L162)+L163)+L165)+L170)</f>
        <v>967.003512527865</v>
      </c>
      <c r="M177" s="9" t="n">
        <f aca="false">(((((((M158+M159)+M160)+M161)+M162)+M163)+M165)+M170)</f>
        <v>898.771831947364</v>
      </c>
      <c r="N177" s="9" t="n">
        <f aca="false">(((((((N158+N159)+N160)+N161)+N162)+N163)+N165)+N170)</f>
        <v>1065.75389955487</v>
      </c>
      <c r="O177" s="9" t="n">
        <f aca="false">(((((((O158+O159)+O160)+O161)+O162)+O163)+O165)+O170)</f>
        <v>1801.03530340202</v>
      </c>
      <c r="P177" s="9" t="n">
        <f aca="false">(((((((P158+P159)+P160)+P161)+P162)+P163)+P165)+P170)</f>
        <v>1917.58186962462</v>
      </c>
      <c r="Q177" s="9" t="n">
        <f aca="false">(((((((Q158+Q159)+Q160)+Q161)+Q162)+Q163)+Q165)+Q170)</f>
        <v>2960.33318287158</v>
      </c>
      <c r="R177" s="9" t="n">
        <f aca="false">(((((((R158+R159)+R160)+R161)+R162)+R163)+R165)+R170)</f>
        <v>3746.38925227151</v>
      </c>
      <c r="S177" s="9" t="n">
        <f aca="false">(((((((S158+S159)+S160)+S161)+S162)+S163)+S165)+S170)</f>
        <v>3936.46445269293</v>
      </c>
      <c r="T177" s="9" t="n">
        <f aca="false">(((((((T158+T159)+T160)+T161)+T162)+T163)+T165)+T170)</f>
        <v>4067.75725546303</v>
      </c>
      <c r="U177" s="9" t="n">
        <f aca="false">(((((((U158+U159)+U160)+U161)+U162)+U163)+U165)+U170)</f>
        <v>4779.60193844442</v>
      </c>
      <c r="V177" s="9" t="n">
        <f aca="false">(((((((V158+V159)+V160)+V161)+V162)+V163)+V165)+V170)</f>
        <v>5615.32825106892</v>
      </c>
      <c r="W177" s="9" t="n">
        <f aca="false">(((((((W158+W159)+W160)+W161)+W162)+W163)+W165)+W170)</f>
        <v>6384.25183250539</v>
      </c>
      <c r="X177" s="9" t="n">
        <f aca="false">(((((((X158+X159)+X160)+X161)+X162)+X163)+X165)+X170)</f>
        <v>6793.40427816699</v>
      </c>
      <c r="Y177" s="9" t="n">
        <f aca="false">(((((((Y158+Y159)+Y160)+Y161)+Y162)+Y163)+Y165)+Y170)</f>
        <v>7878.24666233818</v>
      </c>
      <c r="Z177" s="9" t="n">
        <f aca="false">(((((((Z158+Z159)+Z160)+Z161)+Z162)+Z163)+Z165)+Z170)</f>
        <v>7922.92978669905</v>
      </c>
      <c r="AA177" s="9" t="n">
        <f aca="false">(((((((AA158+AA159)+AA160)+AA161)+AA162)+AA163)+AA165)+AA170)</f>
        <v>8586.02246036579</v>
      </c>
      <c r="AB177" s="9" t="n">
        <f aca="false">(((((((AB158+AB159)+AB160)+AB161)+AB162)+AB163)+AB165)+AB170)</f>
        <v>11120.7030717519</v>
      </c>
      <c r="AC177" s="9" t="n">
        <f aca="false">(((((((AC158+AC159)+AC160)+AC161)+AC162)+AC163)+AC165)+AC170)</f>
        <v>11274.833912179</v>
      </c>
      <c r="AD177" s="9" t="n">
        <f aca="false">(((((((AD158+AD159)+AD160)+AD161)+AD162)+AD163)+AD165)+AD170)</f>
        <v>11911.139288632</v>
      </c>
      <c r="AE177" s="9" t="n">
        <f aca="false">(((((((AE158+AE159)+AE160)+AE161)+AE162)+AE163)+AE165)+AE170)</f>
        <v>14328.6121170545</v>
      </c>
      <c r="AF177" s="9" t="n">
        <f aca="false">(((((((AF158+AF159)+AF160)+AF161)+AF162)+AF163)+AF165)+AF170)</f>
        <v>15676.1149954033</v>
      </c>
      <c r="AG177" s="9" t="n">
        <f aca="false">(((((((AG158+AG159)+AG160)+AG161)+AG162)+AG163)+AG165)+AG170)</f>
        <v>16181.1091539567</v>
      </c>
      <c r="AH177" s="9" t="n">
        <f aca="false">(((((((AH158+AH159)+AH160)+AH161)+AH162)+AH163)+AH165)+AH170)</f>
        <v>19511.1705332133</v>
      </c>
      <c r="AI177" s="9" t="n">
        <f aca="false">(((((((AI158+AI159)+AI160)+AI161)+AI162)+AI163)+AI165)+AI170)</f>
        <v>20413.6332297693</v>
      </c>
      <c r="AJ177" s="9" t="n">
        <f aca="false">(((((((AJ158+AJ159)+AJ160)+AJ161)+AJ162)+AJ163)+AJ165)+AJ170)</f>
        <v>20779.6361481388</v>
      </c>
      <c r="AK177" s="9" t="n">
        <f aca="false">(((((((AK158+AK159)+AK160)+AK161)+AK162)+AK163)+AK165)+AK170)</f>
        <v>25186.4522980172</v>
      </c>
      <c r="AL177" s="9" t="n">
        <f aca="false">(((((((AL158+AL159)+AL160)+AL161)+AL162)+AL163)+AL165)+AL170)</f>
        <v>29103.8379438957</v>
      </c>
      <c r="AN177" s="11" t="n">
        <f aca="false">SUM(C177:N177)</f>
        <v>6140.3747791703</v>
      </c>
      <c r="AO177" s="11" t="n">
        <f aca="false">SUM(O177:Z177)</f>
        <v>57803.3240655486</v>
      </c>
      <c r="AP177" s="11" t="n">
        <f aca="false">SUM(AA177:AL177)</f>
        <v>204073.265152378</v>
      </c>
    </row>
    <row r="178" customFormat="false" ht="15" hidden="false" customHeight="false" outlineLevel="0" collapsed="false">
      <c r="A178" s="0" t="s">
        <v>980</v>
      </c>
      <c r="B178" s="0" t="s">
        <v>193</v>
      </c>
      <c r="C178" s="12" t="n">
        <f aca="false">((C29+C39)/C157)</f>
        <v>1</v>
      </c>
      <c r="D178" s="12" t="n">
        <f aca="false">((D29+D39)/D157)</f>
        <v>1</v>
      </c>
      <c r="E178" s="12" t="n">
        <f aca="false">((E29+E39)/E157)</f>
        <v>1</v>
      </c>
      <c r="F178" s="12" t="n">
        <f aca="false">((F29+F39)/F157)</f>
        <v>1</v>
      </c>
      <c r="G178" s="12" t="n">
        <f aca="false">((G29+G39)/G157)</f>
        <v>0.772132420682723</v>
      </c>
      <c r="H178" s="12" t="n">
        <f aca="false">((H29+H39)/H157)</f>
        <v>0.780481144106528</v>
      </c>
      <c r="I178" s="12" t="n">
        <f aca="false">((I29+I39)/I157)</f>
        <v>0.799191896630727</v>
      </c>
      <c r="J178" s="12" t="n">
        <f aca="false">((J29+J39)/J157)</f>
        <v>0.518532526474918</v>
      </c>
      <c r="K178" s="12" t="n">
        <f aca="false">((K29+K39)/K157)</f>
        <v>0.587407074545753</v>
      </c>
      <c r="L178" s="12" t="n">
        <f aca="false">((L29+L39)/L157)</f>
        <v>0.609552425383973</v>
      </c>
      <c r="M178" s="12" t="n">
        <f aca="false">((M29+M39)/M157)</f>
        <v>0.670522004654715</v>
      </c>
      <c r="N178" s="12" t="n">
        <f aca="false">((N29+N39)/N157)</f>
        <v>0.593912400494029</v>
      </c>
      <c r="O178" s="12" t="n">
        <f aca="false">((O29+O39)/O157)</f>
        <v>0.73642687804442</v>
      </c>
      <c r="P178" s="12" t="n">
        <f aca="false">((P29+P39)/P157)</f>
        <v>0.910228013971326</v>
      </c>
      <c r="Q178" s="12" t="n">
        <f aca="false">((Q29+Q39)/Q157)</f>
        <v>0.77354584722746</v>
      </c>
      <c r="R178" s="12" t="n">
        <f aca="false">((R29+R39)/R157)</f>
        <v>0.719784861701301</v>
      </c>
      <c r="S178" s="12" t="n">
        <f aca="false">((S29+S39)/S157)</f>
        <v>0.734621001516623</v>
      </c>
      <c r="T178" s="12" t="n">
        <f aca="false">((T29+T39)/T157)</f>
        <v>0.743731820647106</v>
      </c>
      <c r="U178" s="12" t="n">
        <f aca="false">((U29+U39)/U157)</f>
        <v>0.700659170921087</v>
      </c>
      <c r="V178" s="12" t="n">
        <f aca="false">((V29+V39)/V157)</f>
        <v>0.73098193760318</v>
      </c>
      <c r="W178" s="12" t="n">
        <f aca="false">((W29+W39)/W157)</f>
        <v>0.767291412823936</v>
      </c>
      <c r="X178" s="12" t="n">
        <f aca="false">((X29+X39)/X157)</f>
        <v>0.771228014520735</v>
      </c>
      <c r="Y178" s="12" t="n">
        <f aca="false">((Y29+Y39)/Y157)</f>
        <v>0.710195113393224</v>
      </c>
      <c r="Z178" s="12" t="n">
        <f aca="false">((Z29+Z39)/Z157)</f>
        <v>0.713479641934038</v>
      </c>
      <c r="AA178" s="12" t="n">
        <f aca="false">((AA29+AA39)/AA157)</f>
        <v>0.729182188339292</v>
      </c>
      <c r="AB178" s="12" t="n">
        <f aca="false">((AB29+AB39)/AB157)</f>
        <v>0.629617716959168</v>
      </c>
      <c r="AC178" s="12" t="n">
        <f aca="false">((AC29+AC39)/AC157)</f>
        <v>0.641698168284302</v>
      </c>
      <c r="AD178" s="12" t="n">
        <f aca="false">((AD29+AD39)/AD157)</f>
        <v>0.626161639777235</v>
      </c>
      <c r="AE178" s="12" t="n">
        <f aca="false">((AE29+AE39)/AE157)</f>
        <v>0.539454991949415</v>
      </c>
      <c r="AF178" s="12" t="n">
        <f aca="false">((AF29+AF39)/AF157)</f>
        <v>0.496605979094404</v>
      </c>
      <c r="AG178" s="12" t="n">
        <f aca="false">((AG29+AG39)/AG157)</f>
        <v>0.49061672041516</v>
      </c>
      <c r="AH178" s="12" t="n">
        <f aca="false">((AH29+AH39)/AH157)</f>
        <v>0.463842332989963</v>
      </c>
      <c r="AI178" s="12" t="n">
        <f aca="false">((AI29+AI39)/AI157)</f>
        <v>0.493875182588499</v>
      </c>
      <c r="AJ178" s="12" t="n">
        <f aca="false">((AJ29+AJ39)/AJ157)</f>
        <v>0.499911602681046</v>
      </c>
      <c r="AK178" s="12" t="n">
        <f aca="false">((AK29+AK39)/AK157)</f>
        <v>0.428484597629791</v>
      </c>
      <c r="AL178" s="12" t="n">
        <f aca="false">((AL29+AL39)/AL157)</f>
        <v>0.374948923214769</v>
      </c>
    </row>
    <row r="179" customFormat="false" ht="15" hidden="false" customHeight="false" outlineLevel="0" collapsed="false">
      <c r="A179" s="0" t="s">
        <v>981</v>
      </c>
      <c r="B179" s="0" t="s">
        <v>230</v>
      </c>
      <c r="C179" s="9" t="n">
        <f aca="false">(C175+(C177*C178))</f>
        <v>67.1082984</v>
      </c>
      <c r="D179" s="9" t="n">
        <f aca="false">(D175+(D177*D178))</f>
        <v>119.24628408</v>
      </c>
      <c r="E179" s="9" t="n">
        <f aca="false">(E175+(E177*E178))</f>
        <v>157.13872666272</v>
      </c>
      <c r="F179" s="9" t="n">
        <f aca="false">(F175+(F177*F178))</f>
        <v>187.467960772224</v>
      </c>
      <c r="G179" s="9" t="n">
        <f aca="false">(G175+(G177*G178))</f>
        <v>229.489239445236</v>
      </c>
      <c r="H179" s="9" t="n">
        <f aca="false">(H175+(H177*H178))</f>
        <v>239.815872223302</v>
      </c>
      <c r="I179" s="9" t="n">
        <f aca="false">(I175+(I177*I178))</f>
        <v>265.99508987402</v>
      </c>
      <c r="J179" s="9" t="n">
        <f aca="false">(J175+(J177*J178))</f>
        <v>423.300877864735</v>
      </c>
      <c r="K179" s="9" t="n">
        <f aca="false">(K175+(K177*K178))</f>
        <v>542.898473900534</v>
      </c>
      <c r="L179" s="9" t="n">
        <f aca="false">(L175+(L177*L178))</f>
        <v>589.439336416181</v>
      </c>
      <c r="M179" s="9" t="n">
        <f aca="false">(M175+(M177*M178))</f>
        <v>602.646290484537</v>
      </c>
      <c r="N179" s="9" t="n">
        <f aca="false">(N175+(N177*N178))</f>
        <v>632.964456820504</v>
      </c>
      <c r="O179" s="9" t="n">
        <f aca="false">(O175+(O177*O178))</f>
        <v>1334.55207507217</v>
      </c>
      <c r="P179" s="9" t="n">
        <f aca="false">(P175+(P177*P178))</f>
        <v>1765.29573633</v>
      </c>
      <c r="Q179" s="9" t="n">
        <f aca="false">(Q175+(Q177*Q178))</f>
        <v>2320.97694771426</v>
      </c>
      <c r="R179" s="9" t="n">
        <f aca="false">(R175+(R177*R178))</f>
        <v>2737.99023353199</v>
      </c>
      <c r="S179" s="9" t="n">
        <f aca="false">(S175+(S177*S178))</f>
        <v>2943.22481938397</v>
      </c>
      <c r="T179" s="9" t="n">
        <f aca="false">(T175+(T177*T178))</f>
        <v>3085.48375977196</v>
      </c>
      <c r="U179" s="9" t="n">
        <f aca="false">(U175+(U177*U178))</f>
        <v>3417.04670420147</v>
      </c>
      <c r="V179" s="9" t="n">
        <f aca="false">(V175+(V177*V178))</f>
        <v>4182.48617692478</v>
      </c>
      <c r="W179" s="9" t="n">
        <f aca="false">(W175+(W177*W178))</f>
        <v>4993.75895996599</v>
      </c>
      <c r="X179" s="9" t="n">
        <f aca="false">(X175+(X177*X178))</f>
        <v>5354.48178007602</v>
      </c>
      <c r="Y179" s="9" t="n">
        <f aca="false">(Y175+(Y177*Y178))</f>
        <v>5724.84891184074</v>
      </c>
      <c r="Z179" s="9" t="n">
        <f aca="false">(Z175+(Z177*Z178))</f>
        <v>5795.41452002573</v>
      </c>
      <c r="AA179" s="9" t="n">
        <f aca="false">(AA175+(AA177*AA178))</f>
        <v>6417.79137165687</v>
      </c>
      <c r="AB179" s="9" t="n">
        <f aca="false">(AB175+(AB177*AB178))</f>
        <v>7181.75291275535</v>
      </c>
      <c r="AC179" s="9" t="n">
        <f aca="false">(AC175+(AC177*AC178))</f>
        <v>7435.21393154497</v>
      </c>
      <c r="AD179" s="9" t="n">
        <f aca="false">(AD175+(AD177*AD178))</f>
        <v>7675.71266523901</v>
      </c>
      <c r="AE179" s="9" t="n">
        <f aca="false">(AE175+(AE177*AE178))</f>
        <v>7962.53410305424</v>
      </c>
      <c r="AF179" s="9" t="n">
        <f aca="false">(AF175+(AF177*AF178))</f>
        <v>8029.91651853927</v>
      </c>
      <c r="AG179" s="9" t="n">
        <f aca="false">(AG175+(AG177*AG178))</f>
        <v>8193.97240167692</v>
      </c>
      <c r="AH179" s="9" t="n">
        <f aca="false">(AH175+(AH177*AH178))</f>
        <v>9318.1458678411</v>
      </c>
      <c r="AI179" s="9" t="n">
        <f aca="false">(AI175+(AI177*AI178))</f>
        <v>10376.6570145093</v>
      </c>
      <c r="AJ179" s="9" t="n">
        <f aca="false">(AJ175+(AJ177*AJ178))</f>
        <v>10713.3575051304</v>
      </c>
      <c r="AK179" s="9" t="n">
        <f aca="false">(AK175+(AK177*AK178))</f>
        <v>11136.5627095298</v>
      </c>
      <c r="AL179" s="9" t="n">
        <f aca="false">(AL175+(AL177*AL178))</f>
        <v>11272.5631886238</v>
      </c>
      <c r="AN179" s="11" t="n">
        <f aca="false">SUM(C179:N179)</f>
        <v>4057.51090694399</v>
      </c>
      <c r="AO179" s="11" t="n">
        <f aca="false">SUM(O179:Z179)</f>
        <v>43655.5606248391</v>
      </c>
      <c r="AP179" s="11" t="n">
        <f aca="false">SUM(AA179:AL179)</f>
        <v>105714.180190101</v>
      </c>
    </row>
    <row r="180" customFormat="false" ht="15" hidden="false" customHeight="false" outlineLevel="0" collapsed="false">
      <c r="A180" s="0" t="s">
        <v>982</v>
      </c>
      <c r="B180" s="0" t="s">
        <v>230</v>
      </c>
      <c r="C180" s="9" t="n">
        <f aca="false">(((C177*(1-C178))+C168)+C173)</f>
        <v>0</v>
      </c>
      <c r="D180" s="9" t="n">
        <f aca="false">(((D177*(1-D178))+D168)+D173)</f>
        <v>0</v>
      </c>
      <c r="E180" s="9" t="n">
        <f aca="false">(((E177*(1-E178))+E168)+E173)</f>
        <v>0</v>
      </c>
      <c r="F180" s="9" t="n">
        <f aca="false">(((F177*(1-F178))+F168)+F173)</f>
        <v>0</v>
      </c>
      <c r="G180" s="9" t="n">
        <f aca="false">(((G177*(1-G178))+G168)+G173)</f>
        <v>372.725633675</v>
      </c>
      <c r="H180" s="9" t="n">
        <f aca="false">(((H177*(1-H178))+H168)+H173)</f>
        <v>372.450836311773</v>
      </c>
      <c r="I180" s="9" t="n">
        <f aca="false">(((I177*(1-I178))+I168)+I173)</f>
        <v>371.834973838357</v>
      </c>
      <c r="J180" s="9" t="n">
        <f aca="false">(((J177*(1-J178))+J168)+J173)</f>
        <v>1003.04304706205</v>
      </c>
      <c r="K180" s="9" t="n">
        <f aca="false">(((K177*(1-K178))+K168)+K173)</f>
        <v>991.330221030255</v>
      </c>
      <c r="L180" s="9" t="n">
        <f aca="false">(((L177*(1-L178))+L168)+L173)</f>
        <v>987.564176111684</v>
      </c>
      <c r="M180" s="9" t="n">
        <f aca="false">(((M177*(1-M178))+M168)+M173)</f>
        <v>601.125541462827</v>
      </c>
      <c r="N180" s="9" t="n">
        <f aca="false">(((N177*(1-N178))+N168)+N173)</f>
        <v>920.789442734364</v>
      </c>
      <c r="O180" s="9" t="n">
        <f aca="false">(((O177*(1-O178))+O168)+O173)</f>
        <v>1267.70449766989</v>
      </c>
      <c r="P180" s="9" t="n">
        <f aca="false">(((P177*(1-P178))+P168)+P173)</f>
        <v>660.14513280878</v>
      </c>
      <c r="Q180" s="9" t="n">
        <f aca="false">(((Q177*(1-Q178))+Q168)+Q173)</f>
        <v>1341.37974285162</v>
      </c>
      <c r="R180" s="9" t="n">
        <f aca="false">(((R177*(1-R178))+R168)+R173)</f>
        <v>2330.79498244602</v>
      </c>
      <c r="S180" s="9" t="n">
        <f aca="false">(((S177*(1-S178))+S168)+S173)</f>
        <v>2325.65499402106</v>
      </c>
      <c r="T180" s="9" t="n">
        <f aca="false">(((T177*(1-T178))+T168)+T173)</f>
        <v>12490.1034125737</v>
      </c>
      <c r="U180" s="9" t="n">
        <f aca="false">(((U177*(1-U178))+U168)+U173)</f>
        <v>13488.3966735878</v>
      </c>
      <c r="V180" s="9" t="n">
        <f aca="false">(((V177*(1-V178))+V168)+V173)</f>
        <v>13720.7913924914</v>
      </c>
      <c r="W180" s="9" t="n">
        <f aca="false">(((W177*(1-W178))+W168)+W173)</f>
        <v>13695.8368907852</v>
      </c>
      <c r="X180" s="9" t="n">
        <f aca="false">(((X177*(1-X178))+X168)+X173)</f>
        <v>14069.3072515463</v>
      </c>
      <c r="Y180" s="9" t="n">
        <f aca="false">(((Y177*(1-Y178))+Y168)+Y173)</f>
        <v>15393.0710473058</v>
      </c>
      <c r="Z180" s="9" t="n">
        <f aca="false">(((Z177*(1-Z178))+Z168)+Z173)</f>
        <v>15358.0373460832</v>
      </c>
      <c r="AA180" s="9" t="n">
        <f aca="false">(((AA177*(1-AA178))+AA168)+AA173)</f>
        <v>15718.2044802526</v>
      </c>
      <c r="AB180" s="9" t="n">
        <f aca="false">(((AB177*(1-AB178))+AB168)+AB173)</f>
        <v>18564.1180594013</v>
      </c>
      <c r="AC180" s="9" t="n">
        <f aca="false">(((AC177*(1-AC178))+AC168)+AC173)</f>
        <v>18463.0403096907</v>
      </c>
      <c r="AD180" s="9" t="n">
        <f aca="false">(((AD177*(1-AD178))+AD168)+AD173)</f>
        <v>19486.0874467138</v>
      </c>
      <c r="AE180" s="9" t="n">
        <f aca="false">(((AE177*(1-AE178))+AE168)+AE173)</f>
        <v>22989.4674494692</v>
      </c>
      <c r="AF180" s="9" t="n">
        <f aca="false">(((AF177*(1-AF178))+AF168)+AF173)</f>
        <v>34753.4258930479</v>
      </c>
      <c r="AG180" s="9" t="n">
        <f aca="false">(((AG177*(1-AG178))+AG168)+AG173)</f>
        <v>35409.5497814961</v>
      </c>
      <c r="AH180" s="9" t="n">
        <f aca="false">(((AH177*(1-AH178))+AH168)+AH173)</f>
        <v>39119.677007056</v>
      </c>
      <c r="AI180" s="9" t="n">
        <f aca="false">(((AI177*(1-AI178))+AI168)+AI173)</f>
        <v>38990.4597244557</v>
      </c>
      <c r="AJ180" s="9" t="n">
        <f aca="false">(((AJ177*(1-AJ178))+AJ168)+AJ173)</f>
        <v>39355.2682715271</v>
      </c>
      <c r="AK180" s="9" t="n">
        <f aca="false">(((AK177*(1-AK178))+AK168)+AK173)</f>
        <v>45543.6887527127</v>
      </c>
      <c r="AL180" s="9" t="n">
        <f aca="false">(((AL177*(1-AL178))+AL168)+AL173)</f>
        <v>49626.3037787482</v>
      </c>
      <c r="AN180" s="11" t="n">
        <f aca="false">SUM(C180:N180)</f>
        <v>5620.86387222631</v>
      </c>
      <c r="AO180" s="11" t="n">
        <f aca="false">SUM(O180:Z180)</f>
        <v>106141.223364171</v>
      </c>
      <c r="AP180" s="11" t="n">
        <f aca="false">SUM(AA180:AL180)</f>
        <v>378019.290954571</v>
      </c>
    </row>
    <row r="181" customFormat="false" ht="15" hidden="false" customHeight="false" outlineLevel="0" collapsed="false">
      <c r="A181" s="0" t="s">
        <v>983</v>
      </c>
      <c r="B181" s="0" t="s">
        <v>230</v>
      </c>
      <c r="C181" s="9" t="n">
        <f aca="false">((C164+C166)+C171)</f>
        <v>6000</v>
      </c>
      <c r="D181" s="9" t="n">
        <f aca="false">((D164+D166)+D171)</f>
        <v>6000</v>
      </c>
      <c r="E181" s="9" t="n">
        <f aca="false">((E164+E166)+E171)</f>
        <v>6000</v>
      </c>
      <c r="F181" s="9" t="n">
        <f aca="false">((F164+F166)+F171)</f>
        <v>6000</v>
      </c>
      <c r="G181" s="9" t="n">
        <f aca="false">((G164+G166)+G171)</f>
        <v>6000</v>
      </c>
      <c r="H181" s="9" t="n">
        <f aca="false">((H164+H166)+H171)</f>
        <v>6000</v>
      </c>
      <c r="I181" s="9" t="n">
        <f aca="false">((I164+I166)+I171)</f>
        <v>6000</v>
      </c>
      <c r="J181" s="9" t="n">
        <f aca="false">((J164+J166)+J171)</f>
        <v>6000</v>
      </c>
      <c r="K181" s="9" t="n">
        <f aca="false">((K164+K166)+K171)</f>
        <v>12303.3333333333</v>
      </c>
      <c r="L181" s="9" t="n">
        <f aca="false">((L164+L166)+L171)</f>
        <v>12303.3333333333</v>
      </c>
      <c r="M181" s="9" t="n">
        <f aca="false">((M164+M166)+M171)</f>
        <v>12303.3333333333</v>
      </c>
      <c r="N181" s="9" t="n">
        <f aca="false">((N164+N166)+N171)</f>
        <v>12303.3333333333</v>
      </c>
      <c r="O181" s="9" t="n">
        <f aca="false">((O164+O166)+O171)</f>
        <v>18303.3333333333</v>
      </c>
      <c r="P181" s="9" t="n">
        <f aca="false">((P164+P166)+P171)</f>
        <v>18303.3333333333</v>
      </c>
      <c r="Q181" s="9" t="n">
        <f aca="false">((Q164+Q166)+Q171)</f>
        <v>18303.3333333333</v>
      </c>
      <c r="R181" s="9" t="n">
        <f aca="false">((R164+R166)+R171)</f>
        <v>18303.3333333333</v>
      </c>
      <c r="S181" s="9" t="n">
        <f aca="false">((S164+S166)+S171)</f>
        <v>18303.3333333333</v>
      </c>
      <c r="T181" s="9" t="n">
        <f aca="false">((T164+T166)+T171)</f>
        <v>26945</v>
      </c>
      <c r="U181" s="9" t="n">
        <f aca="false">((U164+U166)+U171)</f>
        <v>26945</v>
      </c>
      <c r="V181" s="9" t="n">
        <f aca="false">((V164+V166)+V171)</f>
        <v>26945</v>
      </c>
      <c r="W181" s="9" t="n">
        <f aca="false">((W164+W166)+W171)</f>
        <v>26945</v>
      </c>
      <c r="X181" s="9" t="n">
        <f aca="false">((X164+X166)+X171)</f>
        <v>26945</v>
      </c>
      <c r="Y181" s="9" t="n">
        <f aca="false">((Y164+Y166)+Y171)</f>
        <v>26945</v>
      </c>
      <c r="Z181" s="9" t="n">
        <f aca="false">((Z164+Z166)+Z171)</f>
        <v>26945</v>
      </c>
      <c r="AA181" s="9" t="n">
        <f aca="false">((AA164+AA166)+AA171)</f>
        <v>35945</v>
      </c>
      <c r="AB181" s="9" t="n">
        <f aca="false">((AB164+AB166)+AB171)</f>
        <v>42248.3333333333</v>
      </c>
      <c r="AC181" s="9" t="n">
        <f aca="false">((AC164+AC166)+AC171)</f>
        <v>42248.3333333333</v>
      </c>
      <c r="AD181" s="9" t="n">
        <f aca="false">((AD164+AD166)+AD171)</f>
        <v>42248.3333333333</v>
      </c>
      <c r="AE181" s="9" t="n">
        <f aca="false">((AE164+AE166)+AE171)</f>
        <v>42248.3333333333</v>
      </c>
      <c r="AF181" s="9" t="n">
        <f aca="false">((AF164+AF166)+AF171)</f>
        <v>42248.3333333333</v>
      </c>
      <c r="AG181" s="9" t="n">
        <f aca="false">((AG164+AG166)+AG171)</f>
        <v>42248.3333333333</v>
      </c>
      <c r="AH181" s="9" t="n">
        <f aca="false">((AH164+AH166)+AH171)</f>
        <v>42248.3333333333</v>
      </c>
      <c r="AI181" s="9" t="n">
        <f aca="false">((AI164+AI166)+AI171)</f>
        <v>48551.6666666667</v>
      </c>
      <c r="AJ181" s="9" t="n">
        <f aca="false">((AJ164+AJ166)+AJ171)</f>
        <v>48551.6666666667</v>
      </c>
      <c r="AK181" s="9" t="n">
        <f aca="false">((AK164+AK166)+AK171)</f>
        <v>48551.6666666667</v>
      </c>
      <c r="AL181" s="9" t="n">
        <f aca="false">((AL164+AL166)+AL171)</f>
        <v>48551.6666666667</v>
      </c>
      <c r="AN181" s="11" t="n">
        <f aca="false">SUM(C181:N181)</f>
        <v>97213.3333333333</v>
      </c>
      <c r="AO181" s="11" t="n">
        <f aca="false">SUM(O181:Z181)</f>
        <v>280131.666666667</v>
      </c>
      <c r="AP181" s="11" t="n">
        <f aca="false">SUM(AA181:AL181)</f>
        <v>525890</v>
      </c>
    </row>
    <row r="182" customFormat="false" ht="15" hidden="false" customHeight="false" outlineLevel="0" collapsed="false">
      <c r="A182" s="0" t="s">
        <v>984</v>
      </c>
      <c r="B182" s="0" t="s">
        <v>230</v>
      </c>
      <c r="C182" s="9" t="n">
        <f aca="false">C172</f>
        <v>0</v>
      </c>
      <c r="D182" s="9" t="n">
        <f aca="false">D172</f>
        <v>0</v>
      </c>
      <c r="E182" s="9" t="n">
        <f aca="false">E172</f>
        <v>0</v>
      </c>
      <c r="F182" s="9" t="n">
        <f aca="false">F172</f>
        <v>0</v>
      </c>
      <c r="G182" s="9" t="n">
        <f aca="false">G172</f>
        <v>10166.6666666667</v>
      </c>
      <c r="H182" s="9" t="n">
        <f aca="false">H172</f>
        <v>10166.6666666667</v>
      </c>
      <c r="I182" s="9" t="n">
        <f aca="false">I172</f>
        <v>10166.6666666667</v>
      </c>
      <c r="J182" s="9" t="n">
        <f aca="false">J172</f>
        <v>10166.6666666667</v>
      </c>
      <c r="K182" s="9" t="n">
        <f aca="false">K172</f>
        <v>10166.6666666667</v>
      </c>
      <c r="L182" s="9" t="n">
        <f aca="false">L172</f>
        <v>10166.6666666667</v>
      </c>
      <c r="M182" s="9" t="n">
        <f aca="false">M172</f>
        <v>20333.3333333333</v>
      </c>
      <c r="N182" s="9" t="n">
        <f aca="false">N172</f>
        <v>20333.3333333333</v>
      </c>
      <c r="O182" s="9" t="n">
        <f aca="false">O172</f>
        <v>20333.3333333333</v>
      </c>
      <c r="P182" s="9" t="n">
        <f aca="false">P172</f>
        <v>20333.3333333333</v>
      </c>
      <c r="Q182" s="9" t="n">
        <f aca="false">Q172</f>
        <v>30500</v>
      </c>
      <c r="R182" s="9" t="n">
        <f aca="false">R172</f>
        <v>30500</v>
      </c>
      <c r="S182" s="9" t="n">
        <f aca="false">S172</f>
        <v>30500</v>
      </c>
      <c r="T182" s="9" t="n">
        <f aca="false">T172</f>
        <v>30500</v>
      </c>
      <c r="U182" s="9" t="n">
        <f aca="false">U172</f>
        <v>40666.6666666667</v>
      </c>
      <c r="V182" s="9" t="n">
        <f aca="false">V172</f>
        <v>40666.6666666667</v>
      </c>
      <c r="W182" s="9" t="n">
        <f aca="false">W172</f>
        <v>40666.6666666667</v>
      </c>
      <c r="X182" s="9" t="n">
        <f aca="false">X172</f>
        <v>50833.3333333333</v>
      </c>
      <c r="Y182" s="9" t="n">
        <f aca="false">Y172</f>
        <v>50833.3333333333</v>
      </c>
      <c r="Z182" s="9" t="n">
        <f aca="false">Z172</f>
        <v>50833.3333333333</v>
      </c>
      <c r="AA182" s="9" t="n">
        <f aca="false">AA172</f>
        <v>61000</v>
      </c>
      <c r="AB182" s="9" t="n">
        <f aca="false">AB172</f>
        <v>61000</v>
      </c>
      <c r="AC182" s="9" t="n">
        <f aca="false">AC172</f>
        <v>61000</v>
      </c>
      <c r="AD182" s="9" t="n">
        <f aca="false">AD172</f>
        <v>71166.6666666667</v>
      </c>
      <c r="AE182" s="9" t="n">
        <f aca="false">AE172</f>
        <v>71166.6666666667</v>
      </c>
      <c r="AF182" s="9" t="n">
        <f aca="false">AF172</f>
        <v>71166.6666666667</v>
      </c>
      <c r="AG182" s="9" t="n">
        <f aca="false">AG172</f>
        <v>81333.3333333333</v>
      </c>
      <c r="AH182" s="9" t="n">
        <f aca="false">AH172</f>
        <v>81333.3333333333</v>
      </c>
      <c r="AI182" s="9" t="n">
        <f aca="false">AI172</f>
        <v>81333.3333333333</v>
      </c>
      <c r="AJ182" s="9" t="n">
        <f aca="false">AJ172</f>
        <v>81333.3333333333</v>
      </c>
      <c r="AK182" s="9" t="n">
        <f aca="false">AK172</f>
        <v>81333.3333333333</v>
      </c>
      <c r="AL182" s="9" t="n">
        <f aca="false">AL172</f>
        <v>81333.3333333333</v>
      </c>
      <c r="AN182" s="11" t="n">
        <f aca="false">SUM(C182:N182)</f>
        <v>101666.666666667</v>
      </c>
      <c r="AO182" s="11" t="n">
        <f aca="false">SUM(O182:Z182)</f>
        <v>437166.666666667</v>
      </c>
      <c r="AP182" s="11" t="n">
        <f aca="false">SUM(AA182:AL182)</f>
        <v>884500</v>
      </c>
    </row>
    <row r="183" customFormat="false" ht="15" hidden="false" customHeight="false" outlineLevel="0" collapsed="false">
      <c r="A183" s="0" t="s">
        <v>985</v>
      </c>
      <c r="B183" s="0" t="s">
        <v>230</v>
      </c>
      <c r="C183" s="9" t="n">
        <f aca="false">(C176+C174)</f>
        <v>0</v>
      </c>
      <c r="D183" s="9" t="n">
        <f aca="false">(D176+D174)</f>
        <v>0</v>
      </c>
      <c r="E183" s="9" t="n">
        <f aca="false">(E176+E174)</f>
        <v>0</v>
      </c>
      <c r="F183" s="9" t="n">
        <f aca="false">(F176+F174)</f>
        <v>0</v>
      </c>
      <c r="G183" s="9" t="n">
        <f aca="false">(G176+G174)</f>
        <v>0</v>
      </c>
      <c r="H183" s="9" t="n">
        <f aca="false">(H176+H174)</f>
        <v>0</v>
      </c>
      <c r="I183" s="9" t="n">
        <f aca="false">(I176+I174)</f>
        <v>0</v>
      </c>
      <c r="J183" s="9" t="n">
        <f aca="false">(J176+J174)</f>
        <v>0</v>
      </c>
      <c r="K183" s="9" t="n">
        <f aca="false">(K176+K174)</f>
        <v>0</v>
      </c>
      <c r="L183" s="9" t="n">
        <f aca="false">(L176+L174)</f>
        <v>0</v>
      </c>
      <c r="M183" s="9" t="n">
        <f aca="false">(M176+M174)</f>
        <v>0</v>
      </c>
      <c r="N183" s="9" t="n">
        <f aca="false">(N176+N174)</f>
        <v>0</v>
      </c>
      <c r="O183" s="9" t="n">
        <f aca="false">(O176+O174)</f>
        <v>0</v>
      </c>
      <c r="P183" s="9" t="n">
        <f aca="false">(P176+P174)</f>
        <v>0</v>
      </c>
      <c r="Q183" s="9" t="n">
        <f aca="false">(Q176+Q174)</f>
        <v>0</v>
      </c>
      <c r="R183" s="9" t="n">
        <f aca="false">(R176+R174)</f>
        <v>0</v>
      </c>
      <c r="S183" s="9" t="n">
        <f aca="false">(S176+S174)</f>
        <v>0</v>
      </c>
      <c r="T183" s="9" t="n">
        <f aca="false">(T176+T174)</f>
        <v>0</v>
      </c>
      <c r="U183" s="9" t="n">
        <f aca="false">(U176+U174)</f>
        <v>0</v>
      </c>
      <c r="V183" s="9" t="n">
        <f aca="false">(V176+V174)</f>
        <v>0</v>
      </c>
      <c r="W183" s="9" t="n">
        <f aca="false">(W176+W174)</f>
        <v>0</v>
      </c>
      <c r="X183" s="9" t="n">
        <f aca="false">(X176+X174)</f>
        <v>0</v>
      </c>
      <c r="Y183" s="9" t="n">
        <f aca="false">(Y176+Y174)</f>
        <v>0</v>
      </c>
      <c r="Z183" s="9" t="n">
        <f aca="false">(Z176+Z174)</f>
        <v>0</v>
      </c>
      <c r="AA183" s="9" t="n">
        <f aca="false">(AA176+AA174)</f>
        <v>0</v>
      </c>
      <c r="AB183" s="9" t="n">
        <f aca="false">(AB176+AB174)</f>
        <v>0</v>
      </c>
      <c r="AC183" s="9" t="n">
        <f aca="false">(AC176+AC174)</f>
        <v>0</v>
      </c>
      <c r="AD183" s="9" t="n">
        <f aca="false">(AD176+AD174)</f>
        <v>0</v>
      </c>
      <c r="AE183" s="9" t="n">
        <f aca="false">(AE176+AE174)</f>
        <v>0</v>
      </c>
      <c r="AF183" s="9" t="n">
        <f aca="false">(AF176+AF174)</f>
        <v>0</v>
      </c>
      <c r="AG183" s="9" t="n">
        <f aca="false">(AG176+AG174)</f>
        <v>643.2</v>
      </c>
      <c r="AH183" s="9" t="n">
        <f aca="false">(AH176+AH174)</f>
        <v>7975.33866666667</v>
      </c>
      <c r="AI183" s="9" t="n">
        <f aca="false">(AI176+AI174)</f>
        <v>8182.19178666667</v>
      </c>
      <c r="AJ183" s="9" t="n">
        <f aca="false">(AJ176+AJ174)</f>
        <v>8380.77078186667</v>
      </c>
      <c r="AK183" s="9" t="n">
        <f aca="false">(AK176+AK174)</f>
        <v>8571.40661725867</v>
      </c>
      <c r="AL183" s="9" t="n">
        <f aca="false">(AL176+AL174)</f>
        <v>8754.41701923499</v>
      </c>
      <c r="AN183" s="11" t="n">
        <f aca="false">SUM(C183:N183)</f>
        <v>0</v>
      </c>
      <c r="AO183" s="11" t="n">
        <f aca="false">SUM(O183:Z183)</f>
        <v>0</v>
      </c>
      <c r="AP183" s="11" t="n">
        <f aca="false">SUM(AA183:AL183)</f>
        <v>42507.3248716937</v>
      </c>
    </row>
    <row r="184" customFormat="false" ht="15" hidden="false" customHeight="false" outlineLevel="0" collapsed="false">
      <c r="A184" s="10" t="s">
        <v>986</v>
      </c>
      <c r="B184" s="20" t="s">
        <v>230</v>
      </c>
      <c r="C184" s="11" t="n">
        <f aca="false">((((C179+C180)+C181)+C182)+C183)</f>
        <v>6067.1082984</v>
      </c>
      <c r="D184" s="11" t="n">
        <f aca="false">((((D179+D180)+D181)+D182)+D183)</f>
        <v>6119.24628408</v>
      </c>
      <c r="E184" s="11" t="n">
        <f aca="false">((((E179+E180)+E181)+E182)+E183)</f>
        <v>6157.13872666272</v>
      </c>
      <c r="F184" s="11" t="n">
        <f aca="false">((((F179+F180)+F181)+F182)+F183)</f>
        <v>6187.46796077222</v>
      </c>
      <c r="G184" s="11" t="n">
        <f aca="false">((((G179+G180)+G181)+G182)+G183)</f>
        <v>16768.8815397869</v>
      </c>
      <c r="H184" s="11" t="n">
        <f aca="false">((((H179+H180)+H181)+H182)+H183)</f>
        <v>16778.9333752017</v>
      </c>
      <c r="I184" s="11" t="n">
        <f aca="false">((((I179+I180)+I181)+I182)+I183)</f>
        <v>16804.496730379</v>
      </c>
      <c r="J184" s="11" t="n">
        <f aca="false">((((J179+J180)+J181)+J182)+J183)</f>
        <v>17593.0105915935</v>
      </c>
      <c r="K184" s="11" t="n">
        <f aca="false">((((K179+K180)+K181)+K182)+K183)</f>
        <v>24004.2286949308</v>
      </c>
      <c r="L184" s="11" t="n">
        <f aca="false">((((L179+L180)+L181)+L182)+L183)</f>
        <v>24047.0035125279</v>
      </c>
      <c r="M184" s="11" t="n">
        <f aca="false">((((M179+M180)+M181)+M182)+M183)</f>
        <v>33840.438498614</v>
      </c>
      <c r="N184" s="11" t="n">
        <f aca="false">((((N179+N180)+N181)+N182)+N183)</f>
        <v>34190.4205662215</v>
      </c>
      <c r="O184" s="11" t="n">
        <f aca="false">((((O179+O180)+O181)+O182)+O183)</f>
        <v>41238.9232394087</v>
      </c>
      <c r="P184" s="11" t="n">
        <f aca="false">((((P179+P180)+P181)+P182)+P183)</f>
        <v>41062.1075358055</v>
      </c>
      <c r="Q184" s="11" t="n">
        <f aca="false">((((Q179+Q180)+Q181)+Q182)+Q183)</f>
        <v>52465.6900238992</v>
      </c>
      <c r="R184" s="11" t="n">
        <f aca="false">((((R179+R180)+R181)+R182)+R183)</f>
        <v>53872.1185493113</v>
      </c>
      <c r="S184" s="11" t="n">
        <f aca="false">((((S179+S180)+S181)+S182)+S183)</f>
        <v>54072.2131467384</v>
      </c>
      <c r="T184" s="11" t="n">
        <f aca="false">((((T179+T180)+T181)+T182)+T183)</f>
        <v>73020.5871723457</v>
      </c>
      <c r="U184" s="11" t="n">
        <f aca="false">((((U179+U180)+U181)+U182)+U183)</f>
        <v>84517.1100444559</v>
      </c>
      <c r="V184" s="11" t="n">
        <f aca="false">((((V179+V180)+V181)+V182)+V183)</f>
        <v>85514.9442360828</v>
      </c>
      <c r="W184" s="11" t="n">
        <f aca="false">((((W179+W180)+W181)+W182)+W183)</f>
        <v>86301.2625174179</v>
      </c>
      <c r="X184" s="11" t="n">
        <f aca="false">((((X179+X180)+X181)+X182)+X183)</f>
        <v>97202.1223649556</v>
      </c>
      <c r="Y184" s="11" t="n">
        <f aca="false">((((Y179+Y180)+Y181)+Y182)+Y183)</f>
        <v>98896.2532924799</v>
      </c>
      <c r="Z184" s="11" t="n">
        <f aca="false">((((Z179+Z180)+Z181)+Z182)+Z183)</f>
        <v>98931.7851994422</v>
      </c>
      <c r="AA184" s="11" t="n">
        <f aca="false">((((AA179+AA180)+AA181)+AA182)+AA183)</f>
        <v>119080.99585191</v>
      </c>
      <c r="AB184" s="11" t="n">
        <f aca="false">((((AB179+AB180)+AB181)+AB182)+AB183)</f>
        <v>128994.20430549</v>
      </c>
      <c r="AC184" s="11" t="n">
        <f aca="false">((((AC179+AC180)+AC181)+AC182)+AC183)</f>
        <v>129146.587574569</v>
      </c>
      <c r="AD184" s="11" t="n">
        <f aca="false">((((AD179+AD180)+AD181)+AD182)+AD183)</f>
        <v>140576.800111953</v>
      </c>
      <c r="AE184" s="11" t="n">
        <f aca="false">((((AE179+AE180)+AE181)+AE182)+AE183)</f>
        <v>144367.001552523</v>
      </c>
      <c r="AF184" s="11" t="n">
        <f aca="false">((((AF179+AF180)+AF181)+AF182)+AF183)</f>
        <v>156198.342411587</v>
      </c>
      <c r="AG184" s="11" t="n">
        <f aca="false">((((AG179+AG180)+AG181)+AG182)+AG183)</f>
        <v>167828.38884984</v>
      </c>
      <c r="AH184" s="11" t="n">
        <f aca="false">((((AH179+AH180)+AH181)+AH182)+AH183)</f>
        <v>179994.82820823</v>
      </c>
      <c r="AI184" s="11" t="n">
        <f aca="false">((((AI179+AI180)+AI181)+AI182)+AI183)</f>
        <v>187434.308525632</v>
      </c>
      <c r="AJ184" s="11" t="n">
        <f aca="false">((((AJ179+AJ180)+AJ181)+AJ182)+AJ183)</f>
        <v>188334.396558524</v>
      </c>
      <c r="AK184" s="11" t="n">
        <f aca="false">((((AK179+AK180)+AK181)+AK182)+AK183)</f>
        <v>195136.658079501</v>
      </c>
      <c r="AL184" s="11" t="n">
        <f aca="false">((((AL179+AL180)+AL181)+AL182)+AL183)</f>
        <v>199538.283986607</v>
      </c>
      <c r="AN184" s="11" t="n">
        <f aca="false">SUM(C184:N184)</f>
        <v>208558.37477917</v>
      </c>
      <c r="AO184" s="11" t="n">
        <f aca="false">SUM(O184:Z184)</f>
        <v>867095.117322343</v>
      </c>
      <c r="AP184" s="11" t="n">
        <f aca="false">SUM(AA184:AL184)</f>
        <v>1936630.79601637</v>
      </c>
    </row>
    <row r="185" customFormat="false" ht="15" hidden="false" customHeight="false" outlineLevel="0" collapsed="false">
      <c r="A185" s="0" t="s">
        <v>987</v>
      </c>
      <c r="B185" s="0" t="s">
        <v>230</v>
      </c>
      <c r="C185" s="9" t="n">
        <f aca="false">((((((((((((((((C158+C159)+C160)+C161)+C162)+C163)+C164)+C167)+C168)+C171)+C170)+C172)+C173)+C174)+C175)+C176)-C184)</f>
        <v>0</v>
      </c>
      <c r="D185" s="9" t="n">
        <f aca="false">((((((((((((((((D158+D159)+D160)+D161)+D162)+D163)+D164)+D167)+D168)+D171)+D170)+D172)+D173)+D174)+D175)+D176)-D184)</f>
        <v>0</v>
      </c>
      <c r="E185" s="9" t="n">
        <f aca="false">((((((((((((((((E158+E159)+E160)+E161)+E162)+E163)+E164)+E167)+E168)+E171)+E170)+E172)+E173)+E174)+E175)+E176)-E184)</f>
        <v>0</v>
      </c>
      <c r="F185" s="9" t="n">
        <f aca="false">((((((((((((((((F158+F159)+F160)+F161)+F162)+F163)+F164)+F167)+F168)+F171)+F170)+F172)+F173)+F174)+F175)+F176)-F184)</f>
        <v>0</v>
      </c>
      <c r="G185" s="9" t="n">
        <f aca="false">((((((((((((((((G158+G159)+G160)+G161)+G162)+G163)+G164)+G167)+G168)+G171)+G170)+G172)+G173)+G174)+G175)+G176)-G184)</f>
        <v>0</v>
      </c>
      <c r="H185" s="9" t="n">
        <f aca="false">((((((((((((((((H158+H159)+H160)+H161)+H162)+H163)+H164)+H167)+H168)+H171)+H170)+H172)+H173)+H174)+H175)+H176)-H184)</f>
        <v>0</v>
      </c>
      <c r="I185" s="9" t="n">
        <f aca="false">((((((((((((((((I158+I159)+I160)+I161)+I162)+I163)+I164)+I167)+I168)+I171)+I170)+I172)+I173)+I174)+I175)+I176)-I184)</f>
        <v>0</v>
      </c>
      <c r="J185" s="9" t="n">
        <f aca="false">((((((((((((((((J158+J159)+J160)+J161)+J162)+J163)+J164)+J167)+J168)+J171)+J170)+J172)+J173)+J174)+J175)+J176)-J184)</f>
        <v>0</v>
      </c>
      <c r="K185" s="9" t="n">
        <f aca="false">((((((((((((((((K158+K159)+K160)+K161)+K162)+K163)+K164)+K167)+K168)+K171)+K170)+K172)+K173)+K174)+K175)+K176)-K184)</f>
        <v>0</v>
      </c>
      <c r="L185" s="9" t="n">
        <f aca="false">((((((((((((((((L158+L159)+L160)+L161)+L162)+L163)+L164)+L167)+L168)+L171)+L170)+L172)+L173)+L174)+L175)+L176)-L184)</f>
        <v>0</v>
      </c>
      <c r="M185" s="9" t="n">
        <f aca="false">((((((((((((((((M158+M159)+M160)+M161)+M162)+M163)+M164)+M167)+M168)+M171)+M170)+M172)+M173)+M174)+M175)+M176)-M184)</f>
        <v>0</v>
      </c>
      <c r="N185" s="9" t="n">
        <f aca="false">((((((((((((((((N158+N159)+N160)+N161)+N162)+N163)+N164)+N167)+N168)+N171)+N170)+N172)+N173)+N174)+N175)+N176)-N184)</f>
        <v>0</v>
      </c>
      <c r="O185" s="9" t="n">
        <f aca="false">((((((((((((((((O158+O159)+O160)+O161)+O162)+O163)+O164)+O167)+O168)+O171)+O170)+O172)+O173)+O174)+O175)+O176)-O184)</f>
        <v>0</v>
      </c>
      <c r="P185" s="9" t="n">
        <f aca="false">((((((((((((((((P158+P159)+P160)+P161)+P162)+P163)+P164)+P167)+P168)+P171)+P170)+P172)+P173)+P174)+P175)+P176)-P184)</f>
        <v>0</v>
      </c>
      <c r="Q185" s="9" t="n">
        <f aca="false">((((((((((((((((Q158+Q159)+Q160)+Q161)+Q162)+Q163)+Q164)+Q167)+Q168)+Q171)+Q170)+Q172)+Q173)+Q174)+Q175)+Q176)-Q184)</f>
        <v>0</v>
      </c>
      <c r="R185" s="9" t="n">
        <f aca="false">((((((((((((((((R158+R159)+R160)+R161)+R162)+R163)+R164)+R167)+R168)+R171)+R170)+R172)+R173)+R174)+R175)+R176)-R184)</f>
        <v>0</v>
      </c>
      <c r="S185" s="9" t="n">
        <f aca="false">((((((((((((((((S158+S159)+S160)+S161)+S162)+S163)+S164)+S167)+S168)+S171)+S170)+S172)+S173)+S174)+S175)+S176)-S184)</f>
        <v>0</v>
      </c>
      <c r="T185" s="9" t="n">
        <f aca="false">((((((((((((((((T158+T159)+T160)+T161)+T162)+T163)+T164)+T167)+T168)+T171)+T170)+T172)+T173)+T174)+T175)+T176)-T184)</f>
        <v>0</v>
      </c>
      <c r="U185" s="9" t="n">
        <f aca="false">((((((((((((((((U158+U159)+U160)+U161)+U162)+U163)+U164)+U167)+U168)+U171)+U170)+U172)+U173)+U174)+U175)+U176)-U184)</f>
        <v>0</v>
      </c>
      <c r="V185" s="9" t="n">
        <f aca="false">((((((((((((((((V158+V159)+V160)+V161)+V162)+V163)+V164)+V167)+V168)+V171)+V170)+V172)+V173)+V174)+V175)+V176)-V184)</f>
        <v>0</v>
      </c>
      <c r="W185" s="9" t="n">
        <f aca="false">((((((((((((((((W158+W159)+W160)+W161)+W162)+W163)+W164)+W167)+W168)+W171)+W170)+W172)+W173)+W174)+W175)+W176)-W184)</f>
        <v>0</v>
      </c>
      <c r="X185" s="9" t="n">
        <f aca="false">((((((((((((((((X158+X159)+X160)+X161)+X162)+X163)+X164)+X167)+X168)+X171)+X170)+X172)+X173)+X174)+X175)+X176)-X184)</f>
        <v>0</v>
      </c>
      <c r="Y185" s="9" t="n">
        <f aca="false">((((((((((((((((Y158+Y159)+Y160)+Y161)+Y162)+Y163)+Y164)+Y167)+Y168)+Y171)+Y170)+Y172)+Y173)+Y174)+Y175)+Y176)-Y184)</f>
        <v>0</v>
      </c>
      <c r="Z185" s="9" t="n">
        <f aca="false">((((((((((((((((Z158+Z159)+Z160)+Z161)+Z162)+Z163)+Z164)+Z167)+Z168)+Z171)+Z170)+Z172)+Z173)+Z174)+Z175)+Z176)-Z184)</f>
        <v>0</v>
      </c>
      <c r="AA185" s="9" t="n">
        <f aca="false">((((((((((((((((AA158+AA159)+AA160)+AA161)+AA162)+AA163)+AA164)+AA167)+AA168)+AA171)+AA170)+AA172)+AA173)+AA174)+AA175)+AA176)-AA184)</f>
        <v>0</v>
      </c>
      <c r="AB185" s="9" t="n">
        <f aca="false">((((((((((((((((AB158+AB159)+AB160)+AB161)+AB162)+AB163)+AB164)+AB167)+AB168)+AB171)+AB170)+AB172)+AB173)+AB174)+AB175)+AB176)-AB184)</f>
        <v>0</v>
      </c>
      <c r="AC185" s="9" t="n">
        <f aca="false">((((((((((((((((AC158+AC159)+AC160)+AC161)+AC162)+AC163)+AC164)+AC167)+AC168)+AC171)+AC170)+AC172)+AC173)+AC174)+AC175)+AC176)-AC184)</f>
        <v>0</v>
      </c>
      <c r="AD185" s="9" t="n">
        <f aca="false">((((((((((((((((AD158+AD159)+AD160)+AD161)+AD162)+AD163)+AD164)+AD167)+AD168)+AD171)+AD170)+AD172)+AD173)+AD174)+AD175)+AD176)-AD184)</f>
        <v>0</v>
      </c>
      <c r="AE185" s="9" t="n">
        <f aca="false">((((((((((((((((AE158+AE159)+AE160)+AE161)+AE162)+AE163)+AE164)+AE167)+AE168)+AE171)+AE170)+AE172)+AE173)+AE174)+AE175)+AE176)-AE184)</f>
        <v>0</v>
      </c>
      <c r="AF185" s="9" t="n">
        <f aca="false">((((((((((((((((AF158+AF159)+AF160)+AF161)+AF162)+AF163)+AF164)+AF167)+AF168)+AF171)+AF170)+AF172)+AF173)+AF174)+AF175)+AF176)-AF184)</f>
        <v>0</v>
      </c>
      <c r="AG185" s="9" t="n">
        <f aca="false">((((((((((((((((AG158+AG159)+AG160)+AG161)+AG162)+AG163)+AG164)+AG167)+AG168)+AG171)+AG170)+AG172)+AG173)+AG174)+AG175)+AG176)-AG184)</f>
        <v>0</v>
      </c>
      <c r="AH185" s="9" t="n">
        <f aca="false">((((((((((((((((AH158+AH159)+AH160)+AH161)+AH162)+AH163)+AH164)+AH167)+AH168)+AH171)+AH170)+AH172)+AH173)+AH174)+AH175)+AH176)-AH184)</f>
        <v>0</v>
      </c>
      <c r="AI185" s="9" t="n">
        <f aca="false">((((((((((((((((AI158+AI159)+AI160)+AI161)+AI162)+AI163)+AI164)+AI167)+AI168)+AI171)+AI170)+AI172)+AI173)+AI174)+AI175)+AI176)-AI184)</f>
        <v>0</v>
      </c>
      <c r="AJ185" s="9" t="n">
        <f aca="false">((((((((((((((((AJ158+AJ159)+AJ160)+AJ161)+AJ162)+AJ163)+AJ164)+AJ167)+AJ168)+AJ171)+AJ170)+AJ172)+AJ173)+AJ174)+AJ175)+AJ176)-AJ184)</f>
        <v>0</v>
      </c>
      <c r="AK185" s="9" t="n">
        <f aca="false">((((((((((((((((AK158+AK159)+AK160)+AK161)+AK162)+AK163)+AK164)+AK167)+AK168)+AK171)+AK170)+AK172)+AK173)+AK174)+AK175)+AK176)-AK184)</f>
        <v>0</v>
      </c>
      <c r="AL185" s="9" t="n">
        <f aca="false">((((((((((((((((AL158+AL159)+AL160)+AL161)+AL162)+AL163)+AL164)+AL167)+AL168)+AL171)+AL170)+AL172)+AL173)+AL174)+AL175)+AL176)-AL184)</f>
        <v>0</v>
      </c>
      <c r="AN185" s="11" t="n">
        <f aca="false">SUM(C185:N185)</f>
        <v>0</v>
      </c>
      <c r="AO185" s="11" t="n">
        <f aca="false">SUM(O185:Z185)</f>
        <v>0</v>
      </c>
      <c r="AP185" s="11" t="n">
        <f aca="false">SUM(AA185:AL185)</f>
        <v>0</v>
      </c>
    </row>
    <row r="186" customFormat="false" ht="15" hidden="false" customHeight="false" outlineLevel="0" collapsed="false">
      <c r="A186" s="0" t="s">
        <v>988</v>
      </c>
      <c r="B186" s="0" t="s">
        <v>230</v>
      </c>
      <c r="C186" s="9" t="n">
        <f aca="false">(C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67.1082984</v>
      </c>
      <c r="D186" s="9" t="n">
        <f aca="false">(D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119.24628408</v>
      </c>
      <c r="E186" s="9" t="n">
        <f aca="false">(E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157.13872666272</v>
      </c>
      <c r="F186" s="9" t="n">
        <f aca="false">(F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187.467960772224</v>
      </c>
      <c r="G186" s="9" t="n">
        <f aca="false">(G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204.074581120236</v>
      </c>
      <c r="H186" s="9" t="n">
        <f aca="false">(H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214.126416535075</v>
      </c>
      <c r="I186" s="9" t="n">
        <f aca="false">(I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239.689771712377</v>
      </c>
      <c r="J186" s="9" t="n">
        <f aca="false">(J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335.119082926783</v>
      </c>
      <c r="K186" s="9" t="n">
        <f aca="false">(K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443.003852930789</v>
      </c>
      <c r="L186" s="9" t="n">
        <f aca="false">(L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485.778670527865</v>
      </c>
      <c r="M186" s="9" t="n">
        <f aca="false">(M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510.687281947364</v>
      </c>
      <c r="N186" s="9" t="n">
        <f aca="false">(N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518.000277554868</v>
      </c>
      <c r="O186" s="9" t="n">
        <f aca="false">(O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1156.56680175146</v>
      </c>
      <c r="P186" s="9" t="n">
        <f aca="false">(P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1653.31504695032</v>
      </c>
      <c r="Q186" s="9" t="n">
        <f aca="false">(Q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2019.68232354887</v>
      </c>
      <c r="R186" s="9" t="n">
        <f aca="false">(R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2311.1872142421</v>
      </c>
      <c r="S186" s="9" t="n">
        <f aca="false">(S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2486.27720445326</v>
      </c>
      <c r="T186" s="9" t="n">
        <f aca="false">(T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2601.76695566944</v>
      </c>
      <c r="U186" s="9" t="n">
        <f aca="false">(U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2816.19089619697</v>
      </c>
      <c r="V186" s="9" t="n">
        <f aca="false">(V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3501.58989061495</v>
      </c>
      <c r="W186" s="9" t="n">
        <f aca="false">(W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4248.94017748109</v>
      </c>
      <c r="X186" s="9" t="n">
        <f aca="false">(X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4538.75674729835</v>
      </c>
      <c r="Y186" s="9" t="n">
        <f aca="false">(Y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4697.91512751697</v>
      </c>
      <c r="Z186" s="9" t="n">
        <f aca="false">(Z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4733.7873108886</v>
      </c>
      <c r="AA186" s="9" t="n">
        <f aca="false">(AA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5276.9139035922</v>
      </c>
      <c r="AB186" s="9" t="n">
        <f aca="false">(AB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5642.54647380146</v>
      </c>
      <c r="AC186" s="9" t="n">
        <f aca="false">(AC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5846.35734606611</v>
      </c>
      <c r="AD186" s="9" t="n">
        <f aca="false">(AD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5971.13603400675</v>
      </c>
      <c r="AE186" s="9" t="n">
        <f aca="false">(AE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5952.47755189436</v>
      </c>
      <c r="AF186" s="9" t="n">
        <f aca="false">(AF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5873.97709687462</v>
      </c>
      <c r="AG186" s="9" t="n">
        <f aca="false">(AG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5963.38529120777</v>
      </c>
      <c r="AH186" s="9" t="n">
        <f aca="false">(AH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6743.05786941836</v>
      </c>
      <c r="AI186" s="9" t="n">
        <f aca="false">(AI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7614.55363224439</v>
      </c>
      <c r="AJ186" s="9" t="n">
        <f aca="false">(AJ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7852.22573323227</v>
      </c>
      <c r="AK186" s="9" t="n">
        <f aca="false">(AK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7918.19122960689</v>
      </c>
      <c r="AL186" s="9" t="n">
        <f aca="false">(AL29*(((((((Assumptions!$C$58+((Assumptions!$C$59*Assumptions!$C$60)*Assumptions!$C$61))+((Assumptions!$C$62*Assumptions!$C$63)*(1-Assumptions!$C$64)))+Assumptions!$C$65)+Assumptions!$C$66)+Assumptions!$C$67)+(((Assumptions!$C$85*Assumptions!$C$184)*$C$12)*$C$13))+(((Assumptions!$C$92/100)*Assumptions!$C$94)*Assumptions!$C$95)))</f>
        <v>7825.80229974569</v>
      </c>
      <c r="AN186" s="11" t="n">
        <f aca="false">SUM(C186:N186)</f>
        <v>3481.4412051703</v>
      </c>
      <c r="AO186" s="11" t="n">
        <f aca="false">SUM(O186:Z186)</f>
        <v>36765.9756966124</v>
      </c>
      <c r="AP186" s="11" t="n">
        <f aca="false">SUM(AA186:AL186)</f>
        <v>78480.6244616909</v>
      </c>
    </row>
    <row r="187" customFormat="false" ht="15" hidden="false" customHeight="false" outlineLevel="0" collapsed="false">
      <c r="A187" s="0" t="s">
        <v>989</v>
      </c>
      <c r="B187" s="0" t="s">
        <v>230</v>
      </c>
      <c r="C187" s="9" t="n">
        <f aca="false">((C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C175)</f>
        <v>0</v>
      </c>
      <c r="D187" s="9" t="n">
        <f aca="false">((D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D175)</f>
        <v>0</v>
      </c>
      <c r="E187" s="9" t="n">
        <f aca="false">((E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E175)</f>
        <v>0</v>
      </c>
      <c r="F187" s="9" t="n">
        <f aca="false">((F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F175)</f>
        <v>0</v>
      </c>
      <c r="G187" s="9" t="n">
        <f aca="false">((G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G175)</f>
        <v>0</v>
      </c>
      <c r="H187" s="9" t="n">
        <f aca="false">((H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H175)</f>
        <v>0</v>
      </c>
      <c r="I187" s="9" t="n">
        <f aca="false">((I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I175)</f>
        <v>0</v>
      </c>
      <c r="J187" s="9" t="n">
        <f aca="false">((J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J175)</f>
        <v>0</v>
      </c>
      <c r="K187" s="9" t="n">
        <f aca="false">((K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K175)</f>
        <v>0</v>
      </c>
      <c r="L187" s="9" t="n">
        <f aca="false">((L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L175)</f>
        <v>0</v>
      </c>
      <c r="M187" s="9" t="n">
        <f aca="false">((M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M175)</f>
        <v>0</v>
      </c>
      <c r="N187" s="9" t="n">
        <f aca="false">((N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N175)</f>
        <v>0</v>
      </c>
      <c r="O187" s="9" t="n">
        <f aca="false">((O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O175)</f>
        <v>11.7958569905942</v>
      </c>
      <c r="P187" s="9" t="n">
        <f aca="false">((P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P175)</f>
        <v>31.3164581884521</v>
      </c>
      <c r="Q187" s="9" t="n">
        <f aca="false">((Q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Q175)</f>
        <v>53.5772030170046</v>
      </c>
      <c r="R187" s="9" t="n">
        <f aca="false">((R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R175)</f>
        <v>77.2759957359128</v>
      </c>
      <c r="S187" s="9" t="n">
        <f aca="false">((S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S175)</f>
        <v>102.280602951782</v>
      </c>
      <c r="T187" s="9" t="n">
        <f aca="false">((T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T175)</f>
        <v>126.831544009564</v>
      </c>
      <c r="U187" s="9" t="n">
        <f aca="false">((U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U175)</f>
        <v>151.038966925629</v>
      </c>
      <c r="V187" s="9" t="n">
        <f aca="false">((V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V175)</f>
        <v>177.91660413451</v>
      </c>
      <c r="W187" s="9" t="n">
        <f aca="false">((W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W175)</f>
        <v>216.884598603432</v>
      </c>
      <c r="X187" s="9" t="n">
        <f aca="false">((X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X175)</f>
        <v>263.120917657268</v>
      </c>
      <c r="Y187" s="9" t="n">
        <f aca="false">((Y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Y175)</f>
        <v>305.204934962904</v>
      </c>
      <c r="Z187" s="9" t="n">
        <f aca="false">((Z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Z175)</f>
        <v>345.984947193616</v>
      </c>
      <c r="AA187" s="9" t="n">
        <f aca="false">((AA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A175)</f>
        <v>387.262048290626</v>
      </c>
      <c r="AB187" s="9" t="n">
        <f aca="false">((AB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B175)</f>
        <v>439.245508328574</v>
      </c>
      <c r="AC187" s="9" t="n">
        <f aca="false">((AC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C175)</f>
        <v>489.612441142872</v>
      </c>
      <c r="AD187" s="9" t="n">
        <f aca="false">((AD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D175)</f>
        <v>537.154781919414</v>
      </c>
      <c r="AE187" s="9" t="n">
        <f aca="false">((AE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E175)</f>
        <v>582.640494602443</v>
      </c>
      <c r="AF187" s="9" t="n">
        <f aca="false">((AF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F175)</f>
        <v>623.710762019244</v>
      </c>
      <c r="AG187" s="9" t="n">
        <f aca="false">((AG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G175)</f>
        <v>661.397789271894</v>
      </c>
      <c r="AH187" s="9" t="n">
        <f aca="false">((AH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H175)</f>
        <v>701.361039985362</v>
      </c>
      <c r="AI187" s="9" t="n">
        <f aca="false">((AI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I175)</f>
        <v>759.159141227196</v>
      </c>
      <c r="AJ187" s="9" t="n">
        <f aca="false">((AJ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J175)</f>
        <v>824.855785931832</v>
      </c>
      <c r="AK187" s="9" t="n">
        <f aca="false">((AK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K175)</f>
        <v>879.586858742234</v>
      </c>
      <c r="AL187" s="9" t="n">
        <f aca="false">((AL39*(((((((Assumptions!$C$58+((Assumptions!$C$59*Assumptions!$C$60)*Assumptions!$C$61))+((Assumptions!$C$62*Assumptions!$C$63)*(1-Assumptions!$C$64)))+Assumptions!$C$65)+Assumptions!$C$66)+Assumptions!$C$67)+(((Assumptions!$C$86*Assumptions!$C$184)*$C$12)*$C$13))+(((Assumptions!$C$92/100)*Assumptions!$C$94)*Assumptions!$C$95)))+AL175)</f>
        <v>930.050347736129</v>
      </c>
      <c r="AN187" s="11" t="n">
        <f aca="false">SUM(C187:N187)</f>
        <v>0</v>
      </c>
      <c r="AO187" s="11" t="n">
        <f aca="false">SUM(O187:Z187)</f>
        <v>1863.22863037067</v>
      </c>
      <c r="AP187" s="11" t="n">
        <f aca="false">SUM(AA187:AL187)</f>
        <v>7816.03699919782</v>
      </c>
    </row>
    <row r="188" customFormat="false" ht="15" hidden="false" customHeight="false" outlineLevel="0" collapsed="false">
      <c r="A188" s="0" t="s">
        <v>990</v>
      </c>
      <c r="B188" s="0" t="s">
        <v>500</v>
      </c>
      <c r="C188" s="9" t="n">
        <f aca="false">0</f>
        <v>0</v>
      </c>
      <c r="D188" s="9" t="n">
        <f aca="false">C39</f>
        <v>0</v>
      </c>
      <c r="E188" s="9" t="n">
        <f aca="false">D39</f>
        <v>0</v>
      </c>
      <c r="F188" s="9" t="n">
        <f aca="false">E39</f>
        <v>0</v>
      </c>
      <c r="G188" s="9" t="n">
        <f aca="false">F39</f>
        <v>0</v>
      </c>
      <c r="H188" s="9" t="n">
        <f aca="false">G39</f>
        <v>0</v>
      </c>
      <c r="I188" s="9" t="n">
        <f aca="false">H39</f>
        <v>0</v>
      </c>
      <c r="J188" s="9" t="n">
        <f aca="false">I39</f>
        <v>0</v>
      </c>
      <c r="K188" s="9" t="n">
        <f aca="false">J39</f>
        <v>0</v>
      </c>
      <c r="L188" s="9" t="n">
        <f aca="false">K39</f>
        <v>0</v>
      </c>
      <c r="M188" s="9" t="n">
        <f aca="false">L39</f>
        <v>0</v>
      </c>
      <c r="N188" s="9" t="n">
        <f aca="false">M39</f>
        <v>0</v>
      </c>
      <c r="O188" s="9" t="n">
        <f aca="false">N39</f>
        <v>0</v>
      </c>
      <c r="P188" s="9" t="n">
        <f aca="false">O39</f>
        <v>4.51553935346985</v>
      </c>
      <c r="Q188" s="9" t="n">
        <f aca="false">P39</f>
        <v>14.4734471754843</v>
      </c>
      <c r="R188" s="9" t="n">
        <f aca="false">Q39</f>
        <v>28.4905865379519</v>
      </c>
      <c r="S188" s="9" t="n">
        <f aca="false">R39</f>
        <v>45.3248633047421</v>
      </c>
      <c r="T188" s="9" t="n">
        <f aca="false">S39</f>
        <v>64.2546848783808</v>
      </c>
      <c r="U188" s="9" t="n">
        <f aca="false">T39</f>
        <v>84.2176311458779</v>
      </c>
      <c r="V188" s="9" t="n">
        <f aca="false">U39</f>
        <v>104.676837357465</v>
      </c>
      <c r="W188" s="9" t="n">
        <f aca="false">V39</f>
        <v>126.492576802041</v>
      </c>
      <c r="X188" s="9" t="n">
        <f aca="false">W39</f>
        <v>153.744688133264</v>
      </c>
      <c r="Y188" s="9" t="n">
        <f aca="false">X39</f>
        <v>186.835830748726</v>
      </c>
      <c r="Z188" s="9" t="n">
        <f aca="false">Y39</f>
        <v>221.632199953236</v>
      </c>
      <c r="AA188" s="9" t="n">
        <f aca="false">Z39</f>
        <v>256.966398049017</v>
      </c>
      <c r="AB188" s="9" t="n">
        <f aca="false">AA39</f>
        <v>290.853636967864</v>
      </c>
      <c r="AC188" s="9" t="n">
        <f aca="false">AB39</f>
        <v>327.536616836069</v>
      </c>
      <c r="AD188" s="9" t="n">
        <f aca="false">AC39</f>
        <v>365.628800757854</v>
      </c>
      <c r="AE188" s="9" t="n">
        <f aca="false">AD39</f>
        <v>403.907112492085</v>
      </c>
      <c r="AF188" s="9" t="n">
        <f aca="false">AE39</f>
        <v>441.81309119352</v>
      </c>
      <c r="AG188" s="9" t="n">
        <f aca="false">AF39</f>
        <v>478.319221121352</v>
      </c>
      <c r="AH188" s="9" t="n">
        <f aca="false">AG39</f>
        <v>513.05993258998</v>
      </c>
      <c r="AI188" s="9" t="n">
        <f aca="false">AH39</f>
        <v>547.386965393128</v>
      </c>
      <c r="AJ188" s="9" t="n">
        <f aca="false">AI39</f>
        <v>586.50543767112</v>
      </c>
      <c r="AK188" s="9" t="n">
        <f aca="false">AJ39</f>
        <v>630.959292986504</v>
      </c>
      <c r="AL188" s="9" t="n">
        <f aca="false">AK39</f>
        <v>675.869190452031</v>
      </c>
      <c r="AN188" s="11" t="n">
        <f aca="false">SUM(C188:N188)</f>
        <v>0</v>
      </c>
      <c r="AO188" s="11" t="n">
        <f aca="false">SUM(O188:Z188)</f>
        <v>1034.65888539064</v>
      </c>
      <c r="AP188" s="11" t="n">
        <f aca="false">SUM(AA188:AL188)</f>
        <v>5518.80569651052</v>
      </c>
    </row>
    <row r="189" customFormat="false" ht="15" hidden="false" customHeight="false" outlineLevel="0" collapsed="false">
      <c r="A189" s="21" t="s">
        <v>31</v>
      </c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</row>
    <row r="190" customFormat="false" ht="15" hidden="false" customHeight="false" outlineLevel="0" collapsed="false">
      <c r="A190" s="0" t="s">
        <v>991</v>
      </c>
      <c r="B190" s="0" t="s">
        <v>230</v>
      </c>
      <c r="C190" s="9" t="n">
        <f aca="false">SUMPRODUCT((Headcount!$C$5:$C$90="ENG")*Headcount!$D$5:$D$90*Headcount!$F$5:$F$90*((Headcount!$I$5:$I$90=0)+(Headcount!$I$5:$I$90=1)*$C$16)*(C$18&gt;=(Headcount!$E$5:$E$90+Headcount!$G$5:$G$90*$C$15)))/12*(1+Assumptions!$C$97)</f>
        <v>41683.3333333333</v>
      </c>
      <c r="D190" s="9" t="n">
        <f aca="false">SUMPRODUCT((Headcount!$C$5:$C$90="ENG")*Headcount!$D$5:$D$90*Headcount!$F$5:$F$90*((Headcount!$I$5:$I$90=0)+(Headcount!$I$5:$I$90=1)*$C$16)*(D$18&gt;=(Headcount!$E$5:$E$90+Headcount!$G$5:$G$90*$C$15)))/12*(1+Assumptions!$C$97)</f>
        <v>56933.3333333333</v>
      </c>
      <c r="E190" s="9" t="n">
        <f aca="false">SUMPRODUCT((Headcount!$C$5:$C$90="ENG")*Headcount!$D$5:$D$90*Headcount!$F$5:$F$90*((Headcount!$I$5:$I$90=0)+(Headcount!$I$5:$I$90=1)*$C$16)*(E$18&gt;=(Headcount!$E$5:$E$90+Headcount!$G$5:$G$90*$C$15)))/12*(1+Assumptions!$C$97)</f>
        <v>56933.3333333333</v>
      </c>
      <c r="F190" s="9" t="n">
        <f aca="false">SUMPRODUCT((Headcount!$C$5:$C$90="ENG")*Headcount!$D$5:$D$90*Headcount!$F$5:$F$90*((Headcount!$I$5:$I$90=0)+(Headcount!$I$5:$I$90=1)*$C$16)*(F$18&gt;=(Headcount!$E$5:$E$90+Headcount!$G$5:$G$90*$C$15)))/12*(1+Assumptions!$C$97)</f>
        <v>56933.3333333333</v>
      </c>
      <c r="G190" s="9" t="n">
        <f aca="false">SUMPRODUCT((Headcount!$C$5:$C$90="ENG")*Headcount!$D$5:$D$90*Headcount!$F$5:$F$90*((Headcount!$I$5:$I$90=0)+(Headcount!$I$5:$I$90=1)*$C$16)*(G$18&gt;=(Headcount!$E$5:$E$90+Headcount!$G$5:$G$90*$C$15)))/12*(1+Assumptions!$C$97)</f>
        <v>73200</v>
      </c>
      <c r="H190" s="9" t="n">
        <f aca="false">SUMPRODUCT((Headcount!$C$5:$C$90="ENG")*Headcount!$D$5:$D$90*Headcount!$F$5:$F$90*((Headcount!$I$5:$I$90=0)+(Headcount!$I$5:$I$90=1)*$C$16)*(H$18&gt;=(Headcount!$E$5:$E$90+Headcount!$G$5:$G$90*$C$15)))/12*(1+Assumptions!$C$97)</f>
        <v>103700</v>
      </c>
      <c r="I190" s="9" t="n">
        <f aca="false">SUMPRODUCT((Headcount!$C$5:$C$90="ENG")*Headcount!$D$5:$D$90*Headcount!$F$5:$F$90*((Headcount!$I$5:$I$90=0)+(Headcount!$I$5:$I$90=1)*$C$16)*(I$18&gt;=(Headcount!$E$5:$E$90+Headcount!$G$5:$G$90*$C$15)))/12*(1+Assumptions!$C$97)</f>
        <v>118950</v>
      </c>
      <c r="J190" s="9" t="n">
        <f aca="false">SUMPRODUCT((Headcount!$C$5:$C$90="ENG")*Headcount!$D$5:$D$90*Headcount!$F$5:$F$90*((Headcount!$I$5:$I$90=0)+(Headcount!$I$5:$I$90=1)*$C$16)*(J$18&gt;=(Headcount!$E$5:$E$90+Headcount!$G$5:$G$90*$C$15)))/12*(1+Assumptions!$C$97)</f>
        <v>118950</v>
      </c>
      <c r="K190" s="9" t="n">
        <f aca="false">SUMPRODUCT((Headcount!$C$5:$C$90="ENG")*Headcount!$D$5:$D$90*Headcount!$F$5:$F$90*((Headcount!$I$5:$I$90=0)+(Headcount!$I$5:$I$90=1)*$C$16)*(K$18&gt;=(Headcount!$E$5:$E$90+Headcount!$G$5:$G$90*$C$15)))/12*(1+Assumptions!$C$97)</f>
        <v>133691.666666667</v>
      </c>
      <c r="L190" s="9" t="n">
        <f aca="false">SUMPRODUCT((Headcount!$C$5:$C$90="ENG")*Headcount!$D$5:$D$90*Headcount!$F$5:$F$90*((Headcount!$I$5:$I$90=0)+(Headcount!$I$5:$I$90=1)*$C$16)*(L$18&gt;=(Headcount!$E$5:$E$90+Headcount!$G$5:$G$90*$C$15)))/12*(1+Assumptions!$C$97)</f>
        <v>165208.333333333</v>
      </c>
      <c r="M190" s="9" t="n">
        <f aca="false">SUMPRODUCT((Headcount!$C$5:$C$90="ENG")*Headcount!$D$5:$D$90*Headcount!$F$5:$F$90*((Headcount!$I$5:$I$90=0)+(Headcount!$I$5:$I$90=1)*$C$16)*(M$18&gt;=(Headcount!$E$5:$E$90+Headcount!$G$5:$G$90*$C$15)))/12*(1+Assumptions!$C$97)</f>
        <v>194183.333333333</v>
      </c>
      <c r="N190" s="9" t="n">
        <f aca="false">SUMPRODUCT((Headcount!$C$5:$C$90="ENG")*Headcount!$D$5:$D$90*Headcount!$F$5:$F$90*((Headcount!$I$5:$I$90=0)+(Headcount!$I$5:$I$90=1)*$C$16)*(N$18&gt;=(Headcount!$E$5:$E$90+Headcount!$G$5:$G$90*$C$15)))/12*(1+Assumptions!$C$97)</f>
        <v>209433.333333333</v>
      </c>
      <c r="O190" s="9" t="n">
        <f aca="false">SUMPRODUCT((Headcount!$C$5:$C$90="ENG")*Headcount!$D$5:$D$90*Headcount!$F$5:$F$90*((Headcount!$I$5:$I$90=0)+(Headcount!$I$5:$I$90=1)*$C$16)*(O$18&gt;=(Headcount!$E$5:$E$90+Headcount!$G$5:$G$90*$C$15)))/12*(1+Assumptions!$C$97)</f>
        <v>256200</v>
      </c>
      <c r="P190" s="9" t="n">
        <f aca="false">SUMPRODUCT((Headcount!$C$5:$C$90="ENG")*Headcount!$D$5:$D$90*Headcount!$F$5:$F$90*((Headcount!$I$5:$I$90=0)+(Headcount!$I$5:$I$90=1)*$C$16)*(P$18&gt;=(Headcount!$E$5:$E$90+Headcount!$G$5:$G$90*$C$15)))/12*(1+Assumptions!$C$97)</f>
        <v>306016.666666667</v>
      </c>
      <c r="Q190" s="9" t="n">
        <f aca="false">SUMPRODUCT((Headcount!$C$5:$C$90="ENG")*Headcount!$D$5:$D$90*Headcount!$F$5:$F$90*((Headcount!$I$5:$I$90=0)+(Headcount!$I$5:$I$90=1)*$C$16)*(Q$18&gt;=(Headcount!$E$5:$E$90+Headcount!$G$5:$G$90*$C$15)))/12*(1+Assumptions!$C$97)</f>
        <v>306016.666666667</v>
      </c>
      <c r="R190" s="9" t="n">
        <f aca="false">SUMPRODUCT((Headcount!$C$5:$C$90="ENG")*Headcount!$D$5:$D$90*Headcount!$F$5:$F$90*((Headcount!$I$5:$I$90=0)+(Headcount!$I$5:$I$90=1)*$C$16)*(R$18&gt;=(Headcount!$E$5:$E$90+Headcount!$G$5:$G$90*$C$15)))/12*(1+Assumptions!$C$97)</f>
        <v>321266.666666667</v>
      </c>
      <c r="S190" s="9" t="n">
        <f aca="false">SUMPRODUCT((Headcount!$C$5:$C$90="ENG")*Headcount!$D$5:$D$90*Headcount!$F$5:$F$90*((Headcount!$I$5:$I$90=0)+(Headcount!$I$5:$I$90=1)*$C$16)*(S$18&gt;=(Headcount!$E$5:$E$90+Headcount!$G$5:$G$90*$C$15)))/12*(1+Assumptions!$C$97)</f>
        <v>321266.666666667</v>
      </c>
      <c r="T190" s="9" t="n">
        <f aca="false">SUMPRODUCT((Headcount!$C$5:$C$90="ENG")*Headcount!$D$5:$D$90*Headcount!$F$5:$F$90*((Headcount!$I$5:$I$90=0)+(Headcount!$I$5:$I$90=1)*$C$16)*(T$18&gt;=(Headcount!$E$5:$E$90+Headcount!$G$5:$G$90*$C$15)))/12*(1+Assumptions!$C$97)</f>
        <v>321266.666666667</v>
      </c>
      <c r="U190" s="9" t="n">
        <f aca="false">SUMPRODUCT((Headcount!$C$5:$C$90="ENG")*Headcount!$D$5:$D$90*Headcount!$F$5:$F$90*((Headcount!$I$5:$I$90=0)+(Headcount!$I$5:$I$90=1)*$C$16)*(U$18&gt;=(Headcount!$E$5:$E$90+Headcount!$G$5:$G$90*$C$15)))/12*(1+Assumptions!$C$97)</f>
        <v>336516.666666667</v>
      </c>
      <c r="V190" s="9" t="n">
        <f aca="false">SUMPRODUCT((Headcount!$C$5:$C$90="ENG")*Headcount!$D$5:$D$90*Headcount!$F$5:$F$90*((Headcount!$I$5:$I$90=0)+(Headcount!$I$5:$I$90=1)*$C$16)*(V$18&gt;=(Headcount!$E$5:$E$90+Headcount!$G$5:$G$90*$C$15)))/12*(1+Assumptions!$C$97)</f>
        <v>347700</v>
      </c>
      <c r="W190" s="9" t="n">
        <f aca="false">SUMPRODUCT((Headcount!$C$5:$C$90="ENG")*Headcount!$D$5:$D$90*Headcount!$F$5:$F$90*((Headcount!$I$5:$I$90=0)+(Headcount!$I$5:$I$90=1)*$C$16)*(W$18&gt;=(Headcount!$E$5:$E$90+Headcount!$G$5:$G$90*$C$15)))/12*(1+Assumptions!$C$97)</f>
        <v>382266.666666667</v>
      </c>
      <c r="X190" s="9" t="n">
        <f aca="false">SUMPRODUCT((Headcount!$C$5:$C$90="ENG")*Headcount!$D$5:$D$90*Headcount!$F$5:$F$90*((Headcount!$I$5:$I$90=0)+(Headcount!$I$5:$I$90=1)*$C$16)*(X$18&gt;=(Headcount!$E$5:$E$90+Headcount!$G$5:$G$90*$C$15)))/12*(1+Assumptions!$C$97)</f>
        <v>401583.333333333</v>
      </c>
      <c r="Y190" s="9" t="n">
        <f aca="false">SUMPRODUCT((Headcount!$C$5:$C$90="ENG")*Headcount!$D$5:$D$90*Headcount!$F$5:$F$90*((Headcount!$I$5:$I$90=0)+(Headcount!$I$5:$I$90=1)*$C$16)*(Y$18&gt;=(Headcount!$E$5:$E$90+Headcount!$G$5:$G$90*$C$15)))/12*(1+Assumptions!$C$97)</f>
        <v>401583.333333333</v>
      </c>
      <c r="Z190" s="9" t="n">
        <f aca="false">SUMPRODUCT((Headcount!$C$5:$C$90="ENG")*Headcount!$D$5:$D$90*Headcount!$F$5:$F$90*((Headcount!$I$5:$I$90=0)+(Headcount!$I$5:$I$90=1)*$C$16)*(Z$18&gt;=(Headcount!$E$5:$E$90+Headcount!$G$5:$G$90*$C$15)))/12*(1+Assumptions!$C$97)</f>
        <v>433100</v>
      </c>
      <c r="AA190" s="9" t="n">
        <f aca="false">SUMPRODUCT((Headcount!$C$5:$C$90="ENG")*Headcount!$D$5:$D$90*Headcount!$F$5:$F$90*((Headcount!$I$5:$I$90=0)+(Headcount!$I$5:$I$90=1)*$C$16)*(AA$18&gt;=(Headcount!$E$5:$E$90+Headcount!$G$5:$G$90*$C$15)))/12*(1+Assumptions!$C$97)</f>
        <v>433100</v>
      </c>
      <c r="AB190" s="9" t="n">
        <f aca="false">SUMPRODUCT((Headcount!$C$5:$C$90="ENG")*Headcount!$D$5:$D$90*Headcount!$F$5:$F$90*((Headcount!$I$5:$I$90=0)+(Headcount!$I$5:$I$90=1)*$C$16)*(AB$18&gt;=(Headcount!$E$5:$E$90+Headcount!$G$5:$G$90*$C$15)))/12*(1+Assumptions!$C$97)</f>
        <v>463600</v>
      </c>
      <c r="AC190" s="9" t="n">
        <f aca="false">SUMPRODUCT((Headcount!$C$5:$C$90="ENG")*Headcount!$D$5:$D$90*Headcount!$F$5:$F$90*((Headcount!$I$5:$I$90=0)+(Headcount!$I$5:$I$90=1)*$C$16)*(AC$18&gt;=(Headcount!$E$5:$E$90+Headcount!$G$5:$G$90*$C$15)))/12*(1+Assumptions!$C$97)</f>
        <v>482916.666666667</v>
      </c>
      <c r="AD190" s="9" t="n">
        <f aca="false">SUMPRODUCT((Headcount!$C$5:$C$90="ENG")*Headcount!$D$5:$D$90*Headcount!$F$5:$F$90*((Headcount!$I$5:$I$90=0)+(Headcount!$I$5:$I$90=1)*$C$16)*(AD$18&gt;=(Headcount!$E$5:$E$90+Headcount!$G$5:$G$90*$C$15)))/12*(1+Assumptions!$C$97)</f>
        <v>482916.666666667</v>
      </c>
      <c r="AE190" s="9" t="n">
        <f aca="false">SUMPRODUCT((Headcount!$C$5:$C$90="ENG")*Headcount!$D$5:$D$90*Headcount!$F$5:$F$90*((Headcount!$I$5:$I$90=0)+(Headcount!$I$5:$I$90=1)*$C$16)*(AE$18&gt;=(Headcount!$E$5:$E$90+Headcount!$G$5:$G$90*$C$15)))/12*(1+Assumptions!$C$97)</f>
        <v>482916.666666667</v>
      </c>
      <c r="AF190" s="9" t="n">
        <f aca="false">SUMPRODUCT((Headcount!$C$5:$C$90="ENG")*Headcount!$D$5:$D$90*Headcount!$F$5:$F$90*((Headcount!$I$5:$I$90=0)+(Headcount!$I$5:$I$90=1)*$C$16)*(AF$18&gt;=(Headcount!$E$5:$E$90+Headcount!$G$5:$G$90*$C$15)))/12*(1+Assumptions!$C$97)</f>
        <v>482916.666666667</v>
      </c>
      <c r="AG190" s="9" t="n">
        <f aca="false">SUMPRODUCT((Headcount!$C$5:$C$90="ENG")*Headcount!$D$5:$D$90*Headcount!$F$5:$F$90*((Headcount!$I$5:$I$90=0)+(Headcount!$I$5:$I$90=1)*$C$16)*(AG$18&gt;=(Headcount!$E$5:$E$90+Headcount!$G$5:$G$90*$C$15)))/12*(1+Assumptions!$C$97)</f>
        <v>482916.666666667</v>
      </c>
      <c r="AH190" s="9" t="n">
        <f aca="false">SUMPRODUCT((Headcount!$C$5:$C$90="ENG")*Headcount!$D$5:$D$90*Headcount!$F$5:$F$90*((Headcount!$I$5:$I$90=0)+(Headcount!$I$5:$I$90=1)*$C$16)*(AH$18&gt;=(Headcount!$E$5:$E$90+Headcount!$G$5:$G$90*$C$15)))/12*(1+Assumptions!$C$97)</f>
        <v>498166.666666667</v>
      </c>
      <c r="AI190" s="9" t="n">
        <f aca="false">SUMPRODUCT((Headcount!$C$5:$C$90="ENG")*Headcount!$D$5:$D$90*Headcount!$F$5:$F$90*((Headcount!$I$5:$I$90=0)+(Headcount!$I$5:$I$90=1)*$C$16)*(AI$18&gt;=(Headcount!$E$5:$E$90+Headcount!$G$5:$G$90*$C$15)))/12*(1+Assumptions!$C$97)</f>
        <v>517483.333333333</v>
      </c>
      <c r="AJ190" s="9" t="n">
        <f aca="false">SUMPRODUCT((Headcount!$C$5:$C$90="ENG")*Headcount!$D$5:$D$90*Headcount!$F$5:$F$90*((Headcount!$I$5:$I$90=0)+(Headcount!$I$5:$I$90=1)*$C$16)*(AJ$18&gt;=(Headcount!$E$5:$E$90+Headcount!$G$5:$G$90*$C$15)))/12*(1+Assumptions!$C$97)</f>
        <v>532733.333333333</v>
      </c>
      <c r="AK190" s="9" t="n">
        <f aca="false">SUMPRODUCT((Headcount!$C$5:$C$90="ENG")*Headcount!$D$5:$D$90*Headcount!$F$5:$F$90*((Headcount!$I$5:$I$90=0)+(Headcount!$I$5:$I$90=1)*$C$16)*(AK$18&gt;=(Headcount!$E$5:$E$90+Headcount!$G$5:$G$90*$C$15)))/12*(1+Assumptions!$C$97)</f>
        <v>549000</v>
      </c>
      <c r="AL190" s="9" t="n">
        <f aca="false">SUMPRODUCT((Headcount!$C$5:$C$90="ENG")*Headcount!$D$5:$D$90*Headcount!$F$5:$F$90*((Headcount!$I$5:$I$90=0)+(Headcount!$I$5:$I$90=1)*$C$16)*(AL$18&gt;=(Headcount!$E$5:$E$90+Headcount!$G$5:$G$90*$C$15)))/12*(1+Assumptions!$C$97)</f>
        <v>549000</v>
      </c>
      <c r="AN190" s="11" t="n">
        <f aca="false">SUM(C190:N190)</f>
        <v>1329800</v>
      </c>
      <c r="AO190" s="11" t="n">
        <f aca="false">SUM(O190:Z190)</f>
        <v>4134783.33333333</v>
      </c>
      <c r="AP190" s="11" t="n">
        <f aca="false">SUM(AA190:AL190)</f>
        <v>5957666.66666667</v>
      </c>
    </row>
    <row r="191" customFormat="false" ht="15" hidden="false" customHeight="false" outlineLevel="0" collapsed="false">
      <c r="A191" s="0" t="s">
        <v>992</v>
      </c>
      <c r="B191" s="0" t="s">
        <v>230</v>
      </c>
      <c r="C191" s="9" t="n">
        <f aca="false">SUMPRODUCT((Headcount!$C$5:$C$90="PROD")*Headcount!$D$5:$D$90*Headcount!$F$5:$F$90*((Headcount!$I$5:$I$90=0)+(Headcount!$I$5:$I$90=1)*$C$16)*(C$18&gt;=(Headcount!$E$5:$E$90+Headcount!$G$5:$G$90*$C$15)))/12*(1+Assumptions!$C$97)</f>
        <v>0</v>
      </c>
      <c r="D191" s="9" t="n">
        <f aca="false">SUMPRODUCT((Headcount!$C$5:$C$90="PROD")*Headcount!$D$5:$D$90*Headcount!$F$5:$F$90*((Headcount!$I$5:$I$90=0)+(Headcount!$I$5:$I$90=1)*$C$16)*(D$18&gt;=(Headcount!$E$5:$E$90+Headcount!$G$5:$G$90*$C$15)))/12*(1+Assumptions!$C$97)</f>
        <v>0</v>
      </c>
      <c r="E191" s="9" t="n">
        <f aca="false">SUMPRODUCT((Headcount!$C$5:$C$90="PROD")*Headcount!$D$5:$D$90*Headcount!$F$5:$F$90*((Headcount!$I$5:$I$90=0)+(Headcount!$I$5:$I$90=1)*$C$16)*(E$18&gt;=(Headcount!$E$5:$E$90+Headcount!$G$5:$G$90*$C$15)))/12*(1+Assumptions!$C$97)</f>
        <v>13216.6666666667</v>
      </c>
      <c r="F191" s="9" t="n">
        <f aca="false">SUMPRODUCT((Headcount!$C$5:$C$90="PROD")*Headcount!$D$5:$D$90*Headcount!$F$5:$F$90*((Headcount!$I$5:$I$90=0)+(Headcount!$I$5:$I$90=1)*$C$16)*(F$18&gt;=(Headcount!$E$5:$E$90+Headcount!$G$5:$G$90*$C$15)))/12*(1+Assumptions!$C$97)</f>
        <v>27450</v>
      </c>
      <c r="G191" s="9" t="n">
        <f aca="false">SUMPRODUCT((Headcount!$C$5:$C$90="PROD")*Headcount!$D$5:$D$90*Headcount!$F$5:$F$90*((Headcount!$I$5:$I$90=0)+(Headcount!$I$5:$I$90=1)*$C$16)*(G$18&gt;=(Headcount!$E$5:$E$90+Headcount!$G$5:$G$90*$C$15)))/12*(1+Assumptions!$C$97)</f>
        <v>27450</v>
      </c>
      <c r="H191" s="9" t="n">
        <f aca="false">SUMPRODUCT((Headcount!$C$5:$C$90="PROD")*Headcount!$D$5:$D$90*Headcount!$F$5:$F$90*((Headcount!$I$5:$I$90=0)+(Headcount!$I$5:$I$90=1)*$C$16)*(H$18&gt;=(Headcount!$E$5:$E$90+Headcount!$G$5:$G$90*$C$15)))/12*(1+Assumptions!$C$97)</f>
        <v>27450</v>
      </c>
      <c r="I191" s="9" t="n">
        <f aca="false">SUMPRODUCT((Headcount!$C$5:$C$90="PROD")*Headcount!$D$5:$D$90*Headcount!$F$5:$F$90*((Headcount!$I$5:$I$90=0)+(Headcount!$I$5:$I$90=1)*$C$16)*(I$18&gt;=(Headcount!$E$5:$E$90+Headcount!$G$5:$G$90*$C$15)))/12*(1+Assumptions!$C$97)</f>
        <v>27450</v>
      </c>
      <c r="J191" s="9" t="n">
        <f aca="false">SUMPRODUCT((Headcount!$C$5:$C$90="PROD")*Headcount!$D$5:$D$90*Headcount!$F$5:$F$90*((Headcount!$I$5:$I$90=0)+(Headcount!$I$5:$I$90=1)*$C$16)*(J$18&gt;=(Headcount!$E$5:$E$90+Headcount!$G$5:$G$90*$C$15)))/12*(1+Assumptions!$C$97)</f>
        <v>27450</v>
      </c>
      <c r="K191" s="9" t="n">
        <f aca="false">SUMPRODUCT((Headcount!$C$5:$C$90="PROD")*Headcount!$D$5:$D$90*Headcount!$F$5:$F$90*((Headcount!$I$5:$I$90=0)+(Headcount!$I$5:$I$90=1)*$C$16)*(K$18&gt;=(Headcount!$E$5:$E$90+Headcount!$G$5:$G$90*$C$15)))/12*(1+Assumptions!$C$97)</f>
        <v>27450</v>
      </c>
      <c r="L191" s="9" t="n">
        <f aca="false">SUMPRODUCT((Headcount!$C$5:$C$90="PROD")*Headcount!$D$5:$D$90*Headcount!$F$5:$F$90*((Headcount!$I$5:$I$90=0)+(Headcount!$I$5:$I$90=1)*$C$16)*(L$18&gt;=(Headcount!$E$5:$E$90+Headcount!$G$5:$G$90*$C$15)))/12*(1+Assumptions!$C$97)</f>
        <v>39141.6666666667</v>
      </c>
      <c r="M191" s="9" t="n">
        <f aca="false">SUMPRODUCT((Headcount!$C$5:$C$90="PROD")*Headcount!$D$5:$D$90*Headcount!$F$5:$F$90*((Headcount!$I$5:$I$90=0)+(Headcount!$I$5:$I$90=1)*$C$16)*(M$18&gt;=(Headcount!$E$5:$E$90+Headcount!$G$5:$G$90*$C$15)))/12*(1+Assumptions!$C$97)</f>
        <v>39141.6666666667</v>
      </c>
      <c r="N191" s="9" t="n">
        <f aca="false">SUMPRODUCT((Headcount!$C$5:$C$90="PROD")*Headcount!$D$5:$D$90*Headcount!$F$5:$F$90*((Headcount!$I$5:$I$90=0)+(Headcount!$I$5:$I$90=1)*$C$16)*(N$18&gt;=(Headcount!$E$5:$E$90+Headcount!$G$5:$G$90*$C$15)))/12*(1+Assumptions!$C$97)</f>
        <v>52358.3333333333</v>
      </c>
      <c r="O191" s="9" t="n">
        <f aca="false">SUMPRODUCT((Headcount!$C$5:$C$90="PROD")*Headcount!$D$5:$D$90*Headcount!$F$5:$F$90*((Headcount!$I$5:$I$90=0)+(Headcount!$I$5:$I$90=1)*$C$16)*(O$18&gt;=(Headcount!$E$5:$E$90+Headcount!$G$5:$G$90*$C$15)))/12*(1+Assumptions!$C$97)</f>
        <v>52358.3333333333</v>
      </c>
      <c r="P191" s="9" t="n">
        <f aca="false">SUMPRODUCT((Headcount!$C$5:$C$90="PROD")*Headcount!$D$5:$D$90*Headcount!$F$5:$F$90*((Headcount!$I$5:$I$90=0)+(Headcount!$I$5:$I$90=1)*$C$16)*(P$18&gt;=(Headcount!$E$5:$E$90+Headcount!$G$5:$G$90*$C$15)))/12*(1+Assumptions!$C$97)</f>
        <v>52358.3333333333</v>
      </c>
      <c r="Q191" s="9" t="n">
        <f aca="false">SUMPRODUCT((Headcount!$C$5:$C$90="PROD")*Headcount!$D$5:$D$90*Headcount!$F$5:$F$90*((Headcount!$I$5:$I$90=0)+(Headcount!$I$5:$I$90=1)*$C$16)*(Q$18&gt;=(Headcount!$E$5:$E$90+Headcount!$G$5:$G$90*$C$15)))/12*(1+Assumptions!$C$97)</f>
        <v>65575</v>
      </c>
      <c r="R191" s="9" t="n">
        <f aca="false">SUMPRODUCT((Headcount!$C$5:$C$90="PROD")*Headcount!$D$5:$D$90*Headcount!$F$5:$F$90*((Headcount!$I$5:$I$90=0)+(Headcount!$I$5:$I$90=1)*$C$16)*(R$18&gt;=(Headcount!$E$5:$E$90+Headcount!$G$5:$G$90*$C$15)))/12*(1+Assumptions!$C$97)</f>
        <v>65575</v>
      </c>
      <c r="S191" s="9" t="n">
        <f aca="false">SUMPRODUCT((Headcount!$C$5:$C$90="PROD")*Headcount!$D$5:$D$90*Headcount!$F$5:$F$90*((Headcount!$I$5:$I$90=0)+(Headcount!$I$5:$I$90=1)*$C$16)*(S$18&gt;=(Headcount!$E$5:$E$90+Headcount!$G$5:$G$90*$C$15)))/12*(1+Assumptions!$C$97)</f>
        <v>65575</v>
      </c>
      <c r="T191" s="9" t="n">
        <f aca="false">SUMPRODUCT((Headcount!$C$5:$C$90="PROD")*Headcount!$D$5:$D$90*Headcount!$F$5:$F$90*((Headcount!$I$5:$I$90=0)+(Headcount!$I$5:$I$90=1)*$C$16)*(T$18&gt;=(Headcount!$E$5:$E$90+Headcount!$G$5:$G$90*$C$15)))/12*(1+Assumptions!$C$97)</f>
        <v>65575</v>
      </c>
      <c r="U191" s="9" t="n">
        <f aca="false">SUMPRODUCT((Headcount!$C$5:$C$90="PROD")*Headcount!$D$5:$D$90*Headcount!$F$5:$F$90*((Headcount!$I$5:$I$90=0)+(Headcount!$I$5:$I$90=1)*$C$16)*(U$18&gt;=(Headcount!$E$5:$E$90+Headcount!$G$5:$G$90*$C$15)))/12*(1+Assumptions!$C$97)</f>
        <v>65575</v>
      </c>
      <c r="V191" s="9" t="n">
        <f aca="false">SUMPRODUCT((Headcount!$C$5:$C$90="PROD")*Headcount!$D$5:$D$90*Headcount!$F$5:$F$90*((Headcount!$I$5:$I$90=0)+(Headcount!$I$5:$I$90=1)*$C$16)*(V$18&gt;=(Headcount!$E$5:$E$90+Headcount!$G$5:$G$90*$C$15)))/12*(1+Assumptions!$C$97)</f>
        <v>65575</v>
      </c>
      <c r="W191" s="9" t="n">
        <f aca="false">SUMPRODUCT((Headcount!$C$5:$C$90="PROD")*Headcount!$D$5:$D$90*Headcount!$F$5:$F$90*((Headcount!$I$5:$I$90=0)+(Headcount!$I$5:$I$90=1)*$C$16)*(W$18&gt;=(Headcount!$E$5:$E$90+Headcount!$G$5:$G$90*$C$15)))/12*(1+Assumptions!$C$97)</f>
        <v>65575</v>
      </c>
      <c r="X191" s="9" t="n">
        <f aca="false">SUMPRODUCT((Headcount!$C$5:$C$90="PROD")*Headcount!$D$5:$D$90*Headcount!$F$5:$F$90*((Headcount!$I$5:$I$90=0)+(Headcount!$I$5:$I$90=1)*$C$16)*(X$18&gt;=(Headcount!$E$5:$E$90+Headcount!$G$5:$G$90*$C$15)))/12*(1+Assumptions!$C$97)</f>
        <v>65575</v>
      </c>
      <c r="Y191" s="9" t="n">
        <f aca="false">SUMPRODUCT((Headcount!$C$5:$C$90="PROD")*Headcount!$D$5:$D$90*Headcount!$F$5:$F$90*((Headcount!$I$5:$I$90=0)+(Headcount!$I$5:$I$90=1)*$C$16)*(Y$18&gt;=(Headcount!$E$5:$E$90+Headcount!$G$5:$G$90*$C$15)))/12*(1+Assumptions!$C$97)</f>
        <v>65575</v>
      </c>
      <c r="Z191" s="9" t="n">
        <f aca="false">SUMPRODUCT((Headcount!$C$5:$C$90="PROD")*Headcount!$D$5:$D$90*Headcount!$F$5:$F$90*((Headcount!$I$5:$I$90=0)+(Headcount!$I$5:$I$90=1)*$C$16)*(Z$18&gt;=(Headcount!$E$5:$E$90+Headcount!$G$5:$G$90*$C$15)))/12*(1+Assumptions!$C$97)</f>
        <v>65575</v>
      </c>
      <c r="AA191" s="9" t="n">
        <f aca="false">SUMPRODUCT((Headcount!$C$5:$C$90="PROD")*Headcount!$D$5:$D$90*Headcount!$F$5:$F$90*((Headcount!$I$5:$I$90=0)+(Headcount!$I$5:$I$90=1)*$C$16)*(AA$18&gt;=(Headcount!$E$5:$E$90+Headcount!$G$5:$G$90*$C$15)))/12*(1+Assumptions!$C$97)</f>
        <v>78791.6666666667</v>
      </c>
      <c r="AB191" s="9" t="n">
        <f aca="false">SUMPRODUCT((Headcount!$C$5:$C$90="PROD")*Headcount!$D$5:$D$90*Headcount!$F$5:$F$90*((Headcount!$I$5:$I$90=0)+(Headcount!$I$5:$I$90=1)*$C$16)*(AB$18&gt;=(Headcount!$E$5:$E$90+Headcount!$G$5:$G$90*$C$15)))/12*(1+Assumptions!$C$97)</f>
        <v>78791.6666666667</v>
      </c>
      <c r="AC191" s="9" t="n">
        <f aca="false">SUMPRODUCT((Headcount!$C$5:$C$90="PROD")*Headcount!$D$5:$D$90*Headcount!$F$5:$F$90*((Headcount!$I$5:$I$90=0)+(Headcount!$I$5:$I$90=1)*$C$16)*(AC$18&gt;=(Headcount!$E$5:$E$90+Headcount!$G$5:$G$90*$C$15)))/12*(1+Assumptions!$C$97)</f>
        <v>78791.6666666667</v>
      </c>
      <c r="AD191" s="9" t="n">
        <f aca="false">SUMPRODUCT((Headcount!$C$5:$C$90="PROD")*Headcount!$D$5:$D$90*Headcount!$F$5:$F$90*((Headcount!$I$5:$I$90=0)+(Headcount!$I$5:$I$90=1)*$C$16)*(AD$18&gt;=(Headcount!$E$5:$E$90+Headcount!$G$5:$G$90*$C$15)))/12*(1+Assumptions!$C$97)</f>
        <v>78791.6666666667</v>
      </c>
      <c r="AE191" s="9" t="n">
        <f aca="false">SUMPRODUCT((Headcount!$C$5:$C$90="PROD")*Headcount!$D$5:$D$90*Headcount!$F$5:$F$90*((Headcount!$I$5:$I$90=0)+(Headcount!$I$5:$I$90=1)*$C$16)*(AE$18&gt;=(Headcount!$E$5:$E$90+Headcount!$G$5:$G$90*$C$15)))/12*(1+Assumptions!$C$97)</f>
        <v>78791.6666666667</v>
      </c>
      <c r="AF191" s="9" t="n">
        <f aca="false">SUMPRODUCT((Headcount!$C$5:$C$90="PROD")*Headcount!$D$5:$D$90*Headcount!$F$5:$F$90*((Headcount!$I$5:$I$90=0)+(Headcount!$I$5:$I$90=1)*$C$16)*(AF$18&gt;=(Headcount!$E$5:$E$90+Headcount!$G$5:$G$90*$C$15)))/12*(1+Assumptions!$C$97)</f>
        <v>78791.6666666667</v>
      </c>
      <c r="AG191" s="9" t="n">
        <f aca="false">SUMPRODUCT((Headcount!$C$5:$C$90="PROD")*Headcount!$D$5:$D$90*Headcount!$F$5:$F$90*((Headcount!$I$5:$I$90=0)+(Headcount!$I$5:$I$90=1)*$C$16)*(AG$18&gt;=(Headcount!$E$5:$E$90+Headcount!$G$5:$G$90*$C$15)))/12*(1+Assumptions!$C$97)</f>
        <v>78791.6666666667</v>
      </c>
      <c r="AH191" s="9" t="n">
        <f aca="false">SUMPRODUCT((Headcount!$C$5:$C$90="PROD")*Headcount!$D$5:$D$90*Headcount!$F$5:$F$90*((Headcount!$I$5:$I$90=0)+(Headcount!$I$5:$I$90=1)*$C$16)*(AH$18&gt;=(Headcount!$E$5:$E$90+Headcount!$G$5:$G$90*$C$15)))/12*(1+Assumptions!$C$97)</f>
        <v>78791.6666666667</v>
      </c>
      <c r="AI191" s="9" t="n">
        <f aca="false">SUMPRODUCT((Headcount!$C$5:$C$90="PROD")*Headcount!$D$5:$D$90*Headcount!$F$5:$F$90*((Headcount!$I$5:$I$90=0)+(Headcount!$I$5:$I$90=1)*$C$16)*(AI$18&gt;=(Headcount!$E$5:$E$90+Headcount!$G$5:$G$90*$C$15)))/12*(1+Assumptions!$C$97)</f>
        <v>78791.6666666667</v>
      </c>
      <c r="AJ191" s="9" t="n">
        <f aca="false">SUMPRODUCT((Headcount!$C$5:$C$90="PROD")*Headcount!$D$5:$D$90*Headcount!$F$5:$F$90*((Headcount!$I$5:$I$90=0)+(Headcount!$I$5:$I$90=1)*$C$16)*(AJ$18&gt;=(Headcount!$E$5:$E$90+Headcount!$G$5:$G$90*$C$15)))/12*(1+Assumptions!$C$97)</f>
        <v>78791.6666666667</v>
      </c>
      <c r="AK191" s="9" t="n">
        <f aca="false">SUMPRODUCT((Headcount!$C$5:$C$90="PROD")*Headcount!$D$5:$D$90*Headcount!$F$5:$F$90*((Headcount!$I$5:$I$90=0)+(Headcount!$I$5:$I$90=1)*$C$16)*(AK$18&gt;=(Headcount!$E$5:$E$90+Headcount!$G$5:$G$90*$C$15)))/12*(1+Assumptions!$C$97)</f>
        <v>78791.6666666667</v>
      </c>
      <c r="AL191" s="9" t="n">
        <f aca="false">SUMPRODUCT((Headcount!$C$5:$C$90="PROD")*Headcount!$D$5:$D$90*Headcount!$F$5:$F$90*((Headcount!$I$5:$I$90=0)+(Headcount!$I$5:$I$90=1)*$C$16)*(AL$18&gt;=(Headcount!$E$5:$E$90+Headcount!$G$5:$G$90*$C$15)))/12*(1+Assumptions!$C$97)</f>
        <v>78791.6666666667</v>
      </c>
      <c r="AN191" s="11" t="n">
        <f aca="false">SUM(C191:N191)</f>
        <v>308558.333333333</v>
      </c>
      <c r="AO191" s="11" t="n">
        <f aca="false">SUM(O191:Z191)</f>
        <v>760466.666666667</v>
      </c>
      <c r="AP191" s="11" t="n">
        <f aca="false">SUM(AA191:AL191)</f>
        <v>945500</v>
      </c>
    </row>
    <row r="192" customFormat="false" ht="15" hidden="false" customHeight="false" outlineLevel="0" collapsed="false">
      <c r="A192" s="0" t="s">
        <v>993</v>
      </c>
      <c r="B192" s="0" t="s">
        <v>230</v>
      </c>
      <c r="C192" s="9" t="n">
        <f aca="false">SUMPRODUCT((Headcount!$C$5:$C$90="SEC")*Headcount!$D$5:$D$90*Headcount!$F$5:$F$90*((Headcount!$I$5:$I$90=0)+(Headcount!$I$5:$I$90=1)*$C$16)*(C$18&gt;=(Headcount!$E$5:$E$90+Headcount!$G$5:$G$90*$C$15)))/12*(1+Assumptions!$C$97)</f>
        <v>0</v>
      </c>
      <c r="D192" s="9" t="n">
        <f aca="false">SUMPRODUCT((Headcount!$C$5:$C$90="SEC")*Headcount!$D$5:$D$90*Headcount!$F$5:$F$90*((Headcount!$I$5:$I$90=0)+(Headcount!$I$5:$I$90=1)*$C$16)*(D$18&gt;=(Headcount!$E$5:$E$90+Headcount!$G$5:$G$90*$C$15)))/12*(1+Assumptions!$C$97)</f>
        <v>0</v>
      </c>
      <c r="E192" s="9" t="n">
        <f aca="false">SUMPRODUCT((Headcount!$C$5:$C$90="SEC")*Headcount!$D$5:$D$90*Headcount!$F$5:$F$90*((Headcount!$I$5:$I$90=0)+(Headcount!$I$5:$I$90=1)*$C$16)*(E$18&gt;=(Headcount!$E$5:$E$90+Headcount!$G$5:$G$90*$C$15)))/12*(1+Assumptions!$C$97)</f>
        <v>0</v>
      </c>
      <c r="F192" s="9" t="n">
        <f aca="false">SUMPRODUCT((Headcount!$C$5:$C$90="SEC")*Headcount!$D$5:$D$90*Headcount!$F$5:$F$90*((Headcount!$I$5:$I$90=0)+(Headcount!$I$5:$I$90=1)*$C$16)*(F$18&gt;=(Headcount!$E$5:$E$90+Headcount!$G$5:$G$90*$C$15)))/12*(1+Assumptions!$C$97)</f>
        <v>0</v>
      </c>
      <c r="G192" s="9" t="n">
        <f aca="false">SUMPRODUCT((Headcount!$C$5:$C$90="SEC")*Headcount!$D$5:$D$90*Headcount!$F$5:$F$90*((Headcount!$I$5:$I$90=0)+(Headcount!$I$5:$I$90=1)*$C$16)*(G$18&gt;=(Headcount!$E$5:$E$90+Headcount!$G$5:$G$90*$C$15)))/12*(1+Assumptions!$C$97)</f>
        <v>0</v>
      </c>
      <c r="H192" s="9" t="n">
        <f aca="false">SUMPRODUCT((Headcount!$C$5:$C$90="SEC")*Headcount!$D$5:$D$90*Headcount!$F$5:$F$90*((Headcount!$I$5:$I$90=0)+(Headcount!$I$5:$I$90=1)*$C$16)*(H$18&gt;=(Headcount!$E$5:$E$90+Headcount!$G$5:$G$90*$C$15)))/12*(1+Assumptions!$C$97)</f>
        <v>0</v>
      </c>
      <c r="I192" s="9" t="n">
        <f aca="false">SUMPRODUCT((Headcount!$C$5:$C$90="SEC")*Headcount!$D$5:$D$90*Headcount!$F$5:$F$90*((Headcount!$I$5:$I$90=0)+(Headcount!$I$5:$I$90=1)*$C$16)*(I$18&gt;=(Headcount!$E$5:$E$90+Headcount!$G$5:$G$90*$C$15)))/12*(1+Assumptions!$C$97)</f>
        <v>15250</v>
      </c>
      <c r="J192" s="9" t="n">
        <f aca="false">SUMPRODUCT((Headcount!$C$5:$C$90="SEC")*Headcount!$D$5:$D$90*Headcount!$F$5:$F$90*((Headcount!$I$5:$I$90=0)+(Headcount!$I$5:$I$90=1)*$C$16)*(J$18&gt;=(Headcount!$E$5:$E$90+Headcount!$G$5:$G$90*$C$15)))/12*(1+Assumptions!$C$97)</f>
        <v>15250</v>
      </c>
      <c r="K192" s="9" t="n">
        <f aca="false">SUMPRODUCT((Headcount!$C$5:$C$90="SEC")*Headcount!$D$5:$D$90*Headcount!$F$5:$F$90*((Headcount!$I$5:$I$90=0)+(Headcount!$I$5:$I$90=1)*$C$16)*(K$18&gt;=(Headcount!$E$5:$E$90+Headcount!$G$5:$G$90*$C$15)))/12*(1+Assumptions!$C$97)</f>
        <v>15250</v>
      </c>
      <c r="L192" s="9" t="n">
        <f aca="false">SUMPRODUCT((Headcount!$C$5:$C$90="SEC")*Headcount!$D$5:$D$90*Headcount!$F$5:$F$90*((Headcount!$I$5:$I$90=0)+(Headcount!$I$5:$I$90=1)*$C$16)*(L$18&gt;=(Headcount!$E$5:$E$90+Headcount!$G$5:$G$90*$C$15)))/12*(1+Assumptions!$C$97)</f>
        <v>15250</v>
      </c>
      <c r="M192" s="9" t="n">
        <f aca="false">SUMPRODUCT((Headcount!$C$5:$C$90="SEC")*Headcount!$D$5:$D$90*Headcount!$F$5:$F$90*((Headcount!$I$5:$I$90=0)+(Headcount!$I$5:$I$90=1)*$C$16)*(M$18&gt;=(Headcount!$E$5:$E$90+Headcount!$G$5:$G$90*$C$15)))/12*(1+Assumptions!$C$97)</f>
        <v>15250</v>
      </c>
      <c r="N192" s="9" t="n">
        <f aca="false">SUMPRODUCT((Headcount!$C$5:$C$90="SEC")*Headcount!$D$5:$D$90*Headcount!$F$5:$F$90*((Headcount!$I$5:$I$90=0)+(Headcount!$I$5:$I$90=1)*$C$16)*(N$18&gt;=(Headcount!$E$5:$E$90+Headcount!$G$5:$G$90*$C$15)))/12*(1+Assumptions!$C$97)</f>
        <v>15250</v>
      </c>
      <c r="O192" s="9" t="n">
        <f aca="false">SUMPRODUCT((Headcount!$C$5:$C$90="SEC")*Headcount!$D$5:$D$90*Headcount!$F$5:$F$90*((Headcount!$I$5:$I$90=0)+(Headcount!$I$5:$I$90=1)*$C$16)*(O$18&gt;=(Headcount!$E$5:$E$90+Headcount!$G$5:$G$90*$C$15)))/12*(1+Assumptions!$C$97)</f>
        <v>15250</v>
      </c>
      <c r="P192" s="9" t="n">
        <f aca="false">SUMPRODUCT((Headcount!$C$5:$C$90="SEC")*Headcount!$D$5:$D$90*Headcount!$F$5:$F$90*((Headcount!$I$5:$I$90=0)+(Headcount!$I$5:$I$90=1)*$C$16)*(P$18&gt;=(Headcount!$E$5:$E$90+Headcount!$G$5:$G$90*$C$15)))/12*(1+Assumptions!$C$97)</f>
        <v>15250</v>
      </c>
      <c r="Q192" s="9" t="n">
        <f aca="false">SUMPRODUCT((Headcount!$C$5:$C$90="SEC")*Headcount!$D$5:$D$90*Headcount!$F$5:$F$90*((Headcount!$I$5:$I$90=0)+(Headcount!$I$5:$I$90=1)*$C$16)*(Q$18&gt;=(Headcount!$E$5:$E$90+Headcount!$G$5:$G$90*$C$15)))/12*(1+Assumptions!$C$97)</f>
        <v>15250</v>
      </c>
      <c r="R192" s="9" t="n">
        <f aca="false">SUMPRODUCT((Headcount!$C$5:$C$90="SEC")*Headcount!$D$5:$D$90*Headcount!$F$5:$F$90*((Headcount!$I$5:$I$90=0)+(Headcount!$I$5:$I$90=1)*$C$16)*(R$18&gt;=(Headcount!$E$5:$E$90+Headcount!$G$5:$G$90*$C$15)))/12*(1+Assumptions!$C$97)</f>
        <v>15250</v>
      </c>
      <c r="S192" s="9" t="n">
        <f aca="false">SUMPRODUCT((Headcount!$C$5:$C$90="SEC")*Headcount!$D$5:$D$90*Headcount!$F$5:$F$90*((Headcount!$I$5:$I$90=0)+(Headcount!$I$5:$I$90=1)*$C$16)*(S$18&gt;=(Headcount!$E$5:$E$90+Headcount!$G$5:$G$90*$C$15)))/12*(1+Assumptions!$C$97)</f>
        <v>15250</v>
      </c>
      <c r="T192" s="9" t="n">
        <f aca="false">SUMPRODUCT((Headcount!$C$5:$C$90="SEC")*Headcount!$D$5:$D$90*Headcount!$F$5:$F$90*((Headcount!$I$5:$I$90=0)+(Headcount!$I$5:$I$90=1)*$C$16)*(T$18&gt;=(Headcount!$E$5:$E$90+Headcount!$G$5:$G$90*$C$15)))/12*(1+Assumptions!$C$97)</f>
        <v>15250</v>
      </c>
      <c r="U192" s="9" t="n">
        <f aca="false">SUMPRODUCT((Headcount!$C$5:$C$90="SEC")*Headcount!$D$5:$D$90*Headcount!$F$5:$F$90*((Headcount!$I$5:$I$90=0)+(Headcount!$I$5:$I$90=1)*$C$16)*(U$18&gt;=(Headcount!$E$5:$E$90+Headcount!$G$5:$G$90*$C$15)))/12*(1+Assumptions!$C$97)</f>
        <v>15250</v>
      </c>
      <c r="V192" s="9" t="n">
        <f aca="false">SUMPRODUCT((Headcount!$C$5:$C$90="SEC")*Headcount!$D$5:$D$90*Headcount!$F$5:$F$90*((Headcount!$I$5:$I$90=0)+(Headcount!$I$5:$I$90=1)*$C$16)*(V$18&gt;=(Headcount!$E$5:$E$90+Headcount!$G$5:$G$90*$C$15)))/12*(1+Assumptions!$C$97)</f>
        <v>15250</v>
      </c>
      <c r="W192" s="9" t="n">
        <f aca="false">SUMPRODUCT((Headcount!$C$5:$C$90="SEC")*Headcount!$D$5:$D$90*Headcount!$F$5:$F$90*((Headcount!$I$5:$I$90=0)+(Headcount!$I$5:$I$90=1)*$C$16)*(W$18&gt;=(Headcount!$E$5:$E$90+Headcount!$G$5:$G$90*$C$15)))/12*(1+Assumptions!$C$97)</f>
        <v>15250</v>
      </c>
      <c r="X192" s="9" t="n">
        <f aca="false">SUMPRODUCT((Headcount!$C$5:$C$90="SEC")*Headcount!$D$5:$D$90*Headcount!$F$5:$F$90*((Headcount!$I$5:$I$90=0)+(Headcount!$I$5:$I$90=1)*$C$16)*(X$18&gt;=(Headcount!$E$5:$E$90+Headcount!$G$5:$G$90*$C$15)))/12*(1+Assumptions!$C$97)</f>
        <v>15250</v>
      </c>
      <c r="Y192" s="9" t="n">
        <f aca="false">SUMPRODUCT((Headcount!$C$5:$C$90="SEC")*Headcount!$D$5:$D$90*Headcount!$F$5:$F$90*((Headcount!$I$5:$I$90=0)+(Headcount!$I$5:$I$90=1)*$C$16)*(Y$18&gt;=(Headcount!$E$5:$E$90+Headcount!$G$5:$G$90*$C$15)))/12*(1+Assumptions!$C$97)</f>
        <v>30500</v>
      </c>
      <c r="Z192" s="9" t="n">
        <f aca="false">SUMPRODUCT((Headcount!$C$5:$C$90="SEC")*Headcount!$D$5:$D$90*Headcount!$F$5:$F$90*((Headcount!$I$5:$I$90=0)+(Headcount!$I$5:$I$90=1)*$C$16)*(Z$18&gt;=(Headcount!$E$5:$E$90+Headcount!$G$5:$G$90*$C$15)))/12*(1+Assumptions!$C$97)</f>
        <v>30500</v>
      </c>
      <c r="AA192" s="9" t="n">
        <f aca="false">SUMPRODUCT((Headcount!$C$5:$C$90="SEC")*Headcount!$D$5:$D$90*Headcount!$F$5:$F$90*((Headcount!$I$5:$I$90=0)+(Headcount!$I$5:$I$90=1)*$C$16)*(AA$18&gt;=(Headcount!$E$5:$E$90+Headcount!$G$5:$G$90*$C$15)))/12*(1+Assumptions!$C$97)</f>
        <v>30500</v>
      </c>
      <c r="AB192" s="9" t="n">
        <f aca="false">SUMPRODUCT((Headcount!$C$5:$C$90="SEC")*Headcount!$D$5:$D$90*Headcount!$F$5:$F$90*((Headcount!$I$5:$I$90=0)+(Headcount!$I$5:$I$90=1)*$C$16)*(AB$18&gt;=(Headcount!$E$5:$E$90+Headcount!$G$5:$G$90*$C$15)))/12*(1+Assumptions!$C$97)</f>
        <v>30500</v>
      </c>
      <c r="AC192" s="9" t="n">
        <f aca="false">SUMPRODUCT((Headcount!$C$5:$C$90="SEC")*Headcount!$D$5:$D$90*Headcount!$F$5:$F$90*((Headcount!$I$5:$I$90=0)+(Headcount!$I$5:$I$90=1)*$C$16)*(AC$18&gt;=(Headcount!$E$5:$E$90+Headcount!$G$5:$G$90*$C$15)))/12*(1+Assumptions!$C$97)</f>
        <v>30500</v>
      </c>
      <c r="AD192" s="9" t="n">
        <f aca="false">SUMPRODUCT((Headcount!$C$5:$C$90="SEC")*Headcount!$D$5:$D$90*Headcount!$F$5:$F$90*((Headcount!$I$5:$I$90=0)+(Headcount!$I$5:$I$90=1)*$C$16)*(AD$18&gt;=(Headcount!$E$5:$E$90+Headcount!$G$5:$G$90*$C$15)))/12*(1+Assumptions!$C$97)</f>
        <v>45750</v>
      </c>
      <c r="AE192" s="9" t="n">
        <f aca="false">SUMPRODUCT((Headcount!$C$5:$C$90="SEC")*Headcount!$D$5:$D$90*Headcount!$F$5:$F$90*((Headcount!$I$5:$I$90=0)+(Headcount!$I$5:$I$90=1)*$C$16)*(AE$18&gt;=(Headcount!$E$5:$E$90+Headcount!$G$5:$G$90*$C$15)))/12*(1+Assumptions!$C$97)</f>
        <v>45750</v>
      </c>
      <c r="AF192" s="9" t="n">
        <f aca="false">SUMPRODUCT((Headcount!$C$5:$C$90="SEC")*Headcount!$D$5:$D$90*Headcount!$F$5:$F$90*((Headcount!$I$5:$I$90=0)+(Headcount!$I$5:$I$90=1)*$C$16)*(AF$18&gt;=(Headcount!$E$5:$E$90+Headcount!$G$5:$G$90*$C$15)))/12*(1+Assumptions!$C$97)</f>
        <v>45750</v>
      </c>
      <c r="AG192" s="9" t="n">
        <f aca="false">SUMPRODUCT((Headcount!$C$5:$C$90="SEC")*Headcount!$D$5:$D$90*Headcount!$F$5:$F$90*((Headcount!$I$5:$I$90=0)+(Headcount!$I$5:$I$90=1)*$C$16)*(AG$18&gt;=(Headcount!$E$5:$E$90+Headcount!$G$5:$G$90*$C$15)))/12*(1+Assumptions!$C$97)</f>
        <v>45750</v>
      </c>
      <c r="AH192" s="9" t="n">
        <f aca="false">SUMPRODUCT((Headcount!$C$5:$C$90="SEC")*Headcount!$D$5:$D$90*Headcount!$F$5:$F$90*((Headcount!$I$5:$I$90=0)+(Headcount!$I$5:$I$90=1)*$C$16)*(AH$18&gt;=(Headcount!$E$5:$E$90+Headcount!$G$5:$G$90*$C$15)))/12*(1+Assumptions!$C$97)</f>
        <v>45750</v>
      </c>
      <c r="AI192" s="9" t="n">
        <f aca="false">SUMPRODUCT((Headcount!$C$5:$C$90="SEC")*Headcount!$D$5:$D$90*Headcount!$F$5:$F$90*((Headcount!$I$5:$I$90=0)+(Headcount!$I$5:$I$90=1)*$C$16)*(AI$18&gt;=(Headcount!$E$5:$E$90+Headcount!$G$5:$G$90*$C$15)))/12*(1+Assumptions!$C$97)</f>
        <v>45750</v>
      </c>
      <c r="AJ192" s="9" t="n">
        <f aca="false">SUMPRODUCT((Headcount!$C$5:$C$90="SEC")*Headcount!$D$5:$D$90*Headcount!$F$5:$F$90*((Headcount!$I$5:$I$90=0)+(Headcount!$I$5:$I$90=1)*$C$16)*(AJ$18&gt;=(Headcount!$E$5:$E$90+Headcount!$G$5:$G$90*$C$15)))/12*(1+Assumptions!$C$97)</f>
        <v>45750</v>
      </c>
      <c r="AK192" s="9" t="n">
        <f aca="false">SUMPRODUCT((Headcount!$C$5:$C$90="SEC")*Headcount!$D$5:$D$90*Headcount!$F$5:$F$90*((Headcount!$I$5:$I$90=0)+(Headcount!$I$5:$I$90=1)*$C$16)*(AK$18&gt;=(Headcount!$E$5:$E$90+Headcount!$G$5:$G$90*$C$15)))/12*(1+Assumptions!$C$97)</f>
        <v>45750</v>
      </c>
      <c r="AL192" s="9" t="n">
        <f aca="false">SUMPRODUCT((Headcount!$C$5:$C$90="SEC")*Headcount!$D$5:$D$90*Headcount!$F$5:$F$90*((Headcount!$I$5:$I$90=0)+(Headcount!$I$5:$I$90=1)*$C$16)*(AL$18&gt;=(Headcount!$E$5:$E$90+Headcount!$G$5:$G$90*$C$15)))/12*(1+Assumptions!$C$97)</f>
        <v>45750</v>
      </c>
      <c r="AN192" s="11" t="n">
        <f aca="false">SUM(C192:N192)</f>
        <v>91500</v>
      </c>
      <c r="AO192" s="11" t="n">
        <f aca="false">SUM(O192:Z192)</f>
        <v>213500</v>
      </c>
      <c r="AP192" s="11" t="n">
        <f aca="false">SUM(AA192:AL192)</f>
        <v>503250</v>
      </c>
    </row>
    <row r="193" customFormat="false" ht="15" hidden="false" customHeight="false" outlineLevel="0" collapsed="false">
      <c r="A193" s="0" t="s">
        <v>994</v>
      </c>
      <c r="B193" s="0" t="s">
        <v>230</v>
      </c>
      <c r="C193" s="9" t="n">
        <f aca="false">SUMPRODUCT((Headcount!$C$5:$C$90="SALES")*Headcount!$D$5:$D$90*Headcount!$F$5:$F$90*((Headcount!$I$5:$I$90=0)+(Headcount!$I$5:$I$90=1)*$C$16)*(C$18&gt;=(Headcount!$E$5:$E$90+Headcount!$G$5:$G$90*$C$15)))/12*(1+Assumptions!$C$97)</f>
        <v>0</v>
      </c>
      <c r="D193" s="9" t="n">
        <f aca="false">SUMPRODUCT((Headcount!$C$5:$C$90="SALES")*Headcount!$D$5:$D$90*Headcount!$F$5:$F$90*((Headcount!$I$5:$I$90=0)+(Headcount!$I$5:$I$90=1)*$C$16)*(D$18&gt;=(Headcount!$E$5:$E$90+Headcount!$G$5:$G$90*$C$15)))/12*(1+Assumptions!$C$97)</f>
        <v>0</v>
      </c>
      <c r="E193" s="9" t="n">
        <f aca="false">SUMPRODUCT((Headcount!$C$5:$C$90="SALES")*Headcount!$D$5:$D$90*Headcount!$F$5:$F$90*((Headcount!$I$5:$I$90=0)+(Headcount!$I$5:$I$90=1)*$C$16)*(E$18&gt;=(Headcount!$E$5:$E$90+Headcount!$G$5:$G$90*$C$15)))/12*(1+Assumptions!$C$97)</f>
        <v>0</v>
      </c>
      <c r="F193" s="9" t="n">
        <f aca="false">SUMPRODUCT((Headcount!$C$5:$C$90="SALES")*Headcount!$D$5:$D$90*Headcount!$F$5:$F$90*((Headcount!$I$5:$I$90=0)+(Headcount!$I$5:$I$90=1)*$C$16)*(F$18&gt;=(Headcount!$E$5:$E$90+Headcount!$G$5:$G$90*$C$15)))/12*(1+Assumptions!$C$97)</f>
        <v>0</v>
      </c>
      <c r="G193" s="9" t="n">
        <f aca="false">SUMPRODUCT((Headcount!$C$5:$C$90="SALES")*Headcount!$D$5:$D$90*Headcount!$F$5:$F$90*((Headcount!$I$5:$I$90=0)+(Headcount!$I$5:$I$90=1)*$C$16)*(G$18&gt;=(Headcount!$E$5:$E$90+Headcount!$G$5:$G$90*$C$15)))/12*(1+Assumptions!$C$97)</f>
        <v>0</v>
      </c>
      <c r="H193" s="9" t="n">
        <f aca="false">SUMPRODUCT((Headcount!$C$5:$C$90="SALES")*Headcount!$D$5:$D$90*Headcount!$F$5:$F$90*((Headcount!$I$5:$I$90=0)+(Headcount!$I$5:$I$90=1)*$C$16)*(H$18&gt;=(Headcount!$E$5:$E$90+Headcount!$G$5:$G$90*$C$15)))/12*(1+Assumptions!$C$97)</f>
        <v>0</v>
      </c>
      <c r="I193" s="9" t="n">
        <f aca="false">SUMPRODUCT((Headcount!$C$5:$C$90="SALES")*Headcount!$D$5:$D$90*Headcount!$F$5:$F$90*((Headcount!$I$5:$I$90=0)+(Headcount!$I$5:$I$90=1)*$C$16)*(I$18&gt;=(Headcount!$E$5:$E$90+Headcount!$G$5:$G$90*$C$15)))/12*(1+Assumptions!$C$97)</f>
        <v>0</v>
      </c>
      <c r="J193" s="9" t="n">
        <f aca="false">SUMPRODUCT((Headcount!$C$5:$C$90="SALES")*Headcount!$D$5:$D$90*Headcount!$F$5:$F$90*((Headcount!$I$5:$I$90=0)+(Headcount!$I$5:$I$90=1)*$C$16)*(J$18&gt;=(Headcount!$E$5:$E$90+Headcount!$G$5:$G$90*$C$15)))/12*(1+Assumptions!$C$97)</f>
        <v>0</v>
      </c>
      <c r="K193" s="9" t="n">
        <f aca="false">SUMPRODUCT((Headcount!$C$5:$C$90="SALES")*Headcount!$D$5:$D$90*Headcount!$F$5:$F$90*((Headcount!$I$5:$I$90=0)+(Headcount!$I$5:$I$90=1)*$C$16)*(K$18&gt;=(Headcount!$E$5:$E$90+Headcount!$G$5:$G$90*$C$15)))/12*(1+Assumptions!$C$97)</f>
        <v>0</v>
      </c>
      <c r="L193" s="9" t="n">
        <f aca="false">SUMPRODUCT((Headcount!$C$5:$C$90="SALES")*Headcount!$D$5:$D$90*Headcount!$F$5:$F$90*((Headcount!$I$5:$I$90=0)+(Headcount!$I$5:$I$90=1)*$C$16)*(L$18&gt;=(Headcount!$E$5:$E$90+Headcount!$G$5:$G$90*$C$15)))/12*(1+Assumptions!$C$97)</f>
        <v>0</v>
      </c>
      <c r="M193" s="9" t="n">
        <f aca="false">SUMPRODUCT((Headcount!$C$5:$C$90="SALES")*Headcount!$D$5:$D$90*Headcount!$F$5:$F$90*((Headcount!$I$5:$I$90=0)+(Headcount!$I$5:$I$90=1)*$C$16)*(M$18&gt;=(Headcount!$E$5:$E$90+Headcount!$G$5:$G$90*$C$15)))/12*(1+Assumptions!$C$97)</f>
        <v>11183.3333333333</v>
      </c>
      <c r="N193" s="9" t="n">
        <f aca="false">SUMPRODUCT((Headcount!$C$5:$C$90="SALES")*Headcount!$D$5:$D$90*Headcount!$F$5:$F$90*((Headcount!$I$5:$I$90=0)+(Headcount!$I$5:$I$90=1)*$C$16)*(N$18&gt;=(Headcount!$E$5:$E$90+Headcount!$G$5:$G$90*$C$15)))/12*(1+Assumptions!$C$97)</f>
        <v>11183.3333333333</v>
      </c>
      <c r="O193" s="9" t="n">
        <f aca="false">SUMPRODUCT((Headcount!$C$5:$C$90="SALES")*Headcount!$D$5:$D$90*Headcount!$F$5:$F$90*((Headcount!$I$5:$I$90=0)+(Headcount!$I$5:$I$90=1)*$C$16)*(O$18&gt;=(Headcount!$E$5:$E$90+Headcount!$G$5:$G$90*$C$15)))/12*(1+Assumptions!$C$97)</f>
        <v>24400</v>
      </c>
      <c r="P193" s="9" t="n">
        <f aca="false">SUMPRODUCT((Headcount!$C$5:$C$90="SALES")*Headcount!$D$5:$D$90*Headcount!$F$5:$F$90*((Headcount!$I$5:$I$90=0)+(Headcount!$I$5:$I$90=1)*$C$16)*(P$18&gt;=(Headcount!$E$5:$E$90+Headcount!$G$5:$G$90*$C$15)))/12*(1+Assumptions!$C$97)</f>
        <v>24400</v>
      </c>
      <c r="Q193" s="9" t="n">
        <f aca="false">SUMPRODUCT((Headcount!$C$5:$C$90="SALES")*Headcount!$D$5:$D$90*Headcount!$F$5:$F$90*((Headcount!$I$5:$I$90=0)+(Headcount!$I$5:$I$90=1)*$C$16)*(Q$18&gt;=(Headcount!$E$5:$E$90+Headcount!$G$5:$G$90*$C$15)))/12*(1+Assumptions!$C$97)</f>
        <v>24400</v>
      </c>
      <c r="R193" s="9" t="n">
        <f aca="false">SUMPRODUCT((Headcount!$C$5:$C$90="SALES")*Headcount!$D$5:$D$90*Headcount!$F$5:$F$90*((Headcount!$I$5:$I$90=0)+(Headcount!$I$5:$I$90=1)*$C$16)*(R$18&gt;=(Headcount!$E$5:$E$90+Headcount!$G$5:$G$90*$C$15)))/12*(1+Assumptions!$C$97)</f>
        <v>24400</v>
      </c>
      <c r="S193" s="9" t="n">
        <f aca="false">SUMPRODUCT((Headcount!$C$5:$C$90="SALES")*Headcount!$D$5:$D$90*Headcount!$F$5:$F$90*((Headcount!$I$5:$I$90=0)+(Headcount!$I$5:$I$90=1)*$C$16)*(S$18&gt;=(Headcount!$E$5:$E$90+Headcount!$G$5:$G$90*$C$15)))/12*(1+Assumptions!$C$97)</f>
        <v>24400</v>
      </c>
      <c r="T193" s="9" t="n">
        <f aca="false">SUMPRODUCT((Headcount!$C$5:$C$90="SALES")*Headcount!$D$5:$D$90*Headcount!$F$5:$F$90*((Headcount!$I$5:$I$90=0)+(Headcount!$I$5:$I$90=1)*$C$16)*(T$18&gt;=(Headcount!$E$5:$E$90+Headcount!$G$5:$G$90*$C$15)))/12*(1+Assumptions!$C$97)</f>
        <v>24400</v>
      </c>
      <c r="U193" s="9" t="n">
        <f aca="false">SUMPRODUCT((Headcount!$C$5:$C$90="SALES")*Headcount!$D$5:$D$90*Headcount!$F$5:$F$90*((Headcount!$I$5:$I$90=0)+(Headcount!$I$5:$I$90=1)*$C$16)*(U$18&gt;=(Headcount!$E$5:$E$90+Headcount!$G$5:$G$90*$C$15)))/12*(1+Assumptions!$C$97)</f>
        <v>24400</v>
      </c>
      <c r="V193" s="9" t="n">
        <f aca="false">SUMPRODUCT((Headcount!$C$5:$C$90="SALES")*Headcount!$D$5:$D$90*Headcount!$F$5:$F$90*((Headcount!$I$5:$I$90=0)+(Headcount!$I$5:$I$90=1)*$C$16)*(V$18&gt;=(Headcount!$E$5:$E$90+Headcount!$G$5:$G$90*$C$15)))/12*(1+Assumptions!$C$97)</f>
        <v>24400</v>
      </c>
      <c r="W193" s="9" t="n">
        <f aca="false">SUMPRODUCT((Headcount!$C$5:$C$90="SALES")*Headcount!$D$5:$D$90*Headcount!$F$5:$F$90*((Headcount!$I$5:$I$90=0)+(Headcount!$I$5:$I$90=1)*$C$16)*(W$18&gt;=(Headcount!$E$5:$E$90+Headcount!$G$5:$G$90*$C$15)))/12*(1+Assumptions!$C$97)</f>
        <v>24400</v>
      </c>
      <c r="X193" s="9" t="n">
        <f aca="false">SUMPRODUCT((Headcount!$C$5:$C$90="SALES")*Headcount!$D$5:$D$90*Headcount!$F$5:$F$90*((Headcount!$I$5:$I$90=0)+(Headcount!$I$5:$I$90=1)*$C$16)*(X$18&gt;=(Headcount!$E$5:$E$90+Headcount!$G$5:$G$90*$C$15)))/12*(1+Assumptions!$C$97)</f>
        <v>35583.3333333333</v>
      </c>
      <c r="Y193" s="9" t="n">
        <f aca="false">SUMPRODUCT((Headcount!$C$5:$C$90="SALES")*Headcount!$D$5:$D$90*Headcount!$F$5:$F$90*((Headcount!$I$5:$I$90=0)+(Headcount!$I$5:$I$90=1)*$C$16)*(Y$18&gt;=(Headcount!$E$5:$E$90+Headcount!$G$5:$G$90*$C$15)))/12*(1+Assumptions!$C$97)</f>
        <v>35583.3333333333</v>
      </c>
      <c r="Z193" s="9" t="n">
        <f aca="false">SUMPRODUCT((Headcount!$C$5:$C$90="SALES")*Headcount!$D$5:$D$90*Headcount!$F$5:$F$90*((Headcount!$I$5:$I$90=0)+(Headcount!$I$5:$I$90=1)*$C$16)*(Z$18&gt;=(Headcount!$E$5:$E$90+Headcount!$G$5:$G$90*$C$15)))/12*(1+Assumptions!$C$97)</f>
        <v>35583.3333333333</v>
      </c>
      <c r="AA193" s="9" t="n">
        <f aca="false">SUMPRODUCT((Headcount!$C$5:$C$90="SALES")*Headcount!$D$5:$D$90*Headcount!$F$5:$F$90*((Headcount!$I$5:$I$90=0)+(Headcount!$I$5:$I$90=1)*$C$16)*(AA$18&gt;=(Headcount!$E$5:$E$90+Headcount!$G$5:$G$90*$C$15)))/12*(1+Assumptions!$C$97)</f>
        <v>35583.3333333333</v>
      </c>
      <c r="AB193" s="9" t="n">
        <f aca="false">SUMPRODUCT((Headcount!$C$5:$C$90="SALES")*Headcount!$D$5:$D$90*Headcount!$F$5:$F$90*((Headcount!$I$5:$I$90=0)+(Headcount!$I$5:$I$90=1)*$C$16)*(AB$18&gt;=(Headcount!$E$5:$E$90+Headcount!$G$5:$G$90*$C$15)))/12*(1+Assumptions!$C$97)</f>
        <v>35583.3333333333</v>
      </c>
      <c r="AC193" s="9" t="n">
        <f aca="false">SUMPRODUCT((Headcount!$C$5:$C$90="SALES")*Headcount!$D$5:$D$90*Headcount!$F$5:$F$90*((Headcount!$I$5:$I$90=0)+(Headcount!$I$5:$I$90=1)*$C$16)*(AC$18&gt;=(Headcount!$E$5:$E$90+Headcount!$G$5:$G$90*$C$15)))/12*(1+Assumptions!$C$97)</f>
        <v>35583.3333333333</v>
      </c>
      <c r="AD193" s="9" t="n">
        <f aca="false">SUMPRODUCT((Headcount!$C$5:$C$90="SALES")*Headcount!$D$5:$D$90*Headcount!$F$5:$F$90*((Headcount!$I$5:$I$90=0)+(Headcount!$I$5:$I$90=1)*$C$16)*(AD$18&gt;=(Headcount!$E$5:$E$90+Headcount!$G$5:$G$90*$C$15)))/12*(1+Assumptions!$C$97)</f>
        <v>46766.6666666667</v>
      </c>
      <c r="AE193" s="9" t="n">
        <f aca="false">SUMPRODUCT((Headcount!$C$5:$C$90="SALES")*Headcount!$D$5:$D$90*Headcount!$F$5:$F$90*((Headcount!$I$5:$I$90=0)+(Headcount!$I$5:$I$90=1)*$C$16)*(AE$18&gt;=(Headcount!$E$5:$E$90+Headcount!$G$5:$G$90*$C$15)))/12*(1+Assumptions!$C$97)</f>
        <v>46766.6666666667</v>
      </c>
      <c r="AF193" s="9" t="n">
        <f aca="false">SUMPRODUCT((Headcount!$C$5:$C$90="SALES")*Headcount!$D$5:$D$90*Headcount!$F$5:$F$90*((Headcount!$I$5:$I$90=0)+(Headcount!$I$5:$I$90=1)*$C$16)*(AF$18&gt;=(Headcount!$E$5:$E$90+Headcount!$G$5:$G$90*$C$15)))/12*(1+Assumptions!$C$97)</f>
        <v>46766.6666666667</v>
      </c>
      <c r="AG193" s="9" t="n">
        <f aca="false">SUMPRODUCT((Headcount!$C$5:$C$90="SALES")*Headcount!$D$5:$D$90*Headcount!$F$5:$F$90*((Headcount!$I$5:$I$90=0)+(Headcount!$I$5:$I$90=1)*$C$16)*(AG$18&gt;=(Headcount!$E$5:$E$90+Headcount!$G$5:$G$90*$C$15)))/12*(1+Assumptions!$C$97)</f>
        <v>46766.6666666667</v>
      </c>
      <c r="AH193" s="9" t="n">
        <f aca="false">SUMPRODUCT((Headcount!$C$5:$C$90="SALES")*Headcount!$D$5:$D$90*Headcount!$F$5:$F$90*((Headcount!$I$5:$I$90=0)+(Headcount!$I$5:$I$90=1)*$C$16)*(AH$18&gt;=(Headcount!$E$5:$E$90+Headcount!$G$5:$G$90*$C$15)))/12*(1+Assumptions!$C$97)</f>
        <v>46766.6666666667</v>
      </c>
      <c r="AI193" s="9" t="n">
        <f aca="false">SUMPRODUCT((Headcount!$C$5:$C$90="SALES")*Headcount!$D$5:$D$90*Headcount!$F$5:$F$90*((Headcount!$I$5:$I$90=0)+(Headcount!$I$5:$I$90=1)*$C$16)*(AI$18&gt;=(Headcount!$E$5:$E$90+Headcount!$G$5:$G$90*$C$15)))/12*(1+Assumptions!$C$97)</f>
        <v>46766.6666666667</v>
      </c>
      <c r="AJ193" s="9" t="n">
        <f aca="false">SUMPRODUCT((Headcount!$C$5:$C$90="SALES")*Headcount!$D$5:$D$90*Headcount!$F$5:$F$90*((Headcount!$I$5:$I$90=0)+(Headcount!$I$5:$I$90=1)*$C$16)*(AJ$18&gt;=(Headcount!$E$5:$E$90+Headcount!$G$5:$G$90*$C$15)))/12*(1+Assumptions!$C$97)</f>
        <v>46766.6666666667</v>
      </c>
      <c r="AK193" s="9" t="n">
        <f aca="false">SUMPRODUCT((Headcount!$C$5:$C$90="SALES")*Headcount!$D$5:$D$90*Headcount!$F$5:$F$90*((Headcount!$I$5:$I$90=0)+(Headcount!$I$5:$I$90=1)*$C$16)*(AK$18&gt;=(Headcount!$E$5:$E$90+Headcount!$G$5:$G$90*$C$15)))/12*(1+Assumptions!$C$97)</f>
        <v>46766.6666666667</v>
      </c>
      <c r="AL193" s="9" t="n">
        <f aca="false">SUMPRODUCT((Headcount!$C$5:$C$90="SALES")*Headcount!$D$5:$D$90*Headcount!$F$5:$F$90*((Headcount!$I$5:$I$90=0)+(Headcount!$I$5:$I$90=1)*$C$16)*(AL$18&gt;=(Headcount!$E$5:$E$90+Headcount!$G$5:$G$90*$C$15)))/12*(1+Assumptions!$C$97)</f>
        <v>46766.6666666667</v>
      </c>
      <c r="AN193" s="11" t="n">
        <f aca="false">SUM(C193:N193)</f>
        <v>22366.6666666667</v>
      </c>
      <c r="AO193" s="11" t="n">
        <f aca="false">SUM(O193:Z193)</f>
        <v>326350</v>
      </c>
      <c r="AP193" s="11" t="n">
        <f aca="false">SUM(AA193:AL193)</f>
        <v>527650</v>
      </c>
    </row>
    <row r="194" customFormat="false" ht="15" hidden="false" customHeight="false" outlineLevel="0" collapsed="false">
      <c r="A194" s="0" t="s">
        <v>995</v>
      </c>
      <c r="B194" s="0" t="s">
        <v>230</v>
      </c>
      <c r="C194" s="9" t="n">
        <f aca="false">SUMPRODUCT((Headcount!$C$5:$C$90="MKT")*Headcount!$D$5:$D$90*Headcount!$F$5:$F$90*((Headcount!$I$5:$I$90=0)+(Headcount!$I$5:$I$90=1)*$C$16)*(C$18&gt;=(Headcount!$E$5:$E$90+Headcount!$G$5:$G$90*$C$15)))/12*(1+Assumptions!$C$97)</f>
        <v>0</v>
      </c>
      <c r="D194" s="9" t="n">
        <f aca="false">SUMPRODUCT((Headcount!$C$5:$C$90="MKT")*Headcount!$D$5:$D$90*Headcount!$F$5:$F$90*((Headcount!$I$5:$I$90=0)+(Headcount!$I$5:$I$90=1)*$C$16)*(D$18&gt;=(Headcount!$E$5:$E$90+Headcount!$G$5:$G$90*$C$15)))/12*(1+Assumptions!$C$97)</f>
        <v>0</v>
      </c>
      <c r="E194" s="9" t="n">
        <f aca="false">SUMPRODUCT((Headcount!$C$5:$C$90="MKT")*Headcount!$D$5:$D$90*Headcount!$F$5:$F$90*((Headcount!$I$5:$I$90=0)+(Headcount!$I$5:$I$90=1)*$C$16)*(E$18&gt;=(Headcount!$E$5:$E$90+Headcount!$G$5:$G$90*$C$15)))/12*(1+Assumptions!$C$97)</f>
        <v>0</v>
      </c>
      <c r="F194" s="9" t="n">
        <f aca="false">SUMPRODUCT((Headcount!$C$5:$C$90="MKT")*Headcount!$D$5:$D$90*Headcount!$F$5:$F$90*((Headcount!$I$5:$I$90=0)+(Headcount!$I$5:$I$90=1)*$C$16)*(F$18&gt;=(Headcount!$E$5:$E$90+Headcount!$G$5:$G$90*$C$15)))/12*(1+Assumptions!$C$97)</f>
        <v>0</v>
      </c>
      <c r="G194" s="9" t="n">
        <f aca="false">SUMPRODUCT((Headcount!$C$5:$C$90="MKT")*Headcount!$D$5:$D$90*Headcount!$F$5:$F$90*((Headcount!$I$5:$I$90=0)+(Headcount!$I$5:$I$90=1)*$C$16)*(G$18&gt;=(Headcount!$E$5:$E$90+Headcount!$G$5:$G$90*$C$15)))/12*(1+Assumptions!$C$97)</f>
        <v>0</v>
      </c>
      <c r="H194" s="9" t="n">
        <f aca="false">SUMPRODUCT((Headcount!$C$5:$C$90="MKT")*Headcount!$D$5:$D$90*Headcount!$F$5:$F$90*((Headcount!$I$5:$I$90=0)+(Headcount!$I$5:$I$90=1)*$C$16)*(H$18&gt;=(Headcount!$E$5:$E$90+Headcount!$G$5:$G$90*$C$15)))/12*(1+Assumptions!$C$97)</f>
        <v>10675</v>
      </c>
      <c r="I194" s="9" t="n">
        <f aca="false">SUMPRODUCT((Headcount!$C$5:$C$90="MKT")*Headcount!$D$5:$D$90*Headcount!$F$5:$F$90*((Headcount!$I$5:$I$90=0)+(Headcount!$I$5:$I$90=1)*$C$16)*(I$18&gt;=(Headcount!$E$5:$E$90+Headcount!$G$5:$G$90*$C$15)))/12*(1+Assumptions!$C$97)</f>
        <v>10675</v>
      </c>
      <c r="J194" s="9" t="n">
        <f aca="false">SUMPRODUCT((Headcount!$C$5:$C$90="MKT")*Headcount!$D$5:$D$90*Headcount!$F$5:$F$90*((Headcount!$I$5:$I$90=0)+(Headcount!$I$5:$I$90=1)*$C$16)*(J$18&gt;=(Headcount!$E$5:$E$90+Headcount!$G$5:$G$90*$C$15)))/12*(1+Assumptions!$C$97)</f>
        <v>10675</v>
      </c>
      <c r="K194" s="9" t="n">
        <f aca="false">SUMPRODUCT((Headcount!$C$5:$C$90="MKT")*Headcount!$D$5:$D$90*Headcount!$F$5:$F$90*((Headcount!$I$5:$I$90=0)+(Headcount!$I$5:$I$90=1)*$C$16)*(K$18&gt;=(Headcount!$E$5:$E$90+Headcount!$G$5:$G$90*$C$15)))/12*(1+Assumptions!$C$97)</f>
        <v>10675</v>
      </c>
      <c r="L194" s="9" t="n">
        <f aca="false">SUMPRODUCT((Headcount!$C$5:$C$90="MKT")*Headcount!$D$5:$D$90*Headcount!$F$5:$F$90*((Headcount!$I$5:$I$90=0)+(Headcount!$I$5:$I$90=1)*$C$16)*(L$18&gt;=(Headcount!$E$5:$E$90+Headcount!$G$5:$G$90*$C$15)))/12*(1+Assumptions!$C$97)</f>
        <v>10675</v>
      </c>
      <c r="M194" s="9" t="n">
        <f aca="false">SUMPRODUCT((Headcount!$C$5:$C$90="MKT")*Headcount!$D$5:$D$90*Headcount!$F$5:$F$90*((Headcount!$I$5:$I$90=0)+(Headcount!$I$5:$I$90=1)*$C$16)*(M$18&gt;=(Headcount!$E$5:$E$90+Headcount!$G$5:$G$90*$C$15)))/12*(1+Assumptions!$C$97)</f>
        <v>10675</v>
      </c>
      <c r="N194" s="9" t="n">
        <f aca="false">SUMPRODUCT((Headcount!$C$5:$C$90="MKT")*Headcount!$D$5:$D$90*Headcount!$F$5:$F$90*((Headcount!$I$5:$I$90=0)+(Headcount!$I$5:$I$90=1)*$C$16)*(N$18&gt;=(Headcount!$E$5:$E$90+Headcount!$G$5:$G$90*$C$15)))/12*(1+Assumptions!$C$97)</f>
        <v>17283.3333333333</v>
      </c>
      <c r="O194" s="9" t="n">
        <f aca="false">SUMPRODUCT((Headcount!$C$5:$C$90="MKT")*Headcount!$D$5:$D$90*Headcount!$F$5:$F$90*((Headcount!$I$5:$I$90=0)+(Headcount!$I$5:$I$90=1)*$C$16)*(O$18&gt;=(Headcount!$E$5:$E$90+Headcount!$G$5:$G$90*$C$15)))/12*(1+Assumptions!$C$97)</f>
        <v>17283.3333333333</v>
      </c>
      <c r="P194" s="9" t="n">
        <f aca="false">SUMPRODUCT((Headcount!$C$5:$C$90="MKT")*Headcount!$D$5:$D$90*Headcount!$F$5:$F$90*((Headcount!$I$5:$I$90=0)+(Headcount!$I$5:$I$90=1)*$C$16)*(P$18&gt;=(Headcount!$E$5:$E$90+Headcount!$G$5:$G$90*$C$15)))/12*(1+Assumptions!$C$97)</f>
        <v>17283.3333333333</v>
      </c>
      <c r="Q194" s="9" t="n">
        <f aca="false">SUMPRODUCT((Headcount!$C$5:$C$90="MKT")*Headcount!$D$5:$D$90*Headcount!$F$5:$F$90*((Headcount!$I$5:$I$90=0)+(Headcount!$I$5:$I$90=1)*$C$16)*(Q$18&gt;=(Headcount!$E$5:$E$90+Headcount!$G$5:$G$90*$C$15)))/12*(1+Assumptions!$C$97)</f>
        <v>17283.3333333333</v>
      </c>
      <c r="R194" s="9" t="n">
        <f aca="false">SUMPRODUCT((Headcount!$C$5:$C$90="MKT")*Headcount!$D$5:$D$90*Headcount!$F$5:$F$90*((Headcount!$I$5:$I$90=0)+(Headcount!$I$5:$I$90=1)*$C$16)*(R$18&gt;=(Headcount!$E$5:$E$90+Headcount!$G$5:$G$90*$C$15)))/12*(1+Assumptions!$C$97)</f>
        <v>17283.3333333333</v>
      </c>
      <c r="S194" s="9" t="n">
        <f aca="false">SUMPRODUCT((Headcount!$C$5:$C$90="MKT")*Headcount!$D$5:$D$90*Headcount!$F$5:$F$90*((Headcount!$I$5:$I$90=0)+(Headcount!$I$5:$I$90=1)*$C$16)*(S$18&gt;=(Headcount!$E$5:$E$90+Headcount!$G$5:$G$90*$C$15)))/12*(1+Assumptions!$C$97)</f>
        <v>17283.3333333333</v>
      </c>
      <c r="T194" s="9" t="n">
        <f aca="false">SUMPRODUCT((Headcount!$C$5:$C$90="MKT")*Headcount!$D$5:$D$90*Headcount!$F$5:$F$90*((Headcount!$I$5:$I$90=0)+(Headcount!$I$5:$I$90=1)*$C$16)*(T$18&gt;=(Headcount!$E$5:$E$90+Headcount!$G$5:$G$90*$C$15)))/12*(1+Assumptions!$C$97)</f>
        <v>17283.3333333333</v>
      </c>
      <c r="U194" s="9" t="n">
        <f aca="false">SUMPRODUCT((Headcount!$C$5:$C$90="MKT")*Headcount!$D$5:$D$90*Headcount!$F$5:$F$90*((Headcount!$I$5:$I$90=0)+(Headcount!$I$5:$I$90=1)*$C$16)*(U$18&gt;=(Headcount!$E$5:$E$90+Headcount!$G$5:$G$90*$C$15)))/12*(1+Assumptions!$C$97)</f>
        <v>17283.3333333333</v>
      </c>
      <c r="V194" s="9" t="n">
        <f aca="false">SUMPRODUCT((Headcount!$C$5:$C$90="MKT")*Headcount!$D$5:$D$90*Headcount!$F$5:$F$90*((Headcount!$I$5:$I$90=0)+(Headcount!$I$5:$I$90=1)*$C$16)*(V$18&gt;=(Headcount!$E$5:$E$90+Headcount!$G$5:$G$90*$C$15)))/12*(1+Assumptions!$C$97)</f>
        <v>25925</v>
      </c>
      <c r="W194" s="9" t="n">
        <f aca="false">SUMPRODUCT((Headcount!$C$5:$C$90="MKT")*Headcount!$D$5:$D$90*Headcount!$F$5:$F$90*((Headcount!$I$5:$I$90=0)+(Headcount!$I$5:$I$90=1)*$C$16)*(W$18&gt;=(Headcount!$E$5:$E$90+Headcount!$G$5:$G$90*$C$15)))/12*(1+Assumptions!$C$97)</f>
        <v>25925</v>
      </c>
      <c r="X194" s="9" t="n">
        <f aca="false">SUMPRODUCT((Headcount!$C$5:$C$90="MKT")*Headcount!$D$5:$D$90*Headcount!$F$5:$F$90*((Headcount!$I$5:$I$90=0)+(Headcount!$I$5:$I$90=1)*$C$16)*(X$18&gt;=(Headcount!$E$5:$E$90+Headcount!$G$5:$G$90*$C$15)))/12*(1+Assumptions!$C$97)</f>
        <v>25925</v>
      </c>
      <c r="Y194" s="9" t="n">
        <f aca="false">SUMPRODUCT((Headcount!$C$5:$C$90="MKT")*Headcount!$D$5:$D$90*Headcount!$F$5:$F$90*((Headcount!$I$5:$I$90=0)+(Headcount!$I$5:$I$90=1)*$C$16)*(Y$18&gt;=(Headcount!$E$5:$E$90+Headcount!$G$5:$G$90*$C$15)))/12*(1+Assumptions!$C$97)</f>
        <v>25925</v>
      </c>
      <c r="Z194" s="9" t="n">
        <f aca="false">SUMPRODUCT((Headcount!$C$5:$C$90="MKT")*Headcount!$D$5:$D$90*Headcount!$F$5:$F$90*((Headcount!$I$5:$I$90=0)+(Headcount!$I$5:$I$90=1)*$C$16)*(Z$18&gt;=(Headcount!$E$5:$E$90+Headcount!$G$5:$G$90*$C$15)))/12*(1+Assumptions!$C$97)</f>
        <v>25925</v>
      </c>
      <c r="AA194" s="9" t="n">
        <f aca="false">SUMPRODUCT((Headcount!$C$5:$C$90="MKT")*Headcount!$D$5:$D$90*Headcount!$F$5:$F$90*((Headcount!$I$5:$I$90=0)+(Headcount!$I$5:$I$90=1)*$C$16)*(AA$18&gt;=(Headcount!$E$5:$E$90+Headcount!$G$5:$G$90*$C$15)))/12*(1+Assumptions!$C$97)</f>
        <v>25925</v>
      </c>
      <c r="AB194" s="9" t="n">
        <f aca="false">SUMPRODUCT((Headcount!$C$5:$C$90="MKT")*Headcount!$D$5:$D$90*Headcount!$F$5:$F$90*((Headcount!$I$5:$I$90=0)+(Headcount!$I$5:$I$90=1)*$C$16)*(AB$18&gt;=(Headcount!$E$5:$E$90+Headcount!$G$5:$G$90*$C$15)))/12*(1+Assumptions!$C$97)</f>
        <v>25925</v>
      </c>
      <c r="AC194" s="9" t="n">
        <f aca="false">SUMPRODUCT((Headcount!$C$5:$C$90="MKT")*Headcount!$D$5:$D$90*Headcount!$F$5:$F$90*((Headcount!$I$5:$I$90=0)+(Headcount!$I$5:$I$90=1)*$C$16)*(AC$18&gt;=(Headcount!$E$5:$E$90+Headcount!$G$5:$G$90*$C$15)))/12*(1+Assumptions!$C$97)</f>
        <v>25925</v>
      </c>
      <c r="AD194" s="9" t="n">
        <f aca="false">SUMPRODUCT((Headcount!$C$5:$C$90="MKT")*Headcount!$D$5:$D$90*Headcount!$F$5:$F$90*((Headcount!$I$5:$I$90=0)+(Headcount!$I$5:$I$90=1)*$C$16)*(AD$18&gt;=(Headcount!$E$5:$E$90+Headcount!$G$5:$G$90*$C$15)))/12*(1+Assumptions!$C$97)</f>
        <v>25925</v>
      </c>
      <c r="AE194" s="9" t="n">
        <f aca="false">SUMPRODUCT((Headcount!$C$5:$C$90="MKT")*Headcount!$D$5:$D$90*Headcount!$F$5:$F$90*((Headcount!$I$5:$I$90=0)+(Headcount!$I$5:$I$90=1)*$C$16)*(AE$18&gt;=(Headcount!$E$5:$E$90+Headcount!$G$5:$G$90*$C$15)))/12*(1+Assumptions!$C$97)</f>
        <v>25925</v>
      </c>
      <c r="AF194" s="9" t="n">
        <f aca="false">SUMPRODUCT((Headcount!$C$5:$C$90="MKT")*Headcount!$D$5:$D$90*Headcount!$F$5:$F$90*((Headcount!$I$5:$I$90=0)+(Headcount!$I$5:$I$90=1)*$C$16)*(AF$18&gt;=(Headcount!$E$5:$E$90+Headcount!$G$5:$G$90*$C$15)))/12*(1+Assumptions!$C$97)</f>
        <v>25925</v>
      </c>
      <c r="AG194" s="9" t="n">
        <f aca="false">SUMPRODUCT((Headcount!$C$5:$C$90="MKT")*Headcount!$D$5:$D$90*Headcount!$F$5:$F$90*((Headcount!$I$5:$I$90=0)+(Headcount!$I$5:$I$90=1)*$C$16)*(AG$18&gt;=(Headcount!$E$5:$E$90+Headcount!$G$5:$G$90*$C$15)))/12*(1+Assumptions!$C$97)</f>
        <v>25925</v>
      </c>
      <c r="AH194" s="9" t="n">
        <f aca="false">SUMPRODUCT((Headcount!$C$5:$C$90="MKT")*Headcount!$D$5:$D$90*Headcount!$F$5:$F$90*((Headcount!$I$5:$I$90=0)+(Headcount!$I$5:$I$90=1)*$C$16)*(AH$18&gt;=(Headcount!$E$5:$E$90+Headcount!$G$5:$G$90*$C$15)))/12*(1+Assumptions!$C$97)</f>
        <v>25925</v>
      </c>
      <c r="AI194" s="9" t="n">
        <f aca="false">SUMPRODUCT((Headcount!$C$5:$C$90="MKT")*Headcount!$D$5:$D$90*Headcount!$F$5:$F$90*((Headcount!$I$5:$I$90=0)+(Headcount!$I$5:$I$90=1)*$C$16)*(AI$18&gt;=(Headcount!$E$5:$E$90+Headcount!$G$5:$G$90*$C$15)))/12*(1+Assumptions!$C$97)</f>
        <v>25925</v>
      </c>
      <c r="AJ194" s="9" t="n">
        <f aca="false">SUMPRODUCT((Headcount!$C$5:$C$90="MKT")*Headcount!$D$5:$D$90*Headcount!$F$5:$F$90*((Headcount!$I$5:$I$90=0)+(Headcount!$I$5:$I$90=1)*$C$16)*(AJ$18&gt;=(Headcount!$E$5:$E$90+Headcount!$G$5:$G$90*$C$15)))/12*(1+Assumptions!$C$97)</f>
        <v>25925</v>
      </c>
      <c r="AK194" s="9" t="n">
        <f aca="false">SUMPRODUCT((Headcount!$C$5:$C$90="MKT")*Headcount!$D$5:$D$90*Headcount!$F$5:$F$90*((Headcount!$I$5:$I$90=0)+(Headcount!$I$5:$I$90=1)*$C$16)*(AK$18&gt;=(Headcount!$E$5:$E$90+Headcount!$G$5:$G$90*$C$15)))/12*(1+Assumptions!$C$97)</f>
        <v>25925</v>
      </c>
      <c r="AL194" s="9" t="n">
        <f aca="false">SUMPRODUCT((Headcount!$C$5:$C$90="MKT")*Headcount!$D$5:$D$90*Headcount!$F$5:$F$90*((Headcount!$I$5:$I$90=0)+(Headcount!$I$5:$I$90=1)*$C$16)*(AL$18&gt;=(Headcount!$E$5:$E$90+Headcount!$G$5:$G$90*$C$15)))/12*(1+Assumptions!$C$97)</f>
        <v>25925</v>
      </c>
      <c r="AN194" s="11" t="n">
        <f aca="false">SUM(C194:N194)</f>
        <v>81333.3333333333</v>
      </c>
      <c r="AO194" s="11" t="n">
        <f aca="false">SUM(O194:Z194)</f>
        <v>250608.333333333</v>
      </c>
      <c r="AP194" s="11" t="n">
        <f aca="false">SUM(AA194:AL194)</f>
        <v>311100</v>
      </c>
    </row>
    <row r="195" customFormat="false" ht="15" hidden="false" customHeight="false" outlineLevel="0" collapsed="false">
      <c r="A195" s="0" t="s">
        <v>996</v>
      </c>
      <c r="B195" s="0" t="s">
        <v>230</v>
      </c>
      <c r="C195" s="9" t="n">
        <f aca="false">SUMPRODUCT((Headcount!$C$5:$C$90="GA")*Headcount!$D$5:$D$90*Headcount!$F$5:$F$90*((Headcount!$I$5:$I$90=0)+(Headcount!$I$5:$I$90=1)*$C$16)*(C$18&gt;=(Headcount!$E$5:$E$90+Headcount!$G$5:$G$90*$C$15)))/12*(1+Assumptions!$C$97)</f>
        <v>15250</v>
      </c>
      <c r="D195" s="9" t="n">
        <f aca="false">SUMPRODUCT((Headcount!$C$5:$C$90="GA")*Headcount!$D$5:$D$90*Headcount!$F$5:$F$90*((Headcount!$I$5:$I$90=0)+(Headcount!$I$5:$I$90=1)*$C$16)*(D$18&gt;=(Headcount!$E$5:$E$90+Headcount!$G$5:$G$90*$C$15)))/12*(1+Assumptions!$C$97)</f>
        <v>15250</v>
      </c>
      <c r="E195" s="9" t="n">
        <f aca="false">SUMPRODUCT((Headcount!$C$5:$C$90="GA")*Headcount!$D$5:$D$90*Headcount!$F$5:$F$90*((Headcount!$I$5:$I$90=0)+(Headcount!$I$5:$I$90=1)*$C$16)*(E$18&gt;=(Headcount!$E$5:$E$90+Headcount!$G$5:$G$90*$C$15)))/12*(1+Assumptions!$C$97)</f>
        <v>15250</v>
      </c>
      <c r="F195" s="9" t="n">
        <f aca="false">SUMPRODUCT((Headcount!$C$5:$C$90="GA")*Headcount!$D$5:$D$90*Headcount!$F$5:$F$90*((Headcount!$I$5:$I$90=0)+(Headcount!$I$5:$I$90=1)*$C$16)*(F$18&gt;=(Headcount!$E$5:$E$90+Headcount!$G$5:$G$90*$C$15)))/12*(1+Assumptions!$C$97)</f>
        <v>15250</v>
      </c>
      <c r="G195" s="9" t="n">
        <f aca="false">SUMPRODUCT((Headcount!$C$5:$C$90="GA")*Headcount!$D$5:$D$90*Headcount!$F$5:$F$90*((Headcount!$I$5:$I$90=0)+(Headcount!$I$5:$I$90=1)*$C$16)*(G$18&gt;=(Headcount!$E$5:$E$90+Headcount!$G$5:$G$90*$C$15)))/12*(1+Assumptions!$C$97)</f>
        <v>15250</v>
      </c>
      <c r="H195" s="9" t="n">
        <f aca="false">SUMPRODUCT((Headcount!$C$5:$C$90="GA")*Headcount!$D$5:$D$90*Headcount!$F$5:$F$90*((Headcount!$I$5:$I$90=0)+(Headcount!$I$5:$I$90=1)*$C$16)*(H$18&gt;=(Headcount!$E$5:$E$90+Headcount!$G$5:$G$90*$C$15)))/12*(1+Assumptions!$C$97)</f>
        <v>15250</v>
      </c>
      <c r="I195" s="9" t="n">
        <f aca="false">SUMPRODUCT((Headcount!$C$5:$C$90="GA")*Headcount!$D$5:$D$90*Headcount!$F$5:$F$90*((Headcount!$I$5:$I$90=0)+(Headcount!$I$5:$I$90=1)*$C$16)*(I$18&gt;=(Headcount!$E$5:$E$90+Headcount!$G$5:$G$90*$C$15)))/12*(1+Assumptions!$C$97)</f>
        <v>15250</v>
      </c>
      <c r="J195" s="9" t="n">
        <f aca="false">SUMPRODUCT((Headcount!$C$5:$C$90="GA")*Headcount!$D$5:$D$90*Headcount!$F$5:$F$90*((Headcount!$I$5:$I$90=0)+(Headcount!$I$5:$I$90=1)*$C$16)*(J$18&gt;=(Headcount!$E$5:$E$90+Headcount!$G$5:$G$90*$C$15)))/12*(1+Assumptions!$C$97)</f>
        <v>15250</v>
      </c>
      <c r="K195" s="9" t="n">
        <f aca="false">SUMPRODUCT((Headcount!$C$5:$C$90="GA")*Headcount!$D$5:$D$90*Headcount!$F$5:$F$90*((Headcount!$I$5:$I$90=0)+(Headcount!$I$5:$I$90=1)*$C$16)*(K$18&gt;=(Headcount!$E$5:$E$90+Headcount!$G$5:$G$90*$C$15)))/12*(1+Assumptions!$C$97)</f>
        <v>27958.3333333333</v>
      </c>
      <c r="L195" s="9" t="n">
        <f aca="false">SUMPRODUCT((Headcount!$C$5:$C$90="GA")*Headcount!$D$5:$D$90*Headcount!$F$5:$F$90*((Headcount!$I$5:$I$90=0)+(Headcount!$I$5:$I$90=1)*$C$16)*(L$18&gt;=(Headcount!$E$5:$E$90+Headcount!$G$5:$G$90*$C$15)))/12*(1+Assumptions!$C$97)</f>
        <v>27958.3333333333</v>
      </c>
      <c r="M195" s="9" t="n">
        <f aca="false">SUMPRODUCT((Headcount!$C$5:$C$90="GA")*Headcount!$D$5:$D$90*Headcount!$F$5:$F$90*((Headcount!$I$5:$I$90=0)+(Headcount!$I$5:$I$90=1)*$C$16)*(M$18&gt;=(Headcount!$E$5:$E$90+Headcount!$G$5:$G$90*$C$15)))/12*(1+Assumptions!$C$97)</f>
        <v>27958.3333333333</v>
      </c>
      <c r="N195" s="9" t="n">
        <f aca="false">SUMPRODUCT((Headcount!$C$5:$C$90="GA")*Headcount!$D$5:$D$90*Headcount!$F$5:$F$90*((Headcount!$I$5:$I$90=0)+(Headcount!$I$5:$I$90=1)*$C$16)*(N$18&gt;=(Headcount!$E$5:$E$90+Headcount!$G$5:$G$90*$C$15)))/12*(1+Assumptions!$C$97)</f>
        <v>27958.3333333333</v>
      </c>
      <c r="O195" s="9" t="n">
        <f aca="false">SUMPRODUCT((Headcount!$C$5:$C$90="GA")*Headcount!$D$5:$D$90*Headcount!$F$5:$F$90*((Headcount!$I$5:$I$90=0)+(Headcount!$I$5:$I$90=1)*$C$16)*(O$18&gt;=(Headcount!$E$5:$E$90+Headcount!$G$5:$G$90*$C$15)))/12*(1+Assumptions!$C$97)</f>
        <v>27958.3333333333</v>
      </c>
      <c r="P195" s="9" t="n">
        <f aca="false">SUMPRODUCT((Headcount!$C$5:$C$90="GA")*Headcount!$D$5:$D$90*Headcount!$F$5:$F$90*((Headcount!$I$5:$I$90=0)+(Headcount!$I$5:$I$90=1)*$C$16)*(P$18&gt;=(Headcount!$E$5:$E$90+Headcount!$G$5:$G$90*$C$15)))/12*(1+Assumptions!$C$97)</f>
        <v>27958.3333333333</v>
      </c>
      <c r="Q195" s="9" t="n">
        <f aca="false">SUMPRODUCT((Headcount!$C$5:$C$90="GA")*Headcount!$D$5:$D$90*Headcount!$F$5:$F$90*((Headcount!$I$5:$I$90=0)+(Headcount!$I$5:$I$90=1)*$C$16)*(Q$18&gt;=(Headcount!$E$5:$E$90+Headcount!$G$5:$G$90*$C$15)))/12*(1+Assumptions!$C$97)</f>
        <v>40158.3333333333</v>
      </c>
      <c r="R195" s="9" t="n">
        <f aca="false">SUMPRODUCT((Headcount!$C$5:$C$90="GA")*Headcount!$D$5:$D$90*Headcount!$F$5:$F$90*((Headcount!$I$5:$I$90=0)+(Headcount!$I$5:$I$90=1)*$C$16)*(R$18&gt;=(Headcount!$E$5:$E$90+Headcount!$G$5:$G$90*$C$15)))/12*(1+Assumptions!$C$97)</f>
        <v>40158.3333333333</v>
      </c>
      <c r="S195" s="9" t="n">
        <f aca="false">SUMPRODUCT((Headcount!$C$5:$C$90="GA")*Headcount!$D$5:$D$90*Headcount!$F$5:$F$90*((Headcount!$I$5:$I$90=0)+(Headcount!$I$5:$I$90=1)*$C$16)*(S$18&gt;=(Headcount!$E$5:$E$90+Headcount!$G$5:$G$90*$C$15)))/12*(1+Assumptions!$C$97)</f>
        <v>40158.3333333333</v>
      </c>
      <c r="T195" s="9" t="n">
        <f aca="false">SUMPRODUCT((Headcount!$C$5:$C$90="GA")*Headcount!$D$5:$D$90*Headcount!$F$5:$F$90*((Headcount!$I$5:$I$90=0)+(Headcount!$I$5:$I$90=1)*$C$16)*(T$18&gt;=(Headcount!$E$5:$E$90+Headcount!$G$5:$G$90*$C$15)))/12*(1+Assumptions!$C$97)</f>
        <v>40158.3333333333</v>
      </c>
      <c r="U195" s="9" t="n">
        <f aca="false">SUMPRODUCT((Headcount!$C$5:$C$90="GA")*Headcount!$D$5:$D$90*Headcount!$F$5:$F$90*((Headcount!$I$5:$I$90=0)+(Headcount!$I$5:$I$90=1)*$C$16)*(U$18&gt;=(Headcount!$E$5:$E$90+Headcount!$G$5:$G$90*$C$15)))/12*(1+Assumptions!$C$97)</f>
        <v>40158.3333333333</v>
      </c>
      <c r="V195" s="9" t="n">
        <f aca="false">SUMPRODUCT((Headcount!$C$5:$C$90="GA")*Headcount!$D$5:$D$90*Headcount!$F$5:$F$90*((Headcount!$I$5:$I$90=0)+(Headcount!$I$5:$I$90=1)*$C$16)*(V$18&gt;=(Headcount!$E$5:$E$90+Headcount!$G$5:$G$90*$C$15)))/12*(1+Assumptions!$C$97)</f>
        <v>40158.3333333333</v>
      </c>
      <c r="W195" s="9" t="n">
        <f aca="false">SUMPRODUCT((Headcount!$C$5:$C$90="GA")*Headcount!$D$5:$D$90*Headcount!$F$5:$F$90*((Headcount!$I$5:$I$90=0)+(Headcount!$I$5:$I$90=1)*$C$16)*(W$18&gt;=(Headcount!$E$5:$E$90+Headcount!$G$5:$G$90*$C$15)))/12*(1+Assumptions!$C$97)</f>
        <v>40158.3333333333</v>
      </c>
      <c r="X195" s="9" t="n">
        <f aca="false">SUMPRODUCT((Headcount!$C$5:$C$90="GA")*Headcount!$D$5:$D$90*Headcount!$F$5:$F$90*((Headcount!$I$5:$I$90=0)+(Headcount!$I$5:$I$90=1)*$C$16)*(X$18&gt;=(Headcount!$E$5:$E$90+Headcount!$G$5:$G$90*$C$15)))/12*(1+Assumptions!$C$97)</f>
        <v>40158.3333333333</v>
      </c>
      <c r="Y195" s="9" t="n">
        <f aca="false">SUMPRODUCT((Headcount!$C$5:$C$90="GA")*Headcount!$D$5:$D$90*Headcount!$F$5:$F$90*((Headcount!$I$5:$I$90=0)+(Headcount!$I$5:$I$90=1)*$C$16)*(Y$18&gt;=(Headcount!$E$5:$E$90+Headcount!$G$5:$G$90*$C$15)))/12*(1+Assumptions!$C$97)</f>
        <v>40158.3333333333</v>
      </c>
      <c r="Z195" s="9" t="n">
        <f aca="false">SUMPRODUCT((Headcount!$C$5:$C$90="GA")*Headcount!$D$5:$D$90*Headcount!$F$5:$F$90*((Headcount!$I$5:$I$90=0)+(Headcount!$I$5:$I$90=1)*$C$16)*(Z$18&gt;=(Headcount!$E$5:$E$90+Headcount!$G$5:$G$90*$C$15)))/12*(1+Assumptions!$C$97)</f>
        <v>48800</v>
      </c>
      <c r="AA195" s="9" t="n">
        <f aca="false">SUMPRODUCT((Headcount!$C$5:$C$90="GA")*Headcount!$D$5:$D$90*Headcount!$F$5:$F$90*((Headcount!$I$5:$I$90=0)+(Headcount!$I$5:$I$90=1)*$C$16)*(AA$18&gt;=(Headcount!$E$5:$E$90+Headcount!$G$5:$G$90*$C$15)))/12*(1+Assumptions!$C$97)</f>
        <v>48800</v>
      </c>
      <c r="AB195" s="9" t="n">
        <f aca="false">SUMPRODUCT((Headcount!$C$5:$C$90="GA")*Headcount!$D$5:$D$90*Headcount!$F$5:$F$90*((Headcount!$I$5:$I$90=0)+(Headcount!$I$5:$I$90=1)*$C$16)*(AB$18&gt;=(Headcount!$E$5:$E$90+Headcount!$G$5:$G$90*$C$15)))/12*(1+Assumptions!$C$97)</f>
        <v>48800</v>
      </c>
      <c r="AC195" s="9" t="n">
        <f aca="false">SUMPRODUCT((Headcount!$C$5:$C$90="GA")*Headcount!$D$5:$D$90*Headcount!$F$5:$F$90*((Headcount!$I$5:$I$90=0)+(Headcount!$I$5:$I$90=1)*$C$16)*(AC$18&gt;=(Headcount!$E$5:$E$90+Headcount!$G$5:$G$90*$C$15)))/12*(1+Assumptions!$C$97)</f>
        <v>48800</v>
      </c>
      <c r="AD195" s="9" t="n">
        <f aca="false">SUMPRODUCT((Headcount!$C$5:$C$90="GA")*Headcount!$D$5:$D$90*Headcount!$F$5:$F$90*((Headcount!$I$5:$I$90=0)+(Headcount!$I$5:$I$90=1)*$C$16)*(AD$18&gt;=(Headcount!$E$5:$E$90+Headcount!$G$5:$G$90*$C$15)))/12*(1+Assumptions!$C$97)</f>
        <v>48800</v>
      </c>
      <c r="AE195" s="9" t="n">
        <f aca="false">SUMPRODUCT((Headcount!$C$5:$C$90="GA")*Headcount!$D$5:$D$90*Headcount!$F$5:$F$90*((Headcount!$I$5:$I$90=0)+(Headcount!$I$5:$I$90=1)*$C$16)*(AE$18&gt;=(Headcount!$E$5:$E$90+Headcount!$G$5:$G$90*$C$15)))/12*(1+Assumptions!$C$97)</f>
        <v>48800</v>
      </c>
      <c r="AF195" s="9" t="n">
        <f aca="false">SUMPRODUCT((Headcount!$C$5:$C$90="GA")*Headcount!$D$5:$D$90*Headcount!$F$5:$F$90*((Headcount!$I$5:$I$90=0)+(Headcount!$I$5:$I$90=1)*$C$16)*(AF$18&gt;=(Headcount!$E$5:$E$90+Headcount!$G$5:$G$90*$C$15)))/12*(1+Assumptions!$C$97)</f>
        <v>48800</v>
      </c>
      <c r="AG195" s="9" t="n">
        <f aca="false">SUMPRODUCT((Headcount!$C$5:$C$90="GA")*Headcount!$D$5:$D$90*Headcount!$F$5:$F$90*((Headcount!$I$5:$I$90=0)+(Headcount!$I$5:$I$90=1)*$C$16)*(AG$18&gt;=(Headcount!$E$5:$E$90+Headcount!$G$5:$G$90*$C$15)))/12*(1+Assumptions!$C$97)</f>
        <v>48800</v>
      </c>
      <c r="AH195" s="9" t="n">
        <f aca="false">SUMPRODUCT((Headcount!$C$5:$C$90="GA")*Headcount!$D$5:$D$90*Headcount!$F$5:$F$90*((Headcount!$I$5:$I$90=0)+(Headcount!$I$5:$I$90=1)*$C$16)*(AH$18&gt;=(Headcount!$E$5:$E$90+Headcount!$G$5:$G$90*$C$15)))/12*(1+Assumptions!$C$97)</f>
        <v>48800</v>
      </c>
      <c r="AI195" s="9" t="n">
        <f aca="false">SUMPRODUCT((Headcount!$C$5:$C$90="GA")*Headcount!$D$5:$D$90*Headcount!$F$5:$F$90*((Headcount!$I$5:$I$90=0)+(Headcount!$I$5:$I$90=1)*$C$16)*(AI$18&gt;=(Headcount!$E$5:$E$90+Headcount!$G$5:$G$90*$C$15)))/12*(1+Assumptions!$C$97)</f>
        <v>48800</v>
      </c>
      <c r="AJ195" s="9" t="n">
        <f aca="false">SUMPRODUCT((Headcount!$C$5:$C$90="GA")*Headcount!$D$5:$D$90*Headcount!$F$5:$F$90*((Headcount!$I$5:$I$90=0)+(Headcount!$I$5:$I$90=1)*$C$16)*(AJ$18&gt;=(Headcount!$E$5:$E$90+Headcount!$G$5:$G$90*$C$15)))/12*(1+Assumptions!$C$97)</f>
        <v>48800</v>
      </c>
      <c r="AK195" s="9" t="n">
        <f aca="false">SUMPRODUCT((Headcount!$C$5:$C$90="GA")*Headcount!$D$5:$D$90*Headcount!$F$5:$F$90*((Headcount!$I$5:$I$90=0)+(Headcount!$I$5:$I$90=1)*$C$16)*(AK$18&gt;=(Headcount!$E$5:$E$90+Headcount!$G$5:$G$90*$C$15)))/12*(1+Assumptions!$C$97)</f>
        <v>48800</v>
      </c>
      <c r="AL195" s="9" t="n">
        <f aca="false">SUMPRODUCT((Headcount!$C$5:$C$90="GA")*Headcount!$D$5:$D$90*Headcount!$F$5:$F$90*((Headcount!$I$5:$I$90=0)+(Headcount!$I$5:$I$90=1)*$C$16)*(AL$18&gt;=(Headcount!$E$5:$E$90+Headcount!$G$5:$G$90*$C$15)))/12*(1+Assumptions!$C$97)</f>
        <v>48800</v>
      </c>
      <c r="AN195" s="11" t="n">
        <f aca="false">SUM(C195:N195)</f>
        <v>233833.333333333</v>
      </c>
      <c r="AO195" s="11" t="n">
        <f aca="false">SUM(O195:Z195)</f>
        <v>466141.666666667</v>
      </c>
      <c r="AP195" s="11" t="n">
        <f aca="false">SUM(AA195:AL195)</f>
        <v>585600</v>
      </c>
    </row>
    <row r="196" customFormat="false" ht="15" hidden="false" customHeight="false" outlineLevel="0" collapsed="false">
      <c r="A196" s="0" t="s">
        <v>997</v>
      </c>
      <c r="B196" s="0" t="s">
        <v>618</v>
      </c>
      <c r="C196" s="13" t="n">
        <f aca="false">SUMPRODUCT(Headcount!$D$5:$D$90*((Headcount!$I$5:$I$90=0)+(Headcount!$I$5:$I$90=1)*$C$16)*(C$18&gt;=(Headcount!$E$5:$E$90+Headcount!$G$5:$G$90*$C$15)))</f>
        <v>4.4</v>
      </c>
      <c r="D196" s="13" t="n">
        <f aca="false">SUMPRODUCT(Headcount!$D$5:$D$90*((Headcount!$I$5:$I$90=0)+(Headcount!$I$5:$I$90=1)*$C$16)*(D$18&gt;=(Headcount!$E$5:$E$90+Headcount!$G$5:$G$90*$C$15)))</f>
        <v>5.4</v>
      </c>
      <c r="E196" s="13" t="n">
        <f aca="false">SUMPRODUCT(Headcount!$D$5:$D$90*((Headcount!$I$5:$I$90=0)+(Headcount!$I$5:$I$90=1)*$C$16)*(E$18&gt;=(Headcount!$E$5:$E$90+Headcount!$G$5:$G$90*$C$15)))</f>
        <v>6.4</v>
      </c>
      <c r="F196" s="13" t="n">
        <f aca="false">SUMPRODUCT(Headcount!$D$5:$D$90*((Headcount!$I$5:$I$90=0)+(Headcount!$I$5:$I$90=1)*$C$16)*(F$18&gt;=(Headcount!$E$5:$E$90+Headcount!$G$5:$G$90*$C$15)))</f>
        <v>7.4</v>
      </c>
      <c r="G196" s="13" t="n">
        <f aca="false">SUMPRODUCT(Headcount!$D$5:$D$90*((Headcount!$I$5:$I$90=0)+(Headcount!$I$5:$I$90=1)*$C$16)*(G$18&gt;=(Headcount!$E$5:$E$90+Headcount!$G$5:$G$90*$C$15)))</f>
        <v>9.4</v>
      </c>
      <c r="H196" s="13" t="n">
        <f aca="false">SUMPRODUCT(Headcount!$D$5:$D$90*((Headcount!$I$5:$I$90=0)+(Headcount!$I$5:$I$90=1)*$C$16)*(H$18&gt;=(Headcount!$E$5:$E$90+Headcount!$G$5:$G$90*$C$15)))</f>
        <v>12.4</v>
      </c>
      <c r="I196" s="13" t="n">
        <f aca="false">SUMPRODUCT(Headcount!$D$5:$D$90*((Headcount!$I$5:$I$90=0)+(Headcount!$I$5:$I$90=1)*$C$16)*(I$18&gt;=(Headcount!$E$5:$E$90+Headcount!$G$5:$G$90*$C$15)))</f>
        <v>14.4</v>
      </c>
      <c r="J196" s="13" t="n">
        <f aca="false">SUMPRODUCT(Headcount!$D$5:$D$90*((Headcount!$I$5:$I$90=0)+(Headcount!$I$5:$I$90=1)*$C$16)*(J$18&gt;=(Headcount!$E$5:$E$90+Headcount!$G$5:$G$90*$C$15)))</f>
        <v>14.4</v>
      </c>
      <c r="K196" s="13" t="n">
        <f aca="false">SUMPRODUCT(Headcount!$D$5:$D$90*((Headcount!$I$5:$I$90=0)+(Headcount!$I$5:$I$90=1)*$C$16)*(K$18&gt;=(Headcount!$E$5:$E$90+Headcount!$G$5:$G$90*$C$15)))</f>
        <v>17.4</v>
      </c>
      <c r="L196" s="13" t="n">
        <f aca="false">SUMPRODUCT(Headcount!$D$5:$D$90*((Headcount!$I$5:$I$90=0)+(Headcount!$I$5:$I$90=1)*$C$16)*(L$18&gt;=(Headcount!$E$5:$E$90+Headcount!$G$5:$G$90*$C$15)))</f>
        <v>20.4</v>
      </c>
      <c r="M196" s="13" t="n">
        <f aca="false">SUMPRODUCT(Headcount!$D$5:$D$90*((Headcount!$I$5:$I$90=0)+(Headcount!$I$5:$I$90=1)*$C$16)*(M$18&gt;=(Headcount!$E$5:$E$90+Headcount!$G$5:$G$90*$C$15)))</f>
        <v>24.4</v>
      </c>
      <c r="N196" s="13" t="n">
        <f aca="false">SUMPRODUCT(Headcount!$D$5:$D$90*((Headcount!$I$5:$I$90=0)+(Headcount!$I$5:$I$90=1)*$C$16)*(N$18&gt;=(Headcount!$E$5:$E$90+Headcount!$G$5:$G$90*$C$15)))</f>
        <v>27.4</v>
      </c>
      <c r="O196" s="13" t="n">
        <f aca="false">SUMPRODUCT(Headcount!$D$5:$D$90*((Headcount!$I$5:$I$90=0)+(Headcount!$I$5:$I$90=1)*$C$16)*(O$18&gt;=(Headcount!$E$5:$E$90+Headcount!$G$5:$G$90*$C$15)))</f>
        <v>31.4</v>
      </c>
      <c r="P196" s="13" t="n">
        <f aca="false">SUMPRODUCT(Headcount!$D$5:$D$90*((Headcount!$I$5:$I$90=0)+(Headcount!$I$5:$I$90=1)*$C$16)*(P$18&gt;=(Headcount!$E$5:$E$90+Headcount!$G$5:$G$90*$C$15)))</f>
        <v>34.4</v>
      </c>
      <c r="Q196" s="13" t="n">
        <f aca="false">SUMPRODUCT(Headcount!$D$5:$D$90*((Headcount!$I$5:$I$90=0)+(Headcount!$I$5:$I$90=1)*$C$16)*(Q$18&gt;=(Headcount!$E$5:$E$90+Headcount!$G$5:$G$90*$C$15)))</f>
        <v>37.4</v>
      </c>
      <c r="R196" s="13" t="n">
        <f aca="false">SUMPRODUCT(Headcount!$D$5:$D$90*((Headcount!$I$5:$I$90=0)+(Headcount!$I$5:$I$90=1)*$C$16)*(R$18&gt;=(Headcount!$E$5:$E$90+Headcount!$G$5:$G$90*$C$15)))</f>
        <v>38.4</v>
      </c>
      <c r="S196" s="13" t="n">
        <f aca="false">SUMPRODUCT(Headcount!$D$5:$D$90*((Headcount!$I$5:$I$90=0)+(Headcount!$I$5:$I$90=1)*$C$16)*(S$18&gt;=(Headcount!$E$5:$E$90+Headcount!$G$5:$G$90*$C$15)))</f>
        <v>38.4</v>
      </c>
      <c r="T196" s="13" t="n">
        <f aca="false">SUMPRODUCT(Headcount!$D$5:$D$90*((Headcount!$I$5:$I$90=0)+(Headcount!$I$5:$I$90=1)*$C$16)*(T$18&gt;=(Headcount!$E$5:$E$90+Headcount!$G$5:$G$90*$C$15)))</f>
        <v>40.4</v>
      </c>
      <c r="U196" s="13" t="n">
        <f aca="false">SUMPRODUCT(Headcount!$D$5:$D$90*((Headcount!$I$5:$I$90=0)+(Headcount!$I$5:$I$90=1)*$C$16)*(U$18&gt;=(Headcount!$E$5:$E$90+Headcount!$G$5:$G$90*$C$15)))</f>
        <v>42.4</v>
      </c>
      <c r="V196" s="13" t="n">
        <f aca="false">SUMPRODUCT(Headcount!$D$5:$D$90*((Headcount!$I$5:$I$90=0)+(Headcount!$I$5:$I$90=1)*$C$16)*(V$18&gt;=(Headcount!$E$5:$E$90+Headcount!$G$5:$G$90*$C$15)))</f>
        <v>44.4</v>
      </c>
      <c r="W196" s="13" t="n">
        <f aca="false">SUMPRODUCT(Headcount!$D$5:$D$90*((Headcount!$I$5:$I$90=0)+(Headcount!$I$5:$I$90=1)*$C$16)*(W$18&gt;=(Headcount!$E$5:$E$90+Headcount!$G$5:$G$90*$C$15)))</f>
        <v>46.4</v>
      </c>
      <c r="X196" s="13" t="n">
        <f aca="false">SUMPRODUCT(Headcount!$D$5:$D$90*((Headcount!$I$5:$I$90=0)+(Headcount!$I$5:$I$90=1)*$C$16)*(X$18&gt;=(Headcount!$E$5:$E$90+Headcount!$G$5:$G$90*$C$15)))</f>
        <v>49.4</v>
      </c>
      <c r="Y196" s="13" t="n">
        <f aca="false">SUMPRODUCT(Headcount!$D$5:$D$90*((Headcount!$I$5:$I$90=0)+(Headcount!$I$5:$I$90=1)*$C$16)*(Y$18&gt;=(Headcount!$E$5:$E$90+Headcount!$G$5:$G$90*$C$15)))</f>
        <v>50.4</v>
      </c>
      <c r="Z196" s="13" t="n">
        <f aca="false">SUMPRODUCT(Headcount!$D$5:$D$90*((Headcount!$I$5:$I$90=0)+(Headcount!$I$5:$I$90=1)*$C$16)*(Z$18&gt;=(Headcount!$E$5:$E$90+Headcount!$G$5:$G$90*$C$15)))</f>
        <v>53.4</v>
      </c>
      <c r="AA196" s="13" t="n">
        <f aca="false">SUMPRODUCT(Headcount!$D$5:$D$90*((Headcount!$I$5:$I$90=0)+(Headcount!$I$5:$I$90=1)*$C$16)*(AA$18&gt;=(Headcount!$E$5:$E$90+Headcount!$G$5:$G$90*$C$15)))</f>
        <v>55.4</v>
      </c>
      <c r="AB196" s="13" t="n">
        <f aca="false">SUMPRODUCT(Headcount!$D$5:$D$90*((Headcount!$I$5:$I$90=0)+(Headcount!$I$5:$I$90=1)*$C$16)*(AB$18&gt;=(Headcount!$E$5:$E$90+Headcount!$G$5:$G$90*$C$15)))</f>
        <v>58.4</v>
      </c>
      <c r="AC196" s="13" t="n">
        <f aca="false">SUMPRODUCT(Headcount!$D$5:$D$90*((Headcount!$I$5:$I$90=0)+(Headcount!$I$5:$I$90=1)*$C$16)*(AC$18&gt;=(Headcount!$E$5:$E$90+Headcount!$G$5:$G$90*$C$15)))</f>
        <v>59.4</v>
      </c>
      <c r="AD196" s="13" t="n">
        <f aca="false">SUMPRODUCT(Headcount!$D$5:$D$90*((Headcount!$I$5:$I$90=0)+(Headcount!$I$5:$I$90=1)*$C$16)*(AD$18&gt;=(Headcount!$E$5:$E$90+Headcount!$G$5:$G$90*$C$15)))</f>
        <v>62.4</v>
      </c>
      <c r="AE196" s="13" t="n">
        <f aca="false">SUMPRODUCT(Headcount!$D$5:$D$90*((Headcount!$I$5:$I$90=0)+(Headcount!$I$5:$I$90=1)*$C$16)*(AE$18&gt;=(Headcount!$E$5:$E$90+Headcount!$G$5:$G$90*$C$15)))</f>
        <v>62.4</v>
      </c>
      <c r="AF196" s="13" t="n">
        <f aca="false">SUMPRODUCT(Headcount!$D$5:$D$90*((Headcount!$I$5:$I$90=0)+(Headcount!$I$5:$I$90=1)*$C$16)*(AF$18&gt;=(Headcount!$E$5:$E$90+Headcount!$G$5:$G$90*$C$15)))</f>
        <v>63.4</v>
      </c>
      <c r="AG196" s="13" t="n">
        <f aca="false">SUMPRODUCT(Headcount!$D$5:$D$90*((Headcount!$I$5:$I$90=0)+(Headcount!$I$5:$I$90=1)*$C$16)*(AG$18&gt;=(Headcount!$E$5:$E$90+Headcount!$G$5:$G$90*$C$15)))</f>
        <v>64.4</v>
      </c>
      <c r="AH196" s="13" t="n">
        <f aca="false">SUMPRODUCT(Headcount!$D$5:$D$90*((Headcount!$I$5:$I$90=0)+(Headcount!$I$5:$I$90=1)*$C$16)*(AH$18&gt;=(Headcount!$E$5:$E$90+Headcount!$G$5:$G$90*$C$15)))</f>
        <v>66.4</v>
      </c>
      <c r="AI196" s="13" t="n">
        <f aca="false">SUMPRODUCT(Headcount!$D$5:$D$90*((Headcount!$I$5:$I$90=0)+(Headcount!$I$5:$I$90=1)*$C$16)*(AI$18&gt;=(Headcount!$E$5:$E$90+Headcount!$G$5:$G$90*$C$15)))</f>
        <v>68.4</v>
      </c>
      <c r="AJ196" s="13" t="n">
        <f aca="false">SUMPRODUCT(Headcount!$D$5:$D$90*((Headcount!$I$5:$I$90=0)+(Headcount!$I$5:$I$90=1)*$C$16)*(AJ$18&gt;=(Headcount!$E$5:$E$90+Headcount!$G$5:$G$90*$C$15)))</f>
        <v>69.4</v>
      </c>
      <c r="AK196" s="13" t="n">
        <f aca="false">SUMPRODUCT(Headcount!$D$5:$D$90*((Headcount!$I$5:$I$90=0)+(Headcount!$I$5:$I$90=1)*$C$16)*(AK$18&gt;=(Headcount!$E$5:$E$90+Headcount!$G$5:$G$90*$C$15)))</f>
        <v>70.4</v>
      </c>
      <c r="AL196" s="13" t="n">
        <f aca="false">SUMPRODUCT(Headcount!$D$5:$D$90*((Headcount!$I$5:$I$90=0)+(Headcount!$I$5:$I$90=1)*$C$16)*(AL$18&gt;=(Headcount!$E$5:$E$90+Headcount!$G$5:$G$90*$C$15)))</f>
        <v>70.4</v>
      </c>
      <c r="AN196" s="37" t="n">
        <f aca="false">N196</f>
        <v>27.4</v>
      </c>
      <c r="AO196" s="37" t="n">
        <f aca="false">Z196</f>
        <v>53.4</v>
      </c>
      <c r="AP196" s="37" t="n">
        <f aca="false">AL196</f>
        <v>70.4</v>
      </c>
    </row>
    <row r="197" customFormat="false" ht="15" hidden="false" customHeight="false" outlineLevel="0" collapsed="false">
      <c r="A197" s="0" t="s">
        <v>998</v>
      </c>
      <c r="B197" s="0" t="s">
        <v>618</v>
      </c>
      <c r="C197" s="13" t="n">
        <f aca="false">SUMPRODUCT(Headcount!$D$5:$D$90*(Headcount!$C$5:$C$90="IMPL")*((Headcount!$I$5:$I$90=0)+(Headcount!$I$5:$I$90=1)*$C$16)*(C$18&gt;=(Headcount!$E$5:$E$90+Headcount!$G$5:$G$90*$C$15)))</f>
        <v>0</v>
      </c>
      <c r="D197" s="13" t="n">
        <f aca="false">SUMPRODUCT(Headcount!$D$5:$D$90*(Headcount!$C$5:$C$90="IMPL")*((Headcount!$I$5:$I$90=0)+(Headcount!$I$5:$I$90=1)*$C$16)*(D$18&gt;=(Headcount!$E$5:$E$90+Headcount!$G$5:$G$90*$C$15)))</f>
        <v>0</v>
      </c>
      <c r="E197" s="13" t="n">
        <f aca="false">SUMPRODUCT(Headcount!$D$5:$D$90*(Headcount!$C$5:$C$90="IMPL")*((Headcount!$I$5:$I$90=0)+(Headcount!$I$5:$I$90=1)*$C$16)*(E$18&gt;=(Headcount!$E$5:$E$90+Headcount!$G$5:$G$90*$C$15)))</f>
        <v>0</v>
      </c>
      <c r="F197" s="13" t="n">
        <f aca="false">SUMPRODUCT(Headcount!$D$5:$D$90*(Headcount!$C$5:$C$90="IMPL")*((Headcount!$I$5:$I$90=0)+(Headcount!$I$5:$I$90=1)*$C$16)*(F$18&gt;=(Headcount!$E$5:$E$90+Headcount!$G$5:$G$90*$C$15)))</f>
        <v>0</v>
      </c>
      <c r="G197" s="13" t="n">
        <f aca="false">SUMPRODUCT(Headcount!$D$5:$D$90*(Headcount!$C$5:$C$90="IMPL")*((Headcount!$I$5:$I$90=0)+(Headcount!$I$5:$I$90=1)*$C$16)*(G$18&gt;=(Headcount!$E$5:$E$90+Headcount!$G$5:$G$90*$C$15)))</f>
        <v>1</v>
      </c>
      <c r="H197" s="13" t="n">
        <f aca="false">SUMPRODUCT(Headcount!$D$5:$D$90*(Headcount!$C$5:$C$90="IMPL")*((Headcount!$I$5:$I$90=0)+(Headcount!$I$5:$I$90=1)*$C$16)*(H$18&gt;=(Headcount!$E$5:$E$90+Headcount!$G$5:$G$90*$C$15)))</f>
        <v>1</v>
      </c>
      <c r="I197" s="13" t="n">
        <f aca="false">SUMPRODUCT(Headcount!$D$5:$D$90*(Headcount!$C$5:$C$90="IMPL")*((Headcount!$I$5:$I$90=0)+(Headcount!$I$5:$I$90=1)*$C$16)*(I$18&gt;=(Headcount!$E$5:$E$90+Headcount!$G$5:$G$90*$C$15)))</f>
        <v>1</v>
      </c>
      <c r="J197" s="13" t="n">
        <f aca="false">SUMPRODUCT(Headcount!$D$5:$D$90*(Headcount!$C$5:$C$90="IMPL")*((Headcount!$I$5:$I$90=0)+(Headcount!$I$5:$I$90=1)*$C$16)*(J$18&gt;=(Headcount!$E$5:$E$90+Headcount!$G$5:$G$90*$C$15)))</f>
        <v>1</v>
      </c>
      <c r="K197" s="13" t="n">
        <f aca="false">SUMPRODUCT(Headcount!$D$5:$D$90*(Headcount!$C$5:$C$90="IMPL")*((Headcount!$I$5:$I$90=0)+(Headcount!$I$5:$I$90=1)*$C$16)*(K$18&gt;=(Headcount!$E$5:$E$90+Headcount!$G$5:$G$90*$C$15)))</f>
        <v>1</v>
      </c>
      <c r="L197" s="13" t="n">
        <f aca="false">SUMPRODUCT(Headcount!$D$5:$D$90*(Headcount!$C$5:$C$90="IMPL")*((Headcount!$I$5:$I$90=0)+(Headcount!$I$5:$I$90=1)*$C$16)*(L$18&gt;=(Headcount!$E$5:$E$90+Headcount!$G$5:$G$90*$C$15)))</f>
        <v>1</v>
      </c>
      <c r="M197" s="13" t="n">
        <f aca="false">SUMPRODUCT(Headcount!$D$5:$D$90*(Headcount!$C$5:$C$90="IMPL")*((Headcount!$I$5:$I$90=0)+(Headcount!$I$5:$I$90=1)*$C$16)*(M$18&gt;=(Headcount!$E$5:$E$90+Headcount!$G$5:$G$90*$C$15)))</f>
        <v>2</v>
      </c>
      <c r="N197" s="13" t="n">
        <f aca="false">SUMPRODUCT(Headcount!$D$5:$D$90*(Headcount!$C$5:$C$90="IMPL")*((Headcount!$I$5:$I$90=0)+(Headcount!$I$5:$I$90=1)*$C$16)*(N$18&gt;=(Headcount!$E$5:$E$90+Headcount!$G$5:$G$90*$C$15)))</f>
        <v>2</v>
      </c>
      <c r="O197" s="13" t="n">
        <f aca="false">SUMPRODUCT(Headcount!$D$5:$D$90*(Headcount!$C$5:$C$90="IMPL")*((Headcount!$I$5:$I$90=0)+(Headcount!$I$5:$I$90=1)*$C$16)*(O$18&gt;=(Headcount!$E$5:$E$90+Headcount!$G$5:$G$90*$C$15)))</f>
        <v>2</v>
      </c>
      <c r="P197" s="13" t="n">
        <f aca="false">SUMPRODUCT(Headcount!$D$5:$D$90*(Headcount!$C$5:$C$90="IMPL")*((Headcount!$I$5:$I$90=0)+(Headcount!$I$5:$I$90=1)*$C$16)*(P$18&gt;=(Headcount!$E$5:$E$90+Headcount!$G$5:$G$90*$C$15)))</f>
        <v>2</v>
      </c>
      <c r="Q197" s="13" t="n">
        <f aca="false">SUMPRODUCT(Headcount!$D$5:$D$90*(Headcount!$C$5:$C$90="IMPL")*((Headcount!$I$5:$I$90=0)+(Headcount!$I$5:$I$90=1)*$C$16)*(Q$18&gt;=(Headcount!$E$5:$E$90+Headcount!$G$5:$G$90*$C$15)))</f>
        <v>3</v>
      </c>
      <c r="R197" s="13" t="n">
        <f aca="false">SUMPRODUCT(Headcount!$D$5:$D$90*(Headcount!$C$5:$C$90="IMPL")*((Headcount!$I$5:$I$90=0)+(Headcount!$I$5:$I$90=1)*$C$16)*(R$18&gt;=(Headcount!$E$5:$E$90+Headcount!$G$5:$G$90*$C$15)))</f>
        <v>3</v>
      </c>
      <c r="S197" s="13" t="n">
        <f aca="false">SUMPRODUCT(Headcount!$D$5:$D$90*(Headcount!$C$5:$C$90="IMPL")*((Headcount!$I$5:$I$90=0)+(Headcount!$I$5:$I$90=1)*$C$16)*(S$18&gt;=(Headcount!$E$5:$E$90+Headcount!$G$5:$G$90*$C$15)))</f>
        <v>3</v>
      </c>
      <c r="T197" s="13" t="n">
        <f aca="false">SUMPRODUCT(Headcount!$D$5:$D$90*(Headcount!$C$5:$C$90="IMPL")*((Headcount!$I$5:$I$90=0)+(Headcount!$I$5:$I$90=1)*$C$16)*(T$18&gt;=(Headcount!$E$5:$E$90+Headcount!$G$5:$G$90*$C$15)))</f>
        <v>3</v>
      </c>
      <c r="U197" s="13" t="n">
        <f aca="false">SUMPRODUCT(Headcount!$D$5:$D$90*(Headcount!$C$5:$C$90="IMPL")*((Headcount!$I$5:$I$90=0)+(Headcount!$I$5:$I$90=1)*$C$16)*(U$18&gt;=(Headcount!$E$5:$E$90+Headcount!$G$5:$G$90*$C$15)))</f>
        <v>4</v>
      </c>
      <c r="V197" s="13" t="n">
        <f aca="false">SUMPRODUCT(Headcount!$D$5:$D$90*(Headcount!$C$5:$C$90="IMPL")*((Headcount!$I$5:$I$90=0)+(Headcount!$I$5:$I$90=1)*$C$16)*(V$18&gt;=(Headcount!$E$5:$E$90+Headcount!$G$5:$G$90*$C$15)))</f>
        <v>4</v>
      </c>
      <c r="W197" s="13" t="n">
        <f aca="false">SUMPRODUCT(Headcount!$D$5:$D$90*(Headcount!$C$5:$C$90="IMPL")*((Headcount!$I$5:$I$90=0)+(Headcount!$I$5:$I$90=1)*$C$16)*(W$18&gt;=(Headcount!$E$5:$E$90+Headcount!$G$5:$G$90*$C$15)))</f>
        <v>4</v>
      </c>
      <c r="X197" s="13" t="n">
        <f aca="false">SUMPRODUCT(Headcount!$D$5:$D$90*(Headcount!$C$5:$C$90="IMPL")*((Headcount!$I$5:$I$90=0)+(Headcount!$I$5:$I$90=1)*$C$16)*(X$18&gt;=(Headcount!$E$5:$E$90+Headcount!$G$5:$G$90*$C$15)))</f>
        <v>5</v>
      </c>
      <c r="Y197" s="13" t="n">
        <f aca="false">SUMPRODUCT(Headcount!$D$5:$D$90*(Headcount!$C$5:$C$90="IMPL")*((Headcount!$I$5:$I$90=0)+(Headcount!$I$5:$I$90=1)*$C$16)*(Y$18&gt;=(Headcount!$E$5:$E$90+Headcount!$G$5:$G$90*$C$15)))</f>
        <v>5</v>
      </c>
      <c r="Z197" s="13" t="n">
        <f aca="false">SUMPRODUCT(Headcount!$D$5:$D$90*(Headcount!$C$5:$C$90="IMPL")*((Headcount!$I$5:$I$90=0)+(Headcount!$I$5:$I$90=1)*$C$16)*(Z$18&gt;=(Headcount!$E$5:$E$90+Headcount!$G$5:$G$90*$C$15)))</f>
        <v>5</v>
      </c>
      <c r="AA197" s="13" t="n">
        <f aca="false">SUMPRODUCT(Headcount!$D$5:$D$90*(Headcount!$C$5:$C$90="IMPL")*((Headcount!$I$5:$I$90=0)+(Headcount!$I$5:$I$90=1)*$C$16)*(AA$18&gt;=(Headcount!$E$5:$E$90+Headcount!$G$5:$G$90*$C$15)))</f>
        <v>6</v>
      </c>
      <c r="AB197" s="13" t="n">
        <f aca="false">SUMPRODUCT(Headcount!$D$5:$D$90*(Headcount!$C$5:$C$90="IMPL")*((Headcount!$I$5:$I$90=0)+(Headcount!$I$5:$I$90=1)*$C$16)*(AB$18&gt;=(Headcount!$E$5:$E$90+Headcount!$G$5:$G$90*$C$15)))</f>
        <v>6</v>
      </c>
      <c r="AC197" s="13" t="n">
        <f aca="false">SUMPRODUCT(Headcount!$D$5:$D$90*(Headcount!$C$5:$C$90="IMPL")*((Headcount!$I$5:$I$90=0)+(Headcount!$I$5:$I$90=1)*$C$16)*(AC$18&gt;=(Headcount!$E$5:$E$90+Headcount!$G$5:$G$90*$C$15)))</f>
        <v>6</v>
      </c>
      <c r="AD197" s="13" t="n">
        <f aca="false">SUMPRODUCT(Headcount!$D$5:$D$90*(Headcount!$C$5:$C$90="IMPL")*((Headcount!$I$5:$I$90=0)+(Headcount!$I$5:$I$90=1)*$C$16)*(AD$18&gt;=(Headcount!$E$5:$E$90+Headcount!$G$5:$G$90*$C$15)))</f>
        <v>7</v>
      </c>
      <c r="AE197" s="13" t="n">
        <f aca="false">SUMPRODUCT(Headcount!$D$5:$D$90*(Headcount!$C$5:$C$90="IMPL")*((Headcount!$I$5:$I$90=0)+(Headcount!$I$5:$I$90=1)*$C$16)*(AE$18&gt;=(Headcount!$E$5:$E$90+Headcount!$G$5:$G$90*$C$15)))</f>
        <v>7</v>
      </c>
      <c r="AF197" s="13" t="n">
        <f aca="false">SUMPRODUCT(Headcount!$D$5:$D$90*(Headcount!$C$5:$C$90="IMPL")*((Headcount!$I$5:$I$90=0)+(Headcount!$I$5:$I$90=1)*$C$16)*(AF$18&gt;=(Headcount!$E$5:$E$90+Headcount!$G$5:$G$90*$C$15)))</f>
        <v>7</v>
      </c>
      <c r="AG197" s="13" t="n">
        <f aca="false">SUMPRODUCT(Headcount!$D$5:$D$90*(Headcount!$C$5:$C$90="IMPL")*((Headcount!$I$5:$I$90=0)+(Headcount!$I$5:$I$90=1)*$C$16)*(AG$18&gt;=(Headcount!$E$5:$E$90+Headcount!$G$5:$G$90*$C$15)))</f>
        <v>8</v>
      </c>
      <c r="AH197" s="13" t="n">
        <f aca="false">SUMPRODUCT(Headcount!$D$5:$D$90*(Headcount!$C$5:$C$90="IMPL")*((Headcount!$I$5:$I$90=0)+(Headcount!$I$5:$I$90=1)*$C$16)*(AH$18&gt;=(Headcount!$E$5:$E$90+Headcount!$G$5:$G$90*$C$15)))</f>
        <v>8</v>
      </c>
      <c r="AI197" s="13" t="n">
        <f aca="false">SUMPRODUCT(Headcount!$D$5:$D$90*(Headcount!$C$5:$C$90="IMPL")*((Headcount!$I$5:$I$90=0)+(Headcount!$I$5:$I$90=1)*$C$16)*(AI$18&gt;=(Headcount!$E$5:$E$90+Headcount!$G$5:$G$90*$C$15)))</f>
        <v>8</v>
      </c>
      <c r="AJ197" s="13" t="n">
        <f aca="false">SUMPRODUCT(Headcount!$D$5:$D$90*(Headcount!$C$5:$C$90="IMPL")*((Headcount!$I$5:$I$90=0)+(Headcount!$I$5:$I$90=1)*$C$16)*(AJ$18&gt;=(Headcount!$E$5:$E$90+Headcount!$G$5:$G$90*$C$15)))</f>
        <v>8</v>
      </c>
      <c r="AK197" s="13" t="n">
        <f aca="false">SUMPRODUCT(Headcount!$D$5:$D$90*(Headcount!$C$5:$C$90="IMPL")*((Headcount!$I$5:$I$90=0)+(Headcount!$I$5:$I$90=1)*$C$16)*(AK$18&gt;=(Headcount!$E$5:$E$90+Headcount!$G$5:$G$90*$C$15)))</f>
        <v>8</v>
      </c>
      <c r="AL197" s="13" t="n">
        <f aca="false">SUMPRODUCT(Headcount!$D$5:$D$90*(Headcount!$C$5:$C$90="IMPL")*((Headcount!$I$5:$I$90=0)+(Headcount!$I$5:$I$90=1)*$C$16)*(AL$18&gt;=(Headcount!$E$5:$E$90+Headcount!$G$5:$G$90*$C$15)))</f>
        <v>8</v>
      </c>
      <c r="AN197" s="37" t="n">
        <f aca="false">N197</f>
        <v>2</v>
      </c>
      <c r="AO197" s="37" t="n">
        <f aca="false">Z197</f>
        <v>5</v>
      </c>
      <c r="AP197" s="37" t="n">
        <f aca="false">AL197</f>
        <v>8</v>
      </c>
    </row>
    <row r="198" customFormat="false" ht="15" hidden="false" customHeight="false" outlineLevel="0" collapsed="false">
      <c r="A198" s="0" t="s">
        <v>999</v>
      </c>
      <c r="B198" s="0" t="s">
        <v>618</v>
      </c>
      <c r="C198" s="13" t="n">
        <f aca="false">IF(C$18&gt;=2,SUMPRODUCT(Headcount!$D$5:$D$90*((Headcount!$I$5:$I$90=0)+(Headcount!$I$5:$I$90=1)*$C$16)*((Headcount!$E$5:$E$90+Headcount!$G$5:$G$90*$C$15)=C$18)),0)</f>
        <v>0</v>
      </c>
      <c r="D198" s="13" t="n">
        <f aca="false">IF(D$18&gt;=2,SUMPRODUCT(Headcount!$D$5:$D$90*((Headcount!$I$5:$I$90=0)+(Headcount!$I$5:$I$90=1)*$C$16)*((Headcount!$E$5:$E$90+Headcount!$G$5:$G$90*$C$15)=D$18)),0)</f>
        <v>1</v>
      </c>
      <c r="E198" s="13" t="n">
        <f aca="false">IF(E$18&gt;=2,SUMPRODUCT(Headcount!$D$5:$D$90*((Headcount!$I$5:$I$90=0)+(Headcount!$I$5:$I$90=1)*$C$16)*((Headcount!$E$5:$E$90+Headcount!$G$5:$G$90*$C$15)=E$18)),0)</f>
        <v>1</v>
      </c>
      <c r="F198" s="13" t="n">
        <f aca="false">IF(F$18&gt;=2,SUMPRODUCT(Headcount!$D$5:$D$90*((Headcount!$I$5:$I$90=0)+(Headcount!$I$5:$I$90=1)*$C$16)*((Headcount!$E$5:$E$90+Headcount!$G$5:$G$90*$C$15)=F$18)),0)</f>
        <v>1</v>
      </c>
      <c r="G198" s="13" t="n">
        <f aca="false">IF(G$18&gt;=2,SUMPRODUCT(Headcount!$D$5:$D$90*((Headcount!$I$5:$I$90=0)+(Headcount!$I$5:$I$90=1)*$C$16)*((Headcount!$E$5:$E$90+Headcount!$G$5:$G$90*$C$15)=G$18)),0)</f>
        <v>2</v>
      </c>
      <c r="H198" s="13" t="n">
        <f aca="false">IF(H$18&gt;=2,SUMPRODUCT(Headcount!$D$5:$D$90*((Headcount!$I$5:$I$90=0)+(Headcount!$I$5:$I$90=1)*$C$16)*((Headcount!$E$5:$E$90+Headcount!$G$5:$G$90*$C$15)=H$18)),0)</f>
        <v>3</v>
      </c>
      <c r="I198" s="13" t="n">
        <f aca="false">IF(I$18&gt;=2,SUMPRODUCT(Headcount!$D$5:$D$90*((Headcount!$I$5:$I$90=0)+(Headcount!$I$5:$I$90=1)*$C$16)*((Headcount!$E$5:$E$90+Headcount!$G$5:$G$90*$C$15)=I$18)),0)</f>
        <v>2</v>
      </c>
      <c r="J198" s="13" t="n">
        <f aca="false">IF(J$18&gt;=2,SUMPRODUCT(Headcount!$D$5:$D$90*((Headcount!$I$5:$I$90=0)+(Headcount!$I$5:$I$90=1)*$C$16)*((Headcount!$E$5:$E$90+Headcount!$G$5:$G$90*$C$15)=J$18)),0)</f>
        <v>0</v>
      </c>
      <c r="K198" s="13" t="n">
        <f aca="false">IF(K$18&gt;=2,SUMPRODUCT(Headcount!$D$5:$D$90*((Headcount!$I$5:$I$90=0)+(Headcount!$I$5:$I$90=1)*$C$16)*((Headcount!$E$5:$E$90+Headcount!$G$5:$G$90*$C$15)=K$18)),0)</f>
        <v>3</v>
      </c>
      <c r="L198" s="13" t="n">
        <f aca="false">IF(L$18&gt;=2,SUMPRODUCT(Headcount!$D$5:$D$90*((Headcount!$I$5:$I$90=0)+(Headcount!$I$5:$I$90=1)*$C$16)*((Headcount!$E$5:$E$90+Headcount!$G$5:$G$90*$C$15)=L$18)),0)</f>
        <v>3</v>
      </c>
      <c r="M198" s="13" t="n">
        <f aca="false">IF(M$18&gt;=2,SUMPRODUCT(Headcount!$D$5:$D$90*((Headcount!$I$5:$I$90=0)+(Headcount!$I$5:$I$90=1)*$C$16)*((Headcount!$E$5:$E$90+Headcount!$G$5:$G$90*$C$15)=M$18)),0)</f>
        <v>4</v>
      </c>
      <c r="N198" s="13" t="n">
        <f aca="false">IF(N$18&gt;=2,SUMPRODUCT(Headcount!$D$5:$D$90*((Headcount!$I$5:$I$90=0)+(Headcount!$I$5:$I$90=1)*$C$16)*((Headcount!$E$5:$E$90+Headcount!$G$5:$G$90*$C$15)=N$18)),0)</f>
        <v>3</v>
      </c>
      <c r="O198" s="13" t="n">
        <f aca="false">IF(O$18&gt;=2,SUMPRODUCT(Headcount!$D$5:$D$90*((Headcount!$I$5:$I$90=0)+(Headcount!$I$5:$I$90=1)*$C$16)*((Headcount!$E$5:$E$90+Headcount!$G$5:$G$90*$C$15)=O$18)),0)</f>
        <v>4</v>
      </c>
      <c r="P198" s="13" t="n">
        <f aca="false">IF(P$18&gt;=2,SUMPRODUCT(Headcount!$D$5:$D$90*((Headcount!$I$5:$I$90=0)+(Headcount!$I$5:$I$90=1)*$C$16)*((Headcount!$E$5:$E$90+Headcount!$G$5:$G$90*$C$15)=P$18)),0)</f>
        <v>3</v>
      </c>
      <c r="Q198" s="13" t="n">
        <f aca="false">IF(Q$18&gt;=2,SUMPRODUCT(Headcount!$D$5:$D$90*((Headcount!$I$5:$I$90=0)+(Headcount!$I$5:$I$90=1)*$C$16)*((Headcount!$E$5:$E$90+Headcount!$G$5:$G$90*$C$15)=Q$18)),0)</f>
        <v>3</v>
      </c>
      <c r="R198" s="13" t="n">
        <f aca="false">IF(R$18&gt;=2,SUMPRODUCT(Headcount!$D$5:$D$90*((Headcount!$I$5:$I$90=0)+(Headcount!$I$5:$I$90=1)*$C$16)*((Headcount!$E$5:$E$90+Headcount!$G$5:$G$90*$C$15)=R$18)),0)</f>
        <v>1</v>
      </c>
      <c r="S198" s="13" t="n">
        <f aca="false">IF(S$18&gt;=2,SUMPRODUCT(Headcount!$D$5:$D$90*((Headcount!$I$5:$I$90=0)+(Headcount!$I$5:$I$90=1)*$C$16)*((Headcount!$E$5:$E$90+Headcount!$G$5:$G$90*$C$15)=S$18)),0)</f>
        <v>0</v>
      </c>
      <c r="T198" s="13" t="n">
        <f aca="false">IF(T$18&gt;=2,SUMPRODUCT(Headcount!$D$5:$D$90*((Headcount!$I$5:$I$90=0)+(Headcount!$I$5:$I$90=1)*$C$16)*((Headcount!$E$5:$E$90+Headcount!$G$5:$G$90*$C$15)=T$18)),0)</f>
        <v>2</v>
      </c>
      <c r="U198" s="13" t="n">
        <f aca="false">IF(U$18&gt;=2,SUMPRODUCT(Headcount!$D$5:$D$90*((Headcount!$I$5:$I$90=0)+(Headcount!$I$5:$I$90=1)*$C$16)*((Headcount!$E$5:$E$90+Headcount!$G$5:$G$90*$C$15)=U$18)),0)</f>
        <v>2</v>
      </c>
      <c r="V198" s="13" t="n">
        <f aca="false">IF(V$18&gt;=2,SUMPRODUCT(Headcount!$D$5:$D$90*((Headcount!$I$5:$I$90=0)+(Headcount!$I$5:$I$90=1)*$C$16)*((Headcount!$E$5:$E$90+Headcount!$G$5:$G$90*$C$15)=V$18)),0)</f>
        <v>2</v>
      </c>
      <c r="W198" s="13" t="n">
        <f aca="false">IF(W$18&gt;=2,SUMPRODUCT(Headcount!$D$5:$D$90*((Headcount!$I$5:$I$90=0)+(Headcount!$I$5:$I$90=1)*$C$16)*((Headcount!$E$5:$E$90+Headcount!$G$5:$G$90*$C$15)=W$18)),0)</f>
        <v>2</v>
      </c>
      <c r="X198" s="13" t="n">
        <f aca="false">IF(X$18&gt;=2,SUMPRODUCT(Headcount!$D$5:$D$90*((Headcount!$I$5:$I$90=0)+(Headcount!$I$5:$I$90=1)*$C$16)*((Headcount!$E$5:$E$90+Headcount!$G$5:$G$90*$C$15)=X$18)),0)</f>
        <v>3</v>
      </c>
      <c r="Y198" s="13" t="n">
        <f aca="false">IF(Y$18&gt;=2,SUMPRODUCT(Headcount!$D$5:$D$90*((Headcount!$I$5:$I$90=0)+(Headcount!$I$5:$I$90=1)*$C$16)*((Headcount!$E$5:$E$90+Headcount!$G$5:$G$90*$C$15)=Y$18)),0)</f>
        <v>1</v>
      </c>
      <c r="Z198" s="13" t="n">
        <f aca="false">IF(Z$18&gt;=2,SUMPRODUCT(Headcount!$D$5:$D$90*((Headcount!$I$5:$I$90=0)+(Headcount!$I$5:$I$90=1)*$C$16)*((Headcount!$E$5:$E$90+Headcount!$G$5:$G$90*$C$15)=Z$18)),0)</f>
        <v>3</v>
      </c>
      <c r="AA198" s="13" t="n">
        <f aca="false">IF(AA$18&gt;=2,SUMPRODUCT(Headcount!$D$5:$D$90*((Headcount!$I$5:$I$90=0)+(Headcount!$I$5:$I$90=1)*$C$16)*((Headcount!$E$5:$E$90+Headcount!$G$5:$G$90*$C$15)=AA$18)),0)</f>
        <v>2</v>
      </c>
      <c r="AB198" s="13" t="n">
        <f aca="false">IF(AB$18&gt;=2,SUMPRODUCT(Headcount!$D$5:$D$90*((Headcount!$I$5:$I$90=0)+(Headcount!$I$5:$I$90=1)*$C$16)*((Headcount!$E$5:$E$90+Headcount!$G$5:$G$90*$C$15)=AB$18)),0)</f>
        <v>3</v>
      </c>
      <c r="AC198" s="13" t="n">
        <f aca="false">IF(AC$18&gt;=2,SUMPRODUCT(Headcount!$D$5:$D$90*((Headcount!$I$5:$I$90=0)+(Headcount!$I$5:$I$90=1)*$C$16)*((Headcount!$E$5:$E$90+Headcount!$G$5:$G$90*$C$15)=AC$18)),0)</f>
        <v>1</v>
      </c>
      <c r="AD198" s="13" t="n">
        <f aca="false">IF(AD$18&gt;=2,SUMPRODUCT(Headcount!$D$5:$D$90*((Headcount!$I$5:$I$90=0)+(Headcount!$I$5:$I$90=1)*$C$16)*((Headcount!$E$5:$E$90+Headcount!$G$5:$G$90*$C$15)=AD$18)),0)</f>
        <v>3</v>
      </c>
      <c r="AE198" s="13" t="n">
        <f aca="false">IF(AE$18&gt;=2,SUMPRODUCT(Headcount!$D$5:$D$90*((Headcount!$I$5:$I$90=0)+(Headcount!$I$5:$I$90=1)*$C$16)*((Headcount!$E$5:$E$90+Headcount!$G$5:$G$90*$C$15)=AE$18)),0)</f>
        <v>0</v>
      </c>
      <c r="AF198" s="13" t="n">
        <f aca="false">IF(AF$18&gt;=2,SUMPRODUCT(Headcount!$D$5:$D$90*((Headcount!$I$5:$I$90=0)+(Headcount!$I$5:$I$90=1)*$C$16)*((Headcount!$E$5:$E$90+Headcount!$G$5:$G$90*$C$15)=AF$18)),0)</f>
        <v>1</v>
      </c>
      <c r="AG198" s="13" t="n">
        <f aca="false">IF(AG$18&gt;=2,SUMPRODUCT(Headcount!$D$5:$D$90*((Headcount!$I$5:$I$90=0)+(Headcount!$I$5:$I$90=1)*$C$16)*((Headcount!$E$5:$E$90+Headcount!$G$5:$G$90*$C$15)=AG$18)),0)</f>
        <v>1</v>
      </c>
      <c r="AH198" s="13" t="n">
        <f aca="false">IF(AH$18&gt;=2,SUMPRODUCT(Headcount!$D$5:$D$90*((Headcount!$I$5:$I$90=0)+(Headcount!$I$5:$I$90=1)*$C$16)*((Headcount!$E$5:$E$90+Headcount!$G$5:$G$90*$C$15)=AH$18)),0)</f>
        <v>2</v>
      </c>
      <c r="AI198" s="13" t="n">
        <f aca="false">IF(AI$18&gt;=2,SUMPRODUCT(Headcount!$D$5:$D$90*((Headcount!$I$5:$I$90=0)+(Headcount!$I$5:$I$90=1)*$C$16)*((Headcount!$E$5:$E$90+Headcount!$G$5:$G$90*$C$15)=AI$18)),0)</f>
        <v>2</v>
      </c>
      <c r="AJ198" s="13" t="n">
        <f aca="false">IF(AJ$18&gt;=2,SUMPRODUCT(Headcount!$D$5:$D$90*((Headcount!$I$5:$I$90=0)+(Headcount!$I$5:$I$90=1)*$C$16)*((Headcount!$E$5:$E$90+Headcount!$G$5:$G$90*$C$15)=AJ$18)),0)</f>
        <v>1</v>
      </c>
      <c r="AK198" s="13" t="n">
        <f aca="false">IF(AK$18&gt;=2,SUMPRODUCT(Headcount!$D$5:$D$90*((Headcount!$I$5:$I$90=0)+(Headcount!$I$5:$I$90=1)*$C$16)*((Headcount!$E$5:$E$90+Headcount!$G$5:$G$90*$C$15)=AK$18)),0)</f>
        <v>1</v>
      </c>
      <c r="AL198" s="13" t="n">
        <f aca="false">IF(AL$18&gt;=2,SUMPRODUCT(Headcount!$D$5:$D$90*((Headcount!$I$5:$I$90=0)+(Headcount!$I$5:$I$90=1)*$C$16)*((Headcount!$E$5:$E$90+Headcount!$G$5:$G$90*$C$15)=AL$18)),0)</f>
        <v>0</v>
      </c>
      <c r="AN198" s="37" t="n">
        <f aca="false">SUM(C198:N198)</f>
        <v>23</v>
      </c>
      <c r="AO198" s="37" t="n">
        <f aca="false">SUM(O198:Z198)</f>
        <v>26</v>
      </c>
      <c r="AP198" s="37" t="n">
        <f aca="false">SUM(AA198:AL198)</f>
        <v>17</v>
      </c>
    </row>
    <row r="199" customFormat="false" ht="15" hidden="false" customHeight="false" outlineLevel="0" collapsed="false">
      <c r="A199" s="0" t="s">
        <v>1000</v>
      </c>
      <c r="B199" s="0" t="s">
        <v>230</v>
      </c>
      <c r="C199" s="9" t="n">
        <f aca="false">((((((Assumptions!$C$138+Assumptions!$C$139)+Assumptions!$C$140)+Assumptions!$C$141)+Assumptions!$C$142)+Assumptions!$C$143)/12)</f>
        <v>9833.33333333333</v>
      </c>
      <c r="D199" s="9" t="n">
        <f aca="false">((((((Assumptions!$C$138+Assumptions!$C$139)+Assumptions!$C$140)+Assumptions!$C$141)+Assumptions!$C$142)+Assumptions!$C$143)/12)</f>
        <v>9833.33333333333</v>
      </c>
      <c r="E199" s="9" t="n">
        <f aca="false">((((((Assumptions!$C$138+Assumptions!$C$139)+Assumptions!$C$140)+Assumptions!$C$141)+Assumptions!$C$142)+Assumptions!$C$143)/12)</f>
        <v>9833.33333333333</v>
      </c>
      <c r="F199" s="9" t="n">
        <f aca="false">((((((Assumptions!$C$138+Assumptions!$C$139)+Assumptions!$C$140)+Assumptions!$C$141)+Assumptions!$C$142)+Assumptions!$C$143)/12)</f>
        <v>9833.33333333333</v>
      </c>
      <c r="G199" s="9" t="n">
        <f aca="false">((((((Assumptions!$C$138+Assumptions!$C$139)+Assumptions!$C$140)+Assumptions!$C$141)+Assumptions!$C$142)+Assumptions!$C$143)/12)</f>
        <v>9833.33333333333</v>
      </c>
      <c r="H199" s="9" t="n">
        <f aca="false">((((((Assumptions!$C$138+Assumptions!$C$139)+Assumptions!$C$140)+Assumptions!$C$141)+Assumptions!$C$142)+Assumptions!$C$143)/12)</f>
        <v>9833.33333333333</v>
      </c>
      <c r="I199" s="9" t="n">
        <f aca="false">((((((Assumptions!$C$138+Assumptions!$C$139)+Assumptions!$C$140)+Assumptions!$C$141)+Assumptions!$C$142)+Assumptions!$C$143)/12)</f>
        <v>9833.33333333333</v>
      </c>
      <c r="J199" s="9" t="n">
        <f aca="false">((((((Assumptions!$C$138+Assumptions!$C$139)+Assumptions!$C$140)+Assumptions!$C$141)+Assumptions!$C$142)+Assumptions!$C$143)/12)</f>
        <v>9833.33333333333</v>
      </c>
      <c r="K199" s="9" t="n">
        <f aca="false">((((((Assumptions!$C$138+Assumptions!$C$139)+Assumptions!$C$140)+Assumptions!$C$141)+Assumptions!$C$142)+Assumptions!$C$143)/12)</f>
        <v>9833.33333333333</v>
      </c>
      <c r="L199" s="9" t="n">
        <f aca="false">((((((Assumptions!$C$138+Assumptions!$C$139)+Assumptions!$C$140)+Assumptions!$C$141)+Assumptions!$C$142)+Assumptions!$C$143)/12)</f>
        <v>9833.33333333333</v>
      </c>
      <c r="M199" s="9" t="n">
        <f aca="false">((((((Assumptions!$C$138+Assumptions!$C$139)+Assumptions!$C$140)+Assumptions!$C$141)+Assumptions!$C$142)+Assumptions!$C$143)/12)</f>
        <v>9833.33333333333</v>
      </c>
      <c r="N199" s="9" t="n">
        <f aca="false">((((((Assumptions!$C$138+Assumptions!$C$139)+Assumptions!$C$140)+Assumptions!$C$141)+Assumptions!$C$142)+Assumptions!$C$143)/12)</f>
        <v>9833.33333333333</v>
      </c>
      <c r="O199" s="9" t="n">
        <f aca="false">((((((Assumptions!$D$138+Assumptions!$D$139)+Assumptions!$D$140)+Assumptions!$D$141)+Assumptions!$D$142)+Assumptions!$D$143)/12)</f>
        <v>14166.6666666667</v>
      </c>
      <c r="P199" s="9" t="n">
        <f aca="false">((((((Assumptions!$D$138+Assumptions!$D$139)+Assumptions!$D$140)+Assumptions!$D$141)+Assumptions!$D$142)+Assumptions!$D$143)/12)</f>
        <v>14166.6666666667</v>
      </c>
      <c r="Q199" s="9" t="n">
        <f aca="false">((((((Assumptions!$D$138+Assumptions!$D$139)+Assumptions!$D$140)+Assumptions!$D$141)+Assumptions!$D$142)+Assumptions!$D$143)/12)</f>
        <v>14166.6666666667</v>
      </c>
      <c r="R199" s="9" t="n">
        <f aca="false">((((((Assumptions!$D$138+Assumptions!$D$139)+Assumptions!$D$140)+Assumptions!$D$141)+Assumptions!$D$142)+Assumptions!$D$143)/12)</f>
        <v>14166.6666666667</v>
      </c>
      <c r="S199" s="9" t="n">
        <f aca="false">((((((Assumptions!$D$138+Assumptions!$D$139)+Assumptions!$D$140)+Assumptions!$D$141)+Assumptions!$D$142)+Assumptions!$D$143)/12)</f>
        <v>14166.6666666667</v>
      </c>
      <c r="T199" s="9" t="n">
        <f aca="false">((((((Assumptions!$D$138+Assumptions!$D$139)+Assumptions!$D$140)+Assumptions!$D$141)+Assumptions!$D$142)+Assumptions!$D$143)/12)</f>
        <v>14166.6666666667</v>
      </c>
      <c r="U199" s="9" t="n">
        <f aca="false">((((((Assumptions!$D$138+Assumptions!$D$139)+Assumptions!$D$140)+Assumptions!$D$141)+Assumptions!$D$142)+Assumptions!$D$143)/12)</f>
        <v>14166.6666666667</v>
      </c>
      <c r="V199" s="9" t="n">
        <f aca="false">((((((Assumptions!$D$138+Assumptions!$D$139)+Assumptions!$D$140)+Assumptions!$D$141)+Assumptions!$D$142)+Assumptions!$D$143)/12)</f>
        <v>14166.6666666667</v>
      </c>
      <c r="W199" s="9" t="n">
        <f aca="false">((((((Assumptions!$D$138+Assumptions!$D$139)+Assumptions!$D$140)+Assumptions!$D$141)+Assumptions!$D$142)+Assumptions!$D$143)/12)</f>
        <v>14166.6666666667</v>
      </c>
      <c r="X199" s="9" t="n">
        <f aca="false">((((((Assumptions!$D$138+Assumptions!$D$139)+Assumptions!$D$140)+Assumptions!$D$141)+Assumptions!$D$142)+Assumptions!$D$143)/12)</f>
        <v>14166.6666666667</v>
      </c>
      <c r="Y199" s="9" t="n">
        <f aca="false">((((((Assumptions!$D$138+Assumptions!$D$139)+Assumptions!$D$140)+Assumptions!$D$141)+Assumptions!$D$142)+Assumptions!$D$143)/12)</f>
        <v>14166.6666666667</v>
      </c>
      <c r="Z199" s="9" t="n">
        <f aca="false">((((((Assumptions!$D$138+Assumptions!$D$139)+Assumptions!$D$140)+Assumptions!$D$141)+Assumptions!$D$142)+Assumptions!$D$143)/12)</f>
        <v>14166.6666666667</v>
      </c>
      <c r="AA199" s="9" t="n">
        <f aca="false">((((((Assumptions!$E$138+Assumptions!$E$139)+Assumptions!$E$140)+Assumptions!$E$141)+Assumptions!$E$142)+Assumptions!$E$143)/12)</f>
        <v>19583.3333333333</v>
      </c>
      <c r="AB199" s="9" t="n">
        <f aca="false">((((((Assumptions!$E$138+Assumptions!$E$139)+Assumptions!$E$140)+Assumptions!$E$141)+Assumptions!$E$142)+Assumptions!$E$143)/12)</f>
        <v>19583.3333333333</v>
      </c>
      <c r="AC199" s="9" t="n">
        <f aca="false">((((((Assumptions!$E$138+Assumptions!$E$139)+Assumptions!$E$140)+Assumptions!$E$141)+Assumptions!$E$142)+Assumptions!$E$143)/12)</f>
        <v>19583.3333333333</v>
      </c>
      <c r="AD199" s="9" t="n">
        <f aca="false">((((((Assumptions!$E$138+Assumptions!$E$139)+Assumptions!$E$140)+Assumptions!$E$141)+Assumptions!$E$142)+Assumptions!$E$143)/12)</f>
        <v>19583.3333333333</v>
      </c>
      <c r="AE199" s="9" t="n">
        <f aca="false">((((((Assumptions!$E$138+Assumptions!$E$139)+Assumptions!$E$140)+Assumptions!$E$141)+Assumptions!$E$142)+Assumptions!$E$143)/12)</f>
        <v>19583.3333333333</v>
      </c>
      <c r="AF199" s="9" t="n">
        <f aca="false">((((((Assumptions!$E$138+Assumptions!$E$139)+Assumptions!$E$140)+Assumptions!$E$141)+Assumptions!$E$142)+Assumptions!$E$143)/12)</f>
        <v>19583.3333333333</v>
      </c>
      <c r="AG199" s="9" t="n">
        <f aca="false">((((((Assumptions!$E$138+Assumptions!$E$139)+Assumptions!$E$140)+Assumptions!$E$141)+Assumptions!$E$142)+Assumptions!$E$143)/12)</f>
        <v>19583.3333333333</v>
      </c>
      <c r="AH199" s="9" t="n">
        <f aca="false">((((((Assumptions!$E$138+Assumptions!$E$139)+Assumptions!$E$140)+Assumptions!$E$141)+Assumptions!$E$142)+Assumptions!$E$143)/12)</f>
        <v>19583.3333333333</v>
      </c>
      <c r="AI199" s="9" t="n">
        <f aca="false">((((((Assumptions!$E$138+Assumptions!$E$139)+Assumptions!$E$140)+Assumptions!$E$141)+Assumptions!$E$142)+Assumptions!$E$143)/12)</f>
        <v>19583.3333333333</v>
      </c>
      <c r="AJ199" s="9" t="n">
        <f aca="false">((((((Assumptions!$E$138+Assumptions!$E$139)+Assumptions!$E$140)+Assumptions!$E$141)+Assumptions!$E$142)+Assumptions!$E$143)/12)</f>
        <v>19583.3333333333</v>
      </c>
      <c r="AK199" s="9" t="n">
        <f aca="false">((((((Assumptions!$E$138+Assumptions!$E$139)+Assumptions!$E$140)+Assumptions!$E$141)+Assumptions!$E$142)+Assumptions!$E$143)/12)</f>
        <v>19583.3333333333</v>
      </c>
      <c r="AL199" s="9" t="n">
        <f aca="false">((((((Assumptions!$E$138+Assumptions!$E$139)+Assumptions!$E$140)+Assumptions!$E$141)+Assumptions!$E$142)+Assumptions!$E$143)/12)</f>
        <v>19583.3333333333</v>
      </c>
      <c r="AN199" s="11" t="n">
        <f aca="false">SUM(C199:N199)</f>
        <v>118000</v>
      </c>
      <c r="AO199" s="11" t="n">
        <f aca="false">SUM(O199:Z199)</f>
        <v>170000</v>
      </c>
      <c r="AP199" s="11" t="n">
        <f aca="false">SUM(AA199:AL199)</f>
        <v>235000</v>
      </c>
    </row>
    <row r="200" customFormat="false" ht="15" hidden="false" customHeight="false" outlineLevel="0" collapsed="false">
      <c r="A200" s="0" t="s">
        <v>36</v>
      </c>
      <c r="B200" s="0" t="s">
        <v>230</v>
      </c>
      <c r="C200" s="9" t="n">
        <f aca="false">(((Assumptions!$C$145+Assumptions!$C$146)+Assumptions!$C$147)/12)</f>
        <v>7916.66666666667</v>
      </c>
      <c r="D200" s="9" t="n">
        <f aca="false">(((Assumptions!$C$145+Assumptions!$C$146)+Assumptions!$C$147)/12)</f>
        <v>7916.66666666667</v>
      </c>
      <c r="E200" s="9" t="n">
        <f aca="false">(((Assumptions!$C$145+Assumptions!$C$146)+Assumptions!$C$147)/12)</f>
        <v>7916.66666666667</v>
      </c>
      <c r="F200" s="9" t="n">
        <f aca="false">(((Assumptions!$C$145+Assumptions!$C$146)+Assumptions!$C$147)/12)</f>
        <v>7916.66666666667</v>
      </c>
      <c r="G200" s="9" t="n">
        <f aca="false">(((Assumptions!$C$145+Assumptions!$C$146)+Assumptions!$C$147)/12)</f>
        <v>7916.66666666667</v>
      </c>
      <c r="H200" s="9" t="n">
        <f aca="false">(((Assumptions!$C$145+Assumptions!$C$146)+Assumptions!$C$147)/12)</f>
        <v>7916.66666666667</v>
      </c>
      <c r="I200" s="9" t="n">
        <f aca="false">(((Assumptions!$C$145+Assumptions!$C$146)+Assumptions!$C$147)/12)</f>
        <v>7916.66666666667</v>
      </c>
      <c r="J200" s="9" t="n">
        <f aca="false">(((Assumptions!$C$145+Assumptions!$C$146)+Assumptions!$C$147)/12)</f>
        <v>7916.66666666667</v>
      </c>
      <c r="K200" s="9" t="n">
        <f aca="false">(((Assumptions!$C$145+Assumptions!$C$146)+Assumptions!$C$147)/12)</f>
        <v>7916.66666666667</v>
      </c>
      <c r="L200" s="9" t="n">
        <f aca="false">(((Assumptions!$C$145+Assumptions!$C$146)+Assumptions!$C$147)/12)</f>
        <v>7916.66666666667</v>
      </c>
      <c r="M200" s="9" t="n">
        <f aca="false">(((Assumptions!$C$145+Assumptions!$C$146)+Assumptions!$C$147)/12)</f>
        <v>7916.66666666667</v>
      </c>
      <c r="N200" s="9" t="n">
        <f aca="false">(((Assumptions!$C$145+Assumptions!$C$146)+Assumptions!$C$147)/12)</f>
        <v>7916.66666666667</v>
      </c>
      <c r="O200" s="9" t="n">
        <f aca="false">(((Assumptions!$D$145+Assumptions!$D$146)+Assumptions!$D$147)/12)</f>
        <v>9333.33333333333</v>
      </c>
      <c r="P200" s="9" t="n">
        <f aca="false">(((Assumptions!$D$145+Assumptions!$D$146)+Assumptions!$D$147)/12)</f>
        <v>9333.33333333333</v>
      </c>
      <c r="Q200" s="9" t="n">
        <f aca="false">(((Assumptions!$D$145+Assumptions!$D$146)+Assumptions!$D$147)/12)</f>
        <v>9333.33333333333</v>
      </c>
      <c r="R200" s="9" t="n">
        <f aca="false">(((Assumptions!$D$145+Assumptions!$D$146)+Assumptions!$D$147)/12)</f>
        <v>9333.33333333333</v>
      </c>
      <c r="S200" s="9" t="n">
        <f aca="false">(((Assumptions!$D$145+Assumptions!$D$146)+Assumptions!$D$147)/12)</f>
        <v>9333.33333333333</v>
      </c>
      <c r="T200" s="9" t="n">
        <f aca="false">(((Assumptions!$D$145+Assumptions!$D$146)+Assumptions!$D$147)/12)</f>
        <v>9333.33333333333</v>
      </c>
      <c r="U200" s="9" t="n">
        <f aca="false">(((Assumptions!$D$145+Assumptions!$D$146)+Assumptions!$D$147)/12)</f>
        <v>9333.33333333333</v>
      </c>
      <c r="V200" s="9" t="n">
        <f aca="false">(((Assumptions!$D$145+Assumptions!$D$146)+Assumptions!$D$147)/12)</f>
        <v>9333.33333333333</v>
      </c>
      <c r="W200" s="9" t="n">
        <f aca="false">(((Assumptions!$D$145+Assumptions!$D$146)+Assumptions!$D$147)/12)</f>
        <v>9333.33333333333</v>
      </c>
      <c r="X200" s="9" t="n">
        <f aca="false">(((Assumptions!$D$145+Assumptions!$D$146)+Assumptions!$D$147)/12)</f>
        <v>9333.33333333333</v>
      </c>
      <c r="Y200" s="9" t="n">
        <f aca="false">(((Assumptions!$D$145+Assumptions!$D$146)+Assumptions!$D$147)/12)</f>
        <v>9333.33333333333</v>
      </c>
      <c r="Z200" s="9" t="n">
        <f aca="false">(((Assumptions!$D$145+Assumptions!$D$146)+Assumptions!$D$147)/12)</f>
        <v>9333.33333333333</v>
      </c>
      <c r="AA200" s="9" t="n">
        <f aca="false">(((Assumptions!$E$145+Assumptions!$E$146)+Assumptions!$E$147)/12)</f>
        <v>12916.6666666667</v>
      </c>
      <c r="AB200" s="9" t="n">
        <f aca="false">(((Assumptions!$E$145+Assumptions!$E$146)+Assumptions!$E$147)/12)</f>
        <v>12916.6666666667</v>
      </c>
      <c r="AC200" s="9" t="n">
        <f aca="false">(((Assumptions!$E$145+Assumptions!$E$146)+Assumptions!$E$147)/12)</f>
        <v>12916.6666666667</v>
      </c>
      <c r="AD200" s="9" t="n">
        <f aca="false">(((Assumptions!$E$145+Assumptions!$E$146)+Assumptions!$E$147)/12)</f>
        <v>12916.6666666667</v>
      </c>
      <c r="AE200" s="9" t="n">
        <f aca="false">(((Assumptions!$E$145+Assumptions!$E$146)+Assumptions!$E$147)/12)</f>
        <v>12916.6666666667</v>
      </c>
      <c r="AF200" s="9" t="n">
        <f aca="false">(((Assumptions!$E$145+Assumptions!$E$146)+Assumptions!$E$147)/12)</f>
        <v>12916.6666666667</v>
      </c>
      <c r="AG200" s="9" t="n">
        <f aca="false">(((Assumptions!$E$145+Assumptions!$E$146)+Assumptions!$E$147)/12)</f>
        <v>12916.6666666667</v>
      </c>
      <c r="AH200" s="9" t="n">
        <f aca="false">(((Assumptions!$E$145+Assumptions!$E$146)+Assumptions!$E$147)/12)</f>
        <v>12916.6666666667</v>
      </c>
      <c r="AI200" s="9" t="n">
        <f aca="false">(((Assumptions!$E$145+Assumptions!$E$146)+Assumptions!$E$147)/12)</f>
        <v>12916.6666666667</v>
      </c>
      <c r="AJ200" s="9" t="n">
        <f aca="false">(((Assumptions!$E$145+Assumptions!$E$146)+Assumptions!$E$147)/12)</f>
        <v>12916.6666666667</v>
      </c>
      <c r="AK200" s="9" t="n">
        <f aca="false">(((Assumptions!$E$145+Assumptions!$E$146)+Assumptions!$E$147)/12)</f>
        <v>12916.6666666667</v>
      </c>
      <c r="AL200" s="9" t="n">
        <f aca="false">(((Assumptions!$E$145+Assumptions!$E$146)+Assumptions!$E$147)/12)</f>
        <v>12916.6666666667</v>
      </c>
      <c r="AN200" s="11" t="n">
        <f aca="false">SUM(C200:N200)</f>
        <v>95000</v>
      </c>
      <c r="AO200" s="11" t="n">
        <f aca="false">SUM(O200:Z200)</f>
        <v>112000</v>
      </c>
      <c r="AP200" s="11" t="n">
        <f aca="false">SUM(AA200:AL200)</f>
        <v>155000</v>
      </c>
    </row>
    <row r="201" customFormat="false" ht="15" hidden="false" customHeight="false" outlineLevel="0" collapsed="false">
      <c r="A201" s="0" t="s">
        <v>37</v>
      </c>
      <c r="B201" s="0" t="s">
        <v>230</v>
      </c>
      <c r="C201" s="9" t="n">
        <f aca="false">(((Assumptions!$C$148+Assumptions!$C$149)+Assumptions!$C$150)/12)</f>
        <v>3416.66666666667</v>
      </c>
      <c r="D201" s="9" t="n">
        <f aca="false">(((Assumptions!$C$148+Assumptions!$C$149)+Assumptions!$C$150)/12)</f>
        <v>3416.66666666667</v>
      </c>
      <c r="E201" s="9" t="n">
        <f aca="false">(((Assumptions!$C$148+Assumptions!$C$149)+Assumptions!$C$150)/12)</f>
        <v>3416.66666666667</v>
      </c>
      <c r="F201" s="9" t="n">
        <f aca="false">(((Assumptions!$C$148+Assumptions!$C$149)+Assumptions!$C$150)/12)</f>
        <v>3416.66666666667</v>
      </c>
      <c r="G201" s="9" t="n">
        <f aca="false">(((Assumptions!$C$148+Assumptions!$C$149)+Assumptions!$C$150)/12)</f>
        <v>3416.66666666667</v>
      </c>
      <c r="H201" s="9" t="n">
        <f aca="false">(((Assumptions!$C$148+Assumptions!$C$149)+Assumptions!$C$150)/12)</f>
        <v>3416.66666666667</v>
      </c>
      <c r="I201" s="9" t="n">
        <f aca="false">(((Assumptions!$C$148+Assumptions!$C$149)+Assumptions!$C$150)/12)</f>
        <v>3416.66666666667</v>
      </c>
      <c r="J201" s="9" t="n">
        <f aca="false">(((Assumptions!$C$148+Assumptions!$C$149)+Assumptions!$C$150)/12)</f>
        <v>3416.66666666667</v>
      </c>
      <c r="K201" s="9" t="n">
        <f aca="false">(((Assumptions!$C$148+Assumptions!$C$149)+Assumptions!$C$150)/12)</f>
        <v>3416.66666666667</v>
      </c>
      <c r="L201" s="9" t="n">
        <f aca="false">(((Assumptions!$C$148+Assumptions!$C$149)+Assumptions!$C$150)/12)</f>
        <v>3416.66666666667</v>
      </c>
      <c r="M201" s="9" t="n">
        <f aca="false">(((Assumptions!$C$148+Assumptions!$C$149)+Assumptions!$C$150)/12)</f>
        <v>3416.66666666667</v>
      </c>
      <c r="N201" s="9" t="n">
        <f aca="false">(((Assumptions!$C$148+Assumptions!$C$149)+Assumptions!$C$150)/12)</f>
        <v>3416.66666666667</v>
      </c>
      <c r="O201" s="9" t="n">
        <f aca="false">(((Assumptions!$D$148+Assumptions!$D$149)+Assumptions!$D$150)/12)</f>
        <v>5833.33333333333</v>
      </c>
      <c r="P201" s="9" t="n">
        <f aca="false">(((Assumptions!$D$148+Assumptions!$D$149)+Assumptions!$D$150)/12)</f>
        <v>5833.33333333333</v>
      </c>
      <c r="Q201" s="9" t="n">
        <f aca="false">(((Assumptions!$D$148+Assumptions!$D$149)+Assumptions!$D$150)/12)</f>
        <v>5833.33333333333</v>
      </c>
      <c r="R201" s="9" t="n">
        <f aca="false">(((Assumptions!$D$148+Assumptions!$D$149)+Assumptions!$D$150)/12)</f>
        <v>5833.33333333333</v>
      </c>
      <c r="S201" s="9" t="n">
        <f aca="false">(((Assumptions!$D$148+Assumptions!$D$149)+Assumptions!$D$150)/12)</f>
        <v>5833.33333333333</v>
      </c>
      <c r="T201" s="9" t="n">
        <f aca="false">(((Assumptions!$D$148+Assumptions!$D$149)+Assumptions!$D$150)/12)</f>
        <v>5833.33333333333</v>
      </c>
      <c r="U201" s="9" t="n">
        <f aca="false">(((Assumptions!$D$148+Assumptions!$D$149)+Assumptions!$D$150)/12)</f>
        <v>5833.33333333333</v>
      </c>
      <c r="V201" s="9" t="n">
        <f aca="false">(((Assumptions!$D$148+Assumptions!$D$149)+Assumptions!$D$150)/12)</f>
        <v>5833.33333333333</v>
      </c>
      <c r="W201" s="9" t="n">
        <f aca="false">(((Assumptions!$D$148+Assumptions!$D$149)+Assumptions!$D$150)/12)</f>
        <v>5833.33333333333</v>
      </c>
      <c r="X201" s="9" t="n">
        <f aca="false">(((Assumptions!$D$148+Assumptions!$D$149)+Assumptions!$D$150)/12)</f>
        <v>5833.33333333333</v>
      </c>
      <c r="Y201" s="9" t="n">
        <f aca="false">(((Assumptions!$D$148+Assumptions!$D$149)+Assumptions!$D$150)/12)</f>
        <v>5833.33333333333</v>
      </c>
      <c r="Z201" s="9" t="n">
        <f aca="false">(((Assumptions!$D$148+Assumptions!$D$149)+Assumptions!$D$150)/12)</f>
        <v>5833.33333333333</v>
      </c>
      <c r="AA201" s="9" t="n">
        <f aca="false">(((Assumptions!$E$148+Assumptions!$E$149)+Assumptions!$E$150)/12)</f>
        <v>10000</v>
      </c>
      <c r="AB201" s="9" t="n">
        <f aca="false">(((Assumptions!$E$148+Assumptions!$E$149)+Assumptions!$E$150)/12)</f>
        <v>10000</v>
      </c>
      <c r="AC201" s="9" t="n">
        <f aca="false">(((Assumptions!$E$148+Assumptions!$E$149)+Assumptions!$E$150)/12)</f>
        <v>10000</v>
      </c>
      <c r="AD201" s="9" t="n">
        <f aca="false">(((Assumptions!$E$148+Assumptions!$E$149)+Assumptions!$E$150)/12)</f>
        <v>10000</v>
      </c>
      <c r="AE201" s="9" t="n">
        <f aca="false">(((Assumptions!$E$148+Assumptions!$E$149)+Assumptions!$E$150)/12)</f>
        <v>10000</v>
      </c>
      <c r="AF201" s="9" t="n">
        <f aca="false">(((Assumptions!$E$148+Assumptions!$E$149)+Assumptions!$E$150)/12)</f>
        <v>10000</v>
      </c>
      <c r="AG201" s="9" t="n">
        <f aca="false">(((Assumptions!$E$148+Assumptions!$E$149)+Assumptions!$E$150)/12)</f>
        <v>10000</v>
      </c>
      <c r="AH201" s="9" t="n">
        <f aca="false">(((Assumptions!$E$148+Assumptions!$E$149)+Assumptions!$E$150)/12)</f>
        <v>10000</v>
      </c>
      <c r="AI201" s="9" t="n">
        <f aca="false">(((Assumptions!$E$148+Assumptions!$E$149)+Assumptions!$E$150)/12)</f>
        <v>10000</v>
      </c>
      <c r="AJ201" s="9" t="n">
        <f aca="false">(((Assumptions!$E$148+Assumptions!$E$149)+Assumptions!$E$150)/12)</f>
        <v>10000</v>
      </c>
      <c r="AK201" s="9" t="n">
        <f aca="false">(((Assumptions!$E$148+Assumptions!$E$149)+Assumptions!$E$150)/12)</f>
        <v>10000</v>
      </c>
      <c r="AL201" s="9" t="n">
        <f aca="false">(((Assumptions!$E$148+Assumptions!$E$149)+Assumptions!$E$150)/12)</f>
        <v>10000</v>
      </c>
      <c r="AN201" s="11" t="n">
        <f aca="false">SUM(C201:N201)</f>
        <v>41000</v>
      </c>
      <c r="AO201" s="11" t="n">
        <f aca="false">SUM(O201:Z201)</f>
        <v>70000</v>
      </c>
      <c r="AP201" s="11" t="n">
        <f aca="false">SUM(AA201:AL201)</f>
        <v>120000</v>
      </c>
    </row>
    <row r="202" customFormat="false" ht="15" hidden="false" customHeight="false" outlineLevel="0" collapsed="false">
      <c r="A202" s="0" t="s">
        <v>1001</v>
      </c>
      <c r="B202" s="0" t="s">
        <v>230</v>
      </c>
      <c r="C202" s="9" t="n">
        <f aca="false">(((Assumptions!$C$152+Assumptions!$C$153)+Assumptions!$C$154)/12)</f>
        <v>4000</v>
      </c>
      <c r="D202" s="9" t="n">
        <f aca="false">(((Assumptions!$C$152+Assumptions!$C$153)+Assumptions!$C$154)/12)</f>
        <v>4000</v>
      </c>
      <c r="E202" s="9" t="n">
        <f aca="false">(((Assumptions!$C$152+Assumptions!$C$153)+Assumptions!$C$154)/12)</f>
        <v>4000</v>
      </c>
      <c r="F202" s="9" t="n">
        <f aca="false">(((Assumptions!$C$152+Assumptions!$C$153)+Assumptions!$C$154)/12)</f>
        <v>4000</v>
      </c>
      <c r="G202" s="9" t="n">
        <f aca="false">(((Assumptions!$C$152+Assumptions!$C$153)+Assumptions!$C$154)/12)</f>
        <v>4000</v>
      </c>
      <c r="H202" s="9" t="n">
        <f aca="false">(((Assumptions!$C$152+Assumptions!$C$153)+Assumptions!$C$154)/12)</f>
        <v>4000</v>
      </c>
      <c r="I202" s="9" t="n">
        <f aca="false">(((Assumptions!$C$152+Assumptions!$C$153)+Assumptions!$C$154)/12)</f>
        <v>4000</v>
      </c>
      <c r="J202" s="9" t="n">
        <f aca="false">(((Assumptions!$C$152+Assumptions!$C$153)+Assumptions!$C$154)/12)</f>
        <v>4000</v>
      </c>
      <c r="K202" s="9" t="n">
        <f aca="false">(((Assumptions!$C$152+Assumptions!$C$153)+Assumptions!$C$154)/12)</f>
        <v>4000</v>
      </c>
      <c r="L202" s="9" t="n">
        <f aca="false">(((Assumptions!$C$152+Assumptions!$C$153)+Assumptions!$C$154)/12)</f>
        <v>4000</v>
      </c>
      <c r="M202" s="9" t="n">
        <f aca="false">(((Assumptions!$C$152+Assumptions!$C$153)+Assumptions!$C$154)/12)</f>
        <v>4000</v>
      </c>
      <c r="N202" s="9" t="n">
        <f aca="false">(((Assumptions!$C$152+Assumptions!$C$153)+Assumptions!$C$154)/12)</f>
        <v>4000</v>
      </c>
      <c r="O202" s="9" t="n">
        <f aca="false">(((Assumptions!$D$152+Assumptions!$D$153)+Assumptions!$D$154)/12)</f>
        <v>8250</v>
      </c>
      <c r="P202" s="9" t="n">
        <f aca="false">(((Assumptions!$D$152+Assumptions!$D$153)+Assumptions!$D$154)/12)</f>
        <v>8250</v>
      </c>
      <c r="Q202" s="9" t="n">
        <f aca="false">(((Assumptions!$D$152+Assumptions!$D$153)+Assumptions!$D$154)/12)</f>
        <v>8250</v>
      </c>
      <c r="R202" s="9" t="n">
        <f aca="false">(((Assumptions!$D$152+Assumptions!$D$153)+Assumptions!$D$154)/12)</f>
        <v>8250</v>
      </c>
      <c r="S202" s="9" t="n">
        <f aca="false">(((Assumptions!$D$152+Assumptions!$D$153)+Assumptions!$D$154)/12)</f>
        <v>8250</v>
      </c>
      <c r="T202" s="9" t="n">
        <f aca="false">(((Assumptions!$D$152+Assumptions!$D$153)+Assumptions!$D$154)/12)</f>
        <v>8250</v>
      </c>
      <c r="U202" s="9" t="n">
        <f aca="false">(((Assumptions!$D$152+Assumptions!$D$153)+Assumptions!$D$154)/12)</f>
        <v>8250</v>
      </c>
      <c r="V202" s="9" t="n">
        <f aca="false">(((Assumptions!$D$152+Assumptions!$D$153)+Assumptions!$D$154)/12)</f>
        <v>8250</v>
      </c>
      <c r="W202" s="9" t="n">
        <f aca="false">(((Assumptions!$D$152+Assumptions!$D$153)+Assumptions!$D$154)/12)</f>
        <v>8250</v>
      </c>
      <c r="X202" s="9" t="n">
        <f aca="false">(((Assumptions!$D$152+Assumptions!$D$153)+Assumptions!$D$154)/12)</f>
        <v>8250</v>
      </c>
      <c r="Y202" s="9" t="n">
        <f aca="false">(((Assumptions!$D$152+Assumptions!$D$153)+Assumptions!$D$154)/12)</f>
        <v>8250</v>
      </c>
      <c r="Z202" s="9" t="n">
        <f aca="false">(((Assumptions!$D$152+Assumptions!$D$153)+Assumptions!$D$154)/12)</f>
        <v>8250</v>
      </c>
      <c r="AA202" s="9" t="n">
        <f aca="false">(((Assumptions!$E$152+Assumptions!$E$153)+Assumptions!$E$154)/12)</f>
        <v>12583.3333333333</v>
      </c>
      <c r="AB202" s="9" t="n">
        <f aca="false">(((Assumptions!$E$152+Assumptions!$E$153)+Assumptions!$E$154)/12)</f>
        <v>12583.3333333333</v>
      </c>
      <c r="AC202" s="9" t="n">
        <f aca="false">(((Assumptions!$E$152+Assumptions!$E$153)+Assumptions!$E$154)/12)</f>
        <v>12583.3333333333</v>
      </c>
      <c r="AD202" s="9" t="n">
        <f aca="false">(((Assumptions!$E$152+Assumptions!$E$153)+Assumptions!$E$154)/12)</f>
        <v>12583.3333333333</v>
      </c>
      <c r="AE202" s="9" t="n">
        <f aca="false">(((Assumptions!$E$152+Assumptions!$E$153)+Assumptions!$E$154)/12)</f>
        <v>12583.3333333333</v>
      </c>
      <c r="AF202" s="9" t="n">
        <f aca="false">(((Assumptions!$E$152+Assumptions!$E$153)+Assumptions!$E$154)/12)</f>
        <v>12583.3333333333</v>
      </c>
      <c r="AG202" s="9" t="n">
        <f aca="false">(((Assumptions!$E$152+Assumptions!$E$153)+Assumptions!$E$154)/12)</f>
        <v>12583.3333333333</v>
      </c>
      <c r="AH202" s="9" t="n">
        <f aca="false">(((Assumptions!$E$152+Assumptions!$E$153)+Assumptions!$E$154)/12)</f>
        <v>12583.3333333333</v>
      </c>
      <c r="AI202" s="9" t="n">
        <f aca="false">(((Assumptions!$E$152+Assumptions!$E$153)+Assumptions!$E$154)/12)</f>
        <v>12583.3333333333</v>
      </c>
      <c r="AJ202" s="9" t="n">
        <f aca="false">(((Assumptions!$E$152+Assumptions!$E$153)+Assumptions!$E$154)/12)</f>
        <v>12583.3333333333</v>
      </c>
      <c r="AK202" s="9" t="n">
        <f aca="false">(((Assumptions!$E$152+Assumptions!$E$153)+Assumptions!$E$154)/12)</f>
        <v>12583.3333333333</v>
      </c>
      <c r="AL202" s="9" t="n">
        <f aca="false">(((Assumptions!$E$152+Assumptions!$E$153)+Assumptions!$E$154)/12)</f>
        <v>12583.3333333333</v>
      </c>
      <c r="AN202" s="11" t="n">
        <f aca="false">SUM(C202:N202)</f>
        <v>48000</v>
      </c>
      <c r="AO202" s="11" t="n">
        <f aca="false">SUM(O202:Z202)</f>
        <v>99000</v>
      </c>
      <c r="AP202" s="11" t="n">
        <f aca="false">SUM(AA202:AL202)</f>
        <v>151000</v>
      </c>
    </row>
    <row r="203" customFormat="false" ht="15" hidden="false" customHeight="false" outlineLevel="0" collapsed="false">
      <c r="A203" s="0" t="s">
        <v>561</v>
      </c>
      <c r="B203" s="0" t="s">
        <v>230</v>
      </c>
      <c r="C203" s="9" t="n">
        <f aca="false">(Assumptions!$C$155/12)</f>
        <v>833.333333333333</v>
      </c>
      <c r="D203" s="9" t="n">
        <f aca="false">(Assumptions!$C$155/12)</f>
        <v>833.333333333333</v>
      </c>
      <c r="E203" s="9" t="n">
        <f aca="false">(Assumptions!$C$155/12)</f>
        <v>833.333333333333</v>
      </c>
      <c r="F203" s="9" t="n">
        <f aca="false">(Assumptions!$C$155/12)</f>
        <v>833.333333333333</v>
      </c>
      <c r="G203" s="9" t="n">
        <f aca="false">(Assumptions!$C$155/12)</f>
        <v>833.333333333333</v>
      </c>
      <c r="H203" s="9" t="n">
        <f aca="false">(Assumptions!$C$155/12)</f>
        <v>833.333333333333</v>
      </c>
      <c r="I203" s="9" t="n">
        <f aca="false">(Assumptions!$C$155/12)</f>
        <v>833.333333333333</v>
      </c>
      <c r="J203" s="9" t="n">
        <f aca="false">(Assumptions!$C$155/12)</f>
        <v>833.333333333333</v>
      </c>
      <c r="K203" s="9" t="n">
        <f aca="false">(Assumptions!$C$155/12)</f>
        <v>833.333333333333</v>
      </c>
      <c r="L203" s="9" t="n">
        <f aca="false">(Assumptions!$C$155/12)</f>
        <v>833.333333333333</v>
      </c>
      <c r="M203" s="9" t="n">
        <f aca="false">(Assumptions!$C$155/12)</f>
        <v>833.333333333333</v>
      </c>
      <c r="N203" s="9" t="n">
        <f aca="false">(Assumptions!$C$155/12)</f>
        <v>833.333333333333</v>
      </c>
      <c r="O203" s="9" t="n">
        <f aca="false">(Assumptions!$D$155/12)</f>
        <v>1666.66666666667</v>
      </c>
      <c r="P203" s="9" t="n">
        <f aca="false">(Assumptions!$D$155/12)</f>
        <v>1666.66666666667</v>
      </c>
      <c r="Q203" s="9" t="n">
        <f aca="false">(Assumptions!$D$155/12)</f>
        <v>1666.66666666667</v>
      </c>
      <c r="R203" s="9" t="n">
        <f aca="false">(Assumptions!$D$155/12)</f>
        <v>1666.66666666667</v>
      </c>
      <c r="S203" s="9" t="n">
        <f aca="false">(Assumptions!$D$155/12)</f>
        <v>1666.66666666667</v>
      </c>
      <c r="T203" s="9" t="n">
        <f aca="false">(Assumptions!$D$155/12)</f>
        <v>1666.66666666667</v>
      </c>
      <c r="U203" s="9" t="n">
        <f aca="false">(Assumptions!$D$155/12)</f>
        <v>1666.66666666667</v>
      </c>
      <c r="V203" s="9" t="n">
        <f aca="false">(Assumptions!$D$155/12)</f>
        <v>1666.66666666667</v>
      </c>
      <c r="W203" s="9" t="n">
        <f aca="false">(Assumptions!$D$155/12)</f>
        <v>1666.66666666667</v>
      </c>
      <c r="X203" s="9" t="n">
        <f aca="false">(Assumptions!$D$155/12)</f>
        <v>1666.66666666667</v>
      </c>
      <c r="Y203" s="9" t="n">
        <f aca="false">(Assumptions!$D$155/12)</f>
        <v>1666.66666666667</v>
      </c>
      <c r="Z203" s="9" t="n">
        <f aca="false">(Assumptions!$D$155/12)</f>
        <v>1666.66666666667</v>
      </c>
      <c r="AA203" s="9" t="n">
        <f aca="false">(Assumptions!$E$155/12)</f>
        <v>2500</v>
      </c>
      <c r="AB203" s="9" t="n">
        <f aca="false">(Assumptions!$E$155/12)</f>
        <v>2500</v>
      </c>
      <c r="AC203" s="9" t="n">
        <f aca="false">(Assumptions!$E$155/12)</f>
        <v>2500</v>
      </c>
      <c r="AD203" s="9" t="n">
        <f aca="false">(Assumptions!$E$155/12)</f>
        <v>2500</v>
      </c>
      <c r="AE203" s="9" t="n">
        <f aca="false">(Assumptions!$E$155/12)</f>
        <v>2500</v>
      </c>
      <c r="AF203" s="9" t="n">
        <f aca="false">(Assumptions!$E$155/12)</f>
        <v>2500</v>
      </c>
      <c r="AG203" s="9" t="n">
        <f aca="false">(Assumptions!$E$155/12)</f>
        <v>2500</v>
      </c>
      <c r="AH203" s="9" t="n">
        <f aca="false">(Assumptions!$E$155/12)</f>
        <v>2500</v>
      </c>
      <c r="AI203" s="9" t="n">
        <f aca="false">(Assumptions!$E$155/12)</f>
        <v>2500</v>
      </c>
      <c r="AJ203" s="9" t="n">
        <f aca="false">(Assumptions!$E$155/12)</f>
        <v>2500</v>
      </c>
      <c r="AK203" s="9" t="n">
        <f aca="false">(Assumptions!$E$155/12)</f>
        <v>2500</v>
      </c>
      <c r="AL203" s="9" t="n">
        <f aca="false">(Assumptions!$E$155/12)</f>
        <v>2500</v>
      </c>
      <c r="AN203" s="11" t="n">
        <f aca="false">SUM(C203:N203)</f>
        <v>10000</v>
      </c>
      <c r="AO203" s="11" t="n">
        <f aca="false">SUM(O203:Z203)</f>
        <v>20000</v>
      </c>
      <c r="AP203" s="11" t="n">
        <f aca="false">SUM(AA203:AL203)</f>
        <v>30000</v>
      </c>
    </row>
    <row r="204" customFormat="false" ht="15" hidden="false" customHeight="false" outlineLevel="0" collapsed="false">
      <c r="A204" s="0" t="s">
        <v>1002</v>
      </c>
      <c r="B204" s="0" t="s">
        <v>230</v>
      </c>
      <c r="C204" s="9" t="n">
        <f aca="false">(Assumptions!$C$39*C134)</f>
        <v>0</v>
      </c>
      <c r="D204" s="9" t="n">
        <f aca="false">(Assumptions!$C$39*D134)</f>
        <v>0</v>
      </c>
      <c r="E204" s="9" t="n">
        <f aca="false">(Assumptions!$C$39*E134)</f>
        <v>0</v>
      </c>
      <c r="F204" s="9" t="n">
        <f aca="false">(Assumptions!$C$39*F134)</f>
        <v>0</v>
      </c>
      <c r="G204" s="9" t="n">
        <f aca="false">(Assumptions!$C$39*G134)</f>
        <v>0</v>
      </c>
      <c r="H204" s="9" t="n">
        <f aca="false">(Assumptions!$C$39*H134)</f>
        <v>0</v>
      </c>
      <c r="I204" s="9" t="n">
        <f aca="false">(Assumptions!$C$39*I134)</f>
        <v>0</v>
      </c>
      <c r="J204" s="9" t="n">
        <f aca="false">(Assumptions!$C$39*J134)</f>
        <v>0</v>
      </c>
      <c r="K204" s="9" t="n">
        <f aca="false">(Assumptions!$C$39*K134)</f>
        <v>0</v>
      </c>
      <c r="L204" s="9" t="n">
        <f aca="false">(Assumptions!$C$39*L134)</f>
        <v>0</v>
      </c>
      <c r="M204" s="9" t="n">
        <f aca="false">(Assumptions!$C$39*M134)</f>
        <v>0</v>
      </c>
      <c r="N204" s="9" t="n">
        <f aca="false">(Assumptions!$C$39*N134)</f>
        <v>1267.2</v>
      </c>
      <c r="O204" s="9" t="n">
        <f aca="false">(Assumptions!$C$39*O134)</f>
        <v>2880</v>
      </c>
      <c r="P204" s="9" t="n">
        <f aca="false">(Assumptions!$C$39*P134)</f>
        <v>0</v>
      </c>
      <c r="Q204" s="9" t="n">
        <f aca="false">(Assumptions!$C$39*Q134)</f>
        <v>3590.4</v>
      </c>
      <c r="R204" s="9" t="n">
        <f aca="false">(Assumptions!$C$39*R134)</f>
        <v>8960</v>
      </c>
      <c r="S204" s="9" t="n">
        <f aca="false">(Assumptions!$C$39*S134)</f>
        <v>0</v>
      </c>
      <c r="T204" s="9" t="n">
        <f aca="false">(Assumptions!$C$39*T134)</f>
        <v>0</v>
      </c>
      <c r="U204" s="9" t="n">
        <f aca="false">(Assumptions!$C$39*U134)</f>
        <v>11840</v>
      </c>
      <c r="V204" s="9" t="n">
        <f aca="false">(Assumptions!$C$39*V134)</f>
        <v>1056</v>
      </c>
      <c r="W204" s="9" t="n">
        <f aca="false">(Assumptions!$C$39*W134)</f>
        <v>0</v>
      </c>
      <c r="X204" s="9" t="n">
        <f aca="false">(Assumptions!$C$39*X134)</f>
        <v>11840</v>
      </c>
      <c r="Y204" s="9" t="n">
        <f aca="false">(Assumptions!$C$39*Y134)</f>
        <v>7540.8</v>
      </c>
      <c r="Z204" s="9" t="n">
        <f aca="false">(Assumptions!$C$39*Z134)</f>
        <v>0</v>
      </c>
      <c r="AA204" s="9" t="n">
        <f aca="false">(Assumptions!$C$39*AA134)</f>
        <v>14720</v>
      </c>
      <c r="AB204" s="9" t="n">
        <f aca="false">(Assumptions!$C$39*AB134)</f>
        <v>18260.8</v>
      </c>
      <c r="AC204" s="9" t="n">
        <f aca="false">(Assumptions!$C$39*AC134)</f>
        <v>0</v>
      </c>
      <c r="AD204" s="9" t="n">
        <f aca="false">(Assumptions!$C$39*AD134)</f>
        <v>20800</v>
      </c>
      <c r="AE204" s="9" t="n">
        <f aca="false">(Assumptions!$C$39*AE134)</f>
        <v>22052.8</v>
      </c>
      <c r="AF204" s="9" t="n">
        <f aca="false">(Assumptions!$C$39*AF134)</f>
        <v>13280</v>
      </c>
      <c r="AG204" s="9" t="n">
        <f aca="false">(Assumptions!$C$39*AG134)</f>
        <v>20800</v>
      </c>
      <c r="AH204" s="9" t="n">
        <f aca="false">(Assumptions!$C$39*AH134)</f>
        <v>23108.8</v>
      </c>
      <c r="AI204" s="9" t="n">
        <f aca="false">(Assumptions!$C$39*AI134)</f>
        <v>0</v>
      </c>
      <c r="AJ204" s="9" t="n">
        <f aca="false">(Assumptions!$C$39*AJ134)</f>
        <v>23680</v>
      </c>
      <c r="AK204" s="9" t="n">
        <f aca="false">(Assumptions!$C$39*AK134)</f>
        <v>39257.6</v>
      </c>
      <c r="AL204" s="9" t="n">
        <f aca="false">(Assumptions!$C$39*AL134)</f>
        <v>37248</v>
      </c>
      <c r="AN204" s="11" t="n">
        <f aca="false">SUM(C204:N204)</f>
        <v>1267.2</v>
      </c>
      <c r="AO204" s="11" t="n">
        <f aca="false">SUM(O204:Z204)</f>
        <v>47707.2</v>
      </c>
      <c r="AP204" s="11" t="n">
        <f aca="false">SUM(AA204:AL204)</f>
        <v>233208</v>
      </c>
    </row>
    <row r="205" customFormat="false" ht="15" hidden="false" customHeight="false" outlineLevel="0" collapsed="false">
      <c r="A205" s="0" t="s">
        <v>1003</v>
      </c>
      <c r="B205" s="0" t="s">
        <v>230</v>
      </c>
      <c r="C205" s="9" t="n">
        <f aca="false">((((Assumptions!$C$157+Assumptions!$C$158)+Assumptions!$C$159)+Assumptions!$C$160)/12)</f>
        <v>5000</v>
      </c>
      <c r="D205" s="9" t="n">
        <f aca="false">((((Assumptions!$C$157+Assumptions!$C$158)+Assumptions!$C$159)+Assumptions!$C$160)/12)</f>
        <v>5000</v>
      </c>
      <c r="E205" s="9" t="n">
        <f aca="false">((((Assumptions!$C$157+Assumptions!$C$158)+Assumptions!$C$159)+Assumptions!$C$160)/12)</f>
        <v>5000</v>
      </c>
      <c r="F205" s="9" t="n">
        <f aca="false">((((Assumptions!$C$157+Assumptions!$C$158)+Assumptions!$C$159)+Assumptions!$C$160)/12)</f>
        <v>5000</v>
      </c>
      <c r="G205" s="9" t="n">
        <f aca="false">((((Assumptions!$C$157+Assumptions!$C$158)+Assumptions!$C$159)+Assumptions!$C$160)/12)</f>
        <v>5000</v>
      </c>
      <c r="H205" s="9" t="n">
        <f aca="false">((((Assumptions!$C$157+Assumptions!$C$158)+Assumptions!$C$159)+Assumptions!$C$160)/12)</f>
        <v>5000</v>
      </c>
      <c r="I205" s="9" t="n">
        <f aca="false">((((Assumptions!$C$157+Assumptions!$C$158)+Assumptions!$C$159)+Assumptions!$C$160)/12)</f>
        <v>5000</v>
      </c>
      <c r="J205" s="9" t="n">
        <f aca="false">((((Assumptions!$C$157+Assumptions!$C$158)+Assumptions!$C$159)+Assumptions!$C$160)/12)</f>
        <v>5000</v>
      </c>
      <c r="K205" s="9" t="n">
        <f aca="false">((((Assumptions!$C$157+Assumptions!$C$158)+Assumptions!$C$159)+Assumptions!$C$160)/12)</f>
        <v>5000</v>
      </c>
      <c r="L205" s="9" t="n">
        <f aca="false">((((Assumptions!$C$157+Assumptions!$C$158)+Assumptions!$C$159)+Assumptions!$C$160)/12)</f>
        <v>5000</v>
      </c>
      <c r="M205" s="9" t="n">
        <f aca="false">((((Assumptions!$C$157+Assumptions!$C$158)+Assumptions!$C$159)+Assumptions!$C$160)/12)</f>
        <v>5000</v>
      </c>
      <c r="N205" s="9" t="n">
        <f aca="false">((((Assumptions!$C$157+Assumptions!$C$158)+Assumptions!$C$159)+Assumptions!$C$160)/12)</f>
        <v>5000</v>
      </c>
      <c r="O205" s="9" t="n">
        <f aca="false">((((Assumptions!$D$157+Assumptions!$D$158)+Assumptions!$D$159)+Assumptions!$D$160)/12)</f>
        <v>10833.3333333333</v>
      </c>
      <c r="P205" s="9" t="n">
        <f aca="false">((((Assumptions!$D$157+Assumptions!$D$158)+Assumptions!$D$159)+Assumptions!$D$160)/12)</f>
        <v>10833.3333333333</v>
      </c>
      <c r="Q205" s="9" t="n">
        <f aca="false">((((Assumptions!$D$157+Assumptions!$D$158)+Assumptions!$D$159)+Assumptions!$D$160)/12)</f>
        <v>10833.3333333333</v>
      </c>
      <c r="R205" s="9" t="n">
        <f aca="false">((((Assumptions!$D$157+Assumptions!$D$158)+Assumptions!$D$159)+Assumptions!$D$160)/12)</f>
        <v>10833.3333333333</v>
      </c>
      <c r="S205" s="9" t="n">
        <f aca="false">((((Assumptions!$D$157+Assumptions!$D$158)+Assumptions!$D$159)+Assumptions!$D$160)/12)</f>
        <v>10833.3333333333</v>
      </c>
      <c r="T205" s="9" t="n">
        <f aca="false">((((Assumptions!$D$157+Assumptions!$D$158)+Assumptions!$D$159)+Assumptions!$D$160)/12)</f>
        <v>10833.3333333333</v>
      </c>
      <c r="U205" s="9" t="n">
        <f aca="false">((((Assumptions!$D$157+Assumptions!$D$158)+Assumptions!$D$159)+Assumptions!$D$160)/12)</f>
        <v>10833.3333333333</v>
      </c>
      <c r="V205" s="9" t="n">
        <f aca="false">((((Assumptions!$D$157+Assumptions!$D$158)+Assumptions!$D$159)+Assumptions!$D$160)/12)</f>
        <v>10833.3333333333</v>
      </c>
      <c r="W205" s="9" t="n">
        <f aca="false">((((Assumptions!$D$157+Assumptions!$D$158)+Assumptions!$D$159)+Assumptions!$D$160)/12)</f>
        <v>10833.3333333333</v>
      </c>
      <c r="X205" s="9" t="n">
        <f aca="false">((((Assumptions!$D$157+Assumptions!$D$158)+Assumptions!$D$159)+Assumptions!$D$160)/12)</f>
        <v>10833.3333333333</v>
      </c>
      <c r="Y205" s="9" t="n">
        <f aca="false">((((Assumptions!$D$157+Assumptions!$D$158)+Assumptions!$D$159)+Assumptions!$D$160)/12)</f>
        <v>10833.3333333333</v>
      </c>
      <c r="Z205" s="9" t="n">
        <f aca="false">((((Assumptions!$D$157+Assumptions!$D$158)+Assumptions!$D$159)+Assumptions!$D$160)/12)</f>
        <v>10833.3333333333</v>
      </c>
      <c r="AA205" s="9" t="n">
        <f aca="false">((((Assumptions!$E$157+Assumptions!$E$158)+Assumptions!$E$159)+Assumptions!$E$160)/12)</f>
        <v>18333.3333333333</v>
      </c>
      <c r="AB205" s="9" t="n">
        <f aca="false">((((Assumptions!$E$157+Assumptions!$E$158)+Assumptions!$E$159)+Assumptions!$E$160)/12)</f>
        <v>18333.3333333333</v>
      </c>
      <c r="AC205" s="9" t="n">
        <f aca="false">((((Assumptions!$E$157+Assumptions!$E$158)+Assumptions!$E$159)+Assumptions!$E$160)/12)</f>
        <v>18333.3333333333</v>
      </c>
      <c r="AD205" s="9" t="n">
        <f aca="false">((((Assumptions!$E$157+Assumptions!$E$158)+Assumptions!$E$159)+Assumptions!$E$160)/12)</f>
        <v>18333.3333333333</v>
      </c>
      <c r="AE205" s="9" t="n">
        <f aca="false">((((Assumptions!$E$157+Assumptions!$E$158)+Assumptions!$E$159)+Assumptions!$E$160)/12)</f>
        <v>18333.3333333333</v>
      </c>
      <c r="AF205" s="9" t="n">
        <f aca="false">((((Assumptions!$E$157+Assumptions!$E$158)+Assumptions!$E$159)+Assumptions!$E$160)/12)</f>
        <v>18333.3333333333</v>
      </c>
      <c r="AG205" s="9" t="n">
        <f aca="false">((((Assumptions!$E$157+Assumptions!$E$158)+Assumptions!$E$159)+Assumptions!$E$160)/12)</f>
        <v>18333.3333333333</v>
      </c>
      <c r="AH205" s="9" t="n">
        <f aca="false">((((Assumptions!$E$157+Assumptions!$E$158)+Assumptions!$E$159)+Assumptions!$E$160)/12)</f>
        <v>18333.3333333333</v>
      </c>
      <c r="AI205" s="9" t="n">
        <f aca="false">((((Assumptions!$E$157+Assumptions!$E$158)+Assumptions!$E$159)+Assumptions!$E$160)/12)</f>
        <v>18333.3333333333</v>
      </c>
      <c r="AJ205" s="9" t="n">
        <f aca="false">((((Assumptions!$E$157+Assumptions!$E$158)+Assumptions!$E$159)+Assumptions!$E$160)/12)</f>
        <v>18333.3333333333</v>
      </c>
      <c r="AK205" s="9" t="n">
        <f aca="false">((((Assumptions!$E$157+Assumptions!$E$158)+Assumptions!$E$159)+Assumptions!$E$160)/12)</f>
        <v>18333.3333333333</v>
      </c>
      <c r="AL205" s="9" t="n">
        <f aca="false">((((Assumptions!$E$157+Assumptions!$E$158)+Assumptions!$E$159)+Assumptions!$E$160)/12)</f>
        <v>18333.3333333333</v>
      </c>
      <c r="AN205" s="11" t="n">
        <f aca="false">SUM(C205:N205)</f>
        <v>60000</v>
      </c>
      <c r="AO205" s="11" t="n">
        <f aca="false">SUM(O205:Z205)</f>
        <v>130000</v>
      </c>
      <c r="AP205" s="11" t="n">
        <f aca="false">SUM(AA205:AL205)</f>
        <v>220000</v>
      </c>
    </row>
    <row r="206" customFormat="false" ht="15" hidden="false" customHeight="false" outlineLevel="0" collapsed="false">
      <c r="A206" s="0" t="s">
        <v>1004</v>
      </c>
      <c r="B206" s="0" t="s">
        <v>230</v>
      </c>
      <c r="C206" s="9" t="n">
        <f aca="false">IF((C$18&gt;=Assumptions!$C$5),Assumptions!$C$134,0)</f>
        <v>0</v>
      </c>
      <c r="D206" s="9" t="n">
        <f aca="false">IF((D$18&gt;=Assumptions!$C$5),Assumptions!$C$134,0)</f>
        <v>0</v>
      </c>
      <c r="E206" s="9" t="n">
        <f aca="false">IF((E$18&gt;=Assumptions!$C$5),Assumptions!$C$134,0)</f>
        <v>0</v>
      </c>
      <c r="F206" s="9" t="n">
        <f aca="false">IF((F$18&gt;=Assumptions!$C$5),Assumptions!$C$134,0)</f>
        <v>0</v>
      </c>
      <c r="G206" s="9" t="n">
        <f aca="false">IF((G$18&gt;=Assumptions!$C$5),Assumptions!$C$134,0)</f>
        <v>0</v>
      </c>
      <c r="H206" s="9" t="n">
        <f aca="false">IF((H$18&gt;=Assumptions!$C$5),Assumptions!$C$134,0)</f>
        <v>0</v>
      </c>
      <c r="I206" s="9" t="n">
        <f aca="false">IF((I$18&gt;=Assumptions!$C$5),Assumptions!$C$134,0)</f>
        <v>0</v>
      </c>
      <c r="J206" s="9" t="n">
        <f aca="false">IF((J$18&gt;=Assumptions!$C$5),Assumptions!$C$134,0)</f>
        <v>0</v>
      </c>
      <c r="K206" s="9" t="n">
        <f aca="false">IF((K$18&gt;=Assumptions!$C$5),Assumptions!$C$134,0)</f>
        <v>0</v>
      </c>
      <c r="L206" s="9" t="n">
        <f aca="false">IF((L$18&gt;=Assumptions!$C$5),Assumptions!$C$134,0)</f>
        <v>0</v>
      </c>
      <c r="M206" s="9" t="n">
        <f aca="false">IF((M$18&gt;=Assumptions!$C$5),Assumptions!$C$134,0)</f>
        <v>0</v>
      </c>
      <c r="N206" s="9" t="n">
        <f aca="false">IF((N$18&gt;=Assumptions!$C$5),Assumptions!$C$134,0)</f>
        <v>0</v>
      </c>
      <c r="O206" s="9" t="n">
        <f aca="false">IF((O$18&gt;=Assumptions!$C$5),Assumptions!$D$134,0)</f>
        <v>3000</v>
      </c>
      <c r="P206" s="9" t="n">
        <f aca="false">IF((P$18&gt;=Assumptions!$C$5),Assumptions!$D$134,0)</f>
        <v>3000</v>
      </c>
      <c r="Q206" s="9" t="n">
        <f aca="false">IF((Q$18&gt;=Assumptions!$C$5),Assumptions!$D$134,0)</f>
        <v>3000</v>
      </c>
      <c r="R206" s="9" t="n">
        <f aca="false">IF((R$18&gt;=Assumptions!$C$5),Assumptions!$D$134,0)</f>
        <v>3000</v>
      </c>
      <c r="S206" s="9" t="n">
        <f aca="false">IF((S$18&gt;=Assumptions!$C$5),Assumptions!$D$134,0)</f>
        <v>3000</v>
      </c>
      <c r="T206" s="9" t="n">
        <f aca="false">IF((T$18&gt;=Assumptions!$C$5),Assumptions!$D$134,0)</f>
        <v>3000</v>
      </c>
      <c r="U206" s="9" t="n">
        <f aca="false">IF((U$18&gt;=Assumptions!$C$5),Assumptions!$D$134,0)</f>
        <v>3000</v>
      </c>
      <c r="V206" s="9" t="n">
        <f aca="false">IF((V$18&gt;=Assumptions!$C$5),Assumptions!$D$134,0)</f>
        <v>3000</v>
      </c>
      <c r="W206" s="9" t="n">
        <f aca="false">IF((W$18&gt;=Assumptions!$C$5),Assumptions!$D$134,0)</f>
        <v>3000</v>
      </c>
      <c r="X206" s="9" t="n">
        <f aca="false">IF((X$18&gt;=Assumptions!$C$5),Assumptions!$D$134,0)</f>
        <v>3000</v>
      </c>
      <c r="Y206" s="9" t="n">
        <f aca="false">IF((Y$18&gt;=Assumptions!$C$5),Assumptions!$D$134,0)</f>
        <v>3000</v>
      </c>
      <c r="Z206" s="9" t="n">
        <f aca="false">IF((Z$18&gt;=Assumptions!$C$5),Assumptions!$D$134,0)</f>
        <v>3000</v>
      </c>
      <c r="AA206" s="9" t="n">
        <f aca="false">IF((AA$18&gt;=Assumptions!$C$5),Assumptions!$E$134,0)</f>
        <v>5000</v>
      </c>
      <c r="AB206" s="9" t="n">
        <f aca="false">IF((AB$18&gt;=Assumptions!$C$5),Assumptions!$E$134,0)</f>
        <v>5000</v>
      </c>
      <c r="AC206" s="9" t="n">
        <f aca="false">IF((AC$18&gt;=Assumptions!$C$5),Assumptions!$E$134,0)</f>
        <v>5000</v>
      </c>
      <c r="AD206" s="9" t="n">
        <f aca="false">IF((AD$18&gt;=Assumptions!$C$5),Assumptions!$E$134,0)</f>
        <v>5000</v>
      </c>
      <c r="AE206" s="9" t="n">
        <f aca="false">IF((AE$18&gt;=Assumptions!$C$5),Assumptions!$E$134,0)</f>
        <v>5000</v>
      </c>
      <c r="AF206" s="9" t="n">
        <f aca="false">IF((AF$18&gt;=Assumptions!$C$5),Assumptions!$E$134,0)</f>
        <v>5000</v>
      </c>
      <c r="AG206" s="9" t="n">
        <f aca="false">IF((AG$18&gt;=Assumptions!$C$5),Assumptions!$E$134,0)</f>
        <v>5000</v>
      </c>
      <c r="AH206" s="9" t="n">
        <f aca="false">IF((AH$18&gt;=Assumptions!$C$5),Assumptions!$E$134,0)</f>
        <v>5000</v>
      </c>
      <c r="AI206" s="9" t="n">
        <f aca="false">IF((AI$18&gt;=Assumptions!$C$5),Assumptions!$E$134,0)</f>
        <v>5000</v>
      </c>
      <c r="AJ206" s="9" t="n">
        <f aca="false">IF((AJ$18&gt;=Assumptions!$C$5),Assumptions!$E$134,0)</f>
        <v>5000</v>
      </c>
      <c r="AK206" s="9" t="n">
        <f aca="false">IF((AK$18&gt;=Assumptions!$C$5),Assumptions!$E$134,0)</f>
        <v>5000</v>
      </c>
      <c r="AL206" s="9" t="n">
        <f aca="false">IF((AL$18&gt;=Assumptions!$C$5),Assumptions!$E$134,0)</f>
        <v>5000</v>
      </c>
      <c r="AN206" s="11" t="n">
        <f aca="false">SUM(C206:N206)</f>
        <v>0</v>
      </c>
      <c r="AO206" s="11" t="n">
        <f aca="false">SUM(O206:Z206)</f>
        <v>36000</v>
      </c>
      <c r="AP206" s="11" t="n">
        <f aca="false">SUM(AA206:AL206)</f>
        <v>60000</v>
      </c>
    </row>
    <row r="207" customFormat="false" ht="15" hidden="false" customHeight="false" outlineLevel="0" collapsed="false">
      <c r="A207" s="0" t="s">
        <v>1005</v>
      </c>
      <c r="B207" s="0" t="s">
        <v>230</v>
      </c>
      <c r="C207" s="9" t="n">
        <f aca="false">((((Assumptions!$C$161+Assumptions!$C$162)+Assumptions!$C$163)+Assumptions!$C$164)/12)</f>
        <v>4833.33333333333</v>
      </c>
      <c r="D207" s="9" t="n">
        <f aca="false">((((Assumptions!$C$161+Assumptions!$C$162)+Assumptions!$C$163)+Assumptions!$C$164)/12)</f>
        <v>4833.33333333333</v>
      </c>
      <c r="E207" s="9" t="n">
        <f aca="false">((((Assumptions!$C$161+Assumptions!$C$162)+Assumptions!$C$163)+Assumptions!$C$164)/12)</f>
        <v>4833.33333333333</v>
      </c>
      <c r="F207" s="9" t="n">
        <f aca="false">((((Assumptions!$C$161+Assumptions!$C$162)+Assumptions!$C$163)+Assumptions!$C$164)/12)</f>
        <v>4833.33333333333</v>
      </c>
      <c r="G207" s="9" t="n">
        <f aca="false">((((Assumptions!$C$161+Assumptions!$C$162)+Assumptions!$C$163)+Assumptions!$C$164)/12)</f>
        <v>4833.33333333333</v>
      </c>
      <c r="H207" s="9" t="n">
        <f aca="false">((((Assumptions!$C$161+Assumptions!$C$162)+Assumptions!$C$163)+Assumptions!$C$164)/12)</f>
        <v>4833.33333333333</v>
      </c>
      <c r="I207" s="9" t="n">
        <f aca="false">((((Assumptions!$C$161+Assumptions!$C$162)+Assumptions!$C$163)+Assumptions!$C$164)/12)</f>
        <v>4833.33333333333</v>
      </c>
      <c r="J207" s="9" t="n">
        <f aca="false">((((Assumptions!$C$161+Assumptions!$C$162)+Assumptions!$C$163)+Assumptions!$C$164)/12)</f>
        <v>4833.33333333333</v>
      </c>
      <c r="K207" s="9" t="n">
        <f aca="false">((((Assumptions!$C$161+Assumptions!$C$162)+Assumptions!$C$163)+Assumptions!$C$164)/12)</f>
        <v>4833.33333333333</v>
      </c>
      <c r="L207" s="9" t="n">
        <f aca="false">((((Assumptions!$C$161+Assumptions!$C$162)+Assumptions!$C$163)+Assumptions!$C$164)/12)</f>
        <v>4833.33333333333</v>
      </c>
      <c r="M207" s="9" t="n">
        <f aca="false">((((Assumptions!$C$161+Assumptions!$C$162)+Assumptions!$C$163)+Assumptions!$C$164)/12)</f>
        <v>4833.33333333333</v>
      </c>
      <c r="N207" s="9" t="n">
        <f aca="false">((((Assumptions!$C$161+Assumptions!$C$162)+Assumptions!$C$163)+Assumptions!$C$164)/12)</f>
        <v>4833.33333333333</v>
      </c>
      <c r="O207" s="9" t="n">
        <f aca="false">((((Assumptions!$D$161+Assumptions!$D$162)+Assumptions!$D$163)+Assumptions!$D$164)/12)</f>
        <v>11083.3333333333</v>
      </c>
      <c r="P207" s="9" t="n">
        <f aca="false">((((Assumptions!$D$161+Assumptions!$D$162)+Assumptions!$D$163)+Assumptions!$D$164)/12)</f>
        <v>11083.3333333333</v>
      </c>
      <c r="Q207" s="9" t="n">
        <f aca="false">((((Assumptions!$D$161+Assumptions!$D$162)+Assumptions!$D$163)+Assumptions!$D$164)/12)</f>
        <v>11083.3333333333</v>
      </c>
      <c r="R207" s="9" t="n">
        <f aca="false">((((Assumptions!$D$161+Assumptions!$D$162)+Assumptions!$D$163)+Assumptions!$D$164)/12)</f>
        <v>11083.3333333333</v>
      </c>
      <c r="S207" s="9" t="n">
        <f aca="false">((((Assumptions!$D$161+Assumptions!$D$162)+Assumptions!$D$163)+Assumptions!$D$164)/12)</f>
        <v>11083.3333333333</v>
      </c>
      <c r="T207" s="9" t="n">
        <f aca="false">((((Assumptions!$D$161+Assumptions!$D$162)+Assumptions!$D$163)+Assumptions!$D$164)/12)</f>
        <v>11083.3333333333</v>
      </c>
      <c r="U207" s="9" t="n">
        <f aca="false">((((Assumptions!$D$161+Assumptions!$D$162)+Assumptions!$D$163)+Assumptions!$D$164)/12)</f>
        <v>11083.3333333333</v>
      </c>
      <c r="V207" s="9" t="n">
        <f aca="false">((((Assumptions!$D$161+Assumptions!$D$162)+Assumptions!$D$163)+Assumptions!$D$164)/12)</f>
        <v>11083.3333333333</v>
      </c>
      <c r="W207" s="9" t="n">
        <f aca="false">((((Assumptions!$D$161+Assumptions!$D$162)+Assumptions!$D$163)+Assumptions!$D$164)/12)</f>
        <v>11083.3333333333</v>
      </c>
      <c r="X207" s="9" t="n">
        <f aca="false">((((Assumptions!$D$161+Assumptions!$D$162)+Assumptions!$D$163)+Assumptions!$D$164)/12)</f>
        <v>11083.3333333333</v>
      </c>
      <c r="Y207" s="9" t="n">
        <f aca="false">((((Assumptions!$D$161+Assumptions!$D$162)+Assumptions!$D$163)+Assumptions!$D$164)/12)</f>
        <v>11083.3333333333</v>
      </c>
      <c r="Z207" s="9" t="n">
        <f aca="false">((((Assumptions!$D$161+Assumptions!$D$162)+Assumptions!$D$163)+Assumptions!$D$164)/12)</f>
        <v>11083.3333333333</v>
      </c>
      <c r="AA207" s="9" t="n">
        <f aca="false">((((Assumptions!$E$161+Assumptions!$E$162)+Assumptions!$E$163)+Assumptions!$E$164)/12)</f>
        <v>19166.6666666667</v>
      </c>
      <c r="AB207" s="9" t="n">
        <f aca="false">((((Assumptions!$E$161+Assumptions!$E$162)+Assumptions!$E$163)+Assumptions!$E$164)/12)</f>
        <v>19166.6666666667</v>
      </c>
      <c r="AC207" s="9" t="n">
        <f aca="false">((((Assumptions!$E$161+Assumptions!$E$162)+Assumptions!$E$163)+Assumptions!$E$164)/12)</f>
        <v>19166.6666666667</v>
      </c>
      <c r="AD207" s="9" t="n">
        <f aca="false">((((Assumptions!$E$161+Assumptions!$E$162)+Assumptions!$E$163)+Assumptions!$E$164)/12)</f>
        <v>19166.6666666667</v>
      </c>
      <c r="AE207" s="9" t="n">
        <f aca="false">((((Assumptions!$E$161+Assumptions!$E$162)+Assumptions!$E$163)+Assumptions!$E$164)/12)</f>
        <v>19166.6666666667</v>
      </c>
      <c r="AF207" s="9" t="n">
        <f aca="false">((((Assumptions!$E$161+Assumptions!$E$162)+Assumptions!$E$163)+Assumptions!$E$164)/12)</f>
        <v>19166.6666666667</v>
      </c>
      <c r="AG207" s="9" t="n">
        <f aca="false">((((Assumptions!$E$161+Assumptions!$E$162)+Assumptions!$E$163)+Assumptions!$E$164)/12)</f>
        <v>19166.6666666667</v>
      </c>
      <c r="AH207" s="9" t="n">
        <f aca="false">((((Assumptions!$E$161+Assumptions!$E$162)+Assumptions!$E$163)+Assumptions!$E$164)/12)</f>
        <v>19166.6666666667</v>
      </c>
      <c r="AI207" s="9" t="n">
        <f aca="false">((((Assumptions!$E$161+Assumptions!$E$162)+Assumptions!$E$163)+Assumptions!$E$164)/12)</f>
        <v>19166.6666666667</v>
      </c>
      <c r="AJ207" s="9" t="n">
        <f aca="false">((((Assumptions!$E$161+Assumptions!$E$162)+Assumptions!$E$163)+Assumptions!$E$164)/12)</f>
        <v>19166.6666666667</v>
      </c>
      <c r="AK207" s="9" t="n">
        <f aca="false">((((Assumptions!$E$161+Assumptions!$E$162)+Assumptions!$E$163)+Assumptions!$E$164)/12)</f>
        <v>19166.6666666667</v>
      </c>
      <c r="AL207" s="9" t="n">
        <f aca="false">((((Assumptions!$E$161+Assumptions!$E$162)+Assumptions!$E$163)+Assumptions!$E$164)/12)</f>
        <v>19166.6666666667</v>
      </c>
      <c r="AN207" s="11" t="n">
        <f aca="false">SUM(C207:N207)</f>
        <v>58000</v>
      </c>
      <c r="AO207" s="11" t="n">
        <f aca="false">SUM(O207:Z207)</f>
        <v>133000</v>
      </c>
      <c r="AP207" s="11" t="n">
        <f aca="false">SUM(AA207:AL207)</f>
        <v>230000</v>
      </c>
    </row>
    <row r="208" customFormat="false" ht="15" hidden="false" customHeight="false" outlineLevel="0" collapsed="false">
      <c r="A208" s="0" t="s">
        <v>1006</v>
      </c>
      <c r="B208" s="0" t="s">
        <v>230</v>
      </c>
      <c r="C208" s="9" t="n">
        <f aca="false">(C196*((Assumptions!$C$98+Assumptions!$C$99)+Assumptions!$C$100))</f>
        <v>3740</v>
      </c>
      <c r="D208" s="9" t="n">
        <f aca="false">(D196*((Assumptions!$C$98+Assumptions!$C$99)+Assumptions!$C$100))</f>
        <v>4590</v>
      </c>
      <c r="E208" s="9" t="n">
        <f aca="false">(E196*((Assumptions!$C$98+Assumptions!$C$99)+Assumptions!$C$100))</f>
        <v>5440</v>
      </c>
      <c r="F208" s="9" t="n">
        <f aca="false">(F196*((Assumptions!$C$98+Assumptions!$C$99)+Assumptions!$C$100))</f>
        <v>6290</v>
      </c>
      <c r="G208" s="9" t="n">
        <f aca="false">(G196*((Assumptions!$C$98+Assumptions!$C$99)+Assumptions!$C$100))</f>
        <v>7990</v>
      </c>
      <c r="H208" s="9" t="n">
        <f aca="false">(H196*((Assumptions!$C$98+Assumptions!$C$99)+Assumptions!$C$100))</f>
        <v>10540</v>
      </c>
      <c r="I208" s="9" t="n">
        <f aca="false">(I196*((Assumptions!$C$98+Assumptions!$C$99)+Assumptions!$C$100))</f>
        <v>12240</v>
      </c>
      <c r="J208" s="9" t="n">
        <f aca="false">(J196*((Assumptions!$C$98+Assumptions!$C$99)+Assumptions!$C$100))</f>
        <v>12240</v>
      </c>
      <c r="K208" s="9" t="n">
        <f aca="false">(K196*((Assumptions!$C$98+Assumptions!$C$99)+Assumptions!$C$100))</f>
        <v>14790</v>
      </c>
      <c r="L208" s="9" t="n">
        <f aca="false">(L196*((Assumptions!$C$98+Assumptions!$C$99)+Assumptions!$C$100))</f>
        <v>17340</v>
      </c>
      <c r="M208" s="9" t="n">
        <f aca="false">(M196*((Assumptions!$C$98+Assumptions!$C$99)+Assumptions!$C$100))</f>
        <v>20740</v>
      </c>
      <c r="N208" s="9" t="n">
        <f aca="false">(N196*((Assumptions!$C$98+Assumptions!$C$99)+Assumptions!$C$100))</f>
        <v>23290</v>
      </c>
      <c r="O208" s="9" t="n">
        <f aca="false">(O196*((Assumptions!$C$98+Assumptions!$C$99)+Assumptions!$C$100))</f>
        <v>26690</v>
      </c>
      <c r="P208" s="9" t="n">
        <f aca="false">(P196*((Assumptions!$C$98+Assumptions!$C$99)+Assumptions!$C$100))</f>
        <v>29240</v>
      </c>
      <c r="Q208" s="9" t="n">
        <f aca="false">(Q196*((Assumptions!$C$98+Assumptions!$C$99)+Assumptions!$C$100))</f>
        <v>31790</v>
      </c>
      <c r="R208" s="9" t="n">
        <f aca="false">(R196*((Assumptions!$C$98+Assumptions!$C$99)+Assumptions!$C$100))</f>
        <v>32640</v>
      </c>
      <c r="S208" s="9" t="n">
        <f aca="false">(S196*((Assumptions!$C$98+Assumptions!$C$99)+Assumptions!$C$100))</f>
        <v>32640</v>
      </c>
      <c r="T208" s="9" t="n">
        <f aca="false">(T196*((Assumptions!$C$98+Assumptions!$C$99)+Assumptions!$C$100))</f>
        <v>34340</v>
      </c>
      <c r="U208" s="9" t="n">
        <f aca="false">(U196*((Assumptions!$C$98+Assumptions!$C$99)+Assumptions!$C$100))</f>
        <v>36040</v>
      </c>
      <c r="V208" s="9" t="n">
        <f aca="false">(V196*((Assumptions!$C$98+Assumptions!$C$99)+Assumptions!$C$100))</f>
        <v>37740</v>
      </c>
      <c r="W208" s="9" t="n">
        <f aca="false">(W196*((Assumptions!$C$98+Assumptions!$C$99)+Assumptions!$C$100))</f>
        <v>39440</v>
      </c>
      <c r="X208" s="9" t="n">
        <f aca="false">(X196*((Assumptions!$C$98+Assumptions!$C$99)+Assumptions!$C$100))</f>
        <v>41990</v>
      </c>
      <c r="Y208" s="9" t="n">
        <f aca="false">(Y196*((Assumptions!$C$98+Assumptions!$C$99)+Assumptions!$C$100))</f>
        <v>42840</v>
      </c>
      <c r="Z208" s="9" t="n">
        <f aca="false">(Z196*((Assumptions!$C$98+Assumptions!$C$99)+Assumptions!$C$100))</f>
        <v>45390</v>
      </c>
      <c r="AA208" s="9" t="n">
        <f aca="false">(AA196*((Assumptions!$C$98+Assumptions!$C$99)+Assumptions!$C$100))</f>
        <v>47090</v>
      </c>
      <c r="AB208" s="9" t="n">
        <f aca="false">(AB196*((Assumptions!$C$98+Assumptions!$C$99)+Assumptions!$C$100))</f>
        <v>49640</v>
      </c>
      <c r="AC208" s="9" t="n">
        <f aca="false">(AC196*((Assumptions!$C$98+Assumptions!$C$99)+Assumptions!$C$100))</f>
        <v>50490</v>
      </c>
      <c r="AD208" s="9" t="n">
        <f aca="false">(AD196*((Assumptions!$C$98+Assumptions!$C$99)+Assumptions!$C$100))</f>
        <v>53040</v>
      </c>
      <c r="AE208" s="9" t="n">
        <f aca="false">(AE196*((Assumptions!$C$98+Assumptions!$C$99)+Assumptions!$C$100))</f>
        <v>53040</v>
      </c>
      <c r="AF208" s="9" t="n">
        <f aca="false">(AF196*((Assumptions!$C$98+Assumptions!$C$99)+Assumptions!$C$100))</f>
        <v>53890</v>
      </c>
      <c r="AG208" s="9" t="n">
        <f aca="false">(AG196*((Assumptions!$C$98+Assumptions!$C$99)+Assumptions!$C$100))</f>
        <v>54740</v>
      </c>
      <c r="AH208" s="9" t="n">
        <f aca="false">(AH196*((Assumptions!$C$98+Assumptions!$C$99)+Assumptions!$C$100))</f>
        <v>56440</v>
      </c>
      <c r="AI208" s="9" t="n">
        <f aca="false">(AI196*((Assumptions!$C$98+Assumptions!$C$99)+Assumptions!$C$100))</f>
        <v>58140</v>
      </c>
      <c r="AJ208" s="9" t="n">
        <f aca="false">(AJ196*((Assumptions!$C$98+Assumptions!$C$99)+Assumptions!$C$100))</f>
        <v>58990</v>
      </c>
      <c r="AK208" s="9" t="n">
        <f aca="false">(AK196*((Assumptions!$C$98+Assumptions!$C$99)+Assumptions!$C$100))</f>
        <v>59840</v>
      </c>
      <c r="AL208" s="9" t="n">
        <f aca="false">(AL196*((Assumptions!$C$98+Assumptions!$C$99)+Assumptions!$C$100))</f>
        <v>59840</v>
      </c>
      <c r="AN208" s="11" t="n">
        <f aca="false">SUM(C208:N208)</f>
        <v>139230</v>
      </c>
      <c r="AO208" s="11" t="n">
        <f aca="false">SUM(O208:Z208)</f>
        <v>430780</v>
      </c>
      <c r="AP208" s="11" t="n">
        <f aca="false">SUM(AA208:AL208)</f>
        <v>655180</v>
      </c>
    </row>
    <row r="209" customFormat="false" ht="15" hidden="false" customHeight="false" outlineLevel="0" collapsed="false">
      <c r="A209" s="0" t="s">
        <v>1007</v>
      </c>
      <c r="B209" s="0" t="s">
        <v>230</v>
      </c>
      <c r="C209" s="9" t="n">
        <f aca="false">(C198*(Assumptions!$C$101+Assumptions!$C$102))</f>
        <v>0</v>
      </c>
      <c r="D209" s="9" t="n">
        <f aca="false">(D198*(Assumptions!$C$101+Assumptions!$C$102))</f>
        <v>11800</v>
      </c>
      <c r="E209" s="9" t="n">
        <f aca="false">(E198*(Assumptions!$C$101+Assumptions!$C$102))</f>
        <v>11800</v>
      </c>
      <c r="F209" s="9" t="n">
        <f aca="false">(F198*(Assumptions!$C$101+Assumptions!$C$102))</f>
        <v>11800</v>
      </c>
      <c r="G209" s="9" t="n">
        <f aca="false">(G198*(Assumptions!$C$101+Assumptions!$C$102))</f>
        <v>23600</v>
      </c>
      <c r="H209" s="9" t="n">
        <f aca="false">(H198*(Assumptions!$C$101+Assumptions!$C$102))</f>
        <v>35400</v>
      </c>
      <c r="I209" s="9" t="n">
        <f aca="false">(I198*(Assumptions!$C$101+Assumptions!$C$102))</f>
        <v>23600</v>
      </c>
      <c r="J209" s="9" t="n">
        <f aca="false">(J198*(Assumptions!$C$101+Assumptions!$C$102))</f>
        <v>0</v>
      </c>
      <c r="K209" s="9" t="n">
        <f aca="false">(K198*(Assumptions!$C$101+Assumptions!$C$102))</f>
        <v>35400</v>
      </c>
      <c r="L209" s="9" t="n">
        <f aca="false">(L198*(Assumptions!$C$101+Assumptions!$C$102))</f>
        <v>35400</v>
      </c>
      <c r="M209" s="9" t="n">
        <f aca="false">(M198*(Assumptions!$C$101+Assumptions!$C$102))</f>
        <v>47200</v>
      </c>
      <c r="N209" s="9" t="n">
        <f aca="false">(N198*(Assumptions!$C$101+Assumptions!$C$102))</f>
        <v>35400</v>
      </c>
      <c r="O209" s="9" t="n">
        <f aca="false">(O198*(Assumptions!$C$101+Assumptions!$C$102))</f>
        <v>47200</v>
      </c>
      <c r="P209" s="9" t="n">
        <f aca="false">(P198*(Assumptions!$C$101+Assumptions!$C$102))</f>
        <v>35400</v>
      </c>
      <c r="Q209" s="9" t="n">
        <f aca="false">(Q198*(Assumptions!$C$101+Assumptions!$C$102))</f>
        <v>35400</v>
      </c>
      <c r="R209" s="9" t="n">
        <f aca="false">(R198*(Assumptions!$C$101+Assumptions!$C$102))</f>
        <v>11800</v>
      </c>
      <c r="S209" s="9" t="n">
        <f aca="false">(S198*(Assumptions!$C$101+Assumptions!$C$102))</f>
        <v>0</v>
      </c>
      <c r="T209" s="9" t="n">
        <f aca="false">(T198*(Assumptions!$C$101+Assumptions!$C$102))</f>
        <v>23600</v>
      </c>
      <c r="U209" s="9" t="n">
        <f aca="false">(U198*(Assumptions!$C$101+Assumptions!$C$102))</f>
        <v>23600</v>
      </c>
      <c r="V209" s="9" t="n">
        <f aca="false">(V198*(Assumptions!$C$101+Assumptions!$C$102))</f>
        <v>23600</v>
      </c>
      <c r="W209" s="9" t="n">
        <f aca="false">(W198*(Assumptions!$C$101+Assumptions!$C$102))</f>
        <v>23600</v>
      </c>
      <c r="X209" s="9" t="n">
        <f aca="false">(X198*(Assumptions!$C$101+Assumptions!$C$102))</f>
        <v>35400</v>
      </c>
      <c r="Y209" s="9" t="n">
        <f aca="false">(Y198*(Assumptions!$C$101+Assumptions!$C$102))</f>
        <v>11800</v>
      </c>
      <c r="Z209" s="9" t="n">
        <f aca="false">(Z198*(Assumptions!$C$101+Assumptions!$C$102))</f>
        <v>35400</v>
      </c>
      <c r="AA209" s="9" t="n">
        <f aca="false">(AA198*(Assumptions!$C$101+Assumptions!$C$102))</f>
        <v>23600</v>
      </c>
      <c r="AB209" s="9" t="n">
        <f aca="false">(AB198*(Assumptions!$C$101+Assumptions!$C$102))</f>
        <v>35400</v>
      </c>
      <c r="AC209" s="9" t="n">
        <f aca="false">(AC198*(Assumptions!$C$101+Assumptions!$C$102))</f>
        <v>11800</v>
      </c>
      <c r="AD209" s="9" t="n">
        <f aca="false">(AD198*(Assumptions!$C$101+Assumptions!$C$102))</f>
        <v>35400</v>
      </c>
      <c r="AE209" s="9" t="n">
        <f aca="false">(AE198*(Assumptions!$C$101+Assumptions!$C$102))</f>
        <v>0</v>
      </c>
      <c r="AF209" s="9" t="n">
        <f aca="false">(AF198*(Assumptions!$C$101+Assumptions!$C$102))</f>
        <v>11800</v>
      </c>
      <c r="AG209" s="9" t="n">
        <f aca="false">(AG198*(Assumptions!$C$101+Assumptions!$C$102))</f>
        <v>11800</v>
      </c>
      <c r="AH209" s="9" t="n">
        <f aca="false">(AH198*(Assumptions!$C$101+Assumptions!$C$102))</f>
        <v>23600</v>
      </c>
      <c r="AI209" s="9" t="n">
        <f aca="false">(AI198*(Assumptions!$C$101+Assumptions!$C$102))</f>
        <v>23600</v>
      </c>
      <c r="AJ209" s="9" t="n">
        <f aca="false">(AJ198*(Assumptions!$C$101+Assumptions!$C$102))</f>
        <v>11800</v>
      </c>
      <c r="AK209" s="9" t="n">
        <f aca="false">(AK198*(Assumptions!$C$101+Assumptions!$C$102))</f>
        <v>11800</v>
      </c>
      <c r="AL209" s="9" t="n">
        <f aca="false">(AL198*(Assumptions!$C$101+Assumptions!$C$102))</f>
        <v>0</v>
      </c>
      <c r="AN209" s="11" t="n">
        <f aca="false">SUM(C209:N209)</f>
        <v>271400</v>
      </c>
      <c r="AO209" s="11" t="n">
        <f aca="false">SUM(O209:Z209)</f>
        <v>306800</v>
      </c>
      <c r="AP209" s="11" t="n">
        <f aca="false">SUM(AA209:AL209)</f>
        <v>200600</v>
      </c>
    </row>
    <row r="210" customFormat="false" ht="15" hidden="false" customHeight="false" outlineLevel="0" collapsed="false">
      <c r="A210" s="0" t="s">
        <v>1008</v>
      </c>
      <c r="B210" s="0" t="s">
        <v>230</v>
      </c>
      <c r="C210" s="9" t="n">
        <f aca="false">(Assumptions!$C$103*((((((C199+C200)+C201)+C202)+C203)+C205)+C207))</f>
        <v>1791.66666666667</v>
      </c>
      <c r="D210" s="9" t="n">
        <f aca="false">(Assumptions!$C$103*((((((D199+D200)+D201)+D202)+D203)+D205)+D207))</f>
        <v>1791.66666666667</v>
      </c>
      <c r="E210" s="9" t="n">
        <f aca="false">(Assumptions!$C$103*((((((E199+E200)+E201)+E202)+E203)+E205)+E207))</f>
        <v>1791.66666666667</v>
      </c>
      <c r="F210" s="9" t="n">
        <f aca="false">(Assumptions!$C$103*((((((F199+F200)+F201)+F202)+F203)+F205)+F207))</f>
        <v>1791.66666666667</v>
      </c>
      <c r="G210" s="9" t="n">
        <f aca="false">(Assumptions!$C$103*((((((G199+G200)+G201)+G202)+G203)+G205)+G207))</f>
        <v>1791.66666666667</v>
      </c>
      <c r="H210" s="9" t="n">
        <f aca="false">(Assumptions!$C$103*((((((H199+H200)+H201)+H202)+H203)+H205)+H207))</f>
        <v>1791.66666666667</v>
      </c>
      <c r="I210" s="9" t="n">
        <f aca="false">(Assumptions!$C$103*((((((I199+I200)+I201)+I202)+I203)+I205)+I207))</f>
        <v>1791.66666666667</v>
      </c>
      <c r="J210" s="9" t="n">
        <f aca="false">(Assumptions!$C$103*((((((J199+J200)+J201)+J202)+J203)+J205)+J207))</f>
        <v>1791.66666666667</v>
      </c>
      <c r="K210" s="9" t="n">
        <f aca="false">(Assumptions!$C$103*((((((K199+K200)+K201)+K202)+K203)+K205)+K207))</f>
        <v>1791.66666666667</v>
      </c>
      <c r="L210" s="9" t="n">
        <f aca="false">(Assumptions!$C$103*((((((L199+L200)+L201)+L202)+L203)+L205)+L207))</f>
        <v>1791.66666666667</v>
      </c>
      <c r="M210" s="9" t="n">
        <f aca="false">(Assumptions!$C$103*((((((M199+M200)+M201)+M202)+M203)+M205)+M207))</f>
        <v>1791.66666666667</v>
      </c>
      <c r="N210" s="9" t="n">
        <f aca="false">(Assumptions!$C$103*((((((N199+N200)+N201)+N202)+N203)+N205)+N207))</f>
        <v>1791.66666666667</v>
      </c>
      <c r="O210" s="9" t="n">
        <f aca="false">(Assumptions!$C$103*((((((O199+O200)+O201)+O202)+O203)+O205)+O207))</f>
        <v>3058.33333333333</v>
      </c>
      <c r="P210" s="9" t="n">
        <f aca="false">(Assumptions!$C$103*((((((P199+P200)+P201)+P202)+P203)+P205)+P207))</f>
        <v>3058.33333333333</v>
      </c>
      <c r="Q210" s="9" t="n">
        <f aca="false">(Assumptions!$C$103*((((((Q199+Q200)+Q201)+Q202)+Q203)+Q205)+Q207))</f>
        <v>3058.33333333333</v>
      </c>
      <c r="R210" s="9" t="n">
        <f aca="false">(Assumptions!$C$103*((((((R199+R200)+R201)+R202)+R203)+R205)+R207))</f>
        <v>3058.33333333333</v>
      </c>
      <c r="S210" s="9" t="n">
        <f aca="false">(Assumptions!$C$103*((((((S199+S200)+S201)+S202)+S203)+S205)+S207))</f>
        <v>3058.33333333333</v>
      </c>
      <c r="T210" s="9" t="n">
        <f aca="false">(Assumptions!$C$103*((((((T199+T200)+T201)+T202)+T203)+T205)+T207))</f>
        <v>3058.33333333333</v>
      </c>
      <c r="U210" s="9" t="n">
        <f aca="false">(Assumptions!$C$103*((((((U199+U200)+U201)+U202)+U203)+U205)+U207))</f>
        <v>3058.33333333333</v>
      </c>
      <c r="V210" s="9" t="n">
        <f aca="false">(Assumptions!$C$103*((((((V199+V200)+V201)+V202)+V203)+V205)+V207))</f>
        <v>3058.33333333333</v>
      </c>
      <c r="W210" s="9" t="n">
        <f aca="false">(Assumptions!$C$103*((((((W199+W200)+W201)+W202)+W203)+W205)+W207))</f>
        <v>3058.33333333333</v>
      </c>
      <c r="X210" s="9" t="n">
        <f aca="false">(Assumptions!$C$103*((((((X199+X200)+X201)+X202)+X203)+X205)+X207))</f>
        <v>3058.33333333333</v>
      </c>
      <c r="Y210" s="9" t="n">
        <f aca="false">(Assumptions!$C$103*((((((Y199+Y200)+Y201)+Y202)+Y203)+Y205)+Y207))</f>
        <v>3058.33333333333</v>
      </c>
      <c r="Z210" s="9" t="n">
        <f aca="false">(Assumptions!$C$103*((((((Z199+Z200)+Z201)+Z202)+Z203)+Z205)+Z207))</f>
        <v>3058.33333333333</v>
      </c>
      <c r="AA210" s="9" t="n">
        <f aca="false">(Assumptions!$C$103*((((((AA199+AA200)+AA201)+AA202)+AA203)+AA205)+AA207))</f>
        <v>4754.16666666667</v>
      </c>
      <c r="AB210" s="9" t="n">
        <f aca="false">(Assumptions!$C$103*((((((AB199+AB200)+AB201)+AB202)+AB203)+AB205)+AB207))</f>
        <v>4754.16666666667</v>
      </c>
      <c r="AC210" s="9" t="n">
        <f aca="false">(Assumptions!$C$103*((((((AC199+AC200)+AC201)+AC202)+AC203)+AC205)+AC207))</f>
        <v>4754.16666666667</v>
      </c>
      <c r="AD210" s="9" t="n">
        <f aca="false">(Assumptions!$C$103*((((((AD199+AD200)+AD201)+AD202)+AD203)+AD205)+AD207))</f>
        <v>4754.16666666667</v>
      </c>
      <c r="AE210" s="9" t="n">
        <f aca="false">(Assumptions!$C$103*((((((AE199+AE200)+AE201)+AE202)+AE203)+AE205)+AE207))</f>
        <v>4754.16666666667</v>
      </c>
      <c r="AF210" s="9" t="n">
        <f aca="false">(Assumptions!$C$103*((((((AF199+AF200)+AF201)+AF202)+AF203)+AF205)+AF207))</f>
        <v>4754.16666666667</v>
      </c>
      <c r="AG210" s="9" t="n">
        <f aca="false">(Assumptions!$C$103*((((((AG199+AG200)+AG201)+AG202)+AG203)+AG205)+AG207))</f>
        <v>4754.16666666667</v>
      </c>
      <c r="AH210" s="9" t="n">
        <f aca="false">(Assumptions!$C$103*((((((AH199+AH200)+AH201)+AH202)+AH203)+AH205)+AH207))</f>
        <v>4754.16666666667</v>
      </c>
      <c r="AI210" s="9" t="n">
        <f aca="false">(Assumptions!$C$103*((((((AI199+AI200)+AI201)+AI202)+AI203)+AI205)+AI207))</f>
        <v>4754.16666666667</v>
      </c>
      <c r="AJ210" s="9" t="n">
        <f aca="false">(Assumptions!$C$103*((((((AJ199+AJ200)+AJ201)+AJ202)+AJ203)+AJ205)+AJ207))</f>
        <v>4754.16666666667</v>
      </c>
      <c r="AK210" s="9" t="n">
        <f aca="false">(Assumptions!$C$103*((((((AK199+AK200)+AK201)+AK202)+AK203)+AK205)+AK207))</f>
        <v>4754.16666666667</v>
      </c>
      <c r="AL210" s="9" t="n">
        <f aca="false">(Assumptions!$C$103*((((((AL199+AL200)+AL201)+AL202)+AL203)+AL205)+AL207))</f>
        <v>4754.16666666667</v>
      </c>
      <c r="AN210" s="11" t="n">
        <f aca="false">SUM(C210:N210)</f>
        <v>21500</v>
      </c>
      <c r="AO210" s="11" t="n">
        <f aca="false">SUM(O210:Z210)</f>
        <v>36700</v>
      </c>
      <c r="AP210" s="11" t="n">
        <f aca="false">SUM(AA210:AL210)</f>
        <v>57050</v>
      </c>
    </row>
    <row r="211" customFormat="false" ht="15" hidden="false" customHeight="false" outlineLevel="0" collapsed="false">
      <c r="A211" s="0" t="s">
        <v>1009</v>
      </c>
      <c r="B211" s="0" t="s">
        <v>230</v>
      </c>
      <c r="C211" s="9" t="n">
        <f aca="false">(Assumptions!$C$33*C152)</f>
        <v>0</v>
      </c>
      <c r="D211" s="9" t="n">
        <f aca="false">(Assumptions!$C$33*D152)</f>
        <v>0</v>
      </c>
      <c r="E211" s="9" t="n">
        <f aca="false">(Assumptions!$C$33*E152)</f>
        <v>0</v>
      </c>
      <c r="F211" s="9" t="n">
        <f aca="false">(Assumptions!$C$33*F152)</f>
        <v>0</v>
      </c>
      <c r="G211" s="9" t="n">
        <f aca="false">(Assumptions!$C$33*G152)</f>
        <v>0</v>
      </c>
      <c r="H211" s="9" t="n">
        <f aca="false">(Assumptions!$C$33*H152)</f>
        <v>0</v>
      </c>
      <c r="I211" s="9" t="n">
        <f aca="false">(Assumptions!$C$33*I152)</f>
        <v>0</v>
      </c>
      <c r="J211" s="9" t="n">
        <f aca="false">(Assumptions!$C$33*J152)</f>
        <v>0</v>
      </c>
      <c r="K211" s="9" t="n">
        <f aca="false">(Assumptions!$C$33*K152)</f>
        <v>0</v>
      </c>
      <c r="L211" s="9" t="n">
        <f aca="false">(Assumptions!$C$33*L152)</f>
        <v>0</v>
      </c>
      <c r="M211" s="9" t="n">
        <f aca="false">(Assumptions!$C$33*M152)</f>
        <v>0</v>
      </c>
      <c r="N211" s="9" t="n">
        <f aca="false">(Assumptions!$C$33*N152)</f>
        <v>158.4</v>
      </c>
      <c r="O211" s="9" t="n">
        <f aca="false">(Assumptions!$C$33*O152)</f>
        <v>360</v>
      </c>
      <c r="P211" s="9" t="n">
        <f aca="false">(Assumptions!$C$33*P152)</f>
        <v>0</v>
      </c>
      <c r="Q211" s="9" t="n">
        <f aca="false">(Assumptions!$C$33*Q152)</f>
        <v>448.8</v>
      </c>
      <c r="R211" s="9" t="n">
        <f aca="false">(Assumptions!$C$33*R152)</f>
        <v>1120</v>
      </c>
      <c r="S211" s="9" t="n">
        <f aca="false">(Assumptions!$C$33*S152)</f>
        <v>0</v>
      </c>
      <c r="T211" s="9" t="n">
        <f aca="false">(Assumptions!$C$33*T152)</f>
        <v>0</v>
      </c>
      <c r="U211" s="9" t="n">
        <f aca="false">(Assumptions!$C$33*U152)</f>
        <v>1480</v>
      </c>
      <c r="V211" s="9" t="n">
        <f aca="false">(Assumptions!$C$33*V152)</f>
        <v>94.5</v>
      </c>
      <c r="W211" s="9" t="n">
        <f aca="false">(Assumptions!$C$33*W152)</f>
        <v>0</v>
      </c>
      <c r="X211" s="9" t="n">
        <f aca="false">(Assumptions!$C$33*X152)</f>
        <v>1480</v>
      </c>
      <c r="Y211" s="9" t="n">
        <f aca="false">(Assumptions!$C$33*Y152)</f>
        <v>837.6</v>
      </c>
      <c r="Z211" s="9" t="n">
        <f aca="false">(Assumptions!$C$33*Z152)</f>
        <v>153.3312</v>
      </c>
      <c r="AA211" s="9" t="n">
        <f aca="false">(Assumptions!$C$33*AA152)</f>
        <v>1840</v>
      </c>
      <c r="AB211" s="9" t="n">
        <f aca="false">(Assumptions!$C$33*AB152)</f>
        <v>2140.1</v>
      </c>
      <c r="AC211" s="9" t="n">
        <f aca="false">(Assumptions!$C$33*AC152)</f>
        <v>434.4384</v>
      </c>
      <c r="AD211" s="9" t="n">
        <f aca="false">(Assumptions!$C$33*AD152)</f>
        <v>2600</v>
      </c>
      <c r="AE211" s="9" t="n">
        <f aca="false">(Assumptions!$C$33*AE152)</f>
        <v>2614.1</v>
      </c>
      <c r="AF211" s="9" t="n">
        <f aca="false">(Assumptions!$C$33*AF152)</f>
        <v>1660</v>
      </c>
      <c r="AG211" s="9" t="n">
        <f aca="false">(Assumptions!$C$33*AG152)</f>
        <v>2600</v>
      </c>
      <c r="AH211" s="9" t="n">
        <f aca="false">(Assumptions!$C$33*AH152)</f>
        <v>2836.376</v>
      </c>
      <c r="AI211" s="9" t="n">
        <f aca="false">(Assumptions!$C$33*AI152)</f>
        <v>0</v>
      </c>
      <c r="AJ211" s="9" t="n">
        <f aca="false">(Assumptions!$C$33*AJ152)</f>
        <v>2960</v>
      </c>
      <c r="AK211" s="9" t="n">
        <f aca="false">(Assumptions!$C$33*AK152)</f>
        <v>5368.8568</v>
      </c>
      <c r="AL211" s="9" t="n">
        <f aca="false">(Assumptions!$C$33*AL152)</f>
        <v>4804.4246016</v>
      </c>
      <c r="AN211" s="11" t="n">
        <f aca="false">SUM(C211:N211)</f>
        <v>158.4</v>
      </c>
      <c r="AO211" s="11" t="n">
        <f aca="false">SUM(O211:Z211)</f>
        <v>5974.2312</v>
      </c>
      <c r="AP211" s="11" t="n">
        <f aca="false">SUM(AA211:AL211)</f>
        <v>29858.2958016</v>
      </c>
    </row>
    <row r="212" customFormat="false" ht="15" hidden="false" customHeight="false" outlineLevel="0" collapsed="false">
      <c r="A212" s="0" t="s">
        <v>1010</v>
      </c>
      <c r="B212" s="0" t="s">
        <v>230</v>
      </c>
      <c r="C212" s="9" t="n">
        <f aca="false">IF(AND(($C$14=1),(C$18=Assumptions!$C$106)),(((((Assumptions!$C$107+Assumptions!$C$108)+Assumptions!$C$111)+Assumptions!$C$112)+(Assumptions!$C$109*Assumptions!$C$110))-Assumptions!$C$113),0)</f>
        <v>0</v>
      </c>
      <c r="D212" s="9" t="n">
        <f aca="false">IF(AND(($C$14=1),(D$18=Assumptions!$C$106)),(((((Assumptions!$C$107+Assumptions!$C$108)+Assumptions!$C$111)+Assumptions!$C$112)+(Assumptions!$C$109*Assumptions!$C$110))-Assumptions!$C$113),0)</f>
        <v>0</v>
      </c>
      <c r="E212" s="9" t="n">
        <f aca="false">IF(AND(($C$14=1),(E$18=Assumptions!$C$106)),(((((Assumptions!$C$107+Assumptions!$C$108)+Assumptions!$C$111)+Assumptions!$C$112)+(Assumptions!$C$109*Assumptions!$C$110))-Assumptions!$C$113),0)</f>
        <v>0</v>
      </c>
      <c r="F212" s="9" t="n">
        <f aca="false">IF(AND(($C$14=1),(F$18=Assumptions!$C$106)),(((((Assumptions!$C$107+Assumptions!$C$108)+Assumptions!$C$111)+Assumptions!$C$112)+(Assumptions!$C$109*Assumptions!$C$110))-Assumptions!$C$113),0)</f>
        <v>0</v>
      </c>
      <c r="G212" s="9" t="n">
        <f aca="false">IF(AND(($C$14=1),(G$18=Assumptions!$C$106)),(((((Assumptions!$C$107+Assumptions!$C$108)+Assumptions!$C$111)+Assumptions!$C$112)+(Assumptions!$C$109*Assumptions!$C$110))-Assumptions!$C$113),0)</f>
        <v>0</v>
      </c>
      <c r="H212" s="9" t="n">
        <f aca="false">IF(AND(($C$14=1),(H$18=Assumptions!$C$106)),(((((Assumptions!$C$107+Assumptions!$C$108)+Assumptions!$C$111)+Assumptions!$C$112)+(Assumptions!$C$109*Assumptions!$C$110))-Assumptions!$C$113),0)</f>
        <v>0</v>
      </c>
      <c r="I212" s="9" t="n">
        <f aca="false">IF(AND(($C$14=1),(I$18=Assumptions!$C$106)),(((((Assumptions!$C$107+Assumptions!$C$108)+Assumptions!$C$111)+Assumptions!$C$112)+(Assumptions!$C$109*Assumptions!$C$110))-Assumptions!$C$113),0)</f>
        <v>0</v>
      </c>
      <c r="J212" s="9" t="n">
        <f aca="false">IF(AND(($C$14=1),(J$18=Assumptions!$C$106)),(((((Assumptions!$C$107+Assumptions!$C$108)+Assumptions!$C$111)+Assumptions!$C$112)+(Assumptions!$C$109*Assumptions!$C$110))-Assumptions!$C$113),0)</f>
        <v>0</v>
      </c>
      <c r="K212" s="9" t="n">
        <f aca="false">IF(AND(($C$14=1),(K$18=Assumptions!$C$106)),(((((Assumptions!$C$107+Assumptions!$C$108)+Assumptions!$C$111)+Assumptions!$C$112)+(Assumptions!$C$109*Assumptions!$C$110))-Assumptions!$C$113),0)</f>
        <v>0</v>
      </c>
      <c r="L212" s="9" t="n">
        <f aca="false">IF(AND(($C$14=1),(L$18=Assumptions!$C$106)),(((((Assumptions!$C$107+Assumptions!$C$108)+Assumptions!$C$111)+Assumptions!$C$112)+(Assumptions!$C$109*Assumptions!$C$110))-Assumptions!$C$113),0)</f>
        <v>0</v>
      </c>
      <c r="M212" s="9" t="n">
        <f aca="false">IF(AND(($C$14=1),(M$18=Assumptions!$C$106)),(((((Assumptions!$C$107+Assumptions!$C$108)+Assumptions!$C$111)+Assumptions!$C$112)+(Assumptions!$C$109*Assumptions!$C$110))-Assumptions!$C$113),0)</f>
        <v>0</v>
      </c>
      <c r="N212" s="9" t="n">
        <f aca="false">IF(AND(($C$14=1),(N$18=Assumptions!$C$106)),(((((Assumptions!$C$107+Assumptions!$C$108)+Assumptions!$C$111)+Assumptions!$C$112)+(Assumptions!$C$109*Assumptions!$C$110))-Assumptions!$C$113),0)</f>
        <v>0</v>
      </c>
      <c r="O212" s="9" t="n">
        <f aca="false">IF(AND(($C$14=1),(O$18=Assumptions!$C$106)),(((((Assumptions!$C$107+Assumptions!$C$108)+Assumptions!$C$111)+Assumptions!$C$112)+(Assumptions!$C$109*Assumptions!$C$110))-Assumptions!$C$113),0)</f>
        <v>0</v>
      </c>
      <c r="P212" s="9" t="n">
        <f aca="false">IF(AND(($C$14=1),(P$18=Assumptions!$C$106)),(((((Assumptions!$C$107+Assumptions!$C$108)+Assumptions!$C$111)+Assumptions!$C$112)+(Assumptions!$C$109*Assumptions!$C$110))-Assumptions!$C$113),0)</f>
        <v>0</v>
      </c>
      <c r="Q212" s="9" t="n">
        <f aca="false">IF(AND(($C$14=1),(Q$18=Assumptions!$C$106)),(((((Assumptions!$C$107+Assumptions!$C$108)+Assumptions!$C$111)+Assumptions!$C$112)+(Assumptions!$C$109*Assumptions!$C$110))-Assumptions!$C$113),0)</f>
        <v>0</v>
      </c>
      <c r="R212" s="9" t="n">
        <f aca="false">IF(AND(($C$14=1),(R$18=Assumptions!$C$106)),(((((Assumptions!$C$107+Assumptions!$C$108)+Assumptions!$C$111)+Assumptions!$C$112)+(Assumptions!$C$109*Assumptions!$C$110))-Assumptions!$C$113),0)</f>
        <v>0</v>
      </c>
      <c r="S212" s="9" t="n">
        <f aca="false">IF(AND(($C$14=1),(S$18=Assumptions!$C$106)),(((((Assumptions!$C$107+Assumptions!$C$108)+Assumptions!$C$111)+Assumptions!$C$112)+(Assumptions!$C$109*Assumptions!$C$110))-Assumptions!$C$113),0)</f>
        <v>0</v>
      </c>
      <c r="T212" s="9" t="n">
        <f aca="false">IF(AND(($C$14=1),(T$18=Assumptions!$C$106)),(((((Assumptions!$C$107+Assumptions!$C$108)+Assumptions!$C$111)+Assumptions!$C$112)+(Assumptions!$C$109*Assumptions!$C$110))-Assumptions!$C$113),0)</f>
        <v>0</v>
      </c>
      <c r="U212" s="9" t="n">
        <f aca="false">IF(AND(($C$14=1),(U$18=Assumptions!$C$106)),(((((Assumptions!$C$107+Assumptions!$C$108)+Assumptions!$C$111)+Assumptions!$C$112)+(Assumptions!$C$109*Assumptions!$C$110))-Assumptions!$C$113),0)</f>
        <v>0</v>
      </c>
      <c r="V212" s="9" t="n">
        <f aca="false">IF(AND(($C$14=1),(V$18=Assumptions!$C$106)),(((((Assumptions!$C$107+Assumptions!$C$108)+Assumptions!$C$111)+Assumptions!$C$112)+(Assumptions!$C$109*Assumptions!$C$110))-Assumptions!$C$113),0)</f>
        <v>0</v>
      </c>
      <c r="W212" s="9" t="n">
        <f aca="false">IF(AND(($C$14=1),(W$18=Assumptions!$C$106)),(((((Assumptions!$C$107+Assumptions!$C$108)+Assumptions!$C$111)+Assumptions!$C$112)+(Assumptions!$C$109*Assumptions!$C$110))-Assumptions!$C$113),0)</f>
        <v>0</v>
      </c>
      <c r="X212" s="9" t="n">
        <f aca="false">IF(AND(($C$14=1),(X$18=Assumptions!$C$106)),(((((Assumptions!$C$107+Assumptions!$C$108)+Assumptions!$C$111)+Assumptions!$C$112)+(Assumptions!$C$109*Assumptions!$C$110))-Assumptions!$C$113),0)</f>
        <v>0</v>
      </c>
      <c r="Y212" s="9" t="n">
        <f aca="false">IF(AND(($C$14=1),(Y$18=Assumptions!$C$106)),(((((Assumptions!$C$107+Assumptions!$C$108)+Assumptions!$C$111)+Assumptions!$C$112)+(Assumptions!$C$109*Assumptions!$C$110))-Assumptions!$C$113),0)</f>
        <v>0</v>
      </c>
      <c r="Z212" s="9" t="n">
        <f aca="false">IF(AND(($C$14=1),(Z$18=Assumptions!$C$106)),(((((Assumptions!$C$107+Assumptions!$C$108)+Assumptions!$C$111)+Assumptions!$C$112)+(Assumptions!$C$109*Assumptions!$C$110))-Assumptions!$C$113),0)</f>
        <v>0</v>
      </c>
      <c r="AA212" s="9" t="n">
        <f aca="false">IF(AND(($C$14=1),(AA$18=Assumptions!$C$106)),(((((Assumptions!$C$107+Assumptions!$C$108)+Assumptions!$C$111)+Assumptions!$C$112)+(Assumptions!$C$109*Assumptions!$C$110))-Assumptions!$C$113),0)</f>
        <v>0</v>
      </c>
      <c r="AB212" s="9" t="n">
        <f aca="false">IF(AND(($C$14=1),(AB$18=Assumptions!$C$106)),(((((Assumptions!$C$107+Assumptions!$C$108)+Assumptions!$C$111)+Assumptions!$C$112)+(Assumptions!$C$109*Assumptions!$C$110))-Assumptions!$C$113),0)</f>
        <v>0</v>
      </c>
      <c r="AC212" s="9" t="n">
        <f aca="false">IF(AND(($C$14=1),(AC$18=Assumptions!$C$106)),(((((Assumptions!$C$107+Assumptions!$C$108)+Assumptions!$C$111)+Assumptions!$C$112)+(Assumptions!$C$109*Assumptions!$C$110))-Assumptions!$C$113),0)</f>
        <v>0</v>
      </c>
      <c r="AD212" s="9" t="n">
        <f aca="false">IF(AND(($C$14=1),(AD$18=Assumptions!$C$106)),(((((Assumptions!$C$107+Assumptions!$C$108)+Assumptions!$C$111)+Assumptions!$C$112)+(Assumptions!$C$109*Assumptions!$C$110))-Assumptions!$C$113),0)</f>
        <v>0</v>
      </c>
      <c r="AE212" s="9" t="n">
        <f aca="false">IF(AND(($C$14=1),(AE$18=Assumptions!$C$106)),(((((Assumptions!$C$107+Assumptions!$C$108)+Assumptions!$C$111)+Assumptions!$C$112)+(Assumptions!$C$109*Assumptions!$C$110))-Assumptions!$C$113),0)</f>
        <v>0</v>
      </c>
      <c r="AF212" s="9" t="n">
        <f aca="false">IF(AND(($C$14=1),(AF$18=Assumptions!$C$106)),(((((Assumptions!$C$107+Assumptions!$C$108)+Assumptions!$C$111)+Assumptions!$C$112)+(Assumptions!$C$109*Assumptions!$C$110))-Assumptions!$C$113),0)</f>
        <v>0</v>
      </c>
      <c r="AG212" s="9" t="n">
        <f aca="false">IF(AND(($C$14=1),(AG$18=Assumptions!$C$106)),(((((Assumptions!$C$107+Assumptions!$C$108)+Assumptions!$C$111)+Assumptions!$C$112)+(Assumptions!$C$109*Assumptions!$C$110))-Assumptions!$C$113),0)</f>
        <v>0</v>
      </c>
      <c r="AH212" s="9" t="n">
        <f aca="false">IF(AND(($C$14=1),(AH$18=Assumptions!$C$106)),(((((Assumptions!$C$107+Assumptions!$C$108)+Assumptions!$C$111)+Assumptions!$C$112)+(Assumptions!$C$109*Assumptions!$C$110))-Assumptions!$C$113),0)</f>
        <v>0</v>
      </c>
      <c r="AI212" s="9" t="n">
        <f aca="false">IF(AND(($C$14=1),(AI$18=Assumptions!$C$106)),(((((Assumptions!$C$107+Assumptions!$C$108)+Assumptions!$C$111)+Assumptions!$C$112)+(Assumptions!$C$109*Assumptions!$C$110))-Assumptions!$C$113),0)</f>
        <v>0</v>
      </c>
      <c r="AJ212" s="9" t="n">
        <f aca="false">IF(AND(($C$14=1),(AJ$18=Assumptions!$C$106)),(((((Assumptions!$C$107+Assumptions!$C$108)+Assumptions!$C$111)+Assumptions!$C$112)+(Assumptions!$C$109*Assumptions!$C$110))-Assumptions!$C$113),0)</f>
        <v>0</v>
      </c>
      <c r="AK212" s="9" t="n">
        <f aca="false">IF(AND(($C$14=1),(AK$18=Assumptions!$C$106)),(((((Assumptions!$C$107+Assumptions!$C$108)+Assumptions!$C$111)+Assumptions!$C$112)+(Assumptions!$C$109*Assumptions!$C$110))-Assumptions!$C$113),0)</f>
        <v>0</v>
      </c>
      <c r="AL212" s="9" t="n">
        <f aca="false">IF(AND(($C$14=1),(AL$18=Assumptions!$C$106)),(((((Assumptions!$C$107+Assumptions!$C$108)+Assumptions!$C$111)+Assumptions!$C$112)+(Assumptions!$C$109*Assumptions!$C$110))-Assumptions!$C$113),0)</f>
        <v>0</v>
      </c>
      <c r="AN212" s="11" t="n">
        <f aca="false">SUM(C212:N212)</f>
        <v>0</v>
      </c>
      <c r="AO212" s="11" t="n">
        <f aca="false">SUM(O212:Z212)</f>
        <v>0</v>
      </c>
      <c r="AP212" s="11" t="n">
        <f aca="false">SUM(AA212:AL212)</f>
        <v>0</v>
      </c>
    </row>
    <row r="213" customFormat="false" ht="15" hidden="false" customHeight="false" outlineLevel="0" collapsed="false">
      <c r="A213" s="0" t="s">
        <v>32</v>
      </c>
      <c r="B213" s="0" t="s">
        <v>230</v>
      </c>
      <c r="C213" s="9" t="n">
        <f aca="false">(C190+C191)</f>
        <v>41683.3333333333</v>
      </c>
      <c r="D213" s="9" t="n">
        <f aca="false">(D190+D191)</f>
        <v>56933.3333333333</v>
      </c>
      <c r="E213" s="9" t="n">
        <f aca="false">(E190+E191)</f>
        <v>70150</v>
      </c>
      <c r="F213" s="9" t="n">
        <f aca="false">(F190+F191)</f>
        <v>84383.3333333333</v>
      </c>
      <c r="G213" s="9" t="n">
        <f aca="false">(G190+G191)</f>
        <v>100650</v>
      </c>
      <c r="H213" s="9" t="n">
        <f aca="false">(H190+H191)</f>
        <v>131150</v>
      </c>
      <c r="I213" s="9" t="n">
        <f aca="false">(I190+I191)</f>
        <v>146400</v>
      </c>
      <c r="J213" s="9" t="n">
        <f aca="false">(J190+J191)</f>
        <v>146400</v>
      </c>
      <c r="K213" s="9" t="n">
        <f aca="false">(K190+K191)</f>
        <v>161141.666666667</v>
      </c>
      <c r="L213" s="9" t="n">
        <f aca="false">(L190+L191)</f>
        <v>204350</v>
      </c>
      <c r="M213" s="9" t="n">
        <f aca="false">(M190+M191)</f>
        <v>233325</v>
      </c>
      <c r="N213" s="9" t="n">
        <f aca="false">(N190+N191)</f>
        <v>261791.666666667</v>
      </c>
      <c r="O213" s="9" t="n">
        <f aca="false">(O190+O191)</f>
        <v>308558.333333333</v>
      </c>
      <c r="P213" s="9" t="n">
        <f aca="false">(P190+P191)</f>
        <v>358375</v>
      </c>
      <c r="Q213" s="9" t="n">
        <f aca="false">(Q190+Q191)</f>
        <v>371591.666666667</v>
      </c>
      <c r="R213" s="9" t="n">
        <f aca="false">(R190+R191)</f>
        <v>386841.666666667</v>
      </c>
      <c r="S213" s="9" t="n">
        <f aca="false">(S190+S191)</f>
        <v>386841.666666667</v>
      </c>
      <c r="T213" s="9" t="n">
        <f aca="false">(T190+T191)</f>
        <v>386841.666666667</v>
      </c>
      <c r="U213" s="9" t="n">
        <f aca="false">(U190+U191)</f>
        <v>402091.666666667</v>
      </c>
      <c r="V213" s="9" t="n">
        <f aca="false">(V190+V191)</f>
        <v>413275</v>
      </c>
      <c r="W213" s="9" t="n">
        <f aca="false">(W190+W191)</f>
        <v>447841.666666667</v>
      </c>
      <c r="X213" s="9" t="n">
        <f aca="false">(X190+X191)</f>
        <v>467158.333333333</v>
      </c>
      <c r="Y213" s="9" t="n">
        <f aca="false">(Y190+Y191)</f>
        <v>467158.333333333</v>
      </c>
      <c r="Z213" s="9" t="n">
        <f aca="false">(Z190+Z191)</f>
        <v>498675</v>
      </c>
      <c r="AA213" s="9" t="n">
        <f aca="false">(AA190+AA191)</f>
        <v>511891.666666667</v>
      </c>
      <c r="AB213" s="9" t="n">
        <f aca="false">(AB190+AB191)</f>
        <v>542391.666666667</v>
      </c>
      <c r="AC213" s="9" t="n">
        <f aca="false">(AC190+AC191)</f>
        <v>561708.333333333</v>
      </c>
      <c r="AD213" s="9" t="n">
        <f aca="false">(AD190+AD191)</f>
        <v>561708.333333333</v>
      </c>
      <c r="AE213" s="9" t="n">
        <f aca="false">(AE190+AE191)</f>
        <v>561708.333333333</v>
      </c>
      <c r="AF213" s="9" t="n">
        <f aca="false">(AF190+AF191)</f>
        <v>561708.333333333</v>
      </c>
      <c r="AG213" s="9" t="n">
        <f aca="false">(AG190+AG191)</f>
        <v>561708.333333333</v>
      </c>
      <c r="AH213" s="9" t="n">
        <f aca="false">(AH190+AH191)</f>
        <v>576958.333333333</v>
      </c>
      <c r="AI213" s="9" t="n">
        <f aca="false">(AI190+AI191)</f>
        <v>596275</v>
      </c>
      <c r="AJ213" s="9" t="n">
        <f aca="false">(AJ190+AJ191)</f>
        <v>611525</v>
      </c>
      <c r="AK213" s="9" t="n">
        <f aca="false">(AK190+AK191)</f>
        <v>627791.666666667</v>
      </c>
      <c r="AL213" s="9" t="n">
        <f aca="false">(AL190+AL191)</f>
        <v>627791.666666667</v>
      </c>
      <c r="AN213" s="11" t="n">
        <f aca="false">SUM(C213:N213)</f>
        <v>1638358.33333333</v>
      </c>
      <c r="AO213" s="11" t="n">
        <f aca="false">SUM(O213:Z213)</f>
        <v>4895250</v>
      </c>
      <c r="AP213" s="11" t="n">
        <f aca="false">SUM(AA213:AL213)</f>
        <v>6903166.66666667</v>
      </c>
    </row>
    <row r="214" customFormat="false" ht="15" hidden="false" customHeight="false" outlineLevel="0" collapsed="false">
      <c r="A214" s="0" t="s">
        <v>33</v>
      </c>
      <c r="B214" s="0" t="s">
        <v>230</v>
      </c>
      <c r="C214" s="9" t="n">
        <f aca="false">(C192+C199)</f>
        <v>9833.33333333333</v>
      </c>
      <c r="D214" s="9" t="n">
        <f aca="false">(D192+D199)</f>
        <v>9833.33333333333</v>
      </c>
      <c r="E214" s="9" t="n">
        <f aca="false">(E192+E199)</f>
        <v>9833.33333333333</v>
      </c>
      <c r="F214" s="9" t="n">
        <f aca="false">(F192+F199)</f>
        <v>9833.33333333333</v>
      </c>
      <c r="G214" s="9" t="n">
        <f aca="false">(G192+G199)</f>
        <v>9833.33333333333</v>
      </c>
      <c r="H214" s="9" t="n">
        <f aca="false">(H192+H199)</f>
        <v>9833.33333333333</v>
      </c>
      <c r="I214" s="9" t="n">
        <f aca="false">(I192+I199)</f>
        <v>25083.3333333333</v>
      </c>
      <c r="J214" s="9" t="n">
        <f aca="false">(J192+J199)</f>
        <v>25083.3333333333</v>
      </c>
      <c r="K214" s="9" t="n">
        <f aca="false">(K192+K199)</f>
        <v>25083.3333333333</v>
      </c>
      <c r="L214" s="9" t="n">
        <f aca="false">(L192+L199)</f>
        <v>25083.3333333333</v>
      </c>
      <c r="M214" s="9" t="n">
        <f aca="false">(M192+M199)</f>
        <v>25083.3333333333</v>
      </c>
      <c r="N214" s="9" t="n">
        <f aca="false">(N192+N199)</f>
        <v>25083.3333333333</v>
      </c>
      <c r="O214" s="9" t="n">
        <f aca="false">(O192+O199)</f>
        <v>29416.6666666667</v>
      </c>
      <c r="P214" s="9" t="n">
        <f aca="false">(P192+P199)</f>
        <v>29416.6666666667</v>
      </c>
      <c r="Q214" s="9" t="n">
        <f aca="false">(Q192+Q199)</f>
        <v>29416.6666666667</v>
      </c>
      <c r="R214" s="9" t="n">
        <f aca="false">(R192+R199)</f>
        <v>29416.6666666667</v>
      </c>
      <c r="S214" s="9" t="n">
        <f aca="false">(S192+S199)</f>
        <v>29416.6666666667</v>
      </c>
      <c r="T214" s="9" t="n">
        <f aca="false">(T192+T199)</f>
        <v>29416.6666666667</v>
      </c>
      <c r="U214" s="9" t="n">
        <f aca="false">(U192+U199)</f>
        <v>29416.6666666667</v>
      </c>
      <c r="V214" s="9" t="n">
        <f aca="false">(V192+V199)</f>
        <v>29416.6666666667</v>
      </c>
      <c r="W214" s="9" t="n">
        <f aca="false">(W192+W199)</f>
        <v>29416.6666666667</v>
      </c>
      <c r="X214" s="9" t="n">
        <f aca="false">(X192+X199)</f>
        <v>29416.6666666667</v>
      </c>
      <c r="Y214" s="9" t="n">
        <f aca="false">(Y192+Y199)</f>
        <v>44666.6666666667</v>
      </c>
      <c r="Z214" s="9" t="n">
        <f aca="false">(Z192+Z199)</f>
        <v>44666.6666666667</v>
      </c>
      <c r="AA214" s="9" t="n">
        <f aca="false">(AA192+AA199)</f>
        <v>50083.3333333333</v>
      </c>
      <c r="AB214" s="9" t="n">
        <f aca="false">(AB192+AB199)</f>
        <v>50083.3333333333</v>
      </c>
      <c r="AC214" s="9" t="n">
        <f aca="false">(AC192+AC199)</f>
        <v>50083.3333333333</v>
      </c>
      <c r="AD214" s="9" t="n">
        <f aca="false">(AD192+AD199)</f>
        <v>65333.3333333333</v>
      </c>
      <c r="AE214" s="9" t="n">
        <f aca="false">(AE192+AE199)</f>
        <v>65333.3333333333</v>
      </c>
      <c r="AF214" s="9" t="n">
        <f aca="false">(AF192+AF199)</f>
        <v>65333.3333333333</v>
      </c>
      <c r="AG214" s="9" t="n">
        <f aca="false">(AG192+AG199)</f>
        <v>65333.3333333333</v>
      </c>
      <c r="AH214" s="9" t="n">
        <f aca="false">(AH192+AH199)</f>
        <v>65333.3333333333</v>
      </c>
      <c r="AI214" s="9" t="n">
        <f aca="false">(AI192+AI199)</f>
        <v>65333.3333333333</v>
      </c>
      <c r="AJ214" s="9" t="n">
        <f aca="false">(AJ192+AJ199)</f>
        <v>65333.3333333333</v>
      </c>
      <c r="AK214" s="9" t="n">
        <f aca="false">(AK192+AK199)</f>
        <v>65333.3333333333</v>
      </c>
      <c r="AL214" s="9" t="n">
        <f aca="false">(AL192+AL199)</f>
        <v>65333.3333333333</v>
      </c>
      <c r="AN214" s="11" t="n">
        <f aca="false">SUM(C214:N214)</f>
        <v>209500</v>
      </c>
      <c r="AO214" s="11" t="n">
        <f aca="false">SUM(O214:Z214)</f>
        <v>383500</v>
      </c>
      <c r="AP214" s="11" t="n">
        <f aca="false">SUM(AA214:AL214)</f>
        <v>738250</v>
      </c>
    </row>
    <row r="215" customFormat="false" ht="15" hidden="false" customHeight="false" outlineLevel="0" collapsed="false">
      <c r="A215" s="0" t="s">
        <v>34</v>
      </c>
      <c r="B215" s="0" t="s">
        <v>230</v>
      </c>
      <c r="C215" s="9" t="n">
        <f aca="false">((C193+C204)+C205)</f>
        <v>5000</v>
      </c>
      <c r="D215" s="9" t="n">
        <f aca="false">((D193+D204)+D205)</f>
        <v>5000</v>
      </c>
      <c r="E215" s="9" t="n">
        <f aca="false">((E193+E204)+E205)</f>
        <v>5000</v>
      </c>
      <c r="F215" s="9" t="n">
        <f aca="false">((F193+F204)+F205)</f>
        <v>5000</v>
      </c>
      <c r="G215" s="9" t="n">
        <f aca="false">((G193+G204)+G205)</f>
        <v>5000</v>
      </c>
      <c r="H215" s="9" t="n">
        <f aca="false">((H193+H204)+H205)</f>
        <v>5000</v>
      </c>
      <c r="I215" s="9" t="n">
        <f aca="false">((I193+I204)+I205)</f>
        <v>5000</v>
      </c>
      <c r="J215" s="9" t="n">
        <f aca="false">((J193+J204)+J205)</f>
        <v>5000</v>
      </c>
      <c r="K215" s="9" t="n">
        <f aca="false">((K193+K204)+K205)</f>
        <v>5000</v>
      </c>
      <c r="L215" s="9" t="n">
        <f aca="false">((L193+L204)+L205)</f>
        <v>5000</v>
      </c>
      <c r="M215" s="9" t="n">
        <f aca="false">((M193+M204)+M205)</f>
        <v>16183.3333333333</v>
      </c>
      <c r="N215" s="9" t="n">
        <f aca="false">((N193+N204)+N205)</f>
        <v>17450.5333333333</v>
      </c>
      <c r="O215" s="9" t="n">
        <f aca="false">((O193+O204)+O205)</f>
        <v>38113.3333333333</v>
      </c>
      <c r="P215" s="9" t="n">
        <f aca="false">((P193+P204)+P205)</f>
        <v>35233.3333333333</v>
      </c>
      <c r="Q215" s="9" t="n">
        <f aca="false">((Q193+Q204)+Q205)</f>
        <v>38823.7333333333</v>
      </c>
      <c r="R215" s="9" t="n">
        <f aca="false">((R193+R204)+R205)</f>
        <v>44193.3333333333</v>
      </c>
      <c r="S215" s="9" t="n">
        <f aca="false">((S193+S204)+S205)</f>
        <v>35233.3333333333</v>
      </c>
      <c r="T215" s="9" t="n">
        <f aca="false">((T193+T204)+T205)</f>
        <v>35233.3333333333</v>
      </c>
      <c r="U215" s="9" t="n">
        <f aca="false">((U193+U204)+U205)</f>
        <v>47073.3333333333</v>
      </c>
      <c r="V215" s="9" t="n">
        <f aca="false">((V193+V204)+V205)</f>
        <v>36289.3333333333</v>
      </c>
      <c r="W215" s="9" t="n">
        <f aca="false">((W193+W204)+W205)</f>
        <v>35233.3333333333</v>
      </c>
      <c r="X215" s="9" t="n">
        <f aca="false">((X193+X204)+X205)</f>
        <v>58256.6666666667</v>
      </c>
      <c r="Y215" s="9" t="n">
        <f aca="false">((Y193+Y204)+Y205)</f>
        <v>53957.4666666667</v>
      </c>
      <c r="Z215" s="9" t="n">
        <f aca="false">((Z193+Z204)+Z205)</f>
        <v>46416.6666666667</v>
      </c>
      <c r="AA215" s="9" t="n">
        <f aca="false">((AA193+AA204)+AA205)</f>
        <v>68636.6666666667</v>
      </c>
      <c r="AB215" s="9" t="n">
        <f aca="false">((AB193+AB204)+AB205)</f>
        <v>72177.4666666667</v>
      </c>
      <c r="AC215" s="9" t="n">
        <f aca="false">((AC193+AC204)+AC205)</f>
        <v>53916.6666666667</v>
      </c>
      <c r="AD215" s="9" t="n">
        <f aca="false">((AD193+AD204)+AD205)</f>
        <v>85900</v>
      </c>
      <c r="AE215" s="9" t="n">
        <f aca="false">((AE193+AE204)+AE205)</f>
        <v>87152.8</v>
      </c>
      <c r="AF215" s="9" t="n">
        <f aca="false">((AF193+AF204)+AF205)</f>
        <v>78380</v>
      </c>
      <c r="AG215" s="9" t="n">
        <f aca="false">((AG193+AG204)+AG205)</f>
        <v>85900</v>
      </c>
      <c r="AH215" s="9" t="n">
        <f aca="false">((AH193+AH204)+AH205)</f>
        <v>88208.8</v>
      </c>
      <c r="AI215" s="9" t="n">
        <f aca="false">((AI193+AI204)+AI205)</f>
        <v>65100</v>
      </c>
      <c r="AJ215" s="9" t="n">
        <f aca="false">((AJ193+AJ204)+AJ205)</f>
        <v>88780</v>
      </c>
      <c r="AK215" s="9" t="n">
        <f aca="false">((AK193+AK204)+AK205)</f>
        <v>104357.6</v>
      </c>
      <c r="AL215" s="9" t="n">
        <f aca="false">((AL193+AL204)+AL205)</f>
        <v>102348</v>
      </c>
      <c r="AN215" s="11" t="n">
        <f aca="false">SUM(C215:N215)</f>
        <v>83633.8666666667</v>
      </c>
      <c r="AO215" s="11" t="n">
        <f aca="false">SUM(O215:Z215)</f>
        <v>504057.2</v>
      </c>
      <c r="AP215" s="11" t="n">
        <f aca="false">SUM(AA215:AL215)</f>
        <v>980858</v>
      </c>
    </row>
    <row r="216" customFormat="false" ht="15" hidden="false" customHeight="false" outlineLevel="0" collapsed="false">
      <c r="A216" s="0" t="s">
        <v>35</v>
      </c>
      <c r="B216" s="0" t="s">
        <v>230</v>
      </c>
      <c r="C216" s="9" t="n">
        <f aca="false">((C194+C206)+C207)</f>
        <v>4833.33333333333</v>
      </c>
      <c r="D216" s="9" t="n">
        <f aca="false">((D194+D206)+D207)</f>
        <v>4833.33333333333</v>
      </c>
      <c r="E216" s="9" t="n">
        <f aca="false">((E194+E206)+E207)</f>
        <v>4833.33333333333</v>
      </c>
      <c r="F216" s="9" t="n">
        <f aca="false">((F194+F206)+F207)</f>
        <v>4833.33333333333</v>
      </c>
      <c r="G216" s="9" t="n">
        <f aca="false">((G194+G206)+G207)</f>
        <v>4833.33333333333</v>
      </c>
      <c r="H216" s="9" t="n">
        <f aca="false">((H194+H206)+H207)</f>
        <v>15508.3333333333</v>
      </c>
      <c r="I216" s="9" t="n">
        <f aca="false">((I194+I206)+I207)</f>
        <v>15508.3333333333</v>
      </c>
      <c r="J216" s="9" t="n">
        <f aca="false">((J194+J206)+J207)</f>
        <v>15508.3333333333</v>
      </c>
      <c r="K216" s="9" t="n">
        <f aca="false">((K194+K206)+K207)</f>
        <v>15508.3333333333</v>
      </c>
      <c r="L216" s="9" t="n">
        <f aca="false">((L194+L206)+L207)</f>
        <v>15508.3333333333</v>
      </c>
      <c r="M216" s="9" t="n">
        <f aca="false">((M194+M206)+M207)</f>
        <v>15508.3333333333</v>
      </c>
      <c r="N216" s="9" t="n">
        <f aca="false">((N194+N206)+N207)</f>
        <v>22116.6666666667</v>
      </c>
      <c r="O216" s="9" t="n">
        <f aca="false">((O194+O206)+O207)</f>
        <v>31366.6666666667</v>
      </c>
      <c r="P216" s="9" t="n">
        <f aca="false">((P194+P206)+P207)</f>
        <v>31366.6666666667</v>
      </c>
      <c r="Q216" s="9" t="n">
        <f aca="false">((Q194+Q206)+Q207)</f>
        <v>31366.6666666667</v>
      </c>
      <c r="R216" s="9" t="n">
        <f aca="false">((R194+R206)+R207)</f>
        <v>31366.6666666667</v>
      </c>
      <c r="S216" s="9" t="n">
        <f aca="false">((S194+S206)+S207)</f>
        <v>31366.6666666667</v>
      </c>
      <c r="T216" s="9" t="n">
        <f aca="false">((T194+T206)+T207)</f>
        <v>31366.6666666667</v>
      </c>
      <c r="U216" s="9" t="n">
        <f aca="false">((U194+U206)+U207)</f>
        <v>31366.6666666667</v>
      </c>
      <c r="V216" s="9" t="n">
        <f aca="false">((V194+V206)+V207)</f>
        <v>40008.3333333333</v>
      </c>
      <c r="W216" s="9" t="n">
        <f aca="false">((W194+W206)+W207)</f>
        <v>40008.3333333333</v>
      </c>
      <c r="X216" s="9" t="n">
        <f aca="false">((X194+X206)+X207)</f>
        <v>40008.3333333333</v>
      </c>
      <c r="Y216" s="9" t="n">
        <f aca="false">((Y194+Y206)+Y207)</f>
        <v>40008.3333333333</v>
      </c>
      <c r="Z216" s="9" t="n">
        <f aca="false">((Z194+Z206)+Z207)</f>
        <v>40008.3333333333</v>
      </c>
      <c r="AA216" s="9" t="n">
        <f aca="false">((AA194+AA206)+AA207)</f>
        <v>50091.6666666667</v>
      </c>
      <c r="AB216" s="9" t="n">
        <f aca="false">((AB194+AB206)+AB207)</f>
        <v>50091.6666666667</v>
      </c>
      <c r="AC216" s="9" t="n">
        <f aca="false">((AC194+AC206)+AC207)</f>
        <v>50091.6666666667</v>
      </c>
      <c r="AD216" s="9" t="n">
        <f aca="false">((AD194+AD206)+AD207)</f>
        <v>50091.6666666667</v>
      </c>
      <c r="AE216" s="9" t="n">
        <f aca="false">((AE194+AE206)+AE207)</f>
        <v>50091.6666666667</v>
      </c>
      <c r="AF216" s="9" t="n">
        <f aca="false">((AF194+AF206)+AF207)</f>
        <v>50091.6666666667</v>
      </c>
      <c r="AG216" s="9" t="n">
        <f aca="false">((AG194+AG206)+AG207)</f>
        <v>50091.6666666667</v>
      </c>
      <c r="AH216" s="9" t="n">
        <f aca="false">((AH194+AH206)+AH207)</f>
        <v>50091.6666666667</v>
      </c>
      <c r="AI216" s="9" t="n">
        <f aca="false">((AI194+AI206)+AI207)</f>
        <v>50091.6666666667</v>
      </c>
      <c r="AJ216" s="9" t="n">
        <f aca="false">((AJ194+AJ206)+AJ207)</f>
        <v>50091.6666666667</v>
      </c>
      <c r="AK216" s="9" t="n">
        <f aca="false">((AK194+AK206)+AK207)</f>
        <v>50091.6666666667</v>
      </c>
      <c r="AL216" s="9" t="n">
        <f aca="false">((AL194+AL206)+AL207)</f>
        <v>50091.6666666667</v>
      </c>
      <c r="AN216" s="11" t="n">
        <f aca="false">SUM(C216:N216)</f>
        <v>139333.333333333</v>
      </c>
      <c r="AO216" s="11" t="n">
        <f aca="false">SUM(O216:Z216)</f>
        <v>419608.333333333</v>
      </c>
      <c r="AP216" s="11" t="n">
        <f aca="false">SUM(AA216:AL216)</f>
        <v>601100</v>
      </c>
    </row>
    <row r="217" customFormat="false" ht="15" hidden="false" customHeight="false" outlineLevel="0" collapsed="false">
      <c r="A217" s="0" t="s">
        <v>36</v>
      </c>
      <c r="B217" s="0" t="s">
        <v>230</v>
      </c>
      <c r="C217" s="9" t="n">
        <f aca="false">C200</f>
        <v>7916.66666666667</v>
      </c>
      <c r="D217" s="9" t="n">
        <f aca="false">D200</f>
        <v>7916.66666666667</v>
      </c>
      <c r="E217" s="9" t="n">
        <f aca="false">E200</f>
        <v>7916.66666666667</v>
      </c>
      <c r="F217" s="9" t="n">
        <f aca="false">F200</f>
        <v>7916.66666666667</v>
      </c>
      <c r="G217" s="9" t="n">
        <f aca="false">G200</f>
        <v>7916.66666666667</v>
      </c>
      <c r="H217" s="9" t="n">
        <f aca="false">H200</f>
        <v>7916.66666666667</v>
      </c>
      <c r="I217" s="9" t="n">
        <f aca="false">I200</f>
        <v>7916.66666666667</v>
      </c>
      <c r="J217" s="9" t="n">
        <f aca="false">J200</f>
        <v>7916.66666666667</v>
      </c>
      <c r="K217" s="9" t="n">
        <f aca="false">K200</f>
        <v>7916.66666666667</v>
      </c>
      <c r="L217" s="9" t="n">
        <f aca="false">L200</f>
        <v>7916.66666666667</v>
      </c>
      <c r="M217" s="9" t="n">
        <f aca="false">M200</f>
        <v>7916.66666666667</v>
      </c>
      <c r="N217" s="9" t="n">
        <f aca="false">N200</f>
        <v>7916.66666666667</v>
      </c>
      <c r="O217" s="9" t="n">
        <f aca="false">O200</f>
        <v>9333.33333333333</v>
      </c>
      <c r="P217" s="9" t="n">
        <f aca="false">P200</f>
        <v>9333.33333333333</v>
      </c>
      <c r="Q217" s="9" t="n">
        <f aca="false">Q200</f>
        <v>9333.33333333333</v>
      </c>
      <c r="R217" s="9" t="n">
        <f aca="false">R200</f>
        <v>9333.33333333333</v>
      </c>
      <c r="S217" s="9" t="n">
        <f aca="false">S200</f>
        <v>9333.33333333333</v>
      </c>
      <c r="T217" s="9" t="n">
        <f aca="false">T200</f>
        <v>9333.33333333333</v>
      </c>
      <c r="U217" s="9" t="n">
        <f aca="false">U200</f>
        <v>9333.33333333333</v>
      </c>
      <c r="V217" s="9" t="n">
        <f aca="false">V200</f>
        <v>9333.33333333333</v>
      </c>
      <c r="W217" s="9" t="n">
        <f aca="false">W200</f>
        <v>9333.33333333333</v>
      </c>
      <c r="X217" s="9" t="n">
        <f aca="false">X200</f>
        <v>9333.33333333333</v>
      </c>
      <c r="Y217" s="9" t="n">
        <f aca="false">Y200</f>
        <v>9333.33333333333</v>
      </c>
      <c r="Z217" s="9" t="n">
        <f aca="false">Z200</f>
        <v>9333.33333333333</v>
      </c>
      <c r="AA217" s="9" t="n">
        <f aca="false">AA200</f>
        <v>12916.6666666667</v>
      </c>
      <c r="AB217" s="9" t="n">
        <f aca="false">AB200</f>
        <v>12916.6666666667</v>
      </c>
      <c r="AC217" s="9" t="n">
        <f aca="false">AC200</f>
        <v>12916.6666666667</v>
      </c>
      <c r="AD217" s="9" t="n">
        <f aca="false">AD200</f>
        <v>12916.6666666667</v>
      </c>
      <c r="AE217" s="9" t="n">
        <f aca="false">AE200</f>
        <v>12916.6666666667</v>
      </c>
      <c r="AF217" s="9" t="n">
        <f aca="false">AF200</f>
        <v>12916.6666666667</v>
      </c>
      <c r="AG217" s="9" t="n">
        <f aca="false">AG200</f>
        <v>12916.6666666667</v>
      </c>
      <c r="AH217" s="9" t="n">
        <f aca="false">AH200</f>
        <v>12916.6666666667</v>
      </c>
      <c r="AI217" s="9" t="n">
        <f aca="false">AI200</f>
        <v>12916.6666666667</v>
      </c>
      <c r="AJ217" s="9" t="n">
        <f aca="false">AJ200</f>
        <v>12916.6666666667</v>
      </c>
      <c r="AK217" s="9" t="n">
        <f aca="false">AK200</f>
        <v>12916.6666666667</v>
      </c>
      <c r="AL217" s="9" t="n">
        <f aca="false">AL200</f>
        <v>12916.6666666667</v>
      </c>
      <c r="AN217" s="11" t="n">
        <f aca="false">SUM(C217:N217)</f>
        <v>95000</v>
      </c>
      <c r="AO217" s="11" t="n">
        <f aca="false">SUM(O217:Z217)</f>
        <v>112000</v>
      </c>
      <c r="AP217" s="11" t="n">
        <f aca="false">SUM(AA217:AL217)</f>
        <v>155000</v>
      </c>
    </row>
    <row r="218" customFormat="false" ht="15" hidden="false" customHeight="false" outlineLevel="0" collapsed="false">
      <c r="A218" s="0" t="s">
        <v>37</v>
      </c>
      <c r="B218" s="0" t="s">
        <v>230</v>
      </c>
      <c r="C218" s="9" t="n">
        <f aca="false">C201</f>
        <v>3416.66666666667</v>
      </c>
      <c r="D218" s="9" t="n">
        <f aca="false">D201</f>
        <v>3416.66666666667</v>
      </c>
      <c r="E218" s="9" t="n">
        <f aca="false">E201</f>
        <v>3416.66666666667</v>
      </c>
      <c r="F218" s="9" t="n">
        <f aca="false">F201</f>
        <v>3416.66666666667</v>
      </c>
      <c r="G218" s="9" t="n">
        <f aca="false">G201</f>
        <v>3416.66666666667</v>
      </c>
      <c r="H218" s="9" t="n">
        <f aca="false">H201</f>
        <v>3416.66666666667</v>
      </c>
      <c r="I218" s="9" t="n">
        <f aca="false">I201</f>
        <v>3416.66666666667</v>
      </c>
      <c r="J218" s="9" t="n">
        <f aca="false">J201</f>
        <v>3416.66666666667</v>
      </c>
      <c r="K218" s="9" t="n">
        <f aca="false">K201</f>
        <v>3416.66666666667</v>
      </c>
      <c r="L218" s="9" t="n">
        <f aca="false">L201</f>
        <v>3416.66666666667</v>
      </c>
      <c r="M218" s="9" t="n">
        <f aca="false">M201</f>
        <v>3416.66666666667</v>
      </c>
      <c r="N218" s="9" t="n">
        <f aca="false">N201</f>
        <v>3416.66666666667</v>
      </c>
      <c r="O218" s="9" t="n">
        <f aca="false">O201</f>
        <v>5833.33333333333</v>
      </c>
      <c r="P218" s="9" t="n">
        <f aca="false">P201</f>
        <v>5833.33333333333</v>
      </c>
      <c r="Q218" s="9" t="n">
        <f aca="false">Q201</f>
        <v>5833.33333333333</v>
      </c>
      <c r="R218" s="9" t="n">
        <f aca="false">R201</f>
        <v>5833.33333333333</v>
      </c>
      <c r="S218" s="9" t="n">
        <f aca="false">S201</f>
        <v>5833.33333333333</v>
      </c>
      <c r="T218" s="9" t="n">
        <f aca="false">T201</f>
        <v>5833.33333333333</v>
      </c>
      <c r="U218" s="9" t="n">
        <f aca="false">U201</f>
        <v>5833.33333333333</v>
      </c>
      <c r="V218" s="9" t="n">
        <f aca="false">V201</f>
        <v>5833.33333333333</v>
      </c>
      <c r="W218" s="9" t="n">
        <f aca="false">W201</f>
        <v>5833.33333333333</v>
      </c>
      <c r="X218" s="9" t="n">
        <f aca="false">X201</f>
        <v>5833.33333333333</v>
      </c>
      <c r="Y218" s="9" t="n">
        <f aca="false">Y201</f>
        <v>5833.33333333333</v>
      </c>
      <c r="Z218" s="9" t="n">
        <f aca="false">Z201</f>
        <v>5833.33333333333</v>
      </c>
      <c r="AA218" s="9" t="n">
        <f aca="false">AA201</f>
        <v>10000</v>
      </c>
      <c r="AB218" s="9" t="n">
        <f aca="false">AB201</f>
        <v>10000</v>
      </c>
      <c r="AC218" s="9" t="n">
        <f aca="false">AC201</f>
        <v>10000</v>
      </c>
      <c r="AD218" s="9" t="n">
        <f aca="false">AD201</f>
        <v>10000</v>
      </c>
      <c r="AE218" s="9" t="n">
        <f aca="false">AE201</f>
        <v>10000</v>
      </c>
      <c r="AF218" s="9" t="n">
        <f aca="false">AF201</f>
        <v>10000</v>
      </c>
      <c r="AG218" s="9" t="n">
        <f aca="false">AG201</f>
        <v>10000</v>
      </c>
      <c r="AH218" s="9" t="n">
        <f aca="false">AH201</f>
        <v>10000</v>
      </c>
      <c r="AI218" s="9" t="n">
        <f aca="false">AI201</f>
        <v>10000</v>
      </c>
      <c r="AJ218" s="9" t="n">
        <f aca="false">AJ201</f>
        <v>10000</v>
      </c>
      <c r="AK218" s="9" t="n">
        <f aca="false">AK201</f>
        <v>10000</v>
      </c>
      <c r="AL218" s="9" t="n">
        <f aca="false">AL201</f>
        <v>10000</v>
      </c>
      <c r="AN218" s="11" t="n">
        <f aca="false">SUM(C218:N218)</f>
        <v>41000</v>
      </c>
      <c r="AO218" s="11" t="n">
        <f aca="false">SUM(O218:Z218)</f>
        <v>70000</v>
      </c>
      <c r="AP218" s="11" t="n">
        <f aca="false">SUM(AA218:AL218)</f>
        <v>120000</v>
      </c>
    </row>
    <row r="219" customFormat="false" ht="15" hidden="false" customHeight="false" outlineLevel="0" collapsed="false">
      <c r="A219" s="0" t="s">
        <v>1011</v>
      </c>
      <c r="B219" s="0" t="s">
        <v>230</v>
      </c>
      <c r="C219" s="9" t="n">
        <f aca="false">((((((C195+C202)+C208)+C209)+C203)+C210)+C211)</f>
        <v>25615</v>
      </c>
      <c r="D219" s="9" t="n">
        <f aca="false">((((((D195+D202)+D208)+D209)+D203)+D210)+D211)</f>
        <v>38265</v>
      </c>
      <c r="E219" s="9" t="n">
        <f aca="false">((((((E195+E202)+E208)+E209)+E203)+E210)+E211)</f>
        <v>39115</v>
      </c>
      <c r="F219" s="9" t="n">
        <f aca="false">((((((F195+F202)+F208)+F209)+F203)+F210)+F211)</f>
        <v>39965</v>
      </c>
      <c r="G219" s="9" t="n">
        <f aca="false">((((((G195+G202)+G208)+G209)+G203)+G210)+G211)</f>
        <v>53465</v>
      </c>
      <c r="H219" s="9" t="n">
        <f aca="false">((((((H195+H202)+H208)+H209)+H203)+H210)+H211)</f>
        <v>67815</v>
      </c>
      <c r="I219" s="9" t="n">
        <f aca="false">((((((I195+I202)+I208)+I209)+I203)+I210)+I211)</f>
        <v>57715</v>
      </c>
      <c r="J219" s="9" t="n">
        <f aca="false">((((((J195+J202)+J208)+J209)+J203)+J210)+J211)</f>
        <v>34115</v>
      </c>
      <c r="K219" s="9" t="n">
        <f aca="false">((((((K195+K202)+K208)+K209)+K203)+K210)+K211)</f>
        <v>84773.3333333333</v>
      </c>
      <c r="L219" s="9" t="n">
        <f aca="false">((((((L195+L202)+L208)+L209)+L203)+L210)+L211)</f>
        <v>87323.3333333333</v>
      </c>
      <c r="M219" s="9" t="n">
        <f aca="false">((((((M195+M202)+M208)+M209)+M203)+M210)+M211)</f>
        <v>102523.333333333</v>
      </c>
      <c r="N219" s="9" t="n">
        <f aca="false">((((((N195+N202)+N208)+N209)+N203)+N210)+N211)</f>
        <v>93431.7333333333</v>
      </c>
      <c r="O219" s="9" t="n">
        <f aca="false">((((((O195+O202)+O208)+O209)+O203)+O210)+O211)</f>
        <v>115183.333333333</v>
      </c>
      <c r="P219" s="9" t="n">
        <f aca="false">((((((P195+P202)+P208)+P209)+P203)+P210)+P211)</f>
        <v>105573.333333333</v>
      </c>
      <c r="Q219" s="9" t="n">
        <f aca="false">((((((Q195+Q202)+Q208)+Q209)+Q203)+Q210)+Q211)</f>
        <v>120772.133333333</v>
      </c>
      <c r="R219" s="9" t="n">
        <f aca="false">((((((R195+R202)+R208)+R209)+R203)+R210)+R211)</f>
        <v>98693.3333333333</v>
      </c>
      <c r="S219" s="9" t="n">
        <f aca="false">((((((S195+S202)+S208)+S209)+S203)+S210)+S211)</f>
        <v>85773.3333333333</v>
      </c>
      <c r="T219" s="9" t="n">
        <f aca="false">((((((T195+T202)+T208)+T209)+T203)+T210)+T211)</f>
        <v>111073.333333333</v>
      </c>
      <c r="U219" s="9" t="n">
        <f aca="false">((((((U195+U202)+U208)+U209)+U203)+U210)+U211)</f>
        <v>114253.333333333</v>
      </c>
      <c r="V219" s="9" t="n">
        <f aca="false">((((((V195+V202)+V208)+V209)+V203)+V210)+V211)</f>
        <v>114567.833333333</v>
      </c>
      <c r="W219" s="9" t="n">
        <f aca="false">((((((W195+W202)+W208)+W209)+W203)+W210)+W211)</f>
        <v>116173.333333333</v>
      </c>
      <c r="X219" s="9" t="n">
        <f aca="false">((((((X195+X202)+X208)+X209)+X203)+X210)+X211)</f>
        <v>132003.333333333</v>
      </c>
      <c r="Y219" s="9" t="n">
        <f aca="false">((((((Y195+Y202)+Y208)+Y209)+Y203)+Y210)+Y211)</f>
        <v>108610.933333333</v>
      </c>
      <c r="Z219" s="9" t="n">
        <f aca="false">((((((Z195+Z202)+Z208)+Z209)+Z203)+Z210)+Z211)</f>
        <v>142718.3312</v>
      </c>
      <c r="AA219" s="9" t="n">
        <f aca="false">((((((AA195+AA202)+AA208)+AA209)+AA203)+AA210)+AA211)</f>
        <v>141167.5</v>
      </c>
      <c r="AB219" s="9" t="n">
        <f aca="false">((((((AB195+AB202)+AB208)+AB209)+AB203)+AB210)+AB211)</f>
        <v>155817.6</v>
      </c>
      <c r="AC219" s="9" t="n">
        <f aca="false">((((((AC195+AC202)+AC208)+AC209)+AC203)+AC210)+AC211)</f>
        <v>131361.9384</v>
      </c>
      <c r="AD219" s="9" t="n">
        <f aca="false">((((((AD195+AD202)+AD208)+AD209)+AD203)+AD210)+AD211)</f>
        <v>159677.5</v>
      </c>
      <c r="AE219" s="9" t="n">
        <f aca="false">((((((AE195+AE202)+AE208)+AE209)+AE203)+AE210)+AE211)</f>
        <v>124291.6</v>
      </c>
      <c r="AF219" s="9" t="n">
        <f aca="false">((((((AF195+AF202)+AF208)+AF209)+AF203)+AF210)+AF211)</f>
        <v>135987.5</v>
      </c>
      <c r="AG219" s="9" t="n">
        <f aca="false">((((((AG195+AG202)+AG208)+AG209)+AG203)+AG210)+AG211)</f>
        <v>137777.5</v>
      </c>
      <c r="AH219" s="9" t="n">
        <f aca="false">((((((AH195+AH202)+AH208)+AH209)+AH203)+AH210)+AH211)</f>
        <v>151513.876</v>
      </c>
      <c r="AI219" s="9" t="n">
        <f aca="false">((((((AI195+AI202)+AI208)+AI209)+AI203)+AI210)+AI211)</f>
        <v>150377.5</v>
      </c>
      <c r="AJ219" s="9" t="n">
        <f aca="false">((((((AJ195+AJ202)+AJ208)+AJ209)+AJ203)+AJ210)+AJ211)</f>
        <v>142387.5</v>
      </c>
      <c r="AK219" s="9" t="n">
        <f aca="false">((((((AK195+AK202)+AK208)+AK209)+AK203)+AK210)+AK211)</f>
        <v>145646.3568</v>
      </c>
      <c r="AL219" s="9" t="n">
        <f aca="false">((((((AL195+AL202)+AL208)+AL209)+AL203)+AL210)+AL211)</f>
        <v>133281.9246016</v>
      </c>
      <c r="AN219" s="11" t="n">
        <f aca="false">SUM(C219:N219)</f>
        <v>724121.733333333</v>
      </c>
      <c r="AO219" s="11" t="n">
        <f aca="false">SUM(O219:Z219)</f>
        <v>1365395.89786667</v>
      </c>
      <c r="AP219" s="11" t="n">
        <f aca="false">SUM(AA219:AL219)</f>
        <v>1709288.2958016</v>
      </c>
    </row>
    <row r="220" customFormat="false" ht="15" hidden="false" customHeight="false" outlineLevel="0" collapsed="false">
      <c r="A220" s="0" t="s">
        <v>39</v>
      </c>
      <c r="B220" s="0" t="s">
        <v>230</v>
      </c>
      <c r="C220" s="9" t="n">
        <f aca="false">C212</f>
        <v>0</v>
      </c>
      <c r="D220" s="9" t="n">
        <f aca="false">D212</f>
        <v>0</v>
      </c>
      <c r="E220" s="9" t="n">
        <f aca="false">E212</f>
        <v>0</v>
      </c>
      <c r="F220" s="9" t="n">
        <f aca="false">F212</f>
        <v>0</v>
      </c>
      <c r="G220" s="9" t="n">
        <f aca="false">G212</f>
        <v>0</v>
      </c>
      <c r="H220" s="9" t="n">
        <f aca="false">H212</f>
        <v>0</v>
      </c>
      <c r="I220" s="9" t="n">
        <f aca="false">I212</f>
        <v>0</v>
      </c>
      <c r="J220" s="9" t="n">
        <f aca="false">J212</f>
        <v>0</v>
      </c>
      <c r="K220" s="9" t="n">
        <f aca="false">K212</f>
        <v>0</v>
      </c>
      <c r="L220" s="9" t="n">
        <f aca="false">L212</f>
        <v>0</v>
      </c>
      <c r="M220" s="9" t="n">
        <f aca="false">M212</f>
        <v>0</v>
      </c>
      <c r="N220" s="9" t="n">
        <f aca="false">N212</f>
        <v>0</v>
      </c>
      <c r="O220" s="9" t="n">
        <f aca="false">O212</f>
        <v>0</v>
      </c>
      <c r="P220" s="9" t="n">
        <f aca="false">P212</f>
        <v>0</v>
      </c>
      <c r="Q220" s="9" t="n">
        <f aca="false">Q212</f>
        <v>0</v>
      </c>
      <c r="R220" s="9" t="n">
        <f aca="false">R212</f>
        <v>0</v>
      </c>
      <c r="S220" s="9" t="n">
        <f aca="false">S212</f>
        <v>0</v>
      </c>
      <c r="T220" s="9" t="n">
        <f aca="false">T212</f>
        <v>0</v>
      </c>
      <c r="U220" s="9" t="n">
        <f aca="false">U212</f>
        <v>0</v>
      </c>
      <c r="V220" s="9" t="n">
        <f aca="false">V212</f>
        <v>0</v>
      </c>
      <c r="W220" s="9" t="n">
        <f aca="false">W212</f>
        <v>0</v>
      </c>
      <c r="X220" s="9" t="n">
        <f aca="false">X212</f>
        <v>0</v>
      </c>
      <c r="Y220" s="9" t="n">
        <f aca="false">Y212</f>
        <v>0</v>
      </c>
      <c r="Z220" s="9" t="n">
        <f aca="false">Z212</f>
        <v>0</v>
      </c>
      <c r="AA220" s="9" t="n">
        <f aca="false">AA212</f>
        <v>0</v>
      </c>
      <c r="AB220" s="9" t="n">
        <f aca="false">AB212</f>
        <v>0</v>
      </c>
      <c r="AC220" s="9" t="n">
        <f aca="false">AC212</f>
        <v>0</v>
      </c>
      <c r="AD220" s="9" t="n">
        <f aca="false">AD212</f>
        <v>0</v>
      </c>
      <c r="AE220" s="9" t="n">
        <f aca="false">AE212</f>
        <v>0</v>
      </c>
      <c r="AF220" s="9" t="n">
        <f aca="false">AF212</f>
        <v>0</v>
      </c>
      <c r="AG220" s="9" t="n">
        <f aca="false">AG212</f>
        <v>0</v>
      </c>
      <c r="AH220" s="9" t="n">
        <f aca="false">AH212</f>
        <v>0</v>
      </c>
      <c r="AI220" s="9" t="n">
        <f aca="false">AI212</f>
        <v>0</v>
      </c>
      <c r="AJ220" s="9" t="n">
        <f aca="false">AJ212</f>
        <v>0</v>
      </c>
      <c r="AK220" s="9" t="n">
        <f aca="false">AK212</f>
        <v>0</v>
      </c>
      <c r="AL220" s="9" t="n">
        <f aca="false">AL212</f>
        <v>0</v>
      </c>
      <c r="AN220" s="11" t="n">
        <f aca="false">SUM(C220:N220)</f>
        <v>0</v>
      </c>
      <c r="AO220" s="11" t="n">
        <f aca="false">SUM(O220:Z220)</f>
        <v>0</v>
      </c>
      <c r="AP220" s="11" t="n">
        <f aca="false">SUM(AA220:AL220)</f>
        <v>0</v>
      </c>
    </row>
    <row r="221" customFormat="false" ht="15" hidden="false" customHeight="false" outlineLevel="0" collapsed="false">
      <c r="A221" s="10" t="s">
        <v>40</v>
      </c>
      <c r="B221" s="20" t="s">
        <v>230</v>
      </c>
      <c r="C221" s="11" t="n">
        <f aca="false">(((((((C213+C214)+C215)+C216)+C217)+C218)+C219)+C220)</f>
        <v>98298.3333333333</v>
      </c>
      <c r="D221" s="11" t="n">
        <f aca="false">(((((((D213+D214)+D215)+D216)+D217)+D218)+D219)+D220)</f>
        <v>126198.333333333</v>
      </c>
      <c r="E221" s="11" t="n">
        <f aca="false">(((((((E213+E214)+E215)+E216)+E217)+E218)+E219)+E220)</f>
        <v>140265</v>
      </c>
      <c r="F221" s="11" t="n">
        <f aca="false">(((((((F213+F214)+F215)+F216)+F217)+F218)+F219)+F220)</f>
        <v>155348.333333333</v>
      </c>
      <c r="G221" s="11" t="n">
        <f aca="false">(((((((G213+G214)+G215)+G216)+G217)+G218)+G219)+G220)</f>
        <v>185115</v>
      </c>
      <c r="H221" s="11" t="n">
        <f aca="false">(((((((H213+H214)+H215)+H216)+H217)+H218)+H219)+H220)</f>
        <v>240640</v>
      </c>
      <c r="I221" s="11" t="n">
        <f aca="false">(((((((I213+I214)+I215)+I216)+I217)+I218)+I219)+I220)</f>
        <v>261040</v>
      </c>
      <c r="J221" s="11" t="n">
        <f aca="false">(((((((J213+J214)+J215)+J216)+J217)+J218)+J219)+J220)</f>
        <v>237440</v>
      </c>
      <c r="K221" s="11" t="n">
        <f aca="false">(((((((K213+K214)+K215)+K216)+K217)+K218)+K219)+K220)</f>
        <v>302840</v>
      </c>
      <c r="L221" s="11" t="n">
        <f aca="false">(((((((L213+L214)+L215)+L216)+L217)+L218)+L219)+L220)</f>
        <v>348598.333333333</v>
      </c>
      <c r="M221" s="11" t="n">
        <f aca="false">(((((((M213+M214)+M215)+M216)+M217)+M218)+M219)+M220)</f>
        <v>403956.666666667</v>
      </c>
      <c r="N221" s="11" t="n">
        <f aca="false">(((((((N213+N214)+N215)+N216)+N217)+N218)+N219)+N220)</f>
        <v>431207.266666667</v>
      </c>
      <c r="O221" s="11" t="n">
        <f aca="false">(((((((O213+O214)+O215)+O216)+O217)+O218)+O219)+O220)</f>
        <v>537805</v>
      </c>
      <c r="P221" s="11" t="n">
        <f aca="false">(((((((P213+P214)+P215)+P216)+P217)+P218)+P219)+P220)</f>
        <v>575131.666666667</v>
      </c>
      <c r="Q221" s="11" t="n">
        <f aca="false">(((((((Q213+Q214)+Q215)+Q216)+Q217)+Q218)+Q219)+Q220)</f>
        <v>607137.533333333</v>
      </c>
      <c r="R221" s="11" t="n">
        <f aca="false">(((((((R213+R214)+R215)+R216)+R217)+R218)+R219)+R220)</f>
        <v>605678.333333333</v>
      </c>
      <c r="S221" s="11" t="n">
        <f aca="false">(((((((S213+S214)+S215)+S216)+S217)+S218)+S219)+S220)</f>
        <v>583798.333333333</v>
      </c>
      <c r="T221" s="11" t="n">
        <f aca="false">(((((((T213+T214)+T215)+T216)+T217)+T218)+T219)+T220)</f>
        <v>609098.333333333</v>
      </c>
      <c r="U221" s="11" t="n">
        <f aca="false">(((((((U213+U214)+U215)+U216)+U217)+U218)+U219)+U220)</f>
        <v>639368.333333333</v>
      </c>
      <c r="V221" s="11" t="n">
        <f aca="false">(((((((V213+V214)+V215)+V216)+V217)+V218)+V219)+V220)</f>
        <v>648723.833333333</v>
      </c>
      <c r="W221" s="11" t="n">
        <f aca="false">(((((((W213+W214)+W215)+W216)+W217)+W218)+W219)+W220)</f>
        <v>683840</v>
      </c>
      <c r="X221" s="11" t="n">
        <f aca="false">(((((((X213+X214)+X215)+X216)+X217)+X218)+X219)+X220)</f>
        <v>742010</v>
      </c>
      <c r="Y221" s="11" t="n">
        <f aca="false">(((((((Y213+Y214)+Y215)+Y216)+Y217)+Y218)+Y219)+Y220)</f>
        <v>729568.4</v>
      </c>
      <c r="Z221" s="11" t="n">
        <f aca="false">(((((((Z213+Z214)+Z215)+Z216)+Z217)+Z218)+Z219)+Z220)</f>
        <v>787651.664533333</v>
      </c>
      <c r="AA221" s="11" t="n">
        <f aca="false">(((((((AA213+AA214)+AA215)+AA216)+AA217)+AA218)+AA219)+AA220)</f>
        <v>844787.5</v>
      </c>
      <c r="AB221" s="11" t="n">
        <f aca="false">(((((((AB213+AB214)+AB215)+AB216)+AB217)+AB218)+AB219)+AB220)</f>
        <v>893478.4</v>
      </c>
      <c r="AC221" s="11" t="n">
        <f aca="false">(((((((AC213+AC214)+AC215)+AC216)+AC217)+AC218)+AC219)+AC220)</f>
        <v>870078.605066667</v>
      </c>
      <c r="AD221" s="11" t="n">
        <f aca="false">(((((((AD213+AD214)+AD215)+AD216)+AD217)+AD218)+AD219)+AD220)</f>
        <v>945627.5</v>
      </c>
      <c r="AE221" s="11" t="n">
        <f aca="false">(((((((AE213+AE214)+AE215)+AE216)+AE217)+AE218)+AE219)+AE220)</f>
        <v>911494.4</v>
      </c>
      <c r="AF221" s="11" t="n">
        <f aca="false">(((((((AF213+AF214)+AF215)+AF216)+AF217)+AF218)+AF219)+AF220)</f>
        <v>914417.5</v>
      </c>
      <c r="AG221" s="11" t="n">
        <f aca="false">(((((((AG213+AG214)+AG215)+AG216)+AG217)+AG218)+AG219)+AG220)</f>
        <v>923727.5</v>
      </c>
      <c r="AH221" s="11" t="n">
        <f aca="false">(((((((AH213+AH214)+AH215)+AH216)+AH217)+AH218)+AH219)+AH220)</f>
        <v>955022.676</v>
      </c>
      <c r="AI221" s="11" t="n">
        <f aca="false">(((((((AI213+AI214)+AI215)+AI216)+AI217)+AI218)+AI219)+AI220)</f>
        <v>950094.166666667</v>
      </c>
      <c r="AJ221" s="11" t="n">
        <f aca="false">(((((((AJ213+AJ214)+AJ215)+AJ216)+AJ217)+AJ218)+AJ219)+AJ220)</f>
        <v>981034.166666667</v>
      </c>
      <c r="AK221" s="11" t="n">
        <f aca="false">(((((((AK213+AK214)+AK215)+AK216)+AK217)+AK218)+AK219)+AK220)</f>
        <v>1016137.29013333</v>
      </c>
      <c r="AL221" s="11" t="n">
        <f aca="false">(((((((AL213+AL214)+AL215)+AL216)+AL217)+AL218)+AL219)+AL220)</f>
        <v>1001763.25793493</v>
      </c>
      <c r="AN221" s="11" t="n">
        <f aca="false">SUM(C221:N221)</f>
        <v>2930947.26666667</v>
      </c>
      <c r="AO221" s="11" t="n">
        <f aca="false">SUM(O221:Z221)</f>
        <v>7749811.4312</v>
      </c>
      <c r="AP221" s="11" t="n">
        <f aca="false">SUM(AA221:AL221)</f>
        <v>11207662.9624683</v>
      </c>
    </row>
    <row r="222" customFormat="false" ht="15" hidden="false" customHeight="false" outlineLevel="0" collapsed="false">
      <c r="A222" s="21" t="s">
        <v>1012</v>
      </c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</row>
    <row r="223" customFormat="false" ht="15" hidden="false" customHeight="false" outlineLevel="0" collapsed="false">
      <c r="A223" s="0" t="s">
        <v>30</v>
      </c>
      <c r="B223" s="0" t="s">
        <v>230</v>
      </c>
      <c r="C223" s="9" t="n">
        <f aca="false">(C146-C184)</f>
        <v>-6067.1082984</v>
      </c>
      <c r="D223" s="9" t="n">
        <f aca="false">(D146-D184)</f>
        <v>-6119.24628408</v>
      </c>
      <c r="E223" s="9" t="n">
        <f aca="false">(E146-E184)</f>
        <v>-6157.13872666272</v>
      </c>
      <c r="F223" s="9" t="n">
        <f aca="false">(F146-F184)</f>
        <v>-6187.46796077222</v>
      </c>
      <c r="G223" s="9" t="n">
        <f aca="false">(G146-G184)</f>
        <v>-16768.8815397869</v>
      </c>
      <c r="H223" s="9" t="n">
        <f aca="false">(H146-H184)</f>
        <v>-16778.9333752017</v>
      </c>
      <c r="I223" s="9" t="n">
        <f aca="false">(I146-I184)</f>
        <v>-16804.496730379</v>
      </c>
      <c r="J223" s="9" t="n">
        <f aca="false">(J146-J184)</f>
        <v>-17593.0105915935</v>
      </c>
      <c r="K223" s="9" t="n">
        <f aca="false">(K146-K184)</f>
        <v>-24004.2286949308</v>
      </c>
      <c r="L223" s="9" t="n">
        <f aca="false">(L146-L184)</f>
        <v>-24047.0035125279</v>
      </c>
      <c r="M223" s="9" t="n">
        <f aca="false">(M146-M184)</f>
        <v>-33840.438498614</v>
      </c>
      <c r="N223" s="9" t="n">
        <f aca="false">(N146-N184)</f>
        <v>-32870.4205662215</v>
      </c>
      <c r="O223" s="9" t="n">
        <f aca="false">(O146-O184)</f>
        <v>-30392.9585625559</v>
      </c>
      <c r="P223" s="9" t="n">
        <f aca="false">(P146-P184)</f>
        <v>-30159.03363394</v>
      </c>
      <c r="Q223" s="9" t="n">
        <f aca="false">(Q146-Q184)</f>
        <v>-37742.4922636866</v>
      </c>
      <c r="R223" s="9" t="n">
        <f aca="false">(R146-R184)</f>
        <v>-16219.7181137904</v>
      </c>
      <c r="S223" s="9" t="n">
        <f aca="false">(S146-S184)</f>
        <v>-16312.4301430965</v>
      </c>
      <c r="T223" s="9" t="n">
        <f aca="false">(T146-T184)</f>
        <v>-35148.074661639</v>
      </c>
      <c r="U223" s="9" t="n">
        <f aca="false">(U146-U184)</f>
        <v>-32029.6289388046</v>
      </c>
      <c r="V223" s="9" t="n">
        <f aca="false">(V146-V184)</f>
        <v>-31537.8114152595</v>
      </c>
      <c r="W223" s="9" t="n">
        <f aca="false">(W146-W184)</f>
        <v>-32171.3665121204</v>
      </c>
      <c r="X223" s="9" t="n">
        <f aca="false">(X146-X184)</f>
        <v>-40386.7017461367</v>
      </c>
      <c r="Y223" s="9" t="n">
        <f aca="false">(Y146-Y184)</f>
        <v>-29086.4912742404</v>
      </c>
      <c r="Z223" s="9" t="n">
        <f aca="false">(Z146-Z184)</f>
        <v>-28982.2518205039</v>
      </c>
      <c r="AA223" s="9" t="n">
        <f aca="false">(AA146-AA184)</f>
        <v>-38443.0434527377</v>
      </c>
      <c r="AB223" s="9" t="n">
        <f aca="false">(AB146-AB184)</f>
        <v>-18316.9091175579</v>
      </c>
      <c r="AC223" s="9" t="n">
        <f aca="false">(AC146-AC184)</f>
        <v>-17458.2879992879</v>
      </c>
      <c r="AD223" s="9" t="n">
        <f aca="false">(AD146-AD184)</f>
        <v>-4899.60516857117</v>
      </c>
      <c r="AE223" s="9" t="n">
        <f aca="false">(AE146-AE184)</f>
        <v>15365.2429629981</v>
      </c>
      <c r="AF223" s="9" t="n">
        <f aca="false">(AF146-AF184)</f>
        <v>50555.9926528084</v>
      </c>
      <c r="AG223" s="9" t="n">
        <f aca="false">(AG146-AG184)</f>
        <v>47624.0177686689</v>
      </c>
      <c r="AH223" s="9" t="n">
        <f aca="false">(AH146-AH184)</f>
        <v>55328.9641665724</v>
      </c>
      <c r="AI223" s="9" t="n">
        <f aca="false">(AI146-AI184)</f>
        <v>15106.1062220104</v>
      </c>
      <c r="AJ223" s="9" t="n">
        <f aca="false">(AJ146-AJ184)</f>
        <v>26230.3962360706</v>
      </c>
      <c r="AK223" s="9" t="n">
        <f aca="false">(AK146-AK184)</f>
        <v>73824.6937047608</v>
      </c>
      <c r="AL223" s="9" t="n">
        <f aca="false">(AL146-AL184)</f>
        <v>160393.345507025</v>
      </c>
      <c r="AN223" s="11" t="n">
        <f aca="false">SUM(C223:N223)</f>
        <v>-207238.37477917</v>
      </c>
      <c r="AO223" s="11" t="n">
        <f aca="false">SUM(O223:Z223)</f>
        <v>-360168.959085774</v>
      </c>
      <c r="AP223" s="11" t="n">
        <f aca="false">SUM(AA223:AL223)</f>
        <v>365310.91348276</v>
      </c>
    </row>
    <row r="224" customFormat="false" ht="15" hidden="false" customHeight="false" outlineLevel="0" collapsed="false">
      <c r="A224" s="0" t="s">
        <v>1013</v>
      </c>
      <c r="B224" s="0" t="s">
        <v>230</v>
      </c>
      <c r="C224" s="9" t="n">
        <f aca="false">((C223-C206)-C204)</f>
        <v>-6067.1082984</v>
      </c>
      <c r="D224" s="9" t="n">
        <f aca="false">((D223-D206)-D204)</f>
        <v>-6119.24628408</v>
      </c>
      <c r="E224" s="9" t="n">
        <f aca="false">((E223-E206)-E204)</f>
        <v>-6157.13872666272</v>
      </c>
      <c r="F224" s="9" t="n">
        <f aca="false">((F223-F206)-F204)</f>
        <v>-6187.46796077222</v>
      </c>
      <c r="G224" s="9" t="n">
        <f aca="false">((G223-G206)-G204)</f>
        <v>-16768.8815397869</v>
      </c>
      <c r="H224" s="9" t="n">
        <f aca="false">((H223-H206)-H204)</f>
        <v>-16778.9333752017</v>
      </c>
      <c r="I224" s="9" t="n">
        <f aca="false">((I223-I206)-I204)</f>
        <v>-16804.496730379</v>
      </c>
      <c r="J224" s="9" t="n">
        <f aca="false">((J223-J206)-J204)</f>
        <v>-17593.0105915935</v>
      </c>
      <c r="K224" s="9" t="n">
        <f aca="false">((K223-K206)-K204)</f>
        <v>-24004.2286949308</v>
      </c>
      <c r="L224" s="9" t="n">
        <f aca="false">((L223-L206)-L204)</f>
        <v>-24047.0035125279</v>
      </c>
      <c r="M224" s="9" t="n">
        <f aca="false">((M223-M206)-M204)</f>
        <v>-33840.438498614</v>
      </c>
      <c r="N224" s="9" t="n">
        <f aca="false">((N223-N206)-N204)</f>
        <v>-34137.6205662215</v>
      </c>
      <c r="O224" s="9" t="n">
        <f aca="false">((O223-O206)-O204)</f>
        <v>-36272.9585625559</v>
      </c>
      <c r="P224" s="9" t="n">
        <f aca="false">((P223-P206)-P204)</f>
        <v>-33159.03363394</v>
      </c>
      <c r="Q224" s="9" t="n">
        <f aca="false">((Q223-Q206)-Q204)</f>
        <v>-44332.8922636866</v>
      </c>
      <c r="R224" s="9" t="n">
        <f aca="false">((R223-R206)-R204)</f>
        <v>-28179.7181137904</v>
      </c>
      <c r="S224" s="9" t="n">
        <f aca="false">((S223-S206)-S204)</f>
        <v>-19312.4301430965</v>
      </c>
      <c r="T224" s="9" t="n">
        <f aca="false">((T223-T206)-T204)</f>
        <v>-38148.074661639</v>
      </c>
      <c r="U224" s="9" t="n">
        <f aca="false">((U223-U206)-U204)</f>
        <v>-46869.6289388046</v>
      </c>
      <c r="V224" s="9" t="n">
        <f aca="false">((V223-V206)-V204)</f>
        <v>-35593.8114152595</v>
      </c>
      <c r="W224" s="9" t="n">
        <f aca="false">((W223-W206)-W204)</f>
        <v>-35171.3665121204</v>
      </c>
      <c r="X224" s="9" t="n">
        <f aca="false">((X223-X206)-X204)</f>
        <v>-55226.7017461367</v>
      </c>
      <c r="Y224" s="9" t="n">
        <f aca="false">((Y223-Y206)-Y204)</f>
        <v>-39627.2912742404</v>
      </c>
      <c r="Z224" s="9" t="n">
        <f aca="false">((Z223-Z206)-Z204)</f>
        <v>-31982.2518205039</v>
      </c>
      <c r="AA224" s="9" t="n">
        <f aca="false">((AA223-AA206)-AA204)</f>
        <v>-58163.0434527377</v>
      </c>
      <c r="AB224" s="9" t="n">
        <f aca="false">((AB223-AB206)-AB204)</f>
        <v>-41577.7091175579</v>
      </c>
      <c r="AC224" s="9" t="n">
        <f aca="false">((AC223-AC206)-AC204)</f>
        <v>-22458.2879992879</v>
      </c>
      <c r="AD224" s="9" t="n">
        <f aca="false">((AD223-AD206)-AD204)</f>
        <v>-30699.6051685712</v>
      </c>
      <c r="AE224" s="9" t="n">
        <f aca="false">((AE223-AE206)-AE204)</f>
        <v>-11687.5570370019</v>
      </c>
      <c r="AF224" s="9" t="n">
        <f aca="false">((AF223-AF206)-AF204)</f>
        <v>32275.9926528084</v>
      </c>
      <c r="AG224" s="9" t="n">
        <f aca="false">((AG223-AG206)-AG204)</f>
        <v>21824.0177686689</v>
      </c>
      <c r="AH224" s="9" t="n">
        <f aca="false">((AH223-AH206)-AH204)</f>
        <v>27220.1641665724</v>
      </c>
      <c r="AI224" s="9" t="n">
        <f aca="false">((AI223-AI206)-AI204)</f>
        <v>10106.1062220104</v>
      </c>
      <c r="AJ224" s="9" t="n">
        <f aca="false">((AJ223-AJ206)-AJ204)</f>
        <v>-2449.60376392936</v>
      </c>
      <c r="AK224" s="9" t="n">
        <f aca="false">((AK223-AK206)-AK204)</f>
        <v>29567.0937047608</v>
      </c>
      <c r="AL224" s="9" t="n">
        <f aca="false">((AL223-AL206)-AL204)</f>
        <v>118145.345507025</v>
      </c>
      <c r="AN224" s="11" t="n">
        <f aca="false">SUM(C224:N224)</f>
        <v>-208505.57477917</v>
      </c>
      <c r="AO224" s="11" t="n">
        <f aca="false">SUM(O224:Z224)</f>
        <v>-443876.159085774</v>
      </c>
      <c r="AP224" s="11" t="n">
        <f aca="false">SUM(AA224:AL224)</f>
        <v>72102.9134827602</v>
      </c>
    </row>
    <row r="225" customFormat="false" ht="15" hidden="false" customHeight="false" outlineLevel="0" collapsed="false">
      <c r="A225" s="10" t="s">
        <v>1014</v>
      </c>
      <c r="B225" s="20" t="s">
        <v>230</v>
      </c>
      <c r="C225" s="11" t="n">
        <f aca="false">(C223-C221)</f>
        <v>-104365.441631733</v>
      </c>
      <c r="D225" s="11" t="n">
        <f aca="false">(D223-D221)</f>
        <v>-132317.579617413</v>
      </c>
      <c r="E225" s="11" t="n">
        <f aca="false">(E223-E221)</f>
        <v>-146422.138726663</v>
      </c>
      <c r="F225" s="11" t="n">
        <f aca="false">(F223-F221)</f>
        <v>-161535.801294106</v>
      </c>
      <c r="G225" s="11" t="n">
        <f aca="false">(G223-G221)</f>
        <v>-201883.881539787</v>
      </c>
      <c r="H225" s="11" t="n">
        <f aca="false">(H223-H221)</f>
        <v>-257418.933375202</v>
      </c>
      <c r="I225" s="11" t="n">
        <f aca="false">(I223-I221)</f>
        <v>-277844.496730379</v>
      </c>
      <c r="J225" s="11" t="n">
        <f aca="false">(J223-J221)</f>
        <v>-255033.010591593</v>
      </c>
      <c r="K225" s="11" t="n">
        <f aca="false">(K223-K221)</f>
        <v>-326844.228694931</v>
      </c>
      <c r="L225" s="11" t="n">
        <f aca="false">(L223-L221)</f>
        <v>-372645.336845861</v>
      </c>
      <c r="M225" s="11" t="n">
        <f aca="false">(M223-M221)</f>
        <v>-437797.105165281</v>
      </c>
      <c r="N225" s="11" t="n">
        <f aca="false">(N223-N221)</f>
        <v>-464077.687232888</v>
      </c>
      <c r="O225" s="11" t="n">
        <f aca="false">(O223-O221)</f>
        <v>-568197.958562556</v>
      </c>
      <c r="P225" s="11" t="n">
        <f aca="false">(P223-P221)</f>
        <v>-605290.700300607</v>
      </c>
      <c r="Q225" s="11" t="n">
        <f aca="false">(Q223-Q221)</f>
        <v>-644880.02559702</v>
      </c>
      <c r="R225" s="11" t="n">
        <f aca="false">(R223-R221)</f>
        <v>-621898.051447124</v>
      </c>
      <c r="S225" s="11" t="n">
        <f aca="false">(S223-S221)</f>
        <v>-600110.76347643</v>
      </c>
      <c r="T225" s="11" t="n">
        <f aca="false">(T223-T221)</f>
        <v>-644246.407994972</v>
      </c>
      <c r="U225" s="11" t="n">
        <f aca="false">(U223-U221)</f>
        <v>-671397.962272138</v>
      </c>
      <c r="V225" s="11" t="n">
        <f aca="false">(V223-V221)</f>
        <v>-680261.644748593</v>
      </c>
      <c r="W225" s="11" t="n">
        <f aca="false">(W223-W221)</f>
        <v>-716011.366512121</v>
      </c>
      <c r="X225" s="11" t="n">
        <f aca="false">(X223-X221)</f>
        <v>-782396.701746137</v>
      </c>
      <c r="Y225" s="11" t="n">
        <f aca="false">(Y223-Y221)</f>
        <v>-758654.891274241</v>
      </c>
      <c r="Z225" s="11" t="n">
        <f aca="false">(Z223-Z221)</f>
        <v>-816633.916353837</v>
      </c>
      <c r="AA225" s="11" t="n">
        <f aca="false">(AA223-AA221)</f>
        <v>-883230.543452738</v>
      </c>
      <c r="AB225" s="11" t="n">
        <f aca="false">(AB223-AB221)</f>
        <v>-911795.309117558</v>
      </c>
      <c r="AC225" s="11" t="n">
        <f aca="false">(AC223-AC221)</f>
        <v>-887536.893065954</v>
      </c>
      <c r="AD225" s="11" t="n">
        <f aca="false">(AD223-AD221)</f>
        <v>-950527.105168571</v>
      </c>
      <c r="AE225" s="11" t="n">
        <f aca="false">(AE223-AE221)</f>
        <v>-896129.157037002</v>
      </c>
      <c r="AF225" s="11" t="n">
        <f aca="false">(AF223-AF221)</f>
        <v>-863861.507347192</v>
      </c>
      <c r="AG225" s="11" t="n">
        <f aca="false">(AG223-AG221)</f>
        <v>-876103.482231331</v>
      </c>
      <c r="AH225" s="11" t="n">
        <f aca="false">(AH223-AH221)</f>
        <v>-899693.711833428</v>
      </c>
      <c r="AI225" s="11" t="n">
        <f aca="false">(AI223-AI221)</f>
        <v>-934988.060444656</v>
      </c>
      <c r="AJ225" s="11" t="n">
        <f aca="false">(AJ223-AJ221)</f>
        <v>-954803.770430596</v>
      </c>
      <c r="AK225" s="11" t="n">
        <f aca="false">(AK223-AK221)</f>
        <v>-942312.596428573</v>
      </c>
      <c r="AL225" s="11" t="n">
        <f aca="false">(AL223-AL221)</f>
        <v>-841369.912427908</v>
      </c>
      <c r="AN225" s="11" t="n">
        <f aca="false">SUM(C225:N225)</f>
        <v>-3138185.64144584</v>
      </c>
      <c r="AO225" s="11" t="n">
        <f aca="false">SUM(O225:Z225)</f>
        <v>-8109980.39028577</v>
      </c>
      <c r="AP225" s="11" t="n">
        <f aca="false">SUM(AA225:AL225)</f>
        <v>-10842352.0489855</v>
      </c>
    </row>
    <row r="226" customFormat="false" ht="15" hidden="false" customHeight="false" outlineLevel="0" collapsed="false">
      <c r="A226" s="10" t="s">
        <v>44</v>
      </c>
      <c r="B226" s="20" t="s">
        <v>230</v>
      </c>
      <c r="C226" s="11" t="n">
        <f aca="false">((C153-C184)-C221)</f>
        <v>-104365.441631733</v>
      </c>
      <c r="D226" s="11" t="n">
        <f aca="false">((D153-D184)-D221)</f>
        <v>-132317.579617413</v>
      </c>
      <c r="E226" s="11" t="n">
        <f aca="false">((E153-E184)-E221)</f>
        <v>-146422.138726663</v>
      </c>
      <c r="F226" s="11" t="n">
        <f aca="false">((F153-F184)-F221)</f>
        <v>-161535.801294106</v>
      </c>
      <c r="G226" s="11" t="n">
        <f aca="false">((G153-G184)-G221)</f>
        <v>-201883.881539787</v>
      </c>
      <c r="H226" s="11" t="n">
        <f aca="false">((H153-H184)-H221)</f>
        <v>-257418.933375202</v>
      </c>
      <c r="I226" s="11" t="n">
        <f aca="false">((I153-I184)-I221)</f>
        <v>-277844.496730379</v>
      </c>
      <c r="J226" s="11" t="n">
        <f aca="false">((J153-J184)-J221)</f>
        <v>-255033.010591593</v>
      </c>
      <c r="K226" s="11" t="n">
        <f aca="false">((K153-K184)-K221)</f>
        <v>-326844.228694931</v>
      </c>
      <c r="L226" s="11" t="n">
        <f aca="false">((L153-L184)-L221)</f>
        <v>-372645.336845861</v>
      </c>
      <c r="M226" s="11" t="n">
        <f aca="false">((M153-M184)-M221)</f>
        <v>-437797.105165281</v>
      </c>
      <c r="N226" s="11" t="n">
        <f aca="false">((N153-N184)-N221)</f>
        <v>-465397.687232888</v>
      </c>
      <c r="O226" s="11" t="n">
        <f aca="false">((O153-O184)-O221)</f>
        <v>-578922.315256531</v>
      </c>
      <c r="P226" s="11" t="n">
        <f aca="false">((P153-P184)-P221)</f>
        <v>-600224.247244511</v>
      </c>
      <c r="Q226" s="11" t="n">
        <f aca="false">((Q153-Q184)-Q221)</f>
        <v>-623522.866644918</v>
      </c>
      <c r="R226" s="11" t="n">
        <f aca="false">((R153-R184)-R221)</f>
        <v>-658974.331529602</v>
      </c>
      <c r="S226" s="11" t="n">
        <f aca="false">((S153-S184)-S221)</f>
        <v>-592735.921436973</v>
      </c>
      <c r="T226" s="11" t="n">
        <f aca="false">((T153-T184)-T221)</f>
        <v>-570429.231649724</v>
      </c>
      <c r="U226" s="11" t="n">
        <f aca="false">((U153-U184)-U221)</f>
        <v>-722981.195135633</v>
      </c>
      <c r="V226" s="11" t="n">
        <f aca="false">((V153-V184)-V221)</f>
        <v>-732636.458205365</v>
      </c>
      <c r="W226" s="11" t="n">
        <f aca="false">((W153-W184)-W221)</f>
        <v>-621786.899162692</v>
      </c>
      <c r="X226" s="11" t="n">
        <f aca="false">((X153-X184)-X221)</f>
        <v>-827757.519637353</v>
      </c>
      <c r="Y226" s="11" t="n">
        <f aca="false">((Y153-Y184)-Y221)</f>
        <v>-825619.017776837</v>
      </c>
      <c r="Z226" s="11" t="n">
        <f aca="false">((Z153-Z184)-Z221)</f>
        <v>-737082.600818412</v>
      </c>
      <c r="AA226" s="11" t="n">
        <f aca="false">((AA153-AA184)-AA221)</f>
        <v>-876787.762253585</v>
      </c>
      <c r="AB226" s="11" t="n">
        <f aca="false">((AB153-AB184)-AB221)</f>
        <v>-1000579.00291229</v>
      </c>
      <c r="AC226" s="11" t="n">
        <f aca="false">((AC153-AC184)-AC221)</f>
        <v>-809174.240792562</v>
      </c>
      <c r="AD226" s="11" t="n">
        <f aca="false">((AD153-AD184)-AD221)</f>
        <v>-865289.124081984</v>
      </c>
      <c r="AE226" s="11" t="n">
        <f aca="false">((AE153-AE184)-AE221)</f>
        <v>-1001227.85071664</v>
      </c>
      <c r="AF226" s="11" t="n">
        <f aca="false">((AF153-AF184)-AF221)</f>
        <v>-799968.431961832</v>
      </c>
      <c r="AG226" s="11" t="n">
        <f aca="false">((AG153-AG184)-AG221)</f>
        <v>-815896.469239045</v>
      </c>
      <c r="AH226" s="11" t="n">
        <f aca="false">((AH153-AH184)-AH221)</f>
        <v>-949495.294406506</v>
      </c>
      <c r="AI226" s="11" t="n">
        <f aca="false">((AI153-AI184)-AI221)</f>
        <v>-856250.069135561</v>
      </c>
      <c r="AJ226" s="11" t="n">
        <f aca="false">((AJ153-AJ184)-AJ221)</f>
        <v>-862001.939255481</v>
      </c>
      <c r="AK226" s="11" t="n">
        <f aca="false">((AK153-AK184)-AK221)</f>
        <v>-1179256.66884032</v>
      </c>
      <c r="AL226" s="11" t="n">
        <f aca="false">((AL153-AL184)-AL221)</f>
        <v>-872099.601953737</v>
      </c>
      <c r="AN226" s="11" t="n">
        <f aca="false">SUM(C226:N226)</f>
        <v>-3139505.64144584</v>
      </c>
      <c r="AO226" s="11" t="n">
        <f aca="false">SUM(O226:Z226)</f>
        <v>-8092672.60449855</v>
      </c>
      <c r="AP226" s="11" t="n">
        <f aca="false">SUM(AA226:AL226)</f>
        <v>-10888026.4555495</v>
      </c>
    </row>
    <row r="227" customFormat="false" ht="15" hidden="false" customHeight="false" outlineLevel="0" collapsed="false">
      <c r="A227" s="0" t="s">
        <v>45</v>
      </c>
      <c r="B227" s="0" t="s">
        <v>230</v>
      </c>
      <c r="C227" s="9" t="n">
        <f aca="false">(0+C226)</f>
        <v>-104365.441631733</v>
      </c>
      <c r="D227" s="9" t="n">
        <f aca="false">(C227+D226)</f>
        <v>-236683.021249147</v>
      </c>
      <c r="E227" s="9" t="n">
        <f aca="false">(D227+E226)</f>
        <v>-383105.159975809</v>
      </c>
      <c r="F227" s="9" t="n">
        <f aca="false">(E227+F226)</f>
        <v>-544640.961269915</v>
      </c>
      <c r="G227" s="9" t="n">
        <f aca="false">(F227+G226)</f>
        <v>-746524.842809702</v>
      </c>
      <c r="H227" s="9" t="n">
        <f aca="false">(G227+H226)</f>
        <v>-1003943.7761849</v>
      </c>
      <c r="I227" s="9" t="n">
        <f aca="false">(H227+I226)</f>
        <v>-1281788.27291528</v>
      </c>
      <c r="J227" s="9" t="n">
        <f aca="false">(I227+J226)</f>
        <v>-1536821.28350688</v>
      </c>
      <c r="K227" s="9" t="n">
        <f aca="false">(J227+K226)</f>
        <v>-1863665.51220181</v>
      </c>
      <c r="L227" s="9" t="n">
        <f aca="false">(K227+L226)</f>
        <v>-2236310.84904767</v>
      </c>
      <c r="M227" s="9" t="n">
        <f aca="false">(L227+M226)</f>
        <v>-2674107.95421295</v>
      </c>
      <c r="N227" s="9" t="n">
        <f aca="false">(M227+N226)</f>
        <v>-3139505.64144584</v>
      </c>
      <c r="O227" s="9" t="n">
        <f aca="false">(N227+O226)</f>
        <v>-3718427.95670237</v>
      </c>
      <c r="P227" s="9" t="n">
        <f aca="false">(O227+P226)</f>
        <v>-4318652.20394688</v>
      </c>
      <c r="Q227" s="9" t="n">
        <f aca="false">(P227+Q226)</f>
        <v>-4942175.0705918</v>
      </c>
      <c r="R227" s="9" t="n">
        <f aca="false">(Q227+R226)</f>
        <v>-5601149.4021214</v>
      </c>
      <c r="S227" s="9" t="n">
        <f aca="false">(R227+S226)</f>
        <v>-6193885.32355837</v>
      </c>
      <c r="T227" s="9" t="n">
        <f aca="false">(S227+T226)</f>
        <v>-6764314.5552081</v>
      </c>
      <c r="U227" s="9" t="n">
        <f aca="false">(T227+U226)</f>
        <v>-7487295.75034373</v>
      </c>
      <c r="V227" s="9" t="n">
        <f aca="false">(U227+V226)</f>
        <v>-8219932.20854909</v>
      </c>
      <c r="W227" s="9" t="n">
        <f aca="false">(V227+W226)</f>
        <v>-8841719.10771179</v>
      </c>
      <c r="X227" s="9" t="n">
        <f aca="false">(W227+X226)</f>
        <v>-9669476.62734914</v>
      </c>
      <c r="Y227" s="9" t="n">
        <f aca="false">(X227+Y226)</f>
        <v>-10495095.645126</v>
      </c>
      <c r="Z227" s="9" t="n">
        <f aca="false">(Y227+Z226)</f>
        <v>-11232178.2459444</v>
      </c>
      <c r="AA227" s="9" t="n">
        <f aca="false">(Z227+AA226)</f>
        <v>-12108966.008198</v>
      </c>
      <c r="AB227" s="9" t="n">
        <f aca="false">(AA227+AB226)</f>
        <v>-13109545.0111103</v>
      </c>
      <c r="AC227" s="9" t="n">
        <f aca="false">(AB227+AC226)</f>
        <v>-13918719.2519028</v>
      </c>
      <c r="AD227" s="9" t="n">
        <f aca="false">(AC227+AD226)</f>
        <v>-14784008.3759848</v>
      </c>
      <c r="AE227" s="9" t="n">
        <f aca="false">(AD227+AE226)</f>
        <v>-15785236.2267015</v>
      </c>
      <c r="AF227" s="9" t="n">
        <f aca="false">(AE227+AF226)</f>
        <v>-16585204.6586633</v>
      </c>
      <c r="AG227" s="9" t="n">
        <f aca="false">(AF227+AG226)</f>
        <v>-17401101.1279023</v>
      </c>
      <c r="AH227" s="9" t="n">
        <f aca="false">(AG227+AH226)</f>
        <v>-18350596.4223088</v>
      </c>
      <c r="AI227" s="9" t="n">
        <f aca="false">(AH227+AI226)</f>
        <v>-19206846.4914444</v>
      </c>
      <c r="AJ227" s="9" t="n">
        <f aca="false">(AI227+AJ226)</f>
        <v>-20068848.4306999</v>
      </c>
      <c r="AK227" s="9" t="n">
        <f aca="false">(AJ227+AK226)</f>
        <v>-21248105.0995402</v>
      </c>
      <c r="AL227" s="9" t="n">
        <f aca="false">(AK227+AL226)</f>
        <v>-22120204.7014939</v>
      </c>
      <c r="AN227" s="11" t="n">
        <f aca="false">N227</f>
        <v>-3139505.64144584</v>
      </c>
      <c r="AO227" s="11" t="n">
        <f aca="false">Z227</f>
        <v>-11232178.2459444</v>
      </c>
      <c r="AP227" s="11" t="n">
        <f aca="false">AL227</f>
        <v>-22120204.7014939</v>
      </c>
    </row>
    <row r="228" customFormat="false" ht="15" hidden="false" customHeight="false" outlineLevel="0" collapsed="false">
      <c r="A228" s="10" t="s">
        <v>1015</v>
      </c>
      <c r="B228" s="20" t="s">
        <v>230</v>
      </c>
      <c r="C228" s="11" t="n">
        <f aca="false">(Assumptions!$C$104+C227)</f>
        <v>2895634.55836827</v>
      </c>
      <c r="D228" s="11" t="n">
        <f aca="false">(Assumptions!$C$104+D227)</f>
        <v>2763316.97875085</v>
      </c>
      <c r="E228" s="11" t="n">
        <f aca="false">(Assumptions!$C$104+E227)</f>
        <v>2616894.84002419</v>
      </c>
      <c r="F228" s="11" t="n">
        <f aca="false">(Assumptions!$C$104+F227)</f>
        <v>2455359.03873009</v>
      </c>
      <c r="G228" s="11" t="n">
        <f aca="false">(Assumptions!$C$104+G227)</f>
        <v>2253475.1571903</v>
      </c>
      <c r="H228" s="11" t="n">
        <f aca="false">(Assumptions!$C$104+H227)</f>
        <v>1996056.2238151</v>
      </c>
      <c r="I228" s="11" t="n">
        <f aca="false">(Assumptions!$C$104+I227)</f>
        <v>1718211.72708472</v>
      </c>
      <c r="J228" s="11" t="n">
        <f aca="false">(Assumptions!$C$104+J227)</f>
        <v>1463178.71649312</v>
      </c>
      <c r="K228" s="11" t="n">
        <f aca="false">(Assumptions!$C$104+K227)</f>
        <v>1136334.48779819</v>
      </c>
      <c r="L228" s="11" t="n">
        <f aca="false">(Assumptions!$C$104+L227)</f>
        <v>763689.150952332</v>
      </c>
      <c r="M228" s="11" t="n">
        <f aca="false">(Assumptions!$C$104+M227)</f>
        <v>325892.045787051</v>
      </c>
      <c r="N228" s="11" t="n">
        <f aca="false">(Assumptions!$C$104+N227)</f>
        <v>-139505.641445837</v>
      </c>
      <c r="O228" s="11" t="n">
        <f aca="false">(Assumptions!$C$104+O227)</f>
        <v>-718427.956702368</v>
      </c>
      <c r="P228" s="11" t="n">
        <f aca="false">(Assumptions!$C$104+P227)</f>
        <v>-1318652.20394688</v>
      </c>
      <c r="Q228" s="11" t="n">
        <f aca="false">(Assumptions!$C$104+Q227)</f>
        <v>-1942175.0705918</v>
      </c>
      <c r="R228" s="11" t="n">
        <f aca="false">(Assumptions!$C$104+R227)</f>
        <v>-2601149.4021214</v>
      </c>
      <c r="S228" s="11" t="n">
        <f aca="false">(Assumptions!$C$104+S227)</f>
        <v>-3193885.32355837</v>
      </c>
      <c r="T228" s="11" t="n">
        <f aca="false">(Assumptions!$C$104+T227)</f>
        <v>-3764314.5552081</v>
      </c>
      <c r="U228" s="11" t="n">
        <f aca="false">(Assumptions!$C$104+U227)</f>
        <v>-4487295.75034373</v>
      </c>
      <c r="V228" s="11" t="n">
        <f aca="false">(Assumptions!$C$104+V227)</f>
        <v>-5219932.20854909</v>
      </c>
      <c r="W228" s="11" t="n">
        <f aca="false">(Assumptions!$C$104+W227)</f>
        <v>-5841719.10771179</v>
      </c>
      <c r="X228" s="11" t="n">
        <f aca="false">(Assumptions!$C$104+X227)</f>
        <v>-6669476.62734914</v>
      </c>
      <c r="Y228" s="11" t="n">
        <f aca="false">(Assumptions!$C$104+Y227)</f>
        <v>-7495095.64512598</v>
      </c>
      <c r="Z228" s="11" t="n">
        <f aca="false">(Assumptions!$C$104+Z227)</f>
        <v>-8232178.24594439</v>
      </c>
      <c r="AA228" s="11" t="n">
        <f aca="false">(Assumptions!$C$104+AA227)</f>
        <v>-9108966.00819797</v>
      </c>
      <c r="AB228" s="11" t="n">
        <f aca="false">(Assumptions!$C$104+AB227)</f>
        <v>-10109545.0111103</v>
      </c>
      <c r="AC228" s="11" t="n">
        <f aca="false">(Assumptions!$C$104+AC227)</f>
        <v>-10918719.2519028</v>
      </c>
      <c r="AD228" s="11" t="n">
        <f aca="false">(Assumptions!$C$104+AD227)</f>
        <v>-11784008.3759848</v>
      </c>
      <c r="AE228" s="11" t="n">
        <f aca="false">(Assumptions!$C$104+AE227)</f>
        <v>-12785236.2267015</v>
      </c>
      <c r="AF228" s="11" t="n">
        <f aca="false">(Assumptions!$C$104+AF227)</f>
        <v>-13585204.6586633</v>
      </c>
      <c r="AG228" s="11" t="n">
        <f aca="false">(Assumptions!$C$104+AG227)</f>
        <v>-14401101.1279023</v>
      </c>
      <c r="AH228" s="11" t="n">
        <f aca="false">(Assumptions!$C$104+AH227)</f>
        <v>-15350596.4223088</v>
      </c>
      <c r="AI228" s="11" t="n">
        <f aca="false">(Assumptions!$C$104+AI227)</f>
        <v>-16206846.4914444</v>
      </c>
      <c r="AJ228" s="11" t="n">
        <f aca="false">(Assumptions!$C$104+AJ227)</f>
        <v>-17068848.4306999</v>
      </c>
      <c r="AK228" s="11" t="n">
        <f aca="false">(Assumptions!$C$104+AK227)</f>
        <v>-18248105.0995402</v>
      </c>
      <c r="AL228" s="11" t="n">
        <f aca="false">(Assumptions!$C$104+AL227)</f>
        <v>-19120204.7014939</v>
      </c>
      <c r="AN228" s="11" t="n">
        <f aca="false">N228</f>
        <v>-139505.641445837</v>
      </c>
      <c r="AO228" s="11" t="n">
        <f aca="false">Z228</f>
        <v>-8232178.24594439</v>
      </c>
      <c r="AP228" s="11" t="n">
        <f aca="false">AL228</f>
        <v>-19120204.7014939</v>
      </c>
    </row>
    <row r="229" customFormat="false" ht="15" hidden="false" customHeight="false" outlineLevel="0" collapsed="false">
      <c r="A229" s="0" t="s">
        <v>1016</v>
      </c>
      <c r="B229" s="0" t="s">
        <v>1017</v>
      </c>
      <c r="C229" s="9" t="n">
        <f aca="false">IF((C228&lt;0),1,0)</f>
        <v>0</v>
      </c>
      <c r="D229" s="9" t="n">
        <f aca="false">IF((D228&lt;0),1,0)</f>
        <v>0</v>
      </c>
      <c r="E229" s="9" t="n">
        <f aca="false">IF((E228&lt;0),1,0)</f>
        <v>0</v>
      </c>
      <c r="F229" s="9" t="n">
        <f aca="false">IF((F228&lt;0),1,0)</f>
        <v>0</v>
      </c>
      <c r="G229" s="9" t="n">
        <f aca="false">IF((G228&lt;0),1,0)</f>
        <v>0</v>
      </c>
      <c r="H229" s="9" t="n">
        <f aca="false">IF((H228&lt;0),1,0)</f>
        <v>0</v>
      </c>
      <c r="I229" s="9" t="n">
        <f aca="false">IF((I228&lt;0),1,0)</f>
        <v>0</v>
      </c>
      <c r="J229" s="9" t="n">
        <f aca="false">IF((J228&lt;0),1,0)</f>
        <v>0</v>
      </c>
      <c r="K229" s="9" t="n">
        <f aca="false">IF((K228&lt;0),1,0)</f>
        <v>0</v>
      </c>
      <c r="L229" s="9" t="n">
        <f aca="false">IF((L228&lt;0),1,0)</f>
        <v>0</v>
      </c>
      <c r="M229" s="9" t="n">
        <f aca="false">IF((M228&lt;0),1,0)</f>
        <v>0</v>
      </c>
      <c r="N229" s="9" t="n">
        <f aca="false">IF((N228&lt;0),1,0)</f>
        <v>1</v>
      </c>
      <c r="O229" s="9" t="n">
        <f aca="false">IF((O228&lt;0),1,0)</f>
        <v>1</v>
      </c>
      <c r="P229" s="9" t="n">
        <f aca="false">IF((P228&lt;0),1,0)</f>
        <v>1</v>
      </c>
      <c r="Q229" s="9" t="n">
        <f aca="false">IF((Q228&lt;0),1,0)</f>
        <v>1</v>
      </c>
      <c r="R229" s="9" t="n">
        <f aca="false">IF((R228&lt;0),1,0)</f>
        <v>1</v>
      </c>
      <c r="S229" s="9" t="n">
        <f aca="false">IF((S228&lt;0),1,0)</f>
        <v>1</v>
      </c>
      <c r="T229" s="9" t="n">
        <f aca="false">IF((T228&lt;0),1,0)</f>
        <v>1</v>
      </c>
      <c r="U229" s="9" t="n">
        <f aca="false">IF((U228&lt;0),1,0)</f>
        <v>1</v>
      </c>
      <c r="V229" s="9" t="n">
        <f aca="false">IF((V228&lt;0),1,0)</f>
        <v>1</v>
      </c>
      <c r="W229" s="9" t="n">
        <f aca="false">IF((W228&lt;0),1,0)</f>
        <v>1</v>
      </c>
      <c r="X229" s="9" t="n">
        <f aca="false">IF((X228&lt;0),1,0)</f>
        <v>1</v>
      </c>
      <c r="Y229" s="9" t="n">
        <f aca="false">IF((Y228&lt;0),1,0)</f>
        <v>1</v>
      </c>
      <c r="Z229" s="9" t="n">
        <f aca="false">IF((Z228&lt;0),1,0)</f>
        <v>1</v>
      </c>
      <c r="AA229" s="9" t="n">
        <f aca="false">IF((AA228&lt;0),1,0)</f>
        <v>1</v>
      </c>
      <c r="AB229" s="9" t="n">
        <f aca="false">IF((AB228&lt;0),1,0)</f>
        <v>1</v>
      </c>
      <c r="AC229" s="9" t="n">
        <f aca="false">IF((AC228&lt;0),1,0)</f>
        <v>1</v>
      </c>
      <c r="AD229" s="9" t="n">
        <f aca="false">IF((AD228&lt;0),1,0)</f>
        <v>1</v>
      </c>
      <c r="AE229" s="9" t="n">
        <f aca="false">IF((AE228&lt;0),1,0)</f>
        <v>1</v>
      </c>
      <c r="AF229" s="9" t="n">
        <f aca="false">IF((AF228&lt;0),1,0)</f>
        <v>1</v>
      </c>
      <c r="AG229" s="9" t="n">
        <f aca="false">IF((AG228&lt;0),1,0)</f>
        <v>1</v>
      </c>
      <c r="AH229" s="9" t="n">
        <f aca="false">IF((AH228&lt;0),1,0)</f>
        <v>1</v>
      </c>
      <c r="AI229" s="9" t="n">
        <f aca="false">IF((AI228&lt;0),1,0)</f>
        <v>1</v>
      </c>
      <c r="AJ229" s="9" t="n">
        <f aca="false">IF((AJ228&lt;0),1,0)</f>
        <v>1</v>
      </c>
      <c r="AK229" s="9" t="n">
        <f aca="false">IF((AK228&lt;0),1,0)</f>
        <v>1</v>
      </c>
      <c r="AL229" s="9" t="n">
        <f aca="false">IF((AL228&lt;0),1,0)</f>
        <v>1</v>
      </c>
    </row>
    <row r="230" customFormat="false" ht="15" hidden="false" customHeight="false" outlineLevel="0" collapsed="false">
      <c r="A230" s="0" t="s">
        <v>1018</v>
      </c>
      <c r="B230" s="0" t="s">
        <v>230</v>
      </c>
      <c r="C230" s="9" t="n">
        <f aca="false">(C133*Assumptions!$C$37)</f>
        <v>0</v>
      </c>
      <c r="D230" s="9" t="n">
        <f aca="false">(D133*Assumptions!$C$37)</f>
        <v>0</v>
      </c>
      <c r="E230" s="9" t="n">
        <f aca="false">(E133*Assumptions!$C$37)</f>
        <v>0</v>
      </c>
      <c r="F230" s="9" t="n">
        <f aca="false">(F133*Assumptions!$C$37)</f>
        <v>0</v>
      </c>
      <c r="G230" s="9" t="n">
        <f aca="false">(G133*Assumptions!$C$37)</f>
        <v>9775</v>
      </c>
      <c r="H230" s="9" t="n">
        <f aca="false">(H133*Assumptions!$C$37)</f>
        <v>0</v>
      </c>
      <c r="I230" s="9" t="n">
        <f aca="false">(I133*Assumptions!$C$37)</f>
        <v>0</v>
      </c>
      <c r="J230" s="9" t="n">
        <f aca="false">(J133*Assumptions!$C$37)</f>
        <v>28050</v>
      </c>
      <c r="K230" s="9" t="n">
        <f aca="false">(K133*Assumptions!$C$37)</f>
        <v>0</v>
      </c>
      <c r="L230" s="9" t="n">
        <f aca="false">(L133*Assumptions!$C$37)</f>
        <v>0</v>
      </c>
      <c r="M230" s="9" t="n">
        <f aca="false">(M133*Assumptions!$C$37)</f>
        <v>0</v>
      </c>
      <c r="N230" s="9" t="n">
        <f aca="false">(N133*Assumptions!$C$37)</f>
        <v>0</v>
      </c>
      <c r="O230" s="9" t="n">
        <f aca="false">(O133*Assumptions!$C$37)</f>
        <v>13515</v>
      </c>
      <c r="P230" s="9" t="n">
        <f aca="false">(P133*Assumptions!$C$37)</f>
        <v>0</v>
      </c>
      <c r="Q230" s="9" t="n">
        <f aca="false">(Q133*Assumptions!$C$37)</f>
        <v>0</v>
      </c>
      <c r="R230" s="9" t="n">
        <f aca="false">(R133*Assumptions!$C$37)</f>
        <v>45305</v>
      </c>
      <c r="S230" s="9" t="n">
        <f aca="false">(S133*Assumptions!$C$37)</f>
        <v>0</v>
      </c>
      <c r="T230" s="9" t="n">
        <f aca="false">(T133*Assumptions!$C$37)</f>
        <v>0</v>
      </c>
      <c r="U230" s="9" t="n">
        <f aca="false">(U133*Assumptions!$C$37)</f>
        <v>58820</v>
      </c>
      <c r="V230" s="9" t="n">
        <f aca="false">(V133*Assumptions!$C$37)</f>
        <v>0</v>
      </c>
      <c r="W230" s="9" t="n">
        <f aca="false">(W133*Assumptions!$C$37)</f>
        <v>0</v>
      </c>
      <c r="X230" s="9" t="n">
        <f aca="false">(X133*Assumptions!$C$37)</f>
        <v>58820</v>
      </c>
      <c r="Y230" s="9" t="n">
        <f aca="false">(Y133*Assumptions!$C$37)</f>
        <v>13515</v>
      </c>
      <c r="Z230" s="9" t="n">
        <f aca="false">(Z133*Assumptions!$C$37)</f>
        <v>0</v>
      </c>
      <c r="AA230" s="9" t="n">
        <f aca="false">(AA133*Assumptions!$C$37)</f>
        <v>72335</v>
      </c>
      <c r="AB230" s="9" t="n">
        <f aca="false">(AB133*Assumptions!$C$37)</f>
        <v>45305</v>
      </c>
      <c r="AC230" s="9" t="n">
        <f aca="false">(AC133*Assumptions!$C$37)</f>
        <v>0</v>
      </c>
      <c r="AD230" s="9" t="n">
        <f aca="false">(AD133*Assumptions!$C$37)</f>
        <v>104125</v>
      </c>
      <c r="AE230" s="9" t="n">
        <f aca="false">(AE133*Assumptions!$C$37)</f>
        <v>58820</v>
      </c>
      <c r="AF230" s="9" t="n">
        <f aca="false">(AF133*Assumptions!$C$37)</f>
        <v>71740</v>
      </c>
      <c r="AG230" s="9" t="n">
        <f aca="false">(AG133*Assumptions!$C$37)</f>
        <v>104125</v>
      </c>
      <c r="AH230" s="9" t="n">
        <f aca="false">(AH133*Assumptions!$C$37)</f>
        <v>58820</v>
      </c>
      <c r="AI230" s="9" t="n">
        <f aca="false">(AI133*Assumptions!$C$37)</f>
        <v>0</v>
      </c>
      <c r="AJ230" s="9" t="n">
        <f aca="false">(AJ133*Assumptions!$C$37)</f>
        <v>117640</v>
      </c>
      <c r="AK230" s="9" t="n">
        <f aca="false">(AK133*Assumptions!$C$37)</f>
        <v>104125</v>
      </c>
      <c r="AL230" s="9" t="n">
        <f aca="false">(AL133*Assumptions!$C$37)</f>
        <v>143480</v>
      </c>
      <c r="AN230" s="11" t="n">
        <f aca="false">SUM(C230:N230)</f>
        <v>37825</v>
      </c>
      <c r="AO230" s="11" t="n">
        <f aca="false">SUM(O230:Z230)</f>
        <v>189975</v>
      </c>
      <c r="AP230" s="11" t="n">
        <f aca="false">SUM(AA230:AL230)</f>
        <v>880515</v>
      </c>
    </row>
    <row r="231" customFormat="false" ht="15" hidden="false" customHeight="false" outlineLevel="0" collapsed="false">
      <c r="A231" s="0" t="s">
        <v>1019</v>
      </c>
      <c r="B231" s="0" t="s">
        <v>285</v>
      </c>
      <c r="C231" s="9" t="n">
        <f aca="false">(C197*Assumptions!$C$38)</f>
        <v>0</v>
      </c>
      <c r="D231" s="9" t="n">
        <f aca="false">(D197*Assumptions!$C$38)</f>
        <v>0</v>
      </c>
      <c r="E231" s="9" t="n">
        <f aca="false">(E197*Assumptions!$C$38)</f>
        <v>0</v>
      </c>
      <c r="F231" s="9" t="n">
        <f aca="false">(F197*Assumptions!$C$38)</f>
        <v>0</v>
      </c>
      <c r="G231" s="9" t="n">
        <f aca="false">(G197*Assumptions!$C$38)</f>
        <v>110</v>
      </c>
      <c r="H231" s="9" t="n">
        <f aca="false">(H197*Assumptions!$C$38)</f>
        <v>110</v>
      </c>
      <c r="I231" s="9" t="n">
        <f aca="false">(I197*Assumptions!$C$38)</f>
        <v>110</v>
      </c>
      <c r="J231" s="9" t="n">
        <f aca="false">(J197*Assumptions!$C$38)</f>
        <v>110</v>
      </c>
      <c r="K231" s="9" t="n">
        <f aca="false">(K197*Assumptions!$C$38)</f>
        <v>110</v>
      </c>
      <c r="L231" s="9" t="n">
        <f aca="false">(L197*Assumptions!$C$38)</f>
        <v>110</v>
      </c>
      <c r="M231" s="9" t="n">
        <f aca="false">(M197*Assumptions!$C$38)</f>
        <v>220</v>
      </c>
      <c r="N231" s="9" t="n">
        <f aca="false">(N197*Assumptions!$C$38)</f>
        <v>220</v>
      </c>
      <c r="O231" s="9" t="n">
        <f aca="false">(O197*Assumptions!$C$38)</f>
        <v>220</v>
      </c>
      <c r="P231" s="9" t="n">
        <f aca="false">(P197*Assumptions!$C$38)</f>
        <v>220</v>
      </c>
      <c r="Q231" s="9" t="n">
        <f aca="false">(Q197*Assumptions!$C$38)</f>
        <v>330</v>
      </c>
      <c r="R231" s="9" t="n">
        <f aca="false">(R197*Assumptions!$C$38)</f>
        <v>330</v>
      </c>
      <c r="S231" s="9" t="n">
        <f aca="false">(S197*Assumptions!$C$38)</f>
        <v>330</v>
      </c>
      <c r="T231" s="9" t="n">
        <f aca="false">(T197*Assumptions!$C$38)</f>
        <v>330</v>
      </c>
      <c r="U231" s="9" t="n">
        <f aca="false">(U197*Assumptions!$C$38)</f>
        <v>440</v>
      </c>
      <c r="V231" s="9" t="n">
        <f aca="false">(V197*Assumptions!$C$38)</f>
        <v>440</v>
      </c>
      <c r="W231" s="9" t="n">
        <f aca="false">(W197*Assumptions!$C$38)</f>
        <v>440</v>
      </c>
      <c r="X231" s="9" t="n">
        <f aca="false">(X197*Assumptions!$C$38)</f>
        <v>550</v>
      </c>
      <c r="Y231" s="9" t="n">
        <f aca="false">(Y197*Assumptions!$C$38)</f>
        <v>550</v>
      </c>
      <c r="Z231" s="9" t="n">
        <f aca="false">(Z197*Assumptions!$C$38)</f>
        <v>550</v>
      </c>
      <c r="AA231" s="9" t="n">
        <f aca="false">(AA197*Assumptions!$C$38)</f>
        <v>660</v>
      </c>
      <c r="AB231" s="9" t="n">
        <f aca="false">(AB197*Assumptions!$C$38)</f>
        <v>660</v>
      </c>
      <c r="AC231" s="9" t="n">
        <f aca="false">(AC197*Assumptions!$C$38)</f>
        <v>660</v>
      </c>
      <c r="AD231" s="9" t="n">
        <f aca="false">(AD197*Assumptions!$C$38)</f>
        <v>770</v>
      </c>
      <c r="AE231" s="9" t="n">
        <f aca="false">(AE197*Assumptions!$C$38)</f>
        <v>770</v>
      </c>
      <c r="AF231" s="9" t="n">
        <f aca="false">(AF197*Assumptions!$C$38)</f>
        <v>770</v>
      </c>
      <c r="AG231" s="9" t="n">
        <f aca="false">(AG197*Assumptions!$C$38)</f>
        <v>880</v>
      </c>
      <c r="AH231" s="9" t="n">
        <f aca="false">(AH197*Assumptions!$C$38)</f>
        <v>880</v>
      </c>
      <c r="AI231" s="9" t="n">
        <f aca="false">(AI197*Assumptions!$C$38)</f>
        <v>880</v>
      </c>
      <c r="AJ231" s="9" t="n">
        <f aca="false">(AJ197*Assumptions!$C$38)</f>
        <v>880</v>
      </c>
      <c r="AK231" s="9" t="n">
        <f aca="false">(AK197*Assumptions!$C$38)</f>
        <v>880</v>
      </c>
      <c r="AL231" s="9" t="n">
        <f aca="false">(AL197*Assumptions!$C$38)</f>
        <v>880</v>
      </c>
      <c r="AN231" s="11" t="n">
        <f aca="false">SUM(C231:N231)</f>
        <v>1100</v>
      </c>
      <c r="AO231" s="11" t="n">
        <f aca="false">SUM(O231:Z231)</f>
        <v>4730</v>
      </c>
      <c r="AP231" s="11" t="n">
        <f aca="false">SUM(AA231:AL231)</f>
        <v>9570</v>
      </c>
    </row>
    <row r="234" customFormat="false" ht="15" hidden="false" customHeight="false" outlineLevel="0" collapsed="false">
      <c r="A234" s="21" t="s">
        <v>1020</v>
      </c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</row>
    <row r="235" customFormat="false" ht="15" hidden="false" customHeight="false" outlineLevel="0" collapsed="false">
      <c r="A235" s="0" t="s">
        <v>61</v>
      </c>
      <c r="B235" s="0" t="s">
        <v>230</v>
      </c>
      <c r="AN235" s="9" t="n">
        <f aca="false">AN146</f>
        <v>1320</v>
      </c>
      <c r="AO235" s="9" t="n">
        <f aca="false">AO146</f>
        <v>506926.158236569</v>
      </c>
      <c r="AP235" s="9" t="n">
        <f aca="false">AP146</f>
        <v>2301941.70949913</v>
      </c>
    </row>
    <row r="236" customFormat="false" ht="15" hidden="false" customHeight="false" outlineLevel="0" collapsed="false">
      <c r="A236" s="0" t="s">
        <v>62</v>
      </c>
      <c r="B236" s="0" t="s">
        <v>230</v>
      </c>
      <c r="AN236" s="9" t="n">
        <f aca="false">AN148</f>
        <v>15840</v>
      </c>
      <c r="AO236" s="9" t="n">
        <f aca="false">AO148</f>
        <v>163394.40054726</v>
      </c>
      <c r="AP236" s="9" t="n">
        <f aca="false">AP148</f>
        <v>1527680.38281984</v>
      </c>
    </row>
    <row r="237" customFormat="false" ht="15" hidden="false" customHeight="false" outlineLevel="0" collapsed="false">
      <c r="A237" s="0" t="s">
        <v>63</v>
      </c>
      <c r="B237" s="0" t="s">
        <v>193</v>
      </c>
      <c r="AN237" s="12" t="n">
        <f aca="false">IFERROR((AN223/AN146),0)</f>
        <v>-156.998768772099</v>
      </c>
      <c r="AO237" s="12" t="n">
        <f aca="false">IFERROR((AO223/AO146),0)</f>
        <v>-0.710495904055699</v>
      </c>
      <c r="AP237" s="12" t="n">
        <f aca="false">IFERROR((AP223/AP146),0)</f>
        <v>0.158696856647272</v>
      </c>
    </row>
    <row r="238" customFormat="false" ht="15" hidden="false" customHeight="false" outlineLevel="0" collapsed="false">
      <c r="A238" s="0" t="s">
        <v>64</v>
      </c>
      <c r="B238" s="0" t="s">
        <v>193</v>
      </c>
      <c r="AN238" s="12" t="n">
        <f aca="false">IFERROR((AN224/AN146),0)</f>
        <v>-157.958768772099</v>
      </c>
      <c r="AO238" s="12" t="n">
        <f aca="false">IFERROR((AO224/AO146),0)</f>
        <v>-0.875622912476788</v>
      </c>
      <c r="AP238" s="12" t="n">
        <f aca="false">IFERROR((AP224/AP146),0)</f>
        <v>0.0313226495637237</v>
      </c>
    </row>
    <row r="239" customFormat="false" ht="15" hidden="false" customHeight="false" outlineLevel="0" collapsed="false">
      <c r="A239" s="0" t="s">
        <v>65</v>
      </c>
      <c r="B239" s="0" t="s">
        <v>193</v>
      </c>
      <c r="AN239" s="12" t="n">
        <f aca="false">IFERROR(((AN42-AN179)/AN42),0)</f>
        <v>0</v>
      </c>
      <c r="AO239" s="12" t="n">
        <f aca="false">IFERROR(((AO42-AO179)/AO42),0)</f>
        <v>-4.97587657767419</v>
      </c>
      <c r="AP239" s="12" t="n">
        <f aca="false">IFERROR(((AP42-AP179)/AP42),0)</f>
        <v>-2.1546170609268</v>
      </c>
    </row>
    <row r="240" customFormat="false" ht="15" hidden="false" customHeight="false" outlineLevel="0" collapsed="false">
      <c r="A240" s="0" t="s">
        <v>66</v>
      </c>
      <c r="B240" s="0" t="s">
        <v>193</v>
      </c>
      <c r="AN240" s="12" t="n">
        <f aca="false">IFERROR(((((((AN129+AN127)+AN136)+AN137)+AN140)-AN180)/((((AN129+AN127)+AN136)+AN137)+AN140)),0)</f>
        <v>-3.25823020623205</v>
      </c>
      <c r="AO240" s="12" t="n">
        <f aca="false">IFERROR(((((((AO129+AO127)+AO136)+AO137)+AO140)-AO180)/((((AO129+AO127)+AO136)+AO137)+AO140)),0)</f>
        <v>0.521068443809077</v>
      </c>
      <c r="AP240" s="12" t="n">
        <f aca="false">IFERROR(((((((AP129+AP127)+AP136)+AP137)+AP140)-AP180)/((((AP129+AP127)+AP136)+AP137)+AP140)),0)</f>
        <v>0.664278768403001</v>
      </c>
    </row>
    <row r="241" customFormat="false" ht="15" hidden="false" customHeight="false" outlineLevel="0" collapsed="false">
      <c r="A241" s="0" t="s">
        <v>67</v>
      </c>
      <c r="B241" s="0" t="s">
        <v>193</v>
      </c>
      <c r="AN241" s="12" t="n">
        <f aca="false">IFERROR(((AN131-AN182)/AN131),0)</f>
        <v>0</v>
      </c>
      <c r="AO241" s="12" t="n">
        <f aca="false">IFERROR(((AO131-AO182)/AO131),0)</f>
        <v>-0.572541966426859</v>
      </c>
      <c r="AP241" s="12" t="n">
        <f aca="false">IFERROR(((AP131-AP182)/AP131),0)</f>
        <v>0.213777777777778</v>
      </c>
    </row>
    <row r="242" customFormat="false" ht="15" hidden="false" customHeight="false" outlineLevel="0" collapsed="false">
      <c r="A242" s="0" t="s">
        <v>68</v>
      </c>
      <c r="B242" s="0" t="s">
        <v>193</v>
      </c>
      <c r="AN242" s="12" t="n">
        <f aca="false">IFERROR(((AN131-AN230)/AN131),0)</f>
        <v>0</v>
      </c>
      <c r="AO242" s="12" t="n">
        <f aca="false">IFERROR(((AO131-AO230)/AO131),0)</f>
        <v>0.316636690647482</v>
      </c>
      <c r="AP242" s="12" t="n">
        <f aca="false">IFERROR(((AP131-AP230)/AP131),0)</f>
        <v>0.21732</v>
      </c>
    </row>
    <row r="243" customFormat="false" ht="15" hidden="false" customHeight="false" outlineLevel="0" collapsed="false">
      <c r="A243" s="0" t="s">
        <v>69</v>
      </c>
      <c r="B243" s="0" t="s">
        <v>193</v>
      </c>
      <c r="AN243" s="12" t="n">
        <f aca="false">IFERROR((AN133/AN231),0)</f>
        <v>0.404545454545455</v>
      </c>
      <c r="AO243" s="12" t="n">
        <f aca="false">IFERROR((AO133/AO231),0)</f>
        <v>0.472515856236787</v>
      </c>
      <c r="AP243" s="12" t="n">
        <f aca="false">IFERROR((AP133/AP231),0)</f>
        <v>1.08244514106583</v>
      </c>
    </row>
    <row r="244" customFormat="false" ht="15" hidden="false" customHeight="false" outlineLevel="0" collapsed="false">
      <c r="A244" s="0" t="s">
        <v>41</v>
      </c>
      <c r="B244" s="0" t="s">
        <v>230</v>
      </c>
      <c r="AN244" s="9" t="n">
        <f aca="false">AN225</f>
        <v>-3138185.64144584</v>
      </c>
      <c r="AO244" s="9" t="n">
        <f aca="false">AO225</f>
        <v>-8109980.39028577</v>
      </c>
      <c r="AP244" s="9" t="n">
        <f aca="false">AP225</f>
        <v>-10842352.0489855</v>
      </c>
    </row>
    <row r="245" customFormat="false" ht="15" hidden="false" customHeight="false" outlineLevel="0" collapsed="false">
      <c r="A245" s="0" t="s">
        <v>70</v>
      </c>
      <c r="B245" s="0" t="s">
        <v>230</v>
      </c>
      <c r="AN245" s="9" t="n">
        <f aca="false">(0-AN226)</f>
        <v>3139505.64144584</v>
      </c>
      <c r="AO245" s="9" t="n">
        <f aca="false">(0-AO226)</f>
        <v>8092672.60449855</v>
      </c>
      <c r="AP245" s="9" t="n">
        <f aca="false">(0-AP226)</f>
        <v>10888026.4555495</v>
      </c>
    </row>
    <row r="246" customFormat="false" ht="15" hidden="false" customHeight="false" outlineLevel="0" collapsed="false">
      <c r="A246" s="0" t="s">
        <v>71</v>
      </c>
      <c r="B246" s="0" t="s">
        <v>230</v>
      </c>
      <c r="AN246" s="9" t="n">
        <f aca="false">AN227</f>
        <v>-3139505.64144584</v>
      </c>
      <c r="AO246" s="9" t="n">
        <f aca="false">AO227</f>
        <v>-11232178.2459444</v>
      </c>
      <c r="AP246" s="9" t="n">
        <f aca="false">AP227</f>
        <v>-22120204.7014939</v>
      </c>
    </row>
    <row r="247" customFormat="false" ht="15" hidden="false" customHeight="false" outlineLevel="0" collapsed="false">
      <c r="A247" s="0" t="s">
        <v>72</v>
      </c>
      <c r="B247" s="0" t="s">
        <v>230</v>
      </c>
      <c r="AN247" s="9" t="n">
        <f aca="false">AN228</f>
        <v>-139505.641445837</v>
      </c>
      <c r="AO247" s="9" t="n">
        <f aca="false">AO228</f>
        <v>-8232178.24594439</v>
      </c>
      <c r="AP247" s="9" t="n">
        <f aca="false">AP228</f>
        <v>-19120204.7014939</v>
      </c>
    </row>
    <row r="248" customFormat="false" ht="15" hidden="false" customHeight="false" outlineLevel="0" collapsed="false">
      <c r="A248" s="0" t="s">
        <v>73</v>
      </c>
      <c r="B248" s="0" t="s">
        <v>230</v>
      </c>
      <c r="AN248" s="9" t="n">
        <f aca="false">(AN148-0)</f>
        <v>15840</v>
      </c>
      <c r="AO248" s="9" t="n">
        <f aca="false">(AO148-AN148)</f>
        <v>147554.40054726</v>
      </c>
      <c r="AP248" s="9" t="n">
        <f aca="false">(AP148-AO148)</f>
        <v>1364285.98227258</v>
      </c>
    </row>
    <row r="249" customFormat="false" ht="15" hidden="false" customHeight="false" outlineLevel="0" collapsed="false">
      <c r="A249" s="0" t="s">
        <v>74</v>
      </c>
      <c r="B249" s="0" t="s">
        <v>160</v>
      </c>
      <c r="AN249" s="13" t="n">
        <f aca="false">IFERROR(((0-AN226)/(AN148-0)),0)</f>
        <v>198.201113727641</v>
      </c>
      <c r="AO249" s="13" t="n">
        <f aca="false">IFERROR(((0-AO226)/(AO148-AN148)),0)</f>
        <v>54.8453490677599</v>
      </c>
      <c r="AP249" s="13" t="n">
        <f aca="false">IFERROR(((0-AP226)/(AP148-AO148)),0)</f>
        <v>7.98075080813527</v>
      </c>
    </row>
    <row r="250" customFormat="false" ht="15" hidden="false" customHeight="false" outlineLevel="0" collapsed="false">
      <c r="A250" s="0" t="s">
        <v>75</v>
      </c>
      <c r="B250" s="0" t="s">
        <v>230</v>
      </c>
      <c r="AN250" s="13" t="n">
        <f aca="false">IFERROR(((AN206+(0.5*(AN194+AN207)))/AN28),0)</f>
        <v>0</v>
      </c>
      <c r="AO250" s="13" t="n">
        <f aca="false">IFERROR(((AO206+(0.5*(AO194+AO207)))/AO28),0)</f>
        <v>802.839097544607</v>
      </c>
      <c r="AP250" s="13" t="n">
        <f aca="false">IFERROR(((AP206+(0.5*(AP194+AP207)))/AP28),0)</f>
        <v>502.981242619472</v>
      </c>
    </row>
    <row r="251" customFormat="false" ht="15" hidden="false" customHeight="false" outlineLevel="0" collapsed="false">
      <c r="A251" s="0" t="s">
        <v>76</v>
      </c>
      <c r="B251" s="0" t="s">
        <v>230</v>
      </c>
      <c r="AN251" s="13" t="n">
        <f aca="false">IFERROR((((AN206+(0.5*(AN194+AN207)))+AN186)/AN28),0)</f>
        <v>0</v>
      </c>
      <c r="AO251" s="13" t="n">
        <f aca="false">IFERROR((((AO206+(0.5*(AO194+AO207)))+AO186)/AO28),0)</f>
        <v>932.4116298671</v>
      </c>
      <c r="AP251" s="13" t="n">
        <f aca="false">IFERROR((((AP206+(0.5*(AP194+AP207)))+AP186)/AP28),0)</f>
        <v>622.401245684949</v>
      </c>
    </row>
    <row r="252" customFormat="false" ht="15" hidden="false" customHeight="false" outlineLevel="0" collapsed="false">
      <c r="A252" s="0" t="s">
        <v>77</v>
      </c>
      <c r="B252" s="0" t="s">
        <v>230</v>
      </c>
      <c r="AN252" s="14" t="n">
        <f aca="false">IFERROR(((AN42/12)/((AN39*0.5)+(0*0.5))),0)</f>
        <v>0</v>
      </c>
      <c r="AO252" s="14" t="n">
        <f aca="false">IFERROR(((AO42/12)/((AO39*0.5)+(AN39*0.5))),0)</f>
        <v>4.73816699513621</v>
      </c>
      <c r="AP252" s="14" t="n">
        <f aca="false">IFERROR(((AP42/12)/((AP39*0.5)+(AO39*0.5))),0)</f>
        <v>5.71702778571874</v>
      </c>
    </row>
    <row r="253" customFormat="false" ht="15" hidden="false" customHeight="false" outlineLevel="0" collapsed="false">
      <c r="A253" s="0" t="s">
        <v>78</v>
      </c>
      <c r="B253" s="0" t="s">
        <v>193</v>
      </c>
      <c r="AN253" s="12" t="n">
        <f aca="false">IFERROR(((AN42-AN187)/AN42),0)</f>
        <v>0</v>
      </c>
      <c r="AO253" s="12" t="n">
        <f aca="false">IFERROR(((AO42-AO187)/AO42),0)</f>
        <v>0.744948314218905</v>
      </c>
      <c r="AP253" s="12" t="n">
        <f aca="false">IFERROR(((AP42-AP187)/AP42),0)</f>
        <v>0.766761624389786</v>
      </c>
    </row>
    <row r="254" customFormat="false" ht="15" hidden="false" customHeight="false" outlineLevel="0" collapsed="false">
      <c r="A254" s="0" t="s">
        <v>79</v>
      </c>
      <c r="B254" s="0" t="s">
        <v>166</v>
      </c>
      <c r="AN254" s="13" t="n">
        <f aca="false">IFERROR(((((AN206+(0.5*(AN194+AN207)))+AN186)/AN28)/(((AN42/12)/((AN39*0.5)+(0*0.5)))*((AN42-AN187)/AN42))),0)</f>
        <v>0</v>
      </c>
      <c r="AO254" s="13" t="n">
        <f aca="false">IFERROR(((((AO206+(0.5*(AO194+AO207)))+AO186)/AO28)/(((AO42/12)/((AO39*0.5)+(AN39*0.5)))*((AO42-AO187)/AO42))),0)</f>
        <v>264.162506579909</v>
      </c>
      <c r="AP254" s="13" t="n">
        <f aca="false">IFERROR(((((AP206+(0.5*(AP194+AP207)))+AP186)/AP28)/(((AP42/12)/((AP39*0.5)+(AO39*0.5)))*((AP42-AP187)/AP42))),0)</f>
        <v>141.984122408483</v>
      </c>
    </row>
    <row r="255" customFormat="false" ht="15" hidden="false" customHeight="false" outlineLevel="0" collapsed="false">
      <c r="A255" s="0" t="s">
        <v>80</v>
      </c>
      <c r="B255" s="0" t="s">
        <v>230</v>
      </c>
      <c r="AN255" s="9" t="n">
        <f aca="false">IFERROR(((AN215+(0.5*(AN194+AN207)))/AN121),0)</f>
        <v>255500.888888889</v>
      </c>
      <c r="AO255" s="9" t="n">
        <f aca="false">IFERROR(((AO215+(0.5*(AO194+AO207)))/AO121),0)</f>
        <v>228151.267759563</v>
      </c>
      <c r="AP255" s="9" t="n">
        <f aca="false">IFERROR(((AP215+(0.5*(AP194+AP207)))/AP121),0)</f>
        <v>58889.7882352941</v>
      </c>
    </row>
    <row r="256" customFormat="false" ht="15" hidden="false" customHeight="false" outlineLevel="0" collapsed="false">
      <c r="A256" s="0" t="s">
        <v>81</v>
      </c>
      <c r="B256" s="0" t="s">
        <v>230</v>
      </c>
      <c r="AN256" s="9" t="n">
        <f aca="false">IFERROR(((AN215+(0.5*(AN194+AN207)))/AN120),0)</f>
        <v>0</v>
      </c>
      <c r="AO256" s="9" t="n">
        <f aca="false">IFERROR(((AO215+(0.5*(AO194+AO207)))/AO120),0)</f>
        <v>69586.1366666667</v>
      </c>
      <c r="AP256" s="9" t="n">
        <f aca="false">IFERROR(((AP215+(0.5*(AP194+AP207)))/AP120),0)</f>
        <v>34761.3333333333</v>
      </c>
    </row>
    <row r="257" customFormat="false" ht="15" hidden="false" customHeight="false" outlineLevel="0" collapsed="false">
      <c r="A257" s="0" t="s">
        <v>82</v>
      </c>
      <c r="B257" s="0" t="s">
        <v>193</v>
      </c>
      <c r="AN257" s="12" t="n">
        <f aca="false">((1-((1-Assumptions!$C$30)*$C$6))*(1+Assumptions!$C$31))</f>
        <v>0.968</v>
      </c>
      <c r="AO257" s="12" t="n">
        <f aca="false">((1-((1-Assumptions!$C$30)*$C$6))*(1+Assumptions!$C$31))</f>
        <v>0.968</v>
      </c>
      <c r="AP257" s="12" t="n">
        <f aca="false">((1-((1-Assumptions!$C$30)*$C$6))*(1+Assumptions!$C$31))</f>
        <v>0.968</v>
      </c>
    </row>
    <row r="258" customFormat="false" ht="15" hidden="false" customHeight="false" outlineLevel="0" collapsed="false">
      <c r="A258" s="0" t="s">
        <v>83</v>
      </c>
      <c r="B258" s="0" t="s">
        <v>193</v>
      </c>
      <c r="AN258" s="12" t="n">
        <f aca="false">(1-((1-Assumptions!$C$30)*$C$6))</f>
        <v>0.88</v>
      </c>
      <c r="AO258" s="12" t="n">
        <f aca="false">(1-((1-Assumptions!$C$30)*$C$6))</f>
        <v>0.88</v>
      </c>
      <c r="AP258" s="12" t="n">
        <f aca="false">(1-((1-Assumptions!$C$30)*$C$6))</f>
        <v>0.88</v>
      </c>
    </row>
    <row r="259" customFormat="false" ht="15" hidden="false" customHeight="false" outlineLevel="0" collapsed="false">
      <c r="A259" s="0" t="s">
        <v>84</v>
      </c>
      <c r="B259" s="0" t="s">
        <v>852</v>
      </c>
      <c r="AN259" s="13" t="n">
        <f aca="false">AN122</f>
        <v>0.6</v>
      </c>
      <c r="AO259" s="13" t="n">
        <f aca="false">AO122</f>
        <v>3.578</v>
      </c>
      <c r="AP259" s="13" t="n">
        <f aca="false">AP122</f>
        <v>24.39864</v>
      </c>
    </row>
    <row r="260" customFormat="false" ht="15" hidden="false" customHeight="false" outlineLevel="0" collapsed="false">
      <c r="A260" s="0" t="s">
        <v>85</v>
      </c>
      <c r="B260" s="0" t="s">
        <v>500</v>
      </c>
      <c r="AN260" s="9" t="n">
        <f aca="false">AN39</f>
        <v>0</v>
      </c>
      <c r="AO260" s="9" t="n">
        <f aca="false">AO39</f>
        <v>256.966398049017</v>
      </c>
      <c r="AP260" s="9" t="n">
        <f aca="false">AP39</f>
        <v>719.967198361525</v>
      </c>
    </row>
    <row r="261" customFormat="false" ht="15" hidden="false" customHeight="false" outlineLevel="0" collapsed="false">
      <c r="A261" s="0" t="s">
        <v>86</v>
      </c>
      <c r="B261" s="0" t="s">
        <v>500</v>
      </c>
      <c r="AN261" s="9" t="n">
        <f aca="false">AN157</f>
        <v>3041.21574138794</v>
      </c>
      <c r="AO261" s="9" t="n">
        <f aca="false">AO157</f>
        <v>23495.0146141107</v>
      </c>
      <c r="AP261" s="9" t="n">
        <f aca="false">AP157</f>
        <v>74697.5499028581</v>
      </c>
    </row>
    <row r="262" customFormat="false" ht="15" hidden="false" customHeight="false" outlineLevel="0" collapsed="false">
      <c r="A262" s="0" t="s">
        <v>87</v>
      </c>
      <c r="B262" s="0" t="s">
        <v>230</v>
      </c>
      <c r="AN262" s="14" t="n">
        <f aca="false">IFERROR(((AN167/12)/((AN157*0.5)+(0*0.5))),0)</f>
        <v>1.50599710904444</v>
      </c>
      <c r="AO262" s="14" t="n">
        <f aca="false">IFERROR(((AO167/12)/((AO157*0.5)+(AN157*0.5))),0)</f>
        <v>0.429271467504525</v>
      </c>
      <c r="AP262" s="14" t="n">
        <f aca="false">IFERROR(((AP167/12)/((AP157*0.5)+(AO157*0.5))),0)</f>
        <v>0.308850915452562</v>
      </c>
    </row>
    <row r="263" customFormat="false" ht="15" hidden="false" customHeight="false" outlineLevel="0" collapsed="false">
      <c r="A263" s="0" t="s">
        <v>88</v>
      </c>
      <c r="B263" s="0" t="s">
        <v>193</v>
      </c>
      <c r="AN263" s="12" t="n">
        <f aca="false">IFERROR((AN167/AN146),0)</f>
        <v>20.8184641568667</v>
      </c>
      <c r="AO263" s="12" t="n">
        <f aca="false">IFERROR((AO167/AO146),0)</f>
        <v>0.134827288294249</v>
      </c>
      <c r="AP263" s="12" t="n">
        <f aca="false">IFERROR((AP167/AP146),0)</f>
        <v>0.0790468237746106</v>
      </c>
    </row>
    <row r="264" customFormat="false" ht="15" hidden="false" customHeight="false" outlineLevel="0" collapsed="false">
      <c r="A264" s="0" t="s">
        <v>89</v>
      </c>
      <c r="B264" s="0" t="s">
        <v>618</v>
      </c>
      <c r="AN264" s="13" t="n">
        <f aca="false">AN196</f>
        <v>27.4</v>
      </c>
      <c r="AO264" s="13" t="n">
        <f aca="false">AO196</f>
        <v>53.4</v>
      </c>
      <c r="AP264" s="13" t="n">
        <f aca="false">AP196</f>
        <v>70.4</v>
      </c>
    </row>
    <row r="265" customFormat="false" ht="15" hidden="false" customHeight="false" outlineLevel="0" collapsed="false">
      <c r="A265" s="0" t="s">
        <v>90</v>
      </c>
      <c r="B265" s="0" t="s">
        <v>230</v>
      </c>
      <c r="AN265" s="9" t="n">
        <f aca="false">IFERROR((AN148/AN196),0)</f>
        <v>578.102189781022</v>
      </c>
      <c r="AO265" s="9" t="n">
        <f aca="false">IFERROR((AO148/AO196),0)</f>
        <v>3059.82023496742</v>
      </c>
      <c r="AP265" s="9" t="n">
        <f aca="false">IFERROR((AP148/AP196),0)</f>
        <v>21700.0054377819</v>
      </c>
    </row>
    <row r="266" customFormat="false" ht="15" hidden="false" customHeight="false" outlineLevel="0" collapsed="false">
      <c r="A266" s="0" t="s">
        <v>91</v>
      </c>
      <c r="B266" s="0" t="s">
        <v>193</v>
      </c>
      <c r="AN266" s="12" t="n">
        <f aca="false">IFERROR((AN40/AN188),0)</f>
        <v>0</v>
      </c>
      <c r="AO266" s="12" t="n">
        <f aca="false">IFERROR((AO40/AO188),0)</f>
        <v>0.0258846896897066</v>
      </c>
      <c r="AP266" s="12" t="n">
        <f aca="false">IFERROR((AP40/AP188),0)</f>
        <v>0.0351852873588045</v>
      </c>
    </row>
    <row r="267" customFormat="false" ht="15" hidden="false" customHeight="false" outlineLevel="0" collapsed="false">
      <c r="A267" s="0" t="s">
        <v>92</v>
      </c>
      <c r="B267" s="0" t="s">
        <v>230</v>
      </c>
      <c r="AN267" s="13" t="n">
        <f aca="false">IFERROR(((((AN42/12)/((AN39*0.5)+(0*0.5)))*((AN42-AN187)/AN42))/(AN40/AN188)),0)</f>
        <v>0</v>
      </c>
      <c r="AO267" s="13" t="n">
        <f aca="false">IFERROR(((((AO42/12)/((AO39*0.5)+(AN39*0.5)))*((AO42-AO187)/AO42))/(AO40/AO188)),0)</f>
        <v>136.362056405799</v>
      </c>
      <c r="AP267" s="13" t="n">
        <f aca="false">IFERROR(((((AP42/12)/((AP39*0.5)+(AO39*0.5)))*((AP42-AP187)/AP42))/(AP40/AP188)),0)</f>
        <v>124.586093811234</v>
      </c>
    </row>
    <row r="268" customFormat="false" ht="15" hidden="false" customHeight="false" outlineLevel="0" collapsed="false">
      <c r="A268" s="0" t="s">
        <v>93</v>
      </c>
      <c r="B268" s="0" t="s">
        <v>160</v>
      </c>
      <c r="AN268" s="14" t="n">
        <f aca="false">IFERROR((((((AN42/12)/((AN39*0.5)+(0*0.5)))*((AN42-AN187)/AN42))/(AN40/AN188))/(((AN206+(0.5*(AN194+AN207)))+AN186)/AN28)),0)</f>
        <v>0</v>
      </c>
      <c r="AO268" s="14" t="n">
        <f aca="false">IFERROR((((((AO42/12)/((AO39*0.5)+(AN39*0.5)))*((AO42-AO187)/AO42))/(AO40/AO188))/(((AO206+(0.5*(AO194+AO207)))+AO186)/AO28)),0)</f>
        <v>0.146246627602913</v>
      </c>
      <c r="AP268" s="14" t="n">
        <f aca="false">IFERROR((((((AP42/12)/((AP39*0.5)+(AO39*0.5)))*((AP42-AP187)/AP42))/(AP40/AP188))/(((AP206+(0.5*(AP194+AP207)))+AP186)/AP28)),0)</f>
        <v>0.200170058583555</v>
      </c>
    </row>
    <row r="269" customFormat="false" ht="15" hidden="false" customHeight="false" outlineLevel="0" collapsed="false">
      <c r="A269" s="0" t="s">
        <v>94</v>
      </c>
      <c r="B269" s="0" t="s">
        <v>230</v>
      </c>
      <c r="AN269" s="9" t="n">
        <f aca="false">AN186</f>
        <v>3481.4412051703</v>
      </c>
      <c r="AO269" s="9" t="n">
        <f aca="false">AO186</f>
        <v>36765.9756966124</v>
      </c>
      <c r="AP269" s="9" t="n">
        <f aca="false">AP186</f>
        <v>78480.6244616909</v>
      </c>
    </row>
    <row r="270" customFormat="false" ht="15" hidden="false" customHeight="false" outlineLevel="0" collapsed="false">
      <c r="A270" s="0" t="s">
        <v>95</v>
      </c>
      <c r="B270" s="0" t="s">
        <v>193</v>
      </c>
      <c r="AN270" s="12" t="n">
        <f aca="false">IFERROR((AN186/AN42),0)</f>
        <v>0</v>
      </c>
      <c r="AO270" s="12" t="n">
        <f aca="false">IFERROR((AO186/AO42),0)</f>
        <v>5.03278230484376</v>
      </c>
      <c r="AP270" s="12" t="n">
        <f aca="false">IFERROR((AP186/AP42),0)</f>
        <v>2.34194047036863</v>
      </c>
    </row>
    <row r="271" customFormat="false" ht="15" hidden="false" customHeight="false" outlineLevel="0" collapsed="false">
      <c r="A271" s="0" t="s">
        <v>96</v>
      </c>
      <c r="B271" s="0" t="s">
        <v>193</v>
      </c>
      <c r="AN271" s="12" t="n">
        <f aca="false">IFERROR((AN39/(AN39+AN29)),0)</f>
        <v>0</v>
      </c>
      <c r="AO271" s="12" t="n">
        <f aca="false">IFERROR((AO39/(AO39+AO29)),0)</f>
        <v>0.0153291838089761</v>
      </c>
      <c r="AP271" s="12" t="n">
        <f aca="false">IFERROR((AP39/(AP39+AP29)),0)</f>
        <v>0.0257059845779436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2026-10-04T11:32:14Z</dcterms:created>
  <dc:creator>openpyxl</dc:creator>
  <dc:description/>
  <dc:language>en-US</dc:language>
  <cp:lastModifiedBy/>
  <dcterms:modified xsi:type="dcterms:W3CDTF">2026-10-04T11:32:15Z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